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PI\Downloads\"/>
    </mc:Choice>
  </mc:AlternateContent>
  <xr:revisionPtr revIDLastSave="0" documentId="8_{3B045605-B480-47F7-93C7-A71D5438E65A}" xr6:coauthVersionLast="47" xr6:coauthVersionMax="47" xr10:uidLastSave="{00000000-0000-0000-0000-000000000000}"/>
  <bookViews>
    <workbookView xWindow="20370" yWindow="-120" windowWidth="20730" windowHeight="11040" tabRatio="768" activeTab="4" xr2:uid="{00000000-000D-0000-FFFF-FFFF00000000}"/>
  </bookViews>
  <sheets>
    <sheet name="DEMANDA 2026-2" sheetId="28" r:id="rId1"/>
    <sheet name="DOCENTES 2026-2" sheetId="22" r:id="rId2"/>
    <sheet name="ASIG 2026-1" sheetId="19" r:id="rId3"/>
    <sheet name="REPARTO HORAS" sheetId="21" r:id="rId4"/>
    <sheet name="MATRIZ F4 V1" sheetId="29" r:id="rId5"/>
    <sheet name="ASIGNACIÓN CURSOS" sheetId="38" r:id="rId6"/>
    <sheet name="CAPACIDADES ESPECIALES" sheetId="47" r:id="rId7"/>
  </sheets>
  <definedNames>
    <definedName name="_CODIGOS2">#REF!</definedName>
    <definedName name="_CURSOS">#REF!</definedName>
    <definedName name="_xlnm._FilterDatabase" localSheetId="0" hidden="1">'DEMANDA 2026-2'!$A$6:$F$57</definedName>
    <definedName name="_xlnm._FilterDatabase" localSheetId="1" hidden="1">'DOCENTES 2026-2'!$A$3:$N$32</definedName>
    <definedName name="_xlnm._FilterDatabase" localSheetId="4" hidden="1">'MATRIZ F4 V1'!$A$7:$P$252</definedName>
    <definedName name="_xlnm._FilterDatabase" localSheetId="3" hidden="1">'REPARTO HORAS'!$A$1:$B$186</definedName>
    <definedName name="_xlnm.Print_Area" localSheetId="1">'DOCENTES 2026-2'!$A$3:$N$30</definedName>
    <definedName name="_xlnm.Print_Area" localSheetId="3">'REPARTO HORAS'!$A$1:$B$201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158" i="29" l="1"/>
  <c r="AR157" i="29"/>
  <c r="AJ158" i="29"/>
  <c r="AJ157" i="29"/>
  <c r="B5" i="47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4" i="47"/>
  <c r="O204" i="29"/>
  <c r="O203" i="29"/>
  <c r="N21" i="22"/>
  <c r="N7" i="22"/>
  <c r="AT157" i="29" l="1"/>
  <c r="AL157" i="29"/>
  <c r="AS157" i="29"/>
  <c r="AK157" i="29"/>
  <c r="Q172" i="29"/>
  <c r="O234" i="29"/>
  <c r="P234" i="29" s="1"/>
  <c r="O232" i="29"/>
  <c r="P232" i="29" s="1"/>
  <c r="O184" i="29"/>
  <c r="O185" i="29"/>
  <c r="Q234" i="29" l="1"/>
  <c r="Q232" i="29"/>
  <c r="O115" i="29"/>
  <c r="O114" i="29"/>
  <c r="O124" i="29"/>
  <c r="I13" i="28"/>
  <c r="O145" i="29" l="1"/>
  <c r="O144" i="29"/>
  <c r="O143" i="29"/>
  <c r="N29" i="22"/>
  <c r="N27" i="22"/>
  <c r="P143" i="29" l="1"/>
  <c r="Q143" i="29"/>
  <c r="O28" i="29"/>
  <c r="O194" i="29" l="1"/>
  <c r="Q194" i="29" s="1"/>
  <c r="P194" i="29" l="1"/>
  <c r="O202" i="29"/>
  <c r="O186" i="29"/>
  <c r="Q184" i="29" s="1"/>
  <c r="Q101" i="29"/>
  <c r="R101" i="29" s="1"/>
  <c r="Q73" i="29"/>
  <c r="R73" i="29" s="1"/>
  <c r="R172" i="29"/>
  <c r="Q164" i="29"/>
  <c r="R164" i="29" s="1"/>
  <c r="Q49" i="29"/>
  <c r="R49" i="29" s="1"/>
  <c r="Q23" i="29"/>
  <c r="R23" i="29" s="1"/>
  <c r="O217" i="29"/>
  <c r="O167" i="29"/>
  <c r="O158" i="29"/>
  <c r="O107" i="29" l="1"/>
  <c r="O201" i="29" l="1"/>
  <c r="P201" i="29" s="1"/>
  <c r="O216" i="29"/>
  <c r="O225" i="29"/>
  <c r="Q201" i="29" l="1"/>
  <c r="H6" i="19"/>
  <c r="D84" i="19"/>
  <c r="O242" i="29" l="1"/>
  <c r="P242" i="29" s="1"/>
  <c r="O238" i="29"/>
  <c r="P238" i="29" s="1"/>
  <c r="O157" i="29"/>
  <c r="Q157" i="29" s="1"/>
  <c r="O20" i="29"/>
  <c r="O78" i="29"/>
  <c r="O29" i="29"/>
  <c r="P28" i="29" s="1"/>
  <c r="O10" i="29"/>
  <c r="O11" i="29"/>
  <c r="O9" i="29"/>
  <c r="P157" i="29" l="1"/>
  <c r="Q242" i="29"/>
  <c r="P246" i="29"/>
  <c r="Q238" i="29"/>
  <c r="Q28" i="29"/>
  <c r="B57" i="28"/>
  <c r="C57" i="28"/>
  <c r="A57" i="28"/>
  <c r="N8" i="22"/>
  <c r="N10" i="22"/>
  <c r="N24" i="22"/>
  <c r="D32" i="19" l="1"/>
  <c r="D35" i="19"/>
  <c r="D24" i="19"/>
  <c r="I47" i="28"/>
  <c r="I43" i="28"/>
  <c r="I39" i="28"/>
  <c r="I34" i="28"/>
  <c r="I29" i="28"/>
  <c r="I24" i="28"/>
  <c r="I19" i="28"/>
  <c r="O224" i="29"/>
  <c r="O176" i="29"/>
  <c r="Q176" i="29" s="1"/>
  <c r="O134" i="29"/>
  <c r="O96" i="29"/>
  <c r="O87" i="29"/>
  <c r="O86" i="29"/>
  <c r="O76" i="29"/>
  <c r="O66" i="29"/>
  <c r="O58" i="29"/>
  <c r="O57" i="29"/>
  <c r="O47" i="29"/>
  <c r="O48" i="29"/>
  <c r="O38" i="29"/>
  <c r="O37" i="29"/>
  <c r="N25" i="22"/>
  <c r="P176" i="29" l="1"/>
  <c r="P37" i="29"/>
  <c r="Q86" i="29"/>
  <c r="Q114" i="29"/>
  <c r="P114" i="29"/>
  <c r="P57" i="29"/>
  <c r="P224" i="29"/>
  <c r="Q224" i="29"/>
  <c r="Q47" i="29"/>
  <c r="Q57" i="29"/>
  <c r="Q37" i="29"/>
  <c r="P47" i="29"/>
  <c r="E54" i="28" l="1"/>
  <c r="P184" i="29" l="1"/>
  <c r="O67" i="29"/>
  <c r="Q66" i="29" s="1"/>
  <c r="N17" i="22"/>
  <c r="N28" i="22"/>
  <c r="N26" i="22"/>
  <c r="N19" i="22"/>
  <c r="N14" i="22"/>
  <c r="N11" i="22"/>
  <c r="N5" i="22"/>
  <c r="N6" i="22"/>
  <c r="N9" i="22"/>
  <c r="N16" i="22"/>
  <c r="N12" i="22"/>
  <c r="N15" i="22"/>
  <c r="N4" i="22"/>
  <c r="N20" i="22"/>
  <c r="N18" i="22"/>
  <c r="N13" i="22"/>
  <c r="N23" i="22"/>
  <c r="N30" i="22"/>
  <c r="N22" i="22"/>
  <c r="N31" i="22" l="1"/>
  <c r="O215" i="29" l="1"/>
  <c r="Q215" i="29" s="1"/>
  <c r="O166" i="29"/>
  <c r="Q166" i="29" s="1"/>
  <c r="O135" i="29"/>
  <c r="Q134" i="29" s="1"/>
  <c r="O125" i="29"/>
  <c r="Q124" i="29" s="1"/>
  <c r="O106" i="29"/>
  <c r="O105" i="29"/>
  <c r="O95" i="29"/>
  <c r="O77" i="29"/>
  <c r="Q76" i="29" s="1"/>
  <c r="O8" i="29"/>
  <c r="Q8" i="29" s="1"/>
  <c r="O19" i="29"/>
  <c r="O18" i="29"/>
  <c r="P18" i="29" l="1"/>
  <c r="P124" i="29"/>
  <c r="P105" i="29"/>
  <c r="Q105" i="29"/>
  <c r="P95" i="29"/>
  <c r="Q95" i="29"/>
  <c r="Q18" i="29"/>
  <c r="P215" i="29"/>
  <c r="P134" i="29"/>
  <c r="D52" i="28"/>
  <c r="H52" i="28" s="1"/>
  <c r="D51" i="28" l="1"/>
  <c r="D50" i="28"/>
  <c r="D49" i="28"/>
  <c r="D48" i="28"/>
  <c r="I53" i="28" l="1"/>
  <c r="H13" i="28"/>
  <c r="P166" i="29" l="1"/>
  <c r="P86" i="29"/>
  <c r="P76" i="29"/>
  <c r="P66" i="29"/>
  <c r="P8" i="29"/>
  <c r="G54" i="28" l="1"/>
  <c r="H53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2" i="28"/>
  <c r="H11" i="28"/>
  <c r="H10" i="28"/>
  <c r="H9" i="28"/>
  <c r="H8" i="28"/>
  <c r="H7" i="28" l="1"/>
  <c r="H54" i="28" s="1"/>
  <c r="H55" i="28" s="1"/>
  <c r="D27" i="19" l="1"/>
  <c r="D30" i="19"/>
  <c r="D19" i="19"/>
  <c r="D12" i="19"/>
  <c r="D15" i="19"/>
  <c r="D8" i="19"/>
  <c r="D9" i="19"/>
  <c r="D6" i="19"/>
  <c r="D4" i="19"/>
  <c r="D5" i="19"/>
  <c r="D85" i="19" l="1"/>
  <c r="H69" i="19"/>
  <c r="H67" i="19"/>
  <c r="H81" i="19"/>
  <c r="H75" i="19"/>
  <c r="H25" i="19"/>
  <c r="H20" i="19"/>
  <c r="H9" i="19"/>
  <c r="H11" i="19"/>
  <c r="H4" i="19"/>
  <c r="H12" i="19"/>
  <c r="H14" i="19"/>
  <c r="H37" i="19"/>
  <c r="H7" i="19"/>
  <c r="H10" i="19"/>
  <c r="H39" i="19" l="1"/>
  <c r="H40" i="19"/>
  <c r="H38" i="19"/>
  <c r="H36" i="19"/>
  <c r="H83" i="19" l="1"/>
  <c r="H80" i="19"/>
  <c r="H79" i="19"/>
  <c r="H77" i="19"/>
  <c r="H76" i="19"/>
  <c r="H74" i="19"/>
  <c r="H73" i="19"/>
  <c r="H71" i="19"/>
  <c r="H68" i="19"/>
  <c r="H64" i="19"/>
  <c r="H61" i="19"/>
  <c r="H62" i="19"/>
  <c r="H63" i="19"/>
  <c r="H59" i="19"/>
  <c r="H57" i="19"/>
  <c r="H56" i="19"/>
  <c r="H52" i="19"/>
  <c r="H47" i="19"/>
  <c r="H43" i="19"/>
  <c r="H45" i="19"/>
  <c r="H44" i="19"/>
  <c r="H34" i="19"/>
  <c r="H35" i="19"/>
  <c r="H33" i="19"/>
  <c r="H29" i="19"/>
  <c r="H27" i="19"/>
  <c r="H30" i="19"/>
  <c r="H28" i="19"/>
  <c r="H23" i="19"/>
  <c r="H24" i="19"/>
  <c r="H18" i="19"/>
  <c r="H19" i="19"/>
  <c r="H15" i="19" l="1"/>
  <c r="H31" i="19"/>
  <c r="H26" i="19"/>
  <c r="H60" i="19"/>
  <c r="H58" i="19"/>
  <c r="H21" i="19"/>
  <c r="H16" i="19"/>
  <c r="H65" i="19"/>
  <c r="H72" i="19"/>
  <c r="H78" i="19"/>
  <c r="H17" i="19"/>
  <c r="H22" i="19"/>
  <c r="H82" i="19"/>
  <c r="H42" i="19"/>
  <c r="H8" i="19"/>
  <c r="H55" i="19"/>
  <c r="H50" i="19"/>
  <c r="H32" i="19"/>
  <c r="H41" i="19"/>
  <c r="H48" i="19"/>
  <c r="H53" i="19"/>
  <c r="H54" i="19"/>
  <c r="H70" i="19"/>
  <c r="H49" i="19"/>
  <c r="H66" i="19"/>
  <c r="H46" i="19"/>
  <c r="H13" i="19"/>
  <c r="H51" i="19"/>
  <c r="H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Borja</author>
  </authors>
  <commentList>
    <comment ref="C12" authorId="0" shapeId="0" xr:uid="{E3496A01-8D7E-486A-8DDA-D50C93EF14D9}">
      <text>
        <r>
          <rPr>
            <b/>
            <sz val="9"/>
            <color indexed="81"/>
            <rFont val="Tahoma"/>
            <family val="2"/>
          </rPr>
          <t>Karen Pinargote:</t>
        </r>
        <r>
          <rPr>
            <sz val="9"/>
            <color indexed="81"/>
            <rFont val="Tahoma"/>
            <family val="2"/>
          </rPr>
          <t xml:space="preserve">
Mar, Mie, Vie 10h00-12h00</t>
        </r>
      </text>
    </comment>
  </commentList>
</comments>
</file>

<file path=xl/sharedStrings.xml><?xml version="1.0" encoding="utf-8"?>
<sst xmlns="http://schemas.openxmlformats.org/spreadsheetml/2006/main" count="1878" uniqueCount="561">
  <si>
    <t>NIVEL</t>
  </si>
  <si>
    <t>ASIGNATURA</t>
  </si>
  <si>
    <t>APELLIDOS Y NOMBRES</t>
  </si>
  <si>
    <t>HORAS</t>
  </si>
  <si>
    <t>1A</t>
  </si>
  <si>
    <t>MERO CHAVEZ ULISES FEDERICO</t>
  </si>
  <si>
    <t>2A</t>
  </si>
  <si>
    <t>MOLINA QUIROZ CLAUDIA ANALIA</t>
  </si>
  <si>
    <t>GRANDA GARCÍA MARCO IVÁN</t>
  </si>
  <si>
    <t>3A</t>
  </si>
  <si>
    <t>MOLINA CEDEÑO JIMMY WILMER</t>
  </si>
  <si>
    <t>COMUNICACIÓN INTEGRAL DE LA MERCADOTECNIA</t>
  </si>
  <si>
    <t>PALACIOS BRIONES NURI LUPITA</t>
  </si>
  <si>
    <t>3B</t>
  </si>
  <si>
    <t>4A</t>
  </si>
  <si>
    <t>JACOME SANTOS XAVIER IVAN</t>
  </si>
  <si>
    <t>4B</t>
  </si>
  <si>
    <t>5A</t>
  </si>
  <si>
    <t>POLÍTICA Y FIJACIÓN DE PRECIOS</t>
  </si>
  <si>
    <t>LOPEZ LEONES CRISTHIAN JOSÉ</t>
  </si>
  <si>
    <t>5B</t>
  </si>
  <si>
    <t>6A</t>
  </si>
  <si>
    <t>BADUY MOLINA AAROM LEONEL</t>
  </si>
  <si>
    <t>6B</t>
  </si>
  <si>
    <t>7A</t>
  </si>
  <si>
    <t>8A</t>
  </si>
  <si>
    <t>9A</t>
  </si>
  <si>
    <t>TC</t>
  </si>
  <si>
    <t>CARRERA</t>
  </si>
  <si>
    <t>COMISIÓN</t>
  </si>
  <si>
    <t>DEDIC</t>
  </si>
  <si>
    <t>TOTAL HORAS CLASES PRESENCIALES</t>
  </si>
  <si>
    <t>DOCENTES</t>
  </si>
  <si>
    <t>H.PRESENCIALES</t>
  </si>
  <si>
    <t>ARIAS ARIAS ANA ELENA</t>
  </si>
  <si>
    <t>HORAS2</t>
  </si>
  <si>
    <t>TRADE MARKETING</t>
  </si>
  <si>
    <t xml:space="preserve">SIMULACIÓN DE NEGOCIOS </t>
  </si>
  <si>
    <t xml:space="preserve">GERENCIA DE MERCADOTECNIA </t>
  </si>
  <si>
    <t>CÁTEDRA INTEGRADORA: PLAN DE NEGOCIOS</t>
  </si>
  <si>
    <t>SOLIS BRAVO HUGO ALFONSO</t>
  </si>
  <si>
    <t>FUNDAMENTOS DE LA MERCADOTECNIA</t>
  </si>
  <si>
    <t>METODOLOGÍA DE LA INVESTIGACIÓN</t>
  </si>
  <si>
    <t>GESTIÓN DEL TALENTO HUMANO</t>
  </si>
  <si>
    <t>BRAND MANAGEMENT</t>
  </si>
  <si>
    <t>PLAN DE MERCADOTECNIA</t>
  </si>
  <si>
    <t xml:space="preserve"> INTERNATIONAL MARKETING </t>
  </si>
  <si>
    <t>7B</t>
  </si>
  <si>
    <t>8B</t>
  </si>
  <si>
    <t>9B</t>
  </si>
  <si>
    <t>GESTIÓN ADMINISTRATIVA</t>
  </si>
  <si>
    <t>CONTABILIDAD ADMINISTRATIVA</t>
  </si>
  <si>
    <t>CÁLCULO PARA LA GESTIÓN EMPRESARIAL</t>
  </si>
  <si>
    <t>MACRO Y MICRO ECONOMÍA</t>
  </si>
  <si>
    <t xml:space="preserve">ANÁLISIS DE COSTOS </t>
  </si>
  <si>
    <t>DISEÑO  Y COMPOSICIÓN GRÁFICA</t>
  </si>
  <si>
    <t>ESTADÍSTICA</t>
  </si>
  <si>
    <t>REDACCIÓN PUBLICITARIA</t>
  </si>
  <si>
    <t>MATEMÁTICAS FINANCIERA</t>
  </si>
  <si>
    <t>TECNOLOGÍA Y TENDENCIA DE LA CULTURA DIGITAL</t>
  </si>
  <si>
    <t>CÁTEDRA ALFARO</t>
  </si>
  <si>
    <t>BUSINESS ENGLISH</t>
  </si>
  <si>
    <t>MERCHANDISING AND WINDOW DRESSING</t>
  </si>
  <si>
    <t xml:space="preserve">GESTIÓN FINANCIERA </t>
  </si>
  <si>
    <t xml:space="preserve">INVESTIGACIÓN DE MERCADOS </t>
  </si>
  <si>
    <t>CONTEXTO SOCIO ECONÓMICO, CULTURAL E INTERCULTURALIDAD</t>
  </si>
  <si>
    <t>Carrera</t>
  </si>
  <si>
    <t>Asignatura</t>
  </si>
  <si>
    <t>Nivel</t>
  </si>
  <si>
    <t>Numero de horas clases semanales</t>
  </si>
  <si>
    <t xml:space="preserve">Proyección de estudiantes a matricularse </t>
  </si>
  <si>
    <t>Numeros de paralelos a aperturarse</t>
  </si>
  <si>
    <t>Paralelos por nivel</t>
  </si>
  <si>
    <t>Total Horas</t>
  </si>
  <si>
    <t>MATEMÁTICA APLICADA  A LOS NEGOCIOS</t>
  </si>
  <si>
    <t>TECNOLOGÍA Y TENDENCIAS DE LA CULTURA DIGITAL</t>
  </si>
  <si>
    <t>CONTEXTO SOCIO ECONÓMICO CULTURAL E INTERCULTURALIDAD</t>
  </si>
  <si>
    <t>MICRO Y MACROECONOMÍA</t>
  </si>
  <si>
    <t>ANÁLISIS DE COSTOS</t>
  </si>
  <si>
    <t>DISEÑO Y COMPOSICIÓN GRÁFICA</t>
  </si>
  <si>
    <t>MATEMÁTICA FINANCIERA</t>
  </si>
  <si>
    <t>INVESTIGACIÓN DE MERCADOS</t>
  </si>
  <si>
    <t xml:space="preserve">TÉCNICAS DE VENTAS </t>
  </si>
  <si>
    <t>MERCADOTECNIA (2017)</t>
  </si>
  <si>
    <t xml:space="preserve">INTERNATIONAL MARKETING </t>
  </si>
  <si>
    <t>SIMULACIÓN DE NEGOCIOS</t>
  </si>
  <si>
    <t xml:space="preserve">Numero de estudiantes en proceso de titulacion </t>
  </si>
  <si>
    <t xml:space="preserve">Numero de estudiantes en vinculación </t>
  </si>
  <si>
    <t>Numero de estudiantes en practicas pre-profesionales</t>
  </si>
  <si>
    <t>ING. IRASEMA DELGADO CHÁVEZ MG.</t>
  </si>
  <si>
    <t>DECANA</t>
  </si>
  <si>
    <t>DIRECTORA CARRERA</t>
  </si>
  <si>
    <t>No.</t>
  </si>
  <si>
    <t>MATRIZ-F4</t>
  </si>
  <si>
    <t>PLANIFICACIÓN ACADÉMICA</t>
  </si>
  <si>
    <t>Nº</t>
  </si>
  <si>
    <t>Cédula</t>
  </si>
  <si>
    <t>Apellidos y Nombres</t>
  </si>
  <si>
    <t>Sexo</t>
  </si>
  <si>
    <t>Unidad Orgánica</t>
  </si>
  <si>
    <t>Titular</t>
  </si>
  <si>
    <t>Categoría</t>
  </si>
  <si>
    <t>Título de tercer nivel</t>
  </si>
  <si>
    <t>Título de cuarto nivel</t>
  </si>
  <si>
    <t>Carrera o Tipo de Actividad</t>
  </si>
  <si>
    <t>Asignatura o Actividad</t>
  </si>
  <si>
    <t>Grado de afinidad</t>
  </si>
  <si>
    <t>Horas</t>
  </si>
  <si>
    <t>Paralelos</t>
  </si>
  <si>
    <t>Carga Horaria</t>
  </si>
  <si>
    <t>Masculino</t>
  </si>
  <si>
    <t>CIENCIAS ADMINISTRATIVAS, CONTABLES Y COMERCIO</t>
  </si>
  <si>
    <t>MERCADOTECNIA 2017</t>
  </si>
  <si>
    <t>02 - Título de maestría/especialidad médica afín al área de conocimiento</t>
  </si>
  <si>
    <t>1. Docencia - Clases</t>
  </si>
  <si>
    <t>AD6 Orientación a través de Tutorías</t>
  </si>
  <si>
    <t>AD5 Elaboración y calificación de evaluaciones</t>
  </si>
  <si>
    <t>AD4 Preparación de Clases</t>
  </si>
  <si>
    <t>AD8 Participación en colectivos académicos sobre docencia</t>
  </si>
  <si>
    <t>Femenino</t>
  </si>
  <si>
    <t>PROFESOR PRINCIPAL TIEMPO COMPLETO</t>
  </si>
  <si>
    <t>MAGISTER EN DIRECCION ESTRATEGICA DE MARKETING Y VENTAS .</t>
  </si>
  <si>
    <t>3. Docencia - Prácticas</t>
  </si>
  <si>
    <t>AVS1 Dirección, tutorias, seguimiento y evaluación de prácticas y pasantías preprofesionales</t>
  </si>
  <si>
    <t xml:space="preserve">ARIAS ARIAS ANA ELENA </t>
  </si>
  <si>
    <t>PROFESOR AGREGADO 1 TIEMPO COMPLETO</t>
  </si>
  <si>
    <t>LICENCIADO EN COMUNICACION ESPECIALIDAD RELACIONES PUBLICAS.</t>
  </si>
  <si>
    <t>MAGISTER EN MARKETING.</t>
  </si>
  <si>
    <t>LICENCIADA EN SECRETARIADO EJECUTIVO.</t>
  </si>
  <si>
    <t>ESPECIALISTA EN GERENCIA ESTRATEGICA DE LA COMUNICACION ORGANIZACIONAL.</t>
  </si>
  <si>
    <t>8. Vinculación con la Sociedad</t>
  </si>
  <si>
    <t>AVS2 Participación en proyectos sociales de vinculación con la sociedad</t>
  </si>
  <si>
    <t xml:space="preserve">BADUY MOLINA AARON LEONEL </t>
  </si>
  <si>
    <t>PROFESOR AUXILIAR TIEMPO COMPLETO</t>
  </si>
  <si>
    <t>INGENIERO EN MARKETING.</t>
  </si>
  <si>
    <t>DIPLOMA SUPERIOR EN EDUCACION UNIVERSITARIA POR COMPETENCIAS.</t>
  </si>
  <si>
    <t xml:space="preserve">CARREÑO VILLAVICENCIO DIANEXY VIVIANA </t>
  </si>
  <si>
    <t>DIRECTOR DE EDUCACION VIRTUAL</t>
  </si>
  <si>
    <t>DOCTORA EN CIENCIAS ADMINISTRATIVAS.</t>
  </si>
  <si>
    <t>01 - Título de doctorado afín al área de conocimiento</t>
  </si>
  <si>
    <t>INGENIERA EN MARKETING.</t>
  </si>
  <si>
    <t>MAGISTER EN DIRECCION ESTRATEGICA DE MARKETING Y VENTAS.</t>
  </si>
  <si>
    <t>9. Gestión Educativa</t>
  </si>
  <si>
    <t>6. Investigación</t>
  </si>
  <si>
    <t>AI1 Diseño y dirección de proyectos de investigación</t>
  </si>
  <si>
    <t>0910619543</t>
  </si>
  <si>
    <t>INGENIERO EN CIENCIAS EMPRESARIALES CON ESPECIALIZACION EN GESTION EMPRESARIAL.</t>
  </si>
  <si>
    <t>MASTER UNIVERSITARIO EN INFORMACION DIGITAL, ESPECIALIDAD EN BUSCADORES: MARKETING ONLINE (SEM) Y POSICIONAMIENTO WEB (SEO).</t>
  </si>
  <si>
    <t>TECNICO SUPERIOR ESPECIALIZACION GESTION EMPRESARIAL.</t>
  </si>
  <si>
    <t>AI2 Ejecución de proyectos de investigación, Básica, Aplicada a la tecnología</t>
  </si>
  <si>
    <t xml:space="preserve">JACOME SANTOS XAVIER IVAN </t>
  </si>
  <si>
    <t>LICENCIADO EN MERCADOTECNIA.</t>
  </si>
  <si>
    <t xml:space="preserve">LOOR CHAVEZ TEMISTOCLES DEODATO </t>
  </si>
  <si>
    <t>INGENIERO COMERCIAL.</t>
  </si>
  <si>
    <t>DOCTOR EN CIENCIAS AMINISTRATIVAS.</t>
  </si>
  <si>
    <t xml:space="preserve">LOOR MOREIRA ALEXANDRA JACQUELINE </t>
  </si>
  <si>
    <t>GPA14 Miembro Docente de Comisión Académica</t>
  </si>
  <si>
    <t xml:space="preserve">LOPEZ LEONES CRISTHIAN JOSE </t>
  </si>
  <si>
    <t>PROFESOR AUXILIAR 1 TIEMPO COMPLETO</t>
  </si>
  <si>
    <t>INGENIERO EN ADMINISTRACION DE EMPRESAS Y MARKETING.</t>
  </si>
  <si>
    <t>MAGÍSTER EN ADMINISTRACIÓN PÚBLICA MENCIÓN DESARROLLO INSTITUCIONAL.</t>
  </si>
  <si>
    <t>0602990723</t>
  </si>
  <si>
    <t xml:space="preserve">MEJIA VASQUEZ PERICLES RAMON </t>
  </si>
  <si>
    <t>LICENCIADO EN PUBLICIDAD.</t>
  </si>
  <si>
    <t>MAGISTER EN ADMINISTRACION DE EMPRESAS, MENCION MARKETING.</t>
  </si>
  <si>
    <t xml:space="preserve">MERO CHAVEZ ULISES FEDERICO </t>
  </si>
  <si>
    <t>PROFESOR OCASIONAL 1 TIEMPO COMPLETO</t>
  </si>
  <si>
    <t>MASTER UNIVERSITARIO EN DIRECCIÓN Y GESTIÓN DE RECURSOS HUMANOS.</t>
  </si>
  <si>
    <t>GPA16 Miembro Docente Comisión de Aseguramiento de la Calidad</t>
  </si>
  <si>
    <t xml:space="preserve">MOLINA CEDEÑO JIMMY WILMER </t>
  </si>
  <si>
    <t>M</t>
  </si>
  <si>
    <t>ANALISTA DE SISTEMAS.</t>
  </si>
  <si>
    <t>MAGISTER EN FINANZAS Y COMERCIO INTERNACIONAL.</t>
  </si>
  <si>
    <t xml:space="preserve">MOLINA QUIROZ CLAUDIA ANALIA </t>
  </si>
  <si>
    <t>ECONOMISTA.</t>
  </si>
  <si>
    <t>DOCTORA EN CIENCIAS ECONOMICAS.</t>
  </si>
  <si>
    <t>IC Editor de revista científica</t>
  </si>
  <si>
    <t>MORAN QUIÑONEZ CARLOS JULIO</t>
  </si>
  <si>
    <t>MAGISTER EN GERENCIA TURISTICA Y HOTELERA.</t>
  </si>
  <si>
    <t>INGENIERA COMERCIAL.</t>
  </si>
  <si>
    <t>PINARGOTE MONTENEGRO KAREN GISELA</t>
  </si>
  <si>
    <t>SI</t>
  </si>
  <si>
    <t>DIRECTOR DE CARRERA</t>
  </si>
  <si>
    <t>MAGISTER EN ADMINISTRACION DE EMPRESAS (MBA) PROGRAMA INTEGRAL DE HABILIDADES MULTIPLES.</t>
  </si>
  <si>
    <t>GESTIÓN FINANCIERA (4A-4B)</t>
  </si>
  <si>
    <t>PONCE ANDRADE JOHNNY EDISON</t>
  </si>
  <si>
    <t>DOCTOR EN CIENCIAS ADMINISTRATIVAS (PHD).</t>
  </si>
  <si>
    <t>MAGISTER EN DIRECCION ESTRATEGICA DE MARKETENG Y VENTAS.</t>
  </si>
  <si>
    <t>INGENIERA EN COMERCIO EXTERIOR.</t>
  </si>
  <si>
    <t>MAGISTER EN ADMINISTRACION DE EMPRESAS CON MENCION EN MARKETING.</t>
  </si>
  <si>
    <t>INGENIERO COMERCIAL .</t>
  </si>
  <si>
    <t>MAGISTER EN DIRECCION DE EMPRESAS MENCIÓN EN GESTION DE EMPRESAS DE SERVICIOS .</t>
  </si>
  <si>
    <t>VILLAMARIN VILLOTA WALTER HUMBERTO</t>
  </si>
  <si>
    <t>ECONOMISTA AGRICOLA .</t>
  </si>
  <si>
    <t>MAGISTER EN FINANZAS Y COMERCIO INTERNACIONAL .</t>
  </si>
  <si>
    <t>INGENIERA EN GESTIÓN EMPRESARIAL INTERNACIONAL .</t>
  </si>
  <si>
    <t>VILLAFUERTE MUÑOZ WAGNER OSWALDO</t>
  </si>
  <si>
    <t>IC Miembro Académico de Comité o Consejo Académico de Revista Científica</t>
  </si>
  <si>
    <t>FACULTAD DE CIENCIAS ADMINISTRATIVAS, CONTABLES Y COMERCIO - CARRERA MERCADOTECNIA</t>
  </si>
  <si>
    <t>MERCADOTECNIA O MARKETING (2024NS)</t>
  </si>
  <si>
    <t>INTELIGENCIA DE MERCADOS</t>
  </si>
  <si>
    <t>DESIGN OF PRODUCTS AND PACKAGING</t>
  </si>
  <si>
    <t>MARKETING ESTRATÉGICO Y OPERATIVO</t>
  </si>
  <si>
    <t>SUPPLY CHAIN MANAGEMENT</t>
  </si>
  <si>
    <t>PSYCHOLOGY AND CONSUMER BEHAVIOR</t>
  </si>
  <si>
    <t xml:space="preserve">GERENCIA DE LA MERCADOTECNIA </t>
  </si>
  <si>
    <t>ING. DIANEXY CARREÑO PhD.</t>
  </si>
  <si>
    <t>SUBDECANA</t>
  </si>
  <si>
    <t>ING. KAREN PINARGOTE MONTENEGRO PhD.</t>
  </si>
  <si>
    <t>CARRERA MERCADOTECNIA</t>
  </si>
  <si>
    <t>Horas Docentes</t>
  </si>
  <si>
    <t>TIPO</t>
  </si>
  <si>
    <t>TIEMPO DEDICACIÓN</t>
  </si>
  <si>
    <t>CARREÑO VILLAVICENCIO DIANEXY VIVIANA</t>
  </si>
  <si>
    <t>LOOR CHAVEZ TEMISTOCLES DEODATO</t>
  </si>
  <si>
    <t>LOOR MOREIRA ALEXANDRA JACQUELINE</t>
  </si>
  <si>
    <t>MEJIA VÁSQUEZ PERICLES RAMÓN</t>
  </si>
  <si>
    <t>MORÁN QUIÑONEZ CARLOS JULIO</t>
  </si>
  <si>
    <t xml:space="preserve">INTELIGENCIA DE MERCADOS </t>
  </si>
  <si>
    <t>SUPPLY CHAIN ​​MANAGEMENT</t>
  </si>
  <si>
    <t>ESTADISTICA</t>
  </si>
  <si>
    <t>CARRERA DE MERCADOTECNIA</t>
  </si>
  <si>
    <t>DESARROLLO DEL TRABAJO DE TITULACIÓN</t>
  </si>
  <si>
    <t>ZAMBRANO PEÑARRIETA JOSSELYN JAMILETH</t>
  </si>
  <si>
    <t>HORMAZA VILLAFUERTE SANDY LISBETH</t>
  </si>
  <si>
    <t>TÉCNICAS DE VENTAS (4B)</t>
  </si>
  <si>
    <t>PLAN DE MERCADOTECNIA (8A-8B)</t>
  </si>
  <si>
    <t>SIMULACIÓN DE NEGOCIOS (9A-9B)</t>
  </si>
  <si>
    <t>DESIGN OF PRODUCTS AND PACKAGING (5A-5B)</t>
  </si>
  <si>
    <t>INTELIGENCIA DE MERCADOS (5A-5B)</t>
  </si>
  <si>
    <t>GESTIÓN ADMINISTRATIVA (1A)</t>
  </si>
  <si>
    <t>PSYCHOLOGY AND CONSUMER BEHAVIOR (5A-5B)</t>
  </si>
  <si>
    <t>MARKETING ESTRATÉGICO Y OPERATIVO (5A-5B)</t>
  </si>
  <si>
    <t>8b</t>
  </si>
  <si>
    <t>NEUROMARKETING</t>
  </si>
  <si>
    <t xml:space="preserve">TOURISM MARKETING AND SERVICES </t>
  </si>
  <si>
    <t>LOGÍSTICA DE PUERTOS</t>
  </si>
  <si>
    <t>ÉTICA Y RESPONSABILIDAD SOCIAL EMPRESARIAL</t>
  </si>
  <si>
    <t>CUARTO NIVEL 1</t>
  </si>
  <si>
    <t>CUARTO NIVEL 2</t>
  </si>
  <si>
    <t>MAGISTER EN DIRECCIÓN ESTRATÉGICA DE MARKETING Y VENTAS.</t>
  </si>
  <si>
    <t>MAGISTER EN ADMINISTRACIÓN PÚBLICA MENCIÓN DESARROLLO INSTITUCIONAL.</t>
  </si>
  <si>
    <t>MAGISTER EN GERENCIA TURÍSTICA Y HOTELERA.</t>
  </si>
  <si>
    <t>HORAS CLASES</t>
  </si>
  <si>
    <t>MAGISTER EN DIRECCION DE EMPRESAS MENCIÓN EN GESTION DE EMPRESAS DE SERVICIOS.</t>
  </si>
  <si>
    <t>MAGISTER EN MERCADOTECNIA MENCIÓN EN ESTRATEGIA DIGITAL.</t>
  </si>
  <si>
    <t>MIEMBRO REVISTA CIENTÍFICA</t>
  </si>
  <si>
    <t>COMISIÓN ACADÉMICA</t>
  </si>
  <si>
    <t>TÉCNICAS DE VENTAS</t>
  </si>
  <si>
    <t>MALLA 2024NS</t>
  </si>
  <si>
    <t>MALLA 2017</t>
  </si>
  <si>
    <t>GERENCIA DE MERCADOTECNIA (9A-9B)</t>
  </si>
  <si>
    <t xml:space="preserve">GRANDA GARCIA MARCO IVÁN </t>
  </si>
  <si>
    <t>TOURISM MARKETING AND SERVICES (6A-6B)</t>
  </si>
  <si>
    <t>BRAND MANAGEMENT (6A-6B)</t>
  </si>
  <si>
    <t>ÉTICA Y RESPONSABILIDAD SOCIAL EMPRESARIAL (6A-6B)</t>
  </si>
  <si>
    <t>TRADE MARKETING (9A-9B)</t>
  </si>
  <si>
    <t>DESARROLLO DEL TRABAJO DE TITULACIÓN (9A-9B)</t>
  </si>
  <si>
    <t>107- Auditoria</t>
  </si>
  <si>
    <t>1a</t>
  </si>
  <si>
    <t>7b</t>
  </si>
  <si>
    <t>301- Administración</t>
  </si>
  <si>
    <t>2a</t>
  </si>
  <si>
    <t>2b</t>
  </si>
  <si>
    <t>401- Administración</t>
  </si>
  <si>
    <t>3a</t>
  </si>
  <si>
    <t>3b</t>
  </si>
  <si>
    <t>210-Auditoria</t>
  </si>
  <si>
    <t>4a</t>
  </si>
  <si>
    <t>4b</t>
  </si>
  <si>
    <t>7a</t>
  </si>
  <si>
    <t>302-Administración</t>
  </si>
  <si>
    <t>5a</t>
  </si>
  <si>
    <t>5b</t>
  </si>
  <si>
    <t>204-Auditoria</t>
  </si>
  <si>
    <t>6a</t>
  </si>
  <si>
    <t>6b</t>
  </si>
  <si>
    <t>Juan Montalvo 1</t>
  </si>
  <si>
    <t>9b</t>
  </si>
  <si>
    <t>Juan Montalvo 2</t>
  </si>
  <si>
    <t>8a</t>
  </si>
  <si>
    <t>Juan Montalvo 3</t>
  </si>
  <si>
    <t>Juan Montalvo 4</t>
  </si>
  <si>
    <t>9a</t>
  </si>
  <si>
    <t>INTERNATIONAL MARKETING</t>
  </si>
  <si>
    <t>MATEMÁTICA APLICADA A LOS NEGOCIOS</t>
  </si>
  <si>
    <t>UNIDAD ACADÉMICA:      CIENCIAS ADMINISTRATIVAS, CONTABLES Y COMERCIO - CARRERA MERCADOTECNIA</t>
  </si>
  <si>
    <t>FCACC</t>
  </si>
  <si>
    <t>Carrera Mercadotecnia</t>
  </si>
  <si>
    <t>AULAS CLASES</t>
  </si>
  <si>
    <t>DIGITAL MARKETING</t>
  </si>
  <si>
    <t>COMERCIO EXTERIOR</t>
  </si>
  <si>
    <t>DERECHO EMPRESARIAL</t>
  </si>
  <si>
    <t>TOTAL HORAS CARRERA MARKETING</t>
  </si>
  <si>
    <t>EDITORA DE REVISTA - MIEMBRO OCS</t>
  </si>
  <si>
    <t>SÁNCHEZ ARTEAGA ALEX ALFONSO</t>
  </si>
  <si>
    <t>MAGISTER EN DERECHO DE EMPRESA</t>
  </si>
  <si>
    <t>FUNDAMENTOS DE LA MERCADOTECNIA (1A)</t>
  </si>
  <si>
    <t>AD1 Dirección y tutorías de titulación (FASE DESARROLLO TRABAJO TITULACIÓN*NO VIGENTE)</t>
  </si>
  <si>
    <t>DIGITAL MARKETING (7A-7B)</t>
  </si>
  <si>
    <t>UIC (FASE PLANIFICACIÓN TRABAJO TITULACIÓN*VIGENTE)</t>
  </si>
  <si>
    <t>REDACCIÓN PUBLICITARIA (3A-3B)</t>
  </si>
  <si>
    <t>GESTIÓN DEL TALENTO HUMANO (3A-3B)</t>
  </si>
  <si>
    <t>LOGÍSTICA DE PUERTOS (6A-6B)</t>
  </si>
  <si>
    <t>DERECHO EMPRESARIAL (7A-7B)</t>
  </si>
  <si>
    <t>TRADE MARKETING (7A-7B)</t>
  </si>
  <si>
    <t>COMERCIO EXTERIOR (7A-7B)</t>
  </si>
  <si>
    <t>POLÍTICA Y FIJACIÓN DE PRECIOS (3A-3B)</t>
  </si>
  <si>
    <t>GPA30 Miembro Docente del OCS</t>
  </si>
  <si>
    <t>PERIODO ACADÉMICO 2025 (2)</t>
  </si>
  <si>
    <t>4c</t>
  </si>
  <si>
    <t>INGLÉS</t>
  </si>
  <si>
    <t>PROYECCIÓN DEMANDA ACADÉMICA PERIODO 2026-1</t>
  </si>
  <si>
    <t>EVALUACIÓN DE PROYECTOS</t>
  </si>
  <si>
    <t>E-COMMERCE</t>
  </si>
  <si>
    <t>LÍDER PROYECTO VINCULACIÓN</t>
  </si>
  <si>
    <t xml:space="preserve">DECANA </t>
  </si>
  <si>
    <t>COORDINADOR SEGURIDAD INSTITUCIONAL</t>
  </si>
  <si>
    <t>AULA</t>
  </si>
  <si>
    <t>LUNES Y MIERCOLES DE 16H00 A 20H00 / MARTES, JUEVES Y VIERNES DE 15H00 A 20H00</t>
  </si>
  <si>
    <t>LUNES Y MIERCOLES DE 15H00 A 20H00 / MARTES Y JUEVES DE 16H00 A 20H00</t>
  </si>
  <si>
    <t>MARTES, JUEVES Y VIERNES DE 15H00 A 20H00 / LUNES Y MIERCOLES DE 16H00 A 20H00</t>
  </si>
  <si>
    <t>LUNES, MARTES Y JUEVES DE 15H00 A 20H00 /MIERCOLES Y VIERNES DE 16H00 A 20H00</t>
  </si>
  <si>
    <t>RODRIGUEZ SÁNCHEZ JOHNNY GUSTAVO</t>
  </si>
  <si>
    <t>VIDAL FERNANDEZ PABLO</t>
  </si>
  <si>
    <t>INGLES</t>
  </si>
  <si>
    <t>GUEVARA CAÑIZARES MARISSA ALEJANDRA</t>
  </si>
  <si>
    <t>HEREDIA COPPIANO GENESIS ESTEFANÍA</t>
  </si>
  <si>
    <t>CRUZ MERA RAFER HENRY</t>
  </si>
  <si>
    <t>NOTAS</t>
  </si>
  <si>
    <t>NIVEL M 
(08H00-12H00)</t>
  </si>
  <si>
    <t>NIVEL T 
(13H00 - 17H00)</t>
  </si>
  <si>
    <t>NIVEL N 
(17H00 - 21H00)</t>
  </si>
  <si>
    <r>
      <t xml:space="preserve">PERÍODO ACADÉMICO:    </t>
    </r>
    <r>
      <rPr>
        <b/>
        <sz val="15"/>
        <color rgb="FF0070C0"/>
        <rFont val="Calibri"/>
        <family val="2"/>
        <scheme val="minor"/>
      </rPr>
      <t>2026 Periodo 1</t>
    </r>
  </si>
  <si>
    <t>NEUROMARKETING (6A-6B)</t>
  </si>
  <si>
    <t>TÉCNICAS DE VENTAS (4A)</t>
  </si>
  <si>
    <t>COMUNICACIÓN INTEGRAL DE LA MERCADOTECNIA (2A)</t>
  </si>
  <si>
    <t>METODOLOGÍA DE LA INVESTIGACIÓN (2A)</t>
  </si>
  <si>
    <t>INVESTIGACIÓN DE MERCADOS (4A-4B)</t>
  </si>
  <si>
    <t>E-COMMERCE (8A-8B)</t>
  </si>
  <si>
    <t>MERCADOTECNIA</t>
  </si>
  <si>
    <t xml:space="preserve">TALENTO HUMANO </t>
  </si>
  <si>
    <t>MERCHANDISING AND WINDOW DRESSING (4A-4B)</t>
  </si>
  <si>
    <t>EVALUACIÓN DE PROYECTOS (8A-8B)</t>
  </si>
  <si>
    <t>CÁLCULO PARA LA GESTIÓN EMPRESARIAL (2A)</t>
  </si>
  <si>
    <t>MACRO Y MICRO ECONOMÍA (2A)</t>
  </si>
  <si>
    <t>ANÁLISIS DE COSTOS (2A)</t>
  </si>
  <si>
    <t>Hasta 16 máximo</t>
  </si>
  <si>
    <t>GPA8 Miembro de Despacho Rectorado (Simulación de Negocios)</t>
  </si>
  <si>
    <t>UIC (FASE DESARROLLO TRABAJO TITULACIÓN*VIGENTE)</t>
  </si>
  <si>
    <t xml:space="preserve">PEÑA VÉLEZ ISAURA VANESSA </t>
  </si>
  <si>
    <t>CONTABILIDAD ADMINISTRATIVAS (1A)</t>
  </si>
  <si>
    <t>ADMINISTRACIÓN</t>
  </si>
  <si>
    <t>AD11 Tutorías de inclusión</t>
  </si>
  <si>
    <t>AVS1 Participación como líder en proyectos sociales de vinculación con la sociedad</t>
  </si>
  <si>
    <t>INTERNATIONAL MARKETING (9A-9B)</t>
  </si>
  <si>
    <t>VERA DELGADO BRYAN ADRIÁN</t>
  </si>
  <si>
    <t>Práctica 2 Paralelo A</t>
  </si>
  <si>
    <t>Práctica 1
Paralelo A</t>
  </si>
  <si>
    <t>Práctica 1
Paralelo B</t>
  </si>
  <si>
    <t>Práctica 1
Paralelo C</t>
  </si>
  <si>
    <t>Práctica 2 Paralelo B</t>
  </si>
  <si>
    <t>Práctica 2 Paralelo C</t>
  </si>
  <si>
    <t>alumnos</t>
  </si>
  <si>
    <t>Se asigna un docente por curso</t>
  </si>
  <si>
    <t>MANTA, FEBRERO 2025</t>
  </si>
  <si>
    <t xml:space="preserve">NOTAS: </t>
  </si>
  <si>
    <t>MARKETING TIENE 9 ESTUDIANTES CON CAPACIDADES ESPECIALES + 4 ESTUDIANTES QUE LLEGAN AL PRIMER NIVEL. TOTAL 12 ESTUDIANTES.</t>
  </si>
  <si>
    <t xml:space="preserve">POR CADA 4 HORAS DEBEN IR AL MENOS 5 ESTUDIANTES. IDEAL UN PROFESOR POR ALUMNO. </t>
  </si>
  <si>
    <t xml:space="preserve">* FALTA AGREGAR HORAS DE INCLUSIÓN. </t>
  </si>
  <si>
    <t xml:space="preserve">* HORARIO DE ING. CARLOS MORÁN DEBE SER IGUAL AL DE ING. TANIA CAÑARTE; ELLOS VIVEN EN JIPIJAPA. </t>
  </si>
  <si>
    <t>* ING. KAREN PINARGOTE, TIENE PROYECTADO REALIZAR UN PROYECTO DE INVESTIGACIÓN (AGREGAR)</t>
  </si>
  <si>
    <t>* SOLIS BRAVO HUGO, SE REPITE EN UN MISMO PARALELO 1A. EN PRIMERO</t>
  </si>
  <si>
    <t>* LA MALLA DEBE ESTAR REGISTRADA EN EL SISTEMA</t>
  </si>
  <si>
    <t>SEGURIDAD Y SALUD OCUPACIONAL (4A)</t>
  </si>
  <si>
    <t>BIENESTAR CLIMA LABORAL (5A)</t>
  </si>
  <si>
    <t>ADMINISTRACIÓN FINANIERA ESTRATÉGICA (4A)</t>
  </si>
  <si>
    <t>FINANZAS CORPORATIVAS (6C)</t>
  </si>
  <si>
    <t>GPA74 COORDINADOR DE SEGURIDAD INSTITUCIONAL</t>
  </si>
  <si>
    <t>SUPPLY CHAIN ​​MANAGEMENT (5A-5B)</t>
  </si>
  <si>
    <t>CÁTEDRA INTEGRADORA: PLAN DE NEGOCIOS (9A)</t>
  </si>
  <si>
    <t>AD1 DIRECCIÓN Y TUTORÍAS DE TITULACIÓN (FASE DESARROLLO TRABAJO TITULACIÓN*NO VIGENTE)</t>
  </si>
  <si>
    <t>HORARIOS HASTA MÁXIMO LAS 19H00</t>
  </si>
  <si>
    <t>DE 14H00 A 15H00 NO CONSIDERAR CLASES PARA PODER RETIRAR A HIJO DEL COLEGIO</t>
  </si>
  <si>
    <t>NO COLOCAR CLASES LOS VIERNES YA QUE VIAJA A EXTENSIONES</t>
  </si>
  <si>
    <t>INGENIERO COMERCIAL</t>
  </si>
  <si>
    <t>MAGISTER EN GESTIÓN EMPRESARIAL</t>
  </si>
  <si>
    <t>DIPLOMA SUPERIOR EN GESTION DIRECTIVA</t>
  </si>
  <si>
    <t>BUSINESS ENGLISH (4A)</t>
  </si>
  <si>
    <t>BUSINESS ENGLISH (4B)</t>
  </si>
  <si>
    <t>INTERNATIONAL MARKETING (8A-8B)</t>
  </si>
  <si>
    <t>TECNOLOGÍA Y TENDENCIA DE LA CULTURA DIGITAL (1A)</t>
  </si>
  <si>
    <t>MATEMÁTICAS FINANCIERA (3A-3B)</t>
  </si>
  <si>
    <t>CÁTEDRA INTEGRADORA: PLAN DE NEGOCIOS (9B)</t>
  </si>
  <si>
    <t>COVEÑA MENÉNDEZ JONATHAN KLEBER</t>
  </si>
  <si>
    <t>BUSINESS ENGLISH (8A)</t>
  </si>
  <si>
    <t>GESTIÓN DE LA INFORMACIÓN GERENCIAL 2024NS</t>
  </si>
  <si>
    <t>MATEMÁTICA APLICADA A LOS NEGOCIOS (1A)</t>
  </si>
  <si>
    <t>AUDITORÍA Y CONTROL DE GESTIÓN</t>
  </si>
  <si>
    <t xml:space="preserve">LEGISLACIÓN LABORAL </t>
  </si>
  <si>
    <t xml:space="preserve">MARCA, PATENTE, </t>
  </si>
  <si>
    <t>GPA8 MIEMBRO DE DESPACHO RECTORADO</t>
  </si>
  <si>
    <t>En contabilidad</t>
  </si>
  <si>
    <t>HORARIOS EN LA MAÑANA Y TARDE</t>
  </si>
  <si>
    <t>*</t>
  </si>
  <si>
    <t>AD5 Elaboración y calificación de evaluaciones (Mercadotecnia)</t>
  </si>
  <si>
    <t>AD5 Elaboración y calificación de evaluaciones (Educación)</t>
  </si>
  <si>
    <t>AD6 Orientación a través de Tutorías (Marketing)</t>
  </si>
  <si>
    <t>AD6 Orientación a través de Tutorías (Educación)</t>
  </si>
  <si>
    <t>AD4 Preparación de Clases (Educación)</t>
  </si>
  <si>
    <t>AD4 Preparación de Clases (Marketing)</t>
  </si>
  <si>
    <t>MERCADOTECNIA O MARKETING -NS- 2026</t>
  </si>
  <si>
    <t>CONTABILIDAD Y AUDITORÍA - 2024 NS</t>
  </si>
  <si>
    <t>PRÁCTICAS PREPROFESIONALES III (Prácticas)</t>
  </si>
  <si>
    <t>PRÁCTICAS PREPROFESIONALES I (Prácticas)</t>
  </si>
  <si>
    <t>PRÁCTICAS PREPROFESIONALES II (Prácticas)</t>
  </si>
  <si>
    <t>EDUCACIÓN Y DIVERSIDAD</t>
  </si>
  <si>
    <t>EDUCACIÓN INICIAL 2024 ACNS</t>
  </si>
  <si>
    <t>Solo hora clases?</t>
  </si>
  <si>
    <t>También gestión</t>
  </si>
  <si>
    <t>Se asignó 3 horas en otras unidades académicas</t>
  </si>
  <si>
    <t>COMERCIO EXTERIOR - 2026</t>
  </si>
  <si>
    <t>CONTABILIDAD DE COSTOS</t>
  </si>
  <si>
    <t>AUDITORIA Y CONTROL DE GESTIÓN - 2024 NS</t>
  </si>
  <si>
    <t>AUDITORIA INTEGRAL</t>
  </si>
  <si>
    <t>FINANZAS 2024 - NS</t>
  </si>
  <si>
    <t>TRABAJO DE INTEGRACIÓN CURRICULAR: FASE DE DISEÑO (Tutoría CI)</t>
  </si>
  <si>
    <t>CONTABILIDAD Y AUDITORÍA (ACTUALIZACIÓN 2022)</t>
  </si>
  <si>
    <t xml:space="preserve">Verificar esto con Juan Carlos </t>
  </si>
  <si>
    <t>AD4 Preparación de Clases (Auditoria)</t>
  </si>
  <si>
    <t>AD5 Elaboración y calificación de evaluaciones (Auditoria)</t>
  </si>
  <si>
    <t>AD6 Orientación a través de Tutorías (Auditoria)</t>
  </si>
  <si>
    <t>AD4 Preparación de Clases (Marketing y Comex)</t>
  </si>
  <si>
    <t>AD5 Elaboración y calificación de evaluaciones (Marketing y Comex)</t>
  </si>
  <si>
    <t>AD6 Orientación a través de Tutorías (Marketing y Comex)</t>
  </si>
  <si>
    <t>8. Vinculación con la Sociedad (ADMINISTRACIÓN DE EMPRESAS (créditos))</t>
  </si>
  <si>
    <t xml:space="preserve"> CRUZ MERA RAFER HENRY</t>
  </si>
  <si>
    <t>MARKETING 2017</t>
  </si>
  <si>
    <t>Se retiraron estas horas de acuerdo a oficio y se agregaron a vinculación,</t>
  </si>
  <si>
    <t>ID</t>
  </si>
  <si>
    <t>CONDICIÓN</t>
  </si>
  <si>
    <t>INFORMES ADJUNTOS</t>
  </si>
  <si>
    <t>FRANCO FRANCO YANDRI STEVEN</t>
  </si>
  <si>
    <t>MOREIRA TIZON DANIEL EMMANUEL</t>
  </si>
  <si>
    <t>FAUBLA CEVALLOS VIANCA INES</t>
  </si>
  <si>
    <t>ZAMBRANO BALCAZAR ANTONIO DAVID</t>
  </si>
  <si>
    <t>DISCAPACIDAD FÍSICA 30%</t>
  </si>
  <si>
    <t>DISCAPACIDAD FÍSICA LENGUAJE 56%</t>
  </si>
  <si>
    <t>LINFOMA - ENFERMEDAD CATASTRÓFICA</t>
  </si>
  <si>
    <t>S/C</t>
  </si>
  <si>
    <t>INFORME DE VICERECTORADO</t>
  </si>
  <si>
    <t xml:space="preserve">PAZMIÑO BRIONES EMILIA </t>
  </si>
  <si>
    <t>MERO VÉLEZ CHRISTY SOLANGE</t>
  </si>
  <si>
    <t>TRANSTORNO ESQUIZOAFECTIVO DEPRESIVO / TRANSTORNO DE ADAPTACIÓN</t>
  </si>
  <si>
    <t>ANSIEDAD NO ESPECIFICA</t>
  </si>
  <si>
    <t>INFORME PSICOLÓGICO</t>
  </si>
  <si>
    <t>CONSTANCIA DE ATENCIÓN MÉDICA</t>
  </si>
  <si>
    <t>GONZALES CASTILLO FIORELLA DANIELA</t>
  </si>
  <si>
    <t>TRANSTORNO LÍMITE DE LA PERSONALIDAD</t>
  </si>
  <si>
    <t>INFORME PISCOLÓGICO</t>
  </si>
  <si>
    <t>PINARGOTE ALCIVAR JUAN GABRIEL</t>
  </si>
  <si>
    <t>PROBLEMAS RELACIONADOS CON LA MUERTE DE UN FAMILIAR</t>
  </si>
  <si>
    <t>INFORME TÉCNICO DE PSICOLOGÍA</t>
  </si>
  <si>
    <t>CHÁVEZ MACÍAS MARÍA LOURDES</t>
  </si>
  <si>
    <t>PROBLEMAS EPILPETICOS</t>
  </si>
  <si>
    <t>INFORME SOCIOECONÓMICO</t>
  </si>
  <si>
    <t>2026-1</t>
  </si>
  <si>
    <t>PARALELO</t>
  </si>
  <si>
    <t>A</t>
  </si>
  <si>
    <t>B</t>
  </si>
  <si>
    <t>GRADUADO</t>
  </si>
  <si>
    <t>BARBERAN SORNOZA MARIASOL</t>
  </si>
  <si>
    <t>CEVALLOS VALENCIA JESUS DAVID</t>
  </si>
  <si>
    <t>FALCONES CEVALLOS MATTEO ALESSANDRO</t>
  </si>
  <si>
    <t>VERA CHALEN FARDY YANDEL</t>
  </si>
  <si>
    <t>INTELECTUAL 34%</t>
  </si>
  <si>
    <t>PSICOSOCIAL 70%</t>
  </si>
  <si>
    <t>FISICA 55%</t>
  </si>
  <si>
    <t>CASO</t>
  </si>
  <si>
    <t xml:space="preserve">Ojo pasar </t>
  </si>
  <si>
    <t>MERCADO DE SEGUROS</t>
  </si>
  <si>
    <t>GRADUADA</t>
  </si>
  <si>
    <t>CÉDULA DE 
IDENTIDAD</t>
  </si>
  <si>
    <t>CARRERA DE
 ORIGEN</t>
  </si>
  <si>
    <t>TERCER NIVEL</t>
  </si>
  <si>
    <t>ÁREA O CAMPO DE CONOCIMIENTO</t>
  </si>
  <si>
    <t>MARKETING</t>
  </si>
  <si>
    <t>GESTIÓN DE LA INFORMACIÓN GERENCIAL</t>
  </si>
  <si>
    <t>ADMINISTRACIÓN DE EMPRESAS</t>
  </si>
  <si>
    <t>CONTABILIDAD Y AUDITORÍA</t>
  </si>
  <si>
    <t>DOCENTES 2026-2</t>
  </si>
  <si>
    <t>TITULAR</t>
  </si>
  <si>
    <t>CONTRATO</t>
  </si>
  <si>
    <t>CIENCIAS SOCIALES, EDUCACION COMERCIAL Y DERECHO</t>
  </si>
  <si>
    <t>CIENCIAS SOCIALES, EDUCACION COMERCIAL Y DERECHO
CIENCIAS SOCIALES, EDUCACION COMERCIAL Y DERECHO</t>
  </si>
  <si>
    <t>LICENCIADA EN SECRETARIADO EJECUTIVO
LICENCIADO EN CIENCIAS DE LA COMUNICACION ESPECIALIDAD: RELACIONES PUBLICAS
TECNICO EN RELACIONES PUBLICAS</t>
  </si>
  <si>
    <t>CIENCIAS SOCIALES, EDUCACION COMERCIAL Y DERECHO
CIENCIAS SOCIALES, EDUCACION COMERCIAL Y DERECHO
CIENCIAS SOCIALES, EDUCACION COMERCIAL Y DERECHO</t>
  </si>
  <si>
    <t>MAGISTER EN MARKETING
ESPECIALISTA EN GERENCIA ESTRATEGICA DE LA COMUNICACION ORGANIZACIONAL
ESPECIALISTA EN DISEÑO CURRICULAR POR COMPETENCIAS</t>
  </si>
  <si>
    <t>CIENCIAS SOCIALES, EDUCACION COMERCIAL Y DERECHO
CIENCIAS SOCIALES, EDUCACION COMERCIAL Y DERECHO
NO DEFINIDA</t>
  </si>
  <si>
    <t>INGENIERO EN MARKETING</t>
  </si>
  <si>
    <t>INGENIERA EN MARKETING</t>
  </si>
  <si>
    <t>INGENIERA EN MARKETING
LICENCIADA EN SECRETARIADO EJECUTIVO
SECRETARIA EJECUTIVA</t>
  </si>
  <si>
    <t>NO DEFINIDA</t>
  </si>
  <si>
    <t>LICENCIADO EN CIENCIAS DE LA EDUCACION MENCION INGLES</t>
  </si>
  <si>
    <t>EDUCACION</t>
  </si>
  <si>
    <t>MAGISTER EN ENSEÑANZA DEL IDIOMA INGLES</t>
  </si>
  <si>
    <t>MAGISTER EN GERENCIA EDUCATIVA</t>
  </si>
  <si>
    <t>DOCTOR EN CIENCIAS ADMINISTRATIVAS</t>
  </si>
  <si>
    <t>ADMINISTRACION DE EMPRESAS Y DERECHO</t>
  </si>
  <si>
    <t>INGENIERO EN CIENCIAS EMPRESARIALES CON ESPECIALIZACION EN GESTION EMPRESARIAL
TECNICO SUPERIOR ESPECIALIZACION GESTION EMPRESARIAL</t>
  </si>
  <si>
    <t>MASTER UNIVERSITARIO EN INFORMACION DIGITAL, ESPECIALIDAD EN BUSCADORES: MARKETING ONLINE (SEM) Y POSICIONAMIENTO WEB (SEO).
DIPLOMA SUPERIOR EN EDUCACION UNIVERSITARIA POR COMPETENCIAS</t>
  </si>
  <si>
    <t>NO DEFINIDA
EDUCACION</t>
  </si>
  <si>
    <t>BACHELOR OF SCIENCE IN ENVIRONMENTAL SCIENCE</t>
  </si>
  <si>
    <t>MASTER OF SCIENCE IN POLLUTION AND ENVIRONMENTAL CONTROL</t>
  </si>
  <si>
    <t>ECONOMISTA MENCION EN GESTION PUBLICA</t>
  </si>
  <si>
    <t xml:space="preserve">	CIENCIAS SOCIALES, EDUCACION COMERCIAL Y DERECHO</t>
  </si>
  <si>
    <t>MASTER UNIVERSITARIO EN FINANZAS, BANCA Y SEGUROS</t>
  </si>
  <si>
    <t>MT</t>
  </si>
  <si>
    <t>GRADUADA EN TURISMO</t>
  </si>
  <si>
    <t>MAGISTER EN CIENCIAS SOCIALES CON MENCIÓN EN INVESTIGACION PARA EL DESARROLLO SOCIAL
MASTER UNIVERSITARIO EN MARKETING Y COMUNICACION .</t>
  </si>
  <si>
    <t>CIENCIAS SOCIALES, PERIODISMO, INFORMACION Y DERECHO
NO DEFINIDA</t>
  </si>
  <si>
    <t xml:space="preserve">INGENIERO EN MARKETING
LICENCIADO EN MERCADOTECNIA
</t>
  </si>
  <si>
    <t>HUMANIDADES Y ARTES
CIENCIAS SOCIALES, EDUCACION COMERCIAL Y DERECHO</t>
  </si>
  <si>
    <t>MAGISTER EN DIRECCIÓN UNIVERSITARIA.
DIPLOMA SUPERIOR EN EDUCACION UNIVERSITARIA POR COMPETENCIAS
DIPLOMADO SUPERIOR EN EVALUACION INSTITUCIONAL UNIVERSITARIA</t>
  </si>
  <si>
    <t>EDUCACIÓN
EDUCACIÓN
EDUCACIÓN</t>
  </si>
  <si>
    <t>LIDER DE PROYECTO DE INVESTIGACIÓN.</t>
  </si>
  <si>
    <t>INGENIERO EN ADMINISTRACION DE EMPRESAS Y MARKETING
SERVICIO NACIONAL DE CONTRATACION PUBLICA</t>
  </si>
  <si>
    <t>LICENCIADO EN PUBLICIDAD</t>
  </si>
  <si>
    <t>HUMANIDADES Y ARTES</t>
  </si>
  <si>
    <t>MAGISTER EN ADMINISTRACION DE EMPRESAS, MENCION MARKETING.
MASTER UNIVERSITARIO EN INVESTIGACION EN ADMINISTRACION Y ECONOMIA DE LA EMPRESA</t>
  </si>
  <si>
    <t>NO DEFINIDA
NO DEFINIDA</t>
  </si>
  <si>
    <t>ANALISTA DE SISTEMAS</t>
  </si>
  <si>
    <t>CIENCIAS</t>
  </si>
  <si>
    <t>ECONOMISTA</t>
  </si>
  <si>
    <t>INGENIERO EN SISTEMAS
ANALISTA DE SISTEMAS
TECNOLOGO EN COMPUTACION ADMINISTRATIVA</t>
  </si>
  <si>
    <t>CIENCIAS
CIENCIAS
CIENCIAS</t>
  </si>
  <si>
    <t>INGENIERA EN SISTEMAS
ANALISTA DE SISTEMAS</t>
  </si>
  <si>
    <t>CIENCIAS
CIENCIAS</t>
  </si>
  <si>
    <t>MAGISTER SCIENTIAE EN PEDAGOGÍA CRÍTICA.
ESPECIALISTA EN DISEÑO CURRICULAR POR COMPETENCIAS</t>
  </si>
  <si>
    <t>EDUCACION
NO DEFINIDA</t>
  </si>
  <si>
    <t>INGENIERA COMERCIAL</t>
  </si>
  <si>
    <t>MAGISTER EN ADMINISTRACION DE EMPRESAS (MBA) PROGRAMA INTEGRAL DE HABILIDADES MULTIPLES.
DIPLOMA SUPERIOR EN TRIBUTACION</t>
  </si>
  <si>
    <t>DOCTORA DENTRO DEL PROGRAMA DE DOCTORADO EN ECONOMIA Y EMPRESA</t>
  </si>
  <si>
    <t>CIENCIAS SOCIALES Y JURIDICAS</t>
  </si>
  <si>
    <t xml:space="preserve">MAGISTER EN DIRECCION ESTRATEGICA DE MARKETING Y VENTAS
MAGISTER EN DIRECCION ESTRATEGICA DE MARKETING Y VENTAS.
ESPECIALISTA EN GERENCIA ESTRATEGICA DE LA COMUNICACION ORGANIZACIONAL
</t>
  </si>
  <si>
    <t xml:space="preserve">NO DEFINIDA
EDUCACION
CIENCIAS SOCIALES, EDUCACION COMERCIAL Y DERECHO
</t>
  </si>
  <si>
    <t>ABOGADO DE LOS JUZGADOS Y TRIBUNALES DE LA REPUBLICA
LICENCIADO EN CIENCIAS SOCIALES Y POLITICAS</t>
  </si>
  <si>
    <t xml:space="preserve">	CIENCIAS SOCIALES, EDUCACION COMERCIAL Y DERECHO
	CIENCIAS SOCIALES, EDUCACION COMERCIAL Y DERECHO</t>
  </si>
  <si>
    <t>ADMINISTRACIÓN DE EMPRESAS Y DERECHO</t>
  </si>
  <si>
    <t>INGENIERO EN CONTABILIDAD Y AUDITORIA</t>
  </si>
  <si>
    <t>MAGISTER EN CONTABILIDAD Y FINANZAS MENCIÓN GESTION FISCAL, FINANCIERA Y TRIBUTARIA</t>
  </si>
  <si>
    <t>ADMINISTRACION</t>
  </si>
  <si>
    <t xml:space="preserve">	ADMINISTRACION</t>
  </si>
  <si>
    <t>DIPLOMADO EN CIENCIAS EMPRESARIALES</t>
  </si>
  <si>
    <t>MASTER UNIVERSITARIO EN NUEVAS TENDENCIAS Y PROCESOS DE INNOVACION EN COMUNICACIÓN
MASTER UNIVERSITARIO EN INFORMACION DIGITAL EN LA ESPECIALIDAD DE BUSCADORES: MARKETING ONLINE (SEM) Y POSICIONAMIENTO WEB (SEO)</t>
  </si>
  <si>
    <t>DOCTOR DENTRO DEL PROGRAMA DE DOCTORADO EN CIENCIAS DE LA COMUNICACIÓN</t>
  </si>
  <si>
    <t>ECONOMISTA AGRICOLA</t>
  </si>
  <si>
    <t>AGRICULTURA</t>
  </si>
  <si>
    <t>LICENCIADO EN CIENCIAS DE LA EDUCACION MENCION EN INGLES</t>
  </si>
  <si>
    <t>MAGISTER EN ENSEÑANZA DEL IDIOMA INGLES
DIPLOMA SUPERIOR EN GESTION DIRECTIVA</t>
  </si>
  <si>
    <t>EDUCACION
CIENCIAS SOCIALES, EDUCACION COMERCIAL Y 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</si>
</sst>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5"/>
      <color theme="1"/>
      <name val="Calibri"/>
      <family val="2"/>
      <scheme val="minor"/>
    </font>
    <font>
      <b/>
      <sz val="15"/>
      <color rgb="FF0070C0"/>
      <name val="Calibri"/>
      <family val="2"/>
      <scheme val="minor"/>
    </font>
    <font>
      <b/>
      <sz val="20"/>
      <color theme="0"/>
      <name val="Arial Black"/>
      <family val="2"/>
    </font>
    <font>
      <b/>
      <i/>
      <sz val="24"/>
      <color theme="0"/>
      <name val="Brush Script MT"/>
      <family val="4"/>
    </font>
    <font>
      <b/>
      <i/>
      <sz val="24"/>
      <color theme="0"/>
      <name val="Arial Black"/>
      <family val="2"/>
    </font>
    <font>
      <b/>
      <sz val="12"/>
      <color theme="0"/>
      <name val="Arial Black"/>
      <family val="2"/>
    </font>
    <font>
      <b/>
      <sz val="12"/>
      <color theme="0" tint="-4.9989318521683403E-2"/>
      <name val="Arial Black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Calibri"/>
      <family val="2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entury Gothic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164" fontId="37" fillId="0" borderId="0" applyFont="0" applyFill="0" applyBorder="0" applyAlignment="0" applyProtection="0"/>
    <xf numFmtId="0" fontId="43" fillId="0" borderId="0"/>
  </cellStyleXfs>
  <cellXfs count="434">
    <xf numFmtId="0" fontId="0" fillId="0" borderId="0" xfId="0"/>
    <xf numFmtId="0" fontId="1" fillId="0" borderId="0" xfId="0" applyFont="1"/>
    <xf numFmtId="0" fontId="0" fillId="0" borderId="0" xfId="0" applyAlignment="1">
      <alignment horizontal="left" indent="2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wrapText="1"/>
    </xf>
    <xf numFmtId="0" fontId="0" fillId="3" borderId="0" xfId="0" applyFill="1" applyAlignment="1">
      <alignment horizontal="left"/>
    </xf>
    <xf numFmtId="0" fontId="4" fillId="0" borderId="0" xfId="1"/>
    <xf numFmtId="0" fontId="6" fillId="0" borderId="2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6" borderId="0" xfId="0" applyFill="1" applyAlignment="1">
      <alignment horizontal="left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 applyAlignment="1">
      <alignment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5" fillId="7" borderId="0" xfId="0" applyFont="1" applyFill="1" applyAlignment="1">
      <alignment vertical="center"/>
    </xf>
    <xf numFmtId="0" fontId="17" fillId="9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10" borderId="2" xfId="0" applyFont="1" applyFill="1" applyBorder="1" applyAlignment="1">
      <alignment wrapText="1"/>
    </xf>
    <xf numFmtId="0" fontId="18" fillId="10" borderId="2" xfId="0" applyFont="1" applyFill="1" applyBorder="1" applyAlignment="1">
      <alignment wrapText="1"/>
    </xf>
    <xf numFmtId="0" fontId="3" fillId="10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wrapText="1"/>
    </xf>
    <xf numFmtId="0" fontId="0" fillId="9" borderId="2" xfId="0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11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wrapText="1"/>
    </xf>
    <xf numFmtId="0" fontId="0" fillId="11" borderId="2" xfId="0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2" fillId="12" borderId="2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wrapText="1"/>
    </xf>
    <xf numFmtId="0" fontId="0" fillId="12" borderId="2" xfId="0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2" fillId="13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wrapText="1"/>
    </xf>
    <xf numFmtId="0" fontId="0" fillId="13" borderId="2" xfId="0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2" fillId="14" borderId="2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wrapText="1"/>
    </xf>
    <xf numFmtId="0" fontId="0" fillId="14" borderId="2" xfId="0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2" fillId="15" borderId="2" xfId="0" applyFont="1" applyFill="1" applyBorder="1" applyAlignment="1">
      <alignment vertical="center" wrapText="1"/>
    </xf>
    <xf numFmtId="0" fontId="13" fillId="15" borderId="2" xfId="0" applyFont="1" applyFill="1" applyBorder="1" applyAlignment="1">
      <alignment wrapText="1"/>
    </xf>
    <xf numFmtId="0" fontId="6" fillId="15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2" fillId="16" borderId="2" xfId="0" applyFont="1" applyFill="1" applyBorder="1" applyAlignment="1">
      <alignment vertical="center" wrapText="1"/>
    </xf>
    <xf numFmtId="0" fontId="13" fillId="16" borderId="2" xfId="0" applyFont="1" applyFill="1" applyBorder="1" applyAlignment="1">
      <alignment wrapText="1"/>
    </xf>
    <xf numFmtId="0" fontId="6" fillId="16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9" borderId="2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0" borderId="11" xfId="0" applyFont="1" applyBorder="1" applyAlignment="1">
      <alignment horizontal="left" vertical="center"/>
    </xf>
    <xf numFmtId="0" fontId="0" fillId="0" borderId="3" xfId="0" applyBorder="1"/>
    <xf numFmtId="0" fontId="14" fillId="0" borderId="9" xfId="0" applyFont="1" applyBorder="1" applyAlignment="1">
      <alignment horizontal="left" vertical="center"/>
    </xf>
    <xf numFmtId="0" fontId="0" fillId="0" borderId="4" xfId="0" applyBorder="1"/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14" fillId="0" borderId="0" xfId="0" applyFont="1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justify" vertical="center" wrapText="1"/>
    </xf>
    <xf numFmtId="0" fontId="17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3" fillId="0" borderId="19" xfId="0" applyFont="1" applyBorder="1" applyAlignment="1">
      <alignment vertical="center" wrapText="1"/>
    </xf>
    <xf numFmtId="0" fontId="23" fillId="4" borderId="19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23" fillId="10" borderId="19" xfId="0" applyFont="1" applyFill="1" applyBorder="1" applyAlignment="1">
      <alignment vertical="center" wrapText="1"/>
    </xf>
    <xf numFmtId="0" fontId="14" fillId="10" borderId="19" xfId="0" applyFont="1" applyFill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23" fillId="7" borderId="19" xfId="0" applyFont="1" applyFill="1" applyBorder="1" applyAlignment="1">
      <alignment vertical="center" wrapText="1"/>
    </xf>
    <xf numFmtId="0" fontId="24" fillId="0" borderId="18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17" xfId="0" applyFont="1" applyBorder="1" applyAlignment="1">
      <alignment vertical="center" wrapText="1"/>
    </xf>
    <xf numFmtId="0" fontId="23" fillId="0" borderId="18" xfId="0" applyFont="1" applyBorder="1" applyAlignment="1">
      <alignment vertical="center" wrapText="1"/>
    </xf>
    <xf numFmtId="0" fontId="23" fillId="0" borderId="20" xfId="0" applyFont="1" applyBorder="1" applyAlignment="1">
      <alignment vertical="center" wrapText="1"/>
    </xf>
    <xf numFmtId="0" fontId="23" fillId="0" borderId="17" xfId="0" applyFont="1" applyBorder="1" applyAlignment="1">
      <alignment vertical="center" wrapText="1"/>
    </xf>
    <xf numFmtId="0" fontId="23" fillId="12" borderId="19" xfId="0" applyFont="1" applyFill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0" fillId="0" borderId="5" xfId="0" applyBorder="1"/>
    <xf numFmtId="0" fontId="23" fillId="0" borderId="0" xfId="0" applyFont="1" applyAlignment="1">
      <alignment horizontal="center"/>
    </xf>
    <xf numFmtId="0" fontId="23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23" xfId="0" applyFont="1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7" borderId="0" xfId="0" applyFont="1" applyFill="1" applyAlignment="1">
      <alignment horizontal="left" vertical="center"/>
    </xf>
    <xf numFmtId="0" fontId="14" fillId="7" borderId="3" xfId="0" applyFont="1" applyFill="1" applyBorder="1" applyAlignment="1">
      <alignment horizontal="left" vertical="center"/>
    </xf>
    <xf numFmtId="0" fontId="14" fillId="7" borderId="5" xfId="0" applyFont="1" applyFill="1" applyBorder="1" applyAlignment="1">
      <alignment horizontal="left" vertical="center"/>
    </xf>
    <xf numFmtId="0" fontId="14" fillId="7" borderId="4" xfId="0" applyFont="1" applyFill="1" applyBorder="1" applyAlignment="1">
      <alignment horizontal="left" vertical="center"/>
    </xf>
    <xf numFmtId="0" fontId="19" fillId="7" borderId="5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wrapText="1"/>
    </xf>
    <xf numFmtId="0" fontId="3" fillId="10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wrapText="1"/>
    </xf>
    <xf numFmtId="0" fontId="13" fillId="9" borderId="2" xfId="0" applyFont="1" applyFill="1" applyBorder="1" applyAlignment="1">
      <alignment wrapText="1"/>
    </xf>
    <xf numFmtId="0" fontId="6" fillId="9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 wrapText="1"/>
    </xf>
    <xf numFmtId="0" fontId="23" fillId="0" borderId="25" xfId="0" applyFont="1" applyBorder="1" applyAlignment="1">
      <alignment vertical="center" wrapText="1"/>
    </xf>
    <xf numFmtId="0" fontId="0" fillId="17" borderId="0" xfId="0" applyFill="1" applyAlignment="1">
      <alignment horizontal="left" indent="1"/>
    </xf>
    <xf numFmtId="0" fontId="23" fillId="3" borderId="19" xfId="0" applyFont="1" applyFill="1" applyBorder="1" applyAlignment="1">
      <alignment vertical="center" wrapText="1"/>
    </xf>
    <xf numFmtId="0" fontId="14" fillId="3" borderId="19" xfId="0" applyFont="1" applyFill="1" applyBorder="1" applyAlignment="1">
      <alignment vertical="center" wrapText="1"/>
    </xf>
    <xf numFmtId="0" fontId="26" fillId="3" borderId="19" xfId="0" applyFont="1" applyFill="1" applyBorder="1" applyAlignment="1">
      <alignment vertical="center" wrapText="1"/>
    </xf>
    <xf numFmtId="0" fontId="23" fillId="0" borderId="2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11" xfId="0" applyBorder="1" applyAlignment="1">
      <alignment horizontal="left" vertical="center" wrapText="1" indent="1"/>
    </xf>
    <xf numFmtId="0" fontId="14" fillId="10" borderId="23" xfId="0" applyFont="1" applyFill="1" applyBorder="1" applyAlignment="1">
      <alignment vertical="center" wrapText="1"/>
    </xf>
    <xf numFmtId="0" fontId="29" fillId="0" borderId="2" xfId="0" applyFont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8" fillId="0" borderId="19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26" fillId="3" borderId="18" xfId="0" applyFont="1" applyFill="1" applyBorder="1" applyAlignment="1">
      <alignment vertical="center" wrapText="1"/>
    </xf>
    <xf numFmtId="0" fontId="23" fillId="3" borderId="18" xfId="0" applyFont="1" applyFill="1" applyBorder="1" applyAlignment="1">
      <alignment vertical="center" wrapText="1"/>
    </xf>
    <xf numFmtId="0" fontId="14" fillId="3" borderId="18" xfId="0" applyFont="1" applyFill="1" applyBorder="1" applyAlignment="1">
      <alignment vertical="center" wrapText="1"/>
    </xf>
    <xf numFmtId="0" fontId="23" fillId="10" borderId="17" xfId="0" applyFont="1" applyFill="1" applyBorder="1" applyAlignment="1">
      <alignment vertical="center" wrapText="1"/>
    </xf>
    <xf numFmtId="0" fontId="14" fillId="10" borderId="17" xfId="0" applyFont="1" applyFill="1" applyBorder="1" applyAlignment="1">
      <alignment vertical="center" wrapText="1"/>
    </xf>
    <xf numFmtId="0" fontId="23" fillId="0" borderId="2" xfId="0" applyFont="1" applyBorder="1" applyAlignment="1">
      <alignment vertical="center" wrapText="1"/>
    </xf>
    <xf numFmtId="0" fontId="26" fillId="3" borderId="2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7" borderId="30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/>
    </xf>
    <xf numFmtId="0" fontId="23" fillId="3" borderId="19" xfId="0" applyFont="1" applyFill="1" applyBorder="1" applyAlignment="1">
      <alignment horizontal="center" vertical="center" wrapText="1"/>
    </xf>
    <xf numFmtId="0" fontId="23" fillId="3" borderId="18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3" borderId="23" xfId="0" applyFont="1" applyFill="1" applyBorder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14" fillId="2" borderId="0" xfId="0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40" fillId="0" borderId="2" xfId="0" applyFont="1" applyBorder="1" applyAlignment="1">
      <alignment horizontal="center" wrapText="1"/>
    </xf>
    <xf numFmtId="49" fontId="40" fillId="0" borderId="2" xfId="0" applyNumberFormat="1" applyFont="1" applyBorder="1" applyAlignment="1">
      <alignment horizontal="center" wrapText="1"/>
    </xf>
    <xf numFmtId="0" fontId="23" fillId="2" borderId="17" xfId="0" applyFont="1" applyFill="1" applyBorder="1" applyAlignment="1">
      <alignment vertical="center" wrapText="1"/>
    </xf>
    <xf numFmtId="0" fontId="11" fillId="10" borderId="19" xfId="0" applyFont="1" applyFill="1" applyBorder="1" applyAlignment="1">
      <alignment vertical="center" wrapText="1"/>
    </xf>
    <xf numFmtId="0" fontId="23" fillId="2" borderId="19" xfId="0" applyFont="1" applyFill="1" applyBorder="1" applyAlignment="1">
      <alignment vertical="center" wrapText="1"/>
    </xf>
    <xf numFmtId="0" fontId="26" fillId="2" borderId="17" xfId="0" applyFont="1" applyFill="1" applyBorder="1" applyAlignment="1">
      <alignment vertical="center" wrapText="1"/>
    </xf>
    <xf numFmtId="0" fontId="14" fillId="12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23" fillId="4" borderId="17" xfId="0" applyFont="1" applyFill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3" fillId="2" borderId="2" xfId="0" applyFont="1" applyFill="1" applyBorder="1" applyAlignment="1">
      <alignment vertical="center" wrapText="1"/>
    </xf>
    <xf numFmtId="0" fontId="23" fillId="10" borderId="2" xfId="0" applyFont="1" applyFill="1" applyBorder="1" applyAlignment="1">
      <alignment vertical="center" wrapText="1"/>
    </xf>
    <xf numFmtId="0" fontId="14" fillId="10" borderId="2" xfId="0" applyFont="1" applyFill="1" applyBorder="1" applyAlignment="1">
      <alignment vertical="center" wrapText="1"/>
    </xf>
    <xf numFmtId="0" fontId="14" fillId="3" borderId="32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23" fillId="12" borderId="2" xfId="0" applyFont="1" applyFill="1" applyBorder="1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23" fillId="21" borderId="19" xfId="0" applyFont="1" applyFill="1" applyBorder="1" applyAlignment="1">
      <alignment vertical="center" wrapText="1"/>
    </xf>
    <xf numFmtId="0" fontId="14" fillId="2" borderId="19" xfId="0" applyFont="1" applyFill="1" applyBorder="1" applyAlignment="1">
      <alignment vertical="center" wrapText="1"/>
    </xf>
    <xf numFmtId="1" fontId="14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0" fillId="7" borderId="0" xfId="0" applyFill="1" applyAlignment="1">
      <alignment horizontal="left" vertical="center"/>
    </xf>
    <xf numFmtId="0" fontId="14" fillId="10" borderId="38" xfId="0" applyFont="1" applyFill="1" applyBorder="1" applyAlignment="1">
      <alignment vertical="center" wrapText="1"/>
    </xf>
    <xf numFmtId="0" fontId="0" fillId="2" borderId="0" xfId="0" applyFill="1"/>
    <xf numFmtId="0" fontId="0" fillId="2" borderId="2" xfId="0" applyFill="1" applyBorder="1" applyAlignment="1">
      <alignment wrapText="1"/>
    </xf>
    <xf numFmtId="0" fontId="0" fillId="22" borderId="2" xfId="0" applyFill="1" applyBorder="1" applyAlignment="1">
      <alignment wrapText="1"/>
    </xf>
    <xf numFmtId="0" fontId="0" fillId="12" borderId="2" xfId="0" applyFill="1" applyBorder="1" applyAlignment="1">
      <alignment wrapText="1"/>
    </xf>
    <xf numFmtId="0" fontId="24" fillId="2" borderId="17" xfId="0" applyFont="1" applyFill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3" fillId="10" borderId="39" xfId="0" applyFont="1" applyFill="1" applyBorder="1" applyAlignment="1">
      <alignment vertical="center" wrapText="1"/>
    </xf>
    <xf numFmtId="0" fontId="24" fillId="0" borderId="32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0" fillId="10" borderId="23" xfId="0" applyFill="1" applyBorder="1" applyAlignment="1">
      <alignment vertical="center" wrapText="1"/>
    </xf>
    <xf numFmtId="0" fontId="23" fillId="2" borderId="39" xfId="0" applyFont="1" applyFill="1" applyBorder="1" applyAlignment="1">
      <alignment vertical="center" wrapText="1"/>
    </xf>
    <xf numFmtId="0" fontId="0" fillId="2" borderId="23" xfId="0" applyFill="1" applyBorder="1" applyAlignment="1">
      <alignment vertical="center" wrapText="1"/>
    </xf>
    <xf numFmtId="0" fontId="45" fillId="2" borderId="19" xfId="0" applyFont="1" applyFill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6" fillId="12" borderId="2" xfId="0" applyFont="1" applyFill="1" applyBorder="1" applyAlignment="1">
      <alignment vertical="center" wrapText="1"/>
    </xf>
    <xf numFmtId="0" fontId="23" fillId="4" borderId="2" xfId="0" applyFont="1" applyFill="1" applyBorder="1" applyAlignment="1">
      <alignment vertical="center" wrapText="1"/>
    </xf>
    <xf numFmtId="0" fontId="23" fillId="7" borderId="2" xfId="0" applyFont="1" applyFill="1" applyBorder="1" applyAlignment="1">
      <alignment vertical="center" wrapText="1"/>
    </xf>
    <xf numFmtId="0" fontId="26" fillId="3" borderId="39" xfId="0" applyFont="1" applyFill="1" applyBorder="1" applyAlignment="1">
      <alignment vertical="center" wrapText="1"/>
    </xf>
    <xf numFmtId="0" fontId="23" fillId="4" borderId="39" xfId="0" applyFont="1" applyFill="1" applyBorder="1" applyAlignment="1">
      <alignment vertical="center" wrapText="1"/>
    </xf>
    <xf numFmtId="0" fontId="23" fillId="4" borderId="27" xfId="0" applyFont="1" applyFill="1" applyBorder="1" applyAlignment="1">
      <alignment vertical="center" wrapText="1"/>
    </xf>
    <xf numFmtId="0" fontId="23" fillId="0" borderId="2" xfId="0" applyFont="1" applyBorder="1" applyAlignment="1">
      <alignment wrapText="1"/>
    </xf>
    <xf numFmtId="0" fontId="19" fillId="10" borderId="2" xfId="0" applyFont="1" applyFill="1" applyBorder="1" applyAlignment="1">
      <alignment vertical="center" wrapText="1"/>
    </xf>
    <xf numFmtId="0" fontId="23" fillId="23" borderId="2" xfId="0" applyFont="1" applyFill="1" applyBorder="1" applyAlignment="1">
      <alignment vertical="center" wrapText="1"/>
    </xf>
    <xf numFmtId="0" fontId="23" fillId="23" borderId="2" xfId="0" applyFont="1" applyFill="1" applyBorder="1" applyAlignment="1">
      <alignment horizontal="right" vertical="center" wrapText="1"/>
    </xf>
    <xf numFmtId="0" fontId="19" fillId="23" borderId="2" xfId="0" applyFont="1" applyFill="1" applyBorder="1" applyAlignment="1">
      <alignment horizontal="right" vertical="center" wrapText="1"/>
    </xf>
    <xf numFmtId="0" fontId="23" fillId="22" borderId="2" xfId="0" applyFont="1" applyFill="1" applyBorder="1" applyAlignment="1">
      <alignment vertical="center" wrapText="1"/>
    </xf>
    <xf numFmtId="0" fontId="14" fillId="22" borderId="2" xfId="0" applyFont="1" applyFill="1" applyBorder="1" applyAlignment="1">
      <alignment vertical="center" wrapText="1"/>
    </xf>
    <xf numFmtId="0" fontId="23" fillId="22" borderId="2" xfId="0" applyFont="1" applyFill="1" applyBorder="1" applyAlignment="1">
      <alignment horizontal="center" vertical="center" wrapText="1"/>
    </xf>
    <xf numFmtId="0" fontId="24" fillId="22" borderId="2" xfId="0" applyFont="1" applyFill="1" applyBorder="1" applyAlignment="1">
      <alignment vertical="center" wrapText="1"/>
    </xf>
    <xf numFmtId="0" fontId="23" fillId="22" borderId="19" xfId="0" applyFont="1" applyFill="1" applyBorder="1" applyAlignment="1">
      <alignment vertical="center" wrapText="1"/>
    </xf>
    <xf numFmtId="0" fontId="23" fillId="22" borderId="18" xfId="0" applyFont="1" applyFill="1" applyBorder="1" applyAlignment="1">
      <alignment vertical="center" wrapText="1"/>
    </xf>
    <xf numFmtId="0" fontId="24" fillId="22" borderId="10" xfId="0" applyFont="1" applyFill="1" applyBorder="1" applyAlignment="1">
      <alignment vertical="center" wrapText="1"/>
    </xf>
    <xf numFmtId="0" fontId="26" fillId="22" borderId="6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4" xfId="0" applyBorder="1" applyAlignment="1">
      <alignment vertical="center" wrapText="1"/>
    </xf>
    <xf numFmtId="0" fontId="23" fillId="24" borderId="20" xfId="0" applyFont="1" applyFill="1" applyBorder="1" applyAlignment="1">
      <alignment vertical="center" wrapText="1"/>
    </xf>
    <xf numFmtId="0" fontId="24" fillId="24" borderId="20" xfId="0" applyFont="1" applyFill="1" applyBorder="1" applyAlignment="1">
      <alignment vertical="center" wrapText="1"/>
    </xf>
    <xf numFmtId="0" fontId="24" fillId="24" borderId="24" xfId="0" applyFont="1" applyFill="1" applyBorder="1" applyAlignment="1">
      <alignment vertical="center" wrapText="1"/>
    </xf>
    <xf numFmtId="0" fontId="23" fillId="24" borderId="2" xfId="0" applyFont="1" applyFill="1" applyBorder="1" applyAlignment="1">
      <alignment vertical="center" wrapText="1"/>
    </xf>
    <xf numFmtId="0" fontId="11" fillId="24" borderId="2" xfId="0" applyFont="1" applyFill="1" applyBorder="1" applyAlignment="1">
      <alignment vertical="center" wrapText="1"/>
    </xf>
    <xf numFmtId="0" fontId="24" fillId="24" borderId="17" xfId="0" applyFont="1" applyFill="1" applyBorder="1" applyAlignment="1">
      <alignment vertical="center" wrapText="1"/>
    </xf>
    <xf numFmtId="0" fontId="26" fillId="24" borderId="2" xfId="0" applyFont="1" applyFill="1" applyBorder="1" applyAlignment="1">
      <alignment vertical="center" wrapText="1"/>
    </xf>
    <xf numFmtId="0" fontId="23" fillId="24" borderId="2" xfId="0" applyFont="1" applyFill="1" applyBorder="1" applyAlignment="1">
      <alignment horizontal="center" vertical="center" wrapText="1"/>
    </xf>
    <xf numFmtId="0" fontId="23" fillId="21" borderId="2" xfId="0" applyFont="1" applyFill="1" applyBorder="1" applyAlignment="1">
      <alignment vertical="center" wrapText="1"/>
    </xf>
    <xf numFmtId="0" fontId="26" fillId="22" borderId="2" xfId="0" applyFont="1" applyFill="1" applyBorder="1" applyAlignment="1">
      <alignment vertical="center" wrapText="1"/>
    </xf>
    <xf numFmtId="0" fontId="46" fillId="25" borderId="2" xfId="0" applyFont="1" applyFill="1" applyBorder="1" applyAlignment="1">
      <alignment horizontal="center" vertical="center" wrapText="1"/>
    </xf>
    <xf numFmtId="0" fontId="46" fillId="2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/>
    </xf>
    <xf numFmtId="0" fontId="27" fillId="15" borderId="2" xfId="0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44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3" fillId="2" borderId="0" xfId="0" applyFont="1" applyFill="1"/>
    <xf numFmtId="0" fontId="12" fillId="2" borderId="0" xfId="0" applyFont="1" applyFill="1"/>
    <xf numFmtId="0" fontId="19" fillId="0" borderId="2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left" vertical="center" wrapText="1"/>
    </xf>
    <xf numFmtId="0" fontId="19" fillId="7" borderId="2" xfId="0" applyFont="1" applyFill="1" applyBorder="1" applyAlignment="1">
      <alignment horizontal="left" vertical="center" wrapText="1"/>
    </xf>
    <xf numFmtId="0" fontId="19" fillId="7" borderId="24" xfId="0" applyFont="1" applyFill="1" applyBorder="1" applyAlignment="1">
      <alignment horizontal="left" vertical="center" wrapText="1"/>
    </xf>
    <xf numFmtId="0" fontId="23" fillId="22" borderId="2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horizontal="center" vertical="center" wrapText="1"/>
    </xf>
    <xf numFmtId="0" fontId="19" fillId="22" borderId="10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horizontal="left" vertical="center" wrapText="1"/>
    </xf>
    <xf numFmtId="0" fontId="19" fillId="22" borderId="4" xfId="0" applyFont="1" applyFill="1" applyBorder="1" applyAlignment="1">
      <alignment horizontal="left" vertical="center" wrapText="1"/>
    </xf>
    <xf numFmtId="0" fontId="23" fillId="0" borderId="18" xfId="0" applyFont="1" applyBorder="1" applyAlignment="1">
      <alignment vertical="center" wrapText="1"/>
    </xf>
    <xf numFmtId="0" fontId="23" fillId="0" borderId="20" xfId="0" applyFont="1" applyBorder="1" applyAlignment="1">
      <alignment vertical="center" wrapText="1"/>
    </xf>
    <xf numFmtId="0" fontId="23" fillId="22" borderId="2" xfId="0" applyFont="1" applyFill="1" applyBorder="1" applyAlignment="1">
      <alignment vertical="center" wrapText="1"/>
    </xf>
    <xf numFmtId="0" fontId="23" fillId="22" borderId="6" xfId="0" applyFont="1" applyFill="1" applyBorder="1" applyAlignment="1">
      <alignment vertical="center" wrapText="1"/>
    </xf>
    <xf numFmtId="0" fontId="23" fillId="24" borderId="20" xfId="0" applyFont="1" applyFill="1" applyBorder="1" applyAlignment="1">
      <alignment horizontal="center" vertical="center" wrapText="1"/>
    </xf>
    <xf numFmtId="0" fontId="23" fillId="24" borderId="17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9" fillId="24" borderId="20" xfId="0" applyFont="1" applyFill="1" applyBorder="1" applyAlignment="1">
      <alignment horizontal="left" vertical="center" wrapText="1"/>
    </xf>
    <xf numFmtId="0" fontId="19" fillId="24" borderId="17" xfId="0" applyFont="1" applyFill="1" applyBorder="1" applyAlignment="1">
      <alignment horizontal="left" vertical="center" wrapText="1"/>
    </xf>
    <xf numFmtId="0" fontId="19" fillId="24" borderId="20" xfId="0" applyFont="1" applyFill="1" applyBorder="1" applyAlignment="1">
      <alignment horizontal="center" vertical="center" wrapText="1"/>
    </xf>
    <xf numFmtId="0" fontId="19" fillId="24" borderId="17" xfId="0" applyFont="1" applyFill="1" applyBorder="1" applyAlignment="1">
      <alignment horizontal="center" vertical="center" wrapText="1"/>
    </xf>
    <xf numFmtId="0" fontId="23" fillId="24" borderId="20" xfId="0" applyFont="1" applyFill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4" fillId="0" borderId="20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3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4" fillId="0" borderId="18" xfId="0" applyFont="1" applyBorder="1" applyAlignment="1">
      <alignment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left" vertical="center" wrapText="1"/>
    </xf>
    <xf numFmtId="0" fontId="19" fillId="7" borderId="30" xfId="0" applyFont="1" applyFill="1" applyBorder="1" applyAlignment="1">
      <alignment horizontal="left" vertical="center" wrapText="1"/>
    </xf>
    <xf numFmtId="0" fontId="19" fillId="7" borderId="17" xfId="0" applyFont="1" applyFill="1" applyBorder="1" applyAlignment="1">
      <alignment horizontal="left" vertical="center" wrapText="1"/>
    </xf>
    <xf numFmtId="0" fontId="23" fillId="0" borderId="22" xfId="0" applyFont="1" applyBorder="1" applyAlignment="1">
      <alignment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49" fontId="19" fillId="0" borderId="18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24" xfId="0" applyNumberFormat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42" fillId="0" borderId="20" xfId="0" applyFont="1" applyBorder="1" applyAlignment="1">
      <alignment horizontal="left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7" borderId="35" xfId="0" applyFont="1" applyFill="1" applyBorder="1" applyAlignment="1">
      <alignment horizontal="left" vertical="center" wrapText="1"/>
    </xf>
    <xf numFmtId="0" fontId="19" fillId="7" borderId="36" xfId="0" applyFont="1" applyFill="1" applyBorder="1" applyAlignment="1">
      <alignment horizontal="left" vertical="center" wrapText="1"/>
    </xf>
    <xf numFmtId="0" fontId="19" fillId="7" borderId="37" xfId="0" applyFont="1" applyFill="1" applyBorder="1" applyAlignment="1">
      <alignment horizontal="left" vertical="center" wrapText="1"/>
    </xf>
    <xf numFmtId="0" fontId="19" fillId="7" borderId="8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 wrapText="1"/>
    </xf>
    <xf numFmtId="0" fontId="19" fillId="7" borderId="4" xfId="0" applyFont="1" applyFill="1" applyBorder="1" applyAlignment="1">
      <alignment horizontal="left" vertical="center" wrapText="1"/>
    </xf>
    <xf numFmtId="0" fontId="19" fillId="7" borderId="3" xfId="0" applyFont="1" applyFill="1" applyBorder="1" applyAlignment="1">
      <alignment horizontal="left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2" fillId="0" borderId="11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justify" vertical="center" wrapText="1"/>
    </xf>
    <xf numFmtId="0" fontId="30" fillId="0" borderId="13" xfId="0" applyFont="1" applyBorder="1" applyAlignment="1">
      <alignment horizontal="justify" vertical="center" wrapText="1"/>
    </xf>
    <xf numFmtId="0" fontId="30" fillId="0" borderId="14" xfId="0" applyFont="1" applyBorder="1" applyAlignment="1">
      <alignment horizontal="justify" vertical="center" wrapText="1"/>
    </xf>
    <xf numFmtId="0" fontId="30" fillId="0" borderId="15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20" fillId="0" borderId="24" xfId="0" applyFont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0" fillId="0" borderId="22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 wrapText="1"/>
    </xf>
    <xf numFmtId="0" fontId="23" fillId="0" borderId="17" xfId="0" applyFont="1" applyBorder="1" applyAlignment="1">
      <alignment vertical="center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4" fillId="0" borderId="32" xfId="0" applyFont="1" applyBorder="1" applyAlignment="1">
      <alignment vertical="center" wrapText="1"/>
    </xf>
    <xf numFmtId="0" fontId="24" fillId="0" borderId="40" xfId="0" applyFont="1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24" fillId="24" borderId="24" xfId="0" applyFont="1" applyFill="1" applyBorder="1" applyAlignment="1">
      <alignment vertical="center" wrapText="1"/>
    </xf>
    <xf numFmtId="0" fontId="20" fillId="24" borderId="2" xfId="0" applyFont="1" applyFill="1" applyBorder="1" applyAlignment="1">
      <alignment horizontal="center" vertical="center" wrapText="1"/>
    </xf>
    <xf numFmtId="0" fontId="20" fillId="22" borderId="4" xfId="0" applyFont="1" applyFill="1" applyBorder="1" applyAlignment="1">
      <alignment horizontal="center" vertical="center" wrapText="1"/>
    </xf>
    <xf numFmtId="0" fontId="20" fillId="22" borderId="2" xfId="0" applyFont="1" applyFill="1" applyBorder="1" applyAlignment="1">
      <alignment horizontal="center" vertical="center" wrapText="1"/>
    </xf>
    <xf numFmtId="0" fontId="24" fillId="22" borderId="2" xfId="0" applyFont="1" applyFill="1" applyBorder="1" applyAlignment="1">
      <alignment vertical="center" wrapText="1"/>
    </xf>
    <xf numFmtId="0" fontId="19" fillId="0" borderId="9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5" fillId="8" borderId="8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6" fillId="9" borderId="9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32" fillId="18" borderId="0" xfId="0" applyFont="1" applyFill="1" applyAlignment="1">
      <alignment horizontal="center" vertical="center" wrapText="1"/>
    </xf>
    <xf numFmtId="0" fontId="33" fillId="18" borderId="0" xfId="0" applyFont="1" applyFill="1" applyAlignment="1">
      <alignment horizontal="center" vertical="center" wrapText="1"/>
    </xf>
    <xf numFmtId="0" fontId="34" fillId="18" borderId="0" xfId="0" applyFont="1" applyFill="1" applyAlignment="1">
      <alignment horizontal="center" vertical="center" wrapText="1"/>
    </xf>
    <xf numFmtId="0" fontId="35" fillId="18" borderId="0" xfId="0" applyFont="1" applyFill="1" applyAlignment="1">
      <alignment horizontal="center" vertical="center" wrapText="1"/>
    </xf>
    <xf numFmtId="0" fontId="36" fillId="18" borderId="0" xfId="0" applyFont="1" applyFill="1" applyAlignment="1">
      <alignment horizontal="center" vertical="center" wrapText="1"/>
    </xf>
  </cellXfs>
  <cellStyles count="4">
    <cellStyle name="Hipervínculo" xfId="1" builtinId="8"/>
    <cellStyle name="Millares 2" xfId="2" xr:uid="{C20DD38C-2AA3-439B-B9E4-55DF4841627D}"/>
    <cellStyle name="Normal" xfId="0" builtinId="0"/>
    <cellStyle name="Normal 2" xfId="3" xr:uid="{9A407BDC-0578-4005-AEBD-803D5AFCD159}"/>
  </cellStyles>
  <dxfs count="386">
    <dxf>
      <fill>
        <patternFill patternType="solid">
          <bgColor theme="5" tint="0.39997558519241921"/>
        </patternFill>
      </fill>
    </dxf>
    <dxf>
      <font>
        <sz val="10"/>
      </font>
      <alignment wrapText="1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fgColor indexed="64"/>
          <bgColor rgb="FFFFFF00"/>
        </patternFill>
      </fill>
    </dxf>
    <dxf>
      <font>
        <color rgb="FFFF0000"/>
      </font>
      <fill>
        <patternFill>
          <f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 patternType="solid">
          <fgColor indexed="64"/>
          <bgColor rgb="FFFFFF00"/>
        </patternFill>
      </fill>
    </dxf>
    <dxf>
      <fill>
        <patternFill>
          <fgColor theme="9" tint="0.59999389629810485"/>
        </patternFill>
      </fill>
    </dxf>
    <dxf>
      <fill>
        <patternFill>
          <f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none">
          <bgColor auto="1"/>
        </patternFill>
      </fill>
    </dxf>
    <dxf>
      <fill>
        <patternFill>
          <fgColor theme="9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readingOrder="0"/>
    </dxf>
    <dxf>
      <font>
        <sz val="10"/>
      </font>
    </dxf>
    <dxf>
      <font>
        <sz val="14"/>
      </font>
    </dxf>
    <dxf>
      <alignment wrapText="1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164523</xdr:colOff>
      <xdr:row>0</xdr:row>
      <xdr:rowOff>66675</xdr:rowOff>
    </xdr:from>
    <xdr:to>
      <xdr:col>0</xdr:col>
      <xdr:colOff>2034886</xdr:colOff>
      <xdr:row>3</xdr:row>
      <xdr:rowOff>147204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3AEBF9-989D-46E6-BF9B-8B3054B1AB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23" y="66675"/>
          <a:ext cx="1870363" cy="6996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85725</xdr:rowOff>
    </xdr:from>
    <xdr:to>
      <xdr:col>1</xdr:col>
      <xdr:colOff>695325</xdr:colOff>
      <xdr:row>3</xdr:row>
      <xdr:rowOff>47625</xdr:rowOff>
    </xdr:to>
    <xdr:pic>
      <xdr:nvPicPr>
        <xdr:cNvPr id="2" name="Imagen 1" descr="ULEAM">
          <a:extLst>
            <a:ext uri="{FF2B5EF4-FFF2-40B4-BE49-F238E27FC236}">
              <a16:creationId xmlns:a16="http://schemas.microsoft.com/office/drawing/2014/main" id="{BD314365-4B32-4984-ADB4-CDAE123E3C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885825" cy="676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847726</xdr:colOff>
      <xdr:row>0</xdr:row>
      <xdr:rowOff>133351</xdr:rowOff>
    </xdr:from>
    <xdr:to>
      <xdr:col>9</xdr:col>
      <xdr:colOff>847726</xdr:colOff>
      <xdr:row>3</xdr:row>
      <xdr:rowOff>212560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B54403-22C2-4ED8-8D4F-A813FDB9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1" y="133351"/>
          <a:ext cx="3238500" cy="7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30219</xdr:colOff>
      <xdr:row>1</xdr:row>
      <xdr:rowOff>9526</xdr:rowOff>
    </xdr:from>
    <xdr:to>
      <xdr:col>1</xdr:col>
      <xdr:colOff>72258</xdr:colOff>
      <xdr:row>2</xdr:row>
      <xdr:rowOff>125226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3C6EAE-2EEA-4AF3-B646-C0032FA18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19" y="200026"/>
          <a:ext cx="451614" cy="4109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Miguel Moreira Largacha" refreshedDate="46180.90843009259" createdVersion="5" refreshedVersion="8" minRefreshableVersion="3" recordCount="80" xr:uid="{00000000-000A-0000-FFFF-FFFF00000000}">
  <cacheSource type="worksheet">
    <worksheetSource name="Tabla14"/>
  </cacheSource>
  <cacheFields count="8">
    <cacheField name="NIVEL" numFmtId="0">
      <sharedItems containsBlank="1" count="71">
        <s v="1A"/>
        <s v="2A"/>
        <s v="3A"/>
        <s v="3B"/>
        <s v="4A"/>
        <s v="4B"/>
        <s v="5A"/>
        <s v="5B"/>
        <s v="6A"/>
        <s v="6B"/>
        <s v="7A"/>
        <s v="7B"/>
        <s v="8A"/>
        <s v="8B"/>
        <s v="9A"/>
        <s v="9B"/>
        <s v="2B" u="1"/>
        <s v="4C" u="1"/>
        <s v="EDUCACIÓN INICIAL (A)" u="1"/>
        <s v="AGRONEGOCIOS (A)" u="1"/>
        <s v="1B" u="1"/>
        <s v="3C" u="1"/>
        <s v="6A-FINANZAS" u="1"/>
        <s v="5A-FINANZAS" u="1"/>
        <s v="1A-FINANZAS" u="1"/>
        <s v="1A-CYA" u="1"/>
        <s v="1B-CYA" u="1"/>
        <s v="3B-CYA" u="1"/>
        <s v="EDUCACIÓN INICIAL" u="1"/>
        <s v="3C-CYA" u="1"/>
        <s v="EDUCACIÓN" u="1"/>
        <s v="AGRONEGOCIOS" u="1"/>
        <s v="1C-CYA" u="1"/>
        <s v="AGRO" u="1"/>
        <s v="2C" u="1"/>
        <s v="9C" u="1"/>
        <m u="1"/>
        <s v="4D-PyFP" u="1"/>
        <s v="2-T-B" u="1"/>
        <s v="1D-CC-PT" u="1"/>
        <s v="C4" u="1"/>
        <s v="1E" u="1"/>
        <s v="4C-PyFP" u="1"/>
        <s v="1C-CC-PT" u="1"/>
        <s v="C3" u="1"/>
        <s v="SM" u="1"/>
        <s v="2-TR-B" u="1"/>
        <s v="C9" u="1"/>
        <s v="C2" u="1"/>
        <s v="2D-MyM-PT" u="1"/>
        <s v="1C" u="1"/>
        <s v="C8" u="1"/>
        <s v="C1" u="1"/>
        <s v="2-T-A" u="1"/>
        <s v="2C-MyM-PT" u="1"/>
        <s v="2-TR-A" u="1"/>
        <s v="2D-MyI-PT" u="1"/>
        <s v="10A" u="1"/>
        <s v="10B" u="1"/>
        <s v="8C" u="1"/>
        <s v="C7" u="1"/>
        <s v="2C-MyI-PT" u="1"/>
        <s v="SC" u="1"/>
        <s v="C6" u="1"/>
        <s v="C10" u="1"/>
        <s v="C11" u="1"/>
        <s v="C12" u="1"/>
        <s v="C13" u="1"/>
        <s v="C14" u="1"/>
        <s v="7C" u="1"/>
        <s v="C5" u="1"/>
      </sharedItems>
    </cacheField>
    <cacheField name="ASIGNATURA" numFmtId="0">
      <sharedItems containsBlank="1" count="155">
        <s v="TECNOLOGÍA Y TENDENCIA DE LA CULTURA DIGITAL"/>
        <s v="MATEMÁTICA APLICADA A LOS NEGOCIOS"/>
        <s v="GESTIÓN ADMINISTRATIVA"/>
        <s v="FUNDAMENTOS DE LA MERCADOTECNIA"/>
        <s v="CONTEXTO SOCIO ECONÓMICO, CULTURAL E INTERCULTURALIDAD"/>
        <s v="CONTABILIDAD ADMINISTRATIVA"/>
        <s v="METODOLOGÍA DE LA INVESTIGACIÓN"/>
        <s v="MACRO Y MICRO ECONOMÍA"/>
        <s v="DISEÑO  Y COMPOSICIÓN GRÁFICA"/>
        <s v="COMUNICACIÓN INTEGRAL DE LA MERCADOTECNIA"/>
        <s v="CÁLCULO PARA LA GESTIÓN EMPRESARIAL"/>
        <s v="ANÁLISIS DE COSTOS "/>
        <s v="REDACCIÓN PUBLICITARIA"/>
        <s v="POLÍTICA Y FIJACIÓN DE PRECIOS"/>
        <s v="MATEMÁTICAS FINANCIERA"/>
        <s v="GESTIÓN DEL TALENTO HUMANO"/>
        <s v="ESTADISTICA"/>
        <s v="TÉCNICAS DE VENTAS"/>
        <s v="MERCHANDISING AND WINDOW DRESSING"/>
        <s v="INVESTIGACIÓN DE MERCADOS "/>
        <s v="GESTIÓN FINANCIERA "/>
        <s v="BUSINESS ENGLISH"/>
        <s v="SUPPLY CHAIN ​​MANAGEMENT"/>
        <s v="PSYCHOLOGY AND CONSUMER BEHAVIOR"/>
        <s v="MARKETING ESTRATÉGICO Y OPERATIVO"/>
        <s v="INTELIGENCIA DE MERCADOS "/>
        <s v="DESIGN OF PRODUCTS AND PACKAGING"/>
        <s v="TOURISM MARKETING AND SERVICES "/>
        <s v="NEUROMARKETING"/>
        <s v="LOGÍSTICA DE PUERTOS"/>
        <s v="ÉTICA Y RESPONSABILIDAD SOCIAL EMPRESARIAL"/>
        <s v="BRAND MANAGEMENT"/>
        <s v="TRADE MARKETING"/>
        <s v="DIGITAL MARKETING"/>
        <s v="DERECHO EMPRESARIAL"/>
        <s v="COMERCIO EXTERIOR"/>
        <s v="PLAN DE MERCADOTECNIA"/>
        <s v="INTERNATIONAL MARKETING"/>
        <s v="EVALUACIÓN DE PROYECTOS"/>
        <s v="E-COMMERCE"/>
        <s v="SIMULACIÓN DE NEGOCIOS "/>
        <s v="GERENCIA DE MERCADOTECNIA "/>
        <s v="DESARROLLO DEL TRABAJO DE TITULACIÓN"/>
        <s v="CÁTEDRA INTEGRADORA: PLAN DE NEGOCIOS"/>
        <s v=" INTERNATIONAL MARKETING "/>
        <s v="CÁTEDRA ALFARO" u="1"/>
        <s v="MATEMÁTICAS APLICADA A LOS NEGOCIOS" u="1"/>
        <s v="COMERCIO ELECTRÓNICO" u="1"/>
        <s v="GESTIÓN DE CALIDAD Y COMPETITIVIDAD" u="1"/>
        <s v="LECTURA Y ESCRITURA ACADÉMICA" u="1"/>
        <s v="MERCADOTECNIA DE ECONOMÍA SOCIAL Y SOLIDARIA" u="1"/>
        <s v="PLANIFICACIÓN DEL TRABAJO DE TITULACIÓN" u="1"/>
        <s v="EDUCACIÓN Y DIVERSIDAD" u="1"/>
        <s v="TÉCNICAS DE NEGOCIACIÓN" u="1"/>
        <s v="CÁTEDRA INTEGRADORA: MERCADOTECNIA ESTRATÉGICA Y OPERATIVA" u="1"/>
        <s v="INGLÉS DE NEGOCIOS" u="1"/>
        <s v="MERCADOTECNIA DE SERVICIOS PORTUARIOS Y LOGÍSTICOS" u="1"/>
        <s v="MERCADOTECNIA DIGITAL " u="1"/>
        <s v="PLANEACIÓN ESTRATÉGICA " u="1"/>
        <s v="ECONOMÍAS POPULARES Y SOLIDARIAS SECTOR NO FINANCIERO" u="1"/>
        <s v="ECONOMÍAS POPULARES Y SOLIDARIAS SECTOR  FINANCIERA" u="1"/>
        <s v="MATEMÁTICA ADMINISTRATIVA" u="1"/>
        <s v="ADMINISTRACIÓN" u="1"/>
        <s v="ESTADÍSTICA APLICADA" u="1"/>
        <s v="INCLUSIÓN" u="1"/>
        <s v="ECONOMÍA POPULAR Y SOLIDARIA SECTOR NO FINANCIERO" u="1"/>
        <s v="ECONOMÍA POPULAR Y SOLIDARIA SECTOR  FINANCIERO" u="1"/>
        <s v="MACROECONOMÍA" u="1"/>
        <s v="MATEMÁTICAS APLICADA A LOS NEGOGIOS" u="1"/>
        <s v="TÉCNICAS DE VENTAS (Malla 2022)" u="1"/>
        <s v="CÁTEDRA INTEGRADORA: MERCADOTECNIA DE SERVICIOS " u="1"/>
        <s v="DIRECCIÓN DE VENTAS " u="1"/>
        <s v="GEOMARKETING" u="1"/>
        <s v="INVESTIGACIÓN DE MERCADO II" u="1"/>
        <s v="MERCADOTECNIA TURÍSTICA" u="1"/>
        <s v="NEUROMERCADOTECNIA" u="1"/>
        <m u="1"/>
        <s v="PLAN FINANCIERO" u="1"/>
        <s v="MÉTODOS CUANTITATIVOS PARA LOS NEGOCIOS " u="1"/>
        <s v="FINANZAS Y PRESUPUESTO" u="1"/>
        <s v="METODOLOGIA DE PROYECTOS DE MARKETING" u="1"/>
        <s v="METODOLOGÍA DEL PROYECTO DE MARKETING" u="1"/>
        <s v="MERCADOTECNIA SOCIAL Y SOLIDARIA" u="1"/>
        <s v="FUNDAMENTOS DE MERCADOTECNIA" u="1"/>
        <s v="SEMINARIO CURRICULAR (ÉTICA)" u="1"/>
        <s v="INVESTIGACIÓN OPERATIVA MKT" u="1"/>
        <s v="INNOVACIÓN Y DESARROLLO DE PRODUCTOS " u="1"/>
        <s v="CONTEXTO SOCIOECONOMICO CULTURAL E INTERCULTURALIDAD" u="1"/>
        <s v="MICROECONOMIA" u="1"/>
        <s v="EVALUACION DE PROYECTOS" u="1"/>
        <s v="GERENCIA DE MARKETING" u="1"/>
        <s v="INTERNATIONAL MARKETING " u="1"/>
        <s v="ITINENARIO II: MERCADOTECNIA SOCIAL Y SOLIDARIA" u="1"/>
        <s v="INGLES DE NEGOCIOS II" u="1"/>
        <s v="CONTINGENCIA 6" u="1"/>
        <s v="MATEMÁTICAS" u="1"/>
        <s v="DISEÑO PUBLICITARIO" u="1"/>
        <s v="ANALISIS Y ESTUDIOS DE LOS MERCADOS" u="1"/>
        <s v="LEGISLACIÒN Y LEYES NACIONALES" u="1"/>
        <s v="LEGISLACIÓN Y LEYES NACIONALES" u="1"/>
        <s v="PLAN DE MARKETING MIX" u="1"/>
        <s v="CONTIGENCIA 3" u="1"/>
        <s v="TÉCNICAS DE VENTAS " u="1"/>
        <s v="EMPRENDIMIENTO" u="1"/>
        <s v="ESTADÍSTICA DESCRIPTIVA" u="1"/>
        <s v="CONTIGENCIA 1" u="1"/>
        <s v="MACROECONOMIA" u="1"/>
        <s v="ITINENARIO I: MERCADOTECNIA DE CIUDAD" u="1"/>
        <s v="GERENCIA DE VENTAS" u="1"/>
        <s v="OFIMATICA PARA EL APRENDIZAJE" u="1"/>
        <s v="ESTADÍSTICA APLICADA (2017)" u="1"/>
        <s v="|" u="1"/>
        <s v="FINANZAS Y PRESUPUESTO (2017)" u="1"/>
        <s v="CÁTEDRA INTEGRADORA: PLAN DE MERCADOTECNIA" u="1"/>
        <s v="MACROECONOMIA (2017)" u="1"/>
        <s v="GESTION DEL TALENTO HUMANO" u="1"/>
        <s v="BRAND MANAGEMENT " u="1"/>
        <s v="IMAGEN CORPORATIVO" u="1"/>
        <s v="RETAILING Y MECHANDISING " u="1"/>
        <s v="CÁTEDRA INTEGRADORA: INNOVACIÓN Y DESARROLLO DE PRODUCTOS " u="1"/>
        <s v="CONTABILIDAD BASICA" u="1"/>
        <s v="TÉCNICAS DE VENTAS (Malla 2017)" u="1"/>
        <s v="ITINENARIO II: MERCADOTECNIA SECTORIAL" u="1"/>
        <s v="CONTINGENCIA 4" u="1"/>
        <s v="RETALING Y MERCHANDISING (2017)" u="1"/>
        <s v="ÉTICA Y RESPONSABILIDAD SOCIAL " u="1"/>
        <s v="DIRECCION COMERCIAL" u="1"/>
        <s v="CONTABILIDAD DE COSTOS" u="1"/>
        <s v="METODOLOGÌA DE LA INVESTIGACIÓN" u="1"/>
        <s v="MARKETING INTERNACIONAL" u="1"/>
        <s v="PUBLICIDAD Y MEDIOS " u="1"/>
        <s v="ITINENARIO I:MERCADOTECNIA TURÍSTICA" u="1"/>
        <s v="CONTEXTO CULTURAL E INTERCULTURALIDAD" u="1"/>
        <s v="INVESTIGACIÓN DE MERCADOS I (2017)" u="1"/>
        <s v="OPTATIVA IV: MARKETING TURISTICO" u="1"/>
        <s v="TECNOLOGÍA Y TENDENCIA DE LA CULTUTA DIGITAL" u="1"/>
        <s v="MÉTODOS CUANTITATIVOS PARA LOS NEGOCIOS" u="1"/>
        <s v="APRENDIZAJE DE LA COMUNICACIÓN HUMANA" u="1"/>
        <s v="MERCADOTECNIA SECTORIAL" u="1"/>
        <s v="DESARROLLO DE PRODUCTO" u="1"/>
        <s v="PLANEACIÓN ESTRATÉGICA" u="1"/>
        <s v="SEMINARIO CURRICULAR" u="1"/>
        <s v="ESTRATEGIA FINANCIERA EN MARKETING" u="1"/>
        <s v="RETAIL Y MERCHANDISING (2017)" u="1"/>
        <s v="ESTADÍSTICA" u="1"/>
        <s v="GESTIÓN DE LA CADENA DE SUMINISTRO" u="1"/>
        <s v="PSICOLOGIA Y COMPORTAMIENTO DEL CONSUMIDOR" u="1"/>
        <s v="MATEMATICAS FINANCIERA" u="1"/>
        <s v="OPTATIVA III DISEÑO DE TESIS" u="1"/>
        <s v="GESTION DE CALIDAD " u="1"/>
        <s v="PLAN DE NEGOCIOS" u="1"/>
        <s v="ESTADISTICA APLICADA" u="1"/>
        <s v="ANÁLISIS Y ESTUDIOS DE LOS MERCADOS MKT" u="1"/>
        <s v="PUBLICIDAD Y MEDIOS (2017)" u="1"/>
        <s v="INVESTIGACIÓN DE MERCADO I " u="1"/>
      </sharedItems>
    </cacheField>
    <cacheField name="APELLIDOS Y NOMBRES" numFmtId="0">
      <sharedItems containsBlank="1" count="102">
        <s v="SOLIS BRAVO HUGO ALFONSO"/>
        <s v="RODRIGUEZ SÁNCHEZ JOHNNY GUSTAVO"/>
        <s v="ARIAS ARIAS ANA ELENA"/>
        <s v="LOOR MOREIRA ALEXANDRA JACQUELINE"/>
        <s v="PALACIOS BRIONES NURI LUPITA"/>
        <s v="VERA DELGADO BRYAN ADRIÁN"/>
        <s v="LOOR CHAVEZ TEMISTOCLES DEODATO"/>
        <s v="HEREDIA COPPIANO GENESIS ESTEFANÍA"/>
        <s v="ZAMBRANO PEÑARRIETA JOSSELYN JAMILETH"/>
        <s v="CRUZ MERA RAFER HENRY"/>
        <s v="MEJIA VÁSQUEZ PERICLES RAMÓN"/>
        <s v="MOLINA CEDEÑO JIMMY WILMER"/>
        <s v="MERO CHAVEZ ULISES FEDERICO"/>
        <s v="JACOME SANTOS XAVIER IVAN"/>
        <s v="MOLINA QUIROZ CLAUDIA ANALIA"/>
        <s v="PINARGOTE MONTENEGRO KAREN GISELA"/>
        <s v="VILLAFUERTE MUÑOZ WAGNER OSWALDO"/>
        <s v="COVEÑA MENÉNDEZ JONATHAN KLEBER"/>
        <s v="CARREÑO VILLAVICENCIO DIANEXY VIVIANA"/>
        <s v="MORÁN QUIÑONEZ CARLOS JULIO"/>
        <s v="GRANDA GARCÍA MARCO IVÁN"/>
        <s v="BADUY MOLINA AAROM LEONEL"/>
        <s v="HORMAZA VILLAFUERTE SANDY LISBETH"/>
        <s v="SÁNCHEZ ARTEAGA ALEX ALFONSO"/>
        <s v="VILLAMARIN VILLOTA WALTER HUMBERTO"/>
        <s v="PONCE ANDRADE JOHNNY EDISON"/>
        <s v="LOPEZ LEONES CRISTHIAN JOSÉ"/>
        <m u="1"/>
        <s v="VIDAL FERNANDEZ PABLO" u="1"/>
        <s v="GUEVARA CAÑIZARES MARISSA ALEJANDRA" u="1"/>
        <s v="ARAUZ CHÁVEZ MARIO ROBERTO" u="1"/>
        <s v="D.EDUC. VIRTUAL" u="1"/>
        <s v="TRIVIÑO QUIJIJE JEFFERSON ALEXANDER" u="1"/>
        <s v="PEÑA VELEZ ISSAURA VANESSA " u="1"/>
        <s v="SABANDO MENDOZA ROSSANA ESTELA" u="1"/>
        <s v="PEÑAHERRERA VELEZ CINDY DEL CARMEN" u="1"/>
        <s v="SALTOS ALAVA SONIA KARINA" u="1"/>
        <s v="FRANCO CHAVEZ MONICA ALEXANDRA" u="1"/>
        <s v="CALDERÓN BAILÓN JOSÉ CALIXTO" u="1"/>
        <s v="BASURTO CEDEÑO ALBERTO XAVIER" u="1"/>
        <s v="ARAUZ CHAVEZ ANDREA ROBERTA" u="1"/>
        <s v="ZAMBRANO BARCIA ANDREA VIVIANA" u="1"/>
        <s v="PALACIOS MOLINA DAYNI LISSET" u="1"/>
        <s v="CARREÑO VILLAVICENCIO DIANEXY" u="1"/>
        <s v="ANCHUNDIA CARRASCO ARMANDO RENÉ" u="1"/>
        <s v="HEREDIA COPPIANO GENESIS ESTEFANIA (ADM)" u="1"/>
        <s v="  POR ASIGNAR" u="1"/>
        <s v="MORÁN QUIÑONEZ CARLOS" u="1"/>
        <s v="POR ASIGNAR" u="1"/>
        <s v="NEVAREZ PEREZ DIEGO XAVIER" u="1"/>
        <s v="POR ASIGNAR 3" u="1"/>
        <s v="VILLAFUERTE MUÑOZ WAGNER" u="1"/>
        <s v="ZAMBRANO BARCIA ANDREA VIVIANA " u="1"/>
        <s v="POR ASIGNAR 2" u="1"/>
        <s v="TORRES TOALA GUADALUPE" u="1"/>
        <s v="ALCIVAR ARTEAGA BYRON ROLANDO" u="1"/>
        <s v="ARTEAGA FLORES ROSSANA" u="1"/>
        <s v="BALSECA MACIAS PAOLA ESTEFANIA (COMEX)" u="1"/>
        <s v="SABANDO MENDOZA ROSSANA" u="1"/>
        <s v="CANTOS MOREIRA SILVIA ZULE (asignar 1)" u="1"/>
        <s v="MEJIA VÁSQUEZ PERICLES" u="1"/>
        <s v="ÁLVAREZ CÁRDENAS ALBERTO " u="1"/>
        <s v="ARIAS ARIAS ANA ELENA " u="1"/>
        <s v="BAYAS NUÑEZ WERNER SEGUNDO" u="1"/>
        <s v="POR CONTRATAR" u="1"/>
        <s v="LOOR MOREIRA ALEXANDRA J." u="1"/>
        <s v="CAÑARTE RODRIGUEZ TANIA CECIBEL (GIG)" u="1"/>
        <s v="ARAUZ CHAVEZ MARIO ROBERTO (GIG)" u="1"/>
        <s v="PEÑAHERRERA VELEZ CINDY DEL CARMEN (GIG)" u="1"/>
        <s v="VILLAMARIN VILLOTA WALTER" u="1"/>
        <s v="ARTEAGA FLORES ROSSANA " u="1"/>
        <s v="ANCHUNDIA CARRASCO ARMANDO RENE" u="1"/>
        <s v="SANTANA CEDEÑO HIRAIDA MONSERRATE" u="1"/>
        <s v="BARREIRO CEDEÑO ISABEL MONSERRATE (GIG)" u="1"/>
        <s v="IDROVO FLORES PEDRO (GIG)" u="1"/>
        <s v="NN" u="1"/>
        <s v="PINARGOTE  MONTENEGRO KAREN" u="1"/>
        <s v="CÁCERES LARREATEGUI ALBA LUCIA (ADM)" u="1"/>
        <s v="GARAY VERA JULIA MARLENE (GIG)" u="1"/>
        <s v="MACÍAS AVILA CARLOS ANDRÉS" u="1"/>
        <s v="PINARGOTE MONTENEGRO KAREN" u="1"/>
        <s v="CANTOS MOREIRA SILVIA ZULE" u="1"/>
        <s v="GRACIA PANTA EDISON" u="1"/>
        <s v="HERNANDEZ SORIA LIZETH" u="1"/>
        <s v="LOOR CHAVEZ DEODATO" u="1"/>
        <s v="PALACIOS MOLINA DAYNI" u="1"/>
        <s v="  POR ASIGNAR 1" u="1"/>
        <s v="MENDOZA INTRIAGO DIDIMO ALEXANDER" u="1"/>
        <s v="  POR ASIGNAR 2" u="1"/>
        <s v="ALCIVAR MERO JESSENIA MARIA (ADM)" u="1"/>
        <s v="POR DESIGNAR" u="1"/>
        <s v="PONCE ANDRADE JOHNNY" u="1"/>
        <s v="  POR ASIGNAR 3" u="1"/>
        <s v="HIDROVO FLORES PEDRO (GIG)" u="1"/>
        <s v="  POR ASIGNAR 4" u="1"/>
        <s v="TTTT" u="1"/>
        <s v="DIRECCIÓN E.V." u="1"/>
        <s v="CANTOS MOREIRA SILVIA ZULEY" u="1"/>
        <s v="ROJAS ONCE MERCY CELINDA (GIG)" u="1"/>
        <s v="VIDAL FERNANDEZ PABLO (GIG)" u="1"/>
        <s v="VIDAL FERNÁNDEZ PABLO (GIG)" u="1"/>
        <s v="PEÑA VELEZ VANESSA" u="1"/>
      </sharedItems>
    </cacheField>
    <cacheField name="HORAS" numFmtId="0">
      <sharedItems containsSemiMixedTypes="0" containsString="0" containsNumber="1" containsInteger="1" minValue="3" maxValue="5"/>
    </cacheField>
    <cacheField name="COMISIÓN" numFmtId="0">
      <sharedItems containsNonDate="0" containsString="0" containsBlank="1"/>
    </cacheField>
    <cacheField name="CARRERA" numFmtId="0">
      <sharedItems/>
    </cacheField>
    <cacheField name="DEDIC" numFmtId="0">
      <sharedItems/>
    </cacheField>
    <cacheField name="HORAS2" numFmtId="0">
      <sharedItems containsSemiMixedTypes="0" containsString="0" containsNumber="1" containsInteger="1" minValue="4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n v="3"/>
    <m/>
    <s v="MALLA 2024NS"/>
    <s v="TC"/>
    <n v="21"/>
  </r>
  <r>
    <x v="0"/>
    <x v="1"/>
    <x v="1"/>
    <n v="4"/>
    <m/>
    <s v="MALLA 2024NS"/>
    <s v="TC"/>
    <n v="4"/>
  </r>
  <r>
    <x v="0"/>
    <x v="2"/>
    <x v="2"/>
    <n v="3"/>
    <m/>
    <s v="MALLA 2024NS"/>
    <s v="TC"/>
    <n v="18"/>
  </r>
  <r>
    <x v="0"/>
    <x v="3"/>
    <x v="3"/>
    <n v="4"/>
    <m/>
    <s v="MALLA 2024NS"/>
    <s v="TC"/>
    <n v="20"/>
  </r>
  <r>
    <x v="0"/>
    <x v="4"/>
    <x v="4"/>
    <n v="3"/>
    <m/>
    <s v="MALLA 2024NS"/>
    <s v="TC"/>
    <n v="11"/>
  </r>
  <r>
    <x v="0"/>
    <x v="5"/>
    <x v="5"/>
    <n v="4"/>
    <m/>
    <s v="MALLA 2024NS"/>
    <s v="TC"/>
    <n v="8"/>
  </r>
  <r>
    <x v="1"/>
    <x v="6"/>
    <x v="6"/>
    <n v="4"/>
    <m/>
    <s v="MALLA 2024NS"/>
    <s v="TC"/>
    <n v="14"/>
  </r>
  <r>
    <x v="1"/>
    <x v="7"/>
    <x v="7"/>
    <n v="4"/>
    <m/>
    <s v="MALLA 2024NS"/>
    <s v="TC"/>
    <n v="4"/>
  </r>
  <r>
    <x v="1"/>
    <x v="8"/>
    <x v="8"/>
    <n v="3"/>
    <m/>
    <s v="MALLA 2024NS"/>
    <s v="TC"/>
    <n v="13"/>
  </r>
  <r>
    <x v="1"/>
    <x v="9"/>
    <x v="2"/>
    <n v="4"/>
    <m/>
    <s v="MALLA 2024NS"/>
    <s v="TC"/>
    <n v="18"/>
  </r>
  <r>
    <x v="1"/>
    <x v="10"/>
    <x v="9"/>
    <n v="5"/>
    <m/>
    <s v="MALLA 2024NS"/>
    <s v="TC"/>
    <n v="5"/>
  </r>
  <r>
    <x v="1"/>
    <x v="11"/>
    <x v="5"/>
    <n v="4"/>
    <m/>
    <s v="MALLA 2024NS"/>
    <s v="TC"/>
    <n v="8"/>
  </r>
  <r>
    <x v="2"/>
    <x v="12"/>
    <x v="10"/>
    <n v="5"/>
    <m/>
    <s v="MALLA 2024NS"/>
    <s v="TC"/>
    <n v="20"/>
  </r>
  <r>
    <x v="2"/>
    <x v="13"/>
    <x v="3"/>
    <n v="5"/>
    <m/>
    <s v="MALLA 2024NS"/>
    <s v="TC"/>
    <n v="20"/>
  </r>
  <r>
    <x v="2"/>
    <x v="14"/>
    <x v="11"/>
    <n v="5"/>
    <m/>
    <s v="MALLA 2024NS"/>
    <s v="TC"/>
    <n v="10"/>
  </r>
  <r>
    <x v="2"/>
    <x v="15"/>
    <x v="12"/>
    <n v="4"/>
    <m/>
    <s v="MALLA 2024NS"/>
    <s v="TC"/>
    <n v="8"/>
  </r>
  <r>
    <x v="2"/>
    <x v="16"/>
    <x v="4"/>
    <n v="4"/>
    <m/>
    <s v="MALLA 2024NS"/>
    <s v="TC"/>
    <n v="11"/>
  </r>
  <r>
    <x v="3"/>
    <x v="12"/>
    <x v="10"/>
    <n v="5"/>
    <m/>
    <s v="MALLA 2024NS"/>
    <s v="TC"/>
    <n v="20"/>
  </r>
  <r>
    <x v="3"/>
    <x v="13"/>
    <x v="3"/>
    <n v="5"/>
    <m/>
    <s v="MALLA 2024NS"/>
    <s v="TC"/>
    <n v="20"/>
  </r>
  <r>
    <x v="3"/>
    <x v="14"/>
    <x v="11"/>
    <n v="5"/>
    <m/>
    <s v="MALLA 2024NS"/>
    <s v="TC"/>
    <n v="10"/>
  </r>
  <r>
    <x v="3"/>
    <x v="15"/>
    <x v="12"/>
    <n v="4"/>
    <m/>
    <s v="MALLA 2024NS"/>
    <s v="TC"/>
    <n v="8"/>
  </r>
  <r>
    <x v="3"/>
    <x v="16"/>
    <x v="4"/>
    <n v="4"/>
    <m/>
    <s v="MALLA 2024NS"/>
    <s v="TC"/>
    <n v="11"/>
  </r>
  <r>
    <x v="4"/>
    <x v="17"/>
    <x v="13"/>
    <n v="5"/>
    <m/>
    <s v="MALLA 2024NS"/>
    <s v="TC"/>
    <n v="15"/>
  </r>
  <r>
    <x v="4"/>
    <x v="18"/>
    <x v="14"/>
    <n v="4"/>
    <m/>
    <s v="MALLA 2024NS"/>
    <s v="TC"/>
    <n v="16"/>
  </r>
  <r>
    <x v="4"/>
    <x v="19"/>
    <x v="6"/>
    <n v="5"/>
    <m/>
    <s v="MALLA 2024NS"/>
    <s v="TC"/>
    <n v="14"/>
  </r>
  <r>
    <x v="4"/>
    <x v="20"/>
    <x v="15"/>
    <n v="5"/>
    <m/>
    <s v="MALLA 2024NS"/>
    <s v="TC"/>
    <n v="15"/>
  </r>
  <r>
    <x v="4"/>
    <x v="21"/>
    <x v="16"/>
    <n v="4"/>
    <m/>
    <s v="MALLA 2024NS"/>
    <s v="TC"/>
    <n v="4"/>
  </r>
  <r>
    <x v="5"/>
    <x v="17"/>
    <x v="2"/>
    <n v="5"/>
    <m/>
    <s v="MALLA 2024NS"/>
    <s v="TC"/>
    <n v="18"/>
  </r>
  <r>
    <x v="5"/>
    <x v="18"/>
    <x v="14"/>
    <n v="4"/>
    <m/>
    <s v="MALLA 2024NS"/>
    <s v="TC"/>
    <n v="16"/>
  </r>
  <r>
    <x v="5"/>
    <x v="19"/>
    <x v="6"/>
    <n v="5"/>
    <m/>
    <s v="MALLA 2024NS"/>
    <s v="TC"/>
    <n v="14"/>
  </r>
  <r>
    <x v="5"/>
    <x v="20"/>
    <x v="15"/>
    <n v="5"/>
    <m/>
    <s v="MALLA 2024NS"/>
    <s v="TC"/>
    <n v="15"/>
  </r>
  <r>
    <x v="5"/>
    <x v="21"/>
    <x v="17"/>
    <n v="4"/>
    <m/>
    <s v="MALLA 2024NS"/>
    <s v="TC"/>
    <n v="4"/>
  </r>
  <r>
    <x v="6"/>
    <x v="22"/>
    <x v="18"/>
    <n v="4"/>
    <m/>
    <s v="MALLA 2024NS"/>
    <s v="TC"/>
    <n v="18"/>
  </r>
  <r>
    <x v="6"/>
    <x v="23"/>
    <x v="14"/>
    <n v="4"/>
    <m/>
    <s v="MALLA 2024NS"/>
    <s v="TC"/>
    <n v="16"/>
  </r>
  <r>
    <x v="6"/>
    <x v="24"/>
    <x v="8"/>
    <n v="5"/>
    <m/>
    <s v="MALLA 2024NS"/>
    <s v="TC"/>
    <n v="13"/>
  </r>
  <r>
    <x v="6"/>
    <x v="25"/>
    <x v="19"/>
    <n v="5"/>
    <m/>
    <s v="MALLA 2024NS"/>
    <s v="TC"/>
    <n v="18"/>
  </r>
  <r>
    <x v="6"/>
    <x v="26"/>
    <x v="10"/>
    <n v="5"/>
    <m/>
    <s v="MALLA 2024NS"/>
    <s v="TC"/>
    <n v="20"/>
  </r>
  <r>
    <x v="7"/>
    <x v="22"/>
    <x v="18"/>
    <n v="4"/>
    <m/>
    <s v="MALLA 2024NS"/>
    <s v="TC"/>
    <n v="18"/>
  </r>
  <r>
    <x v="7"/>
    <x v="23"/>
    <x v="14"/>
    <n v="4"/>
    <m/>
    <s v="MALLA 2024NS"/>
    <s v="TC"/>
    <n v="16"/>
  </r>
  <r>
    <x v="7"/>
    <x v="24"/>
    <x v="8"/>
    <n v="5"/>
    <m/>
    <s v="MALLA 2024NS"/>
    <s v="TC"/>
    <n v="13"/>
  </r>
  <r>
    <x v="7"/>
    <x v="25"/>
    <x v="19"/>
    <n v="5"/>
    <m/>
    <s v="MALLA 2024NS"/>
    <s v="TC"/>
    <n v="18"/>
  </r>
  <r>
    <x v="7"/>
    <x v="26"/>
    <x v="10"/>
    <n v="5"/>
    <m/>
    <s v="MALLA 2024NS"/>
    <s v="TC"/>
    <n v="20"/>
  </r>
  <r>
    <x v="8"/>
    <x v="27"/>
    <x v="20"/>
    <n v="5"/>
    <m/>
    <s v="MALLA 2017"/>
    <s v="TC"/>
    <n v="20"/>
  </r>
  <r>
    <x v="8"/>
    <x v="28"/>
    <x v="18"/>
    <n v="5"/>
    <m/>
    <s v="MALLA 2017"/>
    <s v="TC"/>
    <n v="18"/>
  </r>
  <r>
    <x v="8"/>
    <x v="29"/>
    <x v="0"/>
    <n v="4"/>
    <m/>
    <s v="MALLA 2017"/>
    <s v="TC"/>
    <n v="21"/>
  </r>
  <r>
    <x v="8"/>
    <x v="30"/>
    <x v="21"/>
    <n v="4"/>
    <m/>
    <s v="MALLA 2017"/>
    <s v="TC"/>
    <n v="16"/>
  </r>
  <r>
    <x v="8"/>
    <x v="31"/>
    <x v="22"/>
    <n v="5"/>
    <m/>
    <s v="MALLA 2017"/>
    <s v="TC"/>
    <n v="20"/>
  </r>
  <r>
    <x v="9"/>
    <x v="27"/>
    <x v="20"/>
    <n v="5"/>
    <m/>
    <s v="MALLA 2017"/>
    <s v="TC"/>
    <n v="20"/>
  </r>
  <r>
    <x v="9"/>
    <x v="28"/>
    <x v="18"/>
    <n v="5"/>
    <m/>
    <s v="MALLA 2017"/>
    <s v="TC"/>
    <n v="18"/>
  </r>
  <r>
    <x v="9"/>
    <x v="29"/>
    <x v="0"/>
    <n v="4"/>
    <m/>
    <s v="MALLA 2017"/>
    <s v="TC"/>
    <n v="21"/>
  </r>
  <r>
    <x v="9"/>
    <x v="30"/>
    <x v="21"/>
    <n v="4"/>
    <m/>
    <s v="MALLA 2017"/>
    <s v="TC"/>
    <n v="16"/>
  </r>
  <r>
    <x v="9"/>
    <x v="31"/>
    <x v="22"/>
    <n v="5"/>
    <m/>
    <s v="MALLA 2017"/>
    <s v="TC"/>
    <n v="20"/>
  </r>
  <r>
    <x v="10"/>
    <x v="32"/>
    <x v="22"/>
    <n v="5"/>
    <m/>
    <s v="MALLA 2024NS"/>
    <s v="TC"/>
    <n v="20"/>
  </r>
  <r>
    <x v="10"/>
    <x v="33"/>
    <x v="20"/>
    <n v="5"/>
    <m/>
    <s v="MALLA 2024NS"/>
    <s v="TC"/>
    <n v="20"/>
  </r>
  <r>
    <x v="10"/>
    <x v="34"/>
    <x v="23"/>
    <n v="5"/>
    <m/>
    <s v="MALLA 2024NS"/>
    <s v="TC"/>
    <n v="10"/>
  </r>
  <r>
    <x v="10"/>
    <x v="35"/>
    <x v="24"/>
    <n v="5"/>
    <m/>
    <s v="MALLA 2024NS"/>
    <s v="TC"/>
    <n v="10"/>
  </r>
  <r>
    <x v="11"/>
    <x v="32"/>
    <x v="22"/>
    <n v="5"/>
    <m/>
    <s v="MALLA 2024NS"/>
    <s v="TC"/>
    <n v="20"/>
  </r>
  <r>
    <x v="11"/>
    <x v="33"/>
    <x v="20"/>
    <n v="5"/>
    <m/>
    <s v="MALLA 2024NS"/>
    <s v="TC"/>
    <n v="20"/>
  </r>
  <r>
    <x v="11"/>
    <x v="34"/>
    <x v="23"/>
    <n v="5"/>
    <m/>
    <s v="MALLA 2024NS"/>
    <s v="TC"/>
    <n v="10"/>
  </r>
  <r>
    <x v="11"/>
    <x v="35"/>
    <x v="24"/>
    <n v="5"/>
    <m/>
    <s v="MALLA 2024NS"/>
    <s v="TC"/>
    <n v="10"/>
  </r>
  <r>
    <x v="12"/>
    <x v="36"/>
    <x v="13"/>
    <n v="5"/>
    <m/>
    <s v="MALLA 2024NS"/>
    <s v="TC"/>
    <n v="15"/>
  </r>
  <r>
    <x v="12"/>
    <x v="37"/>
    <x v="0"/>
    <n v="5"/>
    <m/>
    <s v="MALLA 2024NS"/>
    <s v="TC"/>
    <n v="21"/>
  </r>
  <r>
    <x v="12"/>
    <x v="38"/>
    <x v="25"/>
    <n v="5"/>
    <m/>
    <s v="MALLA 2024NS"/>
    <s v="TC"/>
    <n v="15"/>
  </r>
  <r>
    <x v="12"/>
    <x v="39"/>
    <x v="26"/>
    <n v="5"/>
    <m/>
    <s v="MALLA 2024NS"/>
    <s v="TC"/>
    <n v="18"/>
  </r>
  <r>
    <x v="13"/>
    <x v="36"/>
    <x v="13"/>
    <n v="5"/>
    <m/>
    <s v="MALLA 2024NS"/>
    <s v="TC"/>
    <n v="15"/>
  </r>
  <r>
    <x v="13"/>
    <x v="37"/>
    <x v="0"/>
    <n v="5"/>
    <m/>
    <s v="MALLA 2024NS"/>
    <s v="TC"/>
    <n v="21"/>
  </r>
  <r>
    <x v="13"/>
    <x v="38"/>
    <x v="25"/>
    <n v="5"/>
    <m/>
    <s v="MALLA 2024NS"/>
    <s v="TC"/>
    <n v="15"/>
  </r>
  <r>
    <x v="13"/>
    <x v="39"/>
    <x v="26"/>
    <n v="5"/>
    <m/>
    <s v="MALLA 2024NS"/>
    <s v="TC"/>
    <n v="18"/>
  </r>
  <r>
    <x v="14"/>
    <x v="32"/>
    <x v="21"/>
    <n v="4"/>
    <m/>
    <s v="MALLA 2017"/>
    <s v="TC"/>
    <n v="16"/>
  </r>
  <r>
    <x v="14"/>
    <x v="40"/>
    <x v="19"/>
    <n v="4"/>
    <m/>
    <s v="MALLA 2017"/>
    <s v="TC"/>
    <n v="18"/>
  </r>
  <r>
    <x v="14"/>
    <x v="41"/>
    <x v="2"/>
    <n v="3"/>
    <m/>
    <s v="MALLA 2017"/>
    <s v="TC"/>
    <n v="18"/>
  </r>
  <r>
    <x v="14"/>
    <x v="42"/>
    <x v="3"/>
    <n v="3"/>
    <m/>
    <s v="MALLA 2017"/>
    <s v="TC"/>
    <n v="20"/>
  </r>
  <r>
    <x v="14"/>
    <x v="43"/>
    <x v="15"/>
    <n v="5"/>
    <m/>
    <s v="MALLA 2017"/>
    <s v="TC"/>
    <n v="15"/>
  </r>
  <r>
    <x v="14"/>
    <x v="44"/>
    <x v="26"/>
    <n v="4"/>
    <m/>
    <s v="MALLA 2017"/>
    <s v="TC"/>
    <n v="18"/>
  </r>
  <r>
    <x v="15"/>
    <x v="32"/>
    <x v="21"/>
    <n v="4"/>
    <m/>
    <s v="MALLA 2017"/>
    <s v="TC"/>
    <n v="16"/>
  </r>
  <r>
    <x v="15"/>
    <x v="40"/>
    <x v="19"/>
    <n v="4"/>
    <m/>
    <s v="MALLA 2017"/>
    <s v="TC"/>
    <n v="18"/>
  </r>
  <r>
    <x v="15"/>
    <x v="41"/>
    <x v="2"/>
    <n v="3"/>
    <m/>
    <s v="MALLA 2017"/>
    <s v="TC"/>
    <n v="18"/>
  </r>
  <r>
    <x v="15"/>
    <x v="42"/>
    <x v="3"/>
    <n v="3"/>
    <m/>
    <s v="MALLA 2017"/>
    <s v="TC"/>
    <n v="20"/>
  </r>
  <r>
    <x v="15"/>
    <x v="43"/>
    <x v="25"/>
    <n v="5"/>
    <m/>
    <s v="MALLA 2017"/>
    <s v="TC"/>
    <n v="15"/>
  </r>
  <r>
    <x v="15"/>
    <x v="44"/>
    <x v="26"/>
    <n v="4"/>
    <m/>
    <s v="MALLA 2017"/>
    <s v="TC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 dinámica2" cacheId="1" applyNumberFormats="0" applyBorderFormats="0" applyFontFormats="0" applyPatternFormats="0" applyAlignmentFormats="0" applyWidthHeightFormats="1" dataCaption="Valores" grandTotalCaption="TOTAL HORAS CLASES PRESENCIALES" updatedVersion="8" minRefreshableVersion="3" useAutoFormatting="1" itemPrintTitles="1" createdVersion="5" indent="0" outline="1" outlineData="1" multipleFieldFilters="0" rowHeaderCaption="DOCENTES">
  <location ref="A1:B158" firstHeaderRow="1" firstDataRow="1" firstDataCol="1"/>
  <pivotFields count="8">
    <pivotField axis="axisRow" showAll="0">
      <items count="72">
        <item m="1" x="57"/>
        <item m="1" x="58"/>
        <item x="0"/>
        <item m="1" x="20"/>
        <item m="1" x="50"/>
        <item m="1" x="16"/>
        <item m="1" x="34"/>
        <item x="2"/>
        <item x="4"/>
        <item x="5"/>
        <item x="6"/>
        <item x="7"/>
        <item x="8"/>
        <item x="9"/>
        <item x="10"/>
        <item x="11"/>
        <item x="12"/>
        <item m="1" x="21"/>
        <item m="1" x="62"/>
        <item m="1" x="45"/>
        <item m="1" x="36"/>
        <item m="1" x="17"/>
        <item m="1" x="53"/>
        <item m="1" x="38"/>
        <item m="1" x="69"/>
        <item m="1" x="59"/>
        <item m="1" x="55"/>
        <item m="1" x="46"/>
        <item m="1" x="52"/>
        <item m="1" x="48"/>
        <item m="1" x="44"/>
        <item m="1" x="40"/>
        <item m="1" x="63"/>
        <item m="1" x="35"/>
        <item m="1" x="43"/>
        <item m="1" x="39"/>
        <item m="1" x="54"/>
        <item m="1" x="49"/>
        <item m="1" x="61"/>
        <item m="1" x="42"/>
        <item m="1" x="37"/>
        <item m="1" x="70"/>
        <item m="1" x="60"/>
        <item m="1" x="51"/>
        <item m="1" x="47"/>
        <item m="1" x="64"/>
        <item m="1" x="65"/>
        <item m="1" x="66"/>
        <item m="1" x="67"/>
        <item m="1" x="68"/>
        <item m="1" x="56"/>
        <item m="1" x="41"/>
        <item m="1" x="33"/>
        <item m="1" x="31"/>
        <item m="1" x="30"/>
        <item m="1" x="22"/>
        <item m="1" x="23"/>
        <item m="1" x="32"/>
        <item m="1" x="29"/>
        <item m="1" x="19"/>
        <item m="1" x="28"/>
        <item m="1" x="18"/>
        <item m="1" x="27"/>
        <item m="1" x="24"/>
        <item m="1" x="25"/>
        <item m="1" x="26"/>
        <item x="14"/>
        <item x="15"/>
        <item x="13"/>
        <item x="1"/>
        <item x="3"/>
        <item t="default"/>
      </items>
    </pivotField>
    <pivotField axis="axisRow" showAll="0">
      <items count="156">
        <item m="1" x="62"/>
        <item m="1" x="97"/>
        <item m="1" x="137"/>
        <item m="1" x="116"/>
        <item m="1" x="119"/>
        <item m="1" x="70"/>
        <item m="1" x="54"/>
        <item x="35"/>
        <item x="9"/>
        <item m="1" x="120"/>
        <item m="1" x="127"/>
        <item m="1" x="132"/>
        <item m="1" x="126"/>
        <item m="1" x="71"/>
        <item m="1" x="96"/>
        <item m="1" x="103"/>
        <item m="1" x="151"/>
        <item m="1" x="104"/>
        <item m="1" x="125"/>
        <item m="1" x="89"/>
        <item m="1" x="79"/>
        <item m="1" x="83"/>
        <item m="1" x="72"/>
        <item m="1" x="90"/>
        <item m="1" x="108"/>
        <item m="1" x="149"/>
        <item m="1" x="145"/>
        <item m="1" x="115"/>
        <item m="1" x="117"/>
        <item m="1" x="55"/>
        <item m="1" x="93"/>
        <item m="1" x="154"/>
        <item m="1" x="73"/>
        <item m="1" x="107"/>
        <item m="1" x="99"/>
        <item m="1" x="98"/>
        <item m="1" x="106"/>
        <item m="1" x="129"/>
        <item m="1" x="95"/>
        <item m="1" x="147"/>
        <item m="1" x="57"/>
        <item m="1" x="138"/>
        <item m="1" x="82"/>
        <item m="1" x="74"/>
        <item m="1" x="128"/>
        <item m="1" x="80"/>
        <item m="1" x="136"/>
        <item m="1" x="88"/>
        <item m="1" x="75"/>
        <item m="1" x="109"/>
        <item m="1" x="148"/>
        <item m="1" x="134"/>
        <item m="1" x="100"/>
        <item m="1" x="150"/>
        <item m="1" x="77"/>
        <item m="1" x="140"/>
        <item x="13"/>
        <item m="1" x="146"/>
        <item m="1" x="130"/>
        <item m="1" x="118"/>
        <item x="17"/>
        <item m="1" x="92"/>
        <item m="1" x="122"/>
        <item m="1" x="131"/>
        <item m="1" x="111"/>
        <item m="1" x="47"/>
        <item m="1" x="48"/>
        <item m="1" x="50"/>
        <item m="1" x="113"/>
        <item m="1" x="51"/>
        <item m="1" x="49"/>
        <item m="1" x="141"/>
        <item m="1" x="56"/>
        <item m="1" x="84"/>
        <item m="1" x="76"/>
        <item x="32"/>
        <item x="40"/>
        <item x="41"/>
        <item x="43"/>
        <item x="42"/>
        <item m="1" x="91"/>
        <item m="1" x="68"/>
        <item m="1" x="135"/>
        <item x="2"/>
        <item x="5"/>
        <item x="3"/>
        <item m="1" x="87"/>
        <item x="10"/>
        <item x="7"/>
        <item x="11"/>
        <item x="8"/>
        <item x="6"/>
        <item m="1" x="144"/>
        <item x="12"/>
        <item x="15"/>
        <item x="14"/>
        <item m="1" x="86"/>
        <item m="1" x="78"/>
        <item x="31"/>
        <item m="1" x="58"/>
        <item x="36"/>
        <item x="44"/>
        <item x="0"/>
        <item m="1" x="105"/>
        <item m="1" x="101"/>
        <item m="1" x="123"/>
        <item m="1" x="94"/>
        <item x="4"/>
        <item m="1" x="45"/>
        <item x="19"/>
        <item x="21"/>
        <item x="18"/>
        <item x="20"/>
        <item m="1" x="102"/>
        <item m="1" x="69"/>
        <item m="1" x="121"/>
        <item m="1" x="110"/>
        <item m="1" x="124"/>
        <item m="1" x="114"/>
        <item m="1" x="112"/>
        <item m="1" x="153"/>
        <item m="1" x="133"/>
        <item m="1" x="85"/>
        <item m="1" x="139"/>
        <item m="1" x="81"/>
        <item m="1" x="152"/>
        <item x="38"/>
        <item m="1" x="142"/>
        <item m="1" x="143"/>
        <item x="25"/>
        <item x="26"/>
        <item x="24"/>
        <item x="22"/>
        <item x="23"/>
        <item x="16"/>
        <item x="28"/>
        <item x="27"/>
        <item x="29"/>
        <item x="30"/>
        <item m="1" x="53"/>
        <item m="1" x="46"/>
        <item m="1" x="64"/>
        <item m="1" x="65"/>
        <item m="1" x="66"/>
        <item m="1" x="67"/>
        <item m="1" x="63"/>
        <item m="1" x="59"/>
        <item m="1" x="60"/>
        <item m="1" x="52"/>
        <item m="1" x="61"/>
        <item x="34"/>
        <item x="33"/>
        <item x="1"/>
        <item x="39"/>
        <item x="37"/>
        <item t="default"/>
      </items>
    </pivotField>
    <pivotField axis="axisRow" showAll="0" sortType="ascending">
      <items count="103">
        <item m="1" x="46"/>
        <item m="1" x="86"/>
        <item m="1" x="88"/>
        <item m="1" x="92"/>
        <item m="1" x="94"/>
        <item m="1" x="55"/>
        <item m="1" x="89"/>
        <item m="1" x="61"/>
        <item m="1" x="71"/>
        <item m="1" x="44"/>
        <item m="1" x="40"/>
        <item m="1" x="30"/>
        <item m="1" x="67"/>
        <item x="2"/>
        <item m="1" x="62"/>
        <item m="1" x="56"/>
        <item m="1" x="70"/>
        <item x="21"/>
        <item m="1" x="57"/>
        <item m="1" x="73"/>
        <item m="1" x="39"/>
        <item m="1" x="63"/>
        <item m="1" x="77"/>
        <item m="1" x="38"/>
        <item m="1" x="81"/>
        <item m="1" x="59"/>
        <item m="1" x="97"/>
        <item m="1" x="66"/>
        <item m="1" x="43"/>
        <item x="18"/>
        <item x="17"/>
        <item x="9"/>
        <item m="1" x="31"/>
        <item m="1" x="96"/>
        <item m="1" x="37"/>
        <item m="1" x="78"/>
        <item m="1" x="82"/>
        <item x="20"/>
        <item m="1" x="29"/>
        <item x="7"/>
        <item m="1" x="45"/>
        <item m="1" x="83"/>
        <item m="1" x="93"/>
        <item x="22"/>
        <item m="1" x="74"/>
        <item x="13"/>
        <item m="1" x="84"/>
        <item x="6"/>
        <item m="1" x="65"/>
        <item x="3"/>
        <item x="26"/>
        <item m="1" x="79"/>
        <item m="1" x="60"/>
        <item x="10"/>
        <item m="1" x="87"/>
        <item x="12"/>
        <item x="11"/>
        <item x="14"/>
        <item m="1" x="47"/>
        <item x="19"/>
        <item m="1" x="49"/>
        <item m="1" x="75"/>
        <item x="4"/>
        <item m="1" x="85"/>
        <item m="1" x="42"/>
        <item m="1" x="33"/>
        <item m="1" x="101"/>
        <item m="1" x="35"/>
        <item m="1" x="68"/>
        <item m="1" x="76"/>
        <item m="1" x="80"/>
        <item x="15"/>
        <item m="1" x="91"/>
        <item x="25"/>
        <item m="1" x="48"/>
        <item m="1" x="53"/>
        <item m="1" x="50"/>
        <item m="1" x="64"/>
        <item m="1" x="90"/>
        <item x="1"/>
        <item m="1" x="98"/>
        <item m="1" x="58"/>
        <item m="1" x="34"/>
        <item m="1" x="36"/>
        <item x="23"/>
        <item m="1" x="72"/>
        <item x="0"/>
        <item m="1" x="54"/>
        <item m="1" x="32"/>
        <item m="1" x="95"/>
        <item x="5"/>
        <item m="1" x="28"/>
        <item m="1" x="99"/>
        <item m="1" x="100"/>
        <item m="1" x="51"/>
        <item x="16"/>
        <item m="1" x="69"/>
        <item x="24"/>
        <item m="1" x="41"/>
        <item m="1" x="52"/>
        <item x="8"/>
        <item m="1" x="27"/>
        <item t="default"/>
      </items>
    </pivotField>
    <pivotField dataField="1" showAll="0"/>
    <pivotField showAll="0"/>
    <pivotField showAll="0"/>
    <pivotField showAll="0"/>
    <pivotField showAll="0"/>
  </pivotFields>
  <rowFields count="3">
    <field x="2"/>
    <field x="1"/>
    <field x="0"/>
  </rowFields>
  <rowItems count="157">
    <i>
      <x v="13"/>
    </i>
    <i r="1">
      <x v="8"/>
    </i>
    <i r="2">
      <x v="69"/>
    </i>
    <i r="1">
      <x v="60"/>
    </i>
    <i r="2">
      <x v="9"/>
    </i>
    <i r="1">
      <x v="77"/>
    </i>
    <i r="2">
      <x v="66"/>
    </i>
    <i r="2">
      <x v="67"/>
    </i>
    <i r="1">
      <x v="83"/>
    </i>
    <i r="2">
      <x v="2"/>
    </i>
    <i>
      <x v="17"/>
    </i>
    <i r="1">
      <x v="75"/>
    </i>
    <i r="2">
      <x v="66"/>
    </i>
    <i r="2">
      <x v="67"/>
    </i>
    <i r="1">
      <x v="138"/>
    </i>
    <i r="2">
      <x v="12"/>
    </i>
    <i r="2">
      <x v="13"/>
    </i>
    <i>
      <x v="29"/>
    </i>
    <i r="1">
      <x v="132"/>
    </i>
    <i r="2">
      <x v="10"/>
    </i>
    <i r="2">
      <x v="11"/>
    </i>
    <i r="1">
      <x v="135"/>
    </i>
    <i r="2">
      <x v="12"/>
    </i>
    <i r="2">
      <x v="13"/>
    </i>
    <i>
      <x v="30"/>
    </i>
    <i r="1">
      <x v="110"/>
    </i>
    <i r="2">
      <x v="9"/>
    </i>
    <i>
      <x v="31"/>
    </i>
    <i r="1">
      <x v="87"/>
    </i>
    <i r="2">
      <x v="69"/>
    </i>
    <i>
      <x v="37"/>
    </i>
    <i r="1">
      <x v="136"/>
    </i>
    <i r="2">
      <x v="12"/>
    </i>
    <i r="2">
      <x v="13"/>
    </i>
    <i r="1">
      <x v="151"/>
    </i>
    <i r="2">
      <x v="14"/>
    </i>
    <i r="2">
      <x v="15"/>
    </i>
    <i>
      <x v="39"/>
    </i>
    <i r="1">
      <x v="88"/>
    </i>
    <i r="2">
      <x v="69"/>
    </i>
    <i>
      <x v="43"/>
    </i>
    <i r="1">
      <x v="75"/>
    </i>
    <i r="2">
      <x v="14"/>
    </i>
    <i r="2">
      <x v="15"/>
    </i>
    <i r="1">
      <x v="98"/>
    </i>
    <i r="2">
      <x v="12"/>
    </i>
    <i r="2">
      <x v="13"/>
    </i>
    <i>
      <x v="45"/>
    </i>
    <i r="1">
      <x v="60"/>
    </i>
    <i r="2">
      <x v="8"/>
    </i>
    <i r="1">
      <x v="100"/>
    </i>
    <i r="2">
      <x v="16"/>
    </i>
    <i r="2">
      <x v="68"/>
    </i>
    <i>
      <x v="47"/>
    </i>
    <i r="1">
      <x v="91"/>
    </i>
    <i r="2">
      <x v="69"/>
    </i>
    <i r="1">
      <x v="109"/>
    </i>
    <i r="2">
      <x v="8"/>
    </i>
    <i r="2">
      <x v="9"/>
    </i>
    <i>
      <x v="49"/>
    </i>
    <i r="1">
      <x v="56"/>
    </i>
    <i r="2">
      <x v="7"/>
    </i>
    <i r="2">
      <x v="70"/>
    </i>
    <i r="1">
      <x v="79"/>
    </i>
    <i r="2">
      <x v="66"/>
    </i>
    <i r="2">
      <x v="67"/>
    </i>
    <i r="1">
      <x v="85"/>
    </i>
    <i r="2">
      <x v="2"/>
    </i>
    <i>
      <x v="50"/>
    </i>
    <i r="1">
      <x v="101"/>
    </i>
    <i r="2">
      <x v="66"/>
    </i>
    <i r="2">
      <x v="67"/>
    </i>
    <i r="1">
      <x v="153"/>
    </i>
    <i r="2">
      <x v="16"/>
    </i>
    <i r="2">
      <x v="68"/>
    </i>
    <i>
      <x v="53"/>
    </i>
    <i r="1">
      <x v="93"/>
    </i>
    <i r="2">
      <x v="7"/>
    </i>
    <i r="2">
      <x v="70"/>
    </i>
    <i r="1">
      <x v="130"/>
    </i>
    <i r="2">
      <x v="10"/>
    </i>
    <i r="2">
      <x v="11"/>
    </i>
    <i>
      <x v="55"/>
    </i>
    <i r="1">
      <x v="94"/>
    </i>
    <i r="2">
      <x v="7"/>
    </i>
    <i r="2">
      <x v="70"/>
    </i>
    <i>
      <x v="56"/>
    </i>
    <i r="1">
      <x v="95"/>
    </i>
    <i r="2">
      <x v="7"/>
    </i>
    <i r="2">
      <x v="70"/>
    </i>
    <i>
      <x v="57"/>
    </i>
    <i r="1">
      <x v="111"/>
    </i>
    <i r="2">
      <x v="8"/>
    </i>
    <i r="2">
      <x v="9"/>
    </i>
    <i r="1">
      <x v="133"/>
    </i>
    <i r="2">
      <x v="10"/>
    </i>
    <i r="2">
      <x v="11"/>
    </i>
    <i>
      <x v="59"/>
    </i>
    <i r="1">
      <x v="76"/>
    </i>
    <i r="2">
      <x v="66"/>
    </i>
    <i r="2">
      <x v="67"/>
    </i>
    <i r="1">
      <x v="129"/>
    </i>
    <i r="2">
      <x v="10"/>
    </i>
    <i r="2">
      <x v="11"/>
    </i>
    <i>
      <x v="62"/>
    </i>
    <i r="1">
      <x v="107"/>
    </i>
    <i r="2">
      <x v="2"/>
    </i>
    <i r="1">
      <x v="134"/>
    </i>
    <i r="2">
      <x v="7"/>
    </i>
    <i r="2">
      <x v="70"/>
    </i>
    <i>
      <x v="71"/>
    </i>
    <i r="1">
      <x v="78"/>
    </i>
    <i r="2">
      <x v="66"/>
    </i>
    <i r="1">
      <x v="112"/>
    </i>
    <i r="2">
      <x v="8"/>
    </i>
    <i r="2">
      <x v="9"/>
    </i>
    <i>
      <x v="73"/>
    </i>
    <i r="1">
      <x v="78"/>
    </i>
    <i r="2">
      <x v="67"/>
    </i>
    <i r="1">
      <x v="126"/>
    </i>
    <i r="2">
      <x v="16"/>
    </i>
    <i r="2">
      <x v="68"/>
    </i>
    <i>
      <x v="79"/>
    </i>
    <i r="1">
      <x v="152"/>
    </i>
    <i r="2">
      <x v="2"/>
    </i>
    <i>
      <x v="84"/>
    </i>
    <i r="1">
      <x v="150"/>
    </i>
    <i r="2">
      <x v="14"/>
    </i>
    <i r="2">
      <x v="15"/>
    </i>
    <i>
      <x v="86"/>
    </i>
    <i r="1">
      <x v="102"/>
    </i>
    <i r="2">
      <x v="2"/>
    </i>
    <i r="1">
      <x v="137"/>
    </i>
    <i r="2">
      <x v="12"/>
    </i>
    <i r="2">
      <x v="13"/>
    </i>
    <i r="1">
      <x v="154"/>
    </i>
    <i r="2">
      <x v="16"/>
    </i>
    <i r="2">
      <x v="68"/>
    </i>
    <i>
      <x v="90"/>
    </i>
    <i r="1">
      <x v="84"/>
    </i>
    <i r="2">
      <x v="2"/>
    </i>
    <i r="1">
      <x v="89"/>
    </i>
    <i r="2">
      <x v="69"/>
    </i>
    <i>
      <x v="95"/>
    </i>
    <i r="1">
      <x v="110"/>
    </i>
    <i r="2">
      <x v="8"/>
    </i>
    <i>
      <x v="97"/>
    </i>
    <i r="1">
      <x v="7"/>
    </i>
    <i r="2">
      <x v="14"/>
    </i>
    <i r="2">
      <x v="15"/>
    </i>
    <i>
      <x v="100"/>
    </i>
    <i r="1">
      <x v="90"/>
    </i>
    <i r="2">
      <x v="69"/>
    </i>
    <i r="1">
      <x v="131"/>
    </i>
    <i r="2">
      <x v="10"/>
    </i>
    <i r="2">
      <x v="11"/>
    </i>
    <i t="grand">
      <x/>
    </i>
  </rowItems>
  <colItems count="1">
    <i/>
  </colItems>
  <dataFields count="1">
    <dataField name="H.PRESENCIALES" fld="3" baseField="0" baseItem="0"/>
  </dataFields>
  <formats count="367">
    <format dxfId="366">
      <pivotArea collapsedLevelsAreSubtotals="1" fieldPosition="0">
        <references count="1">
          <reference field="2" count="1">
            <x v="7"/>
          </reference>
        </references>
      </pivotArea>
    </format>
    <format dxfId="365">
      <pivotArea collapsedLevelsAreSubtotals="1" fieldPosition="0">
        <references count="1">
          <reference field="2" count="1">
            <x v="14"/>
          </reference>
        </references>
      </pivotArea>
    </format>
    <format dxfId="364">
      <pivotArea collapsedLevelsAreSubtotals="1" fieldPosition="0">
        <references count="1">
          <reference field="2" count="1">
            <x v="16"/>
          </reference>
        </references>
      </pivotArea>
    </format>
    <format dxfId="363">
      <pivotArea collapsedLevelsAreSubtotals="1" fieldPosition="0">
        <references count="1">
          <reference field="2" count="1">
            <x v="10"/>
          </reference>
        </references>
      </pivotArea>
    </format>
    <format dxfId="362">
      <pivotArea collapsedLevelsAreSubtotals="1" fieldPosition="0">
        <references count="1">
          <reference field="2" count="1">
            <x v="10"/>
          </reference>
        </references>
      </pivotArea>
    </format>
    <format dxfId="361">
      <pivotArea collapsedLevelsAreSubtotals="1" fieldPosition="0">
        <references count="1">
          <reference field="2" count="1">
            <x v="14"/>
          </reference>
        </references>
      </pivotArea>
    </format>
    <format dxfId="360">
      <pivotArea collapsedLevelsAreSubtotals="1" fieldPosition="0">
        <references count="1">
          <reference field="2" count="1">
            <x v="16"/>
          </reference>
        </references>
      </pivotArea>
    </format>
    <format dxfId="359">
      <pivotArea collapsedLevelsAreSubtotals="1" fieldPosition="0">
        <references count="1">
          <reference field="2" count="1">
            <x v="20"/>
          </reference>
        </references>
      </pivotArea>
    </format>
    <format dxfId="358">
      <pivotArea collapsedLevelsAreSubtotals="1" fieldPosition="0">
        <references count="1">
          <reference field="2" count="1">
            <x v="21"/>
          </reference>
        </references>
      </pivotArea>
    </format>
    <format dxfId="357">
      <pivotArea collapsedLevelsAreSubtotals="1" fieldPosition="0">
        <references count="1">
          <reference field="2" count="1">
            <x v="23"/>
          </reference>
        </references>
      </pivotArea>
    </format>
    <format dxfId="356">
      <pivotArea collapsedLevelsAreSubtotals="1" fieldPosition="0">
        <references count="1">
          <reference field="2" count="1">
            <x v="36"/>
          </reference>
        </references>
      </pivotArea>
    </format>
    <format dxfId="355">
      <pivotArea collapsedLevelsAreSubtotals="1" fieldPosition="0">
        <references count="1">
          <reference field="2" count="1">
            <x v="37"/>
          </reference>
        </references>
      </pivotArea>
    </format>
    <format dxfId="354">
      <pivotArea collapsedLevelsAreSubtotals="1" fieldPosition="0">
        <references count="1">
          <reference field="2" count="1">
            <x v="45"/>
          </reference>
        </references>
      </pivotArea>
    </format>
    <format dxfId="353">
      <pivotArea collapsedLevelsAreSubtotals="1" fieldPosition="0">
        <references count="1">
          <reference field="2" count="1">
            <x v="46"/>
          </reference>
        </references>
      </pivotArea>
    </format>
    <format dxfId="352">
      <pivotArea collapsedLevelsAreSubtotals="1" fieldPosition="0">
        <references count="1">
          <reference field="2" count="1">
            <x v="48"/>
          </reference>
        </references>
      </pivotArea>
    </format>
    <format dxfId="351">
      <pivotArea collapsedLevelsAreSubtotals="1" fieldPosition="0">
        <references count="1">
          <reference field="2" count="1">
            <x v="50"/>
          </reference>
        </references>
      </pivotArea>
    </format>
    <format dxfId="350">
      <pivotArea collapsedLevelsAreSubtotals="1" fieldPosition="0">
        <references count="1">
          <reference field="2" count="1">
            <x v="52"/>
          </reference>
        </references>
      </pivotArea>
    </format>
    <format dxfId="349">
      <pivotArea collapsedLevelsAreSubtotals="1" fieldPosition="0">
        <references count="1">
          <reference field="2" count="1">
            <x v="55"/>
          </reference>
        </references>
      </pivotArea>
    </format>
    <format dxfId="348">
      <pivotArea collapsedLevelsAreSubtotals="1" fieldPosition="0">
        <references count="1">
          <reference field="2" count="1">
            <x v="56"/>
          </reference>
        </references>
      </pivotArea>
    </format>
    <format dxfId="347">
      <pivotArea collapsedLevelsAreSubtotals="1" fieldPosition="0">
        <references count="1">
          <reference field="2" count="1">
            <x v="57"/>
          </reference>
        </references>
      </pivotArea>
    </format>
    <format dxfId="346">
      <pivotArea collapsedLevelsAreSubtotals="1" fieldPosition="0">
        <references count="1">
          <reference field="2" count="1">
            <x v="58"/>
          </reference>
        </references>
      </pivotArea>
    </format>
    <format dxfId="345">
      <pivotArea collapsedLevelsAreSubtotals="1" fieldPosition="0">
        <references count="1">
          <reference field="2" count="1">
            <x v="62"/>
          </reference>
        </references>
      </pivotArea>
    </format>
    <format dxfId="344">
      <pivotArea collapsedLevelsAreSubtotals="1" fieldPosition="0">
        <references count="1">
          <reference field="2" count="1">
            <x v="63"/>
          </reference>
        </references>
      </pivotArea>
    </format>
    <format dxfId="343">
      <pivotArea collapsedLevelsAreSubtotals="1" fieldPosition="0">
        <references count="1">
          <reference field="2" count="1">
            <x v="66"/>
          </reference>
        </references>
      </pivotArea>
    </format>
    <format dxfId="342">
      <pivotArea collapsedLevelsAreSubtotals="1" fieldPosition="0">
        <references count="1">
          <reference field="2" count="1">
            <x v="81"/>
          </reference>
        </references>
      </pivotArea>
    </format>
    <format dxfId="341">
      <pivotArea collapsedLevelsAreSubtotals="1" fieldPosition="0">
        <references count="1">
          <reference field="2" count="1">
            <x v="72"/>
          </reference>
        </references>
      </pivotArea>
    </format>
    <format dxfId="340">
      <pivotArea collapsedLevelsAreSubtotals="1" fieldPosition="0">
        <references count="1">
          <reference field="2" count="1">
            <x v="69"/>
          </reference>
        </references>
      </pivotArea>
    </format>
    <format dxfId="339">
      <pivotArea collapsedLevelsAreSubtotals="1" fieldPosition="0">
        <references count="1">
          <reference field="2" count="1">
            <x v="85"/>
          </reference>
        </references>
      </pivotArea>
    </format>
    <format dxfId="338">
      <pivotArea collapsedLevelsAreSubtotals="1" fieldPosition="0">
        <references count="1">
          <reference field="2" count="1">
            <x v="94"/>
          </reference>
        </references>
      </pivotArea>
    </format>
    <format dxfId="337">
      <pivotArea collapsedLevelsAreSubtotals="1" fieldPosition="0">
        <references count="1">
          <reference field="2" count="1">
            <x v="96"/>
          </reference>
        </references>
      </pivotArea>
    </format>
    <format dxfId="336">
      <pivotArea collapsedLevelsAreSubtotals="1" fieldPosition="0">
        <references count="1">
          <reference field="2" count="1">
            <x v="99"/>
          </reference>
        </references>
      </pivotArea>
    </format>
    <format dxfId="335">
      <pivotArea collapsedLevelsAreSubtotals="1" fieldPosition="0">
        <references count="1">
          <reference field="2" count="1">
            <x v="78"/>
          </reference>
        </references>
      </pivotArea>
    </format>
    <format dxfId="334">
      <pivotArea collapsedLevelsAreSubtotals="1" fieldPosition="0">
        <references count="1">
          <reference field="2" count="1">
            <x v="17"/>
          </reference>
        </references>
      </pivotArea>
    </format>
    <format dxfId="333">
      <pivotArea collapsedLevelsAreSubtotals="1" fieldPosition="0">
        <references count="1">
          <reference field="2" count="1">
            <x v="28"/>
          </reference>
        </references>
      </pivotArea>
    </format>
    <format dxfId="332">
      <pivotArea dataOnly="0" labelOnly="1" grandRow="1" outline="0" fieldPosition="0"/>
    </format>
    <format dxfId="331">
      <pivotArea collapsedLevelsAreSubtotals="1" fieldPosition="0">
        <references count="1">
          <reference field="2" count="1">
            <x v="7"/>
          </reference>
        </references>
      </pivotArea>
    </format>
    <format dxfId="330">
      <pivotArea dataOnly="0" outline="0" axis="axisValues" fieldPosition="0"/>
    </format>
    <format dxfId="329">
      <pivotArea dataOnly="0" outline="0" axis="axisValues" fieldPosition="0"/>
    </format>
    <format dxfId="328">
      <pivotArea field="2" type="button" dataOnly="0" labelOnly="1" outline="0" axis="axisRow" fieldPosition="0"/>
    </format>
    <format dxfId="327">
      <pivotArea dataOnly="0" labelOnly="1" outline="0" axis="axisValues" fieldPosition="0"/>
    </format>
    <format dxfId="326">
      <pivotArea dataOnly="0" labelOnly="1" outline="0" axis="axisValues" fieldPosition="0"/>
    </format>
    <format dxfId="325">
      <pivotArea field="2" type="button" dataOnly="0" labelOnly="1" outline="0" axis="axisRow" fieldPosition="0"/>
    </format>
    <format dxfId="324">
      <pivotArea dataOnly="0" labelOnly="1" outline="0" axis="axisValues" fieldPosition="0"/>
    </format>
    <format dxfId="323">
      <pivotArea collapsedLevelsAreSubtotals="1" fieldPosition="0">
        <references count="1">
          <reference field="2" count="1">
            <x v="17"/>
          </reference>
        </references>
      </pivotArea>
    </format>
    <format dxfId="322">
      <pivotArea collapsedLevelsAreSubtotals="1" fieldPosition="0">
        <references count="1">
          <reference field="2" count="1">
            <x v="20"/>
          </reference>
        </references>
      </pivotArea>
    </format>
    <format dxfId="321">
      <pivotArea collapsedLevelsAreSubtotals="1" fieldPosition="0">
        <references count="1">
          <reference field="2" count="1">
            <x v="10"/>
          </reference>
        </references>
      </pivotArea>
    </format>
    <format dxfId="320">
      <pivotArea collapsedLevelsAreSubtotals="1" fieldPosition="0">
        <references count="1">
          <reference field="2" count="1">
            <x v="21"/>
          </reference>
        </references>
      </pivotArea>
    </format>
    <format dxfId="319">
      <pivotArea collapsedLevelsAreSubtotals="1" fieldPosition="0">
        <references count="1">
          <reference field="2" count="1">
            <x v="55"/>
          </reference>
        </references>
      </pivotArea>
    </format>
    <format dxfId="318">
      <pivotArea collapsedLevelsAreSubtotals="1" fieldPosition="0">
        <references count="1">
          <reference field="2" count="1">
            <x v="52"/>
          </reference>
        </references>
      </pivotArea>
    </format>
    <format dxfId="317">
      <pivotArea collapsedLevelsAreSubtotals="1" fieldPosition="0">
        <references count="1">
          <reference field="2" count="1">
            <x v="50"/>
          </reference>
        </references>
      </pivotArea>
    </format>
    <format dxfId="316">
      <pivotArea collapsedLevelsAreSubtotals="1" fieldPosition="0">
        <references count="1">
          <reference field="2" count="1">
            <x v="48"/>
          </reference>
        </references>
      </pivotArea>
    </format>
    <format dxfId="315">
      <pivotArea collapsedLevelsAreSubtotals="1" fieldPosition="0">
        <references count="1">
          <reference field="2" count="1">
            <x v="46"/>
          </reference>
        </references>
      </pivotArea>
    </format>
    <format dxfId="314">
      <pivotArea collapsedLevelsAreSubtotals="1" fieldPosition="0">
        <references count="1">
          <reference field="2" count="1">
            <x v="45"/>
          </reference>
        </references>
      </pivotArea>
    </format>
    <format dxfId="313">
      <pivotArea collapsedLevelsAreSubtotals="1" fieldPosition="0">
        <references count="1">
          <reference field="2" count="1">
            <x v="37"/>
          </reference>
        </references>
      </pivotArea>
    </format>
    <format dxfId="312">
      <pivotArea collapsedLevelsAreSubtotals="1" fieldPosition="0">
        <references count="1">
          <reference field="2" count="1">
            <x v="36"/>
          </reference>
        </references>
      </pivotArea>
    </format>
    <format dxfId="311">
      <pivotArea collapsedLevelsAreSubtotals="1" fieldPosition="0">
        <references count="1">
          <reference field="2" count="1">
            <x v="28"/>
          </reference>
        </references>
      </pivotArea>
    </format>
    <format dxfId="310">
      <pivotArea collapsedLevelsAreSubtotals="1" fieldPosition="0">
        <references count="1">
          <reference field="2" count="1">
            <x v="23"/>
          </reference>
        </references>
      </pivotArea>
    </format>
    <format dxfId="309">
      <pivotArea collapsedLevelsAreSubtotals="1" fieldPosition="0">
        <references count="1">
          <reference field="2" count="1">
            <x v="56"/>
          </reference>
        </references>
      </pivotArea>
    </format>
    <format dxfId="308">
      <pivotArea collapsedLevelsAreSubtotals="1" fieldPosition="0">
        <references count="1">
          <reference field="2" count="1">
            <x v="57"/>
          </reference>
        </references>
      </pivotArea>
    </format>
    <format dxfId="307">
      <pivotArea collapsedLevelsAreSubtotals="1" fieldPosition="0">
        <references count="1">
          <reference field="2" count="1">
            <x v="58"/>
          </reference>
        </references>
      </pivotArea>
    </format>
    <format dxfId="306">
      <pivotArea collapsedLevelsAreSubtotals="1" fieldPosition="0">
        <references count="1">
          <reference field="2" count="1">
            <x v="62"/>
          </reference>
        </references>
      </pivotArea>
    </format>
    <format dxfId="305">
      <pivotArea collapsedLevelsAreSubtotals="1" fieldPosition="0">
        <references count="1">
          <reference field="2" count="1">
            <x v="66"/>
          </reference>
        </references>
      </pivotArea>
    </format>
    <format dxfId="304">
      <pivotArea collapsedLevelsAreSubtotals="1" fieldPosition="0">
        <references count="1">
          <reference field="2" count="1">
            <x v="69"/>
          </reference>
        </references>
      </pivotArea>
    </format>
    <format dxfId="303">
      <pivotArea collapsedLevelsAreSubtotals="1" fieldPosition="0">
        <references count="1">
          <reference field="2" count="1">
            <x v="72"/>
          </reference>
        </references>
      </pivotArea>
    </format>
    <format dxfId="302">
      <pivotArea collapsedLevelsAreSubtotals="1" fieldPosition="0">
        <references count="1">
          <reference field="2" count="1">
            <x v="81"/>
          </reference>
        </references>
      </pivotArea>
    </format>
    <format dxfId="301">
      <pivotArea collapsedLevelsAreSubtotals="1" fieldPosition="0">
        <references count="1">
          <reference field="2" count="1">
            <x v="85"/>
          </reference>
        </references>
      </pivotArea>
    </format>
    <format dxfId="300">
      <pivotArea collapsedLevelsAreSubtotals="1" fieldPosition="0">
        <references count="1">
          <reference field="2" count="1">
            <x v="94"/>
          </reference>
        </references>
      </pivotArea>
    </format>
    <format dxfId="299">
      <pivotArea collapsedLevelsAreSubtotals="1" fieldPosition="0">
        <references count="1">
          <reference field="2" count="1">
            <x v="96"/>
          </reference>
        </references>
      </pivotArea>
    </format>
    <format dxfId="298">
      <pivotArea collapsedLevelsAreSubtotals="1" fieldPosition="0">
        <references count="1">
          <reference field="2" count="1">
            <x v="99"/>
          </reference>
        </references>
      </pivotArea>
    </format>
    <format dxfId="297">
      <pivotArea dataOnly="0" labelOnly="1" fieldPosition="0">
        <references count="1">
          <reference field="2" count="1">
            <x v="37"/>
          </reference>
        </references>
      </pivotArea>
    </format>
    <format dxfId="296">
      <pivotArea dataOnly="0" labelOnly="1" fieldPosition="0">
        <references count="1">
          <reference field="2" count="1">
            <x v="17"/>
          </reference>
        </references>
      </pivotArea>
    </format>
    <format dxfId="295">
      <pivotArea dataOnly="0" labelOnly="1" fieldPosition="0">
        <references count="1">
          <reference field="2" count="1">
            <x v="10"/>
          </reference>
        </references>
      </pivotArea>
    </format>
    <format dxfId="294">
      <pivotArea dataOnly="0" labelOnly="1" fieldPosition="0">
        <references count="1">
          <reference field="2" count="1">
            <x v="20"/>
          </reference>
        </references>
      </pivotArea>
    </format>
    <format dxfId="293">
      <pivotArea dataOnly="0" labelOnly="1" fieldPosition="0">
        <references count="1">
          <reference field="2" count="1">
            <x v="17"/>
          </reference>
        </references>
      </pivotArea>
    </format>
    <format dxfId="292">
      <pivotArea field="2" type="button" dataOnly="0" labelOnly="1" outline="0" axis="axisRow" fieldPosition="0"/>
    </format>
    <format dxfId="291">
      <pivotArea dataOnly="0" labelOnly="1" fieldPosition="0">
        <references count="1">
          <reference field="2" count="1">
            <x v="21"/>
          </reference>
        </references>
      </pivotArea>
    </format>
    <format dxfId="290">
      <pivotArea dataOnly="0" labelOnly="1" fieldPosition="0">
        <references count="1">
          <reference field="2" count="1">
            <x v="23"/>
          </reference>
        </references>
      </pivotArea>
    </format>
    <format dxfId="289">
      <pivotArea dataOnly="0" labelOnly="1" fieldPosition="0">
        <references count="1">
          <reference field="2" count="1">
            <x v="28"/>
          </reference>
        </references>
      </pivotArea>
    </format>
    <format dxfId="288">
      <pivotArea dataOnly="0" labelOnly="1" fieldPosition="0">
        <references count="1">
          <reference field="2" count="1">
            <x v="36"/>
          </reference>
        </references>
      </pivotArea>
    </format>
    <format dxfId="287">
      <pivotArea dataOnly="0" labelOnly="1" fieldPosition="0">
        <references count="1">
          <reference field="2" count="1">
            <x v="37"/>
          </reference>
        </references>
      </pivotArea>
    </format>
    <format dxfId="286">
      <pivotArea dataOnly="0" labelOnly="1" fieldPosition="0">
        <references count="2">
          <reference field="1" count="1">
            <x v="71"/>
          </reference>
          <reference field="2" count="1" selected="0">
            <x v="37"/>
          </reference>
        </references>
      </pivotArea>
    </format>
    <format dxfId="285">
      <pivotArea collapsedLevelsAreSubtotals="1" fieldPosition="0">
        <references count="2">
          <reference field="1" count="1">
            <x v="71"/>
          </reference>
          <reference field="2" count="1" selected="0">
            <x v="37"/>
          </reference>
        </references>
      </pivotArea>
    </format>
    <format dxfId="284">
      <pivotArea collapsedLevelsAreSubtotals="1" fieldPosition="0">
        <references count="2">
          <reference field="1" count="1">
            <x v="71"/>
          </reference>
          <reference field="2" count="1" selected="0">
            <x v="37"/>
          </reference>
        </references>
      </pivotArea>
    </format>
    <format dxfId="283">
      <pivotArea dataOnly="0" labelOnly="1" fieldPosition="0">
        <references count="2">
          <reference field="1" count="1">
            <x v="71"/>
          </reference>
          <reference field="2" count="1" selected="0">
            <x v="37"/>
          </reference>
        </references>
      </pivotArea>
    </format>
    <format dxfId="282">
      <pivotArea collapsedLevelsAreSubtotals="1" fieldPosition="0">
        <references count="2">
          <reference field="1" count="1">
            <x v="71"/>
          </reference>
          <reference field="2" count="1" selected="0">
            <x v="37"/>
          </reference>
        </references>
      </pivotArea>
    </format>
    <format dxfId="281">
      <pivotArea dataOnly="0" labelOnly="1" fieldPosition="0">
        <references count="1">
          <reference field="2" count="1">
            <x v="45"/>
          </reference>
        </references>
      </pivotArea>
    </format>
    <format dxfId="280">
      <pivotArea dataOnly="0" labelOnly="1" fieldPosition="0">
        <references count="1">
          <reference field="2" count="1">
            <x v="46"/>
          </reference>
        </references>
      </pivotArea>
    </format>
    <format dxfId="279">
      <pivotArea dataOnly="0" labelOnly="1" fieldPosition="0">
        <references count="1">
          <reference field="2" count="1">
            <x v="48"/>
          </reference>
        </references>
      </pivotArea>
    </format>
    <format dxfId="278">
      <pivotArea dataOnly="0" labelOnly="1" fieldPosition="0">
        <references count="2">
          <reference field="1" count="1">
            <x v="10"/>
          </reference>
          <reference field="2" count="1" selected="0">
            <x v="50"/>
          </reference>
        </references>
      </pivotArea>
    </format>
    <format dxfId="277">
      <pivotArea dataOnly="0" labelOnly="1" fieldPosition="0">
        <references count="1">
          <reference field="2" count="1">
            <x v="50"/>
          </reference>
        </references>
      </pivotArea>
    </format>
    <format dxfId="276">
      <pivotArea dataOnly="0" labelOnly="1" fieldPosition="0">
        <references count="1">
          <reference field="2" count="1">
            <x v="52"/>
          </reference>
        </references>
      </pivotArea>
    </format>
    <format dxfId="275">
      <pivotArea dataOnly="0" labelOnly="1" fieldPosition="0">
        <references count="1">
          <reference field="2" count="1">
            <x v="55"/>
          </reference>
        </references>
      </pivotArea>
    </format>
    <format dxfId="274">
      <pivotArea dataOnly="0" labelOnly="1" fieldPosition="0">
        <references count="1">
          <reference field="2" count="1">
            <x v="57"/>
          </reference>
        </references>
      </pivotArea>
    </format>
    <format dxfId="273">
      <pivotArea dataOnly="0" labelOnly="1" fieldPosition="0">
        <references count="1">
          <reference field="2" count="1">
            <x v="56"/>
          </reference>
        </references>
      </pivotArea>
    </format>
    <format dxfId="272">
      <pivotArea dataOnly="0" labelOnly="1" fieldPosition="0">
        <references count="1">
          <reference field="2" count="1">
            <x v="58"/>
          </reference>
        </references>
      </pivotArea>
    </format>
    <format dxfId="271">
      <pivotArea dataOnly="0" labelOnly="1" fieldPosition="0">
        <references count="1">
          <reference field="2" count="1">
            <x v="62"/>
          </reference>
        </references>
      </pivotArea>
    </format>
    <format dxfId="270">
      <pivotArea dataOnly="0" labelOnly="1" fieldPosition="0">
        <references count="1">
          <reference field="2" count="1">
            <x v="66"/>
          </reference>
        </references>
      </pivotArea>
    </format>
    <format dxfId="269">
      <pivotArea dataOnly="0" labelOnly="1" fieldPosition="0">
        <references count="1">
          <reference field="2" count="0"/>
        </references>
      </pivotArea>
    </format>
    <format dxfId="268">
      <pivotArea dataOnly="0" labelOnly="1" fieldPosition="0">
        <references count="2">
          <reference field="1" count="1">
            <x v="71"/>
          </reference>
          <reference field="2" count="1" selected="0">
            <x v="37"/>
          </reference>
        </references>
      </pivotArea>
    </format>
    <format dxfId="267">
      <pivotArea dataOnly="0" labelOnly="1" fieldPosition="0">
        <references count="3">
          <reference field="0" count="1">
            <x v="1"/>
          </reference>
          <reference field="1" count="1" selected="0">
            <x v="52"/>
          </reference>
          <reference field="2" count="1" selected="0">
            <x v="20"/>
          </reference>
        </references>
      </pivotArea>
    </format>
    <format dxfId="266">
      <pivotArea collapsedLevelsAreSubtotals="1" fieldPosition="0">
        <references count="1">
          <reference field="2" count="1">
            <x v="51"/>
          </reference>
        </references>
      </pivotArea>
    </format>
    <format dxfId="265">
      <pivotArea collapsedLevelsAreSubtotals="1" fieldPosition="0">
        <references count="1">
          <reference field="2" count="1">
            <x v="41"/>
          </reference>
        </references>
      </pivotArea>
    </format>
    <format dxfId="264">
      <pivotArea collapsedLevelsAreSubtotals="1" fieldPosition="0">
        <references count="1">
          <reference field="2" count="1">
            <x v="13"/>
          </reference>
        </references>
      </pivotArea>
    </format>
    <format dxfId="263">
      <pivotArea collapsedLevelsAreSubtotals="1" fieldPosition="0">
        <references count="1">
          <reference field="2" count="1">
            <x v="15"/>
          </reference>
        </references>
      </pivotArea>
    </format>
    <format dxfId="262">
      <pivotArea collapsedLevelsAreSubtotals="1" fieldPosition="0">
        <references count="1">
          <reference field="2" count="1">
            <x v="70"/>
          </reference>
        </references>
      </pivotArea>
    </format>
    <format dxfId="261">
      <pivotArea collapsedLevelsAreSubtotals="1" fieldPosition="0">
        <references count="1">
          <reference field="2" count="1">
            <x v="98"/>
          </reference>
        </references>
      </pivotArea>
    </format>
    <format dxfId="260">
      <pivotArea collapsedLevelsAreSubtotals="1" fieldPosition="0">
        <references count="1">
          <reference field="2" count="1">
            <x v="1"/>
          </reference>
        </references>
      </pivotArea>
    </format>
    <format dxfId="259">
      <pivotArea collapsedLevelsAreSubtotals="1" fieldPosition="0">
        <references count="1">
          <reference field="2" count="1">
            <x v="2"/>
          </reference>
        </references>
      </pivotArea>
    </format>
    <format dxfId="258">
      <pivotArea collapsedLevelsAreSubtotals="1" fieldPosition="0">
        <references count="1">
          <reference field="2" count="1">
            <x v="4"/>
          </reference>
        </references>
      </pivotArea>
    </format>
    <format dxfId="257">
      <pivotArea collapsedLevelsAreSubtotals="1" fieldPosition="0">
        <references count="1">
          <reference field="2" count="1">
            <x v="3"/>
          </reference>
        </references>
      </pivotArea>
    </format>
    <format dxfId="256">
      <pivotArea collapsedLevelsAreSubtotals="1" fieldPosition="0">
        <references count="1">
          <reference field="2" count="1">
            <x v="5"/>
          </reference>
        </references>
      </pivotArea>
    </format>
    <format dxfId="255">
      <pivotArea collapsedLevelsAreSubtotals="1" fieldPosition="0">
        <references count="1">
          <reference field="2" count="1">
            <x v="60"/>
          </reference>
        </references>
      </pivotArea>
    </format>
    <format dxfId="254">
      <pivotArea collapsedLevelsAreSubtotals="1" fieldPosition="0">
        <references count="1">
          <reference field="2" count="1">
            <x v="25"/>
          </reference>
        </references>
      </pivotArea>
    </format>
    <format dxfId="253">
      <pivotArea collapsedLevelsAreSubtotals="1" fieldPosition="0">
        <references count="1">
          <reference field="2" count="1">
            <x v="75"/>
          </reference>
        </references>
      </pivotArea>
    </format>
    <format dxfId="252">
      <pivotArea collapsedLevelsAreSubtotals="1" fieldPosition="0">
        <references count="1">
          <reference field="2" count="1">
            <x v="54"/>
          </reference>
        </references>
      </pivotArea>
    </format>
    <format dxfId="251">
      <pivotArea collapsedLevelsAreSubtotals="1" fieldPosition="0">
        <references count="1">
          <reference field="2" count="1">
            <x v="63"/>
          </reference>
        </references>
      </pivotArea>
    </format>
    <format dxfId="250">
      <pivotArea collapsedLevelsAreSubtotals="1" fieldPosition="0">
        <references count="1">
          <reference field="2" count="1">
            <x v="51"/>
          </reference>
        </references>
      </pivotArea>
    </format>
    <format dxfId="249">
      <pivotArea collapsedLevelsAreSubtotals="1" fieldPosition="0">
        <references count="1">
          <reference field="2" count="1">
            <x v="41"/>
          </reference>
        </references>
      </pivotArea>
    </format>
    <format dxfId="248">
      <pivotArea collapsedLevelsAreSubtotals="1" fieldPosition="0">
        <references count="1">
          <reference field="2" count="1">
            <x v="13"/>
          </reference>
        </references>
      </pivotArea>
    </format>
    <format dxfId="247">
      <pivotArea collapsedLevelsAreSubtotals="1" fieldPosition="0">
        <references count="1">
          <reference field="2" count="1">
            <x v="15"/>
          </reference>
        </references>
      </pivotArea>
    </format>
    <format dxfId="246">
      <pivotArea collapsedLevelsAreSubtotals="1" fieldPosition="0">
        <references count="1">
          <reference field="2" count="1">
            <x v="70"/>
          </reference>
        </references>
      </pivotArea>
    </format>
    <format dxfId="245">
      <pivotArea collapsedLevelsAreSubtotals="1" fieldPosition="0">
        <references count="1">
          <reference field="2" count="1">
            <x v="98"/>
          </reference>
        </references>
      </pivotArea>
    </format>
    <format dxfId="244">
      <pivotArea collapsedLevelsAreSubtotals="1" fieldPosition="0">
        <references count="1">
          <reference field="2" count="1">
            <x v="5"/>
          </reference>
        </references>
      </pivotArea>
    </format>
    <format dxfId="243">
      <pivotArea collapsedLevelsAreSubtotals="1" fieldPosition="0">
        <references count="1">
          <reference field="2" count="1">
            <x v="60"/>
          </reference>
        </references>
      </pivotArea>
    </format>
    <format dxfId="242">
      <pivotArea collapsedLevelsAreSubtotals="1" fieldPosition="0">
        <references count="1">
          <reference field="2" count="1">
            <x v="54"/>
          </reference>
        </references>
      </pivotArea>
    </format>
    <format dxfId="241">
      <pivotArea collapsedLevelsAreSubtotals="1" fieldPosition="0">
        <references count="1">
          <reference field="2" count="1">
            <x v="24"/>
          </reference>
        </references>
      </pivotArea>
    </format>
    <format dxfId="240">
      <pivotArea grandRow="1" outline="0" collapsedLevelsAreSubtotals="1" fieldPosition="0"/>
    </format>
    <format dxfId="239">
      <pivotArea collapsedLevelsAreSubtotals="1" fieldPosition="0">
        <references count="1">
          <reference field="2" count="1">
            <x v="24"/>
          </reference>
        </references>
      </pivotArea>
    </format>
    <format dxfId="238">
      <pivotArea grandRow="1" outline="0" collapsedLevelsAreSubtotals="1" fieldPosition="0"/>
    </format>
    <format dxfId="237">
      <pivotArea dataOnly="0" labelOnly="1" fieldPosition="0">
        <references count="2">
          <reference field="1" count="1">
            <x v="19"/>
          </reference>
          <reference field="2" count="1" selected="0">
            <x v="55"/>
          </reference>
        </references>
      </pivotArea>
    </format>
    <format dxfId="236">
      <pivotArea dataOnly="0" labelOnly="1" fieldPosition="0">
        <references count="1">
          <reference field="2" count="1">
            <x v="63"/>
          </reference>
        </references>
      </pivotArea>
    </format>
    <format dxfId="235">
      <pivotArea dataOnly="0" labelOnly="1" fieldPosition="0">
        <references count="2">
          <reference field="1" count="1">
            <x v="65"/>
          </reference>
          <reference field="2" count="1" selected="0">
            <x v="52"/>
          </reference>
        </references>
      </pivotArea>
    </format>
    <format dxfId="234">
      <pivotArea collapsedLevelsAreSubtotals="1" fieldPosition="0">
        <references count="1">
          <reference field="2" count="1">
            <x v="19"/>
          </reference>
        </references>
      </pivotArea>
    </format>
    <format dxfId="233">
      <pivotArea collapsedLevelsAreSubtotals="1" fieldPosition="0">
        <references count="1">
          <reference field="2" count="1">
            <x v="27"/>
          </reference>
        </references>
      </pivotArea>
    </format>
    <format dxfId="232">
      <pivotArea collapsedLevelsAreSubtotals="1" fieldPosition="0">
        <references count="1">
          <reference field="2" count="1">
            <x v="32"/>
          </reference>
        </references>
      </pivotArea>
    </format>
    <format dxfId="231">
      <pivotArea collapsedLevelsAreSubtotals="1" fieldPosition="0">
        <references count="1">
          <reference field="2" count="1">
            <x v="86"/>
          </reference>
        </references>
      </pivotArea>
    </format>
    <format dxfId="230">
      <pivotArea collapsedLevelsAreSubtotals="1" fieldPosition="0">
        <references count="1">
          <reference field="2" count="1">
            <x v="87"/>
          </reference>
        </references>
      </pivotArea>
    </format>
    <format dxfId="229">
      <pivotArea collapsedLevelsAreSubtotals="1" fieldPosition="0">
        <references count="1">
          <reference field="2" count="1">
            <x v="93"/>
          </reference>
        </references>
      </pivotArea>
    </format>
    <format dxfId="228">
      <pivotArea collapsedLevelsAreSubtotals="1" fieldPosition="0">
        <references count="1">
          <reference field="2" count="1">
            <x v="44"/>
          </reference>
        </references>
      </pivotArea>
    </format>
    <format dxfId="227">
      <pivotArea collapsedLevelsAreSubtotals="1" fieldPosition="0">
        <references count="1">
          <reference field="2" count="1">
            <x v="44"/>
          </reference>
        </references>
      </pivotArea>
    </format>
    <format dxfId="226">
      <pivotArea collapsedLevelsAreSubtotals="1" fieldPosition="0">
        <references count="1">
          <reference field="2" count="1">
            <x v="8"/>
          </reference>
        </references>
      </pivotArea>
    </format>
    <format dxfId="225">
      <pivotArea collapsedLevelsAreSubtotals="1" fieldPosition="0">
        <references count="1">
          <reference field="2" count="1">
            <x v="6"/>
          </reference>
        </references>
      </pivotArea>
    </format>
    <format dxfId="224">
      <pivotArea collapsedLevelsAreSubtotals="1" fieldPosition="0">
        <references count="1">
          <reference field="2" count="1">
            <x v="22"/>
          </reference>
        </references>
      </pivotArea>
    </format>
    <format dxfId="223">
      <pivotArea collapsedLevelsAreSubtotals="1" fieldPosition="0">
        <references count="1">
          <reference field="2" count="1">
            <x v="95"/>
          </reference>
        </references>
      </pivotArea>
    </format>
    <format dxfId="222">
      <pivotArea collapsedLevelsAreSubtotals="1" fieldPosition="0">
        <references count="1">
          <reference field="2" count="1">
            <x v="12"/>
          </reference>
        </references>
      </pivotArea>
    </format>
    <format dxfId="221">
      <pivotArea collapsedLevelsAreSubtotals="1" fieldPosition="0">
        <references count="1">
          <reference field="2" count="1">
            <x v="68"/>
          </reference>
        </references>
      </pivotArea>
    </format>
    <format dxfId="220">
      <pivotArea collapsedLevelsAreSubtotals="1" fieldPosition="0">
        <references count="1">
          <reference field="2" count="1">
            <x v="80"/>
          </reference>
        </references>
      </pivotArea>
    </format>
    <format dxfId="219">
      <pivotArea collapsedLevelsAreSubtotals="1" fieldPosition="0">
        <references count="1">
          <reference field="2" count="1">
            <x v="92"/>
          </reference>
        </references>
      </pivotArea>
    </format>
    <format dxfId="218">
      <pivotArea collapsedLevelsAreSubtotals="1" fieldPosition="0">
        <references count="1">
          <reference field="2" count="1">
            <x v="35"/>
          </reference>
        </references>
      </pivotArea>
    </format>
    <format dxfId="217">
      <pivotArea collapsedLevelsAreSubtotals="1" fieldPosition="0">
        <references count="1">
          <reference field="2" count="1">
            <x v="40"/>
          </reference>
        </references>
      </pivotArea>
    </format>
    <format dxfId="216">
      <pivotArea collapsedLevelsAreSubtotals="1" fieldPosition="0">
        <references count="1">
          <reference field="2" count="1">
            <x v="59"/>
          </reference>
        </references>
      </pivotArea>
    </format>
    <format dxfId="215">
      <pivotArea collapsedLevelsAreSubtotals="1" fieldPosition="0">
        <references count="1">
          <reference field="2" count="1">
            <x v="59"/>
          </reference>
        </references>
      </pivotArea>
    </format>
    <format dxfId="214">
      <pivotArea collapsedLevelsAreSubtotals="1" fieldPosition="0">
        <references count="1">
          <reference field="2" count="1">
            <x v="64"/>
          </reference>
        </references>
      </pivotArea>
    </format>
    <format dxfId="213">
      <pivotArea collapsedLevelsAreSubtotals="1" fieldPosition="0">
        <references count="1">
          <reference field="2" count="1">
            <x v="65"/>
          </reference>
        </references>
      </pivotArea>
    </format>
    <format dxfId="212">
      <pivotArea collapsedLevelsAreSubtotals="1" fieldPosition="0">
        <references count="1">
          <reference field="2" count="1">
            <x v="71"/>
          </reference>
        </references>
      </pivotArea>
    </format>
    <format dxfId="211">
      <pivotArea collapsedLevelsAreSubtotals="1" fieldPosition="0">
        <references count="1">
          <reference field="2" count="1">
            <x v="73"/>
          </reference>
        </references>
      </pivotArea>
    </format>
    <format dxfId="210">
      <pivotArea collapsedLevelsAreSubtotals="1" fieldPosition="0">
        <references count="1">
          <reference field="2" count="1">
            <x v="47"/>
          </reference>
        </references>
      </pivotArea>
    </format>
    <format dxfId="209">
      <pivotArea collapsedLevelsAreSubtotals="1" fieldPosition="0">
        <references count="1">
          <reference field="2" count="1">
            <x v="49"/>
          </reference>
        </references>
      </pivotArea>
    </format>
    <format dxfId="208">
      <pivotArea collapsedLevelsAreSubtotals="1" fieldPosition="0">
        <references count="1">
          <reference field="2" count="1">
            <x v="53"/>
          </reference>
        </references>
      </pivotArea>
    </format>
    <format dxfId="207">
      <pivotArea collapsedLevelsAreSubtotals="1" fieldPosition="0">
        <references count="1">
          <reference field="2" count="1">
            <x v="59"/>
          </reference>
        </references>
      </pivotArea>
    </format>
    <format dxfId="206">
      <pivotArea collapsedLevelsAreSubtotals="1" fieldPosition="0">
        <references count="1">
          <reference field="2" count="1">
            <x v="59"/>
          </reference>
        </references>
      </pivotArea>
    </format>
    <format dxfId="205">
      <pivotArea collapsedLevelsAreSubtotals="1" fieldPosition="0">
        <references count="1">
          <reference field="2" count="1">
            <x v="64"/>
          </reference>
        </references>
      </pivotArea>
    </format>
    <format dxfId="204">
      <pivotArea collapsedLevelsAreSubtotals="1" fieldPosition="0">
        <references count="1">
          <reference field="2" count="1">
            <x v="65"/>
          </reference>
        </references>
      </pivotArea>
    </format>
    <format dxfId="203">
      <pivotArea collapsedLevelsAreSubtotals="1" fieldPosition="0">
        <references count="1">
          <reference field="2" count="1">
            <x v="71"/>
          </reference>
        </references>
      </pivotArea>
    </format>
    <format dxfId="202">
      <pivotArea collapsedLevelsAreSubtotals="1" fieldPosition="0">
        <references count="1">
          <reference field="2" count="1">
            <x v="73"/>
          </reference>
        </references>
      </pivotArea>
    </format>
    <format dxfId="201">
      <pivotArea collapsedLevelsAreSubtotals="1" fieldPosition="0">
        <references count="1">
          <reference field="2" count="1">
            <x v="82"/>
          </reference>
        </references>
      </pivotArea>
    </format>
    <format dxfId="200">
      <pivotArea collapsedLevelsAreSubtotals="1" fieldPosition="0">
        <references count="1">
          <reference field="2" count="1">
            <x v="97"/>
          </reference>
        </references>
      </pivotArea>
    </format>
    <format dxfId="199">
      <pivotArea collapsedLevelsAreSubtotals="1" fieldPosition="0">
        <references count="1">
          <reference field="2" count="1">
            <x v="9"/>
          </reference>
        </references>
      </pivotArea>
    </format>
    <format dxfId="198">
      <pivotArea field="2" type="button" dataOnly="0" labelOnly="1" outline="0" axis="axisRow" fieldPosition="0"/>
    </format>
    <format dxfId="197">
      <pivotArea collapsedLevelsAreSubtotals="1" fieldPosition="0">
        <references count="1">
          <reference field="2" count="1">
            <x v="9"/>
          </reference>
        </references>
      </pivotArea>
    </format>
    <format dxfId="196">
      <pivotArea collapsedLevelsAreSubtotals="1" fieldPosition="0">
        <references count="1">
          <reference field="2" count="1">
            <x v="10"/>
          </reference>
        </references>
      </pivotArea>
    </format>
    <format dxfId="195">
      <pivotArea collapsedLevelsAreSubtotals="1" fieldPosition="0">
        <references count="1">
          <reference field="2" count="1">
            <x v="13"/>
          </reference>
        </references>
      </pivotArea>
    </format>
    <format dxfId="194">
      <pivotArea collapsedLevelsAreSubtotals="1" fieldPosition="0">
        <references count="1">
          <reference field="2" count="1">
            <x v="17"/>
          </reference>
        </references>
      </pivotArea>
    </format>
    <format dxfId="193">
      <pivotArea collapsedLevelsAreSubtotals="1" fieldPosition="0">
        <references count="1">
          <reference field="2" count="1">
            <x v="100"/>
          </reference>
        </references>
      </pivotArea>
    </format>
    <format dxfId="192">
      <pivotArea collapsedLevelsAreSubtotals="1" fieldPosition="0">
        <references count="1">
          <reference field="2" count="1">
            <x v="101"/>
          </reference>
        </references>
      </pivotArea>
    </format>
    <format dxfId="191">
      <pivotArea collapsedLevelsAreSubtotals="1" fieldPosition="0">
        <references count="1">
          <reference field="2" count="1">
            <x v="43"/>
          </reference>
        </references>
      </pivotArea>
    </format>
    <format dxfId="190">
      <pivotArea dataOnly="0" labelOnly="1" fieldPosition="0">
        <references count="2">
          <reference field="1" count="1">
            <x v="66"/>
          </reference>
          <reference field="2" count="1" selected="0">
            <x v="10"/>
          </reference>
        </references>
      </pivotArea>
    </format>
    <format dxfId="189">
      <pivotArea dataOnly="0" labelOnly="1" fieldPosition="0">
        <references count="2">
          <reference field="1" count="1">
            <x v="72"/>
          </reference>
          <reference field="2" count="1" selected="0">
            <x v="10"/>
          </reference>
        </references>
      </pivotArea>
    </format>
    <format dxfId="188">
      <pivotArea dataOnly="0" labelOnly="1" fieldPosition="0">
        <references count="2">
          <reference field="1" count="1">
            <x v="43"/>
          </reference>
          <reference field="2" count="1" selected="0">
            <x v="13"/>
          </reference>
        </references>
      </pivotArea>
    </format>
    <format dxfId="187">
      <pivotArea dataOnly="0" labelOnly="1" fieldPosition="0">
        <references count="2">
          <reference field="1" count="1">
            <x v="77"/>
          </reference>
          <reference field="2" count="1" selected="0">
            <x v="13"/>
          </reference>
        </references>
      </pivotArea>
    </format>
    <format dxfId="186">
      <pivotArea dataOnly="0" labelOnly="1" fieldPosition="0">
        <references count="2">
          <reference field="1" count="1">
            <x v="8"/>
          </reference>
          <reference field="2" count="1" selected="0">
            <x v="17"/>
          </reference>
        </references>
      </pivotArea>
    </format>
    <format dxfId="185">
      <pivotArea dataOnly="0" labelOnly="1" fieldPosition="0">
        <references count="2">
          <reference field="1" count="1">
            <x v="67"/>
          </reference>
          <reference field="2" count="1" selected="0">
            <x v="17"/>
          </reference>
        </references>
      </pivotArea>
    </format>
    <format dxfId="184">
      <pivotArea dataOnly="0" labelOnly="1" fieldPosition="0">
        <references count="2">
          <reference field="1" count="1">
            <x v="101"/>
          </reference>
          <reference field="2" count="1" selected="0">
            <x v="20"/>
          </reference>
        </references>
      </pivotArea>
    </format>
    <format dxfId="183">
      <pivotArea dataOnly="0" labelOnly="1" fieldPosition="0">
        <references count="2">
          <reference field="1" count="1">
            <x v="56"/>
          </reference>
          <reference field="2" count="1" selected="0">
            <x v="23"/>
          </reference>
        </references>
      </pivotArea>
    </format>
    <format dxfId="182">
      <pivotArea dataOnly="0" labelOnly="1" fieldPosition="0">
        <references count="2">
          <reference field="1" count="1">
            <x v="79"/>
          </reference>
          <reference field="2" count="1" selected="0">
            <x v="23"/>
          </reference>
        </references>
      </pivotArea>
    </format>
    <format dxfId="181">
      <pivotArea dataOnly="0" labelOnly="1" fieldPosition="0">
        <references count="2">
          <reference field="1" count="1">
            <x v="83"/>
          </reference>
          <reference field="2" count="1" selected="0">
            <x v="23"/>
          </reference>
        </references>
      </pivotArea>
    </format>
    <format dxfId="180">
      <pivotArea dataOnly="0" labelOnly="1" fieldPosition="0">
        <references count="2">
          <reference field="1" count="1">
            <x v="114"/>
          </reference>
          <reference field="2" count="1" selected="0">
            <x v="28"/>
          </reference>
        </references>
      </pivotArea>
    </format>
    <format dxfId="179">
      <pivotArea dataOnly="0" labelOnly="1" fieldPosition="0">
        <references count="2">
          <reference field="1" count="1">
            <x v="13"/>
          </reference>
          <reference field="2" count="1" selected="0">
            <x v="37"/>
          </reference>
        </references>
      </pivotArea>
    </format>
    <format dxfId="178">
      <pivotArea dataOnly="0" labelOnly="1" fieldPosition="0">
        <references count="2">
          <reference field="1" count="1">
            <x v="40"/>
          </reference>
          <reference field="2" count="1" selected="0">
            <x v="37"/>
          </reference>
        </references>
      </pivotArea>
    </format>
    <format dxfId="177">
      <pivotArea dataOnly="0" labelOnly="1" fieldPosition="0">
        <references count="2">
          <reference field="1" count="1">
            <x v="110"/>
          </reference>
          <reference field="2" count="1" selected="0">
            <x v="37"/>
          </reference>
        </references>
      </pivotArea>
    </format>
    <format dxfId="176">
      <pivotArea dataOnly="0" labelOnly="1" fieldPosition="0">
        <references count="2">
          <reference field="1" count="1">
            <x v="22"/>
          </reference>
          <reference field="2" count="1" selected="0">
            <x v="43"/>
          </reference>
        </references>
      </pivotArea>
    </format>
    <format dxfId="175">
      <pivotArea dataOnly="0" labelOnly="1" fieldPosition="0">
        <references count="2">
          <reference field="1" count="1">
            <x v="109"/>
          </reference>
          <reference field="2" count="1" selected="0">
            <x v="43"/>
          </reference>
        </references>
      </pivotArea>
    </format>
    <format dxfId="174">
      <pivotArea dataOnly="0" labelOnly="1" fieldPosition="0">
        <references count="2">
          <reference field="1" count="1">
            <x v="100"/>
          </reference>
          <reference field="2" count="1" selected="0">
            <x v="45"/>
          </reference>
        </references>
      </pivotArea>
    </format>
    <format dxfId="173">
      <pivotArea dataOnly="0" labelOnly="1" fieldPosition="0">
        <references count="2">
          <reference field="1" count="1">
            <x v="107"/>
          </reference>
          <reference field="2" count="1" selected="0">
            <x v="45"/>
          </reference>
        </references>
      </pivotArea>
    </format>
    <format dxfId="172">
      <pivotArea dataOnly="0" labelOnly="1" fieldPosition="0">
        <references count="2">
          <reference field="1" count="1">
            <x v="114"/>
          </reference>
          <reference field="2" count="1" selected="0">
            <x v="45"/>
          </reference>
        </references>
      </pivotArea>
    </format>
    <format dxfId="171">
      <pivotArea dataOnly="0" labelOnly="1" fieldPosition="0">
        <references count="2">
          <reference field="1" count="1">
            <x v="91"/>
          </reference>
          <reference field="2" count="1" selected="0">
            <x v="47"/>
          </reference>
        </references>
      </pivotArea>
    </format>
    <format dxfId="170">
      <pivotArea dataOnly="0" labelOnly="1" fieldPosition="0">
        <references count="2">
          <reference field="1" count="1">
            <x v="94"/>
          </reference>
          <reference field="2" count="1" selected="0">
            <x v="47"/>
          </reference>
        </references>
      </pivotArea>
    </format>
    <format dxfId="169">
      <pivotArea dataOnly="0" labelOnly="1" fieldPosition="0">
        <references count="2">
          <reference field="1" count="1">
            <x v="69"/>
          </reference>
          <reference field="2" count="1" selected="0">
            <x v="49"/>
          </reference>
        </references>
      </pivotArea>
    </format>
    <format dxfId="168">
      <pivotArea dataOnly="0" labelOnly="1" fieldPosition="0">
        <references count="2">
          <reference field="1" count="1">
            <x v="85"/>
          </reference>
          <reference field="2" count="1" selected="0">
            <x v="49"/>
          </reference>
        </references>
      </pivotArea>
    </format>
    <format dxfId="167">
      <pivotArea dataOnly="0" labelOnly="1" fieldPosition="0">
        <references count="2">
          <reference field="1" count="1">
            <x v="65"/>
          </reference>
          <reference field="2" count="1" selected="0">
            <x v="50"/>
          </reference>
        </references>
      </pivotArea>
    </format>
    <format dxfId="166">
      <pivotArea dataOnly="0" labelOnly="1" fieldPosition="0">
        <references count="2">
          <reference field="1" count="1">
            <x v="76"/>
          </reference>
          <reference field="2" count="1" selected="0">
            <x v="50"/>
          </reference>
        </references>
      </pivotArea>
    </format>
    <format dxfId="165">
      <pivotArea dataOnly="0" labelOnly="1" fieldPosition="0">
        <references count="2">
          <reference field="1" count="1">
            <x v="90"/>
          </reference>
          <reference field="2" count="1" selected="0">
            <x v="53"/>
          </reference>
        </references>
      </pivotArea>
    </format>
    <format dxfId="164">
      <pivotArea dataOnly="0" labelOnly="1" fieldPosition="0">
        <references count="2">
          <reference field="1" count="1">
            <x v="93"/>
          </reference>
          <reference field="2" count="1" selected="0">
            <x v="53"/>
          </reference>
        </references>
      </pivotArea>
    </format>
    <format dxfId="163">
      <pivotArea dataOnly="0" labelOnly="1" fieldPosition="0">
        <references count="2">
          <reference field="1" count="1">
            <x v="130"/>
          </reference>
          <reference field="2" count="1" selected="0">
            <x v="53"/>
          </reference>
        </references>
      </pivotArea>
    </format>
    <format dxfId="162">
      <pivotArea dataOnly="0" labelOnly="1" fieldPosition="0">
        <references count="2">
          <reference field="1" count="1">
            <x v="89"/>
          </reference>
          <reference field="2" count="1" selected="0">
            <x v="55"/>
          </reference>
        </references>
      </pivotArea>
    </format>
    <format dxfId="161">
      <pivotArea dataOnly="0" labelOnly="1" fieldPosition="0">
        <references count="2">
          <reference field="1" count="1">
            <x v="99"/>
          </reference>
          <reference field="2" count="1" selected="0">
            <x v="55"/>
          </reference>
        </references>
      </pivotArea>
    </format>
    <format dxfId="160">
      <pivotArea dataOnly="0" labelOnly="1" fieldPosition="0">
        <references count="2">
          <reference field="1" count="1">
            <x v="81"/>
          </reference>
          <reference field="2" count="1" selected="0">
            <x v="56"/>
          </reference>
        </references>
      </pivotArea>
    </format>
    <format dxfId="159">
      <pivotArea dataOnly="0" labelOnly="1" fieldPosition="0">
        <references count="2">
          <reference field="1" count="1">
            <x v="95"/>
          </reference>
          <reference field="2" count="1" selected="0">
            <x v="56"/>
          </reference>
        </references>
      </pivotArea>
    </format>
    <format dxfId="158">
      <pivotArea dataOnly="0" labelOnly="1" fieldPosition="0">
        <references count="2">
          <reference field="1" count="1">
            <x v="84"/>
          </reference>
          <reference field="2" count="1" selected="0">
            <x v="57"/>
          </reference>
        </references>
      </pivotArea>
    </format>
    <format dxfId="157">
      <pivotArea dataOnly="0" labelOnly="1" fieldPosition="0">
        <references count="2">
          <reference field="1" count="1">
            <x v="88"/>
          </reference>
          <reference field="2" count="1" selected="0">
            <x v="57"/>
          </reference>
        </references>
      </pivotArea>
    </format>
    <format dxfId="156">
      <pivotArea dataOnly="0" labelOnly="1" fieldPosition="0">
        <references count="2">
          <reference field="1" count="1">
            <x v="76"/>
          </reference>
          <reference field="2" count="1" selected="0">
            <x v="59"/>
          </reference>
        </references>
      </pivotArea>
    </format>
    <format dxfId="155">
      <pivotArea dataOnly="0" labelOnly="1" fieldPosition="0">
        <references count="2">
          <reference field="1" count="1">
            <x v="90"/>
          </reference>
          <reference field="2" count="1" selected="0">
            <x v="59"/>
          </reference>
        </references>
      </pivotArea>
    </format>
    <format dxfId="154">
      <pivotArea dataOnly="0" labelOnly="1" fieldPosition="0">
        <references count="2">
          <reference field="1" count="1">
            <x v="102"/>
          </reference>
          <reference field="2" count="1" selected="0">
            <x v="59"/>
          </reference>
        </references>
      </pivotArea>
    </format>
    <format dxfId="153">
      <pivotArea dataOnly="0" labelOnly="1" fieldPosition="0">
        <references count="2">
          <reference field="1" count="1">
            <x v="29"/>
          </reference>
          <reference field="2" count="1" selected="0">
            <x v="64"/>
          </reference>
        </references>
      </pivotArea>
    </format>
    <format dxfId="152">
      <pivotArea dataOnly="0" labelOnly="1" fieldPosition="0">
        <references count="2">
          <reference field="1" count="1">
            <x v="32"/>
          </reference>
          <reference field="2" count="1" selected="0">
            <x v="64"/>
          </reference>
        </references>
      </pivotArea>
    </format>
    <format dxfId="151">
      <pivotArea dataOnly="0" labelOnly="1" fieldPosition="0">
        <references count="2">
          <reference field="1" count="1">
            <x v="132"/>
          </reference>
          <reference field="2" count="1" selected="0">
            <x v="64"/>
          </reference>
        </references>
      </pivotArea>
    </format>
    <format dxfId="150">
      <pivotArea dataOnly="0" labelOnly="1" fieldPosition="0">
        <references count="2">
          <reference field="1" count="1">
            <x v="5"/>
          </reference>
          <reference field="2" count="1" selected="0">
            <x v="65"/>
          </reference>
        </references>
      </pivotArea>
    </format>
    <format dxfId="149">
      <pivotArea dataOnly="0" labelOnly="1" fieldPosition="0">
        <references count="2">
          <reference field="1" count="1">
            <x v="129"/>
          </reference>
          <reference field="2" count="1" selected="0">
            <x v="65"/>
          </reference>
        </references>
      </pivotArea>
    </format>
    <format dxfId="148">
      <pivotArea dataOnly="0" labelOnly="1" fieldPosition="0">
        <references count="2">
          <reference field="1" count="1">
            <x v="112"/>
          </reference>
          <reference field="2" count="1" selected="0">
            <x v="71"/>
          </reference>
        </references>
      </pivotArea>
    </format>
    <format dxfId="147">
      <pivotArea dataOnly="0" labelOnly="1" fieldPosition="0">
        <references count="2">
          <reference field="1" count="1">
            <x v="78"/>
          </reference>
          <reference field="2" count="1" selected="0">
            <x v="73"/>
          </reference>
        </references>
      </pivotArea>
    </format>
    <format dxfId="146">
      <pivotArea dataOnly="0" labelOnly="1" fieldPosition="0">
        <references count="2">
          <reference field="1" count="1">
            <x v="83"/>
          </reference>
          <reference field="2" count="1" selected="0">
            <x v="73"/>
          </reference>
        </references>
      </pivotArea>
    </format>
    <format dxfId="145">
      <pivotArea dataOnly="0" labelOnly="1" fieldPosition="0">
        <references count="2">
          <reference field="1" count="1">
            <x v="29"/>
          </reference>
          <reference field="2" count="1" selected="0">
            <x v="82"/>
          </reference>
        </references>
      </pivotArea>
    </format>
    <format dxfId="144">
      <pivotArea dataOnly="0" labelOnly="1" fieldPosition="0">
        <references count="2">
          <reference field="1" count="1">
            <x v="48"/>
          </reference>
          <reference field="2" count="1" selected="0">
            <x v="82"/>
          </reference>
        </references>
      </pivotArea>
    </format>
    <format dxfId="143">
      <pivotArea dataOnly="0" labelOnly="1" fieldPosition="0">
        <references count="2">
          <reference field="1" count="1">
            <x v="133"/>
          </reference>
          <reference field="2" count="1" selected="0">
            <x v="82"/>
          </reference>
        </references>
      </pivotArea>
    </format>
    <format dxfId="142">
      <pivotArea dataOnly="0" labelOnly="1" fieldPosition="0">
        <references count="2">
          <reference field="1" count="1">
            <x v="75"/>
          </reference>
          <reference field="2" count="1" selected="0">
            <x v="86"/>
          </reference>
        </references>
      </pivotArea>
    </format>
    <format dxfId="141">
      <pivotArea dataOnly="0" labelOnly="1" fieldPosition="0">
        <references count="2">
          <reference field="1" count="1">
            <x v="110"/>
          </reference>
          <reference field="2" count="1" selected="0">
            <x v="95"/>
          </reference>
        </references>
      </pivotArea>
    </format>
    <format dxfId="140">
      <pivotArea dataOnly="0" labelOnly="1" fieldPosition="0">
        <references count="2">
          <reference field="1" count="1">
            <x v="87"/>
          </reference>
          <reference field="2" count="1" selected="0">
            <x v="97"/>
          </reference>
        </references>
      </pivotArea>
    </format>
    <format dxfId="139">
      <pivotArea dataOnly="0" labelOnly="1" fieldPosition="0">
        <references count="2">
          <reference field="1" count="1">
            <x v="134"/>
          </reference>
          <reference field="2" count="1" selected="0">
            <x v="97"/>
          </reference>
        </references>
      </pivotArea>
    </format>
    <format dxfId="138">
      <pivotArea dataOnly="0" labelOnly="1" fieldPosition="0">
        <references count="2">
          <reference field="1" count="1">
            <x v="98"/>
          </reference>
          <reference field="2" count="1" selected="0">
            <x v="98"/>
          </reference>
        </references>
      </pivotArea>
    </format>
    <format dxfId="137">
      <pivotArea dataOnly="0" labelOnly="1" fieldPosition="0">
        <references count="2">
          <reference field="1" count="1">
            <x v="101"/>
          </reference>
          <reference field="2" count="1" selected="0">
            <x v="98"/>
          </reference>
        </references>
      </pivotArea>
    </format>
    <format dxfId="136">
      <pivotArea dataOnly="0" labelOnly="1" fieldPosition="0">
        <references count="2">
          <reference field="1" count="1">
            <x v="111"/>
          </reference>
          <reference field="2" count="1" selected="0">
            <x v="98"/>
          </reference>
        </references>
      </pivotArea>
    </format>
    <format dxfId="135">
      <pivotArea dataOnly="0" labelOnly="1" fieldPosition="0">
        <references count="2">
          <reference field="1" count="1">
            <x v="6"/>
          </reference>
          <reference field="2" count="1" selected="0">
            <x v="100"/>
          </reference>
        </references>
      </pivotArea>
    </format>
    <format dxfId="134">
      <pivotArea dataOnly="0" labelOnly="1" fieldPosition="0">
        <references count="2">
          <reference field="1" count="1">
            <x v="22"/>
          </reference>
          <reference field="2" count="1" selected="0">
            <x v="100"/>
          </reference>
        </references>
      </pivotArea>
    </format>
    <format dxfId="133">
      <pivotArea dataOnly="0" labelOnly="1" fieldPosition="0">
        <references count="2">
          <reference field="1" count="1">
            <x v="131"/>
          </reference>
          <reference field="2" count="1" selected="0">
            <x v="100"/>
          </reference>
        </references>
      </pivotArea>
    </format>
    <format dxfId="132">
      <pivotArea dataOnly="0" labelOnly="1" fieldPosition="0">
        <references count="2">
          <reference field="1" count="1">
            <x v="6"/>
          </reference>
          <reference field="2" count="1" selected="0">
            <x v="10"/>
          </reference>
        </references>
      </pivotArea>
    </format>
    <format dxfId="131">
      <pivotArea dataOnly="0" labelOnly="1" fieldPosition="0">
        <references count="2">
          <reference field="1" count="1">
            <x v="72"/>
          </reference>
          <reference field="2" count="1" selected="0">
            <x v="13"/>
          </reference>
        </references>
      </pivotArea>
    </format>
    <format dxfId="130">
      <pivotArea dataOnly="0" labelOnly="1" fieldPosition="0">
        <references count="2">
          <reference field="1" count="1">
            <x v="107"/>
          </reference>
          <reference field="2" count="1" selected="0">
            <x v="17"/>
          </reference>
        </references>
      </pivotArea>
    </format>
    <format dxfId="129">
      <pivotArea dataOnly="0" labelOnly="1" fieldPosition="0">
        <references count="2">
          <reference field="1" count="1">
            <x v="60"/>
          </reference>
          <reference field="2" count="1" selected="0">
            <x v="29"/>
          </reference>
        </references>
      </pivotArea>
    </format>
    <format dxfId="128">
      <pivotArea dataOnly="0" labelOnly="1" fieldPosition="0">
        <references count="2">
          <reference field="1" count="1">
            <x v="60"/>
          </reference>
          <reference field="2" count="1" selected="0">
            <x v="45"/>
          </reference>
        </references>
      </pivotArea>
    </format>
    <format dxfId="127">
      <pivotArea dataOnly="0" labelOnly="1" fieldPosition="0">
        <references count="2">
          <reference field="1" count="1">
            <x v="83"/>
          </reference>
          <reference field="2" count="1" selected="0">
            <x v="47"/>
          </reference>
        </references>
      </pivotArea>
    </format>
    <format dxfId="126">
      <pivotArea dataOnly="0" labelOnly="1" fieldPosition="0">
        <references count="2">
          <reference field="1" count="1">
            <x v="138"/>
          </reference>
          <reference field="2" count="1" selected="0">
            <x v="47"/>
          </reference>
        </references>
      </pivotArea>
    </format>
    <format dxfId="125">
      <pivotArea dataOnly="0" labelOnly="1" fieldPosition="0">
        <references count="2">
          <reference field="1" count="1">
            <x v="8"/>
          </reference>
          <reference field="2" count="1" selected="0">
            <x v="49"/>
          </reference>
        </references>
      </pivotArea>
    </format>
    <format dxfId="124">
      <pivotArea dataOnly="0" labelOnly="1" fieldPosition="0">
        <references count="2">
          <reference field="1" count="1">
            <x v="75"/>
          </reference>
          <reference field="2" count="1" selected="0">
            <x v="50"/>
          </reference>
        </references>
      </pivotArea>
    </format>
    <format dxfId="123">
      <pivotArea dataOnly="0" labelOnly="1" fieldPosition="0">
        <references count="2">
          <reference field="1" count="1">
            <x v="94"/>
          </reference>
          <reference field="2" count="1" selected="0">
            <x v="55"/>
          </reference>
        </references>
      </pivotArea>
    </format>
    <format dxfId="122">
      <pivotArea dataOnly="0" labelOnly="1" fieldPosition="0">
        <references count="2">
          <reference field="1" count="1">
            <x v="134"/>
          </reference>
          <reference field="2" count="1" selected="0">
            <x v="57"/>
          </reference>
        </references>
      </pivotArea>
    </format>
    <format dxfId="121">
      <pivotArea dataOnly="0" labelOnly="1" fieldPosition="0">
        <references count="2">
          <reference field="1" count="1">
            <x v="79"/>
          </reference>
          <reference field="2" count="1" selected="0">
            <x v="64"/>
          </reference>
        </references>
      </pivotArea>
    </format>
    <format dxfId="120">
      <pivotArea dataOnly="0" labelOnly="1" fieldPosition="0">
        <references count="2">
          <reference field="1" count="1">
            <x v="136"/>
          </reference>
          <reference field="2" count="1" selected="0">
            <x v="64"/>
          </reference>
        </references>
      </pivotArea>
    </format>
    <format dxfId="119">
      <pivotArea dataOnly="0" labelOnly="1" fieldPosition="0">
        <references count="2">
          <reference field="1" count="1">
            <x v="137"/>
          </reference>
          <reference field="2" count="1" selected="0">
            <x v="65"/>
          </reference>
        </references>
      </pivotArea>
    </format>
    <format dxfId="118">
      <pivotArea dataOnly="0" labelOnly="1" fieldPosition="0">
        <references count="2">
          <reference field="1" count="1">
            <x v="99"/>
          </reference>
          <reference field="2" count="1" selected="0">
            <x v="73"/>
          </reference>
        </references>
      </pivotArea>
    </format>
    <format dxfId="117">
      <pivotArea dataOnly="0" labelOnly="1" fieldPosition="0">
        <references count="2">
          <reference field="1" count="1">
            <x v="135"/>
          </reference>
          <reference field="2" count="1" selected="0">
            <x v="82"/>
          </reference>
        </references>
      </pivotArea>
    </format>
    <format dxfId="116">
      <pivotArea dataOnly="0" labelOnly="1" fieldPosition="0">
        <references count="2">
          <reference field="1" count="1">
            <x v="98"/>
          </reference>
          <reference field="2" count="1" selected="0">
            <x v="86"/>
          </reference>
        </references>
      </pivotArea>
    </format>
    <format dxfId="115">
      <pivotArea dataOnly="0" labelOnly="1" fieldPosition="0">
        <references count="2">
          <reference field="1" count="1">
            <x v="111"/>
          </reference>
          <reference field="2" count="1" selected="0">
            <x v="86"/>
          </reference>
        </references>
      </pivotArea>
    </format>
    <format dxfId="114">
      <pivotArea dataOnly="0" labelOnly="1" fieldPosition="0">
        <references count="2">
          <reference field="1" count="1">
            <x v="132"/>
          </reference>
          <reference field="2" count="1" selected="0">
            <x v="86"/>
          </reference>
        </references>
      </pivotArea>
    </format>
    <format dxfId="113">
      <pivotArea dataOnly="0" labelOnly="1" fieldPosition="0">
        <references count="2">
          <reference field="1" count="1">
            <x v="29"/>
          </reference>
          <reference field="2" count="1" selected="0">
            <x v="95"/>
          </reference>
        </references>
      </pivotArea>
    </format>
    <format dxfId="112">
      <pivotArea collapsedLevelsAreSubtotals="1" fieldPosition="0">
        <references count="1">
          <reference field="2" count="1">
            <x v="29"/>
          </reference>
        </references>
      </pivotArea>
    </format>
    <format dxfId="111">
      <pivotArea dataOnly="0" labelOnly="1" fieldPosition="0">
        <references count="2">
          <reference field="1" count="1">
            <x v="139"/>
          </reference>
          <reference field="2" count="1" selected="0">
            <x v="45"/>
          </reference>
        </references>
      </pivotArea>
    </format>
    <format dxfId="110">
      <pivotArea dataOnly="0" labelOnly="1" fieldPosition="0">
        <references count="2">
          <reference field="1" count="1">
            <x v="87"/>
          </reference>
          <reference field="2" count="1" selected="0">
            <x v="56"/>
          </reference>
        </references>
      </pivotArea>
    </format>
    <format dxfId="109">
      <pivotArea collapsedLevelsAreSubtotals="1" fieldPosition="0">
        <references count="3">
          <reference field="0" count="1">
            <x v="14"/>
          </reference>
          <reference field="1" count="1" selected="0">
            <x v="99"/>
          </reference>
          <reference field="2" count="1" selected="0">
            <x v="73"/>
          </reference>
        </references>
      </pivotArea>
    </format>
    <format dxfId="108">
      <pivotArea dataOnly="0" labelOnly="1" fieldPosition="0">
        <references count="2">
          <reference field="1" count="1">
            <x v="6"/>
          </reference>
          <reference field="2" count="1" selected="0">
            <x v="13"/>
          </reference>
        </references>
      </pivotArea>
    </format>
    <format dxfId="107">
      <pivotArea dataOnly="0" labelOnly="1" fieldPosition="0">
        <references count="2">
          <reference field="1" count="1">
            <x v="137"/>
          </reference>
          <reference field="2" count="1" selected="0">
            <x v="13"/>
          </reference>
        </references>
      </pivotArea>
    </format>
    <format dxfId="106">
      <pivotArea dataOnly="0" labelOnly="1" fieldPosition="0">
        <references count="2">
          <reference field="1" count="1">
            <x v="72"/>
          </reference>
          <reference field="2" count="1" selected="0">
            <x v="23"/>
          </reference>
        </references>
      </pivotArea>
    </format>
    <format dxfId="105">
      <pivotArea dataOnly="0" labelOnly="1" fieldPosition="0">
        <references count="2">
          <reference field="1" count="1">
            <x v="6"/>
          </reference>
          <reference field="2" count="1" selected="0">
            <x v="23"/>
          </reference>
        </references>
      </pivotArea>
    </format>
    <format dxfId="104">
      <pivotArea dataOnly="0" labelOnly="1" fieldPosition="0">
        <references count="2">
          <reference field="1" count="1">
            <x v="6"/>
          </reference>
          <reference field="2" count="1" selected="0">
            <x v="65"/>
          </reference>
        </references>
      </pivotArea>
    </format>
    <format dxfId="103">
      <pivotArea collapsedLevelsAreSubtotals="1" fieldPosition="0">
        <references count="2">
          <reference field="1" count="1">
            <x v="99"/>
          </reference>
          <reference field="2" count="1" selected="0">
            <x v="73"/>
          </reference>
        </references>
      </pivotArea>
    </format>
    <format dxfId="102">
      <pivotArea dataOnly="0" labelOnly="1" fieldPosition="0">
        <references count="2">
          <reference field="1" count="1">
            <x v="132"/>
          </reference>
          <reference field="2" count="1" selected="0">
            <x v="98"/>
          </reference>
        </references>
      </pivotArea>
    </format>
    <format dxfId="101">
      <pivotArea dataOnly="0" labelOnly="1" fieldPosition="0">
        <references count="2">
          <reference field="1" count="1">
            <x v="76"/>
          </reference>
          <reference field="2" count="1" selected="0">
            <x v="23"/>
          </reference>
        </references>
      </pivotArea>
    </format>
    <format dxfId="100">
      <pivotArea dataOnly="0" labelOnly="1" fieldPosition="0">
        <references count="2">
          <reference field="1" count="1">
            <x v="98"/>
          </reference>
          <reference field="2" count="1" selected="0">
            <x v="37"/>
          </reference>
        </references>
      </pivotArea>
    </format>
    <format dxfId="99">
      <pivotArea dataOnly="0" labelOnly="1" fieldPosition="0">
        <references count="2">
          <reference field="1" count="1">
            <x v="107"/>
          </reference>
          <reference field="2" count="1" selected="0">
            <x v="37"/>
          </reference>
        </references>
      </pivotArea>
    </format>
    <format dxfId="98">
      <pivotArea dataOnly="0" labelOnly="1" fieldPosition="0">
        <references count="2">
          <reference field="1" count="1">
            <x v="98"/>
          </reference>
          <reference field="2" count="1" selected="0">
            <x v="43"/>
          </reference>
        </references>
      </pivotArea>
    </format>
    <format dxfId="97">
      <pivotArea dataOnly="0" labelOnly="1" fieldPosition="0">
        <references count="2">
          <reference field="1" count="1">
            <x v="98"/>
          </reference>
          <reference field="2" count="1" selected="0">
            <x v="53"/>
          </reference>
        </references>
      </pivotArea>
    </format>
    <format dxfId="96">
      <pivotArea dataOnly="0" labelOnly="1" fieldPosition="0">
        <references count="2">
          <reference field="1" count="1">
            <x v="107"/>
          </reference>
          <reference field="2" count="1" selected="0">
            <x v="53"/>
          </reference>
        </references>
      </pivotArea>
    </format>
    <format dxfId="95">
      <pivotArea dataOnly="0" labelOnly="1" fieldPosition="0">
        <references count="2">
          <reference field="1" count="1">
            <x v="83"/>
          </reference>
          <reference field="2" count="1" selected="0">
            <x v="37"/>
          </reference>
        </references>
      </pivotArea>
    </format>
    <format dxfId="94">
      <pivotArea dataOnly="0" labelOnly="1" fieldPosition="0">
        <references count="2">
          <reference field="1" count="1">
            <x v="6"/>
          </reference>
          <reference field="2" count="1" selected="0">
            <x v="59"/>
          </reference>
        </references>
      </pivotArea>
    </format>
    <format dxfId="93">
      <pivotArea dataOnly="0" labelOnly="1" fieldPosition="0">
        <references count="2">
          <reference field="1" count="1">
            <x v="134"/>
          </reference>
          <reference field="2" count="1" selected="0">
            <x v="100"/>
          </reference>
        </references>
      </pivotArea>
    </format>
    <format dxfId="92">
      <pivotArea dataOnly="0" labelOnly="1" fieldPosition="0">
        <references count="2">
          <reference field="1" count="1">
            <x v="83"/>
          </reference>
          <reference field="2" count="1" selected="0">
            <x v="13"/>
          </reference>
        </references>
      </pivotArea>
    </format>
    <format dxfId="91">
      <pivotArea dataOnly="0" labelOnly="1" fieldPosition="0">
        <references count="2">
          <reference field="1" count="1">
            <x v="137"/>
          </reference>
          <reference field="2" count="1" selected="0">
            <x v="10"/>
          </reference>
        </references>
      </pivotArea>
    </format>
    <format dxfId="90">
      <pivotArea dataOnly="0" labelOnly="1" fieldPosition="0">
        <references count="2">
          <reference field="1" count="1">
            <x v="81"/>
          </reference>
          <reference field="2" count="1" selected="0">
            <x v="43"/>
          </reference>
        </references>
      </pivotArea>
    </format>
    <format dxfId="89">
      <pivotArea dataOnly="0" labelOnly="1" fieldPosition="0">
        <references count="2">
          <reference field="1" count="1">
            <x v="109"/>
          </reference>
          <reference field="2" count="1" selected="0">
            <x v="65"/>
          </reference>
        </references>
      </pivotArea>
    </format>
    <format dxfId="88">
      <pivotArea dataOnly="0" labelOnly="1" fieldPosition="0">
        <references count="2">
          <reference field="1" count="1">
            <x v="81"/>
          </reference>
          <reference field="2" count="1" selected="0">
            <x v="65"/>
          </reference>
        </references>
      </pivotArea>
    </format>
    <format dxfId="87">
      <pivotArea dataOnly="0" labelOnly="1" fieldPosition="0">
        <references count="2">
          <reference field="1" count="1">
            <x v="140"/>
          </reference>
          <reference field="2" count="1" selected="0">
            <x v="65"/>
          </reference>
        </references>
      </pivotArea>
    </format>
    <format dxfId="86">
      <pivotArea dataOnly="0" labelOnly="1" fieldPosition="0">
        <references count="2">
          <reference field="1" count="1">
            <x v="140"/>
          </reference>
          <reference field="2" count="1" selected="0">
            <x v="56"/>
          </reference>
        </references>
      </pivotArea>
    </format>
    <format dxfId="85">
      <pivotArea dataOnly="0" labelOnly="1" fieldPosition="0">
        <references count="2">
          <reference field="1" count="1">
            <x v="29"/>
          </reference>
          <reference field="2" count="1" selected="0">
            <x v="43"/>
          </reference>
        </references>
      </pivotArea>
    </format>
    <format dxfId="84">
      <pivotArea dataOnly="0" labelOnly="1" fieldPosition="0">
        <references count="2">
          <reference field="1" count="1">
            <x v="83"/>
          </reference>
          <reference field="2" count="1" selected="0">
            <x v="45"/>
          </reference>
        </references>
      </pivotArea>
    </format>
    <format dxfId="83">
      <pivotArea dataOnly="0" labelOnly="1" fieldPosition="0">
        <references count="2">
          <reference field="1" count="1">
            <x v="134"/>
          </reference>
          <reference field="2" count="1" selected="0">
            <x v="50"/>
          </reference>
        </references>
      </pivotArea>
    </format>
    <format dxfId="82">
      <pivotArea dataOnly="0" labelOnly="1" fieldPosition="0">
        <references count="2">
          <reference field="1" count="1">
            <x v="136"/>
          </reference>
          <reference field="2" count="1" selected="0">
            <x v="37"/>
          </reference>
        </references>
      </pivotArea>
    </format>
    <format dxfId="81">
      <pivotArea dataOnly="0" labelOnly="1" fieldPosition="0">
        <references count="2">
          <reference field="1" count="1">
            <x v="75"/>
          </reference>
          <reference field="2" count="1" selected="0">
            <x v="57"/>
          </reference>
        </references>
      </pivotArea>
    </format>
    <format dxfId="80">
      <pivotArea dataOnly="0" labelOnly="1" fieldPosition="0">
        <references count="2">
          <reference field="1" count="1">
            <x v="79"/>
          </reference>
          <reference field="2" count="1" selected="0">
            <x v="62"/>
          </reference>
        </references>
      </pivotArea>
    </format>
    <format dxfId="79">
      <pivotArea dataOnly="0" labelOnly="1" fieldPosition="0">
        <references count="2">
          <reference field="1" count="1">
            <x v="107"/>
          </reference>
          <reference field="2" count="1" selected="0">
            <x v="62"/>
          </reference>
        </references>
      </pivotArea>
    </format>
    <format dxfId="78">
      <pivotArea dataOnly="0" labelOnly="1" fieldPosition="0">
        <references count="2">
          <reference field="1" count="1">
            <x v="84"/>
          </reference>
          <reference field="2" count="1" selected="0">
            <x v="100"/>
          </reference>
        </references>
      </pivotArea>
    </format>
    <format dxfId="77">
      <pivotArea dataOnly="0" labelOnly="1" fieldPosition="0">
        <references count="2">
          <reference field="1" count="1">
            <x v="102"/>
          </reference>
          <reference field="2" count="1" selected="0">
            <x v="62"/>
          </reference>
        </references>
      </pivotArea>
    </format>
    <format dxfId="76">
      <pivotArea dataOnly="0" labelOnly="1" fieldPosition="0">
        <references count="2">
          <reference field="1" count="1">
            <x v="99"/>
          </reference>
          <reference field="2" count="1" selected="0">
            <x v="17"/>
          </reference>
        </references>
      </pivotArea>
    </format>
    <format dxfId="75">
      <pivotArea dataOnly="0" labelOnly="1" fieldPosition="0">
        <references count="2">
          <reference field="1" count="1">
            <x v="99"/>
          </reference>
          <reference field="2" count="1" selected="0">
            <x v="45"/>
          </reference>
        </references>
      </pivotArea>
    </format>
    <format dxfId="74">
      <pivotArea dataOnly="0" labelOnly="1" fieldPosition="0">
        <references count="2">
          <reference field="1" count="1">
            <x v="83"/>
          </reference>
          <reference field="2" count="1" selected="0">
            <x v="59"/>
          </reference>
        </references>
      </pivotArea>
    </format>
    <format dxfId="73">
      <pivotArea dataOnly="0" labelOnly="1" fieldPosition="0">
        <references count="2">
          <reference field="1" count="1">
            <x v="79"/>
          </reference>
          <reference field="2" count="1" selected="0">
            <x v="73"/>
          </reference>
        </references>
      </pivotArea>
    </format>
    <format dxfId="72">
      <pivotArea dataOnly="0" labelOnly="1" fieldPosition="0">
        <references count="2">
          <reference field="1" count="1">
            <x v="60"/>
          </reference>
          <reference field="2" count="1" selected="0">
            <x v="17"/>
          </reference>
        </references>
      </pivotArea>
    </format>
    <format dxfId="71">
      <pivotArea dataOnly="0" labelOnly="1" fieldPosition="0">
        <references count="2">
          <reference field="1" count="1">
            <x v="79"/>
          </reference>
          <reference field="2" count="1" selected="0">
            <x v="45"/>
          </reference>
        </references>
      </pivotArea>
    </format>
    <format dxfId="70">
      <pivotArea dataOnly="0" labelOnly="1" fieldPosition="0">
        <references count="2">
          <reference field="1" count="1">
            <x v="83"/>
          </reference>
          <reference field="2" count="1" selected="0">
            <x v="50"/>
          </reference>
        </references>
      </pivotArea>
    </format>
    <format dxfId="69">
      <pivotArea dataOnly="0" labelOnly="1" fieldPosition="0">
        <references count="2">
          <reference field="1" count="1">
            <x v="134"/>
          </reference>
          <reference field="2" count="1" selected="0">
            <x v="62"/>
          </reference>
        </references>
      </pivotArea>
    </format>
    <format dxfId="68">
      <pivotArea dataOnly="0" labelOnly="1" fieldPosition="0">
        <references count="2">
          <reference field="1" count="1">
            <x v="142"/>
          </reference>
          <reference field="2" count="1" selected="0">
            <x v="97"/>
          </reference>
        </references>
      </pivotArea>
    </format>
    <format dxfId="67">
      <pivotArea dataOnly="0" labelOnly="1" fieldPosition="0">
        <references count="2">
          <reference field="1" count="1">
            <x v="143"/>
          </reference>
          <reference field="2" count="1" selected="0">
            <x v="97"/>
          </reference>
        </references>
      </pivotArea>
    </format>
    <format dxfId="66">
      <pivotArea dataOnly="0" labelOnly="1" fieldPosition="0">
        <references count="2">
          <reference field="1" count="1">
            <x v="144"/>
          </reference>
          <reference field="2" count="1" selected="0">
            <x v="97"/>
          </reference>
        </references>
      </pivotArea>
    </format>
    <format dxfId="65">
      <pivotArea dataOnly="0" labelOnly="1" fieldPosition="0">
        <references count="2">
          <reference field="1" count="1">
            <x v="141"/>
          </reference>
          <reference field="2" count="1" selected="0">
            <x v="62"/>
          </reference>
        </references>
      </pivotArea>
    </format>
    <format dxfId="64">
      <pivotArea dataOnly="0" labelOnly="1" fieldPosition="0">
        <references count="2">
          <reference field="1" count="1">
            <x v="134"/>
          </reference>
          <reference field="2" count="1" selected="0">
            <x v="17"/>
          </reference>
        </references>
      </pivotArea>
    </format>
    <format dxfId="63">
      <pivotArea dataOnly="0" labelOnly="1" fieldPosition="0">
        <references count="2">
          <reference field="1" count="1">
            <x v="79"/>
          </reference>
          <reference field="2" count="1" selected="0">
            <x v="57"/>
          </reference>
        </references>
      </pivotArea>
    </format>
    <format dxfId="62">
      <pivotArea dataOnly="0" labelOnly="1" fieldPosition="0">
        <references count="2">
          <reference field="1" count="1">
            <x v="145"/>
          </reference>
          <reference field="2" count="1" selected="0">
            <x v="97"/>
          </reference>
        </references>
      </pivotArea>
    </format>
    <format dxfId="61">
      <pivotArea dataOnly="0" labelOnly="1" fieldPosition="0">
        <references count="2">
          <reference field="1" count="1">
            <x v="146"/>
          </reference>
          <reference field="2" count="1" selected="0">
            <x v="97"/>
          </reference>
        </references>
      </pivotArea>
    </format>
    <format dxfId="60">
      <pivotArea dataOnly="0" labelOnly="1" fieldPosition="0">
        <references count="2">
          <reference field="1" count="1">
            <x v="147"/>
          </reference>
          <reference field="2" count="1" selected="0">
            <x v="97"/>
          </reference>
        </references>
      </pivotArea>
    </format>
    <format dxfId="59">
      <pivotArea dataOnly="0" labelOnly="1" fieldPosition="0">
        <references count="2">
          <reference field="1" count="1">
            <x v="148"/>
          </reference>
          <reference field="2" count="1" selected="0">
            <x v="62"/>
          </reference>
        </references>
      </pivotArea>
    </format>
    <format dxfId="58">
      <pivotArea dataOnly="0" labelOnly="1" fieldPosition="0">
        <references count="2">
          <reference field="1" count="1">
            <x v="0"/>
          </reference>
          <reference field="2" count="1" selected="0">
            <x v="20"/>
          </reference>
        </references>
      </pivotArea>
    </format>
    <format dxfId="57">
      <pivotArea dataOnly="0" labelOnly="1" fieldPosition="0">
        <references count="2">
          <reference field="1" count="1">
            <x v="111"/>
          </reference>
          <reference field="2" count="1" selected="0">
            <x v="20"/>
          </reference>
        </references>
      </pivotArea>
    </format>
    <format dxfId="56">
      <pivotArea dataOnly="0" labelOnly="1" fieldPosition="0">
        <references count="2">
          <reference field="1" count="1">
            <x v="0"/>
          </reference>
          <reference field="2" count="1" selected="0">
            <x v="86"/>
          </reference>
        </references>
      </pivotArea>
    </format>
    <format dxfId="55">
      <pivotArea dataOnly="0" labelOnly="1" fieldPosition="0">
        <references count="2">
          <reference field="1" count="1">
            <x v="149"/>
          </reference>
          <reference field="2" count="1" selected="0">
            <x v="86"/>
          </reference>
        </references>
      </pivotArea>
    </format>
    <format dxfId="54">
      <pivotArea dataOnly="0" labelOnly="1" fieldPosition="0">
        <references count="2">
          <reference field="1" count="1">
            <x v="66"/>
          </reference>
          <reference field="2" count="1" selected="0">
            <x v="13"/>
          </reference>
        </references>
      </pivotArea>
    </format>
    <format dxfId="53">
      <pivotArea dataOnly="0" labelOnly="1" fieldPosition="0">
        <references count="2">
          <reference field="1" count="1">
            <x v="56"/>
          </reference>
          <reference field="2" count="1" selected="0">
            <x v="17"/>
          </reference>
        </references>
      </pivotArea>
    </format>
    <format dxfId="52">
      <pivotArea dataOnly="0" labelOnly="1" fieldPosition="0">
        <references count="2">
          <reference field="1" count="1">
            <x v="150"/>
          </reference>
          <reference field="2" count="1" selected="0">
            <x v="34"/>
          </reference>
        </references>
      </pivotArea>
    </format>
    <format dxfId="51">
      <pivotArea dataOnly="0" labelOnly="1" fieldPosition="0">
        <references count="2">
          <reference field="1" count="1">
            <x v="151"/>
          </reference>
          <reference field="2" count="1" selected="0">
            <x v="37"/>
          </reference>
        </references>
      </pivotArea>
    </format>
    <format dxfId="50">
      <pivotArea dataOnly="0" labelOnly="1" fieldPosition="0">
        <references count="2">
          <reference field="1" count="1">
            <x v="79"/>
          </reference>
          <reference field="2" count="1" selected="0">
            <x v="49"/>
          </reference>
        </references>
      </pivotArea>
    </format>
    <format dxfId="49">
      <pivotArea dataOnly="0" labelOnly="1" fieldPosition="0">
        <references count="2">
          <reference field="1" count="1">
            <x v="110"/>
          </reference>
          <reference field="2" count="1" selected="0">
            <x v="53"/>
          </reference>
        </references>
      </pivotArea>
    </format>
    <format dxfId="48">
      <pivotArea dataOnly="0" labelOnly="1" fieldPosition="0">
        <references count="2">
          <reference field="1" count="1">
            <x v="110"/>
          </reference>
          <reference field="2" count="1" selected="0">
            <x v="56"/>
          </reference>
        </references>
      </pivotArea>
    </format>
    <format dxfId="47">
      <pivotArea dataOnly="0" labelOnly="1" fieldPosition="0">
        <references count="2">
          <reference field="1" count="1">
            <x v="112"/>
          </reference>
          <reference field="2" count="1" selected="0">
            <x v="56"/>
          </reference>
        </references>
      </pivotArea>
    </format>
    <format dxfId="46">
      <pivotArea dataOnly="0" labelOnly="1" fieldPosition="0">
        <references count="2">
          <reference field="1" count="1">
            <x v="111"/>
          </reference>
          <reference field="2" count="1" selected="0">
            <x v="57"/>
          </reference>
        </references>
      </pivotArea>
    </format>
    <format dxfId="45">
      <pivotArea dataOnly="0" labelOnly="1" fieldPosition="0">
        <references count="2">
          <reference field="1" count="1">
            <x v="137"/>
          </reference>
          <reference field="2" count="1" selected="0">
            <x v="73"/>
          </reference>
        </references>
      </pivotArea>
    </format>
    <format dxfId="44">
      <pivotArea dataOnly="0" labelOnly="1" fieldPosition="0">
        <references count="2">
          <reference field="1" count="1">
            <x v="101"/>
          </reference>
          <reference field="2" count="1" selected="0">
            <x v="86"/>
          </reference>
        </references>
      </pivotArea>
    </format>
    <format dxfId="43">
      <pivotArea dataOnly="0" labelOnly="1" fieldPosition="0">
        <references count="2">
          <reference field="1" count="1">
            <x v="7"/>
          </reference>
          <reference field="2" count="1" selected="0">
            <x v="97"/>
          </reference>
        </references>
      </pivotArea>
    </format>
    <format dxfId="42">
      <pivotArea dataOnly="0" labelOnly="1" fieldPosition="0">
        <references count="2">
          <reference field="1" count="1">
            <x v="101"/>
          </reference>
          <reference field="2" count="1" selected="0">
            <x v="100"/>
          </reference>
        </references>
      </pivotArea>
    </format>
    <format dxfId="41">
      <pivotArea dataOnly="0" labelOnly="1" fieldPosition="0">
        <references count="2">
          <reference field="1" count="1">
            <x v="56"/>
          </reference>
          <reference field="2" count="1" selected="0">
            <x v="100"/>
          </reference>
        </references>
      </pivotArea>
    </format>
    <format dxfId="40">
      <pivotArea dataOnly="0" labelOnly="1" fieldPosition="0">
        <references count="2">
          <reference field="1" count="1">
            <x v="85"/>
          </reference>
          <reference field="2" count="1" selected="0">
            <x v="17"/>
          </reference>
        </references>
      </pivotArea>
    </format>
    <format dxfId="39">
      <pivotArea collapsedLevelsAreSubtotals="1" fieldPosition="0">
        <references count="1">
          <reference field="2" count="1">
            <x v="34"/>
          </reference>
        </references>
      </pivotArea>
    </format>
    <format dxfId="38">
      <pivotArea dataOnly="0" labelOnly="1" fieldPosition="0">
        <references count="2">
          <reference field="1" count="1">
            <x v="111"/>
          </reference>
          <reference field="2" count="1" selected="0">
            <x v="53"/>
          </reference>
        </references>
      </pivotArea>
    </format>
    <format dxfId="37">
      <pivotArea dataOnly="0" labelOnly="1" fieldPosition="0">
        <references count="2">
          <reference field="1" count="1">
            <x v="111"/>
          </reference>
          <reference field="2" count="1" selected="0">
            <x v="56"/>
          </reference>
        </references>
      </pivotArea>
    </format>
    <format dxfId="36">
      <pivotArea dataOnly="0" labelOnly="1" fieldPosition="0">
        <references count="2">
          <reference field="1" count="1">
            <x v="110"/>
          </reference>
          <reference field="2" count="1" selected="0">
            <x v="57"/>
          </reference>
        </references>
      </pivotArea>
    </format>
    <format dxfId="35">
      <pivotArea dataOnly="0" labelOnly="1" fieldPosition="0">
        <references count="2">
          <reference field="1" count="1">
            <x v="109"/>
          </reference>
          <reference field="2" count="1" selected="0">
            <x v="47"/>
          </reference>
        </references>
      </pivotArea>
    </format>
    <format dxfId="34">
      <pivotArea dataOnly="0" labelOnly="1" fieldPosition="0">
        <references count="2">
          <reference field="1" count="1">
            <x v="83"/>
          </reference>
          <reference field="2" count="1" selected="0">
            <x v="57"/>
          </reference>
        </references>
      </pivotArea>
    </format>
    <format dxfId="33">
      <pivotArea dataOnly="0" labelOnly="1" fieldPosition="0">
        <references count="2">
          <reference field="1" count="1">
            <x v="101"/>
          </reference>
          <reference field="2" count="1" selected="0">
            <x v="57"/>
          </reference>
        </references>
      </pivotArea>
    </format>
    <format dxfId="32">
      <pivotArea dataOnly="0" labelOnly="1" fieldPosition="0">
        <references count="2">
          <reference field="1" count="1">
            <x v="107"/>
          </reference>
          <reference field="2" count="1" selected="0">
            <x v="47"/>
          </reference>
        </references>
      </pivotArea>
    </format>
    <format dxfId="31">
      <pivotArea dataOnly="0" labelOnly="1" fieldPosition="0">
        <references count="2">
          <reference field="1" count="1">
            <x v="150"/>
          </reference>
          <reference field="2" count="1" selected="0">
            <x v="84"/>
          </reference>
        </references>
      </pivotArea>
    </format>
    <format dxfId="30">
      <pivotArea collapsedLevelsAreSubtotals="1" fieldPosition="0">
        <references count="1">
          <reference field="2" count="1">
            <x v="84"/>
          </reference>
        </references>
      </pivotArea>
    </format>
    <format dxfId="29">
      <pivotArea collapsedLevelsAreSubtotals="1" fieldPosition="0">
        <references count="1">
          <reference field="2" count="1">
            <x v="67"/>
          </reference>
        </references>
      </pivotArea>
    </format>
    <format dxfId="28">
      <pivotArea dataOnly="0" labelOnly="1" fieldPosition="0">
        <references count="2">
          <reference field="1" count="1">
            <x v="101"/>
          </reference>
          <reference field="2" count="1" selected="0">
            <x v="67"/>
          </reference>
        </references>
      </pivotArea>
    </format>
    <format dxfId="27">
      <pivotArea collapsedLevelsAreSubtotals="1" fieldPosition="0">
        <references count="1">
          <reference field="2" count="1">
            <x v="88"/>
          </reference>
        </references>
      </pivotArea>
    </format>
    <format dxfId="26">
      <pivotArea dataOnly="0" labelOnly="1" fieldPosition="0">
        <references count="2">
          <reference field="1" count="1">
            <x v="84"/>
          </reference>
          <reference field="2" count="1" selected="0">
            <x v="88"/>
          </reference>
        </references>
      </pivotArea>
    </format>
    <format dxfId="25">
      <pivotArea dataOnly="0" labelOnly="1" fieldPosition="0">
        <references count="2">
          <reference field="1" count="1">
            <x v="85"/>
          </reference>
          <reference field="2" count="1" selected="0">
            <x v="45"/>
          </reference>
        </references>
      </pivotArea>
    </format>
    <format dxfId="24">
      <pivotArea dataOnly="0" labelOnly="1" fieldPosition="0">
        <references count="2">
          <reference field="1" count="1">
            <x v="101"/>
          </reference>
          <reference field="2" count="1" selected="0">
            <x v="83"/>
          </reference>
        </references>
      </pivotArea>
    </format>
    <format dxfId="23">
      <pivotArea collapsedLevelsAreSubtotals="1" fieldPosition="0">
        <references count="1">
          <reference field="2" count="1">
            <x v="83"/>
          </reference>
        </references>
      </pivotArea>
    </format>
    <format dxfId="22">
      <pivotArea dataOnly="0" labelOnly="1" fieldPosition="0">
        <references count="2">
          <reference field="1" count="1">
            <x v="60"/>
          </reference>
          <reference field="2" count="1" selected="0">
            <x v="13"/>
          </reference>
        </references>
      </pivotArea>
    </format>
    <format dxfId="21">
      <pivotArea dataOnly="0" labelOnly="1" fieldPosition="0">
        <references count="2">
          <reference field="1" count="1">
            <x v="107"/>
          </reference>
          <reference field="2" count="1" selected="0">
            <x v="13"/>
          </reference>
        </references>
      </pivotArea>
    </format>
    <format dxfId="20">
      <pivotArea dataOnly="0" labelOnly="1" fieldPosition="0">
        <references count="2">
          <reference field="1" count="1">
            <x v="8"/>
          </reference>
          <reference field="2" count="1" selected="0">
            <x v="13"/>
          </reference>
        </references>
      </pivotArea>
    </format>
    <format dxfId="19">
      <pivotArea dataOnly="0" labelOnly="1" fieldPosition="0">
        <references count="2">
          <reference field="1" count="1">
            <x v="84"/>
          </reference>
          <reference field="2" count="1" selected="0">
            <x v="17"/>
          </reference>
        </references>
      </pivotArea>
    </format>
    <format dxfId="18">
      <pivotArea dataOnly="0" labelOnly="1" fieldPosition="0">
        <references count="2">
          <reference field="1" count="1">
            <x v="101"/>
          </reference>
          <reference field="2" count="1" selected="0">
            <x v="17"/>
          </reference>
        </references>
      </pivotArea>
    </format>
    <format dxfId="17">
      <pivotArea dataOnly="0" labelOnly="1" fieldPosition="0">
        <references count="2">
          <reference field="1" count="1">
            <x v="129"/>
          </reference>
          <reference field="2" count="1" selected="0">
            <x v="17"/>
          </reference>
        </references>
      </pivotArea>
    </format>
    <format dxfId="16">
      <pivotArea dataOnly="0" labelOnly="1" fieldPosition="0">
        <references count="2">
          <reference field="1" count="1">
            <x v="133"/>
          </reference>
          <reference field="2" count="1" selected="0">
            <x v="29"/>
          </reference>
        </references>
      </pivotArea>
    </format>
    <format dxfId="15">
      <pivotArea dataOnly="0" labelOnly="1" fieldPosition="0">
        <references count="2">
          <reference field="1" count="1">
            <x v="135"/>
          </reference>
          <reference field="2" count="1" selected="0">
            <x v="29"/>
          </reference>
        </references>
      </pivotArea>
    </format>
    <format dxfId="14">
      <pivotArea dataOnly="0" labelOnly="1" fieldPosition="0">
        <references count="2">
          <reference field="1" count="1">
            <x v="75"/>
          </reference>
          <reference field="2" count="1" selected="0">
            <x v="43"/>
          </reference>
        </references>
      </pivotArea>
    </format>
    <format dxfId="13">
      <pivotArea dataOnly="0" labelOnly="1" fieldPosition="0">
        <references count="2">
          <reference field="1" count="1">
            <x v="56"/>
          </reference>
          <reference field="2" count="1" selected="0">
            <x v="49"/>
          </reference>
        </references>
      </pivotArea>
    </format>
    <format dxfId="12">
      <pivotArea dataOnly="0" labelOnly="1" fieldPosition="0">
        <references count="2">
          <reference field="1" count="1">
            <x v="153"/>
          </reference>
          <reference field="2" count="1" selected="0">
            <x v="50"/>
          </reference>
        </references>
      </pivotArea>
    </format>
    <format dxfId="11">
      <pivotArea dataOnly="0" labelOnly="1" fieldPosition="0">
        <references count="2">
          <reference field="1" count="1">
            <x v="152"/>
          </reference>
          <reference field="2" count="1" selected="0">
            <x v="55"/>
          </reference>
        </references>
      </pivotArea>
    </format>
    <format dxfId="10">
      <pivotArea dataOnly="0" labelOnly="1" fieldPosition="0">
        <references count="2">
          <reference field="1" count="1">
            <x v="154"/>
          </reference>
          <reference field="2" count="1" selected="0">
            <x v="57"/>
          </reference>
        </references>
      </pivotArea>
    </format>
    <format dxfId="9">
      <pivotArea dataOnly="0" labelOnly="1" fieldPosition="0">
        <references count="2">
          <reference field="1" count="1">
            <x v="134"/>
          </reference>
          <reference field="2" count="1" selected="0">
            <x v="59"/>
          </reference>
        </references>
      </pivotArea>
    </format>
    <format dxfId="8">
      <pivotArea dataOnly="0" labelOnly="1" fieldPosition="0">
        <references count="2">
          <reference field="1" count="1">
            <x v="87"/>
          </reference>
          <reference field="2" count="1" selected="0">
            <x v="62"/>
          </reference>
        </references>
      </pivotArea>
    </format>
    <format dxfId="7">
      <pivotArea dataOnly="0" labelOnly="1" fieldPosition="0">
        <references count="2">
          <reference field="1" count="1">
            <x v="109"/>
          </reference>
          <reference field="2" count="1" selected="0">
            <x v="62"/>
          </reference>
        </references>
      </pivotArea>
    </format>
    <format dxfId="6">
      <pivotArea dataOnly="0" labelOnly="1" fieldPosition="0">
        <references count="2">
          <reference field="1" count="1">
            <x v="126"/>
          </reference>
          <reference field="2" count="1" selected="0">
            <x v="71"/>
          </reference>
        </references>
      </pivotArea>
    </format>
    <format dxfId="5">
      <pivotArea dataOnly="0" labelOnly="1" fieldPosition="0">
        <references count="2">
          <reference field="1" count="1">
            <x v="101"/>
          </reference>
          <reference field="2" count="1" selected="0">
            <x v="95"/>
          </reference>
        </references>
      </pivotArea>
    </format>
    <format dxfId="4">
      <pivotArea dataOnly="0" labelOnly="1" fieldPosition="0">
        <references count="2">
          <reference field="1" count="1">
            <x v="88"/>
          </reference>
          <reference field="2" count="1" selected="0">
            <x v="97"/>
          </reference>
        </references>
      </pivotArea>
    </format>
    <format dxfId="3">
      <pivotArea dataOnly="0" labelOnly="1" fieldPosition="0">
        <references count="2">
          <reference field="1" count="1">
            <x v="84"/>
          </reference>
          <reference field="2" count="1" selected="0">
            <x v="55"/>
          </reference>
        </references>
      </pivotArea>
    </format>
    <format dxfId="2">
      <pivotArea dataOnly="0" labelOnly="1" fieldPosition="0">
        <references count="2">
          <reference field="1" count="1">
            <x v="152"/>
          </reference>
          <reference field="2" count="1" selected="0">
            <x v="59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fieldPosition="0">
        <references count="2">
          <reference field="1" count="1">
            <x v="133"/>
          </reference>
          <reference field="2" count="1" selected="0">
            <x v="5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14" displayName="Tabla14" ref="A3:H84" totalsRowCount="1" headerRowDxfId="385" dataDxfId="384" totalsRowDxfId="383">
  <autoFilter ref="A3:H83" xr:uid="{00000000-0009-0000-0100-000003000000}"/>
  <sortState xmlns:xlrd2="http://schemas.microsoft.com/office/spreadsheetml/2017/richdata2" ref="A4:H83">
    <sortCondition ref="A4:A83"/>
  </sortState>
  <tableColumns count="8">
    <tableColumn id="1" xr3:uid="{00000000-0010-0000-0000-000001000000}" name="NIVEL" dataDxfId="382" totalsRowDxfId="381"/>
    <tableColumn id="2" xr3:uid="{00000000-0010-0000-0000-000002000000}" name="ASIGNATURA" dataDxfId="380" totalsRowDxfId="379"/>
    <tableColumn id="3" xr3:uid="{00000000-0010-0000-0000-000003000000}" name="APELLIDOS Y NOMBRES" dataDxfId="378" totalsRowDxfId="377"/>
    <tableColumn id="4" xr3:uid="{00000000-0010-0000-0000-000004000000}" name="HORAS" totalsRowFunction="sum" dataDxfId="376" totalsRowDxfId="375"/>
    <tableColumn id="6" xr3:uid="{00000000-0010-0000-0000-000006000000}" name="COMISIÓN" dataDxfId="374" totalsRowDxfId="373"/>
    <tableColumn id="7" xr3:uid="{00000000-0010-0000-0000-000007000000}" name="CARRERA" dataDxfId="372" totalsRowDxfId="371"/>
    <tableColumn id="5" xr3:uid="{00000000-0010-0000-0000-000005000000}" name="DEDIC" dataDxfId="370" totalsRowDxfId="369"/>
    <tableColumn id="8" xr3:uid="{00000000-0010-0000-0000-000008000000}" name="HORAS2" dataDxfId="368" totalsRowDxfId="3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11" sqref="H11"/>
    </sheetView>
  </sheetViews>
  <sheetFormatPr baseColWidth="10" defaultColWidth="10.7109375" defaultRowHeight="15" x14ac:dyDescent="0.25"/>
  <cols>
    <col min="1" max="1" width="34.42578125" style="22" customWidth="1"/>
    <col min="2" max="2" width="57.28515625" customWidth="1"/>
    <col min="3" max="3" width="20" style="22" customWidth="1"/>
    <col min="4" max="4" width="17.28515625" style="22" customWidth="1"/>
    <col min="5" max="5" width="14.7109375" style="22" customWidth="1"/>
    <col min="6" max="6" width="12.5703125" style="22" customWidth="1"/>
    <col min="7" max="7" width="10.7109375" style="33"/>
    <col min="8" max="8" width="15.42578125" customWidth="1"/>
    <col min="9" max="9" width="6.28515625" customWidth="1"/>
  </cols>
  <sheetData>
    <row r="1" spans="1:9" x14ac:dyDescent="0.25">
      <c r="A1" s="34"/>
      <c r="B1" s="35"/>
      <c r="C1" s="34"/>
      <c r="D1" s="34"/>
      <c r="E1" s="34"/>
      <c r="F1" s="34"/>
      <c r="G1" s="36"/>
      <c r="H1" s="35"/>
    </row>
    <row r="2" spans="1:9" x14ac:dyDescent="0.25">
      <c r="A2" s="34"/>
      <c r="B2" s="35"/>
      <c r="C2" s="34"/>
      <c r="D2" s="34"/>
      <c r="E2" s="34"/>
      <c r="F2" s="34"/>
      <c r="G2" s="36"/>
      <c r="H2" s="35"/>
    </row>
    <row r="3" spans="1:9" ht="18.75" customHeight="1" x14ac:dyDescent="0.25">
      <c r="A3" s="37"/>
      <c r="B3" s="412" t="s">
        <v>312</v>
      </c>
      <c r="C3" s="413"/>
      <c r="D3" s="413"/>
      <c r="E3" s="413"/>
      <c r="F3" s="413"/>
      <c r="G3" s="413"/>
      <c r="H3" s="413"/>
    </row>
    <row r="4" spans="1:9" ht="15" customHeight="1" x14ac:dyDescent="0.25">
      <c r="A4" s="34"/>
      <c r="B4" s="412"/>
      <c r="C4" s="413"/>
      <c r="D4" s="413"/>
      <c r="E4" s="413"/>
      <c r="F4" s="413"/>
      <c r="G4" s="413"/>
      <c r="H4" s="413"/>
    </row>
    <row r="5" spans="1:9" ht="18.75" customHeight="1" x14ac:dyDescent="0.25">
      <c r="A5" s="414" t="s">
        <v>198</v>
      </c>
      <c r="B5" s="415"/>
      <c r="C5" s="415"/>
      <c r="D5" s="415"/>
      <c r="E5" s="415"/>
      <c r="F5" s="415"/>
      <c r="G5" s="415"/>
      <c r="H5" s="415"/>
    </row>
    <row r="6" spans="1:9" ht="43.5" customHeight="1" x14ac:dyDescent="0.25">
      <c r="A6" s="38" t="s">
        <v>66</v>
      </c>
      <c r="B6" s="38" t="s">
        <v>67</v>
      </c>
      <c r="C6" s="38" t="s">
        <v>68</v>
      </c>
      <c r="D6" s="39" t="s">
        <v>69</v>
      </c>
      <c r="E6" s="39" t="s">
        <v>70</v>
      </c>
      <c r="F6" s="39" t="s">
        <v>71</v>
      </c>
      <c r="G6" s="39" t="s">
        <v>72</v>
      </c>
      <c r="H6" s="38" t="s">
        <v>73</v>
      </c>
    </row>
    <row r="7" spans="1:9" x14ac:dyDescent="0.25">
      <c r="A7" s="40" t="s">
        <v>199</v>
      </c>
      <c r="B7" s="40" t="s">
        <v>74</v>
      </c>
      <c r="C7" s="41">
        <v>1</v>
      </c>
      <c r="D7" s="42">
        <v>4</v>
      </c>
      <c r="E7" s="42">
        <v>31</v>
      </c>
      <c r="F7" s="42">
        <v>1</v>
      </c>
      <c r="G7" s="43">
        <v>1</v>
      </c>
      <c r="H7" s="44">
        <f t="shared" ref="H7:H53" si="0">+D7*F7</f>
        <v>4</v>
      </c>
    </row>
    <row r="8" spans="1:9" x14ac:dyDescent="0.25">
      <c r="A8" s="40" t="s">
        <v>199</v>
      </c>
      <c r="B8" s="45" t="s">
        <v>75</v>
      </c>
      <c r="C8" s="41">
        <v>1</v>
      </c>
      <c r="D8" s="42">
        <v>3</v>
      </c>
      <c r="E8" s="42">
        <v>31</v>
      </c>
      <c r="F8" s="42">
        <v>1</v>
      </c>
      <c r="G8" s="416"/>
      <c r="H8" s="44">
        <f t="shared" si="0"/>
        <v>3</v>
      </c>
    </row>
    <row r="9" spans="1:9" x14ac:dyDescent="0.25">
      <c r="A9" s="40" t="s">
        <v>199</v>
      </c>
      <c r="B9" s="45" t="s">
        <v>50</v>
      </c>
      <c r="C9" s="41">
        <v>1</v>
      </c>
      <c r="D9" s="42">
        <v>3</v>
      </c>
      <c r="E9" s="42">
        <v>31</v>
      </c>
      <c r="F9" s="42">
        <v>1</v>
      </c>
      <c r="G9" s="417"/>
      <c r="H9" s="44">
        <f t="shared" si="0"/>
        <v>3</v>
      </c>
    </row>
    <row r="10" spans="1:9" x14ac:dyDescent="0.25">
      <c r="A10" s="40" t="s">
        <v>199</v>
      </c>
      <c r="B10" s="45" t="s">
        <v>51</v>
      </c>
      <c r="C10" s="41">
        <v>1</v>
      </c>
      <c r="D10" s="42">
        <v>4</v>
      </c>
      <c r="E10" s="42">
        <v>31</v>
      </c>
      <c r="F10" s="42">
        <v>1</v>
      </c>
      <c r="G10" s="417"/>
      <c r="H10" s="44">
        <f t="shared" si="0"/>
        <v>4</v>
      </c>
    </row>
    <row r="11" spans="1:9" x14ac:dyDescent="0.25">
      <c r="A11" s="40" t="s">
        <v>199</v>
      </c>
      <c r="B11" s="45" t="s">
        <v>41</v>
      </c>
      <c r="C11" s="41">
        <v>1</v>
      </c>
      <c r="D11" s="42">
        <v>4</v>
      </c>
      <c r="E11" s="42">
        <v>31</v>
      </c>
      <c r="F11" s="42">
        <v>1</v>
      </c>
      <c r="G11" s="417"/>
      <c r="H11" s="44">
        <f t="shared" si="0"/>
        <v>4</v>
      </c>
    </row>
    <row r="12" spans="1:9" x14ac:dyDescent="0.25">
      <c r="A12" s="40" t="s">
        <v>199</v>
      </c>
      <c r="B12" s="132" t="s">
        <v>76</v>
      </c>
      <c r="C12" s="41">
        <v>1</v>
      </c>
      <c r="D12" s="42">
        <v>3</v>
      </c>
      <c r="E12" s="42">
        <v>31</v>
      </c>
      <c r="F12" s="42">
        <v>1</v>
      </c>
      <c r="G12" s="417"/>
      <c r="H12" s="44">
        <f>+D12*F12</f>
        <v>3</v>
      </c>
    </row>
    <row r="13" spans="1:9" x14ac:dyDescent="0.25">
      <c r="A13" s="40" t="s">
        <v>199</v>
      </c>
      <c r="B13" s="46" t="s">
        <v>60</v>
      </c>
      <c r="C13" s="133">
        <v>1</v>
      </c>
      <c r="D13" s="47">
        <v>0</v>
      </c>
      <c r="E13" s="47">
        <v>31</v>
      </c>
      <c r="F13" s="47">
        <v>1</v>
      </c>
      <c r="G13" s="418"/>
      <c r="H13" s="137">
        <f>+D13*F13</f>
        <v>0</v>
      </c>
      <c r="I13" s="89">
        <f>SUM(D7:D13)</f>
        <v>21</v>
      </c>
    </row>
    <row r="14" spans="1:9" x14ac:dyDescent="0.25">
      <c r="A14" s="48" t="s">
        <v>199</v>
      </c>
      <c r="B14" s="49" t="s">
        <v>52</v>
      </c>
      <c r="C14" s="50">
        <v>2</v>
      </c>
      <c r="D14" s="51">
        <v>5</v>
      </c>
      <c r="E14" s="52">
        <v>35</v>
      </c>
      <c r="F14" s="52">
        <v>1</v>
      </c>
      <c r="G14" s="43">
        <v>1</v>
      </c>
      <c r="H14" s="44">
        <f t="shared" si="0"/>
        <v>5</v>
      </c>
    </row>
    <row r="15" spans="1:9" x14ac:dyDescent="0.25">
      <c r="A15" s="48" t="s">
        <v>199</v>
      </c>
      <c r="B15" s="49" t="s">
        <v>11</v>
      </c>
      <c r="C15" s="50">
        <v>2</v>
      </c>
      <c r="D15" s="51">
        <v>4</v>
      </c>
      <c r="E15" s="52">
        <v>35</v>
      </c>
      <c r="F15" s="52">
        <v>1</v>
      </c>
      <c r="G15" s="36"/>
      <c r="H15" s="44">
        <f t="shared" si="0"/>
        <v>4</v>
      </c>
    </row>
    <row r="16" spans="1:9" x14ac:dyDescent="0.25">
      <c r="A16" s="48" t="s">
        <v>199</v>
      </c>
      <c r="B16" s="134" t="s">
        <v>77</v>
      </c>
      <c r="C16" s="50">
        <v>2</v>
      </c>
      <c r="D16" s="51">
        <v>4</v>
      </c>
      <c r="E16" s="52">
        <v>35</v>
      </c>
      <c r="F16" s="52">
        <v>1</v>
      </c>
      <c r="G16" s="36"/>
      <c r="H16" s="44">
        <f t="shared" si="0"/>
        <v>4</v>
      </c>
    </row>
    <row r="17" spans="1:9" x14ac:dyDescent="0.25">
      <c r="A17" s="48" t="s">
        <v>199</v>
      </c>
      <c r="B17" s="134" t="s">
        <v>78</v>
      </c>
      <c r="C17" s="50">
        <v>2</v>
      </c>
      <c r="D17" s="51">
        <v>4</v>
      </c>
      <c r="E17" s="52">
        <v>35</v>
      </c>
      <c r="F17" s="52">
        <v>1</v>
      </c>
      <c r="G17" s="36"/>
      <c r="H17" s="44">
        <f t="shared" si="0"/>
        <v>4</v>
      </c>
    </row>
    <row r="18" spans="1:9" x14ac:dyDescent="0.25">
      <c r="A18" s="48" t="s">
        <v>199</v>
      </c>
      <c r="B18" s="134" t="s">
        <v>79</v>
      </c>
      <c r="C18" s="50">
        <v>2</v>
      </c>
      <c r="D18" s="51">
        <v>3</v>
      </c>
      <c r="E18" s="52">
        <v>35</v>
      </c>
      <c r="F18" s="52">
        <v>1</v>
      </c>
      <c r="G18" s="36"/>
      <c r="H18" s="44">
        <f t="shared" si="0"/>
        <v>3</v>
      </c>
    </row>
    <row r="19" spans="1:9" x14ac:dyDescent="0.25">
      <c r="A19" s="48" t="s">
        <v>199</v>
      </c>
      <c r="B19" s="134" t="s">
        <v>42</v>
      </c>
      <c r="C19" s="50">
        <v>2</v>
      </c>
      <c r="D19" s="51">
        <v>4</v>
      </c>
      <c r="E19" s="52">
        <v>35</v>
      </c>
      <c r="F19" s="52">
        <v>1</v>
      </c>
      <c r="G19" s="36"/>
      <c r="H19" s="44">
        <f t="shared" si="0"/>
        <v>4</v>
      </c>
      <c r="I19" s="89">
        <f>SUM(D14:D19)</f>
        <v>24</v>
      </c>
    </row>
    <row r="20" spans="1:9" x14ac:dyDescent="0.25">
      <c r="A20" s="53" t="s">
        <v>199</v>
      </c>
      <c r="B20" s="54" t="s">
        <v>56</v>
      </c>
      <c r="C20" s="55">
        <v>3</v>
      </c>
      <c r="D20" s="56">
        <v>4</v>
      </c>
      <c r="E20" s="57">
        <v>60</v>
      </c>
      <c r="F20" s="57">
        <v>2</v>
      </c>
      <c r="G20" s="43">
        <v>2</v>
      </c>
      <c r="H20" s="44">
        <f t="shared" si="0"/>
        <v>8</v>
      </c>
    </row>
    <row r="21" spans="1:9" x14ac:dyDescent="0.25">
      <c r="A21" s="53" t="s">
        <v>199</v>
      </c>
      <c r="B21" s="54" t="s">
        <v>57</v>
      </c>
      <c r="C21" s="55">
        <v>3</v>
      </c>
      <c r="D21" s="56">
        <v>5</v>
      </c>
      <c r="E21" s="57">
        <v>60</v>
      </c>
      <c r="F21" s="57">
        <v>2</v>
      </c>
      <c r="G21" s="36"/>
      <c r="H21" s="44">
        <f t="shared" si="0"/>
        <v>10</v>
      </c>
    </row>
    <row r="22" spans="1:9" x14ac:dyDescent="0.25">
      <c r="A22" s="53" t="s">
        <v>199</v>
      </c>
      <c r="B22" s="54" t="s">
        <v>43</v>
      </c>
      <c r="C22" s="55">
        <v>3</v>
      </c>
      <c r="D22" s="56">
        <v>4</v>
      </c>
      <c r="E22" s="57">
        <v>60</v>
      </c>
      <c r="F22" s="57">
        <v>2</v>
      </c>
      <c r="G22" s="36"/>
      <c r="H22" s="44">
        <f>+D22*F22</f>
        <v>8</v>
      </c>
    </row>
    <row r="23" spans="1:9" x14ac:dyDescent="0.25">
      <c r="A23" s="53" t="s">
        <v>199</v>
      </c>
      <c r="B23" s="54" t="s">
        <v>80</v>
      </c>
      <c r="C23" s="55">
        <v>3</v>
      </c>
      <c r="D23" s="56">
        <v>5</v>
      </c>
      <c r="E23" s="57">
        <v>60</v>
      </c>
      <c r="F23" s="57">
        <v>2</v>
      </c>
      <c r="G23" s="36"/>
      <c r="H23" s="44">
        <f t="shared" si="0"/>
        <v>10</v>
      </c>
    </row>
    <row r="24" spans="1:9" x14ac:dyDescent="0.25">
      <c r="A24" s="53" t="s">
        <v>199</v>
      </c>
      <c r="B24" s="135" t="s">
        <v>18</v>
      </c>
      <c r="C24" s="136">
        <v>3</v>
      </c>
      <c r="D24" s="56">
        <v>5</v>
      </c>
      <c r="E24" s="57">
        <v>60</v>
      </c>
      <c r="F24" s="57">
        <v>2</v>
      </c>
      <c r="G24" s="36"/>
      <c r="H24" s="44">
        <f>+D24*F24</f>
        <v>10</v>
      </c>
      <c r="I24" s="89">
        <f>SUM(D20:D24)</f>
        <v>23</v>
      </c>
    </row>
    <row r="25" spans="1:9" x14ac:dyDescent="0.25">
      <c r="A25" s="58" t="s">
        <v>199</v>
      </c>
      <c r="B25" s="59" t="s">
        <v>81</v>
      </c>
      <c r="C25" s="60">
        <v>4</v>
      </c>
      <c r="D25" s="61">
        <v>5</v>
      </c>
      <c r="E25" s="62">
        <v>50</v>
      </c>
      <c r="F25" s="62">
        <v>2</v>
      </c>
      <c r="G25" s="177">
        <v>2</v>
      </c>
      <c r="H25" s="44">
        <f t="shared" si="0"/>
        <v>10</v>
      </c>
    </row>
    <row r="26" spans="1:9" x14ac:dyDescent="0.25">
      <c r="A26" s="58" t="s">
        <v>199</v>
      </c>
      <c r="B26" s="59" t="s">
        <v>61</v>
      </c>
      <c r="C26" s="60">
        <v>4</v>
      </c>
      <c r="D26" s="61">
        <v>4</v>
      </c>
      <c r="E26" s="62">
        <v>50</v>
      </c>
      <c r="F26" s="62">
        <v>2</v>
      </c>
      <c r="G26" s="36"/>
      <c r="H26" s="44">
        <f t="shared" si="0"/>
        <v>8</v>
      </c>
    </row>
    <row r="27" spans="1:9" x14ac:dyDescent="0.25">
      <c r="A27" s="58" t="s">
        <v>199</v>
      </c>
      <c r="B27" s="59" t="s">
        <v>62</v>
      </c>
      <c r="C27" s="60">
        <v>4</v>
      </c>
      <c r="D27" s="61">
        <v>4</v>
      </c>
      <c r="E27" s="62">
        <v>50</v>
      </c>
      <c r="F27" s="62">
        <v>2</v>
      </c>
      <c r="G27" s="36"/>
      <c r="H27" s="44">
        <f t="shared" si="0"/>
        <v>8</v>
      </c>
    </row>
    <row r="28" spans="1:9" x14ac:dyDescent="0.25">
      <c r="A28" s="58" t="s">
        <v>199</v>
      </c>
      <c r="B28" s="59" t="s">
        <v>63</v>
      </c>
      <c r="C28" s="60">
        <v>4</v>
      </c>
      <c r="D28" s="61">
        <v>5</v>
      </c>
      <c r="E28" s="62">
        <v>50</v>
      </c>
      <c r="F28" s="62">
        <v>2</v>
      </c>
      <c r="G28" s="36"/>
      <c r="H28" s="44">
        <f t="shared" si="0"/>
        <v>10</v>
      </c>
    </row>
    <row r="29" spans="1:9" x14ac:dyDescent="0.25">
      <c r="A29" s="58" t="s">
        <v>199</v>
      </c>
      <c r="B29" s="59" t="s">
        <v>82</v>
      </c>
      <c r="C29" s="60">
        <v>4</v>
      </c>
      <c r="D29" s="61">
        <v>5</v>
      </c>
      <c r="E29" s="62">
        <v>50</v>
      </c>
      <c r="F29" s="62">
        <v>2</v>
      </c>
      <c r="G29" s="36"/>
      <c r="H29" s="44">
        <f t="shared" si="0"/>
        <v>10</v>
      </c>
      <c r="I29" s="89">
        <f>SUM(D25:D29)</f>
        <v>23</v>
      </c>
    </row>
    <row r="30" spans="1:9" x14ac:dyDescent="0.25">
      <c r="A30" s="63" t="s">
        <v>199</v>
      </c>
      <c r="B30" s="64" t="s">
        <v>200</v>
      </c>
      <c r="C30" s="65">
        <v>5</v>
      </c>
      <c r="D30" s="66">
        <v>5</v>
      </c>
      <c r="E30" s="67">
        <v>63</v>
      </c>
      <c r="F30" s="67">
        <v>2</v>
      </c>
      <c r="G30" s="43">
        <v>2</v>
      </c>
      <c r="H30" s="44">
        <f t="shared" si="0"/>
        <v>10</v>
      </c>
    </row>
    <row r="31" spans="1:9" x14ac:dyDescent="0.25">
      <c r="A31" s="63" t="s">
        <v>199</v>
      </c>
      <c r="B31" s="64" t="s">
        <v>201</v>
      </c>
      <c r="C31" s="65">
        <v>5</v>
      </c>
      <c r="D31" s="66">
        <v>5</v>
      </c>
      <c r="E31" s="67">
        <v>63</v>
      </c>
      <c r="F31" s="67">
        <v>2</v>
      </c>
      <c r="G31" s="36"/>
      <c r="H31" s="44">
        <f t="shared" si="0"/>
        <v>10</v>
      </c>
    </row>
    <row r="32" spans="1:9" x14ac:dyDescent="0.25">
      <c r="A32" s="63" t="s">
        <v>199</v>
      </c>
      <c r="B32" s="64" t="s">
        <v>202</v>
      </c>
      <c r="C32" s="65">
        <v>5</v>
      </c>
      <c r="D32" s="66">
        <v>5</v>
      </c>
      <c r="E32" s="67">
        <v>63</v>
      </c>
      <c r="F32" s="67">
        <v>2</v>
      </c>
      <c r="G32" s="36"/>
      <c r="H32" s="44">
        <f t="shared" si="0"/>
        <v>10</v>
      </c>
    </row>
    <row r="33" spans="1:9" x14ac:dyDescent="0.25">
      <c r="A33" s="63" t="s">
        <v>199</v>
      </c>
      <c r="B33" s="64" t="s">
        <v>203</v>
      </c>
      <c r="C33" s="65">
        <v>5</v>
      </c>
      <c r="D33" s="66">
        <v>4</v>
      </c>
      <c r="E33" s="67">
        <v>63</v>
      </c>
      <c r="F33" s="67">
        <v>2</v>
      </c>
      <c r="G33" s="36"/>
      <c r="H33" s="44">
        <f t="shared" si="0"/>
        <v>8</v>
      </c>
    </row>
    <row r="34" spans="1:9" x14ac:dyDescent="0.25">
      <c r="A34" s="63" t="s">
        <v>199</v>
      </c>
      <c r="B34" s="64" t="s">
        <v>204</v>
      </c>
      <c r="C34" s="65">
        <v>5</v>
      </c>
      <c r="D34" s="66">
        <v>4</v>
      </c>
      <c r="E34" s="67">
        <v>63</v>
      </c>
      <c r="F34" s="67">
        <v>2</v>
      </c>
      <c r="G34" s="36"/>
      <c r="H34" s="44">
        <f t="shared" si="0"/>
        <v>8</v>
      </c>
      <c r="I34" s="89">
        <f>SUM(D30:D34)</f>
        <v>23</v>
      </c>
    </row>
    <row r="35" spans="1:9" x14ac:dyDescent="0.25">
      <c r="A35" s="68" t="s">
        <v>199</v>
      </c>
      <c r="B35" s="69" t="s">
        <v>234</v>
      </c>
      <c r="C35" s="70">
        <v>6</v>
      </c>
      <c r="D35" s="71">
        <v>5</v>
      </c>
      <c r="E35" s="72">
        <v>62</v>
      </c>
      <c r="F35" s="72">
        <v>2</v>
      </c>
      <c r="G35" s="43">
        <v>2</v>
      </c>
      <c r="H35" s="44">
        <f t="shared" si="0"/>
        <v>10</v>
      </c>
    </row>
    <row r="36" spans="1:9" x14ac:dyDescent="0.25">
      <c r="A36" s="68" t="s">
        <v>199</v>
      </c>
      <c r="B36" s="69" t="s">
        <v>44</v>
      </c>
      <c r="C36" s="70">
        <v>6</v>
      </c>
      <c r="D36" s="71">
        <v>5</v>
      </c>
      <c r="E36" s="72">
        <v>62</v>
      </c>
      <c r="F36" s="72">
        <v>2</v>
      </c>
      <c r="G36" s="36"/>
      <c r="H36" s="44">
        <f t="shared" si="0"/>
        <v>10</v>
      </c>
    </row>
    <row r="37" spans="1:9" x14ac:dyDescent="0.25">
      <c r="A37" s="68" t="s">
        <v>199</v>
      </c>
      <c r="B37" s="69" t="s">
        <v>235</v>
      </c>
      <c r="C37" s="70">
        <v>6</v>
      </c>
      <c r="D37" s="71">
        <v>5</v>
      </c>
      <c r="E37" s="72">
        <v>62</v>
      </c>
      <c r="F37" s="72">
        <v>2</v>
      </c>
      <c r="G37" s="36"/>
      <c r="H37" s="44">
        <f t="shared" si="0"/>
        <v>10</v>
      </c>
    </row>
    <row r="38" spans="1:9" x14ac:dyDescent="0.25">
      <c r="A38" s="68" t="s">
        <v>199</v>
      </c>
      <c r="B38" s="69" t="s">
        <v>236</v>
      </c>
      <c r="C38" s="70">
        <v>6</v>
      </c>
      <c r="D38" s="71">
        <v>4</v>
      </c>
      <c r="E38" s="72">
        <v>62</v>
      </c>
      <c r="F38" s="72">
        <v>2</v>
      </c>
      <c r="G38" s="36"/>
      <c r="H38" s="44">
        <f t="shared" si="0"/>
        <v>8</v>
      </c>
    </row>
    <row r="39" spans="1:9" x14ac:dyDescent="0.25">
      <c r="A39" s="68" t="s">
        <v>199</v>
      </c>
      <c r="B39" s="69" t="s">
        <v>237</v>
      </c>
      <c r="C39" s="70">
        <v>6</v>
      </c>
      <c r="D39" s="71">
        <v>4</v>
      </c>
      <c r="E39" s="72">
        <v>62</v>
      </c>
      <c r="F39" s="72">
        <v>2</v>
      </c>
      <c r="G39" s="36"/>
      <c r="H39" s="44">
        <f t="shared" si="0"/>
        <v>8</v>
      </c>
      <c r="I39" s="89">
        <f>SUM(D35:D39)</f>
        <v>23</v>
      </c>
    </row>
    <row r="40" spans="1:9" x14ac:dyDescent="0.25">
      <c r="A40" s="73" t="s">
        <v>199</v>
      </c>
      <c r="B40" s="74" t="s">
        <v>36</v>
      </c>
      <c r="C40" s="75">
        <v>7</v>
      </c>
      <c r="D40" s="76">
        <v>5</v>
      </c>
      <c r="E40" s="77">
        <v>61</v>
      </c>
      <c r="F40" s="77">
        <v>2</v>
      </c>
      <c r="G40" s="43">
        <v>2</v>
      </c>
      <c r="H40" s="44">
        <f t="shared" si="0"/>
        <v>10</v>
      </c>
    </row>
    <row r="41" spans="1:9" x14ac:dyDescent="0.25">
      <c r="A41" s="73" t="s">
        <v>199</v>
      </c>
      <c r="B41" s="74" t="s">
        <v>290</v>
      </c>
      <c r="C41" s="75">
        <v>7</v>
      </c>
      <c r="D41" s="76">
        <v>5</v>
      </c>
      <c r="E41" s="77">
        <v>61</v>
      </c>
      <c r="F41" s="77">
        <v>2</v>
      </c>
      <c r="G41" s="36"/>
      <c r="H41" s="44">
        <f t="shared" si="0"/>
        <v>10</v>
      </c>
    </row>
    <row r="42" spans="1:9" x14ac:dyDescent="0.25">
      <c r="A42" s="73" t="s">
        <v>199</v>
      </c>
      <c r="B42" s="74" t="s">
        <v>291</v>
      </c>
      <c r="C42" s="75">
        <v>7</v>
      </c>
      <c r="D42" s="76">
        <v>5</v>
      </c>
      <c r="E42" s="77">
        <v>61</v>
      </c>
      <c r="F42" s="77">
        <v>2</v>
      </c>
      <c r="G42" s="36"/>
      <c r="H42" s="44">
        <f t="shared" si="0"/>
        <v>10</v>
      </c>
    </row>
    <row r="43" spans="1:9" x14ac:dyDescent="0.25">
      <c r="A43" s="73" t="s">
        <v>199</v>
      </c>
      <c r="B43" s="74" t="s">
        <v>292</v>
      </c>
      <c r="C43" s="75">
        <v>7</v>
      </c>
      <c r="D43" s="76">
        <v>5</v>
      </c>
      <c r="E43" s="77">
        <v>61</v>
      </c>
      <c r="F43" s="77">
        <v>2</v>
      </c>
      <c r="G43" s="36"/>
      <c r="H43" s="44">
        <f t="shared" si="0"/>
        <v>10</v>
      </c>
      <c r="I43" s="89">
        <f>SUM(D40:D43)</f>
        <v>20</v>
      </c>
    </row>
    <row r="44" spans="1:9" x14ac:dyDescent="0.25">
      <c r="A44" s="78" t="s">
        <v>199</v>
      </c>
      <c r="B44" s="79" t="s">
        <v>45</v>
      </c>
      <c r="C44" s="80">
        <v>8</v>
      </c>
      <c r="D44" s="81">
        <v>5</v>
      </c>
      <c r="E44" s="82">
        <v>60</v>
      </c>
      <c r="F44" s="82">
        <v>2</v>
      </c>
      <c r="G44" s="43">
        <v>2</v>
      </c>
      <c r="H44" s="44">
        <f t="shared" si="0"/>
        <v>10</v>
      </c>
    </row>
    <row r="45" spans="1:9" x14ac:dyDescent="0.25">
      <c r="A45" s="78" t="s">
        <v>199</v>
      </c>
      <c r="B45" s="79" t="s">
        <v>313</v>
      </c>
      <c r="C45" s="80">
        <v>8</v>
      </c>
      <c r="D45" s="81">
        <v>5</v>
      </c>
      <c r="E45" s="82">
        <v>60</v>
      </c>
      <c r="F45" s="82">
        <v>2</v>
      </c>
      <c r="G45" s="36"/>
      <c r="H45" s="44">
        <f t="shared" si="0"/>
        <v>10</v>
      </c>
    </row>
    <row r="46" spans="1:9" x14ac:dyDescent="0.25">
      <c r="A46" s="78" t="s">
        <v>199</v>
      </c>
      <c r="B46" s="79" t="s">
        <v>314</v>
      </c>
      <c r="C46" s="80">
        <v>8</v>
      </c>
      <c r="D46" s="81">
        <v>5</v>
      </c>
      <c r="E46" s="82">
        <v>60</v>
      </c>
      <c r="F46" s="82">
        <v>2</v>
      </c>
      <c r="G46" s="36"/>
      <c r="H46" s="44">
        <f t="shared" si="0"/>
        <v>10</v>
      </c>
    </row>
    <row r="47" spans="1:9" x14ac:dyDescent="0.25">
      <c r="A47" s="78" t="s">
        <v>199</v>
      </c>
      <c r="B47" s="79" t="s">
        <v>284</v>
      </c>
      <c r="C47" s="80">
        <v>8</v>
      </c>
      <c r="D47" s="81">
        <v>5</v>
      </c>
      <c r="E47" s="82">
        <v>60</v>
      </c>
      <c r="F47" s="82">
        <v>2</v>
      </c>
      <c r="G47" s="36"/>
      <c r="H47" s="44">
        <f t="shared" si="0"/>
        <v>10</v>
      </c>
      <c r="I47" s="89">
        <f>SUM(D44:D47)</f>
        <v>20</v>
      </c>
    </row>
    <row r="48" spans="1:9" x14ac:dyDescent="0.25">
      <c r="A48" s="83" t="s">
        <v>83</v>
      </c>
      <c r="B48" s="84" t="s">
        <v>39</v>
      </c>
      <c r="C48" s="85">
        <v>9</v>
      </c>
      <c r="D48" s="86">
        <f>+(64+16)/16</f>
        <v>5</v>
      </c>
      <c r="E48" s="87">
        <v>65</v>
      </c>
      <c r="F48" s="87">
        <v>2</v>
      </c>
      <c r="G48" s="43">
        <v>2</v>
      </c>
      <c r="H48" s="44">
        <f t="shared" si="0"/>
        <v>10</v>
      </c>
    </row>
    <row r="49" spans="1:9" x14ac:dyDescent="0.25">
      <c r="A49" s="83" t="s">
        <v>83</v>
      </c>
      <c r="B49" s="84" t="s">
        <v>84</v>
      </c>
      <c r="C49" s="85">
        <v>9</v>
      </c>
      <c r="D49" s="86">
        <f>+(48+16)/16</f>
        <v>4</v>
      </c>
      <c r="E49" s="87">
        <v>65</v>
      </c>
      <c r="F49" s="87">
        <v>2</v>
      </c>
      <c r="G49" s="36"/>
      <c r="H49" s="44">
        <f t="shared" si="0"/>
        <v>8</v>
      </c>
    </row>
    <row r="50" spans="1:9" x14ac:dyDescent="0.25">
      <c r="A50" s="83" t="s">
        <v>83</v>
      </c>
      <c r="B50" s="84" t="s">
        <v>85</v>
      </c>
      <c r="C50" s="85">
        <v>9</v>
      </c>
      <c r="D50" s="86">
        <f>+(48+16)/16</f>
        <v>4</v>
      </c>
      <c r="E50" s="87">
        <v>65</v>
      </c>
      <c r="F50" s="87">
        <v>2</v>
      </c>
      <c r="G50" s="36"/>
      <c r="H50" s="44">
        <f t="shared" si="0"/>
        <v>8</v>
      </c>
    </row>
    <row r="51" spans="1:9" x14ac:dyDescent="0.25">
      <c r="A51" s="83" t="s">
        <v>83</v>
      </c>
      <c r="B51" s="84" t="s">
        <v>205</v>
      </c>
      <c r="C51" s="85">
        <v>9</v>
      </c>
      <c r="D51" s="86">
        <f>+(32+16)/16</f>
        <v>3</v>
      </c>
      <c r="E51" s="87">
        <v>65</v>
      </c>
      <c r="F51" s="87">
        <v>2</v>
      </c>
      <c r="G51" s="36"/>
      <c r="H51" s="44">
        <f t="shared" si="0"/>
        <v>6</v>
      </c>
    </row>
    <row r="52" spans="1:9" x14ac:dyDescent="0.25">
      <c r="A52" s="83" t="s">
        <v>83</v>
      </c>
      <c r="B52" s="84" t="s">
        <v>36</v>
      </c>
      <c r="C52" s="85">
        <v>9</v>
      </c>
      <c r="D52" s="86">
        <f>+(48+16)/16</f>
        <v>4</v>
      </c>
      <c r="E52" s="87">
        <v>65</v>
      </c>
      <c r="F52" s="87">
        <v>2</v>
      </c>
      <c r="G52" s="36"/>
      <c r="H52" s="44">
        <f t="shared" si="0"/>
        <v>8</v>
      </c>
    </row>
    <row r="53" spans="1:9" x14ac:dyDescent="0.25">
      <c r="A53" s="83" t="s">
        <v>83</v>
      </c>
      <c r="B53" s="84" t="s">
        <v>222</v>
      </c>
      <c r="C53" s="85">
        <v>9</v>
      </c>
      <c r="D53" s="86">
        <v>3</v>
      </c>
      <c r="E53" s="87">
        <v>65</v>
      </c>
      <c r="F53" s="87">
        <v>2</v>
      </c>
      <c r="G53" s="36"/>
      <c r="H53" s="44">
        <f t="shared" si="0"/>
        <v>6</v>
      </c>
      <c r="I53" s="89">
        <f>SUM(D48:D53)</f>
        <v>23</v>
      </c>
    </row>
    <row r="54" spans="1:9" x14ac:dyDescent="0.25">
      <c r="E54" s="179">
        <f>+E7+E14+E20+E25+E30+E35+E40+E44+E48</f>
        <v>487</v>
      </c>
      <c r="F54"/>
      <c r="G54" s="180">
        <f>SUM(G7:G53)</f>
        <v>16</v>
      </c>
      <c r="H54" s="88">
        <f>SUM(H7:H53)</f>
        <v>355</v>
      </c>
    </row>
    <row r="55" spans="1:9" ht="15.75" x14ac:dyDescent="0.25">
      <c r="F55"/>
      <c r="G55" s="89"/>
      <c r="H55" s="138">
        <f>+H54</f>
        <v>355</v>
      </c>
      <c r="I55" s="100" t="s">
        <v>209</v>
      </c>
    </row>
    <row r="56" spans="1:9" ht="65.45" customHeight="1" x14ac:dyDescent="0.25">
      <c r="A56" s="90" t="s">
        <v>86</v>
      </c>
      <c r="B56" s="90" t="s">
        <v>87</v>
      </c>
      <c r="C56" s="90" t="s">
        <v>88</v>
      </c>
      <c r="D56" s="91"/>
      <c r="F56"/>
      <c r="H56" s="89"/>
    </row>
    <row r="57" spans="1:9" x14ac:dyDescent="0.25">
      <c r="A57" s="181">
        <f>+E48+E44</f>
        <v>125</v>
      </c>
      <c r="B57" s="182">
        <f>+E30+E35</f>
        <v>125</v>
      </c>
      <c r="C57" s="181">
        <f>+E40+E44</f>
        <v>121</v>
      </c>
      <c r="F57"/>
    </row>
    <row r="58" spans="1:9" x14ac:dyDescent="0.25">
      <c r="F58"/>
    </row>
    <row r="59" spans="1:9" x14ac:dyDescent="0.25">
      <c r="F59"/>
    </row>
    <row r="63" spans="1:9" s="22" customFormat="1" x14ac:dyDescent="0.25">
      <c r="A63" s="92"/>
      <c r="B63" s="93"/>
      <c r="C63" s="419"/>
      <c r="D63" s="420"/>
      <c r="G63" s="33"/>
      <c r="H63"/>
      <c r="I63"/>
    </row>
    <row r="64" spans="1:9" s="22" customFormat="1" x14ac:dyDescent="0.25">
      <c r="A64" s="94"/>
      <c r="B64" s="95"/>
      <c r="C64" s="421"/>
      <c r="D64" s="422"/>
      <c r="G64" s="33"/>
      <c r="H64"/>
      <c r="I64"/>
    </row>
    <row r="65" spans="1:9" s="22" customFormat="1" x14ac:dyDescent="0.25">
      <c r="A65" s="96" t="s">
        <v>89</v>
      </c>
      <c r="B65" s="97" t="s">
        <v>206</v>
      </c>
      <c r="C65" s="423" t="s">
        <v>208</v>
      </c>
      <c r="D65" s="424"/>
      <c r="G65" s="33"/>
      <c r="H65"/>
      <c r="I65"/>
    </row>
    <row r="66" spans="1:9" s="22" customFormat="1" x14ac:dyDescent="0.25">
      <c r="A66" s="98" t="s">
        <v>90</v>
      </c>
      <c r="B66" s="99" t="s">
        <v>207</v>
      </c>
      <c r="C66" s="410" t="s">
        <v>91</v>
      </c>
      <c r="D66" s="411"/>
      <c r="G66" s="33"/>
      <c r="H66"/>
      <c r="I66"/>
    </row>
  </sheetData>
  <autoFilter ref="A6:F57" xr:uid="{00000000-0009-0000-0000-000000000000}"/>
  <mergeCells count="6">
    <mergeCell ref="C66:D66"/>
    <mergeCell ref="B3:H4"/>
    <mergeCell ref="A5:H5"/>
    <mergeCell ref="G8:G13"/>
    <mergeCell ref="C63:D64"/>
    <mergeCell ref="C65:D65"/>
  </mergeCells>
  <pageMargins left="0.31496062992125984" right="0.31496062992125984" top="0.35433070866141736" bottom="0.35433070866141736" header="0.31496062992125984" footer="0.31496062992125984"/>
  <pageSetup paperSize="9" scale="53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showGridLines="0" zoomScale="90" zoomScaleNormal="90" workbookViewId="0">
      <pane xSplit="2" ySplit="3" topLeftCell="C11" activePane="bottomRight" state="frozen"/>
      <selection pane="topRight" activeCell="C1" sqref="C1"/>
      <selection pane="bottomLeft" activeCell="A4" sqref="A4"/>
      <selection pane="bottomRight" activeCell="I13" sqref="I13"/>
    </sheetView>
  </sheetViews>
  <sheetFormatPr baseColWidth="10" defaultColWidth="8.7109375" defaultRowHeight="12" x14ac:dyDescent="0.25"/>
  <cols>
    <col min="1" max="1" width="4.28515625" style="220" customWidth="1"/>
    <col min="2" max="2" width="34.7109375" style="277" customWidth="1"/>
    <col min="3" max="3" width="14.28515625" style="277" customWidth="1"/>
    <col min="4" max="4" width="13.7109375" style="277" customWidth="1"/>
    <col min="5" max="5" width="11.140625" style="277" customWidth="1"/>
    <col min="6" max="6" width="13.140625" style="277" customWidth="1"/>
    <col min="7" max="7" width="27.85546875" style="277" customWidth="1"/>
    <col min="8" max="8" width="19.28515625" style="277" customWidth="1"/>
    <col min="9" max="9" width="23.7109375" style="277" customWidth="1"/>
    <col min="10" max="10" width="20.140625" style="277" customWidth="1"/>
    <col min="11" max="11" width="22.7109375" style="277" customWidth="1"/>
    <col min="12" max="12" width="19.28515625" style="277" customWidth="1"/>
    <col min="13" max="13" width="25.5703125" style="277" customWidth="1"/>
    <col min="14" max="14" width="8.85546875" style="277" customWidth="1"/>
    <col min="15" max="15" width="9.7109375" style="277" bestFit="1" customWidth="1"/>
    <col min="16" max="16" width="35.28515625" style="277" customWidth="1"/>
    <col min="17" max="16384" width="8.7109375" style="277"/>
  </cols>
  <sheetData>
    <row r="1" spans="1:16" ht="21" x14ac:dyDescent="0.25">
      <c r="A1" s="425" t="s">
        <v>221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</row>
    <row r="2" spans="1:16" ht="21" x14ac:dyDescent="0.25">
      <c r="A2" s="425" t="s">
        <v>490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</row>
    <row r="3" spans="1:16" ht="22.5" x14ac:dyDescent="0.25">
      <c r="A3" s="278" t="s">
        <v>92</v>
      </c>
      <c r="B3" s="279" t="s">
        <v>2</v>
      </c>
      <c r="C3" s="279" t="s">
        <v>482</v>
      </c>
      <c r="D3" s="279" t="s">
        <v>211</v>
      </c>
      <c r="E3" s="279" t="s">
        <v>212</v>
      </c>
      <c r="F3" s="279" t="s">
        <v>483</v>
      </c>
      <c r="G3" s="279" t="s">
        <v>484</v>
      </c>
      <c r="H3" s="279" t="s">
        <v>485</v>
      </c>
      <c r="I3" s="279" t="s">
        <v>238</v>
      </c>
      <c r="J3" s="279" t="s">
        <v>485</v>
      </c>
      <c r="K3" s="279" t="s">
        <v>239</v>
      </c>
      <c r="L3" s="279" t="s">
        <v>485</v>
      </c>
      <c r="M3" s="279" t="s">
        <v>29</v>
      </c>
      <c r="N3" s="279" t="s">
        <v>243</v>
      </c>
      <c r="P3" s="279" t="s">
        <v>329</v>
      </c>
    </row>
    <row r="4" spans="1:16" ht="143.44999999999999" customHeight="1" x14ac:dyDescent="0.25">
      <c r="A4" s="204">
        <v>1</v>
      </c>
      <c r="B4" s="280" t="s">
        <v>34</v>
      </c>
      <c r="C4" s="281">
        <v>1306260959</v>
      </c>
      <c r="D4" s="280" t="s">
        <v>491</v>
      </c>
      <c r="E4" s="280" t="s">
        <v>27</v>
      </c>
      <c r="F4" s="280" t="s">
        <v>486</v>
      </c>
      <c r="G4" s="280" t="s">
        <v>495</v>
      </c>
      <c r="H4" s="280" t="s">
        <v>496</v>
      </c>
      <c r="I4" s="280" t="s">
        <v>497</v>
      </c>
      <c r="J4" s="280" t="s">
        <v>498</v>
      </c>
      <c r="K4" s="280"/>
      <c r="L4" s="280"/>
      <c r="M4" s="280"/>
      <c r="N4" s="285">
        <f>+GETPIVOTDATA("HORAS",'REPARTO HORAS'!$A$1,"APELLIDOS Y NOMBRES","ARIAS ARIAS ANA ELENA")</f>
        <v>18</v>
      </c>
      <c r="P4" s="280"/>
    </row>
    <row r="5" spans="1:16" ht="43.15" customHeight="1" x14ac:dyDescent="0.25">
      <c r="A5" s="204">
        <v>2</v>
      </c>
      <c r="B5" s="280" t="s">
        <v>22</v>
      </c>
      <c r="C5" s="281">
        <v>1310640097</v>
      </c>
      <c r="D5" s="280" t="s">
        <v>491</v>
      </c>
      <c r="E5" s="280" t="s">
        <v>27</v>
      </c>
      <c r="F5" s="280" t="s">
        <v>486</v>
      </c>
      <c r="G5" s="280" t="s">
        <v>499</v>
      </c>
      <c r="H5" s="280" t="s">
        <v>493</v>
      </c>
      <c r="I5" s="280" t="s">
        <v>127</v>
      </c>
      <c r="J5" s="280" t="s">
        <v>493</v>
      </c>
      <c r="K5" s="280"/>
      <c r="L5" s="280"/>
      <c r="M5" s="280"/>
      <c r="N5" s="285">
        <f>+GETPIVOTDATA("HORAS",'REPARTO HORAS'!$A$1,"APELLIDOS Y NOMBRES","BADUY MOLINA AAROM LEONEL")</f>
        <v>16</v>
      </c>
      <c r="P5" s="280"/>
    </row>
    <row r="6" spans="1:16" ht="135" customHeight="1" x14ac:dyDescent="0.25">
      <c r="A6" s="204">
        <v>3</v>
      </c>
      <c r="B6" s="280" t="s">
        <v>213</v>
      </c>
      <c r="C6" s="281">
        <v>1309746871</v>
      </c>
      <c r="D6" s="280" t="s">
        <v>491</v>
      </c>
      <c r="E6" s="280" t="s">
        <v>27</v>
      </c>
      <c r="F6" s="280" t="s">
        <v>486</v>
      </c>
      <c r="G6" s="280" t="s">
        <v>501</v>
      </c>
      <c r="H6" s="280" t="s">
        <v>496</v>
      </c>
      <c r="I6" s="280" t="s">
        <v>240</v>
      </c>
      <c r="J6" s="280" t="s">
        <v>502</v>
      </c>
      <c r="K6" s="280" t="s">
        <v>138</v>
      </c>
      <c r="L6" s="280" t="s">
        <v>502</v>
      </c>
      <c r="M6" s="280"/>
      <c r="N6" s="285">
        <f>+GETPIVOTDATA("HORAS",'REPARTO HORAS'!$A$1,"APELLIDOS Y NOMBRES","CARREÑO VILLAVICENCIO DIANEXY VIVIANA")</f>
        <v>18</v>
      </c>
      <c r="P6" s="280"/>
    </row>
    <row r="7" spans="1:16" ht="47.45" customHeight="1" x14ac:dyDescent="0.25">
      <c r="A7" s="204">
        <v>1</v>
      </c>
      <c r="B7" s="280" t="s">
        <v>394</v>
      </c>
      <c r="C7" s="281">
        <v>1309715850</v>
      </c>
      <c r="D7" s="280" t="s">
        <v>491</v>
      </c>
      <c r="E7" s="280" t="s">
        <v>27</v>
      </c>
      <c r="F7" s="280" t="s">
        <v>487</v>
      </c>
      <c r="G7" s="280" t="s">
        <v>503</v>
      </c>
      <c r="H7" s="280" t="s">
        <v>504</v>
      </c>
      <c r="I7" s="280" t="s">
        <v>505</v>
      </c>
      <c r="J7" s="280" t="s">
        <v>504</v>
      </c>
      <c r="K7" s="280"/>
      <c r="L7" s="280"/>
      <c r="M7" s="280"/>
      <c r="N7" s="285">
        <f>+GETPIVOTDATA("HORAS",'REPARTO HORAS'!$A$1,"APELLIDOS Y NOMBRES","COVEÑA MENÉNDEZ JONATHAN KLEBER")</f>
        <v>4</v>
      </c>
      <c r="P7" s="280"/>
    </row>
    <row r="8" spans="1:16" ht="42.6" customHeight="1" x14ac:dyDescent="0.25">
      <c r="A8" s="204">
        <v>4</v>
      </c>
      <c r="B8" s="280" t="s">
        <v>328</v>
      </c>
      <c r="C8" s="281">
        <v>922028709</v>
      </c>
      <c r="D8" s="280" t="s">
        <v>491</v>
      </c>
      <c r="E8" s="280" t="s">
        <v>27</v>
      </c>
      <c r="F8" s="280" t="s">
        <v>488</v>
      </c>
      <c r="G8" s="280" t="s">
        <v>385</v>
      </c>
      <c r="H8" s="280" t="s">
        <v>493</v>
      </c>
      <c r="I8" s="280" t="s">
        <v>506</v>
      </c>
      <c r="J8" s="280" t="s">
        <v>493</v>
      </c>
      <c r="K8" s="280" t="s">
        <v>507</v>
      </c>
      <c r="L8" s="280" t="s">
        <v>508</v>
      </c>
      <c r="M8" s="280"/>
      <c r="N8" s="285">
        <f>+GETPIVOTDATA("HORAS",'REPARTO HORAS'!$A$1,"APELLIDOS Y NOMBRES","CRUZ MERA RAFER HENRY")</f>
        <v>5</v>
      </c>
      <c r="P8" s="280"/>
    </row>
    <row r="9" spans="1:16" ht="119.45" customHeight="1" x14ac:dyDescent="0.25">
      <c r="A9" s="204">
        <v>5</v>
      </c>
      <c r="B9" s="280" t="s">
        <v>8</v>
      </c>
      <c r="C9" s="281">
        <v>910619543</v>
      </c>
      <c r="D9" s="280" t="s">
        <v>491</v>
      </c>
      <c r="E9" s="280" t="s">
        <v>27</v>
      </c>
      <c r="F9" s="280" t="s">
        <v>486</v>
      </c>
      <c r="G9" s="280" t="s">
        <v>509</v>
      </c>
      <c r="H9" s="280" t="s">
        <v>494</v>
      </c>
      <c r="I9" s="280" t="s">
        <v>510</v>
      </c>
      <c r="J9" s="280" t="s">
        <v>511</v>
      </c>
      <c r="K9" s="280"/>
      <c r="L9" s="280"/>
      <c r="M9" s="280" t="s">
        <v>246</v>
      </c>
      <c r="N9" s="285">
        <f>+GETPIVOTDATA("HORAS",'REPARTO HORAS'!$A$1,"APELLIDOS Y NOMBRES","GRANDA GARCÍA MARCO IVÁN")</f>
        <v>20</v>
      </c>
      <c r="P9" s="280" t="s">
        <v>382</v>
      </c>
    </row>
    <row r="10" spans="1:16" ht="36" customHeight="1" x14ac:dyDescent="0.25">
      <c r="A10" s="204">
        <v>6</v>
      </c>
      <c r="B10" s="280" t="s">
        <v>327</v>
      </c>
      <c r="C10" s="281">
        <v>1312925033</v>
      </c>
      <c r="D10" s="280" t="s">
        <v>492</v>
      </c>
      <c r="E10" s="280" t="s">
        <v>517</v>
      </c>
      <c r="F10" s="280" t="s">
        <v>488</v>
      </c>
      <c r="G10" s="280" t="s">
        <v>514</v>
      </c>
      <c r="H10" s="280" t="s">
        <v>515</v>
      </c>
      <c r="I10" s="280" t="s">
        <v>516</v>
      </c>
      <c r="J10" s="280" t="s">
        <v>502</v>
      </c>
      <c r="K10" s="280"/>
      <c r="L10" s="280"/>
      <c r="M10" s="280"/>
      <c r="N10" s="285">
        <f>+GETPIVOTDATA("HORAS",'REPARTO HORAS'!$A$1,"APELLIDOS Y NOMBRES","HEREDIA COPPIANO GENESIS ESTEFANÍA")</f>
        <v>4</v>
      </c>
      <c r="P10" s="280"/>
    </row>
    <row r="11" spans="1:16" ht="87.6" customHeight="1" x14ac:dyDescent="0.25">
      <c r="A11" s="204">
        <v>7</v>
      </c>
      <c r="B11" s="280" t="s">
        <v>224</v>
      </c>
      <c r="C11" s="281">
        <v>1311369464</v>
      </c>
      <c r="D11" s="280" t="s">
        <v>491</v>
      </c>
      <c r="E11" s="280" t="s">
        <v>27</v>
      </c>
      <c r="F11" s="280" t="s">
        <v>486</v>
      </c>
      <c r="G11" s="280" t="s">
        <v>518</v>
      </c>
      <c r="H11" s="280" t="s">
        <v>502</v>
      </c>
      <c r="I11" s="280" t="s">
        <v>519</v>
      </c>
      <c r="J11" s="280" t="s">
        <v>520</v>
      </c>
      <c r="K11" s="280"/>
      <c r="L11" s="280"/>
      <c r="M11" s="280"/>
      <c r="N11" s="285">
        <f>+GETPIVOTDATA("HORAS",'REPARTO HORAS'!$A$1,"APELLIDOS Y NOMBRES","HORMAZA VILLAFUERTE SANDY LISBETH")</f>
        <v>20</v>
      </c>
      <c r="P11" s="280"/>
    </row>
    <row r="12" spans="1:16" ht="61.9" customHeight="1" x14ac:dyDescent="0.25">
      <c r="A12" s="204">
        <v>8</v>
      </c>
      <c r="B12" s="280" t="s">
        <v>15</v>
      </c>
      <c r="C12" s="281">
        <v>1306763218</v>
      </c>
      <c r="D12" s="280" t="s">
        <v>491</v>
      </c>
      <c r="E12" s="280" t="s">
        <v>27</v>
      </c>
      <c r="F12" s="280" t="s">
        <v>486</v>
      </c>
      <c r="G12" s="280" t="s">
        <v>521</v>
      </c>
      <c r="H12" s="280" t="s">
        <v>522</v>
      </c>
      <c r="I12" s="280" t="s">
        <v>141</v>
      </c>
      <c r="J12" s="280" t="s">
        <v>502</v>
      </c>
      <c r="K12" s="280"/>
      <c r="L12" s="280"/>
      <c r="M12" s="280" t="s">
        <v>315</v>
      </c>
      <c r="N12" s="285">
        <f>+GETPIVOTDATA("HORAS",'REPARTO HORAS'!$A$1,"APELLIDOS Y NOMBRES","JACOME SANTOS XAVIER IVAN")</f>
        <v>15</v>
      </c>
      <c r="P12" s="280"/>
    </row>
    <row r="13" spans="1:16" ht="141" customHeight="1" x14ac:dyDescent="0.25">
      <c r="A13" s="204">
        <v>9</v>
      </c>
      <c r="B13" s="280" t="s">
        <v>214</v>
      </c>
      <c r="C13" s="281">
        <v>1302940091</v>
      </c>
      <c r="D13" s="280" t="s">
        <v>491</v>
      </c>
      <c r="E13" s="280" t="s">
        <v>27</v>
      </c>
      <c r="F13" s="280" t="s">
        <v>486</v>
      </c>
      <c r="G13" s="280" t="s">
        <v>385</v>
      </c>
      <c r="H13" s="280" t="s">
        <v>493</v>
      </c>
      <c r="I13" s="280" t="s">
        <v>523</v>
      </c>
      <c r="J13" s="280" t="s">
        <v>524</v>
      </c>
      <c r="K13" s="280" t="s">
        <v>154</v>
      </c>
      <c r="L13" s="280" t="s">
        <v>502</v>
      </c>
      <c r="M13" s="280" t="s">
        <v>525</v>
      </c>
      <c r="N13" s="285">
        <f>+GETPIVOTDATA("HORAS",'REPARTO HORAS'!$A$1,"APELLIDOS Y NOMBRES","LOOR CHAVEZ TEMISTOCLES DEODATO")</f>
        <v>14</v>
      </c>
      <c r="P13" s="280" t="s">
        <v>382</v>
      </c>
    </row>
    <row r="14" spans="1:16" ht="36" customHeight="1" x14ac:dyDescent="0.25">
      <c r="A14" s="204">
        <v>10</v>
      </c>
      <c r="B14" s="280" t="s">
        <v>215</v>
      </c>
      <c r="C14" s="281">
        <v>1311498222</v>
      </c>
      <c r="D14" s="280" t="s">
        <v>491</v>
      </c>
      <c r="E14" s="280" t="s">
        <v>27</v>
      </c>
      <c r="F14" s="280" t="s">
        <v>486</v>
      </c>
      <c r="G14" s="280" t="s">
        <v>500</v>
      </c>
      <c r="H14" s="280" t="s">
        <v>493</v>
      </c>
      <c r="I14" s="280" t="s">
        <v>127</v>
      </c>
      <c r="J14" s="280" t="s">
        <v>493</v>
      </c>
      <c r="K14" s="280"/>
      <c r="L14" s="280"/>
      <c r="M14" s="280" t="s">
        <v>247</v>
      </c>
      <c r="N14" s="285">
        <f>+GETPIVOTDATA("HORAS",'REPARTO HORAS'!$A$1,"APELLIDOS Y NOMBRES","LOOR MOREIRA ALEXANDRA JACQUELINE")</f>
        <v>20</v>
      </c>
      <c r="P14" s="280"/>
    </row>
    <row r="15" spans="1:16" ht="80.45" customHeight="1" x14ac:dyDescent="0.25">
      <c r="A15" s="204">
        <v>11</v>
      </c>
      <c r="B15" s="280" t="s">
        <v>19</v>
      </c>
      <c r="C15" s="281">
        <v>1310419138</v>
      </c>
      <c r="D15" s="280" t="s">
        <v>491</v>
      </c>
      <c r="E15" s="280" t="s">
        <v>27</v>
      </c>
      <c r="F15" s="280" t="s">
        <v>486</v>
      </c>
      <c r="G15" s="280" t="s">
        <v>526</v>
      </c>
      <c r="H15" s="280" t="s">
        <v>493</v>
      </c>
      <c r="I15" s="280" t="s">
        <v>160</v>
      </c>
      <c r="J15" s="280" t="s">
        <v>493</v>
      </c>
      <c r="K15" s="280"/>
      <c r="L15" s="280"/>
      <c r="M15" s="280"/>
      <c r="N15" s="285">
        <f>+GETPIVOTDATA("HORAS",'REPARTO HORAS'!$A$1,"APELLIDOS Y NOMBRES","LOPEZ LEONES CRISTHIAN JOSÉ")</f>
        <v>18</v>
      </c>
      <c r="P15" s="280"/>
    </row>
    <row r="16" spans="1:16" ht="108" x14ac:dyDescent="0.25">
      <c r="A16" s="204">
        <v>12</v>
      </c>
      <c r="B16" s="280" t="s">
        <v>216</v>
      </c>
      <c r="C16" s="281">
        <v>602990723</v>
      </c>
      <c r="D16" s="280" t="s">
        <v>491</v>
      </c>
      <c r="E16" s="280" t="s">
        <v>27</v>
      </c>
      <c r="F16" s="280" t="s">
        <v>486</v>
      </c>
      <c r="G16" s="280" t="s">
        <v>527</v>
      </c>
      <c r="H16" s="280" t="s">
        <v>528</v>
      </c>
      <c r="I16" s="280" t="s">
        <v>529</v>
      </c>
      <c r="J16" s="280" t="s">
        <v>530</v>
      </c>
      <c r="K16" s="280"/>
      <c r="L16" s="280"/>
      <c r="M16" s="280"/>
      <c r="N16" s="285">
        <f>+GETPIVOTDATA("HORAS",'REPARTO HORAS'!$A$1,"APELLIDOS Y NOMBRES","MEJIA VÁSQUEZ PERICLES RAMÓN")</f>
        <v>20</v>
      </c>
      <c r="P16" s="280"/>
    </row>
    <row r="17" spans="1:16" ht="36" x14ac:dyDescent="0.25">
      <c r="A17" s="204">
        <v>13</v>
      </c>
      <c r="B17" s="280" t="s">
        <v>5</v>
      </c>
      <c r="C17" s="281">
        <v>1312875279</v>
      </c>
      <c r="D17" s="280" t="s">
        <v>491</v>
      </c>
      <c r="E17" s="280" t="s">
        <v>27</v>
      </c>
      <c r="F17" s="280" t="s">
        <v>486</v>
      </c>
      <c r="G17" s="280" t="s">
        <v>385</v>
      </c>
      <c r="H17" s="280" t="s">
        <v>493</v>
      </c>
      <c r="I17" s="280" t="s">
        <v>167</v>
      </c>
      <c r="J17" s="280" t="s">
        <v>502</v>
      </c>
      <c r="K17" s="280"/>
      <c r="L17" s="280"/>
      <c r="M17" s="280"/>
      <c r="N17" s="285">
        <f>+GETPIVOTDATA("HORAS",'REPARTO HORAS'!$A$1,"APELLIDOS Y NOMBRES","MERO CHAVEZ ULISES FEDERICO")</f>
        <v>8</v>
      </c>
      <c r="P17" s="280"/>
    </row>
    <row r="18" spans="1:16" ht="36" customHeight="1" x14ac:dyDescent="0.25">
      <c r="A18" s="204">
        <v>14</v>
      </c>
      <c r="B18" s="280" t="s">
        <v>10</v>
      </c>
      <c r="C18" s="281">
        <v>1308524568</v>
      </c>
      <c r="D18" s="280" t="s">
        <v>491</v>
      </c>
      <c r="E18" s="280" t="s">
        <v>27</v>
      </c>
      <c r="F18" s="280" t="s">
        <v>486</v>
      </c>
      <c r="G18" s="280" t="s">
        <v>531</v>
      </c>
      <c r="H18" s="280" t="s">
        <v>532</v>
      </c>
      <c r="I18" s="280" t="s">
        <v>172</v>
      </c>
      <c r="J18" s="280" t="s">
        <v>493</v>
      </c>
      <c r="K18" s="280"/>
      <c r="L18" s="280"/>
      <c r="M18" s="280"/>
      <c r="N18" s="285">
        <f>+GETPIVOTDATA("HORAS",'REPARTO HORAS'!$A$1,"APELLIDOS Y NOMBRES","MOLINA CEDEÑO JIMMY WILMER")</f>
        <v>10</v>
      </c>
      <c r="P18" s="280"/>
    </row>
    <row r="19" spans="1:16" ht="36" customHeight="1" x14ac:dyDescent="0.25">
      <c r="A19" s="204">
        <v>15</v>
      </c>
      <c r="B19" s="280" t="s">
        <v>7</v>
      </c>
      <c r="C19" s="281">
        <v>1309662706</v>
      </c>
      <c r="D19" s="280" t="s">
        <v>491</v>
      </c>
      <c r="E19" s="280" t="s">
        <v>27</v>
      </c>
      <c r="F19" s="280" t="s">
        <v>486</v>
      </c>
      <c r="G19" s="280" t="s">
        <v>533</v>
      </c>
      <c r="H19" s="280" t="s">
        <v>493</v>
      </c>
      <c r="I19" s="280" t="s">
        <v>241</v>
      </c>
      <c r="J19" s="280" t="s">
        <v>515</v>
      </c>
      <c r="K19" s="280" t="s">
        <v>175</v>
      </c>
      <c r="L19" s="280" t="s">
        <v>502</v>
      </c>
      <c r="M19" s="280" t="s">
        <v>294</v>
      </c>
      <c r="N19" s="285">
        <f>+GETPIVOTDATA("HORAS",'REPARTO HORAS'!$A$1,"APELLIDOS Y NOMBRES","MOLINA QUIROZ CLAUDIA ANALIA")</f>
        <v>16</v>
      </c>
      <c r="P19" s="280" t="s">
        <v>403</v>
      </c>
    </row>
    <row r="20" spans="1:16" ht="81" customHeight="1" x14ac:dyDescent="0.25">
      <c r="A20" s="204">
        <v>16</v>
      </c>
      <c r="B20" s="280" t="s">
        <v>217</v>
      </c>
      <c r="C20" s="281">
        <v>1708333115</v>
      </c>
      <c r="D20" s="280" t="s">
        <v>491</v>
      </c>
      <c r="E20" s="280" t="s">
        <v>27</v>
      </c>
      <c r="F20" s="280" t="s">
        <v>486</v>
      </c>
      <c r="G20" s="280" t="s">
        <v>534</v>
      </c>
      <c r="H20" s="280" t="s">
        <v>535</v>
      </c>
      <c r="I20" s="280" t="s">
        <v>242</v>
      </c>
      <c r="J20" s="280" t="s">
        <v>493</v>
      </c>
      <c r="K20" s="280"/>
      <c r="L20" s="280"/>
      <c r="M20" s="280"/>
      <c r="N20" s="285">
        <f>+GETPIVOTDATA("HORAS",'REPARTO HORAS'!$A$1,"APELLIDOS Y NOMBRES","MORÁN QUIÑONEZ CARLOS JULIO")</f>
        <v>18</v>
      </c>
      <c r="P20" s="280" t="s">
        <v>382</v>
      </c>
    </row>
    <row r="21" spans="1:16" ht="79.900000000000006" customHeight="1" x14ac:dyDescent="0.25">
      <c r="A21" s="204">
        <v>17</v>
      </c>
      <c r="B21" s="280" t="s">
        <v>12</v>
      </c>
      <c r="C21" s="281">
        <v>1307822377</v>
      </c>
      <c r="D21" s="280" t="s">
        <v>491</v>
      </c>
      <c r="E21" s="280" t="s">
        <v>27</v>
      </c>
      <c r="F21" s="280" t="s">
        <v>486</v>
      </c>
      <c r="G21" s="280" t="s">
        <v>536</v>
      </c>
      <c r="H21" s="280" t="s">
        <v>537</v>
      </c>
      <c r="I21" s="280" t="s">
        <v>538</v>
      </c>
      <c r="J21" s="280" t="s">
        <v>539</v>
      </c>
      <c r="K21" s="280"/>
      <c r="L21" s="280"/>
      <c r="M21" s="280"/>
      <c r="N21" s="285">
        <f>+GETPIVOTDATA("HORAS",'REPARTO HORAS'!$A$1,"APELLIDOS Y NOMBRES","PALACIOS BRIONES NURI LUPITA")</f>
        <v>11</v>
      </c>
    </row>
    <row r="22" spans="1:16" ht="109.15" customHeight="1" x14ac:dyDescent="0.25">
      <c r="A22" s="204">
        <v>18</v>
      </c>
      <c r="B22" s="280" t="s">
        <v>180</v>
      </c>
      <c r="C22" s="281">
        <v>1308645660</v>
      </c>
      <c r="D22" s="280" t="s">
        <v>491</v>
      </c>
      <c r="E22" s="280" t="s">
        <v>27</v>
      </c>
      <c r="F22" s="280" t="s">
        <v>486</v>
      </c>
      <c r="G22" s="280" t="s">
        <v>540</v>
      </c>
      <c r="H22" s="280" t="s">
        <v>493</v>
      </c>
      <c r="I22" s="280" t="s">
        <v>541</v>
      </c>
      <c r="J22" s="280" t="s">
        <v>494</v>
      </c>
      <c r="K22" s="280" t="s">
        <v>542</v>
      </c>
      <c r="L22" s="280" t="s">
        <v>543</v>
      </c>
      <c r="M22" s="280"/>
      <c r="N22" s="285">
        <f>+GETPIVOTDATA("HORAS",'REPARTO HORAS'!$A$1,"APELLIDOS Y NOMBRES","PINARGOTE MONTENEGRO KAREN GISELA")</f>
        <v>15</v>
      </c>
      <c r="P22" s="280" t="s">
        <v>383</v>
      </c>
    </row>
    <row r="23" spans="1:16" ht="138.6" customHeight="1" x14ac:dyDescent="0.25">
      <c r="A23" s="204">
        <v>19</v>
      </c>
      <c r="B23" s="280" t="s">
        <v>185</v>
      </c>
      <c r="C23" s="281">
        <v>1305701243</v>
      </c>
      <c r="D23" s="280" t="s">
        <v>491</v>
      </c>
      <c r="E23" s="280" t="s">
        <v>27</v>
      </c>
      <c r="F23" s="280" t="s">
        <v>486</v>
      </c>
      <c r="G23" s="280" t="s">
        <v>385</v>
      </c>
      <c r="H23" s="280" t="s">
        <v>493</v>
      </c>
      <c r="I23" s="280" t="s">
        <v>544</v>
      </c>
      <c r="J23" s="280" t="s">
        <v>545</v>
      </c>
      <c r="K23" s="280" t="s">
        <v>507</v>
      </c>
      <c r="L23" s="280" t="s">
        <v>502</v>
      </c>
      <c r="M23" s="280"/>
      <c r="N23" s="285">
        <f>+GETPIVOTDATA("HORAS",'REPARTO HORAS'!$A$1,"APELLIDOS Y NOMBRES","PONCE ANDRADE JOHNNY EDISON")</f>
        <v>15</v>
      </c>
      <c r="P23" s="280"/>
    </row>
    <row r="24" spans="1:16" ht="36" customHeight="1" x14ac:dyDescent="0.25">
      <c r="A24" s="204">
        <v>20</v>
      </c>
      <c r="B24" s="280" t="s">
        <v>323</v>
      </c>
      <c r="C24" s="281">
        <v>1312606476</v>
      </c>
      <c r="D24" s="280" t="s">
        <v>491</v>
      </c>
      <c r="E24" s="280" t="s">
        <v>27</v>
      </c>
      <c r="F24" s="280" t="s">
        <v>487</v>
      </c>
      <c r="G24" s="280" t="s">
        <v>385</v>
      </c>
      <c r="H24" s="280" t="s">
        <v>493</v>
      </c>
      <c r="I24" s="283" t="s">
        <v>386</v>
      </c>
      <c r="J24" s="283" t="s">
        <v>493</v>
      </c>
      <c r="L24" s="283"/>
      <c r="M24" s="283"/>
      <c r="N24" s="285">
        <f>+GETPIVOTDATA("HORAS",'REPARTO HORAS'!$A$1,"APELLIDOS Y NOMBRES","RODRIGUEZ SÁNCHEZ JOHNNY GUSTAVO")</f>
        <v>4</v>
      </c>
      <c r="P24" s="280"/>
    </row>
    <row r="25" spans="1:16" ht="102.6" customHeight="1" x14ac:dyDescent="0.25">
      <c r="A25" s="204">
        <v>21</v>
      </c>
      <c r="B25" s="280" t="s">
        <v>295</v>
      </c>
      <c r="C25" s="281">
        <v>1307804532</v>
      </c>
      <c r="D25" s="280" t="s">
        <v>491</v>
      </c>
      <c r="E25" s="280" t="s">
        <v>27</v>
      </c>
      <c r="F25" s="280" t="s">
        <v>291</v>
      </c>
      <c r="G25" s="280" t="s">
        <v>546</v>
      </c>
      <c r="H25" s="280" t="s">
        <v>547</v>
      </c>
      <c r="I25" s="280" t="s">
        <v>296</v>
      </c>
      <c r="J25" s="280" t="s">
        <v>548</v>
      </c>
      <c r="K25" s="280"/>
      <c r="L25" s="280"/>
      <c r="M25" s="280"/>
      <c r="N25" s="285">
        <f>+GETPIVOTDATA("HORAS",'REPARTO HORAS'!$A$1,"APELLIDOS Y NOMBRES","SÁNCHEZ ARTEAGA ALEX ALFONSO")</f>
        <v>10</v>
      </c>
      <c r="P25" s="280"/>
    </row>
    <row r="26" spans="1:16" ht="48" customHeight="1" x14ac:dyDescent="0.25">
      <c r="A26" s="204">
        <v>22</v>
      </c>
      <c r="B26" s="280" t="s">
        <v>40</v>
      </c>
      <c r="C26" s="281">
        <v>1311667495</v>
      </c>
      <c r="D26" s="280" t="s">
        <v>492</v>
      </c>
      <c r="E26" s="280" t="s">
        <v>27</v>
      </c>
      <c r="F26" s="280" t="s">
        <v>486</v>
      </c>
      <c r="G26" s="280" t="s">
        <v>385</v>
      </c>
      <c r="H26" s="280" t="s">
        <v>493</v>
      </c>
      <c r="I26" s="280" t="s">
        <v>244</v>
      </c>
      <c r="J26" s="280" t="s">
        <v>552</v>
      </c>
      <c r="K26" s="280"/>
      <c r="L26" s="280"/>
      <c r="M26" s="280"/>
      <c r="N26" s="285">
        <f>+GETPIVOTDATA("HORAS",'REPARTO HORAS'!$A$1,"APELLIDOS Y NOMBRES","SOLIS BRAVO HUGO ALFONSO")</f>
        <v>21</v>
      </c>
      <c r="P26" s="280"/>
    </row>
    <row r="27" spans="1:16" ht="51" customHeight="1" x14ac:dyDescent="0.25">
      <c r="A27" s="204">
        <v>23</v>
      </c>
      <c r="B27" s="280" t="s">
        <v>356</v>
      </c>
      <c r="C27" s="281">
        <v>1312319641</v>
      </c>
      <c r="D27" s="280" t="s">
        <v>492</v>
      </c>
      <c r="E27" s="280" t="s">
        <v>27</v>
      </c>
      <c r="F27" s="280" t="s">
        <v>489</v>
      </c>
      <c r="G27" s="284" t="s">
        <v>549</v>
      </c>
      <c r="H27" s="284" t="s">
        <v>493</v>
      </c>
      <c r="I27" s="284" t="s">
        <v>550</v>
      </c>
      <c r="J27" s="284" t="s">
        <v>551</v>
      </c>
      <c r="L27" s="280"/>
      <c r="M27" s="280"/>
      <c r="N27" s="285">
        <f>+GETPIVOTDATA("HORAS",'REPARTO HORAS'!$A$1,"APELLIDOS Y NOMBRES","VERA DELGADO BRYAN ADRIÁN")</f>
        <v>8</v>
      </c>
      <c r="P27" s="280"/>
    </row>
    <row r="28" spans="1:16" ht="50.45" customHeight="1" x14ac:dyDescent="0.25">
      <c r="A28" s="204">
        <v>24</v>
      </c>
      <c r="B28" s="280" t="s">
        <v>192</v>
      </c>
      <c r="C28" s="281">
        <v>1309029815</v>
      </c>
      <c r="D28" s="280" t="s">
        <v>491</v>
      </c>
      <c r="E28" s="280" t="s">
        <v>27</v>
      </c>
      <c r="F28" s="280" t="s">
        <v>486</v>
      </c>
      <c r="G28" s="277" t="s">
        <v>556</v>
      </c>
      <c r="H28" s="280" t="s">
        <v>557</v>
      </c>
      <c r="I28" s="280" t="s">
        <v>172</v>
      </c>
      <c r="J28" s="280" t="s">
        <v>493</v>
      </c>
      <c r="K28" s="280"/>
      <c r="L28" s="280"/>
      <c r="M28" s="280"/>
      <c r="N28" s="285">
        <f>+GETPIVOTDATA("HORAS",'REPARTO HORAS'!$A$1,"APELLIDOS Y NOMBRES","VILLAMARIN VILLOTA WALTER HUMBERTO")</f>
        <v>10</v>
      </c>
      <c r="P28" s="280"/>
    </row>
    <row r="29" spans="1:16" ht="83.45" customHeight="1" x14ac:dyDescent="0.25">
      <c r="A29" s="204">
        <v>25</v>
      </c>
      <c r="B29" s="280" t="s">
        <v>196</v>
      </c>
      <c r="C29" s="234">
        <v>909466674</v>
      </c>
      <c r="D29" s="280" t="s">
        <v>491</v>
      </c>
      <c r="E29" s="280" t="s">
        <v>27</v>
      </c>
      <c r="F29" s="280" t="s">
        <v>486</v>
      </c>
      <c r="G29" s="280" t="s">
        <v>558</v>
      </c>
      <c r="H29" s="280" t="s">
        <v>504</v>
      </c>
      <c r="I29" s="280" t="s">
        <v>559</v>
      </c>
      <c r="J29" s="280" t="s">
        <v>560</v>
      </c>
      <c r="K29" s="280" t="s">
        <v>387</v>
      </c>
      <c r="L29" s="280"/>
      <c r="M29" s="280" t="s">
        <v>317</v>
      </c>
      <c r="N29" s="285">
        <f>+GETPIVOTDATA("HORAS",'REPARTO HORAS'!$A$1,"APELLIDOS Y NOMBRES","VILLAFUERTE MUÑOZ WAGNER OSWALDO")</f>
        <v>4</v>
      </c>
      <c r="P29" s="280" t="s">
        <v>384</v>
      </c>
    </row>
    <row r="30" spans="1:16" ht="84.6" customHeight="1" x14ac:dyDescent="0.25">
      <c r="A30" s="204">
        <v>26</v>
      </c>
      <c r="B30" s="280" t="s">
        <v>223</v>
      </c>
      <c r="C30" s="281">
        <v>1350123640</v>
      </c>
      <c r="D30" s="280" t="s">
        <v>491</v>
      </c>
      <c r="E30" s="280" t="s">
        <v>27</v>
      </c>
      <c r="F30" s="280" t="s">
        <v>486</v>
      </c>
      <c r="G30" s="280" t="s">
        <v>500</v>
      </c>
      <c r="H30" s="280" t="s">
        <v>504</v>
      </c>
      <c r="I30" s="280" t="s">
        <v>245</v>
      </c>
      <c r="J30" s="280" t="s">
        <v>352</v>
      </c>
      <c r="K30" s="280"/>
      <c r="L30" s="280"/>
      <c r="M30" s="280" t="s">
        <v>247</v>
      </c>
      <c r="N30" s="285">
        <f>+GETPIVOTDATA("HORAS",'REPARTO HORAS'!$A$1,"APELLIDOS Y NOMBRES","ZAMBRANO PEÑARRIETA JOSSELYN JAMILETH")</f>
        <v>13</v>
      </c>
      <c r="P30" s="280"/>
    </row>
    <row r="31" spans="1:16" ht="18" customHeight="1" x14ac:dyDescent="0.25">
      <c r="N31" s="286">
        <f>SUM(N4:N30)</f>
        <v>355</v>
      </c>
      <c r="O31" s="280"/>
      <c r="P31" s="280"/>
    </row>
    <row r="32" spans="1:16" ht="24" x14ac:dyDescent="0.25">
      <c r="N32" s="204" t="s">
        <v>210</v>
      </c>
      <c r="O32" s="280"/>
      <c r="P32" s="280"/>
    </row>
    <row r="36" spans="1:16" ht="36" customHeight="1" x14ac:dyDescent="0.25">
      <c r="A36" s="204">
        <v>1</v>
      </c>
      <c r="B36" s="280" t="s">
        <v>326</v>
      </c>
      <c r="C36" s="280"/>
      <c r="D36" s="280" t="s">
        <v>492</v>
      </c>
      <c r="E36" s="280" t="s">
        <v>27</v>
      </c>
      <c r="F36" s="280" t="s">
        <v>488</v>
      </c>
      <c r="G36" s="280" t="s">
        <v>512</v>
      </c>
      <c r="H36" s="280" t="s">
        <v>502</v>
      </c>
      <c r="I36" s="280" t="s">
        <v>513</v>
      </c>
      <c r="J36" s="280" t="s">
        <v>502</v>
      </c>
      <c r="K36" s="280"/>
      <c r="L36" s="280"/>
      <c r="M36" s="280"/>
      <c r="N36" s="282"/>
      <c r="P36" s="280"/>
    </row>
    <row r="37" spans="1:16" ht="156" customHeight="1" x14ac:dyDescent="0.25">
      <c r="A37" s="204">
        <v>2</v>
      </c>
      <c r="B37" s="280" t="s">
        <v>324</v>
      </c>
      <c r="C37" s="234">
        <v>1315680429</v>
      </c>
      <c r="D37" s="280" t="s">
        <v>491</v>
      </c>
      <c r="E37" s="280" t="s">
        <v>27</v>
      </c>
      <c r="F37" s="280" t="s">
        <v>487</v>
      </c>
      <c r="G37" s="280" t="s">
        <v>553</v>
      </c>
      <c r="H37" s="280" t="s">
        <v>502</v>
      </c>
      <c r="I37" s="280" t="s">
        <v>554</v>
      </c>
      <c r="J37" s="280" t="s">
        <v>530</v>
      </c>
      <c r="K37" s="280" t="s">
        <v>555</v>
      </c>
      <c r="L37" s="280"/>
      <c r="M37" s="280"/>
      <c r="N37" s="282"/>
      <c r="P37" s="280"/>
    </row>
  </sheetData>
  <autoFilter ref="A3:N32" xr:uid="{00000000-0001-0000-0100-000000000000}"/>
  <sortState xmlns:xlrd2="http://schemas.microsoft.com/office/spreadsheetml/2017/richdata2" ref="B4:B32">
    <sortCondition ref="B4:B32"/>
  </sortState>
  <mergeCells count="2">
    <mergeCell ref="A2:N2"/>
    <mergeCell ref="A1:N1"/>
  </mergeCells>
  <phoneticPr fontId="7" type="noConversion"/>
  <printOptions horizontalCentered="1"/>
  <pageMargins left="0.31496062992125984" right="0.31496062992125984" top="0.15748031496062992" bottom="0.15748031496062992" header="0.31496062992125984" footer="0.31496062992125984"/>
  <pageSetup paperSize="9" scale="8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2"/>
  <sheetViews>
    <sheetView zoomScale="83" zoomScaleNormal="83" workbookViewId="0">
      <selection activeCell="H4" sqref="H4"/>
    </sheetView>
  </sheetViews>
  <sheetFormatPr baseColWidth="10" defaultColWidth="11.42578125" defaultRowHeight="15" x14ac:dyDescent="0.25"/>
  <cols>
    <col min="1" max="1" width="12.7109375" style="10" customWidth="1"/>
    <col min="2" max="2" width="47.7109375" style="10" customWidth="1"/>
    <col min="3" max="3" width="50.7109375" style="20" customWidth="1"/>
    <col min="4" max="4" width="8.28515625" style="20" customWidth="1"/>
    <col min="5" max="5" width="15.140625" style="20" customWidth="1"/>
    <col min="6" max="6" width="12.5703125" style="13" bestFit="1" customWidth="1"/>
    <col min="7" max="7" width="8.7109375" style="20" customWidth="1"/>
    <col min="8" max="8" width="9.28515625" style="13" customWidth="1"/>
    <col min="9" max="9" width="4" style="10" customWidth="1"/>
    <col min="10" max="10" width="21.85546875" style="10" customWidth="1"/>
    <col min="11" max="16384" width="11.42578125" style="10"/>
  </cols>
  <sheetData>
    <row r="1" spans="1:10" ht="18.75" x14ac:dyDescent="0.25">
      <c r="A1" s="426"/>
      <c r="B1" s="426"/>
      <c r="C1" s="426"/>
      <c r="D1" s="426"/>
      <c r="E1" s="426"/>
      <c r="F1" s="426"/>
      <c r="G1" s="426"/>
      <c r="H1" s="426"/>
    </row>
    <row r="2" spans="1:10" x14ac:dyDescent="0.25">
      <c r="B2" s="11"/>
      <c r="C2" s="11"/>
      <c r="D2" s="11"/>
      <c r="E2" s="12"/>
      <c r="G2" s="12"/>
    </row>
    <row r="3" spans="1:10" s="12" customFormat="1" x14ac:dyDescent="0.25">
      <c r="A3" s="14" t="s">
        <v>0</v>
      </c>
      <c r="B3" s="14" t="s">
        <v>1</v>
      </c>
      <c r="C3" s="14" t="s">
        <v>2</v>
      </c>
      <c r="D3" s="14" t="s">
        <v>3</v>
      </c>
      <c r="E3" s="12" t="s">
        <v>29</v>
      </c>
      <c r="F3" s="15" t="s">
        <v>28</v>
      </c>
      <c r="G3" s="12" t="s">
        <v>30</v>
      </c>
      <c r="H3" s="16" t="s">
        <v>35</v>
      </c>
      <c r="J3" s="12" t="s">
        <v>329</v>
      </c>
    </row>
    <row r="4" spans="1:10" s="12" customFormat="1" ht="32.65" customHeight="1" x14ac:dyDescent="0.25">
      <c r="A4" s="9" t="s">
        <v>4</v>
      </c>
      <c r="B4" s="149" t="s">
        <v>59</v>
      </c>
      <c r="C4" s="7" t="s">
        <v>40</v>
      </c>
      <c r="D4" s="27">
        <f>(32+16)/16</f>
        <v>3</v>
      </c>
      <c r="E4" s="25"/>
      <c r="F4" s="24" t="s">
        <v>249</v>
      </c>
      <c r="G4" s="8" t="s">
        <v>27</v>
      </c>
      <c r="H4" s="8">
        <f>SUMIF(Tabla14[APELLIDOS Y NOMBRES],Tabla14[[#This Row],[APELLIDOS Y NOMBRES]],Tabla14[HORAS])</f>
        <v>21</v>
      </c>
      <c r="J4" s="20"/>
    </row>
    <row r="5" spans="1:10" s="12" customFormat="1" ht="32.65" customHeight="1" x14ac:dyDescent="0.25">
      <c r="A5" s="9" t="s">
        <v>4</v>
      </c>
      <c r="B5" s="148" t="s">
        <v>285</v>
      </c>
      <c r="C5" s="7" t="s">
        <v>323</v>
      </c>
      <c r="D5" s="27">
        <f>(48+16)/16</f>
        <v>4</v>
      </c>
      <c r="E5" s="25"/>
      <c r="F5" s="24" t="s">
        <v>249</v>
      </c>
      <c r="G5" s="8" t="s">
        <v>27</v>
      </c>
      <c r="H5" s="8">
        <f>SUMIF(Tabla14[APELLIDOS Y NOMBRES],Tabla14[[#This Row],[APELLIDOS Y NOMBRES]],Tabla14[HORAS])</f>
        <v>4</v>
      </c>
    </row>
    <row r="6" spans="1:10" s="12" customFormat="1" ht="32.65" customHeight="1" x14ac:dyDescent="0.25">
      <c r="A6" s="9" t="s">
        <v>4</v>
      </c>
      <c r="B6" s="148" t="s">
        <v>50</v>
      </c>
      <c r="C6" s="7" t="s">
        <v>34</v>
      </c>
      <c r="D6" s="27">
        <f>(32+16)/16</f>
        <v>3</v>
      </c>
      <c r="E6" s="25"/>
      <c r="F6" s="24" t="s">
        <v>249</v>
      </c>
      <c r="G6" s="8" t="s">
        <v>27</v>
      </c>
      <c r="H6" s="8">
        <f>SUMIF(Tabla14[APELLIDOS Y NOMBRES],Tabla14[[#This Row],[APELLIDOS Y NOMBRES]],Tabla14[HORAS])</f>
        <v>18</v>
      </c>
    </row>
    <row r="7" spans="1:10" s="12" customFormat="1" ht="32.65" customHeight="1" x14ac:dyDescent="0.25">
      <c r="A7" s="9" t="s">
        <v>4</v>
      </c>
      <c r="B7" s="148" t="s">
        <v>41</v>
      </c>
      <c r="C7" s="7" t="s">
        <v>215</v>
      </c>
      <c r="D7" s="27">
        <v>4</v>
      </c>
      <c r="E7" s="8"/>
      <c r="F7" s="24" t="s">
        <v>249</v>
      </c>
      <c r="G7" s="8" t="s">
        <v>27</v>
      </c>
      <c r="H7" s="8">
        <f>SUMIF(Tabla14[APELLIDOS Y NOMBRES],Tabla14[[#This Row],[APELLIDOS Y NOMBRES]],Tabla14[HORAS])</f>
        <v>20</v>
      </c>
    </row>
    <row r="8" spans="1:10" s="12" customFormat="1" ht="32.65" customHeight="1" x14ac:dyDescent="0.25">
      <c r="A8" s="9" t="s">
        <v>4</v>
      </c>
      <c r="B8" s="148" t="s">
        <v>65</v>
      </c>
      <c r="C8" s="7" t="s">
        <v>12</v>
      </c>
      <c r="D8" s="27">
        <f>(32+16)/16</f>
        <v>3</v>
      </c>
      <c r="E8" s="25"/>
      <c r="F8" s="24" t="s">
        <v>249</v>
      </c>
      <c r="G8" s="8" t="s">
        <v>27</v>
      </c>
      <c r="H8" s="8">
        <f>SUMIF(Tabla14[APELLIDOS Y NOMBRES],Tabla14[[#This Row],[APELLIDOS Y NOMBRES]],Tabla14[HORAS])</f>
        <v>11</v>
      </c>
    </row>
    <row r="9" spans="1:10" s="12" customFormat="1" ht="32.65" customHeight="1" x14ac:dyDescent="0.25">
      <c r="A9" s="9" t="s">
        <v>4</v>
      </c>
      <c r="B9" s="148" t="s">
        <v>51</v>
      </c>
      <c r="C9" s="7" t="s">
        <v>356</v>
      </c>
      <c r="D9" s="27">
        <f>(32+32)/16</f>
        <v>4</v>
      </c>
      <c r="E9" s="8"/>
      <c r="F9" s="24" t="s">
        <v>249</v>
      </c>
      <c r="G9" s="8" t="s">
        <v>27</v>
      </c>
      <c r="H9" s="8">
        <f>SUMIF(Tabla14[APELLIDOS Y NOMBRES],Tabla14[[#This Row],[APELLIDOS Y NOMBRES]],Tabla14[HORAS])</f>
        <v>8</v>
      </c>
      <c r="J9" s="10"/>
    </row>
    <row r="10" spans="1:10" s="12" customFormat="1" ht="32.65" customHeight="1" x14ac:dyDescent="0.25">
      <c r="A10" s="9" t="s">
        <v>6</v>
      </c>
      <c r="B10" s="149" t="s">
        <v>42</v>
      </c>
      <c r="C10" s="7" t="s">
        <v>214</v>
      </c>
      <c r="D10" s="27">
        <v>4</v>
      </c>
      <c r="E10" s="25"/>
      <c r="F10" s="24" t="s">
        <v>249</v>
      </c>
      <c r="G10" s="8" t="s">
        <v>27</v>
      </c>
      <c r="H10" s="8">
        <f>SUMIF(Tabla14[APELLIDOS Y NOMBRES],Tabla14[[#This Row],[APELLIDOS Y NOMBRES]],Tabla14[HORAS])</f>
        <v>14</v>
      </c>
    </row>
    <row r="11" spans="1:10" s="12" customFormat="1" ht="32.65" customHeight="1" x14ac:dyDescent="0.25">
      <c r="A11" s="9" t="s">
        <v>6</v>
      </c>
      <c r="B11" s="149" t="s">
        <v>53</v>
      </c>
      <c r="C11" s="7" t="s">
        <v>327</v>
      </c>
      <c r="D11" s="27">
        <v>4</v>
      </c>
      <c r="E11" s="25"/>
      <c r="F11" s="24" t="s">
        <v>249</v>
      </c>
      <c r="G11" s="8" t="s">
        <v>27</v>
      </c>
      <c r="H11" s="8">
        <f>SUMIF(Tabla14[APELLIDOS Y NOMBRES],Tabla14[[#This Row],[APELLIDOS Y NOMBRES]],Tabla14[HORAS])</f>
        <v>4</v>
      </c>
    </row>
    <row r="12" spans="1:10" s="12" customFormat="1" ht="32.65" customHeight="1" x14ac:dyDescent="0.25">
      <c r="A12" s="9" t="s">
        <v>6</v>
      </c>
      <c r="B12" s="149" t="s">
        <v>55</v>
      </c>
      <c r="C12" s="7" t="s">
        <v>223</v>
      </c>
      <c r="D12" s="27">
        <f>(32+16)/16</f>
        <v>3</v>
      </c>
      <c r="E12" s="25"/>
      <c r="F12" s="24" t="s">
        <v>249</v>
      </c>
      <c r="G12" s="8" t="s">
        <v>27</v>
      </c>
      <c r="H12" s="8">
        <f>SUMIF(Tabla14[APELLIDOS Y NOMBRES],Tabla14[[#This Row],[APELLIDOS Y NOMBRES]],Tabla14[HORAS])</f>
        <v>13</v>
      </c>
    </row>
    <row r="13" spans="1:10" s="12" customFormat="1" ht="32.65" customHeight="1" x14ac:dyDescent="0.25">
      <c r="A13" s="9" t="s">
        <v>6</v>
      </c>
      <c r="B13" s="149" t="s">
        <v>11</v>
      </c>
      <c r="C13" s="7" t="s">
        <v>34</v>
      </c>
      <c r="D13" s="27">
        <v>4</v>
      </c>
      <c r="E13" s="25"/>
      <c r="F13" s="24" t="s">
        <v>249</v>
      </c>
      <c r="G13" s="8" t="s">
        <v>27</v>
      </c>
      <c r="H13" s="8">
        <f>SUMIF(Tabla14[APELLIDOS Y NOMBRES],Tabla14[[#This Row],[APELLIDOS Y NOMBRES]],Tabla14[HORAS])</f>
        <v>18</v>
      </c>
    </row>
    <row r="14" spans="1:10" s="12" customFormat="1" ht="32.65" customHeight="1" x14ac:dyDescent="0.25">
      <c r="A14" s="9" t="s">
        <v>6</v>
      </c>
      <c r="B14" s="149" t="s">
        <v>52</v>
      </c>
      <c r="C14" s="7" t="s">
        <v>328</v>
      </c>
      <c r="D14" s="27">
        <v>5</v>
      </c>
      <c r="E14" s="25"/>
      <c r="F14" s="24" t="s">
        <v>249</v>
      </c>
      <c r="G14" s="8" t="s">
        <v>27</v>
      </c>
      <c r="H14" s="8">
        <f>SUMIF(Tabla14[APELLIDOS Y NOMBRES],Tabla14[[#This Row],[APELLIDOS Y NOMBRES]],Tabla14[HORAS])</f>
        <v>5</v>
      </c>
    </row>
    <row r="15" spans="1:10" s="12" customFormat="1" ht="32.65" customHeight="1" x14ac:dyDescent="0.25">
      <c r="A15" s="9" t="s">
        <v>6</v>
      </c>
      <c r="B15" s="149" t="s">
        <v>54</v>
      </c>
      <c r="C15" s="7" t="s">
        <v>356</v>
      </c>
      <c r="D15" s="27">
        <f>(48+16)/16</f>
        <v>4</v>
      </c>
      <c r="E15" s="25"/>
      <c r="F15" s="24" t="s">
        <v>249</v>
      </c>
      <c r="G15" s="8" t="s">
        <v>27</v>
      </c>
      <c r="H15" s="8">
        <f>SUMIF(Tabla14[APELLIDOS Y NOMBRES],Tabla14[[#This Row],[APELLIDOS Y NOMBRES]],Tabla14[HORAS])</f>
        <v>8</v>
      </c>
    </row>
    <row r="16" spans="1:10" s="12" customFormat="1" ht="32.65" customHeight="1" x14ac:dyDescent="0.25">
      <c r="A16" s="9" t="s">
        <v>9</v>
      </c>
      <c r="B16" s="150" t="s">
        <v>57</v>
      </c>
      <c r="C16" s="7" t="s">
        <v>216</v>
      </c>
      <c r="D16" s="27">
        <v>5</v>
      </c>
      <c r="E16" s="8"/>
      <c r="F16" s="24" t="s">
        <v>249</v>
      </c>
      <c r="G16" s="8" t="s">
        <v>27</v>
      </c>
      <c r="H16" s="8">
        <f>SUMIF(Tabla14[APELLIDOS Y NOMBRES],Tabla14[[#This Row],[APELLIDOS Y NOMBRES]],Tabla14[HORAS])</f>
        <v>20</v>
      </c>
    </row>
    <row r="17" spans="1:12" s="12" customFormat="1" ht="32.65" customHeight="1" x14ac:dyDescent="0.25">
      <c r="A17" s="9" t="s">
        <v>9</v>
      </c>
      <c r="B17" s="150" t="s">
        <v>18</v>
      </c>
      <c r="C17" s="7" t="s">
        <v>215</v>
      </c>
      <c r="D17" s="139">
        <v>5</v>
      </c>
      <c r="E17" s="8"/>
      <c r="F17" s="24" t="s">
        <v>249</v>
      </c>
      <c r="G17" s="8" t="s">
        <v>27</v>
      </c>
      <c r="H17" s="8">
        <f>SUMIF(Tabla14[APELLIDOS Y NOMBRES],Tabla14[[#This Row],[APELLIDOS Y NOMBRES]],Tabla14[HORAS])</f>
        <v>20</v>
      </c>
    </row>
    <row r="18" spans="1:12" s="12" customFormat="1" ht="32.65" customHeight="1" x14ac:dyDescent="0.25">
      <c r="A18" s="9" t="s">
        <v>9</v>
      </c>
      <c r="B18" s="149" t="s">
        <v>58</v>
      </c>
      <c r="C18" s="7" t="s">
        <v>10</v>
      </c>
      <c r="D18" s="27">
        <v>5</v>
      </c>
      <c r="E18" s="25"/>
      <c r="F18" s="24" t="s">
        <v>249</v>
      </c>
      <c r="G18" s="8" t="s">
        <v>27</v>
      </c>
      <c r="H18" s="8">
        <f>SUMIF(Tabla14[APELLIDOS Y NOMBRES],Tabla14[[#This Row],[APELLIDOS Y NOMBRES]],Tabla14[HORAS])</f>
        <v>10</v>
      </c>
      <c r="J18" s="20"/>
    </row>
    <row r="19" spans="1:12" s="12" customFormat="1" ht="32.65" customHeight="1" x14ac:dyDescent="0.25">
      <c r="A19" s="9" t="s">
        <v>9</v>
      </c>
      <c r="B19" s="149" t="s">
        <v>43</v>
      </c>
      <c r="C19" s="7" t="s">
        <v>5</v>
      </c>
      <c r="D19" s="27">
        <f>(48+16)/16</f>
        <v>4</v>
      </c>
      <c r="E19" s="25"/>
      <c r="F19" s="24" t="s">
        <v>249</v>
      </c>
      <c r="G19" s="8" t="s">
        <v>27</v>
      </c>
      <c r="H19" s="8">
        <f>SUMIF(Tabla14[APELLIDOS Y NOMBRES],Tabla14[[#This Row],[APELLIDOS Y NOMBRES]],Tabla14[HORAS])</f>
        <v>8</v>
      </c>
      <c r="J19" s="20"/>
    </row>
    <row r="20" spans="1:12" s="12" customFormat="1" ht="32.65" customHeight="1" x14ac:dyDescent="0.25">
      <c r="A20" s="9" t="s">
        <v>9</v>
      </c>
      <c r="B20" s="149" t="s">
        <v>220</v>
      </c>
      <c r="C20" s="7" t="s">
        <v>12</v>
      </c>
      <c r="D20" s="185">
        <v>4</v>
      </c>
      <c r="E20" s="25"/>
      <c r="F20" s="24" t="s">
        <v>249</v>
      </c>
      <c r="G20" s="8" t="s">
        <v>27</v>
      </c>
      <c r="H20" s="8">
        <f>SUMIF(Tabla14[APELLIDOS Y NOMBRES],Tabla14[[#This Row],[APELLIDOS Y NOMBRES]],Tabla14[HORAS])</f>
        <v>11</v>
      </c>
    </row>
    <row r="21" spans="1:12" s="12" customFormat="1" ht="32.65" customHeight="1" x14ac:dyDescent="0.25">
      <c r="A21" s="9" t="s">
        <v>13</v>
      </c>
      <c r="B21" s="150" t="s">
        <v>57</v>
      </c>
      <c r="C21" s="7" t="s">
        <v>216</v>
      </c>
      <c r="D21" s="27">
        <v>5</v>
      </c>
      <c r="E21" s="25"/>
      <c r="F21" s="24" t="s">
        <v>249</v>
      </c>
      <c r="G21" s="8" t="s">
        <v>27</v>
      </c>
      <c r="H21" s="8">
        <f>SUMIF(Tabla14[APELLIDOS Y NOMBRES],Tabla14[[#This Row],[APELLIDOS Y NOMBRES]],Tabla14[HORAS])</f>
        <v>20</v>
      </c>
      <c r="K21" s="10"/>
      <c r="L21" s="10"/>
    </row>
    <row r="22" spans="1:12" s="12" customFormat="1" ht="32.65" customHeight="1" x14ac:dyDescent="0.25">
      <c r="A22" s="9" t="s">
        <v>13</v>
      </c>
      <c r="B22" s="150" t="s">
        <v>18</v>
      </c>
      <c r="C22" s="7" t="s">
        <v>215</v>
      </c>
      <c r="D22" s="139">
        <v>5</v>
      </c>
      <c r="E22" s="25"/>
      <c r="F22" s="24" t="s">
        <v>249</v>
      </c>
      <c r="G22" s="8" t="s">
        <v>27</v>
      </c>
      <c r="H22" s="8">
        <f>SUMIF(Tabla14[APELLIDOS Y NOMBRES],Tabla14[[#This Row],[APELLIDOS Y NOMBRES]],Tabla14[HORAS])</f>
        <v>20</v>
      </c>
      <c r="J22" s="20"/>
    </row>
    <row r="23" spans="1:12" s="12" customFormat="1" ht="32.65" customHeight="1" x14ac:dyDescent="0.25">
      <c r="A23" s="9" t="s">
        <v>13</v>
      </c>
      <c r="B23" s="149" t="s">
        <v>58</v>
      </c>
      <c r="C23" s="7" t="s">
        <v>10</v>
      </c>
      <c r="D23" s="27">
        <v>5</v>
      </c>
      <c r="E23" s="25"/>
      <c r="F23" s="24" t="s">
        <v>249</v>
      </c>
      <c r="G23" s="8" t="s">
        <v>27</v>
      </c>
      <c r="H23" s="8">
        <f>SUMIF(Tabla14[APELLIDOS Y NOMBRES],Tabla14[[#This Row],[APELLIDOS Y NOMBRES]],Tabla14[HORAS])</f>
        <v>10</v>
      </c>
      <c r="J23" s="20"/>
    </row>
    <row r="24" spans="1:12" s="12" customFormat="1" ht="32.65" customHeight="1" x14ac:dyDescent="0.25">
      <c r="A24" s="9" t="s">
        <v>13</v>
      </c>
      <c r="B24" s="149" t="s">
        <v>43</v>
      </c>
      <c r="C24" s="7" t="s">
        <v>5</v>
      </c>
      <c r="D24" s="27">
        <f>(48+16)/16</f>
        <v>4</v>
      </c>
      <c r="E24" s="25"/>
      <c r="F24" s="24" t="s">
        <v>249</v>
      </c>
      <c r="G24" s="8" t="s">
        <v>27</v>
      </c>
      <c r="H24" s="8">
        <f>SUMIF(Tabla14[APELLIDOS Y NOMBRES],Tabla14[[#This Row],[APELLIDOS Y NOMBRES]],Tabla14[HORAS])</f>
        <v>8</v>
      </c>
    </row>
    <row r="25" spans="1:12" s="12" customFormat="1" ht="32.65" customHeight="1" x14ac:dyDescent="0.25">
      <c r="A25" s="9" t="s">
        <v>13</v>
      </c>
      <c r="B25" s="149" t="s">
        <v>220</v>
      </c>
      <c r="C25" s="7" t="s">
        <v>12</v>
      </c>
      <c r="D25" s="185">
        <v>4</v>
      </c>
      <c r="E25" s="25"/>
      <c r="F25" s="24" t="s">
        <v>249</v>
      </c>
      <c r="G25" s="8" t="s">
        <v>27</v>
      </c>
      <c r="H25" s="8">
        <f>SUMIF(Tabla14[APELLIDOS Y NOMBRES],Tabla14[[#This Row],[APELLIDOS Y NOMBRES]],Tabla14[HORAS])</f>
        <v>11</v>
      </c>
    </row>
    <row r="26" spans="1:12" s="12" customFormat="1" ht="32.65" customHeight="1" x14ac:dyDescent="0.25">
      <c r="A26" s="9" t="s">
        <v>14</v>
      </c>
      <c r="B26" s="148" t="s">
        <v>248</v>
      </c>
      <c r="C26" s="7" t="s">
        <v>15</v>
      </c>
      <c r="D26" s="27">
        <v>5</v>
      </c>
      <c r="E26" s="8"/>
      <c r="F26" s="24" t="s">
        <v>249</v>
      </c>
      <c r="G26" s="8" t="s">
        <v>27</v>
      </c>
      <c r="H26" s="8">
        <f>SUMIF(Tabla14[APELLIDOS Y NOMBRES],Tabla14[[#This Row],[APELLIDOS Y NOMBRES]],Tabla14[HORAS])</f>
        <v>15</v>
      </c>
      <c r="I26" s="18"/>
    </row>
    <row r="27" spans="1:12" s="12" customFormat="1" ht="32.65" customHeight="1" x14ac:dyDescent="0.25">
      <c r="A27" s="17" t="s">
        <v>14</v>
      </c>
      <c r="B27" s="148" t="s">
        <v>62</v>
      </c>
      <c r="C27" s="7" t="s">
        <v>7</v>
      </c>
      <c r="D27" s="27">
        <f>(48+16)/16</f>
        <v>4</v>
      </c>
      <c r="E27" s="8"/>
      <c r="F27" s="24" t="s">
        <v>249</v>
      </c>
      <c r="G27" s="8" t="s">
        <v>27</v>
      </c>
      <c r="H27" s="8">
        <f>SUMIF(Tabla14[APELLIDOS Y NOMBRES],Tabla14[[#This Row],[APELLIDOS Y NOMBRES]],Tabla14[HORAS])</f>
        <v>16</v>
      </c>
      <c r="I27" s="13"/>
    </row>
    <row r="28" spans="1:12" s="12" customFormat="1" ht="32.65" customHeight="1" x14ac:dyDescent="0.25">
      <c r="A28" s="9" t="s">
        <v>14</v>
      </c>
      <c r="B28" s="148" t="s">
        <v>64</v>
      </c>
      <c r="C28" s="7" t="s">
        <v>214</v>
      </c>
      <c r="D28" s="27">
        <v>5</v>
      </c>
      <c r="E28" s="8"/>
      <c r="F28" s="24" t="s">
        <v>249</v>
      </c>
      <c r="G28" s="8" t="s">
        <v>27</v>
      </c>
      <c r="H28" s="8">
        <f>SUMIF(Tabla14[APELLIDOS Y NOMBRES],Tabla14[[#This Row],[APELLIDOS Y NOMBRES]],Tabla14[HORAS])</f>
        <v>14</v>
      </c>
      <c r="I28" s="13"/>
    </row>
    <row r="29" spans="1:12" s="12" customFormat="1" ht="32.65" customHeight="1" x14ac:dyDescent="0.25">
      <c r="A29" s="9" t="s">
        <v>14</v>
      </c>
      <c r="B29" s="148" t="s">
        <v>63</v>
      </c>
      <c r="C29" s="7" t="s">
        <v>180</v>
      </c>
      <c r="D29" s="27">
        <v>5</v>
      </c>
      <c r="E29" s="23"/>
      <c r="F29" s="24" t="s">
        <v>249</v>
      </c>
      <c r="G29" s="8" t="s">
        <v>27</v>
      </c>
      <c r="H29" s="8">
        <f>SUMIF(Tabla14[APELLIDOS Y NOMBRES],Tabla14[[#This Row],[APELLIDOS Y NOMBRES]],Tabla14[HORAS])</f>
        <v>15</v>
      </c>
      <c r="I29" s="13"/>
    </row>
    <row r="30" spans="1:12" s="12" customFormat="1" ht="32.65" customHeight="1" x14ac:dyDescent="0.25">
      <c r="A30" s="9" t="s">
        <v>14</v>
      </c>
      <c r="B30" s="148" t="s">
        <v>61</v>
      </c>
      <c r="C30" s="7" t="s">
        <v>196</v>
      </c>
      <c r="D30" s="27">
        <f>(48+16)/16</f>
        <v>4</v>
      </c>
      <c r="E30" s="8"/>
      <c r="F30" s="24" t="s">
        <v>249</v>
      </c>
      <c r="G30" s="8" t="s">
        <v>27</v>
      </c>
      <c r="H30" s="8">
        <f>SUMIF(Tabla14[APELLIDOS Y NOMBRES],Tabla14[[#This Row],[APELLIDOS Y NOMBRES]],Tabla14[HORAS])</f>
        <v>4</v>
      </c>
      <c r="I30" s="13"/>
      <c r="J30" s="20"/>
    </row>
    <row r="31" spans="1:12" s="12" customFormat="1" ht="30" customHeight="1" x14ac:dyDescent="0.25">
      <c r="A31" s="9" t="s">
        <v>16</v>
      </c>
      <c r="B31" s="148" t="s">
        <v>248</v>
      </c>
      <c r="C31" s="7" t="s">
        <v>34</v>
      </c>
      <c r="D31" s="27">
        <v>5</v>
      </c>
      <c r="E31" s="8"/>
      <c r="F31" s="24" t="s">
        <v>249</v>
      </c>
      <c r="G31" s="8" t="s">
        <v>27</v>
      </c>
      <c r="H31" s="8">
        <f>SUMIF(Tabla14[APELLIDOS Y NOMBRES],Tabla14[[#This Row],[APELLIDOS Y NOMBRES]],Tabla14[HORAS])</f>
        <v>18</v>
      </c>
      <c r="I31" s="18"/>
    </row>
    <row r="32" spans="1:12" ht="30" customHeight="1" x14ac:dyDescent="0.25">
      <c r="A32" s="9" t="s">
        <v>16</v>
      </c>
      <c r="B32" s="148" t="s">
        <v>62</v>
      </c>
      <c r="C32" s="7" t="s">
        <v>7</v>
      </c>
      <c r="D32" s="27">
        <f>(48+16)/16</f>
        <v>4</v>
      </c>
      <c r="E32" s="8"/>
      <c r="F32" s="24" t="s">
        <v>249</v>
      </c>
      <c r="G32" s="8" t="s">
        <v>27</v>
      </c>
      <c r="H32" s="8">
        <f>SUMIF(Tabla14[APELLIDOS Y NOMBRES],Tabla14[[#This Row],[APELLIDOS Y NOMBRES]],Tabla14[HORAS])</f>
        <v>16</v>
      </c>
      <c r="I32" s="13"/>
    </row>
    <row r="33" spans="1:10" ht="30" customHeight="1" x14ac:dyDescent="0.25">
      <c r="A33" s="9" t="s">
        <v>16</v>
      </c>
      <c r="B33" s="148" t="s">
        <v>64</v>
      </c>
      <c r="C33" s="7" t="s">
        <v>214</v>
      </c>
      <c r="D33" s="27">
        <v>5</v>
      </c>
      <c r="E33" s="8"/>
      <c r="F33" s="24" t="s">
        <v>249</v>
      </c>
      <c r="G33" s="8" t="s">
        <v>27</v>
      </c>
      <c r="H33" s="8">
        <f>SUMIF(Tabla14[APELLIDOS Y NOMBRES],Tabla14[[#This Row],[APELLIDOS Y NOMBRES]],Tabla14[HORAS])</f>
        <v>14</v>
      </c>
      <c r="I33" s="13"/>
    </row>
    <row r="34" spans="1:10" ht="30" customHeight="1" x14ac:dyDescent="0.25">
      <c r="A34" s="9" t="s">
        <v>16</v>
      </c>
      <c r="B34" s="148" t="s">
        <v>63</v>
      </c>
      <c r="C34" s="7" t="s">
        <v>180</v>
      </c>
      <c r="D34" s="27">
        <v>5</v>
      </c>
      <c r="E34" s="8"/>
      <c r="F34" s="24" t="s">
        <v>249</v>
      </c>
      <c r="G34" s="8" t="s">
        <v>27</v>
      </c>
      <c r="H34" s="8">
        <f>SUMIF(Tabla14[APELLIDOS Y NOMBRES],Tabla14[[#This Row],[APELLIDOS Y NOMBRES]],Tabla14[HORAS])</f>
        <v>15</v>
      </c>
      <c r="I34" s="13"/>
    </row>
    <row r="35" spans="1:10" ht="30" customHeight="1" x14ac:dyDescent="0.25">
      <c r="A35" s="9" t="s">
        <v>16</v>
      </c>
      <c r="B35" s="148" t="s">
        <v>61</v>
      </c>
      <c r="C35" s="7" t="s">
        <v>394</v>
      </c>
      <c r="D35" s="27">
        <f>(48+16)/16</f>
        <v>4</v>
      </c>
      <c r="E35" s="8"/>
      <c r="F35" s="24" t="s">
        <v>249</v>
      </c>
      <c r="G35" s="8" t="s">
        <v>27</v>
      </c>
      <c r="H35" s="8">
        <f>SUMIF(Tabla14[APELLIDOS Y NOMBRES],Tabla14[[#This Row],[APELLIDOS Y NOMBRES]],Tabla14[HORAS])</f>
        <v>4</v>
      </c>
      <c r="I35" s="13"/>
    </row>
    <row r="36" spans="1:10" ht="30" customHeight="1" x14ac:dyDescent="0.25">
      <c r="A36" s="9" t="s">
        <v>17</v>
      </c>
      <c r="B36" s="148" t="s">
        <v>219</v>
      </c>
      <c r="C36" s="7" t="s">
        <v>213</v>
      </c>
      <c r="D36" s="29">
        <v>4</v>
      </c>
      <c r="E36" s="8"/>
      <c r="F36" s="24" t="s">
        <v>249</v>
      </c>
      <c r="G36" s="8" t="s">
        <v>27</v>
      </c>
      <c r="H36" s="8">
        <f>SUMIF(Tabla14[APELLIDOS Y NOMBRES],Tabla14[[#This Row],[APELLIDOS Y NOMBRES]],Tabla14[HORAS])</f>
        <v>18</v>
      </c>
      <c r="I36" s="13"/>
    </row>
    <row r="37" spans="1:10" ht="30" customHeight="1" x14ac:dyDescent="0.25">
      <c r="A37" s="9" t="s">
        <v>17</v>
      </c>
      <c r="B37" s="148" t="s">
        <v>204</v>
      </c>
      <c r="C37" s="7" t="s">
        <v>7</v>
      </c>
      <c r="D37" s="29">
        <v>4</v>
      </c>
      <c r="E37" s="8"/>
      <c r="F37" s="24" t="s">
        <v>249</v>
      </c>
      <c r="G37" s="8" t="s">
        <v>27</v>
      </c>
      <c r="H37" s="8">
        <f>SUMIF(Tabla14[APELLIDOS Y NOMBRES],Tabla14[[#This Row],[APELLIDOS Y NOMBRES]],Tabla14[HORAS])</f>
        <v>16</v>
      </c>
      <c r="I37" s="18"/>
    </row>
    <row r="38" spans="1:10" ht="30" customHeight="1" x14ac:dyDescent="0.25">
      <c r="A38" s="9" t="s">
        <v>17</v>
      </c>
      <c r="B38" s="148" t="s">
        <v>202</v>
      </c>
      <c r="C38" s="7" t="s">
        <v>223</v>
      </c>
      <c r="D38" s="29">
        <v>5</v>
      </c>
      <c r="E38" s="8"/>
      <c r="F38" s="24" t="s">
        <v>249</v>
      </c>
      <c r="G38" s="8" t="s">
        <v>27</v>
      </c>
      <c r="H38" s="8">
        <f>SUMIF(Tabla14[APELLIDOS Y NOMBRES],Tabla14[[#This Row],[APELLIDOS Y NOMBRES]],Tabla14[HORAS])</f>
        <v>13</v>
      </c>
      <c r="I38" s="13"/>
    </row>
    <row r="39" spans="1:10" ht="30" customHeight="1" x14ac:dyDescent="0.25">
      <c r="A39" s="9" t="s">
        <v>17</v>
      </c>
      <c r="B39" s="148" t="s">
        <v>218</v>
      </c>
      <c r="C39" s="7" t="s">
        <v>217</v>
      </c>
      <c r="D39" s="29">
        <v>5</v>
      </c>
      <c r="E39" s="8"/>
      <c r="F39" s="24" t="s">
        <v>249</v>
      </c>
      <c r="G39" s="8" t="s">
        <v>27</v>
      </c>
      <c r="H39" s="8">
        <f>SUMIF(Tabla14[APELLIDOS Y NOMBRES],Tabla14[[#This Row],[APELLIDOS Y NOMBRES]],Tabla14[HORAS])</f>
        <v>18</v>
      </c>
      <c r="I39" s="13"/>
      <c r="J39" s="10" t="s">
        <v>325</v>
      </c>
    </row>
    <row r="40" spans="1:10" ht="30" customHeight="1" x14ac:dyDescent="0.25">
      <c r="A40" s="9" t="s">
        <v>17</v>
      </c>
      <c r="B40" s="148" t="s">
        <v>201</v>
      </c>
      <c r="C40" s="7" t="s">
        <v>216</v>
      </c>
      <c r="D40" s="29">
        <v>5</v>
      </c>
      <c r="E40" s="8"/>
      <c r="F40" s="24" t="s">
        <v>249</v>
      </c>
      <c r="G40" s="8" t="s">
        <v>27</v>
      </c>
      <c r="H40" s="8">
        <f>SUMIF(Tabla14[APELLIDOS Y NOMBRES],Tabla14[[#This Row],[APELLIDOS Y NOMBRES]],Tabla14[HORAS])</f>
        <v>20</v>
      </c>
      <c r="I40" s="13"/>
    </row>
    <row r="41" spans="1:10" ht="30" customHeight="1" x14ac:dyDescent="0.25">
      <c r="A41" s="9" t="s">
        <v>20</v>
      </c>
      <c r="B41" s="148" t="s">
        <v>219</v>
      </c>
      <c r="C41" s="7" t="s">
        <v>213</v>
      </c>
      <c r="D41" s="29">
        <v>4</v>
      </c>
      <c r="E41" s="8"/>
      <c r="F41" s="24" t="s">
        <v>249</v>
      </c>
      <c r="G41" s="8" t="s">
        <v>27</v>
      </c>
      <c r="H41" s="8">
        <f>SUMIF(Tabla14[APELLIDOS Y NOMBRES],Tabla14[[#This Row],[APELLIDOS Y NOMBRES]],Tabla14[HORAS])</f>
        <v>18</v>
      </c>
      <c r="I41" s="13"/>
    </row>
    <row r="42" spans="1:10" ht="30" customHeight="1" x14ac:dyDescent="0.25">
      <c r="A42" s="30" t="s">
        <v>20</v>
      </c>
      <c r="B42" s="148" t="s">
        <v>204</v>
      </c>
      <c r="C42" s="7" t="s">
        <v>7</v>
      </c>
      <c r="D42" s="29">
        <v>4</v>
      </c>
      <c r="E42" s="31"/>
      <c r="F42" s="24" t="s">
        <v>249</v>
      </c>
      <c r="G42" s="8" t="s">
        <v>27</v>
      </c>
      <c r="H42" s="31">
        <f>SUMIF(Tabla14[APELLIDOS Y NOMBRES],Tabla14[[#This Row],[APELLIDOS Y NOMBRES]],Tabla14[HORAS])</f>
        <v>16</v>
      </c>
      <c r="I42" s="18"/>
    </row>
    <row r="43" spans="1:10" ht="30" customHeight="1" x14ac:dyDescent="0.25">
      <c r="A43" s="9" t="s">
        <v>20</v>
      </c>
      <c r="B43" s="148" t="s">
        <v>202</v>
      </c>
      <c r="C43" s="7" t="s">
        <v>223</v>
      </c>
      <c r="D43" s="29">
        <v>5</v>
      </c>
      <c r="E43" s="8"/>
      <c r="F43" s="24" t="s">
        <v>249</v>
      </c>
      <c r="G43" s="8" t="s">
        <v>27</v>
      </c>
      <c r="H43" s="8">
        <f>SUMIF(Tabla14[APELLIDOS Y NOMBRES],Tabla14[[#This Row],[APELLIDOS Y NOMBRES]],Tabla14[HORAS])</f>
        <v>13</v>
      </c>
      <c r="I43" s="13"/>
    </row>
    <row r="44" spans="1:10" ht="30" customHeight="1" x14ac:dyDescent="0.25">
      <c r="A44" s="9" t="s">
        <v>20</v>
      </c>
      <c r="B44" s="148" t="s">
        <v>218</v>
      </c>
      <c r="C44" s="7" t="s">
        <v>217</v>
      </c>
      <c r="D44" s="29">
        <v>5</v>
      </c>
      <c r="E44" s="8"/>
      <c r="F44" s="24" t="s">
        <v>249</v>
      </c>
      <c r="G44" s="8" t="s">
        <v>27</v>
      </c>
      <c r="H44" s="8">
        <f>SUMIF(Tabla14[APELLIDOS Y NOMBRES],Tabla14[[#This Row],[APELLIDOS Y NOMBRES]],Tabla14[HORAS])</f>
        <v>18</v>
      </c>
      <c r="I44" s="13"/>
      <c r="J44" s="10" t="s">
        <v>325</v>
      </c>
    </row>
    <row r="45" spans="1:10" ht="30" customHeight="1" x14ac:dyDescent="0.25">
      <c r="A45" s="9" t="s">
        <v>20</v>
      </c>
      <c r="B45" s="148" t="s">
        <v>201</v>
      </c>
      <c r="C45" s="7" t="s">
        <v>216</v>
      </c>
      <c r="D45" s="29">
        <v>5</v>
      </c>
      <c r="E45" s="8"/>
      <c r="F45" s="24" t="s">
        <v>249</v>
      </c>
      <c r="G45" s="8" t="s">
        <v>27</v>
      </c>
      <c r="H45" s="8">
        <f>SUMIF(Tabla14[APELLIDOS Y NOMBRES],Tabla14[[#This Row],[APELLIDOS Y NOMBRES]],Tabla14[HORAS])</f>
        <v>20</v>
      </c>
      <c r="I45" s="13"/>
      <c r="J45" s="10" t="s">
        <v>325</v>
      </c>
    </row>
    <row r="46" spans="1:10" ht="30" customHeight="1" x14ac:dyDescent="0.25">
      <c r="A46" s="9" t="s">
        <v>21</v>
      </c>
      <c r="B46" s="148" t="s">
        <v>235</v>
      </c>
      <c r="C46" s="7" t="s">
        <v>8</v>
      </c>
      <c r="D46" s="28">
        <v>5</v>
      </c>
      <c r="E46" s="8"/>
      <c r="F46" s="24" t="s">
        <v>250</v>
      </c>
      <c r="G46" s="8" t="s">
        <v>27</v>
      </c>
      <c r="H46" s="8">
        <f>SUMIF(Tabla14[APELLIDOS Y NOMBRES],Tabla14[[#This Row],[APELLIDOS Y NOMBRES]],Tabla14[HORAS])</f>
        <v>20</v>
      </c>
      <c r="I46" s="13"/>
      <c r="J46" s="10" t="s">
        <v>325</v>
      </c>
    </row>
    <row r="47" spans="1:10" ht="30" customHeight="1" x14ac:dyDescent="0.25">
      <c r="A47" s="9" t="s">
        <v>21</v>
      </c>
      <c r="B47" s="148" t="s">
        <v>234</v>
      </c>
      <c r="C47" s="7" t="s">
        <v>213</v>
      </c>
      <c r="D47" s="28">
        <v>5</v>
      </c>
      <c r="E47" s="8"/>
      <c r="F47" s="24" t="s">
        <v>250</v>
      </c>
      <c r="G47" s="8" t="s">
        <v>27</v>
      </c>
      <c r="H47" s="8">
        <f>SUMIF(Tabla14[APELLIDOS Y NOMBRES],Tabla14[[#This Row],[APELLIDOS Y NOMBRES]],Tabla14[HORAS])</f>
        <v>18</v>
      </c>
      <c r="I47" s="13"/>
      <c r="J47" s="10" t="s">
        <v>325</v>
      </c>
    </row>
    <row r="48" spans="1:10" ht="30" customHeight="1" x14ac:dyDescent="0.25">
      <c r="A48" s="9" t="s">
        <v>21</v>
      </c>
      <c r="B48" s="148" t="s">
        <v>236</v>
      </c>
      <c r="C48" s="7" t="s">
        <v>40</v>
      </c>
      <c r="D48" s="28">
        <v>4</v>
      </c>
      <c r="E48" s="8"/>
      <c r="F48" s="24" t="s">
        <v>250</v>
      </c>
      <c r="G48" s="8" t="s">
        <v>27</v>
      </c>
      <c r="H48" s="8">
        <f>SUMIF(Tabla14[APELLIDOS Y NOMBRES],Tabla14[[#This Row],[APELLIDOS Y NOMBRES]],Tabla14[HORAS])</f>
        <v>21</v>
      </c>
      <c r="I48" s="13"/>
      <c r="J48" s="10" t="s">
        <v>325</v>
      </c>
    </row>
    <row r="49" spans="1:10" ht="30" customHeight="1" x14ac:dyDescent="0.25">
      <c r="A49" s="9" t="s">
        <v>21</v>
      </c>
      <c r="B49" s="148" t="s">
        <v>237</v>
      </c>
      <c r="C49" s="7" t="s">
        <v>22</v>
      </c>
      <c r="D49" s="28">
        <v>4</v>
      </c>
      <c r="E49" s="8"/>
      <c r="F49" s="24" t="s">
        <v>250</v>
      </c>
      <c r="G49" s="8" t="s">
        <v>27</v>
      </c>
      <c r="H49" s="8">
        <f>SUMIF(Tabla14[APELLIDOS Y NOMBRES],Tabla14[[#This Row],[APELLIDOS Y NOMBRES]],Tabla14[HORAS])</f>
        <v>16</v>
      </c>
      <c r="I49" s="13"/>
      <c r="J49" s="10" t="s">
        <v>325</v>
      </c>
    </row>
    <row r="50" spans="1:10" ht="30" customHeight="1" x14ac:dyDescent="0.25">
      <c r="A50" s="9" t="s">
        <v>21</v>
      </c>
      <c r="B50" s="148" t="s">
        <v>44</v>
      </c>
      <c r="C50" s="7" t="s">
        <v>224</v>
      </c>
      <c r="D50" s="28">
        <v>5</v>
      </c>
      <c r="E50" s="8"/>
      <c r="F50" s="24" t="s">
        <v>250</v>
      </c>
      <c r="G50" s="8" t="s">
        <v>27</v>
      </c>
      <c r="H50" s="8">
        <f>SUMIF(Tabla14[APELLIDOS Y NOMBRES],Tabla14[[#This Row],[APELLIDOS Y NOMBRES]],Tabla14[HORAS])</f>
        <v>20</v>
      </c>
      <c r="I50" s="13"/>
    </row>
    <row r="51" spans="1:10" ht="30" customHeight="1" x14ac:dyDescent="0.25">
      <c r="A51" s="9" t="s">
        <v>23</v>
      </c>
      <c r="B51" s="148" t="s">
        <v>235</v>
      </c>
      <c r="C51" s="7" t="s">
        <v>8</v>
      </c>
      <c r="D51" s="28">
        <v>5</v>
      </c>
      <c r="E51" s="8"/>
      <c r="F51" s="24" t="s">
        <v>250</v>
      </c>
      <c r="G51" s="8" t="s">
        <v>27</v>
      </c>
      <c r="H51" s="8">
        <f>SUMIF(Tabla14[APELLIDOS Y NOMBRES],Tabla14[[#This Row],[APELLIDOS Y NOMBRES]],Tabla14[HORAS])</f>
        <v>20</v>
      </c>
      <c r="I51" s="13"/>
    </row>
    <row r="52" spans="1:10" ht="30" customHeight="1" x14ac:dyDescent="0.25">
      <c r="A52" s="9" t="s">
        <v>23</v>
      </c>
      <c r="B52" s="148" t="s">
        <v>234</v>
      </c>
      <c r="C52" s="7" t="s">
        <v>213</v>
      </c>
      <c r="D52" s="28">
        <v>5</v>
      </c>
      <c r="E52" s="8"/>
      <c r="F52" s="24" t="s">
        <v>250</v>
      </c>
      <c r="G52" s="8" t="s">
        <v>27</v>
      </c>
      <c r="H52" s="8">
        <f>SUMIF(Tabla14[APELLIDOS Y NOMBRES],Tabla14[[#This Row],[APELLIDOS Y NOMBRES]],Tabla14[HORAS])</f>
        <v>18</v>
      </c>
      <c r="I52" s="13"/>
    </row>
    <row r="53" spans="1:10" ht="30" customHeight="1" x14ac:dyDescent="0.25">
      <c r="A53" s="9" t="s">
        <v>23</v>
      </c>
      <c r="B53" s="148" t="s">
        <v>236</v>
      </c>
      <c r="C53" s="7" t="s">
        <v>40</v>
      </c>
      <c r="D53" s="28">
        <v>4</v>
      </c>
      <c r="E53" s="8"/>
      <c r="F53" s="24" t="s">
        <v>250</v>
      </c>
      <c r="G53" s="8" t="s">
        <v>27</v>
      </c>
      <c r="H53" s="8">
        <f>SUMIF(Tabla14[APELLIDOS Y NOMBRES],Tabla14[[#This Row],[APELLIDOS Y NOMBRES]],Tabla14[HORAS])</f>
        <v>21</v>
      </c>
      <c r="I53" s="13"/>
    </row>
    <row r="54" spans="1:10" ht="30" customHeight="1" x14ac:dyDescent="0.25">
      <c r="A54" s="9" t="s">
        <v>23</v>
      </c>
      <c r="B54" s="148" t="s">
        <v>237</v>
      </c>
      <c r="C54" s="7" t="s">
        <v>22</v>
      </c>
      <c r="D54" s="28">
        <v>4</v>
      </c>
      <c r="E54" s="8"/>
      <c r="F54" s="24" t="s">
        <v>250</v>
      </c>
      <c r="G54" s="8" t="s">
        <v>27</v>
      </c>
      <c r="H54" s="8">
        <f>SUMIF(Tabla14[APELLIDOS Y NOMBRES],Tabla14[[#This Row],[APELLIDOS Y NOMBRES]],Tabla14[HORAS])</f>
        <v>16</v>
      </c>
      <c r="I54" s="13"/>
    </row>
    <row r="55" spans="1:10" ht="30" customHeight="1" x14ac:dyDescent="0.25">
      <c r="A55" s="17" t="s">
        <v>23</v>
      </c>
      <c r="B55" s="148" t="s">
        <v>44</v>
      </c>
      <c r="C55" s="7" t="s">
        <v>224</v>
      </c>
      <c r="D55" s="28">
        <v>5</v>
      </c>
      <c r="E55" s="32"/>
      <c r="F55" s="24" t="s">
        <v>250</v>
      </c>
      <c r="G55" s="8" t="s">
        <v>27</v>
      </c>
      <c r="H55" s="32">
        <f>SUMIF(Tabla14[APELLIDOS Y NOMBRES],Tabla14[[#This Row],[APELLIDOS Y NOMBRES]],Tabla14[HORAS])</f>
        <v>20</v>
      </c>
      <c r="I55" s="13"/>
    </row>
    <row r="56" spans="1:10" ht="30" customHeight="1" x14ac:dyDescent="0.25">
      <c r="A56" s="9" t="s">
        <v>24</v>
      </c>
      <c r="B56" s="148" t="s">
        <v>36</v>
      </c>
      <c r="C56" s="7" t="s">
        <v>224</v>
      </c>
      <c r="D56" s="29">
        <v>5</v>
      </c>
      <c r="E56" s="8"/>
      <c r="F56" s="24" t="s">
        <v>249</v>
      </c>
      <c r="G56" s="8" t="s">
        <v>27</v>
      </c>
      <c r="H56" s="8">
        <f>SUMIF(Tabla14[APELLIDOS Y NOMBRES],Tabla14[[#This Row],[APELLIDOS Y NOMBRES]],Tabla14[HORAS])</f>
        <v>20</v>
      </c>
      <c r="I56" s="18"/>
    </row>
    <row r="57" spans="1:10" ht="30" customHeight="1" x14ac:dyDescent="0.25">
      <c r="A57" s="9" t="s">
        <v>24</v>
      </c>
      <c r="B57" s="148" t="s">
        <v>290</v>
      </c>
      <c r="C57" s="7" t="s">
        <v>8</v>
      </c>
      <c r="D57" s="29">
        <v>5</v>
      </c>
      <c r="E57" s="8"/>
      <c r="F57" s="24" t="s">
        <v>249</v>
      </c>
      <c r="G57" s="8" t="s">
        <v>27</v>
      </c>
      <c r="H57" s="8">
        <f>SUMIF(Tabla14[APELLIDOS Y NOMBRES],Tabla14[[#This Row],[APELLIDOS Y NOMBRES]],Tabla14[HORAS])</f>
        <v>20</v>
      </c>
      <c r="I57" s="13"/>
    </row>
    <row r="58" spans="1:10" ht="30" customHeight="1" x14ac:dyDescent="0.25">
      <c r="A58" s="9" t="s">
        <v>24</v>
      </c>
      <c r="B58" s="148" t="s">
        <v>292</v>
      </c>
      <c r="C58" s="7" t="s">
        <v>295</v>
      </c>
      <c r="D58" s="29">
        <v>5</v>
      </c>
      <c r="E58" s="8"/>
      <c r="F58" s="24" t="s">
        <v>249</v>
      </c>
      <c r="G58" s="8" t="s">
        <v>27</v>
      </c>
      <c r="H58" s="8">
        <f>SUMIF(Tabla14[APELLIDOS Y NOMBRES],Tabla14[[#This Row],[APELLIDOS Y NOMBRES]],Tabla14[HORAS])</f>
        <v>10</v>
      </c>
      <c r="I58" s="13"/>
    </row>
    <row r="59" spans="1:10" ht="30" customHeight="1" x14ac:dyDescent="0.25">
      <c r="A59" s="9" t="s">
        <v>24</v>
      </c>
      <c r="B59" s="148" t="s">
        <v>291</v>
      </c>
      <c r="C59" s="7" t="s">
        <v>192</v>
      </c>
      <c r="D59" s="29">
        <v>5</v>
      </c>
      <c r="E59" s="8"/>
      <c r="F59" s="24" t="s">
        <v>249</v>
      </c>
      <c r="G59" s="8" t="s">
        <v>27</v>
      </c>
      <c r="H59" s="8">
        <f>SUMIF(Tabla14[APELLIDOS Y NOMBRES],Tabla14[[#This Row],[APELLIDOS Y NOMBRES]],Tabla14[HORAS])</f>
        <v>10</v>
      </c>
      <c r="I59" s="13"/>
    </row>
    <row r="60" spans="1:10" ht="30" customHeight="1" x14ac:dyDescent="0.25">
      <c r="A60" s="9" t="s">
        <v>47</v>
      </c>
      <c r="B60" s="148" t="s">
        <v>36</v>
      </c>
      <c r="C60" s="7" t="s">
        <v>224</v>
      </c>
      <c r="D60" s="29">
        <v>5</v>
      </c>
      <c r="E60" s="8"/>
      <c r="F60" s="24" t="s">
        <v>249</v>
      </c>
      <c r="G60" s="8" t="s">
        <v>27</v>
      </c>
      <c r="H60" s="8">
        <f>SUMIF(Tabla14[APELLIDOS Y NOMBRES],Tabla14[[#This Row],[APELLIDOS Y NOMBRES]],Tabla14[HORAS])</f>
        <v>20</v>
      </c>
      <c r="I60" s="13"/>
    </row>
    <row r="61" spans="1:10" ht="30" customHeight="1" x14ac:dyDescent="0.25">
      <c r="A61" s="9" t="s">
        <v>47</v>
      </c>
      <c r="B61" s="148" t="s">
        <v>290</v>
      </c>
      <c r="C61" s="7" t="s">
        <v>8</v>
      </c>
      <c r="D61" s="29">
        <v>5</v>
      </c>
      <c r="E61" s="8"/>
      <c r="F61" s="24" t="s">
        <v>249</v>
      </c>
      <c r="G61" s="8" t="s">
        <v>27</v>
      </c>
      <c r="H61" s="8">
        <f>SUMIF(Tabla14[APELLIDOS Y NOMBRES],Tabla14[[#This Row],[APELLIDOS Y NOMBRES]],Tabla14[HORAS])</f>
        <v>20</v>
      </c>
      <c r="I61" s="13"/>
    </row>
    <row r="62" spans="1:10" ht="30" customHeight="1" x14ac:dyDescent="0.25">
      <c r="A62" s="9" t="s">
        <v>47</v>
      </c>
      <c r="B62" s="148" t="s">
        <v>292</v>
      </c>
      <c r="C62" s="7" t="s">
        <v>295</v>
      </c>
      <c r="D62" s="29">
        <v>5</v>
      </c>
      <c r="E62" s="23"/>
      <c r="F62" s="24" t="s">
        <v>249</v>
      </c>
      <c r="G62" s="8" t="s">
        <v>27</v>
      </c>
      <c r="H62" s="8">
        <f>SUMIF(Tabla14[APELLIDOS Y NOMBRES],Tabla14[[#This Row],[APELLIDOS Y NOMBRES]],Tabla14[HORAS])</f>
        <v>10</v>
      </c>
      <c r="I62" s="18"/>
    </row>
    <row r="63" spans="1:10" ht="30" customHeight="1" x14ac:dyDescent="0.25">
      <c r="A63" s="9" t="s">
        <v>47</v>
      </c>
      <c r="B63" s="148" t="s">
        <v>291</v>
      </c>
      <c r="C63" s="7" t="s">
        <v>192</v>
      </c>
      <c r="D63" s="29">
        <v>5</v>
      </c>
      <c r="E63" s="8"/>
      <c r="F63" s="24" t="s">
        <v>249</v>
      </c>
      <c r="G63" s="8" t="s">
        <v>27</v>
      </c>
      <c r="H63" s="8">
        <f>SUMIF(Tabla14[APELLIDOS Y NOMBRES],Tabla14[[#This Row],[APELLIDOS Y NOMBRES]],Tabla14[HORAS])</f>
        <v>10</v>
      </c>
      <c r="I63" s="13"/>
    </row>
    <row r="64" spans="1:10" ht="30" customHeight="1" x14ac:dyDescent="0.25">
      <c r="A64" s="9" t="s">
        <v>25</v>
      </c>
      <c r="B64" s="148" t="s">
        <v>45</v>
      </c>
      <c r="C64" s="7" t="s">
        <v>15</v>
      </c>
      <c r="D64" s="28">
        <v>5</v>
      </c>
      <c r="E64" s="8"/>
      <c r="F64" s="24" t="s">
        <v>249</v>
      </c>
      <c r="G64" s="8" t="s">
        <v>27</v>
      </c>
      <c r="H64" s="8">
        <f>SUMIF(Tabla14[APELLIDOS Y NOMBRES],Tabla14[[#This Row],[APELLIDOS Y NOMBRES]],Tabla14[HORAS])</f>
        <v>15</v>
      </c>
      <c r="I64" s="18"/>
      <c r="J64" s="20"/>
    </row>
    <row r="65" spans="1:10" ht="30" customHeight="1" x14ac:dyDescent="0.25">
      <c r="A65" s="9" t="s">
        <v>25</v>
      </c>
      <c r="B65" s="148" t="s">
        <v>284</v>
      </c>
      <c r="C65" s="7" t="s">
        <v>40</v>
      </c>
      <c r="D65" s="29">
        <v>5</v>
      </c>
      <c r="E65" s="8"/>
      <c r="F65" s="24" t="s">
        <v>249</v>
      </c>
      <c r="G65" s="8" t="s">
        <v>27</v>
      </c>
      <c r="H65" s="8">
        <f>SUMIF(Tabla14[APELLIDOS Y NOMBRES],Tabla14[[#This Row],[APELLIDOS Y NOMBRES]],Tabla14[HORAS])</f>
        <v>21</v>
      </c>
      <c r="I65" s="13"/>
      <c r="J65" s="20"/>
    </row>
    <row r="66" spans="1:10" ht="30" customHeight="1" x14ac:dyDescent="0.25">
      <c r="A66" s="9" t="s">
        <v>25</v>
      </c>
      <c r="B66" s="148" t="s">
        <v>313</v>
      </c>
      <c r="C66" s="7" t="s">
        <v>185</v>
      </c>
      <c r="D66" s="29">
        <v>5</v>
      </c>
      <c r="E66" s="8"/>
      <c r="F66" s="24" t="s">
        <v>249</v>
      </c>
      <c r="G66" s="8" t="s">
        <v>27</v>
      </c>
      <c r="H66" s="8">
        <f>SUMIF(Tabla14[APELLIDOS Y NOMBRES],Tabla14[[#This Row],[APELLIDOS Y NOMBRES]],Tabla14[HORAS])</f>
        <v>15</v>
      </c>
      <c r="I66" s="13"/>
      <c r="J66" s="20"/>
    </row>
    <row r="67" spans="1:10" ht="30" customHeight="1" x14ac:dyDescent="0.25">
      <c r="A67" s="9" t="s">
        <v>25</v>
      </c>
      <c r="B67" s="148" t="s">
        <v>314</v>
      </c>
      <c r="C67" s="7" t="s">
        <v>19</v>
      </c>
      <c r="D67" s="29">
        <v>5</v>
      </c>
      <c r="E67" s="8"/>
      <c r="F67" s="24" t="s">
        <v>249</v>
      </c>
      <c r="G67" s="8" t="s">
        <v>27</v>
      </c>
      <c r="H67" s="8">
        <f>SUMIF(Tabla14[APELLIDOS Y NOMBRES],Tabla14[[#This Row],[APELLIDOS Y NOMBRES]],Tabla14[HORAS])</f>
        <v>18</v>
      </c>
      <c r="I67" s="13"/>
      <c r="J67" s="20"/>
    </row>
    <row r="68" spans="1:10" ht="30" customHeight="1" x14ac:dyDescent="0.25">
      <c r="A68" s="9" t="s">
        <v>48</v>
      </c>
      <c r="B68" s="148" t="s">
        <v>45</v>
      </c>
      <c r="C68" s="7" t="s">
        <v>15</v>
      </c>
      <c r="D68" s="28">
        <v>5</v>
      </c>
      <c r="E68" s="8"/>
      <c r="F68" s="24" t="s">
        <v>249</v>
      </c>
      <c r="G68" s="8" t="s">
        <v>27</v>
      </c>
      <c r="H68" s="8">
        <f>SUMIF(Tabla14[APELLIDOS Y NOMBRES],Tabla14[[#This Row],[APELLIDOS Y NOMBRES]],Tabla14[HORAS])</f>
        <v>15</v>
      </c>
      <c r="I68" s="18"/>
      <c r="J68" s="20"/>
    </row>
    <row r="69" spans="1:10" ht="30" customHeight="1" x14ac:dyDescent="0.25">
      <c r="A69" s="9" t="s">
        <v>48</v>
      </c>
      <c r="B69" s="148" t="s">
        <v>284</v>
      </c>
      <c r="C69" s="7" t="s">
        <v>40</v>
      </c>
      <c r="D69" s="29">
        <v>5</v>
      </c>
      <c r="E69" s="8"/>
      <c r="F69" s="24" t="s">
        <v>249</v>
      </c>
      <c r="G69" s="8" t="s">
        <v>27</v>
      </c>
      <c r="H69" s="8">
        <f>SUMIF(Tabla14[APELLIDOS Y NOMBRES],Tabla14[[#This Row],[APELLIDOS Y NOMBRES]],Tabla14[HORAS])</f>
        <v>21</v>
      </c>
      <c r="I69" s="13"/>
    </row>
    <row r="70" spans="1:10" ht="30" customHeight="1" x14ac:dyDescent="0.25">
      <c r="A70" s="9" t="s">
        <v>48</v>
      </c>
      <c r="B70" s="148" t="s">
        <v>313</v>
      </c>
      <c r="C70" s="7" t="s">
        <v>185</v>
      </c>
      <c r="D70" s="29">
        <v>5</v>
      </c>
      <c r="E70" s="8"/>
      <c r="F70" s="24" t="s">
        <v>249</v>
      </c>
      <c r="G70" s="8" t="s">
        <v>27</v>
      </c>
      <c r="H70" s="8">
        <f>SUMIF(Tabla14[APELLIDOS Y NOMBRES],Tabla14[[#This Row],[APELLIDOS Y NOMBRES]],Tabla14[HORAS])</f>
        <v>15</v>
      </c>
      <c r="I70" s="18"/>
    </row>
    <row r="71" spans="1:10" ht="30" customHeight="1" x14ac:dyDescent="0.25">
      <c r="A71" s="9" t="s">
        <v>48</v>
      </c>
      <c r="B71" s="148" t="s">
        <v>314</v>
      </c>
      <c r="C71" s="7" t="s">
        <v>19</v>
      </c>
      <c r="D71" s="29">
        <v>5</v>
      </c>
      <c r="E71" s="8"/>
      <c r="F71" s="24" t="s">
        <v>249</v>
      </c>
      <c r="G71" s="8" t="s">
        <v>27</v>
      </c>
      <c r="H71" s="8">
        <f>SUMIF(Tabla14[APELLIDOS Y NOMBRES],Tabla14[[#This Row],[APELLIDOS Y NOMBRES]],Tabla14[HORAS])</f>
        <v>18</v>
      </c>
      <c r="I71" s="13"/>
    </row>
    <row r="72" spans="1:10" ht="30" customHeight="1" x14ac:dyDescent="0.25">
      <c r="A72" s="9" t="s">
        <v>26</v>
      </c>
      <c r="B72" s="148" t="s">
        <v>36</v>
      </c>
      <c r="C72" s="7" t="s">
        <v>22</v>
      </c>
      <c r="D72" s="29">
        <v>4</v>
      </c>
      <c r="E72" s="8"/>
      <c r="F72" s="24" t="s">
        <v>250</v>
      </c>
      <c r="G72" s="8" t="s">
        <v>27</v>
      </c>
      <c r="H72" s="8">
        <f>SUMIF(Tabla14[APELLIDOS Y NOMBRES],Tabla14[[#This Row],[APELLIDOS Y NOMBRES]],Tabla14[HORAS])</f>
        <v>16</v>
      </c>
      <c r="I72" s="18"/>
    </row>
    <row r="73" spans="1:10" ht="30" customHeight="1" x14ac:dyDescent="0.25">
      <c r="A73" s="9" t="s">
        <v>26</v>
      </c>
      <c r="B73" s="148" t="s">
        <v>37</v>
      </c>
      <c r="C73" s="7" t="s">
        <v>217</v>
      </c>
      <c r="D73" s="29">
        <v>4</v>
      </c>
      <c r="E73" s="8"/>
      <c r="F73" s="24" t="s">
        <v>250</v>
      </c>
      <c r="G73" s="8" t="s">
        <v>27</v>
      </c>
      <c r="H73" s="8">
        <f>SUMIF(Tabla14[APELLIDOS Y NOMBRES],Tabla14[[#This Row],[APELLIDOS Y NOMBRES]],Tabla14[HORAS])</f>
        <v>18</v>
      </c>
      <c r="I73" s="18"/>
    </row>
    <row r="74" spans="1:10" ht="30" customHeight="1" x14ac:dyDescent="0.25">
      <c r="A74" s="9" t="s">
        <v>26</v>
      </c>
      <c r="B74" s="148" t="s">
        <v>38</v>
      </c>
      <c r="C74" s="7" t="s">
        <v>34</v>
      </c>
      <c r="D74" s="29">
        <v>3</v>
      </c>
      <c r="E74" s="8"/>
      <c r="F74" s="24" t="s">
        <v>250</v>
      </c>
      <c r="G74" s="8" t="s">
        <v>27</v>
      </c>
      <c r="H74" s="8">
        <f>SUMIF(Tabla14[APELLIDOS Y NOMBRES],Tabla14[[#This Row],[APELLIDOS Y NOMBRES]],Tabla14[HORAS])</f>
        <v>18</v>
      </c>
      <c r="I74" s="18"/>
    </row>
    <row r="75" spans="1:10" ht="30" customHeight="1" x14ac:dyDescent="0.25">
      <c r="A75" s="9" t="s">
        <v>26</v>
      </c>
      <c r="B75" s="148" t="s">
        <v>222</v>
      </c>
      <c r="C75" s="7" t="s">
        <v>215</v>
      </c>
      <c r="D75" s="29">
        <v>3</v>
      </c>
      <c r="E75" s="8"/>
      <c r="F75" s="24" t="s">
        <v>250</v>
      </c>
      <c r="G75" s="8" t="s">
        <v>27</v>
      </c>
      <c r="H75" s="8">
        <f>SUMIF(Tabla14[APELLIDOS Y NOMBRES],Tabla14[[#This Row],[APELLIDOS Y NOMBRES]],Tabla14[HORAS])</f>
        <v>20</v>
      </c>
      <c r="I75" s="18"/>
    </row>
    <row r="76" spans="1:10" ht="30" customHeight="1" x14ac:dyDescent="0.25">
      <c r="A76" s="9" t="s">
        <v>26</v>
      </c>
      <c r="B76" s="148" t="s">
        <v>39</v>
      </c>
      <c r="C76" s="7" t="s">
        <v>180</v>
      </c>
      <c r="D76" s="29">
        <v>5</v>
      </c>
      <c r="E76" s="8"/>
      <c r="F76" s="24" t="s">
        <v>250</v>
      </c>
      <c r="G76" s="8" t="s">
        <v>27</v>
      </c>
      <c r="H76" s="8">
        <f>SUMIF(Tabla14[APELLIDOS Y NOMBRES],Tabla14[[#This Row],[APELLIDOS Y NOMBRES]],Tabla14[HORAS])</f>
        <v>15</v>
      </c>
      <c r="I76" s="13"/>
    </row>
    <row r="77" spans="1:10" ht="30" customHeight="1" x14ac:dyDescent="0.25">
      <c r="A77" s="9" t="s">
        <v>26</v>
      </c>
      <c r="B77" s="148" t="s">
        <v>46</v>
      </c>
      <c r="C77" s="7" t="s">
        <v>19</v>
      </c>
      <c r="D77" s="29">
        <v>4</v>
      </c>
      <c r="E77" s="8"/>
      <c r="F77" s="24" t="s">
        <v>250</v>
      </c>
      <c r="G77" s="8" t="s">
        <v>27</v>
      </c>
      <c r="H77" s="8">
        <f>SUMIF(Tabla14[APELLIDOS Y NOMBRES],Tabla14[[#This Row],[APELLIDOS Y NOMBRES]],Tabla14[HORAS])</f>
        <v>18</v>
      </c>
      <c r="I77" s="13"/>
    </row>
    <row r="78" spans="1:10" ht="30" customHeight="1" x14ac:dyDescent="0.25">
      <c r="A78" s="9" t="s">
        <v>49</v>
      </c>
      <c r="B78" s="148" t="s">
        <v>36</v>
      </c>
      <c r="C78" s="7" t="s">
        <v>22</v>
      </c>
      <c r="D78" s="29">
        <v>4</v>
      </c>
      <c r="E78" s="8"/>
      <c r="F78" s="24" t="s">
        <v>250</v>
      </c>
      <c r="G78" s="8" t="s">
        <v>27</v>
      </c>
      <c r="H78" s="8">
        <f>SUMIF(Tabla14[APELLIDOS Y NOMBRES],Tabla14[[#This Row],[APELLIDOS Y NOMBRES]],Tabla14[HORAS])</f>
        <v>16</v>
      </c>
      <c r="I78" s="18"/>
    </row>
    <row r="79" spans="1:10" ht="30" customHeight="1" x14ac:dyDescent="0.25">
      <c r="A79" s="9" t="s">
        <v>49</v>
      </c>
      <c r="B79" s="148" t="s">
        <v>37</v>
      </c>
      <c r="C79" s="7" t="s">
        <v>217</v>
      </c>
      <c r="D79" s="29">
        <v>4</v>
      </c>
      <c r="E79" s="8"/>
      <c r="F79" s="24" t="s">
        <v>250</v>
      </c>
      <c r="G79" s="8" t="s">
        <v>27</v>
      </c>
      <c r="H79" s="8">
        <f>SUMIF(Tabla14[APELLIDOS Y NOMBRES],Tabla14[[#This Row],[APELLIDOS Y NOMBRES]],Tabla14[HORAS])</f>
        <v>18</v>
      </c>
      <c r="I79" s="18"/>
    </row>
    <row r="80" spans="1:10" ht="30" customHeight="1" x14ac:dyDescent="0.25">
      <c r="A80" s="9" t="s">
        <v>49</v>
      </c>
      <c r="B80" s="148" t="s">
        <v>38</v>
      </c>
      <c r="C80" s="7" t="s">
        <v>34</v>
      </c>
      <c r="D80" s="29">
        <v>3</v>
      </c>
      <c r="E80" s="8"/>
      <c r="F80" s="24" t="s">
        <v>250</v>
      </c>
      <c r="G80" s="8" t="s">
        <v>27</v>
      </c>
      <c r="H80" s="8">
        <f>SUMIF(Tabla14[APELLIDOS Y NOMBRES],Tabla14[[#This Row],[APELLIDOS Y NOMBRES]],Tabla14[HORAS])</f>
        <v>18</v>
      </c>
      <c r="I80" s="18"/>
    </row>
    <row r="81" spans="1:10" ht="30" customHeight="1" x14ac:dyDescent="0.25">
      <c r="A81" s="9" t="s">
        <v>49</v>
      </c>
      <c r="B81" s="148" t="s">
        <v>222</v>
      </c>
      <c r="C81" s="7" t="s">
        <v>215</v>
      </c>
      <c r="D81" s="29">
        <v>3</v>
      </c>
      <c r="E81" s="8"/>
      <c r="F81" s="24" t="s">
        <v>250</v>
      </c>
      <c r="G81" s="8" t="s">
        <v>27</v>
      </c>
      <c r="H81" s="8">
        <f>SUMIF(Tabla14[APELLIDOS Y NOMBRES],Tabla14[[#This Row],[APELLIDOS Y NOMBRES]],Tabla14[HORAS])</f>
        <v>20</v>
      </c>
      <c r="I81" s="18"/>
    </row>
    <row r="82" spans="1:10" ht="30" customHeight="1" x14ac:dyDescent="0.25">
      <c r="A82" s="9" t="s">
        <v>49</v>
      </c>
      <c r="B82" s="148" t="s">
        <v>39</v>
      </c>
      <c r="C82" s="7" t="s">
        <v>185</v>
      </c>
      <c r="D82" s="29">
        <v>5</v>
      </c>
      <c r="E82" s="8"/>
      <c r="F82" s="24" t="s">
        <v>250</v>
      </c>
      <c r="G82" s="8" t="s">
        <v>27</v>
      </c>
      <c r="H82" s="8">
        <f>SUMIF(Tabla14[APELLIDOS Y NOMBRES],Tabla14[[#This Row],[APELLIDOS Y NOMBRES]],Tabla14[HORAS])</f>
        <v>15</v>
      </c>
      <c r="I82" s="13"/>
    </row>
    <row r="83" spans="1:10" ht="30" customHeight="1" x14ac:dyDescent="0.25">
      <c r="A83" s="9" t="s">
        <v>49</v>
      </c>
      <c r="B83" s="148" t="s">
        <v>46</v>
      </c>
      <c r="C83" s="7" t="s">
        <v>19</v>
      </c>
      <c r="D83" s="29">
        <v>4</v>
      </c>
      <c r="E83" s="8"/>
      <c r="F83" s="24" t="s">
        <v>250</v>
      </c>
      <c r="G83" s="8" t="s">
        <v>27</v>
      </c>
      <c r="H83" s="8">
        <f>SUMIF(Tabla14[APELLIDOS Y NOMBRES],Tabla14[[#This Row],[APELLIDOS Y NOMBRES]],Tabla14[HORAS])</f>
        <v>18</v>
      </c>
      <c r="I83" s="13"/>
    </row>
    <row r="84" spans="1:10" x14ac:dyDescent="0.25">
      <c r="A84" s="18"/>
      <c r="B84" s="19"/>
      <c r="D84" s="183">
        <f>SUBTOTAL(109,Tabla14[HORAS])</f>
        <v>355</v>
      </c>
      <c r="E84" s="13"/>
      <c r="G84" s="13"/>
    </row>
    <row r="85" spans="1:10" ht="18.75" x14ac:dyDescent="0.25">
      <c r="C85" s="155" t="s">
        <v>293</v>
      </c>
      <c r="D85" s="184">
        <f>+Tabla14[[#Totals],[HORAS]]</f>
        <v>355</v>
      </c>
    </row>
    <row r="92" spans="1:10" x14ac:dyDescent="0.25">
      <c r="J92" s="20"/>
    </row>
  </sheetData>
  <dataConsolidate/>
  <mergeCells count="1">
    <mergeCell ref="A1:H1"/>
  </mergeCells>
  <phoneticPr fontId="7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'DOCENTES 2026-2'!$B$4:$B$28</xm:f>
          </x14:formula1>
          <xm:sqref>C46 C51 C59</xm:sqref>
        </x14:dataValidation>
        <x14:dataValidation type="list" allowBlank="1" showInputMessage="1" showErrorMessage="1" xr:uid="{00000000-0002-0000-0300-000002000000}">
          <x14:formula1>
            <xm:f>'DOCENTES 2026-2'!$B$4:$B$30</xm:f>
          </x14:formula1>
          <xm:sqref>C47:C50 C4:C45 C60:C83 C52:C58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8"/>
  <sheetViews>
    <sheetView zoomScale="130" zoomScaleNormal="130" workbookViewId="0">
      <selection activeCell="D16" sqref="D16"/>
    </sheetView>
  </sheetViews>
  <sheetFormatPr baseColWidth="10" defaultColWidth="10.7109375" defaultRowHeight="15" x14ac:dyDescent="0.25"/>
  <cols>
    <col min="1" max="1" width="63" bestFit="1" customWidth="1"/>
    <col min="2" max="2" width="18.42578125" bestFit="1" customWidth="1"/>
    <col min="3" max="3" width="9.42578125" customWidth="1"/>
  </cols>
  <sheetData>
    <row r="1" spans="1:3" s="1" customFormat="1" ht="17.25" customHeight="1" x14ac:dyDescent="0.25">
      <c r="A1" s="4" t="s">
        <v>32</v>
      </c>
      <c r="B1" s="4" t="s">
        <v>33</v>
      </c>
    </row>
    <row r="2" spans="1:3" x14ac:dyDescent="0.25">
      <c r="A2" s="5" t="s">
        <v>34</v>
      </c>
      <c r="B2" s="288">
        <v>18</v>
      </c>
    </row>
    <row r="3" spans="1:3" x14ac:dyDescent="0.25">
      <c r="A3" s="141" t="s">
        <v>11</v>
      </c>
      <c r="B3">
        <v>4</v>
      </c>
    </row>
    <row r="4" spans="1:3" x14ac:dyDescent="0.25">
      <c r="A4" s="2" t="s">
        <v>6</v>
      </c>
      <c r="B4">
        <v>4</v>
      </c>
    </row>
    <row r="5" spans="1:3" x14ac:dyDescent="0.25">
      <c r="A5" s="141" t="s">
        <v>248</v>
      </c>
      <c r="B5">
        <v>5</v>
      </c>
    </row>
    <row r="6" spans="1:3" x14ac:dyDescent="0.25">
      <c r="A6" s="2" t="s">
        <v>16</v>
      </c>
      <c r="B6">
        <v>5</v>
      </c>
    </row>
    <row r="7" spans="1:3" x14ac:dyDescent="0.25">
      <c r="A7" s="141" t="s">
        <v>38</v>
      </c>
      <c r="B7">
        <v>6</v>
      </c>
    </row>
    <row r="8" spans="1:3" x14ac:dyDescent="0.25">
      <c r="A8" s="2" t="s">
        <v>26</v>
      </c>
      <c r="B8">
        <v>3</v>
      </c>
    </row>
    <row r="9" spans="1:3" x14ac:dyDescent="0.25">
      <c r="A9" s="2" t="s">
        <v>49</v>
      </c>
      <c r="B9">
        <v>3</v>
      </c>
    </row>
    <row r="10" spans="1:3" x14ac:dyDescent="0.25">
      <c r="A10" s="141" t="s">
        <v>50</v>
      </c>
      <c r="B10">
        <v>3</v>
      </c>
    </row>
    <row r="11" spans="1:3" x14ac:dyDescent="0.25">
      <c r="A11" s="2" t="s">
        <v>4</v>
      </c>
      <c r="B11">
        <v>3</v>
      </c>
    </row>
    <row r="12" spans="1:3" x14ac:dyDescent="0.25">
      <c r="A12" s="26" t="s">
        <v>22</v>
      </c>
      <c r="B12" s="288">
        <v>16</v>
      </c>
    </row>
    <row r="13" spans="1:3" x14ac:dyDescent="0.25">
      <c r="A13" s="178" t="s">
        <v>36</v>
      </c>
      <c r="B13">
        <v>8</v>
      </c>
      <c r="C13" s="6"/>
    </row>
    <row r="14" spans="1:3" x14ac:dyDescent="0.25">
      <c r="A14" s="2" t="s">
        <v>26</v>
      </c>
      <c r="B14">
        <v>4</v>
      </c>
    </row>
    <row r="15" spans="1:3" x14ac:dyDescent="0.25">
      <c r="A15" s="2" t="s">
        <v>49</v>
      </c>
      <c r="B15">
        <v>4</v>
      </c>
    </row>
    <row r="16" spans="1:3" x14ac:dyDescent="0.25">
      <c r="A16" s="178" t="s">
        <v>237</v>
      </c>
      <c r="B16">
        <v>8</v>
      </c>
    </row>
    <row r="17" spans="1:3" x14ac:dyDescent="0.25">
      <c r="A17" s="2" t="s">
        <v>21</v>
      </c>
      <c r="B17">
        <v>4</v>
      </c>
    </row>
    <row r="18" spans="1:3" x14ac:dyDescent="0.25">
      <c r="A18" s="2" t="s">
        <v>23</v>
      </c>
      <c r="B18">
        <v>4</v>
      </c>
    </row>
    <row r="19" spans="1:3" x14ac:dyDescent="0.25">
      <c r="A19" s="5" t="s">
        <v>213</v>
      </c>
      <c r="B19" s="287">
        <v>18</v>
      </c>
    </row>
    <row r="20" spans="1:3" x14ac:dyDescent="0.25">
      <c r="A20" s="178" t="s">
        <v>219</v>
      </c>
      <c r="B20">
        <v>8</v>
      </c>
    </row>
    <row r="21" spans="1:3" x14ac:dyDescent="0.25">
      <c r="A21" s="2" t="s">
        <v>17</v>
      </c>
      <c r="B21">
        <v>4</v>
      </c>
    </row>
    <row r="22" spans="1:3" x14ac:dyDescent="0.25">
      <c r="A22" s="2" t="s">
        <v>20</v>
      </c>
      <c r="B22">
        <v>4</v>
      </c>
    </row>
    <row r="23" spans="1:3" x14ac:dyDescent="0.25">
      <c r="A23" s="141" t="s">
        <v>234</v>
      </c>
      <c r="B23">
        <v>10</v>
      </c>
    </row>
    <row r="24" spans="1:3" x14ac:dyDescent="0.25">
      <c r="A24" s="2" t="s">
        <v>21</v>
      </c>
      <c r="B24">
        <v>5</v>
      </c>
    </row>
    <row r="25" spans="1:3" x14ac:dyDescent="0.25">
      <c r="A25" s="2" t="s">
        <v>23</v>
      </c>
      <c r="B25">
        <v>5</v>
      </c>
    </row>
    <row r="26" spans="1:3" x14ac:dyDescent="0.25">
      <c r="A26" s="5" t="s">
        <v>394</v>
      </c>
      <c r="B26">
        <v>4</v>
      </c>
      <c r="C26" t="s">
        <v>404</v>
      </c>
    </row>
    <row r="27" spans="1:3" x14ac:dyDescent="0.25">
      <c r="A27" s="178" t="s">
        <v>61</v>
      </c>
      <c r="B27">
        <v>4</v>
      </c>
    </row>
    <row r="28" spans="1:3" x14ac:dyDescent="0.25">
      <c r="A28" s="2" t="s">
        <v>16</v>
      </c>
      <c r="B28">
        <v>4</v>
      </c>
    </row>
    <row r="29" spans="1:3" x14ac:dyDescent="0.25">
      <c r="A29" s="5" t="s">
        <v>328</v>
      </c>
      <c r="B29">
        <v>5</v>
      </c>
      <c r="C29" t="s">
        <v>404</v>
      </c>
    </row>
    <row r="30" spans="1:3" x14ac:dyDescent="0.25">
      <c r="A30" s="178" t="s">
        <v>52</v>
      </c>
      <c r="B30">
        <v>5</v>
      </c>
    </row>
    <row r="31" spans="1:3" x14ac:dyDescent="0.25">
      <c r="A31" s="2" t="s">
        <v>6</v>
      </c>
      <c r="B31">
        <v>5</v>
      </c>
    </row>
    <row r="32" spans="1:3" x14ac:dyDescent="0.25">
      <c r="A32" s="26" t="s">
        <v>8</v>
      </c>
      <c r="B32" s="287">
        <v>20</v>
      </c>
    </row>
    <row r="33" spans="1:3" x14ac:dyDescent="0.25">
      <c r="A33" s="141" t="s">
        <v>235</v>
      </c>
      <c r="B33">
        <v>10</v>
      </c>
    </row>
    <row r="34" spans="1:3" x14ac:dyDescent="0.25">
      <c r="A34" s="2" t="s">
        <v>21</v>
      </c>
      <c r="B34">
        <v>5</v>
      </c>
    </row>
    <row r="35" spans="1:3" x14ac:dyDescent="0.25">
      <c r="A35" s="2" t="s">
        <v>23</v>
      </c>
      <c r="B35">
        <v>5</v>
      </c>
    </row>
    <row r="36" spans="1:3" x14ac:dyDescent="0.25">
      <c r="A36" s="141" t="s">
        <v>290</v>
      </c>
      <c r="B36">
        <v>10</v>
      </c>
    </row>
    <row r="37" spans="1:3" x14ac:dyDescent="0.25">
      <c r="A37" s="2" t="s">
        <v>24</v>
      </c>
      <c r="B37">
        <v>5</v>
      </c>
    </row>
    <row r="38" spans="1:3" x14ac:dyDescent="0.25">
      <c r="A38" s="2" t="s">
        <v>47</v>
      </c>
      <c r="B38">
        <v>5</v>
      </c>
    </row>
    <row r="39" spans="1:3" x14ac:dyDescent="0.25">
      <c r="A39" s="5" t="s">
        <v>327</v>
      </c>
      <c r="B39">
        <v>4</v>
      </c>
      <c r="C39" t="s">
        <v>404</v>
      </c>
    </row>
    <row r="40" spans="1:3" x14ac:dyDescent="0.25">
      <c r="A40" s="178" t="s">
        <v>53</v>
      </c>
      <c r="B40">
        <v>4</v>
      </c>
    </row>
    <row r="41" spans="1:3" x14ac:dyDescent="0.25">
      <c r="A41" s="2" t="s">
        <v>6</v>
      </c>
      <c r="B41">
        <v>4</v>
      </c>
    </row>
    <row r="42" spans="1:3" x14ac:dyDescent="0.25">
      <c r="A42" s="5" t="s">
        <v>224</v>
      </c>
      <c r="B42" s="287">
        <v>20</v>
      </c>
    </row>
    <row r="43" spans="1:3" x14ac:dyDescent="0.25">
      <c r="A43" s="141" t="s">
        <v>36</v>
      </c>
      <c r="B43">
        <v>10</v>
      </c>
    </row>
    <row r="44" spans="1:3" x14ac:dyDescent="0.25">
      <c r="A44" s="2" t="s">
        <v>24</v>
      </c>
      <c r="B44">
        <v>5</v>
      </c>
    </row>
    <row r="45" spans="1:3" x14ac:dyDescent="0.25">
      <c r="A45" s="2" t="s">
        <v>47</v>
      </c>
      <c r="B45">
        <v>5</v>
      </c>
    </row>
    <row r="46" spans="1:3" x14ac:dyDescent="0.25">
      <c r="A46" s="141" t="s">
        <v>44</v>
      </c>
      <c r="B46">
        <v>10</v>
      </c>
    </row>
    <row r="47" spans="1:3" x14ac:dyDescent="0.25">
      <c r="A47" s="2" t="s">
        <v>21</v>
      </c>
      <c r="B47">
        <v>5</v>
      </c>
    </row>
    <row r="48" spans="1:3" x14ac:dyDescent="0.25">
      <c r="A48" s="2" t="s">
        <v>23</v>
      </c>
      <c r="B48">
        <v>5</v>
      </c>
    </row>
    <row r="49" spans="1:2" x14ac:dyDescent="0.25">
      <c r="A49" s="5" t="s">
        <v>15</v>
      </c>
      <c r="B49" s="287">
        <v>15</v>
      </c>
    </row>
    <row r="50" spans="1:2" x14ac:dyDescent="0.25">
      <c r="A50" s="141" t="s">
        <v>248</v>
      </c>
      <c r="B50">
        <v>5</v>
      </c>
    </row>
    <row r="51" spans="1:2" x14ac:dyDescent="0.25">
      <c r="A51" s="2" t="s">
        <v>14</v>
      </c>
      <c r="B51">
        <v>5</v>
      </c>
    </row>
    <row r="52" spans="1:2" x14ac:dyDescent="0.25">
      <c r="A52" s="141" t="s">
        <v>45</v>
      </c>
      <c r="B52">
        <v>10</v>
      </c>
    </row>
    <row r="53" spans="1:2" x14ac:dyDescent="0.25">
      <c r="A53" s="2" t="s">
        <v>25</v>
      </c>
      <c r="B53">
        <v>5</v>
      </c>
    </row>
    <row r="54" spans="1:2" x14ac:dyDescent="0.25">
      <c r="A54" s="2" t="s">
        <v>48</v>
      </c>
      <c r="B54">
        <v>5</v>
      </c>
    </row>
    <row r="55" spans="1:2" x14ac:dyDescent="0.25">
      <c r="A55" s="5" t="s">
        <v>214</v>
      </c>
      <c r="B55" s="287">
        <v>14</v>
      </c>
    </row>
    <row r="56" spans="1:2" x14ac:dyDescent="0.25">
      <c r="A56" s="141" t="s">
        <v>42</v>
      </c>
      <c r="B56">
        <v>4</v>
      </c>
    </row>
    <row r="57" spans="1:2" x14ac:dyDescent="0.25">
      <c r="A57" s="2" t="s">
        <v>6</v>
      </c>
      <c r="B57">
        <v>4</v>
      </c>
    </row>
    <row r="58" spans="1:2" x14ac:dyDescent="0.25">
      <c r="A58" s="141" t="s">
        <v>64</v>
      </c>
      <c r="B58">
        <v>10</v>
      </c>
    </row>
    <row r="59" spans="1:2" x14ac:dyDescent="0.25">
      <c r="A59" s="2" t="s">
        <v>14</v>
      </c>
      <c r="B59">
        <v>5</v>
      </c>
    </row>
    <row r="60" spans="1:2" x14ac:dyDescent="0.25">
      <c r="A60" s="2" t="s">
        <v>16</v>
      </c>
      <c r="B60">
        <v>5</v>
      </c>
    </row>
    <row r="61" spans="1:2" x14ac:dyDescent="0.25">
      <c r="A61" s="5" t="s">
        <v>215</v>
      </c>
      <c r="B61" s="287">
        <v>20</v>
      </c>
    </row>
    <row r="62" spans="1:2" x14ac:dyDescent="0.25">
      <c r="A62" s="141" t="s">
        <v>18</v>
      </c>
      <c r="B62">
        <v>10</v>
      </c>
    </row>
    <row r="63" spans="1:2" x14ac:dyDescent="0.25">
      <c r="A63" s="2" t="s">
        <v>9</v>
      </c>
      <c r="B63">
        <v>5</v>
      </c>
    </row>
    <row r="64" spans="1:2" x14ac:dyDescent="0.25">
      <c r="A64" s="2" t="s">
        <v>13</v>
      </c>
      <c r="B64">
        <v>5</v>
      </c>
    </row>
    <row r="65" spans="1:2" x14ac:dyDescent="0.25">
      <c r="A65" s="141" t="s">
        <v>222</v>
      </c>
      <c r="B65">
        <v>6</v>
      </c>
    </row>
    <row r="66" spans="1:2" x14ac:dyDescent="0.25">
      <c r="A66" s="2" t="s">
        <v>26</v>
      </c>
      <c r="B66">
        <v>3</v>
      </c>
    </row>
    <row r="67" spans="1:2" x14ac:dyDescent="0.25">
      <c r="A67" s="2" t="s">
        <v>49</v>
      </c>
      <c r="B67">
        <v>3</v>
      </c>
    </row>
    <row r="68" spans="1:2" x14ac:dyDescent="0.25">
      <c r="A68" s="141" t="s">
        <v>41</v>
      </c>
      <c r="B68">
        <v>4</v>
      </c>
    </row>
    <row r="69" spans="1:2" x14ac:dyDescent="0.25">
      <c r="A69" s="2" t="s">
        <v>4</v>
      </c>
      <c r="B69">
        <v>4</v>
      </c>
    </row>
    <row r="70" spans="1:2" x14ac:dyDescent="0.25">
      <c r="A70" s="5" t="s">
        <v>19</v>
      </c>
      <c r="B70" s="287">
        <v>18</v>
      </c>
    </row>
    <row r="71" spans="1:2" x14ac:dyDescent="0.25">
      <c r="A71" s="178" t="s">
        <v>46</v>
      </c>
      <c r="B71">
        <v>8</v>
      </c>
    </row>
    <row r="72" spans="1:2" x14ac:dyDescent="0.25">
      <c r="A72" s="2" t="s">
        <v>26</v>
      </c>
      <c r="B72">
        <v>4</v>
      </c>
    </row>
    <row r="73" spans="1:2" x14ac:dyDescent="0.25">
      <c r="A73" s="2" t="s">
        <v>49</v>
      </c>
      <c r="B73">
        <v>4</v>
      </c>
    </row>
    <row r="74" spans="1:2" x14ac:dyDescent="0.25">
      <c r="A74" s="141" t="s">
        <v>314</v>
      </c>
      <c r="B74">
        <v>10</v>
      </c>
    </row>
    <row r="75" spans="1:2" x14ac:dyDescent="0.25">
      <c r="A75" s="2" t="s">
        <v>25</v>
      </c>
      <c r="B75">
        <v>5</v>
      </c>
    </row>
    <row r="76" spans="1:2" x14ac:dyDescent="0.25">
      <c r="A76" s="2" t="s">
        <v>48</v>
      </c>
      <c r="B76">
        <v>5</v>
      </c>
    </row>
    <row r="77" spans="1:2" x14ac:dyDescent="0.25">
      <c r="A77" s="5" t="s">
        <v>216</v>
      </c>
      <c r="B77" s="287">
        <v>20</v>
      </c>
    </row>
    <row r="78" spans="1:2" x14ac:dyDescent="0.25">
      <c r="A78" s="141" t="s">
        <v>57</v>
      </c>
      <c r="B78">
        <v>10</v>
      </c>
    </row>
    <row r="79" spans="1:2" x14ac:dyDescent="0.25">
      <c r="A79" s="2" t="s">
        <v>9</v>
      </c>
      <c r="B79">
        <v>5</v>
      </c>
    </row>
    <row r="80" spans="1:2" x14ac:dyDescent="0.25">
      <c r="A80" s="2" t="s">
        <v>13</v>
      </c>
      <c r="B80">
        <v>5</v>
      </c>
    </row>
    <row r="81" spans="1:2" x14ac:dyDescent="0.25">
      <c r="A81" s="141" t="s">
        <v>201</v>
      </c>
      <c r="B81">
        <v>10</v>
      </c>
    </row>
    <row r="82" spans="1:2" x14ac:dyDescent="0.25">
      <c r="A82" s="2" t="s">
        <v>17</v>
      </c>
      <c r="B82">
        <v>5</v>
      </c>
    </row>
    <row r="83" spans="1:2" x14ac:dyDescent="0.25">
      <c r="A83" s="2" t="s">
        <v>20</v>
      </c>
      <c r="B83">
        <v>5</v>
      </c>
    </row>
    <row r="84" spans="1:2" x14ac:dyDescent="0.25">
      <c r="A84" s="5" t="s">
        <v>5</v>
      </c>
      <c r="B84" s="287">
        <v>8</v>
      </c>
    </row>
    <row r="85" spans="1:2" x14ac:dyDescent="0.25">
      <c r="A85" s="141" t="s">
        <v>43</v>
      </c>
      <c r="B85">
        <v>8</v>
      </c>
    </row>
    <row r="86" spans="1:2" x14ac:dyDescent="0.25">
      <c r="A86" s="2" t="s">
        <v>9</v>
      </c>
      <c r="B86">
        <v>4</v>
      </c>
    </row>
    <row r="87" spans="1:2" x14ac:dyDescent="0.25">
      <c r="A87" s="2" t="s">
        <v>13</v>
      </c>
      <c r="B87">
        <v>4</v>
      </c>
    </row>
    <row r="88" spans="1:2" x14ac:dyDescent="0.25">
      <c r="A88" s="5" t="s">
        <v>10</v>
      </c>
      <c r="B88" s="287">
        <v>10</v>
      </c>
    </row>
    <row r="89" spans="1:2" x14ac:dyDescent="0.25">
      <c r="A89" s="141" t="s">
        <v>58</v>
      </c>
      <c r="B89">
        <v>10</v>
      </c>
    </row>
    <row r="90" spans="1:2" x14ac:dyDescent="0.25">
      <c r="A90" s="2" t="s">
        <v>9</v>
      </c>
      <c r="B90">
        <v>5</v>
      </c>
    </row>
    <row r="91" spans="1:2" x14ac:dyDescent="0.25">
      <c r="A91" s="2" t="s">
        <v>13</v>
      </c>
      <c r="B91">
        <v>5</v>
      </c>
    </row>
    <row r="92" spans="1:2" x14ac:dyDescent="0.25">
      <c r="A92" s="5" t="s">
        <v>7</v>
      </c>
      <c r="B92" s="287">
        <v>16</v>
      </c>
    </row>
    <row r="93" spans="1:2" x14ac:dyDescent="0.25">
      <c r="A93" s="141" t="s">
        <v>62</v>
      </c>
      <c r="B93">
        <v>8</v>
      </c>
    </row>
    <row r="94" spans="1:2" x14ac:dyDescent="0.25">
      <c r="A94" s="2" t="s">
        <v>14</v>
      </c>
      <c r="B94">
        <v>4</v>
      </c>
    </row>
    <row r="95" spans="1:2" x14ac:dyDescent="0.25">
      <c r="A95" s="2" t="s">
        <v>16</v>
      </c>
      <c r="B95">
        <v>4</v>
      </c>
    </row>
    <row r="96" spans="1:2" x14ac:dyDescent="0.25">
      <c r="A96" s="141" t="s">
        <v>204</v>
      </c>
      <c r="B96">
        <v>8</v>
      </c>
    </row>
    <row r="97" spans="1:2" x14ac:dyDescent="0.25">
      <c r="A97" s="2" t="s">
        <v>17</v>
      </c>
      <c r="B97">
        <v>4</v>
      </c>
    </row>
    <row r="98" spans="1:2" x14ac:dyDescent="0.25">
      <c r="A98" s="2" t="s">
        <v>20</v>
      </c>
      <c r="B98">
        <v>4</v>
      </c>
    </row>
    <row r="99" spans="1:2" x14ac:dyDescent="0.25">
      <c r="A99" s="5" t="s">
        <v>217</v>
      </c>
      <c r="B99" s="287">
        <v>18</v>
      </c>
    </row>
    <row r="100" spans="1:2" x14ac:dyDescent="0.25">
      <c r="A100" s="141" t="s">
        <v>37</v>
      </c>
      <c r="B100">
        <v>8</v>
      </c>
    </row>
    <row r="101" spans="1:2" x14ac:dyDescent="0.25">
      <c r="A101" s="2" t="s">
        <v>26</v>
      </c>
      <c r="B101">
        <v>4</v>
      </c>
    </row>
    <row r="102" spans="1:2" x14ac:dyDescent="0.25">
      <c r="A102" s="2" t="s">
        <v>49</v>
      </c>
      <c r="B102">
        <v>4</v>
      </c>
    </row>
    <row r="103" spans="1:2" x14ac:dyDescent="0.25">
      <c r="A103" s="178" t="s">
        <v>218</v>
      </c>
      <c r="B103">
        <v>10</v>
      </c>
    </row>
    <row r="104" spans="1:2" x14ac:dyDescent="0.25">
      <c r="A104" s="2" t="s">
        <v>17</v>
      </c>
      <c r="B104">
        <v>5</v>
      </c>
    </row>
    <row r="105" spans="1:2" x14ac:dyDescent="0.25">
      <c r="A105" s="2" t="s">
        <v>20</v>
      </c>
      <c r="B105">
        <v>5</v>
      </c>
    </row>
    <row r="106" spans="1:2" x14ac:dyDescent="0.25">
      <c r="A106" s="5" t="s">
        <v>12</v>
      </c>
      <c r="B106" s="287">
        <v>11</v>
      </c>
    </row>
    <row r="107" spans="1:2" x14ac:dyDescent="0.25">
      <c r="A107" s="141" t="s">
        <v>65</v>
      </c>
      <c r="B107">
        <v>3</v>
      </c>
    </row>
    <row r="108" spans="1:2" x14ac:dyDescent="0.25">
      <c r="A108" s="2" t="s">
        <v>4</v>
      </c>
      <c r="B108">
        <v>3</v>
      </c>
    </row>
    <row r="109" spans="1:2" x14ac:dyDescent="0.25">
      <c r="A109" s="141" t="s">
        <v>220</v>
      </c>
      <c r="B109">
        <v>8</v>
      </c>
    </row>
    <row r="110" spans="1:2" x14ac:dyDescent="0.25">
      <c r="A110" s="2" t="s">
        <v>9</v>
      </c>
      <c r="B110">
        <v>4</v>
      </c>
    </row>
    <row r="111" spans="1:2" x14ac:dyDescent="0.25">
      <c r="A111" s="2" t="s">
        <v>13</v>
      </c>
      <c r="B111">
        <v>4</v>
      </c>
    </row>
    <row r="112" spans="1:2" x14ac:dyDescent="0.25">
      <c r="A112" s="5" t="s">
        <v>180</v>
      </c>
      <c r="B112" s="287">
        <v>15</v>
      </c>
    </row>
    <row r="113" spans="1:3" x14ac:dyDescent="0.25">
      <c r="A113" s="178" t="s">
        <v>39</v>
      </c>
      <c r="B113">
        <v>5</v>
      </c>
    </row>
    <row r="114" spans="1:3" x14ac:dyDescent="0.25">
      <c r="A114" s="2" t="s">
        <v>26</v>
      </c>
      <c r="B114">
        <v>5</v>
      </c>
    </row>
    <row r="115" spans="1:3" x14ac:dyDescent="0.25">
      <c r="A115" s="141" t="s">
        <v>63</v>
      </c>
      <c r="B115">
        <v>10</v>
      </c>
    </row>
    <row r="116" spans="1:3" x14ac:dyDescent="0.25">
      <c r="A116" s="2" t="s">
        <v>14</v>
      </c>
      <c r="B116">
        <v>5</v>
      </c>
    </row>
    <row r="117" spans="1:3" x14ac:dyDescent="0.25">
      <c r="A117" s="2" t="s">
        <v>16</v>
      </c>
      <c r="B117">
        <v>5</v>
      </c>
    </row>
    <row r="118" spans="1:3" x14ac:dyDescent="0.25">
      <c r="A118" s="5" t="s">
        <v>185</v>
      </c>
      <c r="B118" s="287">
        <v>15</v>
      </c>
    </row>
    <row r="119" spans="1:3" x14ac:dyDescent="0.25">
      <c r="A119" s="141" t="s">
        <v>39</v>
      </c>
      <c r="B119">
        <v>5</v>
      </c>
    </row>
    <row r="120" spans="1:3" x14ac:dyDescent="0.25">
      <c r="A120" s="2" t="s">
        <v>49</v>
      </c>
      <c r="B120">
        <v>5</v>
      </c>
    </row>
    <row r="121" spans="1:3" x14ac:dyDescent="0.25">
      <c r="A121" s="178" t="s">
        <v>313</v>
      </c>
      <c r="B121">
        <v>10</v>
      </c>
    </row>
    <row r="122" spans="1:3" x14ac:dyDescent="0.25">
      <c r="A122" s="2" t="s">
        <v>25</v>
      </c>
      <c r="B122">
        <v>5</v>
      </c>
    </row>
    <row r="123" spans="1:3" x14ac:dyDescent="0.25">
      <c r="A123" s="2" t="s">
        <v>48</v>
      </c>
      <c r="B123">
        <v>5</v>
      </c>
    </row>
    <row r="124" spans="1:3" x14ac:dyDescent="0.25">
      <c r="A124" s="5" t="s">
        <v>323</v>
      </c>
      <c r="B124">
        <v>4</v>
      </c>
      <c r="C124" t="s">
        <v>404</v>
      </c>
    </row>
    <row r="125" spans="1:3" x14ac:dyDescent="0.25">
      <c r="A125" s="178" t="s">
        <v>285</v>
      </c>
      <c r="B125">
        <v>4</v>
      </c>
    </row>
    <row r="126" spans="1:3" x14ac:dyDescent="0.25">
      <c r="A126" s="2" t="s">
        <v>4</v>
      </c>
      <c r="B126">
        <v>4</v>
      </c>
    </row>
    <row r="127" spans="1:3" x14ac:dyDescent="0.25">
      <c r="A127" s="5" t="s">
        <v>295</v>
      </c>
      <c r="B127" s="287">
        <v>10</v>
      </c>
    </row>
    <row r="128" spans="1:3" x14ac:dyDescent="0.25">
      <c r="A128" s="141" t="s">
        <v>292</v>
      </c>
      <c r="B128">
        <v>10</v>
      </c>
    </row>
    <row r="129" spans="1:2" x14ac:dyDescent="0.25">
      <c r="A129" s="2" t="s">
        <v>24</v>
      </c>
      <c r="B129">
        <v>5</v>
      </c>
    </row>
    <row r="130" spans="1:2" x14ac:dyDescent="0.25">
      <c r="A130" s="2" t="s">
        <v>47</v>
      </c>
      <c r="B130">
        <v>5</v>
      </c>
    </row>
    <row r="131" spans="1:2" x14ac:dyDescent="0.25">
      <c r="A131" s="5" t="s">
        <v>40</v>
      </c>
      <c r="B131" s="287">
        <v>21</v>
      </c>
    </row>
    <row r="132" spans="1:2" x14ac:dyDescent="0.25">
      <c r="A132" s="178" t="s">
        <v>59</v>
      </c>
      <c r="B132">
        <v>3</v>
      </c>
    </row>
    <row r="133" spans="1:2" x14ac:dyDescent="0.25">
      <c r="A133" s="2" t="s">
        <v>4</v>
      </c>
      <c r="B133">
        <v>3</v>
      </c>
    </row>
    <row r="134" spans="1:2" x14ac:dyDescent="0.25">
      <c r="A134" s="178" t="s">
        <v>236</v>
      </c>
      <c r="B134">
        <v>8</v>
      </c>
    </row>
    <row r="135" spans="1:2" x14ac:dyDescent="0.25">
      <c r="A135" s="2" t="s">
        <v>21</v>
      </c>
      <c r="B135">
        <v>4</v>
      </c>
    </row>
    <row r="136" spans="1:2" x14ac:dyDescent="0.25">
      <c r="A136" s="2" t="s">
        <v>23</v>
      </c>
      <c r="B136">
        <v>4</v>
      </c>
    </row>
    <row r="137" spans="1:2" x14ac:dyDescent="0.25">
      <c r="A137" s="178" t="s">
        <v>284</v>
      </c>
      <c r="B137">
        <v>10</v>
      </c>
    </row>
    <row r="138" spans="1:2" x14ac:dyDescent="0.25">
      <c r="A138" s="2" t="s">
        <v>25</v>
      </c>
      <c r="B138">
        <v>5</v>
      </c>
    </row>
    <row r="139" spans="1:2" x14ac:dyDescent="0.25">
      <c r="A139" s="2" t="s">
        <v>48</v>
      </c>
      <c r="B139">
        <v>5</v>
      </c>
    </row>
    <row r="140" spans="1:2" x14ac:dyDescent="0.25">
      <c r="A140" s="5" t="s">
        <v>356</v>
      </c>
      <c r="B140">
        <v>8</v>
      </c>
    </row>
    <row r="141" spans="1:2" x14ac:dyDescent="0.25">
      <c r="A141" s="178" t="s">
        <v>51</v>
      </c>
      <c r="B141">
        <v>4</v>
      </c>
    </row>
    <row r="142" spans="1:2" x14ac:dyDescent="0.25">
      <c r="A142" s="2" t="s">
        <v>4</v>
      </c>
      <c r="B142">
        <v>4</v>
      </c>
    </row>
    <row r="143" spans="1:2" x14ac:dyDescent="0.25">
      <c r="A143" s="178" t="s">
        <v>54</v>
      </c>
      <c r="B143">
        <v>4</v>
      </c>
    </row>
    <row r="144" spans="1:2" x14ac:dyDescent="0.25">
      <c r="A144" s="2" t="s">
        <v>6</v>
      </c>
      <c r="B144">
        <v>4</v>
      </c>
    </row>
    <row r="145" spans="1:2" x14ac:dyDescent="0.25">
      <c r="A145" s="5" t="s">
        <v>196</v>
      </c>
      <c r="B145" s="287">
        <v>4</v>
      </c>
    </row>
    <row r="146" spans="1:2" x14ac:dyDescent="0.25">
      <c r="A146" s="141" t="s">
        <v>61</v>
      </c>
      <c r="B146">
        <v>4</v>
      </c>
    </row>
    <row r="147" spans="1:2" x14ac:dyDescent="0.25">
      <c r="A147" s="2" t="s">
        <v>14</v>
      </c>
      <c r="B147">
        <v>4</v>
      </c>
    </row>
    <row r="148" spans="1:2" x14ac:dyDescent="0.25">
      <c r="A148" s="5" t="s">
        <v>192</v>
      </c>
      <c r="B148" s="287">
        <v>10</v>
      </c>
    </row>
    <row r="149" spans="1:2" x14ac:dyDescent="0.25">
      <c r="A149" s="141" t="s">
        <v>291</v>
      </c>
      <c r="B149">
        <v>10</v>
      </c>
    </row>
    <row r="150" spans="1:2" x14ac:dyDescent="0.25">
      <c r="A150" s="2" t="s">
        <v>24</v>
      </c>
      <c r="B150">
        <v>5</v>
      </c>
    </row>
    <row r="151" spans="1:2" x14ac:dyDescent="0.25">
      <c r="A151" s="2" t="s">
        <v>47</v>
      </c>
      <c r="B151">
        <v>5</v>
      </c>
    </row>
    <row r="152" spans="1:2" x14ac:dyDescent="0.25">
      <c r="A152" s="5" t="s">
        <v>223</v>
      </c>
      <c r="B152" s="287">
        <v>13</v>
      </c>
    </row>
    <row r="153" spans="1:2" x14ac:dyDescent="0.25">
      <c r="A153" s="178" t="s">
        <v>55</v>
      </c>
      <c r="B153">
        <v>3</v>
      </c>
    </row>
    <row r="154" spans="1:2" x14ac:dyDescent="0.25">
      <c r="A154" s="2" t="s">
        <v>6</v>
      </c>
      <c r="B154">
        <v>3</v>
      </c>
    </row>
    <row r="155" spans="1:2" x14ac:dyDescent="0.25">
      <c r="A155" s="141" t="s">
        <v>202</v>
      </c>
      <c r="B155">
        <v>10</v>
      </c>
    </row>
    <row r="156" spans="1:2" x14ac:dyDescent="0.25">
      <c r="A156" s="2" t="s">
        <v>17</v>
      </c>
      <c r="B156">
        <v>5</v>
      </c>
    </row>
    <row r="157" spans="1:2" x14ac:dyDescent="0.25">
      <c r="A157" s="2" t="s">
        <v>20</v>
      </c>
      <c r="B157">
        <v>5</v>
      </c>
    </row>
    <row r="158" spans="1:2" x14ac:dyDescent="0.25">
      <c r="A158" s="3" t="s">
        <v>31</v>
      </c>
      <c r="B158" s="287">
        <v>355</v>
      </c>
    </row>
  </sheetData>
  <autoFilter ref="A1:B186" xr:uid="{00000000-0001-0000-0200-000000000000}"/>
  <pageMargins left="0.70866141732283472" right="0.70866141732283472" top="0.35433070866141736" bottom="0.35433070866141736" header="0.31496062992125984" footer="0.31496062992125984"/>
  <pageSetup paperSize="9" scale="87" fitToHeight="4"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B268"/>
  <sheetViews>
    <sheetView showGridLines="0" tabSelected="1" zoomScale="90" zoomScaleNormal="90" workbookViewId="0">
      <pane ySplit="7" topLeftCell="A8" activePane="bottomLeft" state="frozen"/>
      <selection pane="bottomLeft" activeCell="K15" sqref="K15"/>
    </sheetView>
  </sheetViews>
  <sheetFormatPr baseColWidth="10" defaultRowHeight="18.75" x14ac:dyDescent="0.25"/>
  <cols>
    <col min="1" max="1" width="3.5703125" style="21" bestFit="1" customWidth="1"/>
    <col min="2" max="2" width="12.7109375" style="21" customWidth="1"/>
    <col min="3" max="3" width="35.7109375" style="126" customWidth="1"/>
    <col min="4" max="4" width="9.28515625" hidden="1" customWidth="1"/>
    <col min="5" max="5" width="41.5703125" hidden="1" customWidth="1"/>
    <col min="6" max="6" width="5.5703125" hidden="1" customWidth="1"/>
    <col min="7" max="7" width="33.7109375" hidden="1" customWidth="1"/>
    <col min="8" max="9" width="45.7109375" hidden="1" customWidth="1"/>
    <col min="10" max="10" width="35.140625" customWidth="1"/>
    <col min="11" max="11" width="50.7109375" customWidth="1"/>
    <col min="12" max="12" width="45.7109375" hidden="1" customWidth="1"/>
    <col min="13" max="13" width="7.7109375" customWidth="1"/>
    <col min="14" max="14" width="9.42578125" customWidth="1"/>
    <col min="15" max="15" width="9.42578125" style="100" customWidth="1"/>
    <col min="16" max="16" width="12" style="101" customWidth="1"/>
    <col min="17" max="17" width="7" style="174" customWidth="1"/>
    <col min="18" max="18" width="3.42578125" customWidth="1"/>
    <col min="31" max="31" width="35.28515625" customWidth="1"/>
    <col min="32" max="32" width="51.7109375" customWidth="1"/>
    <col min="33" max="33" width="0" hidden="1" customWidth="1"/>
    <col min="40" max="40" width="32.140625" customWidth="1"/>
    <col min="41" max="41" width="55.5703125" customWidth="1"/>
  </cols>
  <sheetData>
    <row r="1" spans="1:17" ht="18.75" customHeight="1" x14ac:dyDescent="0.25">
      <c r="K1" s="174"/>
      <c r="O1" s="101"/>
    </row>
    <row r="2" spans="1:17" ht="18.75" customHeight="1" x14ac:dyDescent="0.25">
      <c r="K2" s="174"/>
      <c r="O2"/>
    </row>
    <row r="3" spans="1:17" ht="18.75" customHeight="1" x14ac:dyDescent="0.25">
      <c r="K3" s="174"/>
      <c r="O3"/>
    </row>
    <row r="4" spans="1:17" ht="21" x14ac:dyDescent="0.35">
      <c r="O4" s="380" t="s">
        <v>93</v>
      </c>
      <c r="P4" s="381"/>
    </row>
    <row r="5" spans="1:17" ht="29.25" customHeight="1" x14ac:dyDescent="0.25">
      <c r="A5" s="382" t="s">
        <v>94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  <c r="L5" s="383"/>
      <c r="M5" s="383"/>
      <c r="N5" s="383"/>
      <c r="O5" s="383"/>
      <c r="P5" s="384"/>
    </row>
    <row r="6" spans="1:17" s="102" customFormat="1" ht="31.5" customHeight="1" x14ac:dyDescent="0.25">
      <c r="A6" s="385" t="s">
        <v>333</v>
      </c>
      <c r="B6" s="386"/>
      <c r="C6" s="386"/>
      <c r="D6" s="387"/>
      <c r="E6" s="387"/>
      <c r="F6" s="388"/>
      <c r="G6" s="389" t="s">
        <v>286</v>
      </c>
      <c r="H6" s="390"/>
      <c r="I6" s="390"/>
      <c r="J6" s="390"/>
      <c r="K6" s="390"/>
      <c r="L6" s="390"/>
      <c r="M6" s="390"/>
      <c r="N6" s="390"/>
      <c r="O6" s="390"/>
      <c r="P6" s="391"/>
      <c r="Q6" s="174"/>
    </row>
    <row r="7" spans="1:17" s="104" customFormat="1" ht="25.5" x14ac:dyDescent="0.25">
      <c r="A7" s="167" t="s">
        <v>95</v>
      </c>
      <c r="B7" s="168" t="s">
        <v>96</v>
      </c>
      <c r="C7" s="169" t="s">
        <v>97</v>
      </c>
      <c r="D7" s="166" t="s">
        <v>98</v>
      </c>
      <c r="E7" s="103" t="s">
        <v>99</v>
      </c>
      <c r="F7" s="103" t="s">
        <v>100</v>
      </c>
      <c r="G7" s="103" t="s">
        <v>101</v>
      </c>
      <c r="H7" s="103" t="s">
        <v>102</v>
      </c>
      <c r="I7" s="103" t="s">
        <v>103</v>
      </c>
      <c r="J7" s="103" t="s">
        <v>104</v>
      </c>
      <c r="K7" s="103" t="s">
        <v>105</v>
      </c>
      <c r="L7" s="103" t="s">
        <v>106</v>
      </c>
      <c r="M7" s="103" t="s">
        <v>107</v>
      </c>
      <c r="N7" s="103" t="s">
        <v>108</v>
      </c>
      <c r="O7" s="103" t="s">
        <v>73</v>
      </c>
      <c r="P7" s="103" t="s">
        <v>109</v>
      </c>
      <c r="Q7" s="165"/>
    </row>
    <row r="8" spans="1:17" ht="24" x14ac:dyDescent="0.25">
      <c r="A8" s="315">
        <v>1</v>
      </c>
      <c r="B8" s="317">
        <v>1306260959</v>
      </c>
      <c r="C8" s="393" t="s">
        <v>124</v>
      </c>
      <c r="D8" s="300" t="s">
        <v>119</v>
      </c>
      <c r="E8" s="300" t="s">
        <v>111</v>
      </c>
      <c r="F8" s="300"/>
      <c r="G8" s="300" t="s">
        <v>125</v>
      </c>
      <c r="H8" s="113" t="s">
        <v>126</v>
      </c>
      <c r="I8" s="113" t="s">
        <v>127</v>
      </c>
      <c r="J8" s="189" t="s">
        <v>411</v>
      </c>
      <c r="K8" s="108" t="s">
        <v>336</v>
      </c>
      <c r="L8" s="108" t="s">
        <v>113</v>
      </c>
      <c r="M8" s="108">
        <v>4</v>
      </c>
      <c r="N8" s="108">
        <v>1</v>
      </c>
      <c r="O8" s="108">
        <f>+M8*N8</f>
        <v>4</v>
      </c>
      <c r="P8" s="392">
        <f>SUM(O8:O17)</f>
        <v>40</v>
      </c>
      <c r="Q8" s="107">
        <f>SUM(O8:O11)</f>
        <v>18</v>
      </c>
    </row>
    <row r="9" spans="1:17" ht="24" x14ac:dyDescent="0.25">
      <c r="A9" s="315"/>
      <c r="B9" s="317"/>
      <c r="C9" s="291"/>
      <c r="D9" s="300"/>
      <c r="E9" s="300"/>
      <c r="F9" s="300"/>
      <c r="G9" s="300"/>
      <c r="H9" s="113" t="s">
        <v>128</v>
      </c>
      <c r="I9" s="113" t="s">
        <v>129</v>
      </c>
      <c r="J9" s="189" t="s">
        <v>411</v>
      </c>
      <c r="K9" s="108" t="s">
        <v>225</v>
      </c>
      <c r="L9" s="108" t="s">
        <v>113</v>
      </c>
      <c r="M9" s="108">
        <v>5</v>
      </c>
      <c r="N9" s="108">
        <v>1</v>
      </c>
      <c r="O9" s="108">
        <f t="shared" ref="O9:O11" si="0">+M9*N9</f>
        <v>5</v>
      </c>
      <c r="P9" s="338"/>
    </row>
    <row r="10" spans="1:17" ht="15" x14ac:dyDescent="0.25">
      <c r="A10" s="315"/>
      <c r="B10" s="317"/>
      <c r="C10" s="291"/>
      <c r="D10" s="300"/>
      <c r="E10" s="300"/>
      <c r="F10" s="300"/>
      <c r="G10" s="300"/>
      <c r="H10" s="113"/>
      <c r="I10" s="113"/>
      <c r="J10" s="189" t="s">
        <v>411</v>
      </c>
      <c r="K10" s="108" t="s">
        <v>230</v>
      </c>
      <c r="L10" s="108"/>
      <c r="M10" s="108">
        <v>3</v>
      </c>
      <c r="N10" s="108">
        <v>1</v>
      </c>
      <c r="O10" s="108">
        <f>+M10*N10</f>
        <v>3</v>
      </c>
      <c r="P10" s="338"/>
    </row>
    <row r="11" spans="1:17" ht="15" x14ac:dyDescent="0.25">
      <c r="A11" s="315"/>
      <c r="B11" s="317"/>
      <c r="C11" s="291"/>
      <c r="D11" s="300"/>
      <c r="E11" s="300"/>
      <c r="F11" s="300"/>
      <c r="G11" s="300"/>
      <c r="H11" s="113"/>
      <c r="I11" s="113"/>
      <c r="J11" s="191" t="s">
        <v>112</v>
      </c>
      <c r="K11" s="108" t="s">
        <v>251</v>
      </c>
      <c r="L11" s="108"/>
      <c r="M11" s="108">
        <v>3</v>
      </c>
      <c r="N11" s="108">
        <v>2</v>
      </c>
      <c r="O11" s="108">
        <f t="shared" si="0"/>
        <v>6</v>
      </c>
      <c r="P11" s="338"/>
    </row>
    <row r="12" spans="1:17" ht="15" x14ac:dyDescent="0.25">
      <c r="A12" s="315"/>
      <c r="B12" s="317"/>
      <c r="C12" s="291"/>
      <c r="D12" s="300"/>
      <c r="E12" s="300"/>
      <c r="F12" s="300"/>
      <c r="G12" s="300"/>
      <c r="H12" s="113"/>
      <c r="I12" s="113"/>
      <c r="J12" s="105" t="s">
        <v>114</v>
      </c>
      <c r="K12" s="105" t="s">
        <v>353</v>
      </c>
      <c r="L12" s="108"/>
      <c r="M12" s="105"/>
      <c r="N12" s="105"/>
      <c r="O12" s="105">
        <v>2</v>
      </c>
      <c r="P12" s="338"/>
    </row>
    <row r="13" spans="1:17" ht="24" x14ac:dyDescent="0.25">
      <c r="A13" s="315"/>
      <c r="B13" s="317"/>
      <c r="C13" s="291"/>
      <c r="D13" s="300"/>
      <c r="E13" s="300"/>
      <c r="F13" s="300"/>
      <c r="G13" s="300"/>
      <c r="H13" s="113"/>
      <c r="I13" s="113"/>
      <c r="J13" s="105" t="s">
        <v>112</v>
      </c>
      <c r="K13" s="144" t="s">
        <v>298</v>
      </c>
      <c r="L13" s="142" t="s">
        <v>113</v>
      </c>
      <c r="M13" s="142"/>
      <c r="N13" s="142"/>
      <c r="O13" s="143">
        <v>6</v>
      </c>
      <c r="P13" s="338"/>
    </row>
    <row r="14" spans="1:17" ht="15" x14ac:dyDescent="0.25">
      <c r="A14" s="315"/>
      <c r="B14" s="317"/>
      <c r="C14" s="291"/>
      <c r="D14" s="300"/>
      <c r="E14" s="300"/>
      <c r="F14" s="300"/>
      <c r="G14" s="300"/>
      <c r="H14" s="113"/>
      <c r="I14" s="113"/>
      <c r="J14" s="191" t="s">
        <v>114</v>
      </c>
      <c r="K14" s="105" t="s">
        <v>116</v>
      </c>
      <c r="L14" s="105"/>
      <c r="M14" s="105"/>
      <c r="N14" s="105"/>
      <c r="O14" s="110">
        <v>5</v>
      </c>
      <c r="P14" s="338"/>
    </row>
    <row r="15" spans="1:17" ht="15" x14ac:dyDescent="0.25">
      <c r="A15" s="315"/>
      <c r="B15" s="317"/>
      <c r="C15" s="291"/>
      <c r="D15" s="300"/>
      <c r="E15" s="300"/>
      <c r="F15" s="300"/>
      <c r="G15" s="300"/>
      <c r="H15" s="113"/>
      <c r="I15" s="113"/>
      <c r="J15" s="191" t="s">
        <v>114</v>
      </c>
      <c r="K15" s="105" t="s">
        <v>115</v>
      </c>
      <c r="L15" s="105"/>
      <c r="M15" s="105"/>
      <c r="N15" s="105"/>
      <c r="O15" s="110">
        <v>4</v>
      </c>
      <c r="P15" s="338"/>
    </row>
    <row r="16" spans="1:17" ht="15" x14ac:dyDescent="0.25">
      <c r="A16" s="315"/>
      <c r="B16" s="317"/>
      <c r="C16" s="291"/>
      <c r="D16" s="300"/>
      <c r="E16" s="300"/>
      <c r="F16" s="300"/>
      <c r="G16" s="300"/>
      <c r="H16" s="113"/>
      <c r="I16" s="113"/>
      <c r="J16" s="191" t="s">
        <v>114</v>
      </c>
      <c r="K16" s="105" t="s">
        <v>117</v>
      </c>
      <c r="L16" s="105"/>
      <c r="M16" s="105"/>
      <c r="N16" s="105"/>
      <c r="O16" s="110">
        <v>4</v>
      </c>
      <c r="P16" s="338"/>
    </row>
    <row r="17" spans="1:19" ht="15" x14ac:dyDescent="0.25">
      <c r="A17" s="315"/>
      <c r="B17" s="317"/>
      <c r="C17" s="291"/>
      <c r="D17" s="300"/>
      <c r="E17" s="300"/>
      <c r="F17" s="300"/>
      <c r="G17" s="300"/>
      <c r="H17" s="114"/>
      <c r="I17" s="114"/>
      <c r="J17" s="191" t="s">
        <v>114</v>
      </c>
      <c r="K17" s="105" t="s">
        <v>118</v>
      </c>
      <c r="L17" s="105"/>
      <c r="M17" s="105"/>
      <c r="N17" s="105"/>
      <c r="O17" s="110">
        <v>1</v>
      </c>
      <c r="P17" s="338"/>
    </row>
    <row r="18" spans="1:19" ht="24" x14ac:dyDescent="0.25">
      <c r="A18" s="314">
        <v>2</v>
      </c>
      <c r="B18" s="316">
        <v>1310640097</v>
      </c>
      <c r="C18" s="345" t="s">
        <v>132</v>
      </c>
      <c r="D18" s="299" t="s">
        <v>110</v>
      </c>
      <c r="E18" s="299" t="s">
        <v>111</v>
      </c>
      <c r="F18" s="299"/>
      <c r="G18" s="115" t="s">
        <v>133</v>
      </c>
      <c r="H18" s="328" t="s">
        <v>134</v>
      </c>
      <c r="I18" s="328" t="s">
        <v>127</v>
      </c>
      <c r="J18" s="191" t="s">
        <v>112</v>
      </c>
      <c r="K18" s="108" t="s">
        <v>256</v>
      </c>
      <c r="L18" s="108" t="s">
        <v>113</v>
      </c>
      <c r="M18" s="108">
        <v>4</v>
      </c>
      <c r="N18" s="108">
        <v>2</v>
      </c>
      <c r="O18" s="109">
        <f>+M18*N18</f>
        <v>8</v>
      </c>
      <c r="P18" s="339">
        <f>SUM(O18:O27)</f>
        <v>40</v>
      </c>
      <c r="Q18" s="107">
        <f>+O19+O18+O20</f>
        <v>18</v>
      </c>
    </row>
    <row r="19" spans="1:19" ht="24" x14ac:dyDescent="0.25">
      <c r="A19" s="315"/>
      <c r="B19" s="317"/>
      <c r="C19" s="346"/>
      <c r="D19" s="300"/>
      <c r="E19" s="300"/>
      <c r="F19" s="300"/>
      <c r="G19" s="116"/>
      <c r="H19" s="321"/>
      <c r="I19" s="321"/>
      <c r="J19" s="189" t="s">
        <v>411</v>
      </c>
      <c r="K19" s="108" t="s">
        <v>255</v>
      </c>
      <c r="L19" s="108" t="s">
        <v>113</v>
      </c>
      <c r="M19" s="108">
        <v>4</v>
      </c>
      <c r="N19" s="108">
        <v>2</v>
      </c>
      <c r="O19" s="109">
        <f>+M19*N19</f>
        <v>8</v>
      </c>
      <c r="P19" s="338"/>
    </row>
    <row r="20" spans="1:19" ht="15" x14ac:dyDescent="0.25">
      <c r="A20" s="315"/>
      <c r="B20" s="317"/>
      <c r="C20" s="346"/>
      <c r="D20" s="300"/>
      <c r="E20" s="300"/>
      <c r="F20" s="300"/>
      <c r="G20" s="116"/>
      <c r="H20" s="321"/>
      <c r="I20" s="321"/>
      <c r="J20" s="189" t="s">
        <v>412</v>
      </c>
      <c r="K20" s="108" t="s">
        <v>352</v>
      </c>
      <c r="L20" s="108"/>
      <c r="M20" s="108">
        <v>2</v>
      </c>
      <c r="N20" s="108">
        <v>1</v>
      </c>
      <c r="O20" s="109">
        <f>+M20*N20</f>
        <v>2</v>
      </c>
      <c r="P20" s="338"/>
    </row>
    <row r="21" spans="1:19" ht="15" x14ac:dyDescent="0.25">
      <c r="A21" s="315"/>
      <c r="B21" s="317"/>
      <c r="C21" s="346"/>
      <c r="D21" s="300"/>
      <c r="E21" s="300"/>
      <c r="F21" s="300"/>
      <c r="G21" s="116"/>
      <c r="H21" s="321"/>
      <c r="I21" s="321"/>
      <c r="J21" s="111" t="s">
        <v>411</v>
      </c>
      <c r="K21" s="144" t="s">
        <v>300</v>
      </c>
      <c r="L21" s="111"/>
      <c r="M21" s="111"/>
      <c r="N21" s="191"/>
      <c r="O21" s="208">
        <v>2</v>
      </c>
      <c r="P21" s="338"/>
    </row>
    <row r="22" spans="1:19" ht="24" x14ac:dyDescent="0.25">
      <c r="A22" s="315"/>
      <c r="B22" s="317"/>
      <c r="C22" s="346"/>
      <c r="D22" s="300"/>
      <c r="E22" s="300"/>
      <c r="F22" s="300"/>
      <c r="G22" s="116"/>
      <c r="H22" s="321"/>
      <c r="I22" s="321"/>
      <c r="J22" s="111" t="s">
        <v>112</v>
      </c>
      <c r="K22" s="144" t="s">
        <v>298</v>
      </c>
      <c r="L22" s="142" t="s">
        <v>113</v>
      </c>
      <c r="M22" s="142"/>
      <c r="N22" s="142"/>
      <c r="O22" s="143">
        <v>4</v>
      </c>
      <c r="P22" s="338"/>
    </row>
    <row r="23" spans="1:19" ht="24" x14ac:dyDescent="0.25">
      <c r="A23" s="315"/>
      <c r="B23" s="317"/>
      <c r="C23" s="346"/>
      <c r="D23" s="300"/>
      <c r="E23" s="300"/>
      <c r="F23" s="300"/>
      <c r="G23" s="116"/>
      <c r="H23" s="321"/>
      <c r="I23" s="321"/>
      <c r="J23" s="111" t="s">
        <v>122</v>
      </c>
      <c r="K23" s="111" t="s">
        <v>123</v>
      </c>
      <c r="L23" s="111"/>
      <c r="M23" s="111"/>
      <c r="N23" s="191" t="s">
        <v>362</v>
      </c>
      <c r="O23" s="208">
        <v>4</v>
      </c>
      <c r="P23" s="338"/>
      <c r="Q23" s="123">
        <f>60/12</f>
        <v>5</v>
      </c>
      <c r="R23">
        <f>+O23*Q23</f>
        <v>20</v>
      </c>
      <c r="S23" t="s">
        <v>363</v>
      </c>
    </row>
    <row r="24" spans="1:19" ht="15" x14ac:dyDescent="0.25">
      <c r="A24" s="315"/>
      <c r="B24" s="317"/>
      <c r="C24" s="346"/>
      <c r="D24" s="300"/>
      <c r="E24" s="300"/>
      <c r="F24" s="300"/>
      <c r="G24" s="116"/>
      <c r="H24" s="321"/>
      <c r="I24" s="321"/>
      <c r="J24" s="191" t="s">
        <v>114</v>
      </c>
      <c r="K24" s="105" t="s">
        <v>116</v>
      </c>
      <c r="L24" s="105"/>
      <c r="M24" s="105"/>
      <c r="N24" s="105"/>
      <c r="O24" s="110">
        <v>5</v>
      </c>
      <c r="P24" s="338"/>
    </row>
    <row r="25" spans="1:19" ht="15" x14ac:dyDescent="0.25">
      <c r="A25" s="315"/>
      <c r="B25" s="317"/>
      <c r="C25" s="346"/>
      <c r="D25" s="300"/>
      <c r="E25" s="300"/>
      <c r="F25" s="300"/>
      <c r="G25" s="116"/>
      <c r="H25" s="321"/>
      <c r="I25" s="321"/>
      <c r="J25" s="191" t="s">
        <v>114</v>
      </c>
      <c r="K25" s="105" t="s">
        <v>115</v>
      </c>
      <c r="L25" s="105"/>
      <c r="M25" s="105"/>
      <c r="N25" s="105"/>
      <c r="O25" s="110">
        <v>3</v>
      </c>
      <c r="P25" s="338"/>
    </row>
    <row r="26" spans="1:19" ht="15" x14ac:dyDescent="0.25">
      <c r="A26" s="315"/>
      <c r="B26" s="317"/>
      <c r="C26" s="346"/>
      <c r="D26" s="300"/>
      <c r="E26" s="300"/>
      <c r="F26" s="300"/>
      <c r="G26" s="116"/>
      <c r="H26" s="321"/>
      <c r="I26" s="321"/>
      <c r="J26" s="191" t="s">
        <v>114</v>
      </c>
      <c r="K26" s="105" t="s">
        <v>117</v>
      </c>
      <c r="L26" s="105"/>
      <c r="M26" s="105"/>
      <c r="N26" s="105"/>
      <c r="O26" s="110">
        <v>3</v>
      </c>
      <c r="P26" s="338"/>
    </row>
    <row r="27" spans="1:19" ht="15" x14ac:dyDescent="0.25">
      <c r="A27" s="315"/>
      <c r="B27" s="317"/>
      <c r="C27" s="346"/>
      <c r="D27" s="300"/>
      <c r="E27" s="300"/>
      <c r="F27" s="300"/>
      <c r="G27" s="117"/>
      <c r="H27" s="321"/>
      <c r="I27" s="321"/>
      <c r="J27" s="191" t="s">
        <v>114</v>
      </c>
      <c r="K27" s="105" t="s">
        <v>118</v>
      </c>
      <c r="L27" s="105"/>
      <c r="M27" s="105"/>
      <c r="N27" s="105"/>
      <c r="O27" s="110">
        <v>1</v>
      </c>
      <c r="P27" s="338"/>
    </row>
    <row r="28" spans="1:19" ht="23.45" customHeight="1" x14ac:dyDescent="0.25">
      <c r="A28" s="306">
        <v>3</v>
      </c>
      <c r="B28" s="313">
        <v>1309746871</v>
      </c>
      <c r="C28" s="374" t="s">
        <v>136</v>
      </c>
      <c r="D28" s="299" t="s">
        <v>119</v>
      </c>
      <c r="E28" s="299" t="s">
        <v>111</v>
      </c>
      <c r="F28" s="299"/>
      <c r="G28" s="299" t="s">
        <v>137</v>
      </c>
      <c r="H28" s="112" t="s">
        <v>128</v>
      </c>
      <c r="I28" s="112" t="s">
        <v>138</v>
      </c>
      <c r="J28" s="189" t="s">
        <v>411</v>
      </c>
      <c r="K28" s="108" t="s">
        <v>379</v>
      </c>
      <c r="L28" s="108"/>
      <c r="M28" s="108">
        <v>4</v>
      </c>
      <c r="N28" s="108">
        <v>2</v>
      </c>
      <c r="O28" s="109">
        <f t="shared" ref="O28:O29" si="1">+M28*N28</f>
        <v>8</v>
      </c>
      <c r="P28" s="324">
        <f>SUM(O28:O36)</f>
        <v>40</v>
      </c>
      <c r="Q28" s="107">
        <f>+O29+O28</f>
        <v>18</v>
      </c>
    </row>
    <row r="29" spans="1:19" ht="17.45" customHeight="1" x14ac:dyDescent="0.25">
      <c r="A29" s="306"/>
      <c r="B29" s="313"/>
      <c r="C29" s="375"/>
      <c r="D29" s="300"/>
      <c r="E29" s="300"/>
      <c r="F29" s="300"/>
      <c r="G29" s="300"/>
      <c r="H29" s="113"/>
      <c r="I29" s="113"/>
      <c r="J29" s="189" t="s">
        <v>411</v>
      </c>
      <c r="K29" s="190" t="s">
        <v>334</v>
      </c>
      <c r="L29" s="190"/>
      <c r="M29" s="190">
        <v>5</v>
      </c>
      <c r="N29" s="190">
        <v>2</v>
      </c>
      <c r="O29" s="109">
        <f t="shared" si="1"/>
        <v>10</v>
      </c>
      <c r="P29" s="324"/>
      <c r="Q29" s="123"/>
    </row>
    <row r="30" spans="1:19" ht="27.6" customHeight="1" x14ac:dyDescent="0.25">
      <c r="A30" s="306"/>
      <c r="B30" s="313"/>
      <c r="C30" s="375"/>
      <c r="D30" s="300"/>
      <c r="E30" s="300"/>
      <c r="F30" s="300"/>
      <c r="G30" s="300"/>
      <c r="H30" s="113"/>
      <c r="I30" s="113"/>
      <c r="J30" s="105" t="s">
        <v>411</v>
      </c>
      <c r="K30" s="105" t="s">
        <v>149</v>
      </c>
      <c r="L30" s="105"/>
      <c r="M30" s="105"/>
      <c r="N30" s="105"/>
      <c r="O30" s="110">
        <v>4</v>
      </c>
      <c r="P30" s="324"/>
      <c r="Q30" s="123"/>
    </row>
    <row r="31" spans="1:19" ht="17.45" customHeight="1" x14ac:dyDescent="0.25">
      <c r="A31" s="306"/>
      <c r="B31" s="313"/>
      <c r="C31" s="375"/>
      <c r="D31" s="300"/>
      <c r="E31" s="300"/>
      <c r="F31" s="300"/>
      <c r="G31" s="300"/>
      <c r="H31" s="113"/>
      <c r="I31" s="113"/>
      <c r="J31" s="105" t="s">
        <v>114</v>
      </c>
      <c r="K31" s="105" t="s">
        <v>353</v>
      </c>
      <c r="L31" s="105"/>
      <c r="M31" s="105"/>
      <c r="N31" s="105"/>
      <c r="O31" s="105">
        <v>3</v>
      </c>
      <c r="P31" s="324"/>
      <c r="Q31" s="123"/>
    </row>
    <row r="32" spans="1:19" ht="17.45" customHeight="1" x14ac:dyDescent="0.25">
      <c r="A32" s="306"/>
      <c r="B32" s="313"/>
      <c r="C32" s="375"/>
      <c r="D32" s="300"/>
      <c r="E32" s="300"/>
      <c r="F32" s="300"/>
      <c r="G32" s="300"/>
      <c r="H32" s="113"/>
      <c r="I32" s="113"/>
      <c r="J32" s="115" t="s">
        <v>411</v>
      </c>
      <c r="K32" s="156" t="s">
        <v>300</v>
      </c>
      <c r="L32" s="115"/>
      <c r="M32" s="157"/>
      <c r="N32" s="157"/>
      <c r="O32" s="105">
        <v>6</v>
      </c>
      <c r="P32" s="324"/>
      <c r="Q32" s="123"/>
    </row>
    <row r="33" spans="1:54" ht="15" x14ac:dyDescent="0.25">
      <c r="A33" s="306"/>
      <c r="B33" s="313"/>
      <c r="C33" s="375"/>
      <c r="D33" s="300"/>
      <c r="E33" s="300"/>
      <c r="F33" s="300"/>
      <c r="G33" s="300"/>
      <c r="H33" s="113"/>
      <c r="I33" s="113"/>
      <c r="J33" s="191" t="s">
        <v>114</v>
      </c>
      <c r="K33" s="105" t="s">
        <v>116</v>
      </c>
      <c r="L33" s="105"/>
      <c r="M33" s="105"/>
      <c r="N33" s="105"/>
      <c r="O33" s="105">
        <v>4</v>
      </c>
      <c r="P33" s="324"/>
      <c r="Q33" s="123"/>
    </row>
    <row r="34" spans="1:54" ht="15" x14ac:dyDescent="0.25">
      <c r="A34" s="306"/>
      <c r="B34" s="313"/>
      <c r="C34" s="375"/>
      <c r="D34" s="300"/>
      <c r="E34" s="300"/>
      <c r="F34" s="300"/>
      <c r="G34" s="300"/>
      <c r="H34" s="113"/>
      <c r="I34" s="113"/>
      <c r="J34" s="191" t="s">
        <v>114</v>
      </c>
      <c r="K34" s="105" t="s">
        <v>115</v>
      </c>
      <c r="L34" s="105"/>
      <c r="M34" s="105"/>
      <c r="N34" s="105"/>
      <c r="O34" s="105">
        <v>2</v>
      </c>
      <c r="P34" s="324"/>
      <c r="Q34" s="123"/>
    </row>
    <row r="35" spans="1:54" ht="15" x14ac:dyDescent="0.25">
      <c r="A35" s="306"/>
      <c r="B35" s="313"/>
      <c r="C35" s="375"/>
      <c r="D35" s="300"/>
      <c r="E35" s="300"/>
      <c r="F35" s="300"/>
      <c r="G35" s="300"/>
      <c r="H35" s="113"/>
      <c r="I35" s="113"/>
      <c r="J35" s="191" t="s">
        <v>114</v>
      </c>
      <c r="K35" s="105" t="s">
        <v>117</v>
      </c>
      <c r="L35" s="105"/>
      <c r="M35" s="105"/>
      <c r="N35" s="105"/>
      <c r="O35" s="105">
        <v>2</v>
      </c>
      <c r="P35" s="324"/>
      <c r="Q35" s="123"/>
    </row>
    <row r="36" spans="1:54" ht="15" x14ac:dyDescent="0.25">
      <c r="A36" s="306"/>
      <c r="B36" s="313"/>
      <c r="C36" s="375"/>
      <c r="D36" s="300"/>
      <c r="E36" s="300"/>
      <c r="F36" s="300"/>
      <c r="G36" s="300"/>
      <c r="H36" s="113"/>
      <c r="I36" s="113"/>
      <c r="J36" s="191" t="s">
        <v>114</v>
      </c>
      <c r="K36" s="105" t="s">
        <v>118</v>
      </c>
      <c r="L36" s="105"/>
      <c r="M36" s="105"/>
      <c r="N36" s="105"/>
      <c r="O36" s="105">
        <v>1</v>
      </c>
      <c r="P36" s="324"/>
      <c r="Q36" s="123"/>
    </row>
    <row r="37" spans="1:54" ht="30.6" customHeight="1" x14ac:dyDescent="0.25">
      <c r="A37" s="306">
        <v>4</v>
      </c>
      <c r="B37" s="379" t="s">
        <v>145</v>
      </c>
      <c r="C37" s="347" t="s">
        <v>252</v>
      </c>
      <c r="D37" s="323" t="s">
        <v>110</v>
      </c>
      <c r="E37" s="323" t="s">
        <v>111</v>
      </c>
      <c r="F37" s="323"/>
      <c r="G37" s="323" t="s">
        <v>125</v>
      </c>
      <c r="H37" s="196" t="s">
        <v>146</v>
      </c>
      <c r="I37" s="196" t="s">
        <v>147</v>
      </c>
      <c r="J37" s="197" t="s">
        <v>411</v>
      </c>
      <c r="K37" s="198" t="s">
        <v>253</v>
      </c>
      <c r="L37" s="198" t="s">
        <v>113</v>
      </c>
      <c r="M37" s="198">
        <v>5</v>
      </c>
      <c r="N37" s="198">
        <v>2</v>
      </c>
      <c r="O37" s="105">
        <f>+M37*N37</f>
        <v>10</v>
      </c>
      <c r="P37" s="396">
        <f>SUM(O37:O46)</f>
        <v>40</v>
      </c>
      <c r="Q37" s="107">
        <f>+O37+O38</f>
        <v>20</v>
      </c>
    </row>
    <row r="38" spans="1:54" ht="31.9" customHeight="1" x14ac:dyDescent="0.25">
      <c r="A38" s="306"/>
      <c r="B38" s="379"/>
      <c r="C38" s="347"/>
      <c r="D38" s="323"/>
      <c r="E38" s="323"/>
      <c r="F38" s="323"/>
      <c r="G38" s="323"/>
      <c r="H38" s="196" t="s">
        <v>148</v>
      </c>
      <c r="I38" s="196" t="s">
        <v>135</v>
      </c>
      <c r="J38" s="197" t="s">
        <v>411</v>
      </c>
      <c r="K38" s="198" t="s">
        <v>299</v>
      </c>
      <c r="L38" s="198" t="s">
        <v>113</v>
      </c>
      <c r="M38" s="198">
        <v>5</v>
      </c>
      <c r="N38" s="198">
        <v>2</v>
      </c>
      <c r="O38" s="105">
        <f>+M38*N38</f>
        <v>10</v>
      </c>
      <c r="P38" s="396"/>
    </row>
    <row r="39" spans="1:54" ht="28.9" customHeight="1" x14ac:dyDescent="0.25">
      <c r="A39" s="306"/>
      <c r="B39" s="379"/>
      <c r="C39" s="376"/>
      <c r="D39" s="323"/>
      <c r="E39" s="323"/>
      <c r="F39" s="323"/>
      <c r="G39" s="323"/>
      <c r="H39" s="196"/>
      <c r="I39" s="196"/>
      <c r="J39" s="161" t="s">
        <v>143</v>
      </c>
      <c r="K39" s="235" t="s">
        <v>197</v>
      </c>
      <c r="L39" s="161"/>
      <c r="M39" s="202"/>
      <c r="N39" s="202"/>
      <c r="O39" s="105">
        <v>4</v>
      </c>
      <c r="P39" s="396"/>
      <c r="Q39" s="394"/>
      <c r="R39" s="395"/>
      <c r="S39" s="395"/>
      <c r="T39" s="395"/>
      <c r="U39" s="395"/>
      <c r="V39" s="395"/>
      <c r="W39" s="395"/>
      <c r="X39" s="395"/>
      <c r="Y39" s="395"/>
      <c r="Z39" s="395"/>
      <c r="AA39" s="395"/>
      <c r="AB39" s="395"/>
      <c r="AC39" s="395"/>
      <c r="AD39" s="395"/>
      <c r="AE39" s="395"/>
      <c r="AF39" s="395"/>
      <c r="AG39" s="395"/>
      <c r="AH39" s="395"/>
      <c r="AI39" s="395"/>
      <c r="AJ39" s="395"/>
      <c r="AK39" s="395"/>
      <c r="AL39" s="395"/>
      <c r="AM39" s="395"/>
      <c r="AN39" s="395"/>
      <c r="AO39" s="395"/>
      <c r="AP39" s="395"/>
      <c r="AQ39" s="395"/>
      <c r="AR39" s="395"/>
      <c r="AS39" s="395"/>
      <c r="AT39" s="395"/>
      <c r="AU39" s="395"/>
      <c r="AV39" s="395"/>
      <c r="AW39" s="395"/>
      <c r="AX39" s="395"/>
      <c r="AY39" s="395"/>
      <c r="AZ39" s="395"/>
      <c r="BA39" s="395"/>
      <c r="BB39" s="395"/>
    </row>
    <row r="40" spans="1:54" ht="15" x14ac:dyDescent="0.25">
      <c r="A40" s="306"/>
      <c r="B40" s="379"/>
      <c r="C40" s="347"/>
      <c r="D40" s="323"/>
      <c r="E40" s="323"/>
      <c r="F40" s="323"/>
      <c r="G40" s="323"/>
      <c r="H40" s="196"/>
      <c r="I40" s="196"/>
      <c r="J40" s="161" t="s">
        <v>114</v>
      </c>
      <c r="K40" s="161" t="s">
        <v>116</v>
      </c>
      <c r="L40" s="161"/>
      <c r="M40" s="161"/>
      <c r="N40" s="161"/>
      <c r="O40" s="105">
        <v>4</v>
      </c>
      <c r="P40" s="396"/>
    </row>
    <row r="41" spans="1:54" ht="15" x14ac:dyDescent="0.25">
      <c r="A41" s="306"/>
      <c r="B41" s="379"/>
      <c r="C41" s="347"/>
      <c r="D41" s="323"/>
      <c r="E41" s="323"/>
      <c r="F41" s="323"/>
      <c r="G41" s="323"/>
      <c r="H41" s="196"/>
      <c r="I41" s="196"/>
      <c r="J41" s="161" t="s">
        <v>114</v>
      </c>
      <c r="K41" s="161" t="s">
        <v>115</v>
      </c>
      <c r="L41" s="161"/>
      <c r="M41" s="161"/>
      <c r="N41" s="161"/>
      <c r="O41" s="105">
        <v>2</v>
      </c>
      <c r="P41" s="396"/>
    </row>
    <row r="42" spans="1:54" ht="15" x14ac:dyDescent="0.25">
      <c r="A42" s="306"/>
      <c r="B42" s="379"/>
      <c r="C42" s="347"/>
      <c r="D42" s="323"/>
      <c r="E42" s="323"/>
      <c r="F42" s="323"/>
      <c r="G42" s="323"/>
      <c r="H42" s="196"/>
      <c r="I42" s="196"/>
      <c r="J42" s="161" t="s">
        <v>114</v>
      </c>
      <c r="K42" s="161" t="s">
        <v>117</v>
      </c>
      <c r="L42" s="161"/>
      <c r="M42" s="161"/>
      <c r="N42" s="161"/>
      <c r="O42" s="105">
        <v>2</v>
      </c>
      <c r="P42" s="396"/>
    </row>
    <row r="43" spans="1:54" ht="15" x14ac:dyDescent="0.25">
      <c r="A43" s="306"/>
      <c r="B43" s="379"/>
      <c r="C43" s="347"/>
      <c r="D43" s="323"/>
      <c r="E43" s="323"/>
      <c r="F43" s="323"/>
      <c r="G43" s="323"/>
      <c r="H43" s="196"/>
      <c r="I43" s="196"/>
      <c r="J43" s="161" t="s">
        <v>114</v>
      </c>
      <c r="K43" s="161" t="s">
        <v>118</v>
      </c>
      <c r="L43" s="161"/>
      <c r="M43" s="161"/>
      <c r="N43" s="161"/>
      <c r="O43" s="105">
        <v>1</v>
      </c>
      <c r="P43" s="396"/>
    </row>
    <row r="44" spans="1:54" ht="15" x14ac:dyDescent="0.25">
      <c r="A44" s="306"/>
      <c r="B44" s="379"/>
      <c r="C44" s="347"/>
      <c r="D44" s="323"/>
      <c r="E44" s="323"/>
      <c r="F44" s="323"/>
      <c r="G44" s="323"/>
      <c r="H44" s="196"/>
      <c r="I44" s="196"/>
      <c r="J44" s="161" t="s">
        <v>114</v>
      </c>
      <c r="K44" s="161" t="s">
        <v>353</v>
      </c>
      <c r="L44" s="161"/>
      <c r="M44" s="161"/>
      <c r="N44" s="161"/>
      <c r="O44" s="105">
        <v>1</v>
      </c>
      <c r="P44" s="396"/>
      <c r="Q44" s="399" t="s">
        <v>479</v>
      </c>
      <c r="R44" s="400"/>
      <c r="S44" s="400"/>
      <c r="T44" s="400"/>
    </row>
    <row r="45" spans="1:54" ht="24" x14ac:dyDescent="0.25">
      <c r="A45" s="306"/>
      <c r="B45" s="379"/>
      <c r="C45" s="347"/>
      <c r="D45" s="323"/>
      <c r="E45" s="323"/>
      <c r="F45" s="323"/>
      <c r="G45" s="323"/>
      <c r="H45" s="196"/>
      <c r="I45" s="196"/>
      <c r="J45" s="161" t="s">
        <v>112</v>
      </c>
      <c r="K45" s="162" t="s">
        <v>298</v>
      </c>
      <c r="L45" s="163" t="s">
        <v>113</v>
      </c>
      <c r="M45" s="163"/>
      <c r="N45" s="163"/>
      <c r="O45" s="105">
        <v>1</v>
      </c>
      <c r="P45" s="396"/>
    </row>
    <row r="46" spans="1:54" ht="24" x14ac:dyDescent="0.25">
      <c r="A46" s="306"/>
      <c r="B46" s="379"/>
      <c r="C46" s="347"/>
      <c r="D46" s="323"/>
      <c r="E46" s="323"/>
      <c r="F46" s="323"/>
      <c r="G46" s="323"/>
      <c r="H46" s="196"/>
      <c r="I46" s="196"/>
      <c r="J46" s="161" t="s">
        <v>411</v>
      </c>
      <c r="K46" s="162" t="s">
        <v>349</v>
      </c>
      <c r="L46" s="163" t="s">
        <v>113</v>
      </c>
      <c r="M46" s="163"/>
      <c r="N46" s="173"/>
      <c r="O46" s="105">
        <v>5</v>
      </c>
      <c r="P46" s="396"/>
    </row>
    <row r="47" spans="1:54" ht="24" x14ac:dyDescent="0.25">
      <c r="A47" s="306">
        <v>5</v>
      </c>
      <c r="B47" s="325">
        <v>1311369464</v>
      </c>
      <c r="C47" s="377" t="s">
        <v>224</v>
      </c>
      <c r="D47" s="218" t="s">
        <v>119</v>
      </c>
      <c r="E47" s="116" t="s">
        <v>111</v>
      </c>
      <c r="F47" s="116"/>
      <c r="G47" s="116" t="s">
        <v>137</v>
      </c>
      <c r="H47" s="113" t="s">
        <v>128</v>
      </c>
      <c r="I47" s="113" t="s">
        <v>138</v>
      </c>
      <c r="J47" s="189" t="s">
        <v>411</v>
      </c>
      <c r="K47" s="159" t="s">
        <v>305</v>
      </c>
      <c r="L47" s="159" t="s">
        <v>113</v>
      </c>
      <c r="M47" s="159">
        <v>5</v>
      </c>
      <c r="N47" s="159">
        <v>2</v>
      </c>
      <c r="O47" s="105">
        <f>+M47*N47</f>
        <v>10</v>
      </c>
      <c r="P47" s="324">
        <f>SUM(O47:O56)</f>
        <v>40</v>
      </c>
      <c r="Q47" s="125">
        <f>+O47+O48</f>
        <v>20</v>
      </c>
    </row>
    <row r="48" spans="1:54" ht="24" x14ac:dyDescent="0.25">
      <c r="A48" s="306"/>
      <c r="B48" s="313"/>
      <c r="C48" s="378"/>
      <c r="D48" s="140"/>
      <c r="E48" s="115"/>
      <c r="F48" s="115"/>
      <c r="G48" s="115"/>
      <c r="H48" s="112"/>
      <c r="I48" s="112"/>
      <c r="J48" s="189" t="s">
        <v>411</v>
      </c>
      <c r="K48" s="108" t="s">
        <v>254</v>
      </c>
      <c r="L48" s="108" t="s">
        <v>113</v>
      </c>
      <c r="M48" s="108">
        <v>5</v>
      </c>
      <c r="N48" s="108">
        <v>2</v>
      </c>
      <c r="O48" s="105">
        <f>+M48*N48</f>
        <v>10</v>
      </c>
      <c r="P48" s="324"/>
      <c r="Q48" s="123"/>
    </row>
    <row r="49" spans="1:20" ht="24" x14ac:dyDescent="0.25">
      <c r="A49" s="306"/>
      <c r="B49" s="326"/>
      <c r="C49" s="292"/>
      <c r="D49" s="140"/>
      <c r="E49" s="115"/>
      <c r="F49" s="115"/>
      <c r="G49" s="115"/>
      <c r="H49" s="112"/>
      <c r="I49" s="112"/>
      <c r="J49" s="111" t="s">
        <v>122</v>
      </c>
      <c r="K49" s="111" t="s">
        <v>123</v>
      </c>
      <c r="L49" s="108"/>
      <c r="M49" s="105"/>
      <c r="N49" s="207" t="s">
        <v>358</v>
      </c>
      <c r="O49" s="105">
        <v>5</v>
      </c>
      <c r="P49" s="324"/>
      <c r="Q49" s="209">
        <f>60/14</f>
        <v>4.2857142857142856</v>
      </c>
      <c r="R49" s="210">
        <f>+O49*Q49</f>
        <v>21.428571428571427</v>
      </c>
      <c r="S49" t="s">
        <v>363</v>
      </c>
    </row>
    <row r="50" spans="1:20" ht="18.75" customHeight="1" x14ac:dyDescent="0.25">
      <c r="A50" s="306"/>
      <c r="B50" s="313"/>
      <c r="C50" s="377"/>
      <c r="D50" s="140"/>
      <c r="E50" s="115"/>
      <c r="F50" s="115"/>
      <c r="G50" s="115"/>
      <c r="H50" s="112"/>
      <c r="I50" s="112"/>
      <c r="J50" s="191" t="s">
        <v>114</v>
      </c>
      <c r="K50" s="105" t="s">
        <v>116</v>
      </c>
      <c r="L50" s="105"/>
      <c r="M50" s="105"/>
      <c r="N50" s="105"/>
      <c r="O50" s="105">
        <v>4</v>
      </c>
      <c r="P50" s="324"/>
    </row>
    <row r="51" spans="1:20" ht="18.75" customHeight="1" x14ac:dyDescent="0.25">
      <c r="A51" s="306"/>
      <c r="B51" s="313"/>
      <c r="C51" s="292"/>
      <c r="D51" s="140"/>
      <c r="E51" s="115"/>
      <c r="F51" s="115"/>
      <c r="G51" s="115"/>
      <c r="H51" s="112"/>
      <c r="I51" s="112"/>
      <c r="J51" s="191" t="s">
        <v>114</v>
      </c>
      <c r="K51" s="105" t="s">
        <v>115</v>
      </c>
      <c r="L51" s="105"/>
      <c r="M51" s="105"/>
      <c r="N51" s="105"/>
      <c r="O51" s="105">
        <v>2</v>
      </c>
      <c r="P51" s="324"/>
    </row>
    <row r="52" spans="1:20" ht="18.75" customHeight="1" x14ac:dyDescent="0.25">
      <c r="A52" s="306"/>
      <c r="B52" s="313"/>
      <c r="C52" s="292"/>
      <c r="D52" s="140"/>
      <c r="E52" s="115"/>
      <c r="F52" s="115"/>
      <c r="G52" s="115"/>
      <c r="H52" s="112"/>
      <c r="I52" s="112"/>
      <c r="J52" s="191" t="s">
        <v>114</v>
      </c>
      <c r="K52" s="105" t="s">
        <v>117</v>
      </c>
      <c r="L52" s="105"/>
      <c r="M52" s="105"/>
      <c r="N52" s="105"/>
      <c r="O52" s="105">
        <v>2</v>
      </c>
      <c r="P52" s="324"/>
    </row>
    <row r="53" spans="1:20" ht="13.9" customHeight="1" x14ac:dyDescent="0.25">
      <c r="A53" s="373"/>
      <c r="B53" s="327"/>
      <c r="C53" s="378"/>
      <c r="D53" s="140"/>
      <c r="E53" s="115"/>
      <c r="F53" s="115"/>
      <c r="G53" s="115"/>
      <c r="H53" s="112"/>
      <c r="I53" s="112"/>
      <c r="J53" s="191" t="s">
        <v>114</v>
      </c>
      <c r="K53" s="105" t="s">
        <v>118</v>
      </c>
      <c r="L53" s="105"/>
      <c r="M53" s="105"/>
      <c r="N53" s="105"/>
      <c r="O53" s="105">
        <v>1</v>
      </c>
      <c r="P53" s="324"/>
    </row>
    <row r="54" spans="1:20" ht="24" x14ac:dyDescent="0.25">
      <c r="A54" s="306"/>
      <c r="B54" s="313"/>
      <c r="C54" s="292"/>
      <c r="D54" s="140"/>
      <c r="E54" s="115"/>
      <c r="F54" s="115"/>
      <c r="G54" s="115"/>
      <c r="H54" s="112"/>
      <c r="I54" s="112"/>
      <c r="J54" s="105" t="s">
        <v>112</v>
      </c>
      <c r="K54" s="144" t="s">
        <v>298</v>
      </c>
      <c r="L54" s="142" t="s">
        <v>113</v>
      </c>
      <c r="M54" s="142"/>
      <c r="N54" s="142"/>
      <c r="O54" s="105">
        <v>2</v>
      </c>
      <c r="P54" s="324"/>
    </row>
    <row r="55" spans="1:20" ht="24" x14ac:dyDescent="0.25">
      <c r="A55" s="306"/>
      <c r="B55" s="313"/>
      <c r="C55" s="292"/>
      <c r="D55" s="140"/>
      <c r="E55" s="115"/>
      <c r="F55" s="115"/>
      <c r="G55" s="115"/>
      <c r="H55" s="112"/>
      <c r="I55" s="112"/>
      <c r="J55" s="115" t="s">
        <v>411</v>
      </c>
      <c r="K55" s="144" t="s">
        <v>300</v>
      </c>
      <c r="L55" s="142" t="s">
        <v>113</v>
      </c>
      <c r="M55" s="142"/>
      <c r="N55" s="171"/>
      <c r="O55" s="105">
        <v>2</v>
      </c>
      <c r="P55" s="324"/>
    </row>
    <row r="56" spans="1:20" ht="24" x14ac:dyDescent="0.25">
      <c r="A56" s="306"/>
      <c r="B56" s="313"/>
      <c r="C56" s="292"/>
      <c r="D56" s="140"/>
      <c r="E56" s="115"/>
      <c r="F56" s="115"/>
      <c r="G56" s="115"/>
      <c r="H56" s="112"/>
      <c r="I56" s="112"/>
      <c r="J56" s="115" t="s">
        <v>411</v>
      </c>
      <c r="K56" s="144" t="s">
        <v>349</v>
      </c>
      <c r="L56" s="142" t="s">
        <v>113</v>
      </c>
      <c r="M56" s="142"/>
      <c r="N56" s="171"/>
      <c r="O56" s="105">
        <v>2</v>
      </c>
      <c r="P56" s="324"/>
    </row>
    <row r="57" spans="1:20" ht="17.25" customHeight="1" x14ac:dyDescent="0.25">
      <c r="A57" s="315">
        <v>6</v>
      </c>
      <c r="B57" s="317">
        <v>1306763218</v>
      </c>
      <c r="C57" s="291" t="s">
        <v>150</v>
      </c>
      <c r="D57" s="299" t="s">
        <v>110</v>
      </c>
      <c r="E57" s="299" t="s">
        <v>111</v>
      </c>
      <c r="F57" s="299"/>
      <c r="G57" s="299" t="s">
        <v>120</v>
      </c>
      <c r="H57" s="112" t="s">
        <v>151</v>
      </c>
      <c r="I57" s="328" t="s">
        <v>121</v>
      </c>
      <c r="J57" s="189" t="s">
        <v>411</v>
      </c>
      <c r="K57" s="108" t="s">
        <v>335</v>
      </c>
      <c r="L57" s="108" t="s">
        <v>113</v>
      </c>
      <c r="M57" s="108">
        <v>5</v>
      </c>
      <c r="N57" s="108">
        <v>1</v>
      </c>
      <c r="O57" s="105">
        <f>+M57*N57</f>
        <v>5</v>
      </c>
      <c r="P57" s="338">
        <f>SUM(O57:O65)</f>
        <v>40</v>
      </c>
      <c r="Q57" s="107">
        <f>+O57+O58</f>
        <v>15</v>
      </c>
    </row>
    <row r="58" spans="1:20" ht="17.25" customHeight="1" x14ac:dyDescent="0.25">
      <c r="A58" s="315"/>
      <c r="B58" s="317"/>
      <c r="C58" s="291"/>
      <c r="D58" s="300"/>
      <c r="E58" s="300"/>
      <c r="F58" s="300"/>
      <c r="G58" s="300"/>
      <c r="H58" s="113" t="s">
        <v>134</v>
      </c>
      <c r="I58" s="321"/>
      <c r="J58" s="189" t="s">
        <v>411</v>
      </c>
      <c r="K58" s="106" t="s">
        <v>226</v>
      </c>
      <c r="L58" s="106" t="s">
        <v>113</v>
      </c>
      <c r="M58" s="106">
        <v>5</v>
      </c>
      <c r="N58" s="106">
        <v>2</v>
      </c>
      <c r="O58" s="105">
        <f>+M58*N58</f>
        <v>10</v>
      </c>
      <c r="P58" s="338"/>
    </row>
    <row r="59" spans="1:20" ht="15" x14ac:dyDescent="0.25">
      <c r="A59" s="315"/>
      <c r="B59" s="317"/>
      <c r="C59" s="291"/>
      <c r="D59" s="300"/>
      <c r="E59" s="300"/>
      <c r="F59" s="300"/>
      <c r="G59" s="300"/>
      <c r="H59" s="113"/>
      <c r="I59" s="321"/>
      <c r="J59" s="191" t="s">
        <v>114</v>
      </c>
      <c r="K59" s="119" t="s">
        <v>116</v>
      </c>
      <c r="L59" s="105"/>
      <c r="M59" s="105"/>
      <c r="N59" s="105"/>
      <c r="O59" s="105">
        <v>3</v>
      </c>
      <c r="P59" s="338"/>
    </row>
    <row r="60" spans="1:20" ht="15" x14ac:dyDescent="0.25">
      <c r="A60" s="315"/>
      <c r="B60" s="317"/>
      <c r="C60" s="291"/>
      <c r="D60" s="300"/>
      <c r="E60" s="300"/>
      <c r="F60" s="300"/>
      <c r="G60" s="300"/>
      <c r="H60" s="113"/>
      <c r="I60" s="321"/>
      <c r="J60" s="191" t="s">
        <v>114</v>
      </c>
      <c r="K60" s="105" t="s">
        <v>117</v>
      </c>
      <c r="L60" s="105"/>
      <c r="M60" s="105"/>
      <c r="N60" s="105"/>
      <c r="O60" s="105">
        <v>2</v>
      </c>
      <c r="P60" s="338"/>
    </row>
    <row r="61" spans="1:20" ht="15" x14ac:dyDescent="0.25">
      <c r="A61" s="315"/>
      <c r="B61" s="317"/>
      <c r="C61" s="291"/>
      <c r="D61" s="300"/>
      <c r="E61" s="300"/>
      <c r="F61" s="300"/>
      <c r="G61" s="300"/>
      <c r="H61" s="113"/>
      <c r="I61" s="321"/>
      <c r="J61" s="191" t="s">
        <v>114</v>
      </c>
      <c r="K61" s="105" t="s">
        <v>115</v>
      </c>
      <c r="L61" s="105"/>
      <c r="M61" s="105"/>
      <c r="N61" s="105"/>
      <c r="O61" s="105">
        <v>2</v>
      </c>
      <c r="P61" s="338"/>
    </row>
    <row r="62" spans="1:20" ht="15" x14ac:dyDescent="0.25">
      <c r="A62" s="315"/>
      <c r="B62" s="317"/>
      <c r="C62" s="291"/>
      <c r="D62" s="300"/>
      <c r="E62" s="300"/>
      <c r="F62" s="300"/>
      <c r="G62" s="300"/>
      <c r="H62" s="114"/>
      <c r="I62" s="321"/>
      <c r="J62" s="191" t="s">
        <v>114</v>
      </c>
      <c r="K62" s="105" t="s">
        <v>118</v>
      </c>
      <c r="L62" s="105"/>
      <c r="M62" s="105"/>
      <c r="N62" s="105"/>
      <c r="O62" s="105">
        <v>1</v>
      </c>
      <c r="P62" s="338"/>
    </row>
    <row r="63" spans="1:20" ht="23.45" customHeight="1" x14ac:dyDescent="0.25">
      <c r="A63" s="315"/>
      <c r="B63" s="317"/>
      <c r="C63" s="291"/>
      <c r="D63" s="300"/>
      <c r="E63" s="300"/>
      <c r="F63" s="300"/>
      <c r="G63" s="300"/>
      <c r="H63" s="113"/>
      <c r="I63" s="321"/>
      <c r="J63" s="105" t="s">
        <v>130</v>
      </c>
      <c r="K63" s="105" t="s">
        <v>354</v>
      </c>
      <c r="L63" s="105"/>
      <c r="M63" s="105"/>
      <c r="N63" s="105"/>
      <c r="O63" s="105">
        <v>8</v>
      </c>
      <c r="P63" s="338"/>
    </row>
    <row r="64" spans="1:20" ht="23.45" customHeight="1" x14ac:dyDescent="0.25">
      <c r="A64" s="315"/>
      <c r="B64" s="317"/>
      <c r="C64" s="291"/>
      <c r="D64" s="300"/>
      <c r="E64" s="300"/>
      <c r="F64" s="300"/>
      <c r="G64" s="300"/>
      <c r="H64" s="113"/>
      <c r="I64" s="321"/>
      <c r="J64" s="105" t="s">
        <v>130</v>
      </c>
      <c r="K64" s="105" t="s">
        <v>131</v>
      </c>
      <c r="L64" s="105"/>
      <c r="M64" s="105"/>
      <c r="N64" s="105"/>
      <c r="O64" s="105">
        <v>3</v>
      </c>
      <c r="P64" s="338"/>
      <c r="Q64" s="394" t="s">
        <v>364</v>
      </c>
      <c r="R64" s="395"/>
      <c r="S64" s="395"/>
      <c r="T64" s="395"/>
    </row>
    <row r="65" spans="1:54" ht="24" x14ac:dyDescent="0.25">
      <c r="A65" s="315"/>
      <c r="B65" s="317"/>
      <c r="C65" s="291"/>
      <c r="D65" s="300"/>
      <c r="E65" s="300"/>
      <c r="F65" s="300"/>
      <c r="G65" s="300"/>
      <c r="H65" s="113"/>
      <c r="I65" s="321"/>
      <c r="J65" s="115" t="s">
        <v>411</v>
      </c>
      <c r="K65" s="144" t="s">
        <v>300</v>
      </c>
      <c r="L65" s="142" t="s">
        <v>113</v>
      </c>
      <c r="M65" s="142"/>
      <c r="N65" s="142"/>
      <c r="O65" s="105">
        <v>6</v>
      </c>
      <c r="P65" s="338"/>
    </row>
    <row r="66" spans="1:54" ht="15" x14ac:dyDescent="0.25">
      <c r="A66" s="314">
        <v>7</v>
      </c>
      <c r="B66" s="316">
        <v>1302940091</v>
      </c>
      <c r="C66" s="334" t="s">
        <v>152</v>
      </c>
      <c r="D66" s="299" t="s">
        <v>110</v>
      </c>
      <c r="E66" s="299" t="s">
        <v>111</v>
      </c>
      <c r="F66" s="299"/>
      <c r="G66" s="299" t="s">
        <v>120</v>
      </c>
      <c r="H66" s="328" t="s">
        <v>153</v>
      </c>
      <c r="I66" s="112" t="s">
        <v>154</v>
      </c>
      <c r="J66" s="189" t="s">
        <v>411</v>
      </c>
      <c r="K66" s="108" t="s">
        <v>337</v>
      </c>
      <c r="L66" s="108" t="s">
        <v>139</v>
      </c>
      <c r="M66" s="108">
        <v>4</v>
      </c>
      <c r="N66" s="108">
        <v>1</v>
      </c>
      <c r="O66" s="105">
        <f>+M66*N66</f>
        <v>4</v>
      </c>
      <c r="P66" s="339">
        <f>SUM(O66:O75)</f>
        <v>40</v>
      </c>
      <c r="Q66" s="107">
        <f>+O66+O67</f>
        <v>14</v>
      </c>
    </row>
    <row r="67" spans="1:54" ht="15" x14ac:dyDescent="0.25">
      <c r="A67" s="315"/>
      <c r="B67" s="317"/>
      <c r="C67" s="291"/>
      <c r="D67" s="300"/>
      <c r="E67" s="300"/>
      <c r="F67" s="300"/>
      <c r="G67" s="300"/>
      <c r="H67" s="321"/>
      <c r="I67" s="113"/>
      <c r="J67" s="189" t="s">
        <v>411</v>
      </c>
      <c r="K67" s="108" t="s">
        <v>338</v>
      </c>
      <c r="L67" s="108"/>
      <c r="M67" s="108">
        <v>5</v>
      </c>
      <c r="N67" s="108">
        <v>2</v>
      </c>
      <c r="O67" s="105">
        <f t="shared" ref="O67" si="2">+M67*N67</f>
        <v>10</v>
      </c>
      <c r="P67" s="338"/>
    </row>
    <row r="68" spans="1:54" ht="15" x14ac:dyDescent="0.25">
      <c r="A68" s="315"/>
      <c r="B68" s="317"/>
      <c r="C68" s="291"/>
      <c r="D68" s="300"/>
      <c r="E68" s="300"/>
      <c r="F68" s="300"/>
      <c r="G68" s="300"/>
      <c r="H68" s="321"/>
      <c r="I68" s="113"/>
      <c r="J68" s="191" t="s">
        <v>114</v>
      </c>
      <c r="K68" s="119" t="s">
        <v>116</v>
      </c>
      <c r="L68" s="105"/>
      <c r="M68" s="105"/>
      <c r="N68" s="105"/>
      <c r="O68" s="105">
        <v>3</v>
      </c>
      <c r="P68" s="338"/>
    </row>
    <row r="69" spans="1:54" ht="15" x14ac:dyDescent="0.25">
      <c r="A69" s="315"/>
      <c r="B69" s="317"/>
      <c r="C69" s="291"/>
      <c r="D69" s="300"/>
      <c r="E69" s="300"/>
      <c r="F69" s="300"/>
      <c r="G69" s="300"/>
      <c r="H69" s="321"/>
      <c r="I69" s="113"/>
      <c r="J69" s="191" t="s">
        <v>114</v>
      </c>
      <c r="K69" s="105" t="s">
        <v>115</v>
      </c>
      <c r="L69" s="105"/>
      <c r="M69" s="105"/>
      <c r="N69" s="105"/>
      <c r="O69" s="105">
        <v>2</v>
      </c>
      <c r="P69" s="338"/>
    </row>
    <row r="70" spans="1:54" ht="15" x14ac:dyDescent="0.25">
      <c r="A70" s="315"/>
      <c r="B70" s="317"/>
      <c r="C70" s="291"/>
      <c r="D70" s="300"/>
      <c r="E70" s="300"/>
      <c r="F70" s="300"/>
      <c r="G70" s="300"/>
      <c r="H70" s="321"/>
      <c r="I70" s="113"/>
      <c r="J70" s="191" t="s">
        <v>114</v>
      </c>
      <c r="K70" s="105" t="s">
        <v>117</v>
      </c>
      <c r="L70" s="105"/>
      <c r="M70" s="105"/>
      <c r="N70" s="105"/>
      <c r="O70" s="105">
        <v>2</v>
      </c>
      <c r="P70" s="338"/>
    </row>
    <row r="71" spans="1:54" ht="15" x14ac:dyDescent="0.25">
      <c r="A71" s="315"/>
      <c r="B71" s="317"/>
      <c r="C71" s="291"/>
      <c r="D71" s="300"/>
      <c r="E71" s="300"/>
      <c r="F71" s="300"/>
      <c r="G71" s="300"/>
      <c r="H71" s="321"/>
      <c r="I71" s="113"/>
      <c r="J71" s="191" t="s">
        <v>114</v>
      </c>
      <c r="K71" s="105" t="s">
        <v>118</v>
      </c>
      <c r="L71" s="105"/>
      <c r="M71" s="105"/>
      <c r="N71" s="105"/>
      <c r="O71" s="105">
        <v>1</v>
      </c>
      <c r="P71" s="338"/>
    </row>
    <row r="72" spans="1:54" ht="15" x14ac:dyDescent="0.25">
      <c r="A72" s="315"/>
      <c r="B72" s="317"/>
      <c r="C72" s="291"/>
      <c r="D72" s="300"/>
      <c r="E72" s="300"/>
      <c r="F72" s="300"/>
      <c r="G72" s="300"/>
      <c r="H72" s="321"/>
      <c r="I72" s="114"/>
      <c r="J72" s="105" t="s">
        <v>143</v>
      </c>
      <c r="K72" s="105" t="s">
        <v>144</v>
      </c>
      <c r="L72" s="105"/>
      <c r="M72" s="105"/>
      <c r="N72" s="105"/>
      <c r="O72" s="105">
        <v>8</v>
      </c>
      <c r="P72" s="338"/>
    </row>
    <row r="73" spans="1:54" ht="24" x14ac:dyDescent="0.25">
      <c r="A73" s="315"/>
      <c r="B73" s="341"/>
      <c r="C73" s="292"/>
      <c r="D73" s="337"/>
      <c r="E73" s="300"/>
      <c r="F73" s="300"/>
      <c r="G73" s="300"/>
      <c r="H73" s="321"/>
      <c r="I73" s="113"/>
      <c r="J73" s="111" t="s">
        <v>122</v>
      </c>
      <c r="K73" s="111" t="s">
        <v>123</v>
      </c>
      <c r="L73" s="105"/>
      <c r="M73" s="105"/>
      <c r="N73" s="207" t="s">
        <v>359</v>
      </c>
      <c r="O73" s="105">
        <v>4</v>
      </c>
      <c r="P73" s="338"/>
      <c r="Q73" s="209">
        <f>60/14</f>
        <v>4.2857142857142856</v>
      </c>
      <c r="R73" s="210">
        <f>+O73*Q73</f>
        <v>17.142857142857142</v>
      </c>
      <c r="S73" t="s">
        <v>363</v>
      </c>
    </row>
    <row r="74" spans="1:54" ht="24" x14ac:dyDescent="0.25">
      <c r="A74" s="315"/>
      <c r="B74" s="317"/>
      <c r="C74" s="291"/>
      <c r="D74" s="300"/>
      <c r="E74" s="300"/>
      <c r="F74" s="300"/>
      <c r="G74" s="300"/>
      <c r="H74" s="321"/>
      <c r="I74" s="113"/>
      <c r="J74" s="105" t="s">
        <v>112</v>
      </c>
      <c r="K74" s="144" t="s">
        <v>298</v>
      </c>
      <c r="L74" s="142" t="s">
        <v>139</v>
      </c>
      <c r="M74" s="142"/>
      <c r="N74" s="142"/>
      <c r="O74" s="105">
        <v>2</v>
      </c>
      <c r="P74" s="338"/>
      <c r="Q74" s="394"/>
      <c r="R74" s="395"/>
      <c r="S74" s="395"/>
      <c r="T74" s="395"/>
      <c r="U74" s="395"/>
      <c r="V74" s="395"/>
      <c r="W74" s="395"/>
      <c r="X74" s="395"/>
      <c r="Y74" s="395"/>
      <c r="Z74" s="395"/>
      <c r="AA74" s="395"/>
      <c r="AB74" s="395"/>
      <c r="AC74" s="395"/>
      <c r="AD74" s="395"/>
      <c r="AE74" s="395"/>
      <c r="AF74" s="395"/>
      <c r="AG74" s="395"/>
      <c r="AH74" s="395"/>
      <c r="AI74" s="395"/>
      <c r="AJ74" s="395"/>
      <c r="AK74" s="395"/>
      <c r="AL74" s="395"/>
      <c r="AM74" s="395"/>
      <c r="AN74" s="395"/>
      <c r="AO74" s="395"/>
      <c r="AP74" s="395"/>
      <c r="AQ74" s="395"/>
      <c r="AR74" s="395"/>
      <c r="AS74" s="395"/>
      <c r="AT74" s="395"/>
      <c r="AU74" s="395"/>
      <c r="AV74" s="395"/>
      <c r="AW74" s="395"/>
      <c r="AX74" s="395"/>
      <c r="AY74" s="395"/>
      <c r="AZ74" s="395"/>
      <c r="BA74" s="395"/>
      <c r="BB74" s="395"/>
    </row>
    <row r="75" spans="1:54" ht="15" x14ac:dyDescent="0.25">
      <c r="A75" s="315"/>
      <c r="B75" s="317"/>
      <c r="C75" s="291"/>
      <c r="D75" s="300"/>
      <c r="E75" s="300"/>
      <c r="F75" s="300"/>
      <c r="G75" s="300"/>
      <c r="H75" s="321"/>
      <c r="I75" s="113"/>
      <c r="J75" s="115" t="s">
        <v>411</v>
      </c>
      <c r="K75" s="144" t="s">
        <v>349</v>
      </c>
      <c r="L75" s="142" t="s">
        <v>139</v>
      </c>
      <c r="M75" s="142"/>
      <c r="N75" s="171"/>
      <c r="O75" s="105">
        <v>4</v>
      </c>
      <c r="P75" s="338"/>
    </row>
    <row r="76" spans="1:54" ht="16.5" customHeight="1" x14ac:dyDescent="0.25">
      <c r="A76" s="314">
        <v>8</v>
      </c>
      <c r="B76" s="316">
        <v>1311498222</v>
      </c>
      <c r="C76" s="334" t="s">
        <v>155</v>
      </c>
      <c r="D76" s="299" t="s">
        <v>119</v>
      </c>
      <c r="E76" s="299" t="s">
        <v>111</v>
      </c>
      <c r="F76" s="299"/>
      <c r="G76" s="299" t="s">
        <v>133</v>
      </c>
      <c r="H76" s="328" t="s">
        <v>140</v>
      </c>
      <c r="I76" s="328" t="s">
        <v>127</v>
      </c>
      <c r="J76" s="189" t="s">
        <v>411</v>
      </c>
      <c r="K76" s="106" t="s">
        <v>307</v>
      </c>
      <c r="L76" s="106"/>
      <c r="M76" s="106">
        <v>5</v>
      </c>
      <c r="N76" s="106">
        <v>2</v>
      </c>
      <c r="O76" s="105">
        <f>+M76*N76</f>
        <v>10</v>
      </c>
      <c r="P76" s="339">
        <f>SUM(O76:O85)</f>
        <v>40</v>
      </c>
      <c r="Q76" s="107">
        <f>+O76+O77+O78</f>
        <v>20</v>
      </c>
    </row>
    <row r="77" spans="1:54" ht="15" x14ac:dyDescent="0.25">
      <c r="A77" s="315"/>
      <c r="B77" s="317"/>
      <c r="C77" s="291"/>
      <c r="D77" s="300"/>
      <c r="E77" s="300"/>
      <c r="F77" s="300"/>
      <c r="G77" s="300"/>
      <c r="H77" s="321"/>
      <c r="I77" s="321"/>
      <c r="J77" s="189" t="s">
        <v>112</v>
      </c>
      <c r="K77" s="106" t="s">
        <v>257</v>
      </c>
      <c r="L77" s="106"/>
      <c r="M77" s="106">
        <v>3</v>
      </c>
      <c r="N77" s="106">
        <v>2</v>
      </c>
      <c r="O77" s="105">
        <f>+M77*N77</f>
        <v>6</v>
      </c>
      <c r="P77" s="338"/>
    </row>
    <row r="78" spans="1:54" ht="15" x14ac:dyDescent="0.25">
      <c r="A78" s="315"/>
      <c r="B78" s="317"/>
      <c r="C78" s="291"/>
      <c r="D78" s="300"/>
      <c r="E78" s="300"/>
      <c r="F78" s="300"/>
      <c r="G78" s="300"/>
      <c r="H78" s="321"/>
      <c r="I78" s="321"/>
      <c r="J78" s="189" t="s">
        <v>411</v>
      </c>
      <c r="K78" s="106" t="s">
        <v>297</v>
      </c>
      <c r="L78" s="106"/>
      <c r="M78" s="106">
        <v>4</v>
      </c>
      <c r="N78" s="106">
        <v>1</v>
      </c>
      <c r="O78" s="105">
        <f>+M78*N78</f>
        <v>4</v>
      </c>
      <c r="P78" s="338"/>
    </row>
    <row r="79" spans="1:54" ht="15" x14ac:dyDescent="0.25">
      <c r="A79" s="315"/>
      <c r="B79" s="317"/>
      <c r="C79" s="291"/>
      <c r="D79" s="300"/>
      <c r="E79" s="300"/>
      <c r="F79" s="300"/>
      <c r="G79" s="300"/>
      <c r="H79" s="321"/>
      <c r="I79" s="321"/>
      <c r="J79" s="191" t="s">
        <v>114</v>
      </c>
      <c r="K79" s="119" t="s">
        <v>116</v>
      </c>
      <c r="L79" s="105"/>
      <c r="M79" s="105"/>
      <c r="N79" s="105"/>
      <c r="O79" s="105">
        <v>5</v>
      </c>
      <c r="P79" s="338"/>
    </row>
    <row r="80" spans="1:54" ht="15" x14ac:dyDescent="0.25">
      <c r="A80" s="315"/>
      <c r="B80" s="317"/>
      <c r="C80" s="291"/>
      <c r="D80" s="300"/>
      <c r="E80" s="300"/>
      <c r="F80" s="300"/>
      <c r="G80" s="300"/>
      <c r="H80" s="321"/>
      <c r="I80" s="321"/>
      <c r="J80" s="191" t="s">
        <v>114</v>
      </c>
      <c r="K80" s="105" t="s">
        <v>117</v>
      </c>
      <c r="L80" s="105"/>
      <c r="M80" s="105"/>
      <c r="N80" s="105"/>
      <c r="O80" s="105">
        <v>3</v>
      </c>
      <c r="P80" s="338"/>
    </row>
    <row r="81" spans="1:20" ht="15" x14ac:dyDescent="0.25">
      <c r="A81" s="315"/>
      <c r="B81" s="317"/>
      <c r="C81" s="291"/>
      <c r="D81" s="300"/>
      <c r="E81" s="300"/>
      <c r="F81" s="300"/>
      <c r="G81" s="300"/>
      <c r="H81" s="321"/>
      <c r="I81" s="321"/>
      <c r="J81" s="191" t="s">
        <v>114</v>
      </c>
      <c r="K81" s="105" t="s">
        <v>115</v>
      </c>
      <c r="L81" s="105"/>
      <c r="M81" s="105"/>
      <c r="N81" s="105"/>
      <c r="O81" s="105">
        <v>3</v>
      </c>
      <c r="P81" s="338"/>
    </row>
    <row r="82" spans="1:20" ht="15" x14ac:dyDescent="0.25">
      <c r="A82" s="315"/>
      <c r="B82" s="317"/>
      <c r="C82" s="291"/>
      <c r="D82" s="300"/>
      <c r="E82" s="300"/>
      <c r="F82" s="300"/>
      <c r="G82" s="300"/>
      <c r="H82" s="321"/>
      <c r="I82" s="321"/>
      <c r="J82" s="191" t="s">
        <v>114</v>
      </c>
      <c r="K82" s="105" t="s">
        <v>118</v>
      </c>
      <c r="L82" s="105"/>
      <c r="M82" s="105"/>
      <c r="N82" s="105"/>
      <c r="O82" s="105">
        <v>1</v>
      </c>
      <c r="P82" s="338"/>
    </row>
    <row r="83" spans="1:20" ht="15" x14ac:dyDescent="0.25">
      <c r="A83" s="329"/>
      <c r="B83" s="332"/>
      <c r="C83" s="335"/>
      <c r="D83" s="337"/>
      <c r="E83" s="300"/>
      <c r="F83" s="300"/>
      <c r="G83" s="300"/>
      <c r="H83" s="321"/>
      <c r="I83" s="321"/>
      <c r="J83" s="105" t="s">
        <v>114</v>
      </c>
      <c r="K83" s="105" t="s">
        <v>353</v>
      </c>
      <c r="L83" s="111"/>
      <c r="M83" s="105"/>
      <c r="N83" s="105"/>
      <c r="O83" s="105">
        <v>2</v>
      </c>
      <c r="P83" s="338"/>
      <c r="Q83" s="176"/>
    </row>
    <row r="84" spans="1:20" ht="24" x14ac:dyDescent="0.25">
      <c r="A84" s="330"/>
      <c r="B84" s="317"/>
      <c r="C84" s="293"/>
      <c r="D84" s="337"/>
      <c r="E84" s="300"/>
      <c r="F84" s="300"/>
      <c r="G84" s="300"/>
      <c r="H84" s="321"/>
      <c r="I84" s="321"/>
      <c r="J84" s="115" t="s">
        <v>112</v>
      </c>
      <c r="K84" s="144" t="s">
        <v>298</v>
      </c>
      <c r="L84" s="142" t="s">
        <v>139</v>
      </c>
      <c r="M84" s="142"/>
      <c r="N84" s="142"/>
      <c r="O84" s="105">
        <v>1</v>
      </c>
      <c r="P84" s="338"/>
      <c r="Q84" s="176"/>
    </row>
    <row r="85" spans="1:20" ht="15" x14ac:dyDescent="0.25">
      <c r="A85" s="331"/>
      <c r="B85" s="333"/>
      <c r="C85" s="336"/>
      <c r="D85" s="398"/>
      <c r="E85" s="398"/>
      <c r="F85" s="398"/>
      <c r="G85" s="398"/>
      <c r="H85" s="397"/>
      <c r="I85" s="402"/>
      <c r="J85" s="161" t="s">
        <v>411</v>
      </c>
      <c r="K85" s="238" t="s">
        <v>300</v>
      </c>
      <c r="L85" s="142" t="s">
        <v>139</v>
      </c>
      <c r="M85" s="142"/>
      <c r="N85" s="142"/>
      <c r="O85" s="105">
        <v>5</v>
      </c>
      <c r="P85" s="340"/>
    </row>
    <row r="86" spans="1:20" ht="15" customHeight="1" x14ac:dyDescent="0.25">
      <c r="A86" s="314">
        <v>9</v>
      </c>
      <c r="B86" s="316">
        <v>1310419138</v>
      </c>
      <c r="C86" s="334" t="s">
        <v>157</v>
      </c>
      <c r="D86" s="299" t="s">
        <v>110</v>
      </c>
      <c r="E86" s="299" t="s">
        <v>111</v>
      </c>
      <c r="F86" s="299"/>
      <c r="G86" s="299" t="s">
        <v>158</v>
      </c>
      <c r="H86" s="328" t="s">
        <v>159</v>
      </c>
      <c r="I86" s="401" t="s">
        <v>160</v>
      </c>
      <c r="J86" s="197" t="s">
        <v>112</v>
      </c>
      <c r="K86" s="239" t="s">
        <v>355</v>
      </c>
      <c r="L86" s="106" t="s">
        <v>113</v>
      </c>
      <c r="M86" s="106">
        <v>4</v>
      </c>
      <c r="N86" s="106">
        <v>2</v>
      </c>
      <c r="O86" s="105">
        <f>+M86*N86</f>
        <v>8</v>
      </c>
      <c r="P86" s="339">
        <f>SUM(O86:O94)</f>
        <v>40</v>
      </c>
      <c r="Q86" s="107">
        <f>+O86+O87</f>
        <v>18</v>
      </c>
    </row>
    <row r="87" spans="1:20" ht="15" customHeight="1" x14ac:dyDescent="0.25">
      <c r="A87" s="315"/>
      <c r="B87" s="317"/>
      <c r="C87" s="291"/>
      <c r="D87" s="300"/>
      <c r="E87" s="300"/>
      <c r="F87" s="300"/>
      <c r="G87" s="300"/>
      <c r="H87" s="321"/>
      <c r="I87" s="321"/>
      <c r="J87" s="189" t="s">
        <v>411</v>
      </c>
      <c r="K87" s="106" t="s">
        <v>339</v>
      </c>
      <c r="L87" s="106" t="s">
        <v>113</v>
      </c>
      <c r="M87" s="106">
        <v>5</v>
      </c>
      <c r="N87" s="106">
        <v>2</v>
      </c>
      <c r="O87" s="105">
        <f>+M87*N87</f>
        <v>10</v>
      </c>
      <c r="P87" s="338"/>
    </row>
    <row r="88" spans="1:20" ht="15" x14ac:dyDescent="0.25">
      <c r="A88" s="315"/>
      <c r="B88" s="317"/>
      <c r="C88" s="291"/>
      <c r="D88" s="300"/>
      <c r="E88" s="300"/>
      <c r="F88" s="300"/>
      <c r="G88" s="300"/>
      <c r="H88" s="321"/>
      <c r="I88" s="321"/>
      <c r="J88" s="191" t="s">
        <v>114</v>
      </c>
      <c r="K88" s="105" t="s">
        <v>116</v>
      </c>
      <c r="L88" s="105"/>
      <c r="M88" s="105"/>
      <c r="N88" s="105"/>
      <c r="O88" s="105">
        <v>4</v>
      </c>
      <c r="P88" s="338"/>
    </row>
    <row r="89" spans="1:20" ht="15" x14ac:dyDescent="0.25">
      <c r="A89" s="315"/>
      <c r="B89" s="317"/>
      <c r="C89" s="291"/>
      <c r="D89" s="300"/>
      <c r="E89" s="300"/>
      <c r="F89" s="300"/>
      <c r="G89" s="300"/>
      <c r="H89" s="321"/>
      <c r="I89" s="321"/>
      <c r="J89" s="191" t="s">
        <v>114</v>
      </c>
      <c r="K89" s="105" t="s">
        <v>117</v>
      </c>
      <c r="L89" s="105"/>
      <c r="M89" s="105"/>
      <c r="N89" s="105"/>
      <c r="O89" s="105">
        <v>2</v>
      </c>
      <c r="P89" s="338"/>
    </row>
    <row r="90" spans="1:20" ht="15" x14ac:dyDescent="0.25">
      <c r="A90" s="315"/>
      <c r="B90" s="317"/>
      <c r="C90" s="291"/>
      <c r="D90" s="300"/>
      <c r="E90" s="300"/>
      <c r="F90" s="300"/>
      <c r="G90" s="300"/>
      <c r="H90" s="321"/>
      <c r="I90" s="321"/>
      <c r="J90" s="191" t="s">
        <v>114</v>
      </c>
      <c r="K90" s="105" t="s">
        <v>115</v>
      </c>
      <c r="L90" s="105"/>
      <c r="M90" s="105"/>
      <c r="N90" s="105"/>
      <c r="O90" s="105">
        <v>2</v>
      </c>
      <c r="P90" s="338"/>
    </row>
    <row r="91" spans="1:20" ht="15" x14ac:dyDescent="0.25">
      <c r="A91" s="315"/>
      <c r="B91" s="317"/>
      <c r="C91" s="291"/>
      <c r="D91" s="300"/>
      <c r="E91" s="300"/>
      <c r="F91" s="300"/>
      <c r="G91" s="300"/>
      <c r="H91" s="321"/>
      <c r="I91" s="321"/>
      <c r="J91" s="191" t="s">
        <v>114</v>
      </c>
      <c r="K91" s="105" t="s">
        <v>118</v>
      </c>
      <c r="L91" s="105"/>
      <c r="M91" s="105"/>
      <c r="N91" s="105"/>
      <c r="O91" s="105">
        <v>1</v>
      </c>
      <c r="P91" s="338"/>
    </row>
    <row r="92" spans="1:20" ht="22.15" customHeight="1" x14ac:dyDescent="0.25">
      <c r="A92" s="315"/>
      <c r="B92" s="317"/>
      <c r="C92" s="291"/>
      <c r="D92" s="300"/>
      <c r="E92" s="300"/>
      <c r="F92" s="300"/>
      <c r="G92" s="300"/>
      <c r="H92" s="321"/>
      <c r="I92" s="321"/>
      <c r="J92" s="105" t="s">
        <v>130</v>
      </c>
      <c r="K92" s="119" t="s">
        <v>131</v>
      </c>
      <c r="L92" s="105"/>
      <c r="M92" s="105"/>
      <c r="N92" s="105"/>
      <c r="O92" s="105">
        <v>7</v>
      </c>
      <c r="P92" s="338"/>
      <c r="Q92" s="394" t="s">
        <v>364</v>
      </c>
      <c r="R92" s="395"/>
      <c r="S92" s="395"/>
      <c r="T92" s="395"/>
    </row>
    <row r="93" spans="1:20" ht="22.15" customHeight="1" x14ac:dyDescent="0.25">
      <c r="A93" s="315"/>
      <c r="B93" s="317"/>
      <c r="C93" s="291"/>
      <c r="D93" s="300"/>
      <c r="E93" s="300"/>
      <c r="F93" s="300"/>
      <c r="G93" s="300"/>
      <c r="H93" s="321"/>
      <c r="I93" s="321"/>
      <c r="J93" s="105"/>
      <c r="K93" s="144" t="s">
        <v>300</v>
      </c>
      <c r="L93" s="142"/>
      <c r="M93" s="142"/>
      <c r="N93" s="142"/>
      <c r="O93" s="105">
        <v>1</v>
      </c>
      <c r="P93" s="338"/>
      <c r="Q93" s="201"/>
      <c r="R93" s="201"/>
      <c r="S93" s="201"/>
      <c r="T93" s="201"/>
    </row>
    <row r="94" spans="1:20" ht="24" x14ac:dyDescent="0.25">
      <c r="A94" s="315"/>
      <c r="B94" s="317"/>
      <c r="C94" s="291"/>
      <c r="D94" s="300"/>
      <c r="E94" s="300"/>
      <c r="F94" s="300"/>
      <c r="G94" s="300"/>
      <c r="H94" s="321"/>
      <c r="I94" s="321"/>
      <c r="J94" s="105" t="s">
        <v>112</v>
      </c>
      <c r="K94" s="144" t="s">
        <v>298</v>
      </c>
      <c r="L94" s="142" t="s">
        <v>113</v>
      </c>
      <c r="M94" s="142"/>
      <c r="N94" s="142"/>
      <c r="O94" s="105">
        <v>5</v>
      </c>
      <c r="P94" s="338"/>
    </row>
    <row r="95" spans="1:20" ht="24" x14ac:dyDescent="0.25">
      <c r="A95" s="314">
        <v>10</v>
      </c>
      <c r="B95" s="342" t="s">
        <v>161</v>
      </c>
      <c r="C95" s="345" t="s">
        <v>162</v>
      </c>
      <c r="D95" s="299" t="s">
        <v>110</v>
      </c>
      <c r="E95" s="299" t="s">
        <v>111</v>
      </c>
      <c r="F95" s="299"/>
      <c r="G95" s="299" t="s">
        <v>125</v>
      </c>
      <c r="H95" s="328" t="s">
        <v>163</v>
      </c>
      <c r="I95" s="112" t="s">
        <v>164</v>
      </c>
      <c r="J95" s="189" t="s">
        <v>411</v>
      </c>
      <c r="K95" s="108" t="s">
        <v>301</v>
      </c>
      <c r="L95" s="108" t="s">
        <v>113</v>
      </c>
      <c r="M95" s="108">
        <v>5</v>
      </c>
      <c r="N95" s="108">
        <v>2</v>
      </c>
      <c r="O95" s="105">
        <f>+M95*N95</f>
        <v>10</v>
      </c>
      <c r="P95" s="339">
        <f>SUM(O95:O104)</f>
        <v>40</v>
      </c>
      <c r="Q95" s="107">
        <f>+O95+O96</f>
        <v>20</v>
      </c>
    </row>
    <row r="96" spans="1:20" ht="15" x14ac:dyDescent="0.25">
      <c r="A96" s="315"/>
      <c r="B96" s="343"/>
      <c r="C96" s="346"/>
      <c r="D96" s="300"/>
      <c r="E96" s="300"/>
      <c r="F96" s="300"/>
      <c r="G96" s="300"/>
      <c r="H96" s="321"/>
      <c r="I96" s="113"/>
      <c r="J96" s="189" t="s">
        <v>411</v>
      </c>
      <c r="K96" s="108" t="s">
        <v>228</v>
      </c>
      <c r="L96" s="108"/>
      <c r="M96" s="108">
        <v>5</v>
      </c>
      <c r="N96" s="108">
        <v>2</v>
      </c>
      <c r="O96" s="105">
        <f>+M96*N96</f>
        <v>10</v>
      </c>
      <c r="P96" s="338"/>
      <c r="Q96" s="123"/>
    </row>
    <row r="97" spans="1:19" ht="15" x14ac:dyDescent="0.25">
      <c r="A97" s="315"/>
      <c r="B97" s="343"/>
      <c r="C97" s="346"/>
      <c r="D97" s="300"/>
      <c r="E97" s="300"/>
      <c r="F97" s="300"/>
      <c r="G97" s="300"/>
      <c r="H97" s="321"/>
      <c r="I97" s="113"/>
      <c r="J97" s="191" t="s">
        <v>114</v>
      </c>
      <c r="K97" s="105" t="s">
        <v>116</v>
      </c>
      <c r="L97" s="105"/>
      <c r="M97" s="105"/>
      <c r="N97" s="105"/>
      <c r="O97" s="105">
        <v>4</v>
      </c>
      <c r="P97" s="338"/>
    </row>
    <row r="98" spans="1:19" ht="15" x14ac:dyDescent="0.25">
      <c r="A98" s="315"/>
      <c r="B98" s="343"/>
      <c r="C98" s="346"/>
      <c r="D98" s="300"/>
      <c r="E98" s="300"/>
      <c r="F98" s="300"/>
      <c r="G98" s="300"/>
      <c r="H98" s="321"/>
      <c r="I98" s="113"/>
      <c r="J98" s="191" t="s">
        <v>114</v>
      </c>
      <c r="K98" s="105" t="s">
        <v>117</v>
      </c>
      <c r="L98" s="105"/>
      <c r="M98" s="105"/>
      <c r="N98" s="105"/>
      <c r="O98" s="105">
        <v>2</v>
      </c>
      <c r="P98" s="338"/>
    </row>
    <row r="99" spans="1:19" ht="15" x14ac:dyDescent="0.25">
      <c r="A99" s="315"/>
      <c r="B99" s="343"/>
      <c r="C99" s="346"/>
      <c r="D99" s="300"/>
      <c r="E99" s="300"/>
      <c r="F99" s="300"/>
      <c r="G99" s="300"/>
      <c r="H99" s="321"/>
      <c r="I99" s="113"/>
      <c r="J99" s="191" t="s">
        <v>114</v>
      </c>
      <c r="K99" s="105" t="s">
        <v>115</v>
      </c>
      <c r="L99" s="105"/>
      <c r="M99" s="105"/>
      <c r="N99" s="105"/>
      <c r="O99" s="105">
        <v>2</v>
      </c>
      <c r="P99" s="338"/>
    </row>
    <row r="100" spans="1:19" ht="15" x14ac:dyDescent="0.25">
      <c r="A100" s="315"/>
      <c r="B100" s="343"/>
      <c r="C100" s="346"/>
      <c r="D100" s="300"/>
      <c r="E100" s="300"/>
      <c r="F100" s="300"/>
      <c r="G100" s="300"/>
      <c r="H100" s="321"/>
      <c r="I100" s="114"/>
      <c r="J100" s="191" t="s">
        <v>114</v>
      </c>
      <c r="K100" s="105" t="s">
        <v>118</v>
      </c>
      <c r="L100" s="105"/>
      <c r="M100" s="105"/>
      <c r="N100" s="105"/>
      <c r="O100" s="105">
        <v>1</v>
      </c>
      <c r="P100" s="338"/>
    </row>
    <row r="101" spans="1:19" ht="24" x14ac:dyDescent="0.25">
      <c r="A101" s="315"/>
      <c r="B101" s="344"/>
      <c r="C101" s="347"/>
      <c r="D101" s="337"/>
      <c r="E101" s="300"/>
      <c r="F101" s="300"/>
      <c r="G101" s="300"/>
      <c r="H101" s="321"/>
      <c r="I101" s="113"/>
      <c r="J101" s="111" t="s">
        <v>122</v>
      </c>
      <c r="K101" s="111" t="s">
        <v>123</v>
      </c>
      <c r="L101" s="105"/>
      <c r="M101" s="105"/>
      <c r="N101" s="207" t="s">
        <v>360</v>
      </c>
      <c r="O101" s="105">
        <v>5</v>
      </c>
      <c r="P101" s="338"/>
      <c r="Q101" s="209">
        <f>60/14</f>
        <v>4.2857142857142856</v>
      </c>
      <c r="R101" s="210">
        <f>+O101*Q101</f>
        <v>21.428571428571427</v>
      </c>
      <c r="S101" t="s">
        <v>363</v>
      </c>
    </row>
    <row r="102" spans="1:19" ht="24" x14ac:dyDescent="0.25">
      <c r="A102" s="315"/>
      <c r="B102" s="343"/>
      <c r="C102" s="348"/>
      <c r="D102" s="300"/>
      <c r="E102" s="300"/>
      <c r="F102" s="300"/>
      <c r="G102" s="300"/>
      <c r="H102" s="321"/>
      <c r="I102" s="113"/>
      <c r="J102" s="105" t="s">
        <v>112</v>
      </c>
      <c r="K102" s="144" t="s">
        <v>298</v>
      </c>
      <c r="L102" s="105"/>
      <c r="M102" s="142"/>
      <c r="N102" s="142"/>
      <c r="O102" s="105">
        <v>1</v>
      </c>
      <c r="P102" s="338"/>
    </row>
    <row r="103" spans="1:19" ht="24" x14ac:dyDescent="0.25">
      <c r="A103" s="315"/>
      <c r="B103" s="343"/>
      <c r="C103" s="348"/>
      <c r="D103" s="300"/>
      <c r="E103" s="300"/>
      <c r="F103" s="300"/>
      <c r="G103" s="300"/>
      <c r="H103" s="321"/>
      <c r="I103" s="113"/>
      <c r="J103" s="115" t="s">
        <v>411</v>
      </c>
      <c r="K103" s="144" t="s">
        <v>300</v>
      </c>
      <c r="L103" s="142" t="s">
        <v>113</v>
      </c>
      <c r="M103" s="142"/>
      <c r="N103" s="171"/>
      <c r="O103" s="105">
        <v>4</v>
      </c>
      <c r="P103" s="338"/>
    </row>
    <row r="104" spans="1:19" ht="24" x14ac:dyDescent="0.25">
      <c r="A104" s="315"/>
      <c r="B104" s="343"/>
      <c r="C104" s="348"/>
      <c r="D104" s="300"/>
      <c r="E104" s="300"/>
      <c r="F104" s="300"/>
      <c r="G104" s="300"/>
      <c r="H104" s="321"/>
      <c r="I104" s="113"/>
      <c r="J104" s="115" t="s">
        <v>411</v>
      </c>
      <c r="K104" s="144" t="s">
        <v>349</v>
      </c>
      <c r="L104" s="142" t="s">
        <v>113</v>
      </c>
      <c r="M104" s="142"/>
      <c r="N104" s="171"/>
      <c r="O104" s="105">
        <v>1</v>
      </c>
      <c r="P104" s="338"/>
    </row>
    <row r="105" spans="1:19" ht="24" x14ac:dyDescent="0.25">
      <c r="A105" s="314">
        <v>11</v>
      </c>
      <c r="B105" s="316">
        <v>1312875279</v>
      </c>
      <c r="C105" s="345" t="s">
        <v>165</v>
      </c>
      <c r="D105" s="299" t="s">
        <v>110</v>
      </c>
      <c r="E105" s="299" t="s">
        <v>111</v>
      </c>
      <c r="F105" s="299"/>
      <c r="G105" s="299" t="s">
        <v>166</v>
      </c>
      <c r="H105" s="328" t="s">
        <v>153</v>
      </c>
      <c r="I105" s="328" t="s">
        <v>167</v>
      </c>
      <c r="J105" s="189" t="s">
        <v>411</v>
      </c>
      <c r="K105" s="108" t="s">
        <v>302</v>
      </c>
      <c r="L105" s="108" t="s">
        <v>113</v>
      </c>
      <c r="M105" s="108">
        <v>4</v>
      </c>
      <c r="N105" s="108">
        <v>2</v>
      </c>
      <c r="O105" s="105">
        <f>+M105*N105</f>
        <v>8</v>
      </c>
      <c r="P105" s="339">
        <f>SUM(O105:O113)</f>
        <v>40</v>
      </c>
      <c r="Q105" s="107">
        <f>+O105+O106+O107</f>
        <v>16</v>
      </c>
      <c r="R105" t="s">
        <v>347</v>
      </c>
    </row>
    <row r="106" spans="1:19" ht="24" x14ac:dyDescent="0.25">
      <c r="A106" s="315"/>
      <c r="B106" s="317"/>
      <c r="C106" s="346"/>
      <c r="D106" s="300"/>
      <c r="E106" s="300"/>
      <c r="F106" s="300"/>
      <c r="G106" s="300"/>
      <c r="H106" s="321"/>
      <c r="I106" s="321"/>
      <c r="J106" s="192" t="s">
        <v>341</v>
      </c>
      <c r="K106" s="108" t="s">
        <v>374</v>
      </c>
      <c r="L106" s="108" t="s">
        <v>113</v>
      </c>
      <c r="M106" s="108">
        <v>4</v>
      </c>
      <c r="N106" s="108">
        <v>1</v>
      </c>
      <c r="O106" s="105">
        <f>+M106*N106</f>
        <v>4</v>
      </c>
      <c r="P106" s="338"/>
    </row>
    <row r="107" spans="1:19" ht="24" x14ac:dyDescent="0.25">
      <c r="A107" s="315"/>
      <c r="B107" s="317"/>
      <c r="C107" s="346"/>
      <c r="D107" s="300"/>
      <c r="E107" s="300"/>
      <c r="F107" s="300"/>
      <c r="G107" s="300"/>
      <c r="H107" s="321"/>
      <c r="I107" s="321"/>
      <c r="J107" s="192" t="s">
        <v>341</v>
      </c>
      <c r="K107" s="108" t="s">
        <v>375</v>
      </c>
      <c r="L107" s="108" t="s">
        <v>113</v>
      </c>
      <c r="M107" s="108">
        <v>4</v>
      </c>
      <c r="N107" s="108">
        <v>1</v>
      </c>
      <c r="O107" s="105">
        <f>+M107*N107</f>
        <v>4</v>
      </c>
      <c r="P107" s="338"/>
    </row>
    <row r="108" spans="1:19" ht="26.45" customHeight="1" x14ac:dyDescent="0.25">
      <c r="A108" s="315"/>
      <c r="B108" s="317"/>
      <c r="C108" s="346"/>
      <c r="D108" s="300"/>
      <c r="E108" s="300"/>
      <c r="F108" s="300"/>
      <c r="G108" s="300"/>
      <c r="H108" s="321"/>
      <c r="I108" s="321"/>
      <c r="J108" s="191" t="s">
        <v>142</v>
      </c>
      <c r="K108" s="118" t="s">
        <v>168</v>
      </c>
      <c r="L108" s="118"/>
      <c r="M108" s="118"/>
      <c r="N108" s="118"/>
      <c r="O108" s="105">
        <v>11</v>
      </c>
      <c r="P108" s="338"/>
    </row>
    <row r="109" spans="1:19" ht="15" x14ac:dyDescent="0.25">
      <c r="A109" s="315"/>
      <c r="B109" s="317"/>
      <c r="C109" s="346"/>
      <c r="D109" s="300"/>
      <c r="E109" s="300"/>
      <c r="F109" s="300"/>
      <c r="G109" s="300"/>
      <c r="H109" s="321"/>
      <c r="I109" s="321"/>
      <c r="J109" s="191" t="s">
        <v>114</v>
      </c>
      <c r="K109" s="105" t="s">
        <v>116</v>
      </c>
      <c r="L109" s="105"/>
      <c r="M109" s="105"/>
      <c r="N109" s="105"/>
      <c r="O109" s="105">
        <v>4</v>
      </c>
      <c r="P109" s="338"/>
    </row>
    <row r="110" spans="1:19" ht="15" x14ac:dyDescent="0.25">
      <c r="A110" s="315"/>
      <c r="B110" s="317"/>
      <c r="C110" s="346"/>
      <c r="D110" s="300"/>
      <c r="E110" s="300"/>
      <c r="F110" s="300"/>
      <c r="G110" s="300"/>
      <c r="H110" s="321"/>
      <c r="I110" s="321"/>
      <c r="J110" s="191" t="s">
        <v>114</v>
      </c>
      <c r="K110" s="105" t="s">
        <v>115</v>
      </c>
      <c r="L110" s="105"/>
      <c r="M110" s="105"/>
      <c r="N110" s="105"/>
      <c r="O110" s="105">
        <v>3</v>
      </c>
      <c r="P110" s="338"/>
    </row>
    <row r="111" spans="1:19" ht="15" x14ac:dyDescent="0.25">
      <c r="A111" s="315"/>
      <c r="B111" s="317"/>
      <c r="C111" s="346"/>
      <c r="D111" s="300"/>
      <c r="E111" s="300"/>
      <c r="F111" s="300"/>
      <c r="G111" s="300"/>
      <c r="H111" s="321"/>
      <c r="I111" s="321"/>
      <c r="J111" s="191" t="s">
        <v>114</v>
      </c>
      <c r="K111" s="105" t="s">
        <v>117</v>
      </c>
      <c r="L111" s="105"/>
      <c r="M111" s="105"/>
      <c r="N111" s="105"/>
      <c r="O111" s="105">
        <v>3</v>
      </c>
      <c r="P111" s="338"/>
    </row>
    <row r="112" spans="1:19" ht="15" x14ac:dyDescent="0.25">
      <c r="A112" s="315"/>
      <c r="B112" s="317"/>
      <c r="C112" s="346"/>
      <c r="D112" s="300"/>
      <c r="E112" s="300"/>
      <c r="F112" s="300"/>
      <c r="G112" s="300"/>
      <c r="H112" s="321"/>
      <c r="I112" s="321"/>
      <c r="J112" s="191" t="s">
        <v>114</v>
      </c>
      <c r="K112" s="105" t="s">
        <v>118</v>
      </c>
      <c r="L112" s="105"/>
      <c r="M112" s="105"/>
      <c r="N112" s="105"/>
      <c r="O112" s="105">
        <v>1</v>
      </c>
      <c r="P112" s="338"/>
    </row>
    <row r="113" spans="1:54" ht="24" x14ac:dyDescent="0.25">
      <c r="A113" s="315"/>
      <c r="B113" s="317"/>
      <c r="C113" s="346"/>
      <c r="D113" s="300"/>
      <c r="E113" s="300"/>
      <c r="F113" s="300"/>
      <c r="G113" s="300"/>
      <c r="H113" s="321"/>
      <c r="I113" s="321"/>
      <c r="J113" s="105" t="s">
        <v>112</v>
      </c>
      <c r="K113" s="144" t="s">
        <v>298</v>
      </c>
      <c r="L113" s="142" t="s">
        <v>113</v>
      </c>
      <c r="M113" s="142"/>
      <c r="N113" s="142"/>
      <c r="O113" s="105">
        <v>2</v>
      </c>
      <c r="P113" s="338"/>
    </row>
    <row r="114" spans="1:54" ht="17.25" customHeight="1" x14ac:dyDescent="0.25">
      <c r="A114" s="314">
        <v>12</v>
      </c>
      <c r="B114" s="316">
        <v>1308524568</v>
      </c>
      <c r="C114" s="334" t="s">
        <v>169</v>
      </c>
      <c r="D114" s="299" t="s">
        <v>170</v>
      </c>
      <c r="E114" s="299" t="s">
        <v>111</v>
      </c>
      <c r="F114" s="299"/>
      <c r="G114" s="299" t="s">
        <v>125</v>
      </c>
      <c r="H114" s="328" t="s">
        <v>171</v>
      </c>
      <c r="I114" s="328" t="s">
        <v>172</v>
      </c>
      <c r="J114" s="189" t="s">
        <v>411</v>
      </c>
      <c r="K114" s="108" t="s">
        <v>392</v>
      </c>
      <c r="L114" s="108"/>
      <c r="M114" s="108">
        <v>5</v>
      </c>
      <c r="N114" s="108">
        <v>2</v>
      </c>
      <c r="O114" s="105">
        <f>+M114*N114</f>
        <v>10</v>
      </c>
      <c r="P114" s="339">
        <f>SUM(O114:O123)</f>
        <v>40</v>
      </c>
      <c r="Q114" s="107">
        <f>+O114+O115</f>
        <v>14</v>
      </c>
    </row>
    <row r="115" spans="1:54" ht="17.25" customHeight="1" x14ac:dyDescent="0.25">
      <c r="A115" s="315"/>
      <c r="B115" s="317"/>
      <c r="C115" s="291"/>
      <c r="D115" s="300"/>
      <c r="E115" s="300"/>
      <c r="F115" s="300"/>
      <c r="G115" s="300"/>
      <c r="H115" s="321"/>
      <c r="I115" s="321"/>
      <c r="J115" s="217" t="s">
        <v>396</v>
      </c>
      <c r="K115" s="108" t="s">
        <v>395</v>
      </c>
      <c r="L115" s="108"/>
      <c r="M115" s="108">
        <v>4</v>
      </c>
      <c r="N115" s="108">
        <v>1</v>
      </c>
      <c r="O115" s="105">
        <f>+M115*N115</f>
        <v>4</v>
      </c>
      <c r="P115" s="338"/>
      <c r="Q115" s="123"/>
    </row>
    <row r="116" spans="1:54" ht="24" x14ac:dyDescent="0.25">
      <c r="A116" s="315"/>
      <c r="B116" s="317"/>
      <c r="C116" s="291"/>
      <c r="D116" s="300"/>
      <c r="E116" s="300"/>
      <c r="F116" s="300"/>
      <c r="G116" s="300"/>
      <c r="H116" s="321"/>
      <c r="I116" s="321"/>
      <c r="J116" s="191" t="s">
        <v>142</v>
      </c>
      <c r="K116" s="118" t="s">
        <v>348</v>
      </c>
      <c r="L116" s="118"/>
      <c r="M116" s="118"/>
      <c r="N116" s="118"/>
      <c r="O116" s="105">
        <v>12</v>
      </c>
      <c r="P116" s="338"/>
    </row>
    <row r="117" spans="1:54" ht="15" x14ac:dyDescent="0.25">
      <c r="A117" s="315"/>
      <c r="B117" s="317"/>
      <c r="C117" s="291"/>
      <c r="D117" s="300"/>
      <c r="E117" s="300"/>
      <c r="F117" s="300"/>
      <c r="G117" s="300"/>
      <c r="H117" s="321"/>
      <c r="I117" s="321"/>
      <c r="J117" s="105" t="s">
        <v>143</v>
      </c>
      <c r="K117" s="105" t="s">
        <v>144</v>
      </c>
      <c r="L117" s="105"/>
      <c r="M117" s="105"/>
      <c r="N117" s="105"/>
      <c r="O117" s="105">
        <v>4</v>
      </c>
      <c r="P117" s="338"/>
    </row>
    <row r="118" spans="1:54" ht="15" x14ac:dyDescent="0.25">
      <c r="A118" s="315"/>
      <c r="B118" s="317"/>
      <c r="C118" s="291"/>
      <c r="D118" s="300"/>
      <c r="E118" s="300"/>
      <c r="F118" s="300"/>
      <c r="G118" s="300"/>
      <c r="H118" s="321"/>
      <c r="I118" s="321"/>
      <c r="J118" s="191" t="s">
        <v>114</v>
      </c>
      <c r="K118" s="105" t="s">
        <v>116</v>
      </c>
      <c r="L118" s="105"/>
      <c r="M118" s="105"/>
      <c r="N118" s="105"/>
      <c r="O118" s="105">
        <v>3</v>
      </c>
      <c r="P118" s="338"/>
    </row>
    <row r="119" spans="1:54" ht="15" x14ac:dyDescent="0.25">
      <c r="A119" s="315"/>
      <c r="B119" s="317"/>
      <c r="C119" s="291"/>
      <c r="D119" s="300"/>
      <c r="E119" s="300"/>
      <c r="F119" s="300"/>
      <c r="G119" s="300"/>
      <c r="H119" s="321"/>
      <c r="I119" s="321"/>
      <c r="J119" s="191" t="s">
        <v>114</v>
      </c>
      <c r="K119" s="105" t="s">
        <v>115</v>
      </c>
      <c r="L119" s="105"/>
      <c r="M119" s="105"/>
      <c r="N119" s="105"/>
      <c r="O119" s="105">
        <v>2</v>
      </c>
      <c r="P119" s="338"/>
    </row>
    <row r="120" spans="1:54" ht="15" x14ac:dyDescent="0.25">
      <c r="A120" s="315"/>
      <c r="B120" s="317"/>
      <c r="C120" s="291"/>
      <c r="D120" s="300"/>
      <c r="E120" s="300"/>
      <c r="F120" s="300"/>
      <c r="G120" s="300"/>
      <c r="H120" s="321"/>
      <c r="I120" s="321"/>
      <c r="J120" s="191" t="s">
        <v>114</v>
      </c>
      <c r="K120" s="105" t="s">
        <v>117</v>
      </c>
      <c r="L120" s="105"/>
      <c r="M120" s="105"/>
      <c r="N120" s="105"/>
      <c r="O120" s="105">
        <v>2</v>
      </c>
      <c r="P120" s="338"/>
    </row>
    <row r="121" spans="1:54" ht="15" x14ac:dyDescent="0.25">
      <c r="A121" s="315"/>
      <c r="B121" s="317"/>
      <c r="C121" s="291"/>
      <c r="D121" s="300"/>
      <c r="E121" s="300"/>
      <c r="F121" s="300"/>
      <c r="G121" s="300"/>
      <c r="H121" s="321"/>
      <c r="I121" s="321"/>
      <c r="J121" s="191" t="s">
        <v>114</v>
      </c>
      <c r="K121" s="105" t="s">
        <v>118</v>
      </c>
      <c r="L121" s="105"/>
      <c r="M121" s="105"/>
      <c r="N121" s="105"/>
      <c r="O121" s="105">
        <v>1</v>
      </c>
      <c r="P121" s="338"/>
    </row>
    <row r="122" spans="1:54" ht="15" x14ac:dyDescent="0.25">
      <c r="A122" s="330"/>
      <c r="B122" s="317"/>
      <c r="C122" s="293"/>
      <c r="D122" s="337"/>
      <c r="E122" s="300"/>
      <c r="F122" s="300"/>
      <c r="G122" s="300"/>
      <c r="H122" s="321"/>
      <c r="I122" s="321"/>
      <c r="J122" s="115" t="s">
        <v>411</v>
      </c>
      <c r="K122" s="144" t="s">
        <v>300</v>
      </c>
      <c r="L122" s="111"/>
      <c r="M122" s="142"/>
      <c r="N122" s="171"/>
      <c r="O122" s="105">
        <v>1</v>
      </c>
      <c r="P122" s="338"/>
    </row>
    <row r="123" spans="1:54" ht="15" x14ac:dyDescent="0.25">
      <c r="A123" s="330"/>
      <c r="B123" s="317"/>
      <c r="C123" s="293"/>
      <c r="D123" s="337"/>
      <c r="E123" s="300"/>
      <c r="F123" s="300"/>
      <c r="G123" s="300"/>
      <c r="H123" s="321"/>
      <c r="I123" s="321"/>
      <c r="J123" s="115" t="s">
        <v>411</v>
      </c>
      <c r="K123" s="144" t="s">
        <v>349</v>
      </c>
      <c r="L123" s="111"/>
      <c r="M123" s="142"/>
      <c r="N123" s="171"/>
      <c r="O123" s="105">
        <v>1</v>
      </c>
      <c r="P123" s="338"/>
      <c r="Q123" s="176"/>
    </row>
    <row r="124" spans="1:54" ht="15.75" customHeight="1" x14ac:dyDescent="0.25">
      <c r="A124" s="314">
        <v>13</v>
      </c>
      <c r="B124" s="316">
        <v>1309662706</v>
      </c>
      <c r="C124" s="318" t="s">
        <v>173</v>
      </c>
      <c r="D124" s="299" t="s">
        <v>119</v>
      </c>
      <c r="E124" s="299" t="s">
        <v>111</v>
      </c>
      <c r="F124" s="299"/>
      <c r="G124" s="299" t="s">
        <v>133</v>
      </c>
      <c r="H124" s="328" t="s">
        <v>174</v>
      </c>
      <c r="I124" s="112" t="s">
        <v>175</v>
      </c>
      <c r="J124" s="189" t="s">
        <v>411</v>
      </c>
      <c r="K124" s="108" t="s">
        <v>342</v>
      </c>
      <c r="L124" s="108" t="s">
        <v>113</v>
      </c>
      <c r="M124" s="108">
        <v>4</v>
      </c>
      <c r="N124" s="108">
        <v>2</v>
      </c>
      <c r="O124" s="105">
        <f>+M124*N124</f>
        <v>8</v>
      </c>
      <c r="P124" s="339">
        <f>SUM(O124:O133)</f>
        <v>40</v>
      </c>
      <c r="Q124" s="107">
        <f>+O124+O125</f>
        <v>16</v>
      </c>
    </row>
    <row r="125" spans="1:54" ht="15.75" customHeight="1" x14ac:dyDescent="0.25">
      <c r="A125" s="315"/>
      <c r="B125" s="317"/>
      <c r="C125" s="319"/>
      <c r="D125" s="300"/>
      <c r="E125" s="300"/>
      <c r="F125" s="300"/>
      <c r="G125" s="300"/>
      <c r="H125" s="321"/>
      <c r="I125" s="113"/>
      <c r="J125" s="189" t="s">
        <v>411</v>
      </c>
      <c r="K125" s="108" t="s">
        <v>231</v>
      </c>
      <c r="L125" s="108"/>
      <c r="M125" s="108">
        <v>4</v>
      </c>
      <c r="N125" s="108">
        <v>2</v>
      </c>
      <c r="O125" s="105">
        <f>+M125*N125</f>
        <v>8</v>
      </c>
      <c r="P125" s="338"/>
      <c r="Q125" s="123"/>
    </row>
    <row r="126" spans="1:54" ht="15" x14ac:dyDescent="0.25">
      <c r="A126" s="315"/>
      <c r="B126" s="317"/>
      <c r="C126" s="319"/>
      <c r="D126" s="300"/>
      <c r="E126" s="300"/>
      <c r="F126" s="300"/>
      <c r="G126" s="300"/>
      <c r="H126" s="321"/>
      <c r="I126" s="113"/>
      <c r="J126" s="105" t="s">
        <v>143</v>
      </c>
      <c r="K126" s="118" t="s">
        <v>176</v>
      </c>
      <c r="L126" s="118"/>
      <c r="M126" s="118"/>
      <c r="N126" s="118"/>
      <c r="O126" s="105">
        <v>6</v>
      </c>
      <c r="P126" s="338"/>
      <c r="Q126" s="394"/>
      <c r="R126" s="395"/>
      <c r="S126" s="395"/>
      <c r="T126" s="395"/>
      <c r="U126" s="395"/>
      <c r="V126" s="395"/>
      <c r="W126" s="395"/>
      <c r="X126" s="395"/>
      <c r="Y126" s="395"/>
      <c r="Z126" s="395"/>
      <c r="AA126" s="395"/>
      <c r="AB126" s="395"/>
      <c r="AC126" s="395"/>
      <c r="AD126" s="395"/>
      <c r="AE126" s="395"/>
      <c r="AF126" s="395"/>
      <c r="AG126" s="395"/>
      <c r="AH126" s="395"/>
      <c r="AI126" s="395"/>
      <c r="AJ126" s="395"/>
      <c r="AK126" s="395"/>
      <c r="AL126" s="395"/>
      <c r="AM126" s="395"/>
      <c r="AN126" s="395"/>
      <c r="AO126" s="395"/>
      <c r="AP126" s="395"/>
      <c r="AQ126" s="395"/>
      <c r="AR126" s="395"/>
      <c r="AS126" s="395"/>
      <c r="AT126" s="395"/>
      <c r="AU126" s="395"/>
      <c r="AV126" s="395"/>
      <c r="AW126" s="395"/>
      <c r="AX126" s="395"/>
      <c r="AY126" s="395"/>
      <c r="AZ126" s="395"/>
      <c r="BA126" s="395"/>
      <c r="BB126" s="395"/>
    </row>
    <row r="127" spans="1:54" ht="15" x14ac:dyDescent="0.25">
      <c r="A127" s="315"/>
      <c r="B127" s="317"/>
      <c r="C127" s="319"/>
      <c r="D127" s="300"/>
      <c r="E127" s="300"/>
      <c r="F127" s="300"/>
      <c r="G127" s="300"/>
      <c r="H127" s="321"/>
      <c r="I127" s="113"/>
      <c r="J127" s="191" t="s">
        <v>142</v>
      </c>
      <c r="K127" s="118" t="s">
        <v>308</v>
      </c>
      <c r="L127" s="118"/>
      <c r="M127" s="118"/>
      <c r="N127" s="118"/>
      <c r="O127" s="105">
        <v>2</v>
      </c>
      <c r="P127" s="338"/>
    </row>
    <row r="128" spans="1:54" ht="15" x14ac:dyDescent="0.25">
      <c r="A128" s="315"/>
      <c r="B128" s="317"/>
      <c r="C128" s="319"/>
      <c r="D128" s="300"/>
      <c r="E128" s="300"/>
      <c r="F128" s="300"/>
      <c r="G128" s="300"/>
      <c r="H128" s="321"/>
      <c r="I128" s="113"/>
      <c r="J128" s="191" t="s">
        <v>114</v>
      </c>
      <c r="K128" s="105" t="s">
        <v>116</v>
      </c>
      <c r="L128" s="105"/>
      <c r="M128" s="105"/>
      <c r="N128" s="105"/>
      <c r="O128" s="105">
        <v>4</v>
      </c>
      <c r="P128" s="338"/>
    </row>
    <row r="129" spans="1:54" ht="15" x14ac:dyDescent="0.25">
      <c r="A129" s="315"/>
      <c r="B129" s="317"/>
      <c r="C129" s="319"/>
      <c r="D129" s="300"/>
      <c r="E129" s="300"/>
      <c r="F129" s="300"/>
      <c r="G129" s="300"/>
      <c r="H129" s="321"/>
      <c r="I129" s="113"/>
      <c r="J129" s="191" t="s">
        <v>114</v>
      </c>
      <c r="K129" s="105" t="s">
        <v>117</v>
      </c>
      <c r="L129" s="105"/>
      <c r="M129" s="105"/>
      <c r="N129" s="105"/>
      <c r="O129" s="105">
        <v>2</v>
      </c>
      <c r="P129" s="338"/>
    </row>
    <row r="130" spans="1:54" ht="15" x14ac:dyDescent="0.25">
      <c r="A130" s="315"/>
      <c r="B130" s="317"/>
      <c r="C130" s="319"/>
      <c r="D130" s="300"/>
      <c r="E130" s="300"/>
      <c r="F130" s="300"/>
      <c r="G130" s="300"/>
      <c r="H130" s="321"/>
      <c r="I130" s="113"/>
      <c r="J130" s="191" t="s">
        <v>114</v>
      </c>
      <c r="K130" s="105" t="s">
        <v>115</v>
      </c>
      <c r="L130" s="105"/>
      <c r="M130" s="105"/>
      <c r="N130" s="105"/>
      <c r="O130" s="105">
        <v>2</v>
      </c>
      <c r="P130" s="338"/>
    </row>
    <row r="131" spans="1:54" ht="15" x14ac:dyDescent="0.25">
      <c r="A131" s="315"/>
      <c r="B131" s="317"/>
      <c r="C131" s="319"/>
      <c r="D131" s="300"/>
      <c r="E131" s="300"/>
      <c r="F131" s="300"/>
      <c r="G131" s="300"/>
      <c r="H131" s="321"/>
      <c r="I131" s="114"/>
      <c r="J131" s="191" t="s">
        <v>114</v>
      </c>
      <c r="K131" s="105" t="s">
        <v>118</v>
      </c>
      <c r="L131" s="105"/>
      <c r="M131" s="105"/>
      <c r="N131" s="105"/>
      <c r="O131" s="105">
        <v>1</v>
      </c>
      <c r="P131" s="338"/>
    </row>
    <row r="132" spans="1:54" ht="24" x14ac:dyDescent="0.25">
      <c r="A132" s="315"/>
      <c r="B132" s="317"/>
      <c r="C132" s="319"/>
      <c r="D132" s="300"/>
      <c r="E132" s="300"/>
      <c r="F132" s="300"/>
      <c r="G132" s="300"/>
      <c r="H132" s="321"/>
      <c r="I132" s="113"/>
      <c r="J132" s="105" t="s">
        <v>143</v>
      </c>
      <c r="K132" s="105" t="s">
        <v>149</v>
      </c>
      <c r="L132" s="105"/>
      <c r="M132" s="105"/>
      <c r="N132" s="105"/>
      <c r="O132" s="105">
        <v>4</v>
      </c>
      <c r="P132" s="338"/>
      <c r="Q132" s="394"/>
      <c r="R132" s="395"/>
      <c r="S132" s="395"/>
      <c r="T132" s="395"/>
      <c r="U132" s="395"/>
      <c r="V132" s="395"/>
      <c r="W132" s="395"/>
      <c r="X132" s="395"/>
      <c r="Y132" s="395"/>
      <c r="Z132" s="395"/>
      <c r="AA132" s="395"/>
      <c r="AB132" s="395"/>
      <c r="AC132" s="395"/>
      <c r="AD132" s="395"/>
      <c r="AE132" s="395"/>
      <c r="AF132" s="395"/>
      <c r="AG132" s="395"/>
      <c r="AH132" s="395"/>
      <c r="AI132" s="395"/>
      <c r="AJ132" s="395"/>
      <c r="AK132" s="395"/>
      <c r="AL132" s="395"/>
      <c r="AM132" s="395"/>
      <c r="AN132" s="395"/>
      <c r="AO132" s="395"/>
      <c r="AP132" s="395"/>
      <c r="AQ132" s="395"/>
      <c r="AR132" s="395"/>
      <c r="AS132" s="395"/>
      <c r="AT132" s="395"/>
      <c r="AU132" s="395"/>
      <c r="AV132" s="395"/>
      <c r="AW132" s="395"/>
      <c r="AX132" s="395"/>
      <c r="AY132" s="395"/>
      <c r="AZ132" s="395"/>
      <c r="BA132" s="395"/>
      <c r="BB132" s="395"/>
    </row>
    <row r="133" spans="1:54" ht="24" x14ac:dyDescent="0.25">
      <c r="A133" s="315"/>
      <c r="B133" s="317"/>
      <c r="C133" s="319"/>
      <c r="D133" s="300"/>
      <c r="E133" s="300"/>
      <c r="F133" s="300"/>
      <c r="G133" s="300"/>
      <c r="H133" s="321"/>
      <c r="I133" s="113"/>
      <c r="J133" s="115" t="s">
        <v>411</v>
      </c>
      <c r="K133" s="156" t="s">
        <v>300</v>
      </c>
      <c r="L133" s="157" t="s">
        <v>113</v>
      </c>
      <c r="M133" s="157"/>
      <c r="N133" s="172"/>
      <c r="O133" s="105">
        <v>3</v>
      </c>
      <c r="P133" s="338"/>
    </row>
    <row r="134" spans="1:54" ht="24" x14ac:dyDescent="0.25">
      <c r="A134" s="306">
        <v>14</v>
      </c>
      <c r="B134" s="313">
        <v>1708333115</v>
      </c>
      <c r="C134" s="292" t="s">
        <v>177</v>
      </c>
      <c r="D134" s="323" t="s">
        <v>110</v>
      </c>
      <c r="E134" s="323" t="s">
        <v>111</v>
      </c>
      <c r="F134" s="323"/>
      <c r="G134" s="323" t="s">
        <v>120</v>
      </c>
      <c r="H134" s="196" t="s">
        <v>171</v>
      </c>
      <c r="I134" s="322" t="s">
        <v>178</v>
      </c>
      <c r="J134" s="197" t="s">
        <v>112</v>
      </c>
      <c r="K134" s="236" t="s">
        <v>227</v>
      </c>
      <c r="L134" s="236" t="s">
        <v>113</v>
      </c>
      <c r="M134" s="236">
        <v>4</v>
      </c>
      <c r="N134" s="236">
        <v>2</v>
      </c>
      <c r="O134" s="105">
        <f t="shared" ref="O134" si="3">+M134*N134</f>
        <v>8</v>
      </c>
      <c r="P134" s="324">
        <f>SUM(O134:O142)</f>
        <v>40</v>
      </c>
      <c r="Q134" s="125">
        <f>+O134+O135</f>
        <v>18</v>
      </c>
    </row>
    <row r="135" spans="1:54" ht="16.149999999999999" customHeight="1" x14ac:dyDescent="0.25">
      <c r="A135" s="306"/>
      <c r="B135" s="313"/>
      <c r="C135" s="292"/>
      <c r="D135" s="323"/>
      <c r="E135" s="323"/>
      <c r="F135" s="323"/>
      <c r="G135" s="323"/>
      <c r="H135" s="196"/>
      <c r="I135" s="322"/>
      <c r="J135" s="197" t="s">
        <v>411</v>
      </c>
      <c r="K135" s="198" t="s">
        <v>229</v>
      </c>
      <c r="L135" s="198"/>
      <c r="M135" s="198">
        <v>5</v>
      </c>
      <c r="N135" s="198">
        <v>2</v>
      </c>
      <c r="O135" s="105">
        <f t="shared" ref="O135" si="4">+M135*N135</f>
        <v>10</v>
      </c>
      <c r="P135" s="324"/>
    </row>
    <row r="136" spans="1:54" ht="15" customHeight="1" x14ac:dyDescent="0.25">
      <c r="A136" s="306"/>
      <c r="B136" s="313"/>
      <c r="C136" s="292"/>
      <c r="D136" s="323"/>
      <c r="E136" s="323"/>
      <c r="F136" s="323"/>
      <c r="G136" s="323"/>
      <c r="H136" s="196"/>
      <c r="I136" s="322"/>
      <c r="J136" s="197" t="s">
        <v>114</v>
      </c>
      <c r="K136" s="147" t="s">
        <v>116</v>
      </c>
      <c r="L136" s="161"/>
      <c r="M136" s="161"/>
      <c r="N136" s="161"/>
      <c r="O136" s="105">
        <v>4</v>
      </c>
      <c r="P136" s="324"/>
    </row>
    <row r="137" spans="1:54" ht="15" customHeight="1" x14ac:dyDescent="0.25">
      <c r="A137" s="306"/>
      <c r="B137" s="313"/>
      <c r="C137" s="292"/>
      <c r="D137" s="323"/>
      <c r="E137" s="323"/>
      <c r="F137" s="323"/>
      <c r="G137" s="323"/>
      <c r="H137" s="196"/>
      <c r="I137" s="322"/>
      <c r="J137" s="197" t="s">
        <v>114</v>
      </c>
      <c r="K137" s="161" t="s">
        <v>115</v>
      </c>
      <c r="L137" s="161"/>
      <c r="M137" s="161"/>
      <c r="N137" s="161"/>
      <c r="O137" s="105">
        <v>2</v>
      </c>
      <c r="P137" s="324"/>
    </row>
    <row r="138" spans="1:54" ht="15" customHeight="1" x14ac:dyDescent="0.25">
      <c r="A138" s="306"/>
      <c r="B138" s="313"/>
      <c r="C138" s="292"/>
      <c r="D138" s="323"/>
      <c r="E138" s="323"/>
      <c r="F138" s="323"/>
      <c r="G138" s="323"/>
      <c r="H138" s="196"/>
      <c r="I138" s="322"/>
      <c r="J138" s="197" t="s">
        <v>114</v>
      </c>
      <c r="K138" s="161" t="s">
        <v>117</v>
      </c>
      <c r="L138" s="161"/>
      <c r="M138" s="161"/>
      <c r="N138" s="161"/>
      <c r="O138" s="105">
        <v>2</v>
      </c>
      <c r="P138" s="324"/>
    </row>
    <row r="139" spans="1:54" ht="15" x14ac:dyDescent="0.25">
      <c r="A139" s="306"/>
      <c r="B139" s="313"/>
      <c r="C139" s="292"/>
      <c r="D139" s="323"/>
      <c r="E139" s="323"/>
      <c r="F139" s="323"/>
      <c r="G139" s="323"/>
      <c r="H139" s="196"/>
      <c r="I139" s="322"/>
      <c r="J139" s="197" t="s">
        <v>114</v>
      </c>
      <c r="K139" s="161" t="s">
        <v>118</v>
      </c>
      <c r="L139" s="161"/>
      <c r="M139" s="161"/>
      <c r="N139" s="161"/>
      <c r="O139" s="105">
        <v>1</v>
      </c>
      <c r="P139" s="324"/>
    </row>
    <row r="140" spans="1:54" ht="27.6" customHeight="1" x14ac:dyDescent="0.25">
      <c r="A140" s="306"/>
      <c r="B140" s="313"/>
      <c r="C140" s="292"/>
      <c r="D140" s="161"/>
      <c r="E140" s="161"/>
      <c r="F140" s="161"/>
      <c r="G140" s="161"/>
      <c r="H140" s="196"/>
      <c r="I140" s="196"/>
      <c r="J140" s="161" t="s">
        <v>130</v>
      </c>
      <c r="K140" s="161" t="s">
        <v>131</v>
      </c>
      <c r="L140" s="161"/>
      <c r="M140" s="161"/>
      <c r="N140" s="161"/>
      <c r="O140" s="105">
        <v>7</v>
      </c>
      <c r="P140" s="324"/>
      <c r="Q140" s="394" t="s">
        <v>364</v>
      </c>
      <c r="R140" s="395"/>
      <c r="S140" s="395"/>
      <c r="T140" s="395"/>
    </row>
    <row r="141" spans="1:54" ht="15" x14ac:dyDescent="0.25">
      <c r="A141" s="306"/>
      <c r="B141" s="313"/>
      <c r="C141" s="292"/>
      <c r="D141" s="161"/>
      <c r="E141" s="161"/>
      <c r="F141" s="161"/>
      <c r="G141" s="161"/>
      <c r="H141" s="196"/>
      <c r="I141" s="196"/>
      <c r="J141" s="161" t="s">
        <v>411</v>
      </c>
      <c r="K141" s="162" t="s">
        <v>300</v>
      </c>
      <c r="L141" s="237"/>
      <c r="M141" s="163"/>
      <c r="N141" s="173"/>
      <c r="O141" s="105">
        <v>2</v>
      </c>
      <c r="P141" s="324"/>
      <c r="Q141" s="201"/>
      <c r="R141" s="201"/>
      <c r="S141" s="201"/>
      <c r="T141" s="201"/>
    </row>
    <row r="142" spans="1:54" ht="24" x14ac:dyDescent="0.25">
      <c r="A142" s="306"/>
      <c r="B142" s="313"/>
      <c r="C142" s="292"/>
      <c r="D142" s="161"/>
      <c r="E142" s="161"/>
      <c r="F142" s="161"/>
      <c r="G142" s="161"/>
      <c r="H142" s="196"/>
      <c r="I142" s="196"/>
      <c r="J142" s="161" t="s">
        <v>411</v>
      </c>
      <c r="K142" s="162" t="s">
        <v>349</v>
      </c>
      <c r="L142" s="163" t="s">
        <v>113</v>
      </c>
      <c r="M142" s="163"/>
      <c r="N142" s="173"/>
      <c r="O142" s="105">
        <v>4</v>
      </c>
      <c r="P142" s="324"/>
    </row>
    <row r="143" spans="1:54" ht="24" x14ac:dyDescent="0.25">
      <c r="A143" s="303">
        <v>15</v>
      </c>
      <c r="B143" s="310"/>
      <c r="C143" s="308" t="s">
        <v>12</v>
      </c>
      <c r="D143" s="312" t="s">
        <v>110</v>
      </c>
      <c r="E143" s="312" t="s">
        <v>111</v>
      </c>
      <c r="F143" s="312"/>
      <c r="G143" s="312" t="s">
        <v>120</v>
      </c>
      <c r="H143" s="257" t="s">
        <v>171</v>
      </c>
      <c r="I143" s="405" t="s">
        <v>178</v>
      </c>
      <c r="J143" s="259" t="s">
        <v>411</v>
      </c>
      <c r="K143" s="259" t="s">
        <v>65</v>
      </c>
      <c r="L143" s="259" t="s">
        <v>113</v>
      </c>
      <c r="M143" s="259">
        <v>3</v>
      </c>
      <c r="N143" s="259">
        <v>1</v>
      </c>
      <c r="O143" s="105">
        <f t="shared" ref="O143:O144" si="5">+M143*N143</f>
        <v>3</v>
      </c>
      <c r="P143" s="406">
        <f>SUM(O143:O156)</f>
        <v>40</v>
      </c>
      <c r="Q143" s="125">
        <f>+O143+O144+O145</f>
        <v>17</v>
      </c>
    </row>
    <row r="144" spans="1:54" ht="15" x14ac:dyDescent="0.25">
      <c r="A144" s="303"/>
      <c r="B144" s="310"/>
      <c r="C144" s="308"/>
      <c r="D144" s="312"/>
      <c r="E144" s="312"/>
      <c r="F144" s="312"/>
      <c r="G144" s="312"/>
      <c r="H144" s="257"/>
      <c r="I144" s="405"/>
      <c r="J144" s="259" t="s">
        <v>411</v>
      </c>
      <c r="K144" s="259" t="s">
        <v>220</v>
      </c>
      <c r="L144" s="259"/>
      <c r="M144" s="259">
        <v>4</v>
      </c>
      <c r="N144" s="259">
        <v>2</v>
      </c>
      <c r="O144" s="105">
        <f t="shared" si="5"/>
        <v>8</v>
      </c>
      <c r="P144" s="406"/>
    </row>
    <row r="145" spans="1:46" ht="15" x14ac:dyDescent="0.25">
      <c r="A145" s="303"/>
      <c r="B145" s="310"/>
      <c r="C145" s="308"/>
      <c r="D145" s="312"/>
      <c r="E145" s="312"/>
      <c r="F145" s="312"/>
      <c r="G145" s="312"/>
      <c r="H145" s="257"/>
      <c r="I145" s="405"/>
      <c r="J145" s="259" t="s">
        <v>417</v>
      </c>
      <c r="K145" s="259" t="s">
        <v>416</v>
      </c>
      <c r="L145" s="259"/>
      <c r="M145" s="259">
        <v>6</v>
      </c>
      <c r="N145" s="259">
        <v>1</v>
      </c>
      <c r="O145" s="105">
        <f>+M145*N145</f>
        <v>6</v>
      </c>
      <c r="P145" s="406"/>
    </row>
    <row r="146" spans="1:46" ht="24" x14ac:dyDescent="0.25">
      <c r="A146" s="303"/>
      <c r="B146" s="310"/>
      <c r="C146" s="308"/>
      <c r="D146" s="312"/>
      <c r="E146" s="312"/>
      <c r="F146" s="312"/>
      <c r="G146" s="312"/>
      <c r="H146" s="257"/>
      <c r="I146" s="405"/>
      <c r="J146" s="259" t="s">
        <v>114</v>
      </c>
      <c r="K146" s="260" t="s">
        <v>405</v>
      </c>
      <c r="L146" s="259"/>
      <c r="M146" s="259"/>
      <c r="N146" s="259"/>
      <c r="O146" s="105">
        <v>3</v>
      </c>
      <c r="P146" s="406"/>
    </row>
    <row r="147" spans="1:46" ht="15" x14ac:dyDescent="0.25">
      <c r="A147" s="303"/>
      <c r="B147" s="310"/>
      <c r="C147" s="308"/>
      <c r="D147" s="312"/>
      <c r="E147" s="312"/>
      <c r="F147" s="312"/>
      <c r="G147" s="312"/>
      <c r="H147" s="257"/>
      <c r="I147" s="405"/>
      <c r="J147" s="259" t="s">
        <v>114</v>
      </c>
      <c r="K147" s="260" t="s">
        <v>406</v>
      </c>
      <c r="L147" s="259"/>
      <c r="M147" s="259"/>
      <c r="N147" s="259"/>
      <c r="O147" s="105">
        <v>1</v>
      </c>
      <c r="P147" s="406"/>
    </row>
    <row r="148" spans="1:46" ht="15" x14ac:dyDescent="0.25">
      <c r="A148" s="303"/>
      <c r="B148" s="310"/>
      <c r="C148" s="308"/>
      <c r="D148" s="312"/>
      <c r="E148" s="312"/>
      <c r="F148" s="312"/>
      <c r="G148" s="312"/>
      <c r="H148" s="257"/>
      <c r="I148" s="405"/>
      <c r="J148" s="259" t="s">
        <v>114</v>
      </c>
      <c r="K148" s="259" t="s">
        <v>407</v>
      </c>
      <c r="L148" s="259"/>
      <c r="M148" s="259"/>
      <c r="N148" s="259"/>
      <c r="O148" s="105">
        <v>2</v>
      </c>
      <c r="P148" s="406"/>
    </row>
    <row r="149" spans="1:46" ht="15" x14ac:dyDescent="0.25">
      <c r="A149" s="303"/>
      <c r="B149" s="310"/>
      <c r="C149" s="308"/>
      <c r="D149" s="312"/>
      <c r="E149" s="312"/>
      <c r="F149" s="312"/>
      <c r="G149" s="312"/>
      <c r="H149" s="257"/>
      <c r="I149" s="405"/>
      <c r="J149" s="259"/>
      <c r="K149" s="260" t="s">
        <v>408</v>
      </c>
      <c r="L149" s="259"/>
      <c r="M149" s="259"/>
      <c r="N149" s="259"/>
      <c r="O149" s="105">
        <v>1</v>
      </c>
      <c r="P149" s="406"/>
    </row>
    <row r="150" spans="1:46" ht="15" x14ac:dyDescent="0.25">
      <c r="A150" s="303"/>
      <c r="B150" s="310"/>
      <c r="C150" s="308"/>
      <c r="D150" s="312"/>
      <c r="E150" s="312"/>
      <c r="F150" s="312"/>
      <c r="G150" s="312"/>
      <c r="H150" s="257"/>
      <c r="I150" s="405"/>
      <c r="J150" s="259" t="s">
        <v>114</v>
      </c>
      <c r="K150" s="259" t="s">
        <v>410</v>
      </c>
      <c r="L150" s="259"/>
      <c r="M150" s="259"/>
      <c r="N150" s="259"/>
      <c r="O150" s="105">
        <v>2</v>
      </c>
      <c r="P150" s="406"/>
    </row>
    <row r="151" spans="1:46" ht="15" customHeight="1" x14ac:dyDescent="0.25">
      <c r="A151" s="303"/>
      <c r="B151" s="310"/>
      <c r="C151" s="308"/>
      <c r="D151" s="312"/>
      <c r="E151" s="312"/>
      <c r="F151" s="312"/>
      <c r="G151" s="312"/>
      <c r="H151" s="257"/>
      <c r="I151" s="405"/>
      <c r="J151" s="259"/>
      <c r="K151" s="259" t="s">
        <v>409</v>
      </c>
      <c r="L151" s="259"/>
      <c r="M151" s="259"/>
      <c r="N151" s="259"/>
      <c r="O151" s="105">
        <v>1</v>
      </c>
      <c r="P151" s="406"/>
      <c r="Q151" s="254"/>
      <c r="R151" s="254"/>
      <c r="S151" s="254"/>
      <c r="T151" s="254"/>
      <c r="U151" s="254"/>
      <c r="V151" s="254"/>
      <c r="W151" s="254"/>
    </row>
    <row r="152" spans="1:46" ht="15" x14ac:dyDescent="0.25">
      <c r="A152" s="303"/>
      <c r="B152" s="310"/>
      <c r="C152" s="308"/>
      <c r="D152" s="312"/>
      <c r="E152" s="312"/>
      <c r="F152" s="312"/>
      <c r="G152" s="312"/>
      <c r="H152" s="261"/>
      <c r="I152" s="405"/>
      <c r="J152" s="259" t="s">
        <v>114</v>
      </c>
      <c r="K152" s="259" t="s">
        <v>118</v>
      </c>
      <c r="L152" s="259"/>
      <c r="M152" s="259"/>
      <c r="N152" s="259"/>
      <c r="O152" s="105">
        <v>1</v>
      </c>
      <c r="P152" s="406"/>
    </row>
    <row r="153" spans="1:46" ht="24" x14ac:dyDescent="0.25">
      <c r="A153" s="303"/>
      <c r="B153" s="310"/>
      <c r="C153" s="308"/>
      <c r="D153" s="256"/>
      <c r="E153" s="256"/>
      <c r="F153" s="256"/>
      <c r="G153" s="256"/>
      <c r="H153" s="257"/>
      <c r="I153" s="258"/>
      <c r="J153" s="264" t="s">
        <v>114</v>
      </c>
      <c r="K153" s="264" t="s">
        <v>149</v>
      </c>
      <c r="L153" s="264"/>
      <c r="M153" s="264"/>
      <c r="N153" s="264"/>
      <c r="O153" s="105">
        <v>0</v>
      </c>
      <c r="P153" s="406"/>
      <c r="R153" t="s">
        <v>438</v>
      </c>
    </row>
    <row r="154" spans="1:46" ht="25.15" customHeight="1" x14ac:dyDescent="0.25">
      <c r="A154" s="303"/>
      <c r="B154" s="310"/>
      <c r="C154" s="308"/>
      <c r="D154" s="256"/>
      <c r="E154" s="256"/>
      <c r="F154" s="256"/>
      <c r="G154" s="256"/>
      <c r="H154" s="257"/>
      <c r="I154" s="258"/>
      <c r="J154" s="197" t="s">
        <v>130</v>
      </c>
      <c r="K154" s="197" t="s">
        <v>131</v>
      </c>
      <c r="L154" s="197"/>
      <c r="M154" s="197"/>
      <c r="N154" s="197"/>
      <c r="O154" s="105">
        <v>6</v>
      </c>
      <c r="P154" s="406"/>
      <c r="R154" s="395" t="s">
        <v>364</v>
      </c>
      <c r="S154" s="395"/>
      <c r="T154" s="395"/>
      <c r="U154" s="395"/>
    </row>
    <row r="155" spans="1:46" ht="15" x14ac:dyDescent="0.25">
      <c r="A155" s="303"/>
      <c r="B155" s="310"/>
      <c r="C155" s="308"/>
      <c r="D155" s="256"/>
      <c r="E155" s="256"/>
      <c r="F155" s="256"/>
      <c r="G155" s="256"/>
      <c r="H155" s="257"/>
      <c r="I155" s="258"/>
      <c r="J155" s="259" t="s">
        <v>411</v>
      </c>
      <c r="K155" s="262" t="s">
        <v>300</v>
      </c>
      <c r="L155" s="259"/>
      <c r="M155" s="259"/>
      <c r="N155" s="263"/>
      <c r="O155" s="105">
        <v>2</v>
      </c>
      <c r="P155" s="406"/>
      <c r="Q155" s="201"/>
      <c r="R155" s="201"/>
      <c r="S155" s="201"/>
      <c r="T155" s="201"/>
    </row>
    <row r="156" spans="1:46" ht="24" x14ac:dyDescent="0.25">
      <c r="A156" s="304"/>
      <c r="B156" s="311"/>
      <c r="C156" s="309"/>
      <c r="D156" s="256"/>
      <c r="E156" s="256"/>
      <c r="F156" s="256"/>
      <c r="G156" s="256"/>
      <c r="H156" s="257"/>
      <c r="I156" s="258"/>
      <c r="J156" s="259" t="s">
        <v>437</v>
      </c>
      <c r="K156" s="262" t="s">
        <v>381</v>
      </c>
      <c r="L156" s="259" t="s">
        <v>113</v>
      </c>
      <c r="M156" s="259"/>
      <c r="N156" s="263"/>
      <c r="O156" s="105">
        <v>4</v>
      </c>
      <c r="P156" s="406"/>
      <c r="AE156" t="s">
        <v>478</v>
      </c>
    </row>
    <row r="157" spans="1:46" ht="28.15" customHeight="1" x14ac:dyDescent="0.25">
      <c r="A157" s="294">
        <v>16</v>
      </c>
      <c r="B157" s="295">
        <v>1308645660</v>
      </c>
      <c r="C157" s="297" t="s">
        <v>180</v>
      </c>
      <c r="D157" s="301" t="s">
        <v>119</v>
      </c>
      <c r="E157" s="301" t="s">
        <v>111</v>
      </c>
      <c r="F157" s="301" t="s">
        <v>181</v>
      </c>
      <c r="G157" s="301" t="s">
        <v>182</v>
      </c>
      <c r="H157" s="409" t="s">
        <v>179</v>
      </c>
      <c r="I157" s="249" t="s">
        <v>183</v>
      </c>
      <c r="J157" s="246" t="s">
        <v>411</v>
      </c>
      <c r="K157" s="246" t="s">
        <v>184</v>
      </c>
      <c r="L157" s="246" t="s">
        <v>113</v>
      </c>
      <c r="M157" s="246">
        <v>5</v>
      </c>
      <c r="N157" s="246">
        <v>2</v>
      </c>
      <c r="O157" s="105">
        <f t="shared" ref="O157:O158" si="6">+M157*N157</f>
        <v>10</v>
      </c>
      <c r="P157" s="407">
        <f>SUM(O157:O165)</f>
        <v>40</v>
      </c>
      <c r="Q157" s="125">
        <f>+O157+O158</f>
        <v>15</v>
      </c>
      <c r="AE157" s="246" t="s">
        <v>411</v>
      </c>
      <c r="AF157" s="246" t="s">
        <v>184</v>
      </c>
      <c r="AG157" s="246" t="s">
        <v>113</v>
      </c>
      <c r="AH157" s="246">
        <v>5</v>
      </c>
      <c r="AI157" s="246">
        <v>2</v>
      </c>
      <c r="AJ157" s="247">
        <f t="shared" ref="AJ157:AJ158" si="7">+AH157*AI157</f>
        <v>10</v>
      </c>
      <c r="AK157" s="408">
        <f>SUM(AJ157:AJ165)</f>
        <v>36</v>
      </c>
      <c r="AL157" s="125" t="e">
        <f>+AJ157+AJ158+#REF!</f>
        <v>#REF!</v>
      </c>
      <c r="AN157" s="246" t="s">
        <v>411</v>
      </c>
      <c r="AO157" s="246" t="s">
        <v>184</v>
      </c>
      <c r="AP157" s="246">
        <v>5</v>
      </c>
      <c r="AQ157" s="246">
        <v>2</v>
      </c>
      <c r="AR157" s="247">
        <f t="shared" ref="AR157:AR158" si="8">+AP157*AQ157</f>
        <v>10</v>
      </c>
      <c r="AS157" s="408">
        <f>SUM(AR157:AR165)</f>
        <v>37</v>
      </c>
      <c r="AT157" s="125" t="e">
        <f>+AR157+AR158+#REF!</f>
        <v>#REF!</v>
      </c>
    </row>
    <row r="158" spans="1:46" ht="27.6" customHeight="1" x14ac:dyDescent="0.25">
      <c r="A158" s="294"/>
      <c r="B158" s="295"/>
      <c r="C158" s="297"/>
      <c r="D158" s="301"/>
      <c r="E158" s="301"/>
      <c r="F158" s="301"/>
      <c r="G158" s="301"/>
      <c r="H158" s="409"/>
      <c r="I158" s="249"/>
      <c r="J158" s="246" t="s">
        <v>112</v>
      </c>
      <c r="K158" s="250" t="s">
        <v>380</v>
      </c>
      <c r="L158" s="250" t="s">
        <v>113</v>
      </c>
      <c r="M158" s="250">
        <v>5</v>
      </c>
      <c r="N158" s="250">
        <v>1</v>
      </c>
      <c r="O158" s="105">
        <f t="shared" si="6"/>
        <v>5</v>
      </c>
      <c r="P158" s="407"/>
      <c r="Q158" s="123"/>
      <c r="AE158" s="246" t="s">
        <v>112</v>
      </c>
      <c r="AF158" s="246" t="s">
        <v>380</v>
      </c>
      <c r="AG158" s="246" t="s">
        <v>113</v>
      </c>
      <c r="AH158" s="246">
        <v>5</v>
      </c>
      <c r="AI158" s="246">
        <v>1</v>
      </c>
      <c r="AJ158" s="247">
        <f t="shared" si="7"/>
        <v>5</v>
      </c>
      <c r="AK158" s="408"/>
      <c r="AL158" s="123"/>
      <c r="AN158" s="246" t="s">
        <v>112</v>
      </c>
      <c r="AO158" s="246" t="s">
        <v>380</v>
      </c>
      <c r="AP158" s="246">
        <v>5</v>
      </c>
      <c r="AQ158" s="246">
        <v>1</v>
      </c>
      <c r="AR158" s="247">
        <f t="shared" si="8"/>
        <v>5</v>
      </c>
      <c r="AS158" s="408"/>
      <c r="AT158" s="123"/>
    </row>
    <row r="159" spans="1:46" ht="15" x14ac:dyDescent="0.25">
      <c r="A159" s="294"/>
      <c r="B159" s="295"/>
      <c r="C159" s="297"/>
      <c r="D159" s="301"/>
      <c r="E159" s="301"/>
      <c r="F159" s="301"/>
      <c r="G159" s="301"/>
      <c r="H159" s="409"/>
      <c r="I159" s="249"/>
      <c r="J159" s="246" t="s">
        <v>114</v>
      </c>
      <c r="K159" s="246" t="s">
        <v>116</v>
      </c>
      <c r="L159" s="246"/>
      <c r="M159" s="246"/>
      <c r="N159" s="246"/>
      <c r="O159" s="105">
        <v>3</v>
      </c>
      <c r="P159" s="408"/>
      <c r="AE159" s="246" t="s">
        <v>114</v>
      </c>
      <c r="AF159" s="246" t="s">
        <v>116</v>
      </c>
      <c r="AG159" s="246"/>
      <c r="AH159" s="246"/>
      <c r="AI159" s="246"/>
      <c r="AJ159" s="247">
        <v>3</v>
      </c>
      <c r="AK159" s="408"/>
      <c r="AL159" s="174"/>
      <c r="AN159" s="246" t="s">
        <v>114</v>
      </c>
      <c r="AO159" s="246" t="s">
        <v>116</v>
      </c>
      <c r="AP159" s="246"/>
      <c r="AQ159" s="246"/>
      <c r="AR159" s="247">
        <v>3</v>
      </c>
      <c r="AS159" s="408"/>
      <c r="AT159" s="174"/>
    </row>
    <row r="160" spans="1:46" ht="15" x14ac:dyDescent="0.25">
      <c r="A160" s="294"/>
      <c r="B160" s="295"/>
      <c r="C160" s="297"/>
      <c r="D160" s="301"/>
      <c r="E160" s="301"/>
      <c r="F160" s="301"/>
      <c r="G160" s="301"/>
      <c r="H160" s="409"/>
      <c r="I160" s="249"/>
      <c r="J160" s="246" t="s">
        <v>114</v>
      </c>
      <c r="K160" s="246" t="s">
        <v>117</v>
      </c>
      <c r="L160" s="246"/>
      <c r="M160" s="246"/>
      <c r="N160" s="246"/>
      <c r="O160" s="105">
        <v>2</v>
      </c>
      <c r="P160" s="408"/>
      <c r="AE160" s="246" t="s">
        <v>114</v>
      </c>
      <c r="AF160" s="246" t="s">
        <v>117</v>
      </c>
      <c r="AG160" s="246"/>
      <c r="AH160" s="246"/>
      <c r="AI160" s="246"/>
      <c r="AJ160" s="247">
        <v>2</v>
      </c>
      <c r="AK160" s="408"/>
      <c r="AL160" s="174"/>
      <c r="AN160" s="246" t="s">
        <v>114</v>
      </c>
      <c r="AO160" s="246" t="s">
        <v>117</v>
      </c>
      <c r="AP160" s="246"/>
      <c r="AQ160" s="246"/>
      <c r="AR160" s="247">
        <v>2</v>
      </c>
      <c r="AS160" s="408"/>
      <c r="AT160" s="174"/>
    </row>
    <row r="161" spans="1:54" ht="15" x14ac:dyDescent="0.25">
      <c r="A161" s="294"/>
      <c r="B161" s="295"/>
      <c r="C161" s="297"/>
      <c r="D161" s="301"/>
      <c r="E161" s="301"/>
      <c r="F161" s="301"/>
      <c r="G161" s="301"/>
      <c r="H161" s="409"/>
      <c r="I161" s="249"/>
      <c r="J161" s="246" t="s">
        <v>114</v>
      </c>
      <c r="K161" s="246" t="s">
        <v>115</v>
      </c>
      <c r="L161" s="246"/>
      <c r="M161" s="246"/>
      <c r="N161" s="246"/>
      <c r="O161" s="105">
        <v>2</v>
      </c>
      <c r="P161" s="408"/>
      <c r="AE161" s="246" t="s">
        <v>114</v>
      </c>
      <c r="AF161" s="246" t="s">
        <v>115</v>
      </c>
      <c r="AG161" s="246"/>
      <c r="AH161" s="246"/>
      <c r="AI161" s="246"/>
      <c r="AJ161" s="247">
        <v>2</v>
      </c>
      <c r="AK161" s="408"/>
      <c r="AL161" s="174"/>
      <c r="AN161" s="246" t="s">
        <v>114</v>
      </c>
      <c r="AO161" s="246" t="s">
        <v>115</v>
      </c>
      <c r="AP161" s="246"/>
      <c r="AQ161" s="246"/>
      <c r="AR161" s="247">
        <v>2</v>
      </c>
      <c r="AS161" s="408"/>
      <c r="AT161" s="174"/>
    </row>
    <row r="162" spans="1:54" ht="15" x14ac:dyDescent="0.25">
      <c r="A162" s="294"/>
      <c r="B162" s="295"/>
      <c r="C162" s="297"/>
      <c r="D162" s="301"/>
      <c r="E162" s="301"/>
      <c r="F162" s="301"/>
      <c r="G162" s="301"/>
      <c r="H162" s="409"/>
      <c r="I162" s="249"/>
      <c r="J162" s="246" t="s">
        <v>114</v>
      </c>
      <c r="K162" s="246" t="s">
        <v>118</v>
      </c>
      <c r="L162" s="246"/>
      <c r="M162" s="246"/>
      <c r="N162" s="246"/>
      <c r="O162" s="105">
        <v>1</v>
      </c>
      <c r="P162" s="408"/>
      <c r="AE162" s="246" t="s">
        <v>114</v>
      </c>
      <c r="AF162" s="246" t="s">
        <v>118</v>
      </c>
      <c r="AG162" s="246"/>
      <c r="AH162" s="246"/>
      <c r="AI162" s="246"/>
      <c r="AJ162" s="247">
        <v>1</v>
      </c>
      <c r="AK162" s="408"/>
      <c r="AL162" s="174"/>
      <c r="AN162" s="246" t="s">
        <v>114</v>
      </c>
      <c r="AO162" s="246" t="s">
        <v>118</v>
      </c>
      <c r="AP162" s="246"/>
      <c r="AQ162" s="246"/>
      <c r="AR162" s="247">
        <v>1</v>
      </c>
      <c r="AS162" s="408"/>
      <c r="AT162" s="174"/>
    </row>
    <row r="163" spans="1:54" ht="15" x14ac:dyDescent="0.25">
      <c r="A163" s="294"/>
      <c r="B163" s="296"/>
      <c r="C163" s="297"/>
      <c r="D163" s="302"/>
      <c r="E163" s="301"/>
      <c r="F163" s="301"/>
      <c r="G163" s="301"/>
      <c r="H163" s="409"/>
      <c r="I163" s="249"/>
      <c r="J163" s="105" t="s">
        <v>114</v>
      </c>
      <c r="K163" s="105" t="s">
        <v>353</v>
      </c>
      <c r="L163" s="246"/>
      <c r="M163" s="161"/>
      <c r="N163" s="222"/>
      <c r="O163" s="105">
        <v>3</v>
      </c>
      <c r="P163" s="408"/>
      <c r="AE163" s="246"/>
      <c r="AF163" s="246"/>
      <c r="AG163" s="246"/>
      <c r="AH163" s="246"/>
      <c r="AI163" s="246"/>
      <c r="AJ163" s="247"/>
      <c r="AK163" s="408"/>
      <c r="AL163" s="174"/>
      <c r="AN163" s="246"/>
      <c r="AO163" s="246"/>
      <c r="AP163" s="246"/>
      <c r="AQ163" s="246"/>
      <c r="AR163" s="247"/>
      <c r="AS163" s="408"/>
      <c r="AT163" s="174"/>
    </row>
    <row r="164" spans="1:54" ht="24" x14ac:dyDescent="0.25">
      <c r="A164" s="294"/>
      <c r="B164" s="296"/>
      <c r="C164" s="297"/>
      <c r="D164" s="302"/>
      <c r="E164" s="301"/>
      <c r="F164" s="301"/>
      <c r="G164" s="301"/>
      <c r="H164" s="409"/>
      <c r="I164" s="249"/>
      <c r="J164" s="251" t="s">
        <v>122</v>
      </c>
      <c r="K164" s="250" t="s">
        <v>123</v>
      </c>
      <c r="L164" s="246"/>
      <c r="M164" s="246"/>
      <c r="N164" s="250" t="s">
        <v>357</v>
      </c>
      <c r="O164" s="105">
        <v>8</v>
      </c>
      <c r="P164" s="408"/>
      <c r="Q164" s="123">
        <f>60/12</f>
        <v>5</v>
      </c>
      <c r="R164" s="210">
        <f>+O164*Q164</f>
        <v>40</v>
      </c>
      <c r="S164" t="s">
        <v>363</v>
      </c>
      <c r="AE164" s="246" t="s">
        <v>122</v>
      </c>
      <c r="AF164" s="246" t="s">
        <v>123</v>
      </c>
      <c r="AG164" s="246"/>
      <c r="AH164" s="246"/>
      <c r="AI164" s="246" t="s">
        <v>357</v>
      </c>
      <c r="AJ164" s="247">
        <v>7</v>
      </c>
      <c r="AK164" s="408"/>
      <c r="AL164" s="123"/>
      <c r="AN164" s="246" t="s">
        <v>122</v>
      </c>
      <c r="AO164" s="246" t="s">
        <v>123</v>
      </c>
      <c r="AP164" s="246"/>
      <c r="AQ164" s="246" t="s">
        <v>357</v>
      </c>
      <c r="AR164" s="247">
        <v>8</v>
      </c>
      <c r="AS164" s="408"/>
      <c r="AT164" s="123"/>
    </row>
    <row r="165" spans="1:54" ht="27" customHeight="1" x14ac:dyDescent="0.25">
      <c r="A165" s="294"/>
      <c r="B165" s="295"/>
      <c r="C165" s="298"/>
      <c r="D165" s="301"/>
      <c r="E165" s="301"/>
      <c r="F165" s="301"/>
      <c r="G165" s="301"/>
      <c r="H165" s="409"/>
      <c r="I165" s="252"/>
      <c r="J165" s="246" t="s">
        <v>411</v>
      </c>
      <c r="K165" s="253" t="s">
        <v>300</v>
      </c>
      <c r="L165" s="246" t="s">
        <v>113</v>
      </c>
      <c r="M165" s="246"/>
      <c r="N165" s="248"/>
      <c r="O165" s="105">
        <v>6</v>
      </c>
      <c r="P165" s="408"/>
      <c r="Q165" s="255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46" t="s">
        <v>411</v>
      </c>
      <c r="AF165" s="265" t="s">
        <v>300</v>
      </c>
      <c r="AG165" s="246" t="s">
        <v>113</v>
      </c>
      <c r="AH165" s="246"/>
      <c r="AI165" s="248"/>
      <c r="AJ165" s="247">
        <v>6</v>
      </c>
      <c r="AK165" s="408"/>
      <c r="AL165" s="254"/>
      <c r="AM165" s="254"/>
      <c r="AN165" s="246" t="s">
        <v>411</v>
      </c>
      <c r="AO165" s="265" t="s">
        <v>300</v>
      </c>
      <c r="AP165" s="246"/>
      <c r="AQ165" s="248"/>
      <c r="AR165" s="247">
        <v>6</v>
      </c>
      <c r="AS165" s="408"/>
      <c r="AT165" s="254"/>
      <c r="AU165" s="254"/>
      <c r="AV165" s="254"/>
      <c r="AW165" s="254"/>
      <c r="AX165" s="254"/>
      <c r="AY165" s="254"/>
      <c r="AZ165" s="254"/>
      <c r="BA165" s="254"/>
      <c r="BB165" s="254"/>
    </row>
    <row r="166" spans="1:54" ht="15" x14ac:dyDescent="0.25">
      <c r="A166" s="305">
        <v>17</v>
      </c>
      <c r="B166" s="289">
        <v>1305701243</v>
      </c>
      <c r="C166" s="291" t="s">
        <v>185</v>
      </c>
      <c r="D166" s="300" t="s">
        <v>170</v>
      </c>
      <c r="E166" s="300" t="s">
        <v>111</v>
      </c>
      <c r="F166" s="300" t="s">
        <v>181</v>
      </c>
      <c r="G166" s="300" t="s">
        <v>133</v>
      </c>
      <c r="H166" s="321" t="s">
        <v>153</v>
      </c>
      <c r="I166" s="228" t="s">
        <v>186</v>
      </c>
      <c r="J166" s="197" t="s">
        <v>112</v>
      </c>
      <c r="K166" s="240" t="s">
        <v>393</v>
      </c>
      <c r="L166" s="195" t="s">
        <v>139</v>
      </c>
      <c r="M166" s="195">
        <v>5</v>
      </c>
      <c r="N166" s="195">
        <v>1</v>
      </c>
      <c r="O166" s="105">
        <f>+M166*N166</f>
        <v>5</v>
      </c>
      <c r="P166" s="338">
        <f>SUM(O166:O175)</f>
        <v>40</v>
      </c>
      <c r="Q166" s="107">
        <f>+O166+O167</f>
        <v>15</v>
      </c>
    </row>
    <row r="167" spans="1:54" ht="16.5" customHeight="1" x14ac:dyDescent="0.25">
      <c r="A167" s="305"/>
      <c r="B167" s="289"/>
      <c r="C167" s="291"/>
      <c r="D167" s="300"/>
      <c r="E167" s="300"/>
      <c r="F167" s="300"/>
      <c r="G167" s="300"/>
      <c r="H167" s="321"/>
      <c r="I167" s="113" t="s">
        <v>187</v>
      </c>
      <c r="J167" s="189" t="s">
        <v>411</v>
      </c>
      <c r="K167" s="108" t="s">
        <v>343</v>
      </c>
      <c r="L167" s="108" t="s">
        <v>113</v>
      </c>
      <c r="M167" s="108">
        <v>5</v>
      </c>
      <c r="N167" s="108">
        <v>2</v>
      </c>
      <c r="O167" s="105">
        <f t="shared" ref="O167" si="9">+M167*N167</f>
        <v>10</v>
      </c>
      <c r="P167" s="338"/>
    </row>
    <row r="168" spans="1:54" ht="15" x14ac:dyDescent="0.25">
      <c r="A168" s="305"/>
      <c r="B168" s="289"/>
      <c r="C168" s="291"/>
      <c r="D168" s="300"/>
      <c r="E168" s="300"/>
      <c r="F168" s="300"/>
      <c r="G168" s="300"/>
      <c r="H168" s="321"/>
      <c r="I168" s="113"/>
      <c r="J168" s="191" t="s">
        <v>114</v>
      </c>
      <c r="K168" s="105" t="s">
        <v>116</v>
      </c>
      <c r="L168" s="105"/>
      <c r="M168" s="105"/>
      <c r="N168" s="105"/>
      <c r="O168" s="105">
        <v>3</v>
      </c>
      <c r="P168" s="338"/>
    </row>
    <row r="169" spans="1:54" ht="15" x14ac:dyDescent="0.25">
      <c r="A169" s="305"/>
      <c r="B169" s="289"/>
      <c r="C169" s="291"/>
      <c r="D169" s="300"/>
      <c r="E169" s="300"/>
      <c r="F169" s="300"/>
      <c r="G169" s="300"/>
      <c r="H169" s="321"/>
      <c r="I169" s="113"/>
      <c r="J169" s="191" t="s">
        <v>114</v>
      </c>
      <c r="K169" s="105" t="s">
        <v>117</v>
      </c>
      <c r="L169" s="105"/>
      <c r="M169" s="105"/>
      <c r="N169" s="105"/>
      <c r="O169" s="105">
        <v>2</v>
      </c>
      <c r="P169" s="338"/>
    </row>
    <row r="170" spans="1:54" ht="15" x14ac:dyDescent="0.25">
      <c r="A170" s="305"/>
      <c r="B170" s="289"/>
      <c r="C170" s="291"/>
      <c r="D170" s="300"/>
      <c r="E170" s="300"/>
      <c r="F170" s="300"/>
      <c r="G170" s="300"/>
      <c r="H170" s="321"/>
      <c r="I170" s="113"/>
      <c r="J170" s="191" t="s">
        <v>114</v>
      </c>
      <c r="K170" s="105" t="s">
        <v>115</v>
      </c>
      <c r="L170" s="105"/>
      <c r="M170" s="105"/>
      <c r="N170" s="105"/>
      <c r="O170" s="105">
        <v>2</v>
      </c>
      <c r="P170" s="338"/>
    </row>
    <row r="171" spans="1:54" ht="15" x14ac:dyDescent="0.25">
      <c r="A171" s="305"/>
      <c r="B171" s="289"/>
      <c r="C171" s="291"/>
      <c r="D171" s="300"/>
      <c r="E171" s="300"/>
      <c r="F171" s="300"/>
      <c r="G171" s="300"/>
      <c r="H171" s="321"/>
      <c r="I171" s="114"/>
      <c r="J171" s="191" t="s">
        <v>114</v>
      </c>
      <c r="K171" s="105" t="s">
        <v>118</v>
      </c>
      <c r="L171" s="105"/>
      <c r="M171" s="105"/>
      <c r="N171" s="105"/>
      <c r="O171" s="105">
        <v>1</v>
      </c>
      <c r="P171" s="338"/>
    </row>
    <row r="172" spans="1:54" ht="24" x14ac:dyDescent="0.25">
      <c r="A172" s="306"/>
      <c r="B172" s="290"/>
      <c r="C172" s="292"/>
      <c r="D172" s="337"/>
      <c r="E172" s="300"/>
      <c r="F172" s="300"/>
      <c r="G172" s="300"/>
      <c r="H172" s="321"/>
      <c r="I172" s="113"/>
      <c r="J172" s="111" t="s">
        <v>122</v>
      </c>
      <c r="K172" s="111" t="s">
        <v>123</v>
      </c>
      <c r="L172" s="111"/>
      <c r="M172" s="111"/>
      <c r="N172" s="191" t="s">
        <v>361</v>
      </c>
      <c r="O172" s="105">
        <v>8</v>
      </c>
      <c r="P172" s="338"/>
      <c r="Q172" s="123">
        <f>60/12</f>
        <v>5</v>
      </c>
      <c r="R172" s="210">
        <f>+O172*Q172</f>
        <v>40</v>
      </c>
      <c r="S172" t="s">
        <v>363</v>
      </c>
    </row>
    <row r="173" spans="1:54" ht="17.45" customHeight="1" x14ac:dyDescent="0.25">
      <c r="A173" s="305"/>
      <c r="B173" s="289"/>
      <c r="C173" s="293"/>
      <c r="D173" s="337"/>
      <c r="E173" s="300"/>
      <c r="F173" s="300"/>
      <c r="G173" s="300"/>
      <c r="H173" s="321"/>
      <c r="I173" s="113"/>
      <c r="J173" s="105" t="s">
        <v>114</v>
      </c>
      <c r="K173" s="105" t="s">
        <v>353</v>
      </c>
      <c r="L173" s="111"/>
      <c r="M173" s="105"/>
      <c r="N173" s="105"/>
      <c r="O173" s="105">
        <v>3</v>
      </c>
      <c r="P173" s="338"/>
      <c r="Q173" s="123"/>
      <c r="R173" s="210"/>
    </row>
    <row r="174" spans="1:54" ht="24" x14ac:dyDescent="0.25">
      <c r="A174" s="305"/>
      <c r="B174" s="289"/>
      <c r="C174" s="291"/>
      <c r="D174" s="300"/>
      <c r="E174" s="300"/>
      <c r="F174" s="300"/>
      <c r="G174" s="300"/>
      <c r="H174" s="321"/>
      <c r="I174" s="113"/>
      <c r="J174" s="105" t="s">
        <v>112</v>
      </c>
      <c r="K174" s="144" t="s">
        <v>298</v>
      </c>
      <c r="L174" s="105"/>
      <c r="M174" s="142"/>
      <c r="N174" s="142"/>
      <c r="O174" s="143">
        <v>2</v>
      </c>
      <c r="P174" s="338"/>
    </row>
    <row r="175" spans="1:54" ht="24" x14ac:dyDescent="0.25">
      <c r="A175" s="307"/>
      <c r="B175" s="289"/>
      <c r="C175" s="291"/>
      <c r="D175" s="300"/>
      <c r="E175" s="300"/>
      <c r="F175" s="300"/>
      <c r="G175" s="300"/>
      <c r="H175" s="321"/>
      <c r="I175" s="113" t="s">
        <v>135</v>
      </c>
      <c r="J175" s="115" t="s">
        <v>411</v>
      </c>
      <c r="K175" s="144" t="s">
        <v>349</v>
      </c>
      <c r="L175" s="105" t="s">
        <v>113</v>
      </c>
      <c r="M175" s="142"/>
      <c r="N175" s="142"/>
      <c r="O175" s="143">
        <v>4</v>
      </c>
      <c r="P175" s="338"/>
      <c r="Q175" s="394"/>
      <c r="R175" s="395"/>
      <c r="S175" s="395"/>
      <c r="T175" s="395"/>
      <c r="U175" s="395"/>
      <c r="V175" s="395"/>
      <c r="W175" s="395"/>
      <c r="X175" s="395"/>
      <c r="Y175" s="395"/>
      <c r="Z175" s="395"/>
      <c r="AA175" s="395"/>
      <c r="AB175" s="395"/>
      <c r="AC175" s="395"/>
      <c r="AD175" s="395"/>
      <c r="AE175" s="395"/>
      <c r="AF175" s="395"/>
      <c r="AG175" s="395"/>
      <c r="AH175" s="395"/>
      <c r="AI175" s="395"/>
      <c r="AJ175" s="395"/>
      <c r="AK175" s="395"/>
      <c r="AL175" s="395"/>
      <c r="AM175" s="395"/>
      <c r="AN175" s="395"/>
      <c r="AO175" s="395"/>
      <c r="AP175" s="395"/>
      <c r="AQ175" s="395"/>
      <c r="AR175" s="395"/>
      <c r="AS175" s="395"/>
      <c r="AT175" s="395"/>
      <c r="AU175" s="395"/>
      <c r="AV175" s="395"/>
      <c r="AW175" s="395"/>
      <c r="AX175" s="395"/>
      <c r="AY175" s="395"/>
      <c r="AZ175" s="395"/>
      <c r="BA175" s="395"/>
      <c r="BB175" s="395"/>
    </row>
    <row r="176" spans="1:54" ht="24.75" x14ac:dyDescent="0.25">
      <c r="A176" s="355">
        <v>18</v>
      </c>
      <c r="B176" s="358">
        <v>1307804532</v>
      </c>
      <c r="C176" s="356" t="s">
        <v>295</v>
      </c>
      <c r="D176" s="115" t="s">
        <v>110</v>
      </c>
      <c r="E176" s="115" t="s">
        <v>111</v>
      </c>
      <c r="F176" s="115"/>
      <c r="G176" s="115" t="s">
        <v>166</v>
      </c>
      <c r="H176" s="112" t="s">
        <v>190</v>
      </c>
      <c r="I176" s="227" t="s">
        <v>191</v>
      </c>
      <c r="J176" s="161" t="s">
        <v>411</v>
      </c>
      <c r="K176" s="226" t="s">
        <v>304</v>
      </c>
      <c r="L176" s="108" t="s">
        <v>113</v>
      </c>
      <c r="M176" s="108">
        <v>5</v>
      </c>
      <c r="N176" s="108">
        <v>2</v>
      </c>
      <c r="O176" s="229">
        <f>+M176*N176</f>
        <v>10</v>
      </c>
      <c r="P176" s="324">
        <f>SUM(O176:O183)</f>
        <v>40</v>
      </c>
      <c r="Q176" s="125">
        <f>+O176+O177</f>
        <v>13</v>
      </c>
      <c r="R176" s="404" t="s">
        <v>400</v>
      </c>
      <c r="S176" s="404"/>
      <c r="T176" s="404"/>
    </row>
    <row r="177" spans="1:23" ht="16.5" customHeight="1" x14ac:dyDescent="0.25">
      <c r="A177" s="315"/>
      <c r="B177" s="359"/>
      <c r="C177" s="357"/>
      <c r="D177" s="116"/>
      <c r="E177" s="116"/>
      <c r="F177" s="116"/>
      <c r="G177" s="116"/>
      <c r="H177" s="113"/>
      <c r="I177" s="228"/>
      <c r="J177" s="161" t="s">
        <v>398</v>
      </c>
      <c r="K177" s="226" t="s">
        <v>399</v>
      </c>
      <c r="L177" s="108"/>
      <c r="M177" s="108">
        <v>3</v>
      </c>
      <c r="N177" s="108">
        <v>1</v>
      </c>
      <c r="O177" s="229">
        <v>3</v>
      </c>
      <c r="P177" s="324"/>
      <c r="Q177" s="123"/>
    </row>
    <row r="178" spans="1:23" ht="16.5" customHeight="1" x14ac:dyDescent="0.25">
      <c r="A178" s="315"/>
      <c r="B178" s="359"/>
      <c r="C178" s="357"/>
      <c r="D178" s="116"/>
      <c r="E178" s="116"/>
      <c r="F178" s="116"/>
      <c r="G178" s="116"/>
      <c r="H178" s="113"/>
      <c r="I178" s="228"/>
      <c r="J178" s="161"/>
      <c r="K178" s="226" t="s">
        <v>401</v>
      </c>
      <c r="L178" s="108"/>
      <c r="M178" s="108"/>
      <c r="N178" s="108"/>
      <c r="O178" s="229">
        <v>16</v>
      </c>
      <c r="P178" s="324"/>
      <c r="Q178" s="123"/>
    </row>
    <row r="179" spans="1:23" ht="28.15" customHeight="1" x14ac:dyDescent="0.25">
      <c r="A179" s="315"/>
      <c r="B179" s="359"/>
      <c r="C179" s="357"/>
      <c r="D179" s="116"/>
      <c r="E179" s="116"/>
      <c r="F179" s="116"/>
      <c r="G179" s="116"/>
      <c r="H179" s="113"/>
      <c r="I179" s="228"/>
      <c r="J179" s="197" t="s">
        <v>143</v>
      </c>
      <c r="K179" s="230" t="s">
        <v>149</v>
      </c>
      <c r="L179" s="191"/>
      <c r="M179" s="232" t="s">
        <v>402</v>
      </c>
      <c r="N179" s="191"/>
      <c r="O179" s="231">
        <v>3</v>
      </c>
      <c r="P179" s="324"/>
      <c r="Q179" s="403" t="s">
        <v>420</v>
      </c>
      <c r="R179" s="395"/>
      <c r="S179" s="395"/>
      <c r="T179" s="395"/>
      <c r="U179" s="395"/>
      <c r="V179" s="395"/>
      <c r="W179" s="395"/>
    </row>
    <row r="180" spans="1:23" ht="16.5" customHeight="1" x14ac:dyDescent="0.25">
      <c r="A180" s="315"/>
      <c r="B180" s="359"/>
      <c r="C180" s="357"/>
      <c r="D180" s="116"/>
      <c r="E180" s="116"/>
      <c r="F180" s="116"/>
      <c r="G180" s="116"/>
      <c r="H180" s="113"/>
      <c r="I180" s="228"/>
      <c r="J180" s="161" t="s">
        <v>114</v>
      </c>
      <c r="K180" s="226" t="s">
        <v>116</v>
      </c>
      <c r="L180" s="108"/>
      <c r="M180" s="108"/>
      <c r="N180" s="108"/>
      <c r="O180" s="229">
        <v>3</v>
      </c>
      <c r="P180" s="324"/>
      <c r="Q180" s="123"/>
    </row>
    <row r="181" spans="1:23" ht="16.5" customHeight="1" x14ac:dyDescent="0.25">
      <c r="A181" s="315"/>
      <c r="B181" s="359"/>
      <c r="C181" s="357"/>
      <c r="D181" s="116"/>
      <c r="E181" s="116"/>
      <c r="F181" s="116"/>
      <c r="G181" s="116"/>
      <c r="H181" s="113"/>
      <c r="I181" s="228"/>
      <c r="J181" s="161" t="s">
        <v>114</v>
      </c>
      <c r="K181" s="226" t="s">
        <v>115</v>
      </c>
      <c r="L181" s="108"/>
      <c r="M181" s="108"/>
      <c r="N181" s="108"/>
      <c r="O181" s="229">
        <v>2</v>
      </c>
      <c r="P181" s="324"/>
      <c r="Q181" s="123"/>
    </row>
    <row r="182" spans="1:23" ht="16.5" customHeight="1" x14ac:dyDescent="0.25">
      <c r="A182" s="315"/>
      <c r="B182" s="359"/>
      <c r="C182" s="357"/>
      <c r="D182" s="116"/>
      <c r="E182" s="116"/>
      <c r="F182" s="116"/>
      <c r="G182" s="116"/>
      <c r="H182" s="113"/>
      <c r="I182" s="228"/>
      <c r="J182" s="161" t="s">
        <v>114</v>
      </c>
      <c r="K182" s="226" t="s">
        <v>117</v>
      </c>
      <c r="L182" s="108"/>
      <c r="M182" s="108"/>
      <c r="N182" s="108"/>
      <c r="O182" s="229">
        <v>2</v>
      </c>
      <c r="P182" s="324"/>
      <c r="Q182" s="123"/>
    </row>
    <row r="183" spans="1:23" ht="16.5" customHeight="1" x14ac:dyDescent="0.25">
      <c r="A183" s="331"/>
      <c r="B183" s="359"/>
      <c r="C183" s="357"/>
      <c r="D183" s="116"/>
      <c r="E183" s="116"/>
      <c r="F183" s="116"/>
      <c r="G183" s="116"/>
      <c r="H183" s="113"/>
      <c r="I183" s="228"/>
      <c r="J183" s="161" t="s">
        <v>114</v>
      </c>
      <c r="K183" s="226" t="s">
        <v>118</v>
      </c>
      <c r="L183" s="108"/>
      <c r="M183" s="108"/>
      <c r="N183" s="108"/>
      <c r="O183" s="229">
        <v>1</v>
      </c>
      <c r="P183" s="324"/>
      <c r="Q183" s="123"/>
    </row>
    <row r="184" spans="1:23" ht="16.5" customHeight="1" x14ac:dyDescent="0.25">
      <c r="A184" s="314">
        <v>19</v>
      </c>
      <c r="B184" s="358">
        <v>1311667495</v>
      </c>
      <c r="C184" s="369" t="s">
        <v>40</v>
      </c>
      <c r="D184" s="300"/>
      <c r="E184" s="300"/>
      <c r="F184" s="300"/>
      <c r="G184" s="300"/>
      <c r="H184" s="321"/>
      <c r="I184" s="321"/>
      <c r="J184" s="189" t="s">
        <v>411</v>
      </c>
      <c r="K184" s="108" t="s">
        <v>391</v>
      </c>
      <c r="L184" s="108"/>
      <c r="M184" s="108">
        <v>3</v>
      </c>
      <c r="N184" s="108">
        <v>1</v>
      </c>
      <c r="O184" s="109">
        <f t="shared" ref="O184:O185" si="10">+M184*N184</f>
        <v>3</v>
      </c>
      <c r="P184" s="324">
        <f>SUM(O184:O193)</f>
        <v>40</v>
      </c>
      <c r="Q184" s="107">
        <f>+O184+O186+O185+O187</f>
        <v>24</v>
      </c>
    </row>
    <row r="185" spans="1:23" ht="16.5" customHeight="1" x14ac:dyDescent="0.25">
      <c r="A185" s="315"/>
      <c r="B185" s="359"/>
      <c r="C185" s="370"/>
      <c r="D185" s="300"/>
      <c r="E185" s="300"/>
      <c r="F185" s="300"/>
      <c r="G185" s="300"/>
      <c r="H185" s="321"/>
      <c r="I185" s="321"/>
      <c r="J185" s="189" t="s">
        <v>411</v>
      </c>
      <c r="K185" s="108" t="s">
        <v>390</v>
      </c>
      <c r="L185" s="108" t="s">
        <v>113</v>
      </c>
      <c r="M185" s="108">
        <v>5</v>
      </c>
      <c r="N185" s="108">
        <v>2</v>
      </c>
      <c r="O185" s="109">
        <f t="shared" si="10"/>
        <v>10</v>
      </c>
      <c r="P185" s="324"/>
      <c r="Q185" s="123"/>
    </row>
    <row r="186" spans="1:23" ht="16.5" customHeight="1" x14ac:dyDescent="0.25">
      <c r="A186" s="315"/>
      <c r="B186" s="359"/>
      <c r="C186" s="370"/>
      <c r="D186" s="300"/>
      <c r="E186" s="300"/>
      <c r="F186" s="300"/>
      <c r="G186" s="300"/>
      <c r="H186" s="321"/>
      <c r="I186" s="321"/>
      <c r="J186" s="189" t="s">
        <v>411</v>
      </c>
      <c r="K186" s="108" t="s">
        <v>303</v>
      </c>
      <c r="L186" s="108"/>
      <c r="M186" s="108">
        <v>4</v>
      </c>
      <c r="N186" s="108">
        <v>2</v>
      </c>
      <c r="O186" s="151">
        <f>+M186*N186</f>
        <v>8</v>
      </c>
      <c r="P186" s="324"/>
      <c r="Q186" s="123"/>
    </row>
    <row r="187" spans="1:23" ht="16.5" customHeight="1" x14ac:dyDescent="0.25">
      <c r="A187" s="315"/>
      <c r="B187" s="359"/>
      <c r="C187" s="370"/>
      <c r="D187" s="300"/>
      <c r="E187" s="300"/>
      <c r="F187" s="300"/>
      <c r="G187" s="300"/>
      <c r="H187" s="321"/>
      <c r="I187" s="321"/>
      <c r="J187" s="189" t="s">
        <v>425</v>
      </c>
      <c r="K187" s="108" t="s">
        <v>480</v>
      </c>
      <c r="L187" s="108"/>
      <c r="M187" s="108">
        <v>3</v>
      </c>
      <c r="N187" s="108">
        <v>1</v>
      </c>
      <c r="O187" s="151">
        <v>3</v>
      </c>
      <c r="P187" s="324"/>
      <c r="Q187" s="123"/>
    </row>
    <row r="188" spans="1:23" ht="16.5" customHeight="1" x14ac:dyDescent="0.25">
      <c r="A188" s="315"/>
      <c r="B188" s="359"/>
      <c r="C188" s="370"/>
      <c r="D188" s="300"/>
      <c r="E188" s="300"/>
      <c r="F188" s="300"/>
      <c r="G188" s="300"/>
      <c r="H188" s="321"/>
      <c r="I188" s="321"/>
      <c r="J188" s="191" t="s">
        <v>114</v>
      </c>
      <c r="K188" s="119" t="s">
        <v>116</v>
      </c>
      <c r="L188" s="105"/>
      <c r="M188" s="105"/>
      <c r="N188" s="105"/>
      <c r="O188" s="124">
        <v>5</v>
      </c>
      <c r="P188" s="324"/>
      <c r="Q188" s="123"/>
    </row>
    <row r="189" spans="1:23" ht="15" x14ac:dyDescent="0.25">
      <c r="A189" s="315"/>
      <c r="B189" s="359"/>
      <c r="C189" s="370"/>
      <c r="D189" s="300"/>
      <c r="E189" s="300"/>
      <c r="F189" s="300"/>
      <c r="G189" s="300"/>
      <c r="H189" s="321"/>
      <c r="I189" s="321"/>
      <c r="J189" s="191" t="s">
        <v>114</v>
      </c>
      <c r="K189" s="105" t="s">
        <v>115</v>
      </c>
      <c r="L189" s="105"/>
      <c r="M189" s="105"/>
      <c r="N189" s="105"/>
      <c r="O189" s="124">
        <v>3</v>
      </c>
      <c r="P189" s="324"/>
    </row>
    <row r="190" spans="1:23" ht="15" x14ac:dyDescent="0.25">
      <c r="A190" s="315"/>
      <c r="B190" s="359"/>
      <c r="C190" s="370"/>
      <c r="D190" s="300"/>
      <c r="E190" s="300"/>
      <c r="F190" s="300"/>
      <c r="G190" s="300"/>
      <c r="H190" s="321"/>
      <c r="I190" s="321"/>
      <c r="J190" s="191" t="s">
        <v>114</v>
      </c>
      <c r="K190" s="105" t="s">
        <v>117</v>
      </c>
      <c r="L190" s="105"/>
      <c r="M190" s="105"/>
      <c r="N190" s="105"/>
      <c r="O190" s="124">
        <v>3</v>
      </c>
      <c r="P190" s="324"/>
    </row>
    <row r="191" spans="1:23" ht="15" x14ac:dyDescent="0.25">
      <c r="A191" s="315"/>
      <c r="B191" s="359"/>
      <c r="C191" s="370"/>
      <c r="D191" s="300"/>
      <c r="E191" s="300"/>
      <c r="F191" s="300"/>
      <c r="G191" s="300"/>
      <c r="H191" s="321"/>
      <c r="I191" s="321"/>
      <c r="J191" s="191" t="s">
        <v>114</v>
      </c>
      <c r="K191" s="105" t="s">
        <v>118</v>
      </c>
      <c r="L191" s="105"/>
      <c r="M191" s="105"/>
      <c r="N191" s="105"/>
      <c r="O191" s="124">
        <v>1</v>
      </c>
      <c r="P191" s="324"/>
    </row>
    <row r="192" spans="1:23" ht="24" x14ac:dyDescent="0.25">
      <c r="A192" s="315"/>
      <c r="B192" s="359"/>
      <c r="C192" s="370"/>
      <c r="D192" s="300"/>
      <c r="E192" s="300"/>
      <c r="F192" s="300"/>
      <c r="G192" s="300"/>
      <c r="H192" s="321"/>
      <c r="I192" s="321"/>
      <c r="J192" s="105" t="s">
        <v>112</v>
      </c>
      <c r="K192" s="144" t="s">
        <v>298</v>
      </c>
      <c r="L192" s="105"/>
      <c r="M192" s="142"/>
      <c r="N192" s="142"/>
      <c r="O192" s="175">
        <v>2</v>
      </c>
      <c r="P192" s="324"/>
    </row>
    <row r="193" spans="1:20" ht="24" x14ac:dyDescent="0.25">
      <c r="A193" s="367"/>
      <c r="B193" s="368"/>
      <c r="C193" s="371"/>
      <c r="D193" s="300"/>
      <c r="E193" s="300"/>
      <c r="F193" s="300"/>
      <c r="G193" s="300"/>
      <c r="H193" s="321"/>
      <c r="I193" s="321"/>
      <c r="J193" s="115" t="s">
        <v>411</v>
      </c>
      <c r="K193" s="156" t="s">
        <v>349</v>
      </c>
      <c r="L193" s="157" t="s">
        <v>113</v>
      </c>
      <c r="M193" s="157"/>
      <c r="N193" s="172"/>
      <c r="O193" s="200">
        <v>2</v>
      </c>
      <c r="P193" s="324"/>
    </row>
    <row r="194" spans="1:20" ht="18.75" customHeight="1" x14ac:dyDescent="0.25">
      <c r="A194" s="306">
        <v>20</v>
      </c>
      <c r="B194" s="313"/>
      <c r="C194" s="292" t="s">
        <v>196</v>
      </c>
      <c r="D194" s="323"/>
      <c r="E194" s="323"/>
      <c r="F194" s="323"/>
      <c r="G194" s="323"/>
      <c r="H194" s="322"/>
      <c r="I194" s="322"/>
      <c r="J194" s="197" t="s">
        <v>411</v>
      </c>
      <c r="K194" s="198" t="s">
        <v>388</v>
      </c>
      <c r="L194" s="198"/>
      <c r="M194" s="198">
        <v>4</v>
      </c>
      <c r="N194" s="198">
        <v>1</v>
      </c>
      <c r="O194" s="212">
        <f>+M194*N194</f>
        <v>4</v>
      </c>
      <c r="P194" s="324">
        <f>SUM(O194:O200)</f>
        <v>40</v>
      </c>
      <c r="Q194" s="125">
        <f>+O194</f>
        <v>4</v>
      </c>
    </row>
    <row r="195" spans="1:20" ht="18.75" customHeight="1" x14ac:dyDescent="0.25">
      <c r="A195" s="306"/>
      <c r="B195" s="313"/>
      <c r="C195" s="292"/>
      <c r="D195" s="323"/>
      <c r="E195" s="323"/>
      <c r="F195" s="323"/>
      <c r="G195" s="323"/>
      <c r="H195" s="322"/>
      <c r="I195" s="322"/>
      <c r="J195" s="197"/>
      <c r="K195" s="198" t="s">
        <v>378</v>
      </c>
      <c r="L195" s="198"/>
      <c r="M195" s="198"/>
      <c r="N195" s="198"/>
      <c r="O195" s="199">
        <v>27</v>
      </c>
      <c r="P195" s="324"/>
      <c r="Q195" s="123"/>
    </row>
    <row r="196" spans="1:20" ht="18.75" customHeight="1" x14ac:dyDescent="0.25">
      <c r="A196" s="306"/>
      <c r="B196" s="313"/>
      <c r="C196" s="292"/>
      <c r="D196" s="323"/>
      <c r="E196" s="323"/>
      <c r="F196" s="323"/>
      <c r="G196" s="323"/>
      <c r="H196" s="322"/>
      <c r="I196" s="322"/>
      <c r="J196" s="197" t="s">
        <v>114</v>
      </c>
      <c r="K196" s="147" t="s">
        <v>116</v>
      </c>
      <c r="L196" s="161"/>
      <c r="M196" s="161"/>
      <c r="N196" s="161"/>
      <c r="O196" s="194">
        <v>1</v>
      </c>
      <c r="P196" s="324"/>
      <c r="Q196" s="123"/>
    </row>
    <row r="197" spans="1:20" ht="18.75" customHeight="1" x14ac:dyDescent="0.25">
      <c r="A197" s="306"/>
      <c r="B197" s="313"/>
      <c r="C197" s="292"/>
      <c r="D197" s="323"/>
      <c r="E197" s="323"/>
      <c r="F197" s="323"/>
      <c r="G197" s="323"/>
      <c r="H197" s="322"/>
      <c r="I197" s="322"/>
      <c r="J197" s="197" t="s">
        <v>114</v>
      </c>
      <c r="K197" s="161" t="s">
        <v>115</v>
      </c>
      <c r="L197" s="161"/>
      <c r="M197" s="161"/>
      <c r="N197" s="161"/>
      <c r="O197" s="194">
        <v>1</v>
      </c>
      <c r="P197" s="324"/>
    </row>
    <row r="198" spans="1:20" ht="18.75" customHeight="1" x14ac:dyDescent="0.25">
      <c r="A198" s="306"/>
      <c r="B198" s="313"/>
      <c r="C198" s="292"/>
      <c r="D198" s="323"/>
      <c r="E198" s="323"/>
      <c r="F198" s="323"/>
      <c r="G198" s="323"/>
      <c r="H198" s="322"/>
      <c r="I198" s="322"/>
      <c r="J198" s="197" t="s">
        <v>114</v>
      </c>
      <c r="K198" s="161" t="s">
        <v>117</v>
      </c>
      <c r="L198" s="161"/>
      <c r="M198" s="161"/>
      <c r="N198" s="161"/>
      <c r="O198" s="194">
        <v>1</v>
      </c>
      <c r="P198" s="324"/>
    </row>
    <row r="199" spans="1:20" ht="18.75" customHeight="1" x14ac:dyDescent="0.25">
      <c r="A199" s="306"/>
      <c r="B199" s="313"/>
      <c r="C199" s="292"/>
      <c r="D199" s="323"/>
      <c r="E199" s="323"/>
      <c r="F199" s="323"/>
      <c r="G199" s="323"/>
      <c r="H199" s="322"/>
      <c r="I199" s="322"/>
      <c r="J199" s="197" t="s">
        <v>114</v>
      </c>
      <c r="K199" s="161" t="s">
        <v>118</v>
      </c>
      <c r="L199" s="161"/>
      <c r="M199" s="161"/>
      <c r="N199" s="161"/>
      <c r="O199" s="194">
        <v>1</v>
      </c>
      <c r="P199" s="324"/>
    </row>
    <row r="200" spans="1:20" ht="18.75" customHeight="1" x14ac:dyDescent="0.25">
      <c r="A200" s="306"/>
      <c r="B200" s="313"/>
      <c r="C200" s="292"/>
      <c r="D200" s="323"/>
      <c r="E200" s="323"/>
      <c r="F200" s="323"/>
      <c r="G200" s="323"/>
      <c r="H200" s="322"/>
      <c r="I200" s="322"/>
      <c r="J200" s="115" t="s">
        <v>411</v>
      </c>
      <c r="K200" s="156" t="s">
        <v>349</v>
      </c>
      <c r="L200" s="161"/>
      <c r="M200" s="163"/>
      <c r="N200" s="163"/>
      <c r="O200" s="164">
        <v>5</v>
      </c>
      <c r="P200" s="324"/>
    </row>
    <row r="201" spans="1:20" ht="15" x14ac:dyDescent="0.25">
      <c r="A201" s="306">
        <v>21</v>
      </c>
      <c r="B201" s="313"/>
      <c r="C201" s="292" t="s">
        <v>356</v>
      </c>
      <c r="D201" s="161" t="s">
        <v>119</v>
      </c>
      <c r="E201" s="161" t="s">
        <v>111</v>
      </c>
      <c r="F201" s="161"/>
      <c r="G201" s="161" t="s">
        <v>137</v>
      </c>
      <c r="H201" s="196" t="s">
        <v>128</v>
      </c>
      <c r="I201" s="196" t="s">
        <v>138</v>
      </c>
      <c r="J201" s="197" t="s">
        <v>411</v>
      </c>
      <c r="K201" s="198" t="s">
        <v>346</v>
      </c>
      <c r="L201" s="198"/>
      <c r="M201" s="198">
        <v>4</v>
      </c>
      <c r="N201" s="198">
        <v>1</v>
      </c>
      <c r="O201" s="199">
        <f t="shared" ref="O201:O202" si="11">+M201*N201</f>
        <v>4</v>
      </c>
      <c r="P201" s="352">
        <f>SUM(O201:O214)</f>
        <v>40</v>
      </c>
      <c r="Q201" s="107">
        <f>+O201</f>
        <v>4</v>
      </c>
    </row>
    <row r="202" spans="1:20" ht="15" x14ac:dyDescent="0.25">
      <c r="A202" s="306"/>
      <c r="B202" s="313"/>
      <c r="C202" s="292"/>
      <c r="D202" s="161"/>
      <c r="E202" s="161"/>
      <c r="F202" s="161"/>
      <c r="G202" s="161"/>
      <c r="H202" s="196"/>
      <c r="I202" s="196"/>
      <c r="J202" s="197" t="s">
        <v>411</v>
      </c>
      <c r="K202" s="198" t="s">
        <v>351</v>
      </c>
      <c r="L202" s="198"/>
      <c r="M202" s="198">
        <v>4</v>
      </c>
      <c r="N202" s="198">
        <v>1</v>
      </c>
      <c r="O202" s="242">
        <f t="shared" si="11"/>
        <v>4</v>
      </c>
      <c r="P202" s="353"/>
      <c r="Q202"/>
    </row>
    <row r="203" spans="1:20" ht="15" x14ac:dyDescent="0.25">
      <c r="A203" s="306"/>
      <c r="B203" s="313"/>
      <c r="C203" s="292"/>
      <c r="D203" s="161"/>
      <c r="E203" s="161"/>
      <c r="F203" s="161"/>
      <c r="G203" s="161"/>
      <c r="H203" s="196"/>
      <c r="I203" s="196"/>
      <c r="J203" s="243" t="s">
        <v>421</v>
      </c>
      <c r="K203" s="243" t="s">
        <v>422</v>
      </c>
      <c r="L203" s="198"/>
      <c r="M203" s="244">
        <v>5</v>
      </c>
      <c r="N203" s="244">
        <v>2</v>
      </c>
      <c r="O203" s="245">
        <f t="shared" ref="O203" si="12">M203*N203</f>
        <v>10</v>
      </c>
      <c r="P203" s="353"/>
      <c r="Q203"/>
    </row>
    <row r="204" spans="1:20" ht="24" x14ac:dyDescent="0.25">
      <c r="A204" s="306"/>
      <c r="B204" s="313"/>
      <c r="C204" s="292"/>
      <c r="D204" s="161"/>
      <c r="E204" s="161"/>
      <c r="F204" s="161"/>
      <c r="G204" s="161"/>
      <c r="H204" s="196"/>
      <c r="I204" s="196"/>
      <c r="J204" s="243" t="s">
        <v>423</v>
      </c>
      <c r="K204" s="243" t="s">
        <v>424</v>
      </c>
      <c r="L204" s="198"/>
      <c r="M204" s="244">
        <v>3</v>
      </c>
      <c r="N204" s="244">
        <v>1</v>
      </c>
      <c r="O204" s="245">
        <f t="shared" ref="O204" si="13">M204*N204</f>
        <v>3</v>
      </c>
      <c r="P204" s="353"/>
      <c r="Q204"/>
    </row>
    <row r="205" spans="1:20" ht="24" x14ac:dyDescent="0.25">
      <c r="A205" s="306"/>
      <c r="B205" s="313"/>
      <c r="C205" s="292"/>
      <c r="D205" s="161"/>
      <c r="E205" s="161"/>
      <c r="F205" s="161"/>
      <c r="G205" s="161"/>
      <c r="H205" s="196"/>
      <c r="I205" s="196"/>
      <c r="J205" s="243" t="s">
        <v>425</v>
      </c>
      <c r="K205" s="243" t="s">
        <v>426</v>
      </c>
      <c r="L205" s="198"/>
      <c r="M205" s="244">
        <v>1</v>
      </c>
      <c r="N205" s="244">
        <v>1</v>
      </c>
      <c r="O205" s="245">
        <v>1</v>
      </c>
      <c r="P205" s="353"/>
      <c r="Q205"/>
    </row>
    <row r="206" spans="1:20" ht="24" x14ac:dyDescent="0.25">
      <c r="A206" s="306"/>
      <c r="B206" s="313"/>
      <c r="C206" s="292"/>
      <c r="D206" s="161"/>
      <c r="E206" s="161"/>
      <c r="F206" s="161"/>
      <c r="G206" s="161"/>
      <c r="H206" s="196"/>
      <c r="I206" s="196"/>
      <c r="J206" s="243" t="s">
        <v>412</v>
      </c>
      <c r="K206" s="243" t="s">
        <v>426</v>
      </c>
      <c r="L206" s="198"/>
      <c r="M206" s="244">
        <v>3</v>
      </c>
      <c r="N206" s="244">
        <v>1</v>
      </c>
      <c r="O206" s="245">
        <v>3</v>
      </c>
      <c r="P206" s="353"/>
      <c r="Q206"/>
    </row>
    <row r="207" spans="1:20" ht="24" x14ac:dyDescent="0.25">
      <c r="A207" s="306"/>
      <c r="B207" s="313"/>
      <c r="C207" s="292"/>
      <c r="D207" s="161"/>
      <c r="E207" s="161"/>
      <c r="F207" s="161"/>
      <c r="G207" s="161"/>
      <c r="H207" s="196"/>
      <c r="I207" s="196"/>
      <c r="J207" s="243" t="s">
        <v>427</v>
      </c>
      <c r="K207" s="243" t="s">
        <v>426</v>
      </c>
      <c r="L207" s="198"/>
      <c r="M207" s="244">
        <v>1</v>
      </c>
      <c r="N207" s="244">
        <v>1</v>
      </c>
      <c r="O207" s="245">
        <v>1</v>
      </c>
      <c r="P207" s="353"/>
      <c r="Q207"/>
    </row>
    <row r="208" spans="1:20" ht="18.75" customHeight="1" x14ac:dyDescent="0.25">
      <c r="A208" s="306"/>
      <c r="B208" s="313"/>
      <c r="C208" s="292"/>
      <c r="D208" s="161"/>
      <c r="E208" s="161"/>
      <c r="F208" s="161"/>
      <c r="G208" s="161"/>
      <c r="H208" s="196"/>
      <c r="I208" s="196"/>
      <c r="J208" s="237" t="s">
        <v>114</v>
      </c>
      <c r="K208" s="161" t="s">
        <v>432</v>
      </c>
      <c r="L208" s="161"/>
      <c r="M208" s="161"/>
      <c r="N208" s="161"/>
      <c r="O208" s="194">
        <v>3</v>
      </c>
      <c r="P208" s="353"/>
      <c r="Q208" s="213" t="s">
        <v>428</v>
      </c>
      <c r="R208" s="213"/>
      <c r="S208" s="213"/>
      <c r="T208" s="213"/>
    </row>
    <row r="209" spans="1:20" ht="18.75" customHeight="1" x14ac:dyDescent="0.25">
      <c r="A209" s="306"/>
      <c r="B209" s="313"/>
      <c r="C209" s="292"/>
      <c r="D209" s="161"/>
      <c r="E209" s="161"/>
      <c r="F209" s="161"/>
      <c r="G209" s="161"/>
      <c r="H209" s="196"/>
      <c r="I209" s="196"/>
      <c r="J209" s="237" t="s">
        <v>114</v>
      </c>
      <c r="K209" s="161" t="s">
        <v>429</v>
      </c>
      <c r="L209" s="161"/>
      <c r="M209" s="161"/>
      <c r="N209" s="161"/>
      <c r="O209" s="194">
        <v>1</v>
      </c>
      <c r="P209" s="353"/>
      <c r="Q209" s="213"/>
      <c r="R209" s="213"/>
      <c r="S209" s="213"/>
      <c r="T209" s="213"/>
    </row>
    <row r="210" spans="1:20" ht="18.75" customHeight="1" x14ac:dyDescent="0.25">
      <c r="A210" s="306"/>
      <c r="B210" s="313"/>
      <c r="C210" s="292"/>
      <c r="D210" s="161"/>
      <c r="E210" s="161"/>
      <c r="F210" s="161"/>
      <c r="G210" s="161"/>
      <c r="H210" s="196"/>
      <c r="I210" s="196"/>
      <c r="J210" s="237" t="s">
        <v>114</v>
      </c>
      <c r="K210" s="147" t="s">
        <v>433</v>
      </c>
      <c r="L210" s="161"/>
      <c r="M210" s="161"/>
      <c r="N210" s="161"/>
      <c r="O210" s="194">
        <v>4</v>
      </c>
      <c r="P210" s="353"/>
      <c r="Q210"/>
    </row>
    <row r="211" spans="1:20" ht="18.75" customHeight="1" x14ac:dyDescent="0.25">
      <c r="A211" s="306"/>
      <c r="B211" s="313"/>
      <c r="C211" s="292"/>
      <c r="D211" s="161"/>
      <c r="E211" s="161"/>
      <c r="F211" s="161"/>
      <c r="G211" s="161"/>
      <c r="H211" s="196"/>
      <c r="I211" s="196"/>
      <c r="J211" s="237" t="s">
        <v>114</v>
      </c>
      <c r="K211" s="147" t="s">
        <v>430</v>
      </c>
      <c r="L211" s="161"/>
      <c r="M211" s="161"/>
      <c r="N211" s="161"/>
      <c r="O211" s="194">
        <v>1</v>
      </c>
      <c r="P211" s="353"/>
      <c r="Q211"/>
    </row>
    <row r="212" spans="1:20" ht="18.75" customHeight="1" x14ac:dyDescent="0.25">
      <c r="A212" s="306"/>
      <c r="B212" s="313"/>
      <c r="C212" s="292"/>
      <c r="D212" s="161"/>
      <c r="E212" s="161"/>
      <c r="F212" s="161"/>
      <c r="G212" s="161"/>
      <c r="H212" s="196"/>
      <c r="I212" s="196"/>
      <c r="J212" s="105" t="s">
        <v>114</v>
      </c>
      <c r="K212" s="105" t="s">
        <v>434</v>
      </c>
      <c r="L212" s="105"/>
      <c r="M212" s="105"/>
      <c r="N212" s="105"/>
      <c r="O212" s="110">
        <v>3</v>
      </c>
      <c r="P212" s="353"/>
      <c r="Q212"/>
    </row>
    <row r="213" spans="1:20" ht="18.75" customHeight="1" x14ac:dyDescent="0.25">
      <c r="A213" s="306"/>
      <c r="B213" s="313"/>
      <c r="C213" s="292"/>
      <c r="D213" s="161"/>
      <c r="E213" s="161"/>
      <c r="F213" s="161"/>
      <c r="G213" s="161"/>
      <c r="H213" s="196"/>
      <c r="I213" s="196"/>
      <c r="J213" s="105" t="s">
        <v>114</v>
      </c>
      <c r="K213" s="105" t="s">
        <v>431</v>
      </c>
      <c r="L213" s="105"/>
      <c r="M213" s="105"/>
      <c r="N213" s="105"/>
      <c r="O213" s="110">
        <v>1</v>
      </c>
      <c r="P213" s="353"/>
      <c r="Q213"/>
    </row>
    <row r="214" spans="1:20" ht="18.75" customHeight="1" x14ac:dyDescent="0.25">
      <c r="A214" s="306"/>
      <c r="B214" s="313"/>
      <c r="C214" s="292"/>
      <c r="D214" s="161"/>
      <c r="E214" s="161"/>
      <c r="F214" s="161"/>
      <c r="G214" s="161"/>
      <c r="H214" s="196"/>
      <c r="I214" s="196"/>
      <c r="J214" s="105" t="s">
        <v>114</v>
      </c>
      <c r="K214" s="105" t="s">
        <v>118</v>
      </c>
      <c r="L214" s="105"/>
      <c r="M214" s="105"/>
      <c r="N214" s="105"/>
      <c r="O214" s="110">
        <v>1</v>
      </c>
      <c r="P214" s="354"/>
      <c r="Q214"/>
    </row>
    <row r="215" spans="1:20" ht="16.5" customHeight="1" x14ac:dyDescent="0.25">
      <c r="A215" s="315">
        <v>22</v>
      </c>
      <c r="B215" s="317">
        <v>1309029815</v>
      </c>
      <c r="C215" s="346" t="s">
        <v>192</v>
      </c>
      <c r="D215" s="300" t="s">
        <v>110</v>
      </c>
      <c r="E215" s="300" t="s">
        <v>111</v>
      </c>
      <c r="F215" s="300"/>
      <c r="G215" s="300" t="s">
        <v>133</v>
      </c>
      <c r="H215" s="321" t="s">
        <v>193</v>
      </c>
      <c r="I215" s="321" t="s">
        <v>194</v>
      </c>
      <c r="J215" s="189" t="s">
        <v>411</v>
      </c>
      <c r="K215" s="159" t="s">
        <v>306</v>
      </c>
      <c r="L215" s="159" t="s">
        <v>113</v>
      </c>
      <c r="M215" s="159">
        <v>5</v>
      </c>
      <c r="N215" s="159">
        <v>2</v>
      </c>
      <c r="O215" s="160">
        <f>+M215*N215</f>
        <v>10</v>
      </c>
      <c r="P215" s="338">
        <f>SUM(O215:O223)</f>
        <v>40</v>
      </c>
      <c r="Q215" s="206">
        <f>+O215+O216+O217</f>
        <v>18</v>
      </c>
    </row>
    <row r="216" spans="1:20" ht="16.5" customHeight="1" x14ac:dyDescent="0.25">
      <c r="A216" s="315"/>
      <c r="B216" s="317"/>
      <c r="C216" s="346"/>
      <c r="D216" s="300"/>
      <c r="E216" s="300"/>
      <c r="F216" s="300"/>
      <c r="G216" s="300"/>
      <c r="H216" s="321"/>
      <c r="I216" s="321"/>
      <c r="J216" s="189" t="s">
        <v>352</v>
      </c>
      <c r="K216" s="159" t="s">
        <v>376</v>
      </c>
      <c r="L216" s="159"/>
      <c r="M216" s="159">
        <v>4</v>
      </c>
      <c r="N216" s="159">
        <v>1</v>
      </c>
      <c r="O216" s="160">
        <f>+M216*N216</f>
        <v>4</v>
      </c>
      <c r="P216" s="338"/>
      <c r="Q216" s="123"/>
    </row>
    <row r="217" spans="1:20" ht="16.5" customHeight="1" x14ac:dyDescent="0.25">
      <c r="A217" s="315"/>
      <c r="B217" s="317"/>
      <c r="C217" s="346"/>
      <c r="D217" s="300"/>
      <c r="E217" s="300"/>
      <c r="F217" s="300"/>
      <c r="G217" s="300"/>
      <c r="H217" s="321"/>
      <c r="I217" s="321"/>
      <c r="J217" s="189" t="s">
        <v>352</v>
      </c>
      <c r="K217" s="159" t="s">
        <v>377</v>
      </c>
      <c r="L217" s="159"/>
      <c r="M217" s="159">
        <v>4</v>
      </c>
      <c r="N217" s="159">
        <v>1</v>
      </c>
      <c r="O217" s="160">
        <f>+M217*N217</f>
        <v>4</v>
      </c>
      <c r="P217" s="338"/>
      <c r="Q217" s="123"/>
    </row>
    <row r="218" spans="1:20" ht="15" x14ac:dyDescent="0.25">
      <c r="A218" s="315"/>
      <c r="B218" s="317"/>
      <c r="C218" s="346"/>
      <c r="D218" s="300"/>
      <c r="E218" s="300"/>
      <c r="F218" s="300"/>
      <c r="G218" s="300"/>
      <c r="H218" s="321"/>
      <c r="I218" s="321"/>
      <c r="J218" s="105" t="s">
        <v>114</v>
      </c>
      <c r="K218" s="105" t="s">
        <v>116</v>
      </c>
      <c r="L218" s="105"/>
      <c r="M218" s="105"/>
      <c r="N218" s="105"/>
      <c r="O218" s="110">
        <v>4</v>
      </c>
      <c r="P218" s="338"/>
    </row>
    <row r="219" spans="1:20" ht="15" x14ac:dyDescent="0.25">
      <c r="A219" s="315"/>
      <c r="B219" s="317"/>
      <c r="C219" s="346"/>
      <c r="D219" s="300"/>
      <c r="E219" s="300"/>
      <c r="F219" s="300"/>
      <c r="G219" s="300"/>
      <c r="H219" s="321"/>
      <c r="I219" s="321"/>
      <c r="J219" s="105" t="s">
        <v>114</v>
      </c>
      <c r="K219" s="105" t="s">
        <v>115</v>
      </c>
      <c r="L219" s="105"/>
      <c r="M219" s="105"/>
      <c r="N219" s="105"/>
      <c r="O219" s="110">
        <v>3</v>
      </c>
      <c r="P219" s="338"/>
    </row>
    <row r="220" spans="1:20" ht="15" x14ac:dyDescent="0.25">
      <c r="A220" s="315"/>
      <c r="B220" s="317"/>
      <c r="C220" s="346"/>
      <c r="D220" s="300"/>
      <c r="E220" s="300"/>
      <c r="F220" s="300"/>
      <c r="G220" s="300"/>
      <c r="H220" s="321"/>
      <c r="I220" s="321"/>
      <c r="J220" s="105" t="s">
        <v>114</v>
      </c>
      <c r="K220" s="105" t="s">
        <v>117</v>
      </c>
      <c r="L220" s="105"/>
      <c r="M220" s="105"/>
      <c r="N220" s="105"/>
      <c r="O220" s="110">
        <v>3</v>
      </c>
      <c r="P220" s="338"/>
    </row>
    <row r="221" spans="1:20" ht="15" x14ac:dyDescent="0.25">
      <c r="A221" s="315"/>
      <c r="B221" s="317"/>
      <c r="C221" s="346"/>
      <c r="D221" s="300"/>
      <c r="E221" s="300"/>
      <c r="F221" s="300"/>
      <c r="G221" s="300"/>
      <c r="H221" s="321"/>
      <c r="I221" s="321"/>
      <c r="J221" s="105" t="s">
        <v>114</v>
      </c>
      <c r="K221" s="105" t="s">
        <v>118</v>
      </c>
      <c r="L221" s="105"/>
      <c r="M221" s="105"/>
      <c r="N221" s="105"/>
      <c r="O221" s="110">
        <v>1</v>
      </c>
      <c r="P221" s="338"/>
    </row>
    <row r="222" spans="1:20" ht="21" customHeight="1" x14ac:dyDescent="0.25">
      <c r="A222" s="315"/>
      <c r="B222" s="317"/>
      <c r="C222" s="346"/>
      <c r="D222" s="300"/>
      <c r="E222" s="300"/>
      <c r="F222" s="300"/>
      <c r="G222" s="300"/>
      <c r="H222" s="321"/>
      <c r="I222" s="321"/>
      <c r="J222" s="105" t="s">
        <v>435</v>
      </c>
      <c r="K222" s="105" t="s">
        <v>131</v>
      </c>
      <c r="L222" s="105"/>
      <c r="M222" s="105"/>
      <c r="N222" s="105"/>
      <c r="O222" s="154">
        <v>5</v>
      </c>
      <c r="P222" s="338"/>
      <c r="Q222" s="394" t="s">
        <v>364</v>
      </c>
      <c r="R222" s="395"/>
      <c r="S222" s="395"/>
      <c r="T222" s="395"/>
    </row>
    <row r="223" spans="1:20" ht="24" x14ac:dyDescent="0.25">
      <c r="A223" s="315"/>
      <c r="B223" s="317"/>
      <c r="C223" s="346"/>
      <c r="D223" s="300"/>
      <c r="E223" s="300"/>
      <c r="F223" s="300"/>
      <c r="G223" s="300"/>
      <c r="H223" s="321"/>
      <c r="I223" s="321"/>
      <c r="J223" s="115" t="s">
        <v>112</v>
      </c>
      <c r="K223" s="156" t="s">
        <v>298</v>
      </c>
      <c r="L223" s="157" t="s">
        <v>139</v>
      </c>
      <c r="M223" s="157"/>
      <c r="N223" s="157"/>
      <c r="O223" s="158">
        <v>6</v>
      </c>
      <c r="P223" s="338"/>
    </row>
    <row r="224" spans="1:20" ht="15.75" customHeight="1" x14ac:dyDescent="0.25">
      <c r="A224" s="306">
        <v>23</v>
      </c>
      <c r="B224" s="313">
        <v>1350123640</v>
      </c>
      <c r="C224" s="292" t="s">
        <v>223</v>
      </c>
      <c r="D224" s="323" t="s">
        <v>119</v>
      </c>
      <c r="E224" s="323" t="s">
        <v>111</v>
      </c>
      <c r="F224" s="323"/>
      <c r="G224" s="161" t="s">
        <v>133</v>
      </c>
      <c r="H224" s="322" t="s">
        <v>195</v>
      </c>
      <c r="I224" s="322" t="s">
        <v>189</v>
      </c>
      <c r="J224" s="197" t="s">
        <v>411</v>
      </c>
      <c r="K224" s="198" t="s">
        <v>232</v>
      </c>
      <c r="L224" s="198" t="s">
        <v>113</v>
      </c>
      <c r="M224" s="198">
        <v>5</v>
      </c>
      <c r="N224" s="198">
        <v>2</v>
      </c>
      <c r="O224" s="199">
        <f>+M224*N224</f>
        <v>10</v>
      </c>
      <c r="P224" s="324">
        <f>SUM(O224:O231)</f>
        <v>40</v>
      </c>
      <c r="Q224" s="125">
        <f>+O224+O225</f>
        <v>13</v>
      </c>
    </row>
    <row r="225" spans="1:20" ht="15.75" customHeight="1" x14ac:dyDescent="0.25">
      <c r="A225" s="306"/>
      <c r="B225" s="313"/>
      <c r="C225" s="292"/>
      <c r="D225" s="323"/>
      <c r="E225" s="323"/>
      <c r="F225" s="323"/>
      <c r="G225" s="161"/>
      <c r="H225" s="322"/>
      <c r="I225" s="322"/>
      <c r="J225" s="197" t="s">
        <v>411</v>
      </c>
      <c r="K225" s="198" t="s">
        <v>55</v>
      </c>
      <c r="L225" s="198"/>
      <c r="M225" s="198">
        <v>3</v>
      </c>
      <c r="N225" s="198">
        <v>1</v>
      </c>
      <c r="O225" s="199">
        <f>+M225*N225</f>
        <v>3</v>
      </c>
      <c r="P225" s="324"/>
      <c r="Q225" s="123"/>
    </row>
    <row r="226" spans="1:20" ht="15.75" customHeight="1" x14ac:dyDescent="0.25">
      <c r="A226" s="306"/>
      <c r="B226" s="313"/>
      <c r="C226" s="292"/>
      <c r="D226" s="323"/>
      <c r="E226" s="323"/>
      <c r="F226" s="323"/>
      <c r="G226" s="161"/>
      <c r="H226" s="322"/>
      <c r="I226" s="322"/>
      <c r="J226" s="197" t="s">
        <v>142</v>
      </c>
      <c r="K226" s="202" t="s">
        <v>156</v>
      </c>
      <c r="L226" s="202"/>
      <c r="M226" s="202"/>
      <c r="N226" s="202"/>
      <c r="O226" s="193">
        <v>14</v>
      </c>
      <c r="P226" s="324"/>
    </row>
    <row r="227" spans="1:20" ht="15.75" customHeight="1" x14ac:dyDescent="0.25">
      <c r="A227" s="306"/>
      <c r="B227" s="313"/>
      <c r="C227" s="292"/>
      <c r="D227" s="323"/>
      <c r="E227" s="323"/>
      <c r="F227" s="323"/>
      <c r="G227" s="161"/>
      <c r="H227" s="322"/>
      <c r="I227" s="322"/>
      <c r="J227" s="197" t="s">
        <v>114</v>
      </c>
      <c r="K227" s="161" t="s">
        <v>116</v>
      </c>
      <c r="L227" s="161"/>
      <c r="M227" s="161"/>
      <c r="N227" s="161"/>
      <c r="O227" s="194">
        <v>3</v>
      </c>
      <c r="P227" s="324"/>
    </row>
    <row r="228" spans="1:20" ht="15" x14ac:dyDescent="0.25">
      <c r="A228" s="306"/>
      <c r="B228" s="313"/>
      <c r="C228" s="292"/>
      <c r="D228" s="323"/>
      <c r="E228" s="323"/>
      <c r="F228" s="323"/>
      <c r="G228" s="161"/>
      <c r="H228" s="322"/>
      <c r="I228" s="322"/>
      <c r="J228" s="197" t="s">
        <v>114</v>
      </c>
      <c r="K228" s="161" t="s">
        <v>117</v>
      </c>
      <c r="L228" s="161"/>
      <c r="M228" s="161"/>
      <c r="N228" s="161"/>
      <c r="O228" s="194">
        <v>2</v>
      </c>
      <c r="P228" s="324"/>
    </row>
    <row r="229" spans="1:20" ht="15" x14ac:dyDescent="0.25">
      <c r="A229" s="306"/>
      <c r="B229" s="313"/>
      <c r="C229" s="292"/>
      <c r="D229" s="323"/>
      <c r="E229" s="323"/>
      <c r="F229" s="323"/>
      <c r="G229" s="161"/>
      <c r="H229" s="322"/>
      <c r="I229" s="322"/>
      <c r="J229" s="197" t="s">
        <v>114</v>
      </c>
      <c r="K229" s="161" t="s">
        <v>115</v>
      </c>
      <c r="L229" s="161"/>
      <c r="M229" s="161"/>
      <c r="N229" s="161"/>
      <c r="O229" s="194">
        <v>2</v>
      </c>
      <c r="P229" s="324"/>
    </row>
    <row r="230" spans="1:20" ht="15" x14ac:dyDescent="0.25">
      <c r="A230" s="306"/>
      <c r="B230" s="313"/>
      <c r="C230" s="292"/>
      <c r="D230" s="323"/>
      <c r="E230" s="323"/>
      <c r="F230" s="323"/>
      <c r="G230" s="161"/>
      <c r="H230" s="322"/>
      <c r="I230" s="322"/>
      <c r="J230" s="197" t="s">
        <v>114</v>
      </c>
      <c r="K230" s="161" t="s">
        <v>118</v>
      </c>
      <c r="L230" s="161"/>
      <c r="M230" s="161"/>
      <c r="N230" s="161"/>
      <c r="O230" s="194">
        <v>1</v>
      </c>
      <c r="P230" s="324"/>
    </row>
    <row r="231" spans="1:20" ht="24" x14ac:dyDescent="0.25">
      <c r="A231" s="306"/>
      <c r="B231" s="313"/>
      <c r="C231" s="292"/>
      <c r="D231" s="323"/>
      <c r="E231" s="323"/>
      <c r="F231" s="323"/>
      <c r="G231" s="161"/>
      <c r="H231" s="322"/>
      <c r="I231" s="322"/>
      <c r="J231" s="161" t="s">
        <v>411</v>
      </c>
      <c r="K231" s="162" t="s">
        <v>349</v>
      </c>
      <c r="L231" s="163" t="s">
        <v>113</v>
      </c>
      <c r="M231" s="163"/>
      <c r="N231" s="173"/>
      <c r="O231" s="164">
        <v>5</v>
      </c>
      <c r="P231" s="324"/>
    </row>
    <row r="232" spans="1:20" ht="24" customHeight="1" x14ac:dyDescent="0.25">
      <c r="A232" s="306">
        <v>24</v>
      </c>
      <c r="B232" s="313"/>
      <c r="C232" s="292" t="s">
        <v>394</v>
      </c>
      <c r="D232" s="323" t="s">
        <v>119</v>
      </c>
      <c r="E232" s="323" t="s">
        <v>111</v>
      </c>
      <c r="F232" s="323"/>
      <c r="G232" s="161" t="s">
        <v>133</v>
      </c>
      <c r="H232" s="322" t="s">
        <v>195</v>
      </c>
      <c r="I232" s="322" t="s">
        <v>189</v>
      </c>
      <c r="J232" s="161" t="s">
        <v>411</v>
      </c>
      <c r="K232" s="161" t="s">
        <v>389</v>
      </c>
      <c r="L232" s="161" t="s">
        <v>113</v>
      </c>
      <c r="M232" s="161">
        <v>4</v>
      </c>
      <c r="N232" s="161">
        <v>1</v>
      </c>
      <c r="O232" s="194">
        <f>+M232*N232</f>
        <v>4</v>
      </c>
      <c r="P232" s="324">
        <f>SUM(O232:O233)</f>
        <v>4</v>
      </c>
      <c r="Q232" s="125">
        <f>+O232</f>
        <v>4</v>
      </c>
    </row>
    <row r="233" spans="1:20" ht="15.75" customHeight="1" x14ac:dyDescent="0.25">
      <c r="A233" s="306"/>
      <c r="B233" s="313"/>
      <c r="C233" s="292"/>
      <c r="D233" s="323"/>
      <c r="E233" s="323"/>
      <c r="F233" s="323"/>
      <c r="G233" s="161"/>
      <c r="H233" s="322"/>
      <c r="I233" s="322"/>
      <c r="J233" s="161"/>
      <c r="K233" s="161"/>
      <c r="L233" s="161"/>
      <c r="M233" s="161"/>
      <c r="N233" s="161"/>
      <c r="O233" s="194"/>
      <c r="P233" s="324"/>
    </row>
    <row r="234" spans="1:20" ht="21.6" customHeight="1" x14ac:dyDescent="0.25">
      <c r="A234" s="360">
        <v>25</v>
      </c>
      <c r="B234" s="327">
        <v>1312606476</v>
      </c>
      <c r="C234" s="364" t="s">
        <v>323</v>
      </c>
      <c r="D234" s="161" t="s">
        <v>119</v>
      </c>
      <c r="E234" s="161" t="s">
        <v>111</v>
      </c>
      <c r="F234" s="161"/>
      <c r="G234" s="161" t="s">
        <v>166</v>
      </c>
      <c r="H234" s="196" t="s">
        <v>188</v>
      </c>
      <c r="I234" s="196" t="s">
        <v>189</v>
      </c>
      <c r="J234" s="161" t="s">
        <v>411</v>
      </c>
      <c r="K234" s="161" t="s">
        <v>397</v>
      </c>
      <c r="L234" s="161" t="s">
        <v>113</v>
      </c>
      <c r="M234" s="161">
        <v>4</v>
      </c>
      <c r="N234" s="161">
        <v>1</v>
      </c>
      <c r="O234" s="194">
        <f t="shared" ref="O234" si="14">+M234*N234</f>
        <v>4</v>
      </c>
      <c r="P234" s="324">
        <f>SUM(O234:O237)</f>
        <v>12</v>
      </c>
      <c r="Q234" s="107">
        <f>+O234</f>
        <v>4</v>
      </c>
    </row>
    <row r="235" spans="1:20" ht="15" x14ac:dyDescent="0.25">
      <c r="A235" s="361"/>
      <c r="B235" s="363"/>
      <c r="C235" s="365"/>
      <c r="D235" s="161"/>
      <c r="E235" s="161"/>
      <c r="F235" s="161"/>
      <c r="G235" s="161"/>
      <c r="H235" s="196"/>
      <c r="I235" s="196"/>
      <c r="J235" s="161" t="s">
        <v>112</v>
      </c>
      <c r="K235" s="241" t="s">
        <v>413</v>
      </c>
      <c r="L235" s="161"/>
      <c r="M235" s="161">
        <v>6</v>
      </c>
      <c r="N235" s="161">
        <v>1</v>
      </c>
      <c r="O235" s="194">
        <v>6</v>
      </c>
      <c r="P235" s="324"/>
      <c r="Q235" s="123"/>
    </row>
    <row r="236" spans="1:20" ht="15" x14ac:dyDescent="0.25">
      <c r="A236" s="361"/>
      <c r="B236" s="363"/>
      <c r="C236" s="365"/>
      <c r="D236" s="161"/>
      <c r="E236" s="161"/>
      <c r="F236" s="161"/>
      <c r="G236" s="161"/>
      <c r="H236" s="196"/>
      <c r="I236" s="196"/>
      <c r="J236" s="161" t="s">
        <v>112</v>
      </c>
      <c r="K236" s="241" t="s">
        <v>415</v>
      </c>
      <c r="L236" s="161"/>
      <c r="M236" s="161">
        <v>1</v>
      </c>
      <c r="N236" s="161">
        <v>1</v>
      </c>
      <c r="O236" s="194">
        <v>1</v>
      </c>
      <c r="P236" s="324"/>
      <c r="Q236" s="123"/>
    </row>
    <row r="237" spans="1:20" ht="15" x14ac:dyDescent="0.25">
      <c r="A237" s="362"/>
      <c r="B237" s="325"/>
      <c r="C237" s="366"/>
      <c r="D237" s="161"/>
      <c r="E237" s="161"/>
      <c r="F237" s="161"/>
      <c r="G237" s="161"/>
      <c r="H237" s="196"/>
      <c r="I237" s="196"/>
      <c r="J237" s="161" t="s">
        <v>112</v>
      </c>
      <c r="K237" s="241" t="s">
        <v>414</v>
      </c>
      <c r="L237" s="161"/>
      <c r="M237" s="161">
        <v>1</v>
      </c>
      <c r="N237" s="161">
        <v>1</v>
      </c>
      <c r="O237" s="194">
        <v>1</v>
      </c>
      <c r="P237" s="324"/>
    </row>
    <row r="238" spans="1:20" ht="24" x14ac:dyDescent="0.25">
      <c r="A238" s="306">
        <v>26</v>
      </c>
      <c r="B238" s="313"/>
      <c r="C238" s="292" t="s">
        <v>436</v>
      </c>
      <c r="D238" s="161" t="s">
        <v>119</v>
      </c>
      <c r="E238" s="161" t="s">
        <v>111</v>
      </c>
      <c r="F238" s="161"/>
      <c r="G238" s="161" t="s">
        <v>137</v>
      </c>
      <c r="H238" s="196" t="s">
        <v>128</v>
      </c>
      <c r="I238" s="196" t="s">
        <v>138</v>
      </c>
      <c r="J238" s="161" t="s">
        <v>411</v>
      </c>
      <c r="K238" s="161" t="s">
        <v>344</v>
      </c>
      <c r="L238" s="161" t="s">
        <v>113</v>
      </c>
      <c r="M238" s="161">
        <v>5</v>
      </c>
      <c r="N238" s="161">
        <v>1</v>
      </c>
      <c r="O238" s="194">
        <f t="shared" ref="O238" si="15">+M238*N238</f>
        <v>5</v>
      </c>
      <c r="P238" s="352">
        <f>SUM(O238:O241)</f>
        <v>8</v>
      </c>
      <c r="Q238" s="107">
        <f>+O238</f>
        <v>5</v>
      </c>
      <c r="S238" s="213" t="s">
        <v>418</v>
      </c>
      <c r="T238" s="213"/>
    </row>
    <row r="239" spans="1:20" ht="15" x14ac:dyDescent="0.25">
      <c r="A239" s="306"/>
      <c r="B239" s="313"/>
      <c r="C239" s="292"/>
      <c r="D239" s="161"/>
      <c r="E239" s="161"/>
      <c r="F239" s="161"/>
      <c r="G239" s="161"/>
      <c r="H239" s="196"/>
      <c r="I239" s="196"/>
      <c r="J239" s="105" t="s">
        <v>114</v>
      </c>
      <c r="K239" s="105" t="s">
        <v>116</v>
      </c>
      <c r="L239" s="161"/>
      <c r="M239" s="161"/>
      <c r="N239" s="161"/>
      <c r="O239" s="194">
        <v>1</v>
      </c>
      <c r="P239" s="353"/>
      <c r="Q239" s="123"/>
      <c r="S239" s="213" t="s">
        <v>419</v>
      </c>
      <c r="T239" s="213"/>
    </row>
    <row r="240" spans="1:20" ht="15" x14ac:dyDescent="0.25">
      <c r="A240" s="306"/>
      <c r="B240" s="313"/>
      <c r="C240" s="292"/>
      <c r="D240" s="161"/>
      <c r="E240" s="161"/>
      <c r="F240" s="161"/>
      <c r="G240" s="161"/>
      <c r="H240" s="196"/>
      <c r="I240" s="196"/>
      <c r="J240" s="105" t="s">
        <v>114</v>
      </c>
      <c r="K240" s="105" t="s">
        <v>115</v>
      </c>
      <c r="L240" s="161"/>
      <c r="M240" s="161"/>
      <c r="N240" s="161"/>
      <c r="O240" s="194">
        <v>1</v>
      </c>
      <c r="P240" s="353"/>
      <c r="Q240" s="123"/>
    </row>
    <row r="241" spans="1:19" ht="18" customHeight="1" x14ac:dyDescent="0.25">
      <c r="A241" s="306"/>
      <c r="B241" s="313"/>
      <c r="C241" s="292"/>
      <c r="D241" s="161"/>
      <c r="E241" s="161"/>
      <c r="F241" s="161"/>
      <c r="G241" s="161"/>
      <c r="H241" s="196"/>
      <c r="I241" s="196"/>
      <c r="J241" s="105" t="s">
        <v>114</v>
      </c>
      <c r="K241" s="105" t="s">
        <v>117</v>
      </c>
      <c r="L241" s="161"/>
      <c r="M241" s="161"/>
      <c r="N241" s="161"/>
      <c r="O241" s="194">
        <v>1</v>
      </c>
      <c r="P241" s="354"/>
    </row>
    <row r="242" spans="1:19" ht="24" x14ac:dyDescent="0.25">
      <c r="A242" s="305">
        <v>27</v>
      </c>
      <c r="B242" s="363"/>
      <c r="C242" s="372" t="s">
        <v>327</v>
      </c>
      <c r="D242" s="116" t="s">
        <v>119</v>
      </c>
      <c r="E242" s="116" t="s">
        <v>111</v>
      </c>
      <c r="F242" s="116"/>
      <c r="G242" s="116" t="s">
        <v>137</v>
      </c>
      <c r="H242" s="113" t="s">
        <v>128</v>
      </c>
      <c r="I242" s="113" t="s">
        <v>138</v>
      </c>
      <c r="J242" s="117" t="s">
        <v>411</v>
      </c>
      <c r="K242" s="117" t="s">
        <v>345</v>
      </c>
      <c r="L242" s="117" t="s">
        <v>113</v>
      </c>
      <c r="M242" s="117">
        <v>4</v>
      </c>
      <c r="N242" s="117">
        <v>1</v>
      </c>
      <c r="O242" s="233">
        <f t="shared" ref="O242" si="16">+M242*N242</f>
        <v>4</v>
      </c>
      <c r="P242" s="349">
        <f>SUM(O242:O245)</f>
        <v>7</v>
      </c>
      <c r="Q242" s="107">
        <f>+O242</f>
        <v>4</v>
      </c>
      <c r="S242" s="213" t="s">
        <v>418</v>
      </c>
    </row>
    <row r="243" spans="1:19" ht="15" x14ac:dyDescent="0.25">
      <c r="A243" s="305"/>
      <c r="B243" s="363"/>
      <c r="C243" s="372"/>
      <c r="D243" s="218"/>
      <c r="E243" s="116"/>
      <c r="F243" s="116"/>
      <c r="G243" s="116"/>
      <c r="H243" s="113"/>
      <c r="I243" s="113"/>
      <c r="J243" s="105" t="s">
        <v>114</v>
      </c>
      <c r="K243" s="105" t="s">
        <v>116</v>
      </c>
      <c r="L243" s="161"/>
      <c r="M243" s="161"/>
      <c r="N243" s="161"/>
      <c r="O243" s="194">
        <v>1</v>
      </c>
      <c r="P243" s="350"/>
      <c r="Q243" s="123"/>
      <c r="S243" s="213" t="s">
        <v>419</v>
      </c>
    </row>
    <row r="244" spans="1:19" ht="15" x14ac:dyDescent="0.25">
      <c r="A244" s="305"/>
      <c r="B244" s="363"/>
      <c r="C244" s="372"/>
      <c r="D244" s="218"/>
      <c r="E244" s="116"/>
      <c r="F244" s="116"/>
      <c r="G244" s="116"/>
      <c r="H244" s="113"/>
      <c r="I244" s="113"/>
      <c r="J244" s="105" t="s">
        <v>114</v>
      </c>
      <c r="K244" s="105" t="s">
        <v>115</v>
      </c>
      <c r="L244" s="161"/>
      <c r="M244" s="161"/>
      <c r="N244" s="161"/>
      <c r="O244" s="194">
        <v>1</v>
      </c>
      <c r="P244" s="350"/>
      <c r="Q244" s="123"/>
    </row>
    <row r="245" spans="1:19" ht="18" customHeight="1" x14ac:dyDescent="0.25">
      <c r="A245" s="305"/>
      <c r="B245" s="363"/>
      <c r="C245" s="372"/>
      <c r="D245" s="140"/>
      <c r="E245" s="115"/>
      <c r="F245" s="115"/>
      <c r="G245" s="115"/>
      <c r="H245" s="112"/>
      <c r="I245" s="112"/>
      <c r="J245" s="105" t="s">
        <v>114</v>
      </c>
      <c r="K245" s="105" t="s">
        <v>117</v>
      </c>
      <c r="L245" s="161"/>
      <c r="M245" s="161"/>
      <c r="N245" s="161"/>
      <c r="O245" s="194">
        <v>1</v>
      </c>
      <c r="P245" s="351"/>
      <c r="Q245"/>
    </row>
    <row r="246" spans="1:19" x14ac:dyDescent="0.25">
      <c r="A246" s="145">
        <v>28</v>
      </c>
      <c r="B246" s="204">
        <v>1309489852</v>
      </c>
      <c r="C246" s="205" t="s">
        <v>350</v>
      </c>
      <c r="D246" s="161" t="s">
        <v>170</v>
      </c>
      <c r="E246" s="161" t="s">
        <v>111</v>
      </c>
      <c r="F246" s="161" t="s">
        <v>181</v>
      </c>
      <c r="G246" s="161" t="s">
        <v>133</v>
      </c>
      <c r="H246" s="196" t="s">
        <v>153</v>
      </c>
      <c r="I246" s="196" t="s">
        <v>186</v>
      </c>
      <c r="J246" s="234" t="s">
        <v>142</v>
      </c>
      <c r="K246" s="161" t="s">
        <v>316</v>
      </c>
      <c r="L246" s="161"/>
      <c r="M246" s="161"/>
      <c r="N246" s="161"/>
      <c r="O246" s="194">
        <v>40</v>
      </c>
      <c r="P246" s="203">
        <f>SUM(O246:O246)</f>
        <v>40</v>
      </c>
      <c r="Q246" s="125"/>
    </row>
    <row r="247" spans="1:19" ht="16.5" customHeight="1" x14ac:dyDescent="0.25">
      <c r="A247" s="219"/>
      <c r="B247" s="220"/>
      <c r="C247" s="221"/>
      <c r="D247" s="222"/>
      <c r="E247" s="222"/>
      <c r="F247" s="222"/>
      <c r="G247" s="222"/>
      <c r="H247" s="223"/>
      <c r="I247" s="223"/>
      <c r="J247" s="222"/>
      <c r="K247" s="222"/>
      <c r="L247" s="222"/>
      <c r="M247" s="222"/>
      <c r="N247" s="222"/>
      <c r="O247" s="224"/>
      <c r="P247" s="225"/>
      <c r="Q247" s="123"/>
    </row>
    <row r="248" spans="1:19" ht="16.5" customHeight="1" x14ac:dyDescent="0.25">
      <c r="A248" s="219"/>
      <c r="B248" s="220"/>
      <c r="C248" s="221"/>
      <c r="D248" s="222"/>
      <c r="E248" s="222"/>
      <c r="F248" s="222"/>
      <c r="G248" s="222"/>
      <c r="H248" s="223"/>
      <c r="I248" s="223"/>
      <c r="J248" s="222"/>
      <c r="K248" s="222"/>
      <c r="L248" s="222"/>
      <c r="M248" s="222"/>
      <c r="N248" s="222"/>
      <c r="O248" s="224"/>
      <c r="P248" s="225"/>
      <c r="Q248" s="123"/>
    </row>
    <row r="249" spans="1:19" ht="16.5" customHeight="1" x14ac:dyDescent="0.25">
      <c r="A249" s="219"/>
      <c r="B249" s="220"/>
      <c r="C249" s="221"/>
      <c r="D249" s="222"/>
      <c r="E249" s="222"/>
      <c r="F249" s="222"/>
      <c r="G249" s="222"/>
      <c r="H249" s="223"/>
      <c r="I249" s="223"/>
      <c r="J249" s="222"/>
      <c r="K249" s="222"/>
      <c r="L249" s="222"/>
      <c r="M249" s="222"/>
      <c r="N249" s="222"/>
      <c r="O249" s="224"/>
      <c r="P249" s="225"/>
      <c r="Q249" s="123"/>
    </row>
    <row r="250" spans="1:19" ht="16.5" customHeight="1" x14ac:dyDescent="0.25">
      <c r="A250" s="219"/>
      <c r="B250" s="220"/>
      <c r="C250" s="221"/>
      <c r="D250" s="222"/>
      <c r="E250" s="222"/>
      <c r="F250" s="222"/>
      <c r="G250" s="222"/>
      <c r="H250" s="223"/>
      <c r="I250" s="223"/>
      <c r="J250" s="222"/>
      <c r="K250" s="222"/>
      <c r="L250" s="222"/>
      <c r="M250" s="222"/>
      <c r="N250" s="222"/>
      <c r="O250" s="224"/>
      <c r="P250" s="225"/>
      <c r="Q250" s="123"/>
    </row>
    <row r="251" spans="1:19" ht="16.5" customHeight="1" x14ac:dyDescent="0.25">
      <c r="A251" s="219"/>
      <c r="B251" s="220"/>
      <c r="C251" s="221"/>
      <c r="D251" s="222"/>
      <c r="E251" s="222"/>
      <c r="F251" s="222"/>
      <c r="G251" s="222"/>
      <c r="H251" s="223"/>
      <c r="I251" s="223"/>
      <c r="J251" s="222"/>
      <c r="K251" s="222"/>
      <c r="L251" s="222"/>
      <c r="M251" s="222"/>
      <c r="N251" s="222"/>
      <c r="O251" s="224"/>
      <c r="P251" s="225"/>
      <c r="Q251" s="123"/>
    </row>
    <row r="252" spans="1:19" x14ac:dyDescent="0.25">
      <c r="B252" s="320" t="s">
        <v>365</v>
      </c>
      <c r="C252" s="320"/>
    </row>
    <row r="254" spans="1:19" ht="12" customHeight="1" x14ac:dyDescent="0.25">
      <c r="C254" s="127"/>
      <c r="J254" s="93"/>
      <c r="K254" s="93"/>
    </row>
    <row r="255" spans="1:19" ht="5.25" customHeight="1" x14ac:dyDescent="0.25">
      <c r="C255" s="128"/>
      <c r="J255" s="120"/>
      <c r="K255" s="120"/>
    </row>
    <row r="256" spans="1:19" ht="17.25" customHeight="1" x14ac:dyDescent="0.25">
      <c r="C256" s="129"/>
      <c r="J256" s="95"/>
      <c r="K256" s="95"/>
    </row>
    <row r="257" spans="3:11" ht="12.75" customHeight="1" x14ac:dyDescent="0.25">
      <c r="C257" s="130" t="s">
        <v>89</v>
      </c>
      <c r="D257" s="121"/>
      <c r="E257" s="121"/>
      <c r="F257" s="121"/>
      <c r="G257" s="121"/>
      <c r="H257" s="121"/>
      <c r="I257" s="121"/>
      <c r="J257" s="97" t="s">
        <v>206</v>
      </c>
      <c r="K257" s="97" t="s">
        <v>208</v>
      </c>
    </row>
    <row r="258" spans="3:11" ht="12.75" customHeight="1" x14ac:dyDescent="0.25">
      <c r="C258" s="131" t="s">
        <v>90</v>
      </c>
      <c r="D258" s="121"/>
      <c r="E258" s="121"/>
      <c r="F258" s="121"/>
      <c r="G258" s="121"/>
      <c r="H258" s="121"/>
      <c r="I258" s="121"/>
      <c r="J258" s="99" t="s">
        <v>207</v>
      </c>
      <c r="K258" s="99" t="s">
        <v>91</v>
      </c>
    </row>
    <row r="261" spans="3:11" x14ac:dyDescent="0.25">
      <c r="C261" s="126" t="s">
        <v>366</v>
      </c>
    </row>
    <row r="262" spans="3:11" x14ac:dyDescent="0.25">
      <c r="C262" s="126" t="s">
        <v>369</v>
      </c>
    </row>
    <row r="263" spans="3:11" x14ac:dyDescent="0.25">
      <c r="C263" s="211" t="s">
        <v>367</v>
      </c>
    </row>
    <row r="264" spans="3:11" x14ac:dyDescent="0.25">
      <c r="C264" s="211" t="s">
        <v>368</v>
      </c>
    </row>
    <row r="265" spans="3:11" x14ac:dyDescent="0.25">
      <c r="C265" s="126" t="s">
        <v>371</v>
      </c>
    </row>
    <row r="266" spans="3:11" x14ac:dyDescent="0.25">
      <c r="C266" s="126" t="s">
        <v>370</v>
      </c>
    </row>
    <row r="267" spans="3:11" x14ac:dyDescent="0.25">
      <c r="C267" s="126" t="s">
        <v>372</v>
      </c>
    </row>
    <row r="268" spans="3:11" x14ac:dyDescent="0.25">
      <c r="C268" s="126" t="s">
        <v>373</v>
      </c>
    </row>
  </sheetData>
  <autoFilter ref="A7:P252" xr:uid="{00000000-0009-0000-0000-000004000000}"/>
  <mergeCells count="237">
    <mergeCell ref="Q175:BB175"/>
    <mergeCell ref="F95:F104"/>
    <mergeCell ref="I143:I152"/>
    <mergeCell ref="P143:P156"/>
    <mergeCell ref="R154:U154"/>
    <mergeCell ref="P134:P142"/>
    <mergeCell ref="I134:I139"/>
    <mergeCell ref="P166:P175"/>
    <mergeCell ref="P157:P165"/>
    <mergeCell ref="H166:H175"/>
    <mergeCell ref="AK157:AK165"/>
    <mergeCell ref="H157:H165"/>
    <mergeCell ref="P105:P113"/>
    <mergeCell ref="Q132:BB132"/>
    <mergeCell ref="F134:F139"/>
    <mergeCell ref="G134:G139"/>
    <mergeCell ref="Q126:BB126"/>
    <mergeCell ref="P124:P133"/>
    <mergeCell ref="G143:G152"/>
    <mergeCell ref="AS157:AS165"/>
    <mergeCell ref="Q140:T140"/>
    <mergeCell ref="Q179:W179"/>
    <mergeCell ref="P201:P214"/>
    <mergeCell ref="Q222:T222"/>
    <mergeCell ref="P215:P223"/>
    <mergeCell ref="G194:G200"/>
    <mergeCell ref="H194:H200"/>
    <mergeCell ref="I194:I200"/>
    <mergeCell ref="R176:T176"/>
    <mergeCell ref="D184:D193"/>
    <mergeCell ref="E184:E193"/>
    <mergeCell ref="F184:F193"/>
    <mergeCell ref="E215:E223"/>
    <mergeCell ref="P194:P200"/>
    <mergeCell ref="D134:D139"/>
    <mergeCell ref="E134:E139"/>
    <mergeCell ref="E166:E175"/>
    <mergeCell ref="I105:I113"/>
    <mergeCell ref="G166:G175"/>
    <mergeCell ref="D105:D113"/>
    <mergeCell ref="E105:E113"/>
    <mergeCell ref="F105:F113"/>
    <mergeCell ref="E76:E85"/>
    <mergeCell ref="F76:F85"/>
    <mergeCell ref="F86:F94"/>
    <mergeCell ref="D143:D152"/>
    <mergeCell ref="D76:D85"/>
    <mergeCell ref="D86:D94"/>
    <mergeCell ref="E86:E94"/>
    <mergeCell ref="H124:H133"/>
    <mergeCell ref="D166:D175"/>
    <mergeCell ref="I86:I94"/>
    <mergeCell ref="I76:I85"/>
    <mergeCell ref="E124:E133"/>
    <mergeCell ref="H114:H123"/>
    <mergeCell ref="H95:H104"/>
    <mergeCell ref="Q39:BB39"/>
    <mergeCell ref="G37:G46"/>
    <mergeCell ref="P37:P46"/>
    <mergeCell ref="H76:H85"/>
    <mergeCell ref="G66:G75"/>
    <mergeCell ref="H86:H94"/>
    <mergeCell ref="Q92:T92"/>
    <mergeCell ref="P47:P56"/>
    <mergeCell ref="G124:G133"/>
    <mergeCell ref="I114:I123"/>
    <mergeCell ref="P114:P123"/>
    <mergeCell ref="G57:G65"/>
    <mergeCell ref="Q64:T64"/>
    <mergeCell ref="P95:P104"/>
    <mergeCell ref="G76:G85"/>
    <mergeCell ref="G105:G113"/>
    <mergeCell ref="H105:H113"/>
    <mergeCell ref="Q74:BB74"/>
    <mergeCell ref="P86:P94"/>
    <mergeCell ref="Q44:T44"/>
    <mergeCell ref="O4:P4"/>
    <mergeCell ref="A5:P5"/>
    <mergeCell ref="A6:F6"/>
    <mergeCell ref="G6:P6"/>
    <mergeCell ref="A8:A17"/>
    <mergeCell ref="B8:B17"/>
    <mergeCell ref="D8:D17"/>
    <mergeCell ref="E8:E17"/>
    <mergeCell ref="F8:F17"/>
    <mergeCell ref="G8:G17"/>
    <mergeCell ref="P8:P17"/>
    <mergeCell ref="C8:C17"/>
    <mergeCell ref="C242:C245"/>
    <mergeCell ref="H18:H27"/>
    <mergeCell ref="I18:I27"/>
    <mergeCell ref="P18:P27"/>
    <mergeCell ref="F28:F36"/>
    <mergeCell ref="F37:F46"/>
    <mergeCell ref="A47:A56"/>
    <mergeCell ref="A37:A46"/>
    <mergeCell ref="A18:A27"/>
    <mergeCell ref="B18:B27"/>
    <mergeCell ref="C18:C27"/>
    <mergeCell ref="G28:G36"/>
    <mergeCell ref="B28:B36"/>
    <mergeCell ref="C28:C36"/>
    <mergeCell ref="D28:D36"/>
    <mergeCell ref="E28:E36"/>
    <mergeCell ref="D18:D27"/>
    <mergeCell ref="E18:E27"/>
    <mergeCell ref="F18:F27"/>
    <mergeCell ref="C37:C46"/>
    <mergeCell ref="D37:D46"/>
    <mergeCell ref="E37:E46"/>
    <mergeCell ref="C47:C56"/>
    <mergeCell ref="B37:B46"/>
    <mergeCell ref="A232:A233"/>
    <mergeCell ref="B232:B233"/>
    <mergeCell ref="C232:C233"/>
    <mergeCell ref="C224:C231"/>
    <mergeCell ref="A215:A223"/>
    <mergeCell ref="B215:B223"/>
    <mergeCell ref="A201:A214"/>
    <mergeCell ref="A194:A200"/>
    <mergeCell ref="A224:A231"/>
    <mergeCell ref="B224:B231"/>
    <mergeCell ref="P242:P245"/>
    <mergeCell ref="P238:P241"/>
    <mergeCell ref="P234:P237"/>
    <mergeCell ref="P224:P231"/>
    <mergeCell ref="P184:P193"/>
    <mergeCell ref="H232:H233"/>
    <mergeCell ref="I232:I233"/>
    <mergeCell ref="P232:P233"/>
    <mergeCell ref="A176:A183"/>
    <mergeCell ref="C176:C183"/>
    <mergeCell ref="B176:B183"/>
    <mergeCell ref="P176:P183"/>
    <mergeCell ref="C215:C223"/>
    <mergeCell ref="A234:A237"/>
    <mergeCell ref="B234:B237"/>
    <mergeCell ref="C234:C237"/>
    <mergeCell ref="A238:A241"/>
    <mergeCell ref="B238:B241"/>
    <mergeCell ref="C238:C241"/>
    <mergeCell ref="A242:A245"/>
    <mergeCell ref="B242:B245"/>
    <mergeCell ref="A184:A193"/>
    <mergeCell ref="B184:B193"/>
    <mergeCell ref="C184:C193"/>
    <mergeCell ref="A86:A94"/>
    <mergeCell ref="B86:B94"/>
    <mergeCell ref="C86:C94"/>
    <mergeCell ref="G86:G94"/>
    <mergeCell ref="D114:D123"/>
    <mergeCell ref="E114:E123"/>
    <mergeCell ref="F114:F123"/>
    <mergeCell ref="G114:G123"/>
    <mergeCell ref="E66:E75"/>
    <mergeCell ref="F66:F75"/>
    <mergeCell ref="A95:A104"/>
    <mergeCell ref="A105:A113"/>
    <mergeCell ref="D95:D104"/>
    <mergeCell ref="E95:E104"/>
    <mergeCell ref="B95:B104"/>
    <mergeCell ref="C95:C104"/>
    <mergeCell ref="B105:B113"/>
    <mergeCell ref="C105:C113"/>
    <mergeCell ref="G95:G104"/>
    <mergeCell ref="A114:A123"/>
    <mergeCell ref="B114:B123"/>
    <mergeCell ref="C114:C123"/>
    <mergeCell ref="P28:P36"/>
    <mergeCell ref="B47:B56"/>
    <mergeCell ref="A57:A65"/>
    <mergeCell ref="B57:B65"/>
    <mergeCell ref="C57:C65"/>
    <mergeCell ref="D57:D65"/>
    <mergeCell ref="E57:E65"/>
    <mergeCell ref="H66:H75"/>
    <mergeCell ref="A76:A85"/>
    <mergeCell ref="B76:B85"/>
    <mergeCell ref="C76:C85"/>
    <mergeCell ref="C66:C75"/>
    <mergeCell ref="D66:D75"/>
    <mergeCell ref="A28:A36"/>
    <mergeCell ref="P57:P65"/>
    <mergeCell ref="A66:A75"/>
    <mergeCell ref="P76:P85"/>
    <mergeCell ref="I57:I65"/>
    <mergeCell ref="P66:P75"/>
    <mergeCell ref="F57:F65"/>
    <mergeCell ref="B66:B75"/>
    <mergeCell ref="B252:C252"/>
    <mergeCell ref="H215:H223"/>
    <mergeCell ref="I215:I223"/>
    <mergeCell ref="G184:G193"/>
    <mergeCell ref="H184:H193"/>
    <mergeCell ref="I184:I193"/>
    <mergeCell ref="I224:I231"/>
    <mergeCell ref="F215:F223"/>
    <mergeCell ref="G215:G223"/>
    <mergeCell ref="B201:B214"/>
    <mergeCell ref="C201:C214"/>
    <mergeCell ref="B194:B200"/>
    <mergeCell ref="C194:C200"/>
    <mergeCell ref="D194:D200"/>
    <mergeCell ref="E194:E200"/>
    <mergeCell ref="F194:F200"/>
    <mergeCell ref="D232:D233"/>
    <mergeCell ref="E232:E233"/>
    <mergeCell ref="F232:F233"/>
    <mergeCell ref="D224:D231"/>
    <mergeCell ref="E224:E231"/>
    <mergeCell ref="F224:F231"/>
    <mergeCell ref="H224:H231"/>
    <mergeCell ref="D215:D223"/>
    <mergeCell ref="B166:B175"/>
    <mergeCell ref="C166:C175"/>
    <mergeCell ref="A157:A165"/>
    <mergeCell ref="B157:B165"/>
    <mergeCell ref="C157:C165"/>
    <mergeCell ref="D124:D133"/>
    <mergeCell ref="E157:E165"/>
    <mergeCell ref="F157:F165"/>
    <mergeCell ref="G157:G165"/>
    <mergeCell ref="F166:F175"/>
    <mergeCell ref="F124:F133"/>
    <mergeCell ref="D157:D165"/>
    <mergeCell ref="A143:A156"/>
    <mergeCell ref="A166:A175"/>
    <mergeCell ref="C143:C156"/>
    <mergeCell ref="B143:B156"/>
    <mergeCell ref="E143:E152"/>
    <mergeCell ref="F143:F152"/>
    <mergeCell ref="B134:B142"/>
    <mergeCell ref="C134:C142"/>
    <mergeCell ref="A134:A142"/>
    <mergeCell ref="A124:A133"/>
    <mergeCell ref="B124:B133"/>
    <mergeCell ref="C124:C133"/>
  </mergeCells>
  <pageMargins left="0.15748031496062992" right="0.15748031496062992" top="0.19685039370078741" bottom="0.19685039370078741" header="0.51181102362204722" footer="0.51181102362204722"/>
  <pageSetup paperSize="9" scale="60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0821-3B5B-4327-BF58-E1007F4455AB}">
  <dimension ref="A2:F16"/>
  <sheetViews>
    <sheetView topLeftCell="A2" zoomScale="140" zoomScaleNormal="140" workbookViewId="0">
      <selection activeCell="C15" sqref="C15:D15"/>
    </sheetView>
  </sheetViews>
  <sheetFormatPr baseColWidth="10" defaultRowHeight="15" x14ac:dyDescent="0.25"/>
  <cols>
    <col min="1" max="1" width="6.140625" customWidth="1"/>
    <col min="2" max="2" width="18" bestFit="1" customWidth="1"/>
    <col min="3" max="3" width="13.85546875" customWidth="1"/>
    <col min="4" max="4" width="17.140625" customWidth="1"/>
    <col min="5" max="5" width="17.5703125" customWidth="1"/>
  </cols>
  <sheetData>
    <row r="2" spans="1:6" s="146" customFormat="1" ht="23.25" customHeight="1" x14ac:dyDescent="0.25">
      <c r="A2" s="429" t="s">
        <v>287</v>
      </c>
      <c r="B2" s="429"/>
      <c r="C2" s="429"/>
      <c r="D2" s="429"/>
      <c r="E2" s="429"/>
    </row>
    <row r="3" spans="1:6" s="146" customFormat="1" ht="24.75" customHeight="1" x14ac:dyDescent="0.25">
      <c r="A3" s="430" t="s">
        <v>288</v>
      </c>
      <c r="B3" s="431"/>
      <c r="C3" s="431"/>
      <c r="D3" s="431"/>
      <c r="E3" s="431"/>
    </row>
    <row r="4" spans="1:6" s="146" customFormat="1" ht="19.5" x14ac:dyDescent="0.25">
      <c r="A4" s="432" t="s">
        <v>309</v>
      </c>
      <c r="B4" s="432"/>
      <c r="C4" s="432"/>
      <c r="D4" s="432"/>
      <c r="E4" s="432"/>
    </row>
    <row r="5" spans="1:6" s="146" customFormat="1" ht="19.5" x14ac:dyDescent="0.25">
      <c r="A5" s="433" t="s">
        <v>289</v>
      </c>
      <c r="B5" s="433"/>
      <c r="C5" s="433"/>
      <c r="D5" s="433"/>
      <c r="E5" s="433"/>
    </row>
    <row r="6" spans="1:6" ht="26.25" x14ac:dyDescent="0.25">
      <c r="A6" s="152" t="s">
        <v>92</v>
      </c>
      <c r="B6" s="152" t="s">
        <v>318</v>
      </c>
      <c r="C6" s="187" t="s">
        <v>330</v>
      </c>
      <c r="D6" s="188" t="s">
        <v>331</v>
      </c>
      <c r="E6" s="187" t="s">
        <v>332</v>
      </c>
      <c r="F6" s="186"/>
    </row>
    <row r="7" spans="1:6" x14ac:dyDescent="0.25">
      <c r="A7" s="44">
        <v>1</v>
      </c>
      <c r="B7" s="214" t="s">
        <v>258</v>
      </c>
      <c r="C7" s="44" t="s">
        <v>259</v>
      </c>
      <c r="D7" s="44" t="s">
        <v>270</v>
      </c>
      <c r="E7" s="44" t="s">
        <v>260</v>
      </c>
    </row>
    <row r="8" spans="1:6" ht="30" x14ac:dyDescent="0.25">
      <c r="A8" s="44">
        <v>2</v>
      </c>
      <c r="B8" s="215" t="s">
        <v>261</v>
      </c>
      <c r="C8" s="44" t="s">
        <v>262</v>
      </c>
      <c r="D8" s="44" t="s">
        <v>263</v>
      </c>
      <c r="E8" s="153"/>
    </row>
    <row r="9" spans="1:6" ht="30" x14ac:dyDescent="0.25">
      <c r="A9" s="44">
        <v>3</v>
      </c>
      <c r="B9" s="215" t="s">
        <v>264</v>
      </c>
      <c r="C9" s="44" t="s">
        <v>265</v>
      </c>
      <c r="D9" s="44" t="s">
        <v>266</v>
      </c>
      <c r="E9" s="153"/>
    </row>
    <row r="10" spans="1:6" x14ac:dyDescent="0.25">
      <c r="A10" s="44">
        <v>4</v>
      </c>
      <c r="B10" s="214" t="s">
        <v>267</v>
      </c>
      <c r="C10" s="44" t="s">
        <v>268</v>
      </c>
      <c r="D10" s="44" t="s">
        <v>269</v>
      </c>
      <c r="E10" s="44" t="s">
        <v>310</v>
      </c>
    </row>
    <row r="11" spans="1:6" ht="30" x14ac:dyDescent="0.25">
      <c r="A11" s="44">
        <v>5</v>
      </c>
      <c r="B11" s="215" t="s">
        <v>271</v>
      </c>
      <c r="C11" s="44" t="s">
        <v>272</v>
      </c>
      <c r="D11" s="44" t="s">
        <v>273</v>
      </c>
      <c r="E11" s="153"/>
    </row>
    <row r="12" spans="1:6" x14ac:dyDescent="0.25">
      <c r="A12" s="44">
        <v>6</v>
      </c>
      <c r="B12" s="214" t="s">
        <v>274</v>
      </c>
      <c r="C12" s="170" t="s">
        <v>311</v>
      </c>
      <c r="D12" s="44" t="s">
        <v>275</v>
      </c>
      <c r="E12" s="44" t="s">
        <v>276</v>
      </c>
    </row>
    <row r="13" spans="1:6" x14ac:dyDescent="0.25">
      <c r="A13" s="44">
        <v>7</v>
      </c>
      <c r="B13" s="216" t="s">
        <v>277</v>
      </c>
      <c r="C13" s="427"/>
      <c r="D13" s="428"/>
      <c r="E13" s="44" t="s">
        <v>278</v>
      </c>
      <c r="F13" s="122" t="s">
        <v>322</v>
      </c>
    </row>
    <row r="14" spans="1:6" x14ac:dyDescent="0.25">
      <c r="A14" s="44">
        <v>8</v>
      </c>
      <c r="B14" s="216" t="s">
        <v>279</v>
      </c>
      <c r="C14" s="427"/>
      <c r="D14" s="428"/>
      <c r="E14" s="44" t="s">
        <v>280</v>
      </c>
      <c r="F14" s="122" t="s">
        <v>319</v>
      </c>
    </row>
    <row r="15" spans="1:6" x14ac:dyDescent="0.25">
      <c r="A15" s="44">
        <v>9</v>
      </c>
      <c r="B15" s="216" t="s">
        <v>281</v>
      </c>
      <c r="C15" s="427"/>
      <c r="D15" s="428"/>
      <c r="E15" s="44" t="s">
        <v>233</v>
      </c>
      <c r="F15" s="122" t="s">
        <v>320</v>
      </c>
    </row>
    <row r="16" spans="1:6" x14ac:dyDescent="0.25">
      <c r="A16" s="44">
        <v>10</v>
      </c>
      <c r="B16" s="216" t="s">
        <v>282</v>
      </c>
      <c r="C16" s="427"/>
      <c r="D16" s="428"/>
      <c r="E16" s="44" t="s">
        <v>283</v>
      </c>
      <c r="F16" s="122" t="s">
        <v>321</v>
      </c>
    </row>
  </sheetData>
  <mergeCells count="8">
    <mergeCell ref="C15:D15"/>
    <mergeCell ref="C16:D16"/>
    <mergeCell ref="A2:E2"/>
    <mergeCell ref="A3:E3"/>
    <mergeCell ref="A4:E4"/>
    <mergeCell ref="A5:E5"/>
    <mergeCell ref="C13:D13"/>
    <mergeCell ref="C14:D14"/>
  </mergeCells>
  <pageMargins left="0.70866141732283472" right="0.70866141732283472" top="0.74803149606299213" bottom="0.74803149606299213" header="0.31496062992125984" footer="0.31496062992125984"/>
  <pageSetup paperSize="9" scale="160" orientation="portrait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8DF5-5D1B-40C5-90DA-BDADE51AA9DA}">
  <dimension ref="B1:H16"/>
  <sheetViews>
    <sheetView zoomScale="90" zoomScaleNormal="90" workbookViewId="0">
      <selection activeCell="B1" sqref="B1:H15"/>
    </sheetView>
  </sheetViews>
  <sheetFormatPr baseColWidth="10" defaultRowHeight="15" x14ac:dyDescent="0.25"/>
  <cols>
    <col min="1" max="1" width="4.140625" customWidth="1"/>
    <col min="3" max="3" width="35.28515625" customWidth="1"/>
    <col min="4" max="4" width="19.7109375" customWidth="1"/>
    <col min="5" max="5" width="70.140625" customWidth="1"/>
    <col min="6" max="6" width="30.28515625" bestFit="1" customWidth="1"/>
    <col min="7" max="7" width="19.7109375" customWidth="1"/>
    <col min="8" max="8" width="16.42578125" bestFit="1" customWidth="1"/>
  </cols>
  <sheetData>
    <row r="1" spans="2:8" x14ac:dyDescent="0.25">
      <c r="B1" t="s">
        <v>466</v>
      </c>
    </row>
    <row r="2" spans="2:8" x14ac:dyDescent="0.25">
      <c r="B2" s="266" t="s">
        <v>439</v>
      </c>
      <c r="C2" s="266" t="s">
        <v>2</v>
      </c>
      <c r="D2" s="266" t="s">
        <v>28</v>
      </c>
      <c r="E2" s="267" t="s">
        <v>440</v>
      </c>
      <c r="F2" s="267" t="s">
        <v>441</v>
      </c>
      <c r="G2" s="267" t="s">
        <v>0</v>
      </c>
      <c r="H2" s="267" t="s">
        <v>467</v>
      </c>
    </row>
    <row r="3" spans="2:8" x14ac:dyDescent="0.25">
      <c r="B3" s="274">
        <v>1</v>
      </c>
      <c r="C3" s="275" t="s">
        <v>471</v>
      </c>
      <c r="D3" s="274" t="s">
        <v>340</v>
      </c>
      <c r="E3" s="276" t="s">
        <v>475</v>
      </c>
      <c r="F3" s="274"/>
      <c r="G3" s="274">
        <v>1</v>
      </c>
      <c r="H3" s="274" t="s">
        <v>468</v>
      </c>
    </row>
    <row r="4" spans="2:8" x14ac:dyDescent="0.25">
      <c r="B4" s="274">
        <f>+B3+1</f>
        <v>2</v>
      </c>
      <c r="C4" s="275" t="s">
        <v>472</v>
      </c>
      <c r="D4" s="274" t="s">
        <v>340</v>
      </c>
      <c r="E4" s="276">
        <v>0</v>
      </c>
      <c r="F4" s="274"/>
      <c r="G4" s="274">
        <v>1</v>
      </c>
      <c r="H4" s="274" t="s">
        <v>468</v>
      </c>
    </row>
    <row r="5" spans="2:8" x14ac:dyDescent="0.25">
      <c r="B5" s="274">
        <f t="shared" ref="B5:B15" si="0">+B4+1</f>
        <v>3</v>
      </c>
      <c r="C5" s="275" t="s">
        <v>473</v>
      </c>
      <c r="D5" s="274" t="s">
        <v>340</v>
      </c>
      <c r="E5" s="276" t="s">
        <v>476</v>
      </c>
      <c r="F5" s="274"/>
      <c r="G5" s="274">
        <v>1</v>
      </c>
      <c r="H5" s="274" t="s">
        <v>468</v>
      </c>
    </row>
    <row r="6" spans="2:8" x14ac:dyDescent="0.25">
      <c r="B6" s="274">
        <f t="shared" si="0"/>
        <v>4</v>
      </c>
      <c r="C6" s="275" t="s">
        <v>474</v>
      </c>
      <c r="D6" s="274" t="s">
        <v>340</v>
      </c>
      <c r="E6" s="276" t="s">
        <v>477</v>
      </c>
      <c r="F6" s="274"/>
      <c r="G6" s="274">
        <v>1</v>
      </c>
      <c r="H6" s="274" t="s">
        <v>468</v>
      </c>
    </row>
    <row r="7" spans="2:8" x14ac:dyDescent="0.25">
      <c r="B7" s="268">
        <f t="shared" si="0"/>
        <v>5</v>
      </c>
      <c r="C7" s="268" t="s">
        <v>442</v>
      </c>
      <c r="D7" s="268" t="s">
        <v>340</v>
      </c>
      <c r="E7" s="270" t="s">
        <v>446</v>
      </c>
      <c r="F7" s="268" t="s">
        <v>450</v>
      </c>
      <c r="G7" s="268">
        <v>8</v>
      </c>
      <c r="H7" s="268" t="s">
        <v>468</v>
      </c>
    </row>
    <row r="8" spans="2:8" x14ac:dyDescent="0.25">
      <c r="B8" s="268">
        <f t="shared" si="0"/>
        <v>6</v>
      </c>
      <c r="C8" s="268" t="s">
        <v>443</v>
      </c>
      <c r="D8" s="268" t="s">
        <v>340</v>
      </c>
      <c r="E8" s="270" t="s">
        <v>447</v>
      </c>
      <c r="F8" s="268" t="s">
        <v>450</v>
      </c>
      <c r="G8" s="268">
        <v>6</v>
      </c>
      <c r="H8" s="268" t="s">
        <v>468</v>
      </c>
    </row>
    <row r="9" spans="2:8" x14ac:dyDescent="0.25">
      <c r="B9" s="268">
        <f t="shared" si="0"/>
        <v>7</v>
      </c>
      <c r="C9" s="268" t="s">
        <v>444</v>
      </c>
      <c r="D9" s="268" t="s">
        <v>340</v>
      </c>
      <c r="E9" s="270" t="s">
        <v>448</v>
      </c>
      <c r="F9" s="268" t="s">
        <v>450</v>
      </c>
      <c r="G9" s="268">
        <v>9</v>
      </c>
      <c r="H9" s="268" t="s">
        <v>469</v>
      </c>
    </row>
    <row r="10" spans="2:8" x14ac:dyDescent="0.25">
      <c r="B10" s="268">
        <f t="shared" si="0"/>
        <v>8</v>
      </c>
      <c r="C10" s="268" t="s">
        <v>445</v>
      </c>
      <c r="D10" s="268" t="s">
        <v>340</v>
      </c>
      <c r="E10" s="270" t="s">
        <v>449</v>
      </c>
      <c r="F10" s="268" t="s">
        <v>450</v>
      </c>
      <c r="G10" s="268">
        <v>9</v>
      </c>
      <c r="H10" s="268" t="s">
        <v>469</v>
      </c>
    </row>
    <row r="11" spans="2:8" x14ac:dyDescent="0.25">
      <c r="B11" s="268">
        <f t="shared" si="0"/>
        <v>9</v>
      </c>
      <c r="C11" s="269" t="s">
        <v>451</v>
      </c>
      <c r="D11" s="269" t="s">
        <v>340</v>
      </c>
      <c r="E11" s="270" t="s">
        <v>453</v>
      </c>
      <c r="F11" s="269" t="s">
        <v>455</v>
      </c>
      <c r="G11" s="269">
        <v>3</v>
      </c>
      <c r="H11" s="269"/>
    </row>
    <row r="12" spans="2:8" x14ac:dyDescent="0.25">
      <c r="B12" s="268">
        <f t="shared" si="0"/>
        <v>10</v>
      </c>
      <c r="C12" s="269" t="s">
        <v>452</v>
      </c>
      <c r="D12" s="269" t="s">
        <v>340</v>
      </c>
      <c r="E12" s="270" t="s">
        <v>454</v>
      </c>
      <c r="F12" s="268" t="s">
        <v>456</v>
      </c>
      <c r="G12" s="268">
        <v>3</v>
      </c>
      <c r="H12" s="268" t="s">
        <v>468</v>
      </c>
    </row>
    <row r="13" spans="2:8" x14ac:dyDescent="0.25">
      <c r="B13" s="271">
        <f t="shared" si="0"/>
        <v>11</v>
      </c>
      <c r="C13" s="272" t="s">
        <v>457</v>
      </c>
      <c r="D13" s="272" t="s">
        <v>340</v>
      </c>
      <c r="E13" s="273" t="s">
        <v>458</v>
      </c>
      <c r="F13" s="272" t="s">
        <v>459</v>
      </c>
      <c r="G13" s="272">
        <v>9</v>
      </c>
      <c r="H13" s="272" t="s">
        <v>481</v>
      </c>
    </row>
    <row r="14" spans="2:8" x14ac:dyDescent="0.25">
      <c r="B14" s="271">
        <f t="shared" si="0"/>
        <v>12</v>
      </c>
      <c r="C14" s="272" t="s">
        <v>460</v>
      </c>
      <c r="D14" s="272" t="s">
        <v>340</v>
      </c>
      <c r="E14" s="273" t="s">
        <v>461</v>
      </c>
      <c r="F14" s="272" t="s">
        <v>462</v>
      </c>
      <c r="G14" s="272">
        <v>9</v>
      </c>
      <c r="H14" s="272" t="s">
        <v>470</v>
      </c>
    </row>
    <row r="15" spans="2:8" x14ac:dyDescent="0.25">
      <c r="B15" s="268">
        <f t="shared" si="0"/>
        <v>13</v>
      </c>
      <c r="C15" s="268" t="s">
        <v>463</v>
      </c>
      <c r="D15" s="268" t="s">
        <v>340</v>
      </c>
      <c r="E15" s="270" t="s">
        <v>464</v>
      </c>
      <c r="F15" s="269" t="s">
        <v>465</v>
      </c>
      <c r="G15" s="269">
        <v>8</v>
      </c>
      <c r="H15" s="269" t="s">
        <v>468</v>
      </c>
    </row>
    <row r="16" spans="2:8" x14ac:dyDescent="0.25">
      <c r="B16" s="174"/>
      <c r="C16" s="174"/>
      <c r="D16" s="174"/>
      <c r="E16" s="174"/>
      <c r="F16" s="17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27A1B4-AFE4-4BA8-B14A-280765DAF3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DEMANDA 2026-2</vt:lpstr>
      <vt:lpstr>DOCENTES 2026-2</vt:lpstr>
      <vt:lpstr>ASIG 2026-1</vt:lpstr>
      <vt:lpstr>REPARTO HORAS</vt:lpstr>
      <vt:lpstr>MATRIZ F4 V1</vt:lpstr>
      <vt:lpstr>ASIGNACIÓN CURSOS</vt:lpstr>
      <vt:lpstr>CAPACIDADES ESPECIALES</vt:lpstr>
      <vt:lpstr>'DOCENTES 2026-2'!Área_de_impresión</vt:lpstr>
      <vt:lpstr>'REPARTO HORAS'!Área_de_impresión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BRIONES PALACIOS</dc:creator>
  <cp:lastModifiedBy>CARRILLO PICO FEDERÍCO AVELINO</cp:lastModifiedBy>
  <cp:lastPrinted>2025-09-12T18:01:41Z</cp:lastPrinted>
  <dcterms:created xsi:type="dcterms:W3CDTF">2019-08-23T10:57:39Z</dcterms:created>
  <dcterms:modified xsi:type="dcterms:W3CDTF">2026-07-23T21:32:44Z</dcterms:modified>
</cp:coreProperties>
</file>