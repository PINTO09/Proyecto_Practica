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eam-my.sharepoint.com/personal/avelino_carrillo_uleam_edu_ec/Documents/FCACC/PLANIFICACION/"/>
    </mc:Choice>
  </mc:AlternateContent>
  <xr:revisionPtr revIDLastSave="1303" documentId="11_9248B46DC1CBB2E3ED7FF6F9903E8C1851038383" xr6:coauthVersionLast="47" xr6:coauthVersionMax="47" xr10:uidLastSave="{E76C3B1C-4A81-4CD5-BF00-9BEFFD972C15}"/>
  <bookViews>
    <workbookView xWindow="-120" yWindow="-120" windowWidth="20730" windowHeight="11040" xr2:uid="{00000000-000D-0000-FFFF-FFFF00000000}"/>
  </bookViews>
  <sheets>
    <sheet name="DET_ASIG" sheetId="1" r:id="rId1"/>
    <sheet name="Hoja1" sheetId="3" state="hidden" r:id="rId2"/>
    <sheet name="MAE_CARRERA" sheetId="6" state="hidden" r:id="rId3"/>
    <sheet name="MAE_ASIGNATURA" sheetId="7" state="hidden" r:id="rId4"/>
    <sheet name="MAE_CONOCIMIENTO" sheetId="8" state="hidden" r:id="rId5"/>
  </sheets>
  <definedNames>
    <definedName name="DatosExternos_1" localSheetId="3" hidden="1">MAE_ASIGNATURA!$A$1:$G$353</definedName>
    <definedName name="DatosExternos_1" localSheetId="2" hidden="1">MAE_CARRERA!$A$1:$G$18</definedName>
    <definedName name="DatosExternos_1" localSheetId="4" hidden="1">MAE_CONOCIMIENTO!$A$1:$B$44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1" l="1"/>
  <c r="C53" i="1"/>
  <c r="C52" i="1"/>
  <c r="C17" i="1"/>
  <c r="C18" i="1"/>
  <c r="C19" i="1"/>
  <c r="C20" i="1"/>
  <c r="C29" i="1"/>
  <c r="C28" i="1"/>
  <c r="C27" i="1"/>
  <c r="C26" i="1"/>
  <c r="C25" i="1"/>
  <c r="C24" i="1"/>
  <c r="C23" i="1"/>
  <c r="C22" i="1"/>
  <c r="C2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C16" i="1"/>
  <c r="C1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O600" i="3" a="1"/>
  <c r="O600" i="3" s="1"/>
  <c r="O599" i="3" a="1"/>
  <c r="O599" i="3" s="1"/>
  <c r="O598" i="3" a="1"/>
  <c r="O598" i="3" s="1"/>
  <c r="O597" i="3" a="1"/>
  <c r="O597" i="3" s="1"/>
  <c r="O596" i="3" a="1"/>
  <c r="O596" i="3" s="1"/>
  <c r="O595" i="3" a="1"/>
  <c r="O595" i="3" s="1"/>
  <c r="O594" i="3" a="1"/>
  <c r="O594" i="3" s="1"/>
  <c r="O593" i="3" a="1"/>
  <c r="O593" i="3" s="1"/>
  <c r="O592" i="3" a="1"/>
  <c r="O592" i="3" s="1"/>
  <c r="O591" i="3" a="1"/>
  <c r="O591" i="3" s="1"/>
  <c r="O590" i="3" a="1"/>
  <c r="O590" i="3" s="1"/>
  <c r="O589" i="3" a="1"/>
  <c r="O589" i="3" s="1"/>
  <c r="O588" i="3" a="1"/>
  <c r="O588" i="3" s="1"/>
  <c r="O587" i="3" a="1"/>
  <c r="O587" i="3" s="1"/>
  <c r="O586" i="3" a="1"/>
  <c r="O586" i="3" s="1"/>
  <c r="O585" i="3" a="1"/>
  <c r="O585" i="3" s="1"/>
  <c r="O584" i="3" a="1"/>
  <c r="O584" i="3" s="1"/>
  <c r="O583" i="3" a="1"/>
  <c r="O583" i="3" s="1"/>
  <c r="O582" i="3" a="1"/>
  <c r="O582" i="3" s="1"/>
  <c r="O581" i="3" a="1"/>
  <c r="O581" i="3" s="1"/>
  <c r="O580" i="3" a="1"/>
  <c r="O580" i="3" s="1"/>
  <c r="O579" i="3" a="1"/>
  <c r="O579" i="3" s="1"/>
  <c r="O578" i="3" a="1"/>
  <c r="O578" i="3" s="1"/>
  <c r="O577" i="3" a="1"/>
  <c r="O577" i="3" s="1"/>
  <c r="O576" i="3" a="1"/>
  <c r="O576" i="3" s="1"/>
  <c r="O575" i="3" a="1"/>
  <c r="O575" i="3" s="1"/>
  <c r="O574" i="3" a="1"/>
  <c r="O574" i="3" s="1"/>
  <c r="O573" i="3" a="1"/>
  <c r="O573" i="3" s="1"/>
  <c r="O572" i="3" a="1"/>
  <c r="O572" i="3" s="1"/>
  <c r="O571" i="3" a="1"/>
  <c r="O571" i="3" s="1"/>
  <c r="O570" i="3" a="1"/>
  <c r="O570" i="3" s="1"/>
  <c r="O569" i="3" a="1"/>
  <c r="O569" i="3" s="1"/>
  <c r="O568" i="3" a="1"/>
  <c r="O568" i="3" s="1"/>
  <c r="O567" i="3" a="1"/>
  <c r="O567" i="3" s="1"/>
  <c r="O566" i="3" a="1"/>
  <c r="O566" i="3" s="1"/>
  <c r="O565" i="3" a="1"/>
  <c r="O565" i="3" s="1"/>
  <c r="O564" i="3" a="1"/>
  <c r="O564" i="3" s="1"/>
  <c r="O563" i="3" a="1"/>
  <c r="O563" i="3" s="1"/>
  <c r="O562" i="3" a="1"/>
  <c r="O562" i="3" s="1"/>
  <c r="O561" i="3" a="1"/>
  <c r="O561" i="3" s="1"/>
  <c r="O560" i="3" a="1"/>
  <c r="O560" i="3" s="1"/>
  <c r="O559" i="3" a="1"/>
  <c r="O559" i="3" s="1"/>
  <c r="O558" i="3" a="1"/>
  <c r="O558" i="3" s="1"/>
  <c r="O557" i="3" a="1"/>
  <c r="O557" i="3" s="1"/>
  <c r="O556" i="3" a="1"/>
  <c r="O556" i="3" s="1"/>
  <c r="O555" i="3" a="1"/>
  <c r="O555" i="3" s="1"/>
  <c r="O554" i="3" a="1"/>
  <c r="O554" i="3" s="1"/>
  <c r="O553" i="3" a="1"/>
  <c r="O553" i="3" s="1"/>
  <c r="O552" i="3" a="1"/>
  <c r="O552" i="3" s="1"/>
  <c r="O551" i="3" a="1"/>
  <c r="O551" i="3" s="1"/>
  <c r="O550" i="3" a="1"/>
  <c r="O550" i="3" s="1"/>
  <c r="O549" i="3" a="1"/>
  <c r="O549" i="3" s="1"/>
  <c r="O548" i="3" a="1"/>
  <c r="O548" i="3" s="1"/>
  <c r="O547" i="3" a="1"/>
  <c r="O547" i="3" s="1"/>
  <c r="O546" i="3" a="1"/>
  <c r="O546" i="3" s="1"/>
  <c r="O545" i="3" a="1"/>
  <c r="O545" i="3" s="1"/>
  <c r="O544" i="3" a="1"/>
  <c r="O544" i="3" s="1"/>
  <c r="O543" i="3" a="1"/>
  <c r="O543" i="3" s="1"/>
  <c r="O542" i="3" a="1"/>
  <c r="O542" i="3" s="1"/>
  <c r="O541" i="3" a="1"/>
  <c r="O541" i="3" s="1"/>
  <c r="O540" i="3" a="1"/>
  <c r="O540" i="3" s="1"/>
  <c r="O539" i="3" a="1"/>
  <c r="O539" i="3" s="1"/>
  <c r="O538" i="3" a="1"/>
  <c r="O538" i="3" s="1"/>
  <c r="O537" i="3" a="1"/>
  <c r="O537" i="3" s="1"/>
  <c r="O536" i="3" a="1"/>
  <c r="O536" i="3" s="1"/>
  <c r="O535" i="3" a="1"/>
  <c r="O535" i="3" s="1"/>
  <c r="O534" i="3" a="1"/>
  <c r="O534" i="3" s="1"/>
  <c r="O533" i="3" a="1"/>
  <c r="O533" i="3" s="1"/>
  <c r="O532" i="3" a="1"/>
  <c r="O532" i="3" s="1"/>
  <c r="O531" i="3" a="1"/>
  <c r="O531" i="3" s="1"/>
  <c r="O530" i="3" a="1"/>
  <c r="O530" i="3" s="1"/>
  <c r="O529" i="3" a="1"/>
  <c r="O529" i="3" s="1"/>
  <c r="O528" i="3" a="1"/>
  <c r="O528" i="3" s="1"/>
  <c r="O527" i="3" a="1"/>
  <c r="O527" i="3" s="1"/>
  <c r="O526" i="3" a="1"/>
  <c r="O526" i="3" s="1"/>
  <c r="O525" i="3" a="1"/>
  <c r="O525" i="3" s="1"/>
  <c r="O524" i="3" a="1"/>
  <c r="O524" i="3" s="1"/>
  <c r="O523" i="3" a="1"/>
  <c r="O523" i="3" s="1"/>
  <c r="O522" i="3" a="1"/>
  <c r="O522" i="3" s="1"/>
  <c r="O521" i="3" a="1"/>
  <c r="O521" i="3" s="1"/>
  <c r="O520" i="3" a="1"/>
  <c r="O520" i="3" s="1"/>
  <c r="O519" i="3" a="1"/>
  <c r="O519" i="3" s="1"/>
  <c r="O518" i="3" a="1"/>
  <c r="O518" i="3" s="1"/>
  <c r="O517" i="3" a="1"/>
  <c r="O517" i="3" s="1"/>
  <c r="O516" i="3" a="1"/>
  <c r="O516" i="3" s="1"/>
  <c r="O515" i="3" a="1"/>
  <c r="O515" i="3" s="1"/>
  <c r="O514" i="3" a="1"/>
  <c r="O514" i="3" s="1"/>
  <c r="O513" i="3" a="1"/>
  <c r="O513" i="3" s="1"/>
  <c r="O512" i="3" a="1"/>
  <c r="O512" i="3" s="1"/>
  <c r="O511" i="3" a="1"/>
  <c r="O511" i="3" s="1"/>
  <c r="O510" i="3" a="1"/>
  <c r="O510" i="3" s="1"/>
  <c r="O509" i="3" a="1"/>
  <c r="O509" i="3" s="1"/>
  <c r="O508" i="3" a="1"/>
  <c r="O508" i="3" s="1"/>
  <c r="O507" i="3" a="1"/>
  <c r="O507" i="3" s="1"/>
  <c r="O506" i="3" a="1"/>
  <c r="O506" i="3" s="1"/>
  <c r="O505" i="3" a="1"/>
  <c r="O505" i="3" s="1"/>
  <c r="O504" i="3" a="1"/>
  <c r="O504" i="3" s="1"/>
  <c r="O503" i="3" a="1"/>
  <c r="O503" i="3" s="1"/>
  <c r="O502" i="3" a="1"/>
  <c r="O502" i="3" s="1"/>
  <c r="O501" i="3" a="1"/>
  <c r="O501" i="3" s="1"/>
  <c r="O500" i="3" a="1"/>
  <c r="O500" i="3" s="1"/>
  <c r="O499" i="3" a="1"/>
  <c r="O499" i="3" s="1"/>
  <c r="O498" i="3" a="1"/>
  <c r="O498" i="3" s="1"/>
  <c r="O497" i="3" a="1"/>
  <c r="O497" i="3" s="1"/>
  <c r="O496" i="3" a="1"/>
  <c r="O496" i="3" s="1"/>
  <c r="O495" i="3" a="1"/>
  <c r="O495" i="3" s="1"/>
  <c r="O494" i="3" a="1"/>
  <c r="O494" i="3" s="1"/>
  <c r="O493" i="3" a="1"/>
  <c r="O493" i="3" s="1"/>
  <c r="O492" i="3" a="1"/>
  <c r="O492" i="3" s="1"/>
  <c r="O491" i="3" a="1"/>
  <c r="O491" i="3" s="1"/>
  <c r="O490" i="3" a="1"/>
  <c r="O490" i="3" s="1"/>
  <c r="O489" i="3" a="1"/>
  <c r="O489" i="3" s="1"/>
  <c r="O488" i="3" a="1"/>
  <c r="O488" i="3" s="1"/>
  <c r="O487" i="3" a="1"/>
  <c r="O487" i="3" s="1"/>
  <c r="O486" i="3" a="1"/>
  <c r="O486" i="3" s="1"/>
  <c r="O485" i="3" a="1"/>
  <c r="O485" i="3" s="1"/>
  <c r="O484" i="3" a="1"/>
  <c r="O484" i="3" s="1"/>
  <c r="O483" i="3" a="1"/>
  <c r="O483" i="3" s="1"/>
  <c r="O482" i="3" a="1"/>
  <c r="O482" i="3" s="1"/>
  <c r="O481" i="3" a="1"/>
  <c r="O481" i="3" s="1"/>
  <c r="O480" i="3" a="1"/>
  <c r="O480" i="3" s="1"/>
  <c r="O479" i="3" a="1"/>
  <c r="O479" i="3" s="1"/>
  <c r="O478" i="3" a="1"/>
  <c r="O478" i="3" s="1"/>
  <c r="O477" i="3" a="1"/>
  <c r="O477" i="3" s="1"/>
  <c r="O476" i="3" a="1"/>
  <c r="O476" i="3" s="1"/>
  <c r="O475" i="3" a="1"/>
  <c r="O475" i="3" s="1"/>
  <c r="O474" i="3" a="1"/>
  <c r="O474" i="3" s="1"/>
  <c r="O473" i="3" a="1"/>
  <c r="O473" i="3" s="1"/>
  <c r="O472" i="3" a="1"/>
  <c r="O472" i="3" s="1"/>
  <c r="O471" i="3" a="1"/>
  <c r="O471" i="3" s="1"/>
  <c r="O470" i="3" a="1"/>
  <c r="O470" i="3" s="1"/>
  <c r="O469" i="3" a="1"/>
  <c r="O469" i="3" s="1"/>
  <c r="O468" i="3" a="1"/>
  <c r="O468" i="3" s="1"/>
  <c r="O467" i="3" a="1"/>
  <c r="O467" i="3" s="1"/>
  <c r="O466" i="3" a="1"/>
  <c r="O466" i="3" s="1"/>
  <c r="O465" i="3" a="1"/>
  <c r="O465" i="3" s="1"/>
  <c r="O464" i="3" a="1"/>
  <c r="O464" i="3" s="1"/>
  <c r="O463" i="3" a="1"/>
  <c r="O463" i="3" s="1"/>
  <c r="O462" i="3" a="1"/>
  <c r="O462" i="3" s="1"/>
  <c r="O461" i="3" a="1"/>
  <c r="O461" i="3" s="1"/>
  <c r="O460" i="3" a="1"/>
  <c r="O460" i="3" s="1"/>
  <c r="O459" i="3" a="1"/>
  <c r="O459" i="3" s="1"/>
  <c r="O458" i="3" a="1"/>
  <c r="O458" i="3" s="1"/>
  <c r="O457" i="3" a="1"/>
  <c r="O457" i="3" s="1"/>
  <c r="O456" i="3" a="1"/>
  <c r="O456" i="3" s="1"/>
  <c r="O455" i="3" a="1"/>
  <c r="O455" i="3" s="1"/>
  <c r="O454" i="3" a="1"/>
  <c r="O454" i="3" s="1"/>
  <c r="O453" i="3" a="1"/>
  <c r="O453" i="3" s="1"/>
  <c r="O452" i="3" a="1"/>
  <c r="O452" i="3" s="1"/>
  <c r="O451" i="3" a="1"/>
  <c r="O451" i="3" s="1"/>
  <c r="O450" i="3" a="1"/>
  <c r="O450" i="3" s="1"/>
  <c r="O449" i="3" a="1"/>
  <c r="O449" i="3" s="1"/>
  <c r="O448" i="3" a="1"/>
  <c r="O448" i="3" s="1"/>
  <c r="O447" i="3" a="1"/>
  <c r="O447" i="3" s="1"/>
  <c r="O446" i="3" a="1"/>
  <c r="O446" i="3" s="1"/>
  <c r="O445" i="3" a="1"/>
  <c r="O445" i="3" s="1"/>
  <c r="O444" i="3" a="1"/>
  <c r="O444" i="3" s="1"/>
  <c r="O443" i="3" a="1"/>
  <c r="O443" i="3" s="1"/>
  <c r="O442" i="3" a="1"/>
  <c r="O442" i="3" s="1"/>
  <c r="O441" i="3" a="1"/>
  <c r="O441" i="3" s="1"/>
  <c r="O440" i="3" a="1"/>
  <c r="O440" i="3" s="1"/>
  <c r="O439" i="3" a="1"/>
  <c r="O439" i="3" s="1"/>
  <c r="O438" i="3" a="1"/>
  <c r="O438" i="3" s="1"/>
  <c r="O437" i="3" a="1"/>
  <c r="O437" i="3" s="1"/>
  <c r="O436" i="3" a="1"/>
  <c r="O436" i="3" s="1"/>
  <c r="O435" i="3" a="1"/>
  <c r="O435" i="3" s="1"/>
  <c r="O434" i="3" a="1"/>
  <c r="O434" i="3" s="1"/>
  <c r="O433" i="3" a="1"/>
  <c r="O433" i="3" s="1"/>
  <c r="O432" i="3" a="1"/>
  <c r="O432" i="3" s="1"/>
  <c r="O431" i="3" a="1"/>
  <c r="O431" i="3" s="1"/>
  <c r="O430" i="3" a="1"/>
  <c r="O430" i="3" s="1"/>
  <c r="O429" i="3" a="1"/>
  <c r="O429" i="3" s="1"/>
  <c r="O428" i="3" a="1"/>
  <c r="O428" i="3" s="1"/>
  <c r="O427" i="3" a="1"/>
  <c r="O427" i="3" s="1"/>
  <c r="O426" i="3" a="1"/>
  <c r="O426" i="3" s="1"/>
  <c r="O425" i="3" a="1"/>
  <c r="O425" i="3" s="1"/>
  <c r="O424" i="3" a="1"/>
  <c r="O424" i="3" s="1"/>
  <c r="O423" i="3" a="1"/>
  <c r="O423" i="3" s="1"/>
  <c r="O422" i="3" a="1"/>
  <c r="O422" i="3" s="1"/>
  <c r="O421" i="3" a="1"/>
  <c r="O421" i="3" s="1"/>
  <c r="O420" i="3" a="1"/>
  <c r="O420" i="3" s="1"/>
  <c r="O419" i="3" a="1"/>
  <c r="O419" i="3" s="1"/>
  <c r="O418" i="3" a="1"/>
  <c r="O418" i="3" s="1"/>
  <c r="O417" i="3" a="1"/>
  <c r="O417" i="3" s="1"/>
  <c r="O416" i="3" a="1"/>
  <c r="O416" i="3" s="1"/>
  <c r="O415" i="3" a="1"/>
  <c r="O415" i="3" s="1"/>
  <c r="O414" i="3" a="1"/>
  <c r="O414" i="3" s="1"/>
  <c r="O413" i="3" a="1"/>
  <c r="O413" i="3" s="1"/>
  <c r="O412" i="3" a="1"/>
  <c r="O412" i="3" s="1"/>
  <c r="O411" i="3" a="1"/>
  <c r="O411" i="3" s="1"/>
  <c r="O410" i="3" a="1"/>
  <c r="O410" i="3" s="1"/>
  <c r="O409" i="3" a="1"/>
  <c r="O409" i="3" s="1"/>
  <c r="O408" i="3" a="1"/>
  <c r="O408" i="3" s="1"/>
  <c r="O407" i="3" a="1"/>
  <c r="O407" i="3" s="1"/>
  <c r="O406" i="3" a="1"/>
  <c r="O406" i="3" s="1"/>
  <c r="O405" i="3" a="1"/>
  <c r="O405" i="3" s="1"/>
  <c r="O404" i="3" a="1"/>
  <c r="O404" i="3" s="1"/>
  <c r="O403" i="3" a="1"/>
  <c r="O403" i="3" s="1"/>
  <c r="O402" i="3" a="1"/>
  <c r="O402" i="3" s="1"/>
  <c r="O401" i="3" a="1"/>
  <c r="O401" i="3" s="1"/>
  <c r="O400" i="3" a="1"/>
  <c r="O400" i="3" s="1"/>
  <c r="O399" i="3" a="1"/>
  <c r="O399" i="3" s="1"/>
  <c r="O398" i="3" a="1"/>
  <c r="O398" i="3" s="1"/>
  <c r="O397" i="3" a="1"/>
  <c r="O397" i="3" s="1"/>
  <c r="O396" i="3" a="1"/>
  <c r="O396" i="3" s="1"/>
  <c r="O395" i="3" a="1"/>
  <c r="O395" i="3" s="1"/>
  <c r="O394" i="3" a="1"/>
  <c r="O394" i="3" s="1"/>
  <c r="O393" i="3" a="1"/>
  <c r="O393" i="3" s="1"/>
  <c r="O392" i="3" a="1"/>
  <c r="O392" i="3" s="1"/>
  <c r="O391" i="3" a="1"/>
  <c r="O391" i="3" s="1"/>
  <c r="O390" i="3" a="1"/>
  <c r="O390" i="3" s="1"/>
  <c r="O389" i="3" a="1"/>
  <c r="O389" i="3" s="1"/>
  <c r="O388" i="3" a="1"/>
  <c r="O388" i="3" s="1"/>
  <c r="O387" i="3" a="1"/>
  <c r="O387" i="3" s="1"/>
  <c r="O386" i="3" a="1"/>
  <c r="O386" i="3" s="1"/>
  <c r="O385" i="3" a="1"/>
  <c r="O385" i="3" s="1"/>
  <c r="O384" i="3" a="1"/>
  <c r="O384" i="3" s="1"/>
  <c r="O383" i="3" a="1"/>
  <c r="O383" i="3" s="1"/>
  <c r="O382" i="3" a="1"/>
  <c r="O382" i="3" s="1"/>
  <c r="O381" i="3" a="1"/>
  <c r="O381" i="3" s="1"/>
  <c r="O380" i="3" a="1"/>
  <c r="O380" i="3" s="1"/>
  <c r="O379" i="3" a="1"/>
  <c r="O379" i="3" s="1"/>
  <c r="O378" i="3" a="1"/>
  <c r="O378" i="3" s="1"/>
  <c r="O377" i="3" a="1"/>
  <c r="O377" i="3" s="1"/>
  <c r="O376" i="3" a="1"/>
  <c r="O376" i="3" s="1"/>
  <c r="O375" i="3" a="1"/>
  <c r="O375" i="3" s="1"/>
  <c r="O374" i="3" a="1"/>
  <c r="O374" i="3" s="1"/>
  <c r="O373" i="3" a="1"/>
  <c r="O373" i="3" s="1"/>
  <c r="O372" i="3" a="1"/>
  <c r="O372" i="3" s="1"/>
  <c r="O371" i="3" a="1"/>
  <c r="O371" i="3" s="1"/>
  <c r="O370" i="3" a="1"/>
  <c r="O370" i="3" s="1"/>
  <c r="O369" i="3" a="1"/>
  <c r="O369" i="3" s="1"/>
  <c r="O368" i="3" a="1"/>
  <c r="O368" i="3" s="1"/>
  <c r="O367" i="3" a="1"/>
  <c r="O367" i="3" s="1"/>
  <c r="O366" i="3" a="1"/>
  <c r="O366" i="3" s="1"/>
  <c r="O365" i="3" a="1"/>
  <c r="O365" i="3" s="1"/>
  <c r="O364" i="3" a="1"/>
  <c r="O364" i="3" s="1"/>
  <c r="O363" i="3" a="1"/>
  <c r="O363" i="3" s="1"/>
  <c r="O362" i="3" a="1"/>
  <c r="O362" i="3" s="1"/>
  <c r="O361" i="3" a="1"/>
  <c r="O361" i="3" s="1"/>
  <c r="O360" i="3" a="1"/>
  <c r="O360" i="3" s="1"/>
  <c r="O359" i="3" a="1"/>
  <c r="O359" i="3" s="1"/>
  <c r="O358" i="3" a="1"/>
  <c r="O358" i="3" s="1"/>
  <c r="O357" i="3" a="1"/>
  <c r="O357" i="3" s="1"/>
  <c r="O356" i="3" a="1"/>
  <c r="O356" i="3" s="1"/>
  <c r="O355" i="3" a="1"/>
  <c r="O355" i="3" s="1"/>
  <c r="O354" i="3" a="1"/>
  <c r="O354" i="3" s="1"/>
  <c r="O353" i="3" a="1"/>
  <c r="O353" i="3" s="1"/>
  <c r="O352" i="3" a="1"/>
  <c r="O352" i="3" s="1"/>
  <c r="O351" i="3" a="1"/>
  <c r="O351" i="3" s="1"/>
  <c r="O350" i="3" a="1"/>
  <c r="O350" i="3" s="1"/>
  <c r="O349" i="3" a="1"/>
  <c r="O349" i="3" s="1"/>
  <c r="O348" i="3" a="1"/>
  <c r="O348" i="3" s="1"/>
  <c r="O347" i="3" a="1"/>
  <c r="O347" i="3" s="1"/>
  <c r="O346" i="3" a="1"/>
  <c r="O346" i="3" s="1"/>
  <c r="O345" i="3" a="1"/>
  <c r="O345" i="3" s="1"/>
  <c r="O344" i="3" a="1"/>
  <c r="O344" i="3" s="1"/>
  <c r="O343" i="3" a="1"/>
  <c r="O343" i="3" s="1"/>
  <c r="O342" i="3" a="1"/>
  <c r="O342" i="3" s="1"/>
  <c r="O341" i="3" a="1"/>
  <c r="O341" i="3" s="1"/>
  <c r="O340" i="3" a="1"/>
  <c r="O340" i="3" s="1"/>
  <c r="O339" i="3" a="1"/>
  <c r="O339" i="3" s="1"/>
  <c r="O338" i="3" a="1"/>
  <c r="O338" i="3" s="1"/>
  <c r="O337" i="3" a="1"/>
  <c r="O337" i="3" s="1"/>
  <c r="O336" i="3" a="1"/>
  <c r="O336" i="3" s="1"/>
  <c r="O335" i="3" a="1"/>
  <c r="O335" i="3" s="1"/>
  <c r="O334" i="3" a="1"/>
  <c r="O334" i="3" s="1"/>
  <c r="O333" i="3" a="1"/>
  <c r="O333" i="3" s="1"/>
  <c r="O332" i="3" a="1"/>
  <c r="O332" i="3" s="1"/>
  <c r="O331" i="3" a="1"/>
  <c r="O331" i="3" s="1"/>
  <c r="O330" i="3" a="1"/>
  <c r="O330" i="3" s="1"/>
  <c r="O329" i="3" a="1"/>
  <c r="O329" i="3" s="1"/>
  <c r="O328" i="3" a="1"/>
  <c r="O328" i="3" s="1"/>
  <c r="O327" i="3" a="1"/>
  <c r="O327" i="3" s="1"/>
  <c r="O326" i="3" a="1"/>
  <c r="O326" i="3" s="1"/>
  <c r="O325" i="3" a="1"/>
  <c r="O325" i="3" s="1"/>
  <c r="O324" i="3" a="1"/>
  <c r="O324" i="3" s="1"/>
  <c r="O323" i="3" a="1"/>
  <c r="O323" i="3" s="1"/>
  <c r="O322" i="3" a="1"/>
  <c r="O322" i="3" s="1"/>
  <c r="O321" i="3" a="1"/>
  <c r="O321" i="3" s="1"/>
  <c r="O320" i="3" a="1"/>
  <c r="O320" i="3" s="1"/>
  <c r="O319" i="3" a="1"/>
  <c r="O319" i="3" s="1"/>
  <c r="O318" i="3" a="1"/>
  <c r="O318" i="3" s="1"/>
  <c r="O317" i="3" a="1"/>
  <c r="O317" i="3" s="1"/>
  <c r="O316" i="3" a="1"/>
  <c r="O316" i="3" s="1"/>
  <c r="O315" i="3" a="1"/>
  <c r="O315" i="3" s="1"/>
  <c r="O314" i="3" a="1"/>
  <c r="O314" i="3" s="1"/>
  <c r="O313" i="3" a="1"/>
  <c r="O313" i="3" s="1"/>
  <c r="O312" i="3" a="1"/>
  <c r="O312" i="3" s="1"/>
  <c r="O311" i="3" a="1"/>
  <c r="O311" i="3" s="1"/>
  <c r="O310" i="3" a="1"/>
  <c r="O310" i="3" s="1"/>
  <c r="O309" i="3" a="1"/>
  <c r="O309" i="3" s="1"/>
  <c r="O308" i="3" a="1"/>
  <c r="O308" i="3" s="1"/>
  <c r="O307" i="3" a="1"/>
  <c r="O307" i="3" s="1"/>
  <c r="O306" i="3" a="1"/>
  <c r="O306" i="3" s="1"/>
  <c r="O305" i="3" a="1"/>
  <c r="O305" i="3" s="1"/>
  <c r="O304" i="3" a="1"/>
  <c r="O304" i="3" s="1"/>
  <c r="O303" i="3" a="1"/>
  <c r="O303" i="3" s="1"/>
  <c r="O302" i="3" a="1"/>
  <c r="O302" i="3" s="1"/>
  <c r="O301" i="3" a="1"/>
  <c r="O301" i="3" s="1"/>
  <c r="O300" i="3" a="1"/>
  <c r="O300" i="3" s="1"/>
  <c r="O299" i="3" a="1"/>
  <c r="O299" i="3" s="1"/>
  <c r="O298" i="3" a="1"/>
  <c r="O298" i="3" s="1"/>
  <c r="O297" i="3" a="1"/>
  <c r="O297" i="3" s="1"/>
  <c r="O296" i="3" a="1"/>
  <c r="O296" i="3" s="1"/>
  <c r="O295" i="3" a="1"/>
  <c r="O295" i="3" s="1"/>
  <c r="O294" i="3" a="1"/>
  <c r="O294" i="3" s="1"/>
  <c r="O293" i="3" a="1"/>
  <c r="O293" i="3" s="1"/>
  <c r="O292" i="3" a="1"/>
  <c r="O292" i="3" s="1"/>
  <c r="O291" i="3" a="1"/>
  <c r="O291" i="3" s="1"/>
  <c r="O290" i="3" a="1"/>
  <c r="O290" i="3" s="1"/>
  <c r="O289" i="3" a="1"/>
  <c r="O289" i="3" s="1"/>
  <c r="O288" i="3" a="1"/>
  <c r="O288" i="3" s="1"/>
  <c r="O287" i="3" a="1"/>
  <c r="O287" i="3" s="1"/>
  <c r="O286" i="3" a="1"/>
  <c r="O286" i="3" s="1"/>
  <c r="O285" i="3" a="1"/>
  <c r="O285" i="3" s="1"/>
  <c r="O284" i="3" a="1"/>
  <c r="O284" i="3" s="1"/>
  <c r="O283" i="3" a="1"/>
  <c r="O283" i="3" s="1"/>
  <c r="O282" i="3" a="1"/>
  <c r="O282" i="3" s="1"/>
  <c r="O281" i="3" a="1"/>
  <c r="O281" i="3" s="1"/>
  <c r="O280" i="3" a="1"/>
  <c r="O280" i="3" s="1"/>
  <c r="O279" i="3" a="1"/>
  <c r="O279" i="3" s="1"/>
  <c r="O278" i="3" a="1"/>
  <c r="O278" i="3" s="1"/>
  <c r="O277" i="3" a="1"/>
  <c r="O277" i="3" s="1"/>
  <c r="O276" i="3" a="1"/>
  <c r="O276" i="3" s="1"/>
  <c r="O275" i="3" a="1"/>
  <c r="O275" i="3" s="1"/>
  <c r="O274" i="3" a="1"/>
  <c r="O274" i="3" s="1"/>
  <c r="O273" i="3" a="1"/>
  <c r="O273" i="3" s="1"/>
  <c r="O272" i="3" a="1"/>
  <c r="O272" i="3" s="1"/>
  <c r="O271" i="3" a="1"/>
  <c r="O271" i="3" s="1"/>
  <c r="O270" i="3" a="1"/>
  <c r="O270" i="3" s="1"/>
  <c r="O269" i="3" a="1"/>
  <c r="O269" i="3" s="1"/>
  <c r="O268" i="3" a="1"/>
  <c r="O268" i="3" s="1"/>
  <c r="O267" i="3" a="1"/>
  <c r="O267" i="3" s="1"/>
  <c r="O266" i="3" a="1"/>
  <c r="O266" i="3" s="1"/>
  <c r="O265" i="3" a="1"/>
  <c r="O265" i="3" s="1"/>
  <c r="O264" i="3" a="1"/>
  <c r="O264" i="3" s="1"/>
  <c r="O263" i="3" a="1"/>
  <c r="O263" i="3" s="1"/>
  <c r="O262" i="3" a="1"/>
  <c r="O262" i="3" s="1"/>
  <c r="O261" i="3" a="1"/>
  <c r="O261" i="3" s="1"/>
  <c r="O260" i="3" a="1"/>
  <c r="O260" i="3" s="1"/>
  <c r="O259" i="3" a="1"/>
  <c r="O259" i="3" s="1"/>
  <c r="O258" i="3" a="1"/>
  <c r="O258" i="3" s="1"/>
  <c r="O257" i="3" a="1"/>
  <c r="O257" i="3" s="1"/>
  <c r="O256" i="3" a="1"/>
  <c r="O256" i="3" s="1"/>
  <c r="O255" i="3" a="1"/>
  <c r="O255" i="3" s="1"/>
  <c r="O254" i="3" a="1"/>
  <c r="O254" i="3" s="1"/>
  <c r="O253" i="3" a="1"/>
  <c r="O253" i="3" s="1"/>
  <c r="O252" i="3" a="1"/>
  <c r="O252" i="3" s="1"/>
  <c r="O251" i="3" a="1"/>
  <c r="O251" i="3" s="1"/>
  <c r="O250" i="3" a="1"/>
  <c r="O250" i="3" s="1"/>
  <c r="O249" i="3" a="1"/>
  <c r="O249" i="3" s="1"/>
  <c r="O248" i="3" a="1"/>
  <c r="O248" i="3" s="1"/>
  <c r="O247" i="3" a="1"/>
  <c r="O247" i="3" s="1"/>
  <c r="O246" i="3" a="1"/>
  <c r="O246" i="3" s="1"/>
  <c r="O245" i="3" a="1"/>
  <c r="O245" i="3" s="1"/>
  <c r="O244" i="3" a="1"/>
  <c r="O244" i="3" s="1"/>
  <c r="O243" i="3" a="1"/>
  <c r="O243" i="3" s="1"/>
  <c r="O242" i="3" a="1"/>
  <c r="O242" i="3" s="1"/>
  <c r="O241" i="3" a="1"/>
  <c r="O241" i="3" s="1"/>
  <c r="O240" i="3" a="1"/>
  <c r="O240" i="3" s="1"/>
  <c r="O239" i="3" a="1"/>
  <c r="O239" i="3" s="1"/>
  <c r="O238" i="3" a="1"/>
  <c r="O238" i="3" s="1"/>
  <c r="O237" i="3" a="1"/>
  <c r="O237" i="3" s="1"/>
  <c r="O236" i="3" a="1"/>
  <c r="O236" i="3" s="1"/>
  <c r="O235" i="3" a="1"/>
  <c r="O235" i="3" s="1"/>
  <c r="O234" i="3" a="1"/>
  <c r="O234" i="3" s="1"/>
  <c r="O233" i="3" a="1"/>
  <c r="O233" i="3" s="1"/>
  <c r="O232" i="3" a="1"/>
  <c r="O232" i="3" s="1"/>
  <c r="O231" i="3" a="1"/>
  <c r="O231" i="3" s="1"/>
  <c r="O230" i="3" a="1"/>
  <c r="O230" i="3" s="1"/>
  <c r="O229" i="3" a="1"/>
  <c r="O229" i="3" s="1"/>
  <c r="O228" i="3" a="1"/>
  <c r="O228" i="3" s="1"/>
  <c r="O227" i="3" a="1"/>
  <c r="O227" i="3" s="1"/>
  <c r="O226" i="3" a="1"/>
  <c r="O226" i="3" s="1"/>
  <c r="O225" i="3" a="1"/>
  <c r="O225" i="3" s="1"/>
  <c r="O224" i="3" a="1"/>
  <c r="O224" i="3" s="1"/>
  <c r="O223" i="3" a="1"/>
  <c r="O223" i="3" s="1"/>
  <c r="O222" i="3" a="1"/>
  <c r="O222" i="3" s="1"/>
  <c r="O221" i="3" a="1"/>
  <c r="O221" i="3" s="1"/>
  <c r="O220" i="3" a="1"/>
  <c r="O220" i="3" s="1"/>
  <c r="O219" i="3" a="1"/>
  <c r="O219" i="3" s="1"/>
  <c r="O218" i="3" a="1"/>
  <c r="O218" i="3" s="1"/>
  <c r="O217" i="3" a="1"/>
  <c r="O217" i="3" s="1"/>
  <c r="O216" i="3" a="1"/>
  <c r="O216" i="3" s="1"/>
  <c r="O215" i="3" a="1"/>
  <c r="O215" i="3" s="1"/>
  <c r="O214" i="3" a="1"/>
  <c r="O214" i="3" s="1"/>
  <c r="O213" i="3" a="1"/>
  <c r="O213" i="3" s="1"/>
  <c r="O212" i="3" a="1"/>
  <c r="O212" i="3" s="1"/>
  <c r="O211" i="3" a="1"/>
  <c r="O211" i="3" s="1"/>
  <c r="O210" i="3" a="1"/>
  <c r="O210" i="3" s="1"/>
  <c r="O209" i="3" a="1"/>
  <c r="O209" i="3" s="1"/>
  <c r="O208" i="3" a="1"/>
  <c r="O208" i="3" s="1"/>
  <c r="O207" i="3" a="1"/>
  <c r="O207" i="3" s="1"/>
  <c r="O206" i="3" a="1"/>
  <c r="O206" i="3" s="1"/>
  <c r="O205" i="3" a="1"/>
  <c r="O205" i="3" s="1"/>
  <c r="O204" i="3" a="1"/>
  <c r="O204" i="3" s="1"/>
  <c r="O203" i="3" a="1"/>
  <c r="O203" i="3" s="1"/>
  <c r="O202" i="3" a="1"/>
  <c r="O202" i="3" s="1"/>
  <c r="O201" i="3" a="1"/>
  <c r="O201" i="3" s="1"/>
  <c r="O200" i="3" a="1"/>
  <c r="O200" i="3" s="1"/>
  <c r="O199" i="3" a="1"/>
  <c r="O199" i="3" s="1"/>
  <c r="O198" i="3" a="1"/>
  <c r="O198" i="3" s="1"/>
  <c r="O197" i="3" a="1"/>
  <c r="O197" i="3" s="1"/>
  <c r="O196" i="3" a="1"/>
  <c r="O196" i="3" s="1"/>
  <c r="O195" i="3" a="1"/>
  <c r="O195" i="3" s="1"/>
  <c r="O194" i="3" a="1"/>
  <c r="O194" i="3" s="1"/>
  <c r="O193" i="3" a="1"/>
  <c r="O193" i="3" s="1"/>
  <c r="O192" i="3" a="1"/>
  <c r="O192" i="3" s="1"/>
  <c r="O191" i="3" a="1"/>
  <c r="O191" i="3" s="1"/>
  <c r="O190" i="3" a="1"/>
  <c r="O190" i="3" s="1"/>
  <c r="O189" i="3" a="1"/>
  <c r="O189" i="3" s="1"/>
  <c r="O188" i="3" a="1"/>
  <c r="O188" i="3" s="1"/>
  <c r="O187" i="3" a="1"/>
  <c r="O187" i="3" s="1"/>
  <c r="O186" i="3" a="1"/>
  <c r="O186" i="3" s="1"/>
  <c r="O185" i="3" a="1"/>
  <c r="O185" i="3" s="1"/>
  <c r="O184" i="3" a="1"/>
  <c r="O184" i="3" s="1"/>
  <c r="O183" i="3" a="1"/>
  <c r="O183" i="3" s="1"/>
  <c r="O182" i="3" a="1"/>
  <c r="O182" i="3" s="1"/>
  <c r="O181" i="3" a="1"/>
  <c r="O181" i="3" s="1"/>
  <c r="O180" i="3" a="1"/>
  <c r="O180" i="3" s="1"/>
  <c r="O179" i="3" a="1"/>
  <c r="O179" i="3" s="1"/>
  <c r="O178" i="3" a="1"/>
  <c r="O178" i="3" s="1"/>
  <c r="O177" i="3" a="1"/>
  <c r="O177" i="3" s="1"/>
  <c r="O176" i="3" a="1"/>
  <c r="O176" i="3" s="1"/>
  <c r="O175" i="3" a="1"/>
  <c r="O175" i="3" s="1"/>
  <c r="O174" i="3" a="1"/>
  <c r="O174" i="3" s="1"/>
  <c r="O173" i="3" a="1"/>
  <c r="O173" i="3" s="1"/>
  <c r="O172" i="3" a="1"/>
  <c r="O172" i="3" s="1"/>
  <c r="O171" i="3" a="1"/>
  <c r="O171" i="3" s="1"/>
  <c r="O170" i="3" a="1"/>
  <c r="O170" i="3" s="1"/>
  <c r="O169" i="3" a="1"/>
  <c r="O169" i="3" s="1"/>
  <c r="O168" i="3" a="1"/>
  <c r="O168" i="3" s="1"/>
  <c r="O167" i="3" a="1"/>
  <c r="O167" i="3" s="1"/>
  <c r="O166" i="3" a="1"/>
  <c r="O166" i="3" s="1"/>
  <c r="O165" i="3" a="1"/>
  <c r="O165" i="3" s="1"/>
  <c r="O164" i="3" a="1"/>
  <c r="O164" i="3" s="1"/>
  <c r="O163" i="3" a="1"/>
  <c r="O163" i="3" s="1"/>
  <c r="O162" i="3" a="1"/>
  <c r="O162" i="3" s="1"/>
  <c r="O161" i="3" a="1"/>
  <c r="O161" i="3" s="1"/>
  <c r="O160" i="3" a="1"/>
  <c r="O160" i="3" s="1"/>
  <c r="O159" i="3" a="1"/>
  <c r="O159" i="3" s="1"/>
  <c r="O158" i="3" a="1"/>
  <c r="O158" i="3" s="1"/>
  <c r="O157" i="3" a="1"/>
  <c r="O157" i="3" s="1"/>
  <c r="O156" i="3" a="1"/>
  <c r="O156" i="3" s="1"/>
  <c r="O155" i="3" a="1"/>
  <c r="O155" i="3" s="1"/>
  <c r="O154" i="3" a="1"/>
  <c r="O154" i="3" s="1"/>
  <c r="O153" i="3" a="1"/>
  <c r="O153" i="3" s="1"/>
  <c r="O152" i="3" a="1"/>
  <c r="O152" i="3" s="1"/>
  <c r="O151" i="3" a="1"/>
  <c r="O151" i="3" s="1"/>
  <c r="O150" i="3" a="1"/>
  <c r="O150" i="3" s="1"/>
  <c r="O149" i="3" a="1"/>
  <c r="O149" i="3" s="1"/>
  <c r="O148" i="3" a="1"/>
  <c r="O148" i="3" s="1"/>
  <c r="O147" i="3" a="1"/>
  <c r="O147" i="3" s="1"/>
  <c r="O146" i="3" a="1"/>
  <c r="O146" i="3" s="1"/>
  <c r="O145" i="3" a="1"/>
  <c r="O145" i="3" s="1"/>
  <c r="O144" i="3" a="1"/>
  <c r="O144" i="3" s="1"/>
  <c r="O143" i="3" a="1"/>
  <c r="O143" i="3" s="1"/>
  <c r="O142" i="3" a="1"/>
  <c r="O142" i="3" s="1"/>
  <c r="O141" i="3" a="1"/>
  <c r="O141" i="3" s="1"/>
  <c r="O140" i="3" a="1"/>
  <c r="O140" i="3" s="1"/>
  <c r="O139" i="3" a="1"/>
  <c r="O139" i="3" s="1"/>
  <c r="O138" i="3" a="1"/>
  <c r="O138" i="3" s="1"/>
  <c r="O137" i="3" a="1"/>
  <c r="O137" i="3" s="1"/>
  <c r="O136" i="3" a="1"/>
  <c r="O136" i="3" s="1"/>
  <c r="O135" i="3" a="1"/>
  <c r="O135" i="3" s="1"/>
  <c r="O134" i="3" a="1"/>
  <c r="O134" i="3" s="1"/>
  <c r="O133" i="3" a="1"/>
  <c r="O133" i="3" s="1"/>
  <c r="O132" i="3" a="1"/>
  <c r="O132" i="3" s="1"/>
  <c r="O131" i="3" a="1"/>
  <c r="O131" i="3" s="1"/>
  <c r="O130" i="3" a="1"/>
  <c r="O130" i="3" s="1"/>
  <c r="O129" i="3" a="1"/>
  <c r="O129" i="3" s="1"/>
  <c r="O128" i="3" a="1"/>
  <c r="O128" i="3" s="1"/>
  <c r="O127" i="3" a="1"/>
  <c r="O127" i="3" s="1"/>
  <c r="O126" i="3" a="1"/>
  <c r="O126" i="3" s="1"/>
  <c r="O125" i="3" a="1"/>
  <c r="O125" i="3" s="1"/>
  <c r="O124" i="3" a="1"/>
  <c r="O124" i="3" s="1"/>
  <c r="O123" i="3" a="1"/>
  <c r="O123" i="3" s="1"/>
  <c r="O122" i="3" a="1"/>
  <c r="O122" i="3" s="1"/>
  <c r="O121" i="3" a="1"/>
  <c r="O121" i="3" s="1"/>
  <c r="O120" i="3" a="1"/>
  <c r="O120" i="3" s="1"/>
  <c r="O119" i="3" a="1"/>
  <c r="O119" i="3" s="1"/>
  <c r="O118" i="3" a="1"/>
  <c r="O118" i="3" s="1"/>
  <c r="O117" i="3" a="1"/>
  <c r="O117" i="3" s="1"/>
  <c r="O116" i="3" a="1"/>
  <c r="O116" i="3" s="1"/>
  <c r="O115" i="3" a="1"/>
  <c r="O115" i="3" s="1"/>
  <c r="O114" i="3" a="1"/>
  <c r="O114" i="3" s="1"/>
  <c r="O113" i="3" a="1"/>
  <c r="O113" i="3" s="1"/>
  <c r="O112" i="3" a="1"/>
  <c r="O112" i="3" s="1"/>
  <c r="O111" i="3" a="1"/>
  <c r="O111" i="3" s="1"/>
  <c r="O110" i="3" a="1"/>
  <c r="O110" i="3" s="1"/>
  <c r="O109" i="3" a="1"/>
  <c r="O109" i="3" s="1"/>
  <c r="O108" i="3" a="1"/>
  <c r="O108" i="3" s="1"/>
  <c r="O107" i="3" a="1"/>
  <c r="O107" i="3" s="1"/>
  <c r="O106" i="3" a="1"/>
  <c r="O106" i="3" s="1"/>
  <c r="O105" i="3" a="1"/>
  <c r="O105" i="3" s="1"/>
  <c r="O104" i="3" a="1"/>
  <c r="O104" i="3" s="1"/>
  <c r="O103" i="3" a="1"/>
  <c r="O103" i="3" s="1"/>
  <c r="O102" i="3" a="1"/>
  <c r="O102" i="3" s="1"/>
  <c r="O101" i="3" a="1"/>
  <c r="O101" i="3" s="1"/>
  <c r="O100" i="3" a="1"/>
  <c r="O100" i="3" s="1"/>
  <c r="O99" i="3" a="1"/>
  <c r="O99" i="3" s="1"/>
  <c r="O98" i="3" a="1"/>
  <c r="O98" i="3" s="1"/>
  <c r="O97" i="3" a="1"/>
  <c r="O97" i="3" s="1"/>
  <c r="O96" i="3" a="1"/>
  <c r="O96" i="3" s="1"/>
  <c r="O95" i="3" a="1"/>
  <c r="O95" i="3" s="1"/>
  <c r="O94" i="3" a="1"/>
  <c r="O94" i="3" s="1"/>
  <c r="O93" i="3" a="1"/>
  <c r="O93" i="3" s="1"/>
  <c r="O92" i="3" a="1"/>
  <c r="O92" i="3" s="1"/>
  <c r="O91" i="3" a="1"/>
  <c r="O91" i="3" s="1"/>
  <c r="O90" i="3" a="1"/>
  <c r="O90" i="3" s="1"/>
  <c r="O89" i="3" a="1"/>
  <c r="O89" i="3" s="1"/>
  <c r="O88" i="3" a="1"/>
  <c r="O88" i="3" s="1"/>
  <c r="O87" i="3" a="1"/>
  <c r="O87" i="3" s="1"/>
  <c r="O86" i="3" a="1"/>
  <c r="O86" i="3" s="1"/>
  <c r="O85" i="3" a="1"/>
  <c r="O85" i="3" s="1"/>
  <c r="O84" i="3" a="1"/>
  <c r="O84" i="3" s="1"/>
  <c r="O83" i="3" a="1"/>
  <c r="O83" i="3" s="1"/>
  <c r="O82" i="3" a="1"/>
  <c r="O82" i="3" s="1"/>
  <c r="O81" i="3" a="1"/>
  <c r="O81" i="3" s="1"/>
  <c r="O80" i="3" a="1"/>
  <c r="O80" i="3" s="1"/>
  <c r="O79" i="3" a="1"/>
  <c r="O79" i="3" s="1"/>
  <c r="O78" i="3" a="1"/>
  <c r="O78" i="3" s="1"/>
  <c r="O77" i="3" a="1"/>
  <c r="O77" i="3" s="1"/>
  <c r="O76" i="3" a="1"/>
  <c r="O76" i="3" s="1"/>
  <c r="O75" i="3" a="1"/>
  <c r="O75" i="3" s="1"/>
  <c r="O74" i="3" a="1"/>
  <c r="O74" i="3" s="1"/>
  <c r="O73" i="3" a="1"/>
  <c r="O73" i="3" s="1"/>
  <c r="O72" i="3" a="1"/>
  <c r="O72" i="3" s="1"/>
  <c r="O71" i="3" a="1"/>
  <c r="O71" i="3" s="1"/>
  <c r="O70" i="3" a="1"/>
  <c r="O70" i="3" s="1"/>
  <c r="O69" i="3" a="1"/>
  <c r="O69" i="3" s="1"/>
  <c r="O68" i="3" a="1"/>
  <c r="O68" i="3" s="1"/>
  <c r="O67" i="3" a="1"/>
  <c r="O67" i="3" s="1"/>
  <c r="O66" i="3" a="1"/>
  <c r="O66" i="3" s="1"/>
  <c r="O65" i="3" a="1"/>
  <c r="O65" i="3" s="1"/>
  <c r="O64" i="3" a="1"/>
  <c r="O64" i="3" s="1"/>
  <c r="O63" i="3" a="1"/>
  <c r="O63" i="3" s="1"/>
  <c r="O62" i="3" a="1"/>
  <c r="O62" i="3" s="1"/>
  <c r="O61" i="3" a="1"/>
  <c r="O61" i="3" s="1"/>
  <c r="O60" i="3" a="1"/>
  <c r="O60" i="3" s="1"/>
  <c r="O59" i="3" a="1"/>
  <c r="O59" i="3" s="1"/>
  <c r="O58" i="3" a="1"/>
  <c r="O58" i="3" s="1"/>
  <c r="O57" i="3" a="1"/>
  <c r="O57" i="3" s="1"/>
  <c r="O56" i="3" a="1"/>
  <c r="O56" i="3" s="1"/>
  <c r="O55" i="3" a="1"/>
  <c r="O55" i="3" s="1"/>
  <c r="O54" i="3" a="1"/>
  <c r="O54" i="3" s="1"/>
  <c r="O53" i="3" a="1"/>
  <c r="O53" i="3" s="1"/>
  <c r="O52" i="3" a="1"/>
  <c r="O52" i="3" s="1"/>
  <c r="O51" i="3" a="1"/>
  <c r="O51" i="3" s="1"/>
  <c r="O50" i="3" a="1"/>
  <c r="O50" i="3" s="1"/>
  <c r="O49" i="3" a="1"/>
  <c r="O49" i="3" s="1"/>
  <c r="O48" i="3" a="1"/>
  <c r="O48" i="3" s="1"/>
  <c r="O47" i="3" a="1"/>
  <c r="O47" i="3" s="1"/>
  <c r="O46" i="3" a="1"/>
  <c r="O46" i="3" s="1"/>
  <c r="O45" i="3" a="1"/>
  <c r="O45" i="3" s="1"/>
  <c r="O44" i="3" a="1"/>
  <c r="O44" i="3" s="1"/>
  <c r="O43" i="3" a="1"/>
  <c r="O43" i="3" s="1"/>
  <c r="O42" i="3" a="1"/>
  <c r="O42" i="3" s="1"/>
  <c r="O41" i="3" a="1"/>
  <c r="O41" i="3" s="1"/>
  <c r="O40" i="3" a="1"/>
  <c r="O40" i="3" s="1"/>
  <c r="O39" i="3" a="1"/>
  <c r="O39" i="3" s="1"/>
  <c r="O38" i="3" a="1"/>
  <c r="O38" i="3" s="1"/>
  <c r="O37" i="3" a="1"/>
  <c r="O37" i="3" s="1"/>
  <c r="O36" i="3" a="1"/>
  <c r="O36" i="3" s="1"/>
  <c r="O35" i="3" a="1"/>
  <c r="O35" i="3" s="1"/>
  <c r="O34" i="3" a="1"/>
  <c r="O34" i="3" s="1"/>
  <c r="O33" i="3" a="1"/>
  <c r="O33" i="3" s="1"/>
  <c r="O32" i="3" a="1"/>
  <c r="O32" i="3" s="1"/>
  <c r="O31" i="3" a="1"/>
  <c r="O31" i="3" s="1"/>
  <c r="O30" i="3" a="1"/>
  <c r="O30" i="3" s="1"/>
  <c r="O29" i="3" a="1"/>
  <c r="O29" i="3" s="1"/>
  <c r="O28" i="3" a="1"/>
  <c r="O28" i="3" s="1"/>
  <c r="O27" i="3" a="1"/>
  <c r="O27" i="3" s="1"/>
  <c r="O26" i="3" a="1"/>
  <c r="O26" i="3" s="1"/>
  <c r="O25" i="3" a="1"/>
  <c r="O25" i="3" s="1"/>
  <c r="O24" i="3" a="1"/>
  <c r="O24" i="3" s="1"/>
  <c r="O23" i="3" a="1"/>
  <c r="O23" i="3" s="1"/>
  <c r="O22" i="3" a="1"/>
  <c r="O22" i="3" s="1"/>
  <c r="O21" i="3" a="1"/>
  <c r="O21" i="3" s="1"/>
  <c r="O20" i="3" a="1"/>
  <c r="O20" i="3" s="1"/>
  <c r="O19" i="3" a="1"/>
  <c r="O19" i="3" s="1"/>
  <c r="O18" i="3" a="1"/>
  <c r="O18" i="3" s="1"/>
  <c r="O17" i="3" a="1"/>
  <c r="O17" i="3" s="1"/>
  <c r="O16" i="3" a="1"/>
  <c r="O16" i="3" s="1"/>
  <c r="O15" i="3" a="1"/>
  <c r="O15" i="3" s="1"/>
  <c r="O14" i="3" a="1"/>
  <c r="O14" i="3" s="1"/>
  <c r="O13" i="3" a="1"/>
  <c r="O13" i="3" s="1"/>
  <c r="O12" i="3" a="1"/>
  <c r="O12" i="3" s="1"/>
  <c r="O11" i="3" a="1"/>
  <c r="O11" i="3" s="1"/>
  <c r="O10" i="3" a="1"/>
  <c r="O10" i="3" s="1"/>
  <c r="O9" i="3" a="1"/>
  <c r="O9" i="3" s="1"/>
  <c r="O8" i="3" a="1"/>
  <c r="O8" i="3" s="1"/>
  <c r="O7" i="3" a="1"/>
  <c r="O7" i="3" s="1"/>
  <c r="O6" i="3" a="1"/>
  <c r="O6" i="3" s="1"/>
  <c r="O5" i="3" a="1"/>
  <c r="O5" i="3" s="1"/>
  <c r="O4" i="3" a="1"/>
  <c r="O4" i="3" s="1"/>
  <c r="O3" i="3" a="1"/>
  <c r="O3" i="3" s="1"/>
  <c r="A600" i="3" a="1"/>
  <c r="A600" i="3" s="1"/>
  <c r="A599" i="3" a="1"/>
  <c r="A599" i="3" s="1"/>
  <c r="A598" i="3" a="1"/>
  <c r="A598" i="3" s="1"/>
  <c r="A597" i="3" a="1"/>
  <c r="A597" i="3" s="1"/>
  <c r="A596" i="3" a="1"/>
  <c r="A596" i="3" s="1"/>
  <c r="A595" i="3" a="1"/>
  <c r="A595" i="3" s="1"/>
  <c r="A594" i="3" a="1"/>
  <c r="A594" i="3" s="1"/>
  <c r="A593" i="3" a="1"/>
  <c r="A593" i="3" s="1"/>
  <c r="A592" i="3" a="1"/>
  <c r="A592" i="3" s="1"/>
  <c r="A591" i="3" a="1"/>
  <c r="A591" i="3" s="1"/>
  <c r="A590" i="3" a="1"/>
  <c r="A590" i="3" s="1"/>
  <c r="A589" i="3" a="1"/>
  <c r="A589" i="3" s="1"/>
  <c r="A588" i="3" a="1"/>
  <c r="A588" i="3" s="1"/>
  <c r="A587" i="3" a="1"/>
  <c r="A587" i="3" s="1"/>
  <c r="A586" i="3" a="1"/>
  <c r="A586" i="3" s="1"/>
  <c r="A585" i="3" a="1"/>
  <c r="A585" i="3" s="1"/>
  <c r="A584" i="3" a="1"/>
  <c r="A584" i="3" s="1"/>
  <c r="A583" i="3" a="1"/>
  <c r="A583" i="3" s="1"/>
  <c r="A582" i="3" a="1"/>
  <c r="A582" i="3" s="1"/>
  <c r="A581" i="3" a="1"/>
  <c r="A581" i="3" s="1"/>
  <c r="A580" i="3" a="1"/>
  <c r="A580" i="3" s="1"/>
  <c r="A579" i="3" a="1"/>
  <c r="A579" i="3" s="1"/>
  <c r="A578" i="3" a="1"/>
  <c r="A578" i="3" s="1"/>
  <c r="A577" i="3" a="1"/>
  <c r="A577" i="3" s="1"/>
  <c r="A576" i="3" a="1"/>
  <c r="A576" i="3" s="1"/>
  <c r="A575" i="3" a="1"/>
  <c r="A575" i="3" s="1"/>
  <c r="A574" i="3" a="1"/>
  <c r="A574" i="3" s="1"/>
  <c r="A573" i="3" a="1"/>
  <c r="A573" i="3" s="1"/>
  <c r="A572" i="3" a="1"/>
  <c r="A572" i="3" s="1"/>
  <c r="A571" i="3" a="1"/>
  <c r="A571" i="3" s="1"/>
  <c r="A570" i="3" a="1"/>
  <c r="A570" i="3" s="1"/>
  <c r="A569" i="3" a="1"/>
  <c r="A569" i="3" s="1"/>
  <c r="A568" i="3" a="1"/>
  <c r="A568" i="3" s="1"/>
  <c r="A567" i="3" a="1"/>
  <c r="A567" i="3" s="1"/>
  <c r="A566" i="3" a="1"/>
  <c r="A566" i="3" s="1"/>
  <c r="A565" i="3" a="1"/>
  <c r="A565" i="3" s="1"/>
  <c r="A564" i="3" a="1"/>
  <c r="A564" i="3" s="1"/>
  <c r="A563" i="3" a="1"/>
  <c r="A563" i="3" s="1"/>
  <c r="A562" i="3" a="1"/>
  <c r="A562" i="3" s="1"/>
  <c r="A561" i="3" a="1"/>
  <c r="A561" i="3" s="1"/>
  <c r="A560" i="3" a="1"/>
  <c r="A560" i="3" s="1"/>
  <c r="A559" i="3" a="1"/>
  <c r="A559" i="3" s="1"/>
  <c r="A558" i="3" a="1"/>
  <c r="A558" i="3" s="1"/>
  <c r="A557" i="3" a="1"/>
  <c r="A557" i="3" s="1"/>
  <c r="A556" i="3" a="1"/>
  <c r="A556" i="3" s="1"/>
  <c r="A555" i="3" a="1"/>
  <c r="A555" i="3" s="1"/>
  <c r="A554" i="3" a="1"/>
  <c r="A554" i="3" s="1"/>
  <c r="A553" i="3" a="1"/>
  <c r="A553" i="3" s="1"/>
  <c r="A552" i="3" a="1"/>
  <c r="A552" i="3" s="1"/>
  <c r="A551" i="3" a="1"/>
  <c r="A551" i="3" s="1"/>
  <c r="A550" i="3" a="1"/>
  <c r="A550" i="3" s="1"/>
  <c r="A549" i="3" a="1"/>
  <c r="A549" i="3" s="1"/>
  <c r="A548" i="3" a="1"/>
  <c r="A548" i="3" s="1"/>
  <c r="A547" i="3" a="1"/>
  <c r="A547" i="3" s="1"/>
  <c r="A546" i="3" a="1"/>
  <c r="A546" i="3" s="1"/>
  <c r="A545" i="3" a="1"/>
  <c r="A545" i="3" s="1"/>
  <c r="A544" i="3" a="1"/>
  <c r="A544" i="3" s="1"/>
  <c r="A543" i="3" a="1"/>
  <c r="A543" i="3" s="1"/>
  <c r="A542" i="3" a="1"/>
  <c r="A542" i="3" s="1"/>
  <c r="A541" i="3" a="1"/>
  <c r="A541" i="3" s="1"/>
  <c r="A540" i="3" a="1"/>
  <c r="A540" i="3" s="1"/>
  <c r="A539" i="3" a="1"/>
  <c r="A539" i="3" s="1"/>
  <c r="A538" i="3" a="1"/>
  <c r="A538" i="3" s="1"/>
  <c r="A537" i="3" a="1"/>
  <c r="A537" i="3" s="1"/>
  <c r="A536" i="3" a="1"/>
  <c r="A536" i="3" s="1"/>
  <c r="A535" i="3" a="1"/>
  <c r="A535" i="3" s="1"/>
  <c r="A534" i="3" a="1"/>
  <c r="A534" i="3" s="1"/>
  <c r="A533" i="3" a="1"/>
  <c r="A533" i="3" s="1"/>
  <c r="A532" i="3" a="1"/>
  <c r="A532" i="3" s="1"/>
  <c r="A531" i="3" a="1"/>
  <c r="A531" i="3" s="1"/>
  <c r="A530" i="3" a="1"/>
  <c r="A530" i="3" s="1"/>
  <c r="A529" i="3" a="1"/>
  <c r="A529" i="3" s="1"/>
  <c r="A528" i="3" a="1"/>
  <c r="A528" i="3" s="1"/>
  <c r="A527" i="3" a="1"/>
  <c r="A527" i="3" s="1"/>
  <c r="A526" i="3" a="1"/>
  <c r="A526" i="3" s="1"/>
  <c r="A525" i="3" a="1"/>
  <c r="A525" i="3" s="1"/>
  <c r="A524" i="3" a="1"/>
  <c r="A524" i="3" s="1"/>
  <c r="A523" i="3" a="1"/>
  <c r="A523" i="3" s="1"/>
  <c r="A522" i="3" a="1"/>
  <c r="A522" i="3" s="1"/>
  <c r="A521" i="3" a="1"/>
  <c r="A521" i="3" s="1"/>
  <c r="A520" i="3" a="1"/>
  <c r="A520" i="3" s="1"/>
  <c r="A519" i="3" a="1"/>
  <c r="A519" i="3" s="1"/>
  <c r="A518" i="3" a="1"/>
  <c r="A518" i="3" s="1"/>
  <c r="A517" i="3" a="1"/>
  <c r="A517" i="3" s="1"/>
  <c r="A516" i="3" a="1"/>
  <c r="A516" i="3" s="1"/>
  <c r="A515" i="3" a="1"/>
  <c r="A515" i="3" s="1"/>
  <c r="A514" i="3" a="1"/>
  <c r="A514" i="3" s="1"/>
  <c r="A513" i="3" a="1"/>
  <c r="A513" i="3" s="1"/>
  <c r="A512" i="3" a="1"/>
  <c r="A512" i="3" s="1"/>
  <c r="A511" i="3" a="1"/>
  <c r="A511" i="3" s="1"/>
  <c r="A510" i="3" a="1"/>
  <c r="A510" i="3" s="1"/>
  <c r="A509" i="3" a="1"/>
  <c r="A509" i="3" s="1"/>
  <c r="A508" i="3" a="1"/>
  <c r="A508" i="3" s="1"/>
  <c r="A507" i="3" a="1"/>
  <c r="A507" i="3" s="1"/>
  <c r="A506" i="3" a="1"/>
  <c r="A506" i="3" s="1"/>
  <c r="A505" i="3" a="1"/>
  <c r="A505" i="3" s="1"/>
  <c r="A504" i="3" a="1"/>
  <c r="A504" i="3" s="1"/>
  <c r="A503" i="3" a="1"/>
  <c r="A503" i="3" s="1"/>
  <c r="A502" i="3" a="1"/>
  <c r="A502" i="3" s="1"/>
  <c r="A501" i="3" a="1"/>
  <c r="A501" i="3" s="1"/>
  <c r="A500" i="3" a="1"/>
  <c r="A500" i="3" s="1"/>
  <c r="A499" i="3" a="1"/>
  <c r="A499" i="3" s="1"/>
  <c r="A498" i="3" a="1"/>
  <c r="A498" i="3" s="1"/>
  <c r="A497" i="3" a="1"/>
  <c r="A497" i="3" s="1"/>
  <c r="A496" i="3" a="1"/>
  <c r="A496" i="3" s="1"/>
  <c r="A495" i="3" a="1"/>
  <c r="A495" i="3" s="1"/>
  <c r="A494" i="3" a="1"/>
  <c r="A494" i="3" s="1"/>
  <c r="A493" i="3" a="1"/>
  <c r="A493" i="3" s="1"/>
  <c r="A492" i="3" a="1"/>
  <c r="A492" i="3" s="1"/>
  <c r="A491" i="3" a="1"/>
  <c r="A491" i="3" s="1"/>
  <c r="A490" i="3" a="1"/>
  <c r="A490" i="3" s="1"/>
  <c r="A489" i="3" a="1"/>
  <c r="A489" i="3" s="1"/>
  <c r="A488" i="3" a="1"/>
  <c r="A488" i="3" s="1"/>
  <c r="A487" i="3" a="1"/>
  <c r="A487" i="3" s="1"/>
  <c r="A486" i="3" a="1"/>
  <c r="A486" i="3" s="1"/>
  <c r="A485" i="3" a="1"/>
  <c r="A485" i="3" s="1"/>
  <c r="A484" i="3" a="1"/>
  <c r="A484" i="3" s="1"/>
  <c r="A483" i="3" a="1"/>
  <c r="A483" i="3" s="1"/>
  <c r="A482" i="3" a="1"/>
  <c r="A482" i="3" s="1"/>
  <c r="A481" i="3" a="1"/>
  <c r="A481" i="3" s="1"/>
  <c r="A480" i="3" a="1"/>
  <c r="A480" i="3" s="1"/>
  <c r="A479" i="3" a="1"/>
  <c r="A479" i="3" s="1"/>
  <c r="A478" i="3" a="1"/>
  <c r="A478" i="3" s="1"/>
  <c r="A477" i="3" a="1"/>
  <c r="A477" i="3" s="1"/>
  <c r="A476" i="3" a="1"/>
  <c r="A476" i="3" s="1"/>
  <c r="A475" i="3" a="1"/>
  <c r="A475" i="3" s="1"/>
  <c r="A474" i="3" a="1"/>
  <c r="A474" i="3" s="1"/>
  <c r="A473" i="3" a="1"/>
  <c r="A473" i="3" s="1"/>
  <c r="A472" i="3" a="1"/>
  <c r="A472" i="3" s="1"/>
  <c r="A471" i="3" a="1"/>
  <c r="A471" i="3" s="1"/>
  <c r="A470" i="3" a="1"/>
  <c r="A470" i="3" s="1"/>
  <c r="A469" i="3" a="1"/>
  <c r="A469" i="3" s="1"/>
  <c r="A468" i="3" a="1"/>
  <c r="A468" i="3" s="1"/>
  <c r="A467" i="3" a="1"/>
  <c r="A467" i="3" s="1"/>
  <c r="A466" i="3" a="1"/>
  <c r="A466" i="3" s="1"/>
  <c r="A465" i="3" a="1"/>
  <c r="A465" i="3" s="1"/>
  <c r="A464" i="3" a="1"/>
  <c r="A464" i="3" s="1"/>
  <c r="A463" i="3" a="1"/>
  <c r="A463" i="3" s="1"/>
  <c r="A462" i="3" a="1"/>
  <c r="A462" i="3" s="1"/>
  <c r="A461" i="3" a="1"/>
  <c r="A461" i="3" s="1"/>
  <c r="A460" i="3" a="1"/>
  <c r="A460" i="3" s="1"/>
  <c r="A459" i="3" a="1"/>
  <c r="A459" i="3" s="1"/>
  <c r="A458" i="3" a="1"/>
  <c r="A458" i="3" s="1"/>
  <c r="A457" i="3" a="1"/>
  <c r="A457" i="3" s="1"/>
  <c r="A456" i="3" a="1"/>
  <c r="A456" i="3" s="1"/>
  <c r="A455" i="3" a="1"/>
  <c r="A455" i="3" s="1"/>
  <c r="A454" i="3" a="1"/>
  <c r="A454" i="3" s="1"/>
  <c r="A453" i="3" a="1"/>
  <c r="A453" i="3" s="1"/>
  <c r="A452" i="3" a="1"/>
  <c r="A452" i="3" s="1"/>
  <c r="A451" i="3" a="1"/>
  <c r="A451" i="3" s="1"/>
  <c r="A450" i="3" a="1"/>
  <c r="A450" i="3" s="1"/>
  <c r="A449" i="3" a="1"/>
  <c r="A449" i="3" s="1"/>
  <c r="A448" i="3" a="1"/>
  <c r="A448" i="3" s="1"/>
  <c r="A447" i="3" a="1"/>
  <c r="A447" i="3" s="1"/>
  <c r="A446" i="3" a="1"/>
  <c r="A446" i="3" s="1"/>
  <c r="A445" i="3" a="1"/>
  <c r="A445" i="3" s="1"/>
  <c r="A444" i="3" a="1"/>
  <c r="A444" i="3" s="1"/>
  <c r="A443" i="3" a="1"/>
  <c r="A443" i="3" s="1"/>
  <c r="A442" i="3" a="1"/>
  <c r="A442" i="3" s="1"/>
  <c r="A441" i="3" a="1"/>
  <c r="A441" i="3" s="1"/>
  <c r="A440" i="3" a="1"/>
  <c r="A440" i="3" s="1"/>
  <c r="A439" i="3" a="1"/>
  <c r="A439" i="3" s="1"/>
  <c r="A438" i="3" a="1"/>
  <c r="A438" i="3" s="1"/>
  <c r="A437" i="3" a="1"/>
  <c r="A437" i="3" s="1"/>
  <c r="A436" i="3" a="1"/>
  <c r="A436" i="3" s="1"/>
  <c r="A435" i="3" a="1"/>
  <c r="A435" i="3" s="1"/>
  <c r="A434" i="3" a="1"/>
  <c r="A434" i="3" s="1"/>
  <c r="A433" i="3" a="1"/>
  <c r="A433" i="3" s="1"/>
  <c r="A432" i="3" a="1"/>
  <c r="A432" i="3" s="1"/>
  <c r="A431" i="3" a="1"/>
  <c r="A431" i="3" s="1"/>
  <c r="A430" i="3" a="1"/>
  <c r="A430" i="3" s="1"/>
  <c r="A429" i="3" a="1"/>
  <c r="A429" i="3" s="1"/>
  <c r="A428" i="3" a="1"/>
  <c r="A428" i="3" s="1"/>
  <c r="A427" i="3" a="1"/>
  <c r="A427" i="3" s="1"/>
  <c r="A426" i="3" a="1"/>
  <c r="A426" i="3" s="1"/>
  <c r="A425" i="3" a="1"/>
  <c r="A425" i="3" s="1"/>
  <c r="A424" i="3" a="1"/>
  <c r="A424" i="3" s="1"/>
  <c r="A423" i="3" a="1"/>
  <c r="A423" i="3" s="1"/>
  <c r="A422" i="3" a="1"/>
  <c r="A422" i="3" s="1"/>
  <c r="A421" i="3" a="1"/>
  <c r="A421" i="3" s="1"/>
  <c r="A420" i="3" a="1"/>
  <c r="A420" i="3" s="1"/>
  <c r="A419" i="3" a="1"/>
  <c r="A419" i="3" s="1"/>
  <c r="A418" i="3" a="1"/>
  <c r="A418" i="3" s="1"/>
  <c r="A417" i="3" a="1"/>
  <c r="A417" i="3" s="1"/>
  <c r="A416" i="3" a="1"/>
  <c r="A416" i="3" s="1"/>
  <c r="A415" i="3" a="1"/>
  <c r="A415" i="3" s="1"/>
  <c r="A414" i="3" a="1"/>
  <c r="A414" i="3" s="1"/>
  <c r="A413" i="3" a="1"/>
  <c r="A413" i="3" s="1"/>
  <c r="A412" i="3" a="1"/>
  <c r="A412" i="3" s="1"/>
  <c r="A411" i="3" a="1"/>
  <c r="A411" i="3" s="1"/>
  <c r="A410" i="3" a="1"/>
  <c r="A410" i="3" s="1"/>
  <c r="A409" i="3" a="1"/>
  <c r="A409" i="3" s="1"/>
  <c r="A408" i="3" a="1"/>
  <c r="A408" i="3" s="1"/>
  <c r="A407" i="3" a="1"/>
  <c r="A407" i="3" s="1"/>
  <c r="A406" i="3" a="1"/>
  <c r="A406" i="3" s="1"/>
  <c r="A405" i="3" a="1"/>
  <c r="A405" i="3" s="1"/>
  <c r="A404" i="3" a="1"/>
  <c r="A404" i="3" s="1"/>
  <c r="A403" i="3" a="1"/>
  <c r="A403" i="3" s="1"/>
  <c r="A402" i="3" a="1"/>
  <c r="A402" i="3" s="1"/>
  <c r="A401" i="3" a="1"/>
  <c r="A401" i="3" s="1"/>
  <c r="A400" i="3" a="1"/>
  <c r="A400" i="3" s="1"/>
  <c r="A399" i="3" a="1"/>
  <c r="A399" i="3" s="1"/>
  <c r="A398" i="3" a="1"/>
  <c r="A398" i="3" s="1"/>
  <c r="A397" i="3" a="1"/>
  <c r="A397" i="3" s="1"/>
  <c r="A396" i="3" a="1"/>
  <c r="A396" i="3" s="1"/>
  <c r="A395" i="3" a="1"/>
  <c r="A395" i="3" s="1"/>
  <c r="A394" i="3" a="1"/>
  <c r="A394" i="3" s="1"/>
  <c r="A393" i="3" a="1"/>
  <c r="A393" i="3" s="1"/>
  <c r="A392" i="3" a="1"/>
  <c r="A392" i="3" s="1"/>
  <c r="A391" i="3" a="1"/>
  <c r="A391" i="3" s="1"/>
  <c r="A390" i="3" a="1"/>
  <c r="A390" i="3" s="1"/>
  <c r="A389" i="3" a="1"/>
  <c r="A389" i="3" s="1"/>
  <c r="A388" i="3" a="1"/>
  <c r="A388" i="3" s="1"/>
  <c r="A387" i="3" a="1"/>
  <c r="A387" i="3" s="1"/>
  <c r="A386" i="3" a="1"/>
  <c r="A386" i="3" s="1"/>
  <c r="A385" i="3" a="1"/>
  <c r="A385" i="3" s="1"/>
  <c r="A384" i="3" a="1"/>
  <c r="A384" i="3" s="1"/>
  <c r="A383" i="3" a="1"/>
  <c r="A383" i="3" s="1"/>
  <c r="A382" i="3" a="1"/>
  <c r="A382" i="3" s="1"/>
  <c r="A381" i="3" a="1"/>
  <c r="A381" i="3" s="1"/>
  <c r="A380" i="3" a="1"/>
  <c r="A380" i="3" s="1"/>
  <c r="A379" i="3" a="1"/>
  <c r="A379" i="3" s="1"/>
  <c r="A378" i="3" a="1"/>
  <c r="A378" i="3" s="1"/>
  <c r="A377" i="3" a="1"/>
  <c r="A377" i="3" s="1"/>
  <c r="A376" i="3" a="1"/>
  <c r="A376" i="3" s="1"/>
  <c r="A375" i="3" a="1"/>
  <c r="A375" i="3" s="1"/>
  <c r="A374" i="3" a="1"/>
  <c r="A374" i="3" s="1"/>
  <c r="A373" i="3" a="1"/>
  <c r="A373" i="3" s="1"/>
  <c r="A372" i="3" a="1"/>
  <c r="A372" i="3" s="1"/>
  <c r="A371" i="3" a="1"/>
  <c r="A371" i="3" s="1"/>
  <c r="A370" i="3" a="1"/>
  <c r="A370" i="3" s="1"/>
  <c r="A369" i="3" a="1"/>
  <c r="A369" i="3" s="1"/>
  <c r="A368" i="3" a="1"/>
  <c r="A368" i="3" s="1"/>
  <c r="A367" i="3" a="1"/>
  <c r="A367" i="3" s="1"/>
  <c r="A366" i="3" a="1"/>
  <c r="A366" i="3" s="1"/>
  <c r="A365" i="3" a="1"/>
  <c r="A365" i="3" s="1"/>
  <c r="A364" i="3" a="1"/>
  <c r="A364" i="3" s="1"/>
  <c r="A363" i="3" a="1"/>
  <c r="A363" i="3" s="1"/>
  <c r="A362" i="3" a="1"/>
  <c r="A362" i="3" s="1"/>
  <c r="A361" i="3" a="1"/>
  <c r="A361" i="3" s="1"/>
  <c r="A360" i="3" a="1"/>
  <c r="A360" i="3" s="1"/>
  <c r="A359" i="3" a="1"/>
  <c r="A359" i="3" s="1"/>
  <c r="A358" i="3" a="1"/>
  <c r="A358" i="3" s="1"/>
  <c r="A357" i="3" a="1"/>
  <c r="A357" i="3" s="1"/>
  <c r="A356" i="3" a="1"/>
  <c r="A356" i="3" s="1"/>
  <c r="A355" i="3" a="1"/>
  <c r="A355" i="3" s="1"/>
  <c r="A354" i="3" a="1"/>
  <c r="A354" i="3" s="1"/>
  <c r="A353" i="3" a="1"/>
  <c r="A353" i="3" s="1"/>
  <c r="A352" i="3" a="1"/>
  <c r="A352" i="3" s="1"/>
  <c r="A351" i="3" a="1"/>
  <c r="A351" i="3" s="1"/>
  <c r="A350" i="3" a="1"/>
  <c r="A350" i="3" s="1"/>
  <c r="A349" i="3" a="1"/>
  <c r="A349" i="3" s="1"/>
  <c r="A348" i="3" a="1"/>
  <c r="A348" i="3" s="1"/>
  <c r="A347" i="3" a="1"/>
  <c r="A347" i="3" s="1"/>
  <c r="A346" i="3" a="1"/>
  <c r="A346" i="3" s="1"/>
  <c r="A345" i="3" a="1"/>
  <c r="A345" i="3" s="1"/>
  <c r="A344" i="3" a="1"/>
  <c r="A344" i="3" s="1"/>
  <c r="A343" i="3" a="1"/>
  <c r="A343" i="3" s="1"/>
  <c r="A342" i="3" a="1"/>
  <c r="A342" i="3" s="1"/>
  <c r="A341" i="3" a="1"/>
  <c r="A341" i="3" s="1"/>
  <c r="A340" i="3" a="1"/>
  <c r="A340" i="3" s="1"/>
  <c r="A339" i="3" a="1"/>
  <c r="A339" i="3" s="1"/>
  <c r="A338" i="3" a="1"/>
  <c r="A338" i="3" s="1"/>
  <c r="A337" i="3" a="1"/>
  <c r="A337" i="3" s="1"/>
  <c r="A336" i="3" a="1"/>
  <c r="A336" i="3" s="1"/>
  <c r="A335" i="3" a="1"/>
  <c r="A335" i="3" s="1"/>
  <c r="A334" i="3" a="1"/>
  <c r="A334" i="3" s="1"/>
  <c r="A333" i="3" a="1"/>
  <c r="A333" i="3" s="1"/>
  <c r="A332" i="3" a="1"/>
  <c r="A332" i="3" s="1"/>
  <c r="A331" i="3" a="1"/>
  <c r="A331" i="3" s="1"/>
  <c r="A330" i="3" a="1"/>
  <c r="A330" i="3" s="1"/>
  <c r="A329" i="3" a="1"/>
  <c r="A329" i="3" s="1"/>
  <c r="A328" i="3" a="1"/>
  <c r="A328" i="3" s="1"/>
  <c r="A327" i="3" a="1"/>
  <c r="A327" i="3" s="1"/>
  <c r="A326" i="3" a="1"/>
  <c r="A326" i="3" s="1"/>
  <c r="A325" i="3" a="1"/>
  <c r="A325" i="3" s="1"/>
  <c r="A324" i="3" a="1"/>
  <c r="A324" i="3" s="1"/>
  <c r="A323" i="3" a="1"/>
  <c r="A323" i="3" s="1"/>
  <c r="A322" i="3" a="1"/>
  <c r="A322" i="3" s="1"/>
  <c r="A321" i="3" a="1"/>
  <c r="A321" i="3" s="1"/>
  <c r="A320" i="3" a="1"/>
  <c r="A320" i="3" s="1"/>
  <c r="A319" i="3" a="1"/>
  <c r="A319" i="3" s="1"/>
  <c r="A318" i="3" a="1"/>
  <c r="A318" i="3" s="1"/>
  <c r="A317" i="3" a="1"/>
  <c r="A317" i="3" s="1"/>
  <c r="A316" i="3" a="1"/>
  <c r="A316" i="3" s="1"/>
  <c r="A315" i="3" a="1"/>
  <c r="A315" i="3" s="1"/>
  <c r="A314" i="3" a="1"/>
  <c r="A314" i="3" s="1"/>
  <c r="A313" i="3" a="1"/>
  <c r="A313" i="3" s="1"/>
  <c r="A312" i="3" a="1"/>
  <c r="A312" i="3" s="1"/>
  <c r="A311" i="3" a="1"/>
  <c r="A311" i="3" s="1"/>
  <c r="A310" i="3" a="1"/>
  <c r="A310" i="3" s="1"/>
  <c r="A309" i="3" a="1"/>
  <c r="A309" i="3" s="1"/>
  <c r="A308" i="3" a="1"/>
  <c r="A308" i="3" s="1"/>
  <c r="A307" i="3" a="1"/>
  <c r="A307" i="3" s="1"/>
  <c r="A306" i="3" a="1"/>
  <c r="A306" i="3" s="1"/>
  <c r="A305" i="3" a="1"/>
  <c r="A305" i="3" s="1"/>
  <c r="A304" i="3" a="1"/>
  <c r="A304" i="3" s="1"/>
  <c r="A303" i="3" a="1"/>
  <c r="A303" i="3" s="1"/>
  <c r="A302" i="3" a="1"/>
  <c r="A302" i="3" s="1"/>
  <c r="A301" i="3" a="1"/>
  <c r="A301" i="3" s="1"/>
  <c r="A300" i="3" a="1"/>
  <c r="A300" i="3" s="1"/>
  <c r="A299" i="3" a="1"/>
  <c r="A299" i="3" s="1"/>
  <c r="A298" i="3" a="1"/>
  <c r="A298" i="3" s="1"/>
  <c r="A297" i="3" a="1"/>
  <c r="A297" i="3" s="1"/>
  <c r="A296" i="3" a="1"/>
  <c r="A296" i="3" s="1"/>
  <c r="A295" i="3" a="1"/>
  <c r="A295" i="3" s="1"/>
  <c r="A294" i="3" a="1"/>
  <c r="A294" i="3" s="1"/>
  <c r="A293" i="3" a="1"/>
  <c r="A293" i="3" s="1"/>
  <c r="A292" i="3" a="1"/>
  <c r="A292" i="3" s="1"/>
  <c r="A291" i="3" a="1"/>
  <c r="A291" i="3" s="1"/>
  <c r="A290" i="3" a="1"/>
  <c r="A290" i="3" s="1"/>
  <c r="A289" i="3" a="1"/>
  <c r="A289" i="3" s="1"/>
  <c r="A288" i="3" a="1"/>
  <c r="A288" i="3" s="1"/>
  <c r="A287" i="3" a="1"/>
  <c r="A287" i="3" s="1"/>
  <c r="A286" i="3" a="1"/>
  <c r="A286" i="3" s="1"/>
  <c r="A285" i="3" a="1"/>
  <c r="A285" i="3" s="1"/>
  <c r="A284" i="3" a="1"/>
  <c r="A284" i="3" s="1"/>
  <c r="A283" i="3" a="1"/>
  <c r="A283" i="3" s="1"/>
  <c r="A282" i="3" a="1"/>
  <c r="A282" i="3" s="1"/>
  <c r="A281" i="3" a="1"/>
  <c r="A281" i="3" s="1"/>
  <c r="A280" i="3" a="1"/>
  <c r="A280" i="3" s="1"/>
  <c r="A279" i="3" a="1"/>
  <c r="A279" i="3" s="1"/>
  <c r="A278" i="3" a="1"/>
  <c r="A278" i="3" s="1"/>
  <c r="A277" i="3" a="1"/>
  <c r="A277" i="3" s="1"/>
  <c r="A276" i="3" a="1"/>
  <c r="A276" i="3" s="1"/>
  <c r="A275" i="3" a="1"/>
  <c r="A275" i="3" s="1"/>
  <c r="A274" i="3" a="1"/>
  <c r="A274" i="3" s="1"/>
  <c r="A273" i="3" a="1"/>
  <c r="A273" i="3" s="1"/>
  <c r="A272" i="3" a="1"/>
  <c r="A272" i="3" s="1"/>
  <c r="A271" i="3" a="1"/>
  <c r="A271" i="3" s="1"/>
  <c r="A270" i="3" a="1"/>
  <c r="A270" i="3" s="1"/>
  <c r="A269" i="3" a="1"/>
  <c r="A269" i="3" s="1"/>
  <c r="A268" i="3" a="1"/>
  <c r="A268" i="3" s="1"/>
  <c r="A267" i="3" a="1"/>
  <c r="A267" i="3" s="1"/>
  <c r="A266" i="3" a="1"/>
  <c r="A266" i="3" s="1"/>
  <c r="A265" i="3" a="1"/>
  <c r="A265" i="3" s="1"/>
  <c r="A264" i="3" a="1"/>
  <c r="A264" i="3" s="1"/>
  <c r="A263" i="3" a="1"/>
  <c r="A263" i="3" s="1"/>
  <c r="A262" i="3" a="1"/>
  <c r="A262" i="3" s="1"/>
  <c r="A261" i="3" a="1"/>
  <c r="A261" i="3" s="1"/>
  <c r="A260" i="3" a="1"/>
  <c r="A260" i="3" s="1"/>
  <c r="A259" i="3" a="1"/>
  <c r="A259" i="3" s="1"/>
  <c r="A258" i="3" a="1"/>
  <c r="A258" i="3" s="1"/>
  <c r="A257" i="3" a="1"/>
  <c r="A257" i="3" s="1"/>
  <c r="A256" i="3" a="1"/>
  <c r="A256" i="3" s="1"/>
  <c r="A255" i="3" a="1"/>
  <c r="A255" i="3" s="1"/>
  <c r="A254" i="3" a="1"/>
  <c r="A254" i="3" s="1"/>
  <c r="A253" i="3" a="1"/>
  <c r="A253" i="3" s="1"/>
  <c r="A252" i="3" a="1"/>
  <c r="A252" i="3" s="1"/>
  <c r="A251" i="3" a="1"/>
  <c r="A251" i="3" s="1"/>
  <c r="A250" i="3" a="1"/>
  <c r="A250" i="3" s="1"/>
  <c r="A249" i="3" a="1"/>
  <c r="A249" i="3" s="1"/>
  <c r="A248" i="3" a="1"/>
  <c r="A248" i="3" s="1"/>
  <c r="A247" i="3" a="1"/>
  <c r="A247" i="3" s="1"/>
  <c r="A246" i="3" a="1"/>
  <c r="A246" i="3" s="1"/>
  <c r="A245" i="3" a="1"/>
  <c r="A245" i="3" s="1"/>
  <c r="A244" i="3" a="1"/>
  <c r="A244" i="3" s="1"/>
  <c r="A243" i="3" a="1"/>
  <c r="A243" i="3" s="1"/>
  <c r="A242" i="3" a="1"/>
  <c r="A242" i="3" s="1"/>
  <c r="A241" i="3" a="1"/>
  <c r="A241" i="3" s="1"/>
  <c r="A240" i="3" a="1"/>
  <c r="A240" i="3" s="1"/>
  <c r="A239" i="3" a="1"/>
  <c r="A239" i="3" s="1"/>
  <c r="A238" i="3" a="1"/>
  <c r="A238" i="3" s="1"/>
  <c r="A237" i="3" a="1"/>
  <c r="A237" i="3" s="1"/>
  <c r="A236" i="3" a="1"/>
  <c r="A236" i="3" s="1"/>
  <c r="A235" i="3" a="1"/>
  <c r="A235" i="3" s="1"/>
  <c r="A234" i="3" a="1"/>
  <c r="A234" i="3" s="1"/>
  <c r="A233" i="3" a="1"/>
  <c r="A233" i="3" s="1"/>
  <c r="A232" i="3" a="1"/>
  <c r="A232" i="3" s="1"/>
  <c r="A231" i="3" a="1"/>
  <c r="A231" i="3" s="1"/>
  <c r="A230" i="3" a="1"/>
  <c r="A230" i="3" s="1"/>
  <c r="A229" i="3" a="1"/>
  <c r="A229" i="3" s="1"/>
  <c r="A228" i="3" a="1"/>
  <c r="A228" i="3" s="1"/>
  <c r="A227" i="3" a="1"/>
  <c r="A227" i="3" s="1"/>
  <c r="A226" i="3" a="1"/>
  <c r="A226" i="3" s="1"/>
  <c r="A225" i="3" a="1"/>
  <c r="A225" i="3" s="1"/>
  <c r="A224" i="3" a="1"/>
  <c r="A224" i="3" s="1"/>
  <c r="A223" i="3" a="1"/>
  <c r="A223" i="3" s="1"/>
  <c r="A222" i="3" a="1"/>
  <c r="A222" i="3" s="1"/>
  <c r="A221" i="3" a="1"/>
  <c r="A221" i="3" s="1"/>
  <c r="A220" i="3" a="1"/>
  <c r="A220" i="3" s="1"/>
  <c r="A219" i="3" a="1"/>
  <c r="A219" i="3" s="1"/>
  <c r="A218" i="3" a="1"/>
  <c r="A218" i="3" s="1"/>
  <c r="A217" i="3" a="1"/>
  <c r="A217" i="3" s="1"/>
  <c r="A216" i="3" a="1"/>
  <c r="A216" i="3" s="1"/>
  <c r="A215" i="3" a="1"/>
  <c r="A215" i="3" s="1"/>
  <c r="A214" i="3" a="1"/>
  <c r="A214" i="3" s="1"/>
  <c r="A213" i="3" a="1"/>
  <c r="A213" i="3" s="1"/>
  <c r="A212" i="3" a="1"/>
  <c r="A212" i="3" s="1"/>
  <c r="A211" i="3" a="1"/>
  <c r="A211" i="3" s="1"/>
  <c r="A210" i="3" a="1"/>
  <c r="A210" i="3" s="1"/>
  <c r="A209" i="3" a="1"/>
  <c r="A209" i="3" s="1"/>
  <c r="A208" i="3" a="1"/>
  <c r="A208" i="3" s="1"/>
  <c r="A207" i="3" a="1"/>
  <c r="A207" i="3" s="1"/>
  <c r="A206" i="3" a="1"/>
  <c r="A206" i="3" s="1"/>
  <c r="A205" i="3" a="1"/>
  <c r="A205" i="3" s="1"/>
  <c r="A204" i="3" a="1"/>
  <c r="A204" i="3" s="1"/>
  <c r="A203" i="3" a="1"/>
  <c r="A203" i="3" s="1"/>
  <c r="A202" i="3" a="1"/>
  <c r="A202" i="3" s="1"/>
  <c r="A201" i="3" a="1"/>
  <c r="A201" i="3" s="1"/>
  <c r="A200" i="3" a="1"/>
  <c r="A200" i="3" s="1"/>
  <c r="A199" i="3" a="1"/>
  <c r="A199" i="3" s="1"/>
  <c r="A198" i="3" a="1"/>
  <c r="A198" i="3" s="1"/>
  <c r="A197" i="3" a="1"/>
  <c r="A197" i="3" s="1"/>
  <c r="A196" i="3" a="1"/>
  <c r="A196" i="3" s="1"/>
  <c r="A195" i="3" a="1"/>
  <c r="A195" i="3" s="1"/>
  <c r="A194" i="3" a="1"/>
  <c r="A194" i="3" s="1"/>
  <c r="A193" i="3" a="1"/>
  <c r="A193" i="3" s="1"/>
  <c r="A192" i="3" a="1"/>
  <c r="A192" i="3" s="1"/>
  <c r="A191" i="3" a="1"/>
  <c r="A191" i="3" s="1"/>
  <c r="A190" i="3" a="1"/>
  <c r="A190" i="3" s="1"/>
  <c r="A189" i="3" a="1"/>
  <c r="A189" i="3" s="1"/>
  <c r="A188" i="3" a="1"/>
  <c r="A188" i="3" s="1"/>
  <c r="A187" i="3" a="1"/>
  <c r="A187" i="3" s="1"/>
  <c r="A186" i="3" a="1"/>
  <c r="A186" i="3" s="1"/>
  <c r="A185" i="3" a="1"/>
  <c r="A185" i="3" s="1"/>
  <c r="A184" i="3" a="1"/>
  <c r="A184" i="3" s="1"/>
  <c r="A183" i="3" a="1"/>
  <c r="A183" i="3" s="1"/>
  <c r="A182" i="3" a="1"/>
  <c r="A182" i="3" s="1"/>
  <c r="A181" i="3" a="1"/>
  <c r="A181" i="3" s="1"/>
  <c r="A180" i="3" a="1"/>
  <c r="A180" i="3" s="1"/>
  <c r="A179" i="3" a="1"/>
  <c r="A179" i="3" s="1"/>
  <c r="A178" i="3" a="1"/>
  <c r="A178" i="3" s="1"/>
  <c r="A177" i="3" a="1"/>
  <c r="A177" i="3" s="1"/>
  <c r="A176" i="3" a="1"/>
  <c r="A176" i="3" s="1"/>
  <c r="A175" i="3" a="1"/>
  <c r="A175" i="3" s="1"/>
  <c r="A174" i="3" a="1"/>
  <c r="A174" i="3" s="1"/>
  <c r="A173" i="3" a="1"/>
  <c r="A173" i="3" s="1"/>
  <c r="A172" i="3" a="1"/>
  <c r="A172" i="3" s="1"/>
  <c r="A171" i="3" a="1"/>
  <c r="A171" i="3" s="1"/>
  <c r="A170" i="3" a="1"/>
  <c r="A170" i="3" s="1"/>
  <c r="A169" i="3" a="1"/>
  <c r="A169" i="3" s="1"/>
  <c r="A168" i="3" a="1"/>
  <c r="A168" i="3" s="1"/>
  <c r="A167" i="3" a="1"/>
  <c r="A167" i="3" s="1"/>
  <c r="A166" i="3" a="1"/>
  <c r="A166" i="3" s="1"/>
  <c r="A165" i="3" a="1"/>
  <c r="A165" i="3" s="1"/>
  <c r="A164" i="3" a="1"/>
  <c r="A164" i="3" s="1"/>
  <c r="A163" i="3" a="1"/>
  <c r="A163" i="3" s="1"/>
  <c r="A162" i="3" a="1"/>
  <c r="A162" i="3" s="1"/>
  <c r="A161" i="3" a="1"/>
  <c r="A161" i="3" s="1"/>
  <c r="A160" i="3" a="1"/>
  <c r="A160" i="3" s="1"/>
  <c r="A159" i="3" a="1"/>
  <c r="A159" i="3" s="1"/>
  <c r="A158" i="3" a="1"/>
  <c r="A158" i="3" s="1"/>
  <c r="A157" i="3" a="1"/>
  <c r="A157" i="3" s="1"/>
  <c r="A156" i="3" a="1"/>
  <c r="A156" i="3" s="1"/>
  <c r="A155" i="3" a="1"/>
  <c r="A155" i="3" s="1"/>
  <c r="A154" i="3" a="1"/>
  <c r="A154" i="3" s="1"/>
  <c r="A153" i="3" a="1"/>
  <c r="A153" i="3" s="1"/>
  <c r="A152" i="3" a="1"/>
  <c r="A152" i="3" s="1"/>
  <c r="A151" i="3" a="1"/>
  <c r="A151" i="3" s="1"/>
  <c r="A150" i="3" a="1"/>
  <c r="A150" i="3" s="1"/>
  <c r="A149" i="3" a="1"/>
  <c r="A149" i="3" s="1"/>
  <c r="A148" i="3" a="1"/>
  <c r="A148" i="3" s="1"/>
  <c r="A147" i="3" a="1"/>
  <c r="A147" i="3" s="1"/>
  <c r="A146" i="3" a="1"/>
  <c r="A146" i="3" s="1"/>
  <c r="A145" i="3" a="1"/>
  <c r="A145" i="3" s="1"/>
  <c r="A144" i="3" a="1"/>
  <c r="A144" i="3" s="1"/>
  <c r="A143" i="3" a="1"/>
  <c r="A143" i="3" s="1"/>
  <c r="A142" i="3" a="1"/>
  <c r="A142" i="3" s="1"/>
  <c r="A141" i="3" a="1"/>
  <c r="A141" i="3" s="1"/>
  <c r="A140" i="3" a="1"/>
  <c r="A140" i="3" s="1"/>
  <c r="A139" i="3" a="1"/>
  <c r="A139" i="3" s="1"/>
  <c r="A138" i="3" a="1"/>
  <c r="A138" i="3" s="1"/>
  <c r="A137" i="3" a="1"/>
  <c r="A137" i="3" s="1"/>
  <c r="A136" i="3" a="1"/>
  <c r="A136" i="3" s="1"/>
  <c r="A135" i="3" a="1"/>
  <c r="A135" i="3" s="1"/>
  <c r="A134" i="3" a="1"/>
  <c r="A134" i="3" s="1"/>
  <c r="A133" i="3" a="1"/>
  <c r="A133" i="3" s="1"/>
  <c r="A132" i="3" a="1"/>
  <c r="A132" i="3" s="1"/>
  <c r="A131" i="3" a="1"/>
  <c r="A131" i="3" s="1"/>
  <c r="A130" i="3" a="1"/>
  <c r="A130" i="3" s="1"/>
  <c r="A129" i="3" a="1"/>
  <c r="A129" i="3" s="1"/>
  <c r="A128" i="3" a="1"/>
  <c r="A128" i="3" s="1"/>
  <c r="A127" i="3" a="1"/>
  <c r="A127" i="3" s="1"/>
  <c r="A126" i="3" a="1"/>
  <c r="A126" i="3" s="1"/>
  <c r="A125" i="3" a="1"/>
  <c r="A125" i="3" s="1"/>
  <c r="A124" i="3" a="1"/>
  <c r="A124" i="3" s="1"/>
  <c r="A123" i="3" a="1"/>
  <c r="A123" i="3" s="1"/>
  <c r="A122" i="3" a="1"/>
  <c r="A122" i="3" s="1"/>
  <c r="A121" i="3" a="1"/>
  <c r="A121" i="3" s="1"/>
  <c r="A120" i="3" a="1"/>
  <c r="A120" i="3" s="1"/>
  <c r="A119" i="3" a="1"/>
  <c r="A119" i="3" s="1"/>
  <c r="A118" i="3" a="1"/>
  <c r="A118" i="3" s="1"/>
  <c r="A117" i="3" a="1"/>
  <c r="A117" i="3" s="1"/>
  <c r="A116" i="3" a="1"/>
  <c r="A116" i="3" s="1"/>
  <c r="A115" i="3" a="1"/>
  <c r="A115" i="3" s="1"/>
  <c r="A114" i="3" a="1"/>
  <c r="A114" i="3" s="1"/>
  <c r="A113" i="3" a="1"/>
  <c r="A113" i="3" s="1"/>
  <c r="A112" i="3" a="1"/>
  <c r="A112" i="3" s="1"/>
  <c r="A111" i="3" a="1"/>
  <c r="A111" i="3" s="1"/>
  <c r="A110" i="3" a="1"/>
  <c r="A110" i="3" s="1"/>
  <c r="A109" i="3" a="1"/>
  <c r="A109" i="3" s="1"/>
  <c r="A108" i="3" a="1"/>
  <c r="A108" i="3" s="1"/>
  <c r="A107" i="3" a="1"/>
  <c r="A107" i="3" s="1"/>
  <c r="A106" i="3" a="1"/>
  <c r="A106" i="3" s="1"/>
  <c r="A105" i="3" a="1"/>
  <c r="A105" i="3" s="1"/>
  <c r="A104" i="3" a="1"/>
  <c r="A104" i="3" s="1"/>
  <c r="A103" i="3" a="1"/>
  <c r="A103" i="3" s="1"/>
  <c r="A102" i="3" a="1"/>
  <c r="A102" i="3" s="1"/>
  <c r="A101" i="3" a="1"/>
  <c r="A101" i="3" s="1"/>
  <c r="A100" i="3" a="1"/>
  <c r="A100" i="3" s="1"/>
  <c r="A99" i="3" a="1"/>
  <c r="A99" i="3" s="1"/>
  <c r="A98" i="3" a="1"/>
  <c r="A98" i="3" s="1"/>
  <c r="A97" i="3" a="1"/>
  <c r="A97" i="3" s="1"/>
  <c r="A96" i="3" a="1"/>
  <c r="A96" i="3" s="1"/>
  <c r="A95" i="3" a="1"/>
  <c r="A95" i="3" s="1"/>
  <c r="A94" i="3" a="1"/>
  <c r="A94" i="3" s="1"/>
  <c r="A93" i="3" a="1"/>
  <c r="A93" i="3" s="1"/>
  <c r="A92" i="3" a="1"/>
  <c r="A92" i="3" s="1"/>
  <c r="A91" i="3" a="1"/>
  <c r="A91" i="3" s="1"/>
  <c r="A90" i="3" a="1"/>
  <c r="A90" i="3" s="1"/>
  <c r="A89" i="3" a="1"/>
  <c r="A89" i="3" s="1"/>
  <c r="A88" i="3" a="1"/>
  <c r="A88" i="3" s="1"/>
  <c r="A87" i="3" a="1"/>
  <c r="A87" i="3" s="1"/>
  <c r="A86" i="3" a="1"/>
  <c r="A86" i="3" s="1"/>
  <c r="A85" i="3" a="1"/>
  <c r="A85" i="3" s="1"/>
  <c r="A84" i="3" a="1"/>
  <c r="A84" i="3" s="1"/>
  <c r="A83" i="3" a="1"/>
  <c r="A83" i="3" s="1"/>
  <c r="A82" i="3" a="1"/>
  <c r="A82" i="3" s="1"/>
  <c r="A81" i="3" a="1"/>
  <c r="A81" i="3" s="1"/>
  <c r="A80" i="3" a="1"/>
  <c r="A80" i="3" s="1"/>
  <c r="A79" i="3" a="1"/>
  <c r="A79" i="3" s="1"/>
  <c r="A78" i="3" a="1"/>
  <c r="A78" i="3" s="1"/>
  <c r="A77" i="3" a="1"/>
  <c r="A77" i="3" s="1"/>
  <c r="A76" i="3" a="1"/>
  <c r="A76" i="3" s="1"/>
  <c r="A75" i="3" a="1"/>
  <c r="A75" i="3" s="1"/>
  <c r="A74" i="3" a="1"/>
  <c r="A74" i="3" s="1"/>
  <c r="A73" i="3" a="1"/>
  <c r="A73" i="3" s="1"/>
  <c r="A72" i="3" a="1"/>
  <c r="A72" i="3" s="1"/>
  <c r="A71" i="3" a="1"/>
  <c r="A71" i="3" s="1"/>
  <c r="A70" i="3" a="1"/>
  <c r="A70" i="3" s="1"/>
  <c r="A69" i="3" a="1"/>
  <c r="A69" i="3" s="1"/>
  <c r="A68" i="3" a="1"/>
  <c r="A68" i="3" s="1"/>
  <c r="A67" i="3" a="1"/>
  <c r="A67" i="3" s="1"/>
  <c r="A66" i="3" a="1"/>
  <c r="A66" i="3" s="1"/>
  <c r="A65" i="3" a="1"/>
  <c r="A65" i="3" s="1"/>
  <c r="A64" i="3" a="1"/>
  <c r="A64" i="3" s="1"/>
  <c r="A63" i="3" a="1"/>
  <c r="A63" i="3" s="1"/>
  <c r="A62" i="3" a="1"/>
  <c r="A62" i="3" s="1"/>
  <c r="A61" i="3" a="1"/>
  <c r="A61" i="3" s="1"/>
  <c r="A60" i="3" a="1"/>
  <c r="A60" i="3" s="1"/>
  <c r="A59" i="3" a="1"/>
  <c r="A59" i="3" s="1"/>
  <c r="A58" i="3" a="1"/>
  <c r="A58" i="3" s="1"/>
  <c r="A57" i="3" a="1"/>
  <c r="A57" i="3" s="1"/>
  <c r="A56" i="3" a="1"/>
  <c r="A56" i="3" s="1"/>
  <c r="A55" i="3" a="1"/>
  <c r="A55" i="3" s="1"/>
  <c r="A54" i="3" a="1"/>
  <c r="A54" i="3" s="1"/>
  <c r="A53" i="3" a="1"/>
  <c r="A53" i="3" s="1"/>
  <c r="A52" i="3" a="1"/>
  <c r="A52" i="3" s="1"/>
  <c r="A51" i="3" a="1"/>
  <c r="A51" i="3" s="1"/>
  <c r="A50" i="3" a="1"/>
  <c r="A50" i="3" s="1"/>
  <c r="A49" i="3" a="1"/>
  <c r="A49" i="3" s="1"/>
  <c r="A48" i="3" a="1"/>
  <c r="A48" i="3" s="1"/>
  <c r="A47" i="3" a="1"/>
  <c r="A47" i="3" s="1"/>
  <c r="A46" i="3" a="1"/>
  <c r="A46" i="3" s="1"/>
  <c r="A45" i="3" a="1"/>
  <c r="A45" i="3" s="1"/>
  <c r="A44" i="3" a="1"/>
  <c r="A44" i="3" s="1"/>
  <c r="A43" i="3" a="1"/>
  <c r="A43" i="3" s="1"/>
  <c r="A42" i="3" a="1"/>
  <c r="A42" i="3" s="1"/>
  <c r="A41" i="3" a="1"/>
  <c r="A41" i="3" s="1"/>
  <c r="A40" i="3" a="1"/>
  <c r="A40" i="3" s="1"/>
  <c r="A39" i="3" a="1"/>
  <c r="A39" i="3" s="1"/>
  <c r="A38" i="3" a="1"/>
  <c r="A38" i="3" s="1"/>
  <c r="A37" i="3" a="1"/>
  <c r="A37" i="3" s="1"/>
  <c r="A36" i="3" a="1"/>
  <c r="A36" i="3" s="1"/>
  <c r="A35" i="3" a="1"/>
  <c r="A35" i="3" s="1"/>
  <c r="A34" i="3" a="1"/>
  <c r="A34" i="3" s="1"/>
  <c r="A33" i="3" a="1"/>
  <c r="A33" i="3" s="1"/>
  <c r="A32" i="3" a="1"/>
  <c r="A32" i="3" s="1"/>
  <c r="A31" i="3" a="1"/>
  <c r="A31" i="3" s="1"/>
  <c r="A30" i="3" a="1"/>
  <c r="A30" i="3" s="1"/>
  <c r="A29" i="3" a="1"/>
  <c r="A29" i="3" s="1"/>
  <c r="A28" i="3" a="1"/>
  <c r="A28" i="3" s="1"/>
  <c r="A27" i="3" a="1"/>
  <c r="A27" i="3" s="1"/>
  <c r="A26" i="3" a="1"/>
  <c r="A26" i="3" s="1"/>
  <c r="A25" i="3" a="1"/>
  <c r="A25" i="3" s="1"/>
  <c r="A24" i="3" a="1"/>
  <c r="A24" i="3" s="1"/>
  <c r="A23" i="3" a="1"/>
  <c r="A23" i="3" s="1"/>
  <c r="A22" i="3" a="1"/>
  <c r="A22" i="3" s="1"/>
  <c r="A21" i="3" a="1"/>
  <c r="A21" i="3" s="1"/>
  <c r="A20" i="3" a="1"/>
  <c r="A20" i="3" s="1"/>
  <c r="A19" i="3" a="1"/>
  <c r="A19" i="3" s="1"/>
  <c r="A18" i="3" a="1"/>
  <c r="A18" i="3" s="1"/>
  <c r="A17" i="3" a="1"/>
  <c r="A17" i="3" s="1"/>
  <c r="A16" i="3" a="1"/>
  <c r="A16" i="3" s="1"/>
  <c r="A15" i="3" a="1"/>
  <c r="A15" i="3" s="1"/>
  <c r="A14" i="3" a="1"/>
  <c r="A14" i="3" s="1"/>
  <c r="A13" i="3" a="1"/>
  <c r="A13" i="3" s="1"/>
  <c r="A12" i="3" a="1"/>
  <c r="A12" i="3" s="1"/>
  <c r="A11" i="3" a="1"/>
  <c r="A11" i="3" s="1"/>
  <c r="A10" i="3" a="1"/>
  <c r="A10" i="3" s="1"/>
  <c r="A9" i="3" a="1"/>
  <c r="A9" i="3" s="1"/>
  <c r="A8" i="3" a="1"/>
  <c r="A8" i="3" s="1"/>
  <c r="A7" i="3" a="1"/>
  <c r="A7" i="3" s="1"/>
  <c r="A6" i="3" a="1"/>
  <c r="A6" i="3" s="1"/>
  <c r="A5" i="3" a="1"/>
  <c r="A5" i="3" s="1"/>
  <c r="A4" i="3" a="1"/>
  <c r="A4" i="3" s="1"/>
  <c r="A3" i="3" a="1"/>
  <c r="A3" i="3" s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3" i="1"/>
  <c r="C4" i="1"/>
  <c r="C5" i="1"/>
  <c r="C6" i="1"/>
  <c r="C7" i="1"/>
  <c r="C8" i="1"/>
  <c r="C9" i="1"/>
  <c r="C10" i="1"/>
  <c r="C11" i="1"/>
  <c r="C12" i="1"/>
  <c r="C13" i="1"/>
  <c r="C14" i="1"/>
  <c r="C2" i="1"/>
  <c r="O2" i="3" a="1"/>
  <c r="O2" i="3" s="1"/>
  <c r="A2" i="3" a="1"/>
  <c r="A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CARRILLO PICO FEDERÍCO AVELINO</author>
  </authors>
  <commentList>
    <comment ref="C1" authorId="0" shapeId="0" xr:uid="{2B980EA4-43E5-44BA-B37D-B0D86A58899B}">
      <text>
        <r>
          <rPr>
            <sz val="11"/>
            <color theme="1"/>
            <rFont val="Calibri"/>
            <family val="2"/>
            <scheme val="minor"/>
          </rPr>
          <t>CARRILLO PICO FEDERÍCO AVELINO:
Se debe seleccionar ID_carrera para luego seleccionar el nivel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B46F2F-4FD4-4D4C-BEA6-A16CB8545EC7}" keepAlive="1" name="Query - MAE_ASIGNATURA" description="Conexión a la consulta 'MAE_ASIGNATURA' en el libro." type="5" refreshedVersion="8" background="1" saveData="1">
    <dbPr connection="Provider=Microsoft.Mashup.OleDb.1;Data Source=$Workbook$;Location=MAE_ASIGNATURA;Extended Properties=&quot;&quot;" command="SELECT * FROM [MAE_ASIGNATURA]"/>
  </connection>
  <connection id="2" xr16:uid="{AE4570A1-4B8A-4FB2-86A9-5D0874EAB0C8}" keepAlive="1" name="Query - MAE_CARRERA" description="Conexión a la consulta 'MAE_CARRERA' en el libro." type="5" refreshedVersion="8" background="1" saveData="1">
    <dbPr connection="Provider=Microsoft.Mashup.OleDb.1;Data Source=$Workbook$;Location=MAE_CARRERA;Extended Properties=&quot;&quot;" command="SELECT * FROM [MAE_CARRERA]"/>
  </connection>
  <connection id="3" xr16:uid="{3D45541F-59D9-4DE5-BF0F-8EE675BCE858}" keepAlive="1" name="Query - MAE_CONOCIMIENTO" description="Conexión a la consulta 'MAE_CONOCIMIENTO' en el libro." type="5" refreshedVersion="8" background="1" saveData="1">
    <dbPr connection="Provider=Microsoft.Mashup.OleDb.1;Data Source=$Workbook$;Location=MAE_CONOCIMIENTO;Extended Properties=&quot;&quot;" command="SELECT * FROM [MAE_CONOCIMIENTO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<sst xmlns="http://schemas.openxmlformats.org/spreadsheetml/2006/main" count="2305" uniqueCount="765">
  <si>
    <t>ID_ASIG_CAM_DET</t>
  </si>
  <si>
    <t>ID_CARRERA</t>
  </si>
  <si>
    <t>NOMBRE_CARRERA</t>
  </si>
  <si>
    <t>NIVEL</t>
  </si>
  <si>
    <t>ASIGNATURA</t>
  </si>
  <si>
    <t>ID_ASIG</t>
  </si>
  <si>
    <t>DETALLADO</t>
  </si>
  <si>
    <t>ID_DETALLADO</t>
  </si>
  <si>
    <t>FCACC-CO-AD</t>
  </si>
  <si>
    <t>MATEMÁTICA</t>
  </si>
  <si>
    <t>UNIDAD BASICA</t>
  </si>
  <si>
    <t>CONTABILIDAD BÁSICA</t>
  </si>
  <si>
    <t>METODOLOGÍA DE LA INVESTIGACIÓN</t>
  </si>
  <si>
    <t>ADMINISTRACIÓN</t>
  </si>
  <si>
    <t>MACROECONOMÍA</t>
  </si>
  <si>
    <t>LEGISLACIÓN LABORAL</t>
  </si>
  <si>
    <t>LEGISLACIÓN MERCANTIL Y SOCIETARIA</t>
  </si>
  <si>
    <t>CONTABILIDAD INTERMEDIA</t>
  </si>
  <si>
    <t>MATEMÁTICA FINANCIERA</t>
  </si>
  <si>
    <t>ESTADÍSTICA DESCRIPTIVA</t>
  </si>
  <si>
    <t>ESTADÍSTICA APLICADA</t>
  </si>
  <si>
    <t>CONTABILIDAD AVANZADA</t>
  </si>
  <si>
    <t>PROCESO Y CONTROL DEL TALENTO HUMANO</t>
  </si>
  <si>
    <t>SISTEMATIZACIÓN CONTABLE Y FINANCIERA</t>
  </si>
  <si>
    <t>FUNDAMENTOS DE AUDITORÍA</t>
  </si>
  <si>
    <t>LEGISLACIÓN TRIBUTARIA</t>
  </si>
  <si>
    <t>CONTABILIDAD SUPERIOR</t>
  </si>
  <si>
    <t>CONTABILIDAD Y AUDITORÍA</t>
  </si>
  <si>
    <t>ADMINISTRACIÓN FINANCIERA</t>
  </si>
  <si>
    <t>GESTIÓN FINANCIERA</t>
  </si>
  <si>
    <t>TRIBUTACIÓN APLICADA</t>
  </si>
  <si>
    <t>PLANIFICACIÓN Y DIRECCIÓN ESTRATÉGICA</t>
  </si>
  <si>
    <t>PLANIFICACIÓN DE AUDITORÍA</t>
  </si>
  <si>
    <t>CONTABILIDAD DE COSTOS</t>
  </si>
  <si>
    <t>CONTABILIDAD ESPECIALIZADA</t>
  </si>
  <si>
    <t>AUDITORÍA FINANCIERA</t>
  </si>
  <si>
    <t>ORGANIZACIÓN Y MÉTODOS</t>
  </si>
  <si>
    <t>PRESUPUESTO</t>
  </si>
  <si>
    <t>COMERCIO</t>
  </si>
  <si>
    <t>CONTABILIDAD DE COSTOS AVANZADA</t>
  </si>
  <si>
    <t>CONTABILIDAD GUBERNAMENTAL</t>
  </si>
  <si>
    <t>MARCO INTEGRADO E INDICADORES DE GESTIÓN</t>
  </si>
  <si>
    <t>FORMULACIÓN DE PROYECTOS SOCIALES Y PRODUCTIVOS</t>
  </si>
  <si>
    <t>GESTIÓN DE LA CALIDAD Y ESTANDARIZACIÓN</t>
  </si>
  <si>
    <t>INVESTIGACIÓN OPERATIVA</t>
  </si>
  <si>
    <t>NEGOCIOS INTERNACIONALES</t>
  </si>
  <si>
    <t>AUDITORÍA TRIBUTARIA</t>
  </si>
  <si>
    <t>AUDITORÍA DE CALIDAD</t>
  </si>
  <si>
    <t>AUDITORÍA GUBERNAMENTAL</t>
  </si>
  <si>
    <t>EVALUACIÓN DE PROYECTOS SOCIALES Y PRODUACTIVOS</t>
  </si>
  <si>
    <t>FCACC-8-TITU</t>
  </si>
  <si>
    <t>Trabajo de integración curricular: Fase de diseño CA-24</t>
  </si>
  <si>
    <t>Trabajo de integración curricular: Fase de diseño CA-22</t>
  </si>
  <si>
    <t>AUDITORÍA FORENSE</t>
  </si>
  <si>
    <t>AUDITORÍA DE GESTIÓN</t>
  </si>
  <si>
    <t>PROCESO DE CONTRATACIÓN PÚBLICA</t>
  </si>
  <si>
    <t>AUDITORÍA INFORMÁTICA</t>
  </si>
  <si>
    <t>AUDITORÍA AMBIENTAL</t>
  </si>
  <si>
    <t>GESTIÓN AMBIENTAL</t>
  </si>
  <si>
    <t>Trabajo de integración curricular: Fase de resultados e informe CA-24</t>
  </si>
  <si>
    <t>Trabajo de integración curricular: Fase de resultados e informe CA-22</t>
  </si>
  <si>
    <t>FCACC-AU-CO-GE</t>
  </si>
  <si>
    <t>FUNDAMENTOS DE CONTABILIDAD</t>
  </si>
  <si>
    <t>FUNDAMENTOS DE ADMINISTRACIÓN</t>
  </si>
  <si>
    <t>LEGISLACIÓN MERCANTIL Y SOCIERTARIA</t>
  </si>
  <si>
    <t>CONTABILIDAD FINANCIERA</t>
  </si>
  <si>
    <t>ESTADÍSTICA INFERENCIAL</t>
  </si>
  <si>
    <t>CONTABILIDAD SOCIAL Y AMBIENTAL</t>
  </si>
  <si>
    <t>FUNDAMENTOS DE AUDITORÍAS</t>
  </si>
  <si>
    <t>GESTIÓN DE TALENTO HUMANO</t>
  </si>
  <si>
    <t>COMPETENCIAS LABORALES</t>
  </si>
  <si>
    <t>DERECHOS HUMANOS</t>
  </si>
  <si>
    <t>PLANIFICACIÓN DE AUDITORÍAS</t>
  </si>
  <si>
    <t>CONTABILIDAD EN EL SECTOR PÚBLICO</t>
  </si>
  <si>
    <t>GESTIÓN TRIBUTARIA</t>
  </si>
  <si>
    <t>ÉTICA PROFESIONAL</t>
  </si>
  <si>
    <t>GESTIÓN DE LA PRODUCTIVIDAD</t>
  </si>
  <si>
    <t>CONTABILIDAD GERENCIAL Y PRESUPUESTO</t>
  </si>
  <si>
    <t>SOFTWARE DE GESTIÓN  ADMINISTRATIVA FINANCIERA</t>
  </si>
  <si>
    <t>SISTEMA DE INDICADORES DE  GESTIÓN</t>
  </si>
  <si>
    <t>GESTIÓN PÚBLICA</t>
  </si>
  <si>
    <t>SISTEMAS DE CONTROL Y GESTIÓN</t>
  </si>
  <si>
    <t>AUDITORÍA EN SEGURIDAD_x000D_
Y SALUD OCUPACIONAL</t>
  </si>
  <si>
    <t>SEGURIDAD Y SALUD OCUPACIONAL</t>
  </si>
  <si>
    <t>VALORACIÓN DE EMPRESAS Y_x000D_
RIESGOS</t>
  </si>
  <si>
    <t>AUDITORÍA_x000D_
GUBERNAMENTAL</t>
  </si>
  <si>
    <t>AUDITORIA AMBIENTAL</t>
  </si>
  <si>
    <t>RESPONSABILIDAD SOCIAL CORPORATIVA</t>
  </si>
  <si>
    <t>DISEÑO, DESARROLLO  Y EVALUACIÓN DE  PROYECTOS</t>
  </si>
  <si>
    <t>LIDERAZGO Y GESTIÓN DE_x000D_
AUDITORIA</t>
  </si>
  <si>
    <t>DERECHO</t>
  </si>
  <si>
    <t>GESTIÓN DE INFORMACIÓN</t>
  </si>
  <si>
    <t>AUDITORÍA DE SISTEMAS_x000D_
DE INFORMACIÓN</t>
  </si>
  <si>
    <t>SISTEMAS DE INFORMACIÓN</t>
  </si>
  <si>
    <t>AUDITORÍA INTEGRAL</t>
  </si>
  <si>
    <t>Trabajo de integración curricular: Fase de diseño ACG-24</t>
  </si>
  <si>
    <t>Trabajo de integración curricular: Fase de resultados e informe ACG-24</t>
  </si>
  <si>
    <t>FCACC-8-PRAC</t>
  </si>
  <si>
    <t>Prácticas Laborales 1 ACG-24</t>
  </si>
  <si>
    <t>ACTIVIDAD</t>
  </si>
  <si>
    <t>Prácticas Laborales 2 ACG-24</t>
  </si>
  <si>
    <t>Prácticas Laborales 1 F-24</t>
  </si>
  <si>
    <t>Prácticas Laborales 2 F-24</t>
  </si>
  <si>
    <t>Prácticas Laborales 1 CA-24</t>
  </si>
  <si>
    <t>Prácticas Laborales 2 CA-24</t>
  </si>
  <si>
    <t>Prácticas Preprofesionales 1 CA-22</t>
  </si>
  <si>
    <t>Prácticas preprofesionales 2 CA-22</t>
  </si>
  <si>
    <t>FCACC-FINA</t>
  </si>
  <si>
    <t>CONTABILIDAD ADMINISTRATIVA</t>
  </si>
  <si>
    <t>MATEMÁTICA ADMINISTRATIVA</t>
  </si>
  <si>
    <t>ESTADÍSTICA FINANCIERA</t>
  </si>
  <si>
    <t>SISTEMA TRIBUTARIO</t>
  </si>
  <si>
    <t>CONTABILIDAD BANCARIA</t>
  </si>
  <si>
    <t>FUNDAMENTOS DE FINANZAS</t>
  </si>
  <si>
    <t>ECONOMETRÍA</t>
  </si>
  <si>
    <t>LEGISLACIÓN MONETARIA Y BANCARIA</t>
  </si>
  <si>
    <t>MERCADO DE SEGUROS</t>
  </si>
  <si>
    <t>GESTIÓN DEL TALENTO HUMANO</t>
  </si>
  <si>
    <t>GERENCIA ESTRATÉGICA</t>
  </si>
  <si>
    <t>GESTIÓN DEL PRESUPUESTO</t>
  </si>
  <si>
    <t>ECONOMÍA POPULARES Y SOLIDARIAS SECTOR FINANCIERO</t>
  </si>
  <si>
    <t>ADMINISTRACIÓN DE RIESGOS FINANCIEROS</t>
  </si>
  <si>
    <t>GESTIÓN DE SEGURO Y TRANSFERENCIA DE RIESGO</t>
  </si>
  <si>
    <t>EMPRENDIMIENTO Y DESARROLLO LOCAL</t>
  </si>
  <si>
    <t>ÉTICA Y RESPONSABILIDAD SOCIAL CORPORATIVA</t>
  </si>
  <si>
    <t>FINANZAS CORPORATIVAS</t>
  </si>
  <si>
    <t>ECONOMÍAS  POPULARES Y SOLIDARIAS SECTOR NO FINANCIERO</t>
  </si>
  <si>
    <t>DISEÑO Y EVALUACIÓN DE PROYECTOS DE DESARROLLO  SOCIALES</t>
  </si>
  <si>
    <t>MERCADOS FINANCIEROS</t>
  </si>
  <si>
    <t>FINANZAS  Y POLÍTICAS PÚBLICAS</t>
  </si>
  <si>
    <t>MERCADOTECNIA</t>
  </si>
  <si>
    <t>MARKETING Y PUBLICIDAD</t>
  </si>
  <si>
    <t>DISEÑO  Y EVALUACIÓN DE PROYECTOS DE INVERSIÓN</t>
  </si>
  <si>
    <t>PLANIFICACIÓN PROSPECTIVA_x000D_
ESTRATÉGICA Y FINANCIERA</t>
  </si>
  <si>
    <t>SISTEMA DE INFORMACIÓN FINANCIERA</t>
  </si>
  <si>
    <t>FINANCIAMIENTO DE INVERSIONES</t>
  </si>
  <si>
    <t>VALORACIÓN DE EMPRESA</t>
  </si>
  <si>
    <t>Trabajo de integración curricular: Fase de diseño F-24</t>
  </si>
  <si>
    <t>Trabajo de integración curricular: Fase de resultados e informe F-24</t>
  </si>
  <si>
    <t>ADMINISTRACIÓN DE EMPRESAS 2024 NS</t>
  </si>
  <si>
    <t>No existe información</t>
  </si>
  <si>
    <t>SEMANAS</t>
  </si>
  <si>
    <t>TOTAL HORAS</t>
  </si>
  <si>
    <t>FECHA_INICIO</t>
  </si>
  <si>
    <t>FECHA_FIN</t>
  </si>
  <si>
    <t>ESTADO</t>
  </si>
  <si>
    <t>FCACC-AD-EM</t>
  </si>
  <si>
    <t>ADMINISTRACIÓN DE EMPRESAS</t>
  </si>
  <si>
    <t>Vigente</t>
  </si>
  <si>
    <t>AUDITORÍA Y CONTROL DE GESTIÓN 2024 NS</t>
  </si>
  <si>
    <t>FCACC-BI-RA</t>
  </si>
  <si>
    <t>BIENES RAICES</t>
  </si>
  <si>
    <t>FCACC-CO-EX</t>
  </si>
  <si>
    <t>COMERCIO EXTERIOR</t>
  </si>
  <si>
    <t>CONTABILIDAD Y AUDITORÍA 2024 NS</t>
  </si>
  <si>
    <t>FINANZAS 2024 NS</t>
  </si>
  <si>
    <t>FCACC-GE-IN-GE</t>
  </si>
  <si>
    <t>GESTION DE LA INFORMACIÓN GERENCIA - 2024</t>
  </si>
  <si>
    <t>FCACC-GE-TA-HU</t>
  </si>
  <si>
    <t>FCACC-MA</t>
  </si>
  <si>
    <t>MARKETING</t>
  </si>
  <si>
    <t>FCACC-1-DO-CL</t>
  </si>
  <si>
    <t xml:space="preserve">1. Docencia - Clases </t>
  </si>
  <si>
    <t>FCACC-5-DO-PE-IN</t>
  </si>
  <si>
    <t>5. Docencia - Uso pedagógico de la investigación</t>
  </si>
  <si>
    <t>FCACC-4-DO-TU-TI</t>
  </si>
  <si>
    <t>4. Docencia - Tutoría de titulación</t>
  </si>
  <si>
    <t>FCACC-6-IVN</t>
  </si>
  <si>
    <t xml:space="preserve">6. Investigación </t>
  </si>
  <si>
    <t>FCACC-9-GE_ED</t>
  </si>
  <si>
    <t xml:space="preserve">9. Gestión Educativa </t>
  </si>
  <si>
    <t>FCACC-8-VI-SO</t>
  </si>
  <si>
    <t xml:space="preserve">8. Vinculación con la Sociedad </t>
  </si>
  <si>
    <t>Prácticas</t>
  </si>
  <si>
    <t>Titulación</t>
  </si>
  <si>
    <t>NOM_ASIG</t>
  </si>
  <si>
    <t>HORAS</t>
  </si>
  <si>
    <t>semanas</t>
  </si>
  <si>
    <t>ID_NIVEL</t>
  </si>
  <si>
    <t>FCACC-AD-EM-NI-1-CONTA-DE -COS</t>
  </si>
  <si>
    <t>FCACC-AD-EM-NI-1-MATEM-APL-A L</t>
  </si>
  <si>
    <t>MATEMÁTICA APLICADA A LA ADMINISTRACIÓN</t>
  </si>
  <si>
    <t>FCACC-AD-EM-NI-1-ADMIN-PAR-LOS</t>
  </si>
  <si>
    <t>ADMINISTRACIÓN PARA LOS NEGOCIOS</t>
  </si>
  <si>
    <t xml:space="preserve">FCACC-AD-EM-NI-1-METOD-DE -LA </t>
  </si>
  <si>
    <t>FCACC-AD-EM-NI-1-MICRO</t>
  </si>
  <si>
    <t>MICROECONOMÍA</t>
  </si>
  <si>
    <t>FCACC-AD-EM-NI-2-CONTA-FIN</t>
  </si>
  <si>
    <t>FCACC-AD-EM-NI-2-MATEM-FIN</t>
  </si>
  <si>
    <t>FCACC-AD-EM-NI-2-ADMIN-EST</t>
  </si>
  <si>
    <t>ADMINISTRACIÓN ESTRATÉGICA</t>
  </si>
  <si>
    <t xml:space="preserve">FCACC-AD-EM-NI-2-ESTAD-APL-A </t>
  </si>
  <si>
    <t>ESTADÍSTICA APLICADA A LA ADMINISTRACIÓN</t>
  </si>
  <si>
    <t>FCACC-AD-EM-NI-2-MACRO</t>
  </si>
  <si>
    <t>FCACC-AD-EM-NI-2-DEREC-MER-Y S</t>
  </si>
  <si>
    <t>DERECHO MERCANTIL Y SOCIETARIO</t>
  </si>
  <si>
    <t>FCACC-AD-EM-NI-3-CREAT-E I-INN</t>
  </si>
  <si>
    <t>CREATIVIDAD E INNOVACIÓN EMPRESARIAL</t>
  </si>
  <si>
    <t>FCACC-AD-EM-NI-3-MÉTOD-CUA-P</t>
  </si>
  <si>
    <t>MÉTODOS CUANTITATIVOS PARA LOS NEGOCIOS</t>
  </si>
  <si>
    <t>FCACC-AD-EM-NI-3-DISEÑ-ORG-Y</t>
  </si>
  <si>
    <t>DISEÑO ORGANIZACIONAL Y GESTIÓN DE PROCESOS</t>
  </si>
  <si>
    <t>FCACC-AD-EM-NI-3-HERRA-PAR-ANÁ</t>
  </si>
  <si>
    <t>HERRAMIENTAS PARA ANÁLISIS DE DATOS</t>
  </si>
  <si>
    <t>FCACC-AD-EM-NI-3-ADMIN-AMB</t>
  </si>
  <si>
    <t>ADMINISTRACIÓN AMBIENTAL</t>
  </si>
  <si>
    <t>FCACC-AD-EM-NI-3-DEREC-LAB</t>
  </si>
  <si>
    <t>DERECHO LABORAL</t>
  </si>
  <si>
    <t>FCACC-AD-EM-NI-4-GESTI-FIN</t>
  </si>
  <si>
    <t xml:space="preserve">FCACC-AD-EM-NI-4-GESTI-DE -LA </t>
  </si>
  <si>
    <t>GESTIÓN DE LA CALIDAD</t>
  </si>
  <si>
    <t>FCACC-AD-EM-NI-4-ADMIN-DEL-TAL</t>
  </si>
  <si>
    <t>ADMINISTRACIÓN DEL TALENTO HUMANO</t>
  </si>
  <si>
    <t>FCACC-AD-EM-NI-4-ANÁLI-E I-INV</t>
  </si>
  <si>
    <t>ANÁLISIS E INVESTIGACIÓN DE INVENTARIOS</t>
  </si>
  <si>
    <t>FCACC-AD-EM-NI-4-ÉTICA-Y R-RES</t>
  </si>
  <si>
    <t>ÉTICA Y RESPONSABILIDAD SOCIAL EMPRESARIAL</t>
  </si>
  <si>
    <t>FCACC-AD-EM-NI-5-ADMIN-FIN</t>
  </si>
  <si>
    <t>ADMINISTRACIÓN FINANCIERA ESTRATÉGICA</t>
  </si>
  <si>
    <t xml:space="preserve">FCACC-AD-EM-NI-5-ADMIN-DE -LA </t>
  </si>
  <si>
    <t>ADMINISTRACIÓN DE LA PRODUCCIÓN Y OPERACIONES</t>
  </si>
  <si>
    <t>FCACC-AD-EM-NI-5-DESAR-DE -HAB</t>
  </si>
  <si>
    <t>DESARROLLO DE HABILIDADES DIRECTIVAS</t>
  </si>
  <si>
    <t>FCACC-AD-EM-NI-5-AUDIT-ADM</t>
  </si>
  <si>
    <t>AUDITORÍA ADMINISTRATIVA Y FINANCIERA</t>
  </si>
  <si>
    <t>FCACC-AD-EM-NI-5-RIESG-Y S-SEG</t>
  </si>
  <si>
    <t>RIESGOS Y SEGUROS</t>
  </si>
  <si>
    <t>FCACC-AD-EM-NI-6-FINAN-COR</t>
  </si>
  <si>
    <t>FCACC-AD-EM-NI-6-PRESU</t>
  </si>
  <si>
    <t>PRESUPUESTOS</t>
  </si>
  <si>
    <t>FCACC-AD-EM-NI-6-ADMIN-PÚB-</t>
  </si>
  <si>
    <t>ADMINISTRACIÓN PÚBLICA Y TRIBUTARIA</t>
  </si>
  <si>
    <t>FCACC-AD-EM-NI-6-MARKE-EST</t>
  </si>
  <si>
    <t>MARKETING ESTRATÉGICO</t>
  </si>
  <si>
    <t>FCACC-AD-EM-NI-6-LIDER-Y G-GES</t>
  </si>
  <si>
    <t>LIDERAZGO Y GESTIÓN DE EQUIPOS</t>
  </si>
  <si>
    <t>FCACC-AD-EM-NI-7-GESTI-DE -PRO</t>
  </si>
  <si>
    <t>GESTIÓN DE PROYECTOS EMPRESARIALES</t>
  </si>
  <si>
    <t>FCACC-AD-EM-NI-7-LOGÍS-EMP</t>
  </si>
  <si>
    <t>LOGÍSTICA EMPRESARIAL</t>
  </si>
  <si>
    <t>FCACC-AD-EM-NI-7-GESTI-DE -VEN</t>
  </si>
  <si>
    <t>GESTIÓN DE VENTAS</t>
  </si>
  <si>
    <t>FCACC-AD-EM-NI-7-SISTE-DE -INF</t>
  </si>
  <si>
    <t>SISTEMA DE INFORMACIÓN GERENCIAL</t>
  </si>
  <si>
    <t>FCACC-AD-EM-NI-8-BUSIN-INT</t>
  </si>
  <si>
    <t>BUSINESS INTELLIGENCE</t>
  </si>
  <si>
    <t>FCACC-AD-EM-NI-8-COMER-INT</t>
  </si>
  <si>
    <t>COMERCIO INTERNACIONAL</t>
  </si>
  <si>
    <t>FCACC-AD-EM-NI-8-INCUB-Y C-CRE</t>
  </si>
  <si>
    <t>INCUBACIÓN Y CREACIÓN DE EMPRESAS</t>
  </si>
  <si>
    <t>FCACC-AD-EM-NI-8-SIMUL-DE -NEG</t>
  </si>
  <si>
    <t>SIMULACIÓN DE NEGOCIOS</t>
  </si>
  <si>
    <t>FCACC-AU-CO-GE-NI-1-FUNDA-DE -CON</t>
  </si>
  <si>
    <t>FCACC-AU-CO-GE-NI-1-FUNDA-DE -ADM</t>
  </si>
  <si>
    <t>FCACC-AU-CO-GE-NI-1-ESTAD-DES</t>
  </si>
  <si>
    <t>FCACC-AU-CO-GE-NI-1-LEGIS-MER-Y</t>
  </si>
  <si>
    <t>FCACC-AU-CO-GE-NI-2-CONTA-FIN</t>
  </si>
  <si>
    <t>FCACC-AU-CO-GE-NI-2-MATEM-FIN</t>
  </si>
  <si>
    <t>FCACC-AU-CO-GE-NI-2-ESTAD-INF</t>
  </si>
  <si>
    <t>FCACC-AU-CO-GE-NI-2-LEGIS-LAB</t>
  </si>
  <si>
    <t>FCACC-AU-CO-GE-NI-3-CONTA-DE -COS</t>
  </si>
  <si>
    <t>FCACC-AU-CO-GE-NI-3-CONTA-SOC-Y A</t>
  </si>
  <si>
    <t>FCACC-AU-CO-GE-NI-3-ADMIN-FIN</t>
  </si>
  <si>
    <t>FCACC-AU-CO-GE-NI-3-FUNDA-DE -AUD</t>
  </si>
  <si>
    <t>FCACC-AU-CO-GE-NI-3-GESTI-DE -TAL</t>
  </si>
  <si>
    <t>FCACC-AU-CO-GE-NI-4-PLANI-DE -AUD</t>
  </si>
  <si>
    <t xml:space="preserve">FCACC-AU-CO-GE-NI-4-CONTA-EN -EL </t>
  </si>
  <si>
    <t>FCACC-AU-CO-GE-NI-4-GESTI-TRI</t>
  </si>
  <si>
    <t>FCACC-AU-CO-GE-NI-4-PLANI-Y D-DIR</t>
  </si>
  <si>
    <t>FCACC-AU-CO-GE-NI-4-ÉTICA-PRO</t>
  </si>
  <si>
    <t xml:space="preserve">FCACC-AU-CO-GE-NI-5-GESTI-DE -LA </t>
  </si>
  <si>
    <t>FCACC-AU-CO-GE-NI-5-AUDIT-FIN</t>
  </si>
  <si>
    <t>FCACC-AU-CO-GE-NI-5-CONTA-GER-</t>
  </si>
  <si>
    <t>FCACC-AU-CO-GE-NI-5-SOFTW-DE -GES</t>
  </si>
  <si>
    <t>FCACC-AU-CO-GE-NI-5-SISTE-DE -IND</t>
  </si>
  <si>
    <t>FCACC-AU-CO-GE-NI-6-GESTI-PÚB</t>
  </si>
  <si>
    <t>FCACC-AU-CO-GE-NI-6-SISTE-DE -CON</t>
  </si>
  <si>
    <t>FCACC-AU-CO-GE-NI-6-AUDIT-DE -GES</t>
  </si>
  <si>
    <t>FCACC-AU-CO-GE-NI-6-PROCE-DE -CON</t>
  </si>
  <si>
    <t>FCACC-AU-CO-GE-NI-6-AUDIT-TRI</t>
  </si>
  <si>
    <t>FCACC-AU-CO-GE-NI-7-AUDIT-EN -SEG</t>
  </si>
  <si>
    <t>FCACC-AU-CO-GE-NI-7-VALOR-DE -EMP</t>
  </si>
  <si>
    <t>FCACC-AU-CO-GE-NI-7-AUDIT</t>
  </si>
  <si>
    <t>FCACC-AU-CO-GE-NI-7-AUDIT-AMB</t>
  </si>
  <si>
    <t>FCACC-AU-CO-GE-NI-7-RESPO-SOC-</t>
  </si>
  <si>
    <t xml:space="preserve">FCACC-AU-CO-GE-NI-8-DISEÑ-DES- Y </t>
  </si>
  <si>
    <t>FCACC-AU-CO-GE-NI-8-LIDER-Y G-GES</t>
  </si>
  <si>
    <t>FCACC-AU-CO-GE-NI-8-AUDIT-DE -SIS</t>
  </si>
  <si>
    <t>FCACC-AU-CO-GE-NI-8-AUDIT-FOR</t>
  </si>
  <si>
    <t>FCACC-AU-CO-GE-NI-8-AUDIT-INT</t>
  </si>
  <si>
    <t>FCACC-BI-RA-NI-1-MATEM-FIN-(</t>
  </si>
  <si>
    <t>MATEMÁTICA FINANCIERA (BR)</t>
  </si>
  <si>
    <t>FCACC-BI-RA-NI-1-ECONO-EN -BIE</t>
  </si>
  <si>
    <t>ECONOMÍA EN BIENES RAÍCES (BR)</t>
  </si>
  <si>
    <t>FCACC-BI-RA-NI-1-DEREC-APL-A L</t>
  </si>
  <si>
    <t>DERECHO APLICADO A LA GESTIÓN INMOBIIARIA (BR)</t>
  </si>
  <si>
    <t>FCACC-BI-RA-NI-1-ADMIN-INM</t>
  </si>
  <si>
    <t>ADMINISTRACIÓN INMOBILIARIA (BR)</t>
  </si>
  <si>
    <t>FCACC-BI-RA-NI-1-ÉTICA-PRO-(BR</t>
  </si>
  <si>
    <t>ÉTICA PROFESIONAL (BR)</t>
  </si>
  <si>
    <t>FCACC-BI-RA-NI-1-GESTI-EST-(BR</t>
  </si>
  <si>
    <t>GESTIÓN ESTRATÉGICA (BR)</t>
  </si>
  <si>
    <t>FCACC-BI-RA-NI-2-ESTAD-DE -RIE</t>
  </si>
  <si>
    <t>ESTADÍSTICA DE RIESGOS (BR)</t>
  </si>
  <si>
    <t>FCACC-BI-RA-NI-2-MARKE-INM-</t>
  </si>
  <si>
    <t>MARKETING INMOBILIARIO (BR)</t>
  </si>
  <si>
    <t>FCACC-BI-RA-NI-2-LEGIS-DE -SEG</t>
  </si>
  <si>
    <t>LEGISLACIÓN DE SEGUROS (BR)</t>
  </si>
  <si>
    <t>FCACC-BI-RA-NI-2-ANÁLI-DE -MER</t>
  </si>
  <si>
    <t>ANÁLISIS DE MERCADO INMOBILIARIO (BR)</t>
  </si>
  <si>
    <t>FCACC-BI-RA-NI-2-GESTI-DEL-AGE</t>
  </si>
  <si>
    <t>GESTIÓN DEL AGENTE EN BIENES RAÍCES (BR)</t>
  </si>
  <si>
    <t>FCACC-BI-RA-NI-3-TASAC-DE -INM</t>
  </si>
  <si>
    <t>TASACIÓN DE INMUEBLES: ARANCELEARIA Y COMERCIAL (BR)</t>
  </si>
  <si>
    <t>FCACC-BI-RA-NI-3-FINAN-EN -BIE</t>
  </si>
  <si>
    <t>FINANZAS EN BIENES RAÍCES (BR)</t>
  </si>
  <si>
    <t>FCACC-BI-RA-NI-3-GESTI-DE -RIE</t>
  </si>
  <si>
    <t>GESTIÓN DE RIESGOS Y SINIESTROS (BR)</t>
  </si>
  <si>
    <t>FCACC-BI-RA-NI-3-GEREN-Y N-NEG</t>
  </si>
  <si>
    <t>GERENCIA Y NEGOCIACIÓN INMOBILIARIA (BR)</t>
  </si>
  <si>
    <t>FCACC-BI-RA-NI-3-EMPRE-Y P-PLA</t>
  </si>
  <si>
    <t>EMPRENDIMIENTO Y PLAN DE NEGOCIOS (BR)</t>
  </si>
  <si>
    <t>FCACC-BI-RA-NI-4-EVALU-Y V-VAL</t>
  </si>
  <si>
    <t>EVALUACIÓN Y VALUACIÓN DE INMUEBLES (BR)</t>
  </si>
  <si>
    <t>FCACC-BI-RA-NI-4-PLANI-DEL-DES</t>
  </si>
  <si>
    <t>PLANIFICACIÓN DEL DESARROLLO URBANO (BR)</t>
  </si>
  <si>
    <t>FCACC-BI-RA-NI-4-AUDIT-DE -SEG</t>
  </si>
  <si>
    <t>AUDITORÍA DE SEGUROS (BR)</t>
  </si>
  <si>
    <t xml:space="preserve">FCACC-CO-EX-NI-1-METOD-DE -LA </t>
  </si>
  <si>
    <t>FCACC-CO-EX-NI-1-COMER-EXT</t>
  </si>
  <si>
    <t>FCACC-CO-EX-NI-1-REALI-NAC-Y G</t>
  </si>
  <si>
    <t>REALIDAD NACIONAL Y GEOPOLITICA</t>
  </si>
  <si>
    <t>FCACC-CO-EX-NI-1-MATEM</t>
  </si>
  <si>
    <t>FCACC-CO-EX-NI-1-CONTA-GEN</t>
  </si>
  <si>
    <t>CONTABILIDAD GENERAL</t>
  </si>
  <si>
    <t>FCACC-CO-EX-NI-2-MATEM-FIN</t>
  </si>
  <si>
    <t>MATEMÁTICAS FINANCIERAS</t>
  </si>
  <si>
    <t>FCACC-CO-EX-NI-2-DESAR-DEL-COM</t>
  </si>
  <si>
    <t>DESARROLLO DEL COMERCIO REGIONAL</t>
  </si>
  <si>
    <t>FCACC-CO-EX-NI-2-RESPO-SOC-</t>
  </si>
  <si>
    <t>RESPONSABILIDAD SOCIAL Y EMPRESARIAL</t>
  </si>
  <si>
    <t>FCACC-CO-EX-NI-2-CONTA-DE -COS</t>
  </si>
  <si>
    <t>FCACC-CO-EX-NI-2-FUNDA-DE -ECO</t>
  </si>
  <si>
    <t>FUNDAMENTOS DE ECONOMÍA</t>
  </si>
  <si>
    <t>FCACC-CO-EX-NI-3-COMPO-ORG</t>
  </si>
  <si>
    <t>COMPORTAMIENTO ORGANIZACIONAL</t>
  </si>
  <si>
    <t>FCACC-CO-EX-NI-3-ESTAD</t>
  </si>
  <si>
    <t>ESTADÍSTICAS</t>
  </si>
  <si>
    <t>FCACC-CO-EX-NI-3-MICRO</t>
  </si>
  <si>
    <t>FCACC-CO-EX-NI-3-DEREC-CON-</t>
  </si>
  <si>
    <t>DERECHO CONSTITUCIONAL Y LEGISLACIÓN DEL COMERCIO</t>
  </si>
  <si>
    <t xml:space="preserve">FCACC-CO-EX-NI-3-TEORI-DE -LA </t>
  </si>
  <si>
    <t>TEORIA DE LA POLÍTICA COMERCIAL</t>
  </si>
  <si>
    <t>FCACC-CO-EX-NI-3-FINAN-COR</t>
  </si>
  <si>
    <t>FCACC-CO-EX-NI-4-MACRO</t>
  </si>
  <si>
    <t>FCACC-CO-EX-NI-4-MECAN-DE -INT</t>
  </si>
  <si>
    <t>MECANISMOS DE INTEGRACIÓN</t>
  </si>
  <si>
    <t>FCACC-CO-EX-NI-4-INVES-OPE</t>
  </si>
  <si>
    <t>FCACC-CO-EX-NI-4-GESTI-LOG-EMP</t>
  </si>
  <si>
    <t>GESTIÓN LOGÍSTICA EMPRESARIAL</t>
  </si>
  <si>
    <t>FCACC-CO-EX-NI-4-COMER-JUS-Y S</t>
  </si>
  <si>
    <t>COMERCIO JUSTO Y SOBERANÍA ALIMENTARIA</t>
  </si>
  <si>
    <t>FCACC-CO-EX-NI-5-PLANE-EST</t>
  </si>
  <si>
    <t>PLANEACIÓN ESTRATÉGICA</t>
  </si>
  <si>
    <t>FCACC-CO-EX-NI-5-FORMU-Y E-ELA</t>
  </si>
  <si>
    <t>FORMULACIÓN Y ELABORACIÓN DE PROYECTOS EMPRESARIALES</t>
  </si>
  <si>
    <t>FCACC-CO-EX-NI-5-RELAC-ECO-I</t>
  </si>
  <si>
    <t>RELACIONES ECONÓMICAS INTERNACIONALES</t>
  </si>
  <si>
    <t>FCACC-CO-EX-NI-5-GESTI-AMB-DEL</t>
  </si>
  <si>
    <t>GESTIÓN AMBIENTAL DEL COMERCIO</t>
  </si>
  <si>
    <t>FCACC-CO-EX-NI-5-INGLÉ-COM-I</t>
  </si>
  <si>
    <t>INGLÉS COMERCIAL I</t>
  </si>
  <si>
    <t>FCACC-CO-EX-NI-5-INVES-DE -MER</t>
  </si>
  <si>
    <t>INVESTIGACIÓN DE MERCADOS INTERNACIONALES</t>
  </si>
  <si>
    <t>FCACC-CO-EX-NI-6-NOMEN-ARA</t>
  </si>
  <si>
    <t>NOMENCLATURA ARANCELARIA Y MERCEOLOGÍA</t>
  </si>
  <si>
    <t>FCACC-CO-EX-NI-6-FINAN-INT</t>
  </si>
  <si>
    <t>FINANZAS INTERNACIONALES</t>
  </si>
  <si>
    <t>FCACC-CO-EX-NI-6-GESTI-DE -PRO</t>
  </si>
  <si>
    <t>GESTIÓN DE PROYECTOS SOCIALES Y DE INVERSIÓN</t>
  </si>
  <si>
    <t>FCACC-CO-EX-NI-6-INGLÉ-COM-II</t>
  </si>
  <si>
    <t>INGLÉS COMERCIAL II</t>
  </si>
  <si>
    <t>FCACC-CO-EX-NI-6-ESTRA-DE -INT</t>
  </si>
  <si>
    <t>ESTRATÉGIAS DE INTERNACIONALIZACIÓN</t>
  </si>
  <si>
    <t>FCACC-CO-EX-NI-6-MERCA-INT</t>
  </si>
  <si>
    <t>MERCADOTECNIA INTERNACIONAL</t>
  </si>
  <si>
    <t xml:space="preserve">FCACC-CO-EX-NI-7-ÉTICA-APL-AL </t>
  </si>
  <si>
    <t>ÉTICA APLICADA AL COMERCIO INTERNACIONAL</t>
  </si>
  <si>
    <t>FCACC-CO-EX-NI-7-PROCE-OPE-ADU</t>
  </si>
  <si>
    <t>PROCESOS OPERATIVOS ADUANEROS</t>
  </si>
  <si>
    <t>FCACC-CO-EX-NI-7-OPERA-POR-</t>
  </si>
  <si>
    <t>OPERATIVIDAD PORTUARIA Y AEROPORTUARIA</t>
  </si>
  <si>
    <t>FCACC-CO-EX-NI-7-INGLÉ-COM-III</t>
  </si>
  <si>
    <t>INGLÉS COMERCIAL III</t>
  </si>
  <si>
    <t>FCACC-CO-EX-NI-7-DESAR-LOC-Y E</t>
  </si>
  <si>
    <t>DESARROLLO LOCAL Y EMPRENDIMIENTO</t>
  </si>
  <si>
    <t>FCACC-CO-EX-NI-8-TRÁMI-DE -EXP</t>
  </si>
  <si>
    <t>TRÁMITES DE EXPORTACIÓN E IMPORTACIÓN</t>
  </si>
  <si>
    <t xml:space="preserve">FCACC-CO-EX-NI-8-GESTI-DE -LA </t>
  </si>
  <si>
    <t>FCACC-CO-EX-NI-8-LOGÍS-INT</t>
  </si>
  <si>
    <t>LOGÍSTICA INTERNACIONAL</t>
  </si>
  <si>
    <t>FCACC-CO-EX-NI-8-NEGOC-INT</t>
  </si>
  <si>
    <t>NEGOCIACIÓN INTERNACIONAL</t>
  </si>
  <si>
    <t>FCACC-CO-AD-NI-1-CONTA-BÁS</t>
  </si>
  <si>
    <t>FCACC-CO-AD-NI-1-MATEM</t>
  </si>
  <si>
    <t xml:space="preserve">FCACC-CO-AD-NI-1-METOD-DE -LA </t>
  </si>
  <si>
    <t>FCACC-CO-AD-NI-1-ADMIN</t>
  </si>
  <si>
    <t>FCACC-CO-AD-NI-1-MACRO</t>
  </si>
  <si>
    <t>FCACC-CO-AD-NI-2-LEGIS-LAB</t>
  </si>
  <si>
    <t>FCACC-CO-AD-NI-2-CONTA-INT</t>
  </si>
  <si>
    <t>FCACC-CO-AD-NI-2-ESTAD-DES</t>
  </si>
  <si>
    <t>FCACC-CO-AD-NI-2-LEGIS-MER-Y</t>
  </si>
  <si>
    <t>FCACC-CO-AD-NI-2-MATEM-FIN</t>
  </si>
  <si>
    <t>FCACC-CO-AD-NI-3-CONTA-AVA</t>
  </si>
  <si>
    <t>FCACC-CO-AD-NI-3-FUNDA-DE -AUD</t>
  </si>
  <si>
    <t>FCACC-CO-AD-NI-3-ESTAD-APL</t>
  </si>
  <si>
    <t>FCACC-CO-AD-NI-3-LEGIS-TRI</t>
  </si>
  <si>
    <t>FCACC-CO-AD-NI-3-SISTE-CON</t>
  </si>
  <si>
    <t>FCACC-CO-AD-NI-3-PROCE-Y C-CON</t>
  </si>
  <si>
    <t>FCACC-CO-AD-NI-4-ADMIN-FIN</t>
  </si>
  <si>
    <t>FCACC-CO-AD-NI-4-CONTA-SUP</t>
  </si>
  <si>
    <t>FCACC-CO-AD-NI-4-PLANI-Y D-DIR</t>
  </si>
  <si>
    <t>FCACC-CO-AD-NI-4-PLANI-DE -AUD</t>
  </si>
  <si>
    <t>FCACC-CO-AD-NI-4-TRIBU-APL</t>
  </si>
  <si>
    <t>FCACC-CO-AD-NI-5-CONTA-DE -COS</t>
  </si>
  <si>
    <t>FCACC-CO-AD-NI-5-CONTA-ESP</t>
  </si>
  <si>
    <t>FCACC-CO-AD-NI-5-AUDIT-FIN</t>
  </si>
  <si>
    <t>FCACC-CO-AD-NI-5-ORGAN-Y M-MÉT</t>
  </si>
  <si>
    <t>FCACC-CO-AD-NI-5-PRESU</t>
  </si>
  <si>
    <t>FCACC-CO-AD-NI-6-MARCO-INT-E I</t>
  </si>
  <si>
    <t>FCACC-CO-AD-NI-6-CONTA-DE -COS</t>
  </si>
  <si>
    <t>FCACC-CO-AD-NI-6-CONTA-GUB</t>
  </si>
  <si>
    <t>FCACC-CO-AD-NI-6-FORMU-DE -PRO</t>
  </si>
  <si>
    <t xml:space="preserve">FCACC-CO-AD-NI-6-GESTI-DE -LA </t>
  </si>
  <si>
    <t>FCACC-CO-AD-NI-6-INVES-OPE</t>
  </si>
  <si>
    <t>FCACC-CO-AD-NI-7-AUDIT-TRI</t>
  </si>
  <si>
    <t>FCACC-CO-AD-NI-7-AUDIT-DE -CAL</t>
  </si>
  <si>
    <t>FCACC-CO-AD-NI-7-EVALU-DE -PRO</t>
  </si>
  <si>
    <t>FCACC-CO-AD-NI-7-AUDIT-GUB</t>
  </si>
  <si>
    <t>FCACC-CO-AD-NI-8-AUDIT-FOR</t>
  </si>
  <si>
    <t>FCACC-CO-AD-NI-8-AUDIT-DE -GES</t>
  </si>
  <si>
    <t>FCACC-CO-AD-NI-8-AUDIT-INF</t>
  </si>
  <si>
    <t>FCACC-CO-AD-NI-8-PROCE-DE -CON</t>
  </si>
  <si>
    <t>FCACC-CO-AD-NI-8-AUDIT-AMB</t>
  </si>
  <si>
    <t>FCACC-FINA-NI-1-CONTA-ADM</t>
  </si>
  <si>
    <t>FCACC-FINA-NI-1-MATEM-ADM</t>
  </si>
  <si>
    <t>FCACC-FINA-NI-1-FUNDA-DE -ADM</t>
  </si>
  <si>
    <t xml:space="preserve">FCACC-FINA-NI-1-METOD-DE -LA </t>
  </si>
  <si>
    <t>FCACC-FINA-NI-2-CONTA-DE -COS</t>
  </si>
  <si>
    <t>FCACC-FINA-NI-2-SISTE-TRI</t>
  </si>
  <si>
    <t>FCACC-FINA-NI-2-MATEM-FIN</t>
  </si>
  <si>
    <t>FCACC-FINA-NI-2-ESTAD-FIN</t>
  </si>
  <si>
    <t>FCACC-FINA-NI-3-CONTA-BAN</t>
  </si>
  <si>
    <t>FCACC-FINA-NI-3-FUNDA-DE -FIN</t>
  </si>
  <si>
    <t>FCACC-FINA-NI-3-ECONO</t>
  </si>
  <si>
    <t>FCACC-FINA-NI-3-LEGIS-MON-Y</t>
  </si>
  <si>
    <t>FCACC-FINA-NI-4-CONTA-FIN</t>
  </si>
  <si>
    <t>FCACC-FINA-NI-4-MERCA-DE -SEG</t>
  </si>
  <si>
    <t>FCACC-FINA-NI-4-ADMIN-FIN</t>
  </si>
  <si>
    <t>FCACC-FINA-NI-4-GESTI-DEL-TAL</t>
  </si>
  <si>
    <t>FCACC-FINA-NI-4-GEREN-EST</t>
  </si>
  <si>
    <t>FCACC-FINA-NI-5-GESTI-DEL-PRE</t>
  </si>
  <si>
    <t>FCACC-FINA-NI-5-ECONO-POP-Y S</t>
  </si>
  <si>
    <t>FCACC-FINA-NI-5-ADMIN-DE -RIE</t>
  </si>
  <si>
    <t>FCACC-FINA-NI-5-GESTI-DE -SEG</t>
  </si>
  <si>
    <t>FCACC-FINA-NI-5-EMPRE-Y D-DES</t>
  </si>
  <si>
    <t>FCACC-FINA-NI-5-ÉTICA-Y R-RES</t>
  </si>
  <si>
    <t>FCACC-FINA-NI-6-FINAN-COR</t>
  </si>
  <si>
    <t>FCACC-FINA-NI-6-ECONO- PO-POP</t>
  </si>
  <si>
    <t>FCACC-FINA-NI-6-DISEÑ-Y E-EVA</t>
  </si>
  <si>
    <t>FCACC-FINA-NI-6-AUDIT-FIN</t>
  </si>
  <si>
    <t>FCACC-FINA-NI-6-MERCA-FIN</t>
  </si>
  <si>
    <t>FCACC-FINA-NI-7-FINAN- Y -Y P</t>
  </si>
  <si>
    <t>FCACC-FINA-NI-7-MERCA</t>
  </si>
  <si>
    <t>FCACC-FINA-NI-7-DISEÑ- Y -Y E</t>
  </si>
  <si>
    <t>FCACC-FINA-NI-7-PLANI-PRO</t>
  </si>
  <si>
    <t>FCACC-FINA-NI-7-PROCE-DE -CON</t>
  </si>
  <si>
    <t>FCACC-FINA-NI-8-SISTE-DE -INF</t>
  </si>
  <si>
    <t>FCACC-FINA-NI-8-CONTA-GUB</t>
  </si>
  <si>
    <t>FCACC-FINA-NI-8-FINAN-DE -INV</t>
  </si>
  <si>
    <t>FCACC-FINA-NI-8-MODEL-Y S-SIM</t>
  </si>
  <si>
    <t>MODELACIÓN Y SIMULACIÓN FINANCIERA</t>
  </si>
  <si>
    <t>FCACC-FINA-NI-8-VALOR-DE -EMP</t>
  </si>
  <si>
    <t>FCACC-GE-IN-GE-NI-8-ENGLI-FOR-SPE</t>
  </si>
  <si>
    <t>ENGLISH FOR SPECIFIC PURPOSE II</t>
  </si>
  <si>
    <t>FCACC-GE-IN-GE-NI-3-GESTI-DE -PRO</t>
  </si>
  <si>
    <t>GESTION DE PROCESOS</t>
  </si>
  <si>
    <t>FCACC-GE-IN-GE-NI-3-ESTAD-INF</t>
  </si>
  <si>
    <t>FCACC-GE-IN-GE-NI-3-SISTE-DE -INF</t>
  </si>
  <si>
    <t>SISTEMAS DE INFORMACIÓN Y GESTIÓN  DOCUMENTAL</t>
  </si>
  <si>
    <t xml:space="preserve">FCACC-GE-IN-GE-NI-3-GESTI-DE -LA </t>
  </si>
  <si>
    <t>GESTIÓN DE LA INFORMACIÓN</t>
  </si>
  <si>
    <t>FCACC-GE-IN-GE-NI-3-METOD-DE -INV</t>
  </si>
  <si>
    <t>METODOLOGÍA DE INVESTIGACIÓN</t>
  </si>
  <si>
    <t>FCACC-GE-IN-GE-NI-4-SISTE-DE -INF</t>
  </si>
  <si>
    <t>SISTEMA DE INFORMACIÓN DIGITAL</t>
  </si>
  <si>
    <t>FCACC-GE-IN-GE-NI-4-HERRA-DIG-</t>
  </si>
  <si>
    <t>HERRAMIENTAS DIGITALES AVANZADAS PARA LA GESTIÓN  DE INFORMACIÓN</t>
  </si>
  <si>
    <t xml:space="preserve">FCACC-GE-IN-GE-NI-4-GOBIE-ELE-Y </t>
  </si>
  <si>
    <t>GOBIERNO ELECTRÓNICO Y ADMINISTRACIÓN PÚBLICA</t>
  </si>
  <si>
    <t>FCACC-GE-IN-GE-NI-4-GESTI-DOC-Y A</t>
  </si>
  <si>
    <t>GESTIÓN DOCUMENTAL Y ARCHIVÍSTICA</t>
  </si>
  <si>
    <t>FCACC-GE-IN-GE-NI-6-ANÁLI-CUA-DE</t>
  </si>
  <si>
    <t>ANÁLISIS CUALITATIVO DE LA INFORMACIÓN</t>
  </si>
  <si>
    <t>FCACC-GE-IN-GE-NI-6-ANALI-DE -MOD</t>
  </si>
  <si>
    <t>ANALISIS DE MODELOS INSTITUCIONALES  EN LA GESTIÓN INFORMACIONAL</t>
  </si>
  <si>
    <t>FCACC-GE-IN-GE-NI-6-GESTI-DEL-CON</t>
  </si>
  <si>
    <t>GESTIÓN DEL CONOCIMIENTO</t>
  </si>
  <si>
    <t>FCACC-GE-IN-GE-NI-6-DISEÑ-Y E-EVA</t>
  </si>
  <si>
    <t>DISEÑO Y EVALUACIÓN DE PROYECTOS DE INVESTIGACIÓN</t>
  </si>
  <si>
    <t xml:space="preserve">FCACC-GE-IN-GE-NI-6-SISTE-GES-DE </t>
  </si>
  <si>
    <t>SISTEMAS GESTORES DE BASES DE DATOS</t>
  </si>
  <si>
    <t>FCACC-GE-IN-GE-NI-8-INFOR-ARC</t>
  </si>
  <si>
    <t>INFORMATION ARCHITECTURE</t>
  </si>
  <si>
    <t>FCACC-GE-IN-GE-NI-8-BUSIN-ENG</t>
  </si>
  <si>
    <t>BUSINESS ENGLISH</t>
  </si>
  <si>
    <t>FCACC-GE-IN-GE-NI-8-EVALU-DE -PRO</t>
  </si>
  <si>
    <t>EVALUACIÓN DE PROGRAMAS INFORMACIONALES</t>
  </si>
  <si>
    <t>FCACC-GE-IN-GE-NI-8-BUSIN-INT</t>
  </si>
  <si>
    <t>FCACC-GE-IN-GE-NI-8-prueb</t>
  </si>
  <si>
    <t>prueba</t>
  </si>
  <si>
    <t>FCACC-GE-TA-HU-NI-1-GESTI-DEL-TAL</t>
  </si>
  <si>
    <t>GESTIÓN DEL TALENTO HUMANO (GTH)</t>
  </si>
  <si>
    <t>FCACC-GE-TA-HU-NI-1-LA AD-(GT</t>
  </si>
  <si>
    <t>LA ADMINISTRACIÓN (GTH)</t>
  </si>
  <si>
    <t xml:space="preserve">FCACC-GE-TA-HU-NI-1-METOD-DE -LA </t>
  </si>
  <si>
    <t>METODOLOGÍA DE LA INVESTIGACIÓN (GTH)</t>
  </si>
  <si>
    <t>FCACC-GE-TA-HU-NI-1-MICRO-(GT</t>
  </si>
  <si>
    <t>MICROECONOMÍA (GTH)</t>
  </si>
  <si>
    <t>FCACC-GE-TA-HU-NI-1-DEREC-CON-</t>
  </si>
  <si>
    <t>DERECHO CONSTITUCIONAL (GTH)</t>
  </si>
  <si>
    <t>FCACC-GE-TA-HU-NI-2-ORGAN-EST</t>
  </si>
  <si>
    <t>ORGANIZACIÓN ESTRUCTURAL Y DE PROCESOS (GTH)</t>
  </si>
  <si>
    <t>FCACC-GE-TA-HU-NI-2-PSICO-ORG</t>
  </si>
  <si>
    <t>PSICOLOGÍA ORGANIZACIONAL (GTH)</t>
  </si>
  <si>
    <t xml:space="preserve">FCACC-GE-TA-HU-NI-2-ESTAD-APL-A </t>
  </si>
  <si>
    <t>ESTADÍSTICA APLICADA A LA ADMINISTRACIÓN (GTH)</t>
  </si>
  <si>
    <t>FCACC-GE-TA-HU-NI-2-MACRO-(GT</t>
  </si>
  <si>
    <t>MACROECONOMÍA (GTH)</t>
  </si>
  <si>
    <t>FCACC-GE-TA-HU-NI-2-DEREC-LAB-PRI</t>
  </si>
  <si>
    <t>DERECHO LABORAL PRIVADO (GTH)</t>
  </si>
  <si>
    <t>FCACC-GE-TA-HU-NI-2-GESTI-DEL-CAM</t>
  </si>
  <si>
    <t>GESTIÓN DEL CAMBIO EN ORGANIZACIONES (GTH)</t>
  </si>
  <si>
    <t>FCACC-GE-TA-HU-NI-3-CLASI-Y V-VAL</t>
  </si>
  <si>
    <t>CLASIFICACIÓN Y VALORACIÓN DE CARGOS POR COMPETENCIAS (GTH)</t>
  </si>
  <si>
    <t>FCACC-GE-TA-HU-NI-3-CULTU-Y C-COM</t>
  </si>
  <si>
    <t>CULTURA Y COMPORTAMIENTO ORGANIZACIONAL (GTH)</t>
  </si>
  <si>
    <t>FCACC-GE-TA-HU-NI-3-INVES-DE -MER</t>
  </si>
  <si>
    <t>INVESTIGACIÓN DE MERCADO LABORAL (GTH)</t>
  </si>
  <si>
    <t>FCACC-GE-TA-HU-NI-3-PROGR-NEU</t>
  </si>
  <si>
    <t>PROGRAMACIÓN NEUROLINGUÍSTICA (GTH)</t>
  </si>
  <si>
    <t>FCACC-GE-TA-HU-NI-3-DEREC-LAB-PÚB</t>
  </si>
  <si>
    <t>DERECHO LABORAL PÚBLICO (GTH)</t>
  </si>
  <si>
    <t>FCACC-GE-TA-HU-NI-3-GESTI-DOC-Y A</t>
  </si>
  <si>
    <t>GESTIÓN DOCUMENTAL Y ARCHIVÍSTICA (GTH)</t>
  </si>
  <si>
    <t>FCACC-GE-TA-HU-NI-4-RECLU-SEL</t>
  </si>
  <si>
    <t>RECLUTAMIENTO SELECCIÓN Y ONBOARDING DEL CAPITAL HUMANO (GTH</t>
  </si>
  <si>
    <t>FCACC-GE-TA-HU-NI-4-EMPLE-Y D-DES</t>
  </si>
  <si>
    <t>EMPLEABILIDAD Y DESARROLLO PROFESIONAL (GTH)</t>
  </si>
  <si>
    <t>FCACC-GE-TA-HU-NI-4-NEURO-(GT</t>
  </si>
  <si>
    <t>NEUROMANAGEMENT (GTH)</t>
  </si>
  <si>
    <t>FCACC-GE-TA-HU-NI-4-GESTI-DEL-CON</t>
  </si>
  <si>
    <t>GESTIÓN DEL CONOCIMIENTO EN LAS ORGANIZACIONES (GTH)</t>
  </si>
  <si>
    <t>FCACC-GE-TA-HU-NI-4-SEGUR-Y S-SAL</t>
  </si>
  <si>
    <t>SEGURIDAD Y SALUD OCUPACIONAL (GTH)</t>
  </si>
  <si>
    <t>FCACC-GE-TA-HU-NI-5-EVALU-DEL-DES</t>
  </si>
  <si>
    <t>EVALUACIÓN DEL DESEMPEÑO / COMPETITIVIDAD LABORAL (GTH)</t>
  </si>
  <si>
    <t>FCACC-GE-TA-HU-NI-5-ADMIN-DE -REM</t>
  </si>
  <si>
    <t>ADMINISTRACIÓN DE REMUNERACIONES INDEMNIZACIONES Y COMPENSAC</t>
  </si>
  <si>
    <t>FCACC-GE-TA-HU-NI-5-BIENE-Y C-CLI</t>
  </si>
  <si>
    <t>BIENESTAR Y CLIMA LABORAL (GTH)</t>
  </si>
  <si>
    <t>FCACC-GE-TA-HU-NI-5-PRESU-(GT</t>
  </si>
  <si>
    <t>PRESUPUESTO (GTH)</t>
  </si>
  <si>
    <t>FCACC-GE-TA-HU-NI-5-POLÍT-PÚB-Y L</t>
  </si>
  <si>
    <t>POLÍTICAS PÚBLICAS Y LABORALES (GTH)</t>
  </si>
  <si>
    <t>FCACC-GE-TA-HU-NI-6-GESTI-INT-DEL</t>
  </si>
  <si>
    <t>GESTIÓN INTEGRAL DEL TALENTO HUMANO (GTH)</t>
  </si>
  <si>
    <t>FCACC-GE-TA-HU-NI-6-DIREC-DE -TAL</t>
  </si>
  <si>
    <t>DIRECCIÓN DE TALENTO HUMANO (GTH)</t>
  </si>
  <si>
    <t>FCACC-GE-TA-HU-NI-6-E-TRA-/ E-E-L</t>
  </si>
  <si>
    <t>E-TRADING / E-LEARNING ORGANIZACIONAL (GTH)</t>
  </si>
  <si>
    <t>FCACC-GE-TA-HU-NI-6-CONSU-ORG</t>
  </si>
  <si>
    <t>CONSULTORÍA ORGANIZACIONAL (GTH)</t>
  </si>
  <si>
    <t>FCACC-GE-TA-HU-NI-6-GESTI-DE -CAL</t>
  </si>
  <si>
    <t>GESTIÓN DE CALIDAD APLICADA AL TALENTO HUMANO (GTH)</t>
  </si>
  <si>
    <t>FCACC-GE-TA-HU-NI-7-ENDOM-(GT</t>
  </si>
  <si>
    <t>ENDOMARKETING (GTH)</t>
  </si>
  <si>
    <t xml:space="preserve">FCACC-GE-TA-HU-NI-7-TENDE-GLO-DE </t>
  </si>
  <si>
    <t>TENDENCIAS GLOBALES DE LA GESTIÓN DEL TALENTO HUMANO (GTH)</t>
  </si>
  <si>
    <t>FCACC-GE-TA-HU-NI-7-GEREN-EST-(G</t>
  </si>
  <si>
    <t>GERENCIA ESTRATÉGICA (GTH)</t>
  </si>
  <si>
    <t>FCACC-GE-TA-HU-NI-7-DEONT-PRO</t>
  </si>
  <si>
    <t>DEONTOLOGÍA PROFESIONAL (GTH)</t>
  </si>
  <si>
    <t>FCACC-GE-TA-HU-NI-8-AUDIT-DEL-TAL</t>
  </si>
  <si>
    <t>AUDITORÍA DEL TALENTO HUMANO (GTH)</t>
  </si>
  <si>
    <t>FCACC-GE-TA-HU-NI-8-BUSIN-COA-(GT</t>
  </si>
  <si>
    <t>BUSINESS COACHING (GTH)</t>
  </si>
  <si>
    <t>FCACC-GE-TA-HU-NI-8-GESTI-DE -CON</t>
  </si>
  <si>
    <t>GESTIÓN DE CONFLICTOS Y NEGOCIACIÓN (GTH)</t>
  </si>
  <si>
    <t>FCACC-GE-TA-HU-NI-8-RESPO-SOC-</t>
  </si>
  <si>
    <t>RESPONSABILIDAD SOCIAL EMPRESARIAL (GTH)</t>
  </si>
  <si>
    <t xml:space="preserve">FCACC-MA-NI-1-SOCIE-DE -LA </t>
  </si>
  <si>
    <t>SOCIEDAD DE LA INFORMACIÓN Y EL CONOCIMIENTO</t>
  </si>
  <si>
    <t>FCACC-MA-NI-1-INTRO-A L-LOS</t>
  </si>
  <si>
    <t>INTRODUCCIÓN A LOS SISTEMAS DE INFORMACIÓN</t>
  </si>
  <si>
    <t>FCACC-MA-NI-1-ÉTICA-Y R-RES</t>
  </si>
  <si>
    <t>ÉTICA Y RESPONSABILIDAD SOCIAL EN LA INFORMACIÓN</t>
  </si>
  <si>
    <t>FCACC-MA-NI-1-OFIMÁ</t>
  </si>
  <si>
    <t>OFIMÁTICA</t>
  </si>
  <si>
    <t>FCACC-MA-NI-1-CÁTED-ALF</t>
  </si>
  <si>
    <t>CÁTEDRA ALFARO</t>
  </si>
  <si>
    <t>FCACC-MA-NI-2-GESTI-ORG</t>
  </si>
  <si>
    <t>GESTIÓN ORGANIZACIONAL</t>
  </si>
  <si>
    <t xml:space="preserve">FCACC-MA-NI-2-MARCO-CON-Y </t>
  </si>
  <si>
    <t>MARCO CONSTITUCIONAL Y DERECHO ADMINISTRATIVO ECUATORIANO</t>
  </si>
  <si>
    <t>FCACC-MA-NI-2-MEMOR-PAT-Y U</t>
  </si>
  <si>
    <t>MEMORIA, PATRIMONIO Y USO DE LA INFORMACIÓN</t>
  </si>
  <si>
    <t>FCACC-MA-NI-2-ESTAD-DES</t>
  </si>
  <si>
    <t>ESTADISTICA DESCRIPTIVA</t>
  </si>
  <si>
    <t>FCACC-MA-NI-3-GESTI-DE -PRO</t>
  </si>
  <si>
    <t>FCACC-MA-NI-3-ESTAD-INF</t>
  </si>
  <si>
    <t>FCACC-MA-NI-3-SISTE-DE -INF</t>
  </si>
  <si>
    <t xml:space="preserve">FCACC-MA-NI-3-GESTI-DE -LA </t>
  </si>
  <si>
    <t>FCACC-MA-NI-3-METOD-DE -INV</t>
  </si>
  <si>
    <t>FCACC-MA-NI-4-SISTE-DE -INF</t>
  </si>
  <si>
    <t>FCACC-MA-NI-4-HERRA-DIG-</t>
  </si>
  <si>
    <t>HERRAMIENTAS DIGITALES AVANZADAS PARALA GESTIÓN  DE INFORMACIÓN</t>
  </si>
  <si>
    <t xml:space="preserve">FCACC-MA-NI-4-GOBIE-ELE-Y </t>
  </si>
  <si>
    <t>FCACC-MA-NI-4-GESTI-DOC-Y A</t>
  </si>
  <si>
    <t>FCACC-MA-NI-4-PRÁCT-PRE</t>
  </si>
  <si>
    <t>PRÁCTICAS PREPROFESIONALES I</t>
  </si>
  <si>
    <t>FCACC-MA-NI-5-PLANI-EST</t>
  </si>
  <si>
    <t>PLANIFICACIÓN ESTRATÉGICA</t>
  </si>
  <si>
    <t>FCACC-MA-NI-5-ALFAB-Y C-COM</t>
  </si>
  <si>
    <t>ALFABETIZACIÓN Y COMPETENCIAS INFORMACIONALES</t>
  </si>
  <si>
    <t>FCACC-MA-NI-5-ANÁLI-CUA-D</t>
  </si>
  <si>
    <t>ANÁLISIS CUANTITATIVO DE LA INFORMACIÓN</t>
  </si>
  <si>
    <t xml:space="preserve">FCACC-MA-NI-5-MODEL-GES-DE </t>
  </si>
  <si>
    <t>MODELOS GESTIÓN DE INFORMACIÓN</t>
  </si>
  <si>
    <t xml:space="preserve">FCACC-MA-NI-5-CALID-TOT-DE </t>
  </si>
  <si>
    <t>CALIDAD TOTAL DE LA INFORMACIÓN</t>
  </si>
  <si>
    <t>FCACC-MA-NI-5-PRÁCT-PRE</t>
  </si>
  <si>
    <t>PRÁCTICAS PREPROFESIONALES II</t>
  </si>
  <si>
    <t>FCACC-MA-NI-6-ANÁLI-CUA-DE</t>
  </si>
  <si>
    <t>FCACC-MA-NI-6-ANÁLI-DE -MOD</t>
  </si>
  <si>
    <t>ANÁLISIS DE MODELOS INSTITUCIONALES EN LA GESTIÓN INFORMACIONAL</t>
  </si>
  <si>
    <t>FCACC-MA-NI-6-DISEÑ-Y E-EVA</t>
  </si>
  <si>
    <t xml:space="preserve">FCACC-MA-NI-6-SISTE-GES-DE </t>
  </si>
  <si>
    <t>FCACC-MA-NI-6-GESTI-DEL-CON</t>
  </si>
  <si>
    <t>FCACC-MA-NI-7-EVALU-DE -MOD</t>
  </si>
  <si>
    <t>EVALUACIÓN DE MODELOS DE GESTIÓN DE INFORMACIÓN</t>
  </si>
  <si>
    <t xml:space="preserve">FCACC-MA-NI-7-DECIS-MAK-IN </t>
  </si>
  <si>
    <t>DECISION MAKING IN MANAGEMENT</t>
  </si>
  <si>
    <t>FCACC-MA-NI-7-GESTI-DE -PRO</t>
  </si>
  <si>
    <t>GESTIÓN DE PROYECTOS</t>
  </si>
  <si>
    <t>FCACC-MA-NI-7-ENGLI-FOR-SPE</t>
  </si>
  <si>
    <t>ENGLISH FOR SPECIFIC PURPOSE I</t>
  </si>
  <si>
    <t>FCACC-MA-NI-8-EVALU-DE -PRO</t>
  </si>
  <si>
    <t>FCACC-MA-NI-8-INFOR-ARC</t>
  </si>
  <si>
    <t>FCACC-MA-NI-8-BUSIN- IN-INT</t>
  </si>
  <si>
    <t>BUSINESS  INTELLIGENCE</t>
  </si>
  <si>
    <t>FCACC-MA-NI-8-ENGLI-FOR-SPE</t>
  </si>
  <si>
    <t>FCACC-MA-NI-8-BUSIN-ENG</t>
  </si>
  <si>
    <t>FCACC-4-DO-TU-TI-NI-0-AD1 D-Dir-y T</t>
  </si>
  <si>
    <t>AD1 Dirección y Tutorias de Trabajos para la obtención del titulo de grado</t>
  </si>
  <si>
    <t>FCACC-1-DO-CL-NI-0-AD5 E-Ela-y c</t>
  </si>
  <si>
    <t>AD5 Elaboración y calificación de evaluaciones</t>
  </si>
  <si>
    <t xml:space="preserve">FCACC-1-DO-CL-NI-0-AD4 P-Pre-de </t>
  </si>
  <si>
    <t>AD4 Preparación de Clases</t>
  </si>
  <si>
    <t>FCACC-1-DO-CL-NI-0-AD6 O-Ori-a t</t>
  </si>
  <si>
    <t>AD6 Orientación a través de Tutorías</t>
  </si>
  <si>
    <t xml:space="preserve">FCACC-1-DO-CL-NI-0-AD8 P-Par-en </t>
  </si>
  <si>
    <t>AD8 Participación en colectivos académicos sobre docencia</t>
  </si>
  <si>
    <t>FCACC-5-DO-PE-IN-NI-0-AD3 U-Uso-ped</t>
  </si>
  <si>
    <t>AD3 Uso pedagógico de la investigación</t>
  </si>
  <si>
    <t>FCACC-6-IVN-NI-60-AI1 D-Dis-y d</t>
  </si>
  <si>
    <t>AI1 Diseño y dirección de proyectos de investigación</t>
  </si>
  <si>
    <t xml:space="preserve">FCACC-6-IVN-NI-60-AI3 D-Dif-de </t>
  </si>
  <si>
    <t>AI3 Difusión de resultados y beneficios sociales de la investigación.</t>
  </si>
  <si>
    <t xml:space="preserve">FCACC-6-IVN-NI-60-AI2 E-Eje-de </t>
  </si>
  <si>
    <t>AI2 Ejecución de proyectos de investigación, Básica, Aplicada a la tecnología</t>
  </si>
  <si>
    <t>FCACC-8-VI-SO-NI-80-AVS3 -Par-com</t>
  </si>
  <si>
    <t>AVS3 Participación como líder en proyectos sociales de vinculación con la sociedad</t>
  </si>
  <si>
    <t xml:space="preserve">FCACC-8-VI-SO-NI-80-AVS2 -Par-en </t>
  </si>
  <si>
    <t>AVS2 Participación en proyectos sociales de vinculación con la sociedad</t>
  </si>
  <si>
    <t xml:space="preserve">FCACC-9-GE_ED-NI-90-GPA8 -Mie-de </t>
  </si>
  <si>
    <t>GPA8 Miembro de Despacho Rectorado</t>
  </si>
  <si>
    <t>FCACC-9-GE_ED-NI-90-GPA36-Res-Bie</t>
  </si>
  <si>
    <t>GPA36 Responsable Bienestar</t>
  </si>
  <si>
    <t>FCACC-9-GE_ED-NI-90-GPA13-Pre-Com</t>
  </si>
  <si>
    <t>GPA13 Presidente Comisión de Vinculación</t>
  </si>
  <si>
    <t xml:space="preserve">FCACC-9-GE_ED-NI-90-GPA6 -Dir-de </t>
  </si>
  <si>
    <t>GPA6 Director/a de Carrera</t>
  </si>
  <si>
    <t>FCACC-9-GE_ED-NI-90-GPA14-Mie-Doc</t>
  </si>
  <si>
    <t>GPA14 Miembro Docente de Comisión Académica</t>
  </si>
  <si>
    <t>FCACC-9-GE_ED-NI-90-GPA5 -Dir-Aca</t>
  </si>
  <si>
    <t>GPA5 Director/a Académico</t>
  </si>
  <si>
    <t xml:space="preserve">FCACC-9-GE_ED-NI-90-GPA28-Mie-de </t>
  </si>
  <si>
    <t>GPA28 Miembro de Despacho Vicerrectorado Académico</t>
  </si>
  <si>
    <t xml:space="preserve">FCACC-9-GE_ED-NI-90-GPA45-Pre-de </t>
  </si>
  <si>
    <t>GPA45 Presidente de Comisión de Prácticas Preprofesionales</t>
  </si>
  <si>
    <t>FCACC-8-PRAC-NI-5-Práct-Lab-1 C</t>
  </si>
  <si>
    <t>FCACC-8-PRAC-NI-5-Práct-Lab-1 A</t>
  </si>
  <si>
    <t>FCACC-8-PRAC-NI-5-Práct-Lab-1 F</t>
  </si>
  <si>
    <t>FCACC-8-PRAC-NI-5-Práct-Pre</t>
  </si>
  <si>
    <t>FCACC-8-PRAC-NI-6-Práct-Lab-2 C</t>
  </si>
  <si>
    <t>FCACC-8-PRAC-NI-6-Práct-Lab-2 A</t>
  </si>
  <si>
    <t>FCACC-8-PRAC-NI-6-Práct-Lab-2 F</t>
  </si>
  <si>
    <t>FCACC-8-PRAC-NI-6-Práct-pre</t>
  </si>
  <si>
    <t>FCACC-8-TITU-NI-7-Traba-de -int</t>
  </si>
  <si>
    <t>FCACC-8-TITU-NI-8-Traba-de -int</t>
  </si>
  <si>
    <t>ID_DDETALLADO</t>
  </si>
  <si>
    <t>CAMPO_DETALLADO</t>
  </si>
  <si>
    <t>F-C-D-ADM</t>
  </si>
  <si>
    <t>F-C-D-ADM-EN -E-C</t>
  </si>
  <si>
    <t>ADMINISTRACIÓN EN E-COMMERCE</t>
  </si>
  <si>
    <t>F-C-D-AUD-DE -TEC</t>
  </si>
  <si>
    <t>AUDITORÍA DE TECNOLOGÍAS</t>
  </si>
  <si>
    <t>F-C-D-BIB-DOC</t>
  </si>
  <si>
    <t>BIBLIOTECOLOGÍA, DOCUMENTACIÓN Y ARCHIVOLOGÍA</t>
  </si>
  <si>
    <t>F-C-D-CIE-COM</t>
  </si>
  <si>
    <t>CIENCIAS COMPUTACIONALES</t>
  </si>
  <si>
    <t>F-C-D-CIE-DEL-MED</t>
  </si>
  <si>
    <t>CIENCIAS DEL MEDIO AMBIENTE</t>
  </si>
  <si>
    <t>F-C-D-CIE-POL</t>
  </si>
  <si>
    <t>CIENCIAS POLÍTICAS</t>
  </si>
  <si>
    <t>F-C-D-COM</t>
  </si>
  <si>
    <t>F-C-D-COM-Y N-NEG</t>
  </si>
  <si>
    <t>COMERCIO Y NEGOCIOS INTERNACIONAL</t>
  </si>
  <si>
    <t>F-C-D-COM-LAB</t>
  </si>
  <si>
    <t>F-C-D-CON-Y A-AUD</t>
  </si>
  <si>
    <t>F-C-D-DER</t>
  </si>
  <si>
    <t>F-C-D-DER-HUM</t>
  </si>
  <si>
    <t>F-C-D-DIS-Y A-ADM</t>
  </si>
  <si>
    <t>DISEÑO Y ADMINISTRACIÓN DE REDES Y BASES DE DATOS</t>
  </si>
  <si>
    <t>F-C-D-ECO</t>
  </si>
  <si>
    <t>ECONOMÍA</t>
  </si>
  <si>
    <t>F-C-D-ECO-MAT</t>
  </si>
  <si>
    <t>ECONOMÍA MATEMÁTICA</t>
  </si>
  <si>
    <t>F-C-D-GES-DE -INF</t>
  </si>
  <si>
    <t>F-C-D-GES-FIN</t>
  </si>
  <si>
    <t>F-C-D-IDI</t>
  </si>
  <si>
    <t>IDIOMAS</t>
  </si>
  <si>
    <t>F-C-D-INF-GER</t>
  </si>
  <si>
    <t>INFORMACIÓN GERENCIAL</t>
  </si>
  <si>
    <t>F-C-D-INN-TEC-</t>
  </si>
  <si>
    <t>INNOVACIÓN TECNOLÓGICA EN LOS NEGOCIOS</t>
  </si>
  <si>
    <t>F-C-D-MAR-Y P-PUB</t>
  </si>
  <si>
    <t>F-C-D-MED-AMB</t>
  </si>
  <si>
    <t>MEDIO AMBIENTE</t>
  </si>
  <si>
    <t>F-C-D-NEG-INT</t>
  </si>
  <si>
    <t>F-C-D-SEG-Y S-SAL</t>
  </si>
  <si>
    <t>F-C-D-SIS-DE -INF</t>
  </si>
  <si>
    <t>F-C-D-UNI-BAS</t>
  </si>
  <si>
    <t>F-C-D-ACT</t>
  </si>
  <si>
    <t>F-C-D-DES-Y A-ANÁ</t>
  </si>
  <si>
    <t>DESARROLLO Y ANÁLISIS DE SOFTWARE Y APLICACIONES</t>
  </si>
  <si>
    <t xml:space="preserve">F-C-D-CIE-DE -LA </t>
  </si>
  <si>
    <t>CIENCIAS DE LA EDUCACIÓN</t>
  </si>
  <si>
    <t>F-C-D-FOR-PAR-DOC</t>
  </si>
  <si>
    <t>FORMACIÓN PARA DOCENTES CON ASIGNATURAS DE ESPECIALIZACIÓN</t>
  </si>
  <si>
    <t>F-C-D-GES-AMB</t>
  </si>
  <si>
    <t xml:space="preserve">F-C-D-GES-DE -LA </t>
  </si>
  <si>
    <t>GESTIÓN DE LA CIENCIA Y LA TECNOLOGÍA</t>
  </si>
  <si>
    <t>F-C-D-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</si>
</sst>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AF48954C-08B0-4B59-A5E3-E4CE13A14A80}" autoFormatId="16" applyNumberFormats="0" applyBorderFormats="0" applyFontFormats="0" applyPatternFormats="0" applyAlignmentFormats="0" applyWidthHeightFormats="0">
  <queryTableRefresh nextId="15">
    <queryTableFields count="7">
      <queryTableField id="6" name="ID_CARRERA" tableColumnId="6"/>
      <queryTableField id="7" name="NOMBRE_CARRERA" tableColumnId="7"/>
      <queryTableField id="13" name="SEMANAS" tableColumnId="2"/>
      <queryTableField id="11" name="TOTAL HORAS" tableColumnId="1"/>
      <queryTableField id="8" name="FECHA_INICIO" tableColumnId="8"/>
      <queryTableField id="9" name="FECHA_FIN" tableColumnId="9"/>
      <queryTableField id="10" name="ESTADO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7A1F835-C1E4-40A7-BB43-3D5DC110E328}" autoFormatId="16" applyNumberFormats="0" applyBorderFormats="0" applyFontFormats="0" applyPatternFormats="0" applyAlignmentFormats="0" applyWidthHeightFormats="0">
  <queryTableRefresh nextId="9">
    <queryTableFields count="7">
      <queryTableField id="1" name="ID_ASIG" tableColumnId="1"/>
      <queryTableField id="2" name="NOM_ASIG" tableColumnId="2"/>
      <queryTableField id="3" name="HORAS" tableColumnId="3"/>
      <queryTableField id="7" name="semanas" tableColumnId="7"/>
      <queryTableField id="4" name="ID_CARRERA" tableColumnId="4"/>
      <queryTableField id="5" name="NOMBRE_CARRERA" tableColumnId="5"/>
      <queryTableField id="6" name="ID_NIVEL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D3657C77-D81A-46EA-B3E4-CE08C9CBCBB8}" autoFormatId="16" applyNumberFormats="0" applyBorderFormats="0" applyFontFormats="0" applyPatternFormats="0" applyAlignmentFormats="0" applyWidthHeightFormats="0">
  <queryTableRefresh nextId="3">
    <queryTableFields count="2">
      <queryTableField id="1" name="ID_DDETALLADO" tableColumnId="1"/>
      <queryTableField id="2" name="CAMPO_DETALLADO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AEEAC3-8ACC-407E-8C7A-47E87053AD96}" name="TAB_H_ASIG_CON_DET" displayName="TAB_H_ASIG_CON_DET" ref="A1:H584" totalsRowShown="0">
  <autoFilter ref="A1:H584" xr:uid="{16AEEAC3-8ACC-407E-8C7A-47E87053AD96}"/>
  <tableColumns count="8">
    <tableColumn id="6" xr3:uid="{5C6B7E6B-A0EF-4C8F-B164-6B4D0C1ABAA7}" name="ID_ASIG_CAM_DET"/>
    <tableColumn id="7" xr3:uid="{91E6DA89-FCB5-458C-BC41-812DC6F17E0C}" name="ID_CARRERA"/>
    <tableColumn id="1" xr3:uid="{554ABDA3-EC74-42A4-B6ED-37A2B310FE3D}" name="NOMBRE_CARRERA" dataDxfId="13">
      <calculatedColumnFormula>_xlfn.XLOOKUP(TAB_H_ASIG_CON_DET[[#This Row],[ID_CARRERA]],MAE_CARRERA[ID_CARRERA],MAE_CARRERA[NOMBRE_CARRERA],"Seleccione ID Carrera")</calculatedColumnFormula>
    </tableColumn>
    <tableColumn id="2" xr3:uid="{BFB418FB-D65E-46F9-BB27-4DBF20983F1F}" name="NIVEL"/>
    <tableColumn id="3" xr3:uid="{FE814E10-DBC1-4879-BA0E-EF6C5019A86A}" name="ASIGNATURA"/>
    <tableColumn id="9" xr3:uid="{32DF0565-B245-46AD-9615-A1715EB784C8}" name="ID_ASIG" dataDxfId="12">
      <calculatedColumnFormula>_xlfn.XLOOKUP(TAB_H_ASIG_CON_DET[[#This Row],[ASIGNATURA]],MAE_ASIGNATURA[NOM_ASIG],MAE_ASIGNATURA[ID_ASIG],"Seleccione Asignatura")</calculatedColumnFormula>
    </tableColumn>
    <tableColumn id="4" xr3:uid="{E824A3C7-D04A-4966-9A70-D14B9898BE49}" name="DETALLADO"/>
    <tableColumn id="5" xr3:uid="{6466764E-2E1F-4575-8409-AB062CE7E4CC}" name="ID_DETALLADO" dataDxfId="11">
      <calculatedColumnFormula>_xlfn.XLOOKUP(TAB_H_ASIG_CON_DET[[#This Row],[DETALLADO]],MAE_CONOCIMIENTO[CAMPO_DETALLADO],MAE_CONOCIMIENTO[ID_DDETALLADO],"Seleccione Campo Detallado")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F19DB4-B7D4-4D50-A852-2D4C62844D20}" name="MAE_CARRERA" displayName="MAE_CARRERA" ref="A1:G18" tableType="queryTable" totalsRowShown="0">
  <autoFilter ref="A1:G18" xr:uid="{92F19DB4-B7D4-4D50-A852-2D4C62844D20}"/>
  <tableColumns count="7">
    <tableColumn id="6" xr3:uid="{5EEA74B8-ACC0-483D-BCAC-B81B40DD54B0}" uniqueName="6" name="ID_CARRERA" queryTableFieldId="6" dataDxfId="10"/>
    <tableColumn id="7" xr3:uid="{8D9C8548-0614-4175-95CF-268835D12BE3}" uniqueName="7" name="NOMBRE_CARRERA" queryTableFieldId="7" dataDxfId="9"/>
    <tableColumn id="2" xr3:uid="{F4BBE2B9-5C20-4C2B-A0F7-DEECF805E269}" uniqueName="2" name="SEMANAS" queryTableFieldId="13"/>
    <tableColumn id="1" xr3:uid="{AA34DAC0-C4D8-4F4F-977D-31BDAA614A57}" uniqueName="1" name="TOTAL HORAS" queryTableFieldId="11"/>
    <tableColumn id="8" xr3:uid="{67FCD595-5692-42F8-B5D3-E8F2A824570E}" uniqueName="8" name="FECHA_INICIO" queryTableFieldId="8" dataDxfId="8"/>
    <tableColumn id="9" xr3:uid="{EB9B1874-7C2C-4CE1-8FB9-8A5D6060D1ED}" uniqueName="9" name="FECHA_FIN" queryTableFieldId="9" dataDxfId="7"/>
    <tableColumn id="10" xr3:uid="{0350A721-BDD4-42D4-BB20-B47A77AE920F}" uniqueName="10" name="ESTADO" queryTableFieldId="10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D1BC23-03BD-4ACA-BD9E-54AB0FF457FD}" name="MAE_ASIGNATURA" displayName="MAE_ASIGNATURA" ref="A1:G353" tableType="queryTable" totalsRowShown="0">
  <autoFilter ref="A1:G353" xr:uid="{5AD1BC23-03BD-4ACA-BD9E-54AB0FF457FD}"/>
  <tableColumns count="7">
    <tableColumn id="1" xr3:uid="{08C84EA6-0303-4320-B639-DFFF20776D4F}" uniqueName="1" name="ID_ASIG" queryTableFieldId="1" dataDxfId="5"/>
    <tableColumn id="2" xr3:uid="{4E28F16B-2BA1-44CE-93ED-7DC9F0D29CAB}" uniqueName="2" name="NOM_ASIG" queryTableFieldId="2" dataDxfId="4"/>
    <tableColumn id="3" xr3:uid="{D25830AD-3FC7-4923-B5FD-2DB46DCE6322}" uniqueName="3" name="HORAS" queryTableFieldId="3"/>
    <tableColumn id="7" xr3:uid="{DC0A8F70-447E-47F7-ABAD-31768C96C81C}" uniqueName="7" name="semanas" queryTableFieldId="7"/>
    <tableColumn id="4" xr3:uid="{028A9947-7857-4285-8668-7E74633C81EE}" uniqueName="4" name="ID_CARRERA" queryTableFieldId="4" dataDxfId="3"/>
    <tableColumn id="5" xr3:uid="{012ED78E-381A-4AFE-A5AE-095FC2318B05}" uniqueName="5" name="NOMBRE_CARRERA" queryTableFieldId="5" dataDxfId="2"/>
    <tableColumn id="6" xr3:uid="{ADB1EA09-140E-4556-8904-1C145AC04EA4}" uniqueName="6" name="ID_NIVEL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D25E7F-284E-4841-ADF7-E31584C7F95E}" name="MAE_CONOCIMIENTO" displayName="MAE_CONOCIMIENTO" ref="A1:B44" tableType="queryTable" totalsRowShown="0">
  <autoFilter ref="A1:B44" xr:uid="{D5D25E7F-284E-4841-ADF7-E31584C7F95E}"/>
  <tableColumns count="2">
    <tableColumn id="1" xr3:uid="{BCE3D25E-BBCB-4A45-B12A-F21D5445A18C}" uniqueName="1" name="ID_DDETALLADO" queryTableFieldId="1" dataDxfId="1"/>
    <tableColumn id="2" xr3:uid="{9B37F6E6-CE1C-420A-8B5F-174820202B6D}" uniqueName="2" name="CAMPO_DETALLADO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4"/>
  <sheetViews>
    <sheetView tabSelected="1" topLeftCell="A241" zoomScale="85" zoomScaleNormal="85" workbookViewId="0">
      <selection activeCell="C252" sqref="C252"/>
    </sheetView>
  </sheetViews>
  <sheetFormatPr defaultColWidth="9.140625" defaultRowHeight="15"/>
  <cols>
    <col min="1" max="1" width="9" customWidth="1"/>
    <col min="2" max="2" width="17.5703125" customWidth="1"/>
    <col min="3" max="3" width="36.140625" customWidth="1"/>
    <col min="4" max="4" width="6.140625" customWidth="1"/>
    <col min="5" max="6" width="49.140625" customWidth="1"/>
    <col min="7" max="8" width="31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tr">
        <f>_xlfn.XLOOKUP(TAB_H_ASIG_CON_DET[[#This Row],[ID_CARRERA]],MAE_CARRERA[ID_CARRERA],MAE_CARRERA[NOMBRE_CARRERA],"Seleccione ID Carrera")</f>
        <v>CONTABILIDAD Y AUDITORÍA 2024 NS</v>
      </c>
      <c r="D2">
        <v>1</v>
      </c>
      <c r="E2" t="s">
        <v>9</v>
      </c>
      <c r="F2" t="str">
        <f>_xlfn.XLOOKUP(TAB_H_ASIG_CON_DET[[#This Row],[ASIGNATURA]],MAE_ASIGNATURA[NOM_ASIG],MAE_ASIGNATURA[ID_ASIG],"Seleccione Asignatura")</f>
        <v>FCACC-CO-EX-NI-1-MATEM</v>
      </c>
      <c r="G2" t="s">
        <v>10</v>
      </c>
      <c r="H2" t="str">
        <f>_xlfn.XLOOKUP(TAB_H_ASIG_CON_DET[[#This Row],[DETALLADO]],MAE_CONOCIMIENTO[CAMPO_DETALLADO],MAE_CONOCIMIENTO[ID_DDETALLADO],"Seleccione Campo Detallado")</f>
        <v>F-C-D-UNI-BAS</v>
      </c>
    </row>
    <row r="3" spans="1:8">
      <c r="A3">
        <v>2</v>
      </c>
      <c r="B3" t="s">
        <v>8</v>
      </c>
      <c r="C3" t="str">
        <f>_xlfn.XLOOKUP(TAB_H_ASIG_CON_DET[[#This Row],[ID_CARRERA]],MAE_CARRERA[ID_CARRERA],MAE_CARRERA[NOMBRE_CARRERA],"Seleccione ID Carrera")</f>
        <v>CONTABILIDAD Y AUDITORÍA 2024 NS</v>
      </c>
      <c r="D3">
        <v>1</v>
      </c>
      <c r="E3" t="s">
        <v>11</v>
      </c>
      <c r="F3" t="str">
        <f>_xlfn.XLOOKUP(TAB_H_ASIG_CON_DET[[#This Row],[ASIGNATURA]],MAE_ASIGNATURA[NOM_ASIG],MAE_ASIGNATURA[ID_ASIG],"Seleccione Asignatura")</f>
        <v>FCACC-CO-AD-NI-1-CONTA-BÁS</v>
      </c>
      <c r="G3" t="s">
        <v>10</v>
      </c>
      <c r="H3" t="str">
        <f>_xlfn.XLOOKUP(TAB_H_ASIG_CON_DET[[#This Row],[DETALLADO]],MAE_CONOCIMIENTO[CAMPO_DETALLADO],MAE_CONOCIMIENTO[ID_DDETALLADO],"Seleccione Campo Detallado")</f>
        <v>F-C-D-UNI-BAS</v>
      </c>
    </row>
    <row r="4" spans="1:8">
      <c r="A4">
        <v>3</v>
      </c>
      <c r="B4" t="s">
        <v>8</v>
      </c>
      <c r="C4" t="str">
        <f>_xlfn.XLOOKUP(TAB_H_ASIG_CON_DET[[#This Row],[ID_CARRERA]],MAE_CARRERA[ID_CARRERA],MAE_CARRERA[NOMBRE_CARRERA],"Seleccione ID Carrera")</f>
        <v>CONTABILIDAD Y AUDITORÍA 2024 NS</v>
      </c>
      <c r="D4">
        <v>1</v>
      </c>
      <c r="E4" t="s">
        <v>12</v>
      </c>
      <c r="F4" t="str">
        <f>_xlfn.XLOOKUP(TAB_H_ASIG_CON_DET[[#This Row],[ASIGNATURA]],MAE_ASIGNATURA[NOM_ASIG],MAE_ASIGNATURA[ID_ASIG],"Seleccione Asignatura")</f>
        <v xml:space="preserve">FCACC-AD-EM-NI-1-METOD-DE -LA </v>
      </c>
      <c r="G4" t="s">
        <v>10</v>
      </c>
      <c r="H4" t="str">
        <f>_xlfn.XLOOKUP(TAB_H_ASIG_CON_DET[[#This Row],[DETALLADO]],MAE_CONOCIMIENTO[CAMPO_DETALLADO],MAE_CONOCIMIENTO[ID_DDETALLADO],"Seleccione Campo Detallado")</f>
        <v>F-C-D-UNI-BAS</v>
      </c>
    </row>
    <row r="5" spans="1:8">
      <c r="A5">
        <v>4</v>
      </c>
      <c r="B5" t="s">
        <v>8</v>
      </c>
      <c r="C5" t="str">
        <f>_xlfn.XLOOKUP(TAB_H_ASIG_CON_DET[[#This Row],[ID_CARRERA]],MAE_CARRERA[ID_CARRERA],MAE_CARRERA[NOMBRE_CARRERA],"Seleccione ID Carrera")</f>
        <v>CONTABILIDAD Y AUDITORÍA 2024 NS</v>
      </c>
      <c r="D5">
        <v>1</v>
      </c>
      <c r="E5" t="s">
        <v>13</v>
      </c>
      <c r="F5" t="str">
        <f>_xlfn.XLOOKUP(TAB_H_ASIG_CON_DET[[#This Row],[ASIGNATURA]],MAE_ASIGNATURA[NOM_ASIG],MAE_ASIGNATURA[ID_ASIG],"Seleccione Asignatura")</f>
        <v>FCACC-CO-AD-NI-1-ADMIN</v>
      </c>
      <c r="G5" t="s">
        <v>10</v>
      </c>
      <c r="H5" t="str">
        <f>_xlfn.XLOOKUP(TAB_H_ASIG_CON_DET[[#This Row],[DETALLADO]],MAE_CONOCIMIENTO[CAMPO_DETALLADO],MAE_CONOCIMIENTO[ID_DDETALLADO],"Seleccione Campo Detallado")</f>
        <v>F-C-D-UNI-BAS</v>
      </c>
    </row>
    <row r="6" spans="1:8">
      <c r="A6">
        <v>5</v>
      </c>
      <c r="B6" t="s">
        <v>8</v>
      </c>
      <c r="C6" t="str">
        <f>_xlfn.XLOOKUP(TAB_H_ASIG_CON_DET[[#This Row],[ID_CARRERA]],MAE_CARRERA[ID_CARRERA],MAE_CARRERA[NOMBRE_CARRERA],"Seleccione ID Carrera")</f>
        <v>CONTABILIDAD Y AUDITORÍA 2024 NS</v>
      </c>
      <c r="D6">
        <v>1</v>
      </c>
      <c r="E6" t="s">
        <v>14</v>
      </c>
      <c r="F6" t="str">
        <f>_xlfn.XLOOKUP(TAB_H_ASIG_CON_DET[[#This Row],[ASIGNATURA]],MAE_ASIGNATURA[NOM_ASIG],MAE_ASIGNATURA[ID_ASIG],"Seleccione Asignatura")</f>
        <v>FCACC-AD-EM-NI-2-MACRO</v>
      </c>
      <c r="G6" t="s">
        <v>10</v>
      </c>
      <c r="H6" t="str">
        <f>_xlfn.XLOOKUP(TAB_H_ASIG_CON_DET[[#This Row],[DETALLADO]],MAE_CONOCIMIENTO[CAMPO_DETALLADO],MAE_CONOCIMIENTO[ID_DDETALLADO],"Seleccione Campo Detallado")</f>
        <v>F-C-D-UNI-BAS</v>
      </c>
    </row>
    <row r="7" spans="1:8">
      <c r="A7">
        <v>6</v>
      </c>
      <c r="B7" t="s">
        <v>8</v>
      </c>
      <c r="C7" t="str">
        <f>_xlfn.XLOOKUP(TAB_H_ASIG_CON_DET[[#This Row],[ID_CARRERA]],MAE_CARRERA[ID_CARRERA],MAE_CARRERA[NOMBRE_CARRERA],"Seleccione ID Carrera")</f>
        <v>CONTABILIDAD Y AUDITORÍA 2024 NS</v>
      </c>
      <c r="D7">
        <v>2</v>
      </c>
      <c r="E7" t="s">
        <v>15</v>
      </c>
      <c r="F7" t="str">
        <f>_xlfn.XLOOKUP(TAB_H_ASIG_CON_DET[[#This Row],[ASIGNATURA]],MAE_ASIGNATURA[NOM_ASIG],MAE_ASIGNATURA[ID_ASIG],"Seleccione Asignatura")</f>
        <v>FCACC-AU-CO-GE-NI-2-LEGIS-LAB</v>
      </c>
      <c r="G7" t="s">
        <v>10</v>
      </c>
      <c r="H7" t="str">
        <f>_xlfn.XLOOKUP(TAB_H_ASIG_CON_DET[[#This Row],[DETALLADO]],MAE_CONOCIMIENTO[CAMPO_DETALLADO],MAE_CONOCIMIENTO[ID_DDETALLADO],"Seleccione Campo Detallado")</f>
        <v>F-C-D-UNI-BAS</v>
      </c>
    </row>
    <row r="8" spans="1:8">
      <c r="A8">
        <v>7</v>
      </c>
      <c r="B8" t="s">
        <v>8</v>
      </c>
      <c r="C8" t="str">
        <f>_xlfn.XLOOKUP(TAB_H_ASIG_CON_DET[[#This Row],[ID_CARRERA]],MAE_CARRERA[ID_CARRERA],MAE_CARRERA[NOMBRE_CARRERA],"Seleccione ID Carrera")</f>
        <v>CONTABILIDAD Y AUDITORÍA 2024 NS</v>
      </c>
      <c r="D8">
        <v>2</v>
      </c>
      <c r="E8" t="s">
        <v>16</v>
      </c>
      <c r="F8" t="str">
        <f>_xlfn.XLOOKUP(TAB_H_ASIG_CON_DET[[#This Row],[ASIGNATURA]],MAE_ASIGNATURA[NOM_ASIG],MAE_ASIGNATURA[ID_ASIG],"Seleccione Asignatura")</f>
        <v>FCACC-CO-AD-NI-2-LEGIS-MER-Y</v>
      </c>
      <c r="G8" t="s">
        <v>10</v>
      </c>
      <c r="H8" t="str">
        <f>_xlfn.XLOOKUP(TAB_H_ASIG_CON_DET[[#This Row],[DETALLADO]],MAE_CONOCIMIENTO[CAMPO_DETALLADO],MAE_CONOCIMIENTO[ID_DDETALLADO],"Seleccione Campo Detallado")</f>
        <v>F-C-D-UNI-BAS</v>
      </c>
    </row>
    <row r="9" spans="1:8">
      <c r="A9">
        <v>8</v>
      </c>
      <c r="B9" t="s">
        <v>8</v>
      </c>
      <c r="C9" t="str">
        <f>_xlfn.XLOOKUP(TAB_H_ASIG_CON_DET[[#This Row],[ID_CARRERA]],MAE_CARRERA[ID_CARRERA],MAE_CARRERA[NOMBRE_CARRERA],"Seleccione ID Carrera")</f>
        <v>CONTABILIDAD Y AUDITORÍA 2024 NS</v>
      </c>
      <c r="D9">
        <v>2</v>
      </c>
      <c r="E9" t="s">
        <v>17</v>
      </c>
      <c r="F9" t="str">
        <f>_xlfn.XLOOKUP(TAB_H_ASIG_CON_DET[[#This Row],[ASIGNATURA]],MAE_ASIGNATURA[NOM_ASIG],MAE_ASIGNATURA[ID_ASIG],"Seleccione Asignatura")</f>
        <v>FCACC-CO-AD-NI-2-CONTA-INT</v>
      </c>
      <c r="G9" t="s">
        <v>10</v>
      </c>
      <c r="H9" t="str">
        <f>_xlfn.XLOOKUP(TAB_H_ASIG_CON_DET[[#This Row],[DETALLADO]],MAE_CONOCIMIENTO[CAMPO_DETALLADO],MAE_CONOCIMIENTO[ID_DDETALLADO],"Seleccione Campo Detallado")</f>
        <v>F-C-D-UNI-BAS</v>
      </c>
    </row>
    <row r="10" spans="1:8">
      <c r="A10">
        <v>9</v>
      </c>
      <c r="B10" t="s">
        <v>8</v>
      </c>
      <c r="C10" t="str">
        <f>_xlfn.XLOOKUP(TAB_H_ASIG_CON_DET[[#This Row],[ID_CARRERA]],MAE_CARRERA[ID_CARRERA],MAE_CARRERA[NOMBRE_CARRERA],"Seleccione ID Carrera")</f>
        <v>CONTABILIDAD Y AUDITORÍA 2024 NS</v>
      </c>
      <c r="D10">
        <v>2</v>
      </c>
      <c r="E10" t="s">
        <v>18</v>
      </c>
      <c r="F10" t="str">
        <f>_xlfn.XLOOKUP(TAB_H_ASIG_CON_DET[[#This Row],[ASIGNATURA]],MAE_ASIGNATURA[NOM_ASIG],MAE_ASIGNATURA[ID_ASIG],"Seleccione Asignatura")</f>
        <v>FCACC-AD-EM-NI-2-MATEM-FIN</v>
      </c>
      <c r="G10" t="s">
        <v>10</v>
      </c>
      <c r="H10" t="str">
        <f>_xlfn.XLOOKUP(TAB_H_ASIG_CON_DET[[#This Row],[DETALLADO]],MAE_CONOCIMIENTO[CAMPO_DETALLADO],MAE_CONOCIMIENTO[ID_DDETALLADO],"Seleccione Campo Detallado")</f>
        <v>F-C-D-UNI-BAS</v>
      </c>
    </row>
    <row r="11" spans="1:8">
      <c r="A11">
        <v>10</v>
      </c>
      <c r="B11" t="s">
        <v>8</v>
      </c>
      <c r="C11" t="str">
        <f>_xlfn.XLOOKUP(TAB_H_ASIG_CON_DET[[#This Row],[ID_CARRERA]],MAE_CARRERA[ID_CARRERA],MAE_CARRERA[NOMBRE_CARRERA],"Seleccione ID Carrera")</f>
        <v>CONTABILIDAD Y AUDITORÍA 2024 NS</v>
      </c>
      <c r="D11">
        <v>2</v>
      </c>
      <c r="E11" t="s">
        <v>19</v>
      </c>
      <c r="F11" t="str">
        <f>_xlfn.XLOOKUP(TAB_H_ASIG_CON_DET[[#This Row],[ASIGNATURA]],MAE_ASIGNATURA[NOM_ASIG],MAE_ASIGNATURA[ID_ASIG],"Seleccione Asignatura")</f>
        <v>FCACC-AU-CO-GE-NI-1-ESTAD-DES</v>
      </c>
      <c r="G11" t="s">
        <v>10</v>
      </c>
      <c r="H11" t="str">
        <f>_xlfn.XLOOKUP(TAB_H_ASIG_CON_DET[[#This Row],[DETALLADO]],MAE_CONOCIMIENTO[CAMPO_DETALLADO],MAE_CONOCIMIENTO[ID_DDETALLADO],"Seleccione Campo Detallado")</f>
        <v>F-C-D-UNI-BAS</v>
      </c>
    </row>
    <row r="12" spans="1:8">
      <c r="A12">
        <v>11</v>
      </c>
      <c r="B12" t="s">
        <v>8</v>
      </c>
      <c r="C12" t="str">
        <f>_xlfn.XLOOKUP(TAB_H_ASIG_CON_DET[[#This Row],[ID_CARRERA]],MAE_CARRERA[ID_CARRERA],MAE_CARRERA[NOMBRE_CARRERA],"Seleccione ID Carrera")</f>
        <v>CONTABILIDAD Y AUDITORÍA 2024 NS</v>
      </c>
      <c r="D12">
        <v>3</v>
      </c>
      <c r="E12" t="s">
        <v>20</v>
      </c>
      <c r="F12" t="str">
        <f>_xlfn.XLOOKUP(TAB_H_ASIG_CON_DET[[#This Row],[ASIGNATURA]],MAE_ASIGNATURA[NOM_ASIG],MAE_ASIGNATURA[ID_ASIG],"Seleccione Asignatura")</f>
        <v>FCACC-CO-AD-NI-3-ESTAD-APL</v>
      </c>
      <c r="G12" t="s">
        <v>10</v>
      </c>
      <c r="H12" t="str">
        <f>_xlfn.XLOOKUP(TAB_H_ASIG_CON_DET[[#This Row],[DETALLADO]],MAE_CONOCIMIENTO[CAMPO_DETALLADO],MAE_CONOCIMIENTO[ID_DDETALLADO],"Seleccione Campo Detallado")</f>
        <v>F-C-D-UNI-BAS</v>
      </c>
    </row>
    <row r="13" spans="1:8">
      <c r="A13">
        <v>12</v>
      </c>
      <c r="B13" t="s">
        <v>8</v>
      </c>
      <c r="C13" t="str">
        <f>_xlfn.XLOOKUP(TAB_H_ASIG_CON_DET[[#This Row],[ID_CARRERA]],MAE_CARRERA[ID_CARRERA],MAE_CARRERA[NOMBRE_CARRERA],"Seleccione ID Carrera")</f>
        <v>CONTABILIDAD Y AUDITORÍA 2024 NS</v>
      </c>
      <c r="D13">
        <v>3</v>
      </c>
      <c r="E13" t="s">
        <v>21</v>
      </c>
      <c r="F13" t="str">
        <f>_xlfn.XLOOKUP(TAB_H_ASIG_CON_DET[[#This Row],[ASIGNATURA]],MAE_ASIGNATURA[NOM_ASIG],MAE_ASIGNATURA[ID_ASIG],"Seleccione Asignatura")</f>
        <v>FCACC-CO-AD-NI-3-CONTA-AVA</v>
      </c>
      <c r="G13" t="s">
        <v>10</v>
      </c>
      <c r="H13" t="str">
        <f>_xlfn.XLOOKUP(TAB_H_ASIG_CON_DET[[#This Row],[DETALLADO]],MAE_CONOCIMIENTO[CAMPO_DETALLADO],MAE_CONOCIMIENTO[ID_DDETALLADO],"Seleccione Campo Detallado")</f>
        <v>F-C-D-UNI-BAS</v>
      </c>
    </row>
    <row r="14" spans="1:8">
      <c r="A14">
        <v>13</v>
      </c>
      <c r="B14" t="s">
        <v>8</v>
      </c>
      <c r="C14" t="str">
        <f>_xlfn.XLOOKUP(TAB_H_ASIG_CON_DET[[#This Row],[ID_CARRERA]],MAE_CARRERA[ID_CARRERA],MAE_CARRERA[NOMBRE_CARRERA],"Seleccione ID Carrera")</f>
        <v>CONTABILIDAD Y AUDITORÍA 2024 NS</v>
      </c>
      <c r="D14">
        <v>3</v>
      </c>
      <c r="E14" t="s">
        <v>22</v>
      </c>
      <c r="F14" t="str">
        <f>_xlfn.XLOOKUP(TAB_H_ASIG_CON_DET[[#This Row],[ASIGNATURA]],MAE_ASIGNATURA[NOM_ASIG],MAE_ASIGNATURA[ID_ASIG],"Seleccione Asignatura")</f>
        <v>FCACC-CO-AD-NI-3-PROCE-Y C-CON</v>
      </c>
      <c r="G14" t="s">
        <v>10</v>
      </c>
      <c r="H14" t="str">
        <f>_xlfn.XLOOKUP(TAB_H_ASIG_CON_DET[[#This Row],[DETALLADO]],MAE_CONOCIMIENTO[CAMPO_DETALLADO],MAE_CONOCIMIENTO[ID_DDETALLADO],"Seleccione Campo Detallado")</f>
        <v>F-C-D-UNI-BAS</v>
      </c>
    </row>
    <row r="15" spans="1:8">
      <c r="A15">
        <v>14</v>
      </c>
      <c r="B15" t="s">
        <v>8</v>
      </c>
      <c r="C15" t="str">
        <f>_xlfn.XLOOKUP(TAB_H_ASIG_CON_DET[[#This Row],[ID_CARRERA]],MAE_CARRERA[ID_CARRERA],MAE_CARRERA[NOMBRE_CARRERA],"Seleccione ID Carrera")</f>
        <v>CONTABILIDAD Y AUDITORÍA 2024 NS</v>
      </c>
      <c r="D15">
        <v>3</v>
      </c>
      <c r="E15" t="s">
        <v>23</v>
      </c>
      <c r="F15" t="str">
        <f>_xlfn.XLOOKUP(TAB_H_ASIG_CON_DET[[#This Row],[ASIGNATURA]],MAE_ASIGNATURA[NOM_ASIG],MAE_ASIGNATURA[ID_ASIG],"Seleccione Asignatura")</f>
        <v>FCACC-CO-AD-NI-3-SISTE-CON</v>
      </c>
      <c r="G15" t="s">
        <v>10</v>
      </c>
      <c r="H15" t="str">
        <f>_xlfn.XLOOKUP(TAB_H_ASIG_CON_DET[[#This Row],[DETALLADO]],MAE_CONOCIMIENTO[CAMPO_DETALLADO],MAE_CONOCIMIENTO[ID_DDETALLADO],"Seleccione Campo Detallado")</f>
        <v>F-C-D-UNI-BAS</v>
      </c>
    </row>
    <row r="16" spans="1:8">
      <c r="A16">
        <v>15</v>
      </c>
      <c r="B16" t="s">
        <v>8</v>
      </c>
      <c r="C16" t="str">
        <f>_xlfn.XLOOKUP(TAB_H_ASIG_CON_DET[[#This Row],[ID_CARRERA]],MAE_CARRERA[ID_CARRERA],MAE_CARRERA[NOMBRE_CARRERA],"Seleccione ID Carrera")</f>
        <v>CONTABILIDAD Y AUDITORÍA 2024 NS</v>
      </c>
      <c r="D16">
        <v>3</v>
      </c>
      <c r="E16" t="s">
        <v>24</v>
      </c>
      <c r="F16" t="str">
        <f>_xlfn.XLOOKUP(TAB_H_ASIG_CON_DET[[#This Row],[ASIGNATURA]],MAE_ASIGNATURA[NOM_ASIG],MAE_ASIGNATURA[ID_ASIG],"Seleccione Asignatura")</f>
        <v>FCACC-CO-AD-NI-3-FUNDA-DE -AUD</v>
      </c>
      <c r="G16" t="s">
        <v>10</v>
      </c>
      <c r="H16" t="str">
        <f>_xlfn.XLOOKUP(TAB_H_ASIG_CON_DET[[#This Row],[DETALLADO]],MAE_CONOCIMIENTO[CAMPO_DETALLADO],MAE_CONOCIMIENTO[ID_DDETALLADO],"Seleccione Campo Detallado")</f>
        <v>F-C-D-UNI-BAS</v>
      </c>
    </row>
    <row r="17" spans="1:8">
      <c r="A17">
        <v>31</v>
      </c>
      <c r="B17" t="s">
        <v>8</v>
      </c>
      <c r="C17" t="str">
        <f>_xlfn.XLOOKUP(TAB_H_ASIG_CON_DET[[#This Row],[ID_CARRERA]],MAE_CARRERA[ID_CARRERA],MAE_CARRERA[NOMBRE_CARRERA],"Seleccione ID Carrera")</f>
        <v>CONTABILIDAD Y AUDITORÍA 2024 NS</v>
      </c>
      <c r="D17">
        <v>3</v>
      </c>
      <c r="E17" t="s">
        <v>25</v>
      </c>
      <c r="F17" t="str">
        <f>_xlfn.XLOOKUP(TAB_H_ASIG_CON_DET[[#This Row],[ASIGNATURA]],MAE_ASIGNATURA[NOM_ASIG],MAE_ASIGNATURA[ID_ASIG],"Seleccione Asignatura")</f>
        <v>FCACC-CO-AD-NI-3-LEGIS-TRI</v>
      </c>
      <c r="G17" t="s">
        <v>10</v>
      </c>
      <c r="H17" t="str">
        <f>_xlfn.XLOOKUP(TAB_H_ASIG_CON_DET[[#This Row],[DETALLADO]],MAE_CONOCIMIENTO[CAMPO_DETALLADO],MAE_CONOCIMIENTO[ID_DDETALLADO],"Seleccione Campo Detallado")</f>
        <v>F-C-D-UNI-BAS</v>
      </c>
    </row>
    <row r="18" spans="1:8">
      <c r="A18">
        <v>32</v>
      </c>
      <c r="B18" t="s">
        <v>8</v>
      </c>
      <c r="C18" t="str">
        <f>_xlfn.XLOOKUP(TAB_H_ASIG_CON_DET[[#This Row],[ID_CARRERA]],MAE_CARRERA[ID_CARRERA],MAE_CARRERA[NOMBRE_CARRERA],"Seleccione ID Carrera")</f>
        <v>CONTABILIDAD Y AUDITORÍA 2024 NS</v>
      </c>
      <c r="D18">
        <v>4</v>
      </c>
      <c r="E18" t="s">
        <v>26</v>
      </c>
      <c r="F18" t="str">
        <f>_xlfn.XLOOKUP(TAB_H_ASIG_CON_DET[[#This Row],[ASIGNATURA]],MAE_ASIGNATURA[NOM_ASIG],MAE_ASIGNATURA[ID_ASIG],"Seleccione Asignatura")</f>
        <v>FCACC-CO-AD-NI-4-CONTA-SUP</v>
      </c>
      <c r="G18" t="s">
        <v>27</v>
      </c>
      <c r="H18" t="str">
        <f>_xlfn.XLOOKUP(TAB_H_ASIG_CON_DET[[#This Row],[DETALLADO]],MAE_CONOCIMIENTO[CAMPO_DETALLADO],MAE_CONOCIMIENTO[ID_DDETALLADO],"Seleccione Campo Detallado")</f>
        <v>F-C-D-CON-Y A-AUD</v>
      </c>
    </row>
    <row r="19" spans="1:8">
      <c r="A19">
        <v>33</v>
      </c>
      <c r="B19" t="s">
        <v>8</v>
      </c>
      <c r="C19" t="str">
        <f>_xlfn.XLOOKUP(TAB_H_ASIG_CON_DET[[#This Row],[ID_CARRERA]],MAE_CARRERA[ID_CARRERA],MAE_CARRERA[NOMBRE_CARRERA],"Seleccione ID Carrera")</f>
        <v>CONTABILIDAD Y AUDITORÍA 2024 NS</v>
      </c>
      <c r="D19">
        <v>4</v>
      </c>
      <c r="E19" t="s">
        <v>28</v>
      </c>
      <c r="F19" t="str">
        <f>_xlfn.XLOOKUP(TAB_H_ASIG_CON_DET[[#This Row],[ASIGNATURA]],MAE_ASIGNATURA[NOM_ASIG],MAE_ASIGNATURA[ID_ASIG],"Seleccione Asignatura")</f>
        <v>FCACC-AU-CO-GE-NI-3-ADMIN-FIN</v>
      </c>
      <c r="G19" t="s">
        <v>29</v>
      </c>
      <c r="H19" t="str">
        <f>_xlfn.XLOOKUP(TAB_H_ASIG_CON_DET[[#This Row],[DETALLADO]],MAE_CONOCIMIENTO[CAMPO_DETALLADO],MAE_CONOCIMIENTO[ID_DDETALLADO],"Seleccione Campo Detallado")</f>
        <v>F-C-D-GES-FIN</v>
      </c>
    </row>
    <row r="20" spans="1:8">
      <c r="A20">
        <v>34</v>
      </c>
      <c r="B20" t="s">
        <v>8</v>
      </c>
      <c r="C20" t="str">
        <f>_xlfn.XLOOKUP(TAB_H_ASIG_CON_DET[[#This Row],[ID_CARRERA]],MAE_CARRERA[ID_CARRERA],MAE_CARRERA[NOMBRE_CARRERA],"Seleccione ID Carrera")</f>
        <v>CONTABILIDAD Y AUDITORÍA 2024 NS</v>
      </c>
      <c r="D20">
        <v>4</v>
      </c>
      <c r="E20" t="s">
        <v>28</v>
      </c>
      <c r="F20" t="str">
        <f>_xlfn.XLOOKUP(TAB_H_ASIG_CON_DET[[#This Row],[ASIGNATURA]],MAE_ASIGNATURA[NOM_ASIG],MAE_ASIGNATURA[ID_ASIG],"Seleccione Asignatura")</f>
        <v>FCACC-AU-CO-GE-NI-3-ADMIN-FIN</v>
      </c>
      <c r="G20" t="s">
        <v>13</v>
      </c>
      <c r="H20" t="str">
        <f>_xlfn.XLOOKUP(TAB_H_ASIG_CON_DET[[#This Row],[DETALLADO]],MAE_CONOCIMIENTO[CAMPO_DETALLADO],MAE_CONOCIMIENTO[ID_DDETALLADO],"Seleccione Campo Detallado")</f>
        <v>F-C-D-ADM</v>
      </c>
    </row>
    <row r="21" spans="1:8">
      <c r="A21">
        <v>35</v>
      </c>
      <c r="B21" t="s">
        <v>8</v>
      </c>
      <c r="C21" t="str">
        <f>_xlfn.XLOOKUP(TAB_H_ASIG_CON_DET[[#This Row],[ID_CARRERA]],MAE_CARRERA[ID_CARRERA],MAE_CARRERA[NOMBRE_CARRERA],"Seleccione ID Carrera")</f>
        <v>CONTABILIDAD Y AUDITORÍA 2024 NS</v>
      </c>
      <c r="D21">
        <v>4</v>
      </c>
      <c r="E21" t="s">
        <v>30</v>
      </c>
      <c r="F21" t="str">
        <f>_xlfn.XLOOKUP(TAB_H_ASIG_CON_DET[[#This Row],[ASIGNATURA]],MAE_ASIGNATURA[NOM_ASIG],MAE_ASIGNATURA[ID_ASIG],"Seleccione Asignatura")</f>
        <v>FCACC-CO-AD-NI-4-TRIBU-APL</v>
      </c>
      <c r="G21" t="s">
        <v>27</v>
      </c>
      <c r="H21" t="str">
        <f>_xlfn.XLOOKUP(TAB_H_ASIG_CON_DET[[#This Row],[DETALLADO]],MAE_CONOCIMIENTO[CAMPO_DETALLADO],MAE_CONOCIMIENTO[ID_DDETALLADO],"Seleccione Campo Detallado")</f>
        <v>F-C-D-CON-Y A-AUD</v>
      </c>
    </row>
    <row r="22" spans="1:8">
      <c r="A22">
        <v>36</v>
      </c>
      <c r="B22" t="s">
        <v>8</v>
      </c>
      <c r="C22" t="str">
        <f>_xlfn.XLOOKUP(TAB_H_ASIG_CON_DET[[#This Row],[ID_CARRERA]],MAE_CARRERA[ID_CARRERA],MAE_CARRERA[NOMBRE_CARRERA],"Seleccione ID Carrera")</f>
        <v>CONTABILIDAD Y AUDITORÍA 2024 NS</v>
      </c>
      <c r="D22">
        <v>4</v>
      </c>
      <c r="E22" t="s">
        <v>31</v>
      </c>
      <c r="F22" t="str">
        <f>_xlfn.XLOOKUP(TAB_H_ASIG_CON_DET[[#This Row],[ASIGNATURA]],MAE_ASIGNATURA[NOM_ASIG],MAE_ASIGNATURA[ID_ASIG],"Seleccione Asignatura")</f>
        <v>FCACC-AU-CO-GE-NI-4-PLANI-Y D-DIR</v>
      </c>
      <c r="G22" t="s">
        <v>13</v>
      </c>
      <c r="H22" t="str">
        <f>_xlfn.XLOOKUP(TAB_H_ASIG_CON_DET[[#This Row],[DETALLADO]],MAE_CONOCIMIENTO[CAMPO_DETALLADO],MAE_CONOCIMIENTO[ID_DDETALLADO],"Seleccione Campo Detallado")</f>
        <v>F-C-D-ADM</v>
      </c>
    </row>
    <row r="23" spans="1:8">
      <c r="A23">
        <v>37</v>
      </c>
      <c r="B23" t="s">
        <v>8</v>
      </c>
      <c r="C23" t="str">
        <f>_xlfn.XLOOKUP(TAB_H_ASIG_CON_DET[[#This Row],[ID_CARRERA]],MAE_CARRERA[ID_CARRERA],MAE_CARRERA[NOMBRE_CARRERA],"Seleccione ID Carrera")</f>
        <v>CONTABILIDAD Y AUDITORÍA 2024 NS</v>
      </c>
      <c r="D23">
        <v>4</v>
      </c>
      <c r="E23" t="s">
        <v>31</v>
      </c>
      <c r="F23" t="str">
        <f>_xlfn.XLOOKUP(TAB_H_ASIG_CON_DET[[#This Row],[ASIGNATURA]],MAE_ASIGNATURA[NOM_ASIG],MAE_ASIGNATURA[ID_ASIG],"Seleccione Asignatura")</f>
        <v>FCACC-AU-CO-GE-NI-4-PLANI-Y D-DIR</v>
      </c>
      <c r="G23" t="s">
        <v>29</v>
      </c>
      <c r="H23" t="str">
        <f>_xlfn.XLOOKUP(TAB_H_ASIG_CON_DET[[#This Row],[DETALLADO]],MAE_CONOCIMIENTO[CAMPO_DETALLADO],MAE_CONOCIMIENTO[ID_DDETALLADO],"Seleccione Campo Detallado")</f>
        <v>F-C-D-GES-FIN</v>
      </c>
    </row>
    <row r="24" spans="1:8">
      <c r="A24">
        <v>38</v>
      </c>
      <c r="B24" t="s">
        <v>8</v>
      </c>
      <c r="C24" t="str">
        <f>_xlfn.XLOOKUP(TAB_H_ASIG_CON_DET[[#This Row],[ID_CARRERA]],MAE_CARRERA[ID_CARRERA],MAE_CARRERA[NOMBRE_CARRERA],"Seleccione ID Carrera")</f>
        <v>CONTABILIDAD Y AUDITORÍA 2024 NS</v>
      </c>
      <c r="D24">
        <v>4</v>
      </c>
      <c r="E24" t="s">
        <v>32</v>
      </c>
      <c r="F24" t="str">
        <f>_xlfn.XLOOKUP(TAB_H_ASIG_CON_DET[[#This Row],[ASIGNATURA]],MAE_ASIGNATURA[NOM_ASIG],MAE_ASIGNATURA[ID_ASIG],"Seleccione Asignatura")</f>
        <v>FCACC-CO-AD-NI-4-PLANI-DE -AUD</v>
      </c>
      <c r="G24" t="s">
        <v>27</v>
      </c>
      <c r="H24" t="str">
        <f>_xlfn.XLOOKUP(TAB_H_ASIG_CON_DET[[#This Row],[DETALLADO]],MAE_CONOCIMIENTO[CAMPO_DETALLADO],MAE_CONOCIMIENTO[ID_DDETALLADO],"Seleccione Campo Detallado")</f>
        <v>F-C-D-CON-Y A-AUD</v>
      </c>
    </row>
    <row r="25" spans="1:8">
      <c r="A25">
        <v>39</v>
      </c>
      <c r="B25" t="s">
        <v>8</v>
      </c>
      <c r="C25" t="str">
        <f>_xlfn.XLOOKUP(TAB_H_ASIG_CON_DET[[#This Row],[ID_CARRERA]],MAE_CARRERA[ID_CARRERA],MAE_CARRERA[NOMBRE_CARRERA],"Seleccione ID Carrera")</f>
        <v>CONTABILIDAD Y AUDITORÍA 2024 NS</v>
      </c>
      <c r="D25">
        <v>5</v>
      </c>
      <c r="E25" t="s">
        <v>33</v>
      </c>
      <c r="F25" t="str">
        <f>_xlfn.XLOOKUP(TAB_H_ASIG_CON_DET[[#This Row],[ASIGNATURA]],MAE_ASIGNATURA[NOM_ASIG],MAE_ASIGNATURA[ID_ASIG],"Seleccione Asignatura")</f>
        <v>FCACC-AD-EM-NI-1-CONTA-DE -COS</v>
      </c>
      <c r="G25" t="s">
        <v>27</v>
      </c>
      <c r="H25" t="str">
        <f>_xlfn.XLOOKUP(TAB_H_ASIG_CON_DET[[#This Row],[DETALLADO]],MAE_CONOCIMIENTO[CAMPO_DETALLADO],MAE_CONOCIMIENTO[ID_DDETALLADO],"Seleccione Campo Detallado")</f>
        <v>F-C-D-CON-Y A-AUD</v>
      </c>
    </row>
    <row r="26" spans="1:8">
      <c r="A26">
        <v>40</v>
      </c>
      <c r="B26" t="s">
        <v>8</v>
      </c>
      <c r="C26" t="str">
        <f>_xlfn.XLOOKUP(TAB_H_ASIG_CON_DET[[#This Row],[ID_CARRERA]],MAE_CARRERA[ID_CARRERA],MAE_CARRERA[NOMBRE_CARRERA],"Seleccione ID Carrera")</f>
        <v>CONTABILIDAD Y AUDITORÍA 2024 NS</v>
      </c>
      <c r="D26">
        <v>5</v>
      </c>
      <c r="E26" t="s">
        <v>34</v>
      </c>
      <c r="F26" t="str">
        <f>_xlfn.XLOOKUP(TAB_H_ASIG_CON_DET[[#This Row],[ASIGNATURA]],MAE_ASIGNATURA[NOM_ASIG],MAE_ASIGNATURA[ID_ASIG],"Seleccione Asignatura")</f>
        <v>FCACC-CO-AD-NI-5-CONTA-ESP</v>
      </c>
      <c r="G26" t="s">
        <v>27</v>
      </c>
      <c r="H26" t="str">
        <f>_xlfn.XLOOKUP(TAB_H_ASIG_CON_DET[[#This Row],[DETALLADO]],MAE_CONOCIMIENTO[CAMPO_DETALLADO],MAE_CONOCIMIENTO[ID_DDETALLADO],"Seleccione Campo Detallado")</f>
        <v>F-C-D-CON-Y A-AUD</v>
      </c>
    </row>
    <row r="27" spans="1:8">
      <c r="A27">
        <v>41</v>
      </c>
      <c r="B27" t="s">
        <v>8</v>
      </c>
      <c r="C27" t="str">
        <f>_xlfn.XLOOKUP(TAB_H_ASIG_CON_DET[[#This Row],[ID_CARRERA]],MAE_CARRERA[ID_CARRERA],MAE_CARRERA[NOMBRE_CARRERA],"Seleccione ID Carrera")</f>
        <v>CONTABILIDAD Y AUDITORÍA 2024 NS</v>
      </c>
      <c r="D27">
        <v>5</v>
      </c>
      <c r="E27" t="s">
        <v>35</v>
      </c>
      <c r="F27" t="str">
        <f>_xlfn.XLOOKUP(TAB_H_ASIG_CON_DET[[#This Row],[ASIGNATURA]],MAE_ASIGNATURA[NOM_ASIG],MAE_ASIGNATURA[ID_ASIG],"Seleccione Asignatura")</f>
        <v>FCACC-AU-CO-GE-NI-5-AUDIT-FIN</v>
      </c>
      <c r="G27" t="s">
        <v>27</v>
      </c>
      <c r="H27" t="str">
        <f>_xlfn.XLOOKUP(TAB_H_ASIG_CON_DET[[#This Row],[DETALLADO]],MAE_CONOCIMIENTO[CAMPO_DETALLADO],MAE_CONOCIMIENTO[ID_DDETALLADO],"Seleccione Campo Detallado")</f>
        <v>F-C-D-CON-Y A-AUD</v>
      </c>
    </row>
    <row r="28" spans="1:8">
      <c r="A28">
        <v>42</v>
      </c>
      <c r="B28" t="s">
        <v>8</v>
      </c>
      <c r="C28" t="str">
        <f>_xlfn.XLOOKUP(TAB_H_ASIG_CON_DET[[#This Row],[ID_CARRERA]],MAE_CARRERA[ID_CARRERA],MAE_CARRERA[NOMBRE_CARRERA],"Seleccione ID Carrera")</f>
        <v>CONTABILIDAD Y AUDITORÍA 2024 NS</v>
      </c>
      <c r="D28">
        <v>5</v>
      </c>
      <c r="E28" t="s">
        <v>36</v>
      </c>
      <c r="F28" t="str">
        <f>_xlfn.XLOOKUP(TAB_H_ASIG_CON_DET[[#This Row],[ASIGNATURA]],MAE_ASIGNATURA[NOM_ASIG],MAE_ASIGNATURA[ID_ASIG],"Seleccione Asignatura")</f>
        <v>FCACC-CO-AD-NI-5-ORGAN-Y M-MÉT</v>
      </c>
      <c r="G28" t="s">
        <v>13</v>
      </c>
      <c r="H28" t="str">
        <f>_xlfn.XLOOKUP(TAB_H_ASIG_CON_DET[[#This Row],[DETALLADO]],MAE_CONOCIMIENTO[CAMPO_DETALLADO],MAE_CONOCIMIENTO[ID_DDETALLADO],"Seleccione Campo Detallado")</f>
        <v>F-C-D-ADM</v>
      </c>
    </row>
    <row r="29" spans="1:8">
      <c r="A29">
        <v>43</v>
      </c>
      <c r="B29" t="s">
        <v>8</v>
      </c>
      <c r="C29" t="str">
        <f>_xlfn.XLOOKUP(TAB_H_ASIG_CON_DET[[#This Row],[ID_CARRERA]],MAE_CARRERA[ID_CARRERA],MAE_CARRERA[NOMBRE_CARRERA],"Seleccione ID Carrera")</f>
        <v>CONTABILIDAD Y AUDITORÍA 2024 NS</v>
      </c>
      <c r="D29">
        <v>5</v>
      </c>
      <c r="E29" t="s">
        <v>37</v>
      </c>
      <c r="F29" t="str">
        <f>_xlfn.XLOOKUP(TAB_H_ASIG_CON_DET[[#This Row],[ASIGNATURA]],MAE_ASIGNATURA[NOM_ASIG],MAE_ASIGNATURA[ID_ASIG],"Seleccione Asignatura")</f>
        <v>FCACC-CO-AD-NI-5-PRESU</v>
      </c>
      <c r="G29" t="s">
        <v>27</v>
      </c>
      <c r="H29" t="str">
        <f>_xlfn.XLOOKUP(TAB_H_ASIG_CON_DET[[#This Row],[DETALLADO]],MAE_CONOCIMIENTO[CAMPO_DETALLADO],MAE_CONOCIMIENTO[ID_DDETALLADO],"Seleccione Campo Detallado")</f>
        <v>F-C-D-CON-Y A-AUD</v>
      </c>
    </row>
    <row r="30" spans="1:8">
      <c r="A30">
        <v>44</v>
      </c>
      <c r="B30" t="s">
        <v>8</v>
      </c>
      <c r="C30" t="str">
        <f>_xlfn.XLOOKUP(TAB_H_ASIG_CON_DET[[#This Row],[ID_CARRERA]],MAE_CARRERA[ID_CARRERA],MAE_CARRERA[NOMBRE_CARRERA],"Seleccione ID Carrera")</f>
        <v>CONTABILIDAD Y AUDITORÍA 2024 NS</v>
      </c>
      <c r="D30">
        <v>5</v>
      </c>
      <c r="E30" t="s">
        <v>37</v>
      </c>
      <c r="F30" t="str">
        <f>_xlfn.XLOOKUP(TAB_H_ASIG_CON_DET[[#This Row],[ASIGNATURA]],MAE_ASIGNATURA[NOM_ASIG],MAE_ASIGNATURA[ID_ASIG],"Seleccione Asignatura")</f>
        <v>FCACC-CO-AD-NI-5-PRESU</v>
      </c>
      <c r="G30" t="s">
        <v>29</v>
      </c>
      <c r="H30" t="str">
        <f>_xlfn.XLOOKUP(TAB_H_ASIG_CON_DET[[#This Row],[DETALLADO]],MAE_CONOCIMIENTO[CAMPO_DETALLADO],MAE_CONOCIMIENTO[ID_DDETALLADO],"Seleccione Campo Detallado")</f>
        <v>F-C-D-GES-FIN</v>
      </c>
    </row>
    <row r="31" spans="1:8">
      <c r="A31">
        <v>45</v>
      </c>
      <c r="B31" t="s">
        <v>8</v>
      </c>
      <c r="C31" t="str">
        <f>_xlfn.XLOOKUP(TAB_H_ASIG_CON_DET[[#This Row],[ID_CARRERA]],MAE_CARRERA[ID_CARRERA],MAE_CARRERA[NOMBRE_CARRERA],"Seleccione ID Carrera")</f>
        <v>CONTABILIDAD Y AUDITORÍA 2024 NS</v>
      </c>
      <c r="D31">
        <v>5</v>
      </c>
      <c r="E31" t="s">
        <v>37</v>
      </c>
      <c r="F31" t="str">
        <f>_xlfn.XLOOKUP(TAB_H_ASIG_CON_DET[[#This Row],[ASIGNATURA]],MAE_ASIGNATURA[NOM_ASIG],MAE_ASIGNATURA[ID_ASIG],"Seleccione Asignatura")</f>
        <v>FCACC-CO-AD-NI-5-PRESU</v>
      </c>
      <c r="G31" t="s">
        <v>13</v>
      </c>
      <c r="H31" t="str">
        <f>_xlfn.XLOOKUP(TAB_H_ASIG_CON_DET[[#This Row],[DETALLADO]],MAE_CONOCIMIENTO[CAMPO_DETALLADO],MAE_CONOCIMIENTO[ID_DDETALLADO],"Seleccione Campo Detallado")</f>
        <v>F-C-D-ADM</v>
      </c>
    </row>
    <row r="32" spans="1:8">
      <c r="A32">
        <v>46</v>
      </c>
      <c r="B32" t="s">
        <v>8</v>
      </c>
      <c r="C32" t="str">
        <f>_xlfn.XLOOKUP(TAB_H_ASIG_CON_DET[[#This Row],[ID_CARRERA]],MAE_CARRERA[ID_CARRERA],MAE_CARRERA[NOMBRE_CARRERA],"Seleccione ID Carrera")</f>
        <v>CONTABILIDAD Y AUDITORÍA 2024 NS</v>
      </c>
      <c r="D32">
        <v>5</v>
      </c>
      <c r="E32" t="s">
        <v>37</v>
      </c>
      <c r="F32" t="str">
        <f>_xlfn.XLOOKUP(TAB_H_ASIG_CON_DET[[#This Row],[ASIGNATURA]],MAE_ASIGNATURA[NOM_ASIG],MAE_ASIGNATURA[ID_ASIG],"Seleccione Asignatura")</f>
        <v>FCACC-CO-AD-NI-5-PRESU</v>
      </c>
      <c r="G32" t="s">
        <v>38</v>
      </c>
      <c r="H32" t="str">
        <f>_xlfn.XLOOKUP(TAB_H_ASIG_CON_DET[[#This Row],[DETALLADO]],MAE_CONOCIMIENTO[CAMPO_DETALLADO],MAE_CONOCIMIENTO[ID_DDETALLADO],"Seleccione Campo Detallado")</f>
        <v>F-C-D-COM</v>
      </c>
    </row>
    <row r="33" spans="1:8">
      <c r="A33">
        <v>47</v>
      </c>
      <c r="B33" t="s">
        <v>8</v>
      </c>
      <c r="C33" t="str">
        <f>_xlfn.XLOOKUP(TAB_H_ASIG_CON_DET[[#This Row],[ID_CARRERA]],MAE_CARRERA[ID_CARRERA],MAE_CARRERA[NOMBRE_CARRERA],"Seleccione ID Carrera")</f>
        <v>CONTABILIDAD Y AUDITORÍA 2024 NS</v>
      </c>
      <c r="D33">
        <v>6</v>
      </c>
      <c r="E33" t="s">
        <v>39</v>
      </c>
      <c r="F33" t="str">
        <f>_xlfn.XLOOKUP(TAB_H_ASIG_CON_DET[[#This Row],[ASIGNATURA]],MAE_ASIGNATURA[NOM_ASIG],MAE_ASIGNATURA[ID_ASIG],"Seleccione Asignatura")</f>
        <v>FCACC-CO-AD-NI-6-CONTA-DE -COS</v>
      </c>
      <c r="G33" t="s">
        <v>27</v>
      </c>
      <c r="H33" t="str">
        <f>_xlfn.XLOOKUP(TAB_H_ASIG_CON_DET[[#This Row],[DETALLADO]],MAE_CONOCIMIENTO[CAMPO_DETALLADO],MAE_CONOCIMIENTO[ID_DDETALLADO],"Seleccione Campo Detallado")</f>
        <v>F-C-D-CON-Y A-AUD</v>
      </c>
    </row>
    <row r="34" spans="1:8">
      <c r="A34">
        <v>48</v>
      </c>
      <c r="B34" t="s">
        <v>8</v>
      </c>
      <c r="C34" t="str">
        <f>_xlfn.XLOOKUP(TAB_H_ASIG_CON_DET[[#This Row],[ID_CARRERA]],MAE_CARRERA[ID_CARRERA],MAE_CARRERA[NOMBRE_CARRERA],"Seleccione ID Carrera")</f>
        <v>CONTABILIDAD Y AUDITORÍA 2024 NS</v>
      </c>
      <c r="D34">
        <v>6</v>
      </c>
      <c r="E34" t="s">
        <v>40</v>
      </c>
      <c r="F34" t="str">
        <f>_xlfn.XLOOKUP(TAB_H_ASIG_CON_DET[[#This Row],[ASIGNATURA]],MAE_ASIGNATURA[NOM_ASIG],MAE_ASIGNATURA[ID_ASIG],"Seleccione Asignatura")</f>
        <v>FCACC-CO-AD-NI-6-CONTA-GUB</v>
      </c>
      <c r="G34" t="s">
        <v>27</v>
      </c>
      <c r="H34" t="str">
        <f>_xlfn.XLOOKUP(TAB_H_ASIG_CON_DET[[#This Row],[DETALLADO]],MAE_CONOCIMIENTO[CAMPO_DETALLADO],MAE_CONOCIMIENTO[ID_DDETALLADO],"Seleccione Campo Detallado")</f>
        <v>F-C-D-CON-Y A-AUD</v>
      </c>
    </row>
    <row r="35" spans="1:8">
      <c r="A35">
        <v>49</v>
      </c>
      <c r="B35" t="s">
        <v>8</v>
      </c>
      <c r="C35" t="str">
        <f>_xlfn.XLOOKUP(TAB_H_ASIG_CON_DET[[#This Row],[ID_CARRERA]],MAE_CARRERA[ID_CARRERA],MAE_CARRERA[NOMBRE_CARRERA],"Seleccione ID Carrera")</f>
        <v>CONTABILIDAD Y AUDITORÍA 2024 NS</v>
      </c>
      <c r="D35">
        <v>6</v>
      </c>
      <c r="E35" t="s">
        <v>41</v>
      </c>
      <c r="F35" t="str">
        <f>_xlfn.XLOOKUP(TAB_H_ASIG_CON_DET[[#This Row],[ASIGNATURA]],MAE_ASIGNATURA[NOM_ASIG],MAE_ASIGNATURA[ID_ASIG],"Seleccione Asignatura")</f>
        <v>FCACC-CO-AD-NI-6-MARCO-INT-E I</v>
      </c>
      <c r="G35" t="s">
        <v>13</v>
      </c>
      <c r="H35" t="str">
        <f>_xlfn.XLOOKUP(TAB_H_ASIG_CON_DET[[#This Row],[DETALLADO]],MAE_CONOCIMIENTO[CAMPO_DETALLADO],MAE_CONOCIMIENTO[ID_DDETALLADO],"Seleccione Campo Detallado")</f>
        <v>F-C-D-ADM</v>
      </c>
    </row>
    <row r="36" spans="1:8">
      <c r="A36">
        <v>50</v>
      </c>
      <c r="B36" t="s">
        <v>8</v>
      </c>
      <c r="C36" t="str">
        <f>_xlfn.XLOOKUP(TAB_H_ASIG_CON_DET[[#This Row],[ID_CARRERA]],MAE_CARRERA[ID_CARRERA],MAE_CARRERA[NOMBRE_CARRERA],"Seleccione ID Carrera")</f>
        <v>CONTABILIDAD Y AUDITORÍA 2024 NS</v>
      </c>
      <c r="D36">
        <v>6</v>
      </c>
      <c r="E36" t="s">
        <v>41</v>
      </c>
      <c r="F36" t="str">
        <f>_xlfn.XLOOKUP(TAB_H_ASIG_CON_DET[[#This Row],[ASIGNATURA]],MAE_ASIGNATURA[NOM_ASIG],MAE_ASIGNATURA[ID_ASIG],"Seleccione Asignatura")</f>
        <v>FCACC-CO-AD-NI-6-MARCO-INT-E I</v>
      </c>
      <c r="G36" t="s">
        <v>29</v>
      </c>
      <c r="H36" t="str">
        <f>_xlfn.XLOOKUP(TAB_H_ASIG_CON_DET[[#This Row],[DETALLADO]],MAE_CONOCIMIENTO[CAMPO_DETALLADO],MAE_CONOCIMIENTO[ID_DDETALLADO],"Seleccione Campo Detallado")</f>
        <v>F-C-D-GES-FIN</v>
      </c>
    </row>
    <row r="37" spans="1:8" ht="30.75">
      <c r="A37">
        <v>51</v>
      </c>
      <c r="B37" t="s">
        <v>8</v>
      </c>
      <c r="C37" t="str">
        <f>_xlfn.XLOOKUP(TAB_H_ASIG_CON_DET[[#This Row],[ID_CARRERA]],MAE_CARRERA[ID_CARRERA],MAE_CARRERA[NOMBRE_CARRERA],"Seleccione ID Carrera")</f>
        <v>CONTABILIDAD Y AUDITORÍA 2024 NS</v>
      </c>
      <c r="D37">
        <v>6</v>
      </c>
      <c r="E37" s="2" t="s">
        <v>42</v>
      </c>
      <c r="F37" t="str">
        <f>_xlfn.XLOOKUP(TAB_H_ASIG_CON_DET[[#This Row],[ASIGNATURA]],MAE_ASIGNATURA[NOM_ASIG],MAE_ASIGNATURA[ID_ASIG],"Seleccione Asignatura")</f>
        <v>FCACC-CO-AD-NI-6-FORMU-DE -PRO</v>
      </c>
      <c r="G37" t="s">
        <v>13</v>
      </c>
      <c r="H37" t="str">
        <f>_xlfn.XLOOKUP(TAB_H_ASIG_CON_DET[[#This Row],[DETALLADO]],MAE_CONOCIMIENTO[CAMPO_DETALLADO],MAE_CONOCIMIENTO[ID_DDETALLADO],"Seleccione Campo Detallado")</f>
        <v>F-C-D-ADM</v>
      </c>
    </row>
    <row r="38" spans="1:8" ht="30.75">
      <c r="A38">
        <v>52</v>
      </c>
      <c r="B38" t="s">
        <v>8</v>
      </c>
      <c r="C38" t="str">
        <f>_xlfn.XLOOKUP(TAB_H_ASIG_CON_DET[[#This Row],[ID_CARRERA]],MAE_CARRERA[ID_CARRERA],MAE_CARRERA[NOMBRE_CARRERA],"Seleccione ID Carrera")</f>
        <v>CONTABILIDAD Y AUDITORÍA 2024 NS</v>
      </c>
      <c r="D38">
        <v>6</v>
      </c>
      <c r="E38" s="2" t="s">
        <v>42</v>
      </c>
      <c r="F38" t="str">
        <f>_xlfn.XLOOKUP(TAB_H_ASIG_CON_DET[[#This Row],[ASIGNATURA]],MAE_ASIGNATURA[NOM_ASIG],MAE_ASIGNATURA[ID_ASIG],"Seleccione Asignatura")</f>
        <v>FCACC-CO-AD-NI-6-FORMU-DE -PRO</v>
      </c>
      <c r="G38" t="s">
        <v>29</v>
      </c>
      <c r="H38" t="str">
        <f>_xlfn.XLOOKUP(TAB_H_ASIG_CON_DET[[#This Row],[DETALLADO]],MAE_CONOCIMIENTO[CAMPO_DETALLADO],MAE_CONOCIMIENTO[ID_DDETALLADO],"Seleccione Campo Detallado")</f>
        <v>F-C-D-GES-FIN</v>
      </c>
    </row>
    <row r="39" spans="1:8">
      <c r="A39">
        <v>53</v>
      </c>
      <c r="B39" t="s">
        <v>8</v>
      </c>
      <c r="C39" t="str">
        <f>_xlfn.XLOOKUP(TAB_H_ASIG_CON_DET[[#This Row],[ID_CARRERA]],MAE_CARRERA[ID_CARRERA],MAE_CARRERA[NOMBRE_CARRERA],"Seleccione ID Carrera")</f>
        <v>CONTABILIDAD Y AUDITORÍA 2024 NS</v>
      </c>
      <c r="D39">
        <v>6</v>
      </c>
      <c r="E39" t="s">
        <v>43</v>
      </c>
      <c r="F39" t="str">
        <f>_xlfn.XLOOKUP(TAB_H_ASIG_CON_DET[[#This Row],[ASIGNATURA]],MAE_ASIGNATURA[NOM_ASIG],MAE_ASIGNATURA[ID_ASIG],"Seleccione Asignatura")</f>
        <v xml:space="preserve">FCACC-CO-AD-NI-6-GESTI-DE -LA </v>
      </c>
      <c r="G39" t="s">
        <v>27</v>
      </c>
      <c r="H39" t="str">
        <f>_xlfn.XLOOKUP(TAB_H_ASIG_CON_DET[[#This Row],[DETALLADO]],MAE_CONOCIMIENTO[CAMPO_DETALLADO],MAE_CONOCIMIENTO[ID_DDETALLADO],"Seleccione Campo Detallado")</f>
        <v>F-C-D-CON-Y A-AUD</v>
      </c>
    </row>
    <row r="40" spans="1:8">
      <c r="A40">
        <v>54</v>
      </c>
      <c r="B40" t="s">
        <v>8</v>
      </c>
      <c r="C40" t="str">
        <f>_xlfn.XLOOKUP(TAB_H_ASIG_CON_DET[[#This Row],[ID_CARRERA]],MAE_CARRERA[ID_CARRERA],MAE_CARRERA[NOMBRE_CARRERA],"Seleccione ID Carrera")</f>
        <v>CONTABILIDAD Y AUDITORÍA 2024 NS</v>
      </c>
      <c r="D40">
        <v>6</v>
      </c>
      <c r="E40" t="s">
        <v>43</v>
      </c>
      <c r="F40" t="str">
        <f>_xlfn.XLOOKUP(TAB_H_ASIG_CON_DET[[#This Row],[ASIGNATURA]],MAE_ASIGNATURA[NOM_ASIG],MAE_ASIGNATURA[ID_ASIG],"Seleccione Asignatura")</f>
        <v xml:space="preserve">FCACC-CO-AD-NI-6-GESTI-DE -LA </v>
      </c>
      <c r="G40" t="s">
        <v>13</v>
      </c>
      <c r="H40" t="str">
        <f>_xlfn.XLOOKUP(TAB_H_ASIG_CON_DET[[#This Row],[DETALLADO]],MAE_CONOCIMIENTO[CAMPO_DETALLADO],MAE_CONOCIMIENTO[ID_DDETALLADO],"Seleccione Campo Detallado")</f>
        <v>F-C-D-ADM</v>
      </c>
    </row>
    <row r="41" spans="1:8">
      <c r="A41">
        <v>55</v>
      </c>
      <c r="B41" t="s">
        <v>8</v>
      </c>
      <c r="C41" t="str">
        <f>_xlfn.XLOOKUP(TAB_H_ASIG_CON_DET[[#This Row],[ID_CARRERA]],MAE_CARRERA[ID_CARRERA],MAE_CARRERA[NOMBRE_CARRERA],"Seleccione ID Carrera")</f>
        <v>CONTABILIDAD Y AUDITORÍA 2024 NS</v>
      </c>
      <c r="D41">
        <v>6</v>
      </c>
      <c r="E41" t="s">
        <v>43</v>
      </c>
      <c r="F41" t="str">
        <f>_xlfn.XLOOKUP(TAB_H_ASIG_CON_DET[[#This Row],[ASIGNATURA]],MAE_ASIGNATURA[NOM_ASIG],MAE_ASIGNATURA[ID_ASIG],"Seleccione Asignatura")</f>
        <v xml:space="preserve">FCACC-CO-AD-NI-6-GESTI-DE -LA </v>
      </c>
      <c r="G41" t="s">
        <v>29</v>
      </c>
      <c r="H41" t="str">
        <f>_xlfn.XLOOKUP(TAB_H_ASIG_CON_DET[[#This Row],[DETALLADO]],MAE_CONOCIMIENTO[CAMPO_DETALLADO],MAE_CONOCIMIENTO[ID_DDETALLADO],"Seleccione Campo Detallado")</f>
        <v>F-C-D-GES-FIN</v>
      </c>
    </row>
    <row r="42" spans="1:8">
      <c r="A42">
        <v>56</v>
      </c>
      <c r="B42" t="s">
        <v>8</v>
      </c>
      <c r="C42" t="str">
        <f>_xlfn.XLOOKUP(TAB_H_ASIG_CON_DET[[#This Row],[ID_CARRERA]],MAE_CARRERA[ID_CARRERA],MAE_CARRERA[NOMBRE_CARRERA],"Seleccione ID Carrera")</f>
        <v>CONTABILIDAD Y AUDITORÍA 2024 NS</v>
      </c>
      <c r="D42">
        <v>6</v>
      </c>
      <c r="E42" t="s">
        <v>43</v>
      </c>
      <c r="F42" t="str">
        <f>_xlfn.XLOOKUP(TAB_H_ASIG_CON_DET[[#This Row],[ASIGNATURA]],MAE_ASIGNATURA[NOM_ASIG],MAE_ASIGNATURA[ID_ASIG],"Seleccione Asignatura")</f>
        <v xml:space="preserve">FCACC-CO-AD-NI-6-GESTI-DE -LA </v>
      </c>
      <c r="G42" t="s">
        <v>38</v>
      </c>
      <c r="H42" t="str">
        <f>_xlfn.XLOOKUP(TAB_H_ASIG_CON_DET[[#This Row],[DETALLADO]],MAE_CONOCIMIENTO[CAMPO_DETALLADO],MAE_CONOCIMIENTO[ID_DDETALLADO],"Seleccione Campo Detallado")</f>
        <v>F-C-D-COM</v>
      </c>
    </row>
    <row r="43" spans="1:8">
      <c r="A43">
        <v>57</v>
      </c>
      <c r="B43" t="s">
        <v>8</v>
      </c>
      <c r="C43" t="str">
        <f>_xlfn.XLOOKUP(TAB_H_ASIG_CON_DET[[#This Row],[ID_CARRERA]],MAE_CARRERA[ID_CARRERA],MAE_CARRERA[NOMBRE_CARRERA],"Seleccione ID Carrera")</f>
        <v>CONTABILIDAD Y AUDITORÍA 2024 NS</v>
      </c>
      <c r="D43">
        <v>6</v>
      </c>
      <c r="E43" t="s">
        <v>44</v>
      </c>
      <c r="F43" t="str">
        <f>_xlfn.XLOOKUP(TAB_H_ASIG_CON_DET[[#This Row],[ASIGNATURA]],MAE_ASIGNATURA[NOM_ASIG],MAE_ASIGNATURA[ID_ASIG],"Seleccione Asignatura")</f>
        <v>FCACC-CO-EX-NI-4-INVES-OPE</v>
      </c>
      <c r="G43" t="s">
        <v>13</v>
      </c>
      <c r="H43" t="str">
        <f>_xlfn.XLOOKUP(TAB_H_ASIG_CON_DET[[#This Row],[DETALLADO]],MAE_CONOCIMIENTO[CAMPO_DETALLADO],MAE_CONOCIMIENTO[ID_DDETALLADO],"Seleccione Campo Detallado")</f>
        <v>F-C-D-ADM</v>
      </c>
    </row>
    <row r="44" spans="1:8">
      <c r="A44">
        <v>58</v>
      </c>
      <c r="B44" t="s">
        <v>8</v>
      </c>
      <c r="C44" t="str">
        <f>_xlfn.XLOOKUP(TAB_H_ASIG_CON_DET[[#This Row],[ID_CARRERA]],MAE_CARRERA[ID_CARRERA],MAE_CARRERA[NOMBRE_CARRERA],"Seleccione ID Carrera")</f>
        <v>CONTABILIDAD Y AUDITORÍA 2024 NS</v>
      </c>
      <c r="D44">
        <v>6</v>
      </c>
      <c r="E44" t="s">
        <v>44</v>
      </c>
      <c r="F44" t="str">
        <f>_xlfn.XLOOKUP(TAB_H_ASIG_CON_DET[[#This Row],[ASIGNATURA]],MAE_ASIGNATURA[NOM_ASIG],MAE_ASIGNATURA[ID_ASIG],"Seleccione Asignatura")</f>
        <v>FCACC-CO-EX-NI-4-INVES-OPE</v>
      </c>
      <c r="G44" t="s">
        <v>38</v>
      </c>
      <c r="H44" t="str">
        <f>_xlfn.XLOOKUP(TAB_H_ASIG_CON_DET[[#This Row],[DETALLADO]],MAE_CONOCIMIENTO[CAMPO_DETALLADO],MAE_CONOCIMIENTO[ID_DDETALLADO],"Seleccione Campo Detallado")</f>
        <v>F-C-D-COM</v>
      </c>
    </row>
    <row r="45" spans="1:8">
      <c r="A45">
        <v>59</v>
      </c>
      <c r="B45" t="s">
        <v>8</v>
      </c>
      <c r="C45" t="str">
        <f>_xlfn.XLOOKUP(TAB_H_ASIG_CON_DET[[#This Row],[ID_CARRERA]],MAE_CARRERA[ID_CARRERA],MAE_CARRERA[NOMBRE_CARRERA],"Seleccione ID Carrera")</f>
        <v>CONTABILIDAD Y AUDITORÍA 2024 NS</v>
      </c>
      <c r="D45">
        <v>6</v>
      </c>
      <c r="E45" t="s">
        <v>44</v>
      </c>
      <c r="F45" t="str">
        <f>_xlfn.XLOOKUP(TAB_H_ASIG_CON_DET[[#This Row],[ASIGNATURA]],MAE_ASIGNATURA[NOM_ASIG],MAE_ASIGNATURA[ID_ASIG],"Seleccione Asignatura")</f>
        <v>FCACC-CO-EX-NI-4-INVES-OPE</v>
      </c>
      <c r="G45" t="s">
        <v>45</v>
      </c>
      <c r="H45" t="str">
        <f>_xlfn.XLOOKUP(TAB_H_ASIG_CON_DET[[#This Row],[DETALLADO]],MAE_CONOCIMIENTO[CAMPO_DETALLADO],MAE_CONOCIMIENTO[ID_DDETALLADO],"Seleccione Campo Detallado")</f>
        <v>F-C-D-NEG-INT</v>
      </c>
    </row>
    <row r="46" spans="1:8">
      <c r="A46">
        <v>60</v>
      </c>
      <c r="B46" t="s">
        <v>8</v>
      </c>
      <c r="C46" t="str">
        <f>_xlfn.XLOOKUP(TAB_H_ASIG_CON_DET[[#This Row],[ID_CARRERA]],MAE_CARRERA[ID_CARRERA],MAE_CARRERA[NOMBRE_CARRERA],"Seleccione ID Carrera")</f>
        <v>CONTABILIDAD Y AUDITORÍA 2024 NS</v>
      </c>
      <c r="D46">
        <v>7</v>
      </c>
      <c r="E46" t="s">
        <v>46</v>
      </c>
      <c r="F46" t="str">
        <f>_xlfn.XLOOKUP(TAB_H_ASIG_CON_DET[[#This Row],[ASIGNATURA]],MAE_ASIGNATURA[NOM_ASIG],MAE_ASIGNATURA[ID_ASIG],"Seleccione Asignatura")</f>
        <v>FCACC-AU-CO-GE-NI-6-AUDIT-TRI</v>
      </c>
      <c r="H46" t="str">
        <f>_xlfn.XLOOKUP(TAB_H_ASIG_CON_DET[[#This Row],[DETALLADO]],MAE_CONOCIMIENTO[CAMPO_DETALLADO],MAE_CONOCIMIENTO[ID_DDETALLADO],"Seleccione Campo Detallado")</f>
        <v>F-C-D-</v>
      </c>
    </row>
    <row r="47" spans="1:8">
      <c r="A47">
        <v>61</v>
      </c>
      <c r="B47" t="s">
        <v>8</v>
      </c>
      <c r="C47" t="str">
        <f>_xlfn.XLOOKUP(TAB_H_ASIG_CON_DET[[#This Row],[ID_CARRERA]],MAE_CARRERA[ID_CARRERA],MAE_CARRERA[NOMBRE_CARRERA],"Seleccione ID Carrera")</f>
        <v>CONTABILIDAD Y AUDITORÍA 2024 NS</v>
      </c>
      <c r="D47">
        <v>7</v>
      </c>
      <c r="E47" t="s">
        <v>47</v>
      </c>
      <c r="F47" t="str">
        <f>_xlfn.XLOOKUP(TAB_H_ASIG_CON_DET[[#This Row],[ASIGNATURA]],MAE_ASIGNATURA[NOM_ASIG],MAE_ASIGNATURA[ID_ASIG],"Seleccione Asignatura")</f>
        <v>FCACC-CO-AD-NI-7-AUDIT-DE -CAL</v>
      </c>
      <c r="H47" t="str">
        <f>_xlfn.XLOOKUP(TAB_H_ASIG_CON_DET[[#This Row],[DETALLADO]],MAE_CONOCIMIENTO[CAMPO_DETALLADO],MAE_CONOCIMIENTO[ID_DDETALLADO],"Seleccione Campo Detallado")</f>
        <v>F-C-D-</v>
      </c>
    </row>
    <row r="48" spans="1:8">
      <c r="A48">
        <v>62</v>
      </c>
      <c r="B48" t="s">
        <v>8</v>
      </c>
      <c r="C48" t="str">
        <f>_xlfn.XLOOKUP(TAB_H_ASIG_CON_DET[[#This Row],[ID_CARRERA]],MAE_CARRERA[ID_CARRERA],MAE_CARRERA[NOMBRE_CARRERA],"Seleccione ID Carrera")</f>
        <v>CONTABILIDAD Y AUDITORÍA 2024 NS</v>
      </c>
      <c r="D48">
        <v>7</v>
      </c>
      <c r="E48" t="s">
        <v>48</v>
      </c>
      <c r="F48" t="str">
        <f>_xlfn.XLOOKUP(TAB_H_ASIG_CON_DET[[#This Row],[ASIGNATURA]],MAE_ASIGNATURA[NOM_ASIG],MAE_ASIGNATURA[ID_ASIG],"Seleccione Asignatura")</f>
        <v>FCACC-CO-AD-NI-7-AUDIT-GUB</v>
      </c>
      <c r="H48" t="str">
        <f>_xlfn.XLOOKUP(TAB_H_ASIG_CON_DET[[#This Row],[DETALLADO]],MAE_CONOCIMIENTO[CAMPO_DETALLADO],MAE_CONOCIMIENTO[ID_DDETALLADO],"Seleccione Campo Detallado")</f>
        <v>F-C-D-</v>
      </c>
    </row>
    <row r="49" spans="1:8" ht="30.75">
      <c r="A49">
        <v>63</v>
      </c>
      <c r="B49" t="s">
        <v>8</v>
      </c>
      <c r="C49" t="str">
        <f>_xlfn.XLOOKUP(TAB_H_ASIG_CON_DET[[#This Row],[ID_CARRERA]],MAE_CARRERA[ID_CARRERA],MAE_CARRERA[NOMBRE_CARRERA],"Seleccione ID Carrera")</f>
        <v>CONTABILIDAD Y AUDITORÍA 2024 NS</v>
      </c>
      <c r="D49">
        <v>8</v>
      </c>
      <c r="E49" s="2" t="s">
        <v>49</v>
      </c>
      <c r="F49" t="str">
        <f>_xlfn.XLOOKUP(TAB_H_ASIG_CON_DET[[#This Row],[ASIGNATURA]],MAE_ASIGNATURA[NOM_ASIG],MAE_ASIGNATURA[ID_ASIG],"Seleccione Asignatura")</f>
        <v>FCACC-CO-AD-NI-7-EVALU-DE -PRO</v>
      </c>
      <c r="H49" t="str">
        <f>_xlfn.XLOOKUP(TAB_H_ASIG_CON_DET[[#This Row],[DETALLADO]],MAE_CONOCIMIENTO[CAMPO_DETALLADO],MAE_CONOCIMIENTO[ID_DDETALLADO],"Seleccione Campo Detallado")</f>
        <v>F-C-D-</v>
      </c>
    </row>
    <row r="50" spans="1:8" ht="30.75">
      <c r="A50">
        <v>64</v>
      </c>
      <c r="B50" t="s">
        <v>8</v>
      </c>
      <c r="C50" t="str">
        <f>_xlfn.XLOOKUP(TAB_H_ASIG_CON_DET[[#This Row],[ID_CARRERA]],MAE_CARRERA[ID_CARRERA],MAE_CARRERA[NOMBRE_CARRERA],"Seleccione ID Carrera")</f>
        <v>CONTABILIDAD Y AUDITORÍA 2024 NS</v>
      </c>
      <c r="D50">
        <v>7</v>
      </c>
      <c r="E50" s="2" t="s">
        <v>49</v>
      </c>
      <c r="F50" t="str">
        <f>_xlfn.XLOOKUP(TAB_H_ASIG_CON_DET[[#This Row],[ASIGNATURA]],MAE_ASIGNATURA[NOM_ASIG],MAE_ASIGNATURA[ID_ASIG],"Seleccione Asignatura")</f>
        <v>FCACC-CO-AD-NI-7-EVALU-DE -PRO</v>
      </c>
      <c r="H50" t="str">
        <f>_xlfn.XLOOKUP(TAB_H_ASIG_CON_DET[[#This Row],[DETALLADO]],MAE_CONOCIMIENTO[CAMPO_DETALLADO],MAE_CONOCIMIENTO[ID_DDETALLADO],"Seleccione Campo Detallado")</f>
        <v>F-C-D-</v>
      </c>
    </row>
    <row r="51" spans="1:8">
      <c r="A51">
        <v>65</v>
      </c>
      <c r="B51" t="s">
        <v>50</v>
      </c>
      <c r="C51" t="str">
        <f>_xlfn.XLOOKUP(TAB_H_ASIG_CON_DET[[#This Row],[ID_CARRERA]],MAE_CARRERA[ID_CARRERA],MAE_CARRERA[NOMBRE_CARRERA],"Seleccione ID Carrera")</f>
        <v>Titulación</v>
      </c>
      <c r="D51" s="2">
        <v>7</v>
      </c>
      <c r="E51" t="s">
        <v>51</v>
      </c>
      <c r="F51" t="str">
        <f>_xlfn.XLOOKUP(TAB_H_ASIG_CON_DET[[#This Row],[ASIGNATURA]],MAE_ASIGNATURA[NOM_ASIG],MAE_ASIGNATURA[ID_ASIG],"Seleccione Asignatura")</f>
        <v>FCACC-8-TITU-NI-7-Traba-de -int</v>
      </c>
      <c r="G51" t="s">
        <v>27</v>
      </c>
      <c r="H51" t="str">
        <f>_xlfn.XLOOKUP(TAB_H_ASIG_CON_DET[[#This Row],[DETALLADO]],MAE_CONOCIMIENTO[CAMPO_DETALLADO],MAE_CONOCIMIENTO[ID_DDETALLADO],"Seleccione Campo Detallado")</f>
        <v>F-C-D-CON-Y A-AUD</v>
      </c>
    </row>
    <row r="52" spans="1:8">
      <c r="A52">
        <v>66</v>
      </c>
      <c r="B52" t="s">
        <v>50</v>
      </c>
      <c r="C52" t="str">
        <f>_xlfn.XLOOKUP(TAB_H_ASIG_CON_DET[[#This Row],[ID_CARRERA]],MAE_CARRERA[ID_CARRERA],MAE_CARRERA[NOMBRE_CARRERA],"Seleccione ID Carrera")</f>
        <v>Titulación</v>
      </c>
      <c r="D52">
        <v>7</v>
      </c>
      <c r="E52" t="s">
        <v>51</v>
      </c>
      <c r="F52" t="str">
        <f>_xlfn.XLOOKUP(TAB_H_ASIG_CON_DET[[#This Row],[ASIGNATURA]],MAE_ASIGNATURA[NOM_ASIG],MAE_ASIGNATURA[ID_ASIG],"Seleccione Asignatura")</f>
        <v>FCACC-8-TITU-NI-7-Traba-de -int</v>
      </c>
      <c r="G52" t="s">
        <v>29</v>
      </c>
      <c r="H52" t="str">
        <f>_xlfn.XLOOKUP(TAB_H_ASIG_CON_DET[[#This Row],[DETALLADO]],MAE_CONOCIMIENTO[CAMPO_DETALLADO],MAE_CONOCIMIENTO[ID_DDETALLADO],"Seleccione Campo Detallado")</f>
        <v>F-C-D-GES-FIN</v>
      </c>
    </row>
    <row r="53" spans="1:8">
      <c r="A53">
        <v>67</v>
      </c>
      <c r="B53" t="s">
        <v>50</v>
      </c>
      <c r="C53" t="str">
        <f>_xlfn.XLOOKUP(TAB_H_ASIG_CON_DET[[#This Row],[ID_CARRERA]],MAE_CARRERA[ID_CARRERA],MAE_CARRERA[NOMBRE_CARRERA],"Seleccione ID Carrera")</f>
        <v>Titulación</v>
      </c>
      <c r="D53">
        <v>7</v>
      </c>
      <c r="E53" t="s">
        <v>51</v>
      </c>
      <c r="F53" t="str">
        <f>_xlfn.XLOOKUP(TAB_H_ASIG_CON_DET[[#This Row],[ASIGNATURA]],MAE_ASIGNATURA[NOM_ASIG],MAE_ASIGNATURA[ID_ASIG],"Seleccione Asignatura")</f>
        <v>FCACC-8-TITU-NI-7-Traba-de -int</v>
      </c>
      <c r="G53" t="s">
        <v>13</v>
      </c>
      <c r="H53" t="str">
        <f>_xlfn.XLOOKUP(TAB_H_ASIG_CON_DET[[#This Row],[DETALLADO]],MAE_CONOCIMIENTO[CAMPO_DETALLADO],MAE_CONOCIMIENTO[ID_DDETALLADO],"Seleccione Campo Detallado")</f>
        <v>F-C-D-ADM</v>
      </c>
    </row>
    <row r="54" spans="1:8">
      <c r="A54">
        <v>68</v>
      </c>
      <c r="B54" t="s">
        <v>50</v>
      </c>
      <c r="C54" t="str">
        <f>_xlfn.XLOOKUP(TAB_H_ASIG_CON_DET[[#This Row],[ID_CARRERA]],MAE_CARRERA[ID_CARRERA],MAE_CARRERA[NOMBRE_CARRERA],"Seleccione ID Carrera")</f>
        <v>Titulación</v>
      </c>
      <c r="D54">
        <v>7</v>
      </c>
      <c r="E54" t="s">
        <v>52</v>
      </c>
      <c r="F54" t="str">
        <f>_xlfn.XLOOKUP(TAB_H_ASIG_CON_DET[[#This Row],[ASIGNATURA]],MAE_ASIGNATURA[NOM_ASIG],MAE_ASIGNATURA[ID_ASIG],"Seleccione Asignatura")</f>
        <v>FCACC-8-TITU-NI-7-Traba-de -int</v>
      </c>
      <c r="G54" t="s">
        <v>27</v>
      </c>
      <c r="H54" t="str">
        <f>_xlfn.XLOOKUP(TAB_H_ASIG_CON_DET[[#This Row],[DETALLADO]],MAE_CONOCIMIENTO[CAMPO_DETALLADO],MAE_CONOCIMIENTO[ID_DDETALLADO],"Seleccione Campo Detallado")</f>
        <v>F-C-D-CON-Y A-AUD</v>
      </c>
    </row>
    <row r="55" spans="1:8">
      <c r="A55">
        <v>69</v>
      </c>
      <c r="B55" t="s">
        <v>50</v>
      </c>
      <c r="C55" t="str">
        <f>_xlfn.XLOOKUP(TAB_H_ASIG_CON_DET[[#This Row],[ID_CARRERA]],MAE_CARRERA[ID_CARRERA],MAE_CARRERA[NOMBRE_CARRERA],"Seleccione ID Carrera")</f>
        <v>Titulación</v>
      </c>
      <c r="D55">
        <v>7</v>
      </c>
      <c r="E55" t="s">
        <v>52</v>
      </c>
      <c r="F55" t="str">
        <f>_xlfn.XLOOKUP(TAB_H_ASIG_CON_DET[[#This Row],[ASIGNATURA]],MAE_ASIGNATURA[NOM_ASIG],MAE_ASIGNATURA[ID_ASIG],"Seleccione Asignatura")</f>
        <v>FCACC-8-TITU-NI-7-Traba-de -int</v>
      </c>
      <c r="G55" t="s">
        <v>29</v>
      </c>
      <c r="H55" t="str">
        <f>_xlfn.XLOOKUP(TAB_H_ASIG_CON_DET[[#This Row],[DETALLADO]],MAE_CONOCIMIENTO[CAMPO_DETALLADO],MAE_CONOCIMIENTO[ID_DDETALLADO],"Seleccione Campo Detallado")</f>
        <v>F-C-D-GES-FIN</v>
      </c>
    </row>
    <row r="56" spans="1:8">
      <c r="A56">
        <v>70</v>
      </c>
      <c r="B56" t="s">
        <v>50</v>
      </c>
      <c r="C56" t="str">
        <f>_xlfn.XLOOKUP(TAB_H_ASIG_CON_DET[[#This Row],[ID_CARRERA]],MAE_CARRERA[ID_CARRERA],MAE_CARRERA[NOMBRE_CARRERA],"Seleccione ID Carrera")</f>
        <v>Titulación</v>
      </c>
      <c r="D56">
        <v>7</v>
      </c>
      <c r="E56" t="s">
        <v>52</v>
      </c>
      <c r="F56" t="str">
        <f>_xlfn.XLOOKUP(TAB_H_ASIG_CON_DET[[#This Row],[ASIGNATURA]],MAE_ASIGNATURA[NOM_ASIG],MAE_ASIGNATURA[ID_ASIG],"Seleccione Asignatura")</f>
        <v>FCACC-8-TITU-NI-7-Traba-de -int</v>
      </c>
      <c r="G56" t="s">
        <v>13</v>
      </c>
      <c r="H56" t="str">
        <f>_xlfn.XLOOKUP(TAB_H_ASIG_CON_DET[[#This Row],[DETALLADO]],MAE_CONOCIMIENTO[CAMPO_DETALLADO],MAE_CONOCIMIENTO[ID_DDETALLADO],"Seleccione Campo Detallado")</f>
        <v>F-C-D-ADM</v>
      </c>
    </row>
    <row r="57" spans="1:8">
      <c r="A57">
        <v>71</v>
      </c>
      <c r="B57" t="s">
        <v>8</v>
      </c>
      <c r="C57" t="str">
        <f>_xlfn.XLOOKUP(TAB_H_ASIG_CON_DET[[#This Row],[ID_CARRERA]],MAE_CARRERA[ID_CARRERA],MAE_CARRERA[NOMBRE_CARRERA],"Seleccione ID Carrera")</f>
        <v>CONTABILIDAD Y AUDITORÍA 2024 NS</v>
      </c>
      <c r="D57">
        <v>8</v>
      </c>
      <c r="E57" t="s">
        <v>53</v>
      </c>
      <c r="F57" t="str">
        <f>_xlfn.XLOOKUP(TAB_H_ASIG_CON_DET[[#This Row],[ASIGNATURA]],MAE_ASIGNATURA[NOM_ASIG],MAE_ASIGNATURA[ID_ASIG],"Seleccione Asignatura")</f>
        <v>FCACC-AU-CO-GE-NI-8-AUDIT-FOR</v>
      </c>
      <c r="G57" t="s">
        <v>27</v>
      </c>
      <c r="H57" t="str">
        <f>_xlfn.XLOOKUP(TAB_H_ASIG_CON_DET[[#This Row],[DETALLADO]],MAE_CONOCIMIENTO[CAMPO_DETALLADO],MAE_CONOCIMIENTO[ID_DDETALLADO],"Seleccione Campo Detallado")</f>
        <v>F-C-D-CON-Y A-AUD</v>
      </c>
    </row>
    <row r="58" spans="1:8">
      <c r="A58">
        <v>72</v>
      </c>
      <c r="B58" t="s">
        <v>8</v>
      </c>
      <c r="C58" t="str">
        <f>_xlfn.XLOOKUP(TAB_H_ASIG_CON_DET[[#This Row],[ID_CARRERA]],MAE_CARRERA[ID_CARRERA],MAE_CARRERA[NOMBRE_CARRERA],"Seleccione ID Carrera")</f>
        <v>CONTABILIDAD Y AUDITORÍA 2024 NS</v>
      </c>
      <c r="D58">
        <v>8</v>
      </c>
      <c r="E58" t="s">
        <v>54</v>
      </c>
      <c r="F58" t="str">
        <f>_xlfn.XLOOKUP(TAB_H_ASIG_CON_DET[[#This Row],[ASIGNATURA]],MAE_ASIGNATURA[NOM_ASIG],MAE_ASIGNATURA[ID_ASIG],"Seleccione Asignatura")</f>
        <v>FCACC-AU-CO-GE-NI-6-AUDIT-DE -GES</v>
      </c>
      <c r="G58" t="s">
        <v>27</v>
      </c>
      <c r="H58" t="str">
        <f>_xlfn.XLOOKUP(TAB_H_ASIG_CON_DET[[#This Row],[DETALLADO]],MAE_CONOCIMIENTO[CAMPO_DETALLADO],MAE_CONOCIMIENTO[ID_DDETALLADO],"Seleccione Campo Detallado")</f>
        <v>F-C-D-CON-Y A-AUD</v>
      </c>
    </row>
    <row r="59" spans="1:8">
      <c r="A59">
        <v>73</v>
      </c>
      <c r="B59" t="s">
        <v>8</v>
      </c>
      <c r="C59" t="str">
        <f>_xlfn.XLOOKUP(TAB_H_ASIG_CON_DET[[#This Row],[ID_CARRERA]],MAE_CARRERA[ID_CARRERA],MAE_CARRERA[NOMBRE_CARRERA],"Seleccione ID Carrera")</f>
        <v>CONTABILIDAD Y AUDITORÍA 2024 NS</v>
      </c>
      <c r="D59">
        <v>8</v>
      </c>
      <c r="E59" t="s">
        <v>55</v>
      </c>
      <c r="F59" t="str">
        <f>_xlfn.XLOOKUP(TAB_H_ASIG_CON_DET[[#This Row],[ASIGNATURA]],MAE_ASIGNATURA[NOM_ASIG],MAE_ASIGNATURA[ID_ASIG],"Seleccione Asignatura")</f>
        <v>FCACC-AU-CO-GE-NI-6-PROCE-DE -CON</v>
      </c>
      <c r="G59" t="s">
        <v>27</v>
      </c>
      <c r="H59" t="str">
        <f>_xlfn.XLOOKUP(TAB_H_ASIG_CON_DET[[#This Row],[DETALLADO]],MAE_CONOCIMIENTO[CAMPO_DETALLADO],MAE_CONOCIMIENTO[ID_DDETALLADO],"Seleccione Campo Detallado")</f>
        <v>F-C-D-CON-Y A-AUD</v>
      </c>
    </row>
    <row r="60" spans="1:8">
      <c r="A60">
        <v>74</v>
      </c>
      <c r="B60" t="s">
        <v>8</v>
      </c>
      <c r="C60" t="str">
        <f>_xlfn.XLOOKUP(TAB_H_ASIG_CON_DET[[#This Row],[ID_CARRERA]],MAE_CARRERA[ID_CARRERA],MAE_CARRERA[NOMBRE_CARRERA],"Seleccione ID Carrera")</f>
        <v>CONTABILIDAD Y AUDITORÍA 2024 NS</v>
      </c>
      <c r="D60">
        <v>8</v>
      </c>
      <c r="E60" t="s">
        <v>55</v>
      </c>
      <c r="F60" t="str">
        <f>_xlfn.XLOOKUP(TAB_H_ASIG_CON_DET[[#This Row],[ASIGNATURA]],MAE_ASIGNATURA[NOM_ASIG],MAE_ASIGNATURA[ID_ASIG],"Seleccione Asignatura")</f>
        <v>FCACC-AU-CO-GE-NI-6-PROCE-DE -CON</v>
      </c>
      <c r="G60" t="s">
        <v>13</v>
      </c>
      <c r="H60" t="str">
        <f>_xlfn.XLOOKUP(TAB_H_ASIG_CON_DET[[#This Row],[DETALLADO]],MAE_CONOCIMIENTO[CAMPO_DETALLADO],MAE_CONOCIMIENTO[ID_DDETALLADO],"Seleccione Campo Detallado")</f>
        <v>F-C-D-ADM</v>
      </c>
    </row>
    <row r="61" spans="1:8">
      <c r="A61">
        <v>75</v>
      </c>
      <c r="B61" t="s">
        <v>8</v>
      </c>
      <c r="C61" t="str">
        <f>_xlfn.XLOOKUP(TAB_H_ASIG_CON_DET[[#This Row],[ID_CARRERA]],MAE_CARRERA[ID_CARRERA],MAE_CARRERA[NOMBRE_CARRERA],"Seleccione ID Carrera")</f>
        <v>CONTABILIDAD Y AUDITORÍA 2024 NS</v>
      </c>
      <c r="D61">
        <v>8</v>
      </c>
      <c r="E61" t="s">
        <v>56</v>
      </c>
      <c r="F61" t="str">
        <f>_xlfn.XLOOKUP(TAB_H_ASIG_CON_DET[[#This Row],[ASIGNATURA]],MAE_ASIGNATURA[NOM_ASIG],MAE_ASIGNATURA[ID_ASIG],"Seleccione Asignatura")</f>
        <v>FCACC-CO-AD-NI-8-AUDIT-INF</v>
      </c>
      <c r="G61" t="s">
        <v>27</v>
      </c>
      <c r="H61" t="str">
        <f>_xlfn.XLOOKUP(TAB_H_ASIG_CON_DET[[#This Row],[DETALLADO]],MAE_CONOCIMIENTO[CAMPO_DETALLADO],MAE_CONOCIMIENTO[ID_DDETALLADO],"Seleccione Campo Detallado")</f>
        <v>F-C-D-CON-Y A-AUD</v>
      </c>
    </row>
    <row r="62" spans="1:8">
      <c r="A62">
        <v>76</v>
      </c>
      <c r="B62" t="s">
        <v>8</v>
      </c>
      <c r="C62" t="str">
        <f>_xlfn.XLOOKUP(TAB_H_ASIG_CON_DET[[#This Row],[ID_CARRERA]],MAE_CARRERA[ID_CARRERA],MAE_CARRERA[NOMBRE_CARRERA],"Seleccione ID Carrera")</f>
        <v>CONTABILIDAD Y AUDITORÍA 2024 NS</v>
      </c>
      <c r="D62">
        <v>8</v>
      </c>
      <c r="E62" t="s">
        <v>57</v>
      </c>
      <c r="F62" t="str">
        <f>_xlfn.XLOOKUP(TAB_H_ASIG_CON_DET[[#This Row],[ASIGNATURA]],MAE_ASIGNATURA[NOM_ASIG],MAE_ASIGNATURA[ID_ASIG],"Seleccione Asignatura")</f>
        <v>FCACC-CO-AD-NI-8-AUDIT-AMB</v>
      </c>
      <c r="G62" t="s">
        <v>27</v>
      </c>
      <c r="H62" t="str">
        <f>_xlfn.XLOOKUP(TAB_H_ASIG_CON_DET[[#This Row],[DETALLADO]],MAE_CONOCIMIENTO[CAMPO_DETALLADO],MAE_CONOCIMIENTO[ID_DDETALLADO],"Seleccione Campo Detallado")</f>
        <v>F-C-D-CON-Y A-AUD</v>
      </c>
    </row>
    <row r="63" spans="1:8">
      <c r="A63">
        <v>77</v>
      </c>
      <c r="B63" t="s">
        <v>8</v>
      </c>
      <c r="C63" t="str">
        <f>_xlfn.XLOOKUP(TAB_H_ASIG_CON_DET[[#This Row],[ID_CARRERA]],MAE_CARRERA[ID_CARRERA],MAE_CARRERA[NOMBRE_CARRERA],"Seleccione ID Carrera")</f>
        <v>CONTABILIDAD Y AUDITORÍA 2024 NS</v>
      </c>
      <c r="D63">
        <v>8</v>
      </c>
      <c r="E63" t="s">
        <v>57</v>
      </c>
      <c r="F63" t="str">
        <f>_xlfn.XLOOKUP(TAB_H_ASIG_CON_DET[[#This Row],[ASIGNATURA]],MAE_ASIGNATURA[NOM_ASIG],MAE_ASIGNATURA[ID_ASIG],"Seleccione Asignatura")</f>
        <v>FCACC-CO-AD-NI-8-AUDIT-AMB</v>
      </c>
      <c r="G63" t="s">
        <v>58</v>
      </c>
      <c r="H63" t="str">
        <f>_xlfn.XLOOKUP(TAB_H_ASIG_CON_DET[[#This Row],[DETALLADO]],MAE_CONOCIMIENTO[CAMPO_DETALLADO],MAE_CONOCIMIENTO[ID_DDETALLADO],"Seleccione Campo Detallado")</f>
        <v>F-C-D-GES-AMB</v>
      </c>
    </row>
    <row r="64" spans="1:8" ht="30.75">
      <c r="A64">
        <v>78</v>
      </c>
      <c r="B64" t="s">
        <v>50</v>
      </c>
      <c r="C64" t="str">
        <f>_xlfn.XLOOKUP(TAB_H_ASIG_CON_DET[[#This Row],[ID_CARRERA]],MAE_CARRERA[ID_CARRERA],MAE_CARRERA[NOMBRE_CARRERA],"Seleccione ID Carrera")</f>
        <v>Titulación</v>
      </c>
      <c r="D64">
        <v>8</v>
      </c>
      <c r="E64" s="2" t="s">
        <v>59</v>
      </c>
      <c r="F64" t="str">
        <f>_xlfn.XLOOKUP(TAB_H_ASIG_CON_DET[[#This Row],[ASIGNATURA]],MAE_ASIGNATURA[NOM_ASIG],MAE_ASIGNATURA[ID_ASIG],"Seleccione Asignatura")</f>
        <v>FCACC-8-TITU-NI-8-Traba-de -int</v>
      </c>
      <c r="G64" t="s">
        <v>27</v>
      </c>
      <c r="H64" t="str">
        <f>_xlfn.XLOOKUP(TAB_H_ASIG_CON_DET[[#This Row],[DETALLADO]],MAE_CONOCIMIENTO[CAMPO_DETALLADO],MAE_CONOCIMIENTO[ID_DDETALLADO],"Seleccione Campo Detallado")</f>
        <v>F-C-D-CON-Y A-AUD</v>
      </c>
    </row>
    <row r="65" spans="1:8" ht="30.75">
      <c r="A65">
        <v>79</v>
      </c>
      <c r="B65" t="s">
        <v>50</v>
      </c>
      <c r="C65" t="str">
        <f>_xlfn.XLOOKUP(TAB_H_ASIG_CON_DET[[#This Row],[ID_CARRERA]],MAE_CARRERA[ID_CARRERA],MAE_CARRERA[NOMBRE_CARRERA],"Seleccione ID Carrera")</f>
        <v>Titulación</v>
      </c>
      <c r="D65">
        <v>8</v>
      </c>
      <c r="E65" s="2" t="s">
        <v>59</v>
      </c>
      <c r="F65" t="str">
        <f>_xlfn.XLOOKUP(TAB_H_ASIG_CON_DET[[#This Row],[ASIGNATURA]],MAE_ASIGNATURA[NOM_ASIG],MAE_ASIGNATURA[ID_ASIG],"Seleccione Asignatura")</f>
        <v>FCACC-8-TITU-NI-8-Traba-de -int</v>
      </c>
      <c r="G65" t="s">
        <v>29</v>
      </c>
      <c r="H65" t="str">
        <f>_xlfn.XLOOKUP(TAB_H_ASIG_CON_DET[[#This Row],[DETALLADO]],MAE_CONOCIMIENTO[CAMPO_DETALLADO],MAE_CONOCIMIENTO[ID_DDETALLADO],"Seleccione Campo Detallado")</f>
        <v>F-C-D-GES-FIN</v>
      </c>
    </row>
    <row r="66" spans="1:8" ht="30.75">
      <c r="A66">
        <v>80</v>
      </c>
      <c r="B66" t="s">
        <v>50</v>
      </c>
      <c r="C66" t="str">
        <f>_xlfn.XLOOKUP(TAB_H_ASIG_CON_DET[[#This Row],[ID_CARRERA]],MAE_CARRERA[ID_CARRERA],MAE_CARRERA[NOMBRE_CARRERA],"Seleccione ID Carrera")</f>
        <v>Titulación</v>
      </c>
      <c r="D66">
        <v>8</v>
      </c>
      <c r="E66" s="2" t="s">
        <v>59</v>
      </c>
      <c r="F66" t="str">
        <f>_xlfn.XLOOKUP(TAB_H_ASIG_CON_DET[[#This Row],[ASIGNATURA]],MAE_ASIGNATURA[NOM_ASIG],MAE_ASIGNATURA[ID_ASIG],"Seleccione Asignatura")</f>
        <v>FCACC-8-TITU-NI-8-Traba-de -int</v>
      </c>
      <c r="G66" t="s">
        <v>13</v>
      </c>
      <c r="H66" t="str">
        <f>_xlfn.XLOOKUP(TAB_H_ASIG_CON_DET[[#This Row],[DETALLADO]],MAE_CONOCIMIENTO[CAMPO_DETALLADO],MAE_CONOCIMIENTO[ID_DDETALLADO],"Seleccione Campo Detallado")</f>
        <v>F-C-D-ADM</v>
      </c>
    </row>
    <row r="67" spans="1:8" ht="30.75">
      <c r="A67">
        <v>81</v>
      </c>
      <c r="B67" t="s">
        <v>50</v>
      </c>
      <c r="C67" t="str">
        <f>_xlfn.XLOOKUP(TAB_H_ASIG_CON_DET[[#This Row],[ID_CARRERA]],MAE_CARRERA[ID_CARRERA],MAE_CARRERA[NOMBRE_CARRERA],"Seleccione ID Carrera")</f>
        <v>Titulación</v>
      </c>
      <c r="D67">
        <v>8</v>
      </c>
      <c r="E67" s="2" t="s">
        <v>60</v>
      </c>
      <c r="F67" t="str">
        <f>_xlfn.XLOOKUP(TAB_H_ASIG_CON_DET[[#This Row],[ASIGNATURA]],MAE_ASIGNATURA[NOM_ASIG],MAE_ASIGNATURA[ID_ASIG],"Seleccione Asignatura")</f>
        <v>FCACC-8-TITU-NI-8-Traba-de -int</v>
      </c>
      <c r="G67" t="s">
        <v>27</v>
      </c>
      <c r="H67" t="str">
        <f>_xlfn.XLOOKUP(TAB_H_ASIG_CON_DET[[#This Row],[DETALLADO]],MAE_CONOCIMIENTO[CAMPO_DETALLADO],MAE_CONOCIMIENTO[ID_DDETALLADO],"Seleccione Campo Detallado")</f>
        <v>F-C-D-CON-Y A-AUD</v>
      </c>
    </row>
    <row r="68" spans="1:8" ht="30.75">
      <c r="A68">
        <v>82</v>
      </c>
      <c r="B68" t="s">
        <v>50</v>
      </c>
      <c r="C68" t="str">
        <f>_xlfn.XLOOKUP(TAB_H_ASIG_CON_DET[[#This Row],[ID_CARRERA]],MAE_CARRERA[ID_CARRERA],MAE_CARRERA[NOMBRE_CARRERA],"Seleccione ID Carrera")</f>
        <v>Titulación</v>
      </c>
      <c r="D68">
        <v>8</v>
      </c>
      <c r="E68" s="2" t="s">
        <v>60</v>
      </c>
      <c r="F68" t="str">
        <f>_xlfn.XLOOKUP(TAB_H_ASIG_CON_DET[[#This Row],[ASIGNATURA]],MAE_ASIGNATURA[NOM_ASIG],MAE_ASIGNATURA[ID_ASIG],"Seleccione Asignatura")</f>
        <v>FCACC-8-TITU-NI-8-Traba-de -int</v>
      </c>
      <c r="G68" t="s">
        <v>29</v>
      </c>
      <c r="H68" t="str">
        <f>_xlfn.XLOOKUP(TAB_H_ASIG_CON_DET[[#This Row],[DETALLADO]],MAE_CONOCIMIENTO[CAMPO_DETALLADO],MAE_CONOCIMIENTO[ID_DDETALLADO],"Seleccione Campo Detallado")</f>
        <v>F-C-D-GES-FIN</v>
      </c>
    </row>
    <row r="69" spans="1:8" ht="30.75">
      <c r="A69">
        <v>83</v>
      </c>
      <c r="B69" t="s">
        <v>50</v>
      </c>
      <c r="C69" t="str">
        <f>_xlfn.XLOOKUP(TAB_H_ASIG_CON_DET[[#This Row],[ID_CARRERA]],MAE_CARRERA[ID_CARRERA],MAE_CARRERA[NOMBRE_CARRERA],"Seleccione ID Carrera")</f>
        <v>Titulación</v>
      </c>
      <c r="D69">
        <v>8</v>
      </c>
      <c r="E69" s="2" t="s">
        <v>60</v>
      </c>
      <c r="F69" t="str">
        <f>_xlfn.XLOOKUP(TAB_H_ASIG_CON_DET[[#This Row],[ASIGNATURA]],MAE_ASIGNATURA[NOM_ASIG],MAE_ASIGNATURA[ID_ASIG],"Seleccione Asignatura")</f>
        <v>FCACC-8-TITU-NI-8-Traba-de -int</v>
      </c>
      <c r="G69" t="s">
        <v>13</v>
      </c>
      <c r="H69" t="str">
        <f>_xlfn.XLOOKUP(TAB_H_ASIG_CON_DET[[#This Row],[DETALLADO]],MAE_CONOCIMIENTO[CAMPO_DETALLADO],MAE_CONOCIMIENTO[ID_DDETALLADO],"Seleccione Campo Detallado")</f>
        <v>F-C-D-ADM</v>
      </c>
    </row>
    <row r="70" spans="1:8">
      <c r="A70">
        <v>84</v>
      </c>
      <c r="B70" t="s">
        <v>61</v>
      </c>
      <c r="C70" t="str">
        <f>_xlfn.XLOOKUP(TAB_H_ASIG_CON_DET[[#This Row],[ID_CARRERA]],MAE_CARRERA[ID_CARRERA],MAE_CARRERA[NOMBRE_CARRERA],"Seleccione ID Carrera")</f>
        <v>AUDITORÍA Y CONTROL DE GESTIÓN 2024 NS</v>
      </c>
      <c r="D70">
        <v>1</v>
      </c>
      <c r="E70" t="s">
        <v>62</v>
      </c>
      <c r="F70" t="str">
        <f>_xlfn.XLOOKUP(TAB_H_ASIG_CON_DET[[#This Row],[ASIGNATURA]],MAE_ASIGNATURA[NOM_ASIG],MAE_ASIGNATURA[ID_ASIG],"Seleccione Asignatura")</f>
        <v>FCACC-AU-CO-GE-NI-1-FUNDA-DE -CON</v>
      </c>
      <c r="G70" t="s">
        <v>10</v>
      </c>
      <c r="H70" t="str">
        <f>_xlfn.XLOOKUP(TAB_H_ASIG_CON_DET[[#This Row],[DETALLADO]],MAE_CONOCIMIENTO[CAMPO_DETALLADO],MAE_CONOCIMIENTO[ID_DDETALLADO],"Seleccione Campo Detallado")</f>
        <v>F-C-D-UNI-BAS</v>
      </c>
    </row>
    <row r="71" spans="1:8">
      <c r="A71">
        <v>85</v>
      </c>
      <c r="B71" t="s">
        <v>61</v>
      </c>
      <c r="C71" t="str">
        <f>_xlfn.XLOOKUP(TAB_H_ASIG_CON_DET[[#This Row],[ID_CARRERA]],MAE_CARRERA[ID_CARRERA],MAE_CARRERA[NOMBRE_CARRERA],"Seleccione ID Carrera")</f>
        <v>AUDITORÍA Y CONTROL DE GESTIÓN 2024 NS</v>
      </c>
      <c r="D71">
        <v>1</v>
      </c>
      <c r="E71" t="s">
        <v>63</v>
      </c>
      <c r="F71" t="str">
        <f>_xlfn.XLOOKUP(TAB_H_ASIG_CON_DET[[#This Row],[ASIGNATURA]],MAE_ASIGNATURA[NOM_ASIG],MAE_ASIGNATURA[ID_ASIG],"Seleccione Asignatura")</f>
        <v>FCACC-AU-CO-GE-NI-1-FUNDA-DE -ADM</v>
      </c>
      <c r="G71" t="s">
        <v>10</v>
      </c>
      <c r="H71" t="str">
        <f>_xlfn.XLOOKUP(TAB_H_ASIG_CON_DET[[#This Row],[DETALLADO]],MAE_CONOCIMIENTO[CAMPO_DETALLADO],MAE_CONOCIMIENTO[ID_DDETALLADO],"Seleccione Campo Detallado")</f>
        <v>F-C-D-UNI-BAS</v>
      </c>
    </row>
    <row r="72" spans="1:8">
      <c r="A72">
        <v>86</v>
      </c>
      <c r="B72" t="s">
        <v>61</v>
      </c>
      <c r="C72" t="str">
        <f>_xlfn.XLOOKUP(TAB_H_ASIG_CON_DET[[#This Row],[ID_CARRERA]],MAE_CARRERA[ID_CARRERA],MAE_CARRERA[NOMBRE_CARRERA],"Seleccione ID Carrera")</f>
        <v>AUDITORÍA Y CONTROL DE GESTIÓN 2024 NS</v>
      </c>
      <c r="D72">
        <v>1</v>
      </c>
      <c r="E72" t="s">
        <v>19</v>
      </c>
      <c r="F72" t="str">
        <f>_xlfn.XLOOKUP(TAB_H_ASIG_CON_DET[[#This Row],[ASIGNATURA]],MAE_ASIGNATURA[NOM_ASIG],MAE_ASIGNATURA[ID_ASIG],"Seleccione Asignatura")</f>
        <v>FCACC-AU-CO-GE-NI-1-ESTAD-DES</v>
      </c>
      <c r="G72" t="s">
        <v>10</v>
      </c>
      <c r="H72" t="str">
        <f>_xlfn.XLOOKUP(TAB_H_ASIG_CON_DET[[#This Row],[DETALLADO]],MAE_CONOCIMIENTO[CAMPO_DETALLADO],MAE_CONOCIMIENTO[ID_DDETALLADO],"Seleccione Campo Detallado")</f>
        <v>F-C-D-UNI-BAS</v>
      </c>
    </row>
    <row r="73" spans="1:8">
      <c r="A73">
        <v>87</v>
      </c>
      <c r="B73" t="s">
        <v>61</v>
      </c>
      <c r="C73" t="str">
        <f>_xlfn.XLOOKUP(TAB_H_ASIG_CON_DET[[#This Row],[ID_CARRERA]],MAE_CARRERA[ID_CARRERA],MAE_CARRERA[NOMBRE_CARRERA],"Seleccione ID Carrera")</f>
        <v>AUDITORÍA Y CONTROL DE GESTIÓN 2024 NS</v>
      </c>
      <c r="D73">
        <v>1</v>
      </c>
      <c r="E73" t="s">
        <v>64</v>
      </c>
      <c r="F73" t="str">
        <f>_xlfn.XLOOKUP(TAB_H_ASIG_CON_DET[[#This Row],[ASIGNATURA]],MAE_ASIGNATURA[NOM_ASIG],MAE_ASIGNATURA[ID_ASIG],"Seleccione Asignatura")</f>
        <v>FCACC-AU-CO-GE-NI-1-LEGIS-MER-Y</v>
      </c>
      <c r="G73" t="s">
        <v>10</v>
      </c>
      <c r="H73" t="str">
        <f>_xlfn.XLOOKUP(TAB_H_ASIG_CON_DET[[#This Row],[DETALLADO]],MAE_CONOCIMIENTO[CAMPO_DETALLADO],MAE_CONOCIMIENTO[ID_DDETALLADO],"Seleccione Campo Detallado")</f>
        <v>F-C-D-UNI-BAS</v>
      </c>
    </row>
    <row r="74" spans="1:8">
      <c r="A74">
        <v>88</v>
      </c>
      <c r="B74" t="s">
        <v>61</v>
      </c>
      <c r="C74" t="str">
        <f>_xlfn.XLOOKUP(TAB_H_ASIG_CON_DET[[#This Row],[ID_CARRERA]],MAE_CARRERA[ID_CARRERA],MAE_CARRERA[NOMBRE_CARRERA],"Seleccione ID Carrera")</f>
        <v>AUDITORÍA Y CONTROL DE GESTIÓN 2024 NS</v>
      </c>
      <c r="D74">
        <v>2</v>
      </c>
      <c r="E74" t="s">
        <v>65</v>
      </c>
      <c r="F74" t="str">
        <f>_xlfn.XLOOKUP(TAB_H_ASIG_CON_DET[[#This Row],[ASIGNATURA]],MAE_ASIGNATURA[NOM_ASIG],MAE_ASIGNATURA[ID_ASIG],"Seleccione Asignatura")</f>
        <v>FCACC-AD-EM-NI-2-CONTA-FIN</v>
      </c>
      <c r="G74" t="s">
        <v>10</v>
      </c>
      <c r="H74" t="str">
        <f>_xlfn.XLOOKUP(TAB_H_ASIG_CON_DET[[#This Row],[DETALLADO]],MAE_CONOCIMIENTO[CAMPO_DETALLADO],MAE_CONOCIMIENTO[ID_DDETALLADO],"Seleccione Campo Detallado")</f>
        <v>F-C-D-UNI-BAS</v>
      </c>
    </row>
    <row r="75" spans="1:8">
      <c r="A75">
        <v>89</v>
      </c>
      <c r="B75" t="s">
        <v>61</v>
      </c>
      <c r="C75" t="str">
        <f>_xlfn.XLOOKUP(TAB_H_ASIG_CON_DET[[#This Row],[ID_CARRERA]],MAE_CARRERA[ID_CARRERA],MAE_CARRERA[NOMBRE_CARRERA],"Seleccione ID Carrera")</f>
        <v>AUDITORÍA Y CONTROL DE GESTIÓN 2024 NS</v>
      </c>
      <c r="D75">
        <v>2</v>
      </c>
      <c r="E75" t="s">
        <v>18</v>
      </c>
      <c r="F75" t="str">
        <f>_xlfn.XLOOKUP(TAB_H_ASIG_CON_DET[[#This Row],[ASIGNATURA]],MAE_ASIGNATURA[NOM_ASIG],MAE_ASIGNATURA[ID_ASIG],"Seleccione Asignatura")</f>
        <v>FCACC-AD-EM-NI-2-MATEM-FIN</v>
      </c>
      <c r="G75" t="s">
        <v>10</v>
      </c>
      <c r="H75" t="str">
        <f>_xlfn.XLOOKUP(TAB_H_ASIG_CON_DET[[#This Row],[DETALLADO]],MAE_CONOCIMIENTO[CAMPO_DETALLADO],MAE_CONOCIMIENTO[ID_DDETALLADO],"Seleccione Campo Detallado")</f>
        <v>F-C-D-UNI-BAS</v>
      </c>
    </row>
    <row r="76" spans="1:8">
      <c r="A76">
        <v>90</v>
      </c>
      <c r="B76" t="s">
        <v>61</v>
      </c>
      <c r="C76" t="str">
        <f>_xlfn.XLOOKUP(TAB_H_ASIG_CON_DET[[#This Row],[ID_CARRERA]],MAE_CARRERA[ID_CARRERA],MAE_CARRERA[NOMBRE_CARRERA],"Seleccione ID Carrera")</f>
        <v>AUDITORÍA Y CONTROL DE GESTIÓN 2024 NS</v>
      </c>
      <c r="D76">
        <v>2</v>
      </c>
      <c r="E76" t="s">
        <v>66</v>
      </c>
      <c r="F76" t="str">
        <f>_xlfn.XLOOKUP(TAB_H_ASIG_CON_DET[[#This Row],[ASIGNATURA]],MAE_ASIGNATURA[NOM_ASIG],MAE_ASIGNATURA[ID_ASIG],"Seleccione Asignatura")</f>
        <v>FCACC-AU-CO-GE-NI-2-ESTAD-INF</v>
      </c>
      <c r="G76" t="s">
        <v>10</v>
      </c>
      <c r="H76" t="str">
        <f>_xlfn.XLOOKUP(TAB_H_ASIG_CON_DET[[#This Row],[DETALLADO]],MAE_CONOCIMIENTO[CAMPO_DETALLADO],MAE_CONOCIMIENTO[ID_DDETALLADO],"Seleccione Campo Detallado")</f>
        <v>F-C-D-UNI-BAS</v>
      </c>
    </row>
    <row r="77" spans="1:8">
      <c r="A77">
        <v>91</v>
      </c>
      <c r="B77" t="s">
        <v>61</v>
      </c>
      <c r="C77" t="str">
        <f>_xlfn.XLOOKUP(TAB_H_ASIG_CON_DET[[#This Row],[ID_CARRERA]],MAE_CARRERA[ID_CARRERA],MAE_CARRERA[NOMBRE_CARRERA],"Seleccione ID Carrera")</f>
        <v>AUDITORÍA Y CONTROL DE GESTIÓN 2024 NS</v>
      </c>
      <c r="D77">
        <v>2</v>
      </c>
      <c r="E77" t="s">
        <v>15</v>
      </c>
      <c r="F77" t="str">
        <f>_xlfn.XLOOKUP(TAB_H_ASIG_CON_DET[[#This Row],[ASIGNATURA]],MAE_ASIGNATURA[NOM_ASIG],MAE_ASIGNATURA[ID_ASIG],"Seleccione Asignatura")</f>
        <v>FCACC-AU-CO-GE-NI-2-LEGIS-LAB</v>
      </c>
      <c r="G77" t="s">
        <v>10</v>
      </c>
      <c r="H77" t="str">
        <f>_xlfn.XLOOKUP(TAB_H_ASIG_CON_DET[[#This Row],[DETALLADO]],MAE_CONOCIMIENTO[CAMPO_DETALLADO],MAE_CONOCIMIENTO[ID_DDETALLADO],"Seleccione Campo Detallado")</f>
        <v>F-C-D-UNI-BAS</v>
      </c>
    </row>
    <row r="78" spans="1:8">
      <c r="A78">
        <v>92</v>
      </c>
      <c r="B78" t="s">
        <v>61</v>
      </c>
      <c r="C78" t="str">
        <f>_xlfn.XLOOKUP(TAB_H_ASIG_CON_DET[[#This Row],[ID_CARRERA]],MAE_CARRERA[ID_CARRERA],MAE_CARRERA[NOMBRE_CARRERA],"Seleccione ID Carrera")</f>
        <v>AUDITORÍA Y CONTROL DE GESTIÓN 2024 NS</v>
      </c>
      <c r="D78">
        <v>3</v>
      </c>
      <c r="E78" t="s">
        <v>33</v>
      </c>
      <c r="F78" t="str">
        <f>_xlfn.XLOOKUP(TAB_H_ASIG_CON_DET[[#This Row],[ASIGNATURA]],MAE_ASIGNATURA[NOM_ASIG],MAE_ASIGNATURA[ID_ASIG],"Seleccione Asignatura")</f>
        <v>FCACC-AD-EM-NI-1-CONTA-DE -COS</v>
      </c>
      <c r="G78" t="s">
        <v>27</v>
      </c>
      <c r="H78" t="str">
        <f>_xlfn.XLOOKUP(TAB_H_ASIG_CON_DET[[#This Row],[DETALLADO]],MAE_CONOCIMIENTO[CAMPO_DETALLADO],MAE_CONOCIMIENTO[ID_DDETALLADO],"Seleccione Campo Detallado")</f>
        <v>F-C-D-CON-Y A-AUD</v>
      </c>
    </row>
    <row r="79" spans="1:8">
      <c r="A79">
        <v>93</v>
      </c>
      <c r="B79" t="s">
        <v>61</v>
      </c>
      <c r="C79" t="str">
        <f>_xlfn.XLOOKUP(TAB_H_ASIG_CON_DET[[#This Row],[ID_CARRERA]],MAE_CARRERA[ID_CARRERA],MAE_CARRERA[NOMBRE_CARRERA],"Seleccione ID Carrera")</f>
        <v>AUDITORÍA Y CONTROL DE GESTIÓN 2024 NS</v>
      </c>
      <c r="D79">
        <v>3</v>
      </c>
      <c r="E79" t="s">
        <v>67</v>
      </c>
      <c r="F79" t="str">
        <f>_xlfn.XLOOKUP(TAB_H_ASIG_CON_DET[[#This Row],[ASIGNATURA]],MAE_ASIGNATURA[NOM_ASIG],MAE_ASIGNATURA[ID_ASIG],"Seleccione Asignatura")</f>
        <v>FCACC-AU-CO-GE-NI-3-CONTA-SOC-Y A</v>
      </c>
      <c r="G79" t="s">
        <v>27</v>
      </c>
      <c r="H79" t="str">
        <f>_xlfn.XLOOKUP(TAB_H_ASIG_CON_DET[[#This Row],[DETALLADO]],MAE_CONOCIMIENTO[CAMPO_DETALLADO],MAE_CONOCIMIENTO[ID_DDETALLADO],"Seleccione Campo Detallado")</f>
        <v>F-C-D-CON-Y A-AUD</v>
      </c>
    </row>
    <row r="80" spans="1:8">
      <c r="A80">
        <v>94</v>
      </c>
      <c r="B80" t="s">
        <v>61</v>
      </c>
      <c r="C80" t="str">
        <f>_xlfn.XLOOKUP(TAB_H_ASIG_CON_DET[[#This Row],[ID_CARRERA]],MAE_CARRERA[ID_CARRERA],MAE_CARRERA[NOMBRE_CARRERA],"Seleccione ID Carrera")</f>
        <v>AUDITORÍA Y CONTROL DE GESTIÓN 2024 NS</v>
      </c>
      <c r="D80">
        <v>3</v>
      </c>
      <c r="E80" t="s">
        <v>28</v>
      </c>
      <c r="F80" t="str">
        <f>_xlfn.XLOOKUP(TAB_H_ASIG_CON_DET[[#This Row],[ASIGNATURA]],MAE_ASIGNATURA[NOM_ASIG],MAE_ASIGNATURA[ID_ASIG],"Seleccione Asignatura")</f>
        <v>FCACC-AU-CO-GE-NI-3-ADMIN-FIN</v>
      </c>
      <c r="G80" t="s">
        <v>27</v>
      </c>
      <c r="H80" t="str">
        <f>_xlfn.XLOOKUP(TAB_H_ASIG_CON_DET[[#This Row],[DETALLADO]],MAE_CONOCIMIENTO[CAMPO_DETALLADO],MAE_CONOCIMIENTO[ID_DDETALLADO],"Seleccione Campo Detallado")</f>
        <v>F-C-D-CON-Y A-AUD</v>
      </c>
    </row>
    <row r="81" spans="1:8">
      <c r="A81">
        <v>95</v>
      </c>
      <c r="B81" t="s">
        <v>61</v>
      </c>
      <c r="C81" t="str">
        <f>_xlfn.XLOOKUP(TAB_H_ASIG_CON_DET[[#This Row],[ID_CARRERA]],MAE_CARRERA[ID_CARRERA],MAE_CARRERA[NOMBRE_CARRERA],"Seleccione ID Carrera")</f>
        <v>AUDITORÍA Y CONTROL DE GESTIÓN 2024 NS</v>
      </c>
      <c r="D81">
        <v>3</v>
      </c>
      <c r="E81" t="s">
        <v>28</v>
      </c>
      <c r="F81" t="str">
        <f>_xlfn.XLOOKUP(TAB_H_ASIG_CON_DET[[#This Row],[ASIGNATURA]],MAE_ASIGNATURA[NOM_ASIG],MAE_ASIGNATURA[ID_ASIG],"Seleccione Asignatura")</f>
        <v>FCACC-AU-CO-GE-NI-3-ADMIN-FIN</v>
      </c>
      <c r="G81" t="s">
        <v>29</v>
      </c>
      <c r="H81" t="str">
        <f>_xlfn.XLOOKUP(TAB_H_ASIG_CON_DET[[#This Row],[DETALLADO]],MAE_CONOCIMIENTO[CAMPO_DETALLADO],MAE_CONOCIMIENTO[ID_DDETALLADO],"Seleccione Campo Detallado")</f>
        <v>F-C-D-GES-FIN</v>
      </c>
    </row>
    <row r="82" spans="1:8">
      <c r="A82">
        <v>96</v>
      </c>
      <c r="B82" t="s">
        <v>61</v>
      </c>
      <c r="C82" t="str">
        <f>_xlfn.XLOOKUP(TAB_H_ASIG_CON_DET[[#This Row],[ID_CARRERA]],MAE_CARRERA[ID_CARRERA],MAE_CARRERA[NOMBRE_CARRERA],"Seleccione ID Carrera")</f>
        <v>AUDITORÍA Y CONTROL DE GESTIÓN 2024 NS</v>
      </c>
      <c r="D82">
        <v>3</v>
      </c>
      <c r="E82" t="s">
        <v>28</v>
      </c>
      <c r="F82" t="str">
        <f>_xlfn.XLOOKUP(TAB_H_ASIG_CON_DET[[#This Row],[ASIGNATURA]],MAE_ASIGNATURA[NOM_ASIG],MAE_ASIGNATURA[ID_ASIG],"Seleccione Asignatura")</f>
        <v>FCACC-AU-CO-GE-NI-3-ADMIN-FIN</v>
      </c>
      <c r="G82" t="s">
        <v>13</v>
      </c>
      <c r="H82" t="str">
        <f>_xlfn.XLOOKUP(TAB_H_ASIG_CON_DET[[#This Row],[DETALLADO]],MAE_CONOCIMIENTO[CAMPO_DETALLADO],MAE_CONOCIMIENTO[ID_DDETALLADO],"Seleccione Campo Detallado")</f>
        <v>F-C-D-ADM</v>
      </c>
    </row>
    <row r="83" spans="1:8">
      <c r="A83">
        <v>97</v>
      </c>
      <c r="B83" t="s">
        <v>61</v>
      </c>
      <c r="C83" t="str">
        <f>_xlfn.XLOOKUP(TAB_H_ASIG_CON_DET[[#This Row],[ID_CARRERA]],MAE_CARRERA[ID_CARRERA],MAE_CARRERA[NOMBRE_CARRERA],"Seleccione ID Carrera")</f>
        <v>AUDITORÍA Y CONTROL DE GESTIÓN 2024 NS</v>
      </c>
      <c r="D83">
        <v>3</v>
      </c>
      <c r="E83" t="s">
        <v>68</v>
      </c>
      <c r="F83" t="str">
        <f>_xlfn.XLOOKUP(TAB_H_ASIG_CON_DET[[#This Row],[ASIGNATURA]],MAE_ASIGNATURA[NOM_ASIG],MAE_ASIGNATURA[ID_ASIG],"Seleccione Asignatura")</f>
        <v>FCACC-AU-CO-GE-NI-3-FUNDA-DE -AUD</v>
      </c>
      <c r="G83" t="s">
        <v>27</v>
      </c>
      <c r="H83" t="str">
        <f>_xlfn.XLOOKUP(TAB_H_ASIG_CON_DET[[#This Row],[DETALLADO]],MAE_CONOCIMIENTO[CAMPO_DETALLADO],MAE_CONOCIMIENTO[ID_DDETALLADO],"Seleccione Campo Detallado")</f>
        <v>F-C-D-CON-Y A-AUD</v>
      </c>
    </row>
    <row r="84" spans="1:8">
      <c r="A84">
        <v>98</v>
      </c>
      <c r="B84" t="s">
        <v>61</v>
      </c>
      <c r="C84" t="str">
        <f>_xlfn.XLOOKUP(TAB_H_ASIG_CON_DET[[#This Row],[ID_CARRERA]],MAE_CARRERA[ID_CARRERA],MAE_CARRERA[NOMBRE_CARRERA],"Seleccione ID Carrera")</f>
        <v>AUDITORÍA Y CONTROL DE GESTIÓN 2024 NS</v>
      </c>
      <c r="D84">
        <v>3</v>
      </c>
      <c r="E84" t="s">
        <v>69</v>
      </c>
      <c r="F84" t="str">
        <f>_xlfn.XLOOKUP(TAB_H_ASIG_CON_DET[[#This Row],[ASIGNATURA]],MAE_ASIGNATURA[NOM_ASIG],MAE_ASIGNATURA[ID_ASIG],"Seleccione Asignatura")</f>
        <v>FCACC-AU-CO-GE-NI-3-GESTI-DE -TAL</v>
      </c>
      <c r="G84" t="s">
        <v>13</v>
      </c>
      <c r="H84" t="str">
        <f>_xlfn.XLOOKUP(TAB_H_ASIG_CON_DET[[#This Row],[DETALLADO]],MAE_CONOCIMIENTO[CAMPO_DETALLADO],MAE_CONOCIMIENTO[ID_DDETALLADO],"Seleccione Campo Detallado")</f>
        <v>F-C-D-ADM</v>
      </c>
    </row>
    <row r="85" spans="1:8">
      <c r="A85">
        <v>99</v>
      </c>
      <c r="B85" t="s">
        <v>61</v>
      </c>
      <c r="C85" t="str">
        <f>_xlfn.XLOOKUP(TAB_H_ASIG_CON_DET[[#This Row],[ID_CARRERA]],MAE_CARRERA[ID_CARRERA],MAE_CARRERA[NOMBRE_CARRERA],"Seleccione ID Carrera")</f>
        <v>AUDITORÍA Y CONTROL DE GESTIÓN 2024 NS</v>
      </c>
      <c r="D85">
        <v>3</v>
      </c>
      <c r="E85" t="s">
        <v>69</v>
      </c>
      <c r="F85" t="str">
        <f>_xlfn.XLOOKUP(TAB_H_ASIG_CON_DET[[#This Row],[ASIGNATURA]],MAE_ASIGNATURA[NOM_ASIG],MAE_ASIGNATURA[ID_ASIG],"Seleccione Asignatura")</f>
        <v>FCACC-AU-CO-GE-NI-3-GESTI-DE -TAL</v>
      </c>
      <c r="G85" t="s">
        <v>70</v>
      </c>
      <c r="H85" t="str">
        <f>_xlfn.XLOOKUP(TAB_H_ASIG_CON_DET[[#This Row],[DETALLADO]],MAE_CONOCIMIENTO[CAMPO_DETALLADO],MAE_CONOCIMIENTO[ID_DDETALLADO],"Seleccione Campo Detallado")</f>
        <v>F-C-D-COM-LAB</v>
      </c>
    </row>
    <row r="86" spans="1:8">
      <c r="A86">
        <v>100</v>
      </c>
      <c r="B86" t="s">
        <v>61</v>
      </c>
      <c r="C86" t="str">
        <f>_xlfn.XLOOKUP(TAB_H_ASIG_CON_DET[[#This Row],[ID_CARRERA]],MAE_CARRERA[ID_CARRERA],MAE_CARRERA[NOMBRE_CARRERA],"Seleccione ID Carrera")</f>
        <v>AUDITORÍA Y CONTROL DE GESTIÓN 2024 NS</v>
      </c>
      <c r="D86">
        <v>3</v>
      </c>
      <c r="E86" t="s">
        <v>69</v>
      </c>
      <c r="F86" t="str">
        <f>_xlfn.XLOOKUP(TAB_H_ASIG_CON_DET[[#This Row],[ASIGNATURA]],MAE_ASIGNATURA[NOM_ASIG],MAE_ASIGNATURA[ID_ASIG],"Seleccione Asignatura")</f>
        <v>FCACC-AU-CO-GE-NI-3-GESTI-DE -TAL</v>
      </c>
      <c r="G86" t="s">
        <v>71</v>
      </c>
      <c r="H86" t="str">
        <f>_xlfn.XLOOKUP(TAB_H_ASIG_CON_DET[[#This Row],[DETALLADO]],MAE_CONOCIMIENTO[CAMPO_DETALLADO],MAE_CONOCIMIENTO[ID_DDETALLADO],"Seleccione Campo Detallado")</f>
        <v>F-C-D-DER-HUM</v>
      </c>
    </row>
    <row r="87" spans="1:8">
      <c r="A87">
        <v>101</v>
      </c>
      <c r="B87" t="s">
        <v>61</v>
      </c>
      <c r="C87" t="str">
        <f>_xlfn.XLOOKUP(TAB_H_ASIG_CON_DET[[#This Row],[ID_CARRERA]],MAE_CARRERA[ID_CARRERA],MAE_CARRERA[NOMBRE_CARRERA],"Seleccione ID Carrera")</f>
        <v>AUDITORÍA Y CONTROL DE GESTIÓN 2024 NS</v>
      </c>
      <c r="D87">
        <v>4</v>
      </c>
      <c r="E87" t="s">
        <v>72</v>
      </c>
      <c r="F87" t="str">
        <f>_xlfn.XLOOKUP(TAB_H_ASIG_CON_DET[[#This Row],[ASIGNATURA]],MAE_ASIGNATURA[NOM_ASIG],MAE_ASIGNATURA[ID_ASIG],"Seleccione Asignatura")</f>
        <v>FCACC-AU-CO-GE-NI-4-PLANI-DE -AUD</v>
      </c>
      <c r="G87" t="s">
        <v>27</v>
      </c>
      <c r="H87" t="str">
        <f>_xlfn.XLOOKUP(TAB_H_ASIG_CON_DET[[#This Row],[DETALLADO]],MAE_CONOCIMIENTO[CAMPO_DETALLADO],MAE_CONOCIMIENTO[ID_DDETALLADO],"Seleccione Campo Detallado")</f>
        <v>F-C-D-CON-Y A-AUD</v>
      </c>
    </row>
    <row r="88" spans="1:8">
      <c r="A88">
        <v>102</v>
      </c>
      <c r="B88" t="s">
        <v>61</v>
      </c>
      <c r="C88" t="str">
        <f>_xlfn.XLOOKUP(TAB_H_ASIG_CON_DET[[#This Row],[ID_CARRERA]],MAE_CARRERA[ID_CARRERA],MAE_CARRERA[NOMBRE_CARRERA],"Seleccione ID Carrera")</f>
        <v>AUDITORÍA Y CONTROL DE GESTIÓN 2024 NS</v>
      </c>
      <c r="D88">
        <v>4</v>
      </c>
      <c r="E88" t="s">
        <v>73</v>
      </c>
      <c r="F88" t="str">
        <f>_xlfn.XLOOKUP(TAB_H_ASIG_CON_DET[[#This Row],[ASIGNATURA]],MAE_ASIGNATURA[NOM_ASIG],MAE_ASIGNATURA[ID_ASIG],"Seleccione Asignatura")</f>
        <v xml:space="preserve">FCACC-AU-CO-GE-NI-4-CONTA-EN -EL </v>
      </c>
      <c r="G88" t="s">
        <v>27</v>
      </c>
      <c r="H88" t="str">
        <f>_xlfn.XLOOKUP(TAB_H_ASIG_CON_DET[[#This Row],[DETALLADO]],MAE_CONOCIMIENTO[CAMPO_DETALLADO],MAE_CONOCIMIENTO[ID_DDETALLADO],"Seleccione Campo Detallado")</f>
        <v>F-C-D-CON-Y A-AUD</v>
      </c>
    </row>
    <row r="89" spans="1:8">
      <c r="A89">
        <v>103</v>
      </c>
      <c r="B89" t="s">
        <v>61</v>
      </c>
      <c r="C89" t="str">
        <f>_xlfn.XLOOKUP(TAB_H_ASIG_CON_DET[[#This Row],[ID_CARRERA]],MAE_CARRERA[ID_CARRERA],MAE_CARRERA[NOMBRE_CARRERA],"Seleccione ID Carrera")</f>
        <v>AUDITORÍA Y CONTROL DE GESTIÓN 2024 NS</v>
      </c>
      <c r="D89">
        <v>4</v>
      </c>
      <c r="E89" t="s">
        <v>74</v>
      </c>
      <c r="F89" t="str">
        <f>_xlfn.XLOOKUP(TAB_H_ASIG_CON_DET[[#This Row],[ASIGNATURA]],MAE_ASIGNATURA[NOM_ASIG],MAE_ASIGNATURA[ID_ASIG],"Seleccione Asignatura")</f>
        <v>FCACC-AU-CO-GE-NI-4-GESTI-TRI</v>
      </c>
      <c r="G89" t="s">
        <v>27</v>
      </c>
      <c r="H89" t="str">
        <f>_xlfn.XLOOKUP(TAB_H_ASIG_CON_DET[[#This Row],[DETALLADO]],MAE_CONOCIMIENTO[CAMPO_DETALLADO],MAE_CONOCIMIENTO[ID_DDETALLADO],"Seleccione Campo Detallado")</f>
        <v>F-C-D-CON-Y A-AUD</v>
      </c>
    </row>
    <row r="90" spans="1:8">
      <c r="A90">
        <v>104</v>
      </c>
      <c r="B90" t="s">
        <v>61</v>
      </c>
      <c r="C90" t="str">
        <f>_xlfn.XLOOKUP(TAB_H_ASIG_CON_DET[[#This Row],[ID_CARRERA]],MAE_CARRERA[ID_CARRERA],MAE_CARRERA[NOMBRE_CARRERA],"Seleccione ID Carrera")</f>
        <v>AUDITORÍA Y CONTROL DE GESTIÓN 2024 NS</v>
      </c>
      <c r="D90">
        <v>4</v>
      </c>
      <c r="E90" t="s">
        <v>31</v>
      </c>
      <c r="F90" t="str">
        <f>_xlfn.XLOOKUP(TAB_H_ASIG_CON_DET[[#This Row],[ASIGNATURA]],MAE_ASIGNATURA[NOM_ASIG],MAE_ASIGNATURA[ID_ASIG],"Seleccione Asignatura")</f>
        <v>FCACC-AU-CO-GE-NI-4-PLANI-Y D-DIR</v>
      </c>
      <c r="G90" t="s">
        <v>27</v>
      </c>
      <c r="H90" t="str">
        <f>_xlfn.XLOOKUP(TAB_H_ASIG_CON_DET[[#This Row],[DETALLADO]],MAE_CONOCIMIENTO[CAMPO_DETALLADO],MAE_CONOCIMIENTO[ID_DDETALLADO],"Seleccione Campo Detallado")</f>
        <v>F-C-D-CON-Y A-AUD</v>
      </c>
    </row>
    <row r="91" spans="1:8">
      <c r="A91">
        <v>105</v>
      </c>
      <c r="B91" t="s">
        <v>61</v>
      </c>
      <c r="C91" t="str">
        <f>_xlfn.XLOOKUP(TAB_H_ASIG_CON_DET[[#This Row],[ID_CARRERA]],MAE_CARRERA[ID_CARRERA],MAE_CARRERA[NOMBRE_CARRERA],"Seleccione ID Carrera")</f>
        <v>AUDITORÍA Y CONTROL DE GESTIÓN 2024 NS</v>
      </c>
      <c r="D91">
        <v>4</v>
      </c>
      <c r="E91" t="s">
        <v>31</v>
      </c>
      <c r="F91" t="str">
        <f>_xlfn.XLOOKUP(TAB_H_ASIG_CON_DET[[#This Row],[ASIGNATURA]],MAE_ASIGNATURA[NOM_ASIG],MAE_ASIGNATURA[ID_ASIG],"Seleccione Asignatura")</f>
        <v>FCACC-AU-CO-GE-NI-4-PLANI-Y D-DIR</v>
      </c>
      <c r="G91" t="s">
        <v>29</v>
      </c>
      <c r="H91" t="str">
        <f>_xlfn.XLOOKUP(TAB_H_ASIG_CON_DET[[#This Row],[DETALLADO]],MAE_CONOCIMIENTO[CAMPO_DETALLADO],MAE_CONOCIMIENTO[ID_DDETALLADO],"Seleccione Campo Detallado")</f>
        <v>F-C-D-GES-FIN</v>
      </c>
    </row>
    <row r="92" spans="1:8">
      <c r="A92">
        <v>106</v>
      </c>
      <c r="B92" t="s">
        <v>61</v>
      </c>
      <c r="C92" t="str">
        <f>_xlfn.XLOOKUP(TAB_H_ASIG_CON_DET[[#This Row],[ID_CARRERA]],MAE_CARRERA[ID_CARRERA],MAE_CARRERA[NOMBRE_CARRERA],"Seleccione ID Carrera")</f>
        <v>AUDITORÍA Y CONTROL DE GESTIÓN 2024 NS</v>
      </c>
      <c r="D92">
        <v>4</v>
      </c>
      <c r="E92" t="s">
        <v>31</v>
      </c>
      <c r="F92" t="str">
        <f>_xlfn.XLOOKUP(TAB_H_ASIG_CON_DET[[#This Row],[ASIGNATURA]],MAE_ASIGNATURA[NOM_ASIG],MAE_ASIGNATURA[ID_ASIG],"Seleccione Asignatura")</f>
        <v>FCACC-AU-CO-GE-NI-4-PLANI-Y D-DIR</v>
      </c>
      <c r="G92" t="s">
        <v>13</v>
      </c>
      <c r="H92" t="str">
        <f>_xlfn.XLOOKUP(TAB_H_ASIG_CON_DET[[#This Row],[DETALLADO]],MAE_CONOCIMIENTO[CAMPO_DETALLADO],MAE_CONOCIMIENTO[ID_DDETALLADO],"Seleccione Campo Detallado")</f>
        <v>F-C-D-ADM</v>
      </c>
    </row>
    <row r="93" spans="1:8">
      <c r="A93">
        <v>107</v>
      </c>
      <c r="B93" t="s">
        <v>61</v>
      </c>
      <c r="C93" t="str">
        <f>_xlfn.XLOOKUP(TAB_H_ASIG_CON_DET[[#This Row],[ID_CARRERA]],MAE_CARRERA[ID_CARRERA],MAE_CARRERA[NOMBRE_CARRERA],"Seleccione ID Carrera")</f>
        <v>AUDITORÍA Y CONTROL DE GESTIÓN 2024 NS</v>
      </c>
      <c r="D93">
        <v>4</v>
      </c>
      <c r="E93" t="s">
        <v>75</v>
      </c>
      <c r="F93" t="str">
        <f>_xlfn.XLOOKUP(TAB_H_ASIG_CON_DET[[#This Row],[ASIGNATURA]],MAE_ASIGNATURA[NOM_ASIG],MAE_ASIGNATURA[ID_ASIG],"Seleccione Asignatura")</f>
        <v>FCACC-AU-CO-GE-NI-4-ÉTICA-PRO</v>
      </c>
      <c r="G93" t="s">
        <v>27</v>
      </c>
      <c r="H93" t="str">
        <f>_xlfn.XLOOKUP(TAB_H_ASIG_CON_DET[[#This Row],[DETALLADO]],MAE_CONOCIMIENTO[CAMPO_DETALLADO],MAE_CONOCIMIENTO[ID_DDETALLADO],"Seleccione Campo Detallado")</f>
        <v>F-C-D-CON-Y A-AUD</v>
      </c>
    </row>
    <row r="94" spans="1:8">
      <c r="A94">
        <v>108</v>
      </c>
      <c r="B94" t="s">
        <v>61</v>
      </c>
      <c r="C94" t="str">
        <f>_xlfn.XLOOKUP(TAB_H_ASIG_CON_DET[[#This Row],[ID_CARRERA]],MAE_CARRERA[ID_CARRERA],MAE_CARRERA[NOMBRE_CARRERA],"Seleccione ID Carrera")</f>
        <v>AUDITORÍA Y CONTROL DE GESTIÓN 2024 NS</v>
      </c>
      <c r="D94">
        <v>4</v>
      </c>
      <c r="E94" t="s">
        <v>75</v>
      </c>
      <c r="F94" t="str">
        <f>_xlfn.XLOOKUP(TAB_H_ASIG_CON_DET[[#This Row],[ASIGNATURA]],MAE_ASIGNATURA[NOM_ASIG],MAE_ASIGNATURA[ID_ASIG],"Seleccione Asignatura")</f>
        <v>FCACC-AU-CO-GE-NI-4-ÉTICA-PRO</v>
      </c>
      <c r="G94" t="s">
        <v>29</v>
      </c>
      <c r="H94" t="str">
        <f>_xlfn.XLOOKUP(TAB_H_ASIG_CON_DET[[#This Row],[DETALLADO]],MAE_CONOCIMIENTO[CAMPO_DETALLADO],MAE_CONOCIMIENTO[ID_DDETALLADO],"Seleccione Campo Detallado")</f>
        <v>F-C-D-GES-FIN</v>
      </c>
    </row>
    <row r="95" spans="1:8">
      <c r="A95">
        <v>109</v>
      </c>
      <c r="B95" t="s">
        <v>61</v>
      </c>
      <c r="C95" t="str">
        <f>_xlfn.XLOOKUP(TAB_H_ASIG_CON_DET[[#This Row],[ID_CARRERA]],MAE_CARRERA[ID_CARRERA],MAE_CARRERA[NOMBRE_CARRERA],"Seleccione ID Carrera")</f>
        <v>AUDITORÍA Y CONTROL DE GESTIÓN 2024 NS</v>
      </c>
      <c r="D95">
        <v>4</v>
      </c>
      <c r="E95" t="s">
        <v>75</v>
      </c>
      <c r="F95" t="str">
        <f>_xlfn.XLOOKUP(TAB_H_ASIG_CON_DET[[#This Row],[ASIGNATURA]],MAE_ASIGNATURA[NOM_ASIG],MAE_ASIGNATURA[ID_ASIG],"Seleccione Asignatura")</f>
        <v>FCACC-AU-CO-GE-NI-4-ÉTICA-PRO</v>
      </c>
      <c r="G95" t="s">
        <v>13</v>
      </c>
      <c r="H95" t="str">
        <f>_xlfn.XLOOKUP(TAB_H_ASIG_CON_DET[[#This Row],[DETALLADO]],MAE_CONOCIMIENTO[CAMPO_DETALLADO],MAE_CONOCIMIENTO[ID_DDETALLADO],"Seleccione Campo Detallado")</f>
        <v>F-C-D-ADM</v>
      </c>
    </row>
    <row r="96" spans="1:8">
      <c r="A96">
        <v>110</v>
      </c>
      <c r="B96" t="s">
        <v>61</v>
      </c>
      <c r="C96" t="str">
        <f>_xlfn.XLOOKUP(TAB_H_ASIG_CON_DET[[#This Row],[ID_CARRERA]],MAE_CARRERA[ID_CARRERA],MAE_CARRERA[NOMBRE_CARRERA],"Seleccione ID Carrera")</f>
        <v>AUDITORÍA Y CONTROL DE GESTIÓN 2024 NS</v>
      </c>
      <c r="D96">
        <v>5</v>
      </c>
      <c r="E96" t="s">
        <v>76</v>
      </c>
      <c r="F96" t="str">
        <f>_xlfn.XLOOKUP(TAB_H_ASIG_CON_DET[[#This Row],[ASIGNATURA]],MAE_ASIGNATURA[NOM_ASIG],MAE_ASIGNATURA[ID_ASIG],"Seleccione Asignatura")</f>
        <v xml:space="preserve">FCACC-AU-CO-GE-NI-5-GESTI-DE -LA </v>
      </c>
      <c r="G96" t="s">
        <v>13</v>
      </c>
      <c r="H96" t="str">
        <f>_xlfn.XLOOKUP(TAB_H_ASIG_CON_DET[[#This Row],[DETALLADO]],MAE_CONOCIMIENTO[CAMPO_DETALLADO],MAE_CONOCIMIENTO[ID_DDETALLADO],"Seleccione Campo Detallado")</f>
        <v>F-C-D-ADM</v>
      </c>
    </row>
    <row r="97" spans="1:8">
      <c r="A97">
        <v>111</v>
      </c>
      <c r="B97" t="s">
        <v>61</v>
      </c>
      <c r="C97" t="str">
        <f>_xlfn.XLOOKUP(TAB_H_ASIG_CON_DET[[#This Row],[ID_CARRERA]],MAE_CARRERA[ID_CARRERA],MAE_CARRERA[NOMBRE_CARRERA],"Seleccione ID Carrera")</f>
        <v>AUDITORÍA Y CONTROL DE GESTIÓN 2024 NS</v>
      </c>
      <c r="D97">
        <v>5</v>
      </c>
      <c r="E97" t="s">
        <v>76</v>
      </c>
      <c r="F97" t="str">
        <f>_xlfn.XLOOKUP(TAB_H_ASIG_CON_DET[[#This Row],[ASIGNATURA]],MAE_ASIGNATURA[NOM_ASIG],MAE_ASIGNATURA[ID_ASIG],"Seleccione Asignatura")</f>
        <v xml:space="preserve">FCACC-AU-CO-GE-NI-5-GESTI-DE -LA </v>
      </c>
      <c r="G97" t="s">
        <v>38</v>
      </c>
      <c r="H97" t="str">
        <f>_xlfn.XLOOKUP(TAB_H_ASIG_CON_DET[[#This Row],[DETALLADO]],MAE_CONOCIMIENTO[CAMPO_DETALLADO],MAE_CONOCIMIENTO[ID_DDETALLADO],"Seleccione Campo Detallado")</f>
        <v>F-C-D-COM</v>
      </c>
    </row>
    <row r="98" spans="1:8">
      <c r="A98">
        <v>112</v>
      </c>
      <c r="B98" t="s">
        <v>61</v>
      </c>
      <c r="C98" t="str">
        <f>_xlfn.XLOOKUP(TAB_H_ASIG_CON_DET[[#This Row],[ID_CARRERA]],MAE_CARRERA[ID_CARRERA],MAE_CARRERA[NOMBRE_CARRERA],"Seleccione ID Carrera")</f>
        <v>AUDITORÍA Y CONTROL DE GESTIÓN 2024 NS</v>
      </c>
      <c r="D98">
        <v>5</v>
      </c>
      <c r="E98" t="s">
        <v>76</v>
      </c>
      <c r="F98" t="str">
        <f>_xlfn.XLOOKUP(TAB_H_ASIG_CON_DET[[#This Row],[ASIGNATURA]],MAE_ASIGNATURA[NOM_ASIG],MAE_ASIGNATURA[ID_ASIG],"Seleccione Asignatura")</f>
        <v xml:space="preserve">FCACC-AU-CO-GE-NI-5-GESTI-DE -LA </v>
      </c>
      <c r="G98" t="s">
        <v>45</v>
      </c>
      <c r="H98" t="str">
        <f>_xlfn.XLOOKUP(TAB_H_ASIG_CON_DET[[#This Row],[DETALLADO]],MAE_CONOCIMIENTO[CAMPO_DETALLADO],MAE_CONOCIMIENTO[ID_DDETALLADO],"Seleccione Campo Detallado")</f>
        <v>F-C-D-NEG-INT</v>
      </c>
    </row>
    <row r="99" spans="1:8">
      <c r="A99">
        <v>113</v>
      </c>
      <c r="B99" t="s">
        <v>61</v>
      </c>
      <c r="C99" t="str">
        <f>_xlfn.XLOOKUP(TAB_H_ASIG_CON_DET[[#This Row],[ID_CARRERA]],MAE_CARRERA[ID_CARRERA],MAE_CARRERA[NOMBRE_CARRERA],"Seleccione ID Carrera")</f>
        <v>AUDITORÍA Y CONTROL DE GESTIÓN 2024 NS</v>
      </c>
      <c r="D99">
        <v>5</v>
      </c>
      <c r="E99" t="s">
        <v>35</v>
      </c>
      <c r="F99" t="str">
        <f>_xlfn.XLOOKUP(TAB_H_ASIG_CON_DET[[#This Row],[ASIGNATURA]],MAE_ASIGNATURA[NOM_ASIG],MAE_ASIGNATURA[ID_ASIG],"Seleccione Asignatura")</f>
        <v>FCACC-AU-CO-GE-NI-5-AUDIT-FIN</v>
      </c>
      <c r="G99" t="s">
        <v>27</v>
      </c>
      <c r="H99" t="str">
        <f>_xlfn.XLOOKUP(TAB_H_ASIG_CON_DET[[#This Row],[DETALLADO]],MAE_CONOCIMIENTO[CAMPO_DETALLADO],MAE_CONOCIMIENTO[ID_DDETALLADO],"Seleccione Campo Detallado")</f>
        <v>F-C-D-CON-Y A-AUD</v>
      </c>
    </row>
    <row r="100" spans="1:8">
      <c r="A100">
        <v>114</v>
      </c>
      <c r="B100" t="s">
        <v>61</v>
      </c>
      <c r="C100" t="str">
        <f>_xlfn.XLOOKUP(TAB_H_ASIG_CON_DET[[#This Row],[ID_CARRERA]],MAE_CARRERA[ID_CARRERA],MAE_CARRERA[NOMBRE_CARRERA],"Seleccione ID Carrera")</f>
        <v>AUDITORÍA Y CONTROL DE GESTIÓN 2024 NS</v>
      </c>
      <c r="D100">
        <v>5</v>
      </c>
      <c r="E100" t="s">
        <v>77</v>
      </c>
      <c r="F100" t="str">
        <f>_xlfn.XLOOKUP(TAB_H_ASIG_CON_DET[[#This Row],[ASIGNATURA]],MAE_ASIGNATURA[NOM_ASIG],MAE_ASIGNATURA[ID_ASIG],"Seleccione Asignatura")</f>
        <v>FCACC-AU-CO-GE-NI-5-CONTA-GER-</v>
      </c>
      <c r="G100" t="s">
        <v>27</v>
      </c>
      <c r="H100" t="str">
        <f>_xlfn.XLOOKUP(TAB_H_ASIG_CON_DET[[#This Row],[DETALLADO]],MAE_CONOCIMIENTO[CAMPO_DETALLADO],MAE_CONOCIMIENTO[ID_DDETALLADO],"Seleccione Campo Detallado")</f>
        <v>F-C-D-CON-Y A-AUD</v>
      </c>
    </row>
    <row r="101" spans="1:8">
      <c r="A101">
        <v>115</v>
      </c>
      <c r="B101" t="s">
        <v>61</v>
      </c>
      <c r="C101" t="str">
        <f>_xlfn.XLOOKUP(TAB_H_ASIG_CON_DET[[#This Row],[ID_CARRERA]],MAE_CARRERA[ID_CARRERA],MAE_CARRERA[NOMBRE_CARRERA],"Seleccione ID Carrera")</f>
        <v>AUDITORÍA Y CONTROL DE GESTIÓN 2024 NS</v>
      </c>
      <c r="D101">
        <v>5</v>
      </c>
      <c r="E101" t="s">
        <v>77</v>
      </c>
      <c r="F101" t="str">
        <f>_xlfn.XLOOKUP(TAB_H_ASIG_CON_DET[[#This Row],[ASIGNATURA]],MAE_ASIGNATURA[NOM_ASIG],MAE_ASIGNATURA[ID_ASIG],"Seleccione Asignatura")</f>
        <v>FCACC-AU-CO-GE-NI-5-CONTA-GER-</v>
      </c>
      <c r="G101" t="s">
        <v>13</v>
      </c>
      <c r="H101" t="str">
        <f>_xlfn.XLOOKUP(TAB_H_ASIG_CON_DET[[#This Row],[DETALLADO]],MAE_CONOCIMIENTO[CAMPO_DETALLADO],MAE_CONOCIMIENTO[ID_DDETALLADO],"Seleccione Campo Detallado")</f>
        <v>F-C-D-ADM</v>
      </c>
    </row>
    <row r="102" spans="1:8">
      <c r="A102">
        <v>116</v>
      </c>
      <c r="B102" t="s">
        <v>61</v>
      </c>
      <c r="C102" t="str">
        <f>_xlfn.XLOOKUP(TAB_H_ASIG_CON_DET[[#This Row],[ID_CARRERA]],MAE_CARRERA[ID_CARRERA],MAE_CARRERA[NOMBRE_CARRERA],"Seleccione ID Carrera")</f>
        <v>AUDITORÍA Y CONTROL DE GESTIÓN 2024 NS</v>
      </c>
      <c r="D102">
        <v>5</v>
      </c>
      <c r="E102" t="s">
        <v>77</v>
      </c>
      <c r="F102" t="str">
        <f>_xlfn.XLOOKUP(TAB_H_ASIG_CON_DET[[#This Row],[ASIGNATURA]],MAE_ASIGNATURA[NOM_ASIG],MAE_ASIGNATURA[ID_ASIG],"Seleccione Asignatura")</f>
        <v>FCACC-AU-CO-GE-NI-5-CONTA-GER-</v>
      </c>
      <c r="G102" t="s">
        <v>29</v>
      </c>
      <c r="H102" t="str">
        <f>_xlfn.XLOOKUP(TAB_H_ASIG_CON_DET[[#This Row],[DETALLADO]],MAE_CONOCIMIENTO[CAMPO_DETALLADO],MAE_CONOCIMIENTO[ID_DDETALLADO],"Seleccione Campo Detallado")</f>
        <v>F-C-D-GES-FIN</v>
      </c>
    </row>
    <row r="103" spans="1:8">
      <c r="A103">
        <v>117</v>
      </c>
      <c r="B103" t="s">
        <v>61</v>
      </c>
      <c r="C103" t="str">
        <f>_xlfn.XLOOKUP(TAB_H_ASIG_CON_DET[[#This Row],[ID_CARRERA]],MAE_CARRERA[ID_CARRERA],MAE_CARRERA[NOMBRE_CARRERA],"Seleccione ID Carrera")</f>
        <v>AUDITORÍA Y CONTROL DE GESTIÓN 2024 NS</v>
      </c>
      <c r="D103">
        <v>5</v>
      </c>
      <c r="E103" t="s">
        <v>77</v>
      </c>
      <c r="F103" t="str">
        <f>_xlfn.XLOOKUP(TAB_H_ASIG_CON_DET[[#This Row],[ASIGNATURA]],MAE_ASIGNATURA[NOM_ASIG],MAE_ASIGNATURA[ID_ASIG],"Seleccione Asignatura")</f>
        <v>FCACC-AU-CO-GE-NI-5-CONTA-GER-</v>
      </c>
      <c r="G103" t="s">
        <v>38</v>
      </c>
      <c r="H103" t="str">
        <f>_xlfn.XLOOKUP(TAB_H_ASIG_CON_DET[[#This Row],[DETALLADO]],MAE_CONOCIMIENTO[CAMPO_DETALLADO],MAE_CONOCIMIENTO[ID_DDETALLADO],"Seleccione Campo Detallado")</f>
        <v>F-C-D-COM</v>
      </c>
    </row>
    <row r="104" spans="1:8">
      <c r="A104">
        <v>118</v>
      </c>
      <c r="B104" t="s">
        <v>61</v>
      </c>
      <c r="C104" t="str">
        <f>_xlfn.XLOOKUP(TAB_H_ASIG_CON_DET[[#This Row],[ID_CARRERA]],MAE_CARRERA[ID_CARRERA],MAE_CARRERA[NOMBRE_CARRERA],"Seleccione ID Carrera")</f>
        <v>AUDITORÍA Y CONTROL DE GESTIÓN 2024 NS</v>
      </c>
      <c r="D104">
        <v>5</v>
      </c>
      <c r="E104" t="s">
        <v>78</v>
      </c>
      <c r="F104" t="str">
        <f>_xlfn.XLOOKUP(TAB_H_ASIG_CON_DET[[#This Row],[ASIGNATURA]],MAE_ASIGNATURA[NOM_ASIG],MAE_ASIGNATURA[ID_ASIG],"Seleccione Asignatura")</f>
        <v>FCACC-AU-CO-GE-NI-5-SOFTW-DE -GES</v>
      </c>
      <c r="G104" t="s">
        <v>29</v>
      </c>
      <c r="H104" t="str">
        <f>_xlfn.XLOOKUP(TAB_H_ASIG_CON_DET[[#This Row],[DETALLADO]],MAE_CONOCIMIENTO[CAMPO_DETALLADO],MAE_CONOCIMIENTO[ID_DDETALLADO],"Seleccione Campo Detallado")</f>
        <v>F-C-D-GES-FIN</v>
      </c>
    </row>
    <row r="105" spans="1:8">
      <c r="A105">
        <v>119</v>
      </c>
      <c r="B105" t="s">
        <v>61</v>
      </c>
      <c r="C105" t="str">
        <f>_xlfn.XLOOKUP(TAB_H_ASIG_CON_DET[[#This Row],[ID_CARRERA]],MAE_CARRERA[ID_CARRERA],MAE_CARRERA[NOMBRE_CARRERA],"Seleccione ID Carrera")</f>
        <v>AUDITORÍA Y CONTROL DE GESTIÓN 2024 NS</v>
      </c>
      <c r="D105">
        <v>5</v>
      </c>
      <c r="E105" t="s">
        <v>78</v>
      </c>
      <c r="F105" t="str">
        <f>_xlfn.XLOOKUP(TAB_H_ASIG_CON_DET[[#This Row],[ASIGNATURA]],MAE_ASIGNATURA[NOM_ASIG],MAE_ASIGNATURA[ID_ASIG],"Seleccione Asignatura")</f>
        <v>FCACC-AU-CO-GE-NI-5-SOFTW-DE -GES</v>
      </c>
      <c r="G105" t="s">
        <v>13</v>
      </c>
      <c r="H105" t="str">
        <f>_xlfn.XLOOKUP(TAB_H_ASIG_CON_DET[[#This Row],[DETALLADO]],MAE_CONOCIMIENTO[CAMPO_DETALLADO],MAE_CONOCIMIENTO[ID_DDETALLADO],"Seleccione Campo Detallado")</f>
        <v>F-C-D-ADM</v>
      </c>
    </row>
    <row r="106" spans="1:8">
      <c r="A106">
        <v>120</v>
      </c>
      <c r="B106" t="s">
        <v>61</v>
      </c>
      <c r="C106" t="str">
        <f>_xlfn.XLOOKUP(TAB_H_ASIG_CON_DET[[#This Row],[ID_CARRERA]],MAE_CARRERA[ID_CARRERA],MAE_CARRERA[NOMBRE_CARRERA],"Seleccione ID Carrera")</f>
        <v>AUDITORÍA Y CONTROL DE GESTIÓN 2024 NS</v>
      </c>
      <c r="D106">
        <v>5</v>
      </c>
      <c r="E106" t="s">
        <v>79</v>
      </c>
      <c r="F106" t="str">
        <f>_xlfn.XLOOKUP(TAB_H_ASIG_CON_DET[[#This Row],[ASIGNATURA]],MAE_ASIGNATURA[NOM_ASIG],MAE_ASIGNATURA[ID_ASIG],"Seleccione Asignatura")</f>
        <v>FCACC-AU-CO-GE-NI-5-SISTE-DE -IND</v>
      </c>
      <c r="G106" t="s">
        <v>27</v>
      </c>
      <c r="H106" t="str">
        <f>_xlfn.XLOOKUP(TAB_H_ASIG_CON_DET[[#This Row],[DETALLADO]],MAE_CONOCIMIENTO[CAMPO_DETALLADO],MAE_CONOCIMIENTO[ID_DDETALLADO],"Seleccione Campo Detallado")</f>
        <v>F-C-D-CON-Y A-AUD</v>
      </c>
    </row>
    <row r="107" spans="1:8">
      <c r="A107">
        <v>121</v>
      </c>
      <c r="B107" t="s">
        <v>61</v>
      </c>
      <c r="C107" t="str">
        <f>_xlfn.XLOOKUP(TAB_H_ASIG_CON_DET[[#This Row],[ID_CARRERA]],MAE_CARRERA[ID_CARRERA],MAE_CARRERA[NOMBRE_CARRERA],"Seleccione ID Carrera")</f>
        <v>AUDITORÍA Y CONTROL DE GESTIÓN 2024 NS</v>
      </c>
      <c r="D107">
        <v>5</v>
      </c>
      <c r="E107" t="s">
        <v>79</v>
      </c>
      <c r="F107" t="str">
        <f>_xlfn.XLOOKUP(TAB_H_ASIG_CON_DET[[#This Row],[ASIGNATURA]],MAE_ASIGNATURA[NOM_ASIG],MAE_ASIGNATURA[ID_ASIG],"Seleccione Asignatura")</f>
        <v>FCACC-AU-CO-GE-NI-5-SISTE-DE -IND</v>
      </c>
      <c r="G107" t="s">
        <v>29</v>
      </c>
      <c r="H107" t="str">
        <f>_xlfn.XLOOKUP(TAB_H_ASIG_CON_DET[[#This Row],[DETALLADO]],MAE_CONOCIMIENTO[CAMPO_DETALLADO],MAE_CONOCIMIENTO[ID_DDETALLADO],"Seleccione Campo Detallado")</f>
        <v>F-C-D-GES-FIN</v>
      </c>
    </row>
    <row r="108" spans="1:8">
      <c r="A108">
        <v>122</v>
      </c>
      <c r="B108" t="s">
        <v>61</v>
      </c>
      <c r="C108" t="str">
        <f>_xlfn.XLOOKUP(TAB_H_ASIG_CON_DET[[#This Row],[ID_CARRERA]],MAE_CARRERA[ID_CARRERA],MAE_CARRERA[NOMBRE_CARRERA],"Seleccione ID Carrera")</f>
        <v>AUDITORÍA Y CONTROL DE GESTIÓN 2024 NS</v>
      </c>
      <c r="D108">
        <v>5</v>
      </c>
      <c r="E108" t="s">
        <v>79</v>
      </c>
      <c r="F108" t="str">
        <f>_xlfn.XLOOKUP(TAB_H_ASIG_CON_DET[[#This Row],[ASIGNATURA]],MAE_ASIGNATURA[NOM_ASIG],MAE_ASIGNATURA[ID_ASIG],"Seleccione Asignatura")</f>
        <v>FCACC-AU-CO-GE-NI-5-SISTE-DE -IND</v>
      </c>
      <c r="G108" t="s">
        <v>13</v>
      </c>
      <c r="H108" t="str">
        <f>_xlfn.XLOOKUP(TAB_H_ASIG_CON_DET[[#This Row],[DETALLADO]],MAE_CONOCIMIENTO[CAMPO_DETALLADO],MAE_CONOCIMIENTO[ID_DDETALLADO],"Seleccione Campo Detallado")</f>
        <v>F-C-D-ADM</v>
      </c>
    </row>
    <row r="109" spans="1:8">
      <c r="A109">
        <v>123</v>
      </c>
      <c r="B109" t="s">
        <v>61</v>
      </c>
      <c r="C109" t="str">
        <f>_xlfn.XLOOKUP(TAB_H_ASIG_CON_DET[[#This Row],[ID_CARRERA]],MAE_CARRERA[ID_CARRERA],MAE_CARRERA[NOMBRE_CARRERA],"Seleccione ID Carrera")</f>
        <v>AUDITORÍA Y CONTROL DE GESTIÓN 2024 NS</v>
      </c>
      <c r="D109">
        <v>6</v>
      </c>
      <c r="E109" t="s">
        <v>80</v>
      </c>
      <c r="F109" t="str">
        <f>_xlfn.XLOOKUP(TAB_H_ASIG_CON_DET[[#This Row],[ASIGNATURA]],MAE_ASIGNATURA[NOM_ASIG],MAE_ASIGNATURA[ID_ASIG],"Seleccione Asignatura")</f>
        <v>FCACC-AU-CO-GE-NI-6-GESTI-PÚB</v>
      </c>
      <c r="G109" t="s">
        <v>27</v>
      </c>
      <c r="H109" t="str">
        <f>_xlfn.XLOOKUP(TAB_H_ASIG_CON_DET[[#This Row],[DETALLADO]],MAE_CONOCIMIENTO[CAMPO_DETALLADO],MAE_CONOCIMIENTO[ID_DDETALLADO],"Seleccione Campo Detallado")</f>
        <v>F-C-D-CON-Y A-AUD</v>
      </c>
    </row>
    <row r="110" spans="1:8">
      <c r="A110">
        <v>124</v>
      </c>
      <c r="B110" t="s">
        <v>61</v>
      </c>
      <c r="C110" t="str">
        <f>_xlfn.XLOOKUP(TAB_H_ASIG_CON_DET[[#This Row],[ID_CARRERA]],MAE_CARRERA[ID_CARRERA],MAE_CARRERA[NOMBRE_CARRERA],"Seleccione ID Carrera")</f>
        <v>AUDITORÍA Y CONTROL DE GESTIÓN 2024 NS</v>
      </c>
      <c r="D110">
        <v>6</v>
      </c>
      <c r="E110" t="s">
        <v>80</v>
      </c>
      <c r="F110" t="str">
        <f>_xlfn.XLOOKUP(TAB_H_ASIG_CON_DET[[#This Row],[ASIGNATURA]],MAE_ASIGNATURA[NOM_ASIG],MAE_ASIGNATURA[ID_ASIG],"Seleccione Asignatura")</f>
        <v>FCACC-AU-CO-GE-NI-6-GESTI-PÚB</v>
      </c>
      <c r="G110" t="s">
        <v>29</v>
      </c>
      <c r="H110" t="str">
        <f>_xlfn.XLOOKUP(TAB_H_ASIG_CON_DET[[#This Row],[DETALLADO]],MAE_CONOCIMIENTO[CAMPO_DETALLADO],MAE_CONOCIMIENTO[ID_DDETALLADO],"Seleccione Campo Detallado")</f>
        <v>F-C-D-GES-FIN</v>
      </c>
    </row>
    <row r="111" spans="1:8">
      <c r="A111">
        <v>125</v>
      </c>
      <c r="B111" t="s">
        <v>61</v>
      </c>
      <c r="C111" t="str">
        <f>_xlfn.XLOOKUP(TAB_H_ASIG_CON_DET[[#This Row],[ID_CARRERA]],MAE_CARRERA[ID_CARRERA],MAE_CARRERA[NOMBRE_CARRERA],"Seleccione ID Carrera")</f>
        <v>AUDITORÍA Y CONTROL DE GESTIÓN 2024 NS</v>
      </c>
      <c r="D111">
        <v>6</v>
      </c>
      <c r="E111" t="s">
        <v>80</v>
      </c>
      <c r="F111" t="str">
        <f>_xlfn.XLOOKUP(TAB_H_ASIG_CON_DET[[#This Row],[ASIGNATURA]],MAE_ASIGNATURA[NOM_ASIG],MAE_ASIGNATURA[ID_ASIG],"Seleccione Asignatura")</f>
        <v>FCACC-AU-CO-GE-NI-6-GESTI-PÚB</v>
      </c>
      <c r="G111" t="s">
        <v>13</v>
      </c>
      <c r="H111" t="str">
        <f>_xlfn.XLOOKUP(TAB_H_ASIG_CON_DET[[#This Row],[DETALLADO]],MAE_CONOCIMIENTO[CAMPO_DETALLADO],MAE_CONOCIMIENTO[ID_DDETALLADO],"Seleccione Campo Detallado")</f>
        <v>F-C-D-ADM</v>
      </c>
    </row>
    <row r="112" spans="1:8">
      <c r="A112">
        <v>126</v>
      </c>
      <c r="B112" t="s">
        <v>61</v>
      </c>
      <c r="C112" t="str">
        <f>_xlfn.XLOOKUP(TAB_H_ASIG_CON_DET[[#This Row],[ID_CARRERA]],MAE_CARRERA[ID_CARRERA],MAE_CARRERA[NOMBRE_CARRERA],"Seleccione ID Carrera")</f>
        <v>AUDITORÍA Y CONTROL DE GESTIÓN 2024 NS</v>
      </c>
      <c r="D112">
        <v>6</v>
      </c>
      <c r="E112" t="s">
        <v>81</v>
      </c>
      <c r="F112" t="str">
        <f>_xlfn.XLOOKUP(TAB_H_ASIG_CON_DET[[#This Row],[ASIGNATURA]],MAE_ASIGNATURA[NOM_ASIG],MAE_ASIGNATURA[ID_ASIG],"Seleccione Asignatura")</f>
        <v>FCACC-AU-CO-GE-NI-6-SISTE-DE -CON</v>
      </c>
      <c r="G112" t="s">
        <v>27</v>
      </c>
      <c r="H112" t="str">
        <f>_xlfn.XLOOKUP(TAB_H_ASIG_CON_DET[[#This Row],[DETALLADO]],MAE_CONOCIMIENTO[CAMPO_DETALLADO],MAE_CONOCIMIENTO[ID_DDETALLADO],"Seleccione Campo Detallado")</f>
        <v>F-C-D-CON-Y A-AUD</v>
      </c>
    </row>
    <row r="113" spans="1:8">
      <c r="A113">
        <v>127</v>
      </c>
      <c r="B113" t="s">
        <v>61</v>
      </c>
      <c r="C113" t="str">
        <f>_xlfn.XLOOKUP(TAB_H_ASIG_CON_DET[[#This Row],[ID_CARRERA]],MAE_CARRERA[ID_CARRERA],MAE_CARRERA[NOMBRE_CARRERA],"Seleccione ID Carrera")</f>
        <v>AUDITORÍA Y CONTROL DE GESTIÓN 2024 NS</v>
      </c>
      <c r="D113">
        <v>6</v>
      </c>
      <c r="E113" t="s">
        <v>81</v>
      </c>
      <c r="F113" t="str">
        <f>_xlfn.XLOOKUP(TAB_H_ASIG_CON_DET[[#This Row],[ASIGNATURA]],MAE_ASIGNATURA[NOM_ASIG],MAE_ASIGNATURA[ID_ASIG],"Seleccione Asignatura")</f>
        <v>FCACC-AU-CO-GE-NI-6-SISTE-DE -CON</v>
      </c>
      <c r="G113" t="s">
        <v>29</v>
      </c>
      <c r="H113" t="str">
        <f>_xlfn.XLOOKUP(TAB_H_ASIG_CON_DET[[#This Row],[DETALLADO]],MAE_CONOCIMIENTO[CAMPO_DETALLADO],MAE_CONOCIMIENTO[ID_DDETALLADO],"Seleccione Campo Detallado")</f>
        <v>F-C-D-GES-FIN</v>
      </c>
    </row>
    <row r="114" spans="1:8">
      <c r="A114">
        <v>128</v>
      </c>
      <c r="B114" t="s">
        <v>61</v>
      </c>
      <c r="C114" t="str">
        <f>_xlfn.XLOOKUP(TAB_H_ASIG_CON_DET[[#This Row],[ID_CARRERA]],MAE_CARRERA[ID_CARRERA],MAE_CARRERA[NOMBRE_CARRERA],"Seleccione ID Carrera")</f>
        <v>AUDITORÍA Y CONTROL DE GESTIÓN 2024 NS</v>
      </c>
      <c r="D114">
        <v>6</v>
      </c>
      <c r="E114" t="s">
        <v>81</v>
      </c>
      <c r="F114" t="str">
        <f>_xlfn.XLOOKUP(TAB_H_ASIG_CON_DET[[#This Row],[ASIGNATURA]],MAE_ASIGNATURA[NOM_ASIG],MAE_ASIGNATURA[ID_ASIG],"Seleccione Asignatura")</f>
        <v>FCACC-AU-CO-GE-NI-6-SISTE-DE -CON</v>
      </c>
      <c r="G114" t="s">
        <v>13</v>
      </c>
      <c r="H114" t="str">
        <f>_xlfn.XLOOKUP(TAB_H_ASIG_CON_DET[[#This Row],[DETALLADO]],MAE_CONOCIMIENTO[CAMPO_DETALLADO],MAE_CONOCIMIENTO[ID_DDETALLADO],"Seleccione Campo Detallado")</f>
        <v>F-C-D-ADM</v>
      </c>
    </row>
    <row r="115" spans="1:8">
      <c r="A115">
        <v>129</v>
      </c>
      <c r="B115" t="s">
        <v>61</v>
      </c>
      <c r="C115" t="str">
        <f>_xlfn.XLOOKUP(TAB_H_ASIG_CON_DET[[#This Row],[ID_CARRERA]],MAE_CARRERA[ID_CARRERA],MAE_CARRERA[NOMBRE_CARRERA],"Seleccione ID Carrera")</f>
        <v>AUDITORÍA Y CONTROL DE GESTIÓN 2024 NS</v>
      </c>
      <c r="D115">
        <v>6</v>
      </c>
      <c r="E115" t="s">
        <v>54</v>
      </c>
      <c r="F115" t="str">
        <f>_xlfn.XLOOKUP(TAB_H_ASIG_CON_DET[[#This Row],[ASIGNATURA]],MAE_ASIGNATURA[NOM_ASIG],MAE_ASIGNATURA[ID_ASIG],"Seleccione Asignatura")</f>
        <v>FCACC-AU-CO-GE-NI-6-AUDIT-DE -GES</v>
      </c>
      <c r="G115" t="s">
        <v>27</v>
      </c>
      <c r="H115" t="str">
        <f>_xlfn.XLOOKUP(TAB_H_ASIG_CON_DET[[#This Row],[DETALLADO]],MAE_CONOCIMIENTO[CAMPO_DETALLADO],MAE_CONOCIMIENTO[ID_DDETALLADO],"Seleccione Campo Detallado")</f>
        <v>F-C-D-CON-Y A-AUD</v>
      </c>
    </row>
    <row r="116" spans="1:8">
      <c r="A116">
        <v>130</v>
      </c>
      <c r="B116" t="s">
        <v>61</v>
      </c>
      <c r="C116" t="str">
        <f>_xlfn.XLOOKUP(TAB_H_ASIG_CON_DET[[#This Row],[ID_CARRERA]],MAE_CARRERA[ID_CARRERA],MAE_CARRERA[NOMBRE_CARRERA],"Seleccione ID Carrera")</f>
        <v>AUDITORÍA Y CONTROL DE GESTIÓN 2024 NS</v>
      </c>
      <c r="D116">
        <v>6</v>
      </c>
      <c r="E116" t="s">
        <v>55</v>
      </c>
      <c r="F116" t="str">
        <f>_xlfn.XLOOKUP(TAB_H_ASIG_CON_DET[[#This Row],[ASIGNATURA]],MAE_ASIGNATURA[NOM_ASIG],MAE_ASIGNATURA[ID_ASIG],"Seleccione Asignatura")</f>
        <v>FCACC-AU-CO-GE-NI-6-PROCE-DE -CON</v>
      </c>
      <c r="G116" t="s">
        <v>27</v>
      </c>
      <c r="H116" t="str">
        <f>_xlfn.XLOOKUP(TAB_H_ASIG_CON_DET[[#This Row],[DETALLADO]],MAE_CONOCIMIENTO[CAMPO_DETALLADO],MAE_CONOCIMIENTO[ID_DDETALLADO],"Seleccione Campo Detallado")</f>
        <v>F-C-D-CON-Y A-AUD</v>
      </c>
    </row>
    <row r="117" spans="1:8">
      <c r="A117">
        <v>131</v>
      </c>
      <c r="B117" t="s">
        <v>61</v>
      </c>
      <c r="C117" t="str">
        <f>_xlfn.XLOOKUP(TAB_H_ASIG_CON_DET[[#This Row],[ID_CARRERA]],MAE_CARRERA[ID_CARRERA],MAE_CARRERA[NOMBRE_CARRERA],"Seleccione ID Carrera")</f>
        <v>AUDITORÍA Y CONTROL DE GESTIÓN 2024 NS</v>
      </c>
      <c r="D117">
        <v>6</v>
      </c>
      <c r="E117" t="s">
        <v>55</v>
      </c>
      <c r="F117" t="str">
        <f>_xlfn.XLOOKUP(TAB_H_ASIG_CON_DET[[#This Row],[ASIGNATURA]],MAE_ASIGNATURA[NOM_ASIG],MAE_ASIGNATURA[ID_ASIG],"Seleccione Asignatura")</f>
        <v>FCACC-AU-CO-GE-NI-6-PROCE-DE -CON</v>
      </c>
      <c r="G117" t="s">
        <v>29</v>
      </c>
      <c r="H117" t="str">
        <f>_xlfn.XLOOKUP(TAB_H_ASIG_CON_DET[[#This Row],[DETALLADO]],MAE_CONOCIMIENTO[CAMPO_DETALLADO],MAE_CONOCIMIENTO[ID_DDETALLADO],"Seleccione Campo Detallado")</f>
        <v>F-C-D-GES-FIN</v>
      </c>
    </row>
    <row r="118" spans="1:8">
      <c r="A118">
        <v>132</v>
      </c>
      <c r="B118" t="s">
        <v>61</v>
      </c>
      <c r="C118" t="str">
        <f>_xlfn.XLOOKUP(TAB_H_ASIG_CON_DET[[#This Row],[ID_CARRERA]],MAE_CARRERA[ID_CARRERA],MAE_CARRERA[NOMBRE_CARRERA],"Seleccione ID Carrera")</f>
        <v>AUDITORÍA Y CONTROL DE GESTIÓN 2024 NS</v>
      </c>
      <c r="D118">
        <v>6</v>
      </c>
      <c r="E118" t="s">
        <v>55</v>
      </c>
      <c r="F118" t="str">
        <f>_xlfn.XLOOKUP(TAB_H_ASIG_CON_DET[[#This Row],[ASIGNATURA]],MAE_ASIGNATURA[NOM_ASIG],MAE_ASIGNATURA[ID_ASIG],"Seleccione Asignatura")</f>
        <v>FCACC-AU-CO-GE-NI-6-PROCE-DE -CON</v>
      </c>
      <c r="G118" t="s">
        <v>13</v>
      </c>
      <c r="H118" t="str">
        <f>_xlfn.XLOOKUP(TAB_H_ASIG_CON_DET[[#This Row],[DETALLADO]],MAE_CONOCIMIENTO[CAMPO_DETALLADO],MAE_CONOCIMIENTO[ID_DDETALLADO],"Seleccione Campo Detallado")</f>
        <v>F-C-D-ADM</v>
      </c>
    </row>
    <row r="119" spans="1:8">
      <c r="A119">
        <v>133</v>
      </c>
      <c r="B119" t="s">
        <v>61</v>
      </c>
      <c r="C119" t="str">
        <f>_xlfn.XLOOKUP(TAB_H_ASIG_CON_DET[[#This Row],[ID_CARRERA]],MAE_CARRERA[ID_CARRERA],MAE_CARRERA[NOMBRE_CARRERA],"Seleccione ID Carrera")</f>
        <v>AUDITORÍA Y CONTROL DE GESTIÓN 2024 NS</v>
      </c>
      <c r="D119">
        <v>6</v>
      </c>
      <c r="E119" t="s">
        <v>46</v>
      </c>
      <c r="F119" t="str">
        <f>_xlfn.XLOOKUP(TAB_H_ASIG_CON_DET[[#This Row],[ASIGNATURA]],MAE_ASIGNATURA[NOM_ASIG],MAE_ASIGNATURA[ID_ASIG],"Seleccione Asignatura")</f>
        <v>FCACC-AU-CO-GE-NI-6-AUDIT-TRI</v>
      </c>
      <c r="G119" t="s">
        <v>27</v>
      </c>
      <c r="H119" t="str">
        <f>_xlfn.XLOOKUP(TAB_H_ASIG_CON_DET[[#This Row],[DETALLADO]],MAE_CONOCIMIENTO[CAMPO_DETALLADO],MAE_CONOCIMIENTO[ID_DDETALLADO],"Seleccione Campo Detallado")</f>
        <v>F-C-D-CON-Y A-AUD</v>
      </c>
    </row>
    <row r="120" spans="1:8">
      <c r="A120">
        <v>134</v>
      </c>
      <c r="B120" t="s">
        <v>61</v>
      </c>
      <c r="C120" t="str">
        <f>_xlfn.XLOOKUP(TAB_H_ASIG_CON_DET[[#This Row],[ID_CARRERA]],MAE_CARRERA[ID_CARRERA],MAE_CARRERA[NOMBRE_CARRERA],"Seleccione ID Carrera")</f>
        <v>AUDITORÍA Y CONTROL DE GESTIÓN 2024 NS</v>
      </c>
      <c r="D120">
        <v>7</v>
      </c>
      <c r="E120" t="s">
        <v>82</v>
      </c>
      <c r="F120" t="str">
        <f>_xlfn.XLOOKUP(TAB_H_ASIG_CON_DET[[#This Row],[ASIGNATURA]],MAE_ASIGNATURA[NOM_ASIG],MAE_ASIGNATURA[ID_ASIG],"Seleccione Asignatura")</f>
        <v>FCACC-AU-CO-GE-NI-7-AUDIT-EN -SEG</v>
      </c>
      <c r="G120" t="s">
        <v>27</v>
      </c>
      <c r="H120" t="str">
        <f>_xlfn.XLOOKUP(TAB_H_ASIG_CON_DET[[#This Row],[DETALLADO]],MAE_CONOCIMIENTO[CAMPO_DETALLADO],MAE_CONOCIMIENTO[ID_DDETALLADO],"Seleccione Campo Detallado")</f>
        <v>F-C-D-CON-Y A-AUD</v>
      </c>
    </row>
    <row r="121" spans="1:8" ht="30.75">
      <c r="A121">
        <v>135</v>
      </c>
      <c r="B121" t="s">
        <v>61</v>
      </c>
      <c r="C121" t="str">
        <f>_xlfn.XLOOKUP(TAB_H_ASIG_CON_DET[[#This Row],[ID_CARRERA]],MAE_CARRERA[ID_CARRERA],MAE_CARRERA[NOMBRE_CARRERA],"Seleccione ID Carrera")</f>
        <v>AUDITORÍA Y CONTROL DE GESTIÓN 2024 NS</v>
      </c>
      <c r="D121">
        <v>7</v>
      </c>
      <c r="E121" t="s">
        <v>82</v>
      </c>
      <c r="F121" t="str">
        <f>_xlfn.XLOOKUP(TAB_H_ASIG_CON_DET[[#This Row],[ASIGNATURA]],MAE_ASIGNATURA[NOM_ASIG],MAE_ASIGNATURA[ID_ASIG],"Seleccione Asignatura")</f>
        <v>FCACC-AU-CO-GE-NI-7-AUDIT-EN -SEG</v>
      </c>
      <c r="G121" s="2" t="s">
        <v>83</v>
      </c>
      <c r="H121" t="str">
        <f>_xlfn.XLOOKUP(TAB_H_ASIG_CON_DET[[#This Row],[DETALLADO]],MAE_CONOCIMIENTO[CAMPO_DETALLADO],MAE_CONOCIMIENTO[ID_DDETALLADO],"Seleccione Campo Detallado")</f>
        <v>F-C-D-SEG-Y S-SAL</v>
      </c>
    </row>
    <row r="122" spans="1:8">
      <c r="A122">
        <v>136</v>
      </c>
      <c r="B122" t="s">
        <v>61</v>
      </c>
      <c r="C122" t="str">
        <f>_xlfn.XLOOKUP(TAB_H_ASIG_CON_DET[[#This Row],[ID_CARRERA]],MAE_CARRERA[ID_CARRERA],MAE_CARRERA[NOMBRE_CARRERA],"Seleccione ID Carrera")</f>
        <v>AUDITORÍA Y CONTROL DE GESTIÓN 2024 NS</v>
      </c>
      <c r="D122">
        <v>7</v>
      </c>
      <c r="E122" t="s">
        <v>84</v>
      </c>
      <c r="F122" t="str">
        <f>_xlfn.XLOOKUP(TAB_H_ASIG_CON_DET[[#This Row],[ASIGNATURA]],MAE_ASIGNATURA[NOM_ASIG],MAE_ASIGNATURA[ID_ASIG],"Seleccione Asignatura")</f>
        <v>FCACC-AU-CO-GE-NI-7-VALOR-DE -EMP</v>
      </c>
      <c r="G122" t="s">
        <v>27</v>
      </c>
      <c r="H122" t="str">
        <f>_xlfn.XLOOKUP(TAB_H_ASIG_CON_DET[[#This Row],[DETALLADO]],MAE_CONOCIMIENTO[CAMPO_DETALLADO],MAE_CONOCIMIENTO[ID_DDETALLADO],"Seleccione Campo Detallado")</f>
        <v>F-C-D-CON-Y A-AUD</v>
      </c>
    </row>
    <row r="123" spans="1:8">
      <c r="A123">
        <v>137</v>
      </c>
      <c r="B123" t="s">
        <v>61</v>
      </c>
      <c r="C123" t="str">
        <f>_xlfn.XLOOKUP(TAB_H_ASIG_CON_DET[[#This Row],[ID_CARRERA]],MAE_CARRERA[ID_CARRERA],MAE_CARRERA[NOMBRE_CARRERA],"Seleccione ID Carrera")</f>
        <v>AUDITORÍA Y CONTROL DE GESTIÓN 2024 NS</v>
      </c>
      <c r="D123">
        <v>7</v>
      </c>
      <c r="E123" t="s">
        <v>84</v>
      </c>
      <c r="F123" t="str">
        <f>_xlfn.XLOOKUP(TAB_H_ASIG_CON_DET[[#This Row],[ASIGNATURA]],MAE_ASIGNATURA[NOM_ASIG],MAE_ASIGNATURA[ID_ASIG],"Seleccione Asignatura")</f>
        <v>FCACC-AU-CO-GE-NI-7-VALOR-DE -EMP</v>
      </c>
      <c r="G123" t="s">
        <v>29</v>
      </c>
      <c r="H123" t="str">
        <f>_xlfn.XLOOKUP(TAB_H_ASIG_CON_DET[[#This Row],[DETALLADO]],MAE_CONOCIMIENTO[CAMPO_DETALLADO],MAE_CONOCIMIENTO[ID_DDETALLADO],"Seleccione Campo Detallado")</f>
        <v>F-C-D-GES-FIN</v>
      </c>
    </row>
    <row r="124" spans="1:8">
      <c r="A124">
        <v>138</v>
      </c>
      <c r="B124" t="s">
        <v>61</v>
      </c>
      <c r="C124" t="str">
        <f>_xlfn.XLOOKUP(TAB_H_ASIG_CON_DET[[#This Row],[ID_CARRERA]],MAE_CARRERA[ID_CARRERA],MAE_CARRERA[NOMBRE_CARRERA],"Seleccione ID Carrera")</f>
        <v>AUDITORÍA Y CONTROL DE GESTIÓN 2024 NS</v>
      </c>
      <c r="D124">
        <v>7</v>
      </c>
      <c r="E124" t="s">
        <v>84</v>
      </c>
      <c r="F124" t="str">
        <f>_xlfn.XLOOKUP(TAB_H_ASIG_CON_DET[[#This Row],[ASIGNATURA]],MAE_ASIGNATURA[NOM_ASIG],MAE_ASIGNATURA[ID_ASIG],"Seleccione Asignatura")</f>
        <v>FCACC-AU-CO-GE-NI-7-VALOR-DE -EMP</v>
      </c>
      <c r="G124" t="s">
        <v>13</v>
      </c>
      <c r="H124" t="str">
        <f>_xlfn.XLOOKUP(TAB_H_ASIG_CON_DET[[#This Row],[DETALLADO]],MAE_CONOCIMIENTO[CAMPO_DETALLADO],MAE_CONOCIMIENTO[ID_DDETALLADO],"Seleccione Campo Detallado")</f>
        <v>F-C-D-ADM</v>
      </c>
    </row>
    <row r="125" spans="1:8">
      <c r="A125">
        <v>139</v>
      </c>
      <c r="B125" t="s">
        <v>61</v>
      </c>
      <c r="C125" t="str">
        <f>_xlfn.XLOOKUP(TAB_H_ASIG_CON_DET[[#This Row],[ID_CARRERA]],MAE_CARRERA[ID_CARRERA],MAE_CARRERA[NOMBRE_CARRERA],"Seleccione ID Carrera")</f>
        <v>AUDITORÍA Y CONTROL DE GESTIÓN 2024 NS</v>
      </c>
      <c r="D125">
        <v>7</v>
      </c>
      <c r="E125" t="s">
        <v>85</v>
      </c>
      <c r="F125" t="str">
        <f>_xlfn.XLOOKUP(TAB_H_ASIG_CON_DET[[#This Row],[ASIGNATURA]],MAE_ASIGNATURA[NOM_ASIG],MAE_ASIGNATURA[ID_ASIG],"Seleccione Asignatura")</f>
        <v>FCACC-AU-CO-GE-NI-7-AUDIT</v>
      </c>
      <c r="G125" t="s">
        <v>27</v>
      </c>
      <c r="H125" t="str">
        <f>_xlfn.XLOOKUP(TAB_H_ASIG_CON_DET[[#This Row],[DETALLADO]],MAE_CONOCIMIENTO[CAMPO_DETALLADO],MAE_CONOCIMIENTO[ID_DDETALLADO],"Seleccione Campo Detallado")</f>
        <v>F-C-D-CON-Y A-AUD</v>
      </c>
    </row>
    <row r="126" spans="1:8">
      <c r="A126">
        <v>140</v>
      </c>
      <c r="B126" t="s">
        <v>61</v>
      </c>
      <c r="C126" t="str">
        <f>_xlfn.XLOOKUP(TAB_H_ASIG_CON_DET[[#This Row],[ID_CARRERA]],MAE_CARRERA[ID_CARRERA],MAE_CARRERA[NOMBRE_CARRERA],"Seleccione ID Carrera")</f>
        <v>AUDITORÍA Y CONTROL DE GESTIÓN 2024 NS</v>
      </c>
      <c r="D126">
        <v>7</v>
      </c>
      <c r="E126" t="s">
        <v>86</v>
      </c>
      <c r="F126" t="str">
        <f>_xlfn.XLOOKUP(TAB_H_ASIG_CON_DET[[#This Row],[ASIGNATURA]],MAE_ASIGNATURA[NOM_ASIG],MAE_ASIGNATURA[ID_ASIG],"Seleccione Asignatura")</f>
        <v>FCACC-AU-CO-GE-NI-7-AUDIT-AMB</v>
      </c>
      <c r="G126" t="s">
        <v>27</v>
      </c>
      <c r="H126" t="str">
        <f>_xlfn.XLOOKUP(TAB_H_ASIG_CON_DET[[#This Row],[DETALLADO]],MAE_CONOCIMIENTO[CAMPO_DETALLADO],MAE_CONOCIMIENTO[ID_DDETALLADO],"Seleccione Campo Detallado")</f>
        <v>F-C-D-CON-Y A-AUD</v>
      </c>
    </row>
    <row r="127" spans="1:8">
      <c r="A127">
        <v>141</v>
      </c>
      <c r="B127" t="s">
        <v>61</v>
      </c>
      <c r="C127" t="str">
        <f>_xlfn.XLOOKUP(TAB_H_ASIG_CON_DET[[#This Row],[ID_CARRERA]],MAE_CARRERA[ID_CARRERA],MAE_CARRERA[NOMBRE_CARRERA],"Seleccione ID Carrera")</f>
        <v>AUDITORÍA Y CONTROL DE GESTIÓN 2024 NS</v>
      </c>
      <c r="D127">
        <v>7</v>
      </c>
      <c r="E127" t="s">
        <v>86</v>
      </c>
      <c r="F127" t="str">
        <f>_xlfn.XLOOKUP(TAB_H_ASIG_CON_DET[[#This Row],[ASIGNATURA]],MAE_ASIGNATURA[NOM_ASIG],MAE_ASIGNATURA[ID_ASIG],"Seleccione Asignatura")</f>
        <v>FCACC-AU-CO-GE-NI-7-AUDIT-AMB</v>
      </c>
      <c r="G127" t="s">
        <v>27</v>
      </c>
      <c r="H127" t="str">
        <f>_xlfn.XLOOKUP(TAB_H_ASIG_CON_DET[[#This Row],[DETALLADO]],MAE_CONOCIMIENTO[CAMPO_DETALLADO],MAE_CONOCIMIENTO[ID_DDETALLADO],"Seleccione Campo Detallado")</f>
        <v>F-C-D-CON-Y A-AUD</v>
      </c>
    </row>
    <row r="128" spans="1:8">
      <c r="A128">
        <v>142</v>
      </c>
      <c r="B128" t="s">
        <v>61</v>
      </c>
      <c r="C128" t="str">
        <f>_xlfn.XLOOKUP(TAB_H_ASIG_CON_DET[[#This Row],[ID_CARRERA]],MAE_CARRERA[ID_CARRERA],MAE_CARRERA[NOMBRE_CARRERA],"Seleccione ID Carrera")</f>
        <v>AUDITORÍA Y CONTROL DE GESTIÓN 2024 NS</v>
      </c>
      <c r="D128">
        <v>7</v>
      </c>
      <c r="E128" t="s">
        <v>86</v>
      </c>
      <c r="F128" t="str">
        <f>_xlfn.XLOOKUP(TAB_H_ASIG_CON_DET[[#This Row],[ASIGNATURA]],MAE_ASIGNATURA[NOM_ASIG],MAE_ASIGNATURA[ID_ASIG],"Seleccione Asignatura")</f>
        <v>FCACC-AU-CO-GE-NI-7-AUDIT-AMB</v>
      </c>
      <c r="G128" t="s">
        <v>58</v>
      </c>
      <c r="H128" t="str">
        <f>_xlfn.XLOOKUP(TAB_H_ASIG_CON_DET[[#This Row],[DETALLADO]],MAE_CONOCIMIENTO[CAMPO_DETALLADO],MAE_CONOCIMIENTO[ID_DDETALLADO],"Seleccione Campo Detallado")</f>
        <v>F-C-D-GES-AMB</v>
      </c>
    </row>
    <row r="129" spans="1:8">
      <c r="A129">
        <v>143</v>
      </c>
      <c r="B129" t="s">
        <v>61</v>
      </c>
      <c r="C129" t="str">
        <f>_xlfn.XLOOKUP(TAB_H_ASIG_CON_DET[[#This Row],[ID_CARRERA]],MAE_CARRERA[ID_CARRERA],MAE_CARRERA[NOMBRE_CARRERA],"Seleccione ID Carrera")</f>
        <v>AUDITORÍA Y CONTROL DE GESTIÓN 2024 NS</v>
      </c>
      <c r="D129">
        <v>7</v>
      </c>
      <c r="E129" t="s">
        <v>87</v>
      </c>
      <c r="F129" t="str">
        <f>_xlfn.XLOOKUP(TAB_H_ASIG_CON_DET[[#This Row],[ASIGNATURA]],MAE_ASIGNATURA[NOM_ASIG],MAE_ASIGNATURA[ID_ASIG],"Seleccione Asignatura")</f>
        <v>FCACC-AU-CO-GE-NI-7-RESPO-SOC-</v>
      </c>
      <c r="G129" t="s">
        <v>13</v>
      </c>
      <c r="H129" t="str">
        <f>_xlfn.XLOOKUP(TAB_H_ASIG_CON_DET[[#This Row],[DETALLADO]],MAE_CONOCIMIENTO[CAMPO_DETALLADO],MAE_CONOCIMIENTO[ID_DDETALLADO],"Seleccione Campo Detallado")</f>
        <v>F-C-D-ADM</v>
      </c>
    </row>
    <row r="130" spans="1:8">
      <c r="A130">
        <v>144</v>
      </c>
      <c r="B130" t="s">
        <v>61</v>
      </c>
      <c r="C130" t="str">
        <f>_xlfn.XLOOKUP(TAB_H_ASIG_CON_DET[[#This Row],[ID_CARRERA]],MAE_CARRERA[ID_CARRERA],MAE_CARRERA[NOMBRE_CARRERA],"Seleccione ID Carrera")</f>
        <v>AUDITORÍA Y CONTROL DE GESTIÓN 2024 NS</v>
      </c>
      <c r="D130">
        <v>7</v>
      </c>
      <c r="E130" t="s">
        <v>87</v>
      </c>
      <c r="F130" t="str">
        <f>_xlfn.XLOOKUP(TAB_H_ASIG_CON_DET[[#This Row],[ASIGNATURA]],MAE_ASIGNATURA[NOM_ASIG],MAE_ASIGNATURA[ID_ASIG],"Seleccione Asignatura")</f>
        <v>FCACC-AU-CO-GE-NI-7-RESPO-SOC-</v>
      </c>
      <c r="G130" t="s">
        <v>27</v>
      </c>
      <c r="H130" t="str">
        <f>_xlfn.XLOOKUP(TAB_H_ASIG_CON_DET[[#This Row],[DETALLADO]],MAE_CONOCIMIENTO[CAMPO_DETALLADO],MAE_CONOCIMIENTO[ID_DDETALLADO],"Seleccione Campo Detallado")</f>
        <v>F-C-D-CON-Y A-AUD</v>
      </c>
    </row>
    <row r="131" spans="1:8">
      <c r="A131">
        <v>145</v>
      </c>
      <c r="B131" t="s">
        <v>61</v>
      </c>
      <c r="C131" t="str">
        <f>_xlfn.XLOOKUP(TAB_H_ASIG_CON_DET[[#This Row],[ID_CARRERA]],MAE_CARRERA[ID_CARRERA],MAE_CARRERA[NOMBRE_CARRERA],"Seleccione ID Carrera")</f>
        <v>AUDITORÍA Y CONTROL DE GESTIÓN 2024 NS</v>
      </c>
      <c r="D131">
        <v>7</v>
      </c>
      <c r="E131" t="s">
        <v>87</v>
      </c>
      <c r="F131" t="str">
        <f>_xlfn.XLOOKUP(TAB_H_ASIG_CON_DET[[#This Row],[ASIGNATURA]],MAE_ASIGNATURA[NOM_ASIG],MAE_ASIGNATURA[ID_ASIG],"Seleccione Asignatura")</f>
        <v>FCACC-AU-CO-GE-NI-7-RESPO-SOC-</v>
      </c>
      <c r="G131" t="s">
        <v>29</v>
      </c>
      <c r="H131" t="str">
        <f>_xlfn.XLOOKUP(TAB_H_ASIG_CON_DET[[#This Row],[DETALLADO]],MAE_CONOCIMIENTO[CAMPO_DETALLADO],MAE_CONOCIMIENTO[ID_DDETALLADO],"Seleccione Campo Detallado")</f>
        <v>F-C-D-GES-FIN</v>
      </c>
    </row>
    <row r="132" spans="1:8">
      <c r="A132">
        <v>146</v>
      </c>
      <c r="B132" t="s">
        <v>61</v>
      </c>
      <c r="C132" t="str">
        <f>_xlfn.XLOOKUP(TAB_H_ASIG_CON_DET[[#This Row],[ID_CARRERA]],MAE_CARRERA[ID_CARRERA],MAE_CARRERA[NOMBRE_CARRERA],"Seleccione ID Carrera")</f>
        <v>AUDITORÍA Y CONTROL DE GESTIÓN 2024 NS</v>
      </c>
      <c r="D132">
        <v>7</v>
      </c>
      <c r="E132" t="s">
        <v>87</v>
      </c>
      <c r="F132" t="str">
        <f>_xlfn.XLOOKUP(TAB_H_ASIG_CON_DET[[#This Row],[ASIGNATURA]],MAE_ASIGNATURA[NOM_ASIG],MAE_ASIGNATURA[ID_ASIG],"Seleccione Asignatura")</f>
        <v>FCACC-AU-CO-GE-NI-7-RESPO-SOC-</v>
      </c>
      <c r="G132" t="s">
        <v>71</v>
      </c>
      <c r="H132" t="str">
        <f>_xlfn.XLOOKUP(TAB_H_ASIG_CON_DET[[#This Row],[DETALLADO]],MAE_CONOCIMIENTO[CAMPO_DETALLADO],MAE_CONOCIMIENTO[ID_DDETALLADO],"Seleccione Campo Detallado")</f>
        <v>F-C-D-DER-HUM</v>
      </c>
    </row>
    <row r="133" spans="1:8">
      <c r="A133">
        <v>147</v>
      </c>
      <c r="B133" t="s">
        <v>61</v>
      </c>
      <c r="C133" t="str">
        <f>_xlfn.XLOOKUP(TAB_H_ASIG_CON_DET[[#This Row],[ID_CARRERA]],MAE_CARRERA[ID_CARRERA],MAE_CARRERA[NOMBRE_CARRERA],"Seleccione ID Carrera")</f>
        <v>AUDITORÍA Y CONTROL DE GESTIÓN 2024 NS</v>
      </c>
      <c r="D133">
        <v>8</v>
      </c>
      <c r="E133" t="s">
        <v>88</v>
      </c>
      <c r="F133" t="str">
        <f>_xlfn.XLOOKUP(TAB_H_ASIG_CON_DET[[#This Row],[ASIGNATURA]],MAE_ASIGNATURA[NOM_ASIG],MAE_ASIGNATURA[ID_ASIG],"Seleccione Asignatura")</f>
        <v xml:space="preserve">FCACC-AU-CO-GE-NI-8-DISEÑ-DES- Y </v>
      </c>
      <c r="G133" t="s">
        <v>29</v>
      </c>
      <c r="H133" t="str">
        <f>_xlfn.XLOOKUP(TAB_H_ASIG_CON_DET[[#This Row],[DETALLADO]],MAE_CONOCIMIENTO[CAMPO_DETALLADO],MAE_CONOCIMIENTO[ID_DDETALLADO],"Seleccione Campo Detallado")</f>
        <v>F-C-D-GES-FIN</v>
      </c>
    </row>
    <row r="134" spans="1:8">
      <c r="A134">
        <v>148</v>
      </c>
      <c r="B134" t="s">
        <v>61</v>
      </c>
      <c r="C134" t="str">
        <f>_xlfn.XLOOKUP(TAB_H_ASIG_CON_DET[[#This Row],[ID_CARRERA]],MAE_CARRERA[ID_CARRERA],MAE_CARRERA[NOMBRE_CARRERA],"Seleccione ID Carrera")</f>
        <v>AUDITORÍA Y CONTROL DE GESTIÓN 2024 NS</v>
      </c>
      <c r="D134">
        <v>8</v>
      </c>
      <c r="E134" t="s">
        <v>88</v>
      </c>
      <c r="F134" t="str">
        <f>_xlfn.XLOOKUP(TAB_H_ASIG_CON_DET[[#This Row],[ASIGNATURA]],MAE_ASIGNATURA[NOM_ASIG],MAE_ASIGNATURA[ID_ASIG],"Seleccione Asignatura")</f>
        <v xml:space="preserve">FCACC-AU-CO-GE-NI-8-DISEÑ-DES- Y </v>
      </c>
      <c r="G134" t="s">
        <v>13</v>
      </c>
      <c r="H134" t="str">
        <f>_xlfn.XLOOKUP(TAB_H_ASIG_CON_DET[[#This Row],[DETALLADO]],MAE_CONOCIMIENTO[CAMPO_DETALLADO],MAE_CONOCIMIENTO[ID_DDETALLADO],"Seleccione Campo Detallado")</f>
        <v>F-C-D-ADM</v>
      </c>
    </row>
    <row r="135" spans="1:8">
      <c r="A135">
        <v>149</v>
      </c>
      <c r="B135" t="s">
        <v>61</v>
      </c>
      <c r="C135" t="str">
        <f>_xlfn.XLOOKUP(TAB_H_ASIG_CON_DET[[#This Row],[ID_CARRERA]],MAE_CARRERA[ID_CARRERA],MAE_CARRERA[NOMBRE_CARRERA],"Seleccione ID Carrera")</f>
        <v>AUDITORÍA Y CONTROL DE GESTIÓN 2024 NS</v>
      </c>
      <c r="D135">
        <v>8</v>
      </c>
      <c r="E135" t="s">
        <v>89</v>
      </c>
      <c r="F135" t="str">
        <f>_xlfn.XLOOKUP(TAB_H_ASIG_CON_DET[[#This Row],[ASIGNATURA]],MAE_ASIGNATURA[NOM_ASIG],MAE_ASIGNATURA[ID_ASIG],"Seleccione Asignatura")</f>
        <v>FCACC-AU-CO-GE-NI-8-LIDER-Y G-GES</v>
      </c>
      <c r="G135" t="s">
        <v>27</v>
      </c>
      <c r="H135" t="str">
        <f>_xlfn.XLOOKUP(TAB_H_ASIG_CON_DET[[#This Row],[DETALLADO]],MAE_CONOCIMIENTO[CAMPO_DETALLADO],MAE_CONOCIMIENTO[ID_DDETALLADO],"Seleccione Campo Detallado")</f>
        <v>F-C-D-CON-Y A-AUD</v>
      </c>
    </row>
    <row r="136" spans="1:8">
      <c r="A136">
        <v>150</v>
      </c>
      <c r="B136" t="s">
        <v>61</v>
      </c>
      <c r="C136" t="str">
        <f>_xlfn.XLOOKUP(TAB_H_ASIG_CON_DET[[#This Row],[ID_CARRERA]],MAE_CARRERA[ID_CARRERA],MAE_CARRERA[NOMBRE_CARRERA],"Seleccione ID Carrera")</f>
        <v>AUDITORÍA Y CONTROL DE GESTIÓN 2024 NS</v>
      </c>
      <c r="D136">
        <v>8</v>
      </c>
      <c r="E136" t="s">
        <v>89</v>
      </c>
      <c r="F136" t="str">
        <f>_xlfn.XLOOKUP(TAB_H_ASIG_CON_DET[[#This Row],[ASIGNATURA]],MAE_ASIGNATURA[NOM_ASIG],MAE_ASIGNATURA[ID_ASIG],"Seleccione Asignatura")</f>
        <v>FCACC-AU-CO-GE-NI-8-LIDER-Y G-GES</v>
      </c>
      <c r="G136" t="s">
        <v>29</v>
      </c>
      <c r="H136" t="str">
        <f>_xlfn.XLOOKUP(TAB_H_ASIG_CON_DET[[#This Row],[DETALLADO]],MAE_CONOCIMIENTO[CAMPO_DETALLADO],MAE_CONOCIMIENTO[ID_DDETALLADO],"Seleccione Campo Detallado")</f>
        <v>F-C-D-GES-FIN</v>
      </c>
    </row>
    <row r="137" spans="1:8">
      <c r="A137">
        <v>151</v>
      </c>
      <c r="B137" t="s">
        <v>61</v>
      </c>
      <c r="C137" t="str">
        <f>_xlfn.XLOOKUP(TAB_H_ASIG_CON_DET[[#This Row],[ID_CARRERA]],MAE_CARRERA[ID_CARRERA],MAE_CARRERA[NOMBRE_CARRERA],"Seleccione ID Carrera")</f>
        <v>AUDITORÍA Y CONTROL DE GESTIÓN 2024 NS</v>
      </c>
      <c r="D137">
        <v>8</v>
      </c>
      <c r="E137" t="s">
        <v>89</v>
      </c>
      <c r="F137" t="str">
        <f>_xlfn.XLOOKUP(TAB_H_ASIG_CON_DET[[#This Row],[ASIGNATURA]],MAE_ASIGNATURA[NOM_ASIG],MAE_ASIGNATURA[ID_ASIG],"Seleccione Asignatura")</f>
        <v>FCACC-AU-CO-GE-NI-8-LIDER-Y G-GES</v>
      </c>
      <c r="G137" t="s">
        <v>13</v>
      </c>
      <c r="H137" t="str">
        <f>_xlfn.XLOOKUP(TAB_H_ASIG_CON_DET[[#This Row],[DETALLADO]],MAE_CONOCIMIENTO[CAMPO_DETALLADO],MAE_CONOCIMIENTO[ID_DDETALLADO],"Seleccione Campo Detallado")</f>
        <v>F-C-D-ADM</v>
      </c>
    </row>
    <row r="138" spans="1:8">
      <c r="A138">
        <v>152</v>
      </c>
      <c r="B138" t="s">
        <v>61</v>
      </c>
      <c r="C138" t="str">
        <f>_xlfn.XLOOKUP(TAB_H_ASIG_CON_DET[[#This Row],[ID_CARRERA]],MAE_CARRERA[ID_CARRERA],MAE_CARRERA[NOMBRE_CARRERA],"Seleccione ID Carrera")</f>
        <v>AUDITORÍA Y CONTROL DE GESTIÓN 2024 NS</v>
      </c>
      <c r="D138">
        <v>8</v>
      </c>
      <c r="E138" t="s">
        <v>89</v>
      </c>
      <c r="F138" t="str">
        <f>_xlfn.XLOOKUP(TAB_H_ASIG_CON_DET[[#This Row],[ASIGNATURA]],MAE_ASIGNATURA[NOM_ASIG],MAE_ASIGNATURA[ID_ASIG],"Seleccione Asignatura")</f>
        <v>FCACC-AU-CO-GE-NI-8-LIDER-Y G-GES</v>
      </c>
      <c r="G138" t="s">
        <v>38</v>
      </c>
      <c r="H138" t="str">
        <f>_xlfn.XLOOKUP(TAB_H_ASIG_CON_DET[[#This Row],[DETALLADO]],MAE_CONOCIMIENTO[CAMPO_DETALLADO],MAE_CONOCIMIENTO[ID_DDETALLADO],"Seleccione Campo Detallado")</f>
        <v>F-C-D-COM</v>
      </c>
    </row>
    <row r="139" spans="1:8">
      <c r="A139">
        <v>153</v>
      </c>
      <c r="B139" t="s">
        <v>61</v>
      </c>
      <c r="C139" t="str">
        <f>_xlfn.XLOOKUP(TAB_H_ASIG_CON_DET[[#This Row],[ID_CARRERA]],MAE_CARRERA[ID_CARRERA],MAE_CARRERA[NOMBRE_CARRERA],"Seleccione ID Carrera")</f>
        <v>AUDITORÍA Y CONTROL DE GESTIÓN 2024 NS</v>
      </c>
      <c r="D139">
        <v>8</v>
      </c>
      <c r="E139" t="s">
        <v>89</v>
      </c>
      <c r="F139" t="str">
        <f>_xlfn.XLOOKUP(TAB_H_ASIG_CON_DET[[#This Row],[ASIGNATURA]],MAE_ASIGNATURA[NOM_ASIG],MAE_ASIGNATURA[ID_ASIG],"Seleccione Asignatura")</f>
        <v>FCACC-AU-CO-GE-NI-8-LIDER-Y G-GES</v>
      </c>
      <c r="G139" t="s">
        <v>70</v>
      </c>
      <c r="H139" t="str">
        <f>_xlfn.XLOOKUP(TAB_H_ASIG_CON_DET[[#This Row],[DETALLADO]],MAE_CONOCIMIENTO[CAMPO_DETALLADO],MAE_CONOCIMIENTO[ID_DDETALLADO],"Seleccione Campo Detallado")</f>
        <v>F-C-D-COM-LAB</v>
      </c>
    </row>
    <row r="140" spans="1:8">
      <c r="A140">
        <v>154</v>
      </c>
      <c r="B140" t="s">
        <v>61</v>
      </c>
      <c r="C140" t="str">
        <f>_xlfn.XLOOKUP(TAB_H_ASIG_CON_DET[[#This Row],[ID_CARRERA]],MAE_CARRERA[ID_CARRERA],MAE_CARRERA[NOMBRE_CARRERA],"Seleccione ID Carrera")</f>
        <v>AUDITORÍA Y CONTROL DE GESTIÓN 2024 NS</v>
      </c>
      <c r="D140">
        <v>8</v>
      </c>
      <c r="E140" t="s">
        <v>89</v>
      </c>
      <c r="F140" t="str">
        <f>_xlfn.XLOOKUP(TAB_H_ASIG_CON_DET[[#This Row],[ASIGNATURA]],MAE_ASIGNATURA[NOM_ASIG],MAE_ASIGNATURA[ID_ASIG],"Seleccione Asignatura")</f>
        <v>FCACC-AU-CO-GE-NI-8-LIDER-Y G-GES</v>
      </c>
      <c r="G140" t="s">
        <v>90</v>
      </c>
      <c r="H140" t="str">
        <f>_xlfn.XLOOKUP(TAB_H_ASIG_CON_DET[[#This Row],[DETALLADO]],MAE_CONOCIMIENTO[CAMPO_DETALLADO],MAE_CONOCIMIENTO[ID_DDETALLADO],"Seleccione Campo Detallado")</f>
        <v>F-C-D-DER</v>
      </c>
    </row>
    <row r="141" spans="1:8">
      <c r="A141">
        <v>155</v>
      </c>
      <c r="B141" t="s">
        <v>61</v>
      </c>
      <c r="C141" t="str">
        <f>_xlfn.XLOOKUP(TAB_H_ASIG_CON_DET[[#This Row],[ID_CARRERA]],MAE_CARRERA[ID_CARRERA],MAE_CARRERA[NOMBRE_CARRERA],"Seleccione ID Carrera")</f>
        <v>AUDITORÍA Y CONTROL DE GESTIÓN 2024 NS</v>
      </c>
      <c r="D141">
        <v>8</v>
      </c>
      <c r="E141" t="s">
        <v>89</v>
      </c>
      <c r="F141" t="str">
        <f>_xlfn.XLOOKUP(TAB_H_ASIG_CON_DET[[#This Row],[ASIGNATURA]],MAE_ASIGNATURA[NOM_ASIG],MAE_ASIGNATURA[ID_ASIG],"Seleccione Asignatura")</f>
        <v>FCACC-AU-CO-GE-NI-8-LIDER-Y G-GES</v>
      </c>
      <c r="G141" t="s">
        <v>91</v>
      </c>
      <c r="H141" t="str">
        <f>_xlfn.XLOOKUP(TAB_H_ASIG_CON_DET[[#This Row],[DETALLADO]],MAE_CONOCIMIENTO[CAMPO_DETALLADO],MAE_CONOCIMIENTO[ID_DDETALLADO],"Seleccione Campo Detallado")</f>
        <v>F-C-D-GES-DE -INF</v>
      </c>
    </row>
    <row r="142" spans="1:8">
      <c r="A142">
        <v>156</v>
      </c>
      <c r="B142" t="s">
        <v>61</v>
      </c>
      <c r="C142" t="str">
        <f>_xlfn.XLOOKUP(TAB_H_ASIG_CON_DET[[#This Row],[ID_CARRERA]],MAE_CARRERA[ID_CARRERA],MAE_CARRERA[NOMBRE_CARRERA],"Seleccione ID Carrera")</f>
        <v>AUDITORÍA Y CONTROL DE GESTIÓN 2024 NS</v>
      </c>
      <c r="D142">
        <v>8</v>
      </c>
      <c r="E142" t="s">
        <v>92</v>
      </c>
      <c r="F142" t="str">
        <f>_xlfn.XLOOKUP(TAB_H_ASIG_CON_DET[[#This Row],[ASIGNATURA]],MAE_ASIGNATURA[NOM_ASIG],MAE_ASIGNATURA[ID_ASIG],"Seleccione Asignatura")</f>
        <v>FCACC-AU-CO-GE-NI-8-AUDIT-DE -SIS</v>
      </c>
      <c r="G142" t="s">
        <v>27</v>
      </c>
      <c r="H142" t="str">
        <f>_xlfn.XLOOKUP(TAB_H_ASIG_CON_DET[[#This Row],[DETALLADO]],MAE_CONOCIMIENTO[CAMPO_DETALLADO],MAE_CONOCIMIENTO[ID_DDETALLADO],"Seleccione Campo Detallado")</f>
        <v>F-C-D-CON-Y A-AUD</v>
      </c>
    </row>
    <row r="143" spans="1:8">
      <c r="A143">
        <v>157</v>
      </c>
      <c r="B143" t="s">
        <v>61</v>
      </c>
      <c r="C143" t="str">
        <f>_xlfn.XLOOKUP(TAB_H_ASIG_CON_DET[[#This Row],[ID_CARRERA]],MAE_CARRERA[ID_CARRERA],MAE_CARRERA[NOMBRE_CARRERA],"Seleccione ID Carrera")</f>
        <v>AUDITORÍA Y CONTROL DE GESTIÓN 2024 NS</v>
      </c>
      <c r="D143">
        <v>8</v>
      </c>
      <c r="E143" t="s">
        <v>92</v>
      </c>
      <c r="F143" t="str">
        <f>_xlfn.XLOOKUP(TAB_H_ASIG_CON_DET[[#This Row],[ASIGNATURA]],MAE_ASIGNATURA[NOM_ASIG],MAE_ASIGNATURA[ID_ASIG],"Seleccione Asignatura")</f>
        <v>FCACC-AU-CO-GE-NI-8-AUDIT-DE -SIS</v>
      </c>
      <c r="G143" t="s">
        <v>93</v>
      </c>
      <c r="H143" t="str">
        <f>_xlfn.XLOOKUP(TAB_H_ASIG_CON_DET[[#This Row],[DETALLADO]],MAE_CONOCIMIENTO[CAMPO_DETALLADO],MAE_CONOCIMIENTO[ID_DDETALLADO],"Seleccione Campo Detallado")</f>
        <v>F-C-D-SIS-DE -INF</v>
      </c>
    </row>
    <row r="144" spans="1:8">
      <c r="A144">
        <v>158</v>
      </c>
      <c r="B144" t="s">
        <v>61</v>
      </c>
      <c r="C144" t="str">
        <f>_xlfn.XLOOKUP(TAB_H_ASIG_CON_DET[[#This Row],[ID_CARRERA]],MAE_CARRERA[ID_CARRERA],MAE_CARRERA[NOMBRE_CARRERA],"Seleccione ID Carrera")</f>
        <v>AUDITORÍA Y CONTROL DE GESTIÓN 2024 NS</v>
      </c>
      <c r="D144">
        <v>8</v>
      </c>
      <c r="E144" t="s">
        <v>53</v>
      </c>
      <c r="F144" t="str">
        <f>_xlfn.XLOOKUP(TAB_H_ASIG_CON_DET[[#This Row],[ASIGNATURA]],MAE_ASIGNATURA[NOM_ASIG],MAE_ASIGNATURA[ID_ASIG],"Seleccione Asignatura")</f>
        <v>FCACC-AU-CO-GE-NI-8-AUDIT-FOR</v>
      </c>
      <c r="G144" t="s">
        <v>27</v>
      </c>
      <c r="H144" t="str">
        <f>_xlfn.XLOOKUP(TAB_H_ASIG_CON_DET[[#This Row],[DETALLADO]],MAE_CONOCIMIENTO[CAMPO_DETALLADO],MAE_CONOCIMIENTO[ID_DDETALLADO],"Seleccione Campo Detallado")</f>
        <v>F-C-D-CON-Y A-AUD</v>
      </c>
    </row>
    <row r="145" spans="1:8">
      <c r="A145">
        <v>159</v>
      </c>
      <c r="B145" t="s">
        <v>61</v>
      </c>
      <c r="C145" t="str">
        <f>_xlfn.XLOOKUP(TAB_H_ASIG_CON_DET[[#This Row],[ID_CARRERA]],MAE_CARRERA[ID_CARRERA],MAE_CARRERA[NOMBRE_CARRERA],"Seleccione ID Carrera")</f>
        <v>AUDITORÍA Y CONTROL DE GESTIÓN 2024 NS</v>
      </c>
      <c r="D145">
        <v>8</v>
      </c>
      <c r="E145" t="s">
        <v>94</v>
      </c>
      <c r="F145" t="str">
        <f>_xlfn.XLOOKUP(TAB_H_ASIG_CON_DET[[#This Row],[ASIGNATURA]],MAE_ASIGNATURA[NOM_ASIG],MAE_ASIGNATURA[ID_ASIG],"Seleccione Asignatura")</f>
        <v>FCACC-AU-CO-GE-NI-8-AUDIT-INT</v>
      </c>
      <c r="G145" t="s">
        <v>27</v>
      </c>
      <c r="H145" t="str">
        <f>_xlfn.XLOOKUP(TAB_H_ASIG_CON_DET[[#This Row],[DETALLADO]],MAE_CONOCIMIENTO[CAMPO_DETALLADO],MAE_CONOCIMIENTO[ID_DDETALLADO],"Seleccione Campo Detallado")</f>
        <v>F-C-D-CON-Y A-AUD</v>
      </c>
    </row>
    <row r="146" spans="1:8" ht="30.75">
      <c r="A146">
        <v>160</v>
      </c>
      <c r="B146" t="s">
        <v>50</v>
      </c>
      <c r="C146" t="str">
        <f>_xlfn.XLOOKUP(TAB_H_ASIG_CON_DET[[#This Row],[ID_CARRERA]],MAE_CARRERA[ID_CARRERA],MAE_CARRERA[NOMBRE_CARRERA],"Seleccione ID Carrera")</f>
        <v>Titulación</v>
      </c>
      <c r="D146">
        <v>7</v>
      </c>
      <c r="E146" s="2" t="s">
        <v>95</v>
      </c>
      <c r="F146" t="str">
        <f>_xlfn.XLOOKUP(TAB_H_ASIG_CON_DET[[#This Row],[ASIGNATURA]],MAE_ASIGNATURA[NOM_ASIG],MAE_ASIGNATURA[ID_ASIG],"Seleccione Asignatura")</f>
        <v>FCACC-8-TITU-NI-7-Traba-de -int</v>
      </c>
      <c r="G146" t="s">
        <v>27</v>
      </c>
      <c r="H146" t="str">
        <f>_xlfn.XLOOKUP(TAB_H_ASIG_CON_DET[[#This Row],[DETALLADO]],MAE_CONOCIMIENTO[CAMPO_DETALLADO],MAE_CONOCIMIENTO[ID_DDETALLADO],"Seleccione Campo Detallado")</f>
        <v>F-C-D-CON-Y A-AUD</v>
      </c>
    </row>
    <row r="147" spans="1:8" ht="30.75">
      <c r="A147">
        <v>161</v>
      </c>
      <c r="B147" t="s">
        <v>50</v>
      </c>
      <c r="C147" t="str">
        <f>_xlfn.XLOOKUP(TAB_H_ASIG_CON_DET[[#This Row],[ID_CARRERA]],MAE_CARRERA[ID_CARRERA],MAE_CARRERA[NOMBRE_CARRERA],"Seleccione ID Carrera")</f>
        <v>Titulación</v>
      </c>
      <c r="D147">
        <v>7</v>
      </c>
      <c r="E147" s="2" t="s">
        <v>95</v>
      </c>
      <c r="F147" t="str">
        <f>_xlfn.XLOOKUP(TAB_H_ASIG_CON_DET[[#This Row],[ASIGNATURA]],MAE_ASIGNATURA[NOM_ASIG],MAE_ASIGNATURA[ID_ASIG],"Seleccione Asignatura")</f>
        <v>FCACC-8-TITU-NI-7-Traba-de -int</v>
      </c>
      <c r="G147" t="s">
        <v>29</v>
      </c>
      <c r="H147" t="str">
        <f>_xlfn.XLOOKUP(TAB_H_ASIG_CON_DET[[#This Row],[DETALLADO]],MAE_CONOCIMIENTO[CAMPO_DETALLADO],MAE_CONOCIMIENTO[ID_DDETALLADO],"Seleccione Campo Detallado")</f>
        <v>F-C-D-GES-FIN</v>
      </c>
    </row>
    <row r="148" spans="1:8" ht="30.75">
      <c r="A148">
        <v>162</v>
      </c>
      <c r="B148" t="s">
        <v>50</v>
      </c>
      <c r="C148" t="str">
        <f>_xlfn.XLOOKUP(TAB_H_ASIG_CON_DET[[#This Row],[ID_CARRERA]],MAE_CARRERA[ID_CARRERA],MAE_CARRERA[NOMBRE_CARRERA],"Seleccione ID Carrera")</f>
        <v>Titulación</v>
      </c>
      <c r="D148">
        <v>7</v>
      </c>
      <c r="E148" s="2" t="s">
        <v>95</v>
      </c>
      <c r="F148" t="str">
        <f>_xlfn.XLOOKUP(TAB_H_ASIG_CON_DET[[#This Row],[ASIGNATURA]],MAE_ASIGNATURA[NOM_ASIG],MAE_ASIGNATURA[ID_ASIG],"Seleccione Asignatura")</f>
        <v>FCACC-8-TITU-NI-7-Traba-de -int</v>
      </c>
      <c r="G148" t="s">
        <v>13</v>
      </c>
      <c r="H148" t="str">
        <f>_xlfn.XLOOKUP(TAB_H_ASIG_CON_DET[[#This Row],[DETALLADO]],MAE_CONOCIMIENTO[CAMPO_DETALLADO],MAE_CONOCIMIENTO[ID_DDETALLADO],"Seleccione Campo Detallado")</f>
        <v>F-C-D-ADM</v>
      </c>
    </row>
    <row r="149" spans="1:8" ht="30.75">
      <c r="A149">
        <v>163</v>
      </c>
      <c r="B149" t="s">
        <v>50</v>
      </c>
      <c r="C149" t="str">
        <f>_xlfn.XLOOKUP(TAB_H_ASIG_CON_DET[[#This Row],[ID_CARRERA]],MAE_CARRERA[ID_CARRERA],MAE_CARRERA[NOMBRE_CARRERA],"Seleccione ID Carrera")</f>
        <v>Titulación</v>
      </c>
      <c r="D149">
        <v>8</v>
      </c>
      <c r="E149" s="2" t="s">
        <v>96</v>
      </c>
      <c r="F149" t="str">
        <f>_xlfn.XLOOKUP(TAB_H_ASIG_CON_DET[[#This Row],[ASIGNATURA]],MAE_ASIGNATURA[NOM_ASIG],MAE_ASIGNATURA[ID_ASIG],"Seleccione Asignatura")</f>
        <v>FCACC-8-TITU-NI-8-Traba-de -int</v>
      </c>
      <c r="G149" t="s">
        <v>27</v>
      </c>
      <c r="H149" t="str">
        <f>_xlfn.XLOOKUP(TAB_H_ASIG_CON_DET[[#This Row],[DETALLADO]],MAE_CONOCIMIENTO[CAMPO_DETALLADO],MAE_CONOCIMIENTO[ID_DDETALLADO],"Seleccione Campo Detallado")</f>
        <v>F-C-D-CON-Y A-AUD</v>
      </c>
    </row>
    <row r="150" spans="1:8" ht="30.75">
      <c r="A150">
        <v>164</v>
      </c>
      <c r="B150" t="s">
        <v>50</v>
      </c>
      <c r="C150" t="str">
        <f>_xlfn.XLOOKUP(TAB_H_ASIG_CON_DET[[#This Row],[ID_CARRERA]],MAE_CARRERA[ID_CARRERA],MAE_CARRERA[NOMBRE_CARRERA],"Seleccione ID Carrera")</f>
        <v>Titulación</v>
      </c>
      <c r="D150">
        <v>8</v>
      </c>
      <c r="E150" s="2" t="s">
        <v>96</v>
      </c>
      <c r="F150" t="str">
        <f>_xlfn.XLOOKUP(TAB_H_ASIG_CON_DET[[#This Row],[ASIGNATURA]],MAE_ASIGNATURA[NOM_ASIG],MAE_ASIGNATURA[ID_ASIG],"Seleccione Asignatura")</f>
        <v>FCACC-8-TITU-NI-8-Traba-de -int</v>
      </c>
      <c r="G150" t="s">
        <v>29</v>
      </c>
      <c r="H150" t="str">
        <f>_xlfn.XLOOKUP(TAB_H_ASIG_CON_DET[[#This Row],[DETALLADO]],MAE_CONOCIMIENTO[CAMPO_DETALLADO],MAE_CONOCIMIENTO[ID_DDETALLADO],"Seleccione Campo Detallado")</f>
        <v>F-C-D-GES-FIN</v>
      </c>
    </row>
    <row r="151" spans="1:8" ht="30.75">
      <c r="A151">
        <v>165</v>
      </c>
      <c r="B151" t="s">
        <v>50</v>
      </c>
      <c r="C151" t="str">
        <f>_xlfn.XLOOKUP(TAB_H_ASIG_CON_DET[[#This Row],[ID_CARRERA]],MAE_CARRERA[ID_CARRERA],MAE_CARRERA[NOMBRE_CARRERA],"Seleccione ID Carrera")</f>
        <v>Titulación</v>
      </c>
      <c r="D151">
        <v>8</v>
      </c>
      <c r="E151" s="2" t="s">
        <v>96</v>
      </c>
      <c r="F151" t="str">
        <f>_xlfn.XLOOKUP(TAB_H_ASIG_CON_DET[[#This Row],[ASIGNATURA]],MAE_ASIGNATURA[NOM_ASIG],MAE_ASIGNATURA[ID_ASIG],"Seleccione Asignatura")</f>
        <v>FCACC-8-TITU-NI-8-Traba-de -int</v>
      </c>
      <c r="G151" t="s">
        <v>13</v>
      </c>
      <c r="H151" t="str">
        <f>_xlfn.XLOOKUP(TAB_H_ASIG_CON_DET[[#This Row],[DETALLADO]],MAE_CONOCIMIENTO[CAMPO_DETALLADO],MAE_CONOCIMIENTO[ID_DDETALLADO],"Seleccione Campo Detallado")</f>
        <v>F-C-D-ADM</v>
      </c>
    </row>
    <row r="152" spans="1:8">
      <c r="A152">
        <v>166</v>
      </c>
      <c r="B152" t="s">
        <v>97</v>
      </c>
      <c r="C152" t="str">
        <f>_xlfn.XLOOKUP(TAB_H_ASIG_CON_DET[[#This Row],[ID_CARRERA]],MAE_CARRERA[ID_CARRERA],MAE_CARRERA[NOMBRE_CARRERA],"Seleccione ID Carrera")</f>
        <v>Prácticas</v>
      </c>
      <c r="D152">
        <v>5</v>
      </c>
      <c r="E152" t="s">
        <v>98</v>
      </c>
      <c r="F152" t="str">
        <f>_xlfn.XLOOKUP(TAB_H_ASIG_CON_DET[[#This Row],[ASIGNATURA]],MAE_ASIGNATURA[NOM_ASIG],MAE_ASIGNATURA[ID_ASIG],"Seleccione Asignatura")</f>
        <v>FCACC-8-PRAC-NI-5-Práct-Lab-1 A</v>
      </c>
      <c r="G152" t="s">
        <v>99</v>
      </c>
      <c r="H152" t="str">
        <f>_xlfn.XLOOKUP(TAB_H_ASIG_CON_DET[[#This Row],[DETALLADO]],MAE_CONOCIMIENTO[CAMPO_DETALLADO],MAE_CONOCIMIENTO[ID_DDETALLADO],"Seleccione Campo Detallado")</f>
        <v>F-C-D-ACT</v>
      </c>
    </row>
    <row r="153" spans="1:8">
      <c r="A153">
        <v>167</v>
      </c>
      <c r="B153" t="s">
        <v>97</v>
      </c>
      <c r="C153" t="str">
        <f>_xlfn.XLOOKUP(TAB_H_ASIG_CON_DET[[#This Row],[ID_CARRERA]],MAE_CARRERA[ID_CARRERA],MAE_CARRERA[NOMBRE_CARRERA],"Seleccione ID Carrera")</f>
        <v>Prácticas</v>
      </c>
      <c r="D153">
        <v>6</v>
      </c>
      <c r="E153" t="s">
        <v>100</v>
      </c>
      <c r="F153" t="str">
        <f>_xlfn.XLOOKUP(TAB_H_ASIG_CON_DET[[#This Row],[ASIGNATURA]],MAE_ASIGNATURA[NOM_ASIG],MAE_ASIGNATURA[ID_ASIG],"Seleccione Asignatura")</f>
        <v>FCACC-8-PRAC-NI-6-Práct-Lab-2 A</v>
      </c>
      <c r="G153" t="s">
        <v>99</v>
      </c>
      <c r="H153" t="str">
        <f>_xlfn.XLOOKUP(TAB_H_ASIG_CON_DET[[#This Row],[DETALLADO]],MAE_CONOCIMIENTO[CAMPO_DETALLADO],MAE_CONOCIMIENTO[ID_DDETALLADO],"Seleccione Campo Detallado")</f>
        <v>F-C-D-ACT</v>
      </c>
    </row>
    <row r="154" spans="1:8">
      <c r="A154">
        <v>168</v>
      </c>
      <c r="B154" t="s">
        <v>97</v>
      </c>
      <c r="C154" t="str">
        <f>_xlfn.XLOOKUP(TAB_H_ASIG_CON_DET[[#This Row],[ID_CARRERA]],MAE_CARRERA[ID_CARRERA],MAE_CARRERA[NOMBRE_CARRERA],"Seleccione ID Carrera")</f>
        <v>Prácticas</v>
      </c>
      <c r="D154">
        <v>5</v>
      </c>
      <c r="E154" t="s">
        <v>101</v>
      </c>
      <c r="F154" t="str">
        <f>_xlfn.XLOOKUP(TAB_H_ASIG_CON_DET[[#This Row],[ASIGNATURA]],MAE_ASIGNATURA[NOM_ASIG],MAE_ASIGNATURA[ID_ASIG],"Seleccione Asignatura")</f>
        <v>FCACC-8-PRAC-NI-5-Práct-Lab-1 F</v>
      </c>
      <c r="G154" t="s">
        <v>99</v>
      </c>
      <c r="H154" t="str">
        <f>_xlfn.XLOOKUP(TAB_H_ASIG_CON_DET[[#This Row],[DETALLADO]],MAE_CONOCIMIENTO[CAMPO_DETALLADO],MAE_CONOCIMIENTO[ID_DDETALLADO],"Seleccione Campo Detallado")</f>
        <v>F-C-D-ACT</v>
      </c>
    </row>
    <row r="155" spans="1:8">
      <c r="A155">
        <v>169</v>
      </c>
      <c r="B155" t="s">
        <v>97</v>
      </c>
      <c r="C155" t="str">
        <f>_xlfn.XLOOKUP(TAB_H_ASIG_CON_DET[[#This Row],[ID_CARRERA]],MAE_CARRERA[ID_CARRERA],MAE_CARRERA[NOMBRE_CARRERA],"Seleccione ID Carrera")</f>
        <v>Prácticas</v>
      </c>
      <c r="D155">
        <v>6</v>
      </c>
      <c r="E155" t="s">
        <v>102</v>
      </c>
      <c r="F155" t="str">
        <f>_xlfn.XLOOKUP(TAB_H_ASIG_CON_DET[[#This Row],[ASIGNATURA]],MAE_ASIGNATURA[NOM_ASIG],MAE_ASIGNATURA[ID_ASIG],"Seleccione Asignatura")</f>
        <v>FCACC-8-PRAC-NI-6-Práct-Lab-2 F</v>
      </c>
      <c r="G155" t="s">
        <v>99</v>
      </c>
      <c r="H155" t="str">
        <f>_xlfn.XLOOKUP(TAB_H_ASIG_CON_DET[[#This Row],[DETALLADO]],MAE_CONOCIMIENTO[CAMPO_DETALLADO],MAE_CONOCIMIENTO[ID_DDETALLADO],"Seleccione Campo Detallado")</f>
        <v>F-C-D-ACT</v>
      </c>
    </row>
    <row r="156" spans="1:8">
      <c r="A156">
        <v>170</v>
      </c>
      <c r="B156" t="s">
        <v>97</v>
      </c>
      <c r="C156" t="str">
        <f>_xlfn.XLOOKUP(TAB_H_ASIG_CON_DET[[#This Row],[ID_CARRERA]],MAE_CARRERA[ID_CARRERA],MAE_CARRERA[NOMBRE_CARRERA],"Seleccione ID Carrera")</f>
        <v>Prácticas</v>
      </c>
      <c r="D156">
        <v>5</v>
      </c>
      <c r="E156" t="s">
        <v>103</v>
      </c>
      <c r="F156" t="str">
        <f>_xlfn.XLOOKUP(TAB_H_ASIG_CON_DET[[#This Row],[ASIGNATURA]],MAE_ASIGNATURA[NOM_ASIG],MAE_ASIGNATURA[ID_ASIG],"Seleccione Asignatura")</f>
        <v>FCACC-8-PRAC-NI-5-Práct-Lab-1 C</v>
      </c>
      <c r="G156" t="s">
        <v>99</v>
      </c>
      <c r="H156" t="str">
        <f>_xlfn.XLOOKUP(TAB_H_ASIG_CON_DET[[#This Row],[DETALLADO]],MAE_CONOCIMIENTO[CAMPO_DETALLADO],MAE_CONOCIMIENTO[ID_DDETALLADO],"Seleccione Campo Detallado")</f>
        <v>F-C-D-ACT</v>
      </c>
    </row>
    <row r="157" spans="1:8">
      <c r="A157">
        <v>171</v>
      </c>
      <c r="B157" t="s">
        <v>97</v>
      </c>
      <c r="C157" t="str">
        <f>_xlfn.XLOOKUP(TAB_H_ASIG_CON_DET[[#This Row],[ID_CARRERA]],MAE_CARRERA[ID_CARRERA],MAE_CARRERA[NOMBRE_CARRERA],"Seleccione ID Carrera")</f>
        <v>Prácticas</v>
      </c>
      <c r="D157">
        <v>6</v>
      </c>
      <c r="E157" t="s">
        <v>104</v>
      </c>
      <c r="F157" t="str">
        <f>_xlfn.XLOOKUP(TAB_H_ASIG_CON_DET[[#This Row],[ASIGNATURA]],MAE_ASIGNATURA[NOM_ASIG],MAE_ASIGNATURA[ID_ASIG],"Seleccione Asignatura")</f>
        <v>FCACC-8-PRAC-NI-6-Práct-Lab-2 C</v>
      </c>
      <c r="G157" t="s">
        <v>99</v>
      </c>
      <c r="H157" t="str">
        <f>_xlfn.XLOOKUP(TAB_H_ASIG_CON_DET[[#This Row],[DETALLADO]],MAE_CONOCIMIENTO[CAMPO_DETALLADO],MAE_CONOCIMIENTO[ID_DDETALLADO],"Seleccione Campo Detallado")</f>
        <v>F-C-D-ACT</v>
      </c>
    </row>
    <row r="158" spans="1:8">
      <c r="A158">
        <v>172</v>
      </c>
      <c r="B158" t="s">
        <v>97</v>
      </c>
      <c r="C158" t="str">
        <f>_xlfn.XLOOKUP(TAB_H_ASIG_CON_DET[[#This Row],[ID_CARRERA]],MAE_CARRERA[ID_CARRERA],MAE_CARRERA[NOMBRE_CARRERA],"Seleccione ID Carrera")</f>
        <v>Prácticas</v>
      </c>
      <c r="D158">
        <v>5</v>
      </c>
      <c r="E158" t="s">
        <v>105</v>
      </c>
      <c r="F158" t="str">
        <f>_xlfn.XLOOKUP(TAB_H_ASIG_CON_DET[[#This Row],[ASIGNATURA]],MAE_ASIGNATURA[NOM_ASIG],MAE_ASIGNATURA[ID_ASIG],"Seleccione Asignatura")</f>
        <v>FCACC-8-PRAC-NI-5-Práct-Pre</v>
      </c>
      <c r="G158" t="s">
        <v>99</v>
      </c>
      <c r="H158" t="str">
        <f>_xlfn.XLOOKUP(TAB_H_ASIG_CON_DET[[#This Row],[DETALLADO]],MAE_CONOCIMIENTO[CAMPO_DETALLADO],MAE_CONOCIMIENTO[ID_DDETALLADO],"Seleccione Campo Detallado")</f>
        <v>F-C-D-ACT</v>
      </c>
    </row>
    <row r="159" spans="1:8">
      <c r="A159">
        <v>173</v>
      </c>
      <c r="B159" t="s">
        <v>97</v>
      </c>
      <c r="C159" t="str">
        <f>_xlfn.XLOOKUP(TAB_H_ASIG_CON_DET[[#This Row],[ID_CARRERA]],MAE_CARRERA[ID_CARRERA],MAE_CARRERA[NOMBRE_CARRERA],"Seleccione ID Carrera")</f>
        <v>Prácticas</v>
      </c>
      <c r="D159">
        <v>6</v>
      </c>
      <c r="E159" t="s">
        <v>106</v>
      </c>
      <c r="F159" t="str">
        <f>_xlfn.XLOOKUP(TAB_H_ASIG_CON_DET[[#This Row],[ASIGNATURA]],MAE_ASIGNATURA[NOM_ASIG],MAE_ASIGNATURA[ID_ASIG],"Seleccione Asignatura")</f>
        <v>FCACC-8-PRAC-NI-6-Práct-pre</v>
      </c>
      <c r="G159" t="s">
        <v>99</v>
      </c>
      <c r="H159" t="str">
        <f>_xlfn.XLOOKUP(TAB_H_ASIG_CON_DET[[#This Row],[DETALLADO]],MAE_CONOCIMIENTO[CAMPO_DETALLADO],MAE_CONOCIMIENTO[ID_DDETALLADO],"Seleccione Campo Detallado")</f>
        <v>F-C-D-ACT</v>
      </c>
    </row>
    <row r="160" spans="1:8">
      <c r="A160">
        <v>174</v>
      </c>
      <c r="B160" t="s">
        <v>107</v>
      </c>
      <c r="C160" t="str">
        <f>_xlfn.XLOOKUP(TAB_H_ASIG_CON_DET[[#This Row],[ID_CARRERA]],MAE_CARRERA[ID_CARRERA],MAE_CARRERA[NOMBRE_CARRERA],"Seleccione ID Carrera")</f>
        <v>FINANZAS 2024 NS</v>
      </c>
      <c r="D160">
        <v>1</v>
      </c>
      <c r="E160" t="s">
        <v>108</v>
      </c>
      <c r="F160" t="str">
        <f>_xlfn.XLOOKUP(TAB_H_ASIG_CON_DET[[#This Row],[ASIGNATURA]],MAE_ASIGNATURA[NOM_ASIG],MAE_ASIGNATURA[ID_ASIG],"Seleccione Asignatura")</f>
        <v>FCACC-FINA-NI-1-CONTA-ADM</v>
      </c>
      <c r="G160" s="2" t="s">
        <v>10</v>
      </c>
      <c r="H160" t="str">
        <f>_xlfn.XLOOKUP(TAB_H_ASIG_CON_DET[[#This Row],[DETALLADO]],MAE_CONOCIMIENTO[CAMPO_DETALLADO],MAE_CONOCIMIENTO[ID_DDETALLADO],"Seleccione Campo Detallado")</f>
        <v>F-C-D-UNI-BAS</v>
      </c>
    </row>
    <row r="161" spans="1:8">
      <c r="A161">
        <v>175</v>
      </c>
      <c r="B161" t="s">
        <v>107</v>
      </c>
      <c r="C161" t="str">
        <f>_xlfn.XLOOKUP(TAB_H_ASIG_CON_DET[[#This Row],[ID_CARRERA]],MAE_CARRERA[ID_CARRERA],MAE_CARRERA[NOMBRE_CARRERA],"Seleccione ID Carrera")</f>
        <v>FINANZAS 2024 NS</v>
      </c>
      <c r="D161">
        <v>1</v>
      </c>
      <c r="E161" t="s">
        <v>109</v>
      </c>
      <c r="F161" t="str">
        <f>_xlfn.XLOOKUP(TAB_H_ASIG_CON_DET[[#This Row],[ASIGNATURA]],MAE_ASIGNATURA[NOM_ASIG],MAE_ASIGNATURA[ID_ASIG],"Seleccione Asignatura")</f>
        <v>FCACC-FINA-NI-1-MATEM-ADM</v>
      </c>
      <c r="G161" t="s">
        <v>10</v>
      </c>
      <c r="H161" t="str">
        <f>_xlfn.XLOOKUP(TAB_H_ASIG_CON_DET[[#This Row],[DETALLADO]],MAE_CONOCIMIENTO[CAMPO_DETALLADO],MAE_CONOCIMIENTO[ID_DDETALLADO],"Seleccione Campo Detallado")</f>
        <v>F-C-D-UNI-BAS</v>
      </c>
    </row>
    <row r="162" spans="1:8">
      <c r="A162">
        <v>176</v>
      </c>
      <c r="B162" t="s">
        <v>107</v>
      </c>
      <c r="C162" t="str">
        <f>_xlfn.XLOOKUP(TAB_H_ASIG_CON_DET[[#This Row],[ID_CARRERA]],MAE_CARRERA[ID_CARRERA],MAE_CARRERA[NOMBRE_CARRERA],"Seleccione ID Carrera")</f>
        <v>FINANZAS 2024 NS</v>
      </c>
      <c r="D162">
        <v>1</v>
      </c>
      <c r="E162" t="s">
        <v>63</v>
      </c>
      <c r="F162" t="str">
        <f>_xlfn.XLOOKUP(TAB_H_ASIG_CON_DET[[#This Row],[ASIGNATURA]],MAE_ASIGNATURA[NOM_ASIG],MAE_ASIGNATURA[ID_ASIG],"Seleccione Asignatura")</f>
        <v>FCACC-AU-CO-GE-NI-1-FUNDA-DE -ADM</v>
      </c>
      <c r="G162" t="s">
        <v>10</v>
      </c>
      <c r="H162" t="str">
        <f>_xlfn.XLOOKUP(TAB_H_ASIG_CON_DET[[#This Row],[DETALLADO]],MAE_CONOCIMIENTO[CAMPO_DETALLADO],MAE_CONOCIMIENTO[ID_DDETALLADO],"Seleccione Campo Detallado")</f>
        <v>F-C-D-UNI-BAS</v>
      </c>
    </row>
    <row r="163" spans="1:8">
      <c r="A163">
        <v>177</v>
      </c>
      <c r="B163" t="s">
        <v>107</v>
      </c>
      <c r="C163" t="str">
        <f>_xlfn.XLOOKUP(TAB_H_ASIG_CON_DET[[#This Row],[ID_CARRERA]],MAE_CARRERA[ID_CARRERA],MAE_CARRERA[NOMBRE_CARRERA],"Seleccione ID Carrera")</f>
        <v>FINANZAS 2024 NS</v>
      </c>
      <c r="D163">
        <v>1</v>
      </c>
      <c r="E163" t="s">
        <v>12</v>
      </c>
      <c r="F163" t="str">
        <f>_xlfn.XLOOKUP(TAB_H_ASIG_CON_DET[[#This Row],[ASIGNATURA]],MAE_ASIGNATURA[NOM_ASIG],MAE_ASIGNATURA[ID_ASIG],"Seleccione Asignatura")</f>
        <v xml:space="preserve">FCACC-AD-EM-NI-1-METOD-DE -LA </v>
      </c>
      <c r="G163" t="s">
        <v>10</v>
      </c>
      <c r="H163" t="str">
        <f>_xlfn.XLOOKUP(TAB_H_ASIG_CON_DET[[#This Row],[DETALLADO]],MAE_CONOCIMIENTO[CAMPO_DETALLADO],MAE_CONOCIMIENTO[ID_DDETALLADO],"Seleccione Campo Detallado")</f>
        <v>F-C-D-UNI-BAS</v>
      </c>
    </row>
    <row r="164" spans="1:8">
      <c r="A164">
        <v>178</v>
      </c>
      <c r="B164" t="s">
        <v>107</v>
      </c>
      <c r="C164" t="str">
        <f>_xlfn.XLOOKUP(TAB_H_ASIG_CON_DET[[#This Row],[ID_CARRERA]],MAE_CARRERA[ID_CARRERA],MAE_CARRERA[NOMBRE_CARRERA],"Seleccione ID Carrera")</f>
        <v>FINANZAS 2024 NS</v>
      </c>
      <c r="D164">
        <v>2</v>
      </c>
      <c r="E164" t="s">
        <v>33</v>
      </c>
      <c r="F164" t="str">
        <f>_xlfn.XLOOKUP(TAB_H_ASIG_CON_DET[[#This Row],[ASIGNATURA]],MAE_ASIGNATURA[NOM_ASIG],MAE_ASIGNATURA[ID_ASIG],"Seleccione Asignatura")</f>
        <v>FCACC-AD-EM-NI-1-CONTA-DE -COS</v>
      </c>
      <c r="G164" t="s">
        <v>10</v>
      </c>
      <c r="H164" t="str">
        <f>_xlfn.XLOOKUP(TAB_H_ASIG_CON_DET[[#This Row],[DETALLADO]],MAE_CONOCIMIENTO[CAMPO_DETALLADO],MAE_CONOCIMIENTO[ID_DDETALLADO],"Seleccione Campo Detallado")</f>
        <v>F-C-D-UNI-BAS</v>
      </c>
    </row>
    <row r="165" spans="1:8">
      <c r="A165">
        <v>179</v>
      </c>
      <c r="B165" t="s">
        <v>107</v>
      </c>
      <c r="C165" t="str">
        <f>_xlfn.XLOOKUP(TAB_H_ASIG_CON_DET[[#This Row],[ID_CARRERA]],MAE_CARRERA[ID_CARRERA],MAE_CARRERA[NOMBRE_CARRERA],"Seleccione ID Carrera")</f>
        <v>FINANZAS 2024 NS</v>
      </c>
      <c r="D165">
        <v>2</v>
      </c>
      <c r="E165" t="s">
        <v>110</v>
      </c>
      <c r="F165" t="str">
        <f>_xlfn.XLOOKUP(TAB_H_ASIG_CON_DET[[#This Row],[ASIGNATURA]],MAE_ASIGNATURA[NOM_ASIG],MAE_ASIGNATURA[ID_ASIG],"Seleccione Asignatura")</f>
        <v>FCACC-FINA-NI-2-ESTAD-FIN</v>
      </c>
      <c r="G165" t="s">
        <v>10</v>
      </c>
      <c r="H165" t="str">
        <f>_xlfn.XLOOKUP(TAB_H_ASIG_CON_DET[[#This Row],[DETALLADO]],MAE_CONOCIMIENTO[CAMPO_DETALLADO],MAE_CONOCIMIENTO[ID_DDETALLADO],"Seleccione Campo Detallado")</f>
        <v>F-C-D-UNI-BAS</v>
      </c>
    </row>
    <row r="166" spans="1:8">
      <c r="A166">
        <v>180</v>
      </c>
      <c r="B166" t="s">
        <v>107</v>
      </c>
      <c r="C166" t="str">
        <f>_xlfn.XLOOKUP(TAB_H_ASIG_CON_DET[[#This Row],[ID_CARRERA]],MAE_CARRERA[ID_CARRERA],MAE_CARRERA[NOMBRE_CARRERA],"Seleccione ID Carrera")</f>
        <v>FINANZAS 2024 NS</v>
      </c>
      <c r="D166">
        <v>2</v>
      </c>
      <c r="E166" t="s">
        <v>18</v>
      </c>
      <c r="F166" t="str">
        <f>_xlfn.XLOOKUP(TAB_H_ASIG_CON_DET[[#This Row],[ASIGNATURA]],MAE_ASIGNATURA[NOM_ASIG],MAE_ASIGNATURA[ID_ASIG],"Seleccione Asignatura")</f>
        <v>FCACC-AD-EM-NI-2-MATEM-FIN</v>
      </c>
      <c r="G166" t="s">
        <v>10</v>
      </c>
      <c r="H166" t="str">
        <f>_xlfn.XLOOKUP(TAB_H_ASIG_CON_DET[[#This Row],[DETALLADO]],MAE_CONOCIMIENTO[CAMPO_DETALLADO],MAE_CONOCIMIENTO[ID_DDETALLADO],"Seleccione Campo Detallado")</f>
        <v>F-C-D-UNI-BAS</v>
      </c>
    </row>
    <row r="167" spans="1:8">
      <c r="A167">
        <v>181</v>
      </c>
      <c r="B167" t="s">
        <v>107</v>
      </c>
      <c r="C167" t="str">
        <f>_xlfn.XLOOKUP(TAB_H_ASIG_CON_DET[[#This Row],[ID_CARRERA]],MAE_CARRERA[ID_CARRERA],MAE_CARRERA[NOMBRE_CARRERA],"Seleccione ID Carrera")</f>
        <v>FINANZAS 2024 NS</v>
      </c>
      <c r="D167">
        <v>2</v>
      </c>
      <c r="E167" t="s">
        <v>111</v>
      </c>
      <c r="F167" t="str">
        <f>_xlfn.XLOOKUP(TAB_H_ASIG_CON_DET[[#This Row],[ASIGNATURA]],MAE_ASIGNATURA[NOM_ASIG],MAE_ASIGNATURA[ID_ASIG],"Seleccione Asignatura")</f>
        <v>FCACC-FINA-NI-2-SISTE-TRI</v>
      </c>
      <c r="G167" t="s">
        <v>10</v>
      </c>
      <c r="H167" t="str">
        <f>_xlfn.XLOOKUP(TAB_H_ASIG_CON_DET[[#This Row],[DETALLADO]],MAE_CONOCIMIENTO[CAMPO_DETALLADO],MAE_CONOCIMIENTO[ID_DDETALLADO],"Seleccione Campo Detallado")</f>
        <v>F-C-D-UNI-BAS</v>
      </c>
    </row>
    <row r="168" spans="1:8">
      <c r="A168">
        <v>182</v>
      </c>
      <c r="B168" t="s">
        <v>107</v>
      </c>
      <c r="C168" t="str">
        <f>_xlfn.XLOOKUP(TAB_H_ASIG_CON_DET[[#This Row],[ID_CARRERA]],MAE_CARRERA[ID_CARRERA],MAE_CARRERA[NOMBRE_CARRERA],"Seleccione ID Carrera")</f>
        <v>FINANZAS 2024 NS</v>
      </c>
      <c r="D168">
        <v>3</v>
      </c>
      <c r="E168" t="s">
        <v>112</v>
      </c>
      <c r="F168" t="str">
        <f>_xlfn.XLOOKUP(TAB_H_ASIG_CON_DET[[#This Row],[ASIGNATURA]],MAE_ASIGNATURA[NOM_ASIG],MAE_ASIGNATURA[ID_ASIG],"Seleccione Asignatura")</f>
        <v>FCACC-FINA-NI-3-CONTA-BAN</v>
      </c>
      <c r="G168" t="s">
        <v>10</v>
      </c>
      <c r="H168" t="str">
        <f>_xlfn.XLOOKUP(TAB_H_ASIG_CON_DET[[#This Row],[DETALLADO]],MAE_CONOCIMIENTO[CAMPO_DETALLADO],MAE_CONOCIMIENTO[ID_DDETALLADO],"Seleccione Campo Detallado")</f>
        <v>F-C-D-UNI-BAS</v>
      </c>
    </row>
    <row r="169" spans="1:8">
      <c r="A169">
        <v>183</v>
      </c>
      <c r="B169" t="s">
        <v>107</v>
      </c>
      <c r="C169" t="str">
        <f>_xlfn.XLOOKUP(TAB_H_ASIG_CON_DET[[#This Row],[ID_CARRERA]],MAE_CARRERA[ID_CARRERA],MAE_CARRERA[NOMBRE_CARRERA],"Seleccione ID Carrera")</f>
        <v>FINANZAS 2024 NS</v>
      </c>
      <c r="D169">
        <v>3</v>
      </c>
      <c r="E169" t="s">
        <v>113</v>
      </c>
      <c r="F169" t="str">
        <f>_xlfn.XLOOKUP(TAB_H_ASIG_CON_DET[[#This Row],[ASIGNATURA]],MAE_ASIGNATURA[NOM_ASIG],MAE_ASIGNATURA[ID_ASIG],"Seleccione Asignatura")</f>
        <v>FCACC-FINA-NI-3-FUNDA-DE -FIN</v>
      </c>
      <c r="G169" t="s">
        <v>10</v>
      </c>
      <c r="H169" t="str">
        <f>_xlfn.XLOOKUP(TAB_H_ASIG_CON_DET[[#This Row],[DETALLADO]],MAE_CONOCIMIENTO[CAMPO_DETALLADO],MAE_CONOCIMIENTO[ID_DDETALLADO],"Seleccione Campo Detallado")</f>
        <v>F-C-D-UNI-BAS</v>
      </c>
    </row>
    <row r="170" spans="1:8">
      <c r="A170">
        <v>184</v>
      </c>
      <c r="B170" t="s">
        <v>107</v>
      </c>
      <c r="C170" t="str">
        <f>_xlfn.XLOOKUP(TAB_H_ASIG_CON_DET[[#This Row],[ID_CARRERA]],MAE_CARRERA[ID_CARRERA],MAE_CARRERA[NOMBRE_CARRERA],"Seleccione ID Carrera")</f>
        <v>FINANZAS 2024 NS</v>
      </c>
      <c r="D170">
        <v>3</v>
      </c>
      <c r="E170" t="s">
        <v>114</v>
      </c>
      <c r="F170" t="str">
        <f>_xlfn.XLOOKUP(TAB_H_ASIG_CON_DET[[#This Row],[ASIGNATURA]],MAE_ASIGNATURA[NOM_ASIG],MAE_ASIGNATURA[ID_ASIG],"Seleccione Asignatura")</f>
        <v>FCACC-FINA-NI-3-ECONO</v>
      </c>
      <c r="G170" t="s">
        <v>10</v>
      </c>
      <c r="H170" t="str">
        <f>_xlfn.XLOOKUP(TAB_H_ASIG_CON_DET[[#This Row],[DETALLADO]],MAE_CONOCIMIENTO[CAMPO_DETALLADO],MAE_CONOCIMIENTO[ID_DDETALLADO],"Seleccione Campo Detallado")</f>
        <v>F-C-D-UNI-BAS</v>
      </c>
    </row>
    <row r="171" spans="1:8">
      <c r="A171">
        <v>185</v>
      </c>
      <c r="B171" t="s">
        <v>107</v>
      </c>
      <c r="C171" t="str">
        <f>_xlfn.XLOOKUP(TAB_H_ASIG_CON_DET[[#This Row],[ID_CARRERA]],MAE_CARRERA[ID_CARRERA],MAE_CARRERA[NOMBRE_CARRERA],"Seleccione ID Carrera")</f>
        <v>FINANZAS 2024 NS</v>
      </c>
      <c r="D171">
        <v>3</v>
      </c>
      <c r="E171" t="s">
        <v>115</v>
      </c>
      <c r="F171" t="str">
        <f>_xlfn.XLOOKUP(TAB_H_ASIG_CON_DET[[#This Row],[ASIGNATURA]],MAE_ASIGNATURA[NOM_ASIG],MAE_ASIGNATURA[ID_ASIG],"Seleccione Asignatura")</f>
        <v>FCACC-FINA-NI-3-LEGIS-MON-Y</v>
      </c>
      <c r="G171" t="s">
        <v>10</v>
      </c>
      <c r="H171" t="str">
        <f>_xlfn.XLOOKUP(TAB_H_ASIG_CON_DET[[#This Row],[DETALLADO]],MAE_CONOCIMIENTO[CAMPO_DETALLADO],MAE_CONOCIMIENTO[ID_DDETALLADO],"Seleccione Campo Detallado")</f>
        <v>F-C-D-UNI-BAS</v>
      </c>
    </row>
    <row r="172" spans="1:8">
      <c r="A172">
        <v>186</v>
      </c>
      <c r="B172" t="s">
        <v>107</v>
      </c>
      <c r="C172" t="str">
        <f>_xlfn.XLOOKUP(TAB_H_ASIG_CON_DET[[#This Row],[ID_CARRERA]],MAE_CARRERA[ID_CARRERA],MAE_CARRERA[NOMBRE_CARRERA],"Seleccione ID Carrera")</f>
        <v>FINANZAS 2024 NS</v>
      </c>
      <c r="D172">
        <v>4</v>
      </c>
      <c r="E172" t="s">
        <v>65</v>
      </c>
      <c r="F172" t="str">
        <f>_xlfn.XLOOKUP(TAB_H_ASIG_CON_DET[[#This Row],[ASIGNATURA]],MAE_ASIGNATURA[NOM_ASIG],MAE_ASIGNATURA[ID_ASIG],"Seleccione Asignatura")</f>
        <v>FCACC-AD-EM-NI-2-CONTA-FIN</v>
      </c>
      <c r="G172" t="s">
        <v>27</v>
      </c>
      <c r="H172" t="str">
        <f>_xlfn.XLOOKUP(TAB_H_ASIG_CON_DET[[#This Row],[DETALLADO]],MAE_CONOCIMIENTO[CAMPO_DETALLADO],MAE_CONOCIMIENTO[ID_DDETALLADO],"Seleccione Campo Detallado")</f>
        <v>F-C-D-CON-Y A-AUD</v>
      </c>
    </row>
    <row r="173" spans="1:8">
      <c r="A173">
        <v>187</v>
      </c>
      <c r="B173" t="s">
        <v>107</v>
      </c>
      <c r="C173" t="str">
        <f>_xlfn.XLOOKUP(TAB_H_ASIG_CON_DET[[#This Row],[ID_CARRERA]],MAE_CARRERA[ID_CARRERA],MAE_CARRERA[NOMBRE_CARRERA],"Seleccione ID Carrera")</f>
        <v>FINANZAS 2024 NS</v>
      </c>
      <c r="D173">
        <v>4</v>
      </c>
      <c r="E173" t="s">
        <v>116</v>
      </c>
      <c r="F173" t="str">
        <f>_xlfn.XLOOKUP(TAB_H_ASIG_CON_DET[[#This Row],[ASIGNATURA]],MAE_ASIGNATURA[NOM_ASIG],MAE_ASIGNATURA[ID_ASIG],"Seleccione Asignatura")</f>
        <v>FCACC-FINA-NI-4-MERCA-DE -SEG</v>
      </c>
      <c r="G173" t="s">
        <v>27</v>
      </c>
      <c r="H173" t="str">
        <f>_xlfn.XLOOKUP(TAB_H_ASIG_CON_DET[[#This Row],[DETALLADO]],MAE_CONOCIMIENTO[CAMPO_DETALLADO],MAE_CONOCIMIENTO[ID_DDETALLADO],"Seleccione Campo Detallado")</f>
        <v>F-C-D-CON-Y A-AUD</v>
      </c>
    </row>
    <row r="174" spans="1:8">
      <c r="A174">
        <v>188</v>
      </c>
      <c r="B174" t="s">
        <v>107</v>
      </c>
      <c r="C174" t="str">
        <f>_xlfn.XLOOKUP(TAB_H_ASIG_CON_DET[[#This Row],[ID_CARRERA]],MAE_CARRERA[ID_CARRERA],MAE_CARRERA[NOMBRE_CARRERA],"Seleccione ID Carrera")</f>
        <v>FINANZAS 2024 NS</v>
      </c>
      <c r="D174">
        <v>4</v>
      </c>
      <c r="E174" t="s">
        <v>116</v>
      </c>
      <c r="F174" t="str">
        <f>_xlfn.XLOOKUP(TAB_H_ASIG_CON_DET[[#This Row],[ASIGNATURA]],MAE_ASIGNATURA[NOM_ASIG],MAE_ASIGNATURA[ID_ASIG],"Seleccione Asignatura")</f>
        <v>FCACC-FINA-NI-4-MERCA-DE -SEG</v>
      </c>
      <c r="G174" t="s">
        <v>29</v>
      </c>
      <c r="H174" t="str">
        <f>_xlfn.XLOOKUP(TAB_H_ASIG_CON_DET[[#This Row],[DETALLADO]],MAE_CONOCIMIENTO[CAMPO_DETALLADO],MAE_CONOCIMIENTO[ID_DDETALLADO],"Seleccione Campo Detallado")</f>
        <v>F-C-D-GES-FIN</v>
      </c>
    </row>
    <row r="175" spans="1:8">
      <c r="A175">
        <v>189</v>
      </c>
      <c r="B175" t="s">
        <v>107</v>
      </c>
      <c r="C175" t="str">
        <f>_xlfn.XLOOKUP(TAB_H_ASIG_CON_DET[[#This Row],[ID_CARRERA]],MAE_CARRERA[ID_CARRERA],MAE_CARRERA[NOMBRE_CARRERA],"Seleccione ID Carrera")</f>
        <v>FINANZAS 2024 NS</v>
      </c>
      <c r="D175">
        <v>4</v>
      </c>
      <c r="E175" t="s">
        <v>116</v>
      </c>
      <c r="F175" t="str">
        <f>_xlfn.XLOOKUP(TAB_H_ASIG_CON_DET[[#This Row],[ASIGNATURA]],MAE_ASIGNATURA[NOM_ASIG],MAE_ASIGNATURA[ID_ASIG],"Seleccione Asignatura")</f>
        <v>FCACC-FINA-NI-4-MERCA-DE -SEG</v>
      </c>
      <c r="G175" t="s">
        <v>13</v>
      </c>
      <c r="H175" t="str">
        <f>_xlfn.XLOOKUP(TAB_H_ASIG_CON_DET[[#This Row],[DETALLADO]],MAE_CONOCIMIENTO[CAMPO_DETALLADO],MAE_CONOCIMIENTO[ID_DDETALLADO],"Seleccione Campo Detallado")</f>
        <v>F-C-D-ADM</v>
      </c>
    </row>
    <row r="176" spans="1:8">
      <c r="A176">
        <v>190</v>
      </c>
      <c r="B176" t="s">
        <v>107</v>
      </c>
      <c r="C176" t="str">
        <f>_xlfn.XLOOKUP(TAB_H_ASIG_CON_DET[[#This Row],[ID_CARRERA]],MAE_CARRERA[ID_CARRERA],MAE_CARRERA[NOMBRE_CARRERA],"Seleccione ID Carrera")</f>
        <v>FINANZAS 2024 NS</v>
      </c>
      <c r="D176">
        <v>4</v>
      </c>
      <c r="E176" t="s">
        <v>116</v>
      </c>
      <c r="F176" t="str">
        <f>_xlfn.XLOOKUP(TAB_H_ASIG_CON_DET[[#This Row],[ASIGNATURA]],MAE_ASIGNATURA[NOM_ASIG],MAE_ASIGNATURA[ID_ASIG],"Seleccione Asignatura")</f>
        <v>FCACC-FINA-NI-4-MERCA-DE -SEG</v>
      </c>
      <c r="G176" t="s">
        <v>38</v>
      </c>
      <c r="H176" t="str">
        <f>_xlfn.XLOOKUP(TAB_H_ASIG_CON_DET[[#This Row],[DETALLADO]],MAE_CONOCIMIENTO[CAMPO_DETALLADO],MAE_CONOCIMIENTO[ID_DDETALLADO],"Seleccione Campo Detallado")</f>
        <v>F-C-D-COM</v>
      </c>
    </row>
    <row r="177" spans="1:8">
      <c r="A177">
        <v>191</v>
      </c>
      <c r="B177" t="s">
        <v>107</v>
      </c>
      <c r="C177" t="str">
        <f>_xlfn.XLOOKUP(TAB_H_ASIG_CON_DET[[#This Row],[ID_CARRERA]],MAE_CARRERA[ID_CARRERA],MAE_CARRERA[NOMBRE_CARRERA],"Seleccione ID Carrera")</f>
        <v>FINANZAS 2024 NS</v>
      </c>
      <c r="D177">
        <v>4</v>
      </c>
      <c r="E177" t="s">
        <v>116</v>
      </c>
      <c r="F177" t="str">
        <f>_xlfn.XLOOKUP(TAB_H_ASIG_CON_DET[[#This Row],[ASIGNATURA]],MAE_ASIGNATURA[NOM_ASIG],MAE_ASIGNATURA[ID_ASIG],"Seleccione Asignatura")</f>
        <v>FCACC-FINA-NI-4-MERCA-DE -SEG</v>
      </c>
      <c r="G177" t="s">
        <v>90</v>
      </c>
      <c r="H177" t="str">
        <f>_xlfn.XLOOKUP(TAB_H_ASIG_CON_DET[[#This Row],[DETALLADO]],MAE_CONOCIMIENTO[CAMPO_DETALLADO],MAE_CONOCIMIENTO[ID_DDETALLADO],"Seleccione Campo Detallado")</f>
        <v>F-C-D-DER</v>
      </c>
    </row>
    <row r="178" spans="1:8">
      <c r="A178">
        <v>192</v>
      </c>
      <c r="B178" t="s">
        <v>107</v>
      </c>
      <c r="C178" t="str">
        <f>_xlfn.XLOOKUP(TAB_H_ASIG_CON_DET[[#This Row],[ID_CARRERA]],MAE_CARRERA[ID_CARRERA],MAE_CARRERA[NOMBRE_CARRERA],"Seleccione ID Carrera")</f>
        <v>FINANZAS 2024 NS</v>
      </c>
      <c r="D178">
        <v>4</v>
      </c>
      <c r="E178" t="s">
        <v>28</v>
      </c>
      <c r="F178" t="str">
        <f>_xlfn.XLOOKUP(TAB_H_ASIG_CON_DET[[#This Row],[ASIGNATURA]],MAE_ASIGNATURA[NOM_ASIG],MAE_ASIGNATURA[ID_ASIG],"Seleccione Asignatura")</f>
        <v>FCACC-AU-CO-GE-NI-3-ADMIN-FIN</v>
      </c>
      <c r="G178" t="s">
        <v>27</v>
      </c>
      <c r="H178" t="str">
        <f>_xlfn.XLOOKUP(TAB_H_ASIG_CON_DET[[#This Row],[DETALLADO]],MAE_CONOCIMIENTO[CAMPO_DETALLADO],MAE_CONOCIMIENTO[ID_DDETALLADO],"Seleccione Campo Detallado")</f>
        <v>F-C-D-CON-Y A-AUD</v>
      </c>
    </row>
    <row r="179" spans="1:8">
      <c r="A179">
        <v>193</v>
      </c>
      <c r="B179" t="s">
        <v>107</v>
      </c>
      <c r="C179" t="str">
        <f>_xlfn.XLOOKUP(TAB_H_ASIG_CON_DET[[#This Row],[ID_CARRERA]],MAE_CARRERA[ID_CARRERA],MAE_CARRERA[NOMBRE_CARRERA],"Seleccione ID Carrera")</f>
        <v>FINANZAS 2024 NS</v>
      </c>
      <c r="D179">
        <v>4</v>
      </c>
      <c r="E179" t="s">
        <v>28</v>
      </c>
      <c r="F179" t="str">
        <f>_xlfn.XLOOKUP(TAB_H_ASIG_CON_DET[[#This Row],[ASIGNATURA]],MAE_ASIGNATURA[NOM_ASIG],MAE_ASIGNATURA[ID_ASIG],"Seleccione Asignatura")</f>
        <v>FCACC-AU-CO-GE-NI-3-ADMIN-FIN</v>
      </c>
      <c r="G179" t="s">
        <v>13</v>
      </c>
      <c r="H179" t="str">
        <f>_xlfn.XLOOKUP(TAB_H_ASIG_CON_DET[[#This Row],[DETALLADO]],MAE_CONOCIMIENTO[CAMPO_DETALLADO],MAE_CONOCIMIENTO[ID_DDETALLADO],"Seleccione Campo Detallado")</f>
        <v>F-C-D-ADM</v>
      </c>
    </row>
    <row r="180" spans="1:8">
      <c r="A180">
        <v>194</v>
      </c>
      <c r="B180" t="s">
        <v>107</v>
      </c>
      <c r="C180" t="str">
        <f>_xlfn.XLOOKUP(TAB_H_ASIG_CON_DET[[#This Row],[ID_CARRERA]],MAE_CARRERA[ID_CARRERA],MAE_CARRERA[NOMBRE_CARRERA],"Seleccione ID Carrera")</f>
        <v>FINANZAS 2024 NS</v>
      </c>
      <c r="D180">
        <v>4</v>
      </c>
      <c r="E180" t="s">
        <v>28</v>
      </c>
      <c r="F180" t="str">
        <f>_xlfn.XLOOKUP(TAB_H_ASIG_CON_DET[[#This Row],[ASIGNATURA]],MAE_ASIGNATURA[NOM_ASIG],MAE_ASIGNATURA[ID_ASIG],"Seleccione Asignatura")</f>
        <v>FCACC-AU-CO-GE-NI-3-ADMIN-FIN</v>
      </c>
      <c r="G180" t="s">
        <v>29</v>
      </c>
      <c r="H180" t="str">
        <f>_xlfn.XLOOKUP(TAB_H_ASIG_CON_DET[[#This Row],[DETALLADO]],MAE_CONOCIMIENTO[CAMPO_DETALLADO],MAE_CONOCIMIENTO[ID_DDETALLADO],"Seleccione Campo Detallado")</f>
        <v>F-C-D-GES-FIN</v>
      </c>
    </row>
    <row r="181" spans="1:8">
      <c r="A181">
        <v>195</v>
      </c>
      <c r="B181" t="s">
        <v>107</v>
      </c>
      <c r="C181" t="str">
        <f>_xlfn.XLOOKUP(TAB_H_ASIG_CON_DET[[#This Row],[ID_CARRERA]],MAE_CARRERA[ID_CARRERA],MAE_CARRERA[NOMBRE_CARRERA],"Seleccione ID Carrera")</f>
        <v>FINANZAS 2024 NS</v>
      </c>
      <c r="D181">
        <v>4</v>
      </c>
      <c r="E181" t="s">
        <v>28</v>
      </c>
      <c r="F181" t="str">
        <f>_xlfn.XLOOKUP(TAB_H_ASIG_CON_DET[[#This Row],[ASIGNATURA]],MAE_ASIGNATURA[NOM_ASIG],MAE_ASIGNATURA[ID_ASIG],"Seleccione Asignatura")</f>
        <v>FCACC-AU-CO-GE-NI-3-ADMIN-FIN</v>
      </c>
      <c r="G181" t="s">
        <v>38</v>
      </c>
      <c r="H181" t="str">
        <f>_xlfn.XLOOKUP(TAB_H_ASIG_CON_DET[[#This Row],[DETALLADO]],MAE_CONOCIMIENTO[CAMPO_DETALLADO],MAE_CONOCIMIENTO[ID_DDETALLADO],"Seleccione Campo Detallado")</f>
        <v>F-C-D-COM</v>
      </c>
    </row>
    <row r="182" spans="1:8">
      <c r="A182">
        <v>196</v>
      </c>
      <c r="B182" t="s">
        <v>107</v>
      </c>
      <c r="C182" t="str">
        <f>_xlfn.XLOOKUP(TAB_H_ASIG_CON_DET[[#This Row],[ID_CARRERA]],MAE_CARRERA[ID_CARRERA],MAE_CARRERA[NOMBRE_CARRERA],"Seleccione ID Carrera")</f>
        <v>FINANZAS 2024 NS</v>
      </c>
      <c r="D182">
        <v>4</v>
      </c>
      <c r="E182" t="s">
        <v>117</v>
      </c>
      <c r="F182" t="str">
        <f>_xlfn.XLOOKUP(TAB_H_ASIG_CON_DET[[#This Row],[ASIGNATURA]],MAE_ASIGNATURA[NOM_ASIG],MAE_ASIGNATURA[ID_ASIG],"Seleccione Asignatura")</f>
        <v>FCACC-FINA-NI-4-GESTI-DEL-TAL</v>
      </c>
      <c r="G182" t="s">
        <v>13</v>
      </c>
      <c r="H182" t="str">
        <f>_xlfn.XLOOKUP(TAB_H_ASIG_CON_DET[[#This Row],[DETALLADO]],MAE_CONOCIMIENTO[CAMPO_DETALLADO],MAE_CONOCIMIENTO[ID_DDETALLADO],"Seleccione Campo Detallado")</f>
        <v>F-C-D-ADM</v>
      </c>
    </row>
    <row r="183" spans="1:8">
      <c r="A183">
        <v>197</v>
      </c>
      <c r="B183" t="s">
        <v>107</v>
      </c>
      <c r="C183" t="str">
        <f>_xlfn.XLOOKUP(TAB_H_ASIG_CON_DET[[#This Row],[ID_CARRERA]],MAE_CARRERA[ID_CARRERA],MAE_CARRERA[NOMBRE_CARRERA],"Seleccione ID Carrera")</f>
        <v>FINANZAS 2024 NS</v>
      </c>
      <c r="D183">
        <v>4</v>
      </c>
      <c r="E183" t="s">
        <v>117</v>
      </c>
      <c r="F183" t="str">
        <f>_xlfn.XLOOKUP(TAB_H_ASIG_CON_DET[[#This Row],[ASIGNATURA]],MAE_ASIGNATURA[NOM_ASIG],MAE_ASIGNATURA[ID_ASIG],"Seleccione Asignatura")</f>
        <v>FCACC-FINA-NI-4-GESTI-DEL-TAL</v>
      </c>
      <c r="G183" t="s">
        <v>70</v>
      </c>
      <c r="H183" t="str">
        <f>_xlfn.XLOOKUP(TAB_H_ASIG_CON_DET[[#This Row],[DETALLADO]],MAE_CONOCIMIENTO[CAMPO_DETALLADO],MAE_CONOCIMIENTO[ID_DDETALLADO],"Seleccione Campo Detallado")</f>
        <v>F-C-D-COM-LAB</v>
      </c>
    </row>
    <row r="184" spans="1:8">
      <c r="A184">
        <v>198</v>
      </c>
      <c r="B184" t="s">
        <v>107</v>
      </c>
      <c r="C184" t="str">
        <f>_xlfn.XLOOKUP(TAB_H_ASIG_CON_DET[[#This Row],[ID_CARRERA]],MAE_CARRERA[ID_CARRERA],MAE_CARRERA[NOMBRE_CARRERA],"Seleccione ID Carrera")</f>
        <v>FINANZAS 2024 NS</v>
      </c>
      <c r="D184">
        <v>4</v>
      </c>
      <c r="E184" t="s">
        <v>117</v>
      </c>
      <c r="F184" t="str">
        <f>_xlfn.XLOOKUP(TAB_H_ASIG_CON_DET[[#This Row],[ASIGNATURA]],MAE_ASIGNATURA[NOM_ASIG],MAE_ASIGNATURA[ID_ASIG],"Seleccione Asignatura")</f>
        <v>FCACC-FINA-NI-4-GESTI-DEL-TAL</v>
      </c>
      <c r="G184" t="s">
        <v>71</v>
      </c>
      <c r="H184" t="str">
        <f>_xlfn.XLOOKUP(TAB_H_ASIG_CON_DET[[#This Row],[DETALLADO]],MAE_CONOCIMIENTO[CAMPO_DETALLADO],MAE_CONOCIMIENTO[ID_DDETALLADO],"Seleccione Campo Detallado")</f>
        <v>F-C-D-DER-HUM</v>
      </c>
    </row>
    <row r="185" spans="1:8">
      <c r="A185">
        <v>199</v>
      </c>
      <c r="B185" t="s">
        <v>107</v>
      </c>
      <c r="C185" t="str">
        <f>_xlfn.XLOOKUP(TAB_H_ASIG_CON_DET[[#This Row],[ID_CARRERA]],MAE_CARRERA[ID_CARRERA],MAE_CARRERA[NOMBRE_CARRERA],"Seleccione ID Carrera")</f>
        <v>FINANZAS 2024 NS</v>
      </c>
      <c r="D185">
        <v>4</v>
      </c>
      <c r="E185" t="s">
        <v>118</v>
      </c>
      <c r="F185" t="str">
        <f>_xlfn.XLOOKUP(TAB_H_ASIG_CON_DET[[#This Row],[ASIGNATURA]],MAE_ASIGNATURA[NOM_ASIG],MAE_ASIGNATURA[ID_ASIG],"Seleccione Asignatura")</f>
        <v>FCACC-FINA-NI-4-GEREN-EST</v>
      </c>
      <c r="G185" t="s">
        <v>13</v>
      </c>
      <c r="H185" t="str">
        <f>_xlfn.XLOOKUP(TAB_H_ASIG_CON_DET[[#This Row],[DETALLADO]],MAE_CONOCIMIENTO[CAMPO_DETALLADO],MAE_CONOCIMIENTO[ID_DDETALLADO],"Seleccione Campo Detallado")</f>
        <v>F-C-D-ADM</v>
      </c>
    </row>
    <row r="186" spans="1:8">
      <c r="A186">
        <v>200</v>
      </c>
      <c r="B186" t="s">
        <v>107</v>
      </c>
      <c r="C186" t="str">
        <f>_xlfn.XLOOKUP(TAB_H_ASIG_CON_DET[[#This Row],[ID_CARRERA]],MAE_CARRERA[ID_CARRERA],MAE_CARRERA[NOMBRE_CARRERA],"Seleccione ID Carrera")</f>
        <v>FINANZAS 2024 NS</v>
      </c>
      <c r="D186">
        <v>4</v>
      </c>
      <c r="E186" t="s">
        <v>118</v>
      </c>
      <c r="F186" t="str">
        <f>_xlfn.XLOOKUP(TAB_H_ASIG_CON_DET[[#This Row],[ASIGNATURA]],MAE_ASIGNATURA[NOM_ASIG],MAE_ASIGNATURA[ID_ASIG],"Seleccione Asignatura")</f>
        <v>FCACC-FINA-NI-4-GEREN-EST</v>
      </c>
      <c r="G186" t="s">
        <v>29</v>
      </c>
      <c r="H186" t="str">
        <f>_xlfn.XLOOKUP(TAB_H_ASIG_CON_DET[[#This Row],[DETALLADO]],MAE_CONOCIMIENTO[CAMPO_DETALLADO],MAE_CONOCIMIENTO[ID_DDETALLADO],"Seleccione Campo Detallado")</f>
        <v>F-C-D-GES-FIN</v>
      </c>
    </row>
    <row r="187" spans="1:8">
      <c r="A187">
        <v>201</v>
      </c>
      <c r="B187" t="s">
        <v>107</v>
      </c>
      <c r="C187" t="str">
        <f>_xlfn.XLOOKUP(TAB_H_ASIG_CON_DET[[#This Row],[ID_CARRERA]],MAE_CARRERA[ID_CARRERA],MAE_CARRERA[NOMBRE_CARRERA],"Seleccione ID Carrera")</f>
        <v>FINANZAS 2024 NS</v>
      </c>
      <c r="D187">
        <v>4</v>
      </c>
      <c r="E187" t="s">
        <v>118</v>
      </c>
      <c r="F187" t="str">
        <f>_xlfn.XLOOKUP(TAB_H_ASIG_CON_DET[[#This Row],[ASIGNATURA]],MAE_ASIGNATURA[NOM_ASIG],MAE_ASIGNATURA[ID_ASIG],"Seleccione Asignatura")</f>
        <v>FCACC-FINA-NI-4-GEREN-EST</v>
      </c>
      <c r="G187" t="s">
        <v>38</v>
      </c>
      <c r="H187" t="str">
        <f>_xlfn.XLOOKUP(TAB_H_ASIG_CON_DET[[#This Row],[DETALLADO]],MAE_CONOCIMIENTO[CAMPO_DETALLADO],MAE_CONOCIMIENTO[ID_DDETALLADO],"Seleccione Campo Detallado")</f>
        <v>F-C-D-COM</v>
      </c>
    </row>
    <row r="188" spans="1:8">
      <c r="A188">
        <v>202</v>
      </c>
      <c r="B188" t="s">
        <v>107</v>
      </c>
      <c r="C188" t="str">
        <f>_xlfn.XLOOKUP(TAB_H_ASIG_CON_DET[[#This Row],[ID_CARRERA]],MAE_CARRERA[ID_CARRERA],MAE_CARRERA[NOMBRE_CARRERA],"Seleccione ID Carrera")</f>
        <v>FINANZAS 2024 NS</v>
      </c>
      <c r="D188">
        <v>5</v>
      </c>
      <c r="E188" t="s">
        <v>119</v>
      </c>
      <c r="F188" t="str">
        <f>_xlfn.XLOOKUP(TAB_H_ASIG_CON_DET[[#This Row],[ASIGNATURA]],MAE_ASIGNATURA[NOM_ASIG],MAE_ASIGNATURA[ID_ASIG],"Seleccione Asignatura")</f>
        <v>FCACC-FINA-NI-5-GESTI-DEL-PRE</v>
      </c>
      <c r="G188" t="s">
        <v>27</v>
      </c>
      <c r="H188" t="str">
        <f>_xlfn.XLOOKUP(TAB_H_ASIG_CON_DET[[#This Row],[DETALLADO]],MAE_CONOCIMIENTO[CAMPO_DETALLADO],MAE_CONOCIMIENTO[ID_DDETALLADO],"Seleccione Campo Detallado")</f>
        <v>F-C-D-CON-Y A-AUD</v>
      </c>
    </row>
    <row r="189" spans="1:8">
      <c r="A189">
        <v>203</v>
      </c>
      <c r="B189" t="s">
        <v>107</v>
      </c>
      <c r="C189" t="str">
        <f>_xlfn.XLOOKUP(TAB_H_ASIG_CON_DET[[#This Row],[ID_CARRERA]],MAE_CARRERA[ID_CARRERA],MAE_CARRERA[NOMBRE_CARRERA],"Seleccione ID Carrera")</f>
        <v>FINANZAS 2024 NS</v>
      </c>
      <c r="D189">
        <v>5</v>
      </c>
      <c r="E189" t="s">
        <v>119</v>
      </c>
      <c r="F189" t="str">
        <f>_xlfn.XLOOKUP(TAB_H_ASIG_CON_DET[[#This Row],[ASIGNATURA]],MAE_ASIGNATURA[NOM_ASIG],MAE_ASIGNATURA[ID_ASIG],"Seleccione Asignatura")</f>
        <v>FCACC-FINA-NI-5-GESTI-DEL-PRE</v>
      </c>
      <c r="G189" t="s">
        <v>29</v>
      </c>
      <c r="H189" t="str">
        <f>_xlfn.XLOOKUP(TAB_H_ASIG_CON_DET[[#This Row],[DETALLADO]],MAE_CONOCIMIENTO[CAMPO_DETALLADO],MAE_CONOCIMIENTO[ID_DDETALLADO],"Seleccione Campo Detallado")</f>
        <v>F-C-D-GES-FIN</v>
      </c>
    </row>
    <row r="190" spans="1:8">
      <c r="A190">
        <v>204</v>
      </c>
      <c r="B190" t="s">
        <v>107</v>
      </c>
      <c r="C190" t="str">
        <f>_xlfn.XLOOKUP(TAB_H_ASIG_CON_DET[[#This Row],[ID_CARRERA]],MAE_CARRERA[ID_CARRERA],MAE_CARRERA[NOMBRE_CARRERA],"Seleccione ID Carrera")</f>
        <v>FINANZAS 2024 NS</v>
      </c>
      <c r="D190">
        <v>5</v>
      </c>
      <c r="E190" t="s">
        <v>119</v>
      </c>
      <c r="F190" t="str">
        <f>_xlfn.XLOOKUP(TAB_H_ASIG_CON_DET[[#This Row],[ASIGNATURA]],MAE_ASIGNATURA[NOM_ASIG],MAE_ASIGNATURA[ID_ASIG],"Seleccione Asignatura")</f>
        <v>FCACC-FINA-NI-5-GESTI-DEL-PRE</v>
      </c>
      <c r="G190" t="s">
        <v>13</v>
      </c>
      <c r="H190" t="str">
        <f>_xlfn.XLOOKUP(TAB_H_ASIG_CON_DET[[#This Row],[DETALLADO]],MAE_CONOCIMIENTO[CAMPO_DETALLADO],MAE_CONOCIMIENTO[ID_DDETALLADO],"Seleccione Campo Detallado")</f>
        <v>F-C-D-ADM</v>
      </c>
    </row>
    <row r="191" spans="1:8">
      <c r="A191">
        <v>205</v>
      </c>
      <c r="B191" t="s">
        <v>107</v>
      </c>
      <c r="C191" t="str">
        <f>_xlfn.XLOOKUP(TAB_H_ASIG_CON_DET[[#This Row],[ID_CARRERA]],MAE_CARRERA[ID_CARRERA],MAE_CARRERA[NOMBRE_CARRERA],"Seleccione ID Carrera")</f>
        <v>FINANZAS 2024 NS</v>
      </c>
      <c r="D191">
        <v>5</v>
      </c>
      <c r="E191" t="s">
        <v>119</v>
      </c>
      <c r="F191" t="str">
        <f>_xlfn.XLOOKUP(TAB_H_ASIG_CON_DET[[#This Row],[ASIGNATURA]],MAE_ASIGNATURA[NOM_ASIG],MAE_ASIGNATURA[ID_ASIG],"Seleccione Asignatura")</f>
        <v>FCACC-FINA-NI-5-GESTI-DEL-PRE</v>
      </c>
      <c r="G191" t="s">
        <v>38</v>
      </c>
      <c r="H191" t="str">
        <f>_xlfn.XLOOKUP(TAB_H_ASIG_CON_DET[[#This Row],[DETALLADO]],MAE_CONOCIMIENTO[CAMPO_DETALLADO],MAE_CONOCIMIENTO[ID_DDETALLADO],"Seleccione Campo Detallado")</f>
        <v>F-C-D-COM</v>
      </c>
    </row>
    <row r="192" spans="1:8" ht="30.75">
      <c r="A192">
        <v>206</v>
      </c>
      <c r="B192" t="s">
        <v>107</v>
      </c>
      <c r="C192" t="str">
        <f>_xlfn.XLOOKUP(TAB_H_ASIG_CON_DET[[#This Row],[ID_CARRERA]],MAE_CARRERA[ID_CARRERA],MAE_CARRERA[NOMBRE_CARRERA],"Seleccione ID Carrera")</f>
        <v>FINANZAS 2024 NS</v>
      </c>
      <c r="D192">
        <v>5</v>
      </c>
      <c r="E192" s="2" t="s">
        <v>120</v>
      </c>
      <c r="F192" t="str">
        <f>_xlfn.XLOOKUP(TAB_H_ASIG_CON_DET[[#This Row],[ASIGNATURA]],MAE_ASIGNATURA[NOM_ASIG],MAE_ASIGNATURA[ID_ASIG],"Seleccione Asignatura")</f>
        <v>FCACC-FINA-NI-5-ECONO-POP-Y S</v>
      </c>
      <c r="G192" t="s">
        <v>13</v>
      </c>
      <c r="H192" t="str">
        <f>_xlfn.XLOOKUP(TAB_H_ASIG_CON_DET[[#This Row],[DETALLADO]],MAE_CONOCIMIENTO[CAMPO_DETALLADO],MAE_CONOCIMIENTO[ID_DDETALLADO],"Seleccione Campo Detallado")</f>
        <v>F-C-D-ADM</v>
      </c>
    </row>
    <row r="193" spans="1:8" ht="30.75">
      <c r="A193">
        <v>207</v>
      </c>
      <c r="B193" t="s">
        <v>107</v>
      </c>
      <c r="C193" t="str">
        <f>_xlfn.XLOOKUP(TAB_H_ASIG_CON_DET[[#This Row],[ID_CARRERA]],MAE_CARRERA[ID_CARRERA],MAE_CARRERA[NOMBRE_CARRERA],"Seleccione ID Carrera")</f>
        <v>FINANZAS 2024 NS</v>
      </c>
      <c r="D193">
        <v>5</v>
      </c>
      <c r="E193" s="2" t="s">
        <v>120</v>
      </c>
      <c r="F193" t="str">
        <f>_xlfn.XLOOKUP(TAB_H_ASIG_CON_DET[[#This Row],[ASIGNATURA]],MAE_ASIGNATURA[NOM_ASIG],MAE_ASIGNATURA[ID_ASIG],"Seleccione Asignatura")</f>
        <v>FCACC-FINA-NI-5-ECONO-POP-Y S</v>
      </c>
      <c r="G193" t="s">
        <v>29</v>
      </c>
      <c r="H193" t="str">
        <f>_xlfn.XLOOKUP(TAB_H_ASIG_CON_DET[[#This Row],[DETALLADO]],MAE_CONOCIMIENTO[CAMPO_DETALLADO],MAE_CONOCIMIENTO[ID_DDETALLADO],"Seleccione Campo Detallado")</f>
        <v>F-C-D-GES-FIN</v>
      </c>
    </row>
    <row r="194" spans="1:8" ht="30.75">
      <c r="A194">
        <v>208</v>
      </c>
      <c r="B194" t="s">
        <v>107</v>
      </c>
      <c r="C194" t="str">
        <f>_xlfn.XLOOKUP(TAB_H_ASIG_CON_DET[[#This Row],[ID_CARRERA]],MAE_CARRERA[ID_CARRERA],MAE_CARRERA[NOMBRE_CARRERA],"Seleccione ID Carrera")</f>
        <v>FINANZAS 2024 NS</v>
      </c>
      <c r="D194">
        <v>5</v>
      </c>
      <c r="E194" s="2" t="s">
        <v>120</v>
      </c>
      <c r="F194" t="str">
        <f>_xlfn.XLOOKUP(TAB_H_ASIG_CON_DET[[#This Row],[ASIGNATURA]],MAE_ASIGNATURA[NOM_ASIG],MAE_ASIGNATURA[ID_ASIG],"Seleccione Asignatura")</f>
        <v>FCACC-FINA-NI-5-ECONO-POP-Y S</v>
      </c>
      <c r="G194" t="s">
        <v>38</v>
      </c>
      <c r="H194" t="str">
        <f>_xlfn.XLOOKUP(TAB_H_ASIG_CON_DET[[#This Row],[DETALLADO]],MAE_CONOCIMIENTO[CAMPO_DETALLADO],MAE_CONOCIMIENTO[ID_DDETALLADO],"Seleccione Campo Detallado")</f>
        <v>F-C-D-COM</v>
      </c>
    </row>
    <row r="195" spans="1:8">
      <c r="A195">
        <v>209</v>
      </c>
      <c r="B195" t="s">
        <v>107</v>
      </c>
      <c r="C195" t="str">
        <f>_xlfn.XLOOKUP(TAB_H_ASIG_CON_DET[[#This Row],[ID_CARRERA]],MAE_CARRERA[ID_CARRERA],MAE_CARRERA[NOMBRE_CARRERA],"Seleccione ID Carrera")</f>
        <v>FINANZAS 2024 NS</v>
      </c>
      <c r="D195">
        <v>5</v>
      </c>
      <c r="E195" t="s">
        <v>121</v>
      </c>
      <c r="F195" t="str">
        <f>_xlfn.XLOOKUP(TAB_H_ASIG_CON_DET[[#This Row],[ASIGNATURA]],MAE_ASIGNATURA[NOM_ASIG],MAE_ASIGNATURA[ID_ASIG],"Seleccione Asignatura")</f>
        <v>FCACC-FINA-NI-5-ADMIN-DE -RIE</v>
      </c>
      <c r="G195" t="s">
        <v>27</v>
      </c>
      <c r="H195" t="str">
        <f>_xlfn.XLOOKUP(TAB_H_ASIG_CON_DET[[#This Row],[DETALLADO]],MAE_CONOCIMIENTO[CAMPO_DETALLADO],MAE_CONOCIMIENTO[ID_DDETALLADO],"Seleccione Campo Detallado")</f>
        <v>F-C-D-CON-Y A-AUD</v>
      </c>
    </row>
    <row r="196" spans="1:8">
      <c r="A196">
        <v>210</v>
      </c>
      <c r="B196" t="s">
        <v>107</v>
      </c>
      <c r="C196" t="str">
        <f>_xlfn.XLOOKUP(TAB_H_ASIG_CON_DET[[#This Row],[ID_CARRERA]],MAE_CARRERA[ID_CARRERA],MAE_CARRERA[NOMBRE_CARRERA],"Seleccione ID Carrera")</f>
        <v>FINANZAS 2024 NS</v>
      </c>
      <c r="D196">
        <v>5</v>
      </c>
      <c r="E196" t="s">
        <v>121</v>
      </c>
      <c r="F196" t="str">
        <f>_xlfn.XLOOKUP(TAB_H_ASIG_CON_DET[[#This Row],[ASIGNATURA]],MAE_ASIGNATURA[NOM_ASIG],MAE_ASIGNATURA[ID_ASIG],"Seleccione Asignatura")</f>
        <v>FCACC-FINA-NI-5-ADMIN-DE -RIE</v>
      </c>
      <c r="G196" t="s">
        <v>29</v>
      </c>
      <c r="H196" t="str">
        <f>_xlfn.XLOOKUP(TAB_H_ASIG_CON_DET[[#This Row],[DETALLADO]],MAE_CONOCIMIENTO[CAMPO_DETALLADO],MAE_CONOCIMIENTO[ID_DDETALLADO],"Seleccione Campo Detallado")</f>
        <v>F-C-D-GES-FIN</v>
      </c>
    </row>
    <row r="197" spans="1:8">
      <c r="A197">
        <v>211</v>
      </c>
      <c r="B197" t="s">
        <v>107</v>
      </c>
      <c r="C197" t="str">
        <f>_xlfn.XLOOKUP(TAB_H_ASIG_CON_DET[[#This Row],[ID_CARRERA]],MAE_CARRERA[ID_CARRERA],MAE_CARRERA[NOMBRE_CARRERA],"Seleccione ID Carrera")</f>
        <v>FINANZAS 2024 NS</v>
      </c>
      <c r="D197">
        <v>5</v>
      </c>
      <c r="E197" t="s">
        <v>121</v>
      </c>
      <c r="F197" t="str">
        <f>_xlfn.XLOOKUP(TAB_H_ASIG_CON_DET[[#This Row],[ASIGNATURA]],MAE_ASIGNATURA[NOM_ASIG],MAE_ASIGNATURA[ID_ASIG],"Seleccione Asignatura")</f>
        <v>FCACC-FINA-NI-5-ADMIN-DE -RIE</v>
      </c>
      <c r="G197" t="s">
        <v>13</v>
      </c>
      <c r="H197" t="str">
        <f>_xlfn.XLOOKUP(TAB_H_ASIG_CON_DET[[#This Row],[DETALLADO]],MAE_CONOCIMIENTO[CAMPO_DETALLADO],MAE_CONOCIMIENTO[ID_DDETALLADO],"Seleccione Campo Detallado")</f>
        <v>F-C-D-ADM</v>
      </c>
    </row>
    <row r="198" spans="1:8">
      <c r="A198">
        <v>212</v>
      </c>
      <c r="B198" t="s">
        <v>107</v>
      </c>
      <c r="C198" t="str">
        <f>_xlfn.XLOOKUP(TAB_H_ASIG_CON_DET[[#This Row],[ID_CARRERA]],MAE_CARRERA[ID_CARRERA],MAE_CARRERA[NOMBRE_CARRERA],"Seleccione ID Carrera")</f>
        <v>FINANZAS 2024 NS</v>
      </c>
      <c r="D198">
        <v>5</v>
      </c>
      <c r="E198" t="s">
        <v>121</v>
      </c>
      <c r="F198" t="str">
        <f>_xlfn.XLOOKUP(TAB_H_ASIG_CON_DET[[#This Row],[ASIGNATURA]],MAE_ASIGNATURA[NOM_ASIG],MAE_ASIGNATURA[ID_ASIG],"Seleccione Asignatura")</f>
        <v>FCACC-FINA-NI-5-ADMIN-DE -RIE</v>
      </c>
      <c r="G198" t="s">
        <v>38</v>
      </c>
      <c r="H198" t="str">
        <f>_xlfn.XLOOKUP(TAB_H_ASIG_CON_DET[[#This Row],[DETALLADO]],MAE_CONOCIMIENTO[CAMPO_DETALLADO],MAE_CONOCIMIENTO[ID_DDETALLADO],"Seleccione Campo Detallado")</f>
        <v>F-C-D-COM</v>
      </c>
    </row>
    <row r="199" spans="1:8">
      <c r="A199">
        <v>213</v>
      </c>
      <c r="B199" t="s">
        <v>107</v>
      </c>
      <c r="C199" t="str">
        <f>_xlfn.XLOOKUP(TAB_H_ASIG_CON_DET[[#This Row],[ID_CARRERA]],MAE_CARRERA[ID_CARRERA],MAE_CARRERA[NOMBRE_CARRERA],"Seleccione ID Carrera")</f>
        <v>FINANZAS 2024 NS</v>
      </c>
      <c r="D199">
        <v>5</v>
      </c>
      <c r="E199" t="s">
        <v>121</v>
      </c>
      <c r="F199" t="str">
        <f>_xlfn.XLOOKUP(TAB_H_ASIG_CON_DET[[#This Row],[ASIGNATURA]],MAE_ASIGNATURA[NOM_ASIG],MAE_ASIGNATURA[ID_ASIG],"Seleccione Asignatura")</f>
        <v>FCACC-FINA-NI-5-ADMIN-DE -RIE</v>
      </c>
      <c r="G199" t="s">
        <v>90</v>
      </c>
      <c r="H199" t="str">
        <f>_xlfn.XLOOKUP(TAB_H_ASIG_CON_DET[[#This Row],[DETALLADO]],MAE_CONOCIMIENTO[CAMPO_DETALLADO],MAE_CONOCIMIENTO[ID_DDETALLADO],"Seleccione Campo Detallado")</f>
        <v>F-C-D-DER</v>
      </c>
    </row>
    <row r="200" spans="1:8">
      <c r="A200">
        <v>214</v>
      </c>
      <c r="B200" t="s">
        <v>107</v>
      </c>
      <c r="C200" t="str">
        <f>_xlfn.XLOOKUP(TAB_H_ASIG_CON_DET[[#This Row],[ID_CARRERA]],MAE_CARRERA[ID_CARRERA],MAE_CARRERA[NOMBRE_CARRERA],"Seleccione ID Carrera")</f>
        <v>FINANZAS 2024 NS</v>
      </c>
      <c r="D200">
        <v>5</v>
      </c>
      <c r="E200" s="2" t="s">
        <v>122</v>
      </c>
      <c r="F200" t="str">
        <f>_xlfn.XLOOKUP(TAB_H_ASIG_CON_DET[[#This Row],[ASIGNATURA]],MAE_ASIGNATURA[NOM_ASIG],MAE_ASIGNATURA[ID_ASIG],"Seleccione Asignatura")</f>
        <v>FCACC-FINA-NI-5-GESTI-DE -SEG</v>
      </c>
      <c r="G200" t="s">
        <v>13</v>
      </c>
      <c r="H200" t="str">
        <f>_xlfn.XLOOKUP(TAB_H_ASIG_CON_DET[[#This Row],[DETALLADO]],MAE_CONOCIMIENTO[CAMPO_DETALLADO],MAE_CONOCIMIENTO[ID_DDETALLADO],"Seleccione Campo Detallado")</f>
        <v>F-C-D-ADM</v>
      </c>
    </row>
    <row r="201" spans="1:8">
      <c r="A201">
        <v>215</v>
      </c>
      <c r="B201" t="s">
        <v>107</v>
      </c>
      <c r="C201" t="str">
        <f>_xlfn.XLOOKUP(TAB_H_ASIG_CON_DET[[#This Row],[ID_CARRERA]],MAE_CARRERA[ID_CARRERA],MAE_CARRERA[NOMBRE_CARRERA],"Seleccione ID Carrera")</f>
        <v>FINANZAS 2024 NS</v>
      </c>
      <c r="D201">
        <v>5</v>
      </c>
      <c r="E201" t="s">
        <v>122</v>
      </c>
      <c r="F201" t="str">
        <f>_xlfn.XLOOKUP(TAB_H_ASIG_CON_DET[[#This Row],[ASIGNATURA]],MAE_ASIGNATURA[NOM_ASIG],MAE_ASIGNATURA[ID_ASIG],"Seleccione Asignatura")</f>
        <v>FCACC-FINA-NI-5-GESTI-DE -SEG</v>
      </c>
      <c r="G201" t="s">
        <v>29</v>
      </c>
      <c r="H201" t="str">
        <f>_xlfn.XLOOKUP(TAB_H_ASIG_CON_DET[[#This Row],[DETALLADO]],MAE_CONOCIMIENTO[CAMPO_DETALLADO],MAE_CONOCIMIENTO[ID_DDETALLADO],"Seleccione Campo Detallado")</f>
        <v>F-C-D-GES-FIN</v>
      </c>
    </row>
    <row r="202" spans="1:8">
      <c r="A202">
        <v>216</v>
      </c>
      <c r="B202" t="s">
        <v>107</v>
      </c>
      <c r="C202" t="str">
        <f>_xlfn.XLOOKUP(TAB_H_ASIG_CON_DET[[#This Row],[ID_CARRERA]],MAE_CARRERA[ID_CARRERA],MAE_CARRERA[NOMBRE_CARRERA],"Seleccione ID Carrera")</f>
        <v>FINANZAS 2024 NS</v>
      </c>
      <c r="D202">
        <v>5</v>
      </c>
      <c r="E202" t="s">
        <v>122</v>
      </c>
      <c r="F202" t="str">
        <f>_xlfn.XLOOKUP(TAB_H_ASIG_CON_DET[[#This Row],[ASIGNATURA]],MAE_ASIGNATURA[NOM_ASIG],MAE_ASIGNATURA[ID_ASIG],"Seleccione Asignatura")</f>
        <v>FCACC-FINA-NI-5-GESTI-DE -SEG</v>
      </c>
      <c r="G202" t="s">
        <v>38</v>
      </c>
      <c r="H202" t="str">
        <f>_xlfn.XLOOKUP(TAB_H_ASIG_CON_DET[[#This Row],[DETALLADO]],MAE_CONOCIMIENTO[CAMPO_DETALLADO],MAE_CONOCIMIENTO[ID_DDETALLADO],"Seleccione Campo Detallado")</f>
        <v>F-C-D-COM</v>
      </c>
    </row>
    <row r="203" spans="1:8">
      <c r="A203">
        <v>217</v>
      </c>
      <c r="B203" t="s">
        <v>107</v>
      </c>
      <c r="C203" t="str">
        <f>_xlfn.XLOOKUP(TAB_H_ASIG_CON_DET[[#This Row],[ID_CARRERA]],MAE_CARRERA[ID_CARRERA],MAE_CARRERA[NOMBRE_CARRERA],"Seleccione ID Carrera")</f>
        <v>FINANZAS 2024 NS</v>
      </c>
      <c r="D203">
        <v>5</v>
      </c>
      <c r="E203" t="s">
        <v>123</v>
      </c>
      <c r="F203" t="str">
        <f>_xlfn.XLOOKUP(TAB_H_ASIG_CON_DET[[#This Row],[ASIGNATURA]],MAE_ASIGNATURA[NOM_ASIG],MAE_ASIGNATURA[ID_ASIG],"Seleccione Asignatura")</f>
        <v>FCACC-FINA-NI-5-EMPRE-Y D-DES</v>
      </c>
      <c r="G203" t="s">
        <v>13</v>
      </c>
      <c r="H203" t="str">
        <f>_xlfn.XLOOKUP(TAB_H_ASIG_CON_DET[[#This Row],[DETALLADO]],MAE_CONOCIMIENTO[CAMPO_DETALLADO],MAE_CONOCIMIENTO[ID_DDETALLADO],"Seleccione Campo Detallado")</f>
        <v>F-C-D-ADM</v>
      </c>
    </row>
    <row r="204" spans="1:8">
      <c r="A204">
        <v>218</v>
      </c>
      <c r="B204" t="s">
        <v>107</v>
      </c>
      <c r="C204" t="str">
        <f>_xlfn.XLOOKUP(TAB_H_ASIG_CON_DET[[#This Row],[ID_CARRERA]],MAE_CARRERA[ID_CARRERA],MAE_CARRERA[NOMBRE_CARRERA],"Seleccione ID Carrera")</f>
        <v>FINANZAS 2024 NS</v>
      </c>
      <c r="D204">
        <v>5</v>
      </c>
      <c r="E204" t="s">
        <v>123</v>
      </c>
      <c r="F204" t="str">
        <f>_xlfn.XLOOKUP(TAB_H_ASIG_CON_DET[[#This Row],[ASIGNATURA]],MAE_ASIGNATURA[NOM_ASIG],MAE_ASIGNATURA[ID_ASIG],"Seleccione Asignatura")</f>
        <v>FCACC-FINA-NI-5-EMPRE-Y D-DES</v>
      </c>
      <c r="G204" t="s">
        <v>29</v>
      </c>
      <c r="H204" t="str">
        <f>_xlfn.XLOOKUP(TAB_H_ASIG_CON_DET[[#This Row],[DETALLADO]],MAE_CONOCIMIENTO[CAMPO_DETALLADO],MAE_CONOCIMIENTO[ID_DDETALLADO],"Seleccione Campo Detallado")</f>
        <v>F-C-D-GES-FIN</v>
      </c>
    </row>
    <row r="205" spans="1:8">
      <c r="A205">
        <v>219</v>
      </c>
      <c r="B205" t="s">
        <v>107</v>
      </c>
      <c r="C205" t="str">
        <f>_xlfn.XLOOKUP(TAB_H_ASIG_CON_DET[[#This Row],[ID_CARRERA]],MAE_CARRERA[ID_CARRERA],MAE_CARRERA[NOMBRE_CARRERA],"Seleccione ID Carrera")</f>
        <v>FINANZAS 2024 NS</v>
      </c>
      <c r="D205">
        <v>5</v>
      </c>
      <c r="E205" t="s">
        <v>123</v>
      </c>
      <c r="F205" t="str">
        <f>_xlfn.XLOOKUP(TAB_H_ASIG_CON_DET[[#This Row],[ASIGNATURA]],MAE_ASIGNATURA[NOM_ASIG],MAE_ASIGNATURA[ID_ASIG],"Seleccione Asignatura")</f>
        <v>FCACC-FINA-NI-5-EMPRE-Y D-DES</v>
      </c>
      <c r="G205" t="s">
        <v>38</v>
      </c>
      <c r="H205" t="str">
        <f>_xlfn.XLOOKUP(TAB_H_ASIG_CON_DET[[#This Row],[DETALLADO]],MAE_CONOCIMIENTO[CAMPO_DETALLADO],MAE_CONOCIMIENTO[ID_DDETALLADO],"Seleccione Campo Detallado")</f>
        <v>F-C-D-COM</v>
      </c>
    </row>
    <row r="206" spans="1:8">
      <c r="A206">
        <v>220</v>
      </c>
      <c r="B206" t="s">
        <v>107</v>
      </c>
      <c r="C206" t="str">
        <f>_xlfn.XLOOKUP(TAB_H_ASIG_CON_DET[[#This Row],[ID_CARRERA]],MAE_CARRERA[ID_CARRERA],MAE_CARRERA[NOMBRE_CARRERA],"Seleccione ID Carrera")</f>
        <v>FINANZAS 2024 NS</v>
      </c>
      <c r="D206">
        <v>5</v>
      </c>
      <c r="E206" t="s">
        <v>124</v>
      </c>
      <c r="F206" t="str">
        <f>_xlfn.XLOOKUP(TAB_H_ASIG_CON_DET[[#This Row],[ASIGNATURA]],MAE_ASIGNATURA[NOM_ASIG],MAE_ASIGNATURA[ID_ASIG],"Seleccione Asignatura")</f>
        <v>FCACC-FINA-NI-5-ÉTICA-Y R-RES</v>
      </c>
      <c r="G206" t="s">
        <v>13</v>
      </c>
      <c r="H206" t="str">
        <f>_xlfn.XLOOKUP(TAB_H_ASIG_CON_DET[[#This Row],[DETALLADO]],MAE_CONOCIMIENTO[CAMPO_DETALLADO],MAE_CONOCIMIENTO[ID_DDETALLADO],"Seleccione Campo Detallado")</f>
        <v>F-C-D-ADM</v>
      </c>
    </row>
    <row r="207" spans="1:8">
      <c r="A207">
        <v>221</v>
      </c>
      <c r="B207" t="s">
        <v>107</v>
      </c>
      <c r="C207" t="str">
        <f>_xlfn.XLOOKUP(TAB_H_ASIG_CON_DET[[#This Row],[ID_CARRERA]],MAE_CARRERA[ID_CARRERA],MAE_CARRERA[NOMBRE_CARRERA],"Seleccione ID Carrera")</f>
        <v>FINANZAS 2024 NS</v>
      </c>
      <c r="D207">
        <v>5</v>
      </c>
      <c r="E207" t="s">
        <v>124</v>
      </c>
      <c r="F207" t="str">
        <f>_xlfn.XLOOKUP(TAB_H_ASIG_CON_DET[[#This Row],[ASIGNATURA]],MAE_ASIGNATURA[NOM_ASIG],MAE_ASIGNATURA[ID_ASIG],"Seleccione Asignatura")</f>
        <v>FCACC-FINA-NI-5-ÉTICA-Y R-RES</v>
      </c>
      <c r="G207" t="s">
        <v>27</v>
      </c>
      <c r="H207" t="str">
        <f>_xlfn.XLOOKUP(TAB_H_ASIG_CON_DET[[#This Row],[DETALLADO]],MAE_CONOCIMIENTO[CAMPO_DETALLADO],MAE_CONOCIMIENTO[ID_DDETALLADO],"Seleccione Campo Detallado")</f>
        <v>F-C-D-CON-Y A-AUD</v>
      </c>
    </row>
    <row r="208" spans="1:8">
      <c r="A208">
        <v>222</v>
      </c>
      <c r="B208" t="s">
        <v>107</v>
      </c>
      <c r="C208" t="str">
        <f>_xlfn.XLOOKUP(TAB_H_ASIG_CON_DET[[#This Row],[ID_CARRERA]],MAE_CARRERA[ID_CARRERA],MAE_CARRERA[NOMBRE_CARRERA],"Seleccione ID Carrera")</f>
        <v>FINANZAS 2024 NS</v>
      </c>
      <c r="D208">
        <v>5</v>
      </c>
      <c r="E208" t="s">
        <v>124</v>
      </c>
      <c r="F208" t="str">
        <f>_xlfn.XLOOKUP(TAB_H_ASIG_CON_DET[[#This Row],[ASIGNATURA]],MAE_ASIGNATURA[NOM_ASIG],MAE_ASIGNATURA[ID_ASIG],"Seleccione Asignatura")</f>
        <v>FCACC-FINA-NI-5-ÉTICA-Y R-RES</v>
      </c>
      <c r="G208" t="s">
        <v>29</v>
      </c>
      <c r="H208" t="str">
        <f>_xlfn.XLOOKUP(TAB_H_ASIG_CON_DET[[#This Row],[DETALLADO]],MAE_CONOCIMIENTO[CAMPO_DETALLADO],MAE_CONOCIMIENTO[ID_DDETALLADO],"Seleccione Campo Detallado")</f>
        <v>F-C-D-GES-FIN</v>
      </c>
    </row>
    <row r="209" spans="1:8">
      <c r="A209">
        <v>223</v>
      </c>
      <c r="B209" t="s">
        <v>107</v>
      </c>
      <c r="C209" t="str">
        <f>_xlfn.XLOOKUP(TAB_H_ASIG_CON_DET[[#This Row],[ID_CARRERA]],MAE_CARRERA[ID_CARRERA],MAE_CARRERA[NOMBRE_CARRERA],"Seleccione ID Carrera")</f>
        <v>FINANZAS 2024 NS</v>
      </c>
      <c r="D209">
        <v>5</v>
      </c>
      <c r="E209" t="s">
        <v>124</v>
      </c>
      <c r="F209" t="str">
        <f>_xlfn.XLOOKUP(TAB_H_ASIG_CON_DET[[#This Row],[ASIGNATURA]],MAE_ASIGNATURA[NOM_ASIG],MAE_ASIGNATURA[ID_ASIG],"Seleccione Asignatura")</f>
        <v>FCACC-FINA-NI-5-ÉTICA-Y R-RES</v>
      </c>
      <c r="G209" t="s">
        <v>38</v>
      </c>
      <c r="H209" t="str">
        <f>_xlfn.XLOOKUP(TAB_H_ASIG_CON_DET[[#This Row],[DETALLADO]],MAE_CONOCIMIENTO[CAMPO_DETALLADO],MAE_CONOCIMIENTO[ID_DDETALLADO],"Seleccione Campo Detallado")</f>
        <v>F-C-D-COM</v>
      </c>
    </row>
    <row r="210" spans="1:8">
      <c r="A210">
        <v>224</v>
      </c>
      <c r="B210" t="s">
        <v>107</v>
      </c>
      <c r="C210" t="str">
        <f>_xlfn.XLOOKUP(TAB_H_ASIG_CON_DET[[#This Row],[ID_CARRERA]],MAE_CARRERA[ID_CARRERA],MAE_CARRERA[NOMBRE_CARRERA],"Seleccione ID Carrera")</f>
        <v>FINANZAS 2024 NS</v>
      </c>
      <c r="D210">
        <v>6</v>
      </c>
      <c r="E210" t="s">
        <v>125</v>
      </c>
      <c r="F210" t="str">
        <f>_xlfn.XLOOKUP(TAB_H_ASIG_CON_DET[[#This Row],[ASIGNATURA]],MAE_ASIGNATURA[NOM_ASIG],MAE_ASIGNATURA[ID_ASIG],"Seleccione Asignatura")</f>
        <v>FCACC-AD-EM-NI-6-FINAN-COR</v>
      </c>
      <c r="G210" t="s">
        <v>13</v>
      </c>
      <c r="H210" t="str">
        <f>_xlfn.XLOOKUP(TAB_H_ASIG_CON_DET[[#This Row],[DETALLADO]],MAE_CONOCIMIENTO[CAMPO_DETALLADO],MAE_CONOCIMIENTO[ID_DDETALLADO],"Seleccione Campo Detallado")</f>
        <v>F-C-D-ADM</v>
      </c>
    </row>
    <row r="211" spans="1:8">
      <c r="A211">
        <v>225</v>
      </c>
      <c r="B211" t="s">
        <v>107</v>
      </c>
      <c r="C211" t="str">
        <f>_xlfn.XLOOKUP(TAB_H_ASIG_CON_DET[[#This Row],[ID_CARRERA]],MAE_CARRERA[ID_CARRERA],MAE_CARRERA[NOMBRE_CARRERA],"Seleccione ID Carrera")</f>
        <v>FINANZAS 2024 NS</v>
      </c>
      <c r="D211">
        <v>6</v>
      </c>
      <c r="E211" t="s">
        <v>125</v>
      </c>
      <c r="F211" t="str">
        <f>_xlfn.XLOOKUP(TAB_H_ASIG_CON_DET[[#This Row],[ASIGNATURA]],MAE_ASIGNATURA[NOM_ASIG],MAE_ASIGNATURA[ID_ASIG],"Seleccione Asignatura")</f>
        <v>FCACC-AD-EM-NI-6-FINAN-COR</v>
      </c>
      <c r="G211" t="s">
        <v>29</v>
      </c>
      <c r="H211" t="str">
        <f>_xlfn.XLOOKUP(TAB_H_ASIG_CON_DET[[#This Row],[DETALLADO]],MAE_CONOCIMIENTO[CAMPO_DETALLADO],MAE_CONOCIMIENTO[ID_DDETALLADO],"Seleccione Campo Detallado")</f>
        <v>F-C-D-GES-FIN</v>
      </c>
    </row>
    <row r="212" spans="1:8">
      <c r="A212">
        <v>226</v>
      </c>
      <c r="B212" t="s">
        <v>107</v>
      </c>
      <c r="C212" t="str">
        <f>_xlfn.XLOOKUP(TAB_H_ASIG_CON_DET[[#This Row],[ID_CARRERA]],MAE_CARRERA[ID_CARRERA],MAE_CARRERA[NOMBRE_CARRERA],"Seleccione ID Carrera")</f>
        <v>FINANZAS 2024 NS</v>
      </c>
      <c r="D212">
        <v>6</v>
      </c>
      <c r="E212" t="s">
        <v>125</v>
      </c>
      <c r="F212" t="str">
        <f>_xlfn.XLOOKUP(TAB_H_ASIG_CON_DET[[#This Row],[ASIGNATURA]],MAE_ASIGNATURA[NOM_ASIG],MAE_ASIGNATURA[ID_ASIG],"Seleccione Asignatura")</f>
        <v>FCACC-AD-EM-NI-6-FINAN-COR</v>
      </c>
      <c r="G212" t="s">
        <v>38</v>
      </c>
      <c r="H212" t="str">
        <f>_xlfn.XLOOKUP(TAB_H_ASIG_CON_DET[[#This Row],[DETALLADO]],MAE_CONOCIMIENTO[CAMPO_DETALLADO],MAE_CONOCIMIENTO[ID_DDETALLADO],"Seleccione Campo Detallado")</f>
        <v>F-C-D-COM</v>
      </c>
    </row>
    <row r="213" spans="1:8" ht="30.75">
      <c r="A213">
        <v>227</v>
      </c>
      <c r="B213" t="s">
        <v>107</v>
      </c>
      <c r="C213" t="str">
        <f>_xlfn.XLOOKUP(TAB_H_ASIG_CON_DET[[#This Row],[ID_CARRERA]],MAE_CARRERA[ID_CARRERA],MAE_CARRERA[NOMBRE_CARRERA],"Seleccione ID Carrera")</f>
        <v>FINANZAS 2024 NS</v>
      </c>
      <c r="D213">
        <v>6</v>
      </c>
      <c r="E213" s="2" t="s">
        <v>126</v>
      </c>
      <c r="F213" t="str">
        <f>_xlfn.XLOOKUP(TAB_H_ASIG_CON_DET[[#This Row],[ASIGNATURA]],MAE_ASIGNATURA[NOM_ASIG],MAE_ASIGNATURA[ID_ASIG],"Seleccione Asignatura")</f>
        <v>FCACC-FINA-NI-6-ECONO- PO-POP</v>
      </c>
      <c r="G213" t="s">
        <v>13</v>
      </c>
      <c r="H213" t="str">
        <f>_xlfn.XLOOKUP(TAB_H_ASIG_CON_DET[[#This Row],[DETALLADO]],MAE_CONOCIMIENTO[CAMPO_DETALLADO],MAE_CONOCIMIENTO[ID_DDETALLADO],"Seleccione Campo Detallado")</f>
        <v>F-C-D-ADM</v>
      </c>
    </row>
    <row r="214" spans="1:8" ht="30.75">
      <c r="A214">
        <v>228</v>
      </c>
      <c r="B214" t="s">
        <v>107</v>
      </c>
      <c r="C214" t="str">
        <f>_xlfn.XLOOKUP(TAB_H_ASIG_CON_DET[[#This Row],[ID_CARRERA]],MAE_CARRERA[ID_CARRERA],MAE_CARRERA[NOMBRE_CARRERA],"Seleccione ID Carrera")</f>
        <v>FINANZAS 2024 NS</v>
      </c>
      <c r="D214">
        <v>6</v>
      </c>
      <c r="E214" s="2" t="s">
        <v>126</v>
      </c>
      <c r="F214" t="str">
        <f>_xlfn.XLOOKUP(TAB_H_ASIG_CON_DET[[#This Row],[ASIGNATURA]],MAE_ASIGNATURA[NOM_ASIG],MAE_ASIGNATURA[ID_ASIG],"Seleccione Asignatura")</f>
        <v>FCACC-FINA-NI-6-ECONO- PO-POP</v>
      </c>
      <c r="G214" t="s">
        <v>29</v>
      </c>
      <c r="H214" t="str">
        <f>_xlfn.XLOOKUP(TAB_H_ASIG_CON_DET[[#This Row],[DETALLADO]],MAE_CONOCIMIENTO[CAMPO_DETALLADO],MAE_CONOCIMIENTO[ID_DDETALLADO],"Seleccione Campo Detallado")</f>
        <v>F-C-D-GES-FIN</v>
      </c>
    </row>
    <row r="215" spans="1:8" ht="30.75">
      <c r="A215">
        <v>229</v>
      </c>
      <c r="B215" t="s">
        <v>107</v>
      </c>
      <c r="C215" t="str">
        <f>_xlfn.XLOOKUP(TAB_H_ASIG_CON_DET[[#This Row],[ID_CARRERA]],MAE_CARRERA[ID_CARRERA],MAE_CARRERA[NOMBRE_CARRERA],"Seleccione ID Carrera")</f>
        <v>FINANZAS 2024 NS</v>
      </c>
      <c r="D215">
        <v>6</v>
      </c>
      <c r="E215" s="2" t="s">
        <v>126</v>
      </c>
      <c r="F215" t="str">
        <f>_xlfn.XLOOKUP(TAB_H_ASIG_CON_DET[[#This Row],[ASIGNATURA]],MAE_ASIGNATURA[NOM_ASIG],MAE_ASIGNATURA[ID_ASIG],"Seleccione Asignatura")</f>
        <v>FCACC-FINA-NI-6-ECONO- PO-POP</v>
      </c>
      <c r="G215" t="s">
        <v>38</v>
      </c>
      <c r="H215" t="str">
        <f>_xlfn.XLOOKUP(TAB_H_ASIG_CON_DET[[#This Row],[DETALLADO]],MAE_CONOCIMIENTO[CAMPO_DETALLADO],MAE_CONOCIMIENTO[ID_DDETALLADO],"Seleccione Campo Detallado")</f>
        <v>F-C-D-COM</v>
      </c>
    </row>
    <row r="216" spans="1:8" ht="30.75">
      <c r="A216">
        <v>230</v>
      </c>
      <c r="B216" t="s">
        <v>107</v>
      </c>
      <c r="C216" t="str">
        <f>_xlfn.XLOOKUP(TAB_H_ASIG_CON_DET[[#This Row],[ID_CARRERA]],MAE_CARRERA[ID_CARRERA],MAE_CARRERA[NOMBRE_CARRERA],"Seleccione ID Carrera")</f>
        <v>FINANZAS 2024 NS</v>
      </c>
      <c r="D216">
        <v>6</v>
      </c>
      <c r="E216" s="2" t="s">
        <v>127</v>
      </c>
      <c r="F216" t="str">
        <f>_xlfn.XLOOKUP(TAB_H_ASIG_CON_DET[[#This Row],[ASIGNATURA]],MAE_ASIGNATURA[NOM_ASIG],MAE_ASIGNATURA[ID_ASIG],"Seleccione Asignatura")</f>
        <v>FCACC-FINA-NI-6-DISEÑ-Y E-EVA</v>
      </c>
      <c r="G216" t="s">
        <v>29</v>
      </c>
      <c r="H216" t="str">
        <f>_xlfn.XLOOKUP(TAB_H_ASIG_CON_DET[[#This Row],[DETALLADO]],MAE_CONOCIMIENTO[CAMPO_DETALLADO],MAE_CONOCIMIENTO[ID_DDETALLADO],"Seleccione Campo Detallado")</f>
        <v>F-C-D-GES-FIN</v>
      </c>
    </row>
    <row r="217" spans="1:8" ht="30.75">
      <c r="A217">
        <v>231</v>
      </c>
      <c r="B217" t="s">
        <v>107</v>
      </c>
      <c r="C217" t="str">
        <f>_xlfn.XLOOKUP(TAB_H_ASIG_CON_DET[[#This Row],[ID_CARRERA]],MAE_CARRERA[ID_CARRERA],MAE_CARRERA[NOMBRE_CARRERA],"Seleccione ID Carrera")</f>
        <v>FINANZAS 2024 NS</v>
      </c>
      <c r="D217">
        <v>6</v>
      </c>
      <c r="E217" s="2" t="s">
        <v>127</v>
      </c>
      <c r="F217" t="str">
        <f>_xlfn.XLOOKUP(TAB_H_ASIG_CON_DET[[#This Row],[ASIGNATURA]],MAE_ASIGNATURA[NOM_ASIG],MAE_ASIGNATURA[ID_ASIG],"Seleccione Asignatura")</f>
        <v>FCACC-FINA-NI-6-DISEÑ-Y E-EVA</v>
      </c>
      <c r="G217" t="s">
        <v>13</v>
      </c>
      <c r="H217" t="str">
        <f>_xlfn.XLOOKUP(TAB_H_ASIG_CON_DET[[#This Row],[DETALLADO]],MAE_CONOCIMIENTO[CAMPO_DETALLADO],MAE_CONOCIMIENTO[ID_DDETALLADO],"Seleccione Campo Detallado")</f>
        <v>F-C-D-ADM</v>
      </c>
    </row>
    <row r="218" spans="1:8">
      <c r="A218">
        <v>232</v>
      </c>
      <c r="B218" t="s">
        <v>107</v>
      </c>
      <c r="C218" t="str">
        <f>_xlfn.XLOOKUP(TAB_H_ASIG_CON_DET[[#This Row],[ID_CARRERA]],MAE_CARRERA[ID_CARRERA],MAE_CARRERA[NOMBRE_CARRERA],"Seleccione ID Carrera")</f>
        <v>FINANZAS 2024 NS</v>
      </c>
      <c r="D218">
        <v>6</v>
      </c>
      <c r="E218" s="2" t="s">
        <v>35</v>
      </c>
      <c r="F218" t="str">
        <f>_xlfn.XLOOKUP(TAB_H_ASIG_CON_DET[[#This Row],[ASIGNATURA]],MAE_ASIGNATURA[NOM_ASIG],MAE_ASIGNATURA[ID_ASIG],"Seleccione Asignatura")</f>
        <v>FCACC-AU-CO-GE-NI-5-AUDIT-FIN</v>
      </c>
      <c r="G218" t="s">
        <v>27</v>
      </c>
      <c r="H218" t="str">
        <f>_xlfn.XLOOKUP(TAB_H_ASIG_CON_DET[[#This Row],[DETALLADO]],MAE_CONOCIMIENTO[CAMPO_DETALLADO],MAE_CONOCIMIENTO[ID_DDETALLADO],"Seleccione Campo Detallado")</f>
        <v>F-C-D-CON-Y A-AUD</v>
      </c>
    </row>
    <row r="219" spans="1:8">
      <c r="A219">
        <v>233</v>
      </c>
      <c r="B219" t="s">
        <v>107</v>
      </c>
      <c r="C219" t="str">
        <f>_xlfn.XLOOKUP(TAB_H_ASIG_CON_DET[[#This Row],[ID_CARRERA]],MAE_CARRERA[ID_CARRERA],MAE_CARRERA[NOMBRE_CARRERA],"Seleccione ID Carrera")</f>
        <v>FINANZAS 2024 NS</v>
      </c>
      <c r="D219">
        <v>6</v>
      </c>
      <c r="E219" s="2" t="s">
        <v>35</v>
      </c>
      <c r="F219" t="str">
        <f>_xlfn.XLOOKUP(TAB_H_ASIG_CON_DET[[#This Row],[ASIGNATURA]],MAE_ASIGNATURA[NOM_ASIG],MAE_ASIGNATURA[ID_ASIG],"Seleccione Asignatura")</f>
        <v>FCACC-AU-CO-GE-NI-5-AUDIT-FIN</v>
      </c>
      <c r="G219" t="s">
        <v>29</v>
      </c>
      <c r="H219" t="str">
        <f>_xlfn.XLOOKUP(TAB_H_ASIG_CON_DET[[#This Row],[DETALLADO]],MAE_CONOCIMIENTO[CAMPO_DETALLADO],MAE_CONOCIMIENTO[ID_DDETALLADO],"Seleccione Campo Detallado")</f>
        <v>F-C-D-GES-FIN</v>
      </c>
    </row>
    <row r="220" spans="1:8">
      <c r="A220">
        <v>234</v>
      </c>
      <c r="B220" t="s">
        <v>107</v>
      </c>
      <c r="C220" t="str">
        <f>_xlfn.XLOOKUP(TAB_H_ASIG_CON_DET[[#This Row],[ID_CARRERA]],MAE_CARRERA[ID_CARRERA],MAE_CARRERA[NOMBRE_CARRERA],"Seleccione ID Carrera")</f>
        <v>FINANZAS 2024 NS</v>
      </c>
      <c r="D220">
        <v>6</v>
      </c>
      <c r="E220" s="2" t="s">
        <v>35</v>
      </c>
      <c r="F220" t="str">
        <f>_xlfn.XLOOKUP(TAB_H_ASIG_CON_DET[[#This Row],[ASIGNATURA]],MAE_ASIGNATURA[NOM_ASIG],MAE_ASIGNATURA[ID_ASIG],"Seleccione Asignatura")</f>
        <v>FCACC-AU-CO-GE-NI-5-AUDIT-FIN</v>
      </c>
      <c r="G220" t="s">
        <v>13</v>
      </c>
      <c r="H220" t="str">
        <f>_xlfn.XLOOKUP(TAB_H_ASIG_CON_DET[[#This Row],[DETALLADO]],MAE_CONOCIMIENTO[CAMPO_DETALLADO],MAE_CONOCIMIENTO[ID_DDETALLADO],"Seleccione Campo Detallado")</f>
        <v>F-C-D-ADM</v>
      </c>
    </row>
    <row r="221" spans="1:8">
      <c r="A221">
        <v>235</v>
      </c>
      <c r="B221" t="s">
        <v>107</v>
      </c>
      <c r="C221" t="str">
        <f>_xlfn.XLOOKUP(TAB_H_ASIG_CON_DET[[#This Row],[ID_CARRERA]],MAE_CARRERA[ID_CARRERA],MAE_CARRERA[NOMBRE_CARRERA],"Seleccione ID Carrera")</f>
        <v>FINANZAS 2024 NS</v>
      </c>
      <c r="D221">
        <v>6</v>
      </c>
      <c r="E221" t="s">
        <v>128</v>
      </c>
      <c r="F221" t="str">
        <f>_xlfn.XLOOKUP(TAB_H_ASIG_CON_DET[[#This Row],[ASIGNATURA]],MAE_ASIGNATURA[NOM_ASIG],MAE_ASIGNATURA[ID_ASIG],"Seleccione Asignatura")</f>
        <v>FCACC-FINA-NI-6-MERCA-FIN</v>
      </c>
      <c r="G221" t="s">
        <v>29</v>
      </c>
      <c r="H221" t="str">
        <f>_xlfn.XLOOKUP(TAB_H_ASIG_CON_DET[[#This Row],[DETALLADO]],MAE_CONOCIMIENTO[CAMPO_DETALLADO],MAE_CONOCIMIENTO[ID_DDETALLADO],"Seleccione Campo Detallado")</f>
        <v>F-C-D-GES-FIN</v>
      </c>
    </row>
    <row r="222" spans="1:8">
      <c r="A222">
        <v>236</v>
      </c>
      <c r="B222" t="s">
        <v>107</v>
      </c>
      <c r="C222" t="str">
        <f>_xlfn.XLOOKUP(TAB_H_ASIG_CON_DET[[#This Row],[ID_CARRERA]],MAE_CARRERA[ID_CARRERA],MAE_CARRERA[NOMBRE_CARRERA],"Seleccione ID Carrera")</f>
        <v>FINANZAS 2024 NS</v>
      </c>
      <c r="D222">
        <v>6</v>
      </c>
      <c r="E222" t="s">
        <v>128</v>
      </c>
      <c r="F222" t="str">
        <f>_xlfn.XLOOKUP(TAB_H_ASIG_CON_DET[[#This Row],[ASIGNATURA]],MAE_ASIGNATURA[NOM_ASIG],MAE_ASIGNATURA[ID_ASIG],"Seleccione Asignatura")</f>
        <v>FCACC-FINA-NI-6-MERCA-FIN</v>
      </c>
      <c r="G222" t="s">
        <v>13</v>
      </c>
      <c r="H222" t="str">
        <f>_xlfn.XLOOKUP(TAB_H_ASIG_CON_DET[[#This Row],[DETALLADO]],MAE_CONOCIMIENTO[CAMPO_DETALLADO],MAE_CONOCIMIENTO[ID_DDETALLADO],"Seleccione Campo Detallado")</f>
        <v>F-C-D-ADM</v>
      </c>
    </row>
    <row r="223" spans="1:8">
      <c r="A223">
        <v>237</v>
      </c>
      <c r="B223" t="s">
        <v>107</v>
      </c>
      <c r="C223" t="str">
        <f>_xlfn.XLOOKUP(TAB_H_ASIG_CON_DET[[#This Row],[ID_CARRERA]],MAE_CARRERA[ID_CARRERA],MAE_CARRERA[NOMBRE_CARRERA],"Seleccione ID Carrera")</f>
        <v>FINANZAS 2024 NS</v>
      </c>
      <c r="D223">
        <v>7</v>
      </c>
      <c r="E223" t="s">
        <v>129</v>
      </c>
      <c r="F223" t="str">
        <f>_xlfn.XLOOKUP(TAB_H_ASIG_CON_DET[[#This Row],[ASIGNATURA]],MAE_ASIGNATURA[NOM_ASIG],MAE_ASIGNATURA[ID_ASIG],"Seleccione Asignatura")</f>
        <v>FCACC-FINA-NI-7-FINAN- Y -Y P</v>
      </c>
      <c r="G223" t="s">
        <v>29</v>
      </c>
      <c r="H223" t="str">
        <f>_xlfn.XLOOKUP(TAB_H_ASIG_CON_DET[[#This Row],[DETALLADO]],MAE_CONOCIMIENTO[CAMPO_DETALLADO],MAE_CONOCIMIENTO[ID_DDETALLADO],"Seleccione Campo Detallado")</f>
        <v>F-C-D-GES-FIN</v>
      </c>
    </row>
    <row r="224" spans="1:8">
      <c r="A224">
        <v>238</v>
      </c>
      <c r="B224" t="s">
        <v>107</v>
      </c>
      <c r="C224" t="str">
        <f>_xlfn.XLOOKUP(TAB_H_ASIG_CON_DET[[#This Row],[ID_CARRERA]],MAE_CARRERA[ID_CARRERA],MAE_CARRERA[NOMBRE_CARRERA],"Seleccione ID Carrera")</f>
        <v>FINANZAS 2024 NS</v>
      </c>
      <c r="D224">
        <v>7</v>
      </c>
      <c r="E224" t="s">
        <v>129</v>
      </c>
      <c r="F224" t="str">
        <f>_xlfn.XLOOKUP(TAB_H_ASIG_CON_DET[[#This Row],[ASIGNATURA]],MAE_ASIGNATURA[NOM_ASIG],MAE_ASIGNATURA[ID_ASIG],"Seleccione Asignatura")</f>
        <v>FCACC-FINA-NI-7-FINAN- Y -Y P</v>
      </c>
      <c r="G224" t="s">
        <v>13</v>
      </c>
      <c r="H224" t="str">
        <f>_xlfn.XLOOKUP(TAB_H_ASIG_CON_DET[[#This Row],[DETALLADO]],MAE_CONOCIMIENTO[CAMPO_DETALLADO],MAE_CONOCIMIENTO[ID_DDETALLADO],"Seleccione Campo Detallado")</f>
        <v>F-C-D-ADM</v>
      </c>
    </row>
    <row r="225" spans="1:8">
      <c r="A225">
        <v>239</v>
      </c>
      <c r="B225" t="s">
        <v>107</v>
      </c>
      <c r="C225" t="str">
        <f>_xlfn.XLOOKUP(TAB_H_ASIG_CON_DET[[#This Row],[ID_CARRERA]],MAE_CARRERA[ID_CARRERA],MAE_CARRERA[NOMBRE_CARRERA],"Seleccione ID Carrera")</f>
        <v>FINANZAS 2024 NS</v>
      </c>
      <c r="D225">
        <v>7</v>
      </c>
      <c r="E225" t="s">
        <v>129</v>
      </c>
      <c r="F225" t="str">
        <f>_xlfn.XLOOKUP(TAB_H_ASIG_CON_DET[[#This Row],[ASIGNATURA]],MAE_ASIGNATURA[NOM_ASIG],MAE_ASIGNATURA[ID_ASIG],"Seleccione Asignatura")</f>
        <v>FCACC-FINA-NI-7-FINAN- Y -Y P</v>
      </c>
      <c r="G225" t="s">
        <v>27</v>
      </c>
      <c r="H225" t="str">
        <f>_xlfn.XLOOKUP(TAB_H_ASIG_CON_DET[[#This Row],[DETALLADO]],MAE_CONOCIMIENTO[CAMPO_DETALLADO],MAE_CONOCIMIENTO[ID_DDETALLADO],"Seleccione Campo Detallado")</f>
        <v>F-C-D-CON-Y A-AUD</v>
      </c>
    </row>
    <row r="226" spans="1:8">
      <c r="A226">
        <v>240</v>
      </c>
      <c r="B226" t="s">
        <v>107</v>
      </c>
      <c r="C226" t="str">
        <f>_xlfn.XLOOKUP(TAB_H_ASIG_CON_DET[[#This Row],[ID_CARRERA]],MAE_CARRERA[ID_CARRERA],MAE_CARRERA[NOMBRE_CARRERA],"Seleccione ID Carrera")</f>
        <v>FINANZAS 2024 NS</v>
      </c>
      <c r="D226">
        <v>7</v>
      </c>
      <c r="E226" t="s">
        <v>130</v>
      </c>
      <c r="F226" t="str">
        <f>_xlfn.XLOOKUP(TAB_H_ASIG_CON_DET[[#This Row],[ASIGNATURA]],MAE_ASIGNATURA[NOM_ASIG],MAE_ASIGNATURA[ID_ASIG],"Seleccione Asignatura")</f>
        <v>FCACC-FINA-NI-7-MERCA</v>
      </c>
      <c r="G226" t="s">
        <v>131</v>
      </c>
      <c r="H226" t="str">
        <f>_xlfn.XLOOKUP(TAB_H_ASIG_CON_DET[[#This Row],[DETALLADO]],MAE_CONOCIMIENTO[CAMPO_DETALLADO],MAE_CONOCIMIENTO[ID_DDETALLADO],"Seleccione Campo Detallado")</f>
        <v>F-C-D-MAR-Y P-PUB</v>
      </c>
    </row>
    <row r="227" spans="1:8">
      <c r="A227">
        <v>241</v>
      </c>
      <c r="B227" t="s">
        <v>107</v>
      </c>
      <c r="C227" t="str">
        <f>_xlfn.XLOOKUP(TAB_H_ASIG_CON_DET[[#This Row],[ID_CARRERA]],MAE_CARRERA[ID_CARRERA],MAE_CARRERA[NOMBRE_CARRERA],"Seleccione ID Carrera")</f>
        <v>FINANZAS 2024 NS</v>
      </c>
      <c r="D227">
        <v>7</v>
      </c>
      <c r="E227" t="s">
        <v>130</v>
      </c>
      <c r="F227" t="str">
        <f>_xlfn.XLOOKUP(TAB_H_ASIG_CON_DET[[#This Row],[ASIGNATURA]],MAE_ASIGNATURA[NOM_ASIG],MAE_ASIGNATURA[ID_ASIG],"Seleccione Asignatura")</f>
        <v>FCACC-FINA-NI-7-MERCA</v>
      </c>
      <c r="G227" t="s">
        <v>13</v>
      </c>
      <c r="H227" t="str">
        <f>_xlfn.XLOOKUP(TAB_H_ASIG_CON_DET[[#This Row],[DETALLADO]],MAE_CONOCIMIENTO[CAMPO_DETALLADO],MAE_CONOCIMIENTO[ID_DDETALLADO],"Seleccione Campo Detallado")</f>
        <v>F-C-D-ADM</v>
      </c>
    </row>
    <row r="228" spans="1:8">
      <c r="A228">
        <v>242</v>
      </c>
      <c r="B228" t="s">
        <v>107</v>
      </c>
      <c r="C228" t="str">
        <f>_xlfn.XLOOKUP(TAB_H_ASIG_CON_DET[[#This Row],[ID_CARRERA]],MAE_CARRERA[ID_CARRERA],MAE_CARRERA[NOMBRE_CARRERA],"Seleccione ID Carrera")</f>
        <v>FINANZAS 2024 NS</v>
      </c>
      <c r="D228">
        <v>7</v>
      </c>
      <c r="E228" t="s">
        <v>132</v>
      </c>
      <c r="F228" t="str">
        <f>_xlfn.XLOOKUP(TAB_H_ASIG_CON_DET[[#This Row],[ASIGNATURA]],MAE_ASIGNATURA[NOM_ASIG],MAE_ASIGNATURA[ID_ASIG],"Seleccione Asignatura")</f>
        <v>FCACC-FINA-NI-7-DISEÑ- Y -Y E</v>
      </c>
      <c r="G228" t="s">
        <v>29</v>
      </c>
      <c r="H228" t="str">
        <f>_xlfn.XLOOKUP(TAB_H_ASIG_CON_DET[[#This Row],[DETALLADO]],MAE_CONOCIMIENTO[CAMPO_DETALLADO],MAE_CONOCIMIENTO[ID_DDETALLADO],"Seleccione Campo Detallado")</f>
        <v>F-C-D-GES-FIN</v>
      </c>
    </row>
    <row r="229" spans="1:8">
      <c r="A229">
        <v>243</v>
      </c>
      <c r="B229" t="s">
        <v>107</v>
      </c>
      <c r="C229" t="str">
        <f>_xlfn.XLOOKUP(TAB_H_ASIG_CON_DET[[#This Row],[ID_CARRERA]],MAE_CARRERA[ID_CARRERA],MAE_CARRERA[NOMBRE_CARRERA],"Seleccione ID Carrera")</f>
        <v>FINANZAS 2024 NS</v>
      </c>
      <c r="D229">
        <v>7</v>
      </c>
      <c r="E229" t="s">
        <v>132</v>
      </c>
      <c r="F229" t="str">
        <f>_xlfn.XLOOKUP(TAB_H_ASIG_CON_DET[[#This Row],[ASIGNATURA]],MAE_ASIGNATURA[NOM_ASIG],MAE_ASIGNATURA[ID_ASIG],"Seleccione Asignatura")</f>
        <v>FCACC-FINA-NI-7-DISEÑ- Y -Y E</v>
      </c>
      <c r="G229" t="s">
        <v>13</v>
      </c>
      <c r="H229" t="str">
        <f>_xlfn.XLOOKUP(TAB_H_ASIG_CON_DET[[#This Row],[DETALLADO]],MAE_CONOCIMIENTO[CAMPO_DETALLADO],MAE_CONOCIMIENTO[ID_DDETALLADO],"Seleccione Campo Detallado")</f>
        <v>F-C-D-ADM</v>
      </c>
    </row>
    <row r="230" spans="1:8" ht="30.75">
      <c r="A230">
        <v>244</v>
      </c>
      <c r="B230" t="s">
        <v>107</v>
      </c>
      <c r="C230" t="str">
        <f>_xlfn.XLOOKUP(TAB_H_ASIG_CON_DET[[#This Row],[ID_CARRERA]],MAE_CARRERA[ID_CARRERA],MAE_CARRERA[NOMBRE_CARRERA],"Seleccione ID Carrera")</f>
        <v>FINANZAS 2024 NS</v>
      </c>
      <c r="D230">
        <v>7</v>
      </c>
      <c r="E230" s="2" t="s">
        <v>133</v>
      </c>
      <c r="F230" t="str">
        <f>_xlfn.XLOOKUP(TAB_H_ASIG_CON_DET[[#This Row],[ASIGNATURA]],MAE_ASIGNATURA[NOM_ASIG],MAE_ASIGNATURA[ID_ASIG],"Seleccione Asignatura")</f>
        <v>FCACC-FINA-NI-7-PLANI-PRO</v>
      </c>
      <c r="G230" t="s">
        <v>29</v>
      </c>
      <c r="H230" t="str">
        <f>_xlfn.XLOOKUP(TAB_H_ASIG_CON_DET[[#This Row],[DETALLADO]],MAE_CONOCIMIENTO[CAMPO_DETALLADO],MAE_CONOCIMIENTO[ID_DDETALLADO],"Seleccione Campo Detallado")</f>
        <v>F-C-D-GES-FIN</v>
      </c>
    </row>
    <row r="231" spans="1:8" ht="30.75">
      <c r="A231">
        <v>245</v>
      </c>
      <c r="B231" t="s">
        <v>107</v>
      </c>
      <c r="C231" t="str">
        <f>_xlfn.XLOOKUP(TAB_H_ASIG_CON_DET[[#This Row],[ID_CARRERA]],MAE_CARRERA[ID_CARRERA],MAE_CARRERA[NOMBRE_CARRERA],"Seleccione ID Carrera")</f>
        <v>FINANZAS 2024 NS</v>
      </c>
      <c r="D231">
        <v>7</v>
      </c>
      <c r="E231" s="2" t="s">
        <v>133</v>
      </c>
      <c r="F231" t="str">
        <f>_xlfn.XLOOKUP(TAB_H_ASIG_CON_DET[[#This Row],[ASIGNATURA]],MAE_ASIGNATURA[NOM_ASIG],MAE_ASIGNATURA[ID_ASIG],"Seleccione Asignatura")</f>
        <v>FCACC-FINA-NI-7-PLANI-PRO</v>
      </c>
      <c r="G231" t="s">
        <v>13</v>
      </c>
      <c r="H231" t="str">
        <f>_xlfn.XLOOKUP(TAB_H_ASIG_CON_DET[[#This Row],[DETALLADO]],MAE_CONOCIMIENTO[CAMPO_DETALLADO],MAE_CONOCIMIENTO[ID_DDETALLADO],"Seleccione Campo Detallado")</f>
        <v>F-C-D-ADM</v>
      </c>
    </row>
    <row r="232" spans="1:8">
      <c r="A232">
        <v>246</v>
      </c>
      <c r="B232" t="s">
        <v>107</v>
      </c>
      <c r="C232" t="str">
        <f>_xlfn.XLOOKUP(TAB_H_ASIG_CON_DET[[#This Row],[ID_CARRERA]],MAE_CARRERA[ID_CARRERA],MAE_CARRERA[NOMBRE_CARRERA],"Seleccione ID Carrera")</f>
        <v>FINANZAS 2024 NS</v>
      </c>
      <c r="D232">
        <v>7</v>
      </c>
      <c r="E232" t="s">
        <v>55</v>
      </c>
      <c r="F232" t="str">
        <f>_xlfn.XLOOKUP(TAB_H_ASIG_CON_DET[[#This Row],[ASIGNATURA]],MAE_ASIGNATURA[NOM_ASIG],MAE_ASIGNATURA[ID_ASIG],"Seleccione Asignatura")</f>
        <v>FCACC-AU-CO-GE-NI-6-PROCE-DE -CON</v>
      </c>
      <c r="G232" t="s">
        <v>27</v>
      </c>
      <c r="H232" t="str">
        <f>_xlfn.XLOOKUP(TAB_H_ASIG_CON_DET[[#This Row],[DETALLADO]],MAE_CONOCIMIENTO[CAMPO_DETALLADO],MAE_CONOCIMIENTO[ID_DDETALLADO],"Seleccione Campo Detallado")</f>
        <v>F-C-D-CON-Y A-AUD</v>
      </c>
    </row>
    <row r="233" spans="1:8">
      <c r="A233">
        <v>247</v>
      </c>
      <c r="B233" t="s">
        <v>107</v>
      </c>
      <c r="C233" t="str">
        <f>_xlfn.XLOOKUP(TAB_H_ASIG_CON_DET[[#This Row],[ID_CARRERA]],MAE_CARRERA[ID_CARRERA],MAE_CARRERA[NOMBRE_CARRERA],"Seleccione ID Carrera")</f>
        <v>FINANZAS 2024 NS</v>
      </c>
      <c r="D233">
        <v>7</v>
      </c>
      <c r="E233" t="s">
        <v>55</v>
      </c>
      <c r="F233" t="str">
        <f>_xlfn.XLOOKUP(TAB_H_ASIG_CON_DET[[#This Row],[ASIGNATURA]],MAE_ASIGNATURA[NOM_ASIG],MAE_ASIGNATURA[ID_ASIG],"Seleccione Asignatura")</f>
        <v>FCACC-AU-CO-GE-NI-6-PROCE-DE -CON</v>
      </c>
      <c r="G233" t="s">
        <v>13</v>
      </c>
      <c r="H233" t="str">
        <f>_xlfn.XLOOKUP(TAB_H_ASIG_CON_DET[[#This Row],[DETALLADO]],MAE_CONOCIMIENTO[CAMPO_DETALLADO],MAE_CONOCIMIENTO[ID_DDETALLADO],"Seleccione Campo Detallado")</f>
        <v>F-C-D-ADM</v>
      </c>
    </row>
    <row r="234" spans="1:8">
      <c r="A234">
        <v>248</v>
      </c>
      <c r="B234" t="s">
        <v>107</v>
      </c>
      <c r="C234" t="str">
        <f>_xlfn.XLOOKUP(TAB_H_ASIG_CON_DET[[#This Row],[ID_CARRERA]],MAE_CARRERA[ID_CARRERA],MAE_CARRERA[NOMBRE_CARRERA],"Seleccione ID Carrera")</f>
        <v>FINANZAS 2024 NS</v>
      </c>
      <c r="D234">
        <v>8</v>
      </c>
      <c r="E234" t="s">
        <v>134</v>
      </c>
      <c r="F234" t="str">
        <f>_xlfn.XLOOKUP(TAB_H_ASIG_CON_DET[[#This Row],[ASIGNATURA]],MAE_ASIGNATURA[NOM_ASIG],MAE_ASIGNATURA[ID_ASIG],"Seleccione Asignatura")</f>
        <v>FCACC-FINA-NI-8-SISTE-DE -INF</v>
      </c>
      <c r="G234" t="s">
        <v>29</v>
      </c>
      <c r="H234" t="str">
        <f>_xlfn.XLOOKUP(TAB_H_ASIG_CON_DET[[#This Row],[DETALLADO]],MAE_CONOCIMIENTO[CAMPO_DETALLADO],MAE_CONOCIMIENTO[ID_DDETALLADO],"Seleccione Campo Detallado")</f>
        <v>F-C-D-GES-FIN</v>
      </c>
    </row>
    <row r="235" spans="1:8">
      <c r="A235">
        <v>249</v>
      </c>
      <c r="B235" t="s">
        <v>107</v>
      </c>
      <c r="C235" t="str">
        <f>_xlfn.XLOOKUP(TAB_H_ASIG_CON_DET[[#This Row],[ID_CARRERA]],MAE_CARRERA[ID_CARRERA],MAE_CARRERA[NOMBRE_CARRERA],"Seleccione ID Carrera")</f>
        <v>FINANZAS 2024 NS</v>
      </c>
      <c r="D235">
        <v>8</v>
      </c>
      <c r="E235" t="s">
        <v>134</v>
      </c>
      <c r="F235" t="str">
        <f>_xlfn.XLOOKUP(TAB_H_ASIG_CON_DET[[#This Row],[ASIGNATURA]],MAE_ASIGNATURA[NOM_ASIG],MAE_ASIGNATURA[ID_ASIG],"Seleccione Asignatura")</f>
        <v>FCACC-FINA-NI-8-SISTE-DE -INF</v>
      </c>
      <c r="G235" t="s">
        <v>13</v>
      </c>
      <c r="H235" t="str">
        <f>_xlfn.XLOOKUP(TAB_H_ASIG_CON_DET[[#This Row],[DETALLADO]],MAE_CONOCIMIENTO[CAMPO_DETALLADO],MAE_CONOCIMIENTO[ID_DDETALLADO],"Seleccione Campo Detallado")</f>
        <v>F-C-D-ADM</v>
      </c>
    </row>
    <row r="236" spans="1:8">
      <c r="A236">
        <v>250</v>
      </c>
      <c r="B236" t="s">
        <v>107</v>
      </c>
      <c r="C236" t="str">
        <f>_xlfn.XLOOKUP(TAB_H_ASIG_CON_DET[[#This Row],[ID_CARRERA]],MAE_CARRERA[ID_CARRERA],MAE_CARRERA[NOMBRE_CARRERA],"Seleccione ID Carrera")</f>
        <v>FINANZAS 2024 NS</v>
      </c>
      <c r="D236">
        <v>8</v>
      </c>
      <c r="E236" t="s">
        <v>40</v>
      </c>
      <c r="F236" t="str">
        <f>_xlfn.XLOOKUP(TAB_H_ASIG_CON_DET[[#This Row],[ASIGNATURA]],MAE_ASIGNATURA[NOM_ASIG],MAE_ASIGNATURA[ID_ASIG],"Seleccione Asignatura")</f>
        <v>FCACC-CO-AD-NI-6-CONTA-GUB</v>
      </c>
      <c r="G236" t="s">
        <v>27</v>
      </c>
      <c r="H236" t="str">
        <f>_xlfn.XLOOKUP(TAB_H_ASIG_CON_DET[[#This Row],[DETALLADO]],MAE_CONOCIMIENTO[CAMPO_DETALLADO],MAE_CONOCIMIENTO[ID_DDETALLADO],"Seleccione Campo Detallado")</f>
        <v>F-C-D-CON-Y A-AUD</v>
      </c>
    </row>
    <row r="237" spans="1:8">
      <c r="A237">
        <v>251</v>
      </c>
      <c r="B237" t="s">
        <v>107</v>
      </c>
      <c r="C237" t="str">
        <f>_xlfn.XLOOKUP(TAB_H_ASIG_CON_DET[[#This Row],[ID_CARRERA]],MAE_CARRERA[ID_CARRERA],MAE_CARRERA[NOMBRE_CARRERA],"Seleccione ID Carrera")</f>
        <v>FINANZAS 2024 NS</v>
      </c>
      <c r="D237">
        <v>8</v>
      </c>
      <c r="E237" t="s">
        <v>40</v>
      </c>
      <c r="F237" t="str">
        <f>_xlfn.XLOOKUP(TAB_H_ASIG_CON_DET[[#This Row],[ASIGNATURA]],MAE_ASIGNATURA[NOM_ASIG],MAE_ASIGNATURA[ID_ASIG],"Seleccione Asignatura")</f>
        <v>FCACC-CO-AD-NI-6-CONTA-GUB</v>
      </c>
      <c r="G237" t="s">
        <v>29</v>
      </c>
      <c r="H237" t="str">
        <f>_xlfn.XLOOKUP(TAB_H_ASIG_CON_DET[[#This Row],[DETALLADO]],MAE_CONOCIMIENTO[CAMPO_DETALLADO],MAE_CONOCIMIENTO[ID_DDETALLADO],"Seleccione Campo Detallado")</f>
        <v>F-C-D-GES-FIN</v>
      </c>
    </row>
    <row r="238" spans="1:8">
      <c r="A238">
        <v>252</v>
      </c>
      <c r="B238" t="s">
        <v>107</v>
      </c>
      <c r="C238" t="str">
        <f>_xlfn.XLOOKUP(TAB_H_ASIG_CON_DET[[#This Row],[ID_CARRERA]],MAE_CARRERA[ID_CARRERA],MAE_CARRERA[NOMBRE_CARRERA],"Seleccione ID Carrera")</f>
        <v>FINANZAS 2024 NS</v>
      </c>
      <c r="D238">
        <v>8</v>
      </c>
      <c r="E238" t="s">
        <v>40</v>
      </c>
      <c r="F238" t="str">
        <f>_xlfn.XLOOKUP(TAB_H_ASIG_CON_DET[[#This Row],[ASIGNATURA]],MAE_ASIGNATURA[NOM_ASIG],MAE_ASIGNATURA[ID_ASIG],"Seleccione Asignatura")</f>
        <v>FCACC-CO-AD-NI-6-CONTA-GUB</v>
      </c>
      <c r="G238" t="s">
        <v>13</v>
      </c>
      <c r="H238" t="str">
        <f>_xlfn.XLOOKUP(TAB_H_ASIG_CON_DET[[#This Row],[DETALLADO]],MAE_CONOCIMIENTO[CAMPO_DETALLADO],MAE_CONOCIMIENTO[ID_DDETALLADO],"Seleccione Campo Detallado")</f>
        <v>F-C-D-ADM</v>
      </c>
    </row>
    <row r="239" spans="1:8">
      <c r="A239">
        <v>253</v>
      </c>
      <c r="B239" t="s">
        <v>107</v>
      </c>
      <c r="C239" t="str">
        <f>_xlfn.XLOOKUP(TAB_H_ASIG_CON_DET[[#This Row],[ID_CARRERA]],MAE_CARRERA[ID_CARRERA],MAE_CARRERA[NOMBRE_CARRERA],"Seleccione ID Carrera")</f>
        <v>FINANZAS 2024 NS</v>
      </c>
      <c r="D239">
        <v>8</v>
      </c>
      <c r="E239" t="s">
        <v>135</v>
      </c>
      <c r="F239" t="str">
        <f>_xlfn.XLOOKUP(TAB_H_ASIG_CON_DET[[#This Row],[ASIGNATURA]],MAE_ASIGNATURA[NOM_ASIG],MAE_ASIGNATURA[ID_ASIG],"Seleccione Asignatura")</f>
        <v>FCACC-FINA-NI-8-FINAN-DE -INV</v>
      </c>
      <c r="G239" t="s">
        <v>27</v>
      </c>
      <c r="H239" t="str">
        <f>_xlfn.XLOOKUP(TAB_H_ASIG_CON_DET[[#This Row],[DETALLADO]],MAE_CONOCIMIENTO[CAMPO_DETALLADO],MAE_CONOCIMIENTO[ID_DDETALLADO],"Seleccione Campo Detallado")</f>
        <v>F-C-D-CON-Y A-AUD</v>
      </c>
    </row>
    <row r="240" spans="1:8">
      <c r="A240">
        <v>254</v>
      </c>
      <c r="B240" t="s">
        <v>107</v>
      </c>
      <c r="C240" t="str">
        <f>_xlfn.XLOOKUP(TAB_H_ASIG_CON_DET[[#This Row],[ID_CARRERA]],MAE_CARRERA[ID_CARRERA],MAE_CARRERA[NOMBRE_CARRERA],"Seleccione ID Carrera")</f>
        <v>FINANZAS 2024 NS</v>
      </c>
      <c r="D240">
        <v>8</v>
      </c>
      <c r="E240" t="s">
        <v>135</v>
      </c>
      <c r="F240" t="str">
        <f>_xlfn.XLOOKUP(TAB_H_ASIG_CON_DET[[#This Row],[ASIGNATURA]],MAE_ASIGNATURA[NOM_ASIG],MAE_ASIGNATURA[ID_ASIG],"Seleccione Asignatura")</f>
        <v>FCACC-FINA-NI-8-FINAN-DE -INV</v>
      </c>
      <c r="G240" t="s">
        <v>29</v>
      </c>
      <c r="H240" t="str">
        <f>_xlfn.XLOOKUP(TAB_H_ASIG_CON_DET[[#This Row],[DETALLADO]],MAE_CONOCIMIENTO[CAMPO_DETALLADO],MAE_CONOCIMIENTO[ID_DDETALLADO],"Seleccione Campo Detallado")</f>
        <v>F-C-D-GES-FIN</v>
      </c>
    </row>
    <row r="241" spans="1:8">
      <c r="A241">
        <v>255</v>
      </c>
      <c r="B241" t="s">
        <v>107</v>
      </c>
      <c r="C241" t="str">
        <f>_xlfn.XLOOKUP(TAB_H_ASIG_CON_DET[[#This Row],[ID_CARRERA]],MAE_CARRERA[ID_CARRERA],MAE_CARRERA[NOMBRE_CARRERA],"Seleccione ID Carrera")</f>
        <v>FINANZAS 2024 NS</v>
      </c>
      <c r="D241">
        <v>8</v>
      </c>
      <c r="E241" t="s">
        <v>135</v>
      </c>
      <c r="F241" t="str">
        <f>_xlfn.XLOOKUP(TAB_H_ASIG_CON_DET[[#This Row],[ASIGNATURA]],MAE_ASIGNATURA[NOM_ASIG],MAE_ASIGNATURA[ID_ASIG],"Seleccione Asignatura")</f>
        <v>FCACC-FINA-NI-8-FINAN-DE -INV</v>
      </c>
      <c r="G241" t="s">
        <v>13</v>
      </c>
      <c r="H241" t="str">
        <f>_xlfn.XLOOKUP(TAB_H_ASIG_CON_DET[[#This Row],[DETALLADO]],MAE_CONOCIMIENTO[CAMPO_DETALLADO],MAE_CONOCIMIENTO[ID_DDETALLADO],"Seleccione Campo Detallado")</f>
        <v>F-C-D-ADM</v>
      </c>
    </row>
    <row r="242" spans="1:8">
      <c r="A242">
        <v>256</v>
      </c>
      <c r="B242" t="s">
        <v>107</v>
      </c>
      <c r="C242" t="str">
        <f>_xlfn.XLOOKUP(TAB_H_ASIG_CON_DET[[#This Row],[ID_CARRERA]],MAE_CARRERA[ID_CARRERA],MAE_CARRERA[NOMBRE_CARRERA],"Seleccione ID Carrera")</f>
        <v>FINANZAS 2024 NS</v>
      </c>
      <c r="D242">
        <v>8</v>
      </c>
      <c r="E242" t="s">
        <v>136</v>
      </c>
      <c r="F242" t="str">
        <f>_xlfn.XLOOKUP(TAB_H_ASIG_CON_DET[[#This Row],[ASIGNATURA]],MAE_ASIGNATURA[NOM_ASIG],MAE_ASIGNATURA[ID_ASIG],"Seleccione Asignatura")</f>
        <v>FCACC-FINA-NI-8-VALOR-DE -EMP</v>
      </c>
      <c r="G242" t="s">
        <v>27</v>
      </c>
      <c r="H242" t="str">
        <f>_xlfn.XLOOKUP(TAB_H_ASIG_CON_DET[[#This Row],[DETALLADO]],MAE_CONOCIMIENTO[CAMPO_DETALLADO],MAE_CONOCIMIENTO[ID_DDETALLADO],"Seleccione Campo Detallado")</f>
        <v>F-C-D-CON-Y A-AUD</v>
      </c>
    </row>
    <row r="243" spans="1:8">
      <c r="A243">
        <v>257</v>
      </c>
      <c r="B243" t="s">
        <v>107</v>
      </c>
      <c r="C243" t="str">
        <f>_xlfn.XLOOKUP(TAB_H_ASIG_CON_DET[[#This Row],[ID_CARRERA]],MAE_CARRERA[ID_CARRERA],MAE_CARRERA[NOMBRE_CARRERA],"Seleccione ID Carrera")</f>
        <v>FINANZAS 2024 NS</v>
      </c>
      <c r="D243">
        <v>8</v>
      </c>
      <c r="E243" t="s">
        <v>136</v>
      </c>
      <c r="F243" t="str">
        <f>_xlfn.XLOOKUP(TAB_H_ASIG_CON_DET[[#This Row],[ASIGNATURA]],MAE_ASIGNATURA[NOM_ASIG],MAE_ASIGNATURA[ID_ASIG],"Seleccione Asignatura")</f>
        <v>FCACC-FINA-NI-8-VALOR-DE -EMP</v>
      </c>
      <c r="G243" t="s">
        <v>29</v>
      </c>
      <c r="H243" t="str">
        <f>_xlfn.XLOOKUP(TAB_H_ASIG_CON_DET[[#This Row],[DETALLADO]],MAE_CONOCIMIENTO[CAMPO_DETALLADO],MAE_CONOCIMIENTO[ID_DDETALLADO],"Seleccione Campo Detallado")</f>
        <v>F-C-D-GES-FIN</v>
      </c>
    </row>
    <row r="244" spans="1:8">
      <c r="A244">
        <v>258</v>
      </c>
      <c r="B244" t="s">
        <v>107</v>
      </c>
      <c r="C244" t="str">
        <f>_xlfn.XLOOKUP(TAB_H_ASIG_CON_DET[[#This Row],[ID_CARRERA]],MAE_CARRERA[ID_CARRERA],MAE_CARRERA[NOMBRE_CARRERA],"Seleccione ID Carrera")</f>
        <v>FINANZAS 2024 NS</v>
      </c>
      <c r="D244">
        <v>8</v>
      </c>
      <c r="E244" t="s">
        <v>136</v>
      </c>
      <c r="F244" t="str">
        <f>_xlfn.XLOOKUP(TAB_H_ASIG_CON_DET[[#This Row],[ASIGNATURA]],MAE_ASIGNATURA[NOM_ASIG],MAE_ASIGNATURA[ID_ASIG],"Seleccione Asignatura")</f>
        <v>FCACC-FINA-NI-8-VALOR-DE -EMP</v>
      </c>
      <c r="G244" t="s">
        <v>13</v>
      </c>
      <c r="H244" t="str">
        <f>_xlfn.XLOOKUP(TAB_H_ASIG_CON_DET[[#This Row],[DETALLADO]],MAE_CONOCIMIENTO[CAMPO_DETALLADO],MAE_CONOCIMIENTO[ID_DDETALLADO],"Seleccione Campo Detallado")</f>
        <v>F-C-D-ADM</v>
      </c>
    </row>
    <row r="245" spans="1:8">
      <c r="A245">
        <v>259</v>
      </c>
      <c r="B245" t="s">
        <v>50</v>
      </c>
      <c r="C245" t="str">
        <f>_xlfn.XLOOKUP(TAB_H_ASIG_CON_DET[[#This Row],[ID_CARRERA]],MAE_CARRERA[ID_CARRERA],MAE_CARRERA[NOMBRE_CARRERA],"Seleccione ID Carrera")</f>
        <v>Titulación</v>
      </c>
      <c r="D245">
        <v>7</v>
      </c>
      <c r="E245" t="s">
        <v>137</v>
      </c>
      <c r="F245" t="str">
        <f>_xlfn.XLOOKUP(TAB_H_ASIG_CON_DET[[#This Row],[ASIGNATURA]],MAE_ASIGNATURA[NOM_ASIG],MAE_ASIGNATURA[ID_ASIG],"Seleccione Asignatura")</f>
        <v>FCACC-8-TITU-NI-7-Traba-de -int</v>
      </c>
      <c r="G245" t="s">
        <v>27</v>
      </c>
      <c r="H245" t="str">
        <f>_xlfn.XLOOKUP(TAB_H_ASIG_CON_DET[[#This Row],[DETALLADO]],MAE_CONOCIMIENTO[CAMPO_DETALLADO],MAE_CONOCIMIENTO[ID_DDETALLADO],"Seleccione Campo Detallado")</f>
        <v>F-C-D-CON-Y A-AUD</v>
      </c>
    </row>
    <row r="246" spans="1:8" ht="30.75">
      <c r="A246">
        <v>260</v>
      </c>
      <c r="B246" t="s">
        <v>50</v>
      </c>
      <c r="C246" t="str">
        <f>_xlfn.XLOOKUP(TAB_H_ASIG_CON_DET[[#This Row],[ID_CARRERA]],MAE_CARRERA[ID_CARRERA],MAE_CARRERA[NOMBRE_CARRERA],"Seleccione ID Carrera")</f>
        <v>Titulación</v>
      </c>
      <c r="D246">
        <v>7</v>
      </c>
      <c r="E246" s="2" t="s">
        <v>138</v>
      </c>
      <c r="F246" t="str">
        <f>_xlfn.XLOOKUP(TAB_H_ASIG_CON_DET[[#This Row],[ASIGNATURA]],MAE_ASIGNATURA[NOM_ASIG],MAE_ASIGNATURA[ID_ASIG],"Seleccione Asignatura")</f>
        <v>FCACC-8-TITU-NI-8-Traba-de -int</v>
      </c>
      <c r="G246" t="s">
        <v>29</v>
      </c>
      <c r="H246" t="str">
        <f>_xlfn.XLOOKUP(TAB_H_ASIG_CON_DET[[#This Row],[DETALLADO]],MAE_CONOCIMIENTO[CAMPO_DETALLADO],MAE_CONOCIMIENTO[ID_DDETALLADO],"Seleccione Campo Detallado")</f>
        <v>F-C-D-GES-FIN</v>
      </c>
    </row>
    <row r="247" spans="1:8" ht="30.75">
      <c r="A247">
        <v>262</v>
      </c>
      <c r="B247" t="s">
        <v>50</v>
      </c>
      <c r="C247" t="str">
        <f>_xlfn.XLOOKUP(TAB_H_ASIG_CON_DET[[#This Row],[ID_CARRERA]],MAE_CARRERA[ID_CARRERA],MAE_CARRERA[NOMBRE_CARRERA],"Seleccione ID Carrera")</f>
        <v>Titulación</v>
      </c>
      <c r="D247">
        <v>7</v>
      </c>
      <c r="E247" s="2" t="s">
        <v>138</v>
      </c>
      <c r="F247" t="str">
        <f>_xlfn.XLOOKUP(TAB_H_ASIG_CON_DET[[#This Row],[ASIGNATURA]],MAE_ASIGNATURA[NOM_ASIG],MAE_ASIGNATURA[ID_ASIG],"Seleccione Asignatura")</f>
        <v>FCACC-8-TITU-NI-8-Traba-de -int</v>
      </c>
      <c r="G247" t="s">
        <v>13</v>
      </c>
      <c r="H247" t="str">
        <f>_xlfn.XLOOKUP(TAB_H_ASIG_CON_DET[[#This Row],[DETALLADO]],MAE_CONOCIMIENTO[CAMPO_DETALLADO],MAE_CONOCIMIENTO[ID_DDETALLADO],"Seleccione Campo Detallado")</f>
        <v>F-C-D-ADM</v>
      </c>
    </row>
    <row r="248" spans="1:8" ht="30.75">
      <c r="A248">
        <v>263</v>
      </c>
      <c r="B248" t="s">
        <v>50</v>
      </c>
      <c r="C248" t="str">
        <f>_xlfn.XLOOKUP(TAB_H_ASIG_CON_DET[[#This Row],[ID_CARRERA]],MAE_CARRERA[ID_CARRERA],MAE_CARRERA[NOMBRE_CARRERA],"Seleccione ID Carrera")</f>
        <v>Titulación</v>
      </c>
      <c r="D248">
        <v>8</v>
      </c>
      <c r="E248" s="2" t="s">
        <v>138</v>
      </c>
      <c r="F248" t="str">
        <f>_xlfn.XLOOKUP(TAB_H_ASIG_CON_DET[[#This Row],[ASIGNATURA]],MAE_ASIGNATURA[NOM_ASIG],MAE_ASIGNATURA[ID_ASIG],"Seleccione Asignatura")</f>
        <v>FCACC-8-TITU-NI-8-Traba-de -int</v>
      </c>
      <c r="G248" t="s">
        <v>27</v>
      </c>
      <c r="H248" t="str">
        <f>_xlfn.XLOOKUP(TAB_H_ASIG_CON_DET[[#This Row],[DETALLADO]],MAE_CONOCIMIENTO[CAMPO_DETALLADO],MAE_CONOCIMIENTO[ID_DDETALLADO],"Seleccione Campo Detallado")</f>
        <v>F-C-D-CON-Y A-AUD</v>
      </c>
    </row>
    <row r="249" spans="1:8" ht="30.75">
      <c r="A249">
        <v>264</v>
      </c>
      <c r="B249" t="s">
        <v>50</v>
      </c>
      <c r="C249" t="str">
        <f>_xlfn.XLOOKUP(TAB_H_ASIG_CON_DET[[#This Row],[ID_CARRERA]],MAE_CARRERA[ID_CARRERA],MAE_CARRERA[NOMBRE_CARRERA],"Seleccione ID Carrera")</f>
        <v>Titulación</v>
      </c>
      <c r="D249">
        <v>8</v>
      </c>
      <c r="E249" s="2" t="s">
        <v>138</v>
      </c>
      <c r="F249" t="str">
        <f>_xlfn.XLOOKUP(TAB_H_ASIG_CON_DET[[#This Row],[ASIGNATURA]],MAE_ASIGNATURA[NOM_ASIG],MAE_ASIGNATURA[ID_ASIG],"Seleccione Asignatura")</f>
        <v>FCACC-8-TITU-NI-8-Traba-de -int</v>
      </c>
      <c r="G249" t="s">
        <v>29</v>
      </c>
      <c r="H249" t="str">
        <f>_xlfn.XLOOKUP(TAB_H_ASIG_CON_DET[[#This Row],[DETALLADO]],MAE_CONOCIMIENTO[CAMPO_DETALLADO],MAE_CONOCIMIENTO[ID_DDETALLADO],"Seleccione Campo Detallado")</f>
        <v>F-C-D-GES-FIN</v>
      </c>
    </row>
    <row r="250" spans="1:8" ht="30.75">
      <c r="A250">
        <v>265</v>
      </c>
      <c r="B250" t="s">
        <v>50</v>
      </c>
      <c r="C250" t="str">
        <f>_xlfn.XLOOKUP(TAB_H_ASIG_CON_DET[[#This Row],[ID_CARRERA]],MAE_CARRERA[ID_CARRERA],MAE_CARRERA[NOMBRE_CARRERA],"Seleccione ID Carrera")</f>
        <v>Titulación</v>
      </c>
      <c r="D250">
        <v>8</v>
      </c>
      <c r="E250" s="2" t="s">
        <v>138</v>
      </c>
      <c r="F250" t="str">
        <f>_xlfn.XLOOKUP(TAB_H_ASIG_CON_DET[[#This Row],[ASIGNATURA]],MAE_ASIGNATURA[NOM_ASIG],MAE_ASIGNATURA[ID_ASIG],"Seleccione Asignatura")</f>
        <v>FCACC-8-TITU-NI-8-Traba-de -int</v>
      </c>
      <c r="G250" t="s">
        <v>13</v>
      </c>
      <c r="H250" t="str">
        <f>_xlfn.XLOOKUP(TAB_H_ASIG_CON_DET[[#This Row],[DETALLADO]],MAE_CONOCIMIENTO[CAMPO_DETALLADO],MAE_CONOCIMIENTO[ID_DDETALLADO],"Seleccione Campo Detallado")</f>
        <v>F-C-D-ADM</v>
      </c>
    </row>
    <row r="251" spans="1:8" ht="30.75">
      <c r="A251">
        <v>266</v>
      </c>
      <c r="C251" s="2" t="s">
        <v>139</v>
      </c>
      <c r="F251" t="str">
        <f>_xlfn.XLOOKUP(TAB_H_ASIG_CON_DET[[#This Row],[ASIGNATURA]],MAE_ASIGNATURA[NOM_ASIG],MAE_ASIGNATURA[ID_ASIG],"Seleccione Asignatura")</f>
        <v>Seleccione Asignatura</v>
      </c>
      <c r="H251" t="str">
        <f>_xlfn.XLOOKUP(TAB_H_ASIG_CON_DET[[#This Row],[DETALLADO]],MAE_CONOCIMIENTO[CAMPO_DETALLADO],MAE_CONOCIMIENTO[ID_DDETALLADO],"Seleccione Campo Detallado")</f>
        <v>F-C-D-</v>
      </c>
    </row>
    <row r="252" spans="1:8">
      <c r="A252">
        <v>267</v>
      </c>
      <c r="C252" t="str">
        <f>_xlfn.XLOOKUP(TAB_H_ASIG_CON_DET[[#This Row],[ID_CARRERA]],MAE_CARRERA[ID_CARRERA],MAE_CARRERA[NOMBRE_CARRERA],"Seleccione ID Carrera")</f>
        <v>Seleccione ID Carrera</v>
      </c>
      <c r="F252" t="str">
        <f>_xlfn.XLOOKUP(TAB_H_ASIG_CON_DET[[#This Row],[ASIGNATURA]],MAE_ASIGNATURA[NOM_ASIG],MAE_ASIGNATURA[ID_ASIG],"Seleccione Asignatura")</f>
        <v>Seleccione Asignatura</v>
      </c>
      <c r="H252" t="str">
        <f>_xlfn.XLOOKUP(TAB_H_ASIG_CON_DET[[#This Row],[DETALLADO]],MAE_CONOCIMIENTO[CAMPO_DETALLADO],MAE_CONOCIMIENTO[ID_DDETALLADO],"Seleccione Campo Detallado")</f>
        <v>F-C-D-</v>
      </c>
    </row>
    <row r="253" spans="1:8">
      <c r="A253">
        <v>268</v>
      </c>
      <c r="C253" t="str">
        <f>_xlfn.XLOOKUP(TAB_H_ASIG_CON_DET[[#This Row],[ID_CARRERA]],MAE_CARRERA[ID_CARRERA],MAE_CARRERA[NOMBRE_CARRERA],"Seleccione ID Carrera")</f>
        <v>Seleccione ID Carrera</v>
      </c>
      <c r="F253" t="str">
        <f>_xlfn.XLOOKUP(TAB_H_ASIG_CON_DET[[#This Row],[ASIGNATURA]],MAE_ASIGNATURA[NOM_ASIG],MAE_ASIGNATURA[ID_ASIG],"Seleccione Asignatura")</f>
        <v>Seleccione Asignatura</v>
      </c>
      <c r="H253" t="str">
        <f>_xlfn.XLOOKUP(TAB_H_ASIG_CON_DET[[#This Row],[DETALLADO]],MAE_CONOCIMIENTO[CAMPO_DETALLADO],MAE_CONOCIMIENTO[ID_DDETALLADO],"Seleccione Campo Detallado")</f>
        <v>F-C-D-</v>
      </c>
    </row>
    <row r="254" spans="1:8">
      <c r="A254">
        <v>269</v>
      </c>
      <c r="C254" t="str">
        <f>_xlfn.XLOOKUP(TAB_H_ASIG_CON_DET[[#This Row],[ID_CARRERA]],MAE_CARRERA[ID_CARRERA],MAE_CARRERA[NOMBRE_CARRERA],"Seleccione ID Carrera")</f>
        <v>Seleccione ID Carrera</v>
      </c>
      <c r="F254" t="str">
        <f>_xlfn.XLOOKUP(TAB_H_ASIG_CON_DET[[#This Row],[ASIGNATURA]],MAE_ASIGNATURA[NOM_ASIG],MAE_ASIGNATURA[ID_ASIG],"Seleccione Asignatura")</f>
        <v>Seleccione Asignatura</v>
      </c>
      <c r="H254" t="str">
        <f>_xlfn.XLOOKUP(TAB_H_ASIG_CON_DET[[#This Row],[DETALLADO]],MAE_CONOCIMIENTO[CAMPO_DETALLADO],MAE_CONOCIMIENTO[ID_DDETALLADO],"Seleccione Campo Detallado")</f>
        <v>F-C-D-</v>
      </c>
    </row>
    <row r="255" spans="1:8">
      <c r="A255">
        <v>270</v>
      </c>
      <c r="C255" t="str">
        <f>_xlfn.XLOOKUP(TAB_H_ASIG_CON_DET[[#This Row],[ID_CARRERA]],MAE_CARRERA[ID_CARRERA],MAE_CARRERA[NOMBRE_CARRERA],"Seleccione ID Carrera")</f>
        <v>Seleccione ID Carrera</v>
      </c>
      <c r="F255" t="str">
        <f>_xlfn.XLOOKUP(TAB_H_ASIG_CON_DET[[#This Row],[ASIGNATURA]],MAE_ASIGNATURA[NOM_ASIG],MAE_ASIGNATURA[ID_ASIG],"Seleccione Asignatura")</f>
        <v>Seleccione Asignatura</v>
      </c>
      <c r="H255" t="str">
        <f>_xlfn.XLOOKUP(TAB_H_ASIG_CON_DET[[#This Row],[DETALLADO]],MAE_CONOCIMIENTO[CAMPO_DETALLADO],MAE_CONOCIMIENTO[ID_DDETALLADO],"Seleccione Campo Detallado")</f>
        <v>F-C-D-</v>
      </c>
    </row>
    <row r="256" spans="1:8">
      <c r="A256">
        <v>271</v>
      </c>
      <c r="C256" t="str">
        <f>_xlfn.XLOOKUP(TAB_H_ASIG_CON_DET[[#This Row],[ID_CARRERA]],MAE_CARRERA[ID_CARRERA],MAE_CARRERA[NOMBRE_CARRERA],"Seleccione ID Carrera")</f>
        <v>Seleccione ID Carrera</v>
      </c>
      <c r="F256" t="str">
        <f>_xlfn.XLOOKUP(TAB_H_ASIG_CON_DET[[#This Row],[ASIGNATURA]],MAE_ASIGNATURA[NOM_ASIG],MAE_ASIGNATURA[ID_ASIG],"Seleccione Asignatura")</f>
        <v>Seleccione Asignatura</v>
      </c>
      <c r="H256" t="str">
        <f>_xlfn.XLOOKUP(TAB_H_ASIG_CON_DET[[#This Row],[DETALLADO]],MAE_CONOCIMIENTO[CAMPO_DETALLADO],MAE_CONOCIMIENTO[ID_DDETALLADO],"Seleccione Campo Detallado")</f>
        <v>F-C-D-</v>
      </c>
    </row>
    <row r="257" spans="1:8">
      <c r="A257">
        <v>272</v>
      </c>
      <c r="C257" t="str">
        <f>_xlfn.XLOOKUP(TAB_H_ASIG_CON_DET[[#This Row],[ID_CARRERA]],MAE_CARRERA[ID_CARRERA],MAE_CARRERA[NOMBRE_CARRERA],"Seleccione ID Carrera")</f>
        <v>Seleccione ID Carrera</v>
      </c>
      <c r="F257" t="str">
        <f>_xlfn.XLOOKUP(TAB_H_ASIG_CON_DET[[#This Row],[ASIGNATURA]],MAE_ASIGNATURA[NOM_ASIG],MAE_ASIGNATURA[ID_ASIG],"Seleccione Asignatura")</f>
        <v>Seleccione Asignatura</v>
      </c>
      <c r="H257" t="str">
        <f>_xlfn.XLOOKUP(TAB_H_ASIG_CON_DET[[#This Row],[DETALLADO]],MAE_CONOCIMIENTO[CAMPO_DETALLADO],MAE_CONOCIMIENTO[ID_DDETALLADO],"Seleccione Campo Detallado")</f>
        <v>F-C-D-</v>
      </c>
    </row>
    <row r="258" spans="1:8">
      <c r="A258">
        <v>273</v>
      </c>
      <c r="C258" t="str">
        <f>_xlfn.XLOOKUP(TAB_H_ASIG_CON_DET[[#This Row],[ID_CARRERA]],MAE_CARRERA[ID_CARRERA],MAE_CARRERA[NOMBRE_CARRERA],"Seleccione ID Carrera")</f>
        <v>Seleccione ID Carrera</v>
      </c>
      <c r="F258" t="str">
        <f>_xlfn.XLOOKUP(TAB_H_ASIG_CON_DET[[#This Row],[ASIGNATURA]],MAE_ASIGNATURA[NOM_ASIG],MAE_ASIGNATURA[ID_ASIG],"Seleccione Asignatura")</f>
        <v>Seleccione Asignatura</v>
      </c>
      <c r="H258" t="str">
        <f>_xlfn.XLOOKUP(TAB_H_ASIG_CON_DET[[#This Row],[DETALLADO]],MAE_CONOCIMIENTO[CAMPO_DETALLADO],MAE_CONOCIMIENTO[ID_DDETALLADO],"Seleccione Campo Detallado")</f>
        <v>F-C-D-</v>
      </c>
    </row>
    <row r="259" spans="1:8">
      <c r="A259">
        <v>274</v>
      </c>
      <c r="C259" t="str">
        <f>_xlfn.XLOOKUP(TAB_H_ASIG_CON_DET[[#This Row],[ID_CARRERA]],MAE_CARRERA[ID_CARRERA],MAE_CARRERA[NOMBRE_CARRERA],"Seleccione ID Carrera")</f>
        <v>Seleccione ID Carrera</v>
      </c>
      <c r="F259" t="str">
        <f>_xlfn.XLOOKUP(TAB_H_ASIG_CON_DET[[#This Row],[ASIGNATURA]],MAE_ASIGNATURA[NOM_ASIG],MAE_ASIGNATURA[ID_ASIG],"Seleccione Asignatura")</f>
        <v>Seleccione Asignatura</v>
      </c>
      <c r="H259" t="str">
        <f>_xlfn.XLOOKUP(TAB_H_ASIG_CON_DET[[#This Row],[DETALLADO]],MAE_CONOCIMIENTO[CAMPO_DETALLADO],MAE_CONOCIMIENTO[ID_DDETALLADO],"Seleccione Campo Detallado")</f>
        <v>F-C-D-</v>
      </c>
    </row>
    <row r="260" spans="1:8">
      <c r="A260">
        <v>275</v>
      </c>
      <c r="C260" t="str">
        <f>_xlfn.XLOOKUP(TAB_H_ASIG_CON_DET[[#This Row],[ID_CARRERA]],MAE_CARRERA[ID_CARRERA],MAE_CARRERA[NOMBRE_CARRERA],"Seleccione ID Carrera")</f>
        <v>Seleccione ID Carrera</v>
      </c>
      <c r="F260" t="str">
        <f>_xlfn.XLOOKUP(TAB_H_ASIG_CON_DET[[#This Row],[ASIGNATURA]],MAE_ASIGNATURA[NOM_ASIG],MAE_ASIGNATURA[ID_ASIG],"Seleccione Asignatura")</f>
        <v>Seleccione Asignatura</v>
      </c>
      <c r="H260" t="str">
        <f>_xlfn.XLOOKUP(TAB_H_ASIG_CON_DET[[#This Row],[DETALLADO]],MAE_CONOCIMIENTO[CAMPO_DETALLADO],MAE_CONOCIMIENTO[ID_DDETALLADO],"Seleccione Campo Detallado")</f>
        <v>F-C-D-</v>
      </c>
    </row>
    <row r="261" spans="1:8">
      <c r="A261">
        <v>276</v>
      </c>
      <c r="C261" t="str">
        <f>_xlfn.XLOOKUP(TAB_H_ASIG_CON_DET[[#This Row],[ID_CARRERA]],MAE_CARRERA[ID_CARRERA],MAE_CARRERA[NOMBRE_CARRERA],"Seleccione ID Carrera")</f>
        <v>Seleccione ID Carrera</v>
      </c>
      <c r="F261" t="str">
        <f>_xlfn.XLOOKUP(TAB_H_ASIG_CON_DET[[#This Row],[ASIGNATURA]],MAE_ASIGNATURA[NOM_ASIG],MAE_ASIGNATURA[ID_ASIG],"Seleccione Asignatura")</f>
        <v>Seleccione Asignatura</v>
      </c>
      <c r="H261" t="str">
        <f>_xlfn.XLOOKUP(TAB_H_ASIG_CON_DET[[#This Row],[DETALLADO]],MAE_CONOCIMIENTO[CAMPO_DETALLADO],MAE_CONOCIMIENTO[ID_DDETALLADO],"Seleccione Campo Detallado")</f>
        <v>F-C-D-</v>
      </c>
    </row>
    <row r="262" spans="1:8">
      <c r="A262">
        <v>277</v>
      </c>
      <c r="C262" t="str">
        <f>_xlfn.XLOOKUP(TAB_H_ASIG_CON_DET[[#This Row],[ID_CARRERA]],MAE_CARRERA[ID_CARRERA],MAE_CARRERA[NOMBRE_CARRERA],"Seleccione ID Carrera")</f>
        <v>Seleccione ID Carrera</v>
      </c>
      <c r="F262" t="str">
        <f>_xlfn.XLOOKUP(TAB_H_ASIG_CON_DET[[#This Row],[ASIGNATURA]],MAE_ASIGNATURA[NOM_ASIG],MAE_ASIGNATURA[ID_ASIG],"Seleccione Asignatura")</f>
        <v>Seleccione Asignatura</v>
      </c>
      <c r="H262" t="str">
        <f>_xlfn.XLOOKUP(TAB_H_ASIG_CON_DET[[#This Row],[DETALLADO]],MAE_CONOCIMIENTO[CAMPO_DETALLADO],MAE_CONOCIMIENTO[ID_DDETALLADO],"Seleccione Campo Detallado")</f>
        <v>F-C-D-</v>
      </c>
    </row>
    <row r="263" spans="1:8">
      <c r="A263">
        <v>278</v>
      </c>
      <c r="C263" t="str">
        <f>_xlfn.XLOOKUP(TAB_H_ASIG_CON_DET[[#This Row],[ID_CARRERA]],MAE_CARRERA[ID_CARRERA],MAE_CARRERA[NOMBRE_CARRERA],"Seleccione ID Carrera")</f>
        <v>Seleccione ID Carrera</v>
      </c>
      <c r="F263" t="str">
        <f>_xlfn.XLOOKUP(TAB_H_ASIG_CON_DET[[#This Row],[ASIGNATURA]],MAE_ASIGNATURA[NOM_ASIG],MAE_ASIGNATURA[ID_ASIG],"Seleccione Asignatura")</f>
        <v>Seleccione Asignatura</v>
      </c>
      <c r="H263" t="str">
        <f>_xlfn.XLOOKUP(TAB_H_ASIG_CON_DET[[#This Row],[DETALLADO]],MAE_CONOCIMIENTO[CAMPO_DETALLADO],MAE_CONOCIMIENTO[ID_DDETALLADO],"Seleccione Campo Detallado")</f>
        <v>F-C-D-</v>
      </c>
    </row>
    <row r="264" spans="1:8">
      <c r="A264">
        <v>279</v>
      </c>
      <c r="C264" t="str">
        <f>_xlfn.XLOOKUP(TAB_H_ASIG_CON_DET[[#This Row],[ID_CARRERA]],MAE_CARRERA[ID_CARRERA],MAE_CARRERA[NOMBRE_CARRERA],"Seleccione ID Carrera")</f>
        <v>Seleccione ID Carrera</v>
      </c>
      <c r="F264" t="str">
        <f>_xlfn.XLOOKUP(TAB_H_ASIG_CON_DET[[#This Row],[ASIGNATURA]],MAE_ASIGNATURA[NOM_ASIG],MAE_ASIGNATURA[ID_ASIG],"Seleccione Asignatura")</f>
        <v>Seleccione Asignatura</v>
      </c>
      <c r="H264" t="str">
        <f>_xlfn.XLOOKUP(TAB_H_ASIG_CON_DET[[#This Row],[DETALLADO]],MAE_CONOCIMIENTO[CAMPO_DETALLADO],MAE_CONOCIMIENTO[ID_DDETALLADO],"Seleccione Campo Detallado")</f>
        <v>F-C-D-</v>
      </c>
    </row>
    <row r="265" spans="1:8">
      <c r="A265">
        <v>280</v>
      </c>
      <c r="C265" t="str">
        <f>_xlfn.XLOOKUP(TAB_H_ASIG_CON_DET[[#This Row],[ID_CARRERA]],MAE_CARRERA[ID_CARRERA],MAE_CARRERA[NOMBRE_CARRERA],"Seleccione ID Carrera")</f>
        <v>Seleccione ID Carrera</v>
      </c>
      <c r="F265" t="str">
        <f>_xlfn.XLOOKUP(TAB_H_ASIG_CON_DET[[#This Row],[ASIGNATURA]],MAE_ASIGNATURA[NOM_ASIG],MAE_ASIGNATURA[ID_ASIG],"Seleccione Asignatura")</f>
        <v>Seleccione Asignatura</v>
      </c>
      <c r="H265" t="str">
        <f>_xlfn.XLOOKUP(TAB_H_ASIG_CON_DET[[#This Row],[DETALLADO]],MAE_CONOCIMIENTO[CAMPO_DETALLADO],MAE_CONOCIMIENTO[ID_DDETALLADO],"Seleccione Campo Detallado")</f>
        <v>F-C-D-</v>
      </c>
    </row>
    <row r="266" spans="1:8">
      <c r="A266">
        <v>281</v>
      </c>
      <c r="C266" t="str">
        <f>_xlfn.XLOOKUP(TAB_H_ASIG_CON_DET[[#This Row],[ID_CARRERA]],MAE_CARRERA[ID_CARRERA],MAE_CARRERA[NOMBRE_CARRERA],"Seleccione ID Carrera")</f>
        <v>Seleccione ID Carrera</v>
      </c>
      <c r="F266" t="str">
        <f>_xlfn.XLOOKUP(TAB_H_ASIG_CON_DET[[#This Row],[ASIGNATURA]],MAE_ASIGNATURA[NOM_ASIG],MAE_ASIGNATURA[ID_ASIG],"Seleccione Asignatura")</f>
        <v>Seleccione Asignatura</v>
      </c>
      <c r="H266" t="str">
        <f>_xlfn.XLOOKUP(TAB_H_ASIG_CON_DET[[#This Row],[DETALLADO]],MAE_CONOCIMIENTO[CAMPO_DETALLADO],MAE_CONOCIMIENTO[ID_DDETALLADO],"Seleccione Campo Detallado")</f>
        <v>F-C-D-</v>
      </c>
    </row>
    <row r="267" spans="1:8">
      <c r="A267">
        <v>282</v>
      </c>
      <c r="C267" t="str">
        <f>_xlfn.XLOOKUP(TAB_H_ASIG_CON_DET[[#This Row],[ID_CARRERA]],MAE_CARRERA[ID_CARRERA],MAE_CARRERA[NOMBRE_CARRERA],"Seleccione ID Carrera")</f>
        <v>Seleccione ID Carrera</v>
      </c>
      <c r="F267" t="str">
        <f>_xlfn.XLOOKUP(TAB_H_ASIG_CON_DET[[#This Row],[ASIGNATURA]],MAE_ASIGNATURA[NOM_ASIG],MAE_ASIGNATURA[ID_ASIG],"Seleccione Asignatura")</f>
        <v>Seleccione Asignatura</v>
      </c>
      <c r="H267" t="str">
        <f>_xlfn.XLOOKUP(TAB_H_ASIG_CON_DET[[#This Row],[DETALLADO]],MAE_CONOCIMIENTO[CAMPO_DETALLADO],MAE_CONOCIMIENTO[ID_DDETALLADO],"Seleccione Campo Detallado")</f>
        <v>F-C-D-</v>
      </c>
    </row>
    <row r="268" spans="1:8">
      <c r="A268">
        <v>283</v>
      </c>
      <c r="C268" t="str">
        <f>_xlfn.XLOOKUP(TAB_H_ASIG_CON_DET[[#This Row],[ID_CARRERA]],MAE_CARRERA[ID_CARRERA],MAE_CARRERA[NOMBRE_CARRERA],"Seleccione ID Carrera")</f>
        <v>Seleccione ID Carrera</v>
      </c>
      <c r="F268" t="str">
        <f>_xlfn.XLOOKUP(TAB_H_ASIG_CON_DET[[#This Row],[ASIGNATURA]],MAE_ASIGNATURA[NOM_ASIG],MAE_ASIGNATURA[ID_ASIG],"Seleccione Asignatura")</f>
        <v>Seleccione Asignatura</v>
      </c>
      <c r="H268" t="str">
        <f>_xlfn.XLOOKUP(TAB_H_ASIG_CON_DET[[#This Row],[DETALLADO]],MAE_CONOCIMIENTO[CAMPO_DETALLADO],MAE_CONOCIMIENTO[ID_DDETALLADO],"Seleccione Campo Detallado")</f>
        <v>F-C-D-</v>
      </c>
    </row>
    <row r="269" spans="1:8">
      <c r="A269">
        <v>284</v>
      </c>
      <c r="C269" t="str">
        <f>_xlfn.XLOOKUP(TAB_H_ASIG_CON_DET[[#This Row],[ID_CARRERA]],MAE_CARRERA[ID_CARRERA],MAE_CARRERA[NOMBRE_CARRERA],"Seleccione ID Carrera")</f>
        <v>Seleccione ID Carrera</v>
      </c>
      <c r="F269" t="str">
        <f>_xlfn.XLOOKUP(TAB_H_ASIG_CON_DET[[#This Row],[ASIGNATURA]],MAE_ASIGNATURA[NOM_ASIG],MAE_ASIGNATURA[ID_ASIG],"Seleccione Asignatura")</f>
        <v>Seleccione Asignatura</v>
      </c>
      <c r="H269" t="str">
        <f>_xlfn.XLOOKUP(TAB_H_ASIG_CON_DET[[#This Row],[DETALLADO]],MAE_CONOCIMIENTO[CAMPO_DETALLADO],MAE_CONOCIMIENTO[ID_DDETALLADO],"Seleccione Campo Detallado")</f>
        <v>F-C-D-</v>
      </c>
    </row>
    <row r="270" spans="1:8">
      <c r="A270">
        <v>285</v>
      </c>
      <c r="C270" t="str">
        <f>_xlfn.XLOOKUP(TAB_H_ASIG_CON_DET[[#This Row],[ID_CARRERA]],MAE_CARRERA[ID_CARRERA],MAE_CARRERA[NOMBRE_CARRERA],"Seleccione ID Carrera")</f>
        <v>Seleccione ID Carrera</v>
      </c>
      <c r="F270" t="str">
        <f>_xlfn.XLOOKUP(TAB_H_ASIG_CON_DET[[#This Row],[ASIGNATURA]],MAE_ASIGNATURA[NOM_ASIG],MAE_ASIGNATURA[ID_ASIG],"Seleccione Asignatura")</f>
        <v>Seleccione Asignatura</v>
      </c>
      <c r="H270" t="str">
        <f>_xlfn.XLOOKUP(TAB_H_ASIG_CON_DET[[#This Row],[DETALLADO]],MAE_CONOCIMIENTO[CAMPO_DETALLADO],MAE_CONOCIMIENTO[ID_DDETALLADO],"Seleccione Campo Detallado")</f>
        <v>F-C-D-</v>
      </c>
    </row>
    <row r="271" spans="1:8">
      <c r="A271">
        <v>286</v>
      </c>
      <c r="C271" t="str">
        <f>_xlfn.XLOOKUP(TAB_H_ASIG_CON_DET[[#This Row],[ID_CARRERA]],MAE_CARRERA[ID_CARRERA],MAE_CARRERA[NOMBRE_CARRERA],"Seleccione ID Carrera")</f>
        <v>Seleccione ID Carrera</v>
      </c>
      <c r="F271" t="str">
        <f>_xlfn.XLOOKUP(TAB_H_ASIG_CON_DET[[#This Row],[ASIGNATURA]],MAE_ASIGNATURA[NOM_ASIG],MAE_ASIGNATURA[ID_ASIG],"Seleccione Asignatura")</f>
        <v>Seleccione Asignatura</v>
      </c>
      <c r="H271" t="str">
        <f>_xlfn.XLOOKUP(TAB_H_ASIG_CON_DET[[#This Row],[DETALLADO]],MAE_CONOCIMIENTO[CAMPO_DETALLADO],MAE_CONOCIMIENTO[ID_DDETALLADO],"Seleccione Campo Detallado")</f>
        <v>F-C-D-</v>
      </c>
    </row>
    <row r="272" spans="1:8">
      <c r="A272">
        <v>287</v>
      </c>
      <c r="C272" t="str">
        <f>_xlfn.XLOOKUP(TAB_H_ASIG_CON_DET[[#This Row],[ID_CARRERA]],MAE_CARRERA[ID_CARRERA],MAE_CARRERA[NOMBRE_CARRERA],"Seleccione ID Carrera")</f>
        <v>Seleccione ID Carrera</v>
      </c>
      <c r="F272" t="str">
        <f>_xlfn.XLOOKUP(TAB_H_ASIG_CON_DET[[#This Row],[ASIGNATURA]],MAE_ASIGNATURA[NOM_ASIG],MAE_ASIGNATURA[ID_ASIG],"Seleccione Asignatura")</f>
        <v>Seleccione Asignatura</v>
      </c>
      <c r="H272" t="str">
        <f>_xlfn.XLOOKUP(TAB_H_ASIG_CON_DET[[#This Row],[DETALLADO]],MAE_CONOCIMIENTO[CAMPO_DETALLADO],MAE_CONOCIMIENTO[ID_DDETALLADO],"Seleccione Campo Detallado")</f>
        <v>F-C-D-</v>
      </c>
    </row>
    <row r="273" spans="1:8">
      <c r="A273">
        <v>288</v>
      </c>
      <c r="C273" t="str">
        <f>_xlfn.XLOOKUP(TAB_H_ASIG_CON_DET[[#This Row],[ID_CARRERA]],MAE_CARRERA[ID_CARRERA],MAE_CARRERA[NOMBRE_CARRERA],"Seleccione ID Carrera")</f>
        <v>Seleccione ID Carrera</v>
      </c>
      <c r="F273" t="str">
        <f>_xlfn.XLOOKUP(TAB_H_ASIG_CON_DET[[#This Row],[ASIGNATURA]],MAE_ASIGNATURA[NOM_ASIG],MAE_ASIGNATURA[ID_ASIG],"Seleccione Asignatura")</f>
        <v>Seleccione Asignatura</v>
      </c>
      <c r="H273" t="str">
        <f>_xlfn.XLOOKUP(TAB_H_ASIG_CON_DET[[#This Row],[DETALLADO]],MAE_CONOCIMIENTO[CAMPO_DETALLADO],MAE_CONOCIMIENTO[ID_DDETALLADO],"Seleccione Campo Detallado")</f>
        <v>F-C-D-</v>
      </c>
    </row>
    <row r="274" spans="1:8">
      <c r="A274">
        <v>289</v>
      </c>
      <c r="C274" t="str">
        <f>_xlfn.XLOOKUP(TAB_H_ASIG_CON_DET[[#This Row],[ID_CARRERA]],MAE_CARRERA[ID_CARRERA],MAE_CARRERA[NOMBRE_CARRERA],"Seleccione ID Carrera")</f>
        <v>Seleccione ID Carrera</v>
      </c>
      <c r="F274" t="str">
        <f>_xlfn.XLOOKUP(TAB_H_ASIG_CON_DET[[#This Row],[ASIGNATURA]],MAE_ASIGNATURA[NOM_ASIG],MAE_ASIGNATURA[ID_ASIG],"Seleccione Asignatura")</f>
        <v>Seleccione Asignatura</v>
      </c>
      <c r="H274" t="str">
        <f>_xlfn.XLOOKUP(TAB_H_ASIG_CON_DET[[#This Row],[DETALLADO]],MAE_CONOCIMIENTO[CAMPO_DETALLADO],MAE_CONOCIMIENTO[ID_DDETALLADO],"Seleccione Campo Detallado")</f>
        <v>F-C-D-</v>
      </c>
    </row>
    <row r="275" spans="1:8">
      <c r="A275">
        <v>290</v>
      </c>
      <c r="C275" t="str">
        <f>_xlfn.XLOOKUP(TAB_H_ASIG_CON_DET[[#This Row],[ID_CARRERA]],MAE_CARRERA[ID_CARRERA],MAE_CARRERA[NOMBRE_CARRERA],"Seleccione ID Carrera")</f>
        <v>Seleccione ID Carrera</v>
      </c>
      <c r="F275" t="str">
        <f>_xlfn.XLOOKUP(TAB_H_ASIG_CON_DET[[#This Row],[ASIGNATURA]],MAE_ASIGNATURA[NOM_ASIG],MAE_ASIGNATURA[ID_ASIG],"Seleccione Asignatura")</f>
        <v>Seleccione Asignatura</v>
      </c>
      <c r="H275" t="str">
        <f>_xlfn.XLOOKUP(TAB_H_ASIG_CON_DET[[#This Row],[DETALLADO]],MAE_CONOCIMIENTO[CAMPO_DETALLADO],MAE_CONOCIMIENTO[ID_DDETALLADO],"Seleccione Campo Detallado")</f>
        <v>F-C-D-</v>
      </c>
    </row>
    <row r="276" spans="1:8">
      <c r="A276">
        <v>291</v>
      </c>
      <c r="C276" t="str">
        <f>_xlfn.XLOOKUP(TAB_H_ASIG_CON_DET[[#This Row],[ID_CARRERA]],MAE_CARRERA[ID_CARRERA],MAE_CARRERA[NOMBRE_CARRERA],"Seleccione ID Carrera")</f>
        <v>Seleccione ID Carrera</v>
      </c>
      <c r="F276" t="str">
        <f>_xlfn.XLOOKUP(TAB_H_ASIG_CON_DET[[#This Row],[ASIGNATURA]],MAE_ASIGNATURA[NOM_ASIG],MAE_ASIGNATURA[ID_ASIG],"Seleccione Asignatura")</f>
        <v>Seleccione Asignatura</v>
      </c>
      <c r="H276" t="str">
        <f>_xlfn.XLOOKUP(TAB_H_ASIG_CON_DET[[#This Row],[DETALLADO]],MAE_CONOCIMIENTO[CAMPO_DETALLADO],MAE_CONOCIMIENTO[ID_DDETALLADO],"Seleccione Campo Detallado")</f>
        <v>F-C-D-</v>
      </c>
    </row>
    <row r="277" spans="1:8">
      <c r="A277">
        <v>292</v>
      </c>
      <c r="C277" t="str">
        <f>_xlfn.XLOOKUP(TAB_H_ASIG_CON_DET[[#This Row],[ID_CARRERA]],MAE_CARRERA[ID_CARRERA],MAE_CARRERA[NOMBRE_CARRERA],"Seleccione ID Carrera")</f>
        <v>Seleccione ID Carrera</v>
      </c>
      <c r="F277" t="str">
        <f>_xlfn.XLOOKUP(TAB_H_ASIG_CON_DET[[#This Row],[ASIGNATURA]],MAE_ASIGNATURA[NOM_ASIG],MAE_ASIGNATURA[ID_ASIG],"Seleccione Asignatura")</f>
        <v>Seleccione Asignatura</v>
      </c>
      <c r="H277" t="str">
        <f>_xlfn.XLOOKUP(TAB_H_ASIG_CON_DET[[#This Row],[DETALLADO]],MAE_CONOCIMIENTO[CAMPO_DETALLADO],MAE_CONOCIMIENTO[ID_DDETALLADO],"Seleccione Campo Detallado")</f>
        <v>F-C-D-</v>
      </c>
    </row>
    <row r="278" spans="1:8">
      <c r="A278">
        <v>293</v>
      </c>
      <c r="C278" t="str">
        <f>_xlfn.XLOOKUP(TAB_H_ASIG_CON_DET[[#This Row],[ID_CARRERA]],MAE_CARRERA[ID_CARRERA],MAE_CARRERA[NOMBRE_CARRERA],"Seleccione ID Carrera")</f>
        <v>Seleccione ID Carrera</v>
      </c>
      <c r="F278" t="str">
        <f>_xlfn.XLOOKUP(TAB_H_ASIG_CON_DET[[#This Row],[ASIGNATURA]],MAE_ASIGNATURA[NOM_ASIG],MAE_ASIGNATURA[ID_ASIG],"Seleccione Asignatura")</f>
        <v>Seleccione Asignatura</v>
      </c>
      <c r="H278" t="str">
        <f>_xlfn.XLOOKUP(TAB_H_ASIG_CON_DET[[#This Row],[DETALLADO]],MAE_CONOCIMIENTO[CAMPO_DETALLADO],MAE_CONOCIMIENTO[ID_DDETALLADO],"Seleccione Campo Detallado")</f>
        <v>F-C-D-</v>
      </c>
    </row>
    <row r="279" spans="1:8">
      <c r="A279">
        <v>294</v>
      </c>
      <c r="C279" t="str">
        <f>_xlfn.XLOOKUP(TAB_H_ASIG_CON_DET[[#This Row],[ID_CARRERA]],MAE_CARRERA[ID_CARRERA],MAE_CARRERA[NOMBRE_CARRERA],"Seleccione ID Carrera")</f>
        <v>Seleccione ID Carrera</v>
      </c>
      <c r="F279" t="str">
        <f>_xlfn.XLOOKUP(TAB_H_ASIG_CON_DET[[#This Row],[ASIGNATURA]],MAE_ASIGNATURA[NOM_ASIG],MAE_ASIGNATURA[ID_ASIG],"Seleccione Asignatura")</f>
        <v>Seleccione Asignatura</v>
      </c>
      <c r="H279" t="str">
        <f>_xlfn.XLOOKUP(TAB_H_ASIG_CON_DET[[#This Row],[DETALLADO]],MAE_CONOCIMIENTO[CAMPO_DETALLADO],MAE_CONOCIMIENTO[ID_DDETALLADO],"Seleccione Campo Detallado")</f>
        <v>F-C-D-</v>
      </c>
    </row>
    <row r="280" spans="1:8">
      <c r="A280">
        <v>295</v>
      </c>
      <c r="C280" t="str">
        <f>_xlfn.XLOOKUP(TAB_H_ASIG_CON_DET[[#This Row],[ID_CARRERA]],MAE_CARRERA[ID_CARRERA],MAE_CARRERA[NOMBRE_CARRERA],"Seleccione ID Carrera")</f>
        <v>Seleccione ID Carrera</v>
      </c>
      <c r="F280" t="str">
        <f>_xlfn.XLOOKUP(TAB_H_ASIG_CON_DET[[#This Row],[ASIGNATURA]],MAE_ASIGNATURA[NOM_ASIG],MAE_ASIGNATURA[ID_ASIG],"Seleccione Asignatura")</f>
        <v>Seleccione Asignatura</v>
      </c>
      <c r="H280" t="str">
        <f>_xlfn.XLOOKUP(TAB_H_ASIG_CON_DET[[#This Row],[DETALLADO]],MAE_CONOCIMIENTO[CAMPO_DETALLADO],MAE_CONOCIMIENTO[ID_DDETALLADO],"Seleccione Campo Detallado")</f>
        <v>F-C-D-</v>
      </c>
    </row>
    <row r="281" spans="1:8">
      <c r="A281">
        <v>296</v>
      </c>
      <c r="C281" t="str">
        <f>_xlfn.XLOOKUP(TAB_H_ASIG_CON_DET[[#This Row],[ID_CARRERA]],MAE_CARRERA[ID_CARRERA],MAE_CARRERA[NOMBRE_CARRERA],"Seleccione ID Carrera")</f>
        <v>Seleccione ID Carrera</v>
      </c>
      <c r="F281" t="str">
        <f>_xlfn.XLOOKUP(TAB_H_ASIG_CON_DET[[#This Row],[ASIGNATURA]],MAE_ASIGNATURA[NOM_ASIG],MAE_ASIGNATURA[ID_ASIG],"Seleccione Asignatura")</f>
        <v>Seleccione Asignatura</v>
      </c>
      <c r="H281" t="str">
        <f>_xlfn.XLOOKUP(TAB_H_ASIG_CON_DET[[#This Row],[DETALLADO]],MAE_CONOCIMIENTO[CAMPO_DETALLADO],MAE_CONOCIMIENTO[ID_DDETALLADO],"Seleccione Campo Detallado")</f>
        <v>F-C-D-</v>
      </c>
    </row>
    <row r="282" spans="1:8">
      <c r="A282">
        <v>297</v>
      </c>
      <c r="C282" t="str">
        <f>_xlfn.XLOOKUP(TAB_H_ASIG_CON_DET[[#This Row],[ID_CARRERA]],MAE_CARRERA[ID_CARRERA],MAE_CARRERA[NOMBRE_CARRERA],"Seleccione ID Carrera")</f>
        <v>Seleccione ID Carrera</v>
      </c>
      <c r="F282" t="str">
        <f>_xlfn.XLOOKUP(TAB_H_ASIG_CON_DET[[#This Row],[ASIGNATURA]],MAE_ASIGNATURA[NOM_ASIG],MAE_ASIGNATURA[ID_ASIG],"Seleccione Asignatura")</f>
        <v>Seleccione Asignatura</v>
      </c>
      <c r="H282" t="str">
        <f>_xlfn.XLOOKUP(TAB_H_ASIG_CON_DET[[#This Row],[DETALLADO]],MAE_CONOCIMIENTO[CAMPO_DETALLADO],MAE_CONOCIMIENTO[ID_DDETALLADO],"Seleccione Campo Detallado")</f>
        <v>F-C-D-</v>
      </c>
    </row>
    <row r="283" spans="1:8">
      <c r="A283">
        <v>298</v>
      </c>
      <c r="C283" t="str">
        <f>_xlfn.XLOOKUP(TAB_H_ASIG_CON_DET[[#This Row],[ID_CARRERA]],MAE_CARRERA[ID_CARRERA],MAE_CARRERA[NOMBRE_CARRERA],"Seleccione ID Carrera")</f>
        <v>Seleccione ID Carrera</v>
      </c>
      <c r="F283" t="str">
        <f>_xlfn.XLOOKUP(TAB_H_ASIG_CON_DET[[#This Row],[ASIGNATURA]],MAE_ASIGNATURA[NOM_ASIG],MAE_ASIGNATURA[ID_ASIG],"Seleccione Asignatura")</f>
        <v>Seleccione Asignatura</v>
      </c>
      <c r="H283" t="str">
        <f>_xlfn.XLOOKUP(TAB_H_ASIG_CON_DET[[#This Row],[DETALLADO]],MAE_CONOCIMIENTO[CAMPO_DETALLADO],MAE_CONOCIMIENTO[ID_DDETALLADO],"Seleccione Campo Detallado")</f>
        <v>F-C-D-</v>
      </c>
    </row>
    <row r="284" spans="1:8">
      <c r="A284">
        <v>299</v>
      </c>
      <c r="C284" t="str">
        <f>_xlfn.XLOOKUP(TAB_H_ASIG_CON_DET[[#This Row],[ID_CARRERA]],MAE_CARRERA[ID_CARRERA],MAE_CARRERA[NOMBRE_CARRERA],"Seleccione ID Carrera")</f>
        <v>Seleccione ID Carrera</v>
      </c>
      <c r="F284" t="str">
        <f>_xlfn.XLOOKUP(TAB_H_ASIG_CON_DET[[#This Row],[ASIGNATURA]],MAE_ASIGNATURA[NOM_ASIG],MAE_ASIGNATURA[ID_ASIG],"Seleccione Asignatura")</f>
        <v>Seleccione Asignatura</v>
      </c>
      <c r="H284" t="str">
        <f>_xlfn.XLOOKUP(TAB_H_ASIG_CON_DET[[#This Row],[DETALLADO]],MAE_CONOCIMIENTO[CAMPO_DETALLADO],MAE_CONOCIMIENTO[ID_DDETALLADO],"Seleccione Campo Detallado")</f>
        <v>F-C-D-</v>
      </c>
    </row>
    <row r="285" spans="1:8">
      <c r="A285">
        <v>300</v>
      </c>
      <c r="C285" t="str">
        <f>_xlfn.XLOOKUP(TAB_H_ASIG_CON_DET[[#This Row],[ID_CARRERA]],MAE_CARRERA[ID_CARRERA],MAE_CARRERA[NOMBRE_CARRERA],"Seleccione ID Carrera")</f>
        <v>Seleccione ID Carrera</v>
      </c>
      <c r="F285" t="str">
        <f>_xlfn.XLOOKUP(TAB_H_ASIG_CON_DET[[#This Row],[ASIGNATURA]],MAE_ASIGNATURA[NOM_ASIG],MAE_ASIGNATURA[ID_ASIG],"Seleccione Asignatura")</f>
        <v>Seleccione Asignatura</v>
      </c>
      <c r="H285" t="str">
        <f>_xlfn.XLOOKUP(TAB_H_ASIG_CON_DET[[#This Row],[DETALLADO]],MAE_CONOCIMIENTO[CAMPO_DETALLADO],MAE_CONOCIMIENTO[ID_DDETALLADO],"Seleccione Campo Detallado")</f>
        <v>F-C-D-</v>
      </c>
    </row>
    <row r="286" spans="1:8">
      <c r="A286">
        <v>301</v>
      </c>
      <c r="C286" t="str">
        <f>_xlfn.XLOOKUP(TAB_H_ASIG_CON_DET[[#This Row],[ID_CARRERA]],MAE_CARRERA[ID_CARRERA],MAE_CARRERA[NOMBRE_CARRERA],"Seleccione ID Carrera")</f>
        <v>Seleccione ID Carrera</v>
      </c>
      <c r="F286" t="str">
        <f>_xlfn.XLOOKUP(TAB_H_ASIG_CON_DET[[#This Row],[ASIGNATURA]],MAE_ASIGNATURA[NOM_ASIG],MAE_ASIGNATURA[ID_ASIG],"Seleccione Asignatura")</f>
        <v>Seleccione Asignatura</v>
      </c>
      <c r="H286" t="str">
        <f>_xlfn.XLOOKUP(TAB_H_ASIG_CON_DET[[#This Row],[DETALLADO]],MAE_CONOCIMIENTO[CAMPO_DETALLADO],MAE_CONOCIMIENTO[ID_DDETALLADO],"Seleccione Campo Detallado")</f>
        <v>F-C-D-</v>
      </c>
    </row>
    <row r="287" spans="1:8">
      <c r="A287">
        <v>302</v>
      </c>
      <c r="C287" t="str">
        <f>_xlfn.XLOOKUP(TAB_H_ASIG_CON_DET[[#This Row],[ID_CARRERA]],MAE_CARRERA[ID_CARRERA],MAE_CARRERA[NOMBRE_CARRERA],"Seleccione ID Carrera")</f>
        <v>Seleccione ID Carrera</v>
      </c>
      <c r="F287" t="str">
        <f>_xlfn.XLOOKUP(TAB_H_ASIG_CON_DET[[#This Row],[ASIGNATURA]],MAE_ASIGNATURA[NOM_ASIG],MAE_ASIGNATURA[ID_ASIG],"Seleccione Asignatura")</f>
        <v>Seleccione Asignatura</v>
      </c>
      <c r="H287" t="str">
        <f>_xlfn.XLOOKUP(TAB_H_ASIG_CON_DET[[#This Row],[DETALLADO]],MAE_CONOCIMIENTO[CAMPO_DETALLADO],MAE_CONOCIMIENTO[ID_DDETALLADO],"Seleccione Campo Detallado")</f>
        <v>F-C-D-</v>
      </c>
    </row>
    <row r="288" spans="1:8">
      <c r="A288">
        <v>303</v>
      </c>
      <c r="C288" t="str">
        <f>_xlfn.XLOOKUP(TAB_H_ASIG_CON_DET[[#This Row],[ID_CARRERA]],MAE_CARRERA[ID_CARRERA],MAE_CARRERA[NOMBRE_CARRERA],"Seleccione ID Carrera")</f>
        <v>Seleccione ID Carrera</v>
      </c>
      <c r="F288" t="str">
        <f>_xlfn.XLOOKUP(TAB_H_ASIG_CON_DET[[#This Row],[ASIGNATURA]],MAE_ASIGNATURA[NOM_ASIG],MAE_ASIGNATURA[ID_ASIG],"Seleccione Asignatura")</f>
        <v>Seleccione Asignatura</v>
      </c>
      <c r="H288" t="str">
        <f>_xlfn.XLOOKUP(TAB_H_ASIG_CON_DET[[#This Row],[DETALLADO]],MAE_CONOCIMIENTO[CAMPO_DETALLADO],MAE_CONOCIMIENTO[ID_DDETALLADO],"Seleccione Campo Detallado")</f>
        <v>F-C-D-</v>
      </c>
    </row>
    <row r="289" spans="1:8">
      <c r="A289">
        <v>304</v>
      </c>
      <c r="C289" t="str">
        <f>_xlfn.XLOOKUP(TAB_H_ASIG_CON_DET[[#This Row],[ID_CARRERA]],MAE_CARRERA[ID_CARRERA],MAE_CARRERA[NOMBRE_CARRERA],"Seleccione ID Carrera")</f>
        <v>Seleccione ID Carrera</v>
      </c>
      <c r="F289" t="str">
        <f>_xlfn.XLOOKUP(TAB_H_ASIG_CON_DET[[#This Row],[ASIGNATURA]],MAE_ASIGNATURA[NOM_ASIG],MAE_ASIGNATURA[ID_ASIG],"Seleccione Asignatura")</f>
        <v>Seleccione Asignatura</v>
      </c>
      <c r="H289" t="str">
        <f>_xlfn.XLOOKUP(TAB_H_ASIG_CON_DET[[#This Row],[DETALLADO]],MAE_CONOCIMIENTO[CAMPO_DETALLADO],MAE_CONOCIMIENTO[ID_DDETALLADO],"Seleccione Campo Detallado")</f>
        <v>F-C-D-</v>
      </c>
    </row>
    <row r="290" spans="1:8">
      <c r="A290">
        <v>305</v>
      </c>
      <c r="C290" t="str">
        <f>_xlfn.XLOOKUP(TAB_H_ASIG_CON_DET[[#This Row],[ID_CARRERA]],MAE_CARRERA[ID_CARRERA],MAE_CARRERA[NOMBRE_CARRERA],"Seleccione ID Carrera")</f>
        <v>Seleccione ID Carrera</v>
      </c>
      <c r="F290" t="str">
        <f>_xlfn.XLOOKUP(TAB_H_ASIG_CON_DET[[#This Row],[ASIGNATURA]],MAE_ASIGNATURA[NOM_ASIG],MAE_ASIGNATURA[ID_ASIG],"Seleccione Asignatura")</f>
        <v>Seleccione Asignatura</v>
      </c>
      <c r="H290" t="str">
        <f>_xlfn.XLOOKUP(TAB_H_ASIG_CON_DET[[#This Row],[DETALLADO]],MAE_CONOCIMIENTO[CAMPO_DETALLADO],MAE_CONOCIMIENTO[ID_DDETALLADO],"Seleccione Campo Detallado")</f>
        <v>F-C-D-</v>
      </c>
    </row>
    <row r="291" spans="1:8">
      <c r="A291">
        <v>306</v>
      </c>
      <c r="C291" t="str">
        <f>_xlfn.XLOOKUP(TAB_H_ASIG_CON_DET[[#This Row],[ID_CARRERA]],MAE_CARRERA[ID_CARRERA],MAE_CARRERA[NOMBRE_CARRERA],"Seleccione ID Carrera")</f>
        <v>Seleccione ID Carrera</v>
      </c>
      <c r="F291" t="str">
        <f>_xlfn.XLOOKUP(TAB_H_ASIG_CON_DET[[#This Row],[ASIGNATURA]],MAE_ASIGNATURA[NOM_ASIG],MAE_ASIGNATURA[ID_ASIG],"Seleccione Asignatura")</f>
        <v>Seleccione Asignatura</v>
      </c>
      <c r="H291" t="str">
        <f>_xlfn.XLOOKUP(TAB_H_ASIG_CON_DET[[#This Row],[DETALLADO]],MAE_CONOCIMIENTO[CAMPO_DETALLADO],MAE_CONOCIMIENTO[ID_DDETALLADO],"Seleccione Campo Detallado")</f>
        <v>F-C-D-</v>
      </c>
    </row>
    <row r="292" spans="1:8">
      <c r="A292">
        <v>307</v>
      </c>
      <c r="C292" t="str">
        <f>_xlfn.XLOOKUP(TAB_H_ASIG_CON_DET[[#This Row],[ID_CARRERA]],MAE_CARRERA[ID_CARRERA],MAE_CARRERA[NOMBRE_CARRERA],"Seleccione ID Carrera")</f>
        <v>Seleccione ID Carrera</v>
      </c>
      <c r="F292" t="str">
        <f>_xlfn.XLOOKUP(TAB_H_ASIG_CON_DET[[#This Row],[ASIGNATURA]],MAE_ASIGNATURA[NOM_ASIG],MAE_ASIGNATURA[ID_ASIG],"Seleccione Asignatura")</f>
        <v>Seleccione Asignatura</v>
      </c>
      <c r="H292" t="str">
        <f>_xlfn.XLOOKUP(TAB_H_ASIG_CON_DET[[#This Row],[DETALLADO]],MAE_CONOCIMIENTO[CAMPO_DETALLADO],MAE_CONOCIMIENTO[ID_DDETALLADO],"Seleccione Campo Detallado")</f>
        <v>F-C-D-</v>
      </c>
    </row>
    <row r="293" spans="1:8">
      <c r="A293">
        <v>308</v>
      </c>
      <c r="C293" t="str">
        <f>_xlfn.XLOOKUP(TAB_H_ASIG_CON_DET[[#This Row],[ID_CARRERA]],MAE_CARRERA[ID_CARRERA],MAE_CARRERA[NOMBRE_CARRERA],"Seleccione ID Carrera")</f>
        <v>Seleccione ID Carrera</v>
      </c>
      <c r="F293" t="str">
        <f>_xlfn.XLOOKUP(TAB_H_ASIG_CON_DET[[#This Row],[ASIGNATURA]],MAE_ASIGNATURA[NOM_ASIG],MAE_ASIGNATURA[ID_ASIG],"Seleccione Asignatura")</f>
        <v>Seleccione Asignatura</v>
      </c>
      <c r="H293" t="str">
        <f>_xlfn.XLOOKUP(TAB_H_ASIG_CON_DET[[#This Row],[DETALLADO]],MAE_CONOCIMIENTO[CAMPO_DETALLADO],MAE_CONOCIMIENTO[ID_DDETALLADO],"Seleccione Campo Detallado")</f>
        <v>F-C-D-</v>
      </c>
    </row>
    <row r="294" spans="1:8">
      <c r="A294">
        <v>309</v>
      </c>
      <c r="C294" t="str">
        <f>_xlfn.XLOOKUP(TAB_H_ASIG_CON_DET[[#This Row],[ID_CARRERA]],MAE_CARRERA[ID_CARRERA],MAE_CARRERA[NOMBRE_CARRERA],"Seleccione ID Carrera")</f>
        <v>Seleccione ID Carrera</v>
      </c>
      <c r="F294" t="str">
        <f>_xlfn.XLOOKUP(TAB_H_ASIG_CON_DET[[#This Row],[ASIGNATURA]],MAE_ASIGNATURA[NOM_ASIG],MAE_ASIGNATURA[ID_ASIG],"Seleccione Asignatura")</f>
        <v>Seleccione Asignatura</v>
      </c>
      <c r="H294" t="str">
        <f>_xlfn.XLOOKUP(TAB_H_ASIG_CON_DET[[#This Row],[DETALLADO]],MAE_CONOCIMIENTO[CAMPO_DETALLADO],MAE_CONOCIMIENTO[ID_DDETALLADO],"Seleccione Campo Detallado")</f>
        <v>F-C-D-</v>
      </c>
    </row>
    <row r="295" spans="1:8">
      <c r="A295">
        <v>310</v>
      </c>
      <c r="C295" t="str">
        <f>_xlfn.XLOOKUP(TAB_H_ASIG_CON_DET[[#This Row],[ID_CARRERA]],MAE_CARRERA[ID_CARRERA],MAE_CARRERA[NOMBRE_CARRERA],"Seleccione ID Carrera")</f>
        <v>Seleccione ID Carrera</v>
      </c>
      <c r="F295" t="str">
        <f>_xlfn.XLOOKUP(TAB_H_ASIG_CON_DET[[#This Row],[ASIGNATURA]],MAE_ASIGNATURA[NOM_ASIG],MAE_ASIGNATURA[ID_ASIG],"Seleccione Asignatura")</f>
        <v>Seleccione Asignatura</v>
      </c>
      <c r="H295" t="str">
        <f>_xlfn.XLOOKUP(TAB_H_ASIG_CON_DET[[#This Row],[DETALLADO]],MAE_CONOCIMIENTO[CAMPO_DETALLADO],MAE_CONOCIMIENTO[ID_DDETALLADO],"Seleccione Campo Detallado")</f>
        <v>F-C-D-</v>
      </c>
    </row>
    <row r="296" spans="1:8">
      <c r="A296">
        <v>311</v>
      </c>
      <c r="C296" t="str">
        <f>_xlfn.XLOOKUP(TAB_H_ASIG_CON_DET[[#This Row],[ID_CARRERA]],MAE_CARRERA[ID_CARRERA],MAE_CARRERA[NOMBRE_CARRERA],"Seleccione ID Carrera")</f>
        <v>Seleccione ID Carrera</v>
      </c>
      <c r="F296" t="str">
        <f>_xlfn.XLOOKUP(TAB_H_ASIG_CON_DET[[#This Row],[ASIGNATURA]],MAE_ASIGNATURA[NOM_ASIG],MAE_ASIGNATURA[ID_ASIG],"Seleccione Asignatura")</f>
        <v>Seleccione Asignatura</v>
      </c>
      <c r="H296" t="str">
        <f>_xlfn.XLOOKUP(TAB_H_ASIG_CON_DET[[#This Row],[DETALLADO]],MAE_CONOCIMIENTO[CAMPO_DETALLADO],MAE_CONOCIMIENTO[ID_DDETALLADO],"Seleccione Campo Detallado")</f>
        <v>F-C-D-</v>
      </c>
    </row>
    <row r="297" spans="1:8">
      <c r="A297">
        <v>312</v>
      </c>
      <c r="C297" t="str">
        <f>_xlfn.XLOOKUP(TAB_H_ASIG_CON_DET[[#This Row],[ID_CARRERA]],MAE_CARRERA[ID_CARRERA],MAE_CARRERA[NOMBRE_CARRERA],"Seleccione ID Carrera")</f>
        <v>Seleccione ID Carrera</v>
      </c>
      <c r="F297" t="str">
        <f>_xlfn.XLOOKUP(TAB_H_ASIG_CON_DET[[#This Row],[ASIGNATURA]],MAE_ASIGNATURA[NOM_ASIG],MAE_ASIGNATURA[ID_ASIG],"Seleccione Asignatura")</f>
        <v>Seleccione Asignatura</v>
      </c>
      <c r="H297" t="str">
        <f>_xlfn.XLOOKUP(TAB_H_ASIG_CON_DET[[#This Row],[DETALLADO]],MAE_CONOCIMIENTO[CAMPO_DETALLADO],MAE_CONOCIMIENTO[ID_DDETALLADO],"Seleccione Campo Detallado")</f>
        <v>F-C-D-</v>
      </c>
    </row>
    <row r="298" spans="1:8">
      <c r="A298">
        <v>313</v>
      </c>
      <c r="C298" t="str">
        <f>_xlfn.XLOOKUP(TAB_H_ASIG_CON_DET[[#This Row],[ID_CARRERA]],MAE_CARRERA[ID_CARRERA],MAE_CARRERA[NOMBRE_CARRERA],"Seleccione ID Carrera")</f>
        <v>Seleccione ID Carrera</v>
      </c>
      <c r="F298" t="str">
        <f>_xlfn.XLOOKUP(TAB_H_ASIG_CON_DET[[#This Row],[ASIGNATURA]],MAE_ASIGNATURA[NOM_ASIG],MAE_ASIGNATURA[ID_ASIG],"Seleccione Asignatura")</f>
        <v>Seleccione Asignatura</v>
      </c>
      <c r="H298" t="str">
        <f>_xlfn.XLOOKUP(TAB_H_ASIG_CON_DET[[#This Row],[DETALLADO]],MAE_CONOCIMIENTO[CAMPO_DETALLADO],MAE_CONOCIMIENTO[ID_DDETALLADO],"Seleccione Campo Detallado")</f>
        <v>F-C-D-</v>
      </c>
    </row>
    <row r="299" spans="1:8">
      <c r="A299">
        <v>314</v>
      </c>
      <c r="C299" t="str">
        <f>_xlfn.XLOOKUP(TAB_H_ASIG_CON_DET[[#This Row],[ID_CARRERA]],MAE_CARRERA[ID_CARRERA],MAE_CARRERA[NOMBRE_CARRERA],"Seleccione ID Carrera")</f>
        <v>Seleccione ID Carrera</v>
      </c>
      <c r="F299" t="str">
        <f>_xlfn.XLOOKUP(TAB_H_ASIG_CON_DET[[#This Row],[ASIGNATURA]],MAE_ASIGNATURA[NOM_ASIG],MAE_ASIGNATURA[ID_ASIG],"Seleccione Asignatura")</f>
        <v>Seleccione Asignatura</v>
      </c>
      <c r="H299" t="str">
        <f>_xlfn.XLOOKUP(TAB_H_ASIG_CON_DET[[#This Row],[DETALLADO]],MAE_CONOCIMIENTO[CAMPO_DETALLADO],MAE_CONOCIMIENTO[ID_DDETALLADO],"Seleccione Campo Detallado")</f>
        <v>F-C-D-</v>
      </c>
    </row>
    <row r="300" spans="1:8">
      <c r="A300">
        <v>315</v>
      </c>
      <c r="C300" t="str">
        <f>_xlfn.XLOOKUP(TAB_H_ASIG_CON_DET[[#This Row],[ID_CARRERA]],MAE_CARRERA[ID_CARRERA],MAE_CARRERA[NOMBRE_CARRERA],"Seleccione ID Carrera")</f>
        <v>Seleccione ID Carrera</v>
      </c>
      <c r="F300" t="str">
        <f>_xlfn.XLOOKUP(TAB_H_ASIG_CON_DET[[#This Row],[ASIGNATURA]],MAE_ASIGNATURA[NOM_ASIG],MAE_ASIGNATURA[ID_ASIG],"Seleccione Asignatura")</f>
        <v>Seleccione Asignatura</v>
      </c>
      <c r="H300" t="str">
        <f>_xlfn.XLOOKUP(TAB_H_ASIG_CON_DET[[#This Row],[DETALLADO]],MAE_CONOCIMIENTO[CAMPO_DETALLADO],MAE_CONOCIMIENTO[ID_DDETALLADO],"Seleccione Campo Detallado")</f>
        <v>F-C-D-</v>
      </c>
    </row>
    <row r="301" spans="1:8">
      <c r="A301">
        <v>316</v>
      </c>
      <c r="C301" t="str">
        <f>_xlfn.XLOOKUP(TAB_H_ASIG_CON_DET[[#This Row],[ID_CARRERA]],MAE_CARRERA[ID_CARRERA],MAE_CARRERA[NOMBRE_CARRERA],"Seleccione ID Carrera")</f>
        <v>Seleccione ID Carrera</v>
      </c>
      <c r="F301" t="str">
        <f>_xlfn.XLOOKUP(TAB_H_ASIG_CON_DET[[#This Row],[ASIGNATURA]],MAE_ASIGNATURA[NOM_ASIG],MAE_ASIGNATURA[ID_ASIG],"Seleccione Asignatura")</f>
        <v>Seleccione Asignatura</v>
      </c>
      <c r="H301" t="str">
        <f>_xlfn.XLOOKUP(TAB_H_ASIG_CON_DET[[#This Row],[DETALLADO]],MAE_CONOCIMIENTO[CAMPO_DETALLADO],MAE_CONOCIMIENTO[ID_DDETALLADO],"Seleccione Campo Detallado")</f>
        <v>F-C-D-</v>
      </c>
    </row>
    <row r="302" spans="1:8">
      <c r="A302">
        <v>317</v>
      </c>
      <c r="C302" t="str">
        <f>_xlfn.XLOOKUP(TAB_H_ASIG_CON_DET[[#This Row],[ID_CARRERA]],MAE_CARRERA[ID_CARRERA],MAE_CARRERA[NOMBRE_CARRERA],"Seleccione ID Carrera")</f>
        <v>Seleccione ID Carrera</v>
      </c>
      <c r="F302" t="str">
        <f>_xlfn.XLOOKUP(TAB_H_ASIG_CON_DET[[#This Row],[ASIGNATURA]],MAE_ASIGNATURA[NOM_ASIG],MAE_ASIGNATURA[ID_ASIG],"Seleccione Asignatura")</f>
        <v>Seleccione Asignatura</v>
      </c>
      <c r="H302" t="str">
        <f>_xlfn.XLOOKUP(TAB_H_ASIG_CON_DET[[#This Row],[DETALLADO]],MAE_CONOCIMIENTO[CAMPO_DETALLADO],MAE_CONOCIMIENTO[ID_DDETALLADO],"Seleccione Campo Detallado")</f>
        <v>F-C-D-</v>
      </c>
    </row>
    <row r="303" spans="1:8">
      <c r="A303">
        <v>318</v>
      </c>
      <c r="C303" t="str">
        <f>_xlfn.XLOOKUP(TAB_H_ASIG_CON_DET[[#This Row],[ID_CARRERA]],MAE_CARRERA[ID_CARRERA],MAE_CARRERA[NOMBRE_CARRERA],"Seleccione ID Carrera")</f>
        <v>Seleccione ID Carrera</v>
      </c>
      <c r="F303" t="str">
        <f>_xlfn.XLOOKUP(TAB_H_ASIG_CON_DET[[#This Row],[ASIGNATURA]],MAE_ASIGNATURA[NOM_ASIG],MAE_ASIGNATURA[ID_ASIG],"Seleccione Asignatura")</f>
        <v>Seleccione Asignatura</v>
      </c>
      <c r="H303" t="str">
        <f>_xlfn.XLOOKUP(TAB_H_ASIG_CON_DET[[#This Row],[DETALLADO]],MAE_CONOCIMIENTO[CAMPO_DETALLADO],MAE_CONOCIMIENTO[ID_DDETALLADO],"Seleccione Campo Detallado")</f>
        <v>F-C-D-</v>
      </c>
    </row>
    <row r="304" spans="1:8">
      <c r="A304">
        <v>319</v>
      </c>
      <c r="C304" t="str">
        <f>_xlfn.XLOOKUP(TAB_H_ASIG_CON_DET[[#This Row],[ID_CARRERA]],MAE_CARRERA[ID_CARRERA],MAE_CARRERA[NOMBRE_CARRERA],"Seleccione ID Carrera")</f>
        <v>Seleccione ID Carrera</v>
      </c>
      <c r="F304" t="str">
        <f>_xlfn.XLOOKUP(TAB_H_ASIG_CON_DET[[#This Row],[ASIGNATURA]],MAE_ASIGNATURA[NOM_ASIG],MAE_ASIGNATURA[ID_ASIG],"Seleccione Asignatura")</f>
        <v>Seleccione Asignatura</v>
      </c>
      <c r="H304" t="str">
        <f>_xlfn.XLOOKUP(TAB_H_ASIG_CON_DET[[#This Row],[DETALLADO]],MAE_CONOCIMIENTO[CAMPO_DETALLADO],MAE_CONOCIMIENTO[ID_DDETALLADO],"Seleccione Campo Detallado")</f>
        <v>F-C-D-</v>
      </c>
    </row>
    <row r="305" spans="1:8">
      <c r="A305">
        <v>320</v>
      </c>
      <c r="C305" t="str">
        <f>_xlfn.XLOOKUP(TAB_H_ASIG_CON_DET[[#This Row],[ID_CARRERA]],MAE_CARRERA[ID_CARRERA],MAE_CARRERA[NOMBRE_CARRERA],"Seleccione ID Carrera")</f>
        <v>Seleccione ID Carrera</v>
      </c>
      <c r="F305" t="str">
        <f>_xlfn.XLOOKUP(TAB_H_ASIG_CON_DET[[#This Row],[ASIGNATURA]],MAE_ASIGNATURA[NOM_ASIG],MAE_ASIGNATURA[ID_ASIG],"Seleccione Asignatura")</f>
        <v>Seleccione Asignatura</v>
      </c>
      <c r="H305" t="str">
        <f>_xlfn.XLOOKUP(TAB_H_ASIG_CON_DET[[#This Row],[DETALLADO]],MAE_CONOCIMIENTO[CAMPO_DETALLADO],MAE_CONOCIMIENTO[ID_DDETALLADO],"Seleccione Campo Detallado")</f>
        <v>F-C-D-</v>
      </c>
    </row>
    <row r="306" spans="1:8">
      <c r="A306">
        <v>321</v>
      </c>
      <c r="C306" t="str">
        <f>_xlfn.XLOOKUP(TAB_H_ASIG_CON_DET[[#This Row],[ID_CARRERA]],MAE_CARRERA[ID_CARRERA],MAE_CARRERA[NOMBRE_CARRERA],"Seleccione ID Carrera")</f>
        <v>Seleccione ID Carrera</v>
      </c>
      <c r="F306" t="str">
        <f>_xlfn.XLOOKUP(TAB_H_ASIG_CON_DET[[#This Row],[ASIGNATURA]],MAE_ASIGNATURA[NOM_ASIG],MAE_ASIGNATURA[ID_ASIG],"Seleccione Asignatura")</f>
        <v>Seleccione Asignatura</v>
      </c>
      <c r="H306" t="str">
        <f>_xlfn.XLOOKUP(TAB_H_ASIG_CON_DET[[#This Row],[DETALLADO]],MAE_CONOCIMIENTO[CAMPO_DETALLADO],MAE_CONOCIMIENTO[ID_DDETALLADO],"Seleccione Campo Detallado")</f>
        <v>F-C-D-</v>
      </c>
    </row>
    <row r="307" spans="1:8">
      <c r="A307">
        <v>322</v>
      </c>
      <c r="C307" t="str">
        <f>_xlfn.XLOOKUP(TAB_H_ASIG_CON_DET[[#This Row],[ID_CARRERA]],MAE_CARRERA[ID_CARRERA],MAE_CARRERA[NOMBRE_CARRERA],"Seleccione ID Carrera")</f>
        <v>Seleccione ID Carrera</v>
      </c>
      <c r="F307" t="str">
        <f>_xlfn.XLOOKUP(TAB_H_ASIG_CON_DET[[#This Row],[ASIGNATURA]],MAE_ASIGNATURA[NOM_ASIG],MAE_ASIGNATURA[ID_ASIG],"Seleccione Asignatura")</f>
        <v>Seleccione Asignatura</v>
      </c>
      <c r="H307" t="str">
        <f>_xlfn.XLOOKUP(TAB_H_ASIG_CON_DET[[#This Row],[DETALLADO]],MAE_CONOCIMIENTO[CAMPO_DETALLADO],MAE_CONOCIMIENTO[ID_DDETALLADO],"Seleccione Campo Detallado")</f>
        <v>F-C-D-</v>
      </c>
    </row>
    <row r="308" spans="1:8">
      <c r="A308">
        <v>323</v>
      </c>
      <c r="C308" t="str">
        <f>_xlfn.XLOOKUP(TAB_H_ASIG_CON_DET[[#This Row],[ID_CARRERA]],MAE_CARRERA[ID_CARRERA],MAE_CARRERA[NOMBRE_CARRERA],"Seleccione ID Carrera")</f>
        <v>Seleccione ID Carrera</v>
      </c>
      <c r="F308" t="str">
        <f>_xlfn.XLOOKUP(TAB_H_ASIG_CON_DET[[#This Row],[ASIGNATURA]],MAE_ASIGNATURA[NOM_ASIG],MAE_ASIGNATURA[ID_ASIG],"Seleccione Asignatura")</f>
        <v>Seleccione Asignatura</v>
      </c>
      <c r="H308" t="str">
        <f>_xlfn.XLOOKUP(TAB_H_ASIG_CON_DET[[#This Row],[DETALLADO]],MAE_CONOCIMIENTO[CAMPO_DETALLADO],MAE_CONOCIMIENTO[ID_DDETALLADO],"Seleccione Campo Detallado")</f>
        <v>F-C-D-</v>
      </c>
    </row>
    <row r="309" spans="1:8">
      <c r="A309">
        <v>324</v>
      </c>
      <c r="C309" t="str">
        <f>_xlfn.XLOOKUP(TAB_H_ASIG_CON_DET[[#This Row],[ID_CARRERA]],MAE_CARRERA[ID_CARRERA],MAE_CARRERA[NOMBRE_CARRERA],"Seleccione ID Carrera")</f>
        <v>Seleccione ID Carrera</v>
      </c>
      <c r="F309" t="str">
        <f>_xlfn.XLOOKUP(TAB_H_ASIG_CON_DET[[#This Row],[ASIGNATURA]],MAE_ASIGNATURA[NOM_ASIG],MAE_ASIGNATURA[ID_ASIG],"Seleccione Asignatura")</f>
        <v>Seleccione Asignatura</v>
      </c>
      <c r="H309" t="str">
        <f>_xlfn.XLOOKUP(TAB_H_ASIG_CON_DET[[#This Row],[DETALLADO]],MAE_CONOCIMIENTO[CAMPO_DETALLADO],MAE_CONOCIMIENTO[ID_DDETALLADO],"Seleccione Campo Detallado")</f>
        <v>F-C-D-</v>
      </c>
    </row>
    <row r="310" spans="1:8">
      <c r="A310">
        <v>325</v>
      </c>
      <c r="C310" t="str">
        <f>_xlfn.XLOOKUP(TAB_H_ASIG_CON_DET[[#This Row],[ID_CARRERA]],MAE_CARRERA[ID_CARRERA],MAE_CARRERA[NOMBRE_CARRERA],"Seleccione ID Carrera")</f>
        <v>Seleccione ID Carrera</v>
      </c>
      <c r="F310" t="str">
        <f>_xlfn.XLOOKUP(TAB_H_ASIG_CON_DET[[#This Row],[ASIGNATURA]],MAE_ASIGNATURA[NOM_ASIG],MAE_ASIGNATURA[ID_ASIG],"Seleccione Asignatura")</f>
        <v>Seleccione Asignatura</v>
      </c>
      <c r="H310" t="str">
        <f>_xlfn.XLOOKUP(TAB_H_ASIG_CON_DET[[#This Row],[DETALLADO]],MAE_CONOCIMIENTO[CAMPO_DETALLADO],MAE_CONOCIMIENTO[ID_DDETALLADO],"Seleccione Campo Detallado")</f>
        <v>F-C-D-</v>
      </c>
    </row>
    <row r="311" spans="1:8">
      <c r="A311">
        <v>326</v>
      </c>
      <c r="C311" t="str">
        <f>_xlfn.XLOOKUP(TAB_H_ASIG_CON_DET[[#This Row],[ID_CARRERA]],MAE_CARRERA[ID_CARRERA],MAE_CARRERA[NOMBRE_CARRERA],"Seleccione ID Carrera")</f>
        <v>Seleccione ID Carrera</v>
      </c>
      <c r="F311" t="str">
        <f>_xlfn.XLOOKUP(TAB_H_ASIG_CON_DET[[#This Row],[ASIGNATURA]],MAE_ASIGNATURA[NOM_ASIG],MAE_ASIGNATURA[ID_ASIG],"Seleccione Asignatura")</f>
        <v>Seleccione Asignatura</v>
      </c>
      <c r="H311" t="str">
        <f>_xlfn.XLOOKUP(TAB_H_ASIG_CON_DET[[#This Row],[DETALLADO]],MAE_CONOCIMIENTO[CAMPO_DETALLADO],MAE_CONOCIMIENTO[ID_DDETALLADO],"Seleccione Campo Detallado")</f>
        <v>F-C-D-</v>
      </c>
    </row>
    <row r="312" spans="1:8">
      <c r="A312">
        <v>327</v>
      </c>
      <c r="C312" t="str">
        <f>_xlfn.XLOOKUP(TAB_H_ASIG_CON_DET[[#This Row],[ID_CARRERA]],MAE_CARRERA[ID_CARRERA],MAE_CARRERA[NOMBRE_CARRERA],"Seleccione ID Carrera")</f>
        <v>Seleccione ID Carrera</v>
      </c>
      <c r="F312" t="str">
        <f>_xlfn.XLOOKUP(TAB_H_ASIG_CON_DET[[#This Row],[ASIGNATURA]],MAE_ASIGNATURA[NOM_ASIG],MAE_ASIGNATURA[ID_ASIG],"Seleccione Asignatura")</f>
        <v>Seleccione Asignatura</v>
      </c>
      <c r="H312" t="str">
        <f>_xlfn.XLOOKUP(TAB_H_ASIG_CON_DET[[#This Row],[DETALLADO]],MAE_CONOCIMIENTO[CAMPO_DETALLADO],MAE_CONOCIMIENTO[ID_DDETALLADO],"Seleccione Campo Detallado")</f>
        <v>F-C-D-</v>
      </c>
    </row>
    <row r="313" spans="1:8">
      <c r="A313">
        <v>328</v>
      </c>
      <c r="C313" t="str">
        <f>_xlfn.XLOOKUP(TAB_H_ASIG_CON_DET[[#This Row],[ID_CARRERA]],MAE_CARRERA[ID_CARRERA],MAE_CARRERA[NOMBRE_CARRERA],"Seleccione ID Carrera")</f>
        <v>Seleccione ID Carrera</v>
      </c>
      <c r="F313" t="str">
        <f>_xlfn.XLOOKUP(TAB_H_ASIG_CON_DET[[#This Row],[ASIGNATURA]],MAE_ASIGNATURA[NOM_ASIG],MAE_ASIGNATURA[ID_ASIG],"Seleccione Asignatura")</f>
        <v>Seleccione Asignatura</v>
      </c>
      <c r="H313" t="str">
        <f>_xlfn.XLOOKUP(TAB_H_ASIG_CON_DET[[#This Row],[DETALLADO]],MAE_CONOCIMIENTO[CAMPO_DETALLADO],MAE_CONOCIMIENTO[ID_DDETALLADO],"Seleccione Campo Detallado")</f>
        <v>F-C-D-</v>
      </c>
    </row>
    <row r="314" spans="1:8">
      <c r="A314">
        <v>329</v>
      </c>
      <c r="C314" t="str">
        <f>_xlfn.XLOOKUP(TAB_H_ASIG_CON_DET[[#This Row],[ID_CARRERA]],MAE_CARRERA[ID_CARRERA],MAE_CARRERA[NOMBRE_CARRERA],"Seleccione ID Carrera")</f>
        <v>Seleccione ID Carrera</v>
      </c>
      <c r="F314" t="str">
        <f>_xlfn.XLOOKUP(TAB_H_ASIG_CON_DET[[#This Row],[ASIGNATURA]],MAE_ASIGNATURA[NOM_ASIG],MAE_ASIGNATURA[ID_ASIG],"Seleccione Asignatura")</f>
        <v>Seleccione Asignatura</v>
      </c>
      <c r="H314" t="str">
        <f>_xlfn.XLOOKUP(TAB_H_ASIG_CON_DET[[#This Row],[DETALLADO]],MAE_CONOCIMIENTO[CAMPO_DETALLADO],MAE_CONOCIMIENTO[ID_DDETALLADO],"Seleccione Campo Detallado")</f>
        <v>F-C-D-</v>
      </c>
    </row>
    <row r="315" spans="1:8">
      <c r="A315">
        <v>330</v>
      </c>
      <c r="C315" t="str">
        <f>_xlfn.XLOOKUP(TAB_H_ASIG_CON_DET[[#This Row],[ID_CARRERA]],MAE_CARRERA[ID_CARRERA],MAE_CARRERA[NOMBRE_CARRERA],"Seleccione ID Carrera")</f>
        <v>Seleccione ID Carrera</v>
      </c>
      <c r="F315" t="str">
        <f>_xlfn.XLOOKUP(TAB_H_ASIG_CON_DET[[#This Row],[ASIGNATURA]],MAE_ASIGNATURA[NOM_ASIG],MAE_ASIGNATURA[ID_ASIG],"Seleccione Asignatura")</f>
        <v>Seleccione Asignatura</v>
      </c>
      <c r="H315" t="str">
        <f>_xlfn.XLOOKUP(TAB_H_ASIG_CON_DET[[#This Row],[DETALLADO]],MAE_CONOCIMIENTO[CAMPO_DETALLADO],MAE_CONOCIMIENTO[ID_DDETALLADO],"Seleccione Campo Detallado")</f>
        <v>F-C-D-</v>
      </c>
    </row>
    <row r="316" spans="1:8">
      <c r="A316">
        <v>331</v>
      </c>
      <c r="C316" t="str">
        <f>_xlfn.XLOOKUP(TAB_H_ASIG_CON_DET[[#This Row],[ID_CARRERA]],MAE_CARRERA[ID_CARRERA],MAE_CARRERA[NOMBRE_CARRERA],"Seleccione ID Carrera")</f>
        <v>Seleccione ID Carrera</v>
      </c>
      <c r="F316" t="str">
        <f>_xlfn.XLOOKUP(TAB_H_ASIG_CON_DET[[#This Row],[ASIGNATURA]],MAE_ASIGNATURA[NOM_ASIG],MAE_ASIGNATURA[ID_ASIG],"Seleccione Asignatura")</f>
        <v>Seleccione Asignatura</v>
      </c>
      <c r="H316" t="str">
        <f>_xlfn.XLOOKUP(TAB_H_ASIG_CON_DET[[#This Row],[DETALLADO]],MAE_CONOCIMIENTO[CAMPO_DETALLADO],MAE_CONOCIMIENTO[ID_DDETALLADO],"Seleccione Campo Detallado")</f>
        <v>F-C-D-</v>
      </c>
    </row>
    <row r="317" spans="1:8">
      <c r="A317">
        <v>332</v>
      </c>
      <c r="C317" t="str">
        <f>_xlfn.XLOOKUP(TAB_H_ASIG_CON_DET[[#This Row],[ID_CARRERA]],MAE_CARRERA[ID_CARRERA],MAE_CARRERA[NOMBRE_CARRERA],"Seleccione ID Carrera")</f>
        <v>Seleccione ID Carrera</v>
      </c>
      <c r="F317" t="str">
        <f>_xlfn.XLOOKUP(TAB_H_ASIG_CON_DET[[#This Row],[ASIGNATURA]],MAE_ASIGNATURA[NOM_ASIG],MAE_ASIGNATURA[ID_ASIG],"Seleccione Asignatura")</f>
        <v>Seleccione Asignatura</v>
      </c>
      <c r="H317" t="str">
        <f>_xlfn.XLOOKUP(TAB_H_ASIG_CON_DET[[#This Row],[DETALLADO]],MAE_CONOCIMIENTO[CAMPO_DETALLADO],MAE_CONOCIMIENTO[ID_DDETALLADO],"Seleccione Campo Detallado")</f>
        <v>F-C-D-</v>
      </c>
    </row>
    <row r="318" spans="1:8">
      <c r="A318">
        <v>333</v>
      </c>
      <c r="C318" t="str">
        <f>_xlfn.XLOOKUP(TAB_H_ASIG_CON_DET[[#This Row],[ID_CARRERA]],MAE_CARRERA[ID_CARRERA],MAE_CARRERA[NOMBRE_CARRERA],"Seleccione ID Carrera")</f>
        <v>Seleccione ID Carrera</v>
      </c>
      <c r="F318" t="str">
        <f>_xlfn.XLOOKUP(TAB_H_ASIG_CON_DET[[#This Row],[ASIGNATURA]],MAE_ASIGNATURA[NOM_ASIG],MAE_ASIGNATURA[ID_ASIG],"Seleccione Asignatura")</f>
        <v>Seleccione Asignatura</v>
      </c>
      <c r="H318" t="str">
        <f>_xlfn.XLOOKUP(TAB_H_ASIG_CON_DET[[#This Row],[DETALLADO]],MAE_CONOCIMIENTO[CAMPO_DETALLADO],MAE_CONOCIMIENTO[ID_DDETALLADO],"Seleccione Campo Detallado")</f>
        <v>F-C-D-</v>
      </c>
    </row>
    <row r="319" spans="1:8">
      <c r="A319">
        <v>334</v>
      </c>
      <c r="C319" t="str">
        <f>_xlfn.XLOOKUP(TAB_H_ASIG_CON_DET[[#This Row],[ID_CARRERA]],MAE_CARRERA[ID_CARRERA],MAE_CARRERA[NOMBRE_CARRERA],"Seleccione ID Carrera")</f>
        <v>Seleccione ID Carrera</v>
      </c>
      <c r="F319" t="str">
        <f>_xlfn.XLOOKUP(TAB_H_ASIG_CON_DET[[#This Row],[ASIGNATURA]],MAE_ASIGNATURA[NOM_ASIG],MAE_ASIGNATURA[ID_ASIG],"Seleccione Asignatura")</f>
        <v>Seleccione Asignatura</v>
      </c>
      <c r="H319" t="str">
        <f>_xlfn.XLOOKUP(TAB_H_ASIG_CON_DET[[#This Row],[DETALLADO]],MAE_CONOCIMIENTO[CAMPO_DETALLADO],MAE_CONOCIMIENTO[ID_DDETALLADO],"Seleccione Campo Detallado")</f>
        <v>F-C-D-</v>
      </c>
    </row>
    <row r="320" spans="1:8">
      <c r="A320">
        <v>335</v>
      </c>
      <c r="C320" t="str">
        <f>_xlfn.XLOOKUP(TAB_H_ASIG_CON_DET[[#This Row],[ID_CARRERA]],MAE_CARRERA[ID_CARRERA],MAE_CARRERA[NOMBRE_CARRERA],"Seleccione ID Carrera")</f>
        <v>Seleccione ID Carrera</v>
      </c>
      <c r="F320" t="str">
        <f>_xlfn.XLOOKUP(TAB_H_ASIG_CON_DET[[#This Row],[ASIGNATURA]],MAE_ASIGNATURA[NOM_ASIG],MAE_ASIGNATURA[ID_ASIG],"Seleccione Asignatura")</f>
        <v>Seleccione Asignatura</v>
      </c>
      <c r="H320" t="str">
        <f>_xlfn.XLOOKUP(TAB_H_ASIG_CON_DET[[#This Row],[DETALLADO]],MAE_CONOCIMIENTO[CAMPO_DETALLADO],MAE_CONOCIMIENTO[ID_DDETALLADO],"Seleccione Campo Detallado")</f>
        <v>F-C-D-</v>
      </c>
    </row>
    <row r="321" spans="1:8">
      <c r="A321">
        <v>336</v>
      </c>
      <c r="C321" t="str">
        <f>_xlfn.XLOOKUP(TAB_H_ASIG_CON_DET[[#This Row],[ID_CARRERA]],MAE_CARRERA[ID_CARRERA],MAE_CARRERA[NOMBRE_CARRERA],"Seleccione ID Carrera")</f>
        <v>Seleccione ID Carrera</v>
      </c>
      <c r="F321" t="str">
        <f>_xlfn.XLOOKUP(TAB_H_ASIG_CON_DET[[#This Row],[ASIGNATURA]],MAE_ASIGNATURA[NOM_ASIG],MAE_ASIGNATURA[ID_ASIG],"Seleccione Asignatura")</f>
        <v>Seleccione Asignatura</v>
      </c>
      <c r="H321" t="str">
        <f>_xlfn.XLOOKUP(TAB_H_ASIG_CON_DET[[#This Row],[DETALLADO]],MAE_CONOCIMIENTO[CAMPO_DETALLADO],MAE_CONOCIMIENTO[ID_DDETALLADO],"Seleccione Campo Detallado")</f>
        <v>F-C-D-</v>
      </c>
    </row>
    <row r="322" spans="1:8">
      <c r="A322">
        <v>337</v>
      </c>
      <c r="C322" t="str">
        <f>_xlfn.XLOOKUP(TAB_H_ASIG_CON_DET[[#This Row],[ID_CARRERA]],MAE_CARRERA[ID_CARRERA],MAE_CARRERA[NOMBRE_CARRERA],"Seleccione ID Carrera")</f>
        <v>Seleccione ID Carrera</v>
      </c>
      <c r="F322" t="str">
        <f>_xlfn.XLOOKUP(TAB_H_ASIG_CON_DET[[#This Row],[ASIGNATURA]],MAE_ASIGNATURA[NOM_ASIG],MAE_ASIGNATURA[ID_ASIG],"Seleccione Asignatura")</f>
        <v>Seleccione Asignatura</v>
      </c>
      <c r="H322" t="str">
        <f>_xlfn.XLOOKUP(TAB_H_ASIG_CON_DET[[#This Row],[DETALLADO]],MAE_CONOCIMIENTO[CAMPO_DETALLADO],MAE_CONOCIMIENTO[ID_DDETALLADO],"Seleccione Campo Detallado")</f>
        <v>F-C-D-</v>
      </c>
    </row>
    <row r="323" spans="1:8">
      <c r="A323">
        <v>338</v>
      </c>
      <c r="C323" t="str">
        <f>_xlfn.XLOOKUP(TAB_H_ASIG_CON_DET[[#This Row],[ID_CARRERA]],MAE_CARRERA[ID_CARRERA],MAE_CARRERA[NOMBRE_CARRERA],"Seleccione ID Carrera")</f>
        <v>Seleccione ID Carrera</v>
      </c>
      <c r="F323" t="str">
        <f>_xlfn.XLOOKUP(TAB_H_ASIG_CON_DET[[#This Row],[ASIGNATURA]],MAE_ASIGNATURA[NOM_ASIG],MAE_ASIGNATURA[ID_ASIG],"Seleccione Asignatura")</f>
        <v>Seleccione Asignatura</v>
      </c>
      <c r="H323" t="str">
        <f>_xlfn.XLOOKUP(TAB_H_ASIG_CON_DET[[#This Row],[DETALLADO]],MAE_CONOCIMIENTO[CAMPO_DETALLADO],MAE_CONOCIMIENTO[ID_DDETALLADO],"Seleccione Campo Detallado")</f>
        <v>F-C-D-</v>
      </c>
    </row>
    <row r="324" spans="1:8">
      <c r="A324">
        <v>339</v>
      </c>
      <c r="C324" t="str">
        <f>_xlfn.XLOOKUP(TAB_H_ASIG_CON_DET[[#This Row],[ID_CARRERA]],MAE_CARRERA[ID_CARRERA],MAE_CARRERA[NOMBRE_CARRERA],"Seleccione ID Carrera")</f>
        <v>Seleccione ID Carrera</v>
      </c>
      <c r="F324" t="str">
        <f>_xlfn.XLOOKUP(TAB_H_ASIG_CON_DET[[#This Row],[ASIGNATURA]],MAE_ASIGNATURA[NOM_ASIG],MAE_ASIGNATURA[ID_ASIG],"Seleccione Asignatura")</f>
        <v>Seleccione Asignatura</v>
      </c>
      <c r="H324" t="str">
        <f>_xlfn.XLOOKUP(TAB_H_ASIG_CON_DET[[#This Row],[DETALLADO]],MAE_CONOCIMIENTO[CAMPO_DETALLADO],MAE_CONOCIMIENTO[ID_DDETALLADO],"Seleccione Campo Detallado")</f>
        <v>F-C-D-</v>
      </c>
    </row>
    <row r="325" spans="1:8">
      <c r="A325">
        <v>340</v>
      </c>
      <c r="C325" t="str">
        <f>_xlfn.XLOOKUP(TAB_H_ASIG_CON_DET[[#This Row],[ID_CARRERA]],MAE_CARRERA[ID_CARRERA],MAE_CARRERA[NOMBRE_CARRERA],"Seleccione ID Carrera")</f>
        <v>Seleccione ID Carrera</v>
      </c>
      <c r="F325" t="str">
        <f>_xlfn.XLOOKUP(TAB_H_ASIG_CON_DET[[#This Row],[ASIGNATURA]],MAE_ASIGNATURA[NOM_ASIG],MAE_ASIGNATURA[ID_ASIG],"Seleccione Asignatura")</f>
        <v>Seleccione Asignatura</v>
      </c>
      <c r="H325" t="str">
        <f>_xlfn.XLOOKUP(TAB_H_ASIG_CON_DET[[#This Row],[DETALLADO]],MAE_CONOCIMIENTO[CAMPO_DETALLADO],MAE_CONOCIMIENTO[ID_DDETALLADO],"Seleccione Campo Detallado")</f>
        <v>F-C-D-</v>
      </c>
    </row>
    <row r="326" spans="1:8">
      <c r="A326">
        <v>341</v>
      </c>
      <c r="C326" t="str">
        <f>_xlfn.XLOOKUP(TAB_H_ASIG_CON_DET[[#This Row],[ID_CARRERA]],MAE_CARRERA[ID_CARRERA],MAE_CARRERA[NOMBRE_CARRERA],"Seleccione ID Carrera")</f>
        <v>Seleccione ID Carrera</v>
      </c>
      <c r="F326" t="str">
        <f>_xlfn.XLOOKUP(TAB_H_ASIG_CON_DET[[#This Row],[ASIGNATURA]],MAE_ASIGNATURA[NOM_ASIG],MAE_ASIGNATURA[ID_ASIG],"Seleccione Asignatura")</f>
        <v>Seleccione Asignatura</v>
      </c>
      <c r="H326" t="str">
        <f>_xlfn.XLOOKUP(TAB_H_ASIG_CON_DET[[#This Row],[DETALLADO]],MAE_CONOCIMIENTO[CAMPO_DETALLADO],MAE_CONOCIMIENTO[ID_DDETALLADO],"Seleccione Campo Detallado")</f>
        <v>F-C-D-</v>
      </c>
    </row>
    <row r="327" spans="1:8">
      <c r="A327">
        <v>342</v>
      </c>
      <c r="C327" t="str">
        <f>_xlfn.XLOOKUP(TAB_H_ASIG_CON_DET[[#This Row],[ID_CARRERA]],MAE_CARRERA[ID_CARRERA],MAE_CARRERA[NOMBRE_CARRERA],"Seleccione ID Carrera")</f>
        <v>Seleccione ID Carrera</v>
      </c>
      <c r="F327" t="str">
        <f>_xlfn.XLOOKUP(TAB_H_ASIG_CON_DET[[#This Row],[ASIGNATURA]],MAE_ASIGNATURA[NOM_ASIG],MAE_ASIGNATURA[ID_ASIG],"Seleccione Asignatura")</f>
        <v>Seleccione Asignatura</v>
      </c>
      <c r="H327" t="str">
        <f>_xlfn.XLOOKUP(TAB_H_ASIG_CON_DET[[#This Row],[DETALLADO]],MAE_CONOCIMIENTO[CAMPO_DETALLADO],MAE_CONOCIMIENTO[ID_DDETALLADO],"Seleccione Campo Detallado")</f>
        <v>F-C-D-</v>
      </c>
    </row>
    <row r="328" spans="1:8">
      <c r="A328">
        <v>343</v>
      </c>
      <c r="C328" t="str">
        <f>_xlfn.XLOOKUP(TAB_H_ASIG_CON_DET[[#This Row],[ID_CARRERA]],MAE_CARRERA[ID_CARRERA],MAE_CARRERA[NOMBRE_CARRERA],"Seleccione ID Carrera")</f>
        <v>Seleccione ID Carrera</v>
      </c>
      <c r="F328" t="str">
        <f>_xlfn.XLOOKUP(TAB_H_ASIG_CON_DET[[#This Row],[ASIGNATURA]],MAE_ASIGNATURA[NOM_ASIG],MAE_ASIGNATURA[ID_ASIG],"Seleccione Asignatura")</f>
        <v>Seleccione Asignatura</v>
      </c>
      <c r="H328" t="str">
        <f>_xlfn.XLOOKUP(TAB_H_ASIG_CON_DET[[#This Row],[DETALLADO]],MAE_CONOCIMIENTO[CAMPO_DETALLADO],MAE_CONOCIMIENTO[ID_DDETALLADO],"Seleccione Campo Detallado")</f>
        <v>F-C-D-</v>
      </c>
    </row>
    <row r="329" spans="1:8">
      <c r="A329">
        <v>344</v>
      </c>
      <c r="C329" t="str">
        <f>_xlfn.XLOOKUP(TAB_H_ASIG_CON_DET[[#This Row],[ID_CARRERA]],MAE_CARRERA[ID_CARRERA],MAE_CARRERA[NOMBRE_CARRERA],"Seleccione ID Carrera")</f>
        <v>Seleccione ID Carrera</v>
      </c>
      <c r="F329" t="str">
        <f>_xlfn.XLOOKUP(TAB_H_ASIG_CON_DET[[#This Row],[ASIGNATURA]],MAE_ASIGNATURA[NOM_ASIG],MAE_ASIGNATURA[ID_ASIG],"Seleccione Asignatura")</f>
        <v>Seleccione Asignatura</v>
      </c>
      <c r="H329" t="str">
        <f>_xlfn.XLOOKUP(TAB_H_ASIG_CON_DET[[#This Row],[DETALLADO]],MAE_CONOCIMIENTO[CAMPO_DETALLADO],MAE_CONOCIMIENTO[ID_DDETALLADO],"Seleccione Campo Detallado")</f>
        <v>F-C-D-</v>
      </c>
    </row>
    <row r="330" spans="1:8">
      <c r="A330">
        <v>345</v>
      </c>
      <c r="C330" t="str">
        <f>_xlfn.XLOOKUP(TAB_H_ASIG_CON_DET[[#This Row],[ID_CARRERA]],MAE_CARRERA[ID_CARRERA],MAE_CARRERA[NOMBRE_CARRERA],"Seleccione ID Carrera")</f>
        <v>Seleccione ID Carrera</v>
      </c>
      <c r="F330" t="str">
        <f>_xlfn.XLOOKUP(TAB_H_ASIG_CON_DET[[#This Row],[ASIGNATURA]],MAE_ASIGNATURA[NOM_ASIG],MAE_ASIGNATURA[ID_ASIG],"Seleccione Asignatura")</f>
        <v>Seleccione Asignatura</v>
      </c>
      <c r="H330" t="str">
        <f>_xlfn.XLOOKUP(TAB_H_ASIG_CON_DET[[#This Row],[DETALLADO]],MAE_CONOCIMIENTO[CAMPO_DETALLADO],MAE_CONOCIMIENTO[ID_DDETALLADO],"Seleccione Campo Detallado")</f>
        <v>F-C-D-</v>
      </c>
    </row>
    <row r="331" spans="1:8">
      <c r="A331">
        <v>346</v>
      </c>
      <c r="C331" t="str">
        <f>_xlfn.XLOOKUP(TAB_H_ASIG_CON_DET[[#This Row],[ID_CARRERA]],MAE_CARRERA[ID_CARRERA],MAE_CARRERA[NOMBRE_CARRERA],"Seleccione ID Carrera")</f>
        <v>Seleccione ID Carrera</v>
      </c>
      <c r="F331" t="str">
        <f>_xlfn.XLOOKUP(TAB_H_ASIG_CON_DET[[#This Row],[ASIGNATURA]],MAE_ASIGNATURA[NOM_ASIG],MAE_ASIGNATURA[ID_ASIG],"Seleccione Asignatura")</f>
        <v>Seleccione Asignatura</v>
      </c>
      <c r="H331" t="str">
        <f>_xlfn.XLOOKUP(TAB_H_ASIG_CON_DET[[#This Row],[DETALLADO]],MAE_CONOCIMIENTO[CAMPO_DETALLADO],MAE_CONOCIMIENTO[ID_DDETALLADO],"Seleccione Campo Detallado")</f>
        <v>F-C-D-</v>
      </c>
    </row>
    <row r="332" spans="1:8">
      <c r="A332">
        <v>347</v>
      </c>
      <c r="C332" t="str">
        <f>_xlfn.XLOOKUP(TAB_H_ASIG_CON_DET[[#This Row],[ID_CARRERA]],MAE_CARRERA[ID_CARRERA],MAE_CARRERA[NOMBRE_CARRERA],"Seleccione ID Carrera")</f>
        <v>Seleccione ID Carrera</v>
      </c>
      <c r="F332" t="str">
        <f>_xlfn.XLOOKUP(TAB_H_ASIG_CON_DET[[#This Row],[ASIGNATURA]],MAE_ASIGNATURA[NOM_ASIG],MAE_ASIGNATURA[ID_ASIG],"Seleccione Asignatura")</f>
        <v>Seleccione Asignatura</v>
      </c>
      <c r="H332" t="str">
        <f>_xlfn.XLOOKUP(TAB_H_ASIG_CON_DET[[#This Row],[DETALLADO]],MAE_CONOCIMIENTO[CAMPO_DETALLADO],MAE_CONOCIMIENTO[ID_DDETALLADO],"Seleccione Campo Detallado")</f>
        <v>F-C-D-</v>
      </c>
    </row>
    <row r="333" spans="1:8">
      <c r="A333">
        <v>348</v>
      </c>
      <c r="C333" t="str">
        <f>_xlfn.XLOOKUP(TAB_H_ASIG_CON_DET[[#This Row],[ID_CARRERA]],MAE_CARRERA[ID_CARRERA],MAE_CARRERA[NOMBRE_CARRERA],"Seleccione ID Carrera")</f>
        <v>Seleccione ID Carrera</v>
      </c>
      <c r="F333" t="str">
        <f>_xlfn.XLOOKUP(TAB_H_ASIG_CON_DET[[#This Row],[ASIGNATURA]],MAE_ASIGNATURA[NOM_ASIG],MAE_ASIGNATURA[ID_ASIG],"Seleccione Asignatura")</f>
        <v>Seleccione Asignatura</v>
      </c>
      <c r="H333" t="str">
        <f>_xlfn.XLOOKUP(TAB_H_ASIG_CON_DET[[#This Row],[DETALLADO]],MAE_CONOCIMIENTO[CAMPO_DETALLADO],MAE_CONOCIMIENTO[ID_DDETALLADO],"Seleccione Campo Detallado")</f>
        <v>F-C-D-</v>
      </c>
    </row>
    <row r="334" spans="1:8">
      <c r="A334">
        <v>349</v>
      </c>
      <c r="C334" t="str">
        <f>_xlfn.XLOOKUP(TAB_H_ASIG_CON_DET[[#This Row],[ID_CARRERA]],MAE_CARRERA[ID_CARRERA],MAE_CARRERA[NOMBRE_CARRERA],"Seleccione ID Carrera")</f>
        <v>Seleccione ID Carrera</v>
      </c>
      <c r="F334" t="str">
        <f>_xlfn.XLOOKUP(TAB_H_ASIG_CON_DET[[#This Row],[ASIGNATURA]],MAE_ASIGNATURA[NOM_ASIG],MAE_ASIGNATURA[ID_ASIG],"Seleccione Asignatura")</f>
        <v>Seleccione Asignatura</v>
      </c>
      <c r="H334" t="str">
        <f>_xlfn.XLOOKUP(TAB_H_ASIG_CON_DET[[#This Row],[DETALLADO]],MAE_CONOCIMIENTO[CAMPO_DETALLADO],MAE_CONOCIMIENTO[ID_DDETALLADO],"Seleccione Campo Detallado")</f>
        <v>F-C-D-</v>
      </c>
    </row>
    <row r="335" spans="1:8">
      <c r="A335">
        <v>350</v>
      </c>
      <c r="C335" t="str">
        <f>_xlfn.XLOOKUP(TAB_H_ASIG_CON_DET[[#This Row],[ID_CARRERA]],MAE_CARRERA[ID_CARRERA],MAE_CARRERA[NOMBRE_CARRERA],"Seleccione ID Carrera")</f>
        <v>Seleccione ID Carrera</v>
      </c>
      <c r="F335" t="str">
        <f>_xlfn.XLOOKUP(TAB_H_ASIG_CON_DET[[#This Row],[ASIGNATURA]],MAE_ASIGNATURA[NOM_ASIG],MAE_ASIGNATURA[ID_ASIG],"Seleccione Asignatura")</f>
        <v>Seleccione Asignatura</v>
      </c>
      <c r="H335" t="str">
        <f>_xlfn.XLOOKUP(TAB_H_ASIG_CON_DET[[#This Row],[DETALLADO]],MAE_CONOCIMIENTO[CAMPO_DETALLADO],MAE_CONOCIMIENTO[ID_DDETALLADO],"Seleccione Campo Detallado")</f>
        <v>F-C-D-</v>
      </c>
    </row>
    <row r="336" spans="1:8">
      <c r="A336">
        <v>351</v>
      </c>
      <c r="C336" t="str">
        <f>_xlfn.XLOOKUP(TAB_H_ASIG_CON_DET[[#This Row],[ID_CARRERA]],MAE_CARRERA[ID_CARRERA],MAE_CARRERA[NOMBRE_CARRERA],"Seleccione ID Carrera")</f>
        <v>Seleccione ID Carrera</v>
      </c>
      <c r="F336" t="str">
        <f>_xlfn.XLOOKUP(TAB_H_ASIG_CON_DET[[#This Row],[ASIGNATURA]],MAE_ASIGNATURA[NOM_ASIG],MAE_ASIGNATURA[ID_ASIG],"Seleccione Asignatura")</f>
        <v>Seleccione Asignatura</v>
      </c>
      <c r="H336" t="str">
        <f>_xlfn.XLOOKUP(TAB_H_ASIG_CON_DET[[#This Row],[DETALLADO]],MAE_CONOCIMIENTO[CAMPO_DETALLADO],MAE_CONOCIMIENTO[ID_DDETALLADO],"Seleccione Campo Detallado")</f>
        <v>F-C-D-</v>
      </c>
    </row>
    <row r="337" spans="1:8">
      <c r="A337">
        <v>352</v>
      </c>
      <c r="C337" t="str">
        <f>_xlfn.XLOOKUP(TAB_H_ASIG_CON_DET[[#This Row],[ID_CARRERA]],MAE_CARRERA[ID_CARRERA],MAE_CARRERA[NOMBRE_CARRERA],"Seleccione ID Carrera")</f>
        <v>Seleccione ID Carrera</v>
      </c>
      <c r="F337" t="str">
        <f>_xlfn.XLOOKUP(TAB_H_ASIG_CON_DET[[#This Row],[ASIGNATURA]],MAE_ASIGNATURA[NOM_ASIG],MAE_ASIGNATURA[ID_ASIG],"Seleccione Asignatura")</f>
        <v>Seleccione Asignatura</v>
      </c>
      <c r="H337" t="str">
        <f>_xlfn.XLOOKUP(TAB_H_ASIG_CON_DET[[#This Row],[DETALLADO]],MAE_CONOCIMIENTO[CAMPO_DETALLADO],MAE_CONOCIMIENTO[ID_DDETALLADO],"Seleccione Campo Detallado")</f>
        <v>F-C-D-</v>
      </c>
    </row>
    <row r="338" spans="1:8">
      <c r="A338">
        <v>353</v>
      </c>
      <c r="C338" t="str">
        <f>_xlfn.XLOOKUP(TAB_H_ASIG_CON_DET[[#This Row],[ID_CARRERA]],MAE_CARRERA[ID_CARRERA],MAE_CARRERA[NOMBRE_CARRERA],"Seleccione ID Carrera")</f>
        <v>Seleccione ID Carrera</v>
      </c>
      <c r="F338" t="str">
        <f>_xlfn.XLOOKUP(TAB_H_ASIG_CON_DET[[#This Row],[ASIGNATURA]],MAE_ASIGNATURA[NOM_ASIG],MAE_ASIGNATURA[ID_ASIG],"Seleccione Asignatura")</f>
        <v>Seleccione Asignatura</v>
      </c>
      <c r="H338" t="str">
        <f>_xlfn.XLOOKUP(TAB_H_ASIG_CON_DET[[#This Row],[DETALLADO]],MAE_CONOCIMIENTO[CAMPO_DETALLADO],MAE_CONOCIMIENTO[ID_DDETALLADO],"Seleccione Campo Detallado")</f>
        <v>F-C-D-</v>
      </c>
    </row>
    <row r="339" spans="1:8">
      <c r="A339">
        <v>354</v>
      </c>
      <c r="C339" t="str">
        <f>_xlfn.XLOOKUP(TAB_H_ASIG_CON_DET[[#This Row],[ID_CARRERA]],MAE_CARRERA[ID_CARRERA],MAE_CARRERA[NOMBRE_CARRERA],"Seleccione ID Carrera")</f>
        <v>Seleccione ID Carrera</v>
      </c>
      <c r="F339" t="str">
        <f>_xlfn.XLOOKUP(TAB_H_ASIG_CON_DET[[#This Row],[ASIGNATURA]],MAE_ASIGNATURA[NOM_ASIG],MAE_ASIGNATURA[ID_ASIG],"Seleccione Asignatura")</f>
        <v>Seleccione Asignatura</v>
      </c>
      <c r="H339" t="str">
        <f>_xlfn.XLOOKUP(TAB_H_ASIG_CON_DET[[#This Row],[DETALLADO]],MAE_CONOCIMIENTO[CAMPO_DETALLADO],MAE_CONOCIMIENTO[ID_DDETALLADO],"Seleccione Campo Detallado")</f>
        <v>F-C-D-</v>
      </c>
    </row>
    <row r="340" spans="1:8">
      <c r="A340">
        <v>355</v>
      </c>
      <c r="C340" t="str">
        <f>_xlfn.XLOOKUP(TAB_H_ASIG_CON_DET[[#This Row],[ID_CARRERA]],MAE_CARRERA[ID_CARRERA],MAE_CARRERA[NOMBRE_CARRERA],"Seleccione ID Carrera")</f>
        <v>Seleccione ID Carrera</v>
      </c>
      <c r="F340" t="str">
        <f>_xlfn.XLOOKUP(TAB_H_ASIG_CON_DET[[#This Row],[ASIGNATURA]],MAE_ASIGNATURA[NOM_ASIG],MAE_ASIGNATURA[ID_ASIG],"Seleccione Asignatura")</f>
        <v>Seleccione Asignatura</v>
      </c>
      <c r="H340" t="str">
        <f>_xlfn.XLOOKUP(TAB_H_ASIG_CON_DET[[#This Row],[DETALLADO]],MAE_CONOCIMIENTO[CAMPO_DETALLADO],MAE_CONOCIMIENTO[ID_DDETALLADO],"Seleccione Campo Detallado")</f>
        <v>F-C-D-</v>
      </c>
    </row>
    <row r="341" spans="1:8">
      <c r="A341">
        <v>356</v>
      </c>
      <c r="C341" t="str">
        <f>_xlfn.XLOOKUP(TAB_H_ASIG_CON_DET[[#This Row],[ID_CARRERA]],MAE_CARRERA[ID_CARRERA],MAE_CARRERA[NOMBRE_CARRERA],"Seleccione ID Carrera")</f>
        <v>Seleccione ID Carrera</v>
      </c>
      <c r="F341" t="str">
        <f>_xlfn.XLOOKUP(TAB_H_ASIG_CON_DET[[#This Row],[ASIGNATURA]],MAE_ASIGNATURA[NOM_ASIG],MAE_ASIGNATURA[ID_ASIG],"Seleccione Asignatura")</f>
        <v>Seleccione Asignatura</v>
      </c>
      <c r="H341" t="str">
        <f>_xlfn.XLOOKUP(TAB_H_ASIG_CON_DET[[#This Row],[DETALLADO]],MAE_CONOCIMIENTO[CAMPO_DETALLADO],MAE_CONOCIMIENTO[ID_DDETALLADO],"Seleccione Campo Detallado")</f>
        <v>F-C-D-</v>
      </c>
    </row>
    <row r="342" spans="1:8">
      <c r="A342">
        <v>357</v>
      </c>
      <c r="C342" t="str">
        <f>_xlfn.XLOOKUP(TAB_H_ASIG_CON_DET[[#This Row],[ID_CARRERA]],MAE_CARRERA[ID_CARRERA],MAE_CARRERA[NOMBRE_CARRERA],"Seleccione ID Carrera")</f>
        <v>Seleccione ID Carrera</v>
      </c>
      <c r="F342" t="str">
        <f>_xlfn.XLOOKUP(TAB_H_ASIG_CON_DET[[#This Row],[ASIGNATURA]],MAE_ASIGNATURA[NOM_ASIG],MAE_ASIGNATURA[ID_ASIG],"Seleccione Asignatura")</f>
        <v>Seleccione Asignatura</v>
      </c>
      <c r="H342" t="str">
        <f>_xlfn.XLOOKUP(TAB_H_ASIG_CON_DET[[#This Row],[DETALLADO]],MAE_CONOCIMIENTO[CAMPO_DETALLADO],MAE_CONOCIMIENTO[ID_DDETALLADO],"Seleccione Campo Detallado")</f>
        <v>F-C-D-</v>
      </c>
    </row>
    <row r="343" spans="1:8">
      <c r="A343">
        <v>358</v>
      </c>
      <c r="C343" t="str">
        <f>_xlfn.XLOOKUP(TAB_H_ASIG_CON_DET[[#This Row],[ID_CARRERA]],MAE_CARRERA[ID_CARRERA],MAE_CARRERA[NOMBRE_CARRERA],"Seleccione ID Carrera")</f>
        <v>Seleccione ID Carrera</v>
      </c>
      <c r="F343" t="str">
        <f>_xlfn.XLOOKUP(TAB_H_ASIG_CON_DET[[#This Row],[ASIGNATURA]],MAE_ASIGNATURA[NOM_ASIG],MAE_ASIGNATURA[ID_ASIG],"Seleccione Asignatura")</f>
        <v>Seleccione Asignatura</v>
      </c>
      <c r="H343" t="str">
        <f>_xlfn.XLOOKUP(TAB_H_ASIG_CON_DET[[#This Row],[DETALLADO]],MAE_CONOCIMIENTO[CAMPO_DETALLADO],MAE_CONOCIMIENTO[ID_DDETALLADO],"Seleccione Campo Detallado")</f>
        <v>F-C-D-</v>
      </c>
    </row>
    <row r="344" spans="1:8">
      <c r="A344">
        <v>359</v>
      </c>
      <c r="C344" t="str">
        <f>_xlfn.XLOOKUP(TAB_H_ASIG_CON_DET[[#This Row],[ID_CARRERA]],MAE_CARRERA[ID_CARRERA],MAE_CARRERA[NOMBRE_CARRERA],"Seleccione ID Carrera")</f>
        <v>Seleccione ID Carrera</v>
      </c>
      <c r="F344" t="str">
        <f>_xlfn.XLOOKUP(TAB_H_ASIG_CON_DET[[#This Row],[ASIGNATURA]],MAE_ASIGNATURA[NOM_ASIG],MAE_ASIGNATURA[ID_ASIG],"Seleccione Asignatura")</f>
        <v>Seleccione Asignatura</v>
      </c>
      <c r="H344" t="str">
        <f>_xlfn.XLOOKUP(TAB_H_ASIG_CON_DET[[#This Row],[DETALLADO]],MAE_CONOCIMIENTO[CAMPO_DETALLADO],MAE_CONOCIMIENTO[ID_DDETALLADO],"Seleccione Campo Detallado")</f>
        <v>F-C-D-</v>
      </c>
    </row>
    <row r="345" spans="1:8">
      <c r="A345">
        <v>360</v>
      </c>
      <c r="C345" t="str">
        <f>_xlfn.XLOOKUP(TAB_H_ASIG_CON_DET[[#This Row],[ID_CARRERA]],MAE_CARRERA[ID_CARRERA],MAE_CARRERA[NOMBRE_CARRERA],"Seleccione ID Carrera")</f>
        <v>Seleccione ID Carrera</v>
      </c>
      <c r="F345" t="str">
        <f>_xlfn.XLOOKUP(TAB_H_ASIG_CON_DET[[#This Row],[ASIGNATURA]],MAE_ASIGNATURA[NOM_ASIG],MAE_ASIGNATURA[ID_ASIG],"Seleccione Asignatura")</f>
        <v>Seleccione Asignatura</v>
      </c>
      <c r="H345" t="str">
        <f>_xlfn.XLOOKUP(TAB_H_ASIG_CON_DET[[#This Row],[DETALLADO]],MAE_CONOCIMIENTO[CAMPO_DETALLADO],MAE_CONOCIMIENTO[ID_DDETALLADO],"Seleccione Campo Detallado")</f>
        <v>F-C-D-</v>
      </c>
    </row>
    <row r="346" spans="1:8">
      <c r="A346">
        <v>361</v>
      </c>
      <c r="C346" t="str">
        <f>_xlfn.XLOOKUP(TAB_H_ASIG_CON_DET[[#This Row],[ID_CARRERA]],MAE_CARRERA[ID_CARRERA],MAE_CARRERA[NOMBRE_CARRERA],"Seleccione ID Carrera")</f>
        <v>Seleccione ID Carrera</v>
      </c>
      <c r="F346" t="str">
        <f>_xlfn.XLOOKUP(TAB_H_ASIG_CON_DET[[#This Row],[ASIGNATURA]],MAE_ASIGNATURA[NOM_ASIG],MAE_ASIGNATURA[ID_ASIG],"Seleccione Asignatura")</f>
        <v>Seleccione Asignatura</v>
      </c>
      <c r="H346" t="str">
        <f>_xlfn.XLOOKUP(TAB_H_ASIG_CON_DET[[#This Row],[DETALLADO]],MAE_CONOCIMIENTO[CAMPO_DETALLADO],MAE_CONOCIMIENTO[ID_DDETALLADO],"Seleccione Campo Detallado")</f>
        <v>F-C-D-</v>
      </c>
    </row>
    <row r="347" spans="1:8">
      <c r="A347">
        <v>362</v>
      </c>
      <c r="C347" t="str">
        <f>_xlfn.XLOOKUP(TAB_H_ASIG_CON_DET[[#This Row],[ID_CARRERA]],MAE_CARRERA[ID_CARRERA],MAE_CARRERA[NOMBRE_CARRERA],"Seleccione ID Carrera")</f>
        <v>Seleccione ID Carrera</v>
      </c>
      <c r="F347" t="str">
        <f>_xlfn.XLOOKUP(TAB_H_ASIG_CON_DET[[#This Row],[ASIGNATURA]],MAE_ASIGNATURA[NOM_ASIG],MAE_ASIGNATURA[ID_ASIG],"Seleccione Asignatura")</f>
        <v>Seleccione Asignatura</v>
      </c>
      <c r="H347" t="str">
        <f>_xlfn.XLOOKUP(TAB_H_ASIG_CON_DET[[#This Row],[DETALLADO]],MAE_CONOCIMIENTO[CAMPO_DETALLADO],MAE_CONOCIMIENTO[ID_DDETALLADO],"Seleccione Campo Detallado")</f>
        <v>F-C-D-</v>
      </c>
    </row>
    <row r="348" spans="1:8">
      <c r="A348">
        <v>363</v>
      </c>
      <c r="C348" t="str">
        <f>_xlfn.XLOOKUP(TAB_H_ASIG_CON_DET[[#This Row],[ID_CARRERA]],MAE_CARRERA[ID_CARRERA],MAE_CARRERA[NOMBRE_CARRERA],"Seleccione ID Carrera")</f>
        <v>Seleccione ID Carrera</v>
      </c>
      <c r="F348" t="str">
        <f>_xlfn.XLOOKUP(TAB_H_ASIG_CON_DET[[#This Row],[ASIGNATURA]],MAE_ASIGNATURA[NOM_ASIG],MAE_ASIGNATURA[ID_ASIG],"Seleccione Asignatura")</f>
        <v>Seleccione Asignatura</v>
      </c>
      <c r="H348" t="str">
        <f>_xlfn.XLOOKUP(TAB_H_ASIG_CON_DET[[#This Row],[DETALLADO]],MAE_CONOCIMIENTO[CAMPO_DETALLADO],MAE_CONOCIMIENTO[ID_DDETALLADO],"Seleccione Campo Detallado")</f>
        <v>F-C-D-</v>
      </c>
    </row>
    <row r="349" spans="1:8">
      <c r="A349">
        <v>364</v>
      </c>
      <c r="C349" t="str">
        <f>_xlfn.XLOOKUP(TAB_H_ASIG_CON_DET[[#This Row],[ID_CARRERA]],MAE_CARRERA[ID_CARRERA],MAE_CARRERA[NOMBRE_CARRERA],"Seleccione ID Carrera")</f>
        <v>Seleccione ID Carrera</v>
      </c>
      <c r="F349" t="str">
        <f>_xlfn.XLOOKUP(TAB_H_ASIG_CON_DET[[#This Row],[ASIGNATURA]],MAE_ASIGNATURA[NOM_ASIG],MAE_ASIGNATURA[ID_ASIG],"Seleccione Asignatura")</f>
        <v>Seleccione Asignatura</v>
      </c>
      <c r="H349" t="str">
        <f>_xlfn.XLOOKUP(TAB_H_ASIG_CON_DET[[#This Row],[DETALLADO]],MAE_CONOCIMIENTO[CAMPO_DETALLADO],MAE_CONOCIMIENTO[ID_DDETALLADO],"Seleccione Campo Detallado")</f>
        <v>F-C-D-</v>
      </c>
    </row>
    <row r="350" spans="1:8">
      <c r="A350">
        <v>365</v>
      </c>
      <c r="C350" t="str">
        <f>_xlfn.XLOOKUP(TAB_H_ASIG_CON_DET[[#This Row],[ID_CARRERA]],MAE_CARRERA[ID_CARRERA],MAE_CARRERA[NOMBRE_CARRERA],"Seleccione ID Carrera")</f>
        <v>Seleccione ID Carrera</v>
      </c>
      <c r="F350" t="str">
        <f>_xlfn.XLOOKUP(TAB_H_ASIG_CON_DET[[#This Row],[ASIGNATURA]],MAE_ASIGNATURA[NOM_ASIG],MAE_ASIGNATURA[ID_ASIG],"Seleccione Asignatura")</f>
        <v>Seleccione Asignatura</v>
      </c>
      <c r="H350" t="str">
        <f>_xlfn.XLOOKUP(TAB_H_ASIG_CON_DET[[#This Row],[DETALLADO]],MAE_CONOCIMIENTO[CAMPO_DETALLADO],MAE_CONOCIMIENTO[ID_DDETALLADO],"Seleccione Campo Detallado")</f>
        <v>F-C-D-</v>
      </c>
    </row>
    <row r="351" spans="1:8">
      <c r="A351">
        <v>366</v>
      </c>
      <c r="C351" t="str">
        <f>_xlfn.XLOOKUP(TAB_H_ASIG_CON_DET[[#This Row],[ID_CARRERA]],MAE_CARRERA[ID_CARRERA],MAE_CARRERA[NOMBRE_CARRERA],"Seleccione ID Carrera")</f>
        <v>Seleccione ID Carrera</v>
      </c>
      <c r="F351" t="str">
        <f>_xlfn.XLOOKUP(TAB_H_ASIG_CON_DET[[#This Row],[ASIGNATURA]],MAE_ASIGNATURA[NOM_ASIG],MAE_ASIGNATURA[ID_ASIG],"Seleccione Asignatura")</f>
        <v>Seleccione Asignatura</v>
      </c>
      <c r="H351" t="str">
        <f>_xlfn.XLOOKUP(TAB_H_ASIG_CON_DET[[#This Row],[DETALLADO]],MAE_CONOCIMIENTO[CAMPO_DETALLADO],MAE_CONOCIMIENTO[ID_DDETALLADO],"Seleccione Campo Detallado")</f>
        <v>F-C-D-</v>
      </c>
    </row>
    <row r="352" spans="1:8">
      <c r="A352">
        <v>367</v>
      </c>
      <c r="C352" t="str">
        <f>_xlfn.XLOOKUP(TAB_H_ASIG_CON_DET[[#This Row],[ID_CARRERA]],MAE_CARRERA[ID_CARRERA],MAE_CARRERA[NOMBRE_CARRERA],"Seleccione ID Carrera")</f>
        <v>Seleccione ID Carrera</v>
      </c>
      <c r="F352" t="str">
        <f>_xlfn.XLOOKUP(TAB_H_ASIG_CON_DET[[#This Row],[ASIGNATURA]],MAE_ASIGNATURA[NOM_ASIG],MAE_ASIGNATURA[ID_ASIG],"Seleccione Asignatura")</f>
        <v>Seleccione Asignatura</v>
      </c>
      <c r="H352" t="str">
        <f>_xlfn.XLOOKUP(TAB_H_ASIG_CON_DET[[#This Row],[DETALLADO]],MAE_CONOCIMIENTO[CAMPO_DETALLADO],MAE_CONOCIMIENTO[ID_DDETALLADO],"Seleccione Campo Detallado")</f>
        <v>F-C-D-</v>
      </c>
    </row>
    <row r="353" spans="1:8">
      <c r="A353">
        <v>368</v>
      </c>
      <c r="C353" t="str">
        <f>_xlfn.XLOOKUP(TAB_H_ASIG_CON_DET[[#This Row],[ID_CARRERA]],MAE_CARRERA[ID_CARRERA],MAE_CARRERA[NOMBRE_CARRERA],"Seleccione ID Carrera")</f>
        <v>Seleccione ID Carrera</v>
      </c>
      <c r="F353" t="str">
        <f>_xlfn.XLOOKUP(TAB_H_ASIG_CON_DET[[#This Row],[ASIGNATURA]],MAE_ASIGNATURA[NOM_ASIG],MAE_ASIGNATURA[ID_ASIG],"Seleccione Asignatura")</f>
        <v>Seleccione Asignatura</v>
      </c>
      <c r="H353" t="str">
        <f>_xlfn.XLOOKUP(TAB_H_ASIG_CON_DET[[#This Row],[DETALLADO]],MAE_CONOCIMIENTO[CAMPO_DETALLADO],MAE_CONOCIMIENTO[ID_DDETALLADO],"Seleccione Campo Detallado")</f>
        <v>F-C-D-</v>
      </c>
    </row>
    <row r="354" spans="1:8">
      <c r="A354">
        <v>369</v>
      </c>
      <c r="C354" t="str">
        <f>_xlfn.XLOOKUP(TAB_H_ASIG_CON_DET[[#This Row],[ID_CARRERA]],MAE_CARRERA[ID_CARRERA],MAE_CARRERA[NOMBRE_CARRERA],"Seleccione ID Carrera")</f>
        <v>Seleccione ID Carrera</v>
      </c>
      <c r="F354" t="str">
        <f>_xlfn.XLOOKUP(TAB_H_ASIG_CON_DET[[#This Row],[ASIGNATURA]],MAE_ASIGNATURA[NOM_ASIG],MAE_ASIGNATURA[ID_ASIG],"Seleccione Asignatura")</f>
        <v>Seleccione Asignatura</v>
      </c>
      <c r="H354" t="str">
        <f>_xlfn.XLOOKUP(TAB_H_ASIG_CON_DET[[#This Row],[DETALLADO]],MAE_CONOCIMIENTO[CAMPO_DETALLADO],MAE_CONOCIMIENTO[ID_DDETALLADO],"Seleccione Campo Detallado")</f>
        <v>F-C-D-</v>
      </c>
    </row>
    <row r="355" spans="1:8">
      <c r="A355">
        <v>370</v>
      </c>
      <c r="C355" t="str">
        <f>_xlfn.XLOOKUP(TAB_H_ASIG_CON_DET[[#This Row],[ID_CARRERA]],MAE_CARRERA[ID_CARRERA],MAE_CARRERA[NOMBRE_CARRERA],"Seleccione ID Carrera")</f>
        <v>Seleccione ID Carrera</v>
      </c>
      <c r="F355" t="str">
        <f>_xlfn.XLOOKUP(TAB_H_ASIG_CON_DET[[#This Row],[ASIGNATURA]],MAE_ASIGNATURA[NOM_ASIG],MAE_ASIGNATURA[ID_ASIG],"Seleccione Asignatura")</f>
        <v>Seleccione Asignatura</v>
      </c>
      <c r="H355" t="str">
        <f>_xlfn.XLOOKUP(TAB_H_ASIG_CON_DET[[#This Row],[DETALLADO]],MAE_CONOCIMIENTO[CAMPO_DETALLADO],MAE_CONOCIMIENTO[ID_DDETALLADO],"Seleccione Campo Detallado")</f>
        <v>F-C-D-</v>
      </c>
    </row>
    <row r="356" spans="1:8">
      <c r="A356">
        <v>371</v>
      </c>
      <c r="C356" t="str">
        <f>_xlfn.XLOOKUP(TAB_H_ASIG_CON_DET[[#This Row],[ID_CARRERA]],MAE_CARRERA[ID_CARRERA],MAE_CARRERA[NOMBRE_CARRERA],"Seleccione ID Carrera")</f>
        <v>Seleccione ID Carrera</v>
      </c>
      <c r="F356" t="str">
        <f>_xlfn.XLOOKUP(TAB_H_ASIG_CON_DET[[#This Row],[ASIGNATURA]],MAE_ASIGNATURA[NOM_ASIG],MAE_ASIGNATURA[ID_ASIG],"Seleccione Asignatura")</f>
        <v>Seleccione Asignatura</v>
      </c>
      <c r="H356" t="str">
        <f>_xlfn.XLOOKUP(TAB_H_ASIG_CON_DET[[#This Row],[DETALLADO]],MAE_CONOCIMIENTO[CAMPO_DETALLADO],MAE_CONOCIMIENTO[ID_DDETALLADO],"Seleccione Campo Detallado")</f>
        <v>F-C-D-</v>
      </c>
    </row>
    <row r="357" spans="1:8">
      <c r="A357">
        <v>372</v>
      </c>
      <c r="C357" t="str">
        <f>_xlfn.XLOOKUP(TAB_H_ASIG_CON_DET[[#This Row],[ID_CARRERA]],MAE_CARRERA[ID_CARRERA],MAE_CARRERA[NOMBRE_CARRERA],"Seleccione ID Carrera")</f>
        <v>Seleccione ID Carrera</v>
      </c>
      <c r="F357" t="str">
        <f>_xlfn.XLOOKUP(TAB_H_ASIG_CON_DET[[#This Row],[ASIGNATURA]],MAE_ASIGNATURA[NOM_ASIG],MAE_ASIGNATURA[ID_ASIG],"Seleccione Asignatura")</f>
        <v>Seleccione Asignatura</v>
      </c>
      <c r="H357" t="str">
        <f>_xlfn.XLOOKUP(TAB_H_ASIG_CON_DET[[#This Row],[DETALLADO]],MAE_CONOCIMIENTO[CAMPO_DETALLADO],MAE_CONOCIMIENTO[ID_DDETALLADO],"Seleccione Campo Detallado")</f>
        <v>F-C-D-</v>
      </c>
    </row>
    <row r="358" spans="1:8">
      <c r="A358">
        <v>373</v>
      </c>
      <c r="C358" t="str">
        <f>_xlfn.XLOOKUP(TAB_H_ASIG_CON_DET[[#This Row],[ID_CARRERA]],MAE_CARRERA[ID_CARRERA],MAE_CARRERA[NOMBRE_CARRERA],"Seleccione ID Carrera")</f>
        <v>Seleccione ID Carrera</v>
      </c>
      <c r="F358" t="str">
        <f>_xlfn.XLOOKUP(TAB_H_ASIG_CON_DET[[#This Row],[ASIGNATURA]],MAE_ASIGNATURA[NOM_ASIG],MAE_ASIGNATURA[ID_ASIG],"Seleccione Asignatura")</f>
        <v>Seleccione Asignatura</v>
      </c>
      <c r="H358" t="str">
        <f>_xlfn.XLOOKUP(TAB_H_ASIG_CON_DET[[#This Row],[DETALLADO]],MAE_CONOCIMIENTO[CAMPO_DETALLADO],MAE_CONOCIMIENTO[ID_DDETALLADO],"Seleccione Campo Detallado")</f>
        <v>F-C-D-</v>
      </c>
    </row>
    <row r="359" spans="1:8">
      <c r="A359">
        <v>374</v>
      </c>
      <c r="C359" t="str">
        <f>_xlfn.XLOOKUP(TAB_H_ASIG_CON_DET[[#This Row],[ID_CARRERA]],MAE_CARRERA[ID_CARRERA],MAE_CARRERA[NOMBRE_CARRERA],"Seleccione ID Carrera")</f>
        <v>Seleccione ID Carrera</v>
      </c>
      <c r="F359" t="str">
        <f>_xlfn.XLOOKUP(TAB_H_ASIG_CON_DET[[#This Row],[ASIGNATURA]],MAE_ASIGNATURA[NOM_ASIG],MAE_ASIGNATURA[ID_ASIG],"Seleccione Asignatura")</f>
        <v>Seleccione Asignatura</v>
      </c>
      <c r="H359" t="str">
        <f>_xlfn.XLOOKUP(TAB_H_ASIG_CON_DET[[#This Row],[DETALLADO]],MAE_CONOCIMIENTO[CAMPO_DETALLADO],MAE_CONOCIMIENTO[ID_DDETALLADO],"Seleccione Campo Detallado")</f>
        <v>F-C-D-</v>
      </c>
    </row>
    <row r="360" spans="1:8">
      <c r="A360">
        <v>375</v>
      </c>
      <c r="C360" t="str">
        <f>_xlfn.XLOOKUP(TAB_H_ASIG_CON_DET[[#This Row],[ID_CARRERA]],MAE_CARRERA[ID_CARRERA],MAE_CARRERA[NOMBRE_CARRERA],"Seleccione ID Carrera")</f>
        <v>Seleccione ID Carrera</v>
      </c>
      <c r="F360" t="str">
        <f>_xlfn.XLOOKUP(TAB_H_ASIG_CON_DET[[#This Row],[ASIGNATURA]],MAE_ASIGNATURA[NOM_ASIG],MAE_ASIGNATURA[ID_ASIG],"Seleccione Asignatura")</f>
        <v>Seleccione Asignatura</v>
      </c>
      <c r="H360" t="str">
        <f>_xlfn.XLOOKUP(TAB_H_ASIG_CON_DET[[#This Row],[DETALLADO]],MAE_CONOCIMIENTO[CAMPO_DETALLADO],MAE_CONOCIMIENTO[ID_DDETALLADO],"Seleccione Campo Detallado")</f>
        <v>F-C-D-</v>
      </c>
    </row>
    <row r="361" spans="1:8">
      <c r="A361">
        <v>376</v>
      </c>
      <c r="C361" t="str">
        <f>_xlfn.XLOOKUP(TAB_H_ASIG_CON_DET[[#This Row],[ID_CARRERA]],MAE_CARRERA[ID_CARRERA],MAE_CARRERA[NOMBRE_CARRERA],"Seleccione ID Carrera")</f>
        <v>Seleccione ID Carrera</v>
      </c>
      <c r="F361" t="str">
        <f>_xlfn.XLOOKUP(TAB_H_ASIG_CON_DET[[#This Row],[ASIGNATURA]],MAE_ASIGNATURA[NOM_ASIG],MAE_ASIGNATURA[ID_ASIG],"Seleccione Asignatura")</f>
        <v>Seleccione Asignatura</v>
      </c>
      <c r="H361" t="str">
        <f>_xlfn.XLOOKUP(TAB_H_ASIG_CON_DET[[#This Row],[DETALLADO]],MAE_CONOCIMIENTO[CAMPO_DETALLADO],MAE_CONOCIMIENTO[ID_DDETALLADO],"Seleccione Campo Detallado")</f>
        <v>F-C-D-</v>
      </c>
    </row>
    <row r="362" spans="1:8">
      <c r="A362">
        <v>377</v>
      </c>
      <c r="C362" t="str">
        <f>_xlfn.XLOOKUP(TAB_H_ASIG_CON_DET[[#This Row],[ID_CARRERA]],MAE_CARRERA[ID_CARRERA],MAE_CARRERA[NOMBRE_CARRERA],"Seleccione ID Carrera")</f>
        <v>Seleccione ID Carrera</v>
      </c>
      <c r="F362" t="str">
        <f>_xlfn.XLOOKUP(TAB_H_ASIG_CON_DET[[#This Row],[ASIGNATURA]],MAE_ASIGNATURA[NOM_ASIG],MAE_ASIGNATURA[ID_ASIG],"Seleccione Asignatura")</f>
        <v>Seleccione Asignatura</v>
      </c>
      <c r="H362" t="str">
        <f>_xlfn.XLOOKUP(TAB_H_ASIG_CON_DET[[#This Row],[DETALLADO]],MAE_CONOCIMIENTO[CAMPO_DETALLADO],MAE_CONOCIMIENTO[ID_DDETALLADO],"Seleccione Campo Detallado")</f>
        <v>F-C-D-</v>
      </c>
    </row>
    <row r="363" spans="1:8">
      <c r="A363">
        <v>378</v>
      </c>
      <c r="C363" t="str">
        <f>_xlfn.XLOOKUP(TAB_H_ASIG_CON_DET[[#This Row],[ID_CARRERA]],MAE_CARRERA[ID_CARRERA],MAE_CARRERA[NOMBRE_CARRERA],"Seleccione ID Carrera")</f>
        <v>Seleccione ID Carrera</v>
      </c>
      <c r="F363" t="str">
        <f>_xlfn.XLOOKUP(TAB_H_ASIG_CON_DET[[#This Row],[ASIGNATURA]],MAE_ASIGNATURA[NOM_ASIG],MAE_ASIGNATURA[ID_ASIG],"Seleccione Asignatura")</f>
        <v>Seleccione Asignatura</v>
      </c>
      <c r="H363" t="str">
        <f>_xlfn.XLOOKUP(TAB_H_ASIG_CON_DET[[#This Row],[DETALLADO]],MAE_CONOCIMIENTO[CAMPO_DETALLADO],MAE_CONOCIMIENTO[ID_DDETALLADO],"Seleccione Campo Detallado")</f>
        <v>F-C-D-</v>
      </c>
    </row>
    <row r="364" spans="1:8">
      <c r="A364">
        <v>379</v>
      </c>
      <c r="C364" t="str">
        <f>_xlfn.XLOOKUP(TAB_H_ASIG_CON_DET[[#This Row],[ID_CARRERA]],MAE_CARRERA[ID_CARRERA],MAE_CARRERA[NOMBRE_CARRERA],"Seleccione ID Carrera")</f>
        <v>Seleccione ID Carrera</v>
      </c>
      <c r="F364" t="str">
        <f>_xlfn.XLOOKUP(TAB_H_ASIG_CON_DET[[#This Row],[ASIGNATURA]],MAE_ASIGNATURA[NOM_ASIG],MAE_ASIGNATURA[ID_ASIG],"Seleccione Asignatura")</f>
        <v>Seleccione Asignatura</v>
      </c>
      <c r="H364" t="str">
        <f>_xlfn.XLOOKUP(TAB_H_ASIG_CON_DET[[#This Row],[DETALLADO]],MAE_CONOCIMIENTO[CAMPO_DETALLADO],MAE_CONOCIMIENTO[ID_DDETALLADO],"Seleccione Campo Detallado")</f>
        <v>F-C-D-</v>
      </c>
    </row>
    <row r="365" spans="1:8">
      <c r="A365">
        <v>380</v>
      </c>
      <c r="C365" t="str">
        <f>_xlfn.XLOOKUP(TAB_H_ASIG_CON_DET[[#This Row],[ID_CARRERA]],MAE_CARRERA[ID_CARRERA],MAE_CARRERA[NOMBRE_CARRERA],"Seleccione ID Carrera")</f>
        <v>Seleccione ID Carrera</v>
      </c>
      <c r="F365" t="str">
        <f>_xlfn.XLOOKUP(TAB_H_ASIG_CON_DET[[#This Row],[ASIGNATURA]],MAE_ASIGNATURA[NOM_ASIG],MAE_ASIGNATURA[ID_ASIG],"Seleccione Asignatura")</f>
        <v>Seleccione Asignatura</v>
      </c>
      <c r="H365" t="str">
        <f>_xlfn.XLOOKUP(TAB_H_ASIG_CON_DET[[#This Row],[DETALLADO]],MAE_CONOCIMIENTO[CAMPO_DETALLADO],MAE_CONOCIMIENTO[ID_DDETALLADO],"Seleccione Campo Detallado")</f>
        <v>F-C-D-</v>
      </c>
    </row>
    <row r="366" spans="1:8">
      <c r="A366">
        <v>381</v>
      </c>
      <c r="C366" t="str">
        <f>_xlfn.XLOOKUP(TAB_H_ASIG_CON_DET[[#This Row],[ID_CARRERA]],MAE_CARRERA[ID_CARRERA],MAE_CARRERA[NOMBRE_CARRERA],"Seleccione ID Carrera")</f>
        <v>Seleccione ID Carrera</v>
      </c>
      <c r="F366" t="str">
        <f>_xlfn.XLOOKUP(TAB_H_ASIG_CON_DET[[#This Row],[ASIGNATURA]],MAE_ASIGNATURA[NOM_ASIG],MAE_ASIGNATURA[ID_ASIG],"Seleccione Asignatura")</f>
        <v>Seleccione Asignatura</v>
      </c>
      <c r="H366" t="str">
        <f>_xlfn.XLOOKUP(TAB_H_ASIG_CON_DET[[#This Row],[DETALLADO]],MAE_CONOCIMIENTO[CAMPO_DETALLADO],MAE_CONOCIMIENTO[ID_DDETALLADO],"Seleccione Campo Detallado")</f>
        <v>F-C-D-</v>
      </c>
    </row>
    <row r="367" spans="1:8">
      <c r="A367">
        <v>382</v>
      </c>
      <c r="C367" t="str">
        <f>_xlfn.XLOOKUP(TAB_H_ASIG_CON_DET[[#This Row],[ID_CARRERA]],MAE_CARRERA[ID_CARRERA],MAE_CARRERA[NOMBRE_CARRERA],"Seleccione ID Carrera")</f>
        <v>Seleccione ID Carrera</v>
      </c>
      <c r="F367" t="str">
        <f>_xlfn.XLOOKUP(TAB_H_ASIG_CON_DET[[#This Row],[ASIGNATURA]],MAE_ASIGNATURA[NOM_ASIG],MAE_ASIGNATURA[ID_ASIG],"Seleccione Asignatura")</f>
        <v>Seleccione Asignatura</v>
      </c>
      <c r="H367" t="str">
        <f>_xlfn.XLOOKUP(TAB_H_ASIG_CON_DET[[#This Row],[DETALLADO]],MAE_CONOCIMIENTO[CAMPO_DETALLADO],MAE_CONOCIMIENTO[ID_DDETALLADO],"Seleccione Campo Detallado")</f>
        <v>F-C-D-</v>
      </c>
    </row>
    <row r="368" spans="1:8">
      <c r="A368">
        <v>383</v>
      </c>
      <c r="C368" t="str">
        <f>_xlfn.XLOOKUP(TAB_H_ASIG_CON_DET[[#This Row],[ID_CARRERA]],MAE_CARRERA[ID_CARRERA],MAE_CARRERA[NOMBRE_CARRERA],"Seleccione ID Carrera")</f>
        <v>Seleccione ID Carrera</v>
      </c>
      <c r="F368" t="str">
        <f>_xlfn.XLOOKUP(TAB_H_ASIG_CON_DET[[#This Row],[ASIGNATURA]],MAE_ASIGNATURA[NOM_ASIG],MAE_ASIGNATURA[ID_ASIG],"Seleccione Asignatura")</f>
        <v>Seleccione Asignatura</v>
      </c>
      <c r="H368" t="str">
        <f>_xlfn.XLOOKUP(TAB_H_ASIG_CON_DET[[#This Row],[DETALLADO]],MAE_CONOCIMIENTO[CAMPO_DETALLADO],MAE_CONOCIMIENTO[ID_DDETALLADO],"Seleccione Campo Detallado")</f>
        <v>F-C-D-</v>
      </c>
    </row>
    <row r="369" spans="1:8">
      <c r="A369">
        <v>384</v>
      </c>
      <c r="C369" t="str">
        <f>_xlfn.XLOOKUP(TAB_H_ASIG_CON_DET[[#This Row],[ID_CARRERA]],MAE_CARRERA[ID_CARRERA],MAE_CARRERA[NOMBRE_CARRERA],"Seleccione ID Carrera")</f>
        <v>Seleccione ID Carrera</v>
      </c>
      <c r="F369" t="str">
        <f>_xlfn.XLOOKUP(TAB_H_ASIG_CON_DET[[#This Row],[ASIGNATURA]],MAE_ASIGNATURA[NOM_ASIG],MAE_ASIGNATURA[ID_ASIG],"Seleccione Asignatura")</f>
        <v>Seleccione Asignatura</v>
      </c>
      <c r="H369" t="str">
        <f>_xlfn.XLOOKUP(TAB_H_ASIG_CON_DET[[#This Row],[DETALLADO]],MAE_CONOCIMIENTO[CAMPO_DETALLADO],MAE_CONOCIMIENTO[ID_DDETALLADO],"Seleccione Campo Detallado")</f>
        <v>F-C-D-</v>
      </c>
    </row>
    <row r="370" spans="1:8">
      <c r="A370">
        <v>385</v>
      </c>
      <c r="C370" t="str">
        <f>_xlfn.XLOOKUP(TAB_H_ASIG_CON_DET[[#This Row],[ID_CARRERA]],MAE_CARRERA[ID_CARRERA],MAE_CARRERA[NOMBRE_CARRERA],"Seleccione ID Carrera")</f>
        <v>Seleccione ID Carrera</v>
      </c>
      <c r="F370" t="str">
        <f>_xlfn.XLOOKUP(TAB_H_ASIG_CON_DET[[#This Row],[ASIGNATURA]],MAE_ASIGNATURA[NOM_ASIG],MAE_ASIGNATURA[ID_ASIG],"Seleccione Asignatura")</f>
        <v>Seleccione Asignatura</v>
      </c>
      <c r="H370" t="str">
        <f>_xlfn.XLOOKUP(TAB_H_ASIG_CON_DET[[#This Row],[DETALLADO]],MAE_CONOCIMIENTO[CAMPO_DETALLADO],MAE_CONOCIMIENTO[ID_DDETALLADO],"Seleccione Campo Detallado")</f>
        <v>F-C-D-</v>
      </c>
    </row>
    <row r="371" spans="1:8">
      <c r="A371">
        <v>386</v>
      </c>
      <c r="C371" t="str">
        <f>_xlfn.XLOOKUP(TAB_H_ASIG_CON_DET[[#This Row],[ID_CARRERA]],MAE_CARRERA[ID_CARRERA],MAE_CARRERA[NOMBRE_CARRERA],"Seleccione ID Carrera")</f>
        <v>Seleccione ID Carrera</v>
      </c>
      <c r="F371" t="str">
        <f>_xlfn.XLOOKUP(TAB_H_ASIG_CON_DET[[#This Row],[ASIGNATURA]],MAE_ASIGNATURA[NOM_ASIG],MAE_ASIGNATURA[ID_ASIG],"Seleccione Asignatura")</f>
        <v>Seleccione Asignatura</v>
      </c>
      <c r="H371" t="str">
        <f>_xlfn.XLOOKUP(TAB_H_ASIG_CON_DET[[#This Row],[DETALLADO]],MAE_CONOCIMIENTO[CAMPO_DETALLADO],MAE_CONOCIMIENTO[ID_DDETALLADO],"Seleccione Campo Detallado")</f>
        <v>F-C-D-</v>
      </c>
    </row>
    <row r="372" spans="1:8">
      <c r="A372">
        <v>387</v>
      </c>
      <c r="C372" t="str">
        <f>_xlfn.XLOOKUP(TAB_H_ASIG_CON_DET[[#This Row],[ID_CARRERA]],MAE_CARRERA[ID_CARRERA],MAE_CARRERA[NOMBRE_CARRERA],"Seleccione ID Carrera")</f>
        <v>Seleccione ID Carrera</v>
      </c>
      <c r="F372" t="str">
        <f>_xlfn.XLOOKUP(TAB_H_ASIG_CON_DET[[#This Row],[ASIGNATURA]],MAE_ASIGNATURA[NOM_ASIG],MAE_ASIGNATURA[ID_ASIG],"Seleccione Asignatura")</f>
        <v>Seleccione Asignatura</v>
      </c>
      <c r="H372" t="str">
        <f>_xlfn.XLOOKUP(TAB_H_ASIG_CON_DET[[#This Row],[DETALLADO]],MAE_CONOCIMIENTO[CAMPO_DETALLADO],MAE_CONOCIMIENTO[ID_DDETALLADO],"Seleccione Campo Detallado")</f>
        <v>F-C-D-</v>
      </c>
    </row>
    <row r="373" spans="1:8">
      <c r="A373">
        <v>388</v>
      </c>
      <c r="C373" t="str">
        <f>_xlfn.XLOOKUP(TAB_H_ASIG_CON_DET[[#This Row],[ID_CARRERA]],MAE_CARRERA[ID_CARRERA],MAE_CARRERA[NOMBRE_CARRERA],"Seleccione ID Carrera")</f>
        <v>Seleccione ID Carrera</v>
      </c>
      <c r="F373" t="str">
        <f>_xlfn.XLOOKUP(TAB_H_ASIG_CON_DET[[#This Row],[ASIGNATURA]],MAE_ASIGNATURA[NOM_ASIG],MAE_ASIGNATURA[ID_ASIG],"Seleccione Asignatura")</f>
        <v>Seleccione Asignatura</v>
      </c>
      <c r="H373" t="str">
        <f>_xlfn.XLOOKUP(TAB_H_ASIG_CON_DET[[#This Row],[DETALLADO]],MAE_CONOCIMIENTO[CAMPO_DETALLADO],MAE_CONOCIMIENTO[ID_DDETALLADO],"Seleccione Campo Detallado")</f>
        <v>F-C-D-</v>
      </c>
    </row>
    <row r="374" spans="1:8">
      <c r="A374">
        <v>389</v>
      </c>
      <c r="C374" t="str">
        <f>_xlfn.XLOOKUP(TAB_H_ASIG_CON_DET[[#This Row],[ID_CARRERA]],MAE_CARRERA[ID_CARRERA],MAE_CARRERA[NOMBRE_CARRERA],"Seleccione ID Carrera")</f>
        <v>Seleccione ID Carrera</v>
      </c>
      <c r="F374" t="str">
        <f>_xlfn.XLOOKUP(TAB_H_ASIG_CON_DET[[#This Row],[ASIGNATURA]],MAE_ASIGNATURA[NOM_ASIG],MAE_ASIGNATURA[ID_ASIG],"Seleccione Asignatura")</f>
        <v>Seleccione Asignatura</v>
      </c>
      <c r="H374" t="str">
        <f>_xlfn.XLOOKUP(TAB_H_ASIG_CON_DET[[#This Row],[DETALLADO]],MAE_CONOCIMIENTO[CAMPO_DETALLADO],MAE_CONOCIMIENTO[ID_DDETALLADO],"Seleccione Campo Detallado")</f>
        <v>F-C-D-</v>
      </c>
    </row>
    <row r="375" spans="1:8">
      <c r="A375">
        <v>390</v>
      </c>
      <c r="C375" t="str">
        <f>_xlfn.XLOOKUP(TAB_H_ASIG_CON_DET[[#This Row],[ID_CARRERA]],MAE_CARRERA[ID_CARRERA],MAE_CARRERA[NOMBRE_CARRERA],"Seleccione ID Carrera")</f>
        <v>Seleccione ID Carrera</v>
      </c>
      <c r="F375" t="str">
        <f>_xlfn.XLOOKUP(TAB_H_ASIG_CON_DET[[#This Row],[ASIGNATURA]],MAE_ASIGNATURA[NOM_ASIG],MAE_ASIGNATURA[ID_ASIG],"Seleccione Asignatura")</f>
        <v>Seleccione Asignatura</v>
      </c>
      <c r="H375" t="str">
        <f>_xlfn.XLOOKUP(TAB_H_ASIG_CON_DET[[#This Row],[DETALLADO]],MAE_CONOCIMIENTO[CAMPO_DETALLADO],MAE_CONOCIMIENTO[ID_DDETALLADO],"Seleccione Campo Detallado")</f>
        <v>F-C-D-</v>
      </c>
    </row>
    <row r="376" spans="1:8">
      <c r="A376">
        <v>391</v>
      </c>
      <c r="C376" t="str">
        <f>_xlfn.XLOOKUP(TAB_H_ASIG_CON_DET[[#This Row],[ID_CARRERA]],MAE_CARRERA[ID_CARRERA],MAE_CARRERA[NOMBRE_CARRERA],"Seleccione ID Carrera")</f>
        <v>Seleccione ID Carrera</v>
      </c>
      <c r="F376" t="str">
        <f>_xlfn.XLOOKUP(TAB_H_ASIG_CON_DET[[#This Row],[ASIGNATURA]],MAE_ASIGNATURA[NOM_ASIG],MAE_ASIGNATURA[ID_ASIG],"Seleccione Asignatura")</f>
        <v>Seleccione Asignatura</v>
      </c>
      <c r="H376" t="str">
        <f>_xlfn.XLOOKUP(TAB_H_ASIG_CON_DET[[#This Row],[DETALLADO]],MAE_CONOCIMIENTO[CAMPO_DETALLADO],MAE_CONOCIMIENTO[ID_DDETALLADO],"Seleccione Campo Detallado")</f>
        <v>F-C-D-</v>
      </c>
    </row>
    <row r="377" spans="1:8">
      <c r="A377">
        <v>392</v>
      </c>
      <c r="C377" t="str">
        <f>_xlfn.XLOOKUP(TAB_H_ASIG_CON_DET[[#This Row],[ID_CARRERA]],MAE_CARRERA[ID_CARRERA],MAE_CARRERA[NOMBRE_CARRERA],"Seleccione ID Carrera")</f>
        <v>Seleccione ID Carrera</v>
      </c>
      <c r="F377" t="str">
        <f>_xlfn.XLOOKUP(TAB_H_ASIG_CON_DET[[#This Row],[ASIGNATURA]],MAE_ASIGNATURA[NOM_ASIG],MAE_ASIGNATURA[ID_ASIG],"Seleccione Asignatura")</f>
        <v>Seleccione Asignatura</v>
      </c>
      <c r="H377" t="str">
        <f>_xlfn.XLOOKUP(TAB_H_ASIG_CON_DET[[#This Row],[DETALLADO]],MAE_CONOCIMIENTO[CAMPO_DETALLADO],MAE_CONOCIMIENTO[ID_DDETALLADO],"Seleccione Campo Detallado")</f>
        <v>F-C-D-</v>
      </c>
    </row>
    <row r="378" spans="1:8">
      <c r="A378">
        <v>393</v>
      </c>
      <c r="C378" t="str">
        <f>_xlfn.XLOOKUP(TAB_H_ASIG_CON_DET[[#This Row],[ID_CARRERA]],MAE_CARRERA[ID_CARRERA],MAE_CARRERA[NOMBRE_CARRERA],"Seleccione ID Carrera")</f>
        <v>Seleccione ID Carrera</v>
      </c>
      <c r="F378" t="str">
        <f>_xlfn.XLOOKUP(TAB_H_ASIG_CON_DET[[#This Row],[ASIGNATURA]],MAE_ASIGNATURA[NOM_ASIG],MAE_ASIGNATURA[ID_ASIG],"Seleccione Asignatura")</f>
        <v>Seleccione Asignatura</v>
      </c>
      <c r="H378" t="str">
        <f>_xlfn.XLOOKUP(TAB_H_ASIG_CON_DET[[#This Row],[DETALLADO]],MAE_CONOCIMIENTO[CAMPO_DETALLADO],MAE_CONOCIMIENTO[ID_DDETALLADO],"Seleccione Campo Detallado")</f>
        <v>F-C-D-</v>
      </c>
    </row>
    <row r="379" spans="1:8">
      <c r="A379">
        <v>394</v>
      </c>
      <c r="C379" t="str">
        <f>_xlfn.XLOOKUP(TAB_H_ASIG_CON_DET[[#This Row],[ID_CARRERA]],MAE_CARRERA[ID_CARRERA],MAE_CARRERA[NOMBRE_CARRERA],"Seleccione ID Carrera")</f>
        <v>Seleccione ID Carrera</v>
      </c>
      <c r="F379" t="str">
        <f>_xlfn.XLOOKUP(TAB_H_ASIG_CON_DET[[#This Row],[ASIGNATURA]],MAE_ASIGNATURA[NOM_ASIG],MAE_ASIGNATURA[ID_ASIG],"Seleccione Asignatura")</f>
        <v>Seleccione Asignatura</v>
      </c>
      <c r="H379" t="str">
        <f>_xlfn.XLOOKUP(TAB_H_ASIG_CON_DET[[#This Row],[DETALLADO]],MAE_CONOCIMIENTO[CAMPO_DETALLADO],MAE_CONOCIMIENTO[ID_DDETALLADO],"Seleccione Campo Detallado")</f>
        <v>F-C-D-</v>
      </c>
    </row>
    <row r="380" spans="1:8">
      <c r="A380">
        <v>395</v>
      </c>
      <c r="C380" t="str">
        <f>_xlfn.XLOOKUP(TAB_H_ASIG_CON_DET[[#This Row],[ID_CARRERA]],MAE_CARRERA[ID_CARRERA],MAE_CARRERA[NOMBRE_CARRERA],"Seleccione ID Carrera")</f>
        <v>Seleccione ID Carrera</v>
      </c>
      <c r="F380" t="str">
        <f>_xlfn.XLOOKUP(TAB_H_ASIG_CON_DET[[#This Row],[ASIGNATURA]],MAE_ASIGNATURA[NOM_ASIG],MAE_ASIGNATURA[ID_ASIG],"Seleccione Asignatura")</f>
        <v>Seleccione Asignatura</v>
      </c>
      <c r="H380" t="str">
        <f>_xlfn.XLOOKUP(TAB_H_ASIG_CON_DET[[#This Row],[DETALLADO]],MAE_CONOCIMIENTO[CAMPO_DETALLADO],MAE_CONOCIMIENTO[ID_DDETALLADO],"Seleccione Campo Detallado")</f>
        <v>F-C-D-</v>
      </c>
    </row>
    <row r="381" spans="1:8">
      <c r="A381">
        <v>396</v>
      </c>
      <c r="C381" t="str">
        <f>_xlfn.XLOOKUP(TAB_H_ASIG_CON_DET[[#This Row],[ID_CARRERA]],MAE_CARRERA[ID_CARRERA],MAE_CARRERA[NOMBRE_CARRERA],"Seleccione ID Carrera")</f>
        <v>Seleccione ID Carrera</v>
      </c>
      <c r="F381" t="str">
        <f>_xlfn.XLOOKUP(TAB_H_ASIG_CON_DET[[#This Row],[ASIGNATURA]],MAE_ASIGNATURA[NOM_ASIG],MAE_ASIGNATURA[ID_ASIG],"Seleccione Asignatura")</f>
        <v>Seleccione Asignatura</v>
      </c>
      <c r="H381" t="str">
        <f>_xlfn.XLOOKUP(TAB_H_ASIG_CON_DET[[#This Row],[DETALLADO]],MAE_CONOCIMIENTO[CAMPO_DETALLADO],MAE_CONOCIMIENTO[ID_DDETALLADO],"Seleccione Campo Detallado")</f>
        <v>F-C-D-</v>
      </c>
    </row>
    <row r="382" spans="1:8">
      <c r="A382">
        <v>397</v>
      </c>
      <c r="C382" t="str">
        <f>_xlfn.XLOOKUP(TAB_H_ASIG_CON_DET[[#This Row],[ID_CARRERA]],MAE_CARRERA[ID_CARRERA],MAE_CARRERA[NOMBRE_CARRERA],"Seleccione ID Carrera")</f>
        <v>Seleccione ID Carrera</v>
      </c>
      <c r="F382" t="str">
        <f>_xlfn.XLOOKUP(TAB_H_ASIG_CON_DET[[#This Row],[ASIGNATURA]],MAE_ASIGNATURA[NOM_ASIG],MAE_ASIGNATURA[ID_ASIG],"Seleccione Asignatura")</f>
        <v>Seleccione Asignatura</v>
      </c>
      <c r="H382" t="str">
        <f>_xlfn.XLOOKUP(TAB_H_ASIG_CON_DET[[#This Row],[DETALLADO]],MAE_CONOCIMIENTO[CAMPO_DETALLADO],MAE_CONOCIMIENTO[ID_DDETALLADO],"Seleccione Campo Detallado")</f>
        <v>F-C-D-</v>
      </c>
    </row>
    <row r="383" spans="1:8">
      <c r="A383">
        <v>398</v>
      </c>
      <c r="C383" t="str">
        <f>_xlfn.XLOOKUP(TAB_H_ASIG_CON_DET[[#This Row],[ID_CARRERA]],MAE_CARRERA[ID_CARRERA],MAE_CARRERA[NOMBRE_CARRERA],"Seleccione ID Carrera")</f>
        <v>Seleccione ID Carrera</v>
      </c>
      <c r="F383" t="str">
        <f>_xlfn.XLOOKUP(TAB_H_ASIG_CON_DET[[#This Row],[ASIGNATURA]],MAE_ASIGNATURA[NOM_ASIG],MAE_ASIGNATURA[ID_ASIG],"Seleccione Asignatura")</f>
        <v>Seleccione Asignatura</v>
      </c>
      <c r="H383" t="str">
        <f>_xlfn.XLOOKUP(TAB_H_ASIG_CON_DET[[#This Row],[DETALLADO]],MAE_CONOCIMIENTO[CAMPO_DETALLADO],MAE_CONOCIMIENTO[ID_DDETALLADO],"Seleccione Campo Detallado")</f>
        <v>F-C-D-</v>
      </c>
    </row>
    <row r="384" spans="1:8">
      <c r="A384">
        <v>399</v>
      </c>
      <c r="C384" t="str">
        <f>_xlfn.XLOOKUP(TAB_H_ASIG_CON_DET[[#This Row],[ID_CARRERA]],MAE_CARRERA[ID_CARRERA],MAE_CARRERA[NOMBRE_CARRERA],"Seleccione ID Carrera")</f>
        <v>Seleccione ID Carrera</v>
      </c>
      <c r="F384" t="str">
        <f>_xlfn.XLOOKUP(TAB_H_ASIG_CON_DET[[#This Row],[ASIGNATURA]],MAE_ASIGNATURA[NOM_ASIG],MAE_ASIGNATURA[ID_ASIG],"Seleccione Asignatura")</f>
        <v>Seleccione Asignatura</v>
      </c>
      <c r="H384" t="str">
        <f>_xlfn.XLOOKUP(TAB_H_ASIG_CON_DET[[#This Row],[DETALLADO]],MAE_CONOCIMIENTO[CAMPO_DETALLADO],MAE_CONOCIMIENTO[ID_DDETALLADO],"Seleccione Campo Detallado")</f>
        <v>F-C-D-</v>
      </c>
    </row>
    <row r="385" spans="1:8">
      <c r="A385">
        <v>400</v>
      </c>
      <c r="C385" t="str">
        <f>_xlfn.XLOOKUP(TAB_H_ASIG_CON_DET[[#This Row],[ID_CARRERA]],MAE_CARRERA[ID_CARRERA],MAE_CARRERA[NOMBRE_CARRERA],"Seleccione ID Carrera")</f>
        <v>Seleccione ID Carrera</v>
      </c>
      <c r="F385" t="str">
        <f>_xlfn.XLOOKUP(TAB_H_ASIG_CON_DET[[#This Row],[ASIGNATURA]],MAE_ASIGNATURA[NOM_ASIG],MAE_ASIGNATURA[ID_ASIG],"Seleccione Asignatura")</f>
        <v>Seleccione Asignatura</v>
      </c>
      <c r="H385" t="str">
        <f>_xlfn.XLOOKUP(TAB_H_ASIG_CON_DET[[#This Row],[DETALLADO]],MAE_CONOCIMIENTO[CAMPO_DETALLADO],MAE_CONOCIMIENTO[ID_DDETALLADO],"Seleccione Campo Detallado")</f>
        <v>F-C-D-</v>
      </c>
    </row>
    <row r="386" spans="1:8">
      <c r="A386">
        <v>401</v>
      </c>
      <c r="C386" t="str">
        <f>_xlfn.XLOOKUP(TAB_H_ASIG_CON_DET[[#This Row],[ID_CARRERA]],MAE_CARRERA[ID_CARRERA],MAE_CARRERA[NOMBRE_CARRERA],"Seleccione ID Carrera")</f>
        <v>Seleccione ID Carrera</v>
      </c>
      <c r="F386" t="str">
        <f>_xlfn.XLOOKUP(TAB_H_ASIG_CON_DET[[#This Row],[ASIGNATURA]],MAE_ASIGNATURA[NOM_ASIG],MAE_ASIGNATURA[ID_ASIG],"Seleccione Asignatura")</f>
        <v>Seleccione Asignatura</v>
      </c>
      <c r="H386" t="str">
        <f>_xlfn.XLOOKUP(TAB_H_ASIG_CON_DET[[#This Row],[DETALLADO]],MAE_CONOCIMIENTO[CAMPO_DETALLADO],MAE_CONOCIMIENTO[ID_DDETALLADO],"Seleccione Campo Detallado")</f>
        <v>F-C-D-</v>
      </c>
    </row>
    <row r="387" spans="1:8">
      <c r="A387">
        <v>402</v>
      </c>
      <c r="C387" t="str">
        <f>_xlfn.XLOOKUP(TAB_H_ASIG_CON_DET[[#This Row],[ID_CARRERA]],MAE_CARRERA[ID_CARRERA],MAE_CARRERA[NOMBRE_CARRERA],"Seleccione ID Carrera")</f>
        <v>Seleccione ID Carrera</v>
      </c>
      <c r="F387" t="str">
        <f>_xlfn.XLOOKUP(TAB_H_ASIG_CON_DET[[#This Row],[ASIGNATURA]],MAE_ASIGNATURA[NOM_ASIG],MAE_ASIGNATURA[ID_ASIG],"Seleccione Asignatura")</f>
        <v>Seleccione Asignatura</v>
      </c>
      <c r="H387" t="str">
        <f>_xlfn.XLOOKUP(TAB_H_ASIG_CON_DET[[#This Row],[DETALLADO]],MAE_CONOCIMIENTO[CAMPO_DETALLADO],MAE_CONOCIMIENTO[ID_DDETALLADO],"Seleccione Campo Detallado")</f>
        <v>F-C-D-</v>
      </c>
    </row>
    <row r="388" spans="1:8">
      <c r="A388">
        <v>403</v>
      </c>
      <c r="C388" t="str">
        <f>_xlfn.XLOOKUP(TAB_H_ASIG_CON_DET[[#This Row],[ID_CARRERA]],MAE_CARRERA[ID_CARRERA],MAE_CARRERA[NOMBRE_CARRERA],"Seleccione ID Carrera")</f>
        <v>Seleccione ID Carrera</v>
      </c>
      <c r="F388" t="str">
        <f>_xlfn.XLOOKUP(TAB_H_ASIG_CON_DET[[#This Row],[ASIGNATURA]],MAE_ASIGNATURA[NOM_ASIG],MAE_ASIGNATURA[ID_ASIG],"Seleccione Asignatura")</f>
        <v>Seleccione Asignatura</v>
      </c>
      <c r="H388" t="str">
        <f>_xlfn.XLOOKUP(TAB_H_ASIG_CON_DET[[#This Row],[DETALLADO]],MAE_CONOCIMIENTO[CAMPO_DETALLADO],MAE_CONOCIMIENTO[ID_DDETALLADO],"Seleccione Campo Detallado")</f>
        <v>F-C-D-</v>
      </c>
    </row>
    <row r="389" spans="1:8">
      <c r="A389">
        <v>404</v>
      </c>
      <c r="C389" t="str">
        <f>_xlfn.XLOOKUP(TAB_H_ASIG_CON_DET[[#This Row],[ID_CARRERA]],MAE_CARRERA[ID_CARRERA],MAE_CARRERA[NOMBRE_CARRERA],"Seleccione ID Carrera")</f>
        <v>Seleccione ID Carrera</v>
      </c>
      <c r="F389" t="str">
        <f>_xlfn.XLOOKUP(TAB_H_ASIG_CON_DET[[#This Row],[ASIGNATURA]],MAE_ASIGNATURA[NOM_ASIG],MAE_ASIGNATURA[ID_ASIG],"Seleccione Asignatura")</f>
        <v>Seleccione Asignatura</v>
      </c>
      <c r="H389" t="str">
        <f>_xlfn.XLOOKUP(TAB_H_ASIG_CON_DET[[#This Row],[DETALLADO]],MAE_CONOCIMIENTO[CAMPO_DETALLADO],MAE_CONOCIMIENTO[ID_DDETALLADO],"Seleccione Campo Detallado")</f>
        <v>F-C-D-</v>
      </c>
    </row>
    <row r="390" spans="1:8">
      <c r="A390">
        <v>405</v>
      </c>
      <c r="C390" t="str">
        <f>_xlfn.XLOOKUP(TAB_H_ASIG_CON_DET[[#This Row],[ID_CARRERA]],MAE_CARRERA[ID_CARRERA],MAE_CARRERA[NOMBRE_CARRERA],"Seleccione ID Carrera")</f>
        <v>Seleccione ID Carrera</v>
      </c>
      <c r="F390" t="str">
        <f>_xlfn.XLOOKUP(TAB_H_ASIG_CON_DET[[#This Row],[ASIGNATURA]],MAE_ASIGNATURA[NOM_ASIG],MAE_ASIGNATURA[ID_ASIG],"Seleccione Asignatura")</f>
        <v>Seleccione Asignatura</v>
      </c>
      <c r="H390" t="str">
        <f>_xlfn.XLOOKUP(TAB_H_ASIG_CON_DET[[#This Row],[DETALLADO]],MAE_CONOCIMIENTO[CAMPO_DETALLADO],MAE_CONOCIMIENTO[ID_DDETALLADO],"Seleccione Campo Detallado")</f>
        <v>F-C-D-</v>
      </c>
    </row>
    <row r="391" spans="1:8">
      <c r="A391">
        <v>406</v>
      </c>
      <c r="C391" t="str">
        <f>_xlfn.XLOOKUP(TAB_H_ASIG_CON_DET[[#This Row],[ID_CARRERA]],MAE_CARRERA[ID_CARRERA],MAE_CARRERA[NOMBRE_CARRERA],"Seleccione ID Carrera")</f>
        <v>Seleccione ID Carrera</v>
      </c>
      <c r="F391" t="str">
        <f>_xlfn.XLOOKUP(TAB_H_ASIG_CON_DET[[#This Row],[ASIGNATURA]],MAE_ASIGNATURA[NOM_ASIG],MAE_ASIGNATURA[ID_ASIG],"Seleccione Asignatura")</f>
        <v>Seleccione Asignatura</v>
      </c>
      <c r="H391" t="str">
        <f>_xlfn.XLOOKUP(TAB_H_ASIG_CON_DET[[#This Row],[DETALLADO]],MAE_CONOCIMIENTO[CAMPO_DETALLADO],MAE_CONOCIMIENTO[ID_DDETALLADO],"Seleccione Campo Detallado")</f>
        <v>F-C-D-</v>
      </c>
    </row>
    <row r="392" spans="1:8">
      <c r="A392">
        <v>407</v>
      </c>
      <c r="C392" t="str">
        <f>_xlfn.XLOOKUP(TAB_H_ASIG_CON_DET[[#This Row],[ID_CARRERA]],MAE_CARRERA[ID_CARRERA],MAE_CARRERA[NOMBRE_CARRERA],"Seleccione ID Carrera")</f>
        <v>Seleccione ID Carrera</v>
      </c>
      <c r="F392" t="str">
        <f>_xlfn.XLOOKUP(TAB_H_ASIG_CON_DET[[#This Row],[ASIGNATURA]],MAE_ASIGNATURA[NOM_ASIG],MAE_ASIGNATURA[ID_ASIG],"Seleccione Asignatura")</f>
        <v>Seleccione Asignatura</v>
      </c>
      <c r="H392" t="str">
        <f>_xlfn.XLOOKUP(TAB_H_ASIG_CON_DET[[#This Row],[DETALLADO]],MAE_CONOCIMIENTO[CAMPO_DETALLADO],MAE_CONOCIMIENTO[ID_DDETALLADO],"Seleccione Campo Detallado")</f>
        <v>F-C-D-</v>
      </c>
    </row>
    <row r="393" spans="1:8">
      <c r="A393">
        <v>408</v>
      </c>
      <c r="C393" t="str">
        <f>_xlfn.XLOOKUP(TAB_H_ASIG_CON_DET[[#This Row],[ID_CARRERA]],MAE_CARRERA[ID_CARRERA],MAE_CARRERA[NOMBRE_CARRERA],"Seleccione ID Carrera")</f>
        <v>Seleccione ID Carrera</v>
      </c>
      <c r="F393" t="str">
        <f>_xlfn.XLOOKUP(TAB_H_ASIG_CON_DET[[#This Row],[ASIGNATURA]],MAE_ASIGNATURA[NOM_ASIG],MAE_ASIGNATURA[ID_ASIG],"Seleccione Asignatura")</f>
        <v>Seleccione Asignatura</v>
      </c>
      <c r="H393" t="str">
        <f>_xlfn.XLOOKUP(TAB_H_ASIG_CON_DET[[#This Row],[DETALLADO]],MAE_CONOCIMIENTO[CAMPO_DETALLADO],MAE_CONOCIMIENTO[ID_DDETALLADO],"Seleccione Campo Detallado")</f>
        <v>F-C-D-</v>
      </c>
    </row>
    <row r="394" spans="1:8">
      <c r="A394">
        <v>409</v>
      </c>
      <c r="C394" t="str">
        <f>_xlfn.XLOOKUP(TAB_H_ASIG_CON_DET[[#This Row],[ID_CARRERA]],MAE_CARRERA[ID_CARRERA],MAE_CARRERA[NOMBRE_CARRERA],"Seleccione ID Carrera")</f>
        <v>Seleccione ID Carrera</v>
      </c>
      <c r="F394" t="str">
        <f>_xlfn.XLOOKUP(TAB_H_ASIG_CON_DET[[#This Row],[ASIGNATURA]],MAE_ASIGNATURA[NOM_ASIG],MAE_ASIGNATURA[ID_ASIG],"Seleccione Asignatura")</f>
        <v>Seleccione Asignatura</v>
      </c>
      <c r="H394" t="str">
        <f>_xlfn.XLOOKUP(TAB_H_ASIG_CON_DET[[#This Row],[DETALLADO]],MAE_CONOCIMIENTO[CAMPO_DETALLADO],MAE_CONOCIMIENTO[ID_DDETALLADO],"Seleccione Campo Detallado")</f>
        <v>F-C-D-</v>
      </c>
    </row>
    <row r="395" spans="1:8">
      <c r="A395">
        <v>410</v>
      </c>
      <c r="C395" t="str">
        <f>_xlfn.XLOOKUP(TAB_H_ASIG_CON_DET[[#This Row],[ID_CARRERA]],MAE_CARRERA[ID_CARRERA],MAE_CARRERA[NOMBRE_CARRERA],"Seleccione ID Carrera")</f>
        <v>Seleccione ID Carrera</v>
      </c>
      <c r="F395" t="str">
        <f>_xlfn.XLOOKUP(TAB_H_ASIG_CON_DET[[#This Row],[ASIGNATURA]],MAE_ASIGNATURA[NOM_ASIG],MAE_ASIGNATURA[ID_ASIG],"Seleccione Asignatura")</f>
        <v>Seleccione Asignatura</v>
      </c>
      <c r="H395" t="str">
        <f>_xlfn.XLOOKUP(TAB_H_ASIG_CON_DET[[#This Row],[DETALLADO]],MAE_CONOCIMIENTO[CAMPO_DETALLADO],MAE_CONOCIMIENTO[ID_DDETALLADO],"Seleccione Campo Detallado")</f>
        <v>F-C-D-</v>
      </c>
    </row>
    <row r="396" spans="1:8">
      <c r="A396">
        <v>411</v>
      </c>
      <c r="C396" t="str">
        <f>_xlfn.XLOOKUP(TAB_H_ASIG_CON_DET[[#This Row],[ID_CARRERA]],MAE_CARRERA[ID_CARRERA],MAE_CARRERA[NOMBRE_CARRERA],"Seleccione ID Carrera")</f>
        <v>Seleccione ID Carrera</v>
      </c>
      <c r="F396" t="str">
        <f>_xlfn.XLOOKUP(TAB_H_ASIG_CON_DET[[#This Row],[ASIGNATURA]],MAE_ASIGNATURA[NOM_ASIG],MAE_ASIGNATURA[ID_ASIG],"Seleccione Asignatura")</f>
        <v>Seleccione Asignatura</v>
      </c>
      <c r="H396" t="str">
        <f>_xlfn.XLOOKUP(TAB_H_ASIG_CON_DET[[#This Row],[DETALLADO]],MAE_CONOCIMIENTO[CAMPO_DETALLADO],MAE_CONOCIMIENTO[ID_DDETALLADO],"Seleccione Campo Detallado")</f>
        <v>F-C-D-</v>
      </c>
    </row>
    <row r="397" spans="1:8">
      <c r="A397">
        <v>412</v>
      </c>
      <c r="C397" t="str">
        <f>_xlfn.XLOOKUP(TAB_H_ASIG_CON_DET[[#This Row],[ID_CARRERA]],MAE_CARRERA[ID_CARRERA],MAE_CARRERA[NOMBRE_CARRERA],"Seleccione ID Carrera")</f>
        <v>Seleccione ID Carrera</v>
      </c>
      <c r="F397" t="str">
        <f>_xlfn.XLOOKUP(TAB_H_ASIG_CON_DET[[#This Row],[ASIGNATURA]],MAE_ASIGNATURA[NOM_ASIG],MAE_ASIGNATURA[ID_ASIG],"Seleccione Asignatura")</f>
        <v>Seleccione Asignatura</v>
      </c>
      <c r="H397" t="str">
        <f>_xlfn.XLOOKUP(TAB_H_ASIG_CON_DET[[#This Row],[DETALLADO]],MAE_CONOCIMIENTO[CAMPO_DETALLADO],MAE_CONOCIMIENTO[ID_DDETALLADO],"Seleccione Campo Detallado")</f>
        <v>F-C-D-</v>
      </c>
    </row>
    <row r="398" spans="1:8">
      <c r="A398">
        <v>413</v>
      </c>
      <c r="C398" t="str">
        <f>_xlfn.XLOOKUP(TAB_H_ASIG_CON_DET[[#This Row],[ID_CARRERA]],MAE_CARRERA[ID_CARRERA],MAE_CARRERA[NOMBRE_CARRERA],"Seleccione ID Carrera")</f>
        <v>Seleccione ID Carrera</v>
      </c>
      <c r="F398" t="str">
        <f>_xlfn.XLOOKUP(TAB_H_ASIG_CON_DET[[#This Row],[ASIGNATURA]],MAE_ASIGNATURA[NOM_ASIG],MAE_ASIGNATURA[ID_ASIG],"Seleccione Asignatura")</f>
        <v>Seleccione Asignatura</v>
      </c>
      <c r="H398" t="str">
        <f>_xlfn.XLOOKUP(TAB_H_ASIG_CON_DET[[#This Row],[DETALLADO]],MAE_CONOCIMIENTO[CAMPO_DETALLADO],MAE_CONOCIMIENTO[ID_DDETALLADO],"Seleccione Campo Detallado")</f>
        <v>F-C-D-</v>
      </c>
    </row>
    <row r="399" spans="1:8">
      <c r="A399">
        <v>414</v>
      </c>
      <c r="C399" t="str">
        <f>_xlfn.XLOOKUP(TAB_H_ASIG_CON_DET[[#This Row],[ID_CARRERA]],MAE_CARRERA[ID_CARRERA],MAE_CARRERA[NOMBRE_CARRERA],"Seleccione ID Carrera")</f>
        <v>Seleccione ID Carrera</v>
      </c>
      <c r="F399" t="str">
        <f>_xlfn.XLOOKUP(TAB_H_ASIG_CON_DET[[#This Row],[ASIGNATURA]],MAE_ASIGNATURA[NOM_ASIG],MAE_ASIGNATURA[ID_ASIG],"Seleccione Asignatura")</f>
        <v>Seleccione Asignatura</v>
      </c>
      <c r="H399" t="str">
        <f>_xlfn.XLOOKUP(TAB_H_ASIG_CON_DET[[#This Row],[DETALLADO]],MAE_CONOCIMIENTO[CAMPO_DETALLADO],MAE_CONOCIMIENTO[ID_DDETALLADO],"Seleccione Campo Detallado")</f>
        <v>F-C-D-</v>
      </c>
    </row>
    <row r="400" spans="1:8">
      <c r="A400">
        <v>415</v>
      </c>
      <c r="C400" t="str">
        <f>_xlfn.XLOOKUP(TAB_H_ASIG_CON_DET[[#This Row],[ID_CARRERA]],MAE_CARRERA[ID_CARRERA],MAE_CARRERA[NOMBRE_CARRERA],"Seleccione ID Carrera")</f>
        <v>Seleccione ID Carrera</v>
      </c>
      <c r="F400" t="str">
        <f>_xlfn.XLOOKUP(TAB_H_ASIG_CON_DET[[#This Row],[ASIGNATURA]],MAE_ASIGNATURA[NOM_ASIG],MAE_ASIGNATURA[ID_ASIG],"Seleccione Asignatura")</f>
        <v>Seleccione Asignatura</v>
      </c>
      <c r="H400" t="str">
        <f>_xlfn.XLOOKUP(TAB_H_ASIG_CON_DET[[#This Row],[DETALLADO]],MAE_CONOCIMIENTO[CAMPO_DETALLADO],MAE_CONOCIMIENTO[ID_DDETALLADO],"Seleccione Campo Detallado")</f>
        <v>F-C-D-</v>
      </c>
    </row>
    <row r="401" spans="1:8">
      <c r="A401">
        <v>416</v>
      </c>
      <c r="C401" t="str">
        <f>_xlfn.XLOOKUP(TAB_H_ASIG_CON_DET[[#This Row],[ID_CARRERA]],MAE_CARRERA[ID_CARRERA],MAE_CARRERA[NOMBRE_CARRERA],"Seleccione ID Carrera")</f>
        <v>Seleccione ID Carrera</v>
      </c>
      <c r="F401" t="str">
        <f>_xlfn.XLOOKUP(TAB_H_ASIG_CON_DET[[#This Row],[ASIGNATURA]],MAE_ASIGNATURA[NOM_ASIG],MAE_ASIGNATURA[ID_ASIG],"Seleccione Asignatura")</f>
        <v>Seleccione Asignatura</v>
      </c>
      <c r="H401" t="str">
        <f>_xlfn.XLOOKUP(TAB_H_ASIG_CON_DET[[#This Row],[DETALLADO]],MAE_CONOCIMIENTO[CAMPO_DETALLADO],MAE_CONOCIMIENTO[ID_DDETALLADO],"Seleccione Campo Detallado")</f>
        <v>F-C-D-</v>
      </c>
    </row>
    <row r="402" spans="1:8">
      <c r="A402">
        <v>417</v>
      </c>
      <c r="C402" t="str">
        <f>_xlfn.XLOOKUP(TAB_H_ASIG_CON_DET[[#This Row],[ID_CARRERA]],MAE_CARRERA[ID_CARRERA],MAE_CARRERA[NOMBRE_CARRERA],"Seleccione ID Carrera")</f>
        <v>Seleccione ID Carrera</v>
      </c>
      <c r="F402" t="str">
        <f>_xlfn.XLOOKUP(TAB_H_ASIG_CON_DET[[#This Row],[ASIGNATURA]],MAE_ASIGNATURA[NOM_ASIG],MAE_ASIGNATURA[ID_ASIG],"Seleccione Asignatura")</f>
        <v>Seleccione Asignatura</v>
      </c>
      <c r="H402" t="str">
        <f>_xlfn.XLOOKUP(TAB_H_ASIG_CON_DET[[#This Row],[DETALLADO]],MAE_CONOCIMIENTO[CAMPO_DETALLADO],MAE_CONOCIMIENTO[ID_DDETALLADO],"Seleccione Campo Detallado")</f>
        <v>F-C-D-</v>
      </c>
    </row>
    <row r="403" spans="1:8">
      <c r="A403">
        <v>418</v>
      </c>
      <c r="C403" t="str">
        <f>_xlfn.XLOOKUP(TAB_H_ASIG_CON_DET[[#This Row],[ID_CARRERA]],MAE_CARRERA[ID_CARRERA],MAE_CARRERA[NOMBRE_CARRERA],"Seleccione ID Carrera")</f>
        <v>Seleccione ID Carrera</v>
      </c>
      <c r="F403" t="str">
        <f>_xlfn.XLOOKUP(TAB_H_ASIG_CON_DET[[#This Row],[ASIGNATURA]],MAE_ASIGNATURA[NOM_ASIG],MAE_ASIGNATURA[ID_ASIG],"Seleccione Asignatura")</f>
        <v>Seleccione Asignatura</v>
      </c>
      <c r="H403" t="str">
        <f>_xlfn.XLOOKUP(TAB_H_ASIG_CON_DET[[#This Row],[DETALLADO]],MAE_CONOCIMIENTO[CAMPO_DETALLADO],MAE_CONOCIMIENTO[ID_DDETALLADO],"Seleccione Campo Detallado")</f>
        <v>F-C-D-</v>
      </c>
    </row>
    <row r="404" spans="1:8">
      <c r="A404">
        <v>419</v>
      </c>
      <c r="C404" t="str">
        <f>_xlfn.XLOOKUP(TAB_H_ASIG_CON_DET[[#This Row],[ID_CARRERA]],MAE_CARRERA[ID_CARRERA],MAE_CARRERA[NOMBRE_CARRERA],"Seleccione ID Carrera")</f>
        <v>Seleccione ID Carrera</v>
      </c>
      <c r="F404" t="str">
        <f>_xlfn.XLOOKUP(TAB_H_ASIG_CON_DET[[#This Row],[ASIGNATURA]],MAE_ASIGNATURA[NOM_ASIG],MAE_ASIGNATURA[ID_ASIG],"Seleccione Asignatura")</f>
        <v>Seleccione Asignatura</v>
      </c>
      <c r="H404" t="str">
        <f>_xlfn.XLOOKUP(TAB_H_ASIG_CON_DET[[#This Row],[DETALLADO]],MAE_CONOCIMIENTO[CAMPO_DETALLADO],MAE_CONOCIMIENTO[ID_DDETALLADO],"Seleccione Campo Detallado")</f>
        <v>F-C-D-</v>
      </c>
    </row>
    <row r="405" spans="1:8">
      <c r="A405">
        <v>420</v>
      </c>
      <c r="C405" t="str">
        <f>_xlfn.XLOOKUP(TAB_H_ASIG_CON_DET[[#This Row],[ID_CARRERA]],MAE_CARRERA[ID_CARRERA],MAE_CARRERA[NOMBRE_CARRERA],"Seleccione ID Carrera")</f>
        <v>Seleccione ID Carrera</v>
      </c>
      <c r="F405" t="str">
        <f>_xlfn.XLOOKUP(TAB_H_ASIG_CON_DET[[#This Row],[ASIGNATURA]],MAE_ASIGNATURA[NOM_ASIG],MAE_ASIGNATURA[ID_ASIG],"Seleccione Asignatura")</f>
        <v>Seleccione Asignatura</v>
      </c>
      <c r="H405" t="str">
        <f>_xlfn.XLOOKUP(TAB_H_ASIG_CON_DET[[#This Row],[DETALLADO]],MAE_CONOCIMIENTO[CAMPO_DETALLADO],MAE_CONOCIMIENTO[ID_DDETALLADO],"Seleccione Campo Detallado")</f>
        <v>F-C-D-</v>
      </c>
    </row>
    <row r="406" spans="1:8">
      <c r="A406">
        <v>421</v>
      </c>
      <c r="C406" t="str">
        <f>_xlfn.XLOOKUP(TAB_H_ASIG_CON_DET[[#This Row],[ID_CARRERA]],MAE_CARRERA[ID_CARRERA],MAE_CARRERA[NOMBRE_CARRERA],"Seleccione ID Carrera")</f>
        <v>Seleccione ID Carrera</v>
      </c>
      <c r="F406" t="str">
        <f>_xlfn.XLOOKUP(TAB_H_ASIG_CON_DET[[#This Row],[ASIGNATURA]],MAE_ASIGNATURA[NOM_ASIG],MAE_ASIGNATURA[ID_ASIG],"Seleccione Asignatura")</f>
        <v>Seleccione Asignatura</v>
      </c>
      <c r="H406" t="str">
        <f>_xlfn.XLOOKUP(TAB_H_ASIG_CON_DET[[#This Row],[DETALLADO]],MAE_CONOCIMIENTO[CAMPO_DETALLADO],MAE_CONOCIMIENTO[ID_DDETALLADO],"Seleccione Campo Detallado")</f>
        <v>F-C-D-</v>
      </c>
    </row>
    <row r="407" spans="1:8">
      <c r="A407">
        <v>422</v>
      </c>
      <c r="C407" t="str">
        <f>_xlfn.XLOOKUP(TAB_H_ASIG_CON_DET[[#This Row],[ID_CARRERA]],MAE_CARRERA[ID_CARRERA],MAE_CARRERA[NOMBRE_CARRERA],"Seleccione ID Carrera")</f>
        <v>Seleccione ID Carrera</v>
      </c>
      <c r="F407" t="str">
        <f>_xlfn.XLOOKUP(TAB_H_ASIG_CON_DET[[#This Row],[ASIGNATURA]],MAE_ASIGNATURA[NOM_ASIG],MAE_ASIGNATURA[ID_ASIG],"Seleccione Asignatura")</f>
        <v>Seleccione Asignatura</v>
      </c>
      <c r="H407" t="str">
        <f>_xlfn.XLOOKUP(TAB_H_ASIG_CON_DET[[#This Row],[DETALLADO]],MAE_CONOCIMIENTO[CAMPO_DETALLADO],MAE_CONOCIMIENTO[ID_DDETALLADO],"Seleccione Campo Detallado")</f>
        <v>F-C-D-</v>
      </c>
    </row>
    <row r="408" spans="1:8">
      <c r="A408">
        <v>423</v>
      </c>
      <c r="C408" t="str">
        <f>_xlfn.XLOOKUP(TAB_H_ASIG_CON_DET[[#This Row],[ID_CARRERA]],MAE_CARRERA[ID_CARRERA],MAE_CARRERA[NOMBRE_CARRERA],"Seleccione ID Carrera")</f>
        <v>Seleccione ID Carrera</v>
      </c>
      <c r="F408" t="str">
        <f>_xlfn.XLOOKUP(TAB_H_ASIG_CON_DET[[#This Row],[ASIGNATURA]],MAE_ASIGNATURA[NOM_ASIG],MAE_ASIGNATURA[ID_ASIG],"Seleccione Asignatura")</f>
        <v>Seleccione Asignatura</v>
      </c>
      <c r="H408" t="str">
        <f>_xlfn.XLOOKUP(TAB_H_ASIG_CON_DET[[#This Row],[DETALLADO]],MAE_CONOCIMIENTO[CAMPO_DETALLADO],MAE_CONOCIMIENTO[ID_DDETALLADO],"Seleccione Campo Detallado")</f>
        <v>F-C-D-</v>
      </c>
    </row>
    <row r="409" spans="1:8">
      <c r="A409">
        <v>424</v>
      </c>
      <c r="C409" t="str">
        <f>_xlfn.XLOOKUP(TAB_H_ASIG_CON_DET[[#This Row],[ID_CARRERA]],MAE_CARRERA[ID_CARRERA],MAE_CARRERA[NOMBRE_CARRERA],"Seleccione ID Carrera")</f>
        <v>Seleccione ID Carrera</v>
      </c>
      <c r="F409" t="str">
        <f>_xlfn.XLOOKUP(TAB_H_ASIG_CON_DET[[#This Row],[ASIGNATURA]],MAE_ASIGNATURA[NOM_ASIG],MAE_ASIGNATURA[ID_ASIG],"Seleccione Asignatura")</f>
        <v>Seleccione Asignatura</v>
      </c>
      <c r="H409" t="str">
        <f>_xlfn.XLOOKUP(TAB_H_ASIG_CON_DET[[#This Row],[DETALLADO]],MAE_CONOCIMIENTO[CAMPO_DETALLADO],MAE_CONOCIMIENTO[ID_DDETALLADO],"Seleccione Campo Detallado")</f>
        <v>F-C-D-</v>
      </c>
    </row>
    <row r="410" spans="1:8">
      <c r="A410">
        <v>425</v>
      </c>
      <c r="C410" t="str">
        <f>_xlfn.XLOOKUP(TAB_H_ASIG_CON_DET[[#This Row],[ID_CARRERA]],MAE_CARRERA[ID_CARRERA],MAE_CARRERA[NOMBRE_CARRERA],"Seleccione ID Carrera")</f>
        <v>Seleccione ID Carrera</v>
      </c>
      <c r="F410" t="str">
        <f>_xlfn.XLOOKUP(TAB_H_ASIG_CON_DET[[#This Row],[ASIGNATURA]],MAE_ASIGNATURA[NOM_ASIG],MAE_ASIGNATURA[ID_ASIG],"Seleccione Asignatura")</f>
        <v>Seleccione Asignatura</v>
      </c>
      <c r="H410" t="str">
        <f>_xlfn.XLOOKUP(TAB_H_ASIG_CON_DET[[#This Row],[DETALLADO]],MAE_CONOCIMIENTO[CAMPO_DETALLADO],MAE_CONOCIMIENTO[ID_DDETALLADO],"Seleccione Campo Detallado")</f>
        <v>F-C-D-</v>
      </c>
    </row>
    <row r="411" spans="1:8">
      <c r="A411">
        <v>426</v>
      </c>
      <c r="C411" t="str">
        <f>_xlfn.XLOOKUP(TAB_H_ASIG_CON_DET[[#This Row],[ID_CARRERA]],MAE_CARRERA[ID_CARRERA],MAE_CARRERA[NOMBRE_CARRERA],"Seleccione ID Carrera")</f>
        <v>Seleccione ID Carrera</v>
      </c>
      <c r="F411" t="str">
        <f>_xlfn.XLOOKUP(TAB_H_ASIG_CON_DET[[#This Row],[ASIGNATURA]],MAE_ASIGNATURA[NOM_ASIG],MAE_ASIGNATURA[ID_ASIG],"Seleccione Asignatura")</f>
        <v>Seleccione Asignatura</v>
      </c>
      <c r="H411" t="str">
        <f>_xlfn.XLOOKUP(TAB_H_ASIG_CON_DET[[#This Row],[DETALLADO]],MAE_CONOCIMIENTO[CAMPO_DETALLADO],MAE_CONOCIMIENTO[ID_DDETALLADO],"Seleccione Campo Detallado")</f>
        <v>F-C-D-</v>
      </c>
    </row>
    <row r="412" spans="1:8">
      <c r="A412">
        <v>427</v>
      </c>
      <c r="C412" t="str">
        <f>_xlfn.XLOOKUP(TAB_H_ASIG_CON_DET[[#This Row],[ID_CARRERA]],MAE_CARRERA[ID_CARRERA],MAE_CARRERA[NOMBRE_CARRERA],"Seleccione ID Carrera")</f>
        <v>Seleccione ID Carrera</v>
      </c>
      <c r="F412" t="str">
        <f>_xlfn.XLOOKUP(TAB_H_ASIG_CON_DET[[#This Row],[ASIGNATURA]],MAE_ASIGNATURA[NOM_ASIG],MAE_ASIGNATURA[ID_ASIG],"Seleccione Asignatura")</f>
        <v>Seleccione Asignatura</v>
      </c>
      <c r="H412" t="str">
        <f>_xlfn.XLOOKUP(TAB_H_ASIG_CON_DET[[#This Row],[DETALLADO]],MAE_CONOCIMIENTO[CAMPO_DETALLADO],MAE_CONOCIMIENTO[ID_DDETALLADO],"Seleccione Campo Detallado")</f>
        <v>F-C-D-</v>
      </c>
    </row>
    <row r="413" spans="1:8">
      <c r="A413">
        <v>428</v>
      </c>
      <c r="C413" t="str">
        <f>_xlfn.XLOOKUP(TAB_H_ASIG_CON_DET[[#This Row],[ID_CARRERA]],MAE_CARRERA[ID_CARRERA],MAE_CARRERA[NOMBRE_CARRERA],"Seleccione ID Carrera")</f>
        <v>Seleccione ID Carrera</v>
      </c>
      <c r="F413" t="str">
        <f>_xlfn.XLOOKUP(TAB_H_ASIG_CON_DET[[#This Row],[ASIGNATURA]],MAE_ASIGNATURA[NOM_ASIG],MAE_ASIGNATURA[ID_ASIG],"Seleccione Asignatura")</f>
        <v>Seleccione Asignatura</v>
      </c>
      <c r="H413" t="str">
        <f>_xlfn.XLOOKUP(TAB_H_ASIG_CON_DET[[#This Row],[DETALLADO]],MAE_CONOCIMIENTO[CAMPO_DETALLADO],MAE_CONOCIMIENTO[ID_DDETALLADO],"Seleccione Campo Detallado")</f>
        <v>F-C-D-</v>
      </c>
    </row>
    <row r="414" spans="1:8">
      <c r="A414">
        <v>429</v>
      </c>
      <c r="C414" t="str">
        <f>_xlfn.XLOOKUP(TAB_H_ASIG_CON_DET[[#This Row],[ID_CARRERA]],MAE_CARRERA[ID_CARRERA],MAE_CARRERA[NOMBRE_CARRERA],"Seleccione ID Carrera")</f>
        <v>Seleccione ID Carrera</v>
      </c>
      <c r="F414" t="str">
        <f>_xlfn.XLOOKUP(TAB_H_ASIG_CON_DET[[#This Row],[ASIGNATURA]],MAE_ASIGNATURA[NOM_ASIG],MAE_ASIGNATURA[ID_ASIG],"Seleccione Asignatura")</f>
        <v>Seleccione Asignatura</v>
      </c>
      <c r="H414" t="str">
        <f>_xlfn.XLOOKUP(TAB_H_ASIG_CON_DET[[#This Row],[DETALLADO]],MAE_CONOCIMIENTO[CAMPO_DETALLADO],MAE_CONOCIMIENTO[ID_DDETALLADO],"Seleccione Campo Detallado")</f>
        <v>F-C-D-</v>
      </c>
    </row>
    <row r="415" spans="1:8">
      <c r="A415">
        <v>430</v>
      </c>
      <c r="C415" t="str">
        <f>_xlfn.XLOOKUP(TAB_H_ASIG_CON_DET[[#This Row],[ID_CARRERA]],MAE_CARRERA[ID_CARRERA],MAE_CARRERA[NOMBRE_CARRERA],"Seleccione ID Carrera")</f>
        <v>Seleccione ID Carrera</v>
      </c>
      <c r="F415" t="str">
        <f>_xlfn.XLOOKUP(TAB_H_ASIG_CON_DET[[#This Row],[ASIGNATURA]],MAE_ASIGNATURA[NOM_ASIG],MAE_ASIGNATURA[ID_ASIG],"Seleccione Asignatura")</f>
        <v>Seleccione Asignatura</v>
      </c>
      <c r="H415" t="str">
        <f>_xlfn.XLOOKUP(TAB_H_ASIG_CON_DET[[#This Row],[DETALLADO]],MAE_CONOCIMIENTO[CAMPO_DETALLADO],MAE_CONOCIMIENTO[ID_DDETALLADO],"Seleccione Campo Detallado")</f>
        <v>F-C-D-</v>
      </c>
    </row>
    <row r="416" spans="1:8">
      <c r="A416">
        <v>431</v>
      </c>
      <c r="C416" t="str">
        <f>_xlfn.XLOOKUP(TAB_H_ASIG_CON_DET[[#This Row],[ID_CARRERA]],MAE_CARRERA[ID_CARRERA],MAE_CARRERA[NOMBRE_CARRERA],"Seleccione ID Carrera")</f>
        <v>Seleccione ID Carrera</v>
      </c>
      <c r="F416" t="str">
        <f>_xlfn.XLOOKUP(TAB_H_ASIG_CON_DET[[#This Row],[ASIGNATURA]],MAE_ASIGNATURA[NOM_ASIG],MAE_ASIGNATURA[ID_ASIG],"Seleccione Asignatura")</f>
        <v>Seleccione Asignatura</v>
      </c>
      <c r="H416" t="str">
        <f>_xlfn.XLOOKUP(TAB_H_ASIG_CON_DET[[#This Row],[DETALLADO]],MAE_CONOCIMIENTO[CAMPO_DETALLADO],MAE_CONOCIMIENTO[ID_DDETALLADO],"Seleccione Campo Detallado")</f>
        <v>F-C-D-</v>
      </c>
    </row>
    <row r="417" spans="1:8">
      <c r="A417">
        <v>432</v>
      </c>
      <c r="C417" t="str">
        <f>_xlfn.XLOOKUP(TAB_H_ASIG_CON_DET[[#This Row],[ID_CARRERA]],MAE_CARRERA[ID_CARRERA],MAE_CARRERA[NOMBRE_CARRERA],"Seleccione ID Carrera")</f>
        <v>Seleccione ID Carrera</v>
      </c>
      <c r="F417" t="str">
        <f>_xlfn.XLOOKUP(TAB_H_ASIG_CON_DET[[#This Row],[ASIGNATURA]],MAE_ASIGNATURA[NOM_ASIG],MAE_ASIGNATURA[ID_ASIG],"Seleccione Asignatura")</f>
        <v>Seleccione Asignatura</v>
      </c>
      <c r="H417" t="str">
        <f>_xlfn.XLOOKUP(TAB_H_ASIG_CON_DET[[#This Row],[DETALLADO]],MAE_CONOCIMIENTO[CAMPO_DETALLADO],MAE_CONOCIMIENTO[ID_DDETALLADO],"Seleccione Campo Detallado")</f>
        <v>F-C-D-</v>
      </c>
    </row>
    <row r="418" spans="1:8">
      <c r="A418">
        <v>433</v>
      </c>
      <c r="C418" t="str">
        <f>_xlfn.XLOOKUP(TAB_H_ASIG_CON_DET[[#This Row],[ID_CARRERA]],MAE_CARRERA[ID_CARRERA],MAE_CARRERA[NOMBRE_CARRERA],"Seleccione ID Carrera")</f>
        <v>Seleccione ID Carrera</v>
      </c>
      <c r="F418" t="str">
        <f>_xlfn.XLOOKUP(TAB_H_ASIG_CON_DET[[#This Row],[ASIGNATURA]],MAE_ASIGNATURA[NOM_ASIG],MAE_ASIGNATURA[ID_ASIG],"Seleccione Asignatura")</f>
        <v>Seleccione Asignatura</v>
      </c>
      <c r="H418" t="str">
        <f>_xlfn.XLOOKUP(TAB_H_ASIG_CON_DET[[#This Row],[DETALLADO]],MAE_CONOCIMIENTO[CAMPO_DETALLADO],MAE_CONOCIMIENTO[ID_DDETALLADO],"Seleccione Campo Detallado")</f>
        <v>F-C-D-</v>
      </c>
    </row>
    <row r="419" spans="1:8">
      <c r="A419">
        <v>434</v>
      </c>
      <c r="C419" t="str">
        <f>_xlfn.XLOOKUP(TAB_H_ASIG_CON_DET[[#This Row],[ID_CARRERA]],MAE_CARRERA[ID_CARRERA],MAE_CARRERA[NOMBRE_CARRERA],"Seleccione ID Carrera")</f>
        <v>Seleccione ID Carrera</v>
      </c>
      <c r="F419" t="str">
        <f>_xlfn.XLOOKUP(TAB_H_ASIG_CON_DET[[#This Row],[ASIGNATURA]],MAE_ASIGNATURA[NOM_ASIG],MAE_ASIGNATURA[ID_ASIG],"Seleccione Asignatura")</f>
        <v>Seleccione Asignatura</v>
      </c>
      <c r="H419" t="str">
        <f>_xlfn.XLOOKUP(TAB_H_ASIG_CON_DET[[#This Row],[DETALLADO]],MAE_CONOCIMIENTO[CAMPO_DETALLADO],MAE_CONOCIMIENTO[ID_DDETALLADO],"Seleccione Campo Detallado")</f>
        <v>F-C-D-</v>
      </c>
    </row>
    <row r="420" spans="1:8">
      <c r="A420">
        <v>435</v>
      </c>
      <c r="C420" t="str">
        <f>_xlfn.XLOOKUP(TAB_H_ASIG_CON_DET[[#This Row],[ID_CARRERA]],MAE_CARRERA[ID_CARRERA],MAE_CARRERA[NOMBRE_CARRERA],"Seleccione ID Carrera")</f>
        <v>Seleccione ID Carrera</v>
      </c>
      <c r="F420" t="str">
        <f>_xlfn.XLOOKUP(TAB_H_ASIG_CON_DET[[#This Row],[ASIGNATURA]],MAE_ASIGNATURA[NOM_ASIG],MAE_ASIGNATURA[ID_ASIG],"Seleccione Asignatura")</f>
        <v>Seleccione Asignatura</v>
      </c>
      <c r="H420" t="str">
        <f>_xlfn.XLOOKUP(TAB_H_ASIG_CON_DET[[#This Row],[DETALLADO]],MAE_CONOCIMIENTO[CAMPO_DETALLADO],MAE_CONOCIMIENTO[ID_DDETALLADO],"Seleccione Campo Detallado")</f>
        <v>F-C-D-</v>
      </c>
    </row>
    <row r="421" spans="1:8">
      <c r="A421">
        <v>436</v>
      </c>
      <c r="C421" t="str">
        <f>_xlfn.XLOOKUP(TAB_H_ASIG_CON_DET[[#This Row],[ID_CARRERA]],MAE_CARRERA[ID_CARRERA],MAE_CARRERA[NOMBRE_CARRERA],"Seleccione ID Carrera")</f>
        <v>Seleccione ID Carrera</v>
      </c>
      <c r="F421" t="str">
        <f>_xlfn.XLOOKUP(TAB_H_ASIG_CON_DET[[#This Row],[ASIGNATURA]],MAE_ASIGNATURA[NOM_ASIG],MAE_ASIGNATURA[ID_ASIG],"Seleccione Asignatura")</f>
        <v>Seleccione Asignatura</v>
      </c>
      <c r="H421" t="str">
        <f>_xlfn.XLOOKUP(TAB_H_ASIG_CON_DET[[#This Row],[DETALLADO]],MAE_CONOCIMIENTO[CAMPO_DETALLADO],MAE_CONOCIMIENTO[ID_DDETALLADO],"Seleccione Campo Detallado")</f>
        <v>F-C-D-</v>
      </c>
    </row>
    <row r="422" spans="1:8">
      <c r="A422">
        <v>437</v>
      </c>
      <c r="C422" t="str">
        <f>_xlfn.XLOOKUP(TAB_H_ASIG_CON_DET[[#This Row],[ID_CARRERA]],MAE_CARRERA[ID_CARRERA],MAE_CARRERA[NOMBRE_CARRERA],"Seleccione ID Carrera")</f>
        <v>Seleccione ID Carrera</v>
      </c>
      <c r="F422" t="str">
        <f>_xlfn.XLOOKUP(TAB_H_ASIG_CON_DET[[#This Row],[ASIGNATURA]],MAE_ASIGNATURA[NOM_ASIG],MAE_ASIGNATURA[ID_ASIG],"Seleccione Asignatura")</f>
        <v>Seleccione Asignatura</v>
      </c>
      <c r="H422" t="str">
        <f>_xlfn.XLOOKUP(TAB_H_ASIG_CON_DET[[#This Row],[DETALLADO]],MAE_CONOCIMIENTO[CAMPO_DETALLADO],MAE_CONOCIMIENTO[ID_DDETALLADO],"Seleccione Campo Detallado")</f>
        <v>F-C-D-</v>
      </c>
    </row>
    <row r="423" spans="1:8">
      <c r="A423">
        <v>438</v>
      </c>
      <c r="C423" t="str">
        <f>_xlfn.XLOOKUP(TAB_H_ASIG_CON_DET[[#This Row],[ID_CARRERA]],MAE_CARRERA[ID_CARRERA],MAE_CARRERA[NOMBRE_CARRERA],"Seleccione ID Carrera")</f>
        <v>Seleccione ID Carrera</v>
      </c>
      <c r="F423" t="str">
        <f>_xlfn.XLOOKUP(TAB_H_ASIG_CON_DET[[#This Row],[ASIGNATURA]],MAE_ASIGNATURA[NOM_ASIG],MAE_ASIGNATURA[ID_ASIG],"Seleccione Asignatura")</f>
        <v>Seleccione Asignatura</v>
      </c>
      <c r="H423" t="str">
        <f>_xlfn.XLOOKUP(TAB_H_ASIG_CON_DET[[#This Row],[DETALLADO]],MAE_CONOCIMIENTO[CAMPO_DETALLADO],MAE_CONOCIMIENTO[ID_DDETALLADO],"Seleccione Campo Detallado")</f>
        <v>F-C-D-</v>
      </c>
    </row>
    <row r="424" spans="1:8">
      <c r="A424">
        <v>439</v>
      </c>
      <c r="C424" t="str">
        <f>_xlfn.XLOOKUP(TAB_H_ASIG_CON_DET[[#This Row],[ID_CARRERA]],MAE_CARRERA[ID_CARRERA],MAE_CARRERA[NOMBRE_CARRERA],"Seleccione ID Carrera")</f>
        <v>Seleccione ID Carrera</v>
      </c>
      <c r="F424" t="str">
        <f>_xlfn.XLOOKUP(TAB_H_ASIG_CON_DET[[#This Row],[ASIGNATURA]],MAE_ASIGNATURA[NOM_ASIG],MAE_ASIGNATURA[ID_ASIG],"Seleccione Asignatura")</f>
        <v>Seleccione Asignatura</v>
      </c>
      <c r="H424" t="str">
        <f>_xlfn.XLOOKUP(TAB_H_ASIG_CON_DET[[#This Row],[DETALLADO]],MAE_CONOCIMIENTO[CAMPO_DETALLADO],MAE_CONOCIMIENTO[ID_DDETALLADO],"Seleccione Campo Detallado")</f>
        <v>F-C-D-</v>
      </c>
    </row>
    <row r="425" spans="1:8">
      <c r="A425">
        <v>440</v>
      </c>
      <c r="C425" t="str">
        <f>_xlfn.XLOOKUP(TAB_H_ASIG_CON_DET[[#This Row],[ID_CARRERA]],MAE_CARRERA[ID_CARRERA],MAE_CARRERA[NOMBRE_CARRERA],"Seleccione ID Carrera")</f>
        <v>Seleccione ID Carrera</v>
      </c>
      <c r="F425" t="str">
        <f>_xlfn.XLOOKUP(TAB_H_ASIG_CON_DET[[#This Row],[ASIGNATURA]],MAE_ASIGNATURA[NOM_ASIG],MAE_ASIGNATURA[ID_ASIG],"Seleccione Asignatura")</f>
        <v>Seleccione Asignatura</v>
      </c>
      <c r="H425" t="str">
        <f>_xlfn.XLOOKUP(TAB_H_ASIG_CON_DET[[#This Row],[DETALLADO]],MAE_CONOCIMIENTO[CAMPO_DETALLADO],MAE_CONOCIMIENTO[ID_DDETALLADO],"Seleccione Campo Detallado")</f>
        <v>F-C-D-</v>
      </c>
    </row>
    <row r="426" spans="1:8">
      <c r="A426">
        <v>441</v>
      </c>
      <c r="C426" t="str">
        <f>_xlfn.XLOOKUP(TAB_H_ASIG_CON_DET[[#This Row],[ID_CARRERA]],MAE_CARRERA[ID_CARRERA],MAE_CARRERA[NOMBRE_CARRERA],"Seleccione ID Carrera")</f>
        <v>Seleccione ID Carrera</v>
      </c>
      <c r="F426" t="str">
        <f>_xlfn.XLOOKUP(TAB_H_ASIG_CON_DET[[#This Row],[ASIGNATURA]],MAE_ASIGNATURA[NOM_ASIG],MAE_ASIGNATURA[ID_ASIG],"Seleccione Asignatura")</f>
        <v>Seleccione Asignatura</v>
      </c>
      <c r="H426" t="str">
        <f>_xlfn.XLOOKUP(TAB_H_ASIG_CON_DET[[#This Row],[DETALLADO]],MAE_CONOCIMIENTO[CAMPO_DETALLADO],MAE_CONOCIMIENTO[ID_DDETALLADO],"Seleccione Campo Detallado")</f>
        <v>F-C-D-</v>
      </c>
    </row>
    <row r="427" spans="1:8">
      <c r="A427">
        <v>442</v>
      </c>
      <c r="C427" t="str">
        <f>_xlfn.XLOOKUP(TAB_H_ASIG_CON_DET[[#This Row],[ID_CARRERA]],MAE_CARRERA[ID_CARRERA],MAE_CARRERA[NOMBRE_CARRERA],"Seleccione ID Carrera")</f>
        <v>Seleccione ID Carrera</v>
      </c>
      <c r="F427" t="str">
        <f>_xlfn.XLOOKUP(TAB_H_ASIG_CON_DET[[#This Row],[ASIGNATURA]],MAE_ASIGNATURA[NOM_ASIG],MAE_ASIGNATURA[ID_ASIG],"Seleccione Asignatura")</f>
        <v>Seleccione Asignatura</v>
      </c>
      <c r="H427" t="str">
        <f>_xlfn.XLOOKUP(TAB_H_ASIG_CON_DET[[#This Row],[DETALLADO]],MAE_CONOCIMIENTO[CAMPO_DETALLADO],MAE_CONOCIMIENTO[ID_DDETALLADO],"Seleccione Campo Detallado")</f>
        <v>F-C-D-</v>
      </c>
    </row>
    <row r="428" spans="1:8">
      <c r="A428">
        <v>443</v>
      </c>
      <c r="C428" t="str">
        <f>_xlfn.XLOOKUP(TAB_H_ASIG_CON_DET[[#This Row],[ID_CARRERA]],MAE_CARRERA[ID_CARRERA],MAE_CARRERA[NOMBRE_CARRERA],"Seleccione ID Carrera")</f>
        <v>Seleccione ID Carrera</v>
      </c>
      <c r="F428" t="str">
        <f>_xlfn.XLOOKUP(TAB_H_ASIG_CON_DET[[#This Row],[ASIGNATURA]],MAE_ASIGNATURA[NOM_ASIG],MAE_ASIGNATURA[ID_ASIG],"Seleccione Asignatura")</f>
        <v>Seleccione Asignatura</v>
      </c>
      <c r="H428" t="str">
        <f>_xlfn.XLOOKUP(TAB_H_ASIG_CON_DET[[#This Row],[DETALLADO]],MAE_CONOCIMIENTO[CAMPO_DETALLADO],MAE_CONOCIMIENTO[ID_DDETALLADO],"Seleccione Campo Detallado")</f>
        <v>F-C-D-</v>
      </c>
    </row>
    <row r="429" spans="1:8">
      <c r="A429">
        <v>444</v>
      </c>
      <c r="C429" t="str">
        <f>_xlfn.XLOOKUP(TAB_H_ASIG_CON_DET[[#This Row],[ID_CARRERA]],MAE_CARRERA[ID_CARRERA],MAE_CARRERA[NOMBRE_CARRERA],"Seleccione ID Carrera")</f>
        <v>Seleccione ID Carrera</v>
      </c>
      <c r="F429" t="str">
        <f>_xlfn.XLOOKUP(TAB_H_ASIG_CON_DET[[#This Row],[ASIGNATURA]],MAE_ASIGNATURA[NOM_ASIG],MAE_ASIGNATURA[ID_ASIG],"Seleccione Asignatura")</f>
        <v>Seleccione Asignatura</v>
      </c>
      <c r="H429" t="str">
        <f>_xlfn.XLOOKUP(TAB_H_ASIG_CON_DET[[#This Row],[DETALLADO]],MAE_CONOCIMIENTO[CAMPO_DETALLADO],MAE_CONOCIMIENTO[ID_DDETALLADO],"Seleccione Campo Detallado")</f>
        <v>F-C-D-</v>
      </c>
    </row>
    <row r="430" spans="1:8">
      <c r="A430">
        <v>445</v>
      </c>
      <c r="C430" t="str">
        <f>_xlfn.XLOOKUP(TAB_H_ASIG_CON_DET[[#This Row],[ID_CARRERA]],MAE_CARRERA[ID_CARRERA],MAE_CARRERA[NOMBRE_CARRERA],"Seleccione ID Carrera")</f>
        <v>Seleccione ID Carrera</v>
      </c>
      <c r="F430" t="str">
        <f>_xlfn.XLOOKUP(TAB_H_ASIG_CON_DET[[#This Row],[ASIGNATURA]],MAE_ASIGNATURA[NOM_ASIG],MAE_ASIGNATURA[ID_ASIG],"Seleccione Asignatura")</f>
        <v>Seleccione Asignatura</v>
      </c>
      <c r="H430" t="str">
        <f>_xlfn.XLOOKUP(TAB_H_ASIG_CON_DET[[#This Row],[DETALLADO]],MAE_CONOCIMIENTO[CAMPO_DETALLADO],MAE_CONOCIMIENTO[ID_DDETALLADO],"Seleccione Campo Detallado")</f>
        <v>F-C-D-</v>
      </c>
    </row>
    <row r="431" spans="1:8">
      <c r="A431">
        <v>446</v>
      </c>
      <c r="C431" t="str">
        <f>_xlfn.XLOOKUP(TAB_H_ASIG_CON_DET[[#This Row],[ID_CARRERA]],MAE_CARRERA[ID_CARRERA],MAE_CARRERA[NOMBRE_CARRERA],"Seleccione ID Carrera")</f>
        <v>Seleccione ID Carrera</v>
      </c>
      <c r="F431" t="str">
        <f>_xlfn.XLOOKUP(TAB_H_ASIG_CON_DET[[#This Row],[ASIGNATURA]],MAE_ASIGNATURA[NOM_ASIG],MAE_ASIGNATURA[ID_ASIG],"Seleccione Asignatura")</f>
        <v>Seleccione Asignatura</v>
      </c>
      <c r="H431" t="str">
        <f>_xlfn.XLOOKUP(TAB_H_ASIG_CON_DET[[#This Row],[DETALLADO]],MAE_CONOCIMIENTO[CAMPO_DETALLADO],MAE_CONOCIMIENTO[ID_DDETALLADO],"Seleccione Campo Detallado")</f>
        <v>F-C-D-</v>
      </c>
    </row>
    <row r="432" spans="1:8">
      <c r="A432">
        <v>447</v>
      </c>
      <c r="C432" t="str">
        <f>_xlfn.XLOOKUP(TAB_H_ASIG_CON_DET[[#This Row],[ID_CARRERA]],MAE_CARRERA[ID_CARRERA],MAE_CARRERA[NOMBRE_CARRERA],"Seleccione ID Carrera")</f>
        <v>Seleccione ID Carrera</v>
      </c>
      <c r="F432" t="str">
        <f>_xlfn.XLOOKUP(TAB_H_ASIG_CON_DET[[#This Row],[ASIGNATURA]],MAE_ASIGNATURA[NOM_ASIG],MAE_ASIGNATURA[ID_ASIG],"Seleccione Asignatura")</f>
        <v>Seleccione Asignatura</v>
      </c>
      <c r="H432" t="str">
        <f>_xlfn.XLOOKUP(TAB_H_ASIG_CON_DET[[#This Row],[DETALLADO]],MAE_CONOCIMIENTO[CAMPO_DETALLADO],MAE_CONOCIMIENTO[ID_DDETALLADO],"Seleccione Campo Detallado")</f>
        <v>F-C-D-</v>
      </c>
    </row>
    <row r="433" spans="1:8">
      <c r="A433">
        <v>448</v>
      </c>
      <c r="C433" t="str">
        <f>_xlfn.XLOOKUP(TAB_H_ASIG_CON_DET[[#This Row],[ID_CARRERA]],MAE_CARRERA[ID_CARRERA],MAE_CARRERA[NOMBRE_CARRERA],"Seleccione ID Carrera")</f>
        <v>Seleccione ID Carrera</v>
      </c>
      <c r="F433" t="str">
        <f>_xlfn.XLOOKUP(TAB_H_ASIG_CON_DET[[#This Row],[ASIGNATURA]],MAE_ASIGNATURA[NOM_ASIG],MAE_ASIGNATURA[ID_ASIG],"Seleccione Asignatura")</f>
        <v>Seleccione Asignatura</v>
      </c>
      <c r="H433" t="str">
        <f>_xlfn.XLOOKUP(TAB_H_ASIG_CON_DET[[#This Row],[DETALLADO]],MAE_CONOCIMIENTO[CAMPO_DETALLADO],MAE_CONOCIMIENTO[ID_DDETALLADO],"Seleccione Campo Detallado")</f>
        <v>F-C-D-</v>
      </c>
    </row>
    <row r="434" spans="1:8">
      <c r="A434">
        <v>449</v>
      </c>
      <c r="C434" t="str">
        <f>_xlfn.XLOOKUP(TAB_H_ASIG_CON_DET[[#This Row],[ID_CARRERA]],MAE_CARRERA[ID_CARRERA],MAE_CARRERA[NOMBRE_CARRERA],"Seleccione ID Carrera")</f>
        <v>Seleccione ID Carrera</v>
      </c>
      <c r="F434" t="str">
        <f>_xlfn.XLOOKUP(TAB_H_ASIG_CON_DET[[#This Row],[ASIGNATURA]],MAE_ASIGNATURA[NOM_ASIG],MAE_ASIGNATURA[ID_ASIG],"Seleccione Asignatura")</f>
        <v>Seleccione Asignatura</v>
      </c>
      <c r="H434" t="str">
        <f>_xlfn.XLOOKUP(TAB_H_ASIG_CON_DET[[#This Row],[DETALLADO]],MAE_CONOCIMIENTO[CAMPO_DETALLADO],MAE_CONOCIMIENTO[ID_DDETALLADO],"Seleccione Campo Detallado")</f>
        <v>F-C-D-</v>
      </c>
    </row>
    <row r="435" spans="1:8">
      <c r="A435">
        <v>450</v>
      </c>
      <c r="C435" t="str">
        <f>_xlfn.XLOOKUP(TAB_H_ASIG_CON_DET[[#This Row],[ID_CARRERA]],MAE_CARRERA[ID_CARRERA],MAE_CARRERA[NOMBRE_CARRERA],"Seleccione ID Carrera")</f>
        <v>Seleccione ID Carrera</v>
      </c>
      <c r="F435" t="str">
        <f>_xlfn.XLOOKUP(TAB_H_ASIG_CON_DET[[#This Row],[ASIGNATURA]],MAE_ASIGNATURA[NOM_ASIG],MAE_ASIGNATURA[ID_ASIG],"Seleccione Asignatura")</f>
        <v>Seleccione Asignatura</v>
      </c>
      <c r="H435" t="str">
        <f>_xlfn.XLOOKUP(TAB_H_ASIG_CON_DET[[#This Row],[DETALLADO]],MAE_CONOCIMIENTO[CAMPO_DETALLADO],MAE_CONOCIMIENTO[ID_DDETALLADO],"Seleccione Campo Detallado")</f>
        <v>F-C-D-</v>
      </c>
    </row>
    <row r="436" spans="1:8">
      <c r="A436">
        <v>451</v>
      </c>
      <c r="C436" t="str">
        <f>_xlfn.XLOOKUP(TAB_H_ASIG_CON_DET[[#This Row],[ID_CARRERA]],MAE_CARRERA[ID_CARRERA],MAE_CARRERA[NOMBRE_CARRERA],"Seleccione ID Carrera")</f>
        <v>Seleccione ID Carrera</v>
      </c>
      <c r="F436" t="str">
        <f>_xlfn.XLOOKUP(TAB_H_ASIG_CON_DET[[#This Row],[ASIGNATURA]],MAE_ASIGNATURA[NOM_ASIG],MAE_ASIGNATURA[ID_ASIG],"Seleccione Asignatura")</f>
        <v>Seleccione Asignatura</v>
      </c>
      <c r="H436" t="str">
        <f>_xlfn.XLOOKUP(TAB_H_ASIG_CON_DET[[#This Row],[DETALLADO]],MAE_CONOCIMIENTO[CAMPO_DETALLADO],MAE_CONOCIMIENTO[ID_DDETALLADO],"Seleccione Campo Detallado")</f>
        <v>F-C-D-</v>
      </c>
    </row>
    <row r="437" spans="1:8">
      <c r="A437">
        <v>452</v>
      </c>
      <c r="C437" t="str">
        <f>_xlfn.XLOOKUP(TAB_H_ASIG_CON_DET[[#This Row],[ID_CARRERA]],MAE_CARRERA[ID_CARRERA],MAE_CARRERA[NOMBRE_CARRERA],"Seleccione ID Carrera")</f>
        <v>Seleccione ID Carrera</v>
      </c>
      <c r="F437" t="str">
        <f>_xlfn.XLOOKUP(TAB_H_ASIG_CON_DET[[#This Row],[ASIGNATURA]],MAE_ASIGNATURA[NOM_ASIG],MAE_ASIGNATURA[ID_ASIG],"Seleccione Asignatura")</f>
        <v>Seleccione Asignatura</v>
      </c>
      <c r="H437" t="str">
        <f>_xlfn.XLOOKUP(TAB_H_ASIG_CON_DET[[#This Row],[DETALLADO]],MAE_CONOCIMIENTO[CAMPO_DETALLADO],MAE_CONOCIMIENTO[ID_DDETALLADO],"Seleccione Campo Detallado")</f>
        <v>F-C-D-</v>
      </c>
    </row>
    <row r="438" spans="1:8">
      <c r="A438">
        <v>453</v>
      </c>
      <c r="C438" t="str">
        <f>_xlfn.XLOOKUP(TAB_H_ASIG_CON_DET[[#This Row],[ID_CARRERA]],MAE_CARRERA[ID_CARRERA],MAE_CARRERA[NOMBRE_CARRERA],"Seleccione ID Carrera")</f>
        <v>Seleccione ID Carrera</v>
      </c>
      <c r="F438" t="str">
        <f>_xlfn.XLOOKUP(TAB_H_ASIG_CON_DET[[#This Row],[ASIGNATURA]],MAE_ASIGNATURA[NOM_ASIG],MAE_ASIGNATURA[ID_ASIG],"Seleccione Asignatura")</f>
        <v>Seleccione Asignatura</v>
      </c>
      <c r="H438" t="str">
        <f>_xlfn.XLOOKUP(TAB_H_ASIG_CON_DET[[#This Row],[DETALLADO]],MAE_CONOCIMIENTO[CAMPO_DETALLADO],MAE_CONOCIMIENTO[ID_DDETALLADO],"Seleccione Campo Detallado")</f>
        <v>F-C-D-</v>
      </c>
    </row>
    <row r="439" spans="1:8">
      <c r="A439">
        <v>454</v>
      </c>
      <c r="C439" t="str">
        <f>_xlfn.XLOOKUP(TAB_H_ASIG_CON_DET[[#This Row],[ID_CARRERA]],MAE_CARRERA[ID_CARRERA],MAE_CARRERA[NOMBRE_CARRERA],"Seleccione ID Carrera")</f>
        <v>Seleccione ID Carrera</v>
      </c>
      <c r="F439" t="str">
        <f>_xlfn.XLOOKUP(TAB_H_ASIG_CON_DET[[#This Row],[ASIGNATURA]],MAE_ASIGNATURA[NOM_ASIG],MAE_ASIGNATURA[ID_ASIG],"Seleccione Asignatura")</f>
        <v>Seleccione Asignatura</v>
      </c>
      <c r="H439" t="str">
        <f>_xlfn.XLOOKUP(TAB_H_ASIG_CON_DET[[#This Row],[DETALLADO]],MAE_CONOCIMIENTO[CAMPO_DETALLADO],MAE_CONOCIMIENTO[ID_DDETALLADO],"Seleccione Campo Detallado")</f>
        <v>F-C-D-</v>
      </c>
    </row>
    <row r="440" spans="1:8">
      <c r="A440">
        <v>455</v>
      </c>
      <c r="C440" t="str">
        <f>_xlfn.XLOOKUP(TAB_H_ASIG_CON_DET[[#This Row],[ID_CARRERA]],MAE_CARRERA[ID_CARRERA],MAE_CARRERA[NOMBRE_CARRERA],"Seleccione ID Carrera")</f>
        <v>Seleccione ID Carrera</v>
      </c>
      <c r="F440" t="str">
        <f>_xlfn.XLOOKUP(TAB_H_ASIG_CON_DET[[#This Row],[ASIGNATURA]],MAE_ASIGNATURA[NOM_ASIG],MAE_ASIGNATURA[ID_ASIG],"Seleccione Asignatura")</f>
        <v>Seleccione Asignatura</v>
      </c>
      <c r="H440" t="str">
        <f>_xlfn.XLOOKUP(TAB_H_ASIG_CON_DET[[#This Row],[DETALLADO]],MAE_CONOCIMIENTO[CAMPO_DETALLADO],MAE_CONOCIMIENTO[ID_DDETALLADO],"Seleccione Campo Detallado")</f>
        <v>F-C-D-</v>
      </c>
    </row>
    <row r="441" spans="1:8">
      <c r="A441">
        <v>456</v>
      </c>
      <c r="C441" t="str">
        <f>_xlfn.XLOOKUP(TAB_H_ASIG_CON_DET[[#This Row],[ID_CARRERA]],MAE_CARRERA[ID_CARRERA],MAE_CARRERA[NOMBRE_CARRERA],"Seleccione ID Carrera")</f>
        <v>Seleccione ID Carrera</v>
      </c>
      <c r="F441" t="str">
        <f>_xlfn.XLOOKUP(TAB_H_ASIG_CON_DET[[#This Row],[ASIGNATURA]],MAE_ASIGNATURA[NOM_ASIG],MAE_ASIGNATURA[ID_ASIG],"Seleccione Asignatura")</f>
        <v>Seleccione Asignatura</v>
      </c>
      <c r="H441" t="str">
        <f>_xlfn.XLOOKUP(TAB_H_ASIG_CON_DET[[#This Row],[DETALLADO]],MAE_CONOCIMIENTO[CAMPO_DETALLADO],MAE_CONOCIMIENTO[ID_DDETALLADO],"Seleccione Campo Detallado")</f>
        <v>F-C-D-</v>
      </c>
    </row>
    <row r="442" spans="1:8">
      <c r="A442">
        <v>457</v>
      </c>
      <c r="C442" t="str">
        <f>_xlfn.XLOOKUP(TAB_H_ASIG_CON_DET[[#This Row],[ID_CARRERA]],MAE_CARRERA[ID_CARRERA],MAE_CARRERA[NOMBRE_CARRERA],"Seleccione ID Carrera")</f>
        <v>Seleccione ID Carrera</v>
      </c>
      <c r="F442" t="str">
        <f>_xlfn.XLOOKUP(TAB_H_ASIG_CON_DET[[#This Row],[ASIGNATURA]],MAE_ASIGNATURA[NOM_ASIG],MAE_ASIGNATURA[ID_ASIG],"Seleccione Asignatura")</f>
        <v>Seleccione Asignatura</v>
      </c>
      <c r="H442" t="str">
        <f>_xlfn.XLOOKUP(TAB_H_ASIG_CON_DET[[#This Row],[DETALLADO]],MAE_CONOCIMIENTO[CAMPO_DETALLADO],MAE_CONOCIMIENTO[ID_DDETALLADO],"Seleccione Campo Detallado")</f>
        <v>F-C-D-</v>
      </c>
    </row>
    <row r="443" spans="1:8">
      <c r="A443">
        <v>458</v>
      </c>
      <c r="C443" t="str">
        <f>_xlfn.XLOOKUP(TAB_H_ASIG_CON_DET[[#This Row],[ID_CARRERA]],MAE_CARRERA[ID_CARRERA],MAE_CARRERA[NOMBRE_CARRERA],"Seleccione ID Carrera")</f>
        <v>Seleccione ID Carrera</v>
      </c>
      <c r="F443" t="str">
        <f>_xlfn.XLOOKUP(TAB_H_ASIG_CON_DET[[#This Row],[ASIGNATURA]],MAE_ASIGNATURA[NOM_ASIG],MAE_ASIGNATURA[ID_ASIG],"Seleccione Asignatura")</f>
        <v>Seleccione Asignatura</v>
      </c>
      <c r="H443" t="str">
        <f>_xlfn.XLOOKUP(TAB_H_ASIG_CON_DET[[#This Row],[DETALLADO]],MAE_CONOCIMIENTO[CAMPO_DETALLADO],MAE_CONOCIMIENTO[ID_DDETALLADO],"Seleccione Campo Detallado")</f>
        <v>F-C-D-</v>
      </c>
    </row>
    <row r="444" spans="1:8">
      <c r="A444">
        <v>459</v>
      </c>
      <c r="C444" t="str">
        <f>_xlfn.XLOOKUP(TAB_H_ASIG_CON_DET[[#This Row],[ID_CARRERA]],MAE_CARRERA[ID_CARRERA],MAE_CARRERA[NOMBRE_CARRERA],"Seleccione ID Carrera")</f>
        <v>Seleccione ID Carrera</v>
      </c>
      <c r="F444" t="str">
        <f>_xlfn.XLOOKUP(TAB_H_ASIG_CON_DET[[#This Row],[ASIGNATURA]],MAE_ASIGNATURA[NOM_ASIG],MAE_ASIGNATURA[ID_ASIG],"Seleccione Asignatura")</f>
        <v>Seleccione Asignatura</v>
      </c>
      <c r="H444" t="str">
        <f>_xlfn.XLOOKUP(TAB_H_ASIG_CON_DET[[#This Row],[DETALLADO]],MAE_CONOCIMIENTO[CAMPO_DETALLADO],MAE_CONOCIMIENTO[ID_DDETALLADO],"Seleccione Campo Detallado")</f>
        <v>F-C-D-</v>
      </c>
    </row>
    <row r="445" spans="1:8">
      <c r="A445">
        <v>460</v>
      </c>
      <c r="C445" t="str">
        <f>_xlfn.XLOOKUP(TAB_H_ASIG_CON_DET[[#This Row],[ID_CARRERA]],MAE_CARRERA[ID_CARRERA],MAE_CARRERA[NOMBRE_CARRERA],"Seleccione ID Carrera")</f>
        <v>Seleccione ID Carrera</v>
      </c>
      <c r="F445" t="str">
        <f>_xlfn.XLOOKUP(TAB_H_ASIG_CON_DET[[#This Row],[ASIGNATURA]],MAE_ASIGNATURA[NOM_ASIG],MAE_ASIGNATURA[ID_ASIG],"Seleccione Asignatura")</f>
        <v>Seleccione Asignatura</v>
      </c>
      <c r="H445" t="str">
        <f>_xlfn.XLOOKUP(TAB_H_ASIG_CON_DET[[#This Row],[DETALLADO]],MAE_CONOCIMIENTO[CAMPO_DETALLADO],MAE_CONOCIMIENTO[ID_DDETALLADO],"Seleccione Campo Detallado")</f>
        <v>F-C-D-</v>
      </c>
    </row>
    <row r="446" spans="1:8">
      <c r="A446">
        <v>461</v>
      </c>
      <c r="C446" t="str">
        <f>_xlfn.XLOOKUP(TAB_H_ASIG_CON_DET[[#This Row],[ID_CARRERA]],MAE_CARRERA[ID_CARRERA],MAE_CARRERA[NOMBRE_CARRERA],"Seleccione ID Carrera")</f>
        <v>Seleccione ID Carrera</v>
      </c>
      <c r="F446" t="str">
        <f>_xlfn.XLOOKUP(TAB_H_ASIG_CON_DET[[#This Row],[ASIGNATURA]],MAE_ASIGNATURA[NOM_ASIG],MAE_ASIGNATURA[ID_ASIG],"Seleccione Asignatura")</f>
        <v>Seleccione Asignatura</v>
      </c>
      <c r="H446" t="str">
        <f>_xlfn.XLOOKUP(TAB_H_ASIG_CON_DET[[#This Row],[DETALLADO]],MAE_CONOCIMIENTO[CAMPO_DETALLADO],MAE_CONOCIMIENTO[ID_DDETALLADO],"Seleccione Campo Detallado")</f>
        <v>F-C-D-</v>
      </c>
    </row>
    <row r="447" spans="1:8">
      <c r="A447">
        <v>462</v>
      </c>
      <c r="C447" t="str">
        <f>_xlfn.XLOOKUP(TAB_H_ASIG_CON_DET[[#This Row],[ID_CARRERA]],MAE_CARRERA[ID_CARRERA],MAE_CARRERA[NOMBRE_CARRERA],"Seleccione ID Carrera")</f>
        <v>Seleccione ID Carrera</v>
      </c>
      <c r="F447" t="str">
        <f>_xlfn.XLOOKUP(TAB_H_ASIG_CON_DET[[#This Row],[ASIGNATURA]],MAE_ASIGNATURA[NOM_ASIG],MAE_ASIGNATURA[ID_ASIG],"Seleccione Asignatura")</f>
        <v>Seleccione Asignatura</v>
      </c>
      <c r="H447" t="str">
        <f>_xlfn.XLOOKUP(TAB_H_ASIG_CON_DET[[#This Row],[DETALLADO]],MAE_CONOCIMIENTO[CAMPO_DETALLADO],MAE_CONOCIMIENTO[ID_DDETALLADO],"Seleccione Campo Detallado")</f>
        <v>F-C-D-</v>
      </c>
    </row>
    <row r="448" spans="1:8">
      <c r="A448">
        <v>463</v>
      </c>
      <c r="C448" t="str">
        <f>_xlfn.XLOOKUP(TAB_H_ASIG_CON_DET[[#This Row],[ID_CARRERA]],MAE_CARRERA[ID_CARRERA],MAE_CARRERA[NOMBRE_CARRERA],"Seleccione ID Carrera")</f>
        <v>Seleccione ID Carrera</v>
      </c>
      <c r="F448" t="str">
        <f>_xlfn.XLOOKUP(TAB_H_ASIG_CON_DET[[#This Row],[ASIGNATURA]],MAE_ASIGNATURA[NOM_ASIG],MAE_ASIGNATURA[ID_ASIG],"Seleccione Asignatura")</f>
        <v>Seleccione Asignatura</v>
      </c>
      <c r="H448" t="str">
        <f>_xlfn.XLOOKUP(TAB_H_ASIG_CON_DET[[#This Row],[DETALLADO]],MAE_CONOCIMIENTO[CAMPO_DETALLADO],MAE_CONOCIMIENTO[ID_DDETALLADO],"Seleccione Campo Detallado")</f>
        <v>F-C-D-</v>
      </c>
    </row>
    <row r="449" spans="1:8">
      <c r="A449">
        <v>464</v>
      </c>
      <c r="C449" t="str">
        <f>_xlfn.XLOOKUP(TAB_H_ASIG_CON_DET[[#This Row],[ID_CARRERA]],MAE_CARRERA[ID_CARRERA],MAE_CARRERA[NOMBRE_CARRERA],"Seleccione ID Carrera")</f>
        <v>Seleccione ID Carrera</v>
      </c>
      <c r="F449" t="str">
        <f>_xlfn.XLOOKUP(TAB_H_ASIG_CON_DET[[#This Row],[ASIGNATURA]],MAE_ASIGNATURA[NOM_ASIG],MAE_ASIGNATURA[ID_ASIG],"Seleccione Asignatura")</f>
        <v>Seleccione Asignatura</v>
      </c>
      <c r="H449" t="str">
        <f>_xlfn.XLOOKUP(TAB_H_ASIG_CON_DET[[#This Row],[DETALLADO]],MAE_CONOCIMIENTO[CAMPO_DETALLADO],MAE_CONOCIMIENTO[ID_DDETALLADO],"Seleccione Campo Detallado")</f>
        <v>F-C-D-</v>
      </c>
    </row>
    <row r="450" spans="1:8">
      <c r="A450">
        <v>465</v>
      </c>
      <c r="C450" t="str">
        <f>_xlfn.XLOOKUP(TAB_H_ASIG_CON_DET[[#This Row],[ID_CARRERA]],MAE_CARRERA[ID_CARRERA],MAE_CARRERA[NOMBRE_CARRERA],"Seleccione ID Carrera")</f>
        <v>Seleccione ID Carrera</v>
      </c>
      <c r="F450" t="str">
        <f>_xlfn.XLOOKUP(TAB_H_ASIG_CON_DET[[#This Row],[ASIGNATURA]],MAE_ASIGNATURA[NOM_ASIG],MAE_ASIGNATURA[ID_ASIG],"Seleccione Asignatura")</f>
        <v>Seleccione Asignatura</v>
      </c>
      <c r="H450" t="str">
        <f>_xlfn.XLOOKUP(TAB_H_ASIG_CON_DET[[#This Row],[DETALLADO]],MAE_CONOCIMIENTO[CAMPO_DETALLADO],MAE_CONOCIMIENTO[ID_DDETALLADO],"Seleccione Campo Detallado")</f>
        <v>F-C-D-</v>
      </c>
    </row>
    <row r="451" spans="1:8">
      <c r="A451">
        <v>466</v>
      </c>
      <c r="C451" t="str">
        <f>_xlfn.XLOOKUP(TAB_H_ASIG_CON_DET[[#This Row],[ID_CARRERA]],MAE_CARRERA[ID_CARRERA],MAE_CARRERA[NOMBRE_CARRERA],"Seleccione ID Carrera")</f>
        <v>Seleccione ID Carrera</v>
      </c>
      <c r="F451" t="str">
        <f>_xlfn.XLOOKUP(TAB_H_ASIG_CON_DET[[#This Row],[ASIGNATURA]],MAE_ASIGNATURA[NOM_ASIG],MAE_ASIGNATURA[ID_ASIG],"Seleccione Asignatura")</f>
        <v>Seleccione Asignatura</v>
      </c>
      <c r="H451" t="str">
        <f>_xlfn.XLOOKUP(TAB_H_ASIG_CON_DET[[#This Row],[DETALLADO]],MAE_CONOCIMIENTO[CAMPO_DETALLADO],MAE_CONOCIMIENTO[ID_DDETALLADO],"Seleccione Campo Detallado")</f>
        <v>F-C-D-</v>
      </c>
    </row>
    <row r="452" spans="1:8">
      <c r="A452">
        <v>467</v>
      </c>
      <c r="C452" t="str">
        <f>_xlfn.XLOOKUP(TAB_H_ASIG_CON_DET[[#This Row],[ID_CARRERA]],MAE_CARRERA[ID_CARRERA],MAE_CARRERA[NOMBRE_CARRERA],"Seleccione ID Carrera")</f>
        <v>Seleccione ID Carrera</v>
      </c>
      <c r="F452" t="str">
        <f>_xlfn.XLOOKUP(TAB_H_ASIG_CON_DET[[#This Row],[ASIGNATURA]],MAE_ASIGNATURA[NOM_ASIG],MAE_ASIGNATURA[ID_ASIG],"Seleccione Asignatura")</f>
        <v>Seleccione Asignatura</v>
      </c>
      <c r="H452" t="str">
        <f>_xlfn.XLOOKUP(TAB_H_ASIG_CON_DET[[#This Row],[DETALLADO]],MAE_CONOCIMIENTO[CAMPO_DETALLADO],MAE_CONOCIMIENTO[ID_DDETALLADO],"Seleccione Campo Detallado")</f>
        <v>F-C-D-</v>
      </c>
    </row>
    <row r="453" spans="1:8">
      <c r="A453">
        <v>468</v>
      </c>
      <c r="C453" t="str">
        <f>_xlfn.XLOOKUP(TAB_H_ASIG_CON_DET[[#This Row],[ID_CARRERA]],MAE_CARRERA[ID_CARRERA],MAE_CARRERA[NOMBRE_CARRERA],"Seleccione ID Carrera")</f>
        <v>Seleccione ID Carrera</v>
      </c>
      <c r="F453" t="str">
        <f>_xlfn.XLOOKUP(TAB_H_ASIG_CON_DET[[#This Row],[ASIGNATURA]],MAE_ASIGNATURA[NOM_ASIG],MAE_ASIGNATURA[ID_ASIG],"Seleccione Asignatura")</f>
        <v>Seleccione Asignatura</v>
      </c>
      <c r="H453" t="str">
        <f>_xlfn.XLOOKUP(TAB_H_ASIG_CON_DET[[#This Row],[DETALLADO]],MAE_CONOCIMIENTO[CAMPO_DETALLADO],MAE_CONOCIMIENTO[ID_DDETALLADO],"Seleccione Campo Detallado")</f>
        <v>F-C-D-</v>
      </c>
    </row>
    <row r="454" spans="1:8">
      <c r="A454">
        <v>469</v>
      </c>
      <c r="C454" t="str">
        <f>_xlfn.XLOOKUP(TAB_H_ASIG_CON_DET[[#This Row],[ID_CARRERA]],MAE_CARRERA[ID_CARRERA],MAE_CARRERA[NOMBRE_CARRERA],"Seleccione ID Carrera")</f>
        <v>Seleccione ID Carrera</v>
      </c>
      <c r="F454" t="str">
        <f>_xlfn.XLOOKUP(TAB_H_ASIG_CON_DET[[#This Row],[ASIGNATURA]],MAE_ASIGNATURA[NOM_ASIG],MAE_ASIGNATURA[ID_ASIG],"Seleccione Asignatura")</f>
        <v>Seleccione Asignatura</v>
      </c>
      <c r="H454" t="str">
        <f>_xlfn.XLOOKUP(TAB_H_ASIG_CON_DET[[#This Row],[DETALLADO]],MAE_CONOCIMIENTO[CAMPO_DETALLADO],MAE_CONOCIMIENTO[ID_DDETALLADO],"Seleccione Campo Detallado")</f>
        <v>F-C-D-</v>
      </c>
    </row>
    <row r="455" spans="1:8">
      <c r="A455">
        <v>470</v>
      </c>
      <c r="C455" t="str">
        <f>_xlfn.XLOOKUP(TAB_H_ASIG_CON_DET[[#This Row],[ID_CARRERA]],MAE_CARRERA[ID_CARRERA],MAE_CARRERA[NOMBRE_CARRERA],"Seleccione ID Carrera")</f>
        <v>Seleccione ID Carrera</v>
      </c>
      <c r="F455" t="str">
        <f>_xlfn.XLOOKUP(TAB_H_ASIG_CON_DET[[#This Row],[ASIGNATURA]],MAE_ASIGNATURA[NOM_ASIG],MAE_ASIGNATURA[ID_ASIG],"Seleccione Asignatura")</f>
        <v>Seleccione Asignatura</v>
      </c>
      <c r="H455" t="str">
        <f>_xlfn.XLOOKUP(TAB_H_ASIG_CON_DET[[#This Row],[DETALLADO]],MAE_CONOCIMIENTO[CAMPO_DETALLADO],MAE_CONOCIMIENTO[ID_DDETALLADO],"Seleccione Campo Detallado")</f>
        <v>F-C-D-</v>
      </c>
    </row>
    <row r="456" spans="1:8">
      <c r="A456">
        <v>471</v>
      </c>
      <c r="C456" t="str">
        <f>_xlfn.XLOOKUP(TAB_H_ASIG_CON_DET[[#This Row],[ID_CARRERA]],MAE_CARRERA[ID_CARRERA],MAE_CARRERA[NOMBRE_CARRERA],"Seleccione ID Carrera")</f>
        <v>Seleccione ID Carrera</v>
      </c>
      <c r="F456" t="str">
        <f>_xlfn.XLOOKUP(TAB_H_ASIG_CON_DET[[#This Row],[ASIGNATURA]],MAE_ASIGNATURA[NOM_ASIG],MAE_ASIGNATURA[ID_ASIG],"Seleccione Asignatura")</f>
        <v>Seleccione Asignatura</v>
      </c>
      <c r="H456" t="str">
        <f>_xlfn.XLOOKUP(TAB_H_ASIG_CON_DET[[#This Row],[DETALLADO]],MAE_CONOCIMIENTO[CAMPO_DETALLADO],MAE_CONOCIMIENTO[ID_DDETALLADO],"Seleccione Campo Detallado")</f>
        <v>F-C-D-</v>
      </c>
    </row>
    <row r="457" spans="1:8">
      <c r="A457">
        <v>472</v>
      </c>
      <c r="C457" t="str">
        <f>_xlfn.XLOOKUP(TAB_H_ASIG_CON_DET[[#This Row],[ID_CARRERA]],MAE_CARRERA[ID_CARRERA],MAE_CARRERA[NOMBRE_CARRERA],"Seleccione ID Carrera")</f>
        <v>Seleccione ID Carrera</v>
      </c>
      <c r="F457" t="str">
        <f>_xlfn.XLOOKUP(TAB_H_ASIG_CON_DET[[#This Row],[ASIGNATURA]],MAE_ASIGNATURA[NOM_ASIG],MAE_ASIGNATURA[ID_ASIG],"Seleccione Asignatura")</f>
        <v>Seleccione Asignatura</v>
      </c>
      <c r="H457" t="str">
        <f>_xlfn.XLOOKUP(TAB_H_ASIG_CON_DET[[#This Row],[DETALLADO]],MAE_CONOCIMIENTO[CAMPO_DETALLADO],MAE_CONOCIMIENTO[ID_DDETALLADO],"Seleccione Campo Detallado")</f>
        <v>F-C-D-</v>
      </c>
    </row>
    <row r="458" spans="1:8">
      <c r="A458">
        <v>473</v>
      </c>
      <c r="C458" t="str">
        <f>_xlfn.XLOOKUP(TAB_H_ASIG_CON_DET[[#This Row],[ID_CARRERA]],MAE_CARRERA[ID_CARRERA],MAE_CARRERA[NOMBRE_CARRERA],"Seleccione ID Carrera")</f>
        <v>Seleccione ID Carrera</v>
      </c>
      <c r="F458" t="str">
        <f>_xlfn.XLOOKUP(TAB_H_ASIG_CON_DET[[#This Row],[ASIGNATURA]],MAE_ASIGNATURA[NOM_ASIG],MAE_ASIGNATURA[ID_ASIG],"Seleccione Asignatura")</f>
        <v>Seleccione Asignatura</v>
      </c>
      <c r="H458" t="str">
        <f>_xlfn.XLOOKUP(TAB_H_ASIG_CON_DET[[#This Row],[DETALLADO]],MAE_CONOCIMIENTO[CAMPO_DETALLADO],MAE_CONOCIMIENTO[ID_DDETALLADO],"Seleccione Campo Detallado")</f>
        <v>F-C-D-</v>
      </c>
    </row>
    <row r="459" spans="1:8">
      <c r="A459">
        <v>474</v>
      </c>
      <c r="C459" t="str">
        <f>_xlfn.XLOOKUP(TAB_H_ASIG_CON_DET[[#This Row],[ID_CARRERA]],MAE_CARRERA[ID_CARRERA],MAE_CARRERA[NOMBRE_CARRERA],"Seleccione ID Carrera")</f>
        <v>Seleccione ID Carrera</v>
      </c>
      <c r="F459" t="str">
        <f>_xlfn.XLOOKUP(TAB_H_ASIG_CON_DET[[#This Row],[ASIGNATURA]],MAE_ASIGNATURA[NOM_ASIG],MAE_ASIGNATURA[ID_ASIG],"Seleccione Asignatura")</f>
        <v>Seleccione Asignatura</v>
      </c>
      <c r="H459" t="str">
        <f>_xlfn.XLOOKUP(TAB_H_ASIG_CON_DET[[#This Row],[DETALLADO]],MAE_CONOCIMIENTO[CAMPO_DETALLADO],MAE_CONOCIMIENTO[ID_DDETALLADO],"Seleccione Campo Detallado")</f>
        <v>F-C-D-</v>
      </c>
    </row>
    <row r="460" spans="1:8">
      <c r="A460">
        <v>475</v>
      </c>
      <c r="C460" t="str">
        <f>_xlfn.XLOOKUP(TAB_H_ASIG_CON_DET[[#This Row],[ID_CARRERA]],MAE_CARRERA[ID_CARRERA],MAE_CARRERA[NOMBRE_CARRERA],"Seleccione ID Carrera")</f>
        <v>Seleccione ID Carrera</v>
      </c>
      <c r="F460" t="str">
        <f>_xlfn.XLOOKUP(TAB_H_ASIG_CON_DET[[#This Row],[ASIGNATURA]],MAE_ASIGNATURA[NOM_ASIG],MAE_ASIGNATURA[ID_ASIG],"Seleccione Asignatura")</f>
        <v>Seleccione Asignatura</v>
      </c>
      <c r="H460" t="str">
        <f>_xlfn.XLOOKUP(TAB_H_ASIG_CON_DET[[#This Row],[DETALLADO]],MAE_CONOCIMIENTO[CAMPO_DETALLADO],MAE_CONOCIMIENTO[ID_DDETALLADO],"Seleccione Campo Detallado")</f>
        <v>F-C-D-</v>
      </c>
    </row>
    <row r="461" spans="1:8">
      <c r="A461">
        <v>476</v>
      </c>
      <c r="C461" t="str">
        <f>_xlfn.XLOOKUP(TAB_H_ASIG_CON_DET[[#This Row],[ID_CARRERA]],MAE_CARRERA[ID_CARRERA],MAE_CARRERA[NOMBRE_CARRERA],"Seleccione ID Carrera")</f>
        <v>Seleccione ID Carrera</v>
      </c>
      <c r="F461" t="str">
        <f>_xlfn.XLOOKUP(TAB_H_ASIG_CON_DET[[#This Row],[ASIGNATURA]],MAE_ASIGNATURA[NOM_ASIG],MAE_ASIGNATURA[ID_ASIG],"Seleccione Asignatura")</f>
        <v>Seleccione Asignatura</v>
      </c>
      <c r="H461" t="str">
        <f>_xlfn.XLOOKUP(TAB_H_ASIG_CON_DET[[#This Row],[DETALLADO]],MAE_CONOCIMIENTO[CAMPO_DETALLADO],MAE_CONOCIMIENTO[ID_DDETALLADO],"Seleccione Campo Detallado")</f>
        <v>F-C-D-</v>
      </c>
    </row>
    <row r="462" spans="1:8">
      <c r="A462">
        <v>477</v>
      </c>
      <c r="C462" t="str">
        <f>_xlfn.XLOOKUP(TAB_H_ASIG_CON_DET[[#This Row],[ID_CARRERA]],MAE_CARRERA[ID_CARRERA],MAE_CARRERA[NOMBRE_CARRERA],"Seleccione ID Carrera")</f>
        <v>Seleccione ID Carrera</v>
      </c>
      <c r="F462" t="str">
        <f>_xlfn.XLOOKUP(TAB_H_ASIG_CON_DET[[#This Row],[ASIGNATURA]],MAE_ASIGNATURA[NOM_ASIG],MAE_ASIGNATURA[ID_ASIG],"Seleccione Asignatura")</f>
        <v>Seleccione Asignatura</v>
      </c>
      <c r="H462" t="str">
        <f>_xlfn.XLOOKUP(TAB_H_ASIG_CON_DET[[#This Row],[DETALLADO]],MAE_CONOCIMIENTO[CAMPO_DETALLADO],MAE_CONOCIMIENTO[ID_DDETALLADO],"Seleccione Campo Detallado")</f>
        <v>F-C-D-</v>
      </c>
    </row>
    <row r="463" spans="1:8">
      <c r="A463">
        <v>478</v>
      </c>
      <c r="C463" t="str">
        <f>_xlfn.XLOOKUP(TAB_H_ASIG_CON_DET[[#This Row],[ID_CARRERA]],MAE_CARRERA[ID_CARRERA],MAE_CARRERA[NOMBRE_CARRERA],"Seleccione ID Carrera")</f>
        <v>Seleccione ID Carrera</v>
      </c>
      <c r="F463" t="str">
        <f>_xlfn.XLOOKUP(TAB_H_ASIG_CON_DET[[#This Row],[ASIGNATURA]],MAE_ASIGNATURA[NOM_ASIG],MAE_ASIGNATURA[ID_ASIG],"Seleccione Asignatura")</f>
        <v>Seleccione Asignatura</v>
      </c>
      <c r="H463" t="str">
        <f>_xlfn.XLOOKUP(TAB_H_ASIG_CON_DET[[#This Row],[DETALLADO]],MAE_CONOCIMIENTO[CAMPO_DETALLADO],MAE_CONOCIMIENTO[ID_DDETALLADO],"Seleccione Campo Detallado")</f>
        <v>F-C-D-</v>
      </c>
    </row>
    <row r="464" spans="1:8">
      <c r="A464">
        <v>479</v>
      </c>
      <c r="C464" t="str">
        <f>_xlfn.XLOOKUP(TAB_H_ASIG_CON_DET[[#This Row],[ID_CARRERA]],MAE_CARRERA[ID_CARRERA],MAE_CARRERA[NOMBRE_CARRERA],"Seleccione ID Carrera")</f>
        <v>Seleccione ID Carrera</v>
      </c>
      <c r="F464" t="str">
        <f>_xlfn.XLOOKUP(TAB_H_ASIG_CON_DET[[#This Row],[ASIGNATURA]],MAE_ASIGNATURA[NOM_ASIG],MAE_ASIGNATURA[ID_ASIG],"Seleccione Asignatura")</f>
        <v>Seleccione Asignatura</v>
      </c>
      <c r="H464" t="str">
        <f>_xlfn.XLOOKUP(TAB_H_ASIG_CON_DET[[#This Row],[DETALLADO]],MAE_CONOCIMIENTO[CAMPO_DETALLADO],MAE_CONOCIMIENTO[ID_DDETALLADO],"Seleccione Campo Detallado")</f>
        <v>F-C-D-</v>
      </c>
    </row>
    <row r="465" spans="1:8">
      <c r="A465">
        <v>480</v>
      </c>
      <c r="C465" t="str">
        <f>_xlfn.XLOOKUP(TAB_H_ASIG_CON_DET[[#This Row],[ID_CARRERA]],MAE_CARRERA[ID_CARRERA],MAE_CARRERA[NOMBRE_CARRERA],"Seleccione ID Carrera")</f>
        <v>Seleccione ID Carrera</v>
      </c>
      <c r="F465" t="str">
        <f>_xlfn.XLOOKUP(TAB_H_ASIG_CON_DET[[#This Row],[ASIGNATURA]],MAE_ASIGNATURA[NOM_ASIG],MAE_ASIGNATURA[ID_ASIG],"Seleccione Asignatura")</f>
        <v>Seleccione Asignatura</v>
      </c>
      <c r="H465" t="str">
        <f>_xlfn.XLOOKUP(TAB_H_ASIG_CON_DET[[#This Row],[DETALLADO]],MAE_CONOCIMIENTO[CAMPO_DETALLADO],MAE_CONOCIMIENTO[ID_DDETALLADO],"Seleccione Campo Detallado")</f>
        <v>F-C-D-</v>
      </c>
    </row>
    <row r="466" spans="1:8">
      <c r="A466">
        <v>481</v>
      </c>
      <c r="C466" t="str">
        <f>_xlfn.XLOOKUP(TAB_H_ASIG_CON_DET[[#This Row],[ID_CARRERA]],MAE_CARRERA[ID_CARRERA],MAE_CARRERA[NOMBRE_CARRERA],"Seleccione ID Carrera")</f>
        <v>Seleccione ID Carrera</v>
      </c>
      <c r="F466" t="str">
        <f>_xlfn.XLOOKUP(TAB_H_ASIG_CON_DET[[#This Row],[ASIGNATURA]],MAE_ASIGNATURA[NOM_ASIG],MAE_ASIGNATURA[ID_ASIG],"Seleccione Asignatura")</f>
        <v>Seleccione Asignatura</v>
      </c>
      <c r="H466" t="str">
        <f>_xlfn.XLOOKUP(TAB_H_ASIG_CON_DET[[#This Row],[DETALLADO]],MAE_CONOCIMIENTO[CAMPO_DETALLADO],MAE_CONOCIMIENTO[ID_DDETALLADO],"Seleccione Campo Detallado")</f>
        <v>F-C-D-</v>
      </c>
    </row>
    <row r="467" spans="1:8">
      <c r="A467">
        <v>482</v>
      </c>
      <c r="C467" t="str">
        <f>_xlfn.XLOOKUP(TAB_H_ASIG_CON_DET[[#This Row],[ID_CARRERA]],MAE_CARRERA[ID_CARRERA],MAE_CARRERA[NOMBRE_CARRERA],"Seleccione ID Carrera")</f>
        <v>Seleccione ID Carrera</v>
      </c>
      <c r="F467" t="str">
        <f>_xlfn.XLOOKUP(TAB_H_ASIG_CON_DET[[#This Row],[ASIGNATURA]],MAE_ASIGNATURA[NOM_ASIG],MAE_ASIGNATURA[ID_ASIG],"Seleccione Asignatura")</f>
        <v>Seleccione Asignatura</v>
      </c>
      <c r="H467" t="str">
        <f>_xlfn.XLOOKUP(TAB_H_ASIG_CON_DET[[#This Row],[DETALLADO]],MAE_CONOCIMIENTO[CAMPO_DETALLADO],MAE_CONOCIMIENTO[ID_DDETALLADO],"Seleccione Campo Detallado")</f>
        <v>F-C-D-</v>
      </c>
    </row>
    <row r="468" spans="1:8">
      <c r="A468">
        <v>483</v>
      </c>
      <c r="C468" t="str">
        <f>_xlfn.XLOOKUP(TAB_H_ASIG_CON_DET[[#This Row],[ID_CARRERA]],MAE_CARRERA[ID_CARRERA],MAE_CARRERA[NOMBRE_CARRERA],"Seleccione ID Carrera")</f>
        <v>Seleccione ID Carrera</v>
      </c>
      <c r="F468" t="str">
        <f>_xlfn.XLOOKUP(TAB_H_ASIG_CON_DET[[#This Row],[ASIGNATURA]],MAE_ASIGNATURA[NOM_ASIG],MAE_ASIGNATURA[ID_ASIG],"Seleccione Asignatura")</f>
        <v>Seleccione Asignatura</v>
      </c>
      <c r="H468" t="str">
        <f>_xlfn.XLOOKUP(TAB_H_ASIG_CON_DET[[#This Row],[DETALLADO]],MAE_CONOCIMIENTO[CAMPO_DETALLADO],MAE_CONOCIMIENTO[ID_DDETALLADO],"Seleccione Campo Detallado")</f>
        <v>F-C-D-</v>
      </c>
    </row>
    <row r="469" spans="1:8">
      <c r="A469">
        <v>484</v>
      </c>
      <c r="C469" t="str">
        <f>_xlfn.XLOOKUP(TAB_H_ASIG_CON_DET[[#This Row],[ID_CARRERA]],MAE_CARRERA[ID_CARRERA],MAE_CARRERA[NOMBRE_CARRERA],"Seleccione ID Carrera")</f>
        <v>Seleccione ID Carrera</v>
      </c>
      <c r="F469" t="str">
        <f>_xlfn.XLOOKUP(TAB_H_ASIG_CON_DET[[#This Row],[ASIGNATURA]],MAE_ASIGNATURA[NOM_ASIG],MAE_ASIGNATURA[ID_ASIG],"Seleccione Asignatura")</f>
        <v>Seleccione Asignatura</v>
      </c>
      <c r="H469" t="str">
        <f>_xlfn.XLOOKUP(TAB_H_ASIG_CON_DET[[#This Row],[DETALLADO]],MAE_CONOCIMIENTO[CAMPO_DETALLADO],MAE_CONOCIMIENTO[ID_DDETALLADO],"Seleccione Campo Detallado")</f>
        <v>F-C-D-</v>
      </c>
    </row>
    <row r="470" spans="1:8">
      <c r="A470">
        <v>485</v>
      </c>
      <c r="C470" t="str">
        <f>_xlfn.XLOOKUP(TAB_H_ASIG_CON_DET[[#This Row],[ID_CARRERA]],MAE_CARRERA[ID_CARRERA],MAE_CARRERA[NOMBRE_CARRERA],"Seleccione ID Carrera")</f>
        <v>Seleccione ID Carrera</v>
      </c>
      <c r="F470" t="str">
        <f>_xlfn.XLOOKUP(TAB_H_ASIG_CON_DET[[#This Row],[ASIGNATURA]],MAE_ASIGNATURA[NOM_ASIG],MAE_ASIGNATURA[ID_ASIG],"Seleccione Asignatura")</f>
        <v>Seleccione Asignatura</v>
      </c>
      <c r="H470" t="str">
        <f>_xlfn.XLOOKUP(TAB_H_ASIG_CON_DET[[#This Row],[DETALLADO]],MAE_CONOCIMIENTO[CAMPO_DETALLADO],MAE_CONOCIMIENTO[ID_DDETALLADO],"Seleccione Campo Detallado")</f>
        <v>F-C-D-</v>
      </c>
    </row>
    <row r="471" spans="1:8">
      <c r="A471">
        <v>486</v>
      </c>
      <c r="C471" t="str">
        <f>_xlfn.XLOOKUP(TAB_H_ASIG_CON_DET[[#This Row],[ID_CARRERA]],MAE_CARRERA[ID_CARRERA],MAE_CARRERA[NOMBRE_CARRERA],"Seleccione ID Carrera")</f>
        <v>Seleccione ID Carrera</v>
      </c>
      <c r="F471" t="str">
        <f>_xlfn.XLOOKUP(TAB_H_ASIG_CON_DET[[#This Row],[ASIGNATURA]],MAE_ASIGNATURA[NOM_ASIG],MAE_ASIGNATURA[ID_ASIG],"Seleccione Asignatura")</f>
        <v>Seleccione Asignatura</v>
      </c>
      <c r="H471" t="str">
        <f>_xlfn.XLOOKUP(TAB_H_ASIG_CON_DET[[#This Row],[DETALLADO]],MAE_CONOCIMIENTO[CAMPO_DETALLADO],MAE_CONOCIMIENTO[ID_DDETALLADO],"Seleccione Campo Detallado")</f>
        <v>F-C-D-</v>
      </c>
    </row>
    <row r="472" spans="1:8">
      <c r="A472">
        <v>487</v>
      </c>
      <c r="C472" t="str">
        <f>_xlfn.XLOOKUP(TAB_H_ASIG_CON_DET[[#This Row],[ID_CARRERA]],MAE_CARRERA[ID_CARRERA],MAE_CARRERA[NOMBRE_CARRERA],"Seleccione ID Carrera")</f>
        <v>Seleccione ID Carrera</v>
      </c>
      <c r="F472" t="str">
        <f>_xlfn.XLOOKUP(TAB_H_ASIG_CON_DET[[#This Row],[ASIGNATURA]],MAE_ASIGNATURA[NOM_ASIG],MAE_ASIGNATURA[ID_ASIG],"Seleccione Asignatura")</f>
        <v>Seleccione Asignatura</v>
      </c>
      <c r="H472" t="str">
        <f>_xlfn.XLOOKUP(TAB_H_ASIG_CON_DET[[#This Row],[DETALLADO]],MAE_CONOCIMIENTO[CAMPO_DETALLADO],MAE_CONOCIMIENTO[ID_DDETALLADO],"Seleccione Campo Detallado")</f>
        <v>F-C-D-</v>
      </c>
    </row>
    <row r="473" spans="1:8">
      <c r="A473">
        <v>488</v>
      </c>
      <c r="C473" t="str">
        <f>_xlfn.XLOOKUP(TAB_H_ASIG_CON_DET[[#This Row],[ID_CARRERA]],MAE_CARRERA[ID_CARRERA],MAE_CARRERA[NOMBRE_CARRERA],"Seleccione ID Carrera")</f>
        <v>Seleccione ID Carrera</v>
      </c>
      <c r="F473" t="str">
        <f>_xlfn.XLOOKUP(TAB_H_ASIG_CON_DET[[#This Row],[ASIGNATURA]],MAE_ASIGNATURA[NOM_ASIG],MAE_ASIGNATURA[ID_ASIG],"Seleccione Asignatura")</f>
        <v>Seleccione Asignatura</v>
      </c>
      <c r="H473" t="str">
        <f>_xlfn.XLOOKUP(TAB_H_ASIG_CON_DET[[#This Row],[DETALLADO]],MAE_CONOCIMIENTO[CAMPO_DETALLADO],MAE_CONOCIMIENTO[ID_DDETALLADO],"Seleccione Campo Detallado")</f>
        <v>F-C-D-</v>
      </c>
    </row>
    <row r="474" spans="1:8">
      <c r="A474">
        <v>489</v>
      </c>
      <c r="C474" t="str">
        <f>_xlfn.XLOOKUP(TAB_H_ASIG_CON_DET[[#This Row],[ID_CARRERA]],MAE_CARRERA[ID_CARRERA],MAE_CARRERA[NOMBRE_CARRERA],"Seleccione ID Carrera")</f>
        <v>Seleccione ID Carrera</v>
      </c>
      <c r="F474" t="str">
        <f>_xlfn.XLOOKUP(TAB_H_ASIG_CON_DET[[#This Row],[ASIGNATURA]],MAE_ASIGNATURA[NOM_ASIG],MAE_ASIGNATURA[ID_ASIG],"Seleccione Asignatura")</f>
        <v>Seleccione Asignatura</v>
      </c>
      <c r="H474" t="str">
        <f>_xlfn.XLOOKUP(TAB_H_ASIG_CON_DET[[#This Row],[DETALLADO]],MAE_CONOCIMIENTO[CAMPO_DETALLADO],MAE_CONOCIMIENTO[ID_DDETALLADO],"Seleccione Campo Detallado")</f>
        <v>F-C-D-</v>
      </c>
    </row>
    <row r="475" spans="1:8">
      <c r="A475">
        <v>490</v>
      </c>
      <c r="C475" t="str">
        <f>_xlfn.XLOOKUP(TAB_H_ASIG_CON_DET[[#This Row],[ID_CARRERA]],MAE_CARRERA[ID_CARRERA],MAE_CARRERA[NOMBRE_CARRERA],"Seleccione ID Carrera")</f>
        <v>Seleccione ID Carrera</v>
      </c>
      <c r="F475" t="str">
        <f>_xlfn.XLOOKUP(TAB_H_ASIG_CON_DET[[#This Row],[ASIGNATURA]],MAE_ASIGNATURA[NOM_ASIG],MAE_ASIGNATURA[ID_ASIG],"Seleccione Asignatura")</f>
        <v>Seleccione Asignatura</v>
      </c>
      <c r="H475" t="str">
        <f>_xlfn.XLOOKUP(TAB_H_ASIG_CON_DET[[#This Row],[DETALLADO]],MAE_CONOCIMIENTO[CAMPO_DETALLADO],MAE_CONOCIMIENTO[ID_DDETALLADO],"Seleccione Campo Detallado")</f>
        <v>F-C-D-</v>
      </c>
    </row>
    <row r="476" spans="1:8">
      <c r="A476">
        <v>491</v>
      </c>
      <c r="C476" t="str">
        <f>_xlfn.XLOOKUP(TAB_H_ASIG_CON_DET[[#This Row],[ID_CARRERA]],MAE_CARRERA[ID_CARRERA],MAE_CARRERA[NOMBRE_CARRERA],"Seleccione ID Carrera")</f>
        <v>Seleccione ID Carrera</v>
      </c>
      <c r="F476" t="str">
        <f>_xlfn.XLOOKUP(TAB_H_ASIG_CON_DET[[#This Row],[ASIGNATURA]],MAE_ASIGNATURA[NOM_ASIG],MAE_ASIGNATURA[ID_ASIG],"Seleccione Asignatura")</f>
        <v>Seleccione Asignatura</v>
      </c>
      <c r="H476" t="str">
        <f>_xlfn.XLOOKUP(TAB_H_ASIG_CON_DET[[#This Row],[DETALLADO]],MAE_CONOCIMIENTO[CAMPO_DETALLADO],MAE_CONOCIMIENTO[ID_DDETALLADO],"Seleccione Campo Detallado")</f>
        <v>F-C-D-</v>
      </c>
    </row>
    <row r="477" spans="1:8">
      <c r="A477">
        <v>492</v>
      </c>
      <c r="C477" t="str">
        <f>_xlfn.XLOOKUP(TAB_H_ASIG_CON_DET[[#This Row],[ID_CARRERA]],MAE_CARRERA[ID_CARRERA],MAE_CARRERA[NOMBRE_CARRERA],"Seleccione ID Carrera")</f>
        <v>Seleccione ID Carrera</v>
      </c>
      <c r="F477" t="str">
        <f>_xlfn.XLOOKUP(TAB_H_ASIG_CON_DET[[#This Row],[ASIGNATURA]],MAE_ASIGNATURA[NOM_ASIG],MAE_ASIGNATURA[ID_ASIG],"Seleccione Asignatura")</f>
        <v>Seleccione Asignatura</v>
      </c>
      <c r="H477" t="str">
        <f>_xlfn.XLOOKUP(TAB_H_ASIG_CON_DET[[#This Row],[DETALLADO]],MAE_CONOCIMIENTO[CAMPO_DETALLADO],MAE_CONOCIMIENTO[ID_DDETALLADO],"Seleccione Campo Detallado")</f>
        <v>F-C-D-</v>
      </c>
    </row>
    <row r="478" spans="1:8">
      <c r="A478">
        <v>493</v>
      </c>
      <c r="C478" t="str">
        <f>_xlfn.XLOOKUP(TAB_H_ASIG_CON_DET[[#This Row],[ID_CARRERA]],MAE_CARRERA[ID_CARRERA],MAE_CARRERA[NOMBRE_CARRERA],"Seleccione ID Carrera")</f>
        <v>Seleccione ID Carrera</v>
      </c>
      <c r="F478" t="str">
        <f>_xlfn.XLOOKUP(TAB_H_ASIG_CON_DET[[#This Row],[ASIGNATURA]],MAE_ASIGNATURA[NOM_ASIG],MAE_ASIGNATURA[ID_ASIG],"Seleccione Asignatura")</f>
        <v>Seleccione Asignatura</v>
      </c>
      <c r="H478" t="str">
        <f>_xlfn.XLOOKUP(TAB_H_ASIG_CON_DET[[#This Row],[DETALLADO]],MAE_CONOCIMIENTO[CAMPO_DETALLADO],MAE_CONOCIMIENTO[ID_DDETALLADO],"Seleccione Campo Detallado")</f>
        <v>F-C-D-</v>
      </c>
    </row>
    <row r="479" spans="1:8">
      <c r="A479">
        <v>494</v>
      </c>
      <c r="C479" t="str">
        <f>_xlfn.XLOOKUP(TAB_H_ASIG_CON_DET[[#This Row],[ID_CARRERA]],MAE_CARRERA[ID_CARRERA],MAE_CARRERA[NOMBRE_CARRERA],"Seleccione ID Carrera")</f>
        <v>Seleccione ID Carrera</v>
      </c>
      <c r="F479" t="str">
        <f>_xlfn.XLOOKUP(TAB_H_ASIG_CON_DET[[#This Row],[ASIGNATURA]],MAE_ASIGNATURA[NOM_ASIG],MAE_ASIGNATURA[ID_ASIG],"Seleccione Asignatura")</f>
        <v>Seleccione Asignatura</v>
      </c>
      <c r="H479" t="str">
        <f>_xlfn.XLOOKUP(TAB_H_ASIG_CON_DET[[#This Row],[DETALLADO]],MAE_CONOCIMIENTO[CAMPO_DETALLADO],MAE_CONOCIMIENTO[ID_DDETALLADO],"Seleccione Campo Detallado")</f>
        <v>F-C-D-</v>
      </c>
    </row>
    <row r="480" spans="1:8">
      <c r="A480">
        <v>495</v>
      </c>
      <c r="C480" t="str">
        <f>_xlfn.XLOOKUP(TAB_H_ASIG_CON_DET[[#This Row],[ID_CARRERA]],MAE_CARRERA[ID_CARRERA],MAE_CARRERA[NOMBRE_CARRERA],"Seleccione ID Carrera")</f>
        <v>Seleccione ID Carrera</v>
      </c>
      <c r="F480" t="str">
        <f>_xlfn.XLOOKUP(TAB_H_ASIG_CON_DET[[#This Row],[ASIGNATURA]],MAE_ASIGNATURA[NOM_ASIG],MAE_ASIGNATURA[ID_ASIG],"Seleccione Asignatura")</f>
        <v>Seleccione Asignatura</v>
      </c>
      <c r="H480" t="str">
        <f>_xlfn.XLOOKUP(TAB_H_ASIG_CON_DET[[#This Row],[DETALLADO]],MAE_CONOCIMIENTO[CAMPO_DETALLADO],MAE_CONOCIMIENTO[ID_DDETALLADO],"Seleccione Campo Detallado")</f>
        <v>F-C-D-</v>
      </c>
    </row>
    <row r="481" spans="1:8">
      <c r="A481">
        <v>496</v>
      </c>
      <c r="C481" t="str">
        <f>_xlfn.XLOOKUP(TAB_H_ASIG_CON_DET[[#This Row],[ID_CARRERA]],MAE_CARRERA[ID_CARRERA],MAE_CARRERA[NOMBRE_CARRERA],"Seleccione ID Carrera")</f>
        <v>Seleccione ID Carrera</v>
      </c>
      <c r="F481" t="str">
        <f>_xlfn.XLOOKUP(TAB_H_ASIG_CON_DET[[#This Row],[ASIGNATURA]],MAE_ASIGNATURA[NOM_ASIG],MAE_ASIGNATURA[ID_ASIG],"Seleccione Asignatura")</f>
        <v>Seleccione Asignatura</v>
      </c>
      <c r="H481" t="str">
        <f>_xlfn.XLOOKUP(TAB_H_ASIG_CON_DET[[#This Row],[DETALLADO]],MAE_CONOCIMIENTO[CAMPO_DETALLADO],MAE_CONOCIMIENTO[ID_DDETALLADO],"Seleccione Campo Detallado")</f>
        <v>F-C-D-</v>
      </c>
    </row>
    <row r="482" spans="1:8">
      <c r="A482">
        <v>497</v>
      </c>
      <c r="C482" t="str">
        <f>_xlfn.XLOOKUP(TAB_H_ASIG_CON_DET[[#This Row],[ID_CARRERA]],MAE_CARRERA[ID_CARRERA],MAE_CARRERA[NOMBRE_CARRERA],"Seleccione ID Carrera")</f>
        <v>Seleccione ID Carrera</v>
      </c>
      <c r="F482" t="str">
        <f>_xlfn.XLOOKUP(TAB_H_ASIG_CON_DET[[#This Row],[ASIGNATURA]],MAE_ASIGNATURA[NOM_ASIG],MAE_ASIGNATURA[ID_ASIG],"Seleccione Asignatura")</f>
        <v>Seleccione Asignatura</v>
      </c>
      <c r="H482" t="str">
        <f>_xlfn.XLOOKUP(TAB_H_ASIG_CON_DET[[#This Row],[DETALLADO]],MAE_CONOCIMIENTO[CAMPO_DETALLADO],MAE_CONOCIMIENTO[ID_DDETALLADO],"Seleccione Campo Detallado")</f>
        <v>F-C-D-</v>
      </c>
    </row>
    <row r="483" spans="1:8">
      <c r="A483">
        <v>498</v>
      </c>
      <c r="C483" t="str">
        <f>_xlfn.XLOOKUP(TAB_H_ASIG_CON_DET[[#This Row],[ID_CARRERA]],MAE_CARRERA[ID_CARRERA],MAE_CARRERA[NOMBRE_CARRERA],"Seleccione ID Carrera")</f>
        <v>Seleccione ID Carrera</v>
      </c>
      <c r="F483" t="str">
        <f>_xlfn.XLOOKUP(TAB_H_ASIG_CON_DET[[#This Row],[ASIGNATURA]],MAE_ASIGNATURA[NOM_ASIG],MAE_ASIGNATURA[ID_ASIG],"Seleccione Asignatura")</f>
        <v>Seleccione Asignatura</v>
      </c>
      <c r="H483" t="str">
        <f>_xlfn.XLOOKUP(TAB_H_ASIG_CON_DET[[#This Row],[DETALLADO]],MAE_CONOCIMIENTO[CAMPO_DETALLADO],MAE_CONOCIMIENTO[ID_DDETALLADO],"Seleccione Campo Detallado")</f>
        <v>F-C-D-</v>
      </c>
    </row>
    <row r="484" spans="1:8">
      <c r="A484">
        <v>499</v>
      </c>
      <c r="C484" t="str">
        <f>_xlfn.XLOOKUP(TAB_H_ASIG_CON_DET[[#This Row],[ID_CARRERA]],MAE_CARRERA[ID_CARRERA],MAE_CARRERA[NOMBRE_CARRERA],"Seleccione ID Carrera")</f>
        <v>Seleccione ID Carrera</v>
      </c>
      <c r="F484" t="str">
        <f>_xlfn.XLOOKUP(TAB_H_ASIG_CON_DET[[#This Row],[ASIGNATURA]],MAE_ASIGNATURA[NOM_ASIG],MAE_ASIGNATURA[ID_ASIG],"Seleccione Asignatura")</f>
        <v>Seleccione Asignatura</v>
      </c>
      <c r="H484" t="str">
        <f>_xlfn.XLOOKUP(TAB_H_ASIG_CON_DET[[#This Row],[DETALLADO]],MAE_CONOCIMIENTO[CAMPO_DETALLADO],MAE_CONOCIMIENTO[ID_DDETALLADO],"Seleccione Campo Detallado")</f>
        <v>F-C-D-</v>
      </c>
    </row>
    <row r="485" spans="1:8">
      <c r="A485">
        <v>500</v>
      </c>
      <c r="C485" t="str">
        <f>_xlfn.XLOOKUP(TAB_H_ASIG_CON_DET[[#This Row],[ID_CARRERA]],MAE_CARRERA[ID_CARRERA],MAE_CARRERA[NOMBRE_CARRERA],"Seleccione ID Carrera")</f>
        <v>Seleccione ID Carrera</v>
      </c>
      <c r="F485" t="str">
        <f>_xlfn.XLOOKUP(TAB_H_ASIG_CON_DET[[#This Row],[ASIGNATURA]],MAE_ASIGNATURA[NOM_ASIG],MAE_ASIGNATURA[ID_ASIG],"Seleccione Asignatura")</f>
        <v>Seleccione Asignatura</v>
      </c>
      <c r="H485" t="str">
        <f>_xlfn.XLOOKUP(TAB_H_ASIG_CON_DET[[#This Row],[DETALLADO]],MAE_CONOCIMIENTO[CAMPO_DETALLADO],MAE_CONOCIMIENTO[ID_DDETALLADO],"Seleccione Campo Detallado")</f>
        <v>F-C-D-</v>
      </c>
    </row>
    <row r="486" spans="1:8">
      <c r="A486">
        <v>501</v>
      </c>
      <c r="C486" t="str">
        <f>_xlfn.XLOOKUP(TAB_H_ASIG_CON_DET[[#This Row],[ID_CARRERA]],MAE_CARRERA[ID_CARRERA],MAE_CARRERA[NOMBRE_CARRERA],"Seleccione ID Carrera")</f>
        <v>Seleccione ID Carrera</v>
      </c>
      <c r="F486" t="str">
        <f>_xlfn.XLOOKUP(TAB_H_ASIG_CON_DET[[#This Row],[ASIGNATURA]],MAE_ASIGNATURA[NOM_ASIG],MAE_ASIGNATURA[ID_ASIG],"Seleccione Asignatura")</f>
        <v>Seleccione Asignatura</v>
      </c>
      <c r="H486" t="str">
        <f>_xlfn.XLOOKUP(TAB_H_ASIG_CON_DET[[#This Row],[DETALLADO]],MAE_CONOCIMIENTO[CAMPO_DETALLADO],MAE_CONOCIMIENTO[ID_DDETALLADO],"Seleccione Campo Detallado")</f>
        <v>F-C-D-</v>
      </c>
    </row>
    <row r="487" spans="1:8">
      <c r="A487">
        <v>502</v>
      </c>
      <c r="C487" t="str">
        <f>_xlfn.XLOOKUP(TAB_H_ASIG_CON_DET[[#This Row],[ID_CARRERA]],MAE_CARRERA[ID_CARRERA],MAE_CARRERA[NOMBRE_CARRERA],"Seleccione ID Carrera")</f>
        <v>Seleccione ID Carrera</v>
      </c>
      <c r="F487" t="str">
        <f>_xlfn.XLOOKUP(TAB_H_ASIG_CON_DET[[#This Row],[ASIGNATURA]],MAE_ASIGNATURA[NOM_ASIG],MAE_ASIGNATURA[ID_ASIG],"Seleccione Asignatura")</f>
        <v>Seleccione Asignatura</v>
      </c>
      <c r="H487" t="str">
        <f>_xlfn.XLOOKUP(TAB_H_ASIG_CON_DET[[#This Row],[DETALLADO]],MAE_CONOCIMIENTO[CAMPO_DETALLADO],MAE_CONOCIMIENTO[ID_DDETALLADO],"Seleccione Campo Detallado")</f>
        <v>F-C-D-</v>
      </c>
    </row>
    <row r="488" spans="1:8">
      <c r="A488">
        <v>503</v>
      </c>
      <c r="C488" t="str">
        <f>_xlfn.XLOOKUP(TAB_H_ASIG_CON_DET[[#This Row],[ID_CARRERA]],MAE_CARRERA[ID_CARRERA],MAE_CARRERA[NOMBRE_CARRERA],"Seleccione ID Carrera")</f>
        <v>Seleccione ID Carrera</v>
      </c>
      <c r="F488" t="str">
        <f>_xlfn.XLOOKUP(TAB_H_ASIG_CON_DET[[#This Row],[ASIGNATURA]],MAE_ASIGNATURA[NOM_ASIG],MAE_ASIGNATURA[ID_ASIG],"Seleccione Asignatura")</f>
        <v>Seleccione Asignatura</v>
      </c>
      <c r="H488" t="str">
        <f>_xlfn.XLOOKUP(TAB_H_ASIG_CON_DET[[#This Row],[DETALLADO]],MAE_CONOCIMIENTO[CAMPO_DETALLADO],MAE_CONOCIMIENTO[ID_DDETALLADO],"Seleccione Campo Detallado")</f>
        <v>F-C-D-</v>
      </c>
    </row>
    <row r="489" spans="1:8">
      <c r="A489">
        <v>504</v>
      </c>
      <c r="C489" t="str">
        <f>_xlfn.XLOOKUP(TAB_H_ASIG_CON_DET[[#This Row],[ID_CARRERA]],MAE_CARRERA[ID_CARRERA],MAE_CARRERA[NOMBRE_CARRERA],"Seleccione ID Carrera")</f>
        <v>Seleccione ID Carrera</v>
      </c>
      <c r="F489" t="str">
        <f>_xlfn.XLOOKUP(TAB_H_ASIG_CON_DET[[#This Row],[ASIGNATURA]],MAE_ASIGNATURA[NOM_ASIG],MAE_ASIGNATURA[ID_ASIG],"Seleccione Asignatura")</f>
        <v>Seleccione Asignatura</v>
      </c>
      <c r="H489" t="str">
        <f>_xlfn.XLOOKUP(TAB_H_ASIG_CON_DET[[#This Row],[DETALLADO]],MAE_CONOCIMIENTO[CAMPO_DETALLADO],MAE_CONOCIMIENTO[ID_DDETALLADO],"Seleccione Campo Detallado")</f>
        <v>F-C-D-</v>
      </c>
    </row>
    <row r="490" spans="1:8">
      <c r="A490">
        <v>505</v>
      </c>
      <c r="C490" t="str">
        <f>_xlfn.XLOOKUP(TAB_H_ASIG_CON_DET[[#This Row],[ID_CARRERA]],MAE_CARRERA[ID_CARRERA],MAE_CARRERA[NOMBRE_CARRERA],"Seleccione ID Carrera")</f>
        <v>Seleccione ID Carrera</v>
      </c>
      <c r="F490" t="str">
        <f>_xlfn.XLOOKUP(TAB_H_ASIG_CON_DET[[#This Row],[ASIGNATURA]],MAE_ASIGNATURA[NOM_ASIG],MAE_ASIGNATURA[ID_ASIG],"Seleccione Asignatura")</f>
        <v>Seleccione Asignatura</v>
      </c>
      <c r="H490" t="str">
        <f>_xlfn.XLOOKUP(TAB_H_ASIG_CON_DET[[#This Row],[DETALLADO]],MAE_CONOCIMIENTO[CAMPO_DETALLADO],MAE_CONOCIMIENTO[ID_DDETALLADO],"Seleccione Campo Detallado")</f>
        <v>F-C-D-</v>
      </c>
    </row>
    <row r="491" spans="1:8">
      <c r="A491">
        <v>506</v>
      </c>
      <c r="C491" t="str">
        <f>_xlfn.XLOOKUP(TAB_H_ASIG_CON_DET[[#This Row],[ID_CARRERA]],MAE_CARRERA[ID_CARRERA],MAE_CARRERA[NOMBRE_CARRERA],"Seleccione ID Carrera")</f>
        <v>Seleccione ID Carrera</v>
      </c>
      <c r="F491" t="str">
        <f>_xlfn.XLOOKUP(TAB_H_ASIG_CON_DET[[#This Row],[ASIGNATURA]],MAE_ASIGNATURA[NOM_ASIG],MAE_ASIGNATURA[ID_ASIG],"Seleccione Asignatura")</f>
        <v>Seleccione Asignatura</v>
      </c>
      <c r="H491" t="str">
        <f>_xlfn.XLOOKUP(TAB_H_ASIG_CON_DET[[#This Row],[DETALLADO]],MAE_CONOCIMIENTO[CAMPO_DETALLADO],MAE_CONOCIMIENTO[ID_DDETALLADO],"Seleccione Campo Detallado")</f>
        <v>F-C-D-</v>
      </c>
    </row>
    <row r="492" spans="1:8">
      <c r="A492">
        <v>507</v>
      </c>
      <c r="C492" t="str">
        <f>_xlfn.XLOOKUP(TAB_H_ASIG_CON_DET[[#This Row],[ID_CARRERA]],MAE_CARRERA[ID_CARRERA],MAE_CARRERA[NOMBRE_CARRERA],"Seleccione ID Carrera")</f>
        <v>Seleccione ID Carrera</v>
      </c>
      <c r="F492" t="str">
        <f>_xlfn.XLOOKUP(TAB_H_ASIG_CON_DET[[#This Row],[ASIGNATURA]],MAE_ASIGNATURA[NOM_ASIG],MAE_ASIGNATURA[ID_ASIG],"Seleccione Asignatura")</f>
        <v>Seleccione Asignatura</v>
      </c>
      <c r="H492" t="str">
        <f>_xlfn.XLOOKUP(TAB_H_ASIG_CON_DET[[#This Row],[DETALLADO]],MAE_CONOCIMIENTO[CAMPO_DETALLADO],MAE_CONOCIMIENTO[ID_DDETALLADO],"Seleccione Campo Detallado")</f>
        <v>F-C-D-</v>
      </c>
    </row>
    <row r="493" spans="1:8">
      <c r="A493">
        <v>508</v>
      </c>
      <c r="C493" t="str">
        <f>_xlfn.XLOOKUP(TAB_H_ASIG_CON_DET[[#This Row],[ID_CARRERA]],MAE_CARRERA[ID_CARRERA],MAE_CARRERA[NOMBRE_CARRERA],"Seleccione ID Carrera")</f>
        <v>Seleccione ID Carrera</v>
      </c>
      <c r="F493" t="str">
        <f>_xlfn.XLOOKUP(TAB_H_ASIG_CON_DET[[#This Row],[ASIGNATURA]],MAE_ASIGNATURA[NOM_ASIG],MAE_ASIGNATURA[ID_ASIG],"Seleccione Asignatura")</f>
        <v>Seleccione Asignatura</v>
      </c>
      <c r="H493" t="str">
        <f>_xlfn.XLOOKUP(TAB_H_ASIG_CON_DET[[#This Row],[DETALLADO]],MAE_CONOCIMIENTO[CAMPO_DETALLADO],MAE_CONOCIMIENTO[ID_DDETALLADO],"Seleccione Campo Detallado")</f>
        <v>F-C-D-</v>
      </c>
    </row>
    <row r="494" spans="1:8">
      <c r="A494">
        <v>509</v>
      </c>
      <c r="C494" t="str">
        <f>_xlfn.XLOOKUP(TAB_H_ASIG_CON_DET[[#This Row],[ID_CARRERA]],MAE_CARRERA[ID_CARRERA],MAE_CARRERA[NOMBRE_CARRERA],"Seleccione ID Carrera")</f>
        <v>Seleccione ID Carrera</v>
      </c>
      <c r="F494" t="str">
        <f>_xlfn.XLOOKUP(TAB_H_ASIG_CON_DET[[#This Row],[ASIGNATURA]],MAE_ASIGNATURA[NOM_ASIG],MAE_ASIGNATURA[ID_ASIG],"Seleccione Asignatura")</f>
        <v>Seleccione Asignatura</v>
      </c>
      <c r="H494" t="str">
        <f>_xlfn.XLOOKUP(TAB_H_ASIG_CON_DET[[#This Row],[DETALLADO]],MAE_CONOCIMIENTO[CAMPO_DETALLADO],MAE_CONOCIMIENTO[ID_DDETALLADO],"Seleccione Campo Detallado")</f>
        <v>F-C-D-</v>
      </c>
    </row>
    <row r="495" spans="1:8">
      <c r="A495">
        <v>510</v>
      </c>
      <c r="C495" t="str">
        <f>_xlfn.XLOOKUP(TAB_H_ASIG_CON_DET[[#This Row],[ID_CARRERA]],MAE_CARRERA[ID_CARRERA],MAE_CARRERA[NOMBRE_CARRERA],"Seleccione ID Carrera")</f>
        <v>Seleccione ID Carrera</v>
      </c>
      <c r="F495" t="str">
        <f>_xlfn.XLOOKUP(TAB_H_ASIG_CON_DET[[#This Row],[ASIGNATURA]],MAE_ASIGNATURA[NOM_ASIG],MAE_ASIGNATURA[ID_ASIG],"Seleccione Asignatura")</f>
        <v>Seleccione Asignatura</v>
      </c>
      <c r="H495" t="str">
        <f>_xlfn.XLOOKUP(TAB_H_ASIG_CON_DET[[#This Row],[DETALLADO]],MAE_CONOCIMIENTO[CAMPO_DETALLADO],MAE_CONOCIMIENTO[ID_DDETALLADO],"Seleccione Campo Detallado")</f>
        <v>F-C-D-</v>
      </c>
    </row>
    <row r="496" spans="1:8">
      <c r="A496">
        <v>511</v>
      </c>
      <c r="C496" t="str">
        <f>_xlfn.XLOOKUP(TAB_H_ASIG_CON_DET[[#This Row],[ID_CARRERA]],MAE_CARRERA[ID_CARRERA],MAE_CARRERA[NOMBRE_CARRERA],"Seleccione ID Carrera")</f>
        <v>Seleccione ID Carrera</v>
      </c>
      <c r="F496" t="str">
        <f>_xlfn.XLOOKUP(TAB_H_ASIG_CON_DET[[#This Row],[ASIGNATURA]],MAE_ASIGNATURA[NOM_ASIG],MAE_ASIGNATURA[ID_ASIG],"Seleccione Asignatura")</f>
        <v>Seleccione Asignatura</v>
      </c>
      <c r="H496" t="str">
        <f>_xlfn.XLOOKUP(TAB_H_ASIG_CON_DET[[#This Row],[DETALLADO]],MAE_CONOCIMIENTO[CAMPO_DETALLADO],MAE_CONOCIMIENTO[ID_DDETALLADO],"Seleccione Campo Detallado")</f>
        <v>F-C-D-</v>
      </c>
    </row>
    <row r="497" spans="1:8">
      <c r="A497">
        <v>512</v>
      </c>
      <c r="C497" t="str">
        <f>_xlfn.XLOOKUP(TAB_H_ASIG_CON_DET[[#This Row],[ID_CARRERA]],MAE_CARRERA[ID_CARRERA],MAE_CARRERA[NOMBRE_CARRERA],"Seleccione ID Carrera")</f>
        <v>Seleccione ID Carrera</v>
      </c>
      <c r="F497" t="str">
        <f>_xlfn.XLOOKUP(TAB_H_ASIG_CON_DET[[#This Row],[ASIGNATURA]],MAE_ASIGNATURA[NOM_ASIG],MAE_ASIGNATURA[ID_ASIG],"Seleccione Asignatura")</f>
        <v>Seleccione Asignatura</v>
      </c>
      <c r="H497" t="str">
        <f>_xlfn.XLOOKUP(TAB_H_ASIG_CON_DET[[#This Row],[DETALLADO]],MAE_CONOCIMIENTO[CAMPO_DETALLADO],MAE_CONOCIMIENTO[ID_DDETALLADO],"Seleccione Campo Detallado")</f>
        <v>F-C-D-</v>
      </c>
    </row>
    <row r="498" spans="1:8">
      <c r="A498">
        <v>513</v>
      </c>
      <c r="C498" t="str">
        <f>_xlfn.XLOOKUP(TAB_H_ASIG_CON_DET[[#This Row],[ID_CARRERA]],MAE_CARRERA[ID_CARRERA],MAE_CARRERA[NOMBRE_CARRERA],"Seleccione ID Carrera")</f>
        <v>Seleccione ID Carrera</v>
      </c>
      <c r="F498" t="str">
        <f>_xlfn.XLOOKUP(TAB_H_ASIG_CON_DET[[#This Row],[ASIGNATURA]],MAE_ASIGNATURA[NOM_ASIG],MAE_ASIGNATURA[ID_ASIG],"Seleccione Asignatura")</f>
        <v>Seleccione Asignatura</v>
      </c>
      <c r="H498" t="str">
        <f>_xlfn.XLOOKUP(TAB_H_ASIG_CON_DET[[#This Row],[DETALLADO]],MAE_CONOCIMIENTO[CAMPO_DETALLADO],MAE_CONOCIMIENTO[ID_DDETALLADO],"Seleccione Campo Detallado")</f>
        <v>F-C-D-</v>
      </c>
    </row>
    <row r="499" spans="1:8">
      <c r="A499">
        <v>514</v>
      </c>
      <c r="C499" t="str">
        <f>_xlfn.XLOOKUP(TAB_H_ASIG_CON_DET[[#This Row],[ID_CARRERA]],MAE_CARRERA[ID_CARRERA],MAE_CARRERA[NOMBRE_CARRERA],"Seleccione ID Carrera")</f>
        <v>Seleccione ID Carrera</v>
      </c>
      <c r="F499" t="str">
        <f>_xlfn.XLOOKUP(TAB_H_ASIG_CON_DET[[#This Row],[ASIGNATURA]],MAE_ASIGNATURA[NOM_ASIG],MAE_ASIGNATURA[ID_ASIG],"Seleccione Asignatura")</f>
        <v>Seleccione Asignatura</v>
      </c>
      <c r="H499" t="str">
        <f>_xlfn.XLOOKUP(TAB_H_ASIG_CON_DET[[#This Row],[DETALLADO]],MAE_CONOCIMIENTO[CAMPO_DETALLADO],MAE_CONOCIMIENTO[ID_DDETALLADO],"Seleccione Campo Detallado")</f>
        <v>F-C-D-</v>
      </c>
    </row>
    <row r="500" spans="1:8">
      <c r="A500">
        <v>515</v>
      </c>
      <c r="C500" t="str">
        <f>_xlfn.XLOOKUP(TAB_H_ASIG_CON_DET[[#This Row],[ID_CARRERA]],MAE_CARRERA[ID_CARRERA],MAE_CARRERA[NOMBRE_CARRERA],"Seleccione ID Carrera")</f>
        <v>Seleccione ID Carrera</v>
      </c>
      <c r="F500" t="str">
        <f>_xlfn.XLOOKUP(TAB_H_ASIG_CON_DET[[#This Row],[ASIGNATURA]],MAE_ASIGNATURA[NOM_ASIG],MAE_ASIGNATURA[ID_ASIG],"Seleccione Asignatura")</f>
        <v>Seleccione Asignatura</v>
      </c>
      <c r="H500" t="str">
        <f>_xlfn.XLOOKUP(TAB_H_ASIG_CON_DET[[#This Row],[DETALLADO]],MAE_CONOCIMIENTO[CAMPO_DETALLADO],MAE_CONOCIMIENTO[ID_DDETALLADO],"Seleccione Campo Detallado")</f>
        <v>F-C-D-</v>
      </c>
    </row>
    <row r="501" spans="1:8">
      <c r="A501">
        <v>516</v>
      </c>
      <c r="C501" t="str">
        <f>_xlfn.XLOOKUP(TAB_H_ASIG_CON_DET[[#This Row],[ID_CARRERA]],MAE_CARRERA[ID_CARRERA],MAE_CARRERA[NOMBRE_CARRERA],"Seleccione ID Carrera")</f>
        <v>Seleccione ID Carrera</v>
      </c>
      <c r="F501" t="str">
        <f>_xlfn.XLOOKUP(TAB_H_ASIG_CON_DET[[#This Row],[ASIGNATURA]],MAE_ASIGNATURA[NOM_ASIG],MAE_ASIGNATURA[ID_ASIG],"Seleccione Asignatura")</f>
        <v>Seleccione Asignatura</v>
      </c>
      <c r="H501" t="str">
        <f>_xlfn.XLOOKUP(TAB_H_ASIG_CON_DET[[#This Row],[DETALLADO]],MAE_CONOCIMIENTO[CAMPO_DETALLADO],MAE_CONOCIMIENTO[ID_DDETALLADO],"Seleccione Campo Detallado")</f>
        <v>F-C-D-</v>
      </c>
    </row>
    <row r="502" spans="1:8">
      <c r="A502">
        <v>517</v>
      </c>
      <c r="C502" t="str">
        <f>_xlfn.XLOOKUP(TAB_H_ASIG_CON_DET[[#This Row],[ID_CARRERA]],MAE_CARRERA[ID_CARRERA],MAE_CARRERA[NOMBRE_CARRERA],"Seleccione ID Carrera")</f>
        <v>Seleccione ID Carrera</v>
      </c>
      <c r="F502" t="str">
        <f>_xlfn.XLOOKUP(TAB_H_ASIG_CON_DET[[#This Row],[ASIGNATURA]],MAE_ASIGNATURA[NOM_ASIG],MAE_ASIGNATURA[ID_ASIG],"Seleccione Asignatura")</f>
        <v>Seleccione Asignatura</v>
      </c>
      <c r="H502" t="str">
        <f>_xlfn.XLOOKUP(TAB_H_ASIG_CON_DET[[#This Row],[DETALLADO]],MAE_CONOCIMIENTO[CAMPO_DETALLADO],MAE_CONOCIMIENTO[ID_DDETALLADO],"Seleccione Campo Detallado")</f>
        <v>F-C-D-</v>
      </c>
    </row>
    <row r="503" spans="1:8">
      <c r="A503">
        <v>518</v>
      </c>
      <c r="C503" t="str">
        <f>_xlfn.XLOOKUP(TAB_H_ASIG_CON_DET[[#This Row],[ID_CARRERA]],MAE_CARRERA[ID_CARRERA],MAE_CARRERA[NOMBRE_CARRERA],"Seleccione ID Carrera")</f>
        <v>Seleccione ID Carrera</v>
      </c>
      <c r="F503" t="str">
        <f>_xlfn.XLOOKUP(TAB_H_ASIG_CON_DET[[#This Row],[ASIGNATURA]],MAE_ASIGNATURA[NOM_ASIG],MAE_ASIGNATURA[ID_ASIG],"Seleccione Asignatura")</f>
        <v>Seleccione Asignatura</v>
      </c>
      <c r="H503" t="str">
        <f>_xlfn.XLOOKUP(TAB_H_ASIG_CON_DET[[#This Row],[DETALLADO]],MAE_CONOCIMIENTO[CAMPO_DETALLADO],MAE_CONOCIMIENTO[ID_DDETALLADO],"Seleccione Campo Detallado")</f>
        <v>F-C-D-</v>
      </c>
    </row>
    <row r="504" spans="1:8">
      <c r="A504">
        <v>519</v>
      </c>
      <c r="C504" t="str">
        <f>_xlfn.XLOOKUP(TAB_H_ASIG_CON_DET[[#This Row],[ID_CARRERA]],MAE_CARRERA[ID_CARRERA],MAE_CARRERA[NOMBRE_CARRERA],"Seleccione ID Carrera")</f>
        <v>Seleccione ID Carrera</v>
      </c>
      <c r="F504" t="str">
        <f>_xlfn.XLOOKUP(TAB_H_ASIG_CON_DET[[#This Row],[ASIGNATURA]],MAE_ASIGNATURA[NOM_ASIG],MAE_ASIGNATURA[ID_ASIG],"Seleccione Asignatura")</f>
        <v>Seleccione Asignatura</v>
      </c>
      <c r="H504" t="str">
        <f>_xlfn.XLOOKUP(TAB_H_ASIG_CON_DET[[#This Row],[DETALLADO]],MAE_CONOCIMIENTO[CAMPO_DETALLADO],MAE_CONOCIMIENTO[ID_DDETALLADO],"Seleccione Campo Detallado")</f>
        <v>F-C-D-</v>
      </c>
    </row>
    <row r="505" spans="1:8">
      <c r="A505">
        <v>520</v>
      </c>
      <c r="C505" t="str">
        <f>_xlfn.XLOOKUP(TAB_H_ASIG_CON_DET[[#This Row],[ID_CARRERA]],MAE_CARRERA[ID_CARRERA],MAE_CARRERA[NOMBRE_CARRERA],"Seleccione ID Carrera")</f>
        <v>Seleccione ID Carrera</v>
      </c>
      <c r="F505" t="str">
        <f>_xlfn.XLOOKUP(TAB_H_ASIG_CON_DET[[#This Row],[ASIGNATURA]],MAE_ASIGNATURA[NOM_ASIG],MAE_ASIGNATURA[ID_ASIG],"Seleccione Asignatura")</f>
        <v>Seleccione Asignatura</v>
      </c>
      <c r="H505" t="str">
        <f>_xlfn.XLOOKUP(TAB_H_ASIG_CON_DET[[#This Row],[DETALLADO]],MAE_CONOCIMIENTO[CAMPO_DETALLADO],MAE_CONOCIMIENTO[ID_DDETALLADO],"Seleccione Campo Detallado")</f>
        <v>F-C-D-</v>
      </c>
    </row>
    <row r="506" spans="1:8">
      <c r="A506">
        <v>521</v>
      </c>
      <c r="C506" t="str">
        <f>_xlfn.XLOOKUP(TAB_H_ASIG_CON_DET[[#This Row],[ID_CARRERA]],MAE_CARRERA[ID_CARRERA],MAE_CARRERA[NOMBRE_CARRERA],"Seleccione ID Carrera")</f>
        <v>Seleccione ID Carrera</v>
      </c>
      <c r="F506" t="str">
        <f>_xlfn.XLOOKUP(TAB_H_ASIG_CON_DET[[#This Row],[ASIGNATURA]],MAE_ASIGNATURA[NOM_ASIG],MAE_ASIGNATURA[ID_ASIG],"Seleccione Asignatura")</f>
        <v>Seleccione Asignatura</v>
      </c>
      <c r="H506" t="str">
        <f>_xlfn.XLOOKUP(TAB_H_ASIG_CON_DET[[#This Row],[DETALLADO]],MAE_CONOCIMIENTO[CAMPO_DETALLADO],MAE_CONOCIMIENTO[ID_DDETALLADO],"Seleccione Campo Detallado")</f>
        <v>F-C-D-</v>
      </c>
    </row>
    <row r="507" spans="1:8">
      <c r="A507">
        <v>522</v>
      </c>
      <c r="C507" t="str">
        <f>_xlfn.XLOOKUP(TAB_H_ASIG_CON_DET[[#This Row],[ID_CARRERA]],MAE_CARRERA[ID_CARRERA],MAE_CARRERA[NOMBRE_CARRERA],"Seleccione ID Carrera")</f>
        <v>Seleccione ID Carrera</v>
      </c>
      <c r="F507" t="str">
        <f>_xlfn.XLOOKUP(TAB_H_ASIG_CON_DET[[#This Row],[ASIGNATURA]],MAE_ASIGNATURA[NOM_ASIG],MAE_ASIGNATURA[ID_ASIG],"Seleccione Asignatura")</f>
        <v>Seleccione Asignatura</v>
      </c>
      <c r="H507" t="str">
        <f>_xlfn.XLOOKUP(TAB_H_ASIG_CON_DET[[#This Row],[DETALLADO]],MAE_CONOCIMIENTO[CAMPO_DETALLADO],MAE_CONOCIMIENTO[ID_DDETALLADO],"Seleccione Campo Detallado")</f>
        <v>F-C-D-</v>
      </c>
    </row>
    <row r="508" spans="1:8">
      <c r="A508">
        <v>523</v>
      </c>
      <c r="C508" t="str">
        <f>_xlfn.XLOOKUP(TAB_H_ASIG_CON_DET[[#This Row],[ID_CARRERA]],MAE_CARRERA[ID_CARRERA],MAE_CARRERA[NOMBRE_CARRERA],"Seleccione ID Carrera")</f>
        <v>Seleccione ID Carrera</v>
      </c>
      <c r="F508" t="str">
        <f>_xlfn.XLOOKUP(TAB_H_ASIG_CON_DET[[#This Row],[ASIGNATURA]],MAE_ASIGNATURA[NOM_ASIG],MAE_ASIGNATURA[ID_ASIG],"Seleccione Asignatura")</f>
        <v>Seleccione Asignatura</v>
      </c>
      <c r="H508" t="str">
        <f>_xlfn.XLOOKUP(TAB_H_ASIG_CON_DET[[#This Row],[DETALLADO]],MAE_CONOCIMIENTO[CAMPO_DETALLADO],MAE_CONOCIMIENTO[ID_DDETALLADO],"Seleccione Campo Detallado")</f>
        <v>F-C-D-</v>
      </c>
    </row>
    <row r="509" spans="1:8">
      <c r="A509">
        <v>524</v>
      </c>
      <c r="C509" t="str">
        <f>_xlfn.XLOOKUP(TAB_H_ASIG_CON_DET[[#This Row],[ID_CARRERA]],MAE_CARRERA[ID_CARRERA],MAE_CARRERA[NOMBRE_CARRERA],"Seleccione ID Carrera")</f>
        <v>Seleccione ID Carrera</v>
      </c>
      <c r="F509" t="str">
        <f>_xlfn.XLOOKUP(TAB_H_ASIG_CON_DET[[#This Row],[ASIGNATURA]],MAE_ASIGNATURA[NOM_ASIG],MAE_ASIGNATURA[ID_ASIG],"Seleccione Asignatura")</f>
        <v>Seleccione Asignatura</v>
      </c>
      <c r="H509" t="str">
        <f>_xlfn.XLOOKUP(TAB_H_ASIG_CON_DET[[#This Row],[DETALLADO]],MAE_CONOCIMIENTO[CAMPO_DETALLADO],MAE_CONOCIMIENTO[ID_DDETALLADO],"Seleccione Campo Detallado")</f>
        <v>F-C-D-</v>
      </c>
    </row>
    <row r="510" spans="1:8">
      <c r="A510">
        <v>525</v>
      </c>
      <c r="C510" t="str">
        <f>_xlfn.XLOOKUP(TAB_H_ASIG_CON_DET[[#This Row],[ID_CARRERA]],MAE_CARRERA[ID_CARRERA],MAE_CARRERA[NOMBRE_CARRERA],"Seleccione ID Carrera")</f>
        <v>Seleccione ID Carrera</v>
      </c>
      <c r="F510" t="str">
        <f>_xlfn.XLOOKUP(TAB_H_ASIG_CON_DET[[#This Row],[ASIGNATURA]],MAE_ASIGNATURA[NOM_ASIG],MAE_ASIGNATURA[ID_ASIG],"Seleccione Asignatura")</f>
        <v>Seleccione Asignatura</v>
      </c>
      <c r="H510" t="str">
        <f>_xlfn.XLOOKUP(TAB_H_ASIG_CON_DET[[#This Row],[DETALLADO]],MAE_CONOCIMIENTO[CAMPO_DETALLADO],MAE_CONOCIMIENTO[ID_DDETALLADO],"Seleccione Campo Detallado")</f>
        <v>F-C-D-</v>
      </c>
    </row>
    <row r="511" spans="1:8">
      <c r="A511">
        <v>526</v>
      </c>
      <c r="C511" t="str">
        <f>_xlfn.XLOOKUP(TAB_H_ASIG_CON_DET[[#This Row],[ID_CARRERA]],MAE_CARRERA[ID_CARRERA],MAE_CARRERA[NOMBRE_CARRERA],"Seleccione ID Carrera")</f>
        <v>Seleccione ID Carrera</v>
      </c>
      <c r="F511" t="str">
        <f>_xlfn.XLOOKUP(TAB_H_ASIG_CON_DET[[#This Row],[ASIGNATURA]],MAE_ASIGNATURA[NOM_ASIG],MAE_ASIGNATURA[ID_ASIG],"Seleccione Asignatura")</f>
        <v>Seleccione Asignatura</v>
      </c>
      <c r="H511" t="str">
        <f>_xlfn.XLOOKUP(TAB_H_ASIG_CON_DET[[#This Row],[DETALLADO]],MAE_CONOCIMIENTO[CAMPO_DETALLADO],MAE_CONOCIMIENTO[ID_DDETALLADO],"Seleccione Campo Detallado")</f>
        <v>F-C-D-</v>
      </c>
    </row>
    <row r="512" spans="1:8">
      <c r="A512">
        <v>527</v>
      </c>
      <c r="C512" t="str">
        <f>_xlfn.XLOOKUP(TAB_H_ASIG_CON_DET[[#This Row],[ID_CARRERA]],MAE_CARRERA[ID_CARRERA],MAE_CARRERA[NOMBRE_CARRERA],"Seleccione ID Carrera")</f>
        <v>Seleccione ID Carrera</v>
      </c>
      <c r="F512" t="str">
        <f>_xlfn.XLOOKUP(TAB_H_ASIG_CON_DET[[#This Row],[ASIGNATURA]],MAE_ASIGNATURA[NOM_ASIG],MAE_ASIGNATURA[ID_ASIG],"Seleccione Asignatura")</f>
        <v>Seleccione Asignatura</v>
      </c>
      <c r="H512" t="str">
        <f>_xlfn.XLOOKUP(TAB_H_ASIG_CON_DET[[#This Row],[DETALLADO]],MAE_CONOCIMIENTO[CAMPO_DETALLADO],MAE_CONOCIMIENTO[ID_DDETALLADO],"Seleccione Campo Detallado")</f>
        <v>F-C-D-</v>
      </c>
    </row>
    <row r="513" spans="1:8">
      <c r="A513">
        <v>528</v>
      </c>
      <c r="C513" t="str">
        <f>_xlfn.XLOOKUP(TAB_H_ASIG_CON_DET[[#This Row],[ID_CARRERA]],MAE_CARRERA[ID_CARRERA],MAE_CARRERA[NOMBRE_CARRERA],"Seleccione ID Carrera")</f>
        <v>Seleccione ID Carrera</v>
      </c>
      <c r="F513" t="str">
        <f>_xlfn.XLOOKUP(TAB_H_ASIG_CON_DET[[#This Row],[ASIGNATURA]],MAE_ASIGNATURA[NOM_ASIG],MAE_ASIGNATURA[ID_ASIG],"Seleccione Asignatura")</f>
        <v>Seleccione Asignatura</v>
      </c>
      <c r="H513" t="str">
        <f>_xlfn.XLOOKUP(TAB_H_ASIG_CON_DET[[#This Row],[DETALLADO]],MAE_CONOCIMIENTO[CAMPO_DETALLADO],MAE_CONOCIMIENTO[ID_DDETALLADO],"Seleccione Campo Detallado")</f>
        <v>F-C-D-</v>
      </c>
    </row>
    <row r="514" spans="1:8">
      <c r="A514">
        <v>529</v>
      </c>
      <c r="C514" t="str">
        <f>_xlfn.XLOOKUP(TAB_H_ASIG_CON_DET[[#This Row],[ID_CARRERA]],MAE_CARRERA[ID_CARRERA],MAE_CARRERA[NOMBRE_CARRERA],"Seleccione ID Carrera")</f>
        <v>Seleccione ID Carrera</v>
      </c>
      <c r="F514" t="str">
        <f>_xlfn.XLOOKUP(TAB_H_ASIG_CON_DET[[#This Row],[ASIGNATURA]],MAE_ASIGNATURA[NOM_ASIG],MAE_ASIGNATURA[ID_ASIG],"Seleccione Asignatura")</f>
        <v>Seleccione Asignatura</v>
      </c>
      <c r="H514" t="str">
        <f>_xlfn.XLOOKUP(TAB_H_ASIG_CON_DET[[#This Row],[DETALLADO]],MAE_CONOCIMIENTO[CAMPO_DETALLADO],MAE_CONOCIMIENTO[ID_DDETALLADO],"Seleccione Campo Detallado")</f>
        <v>F-C-D-</v>
      </c>
    </row>
    <row r="515" spans="1:8">
      <c r="A515">
        <v>530</v>
      </c>
      <c r="C515" t="str">
        <f>_xlfn.XLOOKUP(TAB_H_ASIG_CON_DET[[#This Row],[ID_CARRERA]],MAE_CARRERA[ID_CARRERA],MAE_CARRERA[NOMBRE_CARRERA],"Seleccione ID Carrera")</f>
        <v>Seleccione ID Carrera</v>
      </c>
      <c r="F515" t="str">
        <f>_xlfn.XLOOKUP(TAB_H_ASIG_CON_DET[[#This Row],[ASIGNATURA]],MAE_ASIGNATURA[NOM_ASIG],MAE_ASIGNATURA[ID_ASIG],"Seleccione Asignatura")</f>
        <v>Seleccione Asignatura</v>
      </c>
      <c r="H515" t="str">
        <f>_xlfn.XLOOKUP(TAB_H_ASIG_CON_DET[[#This Row],[DETALLADO]],MAE_CONOCIMIENTO[CAMPO_DETALLADO],MAE_CONOCIMIENTO[ID_DDETALLADO],"Seleccione Campo Detallado")</f>
        <v>F-C-D-</v>
      </c>
    </row>
    <row r="516" spans="1:8">
      <c r="A516">
        <v>531</v>
      </c>
      <c r="C516" t="str">
        <f>_xlfn.XLOOKUP(TAB_H_ASIG_CON_DET[[#This Row],[ID_CARRERA]],MAE_CARRERA[ID_CARRERA],MAE_CARRERA[NOMBRE_CARRERA],"Seleccione ID Carrera")</f>
        <v>Seleccione ID Carrera</v>
      </c>
      <c r="F516" t="str">
        <f>_xlfn.XLOOKUP(TAB_H_ASIG_CON_DET[[#This Row],[ASIGNATURA]],MAE_ASIGNATURA[NOM_ASIG],MAE_ASIGNATURA[ID_ASIG],"Seleccione Asignatura")</f>
        <v>Seleccione Asignatura</v>
      </c>
      <c r="H516" t="str">
        <f>_xlfn.XLOOKUP(TAB_H_ASIG_CON_DET[[#This Row],[DETALLADO]],MAE_CONOCIMIENTO[CAMPO_DETALLADO],MAE_CONOCIMIENTO[ID_DDETALLADO],"Seleccione Campo Detallado")</f>
        <v>F-C-D-</v>
      </c>
    </row>
    <row r="517" spans="1:8">
      <c r="A517">
        <v>532</v>
      </c>
      <c r="C517" t="str">
        <f>_xlfn.XLOOKUP(TAB_H_ASIG_CON_DET[[#This Row],[ID_CARRERA]],MAE_CARRERA[ID_CARRERA],MAE_CARRERA[NOMBRE_CARRERA],"Seleccione ID Carrera")</f>
        <v>Seleccione ID Carrera</v>
      </c>
      <c r="F517" t="str">
        <f>_xlfn.XLOOKUP(TAB_H_ASIG_CON_DET[[#This Row],[ASIGNATURA]],MAE_ASIGNATURA[NOM_ASIG],MAE_ASIGNATURA[ID_ASIG],"Seleccione Asignatura")</f>
        <v>Seleccione Asignatura</v>
      </c>
      <c r="H517" t="str">
        <f>_xlfn.XLOOKUP(TAB_H_ASIG_CON_DET[[#This Row],[DETALLADO]],MAE_CONOCIMIENTO[CAMPO_DETALLADO],MAE_CONOCIMIENTO[ID_DDETALLADO],"Seleccione Campo Detallado")</f>
        <v>F-C-D-</v>
      </c>
    </row>
    <row r="518" spans="1:8">
      <c r="A518">
        <v>533</v>
      </c>
      <c r="C518" t="str">
        <f>_xlfn.XLOOKUP(TAB_H_ASIG_CON_DET[[#This Row],[ID_CARRERA]],MAE_CARRERA[ID_CARRERA],MAE_CARRERA[NOMBRE_CARRERA],"Seleccione ID Carrera")</f>
        <v>Seleccione ID Carrera</v>
      </c>
      <c r="F518" t="str">
        <f>_xlfn.XLOOKUP(TAB_H_ASIG_CON_DET[[#This Row],[ASIGNATURA]],MAE_ASIGNATURA[NOM_ASIG],MAE_ASIGNATURA[ID_ASIG],"Seleccione Asignatura")</f>
        <v>Seleccione Asignatura</v>
      </c>
      <c r="H518" t="str">
        <f>_xlfn.XLOOKUP(TAB_H_ASIG_CON_DET[[#This Row],[DETALLADO]],MAE_CONOCIMIENTO[CAMPO_DETALLADO],MAE_CONOCIMIENTO[ID_DDETALLADO],"Seleccione Campo Detallado")</f>
        <v>F-C-D-</v>
      </c>
    </row>
    <row r="519" spans="1:8">
      <c r="A519">
        <v>534</v>
      </c>
      <c r="C519" t="str">
        <f>_xlfn.XLOOKUP(TAB_H_ASIG_CON_DET[[#This Row],[ID_CARRERA]],MAE_CARRERA[ID_CARRERA],MAE_CARRERA[NOMBRE_CARRERA],"Seleccione ID Carrera")</f>
        <v>Seleccione ID Carrera</v>
      </c>
      <c r="F519" t="str">
        <f>_xlfn.XLOOKUP(TAB_H_ASIG_CON_DET[[#This Row],[ASIGNATURA]],MAE_ASIGNATURA[NOM_ASIG],MAE_ASIGNATURA[ID_ASIG],"Seleccione Asignatura")</f>
        <v>Seleccione Asignatura</v>
      </c>
      <c r="H519" t="str">
        <f>_xlfn.XLOOKUP(TAB_H_ASIG_CON_DET[[#This Row],[DETALLADO]],MAE_CONOCIMIENTO[CAMPO_DETALLADO],MAE_CONOCIMIENTO[ID_DDETALLADO],"Seleccione Campo Detallado")</f>
        <v>F-C-D-</v>
      </c>
    </row>
    <row r="520" spans="1:8">
      <c r="A520">
        <v>535</v>
      </c>
      <c r="C520" t="str">
        <f>_xlfn.XLOOKUP(TAB_H_ASIG_CON_DET[[#This Row],[ID_CARRERA]],MAE_CARRERA[ID_CARRERA],MAE_CARRERA[NOMBRE_CARRERA],"Seleccione ID Carrera")</f>
        <v>Seleccione ID Carrera</v>
      </c>
      <c r="F520" t="str">
        <f>_xlfn.XLOOKUP(TAB_H_ASIG_CON_DET[[#This Row],[ASIGNATURA]],MAE_ASIGNATURA[NOM_ASIG],MAE_ASIGNATURA[ID_ASIG],"Seleccione Asignatura")</f>
        <v>Seleccione Asignatura</v>
      </c>
      <c r="H520" t="str">
        <f>_xlfn.XLOOKUP(TAB_H_ASIG_CON_DET[[#This Row],[DETALLADO]],MAE_CONOCIMIENTO[CAMPO_DETALLADO],MAE_CONOCIMIENTO[ID_DDETALLADO],"Seleccione Campo Detallado")</f>
        <v>F-C-D-</v>
      </c>
    </row>
    <row r="521" spans="1:8">
      <c r="A521">
        <v>536</v>
      </c>
      <c r="C521" t="str">
        <f>_xlfn.XLOOKUP(TAB_H_ASIG_CON_DET[[#This Row],[ID_CARRERA]],MAE_CARRERA[ID_CARRERA],MAE_CARRERA[NOMBRE_CARRERA],"Seleccione ID Carrera")</f>
        <v>Seleccione ID Carrera</v>
      </c>
      <c r="F521" t="str">
        <f>_xlfn.XLOOKUP(TAB_H_ASIG_CON_DET[[#This Row],[ASIGNATURA]],MAE_ASIGNATURA[NOM_ASIG],MAE_ASIGNATURA[ID_ASIG],"Seleccione Asignatura")</f>
        <v>Seleccione Asignatura</v>
      </c>
      <c r="H521" t="str">
        <f>_xlfn.XLOOKUP(TAB_H_ASIG_CON_DET[[#This Row],[DETALLADO]],MAE_CONOCIMIENTO[CAMPO_DETALLADO],MAE_CONOCIMIENTO[ID_DDETALLADO],"Seleccione Campo Detallado")</f>
        <v>F-C-D-</v>
      </c>
    </row>
    <row r="522" spans="1:8">
      <c r="A522">
        <v>537</v>
      </c>
      <c r="C522" t="str">
        <f>_xlfn.XLOOKUP(TAB_H_ASIG_CON_DET[[#This Row],[ID_CARRERA]],MAE_CARRERA[ID_CARRERA],MAE_CARRERA[NOMBRE_CARRERA],"Seleccione ID Carrera")</f>
        <v>Seleccione ID Carrera</v>
      </c>
      <c r="F522" t="str">
        <f>_xlfn.XLOOKUP(TAB_H_ASIG_CON_DET[[#This Row],[ASIGNATURA]],MAE_ASIGNATURA[NOM_ASIG],MAE_ASIGNATURA[ID_ASIG],"Seleccione Asignatura")</f>
        <v>Seleccione Asignatura</v>
      </c>
      <c r="H522" t="str">
        <f>_xlfn.XLOOKUP(TAB_H_ASIG_CON_DET[[#This Row],[DETALLADO]],MAE_CONOCIMIENTO[CAMPO_DETALLADO],MAE_CONOCIMIENTO[ID_DDETALLADO],"Seleccione Campo Detallado")</f>
        <v>F-C-D-</v>
      </c>
    </row>
    <row r="523" spans="1:8">
      <c r="A523">
        <v>538</v>
      </c>
      <c r="C523" t="str">
        <f>_xlfn.XLOOKUP(TAB_H_ASIG_CON_DET[[#This Row],[ID_CARRERA]],MAE_CARRERA[ID_CARRERA],MAE_CARRERA[NOMBRE_CARRERA],"Seleccione ID Carrera")</f>
        <v>Seleccione ID Carrera</v>
      </c>
      <c r="F523" t="str">
        <f>_xlfn.XLOOKUP(TAB_H_ASIG_CON_DET[[#This Row],[ASIGNATURA]],MAE_ASIGNATURA[NOM_ASIG],MAE_ASIGNATURA[ID_ASIG],"Seleccione Asignatura")</f>
        <v>Seleccione Asignatura</v>
      </c>
      <c r="H523" t="str">
        <f>_xlfn.XLOOKUP(TAB_H_ASIG_CON_DET[[#This Row],[DETALLADO]],MAE_CONOCIMIENTO[CAMPO_DETALLADO],MAE_CONOCIMIENTO[ID_DDETALLADO],"Seleccione Campo Detallado")</f>
        <v>F-C-D-</v>
      </c>
    </row>
    <row r="524" spans="1:8">
      <c r="A524">
        <v>539</v>
      </c>
      <c r="C524" t="str">
        <f>_xlfn.XLOOKUP(TAB_H_ASIG_CON_DET[[#This Row],[ID_CARRERA]],MAE_CARRERA[ID_CARRERA],MAE_CARRERA[NOMBRE_CARRERA],"Seleccione ID Carrera")</f>
        <v>Seleccione ID Carrera</v>
      </c>
      <c r="F524" t="str">
        <f>_xlfn.XLOOKUP(TAB_H_ASIG_CON_DET[[#This Row],[ASIGNATURA]],MAE_ASIGNATURA[NOM_ASIG],MAE_ASIGNATURA[ID_ASIG],"Seleccione Asignatura")</f>
        <v>Seleccione Asignatura</v>
      </c>
      <c r="H524" t="str">
        <f>_xlfn.XLOOKUP(TAB_H_ASIG_CON_DET[[#This Row],[DETALLADO]],MAE_CONOCIMIENTO[CAMPO_DETALLADO],MAE_CONOCIMIENTO[ID_DDETALLADO],"Seleccione Campo Detallado")</f>
        <v>F-C-D-</v>
      </c>
    </row>
    <row r="525" spans="1:8">
      <c r="A525">
        <v>540</v>
      </c>
      <c r="C525" t="str">
        <f>_xlfn.XLOOKUP(TAB_H_ASIG_CON_DET[[#This Row],[ID_CARRERA]],MAE_CARRERA[ID_CARRERA],MAE_CARRERA[NOMBRE_CARRERA],"Seleccione ID Carrera")</f>
        <v>Seleccione ID Carrera</v>
      </c>
      <c r="F525" t="str">
        <f>_xlfn.XLOOKUP(TAB_H_ASIG_CON_DET[[#This Row],[ASIGNATURA]],MAE_ASIGNATURA[NOM_ASIG],MAE_ASIGNATURA[ID_ASIG],"Seleccione Asignatura")</f>
        <v>Seleccione Asignatura</v>
      </c>
      <c r="H525" t="str">
        <f>_xlfn.XLOOKUP(TAB_H_ASIG_CON_DET[[#This Row],[DETALLADO]],MAE_CONOCIMIENTO[CAMPO_DETALLADO],MAE_CONOCIMIENTO[ID_DDETALLADO],"Seleccione Campo Detallado")</f>
        <v>F-C-D-</v>
      </c>
    </row>
    <row r="526" spans="1:8">
      <c r="A526">
        <v>541</v>
      </c>
      <c r="C526" t="str">
        <f>_xlfn.XLOOKUP(TAB_H_ASIG_CON_DET[[#This Row],[ID_CARRERA]],MAE_CARRERA[ID_CARRERA],MAE_CARRERA[NOMBRE_CARRERA],"Seleccione ID Carrera")</f>
        <v>Seleccione ID Carrera</v>
      </c>
      <c r="F526" t="str">
        <f>_xlfn.XLOOKUP(TAB_H_ASIG_CON_DET[[#This Row],[ASIGNATURA]],MAE_ASIGNATURA[NOM_ASIG],MAE_ASIGNATURA[ID_ASIG],"Seleccione Asignatura")</f>
        <v>Seleccione Asignatura</v>
      </c>
      <c r="H526" t="str">
        <f>_xlfn.XLOOKUP(TAB_H_ASIG_CON_DET[[#This Row],[DETALLADO]],MAE_CONOCIMIENTO[CAMPO_DETALLADO],MAE_CONOCIMIENTO[ID_DDETALLADO],"Seleccione Campo Detallado")</f>
        <v>F-C-D-</v>
      </c>
    </row>
    <row r="527" spans="1:8">
      <c r="A527">
        <v>542</v>
      </c>
      <c r="C527" t="str">
        <f>_xlfn.XLOOKUP(TAB_H_ASIG_CON_DET[[#This Row],[ID_CARRERA]],MAE_CARRERA[ID_CARRERA],MAE_CARRERA[NOMBRE_CARRERA],"Seleccione ID Carrera")</f>
        <v>Seleccione ID Carrera</v>
      </c>
      <c r="F527" t="str">
        <f>_xlfn.XLOOKUP(TAB_H_ASIG_CON_DET[[#This Row],[ASIGNATURA]],MAE_ASIGNATURA[NOM_ASIG],MAE_ASIGNATURA[ID_ASIG],"Seleccione Asignatura")</f>
        <v>Seleccione Asignatura</v>
      </c>
      <c r="H527" t="str">
        <f>_xlfn.XLOOKUP(TAB_H_ASIG_CON_DET[[#This Row],[DETALLADO]],MAE_CONOCIMIENTO[CAMPO_DETALLADO],MAE_CONOCIMIENTO[ID_DDETALLADO],"Seleccione Campo Detallado")</f>
        <v>F-C-D-</v>
      </c>
    </row>
    <row r="528" spans="1:8">
      <c r="A528">
        <v>543</v>
      </c>
      <c r="C528" t="str">
        <f>_xlfn.XLOOKUP(TAB_H_ASIG_CON_DET[[#This Row],[ID_CARRERA]],MAE_CARRERA[ID_CARRERA],MAE_CARRERA[NOMBRE_CARRERA],"Seleccione ID Carrera")</f>
        <v>Seleccione ID Carrera</v>
      </c>
      <c r="F528" t="str">
        <f>_xlfn.XLOOKUP(TAB_H_ASIG_CON_DET[[#This Row],[ASIGNATURA]],MAE_ASIGNATURA[NOM_ASIG],MAE_ASIGNATURA[ID_ASIG],"Seleccione Asignatura")</f>
        <v>Seleccione Asignatura</v>
      </c>
      <c r="H528" t="str">
        <f>_xlfn.XLOOKUP(TAB_H_ASIG_CON_DET[[#This Row],[DETALLADO]],MAE_CONOCIMIENTO[CAMPO_DETALLADO],MAE_CONOCIMIENTO[ID_DDETALLADO],"Seleccione Campo Detallado")</f>
        <v>F-C-D-</v>
      </c>
    </row>
    <row r="529" spans="1:8">
      <c r="A529">
        <v>544</v>
      </c>
      <c r="C529" t="str">
        <f>_xlfn.XLOOKUP(TAB_H_ASIG_CON_DET[[#This Row],[ID_CARRERA]],MAE_CARRERA[ID_CARRERA],MAE_CARRERA[NOMBRE_CARRERA],"Seleccione ID Carrera")</f>
        <v>Seleccione ID Carrera</v>
      </c>
      <c r="F529" t="str">
        <f>_xlfn.XLOOKUP(TAB_H_ASIG_CON_DET[[#This Row],[ASIGNATURA]],MAE_ASIGNATURA[NOM_ASIG],MAE_ASIGNATURA[ID_ASIG],"Seleccione Asignatura")</f>
        <v>Seleccione Asignatura</v>
      </c>
      <c r="H529" t="str">
        <f>_xlfn.XLOOKUP(TAB_H_ASIG_CON_DET[[#This Row],[DETALLADO]],MAE_CONOCIMIENTO[CAMPO_DETALLADO],MAE_CONOCIMIENTO[ID_DDETALLADO],"Seleccione Campo Detallado")</f>
        <v>F-C-D-</v>
      </c>
    </row>
    <row r="530" spans="1:8">
      <c r="A530">
        <v>545</v>
      </c>
      <c r="C530" t="str">
        <f>_xlfn.XLOOKUP(TAB_H_ASIG_CON_DET[[#This Row],[ID_CARRERA]],MAE_CARRERA[ID_CARRERA],MAE_CARRERA[NOMBRE_CARRERA],"Seleccione ID Carrera")</f>
        <v>Seleccione ID Carrera</v>
      </c>
      <c r="F530" t="str">
        <f>_xlfn.XLOOKUP(TAB_H_ASIG_CON_DET[[#This Row],[ASIGNATURA]],MAE_ASIGNATURA[NOM_ASIG],MAE_ASIGNATURA[ID_ASIG],"Seleccione Asignatura")</f>
        <v>Seleccione Asignatura</v>
      </c>
      <c r="H530" t="str">
        <f>_xlfn.XLOOKUP(TAB_H_ASIG_CON_DET[[#This Row],[DETALLADO]],MAE_CONOCIMIENTO[CAMPO_DETALLADO],MAE_CONOCIMIENTO[ID_DDETALLADO],"Seleccione Campo Detallado")</f>
        <v>F-C-D-</v>
      </c>
    </row>
    <row r="531" spans="1:8">
      <c r="A531">
        <v>546</v>
      </c>
      <c r="C531" t="str">
        <f>_xlfn.XLOOKUP(TAB_H_ASIG_CON_DET[[#This Row],[ID_CARRERA]],MAE_CARRERA[ID_CARRERA],MAE_CARRERA[NOMBRE_CARRERA],"Seleccione ID Carrera")</f>
        <v>Seleccione ID Carrera</v>
      </c>
      <c r="F531" t="str">
        <f>_xlfn.XLOOKUP(TAB_H_ASIG_CON_DET[[#This Row],[ASIGNATURA]],MAE_ASIGNATURA[NOM_ASIG],MAE_ASIGNATURA[ID_ASIG],"Seleccione Asignatura")</f>
        <v>Seleccione Asignatura</v>
      </c>
      <c r="H531" t="str">
        <f>_xlfn.XLOOKUP(TAB_H_ASIG_CON_DET[[#This Row],[DETALLADO]],MAE_CONOCIMIENTO[CAMPO_DETALLADO],MAE_CONOCIMIENTO[ID_DDETALLADO],"Seleccione Campo Detallado")</f>
        <v>F-C-D-</v>
      </c>
    </row>
    <row r="532" spans="1:8">
      <c r="A532">
        <v>547</v>
      </c>
      <c r="C532" t="str">
        <f>_xlfn.XLOOKUP(TAB_H_ASIG_CON_DET[[#This Row],[ID_CARRERA]],MAE_CARRERA[ID_CARRERA],MAE_CARRERA[NOMBRE_CARRERA],"Seleccione ID Carrera")</f>
        <v>Seleccione ID Carrera</v>
      </c>
      <c r="F532" t="str">
        <f>_xlfn.XLOOKUP(TAB_H_ASIG_CON_DET[[#This Row],[ASIGNATURA]],MAE_ASIGNATURA[NOM_ASIG],MAE_ASIGNATURA[ID_ASIG],"Seleccione Asignatura")</f>
        <v>Seleccione Asignatura</v>
      </c>
      <c r="H532" t="str">
        <f>_xlfn.XLOOKUP(TAB_H_ASIG_CON_DET[[#This Row],[DETALLADO]],MAE_CONOCIMIENTO[CAMPO_DETALLADO],MAE_CONOCIMIENTO[ID_DDETALLADO],"Seleccione Campo Detallado")</f>
        <v>F-C-D-</v>
      </c>
    </row>
    <row r="533" spans="1:8">
      <c r="A533">
        <v>548</v>
      </c>
      <c r="C533" t="str">
        <f>_xlfn.XLOOKUP(TAB_H_ASIG_CON_DET[[#This Row],[ID_CARRERA]],MAE_CARRERA[ID_CARRERA],MAE_CARRERA[NOMBRE_CARRERA],"Seleccione ID Carrera")</f>
        <v>Seleccione ID Carrera</v>
      </c>
      <c r="F533" t="str">
        <f>_xlfn.XLOOKUP(TAB_H_ASIG_CON_DET[[#This Row],[ASIGNATURA]],MAE_ASIGNATURA[NOM_ASIG],MAE_ASIGNATURA[ID_ASIG],"Seleccione Asignatura")</f>
        <v>Seleccione Asignatura</v>
      </c>
      <c r="H533" t="str">
        <f>_xlfn.XLOOKUP(TAB_H_ASIG_CON_DET[[#This Row],[DETALLADO]],MAE_CONOCIMIENTO[CAMPO_DETALLADO],MAE_CONOCIMIENTO[ID_DDETALLADO],"Seleccione Campo Detallado")</f>
        <v>F-C-D-</v>
      </c>
    </row>
    <row r="534" spans="1:8">
      <c r="A534">
        <v>549</v>
      </c>
      <c r="C534" t="str">
        <f>_xlfn.XLOOKUP(TAB_H_ASIG_CON_DET[[#This Row],[ID_CARRERA]],MAE_CARRERA[ID_CARRERA],MAE_CARRERA[NOMBRE_CARRERA],"Seleccione ID Carrera")</f>
        <v>Seleccione ID Carrera</v>
      </c>
      <c r="F534" t="str">
        <f>_xlfn.XLOOKUP(TAB_H_ASIG_CON_DET[[#This Row],[ASIGNATURA]],MAE_ASIGNATURA[NOM_ASIG],MAE_ASIGNATURA[ID_ASIG],"Seleccione Asignatura")</f>
        <v>Seleccione Asignatura</v>
      </c>
      <c r="H534" t="str">
        <f>_xlfn.XLOOKUP(TAB_H_ASIG_CON_DET[[#This Row],[DETALLADO]],MAE_CONOCIMIENTO[CAMPO_DETALLADO],MAE_CONOCIMIENTO[ID_DDETALLADO],"Seleccione Campo Detallado")</f>
        <v>F-C-D-</v>
      </c>
    </row>
    <row r="535" spans="1:8">
      <c r="A535">
        <v>550</v>
      </c>
      <c r="C535" t="str">
        <f>_xlfn.XLOOKUP(TAB_H_ASIG_CON_DET[[#This Row],[ID_CARRERA]],MAE_CARRERA[ID_CARRERA],MAE_CARRERA[NOMBRE_CARRERA],"Seleccione ID Carrera")</f>
        <v>Seleccione ID Carrera</v>
      </c>
      <c r="F535" t="str">
        <f>_xlfn.XLOOKUP(TAB_H_ASIG_CON_DET[[#This Row],[ASIGNATURA]],MAE_ASIGNATURA[NOM_ASIG],MAE_ASIGNATURA[ID_ASIG],"Seleccione Asignatura")</f>
        <v>Seleccione Asignatura</v>
      </c>
      <c r="H535" t="str">
        <f>_xlfn.XLOOKUP(TAB_H_ASIG_CON_DET[[#This Row],[DETALLADO]],MAE_CONOCIMIENTO[CAMPO_DETALLADO],MAE_CONOCIMIENTO[ID_DDETALLADO],"Seleccione Campo Detallado")</f>
        <v>F-C-D-</v>
      </c>
    </row>
    <row r="536" spans="1:8">
      <c r="A536">
        <v>551</v>
      </c>
      <c r="C536" t="str">
        <f>_xlfn.XLOOKUP(TAB_H_ASIG_CON_DET[[#This Row],[ID_CARRERA]],MAE_CARRERA[ID_CARRERA],MAE_CARRERA[NOMBRE_CARRERA],"Seleccione ID Carrera")</f>
        <v>Seleccione ID Carrera</v>
      </c>
      <c r="F536" t="str">
        <f>_xlfn.XLOOKUP(TAB_H_ASIG_CON_DET[[#This Row],[ASIGNATURA]],MAE_ASIGNATURA[NOM_ASIG],MAE_ASIGNATURA[ID_ASIG],"Seleccione Asignatura")</f>
        <v>Seleccione Asignatura</v>
      </c>
      <c r="H536" t="str">
        <f>_xlfn.XLOOKUP(TAB_H_ASIG_CON_DET[[#This Row],[DETALLADO]],MAE_CONOCIMIENTO[CAMPO_DETALLADO],MAE_CONOCIMIENTO[ID_DDETALLADO],"Seleccione Campo Detallado")</f>
        <v>F-C-D-</v>
      </c>
    </row>
    <row r="537" spans="1:8">
      <c r="A537">
        <v>552</v>
      </c>
      <c r="C537" t="str">
        <f>_xlfn.XLOOKUP(TAB_H_ASIG_CON_DET[[#This Row],[ID_CARRERA]],MAE_CARRERA[ID_CARRERA],MAE_CARRERA[NOMBRE_CARRERA],"Seleccione ID Carrera")</f>
        <v>Seleccione ID Carrera</v>
      </c>
      <c r="F537" t="str">
        <f>_xlfn.XLOOKUP(TAB_H_ASIG_CON_DET[[#This Row],[ASIGNATURA]],MAE_ASIGNATURA[NOM_ASIG],MAE_ASIGNATURA[ID_ASIG],"Seleccione Asignatura")</f>
        <v>Seleccione Asignatura</v>
      </c>
      <c r="H537" t="str">
        <f>_xlfn.XLOOKUP(TAB_H_ASIG_CON_DET[[#This Row],[DETALLADO]],MAE_CONOCIMIENTO[CAMPO_DETALLADO],MAE_CONOCIMIENTO[ID_DDETALLADO],"Seleccione Campo Detallado")</f>
        <v>F-C-D-</v>
      </c>
    </row>
    <row r="538" spans="1:8">
      <c r="A538">
        <v>553</v>
      </c>
      <c r="C538" t="str">
        <f>_xlfn.XLOOKUP(TAB_H_ASIG_CON_DET[[#This Row],[ID_CARRERA]],MAE_CARRERA[ID_CARRERA],MAE_CARRERA[NOMBRE_CARRERA],"Seleccione ID Carrera")</f>
        <v>Seleccione ID Carrera</v>
      </c>
      <c r="F538" t="str">
        <f>_xlfn.XLOOKUP(TAB_H_ASIG_CON_DET[[#This Row],[ASIGNATURA]],MAE_ASIGNATURA[NOM_ASIG],MAE_ASIGNATURA[ID_ASIG],"Seleccione Asignatura")</f>
        <v>Seleccione Asignatura</v>
      </c>
      <c r="H538" t="str">
        <f>_xlfn.XLOOKUP(TAB_H_ASIG_CON_DET[[#This Row],[DETALLADO]],MAE_CONOCIMIENTO[CAMPO_DETALLADO],MAE_CONOCIMIENTO[ID_DDETALLADO],"Seleccione Campo Detallado")</f>
        <v>F-C-D-</v>
      </c>
    </row>
    <row r="539" spans="1:8">
      <c r="A539">
        <v>554</v>
      </c>
      <c r="C539" t="str">
        <f>_xlfn.XLOOKUP(TAB_H_ASIG_CON_DET[[#This Row],[ID_CARRERA]],MAE_CARRERA[ID_CARRERA],MAE_CARRERA[NOMBRE_CARRERA],"Seleccione ID Carrera")</f>
        <v>Seleccione ID Carrera</v>
      </c>
      <c r="F539" t="str">
        <f>_xlfn.XLOOKUP(TAB_H_ASIG_CON_DET[[#This Row],[ASIGNATURA]],MAE_ASIGNATURA[NOM_ASIG],MAE_ASIGNATURA[ID_ASIG],"Seleccione Asignatura")</f>
        <v>Seleccione Asignatura</v>
      </c>
      <c r="H539" t="str">
        <f>_xlfn.XLOOKUP(TAB_H_ASIG_CON_DET[[#This Row],[DETALLADO]],MAE_CONOCIMIENTO[CAMPO_DETALLADO],MAE_CONOCIMIENTO[ID_DDETALLADO],"Seleccione Campo Detallado")</f>
        <v>F-C-D-</v>
      </c>
    </row>
    <row r="540" spans="1:8">
      <c r="A540">
        <v>555</v>
      </c>
      <c r="C540" t="str">
        <f>_xlfn.XLOOKUP(TAB_H_ASIG_CON_DET[[#This Row],[ID_CARRERA]],MAE_CARRERA[ID_CARRERA],MAE_CARRERA[NOMBRE_CARRERA],"Seleccione ID Carrera")</f>
        <v>Seleccione ID Carrera</v>
      </c>
      <c r="F540" t="str">
        <f>_xlfn.XLOOKUP(TAB_H_ASIG_CON_DET[[#This Row],[ASIGNATURA]],MAE_ASIGNATURA[NOM_ASIG],MAE_ASIGNATURA[ID_ASIG],"Seleccione Asignatura")</f>
        <v>Seleccione Asignatura</v>
      </c>
      <c r="H540" t="str">
        <f>_xlfn.XLOOKUP(TAB_H_ASIG_CON_DET[[#This Row],[DETALLADO]],MAE_CONOCIMIENTO[CAMPO_DETALLADO],MAE_CONOCIMIENTO[ID_DDETALLADO],"Seleccione Campo Detallado")</f>
        <v>F-C-D-</v>
      </c>
    </row>
    <row r="541" spans="1:8">
      <c r="A541">
        <v>556</v>
      </c>
      <c r="C541" t="str">
        <f>_xlfn.XLOOKUP(TAB_H_ASIG_CON_DET[[#This Row],[ID_CARRERA]],MAE_CARRERA[ID_CARRERA],MAE_CARRERA[NOMBRE_CARRERA],"Seleccione ID Carrera")</f>
        <v>Seleccione ID Carrera</v>
      </c>
      <c r="F541" t="str">
        <f>_xlfn.XLOOKUP(TAB_H_ASIG_CON_DET[[#This Row],[ASIGNATURA]],MAE_ASIGNATURA[NOM_ASIG],MAE_ASIGNATURA[ID_ASIG],"Seleccione Asignatura")</f>
        <v>Seleccione Asignatura</v>
      </c>
      <c r="H541" t="str">
        <f>_xlfn.XLOOKUP(TAB_H_ASIG_CON_DET[[#This Row],[DETALLADO]],MAE_CONOCIMIENTO[CAMPO_DETALLADO],MAE_CONOCIMIENTO[ID_DDETALLADO],"Seleccione Campo Detallado")</f>
        <v>F-C-D-</v>
      </c>
    </row>
    <row r="542" spans="1:8">
      <c r="A542">
        <v>557</v>
      </c>
      <c r="C542" t="str">
        <f>_xlfn.XLOOKUP(TAB_H_ASIG_CON_DET[[#This Row],[ID_CARRERA]],MAE_CARRERA[ID_CARRERA],MAE_CARRERA[NOMBRE_CARRERA],"Seleccione ID Carrera")</f>
        <v>Seleccione ID Carrera</v>
      </c>
      <c r="F542" t="str">
        <f>_xlfn.XLOOKUP(TAB_H_ASIG_CON_DET[[#This Row],[ASIGNATURA]],MAE_ASIGNATURA[NOM_ASIG],MAE_ASIGNATURA[ID_ASIG],"Seleccione Asignatura")</f>
        <v>Seleccione Asignatura</v>
      </c>
      <c r="H542" t="str">
        <f>_xlfn.XLOOKUP(TAB_H_ASIG_CON_DET[[#This Row],[DETALLADO]],MAE_CONOCIMIENTO[CAMPO_DETALLADO],MAE_CONOCIMIENTO[ID_DDETALLADO],"Seleccione Campo Detallado")</f>
        <v>F-C-D-</v>
      </c>
    </row>
    <row r="543" spans="1:8">
      <c r="A543">
        <v>558</v>
      </c>
      <c r="C543" t="str">
        <f>_xlfn.XLOOKUP(TAB_H_ASIG_CON_DET[[#This Row],[ID_CARRERA]],MAE_CARRERA[ID_CARRERA],MAE_CARRERA[NOMBRE_CARRERA],"Seleccione ID Carrera")</f>
        <v>Seleccione ID Carrera</v>
      </c>
      <c r="F543" t="str">
        <f>_xlfn.XLOOKUP(TAB_H_ASIG_CON_DET[[#This Row],[ASIGNATURA]],MAE_ASIGNATURA[NOM_ASIG],MAE_ASIGNATURA[ID_ASIG],"Seleccione Asignatura")</f>
        <v>Seleccione Asignatura</v>
      </c>
      <c r="H543" t="str">
        <f>_xlfn.XLOOKUP(TAB_H_ASIG_CON_DET[[#This Row],[DETALLADO]],MAE_CONOCIMIENTO[CAMPO_DETALLADO],MAE_CONOCIMIENTO[ID_DDETALLADO],"Seleccione Campo Detallado")</f>
        <v>F-C-D-</v>
      </c>
    </row>
    <row r="544" spans="1:8">
      <c r="A544">
        <v>559</v>
      </c>
      <c r="C544" t="str">
        <f>_xlfn.XLOOKUP(TAB_H_ASIG_CON_DET[[#This Row],[ID_CARRERA]],MAE_CARRERA[ID_CARRERA],MAE_CARRERA[NOMBRE_CARRERA],"Seleccione ID Carrera")</f>
        <v>Seleccione ID Carrera</v>
      </c>
      <c r="F544" t="str">
        <f>_xlfn.XLOOKUP(TAB_H_ASIG_CON_DET[[#This Row],[ASIGNATURA]],MAE_ASIGNATURA[NOM_ASIG],MAE_ASIGNATURA[ID_ASIG],"Seleccione Asignatura")</f>
        <v>Seleccione Asignatura</v>
      </c>
      <c r="H544" t="str">
        <f>_xlfn.XLOOKUP(TAB_H_ASIG_CON_DET[[#This Row],[DETALLADO]],MAE_CONOCIMIENTO[CAMPO_DETALLADO],MAE_CONOCIMIENTO[ID_DDETALLADO],"Seleccione Campo Detallado")</f>
        <v>F-C-D-</v>
      </c>
    </row>
    <row r="545" spans="1:8">
      <c r="A545">
        <v>560</v>
      </c>
      <c r="C545" t="str">
        <f>_xlfn.XLOOKUP(TAB_H_ASIG_CON_DET[[#This Row],[ID_CARRERA]],MAE_CARRERA[ID_CARRERA],MAE_CARRERA[NOMBRE_CARRERA],"Seleccione ID Carrera")</f>
        <v>Seleccione ID Carrera</v>
      </c>
      <c r="F545" t="str">
        <f>_xlfn.XLOOKUP(TAB_H_ASIG_CON_DET[[#This Row],[ASIGNATURA]],MAE_ASIGNATURA[NOM_ASIG],MAE_ASIGNATURA[ID_ASIG],"Seleccione Asignatura")</f>
        <v>Seleccione Asignatura</v>
      </c>
      <c r="H545" t="str">
        <f>_xlfn.XLOOKUP(TAB_H_ASIG_CON_DET[[#This Row],[DETALLADO]],MAE_CONOCIMIENTO[CAMPO_DETALLADO],MAE_CONOCIMIENTO[ID_DDETALLADO],"Seleccione Campo Detallado")</f>
        <v>F-C-D-</v>
      </c>
    </row>
    <row r="546" spans="1:8">
      <c r="A546">
        <v>561</v>
      </c>
      <c r="C546" t="str">
        <f>_xlfn.XLOOKUP(TAB_H_ASIG_CON_DET[[#This Row],[ID_CARRERA]],MAE_CARRERA[ID_CARRERA],MAE_CARRERA[NOMBRE_CARRERA],"Seleccione ID Carrera")</f>
        <v>Seleccione ID Carrera</v>
      </c>
      <c r="F546" t="str">
        <f>_xlfn.XLOOKUP(TAB_H_ASIG_CON_DET[[#This Row],[ASIGNATURA]],MAE_ASIGNATURA[NOM_ASIG],MAE_ASIGNATURA[ID_ASIG],"Seleccione Asignatura")</f>
        <v>Seleccione Asignatura</v>
      </c>
      <c r="H546" t="str">
        <f>_xlfn.XLOOKUP(TAB_H_ASIG_CON_DET[[#This Row],[DETALLADO]],MAE_CONOCIMIENTO[CAMPO_DETALLADO],MAE_CONOCIMIENTO[ID_DDETALLADO],"Seleccione Campo Detallado")</f>
        <v>F-C-D-</v>
      </c>
    </row>
    <row r="547" spans="1:8">
      <c r="A547">
        <v>562</v>
      </c>
      <c r="C547" t="str">
        <f>_xlfn.XLOOKUP(TAB_H_ASIG_CON_DET[[#This Row],[ID_CARRERA]],MAE_CARRERA[ID_CARRERA],MAE_CARRERA[NOMBRE_CARRERA],"Seleccione ID Carrera")</f>
        <v>Seleccione ID Carrera</v>
      </c>
      <c r="F547" t="str">
        <f>_xlfn.XLOOKUP(TAB_H_ASIG_CON_DET[[#This Row],[ASIGNATURA]],MAE_ASIGNATURA[NOM_ASIG],MAE_ASIGNATURA[ID_ASIG],"Seleccione Asignatura")</f>
        <v>Seleccione Asignatura</v>
      </c>
      <c r="H547" t="str">
        <f>_xlfn.XLOOKUP(TAB_H_ASIG_CON_DET[[#This Row],[DETALLADO]],MAE_CONOCIMIENTO[CAMPO_DETALLADO],MAE_CONOCIMIENTO[ID_DDETALLADO],"Seleccione Campo Detallado")</f>
        <v>F-C-D-</v>
      </c>
    </row>
    <row r="548" spans="1:8">
      <c r="A548">
        <v>563</v>
      </c>
      <c r="C548" t="str">
        <f>_xlfn.XLOOKUP(TAB_H_ASIG_CON_DET[[#This Row],[ID_CARRERA]],MAE_CARRERA[ID_CARRERA],MAE_CARRERA[NOMBRE_CARRERA],"Seleccione ID Carrera")</f>
        <v>Seleccione ID Carrera</v>
      </c>
      <c r="F548" t="str">
        <f>_xlfn.XLOOKUP(TAB_H_ASIG_CON_DET[[#This Row],[ASIGNATURA]],MAE_ASIGNATURA[NOM_ASIG],MAE_ASIGNATURA[ID_ASIG],"Seleccione Asignatura")</f>
        <v>Seleccione Asignatura</v>
      </c>
      <c r="H548" t="str">
        <f>_xlfn.XLOOKUP(TAB_H_ASIG_CON_DET[[#This Row],[DETALLADO]],MAE_CONOCIMIENTO[CAMPO_DETALLADO],MAE_CONOCIMIENTO[ID_DDETALLADO],"Seleccione Campo Detallado")</f>
        <v>F-C-D-</v>
      </c>
    </row>
    <row r="549" spans="1:8">
      <c r="A549">
        <v>564</v>
      </c>
      <c r="C549" t="str">
        <f>_xlfn.XLOOKUP(TAB_H_ASIG_CON_DET[[#This Row],[ID_CARRERA]],MAE_CARRERA[ID_CARRERA],MAE_CARRERA[NOMBRE_CARRERA],"Seleccione ID Carrera")</f>
        <v>Seleccione ID Carrera</v>
      </c>
      <c r="F549" t="str">
        <f>_xlfn.XLOOKUP(TAB_H_ASIG_CON_DET[[#This Row],[ASIGNATURA]],MAE_ASIGNATURA[NOM_ASIG],MAE_ASIGNATURA[ID_ASIG],"Seleccione Asignatura")</f>
        <v>Seleccione Asignatura</v>
      </c>
      <c r="H549" t="str">
        <f>_xlfn.XLOOKUP(TAB_H_ASIG_CON_DET[[#This Row],[DETALLADO]],MAE_CONOCIMIENTO[CAMPO_DETALLADO],MAE_CONOCIMIENTO[ID_DDETALLADO],"Seleccione Campo Detallado")</f>
        <v>F-C-D-</v>
      </c>
    </row>
    <row r="550" spans="1:8">
      <c r="A550">
        <v>565</v>
      </c>
      <c r="C550" t="str">
        <f>_xlfn.XLOOKUP(TAB_H_ASIG_CON_DET[[#This Row],[ID_CARRERA]],MAE_CARRERA[ID_CARRERA],MAE_CARRERA[NOMBRE_CARRERA],"Seleccione ID Carrera")</f>
        <v>Seleccione ID Carrera</v>
      </c>
      <c r="F550" t="str">
        <f>_xlfn.XLOOKUP(TAB_H_ASIG_CON_DET[[#This Row],[ASIGNATURA]],MAE_ASIGNATURA[NOM_ASIG],MAE_ASIGNATURA[ID_ASIG],"Seleccione Asignatura")</f>
        <v>Seleccione Asignatura</v>
      </c>
      <c r="H550" t="str">
        <f>_xlfn.XLOOKUP(TAB_H_ASIG_CON_DET[[#This Row],[DETALLADO]],MAE_CONOCIMIENTO[CAMPO_DETALLADO],MAE_CONOCIMIENTO[ID_DDETALLADO],"Seleccione Campo Detallado")</f>
        <v>F-C-D-</v>
      </c>
    </row>
    <row r="551" spans="1:8">
      <c r="A551">
        <v>566</v>
      </c>
      <c r="C551" t="str">
        <f>_xlfn.XLOOKUP(TAB_H_ASIG_CON_DET[[#This Row],[ID_CARRERA]],MAE_CARRERA[ID_CARRERA],MAE_CARRERA[NOMBRE_CARRERA],"Seleccione ID Carrera")</f>
        <v>Seleccione ID Carrera</v>
      </c>
      <c r="F551" t="str">
        <f>_xlfn.XLOOKUP(TAB_H_ASIG_CON_DET[[#This Row],[ASIGNATURA]],MAE_ASIGNATURA[NOM_ASIG],MAE_ASIGNATURA[ID_ASIG],"Seleccione Asignatura")</f>
        <v>Seleccione Asignatura</v>
      </c>
      <c r="H551" t="str">
        <f>_xlfn.XLOOKUP(TAB_H_ASIG_CON_DET[[#This Row],[DETALLADO]],MAE_CONOCIMIENTO[CAMPO_DETALLADO],MAE_CONOCIMIENTO[ID_DDETALLADO],"Seleccione Campo Detallado")</f>
        <v>F-C-D-</v>
      </c>
    </row>
    <row r="552" spans="1:8">
      <c r="A552">
        <v>567</v>
      </c>
      <c r="C552" t="str">
        <f>_xlfn.XLOOKUP(TAB_H_ASIG_CON_DET[[#This Row],[ID_CARRERA]],MAE_CARRERA[ID_CARRERA],MAE_CARRERA[NOMBRE_CARRERA],"Seleccione ID Carrera")</f>
        <v>Seleccione ID Carrera</v>
      </c>
      <c r="F552" t="str">
        <f>_xlfn.XLOOKUP(TAB_H_ASIG_CON_DET[[#This Row],[ASIGNATURA]],MAE_ASIGNATURA[NOM_ASIG],MAE_ASIGNATURA[ID_ASIG],"Seleccione Asignatura")</f>
        <v>Seleccione Asignatura</v>
      </c>
      <c r="H552" t="str">
        <f>_xlfn.XLOOKUP(TAB_H_ASIG_CON_DET[[#This Row],[DETALLADO]],MAE_CONOCIMIENTO[CAMPO_DETALLADO],MAE_CONOCIMIENTO[ID_DDETALLADO],"Seleccione Campo Detallado")</f>
        <v>F-C-D-</v>
      </c>
    </row>
    <row r="553" spans="1:8">
      <c r="A553">
        <v>568</v>
      </c>
      <c r="C553" t="str">
        <f>_xlfn.XLOOKUP(TAB_H_ASIG_CON_DET[[#This Row],[ID_CARRERA]],MAE_CARRERA[ID_CARRERA],MAE_CARRERA[NOMBRE_CARRERA],"Seleccione ID Carrera")</f>
        <v>Seleccione ID Carrera</v>
      </c>
      <c r="F553" t="str">
        <f>_xlfn.XLOOKUP(TAB_H_ASIG_CON_DET[[#This Row],[ASIGNATURA]],MAE_ASIGNATURA[NOM_ASIG],MAE_ASIGNATURA[ID_ASIG],"Seleccione Asignatura")</f>
        <v>Seleccione Asignatura</v>
      </c>
      <c r="H553" t="str">
        <f>_xlfn.XLOOKUP(TAB_H_ASIG_CON_DET[[#This Row],[DETALLADO]],MAE_CONOCIMIENTO[CAMPO_DETALLADO],MAE_CONOCIMIENTO[ID_DDETALLADO],"Seleccione Campo Detallado")</f>
        <v>F-C-D-</v>
      </c>
    </row>
    <row r="554" spans="1:8">
      <c r="A554">
        <v>569</v>
      </c>
      <c r="C554" t="str">
        <f>_xlfn.XLOOKUP(TAB_H_ASIG_CON_DET[[#This Row],[ID_CARRERA]],MAE_CARRERA[ID_CARRERA],MAE_CARRERA[NOMBRE_CARRERA],"Seleccione ID Carrera")</f>
        <v>Seleccione ID Carrera</v>
      </c>
      <c r="F554" t="str">
        <f>_xlfn.XLOOKUP(TAB_H_ASIG_CON_DET[[#This Row],[ASIGNATURA]],MAE_ASIGNATURA[NOM_ASIG],MAE_ASIGNATURA[ID_ASIG],"Seleccione Asignatura")</f>
        <v>Seleccione Asignatura</v>
      </c>
      <c r="H554" t="str">
        <f>_xlfn.XLOOKUP(TAB_H_ASIG_CON_DET[[#This Row],[DETALLADO]],MAE_CONOCIMIENTO[CAMPO_DETALLADO],MAE_CONOCIMIENTO[ID_DDETALLADO],"Seleccione Campo Detallado")</f>
        <v>F-C-D-</v>
      </c>
    </row>
    <row r="555" spans="1:8">
      <c r="A555">
        <v>570</v>
      </c>
      <c r="C555" t="str">
        <f>_xlfn.XLOOKUP(TAB_H_ASIG_CON_DET[[#This Row],[ID_CARRERA]],MAE_CARRERA[ID_CARRERA],MAE_CARRERA[NOMBRE_CARRERA],"Seleccione ID Carrera")</f>
        <v>Seleccione ID Carrera</v>
      </c>
      <c r="F555" t="str">
        <f>_xlfn.XLOOKUP(TAB_H_ASIG_CON_DET[[#This Row],[ASIGNATURA]],MAE_ASIGNATURA[NOM_ASIG],MAE_ASIGNATURA[ID_ASIG],"Seleccione Asignatura")</f>
        <v>Seleccione Asignatura</v>
      </c>
      <c r="H555" t="str">
        <f>_xlfn.XLOOKUP(TAB_H_ASIG_CON_DET[[#This Row],[DETALLADO]],MAE_CONOCIMIENTO[CAMPO_DETALLADO],MAE_CONOCIMIENTO[ID_DDETALLADO],"Seleccione Campo Detallado")</f>
        <v>F-C-D-</v>
      </c>
    </row>
    <row r="556" spans="1:8">
      <c r="A556">
        <v>571</v>
      </c>
      <c r="C556" t="str">
        <f>_xlfn.XLOOKUP(TAB_H_ASIG_CON_DET[[#This Row],[ID_CARRERA]],MAE_CARRERA[ID_CARRERA],MAE_CARRERA[NOMBRE_CARRERA],"Seleccione ID Carrera")</f>
        <v>Seleccione ID Carrera</v>
      </c>
      <c r="F556" t="str">
        <f>_xlfn.XLOOKUP(TAB_H_ASIG_CON_DET[[#This Row],[ASIGNATURA]],MAE_ASIGNATURA[NOM_ASIG],MAE_ASIGNATURA[ID_ASIG],"Seleccione Asignatura")</f>
        <v>Seleccione Asignatura</v>
      </c>
      <c r="H556" t="str">
        <f>_xlfn.XLOOKUP(TAB_H_ASIG_CON_DET[[#This Row],[DETALLADO]],MAE_CONOCIMIENTO[CAMPO_DETALLADO],MAE_CONOCIMIENTO[ID_DDETALLADO],"Seleccione Campo Detallado")</f>
        <v>F-C-D-</v>
      </c>
    </row>
    <row r="557" spans="1:8">
      <c r="A557">
        <v>572</v>
      </c>
      <c r="C557" t="str">
        <f>_xlfn.XLOOKUP(TAB_H_ASIG_CON_DET[[#This Row],[ID_CARRERA]],MAE_CARRERA[ID_CARRERA],MAE_CARRERA[NOMBRE_CARRERA],"Seleccione ID Carrera")</f>
        <v>Seleccione ID Carrera</v>
      </c>
      <c r="F557" t="str">
        <f>_xlfn.XLOOKUP(TAB_H_ASIG_CON_DET[[#This Row],[ASIGNATURA]],MAE_ASIGNATURA[NOM_ASIG],MAE_ASIGNATURA[ID_ASIG],"Seleccione Asignatura")</f>
        <v>Seleccione Asignatura</v>
      </c>
      <c r="H557" t="str">
        <f>_xlfn.XLOOKUP(TAB_H_ASIG_CON_DET[[#This Row],[DETALLADO]],MAE_CONOCIMIENTO[CAMPO_DETALLADO],MAE_CONOCIMIENTO[ID_DDETALLADO],"Seleccione Campo Detallado")</f>
        <v>F-C-D-</v>
      </c>
    </row>
    <row r="558" spans="1:8">
      <c r="A558">
        <v>573</v>
      </c>
      <c r="C558" t="str">
        <f>_xlfn.XLOOKUP(TAB_H_ASIG_CON_DET[[#This Row],[ID_CARRERA]],MAE_CARRERA[ID_CARRERA],MAE_CARRERA[NOMBRE_CARRERA],"Seleccione ID Carrera")</f>
        <v>Seleccione ID Carrera</v>
      </c>
      <c r="F558" t="str">
        <f>_xlfn.XLOOKUP(TAB_H_ASIG_CON_DET[[#This Row],[ASIGNATURA]],MAE_ASIGNATURA[NOM_ASIG],MAE_ASIGNATURA[ID_ASIG],"Seleccione Asignatura")</f>
        <v>Seleccione Asignatura</v>
      </c>
      <c r="H558" t="str">
        <f>_xlfn.XLOOKUP(TAB_H_ASIG_CON_DET[[#This Row],[DETALLADO]],MAE_CONOCIMIENTO[CAMPO_DETALLADO],MAE_CONOCIMIENTO[ID_DDETALLADO],"Seleccione Campo Detallado")</f>
        <v>F-C-D-</v>
      </c>
    </row>
    <row r="559" spans="1:8">
      <c r="A559">
        <v>574</v>
      </c>
      <c r="C559" t="str">
        <f>_xlfn.XLOOKUP(TAB_H_ASIG_CON_DET[[#This Row],[ID_CARRERA]],MAE_CARRERA[ID_CARRERA],MAE_CARRERA[NOMBRE_CARRERA],"Seleccione ID Carrera")</f>
        <v>Seleccione ID Carrera</v>
      </c>
      <c r="F559" t="str">
        <f>_xlfn.XLOOKUP(TAB_H_ASIG_CON_DET[[#This Row],[ASIGNATURA]],MAE_ASIGNATURA[NOM_ASIG],MAE_ASIGNATURA[ID_ASIG],"Seleccione Asignatura")</f>
        <v>Seleccione Asignatura</v>
      </c>
      <c r="H559" t="str">
        <f>_xlfn.XLOOKUP(TAB_H_ASIG_CON_DET[[#This Row],[DETALLADO]],MAE_CONOCIMIENTO[CAMPO_DETALLADO],MAE_CONOCIMIENTO[ID_DDETALLADO],"Seleccione Campo Detallado")</f>
        <v>F-C-D-</v>
      </c>
    </row>
    <row r="560" spans="1:8">
      <c r="A560">
        <v>575</v>
      </c>
      <c r="C560" t="str">
        <f>_xlfn.XLOOKUP(TAB_H_ASIG_CON_DET[[#This Row],[ID_CARRERA]],MAE_CARRERA[ID_CARRERA],MAE_CARRERA[NOMBRE_CARRERA],"Seleccione ID Carrera")</f>
        <v>Seleccione ID Carrera</v>
      </c>
      <c r="F560" t="str">
        <f>_xlfn.XLOOKUP(TAB_H_ASIG_CON_DET[[#This Row],[ASIGNATURA]],MAE_ASIGNATURA[NOM_ASIG],MAE_ASIGNATURA[ID_ASIG],"Seleccione Asignatura")</f>
        <v>Seleccione Asignatura</v>
      </c>
      <c r="H560" t="str">
        <f>_xlfn.XLOOKUP(TAB_H_ASIG_CON_DET[[#This Row],[DETALLADO]],MAE_CONOCIMIENTO[CAMPO_DETALLADO],MAE_CONOCIMIENTO[ID_DDETALLADO],"Seleccione Campo Detallado")</f>
        <v>F-C-D-</v>
      </c>
    </row>
    <row r="561" spans="1:8">
      <c r="A561">
        <v>576</v>
      </c>
      <c r="C561" t="str">
        <f>_xlfn.XLOOKUP(TAB_H_ASIG_CON_DET[[#This Row],[ID_CARRERA]],MAE_CARRERA[ID_CARRERA],MAE_CARRERA[NOMBRE_CARRERA],"Seleccione ID Carrera")</f>
        <v>Seleccione ID Carrera</v>
      </c>
      <c r="F561" t="str">
        <f>_xlfn.XLOOKUP(TAB_H_ASIG_CON_DET[[#This Row],[ASIGNATURA]],MAE_ASIGNATURA[NOM_ASIG],MAE_ASIGNATURA[ID_ASIG],"Seleccione Asignatura")</f>
        <v>Seleccione Asignatura</v>
      </c>
      <c r="H561" t="str">
        <f>_xlfn.XLOOKUP(TAB_H_ASIG_CON_DET[[#This Row],[DETALLADO]],MAE_CONOCIMIENTO[CAMPO_DETALLADO],MAE_CONOCIMIENTO[ID_DDETALLADO],"Seleccione Campo Detallado")</f>
        <v>F-C-D-</v>
      </c>
    </row>
    <row r="562" spans="1:8">
      <c r="A562">
        <v>577</v>
      </c>
      <c r="C562" t="str">
        <f>_xlfn.XLOOKUP(TAB_H_ASIG_CON_DET[[#This Row],[ID_CARRERA]],MAE_CARRERA[ID_CARRERA],MAE_CARRERA[NOMBRE_CARRERA],"Seleccione ID Carrera")</f>
        <v>Seleccione ID Carrera</v>
      </c>
      <c r="F562" t="str">
        <f>_xlfn.XLOOKUP(TAB_H_ASIG_CON_DET[[#This Row],[ASIGNATURA]],MAE_ASIGNATURA[NOM_ASIG],MAE_ASIGNATURA[ID_ASIG],"Seleccione Asignatura")</f>
        <v>Seleccione Asignatura</v>
      </c>
      <c r="H562" t="str">
        <f>_xlfn.XLOOKUP(TAB_H_ASIG_CON_DET[[#This Row],[DETALLADO]],MAE_CONOCIMIENTO[CAMPO_DETALLADO],MAE_CONOCIMIENTO[ID_DDETALLADO],"Seleccione Campo Detallado")</f>
        <v>F-C-D-</v>
      </c>
    </row>
    <row r="563" spans="1:8">
      <c r="A563">
        <v>578</v>
      </c>
      <c r="C563" t="str">
        <f>_xlfn.XLOOKUP(TAB_H_ASIG_CON_DET[[#This Row],[ID_CARRERA]],MAE_CARRERA[ID_CARRERA],MAE_CARRERA[NOMBRE_CARRERA],"Seleccione ID Carrera")</f>
        <v>Seleccione ID Carrera</v>
      </c>
      <c r="F563" t="str">
        <f>_xlfn.XLOOKUP(TAB_H_ASIG_CON_DET[[#This Row],[ASIGNATURA]],MAE_ASIGNATURA[NOM_ASIG],MAE_ASIGNATURA[ID_ASIG],"Seleccione Asignatura")</f>
        <v>Seleccione Asignatura</v>
      </c>
      <c r="H563" t="str">
        <f>_xlfn.XLOOKUP(TAB_H_ASIG_CON_DET[[#This Row],[DETALLADO]],MAE_CONOCIMIENTO[CAMPO_DETALLADO],MAE_CONOCIMIENTO[ID_DDETALLADO],"Seleccione Campo Detallado")</f>
        <v>F-C-D-</v>
      </c>
    </row>
    <row r="564" spans="1:8">
      <c r="A564">
        <v>579</v>
      </c>
      <c r="C564" t="str">
        <f>_xlfn.XLOOKUP(TAB_H_ASIG_CON_DET[[#This Row],[ID_CARRERA]],MAE_CARRERA[ID_CARRERA],MAE_CARRERA[NOMBRE_CARRERA],"Seleccione ID Carrera")</f>
        <v>Seleccione ID Carrera</v>
      </c>
      <c r="F564" t="str">
        <f>_xlfn.XLOOKUP(TAB_H_ASIG_CON_DET[[#This Row],[ASIGNATURA]],MAE_ASIGNATURA[NOM_ASIG],MAE_ASIGNATURA[ID_ASIG],"Seleccione Asignatura")</f>
        <v>Seleccione Asignatura</v>
      </c>
      <c r="H564" t="str">
        <f>_xlfn.XLOOKUP(TAB_H_ASIG_CON_DET[[#This Row],[DETALLADO]],MAE_CONOCIMIENTO[CAMPO_DETALLADO],MAE_CONOCIMIENTO[ID_DDETALLADO],"Seleccione Campo Detallado")</f>
        <v>F-C-D-</v>
      </c>
    </row>
    <row r="565" spans="1:8">
      <c r="A565">
        <v>580</v>
      </c>
      <c r="C565" t="str">
        <f>_xlfn.XLOOKUP(TAB_H_ASIG_CON_DET[[#This Row],[ID_CARRERA]],MAE_CARRERA[ID_CARRERA],MAE_CARRERA[NOMBRE_CARRERA],"Seleccione ID Carrera")</f>
        <v>Seleccione ID Carrera</v>
      </c>
      <c r="F565" t="str">
        <f>_xlfn.XLOOKUP(TAB_H_ASIG_CON_DET[[#This Row],[ASIGNATURA]],MAE_ASIGNATURA[NOM_ASIG],MAE_ASIGNATURA[ID_ASIG],"Seleccione Asignatura")</f>
        <v>Seleccione Asignatura</v>
      </c>
      <c r="H565" t="str">
        <f>_xlfn.XLOOKUP(TAB_H_ASIG_CON_DET[[#This Row],[DETALLADO]],MAE_CONOCIMIENTO[CAMPO_DETALLADO],MAE_CONOCIMIENTO[ID_DDETALLADO],"Seleccione Campo Detallado")</f>
        <v>F-C-D-</v>
      </c>
    </row>
    <row r="566" spans="1:8">
      <c r="A566">
        <v>581</v>
      </c>
      <c r="C566" t="str">
        <f>_xlfn.XLOOKUP(TAB_H_ASIG_CON_DET[[#This Row],[ID_CARRERA]],MAE_CARRERA[ID_CARRERA],MAE_CARRERA[NOMBRE_CARRERA],"Seleccione ID Carrera")</f>
        <v>Seleccione ID Carrera</v>
      </c>
      <c r="F566" t="str">
        <f>_xlfn.XLOOKUP(TAB_H_ASIG_CON_DET[[#This Row],[ASIGNATURA]],MAE_ASIGNATURA[NOM_ASIG],MAE_ASIGNATURA[ID_ASIG],"Seleccione Asignatura")</f>
        <v>Seleccione Asignatura</v>
      </c>
      <c r="H566" t="str">
        <f>_xlfn.XLOOKUP(TAB_H_ASIG_CON_DET[[#This Row],[DETALLADO]],MAE_CONOCIMIENTO[CAMPO_DETALLADO],MAE_CONOCIMIENTO[ID_DDETALLADO],"Seleccione Campo Detallado")</f>
        <v>F-C-D-</v>
      </c>
    </row>
    <row r="567" spans="1:8">
      <c r="A567">
        <v>582</v>
      </c>
      <c r="C567" t="str">
        <f>_xlfn.XLOOKUP(TAB_H_ASIG_CON_DET[[#This Row],[ID_CARRERA]],MAE_CARRERA[ID_CARRERA],MAE_CARRERA[NOMBRE_CARRERA],"Seleccione ID Carrera")</f>
        <v>Seleccione ID Carrera</v>
      </c>
      <c r="F567" t="str">
        <f>_xlfn.XLOOKUP(TAB_H_ASIG_CON_DET[[#This Row],[ASIGNATURA]],MAE_ASIGNATURA[NOM_ASIG],MAE_ASIGNATURA[ID_ASIG],"Seleccione Asignatura")</f>
        <v>Seleccione Asignatura</v>
      </c>
      <c r="H567" t="str">
        <f>_xlfn.XLOOKUP(TAB_H_ASIG_CON_DET[[#This Row],[DETALLADO]],MAE_CONOCIMIENTO[CAMPO_DETALLADO],MAE_CONOCIMIENTO[ID_DDETALLADO],"Seleccione Campo Detallado")</f>
        <v>F-C-D-</v>
      </c>
    </row>
    <row r="568" spans="1:8">
      <c r="A568">
        <v>583</v>
      </c>
      <c r="C568" t="str">
        <f>_xlfn.XLOOKUP(TAB_H_ASIG_CON_DET[[#This Row],[ID_CARRERA]],MAE_CARRERA[ID_CARRERA],MAE_CARRERA[NOMBRE_CARRERA],"Seleccione ID Carrera")</f>
        <v>Seleccione ID Carrera</v>
      </c>
      <c r="F568" t="str">
        <f>_xlfn.XLOOKUP(TAB_H_ASIG_CON_DET[[#This Row],[ASIGNATURA]],MAE_ASIGNATURA[NOM_ASIG],MAE_ASIGNATURA[ID_ASIG],"Seleccione Asignatura")</f>
        <v>Seleccione Asignatura</v>
      </c>
      <c r="H568" t="str">
        <f>_xlfn.XLOOKUP(TAB_H_ASIG_CON_DET[[#This Row],[DETALLADO]],MAE_CONOCIMIENTO[CAMPO_DETALLADO],MAE_CONOCIMIENTO[ID_DDETALLADO],"Seleccione Campo Detallado")</f>
        <v>F-C-D-</v>
      </c>
    </row>
    <row r="569" spans="1:8">
      <c r="A569">
        <v>584</v>
      </c>
      <c r="C569" t="str">
        <f>_xlfn.XLOOKUP(TAB_H_ASIG_CON_DET[[#This Row],[ID_CARRERA]],MAE_CARRERA[ID_CARRERA],MAE_CARRERA[NOMBRE_CARRERA],"Seleccione ID Carrera")</f>
        <v>Seleccione ID Carrera</v>
      </c>
      <c r="F569" t="str">
        <f>_xlfn.XLOOKUP(TAB_H_ASIG_CON_DET[[#This Row],[ASIGNATURA]],MAE_ASIGNATURA[NOM_ASIG],MAE_ASIGNATURA[ID_ASIG],"Seleccione Asignatura")</f>
        <v>Seleccione Asignatura</v>
      </c>
      <c r="H569" t="str">
        <f>_xlfn.XLOOKUP(TAB_H_ASIG_CON_DET[[#This Row],[DETALLADO]],MAE_CONOCIMIENTO[CAMPO_DETALLADO],MAE_CONOCIMIENTO[ID_DDETALLADO],"Seleccione Campo Detallado")</f>
        <v>F-C-D-</v>
      </c>
    </row>
    <row r="570" spans="1:8">
      <c r="A570">
        <v>585</v>
      </c>
      <c r="C570" t="str">
        <f>_xlfn.XLOOKUP(TAB_H_ASIG_CON_DET[[#This Row],[ID_CARRERA]],MAE_CARRERA[ID_CARRERA],MAE_CARRERA[NOMBRE_CARRERA],"Seleccione ID Carrera")</f>
        <v>Seleccione ID Carrera</v>
      </c>
      <c r="F570" t="str">
        <f>_xlfn.XLOOKUP(TAB_H_ASIG_CON_DET[[#This Row],[ASIGNATURA]],MAE_ASIGNATURA[NOM_ASIG],MAE_ASIGNATURA[ID_ASIG],"Seleccione Asignatura")</f>
        <v>Seleccione Asignatura</v>
      </c>
      <c r="H570" t="str">
        <f>_xlfn.XLOOKUP(TAB_H_ASIG_CON_DET[[#This Row],[DETALLADO]],MAE_CONOCIMIENTO[CAMPO_DETALLADO],MAE_CONOCIMIENTO[ID_DDETALLADO],"Seleccione Campo Detallado")</f>
        <v>F-C-D-</v>
      </c>
    </row>
    <row r="571" spans="1:8">
      <c r="A571">
        <v>586</v>
      </c>
      <c r="C571" t="str">
        <f>_xlfn.XLOOKUP(TAB_H_ASIG_CON_DET[[#This Row],[ID_CARRERA]],MAE_CARRERA[ID_CARRERA],MAE_CARRERA[NOMBRE_CARRERA],"Seleccione ID Carrera")</f>
        <v>Seleccione ID Carrera</v>
      </c>
      <c r="F571" t="str">
        <f>_xlfn.XLOOKUP(TAB_H_ASIG_CON_DET[[#This Row],[ASIGNATURA]],MAE_ASIGNATURA[NOM_ASIG],MAE_ASIGNATURA[ID_ASIG],"Seleccione Asignatura")</f>
        <v>Seleccione Asignatura</v>
      </c>
      <c r="H571" t="str">
        <f>_xlfn.XLOOKUP(TAB_H_ASIG_CON_DET[[#This Row],[DETALLADO]],MAE_CONOCIMIENTO[CAMPO_DETALLADO],MAE_CONOCIMIENTO[ID_DDETALLADO],"Seleccione Campo Detallado")</f>
        <v>F-C-D-</v>
      </c>
    </row>
    <row r="572" spans="1:8">
      <c r="A572">
        <v>587</v>
      </c>
      <c r="C572" t="str">
        <f>_xlfn.XLOOKUP(TAB_H_ASIG_CON_DET[[#This Row],[ID_CARRERA]],MAE_CARRERA[ID_CARRERA],MAE_CARRERA[NOMBRE_CARRERA],"Seleccione ID Carrera")</f>
        <v>Seleccione ID Carrera</v>
      </c>
      <c r="F572" t="str">
        <f>_xlfn.XLOOKUP(TAB_H_ASIG_CON_DET[[#This Row],[ASIGNATURA]],MAE_ASIGNATURA[NOM_ASIG],MAE_ASIGNATURA[ID_ASIG],"Seleccione Asignatura")</f>
        <v>Seleccione Asignatura</v>
      </c>
      <c r="H572" t="str">
        <f>_xlfn.XLOOKUP(TAB_H_ASIG_CON_DET[[#This Row],[DETALLADO]],MAE_CONOCIMIENTO[CAMPO_DETALLADO],MAE_CONOCIMIENTO[ID_DDETALLADO],"Seleccione Campo Detallado")</f>
        <v>F-C-D-</v>
      </c>
    </row>
    <row r="573" spans="1:8">
      <c r="A573">
        <v>588</v>
      </c>
      <c r="C573" t="str">
        <f>_xlfn.XLOOKUP(TAB_H_ASIG_CON_DET[[#This Row],[ID_CARRERA]],MAE_CARRERA[ID_CARRERA],MAE_CARRERA[NOMBRE_CARRERA],"Seleccione ID Carrera")</f>
        <v>Seleccione ID Carrera</v>
      </c>
      <c r="F573" t="str">
        <f>_xlfn.XLOOKUP(TAB_H_ASIG_CON_DET[[#This Row],[ASIGNATURA]],MAE_ASIGNATURA[NOM_ASIG],MAE_ASIGNATURA[ID_ASIG],"Seleccione Asignatura")</f>
        <v>Seleccione Asignatura</v>
      </c>
      <c r="H573" t="str">
        <f>_xlfn.XLOOKUP(TAB_H_ASIG_CON_DET[[#This Row],[DETALLADO]],MAE_CONOCIMIENTO[CAMPO_DETALLADO],MAE_CONOCIMIENTO[ID_DDETALLADO],"Seleccione Campo Detallado")</f>
        <v>F-C-D-</v>
      </c>
    </row>
    <row r="574" spans="1:8">
      <c r="A574">
        <v>589</v>
      </c>
      <c r="C574" t="str">
        <f>_xlfn.XLOOKUP(TAB_H_ASIG_CON_DET[[#This Row],[ID_CARRERA]],MAE_CARRERA[ID_CARRERA],MAE_CARRERA[NOMBRE_CARRERA],"Seleccione ID Carrera")</f>
        <v>Seleccione ID Carrera</v>
      </c>
      <c r="F574" t="str">
        <f>_xlfn.XLOOKUP(TAB_H_ASIG_CON_DET[[#This Row],[ASIGNATURA]],MAE_ASIGNATURA[NOM_ASIG],MAE_ASIGNATURA[ID_ASIG],"Seleccione Asignatura")</f>
        <v>Seleccione Asignatura</v>
      </c>
      <c r="H574" t="str">
        <f>_xlfn.XLOOKUP(TAB_H_ASIG_CON_DET[[#This Row],[DETALLADO]],MAE_CONOCIMIENTO[CAMPO_DETALLADO],MAE_CONOCIMIENTO[ID_DDETALLADO],"Seleccione Campo Detallado")</f>
        <v>F-C-D-</v>
      </c>
    </row>
    <row r="575" spans="1:8">
      <c r="A575">
        <v>590</v>
      </c>
      <c r="C575" t="str">
        <f>_xlfn.XLOOKUP(TAB_H_ASIG_CON_DET[[#This Row],[ID_CARRERA]],MAE_CARRERA[ID_CARRERA],MAE_CARRERA[NOMBRE_CARRERA],"Seleccione ID Carrera")</f>
        <v>Seleccione ID Carrera</v>
      </c>
      <c r="F575" t="str">
        <f>_xlfn.XLOOKUP(TAB_H_ASIG_CON_DET[[#This Row],[ASIGNATURA]],MAE_ASIGNATURA[NOM_ASIG],MAE_ASIGNATURA[ID_ASIG],"Seleccione Asignatura")</f>
        <v>Seleccione Asignatura</v>
      </c>
      <c r="H575" t="str">
        <f>_xlfn.XLOOKUP(TAB_H_ASIG_CON_DET[[#This Row],[DETALLADO]],MAE_CONOCIMIENTO[CAMPO_DETALLADO],MAE_CONOCIMIENTO[ID_DDETALLADO],"Seleccione Campo Detallado")</f>
        <v>F-C-D-</v>
      </c>
    </row>
    <row r="576" spans="1:8">
      <c r="A576">
        <v>591</v>
      </c>
      <c r="C576" t="str">
        <f>_xlfn.XLOOKUP(TAB_H_ASIG_CON_DET[[#This Row],[ID_CARRERA]],MAE_CARRERA[ID_CARRERA],MAE_CARRERA[NOMBRE_CARRERA],"Seleccione ID Carrera")</f>
        <v>Seleccione ID Carrera</v>
      </c>
      <c r="F576" t="str">
        <f>_xlfn.XLOOKUP(TAB_H_ASIG_CON_DET[[#This Row],[ASIGNATURA]],MAE_ASIGNATURA[NOM_ASIG],MAE_ASIGNATURA[ID_ASIG],"Seleccione Asignatura")</f>
        <v>Seleccione Asignatura</v>
      </c>
      <c r="H576" t="str">
        <f>_xlfn.XLOOKUP(TAB_H_ASIG_CON_DET[[#This Row],[DETALLADO]],MAE_CONOCIMIENTO[CAMPO_DETALLADO],MAE_CONOCIMIENTO[ID_DDETALLADO],"Seleccione Campo Detallado")</f>
        <v>F-C-D-</v>
      </c>
    </row>
    <row r="577" spans="1:8">
      <c r="A577">
        <v>592</v>
      </c>
      <c r="C577" t="str">
        <f>_xlfn.XLOOKUP(TAB_H_ASIG_CON_DET[[#This Row],[ID_CARRERA]],MAE_CARRERA[ID_CARRERA],MAE_CARRERA[NOMBRE_CARRERA],"Seleccione ID Carrera")</f>
        <v>Seleccione ID Carrera</v>
      </c>
      <c r="F577" t="str">
        <f>_xlfn.XLOOKUP(TAB_H_ASIG_CON_DET[[#This Row],[ASIGNATURA]],MAE_ASIGNATURA[NOM_ASIG],MAE_ASIGNATURA[ID_ASIG],"Seleccione Asignatura")</f>
        <v>Seleccione Asignatura</v>
      </c>
      <c r="H577" t="str">
        <f>_xlfn.XLOOKUP(TAB_H_ASIG_CON_DET[[#This Row],[DETALLADO]],MAE_CONOCIMIENTO[CAMPO_DETALLADO],MAE_CONOCIMIENTO[ID_DDETALLADO],"Seleccione Campo Detallado")</f>
        <v>F-C-D-</v>
      </c>
    </row>
    <row r="578" spans="1:8">
      <c r="A578">
        <v>593</v>
      </c>
      <c r="C578" t="str">
        <f>_xlfn.XLOOKUP(TAB_H_ASIG_CON_DET[[#This Row],[ID_CARRERA]],MAE_CARRERA[ID_CARRERA],MAE_CARRERA[NOMBRE_CARRERA],"Seleccione ID Carrera")</f>
        <v>Seleccione ID Carrera</v>
      </c>
      <c r="F578" t="str">
        <f>_xlfn.XLOOKUP(TAB_H_ASIG_CON_DET[[#This Row],[ASIGNATURA]],MAE_ASIGNATURA[NOM_ASIG],MAE_ASIGNATURA[ID_ASIG],"Seleccione Asignatura")</f>
        <v>Seleccione Asignatura</v>
      </c>
      <c r="H578" t="str">
        <f>_xlfn.XLOOKUP(TAB_H_ASIG_CON_DET[[#This Row],[DETALLADO]],MAE_CONOCIMIENTO[CAMPO_DETALLADO],MAE_CONOCIMIENTO[ID_DDETALLADO],"Seleccione Campo Detallado")</f>
        <v>F-C-D-</v>
      </c>
    </row>
    <row r="579" spans="1:8">
      <c r="A579">
        <v>594</v>
      </c>
      <c r="C579" t="str">
        <f>_xlfn.XLOOKUP(TAB_H_ASIG_CON_DET[[#This Row],[ID_CARRERA]],MAE_CARRERA[ID_CARRERA],MAE_CARRERA[NOMBRE_CARRERA],"Seleccione ID Carrera")</f>
        <v>Seleccione ID Carrera</v>
      </c>
      <c r="F579" t="str">
        <f>_xlfn.XLOOKUP(TAB_H_ASIG_CON_DET[[#This Row],[ASIGNATURA]],MAE_ASIGNATURA[NOM_ASIG],MAE_ASIGNATURA[ID_ASIG],"Seleccione Asignatura")</f>
        <v>Seleccione Asignatura</v>
      </c>
      <c r="H579" t="str">
        <f>_xlfn.XLOOKUP(TAB_H_ASIG_CON_DET[[#This Row],[DETALLADO]],MAE_CONOCIMIENTO[CAMPO_DETALLADO],MAE_CONOCIMIENTO[ID_DDETALLADO],"Seleccione Campo Detallado")</f>
        <v>F-C-D-</v>
      </c>
    </row>
    <row r="580" spans="1:8">
      <c r="A580">
        <v>595</v>
      </c>
      <c r="C580" t="str">
        <f>_xlfn.XLOOKUP(TAB_H_ASIG_CON_DET[[#This Row],[ID_CARRERA]],MAE_CARRERA[ID_CARRERA],MAE_CARRERA[NOMBRE_CARRERA],"Seleccione ID Carrera")</f>
        <v>Seleccione ID Carrera</v>
      </c>
      <c r="F580" t="str">
        <f>_xlfn.XLOOKUP(TAB_H_ASIG_CON_DET[[#This Row],[ASIGNATURA]],MAE_ASIGNATURA[NOM_ASIG],MAE_ASIGNATURA[ID_ASIG],"Seleccione Asignatura")</f>
        <v>Seleccione Asignatura</v>
      </c>
      <c r="H580" t="str">
        <f>_xlfn.XLOOKUP(TAB_H_ASIG_CON_DET[[#This Row],[DETALLADO]],MAE_CONOCIMIENTO[CAMPO_DETALLADO],MAE_CONOCIMIENTO[ID_DDETALLADO],"Seleccione Campo Detallado")</f>
        <v>F-C-D-</v>
      </c>
    </row>
    <row r="581" spans="1:8">
      <c r="A581">
        <v>596</v>
      </c>
      <c r="C581" t="str">
        <f>_xlfn.XLOOKUP(TAB_H_ASIG_CON_DET[[#This Row],[ID_CARRERA]],MAE_CARRERA[ID_CARRERA],MAE_CARRERA[NOMBRE_CARRERA],"Seleccione ID Carrera")</f>
        <v>Seleccione ID Carrera</v>
      </c>
      <c r="F581" t="str">
        <f>_xlfn.XLOOKUP(TAB_H_ASIG_CON_DET[[#This Row],[ASIGNATURA]],MAE_ASIGNATURA[NOM_ASIG],MAE_ASIGNATURA[ID_ASIG],"Seleccione Asignatura")</f>
        <v>Seleccione Asignatura</v>
      </c>
      <c r="H581" t="str">
        <f>_xlfn.XLOOKUP(TAB_H_ASIG_CON_DET[[#This Row],[DETALLADO]],MAE_CONOCIMIENTO[CAMPO_DETALLADO],MAE_CONOCIMIENTO[ID_DDETALLADO],"Seleccione Campo Detallado")</f>
        <v>F-C-D-</v>
      </c>
    </row>
    <row r="582" spans="1:8">
      <c r="A582">
        <v>597</v>
      </c>
      <c r="C582" t="str">
        <f>_xlfn.XLOOKUP(TAB_H_ASIG_CON_DET[[#This Row],[ID_CARRERA]],MAE_CARRERA[ID_CARRERA],MAE_CARRERA[NOMBRE_CARRERA],"Seleccione ID Carrera")</f>
        <v>Seleccione ID Carrera</v>
      </c>
      <c r="F582" t="str">
        <f>_xlfn.XLOOKUP(TAB_H_ASIG_CON_DET[[#This Row],[ASIGNATURA]],MAE_ASIGNATURA[NOM_ASIG],MAE_ASIGNATURA[ID_ASIG],"Seleccione Asignatura")</f>
        <v>Seleccione Asignatura</v>
      </c>
      <c r="H582" t="str">
        <f>_xlfn.XLOOKUP(TAB_H_ASIG_CON_DET[[#This Row],[DETALLADO]],MAE_CONOCIMIENTO[CAMPO_DETALLADO],MAE_CONOCIMIENTO[ID_DDETALLADO],"Seleccione Campo Detallado")</f>
        <v>F-C-D-</v>
      </c>
    </row>
    <row r="583" spans="1:8">
      <c r="A583">
        <v>598</v>
      </c>
      <c r="C583" t="str">
        <f>_xlfn.XLOOKUP(TAB_H_ASIG_CON_DET[[#This Row],[ID_CARRERA]],MAE_CARRERA[ID_CARRERA],MAE_CARRERA[NOMBRE_CARRERA],"Seleccione ID Carrera")</f>
        <v>Seleccione ID Carrera</v>
      </c>
      <c r="F583" t="str">
        <f>_xlfn.XLOOKUP(TAB_H_ASIG_CON_DET[[#This Row],[ASIGNATURA]],MAE_ASIGNATURA[NOM_ASIG],MAE_ASIGNATURA[ID_ASIG],"Seleccione Asignatura")</f>
        <v>Seleccione Asignatura</v>
      </c>
      <c r="H583" t="str">
        <f>_xlfn.XLOOKUP(TAB_H_ASIG_CON_DET[[#This Row],[DETALLADO]],MAE_CONOCIMIENTO[CAMPO_DETALLADO],MAE_CONOCIMIENTO[ID_DDETALLADO],"Seleccione Campo Detallado")</f>
        <v>F-C-D-</v>
      </c>
    </row>
    <row r="584" spans="1:8">
      <c r="A584">
        <v>599</v>
      </c>
      <c r="C584" t="str">
        <f>_xlfn.XLOOKUP(TAB_H_ASIG_CON_DET[[#This Row],[ID_CARRERA]],MAE_CARRERA[ID_CARRERA],MAE_CARRERA[NOMBRE_CARRERA],"Seleccione ID Carrera")</f>
        <v>Seleccione ID Carrera</v>
      </c>
      <c r="E584" t="s">
        <v>140</v>
      </c>
      <c r="F584" t="str">
        <f>_xlfn.XLOOKUP(TAB_H_ASIG_CON_DET[[#This Row],[ASIGNATURA]],MAE_ASIGNATURA[NOM_ASIG],MAE_ASIGNATURA[ID_ASIG],"Seleccione Asignatura")</f>
        <v>Seleccione Asignatura</v>
      </c>
      <c r="H584" t="str">
        <f>_xlfn.XLOOKUP(TAB_H_ASIG_CON_DET[[#This Row],[DETALLADO]],MAE_CONOCIMIENTO[CAMPO_DETALLADO],MAE_CONOCIMIENTO[ID_DDETALLADO],"Seleccione Campo Detallado")</f>
        <v>F-C-D-</v>
      </c>
    </row>
  </sheetData>
  <dataValidations count="1">
    <dataValidation allowBlank="1" showInputMessage="1" showErrorMessage="1" sqref="H2:H584 F2:F584" xr:uid="{217052BD-32C4-4651-B55E-7AB164C5B1DE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50B9424-BF79-44DC-AC10-BBEDBA818FA9}">
          <x14:formula1>
            <xm:f>MAE_CARRERA!$A$2:$A$108</xm:f>
          </x14:formula1>
          <xm:sqref>B2:B584</xm:sqref>
        </x14:dataValidation>
        <x14:dataValidation type="list" allowBlank="1" showInputMessage="1" showErrorMessage="1" xr:uid="{5F6A5232-301C-4577-A5FC-161BA698A0C8}">
          <x14:formula1>
            <xm:f>MAE_CONOCIMIENTO!$B$2:$B$228</xm:f>
          </x14:formula1>
          <xm:sqref>G2:G584</xm:sqref>
        </x14:dataValidation>
        <x14:dataValidation type="list" allowBlank="1" showInputMessage="1" showErrorMessage="1" xr:uid="{9D0E7653-F4C1-4D43-8CAA-AD726E3A9736}">
          <x14:formula1>
            <xm:f>_xlfn.ANCHORARRAY(Hoja1!$A32)</xm:f>
          </x14:formula1>
          <xm:sqref>D17:D246</xm:sqref>
        </x14:dataValidation>
        <x14:dataValidation type="list" allowBlank="1" showInputMessage="1" showErrorMessage="1" xr:uid="{3D47047E-1D08-4215-BAD1-25EB3FDF15DD}">
          <x14:formula1>
            <xm:f>_xlfn.ANCHORARRAY(Hoja1!$A263)</xm:f>
          </x14:formula1>
          <xm:sqref>D247:D584</xm:sqref>
        </x14:dataValidation>
        <x14:dataValidation type="list" allowBlank="1" showInputMessage="1" showErrorMessage="1" xr:uid="{C8992509-AC60-4235-B3E1-0AB75BA4A33F}">
          <x14:formula1>
            <xm:f>_xlfn.ANCHORARRAY(Hoja1!$O32)</xm:f>
          </x14:formula1>
          <xm:sqref>E17:E247</xm:sqref>
        </x14:dataValidation>
        <x14:dataValidation type="list" allowBlank="1" showInputMessage="1" showErrorMessage="1" xr:uid="{B39C09DD-549A-40C2-B5B5-6D50F5C4A95A}">
          <x14:formula1>
            <xm:f>_xlfn.ANCHORARRAY(Hoja1!$O264)</xm:f>
          </x14:formula1>
          <xm:sqref>E248:E584</xm:sqref>
        </x14:dataValidation>
        <x14:dataValidation type="list" allowBlank="1" showInputMessage="1" showErrorMessage="1" xr:uid="{DAB695E1-6610-4052-8B85-1825FC0AE87D}">
          <x14:formula1>
            <xm:f>_xlfn.ANCHORARRAY(Hoja1!$A2)</xm:f>
          </x14:formula1>
          <xm:sqref>D2:D16</xm:sqref>
        </x14:dataValidation>
        <x14:dataValidation type="list" allowBlank="1" showInputMessage="1" showErrorMessage="1" xr:uid="{9F4C5DB5-2F16-4488-82B9-910CD6511A49}">
          <x14:formula1>
            <xm:f>_xlfn.ANCHORARRAY(Hoja1!$O2)</xm:f>
          </x14:formula1>
          <xm:sqref>E2:E16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E33A-C92C-4AF7-8062-080C6097064A}">
  <dimension ref="A1:T600"/>
  <sheetViews>
    <sheetView topLeftCell="A580" workbookViewId="0">
      <selection activeCell="S2" sqref="S2"/>
    </sheetView>
  </sheetViews>
  <sheetFormatPr defaultColWidth="9.140625" defaultRowHeight="15"/>
  <cols>
    <col min="2" max="14" width="2" customWidth="1"/>
    <col min="16" max="38" width="3.28515625" customWidth="1"/>
  </cols>
  <sheetData>
    <row r="1" spans="1:20">
      <c r="A1" t="s">
        <v>3</v>
      </c>
      <c r="O1" t="s">
        <v>4</v>
      </c>
    </row>
    <row r="2" spans="1:20">
      <c r="A2" cm="1">
        <f t="array" ref="A2:H2">TRANSPOSE(_xlfn.UNIQUE(_xlfn._xlws.FILTER(MAE_ASIGNATURA[ID_NIVEL],MAE_ASIGNATURA[ID_CARRERA]=DET_ASIG!$B2,"No existe información")))</f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O2" t="str" cm="1">
        <f t="array" ref="O2:S2">TRANSPOSE(_xlfn.UNIQUE(_xlfn._xlws.FILTER(MAE_ASIGNATURA[NOM_ASIG],(MAE_ASIGNATURA[ID_NIVEL]=DET_ASIG!$D2)*(MAE_ASIGNATURA[ID_CARRERA]=DET_ASIG!$B2),"No existe información")))</f>
        <v>CONTABILIDAD BÁSICA</v>
      </c>
      <c r="P2" t="str">
        <v>MATEMÁTICA</v>
      </c>
      <c r="Q2" t="str">
        <v>METODOLOGÍA DE LA INVESTIGACIÓN</v>
      </c>
      <c r="R2" t="str">
        <v>ADMINISTRACIÓN</v>
      </c>
      <c r="S2" t="str">
        <v>MACROECONOMÍA</v>
      </c>
    </row>
    <row r="3" spans="1:20">
      <c r="A3" cm="1">
        <f t="array" ref="A3:H3">TRANSPOSE(_xlfn.UNIQUE(_xlfn._xlws.FILTER(MAE_ASIGNATURA[ID_NIVEL],MAE_ASIGNATURA[ID_CARRERA]=DET_ASIG!$B3,"No existe información")))</f>
        <v>1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O3" t="str" cm="1">
        <f t="array" ref="O3:S3">TRANSPOSE(_xlfn.UNIQUE(_xlfn._xlws.FILTER(MAE_ASIGNATURA[NOM_ASIG],(MAE_ASIGNATURA[ID_NIVEL]=DET_ASIG!$D3)*(MAE_ASIGNATURA[ID_CARRERA]=DET_ASIG!$B3),"No existe información")))</f>
        <v>CONTABILIDAD BÁSICA</v>
      </c>
      <c r="P3" t="str">
        <v>MATEMÁTICA</v>
      </c>
      <c r="Q3" t="str">
        <v>METODOLOGÍA DE LA INVESTIGACIÓN</v>
      </c>
      <c r="R3" t="str">
        <v>ADMINISTRACIÓN</v>
      </c>
      <c r="S3" t="str">
        <v>MACROECONOMÍA</v>
      </c>
    </row>
    <row r="4" spans="1:20">
      <c r="A4" cm="1">
        <f t="array" ref="A4:H4">TRANSPOSE(_xlfn.UNIQUE(_xlfn._xlws.FILTER(MAE_ASIGNATURA[ID_NIVEL],MAE_ASIGNATURA[ID_CARRERA]=DET_ASIG!$B4,"No existe información")))</f>
        <v>1</v>
      </c>
      <c r="B4">
        <v>2</v>
      </c>
      <c r="C4">
        <v>3</v>
      </c>
      <c r="D4">
        <v>4</v>
      </c>
      <c r="E4">
        <v>5</v>
      </c>
      <c r="F4">
        <v>6</v>
      </c>
      <c r="G4">
        <v>7</v>
      </c>
      <c r="H4">
        <v>8</v>
      </c>
      <c r="O4" t="str" cm="1">
        <f t="array" ref="O4:S4">TRANSPOSE(_xlfn.UNIQUE(_xlfn._xlws.FILTER(MAE_ASIGNATURA[NOM_ASIG],(MAE_ASIGNATURA[ID_NIVEL]=DET_ASIG!$D4)*(MAE_ASIGNATURA[ID_CARRERA]=DET_ASIG!$B4),"No existe información")))</f>
        <v>CONTABILIDAD BÁSICA</v>
      </c>
      <c r="P4" t="str">
        <v>MATEMÁTICA</v>
      </c>
      <c r="Q4" t="str">
        <v>METODOLOGÍA DE LA INVESTIGACIÓN</v>
      </c>
      <c r="R4" t="str">
        <v>ADMINISTRACIÓN</v>
      </c>
      <c r="S4" t="str">
        <v>MACROECONOMÍA</v>
      </c>
    </row>
    <row r="5" spans="1:20">
      <c r="A5" cm="1">
        <f t="array" ref="A5:H5">TRANSPOSE(_xlfn.UNIQUE(_xlfn._xlws.FILTER(MAE_ASIGNATURA[ID_NIVEL],MAE_ASIGNATURA[ID_CARRERA]=DET_ASIG!$B5,"No existe información")))</f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O5" t="str" cm="1">
        <f t="array" ref="O5:S5">TRANSPOSE(_xlfn.UNIQUE(_xlfn._xlws.FILTER(MAE_ASIGNATURA[NOM_ASIG],(MAE_ASIGNATURA[ID_NIVEL]=DET_ASIG!$D5)*(MAE_ASIGNATURA[ID_CARRERA]=DET_ASIG!$B5),"No existe información")))</f>
        <v>CONTABILIDAD BÁSICA</v>
      </c>
      <c r="P5" t="str">
        <v>MATEMÁTICA</v>
      </c>
      <c r="Q5" t="str">
        <v>METODOLOGÍA DE LA INVESTIGACIÓN</v>
      </c>
      <c r="R5" t="str">
        <v>ADMINISTRACIÓN</v>
      </c>
      <c r="S5" t="str">
        <v>MACROECONOMÍA</v>
      </c>
    </row>
    <row r="6" spans="1:20">
      <c r="A6" cm="1">
        <f t="array" ref="A6:H6">TRANSPOSE(_xlfn.UNIQUE(_xlfn._xlws.FILTER(MAE_ASIGNATURA[ID_NIVEL],MAE_ASIGNATURA[ID_CARRERA]=DET_ASIG!$B6,"No existe información")))</f>
        <v>1</v>
      </c>
      <c r="B6">
        <v>2</v>
      </c>
      <c r="C6">
        <v>3</v>
      </c>
      <c r="D6">
        <v>4</v>
      </c>
      <c r="E6">
        <v>5</v>
      </c>
      <c r="F6">
        <v>6</v>
      </c>
      <c r="G6">
        <v>7</v>
      </c>
      <c r="H6">
        <v>8</v>
      </c>
      <c r="O6" t="str" cm="1">
        <f t="array" ref="O6:S6">TRANSPOSE(_xlfn.UNIQUE(_xlfn._xlws.FILTER(MAE_ASIGNATURA[NOM_ASIG],(MAE_ASIGNATURA[ID_NIVEL]=DET_ASIG!$D6)*(MAE_ASIGNATURA[ID_CARRERA]=DET_ASIG!$B6),"No existe información")))</f>
        <v>CONTABILIDAD BÁSICA</v>
      </c>
      <c r="P6" t="str">
        <v>MATEMÁTICA</v>
      </c>
      <c r="Q6" t="str">
        <v>METODOLOGÍA DE LA INVESTIGACIÓN</v>
      </c>
      <c r="R6" t="str">
        <v>ADMINISTRACIÓN</v>
      </c>
      <c r="S6" t="str">
        <v>MACROECONOMÍA</v>
      </c>
    </row>
    <row r="7" spans="1:20">
      <c r="A7" cm="1">
        <f t="array" ref="A7:H7">TRANSPOSE(_xlfn.UNIQUE(_xlfn._xlws.FILTER(MAE_ASIGNATURA[ID_NIVEL],MAE_ASIGNATURA[ID_CARRERA]=DET_ASIG!$B7,"No existe información")))</f>
        <v>1</v>
      </c>
      <c r="B7">
        <v>2</v>
      </c>
      <c r="C7">
        <v>3</v>
      </c>
      <c r="D7">
        <v>4</v>
      </c>
      <c r="E7">
        <v>5</v>
      </c>
      <c r="F7">
        <v>6</v>
      </c>
      <c r="G7">
        <v>7</v>
      </c>
      <c r="H7">
        <v>8</v>
      </c>
      <c r="O7" t="str" cm="1">
        <f t="array" ref="O7:S7">TRANSPOSE(_xlfn.UNIQUE(_xlfn._xlws.FILTER(MAE_ASIGNATURA[NOM_ASIG],(MAE_ASIGNATURA[ID_NIVEL]=DET_ASIG!$D7)*(MAE_ASIGNATURA[ID_CARRERA]=DET_ASIG!$B7),"No existe información")))</f>
        <v>LEGISLACIÓN LABORAL</v>
      </c>
      <c r="P7" t="str">
        <v>CONTABILIDAD INTERMEDIA</v>
      </c>
      <c r="Q7" t="str">
        <v>ESTADÍSTICA DESCRIPTIVA</v>
      </c>
      <c r="R7" t="str">
        <v>LEGISLACIÓN MERCANTIL Y SOCIETARIA</v>
      </c>
      <c r="S7" t="str">
        <v>MATEMÁTICA FINANCIERA</v>
      </c>
    </row>
    <row r="8" spans="1:20">
      <c r="A8" cm="1">
        <f t="array" ref="A8:H8">TRANSPOSE(_xlfn.UNIQUE(_xlfn._xlws.FILTER(MAE_ASIGNATURA[ID_NIVEL],MAE_ASIGNATURA[ID_CARRERA]=DET_ASIG!$B8,"No existe información")))</f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O8" t="str" cm="1">
        <f t="array" ref="O8:S8">TRANSPOSE(_xlfn.UNIQUE(_xlfn._xlws.FILTER(MAE_ASIGNATURA[NOM_ASIG],(MAE_ASIGNATURA[ID_NIVEL]=DET_ASIG!$D8)*(MAE_ASIGNATURA[ID_CARRERA]=DET_ASIG!$B8),"No existe información")))</f>
        <v>LEGISLACIÓN LABORAL</v>
      </c>
      <c r="P8" t="str">
        <v>CONTABILIDAD INTERMEDIA</v>
      </c>
      <c r="Q8" t="str">
        <v>ESTADÍSTICA DESCRIPTIVA</v>
      </c>
      <c r="R8" t="str">
        <v>LEGISLACIÓN MERCANTIL Y SOCIETARIA</v>
      </c>
      <c r="S8" t="str">
        <v>MATEMÁTICA FINANCIERA</v>
      </c>
    </row>
    <row r="9" spans="1:20">
      <c r="A9" cm="1">
        <f t="array" ref="A9:H9">TRANSPOSE(_xlfn.UNIQUE(_xlfn._xlws.FILTER(MAE_ASIGNATURA[ID_NIVEL],MAE_ASIGNATURA[ID_CARRERA]=DET_ASIG!$B9,"No existe información")))</f>
        <v>1</v>
      </c>
      <c r="B9">
        <v>2</v>
      </c>
      <c r="C9">
        <v>3</v>
      </c>
      <c r="D9">
        <v>4</v>
      </c>
      <c r="E9">
        <v>5</v>
      </c>
      <c r="F9">
        <v>6</v>
      </c>
      <c r="G9">
        <v>7</v>
      </c>
      <c r="H9">
        <v>8</v>
      </c>
      <c r="O9" t="str" cm="1">
        <f t="array" ref="O9:S9">TRANSPOSE(_xlfn.UNIQUE(_xlfn._xlws.FILTER(MAE_ASIGNATURA[NOM_ASIG],(MAE_ASIGNATURA[ID_NIVEL]=DET_ASIG!$D9)*(MAE_ASIGNATURA[ID_CARRERA]=DET_ASIG!$B9),"No existe información")))</f>
        <v>LEGISLACIÓN LABORAL</v>
      </c>
      <c r="P9" t="str">
        <v>CONTABILIDAD INTERMEDIA</v>
      </c>
      <c r="Q9" t="str">
        <v>ESTADÍSTICA DESCRIPTIVA</v>
      </c>
      <c r="R9" t="str">
        <v>LEGISLACIÓN MERCANTIL Y SOCIETARIA</v>
      </c>
      <c r="S9" t="str">
        <v>MATEMÁTICA FINANCIERA</v>
      </c>
    </row>
    <row r="10" spans="1:20">
      <c r="A10" cm="1">
        <f t="array" ref="A10:H10">TRANSPOSE(_xlfn.UNIQUE(_xlfn._xlws.FILTER(MAE_ASIGNATURA[ID_NIVEL],MAE_ASIGNATURA[ID_CARRERA]=DET_ASIG!$B10,"No existe información")))</f>
        <v>1</v>
      </c>
      <c r="B10">
        <v>2</v>
      </c>
      <c r="C10">
        <v>3</v>
      </c>
      <c r="D10">
        <v>4</v>
      </c>
      <c r="E10">
        <v>5</v>
      </c>
      <c r="F10">
        <v>6</v>
      </c>
      <c r="G10">
        <v>7</v>
      </c>
      <c r="H10">
        <v>8</v>
      </c>
      <c r="O10" t="str" cm="1">
        <f t="array" ref="O10:S10">TRANSPOSE(_xlfn.UNIQUE(_xlfn._xlws.FILTER(MAE_ASIGNATURA[NOM_ASIG],(MAE_ASIGNATURA[ID_NIVEL]=DET_ASIG!$D10)*(MAE_ASIGNATURA[ID_CARRERA]=DET_ASIG!$B10),"No existe información")))</f>
        <v>LEGISLACIÓN LABORAL</v>
      </c>
      <c r="P10" t="str">
        <v>CONTABILIDAD INTERMEDIA</v>
      </c>
      <c r="Q10" t="str">
        <v>ESTADÍSTICA DESCRIPTIVA</v>
      </c>
      <c r="R10" t="str">
        <v>LEGISLACIÓN MERCANTIL Y SOCIETARIA</v>
      </c>
      <c r="S10" t="str">
        <v>MATEMÁTICA FINANCIERA</v>
      </c>
    </row>
    <row r="11" spans="1:20">
      <c r="A11" cm="1">
        <f t="array" ref="A11:H11">TRANSPOSE(_xlfn.UNIQUE(_xlfn._xlws.FILTER(MAE_ASIGNATURA[ID_NIVEL],MAE_ASIGNATURA[ID_CARRERA]=DET_ASIG!$B11,"No existe información")))</f>
        <v>1</v>
      </c>
      <c r="B11">
        <v>2</v>
      </c>
      <c r="C11">
        <v>3</v>
      </c>
      <c r="D11">
        <v>4</v>
      </c>
      <c r="E11">
        <v>5</v>
      </c>
      <c r="F11">
        <v>6</v>
      </c>
      <c r="G11">
        <v>7</v>
      </c>
      <c r="H11">
        <v>8</v>
      </c>
      <c r="O11" t="str" cm="1">
        <f t="array" ref="O11:S11">TRANSPOSE(_xlfn.UNIQUE(_xlfn._xlws.FILTER(MAE_ASIGNATURA[NOM_ASIG],(MAE_ASIGNATURA[ID_NIVEL]=DET_ASIG!$D11)*(MAE_ASIGNATURA[ID_CARRERA]=DET_ASIG!$B11),"No existe información")))</f>
        <v>LEGISLACIÓN LABORAL</v>
      </c>
      <c r="P11" t="str">
        <v>CONTABILIDAD INTERMEDIA</v>
      </c>
      <c r="Q11" t="str">
        <v>ESTADÍSTICA DESCRIPTIVA</v>
      </c>
      <c r="R11" t="str">
        <v>LEGISLACIÓN MERCANTIL Y SOCIETARIA</v>
      </c>
      <c r="S11" t="str">
        <v>MATEMÁTICA FINANCIERA</v>
      </c>
    </row>
    <row r="12" spans="1:20">
      <c r="A12" cm="1">
        <f t="array" ref="A12:H12">TRANSPOSE(_xlfn.UNIQUE(_xlfn._xlws.FILTER(MAE_ASIGNATURA[ID_NIVEL],MAE_ASIGNATURA[ID_CARRERA]=DET_ASIG!$B12,"No existe información")))</f>
        <v>1</v>
      </c>
      <c r="B12">
        <v>2</v>
      </c>
      <c r="C12">
        <v>3</v>
      </c>
      <c r="D12">
        <v>4</v>
      </c>
      <c r="E12">
        <v>5</v>
      </c>
      <c r="F12">
        <v>6</v>
      </c>
      <c r="G12">
        <v>7</v>
      </c>
      <c r="H12">
        <v>8</v>
      </c>
      <c r="O12" t="str" cm="1">
        <f t="array" ref="O12:T12">TRANSPOSE(_xlfn.UNIQUE(_xlfn._xlws.FILTER(MAE_ASIGNATURA[NOM_ASIG],(MAE_ASIGNATURA[ID_NIVEL]=DET_ASIG!$D12)*(MAE_ASIGNATURA[ID_CARRERA]=DET_ASIG!$B12),"No existe información")))</f>
        <v>CONTABILIDAD AVANZADA</v>
      </c>
      <c r="P12" t="str">
        <v>FUNDAMENTOS DE AUDITORÍA</v>
      </c>
      <c r="Q12" t="str">
        <v>ESTADÍSTICA APLICADA</v>
      </c>
      <c r="R12" t="str">
        <v>LEGISLACIÓN TRIBUTARIA</v>
      </c>
      <c r="S12" t="str">
        <v>SISTEMATIZACIÓN CONTABLE Y FINANCIERA</v>
      </c>
      <c r="T12" t="str">
        <v>PROCESO Y CONTROL DEL TALENTO HUMANO</v>
      </c>
    </row>
    <row r="13" spans="1:20">
      <c r="A13" cm="1">
        <f t="array" ref="A13:H13">TRANSPOSE(_xlfn.UNIQUE(_xlfn._xlws.FILTER(MAE_ASIGNATURA[ID_NIVEL],MAE_ASIGNATURA[ID_CARRERA]=DET_ASIG!$B13,"No existe información")))</f>
        <v>1</v>
      </c>
      <c r="B13">
        <v>2</v>
      </c>
      <c r="C13">
        <v>3</v>
      </c>
      <c r="D13">
        <v>4</v>
      </c>
      <c r="E13">
        <v>5</v>
      </c>
      <c r="F13">
        <v>6</v>
      </c>
      <c r="G13">
        <v>7</v>
      </c>
      <c r="H13">
        <v>8</v>
      </c>
      <c r="O13" t="str" cm="1">
        <f t="array" ref="O13:T13">TRANSPOSE(_xlfn.UNIQUE(_xlfn._xlws.FILTER(MAE_ASIGNATURA[NOM_ASIG],(MAE_ASIGNATURA[ID_NIVEL]=DET_ASIG!$D13)*(MAE_ASIGNATURA[ID_CARRERA]=DET_ASIG!$B13),"No existe información")))</f>
        <v>CONTABILIDAD AVANZADA</v>
      </c>
      <c r="P13" t="str">
        <v>FUNDAMENTOS DE AUDITORÍA</v>
      </c>
      <c r="Q13" t="str">
        <v>ESTADÍSTICA APLICADA</v>
      </c>
      <c r="R13" t="str">
        <v>LEGISLACIÓN TRIBUTARIA</v>
      </c>
      <c r="S13" t="str">
        <v>SISTEMATIZACIÓN CONTABLE Y FINANCIERA</v>
      </c>
      <c r="T13" t="str">
        <v>PROCESO Y CONTROL DEL TALENTO HUMANO</v>
      </c>
    </row>
    <row r="14" spans="1:20">
      <c r="A14" cm="1">
        <f t="array" ref="A14:H14">TRANSPOSE(_xlfn.UNIQUE(_xlfn._xlws.FILTER(MAE_ASIGNATURA[ID_NIVEL],MAE_ASIGNATURA[ID_CARRERA]=DET_ASIG!$B14,"No existe información")))</f>
        <v>1</v>
      </c>
      <c r="B14">
        <v>2</v>
      </c>
      <c r="C14">
        <v>3</v>
      </c>
      <c r="D14">
        <v>4</v>
      </c>
      <c r="E14">
        <v>5</v>
      </c>
      <c r="F14">
        <v>6</v>
      </c>
      <c r="G14">
        <v>7</v>
      </c>
      <c r="H14">
        <v>8</v>
      </c>
      <c r="O14" t="str" cm="1">
        <f t="array" ref="O14:T14">TRANSPOSE(_xlfn.UNIQUE(_xlfn._xlws.FILTER(MAE_ASIGNATURA[NOM_ASIG],(MAE_ASIGNATURA[ID_NIVEL]=DET_ASIG!$D14)*(MAE_ASIGNATURA[ID_CARRERA]=DET_ASIG!$B14),"No existe información")))</f>
        <v>CONTABILIDAD AVANZADA</v>
      </c>
      <c r="P14" t="str">
        <v>FUNDAMENTOS DE AUDITORÍA</v>
      </c>
      <c r="Q14" t="str">
        <v>ESTADÍSTICA APLICADA</v>
      </c>
      <c r="R14" t="str">
        <v>LEGISLACIÓN TRIBUTARIA</v>
      </c>
      <c r="S14" t="str">
        <v>SISTEMATIZACIÓN CONTABLE Y FINANCIERA</v>
      </c>
      <c r="T14" t="str">
        <v>PROCESO Y CONTROL DEL TALENTO HUMANO</v>
      </c>
    </row>
    <row r="15" spans="1:20">
      <c r="A15" cm="1">
        <f t="array" ref="A15:H15">TRANSPOSE(_xlfn.UNIQUE(_xlfn._xlws.FILTER(MAE_ASIGNATURA[ID_NIVEL],MAE_ASIGNATURA[ID_CARRERA]=DET_ASIG!$B15,"No existe información")))</f>
        <v>1</v>
      </c>
      <c r="B15">
        <v>2</v>
      </c>
      <c r="C15">
        <v>3</v>
      </c>
      <c r="D15">
        <v>4</v>
      </c>
      <c r="E15">
        <v>5</v>
      </c>
      <c r="F15">
        <v>6</v>
      </c>
      <c r="G15">
        <v>7</v>
      </c>
      <c r="H15">
        <v>8</v>
      </c>
      <c r="O15" t="str" cm="1">
        <f t="array" ref="O15:T15">TRANSPOSE(_xlfn.UNIQUE(_xlfn._xlws.FILTER(MAE_ASIGNATURA[NOM_ASIG],(MAE_ASIGNATURA[ID_NIVEL]=DET_ASIG!$D15)*(MAE_ASIGNATURA[ID_CARRERA]=DET_ASIG!$B15),"No existe información")))</f>
        <v>CONTABILIDAD AVANZADA</v>
      </c>
      <c r="P15" t="str">
        <v>FUNDAMENTOS DE AUDITORÍA</v>
      </c>
      <c r="Q15" t="str">
        <v>ESTADÍSTICA APLICADA</v>
      </c>
      <c r="R15" t="str">
        <v>LEGISLACIÓN TRIBUTARIA</v>
      </c>
      <c r="S15" t="str">
        <v>SISTEMATIZACIÓN CONTABLE Y FINANCIERA</v>
      </c>
      <c r="T15" t="str">
        <v>PROCESO Y CONTROL DEL TALENTO HUMANO</v>
      </c>
    </row>
    <row r="16" spans="1:20">
      <c r="A16" cm="1">
        <f t="array" ref="A16:H16">TRANSPOSE(_xlfn.UNIQUE(_xlfn._xlws.FILTER(MAE_ASIGNATURA[ID_NIVEL],MAE_ASIGNATURA[ID_CARRERA]=DET_ASIG!$B16,"No existe información")))</f>
        <v>1</v>
      </c>
      <c r="B16">
        <v>2</v>
      </c>
      <c r="C16">
        <v>3</v>
      </c>
      <c r="D16">
        <v>4</v>
      </c>
      <c r="E16">
        <v>5</v>
      </c>
      <c r="F16">
        <v>6</v>
      </c>
      <c r="G16">
        <v>7</v>
      </c>
      <c r="H16">
        <v>8</v>
      </c>
      <c r="O16" t="str" cm="1">
        <f t="array" ref="O16:T16">TRANSPOSE(_xlfn.UNIQUE(_xlfn._xlws.FILTER(MAE_ASIGNATURA[NOM_ASIG],(MAE_ASIGNATURA[ID_NIVEL]=DET_ASIG!$D16)*(MAE_ASIGNATURA[ID_CARRERA]=DET_ASIG!$B16),"No existe información")))</f>
        <v>CONTABILIDAD AVANZADA</v>
      </c>
      <c r="P16" t="str">
        <v>FUNDAMENTOS DE AUDITORÍA</v>
      </c>
      <c r="Q16" t="str">
        <v>ESTADÍSTICA APLICADA</v>
      </c>
      <c r="R16" t="str">
        <v>LEGISLACIÓN TRIBUTARIA</v>
      </c>
      <c r="S16" t="str">
        <v>SISTEMATIZACIÓN CONTABLE Y FINANCIERA</v>
      </c>
      <c r="T16" t="str">
        <v>PROCESO Y CONTROL DEL TALENTO HUMANO</v>
      </c>
    </row>
    <row r="17" spans="1:20">
      <c r="A17" t="e" cm="1">
        <f t="array" ref="A17">TRANSPOSE(_xlfn.UNIQUE(_xlfn._xlws.FILTER(MAE_ASIGNATURA[ID_NIVEL],MAE_ASIGNATURA[ID_CARRERA]=DET_ASIG!#REF!,"No existe información")))</f>
        <v>#REF!</v>
      </c>
      <c r="O17" t="e" cm="1">
        <f t="array" ref="O17">TRANSPOSE(_xlfn.UNIQUE(_xlfn._xlws.FILTER(MAE_ASIGNATURA[NOM_ASIG],(MAE_ASIGNATURA[ID_NIVEL]=DET_ASIG!#REF!)*(MAE_ASIGNATURA[ID_CARRERA]=DET_ASIG!#REF!),"No existe información")))</f>
        <v>#REF!</v>
      </c>
    </row>
    <row r="18" spans="1:20">
      <c r="A18" t="e" cm="1">
        <f t="array" ref="A18">TRANSPOSE(_xlfn.UNIQUE(_xlfn._xlws.FILTER(MAE_ASIGNATURA[ID_NIVEL],MAE_ASIGNATURA[ID_CARRERA]=DET_ASIG!#REF!,"No existe información")))</f>
        <v>#REF!</v>
      </c>
      <c r="O18" t="e" cm="1">
        <f t="array" ref="O18">TRANSPOSE(_xlfn.UNIQUE(_xlfn._xlws.FILTER(MAE_ASIGNATURA[NOM_ASIG],(MAE_ASIGNATURA[ID_NIVEL]=DET_ASIG!#REF!)*(MAE_ASIGNATURA[ID_CARRERA]=DET_ASIG!#REF!),"No existe información")))</f>
        <v>#REF!</v>
      </c>
    </row>
    <row r="19" spans="1:20">
      <c r="A19" t="e" cm="1">
        <f t="array" ref="A19">TRANSPOSE(_xlfn.UNIQUE(_xlfn._xlws.FILTER(MAE_ASIGNATURA[ID_NIVEL],MAE_ASIGNATURA[ID_CARRERA]=DET_ASIG!#REF!,"No existe información")))</f>
        <v>#REF!</v>
      </c>
      <c r="O19" t="e" cm="1">
        <f t="array" ref="O19">TRANSPOSE(_xlfn.UNIQUE(_xlfn._xlws.FILTER(MAE_ASIGNATURA[NOM_ASIG],(MAE_ASIGNATURA[ID_NIVEL]=DET_ASIG!#REF!)*(MAE_ASIGNATURA[ID_CARRERA]=DET_ASIG!#REF!),"No existe información")))</f>
        <v>#REF!</v>
      </c>
    </row>
    <row r="20" spans="1:20">
      <c r="A20" t="e" cm="1">
        <f t="array" ref="A20">TRANSPOSE(_xlfn.UNIQUE(_xlfn._xlws.FILTER(MAE_ASIGNATURA[ID_NIVEL],MAE_ASIGNATURA[ID_CARRERA]=DET_ASIG!#REF!,"No existe información")))</f>
        <v>#REF!</v>
      </c>
      <c r="O20" t="e" cm="1">
        <f t="array" ref="O20">TRANSPOSE(_xlfn.UNIQUE(_xlfn._xlws.FILTER(MAE_ASIGNATURA[NOM_ASIG],(MAE_ASIGNATURA[ID_NIVEL]=DET_ASIG!#REF!)*(MAE_ASIGNATURA[ID_CARRERA]=DET_ASIG!#REF!),"No existe información")))</f>
        <v>#REF!</v>
      </c>
    </row>
    <row r="21" spans="1:20">
      <c r="A21" t="e" cm="1">
        <f t="array" ref="A21">TRANSPOSE(_xlfn.UNIQUE(_xlfn._xlws.FILTER(MAE_ASIGNATURA[ID_NIVEL],MAE_ASIGNATURA[ID_CARRERA]=DET_ASIG!#REF!,"No existe información")))</f>
        <v>#REF!</v>
      </c>
      <c r="O21" t="e" cm="1">
        <f t="array" ref="O21">TRANSPOSE(_xlfn.UNIQUE(_xlfn._xlws.FILTER(MAE_ASIGNATURA[NOM_ASIG],(MAE_ASIGNATURA[ID_NIVEL]=DET_ASIG!#REF!)*(MAE_ASIGNATURA[ID_CARRERA]=DET_ASIG!#REF!),"No existe información")))</f>
        <v>#REF!</v>
      </c>
    </row>
    <row r="22" spans="1:20">
      <c r="A22" t="e" cm="1">
        <f t="array" ref="A22">TRANSPOSE(_xlfn.UNIQUE(_xlfn._xlws.FILTER(MAE_ASIGNATURA[ID_NIVEL],MAE_ASIGNATURA[ID_CARRERA]=DET_ASIG!#REF!,"No existe información")))</f>
        <v>#REF!</v>
      </c>
      <c r="O22" t="e" cm="1">
        <f t="array" ref="O22">TRANSPOSE(_xlfn.UNIQUE(_xlfn._xlws.FILTER(MAE_ASIGNATURA[NOM_ASIG],(MAE_ASIGNATURA[ID_NIVEL]=DET_ASIG!#REF!)*(MAE_ASIGNATURA[ID_CARRERA]=DET_ASIG!#REF!),"No existe información")))</f>
        <v>#REF!</v>
      </c>
    </row>
    <row r="23" spans="1:20">
      <c r="A23" t="e" cm="1">
        <f t="array" ref="A23">TRANSPOSE(_xlfn.UNIQUE(_xlfn._xlws.FILTER(MAE_ASIGNATURA[ID_NIVEL],MAE_ASIGNATURA[ID_CARRERA]=DET_ASIG!#REF!,"No existe información")))</f>
        <v>#REF!</v>
      </c>
      <c r="O23" t="e" cm="1">
        <f t="array" ref="O23">TRANSPOSE(_xlfn.UNIQUE(_xlfn._xlws.FILTER(MAE_ASIGNATURA[NOM_ASIG],(MAE_ASIGNATURA[ID_NIVEL]=DET_ASIG!#REF!)*(MAE_ASIGNATURA[ID_CARRERA]=DET_ASIG!#REF!),"No existe información")))</f>
        <v>#REF!</v>
      </c>
    </row>
    <row r="24" spans="1:20">
      <c r="A24" t="e" cm="1">
        <f t="array" ref="A24">TRANSPOSE(_xlfn.UNIQUE(_xlfn._xlws.FILTER(MAE_ASIGNATURA[ID_NIVEL],MAE_ASIGNATURA[ID_CARRERA]=DET_ASIG!#REF!,"No existe información")))</f>
        <v>#REF!</v>
      </c>
      <c r="O24" t="e" cm="1">
        <f t="array" ref="O24">TRANSPOSE(_xlfn.UNIQUE(_xlfn._xlws.FILTER(MAE_ASIGNATURA[NOM_ASIG],(MAE_ASIGNATURA[ID_NIVEL]=DET_ASIG!#REF!)*(MAE_ASIGNATURA[ID_CARRERA]=DET_ASIG!#REF!),"No existe información")))</f>
        <v>#REF!</v>
      </c>
    </row>
    <row r="25" spans="1:20">
      <c r="A25" t="e" cm="1">
        <f t="array" ref="A25">TRANSPOSE(_xlfn.UNIQUE(_xlfn._xlws.FILTER(MAE_ASIGNATURA[ID_NIVEL],MAE_ASIGNATURA[ID_CARRERA]=DET_ASIG!#REF!,"No existe información")))</f>
        <v>#REF!</v>
      </c>
      <c r="O25" t="e" cm="1">
        <f t="array" ref="O25">TRANSPOSE(_xlfn.UNIQUE(_xlfn._xlws.FILTER(MAE_ASIGNATURA[NOM_ASIG],(MAE_ASIGNATURA[ID_NIVEL]=DET_ASIG!#REF!)*(MAE_ASIGNATURA[ID_CARRERA]=DET_ASIG!#REF!),"No existe información")))</f>
        <v>#REF!</v>
      </c>
    </row>
    <row r="26" spans="1:20">
      <c r="A26" t="e" cm="1">
        <f t="array" ref="A26">TRANSPOSE(_xlfn.UNIQUE(_xlfn._xlws.FILTER(MAE_ASIGNATURA[ID_NIVEL],MAE_ASIGNATURA[ID_CARRERA]=DET_ASIG!#REF!,"No existe información")))</f>
        <v>#REF!</v>
      </c>
      <c r="O26" t="e" cm="1">
        <f t="array" ref="O26">TRANSPOSE(_xlfn.UNIQUE(_xlfn._xlws.FILTER(MAE_ASIGNATURA[NOM_ASIG],(MAE_ASIGNATURA[ID_NIVEL]=DET_ASIG!#REF!)*(MAE_ASIGNATURA[ID_CARRERA]=DET_ASIG!#REF!),"No existe información")))</f>
        <v>#REF!</v>
      </c>
    </row>
    <row r="27" spans="1:20">
      <c r="A27" t="e" cm="1">
        <f t="array" ref="A27">TRANSPOSE(_xlfn.UNIQUE(_xlfn._xlws.FILTER(MAE_ASIGNATURA[ID_NIVEL],MAE_ASIGNATURA[ID_CARRERA]=DET_ASIG!#REF!,"No existe información")))</f>
        <v>#REF!</v>
      </c>
      <c r="O27" t="e" cm="1">
        <f t="array" ref="O27">TRANSPOSE(_xlfn.UNIQUE(_xlfn._xlws.FILTER(MAE_ASIGNATURA[NOM_ASIG],(MAE_ASIGNATURA[ID_NIVEL]=DET_ASIG!#REF!)*(MAE_ASIGNATURA[ID_CARRERA]=DET_ASIG!#REF!),"No existe información")))</f>
        <v>#REF!</v>
      </c>
    </row>
    <row r="28" spans="1:20">
      <c r="A28" t="e" cm="1">
        <f t="array" ref="A28">TRANSPOSE(_xlfn.UNIQUE(_xlfn._xlws.FILTER(MAE_ASIGNATURA[ID_NIVEL],MAE_ASIGNATURA[ID_CARRERA]=DET_ASIG!#REF!,"No existe información")))</f>
        <v>#REF!</v>
      </c>
      <c r="O28" t="e" cm="1">
        <f t="array" ref="O28">TRANSPOSE(_xlfn.UNIQUE(_xlfn._xlws.FILTER(MAE_ASIGNATURA[NOM_ASIG],(MAE_ASIGNATURA[ID_NIVEL]=DET_ASIG!#REF!)*(MAE_ASIGNATURA[ID_CARRERA]=DET_ASIG!#REF!),"No existe información")))</f>
        <v>#REF!</v>
      </c>
    </row>
    <row r="29" spans="1:20">
      <c r="A29" t="e" cm="1">
        <f t="array" ref="A29">TRANSPOSE(_xlfn.UNIQUE(_xlfn._xlws.FILTER(MAE_ASIGNATURA[ID_NIVEL],MAE_ASIGNATURA[ID_CARRERA]=DET_ASIG!#REF!,"No existe información")))</f>
        <v>#REF!</v>
      </c>
      <c r="O29" t="e" cm="1">
        <f t="array" ref="O29">TRANSPOSE(_xlfn.UNIQUE(_xlfn._xlws.FILTER(MAE_ASIGNATURA[NOM_ASIG],(MAE_ASIGNATURA[ID_NIVEL]=DET_ASIG!#REF!)*(MAE_ASIGNATURA[ID_CARRERA]=DET_ASIG!#REF!),"No existe información")))</f>
        <v>#REF!</v>
      </c>
    </row>
    <row r="30" spans="1:20">
      <c r="A30" t="e" cm="1">
        <f t="array" ref="A30">TRANSPOSE(_xlfn.UNIQUE(_xlfn._xlws.FILTER(MAE_ASIGNATURA[ID_NIVEL],MAE_ASIGNATURA[ID_CARRERA]=DET_ASIG!#REF!,"No existe información")))</f>
        <v>#REF!</v>
      </c>
      <c r="O30" t="e" cm="1">
        <f t="array" ref="O30">TRANSPOSE(_xlfn.UNIQUE(_xlfn._xlws.FILTER(MAE_ASIGNATURA[NOM_ASIG],(MAE_ASIGNATURA[ID_NIVEL]=DET_ASIG!#REF!)*(MAE_ASIGNATURA[ID_CARRERA]=DET_ASIG!#REF!),"No existe información")))</f>
        <v>#REF!</v>
      </c>
    </row>
    <row r="31" spans="1:20">
      <c r="A31" t="e" cm="1">
        <f t="array" ref="A31">TRANSPOSE(_xlfn.UNIQUE(_xlfn._xlws.FILTER(MAE_ASIGNATURA[ID_NIVEL],MAE_ASIGNATURA[ID_CARRERA]=DET_ASIG!#REF!,"No existe información")))</f>
        <v>#REF!</v>
      </c>
      <c r="O31" t="e" cm="1">
        <f t="array" ref="O31">TRANSPOSE(_xlfn.UNIQUE(_xlfn._xlws.FILTER(MAE_ASIGNATURA[NOM_ASIG],(MAE_ASIGNATURA[ID_NIVEL]=DET_ASIG!#REF!)*(MAE_ASIGNATURA[ID_CARRERA]=DET_ASIG!#REF!),"No existe información")))</f>
        <v>#REF!</v>
      </c>
    </row>
    <row r="32" spans="1:20">
      <c r="A32" cm="1">
        <f t="array" ref="A32:H32">TRANSPOSE(_xlfn.UNIQUE(_xlfn._xlws.FILTER(MAE_ASIGNATURA[ID_NIVEL],MAE_ASIGNATURA[ID_CARRERA]=DET_ASIG!$B17,"No existe información")))</f>
        <v>1</v>
      </c>
      <c r="B32">
        <v>2</v>
      </c>
      <c r="C32">
        <v>3</v>
      </c>
      <c r="D32">
        <v>4</v>
      </c>
      <c r="E32">
        <v>5</v>
      </c>
      <c r="F32">
        <v>6</v>
      </c>
      <c r="G32">
        <v>7</v>
      </c>
      <c r="H32">
        <v>8</v>
      </c>
      <c r="O32" t="str" cm="1">
        <f t="array" ref="O32:T32">TRANSPOSE(_xlfn.UNIQUE(_xlfn._xlws.FILTER(MAE_ASIGNATURA[NOM_ASIG],(MAE_ASIGNATURA[ID_NIVEL]=DET_ASIG!$D17)*(MAE_ASIGNATURA[ID_CARRERA]=DET_ASIG!$B17),"No existe información")))</f>
        <v>CONTABILIDAD AVANZADA</v>
      </c>
      <c r="P32" t="str">
        <v>FUNDAMENTOS DE AUDITORÍA</v>
      </c>
      <c r="Q32" t="str">
        <v>ESTADÍSTICA APLICADA</v>
      </c>
      <c r="R32" t="str">
        <v>LEGISLACIÓN TRIBUTARIA</v>
      </c>
      <c r="S32" t="str">
        <v>SISTEMATIZACIÓN CONTABLE Y FINANCIERA</v>
      </c>
      <c r="T32" t="str">
        <v>PROCESO Y CONTROL DEL TALENTO HUMANO</v>
      </c>
    </row>
    <row r="33" spans="1:20">
      <c r="A33" cm="1">
        <f t="array" ref="A33:H33">TRANSPOSE(_xlfn.UNIQUE(_xlfn._xlws.FILTER(MAE_ASIGNATURA[ID_NIVEL],MAE_ASIGNATURA[ID_CARRERA]=DET_ASIG!$B18,"No existe información")))</f>
        <v>1</v>
      </c>
      <c r="B33">
        <v>2</v>
      </c>
      <c r="C33">
        <v>3</v>
      </c>
      <c r="D33">
        <v>4</v>
      </c>
      <c r="E33">
        <v>5</v>
      </c>
      <c r="F33">
        <v>6</v>
      </c>
      <c r="G33">
        <v>7</v>
      </c>
      <c r="H33">
        <v>8</v>
      </c>
      <c r="O33" t="str" cm="1">
        <f t="array" ref="O33:S33">TRANSPOSE(_xlfn.UNIQUE(_xlfn._xlws.FILTER(MAE_ASIGNATURA[NOM_ASIG],(MAE_ASIGNATURA[ID_NIVEL]=DET_ASIG!$D18)*(MAE_ASIGNATURA[ID_CARRERA]=DET_ASIG!$B18),"No existe información")))</f>
        <v>ADMINISTRACIÓN FINANCIERA</v>
      </c>
      <c r="P33" t="str">
        <v>CONTABILIDAD SUPERIOR</v>
      </c>
      <c r="Q33" t="str">
        <v>PLANIFICACIÓN Y DIRECCIÓN ESTRATÉGICA</v>
      </c>
      <c r="R33" t="str">
        <v>PLANIFICACIÓN DE AUDITORÍA</v>
      </c>
      <c r="S33" t="str">
        <v>TRIBUTACIÓN APLICADA</v>
      </c>
    </row>
    <row r="34" spans="1:20">
      <c r="A34" cm="1">
        <f t="array" ref="A34:H34">TRANSPOSE(_xlfn.UNIQUE(_xlfn._xlws.FILTER(MAE_ASIGNATURA[ID_NIVEL],MAE_ASIGNATURA[ID_CARRERA]=DET_ASIG!$B19,"No existe información")))</f>
        <v>1</v>
      </c>
      <c r="B34">
        <v>2</v>
      </c>
      <c r="C34">
        <v>3</v>
      </c>
      <c r="D34">
        <v>4</v>
      </c>
      <c r="E34">
        <v>5</v>
      </c>
      <c r="F34">
        <v>6</v>
      </c>
      <c r="G34">
        <v>7</v>
      </c>
      <c r="H34">
        <v>8</v>
      </c>
      <c r="O34" t="str" cm="1">
        <f t="array" ref="O34:S34">TRANSPOSE(_xlfn.UNIQUE(_xlfn._xlws.FILTER(MAE_ASIGNATURA[NOM_ASIG],(MAE_ASIGNATURA[ID_NIVEL]=DET_ASIG!$D19)*(MAE_ASIGNATURA[ID_CARRERA]=DET_ASIG!$B19),"No existe información")))</f>
        <v>ADMINISTRACIÓN FINANCIERA</v>
      </c>
      <c r="P34" t="str">
        <v>CONTABILIDAD SUPERIOR</v>
      </c>
      <c r="Q34" t="str">
        <v>PLANIFICACIÓN Y DIRECCIÓN ESTRATÉGICA</v>
      </c>
      <c r="R34" t="str">
        <v>PLANIFICACIÓN DE AUDITORÍA</v>
      </c>
      <c r="S34" t="str">
        <v>TRIBUTACIÓN APLICADA</v>
      </c>
    </row>
    <row r="35" spans="1:20">
      <c r="A35" cm="1">
        <f t="array" ref="A35:H35">TRANSPOSE(_xlfn.UNIQUE(_xlfn._xlws.FILTER(MAE_ASIGNATURA[ID_NIVEL],MAE_ASIGNATURA[ID_CARRERA]=DET_ASIG!$B20,"No existe información")))</f>
        <v>1</v>
      </c>
      <c r="B35">
        <v>2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O35" t="str" cm="1">
        <f t="array" ref="O35:S35">TRANSPOSE(_xlfn.UNIQUE(_xlfn._xlws.FILTER(MAE_ASIGNATURA[NOM_ASIG],(MAE_ASIGNATURA[ID_NIVEL]=DET_ASIG!$D20)*(MAE_ASIGNATURA[ID_CARRERA]=DET_ASIG!$B20),"No existe información")))</f>
        <v>ADMINISTRACIÓN FINANCIERA</v>
      </c>
      <c r="P35" t="str">
        <v>CONTABILIDAD SUPERIOR</v>
      </c>
      <c r="Q35" t="str">
        <v>PLANIFICACIÓN Y DIRECCIÓN ESTRATÉGICA</v>
      </c>
      <c r="R35" t="str">
        <v>PLANIFICACIÓN DE AUDITORÍA</v>
      </c>
      <c r="S35" t="str">
        <v>TRIBUTACIÓN APLICADA</v>
      </c>
    </row>
    <row r="36" spans="1:20">
      <c r="A36" cm="1">
        <f t="array" ref="A36:H36">TRANSPOSE(_xlfn.UNIQUE(_xlfn._xlws.FILTER(MAE_ASIGNATURA[ID_NIVEL],MAE_ASIGNATURA[ID_CARRERA]=DET_ASIG!$B21,"No existe información")))</f>
        <v>1</v>
      </c>
      <c r="B36">
        <v>2</v>
      </c>
      <c r="C36">
        <v>3</v>
      </c>
      <c r="D36">
        <v>4</v>
      </c>
      <c r="E36">
        <v>5</v>
      </c>
      <c r="F36">
        <v>6</v>
      </c>
      <c r="G36">
        <v>7</v>
      </c>
      <c r="H36">
        <v>8</v>
      </c>
      <c r="O36" t="str" cm="1">
        <f t="array" ref="O36:S36">TRANSPOSE(_xlfn.UNIQUE(_xlfn._xlws.FILTER(MAE_ASIGNATURA[NOM_ASIG],(MAE_ASIGNATURA[ID_NIVEL]=DET_ASIG!$D21)*(MAE_ASIGNATURA[ID_CARRERA]=DET_ASIG!$B21),"No existe información")))</f>
        <v>ADMINISTRACIÓN FINANCIERA</v>
      </c>
      <c r="P36" t="str">
        <v>CONTABILIDAD SUPERIOR</v>
      </c>
      <c r="Q36" t="str">
        <v>PLANIFICACIÓN Y DIRECCIÓN ESTRATÉGICA</v>
      </c>
      <c r="R36" t="str">
        <v>PLANIFICACIÓN DE AUDITORÍA</v>
      </c>
      <c r="S36" t="str">
        <v>TRIBUTACIÓN APLICADA</v>
      </c>
    </row>
    <row r="37" spans="1:20">
      <c r="A37" cm="1">
        <f t="array" ref="A37:H37">TRANSPOSE(_xlfn.UNIQUE(_xlfn._xlws.FILTER(MAE_ASIGNATURA[ID_NIVEL],MAE_ASIGNATURA[ID_CARRERA]=DET_ASIG!$B22,"No existe información")))</f>
        <v>1</v>
      </c>
      <c r="B37">
        <v>2</v>
      </c>
      <c r="C37">
        <v>3</v>
      </c>
      <c r="D37">
        <v>4</v>
      </c>
      <c r="E37">
        <v>5</v>
      </c>
      <c r="F37">
        <v>6</v>
      </c>
      <c r="G37">
        <v>7</v>
      </c>
      <c r="H37">
        <v>8</v>
      </c>
      <c r="O37" t="str" cm="1">
        <f t="array" ref="O37:S37">TRANSPOSE(_xlfn.UNIQUE(_xlfn._xlws.FILTER(MAE_ASIGNATURA[NOM_ASIG],(MAE_ASIGNATURA[ID_NIVEL]=DET_ASIG!$D22)*(MAE_ASIGNATURA[ID_CARRERA]=DET_ASIG!$B22),"No existe información")))</f>
        <v>ADMINISTRACIÓN FINANCIERA</v>
      </c>
      <c r="P37" t="str">
        <v>CONTABILIDAD SUPERIOR</v>
      </c>
      <c r="Q37" t="str">
        <v>PLANIFICACIÓN Y DIRECCIÓN ESTRATÉGICA</v>
      </c>
      <c r="R37" t="str">
        <v>PLANIFICACIÓN DE AUDITORÍA</v>
      </c>
      <c r="S37" t="str">
        <v>TRIBUTACIÓN APLICADA</v>
      </c>
    </row>
    <row r="38" spans="1:20">
      <c r="A38" cm="1">
        <f t="array" ref="A38:H38">TRANSPOSE(_xlfn.UNIQUE(_xlfn._xlws.FILTER(MAE_ASIGNATURA[ID_NIVEL],MAE_ASIGNATURA[ID_CARRERA]=DET_ASIG!$B23,"No existe información")))</f>
        <v>1</v>
      </c>
      <c r="B38">
        <v>2</v>
      </c>
      <c r="C38">
        <v>3</v>
      </c>
      <c r="D38">
        <v>4</v>
      </c>
      <c r="E38">
        <v>5</v>
      </c>
      <c r="F38">
        <v>6</v>
      </c>
      <c r="G38">
        <v>7</v>
      </c>
      <c r="H38">
        <v>8</v>
      </c>
      <c r="O38" t="str" cm="1">
        <f t="array" ref="O38:S38">TRANSPOSE(_xlfn.UNIQUE(_xlfn._xlws.FILTER(MAE_ASIGNATURA[NOM_ASIG],(MAE_ASIGNATURA[ID_NIVEL]=DET_ASIG!$D23)*(MAE_ASIGNATURA[ID_CARRERA]=DET_ASIG!$B23),"No existe información")))</f>
        <v>ADMINISTRACIÓN FINANCIERA</v>
      </c>
      <c r="P38" t="str">
        <v>CONTABILIDAD SUPERIOR</v>
      </c>
      <c r="Q38" t="str">
        <v>PLANIFICACIÓN Y DIRECCIÓN ESTRATÉGICA</v>
      </c>
      <c r="R38" t="str">
        <v>PLANIFICACIÓN DE AUDITORÍA</v>
      </c>
      <c r="S38" t="str">
        <v>TRIBUTACIÓN APLICADA</v>
      </c>
    </row>
    <row r="39" spans="1:20">
      <c r="A39" cm="1">
        <f t="array" ref="A39:H39">TRANSPOSE(_xlfn.UNIQUE(_xlfn._xlws.FILTER(MAE_ASIGNATURA[ID_NIVEL],MAE_ASIGNATURA[ID_CARRERA]=DET_ASIG!$B24,"No existe información")))</f>
        <v>1</v>
      </c>
      <c r="B39">
        <v>2</v>
      </c>
      <c r="C39">
        <v>3</v>
      </c>
      <c r="D39">
        <v>4</v>
      </c>
      <c r="E39">
        <v>5</v>
      </c>
      <c r="F39">
        <v>6</v>
      </c>
      <c r="G39">
        <v>7</v>
      </c>
      <c r="H39">
        <v>8</v>
      </c>
      <c r="O39" t="str" cm="1">
        <f t="array" ref="O39:S39">TRANSPOSE(_xlfn.UNIQUE(_xlfn._xlws.FILTER(MAE_ASIGNATURA[NOM_ASIG],(MAE_ASIGNATURA[ID_NIVEL]=DET_ASIG!$D24)*(MAE_ASIGNATURA[ID_CARRERA]=DET_ASIG!$B24),"No existe información")))</f>
        <v>ADMINISTRACIÓN FINANCIERA</v>
      </c>
      <c r="P39" t="str">
        <v>CONTABILIDAD SUPERIOR</v>
      </c>
      <c r="Q39" t="str">
        <v>PLANIFICACIÓN Y DIRECCIÓN ESTRATÉGICA</v>
      </c>
      <c r="R39" t="str">
        <v>PLANIFICACIÓN DE AUDITORÍA</v>
      </c>
      <c r="S39" t="str">
        <v>TRIBUTACIÓN APLICADA</v>
      </c>
    </row>
    <row r="40" spans="1:20">
      <c r="A40" cm="1">
        <f t="array" ref="A40:H40">TRANSPOSE(_xlfn.UNIQUE(_xlfn._xlws.FILTER(MAE_ASIGNATURA[ID_NIVEL],MAE_ASIGNATURA[ID_CARRERA]=DET_ASIG!$B25,"No existe información")))</f>
        <v>1</v>
      </c>
      <c r="B40">
        <v>2</v>
      </c>
      <c r="C40">
        <v>3</v>
      </c>
      <c r="D40">
        <v>4</v>
      </c>
      <c r="E40">
        <v>5</v>
      </c>
      <c r="F40">
        <v>6</v>
      </c>
      <c r="G40">
        <v>7</v>
      </c>
      <c r="H40">
        <v>8</v>
      </c>
      <c r="O40" t="str" cm="1">
        <f t="array" ref="O40:S40">TRANSPOSE(_xlfn.UNIQUE(_xlfn._xlws.FILTER(MAE_ASIGNATURA[NOM_ASIG],(MAE_ASIGNATURA[ID_NIVEL]=DET_ASIG!$D25)*(MAE_ASIGNATURA[ID_CARRERA]=DET_ASIG!$B25),"No existe información")))</f>
        <v>CONTABILIDAD DE COSTOS</v>
      </c>
      <c r="P40" t="str">
        <v>CONTABILIDAD ESPECIALIZADA</v>
      </c>
      <c r="Q40" t="str">
        <v>AUDITORÍA FINANCIERA</v>
      </c>
      <c r="R40" t="str">
        <v>ORGANIZACIÓN Y MÉTODOS</v>
      </c>
      <c r="S40" t="str">
        <v>PRESUPUESTO</v>
      </c>
    </row>
    <row r="41" spans="1:20">
      <c r="A41" cm="1">
        <f t="array" ref="A41:H41">TRANSPOSE(_xlfn.UNIQUE(_xlfn._xlws.FILTER(MAE_ASIGNATURA[ID_NIVEL],MAE_ASIGNATURA[ID_CARRERA]=DET_ASIG!$B26,"No existe información")))</f>
        <v>1</v>
      </c>
      <c r="B41">
        <v>2</v>
      </c>
      <c r="C41">
        <v>3</v>
      </c>
      <c r="D41">
        <v>4</v>
      </c>
      <c r="E41">
        <v>5</v>
      </c>
      <c r="F41">
        <v>6</v>
      </c>
      <c r="G41">
        <v>7</v>
      </c>
      <c r="H41">
        <v>8</v>
      </c>
      <c r="O41" t="str" cm="1">
        <f t="array" ref="O41:S41">TRANSPOSE(_xlfn.UNIQUE(_xlfn._xlws.FILTER(MAE_ASIGNATURA[NOM_ASIG],(MAE_ASIGNATURA[ID_NIVEL]=DET_ASIG!$D26)*(MAE_ASIGNATURA[ID_CARRERA]=DET_ASIG!$B26),"No existe información")))</f>
        <v>CONTABILIDAD DE COSTOS</v>
      </c>
      <c r="P41" t="str">
        <v>CONTABILIDAD ESPECIALIZADA</v>
      </c>
      <c r="Q41" t="str">
        <v>AUDITORÍA FINANCIERA</v>
      </c>
      <c r="R41" t="str">
        <v>ORGANIZACIÓN Y MÉTODOS</v>
      </c>
      <c r="S41" t="str">
        <v>PRESUPUESTO</v>
      </c>
    </row>
    <row r="42" spans="1:20">
      <c r="A42" cm="1">
        <f t="array" ref="A42:H42">TRANSPOSE(_xlfn.UNIQUE(_xlfn._xlws.FILTER(MAE_ASIGNATURA[ID_NIVEL],MAE_ASIGNATURA[ID_CARRERA]=DET_ASIG!$B27,"No existe información")))</f>
        <v>1</v>
      </c>
      <c r="B42">
        <v>2</v>
      </c>
      <c r="C42">
        <v>3</v>
      </c>
      <c r="D42">
        <v>4</v>
      </c>
      <c r="E42">
        <v>5</v>
      </c>
      <c r="F42">
        <v>6</v>
      </c>
      <c r="G42">
        <v>7</v>
      </c>
      <c r="H42">
        <v>8</v>
      </c>
      <c r="O42" t="str" cm="1">
        <f t="array" ref="O42:S42">TRANSPOSE(_xlfn.UNIQUE(_xlfn._xlws.FILTER(MAE_ASIGNATURA[NOM_ASIG],(MAE_ASIGNATURA[ID_NIVEL]=DET_ASIG!$D27)*(MAE_ASIGNATURA[ID_CARRERA]=DET_ASIG!$B27),"No existe información")))</f>
        <v>CONTABILIDAD DE COSTOS</v>
      </c>
      <c r="P42" t="str">
        <v>CONTABILIDAD ESPECIALIZADA</v>
      </c>
      <c r="Q42" t="str">
        <v>AUDITORÍA FINANCIERA</v>
      </c>
      <c r="R42" t="str">
        <v>ORGANIZACIÓN Y MÉTODOS</v>
      </c>
      <c r="S42" t="str">
        <v>PRESUPUESTO</v>
      </c>
    </row>
    <row r="43" spans="1:20">
      <c r="A43" cm="1">
        <f t="array" ref="A43:H43">TRANSPOSE(_xlfn.UNIQUE(_xlfn._xlws.FILTER(MAE_ASIGNATURA[ID_NIVEL],MAE_ASIGNATURA[ID_CARRERA]=DET_ASIG!$B28,"No existe información")))</f>
        <v>1</v>
      </c>
      <c r="B43">
        <v>2</v>
      </c>
      <c r="C43">
        <v>3</v>
      </c>
      <c r="D43">
        <v>4</v>
      </c>
      <c r="E43">
        <v>5</v>
      </c>
      <c r="F43">
        <v>6</v>
      </c>
      <c r="G43">
        <v>7</v>
      </c>
      <c r="H43">
        <v>8</v>
      </c>
      <c r="O43" t="str" cm="1">
        <f t="array" ref="O43:S43">TRANSPOSE(_xlfn.UNIQUE(_xlfn._xlws.FILTER(MAE_ASIGNATURA[NOM_ASIG],(MAE_ASIGNATURA[ID_NIVEL]=DET_ASIG!$D28)*(MAE_ASIGNATURA[ID_CARRERA]=DET_ASIG!$B28),"No existe información")))</f>
        <v>CONTABILIDAD DE COSTOS</v>
      </c>
      <c r="P43" t="str">
        <v>CONTABILIDAD ESPECIALIZADA</v>
      </c>
      <c r="Q43" t="str">
        <v>AUDITORÍA FINANCIERA</v>
      </c>
      <c r="R43" t="str">
        <v>ORGANIZACIÓN Y MÉTODOS</v>
      </c>
      <c r="S43" t="str">
        <v>PRESUPUESTO</v>
      </c>
    </row>
    <row r="44" spans="1:20">
      <c r="A44" cm="1">
        <f t="array" ref="A44:H44">TRANSPOSE(_xlfn.UNIQUE(_xlfn._xlws.FILTER(MAE_ASIGNATURA[ID_NIVEL],MAE_ASIGNATURA[ID_CARRERA]=DET_ASIG!$B29,"No existe información")))</f>
        <v>1</v>
      </c>
      <c r="B44">
        <v>2</v>
      </c>
      <c r="C44">
        <v>3</v>
      </c>
      <c r="D44">
        <v>4</v>
      </c>
      <c r="E44">
        <v>5</v>
      </c>
      <c r="F44">
        <v>6</v>
      </c>
      <c r="G44">
        <v>7</v>
      </c>
      <c r="H44">
        <v>8</v>
      </c>
      <c r="O44" t="str" cm="1">
        <f t="array" ref="O44:S44">TRANSPOSE(_xlfn.UNIQUE(_xlfn._xlws.FILTER(MAE_ASIGNATURA[NOM_ASIG],(MAE_ASIGNATURA[ID_NIVEL]=DET_ASIG!$D29)*(MAE_ASIGNATURA[ID_CARRERA]=DET_ASIG!$B29),"No existe información")))</f>
        <v>CONTABILIDAD DE COSTOS</v>
      </c>
      <c r="P44" t="str">
        <v>CONTABILIDAD ESPECIALIZADA</v>
      </c>
      <c r="Q44" t="str">
        <v>AUDITORÍA FINANCIERA</v>
      </c>
      <c r="R44" t="str">
        <v>ORGANIZACIÓN Y MÉTODOS</v>
      </c>
      <c r="S44" t="str">
        <v>PRESUPUESTO</v>
      </c>
    </row>
    <row r="45" spans="1:20">
      <c r="A45" cm="1">
        <f t="array" ref="A45:H45">TRANSPOSE(_xlfn.UNIQUE(_xlfn._xlws.FILTER(MAE_ASIGNATURA[ID_NIVEL],MAE_ASIGNATURA[ID_CARRERA]=DET_ASIG!$B30,"No existe información")))</f>
        <v>1</v>
      </c>
      <c r="B45">
        <v>2</v>
      </c>
      <c r="C45">
        <v>3</v>
      </c>
      <c r="D45">
        <v>4</v>
      </c>
      <c r="E45">
        <v>5</v>
      </c>
      <c r="F45">
        <v>6</v>
      </c>
      <c r="G45">
        <v>7</v>
      </c>
      <c r="H45">
        <v>8</v>
      </c>
      <c r="O45" t="str" cm="1">
        <f t="array" ref="O45:S45">TRANSPOSE(_xlfn.UNIQUE(_xlfn._xlws.FILTER(MAE_ASIGNATURA[NOM_ASIG],(MAE_ASIGNATURA[ID_NIVEL]=DET_ASIG!$D30)*(MAE_ASIGNATURA[ID_CARRERA]=DET_ASIG!$B30),"No existe información")))</f>
        <v>CONTABILIDAD DE COSTOS</v>
      </c>
      <c r="P45" t="str">
        <v>CONTABILIDAD ESPECIALIZADA</v>
      </c>
      <c r="Q45" t="str">
        <v>AUDITORÍA FINANCIERA</v>
      </c>
      <c r="R45" t="str">
        <v>ORGANIZACIÓN Y MÉTODOS</v>
      </c>
      <c r="S45" t="str">
        <v>PRESUPUESTO</v>
      </c>
    </row>
    <row r="46" spans="1:20">
      <c r="A46" cm="1">
        <f t="array" ref="A46:H46">TRANSPOSE(_xlfn.UNIQUE(_xlfn._xlws.FILTER(MAE_ASIGNATURA[ID_NIVEL],MAE_ASIGNATURA[ID_CARRERA]=DET_ASIG!$B31,"No existe información")))</f>
        <v>1</v>
      </c>
      <c r="B46">
        <v>2</v>
      </c>
      <c r="C46">
        <v>3</v>
      </c>
      <c r="D46">
        <v>4</v>
      </c>
      <c r="E46">
        <v>5</v>
      </c>
      <c r="F46">
        <v>6</v>
      </c>
      <c r="G46">
        <v>7</v>
      </c>
      <c r="H46">
        <v>8</v>
      </c>
      <c r="O46" t="str" cm="1">
        <f t="array" ref="O46:S46">TRANSPOSE(_xlfn.UNIQUE(_xlfn._xlws.FILTER(MAE_ASIGNATURA[NOM_ASIG],(MAE_ASIGNATURA[ID_NIVEL]=DET_ASIG!$D31)*(MAE_ASIGNATURA[ID_CARRERA]=DET_ASIG!$B31),"No existe información")))</f>
        <v>CONTABILIDAD DE COSTOS</v>
      </c>
      <c r="P46" t="str">
        <v>CONTABILIDAD ESPECIALIZADA</v>
      </c>
      <c r="Q46" t="str">
        <v>AUDITORÍA FINANCIERA</v>
      </c>
      <c r="R46" t="str">
        <v>ORGANIZACIÓN Y MÉTODOS</v>
      </c>
      <c r="S46" t="str">
        <v>PRESUPUESTO</v>
      </c>
    </row>
    <row r="47" spans="1:20">
      <c r="A47" cm="1">
        <f t="array" ref="A47:H47">TRANSPOSE(_xlfn.UNIQUE(_xlfn._xlws.FILTER(MAE_ASIGNATURA[ID_NIVEL],MAE_ASIGNATURA[ID_CARRERA]=DET_ASIG!$B32,"No existe información")))</f>
        <v>1</v>
      </c>
      <c r="B47">
        <v>2</v>
      </c>
      <c r="C47">
        <v>3</v>
      </c>
      <c r="D47">
        <v>4</v>
      </c>
      <c r="E47">
        <v>5</v>
      </c>
      <c r="F47">
        <v>6</v>
      </c>
      <c r="G47">
        <v>7</v>
      </c>
      <c r="H47">
        <v>8</v>
      </c>
      <c r="O47" t="str" cm="1">
        <f t="array" ref="O47:S47">TRANSPOSE(_xlfn.UNIQUE(_xlfn._xlws.FILTER(MAE_ASIGNATURA[NOM_ASIG],(MAE_ASIGNATURA[ID_NIVEL]=DET_ASIG!$D32)*(MAE_ASIGNATURA[ID_CARRERA]=DET_ASIG!$B32),"No existe información")))</f>
        <v>CONTABILIDAD DE COSTOS</v>
      </c>
      <c r="P47" t="str">
        <v>CONTABILIDAD ESPECIALIZADA</v>
      </c>
      <c r="Q47" t="str">
        <v>AUDITORÍA FINANCIERA</v>
      </c>
      <c r="R47" t="str">
        <v>ORGANIZACIÓN Y MÉTODOS</v>
      </c>
      <c r="S47" t="str">
        <v>PRESUPUESTO</v>
      </c>
    </row>
    <row r="48" spans="1:20">
      <c r="A48" cm="1">
        <f t="array" ref="A48:H48">TRANSPOSE(_xlfn.UNIQUE(_xlfn._xlws.FILTER(MAE_ASIGNATURA[ID_NIVEL],MAE_ASIGNATURA[ID_CARRERA]=DET_ASIG!$B33,"No existe información")))</f>
        <v>1</v>
      </c>
      <c r="B48">
        <v>2</v>
      </c>
      <c r="C48">
        <v>3</v>
      </c>
      <c r="D48">
        <v>4</v>
      </c>
      <c r="E48">
        <v>5</v>
      </c>
      <c r="F48">
        <v>6</v>
      </c>
      <c r="G48">
        <v>7</v>
      </c>
      <c r="H48">
        <v>8</v>
      </c>
      <c r="O48" t="str" cm="1">
        <f t="array" ref="O48:T48">TRANSPOSE(_xlfn.UNIQUE(_xlfn._xlws.FILTER(MAE_ASIGNATURA[NOM_ASIG],(MAE_ASIGNATURA[ID_NIVEL]=DET_ASIG!$D33)*(MAE_ASIGNATURA[ID_CARRERA]=DET_ASIG!$B33),"No existe información")))</f>
        <v>MARCO INTEGRADO E INDICADORES DE GESTIÓN</v>
      </c>
      <c r="P48" t="str">
        <v>CONTABILIDAD DE COSTOS AVANZADA</v>
      </c>
      <c r="Q48" t="str">
        <v>CONTABILIDAD GUBERNAMENTAL</v>
      </c>
      <c r="R48" t="str">
        <v>FORMULACIÓN DE PROYECTOS SOCIALES Y PRODUCTIVOS</v>
      </c>
      <c r="S48" t="str">
        <v>GESTIÓN DE LA CALIDAD Y ESTANDARIZACIÓN</v>
      </c>
      <c r="T48" t="str">
        <v>INVESTIGACIÓN OPERATIVA</v>
      </c>
    </row>
    <row r="49" spans="1:20">
      <c r="A49" cm="1">
        <f t="array" ref="A49:H49">TRANSPOSE(_xlfn.UNIQUE(_xlfn._xlws.FILTER(MAE_ASIGNATURA[ID_NIVEL],MAE_ASIGNATURA[ID_CARRERA]=DET_ASIG!$B34,"No existe información")))</f>
        <v>1</v>
      </c>
      <c r="B49">
        <v>2</v>
      </c>
      <c r="C49">
        <v>3</v>
      </c>
      <c r="D49">
        <v>4</v>
      </c>
      <c r="E49">
        <v>5</v>
      </c>
      <c r="F49">
        <v>6</v>
      </c>
      <c r="G49">
        <v>7</v>
      </c>
      <c r="H49">
        <v>8</v>
      </c>
      <c r="O49" t="str" cm="1">
        <f t="array" ref="O49:T49">TRANSPOSE(_xlfn.UNIQUE(_xlfn._xlws.FILTER(MAE_ASIGNATURA[NOM_ASIG],(MAE_ASIGNATURA[ID_NIVEL]=DET_ASIG!$D34)*(MAE_ASIGNATURA[ID_CARRERA]=DET_ASIG!$B34),"No existe información")))</f>
        <v>MARCO INTEGRADO E INDICADORES DE GESTIÓN</v>
      </c>
      <c r="P49" t="str">
        <v>CONTABILIDAD DE COSTOS AVANZADA</v>
      </c>
      <c r="Q49" t="str">
        <v>CONTABILIDAD GUBERNAMENTAL</v>
      </c>
      <c r="R49" t="str">
        <v>FORMULACIÓN DE PROYECTOS SOCIALES Y PRODUCTIVOS</v>
      </c>
      <c r="S49" t="str">
        <v>GESTIÓN DE LA CALIDAD Y ESTANDARIZACIÓN</v>
      </c>
      <c r="T49" t="str">
        <v>INVESTIGACIÓN OPERATIVA</v>
      </c>
    </row>
    <row r="50" spans="1:20">
      <c r="A50" cm="1">
        <f t="array" ref="A50:H50">TRANSPOSE(_xlfn.UNIQUE(_xlfn._xlws.FILTER(MAE_ASIGNATURA[ID_NIVEL],MAE_ASIGNATURA[ID_CARRERA]=DET_ASIG!$B35,"No existe información")))</f>
        <v>1</v>
      </c>
      <c r="B50">
        <v>2</v>
      </c>
      <c r="C50">
        <v>3</v>
      </c>
      <c r="D50">
        <v>4</v>
      </c>
      <c r="E50">
        <v>5</v>
      </c>
      <c r="F50">
        <v>6</v>
      </c>
      <c r="G50">
        <v>7</v>
      </c>
      <c r="H50">
        <v>8</v>
      </c>
      <c r="O50" t="str" cm="1">
        <f t="array" ref="O50:T50">TRANSPOSE(_xlfn.UNIQUE(_xlfn._xlws.FILTER(MAE_ASIGNATURA[NOM_ASIG],(MAE_ASIGNATURA[ID_NIVEL]=DET_ASIG!$D35)*(MAE_ASIGNATURA[ID_CARRERA]=DET_ASIG!$B35),"No existe información")))</f>
        <v>MARCO INTEGRADO E INDICADORES DE GESTIÓN</v>
      </c>
      <c r="P50" t="str">
        <v>CONTABILIDAD DE COSTOS AVANZADA</v>
      </c>
      <c r="Q50" t="str">
        <v>CONTABILIDAD GUBERNAMENTAL</v>
      </c>
      <c r="R50" t="str">
        <v>FORMULACIÓN DE PROYECTOS SOCIALES Y PRODUCTIVOS</v>
      </c>
      <c r="S50" t="str">
        <v>GESTIÓN DE LA CALIDAD Y ESTANDARIZACIÓN</v>
      </c>
      <c r="T50" t="str">
        <v>INVESTIGACIÓN OPERATIVA</v>
      </c>
    </row>
    <row r="51" spans="1:20">
      <c r="A51" cm="1">
        <f t="array" ref="A51:H51">TRANSPOSE(_xlfn.UNIQUE(_xlfn._xlws.FILTER(MAE_ASIGNATURA[ID_NIVEL],MAE_ASIGNATURA[ID_CARRERA]=DET_ASIG!$B36,"No existe información")))</f>
        <v>1</v>
      </c>
      <c r="B51">
        <v>2</v>
      </c>
      <c r="C51">
        <v>3</v>
      </c>
      <c r="D51">
        <v>4</v>
      </c>
      <c r="E51">
        <v>5</v>
      </c>
      <c r="F51">
        <v>6</v>
      </c>
      <c r="G51">
        <v>7</v>
      </c>
      <c r="H51">
        <v>8</v>
      </c>
      <c r="O51" t="str" cm="1">
        <f t="array" ref="O51:T51">TRANSPOSE(_xlfn.UNIQUE(_xlfn._xlws.FILTER(MAE_ASIGNATURA[NOM_ASIG],(MAE_ASIGNATURA[ID_NIVEL]=DET_ASIG!$D36)*(MAE_ASIGNATURA[ID_CARRERA]=DET_ASIG!$B36),"No existe información")))</f>
        <v>MARCO INTEGRADO E INDICADORES DE GESTIÓN</v>
      </c>
      <c r="P51" t="str">
        <v>CONTABILIDAD DE COSTOS AVANZADA</v>
      </c>
      <c r="Q51" t="str">
        <v>CONTABILIDAD GUBERNAMENTAL</v>
      </c>
      <c r="R51" t="str">
        <v>FORMULACIÓN DE PROYECTOS SOCIALES Y PRODUCTIVOS</v>
      </c>
      <c r="S51" t="str">
        <v>GESTIÓN DE LA CALIDAD Y ESTANDARIZACIÓN</v>
      </c>
      <c r="T51" t="str">
        <v>INVESTIGACIÓN OPERATIVA</v>
      </c>
    </row>
    <row r="52" spans="1:20">
      <c r="A52" cm="1">
        <f t="array" ref="A52:H52">TRANSPOSE(_xlfn.UNIQUE(_xlfn._xlws.FILTER(MAE_ASIGNATURA[ID_NIVEL],MAE_ASIGNATURA[ID_CARRERA]=DET_ASIG!$B37,"No existe información")))</f>
        <v>1</v>
      </c>
      <c r="B52">
        <v>2</v>
      </c>
      <c r="C52">
        <v>3</v>
      </c>
      <c r="D52">
        <v>4</v>
      </c>
      <c r="E52">
        <v>5</v>
      </c>
      <c r="F52">
        <v>6</v>
      </c>
      <c r="G52">
        <v>7</v>
      </c>
      <c r="H52">
        <v>8</v>
      </c>
      <c r="O52" t="str" cm="1">
        <f t="array" ref="O52:T52">TRANSPOSE(_xlfn.UNIQUE(_xlfn._xlws.FILTER(MAE_ASIGNATURA[NOM_ASIG],(MAE_ASIGNATURA[ID_NIVEL]=DET_ASIG!$D37)*(MAE_ASIGNATURA[ID_CARRERA]=DET_ASIG!$B37),"No existe información")))</f>
        <v>MARCO INTEGRADO E INDICADORES DE GESTIÓN</v>
      </c>
      <c r="P52" t="str">
        <v>CONTABILIDAD DE COSTOS AVANZADA</v>
      </c>
      <c r="Q52" t="str">
        <v>CONTABILIDAD GUBERNAMENTAL</v>
      </c>
      <c r="R52" t="str">
        <v>FORMULACIÓN DE PROYECTOS SOCIALES Y PRODUCTIVOS</v>
      </c>
      <c r="S52" t="str">
        <v>GESTIÓN DE LA CALIDAD Y ESTANDARIZACIÓN</v>
      </c>
      <c r="T52" t="str">
        <v>INVESTIGACIÓN OPERATIVA</v>
      </c>
    </row>
    <row r="53" spans="1:20">
      <c r="A53" cm="1">
        <f t="array" ref="A53:H53">TRANSPOSE(_xlfn.UNIQUE(_xlfn._xlws.FILTER(MAE_ASIGNATURA[ID_NIVEL],MAE_ASIGNATURA[ID_CARRERA]=DET_ASIG!$B38,"No existe información")))</f>
        <v>1</v>
      </c>
      <c r="B53">
        <v>2</v>
      </c>
      <c r="C53">
        <v>3</v>
      </c>
      <c r="D53">
        <v>4</v>
      </c>
      <c r="E53">
        <v>5</v>
      </c>
      <c r="F53">
        <v>6</v>
      </c>
      <c r="G53">
        <v>7</v>
      </c>
      <c r="H53">
        <v>8</v>
      </c>
      <c r="O53" t="str" cm="1">
        <f t="array" ref="O53:T53">TRANSPOSE(_xlfn.UNIQUE(_xlfn._xlws.FILTER(MAE_ASIGNATURA[NOM_ASIG],(MAE_ASIGNATURA[ID_NIVEL]=DET_ASIG!$D38)*(MAE_ASIGNATURA[ID_CARRERA]=DET_ASIG!$B38),"No existe información")))</f>
        <v>MARCO INTEGRADO E INDICADORES DE GESTIÓN</v>
      </c>
      <c r="P53" t="str">
        <v>CONTABILIDAD DE COSTOS AVANZADA</v>
      </c>
      <c r="Q53" t="str">
        <v>CONTABILIDAD GUBERNAMENTAL</v>
      </c>
      <c r="R53" t="str">
        <v>FORMULACIÓN DE PROYECTOS SOCIALES Y PRODUCTIVOS</v>
      </c>
      <c r="S53" t="str">
        <v>GESTIÓN DE LA CALIDAD Y ESTANDARIZACIÓN</v>
      </c>
      <c r="T53" t="str">
        <v>INVESTIGACIÓN OPERATIVA</v>
      </c>
    </row>
    <row r="54" spans="1:20">
      <c r="A54" cm="1">
        <f t="array" ref="A54:H54">TRANSPOSE(_xlfn.UNIQUE(_xlfn._xlws.FILTER(MAE_ASIGNATURA[ID_NIVEL],MAE_ASIGNATURA[ID_CARRERA]=DET_ASIG!$B39,"No existe información")))</f>
        <v>1</v>
      </c>
      <c r="B54">
        <v>2</v>
      </c>
      <c r="C54">
        <v>3</v>
      </c>
      <c r="D54">
        <v>4</v>
      </c>
      <c r="E54">
        <v>5</v>
      </c>
      <c r="F54">
        <v>6</v>
      </c>
      <c r="G54">
        <v>7</v>
      </c>
      <c r="H54">
        <v>8</v>
      </c>
      <c r="O54" t="str" cm="1">
        <f t="array" ref="O54:T54">TRANSPOSE(_xlfn.UNIQUE(_xlfn._xlws.FILTER(MAE_ASIGNATURA[NOM_ASIG],(MAE_ASIGNATURA[ID_NIVEL]=DET_ASIG!$D39)*(MAE_ASIGNATURA[ID_CARRERA]=DET_ASIG!$B39),"No existe información")))</f>
        <v>MARCO INTEGRADO E INDICADORES DE GESTIÓN</v>
      </c>
      <c r="P54" t="str">
        <v>CONTABILIDAD DE COSTOS AVANZADA</v>
      </c>
      <c r="Q54" t="str">
        <v>CONTABILIDAD GUBERNAMENTAL</v>
      </c>
      <c r="R54" t="str">
        <v>FORMULACIÓN DE PROYECTOS SOCIALES Y PRODUCTIVOS</v>
      </c>
      <c r="S54" t="str">
        <v>GESTIÓN DE LA CALIDAD Y ESTANDARIZACIÓN</v>
      </c>
      <c r="T54" t="str">
        <v>INVESTIGACIÓN OPERATIVA</v>
      </c>
    </row>
    <row r="55" spans="1:20">
      <c r="A55" cm="1">
        <f t="array" ref="A55:H55">TRANSPOSE(_xlfn.UNIQUE(_xlfn._xlws.FILTER(MAE_ASIGNATURA[ID_NIVEL],MAE_ASIGNATURA[ID_CARRERA]=DET_ASIG!$B40,"No existe información")))</f>
        <v>1</v>
      </c>
      <c r="B55">
        <v>2</v>
      </c>
      <c r="C55">
        <v>3</v>
      </c>
      <c r="D55">
        <v>4</v>
      </c>
      <c r="E55">
        <v>5</v>
      </c>
      <c r="F55">
        <v>6</v>
      </c>
      <c r="G55">
        <v>7</v>
      </c>
      <c r="H55">
        <v>8</v>
      </c>
      <c r="O55" t="str" cm="1">
        <f t="array" ref="O55:T55">TRANSPOSE(_xlfn.UNIQUE(_xlfn._xlws.FILTER(MAE_ASIGNATURA[NOM_ASIG],(MAE_ASIGNATURA[ID_NIVEL]=DET_ASIG!$D40)*(MAE_ASIGNATURA[ID_CARRERA]=DET_ASIG!$B40),"No existe información")))</f>
        <v>MARCO INTEGRADO E INDICADORES DE GESTIÓN</v>
      </c>
      <c r="P55" t="str">
        <v>CONTABILIDAD DE COSTOS AVANZADA</v>
      </c>
      <c r="Q55" t="str">
        <v>CONTABILIDAD GUBERNAMENTAL</v>
      </c>
      <c r="R55" t="str">
        <v>FORMULACIÓN DE PROYECTOS SOCIALES Y PRODUCTIVOS</v>
      </c>
      <c r="S55" t="str">
        <v>GESTIÓN DE LA CALIDAD Y ESTANDARIZACIÓN</v>
      </c>
      <c r="T55" t="str">
        <v>INVESTIGACIÓN OPERATIVA</v>
      </c>
    </row>
    <row r="56" spans="1:20">
      <c r="A56" cm="1">
        <f t="array" ref="A56:H56">TRANSPOSE(_xlfn.UNIQUE(_xlfn._xlws.FILTER(MAE_ASIGNATURA[ID_NIVEL],MAE_ASIGNATURA[ID_CARRERA]=DET_ASIG!$B41,"No existe información")))</f>
        <v>1</v>
      </c>
      <c r="B56">
        <v>2</v>
      </c>
      <c r="C56">
        <v>3</v>
      </c>
      <c r="D56">
        <v>4</v>
      </c>
      <c r="E56">
        <v>5</v>
      </c>
      <c r="F56">
        <v>6</v>
      </c>
      <c r="G56">
        <v>7</v>
      </c>
      <c r="H56">
        <v>8</v>
      </c>
      <c r="O56" t="str" cm="1">
        <f t="array" ref="O56:T56">TRANSPOSE(_xlfn.UNIQUE(_xlfn._xlws.FILTER(MAE_ASIGNATURA[NOM_ASIG],(MAE_ASIGNATURA[ID_NIVEL]=DET_ASIG!$D41)*(MAE_ASIGNATURA[ID_CARRERA]=DET_ASIG!$B41),"No existe información")))</f>
        <v>MARCO INTEGRADO E INDICADORES DE GESTIÓN</v>
      </c>
      <c r="P56" t="str">
        <v>CONTABILIDAD DE COSTOS AVANZADA</v>
      </c>
      <c r="Q56" t="str">
        <v>CONTABILIDAD GUBERNAMENTAL</v>
      </c>
      <c r="R56" t="str">
        <v>FORMULACIÓN DE PROYECTOS SOCIALES Y PRODUCTIVOS</v>
      </c>
      <c r="S56" t="str">
        <v>GESTIÓN DE LA CALIDAD Y ESTANDARIZACIÓN</v>
      </c>
      <c r="T56" t="str">
        <v>INVESTIGACIÓN OPERATIVA</v>
      </c>
    </row>
    <row r="57" spans="1:20">
      <c r="A57" cm="1">
        <f t="array" ref="A57:H57">TRANSPOSE(_xlfn.UNIQUE(_xlfn._xlws.FILTER(MAE_ASIGNATURA[ID_NIVEL],MAE_ASIGNATURA[ID_CARRERA]=DET_ASIG!$B42,"No existe información")))</f>
        <v>1</v>
      </c>
      <c r="B57">
        <v>2</v>
      </c>
      <c r="C57">
        <v>3</v>
      </c>
      <c r="D57">
        <v>4</v>
      </c>
      <c r="E57">
        <v>5</v>
      </c>
      <c r="F57">
        <v>6</v>
      </c>
      <c r="G57">
        <v>7</v>
      </c>
      <c r="H57">
        <v>8</v>
      </c>
      <c r="O57" t="str" cm="1">
        <f t="array" ref="O57:T57">TRANSPOSE(_xlfn.UNIQUE(_xlfn._xlws.FILTER(MAE_ASIGNATURA[NOM_ASIG],(MAE_ASIGNATURA[ID_NIVEL]=DET_ASIG!$D42)*(MAE_ASIGNATURA[ID_CARRERA]=DET_ASIG!$B42),"No existe información")))</f>
        <v>MARCO INTEGRADO E INDICADORES DE GESTIÓN</v>
      </c>
      <c r="P57" t="str">
        <v>CONTABILIDAD DE COSTOS AVANZADA</v>
      </c>
      <c r="Q57" t="str">
        <v>CONTABILIDAD GUBERNAMENTAL</v>
      </c>
      <c r="R57" t="str">
        <v>FORMULACIÓN DE PROYECTOS SOCIALES Y PRODUCTIVOS</v>
      </c>
      <c r="S57" t="str">
        <v>GESTIÓN DE LA CALIDAD Y ESTANDARIZACIÓN</v>
      </c>
      <c r="T57" t="str">
        <v>INVESTIGACIÓN OPERATIVA</v>
      </c>
    </row>
    <row r="58" spans="1:20">
      <c r="A58" cm="1">
        <f t="array" ref="A58:H58">TRANSPOSE(_xlfn.UNIQUE(_xlfn._xlws.FILTER(MAE_ASIGNATURA[ID_NIVEL],MAE_ASIGNATURA[ID_CARRERA]=DET_ASIG!$B43,"No existe información")))</f>
        <v>1</v>
      </c>
      <c r="B58">
        <v>2</v>
      </c>
      <c r="C58">
        <v>3</v>
      </c>
      <c r="D58">
        <v>4</v>
      </c>
      <c r="E58">
        <v>5</v>
      </c>
      <c r="F58">
        <v>6</v>
      </c>
      <c r="G58">
        <v>7</v>
      </c>
      <c r="H58">
        <v>8</v>
      </c>
      <c r="O58" t="str" cm="1">
        <f t="array" ref="O58:T58">TRANSPOSE(_xlfn.UNIQUE(_xlfn._xlws.FILTER(MAE_ASIGNATURA[NOM_ASIG],(MAE_ASIGNATURA[ID_NIVEL]=DET_ASIG!$D43)*(MAE_ASIGNATURA[ID_CARRERA]=DET_ASIG!$B43),"No existe información")))</f>
        <v>MARCO INTEGRADO E INDICADORES DE GESTIÓN</v>
      </c>
      <c r="P58" t="str">
        <v>CONTABILIDAD DE COSTOS AVANZADA</v>
      </c>
      <c r="Q58" t="str">
        <v>CONTABILIDAD GUBERNAMENTAL</v>
      </c>
      <c r="R58" t="str">
        <v>FORMULACIÓN DE PROYECTOS SOCIALES Y PRODUCTIVOS</v>
      </c>
      <c r="S58" t="str">
        <v>GESTIÓN DE LA CALIDAD Y ESTANDARIZACIÓN</v>
      </c>
      <c r="T58" t="str">
        <v>INVESTIGACIÓN OPERATIVA</v>
      </c>
    </row>
    <row r="59" spans="1:20">
      <c r="A59" cm="1">
        <f t="array" ref="A59:H59">TRANSPOSE(_xlfn.UNIQUE(_xlfn._xlws.FILTER(MAE_ASIGNATURA[ID_NIVEL],MAE_ASIGNATURA[ID_CARRERA]=DET_ASIG!$B44,"No existe información")))</f>
        <v>1</v>
      </c>
      <c r="B59">
        <v>2</v>
      </c>
      <c r="C59">
        <v>3</v>
      </c>
      <c r="D59">
        <v>4</v>
      </c>
      <c r="E59">
        <v>5</v>
      </c>
      <c r="F59">
        <v>6</v>
      </c>
      <c r="G59">
        <v>7</v>
      </c>
      <c r="H59">
        <v>8</v>
      </c>
      <c r="O59" t="str" cm="1">
        <f t="array" ref="O59:T59">TRANSPOSE(_xlfn.UNIQUE(_xlfn._xlws.FILTER(MAE_ASIGNATURA[NOM_ASIG],(MAE_ASIGNATURA[ID_NIVEL]=DET_ASIG!$D44)*(MAE_ASIGNATURA[ID_CARRERA]=DET_ASIG!$B44),"No existe información")))</f>
        <v>MARCO INTEGRADO E INDICADORES DE GESTIÓN</v>
      </c>
      <c r="P59" t="str">
        <v>CONTABILIDAD DE COSTOS AVANZADA</v>
      </c>
      <c r="Q59" t="str">
        <v>CONTABILIDAD GUBERNAMENTAL</v>
      </c>
      <c r="R59" t="str">
        <v>FORMULACIÓN DE PROYECTOS SOCIALES Y PRODUCTIVOS</v>
      </c>
      <c r="S59" t="str">
        <v>GESTIÓN DE LA CALIDAD Y ESTANDARIZACIÓN</v>
      </c>
      <c r="T59" t="str">
        <v>INVESTIGACIÓN OPERATIVA</v>
      </c>
    </row>
    <row r="60" spans="1:20">
      <c r="A60" cm="1">
        <f t="array" ref="A60:H60">TRANSPOSE(_xlfn.UNIQUE(_xlfn._xlws.FILTER(MAE_ASIGNATURA[ID_NIVEL],MAE_ASIGNATURA[ID_CARRERA]=DET_ASIG!$B45,"No existe información")))</f>
        <v>1</v>
      </c>
      <c r="B60">
        <v>2</v>
      </c>
      <c r="C60">
        <v>3</v>
      </c>
      <c r="D60">
        <v>4</v>
      </c>
      <c r="E60">
        <v>5</v>
      </c>
      <c r="F60">
        <v>6</v>
      </c>
      <c r="G60">
        <v>7</v>
      </c>
      <c r="H60">
        <v>8</v>
      </c>
      <c r="O60" t="str" cm="1">
        <f t="array" ref="O60:T60">TRANSPOSE(_xlfn.UNIQUE(_xlfn._xlws.FILTER(MAE_ASIGNATURA[NOM_ASIG],(MAE_ASIGNATURA[ID_NIVEL]=DET_ASIG!$D45)*(MAE_ASIGNATURA[ID_CARRERA]=DET_ASIG!$B45),"No existe información")))</f>
        <v>MARCO INTEGRADO E INDICADORES DE GESTIÓN</v>
      </c>
      <c r="P60" t="str">
        <v>CONTABILIDAD DE COSTOS AVANZADA</v>
      </c>
      <c r="Q60" t="str">
        <v>CONTABILIDAD GUBERNAMENTAL</v>
      </c>
      <c r="R60" t="str">
        <v>FORMULACIÓN DE PROYECTOS SOCIALES Y PRODUCTIVOS</v>
      </c>
      <c r="S60" t="str">
        <v>GESTIÓN DE LA CALIDAD Y ESTANDARIZACIÓN</v>
      </c>
      <c r="T60" t="str">
        <v>INVESTIGACIÓN OPERATIVA</v>
      </c>
    </row>
    <row r="61" spans="1:20">
      <c r="A61" cm="1">
        <f t="array" ref="A61:H61">TRANSPOSE(_xlfn.UNIQUE(_xlfn._xlws.FILTER(MAE_ASIGNATURA[ID_NIVEL],MAE_ASIGNATURA[ID_CARRERA]=DET_ASIG!$B46,"No existe información")))</f>
        <v>1</v>
      </c>
      <c r="B61">
        <v>2</v>
      </c>
      <c r="C61">
        <v>3</v>
      </c>
      <c r="D61">
        <v>4</v>
      </c>
      <c r="E61">
        <v>5</v>
      </c>
      <c r="F61">
        <v>6</v>
      </c>
      <c r="G61">
        <v>7</v>
      </c>
      <c r="H61">
        <v>8</v>
      </c>
      <c r="O61" t="str" cm="1">
        <f t="array" ref="O61:R61">TRANSPOSE(_xlfn.UNIQUE(_xlfn._xlws.FILTER(MAE_ASIGNATURA[NOM_ASIG],(MAE_ASIGNATURA[ID_NIVEL]=DET_ASIG!$D46)*(MAE_ASIGNATURA[ID_CARRERA]=DET_ASIG!$B46),"No existe información")))</f>
        <v>AUDITORÍA TRIBUTARIA</v>
      </c>
      <c r="P61" t="str">
        <v>AUDITORÍA DE CALIDAD</v>
      </c>
      <c r="Q61" t="str">
        <v>EVALUACIÓN DE PROYECTOS SOCIALES Y PRODUACTIVOS</v>
      </c>
      <c r="R61" t="str">
        <v>AUDITORÍA GUBERNAMENTAL</v>
      </c>
    </row>
    <row r="62" spans="1:20">
      <c r="A62" cm="1">
        <f t="array" ref="A62:H62">TRANSPOSE(_xlfn.UNIQUE(_xlfn._xlws.FILTER(MAE_ASIGNATURA[ID_NIVEL],MAE_ASIGNATURA[ID_CARRERA]=DET_ASIG!$B47,"No existe información")))</f>
        <v>1</v>
      </c>
      <c r="B62">
        <v>2</v>
      </c>
      <c r="C62">
        <v>3</v>
      </c>
      <c r="D62">
        <v>4</v>
      </c>
      <c r="E62">
        <v>5</v>
      </c>
      <c r="F62">
        <v>6</v>
      </c>
      <c r="G62">
        <v>7</v>
      </c>
      <c r="H62">
        <v>8</v>
      </c>
      <c r="O62" t="str" cm="1">
        <f t="array" ref="O62:R62">TRANSPOSE(_xlfn.UNIQUE(_xlfn._xlws.FILTER(MAE_ASIGNATURA[NOM_ASIG],(MAE_ASIGNATURA[ID_NIVEL]=DET_ASIG!$D47)*(MAE_ASIGNATURA[ID_CARRERA]=DET_ASIG!$B47),"No existe información")))</f>
        <v>AUDITORÍA TRIBUTARIA</v>
      </c>
      <c r="P62" t="str">
        <v>AUDITORÍA DE CALIDAD</v>
      </c>
      <c r="Q62" t="str">
        <v>EVALUACIÓN DE PROYECTOS SOCIALES Y PRODUACTIVOS</v>
      </c>
      <c r="R62" t="str">
        <v>AUDITORÍA GUBERNAMENTAL</v>
      </c>
    </row>
    <row r="63" spans="1:20">
      <c r="A63" cm="1">
        <f t="array" ref="A63:H63">TRANSPOSE(_xlfn.UNIQUE(_xlfn._xlws.FILTER(MAE_ASIGNATURA[ID_NIVEL],MAE_ASIGNATURA[ID_CARRERA]=DET_ASIG!$B48,"No existe información")))</f>
        <v>1</v>
      </c>
      <c r="B63">
        <v>2</v>
      </c>
      <c r="C63">
        <v>3</v>
      </c>
      <c r="D63">
        <v>4</v>
      </c>
      <c r="E63">
        <v>5</v>
      </c>
      <c r="F63">
        <v>6</v>
      </c>
      <c r="G63">
        <v>7</v>
      </c>
      <c r="H63">
        <v>8</v>
      </c>
      <c r="O63" t="str" cm="1">
        <f t="array" ref="O63:R63">TRANSPOSE(_xlfn.UNIQUE(_xlfn._xlws.FILTER(MAE_ASIGNATURA[NOM_ASIG],(MAE_ASIGNATURA[ID_NIVEL]=DET_ASIG!$D48)*(MAE_ASIGNATURA[ID_CARRERA]=DET_ASIG!$B48),"No existe información")))</f>
        <v>AUDITORÍA TRIBUTARIA</v>
      </c>
      <c r="P63" t="str">
        <v>AUDITORÍA DE CALIDAD</v>
      </c>
      <c r="Q63" t="str">
        <v>EVALUACIÓN DE PROYECTOS SOCIALES Y PRODUACTIVOS</v>
      </c>
      <c r="R63" t="str">
        <v>AUDITORÍA GUBERNAMENTAL</v>
      </c>
    </row>
    <row r="64" spans="1:20">
      <c r="A64" cm="1">
        <f t="array" ref="A64:H64">TRANSPOSE(_xlfn.UNIQUE(_xlfn._xlws.FILTER(MAE_ASIGNATURA[ID_NIVEL],MAE_ASIGNATURA[ID_CARRERA]=DET_ASIG!$B49,"No existe información")))</f>
        <v>1</v>
      </c>
      <c r="B64">
        <v>2</v>
      </c>
      <c r="C64">
        <v>3</v>
      </c>
      <c r="D64">
        <v>4</v>
      </c>
      <c r="E64">
        <v>5</v>
      </c>
      <c r="F64">
        <v>6</v>
      </c>
      <c r="G64">
        <v>7</v>
      </c>
      <c r="H64">
        <v>8</v>
      </c>
      <c r="O64" t="str" cm="1">
        <f t="array" ref="O64:S64">TRANSPOSE(_xlfn.UNIQUE(_xlfn._xlws.FILTER(MAE_ASIGNATURA[NOM_ASIG],(MAE_ASIGNATURA[ID_NIVEL]=DET_ASIG!$D49)*(MAE_ASIGNATURA[ID_CARRERA]=DET_ASIG!$B49),"No existe información")))</f>
        <v>AUDITORÍA FORENSE</v>
      </c>
      <c r="P64" t="str">
        <v>AUDITORÍA DE GESTIÓN</v>
      </c>
      <c r="Q64" t="str">
        <v>AUDITORÍA INFORMÁTICA</v>
      </c>
      <c r="R64" t="str">
        <v>PROCESO DE CONTRATACIÓN PÚBLICA</v>
      </c>
      <c r="S64" t="str">
        <v>AUDITORÍA AMBIENTAL</v>
      </c>
    </row>
    <row r="65" spans="1:19">
      <c r="A65" cm="1">
        <f t="array" ref="A65:H65">TRANSPOSE(_xlfn.UNIQUE(_xlfn._xlws.FILTER(MAE_ASIGNATURA[ID_NIVEL],MAE_ASIGNATURA[ID_CARRERA]=DET_ASIG!$B50,"No existe información")))</f>
        <v>1</v>
      </c>
      <c r="B65">
        <v>2</v>
      </c>
      <c r="C65">
        <v>3</v>
      </c>
      <c r="D65">
        <v>4</v>
      </c>
      <c r="E65">
        <v>5</v>
      </c>
      <c r="F65">
        <v>6</v>
      </c>
      <c r="G65">
        <v>7</v>
      </c>
      <c r="H65">
        <v>8</v>
      </c>
      <c r="O65" t="str" cm="1">
        <f t="array" ref="O65:R65">TRANSPOSE(_xlfn.UNIQUE(_xlfn._xlws.FILTER(MAE_ASIGNATURA[NOM_ASIG],(MAE_ASIGNATURA[ID_NIVEL]=DET_ASIG!$D50)*(MAE_ASIGNATURA[ID_CARRERA]=DET_ASIG!$B50),"No existe información")))</f>
        <v>AUDITORÍA TRIBUTARIA</v>
      </c>
      <c r="P65" t="str">
        <v>AUDITORÍA DE CALIDAD</v>
      </c>
      <c r="Q65" t="str">
        <v>EVALUACIÓN DE PROYECTOS SOCIALES Y PRODUACTIVOS</v>
      </c>
      <c r="R65" t="str">
        <v>AUDITORÍA GUBERNAMENTAL</v>
      </c>
    </row>
    <row r="66" spans="1:19">
      <c r="A66" cm="1">
        <f t="array" ref="A66:B66">TRANSPOSE(_xlfn.UNIQUE(_xlfn._xlws.FILTER(MAE_ASIGNATURA[ID_NIVEL],MAE_ASIGNATURA[ID_CARRERA]=DET_ASIG!$B51,"No existe información")))</f>
        <v>7</v>
      </c>
      <c r="B66">
        <v>8</v>
      </c>
      <c r="O66" t="str" cm="1">
        <f t="array" ref="O66:R66">TRANSPOSE(_xlfn.UNIQUE(_xlfn._xlws.FILTER(MAE_ASIGNATURA[NOM_ASIG],(MAE_ASIGNATURA[ID_NIVEL]=DET_ASIG!$D51)*(MAE_ASIGNATURA[ID_CARRERA]=DET_ASIG!$B51),"No existe información")))</f>
        <v>Trabajo de integración curricular: Fase de diseño CA-24</v>
      </c>
      <c r="P66" t="str">
        <v>Trabajo de integración curricular: Fase de diseño ACG-24</v>
      </c>
      <c r="Q66" t="str">
        <v>Trabajo de integración curricular: Fase de diseño F-24</v>
      </c>
      <c r="R66" t="str">
        <v>Trabajo de integración curricular: Fase de diseño CA-22</v>
      </c>
    </row>
    <row r="67" spans="1:19">
      <c r="A67" cm="1">
        <f t="array" ref="A67:B67">TRANSPOSE(_xlfn.UNIQUE(_xlfn._xlws.FILTER(MAE_ASIGNATURA[ID_NIVEL],MAE_ASIGNATURA[ID_CARRERA]=DET_ASIG!$B52,"No existe información")))</f>
        <v>7</v>
      </c>
      <c r="B67">
        <v>8</v>
      </c>
      <c r="O67" t="str" cm="1">
        <f t="array" ref="O67:R67">TRANSPOSE(_xlfn.UNIQUE(_xlfn._xlws.FILTER(MAE_ASIGNATURA[NOM_ASIG],(MAE_ASIGNATURA[ID_NIVEL]=DET_ASIG!$D52)*(MAE_ASIGNATURA[ID_CARRERA]=DET_ASIG!$B52),"No existe información")))</f>
        <v>Trabajo de integración curricular: Fase de diseño CA-24</v>
      </c>
      <c r="P67" t="str">
        <v>Trabajo de integración curricular: Fase de diseño ACG-24</v>
      </c>
      <c r="Q67" t="str">
        <v>Trabajo de integración curricular: Fase de diseño F-24</v>
      </c>
      <c r="R67" t="str">
        <v>Trabajo de integración curricular: Fase de diseño CA-22</v>
      </c>
    </row>
    <row r="68" spans="1:19">
      <c r="A68" cm="1">
        <f t="array" ref="A68:B68">TRANSPOSE(_xlfn.UNIQUE(_xlfn._xlws.FILTER(MAE_ASIGNATURA[ID_NIVEL],MAE_ASIGNATURA[ID_CARRERA]=DET_ASIG!$B53,"No existe información")))</f>
        <v>7</v>
      </c>
      <c r="B68">
        <v>8</v>
      </c>
      <c r="O68" t="str" cm="1">
        <f t="array" ref="O68:R68">TRANSPOSE(_xlfn.UNIQUE(_xlfn._xlws.FILTER(MAE_ASIGNATURA[NOM_ASIG],(MAE_ASIGNATURA[ID_NIVEL]=DET_ASIG!$D53)*(MAE_ASIGNATURA[ID_CARRERA]=DET_ASIG!$B53),"No existe información")))</f>
        <v>Trabajo de integración curricular: Fase de diseño CA-24</v>
      </c>
      <c r="P68" t="str">
        <v>Trabajo de integración curricular: Fase de diseño ACG-24</v>
      </c>
      <c r="Q68" t="str">
        <v>Trabajo de integración curricular: Fase de diseño F-24</v>
      </c>
      <c r="R68" t="str">
        <v>Trabajo de integración curricular: Fase de diseño CA-22</v>
      </c>
    </row>
    <row r="69" spans="1:19">
      <c r="A69" cm="1">
        <f t="array" ref="A69:B69">TRANSPOSE(_xlfn.UNIQUE(_xlfn._xlws.FILTER(MAE_ASIGNATURA[ID_NIVEL],MAE_ASIGNATURA[ID_CARRERA]=DET_ASIG!$B54,"No existe información")))</f>
        <v>7</v>
      </c>
      <c r="B69">
        <v>8</v>
      </c>
      <c r="O69" t="str" cm="1">
        <f t="array" ref="O69:R69">TRANSPOSE(_xlfn.UNIQUE(_xlfn._xlws.FILTER(MAE_ASIGNATURA[NOM_ASIG],(MAE_ASIGNATURA[ID_NIVEL]=DET_ASIG!$D54)*(MAE_ASIGNATURA[ID_CARRERA]=DET_ASIG!$B54),"No existe información")))</f>
        <v>Trabajo de integración curricular: Fase de diseño CA-24</v>
      </c>
      <c r="P69" t="str">
        <v>Trabajo de integración curricular: Fase de diseño ACG-24</v>
      </c>
      <c r="Q69" t="str">
        <v>Trabajo de integración curricular: Fase de diseño F-24</v>
      </c>
      <c r="R69" t="str">
        <v>Trabajo de integración curricular: Fase de diseño CA-22</v>
      </c>
    </row>
    <row r="70" spans="1:19">
      <c r="A70" cm="1">
        <f t="array" ref="A70:B70">TRANSPOSE(_xlfn.UNIQUE(_xlfn._xlws.FILTER(MAE_ASIGNATURA[ID_NIVEL],MAE_ASIGNATURA[ID_CARRERA]=DET_ASIG!$B55,"No existe información")))</f>
        <v>7</v>
      </c>
      <c r="B70">
        <v>8</v>
      </c>
      <c r="O70" t="str" cm="1">
        <f t="array" ref="O70:R70">TRANSPOSE(_xlfn.UNIQUE(_xlfn._xlws.FILTER(MAE_ASIGNATURA[NOM_ASIG],(MAE_ASIGNATURA[ID_NIVEL]=DET_ASIG!$D55)*(MAE_ASIGNATURA[ID_CARRERA]=DET_ASIG!$B55),"No existe información")))</f>
        <v>Trabajo de integración curricular: Fase de diseño CA-24</v>
      </c>
      <c r="P70" t="str">
        <v>Trabajo de integración curricular: Fase de diseño ACG-24</v>
      </c>
      <c r="Q70" t="str">
        <v>Trabajo de integración curricular: Fase de diseño F-24</v>
      </c>
      <c r="R70" t="str">
        <v>Trabajo de integración curricular: Fase de diseño CA-22</v>
      </c>
    </row>
    <row r="71" spans="1:19">
      <c r="A71" cm="1">
        <f t="array" ref="A71:B71">TRANSPOSE(_xlfn.UNIQUE(_xlfn._xlws.FILTER(MAE_ASIGNATURA[ID_NIVEL],MAE_ASIGNATURA[ID_CARRERA]=DET_ASIG!$B56,"No existe información")))</f>
        <v>7</v>
      </c>
      <c r="B71">
        <v>8</v>
      </c>
      <c r="O71" t="str" cm="1">
        <f t="array" ref="O71:R71">TRANSPOSE(_xlfn.UNIQUE(_xlfn._xlws.FILTER(MAE_ASIGNATURA[NOM_ASIG],(MAE_ASIGNATURA[ID_NIVEL]=DET_ASIG!$D56)*(MAE_ASIGNATURA[ID_CARRERA]=DET_ASIG!$B56),"No existe información")))</f>
        <v>Trabajo de integración curricular: Fase de diseño CA-24</v>
      </c>
      <c r="P71" t="str">
        <v>Trabajo de integración curricular: Fase de diseño ACG-24</v>
      </c>
      <c r="Q71" t="str">
        <v>Trabajo de integración curricular: Fase de diseño F-24</v>
      </c>
      <c r="R71" t="str">
        <v>Trabajo de integración curricular: Fase de diseño CA-22</v>
      </c>
    </row>
    <row r="72" spans="1:19">
      <c r="A72" cm="1">
        <f t="array" ref="A72:H72">TRANSPOSE(_xlfn.UNIQUE(_xlfn._xlws.FILTER(MAE_ASIGNATURA[ID_NIVEL],MAE_ASIGNATURA[ID_CARRERA]=DET_ASIG!$B57,"No existe información")))</f>
        <v>1</v>
      </c>
      <c r="B72">
        <v>2</v>
      </c>
      <c r="C72">
        <v>3</v>
      </c>
      <c r="D72">
        <v>4</v>
      </c>
      <c r="E72">
        <v>5</v>
      </c>
      <c r="F72">
        <v>6</v>
      </c>
      <c r="G72">
        <v>7</v>
      </c>
      <c r="H72">
        <v>8</v>
      </c>
      <c r="O72" t="str" cm="1">
        <f t="array" ref="O72:S72">TRANSPOSE(_xlfn.UNIQUE(_xlfn._xlws.FILTER(MAE_ASIGNATURA[NOM_ASIG],(MAE_ASIGNATURA[ID_NIVEL]=DET_ASIG!$D57)*(MAE_ASIGNATURA[ID_CARRERA]=DET_ASIG!$B57),"No existe información")))</f>
        <v>AUDITORÍA FORENSE</v>
      </c>
      <c r="P72" t="str">
        <v>AUDITORÍA DE GESTIÓN</v>
      </c>
      <c r="Q72" t="str">
        <v>AUDITORÍA INFORMÁTICA</v>
      </c>
      <c r="R72" t="str">
        <v>PROCESO DE CONTRATACIÓN PÚBLICA</v>
      </c>
      <c r="S72" t="str">
        <v>AUDITORÍA AMBIENTAL</v>
      </c>
    </row>
    <row r="73" spans="1:19">
      <c r="A73" cm="1">
        <f t="array" ref="A73:H73">TRANSPOSE(_xlfn.UNIQUE(_xlfn._xlws.FILTER(MAE_ASIGNATURA[ID_NIVEL],MAE_ASIGNATURA[ID_CARRERA]=DET_ASIG!$B58,"No existe información")))</f>
        <v>1</v>
      </c>
      <c r="B73">
        <v>2</v>
      </c>
      <c r="C73">
        <v>3</v>
      </c>
      <c r="D73">
        <v>4</v>
      </c>
      <c r="E73">
        <v>5</v>
      </c>
      <c r="F73">
        <v>6</v>
      </c>
      <c r="G73">
        <v>7</v>
      </c>
      <c r="H73">
        <v>8</v>
      </c>
      <c r="O73" t="str" cm="1">
        <f t="array" ref="O73:S73">TRANSPOSE(_xlfn.UNIQUE(_xlfn._xlws.FILTER(MAE_ASIGNATURA[NOM_ASIG],(MAE_ASIGNATURA[ID_NIVEL]=DET_ASIG!$D58)*(MAE_ASIGNATURA[ID_CARRERA]=DET_ASIG!$B58),"No existe información")))</f>
        <v>AUDITORÍA FORENSE</v>
      </c>
      <c r="P73" t="str">
        <v>AUDITORÍA DE GESTIÓN</v>
      </c>
      <c r="Q73" t="str">
        <v>AUDITORÍA INFORMÁTICA</v>
      </c>
      <c r="R73" t="str">
        <v>PROCESO DE CONTRATACIÓN PÚBLICA</v>
      </c>
      <c r="S73" t="str">
        <v>AUDITORÍA AMBIENTAL</v>
      </c>
    </row>
    <row r="74" spans="1:19">
      <c r="A74" cm="1">
        <f t="array" ref="A74:H74">TRANSPOSE(_xlfn.UNIQUE(_xlfn._xlws.FILTER(MAE_ASIGNATURA[ID_NIVEL],MAE_ASIGNATURA[ID_CARRERA]=DET_ASIG!$B59,"No existe información")))</f>
        <v>1</v>
      </c>
      <c r="B74">
        <v>2</v>
      </c>
      <c r="C74">
        <v>3</v>
      </c>
      <c r="D74">
        <v>4</v>
      </c>
      <c r="E74">
        <v>5</v>
      </c>
      <c r="F74">
        <v>6</v>
      </c>
      <c r="G74">
        <v>7</v>
      </c>
      <c r="H74">
        <v>8</v>
      </c>
      <c r="O74" t="str" cm="1">
        <f t="array" ref="O74:S74">TRANSPOSE(_xlfn.UNIQUE(_xlfn._xlws.FILTER(MAE_ASIGNATURA[NOM_ASIG],(MAE_ASIGNATURA[ID_NIVEL]=DET_ASIG!$D59)*(MAE_ASIGNATURA[ID_CARRERA]=DET_ASIG!$B59),"No existe información")))</f>
        <v>AUDITORÍA FORENSE</v>
      </c>
      <c r="P74" t="str">
        <v>AUDITORÍA DE GESTIÓN</v>
      </c>
      <c r="Q74" t="str">
        <v>AUDITORÍA INFORMÁTICA</v>
      </c>
      <c r="R74" t="str">
        <v>PROCESO DE CONTRATACIÓN PÚBLICA</v>
      </c>
      <c r="S74" t="str">
        <v>AUDITORÍA AMBIENTAL</v>
      </c>
    </row>
    <row r="75" spans="1:19">
      <c r="A75" cm="1">
        <f t="array" ref="A75:H75">TRANSPOSE(_xlfn.UNIQUE(_xlfn._xlws.FILTER(MAE_ASIGNATURA[ID_NIVEL],MAE_ASIGNATURA[ID_CARRERA]=DET_ASIG!$B60,"No existe información")))</f>
        <v>1</v>
      </c>
      <c r="B75">
        <v>2</v>
      </c>
      <c r="C75">
        <v>3</v>
      </c>
      <c r="D75">
        <v>4</v>
      </c>
      <c r="E75">
        <v>5</v>
      </c>
      <c r="F75">
        <v>6</v>
      </c>
      <c r="G75">
        <v>7</v>
      </c>
      <c r="H75">
        <v>8</v>
      </c>
      <c r="O75" t="str" cm="1">
        <f t="array" ref="O75:S75">TRANSPOSE(_xlfn.UNIQUE(_xlfn._xlws.FILTER(MAE_ASIGNATURA[NOM_ASIG],(MAE_ASIGNATURA[ID_NIVEL]=DET_ASIG!$D60)*(MAE_ASIGNATURA[ID_CARRERA]=DET_ASIG!$B60),"No existe información")))</f>
        <v>AUDITORÍA FORENSE</v>
      </c>
      <c r="P75" t="str">
        <v>AUDITORÍA DE GESTIÓN</v>
      </c>
      <c r="Q75" t="str">
        <v>AUDITORÍA INFORMÁTICA</v>
      </c>
      <c r="R75" t="str">
        <v>PROCESO DE CONTRATACIÓN PÚBLICA</v>
      </c>
      <c r="S75" t="str">
        <v>AUDITORÍA AMBIENTAL</v>
      </c>
    </row>
    <row r="76" spans="1:19">
      <c r="A76" cm="1">
        <f t="array" ref="A76:H76">TRANSPOSE(_xlfn.UNIQUE(_xlfn._xlws.FILTER(MAE_ASIGNATURA[ID_NIVEL],MAE_ASIGNATURA[ID_CARRERA]=DET_ASIG!$B61,"No existe información")))</f>
        <v>1</v>
      </c>
      <c r="B76">
        <v>2</v>
      </c>
      <c r="C76">
        <v>3</v>
      </c>
      <c r="D76">
        <v>4</v>
      </c>
      <c r="E76">
        <v>5</v>
      </c>
      <c r="F76">
        <v>6</v>
      </c>
      <c r="G76">
        <v>7</v>
      </c>
      <c r="H76">
        <v>8</v>
      </c>
      <c r="O76" t="str" cm="1">
        <f t="array" ref="O76:S76">TRANSPOSE(_xlfn.UNIQUE(_xlfn._xlws.FILTER(MAE_ASIGNATURA[NOM_ASIG],(MAE_ASIGNATURA[ID_NIVEL]=DET_ASIG!$D61)*(MAE_ASIGNATURA[ID_CARRERA]=DET_ASIG!$B61),"No existe información")))</f>
        <v>AUDITORÍA FORENSE</v>
      </c>
      <c r="P76" t="str">
        <v>AUDITORÍA DE GESTIÓN</v>
      </c>
      <c r="Q76" t="str">
        <v>AUDITORÍA INFORMÁTICA</v>
      </c>
      <c r="R76" t="str">
        <v>PROCESO DE CONTRATACIÓN PÚBLICA</v>
      </c>
      <c r="S76" t="str">
        <v>AUDITORÍA AMBIENTAL</v>
      </c>
    </row>
    <row r="77" spans="1:19">
      <c r="A77" cm="1">
        <f t="array" ref="A77:H77">TRANSPOSE(_xlfn.UNIQUE(_xlfn._xlws.FILTER(MAE_ASIGNATURA[ID_NIVEL],MAE_ASIGNATURA[ID_CARRERA]=DET_ASIG!$B62,"No existe información")))</f>
        <v>1</v>
      </c>
      <c r="B77">
        <v>2</v>
      </c>
      <c r="C77">
        <v>3</v>
      </c>
      <c r="D77">
        <v>4</v>
      </c>
      <c r="E77">
        <v>5</v>
      </c>
      <c r="F77">
        <v>6</v>
      </c>
      <c r="G77">
        <v>7</v>
      </c>
      <c r="H77">
        <v>8</v>
      </c>
      <c r="O77" t="str" cm="1">
        <f t="array" ref="O77:S77">TRANSPOSE(_xlfn.UNIQUE(_xlfn._xlws.FILTER(MAE_ASIGNATURA[NOM_ASIG],(MAE_ASIGNATURA[ID_NIVEL]=DET_ASIG!$D62)*(MAE_ASIGNATURA[ID_CARRERA]=DET_ASIG!$B62),"No existe información")))</f>
        <v>AUDITORÍA FORENSE</v>
      </c>
      <c r="P77" t="str">
        <v>AUDITORÍA DE GESTIÓN</v>
      </c>
      <c r="Q77" t="str">
        <v>AUDITORÍA INFORMÁTICA</v>
      </c>
      <c r="R77" t="str">
        <v>PROCESO DE CONTRATACIÓN PÚBLICA</v>
      </c>
      <c r="S77" t="str">
        <v>AUDITORÍA AMBIENTAL</v>
      </c>
    </row>
    <row r="78" spans="1:19">
      <c r="A78" cm="1">
        <f t="array" ref="A78:H78">TRANSPOSE(_xlfn.UNIQUE(_xlfn._xlws.FILTER(MAE_ASIGNATURA[ID_NIVEL],MAE_ASIGNATURA[ID_CARRERA]=DET_ASIG!$B63,"No existe información")))</f>
        <v>1</v>
      </c>
      <c r="B78">
        <v>2</v>
      </c>
      <c r="C78">
        <v>3</v>
      </c>
      <c r="D78">
        <v>4</v>
      </c>
      <c r="E78">
        <v>5</v>
      </c>
      <c r="F78">
        <v>6</v>
      </c>
      <c r="G78">
        <v>7</v>
      </c>
      <c r="H78">
        <v>8</v>
      </c>
      <c r="O78" t="str" cm="1">
        <f t="array" ref="O78:S78">TRANSPOSE(_xlfn.UNIQUE(_xlfn._xlws.FILTER(MAE_ASIGNATURA[NOM_ASIG],(MAE_ASIGNATURA[ID_NIVEL]=DET_ASIG!$D63)*(MAE_ASIGNATURA[ID_CARRERA]=DET_ASIG!$B63),"No existe información")))</f>
        <v>AUDITORÍA FORENSE</v>
      </c>
      <c r="P78" t="str">
        <v>AUDITORÍA DE GESTIÓN</v>
      </c>
      <c r="Q78" t="str">
        <v>AUDITORÍA INFORMÁTICA</v>
      </c>
      <c r="R78" t="str">
        <v>PROCESO DE CONTRATACIÓN PÚBLICA</v>
      </c>
      <c r="S78" t="str">
        <v>AUDITORÍA AMBIENTAL</v>
      </c>
    </row>
    <row r="79" spans="1:19">
      <c r="A79" cm="1">
        <f t="array" ref="A79:B79">TRANSPOSE(_xlfn.UNIQUE(_xlfn._xlws.FILTER(MAE_ASIGNATURA[ID_NIVEL],MAE_ASIGNATURA[ID_CARRERA]=DET_ASIG!$B64,"No existe información")))</f>
        <v>7</v>
      </c>
      <c r="B79">
        <v>8</v>
      </c>
      <c r="O79" t="str" cm="1">
        <f t="array" ref="O79:R79">TRANSPOSE(_xlfn.UNIQUE(_xlfn._xlws.FILTER(MAE_ASIGNATURA[NOM_ASIG],(MAE_ASIGNATURA[ID_NIVEL]=DET_ASIG!$D64)*(MAE_ASIGNATURA[ID_CARRERA]=DET_ASIG!$B64),"No existe información")))</f>
        <v>Trabajo de integración curricular: Fase de resultados e informe CA-24</v>
      </c>
      <c r="P79" t="str">
        <v>Trabajo de integración curricular: Fase de resultados e informe ACG-24</v>
      </c>
      <c r="Q79" t="str">
        <v>Trabajo de integración curricular: Fase de resultados e informe F-24</v>
      </c>
      <c r="R79" t="str">
        <v>Trabajo de integración curricular: Fase de resultados e informe CA-22</v>
      </c>
    </row>
    <row r="80" spans="1:19">
      <c r="A80" cm="1">
        <f t="array" ref="A80:B80">TRANSPOSE(_xlfn.UNIQUE(_xlfn._xlws.FILTER(MAE_ASIGNATURA[ID_NIVEL],MAE_ASIGNATURA[ID_CARRERA]=DET_ASIG!$B65,"No existe información")))</f>
        <v>7</v>
      </c>
      <c r="B80">
        <v>8</v>
      </c>
      <c r="O80" t="str" cm="1">
        <f t="array" ref="O80:R80">TRANSPOSE(_xlfn.UNIQUE(_xlfn._xlws.FILTER(MAE_ASIGNATURA[NOM_ASIG],(MAE_ASIGNATURA[ID_NIVEL]=DET_ASIG!$D65)*(MAE_ASIGNATURA[ID_CARRERA]=DET_ASIG!$B65),"No existe información")))</f>
        <v>Trabajo de integración curricular: Fase de resultados e informe CA-24</v>
      </c>
      <c r="P80" t="str">
        <v>Trabajo de integración curricular: Fase de resultados e informe ACG-24</v>
      </c>
      <c r="Q80" t="str">
        <v>Trabajo de integración curricular: Fase de resultados e informe F-24</v>
      </c>
      <c r="R80" t="str">
        <v>Trabajo de integración curricular: Fase de resultados e informe CA-22</v>
      </c>
    </row>
    <row r="81" spans="1:19">
      <c r="A81" cm="1">
        <f t="array" ref="A81:B81">TRANSPOSE(_xlfn.UNIQUE(_xlfn._xlws.FILTER(MAE_ASIGNATURA[ID_NIVEL],MAE_ASIGNATURA[ID_CARRERA]=DET_ASIG!$B66,"No existe información")))</f>
        <v>7</v>
      </c>
      <c r="B81">
        <v>8</v>
      </c>
      <c r="O81" t="str" cm="1">
        <f t="array" ref="O81:R81">TRANSPOSE(_xlfn.UNIQUE(_xlfn._xlws.FILTER(MAE_ASIGNATURA[NOM_ASIG],(MAE_ASIGNATURA[ID_NIVEL]=DET_ASIG!$D66)*(MAE_ASIGNATURA[ID_CARRERA]=DET_ASIG!$B66),"No existe información")))</f>
        <v>Trabajo de integración curricular: Fase de resultados e informe CA-24</v>
      </c>
      <c r="P81" t="str">
        <v>Trabajo de integración curricular: Fase de resultados e informe ACG-24</v>
      </c>
      <c r="Q81" t="str">
        <v>Trabajo de integración curricular: Fase de resultados e informe F-24</v>
      </c>
      <c r="R81" t="str">
        <v>Trabajo de integración curricular: Fase de resultados e informe CA-22</v>
      </c>
    </row>
    <row r="82" spans="1:19">
      <c r="A82" cm="1">
        <f t="array" ref="A82:B82">TRANSPOSE(_xlfn.UNIQUE(_xlfn._xlws.FILTER(MAE_ASIGNATURA[ID_NIVEL],MAE_ASIGNATURA[ID_CARRERA]=DET_ASIG!$B67,"No existe información")))</f>
        <v>7</v>
      </c>
      <c r="B82">
        <v>8</v>
      </c>
      <c r="O82" t="str" cm="1">
        <f t="array" ref="O82:R82">TRANSPOSE(_xlfn.UNIQUE(_xlfn._xlws.FILTER(MAE_ASIGNATURA[NOM_ASIG],(MAE_ASIGNATURA[ID_NIVEL]=DET_ASIG!$D67)*(MAE_ASIGNATURA[ID_CARRERA]=DET_ASIG!$B67),"No existe información")))</f>
        <v>Trabajo de integración curricular: Fase de resultados e informe CA-24</v>
      </c>
      <c r="P82" t="str">
        <v>Trabajo de integración curricular: Fase de resultados e informe ACG-24</v>
      </c>
      <c r="Q82" t="str">
        <v>Trabajo de integración curricular: Fase de resultados e informe F-24</v>
      </c>
      <c r="R82" t="str">
        <v>Trabajo de integración curricular: Fase de resultados e informe CA-22</v>
      </c>
    </row>
    <row r="83" spans="1:19">
      <c r="A83" cm="1">
        <f t="array" ref="A83:B83">TRANSPOSE(_xlfn.UNIQUE(_xlfn._xlws.FILTER(MAE_ASIGNATURA[ID_NIVEL],MAE_ASIGNATURA[ID_CARRERA]=DET_ASIG!$B68,"No existe información")))</f>
        <v>7</v>
      </c>
      <c r="B83">
        <v>8</v>
      </c>
      <c r="O83" t="str" cm="1">
        <f t="array" ref="O83:R83">TRANSPOSE(_xlfn.UNIQUE(_xlfn._xlws.FILTER(MAE_ASIGNATURA[NOM_ASIG],(MAE_ASIGNATURA[ID_NIVEL]=DET_ASIG!$D68)*(MAE_ASIGNATURA[ID_CARRERA]=DET_ASIG!$B68),"No existe información")))</f>
        <v>Trabajo de integración curricular: Fase de resultados e informe CA-24</v>
      </c>
      <c r="P83" t="str">
        <v>Trabajo de integración curricular: Fase de resultados e informe ACG-24</v>
      </c>
      <c r="Q83" t="str">
        <v>Trabajo de integración curricular: Fase de resultados e informe F-24</v>
      </c>
      <c r="R83" t="str">
        <v>Trabajo de integración curricular: Fase de resultados e informe CA-22</v>
      </c>
    </row>
    <row r="84" spans="1:19">
      <c r="A84" cm="1">
        <f t="array" ref="A84:B84">TRANSPOSE(_xlfn.UNIQUE(_xlfn._xlws.FILTER(MAE_ASIGNATURA[ID_NIVEL],MAE_ASIGNATURA[ID_CARRERA]=DET_ASIG!$B69,"No existe información")))</f>
        <v>7</v>
      </c>
      <c r="B84">
        <v>8</v>
      </c>
      <c r="O84" t="str" cm="1">
        <f t="array" ref="O84:R84">TRANSPOSE(_xlfn.UNIQUE(_xlfn._xlws.FILTER(MAE_ASIGNATURA[NOM_ASIG],(MAE_ASIGNATURA[ID_NIVEL]=DET_ASIG!$D69)*(MAE_ASIGNATURA[ID_CARRERA]=DET_ASIG!$B69),"No existe información")))</f>
        <v>Trabajo de integración curricular: Fase de resultados e informe CA-24</v>
      </c>
      <c r="P84" t="str">
        <v>Trabajo de integración curricular: Fase de resultados e informe ACG-24</v>
      </c>
      <c r="Q84" t="str">
        <v>Trabajo de integración curricular: Fase de resultados e informe F-24</v>
      </c>
      <c r="R84" t="str">
        <v>Trabajo de integración curricular: Fase de resultados e informe CA-22</v>
      </c>
    </row>
    <row r="85" spans="1:19">
      <c r="A85" cm="1">
        <f t="array" ref="A85:H85">TRANSPOSE(_xlfn.UNIQUE(_xlfn._xlws.FILTER(MAE_ASIGNATURA[ID_NIVEL],MAE_ASIGNATURA[ID_CARRERA]=DET_ASIG!$B70,"No existe información")))</f>
        <v>1</v>
      </c>
      <c r="B85">
        <v>2</v>
      </c>
      <c r="C85">
        <v>3</v>
      </c>
      <c r="D85">
        <v>4</v>
      </c>
      <c r="E85">
        <v>5</v>
      </c>
      <c r="F85">
        <v>6</v>
      </c>
      <c r="G85">
        <v>7</v>
      </c>
      <c r="H85">
        <v>8</v>
      </c>
      <c r="O85" t="str" cm="1">
        <f t="array" ref="O85:R85">TRANSPOSE(_xlfn.UNIQUE(_xlfn._xlws.FILTER(MAE_ASIGNATURA[NOM_ASIG],(MAE_ASIGNATURA[ID_NIVEL]=DET_ASIG!$D70)*(MAE_ASIGNATURA[ID_CARRERA]=DET_ASIG!$B70),"No existe información")))</f>
        <v>FUNDAMENTOS DE CONTABILIDAD</v>
      </c>
      <c r="P85" t="str">
        <v>FUNDAMENTOS DE ADMINISTRACIÓN</v>
      </c>
      <c r="Q85" t="str">
        <v>ESTADÍSTICA DESCRIPTIVA</v>
      </c>
      <c r="R85" t="str">
        <v>LEGISLACIÓN MERCANTIL Y SOCIERTARIA</v>
      </c>
    </row>
    <row r="86" spans="1:19">
      <c r="A86" cm="1">
        <f t="array" ref="A86:H86">TRANSPOSE(_xlfn.UNIQUE(_xlfn._xlws.FILTER(MAE_ASIGNATURA[ID_NIVEL],MAE_ASIGNATURA[ID_CARRERA]=DET_ASIG!$B71,"No existe información")))</f>
        <v>1</v>
      </c>
      <c r="B86">
        <v>2</v>
      </c>
      <c r="C86">
        <v>3</v>
      </c>
      <c r="D86">
        <v>4</v>
      </c>
      <c r="E86">
        <v>5</v>
      </c>
      <c r="F86">
        <v>6</v>
      </c>
      <c r="G86">
        <v>7</v>
      </c>
      <c r="H86">
        <v>8</v>
      </c>
      <c r="O86" t="str" cm="1">
        <f t="array" ref="O86:R86">TRANSPOSE(_xlfn.UNIQUE(_xlfn._xlws.FILTER(MAE_ASIGNATURA[NOM_ASIG],(MAE_ASIGNATURA[ID_NIVEL]=DET_ASIG!$D71)*(MAE_ASIGNATURA[ID_CARRERA]=DET_ASIG!$B71),"No existe información")))</f>
        <v>FUNDAMENTOS DE CONTABILIDAD</v>
      </c>
      <c r="P86" t="str">
        <v>FUNDAMENTOS DE ADMINISTRACIÓN</v>
      </c>
      <c r="Q86" t="str">
        <v>ESTADÍSTICA DESCRIPTIVA</v>
      </c>
      <c r="R86" t="str">
        <v>LEGISLACIÓN MERCANTIL Y SOCIERTARIA</v>
      </c>
    </row>
    <row r="87" spans="1:19">
      <c r="A87" cm="1">
        <f t="array" ref="A87:H87">TRANSPOSE(_xlfn.UNIQUE(_xlfn._xlws.FILTER(MAE_ASIGNATURA[ID_NIVEL],MAE_ASIGNATURA[ID_CARRERA]=DET_ASIG!$B72,"No existe información")))</f>
        <v>1</v>
      </c>
      <c r="B87">
        <v>2</v>
      </c>
      <c r="C87">
        <v>3</v>
      </c>
      <c r="D87">
        <v>4</v>
      </c>
      <c r="E87">
        <v>5</v>
      </c>
      <c r="F87">
        <v>6</v>
      </c>
      <c r="G87">
        <v>7</v>
      </c>
      <c r="H87">
        <v>8</v>
      </c>
      <c r="O87" t="str" cm="1">
        <f t="array" ref="O87:R87">TRANSPOSE(_xlfn.UNIQUE(_xlfn._xlws.FILTER(MAE_ASIGNATURA[NOM_ASIG],(MAE_ASIGNATURA[ID_NIVEL]=DET_ASIG!$D72)*(MAE_ASIGNATURA[ID_CARRERA]=DET_ASIG!$B72),"No existe información")))</f>
        <v>FUNDAMENTOS DE CONTABILIDAD</v>
      </c>
      <c r="P87" t="str">
        <v>FUNDAMENTOS DE ADMINISTRACIÓN</v>
      </c>
      <c r="Q87" t="str">
        <v>ESTADÍSTICA DESCRIPTIVA</v>
      </c>
      <c r="R87" t="str">
        <v>LEGISLACIÓN MERCANTIL Y SOCIERTARIA</v>
      </c>
    </row>
    <row r="88" spans="1:19">
      <c r="A88" cm="1">
        <f t="array" ref="A88:H88">TRANSPOSE(_xlfn.UNIQUE(_xlfn._xlws.FILTER(MAE_ASIGNATURA[ID_NIVEL],MAE_ASIGNATURA[ID_CARRERA]=DET_ASIG!$B73,"No existe información")))</f>
        <v>1</v>
      </c>
      <c r="B88">
        <v>2</v>
      </c>
      <c r="C88">
        <v>3</v>
      </c>
      <c r="D88">
        <v>4</v>
      </c>
      <c r="E88">
        <v>5</v>
      </c>
      <c r="F88">
        <v>6</v>
      </c>
      <c r="G88">
        <v>7</v>
      </c>
      <c r="H88">
        <v>8</v>
      </c>
      <c r="O88" t="str" cm="1">
        <f t="array" ref="O88:R88">TRANSPOSE(_xlfn.UNIQUE(_xlfn._xlws.FILTER(MAE_ASIGNATURA[NOM_ASIG],(MAE_ASIGNATURA[ID_NIVEL]=DET_ASIG!$D73)*(MAE_ASIGNATURA[ID_CARRERA]=DET_ASIG!$B73),"No existe información")))</f>
        <v>FUNDAMENTOS DE CONTABILIDAD</v>
      </c>
      <c r="P88" t="str">
        <v>FUNDAMENTOS DE ADMINISTRACIÓN</v>
      </c>
      <c r="Q88" t="str">
        <v>ESTADÍSTICA DESCRIPTIVA</v>
      </c>
      <c r="R88" t="str">
        <v>LEGISLACIÓN MERCANTIL Y SOCIERTARIA</v>
      </c>
    </row>
    <row r="89" spans="1:19">
      <c r="A89" cm="1">
        <f t="array" ref="A89:H89">TRANSPOSE(_xlfn.UNIQUE(_xlfn._xlws.FILTER(MAE_ASIGNATURA[ID_NIVEL],MAE_ASIGNATURA[ID_CARRERA]=DET_ASIG!$B74,"No existe información")))</f>
        <v>1</v>
      </c>
      <c r="B89">
        <v>2</v>
      </c>
      <c r="C89">
        <v>3</v>
      </c>
      <c r="D89">
        <v>4</v>
      </c>
      <c r="E89">
        <v>5</v>
      </c>
      <c r="F89">
        <v>6</v>
      </c>
      <c r="G89">
        <v>7</v>
      </c>
      <c r="H89">
        <v>8</v>
      </c>
      <c r="O89" t="str" cm="1">
        <f t="array" ref="O89:R89">TRANSPOSE(_xlfn.UNIQUE(_xlfn._xlws.FILTER(MAE_ASIGNATURA[NOM_ASIG],(MAE_ASIGNATURA[ID_NIVEL]=DET_ASIG!$D74)*(MAE_ASIGNATURA[ID_CARRERA]=DET_ASIG!$B74),"No existe información")))</f>
        <v>CONTABILIDAD FINANCIERA</v>
      </c>
      <c r="P89" t="str">
        <v>MATEMÁTICA FINANCIERA</v>
      </c>
      <c r="Q89" t="str">
        <v>ESTADÍSTICA INFERENCIAL</v>
      </c>
      <c r="R89" t="str">
        <v>LEGISLACIÓN LABORAL</v>
      </c>
    </row>
    <row r="90" spans="1:19">
      <c r="A90" cm="1">
        <f t="array" ref="A90:H90">TRANSPOSE(_xlfn.UNIQUE(_xlfn._xlws.FILTER(MAE_ASIGNATURA[ID_NIVEL],MAE_ASIGNATURA[ID_CARRERA]=DET_ASIG!$B75,"No existe información")))</f>
        <v>1</v>
      </c>
      <c r="B90">
        <v>2</v>
      </c>
      <c r="C90">
        <v>3</v>
      </c>
      <c r="D90">
        <v>4</v>
      </c>
      <c r="E90">
        <v>5</v>
      </c>
      <c r="F90">
        <v>6</v>
      </c>
      <c r="G90">
        <v>7</v>
      </c>
      <c r="H90">
        <v>8</v>
      </c>
      <c r="O90" t="str" cm="1">
        <f t="array" ref="O90:R90">TRANSPOSE(_xlfn.UNIQUE(_xlfn._xlws.FILTER(MAE_ASIGNATURA[NOM_ASIG],(MAE_ASIGNATURA[ID_NIVEL]=DET_ASIG!$D75)*(MAE_ASIGNATURA[ID_CARRERA]=DET_ASIG!$B75),"No existe información")))</f>
        <v>CONTABILIDAD FINANCIERA</v>
      </c>
      <c r="P90" t="str">
        <v>MATEMÁTICA FINANCIERA</v>
      </c>
      <c r="Q90" t="str">
        <v>ESTADÍSTICA INFERENCIAL</v>
      </c>
      <c r="R90" t="str">
        <v>LEGISLACIÓN LABORAL</v>
      </c>
    </row>
    <row r="91" spans="1:19">
      <c r="A91" cm="1">
        <f t="array" ref="A91:H91">TRANSPOSE(_xlfn.UNIQUE(_xlfn._xlws.FILTER(MAE_ASIGNATURA[ID_NIVEL],MAE_ASIGNATURA[ID_CARRERA]=DET_ASIG!$B76,"No existe información")))</f>
        <v>1</v>
      </c>
      <c r="B91">
        <v>2</v>
      </c>
      <c r="C91">
        <v>3</v>
      </c>
      <c r="D91">
        <v>4</v>
      </c>
      <c r="E91">
        <v>5</v>
      </c>
      <c r="F91">
        <v>6</v>
      </c>
      <c r="G91">
        <v>7</v>
      </c>
      <c r="H91">
        <v>8</v>
      </c>
      <c r="O91" t="str" cm="1">
        <f t="array" ref="O91:R91">TRANSPOSE(_xlfn.UNIQUE(_xlfn._xlws.FILTER(MAE_ASIGNATURA[NOM_ASIG],(MAE_ASIGNATURA[ID_NIVEL]=DET_ASIG!$D76)*(MAE_ASIGNATURA[ID_CARRERA]=DET_ASIG!$B76),"No existe información")))</f>
        <v>CONTABILIDAD FINANCIERA</v>
      </c>
      <c r="P91" t="str">
        <v>MATEMÁTICA FINANCIERA</v>
      </c>
      <c r="Q91" t="str">
        <v>ESTADÍSTICA INFERENCIAL</v>
      </c>
      <c r="R91" t="str">
        <v>LEGISLACIÓN LABORAL</v>
      </c>
    </row>
    <row r="92" spans="1:19">
      <c r="A92" cm="1">
        <f t="array" ref="A92:H92">TRANSPOSE(_xlfn.UNIQUE(_xlfn._xlws.FILTER(MAE_ASIGNATURA[ID_NIVEL],MAE_ASIGNATURA[ID_CARRERA]=DET_ASIG!$B77,"No existe información")))</f>
        <v>1</v>
      </c>
      <c r="B92">
        <v>2</v>
      </c>
      <c r="C92">
        <v>3</v>
      </c>
      <c r="D92">
        <v>4</v>
      </c>
      <c r="E92">
        <v>5</v>
      </c>
      <c r="F92">
        <v>6</v>
      </c>
      <c r="G92">
        <v>7</v>
      </c>
      <c r="H92">
        <v>8</v>
      </c>
      <c r="O92" t="str" cm="1">
        <f t="array" ref="O92:R92">TRANSPOSE(_xlfn.UNIQUE(_xlfn._xlws.FILTER(MAE_ASIGNATURA[NOM_ASIG],(MAE_ASIGNATURA[ID_NIVEL]=DET_ASIG!$D77)*(MAE_ASIGNATURA[ID_CARRERA]=DET_ASIG!$B77),"No existe información")))</f>
        <v>CONTABILIDAD FINANCIERA</v>
      </c>
      <c r="P92" t="str">
        <v>MATEMÁTICA FINANCIERA</v>
      </c>
      <c r="Q92" t="str">
        <v>ESTADÍSTICA INFERENCIAL</v>
      </c>
      <c r="R92" t="str">
        <v>LEGISLACIÓN LABORAL</v>
      </c>
    </row>
    <row r="93" spans="1:19">
      <c r="A93" cm="1">
        <f t="array" ref="A93:H93">TRANSPOSE(_xlfn.UNIQUE(_xlfn._xlws.FILTER(MAE_ASIGNATURA[ID_NIVEL],MAE_ASIGNATURA[ID_CARRERA]=DET_ASIG!$B78,"No existe información")))</f>
        <v>1</v>
      </c>
      <c r="B93">
        <v>2</v>
      </c>
      <c r="C93">
        <v>3</v>
      </c>
      <c r="D93">
        <v>4</v>
      </c>
      <c r="E93">
        <v>5</v>
      </c>
      <c r="F93">
        <v>6</v>
      </c>
      <c r="G93">
        <v>7</v>
      </c>
      <c r="H93">
        <v>8</v>
      </c>
      <c r="O93" t="str" cm="1">
        <f t="array" ref="O93:S93">TRANSPOSE(_xlfn.UNIQUE(_xlfn._xlws.FILTER(MAE_ASIGNATURA[NOM_ASIG],(MAE_ASIGNATURA[ID_NIVEL]=DET_ASIG!$D78)*(MAE_ASIGNATURA[ID_CARRERA]=DET_ASIG!$B78),"No existe información")))</f>
        <v>CONTABILIDAD DE COSTOS</v>
      </c>
      <c r="P93" t="str">
        <v>CONTABILIDAD SOCIAL Y AMBIENTAL</v>
      </c>
      <c r="Q93" t="str">
        <v>ADMINISTRACIÓN FINANCIERA</v>
      </c>
      <c r="R93" t="str">
        <v>FUNDAMENTOS DE AUDITORÍAS</v>
      </c>
      <c r="S93" t="str">
        <v>GESTIÓN DE TALENTO HUMANO</v>
      </c>
    </row>
    <row r="94" spans="1:19">
      <c r="A94" cm="1">
        <f t="array" ref="A94:H94">TRANSPOSE(_xlfn.UNIQUE(_xlfn._xlws.FILTER(MAE_ASIGNATURA[ID_NIVEL],MAE_ASIGNATURA[ID_CARRERA]=DET_ASIG!$B79,"No existe información")))</f>
        <v>1</v>
      </c>
      <c r="B94">
        <v>2</v>
      </c>
      <c r="C94">
        <v>3</v>
      </c>
      <c r="D94">
        <v>4</v>
      </c>
      <c r="E94">
        <v>5</v>
      </c>
      <c r="F94">
        <v>6</v>
      </c>
      <c r="G94">
        <v>7</v>
      </c>
      <c r="H94">
        <v>8</v>
      </c>
      <c r="O94" t="str" cm="1">
        <f t="array" ref="O94:S94">TRANSPOSE(_xlfn.UNIQUE(_xlfn._xlws.FILTER(MAE_ASIGNATURA[NOM_ASIG],(MAE_ASIGNATURA[ID_NIVEL]=DET_ASIG!$D79)*(MAE_ASIGNATURA[ID_CARRERA]=DET_ASIG!$B79),"No existe información")))</f>
        <v>CONTABILIDAD DE COSTOS</v>
      </c>
      <c r="P94" t="str">
        <v>CONTABILIDAD SOCIAL Y AMBIENTAL</v>
      </c>
      <c r="Q94" t="str">
        <v>ADMINISTRACIÓN FINANCIERA</v>
      </c>
      <c r="R94" t="str">
        <v>FUNDAMENTOS DE AUDITORÍAS</v>
      </c>
      <c r="S94" t="str">
        <v>GESTIÓN DE TALENTO HUMANO</v>
      </c>
    </row>
    <row r="95" spans="1:19">
      <c r="A95" cm="1">
        <f t="array" ref="A95:H95">TRANSPOSE(_xlfn.UNIQUE(_xlfn._xlws.FILTER(MAE_ASIGNATURA[ID_NIVEL],MAE_ASIGNATURA[ID_CARRERA]=DET_ASIG!$B80,"No existe información")))</f>
        <v>1</v>
      </c>
      <c r="B95">
        <v>2</v>
      </c>
      <c r="C95">
        <v>3</v>
      </c>
      <c r="D95">
        <v>4</v>
      </c>
      <c r="E95">
        <v>5</v>
      </c>
      <c r="F95">
        <v>6</v>
      </c>
      <c r="G95">
        <v>7</v>
      </c>
      <c r="H95">
        <v>8</v>
      </c>
      <c r="O95" t="str" cm="1">
        <f t="array" ref="O95:S95">TRANSPOSE(_xlfn.UNIQUE(_xlfn._xlws.FILTER(MAE_ASIGNATURA[NOM_ASIG],(MAE_ASIGNATURA[ID_NIVEL]=DET_ASIG!$D80)*(MAE_ASIGNATURA[ID_CARRERA]=DET_ASIG!$B80),"No existe información")))</f>
        <v>CONTABILIDAD DE COSTOS</v>
      </c>
      <c r="P95" t="str">
        <v>CONTABILIDAD SOCIAL Y AMBIENTAL</v>
      </c>
      <c r="Q95" t="str">
        <v>ADMINISTRACIÓN FINANCIERA</v>
      </c>
      <c r="R95" t="str">
        <v>FUNDAMENTOS DE AUDITORÍAS</v>
      </c>
      <c r="S95" t="str">
        <v>GESTIÓN DE TALENTO HUMANO</v>
      </c>
    </row>
    <row r="96" spans="1:19">
      <c r="A96" cm="1">
        <f t="array" ref="A96:H96">TRANSPOSE(_xlfn.UNIQUE(_xlfn._xlws.FILTER(MAE_ASIGNATURA[ID_NIVEL],MAE_ASIGNATURA[ID_CARRERA]=DET_ASIG!$B81,"No existe información")))</f>
        <v>1</v>
      </c>
      <c r="B96">
        <v>2</v>
      </c>
      <c r="C96">
        <v>3</v>
      </c>
      <c r="D96">
        <v>4</v>
      </c>
      <c r="E96">
        <v>5</v>
      </c>
      <c r="F96">
        <v>6</v>
      </c>
      <c r="G96">
        <v>7</v>
      </c>
      <c r="H96">
        <v>8</v>
      </c>
      <c r="O96" t="str" cm="1">
        <f t="array" ref="O96:S96">TRANSPOSE(_xlfn.UNIQUE(_xlfn._xlws.FILTER(MAE_ASIGNATURA[NOM_ASIG],(MAE_ASIGNATURA[ID_NIVEL]=DET_ASIG!$D81)*(MAE_ASIGNATURA[ID_CARRERA]=DET_ASIG!$B81),"No existe información")))</f>
        <v>CONTABILIDAD DE COSTOS</v>
      </c>
      <c r="P96" t="str">
        <v>CONTABILIDAD SOCIAL Y AMBIENTAL</v>
      </c>
      <c r="Q96" t="str">
        <v>ADMINISTRACIÓN FINANCIERA</v>
      </c>
      <c r="R96" t="str">
        <v>FUNDAMENTOS DE AUDITORÍAS</v>
      </c>
      <c r="S96" t="str">
        <v>GESTIÓN DE TALENTO HUMANO</v>
      </c>
    </row>
    <row r="97" spans="1:19">
      <c r="A97" cm="1">
        <f t="array" ref="A97:H97">TRANSPOSE(_xlfn.UNIQUE(_xlfn._xlws.FILTER(MAE_ASIGNATURA[ID_NIVEL],MAE_ASIGNATURA[ID_CARRERA]=DET_ASIG!$B82,"No existe información")))</f>
        <v>1</v>
      </c>
      <c r="B97">
        <v>2</v>
      </c>
      <c r="C97">
        <v>3</v>
      </c>
      <c r="D97">
        <v>4</v>
      </c>
      <c r="E97">
        <v>5</v>
      </c>
      <c r="F97">
        <v>6</v>
      </c>
      <c r="G97">
        <v>7</v>
      </c>
      <c r="H97">
        <v>8</v>
      </c>
      <c r="O97" t="str" cm="1">
        <f t="array" ref="O97:S97">TRANSPOSE(_xlfn.UNIQUE(_xlfn._xlws.FILTER(MAE_ASIGNATURA[NOM_ASIG],(MAE_ASIGNATURA[ID_NIVEL]=DET_ASIG!$D82)*(MAE_ASIGNATURA[ID_CARRERA]=DET_ASIG!$B82),"No existe información")))</f>
        <v>CONTABILIDAD DE COSTOS</v>
      </c>
      <c r="P97" t="str">
        <v>CONTABILIDAD SOCIAL Y AMBIENTAL</v>
      </c>
      <c r="Q97" t="str">
        <v>ADMINISTRACIÓN FINANCIERA</v>
      </c>
      <c r="R97" t="str">
        <v>FUNDAMENTOS DE AUDITORÍAS</v>
      </c>
      <c r="S97" t="str">
        <v>GESTIÓN DE TALENTO HUMANO</v>
      </c>
    </row>
    <row r="98" spans="1:19">
      <c r="A98" cm="1">
        <f t="array" ref="A98:H98">TRANSPOSE(_xlfn.UNIQUE(_xlfn._xlws.FILTER(MAE_ASIGNATURA[ID_NIVEL],MAE_ASIGNATURA[ID_CARRERA]=DET_ASIG!$B83,"No existe información")))</f>
        <v>1</v>
      </c>
      <c r="B98">
        <v>2</v>
      </c>
      <c r="C98">
        <v>3</v>
      </c>
      <c r="D98">
        <v>4</v>
      </c>
      <c r="E98">
        <v>5</v>
      </c>
      <c r="F98">
        <v>6</v>
      </c>
      <c r="G98">
        <v>7</v>
      </c>
      <c r="H98">
        <v>8</v>
      </c>
      <c r="O98" t="str" cm="1">
        <f t="array" ref="O98:S98">TRANSPOSE(_xlfn.UNIQUE(_xlfn._xlws.FILTER(MAE_ASIGNATURA[NOM_ASIG],(MAE_ASIGNATURA[ID_NIVEL]=DET_ASIG!$D83)*(MAE_ASIGNATURA[ID_CARRERA]=DET_ASIG!$B83),"No existe información")))</f>
        <v>CONTABILIDAD DE COSTOS</v>
      </c>
      <c r="P98" t="str">
        <v>CONTABILIDAD SOCIAL Y AMBIENTAL</v>
      </c>
      <c r="Q98" t="str">
        <v>ADMINISTRACIÓN FINANCIERA</v>
      </c>
      <c r="R98" t="str">
        <v>FUNDAMENTOS DE AUDITORÍAS</v>
      </c>
      <c r="S98" t="str">
        <v>GESTIÓN DE TALENTO HUMANO</v>
      </c>
    </row>
    <row r="99" spans="1:19">
      <c r="A99" cm="1">
        <f t="array" ref="A99:H99">TRANSPOSE(_xlfn.UNIQUE(_xlfn._xlws.FILTER(MAE_ASIGNATURA[ID_NIVEL],MAE_ASIGNATURA[ID_CARRERA]=DET_ASIG!$B84,"No existe información")))</f>
        <v>1</v>
      </c>
      <c r="B99">
        <v>2</v>
      </c>
      <c r="C99">
        <v>3</v>
      </c>
      <c r="D99">
        <v>4</v>
      </c>
      <c r="E99">
        <v>5</v>
      </c>
      <c r="F99">
        <v>6</v>
      </c>
      <c r="G99">
        <v>7</v>
      </c>
      <c r="H99">
        <v>8</v>
      </c>
      <c r="O99" t="str" cm="1">
        <f t="array" ref="O99:S99">TRANSPOSE(_xlfn.UNIQUE(_xlfn._xlws.FILTER(MAE_ASIGNATURA[NOM_ASIG],(MAE_ASIGNATURA[ID_NIVEL]=DET_ASIG!$D84)*(MAE_ASIGNATURA[ID_CARRERA]=DET_ASIG!$B84),"No existe información")))</f>
        <v>CONTABILIDAD DE COSTOS</v>
      </c>
      <c r="P99" t="str">
        <v>CONTABILIDAD SOCIAL Y AMBIENTAL</v>
      </c>
      <c r="Q99" t="str">
        <v>ADMINISTRACIÓN FINANCIERA</v>
      </c>
      <c r="R99" t="str">
        <v>FUNDAMENTOS DE AUDITORÍAS</v>
      </c>
      <c r="S99" t="str">
        <v>GESTIÓN DE TALENTO HUMANO</v>
      </c>
    </row>
    <row r="100" spans="1:19">
      <c r="A100" cm="1">
        <f t="array" ref="A100:H100">TRANSPOSE(_xlfn.UNIQUE(_xlfn._xlws.FILTER(MAE_ASIGNATURA[ID_NIVEL],MAE_ASIGNATURA[ID_CARRERA]=DET_ASIG!$B85,"No existe información")))</f>
        <v>1</v>
      </c>
      <c r="B100">
        <v>2</v>
      </c>
      <c r="C100">
        <v>3</v>
      </c>
      <c r="D100">
        <v>4</v>
      </c>
      <c r="E100">
        <v>5</v>
      </c>
      <c r="F100">
        <v>6</v>
      </c>
      <c r="G100">
        <v>7</v>
      </c>
      <c r="H100">
        <v>8</v>
      </c>
      <c r="O100" t="str" cm="1">
        <f t="array" ref="O100:S100">TRANSPOSE(_xlfn.UNIQUE(_xlfn._xlws.FILTER(MAE_ASIGNATURA[NOM_ASIG],(MAE_ASIGNATURA[ID_NIVEL]=DET_ASIG!$D85)*(MAE_ASIGNATURA[ID_CARRERA]=DET_ASIG!$B85),"No existe información")))</f>
        <v>CONTABILIDAD DE COSTOS</v>
      </c>
      <c r="P100" t="str">
        <v>CONTABILIDAD SOCIAL Y AMBIENTAL</v>
      </c>
      <c r="Q100" t="str">
        <v>ADMINISTRACIÓN FINANCIERA</v>
      </c>
      <c r="R100" t="str">
        <v>FUNDAMENTOS DE AUDITORÍAS</v>
      </c>
      <c r="S100" t="str">
        <v>GESTIÓN DE TALENTO HUMANO</v>
      </c>
    </row>
    <row r="101" spans="1:19">
      <c r="A101" cm="1">
        <f t="array" ref="A101:H101">TRANSPOSE(_xlfn.UNIQUE(_xlfn._xlws.FILTER(MAE_ASIGNATURA[ID_NIVEL],MAE_ASIGNATURA[ID_CARRERA]=DET_ASIG!$B86,"No existe información")))</f>
        <v>1</v>
      </c>
      <c r="B101">
        <v>2</v>
      </c>
      <c r="C101">
        <v>3</v>
      </c>
      <c r="D101">
        <v>4</v>
      </c>
      <c r="E101">
        <v>5</v>
      </c>
      <c r="F101">
        <v>6</v>
      </c>
      <c r="G101">
        <v>7</v>
      </c>
      <c r="H101">
        <v>8</v>
      </c>
      <c r="O101" t="str" cm="1">
        <f t="array" ref="O101:S101">TRANSPOSE(_xlfn.UNIQUE(_xlfn._xlws.FILTER(MAE_ASIGNATURA[NOM_ASIG],(MAE_ASIGNATURA[ID_NIVEL]=DET_ASIG!$D86)*(MAE_ASIGNATURA[ID_CARRERA]=DET_ASIG!$B86),"No existe información")))</f>
        <v>CONTABILIDAD DE COSTOS</v>
      </c>
      <c r="P101" t="str">
        <v>CONTABILIDAD SOCIAL Y AMBIENTAL</v>
      </c>
      <c r="Q101" t="str">
        <v>ADMINISTRACIÓN FINANCIERA</v>
      </c>
      <c r="R101" t="str">
        <v>FUNDAMENTOS DE AUDITORÍAS</v>
      </c>
      <c r="S101" t="str">
        <v>GESTIÓN DE TALENTO HUMANO</v>
      </c>
    </row>
    <row r="102" spans="1:19">
      <c r="A102" cm="1">
        <f t="array" ref="A102:H102">TRANSPOSE(_xlfn.UNIQUE(_xlfn._xlws.FILTER(MAE_ASIGNATURA[ID_NIVEL],MAE_ASIGNATURA[ID_CARRERA]=DET_ASIG!$B87,"No existe información")))</f>
        <v>1</v>
      </c>
      <c r="B102">
        <v>2</v>
      </c>
      <c r="C102">
        <v>3</v>
      </c>
      <c r="D102">
        <v>4</v>
      </c>
      <c r="E102">
        <v>5</v>
      </c>
      <c r="F102">
        <v>6</v>
      </c>
      <c r="G102">
        <v>7</v>
      </c>
      <c r="H102">
        <v>8</v>
      </c>
      <c r="O102" t="str" cm="1">
        <f t="array" ref="O102:S102">TRANSPOSE(_xlfn.UNIQUE(_xlfn._xlws.FILTER(MAE_ASIGNATURA[NOM_ASIG],(MAE_ASIGNATURA[ID_NIVEL]=DET_ASIG!$D87)*(MAE_ASIGNATURA[ID_CARRERA]=DET_ASIG!$B87),"No existe información")))</f>
        <v>PLANIFICACIÓN DE AUDITORÍAS</v>
      </c>
      <c r="P102" t="str">
        <v>CONTABILIDAD EN EL SECTOR PÚBLICO</v>
      </c>
      <c r="Q102" t="str">
        <v>GESTIÓN TRIBUTARIA</v>
      </c>
      <c r="R102" t="str">
        <v>PLANIFICACIÓN Y DIRECCIÓN ESTRATÉGICA</v>
      </c>
      <c r="S102" t="str">
        <v>ÉTICA PROFESIONAL</v>
      </c>
    </row>
    <row r="103" spans="1:19">
      <c r="A103" cm="1">
        <f t="array" ref="A103:H103">TRANSPOSE(_xlfn.UNIQUE(_xlfn._xlws.FILTER(MAE_ASIGNATURA[ID_NIVEL],MAE_ASIGNATURA[ID_CARRERA]=DET_ASIG!$B88,"No existe información")))</f>
        <v>1</v>
      </c>
      <c r="B103">
        <v>2</v>
      </c>
      <c r="C103">
        <v>3</v>
      </c>
      <c r="D103">
        <v>4</v>
      </c>
      <c r="E103">
        <v>5</v>
      </c>
      <c r="F103">
        <v>6</v>
      </c>
      <c r="G103">
        <v>7</v>
      </c>
      <c r="H103">
        <v>8</v>
      </c>
      <c r="O103" t="str" cm="1">
        <f t="array" ref="O103:S103">TRANSPOSE(_xlfn.UNIQUE(_xlfn._xlws.FILTER(MAE_ASIGNATURA[NOM_ASIG],(MAE_ASIGNATURA[ID_NIVEL]=DET_ASIG!$D88)*(MAE_ASIGNATURA[ID_CARRERA]=DET_ASIG!$B88),"No existe información")))</f>
        <v>PLANIFICACIÓN DE AUDITORÍAS</v>
      </c>
      <c r="P103" t="str">
        <v>CONTABILIDAD EN EL SECTOR PÚBLICO</v>
      </c>
      <c r="Q103" t="str">
        <v>GESTIÓN TRIBUTARIA</v>
      </c>
      <c r="R103" t="str">
        <v>PLANIFICACIÓN Y DIRECCIÓN ESTRATÉGICA</v>
      </c>
      <c r="S103" t="str">
        <v>ÉTICA PROFESIONAL</v>
      </c>
    </row>
    <row r="104" spans="1:19">
      <c r="A104" cm="1">
        <f t="array" ref="A104:H104">TRANSPOSE(_xlfn.UNIQUE(_xlfn._xlws.FILTER(MAE_ASIGNATURA[ID_NIVEL],MAE_ASIGNATURA[ID_CARRERA]=DET_ASIG!$B89,"No existe información")))</f>
        <v>1</v>
      </c>
      <c r="B104">
        <v>2</v>
      </c>
      <c r="C104">
        <v>3</v>
      </c>
      <c r="D104">
        <v>4</v>
      </c>
      <c r="E104">
        <v>5</v>
      </c>
      <c r="F104">
        <v>6</v>
      </c>
      <c r="G104">
        <v>7</v>
      </c>
      <c r="H104">
        <v>8</v>
      </c>
      <c r="O104" t="str" cm="1">
        <f t="array" ref="O104:S104">TRANSPOSE(_xlfn.UNIQUE(_xlfn._xlws.FILTER(MAE_ASIGNATURA[NOM_ASIG],(MAE_ASIGNATURA[ID_NIVEL]=DET_ASIG!$D89)*(MAE_ASIGNATURA[ID_CARRERA]=DET_ASIG!$B89),"No existe información")))</f>
        <v>PLANIFICACIÓN DE AUDITORÍAS</v>
      </c>
      <c r="P104" t="str">
        <v>CONTABILIDAD EN EL SECTOR PÚBLICO</v>
      </c>
      <c r="Q104" t="str">
        <v>GESTIÓN TRIBUTARIA</v>
      </c>
      <c r="R104" t="str">
        <v>PLANIFICACIÓN Y DIRECCIÓN ESTRATÉGICA</v>
      </c>
      <c r="S104" t="str">
        <v>ÉTICA PROFESIONAL</v>
      </c>
    </row>
    <row r="105" spans="1:19">
      <c r="A105" cm="1">
        <f t="array" ref="A105:H105">TRANSPOSE(_xlfn.UNIQUE(_xlfn._xlws.FILTER(MAE_ASIGNATURA[ID_NIVEL],MAE_ASIGNATURA[ID_CARRERA]=DET_ASIG!$B90,"No existe información")))</f>
        <v>1</v>
      </c>
      <c r="B105">
        <v>2</v>
      </c>
      <c r="C105">
        <v>3</v>
      </c>
      <c r="D105">
        <v>4</v>
      </c>
      <c r="E105">
        <v>5</v>
      </c>
      <c r="F105">
        <v>6</v>
      </c>
      <c r="G105">
        <v>7</v>
      </c>
      <c r="H105">
        <v>8</v>
      </c>
      <c r="O105" t="str" cm="1">
        <f t="array" ref="O105:S105">TRANSPOSE(_xlfn.UNIQUE(_xlfn._xlws.FILTER(MAE_ASIGNATURA[NOM_ASIG],(MAE_ASIGNATURA[ID_NIVEL]=DET_ASIG!$D90)*(MAE_ASIGNATURA[ID_CARRERA]=DET_ASIG!$B90),"No existe información")))</f>
        <v>PLANIFICACIÓN DE AUDITORÍAS</v>
      </c>
      <c r="P105" t="str">
        <v>CONTABILIDAD EN EL SECTOR PÚBLICO</v>
      </c>
      <c r="Q105" t="str">
        <v>GESTIÓN TRIBUTARIA</v>
      </c>
      <c r="R105" t="str">
        <v>PLANIFICACIÓN Y DIRECCIÓN ESTRATÉGICA</v>
      </c>
      <c r="S105" t="str">
        <v>ÉTICA PROFESIONAL</v>
      </c>
    </row>
    <row r="106" spans="1:19">
      <c r="A106" cm="1">
        <f t="array" ref="A106:H106">TRANSPOSE(_xlfn.UNIQUE(_xlfn._xlws.FILTER(MAE_ASIGNATURA[ID_NIVEL],MAE_ASIGNATURA[ID_CARRERA]=DET_ASIG!$B91,"No existe información")))</f>
        <v>1</v>
      </c>
      <c r="B106">
        <v>2</v>
      </c>
      <c r="C106">
        <v>3</v>
      </c>
      <c r="D106">
        <v>4</v>
      </c>
      <c r="E106">
        <v>5</v>
      </c>
      <c r="F106">
        <v>6</v>
      </c>
      <c r="G106">
        <v>7</v>
      </c>
      <c r="H106">
        <v>8</v>
      </c>
      <c r="O106" t="str" cm="1">
        <f t="array" ref="O106:S106">TRANSPOSE(_xlfn.UNIQUE(_xlfn._xlws.FILTER(MAE_ASIGNATURA[NOM_ASIG],(MAE_ASIGNATURA[ID_NIVEL]=DET_ASIG!$D91)*(MAE_ASIGNATURA[ID_CARRERA]=DET_ASIG!$B91),"No existe información")))</f>
        <v>PLANIFICACIÓN DE AUDITORÍAS</v>
      </c>
      <c r="P106" t="str">
        <v>CONTABILIDAD EN EL SECTOR PÚBLICO</v>
      </c>
      <c r="Q106" t="str">
        <v>GESTIÓN TRIBUTARIA</v>
      </c>
      <c r="R106" t="str">
        <v>PLANIFICACIÓN Y DIRECCIÓN ESTRATÉGICA</v>
      </c>
      <c r="S106" t="str">
        <v>ÉTICA PROFESIONAL</v>
      </c>
    </row>
    <row r="107" spans="1:19">
      <c r="A107" cm="1">
        <f t="array" ref="A107:H107">TRANSPOSE(_xlfn.UNIQUE(_xlfn._xlws.FILTER(MAE_ASIGNATURA[ID_NIVEL],MAE_ASIGNATURA[ID_CARRERA]=DET_ASIG!$B92,"No existe información")))</f>
        <v>1</v>
      </c>
      <c r="B107">
        <v>2</v>
      </c>
      <c r="C107">
        <v>3</v>
      </c>
      <c r="D107">
        <v>4</v>
      </c>
      <c r="E107">
        <v>5</v>
      </c>
      <c r="F107">
        <v>6</v>
      </c>
      <c r="G107">
        <v>7</v>
      </c>
      <c r="H107">
        <v>8</v>
      </c>
      <c r="O107" t="str" cm="1">
        <f t="array" ref="O107:S107">TRANSPOSE(_xlfn.UNIQUE(_xlfn._xlws.FILTER(MAE_ASIGNATURA[NOM_ASIG],(MAE_ASIGNATURA[ID_NIVEL]=DET_ASIG!$D92)*(MAE_ASIGNATURA[ID_CARRERA]=DET_ASIG!$B92),"No existe información")))</f>
        <v>PLANIFICACIÓN DE AUDITORÍAS</v>
      </c>
      <c r="P107" t="str">
        <v>CONTABILIDAD EN EL SECTOR PÚBLICO</v>
      </c>
      <c r="Q107" t="str">
        <v>GESTIÓN TRIBUTARIA</v>
      </c>
      <c r="R107" t="str">
        <v>PLANIFICACIÓN Y DIRECCIÓN ESTRATÉGICA</v>
      </c>
      <c r="S107" t="str">
        <v>ÉTICA PROFESIONAL</v>
      </c>
    </row>
    <row r="108" spans="1:19">
      <c r="A108" cm="1">
        <f t="array" ref="A108:H108">TRANSPOSE(_xlfn.UNIQUE(_xlfn._xlws.FILTER(MAE_ASIGNATURA[ID_NIVEL],MAE_ASIGNATURA[ID_CARRERA]=DET_ASIG!$B93,"No existe información")))</f>
        <v>1</v>
      </c>
      <c r="B108">
        <v>2</v>
      </c>
      <c r="C108">
        <v>3</v>
      </c>
      <c r="D108">
        <v>4</v>
      </c>
      <c r="E108">
        <v>5</v>
      </c>
      <c r="F108">
        <v>6</v>
      </c>
      <c r="G108">
        <v>7</v>
      </c>
      <c r="H108">
        <v>8</v>
      </c>
      <c r="O108" t="str" cm="1">
        <f t="array" ref="O108:S108">TRANSPOSE(_xlfn.UNIQUE(_xlfn._xlws.FILTER(MAE_ASIGNATURA[NOM_ASIG],(MAE_ASIGNATURA[ID_NIVEL]=DET_ASIG!$D93)*(MAE_ASIGNATURA[ID_CARRERA]=DET_ASIG!$B93),"No existe información")))</f>
        <v>PLANIFICACIÓN DE AUDITORÍAS</v>
      </c>
      <c r="P108" t="str">
        <v>CONTABILIDAD EN EL SECTOR PÚBLICO</v>
      </c>
      <c r="Q108" t="str">
        <v>GESTIÓN TRIBUTARIA</v>
      </c>
      <c r="R108" t="str">
        <v>PLANIFICACIÓN Y DIRECCIÓN ESTRATÉGICA</v>
      </c>
      <c r="S108" t="str">
        <v>ÉTICA PROFESIONAL</v>
      </c>
    </row>
    <row r="109" spans="1:19">
      <c r="A109" cm="1">
        <f t="array" ref="A109:H109">TRANSPOSE(_xlfn.UNIQUE(_xlfn._xlws.FILTER(MAE_ASIGNATURA[ID_NIVEL],MAE_ASIGNATURA[ID_CARRERA]=DET_ASIG!$B94,"No existe información")))</f>
        <v>1</v>
      </c>
      <c r="B109">
        <v>2</v>
      </c>
      <c r="C109">
        <v>3</v>
      </c>
      <c r="D109">
        <v>4</v>
      </c>
      <c r="E109">
        <v>5</v>
      </c>
      <c r="F109">
        <v>6</v>
      </c>
      <c r="G109">
        <v>7</v>
      </c>
      <c r="H109">
        <v>8</v>
      </c>
      <c r="O109" t="str" cm="1">
        <f t="array" ref="O109:S109">TRANSPOSE(_xlfn.UNIQUE(_xlfn._xlws.FILTER(MAE_ASIGNATURA[NOM_ASIG],(MAE_ASIGNATURA[ID_NIVEL]=DET_ASIG!$D94)*(MAE_ASIGNATURA[ID_CARRERA]=DET_ASIG!$B94),"No existe información")))</f>
        <v>PLANIFICACIÓN DE AUDITORÍAS</v>
      </c>
      <c r="P109" t="str">
        <v>CONTABILIDAD EN EL SECTOR PÚBLICO</v>
      </c>
      <c r="Q109" t="str">
        <v>GESTIÓN TRIBUTARIA</v>
      </c>
      <c r="R109" t="str">
        <v>PLANIFICACIÓN Y DIRECCIÓN ESTRATÉGICA</v>
      </c>
      <c r="S109" t="str">
        <v>ÉTICA PROFESIONAL</v>
      </c>
    </row>
    <row r="110" spans="1:19">
      <c r="A110" cm="1">
        <f t="array" ref="A110:H110">TRANSPOSE(_xlfn.UNIQUE(_xlfn._xlws.FILTER(MAE_ASIGNATURA[ID_NIVEL],MAE_ASIGNATURA[ID_CARRERA]=DET_ASIG!$B95,"No existe información")))</f>
        <v>1</v>
      </c>
      <c r="B110">
        <v>2</v>
      </c>
      <c r="C110">
        <v>3</v>
      </c>
      <c r="D110">
        <v>4</v>
      </c>
      <c r="E110">
        <v>5</v>
      </c>
      <c r="F110">
        <v>6</v>
      </c>
      <c r="G110">
        <v>7</v>
      </c>
      <c r="H110">
        <v>8</v>
      </c>
      <c r="O110" t="str" cm="1">
        <f t="array" ref="O110:S110">TRANSPOSE(_xlfn.UNIQUE(_xlfn._xlws.FILTER(MAE_ASIGNATURA[NOM_ASIG],(MAE_ASIGNATURA[ID_NIVEL]=DET_ASIG!$D95)*(MAE_ASIGNATURA[ID_CARRERA]=DET_ASIG!$B95),"No existe información")))</f>
        <v>PLANIFICACIÓN DE AUDITORÍAS</v>
      </c>
      <c r="P110" t="str">
        <v>CONTABILIDAD EN EL SECTOR PÚBLICO</v>
      </c>
      <c r="Q110" t="str">
        <v>GESTIÓN TRIBUTARIA</v>
      </c>
      <c r="R110" t="str">
        <v>PLANIFICACIÓN Y DIRECCIÓN ESTRATÉGICA</v>
      </c>
      <c r="S110" t="str">
        <v>ÉTICA PROFESIONAL</v>
      </c>
    </row>
    <row r="111" spans="1:19">
      <c r="A111" cm="1">
        <f t="array" ref="A111:H111">TRANSPOSE(_xlfn.UNIQUE(_xlfn._xlws.FILTER(MAE_ASIGNATURA[ID_NIVEL],MAE_ASIGNATURA[ID_CARRERA]=DET_ASIG!$B96,"No existe información")))</f>
        <v>1</v>
      </c>
      <c r="B111">
        <v>2</v>
      </c>
      <c r="C111">
        <v>3</v>
      </c>
      <c r="D111">
        <v>4</v>
      </c>
      <c r="E111">
        <v>5</v>
      </c>
      <c r="F111">
        <v>6</v>
      </c>
      <c r="G111">
        <v>7</v>
      </c>
      <c r="H111">
        <v>8</v>
      </c>
      <c r="O111" t="str" cm="1">
        <f t="array" ref="O111:S111">TRANSPOSE(_xlfn.UNIQUE(_xlfn._xlws.FILTER(MAE_ASIGNATURA[NOM_ASIG],(MAE_ASIGNATURA[ID_NIVEL]=DET_ASIG!$D96)*(MAE_ASIGNATURA[ID_CARRERA]=DET_ASIG!$B96),"No existe información")))</f>
        <v>GESTIÓN DE LA PRODUCTIVIDAD</v>
      </c>
      <c r="P111" t="str">
        <v>AUDITORÍA FINANCIERA</v>
      </c>
      <c r="Q111" t="str">
        <v>CONTABILIDAD GERENCIAL Y PRESUPUESTO</v>
      </c>
      <c r="R111" t="str">
        <v>SOFTWARE DE GESTIÓN  ADMINISTRATIVA FINANCIERA</v>
      </c>
      <c r="S111" t="str">
        <v>SISTEMA DE INDICADORES DE  GESTIÓN</v>
      </c>
    </row>
    <row r="112" spans="1:19">
      <c r="A112" cm="1">
        <f t="array" ref="A112:H112">TRANSPOSE(_xlfn.UNIQUE(_xlfn._xlws.FILTER(MAE_ASIGNATURA[ID_NIVEL],MAE_ASIGNATURA[ID_CARRERA]=DET_ASIG!$B97,"No existe información")))</f>
        <v>1</v>
      </c>
      <c r="B112">
        <v>2</v>
      </c>
      <c r="C112">
        <v>3</v>
      </c>
      <c r="D112">
        <v>4</v>
      </c>
      <c r="E112">
        <v>5</v>
      </c>
      <c r="F112">
        <v>6</v>
      </c>
      <c r="G112">
        <v>7</v>
      </c>
      <c r="H112">
        <v>8</v>
      </c>
      <c r="O112" t="str" cm="1">
        <f t="array" ref="O112:S112">TRANSPOSE(_xlfn.UNIQUE(_xlfn._xlws.FILTER(MAE_ASIGNATURA[NOM_ASIG],(MAE_ASIGNATURA[ID_NIVEL]=DET_ASIG!$D97)*(MAE_ASIGNATURA[ID_CARRERA]=DET_ASIG!$B97),"No existe información")))</f>
        <v>GESTIÓN DE LA PRODUCTIVIDAD</v>
      </c>
      <c r="P112" t="str">
        <v>AUDITORÍA FINANCIERA</v>
      </c>
      <c r="Q112" t="str">
        <v>CONTABILIDAD GERENCIAL Y PRESUPUESTO</v>
      </c>
      <c r="R112" t="str">
        <v>SOFTWARE DE GESTIÓN  ADMINISTRATIVA FINANCIERA</v>
      </c>
      <c r="S112" t="str">
        <v>SISTEMA DE INDICADORES DE  GESTIÓN</v>
      </c>
    </row>
    <row r="113" spans="1:19">
      <c r="A113" cm="1">
        <f t="array" ref="A113:H113">TRANSPOSE(_xlfn.UNIQUE(_xlfn._xlws.FILTER(MAE_ASIGNATURA[ID_NIVEL],MAE_ASIGNATURA[ID_CARRERA]=DET_ASIG!$B98,"No existe información")))</f>
        <v>1</v>
      </c>
      <c r="B113">
        <v>2</v>
      </c>
      <c r="C113">
        <v>3</v>
      </c>
      <c r="D113">
        <v>4</v>
      </c>
      <c r="E113">
        <v>5</v>
      </c>
      <c r="F113">
        <v>6</v>
      </c>
      <c r="G113">
        <v>7</v>
      </c>
      <c r="H113">
        <v>8</v>
      </c>
      <c r="O113" t="str" cm="1">
        <f t="array" ref="O113:S113">TRANSPOSE(_xlfn.UNIQUE(_xlfn._xlws.FILTER(MAE_ASIGNATURA[NOM_ASIG],(MAE_ASIGNATURA[ID_NIVEL]=DET_ASIG!$D98)*(MAE_ASIGNATURA[ID_CARRERA]=DET_ASIG!$B98),"No existe información")))</f>
        <v>GESTIÓN DE LA PRODUCTIVIDAD</v>
      </c>
      <c r="P113" t="str">
        <v>AUDITORÍA FINANCIERA</v>
      </c>
      <c r="Q113" t="str">
        <v>CONTABILIDAD GERENCIAL Y PRESUPUESTO</v>
      </c>
      <c r="R113" t="str">
        <v>SOFTWARE DE GESTIÓN  ADMINISTRATIVA FINANCIERA</v>
      </c>
      <c r="S113" t="str">
        <v>SISTEMA DE INDICADORES DE  GESTIÓN</v>
      </c>
    </row>
    <row r="114" spans="1:19">
      <c r="A114" cm="1">
        <f t="array" ref="A114:H114">TRANSPOSE(_xlfn.UNIQUE(_xlfn._xlws.FILTER(MAE_ASIGNATURA[ID_NIVEL],MAE_ASIGNATURA[ID_CARRERA]=DET_ASIG!$B99,"No existe información")))</f>
        <v>1</v>
      </c>
      <c r="B114">
        <v>2</v>
      </c>
      <c r="C114">
        <v>3</v>
      </c>
      <c r="D114">
        <v>4</v>
      </c>
      <c r="E114">
        <v>5</v>
      </c>
      <c r="F114">
        <v>6</v>
      </c>
      <c r="G114">
        <v>7</v>
      </c>
      <c r="H114">
        <v>8</v>
      </c>
      <c r="O114" t="str" cm="1">
        <f t="array" ref="O114:S114">TRANSPOSE(_xlfn.UNIQUE(_xlfn._xlws.FILTER(MAE_ASIGNATURA[NOM_ASIG],(MAE_ASIGNATURA[ID_NIVEL]=DET_ASIG!$D99)*(MAE_ASIGNATURA[ID_CARRERA]=DET_ASIG!$B99),"No existe información")))</f>
        <v>GESTIÓN DE LA PRODUCTIVIDAD</v>
      </c>
      <c r="P114" t="str">
        <v>AUDITORÍA FINANCIERA</v>
      </c>
      <c r="Q114" t="str">
        <v>CONTABILIDAD GERENCIAL Y PRESUPUESTO</v>
      </c>
      <c r="R114" t="str">
        <v>SOFTWARE DE GESTIÓN  ADMINISTRATIVA FINANCIERA</v>
      </c>
      <c r="S114" t="str">
        <v>SISTEMA DE INDICADORES DE  GESTIÓN</v>
      </c>
    </row>
    <row r="115" spans="1:19">
      <c r="A115" cm="1">
        <f t="array" ref="A115:H115">TRANSPOSE(_xlfn.UNIQUE(_xlfn._xlws.FILTER(MAE_ASIGNATURA[ID_NIVEL],MAE_ASIGNATURA[ID_CARRERA]=DET_ASIG!$B100,"No existe información")))</f>
        <v>1</v>
      </c>
      <c r="B115">
        <v>2</v>
      </c>
      <c r="C115">
        <v>3</v>
      </c>
      <c r="D115">
        <v>4</v>
      </c>
      <c r="E115">
        <v>5</v>
      </c>
      <c r="F115">
        <v>6</v>
      </c>
      <c r="G115">
        <v>7</v>
      </c>
      <c r="H115">
        <v>8</v>
      </c>
      <c r="O115" t="str" cm="1">
        <f t="array" ref="O115:S115">TRANSPOSE(_xlfn.UNIQUE(_xlfn._xlws.FILTER(MAE_ASIGNATURA[NOM_ASIG],(MAE_ASIGNATURA[ID_NIVEL]=DET_ASIG!$D100)*(MAE_ASIGNATURA[ID_CARRERA]=DET_ASIG!$B100),"No existe información")))</f>
        <v>GESTIÓN DE LA PRODUCTIVIDAD</v>
      </c>
      <c r="P115" t="str">
        <v>AUDITORÍA FINANCIERA</v>
      </c>
      <c r="Q115" t="str">
        <v>CONTABILIDAD GERENCIAL Y PRESUPUESTO</v>
      </c>
      <c r="R115" t="str">
        <v>SOFTWARE DE GESTIÓN  ADMINISTRATIVA FINANCIERA</v>
      </c>
      <c r="S115" t="str">
        <v>SISTEMA DE INDICADORES DE  GESTIÓN</v>
      </c>
    </row>
    <row r="116" spans="1:19">
      <c r="A116" cm="1">
        <f t="array" ref="A116:H116">TRANSPOSE(_xlfn.UNIQUE(_xlfn._xlws.FILTER(MAE_ASIGNATURA[ID_NIVEL],MAE_ASIGNATURA[ID_CARRERA]=DET_ASIG!$B101,"No existe información")))</f>
        <v>1</v>
      </c>
      <c r="B116">
        <v>2</v>
      </c>
      <c r="C116">
        <v>3</v>
      </c>
      <c r="D116">
        <v>4</v>
      </c>
      <c r="E116">
        <v>5</v>
      </c>
      <c r="F116">
        <v>6</v>
      </c>
      <c r="G116">
        <v>7</v>
      </c>
      <c r="H116">
        <v>8</v>
      </c>
      <c r="O116" t="str" cm="1">
        <f t="array" ref="O116:S116">TRANSPOSE(_xlfn.UNIQUE(_xlfn._xlws.FILTER(MAE_ASIGNATURA[NOM_ASIG],(MAE_ASIGNATURA[ID_NIVEL]=DET_ASIG!$D101)*(MAE_ASIGNATURA[ID_CARRERA]=DET_ASIG!$B101),"No existe información")))</f>
        <v>GESTIÓN DE LA PRODUCTIVIDAD</v>
      </c>
      <c r="P116" t="str">
        <v>AUDITORÍA FINANCIERA</v>
      </c>
      <c r="Q116" t="str">
        <v>CONTABILIDAD GERENCIAL Y PRESUPUESTO</v>
      </c>
      <c r="R116" t="str">
        <v>SOFTWARE DE GESTIÓN  ADMINISTRATIVA FINANCIERA</v>
      </c>
      <c r="S116" t="str">
        <v>SISTEMA DE INDICADORES DE  GESTIÓN</v>
      </c>
    </row>
    <row r="117" spans="1:19">
      <c r="A117" cm="1">
        <f t="array" ref="A117:H117">TRANSPOSE(_xlfn.UNIQUE(_xlfn._xlws.FILTER(MAE_ASIGNATURA[ID_NIVEL],MAE_ASIGNATURA[ID_CARRERA]=DET_ASIG!$B102,"No existe información")))</f>
        <v>1</v>
      </c>
      <c r="B117">
        <v>2</v>
      </c>
      <c r="C117">
        <v>3</v>
      </c>
      <c r="D117">
        <v>4</v>
      </c>
      <c r="E117">
        <v>5</v>
      </c>
      <c r="F117">
        <v>6</v>
      </c>
      <c r="G117">
        <v>7</v>
      </c>
      <c r="H117">
        <v>8</v>
      </c>
      <c r="O117" t="str" cm="1">
        <f t="array" ref="O117:S117">TRANSPOSE(_xlfn.UNIQUE(_xlfn._xlws.FILTER(MAE_ASIGNATURA[NOM_ASIG],(MAE_ASIGNATURA[ID_NIVEL]=DET_ASIG!$D102)*(MAE_ASIGNATURA[ID_CARRERA]=DET_ASIG!$B102),"No existe información")))</f>
        <v>GESTIÓN DE LA PRODUCTIVIDAD</v>
      </c>
      <c r="P117" t="str">
        <v>AUDITORÍA FINANCIERA</v>
      </c>
      <c r="Q117" t="str">
        <v>CONTABILIDAD GERENCIAL Y PRESUPUESTO</v>
      </c>
      <c r="R117" t="str">
        <v>SOFTWARE DE GESTIÓN  ADMINISTRATIVA FINANCIERA</v>
      </c>
      <c r="S117" t="str">
        <v>SISTEMA DE INDICADORES DE  GESTIÓN</v>
      </c>
    </row>
    <row r="118" spans="1:19">
      <c r="A118" cm="1">
        <f t="array" ref="A118:H118">TRANSPOSE(_xlfn.UNIQUE(_xlfn._xlws.FILTER(MAE_ASIGNATURA[ID_NIVEL],MAE_ASIGNATURA[ID_CARRERA]=DET_ASIG!$B103,"No existe información")))</f>
        <v>1</v>
      </c>
      <c r="B118">
        <v>2</v>
      </c>
      <c r="C118">
        <v>3</v>
      </c>
      <c r="D118">
        <v>4</v>
      </c>
      <c r="E118">
        <v>5</v>
      </c>
      <c r="F118">
        <v>6</v>
      </c>
      <c r="G118">
        <v>7</v>
      </c>
      <c r="H118">
        <v>8</v>
      </c>
      <c r="O118" t="str" cm="1">
        <f t="array" ref="O118:S118">TRANSPOSE(_xlfn.UNIQUE(_xlfn._xlws.FILTER(MAE_ASIGNATURA[NOM_ASIG],(MAE_ASIGNATURA[ID_NIVEL]=DET_ASIG!$D103)*(MAE_ASIGNATURA[ID_CARRERA]=DET_ASIG!$B103),"No existe información")))</f>
        <v>GESTIÓN DE LA PRODUCTIVIDAD</v>
      </c>
      <c r="P118" t="str">
        <v>AUDITORÍA FINANCIERA</v>
      </c>
      <c r="Q118" t="str">
        <v>CONTABILIDAD GERENCIAL Y PRESUPUESTO</v>
      </c>
      <c r="R118" t="str">
        <v>SOFTWARE DE GESTIÓN  ADMINISTRATIVA FINANCIERA</v>
      </c>
      <c r="S118" t="str">
        <v>SISTEMA DE INDICADORES DE  GESTIÓN</v>
      </c>
    </row>
    <row r="119" spans="1:19">
      <c r="A119" cm="1">
        <f t="array" ref="A119:H119">TRANSPOSE(_xlfn.UNIQUE(_xlfn._xlws.FILTER(MAE_ASIGNATURA[ID_NIVEL],MAE_ASIGNATURA[ID_CARRERA]=DET_ASIG!$B104,"No existe información")))</f>
        <v>1</v>
      </c>
      <c r="B119">
        <v>2</v>
      </c>
      <c r="C119">
        <v>3</v>
      </c>
      <c r="D119">
        <v>4</v>
      </c>
      <c r="E119">
        <v>5</v>
      </c>
      <c r="F119">
        <v>6</v>
      </c>
      <c r="G119">
        <v>7</v>
      </c>
      <c r="H119">
        <v>8</v>
      </c>
      <c r="O119" t="str" cm="1">
        <f t="array" ref="O119:S119">TRANSPOSE(_xlfn.UNIQUE(_xlfn._xlws.FILTER(MAE_ASIGNATURA[NOM_ASIG],(MAE_ASIGNATURA[ID_NIVEL]=DET_ASIG!$D104)*(MAE_ASIGNATURA[ID_CARRERA]=DET_ASIG!$B104),"No existe información")))</f>
        <v>GESTIÓN DE LA PRODUCTIVIDAD</v>
      </c>
      <c r="P119" t="str">
        <v>AUDITORÍA FINANCIERA</v>
      </c>
      <c r="Q119" t="str">
        <v>CONTABILIDAD GERENCIAL Y PRESUPUESTO</v>
      </c>
      <c r="R119" t="str">
        <v>SOFTWARE DE GESTIÓN  ADMINISTRATIVA FINANCIERA</v>
      </c>
      <c r="S119" t="str">
        <v>SISTEMA DE INDICADORES DE  GESTIÓN</v>
      </c>
    </row>
    <row r="120" spans="1:19">
      <c r="A120" cm="1">
        <f t="array" ref="A120:H120">TRANSPOSE(_xlfn.UNIQUE(_xlfn._xlws.FILTER(MAE_ASIGNATURA[ID_NIVEL],MAE_ASIGNATURA[ID_CARRERA]=DET_ASIG!$B105,"No existe información")))</f>
        <v>1</v>
      </c>
      <c r="B120">
        <v>2</v>
      </c>
      <c r="C120">
        <v>3</v>
      </c>
      <c r="D120">
        <v>4</v>
      </c>
      <c r="E120">
        <v>5</v>
      </c>
      <c r="F120">
        <v>6</v>
      </c>
      <c r="G120">
        <v>7</v>
      </c>
      <c r="H120">
        <v>8</v>
      </c>
      <c r="O120" t="str" cm="1">
        <f t="array" ref="O120:S120">TRANSPOSE(_xlfn.UNIQUE(_xlfn._xlws.FILTER(MAE_ASIGNATURA[NOM_ASIG],(MAE_ASIGNATURA[ID_NIVEL]=DET_ASIG!$D105)*(MAE_ASIGNATURA[ID_CARRERA]=DET_ASIG!$B105),"No existe información")))</f>
        <v>GESTIÓN DE LA PRODUCTIVIDAD</v>
      </c>
      <c r="P120" t="str">
        <v>AUDITORÍA FINANCIERA</v>
      </c>
      <c r="Q120" t="str">
        <v>CONTABILIDAD GERENCIAL Y PRESUPUESTO</v>
      </c>
      <c r="R120" t="str">
        <v>SOFTWARE DE GESTIÓN  ADMINISTRATIVA FINANCIERA</v>
      </c>
      <c r="S120" t="str">
        <v>SISTEMA DE INDICADORES DE  GESTIÓN</v>
      </c>
    </row>
    <row r="121" spans="1:19">
      <c r="A121" cm="1">
        <f t="array" ref="A121:H121">TRANSPOSE(_xlfn.UNIQUE(_xlfn._xlws.FILTER(MAE_ASIGNATURA[ID_NIVEL],MAE_ASIGNATURA[ID_CARRERA]=DET_ASIG!$B106,"No existe información")))</f>
        <v>1</v>
      </c>
      <c r="B121">
        <v>2</v>
      </c>
      <c r="C121">
        <v>3</v>
      </c>
      <c r="D121">
        <v>4</v>
      </c>
      <c r="E121">
        <v>5</v>
      </c>
      <c r="F121">
        <v>6</v>
      </c>
      <c r="G121">
        <v>7</v>
      </c>
      <c r="H121">
        <v>8</v>
      </c>
      <c r="O121" t="str" cm="1">
        <f t="array" ref="O121:S121">TRANSPOSE(_xlfn.UNIQUE(_xlfn._xlws.FILTER(MAE_ASIGNATURA[NOM_ASIG],(MAE_ASIGNATURA[ID_NIVEL]=DET_ASIG!$D106)*(MAE_ASIGNATURA[ID_CARRERA]=DET_ASIG!$B106),"No existe información")))</f>
        <v>GESTIÓN DE LA PRODUCTIVIDAD</v>
      </c>
      <c r="P121" t="str">
        <v>AUDITORÍA FINANCIERA</v>
      </c>
      <c r="Q121" t="str">
        <v>CONTABILIDAD GERENCIAL Y PRESUPUESTO</v>
      </c>
      <c r="R121" t="str">
        <v>SOFTWARE DE GESTIÓN  ADMINISTRATIVA FINANCIERA</v>
      </c>
      <c r="S121" t="str">
        <v>SISTEMA DE INDICADORES DE  GESTIÓN</v>
      </c>
    </row>
    <row r="122" spans="1:19">
      <c r="A122" cm="1">
        <f t="array" ref="A122:H122">TRANSPOSE(_xlfn.UNIQUE(_xlfn._xlws.FILTER(MAE_ASIGNATURA[ID_NIVEL],MAE_ASIGNATURA[ID_CARRERA]=DET_ASIG!$B107,"No existe información")))</f>
        <v>1</v>
      </c>
      <c r="B122">
        <v>2</v>
      </c>
      <c r="C122">
        <v>3</v>
      </c>
      <c r="D122">
        <v>4</v>
      </c>
      <c r="E122">
        <v>5</v>
      </c>
      <c r="F122">
        <v>6</v>
      </c>
      <c r="G122">
        <v>7</v>
      </c>
      <c r="H122">
        <v>8</v>
      </c>
      <c r="O122" t="str" cm="1">
        <f t="array" ref="O122:S122">TRANSPOSE(_xlfn.UNIQUE(_xlfn._xlws.FILTER(MAE_ASIGNATURA[NOM_ASIG],(MAE_ASIGNATURA[ID_NIVEL]=DET_ASIG!$D107)*(MAE_ASIGNATURA[ID_CARRERA]=DET_ASIG!$B107),"No existe información")))</f>
        <v>GESTIÓN DE LA PRODUCTIVIDAD</v>
      </c>
      <c r="P122" t="str">
        <v>AUDITORÍA FINANCIERA</v>
      </c>
      <c r="Q122" t="str">
        <v>CONTABILIDAD GERENCIAL Y PRESUPUESTO</v>
      </c>
      <c r="R122" t="str">
        <v>SOFTWARE DE GESTIÓN  ADMINISTRATIVA FINANCIERA</v>
      </c>
      <c r="S122" t="str">
        <v>SISTEMA DE INDICADORES DE  GESTIÓN</v>
      </c>
    </row>
    <row r="123" spans="1:19">
      <c r="A123" cm="1">
        <f t="array" ref="A123:H123">TRANSPOSE(_xlfn.UNIQUE(_xlfn._xlws.FILTER(MAE_ASIGNATURA[ID_NIVEL],MAE_ASIGNATURA[ID_CARRERA]=DET_ASIG!$B108,"No existe información")))</f>
        <v>1</v>
      </c>
      <c r="B123">
        <v>2</v>
      </c>
      <c r="C123">
        <v>3</v>
      </c>
      <c r="D123">
        <v>4</v>
      </c>
      <c r="E123">
        <v>5</v>
      </c>
      <c r="F123">
        <v>6</v>
      </c>
      <c r="G123">
        <v>7</v>
      </c>
      <c r="H123">
        <v>8</v>
      </c>
      <c r="O123" t="str" cm="1">
        <f t="array" ref="O123:S123">TRANSPOSE(_xlfn.UNIQUE(_xlfn._xlws.FILTER(MAE_ASIGNATURA[NOM_ASIG],(MAE_ASIGNATURA[ID_NIVEL]=DET_ASIG!$D108)*(MAE_ASIGNATURA[ID_CARRERA]=DET_ASIG!$B108),"No existe información")))</f>
        <v>GESTIÓN DE LA PRODUCTIVIDAD</v>
      </c>
      <c r="P123" t="str">
        <v>AUDITORÍA FINANCIERA</v>
      </c>
      <c r="Q123" t="str">
        <v>CONTABILIDAD GERENCIAL Y PRESUPUESTO</v>
      </c>
      <c r="R123" t="str">
        <v>SOFTWARE DE GESTIÓN  ADMINISTRATIVA FINANCIERA</v>
      </c>
      <c r="S123" t="str">
        <v>SISTEMA DE INDICADORES DE  GESTIÓN</v>
      </c>
    </row>
    <row r="124" spans="1:19">
      <c r="A124" cm="1">
        <f t="array" ref="A124:H124">TRANSPOSE(_xlfn.UNIQUE(_xlfn._xlws.FILTER(MAE_ASIGNATURA[ID_NIVEL],MAE_ASIGNATURA[ID_CARRERA]=DET_ASIG!$B109,"No existe información")))</f>
        <v>1</v>
      </c>
      <c r="B124">
        <v>2</v>
      </c>
      <c r="C124">
        <v>3</v>
      </c>
      <c r="D124">
        <v>4</v>
      </c>
      <c r="E124">
        <v>5</v>
      </c>
      <c r="F124">
        <v>6</v>
      </c>
      <c r="G124">
        <v>7</v>
      </c>
      <c r="H124">
        <v>8</v>
      </c>
      <c r="O124" t="str" cm="1">
        <f t="array" ref="O124:S124">TRANSPOSE(_xlfn.UNIQUE(_xlfn._xlws.FILTER(MAE_ASIGNATURA[NOM_ASIG],(MAE_ASIGNATURA[ID_NIVEL]=DET_ASIG!$D109)*(MAE_ASIGNATURA[ID_CARRERA]=DET_ASIG!$B109),"No existe información")))</f>
        <v>GESTIÓN PÚBLICA</v>
      </c>
      <c r="P124" t="str">
        <v>SISTEMAS DE CONTROL Y GESTIÓN</v>
      </c>
      <c r="Q124" t="str">
        <v>AUDITORÍA DE GESTIÓN</v>
      </c>
      <c r="R124" t="str">
        <v>PROCESO DE CONTRATACIÓN PÚBLICA</v>
      </c>
      <c r="S124" t="str">
        <v>AUDITORÍA TRIBUTARIA</v>
      </c>
    </row>
    <row r="125" spans="1:19">
      <c r="A125" cm="1">
        <f t="array" ref="A125:H125">TRANSPOSE(_xlfn.UNIQUE(_xlfn._xlws.FILTER(MAE_ASIGNATURA[ID_NIVEL],MAE_ASIGNATURA[ID_CARRERA]=DET_ASIG!$B110,"No existe información")))</f>
        <v>1</v>
      </c>
      <c r="B125">
        <v>2</v>
      </c>
      <c r="C125">
        <v>3</v>
      </c>
      <c r="D125">
        <v>4</v>
      </c>
      <c r="E125">
        <v>5</v>
      </c>
      <c r="F125">
        <v>6</v>
      </c>
      <c r="G125">
        <v>7</v>
      </c>
      <c r="H125">
        <v>8</v>
      </c>
      <c r="O125" t="str" cm="1">
        <f t="array" ref="O125:S125">TRANSPOSE(_xlfn.UNIQUE(_xlfn._xlws.FILTER(MAE_ASIGNATURA[NOM_ASIG],(MAE_ASIGNATURA[ID_NIVEL]=DET_ASIG!$D110)*(MAE_ASIGNATURA[ID_CARRERA]=DET_ASIG!$B110),"No existe información")))</f>
        <v>GESTIÓN PÚBLICA</v>
      </c>
      <c r="P125" t="str">
        <v>SISTEMAS DE CONTROL Y GESTIÓN</v>
      </c>
      <c r="Q125" t="str">
        <v>AUDITORÍA DE GESTIÓN</v>
      </c>
      <c r="R125" t="str">
        <v>PROCESO DE CONTRATACIÓN PÚBLICA</v>
      </c>
      <c r="S125" t="str">
        <v>AUDITORÍA TRIBUTARIA</v>
      </c>
    </row>
    <row r="126" spans="1:19">
      <c r="A126" cm="1">
        <f t="array" ref="A126:H126">TRANSPOSE(_xlfn.UNIQUE(_xlfn._xlws.FILTER(MAE_ASIGNATURA[ID_NIVEL],MAE_ASIGNATURA[ID_CARRERA]=DET_ASIG!$B111,"No existe información")))</f>
        <v>1</v>
      </c>
      <c r="B126">
        <v>2</v>
      </c>
      <c r="C126">
        <v>3</v>
      </c>
      <c r="D126">
        <v>4</v>
      </c>
      <c r="E126">
        <v>5</v>
      </c>
      <c r="F126">
        <v>6</v>
      </c>
      <c r="G126">
        <v>7</v>
      </c>
      <c r="H126">
        <v>8</v>
      </c>
      <c r="O126" t="str" cm="1">
        <f t="array" ref="O126:S126">TRANSPOSE(_xlfn.UNIQUE(_xlfn._xlws.FILTER(MAE_ASIGNATURA[NOM_ASIG],(MAE_ASIGNATURA[ID_NIVEL]=DET_ASIG!$D111)*(MAE_ASIGNATURA[ID_CARRERA]=DET_ASIG!$B111),"No existe información")))</f>
        <v>GESTIÓN PÚBLICA</v>
      </c>
      <c r="P126" t="str">
        <v>SISTEMAS DE CONTROL Y GESTIÓN</v>
      </c>
      <c r="Q126" t="str">
        <v>AUDITORÍA DE GESTIÓN</v>
      </c>
      <c r="R126" t="str">
        <v>PROCESO DE CONTRATACIÓN PÚBLICA</v>
      </c>
      <c r="S126" t="str">
        <v>AUDITORÍA TRIBUTARIA</v>
      </c>
    </row>
    <row r="127" spans="1:19">
      <c r="A127" cm="1">
        <f t="array" ref="A127:H127">TRANSPOSE(_xlfn.UNIQUE(_xlfn._xlws.FILTER(MAE_ASIGNATURA[ID_NIVEL],MAE_ASIGNATURA[ID_CARRERA]=DET_ASIG!$B112,"No existe información")))</f>
        <v>1</v>
      </c>
      <c r="B127">
        <v>2</v>
      </c>
      <c r="C127">
        <v>3</v>
      </c>
      <c r="D127">
        <v>4</v>
      </c>
      <c r="E127">
        <v>5</v>
      </c>
      <c r="F127">
        <v>6</v>
      </c>
      <c r="G127">
        <v>7</v>
      </c>
      <c r="H127">
        <v>8</v>
      </c>
      <c r="O127" t="str" cm="1">
        <f t="array" ref="O127:S127">TRANSPOSE(_xlfn.UNIQUE(_xlfn._xlws.FILTER(MAE_ASIGNATURA[NOM_ASIG],(MAE_ASIGNATURA[ID_NIVEL]=DET_ASIG!$D112)*(MAE_ASIGNATURA[ID_CARRERA]=DET_ASIG!$B112),"No existe información")))</f>
        <v>GESTIÓN PÚBLICA</v>
      </c>
      <c r="P127" t="str">
        <v>SISTEMAS DE CONTROL Y GESTIÓN</v>
      </c>
      <c r="Q127" t="str">
        <v>AUDITORÍA DE GESTIÓN</v>
      </c>
      <c r="R127" t="str">
        <v>PROCESO DE CONTRATACIÓN PÚBLICA</v>
      </c>
      <c r="S127" t="str">
        <v>AUDITORÍA TRIBUTARIA</v>
      </c>
    </row>
    <row r="128" spans="1:19">
      <c r="A128" cm="1">
        <f t="array" ref="A128:H128">TRANSPOSE(_xlfn.UNIQUE(_xlfn._xlws.FILTER(MAE_ASIGNATURA[ID_NIVEL],MAE_ASIGNATURA[ID_CARRERA]=DET_ASIG!$B113,"No existe información")))</f>
        <v>1</v>
      </c>
      <c r="B128">
        <v>2</v>
      </c>
      <c r="C128">
        <v>3</v>
      </c>
      <c r="D128">
        <v>4</v>
      </c>
      <c r="E128">
        <v>5</v>
      </c>
      <c r="F128">
        <v>6</v>
      </c>
      <c r="G128">
        <v>7</v>
      </c>
      <c r="H128">
        <v>8</v>
      </c>
      <c r="O128" t="str" cm="1">
        <f t="array" ref="O128:S128">TRANSPOSE(_xlfn.UNIQUE(_xlfn._xlws.FILTER(MAE_ASIGNATURA[NOM_ASIG],(MAE_ASIGNATURA[ID_NIVEL]=DET_ASIG!$D113)*(MAE_ASIGNATURA[ID_CARRERA]=DET_ASIG!$B113),"No existe información")))</f>
        <v>GESTIÓN PÚBLICA</v>
      </c>
      <c r="P128" t="str">
        <v>SISTEMAS DE CONTROL Y GESTIÓN</v>
      </c>
      <c r="Q128" t="str">
        <v>AUDITORÍA DE GESTIÓN</v>
      </c>
      <c r="R128" t="str">
        <v>PROCESO DE CONTRATACIÓN PÚBLICA</v>
      </c>
      <c r="S128" t="str">
        <v>AUDITORÍA TRIBUTARIA</v>
      </c>
    </row>
    <row r="129" spans="1:19">
      <c r="A129" cm="1">
        <f t="array" ref="A129:H129">TRANSPOSE(_xlfn.UNIQUE(_xlfn._xlws.FILTER(MAE_ASIGNATURA[ID_NIVEL],MAE_ASIGNATURA[ID_CARRERA]=DET_ASIG!$B114,"No existe información")))</f>
        <v>1</v>
      </c>
      <c r="B129">
        <v>2</v>
      </c>
      <c r="C129">
        <v>3</v>
      </c>
      <c r="D129">
        <v>4</v>
      </c>
      <c r="E129">
        <v>5</v>
      </c>
      <c r="F129">
        <v>6</v>
      </c>
      <c r="G129">
        <v>7</v>
      </c>
      <c r="H129">
        <v>8</v>
      </c>
      <c r="O129" t="str" cm="1">
        <f t="array" ref="O129:S129">TRANSPOSE(_xlfn.UNIQUE(_xlfn._xlws.FILTER(MAE_ASIGNATURA[NOM_ASIG],(MAE_ASIGNATURA[ID_NIVEL]=DET_ASIG!$D114)*(MAE_ASIGNATURA[ID_CARRERA]=DET_ASIG!$B114),"No existe información")))</f>
        <v>GESTIÓN PÚBLICA</v>
      </c>
      <c r="P129" t="str">
        <v>SISTEMAS DE CONTROL Y GESTIÓN</v>
      </c>
      <c r="Q129" t="str">
        <v>AUDITORÍA DE GESTIÓN</v>
      </c>
      <c r="R129" t="str">
        <v>PROCESO DE CONTRATACIÓN PÚBLICA</v>
      </c>
      <c r="S129" t="str">
        <v>AUDITORÍA TRIBUTARIA</v>
      </c>
    </row>
    <row r="130" spans="1:19">
      <c r="A130" cm="1">
        <f t="array" ref="A130:H130">TRANSPOSE(_xlfn.UNIQUE(_xlfn._xlws.FILTER(MAE_ASIGNATURA[ID_NIVEL],MAE_ASIGNATURA[ID_CARRERA]=DET_ASIG!$B115,"No existe información")))</f>
        <v>1</v>
      </c>
      <c r="B130">
        <v>2</v>
      </c>
      <c r="C130">
        <v>3</v>
      </c>
      <c r="D130">
        <v>4</v>
      </c>
      <c r="E130">
        <v>5</v>
      </c>
      <c r="F130">
        <v>6</v>
      </c>
      <c r="G130">
        <v>7</v>
      </c>
      <c r="H130">
        <v>8</v>
      </c>
      <c r="O130" t="str" cm="1">
        <f t="array" ref="O130:S130">TRANSPOSE(_xlfn.UNIQUE(_xlfn._xlws.FILTER(MAE_ASIGNATURA[NOM_ASIG],(MAE_ASIGNATURA[ID_NIVEL]=DET_ASIG!$D115)*(MAE_ASIGNATURA[ID_CARRERA]=DET_ASIG!$B115),"No existe información")))</f>
        <v>GESTIÓN PÚBLICA</v>
      </c>
      <c r="P130" t="str">
        <v>SISTEMAS DE CONTROL Y GESTIÓN</v>
      </c>
      <c r="Q130" t="str">
        <v>AUDITORÍA DE GESTIÓN</v>
      </c>
      <c r="R130" t="str">
        <v>PROCESO DE CONTRATACIÓN PÚBLICA</v>
      </c>
      <c r="S130" t="str">
        <v>AUDITORÍA TRIBUTARIA</v>
      </c>
    </row>
    <row r="131" spans="1:19">
      <c r="A131" cm="1">
        <f t="array" ref="A131:H131">TRANSPOSE(_xlfn.UNIQUE(_xlfn._xlws.FILTER(MAE_ASIGNATURA[ID_NIVEL],MAE_ASIGNATURA[ID_CARRERA]=DET_ASIG!$B116,"No existe información")))</f>
        <v>1</v>
      </c>
      <c r="B131">
        <v>2</v>
      </c>
      <c r="C131">
        <v>3</v>
      </c>
      <c r="D131">
        <v>4</v>
      </c>
      <c r="E131">
        <v>5</v>
      </c>
      <c r="F131">
        <v>6</v>
      </c>
      <c r="G131">
        <v>7</v>
      </c>
      <c r="H131">
        <v>8</v>
      </c>
      <c r="O131" t="str" cm="1">
        <f t="array" ref="O131:S131">TRANSPOSE(_xlfn.UNIQUE(_xlfn._xlws.FILTER(MAE_ASIGNATURA[NOM_ASIG],(MAE_ASIGNATURA[ID_NIVEL]=DET_ASIG!$D116)*(MAE_ASIGNATURA[ID_CARRERA]=DET_ASIG!$B116),"No existe información")))</f>
        <v>GESTIÓN PÚBLICA</v>
      </c>
      <c r="P131" t="str">
        <v>SISTEMAS DE CONTROL Y GESTIÓN</v>
      </c>
      <c r="Q131" t="str">
        <v>AUDITORÍA DE GESTIÓN</v>
      </c>
      <c r="R131" t="str">
        <v>PROCESO DE CONTRATACIÓN PÚBLICA</v>
      </c>
      <c r="S131" t="str">
        <v>AUDITORÍA TRIBUTARIA</v>
      </c>
    </row>
    <row r="132" spans="1:19">
      <c r="A132" cm="1">
        <f t="array" ref="A132:H132">TRANSPOSE(_xlfn.UNIQUE(_xlfn._xlws.FILTER(MAE_ASIGNATURA[ID_NIVEL],MAE_ASIGNATURA[ID_CARRERA]=DET_ASIG!$B117,"No existe información")))</f>
        <v>1</v>
      </c>
      <c r="B132">
        <v>2</v>
      </c>
      <c r="C132">
        <v>3</v>
      </c>
      <c r="D132">
        <v>4</v>
      </c>
      <c r="E132">
        <v>5</v>
      </c>
      <c r="F132">
        <v>6</v>
      </c>
      <c r="G132">
        <v>7</v>
      </c>
      <c r="H132">
        <v>8</v>
      </c>
      <c r="O132" t="str" cm="1">
        <f t="array" ref="O132:S132">TRANSPOSE(_xlfn.UNIQUE(_xlfn._xlws.FILTER(MAE_ASIGNATURA[NOM_ASIG],(MAE_ASIGNATURA[ID_NIVEL]=DET_ASIG!$D117)*(MAE_ASIGNATURA[ID_CARRERA]=DET_ASIG!$B117),"No existe información")))</f>
        <v>GESTIÓN PÚBLICA</v>
      </c>
      <c r="P132" t="str">
        <v>SISTEMAS DE CONTROL Y GESTIÓN</v>
      </c>
      <c r="Q132" t="str">
        <v>AUDITORÍA DE GESTIÓN</v>
      </c>
      <c r="R132" t="str">
        <v>PROCESO DE CONTRATACIÓN PÚBLICA</v>
      </c>
      <c r="S132" t="str">
        <v>AUDITORÍA TRIBUTARIA</v>
      </c>
    </row>
    <row r="133" spans="1:19">
      <c r="A133" cm="1">
        <f t="array" ref="A133:H133">TRANSPOSE(_xlfn.UNIQUE(_xlfn._xlws.FILTER(MAE_ASIGNATURA[ID_NIVEL],MAE_ASIGNATURA[ID_CARRERA]=DET_ASIG!$B118,"No existe información")))</f>
        <v>1</v>
      </c>
      <c r="B133">
        <v>2</v>
      </c>
      <c r="C133">
        <v>3</v>
      </c>
      <c r="D133">
        <v>4</v>
      </c>
      <c r="E133">
        <v>5</v>
      </c>
      <c r="F133">
        <v>6</v>
      </c>
      <c r="G133">
        <v>7</v>
      </c>
      <c r="H133">
        <v>8</v>
      </c>
      <c r="O133" t="str" cm="1">
        <f t="array" ref="O133:S133">TRANSPOSE(_xlfn.UNIQUE(_xlfn._xlws.FILTER(MAE_ASIGNATURA[NOM_ASIG],(MAE_ASIGNATURA[ID_NIVEL]=DET_ASIG!$D118)*(MAE_ASIGNATURA[ID_CARRERA]=DET_ASIG!$B118),"No existe información")))</f>
        <v>GESTIÓN PÚBLICA</v>
      </c>
      <c r="P133" t="str">
        <v>SISTEMAS DE CONTROL Y GESTIÓN</v>
      </c>
      <c r="Q133" t="str">
        <v>AUDITORÍA DE GESTIÓN</v>
      </c>
      <c r="R133" t="str">
        <v>PROCESO DE CONTRATACIÓN PÚBLICA</v>
      </c>
      <c r="S133" t="str">
        <v>AUDITORÍA TRIBUTARIA</v>
      </c>
    </row>
    <row r="134" spans="1:19">
      <c r="A134" cm="1">
        <f t="array" ref="A134:H134">TRANSPOSE(_xlfn.UNIQUE(_xlfn._xlws.FILTER(MAE_ASIGNATURA[ID_NIVEL],MAE_ASIGNATURA[ID_CARRERA]=DET_ASIG!$B119,"No existe información")))</f>
        <v>1</v>
      </c>
      <c r="B134">
        <v>2</v>
      </c>
      <c r="C134">
        <v>3</v>
      </c>
      <c r="D134">
        <v>4</v>
      </c>
      <c r="E134">
        <v>5</v>
      </c>
      <c r="F134">
        <v>6</v>
      </c>
      <c r="G134">
        <v>7</v>
      </c>
      <c r="H134">
        <v>8</v>
      </c>
      <c r="O134" t="str" cm="1">
        <f t="array" ref="O134:S134">TRANSPOSE(_xlfn.UNIQUE(_xlfn._xlws.FILTER(MAE_ASIGNATURA[NOM_ASIG],(MAE_ASIGNATURA[ID_NIVEL]=DET_ASIG!$D119)*(MAE_ASIGNATURA[ID_CARRERA]=DET_ASIG!$B119),"No existe información")))</f>
        <v>GESTIÓN PÚBLICA</v>
      </c>
      <c r="P134" t="str">
        <v>SISTEMAS DE CONTROL Y GESTIÓN</v>
      </c>
      <c r="Q134" t="str">
        <v>AUDITORÍA DE GESTIÓN</v>
      </c>
      <c r="R134" t="str">
        <v>PROCESO DE CONTRATACIÓN PÚBLICA</v>
      </c>
      <c r="S134" t="str">
        <v>AUDITORÍA TRIBUTARIA</v>
      </c>
    </row>
    <row r="135" spans="1:19">
      <c r="A135" cm="1">
        <f t="array" ref="A135:H135">TRANSPOSE(_xlfn.UNIQUE(_xlfn._xlws.FILTER(MAE_ASIGNATURA[ID_NIVEL],MAE_ASIGNATURA[ID_CARRERA]=DET_ASIG!$B120,"No existe información")))</f>
        <v>1</v>
      </c>
      <c r="B135">
        <v>2</v>
      </c>
      <c r="C135">
        <v>3</v>
      </c>
      <c r="D135">
        <v>4</v>
      </c>
      <c r="E135">
        <v>5</v>
      </c>
      <c r="F135">
        <v>6</v>
      </c>
      <c r="G135">
        <v>7</v>
      </c>
      <c r="H135">
        <v>8</v>
      </c>
      <c r="O135" t="str" cm="1">
        <f t="array" ref="O135:S135">TRANSPOSE(_xlfn.UNIQUE(_xlfn._xlws.FILTER(MAE_ASIGNATURA[NOM_ASIG],(MAE_ASIGNATURA[ID_NIVEL]=DET_ASIG!$D120)*(MAE_ASIGNATURA[ID_CARRERA]=DET_ASIG!$B120),"No existe información")))</f>
        <v>AUDITORÍA EN SEGURIDAD_x000D_
Y SALUD OCUPACIONAL</v>
      </c>
      <c r="P135" t="str">
        <v>VALORACIÓN DE EMPRESAS Y_x000D_
RIESGOS</v>
      </c>
      <c r="Q135" t="str">
        <v>AUDITORÍA_x000D_
GUBERNAMENTAL</v>
      </c>
      <c r="R135" t="str">
        <v>AUDITORIA AMBIENTAL</v>
      </c>
      <c r="S135" t="str">
        <v>RESPONSABILIDAD SOCIAL CORPORATIVA</v>
      </c>
    </row>
    <row r="136" spans="1:19">
      <c r="A136" cm="1">
        <f t="array" ref="A136:H136">TRANSPOSE(_xlfn.UNIQUE(_xlfn._xlws.FILTER(MAE_ASIGNATURA[ID_NIVEL],MAE_ASIGNATURA[ID_CARRERA]=DET_ASIG!$B121,"No existe información")))</f>
        <v>1</v>
      </c>
      <c r="B136">
        <v>2</v>
      </c>
      <c r="C136">
        <v>3</v>
      </c>
      <c r="D136">
        <v>4</v>
      </c>
      <c r="E136">
        <v>5</v>
      </c>
      <c r="F136">
        <v>6</v>
      </c>
      <c r="G136">
        <v>7</v>
      </c>
      <c r="H136">
        <v>8</v>
      </c>
      <c r="O136" t="str" cm="1">
        <f t="array" ref="O136:S136">TRANSPOSE(_xlfn.UNIQUE(_xlfn._xlws.FILTER(MAE_ASIGNATURA[NOM_ASIG],(MAE_ASIGNATURA[ID_NIVEL]=DET_ASIG!$D121)*(MAE_ASIGNATURA[ID_CARRERA]=DET_ASIG!$B121),"No existe información")))</f>
        <v>AUDITORÍA EN SEGURIDAD_x000D_
Y SALUD OCUPACIONAL</v>
      </c>
      <c r="P136" t="str">
        <v>VALORACIÓN DE EMPRESAS Y_x000D_
RIESGOS</v>
      </c>
      <c r="Q136" t="str">
        <v>AUDITORÍA_x000D_
GUBERNAMENTAL</v>
      </c>
      <c r="R136" t="str">
        <v>AUDITORIA AMBIENTAL</v>
      </c>
      <c r="S136" t="str">
        <v>RESPONSABILIDAD SOCIAL CORPORATIVA</v>
      </c>
    </row>
    <row r="137" spans="1:19">
      <c r="A137" cm="1">
        <f t="array" ref="A137:H137">TRANSPOSE(_xlfn.UNIQUE(_xlfn._xlws.FILTER(MAE_ASIGNATURA[ID_NIVEL],MAE_ASIGNATURA[ID_CARRERA]=DET_ASIG!$B122,"No existe información")))</f>
        <v>1</v>
      </c>
      <c r="B137">
        <v>2</v>
      </c>
      <c r="C137">
        <v>3</v>
      </c>
      <c r="D137">
        <v>4</v>
      </c>
      <c r="E137">
        <v>5</v>
      </c>
      <c r="F137">
        <v>6</v>
      </c>
      <c r="G137">
        <v>7</v>
      </c>
      <c r="H137">
        <v>8</v>
      </c>
      <c r="O137" t="str" cm="1">
        <f t="array" ref="O137:S137">TRANSPOSE(_xlfn.UNIQUE(_xlfn._xlws.FILTER(MAE_ASIGNATURA[NOM_ASIG],(MAE_ASIGNATURA[ID_NIVEL]=DET_ASIG!$D122)*(MAE_ASIGNATURA[ID_CARRERA]=DET_ASIG!$B122),"No existe información")))</f>
        <v>AUDITORÍA EN SEGURIDAD_x000D_
Y SALUD OCUPACIONAL</v>
      </c>
      <c r="P137" t="str">
        <v>VALORACIÓN DE EMPRESAS Y_x000D_
RIESGOS</v>
      </c>
      <c r="Q137" t="str">
        <v>AUDITORÍA_x000D_
GUBERNAMENTAL</v>
      </c>
      <c r="R137" t="str">
        <v>AUDITORIA AMBIENTAL</v>
      </c>
      <c r="S137" t="str">
        <v>RESPONSABILIDAD SOCIAL CORPORATIVA</v>
      </c>
    </row>
    <row r="138" spans="1:19">
      <c r="A138" cm="1">
        <f t="array" ref="A138:H138">TRANSPOSE(_xlfn.UNIQUE(_xlfn._xlws.FILTER(MAE_ASIGNATURA[ID_NIVEL],MAE_ASIGNATURA[ID_CARRERA]=DET_ASIG!$B123,"No existe información")))</f>
        <v>1</v>
      </c>
      <c r="B138">
        <v>2</v>
      </c>
      <c r="C138">
        <v>3</v>
      </c>
      <c r="D138">
        <v>4</v>
      </c>
      <c r="E138">
        <v>5</v>
      </c>
      <c r="F138">
        <v>6</v>
      </c>
      <c r="G138">
        <v>7</v>
      </c>
      <c r="H138">
        <v>8</v>
      </c>
      <c r="O138" t="str" cm="1">
        <f t="array" ref="O138:S138">TRANSPOSE(_xlfn.UNIQUE(_xlfn._xlws.FILTER(MAE_ASIGNATURA[NOM_ASIG],(MAE_ASIGNATURA[ID_NIVEL]=DET_ASIG!$D123)*(MAE_ASIGNATURA[ID_CARRERA]=DET_ASIG!$B123),"No existe información")))</f>
        <v>AUDITORÍA EN SEGURIDAD_x000D_
Y SALUD OCUPACIONAL</v>
      </c>
      <c r="P138" t="str">
        <v>VALORACIÓN DE EMPRESAS Y_x000D_
RIESGOS</v>
      </c>
      <c r="Q138" t="str">
        <v>AUDITORÍA_x000D_
GUBERNAMENTAL</v>
      </c>
      <c r="R138" t="str">
        <v>AUDITORIA AMBIENTAL</v>
      </c>
      <c r="S138" t="str">
        <v>RESPONSABILIDAD SOCIAL CORPORATIVA</v>
      </c>
    </row>
    <row r="139" spans="1:19">
      <c r="A139" cm="1">
        <f t="array" ref="A139:H139">TRANSPOSE(_xlfn.UNIQUE(_xlfn._xlws.FILTER(MAE_ASIGNATURA[ID_NIVEL],MAE_ASIGNATURA[ID_CARRERA]=DET_ASIG!$B124,"No existe información")))</f>
        <v>1</v>
      </c>
      <c r="B139">
        <v>2</v>
      </c>
      <c r="C139">
        <v>3</v>
      </c>
      <c r="D139">
        <v>4</v>
      </c>
      <c r="E139">
        <v>5</v>
      </c>
      <c r="F139">
        <v>6</v>
      </c>
      <c r="G139">
        <v>7</v>
      </c>
      <c r="H139">
        <v>8</v>
      </c>
      <c r="O139" t="str" cm="1">
        <f t="array" ref="O139:S139">TRANSPOSE(_xlfn.UNIQUE(_xlfn._xlws.FILTER(MAE_ASIGNATURA[NOM_ASIG],(MAE_ASIGNATURA[ID_NIVEL]=DET_ASIG!$D124)*(MAE_ASIGNATURA[ID_CARRERA]=DET_ASIG!$B124),"No existe información")))</f>
        <v>AUDITORÍA EN SEGURIDAD_x000D_
Y SALUD OCUPACIONAL</v>
      </c>
      <c r="P139" t="str">
        <v>VALORACIÓN DE EMPRESAS Y_x000D_
RIESGOS</v>
      </c>
      <c r="Q139" t="str">
        <v>AUDITORÍA_x000D_
GUBERNAMENTAL</v>
      </c>
      <c r="R139" t="str">
        <v>AUDITORIA AMBIENTAL</v>
      </c>
      <c r="S139" t="str">
        <v>RESPONSABILIDAD SOCIAL CORPORATIVA</v>
      </c>
    </row>
    <row r="140" spans="1:19">
      <c r="A140" cm="1">
        <f t="array" ref="A140:H140">TRANSPOSE(_xlfn.UNIQUE(_xlfn._xlws.FILTER(MAE_ASIGNATURA[ID_NIVEL],MAE_ASIGNATURA[ID_CARRERA]=DET_ASIG!$B125,"No existe información")))</f>
        <v>1</v>
      </c>
      <c r="B140">
        <v>2</v>
      </c>
      <c r="C140">
        <v>3</v>
      </c>
      <c r="D140">
        <v>4</v>
      </c>
      <c r="E140">
        <v>5</v>
      </c>
      <c r="F140">
        <v>6</v>
      </c>
      <c r="G140">
        <v>7</v>
      </c>
      <c r="H140">
        <v>8</v>
      </c>
      <c r="O140" t="str" cm="1">
        <f t="array" ref="O140:S140">TRANSPOSE(_xlfn.UNIQUE(_xlfn._xlws.FILTER(MAE_ASIGNATURA[NOM_ASIG],(MAE_ASIGNATURA[ID_NIVEL]=DET_ASIG!$D125)*(MAE_ASIGNATURA[ID_CARRERA]=DET_ASIG!$B125),"No existe información")))</f>
        <v>AUDITORÍA EN SEGURIDAD_x000D_
Y SALUD OCUPACIONAL</v>
      </c>
      <c r="P140" t="str">
        <v>VALORACIÓN DE EMPRESAS Y_x000D_
RIESGOS</v>
      </c>
      <c r="Q140" t="str">
        <v>AUDITORÍA_x000D_
GUBERNAMENTAL</v>
      </c>
      <c r="R140" t="str">
        <v>AUDITORIA AMBIENTAL</v>
      </c>
      <c r="S140" t="str">
        <v>RESPONSABILIDAD SOCIAL CORPORATIVA</v>
      </c>
    </row>
    <row r="141" spans="1:19">
      <c r="A141" cm="1">
        <f t="array" ref="A141:H141">TRANSPOSE(_xlfn.UNIQUE(_xlfn._xlws.FILTER(MAE_ASIGNATURA[ID_NIVEL],MAE_ASIGNATURA[ID_CARRERA]=DET_ASIG!$B126,"No existe información")))</f>
        <v>1</v>
      </c>
      <c r="B141">
        <v>2</v>
      </c>
      <c r="C141">
        <v>3</v>
      </c>
      <c r="D141">
        <v>4</v>
      </c>
      <c r="E141">
        <v>5</v>
      </c>
      <c r="F141">
        <v>6</v>
      </c>
      <c r="G141">
        <v>7</v>
      </c>
      <c r="H141">
        <v>8</v>
      </c>
      <c r="O141" t="str" cm="1">
        <f t="array" ref="O141:S141">TRANSPOSE(_xlfn.UNIQUE(_xlfn._xlws.FILTER(MAE_ASIGNATURA[NOM_ASIG],(MAE_ASIGNATURA[ID_NIVEL]=DET_ASIG!$D126)*(MAE_ASIGNATURA[ID_CARRERA]=DET_ASIG!$B126),"No existe información")))</f>
        <v>AUDITORÍA EN SEGURIDAD_x000D_
Y SALUD OCUPACIONAL</v>
      </c>
      <c r="P141" t="str">
        <v>VALORACIÓN DE EMPRESAS Y_x000D_
RIESGOS</v>
      </c>
      <c r="Q141" t="str">
        <v>AUDITORÍA_x000D_
GUBERNAMENTAL</v>
      </c>
      <c r="R141" t="str">
        <v>AUDITORIA AMBIENTAL</v>
      </c>
      <c r="S141" t="str">
        <v>RESPONSABILIDAD SOCIAL CORPORATIVA</v>
      </c>
    </row>
    <row r="142" spans="1:19">
      <c r="A142" cm="1">
        <f t="array" ref="A142:H142">TRANSPOSE(_xlfn.UNIQUE(_xlfn._xlws.FILTER(MAE_ASIGNATURA[ID_NIVEL],MAE_ASIGNATURA[ID_CARRERA]=DET_ASIG!$B127,"No existe información")))</f>
        <v>1</v>
      </c>
      <c r="B142">
        <v>2</v>
      </c>
      <c r="C142">
        <v>3</v>
      </c>
      <c r="D142">
        <v>4</v>
      </c>
      <c r="E142">
        <v>5</v>
      </c>
      <c r="F142">
        <v>6</v>
      </c>
      <c r="G142">
        <v>7</v>
      </c>
      <c r="H142">
        <v>8</v>
      </c>
      <c r="O142" t="str" cm="1">
        <f t="array" ref="O142:S142">TRANSPOSE(_xlfn.UNIQUE(_xlfn._xlws.FILTER(MAE_ASIGNATURA[NOM_ASIG],(MAE_ASIGNATURA[ID_NIVEL]=DET_ASIG!$D127)*(MAE_ASIGNATURA[ID_CARRERA]=DET_ASIG!$B127),"No existe información")))</f>
        <v>AUDITORÍA EN SEGURIDAD_x000D_
Y SALUD OCUPACIONAL</v>
      </c>
      <c r="P142" t="str">
        <v>VALORACIÓN DE EMPRESAS Y_x000D_
RIESGOS</v>
      </c>
      <c r="Q142" t="str">
        <v>AUDITORÍA_x000D_
GUBERNAMENTAL</v>
      </c>
      <c r="R142" t="str">
        <v>AUDITORIA AMBIENTAL</v>
      </c>
      <c r="S142" t="str">
        <v>RESPONSABILIDAD SOCIAL CORPORATIVA</v>
      </c>
    </row>
    <row r="143" spans="1:19">
      <c r="A143" cm="1">
        <f t="array" ref="A143:H143">TRANSPOSE(_xlfn.UNIQUE(_xlfn._xlws.FILTER(MAE_ASIGNATURA[ID_NIVEL],MAE_ASIGNATURA[ID_CARRERA]=DET_ASIG!$B128,"No existe información")))</f>
        <v>1</v>
      </c>
      <c r="B143">
        <v>2</v>
      </c>
      <c r="C143">
        <v>3</v>
      </c>
      <c r="D143">
        <v>4</v>
      </c>
      <c r="E143">
        <v>5</v>
      </c>
      <c r="F143">
        <v>6</v>
      </c>
      <c r="G143">
        <v>7</v>
      </c>
      <c r="H143">
        <v>8</v>
      </c>
      <c r="O143" t="str" cm="1">
        <f t="array" ref="O143:S143">TRANSPOSE(_xlfn.UNIQUE(_xlfn._xlws.FILTER(MAE_ASIGNATURA[NOM_ASIG],(MAE_ASIGNATURA[ID_NIVEL]=DET_ASIG!$D128)*(MAE_ASIGNATURA[ID_CARRERA]=DET_ASIG!$B128),"No existe información")))</f>
        <v>AUDITORÍA EN SEGURIDAD_x000D_
Y SALUD OCUPACIONAL</v>
      </c>
      <c r="P143" t="str">
        <v>VALORACIÓN DE EMPRESAS Y_x000D_
RIESGOS</v>
      </c>
      <c r="Q143" t="str">
        <v>AUDITORÍA_x000D_
GUBERNAMENTAL</v>
      </c>
      <c r="R143" t="str">
        <v>AUDITORIA AMBIENTAL</v>
      </c>
      <c r="S143" t="str">
        <v>RESPONSABILIDAD SOCIAL CORPORATIVA</v>
      </c>
    </row>
    <row r="144" spans="1:19">
      <c r="A144" cm="1">
        <f t="array" ref="A144:H144">TRANSPOSE(_xlfn.UNIQUE(_xlfn._xlws.FILTER(MAE_ASIGNATURA[ID_NIVEL],MAE_ASIGNATURA[ID_CARRERA]=DET_ASIG!$B129,"No existe información")))</f>
        <v>1</v>
      </c>
      <c r="B144">
        <v>2</v>
      </c>
      <c r="C144">
        <v>3</v>
      </c>
      <c r="D144">
        <v>4</v>
      </c>
      <c r="E144">
        <v>5</v>
      </c>
      <c r="F144">
        <v>6</v>
      </c>
      <c r="G144">
        <v>7</v>
      </c>
      <c r="H144">
        <v>8</v>
      </c>
      <c r="O144" t="str" cm="1">
        <f t="array" ref="O144:S144">TRANSPOSE(_xlfn.UNIQUE(_xlfn._xlws.FILTER(MAE_ASIGNATURA[NOM_ASIG],(MAE_ASIGNATURA[ID_NIVEL]=DET_ASIG!$D129)*(MAE_ASIGNATURA[ID_CARRERA]=DET_ASIG!$B129),"No existe información")))</f>
        <v>AUDITORÍA EN SEGURIDAD_x000D_
Y SALUD OCUPACIONAL</v>
      </c>
      <c r="P144" t="str">
        <v>VALORACIÓN DE EMPRESAS Y_x000D_
RIESGOS</v>
      </c>
      <c r="Q144" t="str">
        <v>AUDITORÍA_x000D_
GUBERNAMENTAL</v>
      </c>
      <c r="R144" t="str">
        <v>AUDITORIA AMBIENTAL</v>
      </c>
      <c r="S144" t="str">
        <v>RESPONSABILIDAD SOCIAL CORPORATIVA</v>
      </c>
    </row>
    <row r="145" spans="1:19">
      <c r="A145" cm="1">
        <f t="array" ref="A145:H145">TRANSPOSE(_xlfn.UNIQUE(_xlfn._xlws.FILTER(MAE_ASIGNATURA[ID_NIVEL],MAE_ASIGNATURA[ID_CARRERA]=DET_ASIG!$B130,"No existe información")))</f>
        <v>1</v>
      </c>
      <c r="B145">
        <v>2</v>
      </c>
      <c r="C145">
        <v>3</v>
      </c>
      <c r="D145">
        <v>4</v>
      </c>
      <c r="E145">
        <v>5</v>
      </c>
      <c r="F145">
        <v>6</v>
      </c>
      <c r="G145">
        <v>7</v>
      </c>
      <c r="H145">
        <v>8</v>
      </c>
      <c r="O145" t="str" cm="1">
        <f t="array" ref="O145:S145">TRANSPOSE(_xlfn.UNIQUE(_xlfn._xlws.FILTER(MAE_ASIGNATURA[NOM_ASIG],(MAE_ASIGNATURA[ID_NIVEL]=DET_ASIG!$D130)*(MAE_ASIGNATURA[ID_CARRERA]=DET_ASIG!$B130),"No existe información")))</f>
        <v>AUDITORÍA EN SEGURIDAD_x000D_
Y SALUD OCUPACIONAL</v>
      </c>
      <c r="P145" t="str">
        <v>VALORACIÓN DE EMPRESAS Y_x000D_
RIESGOS</v>
      </c>
      <c r="Q145" t="str">
        <v>AUDITORÍA_x000D_
GUBERNAMENTAL</v>
      </c>
      <c r="R145" t="str">
        <v>AUDITORIA AMBIENTAL</v>
      </c>
      <c r="S145" t="str">
        <v>RESPONSABILIDAD SOCIAL CORPORATIVA</v>
      </c>
    </row>
    <row r="146" spans="1:19">
      <c r="A146" cm="1">
        <f t="array" ref="A146:H146">TRANSPOSE(_xlfn.UNIQUE(_xlfn._xlws.FILTER(MAE_ASIGNATURA[ID_NIVEL],MAE_ASIGNATURA[ID_CARRERA]=DET_ASIG!$B131,"No existe información")))</f>
        <v>1</v>
      </c>
      <c r="B146">
        <v>2</v>
      </c>
      <c r="C146">
        <v>3</v>
      </c>
      <c r="D146">
        <v>4</v>
      </c>
      <c r="E146">
        <v>5</v>
      </c>
      <c r="F146">
        <v>6</v>
      </c>
      <c r="G146">
        <v>7</v>
      </c>
      <c r="H146">
        <v>8</v>
      </c>
      <c r="O146" t="str" cm="1">
        <f t="array" ref="O146:S146">TRANSPOSE(_xlfn.UNIQUE(_xlfn._xlws.FILTER(MAE_ASIGNATURA[NOM_ASIG],(MAE_ASIGNATURA[ID_NIVEL]=DET_ASIG!$D131)*(MAE_ASIGNATURA[ID_CARRERA]=DET_ASIG!$B131),"No existe información")))</f>
        <v>AUDITORÍA EN SEGURIDAD_x000D_
Y SALUD OCUPACIONAL</v>
      </c>
      <c r="P146" t="str">
        <v>VALORACIÓN DE EMPRESAS Y_x000D_
RIESGOS</v>
      </c>
      <c r="Q146" t="str">
        <v>AUDITORÍA_x000D_
GUBERNAMENTAL</v>
      </c>
      <c r="R146" t="str">
        <v>AUDITORIA AMBIENTAL</v>
      </c>
      <c r="S146" t="str">
        <v>RESPONSABILIDAD SOCIAL CORPORATIVA</v>
      </c>
    </row>
    <row r="147" spans="1:19">
      <c r="A147" cm="1">
        <f t="array" ref="A147:H147">TRANSPOSE(_xlfn.UNIQUE(_xlfn._xlws.FILTER(MAE_ASIGNATURA[ID_NIVEL],MAE_ASIGNATURA[ID_CARRERA]=DET_ASIG!$B132,"No existe información")))</f>
        <v>1</v>
      </c>
      <c r="B147">
        <v>2</v>
      </c>
      <c r="C147">
        <v>3</v>
      </c>
      <c r="D147">
        <v>4</v>
      </c>
      <c r="E147">
        <v>5</v>
      </c>
      <c r="F147">
        <v>6</v>
      </c>
      <c r="G147">
        <v>7</v>
      </c>
      <c r="H147">
        <v>8</v>
      </c>
      <c r="O147" t="str" cm="1">
        <f t="array" ref="O147:S147">TRANSPOSE(_xlfn.UNIQUE(_xlfn._xlws.FILTER(MAE_ASIGNATURA[NOM_ASIG],(MAE_ASIGNATURA[ID_NIVEL]=DET_ASIG!$D132)*(MAE_ASIGNATURA[ID_CARRERA]=DET_ASIG!$B132),"No existe información")))</f>
        <v>AUDITORÍA EN SEGURIDAD_x000D_
Y SALUD OCUPACIONAL</v>
      </c>
      <c r="P147" t="str">
        <v>VALORACIÓN DE EMPRESAS Y_x000D_
RIESGOS</v>
      </c>
      <c r="Q147" t="str">
        <v>AUDITORÍA_x000D_
GUBERNAMENTAL</v>
      </c>
      <c r="R147" t="str">
        <v>AUDITORIA AMBIENTAL</v>
      </c>
      <c r="S147" t="str">
        <v>RESPONSABILIDAD SOCIAL CORPORATIVA</v>
      </c>
    </row>
    <row r="148" spans="1:19">
      <c r="A148" cm="1">
        <f t="array" ref="A148:H148">TRANSPOSE(_xlfn.UNIQUE(_xlfn._xlws.FILTER(MAE_ASIGNATURA[ID_NIVEL],MAE_ASIGNATURA[ID_CARRERA]=DET_ASIG!$B133,"No existe información")))</f>
        <v>1</v>
      </c>
      <c r="B148">
        <v>2</v>
      </c>
      <c r="C148">
        <v>3</v>
      </c>
      <c r="D148">
        <v>4</v>
      </c>
      <c r="E148">
        <v>5</v>
      </c>
      <c r="F148">
        <v>6</v>
      </c>
      <c r="G148">
        <v>7</v>
      </c>
      <c r="H148">
        <v>8</v>
      </c>
      <c r="O148" t="str" cm="1">
        <f t="array" ref="O148:S148">TRANSPOSE(_xlfn.UNIQUE(_xlfn._xlws.FILTER(MAE_ASIGNATURA[NOM_ASIG],(MAE_ASIGNATURA[ID_NIVEL]=DET_ASIG!$D133)*(MAE_ASIGNATURA[ID_CARRERA]=DET_ASIG!$B133),"No existe información")))</f>
        <v>DISEÑO, DESARROLLO  Y EVALUACIÓN DE  PROYECTOS</v>
      </c>
      <c r="P148" t="str">
        <v>LIDERAZGO Y GESTIÓN DE_x000D_
AUDITORIA</v>
      </c>
      <c r="Q148" t="str">
        <v>AUDITORÍA DE SISTEMAS_x000D_
DE INFORMACIÓN</v>
      </c>
      <c r="R148" t="str">
        <v>AUDITORÍA FORENSE</v>
      </c>
      <c r="S148" t="str">
        <v>AUDITORÍA INTEGRAL</v>
      </c>
    </row>
    <row r="149" spans="1:19">
      <c r="A149" cm="1">
        <f t="array" ref="A149:H149">TRANSPOSE(_xlfn.UNIQUE(_xlfn._xlws.FILTER(MAE_ASIGNATURA[ID_NIVEL],MAE_ASIGNATURA[ID_CARRERA]=DET_ASIG!$B134,"No existe información")))</f>
        <v>1</v>
      </c>
      <c r="B149">
        <v>2</v>
      </c>
      <c r="C149">
        <v>3</v>
      </c>
      <c r="D149">
        <v>4</v>
      </c>
      <c r="E149">
        <v>5</v>
      </c>
      <c r="F149">
        <v>6</v>
      </c>
      <c r="G149">
        <v>7</v>
      </c>
      <c r="H149">
        <v>8</v>
      </c>
      <c r="O149" t="str" cm="1">
        <f t="array" ref="O149:S149">TRANSPOSE(_xlfn.UNIQUE(_xlfn._xlws.FILTER(MAE_ASIGNATURA[NOM_ASIG],(MAE_ASIGNATURA[ID_NIVEL]=DET_ASIG!$D134)*(MAE_ASIGNATURA[ID_CARRERA]=DET_ASIG!$B134),"No existe información")))</f>
        <v>DISEÑO, DESARROLLO  Y EVALUACIÓN DE  PROYECTOS</v>
      </c>
      <c r="P149" t="str">
        <v>LIDERAZGO Y GESTIÓN DE_x000D_
AUDITORIA</v>
      </c>
      <c r="Q149" t="str">
        <v>AUDITORÍA DE SISTEMAS_x000D_
DE INFORMACIÓN</v>
      </c>
      <c r="R149" t="str">
        <v>AUDITORÍA FORENSE</v>
      </c>
      <c r="S149" t="str">
        <v>AUDITORÍA INTEGRAL</v>
      </c>
    </row>
    <row r="150" spans="1:19">
      <c r="A150" cm="1">
        <f t="array" ref="A150:H150">TRANSPOSE(_xlfn.UNIQUE(_xlfn._xlws.FILTER(MAE_ASIGNATURA[ID_NIVEL],MAE_ASIGNATURA[ID_CARRERA]=DET_ASIG!$B135,"No existe información")))</f>
        <v>1</v>
      </c>
      <c r="B150">
        <v>2</v>
      </c>
      <c r="C150">
        <v>3</v>
      </c>
      <c r="D150">
        <v>4</v>
      </c>
      <c r="E150">
        <v>5</v>
      </c>
      <c r="F150">
        <v>6</v>
      </c>
      <c r="G150">
        <v>7</v>
      </c>
      <c r="H150">
        <v>8</v>
      </c>
      <c r="O150" t="str" cm="1">
        <f t="array" ref="O150:S150">TRANSPOSE(_xlfn.UNIQUE(_xlfn._xlws.FILTER(MAE_ASIGNATURA[NOM_ASIG],(MAE_ASIGNATURA[ID_NIVEL]=DET_ASIG!$D135)*(MAE_ASIGNATURA[ID_CARRERA]=DET_ASIG!$B135),"No existe información")))</f>
        <v>DISEÑO, DESARROLLO  Y EVALUACIÓN DE  PROYECTOS</v>
      </c>
      <c r="P150" t="str">
        <v>LIDERAZGO Y GESTIÓN DE_x000D_
AUDITORIA</v>
      </c>
      <c r="Q150" t="str">
        <v>AUDITORÍA DE SISTEMAS_x000D_
DE INFORMACIÓN</v>
      </c>
      <c r="R150" t="str">
        <v>AUDITORÍA FORENSE</v>
      </c>
      <c r="S150" t="str">
        <v>AUDITORÍA INTEGRAL</v>
      </c>
    </row>
    <row r="151" spans="1:19">
      <c r="A151" cm="1">
        <f t="array" ref="A151:H151">TRANSPOSE(_xlfn.UNIQUE(_xlfn._xlws.FILTER(MAE_ASIGNATURA[ID_NIVEL],MAE_ASIGNATURA[ID_CARRERA]=DET_ASIG!$B136,"No existe información")))</f>
        <v>1</v>
      </c>
      <c r="B151">
        <v>2</v>
      </c>
      <c r="C151">
        <v>3</v>
      </c>
      <c r="D151">
        <v>4</v>
      </c>
      <c r="E151">
        <v>5</v>
      </c>
      <c r="F151">
        <v>6</v>
      </c>
      <c r="G151">
        <v>7</v>
      </c>
      <c r="H151">
        <v>8</v>
      </c>
      <c r="O151" t="str" cm="1">
        <f t="array" ref="O151:S151">TRANSPOSE(_xlfn.UNIQUE(_xlfn._xlws.FILTER(MAE_ASIGNATURA[NOM_ASIG],(MAE_ASIGNATURA[ID_NIVEL]=DET_ASIG!$D136)*(MAE_ASIGNATURA[ID_CARRERA]=DET_ASIG!$B136),"No existe información")))</f>
        <v>DISEÑO, DESARROLLO  Y EVALUACIÓN DE  PROYECTOS</v>
      </c>
      <c r="P151" t="str">
        <v>LIDERAZGO Y GESTIÓN DE_x000D_
AUDITORIA</v>
      </c>
      <c r="Q151" t="str">
        <v>AUDITORÍA DE SISTEMAS_x000D_
DE INFORMACIÓN</v>
      </c>
      <c r="R151" t="str">
        <v>AUDITORÍA FORENSE</v>
      </c>
      <c r="S151" t="str">
        <v>AUDITORÍA INTEGRAL</v>
      </c>
    </row>
    <row r="152" spans="1:19">
      <c r="A152" cm="1">
        <f t="array" ref="A152:H152">TRANSPOSE(_xlfn.UNIQUE(_xlfn._xlws.FILTER(MAE_ASIGNATURA[ID_NIVEL],MAE_ASIGNATURA[ID_CARRERA]=DET_ASIG!$B137,"No existe información")))</f>
        <v>1</v>
      </c>
      <c r="B152">
        <v>2</v>
      </c>
      <c r="C152">
        <v>3</v>
      </c>
      <c r="D152">
        <v>4</v>
      </c>
      <c r="E152">
        <v>5</v>
      </c>
      <c r="F152">
        <v>6</v>
      </c>
      <c r="G152">
        <v>7</v>
      </c>
      <c r="H152">
        <v>8</v>
      </c>
      <c r="O152" t="str" cm="1">
        <f t="array" ref="O152:S152">TRANSPOSE(_xlfn.UNIQUE(_xlfn._xlws.FILTER(MAE_ASIGNATURA[NOM_ASIG],(MAE_ASIGNATURA[ID_NIVEL]=DET_ASIG!$D137)*(MAE_ASIGNATURA[ID_CARRERA]=DET_ASIG!$B137),"No existe información")))</f>
        <v>DISEÑO, DESARROLLO  Y EVALUACIÓN DE  PROYECTOS</v>
      </c>
      <c r="P152" t="str">
        <v>LIDERAZGO Y GESTIÓN DE_x000D_
AUDITORIA</v>
      </c>
      <c r="Q152" t="str">
        <v>AUDITORÍA DE SISTEMAS_x000D_
DE INFORMACIÓN</v>
      </c>
      <c r="R152" t="str">
        <v>AUDITORÍA FORENSE</v>
      </c>
      <c r="S152" t="str">
        <v>AUDITORÍA INTEGRAL</v>
      </c>
    </row>
    <row r="153" spans="1:19">
      <c r="A153" cm="1">
        <f t="array" ref="A153:H153">TRANSPOSE(_xlfn.UNIQUE(_xlfn._xlws.FILTER(MAE_ASIGNATURA[ID_NIVEL],MAE_ASIGNATURA[ID_CARRERA]=DET_ASIG!$B138,"No existe información")))</f>
        <v>1</v>
      </c>
      <c r="B153">
        <v>2</v>
      </c>
      <c r="C153">
        <v>3</v>
      </c>
      <c r="D153">
        <v>4</v>
      </c>
      <c r="E153">
        <v>5</v>
      </c>
      <c r="F153">
        <v>6</v>
      </c>
      <c r="G153">
        <v>7</v>
      </c>
      <c r="H153">
        <v>8</v>
      </c>
      <c r="O153" t="str" cm="1">
        <f t="array" ref="O153:S153">TRANSPOSE(_xlfn.UNIQUE(_xlfn._xlws.FILTER(MAE_ASIGNATURA[NOM_ASIG],(MAE_ASIGNATURA[ID_NIVEL]=DET_ASIG!$D138)*(MAE_ASIGNATURA[ID_CARRERA]=DET_ASIG!$B138),"No existe información")))</f>
        <v>DISEÑO, DESARROLLO  Y EVALUACIÓN DE  PROYECTOS</v>
      </c>
      <c r="P153" t="str">
        <v>LIDERAZGO Y GESTIÓN DE_x000D_
AUDITORIA</v>
      </c>
      <c r="Q153" t="str">
        <v>AUDITORÍA DE SISTEMAS_x000D_
DE INFORMACIÓN</v>
      </c>
      <c r="R153" t="str">
        <v>AUDITORÍA FORENSE</v>
      </c>
      <c r="S153" t="str">
        <v>AUDITORÍA INTEGRAL</v>
      </c>
    </row>
    <row r="154" spans="1:19">
      <c r="A154" cm="1">
        <f t="array" ref="A154:H154">TRANSPOSE(_xlfn.UNIQUE(_xlfn._xlws.FILTER(MAE_ASIGNATURA[ID_NIVEL],MAE_ASIGNATURA[ID_CARRERA]=DET_ASIG!$B139,"No existe información")))</f>
        <v>1</v>
      </c>
      <c r="B154">
        <v>2</v>
      </c>
      <c r="C154">
        <v>3</v>
      </c>
      <c r="D154">
        <v>4</v>
      </c>
      <c r="E154">
        <v>5</v>
      </c>
      <c r="F154">
        <v>6</v>
      </c>
      <c r="G154">
        <v>7</v>
      </c>
      <c r="H154">
        <v>8</v>
      </c>
      <c r="O154" t="str" cm="1">
        <f t="array" ref="O154:S154">TRANSPOSE(_xlfn.UNIQUE(_xlfn._xlws.FILTER(MAE_ASIGNATURA[NOM_ASIG],(MAE_ASIGNATURA[ID_NIVEL]=DET_ASIG!$D139)*(MAE_ASIGNATURA[ID_CARRERA]=DET_ASIG!$B139),"No existe información")))</f>
        <v>DISEÑO, DESARROLLO  Y EVALUACIÓN DE  PROYECTOS</v>
      </c>
      <c r="P154" t="str">
        <v>LIDERAZGO Y GESTIÓN DE_x000D_
AUDITORIA</v>
      </c>
      <c r="Q154" t="str">
        <v>AUDITORÍA DE SISTEMAS_x000D_
DE INFORMACIÓN</v>
      </c>
      <c r="R154" t="str">
        <v>AUDITORÍA FORENSE</v>
      </c>
      <c r="S154" t="str">
        <v>AUDITORÍA INTEGRAL</v>
      </c>
    </row>
    <row r="155" spans="1:19">
      <c r="A155" cm="1">
        <f t="array" ref="A155:H155">TRANSPOSE(_xlfn.UNIQUE(_xlfn._xlws.FILTER(MAE_ASIGNATURA[ID_NIVEL],MAE_ASIGNATURA[ID_CARRERA]=DET_ASIG!$B140,"No existe información")))</f>
        <v>1</v>
      </c>
      <c r="B155">
        <v>2</v>
      </c>
      <c r="C155">
        <v>3</v>
      </c>
      <c r="D155">
        <v>4</v>
      </c>
      <c r="E155">
        <v>5</v>
      </c>
      <c r="F155">
        <v>6</v>
      </c>
      <c r="G155">
        <v>7</v>
      </c>
      <c r="H155">
        <v>8</v>
      </c>
      <c r="O155" t="str" cm="1">
        <f t="array" ref="O155:S155">TRANSPOSE(_xlfn.UNIQUE(_xlfn._xlws.FILTER(MAE_ASIGNATURA[NOM_ASIG],(MAE_ASIGNATURA[ID_NIVEL]=DET_ASIG!$D140)*(MAE_ASIGNATURA[ID_CARRERA]=DET_ASIG!$B140),"No existe información")))</f>
        <v>DISEÑO, DESARROLLO  Y EVALUACIÓN DE  PROYECTOS</v>
      </c>
      <c r="P155" t="str">
        <v>LIDERAZGO Y GESTIÓN DE_x000D_
AUDITORIA</v>
      </c>
      <c r="Q155" t="str">
        <v>AUDITORÍA DE SISTEMAS_x000D_
DE INFORMACIÓN</v>
      </c>
      <c r="R155" t="str">
        <v>AUDITORÍA FORENSE</v>
      </c>
      <c r="S155" t="str">
        <v>AUDITORÍA INTEGRAL</v>
      </c>
    </row>
    <row r="156" spans="1:19">
      <c r="A156" cm="1">
        <f t="array" ref="A156:H156">TRANSPOSE(_xlfn.UNIQUE(_xlfn._xlws.FILTER(MAE_ASIGNATURA[ID_NIVEL],MAE_ASIGNATURA[ID_CARRERA]=DET_ASIG!$B141,"No existe información")))</f>
        <v>1</v>
      </c>
      <c r="B156">
        <v>2</v>
      </c>
      <c r="C156">
        <v>3</v>
      </c>
      <c r="D156">
        <v>4</v>
      </c>
      <c r="E156">
        <v>5</v>
      </c>
      <c r="F156">
        <v>6</v>
      </c>
      <c r="G156">
        <v>7</v>
      </c>
      <c r="H156">
        <v>8</v>
      </c>
      <c r="O156" t="str" cm="1">
        <f t="array" ref="O156:S156">TRANSPOSE(_xlfn.UNIQUE(_xlfn._xlws.FILTER(MAE_ASIGNATURA[NOM_ASIG],(MAE_ASIGNATURA[ID_NIVEL]=DET_ASIG!$D141)*(MAE_ASIGNATURA[ID_CARRERA]=DET_ASIG!$B141),"No existe información")))</f>
        <v>DISEÑO, DESARROLLO  Y EVALUACIÓN DE  PROYECTOS</v>
      </c>
      <c r="P156" t="str">
        <v>LIDERAZGO Y GESTIÓN DE_x000D_
AUDITORIA</v>
      </c>
      <c r="Q156" t="str">
        <v>AUDITORÍA DE SISTEMAS_x000D_
DE INFORMACIÓN</v>
      </c>
      <c r="R156" t="str">
        <v>AUDITORÍA FORENSE</v>
      </c>
      <c r="S156" t="str">
        <v>AUDITORÍA INTEGRAL</v>
      </c>
    </row>
    <row r="157" spans="1:19">
      <c r="A157" cm="1">
        <f t="array" ref="A157:H157">TRANSPOSE(_xlfn.UNIQUE(_xlfn._xlws.FILTER(MAE_ASIGNATURA[ID_NIVEL],MAE_ASIGNATURA[ID_CARRERA]=DET_ASIG!$B142,"No existe información")))</f>
        <v>1</v>
      </c>
      <c r="B157">
        <v>2</v>
      </c>
      <c r="C157">
        <v>3</v>
      </c>
      <c r="D157">
        <v>4</v>
      </c>
      <c r="E157">
        <v>5</v>
      </c>
      <c r="F157">
        <v>6</v>
      </c>
      <c r="G157">
        <v>7</v>
      </c>
      <c r="H157">
        <v>8</v>
      </c>
      <c r="O157" t="str" cm="1">
        <f t="array" ref="O157:S157">TRANSPOSE(_xlfn.UNIQUE(_xlfn._xlws.FILTER(MAE_ASIGNATURA[NOM_ASIG],(MAE_ASIGNATURA[ID_NIVEL]=DET_ASIG!$D142)*(MAE_ASIGNATURA[ID_CARRERA]=DET_ASIG!$B142),"No existe información")))</f>
        <v>DISEÑO, DESARROLLO  Y EVALUACIÓN DE  PROYECTOS</v>
      </c>
      <c r="P157" t="str">
        <v>LIDERAZGO Y GESTIÓN DE_x000D_
AUDITORIA</v>
      </c>
      <c r="Q157" t="str">
        <v>AUDITORÍA DE SISTEMAS_x000D_
DE INFORMACIÓN</v>
      </c>
      <c r="R157" t="str">
        <v>AUDITORÍA FORENSE</v>
      </c>
      <c r="S157" t="str">
        <v>AUDITORÍA INTEGRAL</v>
      </c>
    </row>
    <row r="158" spans="1:19">
      <c r="A158" cm="1">
        <f t="array" ref="A158:H158">TRANSPOSE(_xlfn.UNIQUE(_xlfn._xlws.FILTER(MAE_ASIGNATURA[ID_NIVEL],MAE_ASIGNATURA[ID_CARRERA]=DET_ASIG!$B143,"No existe información")))</f>
        <v>1</v>
      </c>
      <c r="B158">
        <v>2</v>
      </c>
      <c r="C158">
        <v>3</v>
      </c>
      <c r="D158">
        <v>4</v>
      </c>
      <c r="E158">
        <v>5</v>
      </c>
      <c r="F158">
        <v>6</v>
      </c>
      <c r="G158">
        <v>7</v>
      </c>
      <c r="H158">
        <v>8</v>
      </c>
      <c r="O158" t="str" cm="1">
        <f t="array" ref="O158:S158">TRANSPOSE(_xlfn.UNIQUE(_xlfn._xlws.FILTER(MAE_ASIGNATURA[NOM_ASIG],(MAE_ASIGNATURA[ID_NIVEL]=DET_ASIG!$D143)*(MAE_ASIGNATURA[ID_CARRERA]=DET_ASIG!$B143),"No existe información")))</f>
        <v>DISEÑO, DESARROLLO  Y EVALUACIÓN DE  PROYECTOS</v>
      </c>
      <c r="P158" t="str">
        <v>LIDERAZGO Y GESTIÓN DE_x000D_
AUDITORIA</v>
      </c>
      <c r="Q158" t="str">
        <v>AUDITORÍA DE SISTEMAS_x000D_
DE INFORMACIÓN</v>
      </c>
      <c r="R158" t="str">
        <v>AUDITORÍA FORENSE</v>
      </c>
      <c r="S158" t="str">
        <v>AUDITORÍA INTEGRAL</v>
      </c>
    </row>
    <row r="159" spans="1:19">
      <c r="A159" cm="1">
        <f t="array" ref="A159:H159">TRANSPOSE(_xlfn.UNIQUE(_xlfn._xlws.FILTER(MAE_ASIGNATURA[ID_NIVEL],MAE_ASIGNATURA[ID_CARRERA]=DET_ASIG!$B144,"No existe información")))</f>
        <v>1</v>
      </c>
      <c r="B159">
        <v>2</v>
      </c>
      <c r="C159">
        <v>3</v>
      </c>
      <c r="D159">
        <v>4</v>
      </c>
      <c r="E159">
        <v>5</v>
      </c>
      <c r="F159">
        <v>6</v>
      </c>
      <c r="G159">
        <v>7</v>
      </c>
      <c r="H159">
        <v>8</v>
      </c>
      <c r="O159" t="str" cm="1">
        <f t="array" ref="O159:S159">TRANSPOSE(_xlfn.UNIQUE(_xlfn._xlws.FILTER(MAE_ASIGNATURA[NOM_ASIG],(MAE_ASIGNATURA[ID_NIVEL]=DET_ASIG!$D144)*(MAE_ASIGNATURA[ID_CARRERA]=DET_ASIG!$B144),"No existe información")))</f>
        <v>DISEÑO, DESARROLLO  Y EVALUACIÓN DE  PROYECTOS</v>
      </c>
      <c r="P159" t="str">
        <v>LIDERAZGO Y GESTIÓN DE_x000D_
AUDITORIA</v>
      </c>
      <c r="Q159" t="str">
        <v>AUDITORÍA DE SISTEMAS_x000D_
DE INFORMACIÓN</v>
      </c>
      <c r="R159" t="str">
        <v>AUDITORÍA FORENSE</v>
      </c>
      <c r="S159" t="str">
        <v>AUDITORÍA INTEGRAL</v>
      </c>
    </row>
    <row r="160" spans="1:19">
      <c r="A160" cm="1">
        <f t="array" ref="A160:H160">TRANSPOSE(_xlfn.UNIQUE(_xlfn._xlws.FILTER(MAE_ASIGNATURA[ID_NIVEL],MAE_ASIGNATURA[ID_CARRERA]=DET_ASIG!$B145,"No existe información")))</f>
        <v>1</v>
      </c>
      <c r="B160">
        <v>2</v>
      </c>
      <c r="C160">
        <v>3</v>
      </c>
      <c r="D160">
        <v>4</v>
      </c>
      <c r="E160">
        <v>5</v>
      </c>
      <c r="F160">
        <v>6</v>
      </c>
      <c r="G160">
        <v>7</v>
      </c>
      <c r="H160">
        <v>8</v>
      </c>
      <c r="O160" t="str" cm="1">
        <f t="array" ref="O160:S160">TRANSPOSE(_xlfn.UNIQUE(_xlfn._xlws.FILTER(MAE_ASIGNATURA[NOM_ASIG],(MAE_ASIGNATURA[ID_NIVEL]=DET_ASIG!$D145)*(MAE_ASIGNATURA[ID_CARRERA]=DET_ASIG!$B145),"No existe información")))</f>
        <v>DISEÑO, DESARROLLO  Y EVALUACIÓN DE  PROYECTOS</v>
      </c>
      <c r="P160" t="str">
        <v>LIDERAZGO Y GESTIÓN DE_x000D_
AUDITORIA</v>
      </c>
      <c r="Q160" t="str">
        <v>AUDITORÍA DE SISTEMAS_x000D_
DE INFORMACIÓN</v>
      </c>
      <c r="R160" t="str">
        <v>AUDITORÍA FORENSE</v>
      </c>
      <c r="S160" t="str">
        <v>AUDITORÍA INTEGRAL</v>
      </c>
    </row>
    <row r="161" spans="1:18">
      <c r="A161" cm="1">
        <f t="array" ref="A161:B161">TRANSPOSE(_xlfn.UNIQUE(_xlfn._xlws.FILTER(MAE_ASIGNATURA[ID_NIVEL],MAE_ASIGNATURA[ID_CARRERA]=DET_ASIG!$B146,"No existe información")))</f>
        <v>7</v>
      </c>
      <c r="B161">
        <v>8</v>
      </c>
      <c r="O161" t="str" cm="1">
        <f t="array" ref="O161:R161">TRANSPOSE(_xlfn.UNIQUE(_xlfn._xlws.FILTER(MAE_ASIGNATURA[NOM_ASIG],(MAE_ASIGNATURA[ID_NIVEL]=DET_ASIG!$D146)*(MAE_ASIGNATURA[ID_CARRERA]=DET_ASIG!$B146),"No existe información")))</f>
        <v>Trabajo de integración curricular: Fase de diseño CA-24</v>
      </c>
      <c r="P161" t="str">
        <v>Trabajo de integración curricular: Fase de diseño ACG-24</v>
      </c>
      <c r="Q161" t="str">
        <v>Trabajo de integración curricular: Fase de diseño F-24</v>
      </c>
      <c r="R161" t="str">
        <v>Trabajo de integración curricular: Fase de diseño CA-22</v>
      </c>
    </row>
    <row r="162" spans="1:18">
      <c r="A162" cm="1">
        <f t="array" ref="A162:B162">TRANSPOSE(_xlfn.UNIQUE(_xlfn._xlws.FILTER(MAE_ASIGNATURA[ID_NIVEL],MAE_ASIGNATURA[ID_CARRERA]=DET_ASIG!$B147,"No existe información")))</f>
        <v>7</v>
      </c>
      <c r="B162">
        <v>8</v>
      </c>
      <c r="O162" t="str" cm="1">
        <f t="array" ref="O162:R162">TRANSPOSE(_xlfn.UNIQUE(_xlfn._xlws.FILTER(MAE_ASIGNATURA[NOM_ASIG],(MAE_ASIGNATURA[ID_NIVEL]=DET_ASIG!$D147)*(MAE_ASIGNATURA[ID_CARRERA]=DET_ASIG!$B147),"No existe información")))</f>
        <v>Trabajo de integración curricular: Fase de diseño CA-24</v>
      </c>
      <c r="P162" t="str">
        <v>Trabajo de integración curricular: Fase de diseño ACG-24</v>
      </c>
      <c r="Q162" t="str">
        <v>Trabajo de integración curricular: Fase de diseño F-24</v>
      </c>
      <c r="R162" t="str">
        <v>Trabajo de integración curricular: Fase de diseño CA-22</v>
      </c>
    </row>
    <row r="163" spans="1:18">
      <c r="A163" cm="1">
        <f t="array" ref="A163:B163">TRANSPOSE(_xlfn.UNIQUE(_xlfn._xlws.FILTER(MAE_ASIGNATURA[ID_NIVEL],MAE_ASIGNATURA[ID_CARRERA]=DET_ASIG!$B148,"No existe información")))</f>
        <v>7</v>
      </c>
      <c r="B163">
        <v>8</v>
      </c>
      <c r="O163" t="str" cm="1">
        <f t="array" ref="O163:R163">TRANSPOSE(_xlfn.UNIQUE(_xlfn._xlws.FILTER(MAE_ASIGNATURA[NOM_ASIG],(MAE_ASIGNATURA[ID_NIVEL]=DET_ASIG!$D148)*(MAE_ASIGNATURA[ID_CARRERA]=DET_ASIG!$B148),"No existe información")))</f>
        <v>Trabajo de integración curricular: Fase de diseño CA-24</v>
      </c>
      <c r="P163" t="str">
        <v>Trabajo de integración curricular: Fase de diseño ACG-24</v>
      </c>
      <c r="Q163" t="str">
        <v>Trabajo de integración curricular: Fase de diseño F-24</v>
      </c>
      <c r="R163" t="str">
        <v>Trabajo de integración curricular: Fase de diseño CA-22</v>
      </c>
    </row>
    <row r="164" spans="1:18">
      <c r="A164" cm="1">
        <f t="array" ref="A164:B164">TRANSPOSE(_xlfn.UNIQUE(_xlfn._xlws.FILTER(MAE_ASIGNATURA[ID_NIVEL],MAE_ASIGNATURA[ID_CARRERA]=DET_ASIG!$B149,"No existe información")))</f>
        <v>7</v>
      </c>
      <c r="B164">
        <v>8</v>
      </c>
      <c r="O164" t="str" cm="1">
        <f t="array" ref="O164:R164">TRANSPOSE(_xlfn.UNIQUE(_xlfn._xlws.FILTER(MAE_ASIGNATURA[NOM_ASIG],(MAE_ASIGNATURA[ID_NIVEL]=DET_ASIG!$D149)*(MAE_ASIGNATURA[ID_CARRERA]=DET_ASIG!$B149),"No existe información")))</f>
        <v>Trabajo de integración curricular: Fase de resultados e informe CA-24</v>
      </c>
      <c r="P164" t="str">
        <v>Trabajo de integración curricular: Fase de resultados e informe ACG-24</v>
      </c>
      <c r="Q164" t="str">
        <v>Trabajo de integración curricular: Fase de resultados e informe F-24</v>
      </c>
      <c r="R164" t="str">
        <v>Trabajo de integración curricular: Fase de resultados e informe CA-22</v>
      </c>
    </row>
    <row r="165" spans="1:18">
      <c r="A165" cm="1">
        <f t="array" ref="A165:B165">TRANSPOSE(_xlfn.UNIQUE(_xlfn._xlws.FILTER(MAE_ASIGNATURA[ID_NIVEL],MAE_ASIGNATURA[ID_CARRERA]=DET_ASIG!$B150,"No existe información")))</f>
        <v>7</v>
      </c>
      <c r="B165">
        <v>8</v>
      </c>
      <c r="O165" t="str" cm="1">
        <f t="array" ref="O165:R165">TRANSPOSE(_xlfn.UNIQUE(_xlfn._xlws.FILTER(MAE_ASIGNATURA[NOM_ASIG],(MAE_ASIGNATURA[ID_NIVEL]=DET_ASIG!$D150)*(MAE_ASIGNATURA[ID_CARRERA]=DET_ASIG!$B150),"No existe información")))</f>
        <v>Trabajo de integración curricular: Fase de resultados e informe CA-24</v>
      </c>
      <c r="P165" t="str">
        <v>Trabajo de integración curricular: Fase de resultados e informe ACG-24</v>
      </c>
      <c r="Q165" t="str">
        <v>Trabajo de integración curricular: Fase de resultados e informe F-24</v>
      </c>
      <c r="R165" t="str">
        <v>Trabajo de integración curricular: Fase de resultados e informe CA-22</v>
      </c>
    </row>
    <row r="166" spans="1:18">
      <c r="A166" cm="1">
        <f t="array" ref="A166:B166">TRANSPOSE(_xlfn.UNIQUE(_xlfn._xlws.FILTER(MAE_ASIGNATURA[ID_NIVEL],MAE_ASIGNATURA[ID_CARRERA]=DET_ASIG!$B151,"No existe información")))</f>
        <v>7</v>
      </c>
      <c r="B166">
        <v>8</v>
      </c>
      <c r="O166" t="str" cm="1">
        <f t="array" ref="O166:R166">TRANSPOSE(_xlfn.UNIQUE(_xlfn._xlws.FILTER(MAE_ASIGNATURA[NOM_ASIG],(MAE_ASIGNATURA[ID_NIVEL]=DET_ASIG!$D151)*(MAE_ASIGNATURA[ID_CARRERA]=DET_ASIG!$B151),"No existe información")))</f>
        <v>Trabajo de integración curricular: Fase de resultados e informe CA-24</v>
      </c>
      <c r="P166" t="str">
        <v>Trabajo de integración curricular: Fase de resultados e informe ACG-24</v>
      </c>
      <c r="Q166" t="str">
        <v>Trabajo de integración curricular: Fase de resultados e informe F-24</v>
      </c>
      <c r="R166" t="str">
        <v>Trabajo de integración curricular: Fase de resultados e informe CA-22</v>
      </c>
    </row>
    <row r="167" spans="1:18">
      <c r="A167" cm="1">
        <f t="array" ref="A167:B167">TRANSPOSE(_xlfn.UNIQUE(_xlfn._xlws.FILTER(MAE_ASIGNATURA[ID_NIVEL],MAE_ASIGNATURA[ID_CARRERA]=DET_ASIG!$B152,"No existe información")))</f>
        <v>5</v>
      </c>
      <c r="B167">
        <v>6</v>
      </c>
      <c r="O167" t="str" cm="1">
        <f t="array" ref="O167:R167">TRANSPOSE(_xlfn.UNIQUE(_xlfn._xlws.FILTER(MAE_ASIGNATURA[NOM_ASIG],(MAE_ASIGNATURA[ID_NIVEL]=DET_ASIG!$D152)*(MAE_ASIGNATURA[ID_CARRERA]=DET_ASIG!$B152),"No existe información")))</f>
        <v>Prácticas Laborales 1 CA-24</v>
      </c>
      <c r="P167" t="str">
        <v>Prácticas Laborales 1 ACG-24</v>
      </c>
      <c r="Q167" t="str">
        <v>Prácticas Laborales 1 F-24</v>
      </c>
      <c r="R167" t="str">
        <v>Prácticas Preprofesionales 1 CA-22</v>
      </c>
    </row>
    <row r="168" spans="1:18">
      <c r="A168" cm="1">
        <f t="array" ref="A168:B168">TRANSPOSE(_xlfn.UNIQUE(_xlfn._xlws.FILTER(MAE_ASIGNATURA[ID_NIVEL],MAE_ASIGNATURA[ID_CARRERA]=DET_ASIG!$B153,"No existe información")))</f>
        <v>5</v>
      </c>
      <c r="B168">
        <v>6</v>
      </c>
      <c r="O168" t="str" cm="1">
        <f t="array" ref="O168:R168">TRANSPOSE(_xlfn.UNIQUE(_xlfn._xlws.FILTER(MAE_ASIGNATURA[NOM_ASIG],(MAE_ASIGNATURA[ID_NIVEL]=DET_ASIG!$D153)*(MAE_ASIGNATURA[ID_CARRERA]=DET_ASIG!$B153),"No existe información")))</f>
        <v>Prácticas Laborales 2 CA-24</v>
      </c>
      <c r="P168" t="str">
        <v>Prácticas Laborales 2 ACG-24</v>
      </c>
      <c r="Q168" t="str">
        <v>Prácticas Laborales 2 F-24</v>
      </c>
      <c r="R168" t="str">
        <v>Prácticas preprofesionales 2 CA-22</v>
      </c>
    </row>
    <row r="169" spans="1:18">
      <c r="A169" cm="1">
        <f t="array" ref="A169:B169">TRANSPOSE(_xlfn.UNIQUE(_xlfn._xlws.FILTER(MAE_ASIGNATURA[ID_NIVEL],MAE_ASIGNATURA[ID_CARRERA]=DET_ASIG!$B154,"No existe información")))</f>
        <v>5</v>
      </c>
      <c r="B169">
        <v>6</v>
      </c>
      <c r="O169" t="str" cm="1">
        <f t="array" ref="O169:R169">TRANSPOSE(_xlfn.UNIQUE(_xlfn._xlws.FILTER(MAE_ASIGNATURA[NOM_ASIG],(MAE_ASIGNATURA[ID_NIVEL]=DET_ASIG!$D154)*(MAE_ASIGNATURA[ID_CARRERA]=DET_ASIG!$B154),"No existe información")))</f>
        <v>Prácticas Laborales 1 CA-24</v>
      </c>
      <c r="P169" t="str">
        <v>Prácticas Laborales 1 ACG-24</v>
      </c>
      <c r="Q169" t="str">
        <v>Prácticas Laborales 1 F-24</v>
      </c>
      <c r="R169" t="str">
        <v>Prácticas Preprofesionales 1 CA-22</v>
      </c>
    </row>
    <row r="170" spans="1:18">
      <c r="A170" cm="1">
        <f t="array" ref="A170:B170">TRANSPOSE(_xlfn.UNIQUE(_xlfn._xlws.FILTER(MAE_ASIGNATURA[ID_NIVEL],MAE_ASIGNATURA[ID_CARRERA]=DET_ASIG!$B155,"No existe información")))</f>
        <v>5</v>
      </c>
      <c r="B170">
        <v>6</v>
      </c>
      <c r="O170" t="str" cm="1">
        <f t="array" ref="O170:R170">TRANSPOSE(_xlfn.UNIQUE(_xlfn._xlws.FILTER(MAE_ASIGNATURA[NOM_ASIG],(MAE_ASIGNATURA[ID_NIVEL]=DET_ASIG!$D155)*(MAE_ASIGNATURA[ID_CARRERA]=DET_ASIG!$B155),"No existe información")))</f>
        <v>Prácticas Laborales 2 CA-24</v>
      </c>
      <c r="P170" t="str">
        <v>Prácticas Laborales 2 ACG-24</v>
      </c>
      <c r="Q170" t="str">
        <v>Prácticas Laborales 2 F-24</v>
      </c>
      <c r="R170" t="str">
        <v>Prácticas preprofesionales 2 CA-22</v>
      </c>
    </row>
    <row r="171" spans="1:18">
      <c r="A171" cm="1">
        <f t="array" ref="A171:B171">TRANSPOSE(_xlfn.UNIQUE(_xlfn._xlws.FILTER(MAE_ASIGNATURA[ID_NIVEL],MAE_ASIGNATURA[ID_CARRERA]=DET_ASIG!$B156,"No existe información")))</f>
        <v>5</v>
      </c>
      <c r="B171">
        <v>6</v>
      </c>
      <c r="O171" t="str" cm="1">
        <f t="array" ref="O171:R171">TRANSPOSE(_xlfn.UNIQUE(_xlfn._xlws.FILTER(MAE_ASIGNATURA[NOM_ASIG],(MAE_ASIGNATURA[ID_NIVEL]=DET_ASIG!$D156)*(MAE_ASIGNATURA[ID_CARRERA]=DET_ASIG!$B156),"No existe información")))</f>
        <v>Prácticas Laborales 1 CA-24</v>
      </c>
      <c r="P171" t="str">
        <v>Prácticas Laborales 1 ACG-24</v>
      </c>
      <c r="Q171" t="str">
        <v>Prácticas Laborales 1 F-24</v>
      </c>
      <c r="R171" t="str">
        <v>Prácticas Preprofesionales 1 CA-22</v>
      </c>
    </row>
    <row r="172" spans="1:18">
      <c r="A172" cm="1">
        <f t="array" ref="A172:B172">TRANSPOSE(_xlfn.UNIQUE(_xlfn._xlws.FILTER(MAE_ASIGNATURA[ID_NIVEL],MAE_ASIGNATURA[ID_CARRERA]=DET_ASIG!$B157,"No existe información")))</f>
        <v>5</v>
      </c>
      <c r="B172">
        <v>6</v>
      </c>
      <c r="O172" t="str" cm="1">
        <f t="array" ref="O172:R172">TRANSPOSE(_xlfn.UNIQUE(_xlfn._xlws.FILTER(MAE_ASIGNATURA[NOM_ASIG],(MAE_ASIGNATURA[ID_NIVEL]=DET_ASIG!$D157)*(MAE_ASIGNATURA[ID_CARRERA]=DET_ASIG!$B157),"No existe información")))</f>
        <v>Prácticas Laborales 2 CA-24</v>
      </c>
      <c r="P172" t="str">
        <v>Prácticas Laborales 2 ACG-24</v>
      </c>
      <c r="Q172" t="str">
        <v>Prácticas Laborales 2 F-24</v>
      </c>
      <c r="R172" t="str">
        <v>Prácticas preprofesionales 2 CA-22</v>
      </c>
    </row>
    <row r="173" spans="1:18">
      <c r="A173" cm="1">
        <f t="array" ref="A173:B173">TRANSPOSE(_xlfn.UNIQUE(_xlfn._xlws.FILTER(MAE_ASIGNATURA[ID_NIVEL],MAE_ASIGNATURA[ID_CARRERA]=DET_ASIG!$B158,"No existe información")))</f>
        <v>5</v>
      </c>
      <c r="B173">
        <v>6</v>
      </c>
      <c r="O173" t="str" cm="1">
        <f t="array" ref="O173:R173">TRANSPOSE(_xlfn.UNIQUE(_xlfn._xlws.FILTER(MAE_ASIGNATURA[NOM_ASIG],(MAE_ASIGNATURA[ID_NIVEL]=DET_ASIG!$D158)*(MAE_ASIGNATURA[ID_CARRERA]=DET_ASIG!$B158),"No existe información")))</f>
        <v>Prácticas Laborales 1 CA-24</v>
      </c>
      <c r="P173" t="str">
        <v>Prácticas Laborales 1 ACG-24</v>
      </c>
      <c r="Q173" t="str">
        <v>Prácticas Laborales 1 F-24</v>
      </c>
      <c r="R173" t="str">
        <v>Prácticas Preprofesionales 1 CA-22</v>
      </c>
    </row>
    <row r="174" spans="1:18">
      <c r="A174" cm="1">
        <f t="array" ref="A174:B174">TRANSPOSE(_xlfn.UNIQUE(_xlfn._xlws.FILTER(MAE_ASIGNATURA[ID_NIVEL],MAE_ASIGNATURA[ID_CARRERA]=DET_ASIG!$B159,"No existe información")))</f>
        <v>5</v>
      </c>
      <c r="B174">
        <v>6</v>
      </c>
      <c r="O174" t="str" cm="1">
        <f t="array" ref="O174:R174">TRANSPOSE(_xlfn.UNIQUE(_xlfn._xlws.FILTER(MAE_ASIGNATURA[NOM_ASIG],(MAE_ASIGNATURA[ID_NIVEL]=DET_ASIG!$D159)*(MAE_ASIGNATURA[ID_CARRERA]=DET_ASIG!$B159),"No existe información")))</f>
        <v>Prácticas Laborales 2 CA-24</v>
      </c>
      <c r="P174" t="str">
        <v>Prácticas Laborales 2 ACG-24</v>
      </c>
      <c r="Q174" t="str">
        <v>Prácticas Laborales 2 F-24</v>
      </c>
      <c r="R174" t="str">
        <v>Prácticas preprofesionales 2 CA-22</v>
      </c>
    </row>
    <row r="175" spans="1:18">
      <c r="A175" cm="1">
        <f t="array" ref="A175:H175">TRANSPOSE(_xlfn.UNIQUE(_xlfn._xlws.FILTER(MAE_ASIGNATURA[ID_NIVEL],MAE_ASIGNATURA[ID_CARRERA]=DET_ASIG!$B160,"No existe información")))</f>
        <v>1</v>
      </c>
      <c r="B175">
        <v>2</v>
      </c>
      <c r="C175">
        <v>3</v>
      </c>
      <c r="D175">
        <v>4</v>
      </c>
      <c r="E175">
        <v>5</v>
      </c>
      <c r="F175">
        <v>6</v>
      </c>
      <c r="G175">
        <v>7</v>
      </c>
      <c r="H175">
        <v>8</v>
      </c>
      <c r="O175" t="str" cm="1">
        <f t="array" ref="O175:R175">TRANSPOSE(_xlfn.UNIQUE(_xlfn._xlws.FILTER(MAE_ASIGNATURA[NOM_ASIG],(MAE_ASIGNATURA[ID_NIVEL]=DET_ASIG!$D160)*(MAE_ASIGNATURA[ID_CARRERA]=DET_ASIG!$B160),"No existe información")))</f>
        <v>CONTABILIDAD ADMINISTRATIVA</v>
      </c>
      <c r="P175" t="str">
        <v>MATEMÁTICA ADMINISTRATIVA</v>
      </c>
      <c r="Q175" t="str">
        <v>FUNDAMENTOS DE ADMINISTRACIÓN</v>
      </c>
      <c r="R175" t="str">
        <v>METODOLOGÍA DE LA INVESTIGACIÓN</v>
      </c>
    </row>
    <row r="176" spans="1:18">
      <c r="A176" cm="1">
        <f t="array" ref="A176:H176">TRANSPOSE(_xlfn.UNIQUE(_xlfn._xlws.FILTER(MAE_ASIGNATURA[ID_NIVEL],MAE_ASIGNATURA[ID_CARRERA]=DET_ASIG!$B161,"No existe información")))</f>
        <v>1</v>
      </c>
      <c r="B176">
        <v>2</v>
      </c>
      <c r="C176">
        <v>3</v>
      </c>
      <c r="D176">
        <v>4</v>
      </c>
      <c r="E176">
        <v>5</v>
      </c>
      <c r="F176">
        <v>6</v>
      </c>
      <c r="G176">
        <v>7</v>
      </c>
      <c r="H176">
        <v>8</v>
      </c>
      <c r="O176" t="str" cm="1">
        <f t="array" ref="O176:R176">TRANSPOSE(_xlfn.UNIQUE(_xlfn._xlws.FILTER(MAE_ASIGNATURA[NOM_ASIG],(MAE_ASIGNATURA[ID_NIVEL]=DET_ASIG!$D161)*(MAE_ASIGNATURA[ID_CARRERA]=DET_ASIG!$B161),"No existe información")))</f>
        <v>CONTABILIDAD ADMINISTRATIVA</v>
      </c>
      <c r="P176" t="str">
        <v>MATEMÁTICA ADMINISTRATIVA</v>
      </c>
      <c r="Q176" t="str">
        <v>FUNDAMENTOS DE ADMINISTRACIÓN</v>
      </c>
      <c r="R176" t="str">
        <v>METODOLOGÍA DE LA INVESTIGACIÓN</v>
      </c>
    </row>
    <row r="177" spans="1:19">
      <c r="A177" cm="1">
        <f t="array" ref="A177:H177">TRANSPOSE(_xlfn.UNIQUE(_xlfn._xlws.FILTER(MAE_ASIGNATURA[ID_NIVEL],MAE_ASIGNATURA[ID_CARRERA]=DET_ASIG!$B162,"No existe información")))</f>
        <v>1</v>
      </c>
      <c r="B177">
        <v>2</v>
      </c>
      <c r="C177">
        <v>3</v>
      </c>
      <c r="D177">
        <v>4</v>
      </c>
      <c r="E177">
        <v>5</v>
      </c>
      <c r="F177">
        <v>6</v>
      </c>
      <c r="G177">
        <v>7</v>
      </c>
      <c r="H177">
        <v>8</v>
      </c>
      <c r="O177" t="str" cm="1">
        <f t="array" ref="O177:R177">TRANSPOSE(_xlfn.UNIQUE(_xlfn._xlws.FILTER(MAE_ASIGNATURA[NOM_ASIG],(MAE_ASIGNATURA[ID_NIVEL]=DET_ASIG!$D162)*(MAE_ASIGNATURA[ID_CARRERA]=DET_ASIG!$B162),"No existe información")))</f>
        <v>CONTABILIDAD ADMINISTRATIVA</v>
      </c>
      <c r="P177" t="str">
        <v>MATEMÁTICA ADMINISTRATIVA</v>
      </c>
      <c r="Q177" t="str">
        <v>FUNDAMENTOS DE ADMINISTRACIÓN</v>
      </c>
      <c r="R177" t="str">
        <v>METODOLOGÍA DE LA INVESTIGACIÓN</v>
      </c>
    </row>
    <row r="178" spans="1:19">
      <c r="A178" cm="1">
        <f t="array" ref="A178:H178">TRANSPOSE(_xlfn.UNIQUE(_xlfn._xlws.FILTER(MAE_ASIGNATURA[ID_NIVEL],MAE_ASIGNATURA[ID_CARRERA]=DET_ASIG!$B163,"No existe información")))</f>
        <v>1</v>
      </c>
      <c r="B178">
        <v>2</v>
      </c>
      <c r="C178">
        <v>3</v>
      </c>
      <c r="D178">
        <v>4</v>
      </c>
      <c r="E178">
        <v>5</v>
      </c>
      <c r="F178">
        <v>6</v>
      </c>
      <c r="G178">
        <v>7</v>
      </c>
      <c r="H178">
        <v>8</v>
      </c>
      <c r="O178" t="str" cm="1">
        <f t="array" ref="O178:R178">TRANSPOSE(_xlfn.UNIQUE(_xlfn._xlws.FILTER(MAE_ASIGNATURA[NOM_ASIG],(MAE_ASIGNATURA[ID_NIVEL]=DET_ASIG!$D163)*(MAE_ASIGNATURA[ID_CARRERA]=DET_ASIG!$B163),"No existe información")))</f>
        <v>CONTABILIDAD ADMINISTRATIVA</v>
      </c>
      <c r="P178" t="str">
        <v>MATEMÁTICA ADMINISTRATIVA</v>
      </c>
      <c r="Q178" t="str">
        <v>FUNDAMENTOS DE ADMINISTRACIÓN</v>
      </c>
      <c r="R178" t="str">
        <v>METODOLOGÍA DE LA INVESTIGACIÓN</v>
      </c>
    </row>
    <row r="179" spans="1:19">
      <c r="A179" cm="1">
        <f t="array" ref="A179:H179">TRANSPOSE(_xlfn.UNIQUE(_xlfn._xlws.FILTER(MAE_ASIGNATURA[ID_NIVEL],MAE_ASIGNATURA[ID_CARRERA]=DET_ASIG!$B164,"No existe información")))</f>
        <v>1</v>
      </c>
      <c r="B179">
        <v>2</v>
      </c>
      <c r="C179">
        <v>3</v>
      </c>
      <c r="D179">
        <v>4</v>
      </c>
      <c r="E179">
        <v>5</v>
      </c>
      <c r="F179">
        <v>6</v>
      </c>
      <c r="G179">
        <v>7</v>
      </c>
      <c r="H179">
        <v>8</v>
      </c>
      <c r="O179" t="str" cm="1">
        <f t="array" ref="O179:R179">TRANSPOSE(_xlfn.UNIQUE(_xlfn._xlws.FILTER(MAE_ASIGNATURA[NOM_ASIG],(MAE_ASIGNATURA[ID_NIVEL]=DET_ASIG!$D164)*(MAE_ASIGNATURA[ID_CARRERA]=DET_ASIG!$B164),"No existe información")))</f>
        <v>CONTABILIDAD DE COSTOS</v>
      </c>
      <c r="P179" t="str">
        <v>SISTEMA TRIBUTARIO</v>
      </c>
      <c r="Q179" t="str">
        <v>MATEMÁTICA FINANCIERA</v>
      </c>
      <c r="R179" t="str">
        <v>ESTADÍSTICA FINANCIERA</v>
      </c>
    </row>
    <row r="180" spans="1:19">
      <c r="A180" cm="1">
        <f t="array" ref="A180:H180">TRANSPOSE(_xlfn.UNIQUE(_xlfn._xlws.FILTER(MAE_ASIGNATURA[ID_NIVEL],MAE_ASIGNATURA[ID_CARRERA]=DET_ASIG!$B165,"No existe información")))</f>
        <v>1</v>
      </c>
      <c r="B180">
        <v>2</v>
      </c>
      <c r="C180">
        <v>3</v>
      </c>
      <c r="D180">
        <v>4</v>
      </c>
      <c r="E180">
        <v>5</v>
      </c>
      <c r="F180">
        <v>6</v>
      </c>
      <c r="G180">
        <v>7</v>
      </c>
      <c r="H180">
        <v>8</v>
      </c>
      <c r="O180" t="str" cm="1">
        <f t="array" ref="O180:R180">TRANSPOSE(_xlfn.UNIQUE(_xlfn._xlws.FILTER(MAE_ASIGNATURA[NOM_ASIG],(MAE_ASIGNATURA[ID_NIVEL]=DET_ASIG!$D165)*(MAE_ASIGNATURA[ID_CARRERA]=DET_ASIG!$B165),"No existe información")))</f>
        <v>CONTABILIDAD DE COSTOS</v>
      </c>
      <c r="P180" t="str">
        <v>SISTEMA TRIBUTARIO</v>
      </c>
      <c r="Q180" t="str">
        <v>MATEMÁTICA FINANCIERA</v>
      </c>
      <c r="R180" t="str">
        <v>ESTADÍSTICA FINANCIERA</v>
      </c>
    </row>
    <row r="181" spans="1:19">
      <c r="A181" cm="1">
        <f t="array" ref="A181:H181">TRANSPOSE(_xlfn.UNIQUE(_xlfn._xlws.FILTER(MAE_ASIGNATURA[ID_NIVEL],MAE_ASIGNATURA[ID_CARRERA]=DET_ASIG!$B166,"No existe información")))</f>
        <v>1</v>
      </c>
      <c r="B181">
        <v>2</v>
      </c>
      <c r="C181">
        <v>3</v>
      </c>
      <c r="D181">
        <v>4</v>
      </c>
      <c r="E181">
        <v>5</v>
      </c>
      <c r="F181">
        <v>6</v>
      </c>
      <c r="G181">
        <v>7</v>
      </c>
      <c r="H181">
        <v>8</v>
      </c>
      <c r="O181" t="str" cm="1">
        <f t="array" ref="O181:R181">TRANSPOSE(_xlfn.UNIQUE(_xlfn._xlws.FILTER(MAE_ASIGNATURA[NOM_ASIG],(MAE_ASIGNATURA[ID_NIVEL]=DET_ASIG!$D166)*(MAE_ASIGNATURA[ID_CARRERA]=DET_ASIG!$B166),"No existe información")))</f>
        <v>CONTABILIDAD DE COSTOS</v>
      </c>
      <c r="P181" t="str">
        <v>SISTEMA TRIBUTARIO</v>
      </c>
      <c r="Q181" t="str">
        <v>MATEMÁTICA FINANCIERA</v>
      </c>
      <c r="R181" t="str">
        <v>ESTADÍSTICA FINANCIERA</v>
      </c>
    </row>
    <row r="182" spans="1:19">
      <c r="A182" cm="1">
        <f t="array" ref="A182:H182">TRANSPOSE(_xlfn.UNIQUE(_xlfn._xlws.FILTER(MAE_ASIGNATURA[ID_NIVEL],MAE_ASIGNATURA[ID_CARRERA]=DET_ASIG!$B167,"No existe información")))</f>
        <v>1</v>
      </c>
      <c r="B182">
        <v>2</v>
      </c>
      <c r="C182">
        <v>3</v>
      </c>
      <c r="D182">
        <v>4</v>
      </c>
      <c r="E182">
        <v>5</v>
      </c>
      <c r="F182">
        <v>6</v>
      </c>
      <c r="G182">
        <v>7</v>
      </c>
      <c r="H182">
        <v>8</v>
      </c>
      <c r="O182" t="str" cm="1">
        <f t="array" ref="O182:R182">TRANSPOSE(_xlfn.UNIQUE(_xlfn._xlws.FILTER(MAE_ASIGNATURA[NOM_ASIG],(MAE_ASIGNATURA[ID_NIVEL]=DET_ASIG!$D167)*(MAE_ASIGNATURA[ID_CARRERA]=DET_ASIG!$B167),"No existe información")))</f>
        <v>CONTABILIDAD DE COSTOS</v>
      </c>
      <c r="P182" t="str">
        <v>SISTEMA TRIBUTARIO</v>
      </c>
      <c r="Q182" t="str">
        <v>MATEMÁTICA FINANCIERA</v>
      </c>
      <c r="R182" t="str">
        <v>ESTADÍSTICA FINANCIERA</v>
      </c>
    </row>
    <row r="183" spans="1:19">
      <c r="A183" cm="1">
        <f t="array" ref="A183:H183">TRANSPOSE(_xlfn.UNIQUE(_xlfn._xlws.FILTER(MAE_ASIGNATURA[ID_NIVEL],MAE_ASIGNATURA[ID_CARRERA]=DET_ASIG!$B168,"No existe información")))</f>
        <v>1</v>
      </c>
      <c r="B183">
        <v>2</v>
      </c>
      <c r="C183">
        <v>3</v>
      </c>
      <c r="D183">
        <v>4</v>
      </c>
      <c r="E183">
        <v>5</v>
      </c>
      <c r="F183">
        <v>6</v>
      </c>
      <c r="G183">
        <v>7</v>
      </c>
      <c r="H183">
        <v>8</v>
      </c>
      <c r="O183" t="str" cm="1">
        <f t="array" ref="O183:R183">TRANSPOSE(_xlfn.UNIQUE(_xlfn._xlws.FILTER(MAE_ASIGNATURA[NOM_ASIG],(MAE_ASIGNATURA[ID_NIVEL]=DET_ASIG!$D168)*(MAE_ASIGNATURA[ID_CARRERA]=DET_ASIG!$B168),"No existe información")))</f>
        <v>CONTABILIDAD BANCARIA</v>
      </c>
      <c r="P183" t="str">
        <v>FUNDAMENTOS DE FINANZAS</v>
      </c>
      <c r="Q183" t="str">
        <v>ECONOMETRÍA</v>
      </c>
      <c r="R183" t="str">
        <v>LEGISLACIÓN MONETARIA Y BANCARIA</v>
      </c>
    </row>
    <row r="184" spans="1:19">
      <c r="A184" cm="1">
        <f t="array" ref="A184:H184">TRANSPOSE(_xlfn.UNIQUE(_xlfn._xlws.FILTER(MAE_ASIGNATURA[ID_NIVEL],MAE_ASIGNATURA[ID_CARRERA]=DET_ASIG!$B169,"No existe información")))</f>
        <v>1</v>
      </c>
      <c r="B184">
        <v>2</v>
      </c>
      <c r="C184">
        <v>3</v>
      </c>
      <c r="D184">
        <v>4</v>
      </c>
      <c r="E184">
        <v>5</v>
      </c>
      <c r="F184">
        <v>6</v>
      </c>
      <c r="G184">
        <v>7</v>
      </c>
      <c r="H184">
        <v>8</v>
      </c>
      <c r="O184" t="str" cm="1">
        <f t="array" ref="O184:R184">TRANSPOSE(_xlfn.UNIQUE(_xlfn._xlws.FILTER(MAE_ASIGNATURA[NOM_ASIG],(MAE_ASIGNATURA[ID_NIVEL]=DET_ASIG!$D169)*(MAE_ASIGNATURA[ID_CARRERA]=DET_ASIG!$B169),"No existe información")))</f>
        <v>CONTABILIDAD BANCARIA</v>
      </c>
      <c r="P184" t="str">
        <v>FUNDAMENTOS DE FINANZAS</v>
      </c>
      <c r="Q184" t="str">
        <v>ECONOMETRÍA</v>
      </c>
      <c r="R184" t="str">
        <v>LEGISLACIÓN MONETARIA Y BANCARIA</v>
      </c>
    </row>
    <row r="185" spans="1:19">
      <c r="A185" cm="1">
        <f t="array" ref="A185:H185">TRANSPOSE(_xlfn.UNIQUE(_xlfn._xlws.FILTER(MAE_ASIGNATURA[ID_NIVEL],MAE_ASIGNATURA[ID_CARRERA]=DET_ASIG!$B170,"No existe información")))</f>
        <v>1</v>
      </c>
      <c r="B185">
        <v>2</v>
      </c>
      <c r="C185">
        <v>3</v>
      </c>
      <c r="D185">
        <v>4</v>
      </c>
      <c r="E185">
        <v>5</v>
      </c>
      <c r="F185">
        <v>6</v>
      </c>
      <c r="G185">
        <v>7</v>
      </c>
      <c r="H185">
        <v>8</v>
      </c>
      <c r="O185" t="str" cm="1">
        <f t="array" ref="O185:R185">TRANSPOSE(_xlfn.UNIQUE(_xlfn._xlws.FILTER(MAE_ASIGNATURA[NOM_ASIG],(MAE_ASIGNATURA[ID_NIVEL]=DET_ASIG!$D170)*(MAE_ASIGNATURA[ID_CARRERA]=DET_ASIG!$B170),"No existe información")))</f>
        <v>CONTABILIDAD BANCARIA</v>
      </c>
      <c r="P185" t="str">
        <v>FUNDAMENTOS DE FINANZAS</v>
      </c>
      <c r="Q185" t="str">
        <v>ECONOMETRÍA</v>
      </c>
      <c r="R185" t="str">
        <v>LEGISLACIÓN MONETARIA Y BANCARIA</v>
      </c>
    </row>
    <row r="186" spans="1:19">
      <c r="A186" cm="1">
        <f t="array" ref="A186:H186">TRANSPOSE(_xlfn.UNIQUE(_xlfn._xlws.FILTER(MAE_ASIGNATURA[ID_NIVEL],MAE_ASIGNATURA[ID_CARRERA]=DET_ASIG!$B171,"No existe información")))</f>
        <v>1</v>
      </c>
      <c r="B186">
        <v>2</v>
      </c>
      <c r="C186">
        <v>3</v>
      </c>
      <c r="D186">
        <v>4</v>
      </c>
      <c r="E186">
        <v>5</v>
      </c>
      <c r="F186">
        <v>6</v>
      </c>
      <c r="G186">
        <v>7</v>
      </c>
      <c r="H186">
        <v>8</v>
      </c>
      <c r="O186" t="str" cm="1">
        <f t="array" ref="O186:R186">TRANSPOSE(_xlfn.UNIQUE(_xlfn._xlws.FILTER(MAE_ASIGNATURA[NOM_ASIG],(MAE_ASIGNATURA[ID_NIVEL]=DET_ASIG!$D171)*(MAE_ASIGNATURA[ID_CARRERA]=DET_ASIG!$B171),"No existe información")))</f>
        <v>CONTABILIDAD BANCARIA</v>
      </c>
      <c r="P186" t="str">
        <v>FUNDAMENTOS DE FINANZAS</v>
      </c>
      <c r="Q186" t="str">
        <v>ECONOMETRÍA</v>
      </c>
      <c r="R186" t="str">
        <v>LEGISLACIÓN MONETARIA Y BANCARIA</v>
      </c>
    </row>
    <row r="187" spans="1:19">
      <c r="A187" cm="1">
        <f t="array" ref="A187:H187">TRANSPOSE(_xlfn.UNIQUE(_xlfn._xlws.FILTER(MAE_ASIGNATURA[ID_NIVEL],MAE_ASIGNATURA[ID_CARRERA]=DET_ASIG!$B172,"No existe información")))</f>
        <v>1</v>
      </c>
      <c r="B187">
        <v>2</v>
      </c>
      <c r="C187">
        <v>3</v>
      </c>
      <c r="D187">
        <v>4</v>
      </c>
      <c r="E187">
        <v>5</v>
      </c>
      <c r="F187">
        <v>6</v>
      </c>
      <c r="G187">
        <v>7</v>
      </c>
      <c r="H187">
        <v>8</v>
      </c>
      <c r="O187" t="str" cm="1">
        <f t="array" ref="O187:S187">TRANSPOSE(_xlfn.UNIQUE(_xlfn._xlws.FILTER(MAE_ASIGNATURA[NOM_ASIG],(MAE_ASIGNATURA[ID_NIVEL]=DET_ASIG!$D172)*(MAE_ASIGNATURA[ID_CARRERA]=DET_ASIG!$B172),"No existe información")))</f>
        <v>CONTABILIDAD FINANCIERA</v>
      </c>
      <c r="P187" t="str">
        <v>MERCADO DE SEGUROS</v>
      </c>
      <c r="Q187" t="str">
        <v>ADMINISTRACIÓN FINANCIERA</v>
      </c>
      <c r="R187" t="str">
        <v>GESTIÓN DEL TALENTO HUMANO</v>
      </c>
      <c r="S187" t="str">
        <v>GERENCIA ESTRATÉGICA</v>
      </c>
    </row>
    <row r="188" spans="1:19">
      <c r="A188" cm="1">
        <f t="array" ref="A188:H188">TRANSPOSE(_xlfn.UNIQUE(_xlfn._xlws.FILTER(MAE_ASIGNATURA[ID_NIVEL],MAE_ASIGNATURA[ID_CARRERA]=DET_ASIG!$B173,"No existe información")))</f>
        <v>1</v>
      </c>
      <c r="B188">
        <v>2</v>
      </c>
      <c r="C188">
        <v>3</v>
      </c>
      <c r="D188">
        <v>4</v>
      </c>
      <c r="E188">
        <v>5</v>
      </c>
      <c r="F188">
        <v>6</v>
      </c>
      <c r="G188">
        <v>7</v>
      </c>
      <c r="H188">
        <v>8</v>
      </c>
      <c r="O188" t="str" cm="1">
        <f t="array" ref="O188:S188">TRANSPOSE(_xlfn.UNIQUE(_xlfn._xlws.FILTER(MAE_ASIGNATURA[NOM_ASIG],(MAE_ASIGNATURA[ID_NIVEL]=DET_ASIG!$D173)*(MAE_ASIGNATURA[ID_CARRERA]=DET_ASIG!$B173),"No existe información")))</f>
        <v>CONTABILIDAD FINANCIERA</v>
      </c>
      <c r="P188" t="str">
        <v>MERCADO DE SEGUROS</v>
      </c>
      <c r="Q188" t="str">
        <v>ADMINISTRACIÓN FINANCIERA</v>
      </c>
      <c r="R188" t="str">
        <v>GESTIÓN DEL TALENTO HUMANO</v>
      </c>
      <c r="S188" t="str">
        <v>GERENCIA ESTRATÉGICA</v>
      </c>
    </row>
    <row r="189" spans="1:19">
      <c r="A189" cm="1">
        <f t="array" ref="A189:H189">TRANSPOSE(_xlfn.UNIQUE(_xlfn._xlws.FILTER(MAE_ASIGNATURA[ID_NIVEL],MAE_ASIGNATURA[ID_CARRERA]=DET_ASIG!$B174,"No existe información")))</f>
        <v>1</v>
      </c>
      <c r="B189">
        <v>2</v>
      </c>
      <c r="C189">
        <v>3</v>
      </c>
      <c r="D189">
        <v>4</v>
      </c>
      <c r="E189">
        <v>5</v>
      </c>
      <c r="F189">
        <v>6</v>
      </c>
      <c r="G189">
        <v>7</v>
      </c>
      <c r="H189">
        <v>8</v>
      </c>
      <c r="O189" t="str" cm="1">
        <f t="array" ref="O189:S189">TRANSPOSE(_xlfn.UNIQUE(_xlfn._xlws.FILTER(MAE_ASIGNATURA[NOM_ASIG],(MAE_ASIGNATURA[ID_NIVEL]=DET_ASIG!$D174)*(MAE_ASIGNATURA[ID_CARRERA]=DET_ASIG!$B174),"No existe información")))</f>
        <v>CONTABILIDAD FINANCIERA</v>
      </c>
      <c r="P189" t="str">
        <v>MERCADO DE SEGUROS</v>
      </c>
      <c r="Q189" t="str">
        <v>ADMINISTRACIÓN FINANCIERA</v>
      </c>
      <c r="R189" t="str">
        <v>GESTIÓN DEL TALENTO HUMANO</v>
      </c>
      <c r="S189" t="str">
        <v>GERENCIA ESTRATÉGICA</v>
      </c>
    </row>
    <row r="190" spans="1:19">
      <c r="A190" cm="1">
        <f t="array" ref="A190:H190">TRANSPOSE(_xlfn.UNIQUE(_xlfn._xlws.FILTER(MAE_ASIGNATURA[ID_NIVEL],MAE_ASIGNATURA[ID_CARRERA]=DET_ASIG!$B175,"No existe información")))</f>
        <v>1</v>
      </c>
      <c r="B190">
        <v>2</v>
      </c>
      <c r="C190">
        <v>3</v>
      </c>
      <c r="D190">
        <v>4</v>
      </c>
      <c r="E190">
        <v>5</v>
      </c>
      <c r="F190">
        <v>6</v>
      </c>
      <c r="G190">
        <v>7</v>
      </c>
      <c r="H190">
        <v>8</v>
      </c>
      <c r="O190" t="str" cm="1">
        <f t="array" ref="O190:S190">TRANSPOSE(_xlfn.UNIQUE(_xlfn._xlws.FILTER(MAE_ASIGNATURA[NOM_ASIG],(MAE_ASIGNATURA[ID_NIVEL]=DET_ASIG!$D175)*(MAE_ASIGNATURA[ID_CARRERA]=DET_ASIG!$B175),"No existe información")))</f>
        <v>CONTABILIDAD FINANCIERA</v>
      </c>
      <c r="P190" t="str">
        <v>MERCADO DE SEGUROS</v>
      </c>
      <c r="Q190" t="str">
        <v>ADMINISTRACIÓN FINANCIERA</v>
      </c>
      <c r="R190" t="str">
        <v>GESTIÓN DEL TALENTO HUMANO</v>
      </c>
      <c r="S190" t="str">
        <v>GERENCIA ESTRATÉGICA</v>
      </c>
    </row>
    <row r="191" spans="1:19">
      <c r="A191" cm="1">
        <f t="array" ref="A191:H191">TRANSPOSE(_xlfn.UNIQUE(_xlfn._xlws.FILTER(MAE_ASIGNATURA[ID_NIVEL],MAE_ASIGNATURA[ID_CARRERA]=DET_ASIG!$B176,"No existe información")))</f>
        <v>1</v>
      </c>
      <c r="B191">
        <v>2</v>
      </c>
      <c r="C191">
        <v>3</v>
      </c>
      <c r="D191">
        <v>4</v>
      </c>
      <c r="E191">
        <v>5</v>
      </c>
      <c r="F191">
        <v>6</v>
      </c>
      <c r="G191">
        <v>7</v>
      </c>
      <c r="H191">
        <v>8</v>
      </c>
      <c r="O191" t="str" cm="1">
        <f t="array" ref="O191:S191">TRANSPOSE(_xlfn.UNIQUE(_xlfn._xlws.FILTER(MAE_ASIGNATURA[NOM_ASIG],(MAE_ASIGNATURA[ID_NIVEL]=DET_ASIG!$D176)*(MAE_ASIGNATURA[ID_CARRERA]=DET_ASIG!$B176),"No existe información")))</f>
        <v>CONTABILIDAD FINANCIERA</v>
      </c>
      <c r="P191" t="str">
        <v>MERCADO DE SEGUROS</v>
      </c>
      <c r="Q191" t="str">
        <v>ADMINISTRACIÓN FINANCIERA</v>
      </c>
      <c r="R191" t="str">
        <v>GESTIÓN DEL TALENTO HUMANO</v>
      </c>
      <c r="S191" t="str">
        <v>GERENCIA ESTRATÉGICA</v>
      </c>
    </row>
    <row r="192" spans="1:19">
      <c r="A192" cm="1">
        <f t="array" ref="A192:H192">TRANSPOSE(_xlfn.UNIQUE(_xlfn._xlws.FILTER(MAE_ASIGNATURA[ID_NIVEL],MAE_ASIGNATURA[ID_CARRERA]=DET_ASIG!$B177,"No existe información")))</f>
        <v>1</v>
      </c>
      <c r="B192">
        <v>2</v>
      </c>
      <c r="C192">
        <v>3</v>
      </c>
      <c r="D192">
        <v>4</v>
      </c>
      <c r="E192">
        <v>5</v>
      </c>
      <c r="F192">
        <v>6</v>
      </c>
      <c r="G192">
        <v>7</v>
      </c>
      <c r="H192">
        <v>8</v>
      </c>
      <c r="O192" t="str" cm="1">
        <f t="array" ref="O192:S192">TRANSPOSE(_xlfn.UNIQUE(_xlfn._xlws.FILTER(MAE_ASIGNATURA[NOM_ASIG],(MAE_ASIGNATURA[ID_NIVEL]=DET_ASIG!$D177)*(MAE_ASIGNATURA[ID_CARRERA]=DET_ASIG!$B177),"No existe información")))</f>
        <v>CONTABILIDAD FINANCIERA</v>
      </c>
      <c r="P192" t="str">
        <v>MERCADO DE SEGUROS</v>
      </c>
      <c r="Q192" t="str">
        <v>ADMINISTRACIÓN FINANCIERA</v>
      </c>
      <c r="R192" t="str">
        <v>GESTIÓN DEL TALENTO HUMANO</v>
      </c>
      <c r="S192" t="str">
        <v>GERENCIA ESTRATÉGICA</v>
      </c>
    </row>
    <row r="193" spans="1:20">
      <c r="A193" cm="1">
        <f t="array" ref="A193:H193">TRANSPOSE(_xlfn.UNIQUE(_xlfn._xlws.FILTER(MAE_ASIGNATURA[ID_NIVEL],MAE_ASIGNATURA[ID_CARRERA]=DET_ASIG!$B178,"No existe información")))</f>
        <v>1</v>
      </c>
      <c r="B193">
        <v>2</v>
      </c>
      <c r="C193">
        <v>3</v>
      </c>
      <c r="D193">
        <v>4</v>
      </c>
      <c r="E193">
        <v>5</v>
      </c>
      <c r="F193">
        <v>6</v>
      </c>
      <c r="G193">
        <v>7</v>
      </c>
      <c r="H193">
        <v>8</v>
      </c>
      <c r="O193" t="str" cm="1">
        <f t="array" ref="O193:S193">TRANSPOSE(_xlfn.UNIQUE(_xlfn._xlws.FILTER(MAE_ASIGNATURA[NOM_ASIG],(MAE_ASIGNATURA[ID_NIVEL]=DET_ASIG!$D178)*(MAE_ASIGNATURA[ID_CARRERA]=DET_ASIG!$B178),"No existe información")))</f>
        <v>CONTABILIDAD FINANCIERA</v>
      </c>
      <c r="P193" t="str">
        <v>MERCADO DE SEGUROS</v>
      </c>
      <c r="Q193" t="str">
        <v>ADMINISTRACIÓN FINANCIERA</v>
      </c>
      <c r="R193" t="str">
        <v>GESTIÓN DEL TALENTO HUMANO</v>
      </c>
      <c r="S193" t="str">
        <v>GERENCIA ESTRATÉGICA</v>
      </c>
    </row>
    <row r="194" spans="1:20">
      <c r="A194" cm="1">
        <f t="array" ref="A194:H194">TRANSPOSE(_xlfn.UNIQUE(_xlfn._xlws.FILTER(MAE_ASIGNATURA[ID_NIVEL],MAE_ASIGNATURA[ID_CARRERA]=DET_ASIG!$B179,"No existe información")))</f>
        <v>1</v>
      </c>
      <c r="B194">
        <v>2</v>
      </c>
      <c r="C194">
        <v>3</v>
      </c>
      <c r="D194">
        <v>4</v>
      </c>
      <c r="E194">
        <v>5</v>
      </c>
      <c r="F194">
        <v>6</v>
      </c>
      <c r="G194">
        <v>7</v>
      </c>
      <c r="H194">
        <v>8</v>
      </c>
      <c r="O194" t="str" cm="1">
        <f t="array" ref="O194:S194">TRANSPOSE(_xlfn.UNIQUE(_xlfn._xlws.FILTER(MAE_ASIGNATURA[NOM_ASIG],(MAE_ASIGNATURA[ID_NIVEL]=DET_ASIG!$D179)*(MAE_ASIGNATURA[ID_CARRERA]=DET_ASIG!$B179),"No existe información")))</f>
        <v>CONTABILIDAD FINANCIERA</v>
      </c>
      <c r="P194" t="str">
        <v>MERCADO DE SEGUROS</v>
      </c>
      <c r="Q194" t="str">
        <v>ADMINISTRACIÓN FINANCIERA</v>
      </c>
      <c r="R194" t="str">
        <v>GESTIÓN DEL TALENTO HUMANO</v>
      </c>
      <c r="S194" t="str">
        <v>GERENCIA ESTRATÉGICA</v>
      </c>
    </row>
    <row r="195" spans="1:20">
      <c r="A195" cm="1">
        <f t="array" ref="A195:H195">TRANSPOSE(_xlfn.UNIQUE(_xlfn._xlws.FILTER(MAE_ASIGNATURA[ID_NIVEL],MAE_ASIGNATURA[ID_CARRERA]=DET_ASIG!$B180,"No existe información")))</f>
        <v>1</v>
      </c>
      <c r="B195">
        <v>2</v>
      </c>
      <c r="C195">
        <v>3</v>
      </c>
      <c r="D195">
        <v>4</v>
      </c>
      <c r="E195">
        <v>5</v>
      </c>
      <c r="F195">
        <v>6</v>
      </c>
      <c r="G195">
        <v>7</v>
      </c>
      <c r="H195">
        <v>8</v>
      </c>
      <c r="O195" t="str" cm="1">
        <f t="array" ref="O195:S195">TRANSPOSE(_xlfn.UNIQUE(_xlfn._xlws.FILTER(MAE_ASIGNATURA[NOM_ASIG],(MAE_ASIGNATURA[ID_NIVEL]=DET_ASIG!$D180)*(MAE_ASIGNATURA[ID_CARRERA]=DET_ASIG!$B180),"No existe información")))</f>
        <v>CONTABILIDAD FINANCIERA</v>
      </c>
      <c r="P195" t="str">
        <v>MERCADO DE SEGUROS</v>
      </c>
      <c r="Q195" t="str">
        <v>ADMINISTRACIÓN FINANCIERA</v>
      </c>
      <c r="R195" t="str">
        <v>GESTIÓN DEL TALENTO HUMANO</v>
      </c>
      <c r="S195" t="str">
        <v>GERENCIA ESTRATÉGICA</v>
      </c>
    </row>
    <row r="196" spans="1:20">
      <c r="A196" cm="1">
        <f t="array" ref="A196:H196">TRANSPOSE(_xlfn.UNIQUE(_xlfn._xlws.FILTER(MAE_ASIGNATURA[ID_NIVEL],MAE_ASIGNATURA[ID_CARRERA]=DET_ASIG!$B181,"No existe información")))</f>
        <v>1</v>
      </c>
      <c r="B196">
        <v>2</v>
      </c>
      <c r="C196">
        <v>3</v>
      </c>
      <c r="D196">
        <v>4</v>
      </c>
      <c r="E196">
        <v>5</v>
      </c>
      <c r="F196">
        <v>6</v>
      </c>
      <c r="G196">
        <v>7</v>
      </c>
      <c r="H196">
        <v>8</v>
      </c>
      <c r="O196" t="str" cm="1">
        <f t="array" ref="O196:S196">TRANSPOSE(_xlfn.UNIQUE(_xlfn._xlws.FILTER(MAE_ASIGNATURA[NOM_ASIG],(MAE_ASIGNATURA[ID_NIVEL]=DET_ASIG!$D181)*(MAE_ASIGNATURA[ID_CARRERA]=DET_ASIG!$B181),"No existe información")))</f>
        <v>CONTABILIDAD FINANCIERA</v>
      </c>
      <c r="P196" t="str">
        <v>MERCADO DE SEGUROS</v>
      </c>
      <c r="Q196" t="str">
        <v>ADMINISTRACIÓN FINANCIERA</v>
      </c>
      <c r="R196" t="str">
        <v>GESTIÓN DEL TALENTO HUMANO</v>
      </c>
      <c r="S196" t="str">
        <v>GERENCIA ESTRATÉGICA</v>
      </c>
    </row>
    <row r="197" spans="1:20">
      <c r="A197" cm="1">
        <f t="array" ref="A197:H197">TRANSPOSE(_xlfn.UNIQUE(_xlfn._xlws.FILTER(MAE_ASIGNATURA[ID_NIVEL],MAE_ASIGNATURA[ID_CARRERA]=DET_ASIG!$B182,"No existe información")))</f>
        <v>1</v>
      </c>
      <c r="B197">
        <v>2</v>
      </c>
      <c r="C197">
        <v>3</v>
      </c>
      <c r="D197">
        <v>4</v>
      </c>
      <c r="E197">
        <v>5</v>
      </c>
      <c r="F197">
        <v>6</v>
      </c>
      <c r="G197">
        <v>7</v>
      </c>
      <c r="H197">
        <v>8</v>
      </c>
      <c r="O197" t="str" cm="1">
        <f t="array" ref="O197:S197">TRANSPOSE(_xlfn.UNIQUE(_xlfn._xlws.FILTER(MAE_ASIGNATURA[NOM_ASIG],(MAE_ASIGNATURA[ID_NIVEL]=DET_ASIG!$D182)*(MAE_ASIGNATURA[ID_CARRERA]=DET_ASIG!$B182),"No existe información")))</f>
        <v>CONTABILIDAD FINANCIERA</v>
      </c>
      <c r="P197" t="str">
        <v>MERCADO DE SEGUROS</v>
      </c>
      <c r="Q197" t="str">
        <v>ADMINISTRACIÓN FINANCIERA</v>
      </c>
      <c r="R197" t="str">
        <v>GESTIÓN DEL TALENTO HUMANO</v>
      </c>
      <c r="S197" t="str">
        <v>GERENCIA ESTRATÉGICA</v>
      </c>
    </row>
    <row r="198" spans="1:20">
      <c r="A198" cm="1">
        <f t="array" ref="A198:H198">TRANSPOSE(_xlfn.UNIQUE(_xlfn._xlws.FILTER(MAE_ASIGNATURA[ID_NIVEL],MAE_ASIGNATURA[ID_CARRERA]=DET_ASIG!$B183,"No existe información")))</f>
        <v>1</v>
      </c>
      <c r="B198">
        <v>2</v>
      </c>
      <c r="C198">
        <v>3</v>
      </c>
      <c r="D198">
        <v>4</v>
      </c>
      <c r="E198">
        <v>5</v>
      </c>
      <c r="F198">
        <v>6</v>
      </c>
      <c r="G198">
        <v>7</v>
      </c>
      <c r="H198">
        <v>8</v>
      </c>
      <c r="O198" t="str" cm="1">
        <f t="array" ref="O198:S198">TRANSPOSE(_xlfn.UNIQUE(_xlfn._xlws.FILTER(MAE_ASIGNATURA[NOM_ASIG],(MAE_ASIGNATURA[ID_NIVEL]=DET_ASIG!$D183)*(MAE_ASIGNATURA[ID_CARRERA]=DET_ASIG!$B183),"No existe información")))</f>
        <v>CONTABILIDAD FINANCIERA</v>
      </c>
      <c r="P198" t="str">
        <v>MERCADO DE SEGUROS</v>
      </c>
      <c r="Q198" t="str">
        <v>ADMINISTRACIÓN FINANCIERA</v>
      </c>
      <c r="R198" t="str">
        <v>GESTIÓN DEL TALENTO HUMANO</v>
      </c>
      <c r="S198" t="str">
        <v>GERENCIA ESTRATÉGICA</v>
      </c>
    </row>
    <row r="199" spans="1:20">
      <c r="A199" cm="1">
        <f t="array" ref="A199:H199">TRANSPOSE(_xlfn.UNIQUE(_xlfn._xlws.FILTER(MAE_ASIGNATURA[ID_NIVEL],MAE_ASIGNATURA[ID_CARRERA]=DET_ASIG!$B184,"No existe información")))</f>
        <v>1</v>
      </c>
      <c r="B199">
        <v>2</v>
      </c>
      <c r="C199">
        <v>3</v>
      </c>
      <c r="D199">
        <v>4</v>
      </c>
      <c r="E199">
        <v>5</v>
      </c>
      <c r="F199">
        <v>6</v>
      </c>
      <c r="G199">
        <v>7</v>
      </c>
      <c r="H199">
        <v>8</v>
      </c>
      <c r="O199" t="str" cm="1">
        <f t="array" ref="O199:S199">TRANSPOSE(_xlfn.UNIQUE(_xlfn._xlws.FILTER(MAE_ASIGNATURA[NOM_ASIG],(MAE_ASIGNATURA[ID_NIVEL]=DET_ASIG!$D184)*(MAE_ASIGNATURA[ID_CARRERA]=DET_ASIG!$B184),"No existe información")))</f>
        <v>CONTABILIDAD FINANCIERA</v>
      </c>
      <c r="P199" t="str">
        <v>MERCADO DE SEGUROS</v>
      </c>
      <c r="Q199" t="str">
        <v>ADMINISTRACIÓN FINANCIERA</v>
      </c>
      <c r="R199" t="str">
        <v>GESTIÓN DEL TALENTO HUMANO</v>
      </c>
      <c r="S199" t="str">
        <v>GERENCIA ESTRATÉGICA</v>
      </c>
    </row>
    <row r="200" spans="1:20">
      <c r="A200" cm="1">
        <f t="array" ref="A200:H200">TRANSPOSE(_xlfn.UNIQUE(_xlfn._xlws.FILTER(MAE_ASIGNATURA[ID_NIVEL],MAE_ASIGNATURA[ID_CARRERA]=DET_ASIG!$B185,"No existe información")))</f>
        <v>1</v>
      </c>
      <c r="B200">
        <v>2</v>
      </c>
      <c r="C200">
        <v>3</v>
      </c>
      <c r="D200">
        <v>4</v>
      </c>
      <c r="E200">
        <v>5</v>
      </c>
      <c r="F200">
        <v>6</v>
      </c>
      <c r="G200">
        <v>7</v>
      </c>
      <c r="H200">
        <v>8</v>
      </c>
      <c r="O200" t="str" cm="1">
        <f t="array" ref="O200:S200">TRANSPOSE(_xlfn.UNIQUE(_xlfn._xlws.FILTER(MAE_ASIGNATURA[NOM_ASIG],(MAE_ASIGNATURA[ID_NIVEL]=DET_ASIG!$D185)*(MAE_ASIGNATURA[ID_CARRERA]=DET_ASIG!$B185),"No existe información")))</f>
        <v>CONTABILIDAD FINANCIERA</v>
      </c>
      <c r="P200" t="str">
        <v>MERCADO DE SEGUROS</v>
      </c>
      <c r="Q200" t="str">
        <v>ADMINISTRACIÓN FINANCIERA</v>
      </c>
      <c r="R200" t="str">
        <v>GESTIÓN DEL TALENTO HUMANO</v>
      </c>
      <c r="S200" t="str">
        <v>GERENCIA ESTRATÉGICA</v>
      </c>
    </row>
    <row r="201" spans="1:20">
      <c r="A201" cm="1">
        <f t="array" ref="A201:H201">TRANSPOSE(_xlfn.UNIQUE(_xlfn._xlws.FILTER(MAE_ASIGNATURA[ID_NIVEL],MAE_ASIGNATURA[ID_CARRERA]=DET_ASIG!$B186,"No existe información")))</f>
        <v>1</v>
      </c>
      <c r="B201">
        <v>2</v>
      </c>
      <c r="C201">
        <v>3</v>
      </c>
      <c r="D201">
        <v>4</v>
      </c>
      <c r="E201">
        <v>5</v>
      </c>
      <c r="F201">
        <v>6</v>
      </c>
      <c r="G201">
        <v>7</v>
      </c>
      <c r="H201">
        <v>8</v>
      </c>
      <c r="O201" t="str" cm="1">
        <f t="array" ref="O201:S201">TRANSPOSE(_xlfn.UNIQUE(_xlfn._xlws.FILTER(MAE_ASIGNATURA[NOM_ASIG],(MAE_ASIGNATURA[ID_NIVEL]=DET_ASIG!$D186)*(MAE_ASIGNATURA[ID_CARRERA]=DET_ASIG!$B186),"No existe información")))</f>
        <v>CONTABILIDAD FINANCIERA</v>
      </c>
      <c r="P201" t="str">
        <v>MERCADO DE SEGUROS</v>
      </c>
      <c r="Q201" t="str">
        <v>ADMINISTRACIÓN FINANCIERA</v>
      </c>
      <c r="R201" t="str">
        <v>GESTIÓN DEL TALENTO HUMANO</v>
      </c>
      <c r="S201" t="str">
        <v>GERENCIA ESTRATÉGICA</v>
      </c>
    </row>
    <row r="202" spans="1:20">
      <c r="A202" cm="1">
        <f t="array" ref="A202:H202">TRANSPOSE(_xlfn.UNIQUE(_xlfn._xlws.FILTER(MAE_ASIGNATURA[ID_NIVEL],MAE_ASIGNATURA[ID_CARRERA]=DET_ASIG!$B187,"No existe información")))</f>
        <v>1</v>
      </c>
      <c r="B202">
        <v>2</v>
      </c>
      <c r="C202">
        <v>3</v>
      </c>
      <c r="D202">
        <v>4</v>
      </c>
      <c r="E202">
        <v>5</v>
      </c>
      <c r="F202">
        <v>6</v>
      </c>
      <c r="G202">
        <v>7</v>
      </c>
      <c r="H202">
        <v>8</v>
      </c>
      <c r="O202" t="str" cm="1">
        <f t="array" ref="O202:S202">TRANSPOSE(_xlfn.UNIQUE(_xlfn._xlws.FILTER(MAE_ASIGNATURA[NOM_ASIG],(MAE_ASIGNATURA[ID_NIVEL]=DET_ASIG!$D187)*(MAE_ASIGNATURA[ID_CARRERA]=DET_ASIG!$B187),"No existe información")))</f>
        <v>CONTABILIDAD FINANCIERA</v>
      </c>
      <c r="P202" t="str">
        <v>MERCADO DE SEGUROS</v>
      </c>
      <c r="Q202" t="str">
        <v>ADMINISTRACIÓN FINANCIERA</v>
      </c>
      <c r="R202" t="str">
        <v>GESTIÓN DEL TALENTO HUMANO</v>
      </c>
      <c r="S202" t="str">
        <v>GERENCIA ESTRATÉGICA</v>
      </c>
    </row>
    <row r="203" spans="1:20">
      <c r="A203" cm="1">
        <f t="array" ref="A203:H203">TRANSPOSE(_xlfn.UNIQUE(_xlfn._xlws.FILTER(MAE_ASIGNATURA[ID_NIVEL],MAE_ASIGNATURA[ID_CARRERA]=DET_ASIG!$B188,"No existe información")))</f>
        <v>1</v>
      </c>
      <c r="B203">
        <v>2</v>
      </c>
      <c r="C203">
        <v>3</v>
      </c>
      <c r="D203">
        <v>4</v>
      </c>
      <c r="E203">
        <v>5</v>
      </c>
      <c r="F203">
        <v>6</v>
      </c>
      <c r="G203">
        <v>7</v>
      </c>
      <c r="H203">
        <v>8</v>
      </c>
      <c r="O203" t="str" cm="1">
        <f t="array" ref="O203:T203">TRANSPOSE(_xlfn.UNIQUE(_xlfn._xlws.FILTER(MAE_ASIGNATURA[NOM_ASIG],(MAE_ASIGNATURA[ID_NIVEL]=DET_ASIG!$D188)*(MAE_ASIGNATURA[ID_CARRERA]=DET_ASIG!$B188),"No existe información")))</f>
        <v>GESTIÓN DEL PRESUPUESTO</v>
      </c>
      <c r="P203" t="str">
        <v>ECONOMÍA POPULARES Y SOLIDARIAS SECTOR FINANCIERO</v>
      </c>
      <c r="Q203" t="str">
        <v>ADMINISTRACIÓN DE RIESGOS FINANCIEROS</v>
      </c>
      <c r="R203" t="str">
        <v>GESTIÓN DE SEGURO Y TRANSFERENCIA DE RIESGO</v>
      </c>
      <c r="S203" t="str">
        <v>EMPRENDIMIENTO Y DESARROLLO LOCAL</v>
      </c>
      <c r="T203" t="str">
        <v>ÉTICA Y RESPONSABILIDAD SOCIAL CORPORATIVA</v>
      </c>
    </row>
    <row r="204" spans="1:20">
      <c r="A204" cm="1">
        <f t="array" ref="A204:H204">TRANSPOSE(_xlfn.UNIQUE(_xlfn._xlws.FILTER(MAE_ASIGNATURA[ID_NIVEL],MAE_ASIGNATURA[ID_CARRERA]=DET_ASIG!$B189,"No existe información")))</f>
        <v>1</v>
      </c>
      <c r="B204">
        <v>2</v>
      </c>
      <c r="C204">
        <v>3</v>
      </c>
      <c r="D204">
        <v>4</v>
      </c>
      <c r="E204">
        <v>5</v>
      </c>
      <c r="F204">
        <v>6</v>
      </c>
      <c r="G204">
        <v>7</v>
      </c>
      <c r="H204">
        <v>8</v>
      </c>
      <c r="O204" t="str" cm="1">
        <f t="array" ref="O204:T204">TRANSPOSE(_xlfn.UNIQUE(_xlfn._xlws.FILTER(MAE_ASIGNATURA[NOM_ASIG],(MAE_ASIGNATURA[ID_NIVEL]=DET_ASIG!$D189)*(MAE_ASIGNATURA[ID_CARRERA]=DET_ASIG!$B189),"No existe información")))</f>
        <v>GESTIÓN DEL PRESUPUESTO</v>
      </c>
      <c r="P204" t="str">
        <v>ECONOMÍA POPULARES Y SOLIDARIAS SECTOR FINANCIERO</v>
      </c>
      <c r="Q204" t="str">
        <v>ADMINISTRACIÓN DE RIESGOS FINANCIEROS</v>
      </c>
      <c r="R204" t="str">
        <v>GESTIÓN DE SEGURO Y TRANSFERENCIA DE RIESGO</v>
      </c>
      <c r="S204" t="str">
        <v>EMPRENDIMIENTO Y DESARROLLO LOCAL</v>
      </c>
      <c r="T204" t="str">
        <v>ÉTICA Y RESPONSABILIDAD SOCIAL CORPORATIVA</v>
      </c>
    </row>
    <row r="205" spans="1:20">
      <c r="A205" cm="1">
        <f t="array" ref="A205:H205">TRANSPOSE(_xlfn.UNIQUE(_xlfn._xlws.FILTER(MAE_ASIGNATURA[ID_NIVEL],MAE_ASIGNATURA[ID_CARRERA]=DET_ASIG!$B190,"No existe información")))</f>
        <v>1</v>
      </c>
      <c r="B205">
        <v>2</v>
      </c>
      <c r="C205">
        <v>3</v>
      </c>
      <c r="D205">
        <v>4</v>
      </c>
      <c r="E205">
        <v>5</v>
      </c>
      <c r="F205">
        <v>6</v>
      </c>
      <c r="G205">
        <v>7</v>
      </c>
      <c r="H205">
        <v>8</v>
      </c>
      <c r="O205" t="str" cm="1">
        <f t="array" ref="O205:T205">TRANSPOSE(_xlfn.UNIQUE(_xlfn._xlws.FILTER(MAE_ASIGNATURA[NOM_ASIG],(MAE_ASIGNATURA[ID_NIVEL]=DET_ASIG!$D190)*(MAE_ASIGNATURA[ID_CARRERA]=DET_ASIG!$B190),"No existe información")))</f>
        <v>GESTIÓN DEL PRESUPUESTO</v>
      </c>
      <c r="P205" t="str">
        <v>ECONOMÍA POPULARES Y SOLIDARIAS SECTOR FINANCIERO</v>
      </c>
      <c r="Q205" t="str">
        <v>ADMINISTRACIÓN DE RIESGOS FINANCIEROS</v>
      </c>
      <c r="R205" t="str">
        <v>GESTIÓN DE SEGURO Y TRANSFERENCIA DE RIESGO</v>
      </c>
      <c r="S205" t="str">
        <v>EMPRENDIMIENTO Y DESARROLLO LOCAL</v>
      </c>
      <c r="T205" t="str">
        <v>ÉTICA Y RESPONSABILIDAD SOCIAL CORPORATIVA</v>
      </c>
    </row>
    <row r="206" spans="1:20">
      <c r="A206" cm="1">
        <f t="array" ref="A206:H206">TRANSPOSE(_xlfn.UNIQUE(_xlfn._xlws.FILTER(MAE_ASIGNATURA[ID_NIVEL],MAE_ASIGNATURA[ID_CARRERA]=DET_ASIG!$B191,"No existe información")))</f>
        <v>1</v>
      </c>
      <c r="B206">
        <v>2</v>
      </c>
      <c r="C206">
        <v>3</v>
      </c>
      <c r="D206">
        <v>4</v>
      </c>
      <c r="E206">
        <v>5</v>
      </c>
      <c r="F206">
        <v>6</v>
      </c>
      <c r="G206">
        <v>7</v>
      </c>
      <c r="H206">
        <v>8</v>
      </c>
      <c r="O206" t="str" cm="1">
        <f t="array" ref="O206:T206">TRANSPOSE(_xlfn.UNIQUE(_xlfn._xlws.FILTER(MAE_ASIGNATURA[NOM_ASIG],(MAE_ASIGNATURA[ID_NIVEL]=DET_ASIG!$D191)*(MAE_ASIGNATURA[ID_CARRERA]=DET_ASIG!$B191),"No existe información")))</f>
        <v>GESTIÓN DEL PRESUPUESTO</v>
      </c>
      <c r="P206" t="str">
        <v>ECONOMÍA POPULARES Y SOLIDARIAS SECTOR FINANCIERO</v>
      </c>
      <c r="Q206" t="str">
        <v>ADMINISTRACIÓN DE RIESGOS FINANCIEROS</v>
      </c>
      <c r="R206" t="str">
        <v>GESTIÓN DE SEGURO Y TRANSFERENCIA DE RIESGO</v>
      </c>
      <c r="S206" t="str">
        <v>EMPRENDIMIENTO Y DESARROLLO LOCAL</v>
      </c>
      <c r="T206" t="str">
        <v>ÉTICA Y RESPONSABILIDAD SOCIAL CORPORATIVA</v>
      </c>
    </row>
    <row r="207" spans="1:20">
      <c r="A207" cm="1">
        <f t="array" ref="A207:H207">TRANSPOSE(_xlfn.UNIQUE(_xlfn._xlws.FILTER(MAE_ASIGNATURA[ID_NIVEL],MAE_ASIGNATURA[ID_CARRERA]=DET_ASIG!$B192,"No existe información")))</f>
        <v>1</v>
      </c>
      <c r="B207">
        <v>2</v>
      </c>
      <c r="C207">
        <v>3</v>
      </c>
      <c r="D207">
        <v>4</v>
      </c>
      <c r="E207">
        <v>5</v>
      </c>
      <c r="F207">
        <v>6</v>
      </c>
      <c r="G207">
        <v>7</v>
      </c>
      <c r="H207">
        <v>8</v>
      </c>
      <c r="O207" t="str" cm="1">
        <f t="array" ref="O207:T207">TRANSPOSE(_xlfn.UNIQUE(_xlfn._xlws.FILTER(MAE_ASIGNATURA[NOM_ASIG],(MAE_ASIGNATURA[ID_NIVEL]=DET_ASIG!$D192)*(MAE_ASIGNATURA[ID_CARRERA]=DET_ASIG!$B192),"No existe información")))</f>
        <v>GESTIÓN DEL PRESUPUESTO</v>
      </c>
      <c r="P207" t="str">
        <v>ECONOMÍA POPULARES Y SOLIDARIAS SECTOR FINANCIERO</v>
      </c>
      <c r="Q207" t="str">
        <v>ADMINISTRACIÓN DE RIESGOS FINANCIEROS</v>
      </c>
      <c r="R207" t="str">
        <v>GESTIÓN DE SEGURO Y TRANSFERENCIA DE RIESGO</v>
      </c>
      <c r="S207" t="str">
        <v>EMPRENDIMIENTO Y DESARROLLO LOCAL</v>
      </c>
      <c r="T207" t="str">
        <v>ÉTICA Y RESPONSABILIDAD SOCIAL CORPORATIVA</v>
      </c>
    </row>
    <row r="208" spans="1:20">
      <c r="A208" cm="1">
        <f t="array" ref="A208:H208">TRANSPOSE(_xlfn.UNIQUE(_xlfn._xlws.FILTER(MAE_ASIGNATURA[ID_NIVEL],MAE_ASIGNATURA[ID_CARRERA]=DET_ASIG!$B193,"No existe información")))</f>
        <v>1</v>
      </c>
      <c r="B208">
        <v>2</v>
      </c>
      <c r="C208">
        <v>3</v>
      </c>
      <c r="D208">
        <v>4</v>
      </c>
      <c r="E208">
        <v>5</v>
      </c>
      <c r="F208">
        <v>6</v>
      </c>
      <c r="G208">
        <v>7</v>
      </c>
      <c r="H208">
        <v>8</v>
      </c>
      <c r="O208" t="str" cm="1">
        <f t="array" ref="O208:T208">TRANSPOSE(_xlfn.UNIQUE(_xlfn._xlws.FILTER(MAE_ASIGNATURA[NOM_ASIG],(MAE_ASIGNATURA[ID_NIVEL]=DET_ASIG!$D193)*(MAE_ASIGNATURA[ID_CARRERA]=DET_ASIG!$B193),"No existe información")))</f>
        <v>GESTIÓN DEL PRESUPUESTO</v>
      </c>
      <c r="P208" t="str">
        <v>ECONOMÍA POPULARES Y SOLIDARIAS SECTOR FINANCIERO</v>
      </c>
      <c r="Q208" t="str">
        <v>ADMINISTRACIÓN DE RIESGOS FINANCIEROS</v>
      </c>
      <c r="R208" t="str">
        <v>GESTIÓN DE SEGURO Y TRANSFERENCIA DE RIESGO</v>
      </c>
      <c r="S208" t="str">
        <v>EMPRENDIMIENTO Y DESARROLLO LOCAL</v>
      </c>
      <c r="T208" t="str">
        <v>ÉTICA Y RESPONSABILIDAD SOCIAL CORPORATIVA</v>
      </c>
    </row>
    <row r="209" spans="1:20">
      <c r="A209" cm="1">
        <f t="array" ref="A209:H209">TRANSPOSE(_xlfn.UNIQUE(_xlfn._xlws.FILTER(MAE_ASIGNATURA[ID_NIVEL],MAE_ASIGNATURA[ID_CARRERA]=DET_ASIG!$B194,"No existe información")))</f>
        <v>1</v>
      </c>
      <c r="B209">
        <v>2</v>
      </c>
      <c r="C209">
        <v>3</v>
      </c>
      <c r="D209">
        <v>4</v>
      </c>
      <c r="E209">
        <v>5</v>
      </c>
      <c r="F209">
        <v>6</v>
      </c>
      <c r="G209">
        <v>7</v>
      </c>
      <c r="H209">
        <v>8</v>
      </c>
      <c r="O209" t="str" cm="1">
        <f t="array" ref="O209:T209">TRANSPOSE(_xlfn.UNIQUE(_xlfn._xlws.FILTER(MAE_ASIGNATURA[NOM_ASIG],(MAE_ASIGNATURA[ID_NIVEL]=DET_ASIG!$D194)*(MAE_ASIGNATURA[ID_CARRERA]=DET_ASIG!$B194),"No existe información")))</f>
        <v>GESTIÓN DEL PRESUPUESTO</v>
      </c>
      <c r="P209" t="str">
        <v>ECONOMÍA POPULARES Y SOLIDARIAS SECTOR FINANCIERO</v>
      </c>
      <c r="Q209" t="str">
        <v>ADMINISTRACIÓN DE RIESGOS FINANCIEROS</v>
      </c>
      <c r="R209" t="str">
        <v>GESTIÓN DE SEGURO Y TRANSFERENCIA DE RIESGO</v>
      </c>
      <c r="S209" t="str">
        <v>EMPRENDIMIENTO Y DESARROLLO LOCAL</v>
      </c>
      <c r="T209" t="str">
        <v>ÉTICA Y RESPONSABILIDAD SOCIAL CORPORATIVA</v>
      </c>
    </row>
    <row r="210" spans="1:20">
      <c r="A210" cm="1">
        <f t="array" ref="A210:H210">TRANSPOSE(_xlfn.UNIQUE(_xlfn._xlws.FILTER(MAE_ASIGNATURA[ID_NIVEL],MAE_ASIGNATURA[ID_CARRERA]=DET_ASIG!$B195,"No existe información")))</f>
        <v>1</v>
      </c>
      <c r="B210">
        <v>2</v>
      </c>
      <c r="C210">
        <v>3</v>
      </c>
      <c r="D210">
        <v>4</v>
      </c>
      <c r="E210">
        <v>5</v>
      </c>
      <c r="F210">
        <v>6</v>
      </c>
      <c r="G210">
        <v>7</v>
      </c>
      <c r="H210">
        <v>8</v>
      </c>
      <c r="O210" t="str" cm="1">
        <f t="array" ref="O210:T210">TRANSPOSE(_xlfn.UNIQUE(_xlfn._xlws.FILTER(MAE_ASIGNATURA[NOM_ASIG],(MAE_ASIGNATURA[ID_NIVEL]=DET_ASIG!$D195)*(MAE_ASIGNATURA[ID_CARRERA]=DET_ASIG!$B195),"No existe información")))</f>
        <v>GESTIÓN DEL PRESUPUESTO</v>
      </c>
      <c r="P210" t="str">
        <v>ECONOMÍA POPULARES Y SOLIDARIAS SECTOR FINANCIERO</v>
      </c>
      <c r="Q210" t="str">
        <v>ADMINISTRACIÓN DE RIESGOS FINANCIEROS</v>
      </c>
      <c r="R210" t="str">
        <v>GESTIÓN DE SEGURO Y TRANSFERENCIA DE RIESGO</v>
      </c>
      <c r="S210" t="str">
        <v>EMPRENDIMIENTO Y DESARROLLO LOCAL</v>
      </c>
      <c r="T210" t="str">
        <v>ÉTICA Y RESPONSABILIDAD SOCIAL CORPORATIVA</v>
      </c>
    </row>
    <row r="211" spans="1:20">
      <c r="A211" cm="1">
        <f t="array" ref="A211:H211">TRANSPOSE(_xlfn.UNIQUE(_xlfn._xlws.FILTER(MAE_ASIGNATURA[ID_NIVEL],MAE_ASIGNATURA[ID_CARRERA]=DET_ASIG!$B196,"No existe información")))</f>
        <v>1</v>
      </c>
      <c r="B211">
        <v>2</v>
      </c>
      <c r="C211">
        <v>3</v>
      </c>
      <c r="D211">
        <v>4</v>
      </c>
      <c r="E211">
        <v>5</v>
      </c>
      <c r="F211">
        <v>6</v>
      </c>
      <c r="G211">
        <v>7</v>
      </c>
      <c r="H211">
        <v>8</v>
      </c>
      <c r="O211" t="str" cm="1">
        <f t="array" ref="O211:T211">TRANSPOSE(_xlfn.UNIQUE(_xlfn._xlws.FILTER(MAE_ASIGNATURA[NOM_ASIG],(MAE_ASIGNATURA[ID_NIVEL]=DET_ASIG!$D196)*(MAE_ASIGNATURA[ID_CARRERA]=DET_ASIG!$B196),"No existe información")))</f>
        <v>GESTIÓN DEL PRESUPUESTO</v>
      </c>
      <c r="P211" t="str">
        <v>ECONOMÍA POPULARES Y SOLIDARIAS SECTOR FINANCIERO</v>
      </c>
      <c r="Q211" t="str">
        <v>ADMINISTRACIÓN DE RIESGOS FINANCIEROS</v>
      </c>
      <c r="R211" t="str">
        <v>GESTIÓN DE SEGURO Y TRANSFERENCIA DE RIESGO</v>
      </c>
      <c r="S211" t="str">
        <v>EMPRENDIMIENTO Y DESARROLLO LOCAL</v>
      </c>
      <c r="T211" t="str">
        <v>ÉTICA Y RESPONSABILIDAD SOCIAL CORPORATIVA</v>
      </c>
    </row>
    <row r="212" spans="1:20">
      <c r="A212" cm="1">
        <f t="array" ref="A212:H212">TRANSPOSE(_xlfn.UNIQUE(_xlfn._xlws.FILTER(MAE_ASIGNATURA[ID_NIVEL],MAE_ASIGNATURA[ID_CARRERA]=DET_ASIG!$B197,"No existe información")))</f>
        <v>1</v>
      </c>
      <c r="B212">
        <v>2</v>
      </c>
      <c r="C212">
        <v>3</v>
      </c>
      <c r="D212">
        <v>4</v>
      </c>
      <c r="E212">
        <v>5</v>
      </c>
      <c r="F212">
        <v>6</v>
      </c>
      <c r="G212">
        <v>7</v>
      </c>
      <c r="H212">
        <v>8</v>
      </c>
      <c r="O212" t="str" cm="1">
        <f t="array" ref="O212:T212">TRANSPOSE(_xlfn.UNIQUE(_xlfn._xlws.FILTER(MAE_ASIGNATURA[NOM_ASIG],(MAE_ASIGNATURA[ID_NIVEL]=DET_ASIG!$D197)*(MAE_ASIGNATURA[ID_CARRERA]=DET_ASIG!$B197),"No existe información")))</f>
        <v>GESTIÓN DEL PRESUPUESTO</v>
      </c>
      <c r="P212" t="str">
        <v>ECONOMÍA POPULARES Y SOLIDARIAS SECTOR FINANCIERO</v>
      </c>
      <c r="Q212" t="str">
        <v>ADMINISTRACIÓN DE RIESGOS FINANCIEROS</v>
      </c>
      <c r="R212" t="str">
        <v>GESTIÓN DE SEGURO Y TRANSFERENCIA DE RIESGO</v>
      </c>
      <c r="S212" t="str">
        <v>EMPRENDIMIENTO Y DESARROLLO LOCAL</v>
      </c>
      <c r="T212" t="str">
        <v>ÉTICA Y RESPONSABILIDAD SOCIAL CORPORATIVA</v>
      </c>
    </row>
    <row r="213" spans="1:20">
      <c r="A213" cm="1">
        <f t="array" ref="A213:H213">TRANSPOSE(_xlfn.UNIQUE(_xlfn._xlws.FILTER(MAE_ASIGNATURA[ID_NIVEL],MAE_ASIGNATURA[ID_CARRERA]=DET_ASIG!$B198,"No existe información")))</f>
        <v>1</v>
      </c>
      <c r="B213">
        <v>2</v>
      </c>
      <c r="C213">
        <v>3</v>
      </c>
      <c r="D213">
        <v>4</v>
      </c>
      <c r="E213">
        <v>5</v>
      </c>
      <c r="F213">
        <v>6</v>
      </c>
      <c r="G213">
        <v>7</v>
      </c>
      <c r="H213">
        <v>8</v>
      </c>
      <c r="O213" t="str" cm="1">
        <f t="array" ref="O213:T213">TRANSPOSE(_xlfn.UNIQUE(_xlfn._xlws.FILTER(MAE_ASIGNATURA[NOM_ASIG],(MAE_ASIGNATURA[ID_NIVEL]=DET_ASIG!$D198)*(MAE_ASIGNATURA[ID_CARRERA]=DET_ASIG!$B198),"No existe información")))</f>
        <v>GESTIÓN DEL PRESUPUESTO</v>
      </c>
      <c r="P213" t="str">
        <v>ECONOMÍA POPULARES Y SOLIDARIAS SECTOR FINANCIERO</v>
      </c>
      <c r="Q213" t="str">
        <v>ADMINISTRACIÓN DE RIESGOS FINANCIEROS</v>
      </c>
      <c r="R213" t="str">
        <v>GESTIÓN DE SEGURO Y TRANSFERENCIA DE RIESGO</v>
      </c>
      <c r="S213" t="str">
        <v>EMPRENDIMIENTO Y DESARROLLO LOCAL</v>
      </c>
      <c r="T213" t="str">
        <v>ÉTICA Y RESPONSABILIDAD SOCIAL CORPORATIVA</v>
      </c>
    </row>
    <row r="214" spans="1:20">
      <c r="A214" cm="1">
        <f t="array" ref="A214:H214">TRANSPOSE(_xlfn.UNIQUE(_xlfn._xlws.FILTER(MAE_ASIGNATURA[ID_NIVEL],MAE_ASIGNATURA[ID_CARRERA]=DET_ASIG!$B199,"No existe información")))</f>
        <v>1</v>
      </c>
      <c r="B214">
        <v>2</v>
      </c>
      <c r="C214">
        <v>3</v>
      </c>
      <c r="D214">
        <v>4</v>
      </c>
      <c r="E214">
        <v>5</v>
      </c>
      <c r="F214">
        <v>6</v>
      </c>
      <c r="G214">
        <v>7</v>
      </c>
      <c r="H214">
        <v>8</v>
      </c>
      <c r="O214" t="str" cm="1">
        <f t="array" ref="O214:T214">TRANSPOSE(_xlfn.UNIQUE(_xlfn._xlws.FILTER(MAE_ASIGNATURA[NOM_ASIG],(MAE_ASIGNATURA[ID_NIVEL]=DET_ASIG!$D199)*(MAE_ASIGNATURA[ID_CARRERA]=DET_ASIG!$B199),"No existe información")))</f>
        <v>GESTIÓN DEL PRESUPUESTO</v>
      </c>
      <c r="P214" t="str">
        <v>ECONOMÍA POPULARES Y SOLIDARIAS SECTOR FINANCIERO</v>
      </c>
      <c r="Q214" t="str">
        <v>ADMINISTRACIÓN DE RIESGOS FINANCIEROS</v>
      </c>
      <c r="R214" t="str">
        <v>GESTIÓN DE SEGURO Y TRANSFERENCIA DE RIESGO</v>
      </c>
      <c r="S214" t="str">
        <v>EMPRENDIMIENTO Y DESARROLLO LOCAL</v>
      </c>
      <c r="T214" t="str">
        <v>ÉTICA Y RESPONSABILIDAD SOCIAL CORPORATIVA</v>
      </c>
    </row>
    <row r="215" spans="1:20">
      <c r="A215" cm="1">
        <f t="array" ref="A215:H215">TRANSPOSE(_xlfn.UNIQUE(_xlfn._xlws.FILTER(MAE_ASIGNATURA[ID_NIVEL],MAE_ASIGNATURA[ID_CARRERA]=DET_ASIG!$B200,"No existe información")))</f>
        <v>1</v>
      </c>
      <c r="B215">
        <v>2</v>
      </c>
      <c r="C215">
        <v>3</v>
      </c>
      <c r="D215">
        <v>4</v>
      </c>
      <c r="E215">
        <v>5</v>
      </c>
      <c r="F215">
        <v>6</v>
      </c>
      <c r="G215">
        <v>7</v>
      </c>
      <c r="H215">
        <v>8</v>
      </c>
      <c r="O215" t="str" cm="1">
        <f t="array" ref="O215:T215">TRANSPOSE(_xlfn.UNIQUE(_xlfn._xlws.FILTER(MAE_ASIGNATURA[NOM_ASIG],(MAE_ASIGNATURA[ID_NIVEL]=DET_ASIG!$D200)*(MAE_ASIGNATURA[ID_CARRERA]=DET_ASIG!$B200),"No existe información")))</f>
        <v>GESTIÓN DEL PRESUPUESTO</v>
      </c>
      <c r="P215" t="str">
        <v>ECONOMÍA POPULARES Y SOLIDARIAS SECTOR FINANCIERO</v>
      </c>
      <c r="Q215" t="str">
        <v>ADMINISTRACIÓN DE RIESGOS FINANCIEROS</v>
      </c>
      <c r="R215" t="str">
        <v>GESTIÓN DE SEGURO Y TRANSFERENCIA DE RIESGO</v>
      </c>
      <c r="S215" t="str">
        <v>EMPRENDIMIENTO Y DESARROLLO LOCAL</v>
      </c>
      <c r="T215" t="str">
        <v>ÉTICA Y RESPONSABILIDAD SOCIAL CORPORATIVA</v>
      </c>
    </row>
    <row r="216" spans="1:20">
      <c r="A216" cm="1">
        <f t="array" ref="A216:H216">TRANSPOSE(_xlfn.UNIQUE(_xlfn._xlws.FILTER(MAE_ASIGNATURA[ID_NIVEL],MAE_ASIGNATURA[ID_CARRERA]=DET_ASIG!$B201,"No existe información")))</f>
        <v>1</v>
      </c>
      <c r="B216">
        <v>2</v>
      </c>
      <c r="C216">
        <v>3</v>
      </c>
      <c r="D216">
        <v>4</v>
      </c>
      <c r="E216">
        <v>5</v>
      </c>
      <c r="F216">
        <v>6</v>
      </c>
      <c r="G216">
        <v>7</v>
      </c>
      <c r="H216">
        <v>8</v>
      </c>
      <c r="O216" t="str" cm="1">
        <f t="array" ref="O216:T216">TRANSPOSE(_xlfn.UNIQUE(_xlfn._xlws.FILTER(MAE_ASIGNATURA[NOM_ASIG],(MAE_ASIGNATURA[ID_NIVEL]=DET_ASIG!$D201)*(MAE_ASIGNATURA[ID_CARRERA]=DET_ASIG!$B201),"No existe información")))</f>
        <v>GESTIÓN DEL PRESUPUESTO</v>
      </c>
      <c r="P216" t="str">
        <v>ECONOMÍA POPULARES Y SOLIDARIAS SECTOR FINANCIERO</v>
      </c>
      <c r="Q216" t="str">
        <v>ADMINISTRACIÓN DE RIESGOS FINANCIEROS</v>
      </c>
      <c r="R216" t="str">
        <v>GESTIÓN DE SEGURO Y TRANSFERENCIA DE RIESGO</v>
      </c>
      <c r="S216" t="str">
        <v>EMPRENDIMIENTO Y DESARROLLO LOCAL</v>
      </c>
      <c r="T216" t="str">
        <v>ÉTICA Y RESPONSABILIDAD SOCIAL CORPORATIVA</v>
      </c>
    </row>
    <row r="217" spans="1:20">
      <c r="A217" cm="1">
        <f t="array" ref="A217:H217">TRANSPOSE(_xlfn.UNIQUE(_xlfn._xlws.FILTER(MAE_ASIGNATURA[ID_NIVEL],MAE_ASIGNATURA[ID_CARRERA]=DET_ASIG!$B202,"No existe información")))</f>
        <v>1</v>
      </c>
      <c r="B217">
        <v>2</v>
      </c>
      <c r="C217">
        <v>3</v>
      </c>
      <c r="D217">
        <v>4</v>
      </c>
      <c r="E217">
        <v>5</v>
      </c>
      <c r="F217">
        <v>6</v>
      </c>
      <c r="G217">
        <v>7</v>
      </c>
      <c r="H217">
        <v>8</v>
      </c>
      <c r="O217" t="str" cm="1">
        <f t="array" ref="O217:T217">TRANSPOSE(_xlfn.UNIQUE(_xlfn._xlws.FILTER(MAE_ASIGNATURA[NOM_ASIG],(MAE_ASIGNATURA[ID_NIVEL]=DET_ASIG!$D202)*(MAE_ASIGNATURA[ID_CARRERA]=DET_ASIG!$B202),"No existe información")))</f>
        <v>GESTIÓN DEL PRESUPUESTO</v>
      </c>
      <c r="P217" t="str">
        <v>ECONOMÍA POPULARES Y SOLIDARIAS SECTOR FINANCIERO</v>
      </c>
      <c r="Q217" t="str">
        <v>ADMINISTRACIÓN DE RIESGOS FINANCIEROS</v>
      </c>
      <c r="R217" t="str">
        <v>GESTIÓN DE SEGURO Y TRANSFERENCIA DE RIESGO</v>
      </c>
      <c r="S217" t="str">
        <v>EMPRENDIMIENTO Y DESARROLLO LOCAL</v>
      </c>
      <c r="T217" t="str">
        <v>ÉTICA Y RESPONSABILIDAD SOCIAL CORPORATIVA</v>
      </c>
    </row>
    <row r="218" spans="1:20">
      <c r="A218" cm="1">
        <f t="array" ref="A218:H218">TRANSPOSE(_xlfn.UNIQUE(_xlfn._xlws.FILTER(MAE_ASIGNATURA[ID_NIVEL],MAE_ASIGNATURA[ID_CARRERA]=DET_ASIG!$B203,"No existe información")))</f>
        <v>1</v>
      </c>
      <c r="B218">
        <v>2</v>
      </c>
      <c r="C218">
        <v>3</v>
      </c>
      <c r="D218">
        <v>4</v>
      </c>
      <c r="E218">
        <v>5</v>
      </c>
      <c r="F218">
        <v>6</v>
      </c>
      <c r="G218">
        <v>7</v>
      </c>
      <c r="H218">
        <v>8</v>
      </c>
      <c r="O218" t="str" cm="1">
        <f t="array" ref="O218:T218">TRANSPOSE(_xlfn.UNIQUE(_xlfn._xlws.FILTER(MAE_ASIGNATURA[NOM_ASIG],(MAE_ASIGNATURA[ID_NIVEL]=DET_ASIG!$D203)*(MAE_ASIGNATURA[ID_CARRERA]=DET_ASIG!$B203),"No existe información")))</f>
        <v>GESTIÓN DEL PRESUPUESTO</v>
      </c>
      <c r="P218" t="str">
        <v>ECONOMÍA POPULARES Y SOLIDARIAS SECTOR FINANCIERO</v>
      </c>
      <c r="Q218" t="str">
        <v>ADMINISTRACIÓN DE RIESGOS FINANCIEROS</v>
      </c>
      <c r="R218" t="str">
        <v>GESTIÓN DE SEGURO Y TRANSFERENCIA DE RIESGO</v>
      </c>
      <c r="S218" t="str">
        <v>EMPRENDIMIENTO Y DESARROLLO LOCAL</v>
      </c>
      <c r="T218" t="str">
        <v>ÉTICA Y RESPONSABILIDAD SOCIAL CORPORATIVA</v>
      </c>
    </row>
    <row r="219" spans="1:20">
      <c r="A219" cm="1">
        <f t="array" ref="A219:H219">TRANSPOSE(_xlfn.UNIQUE(_xlfn._xlws.FILTER(MAE_ASIGNATURA[ID_NIVEL],MAE_ASIGNATURA[ID_CARRERA]=DET_ASIG!$B204,"No existe información")))</f>
        <v>1</v>
      </c>
      <c r="B219">
        <v>2</v>
      </c>
      <c r="C219">
        <v>3</v>
      </c>
      <c r="D219">
        <v>4</v>
      </c>
      <c r="E219">
        <v>5</v>
      </c>
      <c r="F219">
        <v>6</v>
      </c>
      <c r="G219">
        <v>7</v>
      </c>
      <c r="H219">
        <v>8</v>
      </c>
      <c r="O219" t="str" cm="1">
        <f t="array" ref="O219:T219">TRANSPOSE(_xlfn.UNIQUE(_xlfn._xlws.FILTER(MAE_ASIGNATURA[NOM_ASIG],(MAE_ASIGNATURA[ID_NIVEL]=DET_ASIG!$D204)*(MAE_ASIGNATURA[ID_CARRERA]=DET_ASIG!$B204),"No existe información")))</f>
        <v>GESTIÓN DEL PRESUPUESTO</v>
      </c>
      <c r="P219" t="str">
        <v>ECONOMÍA POPULARES Y SOLIDARIAS SECTOR FINANCIERO</v>
      </c>
      <c r="Q219" t="str">
        <v>ADMINISTRACIÓN DE RIESGOS FINANCIEROS</v>
      </c>
      <c r="R219" t="str">
        <v>GESTIÓN DE SEGURO Y TRANSFERENCIA DE RIESGO</v>
      </c>
      <c r="S219" t="str">
        <v>EMPRENDIMIENTO Y DESARROLLO LOCAL</v>
      </c>
      <c r="T219" t="str">
        <v>ÉTICA Y RESPONSABILIDAD SOCIAL CORPORATIVA</v>
      </c>
    </row>
    <row r="220" spans="1:20">
      <c r="A220" cm="1">
        <f t="array" ref="A220:H220">TRANSPOSE(_xlfn.UNIQUE(_xlfn._xlws.FILTER(MAE_ASIGNATURA[ID_NIVEL],MAE_ASIGNATURA[ID_CARRERA]=DET_ASIG!$B205,"No existe información")))</f>
        <v>1</v>
      </c>
      <c r="B220">
        <v>2</v>
      </c>
      <c r="C220">
        <v>3</v>
      </c>
      <c r="D220">
        <v>4</v>
      </c>
      <c r="E220">
        <v>5</v>
      </c>
      <c r="F220">
        <v>6</v>
      </c>
      <c r="G220">
        <v>7</v>
      </c>
      <c r="H220">
        <v>8</v>
      </c>
      <c r="O220" t="str" cm="1">
        <f t="array" ref="O220:T220">TRANSPOSE(_xlfn.UNIQUE(_xlfn._xlws.FILTER(MAE_ASIGNATURA[NOM_ASIG],(MAE_ASIGNATURA[ID_NIVEL]=DET_ASIG!$D205)*(MAE_ASIGNATURA[ID_CARRERA]=DET_ASIG!$B205),"No existe información")))</f>
        <v>GESTIÓN DEL PRESUPUESTO</v>
      </c>
      <c r="P220" t="str">
        <v>ECONOMÍA POPULARES Y SOLIDARIAS SECTOR FINANCIERO</v>
      </c>
      <c r="Q220" t="str">
        <v>ADMINISTRACIÓN DE RIESGOS FINANCIEROS</v>
      </c>
      <c r="R220" t="str">
        <v>GESTIÓN DE SEGURO Y TRANSFERENCIA DE RIESGO</v>
      </c>
      <c r="S220" t="str">
        <v>EMPRENDIMIENTO Y DESARROLLO LOCAL</v>
      </c>
      <c r="T220" t="str">
        <v>ÉTICA Y RESPONSABILIDAD SOCIAL CORPORATIVA</v>
      </c>
    </row>
    <row r="221" spans="1:20">
      <c r="A221" cm="1">
        <f t="array" ref="A221:H221">TRANSPOSE(_xlfn.UNIQUE(_xlfn._xlws.FILTER(MAE_ASIGNATURA[ID_NIVEL],MAE_ASIGNATURA[ID_CARRERA]=DET_ASIG!$B206,"No existe información")))</f>
        <v>1</v>
      </c>
      <c r="B221">
        <v>2</v>
      </c>
      <c r="C221">
        <v>3</v>
      </c>
      <c r="D221">
        <v>4</v>
      </c>
      <c r="E221">
        <v>5</v>
      </c>
      <c r="F221">
        <v>6</v>
      </c>
      <c r="G221">
        <v>7</v>
      </c>
      <c r="H221">
        <v>8</v>
      </c>
      <c r="O221" t="str" cm="1">
        <f t="array" ref="O221:T221">TRANSPOSE(_xlfn.UNIQUE(_xlfn._xlws.FILTER(MAE_ASIGNATURA[NOM_ASIG],(MAE_ASIGNATURA[ID_NIVEL]=DET_ASIG!$D206)*(MAE_ASIGNATURA[ID_CARRERA]=DET_ASIG!$B206),"No existe información")))</f>
        <v>GESTIÓN DEL PRESUPUESTO</v>
      </c>
      <c r="P221" t="str">
        <v>ECONOMÍA POPULARES Y SOLIDARIAS SECTOR FINANCIERO</v>
      </c>
      <c r="Q221" t="str">
        <v>ADMINISTRACIÓN DE RIESGOS FINANCIEROS</v>
      </c>
      <c r="R221" t="str">
        <v>GESTIÓN DE SEGURO Y TRANSFERENCIA DE RIESGO</v>
      </c>
      <c r="S221" t="str">
        <v>EMPRENDIMIENTO Y DESARROLLO LOCAL</v>
      </c>
      <c r="T221" t="str">
        <v>ÉTICA Y RESPONSABILIDAD SOCIAL CORPORATIVA</v>
      </c>
    </row>
    <row r="222" spans="1:20">
      <c r="A222" cm="1">
        <f t="array" ref="A222:H222">TRANSPOSE(_xlfn.UNIQUE(_xlfn._xlws.FILTER(MAE_ASIGNATURA[ID_NIVEL],MAE_ASIGNATURA[ID_CARRERA]=DET_ASIG!$B207,"No existe información")))</f>
        <v>1</v>
      </c>
      <c r="B222">
        <v>2</v>
      </c>
      <c r="C222">
        <v>3</v>
      </c>
      <c r="D222">
        <v>4</v>
      </c>
      <c r="E222">
        <v>5</v>
      </c>
      <c r="F222">
        <v>6</v>
      </c>
      <c r="G222">
        <v>7</v>
      </c>
      <c r="H222">
        <v>8</v>
      </c>
      <c r="O222" t="str" cm="1">
        <f t="array" ref="O222:T222">TRANSPOSE(_xlfn.UNIQUE(_xlfn._xlws.FILTER(MAE_ASIGNATURA[NOM_ASIG],(MAE_ASIGNATURA[ID_NIVEL]=DET_ASIG!$D207)*(MAE_ASIGNATURA[ID_CARRERA]=DET_ASIG!$B207),"No existe información")))</f>
        <v>GESTIÓN DEL PRESUPUESTO</v>
      </c>
      <c r="P222" t="str">
        <v>ECONOMÍA POPULARES Y SOLIDARIAS SECTOR FINANCIERO</v>
      </c>
      <c r="Q222" t="str">
        <v>ADMINISTRACIÓN DE RIESGOS FINANCIEROS</v>
      </c>
      <c r="R222" t="str">
        <v>GESTIÓN DE SEGURO Y TRANSFERENCIA DE RIESGO</v>
      </c>
      <c r="S222" t="str">
        <v>EMPRENDIMIENTO Y DESARROLLO LOCAL</v>
      </c>
      <c r="T222" t="str">
        <v>ÉTICA Y RESPONSABILIDAD SOCIAL CORPORATIVA</v>
      </c>
    </row>
    <row r="223" spans="1:20">
      <c r="A223" cm="1">
        <f t="array" ref="A223:H223">TRANSPOSE(_xlfn.UNIQUE(_xlfn._xlws.FILTER(MAE_ASIGNATURA[ID_NIVEL],MAE_ASIGNATURA[ID_CARRERA]=DET_ASIG!$B208,"No existe información")))</f>
        <v>1</v>
      </c>
      <c r="B223">
        <v>2</v>
      </c>
      <c r="C223">
        <v>3</v>
      </c>
      <c r="D223">
        <v>4</v>
      </c>
      <c r="E223">
        <v>5</v>
      </c>
      <c r="F223">
        <v>6</v>
      </c>
      <c r="G223">
        <v>7</v>
      </c>
      <c r="H223">
        <v>8</v>
      </c>
      <c r="O223" t="str" cm="1">
        <f t="array" ref="O223:T223">TRANSPOSE(_xlfn.UNIQUE(_xlfn._xlws.FILTER(MAE_ASIGNATURA[NOM_ASIG],(MAE_ASIGNATURA[ID_NIVEL]=DET_ASIG!$D208)*(MAE_ASIGNATURA[ID_CARRERA]=DET_ASIG!$B208),"No existe información")))</f>
        <v>GESTIÓN DEL PRESUPUESTO</v>
      </c>
      <c r="P223" t="str">
        <v>ECONOMÍA POPULARES Y SOLIDARIAS SECTOR FINANCIERO</v>
      </c>
      <c r="Q223" t="str">
        <v>ADMINISTRACIÓN DE RIESGOS FINANCIEROS</v>
      </c>
      <c r="R223" t="str">
        <v>GESTIÓN DE SEGURO Y TRANSFERENCIA DE RIESGO</v>
      </c>
      <c r="S223" t="str">
        <v>EMPRENDIMIENTO Y DESARROLLO LOCAL</v>
      </c>
      <c r="T223" t="str">
        <v>ÉTICA Y RESPONSABILIDAD SOCIAL CORPORATIVA</v>
      </c>
    </row>
    <row r="224" spans="1:20">
      <c r="A224" cm="1">
        <f t="array" ref="A224:H224">TRANSPOSE(_xlfn.UNIQUE(_xlfn._xlws.FILTER(MAE_ASIGNATURA[ID_NIVEL],MAE_ASIGNATURA[ID_CARRERA]=DET_ASIG!$B209,"No existe información")))</f>
        <v>1</v>
      </c>
      <c r="B224">
        <v>2</v>
      </c>
      <c r="C224">
        <v>3</v>
      </c>
      <c r="D224">
        <v>4</v>
      </c>
      <c r="E224">
        <v>5</v>
      </c>
      <c r="F224">
        <v>6</v>
      </c>
      <c r="G224">
        <v>7</v>
      </c>
      <c r="H224">
        <v>8</v>
      </c>
      <c r="O224" t="str" cm="1">
        <f t="array" ref="O224:T224">TRANSPOSE(_xlfn.UNIQUE(_xlfn._xlws.FILTER(MAE_ASIGNATURA[NOM_ASIG],(MAE_ASIGNATURA[ID_NIVEL]=DET_ASIG!$D209)*(MAE_ASIGNATURA[ID_CARRERA]=DET_ASIG!$B209),"No existe información")))</f>
        <v>GESTIÓN DEL PRESUPUESTO</v>
      </c>
      <c r="P224" t="str">
        <v>ECONOMÍA POPULARES Y SOLIDARIAS SECTOR FINANCIERO</v>
      </c>
      <c r="Q224" t="str">
        <v>ADMINISTRACIÓN DE RIESGOS FINANCIEROS</v>
      </c>
      <c r="R224" t="str">
        <v>GESTIÓN DE SEGURO Y TRANSFERENCIA DE RIESGO</v>
      </c>
      <c r="S224" t="str">
        <v>EMPRENDIMIENTO Y DESARROLLO LOCAL</v>
      </c>
      <c r="T224" t="str">
        <v>ÉTICA Y RESPONSABILIDAD SOCIAL CORPORATIVA</v>
      </c>
    </row>
    <row r="225" spans="1:19">
      <c r="A225" cm="1">
        <f t="array" ref="A225:H225">TRANSPOSE(_xlfn.UNIQUE(_xlfn._xlws.FILTER(MAE_ASIGNATURA[ID_NIVEL],MAE_ASIGNATURA[ID_CARRERA]=DET_ASIG!$B210,"No existe información")))</f>
        <v>1</v>
      </c>
      <c r="B225">
        <v>2</v>
      </c>
      <c r="C225">
        <v>3</v>
      </c>
      <c r="D225">
        <v>4</v>
      </c>
      <c r="E225">
        <v>5</v>
      </c>
      <c r="F225">
        <v>6</v>
      </c>
      <c r="G225">
        <v>7</v>
      </c>
      <c r="H225">
        <v>8</v>
      </c>
      <c r="O225" t="str" cm="1">
        <f t="array" ref="O225:S225">TRANSPOSE(_xlfn.UNIQUE(_xlfn._xlws.FILTER(MAE_ASIGNATURA[NOM_ASIG],(MAE_ASIGNATURA[ID_NIVEL]=DET_ASIG!$D210)*(MAE_ASIGNATURA[ID_CARRERA]=DET_ASIG!$B210),"No existe información")))</f>
        <v>FINANZAS CORPORATIVAS</v>
      </c>
      <c r="P225" t="str">
        <v>ECONOMÍAS  POPULARES Y SOLIDARIAS SECTOR NO FINANCIERO</v>
      </c>
      <c r="Q225" t="str">
        <v>DISEÑO Y EVALUACIÓN DE PROYECTOS DE DESARROLLO  SOCIALES</v>
      </c>
      <c r="R225" t="str">
        <v>AUDITORÍA FINANCIERA</v>
      </c>
      <c r="S225" t="str">
        <v>MERCADOS FINANCIEROS</v>
      </c>
    </row>
    <row r="226" spans="1:19">
      <c r="A226" cm="1">
        <f t="array" ref="A226:H226">TRANSPOSE(_xlfn.UNIQUE(_xlfn._xlws.FILTER(MAE_ASIGNATURA[ID_NIVEL],MAE_ASIGNATURA[ID_CARRERA]=DET_ASIG!$B211,"No existe información")))</f>
        <v>1</v>
      </c>
      <c r="B226">
        <v>2</v>
      </c>
      <c r="C226">
        <v>3</v>
      </c>
      <c r="D226">
        <v>4</v>
      </c>
      <c r="E226">
        <v>5</v>
      </c>
      <c r="F226">
        <v>6</v>
      </c>
      <c r="G226">
        <v>7</v>
      </c>
      <c r="H226">
        <v>8</v>
      </c>
      <c r="O226" t="str" cm="1">
        <f t="array" ref="O226:S226">TRANSPOSE(_xlfn.UNIQUE(_xlfn._xlws.FILTER(MAE_ASIGNATURA[NOM_ASIG],(MAE_ASIGNATURA[ID_NIVEL]=DET_ASIG!$D211)*(MAE_ASIGNATURA[ID_CARRERA]=DET_ASIG!$B211),"No existe información")))</f>
        <v>FINANZAS CORPORATIVAS</v>
      </c>
      <c r="P226" t="str">
        <v>ECONOMÍAS  POPULARES Y SOLIDARIAS SECTOR NO FINANCIERO</v>
      </c>
      <c r="Q226" t="str">
        <v>DISEÑO Y EVALUACIÓN DE PROYECTOS DE DESARROLLO  SOCIALES</v>
      </c>
      <c r="R226" t="str">
        <v>AUDITORÍA FINANCIERA</v>
      </c>
      <c r="S226" t="str">
        <v>MERCADOS FINANCIEROS</v>
      </c>
    </row>
    <row r="227" spans="1:19">
      <c r="A227" cm="1">
        <f t="array" ref="A227:H227">TRANSPOSE(_xlfn.UNIQUE(_xlfn._xlws.FILTER(MAE_ASIGNATURA[ID_NIVEL],MAE_ASIGNATURA[ID_CARRERA]=DET_ASIG!$B212,"No existe información")))</f>
        <v>1</v>
      </c>
      <c r="B227">
        <v>2</v>
      </c>
      <c r="C227">
        <v>3</v>
      </c>
      <c r="D227">
        <v>4</v>
      </c>
      <c r="E227">
        <v>5</v>
      </c>
      <c r="F227">
        <v>6</v>
      </c>
      <c r="G227">
        <v>7</v>
      </c>
      <c r="H227">
        <v>8</v>
      </c>
      <c r="O227" t="str" cm="1">
        <f t="array" ref="O227:S227">TRANSPOSE(_xlfn.UNIQUE(_xlfn._xlws.FILTER(MAE_ASIGNATURA[NOM_ASIG],(MAE_ASIGNATURA[ID_NIVEL]=DET_ASIG!$D212)*(MAE_ASIGNATURA[ID_CARRERA]=DET_ASIG!$B212),"No existe información")))</f>
        <v>FINANZAS CORPORATIVAS</v>
      </c>
      <c r="P227" t="str">
        <v>ECONOMÍAS  POPULARES Y SOLIDARIAS SECTOR NO FINANCIERO</v>
      </c>
      <c r="Q227" t="str">
        <v>DISEÑO Y EVALUACIÓN DE PROYECTOS DE DESARROLLO  SOCIALES</v>
      </c>
      <c r="R227" t="str">
        <v>AUDITORÍA FINANCIERA</v>
      </c>
      <c r="S227" t="str">
        <v>MERCADOS FINANCIEROS</v>
      </c>
    </row>
    <row r="228" spans="1:19">
      <c r="A228" cm="1">
        <f t="array" ref="A228:H228">TRANSPOSE(_xlfn.UNIQUE(_xlfn._xlws.FILTER(MAE_ASIGNATURA[ID_NIVEL],MAE_ASIGNATURA[ID_CARRERA]=DET_ASIG!$B213,"No existe información")))</f>
        <v>1</v>
      </c>
      <c r="B228">
        <v>2</v>
      </c>
      <c r="C228">
        <v>3</v>
      </c>
      <c r="D228">
        <v>4</v>
      </c>
      <c r="E228">
        <v>5</v>
      </c>
      <c r="F228">
        <v>6</v>
      </c>
      <c r="G228">
        <v>7</v>
      </c>
      <c r="H228">
        <v>8</v>
      </c>
      <c r="O228" t="str" cm="1">
        <f t="array" ref="O228:S228">TRANSPOSE(_xlfn.UNIQUE(_xlfn._xlws.FILTER(MAE_ASIGNATURA[NOM_ASIG],(MAE_ASIGNATURA[ID_NIVEL]=DET_ASIG!$D213)*(MAE_ASIGNATURA[ID_CARRERA]=DET_ASIG!$B213),"No existe información")))</f>
        <v>FINANZAS CORPORATIVAS</v>
      </c>
      <c r="P228" t="str">
        <v>ECONOMÍAS  POPULARES Y SOLIDARIAS SECTOR NO FINANCIERO</v>
      </c>
      <c r="Q228" t="str">
        <v>DISEÑO Y EVALUACIÓN DE PROYECTOS DE DESARROLLO  SOCIALES</v>
      </c>
      <c r="R228" t="str">
        <v>AUDITORÍA FINANCIERA</v>
      </c>
      <c r="S228" t="str">
        <v>MERCADOS FINANCIEROS</v>
      </c>
    </row>
    <row r="229" spans="1:19">
      <c r="A229" cm="1">
        <f t="array" ref="A229:H229">TRANSPOSE(_xlfn.UNIQUE(_xlfn._xlws.FILTER(MAE_ASIGNATURA[ID_NIVEL],MAE_ASIGNATURA[ID_CARRERA]=DET_ASIG!$B214,"No existe información")))</f>
        <v>1</v>
      </c>
      <c r="B229">
        <v>2</v>
      </c>
      <c r="C229">
        <v>3</v>
      </c>
      <c r="D229">
        <v>4</v>
      </c>
      <c r="E229">
        <v>5</v>
      </c>
      <c r="F229">
        <v>6</v>
      </c>
      <c r="G229">
        <v>7</v>
      </c>
      <c r="H229">
        <v>8</v>
      </c>
      <c r="O229" t="str" cm="1">
        <f t="array" ref="O229:S229">TRANSPOSE(_xlfn.UNIQUE(_xlfn._xlws.FILTER(MAE_ASIGNATURA[NOM_ASIG],(MAE_ASIGNATURA[ID_NIVEL]=DET_ASIG!$D214)*(MAE_ASIGNATURA[ID_CARRERA]=DET_ASIG!$B214),"No existe información")))</f>
        <v>FINANZAS CORPORATIVAS</v>
      </c>
      <c r="P229" t="str">
        <v>ECONOMÍAS  POPULARES Y SOLIDARIAS SECTOR NO FINANCIERO</v>
      </c>
      <c r="Q229" t="str">
        <v>DISEÑO Y EVALUACIÓN DE PROYECTOS DE DESARROLLO  SOCIALES</v>
      </c>
      <c r="R229" t="str">
        <v>AUDITORÍA FINANCIERA</v>
      </c>
      <c r="S229" t="str">
        <v>MERCADOS FINANCIEROS</v>
      </c>
    </row>
    <row r="230" spans="1:19">
      <c r="A230" cm="1">
        <f t="array" ref="A230:H230">TRANSPOSE(_xlfn.UNIQUE(_xlfn._xlws.FILTER(MAE_ASIGNATURA[ID_NIVEL],MAE_ASIGNATURA[ID_CARRERA]=DET_ASIG!$B215,"No existe información")))</f>
        <v>1</v>
      </c>
      <c r="B230">
        <v>2</v>
      </c>
      <c r="C230">
        <v>3</v>
      </c>
      <c r="D230">
        <v>4</v>
      </c>
      <c r="E230">
        <v>5</v>
      </c>
      <c r="F230">
        <v>6</v>
      </c>
      <c r="G230">
        <v>7</v>
      </c>
      <c r="H230">
        <v>8</v>
      </c>
      <c r="O230" t="str" cm="1">
        <f t="array" ref="O230:S230">TRANSPOSE(_xlfn.UNIQUE(_xlfn._xlws.FILTER(MAE_ASIGNATURA[NOM_ASIG],(MAE_ASIGNATURA[ID_NIVEL]=DET_ASIG!$D215)*(MAE_ASIGNATURA[ID_CARRERA]=DET_ASIG!$B215),"No existe información")))</f>
        <v>FINANZAS CORPORATIVAS</v>
      </c>
      <c r="P230" t="str">
        <v>ECONOMÍAS  POPULARES Y SOLIDARIAS SECTOR NO FINANCIERO</v>
      </c>
      <c r="Q230" t="str">
        <v>DISEÑO Y EVALUACIÓN DE PROYECTOS DE DESARROLLO  SOCIALES</v>
      </c>
      <c r="R230" t="str">
        <v>AUDITORÍA FINANCIERA</v>
      </c>
      <c r="S230" t="str">
        <v>MERCADOS FINANCIEROS</v>
      </c>
    </row>
    <row r="231" spans="1:19">
      <c r="A231" cm="1">
        <f t="array" ref="A231:H231">TRANSPOSE(_xlfn.UNIQUE(_xlfn._xlws.FILTER(MAE_ASIGNATURA[ID_NIVEL],MAE_ASIGNATURA[ID_CARRERA]=DET_ASIG!$B216,"No existe información")))</f>
        <v>1</v>
      </c>
      <c r="B231">
        <v>2</v>
      </c>
      <c r="C231">
        <v>3</v>
      </c>
      <c r="D231">
        <v>4</v>
      </c>
      <c r="E231">
        <v>5</v>
      </c>
      <c r="F231">
        <v>6</v>
      </c>
      <c r="G231">
        <v>7</v>
      </c>
      <c r="H231">
        <v>8</v>
      </c>
      <c r="O231" t="str" cm="1">
        <f t="array" ref="O231:S231">TRANSPOSE(_xlfn.UNIQUE(_xlfn._xlws.FILTER(MAE_ASIGNATURA[NOM_ASIG],(MAE_ASIGNATURA[ID_NIVEL]=DET_ASIG!$D216)*(MAE_ASIGNATURA[ID_CARRERA]=DET_ASIG!$B216),"No existe información")))</f>
        <v>FINANZAS CORPORATIVAS</v>
      </c>
      <c r="P231" t="str">
        <v>ECONOMÍAS  POPULARES Y SOLIDARIAS SECTOR NO FINANCIERO</v>
      </c>
      <c r="Q231" t="str">
        <v>DISEÑO Y EVALUACIÓN DE PROYECTOS DE DESARROLLO  SOCIALES</v>
      </c>
      <c r="R231" t="str">
        <v>AUDITORÍA FINANCIERA</v>
      </c>
      <c r="S231" t="str">
        <v>MERCADOS FINANCIEROS</v>
      </c>
    </row>
    <row r="232" spans="1:19">
      <c r="A232" cm="1">
        <f t="array" ref="A232:H232">TRANSPOSE(_xlfn.UNIQUE(_xlfn._xlws.FILTER(MAE_ASIGNATURA[ID_NIVEL],MAE_ASIGNATURA[ID_CARRERA]=DET_ASIG!$B217,"No existe información")))</f>
        <v>1</v>
      </c>
      <c r="B232">
        <v>2</v>
      </c>
      <c r="C232">
        <v>3</v>
      </c>
      <c r="D232">
        <v>4</v>
      </c>
      <c r="E232">
        <v>5</v>
      </c>
      <c r="F232">
        <v>6</v>
      </c>
      <c r="G232">
        <v>7</v>
      </c>
      <c r="H232">
        <v>8</v>
      </c>
      <c r="O232" t="str" cm="1">
        <f t="array" ref="O232:S232">TRANSPOSE(_xlfn.UNIQUE(_xlfn._xlws.FILTER(MAE_ASIGNATURA[NOM_ASIG],(MAE_ASIGNATURA[ID_NIVEL]=DET_ASIG!$D217)*(MAE_ASIGNATURA[ID_CARRERA]=DET_ASIG!$B217),"No existe información")))</f>
        <v>FINANZAS CORPORATIVAS</v>
      </c>
      <c r="P232" t="str">
        <v>ECONOMÍAS  POPULARES Y SOLIDARIAS SECTOR NO FINANCIERO</v>
      </c>
      <c r="Q232" t="str">
        <v>DISEÑO Y EVALUACIÓN DE PROYECTOS DE DESARROLLO  SOCIALES</v>
      </c>
      <c r="R232" t="str">
        <v>AUDITORÍA FINANCIERA</v>
      </c>
      <c r="S232" t="str">
        <v>MERCADOS FINANCIEROS</v>
      </c>
    </row>
    <row r="233" spans="1:19">
      <c r="A233" cm="1">
        <f t="array" ref="A233:H233">TRANSPOSE(_xlfn.UNIQUE(_xlfn._xlws.FILTER(MAE_ASIGNATURA[ID_NIVEL],MAE_ASIGNATURA[ID_CARRERA]=DET_ASIG!$B218,"No existe información")))</f>
        <v>1</v>
      </c>
      <c r="B233">
        <v>2</v>
      </c>
      <c r="C233">
        <v>3</v>
      </c>
      <c r="D233">
        <v>4</v>
      </c>
      <c r="E233">
        <v>5</v>
      </c>
      <c r="F233">
        <v>6</v>
      </c>
      <c r="G233">
        <v>7</v>
      </c>
      <c r="H233">
        <v>8</v>
      </c>
      <c r="O233" t="str" cm="1">
        <f t="array" ref="O233:S233">TRANSPOSE(_xlfn.UNIQUE(_xlfn._xlws.FILTER(MAE_ASIGNATURA[NOM_ASIG],(MAE_ASIGNATURA[ID_NIVEL]=DET_ASIG!$D218)*(MAE_ASIGNATURA[ID_CARRERA]=DET_ASIG!$B218),"No existe información")))</f>
        <v>FINANZAS CORPORATIVAS</v>
      </c>
      <c r="P233" t="str">
        <v>ECONOMÍAS  POPULARES Y SOLIDARIAS SECTOR NO FINANCIERO</v>
      </c>
      <c r="Q233" t="str">
        <v>DISEÑO Y EVALUACIÓN DE PROYECTOS DE DESARROLLO  SOCIALES</v>
      </c>
      <c r="R233" t="str">
        <v>AUDITORÍA FINANCIERA</v>
      </c>
      <c r="S233" t="str">
        <v>MERCADOS FINANCIEROS</v>
      </c>
    </row>
    <row r="234" spans="1:19">
      <c r="A234" cm="1">
        <f t="array" ref="A234:H234">TRANSPOSE(_xlfn.UNIQUE(_xlfn._xlws.FILTER(MAE_ASIGNATURA[ID_NIVEL],MAE_ASIGNATURA[ID_CARRERA]=DET_ASIG!$B219,"No existe información")))</f>
        <v>1</v>
      </c>
      <c r="B234">
        <v>2</v>
      </c>
      <c r="C234">
        <v>3</v>
      </c>
      <c r="D234">
        <v>4</v>
      </c>
      <c r="E234">
        <v>5</v>
      </c>
      <c r="F234">
        <v>6</v>
      </c>
      <c r="G234">
        <v>7</v>
      </c>
      <c r="H234">
        <v>8</v>
      </c>
      <c r="O234" t="str" cm="1">
        <f t="array" ref="O234:S234">TRANSPOSE(_xlfn.UNIQUE(_xlfn._xlws.FILTER(MAE_ASIGNATURA[NOM_ASIG],(MAE_ASIGNATURA[ID_NIVEL]=DET_ASIG!$D219)*(MAE_ASIGNATURA[ID_CARRERA]=DET_ASIG!$B219),"No existe información")))</f>
        <v>FINANZAS CORPORATIVAS</v>
      </c>
      <c r="P234" t="str">
        <v>ECONOMÍAS  POPULARES Y SOLIDARIAS SECTOR NO FINANCIERO</v>
      </c>
      <c r="Q234" t="str">
        <v>DISEÑO Y EVALUACIÓN DE PROYECTOS DE DESARROLLO  SOCIALES</v>
      </c>
      <c r="R234" t="str">
        <v>AUDITORÍA FINANCIERA</v>
      </c>
      <c r="S234" t="str">
        <v>MERCADOS FINANCIEROS</v>
      </c>
    </row>
    <row r="235" spans="1:19">
      <c r="A235" cm="1">
        <f t="array" ref="A235:H235">TRANSPOSE(_xlfn.UNIQUE(_xlfn._xlws.FILTER(MAE_ASIGNATURA[ID_NIVEL],MAE_ASIGNATURA[ID_CARRERA]=DET_ASIG!$B220,"No existe información")))</f>
        <v>1</v>
      </c>
      <c r="B235">
        <v>2</v>
      </c>
      <c r="C235">
        <v>3</v>
      </c>
      <c r="D235">
        <v>4</v>
      </c>
      <c r="E235">
        <v>5</v>
      </c>
      <c r="F235">
        <v>6</v>
      </c>
      <c r="G235">
        <v>7</v>
      </c>
      <c r="H235">
        <v>8</v>
      </c>
      <c r="O235" t="str" cm="1">
        <f t="array" ref="O235:S235">TRANSPOSE(_xlfn.UNIQUE(_xlfn._xlws.FILTER(MAE_ASIGNATURA[NOM_ASIG],(MAE_ASIGNATURA[ID_NIVEL]=DET_ASIG!$D220)*(MAE_ASIGNATURA[ID_CARRERA]=DET_ASIG!$B220),"No existe información")))</f>
        <v>FINANZAS CORPORATIVAS</v>
      </c>
      <c r="P235" t="str">
        <v>ECONOMÍAS  POPULARES Y SOLIDARIAS SECTOR NO FINANCIERO</v>
      </c>
      <c r="Q235" t="str">
        <v>DISEÑO Y EVALUACIÓN DE PROYECTOS DE DESARROLLO  SOCIALES</v>
      </c>
      <c r="R235" t="str">
        <v>AUDITORÍA FINANCIERA</v>
      </c>
      <c r="S235" t="str">
        <v>MERCADOS FINANCIEROS</v>
      </c>
    </row>
    <row r="236" spans="1:19">
      <c r="A236" cm="1">
        <f t="array" ref="A236:H236">TRANSPOSE(_xlfn.UNIQUE(_xlfn._xlws.FILTER(MAE_ASIGNATURA[ID_NIVEL],MAE_ASIGNATURA[ID_CARRERA]=DET_ASIG!$B221,"No existe información")))</f>
        <v>1</v>
      </c>
      <c r="B236">
        <v>2</v>
      </c>
      <c r="C236">
        <v>3</v>
      </c>
      <c r="D236">
        <v>4</v>
      </c>
      <c r="E236">
        <v>5</v>
      </c>
      <c r="F236">
        <v>6</v>
      </c>
      <c r="G236">
        <v>7</v>
      </c>
      <c r="H236">
        <v>8</v>
      </c>
      <c r="O236" t="str" cm="1">
        <f t="array" ref="O236:S236">TRANSPOSE(_xlfn.UNIQUE(_xlfn._xlws.FILTER(MAE_ASIGNATURA[NOM_ASIG],(MAE_ASIGNATURA[ID_NIVEL]=DET_ASIG!$D221)*(MAE_ASIGNATURA[ID_CARRERA]=DET_ASIG!$B221),"No existe información")))</f>
        <v>FINANZAS CORPORATIVAS</v>
      </c>
      <c r="P236" t="str">
        <v>ECONOMÍAS  POPULARES Y SOLIDARIAS SECTOR NO FINANCIERO</v>
      </c>
      <c r="Q236" t="str">
        <v>DISEÑO Y EVALUACIÓN DE PROYECTOS DE DESARROLLO  SOCIALES</v>
      </c>
      <c r="R236" t="str">
        <v>AUDITORÍA FINANCIERA</v>
      </c>
      <c r="S236" t="str">
        <v>MERCADOS FINANCIEROS</v>
      </c>
    </row>
    <row r="237" spans="1:19">
      <c r="A237" cm="1">
        <f t="array" ref="A237:H237">TRANSPOSE(_xlfn.UNIQUE(_xlfn._xlws.FILTER(MAE_ASIGNATURA[ID_NIVEL],MAE_ASIGNATURA[ID_CARRERA]=DET_ASIG!$B222,"No existe información")))</f>
        <v>1</v>
      </c>
      <c r="B237">
        <v>2</v>
      </c>
      <c r="C237">
        <v>3</v>
      </c>
      <c r="D237">
        <v>4</v>
      </c>
      <c r="E237">
        <v>5</v>
      </c>
      <c r="F237">
        <v>6</v>
      </c>
      <c r="G237">
        <v>7</v>
      </c>
      <c r="H237">
        <v>8</v>
      </c>
      <c r="O237" t="str" cm="1">
        <f t="array" ref="O237:S237">TRANSPOSE(_xlfn.UNIQUE(_xlfn._xlws.FILTER(MAE_ASIGNATURA[NOM_ASIG],(MAE_ASIGNATURA[ID_NIVEL]=DET_ASIG!$D222)*(MAE_ASIGNATURA[ID_CARRERA]=DET_ASIG!$B222),"No existe información")))</f>
        <v>FINANZAS CORPORATIVAS</v>
      </c>
      <c r="P237" t="str">
        <v>ECONOMÍAS  POPULARES Y SOLIDARIAS SECTOR NO FINANCIERO</v>
      </c>
      <c r="Q237" t="str">
        <v>DISEÑO Y EVALUACIÓN DE PROYECTOS DE DESARROLLO  SOCIALES</v>
      </c>
      <c r="R237" t="str">
        <v>AUDITORÍA FINANCIERA</v>
      </c>
      <c r="S237" t="str">
        <v>MERCADOS FINANCIEROS</v>
      </c>
    </row>
    <row r="238" spans="1:19">
      <c r="A238" cm="1">
        <f t="array" ref="A238:H238">TRANSPOSE(_xlfn.UNIQUE(_xlfn._xlws.FILTER(MAE_ASIGNATURA[ID_NIVEL],MAE_ASIGNATURA[ID_CARRERA]=DET_ASIG!$B223,"No existe información")))</f>
        <v>1</v>
      </c>
      <c r="B238">
        <v>2</v>
      </c>
      <c r="C238">
        <v>3</v>
      </c>
      <c r="D238">
        <v>4</v>
      </c>
      <c r="E238">
        <v>5</v>
      </c>
      <c r="F238">
        <v>6</v>
      </c>
      <c r="G238">
        <v>7</v>
      </c>
      <c r="H238">
        <v>8</v>
      </c>
      <c r="O238" t="str" cm="1">
        <f t="array" ref="O238:S238">TRANSPOSE(_xlfn.UNIQUE(_xlfn._xlws.FILTER(MAE_ASIGNATURA[NOM_ASIG],(MAE_ASIGNATURA[ID_NIVEL]=DET_ASIG!$D223)*(MAE_ASIGNATURA[ID_CARRERA]=DET_ASIG!$B223),"No existe información")))</f>
        <v>FINANZAS  Y POLÍTICAS PÚBLICAS</v>
      </c>
      <c r="P238" t="str">
        <v>MERCADOTECNIA</v>
      </c>
      <c r="Q238" t="str">
        <v>DISEÑO  Y EVALUACIÓN DE PROYECTOS DE INVERSIÓN</v>
      </c>
      <c r="R238" t="str">
        <v>PLANIFICACIÓN PROSPECTIVA_x000D_
ESTRATÉGICA Y FINANCIERA</v>
      </c>
      <c r="S238" t="str">
        <v>PROCESO DE CONTRATACIÓN PÚBLICA</v>
      </c>
    </row>
    <row r="239" spans="1:19">
      <c r="A239" cm="1">
        <f t="array" ref="A239:H239">TRANSPOSE(_xlfn.UNIQUE(_xlfn._xlws.FILTER(MAE_ASIGNATURA[ID_NIVEL],MAE_ASIGNATURA[ID_CARRERA]=DET_ASIG!$B224,"No existe información")))</f>
        <v>1</v>
      </c>
      <c r="B239">
        <v>2</v>
      </c>
      <c r="C239">
        <v>3</v>
      </c>
      <c r="D239">
        <v>4</v>
      </c>
      <c r="E239">
        <v>5</v>
      </c>
      <c r="F239">
        <v>6</v>
      </c>
      <c r="G239">
        <v>7</v>
      </c>
      <c r="H239">
        <v>8</v>
      </c>
      <c r="O239" t="str" cm="1">
        <f t="array" ref="O239:S239">TRANSPOSE(_xlfn.UNIQUE(_xlfn._xlws.FILTER(MAE_ASIGNATURA[NOM_ASIG],(MAE_ASIGNATURA[ID_NIVEL]=DET_ASIG!$D224)*(MAE_ASIGNATURA[ID_CARRERA]=DET_ASIG!$B224),"No existe información")))</f>
        <v>FINANZAS  Y POLÍTICAS PÚBLICAS</v>
      </c>
      <c r="P239" t="str">
        <v>MERCADOTECNIA</v>
      </c>
      <c r="Q239" t="str">
        <v>DISEÑO  Y EVALUACIÓN DE PROYECTOS DE INVERSIÓN</v>
      </c>
      <c r="R239" t="str">
        <v>PLANIFICACIÓN PROSPECTIVA_x000D_
ESTRATÉGICA Y FINANCIERA</v>
      </c>
      <c r="S239" t="str">
        <v>PROCESO DE CONTRATACIÓN PÚBLICA</v>
      </c>
    </row>
    <row r="240" spans="1:19">
      <c r="A240" cm="1">
        <f t="array" ref="A240:H240">TRANSPOSE(_xlfn.UNIQUE(_xlfn._xlws.FILTER(MAE_ASIGNATURA[ID_NIVEL],MAE_ASIGNATURA[ID_CARRERA]=DET_ASIG!$B225,"No existe información")))</f>
        <v>1</v>
      </c>
      <c r="B240">
        <v>2</v>
      </c>
      <c r="C240">
        <v>3</v>
      </c>
      <c r="D240">
        <v>4</v>
      </c>
      <c r="E240">
        <v>5</v>
      </c>
      <c r="F240">
        <v>6</v>
      </c>
      <c r="G240">
        <v>7</v>
      </c>
      <c r="H240">
        <v>8</v>
      </c>
      <c r="O240" t="str" cm="1">
        <f t="array" ref="O240:S240">TRANSPOSE(_xlfn.UNIQUE(_xlfn._xlws.FILTER(MAE_ASIGNATURA[NOM_ASIG],(MAE_ASIGNATURA[ID_NIVEL]=DET_ASIG!$D225)*(MAE_ASIGNATURA[ID_CARRERA]=DET_ASIG!$B225),"No existe información")))</f>
        <v>FINANZAS  Y POLÍTICAS PÚBLICAS</v>
      </c>
      <c r="P240" t="str">
        <v>MERCADOTECNIA</v>
      </c>
      <c r="Q240" t="str">
        <v>DISEÑO  Y EVALUACIÓN DE PROYECTOS DE INVERSIÓN</v>
      </c>
      <c r="R240" t="str">
        <v>PLANIFICACIÓN PROSPECTIVA_x000D_
ESTRATÉGICA Y FINANCIERA</v>
      </c>
      <c r="S240" t="str">
        <v>PROCESO DE CONTRATACIÓN PÚBLICA</v>
      </c>
    </row>
    <row r="241" spans="1:19">
      <c r="A241" cm="1">
        <f t="array" ref="A241:H241">TRANSPOSE(_xlfn.UNIQUE(_xlfn._xlws.FILTER(MAE_ASIGNATURA[ID_NIVEL],MAE_ASIGNATURA[ID_CARRERA]=DET_ASIG!$B226,"No existe información")))</f>
        <v>1</v>
      </c>
      <c r="B241">
        <v>2</v>
      </c>
      <c r="C241">
        <v>3</v>
      </c>
      <c r="D241">
        <v>4</v>
      </c>
      <c r="E241">
        <v>5</v>
      </c>
      <c r="F241">
        <v>6</v>
      </c>
      <c r="G241">
        <v>7</v>
      </c>
      <c r="H241">
        <v>8</v>
      </c>
      <c r="O241" t="str" cm="1">
        <f t="array" ref="O241:S241">TRANSPOSE(_xlfn.UNIQUE(_xlfn._xlws.FILTER(MAE_ASIGNATURA[NOM_ASIG],(MAE_ASIGNATURA[ID_NIVEL]=DET_ASIG!$D226)*(MAE_ASIGNATURA[ID_CARRERA]=DET_ASIG!$B226),"No existe información")))</f>
        <v>FINANZAS  Y POLÍTICAS PÚBLICAS</v>
      </c>
      <c r="P241" t="str">
        <v>MERCADOTECNIA</v>
      </c>
      <c r="Q241" t="str">
        <v>DISEÑO  Y EVALUACIÓN DE PROYECTOS DE INVERSIÓN</v>
      </c>
      <c r="R241" t="str">
        <v>PLANIFICACIÓN PROSPECTIVA_x000D_
ESTRATÉGICA Y FINANCIERA</v>
      </c>
      <c r="S241" t="str">
        <v>PROCESO DE CONTRATACIÓN PÚBLICA</v>
      </c>
    </row>
    <row r="242" spans="1:19">
      <c r="A242" cm="1">
        <f t="array" ref="A242:H242">TRANSPOSE(_xlfn.UNIQUE(_xlfn._xlws.FILTER(MAE_ASIGNATURA[ID_NIVEL],MAE_ASIGNATURA[ID_CARRERA]=DET_ASIG!$B227,"No existe información")))</f>
        <v>1</v>
      </c>
      <c r="B242">
        <v>2</v>
      </c>
      <c r="C242">
        <v>3</v>
      </c>
      <c r="D242">
        <v>4</v>
      </c>
      <c r="E242">
        <v>5</v>
      </c>
      <c r="F242">
        <v>6</v>
      </c>
      <c r="G242">
        <v>7</v>
      </c>
      <c r="H242">
        <v>8</v>
      </c>
      <c r="O242" t="str" cm="1">
        <f t="array" ref="O242:S242">TRANSPOSE(_xlfn.UNIQUE(_xlfn._xlws.FILTER(MAE_ASIGNATURA[NOM_ASIG],(MAE_ASIGNATURA[ID_NIVEL]=DET_ASIG!$D227)*(MAE_ASIGNATURA[ID_CARRERA]=DET_ASIG!$B227),"No existe información")))</f>
        <v>FINANZAS  Y POLÍTICAS PÚBLICAS</v>
      </c>
      <c r="P242" t="str">
        <v>MERCADOTECNIA</v>
      </c>
      <c r="Q242" t="str">
        <v>DISEÑO  Y EVALUACIÓN DE PROYECTOS DE INVERSIÓN</v>
      </c>
      <c r="R242" t="str">
        <v>PLANIFICACIÓN PROSPECTIVA_x000D_
ESTRATÉGICA Y FINANCIERA</v>
      </c>
      <c r="S242" t="str">
        <v>PROCESO DE CONTRATACIÓN PÚBLICA</v>
      </c>
    </row>
    <row r="243" spans="1:19">
      <c r="A243" cm="1">
        <f t="array" ref="A243:H243">TRANSPOSE(_xlfn.UNIQUE(_xlfn._xlws.FILTER(MAE_ASIGNATURA[ID_NIVEL],MAE_ASIGNATURA[ID_CARRERA]=DET_ASIG!$B228,"No existe información")))</f>
        <v>1</v>
      </c>
      <c r="B243">
        <v>2</v>
      </c>
      <c r="C243">
        <v>3</v>
      </c>
      <c r="D243">
        <v>4</v>
      </c>
      <c r="E243">
        <v>5</v>
      </c>
      <c r="F243">
        <v>6</v>
      </c>
      <c r="G243">
        <v>7</v>
      </c>
      <c r="H243">
        <v>8</v>
      </c>
      <c r="O243" t="str" cm="1">
        <f t="array" ref="O243:S243">TRANSPOSE(_xlfn.UNIQUE(_xlfn._xlws.FILTER(MAE_ASIGNATURA[NOM_ASIG],(MAE_ASIGNATURA[ID_NIVEL]=DET_ASIG!$D228)*(MAE_ASIGNATURA[ID_CARRERA]=DET_ASIG!$B228),"No existe información")))</f>
        <v>FINANZAS  Y POLÍTICAS PÚBLICAS</v>
      </c>
      <c r="P243" t="str">
        <v>MERCADOTECNIA</v>
      </c>
      <c r="Q243" t="str">
        <v>DISEÑO  Y EVALUACIÓN DE PROYECTOS DE INVERSIÓN</v>
      </c>
      <c r="R243" t="str">
        <v>PLANIFICACIÓN PROSPECTIVA_x000D_
ESTRATÉGICA Y FINANCIERA</v>
      </c>
      <c r="S243" t="str">
        <v>PROCESO DE CONTRATACIÓN PÚBLICA</v>
      </c>
    </row>
    <row r="244" spans="1:19">
      <c r="A244" cm="1">
        <f t="array" ref="A244:H244">TRANSPOSE(_xlfn.UNIQUE(_xlfn._xlws.FILTER(MAE_ASIGNATURA[ID_NIVEL],MAE_ASIGNATURA[ID_CARRERA]=DET_ASIG!$B229,"No existe información")))</f>
        <v>1</v>
      </c>
      <c r="B244">
        <v>2</v>
      </c>
      <c r="C244">
        <v>3</v>
      </c>
      <c r="D244">
        <v>4</v>
      </c>
      <c r="E244">
        <v>5</v>
      </c>
      <c r="F244">
        <v>6</v>
      </c>
      <c r="G244">
        <v>7</v>
      </c>
      <c r="H244">
        <v>8</v>
      </c>
      <c r="O244" t="str" cm="1">
        <f t="array" ref="O244:S244">TRANSPOSE(_xlfn.UNIQUE(_xlfn._xlws.FILTER(MAE_ASIGNATURA[NOM_ASIG],(MAE_ASIGNATURA[ID_NIVEL]=DET_ASIG!$D229)*(MAE_ASIGNATURA[ID_CARRERA]=DET_ASIG!$B229),"No existe información")))</f>
        <v>FINANZAS  Y POLÍTICAS PÚBLICAS</v>
      </c>
      <c r="P244" t="str">
        <v>MERCADOTECNIA</v>
      </c>
      <c r="Q244" t="str">
        <v>DISEÑO  Y EVALUACIÓN DE PROYECTOS DE INVERSIÓN</v>
      </c>
      <c r="R244" t="str">
        <v>PLANIFICACIÓN PROSPECTIVA_x000D_
ESTRATÉGICA Y FINANCIERA</v>
      </c>
      <c r="S244" t="str">
        <v>PROCESO DE CONTRATACIÓN PÚBLICA</v>
      </c>
    </row>
    <row r="245" spans="1:19">
      <c r="A245" cm="1">
        <f t="array" ref="A245:H245">TRANSPOSE(_xlfn.UNIQUE(_xlfn._xlws.FILTER(MAE_ASIGNATURA[ID_NIVEL],MAE_ASIGNATURA[ID_CARRERA]=DET_ASIG!$B230,"No existe información")))</f>
        <v>1</v>
      </c>
      <c r="B245">
        <v>2</v>
      </c>
      <c r="C245">
        <v>3</v>
      </c>
      <c r="D245">
        <v>4</v>
      </c>
      <c r="E245">
        <v>5</v>
      </c>
      <c r="F245">
        <v>6</v>
      </c>
      <c r="G245">
        <v>7</v>
      </c>
      <c r="H245">
        <v>8</v>
      </c>
      <c r="O245" t="str" cm="1">
        <f t="array" ref="O245:S245">TRANSPOSE(_xlfn.UNIQUE(_xlfn._xlws.FILTER(MAE_ASIGNATURA[NOM_ASIG],(MAE_ASIGNATURA[ID_NIVEL]=DET_ASIG!$D230)*(MAE_ASIGNATURA[ID_CARRERA]=DET_ASIG!$B230),"No existe información")))</f>
        <v>FINANZAS  Y POLÍTICAS PÚBLICAS</v>
      </c>
      <c r="P245" t="str">
        <v>MERCADOTECNIA</v>
      </c>
      <c r="Q245" t="str">
        <v>DISEÑO  Y EVALUACIÓN DE PROYECTOS DE INVERSIÓN</v>
      </c>
      <c r="R245" t="str">
        <v>PLANIFICACIÓN PROSPECTIVA_x000D_
ESTRATÉGICA Y FINANCIERA</v>
      </c>
      <c r="S245" t="str">
        <v>PROCESO DE CONTRATACIÓN PÚBLICA</v>
      </c>
    </row>
    <row r="246" spans="1:19">
      <c r="A246" cm="1">
        <f t="array" ref="A246:H246">TRANSPOSE(_xlfn.UNIQUE(_xlfn._xlws.FILTER(MAE_ASIGNATURA[ID_NIVEL],MAE_ASIGNATURA[ID_CARRERA]=DET_ASIG!$B231,"No existe información")))</f>
        <v>1</v>
      </c>
      <c r="B246">
        <v>2</v>
      </c>
      <c r="C246">
        <v>3</v>
      </c>
      <c r="D246">
        <v>4</v>
      </c>
      <c r="E246">
        <v>5</v>
      </c>
      <c r="F246">
        <v>6</v>
      </c>
      <c r="G246">
        <v>7</v>
      </c>
      <c r="H246">
        <v>8</v>
      </c>
      <c r="O246" t="str" cm="1">
        <f t="array" ref="O246:S246">TRANSPOSE(_xlfn.UNIQUE(_xlfn._xlws.FILTER(MAE_ASIGNATURA[NOM_ASIG],(MAE_ASIGNATURA[ID_NIVEL]=DET_ASIG!$D231)*(MAE_ASIGNATURA[ID_CARRERA]=DET_ASIG!$B231),"No existe información")))</f>
        <v>FINANZAS  Y POLÍTICAS PÚBLICAS</v>
      </c>
      <c r="P246" t="str">
        <v>MERCADOTECNIA</v>
      </c>
      <c r="Q246" t="str">
        <v>DISEÑO  Y EVALUACIÓN DE PROYECTOS DE INVERSIÓN</v>
      </c>
      <c r="R246" t="str">
        <v>PLANIFICACIÓN PROSPECTIVA_x000D_
ESTRATÉGICA Y FINANCIERA</v>
      </c>
      <c r="S246" t="str">
        <v>PROCESO DE CONTRATACIÓN PÚBLICA</v>
      </c>
    </row>
    <row r="247" spans="1:19">
      <c r="A247" cm="1">
        <f t="array" ref="A247:H247">TRANSPOSE(_xlfn.UNIQUE(_xlfn._xlws.FILTER(MAE_ASIGNATURA[ID_NIVEL],MAE_ASIGNATURA[ID_CARRERA]=DET_ASIG!$B232,"No existe información")))</f>
        <v>1</v>
      </c>
      <c r="B247">
        <v>2</v>
      </c>
      <c r="C247">
        <v>3</v>
      </c>
      <c r="D247">
        <v>4</v>
      </c>
      <c r="E247">
        <v>5</v>
      </c>
      <c r="F247">
        <v>6</v>
      </c>
      <c r="G247">
        <v>7</v>
      </c>
      <c r="H247">
        <v>8</v>
      </c>
      <c r="O247" t="str" cm="1">
        <f t="array" ref="O247:S247">TRANSPOSE(_xlfn.UNIQUE(_xlfn._xlws.FILTER(MAE_ASIGNATURA[NOM_ASIG],(MAE_ASIGNATURA[ID_NIVEL]=DET_ASIG!$D232)*(MAE_ASIGNATURA[ID_CARRERA]=DET_ASIG!$B232),"No existe información")))</f>
        <v>FINANZAS  Y POLÍTICAS PÚBLICAS</v>
      </c>
      <c r="P247" t="str">
        <v>MERCADOTECNIA</v>
      </c>
      <c r="Q247" t="str">
        <v>DISEÑO  Y EVALUACIÓN DE PROYECTOS DE INVERSIÓN</v>
      </c>
      <c r="R247" t="str">
        <v>PLANIFICACIÓN PROSPECTIVA_x000D_
ESTRATÉGICA Y FINANCIERA</v>
      </c>
      <c r="S247" t="str">
        <v>PROCESO DE CONTRATACIÓN PÚBLICA</v>
      </c>
    </row>
    <row r="248" spans="1:19">
      <c r="A248" cm="1">
        <f t="array" ref="A248:H248">TRANSPOSE(_xlfn.UNIQUE(_xlfn._xlws.FILTER(MAE_ASIGNATURA[ID_NIVEL],MAE_ASIGNATURA[ID_CARRERA]=DET_ASIG!$B233,"No existe información")))</f>
        <v>1</v>
      </c>
      <c r="B248">
        <v>2</v>
      </c>
      <c r="C248">
        <v>3</v>
      </c>
      <c r="D248">
        <v>4</v>
      </c>
      <c r="E248">
        <v>5</v>
      </c>
      <c r="F248">
        <v>6</v>
      </c>
      <c r="G248">
        <v>7</v>
      </c>
      <c r="H248">
        <v>8</v>
      </c>
      <c r="O248" t="str" cm="1">
        <f t="array" ref="O248:S248">TRANSPOSE(_xlfn.UNIQUE(_xlfn._xlws.FILTER(MAE_ASIGNATURA[NOM_ASIG],(MAE_ASIGNATURA[ID_NIVEL]=DET_ASIG!$D233)*(MAE_ASIGNATURA[ID_CARRERA]=DET_ASIG!$B233),"No existe información")))</f>
        <v>FINANZAS  Y POLÍTICAS PÚBLICAS</v>
      </c>
      <c r="P248" t="str">
        <v>MERCADOTECNIA</v>
      </c>
      <c r="Q248" t="str">
        <v>DISEÑO  Y EVALUACIÓN DE PROYECTOS DE INVERSIÓN</v>
      </c>
      <c r="R248" t="str">
        <v>PLANIFICACIÓN PROSPECTIVA_x000D_
ESTRATÉGICA Y FINANCIERA</v>
      </c>
      <c r="S248" t="str">
        <v>PROCESO DE CONTRATACIÓN PÚBLICA</v>
      </c>
    </row>
    <row r="249" spans="1:19">
      <c r="A249" cm="1">
        <f t="array" ref="A249:H249">TRANSPOSE(_xlfn.UNIQUE(_xlfn._xlws.FILTER(MAE_ASIGNATURA[ID_NIVEL],MAE_ASIGNATURA[ID_CARRERA]=DET_ASIG!$B234,"No existe información")))</f>
        <v>1</v>
      </c>
      <c r="B249">
        <v>2</v>
      </c>
      <c r="C249">
        <v>3</v>
      </c>
      <c r="D249">
        <v>4</v>
      </c>
      <c r="E249">
        <v>5</v>
      </c>
      <c r="F249">
        <v>6</v>
      </c>
      <c r="G249">
        <v>7</v>
      </c>
      <c r="H249">
        <v>8</v>
      </c>
      <c r="O249" t="str" cm="1">
        <f t="array" ref="O249:S249">TRANSPOSE(_xlfn.UNIQUE(_xlfn._xlws.FILTER(MAE_ASIGNATURA[NOM_ASIG],(MAE_ASIGNATURA[ID_NIVEL]=DET_ASIG!$D234)*(MAE_ASIGNATURA[ID_CARRERA]=DET_ASIG!$B234),"No existe información")))</f>
        <v>SISTEMA DE INFORMACIÓN FINANCIERA</v>
      </c>
      <c r="P249" t="str">
        <v>CONTABILIDAD GUBERNAMENTAL</v>
      </c>
      <c r="Q249" t="str">
        <v>FINANCIAMIENTO DE INVERSIONES</v>
      </c>
      <c r="R249" t="str">
        <v>MODELACIÓN Y SIMULACIÓN FINANCIERA</v>
      </c>
      <c r="S249" t="str">
        <v>VALORACIÓN DE EMPRESA</v>
      </c>
    </row>
    <row r="250" spans="1:19">
      <c r="A250" cm="1">
        <f t="array" ref="A250:H250">TRANSPOSE(_xlfn.UNIQUE(_xlfn._xlws.FILTER(MAE_ASIGNATURA[ID_NIVEL],MAE_ASIGNATURA[ID_CARRERA]=DET_ASIG!$B235,"No existe información")))</f>
        <v>1</v>
      </c>
      <c r="B250">
        <v>2</v>
      </c>
      <c r="C250">
        <v>3</v>
      </c>
      <c r="D250">
        <v>4</v>
      </c>
      <c r="E250">
        <v>5</v>
      </c>
      <c r="F250">
        <v>6</v>
      </c>
      <c r="G250">
        <v>7</v>
      </c>
      <c r="H250">
        <v>8</v>
      </c>
      <c r="O250" t="str" cm="1">
        <f t="array" ref="O250:S250">TRANSPOSE(_xlfn.UNIQUE(_xlfn._xlws.FILTER(MAE_ASIGNATURA[NOM_ASIG],(MAE_ASIGNATURA[ID_NIVEL]=DET_ASIG!$D235)*(MAE_ASIGNATURA[ID_CARRERA]=DET_ASIG!$B235),"No existe información")))</f>
        <v>SISTEMA DE INFORMACIÓN FINANCIERA</v>
      </c>
      <c r="P250" t="str">
        <v>CONTABILIDAD GUBERNAMENTAL</v>
      </c>
      <c r="Q250" t="str">
        <v>FINANCIAMIENTO DE INVERSIONES</v>
      </c>
      <c r="R250" t="str">
        <v>MODELACIÓN Y SIMULACIÓN FINANCIERA</v>
      </c>
      <c r="S250" t="str">
        <v>VALORACIÓN DE EMPRESA</v>
      </c>
    </row>
    <row r="251" spans="1:19">
      <c r="A251" cm="1">
        <f t="array" ref="A251:H251">TRANSPOSE(_xlfn.UNIQUE(_xlfn._xlws.FILTER(MAE_ASIGNATURA[ID_NIVEL],MAE_ASIGNATURA[ID_CARRERA]=DET_ASIG!$B236,"No existe información")))</f>
        <v>1</v>
      </c>
      <c r="B251">
        <v>2</v>
      </c>
      <c r="C251">
        <v>3</v>
      </c>
      <c r="D251">
        <v>4</v>
      </c>
      <c r="E251">
        <v>5</v>
      </c>
      <c r="F251">
        <v>6</v>
      </c>
      <c r="G251">
        <v>7</v>
      </c>
      <c r="H251">
        <v>8</v>
      </c>
      <c r="O251" t="str" cm="1">
        <f t="array" ref="O251:S251">TRANSPOSE(_xlfn.UNIQUE(_xlfn._xlws.FILTER(MAE_ASIGNATURA[NOM_ASIG],(MAE_ASIGNATURA[ID_NIVEL]=DET_ASIG!$D236)*(MAE_ASIGNATURA[ID_CARRERA]=DET_ASIG!$B236),"No existe información")))</f>
        <v>SISTEMA DE INFORMACIÓN FINANCIERA</v>
      </c>
      <c r="P251" t="str">
        <v>CONTABILIDAD GUBERNAMENTAL</v>
      </c>
      <c r="Q251" t="str">
        <v>FINANCIAMIENTO DE INVERSIONES</v>
      </c>
      <c r="R251" t="str">
        <v>MODELACIÓN Y SIMULACIÓN FINANCIERA</v>
      </c>
      <c r="S251" t="str">
        <v>VALORACIÓN DE EMPRESA</v>
      </c>
    </row>
    <row r="252" spans="1:19">
      <c r="A252" cm="1">
        <f t="array" ref="A252:H252">TRANSPOSE(_xlfn.UNIQUE(_xlfn._xlws.FILTER(MAE_ASIGNATURA[ID_NIVEL],MAE_ASIGNATURA[ID_CARRERA]=DET_ASIG!$B237,"No existe información")))</f>
        <v>1</v>
      </c>
      <c r="B252">
        <v>2</v>
      </c>
      <c r="C252">
        <v>3</v>
      </c>
      <c r="D252">
        <v>4</v>
      </c>
      <c r="E252">
        <v>5</v>
      </c>
      <c r="F252">
        <v>6</v>
      </c>
      <c r="G252">
        <v>7</v>
      </c>
      <c r="H252">
        <v>8</v>
      </c>
      <c r="O252" t="str" cm="1">
        <f t="array" ref="O252:S252">TRANSPOSE(_xlfn.UNIQUE(_xlfn._xlws.FILTER(MAE_ASIGNATURA[NOM_ASIG],(MAE_ASIGNATURA[ID_NIVEL]=DET_ASIG!$D237)*(MAE_ASIGNATURA[ID_CARRERA]=DET_ASIG!$B237),"No existe información")))</f>
        <v>SISTEMA DE INFORMACIÓN FINANCIERA</v>
      </c>
      <c r="P252" t="str">
        <v>CONTABILIDAD GUBERNAMENTAL</v>
      </c>
      <c r="Q252" t="str">
        <v>FINANCIAMIENTO DE INVERSIONES</v>
      </c>
      <c r="R252" t="str">
        <v>MODELACIÓN Y SIMULACIÓN FINANCIERA</v>
      </c>
      <c r="S252" t="str">
        <v>VALORACIÓN DE EMPRESA</v>
      </c>
    </row>
    <row r="253" spans="1:19">
      <c r="A253" cm="1">
        <f t="array" ref="A253:H253">TRANSPOSE(_xlfn.UNIQUE(_xlfn._xlws.FILTER(MAE_ASIGNATURA[ID_NIVEL],MAE_ASIGNATURA[ID_CARRERA]=DET_ASIG!$B238,"No existe información")))</f>
        <v>1</v>
      </c>
      <c r="B253">
        <v>2</v>
      </c>
      <c r="C253">
        <v>3</v>
      </c>
      <c r="D253">
        <v>4</v>
      </c>
      <c r="E253">
        <v>5</v>
      </c>
      <c r="F253">
        <v>6</v>
      </c>
      <c r="G253">
        <v>7</v>
      </c>
      <c r="H253">
        <v>8</v>
      </c>
      <c r="O253" t="str" cm="1">
        <f t="array" ref="O253:S253">TRANSPOSE(_xlfn.UNIQUE(_xlfn._xlws.FILTER(MAE_ASIGNATURA[NOM_ASIG],(MAE_ASIGNATURA[ID_NIVEL]=DET_ASIG!$D238)*(MAE_ASIGNATURA[ID_CARRERA]=DET_ASIG!$B238),"No existe información")))</f>
        <v>SISTEMA DE INFORMACIÓN FINANCIERA</v>
      </c>
      <c r="P253" t="str">
        <v>CONTABILIDAD GUBERNAMENTAL</v>
      </c>
      <c r="Q253" t="str">
        <v>FINANCIAMIENTO DE INVERSIONES</v>
      </c>
      <c r="R253" t="str">
        <v>MODELACIÓN Y SIMULACIÓN FINANCIERA</v>
      </c>
      <c r="S253" t="str">
        <v>VALORACIÓN DE EMPRESA</v>
      </c>
    </row>
    <row r="254" spans="1:19">
      <c r="A254" cm="1">
        <f t="array" ref="A254:H254">TRANSPOSE(_xlfn.UNIQUE(_xlfn._xlws.FILTER(MAE_ASIGNATURA[ID_NIVEL],MAE_ASIGNATURA[ID_CARRERA]=DET_ASIG!$B239,"No existe información")))</f>
        <v>1</v>
      </c>
      <c r="B254">
        <v>2</v>
      </c>
      <c r="C254">
        <v>3</v>
      </c>
      <c r="D254">
        <v>4</v>
      </c>
      <c r="E254">
        <v>5</v>
      </c>
      <c r="F254">
        <v>6</v>
      </c>
      <c r="G254">
        <v>7</v>
      </c>
      <c r="H254">
        <v>8</v>
      </c>
      <c r="O254" t="str" cm="1">
        <f t="array" ref="O254:S254">TRANSPOSE(_xlfn.UNIQUE(_xlfn._xlws.FILTER(MAE_ASIGNATURA[NOM_ASIG],(MAE_ASIGNATURA[ID_NIVEL]=DET_ASIG!$D239)*(MAE_ASIGNATURA[ID_CARRERA]=DET_ASIG!$B239),"No existe información")))</f>
        <v>SISTEMA DE INFORMACIÓN FINANCIERA</v>
      </c>
      <c r="P254" t="str">
        <v>CONTABILIDAD GUBERNAMENTAL</v>
      </c>
      <c r="Q254" t="str">
        <v>FINANCIAMIENTO DE INVERSIONES</v>
      </c>
      <c r="R254" t="str">
        <v>MODELACIÓN Y SIMULACIÓN FINANCIERA</v>
      </c>
      <c r="S254" t="str">
        <v>VALORACIÓN DE EMPRESA</v>
      </c>
    </row>
    <row r="255" spans="1:19">
      <c r="A255" cm="1">
        <f t="array" ref="A255:H255">TRANSPOSE(_xlfn.UNIQUE(_xlfn._xlws.FILTER(MAE_ASIGNATURA[ID_NIVEL],MAE_ASIGNATURA[ID_CARRERA]=DET_ASIG!$B240,"No existe información")))</f>
        <v>1</v>
      </c>
      <c r="B255">
        <v>2</v>
      </c>
      <c r="C255">
        <v>3</v>
      </c>
      <c r="D255">
        <v>4</v>
      </c>
      <c r="E255">
        <v>5</v>
      </c>
      <c r="F255">
        <v>6</v>
      </c>
      <c r="G255">
        <v>7</v>
      </c>
      <c r="H255">
        <v>8</v>
      </c>
      <c r="O255" t="str" cm="1">
        <f t="array" ref="O255:S255">TRANSPOSE(_xlfn.UNIQUE(_xlfn._xlws.FILTER(MAE_ASIGNATURA[NOM_ASIG],(MAE_ASIGNATURA[ID_NIVEL]=DET_ASIG!$D240)*(MAE_ASIGNATURA[ID_CARRERA]=DET_ASIG!$B240),"No existe información")))</f>
        <v>SISTEMA DE INFORMACIÓN FINANCIERA</v>
      </c>
      <c r="P255" t="str">
        <v>CONTABILIDAD GUBERNAMENTAL</v>
      </c>
      <c r="Q255" t="str">
        <v>FINANCIAMIENTO DE INVERSIONES</v>
      </c>
      <c r="R255" t="str">
        <v>MODELACIÓN Y SIMULACIÓN FINANCIERA</v>
      </c>
      <c r="S255" t="str">
        <v>VALORACIÓN DE EMPRESA</v>
      </c>
    </row>
    <row r="256" spans="1:19">
      <c r="A256" cm="1">
        <f t="array" ref="A256:H256">TRANSPOSE(_xlfn.UNIQUE(_xlfn._xlws.FILTER(MAE_ASIGNATURA[ID_NIVEL],MAE_ASIGNATURA[ID_CARRERA]=DET_ASIG!$B241,"No existe información")))</f>
        <v>1</v>
      </c>
      <c r="B256">
        <v>2</v>
      </c>
      <c r="C256">
        <v>3</v>
      </c>
      <c r="D256">
        <v>4</v>
      </c>
      <c r="E256">
        <v>5</v>
      </c>
      <c r="F256">
        <v>6</v>
      </c>
      <c r="G256">
        <v>7</v>
      </c>
      <c r="H256">
        <v>8</v>
      </c>
      <c r="O256" t="str" cm="1">
        <f t="array" ref="O256:S256">TRANSPOSE(_xlfn.UNIQUE(_xlfn._xlws.FILTER(MAE_ASIGNATURA[NOM_ASIG],(MAE_ASIGNATURA[ID_NIVEL]=DET_ASIG!$D241)*(MAE_ASIGNATURA[ID_CARRERA]=DET_ASIG!$B241),"No existe información")))</f>
        <v>SISTEMA DE INFORMACIÓN FINANCIERA</v>
      </c>
      <c r="P256" t="str">
        <v>CONTABILIDAD GUBERNAMENTAL</v>
      </c>
      <c r="Q256" t="str">
        <v>FINANCIAMIENTO DE INVERSIONES</v>
      </c>
      <c r="R256" t="str">
        <v>MODELACIÓN Y SIMULACIÓN FINANCIERA</v>
      </c>
      <c r="S256" t="str">
        <v>VALORACIÓN DE EMPRESA</v>
      </c>
    </row>
    <row r="257" spans="1:19">
      <c r="A257" cm="1">
        <f t="array" ref="A257:H257">TRANSPOSE(_xlfn.UNIQUE(_xlfn._xlws.FILTER(MAE_ASIGNATURA[ID_NIVEL],MAE_ASIGNATURA[ID_CARRERA]=DET_ASIG!$B242,"No existe información")))</f>
        <v>1</v>
      </c>
      <c r="B257">
        <v>2</v>
      </c>
      <c r="C257">
        <v>3</v>
      </c>
      <c r="D257">
        <v>4</v>
      </c>
      <c r="E257">
        <v>5</v>
      </c>
      <c r="F257">
        <v>6</v>
      </c>
      <c r="G257">
        <v>7</v>
      </c>
      <c r="H257">
        <v>8</v>
      </c>
      <c r="O257" t="str" cm="1">
        <f t="array" ref="O257:S257">TRANSPOSE(_xlfn.UNIQUE(_xlfn._xlws.FILTER(MAE_ASIGNATURA[NOM_ASIG],(MAE_ASIGNATURA[ID_NIVEL]=DET_ASIG!$D242)*(MAE_ASIGNATURA[ID_CARRERA]=DET_ASIG!$B242),"No existe información")))</f>
        <v>SISTEMA DE INFORMACIÓN FINANCIERA</v>
      </c>
      <c r="P257" t="str">
        <v>CONTABILIDAD GUBERNAMENTAL</v>
      </c>
      <c r="Q257" t="str">
        <v>FINANCIAMIENTO DE INVERSIONES</v>
      </c>
      <c r="R257" t="str">
        <v>MODELACIÓN Y SIMULACIÓN FINANCIERA</v>
      </c>
      <c r="S257" t="str">
        <v>VALORACIÓN DE EMPRESA</v>
      </c>
    </row>
    <row r="258" spans="1:19">
      <c r="A258" cm="1">
        <f t="array" ref="A258:H258">TRANSPOSE(_xlfn.UNIQUE(_xlfn._xlws.FILTER(MAE_ASIGNATURA[ID_NIVEL],MAE_ASIGNATURA[ID_CARRERA]=DET_ASIG!$B243,"No existe información")))</f>
        <v>1</v>
      </c>
      <c r="B258">
        <v>2</v>
      </c>
      <c r="C258">
        <v>3</v>
      </c>
      <c r="D258">
        <v>4</v>
      </c>
      <c r="E258">
        <v>5</v>
      </c>
      <c r="F258">
        <v>6</v>
      </c>
      <c r="G258">
        <v>7</v>
      </c>
      <c r="H258">
        <v>8</v>
      </c>
      <c r="O258" t="str" cm="1">
        <f t="array" ref="O258:S258">TRANSPOSE(_xlfn.UNIQUE(_xlfn._xlws.FILTER(MAE_ASIGNATURA[NOM_ASIG],(MAE_ASIGNATURA[ID_NIVEL]=DET_ASIG!$D243)*(MAE_ASIGNATURA[ID_CARRERA]=DET_ASIG!$B243),"No existe información")))</f>
        <v>SISTEMA DE INFORMACIÓN FINANCIERA</v>
      </c>
      <c r="P258" t="str">
        <v>CONTABILIDAD GUBERNAMENTAL</v>
      </c>
      <c r="Q258" t="str">
        <v>FINANCIAMIENTO DE INVERSIONES</v>
      </c>
      <c r="R258" t="str">
        <v>MODELACIÓN Y SIMULACIÓN FINANCIERA</v>
      </c>
      <c r="S258" t="str">
        <v>VALORACIÓN DE EMPRESA</v>
      </c>
    </row>
    <row r="259" spans="1:19">
      <c r="A259" cm="1">
        <f t="array" ref="A259:H259">TRANSPOSE(_xlfn.UNIQUE(_xlfn._xlws.FILTER(MAE_ASIGNATURA[ID_NIVEL],MAE_ASIGNATURA[ID_CARRERA]=DET_ASIG!$B244,"No existe información")))</f>
        <v>1</v>
      </c>
      <c r="B259">
        <v>2</v>
      </c>
      <c r="C259">
        <v>3</v>
      </c>
      <c r="D259">
        <v>4</v>
      </c>
      <c r="E259">
        <v>5</v>
      </c>
      <c r="F259">
        <v>6</v>
      </c>
      <c r="G259">
        <v>7</v>
      </c>
      <c r="H259">
        <v>8</v>
      </c>
      <c r="O259" t="str" cm="1">
        <f t="array" ref="O259:S259">TRANSPOSE(_xlfn.UNIQUE(_xlfn._xlws.FILTER(MAE_ASIGNATURA[NOM_ASIG],(MAE_ASIGNATURA[ID_NIVEL]=DET_ASIG!$D244)*(MAE_ASIGNATURA[ID_CARRERA]=DET_ASIG!$B244),"No existe información")))</f>
        <v>SISTEMA DE INFORMACIÓN FINANCIERA</v>
      </c>
      <c r="P259" t="str">
        <v>CONTABILIDAD GUBERNAMENTAL</v>
      </c>
      <c r="Q259" t="str">
        <v>FINANCIAMIENTO DE INVERSIONES</v>
      </c>
      <c r="R259" t="str">
        <v>MODELACIÓN Y SIMULACIÓN FINANCIERA</v>
      </c>
      <c r="S259" t="str">
        <v>VALORACIÓN DE EMPRESA</v>
      </c>
    </row>
    <row r="260" spans="1:19">
      <c r="A260" cm="1">
        <f t="array" ref="A260:B260">TRANSPOSE(_xlfn.UNIQUE(_xlfn._xlws.FILTER(MAE_ASIGNATURA[ID_NIVEL],MAE_ASIGNATURA[ID_CARRERA]=DET_ASIG!$B245,"No existe información")))</f>
        <v>7</v>
      </c>
      <c r="B260">
        <v>8</v>
      </c>
      <c r="O260" t="str" cm="1">
        <f t="array" ref="O260:R260">TRANSPOSE(_xlfn.UNIQUE(_xlfn._xlws.FILTER(MAE_ASIGNATURA[NOM_ASIG],(MAE_ASIGNATURA[ID_NIVEL]=DET_ASIG!$D245)*(MAE_ASIGNATURA[ID_CARRERA]=DET_ASIG!$B245),"No existe información")))</f>
        <v>Trabajo de integración curricular: Fase de diseño CA-24</v>
      </c>
      <c r="P260" t="str">
        <v>Trabajo de integración curricular: Fase de diseño ACG-24</v>
      </c>
      <c r="Q260" t="str">
        <v>Trabajo de integración curricular: Fase de diseño F-24</v>
      </c>
      <c r="R260" t="str">
        <v>Trabajo de integración curricular: Fase de diseño CA-22</v>
      </c>
    </row>
    <row r="261" spans="1:19">
      <c r="A261" cm="1">
        <f t="array" ref="A261:B261">TRANSPOSE(_xlfn.UNIQUE(_xlfn._xlws.FILTER(MAE_ASIGNATURA[ID_NIVEL],MAE_ASIGNATURA[ID_CARRERA]=DET_ASIG!$B246,"No existe información")))</f>
        <v>7</v>
      </c>
      <c r="B261">
        <v>8</v>
      </c>
      <c r="O261" t="str" cm="1">
        <f t="array" ref="O261:R261">TRANSPOSE(_xlfn.UNIQUE(_xlfn._xlws.FILTER(MAE_ASIGNATURA[NOM_ASIG],(MAE_ASIGNATURA[ID_NIVEL]=DET_ASIG!$D246)*(MAE_ASIGNATURA[ID_CARRERA]=DET_ASIG!$B246),"No existe información")))</f>
        <v>Trabajo de integración curricular: Fase de diseño CA-24</v>
      </c>
      <c r="P261" t="str">
        <v>Trabajo de integración curricular: Fase de diseño ACG-24</v>
      </c>
      <c r="Q261" t="str">
        <v>Trabajo de integración curricular: Fase de diseño F-24</v>
      </c>
      <c r="R261" t="str">
        <v>Trabajo de integración curricular: Fase de diseño CA-22</v>
      </c>
    </row>
    <row r="262" spans="1:19">
      <c r="A262" t="e" cm="1">
        <f t="array" ref="A262">TRANSPOSE(_xlfn.UNIQUE(_xlfn._xlws.FILTER(MAE_ASIGNATURA[ID_NIVEL],MAE_ASIGNATURA[ID_CARRERA]=DET_ASIG!#REF!,"No existe información")))</f>
        <v>#REF!</v>
      </c>
      <c r="O262" t="e" cm="1">
        <f t="array" ref="O262">TRANSPOSE(_xlfn.UNIQUE(_xlfn._xlws.FILTER(MAE_ASIGNATURA[NOM_ASIG],(MAE_ASIGNATURA[ID_NIVEL]=DET_ASIG!#REF!)*(MAE_ASIGNATURA[ID_CARRERA]=DET_ASIG!#REF!),"No existe información")))</f>
        <v>#REF!</v>
      </c>
    </row>
    <row r="263" spans="1:19">
      <c r="A263" cm="1">
        <f t="array" ref="A263:B263">TRANSPOSE(_xlfn.UNIQUE(_xlfn._xlws.FILTER(MAE_ASIGNATURA[ID_NIVEL],MAE_ASIGNATURA[ID_CARRERA]=DET_ASIG!$B247,"No existe información")))</f>
        <v>7</v>
      </c>
      <c r="B263">
        <v>8</v>
      </c>
      <c r="O263" t="str" cm="1">
        <f t="array" ref="O263:R263">TRANSPOSE(_xlfn.UNIQUE(_xlfn._xlws.FILTER(MAE_ASIGNATURA[NOM_ASIG],(MAE_ASIGNATURA[ID_NIVEL]=DET_ASIG!$D247)*(MAE_ASIGNATURA[ID_CARRERA]=DET_ASIG!$B247),"No existe información")))</f>
        <v>Trabajo de integración curricular: Fase de diseño CA-24</v>
      </c>
      <c r="P263" t="str">
        <v>Trabajo de integración curricular: Fase de diseño ACG-24</v>
      </c>
      <c r="Q263" t="str">
        <v>Trabajo de integración curricular: Fase de diseño F-24</v>
      </c>
      <c r="R263" t="str">
        <v>Trabajo de integración curricular: Fase de diseño CA-22</v>
      </c>
    </row>
    <row r="264" spans="1:19">
      <c r="A264" cm="1">
        <f t="array" ref="A264:B264">TRANSPOSE(_xlfn.UNIQUE(_xlfn._xlws.FILTER(MAE_ASIGNATURA[ID_NIVEL],MAE_ASIGNATURA[ID_CARRERA]=DET_ASIG!$B248,"No existe información")))</f>
        <v>7</v>
      </c>
      <c r="B264">
        <v>8</v>
      </c>
      <c r="O264" t="str" cm="1">
        <f t="array" ref="O264:R264">TRANSPOSE(_xlfn.UNIQUE(_xlfn._xlws.FILTER(MAE_ASIGNATURA[NOM_ASIG],(MAE_ASIGNATURA[ID_NIVEL]=DET_ASIG!$D248)*(MAE_ASIGNATURA[ID_CARRERA]=DET_ASIG!$B248),"No existe información")))</f>
        <v>Trabajo de integración curricular: Fase de resultados e informe CA-24</v>
      </c>
      <c r="P264" t="str">
        <v>Trabajo de integración curricular: Fase de resultados e informe ACG-24</v>
      </c>
      <c r="Q264" t="str">
        <v>Trabajo de integración curricular: Fase de resultados e informe F-24</v>
      </c>
      <c r="R264" t="str">
        <v>Trabajo de integración curricular: Fase de resultados e informe CA-22</v>
      </c>
    </row>
    <row r="265" spans="1:19">
      <c r="A265" cm="1">
        <f t="array" ref="A265:B265">TRANSPOSE(_xlfn.UNIQUE(_xlfn._xlws.FILTER(MAE_ASIGNATURA[ID_NIVEL],MAE_ASIGNATURA[ID_CARRERA]=DET_ASIG!$B249,"No existe información")))</f>
        <v>7</v>
      </c>
      <c r="B265">
        <v>8</v>
      </c>
      <c r="O265" t="str" cm="1">
        <f t="array" ref="O265:R265">TRANSPOSE(_xlfn.UNIQUE(_xlfn._xlws.FILTER(MAE_ASIGNATURA[NOM_ASIG],(MAE_ASIGNATURA[ID_NIVEL]=DET_ASIG!$D249)*(MAE_ASIGNATURA[ID_CARRERA]=DET_ASIG!$B249),"No existe información")))</f>
        <v>Trabajo de integración curricular: Fase de resultados e informe CA-24</v>
      </c>
      <c r="P265" t="str">
        <v>Trabajo de integración curricular: Fase de resultados e informe ACG-24</v>
      </c>
      <c r="Q265" t="str">
        <v>Trabajo de integración curricular: Fase de resultados e informe F-24</v>
      </c>
      <c r="R265" t="str">
        <v>Trabajo de integración curricular: Fase de resultados e informe CA-22</v>
      </c>
    </row>
    <row r="266" spans="1:19">
      <c r="A266" cm="1">
        <f t="array" ref="A266:B266">TRANSPOSE(_xlfn.UNIQUE(_xlfn._xlws.FILTER(MAE_ASIGNATURA[ID_NIVEL],MAE_ASIGNATURA[ID_CARRERA]=DET_ASIG!$B250,"No existe información")))</f>
        <v>7</v>
      </c>
      <c r="B266">
        <v>8</v>
      </c>
      <c r="O266" t="str" cm="1">
        <f t="array" ref="O266:R266">TRANSPOSE(_xlfn.UNIQUE(_xlfn._xlws.FILTER(MAE_ASIGNATURA[NOM_ASIG],(MAE_ASIGNATURA[ID_NIVEL]=DET_ASIG!$D250)*(MAE_ASIGNATURA[ID_CARRERA]=DET_ASIG!$B250),"No existe información")))</f>
        <v>Trabajo de integración curricular: Fase de resultados e informe CA-24</v>
      </c>
      <c r="P266" t="str">
        <v>Trabajo de integración curricular: Fase de resultados e informe ACG-24</v>
      </c>
      <c r="Q266" t="str">
        <v>Trabajo de integración curricular: Fase de resultados e informe F-24</v>
      </c>
      <c r="R266" t="str">
        <v>Trabajo de integración curricular: Fase de resultados e informe CA-22</v>
      </c>
    </row>
    <row r="267" spans="1:19">
      <c r="A267" t="str" cm="1">
        <f t="array" ref="A267">TRANSPOSE(_xlfn.UNIQUE(_xlfn._xlws.FILTER(MAE_ASIGNATURA[ID_NIVEL],MAE_ASIGNATURA[ID_CARRERA]=DET_ASIG!$B251,"No existe información")))</f>
        <v>No existe información</v>
      </c>
      <c r="O267" t="str" cm="1">
        <f t="array" ref="O267">TRANSPOSE(_xlfn.UNIQUE(_xlfn._xlws.FILTER(MAE_ASIGNATURA[NOM_ASIG],(MAE_ASIGNATURA[ID_NIVEL]=DET_ASIG!$D251)*(MAE_ASIGNATURA[ID_CARRERA]=DET_ASIG!$B251),"No existe información")))</f>
        <v>No existe información</v>
      </c>
    </row>
    <row r="268" spans="1:19">
      <c r="A268" t="str" cm="1">
        <f t="array" ref="A268">TRANSPOSE(_xlfn.UNIQUE(_xlfn._xlws.FILTER(MAE_ASIGNATURA[ID_NIVEL],MAE_ASIGNATURA[ID_CARRERA]=DET_ASIG!$B252,"No existe información")))</f>
        <v>No existe información</v>
      </c>
      <c r="O268" t="str" cm="1">
        <f t="array" ref="O268">TRANSPOSE(_xlfn.UNIQUE(_xlfn._xlws.FILTER(MAE_ASIGNATURA[NOM_ASIG],(MAE_ASIGNATURA[ID_NIVEL]=DET_ASIG!$D252)*(MAE_ASIGNATURA[ID_CARRERA]=DET_ASIG!$B252),"No existe información")))</f>
        <v>No existe información</v>
      </c>
    </row>
    <row r="269" spans="1:19">
      <c r="A269" t="str" cm="1">
        <f t="array" ref="A269">TRANSPOSE(_xlfn.UNIQUE(_xlfn._xlws.FILTER(MAE_ASIGNATURA[ID_NIVEL],MAE_ASIGNATURA[ID_CARRERA]=DET_ASIG!$B253,"No existe información")))</f>
        <v>No existe información</v>
      </c>
      <c r="O269" t="str" cm="1">
        <f t="array" ref="O269">TRANSPOSE(_xlfn.UNIQUE(_xlfn._xlws.FILTER(MAE_ASIGNATURA[NOM_ASIG],(MAE_ASIGNATURA[ID_NIVEL]=DET_ASIG!$D253)*(MAE_ASIGNATURA[ID_CARRERA]=DET_ASIG!$B253),"No existe información")))</f>
        <v>No existe información</v>
      </c>
    </row>
    <row r="270" spans="1:19">
      <c r="A270" t="str" cm="1">
        <f t="array" ref="A270">TRANSPOSE(_xlfn.UNIQUE(_xlfn._xlws.FILTER(MAE_ASIGNATURA[ID_NIVEL],MAE_ASIGNATURA[ID_CARRERA]=DET_ASIG!$B254,"No existe información")))</f>
        <v>No existe información</v>
      </c>
      <c r="O270" t="str" cm="1">
        <f t="array" ref="O270">TRANSPOSE(_xlfn.UNIQUE(_xlfn._xlws.FILTER(MAE_ASIGNATURA[NOM_ASIG],(MAE_ASIGNATURA[ID_NIVEL]=DET_ASIG!$D254)*(MAE_ASIGNATURA[ID_CARRERA]=DET_ASIG!$B254),"No existe información")))</f>
        <v>No existe información</v>
      </c>
    </row>
    <row r="271" spans="1:19">
      <c r="A271" t="str" cm="1">
        <f t="array" ref="A271">TRANSPOSE(_xlfn.UNIQUE(_xlfn._xlws.FILTER(MAE_ASIGNATURA[ID_NIVEL],MAE_ASIGNATURA[ID_CARRERA]=DET_ASIG!$B255,"No existe información")))</f>
        <v>No existe información</v>
      </c>
      <c r="O271" t="str" cm="1">
        <f t="array" ref="O271">TRANSPOSE(_xlfn.UNIQUE(_xlfn._xlws.FILTER(MAE_ASIGNATURA[NOM_ASIG],(MAE_ASIGNATURA[ID_NIVEL]=DET_ASIG!$D255)*(MAE_ASIGNATURA[ID_CARRERA]=DET_ASIG!$B255),"No existe información")))</f>
        <v>No existe información</v>
      </c>
    </row>
    <row r="272" spans="1:19">
      <c r="A272" t="str" cm="1">
        <f t="array" ref="A272">TRANSPOSE(_xlfn.UNIQUE(_xlfn._xlws.FILTER(MAE_ASIGNATURA[ID_NIVEL],MAE_ASIGNATURA[ID_CARRERA]=DET_ASIG!$B256,"No existe información")))</f>
        <v>No existe información</v>
      </c>
      <c r="O272" t="str" cm="1">
        <f t="array" ref="O272">TRANSPOSE(_xlfn.UNIQUE(_xlfn._xlws.FILTER(MAE_ASIGNATURA[NOM_ASIG],(MAE_ASIGNATURA[ID_NIVEL]=DET_ASIG!$D256)*(MAE_ASIGNATURA[ID_CARRERA]=DET_ASIG!$B256),"No existe información")))</f>
        <v>No existe información</v>
      </c>
    </row>
    <row r="273" spans="1:15">
      <c r="A273" t="str" cm="1">
        <f t="array" ref="A273">TRANSPOSE(_xlfn.UNIQUE(_xlfn._xlws.FILTER(MAE_ASIGNATURA[ID_NIVEL],MAE_ASIGNATURA[ID_CARRERA]=DET_ASIG!$B257,"No existe información")))</f>
        <v>No existe información</v>
      </c>
      <c r="O273" t="str" cm="1">
        <f t="array" ref="O273">TRANSPOSE(_xlfn.UNIQUE(_xlfn._xlws.FILTER(MAE_ASIGNATURA[NOM_ASIG],(MAE_ASIGNATURA[ID_NIVEL]=DET_ASIG!$D257)*(MAE_ASIGNATURA[ID_CARRERA]=DET_ASIG!$B257),"No existe información")))</f>
        <v>No existe información</v>
      </c>
    </row>
    <row r="274" spans="1:15">
      <c r="A274" t="str" cm="1">
        <f t="array" ref="A274">TRANSPOSE(_xlfn.UNIQUE(_xlfn._xlws.FILTER(MAE_ASIGNATURA[ID_NIVEL],MAE_ASIGNATURA[ID_CARRERA]=DET_ASIG!$B258,"No existe información")))</f>
        <v>No existe información</v>
      </c>
      <c r="O274" t="str" cm="1">
        <f t="array" ref="O274">TRANSPOSE(_xlfn.UNIQUE(_xlfn._xlws.FILTER(MAE_ASIGNATURA[NOM_ASIG],(MAE_ASIGNATURA[ID_NIVEL]=DET_ASIG!$D258)*(MAE_ASIGNATURA[ID_CARRERA]=DET_ASIG!$B258),"No existe información")))</f>
        <v>No existe información</v>
      </c>
    </row>
    <row r="275" spans="1:15">
      <c r="A275" t="str" cm="1">
        <f t="array" ref="A275">TRANSPOSE(_xlfn.UNIQUE(_xlfn._xlws.FILTER(MAE_ASIGNATURA[ID_NIVEL],MAE_ASIGNATURA[ID_CARRERA]=DET_ASIG!$B259,"No existe información")))</f>
        <v>No existe información</v>
      </c>
      <c r="O275" t="str" cm="1">
        <f t="array" ref="O275">TRANSPOSE(_xlfn.UNIQUE(_xlfn._xlws.FILTER(MAE_ASIGNATURA[NOM_ASIG],(MAE_ASIGNATURA[ID_NIVEL]=DET_ASIG!$D259)*(MAE_ASIGNATURA[ID_CARRERA]=DET_ASIG!$B259),"No existe información")))</f>
        <v>No existe información</v>
      </c>
    </row>
    <row r="276" spans="1:15">
      <c r="A276" t="str" cm="1">
        <f t="array" ref="A276">TRANSPOSE(_xlfn.UNIQUE(_xlfn._xlws.FILTER(MAE_ASIGNATURA[ID_NIVEL],MAE_ASIGNATURA[ID_CARRERA]=DET_ASIG!$B260,"No existe información")))</f>
        <v>No existe información</v>
      </c>
      <c r="O276" t="str" cm="1">
        <f t="array" ref="O276">TRANSPOSE(_xlfn.UNIQUE(_xlfn._xlws.FILTER(MAE_ASIGNATURA[NOM_ASIG],(MAE_ASIGNATURA[ID_NIVEL]=DET_ASIG!$D260)*(MAE_ASIGNATURA[ID_CARRERA]=DET_ASIG!$B260),"No existe información")))</f>
        <v>No existe información</v>
      </c>
    </row>
    <row r="277" spans="1:15">
      <c r="A277" t="str" cm="1">
        <f t="array" ref="A277">TRANSPOSE(_xlfn.UNIQUE(_xlfn._xlws.FILTER(MAE_ASIGNATURA[ID_NIVEL],MAE_ASIGNATURA[ID_CARRERA]=DET_ASIG!$B261,"No existe información")))</f>
        <v>No existe información</v>
      </c>
      <c r="O277" t="str" cm="1">
        <f t="array" ref="O277">TRANSPOSE(_xlfn.UNIQUE(_xlfn._xlws.FILTER(MAE_ASIGNATURA[NOM_ASIG],(MAE_ASIGNATURA[ID_NIVEL]=DET_ASIG!$D261)*(MAE_ASIGNATURA[ID_CARRERA]=DET_ASIG!$B261),"No existe información")))</f>
        <v>No existe información</v>
      </c>
    </row>
    <row r="278" spans="1:15">
      <c r="A278" t="str" cm="1">
        <f t="array" ref="A278">TRANSPOSE(_xlfn.UNIQUE(_xlfn._xlws.FILTER(MAE_ASIGNATURA[ID_NIVEL],MAE_ASIGNATURA[ID_CARRERA]=DET_ASIG!$B262,"No existe información")))</f>
        <v>No existe información</v>
      </c>
      <c r="O278" t="str" cm="1">
        <f t="array" ref="O278">TRANSPOSE(_xlfn.UNIQUE(_xlfn._xlws.FILTER(MAE_ASIGNATURA[NOM_ASIG],(MAE_ASIGNATURA[ID_NIVEL]=DET_ASIG!$D262)*(MAE_ASIGNATURA[ID_CARRERA]=DET_ASIG!$B262),"No existe información")))</f>
        <v>No existe información</v>
      </c>
    </row>
    <row r="279" spans="1:15">
      <c r="A279" t="str" cm="1">
        <f t="array" ref="A279">TRANSPOSE(_xlfn.UNIQUE(_xlfn._xlws.FILTER(MAE_ASIGNATURA[ID_NIVEL],MAE_ASIGNATURA[ID_CARRERA]=DET_ASIG!$B263,"No existe información")))</f>
        <v>No existe información</v>
      </c>
      <c r="O279" t="str" cm="1">
        <f t="array" ref="O279">TRANSPOSE(_xlfn.UNIQUE(_xlfn._xlws.FILTER(MAE_ASIGNATURA[NOM_ASIG],(MAE_ASIGNATURA[ID_NIVEL]=DET_ASIG!$D263)*(MAE_ASIGNATURA[ID_CARRERA]=DET_ASIG!$B263),"No existe información")))</f>
        <v>No existe información</v>
      </c>
    </row>
    <row r="280" spans="1:15">
      <c r="A280" t="str" cm="1">
        <f t="array" ref="A280">TRANSPOSE(_xlfn.UNIQUE(_xlfn._xlws.FILTER(MAE_ASIGNATURA[ID_NIVEL],MAE_ASIGNATURA[ID_CARRERA]=DET_ASIG!$B264,"No existe información")))</f>
        <v>No existe información</v>
      </c>
      <c r="O280" t="str" cm="1">
        <f t="array" ref="O280">TRANSPOSE(_xlfn.UNIQUE(_xlfn._xlws.FILTER(MAE_ASIGNATURA[NOM_ASIG],(MAE_ASIGNATURA[ID_NIVEL]=DET_ASIG!$D264)*(MAE_ASIGNATURA[ID_CARRERA]=DET_ASIG!$B264),"No existe información")))</f>
        <v>No existe información</v>
      </c>
    </row>
    <row r="281" spans="1:15">
      <c r="A281" t="str" cm="1">
        <f t="array" ref="A281">TRANSPOSE(_xlfn.UNIQUE(_xlfn._xlws.FILTER(MAE_ASIGNATURA[ID_NIVEL],MAE_ASIGNATURA[ID_CARRERA]=DET_ASIG!$B265,"No existe información")))</f>
        <v>No existe información</v>
      </c>
      <c r="O281" t="str" cm="1">
        <f t="array" ref="O281">TRANSPOSE(_xlfn.UNIQUE(_xlfn._xlws.FILTER(MAE_ASIGNATURA[NOM_ASIG],(MAE_ASIGNATURA[ID_NIVEL]=DET_ASIG!$D265)*(MAE_ASIGNATURA[ID_CARRERA]=DET_ASIG!$B265),"No existe información")))</f>
        <v>No existe información</v>
      </c>
    </row>
    <row r="282" spans="1:15">
      <c r="A282" t="str" cm="1">
        <f t="array" ref="A282">TRANSPOSE(_xlfn.UNIQUE(_xlfn._xlws.FILTER(MAE_ASIGNATURA[ID_NIVEL],MAE_ASIGNATURA[ID_CARRERA]=DET_ASIG!$B266,"No existe información")))</f>
        <v>No existe información</v>
      </c>
      <c r="O282" t="str" cm="1">
        <f t="array" ref="O282">TRANSPOSE(_xlfn.UNIQUE(_xlfn._xlws.FILTER(MAE_ASIGNATURA[NOM_ASIG],(MAE_ASIGNATURA[ID_NIVEL]=DET_ASIG!$D266)*(MAE_ASIGNATURA[ID_CARRERA]=DET_ASIG!$B266),"No existe información")))</f>
        <v>No existe información</v>
      </c>
    </row>
    <row r="283" spans="1:15">
      <c r="A283" t="str" cm="1">
        <f t="array" ref="A283">TRANSPOSE(_xlfn.UNIQUE(_xlfn._xlws.FILTER(MAE_ASIGNATURA[ID_NIVEL],MAE_ASIGNATURA[ID_CARRERA]=DET_ASIG!$B267,"No existe información")))</f>
        <v>No existe información</v>
      </c>
      <c r="O283" t="str" cm="1">
        <f t="array" ref="O283">TRANSPOSE(_xlfn.UNIQUE(_xlfn._xlws.FILTER(MAE_ASIGNATURA[NOM_ASIG],(MAE_ASIGNATURA[ID_NIVEL]=DET_ASIG!$D267)*(MAE_ASIGNATURA[ID_CARRERA]=DET_ASIG!$B267),"No existe información")))</f>
        <v>No existe información</v>
      </c>
    </row>
    <row r="284" spans="1:15">
      <c r="A284" t="str" cm="1">
        <f t="array" ref="A284">TRANSPOSE(_xlfn.UNIQUE(_xlfn._xlws.FILTER(MAE_ASIGNATURA[ID_NIVEL],MAE_ASIGNATURA[ID_CARRERA]=DET_ASIG!$B268,"No existe información")))</f>
        <v>No existe información</v>
      </c>
      <c r="O284" t="str" cm="1">
        <f t="array" ref="O284">TRANSPOSE(_xlfn.UNIQUE(_xlfn._xlws.FILTER(MAE_ASIGNATURA[NOM_ASIG],(MAE_ASIGNATURA[ID_NIVEL]=DET_ASIG!$D268)*(MAE_ASIGNATURA[ID_CARRERA]=DET_ASIG!$B268),"No existe información")))</f>
        <v>No existe información</v>
      </c>
    </row>
    <row r="285" spans="1:15">
      <c r="A285" t="str" cm="1">
        <f t="array" ref="A285">TRANSPOSE(_xlfn.UNIQUE(_xlfn._xlws.FILTER(MAE_ASIGNATURA[ID_NIVEL],MAE_ASIGNATURA[ID_CARRERA]=DET_ASIG!$B269,"No existe información")))</f>
        <v>No existe información</v>
      </c>
      <c r="O285" t="str" cm="1">
        <f t="array" ref="O285">TRANSPOSE(_xlfn.UNIQUE(_xlfn._xlws.FILTER(MAE_ASIGNATURA[NOM_ASIG],(MAE_ASIGNATURA[ID_NIVEL]=DET_ASIG!$D269)*(MAE_ASIGNATURA[ID_CARRERA]=DET_ASIG!$B269),"No existe información")))</f>
        <v>No existe información</v>
      </c>
    </row>
    <row r="286" spans="1:15">
      <c r="A286" t="str" cm="1">
        <f t="array" ref="A286">TRANSPOSE(_xlfn.UNIQUE(_xlfn._xlws.FILTER(MAE_ASIGNATURA[ID_NIVEL],MAE_ASIGNATURA[ID_CARRERA]=DET_ASIG!$B270,"No existe información")))</f>
        <v>No existe información</v>
      </c>
      <c r="O286" t="str" cm="1">
        <f t="array" ref="O286">TRANSPOSE(_xlfn.UNIQUE(_xlfn._xlws.FILTER(MAE_ASIGNATURA[NOM_ASIG],(MAE_ASIGNATURA[ID_NIVEL]=DET_ASIG!$D270)*(MAE_ASIGNATURA[ID_CARRERA]=DET_ASIG!$B270),"No existe información")))</f>
        <v>No existe información</v>
      </c>
    </row>
    <row r="287" spans="1:15">
      <c r="A287" t="str" cm="1">
        <f t="array" ref="A287">TRANSPOSE(_xlfn.UNIQUE(_xlfn._xlws.FILTER(MAE_ASIGNATURA[ID_NIVEL],MAE_ASIGNATURA[ID_CARRERA]=DET_ASIG!$B271,"No existe información")))</f>
        <v>No existe información</v>
      </c>
      <c r="O287" t="str" cm="1">
        <f t="array" ref="O287">TRANSPOSE(_xlfn.UNIQUE(_xlfn._xlws.FILTER(MAE_ASIGNATURA[NOM_ASIG],(MAE_ASIGNATURA[ID_NIVEL]=DET_ASIG!$D271)*(MAE_ASIGNATURA[ID_CARRERA]=DET_ASIG!$B271),"No existe información")))</f>
        <v>No existe información</v>
      </c>
    </row>
    <row r="288" spans="1:15">
      <c r="A288" t="str" cm="1">
        <f t="array" ref="A288">TRANSPOSE(_xlfn.UNIQUE(_xlfn._xlws.FILTER(MAE_ASIGNATURA[ID_NIVEL],MAE_ASIGNATURA[ID_CARRERA]=DET_ASIG!$B272,"No existe información")))</f>
        <v>No existe información</v>
      </c>
      <c r="O288" t="str" cm="1">
        <f t="array" ref="O288">TRANSPOSE(_xlfn.UNIQUE(_xlfn._xlws.FILTER(MAE_ASIGNATURA[NOM_ASIG],(MAE_ASIGNATURA[ID_NIVEL]=DET_ASIG!$D272)*(MAE_ASIGNATURA[ID_CARRERA]=DET_ASIG!$B272),"No existe información")))</f>
        <v>No existe información</v>
      </c>
    </row>
    <row r="289" spans="1:15">
      <c r="A289" t="str" cm="1">
        <f t="array" ref="A289">TRANSPOSE(_xlfn.UNIQUE(_xlfn._xlws.FILTER(MAE_ASIGNATURA[ID_NIVEL],MAE_ASIGNATURA[ID_CARRERA]=DET_ASIG!$B273,"No existe información")))</f>
        <v>No existe información</v>
      </c>
      <c r="O289" t="str" cm="1">
        <f t="array" ref="O289">TRANSPOSE(_xlfn.UNIQUE(_xlfn._xlws.FILTER(MAE_ASIGNATURA[NOM_ASIG],(MAE_ASIGNATURA[ID_NIVEL]=DET_ASIG!$D273)*(MAE_ASIGNATURA[ID_CARRERA]=DET_ASIG!$B273),"No existe información")))</f>
        <v>No existe información</v>
      </c>
    </row>
    <row r="290" spans="1:15">
      <c r="A290" t="str" cm="1">
        <f t="array" ref="A290">TRANSPOSE(_xlfn.UNIQUE(_xlfn._xlws.FILTER(MAE_ASIGNATURA[ID_NIVEL],MAE_ASIGNATURA[ID_CARRERA]=DET_ASIG!$B274,"No existe información")))</f>
        <v>No existe información</v>
      </c>
      <c r="O290" t="str" cm="1">
        <f t="array" ref="O290">TRANSPOSE(_xlfn.UNIQUE(_xlfn._xlws.FILTER(MAE_ASIGNATURA[NOM_ASIG],(MAE_ASIGNATURA[ID_NIVEL]=DET_ASIG!$D274)*(MAE_ASIGNATURA[ID_CARRERA]=DET_ASIG!$B274),"No existe información")))</f>
        <v>No existe información</v>
      </c>
    </row>
    <row r="291" spans="1:15">
      <c r="A291" t="str" cm="1">
        <f t="array" ref="A291">TRANSPOSE(_xlfn.UNIQUE(_xlfn._xlws.FILTER(MAE_ASIGNATURA[ID_NIVEL],MAE_ASIGNATURA[ID_CARRERA]=DET_ASIG!$B275,"No existe información")))</f>
        <v>No existe información</v>
      </c>
      <c r="O291" t="str" cm="1">
        <f t="array" ref="O291">TRANSPOSE(_xlfn.UNIQUE(_xlfn._xlws.FILTER(MAE_ASIGNATURA[NOM_ASIG],(MAE_ASIGNATURA[ID_NIVEL]=DET_ASIG!$D275)*(MAE_ASIGNATURA[ID_CARRERA]=DET_ASIG!$B275),"No existe información")))</f>
        <v>No existe información</v>
      </c>
    </row>
    <row r="292" spans="1:15">
      <c r="A292" t="str" cm="1">
        <f t="array" ref="A292">TRANSPOSE(_xlfn.UNIQUE(_xlfn._xlws.FILTER(MAE_ASIGNATURA[ID_NIVEL],MAE_ASIGNATURA[ID_CARRERA]=DET_ASIG!$B276,"No existe información")))</f>
        <v>No existe información</v>
      </c>
      <c r="O292" t="str" cm="1">
        <f t="array" ref="O292">TRANSPOSE(_xlfn.UNIQUE(_xlfn._xlws.FILTER(MAE_ASIGNATURA[NOM_ASIG],(MAE_ASIGNATURA[ID_NIVEL]=DET_ASIG!$D276)*(MAE_ASIGNATURA[ID_CARRERA]=DET_ASIG!$B276),"No existe información")))</f>
        <v>No existe información</v>
      </c>
    </row>
    <row r="293" spans="1:15">
      <c r="A293" t="str" cm="1">
        <f t="array" ref="A293">TRANSPOSE(_xlfn.UNIQUE(_xlfn._xlws.FILTER(MAE_ASIGNATURA[ID_NIVEL],MAE_ASIGNATURA[ID_CARRERA]=DET_ASIG!$B277,"No existe información")))</f>
        <v>No existe información</v>
      </c>
      <c r="O293" t="str" cm="1">
        <f t="array" ref="O293">TRANSPOSE(_xlfn.UNIQUE(_xlfn._xlws.FILTER(MAE_ASIGNATURA[NOM_ASIG],(MAE_ASIGNATURA[ID_NIVEL]=DET_ASIG!$D277)*(MAE_ASIGNATURA[ID_CARRERA]=DET_ASIG!$B277),"No existe información")))</f>
        <v>No existe información</v>
      </c>
    </row>
    <row r="294" spans="1:15">
      <c r="A294" t="str" cm="1">
        <f t="array" ref="A294">TRANSPOSE(_xlfn.UNIQUE(_xlfn._xlws.FILTER(MAE_ASIGNATURA[ID_NIVEL],MAE_ASIGNATURA[ID_CARRERA]=DET_ASIG!$B278,"No existe información")))</f>
        <v>No existe información</v>
      </c>
      <c r="O294" t="str" cm="1">
        <f t="array" ref="O294">TRANSPOSE(_xlfn.UNIQUE(_xlfn._xlws.FILTER(MAE_ASIGNATURA[NOM_ASIG],(MAE_ASIGNATURA[ID_NIVEL]=DET_ASIG!$D278)*(MAE_ASIGNATURA[ID_CARRERA]=DET_ASIG!$B278),"No existe información")))</f>
        <v>No existe información</v>
      </c>
    </row>
    <row r="295" spans="1:15">
      <c r="A295" t="str" cm="1">
        <f t="array" ref="A295">TRANSPOSE(_xlfn.UNIQUE(_xlfn._xlws.FILTER(MAE_ASIGNATURA[ID_NIVEL],MAE_ASIGNATURA[ID_CARRERA]=DET_ASIG!$B279,"No existe información")))</f>
        <v>No existe información</v>
      </c>
      <c r="O295" t="str" cm="1">
        <f t="array" ref="O295">TRANSPOSE(_xlfn.UNIQUE(_xlfn._xlws.FILTER(MAE_ASIGNATURA[NOM_ASIG],(MAE_ASIGNATURA[ID_NIVEL]=DET_ASIG!$D279)*(MAE_ASIGNATURA[ID_CARRERA]=DET_ASIG!$B279),"No existe información")))</f>
        <v>No existe información</v>
      </c>
    </row>
    <row r="296" spans="1:15">
      <c r="A296" t="str" cm="1">
        <f t="array" ref="A296">TRANSPOSE(_xlfn.UNIQUE(_xlfn._xlws.FILTER(MAE_ASIGNATURA[ID_NIVEL],MAE_ASIGNATURA[ID_CARRERA]=DET_ASIG!$B280,"No existe información")))</f>
        <v>No existe información</v>
      </c>
      <c r="O296" t="str" cm="1">
        <f t="array" ref="O296">TRANSPOSE(_xlfn.UNIQUE(_xlfn._xlws.FILTER(MAE_ASIGNATURA[NOM_ASIG],(MAE_ASIGNATURA[ID_NIVEL]=DET_ASIG!$D280)*(MAE_ASIGNATURA[ID_CARRERA]=DET_ASIG!$B280),"No existe información")))</f>
        <v>No existe información</v>
      </c>
    </row>
    <row r="297" spans="1:15">
      <c r="A297" t="str" cm="1">
        <f t="array" ref="A297">TRANSPOSE(_xlfn.UNIQUE(_xlfn._xlws.FILTER(MAE_ASIGNATURA[ID_NIVEL],MAE_ASIGNATURA[ID_CARRERA]=DET_ASIG!$B281,"No existe información")))</f>
        <v>No existe información</v>
      </c>
      <c r="O297" t="str" cm="1">
        <f t="array" ref="O297">TRANSPOSE(_xlfn.UNIQUE(_xlfn._xlws.FILTER(MAE_ASIGNATURA[NOM_ASIG],(MAE_ASIGNATURA[ID_NIVEL]=DET_ASIG!$D281)*(MAE_ASIGNATURA[ID_CARRERA]=DET_ASIG!$B281),"No existe información")))</f>
        <v>No existe información</v>
      </c>
    </row>
    <row r="298" spans="1:15">
      <c r="A298" t="str" cm="1">
        <f t="array" ref="A298">TRANSPOSE(_xlfn.UNIQUE(_xlfn._xlws.FILTER(MAE_ASIGNATURA[ID_NIVEL],MAE_ASIGNATURA[ID_CARRERA]=DET_ASIG!$B282,"No existe información")))</f>
        <v>No existe información</v>
      </c>
      <c r="O298" t="str" cm="1">
        <f t="array" ref="O298">TRANSPOSE(_xlfn.UNIQUE(_xlfn._xlws.FILTER(MAE_ASIGNATURA[NOM_ASIG],(MAE_ASIGNATURA[ID_NIVEL]=DET_ASIG!$D282)*(MAE_ASIGNATURA[ID_CARRERA]=DET_ASIG!$B282),"No existe información")))</f>
        <v>No existe información</v>
      </c>
    </row>
    <row r="299" spans="1:15">
      <c r="A299" t="str" cm="1">
        <f t="array" ref="A299">TRANSPOSE(_xlfn.UNIQUE(_xlfn._xlws.FILTER(MAE_ASIGNATURA[ID_NIVEL],MAE_ASIGNATURA[ID_CARRERA]=DET_ASIG!$B283,"No existe información")))</f>
        <v>No existe información</v>
      </c>
      <c r="O299" t="str" cm="1">
        <f t="array" ref="O299">TRANSPOSE(_xlfn.UNIQUE(_xlfn._xlws.FILTER(MAE_ASIGNATURA[NOM_ASIG],(MAE_ASIGNATURA[ID_NIVEL]=DET_ASIG!$D283)*(MAE_ASIGNATURA[ID_CARRERA]=DET_ASIG!$B283),"No existe información")))</f>
        <v>No existe información</v>
      </c>
    </row>
    <row r="300" spans="1:15">
      <c r="A300" t="str" cm="1">
        <f t="array" ref="A300">TRANSPOSE(_xlfn.UNIQUE(_xlfn._xlws.FILTER(MAE_ASIGNATURA[ID_NIVEL],MAE_ASIGNATURA[ID_CARRERA]=DET_ASIG!$B284,"No existe información")))</f>
        <v>No existe información</v>
      </c>
      <c r="O300" t="str" cm="1">
        <f t="array" ref="O300">TRANSPOSE(_xlfn.UNIQUE(_xlfn._xlws.FILTER(MAE_ASIGNATURA[NOM_ASIG],(MAE_ASIGNATURA[ID_NIVEL]=DET_ASIG!$D284)*(MAE_ASIGNATURA[ID_CARRERA]=DET_ASIG!$B284),"No existe información")))</f>
        <v>No existe información</v>
      </c>
    </row>
    <row r="301" spans="1:15">
      <c r="A301" t="str" cm="1">
        <f t="array" ref="A301">TRANSPOSE(_xlfn.UNIQUE(_xlfn._xlws.FILTER(MAE_ASIGNATURA[ID_NIVEL],MAE_ASIGNATURA[ID_CARRERA]=DET_ASIG!$B285,"No existe información")))</f>
        <v>No existe información</v>
      </c>
      <c r="O301" t="str" cm="1">
        <f t="array" ref="O301">TRANSPOSE(_xlfn.UNIQUE(_xlfn._xlws.FILTER(MAE_ASIGNATURA[NOM_ASIG],(MAE_ASIGNATURA[ID_NIVEL]=DET_ASIG!$D285)*(MAE_ASIGNATURA[ID_CARRERA]=DET_ASIG!$B285),"No existe información")))</f>
        <v>No existe información</v>
      </c>
    </row>
    <row r="302" spans="1:15">
      <c r="A302" t="str" cm="1">
        <f t="array" ref="A302">TRANSPOSE(_xlfn.UNIQUE(_xlfn._xlws.FILTER(MAE_ASIGNATURA[ID_NIVEL],MAE_ASIGNATURA[ID_CARRERA]=DET_ASIG!$B286,"No existe información")))</f>
        <v>No existe información</v>
      </c>
      <c r="O302" t="str" cm="1">
        <f t="array" ref="O302">TRANSPOSE(_xlfn.UNIQUE(_xlfn._xlws.FILTER(MAE_ASIGNATURA[NOM_ASIG],(MAE_ASIGNATURA[ID_NIVEL]=DET_ASIG!$D286)*(MAE_ASIGNATURA[ID_CARRERA]=DET_ASIG!$B286),"No existe información")))</f>
        <v>No existe información</v>
      </c>
    </row>
    <row r="303" spans="1:15">
      <c r="A303" t="str" cm="1">
        <f t="array" ref="A303">TRANSPOSE(_xlfn.UNIQUE(_xlfn._xlws.FILTER(MAE_ASIGNATURA[ID_NIVEL],MAE_ASIGNATURA[ID_CARRERA]=DET_ASIG!$B287,"No existe información")))</f>
        <v>No existe información</v>
      </c>
      <c r="O303" t="str" cm="1">
        <f t="array" ref="O303">TRANSPOSE(_xlfn.UNIQUE(_xlfn._xlws.FILTER(MAE_ASIGNATURA[NOM_ASIG],(MAE_ASIGNATURA[ID_NIVEL]=DET_ASIG!$D287)*(MAE_ASIGNATURA[ID_CARRERA]=DET_ASIG!$B287),"No existe información")))</f>
        <v>No existe información</v>
      </c>
    </row>
    <row r="304" spans="1:15">
      <c r="A304" t="str" cm="1">
        <f t="array" ref="A304">TRANSPOSE(_xlfn.UNIQUE(_xlfn._xlws.FILTER(MAE_ASIGNATURA[ID_NIVEL],MAE_ASIGNATURA[ID_CARRERA]=DET_ASIG!$B288,"No existe información")))</f>
        <v>No existe información</v>
      </c>
      <c r="O304" t="str" cm="1">
        <f t="array" ref="O304">TRANSPOSE(_xlfn.UNIQUE(_xlfn._xlws.FILTER(MAE_ASIGNATURA[NOM_ASIG],(MAE_ASIGNATURA[ID_NIVEL]=DET_ASIG!$D288)*(MAE_ASIGNATURA[ID_CARRERA]=DET_ASIG!$B288),"No existe información")))</f>
        <v>No existe información</v>
      </c>
    </row>
    <row r="305" spans="1:15">
      <c r="A305" t="str" cm="1">
        <f t="array" ref="A305">TRANSPOSE(_xlfn.UNIQUE(_xlfn._xlws.FILTER(MAE_ASIGNATURA[ID_NIVEL],MAE_ASIGNATURA[ID_CARRERA]=DET_ASIG!$B289,"No existe información")))</f>
        <v>No existe información</v>
      </c>
      <c r="O305" t="str" cm="1">
        <f t="array" ref="O305">TRANSPOSE(_xlfn.UNIQUE(_xlfn._xlws.FILTER(MAE_ASIGNATURA[NOM_ASIG],(MAE_ASIGNATURA[ID_NIVEL]=DET_ASIG!$D289)*(MAE_ASIGNATURA[ID_CARRERA]=DET_ASIG!$B289),"No existe información")))</f>
        <v>No existe información</v>
      </c>
    </row>
    <row r="306" spans="1:15">
      <c r="A306" t="str" cm="1">
        <f t="array" ref="A306">TRANSPOSE(_xlfn.UNIQUE(_xlfn._xlws.FILTER(MAE_ASIGNATURA[ID_NIVEL],MAE_ASIGNATURA[ID_CARRERA]=DET_ASIG!$B290,"No existe información")))</f>
        <v>No existe información</v>
      </c>
      <c r="O306" t="str" cm="1">
        <f t="array" ref="O306">TRANSPOSE(_xlfn.UNIQUE(_xlfn._xlws.FILTER(MAE_ASIGNATURA[NOM_ASIG],(MAE_ASIGNATURA[ID_NIVEL]=DET_ASIG!$D290)*(MAE_ASIGNATURA[ID_CARRERA]=DET_ASIG!$B290),"No existe información")))</f>
        <v>No existe información</v>
      </c>
    </row>
    <row r="307" spans="1:15">
      <c r="A307" t="str" cm="1">
        <f t="array" ref="A307">TRANSPOSE(_xlfn.UNIQUE(_xlfn._xlws.FILTER(MAE_ASIGNATURA[ID_NIVEL],MAE_ASIGNATURA[ID_CARRERA]=DET_ASIG!$B291,"No existe información")))</f>
        <v>No existe información</v>
      </c>
      <c r="O307" t="str" cm="1">
        <f t="array" ref="O307">TRANSPOSE(_xlfn.UNIQUE(_xlfn._xlws.FILTER(MAE_ASIGNATURA[NOM_ASIG],(MAE_ASIGNATURA[ID_NIVEL]=DET_ASIG!$D291)*(MAE_ASIGNATURA[ID_CARRERA]=DET_ASIG!$B291),"No existe información")))</f>
        <v>No existe información</v>
      </c>
    </row>
    <row r="308" spans="1:15">
      <c r="A308" t="str" cm="1">
        <f t="array" ref="A308">TRANSPOSE(_xlfn.UNIQUE(_xlfn._xlws.FILTER(MAE_ASIGNATURA[ID_NIVEL],MAE_ASIGNATURA[ID_CARRERA]=DET_ASIG!$B292,"No existe información")))</f>
        <v>No existe información</v>
      </c>
      <c r="O308" t="str" cm="1">
        <f t="array" ref="O308">TRANSPOSE(_xlfn.UNIQUE(_xlfn._xlws.FILTER(MAE_ASIGNATURA[NOM_ASIG],(MAE_ASIGNATURA[ID_NIVEL]=DET_ASIG!$D292)*(MAE_ASIGNATURA[ID_CARRERA]=DET_ASIG!$B292),"No existe información")))</f>
        <v>No existe información</v>
      </c>
    </row>
    <row r="309" spans="1:15">
      <c r="A309" t="str" cm="1">
        <f t="array" ref="A309">TRANSPOSE(_xlfn.UNIQUE(_xlfn._xlws.FILTER(MAE_ASIGNATURA[ID_NIVEL],MAE_ASIGNATURA[ID_CARRERA]=DET_ASIG!$B293,"No existe información")))</f>
        <v>No existe información</v>
      </c>
      <c r="O309" t="str" cm="1">
        <f t="array" ref="O309">TRANSPOSE(_xlfn.UNIQUE(_xlfn._xlws.FILTER(MAE_ASIGNATURA[NOM_ASIG],(MAE_ASIGNATURA[ID_NIVEL]=DET_ASIG!$D293)*(MAE_ASIGNATURA[ID_CARRERA]=DET_ASIG!$B293),"No existe información")))</f>
        <v>No existe información</v>
      </c>
    </row>
    <row r="310" spans="1:15">
      <c r="A310" t="str" cm="1">
        <f t="array" ref="A310">TRANSPOSE(_xlfn.UNIQUE(_xlfn._xlws.FILTER(MAE_ASIGNATURA[ID_NIVEL],MAE_ASIGNATURA[ID_CARRERA]=DET_ASIG!$B294,"No existe información")))</f>
        <v>No existe información</v>
      </c>
      <c r="O310" t="str" cm="1">
        <f t="array" ref="O310">TRANSPOSE(_xlfn.UNIQUE(_xlfn._xlws.FILTER(MAE_ASIGNATURA[NOM_ASIG],(MAE_ASIGNATURA[ID_NIVEL]=DET_ASIG!$D294)*(MAE_ASIGNATURA[ID_CARRERA]=DET_ASIG!$B294),"No existe información")))</f>
        <v>No existe información</v>
      </c>
    </row>
    <row r="311" spans="1:15">
      <c r="A311" t="str" cm="1">
        <f t="array" ref="A311">TRANSPOSE(_xlfn.UNIQUE(_xlfn._xlws.FILTER(MAE_ASIGNATURA[ID_NIVEL],MAE_ASIGNATURA[ID_CARRERA]=DET_ASIG!$B295,"No existe información")))</f>
        <v>No existe información</v>
      </c>
      <c r="O311" t="str" cm="1">
        <f t="array" ref="O311">TRANSPOSE(_xlfn.UNIQUE(_xlfn._xlws.FILTER(MAE_ASIGNATURA[NOM_ASIG],(MAE_ASIGNATURA[ID_NIVEL]=DET_ASIG!$D295)*(MAE_ASIGNATURA[ID_CARRERA]=DET_ASIG!$B295),"No existe información")))</f>
        <v>No existe información</v>
      </c>
    </row>
    <row r="312" spans="1:15">
      <c r="A312" t="str" cm="1">
        <f t="array" ref="A312">TRANSPOSE(_xlfn.UNIQUE(_xlfn._xlws.FILTER(MAE_ASIGNATURA[ID_NIVEL],MAE_ASIGNATURA[ID_CARRERA]=DET_ASIG!$B296,"No existe información")))</f>
        <v>No existe información</v>
      </c>
      <c r="O312" t="str" cm="1">
        <f t="array" ref="O312">TRANSPOSE(_xlfn.UNIQUE(_xlfn._xlws.FILTER(MAE_ASIGNATURA[NOM_ASIG],(MAE_ASIGNATURA[ID_NIVEL]=DET_ASIG!$D296)*(MAE_ASIGNATURA[ID_CARRERA]=DET_ASIG!$B296),"No existe información")))</f>
        <v>No existe información</v>
      </c>
    </row>
    <row r="313" spans="1:15">
      <c r="A313" t="str" cm="1">
        <f t="array" ref="A313">TRANSPOSE(_xlfn.UNIQUE(_xlfn._xlws.FILTER(MAE_ASIGNATURA[ID_NIVEL],MAE_ASIGNATURA[ID_CARRERA]=DET_ASIG!$B297,"No existe información")))</f>
        <v>No existe información</v>
      </c>
      <c r="O313" t="str" cm="1">
        <f t="array" ref="O313">TRANSPOSE(_xlfn.UNIQUE(_xlfn._xlws.FILTER(MAE_ASIGNATURA[NOM_ASIG],(MAE_ASIGNATURA[ID_NIVEL]=DET_ASIG!$D297)*(MAE_ASIGNATURA[ID_CARRERA]=DET_ASIG!$B297),"No existe información")))</f>
        <v>No existe información</v>
      </c>
    </row>
    <row r="314" spans="1:15">
      <c r="A314" t="str" cm="1">
        <f t="array" ref="A314">TRANSPOSE(_xlfn.UNIQUE(_xlfn._xlws.FILTER(MAE_ASIGNATURA[ID_NIVEL],MAE_ASIGNATURA[ID_CARRERA]=DET_ASIG!$B298,"No existe información")))</f>
        <v>No existe información</v>
      </c>
      <c r="O314" t="str" cm="1">
        <f t="array" ref="O314">TRANSPOSE(_xlfn.UNIQUE(_xlfn._xlws.FILTER(MAE_ASIGNATURA[NOM_ASIG],(MAE_ASIGNATURA[ID_NIVEL]=DET_ASIG!$D298)*(MAE_ASIGNATURA[ID_CARRERA]=DET_ASIG!$B298),"No existe información")))</f>
        <v>No existe información</v>
      </c>
    </row>
    <row r="315" spans="1:15">
      <c r="A315" t="str" cm="1">
        <f t="array" ref="A315">TRANSPOSE(_xlfn.UNIQUE(_xlfn._xlws.FILTER(MAE_ASIGNATURA[ID_NIVEL],MAE_ASIGNATURA[ID_CARRERA]=DET_ASIG!$B299,"No existe información")))</f>
        <v>No existe información</v>
      </c>
      <c r="O315" t="str" cm="1">
        <f t="array" ref="O315">TRANSPOSE(_xlfn.UNIQUE(_xlfn._xlws.FILTER(MAE_ASIGNATURA[NOM_ASIG],(MAE_ASIGNATURA[ID_NIVEL]=DET_ASIG!$D299)*(MAE_ASIGNATURA[ID_CARRERA]=DET_ASIG!$B299),"No existe información")))</f>
        <v>No existe información</v>
      </c>
    </row>
    <row r="316" spans="1:15">
      <c r="A316" t="str" cm="1">
        <f t="array" ref="A316">TRANSPOSE(_xlfn.UNIQUE(_xlfn._xlws.FILTER(MAE_ASIGNATURA[ID_NIVEL],MAE_ASIGNATURA[ID_CARRERA]=DET_ASIG!$B300,"No existe información")))</f>
        <v>No existe información</v>
      </c>
      <c r="O316" t="str" cm="1">
        <f t="array" ref="O316">TRANSPOSE(_xlfn.UNIQUE(_xlfn._xlws.FILTER(MAE_ASIGNATURA[NOM_ASIG],(MAE_ASIGNATURA[ID_NIVEL]=DET_ASIG!$D300)*(MAE_ASIGNATURA[ID_CARRERA]=DET_ASIG!$B300),"No existe información")))</f>
        <v>No existe información</v>
      </c>
    </row>
    <row r="317" spans="1:15">
      <c r="A317" t="str" cm="1">
        <f t="array" ref="A317">TRANSPOSE(_xlfn.UNIQUE(_xlfn._xlws.FILTER(MAE_ASIGNATURA[ID_NIVEL],MAE_ASIGNATURA[ID_CARRERA]=DET_ASIG!$B301,"No existe información")))</f>
        <v>No existe información</v>
      </c>
      <c r="O317" t="str" cm="1">
        <f t="array" ref="O317">TRANSPOSE(_xlfn.UNIQUE(_xlfn._xlws.FILTER(MAE_ASIGNATURA[NOM_ASIG],(MAE_ASIGNATURA[ID_NIVEL]=DET_ASIG!$D301)*(MAE_ASIGNATURA[ID_CARRERA]=DET_ASIG!$B301),"No existe información")))</f>
        <v>No existe información</v>
      </c>
    </row>
    <row r="318" spans="1:15">
      <c r="A318" t="str" cm="1">
        <f t="array" ref="A318">TRANSPOSE(_xlfn.UNIQUE(_xlfn._xlws.FILTER(MAE_ASIGNATURA[ID_NIVEL],MAE_ASIGNATURA[ID_CARRERA]=DET_ASIG!$B302,"No existe información")))</f>
        <v>No existe información</v>
      </c>
      <c r="O318" t="str" cm="1">
        <f t="array" ref="O318">TRANSPOSE(_xlfn.UNIQUE(_xlfn._xlws.FILTER(MAE_ASIGNATURA[NOM_ASIG],(MAE_ASIGNATURA[ID_NIVEL]=DET_ASIG!$D302)*(MAE_ASIGNATURA[ID_CARRERA]=DET_ASIG!$B302),"No existe información")))</f>
        <v>No existe información</v>
      </c>
    </row>
    <row r="319" spans="1:15">
      <c r="A319" t="str" cm="1">
        <f t="array" ref="A319">TRANSPOSE(_xlfn.UNIQUE(_xlfn._xlws.FILTER(MAE_ASIGNATURA[ID_NIVEL],MAE_ASIGNATURA[ID_CARRERA]=DET_ASIG!$B303,"No existe información")))</f>
        <v>No existe información</v>
      </c>
      <c r="O319" t="str" cm="1">
        <f t="array" ref="O319">TRANSPOSE(_xlfn.UNIQUE(_xlfn._xlws.FILTER(MAE_ASIGNATURA[NOM_ASIG],(MAE_ASIGNATURA[ID_NIVEL]=DET_ASIG!$D303)*(MAE_ASIGNATURA[ID_CARRERA]=DET_ASIG!$B303),"No existe información")))</f>
        <v>No existe información</v>
      </c>
    </row>
    <row r="320" spans="1:15">
      <c r="A320" t="str" cm="1">
        <f t="array" ref="A320">TRANSPOSE(_xlfn.UNIQUE(_xlfn._xlws.FILTER(MAE_ASIGNATURA[ID_NIVEL],MAE_ASIGNATURA[ID_CARRERA]=DET_ASIG!$B304,"No existe información")))</f>
        <v>No existe información</v>
      </c>
      <c r="O320" t="str" cm="1">
        <f t="array" ref="O320">TRANSPOSE(_xlfn.UNIQUE(_xlfn._xlws.FILTER(MAE_ASIGNATURA[NOM_ASIG],(MAE_ASIGNATURA[ID_NIVEL]=DET_ASIG!$D304)*(MAE_ASIGNATURA[ID_CARRERA]=DET_ASIG!$B304),"No existe información")))</f>
        <v>No existe información</v>
      </c>
    </row>
    <row r="321" spans="1:15">
      <c r="A321" t="str" cm="1">
        <f t="array" ref="A321">TRANSPOSE(_xlfn.UNIQUE(_xlfn._xlws.FILTER(MAE_ASIGNATURA[ID_NIVEL],MAE_ASIGNATURA[ID_CARRERA]=DET_ASIG!$B305,"No existe información")))</f>
        <v>No existe información</v>
      </c>
      <c r="O321" t="str" cm="1">
        <f t="array" ref="O321">TRANSPOSE(_xlfn.UNIQUE(_xlfn._xlws.FILTER(MAE_ASIGNATURA[NOM_ASIG],(MAE_ASIGNATURA[ID_NIVEL]=DET_ASIG!$D305)*(MAE_ASIGNATURA[ID_CARRERA]=DET_ASIG!$B305),"No existe información")))</f>
        <v>No existe información</v>
      </c>
    </row>
    <row r="322" spans="1:15">
      <c r="A322" t="str" cm="1">
        <f t="array" ref="A322">TRANSPOSE(_xlfn.UNIQUE(_xlfn._xlws.FILTER(MAE_ASIGNATURA[ID_NIVEL],MAE_ASIGNATURA[ID_CARRERA]=DET_ASIG!$B306,"No existe información")))</f>
        <v>No existe información</v>
      </c>
      <c r="O322" t="str" cm="1">
        <f t="array" ref="O322">TRANSPOSE(_xlfn.UNIQUE(_xlfn._xlws.FILTER(MAE_ASIGNATURA[NOM_ASIG],(MAE_ASIGNATURA[ID_NIVEL]=DET_ASIG!$D306)*(MAE_ASIGNATURA[ID_CARRERA]=DET_ASIG!$B306),"No existe información")))</f>
        <v>No existe información</v>
      </c>
    </row>
    <row r="323" spans="1:15">
      <c r="A323" t="str" cm="1">
        <f t="array" ref="A323">TRANSPOSE(_xlfn.UNIQUE(_xlfn._xlws.FILTER(MAE_ASIGNATURA[ID_NIVEL],MAE_ASIGNATURA[ID_CARRERA]=DET_ASIG!$B307,"No existe información")))</f>
        <v>No existe información</v>
      </c>
      <c r="O323" t="str" cm="1">
        <f t="array" ref="O323">TRANSPOSE(_xlfn.UNIQUE(_xlfn._xlws.FILTER(MAE_ASIGNATURA[NOM_ASIG],(MAE_ASIGNATURA[ID_NIVEL]=DET_ASIG!$D307)*(MAE_ASIGNATURA[ID_CARRERA]=DET_ASIG!$B307),"No existe información")))</f>
        <v>No existe información</v>
      </c>
    </row>
    <row r="324" spans="1:15">
      <c r="A324" t="str" cm="1">
        <f t="array" ref="A324">TRANSPOSE(_xlfn.UNIQUE(_xlfn._xlws.FILTER(MAE_ASIGNATURA[ID_NIVEL],MAE_ASIGNATURA[ID_CARRERA]=DET_ASIG!$B308,"No existe información")))</f>
        <v>No existe información</v>
      </c>
      <c r="O324" t="str" cm="1">
        <f t="array" ref="O324">TRANSPOSE(_xlfn.UNIQUE(_xlfn._xlws.FILTER(MAE_ASIGNATURA[NOM_ASIG],(MAE_ASIGNATURA[ID_NIVEL]=DET_ASIG!$D308)*(MAE_ASIGNATURA[ID_CARRERA]=DET_ASIG!$B308),"No existe información")))</f>
        <v>No existe información</v>
      </c>
    </row>
    <row r="325" spans="1:15">
      <c r="A325" t="str" cm="1">
        <f t="array" ref="A325">TRANSPOSE(_xlfn.UNIQUE(_xlfn._xlws.FILTER(MAE_ASIGNATURA[ID_NIVEL],MAE_ASIGNATURA[ID_CARRERA]=DET_ASIG!$B309,"No existe información")))</f>
        <v>No existe información</v>
      </c>
      <c r="O325" t="str" cm="1">
        <f t="array" ref="O325">TRANSPOSE(_xlfn.UNIQUE(_xlfn._xlws.FILTER(MAE_ASIGNATURA[NOM_ASIG],(MAE_ASIGNATURA[ID_NIVEL]=DET_ASIG!$D309)*(MAE_ASIGNATURA[ID_CARRERA]=DET_ASIG!$B309),"No existe información")))</f>
        <v>No existe información</v>
      </c>
    </row>
    <row r="326" spans="1:15">
      <c r="A326" t="str" cm="1">
        <f t="array" ref="A326">TRANSPOSE(_xlfn.UNIQUE(_xlfn._xlws.FILTER(MAE_ASIGNATURA[ID_NIVEL],MAE_ASIGNATURA[ID_CARRERA]=DET_ASIG!$B310,"No existe información")))</f>
        <v>No existe información</v>
      </c>
      <c r="O326" t="str" cm="1">
        <f t="array" ref="O326">TRANSPOSE(_xlfn.UNIQUE(_xlfn._xlws.FILTER(MAE_ASIGNATURA[NOM_ASIG],(MAE_ASIGNATURA[ID_NIVEL]=DET_ASIG!$D310)*(MAE_ASIGNATURA[ID_CARRERA]=DET_ASIG!$B310),"No existe información")))</f>
        <v>No existe información</v>
      </c>
    </row>
    <row r="327" spans="1:15">
      <c r="A327" t="str" cm="1">
        <f t="array" ref="A327">TRANSPOSE(_xlfn.UNIQUE(_xlfn._xlws.FILTER(MAE_ASIGNATURA[ID_NIVEL],MAE_ASIGNATURA[ID_CARRERA]=DET_ASIG!$B311,"No existe información")))</f>
        <v>No existe información</v>
      </c>
      <c r="O327" t="str" cm="1">
        <f t="array" ref="O327">TRANSPOSE(_xlfn.UNIQUE(_xlfn._xlws.FILTER(MAE_ASIGNATURA[NOM_ASIG],(MAE_ASIGNATURA[ID_NIVEL]=DET_ASIG!$D311)*(MAE_ASIGNATURA[ID_CARRERA]=DET_ASIG!$B311),"No existe información")))</f>
        <v>No existe información</v>
      </c>
    </row>
    <row r="328" spans="1:15">
      <c r="A328" t="str" cm="1">
        <f t="array" ref="A328">TRANSPOSE(_xlfn.UNIQUE(_xlfn._xlws.FILTER(MAE_ASIGNATURA[ID_NIVEL],MAE_ASIGNATURA[ID_CARRERA]=DET_ASIG!$B312,"No existe información")))</f>
        <v>No existe información</v>
      </c>
      <c r="O328" t="str" cm="1">
        <f t="array" ref="O328">TRANSPOSE(_xlfn.UNIQUE(_xlfn._xlws.FILTER(MAE_ASIGNATURA[NOM_ASIG],(MAE_ASIGNATURA[ID_NIVEL]=DET_ASIG!$D312)*(MAE_ASIGNATURA[ID_CARRERA]=DET_ASIG!$B312),"No existe información")))</f>
        <v>No existe información</v>
      </c>
    </row>
    <row r="329" spans="1:15">
      <c r="A329" t="str" cm="1">
        <f t="array" ref="A329">TRANSPOSE(_xlfn.UNIQUE(_xlfn._xlws.FILTER(MAE_ASIGNATURA[ID_NIVEL],MAE_ASIGNATURA[ID_CARRERA]=DET_ASIG!$B313,"No existe información")))</f>
        <v>No existe información</v>
      </c>
      <c r="O329" t="str" cm="1">
        <f t="array" ref="O329">TRANSPOSE(_xlfn.UNIQUE(_xlfn._xlws.FILTER(MAE_ASIGNATURA[NOM_ASIG],(MAE_ASIGNATURA[ID_NIVEL]=DET_ASIG!$D313)*(MAE_ASIGNATURA[ID_CARRERA]=DET_ASIG!$B313),"No existe información")))</f>
        <v>No existe información</v>
      </c>
    </row>
    <row r="330" spans="1:15">
      <c r="A330" t="str" cm="1">
        <f t="array" ref="A330">TRANSPOSE(_xlfn.UNIQUE(_xlfn._xlws.FILTER(MAE_ASIGNATURA[ID_NIVEL],MAE_ASIGNATURA[ID_CARRERA]=DET_ASIG!$B314,"No existe información")))</f>
        <v>No existe información</v>
      </c>
      <c r="O330" t="str" cm="1">
        <f t="array" ref="O330">TRANSPOSE(_xlfn.UNIQUE(_xlfn._xlws.FILTER(MAE_ASIGNATURA[NOM_ASIG],(MAE_ASIGNATURA[ID_NIVEL]=DET_ASIG!$D314)*(MAE_ASIGNATURA[ID_CARRERA]=DET_ASIG!$B314),"No existe información")))</f>
        <v>No existe información</v>
      </c>
    </row>
    <row r="331" spans="1:15">
      <c r="A331" t="str" cm="1">
        <f t="array" ref="A331">TRANSPOSE(_xlfn.UNIQUE(_xlfn._xlws.FILTER(MAE_ASIGNATURA[ID_NIVEL],MAE_ASIGNATURA[ID_CARRERA]=DET_ASIG!$B315,"No existe información")))</f>
        <v>No existe información</v>
      </c>
      <c r="O331" t="str" cm="1">
        <f t="array" ref="O331">TRANSPOSE(_xlfn.UNIQUE(_xlfn._xlws.FILTER(MAE_ASIGNATURA[NOM_ASIG],(MAE_ASIGNATURA[ID_NIVEL]=DET_ASIG!$D315)*(MAE_ASIGNATURA[ID_CARRERA]=DET_ASIG!$B315),"No existe información")))</f>
        <v>No existe información</v>
      </c>
    </row>
    <row r="332" spans="1:15">
      <c r="A332" t="str" cm="1">
        <f t="array" ref="A332">TRANSPOSE(_xlfn.UNIQUE(_xlfn._xlws.FILTER(MAE_ASIGNATURA[ID_NIVEL],MAE_ASIGNATURA[ID_CARRERA]=DET_ASIG!$B316,"No existe información")))</f>
        <v>No existe información</v>
      </c>
      <c r="O332" t="str" cm="1">
        <f t="array" ref="O332">TRANSPOSE(_xlfn.UNIQUE(_xlfn._xlws.FILTER(MAE_ASIGNATURA[NOM_ASIG],(MAE_ASIGNATURA[ID_NIVEL]=DET_ASIG!$D316)*(MAE_ASIGNATURA[ID_CARRERA]=DET_ASIG!$B316),"No existe información")))</f>
        <v>No existe información</v>
      </c>
    </row>
    <row r="333" spans="1:15">
      <c r="A333" t="str" cm="1">
        <f t="array" ref="A333">TRANSPOSE(_xlfn.UNIQUE(_xlfn._xlws.FILTER(MAE_ASIGNATURA[ID_NIVEL],MAE_ASIGNATURA[ID_CARRERA]=DET_ASIG!$B317,"No existe información")))</f>
        <v>No existe información</v>
      </c>
      <c r="O333" t="str" cm="1">
        <f t="array" ref="O333">TRANSPOSE(_xlfn.UNIQUE(_xlfn._xlws.FILTER(MAE_ASIGNATURA[NOM_ASIG],(MAE_ASIGNATURA[ID_NIVEL]=DET_ASIG!$D317)*(MAE_ASIGNATURA[ID_CARRERA]=DET_ASIG!$B317),"No existe información")))</f>
        <v>No existe información</v>
      </c>
    </row>
    <row r="334" spans="1:15">
      <c r="A334" t="str" cm="1">
        <f t="array" ref="A334">TRANSPOSE(_xlfn.UNIQUE(_xlfn._xlws.FILTER(MAE_ASIGNATURA[ID_NIVEL],MAE_ASIGNATURA[ID_CARRERA]=DET_ASIG!$B318,"No existe información")))</f>
        <v>No existe información</v>
      </c>
      <c r="O334" t="str" cm="1">
        <f t="array" ref="O334">TRANSPOSE(_xlfn.UNIQUE(_xlfn._xlws.FILTER(MAE_ASIGNATURA[NOM_ASIG],(MAE_ASIGNATURA[ID_NIVEL]=DET_ASIG!$D318)*(MAE_ASIGNATURA[ID_CARRERA]=DET_ASIG!$B318),"No existe información")))</f>
        <v>No existe información</v>
      </c>
    </row>
    <row r="335" spans="1:15">
      <c r="A335" t="str" cm="1">
        <f t="array" ref="A335">TRANSPOSE(_xlfn.UNIQUE(_xlfn._xlws.FILTER(MAE_ASIGNATURA[ID_NIVEL],MAE_ASIGNATURA[ID_CARRERA]=DET_ASIG!$B319,"No existe información")))</f>
        <v>No existe información</v>
      </c>
      <c r="O335" t="str" cm="1">
        <f t="array" ref="O335">TRANSPOSE(_xlfn.UNIQUE(_xlfn._xlws.FILTER(MAE_ASIGNATURA[NOM_ASIG],(MAE_ASIGNATURA[ID_NIVEL]=DET_ASIG!$D319)*(MAE_ASIGNATURA[ID_CARRERA]=DET_ASIG!$B319),"No existe información")))</f>
        <v>No existe información</v>
      </c>
    </row>
    <row r="336" spans="1:15">
      <c r="A336" t="str" cm="1">
        <f t="array" ref="A336">TRANSPOSE(_xlfn.UNIQUE(_xlfn._xlws.FILTER(MAE_ASIGNATURA[ID_NIVEL],MAE_ASIGNATURA[ID_CARRERA]=DET_ASIG!$B320,"No existe información")))</f>
        <v>No existe información</v>
      </c>
      <c r="O336" t="str" cm="1">
        <f t="array" ref="O336">TRANSPOSE(_xlfn.UNIQUE(_xlfn._xlws.FILTER(MAE_ASIGNATURA[NOM_ASIG],(MAE_ASIGNATURA[ID_NIVEL]=DET_ASIG!$D320)*(MAE_ASIGNATURA[ID_CARRERA]=DET_ASIG!$B320),"No existe información")))</f>
        <v>No existe información</v>
      </c>
    </row>
    <row r="337" spans="1:15">
      <c r="A337" t="str" cm="1">
        <f t="array" ref="A337">TRANSPOSE(_xlfn.UNIQUE(_xlfn._xlws.FILTER(MAE_ASIGNATURA[ID_NIVEL],MAE_ASIGNATURA[ID_CARRERA]=DET_ASIG!$B321,"No existe información")))</f>
        <v>No existe información</v>
      </c>
      <c r="O337" t="str" cm="1">
        <f t="array" ref="O337">TRANSPOSE(_xlfn.UNIQUE(_xlfn._xlws.FILTER(MAE_ASIGNATURA[NOM_ASIG],(MAE_ASIGNATURA[ID_NIVEL]=DET_ASIG!$D321)*(MAE_ASIGNATURA[ID_CARRERA]=DET_ASIG!$B321),"No existe información")))</f>
        <v>No existe información</v>
      </c>
    </row>
    <row r="338" spans="1:15">
      <c r="A338" t="str" cm="1">
        <f t="array" ref="A338">TRANSPOSE(_xlfn.UNIQUE(_xlfn._xlws.FILTER(MAE_ASIGNATURA[ID_NIVEL],MAE_ASIGNATURA[ID_CARRERA]=DET_ASIG!$B322,"No existe información")))</f>
        <v>No existe información</v>
      </c>
      <c r="O338" t="str" cm="1">
        <f t="array" ref="O338">TRANSPOSE(_xlfn.UNIQUE(_xlfn._xlws.FILTER(MAE_ASIGNATURA[NOM_ASIG],(MAE_ASIGNATURA[ID_NIVEL]=DET_ASIG!$D322)*(MAE_ASIGNATURA[ID_CARRERA]=DET_ASIG!$B322),"No existe información")))</f>
        <v>No existe información</v>
      </c>
    </row>
    <row r="339" spans="1:15">
      <c r="A339" t="str" cm="1">
        <f t="array" ref="A339">TRANSPOSE(_xlfn.UNIQUE(_xlfn._xlws.FILTER(MAE_ASIGNATURA[ID_NIVEL],MAE_ASIGNATURA[ID_CARRERA]=DET_ASIG!$B323,"No existe información")))</f>
        <v>No existe información</v>
      </c>
      <c r="O339" t="str" cm="1">
        <f t="array" ref="O339">TRANSPOSE(_xlfn.UNIQUE(_xlfn._xlws.FILTER(MAE_ASIGNATURA[NOM_ASIG],(MAE_ASIGNATURA[ID_NIVEL]=DET_ASIG!$D323)*(MAE_ASIGNATURA[ID_CARRERA]=DET_ASIG!$B323),"No existe información")))</f>
        <v>No existe información</v>
      </c>
    </row>
    <row r="340" spans="1:15">
      <c r="A340" t="str" cm="1">
        <f t="array" ref="A340">TRANSPOSE(_xlfn.UNIQUE(_xlfn._xlws.FILTER(MAE_ASIGNATURA[ID_NIVEL],MAE_ASIGNATURA[ID_CARRERA]=DET_ASIG!$B324,"No existe información")))</f>
        <v>No existe información</v>
      </c>
      <c r="O340" t="str" cm="1">
        <f t="array" ref="O340">TRANSPOSE(_xlfn.UNIQUE(_xlfn._xlws.FILTER(MAE_ASIGNATURA[NOM_ASIG],(MAE_ASIGNATURA[ID_NIVEL]=DET_ASIG!$D324)*(MAE_ASIGNATURA[ID_CARRERA]=DET_ASIG!$B324),"No existe información")))</f>
        <v>No existe información</v>
      </c>
    </row>
    <row r="341" spans="1:15">
      <c r="A341" t="str" cm="1">
        <f t="array" ref="A341">TRANSPOSE(_xlfn.UNIQUE(_xlfn._xlws.FILTER(MAE_ASIGNATURA[ID_NIVEL],MAE_ASIGNATURA[ID_CARRERA]=DET_ASIG!$B325,"No existe información")))</f>
        <v>No existe información</v>
      </c>
      <c r="O341" t="str" cm="1">
        <f t="array" ref="O341">TRANSPOSE(_xlfn.UNIQUE(_xlfn._xlws.FILTER(MAE_ASIGNATURA[NOM_ASIG],(MAE_ASIGNATURA[ID_NIVEL]=DET_ASIG!$D325)*(MAE_ASIGNATURA[ID_CARRERA]=DET_ASIG!$B325),"No existe información")))</f>
        <v>No existe información</v>
      </c>
    </row>
    <row r="342" spans="1:15">
      <c r="A342" t="str" cm="1">
        <f t="array" ref="A342">TRANSPOSE(_xlfn.UNIQUE(_xlfn._xlws.FILTER(MAE_ASIGNATURA[ID_NIVEL],MAE_ASIGNATURA[ID_CARRERA]=DET_ASIG!$B326,"No existe información")))</f>
        <v>No existe información</v>
      </c>
      <c r="O342" t="str" cm="1">
        <f t="array" ref="O342">TRANSPOSE(_xlfn.UNIQUE(_xlfn._xlws.FILTER(MAE_ASIGNATURA[NOM_ASIG],(MAE_ASIGNATURA[ID_NIVEL]=DET_ASIG!$D326)*(MAE_ASIGNATURA[ID_CARRERA]=DET_ASIG!$B326),"No existe información")))</f>
        <v>No existe información</v>
      </c>
    </row>
    <row r="343" spans="1:15">
      <c r="A343" t="str" cm="1">
        <f t="array" ref="A343">TRANSPOSE(_xlfn.UNIQUE(_xlfn._xlws.FILTER(MAE_ASIGNATURA[ID_NIVEL],MAE_ASIGNATURA[ID_CARRERA]=DET_ASIG!$B327,"No existe información")))</f>
        <v>No existe información</v>
      </c>
      <c r="O343" t="str" cm="1">
        <f t="array" ref="O343">TRANSPOSE(_xlfn.UNIQUE(_xlfn._xlws.FILTER(MAE_ASIGNATURA[NOM_ASIG],(MAE_ASIGNATURA[ID_NIVEL]=DET_ASIG!$D327)*(MAE_ASIGNATURA[ID_CARRERA]=DET_ASIG!$B327),"No existe información")))</f>
        <v>No existe información</v>
      </c>
    </row>
    <row r="344" spans="1:15">
      <c r="A344" t="str" cm="1">
        <f t="array" ref="A344">TRANSPOSE(_xlfn.UNIQUE(_xlfn._xlws.FILTER(MAE_ASIGNATURA[ID_NIVEL],MAE_ASIGNATURA[ID_CARRERA]=DET_ASIG!$B328,"No existe información")))</f>
        <v>No existe información</v>
      </c>
      <c r="O344" t="str" cm="1">
        <f t="array" ref="O344">TRANSPOSE(_xlfn.UNIQUE(_xlfn._xlws.FILTER(MAE_ASIGNATURA[NOM_ASIG],(MAE_ASIGNATURA[ID_NIVEL]=DET_ASIG!$D328)*(MAE_ASIGNATURA[ID_CARRERA]=DET_ASIG!$B328),"No existe información")))</f>
        <v>No existe información</v>
      </c>
    </row>
    <row r="345" spans="1:15">
      <c r="A345" t="str" cm="1">
        <f t="array" ref="A345">TRANSPOSE(_xlfn.UNIQUE(_xlfn._xlws.FILTER(MAE_ASIGNATURA[ID_NIVEL],MAE_ASIGNATURA[ID_CARRERA]=DET_ASIG!$B329,"No existe información")))</f>
        <v>No existe información</v>
      </c>
      <c r="O345" t="str" cm="1">
        <f t="array" ref="O345">TRANSPOSE(_xlfn.UNIQUE(_xlfn._xlws.FILTER(MAE_ASIGNATURA[NOM_ASIG],(MAE_ASIGNATURA[ID_NIVEL]=DET_ASIG!$D329)*(MAE_ASIGNATURA[ID_CARRERA]=DET_ASIG!$B329),"No existe información")))</f>
        <v>No existe información</v>
      </c>
    </row>
    <row r="346" spans="1:15">
      <c r="A346" t="str" cm="1">
        <f t="array" ref="A346">TRANSPOSE(_xlfn.UNIQUE(_xlfn._xlws.FILTER(MAE_ASIGNATURA[ID_NIVEL],MAE_ASIGNATURA[ID_CARRERA]=DET_ASIG!$B330,"No existe información")))</f>
        <v>No existe información</v>
      </c>
      <c r="O346" t="str" cm="1">
        <f t="array" ref="O346">TRANSPOSE(_xlfn.UNIQUE(_xlfn._xlws.FILTER(MAE_ASIGNATURA[NOM_ASIG],(MAE_ASIGNATURA[ID_NIVEL]=DET_ASIG!$D330)*(MAE_ASIGNATURA[ID_CARRERA]=DET_ASIG!$B330),"No existe información")))</f>
        <v>No existe información</v>
      </c>
    </row>
    <row r="347" spans="1:15">
      <c r="A347" t="str" cm="1">
        <f t="array" ref="A347">TRANSPOSE(_xlfn.UNIQUE(_xlfn._xlws.FILTER(MAE_ASIGNATURA[ID_NIVEL],MAE_ASIGNATURA[ID_CARRERA]=DET_ASIG!$B331,"No existe información")))</f>
        <v>No existe información</v>
      </c>
      <c r="O347" t="str" cm="1">
        <f t="array" ref="O347">TRANSPOSE(_xlfn.UNIQUE(_xlfn._xlws.FILTER(MAE_ASIGNATURA[NOM_ASIG],(MAE_ASIGNATURA[ID_NIVEL]=DET_ASIG!$D331)*(MAE_ASIGNATURA[ID_CARRERA]=DET_ASIG!$B331),"No existe información")))</f>
        <v>No existe información</v>
      </c>
    </row>
    <row r="348" spans="1:15">
      <c r="A348" t="str" cm="1">
        <f t="array" ref="A348">TRANSPOSE(_xlfn.UNIQUE(_xlfn._xlws.FILTER(MAE_ASIGNATURA[ID_NIVEL],MAE_ASIGNATURA[ID_CARRERA]=DET_ASIG!$B332,"No existe información")))</f>
        <v>No existe información</v>
      </c>
      <c r="O348" t="str" cm="1">
        <f t="array" ref="O348">TRANSPOSE(_xlfn.UNIQUE(_xlfn._xlws.FILTER(MAE_ASIGNATURA[NOM_ASIG],(MAE_ASIGNATURA[ID_NIVEL]=DET_ASIG!$D332)*(MAE_ASIGNATURA[ID_CARRERA]=DET_ASIG!$B332),"No existe información")))</f>
        <v>No existe información</v>
      </c>
    </row>
    <row r="349" spans="1:15">
      <c r="A349" t="str" cm="1">
        <f t="array" ref="A349">TRANSPOSE(_xlfn.UNIQUE(_xlfn._xlws.FILTER(MAE_ASIGNATURA[ID_NIVEL],MAE_ASIGNATURA[ID_CARRERA]=DET_ASIG!$B333,"No existe información")))</f>
        <v>No existe información</v>
      </c>
      <c r="O349" t="str" cm="1">
        <f t="array" ref="O349">TRANSPOSE(_xlfn.UNIQUE(_xlfn._xlws.FILTER(MAE_ASIGNATURA[NOM_ASIG],(MAE_ASIGNATURA[ID_NIVEL]=DET_ASIG!$D333)*(MAE_ASIGNATURA[ID_CARRERA]=DET_ASIG!$B333),"No existe información")))</f>
        <v>No existe información</v>
      </c>
    </row>
    <row r="350" spans="1:15">
      <c r="A350" t="str" cm="1">
        <f t="array" ref="A350">TRANSPOSE(_xlfn.UNIQUE(_xlfn._xlws.FILTER(MAE_ASIGNATURA[ID_NIVEL],MAE_ASIGNATURA[ID_CARRERA]=DET_ASIG!$B334,"No existe información")))</f>
        <v>No existe información</v>
      </c>
      <c r="O350" t="str" cm="1">
        <f t="array" ref="O350">TRANSPOSE(_xlfn.UNIQUE(_xlfn._xlws.FILTER(MAE_ASIGNATURA[NOM_ASIG],(MAE_ASIGNATURA[ID_NIVEL]=DET_ASIG!$D334)*(MAE_ASIGNATURA[ID_CARRERA]=DET_ASIG!$B334),"No existe información")))</f>
        <v>No existe información</v>
      </c>
    </row>
    <row r="351" spans="1:15">
      <c r="A351" t="str" cm="1">
        <f t="array" ref="A351">TRANSPOSE(_xlfn.UNIQUE(_xlfn._xlws.FILTER(MAE_ASIGNATURA[ID_NIVEL],MAE_ASIGNATURA[ID_CARRERA]=DET_ASIG!$B335,"No existe información")))</f>
        <v>No existe información</v>
      </c>
      <c r="O351" t="str" cm="1">
        <f t="array" ref="O351">TRANSPOSE(_xlfn.UNIQUE(_xlfn._xlws.FILTER(MAE_ASIGNATURA[NOM_ASIG],(MAE_ASIGNATURA[ID_NIVEL]=DET_ASIG!$D335)*(MAE_ASIGNATURA[ID_CARRERA]=DET_ASIG!$B335),"No existe información")))</f>
        <v>No existe información</v>
      </c>
    </row>
    <row r="352" spans="1:15">
      <c r="A352" t="str" cm="1">
        <f t="array" ref="A352">TRANSPOSE(_xlfn.UNIQUE(_xlfn._xlws.FILTER(MAE_ASIGNATURA[ID_NIVEL],MAE_ASIGNATURA[ID_CARRERA]=DET_ASIG!$B336,"No existe información")))</f>
        <v>No existe información</v>
      </c>
      <c r="O352" t="str" cm="1">
        <f t="array" ref="O352">TRANSPOSE(_xlfn.UNIQUE(_xlfn._xlws.FILTER(MAE_ASIGNATURA[NOM_ASIG],(MAE_ASIGNATURA[ID_NIVEL]=DET_ASIG!$D336)*(MAE_ASIGNATURA[ID_CARRERA]=DET_ASIG!$B336),"No existe información")))</f>
        <v>No existe información</v>
      </c>
    </row>
    <row r="353" spans="1:15">
      <c r="A353" t="str" cm="1">
        <f t="array" ref="A353">TRANSPOSE(_xlfn.UNIQUE(_xlfn._xlws.FILTER(MAE_ASIGNATURA[ID_NIVEL],MAE_ASIGNATURA[ID_CARRERA]=DET_ASIG!$B337,"No existe información")))</f>
        <v>No existe información</v>
      </c>
      <c r="O353" t="str" cm="1">
        <f t="array" ref="O353">TRANSPOSE(_xlfn.UNIQUE(_xlfn._xlws.FILTER(MAE_ASIGNATURA[NOM_ASIG],(MAE_ASIGNATURA[ID_NIVEL]=DET_ASIG!$D337)*(MAE_ASIGNATURA[ID_CARRERA]=DET_ASIG!$B337),"No existe información")))</f>
        <v>No existe información</v>
      </c>
    </row>
    <row r="354" spans="1:15">
      <c r="A354" t="str" cm="1">
        <f t="array" ref="A354">TRANSPOSE(_xlfn.UNIQUE(_xlfn._xlws.FILTER(MAE_ASIGNATURA[ID_NIVEL],MAE_ASIGNATURA[ID_CARRERA]=DET_ASIG!$B338,"No existe información")))</f>
        <v>No existe información</v>
      </c>
      <c r="O354" t="str" cm="1">
        <f t="array" ref="O354">TRANSPOSE(_xlfn.UNIQUE(_xlfn._xlws.FILTER(MAE_ASIGNATURA[NOM_ASIG],(MAE_ASIGNATURA[ID_NIVEL]=DET_ASIG!$D338)*(MAE_ASIGNATURA[ID_CARRERA]=DET_ASIG!$B338),"No existe información")))</f>
        <v>No existe información</v>
      </c>
    </row>
    <row r="355" spans="1:15">
      <c r="A355" t="str" cm="1">
        <f t="array" ref="A355">TRANSPOSE(_xlfn.UNIQUE(_xlfn._xlws.FILTER(MAE_ASIGNATURA[ID_NIVEL],MAE_ASIGNATURA[ID_CARRERA]=DET_ASIG!$B339,"No existe información")))</f>
        <v>No existe información</v>
      </c>
      <c r="O355" t="str" cm="1">
        <f t="array" ref="O355">TRANSPOSE(_xlfn.UNIQUE(_xlfn._xlws.FILTER(MAE_ASIGNATURA[NOM_ASIG],(MAE_ASIGNATURA[ID_NIVEL]=DET_ASIG!$D339)*(MAE_ASIGNATURA[ID_CARRERA]=DET_ASIG!$B339),"No existe información")))</f>
        <v>No existe información</v>
      </c>
    </row>
    <row r="356" spans="1:15">
      <c r="A356" t="str" cm="1">
        <f t="array" ref="A356">TRANSPOSE(_xlfn.UNIQUE(_xlfn._xlws.FILTER(MAE_ASIGNATURA[ID_NIVEL],MAE_ASIGNATURA[ID_CARRERA]=DET_ASIG!$B340,"No existe información")))</f>
        <v>No existe información</v>
      </c>
      <c r="O356" t="str" cm="1">
        <f t="array" ref="O356">TRANSPOSE(_xlfn.UNIQUE(_xlfn._xlws.FILTER(MAE_ASIGNATURA[NOM_ASIG],(MAE_ASIGNATURA[ID_NIVEL]=DET_ASIG!$D340)*(MAE_ASIGNATURA[ID_CARRERA]=DET_ASIG!$B340),"No existe información")))</f>
        <v>No existe información</v>
      </c>
    </row>
    <row r="357" spans="1:15">
      <c r="A357" t="str" cm="1">
        <f t="array" ref="A357">TRANSPOSE(_xlfn.UNIQUE(_xlfn._xlws.FILTER(MAE_ASIGNATURA[ID_NIVEL],MAE_ASIGNATURA[ID_CARRERA]=DET_ASIG!$B341,"No existe información")))</f>
        <v>No existe información</v>
      </c>
      <c r="O357" t="str" cm="1">
        <f t="array" ref="O357">TRANSPOSE(_xlfn.UNIQUE(_xlfn._xlws.FILTER(MAE_ASIGNATURA[NOM_ASIG],(MAE_ASIGNATURA[ID_NIVEL]=DET_ASIG!$D341)*(MAE_ASIGNATURA[ID_CARRERA]=DET_ASIG!$B341),"No existe información")))</f>
        <v>No existe información</v>
      </c>
    </row>
    <row r="358" spans="1:15">
      <c r="A358" t="str" cm="1">
        <f t="array" ref="A358">TRANSPOSE(_xlfn.UNIQUE(_xlfn._xlws.FILTER(MAE_ASIGNATURA[ID_NIVEL],MAE_ASIGNATURA[ID_CARRERA]=DET_ASIG!$B342,"No existe información")))</f>
        <v>No existe información</v>
      </c>
      <c r="O358" t="str" cm="1">
        <f t="array" ref="O358">TRANSPOSE(_xlfn.UNIQUE(_xlfn._xlws.FILTER(MAE_ASIGNATURA[NOM_ASIG],(MAE_ASIGNATURA[ID_NIVEL]=DET_ASIG!$D342)*(MAE_ASIGNATURA[ID_CARRERA]=DET_ASIG!$B342),"No existe información")))</f>
        <v>No existe información</v>
      </c>
    </row>
    <row r="359" spans="1:15">
      <c r="A359" t="str" cm="1">
        <f t="array" ref="A359">TRANSPOSE(_xlfn.UNIQUE(_xlfn._xlws.FILTER(MAE_ASIGNATURA[ID_NIVEL],MAE_ASIGNATURA[ID_CARRERA]=DET_ASIG!$B343,"No existe información")))</f>
        <v>No existe información</v>
      </c>
      <c r="O359" t="str" cm="1">
        <f t="array" ref="O359">TRANSPOSE(_xlfn.UNIQUE(_xlfn._xlws.FILTER(MAE_ASIGNATURA[NOM_ASIG],(MAE_ASIGNATURA[ID_NIVEL]=DET_ASIG!$D343)*(MAE_ASIGNATURA[ID_CARRERA]=DET_ASIG!$B343),"No existe información")))</f>
        <v>No existe información</v>
      </c>
    </row>
    <row r="360" spans="1:15">
      <c r="A360" t="str" cm="1">
        <f t="array" ref="A360">TRANSPOSE(_xlfn.UNIQUE(_xlfn._xlws.FILTER(MAE_ASIGNATURA[ID_NIVEL],MAE_ASIGNATURA[ID_CARRERA]=DET_ASIG!$B344,"No existe información")))</f>
        <v>No existe información</v>
      </c>
      <c r="O360" t="str" cm="1">
        <f t="array" ref="O360">TRANSPOSE(_xlfn.UNIQUE(_xlfn._xlws.FILTER(MAE_ASIGNATURA[NOM_ASIG],(MAE_ASIGNATURA[ID_NIVEL]=DET_ASIG!$D344)*(MAE_ASIGNATURA[ID_CARRERA]=DET_ASIG!$B344),"No existe información")))</f>
        <v>No existe información</v>
      </c>
    </row>
    <row r="361" spans="1:15">
      <c r="A361" t="str" cm="1">
        <f t="array" ref="A361">TRANSPOSE(_xlfn.UNIQUE(_xlfn._xlws.FILTER(MAE_ASIGNATURA[ID_NIVEL],MAE_ASIGNATURA[ID_CARRERA]=DET_ASIG!$B345,"No existe información")))</f>
        <v>No existe información</v>
      </c>
      <c r="O361" t="str" cm="1">
        <f t="array" ref="O361">TRANSPOSE(_xlfn.UNIQUE(_xlfn._xlws.FILTER(MAE_ASIGNATURA[NOM_ASIG],(MAE_ASIGNATURA[ID_NIVEL]=DET_ASIG!$D345)*(MAE_ASIGNATURA[ID_CARRERA]=DET_ASIG!$B345),"No existe información")))</f>
        <v>No existe información</v>
      </c>
    </row>
    <row r="362" spans="1:15">
      <c r="A362" t="str" cm="1">
        <f t="array" ref="A362">TRANSPOSE(_xlfn.UNIQUE(_xlfn._xlws.FILTER(MAE_ASIGNATURA[ID_NIVEL],MAE_ASIGNATURA[ID_CARRERA]=DET_ASIG!$B346,"No existe información")))</f>
        <v>No existe información</v>
      </c>
      <c r="O362" t="str" cm="1">
        <f t="array" ref="O362">TRANSPOSE(_xlfn.UNIQUE(_xlfn._xlws.FILTER(MAE_ASIGNATURA[NOM_ASIG],(MAE_ASIGNATURA[ID_NIVEL]=DET_ASIG!$D346)*(MAE_ASIGNATURA[ID_CARRERA]=DET_ASIG!$B346),"No existe información")))</f>
        <v>No existe información</v>
      </c>
    </row>
    <row r="363" spans="1:15">
      <c r="A363" t="str" cm="1">
        <f t="array" ref="A363">TRANSPOSE(_xlfn.UNIQUE(_xlfn._xlws.FILTER(MAE_ASIGNATURA[ID_NIVEL],MAE_ASIGNATURA[ID_CARRERA]=DET_ASIG!$B347,"No existe información")))</f>
        <v>No existe información</v>
      </c>
      <c r="O363" t="str" cm="1">
        <f t="array" ref="O363">TRANSPOSE(_xlfn.UNIQUE(_xlfn._xlws.FILTER(MAE_ASIGNATURA[NOM_ASIG],(MAE_ASIGNATURA[ID_NIVEL]=DET_ASIG!$D347)*(MAE_ASIGNATURA[ID_CARRERA]=DET_ASIG!$B347),"No existe información")))</f>
        <v>No existe información</v>
      </c>
    </row>
    <row r="364" spans="1:15">
      <c r="A364" t="str" cm="1">
        <f t="array" ref="A364">TRANSPOSE(_xlfn.UNIQUE(_xlfn._xlws.FILTER(MAE_ASIGNATURA[ID_NIVEL],MAE_ASIGNATURA[ID_CARRERA]=DET_ASIG!$B348,"No existe información")))</f>
        <v>No existe información</v>
      </c>
      <c r="O364" t="str" cm="1">
        <f t="array" ref="O364">TRANSPOSE(_xlfn.UNIQUE(_xlfn._xlws.FILTER(MAE_ASIGNATURA[NOM_ASIG],(MAE_ASIGNATURA[ID_NIVEL]=DET_ASIG!$D348)*(MAE_ASIGNATURA[ID_CARRERA]=DET_ASIG!$B348),"No existe información")))</f>
        <v>No existe información</v>
      </c>
    </row>
    <row r="365" spans="1:15">
      <c r="A365" t="str" cm="1">
        <f t="array" ref="A365">TRANSPOSE(_xlfn.UNIQUE(_xlfn._xlws.FILTER(MAE_ASIGNATURA[ID_NIVEL],MAE_ASIGNATURA[ID_CARRERA]=DET_ASIG!$B349,"No existe información")))</f>
        <v>No existe información</v>
      </c>
      <c r="O365" t="str" cm="1">
        <f t="array" ref="O365">TRANSPOSE(_xlfn.UNIQUE(_xlfn._xlws.FILTER(MAE_ASIGNATURA[NOM_ASIG],(MAE_ASIGNATURA[ID_NIVEL]=DET_ASIG!$D349)*(MAE_ASIGNATURA[ID_CARRERA]=DET_ASIG!$B349),"No existe información")))</f>
        <v>No existe información</v>
      </c>
    </row>
    <row r="366" spans="1:15">
      <c r="A366" t="str" cm="1">
        <f t="array" ref="A366">TRANSPOSE(_xlfn.UNIQUE(_xlfn._xlws.FILTER(MAE_ASIGNATURA[ID_NIVEL],MAE_ASIGNATURA[ID_CARRERA]=DET_ASIG!$B350,"No existe información")))</f>
        <v>No existe información</v>
      </c>
      <c r="O366" t="str" cm="1">
        <f t="array" ref="O366">TRANSPOSE(_xlfn.UNIQUE(_xlfn._xlws.FILTER(MAE_ASIGNATURA[NOM_ASIG],(MAE_ASIGNATURA[ID_NIVEL]=DET_ASIG!$D350)*(MAE_ASIGNATURA[ID_CARRERA]=DET_ASIG!$B350),"No existe información")))</f>
        <v>No existe información</v>
      </c>
    </row>
    <row r="367" spans="1:15">
      <c r="A367" t="str" cm="1">
        <f t="array" ref="A367">TRANSPOSE(_xlfn.UNIQUE(_xlfn._xlws.FILTER(MAE_ASIGNATURA[ID_NIVEL],MAE_ASIGNATURA[ID_CARRERA]=DET_ASIG!$B351,"No existe información")))</f>
        <v>No existe información</v>
      </c>
      <c r="O367" t="str" cm="1">
        <f t="array" ref="O367">TRANSPOSE(_xlfn.UNIQUE(_xlfn._xlws.FILTER(MAE_ASIGNATURA[NOM_ASIG],(MAE_ASIGNATURA[ID_NIVEL]=DET_ASIG!$D351)*(MAE_ASIGNATURA[ID_CARRERA]=DET_ASIG!$B351),"No existe información")))</f>
        <v>No existe información</v>
      </c>
    </row>
    <row r="368" spans="1:15">
      <c r="A368" t="str" cm="1">
        <f t="array" ref="A368">TRANSPOSE(_xlfn.UNIQUE(_xlfn._xlws.FILTER(MAE_ASIGNATURA[ID_NIVEL],MAE_ASIGNATURA[ID_CARRERA]=DET_ASIG!$B352,"No existe información")))</f>
        <v>No existe información</v>
      </c>
      <c r="O368" t="str" cm="1">
        <f t="array" ref="O368">TRANSPOSE(_xlfn.UNIQUE(_xlfn._xlws.FILTER(MAE_ASIGNATURA[NOM_ASIG],(MAE_ASIGNATURA[ID_NIVEL]=DET_ASIG!$D352)*(MAE_ASIGNATURA[ID_CARRERA]=DET_ASIG!$B352),"No existe información")))</f>
        <v>No existe información</v>
      </c>
    </row>
    <row r="369" spans="1:15">
      <c r="A369" t="str" cm="1">
        <f t="array" ref="A369">TRANSPOSE(_xlfn.UNIQUE(_xlfn._xlws.FILTER(MAE_ASIGNATURA[ID_NIVEL],MAE_ASIGNATURA[ID_CARRERA]=DET_ASIG!$B353,"No existe información")))</f>
        <v>No existe información</v>
      </c>
      <c r="O369" t="str" cm="1">
        <f t="array" ref="O369">TRANSPOSE(_xlfn.UNIQUE(_xlfn._xlws.FILTER(MAE_ASIGNATURA[NOM_ASIG],(MAE_ASIGNATURA[ID_NIVEL]=DET_ASIG!$D353)*(MAE_ASIGNATURA[ID_CARRERA]=DET_ASIG!$B353),"No existe información")))</f>
        <v>No existe información</v>
      </c>
    </row>
    <row r="370" spans="1:15">
      <c r="A370" t="str" cm="1">
        <f t="array" ref="A370">TRANSPOSE(_xlfn.UNIQUE(_xlfn._xlws.FILTER(MAE_ASIGNATURA[ID_NIVEL],MAE_ASIGNATURA[ID_CARRERA]=DET_ASIG!$B354,"No existe información")))</f>
        <v>No existe información</v>
      </c>
      <c r="O370" t="str" cm="1">
        <f t="array" ref="O370">TRANSPOSE(_xlfn.UNIQUE(_xlfn._xlws.FILTER(MAE_ASIGNATURA[NOM_ASIG],(MAE_ASIGNATURA[ID_NIVEL]=DET_ASIG!$D354)*(MAE_ASIGNATURA[ID_CARRERA]=DET_ASIG!$B354),"No existe información")))</f>
        <v>No existe información</v>
      </c>
    </row>
    <row r="371" spans="1:15">
      <c r="A371" t="str" cm="1">
        <f t="array" ref="A371">TRANSPOSE(_xlfn.UNIQUE(_xlfn._xlws.FILTER(MAE_ASIGNATURA[ID_NIVEL],MAE_ASIGNATURA[ID_CARRERA]=DET_ASIG!$B355,"No existe información")))</f>
        <v>No existe información</v>
      </c>
      <c r="O371" t="str" cm="1">
        <f t="array" ref="O371">TRANSPOSE(_xlfn.UNIQUE(_xlfn._xlws.FILTER(MAE_ASIGNATURA[NOM_ASIG],(MAE_ASIGNATURA[ID_NIVEL]=DET_ASIG!$D355)*(MAE_ASIGNATURA[ID_CARRERA]=DET_ASIG!$B355),"No existe información")))</f>
        <v>No existe información</v>
      </c>
    </row>
    <row r="372" spans="1:15">
      <c r="A372" t="str" cm="1">
        <f t="array" ref="A372">TRANSPOSE(_xlfn.UNIQUE(_xlfn._xlws.FILTER(MAE_ASIGNATURA[ID_NIVEL],MAE_ASIGNATURA[ID_CARRERA]=DET_ASIG!$B356,"No existe información")))</f>
        <v>No existe información</v>
      </c>
      <c r="O372" t="str" cm="1">
        <f t="array" ref="O372">TRANSPOSE(_xlfn.UNIQUE(_xlfn._xlws.FILTER(MAE_ASIGNATURA[NOM_ASIG],(MAE_ASIGNATURA[ID_NIVEL]=DET_ASIG!$D356)*(MAE_ASIGNATURA[ID_CARRERA]=DET_ASIG!$B356),"No existe información")))</f>
        <v>No existe información</v>
      </c>
    </row>
    <row r="373" spans="1:15">
      <c r="A373" t="str" cm="1">
        <f t="array" ref="A373">TRANSPOSE(_xlfn.UNIQUE(_xlfn._xlws.FILTER(MAE_ASIGNATURA[ID_NIVEL],MAE_ASIGNATURA[ID_CARRERA]=DET_ASIG!$B357,"No existe información")))</f>
        <v>No existe información</v>
      </c>
      <c r="O373" t="str" cm="1">
        <f t="array" ref="O373">TRANSPOSE(_xlfn.UNIQUE(_xlfn._xlws.FILTER(MAE_ASIGNATURA[NOM_ASIG],(MAE_ASIGNATURA[ID_NIVEL]=DET_ASIG!$D357)*(MAE_ASIGNATURA[ID_CARRERA]=DET_ASIG!$B357),"No existe información")))</f>
        <v>No existe información</v>
      </c>
    </row>
    <row r="374" spans="1:15">
      <c r="A374" t="str" cm="1">
        <f t="array" ref="A374">TRANSPOSE(_xlfn.UNIQUE(_xlfn._xlws.FILTER(MAE_ASIGNATURA[ID_NIVEL],MAE_ASIGNATURA[ID_CARRERA]=DET_ASIG!$B358,"No existe información")))</f>
        <v>No existe información</v>
      </c>
      <c r="O374" t="str" cm="1">
        <f t="array" ref="O374">TRANSPOSE(_xlfn.UNIQUE(_xlfn._xlws.FILTER(MAE_ASIGNATURA[NOM_ASIG],(MAE_ASIGNATURA[ID_NIVEL]=DET_ASIG!$D358)*(MAE_ASIGNATURA[ID_CARRERA]=DET_ASIG!$B358),"No existe información")))</f>
        <v>No existe información</v>
      </c>
    </row>
    <row r="375" spans="1:15">
      <c r="A375" t="str" cm="1">
        <f t="array" ref="A375">TRANSPOSE(_xlfn.UNIQUE(_xlfn._xlws.FILTER(MAE_ASIGNATURA[ID_NIVEL],MAE_ASIGNATURA[ID_CARRERA]=DET_ASIG!$B359,"No existe información")))</f>
        <v>No existe información</v>
      </c>
      <c r="O375" t="str" cm="1">
        <f t="array" ref="O375">TRANSPOSE(_xlfn.UNIQUE(_xlfn._xlws.FILTER(MAE_ASIGNATURA[NOM_ASIG],(MAE_ASIGNATURA[ID_NIVEL]=DET_ASIG!$D359)*(MAE_ASIGNATURA[ID_CARRERA]=DET_ASIG!$B359),"No existe información")))</f>
        <v>No existe información</v>
      </c>
    </row>
    <row r="376" spans="1:15">
      <c r="A376" t="str" cm="1">
        <f t="array" ref="A376">TRANSPOSE(_xlfn.UNIQUE(_xlfn._xlws.FILTER(MAE_ASIGNATURA[ID_NIVEL],MAE_ASIGNATURA[ID_CARRERA]=DET_ASIG!$B360,"No existe información")))</f>
        <v>No existe información</v>
      </c>
      <c r="O376" t="str" cm="1">
        <f t="array" ref="O376">TRANSPOSE(_xlfn.UNIQUE(_xlfn._xlws.FILTER(MAE_ASIGNATURA[NOM_ASIG],(MAE_ASIGNATURA[ID_NIVEL]=DET_ASIG!$D360)*(MAE_ASIGNATURA[ID_CARRERA]=DET_ASIG!$B360),"No existe información")))</f>
        <v>No existe información</v>
      </c>
    </row>
    <row r="377" spans="1:15">
      <c r="A377" t="str" cm="1">
        <f t="array" ref="A377">TRANSPOSE(_xlfn.UNIQUE(_xlfn._xlws.FILTER(MAE_ASIGNATURA[ID_NIVEL],MAE_ASIGNATURA[ID_CARRERA]=DET_ASIG!$B361,"No existe información")))</f>
        <v>No existe información</v>
      </c>
      <c r="O377" t="str" cm="1">
        <f t="array" ref="O377">TRANSPOSE(_xlfn.UNIQUE(_xlfn._xlws.FILTER(MAE_ASIGNATURA[NOM_ASIG],(MAE_ASIGNATURA[ID_NIVEL]=DET_ASIG!$D361)*(MAE_ASIGNATURA[ID_CARRERA]=DET_ASIG!$B361),"No existe información")))</f>
        <v>No existe información</v>
      </c>
    </row>
    <row r="378" spans="1:15">
      <c r="A378" t="str" cm="1">
        <f t="array" ref="A378">TRANSPOSE(_xlfn.UNIQUE(_xlfn._xlws.FILTER(MAE_ASIGNATURA[ID_NIVEL],MAE_ASIGNATURA[ID_CARRERA]=DET_ASIG!$B362,"No existe información")))</f>
        <v>No existe información</v>
      </c>
      <c r="O378" t="str" cm="1">
        <f t="array" ref="O378">TRANSPOSE(_xlfn.UNIQUE(_xlfn._xlws.FILTER(MAE_ASIGNATURA[NOM_ASIG],(MAE_ASIGNATURA[ID_NIVEL]=DET_ASIG!$D362)*(MAE_ASIGNATURA[ID_CARRERA]=DET_ASIG!$B362),"No existe información")))</f>
        <v>No existe información</v>
      </c>
    </row>
    <row r="379" spans="1:15">
      <c r="A379" t="str" cm="1">
        <f t="array" ref="A379">TRANSPOSE(_xlfn.UNIQUE(_xlfn._xlws.FILTER(MAE_ASIGNATURA[ID_NIVEL],MAE_ASIGNATURA[ID_CARRERA]=DET_ASIG!$B363,"No existe información")))</f>
        <v>No existe información</v>
      </c>
      <c r="O379" t="str" cm="1">
        <f t="array" ref="O379">TRANSPOSE(_xlfn.UNIQUE(_xlfn._xlws.FILTER(MAE_ASIGNATURA[NOM_ASIG],(MAE_ASIGNATURA[ID_NIVEL]=DET_ASIG!$D363)*(MAE_ASIGNATURA[ID_CARRERA]=DET_ASIG!$B363),"No existe información")))</f>
        <v>No existe información</v>
      </c>
    </row>
    <row r="380" spans="1:15">
      <c r="A380" t="str" cm="1">
        <f t="array" ref="A380">TRANSPOSE(_xlfn.UNIQUE(_xlfn._xlws.FILTER(MAE_ASIGNATURA[ID_NIVEL],MAE_ASIGNATURA[ID_CARRERA]=DET_ASIG!$B364,"No existe información")))</f>
        <v>No existe información</v>
      </c>
      <c r="O380" t="str" cm="1">
        <f t="array" ref="O380">TRANSPOSE(_xlfn.UNIQUE(_xlfn._xlws.FILTER(MAE_ASIGNATURA[NOM_ASIG],(MAE_ASIGNATURA[ID_NIVEL]=DET_ASIG!$D364)*(MAE_ASIGNATURA[ID_CARRERA]=DET_ASIG!$B364),"No existe información")))</f>
        <v>No existe información</v>
      </c>
    </row>
    <row r="381" spans="1:15">
      <c r="A381" t="str" cm="1">
        <f t="array" ref="A381">TRANSPOSE(_xlfn.UNIQUE(_xlfn._xlws.FILTER(MAE_ASIGNATURA[ID_NIVEL],MAE_ASIGNATURA[ID_CARRERA]=DET_ASIG!$B365,"No existe información")))</f>
        <v>No existe información</v>
      </c>
      <c r="O381" t="str" cm="1">
        <f t="array" ref="O381">TRANSPOSE(_xlfn.UNIQUE(_xlfn._xlws.FILTER(MAE_ASIGNATURA[NOM_ASIG],(MAE_ASIGNATURA[ID_NIVEL]=DET_ASIG!$D365)*(MAE_ASIGNATURA[ID_CARRERA]=DET_ASIG!$B365),"No existe información")))</f>
        <v>No existe información</v>
      </c>
    </row>
    <row r="382" spans="1:15">
      <c r="A382" t="str" cm="1">
        <f t="array" ref="A382">TRANSPOSE(_xlfn.UNIQUE(_xlfn._xlws.FILTER(MAE_ASIGNATURA[ID_NIVEL],MAE_ASIGNATURA[ID_CARRERA]=DET_ASIG!$B366,"No existe información")))</f>
        <v>No existe información</v>
      </c>
      <c r="O382" t="str" cm="1">
        <f t="array" ref="O382">TRANSPOSE(_xlfn.UNIQUE(_xlfn._xlws.FILTER(MAE_ASIGNATURA[NOM_ASIG],(MAE_ASIGNATURA[ID_NIVEL]=DET_ASIG!$D366)*(MAE_ASIGNATURA[ID_CARRERA]=DET_ASIG!$B366),"No existe información")))</f>
        <v>No existe información</v>
      </c>
    </row>
    <row r="383" spans="1:15">
      <c r="A383" t="str" cm="1">
        <f t="array" ref="A383">TRANSPOSE(_xlfn.UNIQUE(_xlfn._xlws.FILTER(MAE_ASIGNATURA[ID_NIVEL],MAE_ASIGNATURA[ID_CARRERA]=DET_ASIG!$B367,"No existe información")))</f>
        <v>No existe información</v>
      </c>
      <c r="O383" t="str" cm="1">
        <f t="array" ref="O383">TRANSPOSE(_xlfn.UNIQUE(_xlfn._xlws.FILTER(MAE_ASIGNATURA[NOM_ASIG],(MAE_ASIGNATURA[ID_NIVEL]=DET_ASIG!$D367)*(MAE_ASIGNATURA[ID_CARRERA]=DET_ASIG!$B367),"No existe información")))</f>
        <v>No existe información</v>
      </c>
    </row>
    <row r="384" spans="1:15">
      <c r="A384" t="str" cm="1">
        <f t="array" ref="A384">TRANSPOSE(_xlfn.UNIQUE(_xlfn._xlws.FILTER(MAE_ASIGNATURA[ID_NIVEL],MAE_ASIGNATURA[ID_CARRERA]=DET_ASIG!$B368,"No existe información")))</f>
        <v>No existe información</v>
      </c>
      <c r="O384" t="str" cm="1">
        <f t="array" ref="O384">TRANSPOSE(_xlfn.UNIQUE(_xlfn._xlws.FILTER(MAE_ASIGNATURA[NOM_ASIG],(MAE_ASIGNATURA[ID_NIVEL]=DET_ASIG!$D368)*(MAE_ASIGNATURA[ID_CARRERA]=DET_ASIG!$B368),"No existe información")))</f>
        <v>No existe información</v>
      </c>
    </row>
    <row r="385" spans="1:15">
      <c r="A385" t="str" cm="1">
        <f t="array" ref="A385">TRANSPOSE(_xlfn.UNIQUE(_xlfn._xlws.FILTER(MAE_ASIGNATURA[ID_NIVEL],MAE_ASIGNATURA[ID_CARRERA]=DET_ASIG!$B369,"No existe información")))</f>
        <v>No existe información</v>
      </c>
      <c r="O385" t="str" cm="1">
        <f t="array" ref="O385">TRANSPOSE(_xlfn.UNIQUE(_xlfn._xlws.FILTER(MAE_ASIGNATURA[NOM_ASIG],(MAE_ASIGNATURA[ID_NIVEL]=DET_ASIG!$D369)*(MAE_ASIGNATURA[ID_CARRERA]=DET_ASIG!$B369),"No existe información")))</f>
        <v>No existe información</v>
      </c>
    </row>
    <row r="386" spans="1:15">
      <c r="A386" t="str" cm="1">
        <f t="array" ref="A386">TRANSPOSE(_xlfn.UNIQUE(_xlfn._xlws.FILTER(MAE_ASIGNATURA[ID_NIVEL],MAE_ASIGNATURA[ID_CARRERA]=DET_ASIG!$B370,"No existe información")))</f>
        <v>No existe información</v>
      </c>
      <c r="O386" t="str" cm="1">
        <f t="array" ref="O386">TRANSPOSE(_xlfn.UNIQUE(_xlfn._xlws.FILTER(MAE_ASIGNATURA[NOM_ASIG],(MAE_ASIGNATURA[ID_NIVEL]=DET_ASIG!$D370)*(MAE_ASIGNATURA[ID_CARRERA]=DET_ASIG!$B370),"No existe información")))</f>
        <v>No existe información</v>
      </c>
    </row>
    <row r="387" spans="1:15">
      <c r="A387" t="str" cm="1">
        <f t="array" ref="A387">TRANSPOSE(_xlfn.UNIQUE(_xlfn._xlws.FILTER(MAE_ASIGNATURA[ID_NIVEL],MAE_ASIGNATURA[ID_CARRERA]=DET_ASIG!$B371,"No existe información")))</f>
        <v>No existe información</v>
      </c>
      <c r="O387" t="str" cm="1">
        <f t="array" ref="O387">TRANSPOSE(_xlfn.UNIQUE(_xlfn._xlws.FILTER(MAE_ASIGNATURA[NOM_ASIG],(MAE_ASIGNATURA[ID_NIVEL]=DET_ASIG!$D371)*(MAE_ASIGNATURA[ID_CARRERA]=DET_ASIG!$B371),"No existe información")))</f>
        <v>No existe información</v>
      </c>
    </row>
    <row r="388" spans="1:15">
      <c r="A388" t="str" cm="1">
        <f t="array" ref="A388">TRANSPOSE(_xlfn.UNIQUE(_xlfn._xlws.FILTER(MAE_ASIGNATURA[ID_NIVEL],MAE_ASIGNATURA[ID_CARRERA]=DET_ASIG!$B372,"No existe información")))</f>
        <v>No existe información</v>
      </c>
      <c r="O388" t="str" cm="1">
        <f t="array" ref="O388">TRANSPOSE(_xlfn.UNIQUE(_xlfn._xlws.FILTER(MAE_ASIGNATURA[NOM_ASIG],(MAE_ASIGNATURA[ID_NIVEL]=DET_ASIG!$D372)*(MAE_ASIGNATURA[ID_CARRERA]=DET_ASIG!$B372),"No existe información")))</f>
        <v>No existe información</v>
      </c>
    </row>
    <row r="389" spans="1:15">
      <c r="A389" t="str" cm="1">
        <f t="array" ref="A389">TRANSPOSE(_xlfn.UNIQUE(_xlfn._xlws.FILTER(MAE_ASIGNATURA[ID_NIVEL],MAE_ASIGNATURA[ID_CARRERA]=DET_ASIG!$B373,"No existe información")))</f>
        <v>No existe información</v>
      </c>
      <c r="O389" t="str" cm="1">
        <f t="array" ref="O389">TRANSPOSE(_xlfn.UNIQUE(_xlfn._xlws.FILTER(MAE_ASIGNATURA[NOM_ASIG],(MAE_ASIGNATURA[ID_NIVEL]=DET_ASIG!$D373)*(MAE_ASIGNATURA[ID_CARRERA]=DET_ASIG!$B373),"No existe información")))</f>
        <v>No existe información</v>
      </c>
    </row>
    <row r="390" spans="1:15">
      <c r="A390" t="str" cm="1">
        <f t="array" ref="A390">TRANSPOSE(_xlfn.UNIQUE(_xlfn._xlws.FILTER(MAE_ASIGNATURA[ID_NIVEL],MAE_ASIGNATURA[ID_CARRERA]=DET_ASIG!$B374,"No existe información")))</f>
        <v>No existe información</v>
      </c>
      <c r="O390" t="str" cm="1">
        <f t="array" ref="O390">TRANSPOSE(_xlfn.UNIQUE(_xlfn._xlws.FILTER(MAE_ASIGNATURA[NOM_ASIG],(MAE_ASIGNATURA[ID_NIVEL]=DET_ASIG!$D374)*(MAE_ASIGNATURA[ID_CARRERA]=DET_ASIG!$B374),"No existe información")))</f>
        <v>No existe información</v>
      </c>
    </row>
    <row r="391" spans="1:15">
      <c r="A391" t="str" cm="1">
        <f t="array" ref="A391">TRANSPOSE(_xlfn.UNIQUE(_xlfn._xlws.FILTER(MAE_ASIGNATURA[ID_NIVEL],MAE_ASIGNATURA[ID_CARRERA]=DET_ASIG!$B375,"No existe información")))</f>
        <v>No existe información</v>
      </c>
      <c r="O391" t="str" cm="1">
        <f t="array" ref="O391">TRANSPOSE(_xlfn.UNIQUE(_xlfn._xlws.FILTER(MAE_ASIGNATURA[NOM_ASIG],(MAE_ASIGNATURA[ID_NIVEL]=DET_ASIG!$D375)*(MAE_ASIGNATURA[ID_CARRERA]=DET_ASIG!$B375),"No existe información")))</f>
        <v>No existe información</v>
      </c>
    </row>
    <row r="392" spans="1:15">
      <c r="A392" t="str" cm="1">
        <f t="array" ref="A392">TRANSPOSE(_xlfn.UNIQUE(_xlfn._xlws.FILTER(MAE_ASIGNATURA[ID_NIVEL],MAE_ASIGNATURA[ID_CARRERA]=DET_ASIG!$B376,"No existe información")))</f>
        <v>No existe información</v>
      </c>
      <c r="O392" t="str" cm="1">
        <f t="array" ref="O392">TRANSPOSE(_xlfn.UNIQUE(_xlfn._xlws.FILTER(MAE_ASIGNATURA[NOM_ASIG],(MAE_ASIGNATURA[ID_NIVEL]=DET_ASIG!$D376)*(MAE_ASIGNATURA[ID_CARRERA]=DET_ASIG!$B376),"No existe información")))</f>
        <v>No existe información</v>
      </c>
    </row>
    <row r="393" spans="1:15">
      <c r="A393" t="str" cm="1">
        <f t="array" ref="A393">TRANSPOSE(_xlfn.UNIQUE(_xlfn._xlws.FILTER(MAE_ASIGNATURA[ID_NIVEL],MAE_ASIGNATURA[ID_CARRERA]=DET_ASIG!$B377,"No existe información")))</f>
        <v>No existe información</v>
      </c>
      <c r="O393" t="str" cm="1">
        <f t="array" ref="O393">TRANSPOSE(_xlfn.UNIQUE(_xlfn._xlws.FILTER(MAE_ASIGNATURA[NOM_ASIG],(MAE_ASIGNATURA[ID_NIVEL]=DET_ASIG!$D377)*(MAE_ASIGNATURA[ID_CARRERA]=DET_ASIG!$B377),"No existe información")))</f>
        <v>No existe información</v>
      </c>
    </row>
    <row r="394" spans="1:15">
      <c r="A394" t="str" cm="1">
        <f t="array" ref="A394">TRANSPOSE(_xlfn.UNIQUE(_xlfn._xlws.FILTER(MAE_ASIGNATURA[ID_NIVEL],MAE_ASIGNATURA[ID_CARRERA]=DET_ASIG!$B378,"No existe información")))</f>
        <v>No existe información</v>
      </c>
      <c r="O394" t="str" cm="1">
        <f t="array" ref="O394">TRANSPOSE(_xlfn.UNIQUE(_xlfn._xlws.FILTER(MAE_ASIGNATURA[NOM_ASIG],(MAE_ASIGNATURA[ID_NIVEL]=DET_ASIG!$D378)*(MAE_ASIGNATURA[ID_CARRERA]=DET_ASIG!$B378),"No existe información")))</f>
        <v>No existe información</v>
      </c>
    </row>
    <row r="395" spans="1:15">
      <c r="A395" t="str" cm="1">
        <f t="array" ref="A395">TRANSPOSE(_xlfn.UNIQUE(_xlfn._xlws.FILTER(MAE_ASIGNATURA[ID_NIVEL],MAE_ASIGNATURA[ID_CARRERA]=DET_ASIG!$B379,"No existe información")))</f>
        <v>No existe información</v>
      </c>
      <c r="O395" t="str" cm="1">
        <f t="array" ref="O395">TRANSPOSE(_xlfn.UNIQUE(_xlfn._xlws.FILTER(MAE_ASIGNATURA[NOM_ASIG],(MAE_ASIGNATURA[ID_NIVEL]=DET_ASIG!$D379)*(MAE_ASIGNATURA[ID_CARRERA]=DET_ASIG!$B379),"No existe información")))</f>
        <v>No existe información</v>
      </c>
    </row>
    <row r="396" spans="1:15">
      <c r="A396" t="str" cm="1">
        <f t="array" ref="A396">TRANSPOSE(_xlfn.UNIQUE(_xlfn._xlws.FILTER(MAE_ASIGNATURA[ID_NIVEL],MAE_ASIGNATURA[ID_CARRERA]=DET_ASIG!$B380,"No existe información")))</f>
        <v>No existe información</v>
      </c>
      <c r="O396" t="str" cm="1">
        <f t="array" ref="O396">TRANSPOSE(_xlfn.UNIQUE(_xlfn._xlws.FILTER(MAE_ASIGNATURA[NOM_ASIG],(MAE_ASIGNATURA[ID_NIVEL]=DET_ASIG!$D380)*(MAE_ASIGNATURA[ID_CARRERA]=DET_ASIG!$B380),"No existe información")))</f>
        <v>No existe información</v>
      </c>
    </row>
    <row r="397" spans="1:15">
      <c r="A397" t="str" cm="1">
        <f t="array" ref="A397">TRANSPOSE(_xlfn.UNIQUE(_xlfn._xlws.FILTER(MAE_ASIGNATURA[ID_NIVEL],MAE_ASIGNATURA[ID_CARRERA]=DET_ASIG!$B381,"No existe información")))</f>
        <v>No existe información</v>
      </c>
      <c r="O397" t="str" cm="1">
        <f t="array" ref="O397">TRANSPOSE(_xlfn.UNIQUE(_xlfn._xlws.FILTER(MAE_ASIGNATURA[NOM_ASIG],(MAE_ASIGNATURA[ID_NIVEL]=DET_ASIG!$D381)*(MAE_ASIGNATURA[ID_CARRERA]=DET_ASIG!$B381),"No existe información")))</f>
        <v>No existe información</v>
      </c>
    </row>
    <row r="398" spans="1:15">
      <c r="A398" t="str" cm="1">
        <f t="array" ref="A398">TRANSPOSE(_xlfn.UNIQUE(_xlfn._xlws.FILTER(MAE_ASIGNATURA[ID_NIVEL],MAE_ASIGNATURA[ID_CARRERA]=DET_ASIG!$B382,"No existe información")))</f>
        <v>No existe información</v>
      </c>
      <c r="O398" t="str" cm="1">
        <f t="array" ref="O398">TRANSPOSE(_xlfn.UNIQUE(_xlfn._xlws.FILTER(MAE_ASIGNATURA[NOM_ASIG],(MAE_ASIGNATURA[ID_NIVEL]=DET_ASIG!$D382)*(MAE_ASIGNATURA[ID_CARRERA]=DET_ASIG!$B382),"No existe información")))</f>
        <v>No existe información</v>
      </c>
    </row>
    <row r="399" spans="1:15">
      <c r="A399" t="str" cm="1">
        <f t="array" ref="A399">TRANSPOSE(_xlfn.UNIQUE(_xlfn._xlws.FILTER(MAE_ASIGNATURA[ID_NIVEL],MAE_ASIGNATURA[ID_CARRERA]=DET_ASIG!$B383,"No existe información")))</f>
        <v>No existe información</v>
      </c>
      <c r="O399" t="str" cm="1">
        <f t="array" ref="O399">TRANSPOSE(_xlfn.UNIQUE(_xlfn._xlws.FILTER(MAE_ASIGNATURA[NOM_ASIG],(MAE_ASIGNATURA[ID_NIVEL]=DET_ASIG!$D383)*(MAE_ASIGNATURA[ID_CARRERA]=DET_ASIG!$B383),"No existe información")))</f>
        <v>No existe información</v>
      </c>
    </row>
    <row r="400" spans="1:15">
      <c r="A400" t="str" cm="1">
        <f t="array" ref="A400">TRANSPOSE(_xlfn.UNIQUE(_xlfn._xlws.FILTER(MAE_ASIGNATURA[ID_NIVEL],MAE_ASIGNATURA[ID_CARRERA]=DET_ASIG!$B384,"No existe información")))</f>
        <v>No existe información</v>
      </c>
      <c r="O400" t="str" cm="1">
        <f t="array" ref="O400">TRANSPOSE(_xlfn.UNIQUE(_xlfn._xlws.FILTER(MAE_ASIGNATURA[NOM_ASIG],(MAE_ASIGNATURA[ID_NIVEL]=DET_ASIG!$D384)*(MAE_ASIGNATURA[ID_CARRERA]=DET_ASIG!$B384),"No existe información")))</f>
        <v>No existe información</v>
      </c>
    </row>
    <row r="401" spans="1:15">
      <c r="A401" t="str" cm="1">
        <f t="array" ref="A401">TRANSPOSE(_xlfn.UNIQUE(_xlfn._xlws.FILTER(MAE_ASIGNATURA[ID_NIVEL],MAE_ASIGNATURA[ID_CARRERA]=DET_ASIG!$B385,"No existe información")))</f>
        <v>No existe información</v>
      </c>
      <c r="O401" t="str" cm="1">
        <f t="array" ref="O401">TRANSPOSE(_xlfn.UNIQUE(_xlfn._xlws.FILTER(MAE_ASIGNATURA[NOM_ASIG],(MAE_ASIGNATURA[ID_NIVEL]=DET_ASIG!$D385)*(MAE_ASIGNATURA[ID_CARRERA]=DET_ASIG!$B385),"No existe información")))</f>
        <v>No existe información</v>
      </c>
    </row>
    <row r="402" spans="1:15">
      <c r="A402" t="str" cm="1">
        <f t="array" ref="A402">TRANSPOSE(_xlfn.UNIQUE(_xlfn._xlws.FILTER(MAE_ASIGNATURA[ID_NIVEL],MAE_ASIGNATURA[ID_CARRERA]=DET_ASIG!$B386,"No existe información")))</f>
        <v>No existe información</v>
      </c>
      <c r="O402" t="str" cm="1">
        <f t="array" ref="O402">TRANSPOSE(_xlfn.UNIQUE(_xlfn._xlws.FILTER(MAE_ASIGNATURA[NOM_ASIG],(MAE_ASIGNATURA[ID_NIVEL]=DET_ASIG!$D386)*(MAE_ASIGNATURA[ID_CARRERA]=DET_ASIG!$B386),"No existe información")))</f>
        <v>No existe información</v>
      </c>
    </row>
    <row r="403" spans="1:15">
      <c r="A403" t="str" cm="1">
        <f t="array" ref="A403">TRANSPOSE(_xlfn.UNIQUE(_xlfn._xlws.FILTER(MAE_ASIGNATURA[ID_NIVEL],MAE_ASIGNATURA[ID_CARRERA]=DET_ASIG!$B387,"No existe información")))</f>
        <v>No existe información</v>
      </c>
      <c r="O403" t="str" cm="1">
        <f t="array" ref="O403">TRANSPOSE(_xlfn.UNIQUE(_xlfn._xlws.FILTER(MAE_ASIGNATURA[NOM_ASIG],(MAE_ASIGNATURA[ID_NIVEL]=DET_ASIG!$D387)*(MAE_ASIGNATURA[ID_CARRERA]=DET_ASIG!$B387),"No existe información")))</f>
        <v>No existe información</v>
      </c>
    </row>
    <row r="404" spans="1:15">
      <c r="A404" t="str" cm="1">
        <f t="array" ref="A404">TRANSPOSE(_xlfn.UNIQUE(_xlfn._xlws.FILTER(MAE_ASIGNATURA[ID_NIVEL],MAE_ASIGNATURA[ID_CARRERA]=DET_ASIG!$B388,"No existe información")))</f>
        <v>No existe información</v>
      </c>
      <c r="O404" t="str" cm="1">
        <f t="array" ref="O404">TRANSPOSE(_xlfn.UNIQUE(_xlfn._xlws.FILTER(MAE_ASIGNATURA[NOM_ASIG],(MAE_ASIGNATURA[ID_NIVEL]=DET_ASIG!$D388)*(MAE_ASIGNATURA[ID_CARRERA]=DET_ASIG!$B388),"No existe información")))</f>
        <v>No existe información</v>
      </c>
    </row>
    <row r="405" spans="1:15">
      <c r="A405" t="str" cm="1">
        <f t="array" ref="A405">TRANSPOSE(_xlfn.UNIQUE(_xlfn._xlws.FILTER(MAE_ASIGNATURA[ID_NIVEL],MAE_ASIGNATURA[ID_CARRERA]=DET_ASIG!$B389,"No existe información")))</f>
        <v>No existe información</v>
      </c>
      <c r="O405" t="str" cm="1">
        <f t="array" ref="O405">TRANSPOSE(_xlfn.UNIQUE(_xlfn._xlws.FILTER(MAE_ASIGNATURA[NOM_ASIG],(MAE_ASIGNATURA[ID_NIVEL]=DET_ASIG!$D389)*(MAE_ASIGNATURA[ID_CARRERA]=DET_ASIG!$B389),"No existe información")))</f>
        <v>No existe información</v>
      </c>
    </row>
    <row r="406" spans="1:15">
      <c r="A406" t="str" cm="1">
        <f t="array" ref="A406">TRANSPOSE(_xlfn.UNIQUE(_xlfn._xlws.FILTER(MAE_ASIGNATURA[ID_NIVEL],MAE_ASIGNATURA[ID_CARRERA]=DET_ASIG!$B390,"No existe información")))</f>
        <v>No existe información</v>
      </c>
      <c r="O406" t="str" cm="1">
        <f t="array" ref="O406">TRANSPOSE(_xlfn.UNIQUE(_xlfn._xlws.FILTER(MAE_ASIGNATURA[NOM_ASIG],(MAE_ASIGNATURA[ID_NIVEL]=DET_ASIG!$D390)*(MAE_ASIGNATURA[ID_CARRERA]=DET_ASIG!$B390),"No existe información")))</f>
        <v>No existe información</v>
      </c>
    </row>
    <row r="407" spans="1:15">
      <c r="A407" t="str" cm="1">
        <f t="array" ref="A407">TRANSPOSE(_xlfn.UNIQUE(_xlfn._xlws.FILTER(MAE_ASIGNATURA[ID_NIVEL],MAE_ASIGNATURA[ID_CARRERA]=DET_ASIG!$B391,"No existe información")))</f>
        <v>No existe información</v>
      </c>
      <c r="O407" t="str" cm="1">
        <f t="array" ref="O407">TRANSPOSE(_xlfn.UNIQUE(_xlfn._xlws.FILTER(MAE_ASIGNATURA[NOM_ASIG],(MAE_ASIGNATURA[ID_NIVEL]=DET_ASIG!$D391)*(MAE_ASIGNATURA[ID_CARRERA]=DET_ASIG!$B391),"No existe información")))</f>
        <v>No existe información</v>
      </c>
    </row>
    <row r="408" spans="1:15">
      <c r="A408" t="str" cm="1">
        <f t="array" ref="A408">TRANSPOSE(_xlfn.UNIQUE(_xlfn._xlws.FILTER(MAE_ASIGNATURA[ID_NIVEL],MAE_ASIGNATURA[ID_CARRERA]=DET_ASIG!$B392,"No existe información")))</f>
        <v>No existe información</v>
      </c>
      <c r="O408" t="str" cm="1">
        <f t="array" ref="O408">TRANSPOSE(_xlfn.UNIQUE(_xlfn._xlws.FILTER(MAE_ASIGNATURA[NOM_ASIG],(MAE_ASIGNATURA[ID_NIVEL]=DET_ASIG!$D392)*(MAE_ASIGNATURA[ID_CARRERA]=DET_ASIG!$B392),"No existe información")))</f>
        <v>No existe información</v>
      </c>
    </row>
    <row r="409" spans="1:15">
      <c r="A409" t="str" cm="1">
        <f t="array" ref="A409">TRANSPOSE(_xlfn.UNIQUE(_xlfn._xlws.FILTER(MAE_ASIGNATURA[ID_NIVEL],MAE_ASIGNATURA[ID_CARRERA]=DET_ASIG!$B393,"No existe información")))</f>
        <v>No existe información</v>
      </c>
      <c r="O409" t="str" cm="1">
        <f t="array" ref="O409">TRANSPOSE(_xlfn.UNIQUE(_xlfn._xlws.FILTER(MAE_ASIGNATURA[NOM_ASIG],(MAE_ASIGNATURA[ID_NIVEL]=DET_ASIG!$D393)*(MAE_ASIGNATURA[ID_CARRERA]=DET_ASIG!$B393),"No existe información")))</f>
        <v>No existe información</v>
      </c>
    </row>
    <row r="410" spans="1:15">
      <c r="A410" t="str" cm="1">
        <f t="array" ref="A410">TRANSPOSE(_xlfn.UNIQUE(_xlfn._xlws.FILTER(MAE_ASIGNATURA[ID_NIVEL],MAE_ASIGNATURA[ID_CARRERA]=DET_ASIG!$B394,"No existe información")))</f>
        <v>No existe información</v>
      </c>
      <c r="O410" t="str" cm="1">
        <f t="array" ref="O410">TRANSPOSE(_xlfn.UNIQUE(_xlfn._xlws.FILTER(MAE_ASIGNATURA[NOM_ASIG],(MAE_ASIGNATURA[ID_NIVEL]=DET_ASIG!$D394)*(MAE_ASIGNATURA[ID_CARRERA]=DET_ASIG!$B394),"No existe información")))</f>
        <v>No existe información</v>
      </c>
    </row>
    <row r="411" spans="1:15">
      <c r="A411" t="str" cm="1">
        <f t="array" ref="A411">TRANSPOSE(_xlfn.UNIQUE(_xlfn._xlws.FILTER(MAE_ASIGNATURA[ID_NIVEL],MAE_ASIGNATURA[ID_CARRERA]=DET_ASIG!$B395,"No existe información")))</f>
        <v>No existe información</v>
      </c>
      <c r="O411" t="str" cm="1">
        <f t="array" ref="O411">TRANSPOSE(_xlfn.UNIQUE(_xlfn._xlws.FILTER(MAE_ASIGNATURA[NOM_ASIG],(MAE_ASIGNATURA[ID_NIVEL]=DET_ASIG!$D395)*(MAE_ASIGNATURA[ID_CARRERA]=DET_ASIG!$B395),"No existe información")))</f>
        <v>No existe información</v>
      </c>
    </row>
    <row r="412" spans="1:15">
      <c r="A412" t="str" cm="1">
        <f t="array" ref="A412">TRANSPOSE(_xlfn.UNIQUE(_xlfn._xlws.FILTER(MAE_ASIGNATURA[ID_NIVEL],MAE_ASIGNATURA[ID_CARRERA]=DET_ASIG!$B396,"No existe información")))</f>
        <v>No existe información</v>
      </c>
      <c r="O412" t="str" cm="1">
        <f t="array" ref="O412">TRANSPOSE(_xlfn.UNIQUE(_xlfn._xlws.FILTER(MAE_ASIGNATURA[NOM_ASIG],(MAE_ASIGNATURA[ID_NIVEL]=DET_ASIG!$D396)*(MAE_ASIGNATURA[ID_CARRERA]=DET_ASIG!$B396),"No existe información")))</f>
        <v>No existe información</v>
      </c>
    </row>
    <row r="413" spans="1:15">
      <c r="A413" t="str" cm="1">
        <f t="array" ref="A413">TRANSPOSE(_xlfn.UNIQUE(_xlfn._xlws.FILTER(MAE_ASIGNATURA[ID_NIVEL],MAE_ASIGNATURA[ID_CARRERA]=DET_ASIG!$B397,"No existe información")))</f>
        <v>No existe información</v>
      </c>
      <c r="O413" t="str" cm="1">
        <f t="array" ref="O413">TRANSPOSE(_xlfn.UNIQUE(_xlfn._xlws.FILTER(MAE_ASIGNATURA[NOM_ASIG],(MAE_ASIGNATURA[ID_NIVEL]=DET_ASIG!$D397)*(MAE_ASIGNATURA[ID_CARRERA]=DET_ASIG!$B397),"No existe información")))</f>
        <v>No existe información</v>
      </c>
    </row>
    <row r="414" spans="1:15">
      <c r="A414" t="str" cm="1">
        <f t="array" ref="A414">TRANSPOSE(_xlfn.UNIQUE(_xlfn._xlws.FILTER(MAE_ASIGNATURA[ID_NIVEL],MAE_ASIGNATURA[ID_CARRERA]=DET_ASIG!$B398,"No existe información")))</f>
        <v>No existe información</v>
      </c>
      <c r="O414" t="str" cm="1">
        <f t="array" ref="O414">TRANSPOSE(_xlfn.UNIQUE(_xlfn._xlws.FILTER(MAE_ASIGNATURA[NOM_ASIG],(MAE_ASIGNATURA[ID_NIVEL]=DET_ASIG!$D398)*(MAE_ASIGNATURA[ID_CARRERA]=DET_ASIG!$B398),"No existe información")))</f>
        <v>No existe información</v>
      </c>
    </row>
    <row r="415" spans="1:15">
      <c r="A415" t="str" cm="1">
        <f t="array" ref="A415">TRANSPOSE(_xlfn.UNIQUE(_xlfn._xlws.FILTER(MAE_ASIGNATURA[ID_NIVEL],MAE_ASIGNATURA[ID_CARRERA]=DET_ASIG!$B399,"No existe información")))</f>
        <v>No existe información</v>
      </c>
      <c r="O415" t="str" cm="1">
        <f t="array" ref="O415">TRANSPOSE(_xlfn.UNIQUE(_xlfn._xlws.FILTER(MAE_ASIGNATURA[NOM_ASIG],(MAE_ASIGNATURA[ID_NIVEL]=DET_ASIG!$D399)*(MAE_ASIGNATURA[ID_CARRERA]=DET_ASIG!$B399),"No existe información")))</f>
        <v>No existe información</v>
      </c>
    </row>
    <row r="416" spans="1:15">
      <c r="A416" t="str" cm="1">
        <f t="array" ref="A416">TRANSPOSE(_xlfn.UNIQUE(_xlfn._xlws.FILTER(MAE_ASIGNATURA[ID_NIVEL],MAE_ASIGNATURA[ID_CARRERA]=DET_ASIG!$B400,"No existe información")))</f>
        <v>No existe información</v>
      </c>
      <c r="O416" t="str" cm="1">
        <f t="array" ref="O416">TRANSPOSE(_xlfn.UNIQUE(_xlfn._xlws.FILTER(MAE_ASIGNATURA[NOM_ASIG],(MAE_ASIGNATURA[ID_NIVEL]=DET_ASIG!$D400)*(MAE_ASIGNATURA[ID_CARRERA]=DET_ASIG!$B400),"No existe información")))</f>
        <v>No existe información</v>
      </c>
    </row>
    <row r="417" spans="1:15">
      <c r="A417" t="str" cm="1">
        <f t="array" ref="A417">TRANSPOSE(_xlfn.UNIQUE(_xlfn._xlws.FILTER(MAE_ASIGNATURA[ID_NIVEL],MAE_ASIGNATURA[ID_CARRERA]=DET_ASIG!$B401,"No existe información")))</f>
        <v>No existe información</v>
      </c>
      <c r="O417" t="str" cm="1">
        <f t="array" ref="O417">TRANSPOSE(_xlfn.UNIQUE(_xlfn._xlws.FILTER(MAE_ASIGNATURA[NOM_ASIG],(MAE_ASIGNATURA[ID_NIVEL]=DET_ASIG!$D401)*(MAE_ASIGNATURA[ID_CARRERA]=DET_ASIG!$B401),"No existe información")))</f>
        <v>No existe información</v>
      </c>
    </row>
    <row r="418" spans="1:15">
      <c r="A418" t="str" cm="1">
        <f t="array" ref="A418">TRANSPOSE(_xlfn.UNIQUE(_xlfn._xlws.FILTER(MAE_ASIGNATURA[ID_NIVEL],MAE_ASIGNATURA[ID_CARRERA]=DET_ASIG!$B402,"No existe información")))</f>
        <v>No existe información</v>
      </c>
      <c r="O418" t="str" cm="1">
        <f t="array" ref="O418">TRANSPOSE(_xlfn.UNIQUE(_xlfn._xlws.FILTER(MAE_ASIGNATURA[NOM_ASIG],(MAE_ASIGNATURA[ID_NIVEL]=DET_ASIG!$D402)*(MAE_ASIGNATURA[ID_CARRERA]=DET_ASIG!$B402),"No existe información")))</f>
        <v>No existe información</v>
      </c>
    </row>
    <row r="419" spans="1:15">
      <c r="A419" t="str" cm="1">
        <f t="array" ref="A419">TRANSPOSE(_xlfn.UNIQUE(_xlfn._xlws.FILTER(MAE_ASIGNATURA[ID_NIVEL],MAE_ASIGNATURA[ID_CARRERA]=DET_ASIG!$B403,"No existe información")))</f>
        <v>No existe información</v>
      </c>
      <c r="O419" t="str" cm="1">
        <f t="array" ref="O419">TRANSPOSE(_xlfn.UNIQUE(_xlfn._xlws.FILTER(MAE_ASIGNATURA[NOM_ASIG],(MAE_ASIGNATURA[ID_NIVEL]=DET_ASIG!$D403)*(MAE_ASIGNATURA[ID_CARRERA]=DET_ASIG!$B403),"No existe información")))</f>
        <v>No existe información</v>
      </c>
    </row>
    <row r="420" spans="1:15">
      <c r="A420" t="str" cm="1">
        <f t="array" ref="A420">TRANSPOSE(_xlfn.UNIQUE(_xlfn._xlws.FILTER(MAE_ASIGNATURA[ID_NIVEL],MAE_ASIGNATURA[ID_CARRERA]=DET_ASIG!$B404,"No existe información")))</f>
        <v>No existe información</v>
      </c>
      <c r="O420" t="str" cm="1">
        <f t="array" ref="O420">TRANSPOSE(_xlfn.UNIQUE(_xlfn._xlws.FILTER(MAE_ASIGNATURA[NOM_ASIG],(MAE_ASIGNATURA[ID_NIVEL]=DET_ASIG!$D404)*(MAE_ASIGNATURA[ID_CARRERA]=DET_ASIG!$B404),"No existe información")))</f>
        <v>No existe información</v>
      </c>
    </row>
    <row r="421" spans="1:15">
      <c r="A421" t="str" cm="1">
        <f t="array" ref="A421">TRANSPOSE(_xlfn.UNIQUE(_xlfn._xlws.FILTER(MAE_ASIGNATURA[ID_NIVEL],MAE_ASIGNATURA[ID_CARRERA]=DET_ASIG!$B405,"No existe información")))</f>
        <v>No existe información</v>
      </c>
      <c r="O421" t="str" cm="1">
        <f t="array" ref="O421">TRANSPOSE(_xlfn.UNIQUE(_xlfn._xlws.FILTER(MAE_ASIGNATURA[NOM_ASIG],(MAE_ASIGNATURA[ID_NIVEL]=DET_ASIG!$D405)*(MAE_ASIGNATURA[ID_CARRERA]=DET_ASIG!$B405),"No existe información")))</f>
        <v>No existe información</v>
      </c>
    </row>
    <row r="422" spans="1:15">
      <c r="A422" t="str" cm="1">
        <f t="array" ref="A422">TRANSPOSE(_xlfn.UNIQUE(_xlfn._xlws.FILTER(MAE_ASIGNATURA[ID_NIVEL],MAE_ASIGNATURA[ID_CARRERA]=DET_ASIG!$B406,"No existe información")))</f>
        <v>No existe información</v>
      </c>
      <c r="O422" t="str" cm="1">
        <f t="array" ref="O422">TRANSPOSE(_xlfn.UNIQUE(_xlfn._xlws.FILTER(MAE_ASIGNATURA[NOM_ASIG],(MAE_ASIGNATURA[ID_NIVEL]=DET_ASIG!$D406)*(MAE_ASIGNATURA[ID_CARRERA]=DET_ASIG!$B406),"No existe información")))</f>
        <v>No existe información</v>
      </c>
    </row>
    <row r="423" spans="1:15">
      <c r="A423" t="str" cm="1">
        <f t="array" ref="A423">TRANSPOSE(_xlfn.UNIQUE(_xlfn._xlws.FILTER(MAE_ASIGNATURA[ID_NIVEL],MAE_ASIGNATURA[ID_CARRERA]=DET_ASIG!$B407,"No existe información")))</f>
        <v>No existe información</v>
      </c>
      <c r="O423" t="str" cm="1">
        <f t="array" ref="O423">TRANSPOSE(_xlfn.UNIQUE(_xlfn._xlws.FILTER(MAE_ASIGNATURA[NOM_ASIG],(MAE_ASIGNATURA[ID_NIVEL]=DET_ASIG!$D407)*(MAE_ASIGNATURA[ID_CARRERA]=DET_ASIG!$B407),"No existe información")))</f>
        <v>No existe información</v>
      </c>
    </row>
    <row r="424" spans="1:15">
      <c r="A424" t="str" cm="1">
        <f t="array" ref="A424">TRANSPOSE(_xlfn.UNIQUE(_xlfn._xlws.FILTER(MAE_ASIGNATURA[ID_NIVEL],MAE_ASIGNATURA[ID_CARRERA]=DET_ASIG!$B408,"No existe información")))</f>
        <v>No existe información</v>
      </c>
      <c r="O424" t="str" cm="1">
        <f t="array" ref="O424">TRANSPOSE(_xlfn.UNIQUE(_xlfn._xlws.FILTER(MAE_ASIGNATURA[NOM_ASIG],(MAE_ASIGNATURA[ID_NIVEL]=DET_ASIG!$D408)*(MAE_ASIGNATURA[ID_CARRERA]=DET_ASIG!$B408),"No existe información")))</f>
        <v>No existe información</v>
      </c>
    </row>
    <row r="425" spans="1:15">
      <c r="A425" t="str" cm="1">
        <f t="array" ref="A425">TRANSPOSE(_xlfn.UNIQUE(_xlfn._xlws.FILTER(MAE_ASIGNATURA[ID_NIVEL],MAE_ASIGNATURA[ID_CARRERA]=DET_ASIG!$B409,"No existe información")))</f>
        <v>No existe información</v>
      </c>
      <c r="O425" t="str" cm="1">
        <f t="array" ref="O425">TRANSPOSE(_xlfn.UNIQUE(_xlfn._xlws.FILTER(MAE_ASIGNATURA[NOM_ASIG],(MAE_ASIGNATURA[ID_NIVEL]=DET_ASIG!$D409)*(MAE_ASIGNATURA[ID_CARRERA]=DET_ASIG!$B409),"No existe información")))</f>
        <v>No existe información</v>
      </c>
    </row>
    <row r="426" spans="1:15">
      <c r="A426" t="str" cm="1">
        <f t="array" ref="A426">TRANSPOSE(_xlfn.UNIQUE(_xlfn._xlws.FILTER(MAE_ASIGNATURA[ID_NIVEL],MAE_ASIGNATURA[ID_CARRERA]=DET_ASIG!$B410,"No existe información")))</f>
        <v>No existe información</v>
      </c>
      <c r="O426" t="str" cm="1">
        <f t="array" ref="O426">TRANSPOSE(_xlfn.UNIQUE(_xlfn._xlws.FILTER(MAE_ASIGNATURA[NOM_ASIG],(MAE_ASIGNATURA[ID_NIVEL]=DET_ASIG!$D410)*(MAE_ASIGNATURA[ID_CARRERA]=DET_ASIG!$B410),"No existe información")))</f>
        <v>No existe información</v>
      </c>
    </row>
    <row r="427" spans="1:15">
      <c r="A427" t="str" cm="1">
        <f t="array" ref="A427">TRANSPOSE(_xlfn.UNIQUE(_xlfn._xlws.FILTER(MAE_ASIGNATURA[ID_NIVEL],MAE_ASIGNATURA[ID_CARRERA]=DET_ASIG!$B411,"No existe información")))</f>
        <v>No existe información</v>
      </c>
      <c r="O427" t="str" cm="1">
        <f t="array" ref="O427">TRANSPOSE(_xlfn.UNIQUE(_xlfn._xlws.FILTER(MAE_ASIGNATURA[NOM_ASIG],(MAE_ASIGNATURA[ID_NIVEL]=DET_ASIG!$D411)*(MAE_ASIGNATURA[ID_CARRERA]=DET_ASIG!$B411),"No existe información")))</f>
        <v>No existe información</v>
      </c>
    </row>
    <row r="428" spans="1:15">
      <c r="A428" t="str" cm="1">
        <f t="array" ref="A428">TRANSPOSE(_xlfn.UNIQUE(_xlfn._xlws.FILTER(MAE_ASIGNATURA[ID_NIVEL],MAE_ASIGNATURA[ID_CARRERA]=DET_ASIG!$B412,"No existe información")))</f>
        <v>No existe información</v>
      </c>
      <c r="O428" t="str" cm="1">
        <f t="array" ref="O428">TRANSPOSE(_xlfn.UNIQUE(_xlfn._xlws.FILTER(MAE_ASIGNATURA[NOM_ASIG],(MAE_ASIGNATURA[ID_NIVEL]=DET_ASIG!$D412)*(MAE_ASIGNATURA[ID_CARRERA]=DET_ASIG!$B412),"No existe información")))</f>
        <v>No existe información</v>
      </c>
    </row>
    <row r="429" spans="1:15">
      <c r="A429" t="str" cm="1">
        <f t="array" ref="A429">TRANSPOSE(_xlfn.UNIQUE(_xlfn._xlws.FILTER(MAE_ASIGNATURA[ID_NIVEL],MAE_ASIGNATURA[ID_CARRERA]=DET_ASIG!$B413,"No existe información")))</f>
        <v>No existe información</v>
      </c>
      <c r="O429" t="str" cm="1">
        <f t="array" ref="O429">TRANSPOSE(_xlfn.UNIQUE(_xlfn._xlws.FILTER(MAE_ASIGNATURA[NOM_ASIG],(MAE_ASIGNATURA[ID_NIVEL]=DET_ASIG!$D413)*(MAE_ASIGNATURA[ID_CARRERA]=DET_ASIG!$B413),"No existe información")))</f>
        <v>No existe información</v>
      </c>
    </row>
    <row r="430" spans="1:15">
      <c r="A430" t="str" cm="1">
        <f t="array" ref="A430">TRANSPOSE(_xlfn.UNIQUE(_xlfn._xlws.FILTER(MAE_ASIGNATURA[ID_NIVEL],MAE_ASIGNATURA[ID_CARRERA]=DET_ASIG!$B414,"No existe información")))</f>
        <v>No existe información</v>
      </c>
      <c r="O430" t="str" cm="1">
        <f t="array" ref="O430">TRANSPOSE(_xlfn.UNIQUE(_xlfn._xlws.FILTER(MAE_ASIGNATURA[NOM_ASIG],(MAE_ASIGNATURA[ID_NIVEL]=DET_ASIG!$D414)*(MAE_ASIGNATURA[ID_CARRERA]=DET_ASIG!$B414),"No existe información")))</f>
        <v>No existe información</v>
      </c>
    </row>
    <row r="431" spans="1:15">
      <c r="A431" t="str" cm="1">
        <f t="array" ref="A431">TRANSPOSE(_xlfn.UNIQUE(_xlfn._xlws.FILTER(MAE_ASIGNATURA[ID_NIVEL],MAE_ASIGNATURA[ID_CARRERA]=DET_ASIG!$B415,"No existe información")))</f>
        <v>No existe información</v>
      </c>
      <c r="O431" t="str" cm="1">
        <f t="array" ref="O431">TRANSPOSE(_xlfn.UNIQUE(_xlfn._xlws.FILTER(MAE_ASIGNATURA[NOM_ASIG],(MAE_ASIGNATURA[ID_NIVEL]=DET_ASIG!$D415)*(MAE_ASIGNATURA[ID_CARRERA]=DET_ASIG!$B415),"No existe información")))</f>
        <v>No existe información</v>
      </c>
    </row>
    <row r="432" spans="1:15">
      <c r="A432" t="str" cm="1">
        <f t="array" ref="A432">TRANSPOSE(_xlfn.UNIQUE(_xlfn._xlws.FILTER(MAE_ASIGNATURA[ID_NIVEL],MAE_ASIGNATURA[ID_CARRERA]=DET_ASIG!$B416,"No existe información")))</f>
        <v>No existe información</v>
      </c>
      <c r="O432" t="str" cm="1">
        <f t="array" ref="O432">TRANSPOSE(_xlfn.UNIQUE(_xlfn._xlws.FILTER(MAE_ASIGNATURA[NOM_ASIG],(MAE_ASIGNATURA[ID_NIVEL]=DET_ASIG!$D416)*(MAE_ASIGNATURA[ID_CARRERA]=DET_ASIG!$B416),"No existe información")))</f>
        <v>No existe información</v>
      </c>
    </row>
    <row r="433" spans="1:15">
      <c r="A433" t="str" cm="1">
        <f t="array" ref="A433">TRANSPOSE(_xlfn.UNIQUE(_xlfn._xlws.FILTER(MAE_ASIGNATURA[ID_NIVEL],MAE_ASIGNATURA[ID_CARRERA]=DET_ASIG!$B417,"No existe información")))</f>
        <v>No existe información</v>
      </c>
      <c r="O433" t="str" cm="1">
        <f t="array" ref="O433">TRANSPOSE(_xlfn.UNIQUE(_xlfn._xlws.FILTER(MAE_ASIGNATURA[NOM_ASIG],(MAE_ASIGNATURA[ID_NIVEL]=DET_ASIG!$D417)*(MAE_ASIGNATURA[ID_CARRERA]=DET_ASIG!$B417),"No existe información")))</f>
        <v>No existe información</v>
      </c>
    </row>
    <row r="434" spans="1:15">
      <c r="A434" t="str" cm="1">
        <f t="array" ref="A434">TRANSPOSE(_xlfn.UNIQUE(_xlfn._xlws.FILTER(MAE_ASIGNATURA[ID_NIVEL],MAE_ASIGNATURA[ID_CARRERA]=DET_ASIG!$B418,"No existe información")))</f>
        <v>No existe información</v>
      </c>
      <c r="O434" t="str" cm="1">
        <f t="array" ref="O434">TRANSPOSE(_xlfn.UNIQUE(_xlfn._xlws.FILTER(MAE_ASIGNATURA[NOM_ASIG],(MAE_ASIGNATURA[ID_NIVEL]=DET_ASIG!$D418)*(MAE_ASIGNATURA[ID_CARRERA]=DET_ASIG!$B418),"No existe información")))</f>
        <v>No existe información</v>
      </c>
    </row>
    <row r="435" spans="1:15">
      <c r="A435" t="str" cm="1">
        <f t="array" ref="A435">TRANSPOSE(_xlfn.UNIQUE(_xlfn._xlws.FILTER(MAE_ASIGNATURA[ID_NIVEL],MAE_ASIGNATURA[ID_CARRERA]=DET_ASIG!$B419,"No existe información")))</f>
        <v>No existe información</v>
      </c>
      <c r="O435" t="str" cm="1">
        <f t="array" ref="O435">TRANSPOSE(_xlfn.UNIQUE(_xlfn._xlws.FILTER(MAE_ASIGNATURA[NOM_ASIG],(MAE_ASIGNATURA[ID_NIVEL]=DET_ASIG!$D419)*(MAE_ASIGNATURA[ID_CARRERA]=DET_ASIG!$B419),"No existe información")))</f>
        <v>No existe información</v>
      </c>
    </row>
    <row r="436" spans="1:15">
      <c r="A436" t="str" cm="1">
        <f t="array" ref="A436">TRANSPOSE(_xlfn.UNIQUE(_xlfn._xlws.FILTER(MAE_ASIGNATURA[ID_NIVEL],MAE_ASIGNATURA[ID_CARRERA]=DET_ASIG!$B420,"No existe información")))</f>
        <v>No existe información</v>
      </c>
      <c r="O436" t="str" cm="1">
        <f t="array" ref="O436">TRANSPOSE(_xlfn.UNIQUE(_xlfn._xlws.FILTER(MAE_ASIGNATURA[NOM_ASIG],(MAE_ASIGNATURA[ID_NIVEL]=DET_ASIG!$D420)*(MAE_ASIGNATURA[ID_CARRERA]=DET_ASIG!$B420),"No existe información")))</f>
        <v>No existe información</v>
      </c>
    </row>
    <row r="437" spans="1:15">
      <c r="A437" t="str" cm="1">
        <f t="array" ref="A437">TRANSPOSE(_xlfn.UNIQUE(_xlfn._xlws.FILTER(MAE_ASIGNATURA[ID_NIVEL],MAE_ASIGNATURA[ID_CARRERA]=DET_ASIG!$B421,"No existe información")))</f>
        <v>No existe información</v>
      </c>
      <c r="O437" t="str" cm="1">
        <f t="array" ref="O437">TRANSPOSE(_xlfn.UNIQUE(_xlfn._xlws.FILTER(MAE_ASIGNATURA[NOM_ASIG],(MAE_ASIGNATURA[ID_NIVEL]=DET_ASIG!$D421)*(MAE_ASIGNATURA[ID_CARRERA]=DET_ASIG!$B421),"No existe información")))</f>
        <v>No existe información</v>
      </c>
    </row>
    <row r="438" spans="1:15">
      <c r="A438" t="str" cm="1">
        <f t="array" ref="A438">TRANSPOSE(_xlfn.UNIQUE(_xlfn._xlws.FILTER(MAE_ASIGNATURA[ID_NIVEL],MAE_ASIGNATURA[ID_CARRERA]=DET_ASIG!$B422,"No existe información")))</f>
        <v>No existe información</v>
      </c>
      <c r="O438" t="str" cm="1">
        <f t="array" ref="O438">TRANSPOSE(_xlfn.UNIQUE(_xlfn._xlws.FILTER(MAE_ASIGNATURA[NOM_ASIG],(MAE_ASIGNATURA[ID_NIVEL]=DET_ASIG!$D422)*(MAE_ASIGNATURA[ID_CARRERA]=DET_ASIG!$B422),"No existe información")))</f>
        <v>No existe información</v>
      </c>
    </row>
    <row r="439" spans="1:15">
      <c r="A439" t="str" cm="1">
        <f t="array" ref="A439">TRANSPOSE(_xlfn.UNIQUE(_xlfn._xlws.FILTER(MAE_ASIGNATURA[ID_NIVEL],MAE_ASIGNATURA[ID_CARRERA]=DET_ASIG!$B423,"No existe información")))</f>
        <v>No existe información</v>
      </c>
      <c r="O439" t="str" cm="1">
        <f t="array" ref="O439">TRANSPOSE(_xlfn.UNIQUE(_xlfn._xlws.FILTER(MAE_ASIGNATURA[NOM_ASIG],(MAE_ASIGNATURA[ID_NIVEL]=DET_ASIG!$D423)*(MAE_ASIGNATURA[ID_CARRERA]=DET_ASIG!$B423),"No existe información")))</f>
        <v>No existe información</v>
      </c>
    </row>
    <row r="440" spans="1:15">
      <c r="A440" t="str" cm="1">
        <f t="array" ref="A440">TRANSPOSE(_xlfn.UNIQUE(_xlfn._xlws.FILTER(MAE_ASIGNATURA[ID_NIVEL],MAE_ASIGNATURA[ID_CARRERA]=DET_ASIG!$B424,"No existe información")))</f>
        <v>No existe información</v>
      </c>
      <c r="O440" t="str" cm="1">
        <f t="array" ref="O440">TRANSPOSE(_xlfn.UNIQUE(_xlfn._xlws.FILTER(MAE_ASIGNATURA[NOM_ASIG],(MAE_ASIGNATURA[ID_NIVEL]=DET_ASIG!$D424)*(MAE_ASIGNATURA[ID_CARRERA]=DET_ASIG!$B424),"No existe información")))</f>
        <v>No existe información</v>
      </c>
    </row>
    <row r="441" spans="1:15">
      <c r="A441" t="str" cm="1">
        <f t="array" ref="A441">TRANSPOSE(_xlfn.UNIQUE(_xlfn._xlws.FILTER(MAE_ASIGNATURA[ID_NIVEL],MAE_ASIGNATURA[ID_CARRERA]=DET_ASIG!$B425,"No existe información")))</f>
        <v>No existe información</v>
      </c>
      <c r="O441" t="str" cm="1">
        <f t="array" ref="O441">TRANSPOSE(_xlfn.UNIQUE(_xlfn._xlws.FILTER(MAE_ASIGNATURA[NOM_ASIG],(MAE_ASIGNATURA[ID_NIVEL]=DET_ASIG!$D425)*(MAE_ASIGNATURA[ID_CARRERA]=DET_ASIG!$B425),"No existe información")))</f>
        <v>No existe información</v>
      </c>
    </row>
    <row r="442" spans="1:15">
      <c r="A442" t="str" cm="1">
        <f t="array" ref="A442">TRANSPOSE(_xlfn.UNIQUE(_xlfn._xlws.FILTER(MAE_ASIGNATURA[ID_NIVEL],MAE_ASIGNATURA[ID_CARRERA]=DET_ASIG!$B426,"No existe información")))</f>
        <v>No existe información</v>
      </c>
      <c r="O442" t="str" cm="1">
        <f t="array" ref="O442">TRANSPOSE(_xlfn.UNIQUE(_xlfn._xlws.FILTER(MAE_ASIGNATURA[NOM_ASIG],(MAE_ASIGNATURA[ID_NIVEL]=DET_ASIG!$D426)*(MAE_ASIGNATURA[ID_CARRERA]=DET_ASIG!$B426),"No existe información")))</f>
        <v>No existe información</v>
      </c>
    </row>
    <row r="443" spans="1:15">
      <c r="A443" t="str" cm="1">
        <f t="array" ref="A443">TRANSPOSE(_xlfn.UNIQUE(_xlfn._xlws.FILTER(MAE_ASIGNATURA[ID_NIVEL],MAE_ASIGNATURA[ID_CARRERA]=DET_ASIG!$B427,"No existe información")))</f>
        <v>No existe información</v>
      </c>
      <c r="O443" t="str" cm="1">
        <f t="array" ref="O443">TRANSPOSE(_xlfn.UNIQUE(_xlfn._xlws.FILTER(MAE_ASIGNATURA[NOM_ASIG],(MAE_ASIGNATURA[ID_NIVEL]=DET_ASIG!$D427)*(MAE_ASIGNATURA[ID_CARRERA]=DET_ASIG!$B427),"No existe información")))</f>
        <v>No existe información</v>
      </c>
    </row>
    <row r="444" spans="1:15">
      <c r="A444" t="str" cm="1">
        <f t="array" ref="A444">TRANSPOSE(_xlfn.UNIQUE(_xlfn._xlws.FILTER(MAE_ASIGNATURA[ID_NIVEL],MAE_ASIGNATURA[ID_CARRERA]=DET_ASIG!$B428,"No existe información")))</f>
        <v>No existe información</v>
      </c>
      <c r="O444" t="str" cm="1">
        <f t="array" ref="O444">TRANSPOSE(_xlfn.UNIQUE(_xlfn._xlws.FILTER(MAE_ASIGNATURA[NOM_ASIG],(MAE_ASIGNATURA[ID_NIVEL]=DET_ASIG!$D428)*(MAE_ASIGNATURA[ID_CARRERA]=DET_ASIG!$B428),"No existe información")))</f>
        <v>No existe información</v>
      </c>
    </row>
    <row r="445" spans="1:15">
      <c r="A445" t="str" cm="1">
        <f t="array" ref="A445">TRANSPOSE(_xlfn.UNIQUE(_xlfn._xlws.FILTER(MAE_ASIGNATURA[ID_NIVEL],MAE_ASIGNATURA[ID_CARRERA]=DET_ASIG!$B429,"No existe información")))</f>
        <v>No existe información</v>
      </c>
      <c r="O445" t="str" cm="1">
        <f t="array" ref="O445">TRANSPOSE(_xlfn.UNIQUE(_xlfn._xlws.FILTER(MAE_ASIGNATURA[NOM_ASIG],(MAE_ASIGNATURA[ID_NIVEL]=DET_ASIG!$D429)*(MAE_ASIGNATURA[ID_CARRERA]=DET_ASIG!$B429),"No existe información")))</f>
        <v>No existe información</v>
      </c>
    </row>
    <row r="446" spans="1:15">
      <c r="A446" t="str" cm="1">
        <f t="array" ref="A446">TRANSPOSE(_xlfn.UNIQUE(_xlfn._xlws.FILTER(MAE_ASIGNATURA[ID_NIVEL],MAE_ASIGNATURA[ID_CARRERA]=DET_ASIG!$B430,"No existe información")))</f>
        <v>No existe información</v>
      </c>
      <c r="O446" t="str" cm="1">
        <f t="array" ref="O446">TRANSPOSE(_xlfn.UNIQUE(_xlfn._xlws.FILTER(MAE_ASIGNATURA[NOM_ASIG],(MAE_ASIGNATURA[ID_NIVEL]=DET_ASIG!$D430)*(MAE_ASIGNATURA[ID_CARRERA]=DET_ASIG!$B430),"No existe información")))</f>
        <v>No existe información</v>
      </c>
    </row>
    <row r="447" spans="1:15">
      <c r="A447" t="str" cm="1">
        <f t="array" ref="A447">TRANSPOSE(_xlfn.UNIQUE(_xlfn._xlws.FILTER(MAE_ASIGNATURA[ID_NIVEL],MAE_ASIGNATURA[ID_CARRERA]=DET_ASIG!$B431,"No existe información")))</f>
        <v>No existe información</v>
      </c>
      <c r="O447" t="str" cm="1">
        <f t="array" ref="O447">TRANSPOSE(_xlfn.UNIQUE(_xlfn._xlws.FILTER(MAE_ASIGNATURA[NOM_ASIG],(MAE_ASIGNATURA[ID_NIVEL]=DET_ASIG!$D431)*(MAE_ASIGNATURA[ID_CARRERA]=DET_ASIG!$B431),"No existe información")))</f>
        <v>No existe información</v>
      </c>
    </row>
    <row r="448" spans="1:15">
      <c r="A448" t="str" cm="1">
        <f t="array" ref="A448">TRANSPOSE(_xlfn.UNIQUE(_xlfn._xlws.FILTER(MAE_ASIGNATURA[ID_NIVEL],MAE_ASIGNATURA[ID_CARRERA]=DET_ASIG!$B432,"No existe información")))</f>
        <v>No existe información</v>
      </c>
      <c r="O448" t="str" cm="1">
        <f t="array" ref="O448">TRANSPOSE(_xlfn.UNIQUE(_xlfn._xlws.FILTER(MAE_ASIGNATURA[NOM_ASIG],(MAE_ASIGNATURA[ID_NIVEL]=DET_ASIG!$D432)*(MAE_ASIGNATURA[ID_CARRERA]=DET_ASIG!$B432),"No existe información")))</f>
        <v>No existe información</v>
      </c>
    </row>
    <row r="449" spans="1:15">
      <c r="A449" t="str" cm="1">
        <f t="array" ref="A449">TRANSPOSE(_xlfn.UNIQUE(_xlfn._xlws.FILTER(MAE_ASIGNATURA[ID_NIVEL],MAE_ASIGNATURA[ID_CARRERA]=DET_ASIG!$B433,"No existe información")))</f>
        <v>No existe información</v>
      </c>
      <c r="O449" t="str" cm="1">
        <f t="array" ref="O449">TRANSPOSE(_xlfn.UNIQUE(_xlfn._xlws.FILTER(MAE_ASIGNATURA[NOM_ASIG],(MAE_ASIGNATURA[ID_NIVEL]=DET_ASIG!$D433)*(MAE_ASIGNATURA[ID_CARRERA]=DET_ASIG!$B433),"No existe información")))</f>
        <v>No existe información</v>
      </c>
    </row>
    <row r="450" spans="1:15">
      <c r="A450" t="str" cm="1">
        <f t="array" ref="A450">TRANSPOSE(_xlfn.UNIQUE(_xlfn._xlws.FILTER(MAE_ASIGNATURA[ID_NIVEL],MAE_ASIGNATURA[ID_CARRERA]=DET_ASIG!$B434,"No existe información")))</f>
        <v>No existe información</v>
      </c>
      <c r="O450" t="str" cm="1">
        <f t="array" ref="O450">TRANSPOSE(_xlfn.UNIQUE(_xlfn._xlws.FILTER(MAE_ASIGNATURA[NOM_ASIG],(MAE_ASIGNATURA[ID_NIVEL]=DET_ASIG!$D434)*(MAE_ASIGNATURA[ID_CARRERA]=DET_ASIG!$B434),"No existe información")))</f>
        <v>No existe información</v>
      </c>
    </row>
    <row r="451" spans="1:15">
      <c r="A451" t="str" cm="1">
        <f t="array" ref="A451">TRANSPOSE(_xlfn.UNIQUE(_xlfn._xlws.FILTER(MAE_ASIGNATURA[ID_NIVEL],MAE_ASIGNATURA[ID_CARRERA]=DET_ASIG!$B435,"No existe información")))</f>
        <v>No existe información</v>
      </c>
      <c r="O451" t="str" cm="1">
        <f t="array" ref="O451">TRANSPOSE(_xlfn.UNIQUE(_xlfn._xlws.FILTER(MAE_ASIGNATURA[NOM_ASIG],(MAE_ASIGNATURA[ID_NIVEL]=DET_ASIG!$D435)*(MAE_ASIGNATURA[ID_CARRERA]=DET_ASIG!$B435),"No existe información")))</f>
        <v>No existe información</v>
      </c>
    </row>
    <row r="452" spans="1:15">
      <c r="A452" t="str" cm="1">
        <f t="array" ref="A452">TRANSPOSE(_xlfn.UNIQUE(_xlfn._xlws.FILTER(MAE_ASIGNATURA[ID_NIVEL],MAE_ASIGNATURA[ID_CARRERA]=DET_ASIG!$B436,"No existe información")))</f>
        <v>No existe información</v>
      </c>
      <c r="O452" t="str" cm="1">
        <f t="array" ref="O452">TRANSPOSE(_xlfn.UNIQUE(_xlfn._xlws.FILTER(MAE_ASIGNATURA[NOM_ASIG],(MAE_ASIGNATURA[ID_NIVEL]=DET_ASIG!$D436)*(MAE_ASIGNATURA[ID_CARRERA]=DET_ASIG!$B436),"No existe información")))</f>
        <v>No existe información</v>
      </c>
    </row>
    <row r="453" spans="1:15">
      <c r="A453" t="str" cm="1">
        <f t="array" ref="A453">TRANSPOSE(_xlfn.UNIQUE(_xlfn._xlws.FILTER(MAE_ASIGNATURA[ID_NIVEL],MAE_ASIGNATURA[ID_CARRERA]=DET_ASIG!$B437,"No existe información")))</f>
        <v>No existe información</v>
      </c>
      <c r="O453" t="str" cm="1">
        <f t="array" ref="O453">TRANSPOSE(_xlfn.UNIQUE(_xlfn._xlws.FILTER(MAE_ASIGNATURA[NOM_ASIG],(MAE_ASIGNATURA[ID_NIVEL]=DET_ASIG!$D437)*(MAE_ASIGNATURA[ID_CARRERA]=DET_ASIG!$B437),"No existe información")))</f>
        <v>No existe información</v>
      </c>
    </row>
    <row r="454" spans="1:15">
      <c r="A454" t="str" cm="1">
        <f t="array" ref="A454">TRANSPOSE(_xlfn.UNIQUE(_xlfn._xlws.FILTER(MAE_ASIGNATURA[ID_NIVEL],MAE_ASIGNATURA[ID_CARRERA]=DET_ASIG!$B438,"No existe información")))</f>
        <v>No existe información</v>
      </c>
      <c r="O454" t="str" cm="1">
        <f t="array" ref="O454">TRANSPOSE(_xlfn.UNIQUE(_xlfn._xlws.FILTER(MAE_ASIGNATURA[NOM_ASIG],(MAE_ASIGNATURA[ID_NIVEL]=DET_ASIG!$D438)*(MAE_ASIGNATURA[ID_CARRERA]=DET_ASIG!$B438),"No existe información")))</f>
        <v>No existe información</v>
      </c>
    </row>
    <row r="455" spans="1:15">
      <c r="A455" t="str" cm="1">
        <f t="array" ref="A455">TRANSPOSE(_xlfn.UNIQUE(_xlfn._xlws.FILTER(MAE_ASIGNATURA[ID_NIVEL],MAE_ASIGNATURA[ID_CARRERA]=DET_ASIG!$B439,"No existe información")))</f>
        <v>No existe información</v>
      </c>
      <c r="O455" t="str" cm="1">
        <f t="array" ref="O455">TRANSPOSE(_xlfn.UNIQUE(_xlfn._xlws.FILTER(MAE_ASIGNATURA[NOM_ASIG],(MAE_ASIGNATURA[ID_NIVEL]=DET_ASIG!$D439)*(MAE_ASIGNATURA[ID_CARRERA]=DET_ASIG!$B439),"No existe información")))</f>
        <v>No existe información</v>
      </c>
    </row>
    <row r="456" spans="1:15">
      <c r="A456" t="str" cm="1">
        <f t="array" ref="A456">TRANSPOSE(_xlfn.UNIQUE(_xlfn._xlws.FILTER(MAE_ASIGNATURA[ID_NIVEL],MAE_ASIGNATURA[ID_CARRERA]=DET_ASIG!$B440,"No existe información")))</f>
        <v>No existe información</v>
      </c>
      <c r="O456" t="str" cm="1">
        <f t="array" ref="O456">TRANSPOSE(_xlfn.UNIQUE(_xlfn._xlws.FILTER(MAE_ASIGNATURA[NOM_ASIG],(MAE_ASIGNATURA[ID_NIVEL]=DET_ASIG!$D440)*(MAE_ASIGNATURA[ID_CARRERA]=DET_ASIG!$B440),"No existe información")))</f>
        <v>No existe información</v>
      </c>
    </row>
    <row r="457" spans="1:15">
      <c r="A457" t="str" cm="1">
        <f t="array" ref="A457">TRANSPOSE(_xlfn.UNIQUE(_xlfn._xlws.FILTER(MAE_ASIGNATURA[ID_NIVEL],MAE_ASIGNATURA[ID_CARRERA]=DET_ASIG!$B441,"No existe información")))</f>
        <v>No existe información</v>
      </c>
      <c r="O457" t="str" cm="1">
        <f t="array" ref="O457">TRANSPOSE(_xlfn.UNIQUE(_xlfn._xlws.FILTER(MAE_ASIGNATURA[NOM_ASIG],(MAE_ASIGNATURA[ID_NIVEL]=DET_ASIG!$D441)*(MAE_ASIGNATURA[ID_CARRERA]=DET_ASIG!$B441),"No existe información")))</f>
        <v>No existe información</v>
      </c>
    </row>
    <row r="458" spans="1:15">
      <c r="A458" t="str" cm="1">
        <f t="array" ref="A458">TRANSPOSE(_xlfn.UNIQUE(_xlfn._xlws.FILTER(MAE_ASIGNATURA[ID_NIVEL],MAE_ASIGNATURA[ID_CARRERA]=DET_ASIG!$B442,"No existe información")))</f>
        <v>No existe información</v>
      </c>
      <c r="O458" t="str" cm="1">
        <f t="array" ref="O458">TRANSPOSE(_xlfn.UNIQUE(_xlfn._xlws.FILTER(MAE_ASIGNATURA[NOM_ASIG],(MAE_ASIGNATURA[ID_NIVEL]=DET_ASIG!$D442)*(MAE_ASIGNATURA[ID_CARRERA]=DET_ASIG!$B442),"No existe información")))</f>
        <v>No existe información</v>
      </c>
    </row>
    <row r="459" spans="1:15">
      <c r="A459" t="str" cm="1">
        <f t="array" ref="A459">TRANSPOSE(_xlfn.UNIQUE(_xlfn._xlws.FILTER(MAE_ASIGNATURA[ID_NIVEL],MAE_ASIGNATURA[ID_CARRERA]=DET_ASIG!$B443,"No existe información")))</f>
        <v>No existe información</v>
      </c>
      <c r="O459" t="str" cm="1">
        <f t="array" ref="O459">TRANSPOSE(_xlfn.UNIQUE(_xlfn._xlws.FILTER(MAE_ASIGNATURA[NOM_ASIG],(MAE_ASIGNATURA[ID_NIVEL]=DET_ASIG!$D443)*(MAE_ASIGNATURA[ID_CARRERA]=DET_ASIG!$B443),"No existe información")))</f>
        <v>No existe información</v>
      </c>
    </row>
    <row r="460" spans="1:15">
      <c r="A460" t="str" cm="1">
        <f t="array" ref="A460">TRANSPOSE(_xlfn.UNIQUE(_xlfn._xlws.FILTER(MAE_ASIGNATURA[ID_NIVEL],MAE_ASIGNATURA[ID_CARRERA]=DET_ASIG!$B444,"No existe información")))</f>
        <v>No existe información</v>
      </c>
      <c r="O460" t="str" cm="1">
        <f t="array" ref="O460">TRANSPOSE(_xlfn.UNIQUE(_xlfn._xlws.FILTER(MAE_ASIGNATURA[NOM_ASIG],(MAE_ASIGNATURA[ID_NIVEL]=DET_ASIG!$D444)*(MAE_ASIGNATURA[ID_CARRERA]=DET_ASIG!$B444),"No existe información")))</f>
        <v>No existe información</v>
      </c>
    </row>
    <row r="461" spans="1:15">
      <c r="A461" t="str" cm="1">
        <f t="array" ref="A461">TRANSPOSE(_xlfn.UNIQUE(_xlfn._xlws.FILTER(MAE_ASIGNATURA[ID_NIVEL],MAE_ASIGNATURA[ID_CARRERA]=DET_ASIG!$B445,"No existe información")))</f>
        <v>No existe información</v>
      </c>
      <c r="O461" t="str" cm="1">
        <f t="array" ref="O461">TRANSPOSE(_xlfn.UNIQUE(_xlfn._xlws.FILTER(MAE_ASIGNATURA[NOM_ASIG],(MAE_ASIGNATURA[ID_NIVEL]=DET_ASIG!$D445)*(MAE_ASIGNATURA[ID_CARRERA]=DET_ASIG!$B445),"No existe información")))</f>
        <v>No existe información</v>
      </c>
    </row>
    <row r="462" spans="1:15">
      <c r="A462" t="str" cm="1">
        <f t="array" ref="A462">TRANSPOSE(_xlfn.UNIQUE(_xlfn._xlws.FILTER(MAE_ASIGNATURA[ID_NIVEL],MAE_ASIGNATURA[ID_CARRERA]=DET_ASIG!$B446,"No existe información")))</f>
        <v>No existe información</v>
      </c>
      <c r="O462" t="str" cm="1">
        <f t="array" ref="O462">TRANSPOSE(_xlfn.UNIQUE(_xlfn._xlws.FILTER(MAE_ASIGNATURA[NOM_ASIG],(MAE_ASIGNATURA[ID_NIVEL]=DET_ASIG!$D446)*(MAE_ASIGNATURA[ID_CARRERA]=DET_ASIG!$B446),"No existe información")))</f>
        <v>No existe información</v>
      </c>
    </row>
    <row r="463" spans="1:15">
      <c r="A463" t="str" cm="1">
        <f t="array" ref="A463">TRANSPOSE(_xlfn.UNIQUE(_xlfn._xlws.FILTER(MAE_ASIGNATURA[ID_NIVEL],MAE_ASIGNATURA[ID_CARRERA]=DET_ASIG!$B447,"No existe información")))</f>
        <v>No existe información</v>
      </c>
      <c r="O463" t="str" cm="1">
        <f t="array" ref="O463">TRANSPOSE(_xlfn.UNIQUE(_xlfn._xlws.FILTER(MAE_ASIGNATURA[NOM_ASIG],(MAE_ASIGNATURA[ID_NIVEL]=DET_ASIG!$D447)*(MAE_ASIGNATURA[ID_CARRERA]=DET_ASIG!$B447),"No existe información")))</f>
        <v>No existe información</v>
      </c>
    </row>
    <row r="464" spans="1:15">
      <c r="A464" t="str" cm="1">
        <f t="array" ref="A464">TRANSPOSE(_xlfn.UNIQUE(_xlfn._xlws.FILTER(MAE_ASIGNATURA[ID_NIVEL],MAE_ASIGNATURA[ID_CARRERA]=DET_ASIG!$B448,"No existe información")))</f>
        <v>No existe información</v>
      </c>
      <c r="O464" t="str" cm="1">
        <f t="array" ref="O464">TRANSPOSE(_xlfn.UNIQUE(_xlfn._xlws.FILTER(MAE_ASIGNATURA[NOM_ASIG],(MAE_ASIGNATURA[ID_NIVEL]=DET_ASIG!$D448)*(MAE_ASIGNATURA[ID_CARRERA]=DET_ASIG!$B448),"No existe información")))</f>
        <v>No existe información</v>
      </c>
    </row>
    <row r="465" spans="1:15">
      <c r="A465" t="str" cm="1">
        <f t="array" ref="A465">TRANSPOSE(_xlfn.UNIQUE(_xlfn._xlws.FILTER(MAE_ASIGNATURA[ID_NIVEL],MAE_ASIGNATURA[ID_CARRERA]=DET_ASIG!$B449,"No existe información")))</f>
        <v>No existe información</v>
      </c>
      <c r="O465" t="str" cm="1">
        <f t="array" ref="O465">TRANSPOSE(_xlfn.UNIQUE(_xlfn._xlws.FILTER(MAE_ASIGNATURA[NOM_ASIG],(MAE_ASIGNATURA[ID_NIVEL]=DET_ASIG!$D449)*(MAE_ASIGNATURA[ID_CARRERA]=DET_ASIG!$B449),"No existe información")))</f>
        <v>No existe información</v>
      </c>
    </row>
    <row r="466" spans="1:15">
      <c r="A466" t="str" cm="1">
        <f t="array" ref="A466">TRANSPOSE(_xlfn.UNIQUE(_xlfn._xlws.FILTER(MAE_ASIGNATURA[ID_NIVEL],MAE_ASIGNATURA[ID_CARRERA]=DET_ASIG!$B450,"No existe información")))</f>
        <v>No existe información</v>
      </c>
      <c r="O466" t="str" cm="1">
        <f t="array" ref="O466">TRANSPOSE(_xlfn.UNIQUE(_xlfn._xlws.FILTER(MAE_ASIGNATURA[NOM_ASIG],(MAE_ASIGNATURA[ID_NIVEL]=DET_ASIG!$D450)*(MAE_ASIGNATURA[ID_CARRERA]=DET_ASIG!$B450),"No existe información")))</f>
        <v>No existe información</v>
      </c>
    </row>
    <row r="467" spans="1:15">
      <c r="A467" t="str" cm="1">
        <f t="array" ref="A467">TRANSPOSE(_xlfn.UNIQUE(_xlfn._xlws.FILTER(MAE_ASIGNATURA[ID_NIVEL],MAE_ASIGNATURA[ID_CARRERA]=DET_ASIG!$B451,"No existe información")))</f>
        <v>No existe información</v>
      </c>
      <c r="O467" t="str" cm="1">
        <f t="array" ref="O467">TRANSPOSE(_xlfn.UNIQUE(_xlfn._xlws.FILTER(MAE_ASIGNATURA[NOM_ASIG],(MAE_ASIGNATURA[ID_NIVEL]=DET_ASIG!$D451)*(MAE_ASIGNATURA[ID_CARRERA]=DET_ASIG!$B451),"No existe información")))</f>
        <v>No existe información</v>
      </c>
    </row>
    <row r="468" spans="1:15">
      <c r="A468" t="str" cm="1">
        <f t="array" ref="A468">TRANSPOSE(_xlfn.UNIQUE(_xlfn._xlws.FILTER(MAE_ASIGNATURA[ID_NIVEL],MAE_ASIGNATURA[ID_CARRERA]=DET_ASIG!$B452,"No existe información")))</f>
        <v>No existe información</v>
      </c>
      <c r="O468" t="str" cm="1">
        <f t="array" ref="O468">TRANSPOSE(_xlfn.UNIQUE(_xlfn._xlws.FILTER(MAE_ASIGNATURA[NOM_ASIG],(MAE_ASIGNATURA[ID_NIVEL]=DET_ASIG!$D452)*(MAE_ASIGNATURA[ID_CARRERA]=DET_ASIG!$B452),"No existe información")))</f>
        <v>No existe información</v>
      </c>
    </row>
    <row r="469" spans="1:15">
      <c r="A469" t="str" cm="1">
        <f t="array" ref="A469">TRANSPOSE(_xlfn.UNIQUE(_xlfn._xlws.FILTER(MAE_ASIGNATURA[ID_NIVEL],MAE_ASIGNATURA[ID_CARRERA]=DET_ASIG!$B453,"No existe información")))</f>
        <v>No existe información</v>
      </c>
      <c r="O469" t="str" cm="1">
        <f t="array" ref="O469">TRANSPOSE(_xlfn.UNIQUE(_xlfn._xlws.FILTER(MAE_ASIGNATURA[NOM_ASIG],(MAE_ASIGNATURA[ID_NIVEL]=DET_ASIG!$D453)*(MAE_ASIGNATURA[ID_CARRERA]=DET_ASIG!$B453),"No existe información")))</f>
        <v>No existe información</v>
      </c>
    </row>
    <row r="470" spans="1:15">
      <c r="A470" t="str" cm="1">
        <f t="array" ref="A470">TRANSPOSE(_xlfn.UNIQUE(_xlfn._xlws.FILTER(MAE_ASIGNATURA[ID_NIVEL],MAE_ASIGNATURA[ID_CARRERA]=DET_ASIG!$B454,"No existe información")))</f>
        <v>No existe información</v>
      </c>
      <c r="O470" t="str" cm="1">
        <f t="array" ref="O470">TRANSPOSE(_xlfn.UNIQUE(_xlfn._xlws.FILTER(MAE_ASIGNATURA[NOM_ASIG],(MAE_ASIGNATURA[ID_NIVEL]=DET_ASIG!$D454)*(MAE_ASIGNATURA[ID_CARRERA]=DET_ASIG!$B454),"No existe información")))</f>
        <v>No existe información</v>
      </c>
    </row>
    <row r="471" spans="1:15">
      <c r="A471" t="str" cm="1">
        <f t="array" ref="A471">TRANSPOSE(_xlfn.UNIQUE(_xlfn._xlws.FILTER(MAE_ASIGNATURA[ID_NIVEL],MAE_ASIGNATURA[ID_CARRERA]=DET_ASIG!$B455,"No existe información")))</f>
        <v>No existe información</v>
      </c>
      <c r="O471" t="str" cm="1">
        <f t="array" ref="O471">TRANSPOSE(_xlfn.UNIQUE(_xlfn._xlws.FILTER(MAE_ASIGNATURA[NOM_ASIG],(MAE_ASIGNATURA[ID_NIVEL]=DET_ASIG!$D455)*(MAE_ASIGNATURA[ID_CARRERA]=DET_ASIG!$B455),"No existe información")))</f>
        <v>No existe información</v>
      </c>
    </row>
    <row r="472" spans="1:15">
      <c r="A472" t="str" cm="1">
        <f t="array" ref="A472">TRANSPOSE(_xlfn.UNIQUE(_xlfn._xlws.FILTER(MAE_ASIGNATURA[ID_NIVEL],MAE_ASIGNATURA[ID_CARRERA]=DET_ASIG!$B456,"No existe información")))</f>
        <v>No existe información</v>
      </c>
      <c r="O472" t="str" cm="1">
        <f t="array" ref="O472">TRANSPOSE(_xlfn.UNIQUE(_xlfn._xlws.FILTER(MAE_ASIGNATURA[NOM_ASIG],(MAE_ASIGNATURA[ID_NIVEL]=DET_ASIG!$D456)*(MAE_ASIGNATURA[ID_CARRERA]=DET_ASIG!$B456),"No existe información")))</f>
        <v>No existe información</v>
      </c>
    </row>
    <row r="473" spans="1:15">
      <c r="A473" t="str" cm="1">
        <f t="array" ref="A473">TRANSPOSE(_xlfn.UNIQUE(_xlfn._xlws.FILTER(MAE_ASIGNATURA[ID_NIVEL],MAE_ASIGNATURA[ID_CARRERA]=DET_ASIG!$B457,"No existe información")))</f>
        <v>No existe información</v>
      </c>
      <c r="O473" t="str" cm="1">
        <f t="array" ref="O473">TRANSPOSE(_xlfn.UNIQUE(_xlfn._xlws.FILTER(MAE_ASIGNATURA[NOM_ASIG],(MAE_ASIGNATURA[ID_NIVEL]=DET_ASIG!$D457)*(MAE_ASIGNATURA[ID_CARRERA]=DET_ASIG!$B457),"No existe información")))</f>
        <v>No existe información</v>
      </c>
    </row>
    <row r="474" spans="1:15">
      <c r="A474" t="str" cm="1">
        <f t="array" ref="A474">TRANSPOSE(_xlfn.UNIQUE(_xlfn._xlws.FILTER(MAE_ASIGNATURA[ID_NIVEL],MAE_ASIGNATURA[ID_CARRERA]=DET_ASIG!$B458,"No existe información")))</f>
        <v>No existe información</v>
      </c>
      <c r="O474" t="str" cm="1">
        <f t="array" ref="O474">TRANSPOSE(_xlfn.UNIQUE(_xlfn._xlws.FILTER(MAE_ASIGNATURA[NOM_ASIG],(MAE_ASIGNATURA[ID_NIVEL]=DET_ASIG!$D458)*(MAE_ASIGNATURA[ID_CARRERA]=DET_ASIG!$B458),"No existe información")))</f>
        <v>No existe información</v>
      </c>
    </row>
    <row r="475" spans="1:15">
      <c r="A475" t="str" cm="1">
        <f t="array" ref="A475">TRANSPOSE(_xlfn.UNIQUE(_xlfn._xlws.FILTER(MAE_ASIGNATURA[ID_NIVEL],MAE_ASIGNATURA[ID_CARRERA]=DET_ASIG!$B459,"No existe información")))</f>
        <v>No existe información</v>
      </c>
      <c r="O475" t="str" cm="1">
        <f t="array" ref="O475">TRANSPOSE(_xlfn.UNIQUE(_xlfn._xlws.FILTER(MAE_ASIGNATURA[NOM_ASIG],(MAE_ASIGNATURA[ID_NIVEL]=DET_ASIG!$D459)*(MAE_ASIGNATURA[ID_CARRERA]=DET_ASIG!$B459),"No existe información")))</f>
        <v>No existe información</v>
      </c>
    </row>
    <row r="476" spans="1:15">
      <c r="A476" t="str" cm="1">
        <f t="array" ref="A476">TRANSPOSE(_xlfn.UNIQUE(_xlfn._xlws.FILTER(MAE_ASIGNATURA[ID_NIVEL],MAE_ASIGNATURA[ID_CARRERA]=DET_ASIG!$B460,"No existe información")))</f>
        <v>No existe información</v>
      </c>
      <c r="O476" t="str" cm="1">
        <f t="array" ref="O476">TRANSPOSE(_xlfn.UNIQUE(_xlfn._xlws.FILTER(MAE_ASIGNATURA[NOM_ASIG],(MAE_ASIGNATURA[ID_NIVEL]=DET_ASIG!$D460)*(MAE_ASIGNATURA[ID_CARRERA]=DET_ASIG!$B460),"No existe información")))</f>
        <v>No existe información</v>
      </c>
    </row>
    <row r="477" spans="1:15">
      <c r="A477" t="str" cm="1">
        <f t="array" ref="A477">TRANSPOSE(_xlfn.UNIQUE(_xlfn._xlws.FILTER(MAE_ASIGNATURA[ID_NIVEL],MAE_ASIGNATURA[ID_CARRERA]=DET_ASIG!$B461,"No existe información")))</f>
        <v>No existe información</v>
      </c>
      <c r="O477" t="str" cm="1">
        <f t="array" ref="O477">TRANSPOSE(_xlfn.UNIQUE(_xlfn._xlws.FILTER(MAE_ASIGNATURA[NOM_ASIG],(MAE_ASIGNATURA[ID_NIVEL]=DET_ASIG!$D461)*(MAE_ASIGNATURA[ID_CARRERA]=DET_ASIG!$B461),"No existe información")))</f>
        <v>No existe información</v>
      </c>
    </row>
    <row r="478" spans="1:15">
      <c r="A478" t="str" cm="1">
        <f t="array" ref="A478">TRANSPOSE(_xlfn.UNIQUE(_xlfn._xlws.FILTER(MAE_ASIGNATURA[ID_NIVEL],MAE_ASIGNATURA[ID_CARRERA]=DET_ASIG!$B462,"No existe información")))</f>
        <v>No existe información</v>
      </c>
      <c r="O478" t="str" cm="1">
        <f t="array" ref="O478">TRANSPOSE(_xlfn.UNIQUE(_xlfn._xlws.FILTER(MAE_ASIGNATURA[NOM_ASIG],(MAE_ASIGNATURA[ID_NIVEL]=DET_ASIG!$D462)*(MAE_ASIGNATURA[ID_CARRERA]=DET_ASIG!$B462),"No existe información")))</f>
        <v>No existe información</v>
      </c>
    </row>
    <row r="479" spans="1:15">
      <c r="A479" t="str" cm="1">
        <f t="array" ref="A479">TRANSPOSE(_xlfn.UNIQUE(_xlfn._xlws.FILTER(MAE_ASIGNATURA[ID_NIVEL],MAE_ASIGNATURA[ID_CARRERA]=DET_ASIG!$B463,"No existe información")))</f>
        <v>No existe información</v>
      </c>
      <c r="O479" t="str" cm="1">
        <f t="array" ref="O479">TRANSPOSE(_xlfn.UNIQUE(_xlfn._xlws.FILTER(MAE_ASIGNATURA[NOM_ASIG],(MAE_ASIGNATURA[ID_NIVEL]=DET_ASIG!$D463)*(MAE_ASIGNATURA[ID_CARRERA]=DET_ASIG!$B463),"No existe información")))</f>
        <v>No existe información</v>
      </c>
    </row>
    <row r="480" spans="1:15">
      <c r="A480" t="str" cm="1">
        <f t="array" ref="A480">TRANSPOSE(_xlfn.UNIQUE(_xlfn._xlws.FILTER(MAE_ASIGNATURA[ID_NIVEL],MAE_ASIGNATURA[ID_CARRERA]=DET_ASIG!$B464,"No existe información")))</f>
        <v>No existe información</v>
      </c>
      <c r="O480" t="str" cm="1">
        <f t="array" ref="O480">TRANSPOSE(_xlfn.UNIQUE(_xlfn._xlws.FILTER(MAE_ASIGNATURA[NOM_ASIG],(MAE_ASIGNATURA[ID_NIVEL]=DET_ASIG!$D464)*(MAE_ASIGNATURA[ID_CARRERA]=DET_ASIG!$B464),"No existe información")))</f>
        <v>No existe información</v>
      </c>
    </row>
    <row r="481" spans="1:15">
      <c r="A481" t="str" cm="1">
        <f t="array" ref="A481">TRANSPOSE(_xlfn.UNIQUE(_xlfn._xlws.FILTER(MAE_ASIGNATURA[ID_NIVEL],MAE_ASIGNATURA[ID_CARRERA]=DET_ASIG!$B465,"No existe información")))</f>
        <v>No existe información</v>
      </c>
      <c r="O481" t="str" cm="1">
        <f t="array" ref="O481">TRANSPOSE(_xlfn.UNIQUE(_xlfn._xlws.FILTER(MAE_ASIGNATURA[NOM_ASIG],(MAE_ASIGNATURA[ID_NIVEL]=DET_ASIG!$D465)*(MAE_ASIGNATURA[ID_CARRERA]=DET_ASIG!$B465),"No existe información")))</f>
        <v>No existe información</v>
      </c>
    </row>
    <row r="482" spans="1:15">
      <c r="A482" t="str" cm="1">
        <f t="array" ref="A482">TRANSPOSE(_xlfn.UNIQUE(_xlfn._xlws.FILTER(MAE_ASIGNATURA[ID_NIVEL],MAE_ASIGNATURA[ID_CARRERA]=DET_ASIG!$B466,"No existe información")))</f>
        <v>No existe información</v>
      </c>
      <c r="O482" t="str" cm="1">
        <f t="array" ref="O482">TRANSPOSE(_xlfn.UNIQUE(_xlfn._xlws.FILTER(MAE_ASIGNATURA[NOM_ASIG],(MAE_ASIGNATURA[ID_NIVEL]=DET_ASIG!$D466)*(MAE_ASIGNATURA[ID_CARRERA]=DET_ASIG!$B466),"No existe información")))</f>
        <v>No existe información</v>
      </c>
    </row>
    <row r="483" spans="1:15">
      <c r="A483" t="str" cm="1">
        <f t="array" ref="A483">TRANSPOSE(_xlfn.UNIQUE(_xlfn._xlws.FILTER(MAE_ASIGNATURA[ID_NIVEL],MAE_ASIGNATURA[ID_CARRERA]=DET_ASIG!$B467,"No existe información")))</f>
        <v>No existe información</v>
      </c>
      <c r="O483" t="str" cm="1">
        <f t="array" ref="O483">TRANSPOSE(_xlfn.UNIQUE(_xlfn._xlws.FILTER(MAE_ASIGNATURA[NOM_ASIG],(MAE_ASIGNATURA[ID_NIVEL]=DET_ASIG!$D467)*(MAE_ASIGNATURA[ID_CARRERA]=DET_ASIG!$B467),"No existe información")))</f>
        <v>No existe información</v>
      </c>
    </row>
    <row r="484" spans="1:15">
      <c r="A484" t="str" cm="1">
        <f t="array" ref="A484">TRANSPOSE(_xlfn.UNIQUE(_xlfn._xlws.FILTER(MAE_ASIGNATURA[ID_NIVEL],MAE_ASIGNATURA[ID_CARRERA]=DET_ASIG!$B468,"No existe información")))</f>
        <v>No existe información</v>
      </c>
      <c r="O484" t="str" cm="1">
        <f t="array" ref="O484">TRANSPOSE(_xlfn.UNIQUE(_xlfn._xlws.FILTER(MAE_ASIGNATURA[NOM_ASIG],(MAE_ASIGNATURA[ID_NIVEL]=DET_ASIG!$D468)*(MAE_ASIGNATURA[ID_CARRERA]=DET_ASIG!$B468),"No existe información")))</f>
        <v>No existe información</v>
      </c>
    </row>
    <row r="485" spans="1:15">
      <c r="A485" t="str" cm="1">
        <f t="array" ref="A485">TRANSPOSE(_xlfn.UNIQUE(_xlfn._xlws.FILTER(MAE_ASIGNATURA[ID_NIVEL],MAE_ASIGNATURA[ID_CARRERA]=DET_ASIG!$B469,"No existe información")))</f>
        <v>No existe información</v>
      </c>
      <c r="O485" t="str" cm="1">
        <f t="array" ref="O485">TRANSPOSE(_xlfn.UNIQUE(_xlfn._xlws.FILTER(MAE_ASIGNATURA[NOM_ASIG],(MAE_ASIGNATURA[ID_NIVEL]=DET_ASIG!$D469)*(MAE_ASIGNATURA[ID_CARRERA]=DET_ASIG!$B469),"No existe información")))</f>
        <v>No existe información</v>
      </c>
    </row>
    <row r="486" spans="1:15">
      <c r="A486" t="str" cm="1">
        <f t="array" ref="A486">TRANSPOSE(_xlfn.UNIQUE(_xlfn._xlws.FILTER(MAE_ASIGNATURA[ID_NIVEL],MAE_ASIGNATURA[ID_CARRERA]=DET_ASIG!$B470,"No existe información")))</f>
        <v>No existe información</v>
      </c>
      <c r="O486" t="str" cm="1">
        <f t="array" ref="O486">TRANSPOSE(_xlfn.UNIQUE(_xlfn._xlws.FILTER(MAE_ASIGNATURA[NOM_ASIG],(MAE_ASIGNATURA[ID_NIVEL]=DET_ASIG!$D470)*(MAE_ASIGNATURA[ID_CARRERA]=DET_ASIG!$B470),"No existe información")))</f>
        <v>No existe información</v>
      </c>
    </row>
    <row r="487" spans="1:15">
      <c r="A487" t="str" cm="1">
        <f t="array" ref="A487">TRANSPOSE(_xlfn.UNIQUE(_xlfn._xlws.FILTER(MAE_ASIGNATURA[ID_NIVEL],MAE_ASIGNATURA[ID_CARRERA]=DET_ASIG!$B471,"No existe información")))</f>
        <v>No existe información</v>
      </c>
      <c r="O487" t="str" cm="1">
        <f t="array" ref="O487">TRANSPOSE(_xlfn.UNIQUE(_xlfn._xlws.FILTER(MAE_ASIGNATURA[NOM_ASIG],(MAE_ASIGNATURA[ID_NIVEL]=DET_ASIG!$D471)*(MAE_ASIGNATURA[ID_CARRERA]=DET_ASIG!$B471),"No existe información")))</f>
        <v>No existe información</v>
      </c>
    </row>
    <row r="488" spans="1:15">
      <c r="A488" t="str" cm="1">
        <f t="array" ref="A488">TRANSPOSE(_xlfn.UNIQUE(_xlfn._xlws.FILTER(MAE_ASIGNATURA[ID_NIVEL],MAE_ASIGNATURA[ID_CARRERA]=DET_ASIG!$B472,"No existe información")))</f>
        <v>No existe información</v>
      </c>
      <c r="O488" t="str" cm="1">
        <f t="array" ref="O488">TRANSPOSE(_xlfn.UNIQUE(_xlfn._xlws.FILTER(MAE_ASIGNATURA[NOM_ASIG],(MAE_ASIGNATURA[ID_NIVEL]=DET_ASIG!$D472)*(MAE_ASIGNATURA[ID_CARRERA]=DET_ASIG!$B472),"No existe información")))</f>
        <v>No existe información</v>
      </c>
    </row>
    <row r="489" spans="1:15">
      <c r="A489" t="str" cm="1">
        <f t="array" ref="A489">TRANSPOSE(_xlfn.UNIQUE(_xlfn._xlws.FILTER(MAE_ASIGNATURA[ID_NIVEL],MAE_ASIGNATURA[ID_CARRERA]=DET_ASIG!$B473,"No existe información")))</f>
        <v>No existe información</v>
      </c>
      <c r="O489" t="str" cm="1">
        <f t="array" ref="O489">TRANSPOSE(_xlfn.UNIQUE(_xlfn._xlws.FILTER(MAE_ASIGNATURA[NOM_ASIG],(MAE_ASIGNATURA[ID_NIVEL]=DET_ASIG!$D473)*(MAE_ASIGNATURA[ID_CARRERA]=DET_ASIG!$B473),"No existe información")))</f>
        <v>No existe información</v>
      </c>
    </row>
    <row r="490" spans="1:15">
      <c r="A490" t="str" cm="1">
        <f t="array" ref="A490">TRANSPOSE(_xlfn.UNIQUE(_xlfn._xlws.FILTER(MAE_ASIGNATURA[ID_NIVEL],MAE_ASIGNATURA[ID_CARRERA]=DET_ASIG!$B474,"No existe información")))</f>
        <v>No existe información</v>
      </c>
      <c r="O490" t="str" cm="1">
        <f t="array" ref="O490">TRANSPOSE(_xlfn.UNIQUE(_xlfn._xlws.FILTER(MAE_ASIGNATURA[NOM_ASIG],(MAE_ASIGNATURA[ID_NIVEL]=DET_ASIG!$D474)*(MAE_ASIGNATURA[ID_CARRERA]=DET_ASIG!$B474),"No existe información")))</f>
        <v>No existe información</v>
      </c>
    </row>
    <row r="491" spans="1:15">
      <c r="A491" t="str" cm="1">
        <f t="array" ref="A491">TRANSPOSE(_xlfn.UNIQUE(_xlfn._xlws.FILTER(MAE_ASIGNATURA[ID_NIVEL],MAE_ASIGNATURA[ID_CARRERA]=DET_ASIG!$B475,"No existe información")))</f>
        <v>No existe información</v>
      </c>
      <c r="O491" t="str" cm="1">
        <f t="array" ref="O491">TRANSPOSE(_xlfn.UNIQUE(_xlfn._xlws.FILTER(MAE_ASIGNATURA[NOM_ASIG],(MAE_ASIGNATURA[ID_NIVEL]=DET_ASIG!$D475)*(MAE_ASIGNATURA[ID_CARRERA]=DET_ASIG!$B475),"No existe información")))</f>
        <v>No existe información</v>
      </c>
    </row>
    <row r="492" spans="1:15">
      <c r="A492" t="str" cm="1">
        <f t="array" ref="A492">TRANSPOSE(_xlfn.UNIQUE(_xlfn._xlws.FILTER(MAE_ASIGNATURA[ID_NIVEL],MAE_ASIGNATURA[ID_CARRERA]=DET_ASIG!$B476,"No existe información")))</f>
        <v>No existe información</v>
      </c>
      <c r="O492" t="str" cm="1">
        <f t="array" ref="O492">TRANSPOSE(_xlfn.UNIQUE(_xlfn._xlws.FILTER(MAE_ASIGNATURA[NOM_ASIG],(MAE_ASIGNATURA[ID_NIVEL]=DET_ASIG!$D476)*(MAE_ASIGNATURA[ID_CARRERA]=DET_ASIG!$B476),"No existe información")))</f>
        <v>No existe información</v>
      </c>
    </row>
    <row r="493" spans="1:15">
      <c r="A493" t="str" cm="1">
        <f t="array" ref="A493">TRANSPOSE(_xlfn.UNIQUE(_xlfn._xlws.FILTER(MAE_ASIGNATURA[ID_NIVEL],MAE_ASIGNATURA[ID_CARRERA]=DET_ASIG!$B477,"No existe información")))</f>
        <v>No existe información</v>
      </c>
      <c r="O493" t="str" cm="1">
        <f t="array" ref="O493">TRANSPOSE(_xlfn.UNIQUE(_xlfn._xlws.FILTER(MAE_ASIGNATURA[NOM_ASIG],(MAE_ASIGNATURA[ID_NIVEL]=DET_ASIG!$D477)*(MAE_ASIGNATURA[ID_CARRERA]=DET_ASIG!$B477),"No existe información")))</f>
        <v>No existe información</v>
      </c>
    </row>
    <row r="494" spans="1:15">
      <c r="A494" t="str" cm="1">
        <f t="array" ref="A494">TRANSPOSE(_xlfn.UNIQUE(_xlfn._xlws.FILTER(MAE_ASIGNATURA[ID_NIVEL],MAE_ASIGNATURA[ID_CARRERA]=DET_ASIG!$B478,"No existe información")))</f>
        <v>No existe información</v>
      </c>
      <c r="O494" t="str" cm="1">
        <f t="array" ref="O494">TRANSPOSE(_xlfn.UNIQUE(_xlfn._xlws.FILTER(MAE_ASIGNATURA[NOM_ASIG],(MAE_ASIGNATURA[ID_NIVEL]=DET_ASIG!$D478)*(MAE_ASIGNATURA[ID_CARRERA]=DET_ASIG!$B478),"No existe información")))</f>
        <v>No existe información</v>
      </c>
    </row>
    <row r="495" spans="1:15">
      <c r="A495" t="str" cm="1">
        <f t="array" ref="A495">TRANSPOSE(_xlfn.UNIQUE(_xlfn._xlws.FILTER(MAE_ASIGNATURA[ID_NIVEL],MAE_ASIGNATURA[ID_CARRERA]=DET_ASIG!$B479,"No existe información")))</f>
        <v>No existe información</v>
      </c>
      <c r="O495" t="str" cm="1">
        <f t="array" ref="O495">TRANSPOSE(_xlfn.UNIQUE(_xlfn._xlws.FILTER(MAE_ASIGNATURA[NOM_ASIG],(MAE_ASIGNATURA[ID_NIVEL]=DET_ASIG!$D479)*(MAE_ASIGNATURA[ID_CARRERA]=DET_ASIG!$B479),"No existe información")))</f>
        <v>No existe información</v>
      </c>
    </row>
    <row r="496" spans="1:15">
      <c r="A496" t="str" cm="1">
        <f t="array" ref="A496">TRANSPOSE(_xlfn.UNIQUE(_xlfn._xlws.FILTER(MAE_ASIGNATURA[ID_NIVEL],MAE_ASIGNATURA[ID_CARRERA]=DET_ASIG!$B480,"No existe información")))</f>
        <v>No existe información</v>
      </c>
      <c r="O496" t="str" cm="1">
        <f t="array" ref="O496">TRANSPOSE(_xlfn.UNIQUE(_xlfn._xlws.FILTER(MAE_ASIGNATURA[NOM_ASIG],(MAE_ASIGNATURA[ID_NIVEL]=DET_ASIG!$D480)*(MAE_ASIGNATURA[ID_CARRERA]=DET_ASIG!$B480),"No existe información")))</f>
        <v>No existe información</v>
      </c>
    </row>
    <row r="497" spans="1:15">
      <c r="A497" t="str" cm="1">
        <f t="array" ref="A497">TRANSPOSE(_xlfn.UNIQUE(_xlfn._xlws.FILTER(MAE_ASIGNATURA[ID_NIVEL],MAE_ASIGNATURA[ID_CARRERA]=DET_ASIG!$B481,"No existe información")))</f>
        <v>No existe información</v>
      </c>
      <c r="O497" t="str" cm="1">
        <f t="array" ref="O497">TRANSPOSE(_xlfn.UNIQUE(_xlfn._xlws.FILTER(MAE_ASIGNATURA[NOM_ASIG],(MAE_ASIGNATURA[ID_NIVEL]=DET_ASIG!$D481)*(MAE_ASIGNATURA[ID_CARRERA]=DET_ASIG!$B481),"No existe información")))</f>
        <v>No existe información</v>
      </c>
    </row>
    <row r="498" spans="1:15">
      <c r="A498" t="str" cm="1">
        <f t="array" ref="A498">TRANSPOSE(_xlfn.UNIQUE(_xlfn._xlws.FILTER(MAE_ASIGNATURA[ID_NIVEL],MAE_ASIGNATURA[ID_CARRERA]=DET_ASIG!$B482,"No existe información")))</f>
        <v>No existe información</v>
      </c>
      <c r="O498" t="str" cm="1">
        <f t="array" ref="O498">TRANSPOSE(_xlfn.UNIQUE(_xlfn._xlws.FILTER(MAE_ASIGNATURA[NOM_ASIG],(MAE_ASIGNATURA[ID_NIVEL]=DET_ASIG!$D482)*(MAE_ASIGNATURA[ID_CARRERA]=DET_ASIG!$B482),"No existe información")))</f>
        <v>No existe información</v>
      </c>
    </row>
    <row r="499" spans="1:15">
      <c r="A499" t="str" cm="1">
        <f t="array" ref="A499">TRANSPOSE(_xlfn.UNIQUE(_xlfn._xlws.FILTER(MAE_ASIGNATURA[ID_NIVEL],MAE_ASIGNATURA[ID_CARRERA]=DET_ASIG!$B483,"No existe información")))</f>
        <v>No existe información</v>
      </c>
      <c r="O499" t="str" cm="1">
        <f t="array" ref="O499">TRANSPOSE(_xlfn.UNIQUE(_xlfn._xlws.FILTER(MAE_ASIGNATURA[NOM_ASIG],(MAE_ASIGNATURA[ID_NIVEL]=DET_ASIG!$D483)*(MAE_ASIGNATURA[ID_CARRERA]=DET_ASIG!$B483),"No existe información")))</f>
        <v>No existe información</v>
      </c>
    </row>
    <row r="500" spans="1:15">
      <c r="A500" t="str" cm="1">
        <f t="array" ref="A500">TRANSPOSE(_xlfn.UNIQUE(_xlfn._xlws.FILTER(MAE_ASIGNATURA[ID_NIVEL],MAE_ASIGNATURA[ID_CARRERA]=DET_ASIG!$B484,"No existe información")))</f>
        <v>No existe información</v>
      </c>
      <c r="O500" t="str" cm="1">
        <f t="array" ref="O500">TRANSPOSE(_xlfn.UNIQUE(_xlfn._xlws.FILTER(MAE_ASIGNATURA[NOM_ASIG],(MAE_ASIGNATURA[ID_NIVEL]=DET_ASIG!$D484)*(MAE_ASIGNATURA[ID_CARRERA]=DET_ASIG!$B484),"No existe información")))</f>
        <v>No existe información</v>
      </c>
    </row>
    <row r="501" spans="1:15">
      <c r="A501" t="str" cm="1">
        <f t="array" ref="A501">TRANSPOSE(_xlfn.UNIQUE(_xlfn._xlws.FILTER(MAE_ASIGNATURA[ID_NIVEL],MAE_ASIGNATURA[ID_CARRERA]=DET_ASIG!$B485,"No existe información")))</f>
        <v>No existe información</v>
      </c>
      <c r="O501" t="str" cm="1">
        <f t="array" ref="O501">TRANSPOSE(_xlfn.UNIQUE(_xlfn._xlws.FILTER(MAE_ASIGNATURA[NOM_ASIG],(MAE_ASIGNATURA[ID_NIVEL]=DET_ASIG!$D485)*(MAE_ASIGNATURA[ID_CARRERA]=DET_ASIG!$B485),"No existe información")))</f>
        <v>No existe información</v>
      </c>
    </row>
    <row r="502" spans="1:15">
      <c r="A502" t="str" cm="1">
        <f t="array" ref="A502">TRANSPOSE(_xlfn.UNIQUE(_xlfn._xlws.FILTER(MAE_ASIGNATURA[ID_NIVEL],MAE_ASIGNATURA[ID_CARRERA]=DET_ASIG!$B486,"No existe información")))</f>
        <v>No existe información</v>
      </c>
      <c r="O502" t="str" cm="1">
        <f t="array" ref="O502">TRANSPOSE(_xlfn.UNIQUE(_xlfn._xlws.FILTER(MAE_ASIGNATURA[NOM_ASIG],(MAE_ASIGNATURA[ID_NIVEL]=DET_ASIG!$D486)*(MAE_ASIGNATURA[ID_CARRERA]=DET_ASIG!$B486),"No existe información")))</f>
        <v>No existe información</v>
      </c>
    </row>
    <row r="503" spans="1:15">
      <c r="A503" t="str" cm="1">
        <f t="array" ref="A503">TRANSPOSE(_xlfn.UNIQUE(_xlfn._xlws.FILTER(MAE_ASIGNATURA[ID_NIVEL],MAE_ASIGNATURA[ID_CARRERA]=DET_ASIG!$B487,"No existe información")))</f>
        <v>No existe información</v>
      </c>
      <c r="O503" t="str" cm="1">
        <f t="array" ref="O503">TRANSPOSE(_xlfn.UNIQUE(_xlfn._xlws.FILTER(MAE_ASIGNATURA[NOM_ASIG],(MAE_ASIGNATURA[ID_NIVEL]=DET_ASIG!$D487)*(MAE_ASIGNATURA[ID_CARRERA]=DET_ASIG!$B487),"No existe información")))</f>
        <v>No existe información</v>
      </c>
    </row>
    <row r="504" spans="1:15">
      <c r="A504" t="str" cm="1">
        <f t="array" ref="A504">TRANSPOSE(_xlfn.UNIQUE(_xlfn._xlws.FILTER(MAE_ASIGNATURA[ID_NIVEL],MAE_ASIGNATURA[ID_CARRERA]=DET_ASIG!$B488,"No existe información")))</f>
        <v>No existe información</v>
      </c>
      <c r="O504" t="str" cm="1">
        <f t="array" ref="O504">TRANSPOSE(_xlfn.UNIQUE(_xlfn._xlws.FILTER(MAE_ASIGNATURA[NOM_ASIG],(MAE_ASIGNATURA[ID_NIVEL]=DET_ASIG!$D488)*(MAE_ASIGNATURA[ID_CARRERA]=DET_ASIG!$B488),"No existe información")))</f>
        <v>No existe información</v>
      </c>
    </row>
    <row r="505" spans="1:15">
      <c r="A505" t="str" cm="1">
        <f t="array" ref="A505">TRANSPOSE(_xlfn.UNIQUE(_xlfn._xlws.FILTER(MAE_ASIGNATURA[ID_NIVEL],MAE_ASIGNATURA[ID_CARRERA]=DET_ASIG!$B489,"No existe información")))</f>
        <v>No existe información</v>
      </c>
      <c r="O505" t="str" cm="1">
        <f t="array" ref="O505">TRANSPOSE(_xlfn.UNIQUE(_xlfn._xlws.FILTER(MAE_ASIGNATURA[NOM_ASIG],(MAE_ASIGNATURA[ID_NIVEL]=DET_ASIG!$D489)*(MAE_ASIGNATURA[ID_CARRERA]=DET_ASIG!$B489),"No existe información")))</f>
        <v>No existe información</v>
      </c>
    </row>
    <row r="506" spans="1:15">
      <c r="A506" t="str" cm="1">
        <f t="array" ref="A506">TRANSPOSE(_xlfn.UNIQUE(_xlfn._xlws.FILTER(MAE_ASIGNATURA[ID_NIVEL],MAE_ASIGNATURA[ID_CARRERA]=DET_ASIG!$B490,"No existe información")))</f>
        <v>No existe información</v>
      </c>
      <c r="O506" t="str" cm="1">
        <f t="array" ref="O506">TRANSPOSE(_xlfn.UNIQUE(_xlfn._xlws.FILTER(MAE_ASIGNATURA[NOM_ASIG],(MAE_ASIGNATURA[ID_NIVEL]=DET_ASIG!$D490)*(MAE_ASIGNATURA[ID_CARRERA]=DET_ASIG!$B490),"No existe información")))</f>
        <v>No existe información</v>
      </c>
    </row>
    <row r="507" spans="1:15">
      <c r="A507" t="str" cm="1">
        <f t="array" ref="A507">TRANSPOSE(_xlfn.UNIQUE(_xlfn._xlws.FILTER(MAE_ASIGNATURA[ID_NIVEL],MAE_ASIGNATURA[ID_CARRERA]=DET_ASIG!$B491,"No existe información")))</f>
        <v>No existe información</v>
      </c>
      <c r="O507" t="str" cm="1">
        <f t="array" ref="O507">TRANSPOSE(_xlfn.UNIQUE(_xlfn._xlws.FILTER(MAE_ASIGNATURA[NOM_ASIG],(MAE_ASIGNATURA[ID_NIVEL]=DET_ASIG!$D491)*(MAE_ASIGNATURA[ID_CARRERA]=DET_ASIG!$B491),"No existe información")))</f>
        <v>No existe información</v>
      </c>
    </row>
    <row r="508" spans="1:15">
      <c r="A508" t="str" cm="1">
        <f t="array" ref="A508">TRANSPOSE(_xlfn.UNIQUE(_xlfn._xlws.FILTER(MAE_ASIGNATURA[ID_NIVEL],MAE_ASIGNATURA[ID_CARRERA]=DET_ASIG!$B492,"No existe información")))</f>
        <v>No existe información</v>
      </c>
      <c r="O508" t="str" cm="1">
        <f t="array" ref="O508">TRANSPOSE(_xlfn.UNIQUE(_xlfn._xlws.FILTER(MAE_ASIGNATURA[NOM_ASIG],(MAE_ASIGNATURA[ID_NIVEL]=DET_ASIG!$D492)*(MAE_ASIGNATURA[ID_CARRERA]=DET_ASIG!$B492),"No existe información")))</f>
        <v>No existe información</v>
      </c>
    </row>
    <row r="509" spans="1:15">
      <c r="A509" t="str" cm="1">
        <f t="array" ref="A509">TRANSPOSE(_xlfn.UNIQUE(_xlfn._xlws.FILTER(MAE_ASIGNATURA[ID_NIVEL],MAE_ASIGNATURA[ID_CARRERA]=DET_ASIG!$B493,"No existe información")))</f>
        <v>No existe información</v>
      </c>
      <c r="O509" t="str" cm="1">
        <f t="array" ref="O509">TRANSPOSE(_xlfn.UNIQUE(_xlfn._xlws.FILTER(MAE_ASIGNATURA[NOM_ASIG],(MAE_ASIGNATURA[ID_NIVEL]=DET_ASIG!$D493)*(MAE_ASIGNATURA[ID_CARRERA]=DET_ASIG!$B493),"No existe información")))</f>
        <v>No existe información</v>
      </c>
    </row>
    <row r="510" spans="1:15">
      <c r="A510" t="str" cm="1">
        <f t="array" ref="A510">TRANSPOSE(_xlfn.UNIQUE(_xlfn._xlws.FILTER(MAE_ASIGNATURA[ID_NIVEL],MAE_ASIGNATURA[ID_CARRERA]=DET_ASIG!$B494,"No existe información")))</f>
        <v>No existe información</v>
      </c>
      <c r="O510" t="str" cm="1">
        <f t="array" ref="O510">TRANSPOSE(_xlfn.UNIQUE(_xlfn._xlws.FILTER(MAE_ASIGNATURA[NOM_ASIG],(MAE_ASIGNATURA[ID_NIVEL]=DET_ASIG!$D494)*(MAE_ASIGNATURA[ID_CARRERA]=DET_ASIG!$B494),"No existe información")))</f>
        <v>No existe información</v>
      </c>
    </row>
    <row r="511" spans="1:15">
      <c r="A511" t="str" cm="1">
        <f t="array" ref="A511">TRANSPOSE(_xlfn.UNIQUE(_xlfn._xlws.FILTER(MAE_ASIGNATURA[ID_NIVEL],MAE_ASIGNATURA[ID_CARRERA]=DET_ASIG!$B495,"No existe información")))</f>
        <v>No existe información</v>
      </c>
      <c r="O511" t="str" cm="1">
        <f t="array" ref="O511">TRANSPOSE(_xlfn.UNIQUE(_xlfn._xlws.FILTER(MAE_ASIGNATURA[NOM_ASIG],(MAE_ASIGNATURA[ID_NIVEL]=DET_ASIG!$D495)*(MAE_ASIGNATURA[ID_CARRERA]=DET_ASIG!$B495),"No existe información")))</f>
        <v>No existe información</v>
      </c>
    </row>
    <row r="512" spans="1:15">
      <c r="A512" t="str" cm="1">
        <f t="array" ref="A512">TRANSPOSE(_xlfn.UNIQUE(_xlfn._xlws.FILTER(MAE_ASIGNATURA[ID_NIVEL],MAE_ASIGNATURA[ID_CARRERA]=DET_ASIG!$B496,"No existe información")))</f>
        <v>No existe información</v>
      </c>
      <c r="O512" t="str" cm="1">
        <f t="array" ref="O512">TRANSPOSE(_xlfn.UNIQUE(_xlfn._xlws.FILTER(MAE_ASIGNATURA[NOM_ASIG],(MAE_ASIGNATURA[ID_NIVEL]=DET_ASIG!$D496)*(MAE_ASIGNATURA[ID_CARRERA]=DET_ASIG!$B496),"No existe información")))</f>
        <v>No existe información</v>
      </c>
    </row>
    <row r="513" spans="1:15">
      <c r="A513" t="str" cm="1">
        <f t="array" ref="A513">TRANSPOSE(_xlfn.UNIQUE(_xlfn._xlws.FILTER(MAE_ASIGNATURA[ID_NIVEL],MAE_ASIGNATURA[ID_CARRERA]=DET_ASIG!$B497,"No existe información")))</f>
        <v>No existe información</v>
      </c>
      <c r="O513" t="str" cm="1">
        <f t="array" ref="O513">TRANSPOSE(_xlfn.UNIQUE(_xlfn._xlws.FILTER(MAE_ASIGNATURA[NOM_ASIG],(MAE_ASIGNATURA[ID_NIVEL]=DET_ASIG!$D497)*(MAE_ASIGNATURA[ID_CARRERA]=DET_ASIG!$B497),"No existe información")))</f>
        <v>No existe información</v>
      </c>
    </row>
    <row r="514" spans="1:15">
      <c r="A514" t="str" cm="1">
        <f t="array" ref="A514">TRANSPOSE(_xlfn.UNIQUE(_xlfn._xlws.FILTER(MAE_ASIGNATURA[ID_NIVEL],MAE_ASIGNATURA[ID_CARRERA]=DET_ASIG!$B498,"No existe información")))</f>
        <v>No existe información</v>
      </c>
      <c r="O514" t="str" cm="1">
        <f t="array" ref="O514">TRANSPOSE(_xlfn.UNIQUE(_xlfn._xlws.FILTER(MAE_ASIGNATURA[NOM_ASIG],(MAE_ASIGNATURA[ID_NIVEL]=DET_ASIG!$D498)*(MAE_ASIGNATURA[ID_CARRERA]=DET_ASIG!$B498),"No existe información")))</f>
        <v>No existe información</v>
      </c>
    </row>
    <row r="515" spans="1:15">
      <c r="A515" t="str" cm="1">
        <f t="array" ref="A515">TRANSPOSE(_xlfn.UNIQUE(_xlfn._xlws.FILTER(MAE_ASIGNATURA[ID_NIVEL],MAE_ASIGNATURA[ID_CARRERA]=DET_ASIG!$B499,"No existe información")))</f>
        <v>No existe información</v>
      </c>
      <c r="O515" t="str" cm="1">
        <f t="array" ref="O515">TRANSPOSE(_xlfn.UNIQUE(_xlfn._xlws.FILTER(MAE_ASIGNATURA[NOM_ASIG],(MAE_ASIGNATURA[ID_NIVEL]=DET_ASIG!$D499)*(MAE_ASIGNATURA[ID_CARRERA]=DET_ASIG!$B499),"No existe información")))</f>
        <v>No existe información</v>
      </c>
    </row>
    <row r="516" spans="1:15">
      <c r="A516" t="str" cm="1">
        <f t="array" ref="A516">TRANSPOSE(_xlfn.UNIQUE(_xlfn._xlws.FILTER(MAE_ASIGNATURA[ID_NIVEL],MAE_ASIGNATURA[ID_CARRERA]=DET_ASIG!$B500,"No existe información")))</f>
        <v>No existe información</v>
      </c>
      <c r="O516" t="str" cm="1">
        <f t="array" ref="O516">TRANSPOSE(_xlfn.UNIQUE(_xlfn._xlws.FILTER(MAE_ASIGNATURA[NOM_ASIG],(MAE_ASIGNATURA[ID_NIVEL]=DET_ASIG!$D500)*(MAE_ASIGNATURA[ID_CARRERA]=DET_ASIG!$B500),"No existe información")))</f>
        <v>No existe información</v>
      </c>
    </row>
    <row r="517" spans="1:15">
      <c r="A517" t="str" cm="1">
        <f t="array" ref="A517">TRANSPOSE(_xlfn.UNIQUE(_xlfn._xlws.FILTER(MAE_ASIGNATURA[ID_NIVEL],MAE_ASIGNATURA[ID_CARRERA]=DET_ASIG!$B501,"No existe información")))</f>
        <v>No existe información</v>
      </c>
      <c r="O517" t="str" cm="1">
        <f t="array" ref="O517">TRANSPOSE(_xlfn.UNIQUE(_xlfn._xlws.FILTER(MAE_ASIGNATURA[NOM_ASIG],(MAE_ASIGNATURA[ID_NIVEL]=DET_ASIG!$D501)*(MAE_ASIGNATURA[ID_CARRERA]=DET_ASIG!$B501),"No existe información")))</f>
        <v>No existe información</v>
      </c>
    </row>
    <row r="518" spans="1:15">
      <c r="A518" t="str" cm="1">
        <f t="array" ref="A518">TRANSPOSE(_xlfn.UNIQUE(_xlfn._xlws.FILTER(MAE_ASIGNATURA[ID_NIVEL],MAE_ASIGNATURA[ID_CARRERA]=DET_ASIG!$B502,"No existe información")))</f>
        <v>No existe información</v>
      </c>
      <c r="O518" t="str" cm="1">
        <f t="array" ref="O518">TRANSPOSE(_xlfn.UNIQUE(_xlfn._xlws.FILTER(MAE_ASIGNATURA[NOM_ASIG],(MAE_ASIGNATURA[ID_NIVEL]=DET_ASIG!$D502)*(MAE_ASIGNATURA[ID_CARRERA]=DET_ASIG!$B502),"No existe información")))</f>
        <v>No existe información</v>
      </c>
    </row>
    <row r="519" spans="1:15">
      <c r="A519" t="str" cm="1">
        <f t="array" ref="A519">TRANSPOSE(_xlfn.UNIQUE(_xlfn._xlws.FILTER(MAE_ASIGNATURA[ID_NIVEL],MAE_ASIGNATURA[ID_CARRERA]=DET_ASIG!$B503,"No existe información")))</f>
        <v>No existe información</v>
      </c>
      <c r="O519" t="str" cm="1">
        <f t="array" ref="O519">TRANSPOSE(_xlfn.UNIQUE(_xlfn._xlws.FILTER(MAE_ASIGNATURA[NOM_ASIG],(MAE_ASIGNATURA[ID_NIVEL]=DET_ASIG!$D503)*(MAE_ASIGNATURA[ID_CARRERA]=DET_ASIG!$B503),"No existe información")))</f>
        <v>No existe información</v>
      </c>
    </row>
    <row r="520" spans="1:15">
      <c r="A520" t="str" cm="1">
        <f t="array" ref="A520">TRANSPOSE(_xlfn.UNIQUE(_xlfn._xlws.FILTER(MAE_ASIGNATURA[ID_NIVEL],MAE_ASIGNATURA[ID_CARRERA]=DET_ASIG!$B504,"No existe información")))</f>
        <v>No existe información</v>
      </c>
      <c r="O520" t="str" cm="1">
        <f t="array" ref="O520">TRANSPOSE(_xlfn.UNIQUE(_xlfn._xlws.FILTER(MAE_ASIGNATURA[NOM_ASIG],(MAE_ASIGNATURA[ID_NIVEL]=DET_ASIG!$D504)*(MAE_ASIGNATURA[ID_CARRERA]=DET_ASIG!$B504),"No existe información")))</f>
        <v>No existe información</v>
      </c>
    </row>
    <row r="521" spans="1:15">
      <c r="A521" t="str" cm="1">
        <f t="array" ref="A521">TRANSPOSE(_xlfn.UNIQUE(_xlfn._xlws.FILTER(MAE_ASIGNATURA[ID_NIVEL],MAE_ASIGNATURA[ID_CARRERA]=DET_ASIG!$B505,"No existe información")))</f>
        <v>No existe información</v>
      </c>
      <c r="O521" t="str" cm="1">
        <f t="array" ref="O521">TRANSPOSE(_xlfn.UNIQUE(_xlfn._xlws.FILTER(MAE_ASIGNATURA[NOM_ASIG],(MAE_ASIGNATURA[ID_NIVEL]=DET_ASIG!$D505)*(MAE_ASIGNATURA[ID_CARRERA]=DET_ASIG!$B505),"No existe información")))</f>
        <v>No existe información</v>
      </c>
    </row>
    <row r="522" spans="1:15">
      <c r="A522" t="str" cm="1">
        <f t="array" ref="A522">TRANSPOSE(_xlfn.UNIQUE(_xlfn._xlws.FILTER(MAE_ASIGNATURA[ID_NIVEL],MAE_ASIGNATURA[ID_CARRERA]=DET_ASIG!$B506,"No existe información")))</f>
        <v>No existe información</v>
      </c>
      <c r="O522" t="str" cm="1">
        <f t="array" ref="O522">TRANSPOSE(_xlfn.UNIQUE(_xlfn._xlws.FILTER(MAE_ASIGNATURA[NOM_ASIG],(MAE_ASIGNATURA[ID_NIVEL]=DET_ASIG!$D506)*(MAE_ASIGNATURA[ID_CARRERA]=DET_ASIG!$B506),"No existe información")))</f>
        <v>No existe información</v>
      </c>
    </row>
    <row r="523" spans="1:15">
      <c r="A523" t="str" cm="1">
        <f t="array" ref="A523">TRANSPOSE(_xlfn.UNIQUE(_xlfn._xlws.FILTER(MAE_ASIGNATURA[ID_NIVEL],MAE_ASIGNATURA[ID_CARRERA]=DET_ASIG!$B507,"No existe información")))</f>
        <v>No existe información</v>
      </c>
      <c r="O523" t="str" cm="1">
        <f t="array" ref="O523">TRANSPOSE(_xlfn.UNIQUE(_xlfn._xlws.FILTER(MAE_ASIGNATURA[NOM_ASIG],(MAE_ASIGNATURA[ID_NIVEL]=DET_ASIG!$D507)*(MAE_ASIGNATURA[ID_CARRERA]=DET_ASIG!$B507),"No existe información")))</f>
        <v>No existe información</v>
      </c>
    </row>
    <row r="524" spans="1:15">
      <c r="A524" t="str" cm="1">
        <f t="array" ref="A524">TRANSPOSE(_xlfn.UNIQUE(_xlfn._xlws.FILTER(MAE_ASIGNATURA[ID_NIVEL],MAE_ASIGNATURA[ID_CARRERA]=DET_ASIG!$B508,"No existe información")))</f>
        <v>No existe información</v>
      </c>
      <c r="O524" t="str" cm="1">
        <f t="array" ref="O524">TRANSPOSE(_xlfn.UNIQUE(_xlfn._xlws.FILTER(MAE_ASIGNATURA[NOM_ASIG],(MAE_ASIGNATURA[ID_NIVEL]=DET_ASIG!$D508)*(MAE_ASIGNATURA[ID_CARRERA]=DET_ASIG!$B508),"No existe información")))</f>
        <v>No existe información</v>
      </c>
    </row>
    <row r="525" spans="1:15">
      <c r="A525" t="str" cm="1">
        <f t="array" ref="A525">TRANSPOSE(_xlfn.UNIQUE(_xlfn._xlws.FILTER(MAE_ASIGNATURA[ID_NIVEL],MAE_ASIGNATURA[ID_CARRERA]=DET_ASIG!$B509,"No existe información")))</f>
        <v>No existe información</v>
      </c>
      <c r="O525" t="str" cm="1">
        <f t="array" ref="O525">TRANSPOSE(_xlfn.UNIQUE(_xlfn._xlws.FILTER(MAE_ASIGNATURA[NOM_ASIG],(MAE_ASIGNATURA[ID_NIVEL]=DET_ASIG!$D509)*(MAE_ASIGNATURA[ID_CARRERA]=DET_ASIG!$B509),"No existe información")))</f>
        <v>No existe información</v>
      </c>
    </row>
    <row r="526" spans="1:15">
      <c r="A526" t="str" cm="1">
        <f t="array" ref="A526">TRANSPOSE(_xlfn.UNIQUE(_xlfn._xlws.FILTER(MAE_ASIGNATURA[ID_NIVEL],MAE_ASIGNATURA[ID_CARRERA]=DET_ASIG!$B510,"No existe información")))</f>
        <v>No existe información</v>
      </c>
      <c r="O526" t="str" cm="1">
        <f t="array" ref="O526">TRANSPOSE(_xlfn.UNIQUE(_xlfn._xlws.FILTER(MAE_ASIGNATURA[NOM_ASIG],(MAE_ASIGNATURA[ID_NIVEL]=DET_ASIG!$D510)*(MAE_ASIGNATURA[ID_CARRERA]=DET_ASIG!$B510),"No existe información")))</f>
        <v>No existe información</v>
      </c>
    </row>
    <row r="527" spans="1:15">
      <c r="A527" t="str" cm="1">
        <f t="array" ref="A527">TRANSPOSE(_xlfn.UNIQUE(_xlfn._xlws.FILTER(MAE_ASIGNATURA[ID_NIVEL],MAE_ASIGNATURA[ID_CARRERA]=DET_ASIG!$B511,"No existe información")))</f>
        <v>No existe información</v>
      </c>
      <c r="O527" t="str" cm="1">
        <f t="array" ref="O527">TRANSPOSE(_xlfn.UNIQUE(_xlfn._xlws.FILTER(MAE_ASIGNATURA[NOM_ASIG],(MAE_ASIGNATURA[ID_NIVEL]=DET_ASIG!$D511)*(MAE_ASIGNATURA[ID_CARRERA]=DET_ASIG!$B511),"No existe información")))</f>
        <v>No existe información</v>
      </c>
    </row>
    <row r="528" spans="1:15">
      <c r="A528" t="str" cm="1">
        <f t="array" ref="A528">TRANSPOSE(_xlfn.UNIQUE(_xlfn._xlws.FILTER(MAE_ASIGNATURA[ID_NIVEL],MAE_ASIGNATURA[ID_CARRERA]=DET_ASIG!$B512,"No existe información")))</f>
        <v>No existe información</v>
      </c>
      <c r="O528" t="str" cm="1">
        <f t="array" ref="O528">TRANSPOSE(_xlfn.UNIQUE(_xlfn._xlws.FILTER(MAE_ASIGNATURA[NOM_ASIG],(MAE_ASIGNATURA[ID_NIVEL]=DET_ASIG!$D512)*(MAE_ASIGNATURA[ID_CARRERA]=DET_ASIG!$B512),"No existe información")))</f>
        <v>No existe información</v>
      </c>
    </row>
    <row r="529" spans="1:15">
      <c r="A529" t="str" cm="1">
        <f t="array" ref="A529">TRANSPOSE(_xlfn.UNIQUE(_xlfn._xlws.FILTER(MAE_ASIGNATURA[ID_NIVEL],MAE_ASIGNATURA[ID_CARRERA]=DET_ASIG!$B513,"No existe información")))</f>
        <v>No existe información</v>
      </c>
      <c r="O529" t="str" cm="1">
        <f t="array" ref="O529">TRANSPOSE(_xlfn.UNIQUE(_xlfn._xlws.FILTER(MAE_ASIGNATURA[NOM_ASIG],(MAE_ASIGNATURA[ID_NIVEL]=DET_ASIG!$D513)*(MAE_ASIGNATURA[ID_CARRERA]=DET_ASIG!$B513),"No existe información")))</f>
        <v>No existe información</v>
      </c>
    </row>
    <row r="530" spans="1:15">
      <c r="A530" t="str" cm="1">
        <f t="array" ref="A530">TRANSPOSE(_xlfn.UNIQUE(_xlfn._xlws.FILTER(MAE_ASIGNATURA[ID_NIVEL],MAE_ASIGNATURA[ID_CARRERA]=DET_ASIG!$B514,"No existe información")))</f>
        <v>No existe información</v>
      </c>
      <c r="O530" t="str" cm="1">
        <f t="array" ref="O530">TRANSPOSE(_xlfn.UNIQUE(_xlfn._xlws.FILTER(MAE_ASIGNATURA[NOM_ASIG],(MAE_ASIGNATURA[ID_NIVEL]=DET_ASIG!$D514)*(MAE_ASIGNATURA[ID_CARRERA]=DET_ASIG!$B514),"No existe información")))</f>
        <v>No existe información</v>
      </c>
    </row>
    <row r="531" spans="1:15">
      <c r="A531" t="str" cm="1">
        <f t="array" ref="A531">TRANSPOSE(_xlfn.UNIQUE(_xlfn._xlws.FILTER(MAE_ASIGNATURA[ID_NIVEL],MAE_ASIGNATURA[ID_CARRERA]=DET_ASIG!$B515,"No existe información")))</f>
        <v>No existe información</v>
      </c>
      <c r="O531" t="str" cm="1">
        <f t="array" ref="O531">TRANSPOSE(_xlfn.UNIQUE(_xlfn._xlws.FILTER(MAE_ASIGNATURA[NOM_ASIG],(MAE_ASIGNATURA[ID_NIVEL]=DET_ASIG!$D515)*(MAE_ASIGNATURA[ID_CARRERA]=DET_ASIG!$B515),"No existe información")))</f>
        <v>No existe información</v>
      </c>
    </row>
    <row r="532" spans="1:15">
      <c r="A532" t="str" cm="1">
        <f t="array" ref="A532">TRANSPOSE(_xlfn.UNIQUE(_xlfn._xlws.FILTER(MAE_ASIGNATURA[ID_NIVEL],MAE_ASIGNATURA[ID_CARRERA]=DET_ASIG!$B516,"No existe información")))</f>
        <v>No existe información</v>
      </c>
      <c r="O532" t="str" cm="1">
        <f t="array" ref="O532">TRANSPOSE(_xlfn.UNIQUE(_xlfn._xlws.FILTER(MAE_ASIGNATURA[NOM_ASIG],(MAE_ASIGNATURA[ID_NIVEL]=DET_ASIG!$D516)*(MAE_ASIGNATURA[ID_CARRERA]=DET_ASIG!$B516),"No existe información")))</f>
        <v>No existe información</v>
      </c>
    </row>
    <row r="533" spans="1:15">
      <c r="A533" t="str" cm="1">
        <f t="array" ref="A533">TRANSPOSE(_xlfn.UNIQUE(_xlfn._xlws.FILTER(MAE_ASIGNATURA[ID_NIVEL],MAE_ASIGNATURA[ID_CARRERA]=DET_ASIG!$B517,"No existe información")))</f>
        <v>No existe información</v>
      </c>
      <c r="O533" t="str" cm="1">
        <f t="array" ref="O533">TRANSPOSE(_xlfn.UNIQUE(_xlfn._xlws.FILTER(MAE_ASIGNATURA[NOM_ASIG],(MAE_ASIGNATURA[ID_NIVEL]=DET_ASIG!$D517)*(MAE_ASIGNATURA[ID_CARRERA]=DET_ASIG!$B517),"No existe información")))</f>
        <v>No existe información</v>
      </c>
    </row>
    <row r="534" spans="1:15">
      <c r="A534" t="str" cm="1">
        <f t="array" ref="A534">TRANSPOSE(_xlfn.UNIQUE(_xlfn._xlws.FILTER(MAE_ASIGNATURA[ID_NIVEL],MAE_ASIGNATURA[ID_CARRERA]=DET_ASIG!$B518,"No existe información")))</f>
        <v>No existe información</v>
      </c>
      <c r="O534" t="str" cm="1">
        <f t="array" ref="O534">TRANSPOSE(_xlfn.UNIQUE(_xlfn._xlws.FILTER(MAE_ASIGNATURA[NOM_ASIG],(MAE_ASIGNATURA[ID_NIVEL]=DET_ASIG!$D518)*(MAE_ASIGNATURA[ID_CARRERA]=DET_ASIG!$B518),"No existe información")))</f>
        <v>No existe información</v>
      </c>
    </row>
    <row r="535" spans="1:15">
      <c r="A535" t="str" cm="1">
        <f t="array" ref="A535">TRANSPOSE(_xlfn.UNIQUE(_xlfn._xlws.FILTER(MAE_ASIGNATURA[ID_NIVEL],MAE_ASIGNATURA[ID_CARRERA]=DET_ASIG!$B519,"No existe información")))</f>
        <v>No existe información</v>
      </c>
      <c r="O535" t="str" cm="1">
        <f t="array" ref="O535">TRANSPOSE(_xlfn.UNIQUE(_xlfn._xlws.FILTER(MAE_ASIGNATURA[NOM_ASIG],(MAE_ASIGNATURA[ID_NIVEL]=DET_ASIG!$D519)*(MAE_ASIGNATURA[ID_CARRERA]=DET_ASIG!$B519),"No existe información")))</f>
        <v>No existe información</v>
      </c>
    </row>
    <row r="536" spans="1:15">
      <c r="A536" t="str" cm="1">
        <f t="array" ref="A536">TRANSPOSE(_xlfn.UNIQUE(_xlfn._xlws.FILTER(MAE_ASIGNATURA[ID_NIVEL],MAE_ASIGNATURA[ID_CARRERA]=DET_ASIG!$B520,"No existe información")))</f>
        <v>No existe información</v>
      </c>
      <c r="O536" t="str" cm="1">
        <f t="array" ref="O536">TRANSPOSE(_xlfn.UNIQUE(_xlfn._xlws.FILTER(MAE_ASIGNATURA[NOM_ASIG],(MAE_ASIGNATURA[ID_NIVEL]=DET_ASIG!$D520)*(MAE_ASIGNATURA[ID_CARRERA]=DET_ASIG!$B520),"No existe información")))</f>
        <v>No existe información</v>
      </c>
    </row>
    <row r="537" spans="1:15">
      <c r="A537" t="str" cm="1">
        <f t="array" ref="A537">TRANSPOSE(_xlfn.UNIQUE(_xlfn._xlws.FILTER(MAE_ASIGNATURA[ID_NIVEL],MAE_ASIGNATURA[ID_CARRERA]=DET_ASIG!$B521,"No existe información")))</f>
        <v>No existe información</v>
      </c>
      <c r="O537" t="str" cm="1">
        <f t="array" ref="O537">TRANSPOSE(_xlfn.UNIQUE(_xlfn._xlws.FILTER(MAE_ASIGNATURA[NOM_ASIG],(MAE_ASIGNATURA[ID_NIVEL]=DET_ASIG!$D521)*(MAE_ASIGNATURA[ID_CARRERA]=DET_ASIG!$B521),"No existe información")))</f>
        <v>No existe información</v>
      </c>
    </row>
    <row r="538" spans="1:15">
      <c r="A538" t="str" cm="1">
        <f t="array" ref="A538">TRANSPOSE(_xlfn.UNIQUE(_xlfn._xlws.FILTER(MAE_ASIGNATURA[ID_NIVEL],MAE_ASIGNATURA[ID_CARRERA]=DET_ASIG!$B522,"No existe información")))</f>
        <v>No existe información</v>
      </c>
      <c r="O538" t="str" cm="1">
        <f t="array" ref="O538">TRANSPOSE(_xlfn.UNIQUE(_xlfn._xlws.FILTER(MAE_ASIGNATURA[NOM_ASIG],(MAE_ASIGNATURA[ID_NIVEL]=DET_ASIG!$D522)*(MAE_ASIGNATURA[ID_CARRERA]=DET_ASIG!$B522),"No existe información")))</f>
        <v>No existe información</v>
      </c>
    </row>
    <row r="539" spans="1:15">
      <c r="A539" t="str" cm="1">
        <f t="array" ref="A539">TRANSPOSE(_xlfn.UNIQUE(_xlfn._xlws.FILTER(MAE_ASIGNATURA[ID_NIVEL],MAE_ASIGNATURA[ID_CARRERA]=DET_ASIG!$B523,"No existe información")))</f>
        <v>No existe información</v>
      </c>
      <c r="O539" t="str" cm="1">
        <f t="array" ref="O539">TRANSPOSE(_xlfn.UNIQUE(_xlfn._xlws.FILTER(MAE_ASIGNATURA[NOM_ASIG],(MAE_ASIGNATURA[ID_NIVEL]=DET_ASIG!$D523)*(MAE_ASIGNATURA[ID_CARRERA]=DET_ASIG!$B523),"No existe información")))</f>
        <v>No existe información</v>
      </c>
    </row>
    <row r="540" spans="1:15">
      <c r="A540" t="str" cm="1">
        <f t="array" ref="A540">TRANSPOSE(_xlfn.UNIQUE(_xlfn._xlws.FILTER(MAE_ASIGNATURA[ID_NIVEL],MAE_ASIGNATURA[ID_CARRERA]=DET_ASIG!$B524,"No existe información")))</f>
        <v>No existe información</v>
      </c>
      <c r="O540" t="str" cm="1">
        <f t="array" ref="O540">TRANSPOSE(_xlfn.UNIQUE(_xlfn._xlws.FILTER(MAE_ASIGNATURA[NOM_ASIG],(MAE_ASIGNATURA[ID_NIVEL]=DET_ASIG!$D524)*(MAE_ASIGNATURA[ID_CARRERA]=DET_ASIG!$B524),"No existe información")))</f>
        <v>No existe información</v>
      </c>
    </row>
    <row r="541" spans="1:15">
      <c r="A541" t="str" cm="1">
        <f t="array" ref="A541">TRANSPOSE(_xlfn.UNIQUE(_xlfn._xlws.FILTER(MAE_ASIGNATURA[ID_NIVEL],MAE_ASIGNATURA[ID_CARRERA]=DET_ASIG!$B525,"No existe información")))</f>
        <v>No existe información</v>
      </c>
      <c r="O541" t="str" cm="1">
        <f t="array" ref="O541">TRANSPOSE(_xlfn.UNIQUE(_xlfn._xlws.FILTER(MAE_ASIGNATURA[NOM_ASIG],(MAE_ASIGNATURA[ID_NIVEL]=DET_ASIG!$D525)*(MAE_ASIGNATURA[ID_CARRERA]=DET_ASIG!$B525),"No existe información")))</f>
        <v>No existe información</v>
      </c>
    </row>
    <row r="542" spans="1:15">
      <c r="A542" t="str" cm="1">
        <f t="array" ref="A542">TRANSPOSE(_xlfn.UNIQUE(_xlfn._xlws.FILTER(MAE_ASIGNATURA[ID_NIVEL],MAE_ASIGNATURA[ID_CARRERA]=DET_ASIG!$B526,"No existe información")))</f>
        <v>No existe información</v>
      </c>
      <c r="O542" t="str" cm="1">
        <f t="array" ref="O542">TRANSPOSE(_xlfn.UNIQUE(_xlfn._xlws.FILTER(MAE_ASIGNATURA[NOM_ASIG],(MAE_ASIGNATURA[ID_NIVEL]=DET_ASIG!$D526)*(MAE_ASIGNATURA[ID_CARRERA]=DET_ASIG!$B526),"No existe información")))</f>
        <v>No existe información</v>
      </c>
    </row>
    <row r="543" spans="1:15">
      <c r="A543" t="str" cm="1">
        <f t="array" ref="A543">TRANSPOSE(_xlfn.UNIQUE(_xlfn._xlws.FILTER(MAE_ASIGNATURA[ID_NIVEL],MAE_ASIGNATURA[ID_CARRERA]=DET_ASIG!$B527,"No existe información")))</f>
        <v>No existe información</v>
      </c>
      <c r="O543" t="str" cm="1">
        <f t="array" ref="O543">TRANSPOSE(_xlfn.UNIQUE(_xlfn._xlws.FILTER(MAE_ASIGNATURA[NOM_ASIG],(MAE_ASIGNATURA[ID_NIVEL]=DET_ASIG!$D527)*(MAE_ASIGNATURA[ID_CARRERA]=DET_ASIG!$B527),"No existe información")))</f>
        <v>No existe información</v>
      </c>
    </row>
    <row r="544" spans="1:15">
      <c r="A544" t="str" cm="1">
        <f t="array" ref="A544">TRANSPOSE(_xlfn.UNIQUE(_xlfn._xlws.FILTER(MAE_ASIGNATURA[ID_NIVEL],MAE_ASIGNATURA[ID_CARRERA]=DET_ASIG!$B528,"No existe información")))</f>
        <v>No existe información</v>
      </c>
      <c r="O544" t="str" cm="1">
        <f t="array" ref="O544">TRANSPOSE(_xlfn.UNIQUE(_xlfn._xlws.FILTER(MAE_ASIGNATURA[NOM_ASIG],(MAE_ASIGNATURA[ID_NIVEL]=DET_ASIG!$D528)*(MAE_ASIGNATURA[ID_CARRERA]=DET_ASIG!$B528),"No existe información")))</f>
        <v>No existe información</v>
      </c>
    </row>
    <row r="545" spans="1:15">
      <c r="A545" t="str" cm="1">
        <f t="array" ref="A545">TRANSPOSE(_xlfn.UNIQUE(_xlfn._xlws.FILTER(MAE_ASIGNATURA[ID_NIVEL],MAE_ASIGNATURA[ID_CARRERA]=DET_ASIG!$B529,"No existe información")))</f>
        <v>No existe información</v>
      </c>
      <c r="O545" t="str" cm="1">
        <f t="array" ref="O545">TRANSPOSE(_xlfn.UNIQUE(_xlfn._xlws.FILTER(MAE_ASIGNATURA[NOM_ASIG],(MAE_ASIGNATURA[ID_NIVEL]=DET_ASIG!$D529)*(MAE_ASIGNATURA[ID_CARRERA]=DET_ASIG!$B529),"No existe información")))</f>
        <v>No existe información</v>
      </c>
    </row>
    <row r="546" spans="1:15">
      <c r="A546" t="str" cm="1">
        <f t="array" ref="A546">TRANSPOSE(_xlfn.UNIQUE(_xlfn._xlws.FILTER(MAE_ASIGNATURA[ID_NIVEL],MAE_ASIGNATURA[ID_CARRERA]=DET_ASIG!$B530,"No existe información")))</f>
        <v>No existe información</v>
      </c>
      <c r="O546" t="str" cm="1">
        <f t="array" ref="O546">TRANSPOSE(_xlfn.UNIQUE(_xlfn._xlws.FILTER(MAE_ASIGNATURA[NOM_ASIG],(MAE_ASIGNATURA[ID_NIVEL]=DET_ASIG!$D530)*(MAE_ASIGNATURA[ID_CARRERA]=DET_ASIG!$B530),"No existe información")))</f>
        <v>No existe información</v>
      </c>
    </row>
    <row r="547" spans="1:15">
      <c r="A547" t="str" cm="1">
        <f t="array" ref="A547">TRANSPOSE(_xlfn.UNIQUE(_xlfn._xlws.FILTER(MAE_ASIGNATURA[ID_NIVEL],MAE_ASIGNATURA[ID_CARRERA]=DET_ASIG!$B531,"No existe información")))</f>
        <v>No existe información</v>
      </c>
      <c r="O547" t="str" cm="1">
        <f t="array" ref="O547">TRANSPOSE(_xlfn.UNIQUE(_xlfn._xlws.FILTER(MAE_ASIGNATURA[NOM_ASIG],(MAE_ASIGNATURA[ID_NIVEL]=DET_ASIG!$D531)*(MAE_ASIGNATURA[ID_CARRERA]=DET_ASIG!$B531),"No existe información")))</f>
        <v>No existe información</v>
      </c>
    </row>
    <row r="548" spans="1:15">
      <c r="A548" t="str" cm="1">
        <f t="array" ref="A548">TRANSPOSE(_xlfn.UNIQUE(_xlfn._xlws.FILTER(MAE_ASIGNATURA[ID_NIVEL],MAE_ASIGNATURA[ID_CARRERA]=DET_ASIG!$B532,"No existe información")))</f>
        <v>No existe información</v>
      </c>
      <c r="O548" t="str" cm="1">
        <f t="array" ref="O548">TRANSPOSE(_xlfn.UNIQUE(_xlfn._xlws.FILTER(MAE_ASIGNATURA[NOM_ASIG],(MAE_ASIGNATURA[ID_NIVEL]=DET_ASIG!$D532)*(MAE_ASIGNATURA[ID_CARRERA]=DET_ASIG!$B532),"No existe información")))</f>
        <v>No existe información</v>
      </c>
    </row>
    <row r="549" spans="1:15">
      <c r="A549" t="str" cm="1">
        <f t="array" ref="A549">TRANSPOSE(_xlfn.UNIQUE(_xlfn._xlws.FILTER(MAE_ASIGNATURA[ID_NIVEL],MAE_ASIGNATURA[ID_CARRERA]=DET_ASIG!$B533,"No existe información")))</f>
        <v>No existe información</v>
      </c>
      <c r="O549" t="str" cm="1">
        <f t="array" ref="O549">TRANSPOSE(_xlfn.UNIQUE(_xlfn._xlws.FILTER(MAE_ASIGNATURA[NOM_ASIG],(MAE_ASIGNATURA[ID_NIVEL]=DET_ASIG!$D533)*(MAE_ASIGNATURA[ID_CARRERA]=DET_ASIG!$B533),"No existe información")))</f>
        <v>No existe información</v>
      </c>
    </row>
    <row r="550" spans="1:15">
      <c r="A550" t="str" cm="1">
        <f t="array" ref="A550">TRANSPOSE(_xlfn.UNIQUE(_xlfn._xlws.FILTER(MAE_ASIGNATURA[ID_NIVEL],MAE_ASIGNATURA[ID_CARRERA]=DET_ASIG!$B534,"No existe información")))</f>
        <v>No existe información</v>
      </c>
      <c r="O550" t="str" cm="1">
        <f t="array" ref="O550">TRANSPOSE(_xlfn.UNIQUE(_xlfn._xlws.FILTER(MAE_ASIGNATURA[NOM_ASIG],(MAE_ASIGNATURA[ID_NIVEL]=DET_ASIG!$D534)*(MAE_ASIGNATURA[ID_CARRERA]=DET_ASIG!$B534),"No existe información")))</f>
        <v>No existe información</v>
      </c>
    </row>
    <row r="551" spans="1:15">
      <c r="A551" t="str" cm="1">
        <f t="array" ref="A551">TRANSPOSE(_xlfn.UNIQUE(_xlfn._xlws.FILTER(MAE_ASIGNATURA[ID_NIVEL],MAE_ASIGNATURA[ID_CARRERA]=DET_ASIG!$B535,"No existe información")))</f>
        <v>No existe información</v>
      </c>
      <c r="O551" t="str" cm="1">
        <f t="array" ref="O551">TRANSPOSE(_xlfn.UNIQUE(_xlfn._xlws.FILTER(MAE_ASIGNATURA[NOM_ASIG],(MAE_ASIGNATURA[ID_NIVEL]=DET_ASIG!$D535)*(MAE_ASIGNATURA[ID_CARRERA]=DET_ASIG!$B535),"No existe información")))</f>
        <v>No existe información</v>
      </c>
    </row>
    <row r="552" spans="1:15">
      <c r="A552" t="str" cm="1">
        <f t="array" ref="A552">TRANSPOSE(_xlfn.UNIQUE(_xlfn._xlws.FILTER(MAE_ASIGNATURA[ID_NIVEL],MAE_ASIGNATURA[ID_CARRERA]=DET_ASIG!$B536,"No existe información")))</f>
        <v>No existe información</v>
      </c>
      <c r="O552" t="str" cm="1">
        <f t="array" ref="O552">TRANSPOSE(_xlfn.UNIQUE(_xlfn._xlws.FILTER(MAE_ASIGNATURA[NOM_ASIG],(MAE_ASIGNATURA[ID_NIVEL]=DET_ASIG!$D536)*(MAE_ASIGNATURA[ID_CARRERA]=DET_ASIG!$B536),"No existe información")))</f>
        <v>No existe información</v>
      </c>
    </row>
    <row r="553" spans="1:15">
      <c r="A553" t="str" cm="1">
        <f t="array" ref="A553">TRANSPOSE(_xlfn.UNIQUE(_xlfn._xlws.FILTER(MAE_ASIGNATURA[ID_NIVEL],MAE_ASIGNATURA[ID_CARRERA]=DET_ASIG!$B537,"No existe información")))</f>
        <v>No existe información</v>
      </c>
      <c r="O553" t="str" cm="1">
        <f t="array" ref="O553">TRANSPOSE(_xlfn.UNIQUE(_xlfn._xlws.FILTER(MAE_ASIGNATURA[NOM_ASIG],(MAE_ASIGNATURA[ID_NIVEL]=DET_ASIG!$D537)*(MAE_ASIGNATURA[ID_CARRERA]=DET_ASIG!$B537),"No existe información")))</f>
        <v>No existe información</v>
      </c>
    </row>
    <row r="554" spans="1:15">
      <c r="A554" t="str" cm="1">
        <f t="array" ref="A554">TRANSPOSE(_xlfn.UNIQUE(_xlfn._xlws.FILTER(MAE_ASIGNATURA[ID_NIVEL],MAE_ASIGNATURA[ID_CARRERA]=DET_ASIG!$B538,"No existe información")))</f>
        <v>No existe información</v>
      </c>
      <c r="O554" t="str" cm="1">
        <f t="array" ref="O554">TRANSPOSE(_xlfn.UNIQUE(_xlfn._xlws.FILTER(MAE_ASIGNATURA[NOM_ASIG],(MAE_ASIGNATURA[ID_NIVEL]=DET_ASIG!$D538)*(MAE_ASIGNATURA[ID_CARRERA]=DET_ASIG!$B538),"No existe información")))</f>
        <v>No existe información</v>
      </c>
    </row>
    <row r="555" spans="1:15">
      <c r="A555" t="str" cm="1">
        <f t="array" ref="A555">TRANSPOSE(_xlfn.UNIQUE(_xlfn._xlws.FILTER(MAE_ASIGNATURA[ID_NIVEL],MAE_ASIGNATURA[ID_CARRERA]=DET_ASIG!$B539,"No existe información")))</f>
        <v>No existe información</v>
      </c>
      <c r="O555" t="str" cm="1">
        <f t="array" ref="O555">TRANSPOSE(_xlfn.UNIQUE(_xlfn._xlws.FILTER(MAE_ASIGNATURA[NOM_ASIG],(MAE_ASIGNATURA[ID_NIVEL]=DET_ASIG!$D539)*(MAE_ASIGNATURA[ID_CARRERA]=DET_ASIG!$B539),"No existe información")))</f>
        <v>No existe información</v>
      </c>
    </row>
    <row r="556" spans="1:15">
      <c r="A556" t="str" cm="1">
        <f t="array" ref="A556">TRANSPOSE(_xlfn.UNIQUE(_xlfn._xlws.FILTER(MAE_ASIGNATURA[ID_NIVEL],MAE_ASIGNATURA[ID_CARRERA]=DET_ASIG!$B540,"No existe información")))</f>
        <v>No existe información</v>
      </c>
      <c r="O556" t="str" cm="1">
        <f t="array" ref="O556">TRANSPOSE(_xlfn.UNIQUE(_xlfn._xlws.FILTER(MAE_ASIGNATURA[NOM_ASIG],(MAE_ASIGNATURA[ID_NIVEL]=DET_ASIG!$D540)*(MAE_ASIGNATURA[ID_CARRERA]=DET_ASIG!$B540),"No existe información")))</f>
        <v>No existe información</v>
      </c>
    </row>
    <row r="557" spans="1:15">
      <c r="A557" t="str" cm="1">
        <f t="array" ref="A557">TRANSPOSE(_xlfn.UNIQUE(_xlfn._xlws.FILTER(MAE_ASIGNATURA[ID_NIVEL],MAE_ASIGNATURA[ID_CARRERA]=DET_ASIG!$B541,"No existe información")))</f>
        <v>No existe información</v>
      </c>
      <c r="O557" t="str" cm="1">
        <f t="array" ref="O557">TRANSPOSE(_xlfn.UNIQUE(_xlfn._xlws.FILTER(MAE_ASIGNATURA[NOM_ASIG],(MAE_ASIGNATURA[ID_NIVEL]=DET_ASIG!$D541)*(MAE_ASIGNATURA[ID_CARRERA]=DET_ASIG!$B541),"No existe información")))</f>
        <v>No existe información</v>
      </c>
    </row>
    <row r="558" spans="1:15">
      <c r="A558" t="str" cm="1">
        <f t="array" ref="A558">TRANSPOSE(_xlfn.UNIQUE(_xlfn._xlws.FILTER(MAE_ASIGNATURA[ID_NIVEL],MAE_ASIGNATURA[ID_CARRERA]=DET_ASIG!$B542,"No existe información")))</f>
        <v>No existe información</v>
      </c>
      <c r="O558" t="str" cm="1">
        <f t="array" ref="O558">TRANSPOSE(_xlfn.UNIQUE(_xlfn._xlws.FILTER(MAE_ASIGNATURA[NOM_ASIG],(MAE_ASIGNATURA[ID_NIVEL]=DET_ASIG!$D542)*(MAE_ASIGNATURA[ID_CARRERA]=DET_ASIG!$B542),"No existe información")))</f>
        <v>No existe información</v>
      </c>
    </row>
    <row r="559" spans="1:15">
      <c r="A559" t="str" cm="1">
        <f t="array" ref="A559">TRANSPOSE(_xlfn.UNIQUE(_xlfn._xlws.FILTER(MAE_ASIGNATURA[ID_NIVEL],MAE_ASIGNATURA[ID_CARRERA]=DET_ASIG!$B543,"No existe información")))</f>
        <v>No existe información</v>
      </c>
      <c r="O559" t="str" cm="1">
        <f t="array" ref="O559">TRANSPOSE(_xlfn.UNIQUE(_xlfn._xlws.FILTER(MAE_ASIGNATURA[NOM_ASIG],(MAE_ASIGNATURA[ID_NIVEL]=DET_ASIG!$D543)*(MAE_ASIGNATURA[ID_CARRERA]=DET_ASIG!$B543),"No existe información")))</f>
        <v>No existe información</v>
      </c>
    </row>
    <row r="560" spans="1:15">
      <c r="A560" t="str" cm="1">
        <f t="array" ref="A560">TRANSPOSE(_xlfn.UNIQUE(_xlfn._xlws.FILTER(MAE_ASIGNATURA[ID_NIVEL],MAE_ASIGNATURA[ID_CARRERA]=DET_ASIG!$B544,"No existe información")))</f>
        <v>No existe información</v>
      </c>
      <c r="O560" t="str" cm="1">
        <f t="array" ref="O560">TRANSPOSE(_xlfn.UNIQUE(_xlfn._xlws.FILTER(MAE_ASIGNATURA[NOM_ASIG],(MAE_ASIGNATURA[ID_NIVEL]=DET_ASIG!$D544)*(MAE_ASIGNATURA[ID_CARRERA]=DET_ASIG!$B544),"No existe información")))</f>
        <v>No existe información</v>
      </c>
    </row>
    <row r="561" spans="1:15">
      <c r="A561" t="str" cm="1">
        <f t="array" ref="A561">TRANSPOSE(_xlfn.UNIQUE(_xlfn._xlws.FILTER(MAE_ASIGNATURA[ID_NIVEL],MAE_ASIGNATURA[ID_CARRERA]=DET_ASIG!$B545,"No existe información")))</f>
        <v>No existe información</v>
      </c>
      <c r="O561" t="str" cm="1">
        <f t="array" ref="O561">TRANSPOSE(_xlfn.UNIQUE(_xlfn._xlws.FILTER(MAE_ASIGNATURA[NOM_ASIG],(MAE_ASIGNATURA[ID_NIVEL]=DET_ASIG!$D545)*(MAE_ASIGNATURA[ID_CARRERA]=DET_ASIG!$B545),"No existe información")))</f>
        <v>No existe información</v>
      </c>
    </row>
    <row r="562" spans="1:15">
      <c r="A562" t="str" cm="1">
        <f t="array" ref="A562">TRANSPOSE(_xlfn.UNIQUE(_xlfn._xlws.FILTER(MAE_ASIGNATURA[ID_NIVEL],MAE_ASIGNATURA[ID_CARRERA]=DET_ASIG!$B546,"No existe información")))</f>
        <v>No existe información</v>
      </c>
      <c r="O562" t="str" cm="1">
        <f t="array" ref="O562">TRANSPOSE(_xlfn.UNIQUE(_xlfn._xlws.FILTER(MAE_ASIGNATURA[NOM_ASIG],(MAE_ASIGNATURA[ID_NIVEL]=DET_ASIG!$D546)*(MAE_ASIGNATURA[ID_CARRERA]=DET_ASIG!$B546),"No existe información")))</f>
        <v>No existe información</v>
      </c>
    </row>
    <row r="563" spans="1:15">
      <c r="A563" t="str" cm="1">
        <f t="array" ref="A563">TRANSPOSE(_xlfn.UNIQUE(_xlfn._xlws.FILTER(MAE_ASIGNATURA[ID_NIVEL],MAE_ASIGNATURA[ID_CARRERA]=DET_ASIG!$B547,"No existe información")))</f>
        <v>No existe información</v>
      </c>
      <c r="O563" t="str" cm="1">
        <f t="array" ref="O563">TRANSPOSE(_xlfn.UNIQUE(_xlfn._xlws.FILTER(MAE_ASIGNATURA[NOM_ASIG],(MAE_ASIGNATURA[ID_NIVEL]=DET_ASIG!$D547)*(MAE_ASIGNATURA[ID_CARRERA]=DET_ASIG!$B547),"No existe información")))</f>
        <v>No existe información</v>
      </c>
    </row>
    <row r="564" spans="1:15">
      <c r="A564" t="str" cm="1">
        <f t="array" ref="A564">TRANSPOSE(_xlfn.UNIQUE(_xlfn._xlws.FILTER(MAE_ASIGNATURA[ID_NIVEL],MAE_ASIGNATURA[ID_CARRERA]=DET_ASIG!$B548,"No existe información")))</f>
        <v>No existe información</v>
      </c>
      <c r="O564" t="str" cm="1">
        <f t="array" ref="O564">TRANSPOSE(_xlfn.UNIQUE(_xlfn._xlws.FILTER(MAE_ASIGNATURA[NOM_ASIG],(MAE_ASIGNATURA[ID_NIVEL]=DET_ASIG!$D548)*(MAE_ASIGNATURA[ID_CARRERA]=DET_ASIG!$B548),"No existe información")))</f>
        <v>No existe información</v>
      </c>
    </row>
    <row r="565" spans="1:15">
      <c r="A565" t="str" cm="1">
        <f t="array" ref="A565">TRANSPOSE(_xlfn.UNIQUE(_xlfn._xlws.FILTER(MAE_ASIGNATURA[ID_NIVEL],MAE_ASIGNATURA[ID_CARRERA]=DET_ASIG!$B549,"No existe información")))</f>
        <v>No existe información</v>
      </c>
      <c r="O565" t="str" cm="1">
        <f t="array" ref="O565">TRANSPOSE(_xlfn.UNIQUE(_xlfn._xlws.FILTER(MAE_ASIGNATURA[NOM_ASIG],(MAE_ASIGNATURA[ID_NIVEL]=DET_ASIG!$D549)*(MAE_ASIGNATURA[ID_CARRERA]=DET_ASIG!$B549),"No existe información")))</f>
        <v>No existe información</v>
      </c>
    </row>
    <row r="566" spans="1:15">
      <c r="A566" t="str" cm="1">
        <f t="array" ref="A566">TRANSPOSE(_xlfn.UNIQUE(_xlfn._xlws.FILTER(MAE_ASIGNATURA[ID_NIVEL],MAE_ASIGNATURA[ID_CARRERA]=DET_ASIG!$B550,"No existe información")))</f>
        <v>No existe información</v>
      </c>
      <c r="O566" t="str" cm="1">
        <f t="array" ref="O566">TRANSPOSE(_xlfn.UNIQUE(_xlfn._xlws.FILTER(MAE_ASIGNATURA[NOM_ASIG],(MAE_ASIGNATURA[ID_NIVEL]=DET_ASIG!$D550)*(MAE_ASIGNATURA[ID_CARRERA]=DET_ASIG!$B550),"No existe información")))</f>
        <v>No existe información</v>
      </c>
    </row>
    <row r="567" spans="1:15">
      <c r="A567" t="str" cm="1">
        <f t="array" ref="A567">TRANSPOSE(_xlfn.UNIQUE(_xlfn._xlws.FILTER(MAE_ASIGNATURA[ID_NIVEL],MAE_ASIGNATURA[ID_CARRERA]=DET_ASIG!$B551,"No existe información")))</f>
        <v>No existe información</v>
      </c>
      <c r="O567" t="str" cm="1">
        <f t="array" ref="O567">TRANSPOSE(_xlfn.UNIQUE(_xlfn._xlws.FILTER(MAE_ASIGNATURA[NOM_ASIG],(MAE_ASIGNATURA[ID_NIVEL]=DET_ASIG!$D551)*(MAE_ASIGNATURA[ID_CARRERA]=DET_ASIG!$B551),"No existe información")))</f>
        <v>No existe información</v>
      </c>
    </row>
    <row r="568" spans="1:15">
      <c r="A568" t="str" cm="1">
        <f t="array" ref="A568">TRANSPOSE(_xlfn.UNIQUE(_xlfn._xlws.FILTER(MAE_ASIGNATURA[ID_NIVEL],MAE_ASIGNATURA[ID_CARRERA]=DET_ASIG!$B552,"No existe información")))</f>
        <v>No existe información</v>
      </c>
      <c r="O568" t="str" cm="1">
        <f t="array" ref="O568">TRANSPOSE(_xlfn.UNIQUE(_xlfn._xlws.FILTER(MAE_ASIGNATURA[NOM_ASIG],(MAE_ASIGNATURA[ID_NIVEL]=DET_ASIG!$D552)*(MAE_ASIGNATURA[ID_CARRERA]=DET_ASIG!$B552),"No existe información")))</f>
        <v>No existe información</v>
      </c>
    </row>
    <row r="569" spans="1:15">
      <c r="A569" t="str" cm="1">
        <f t="array" ref="A569">TRANSPOSE(_xlfn.UNIQUE(_xlfn._xlws.FILTER(MAE_ASIGNATURA[ID_NIVEL],MAE_ASIGNATURA[ID_CARRERA]=DET_ASIG!$B553,"No existe información")))</f>
        <v>No existe información</v>
      </c>
      <c r="O569" t="str" cm="1">
        <f t="array" ref="O569">TRANSPOSE(_xlfn.UNIQUE(_xlfn._xlws.FILTER(MAE_ASIGNATURA[NOM_ASIG],(MAE_ASIGNATURA[ID_NIVEL]=DET_ASIG!$D553)*(MAE_ASIGNATURA[ID_CARRERA]=DET_ASIG!$B553),"No existe información")))</f>
        <v>No existe información</v>
      </c>
    </row>
    <row r="570" spans="1:15">
      <c r="A570" t="str" cm="1">
        <f t="array" ref="A570">TRANSPOSE(_xlfn.UNIQUE(_xlfn._xlws.FILTER(MAE_ASIGNATURA[ID_NIVEL],MAE_ASIGNATURA[ID_CARRERA]=DET_ASIG!$B554,"No existe información")))</f>
        <v>No existe información</v>
      </c>
      <c r="O570" t="str" cm="1">
        <f t="array" ref="O570">TRANSPOSE(_xlfn.UNIQUE(_xlfn._xlws.FILTER(MAE_ASIGNATURA[NOM_ASIG],(MAE_ASIGNATURA[ID_NIVEL]=DET_ASIG!$D554)*(MAE_ASIGNATURA[ID_CARRERA]=DET_ASIG!$B554),"No existe información")))</f>
        <v>No existe información</v>
      </c>
    </row>
    <row r="571" spans="1:15">
      <c r="A571" t="str" cm="1">
        <f t="array" ref="A571">TRANSPOSE(_xlfn.UNIQUE(_xlfn._xlws.FILTER(MAE_ASIGNATURA[ID_NIVEL],MAE_ASIGNATURA[ID_CARRERA]=DET_ASIG!$B555,"No existe información")))</f>
        <v>No existe información</v>
      </c>
      <c r="O571" t="str" cm="1">
        <f t="array" ref="O571">TRANSPOSE(_xlfn.UNIQUE(_xlfn._xlws.FILTER(MAE_ASIGNATURA[NOM_ASIG],(MAE_ASIGNATURA[ID_NIVEL]=DET_ASIG!$D555)*(MAE_ASIGNATURA[ID_CARRERA]=DET_ASIG!$B555),"No existe información")))</f>
        <v>No existe información</v>
      </c>
    </row>
    <row r="572" spans="1:15">
      <c r="A572" t="str" cm="1">
        <f t="array" ref="A572">TRANSPOSE(_xlfn.UNIQUE(_xlfn._xlws.FILTER(MAE_ASIGNATURA[ID_NIVEL],MAE_ASIGNATURA[ID_CARRERA]=DET_ASIG!$B556,"No existe información")))</f>
        <v>No existe información</v>
      </c>
      <c r="O572" t="str" cm="1">
        <f t="array" ref="O572">TRANSPOSE(_xlfn.UNIQUE(_xlfn._xlws.FILTER(MAE_ASIGNATURA[NOM_ASIG],(MAE_ASIGNATURA[ID_NIVEL]=DET_ASIG!$D556)*(MAE_ASIGNATURA[ID_CARRERA]=DET_ASIG!$B556),"No existe información")))</f>
        <v>No existe información</v>
      </c>
    </row>
    <row r="573" spans="1:15">
      <c r="A573" t="str" cm="1">
        <f t="array" ref="A573">TRANSPOSE(_xlfn.UNIQUE(_xlfn._xlws.FILTER(MAE_ASIGNATURA[ID_NIVEL],MAE_ASIGNATURA[ID_CARRERA]=DET_ASIG!$B557,"No existe información")))</f>
        <v>No existe información</v>
      </c>
      <c r="O573" t="str" cm="1">
        <f t="array" ref="O573">TRANSPOSE(_xlfn.UNIQUE(_xlfn._xlws.FILTER(MAE_ASIGNATURA[NOM_ASIG],(MAE_ASIGNATURA[ID_NIVEL]=DET_ASIG!$D557)*(MAE_ASIGNATURA[ID_CARRERA]=DET_ASIG!$B557),"No existe información")))</f>
        <v>No existe información</v>
      </c>
    </row>
    <row r="574" spans="1:15">
      <c r="A574" t="str" cm="1">
        <f t="array" ref="A574">TRANSPOSE(_xlfn.UNIQUE(_xlfn._xlws.FILTER(MAE_ASIGNATURA[ID_NIVEL],MAE_ASIGNATURA[ID_CARRERA]=DET_ASIG!$B558,"No existe información")))</f>
        <v>No existe información</v>
      </c>
      <c r="O574" t="str" cm="1">
        <f t="array" ref="O574">TRANSPOSE(_xlfn.UNIQUE(_xlfn._xlws.FILTER(MAE_ASIGNATURA[NOM_ASIG],(MAE_ASIGNATURA[ID_NIVEL]=DET_ASIG!$D558)*(MAE_ASIGNATURA[ID_CARRERA]=DET_ASIG!$B558),"No existe información")))</f>
        <v>No existe información</v>
      </c>
    </row>
    <row r="575" spans="1:15">
      <c r="A575" t="str" cm="1">
        <f t="array" ref="A575">TRANSPOSE(_xlfn.UNIQUE(_xlfn._xlws.FILTER(MAE_ASIGNATURA[ID_NIVEL],MAE_ASIGNATURA[ID_CARRERA]=DET_ASIG!$B559,"No existe información")))</f>
        <v>No existe información</v>
      </c>
      <c r="O575" t="str" cm="1">
        <f t="array" ref="O575">TRANSPOSE(_xlfn.UNIQUE(_xlfn._xlws.FILTER(MAE_ASIGNATURA[NOM_ASIG],(MAE_ASIGNATURA[ID_NIVEL]=DET_ASIG!$D559)*(MAE_ASIGNATURA[ID_CARRERA]=DET_ASIG!$B559),"No existe información")))</f>
        <v>No existe información</v>
      </c>
    </row>
    <row r="576" spans="1:15">
      <c r="A576" t="str" cm="1">
        <f t="array" ref="A576">TRANSPOSE(_xlfn.UNIQUE(_xlfn._xlws.FILTER(MAE_ASIGNATURA[ID_NIVEL],MAE_ASIGNATURA[ID_CARRERA]=DET_ASIG!$B560,"No existe información")))</f>
        <v>No existe información</v>
      </c>
      <c r="O576" t="str" cm="1">
        <f t="array" ref="O576">TRANSPOSE(_xlfn.UNIQUE(_xlfn._xlws.FILTER(MAE_ASIGNATURA[NOM_ASIG],(MAE_ASIGNATURA[ID_NIVEL]=DET_ASIG!$D560)*(MAE_ASIGNATURA[ID_CARRERA]=DET_ASIG!$B560),"No existe información")))</f>
        <v>No existe información</v>
      </c>
    </row>
    <row r="577" spans="1:15">
      <c r="A577" t="str" cm="1">
        <f t="array" ref="A577">TRANSPOSE(_xlfn.UNIQUE(_xlfn._xlws.FILTER(MAE_ASIGNATURA[ID_NIVEL],MAE_ASIGNATURA[ID_CARRERA]=DET_ASIG!$B561,"No existe información")))</f>
        <v>No existe información</v>
      </c>
      <c r="O577" t="str" cm="1">
        <f t="array" ref="O577">TRANSPOSE(_xlfn.UNIQUE(_xlfn._xlws.FILTER(MAE_ASIGNATURA[NOM_ASIG],(MAE_ASIGNATURA[ID_NIVEL]=DET_ASIG!$D561)*(MAE_ASIGNATURA[ID_CARRERA]=DET_ASIG!$B561),"No existe información")))</f>
        <v>No existe información</v>
      </c>
    </row>
    <row r="578" spans="1:15">
      <c r="A578" t="str" cm="1">
        <f t="array" ref="A578">TRANSPOSE(_xlfn.UNIQUE(_xlfn._xlws.FILTER(MAE_ASIGNATURA[ID_NIVEL],MAE_ASIGNATURA[ID_CARRERA]=DET_ASIG!$B562,"No existe información")))</f>
        <v>No existe información</v>
      </c>
      <c r="O578" t="str" cm="1">
        <f t="array" ref="O578">TRANSPOSE(_xlfn.UNIQUE(_xlfn._xlws.FILTER(MAE_ASIGNATURA[NOM_ASIG],(MAE_ASIGNATURA[ID_NIVEL]=DET_ASIG!$D562)*(MAE_ASIGNATURA[ID_CARRERA]=DET_ASIG!$B562),"No existe información")))</f>
        <v>No existe información</v>
      </c>
    </row>
    <row r="579" spans="1:15">
      <c r="A579" t="str" cm="1">
        <f t="array" ref="A579">TRANSPOSE(_xlfn.UNIQUE(_xlfn._xlws.FILTER(MAE_ASIGNATURA[ID_NIVEL],MAE_ASIGNATURA[ID_CARRERA]=DET_ASIG!$B563,"No existe información")))</f>
        <v>No existe información</v>
      </c>
      <c r="O579" t="str" cm="1">
        <f t="array" ref="O579">TRANSPOSE(_xlfn.UNIQUE(_xlfn._xlws.FILTER(MAE_ASIGNATURA[NOM_ASIG],(MAE_ASIGNATURA[ID_NIVEL]=DET_ASIG!$D563)*(MAE_ASIGNATURA[ID_CARRERA]=DET_ASIG!$B563),"No existe información")))</f>
        <v>No existe información</v>
      </c>
    </row>
    <row r="580" spans="1:15">
      <c r="A580" t="str" cm="1">
        <f t="array" ref="A580">TRANSPOSE(_xlfn.UNIQUE(_xlfn._xlws.FILTER(MAE_ASIGNATURA[ID_NIVEL],MAE_ASIGNATURA[ID_CARRERA]=DET_ASIG!$B564,"No existe información")))</f>
        <v>No existe información</v>
      </c>
      <c r="O580" t="str" cm="1">
        <f t="array" ref="O580">TRANSPOSE(_xlfn.UNIQUE(_xlfn._xlws.FILTER(MAE_ASIGNATURA[NOM_ASIG],(MAE_ASIGNATURA[ID_NIVEL]=DET_ASIG!$D564)*(MAE_ASIGNATURA[ID_CARRERA]=DET_ASIG!$B564),"No existe información")))</f>
        <v>No existe información</v>
      </c>
    </row>
    <row r="581" spans="1:15">
      <c r="A581" t="str" cm="1">
        <f t="array" ref="A581">TRANSPOSE(_xlfn.UNIQUE(_xlfn._xlws.FILTER(MAE_ASIGNATURA[ID_NIVEL],MAE_ASIGNATURA[ID_CARRERA]=DET_ASIG!$B565,"No existe información")))</f>
        <v>No existe información</v>
      </c>
      <c r="O581" t="str" cm="1">
        <f t="array" ref="O581">TRANSPOSE(_xlfn.UNIQUE(_xlfn._xlws.FILTER(MAE_ASIGNATURA[NOM_ASIG],(MAE_ASIGNATURA[ID_NIVEL]=DET_ASIG!$D565)*(MAE_ASIGNATURA[ID_CARRERA]=DET_ASIG!$B565),"No existe información")))</f>
        <v>No existe información</v>
      </c>
    </row>
    <row r="582" spans="1:15">
      <c r="A582" t="str" cm="1">
        <f t="array" ref="A582">TRANSPOSE(_xlfn.UNIQUE(_xlfn._xlws.FILTER(MAE_ASIGNATURA[ID_NIVEL],MAE_ASIGNATURA[ID_CARRERA]=DET_ASIG!$B566,"No existe información")))</f>
        <v>No existe información</v>
      </c>
      <c r="O582" t="str" cm="1">
        <f t="array" ref="O582">TRANSPOSE(_xlfn.UNIQUE(_xlfn._xlws.FILTER(MAE_ASIGNATURA[NOM_ASIG],(MAE_ASIGNATURA[ID_NIVEL]=DET_ASIG!$D566)*(MAE_ASIGNATURA[ID_CARRERA]=DET_ASIG!$B566),"No existe información")))</f>
        <v>No existe información</v>
      </c>
    </row>
    <row r="583" spans="1:15">
      <c r="A583" t="str" cm="1">
        <f t="array" ref="A583">TRANSPOSE(_xlfn.UNIQUE(_xlfn._xlws.FILTER(MAE_ASIGNATURA[ID_NIVEL],MAE_ASIGNATURA[ID_CARRERA]=DET_ASIG!$B567,"No existe información")))</f>
        <v>No existe información</v>
      </c>
      <c r="O583" t="str" cm="1">
        <f t="array" ref="O583">TRANSPOSE(_xlfn.UNIQUE(_xlfn._xlws.FILTER(MAE_ASIGNATURA[NOM_ASIG],(MAE_ASIGNATURA[ID_NIVEL]=DET_ASIG!$D567)*(MAE_ASIGNATURA[ID_CARRERA]=DET_ASIG!$B567),"No existe información")))</f>
        <v>No existe información</v>
      </c>
    </row>
    <row r="584" spans="1:15">
      <c r="A584" t="str" cm="1">
        <f t="array" ref="A584">TRANSPOSE(_xlfn.UNIQUE(_xlfn._xlws.FILTER(MAE_ASIGNATURA[ID_NIVEL],MAE_ASIGNATURA[ID_CARRERA]=DET_ASIG!$B568,"No existe información")))</f>
        <v>No existe información</v>
      </c>
      <c r="O584" t="str" cm="1">
        <f t="array" ref="O584">TRANSPOSE(_xlfn.UNIQUE(_xlfn._xlws.FILTER(MAE_ASIGNATURA[NOM_ASIG],(MAE_ASIGNATURA[ID_NIVEL]=DET_ASIG!$D568)*(MAE_ASIGNATURA[ID_CARRERA]=DET_ASIG!$B568),"No existe información")))</f>
        <v>No existe información</v>
      </c>
    </row>
    <row r="585" spans="1:15">
      <c r="A585" t="str" cm="1">
        <f t="array" ref="A585">TRANSPOSE(_xlfn.UNIQUE(_xlfn._xlws.FILTER(MAE_ASIGNATURA[ID_NIVEL],MAE_ASIGNATURA[ID_CARRERA]=DET_ASIG!$B569,"No existe información")))</f>
        <v>No existe información</v>
      </c>
      <c r="O585" t="str" cm="1">
        <f t="array" ref="O585">TRANSPOSE(_xlfn.UNIQUE(_xlfn._xlws.FILTER(MAE_ASIGNATURA[NOM_ASIG],(MAE_ASIGNATURA[ID_NIVEL]=DET_ASIG!$D569)*(MAE_ASIGNATURA[ID_CARRERA]=DET_ASIG!$B569),"No existe información")))</f>
        <v>No existe información</v>
      </c>
    </row>
    <row r="586" spans="1:15">
      <c r="A586" t="str" cm="1">
        <f t="array" ref="A586">TRANSPOSE(_xlfn.UNIQUE(_xlfn._xlws.FILTER(MAE_ASIGNATURA[ID_NIVEL],MAE_ASIGNATURA[ID_CARRERA]=DET_ASIG!$B570,"No existe información")))</f>
        <v>No existe información</v>
      </c>
      <c r="O586" t="str" cm="1">
        <f t="array" ref="O586">TRANSPOSE(_xlfn.UNIQUE(_xlfn._xlws.FILTER(MAE_ASIGNATURA[NOM_ASIG],(MAE_ASIGNATURA[ID_NIVEL]=DET_ASIG!$D570)*(MAE_ASIGNATURA[ID_CARRERA]=DET_ASIG!$B570),"No existe información")))</f>
        <v>No existe información</v>
      </c>
    </row>
    <row r="587" spans="1:15">
      <c r="A587" t="str" cm="1">
        <f t="array" ref="A587">TRANSPOSE(_xlfn.UNIQUE(_xlfn._xlws.FILTER(MAE_ASIGNATURA[ID_NIVEL],MAE_ASIGNATURA[ID_CARRERA]=DET_ASIG!$B571,"No existe información")))</f>
        <v>No existe información</v>
      </c>
      <c r="O587" t="str" cm="1">
        <f t="array" ref="O587">TRANSPOSE(_xlfn.UNIQUE(_xlfn._xlws.FILTER(MAE_ASIGNATURA[NOM_ASIG],(MAE_ASIGNATURA[ID_NIVEL]=DET_ASIG!$D571)*(MAE_ASIGNATURA[ID_CARRERA]=DET_ASIG!$B571),"No existe información")))</f>
        <v>No existe información</v>
      </c>
    </row>
    <row r="588" spans="1:15">
      <c r="A588" t="str" cm="1">
        <f t="array" ref="A588">TRANSPOSE(_xlfn.UNIQUE(_xlfn._xlws.FILTER(MAE_ASIGNATURA[ID_NIVEL],MAE_ASIGNATURA[ID_CARRERA]=DET_ASIG!$B572,"No existe información")))</f>
        <v>No existe información</v>
      </c>
      <c r="O588" t="str" cm="1">
        <f t="array" ref="O588">TRANSPOSE(_xlfn.UNIQUE(_xlfn._xlws.FILTER(MAE_ASIGNATURA[NOM_ASIG],(MAE_ASIGNATURA[ID_NIVEL]=DET_ASIG!$D572)*(MAE_ASIGNATURA[ID_CARRERA]=DET_ASIG!$B572),"No existe información")))</f>
        <v>No existe información</v>
      </c>
    </row>
    <row r="589" spans="1:15">
      <c r="A589" t="str" cm="1">
        <f t="array" ref="A589">TRANSPOSE(_xlfn.UNIQUE(_xlfn._xlws.FILTER(MAE_ASIGNATURA[ID_NIVEL],MAE_ASIGNATURA[ID_CARRERA]=DET_ASIG!$B573,"No existe información")))</f>
        <v>No existe información</v>
      </c>
      <c r="O589" t="str" cm="1">
        <f t="array" ref="O589">TRANSPOSE(_xlfn.UNIQUE(_xlfn._xlws.FILTER(MAE_ASIGNATURA[NOM_ASIG],(MAE_ASIGNATURA[ID_NIVEL]=DET_ASIG!$D573)*(MAE_ASIGNATURA[ID_CARRERA]=DET_ASIG!$B573),"No existe información")))</f>
        <v>No existe información</v>
      </c>
    </row>
    <row r="590" spans="1:15">
      <c r="A590" t="str" cm="1">
        <f t="array" ref="A590">TRANSPOSE(_xlfn.UNIQUE(_xlfn._xlws.FILTER(MAE_ASIGNATURA[ID_NIVEL],MAE_ASIGNATURA[ID_CARRERA]=DET_ASIG!$B574,"No existe información")))</f>
        <v>No existe información</v>
      </c>
      <c r="O590" t="str" cm="1">
        <f t="array" ref="O590">TRANSPOSE(_xlfn.UNIQUE(_xlfn._xlws.FILTER(MAE_ASIGNATURA[NOM_ASIG],(MAE_ASIGNATURA[ID_NIVEL]=DET_ASIG!$D574)*(MAE_ASIGNATURA[ID_CARRERA]=DET_ASIG!$B574),"No existe información")))</f>
        <v>No existe información</v>
      </c>
    </row>
    <row r="591" spans="1:15">
      <c r="A591" t="str" cm="1">
        <f t="array" ref="A591">TRANSPOSE(_xlfn.UNIQUE(_xlfn._xlws.FILTER(MAE_ASIGNATURA[ID_NIVEL],MAE_ASIGNATURA[ID_CARRERA]=DET_ASIG!$B575,"No existe información")))</f>
        <v>No existe información</v>
      </c>
      <c r="O591" t="str" cm="1">
        <f t="array" ref="O591">TRANSPOSE(_xlfn.UNIQUE(_xlfn._xlws.FILTER(MAE_ASIGNATURA[NOM_ASIG],(MAE_ASIGNATURA[ID_NIVEL]=DET_ASIG!$D575)*(MAE_ASIGNATURA[ID_CARRERA]=DET_ASIG!$B575),"No existe información")))</f>
        <v>No existe información</v>
      </c>
    </row>
    <row r="592" spans="1:15">
      <c r="A592" t="str" cm="1">
        <f t="array" ref="A592">TRANSPOSE(_xlfn.UNIQUE(_xlfn._xlws.FILTER(MAE_ASIGNATURA[ID_NIVEL],MAE_ASIGNATURA[ID_CARRERA]=DET_ASIG!$B576,"No existe información")))</f>
        <v>No existe información</v>
      </c>
      <c r="O592" t="str" cm="1">
        <f t="array" ref="O592">TRANSPOSE(_xlfn.UNIQUE(_xlfn._xlws.FILTER(MAE_ASIGNATURA[NOM_ASIG],(MAE_ASIGNATURA[ID_NIVEL]=DET_ASIG!$D576)*(MAE_ASIGNATURA[ID_CARRERA]=DET_ASIG!$B576),"No existe información")))</f>
        <v>No existe información</v>
      </c>
    </row>
    <row r="593" spans="1:15">
      <c r="A593" t="str" cm="1">
        <f t="array" ref="A593">TRANSPOSE(_xlfn.UNIQUE(_xlfn._xlws.FILTER(MAE_ASIGNATURA[ID_NIVEL],MAE_ASIGNATURA[ID_CARRERA]=DET_ASIG!$B577,"No existe información")))</f>
        <v>No existe información</v>
      </c>
      <c r="O593" t="str" cm="1">
        <f t="array" ref="O593">TRANSPOSE(_xlfn.UNIQUE(_xlfn._xlws.FILTER(MAE_ASIGNATURA[NOM_ASIG],(MAE_ASIGNATURA[ID_NIVEL]=DET_ASIG!$D577)*(MAE_ASIGNATURA[ID_CARRERA]=DET_ASIG!$B577),"No existe información")))</f>
        <v>No existe información</v>
      </c>
    </row>
    <row r="594" spans="1:15">
      <c r="A594" t="str" cm="1">
        <f t="array" ref="A594">TRANSPOSE(_xlfn.UNIQUE(_xlfn._xlws.FILTER(MAE_ASIGNATURA[ID_NIVEL],MAE_ASIGNATURA[ID_CARRERA]=DET_ASIG!$B578,"No existe información")))</f>
        <v>No existe información</v>
      </c>
      <c r="O594" t="str" cm="1">
        <f t="array" ref="O594">TRANSPOSE(_xlfn.UNIQUE(_xlfn._xlws.FILTER(MAE_ASIGNATURA[NOM_ASIG],(MAE_ASIGNATURA[ID_NIVEL]=DET_ASIG!$D578)*(MAE_ASIGNATURA[ID_CARRERA]=DET_ASIG!$B578),"No existe información")))</f>
        <v>No existe información</v>
      </c>
    </row>
    <row r="595" spans="1:15">
      <c r="A595" t="str" cm="1">
        <f t="array" ref="A595">TRANSPOSE(_xlfn.UNIQUE(_xlfn._xlws.FILTER(MAE_ASIGNATURA[ID_NIVEL],MAE_ASIGNATURA[ID_CARRERA]=DET_ASIG!$B579,"No existe información")))</f>
        <v>No existe información</v>
      </c>
      <c r="O595" t="str" cm="1">
        <f t="array" ref="O595">TRANSPOSE(_xlfn.UNIQUE(_xlfn._xlws.FILTER(MAE_ASIGNATURA[NOM_ASIG],(MAE_ASIGNATURA[ID_NIVEL]=DET_ASIG!$D579)*(MAE_ASIGNATURA[ID_CARRERA]=DET_ASIG!$B579),"No existe información")))</f>
        <v>No existe información</v>
      </c>
    </row>
    <row r="596" spans="1:15">
      <c r="A596" t="str" cm="1">
        <f t="array" ref="A596">TRANSPOSE(_xlfn.UNIQUE(_xlfn._xlws.FILTER(MAE_ASIGNATURA[ID_NIVEL],MAE_ASIGNATURA[ID_CARRERA]=DET_ASIG!$B580,"No existe información")))</f>
        <v>No existe información</v>
      </c>
      <c r="O596" t="str" cm="1">
        <f t="array" ref="O596">TRANSPOSE(_xlfn.UNIQUE(_xlfn._xlws.FILTER(MAE_ASIGNATURA[NOM_ASIG],(MAE_ASIGNATURA[ID_NIVEL]=DET_ASIG!$D580)*(MAE_ASIGNATURA[ID_CARRERA]=DET_ASIG!$B580),"No existe información")))</f>
        <v>No existe información</v>
      </c>
    </row>
    <row r="597" spans="1:15">
      <c r="A597" t="str" cm="1">
        <f t="array" ref="A597">TRANSPOSE(_xlfn.UNIQUE(_xlfn._xlws.FILTER(MAE_ASIGNATURA[ID_NIVEL],MAE_ASIGNATURA[ID_CARRERA]=DET_ASIG!$B581,"No existe información")))</f>
        <v>No existe información</v>
      </c>
      <c r="O597" t="str" cm="1">
        <f t="array" ref="O597">TRANSPOSE(_xlfn.UNIQUE(_xlfn._xlws.FILTER(MAE_ASIGNATURA[NOM_ASIG],(MAE_ASIGNATURA[ID_NIVEL]=DET_ASIG!$D581)*(MAE_ASIGNATURA[ID_CARRERA]=DET_ASIG!$B581),"No existe información")))</f>
        <v>No existe información</v>
      </c>
    </row>
    <row r="598" spans="1:15">
      <c r="A598" t="str" cm="1">
        <f t="array" ref="A598">TRANSPOSE(_xlfn.UNIQUE(_xlfn._xlws.FILTER(MAE_ASIGNATURA[ID_NIVEL],MAE_ASIGNATURA[ID_CARRERA]=DET_ASIG!$B582,"No existe información")))</f>
        <v>No existe información</v>
      </c>
      <c r="O598" t="str" cm="1">
        <f t="array" ref="O598">TRANSPOSE(_xlfn.UNIQUE(_xlfn._xlws.FILTER(MAE_ASIGNATURA[NOM_ASIG],(MAE_ASIGNATURA[ID_NIVEL]=DET_ASIG!$D582)*(MAE_ASIGNATURA[ID_CARRERA]=DET_ASIG!$B582),"No existe información")))</f>
        <v>No existe información</v>
      </c>
    </row>
    <row r="599" spans="1:15">
      <c r="A599" t="str" cm="1">
        <f t="array" ref="A599">TRANSPOSE(_xlfn.UNIQUE(_xlfn._xlws.FILTER(MAE_ASIGNATURA[ID_NIVEL],MAE_ASIGNATURA[ID_CARRERA]=DET_ASIG!$B583,"No existe información")))</f>
        <v>No existe información</v>
      </c>
      <c r="O599" t="str" cm="1">
        <f t="array" ref="O599">TRANSPOSE(_xlfn.UNIQUE(_xlfn._xlws.FILTER(MAE_ASIGNATURA[NOM_ASIG],(MAE_ASIGNATURA[ID_NIVEL]=DET_ASIG!$D583)*(MAE_ASIGNATURA[ID_CARRERA]=DET_ASIG!$B583),"No existe información")))</f>
        <v>No existe información</v>
      </c>
    </row>
    <row r="600" spans="1:15">
      <c r="A600" t="str" cm="1">
        <f t="array" ref="A600">TRANSPOSE(_xlfn.UNIQUE(_xlfn._xlws.FILTER(MAE_ASIGNATURA[ID_NIVEL],MAE_ASIGNATURA[ID_CARRERA]=DET_ASIG!$B584,"No existe información")))</f>
        <v>No existe información</v>
      </c>
      <c r="O600" t="str" cm="1">
        <f t="array" ref="O600">TRANSPOSE(_xlfn.UNIQUE(_xlfn._xlws.FILTER(MAE_ASIGNATURA[NOM_ASIG],(MAE_ASIGNATURA[ID_NIVEL]=DET_ASIG!$D584)*(MAE_ASIGNATURA[ID_CARRERA]=DET_ASIG!$B584),"No existe información")))</f>
        <v>No existe información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1C6F-BB20-44B9-AEDA-240B4BC85DA9}">
  <dimension ref="A1:G18"/>
  <sheetViews>
    <sheetView workbookViewId="0">
      <selection activeCell="C1" sqref="C1"/>
    </sheetView>
  </sheetViews>
  <sheetFormatPr defaultColWidth="9.140625" defaultRowHeight="15"/>
  <cols>
    <col min="1" max="1" width="17" bestFit="1" customWidth="1"/>
    <col min="2" max="2" width="42.85546875" bestFit="1" customWidth="1"/>
    <col min="3" max="3" width="12.140625" bestFit="1" customWidth="1"/>
    <col min="4" max="5" width="15.7109375" bestFit="1" customWidth="1"/>
    <col min="6" max="6" width="13" bestFit="1" customWidth="1"/>
    <col min="7" max="7" width="10.42578125" bestFit="1" customWidth="1"/>
    <col min="8" max="8" width="13.28515625" bestFit="1" customWidth="1"/>
    <col min="9" max="10" width="11.140625" bestFit="1" customWidth="1"/>
  </cols>
  <sheetData>
    <row r="1" spans="1:7">
      <c r="A1" t="s">
        <v>1</v>
      </c>
      <c r="B1" t="s">
        <v>2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</row>
    <row r="2" spans="1:7">
      <c r="A2" t="s">
        <v>146</v>
      </c>
      <c r="B2" t="s">
        <v>147</v>
      </c>
      <c r="C2">
        <v>16</v>
      </c>
      <c r="D2">
        <v>240</v>
      </c>
      <c r="E2" s="1">
        <v>43831</v>
      </c>
      <c r="F2" s="1">
        <v>51501</v>
      </c>
      <c r="G2" t="s">
        <v>148</v>
      </c>
    </row>
    <row r="3" spans="1:7">
      <c r="A3" t="s">
        <v>61</v>
      </c>
      <c r="B3" t="s">
        <v>149</v>
      </c>
      <c r="C3">
        <v>16</v>
      </c>
      <c r="D3">
        <v>240</v>
      </c>
      <c r="E3" s="1">
        <v>43831</v>
      </c>
      <c r="F3" s="1">
        <v>51501</v>
      </c>
      <c r="G3" t="s">
        <v>148</v>
      </c>
    </row>
    <row r="4" spans="1:7">
      <c r="A4" t="s">
        <v>150</v>
      </c>
      <c r="B4" t="s">
        <v>151</v>
      </c>
      <c r="C4">
        <v>16</v>
      </c>
      <c r="D4">
        <v>240</v>
      </c>
      <c r="E4" s="1">
        <v>43831</v>
      </c>
      <c r="F4" s="1">
        <v>51501</v>
      </c>
      <c r="G4" t="s">
        <v>148</v>
      </c>
    </row>
    <row r="5" spans="1:7">
      <c r="A5" t="s">
        <v>152</v>
      </c>
      <c r="B5" t="s">
        <v>153</v>
      </c>
      <c r="C5">
        <v>16</v>
      </c>
      <c r="D5">
        <v>240</v>
      </c>
      <c r="E5" s="1">
        <v>43831</v>
      </c>
      <c r="F5" s="1">
        <v>51501</v>
      </c>
      <c r="G5" t="s">
        <v>148</v>
      </c>
    </row>
    <row r="6" spans="1:7">
      <c r="A6" t="s">
        <v>8</v>
      </c>
      <c r="B6" t="s">
        <v>154</v>
      </c>
      <c r="C6">
        <v>16</v>
      </c>
      <c r="D6">
        <v>240</v>
      </c>
      <c r="E6" s="1">
        <v>43831</v>
      </c>
      <c r="F6" s="1">
        <v>51501</v>
      </c>
      <c r="G6" t="s">
        <v>148</v>
      </c>
    </row>
    <row r="7" spans="1:7">
      <c r="A7" t="s">
        <v>107</v>
      </c>
      <c r="B7" t="s">
        <v>155</v>
      </c>
      <c r="C7">
        <v>16</v>
      </c>
      <c r="D7">
        <v>240</v>
      </c>
      <c r="E7" s="1">
        <v>43831</v>
      </c>
      <c r="F7" s="1">
        <v>51501</v>
      </c>
      <c r="G7" t="s">
        <v>148</v>
      </c>
    </row>
    <row r="8" spans="1:7">
      <c r="A8" t="s">
        <v>156</v>
      </c>
      <c r="B8" t="s">
        <v>157</v>
      </c>
      <c r="C8">
        <v>16</v>
      </c>
      <c r="D8">
        <v>240</v>
      </c>
      <c r="E8" s="1">
        <v>43831</v>
      </c>
      <c r="F8" s="1">
        <v>51501</v>
      </c>
      <c r="G8" t="s">
        <v>148</v>
      </c>
    </row>
    <row r="9" spans="1:7">
      <c r="A9" t="s">
        <v>158</v>
      </c>
      <c r="B9" t="s">
        <v>117</v>
      </c>
      <c r="C9">
        <v>16</v>
      </c>
      <c r="D9">
        <v>240</v>
      </c>
      <c r="E9" s="1">
        <v>43831</v>
      </c>
      <c r="F9" s="1">
        <v>51501</v>
      </c>
      <c r="G9" t="s">
        <v>148</v>
      </c>
    </row>
    <row r="10" spans="1:7">
      <c r="A10" t="s">
        <v>159</v>
      </c>
      <c r="B10" t="s">
        <v>160</v>
      </c>
      <c r="C10">
        <v>16</v>
      </c>
      <c r="D10">
        <v>240</v>
      </c>
      <c r="E10" s="1">
        <v>43831</v>
      </c>
      <c r="F10" s="1">
        <v>51501</v>
      </c>
      <c r="G10" t="s">
        <v>148</v>
      </c>
    </row>
    <row r="11" spans="1:7">
      <c r="A11" t="s">
        <v>161</v>
      </c>
      <c r="B11" t="s">
        <v>162</v>
      </c>
      <c r="C11">
        <v>1</v>
      </c>
      <c r="D11">
        <v>1</v>
      </c>
      <c r="E11" s="1">
        <v>43831</v>
      </c>
      <c r="F11" s="1">
        <v>51501</v>
      </c>
      <c r="G11" t="s">
        <v>148</v>
      </c>
    </row>
    <row r="12" spans="1:7">
      <c r="A12" t="s">
        <v>163</v>
      </c>
      <c r="B12" t="s">
        <v>164</v>
      </c>
      <c r="C12">
        <v>1</v>
      </c>
      <c r="D12">
        <v>1</v>
      </c>
      <c r="E12" s="1">
        <v>43831</v>
      </c>
      <c r="F12" s="1">
        <v>51501</v>
      </c>
      <c r="G12" t="s">
        <v>148</v>
      </c>
    </row>
    <row r="13" spans="1:7">
      <c r="A13" t="s">
        <v>165</v>
      </c>
      <c r="B13" t="s">
        <v>166</v>
      </c>
      <c r="C13">
        <v>1</v>
      </c>
      <c r="D13">
        <v>1</v>
      </c>
      <c r="E13" s="1">
        <v>43831</v>
      </c>
      <c r="F13" s="1">
        <v>51501</v>
      </c>
      <c r="G13" t="s">
        <v>148</v>
      </c>
    </row>
    <row r="14" spans="1:7">
      <c r="A14" t="s">
        <v>167</v>
      </c>
      <c r="B14" t="s">
        <v>168</v>
      </c>
      <c r="C14">
        <v>1</v>
      </c>
      <c r="D14">
        <v>1</v>
      </c>
      <c r="E14" s="1">
        <v>43831</v>
      </c>
      <c r="F14" s="1">
        <v>51501</v>
      </c>
      <c r="G14" t="s">
        <v>148</v>
      </c>
    </row>
    <row r="15" spans="1:7">
      <c r="A15" t="s">
        <v>169</v>
      </c>
      <c r="B15" t="s">
        <v>170</v>
      </c>
      <c r="C15">
        <v>1</v>
      </c>
      <c r="D15">
        <v>1</v>
      </c>
      <c r="E15" s="1">
        <v>43831</v>
      </c>
      <c r="F15" s="1">
        <v>51501</v>
      </c>
      <c r="G15" t="s">
        <v>148</v>
      </c>
    </row>
    <row r="16" spans="1:7">
      <c r="A16" t="s">
        <v>171</v>
      </c>
      <c r="B16" t="s">
        <v>172</v>
      </c>
      <c r="C16">
        <v>1</v>
      </c>
      <c r="D16">
        <v>1</v>
      </c>
      <c r="E16" s="1">
        <v>43831</v>
      </c>
      <c r="F16" s="1">
        <v>51501</v>
      </c>
      <c r="G16" t="s">
        <v>148</v>
      </c>
    </row>
    <row r="17" spans="1:7">
      <c r="A17" t="s">
        <v>97</v>
      </c>
      <c r="B17" t="s">
        <v>173</v>
      </c>
      <c r="C17">
        <v>1</v>
      </c>
      <c r="D17">
        <v>1</v>
      </c>
      <c r="E17" s="1">
        <v>43831</v>
      </c>
      <c r="F17" s="1">
        <v>51501</v>
      </c>
      <c r="G17" t="s">
        <v>148</v>
      </c>
    </row>
    <row r="18" spans="1:7">
      <c r="A18" t="s">
        <v>50</v>
      </c>
      <c r="B18" t="s">
        <v>174</v>
      </c>
      <c r="C18">
        <v>1</v>
      </c>
      <c r="D18">
        <v>1</v>
      </c>
      <c r="E18" s="1">
        <v>43831</v>
      </c>
      <c r="F18" s="1">
        <v>51501</v>
      </c>
      <c r="G18" t="s">
        <v>148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A8FCB-BCE4-4413-8D7B-9CDC90352D38}">
  <dimension ref="A1:G353"/>
  <sheetViews>
    <sheetView workbookViewId="0">
      <selection activeCell="A2" sqref="A2"/>
    </sheetView>
  </sheetViews>
  <sheetFormatPr defaultColWidth="9.140625" defaultRowHeight="15"/>
  <cols>
    <col min="1" max="1" width="35.85546875" bestFit="1" customWidth="1"/>
    <col min="2" max="2" width="72.42578125" bestFit="1" customWidth="1"/>
    <col min="3" max="3" width="9.42578125" bestFit="1" customWidth="1"/>
    <col min="4" max="4" width="11" bestFit="1" customWidth="1"/>
    <col min="5" max="5" width="17" bestFit="1" customWidth="1"/>
    <col min="6" max="6" width="42.85546875" bestFit="1" customWidth="1"/>
    <col min="7" max="7" width="11.28515625" bestFit="1" customWidth="1"/>
  </cols>
  <sheetData>
    <row r="1" spans="1:7">
      <c r="A1" t="s">
        <v>5</v>
      </c>
      <c r="B1" t="s">
        <v>175</v>
      </c>
      <c r="C1" t="s">
        <v>176</v>
      </c>
      <c r="D1" t="s">
        <v>177</v>
      </c>
      <c r="E1" t="s">
        <v>1</v>
      </c>
      <c r="F1" t="s">
        <v>2</v>
      </c>
      <c r="G1" t="s">
        <v>178</v>
      </c>
    </row>
    <row r="2" spans="1:7">
      <c r="A2" t="s">
        <v>179</v>
      </c>
      <c r="B2" t="s">
        <v>33</v>
      </c>
      <c r="C2">
        <v>4</v>
      </c>
      <c r="D2">
        <v>16</v>
      </c>
      <c r="E2" t="s">
        <v>146</v>
      </c>
      <c r="F2" t="s">
        <v>147</v>
      </c>
      <c r="G2">
        <v>1</v>
      </c>
    </row>
    <row r="3" spans="1:7">
      <c r="A3" t="s">
        <v>180</v>
      </c>
      <c r="B3" t="s">
        <v>181</v>
      </c>
      <c r="C3">
        <v>4</v>
      </c>
      <c r="D3">
        <v>16</v>
      </c>
      <c r="E3" t="s">
        <v>146</v>
      </c>
      <c r="F3" t="s">
        <v>147</v>
      </c>
      <c r="G3">
        <v>1</v>
      </c>
    </row>
    <row r="4" spans="1:7">
      <c r="A4" t="s">
        <v>182</v>
      </c>
      <c r="B4" t="s">
        <v>183</v>
      </c>
      <c r="C4">
        <v>4</v>
      </c>
      <c r="D4">
        <v>16</v>
      </c>
      <c r="E4" t="s">
        <v>146</v>
      </c>
      <c r="F4" t="s">
        <v>147</v>
      </c>
      <c r="G4">
        <v>1</v>
      </c>
    </row>
    <row r="5" spans="1:7">
      <c r="A5" t="s">
        <v>184</v>
      </c>
      <c r="B5" t="s">
        <v>12</v>
      </c>
      <c r="C5">
        <v>4</v>
      </c>
      <c r="D5">
        <v>16</v>
      </c>
      <c r="E5" t="s">
        <v>146</v>
      </c>
      <c r="F5" t="s">
        <v>147</v>
      </c>
      <c r="G5">
        <v>1</v>
      </c>
    </row>
    <row r="6" spans="1:7">
      <c r="A6" t="s">
        <v>185</v>
      </c>
      <c r="B6" t="s">
        <v>186</v>
      </c>
      <c r="C6">
        <v>4</v>
      </c>
      <c r="D6">
        <v>16</v>
      </c>
      <c r="E6" t="s">
        <v>146</v>
      </c>
      <c r="F6" t="s">
        <v>147</v>
      </c>
      <c r="G6">
        <v>1</v>
      </c>
    </row>
    <row r="7" spans="1:7">
      <c r="A7" t="s">
        <v>187</v>
      </c>
      <c r="B7" t="s">
        <v>65</v>
      </c>
      <c r="C7">
        <v>3</v>
      </c>
      <c r="D7">
        <v>16</v>
      </c>
      <c r="E7" t="s">
        <v>146</v>
      </c>
      <c r="F7" t="s">
        <v>147</v>
      </c>
      <c r="G7">
        <v>2</v>
      </c>
    </row>
    <row r="8" spans="1:7">
      <c r="A8" t="s">
        <v>188</v>
      </c>
      <c r="B8" t="s">
        <v>18</v>
      </c>
      <c r="C8">
        <v>4</v>
      </c>
      <c r="D8">
        <v>16</v>
      </c>
      <c r="E8" t="s">
        <v>146</v>
      </c>
      <c r="F8" t="s">
        <v>147</v>
      </c>
      <c r="G8">
        <v>2</v>
      </c>
    </row>
    <row r="9" spans="1:7">
      <c r="A9" t="s">
        <v>189</v>
      </c>
      <c r="B9" t="s">
        <v>190</v>
      </c>
      <c r="C9">
        <v>4</v>
      </c>
      <c r="D9">
        <v>16</v>
      </c>
      <c r="E9" t="s">
        <v>146</v>
      </c>
      <c r="F9" t="s">
        <v>147</v>
      </c>
      <c r="G9">
        <v>2</v>
      </c>
    </row>
    <row r="10" spans="1:7">
      <c r="A10" t="s">
        <v>191</v>
      </c>
      <c r="B10" t="s">
        <v>192</v>
      </c>
      <c r="C10">
        <v>3</v>
      </c>
      <c r="D10">
        <v>16</v>
      </c>
      <c r="E10" t="s">
        <v>146</v>
      </c>
      <c r="F10" t="s">
        <v>147</v>
      </c>
      <c r="G10">
        <v>2</v>
      </c>
    </row>
    <row r="11" spans="1:7">
      <c r="A11" t="s">
        <v>193</v>
      </c>
      <c r="B11" t="s">
        <v>14</v>
      </c>
      <c r="C11">
        <v>3</v>
      </c>
      <c r="D11">
        <v>16</v>
      </c>
      <c r="E11" t="s">
        <v>146</v>
      </c>
      <c r="F11" t="s">
        <v>147</v>
      </c>
      <c r="G11">
        <v>2</v>
      </c>
    </row>
    <row r="12" spans="1:7">
      <c r="A12" t="s">
        <v>194</v>
      </c>
      <c r="B12" t="s">
        <v>195</v>
      </c>
      <c r="C12">
        <v>3</v>
      </c>
      <c r="D12">
        <v>16</v>
      </c>
      <c r="E12" t="s">
        <v>146</v>
      </c>
      <c r="F12" t="s">
        <v>147</v>
      </c>
      <c r="G12">
        <v>2</v>
      </c>
    </row>
    <row r="13" spans="1:7">
      <c r="A13" t="s">
        <v>196</v>
      </c>
      <c r="B13" t="s">
        <v>197</v>
      </c>
      <c r="C13">
        <v>4</v>
      </c>
      <c r="D13">
        <v>16</v>
      </c>
      <c r="E13" t="s">
        <v>146</v>
      </c>
      <c r="F13" t="s">
        <v>147</v>
      </c>
      <c r="G13">
        <v>3</v>
      </c>
    </row>
    <row r="14" spans="1:7">
      <c r="A14" t="s">
        <v>198</v>
      </c>
      <c r="B14" t="s">
        <v>199</v>
      </c>
      <c r="C14">
        <v>3</v>
      </c>
      <c r="D14">
        <v>16</v>
      </c>
      <c r="E14" t="s">
        <v>146</v>
      </c>
      <c r="F14" t="s">
        <v>147</v>
      </c>
      <c r="G14">
        <v>3</v>
      </c>
    </row>
    <row r="15" spans="1:7">
      <c r="A15" t="s">
        <v>200</v>
      </c>
      <c r="B15" t="s">
        <v>201</v>
      </c>
      <c r="C15">
        <v>4</v>
      </c>
      <c r="D15">
        <v>16</v>
      </c>
      <c r="E15" t="s">
        <v>146</v>
      </c>
      <c r="F15" t="s">
        <v>147</v>
      </c>
      <c r="G15">
        <v>3</v>
      </c>
    </row>
    <row r="16" spans="1:7">
      <c r="A16" t="s">
        <v>202</v>
      </c>
      <c r="B16" t="s">
        <v>203</v>
      </c>
      <c r="C16">
        <v>3</v>
      </c>
      <c r="D16">
        <v>16</v>
      </c>
      <c r="E16" t="s">
        <v>146</v>
      </c>
      <c r="F16" t="s">
        <v>147</v>
      </c>
      <c r="G16">
        <v>3</v>
      </c>
    </row>
    <row r="17" spans="1:7">
      <c r="A17" t="s">
        <v>204</v>
      </c>
      <c r="B17" t="s">
        <v>205</v>
      </c>
      <c r="C17">
        <v>3</v>
      </c>
      <c r="D17">
        <v>16</v>
      </c>
      <c r="E17" t="s">
        <v>146</v>
      </c>
      <c r="F17" t="s">
        <v>147</v>
      </c>
      <c r="G17">
        <v>3</v>
      </c>
    </row>
    <row r="18" spans="1:7">
      <c r="A18" t="s">
        <v>206</v>
      </c>
      <c r="B18" t="s">
        <v>207</v>
      </c>
      <c r="C18">
        <v>3</v>
      </c>
      <c r="D18">
        <v>16</v>
      </c>
      <c r="E18" t="s">
        <v>146</v>
      </c>
      <c r="F18" t="s">
        <v>147</v>
      </c>
      <c r="G18">
        <v>3</v>
      </c>
    </row>
    <row r="19" spans="1:7">
      <c r="A19" t="s">
        <v>208</v>
      </c>
      <c r="B19" t="s">
        <v>29</v>
      </c>
      <c r="C19">
        <v>4</v>
      </c>
      <c r="D19">
        <v>16</v>
      </c>
      <c r="E19" t="s">
        <v>146</v>
      </c>
      <c r="F19" t="s">
        <v>147</v>
      </c>
      <c r="G19">
        <v>4</v>
      </c>
    </row>
    <row r="20" spans="1:7">
      <c r="A20" t="s">
        <v>209</v>
      </c>
      <c r="B20" t="s">
        <v>210</v>
      </c>
      <c r="C20">
        <v>4</v>
      </c>
      <c r="D20">
        <v>16</v>
      </c>
      <c r="E20" t="s">
        <v>146</v>
      </c>
      <c r="F20" t="s">
        <v>147</v>
      </c>
      <c r="G20">
        <v>4</v>
      </c>
    </row>
    <row r="21" spans="1:7">
      <c r="A21" t="s">
        <v>211</v>
      </c>
      <c r="B21" t="s">
        <v>212</v>
      </c>
      <c r="C21">
        <v>4</v>
      </c>
      <c r="D21">
        <v>16</v>
      </c>
      <c r="E21" t="s">
        <v>146</v>
      </c>
      <c r="F21" t="s">
        <v>147</v>
      </c>
      <c r="G21">
        <v>4</v>
      </c>
    </row>
    <row r="22" spans="1:7">
      <c r="A22" t="s">
        <v>213</v>
      </c>
      <c r="B22" t="s">
        <v>214</v>
      </c>
      <c r="C22">
        <v>4</v>
      </c>
      <c r="D22">
        <v>16</v>
      </c>
      <c r="E22" t="s">
        <v>146</v>
      </c>
      <c r="F22" t="s">
        <v>147</v>
      </c>
      <c r="G22">
        <v>4</v>
      </c>
    </row>
    <row r="23" spans="1:7">
      <c r="A23" t="s">
        <v>215</v>
      </c>
      <c r="B23" t="s">
        <v>216</v>
      </c>
      <c r="C23">
        <v>4</v>
      </c>
      <c r="D23">
        <v>16</v>
      </c>
      <c r="E23" t="s">
        <v>146</v>
      </c>
      <c r="F23" t="s">
        <v>147</v>
      </c>
      <c r="G23">
        <v>4</v>
      </c>
    </row>
    <row r="24" spans="1:7">
      <c r="A24" t="s">
        <v>217</v>
      </c>
      <c r="B24" t="s">
        <v>218</v>
      </c>
      <c r="C24">
        <v>4</v>
      </c>
      <c r="D24">
        <v>16</v>
      </c>
      <c r="E24" t="s">
        <v>146</v>
      </c>
      <c r="F24" t="s">
        <v>147</v>
      </c>
      <c r="G24">
        <v>5</v>
      </c>
    </row>
    <row r="25" spans="1:7">
      <c r="A25" t="s">
        <v>219</v>
      </c>
      <c r="B25" t="s">
        <v>220</v>
      </c>
      <c r="C25">
        <v>4</v>
      </c>
      <c r="D25">
        <v>16</v>
      </c>
      <c r="E25" t="s">
        <v>146</v>
      </c>
      <c r="F25" t="s">
        <v>147</v>
      </c>
      <c r="G25">
        <v>5</v>
      </c>
    </row>
    <row r="26" spans="1:7">
      <c r="A26" t="s">
        <v>221</v>
      </c>
      <c r="B26" t="s">
        <v>222</v>
      </c>
      <c r="C26">
        <v>4</v>
      </c>
      <c r="D26">
        <v>16</v>
      </c>
      <c r="E26" t="s">
        <v>146</v>
      </c>
      <c r="F26" t="s">
        <v>147</v>
      </c>
      <c r="G26">
        <v>5</v>
      </c>
    </row>
    <row r="27" spans="1:7">
      <c r="A27" t="s">
        <v>223</v>
      </c>
      <c r="B27" t="s">
        <v>224</v>
      </c>
      <c r="C27">
        <v>4</v>
      </c>
      <c r="D27">
        <v>16</v>
      </c>
      <c r="E27" t="s">
        <v>146</v>
      </c>
      <c r="F27" t="s">
        <v>147</v>
      </c>
      <c r="G27">
        <v>5</v>
      </c>
    </row>
    <row r="28" spans="1:7">
      <c r="A28" t="s">
        <v>225</v>
      </c>
      <c r="B28" t="s">
        <v>226</v>
      </c>
      <c r="C28">
        <v>4</v>
      </c>
      <c r="D28">
        <v>16</v>
      </c>
      <c r="E28" t="s">
        <v>146</v>
      </c>
      <c r="F28" t="s">
        <v>147</v>
      </c>
      <c r="G28">
        <v>5</v>
      </c>
    </row>
    <row r="29" spans="1:7">
      <c r="A29" t="s">
        <v>227</v>
      </c>
      <c r="B29" t="s">
        <v>125</v>
      </c>
      <c r="C29">
        <v>4</v>
      </c>
      <c r="D29">
        <v>16</v>
      </c>
      <c r="E29" t="s">
        <v>146</v>
      </c>
      <c r="F29" t="s">
        <v>147</v>
      </c>
      <c r="G29">
        <v>6</v>
      </c>
    </row>
    <row r="30" spans="1:7">
      <c r="A30" t="s">
        <v>228</v>
      </c>
      <c r="B30" t="s">
        <v>229</v>
      </c>
      <c r="C30">
        <v>4</v>
      </c>
      <c r="D30">
        <v>16</v>
      </c>
      <c r="E30" t="s">
        <v>146</v>
      </c>
      <c r="F30" t="s">
        <v>147</v>
      </c>
      <c r="G30">
        <v>6</v>
      </c>
    </row>
    <row r="31" spans="1:7">
      <c r="A31" t="s">
        <v>230</v>
      </c>
      <c r="B31" t="s">
        <v>231</v>
      </c>
      <c r="C31">
        <v>4</v>
      </c>
      <c r="D31">
        <v>16</v>
      </c>
      <c r="E31" t="s">
        <v>146</v>
      </c>
      <c r="F31" t="s">
        <v>147</v>
      </c>
      <c r="G31">
        <v>6</v>
      </c>
    </row>
    <row r="32" spans="1:7">
      <c r="A32" t="s">
        <v>232</v>
      </c>
      <c r="B32" t="s">
        <v>233</v>
      </c>
      <c r="C32">
        <v>4</v>
      </c>
      <c r="D32">
        <v>16</v>
      </c>
      <c r="E32" t="s">
        <v>146</v>
      </c>
      <c r="F32" t="s">
        <v>147</v>
      </c>
      <c r="G32">
        <v>6</v>
      </c>
    </row>
    <row r="33" spans="1:7">
      <c r="A33" t="s">
        <v>234</v>
      </c>
      <c r="B33" t="s">
        <v>235</v>
      </c>
      <c r="C33">
        <v>4</v>
      </c>
      <c r="D33">
        <v>16</v>
      </c>
      <c r="E33" t="s">
        <v>146</v>
      </c>
      <c r="F33" t="s">
        <v>147</v>
      </c>
      <c r="G33">
        <v>6</v>
      </c>
    </row>
    <row r="34" spans="1:7">
      <c r="A34" t="s">
        <v>236</v>
      </c>
      <c r="B34" t="s">
        <v>237</v>
      </c>
      <c r="C34">
        <v>5</v>
      </c>
      <c r="D34">
        <v>16</v>
      </c>
      <c r="E34" t="s">
        <v>146</v>
      </c>
      <c r="F34" t="s">
        <v>147</v>
      </c>
      <c r="G34">
        <v>7</v>
      </c>
    </row>
    <row r="35" spans="1:7">
      <c r="A35" t="s">
        <v>238</v>
      </c>
      <c r="B35" t="s">
        <v>239</v>
      </c>
      <c r="C35">
        <v>5</v>
      </c>
      <c r="D35">
        <v>16</v>
      </c>
      <c r="E35" t="s">
        <v>146</v>
      </c>
      <c r="F35" t="s">
        <v>147</v>
      </c>
      <c r="G35">
        <v>7</v>
      </c>
    </row>
    <row r="36" spans="1:7">
      <c r="A36" t="s">
        <v>240</v>
      </c>
      <c r="B36" t="s">
        <v>241</v>
      </c>
      <c r="C36">
        <v>5</v>
      </c>
      <c r="D36">
        <v>16</v>
      </c>
      <c r="E36" t="s">
        <v>146</v>
      </c>
      <c r="F36" t="s">
        <v>147</v>
      </c>
      <c r="G36">
        <v>7</v>
      </c>
    </row>
    <row r="37" spans="1:7">
      <c r="A37" t="s">
        <v>242</v>
      </c>
      <c r="B37" t="s">
        <v>243</v>
      </c>
      <c r="C37">
        <v>5</v>
      </c>
      <c r="D37">
        <v>16</v>
      </c>
      <c r="E37" t="s">
        <v>146</v>
      </c>
      <c r="F37" t="s">
        <v>147</v>
      </c>
      <c r="G37">
        <v>7</v>
      </c>
    </row>
    <row r="38" spans="1:7">
      <c r="A38" t="s">
        <v>244</v>
      </c>
      <c r="B38" t="s">
        <v>245</v>
      </c>
      <c r="C38">
        <v>5</v>
      </c>
      <c r="D38">
        <v>16</v>
      </c>
      <c r="E38" t="s">
        <v>146</v>
      </c>
      <c r="F38" t="s">
        <v>147</v>
      </c>
      <c r="G38">
        <v>8</v>
      </c>
    </row>
    <row r="39" spans="1:7">
      <c r="A39" t="s">
        <v>246</v>
      </c>
      <c r="B39" t="s">
        <v>247</v>
      </c>
      <c r="C39">
        <v>5</v>
      </c>
      <c r="D39">
        <v>16</v>
      </c>
      <c r="E39" t="s">
        <v>146</v>
      </c>
      <c r="F39" t="s">
        <v>147</v>
      </c>
      <c r="G39">
        <v>8</v>
      </c>
    </row>
    <row r="40" spans="1:7">
      <c r="A40" t="s">
        <v>248</v>
      </c>
      <c r="B40" t="s">
        <v>249</v>
      </c>
      <c r="C40">
        <v>5</v>
      </c>
      <c r="D40">
        <v>16</v>
      </c>
      <c r="E40" t="s">
        <v>146</v>
      </c>
      <c r="F40" t="s">
        <v>147</v>
      </c>
      <c r="G40">
        <v>8</v>
      </c>
    </row>
    <row r="41" spans="1:7">
      <c r="A41" t="s">
        <v>250</v>
      </c>
      <c r="B41" t="s">
        <v>251</v>
      </c>
      <c r="C41">
        <v>5</v>
      </c>
      <c r="D41">
        <v>16</v>
      </c>
      <c r="E41" t="s">
        <v>146</v>
      </c>
      <c r="F41" t="s">
        <v>147</v>
      </c>
      <c r="G41">
        <v>8</v>
      </c>
    </row>
    <row r="42" spans="1:7">
      <c r="A42" t="s">
        <v>252</v>
      </c>
      <c r="B42" t="s">
        <v>62</v>
      </c>
      <c r="C42">
        <v>9</v>
      </c>
      <c r="D42">
        <v>16</v>
      </c>
      <c r="E42" t="s">
        <v>61</v>
      </c>
      <c r="F42" t="s">
        <v>149</v>
      </c>
      <c r="G42">
        <v>1</v>
      </c>
    </row>
    <row r="43" spans="1:7">
      <c r="A43" t="s">
        <v>253</v>
      </c>
      <c r="B43" t="s">
        <v>63</v>
      </c>
      <c r="C43">
        <v>5</v>
      </c>
      <c r="D43">
        <v>16</v>
      </c>
      <c r="E43" t="s">
        <v>61</v>
      </c>
      <c r="F43" t="s">
        <v>149</v>
      </c>
      <c r="G43">
        <v>1</v>
      </c>
    </row>
    <row r="44" spans="1:7">
      <c r="A44" t="s">
        <v>254</v>
      </c>
      <c r="B44" t="s">
        <v>19</v>
      </c>
      <c r="C44">
        <v>2</v>
      </c>
      <c r="D44">
        <v>16</v>
      </c>
      <c r="E44" t="s">
        <v>61</v>
      </c>
      <c r="F44" t="s">
        <v>149</v>
      </c>
      <c r="G44">
        <v>1</v>
      </c>
    </row>
    <row r="45" spans="1:7">
      <c r="A45" t="s">
        <v>255</v>
      </c>
      <c r="B45" t="s">
        <v>64</v>
      </c>
      <c r="C45">
        <v>4</v>
      </c>
      <c r="D45">
        <v>16</v>
      </c>
      <c r="E45" t="s">
        <v>61</v>
      </c>
      <c r="F45" t="s">
        <v>149</v>
      </c>
      <c r="G45">
        <v>1</v>
      </c>
    </row>
    <row r="46" spans="1:7">
      <c r="A46" t="s">
        <v>256</v>
      </c>
      <c r="B46" t="s">
        <v>65</v>
      </c>
      <c r="C46">
        <v>8</v>
      </c>
      <c r="D46">
        <v>16</v>
      </c>
      <c r="E46" t="s">
        <v>61</v>
      </c>
      <c r="F46" t="s">
        <v>149</v>
      </c>
      <c r="G46">
        <v>2</v>
      </c>
    </row>
    <row r="47" spans="1:7">
      <c r="A47" t="s">
        <v>257</v>
      </c>
      <c r="B47" t="s">
        <v>18</v>
      </c>
      <c r="C47">
        <v>6</v>
      </c>
      <c r="D47">
        <v>16</v>
      </c>
      <c r="E47" t="s">
        <v>61</v>
      </c>
      <c r="F47" t="s">
        <v>149</v>
      </c>
      <c r="G47">
        <v>2</v>
      </c>
    </row>
    <row r="48" spans="1:7">
      <c r="A48" t="s">
        <v>258</v>
      </c>
      <c r="B48" t="s">
        <v>66</v>
      </c>
      <c r="C48">
        <v>3</v>
      </c>
      <c r="D48">
        <v>16</v>
      </c>
      <c r="E48" t="s">
        <v>61</v>
      </c>
      <c r="F48" t="s">
        <v>149</v>
      </c>
      <c r="G48">
        <v>2</v>
      </c>
    </row>
    <row r="49" spans="1:7">
      <c r="A49" t="s">
        <v>259</v>
      </c>
      <c r="B49" t="s">
        <v>15</v>
      </c>
      <c r="C49">
        <v>3</v>
      </c>
      <c r="D49">
        <v>16</v>
      </c>
      <c r="E49" t="s">
        <v>61</v>
      </c>
      <c r="F49" t="s">
        <v>149</v>
      </c>
      <c r="G49">
        <v>2</v>
      </c>
    </row>
    <row r="50" spans="1:7">
      <c r="A50" t="s">
        <v>260</v>
      </c>
      <c r="B50" t="s">
        <v>33</v>
      </c>
      <c r="C50">
        <v>5</v>
      </c>
      <c r="D50">
        <v>16</v>
      </c>
      <c r="E50" t="s">
        <v>61</v>
      </c>
      <c r="F50" t="s">
        <v>149</v>
      </c>
      <c r="G50">
        <v>3</v>
      </c>
    </row>
    <row r="51" spans="1:7">
      <c r="A51" t="s">
        <v>261</v>
      </c>
      <c r="B51" t="s">
        <v>67</v>
      </c>
      <c r="C51">
        <v>3</v>
      </c>
      <c r="D51">
        <v>16</v>
      </c>
      <c r="E51" t="s">
        <v>61</v>
      </c>
      <c r="F51" t="s">
        <v>149</v>
      </c>
      <c r="G51">
        <v>3</v>
      </c>
    </row>
    <row r="52" spans="1:7">
      <c r="A52" t="s">
        <v>262</v>
      </c>
      <c r="B52" t="s">
        <v>28</v>
      </c>
      <c r="C52">
        <v>4</v>
      </c>
      <c r="D52">
        <v>16</v>
      </c>
      <c r="E52" t="s">
        <v>61</v>
      </c>
      <c r="F52" t="s">
        <v>149</v>
      </c>
      <c r="G52">
        <v>3</v>
      </c>
    </row>
    <row r="53" spans="1:7">
      <c r="A53" t="s">
        <v>263</v>
      </c>
      <c r="B53" t="s">
        <v>68</v>
      </c>
      <c r="C53">
        <v>5</v>
      </c>
      <c r="D53">
        <v>16</v>
      </c>
      <c r="E53" t="s">
        <v>61</v>
      </c>
      <c r="F53" t="s">
        <v>149</v>
      </c>
      <c r="G53">
        <v>3</v>
      </c>
    </row>
    <row r="54" spans="1:7">
      <c r="A54" t="s">
        <v>264</v>
      </c>
      <c r="B54" t="s">
        <v>69</v>
      </c>
      <c r="C54">
        <v>3</v>
      </c>
      <c r="D54">
        <v>16</v>
      </c>
      <c r="E54" t="s">
        <v>61</v>
      </c>
      <c r="F54" t="s">
        <v>149</v>
      </c>
      <c r="G54">
        <v>3</v>
      </c>
    </row>
    <row r="55" spans="1:7">
      <c r="A55" t="s">
        <v>265</v>
      </c>
      <c r="B55" t="s">
        <v>72</v>
      </c>
      <c r="C55">
        <v>5</v>
      </c>
      <c r="D55">
        <v>16</v>
      </c>
      <c r="E55" t="s">
        <v>61</v>
      </c>
      <c r="F55" t="s">
        <v>149</v>
      </c>
      <c r="G55">
        <v>4</v>
      </c>
    </row>
    <row r="56" spans="1:7">
      <c r="A56" t="s">
        <v>266</v>
      </c>
      <c r="B56" t="s">
        <v>73</v>
      </c>
      <c r="C56">
        <v>4</v>
      </c>
      <c r="D56">
        <v>16</v>
      </c>
      <c r="E56" t="s">
        <v>61</v>
      </c>
      <c r="F56" t="s">
        <v>149</v>
      </c>
      <c r="G56">
        <v>4</v>
      </c>
    </row>
    <row r="57" spans="1:7">
      <c r="A57" t="s">
        <v>267</v>
      </c>
      <c r="B57" t="s">
        <v>74</v>
      </c>
      <c r="C57">
        <v>5</v>
      </c>
      <c r="D57">
        <v>16</v>
      </c>
      <c r="E57" t="s">
        <v>61</v>
      </c>
      <c r="F57" t="s">
        <v>149</v>
      </c>
      <c r="G57">
        <v>4</v>
      </c>
    </row>
    <row r="58" spans="1:7">
      <c r="A58" t="s">
        <v>268</v>
      </c>
      <c r="B58" t="s">
        <v>31</v>
      </c>
      <c r="C58">
        <v>4</v>
      </c>
      <c r="D58">
        <v>16</v>
      </c>
      <c r="E58" t="s">
        <v>61</v>
      </c>
      <c r="F58" t="s">
        <v>149</v>
      </c>
      <c r="G58">
        <v>4</v>
      </c>
    </row>
    <row r="59" spans="1:7">
      <c r="A59" t="s">
        <v>269</v>
      </c>
      <c r="B59" t="s">
        <v>75</v>
      </c>
      <c r="C59">
        <v>2</v>
      </c>
      <c r="D59">
        <v>16</v>
      </c>
      <c r="E59" t="s">
        <v>61</v>
      </c>
      <c r="F59" t="s">
        <v>149</v>
      </c>
      <c r="G59">
        <v>4</v>
      </c>
    </row>
    <row r="60" spans="1:7">
      <c r="A60" t="s">
        <v>270</v>
      </c>
      <c r="B60" t="s">
        <v>76</v>
      </c>
      <c r="C60">
        <v>4</v>
      </c>
      <c r="D60">
        <v>16</v>
      </c>
      <c r="E60" t="s">
        <v>61</v>
      </c>
      <c r="F60" t="s">
        <v>149</v>
      </c>
      <c r="G60">
        <v>5</v>
      </c>
    </row>
    <row r="61" spans="1:7">
      <c r="A61" t="s">
        <v>271</v>
      </c>
      <c r="B61" t="s">
        <v>35</v>
      </c>
      <c r="C61">
        <v>6</v>
      </c>
      <c r="D61">
        <v>16</v>
      </c>
      <c r="E61" t="s">
        <v>61</v>
      </c>
      <c r="F61" t="s">
        <v>149</v>
      </c>
      <c r="G61">
        <v>5</v>
      </c>
    </row>
    <row r="62" spans="1:7">
      <c r="A62" t="s">
        <v>272</v>
      </c>
      <c r="B62" t="s">
        <v>77</v>
      </c>
      <c r="C62">
        <v>5</v>
      </c>
      <c r="D62">
        <v>16</v>
      </c>
      <c r="E62" t="s">
        <v>61</v>
      </c>
      <c r="F62" t="s">
        <v>149</v>
      </c>
      <c r="G62">
        <v>5</v>
      </c>
    </row>
    <row r="63" spans="1:7">
      <c r="A63" t="s">
        <v>273</v>
      </c>
      <c r="B63" t="s">
        <v>78</v>
      </c>
      <c r="C63">
        <v>3</v>
      </c>
      <c r="D63">
        <v>16</v>
      </c>
      <c r="E63" t="s">
        <v>61</v>
      </c>
      <c r="F63" t="s">
        <v>149</v>
      </c>
      <c r="G63">
        <v>5</v>
      </c>
    </row>
    <row r="64" spans="1:7">
      <c r="A64" t="s">
        <v>274</v>
      </c>
      <c r="B64" t="s">
        <v>79</v>
      </c>
      <c r="C64">
        <v>2</v>
      </c>
      <c r="D64">
        <v>16</v>
      </c>
      <c r="E64" t="s">
        <v>61</v>
      </c>
      <c r="F64" t="s">
        <v>149</v>
      </c>
      <c r="G64">
        <v>5</v>
      </c>
    </row>
    <row r="65" spans="1:7">
      <c r="A65" t="s">
        <v>275</v>
      </c>
      <c r="B65" t="s">
        <v>80</v>
      </c>
      <c r="C65">
        <v>4</v>
      </c>
      <c r="D65">
        <v>16</v>
      </c>
      <c r="E65" t="s">
        <v>61</v>
      </c>
      <c r="F65" t="s">
        <v>149</v>
      </c>
      <c r="G65">
        <v>6</v>
      </c>
    </row>
    <row r="66" spans="1:7">
      <c r="A66" t="s">
        <v>276</v>
      </c>
      <c r="B66" t="s">
        <v>81</v>
      </c>
      <c r="C66">
        <v>3</v>
      </c>
      <c r="D66">
        <v>16</v>
      </c>
      <c r="E66" t="s">
        <v>61</v>
      </c>
      <c r="F66" t="s">
        <v>149</v>
      </c>
      <c r="G66">
        <v>6</v>
      </c>
    </row>
    <row r="67" spans="1:7">
      <c r="A67" t="s">
        <v>277</v>
      </c>
      <c r="B67" t="s">
        <v>54</v>
      </c>
      <c r="C67">
        <v>5</v>
      </c>
      <c r="D67">
        <v>16</v>
      </c>
      <c r="E67" t="s">
        <v>61</v>
      </c>
      <c r="F67" t="s">
        <v>149</v>
      </c>
      <c r="G67">
        <v>6</v>
      </c>
    </row>
    <row r="68" spans="1:7">
      <c r="A68" t="s">
        <v>278</v>
      </c>
      <c r="B68" t="s">
        <v>55</v>
      </c>
      <c r="C68">
        <v>4</v>
      </c>
      <c r="D68">
        <v>16</v>
      </c>
      <c r="E68" t="s">
        <v>61</v>
      </c>
      <c r="F68" t="s">
        <v>149</v>
      </c>
      <c r="G68">
        <v>6</v>
      </c>
    </row>
    <row r="69" spans="1:7">
      <c r="A69" t="s">
        <v>279</v>
      </c>
      <c r="B69" t="s">
        <v>46</v>
      </c>
      <c r="C69">
        <v>4</v>
      </c>
      <c r="D69">
        <v>16</v>
      </c>
      <c r="E69" t="s">
        <v>61</v>
      </c>
      <c r="F69" t="s">
        <v>149</v>
      </c>
      <c r="G69">
        <v>6</v>
      </c>
    </row>
    <row r="70" spans="1:7">
      <c r="A70" t="s">
        <v>280</v>
      </c>
      <c r="B70" t="s">
        <v>82</v>
      </c>
      <c r="C70">
        <v>4</v>
      </c>
      <c r="D70">
        <v>16</v>
      </c>
      <c r="E70" t="s">
        <v>61</v>
      </c>
      <c r="F70" t="s">
        <v>149</v>
      </c>
      <c r="G70">
        <v>7</v>
      </c>
    </row>
    <row r="71" spans="1:7">
      <c r="A71" t="s">
        <v>281</v>
      </c>
      <c r="B71" t="s">
        <v>84</v>
      </c>
      <c r="C71">
        <v>5</v>
      </c>
      <c r="D71">
        <v>16</v>
      </c>
      <c r="E71" t="s">
        <v>61</v>
      </c>
      <c r="F71" t="s">
        <v>149</v>
      </c>
      <c r="G71">
        <v>7</v>
      </c>
    </row>
    <row r="72" spans="1:7">
      <c r="A72" t="s">
        <v>282</v>
      </c>
      <c r="B72" t="s">
        <v>85</v>
      </c>
      <c r="C72">
        <v>4</v>
      </c>
      <c r="D72">
        <v>16</v>
      </c>
      <c r="E72" t="s">
        <v>61</v>
      </c>
      <c r="F72" t="s">
        <v>149</v>
      </c>
      <c r="G72">
        <v>7</v>
      </c>
    </row>
    <row r="73" spans="1:7">
      <c r="A73" t="s">
        <v>283</v>
      </c>
      <c r="B73" t="s">
        <v>86</v>
      </c>
      <c r="C73">
        <v>4</v>
      </c>
      <c r="D73">
        <v>16</v>
      </c>
      <c r="E73" t="s">
        <v>61</v>
      </c>
      <c r="F73" t="s">
        <v>149</v>
      </c>
      <c r="G73">
        <v>7</v>
      </c>
    </row>
    <row r="74" spans="1:7">
      <c r="A74" t="s">
        <v>284</v>
      </c>
      <c r="B74" t="s">
        <v>87</v>
      </c>
      <c r="C74">
        <v>3</v>
      </c>
      <c r="D74">
        <v>16</v>
      </c>
      <c r="E74" t="s">
        <v>61</v>
      </c>
      <c r="F74" t="s">
        <v>149</v>
      </c>
      <c r="G74">
        <v>7</v>
      </c>
    </row>
    <row r="75" spans="1:7">
      <c r="A75" t="s">
        <v>285</v>
      </c>
      <c r="B75" t="s">
        <v>88</v>
      </c>
      <c r="C75">
        <v>6</v>
      </c>
      <c r="D75">
        <v>16</v>
      </c>
      <c r="E75" t="s">
        <v>61</v>
      </c>
      <c r="F75" t="s">
        <v>149</v>
      </c>
      <c r="G75">
        <v>8</v>
      </c>
    </row>
    <row r="76" spans="1:7">
      <c r="A76" t="s">
        <v>286</v>
      </c>
      <c r="B76" t="s">
        <v>89</v>
      </c>
      <c r="C76">
        <v>3</v>
      </c>
      <c r="D76">
        <v>16</v>
      </c>
      <c r="E76" t="s">
        <v>61</v>
      </c>
      <c r="F76" t="s">
        <v>149</v>
      </c>
      <c r="G76">
        <v>8</v>
      </c>
    </row>
    <row r="77" spans="1:7">
      <c r="A77" t="s">
        <v>287</v>
      </c>
      <c r="B77" t="s">
        <v>92</v>
      </c>
      <c r="C77">
        <v>4</v>
      </c>
      <c r="D77">
        <v>16</v>
      </c>
      <c r="E77" t="s">
        <v>61</v>
      </c>
      <c r="F77" t="s">
        <v>149</v>
      </c>
      <c r="G77">
        <v>8</v>
      </c>
    </row>
    <row r="78" spans="1:7">
      <c r="A78" t="s">
        <v>288</v>
      </c>
      <c r="B78" t="s">
        <v>53</v>
      </c>
      <c r="C78">
        <v>4</v>
      </c>
      <c r="D78">
        <v>16</v>
      </c>
      <c r="E78" t="s">
        <v>61</v>
      </c>
      <c r="F78" t="s">
        <v>149</v>
      </c>
      <c r="G78">
        <v>8</v>
      </c>
    </row>
    <row r="79" spans="1:7">
      <c r="A79" t="s">
        <v>289</v>
      </c>
      <c r="B79" t="s">
        <v>94</v>
      </c>
      <c r="C79">
        <v>3</v>
      </c>
      <c r="D79">
        <v>16</v>
      </c>
      <c r="E79" t="s">
        <v>61</v>
      </c>
      <c r="F79" t="s">
        <v>149</v>
      </c>
      <c r="G79">
        <v>8</v>
      </c>
    </row>
    <row r="80" spans="1:7">
      <c r="A80" t="s">
        <v>290</v>
      </c>
      <c r="B80" t="s">
        <v>291</v>
      </c>
      <c r="C80">
        <v>3</v>
      </c>
      <c r="D80">
        <v>16</v>
      </c>
      <c r="E80" t="s">
        <v>150</v>
      </c>
      <c r="F80" t="s">
        <v>151</v>
      </c>
      <c r="G80">
        <v>1</v>
      </c>
    </row>
    <row r="81" spans="1:7">
      <c r="A81" t="s">
        <v>292</v>
      </c>
      <c r="B81" t="s">
        <v>293</v>
      </c>
      <c r="C81">
        <v>3</v>
      </c>
      <c r="D81">
        <v>16</v>
      </c>
      <c r="E81" t="s">
        <v>150</v>
      </c>
      <c r="F81" t="s">
        <v>151</v>
      </c>
      <c r="G81">
        <v>1</v>
      </c>
    </row>
    <row r="82" spans="1:7">
      <c r="A82" t="s">
        <v>294</v>
      </c>
      <c r="B82" t="s">
        <v>295</v>
      </c>
      <c r="C82">
        <v>3</v>
      </c>
      <c r="D82">
        <v>16</v>
      </c>
      <c r="E82" t="s">
        <v>150</v>
      </c>
      <c r="F82" t="s">
        <v>151</v>
      </c>
      <c r="G82">
        <v>1</v>
      </c>
    </row>
    <row r="83" spans="1:7">
      <c r="A83" t="s">
        <v>296</v>
      </c>
      <c r="B83" t="s">
        <v>297</v>
      </c>
      <c r="C83">
        <v>4</v>
      </c>
      <c r="D83">
        <v>16</v>
      </c>
      <c r="E83" t="s">
        <v>150</v>
      </c>
      <c r="F83" t="s">
        <v>151</v>
      </c>
      <c r="G83">
        <v>1</v>
      </c>
    </row>
    <row r="84" spans="1:7">
      <c r="A84" t="s">
        <v>298</v>
      </c>
      <c r="B84" t="s">
        <v>299</v>
      </c>
      <c r="C84">
        <v>3</v>
      </c>
      <c r="D84">
        <v>16</v>
      </c>
      <c r="E84" t="s">
        <v>150</v>
      </c>
      <c r="F84" t="s">
        <v>151</v>
      </c>
      <c r="G84">
        <v>1</v>
      </c>
    </row>
    <row r="85" spans="1:7">
      <c r="A85" t="s">
        <v>300</v>
      </c>
      <c r="B85" t="s">
        <v>301</v>
      </c>
      <c r="C85">
        <v>4</v>
      </c>
      <c r="D85">
        <v>16</v>
      </c>
      <c r="E85" t="s">
        <v>150</v>
      </c>
      <c r="F85" t="s">
        <v>151</v>
      </c>
      <c r="G85">
        <v>1</v>
      </c>
    </row>
    <row r="86" spans="1:7">
      <c r="A86" t="s">
        <v>302</v>
      </c>
      <c r="B86" t="s">
        <v>303</v>
      </c>
      <c r="C86">
        <v>4</v>
      </c>
      <c r="D86">
        <v>16</v>
      </c>
      <c r="E86" t="s">
        <v>150</v>
      </c>
      <c r="F86" t="s">
        <v>151</v>
      </c>
      <c r="G86">
        <v>2</v>
      </c>
    </row>
    <row r="87" spans="1:7">
      <c r="A87" t="s">
        <v>304</v>
      </c>
      <c r="B87" t="s">
        <v>305</v>
      </c>
      <c r="C87">
        <v>4</v>
      </c>
      <c r="D87">
        <v>16</v>
      </c>
      <c r="E87" t="s">
        <v>150</v>
      </c>
      <c r="F87" t="s">
        <v>151</v>
      </c>
      <c r="G87">
        <v>2</v>
      </c>
    </row>
    <row r="88" spans="1:7">
      <c r="A88" t="s">
        <v>306</v>
      </c>
      <c r="B88" t="s">
        <v>307</v>
      </c>
      <c r="C88">
        <v>4</v>
      </c>
      <c r="D88">
        <v>16</v>
      </c>
      <c r="E88" t="s">
        <v>150</v>
      </c>
      <c r="F88" t="s">
        <v>151</v>
      </c>
      <c r="G88">
        <v>2</v>
      </c>
    </row>
    <row r="89" spans="1:7">
      <c r="A89" t="s">
        <v>308</v>
      </c>
      <c r="B89" t="s">
        <v>309</v>
      </c>
      <c r="C89">
        <v>4</v>
      </c>
      <c r="D89">
        <v>16</v>
      </c>
      <c r="E89" t="s">
        <v>150</v>
      </c>
      <c r="F89" t="s">
        <v>151</v>
      </c>
      <c r="G89">
        <v>2</v>
      </c>
    </row>
    <row r="90" spans="1:7">
      <c r="A90" t="s">
        <v>310</v>
      </c>
      <c r="B90" t="s">
        <v>311</v>
      </c>
      <c r="C90">
        <v>4</v>
      </c>
      <c r="D90">
        <v>16</v>
      </c>
      <c r="E90" t="s">
        <v>150</v>
      </c>
      <c r="F90" t="s">
        <v>151</v>
      </c>
      <c r="G90">
        <v>2</v>
      </c>
    </row>
    <row r="91" spans="1:7">
      <c r="A91" t="s">
        <v>312</v>
      </c>
      <c r="B91" t="s">
        <v>313</v>
      </c>
      <c r="C91">
        <v>4</v>
      </c>
      <c r="D91">
        <v>16</v>
      </c>
      <c r="E91" t="s">
        <v>150</v>
      </c>
      <c r="F91" t="s">
        <v>151</v>
      </c>
      <c r="G91">
        <v>3</v>
      </c>
    </row>
    <row r="92" spans="1:7">
      <c r="A92" t="s">
        <v>314</v>
      </c>
      <c r="B92" t="s">
        <v>315</v>
      </c>
      <c r="C92">
        <v>4</v>
      </c>
      <c r="D92">
        <v>16</v>
      </c>
      <c r="E92" t="s">
        <v>150</v>
      </c>
      <c r="F92" t="s">
        <v>151</v>
      </c>
      <c r="G92">
        <v>3</v>
      </c>
    </row>
    <row r="93" spans="1:7">
      <c r="A93" t="s">
        <v>316</v>
      </c>
      <c r="B93" t="s">
        <v>317</v>
      </c>
      <c r="C93">
        <v>4</v>
      </c>
      <c r="D93">
        <v>16</v>
      </c>
      <c r="E93" t="s">
        <v>150</v>
      </c>
      <c r="F93" t="s">
        <v>151</v>
      </c>
      <c r="G93">
        <v>3</v>
      </c>
    </row>
    <row r="94" spans="1:7">
      <c r="A94" t="s">
        <v>318</v>
      </c>
      <c r="B94" t="s">
        <v>319</v>
      </c>
      <c r="C94">
        <v>4</v>
      </c>
      <c r="D94">
        <v>16</v>
      </c>
      <c r="E94" t="s">
        <v>150</v>
      </c>
      <c r="F94" t="s">
        <v>151</v>
      </c>
      <c r="G94">
        <v>3</v>
      </c>
    </row>
    <row r="95" spans="1:7">
      <c r="A95" t="s">
        <v>320</v>
      </c>
      <c r="B95" t="s">
        <v>321</v>
      </c>
      <c r="C95">
        <v>4</v>
      </c>
      <c r="D95">
        <v>16</v>
      </c>
      <c r="E95" t="s">
        <v>150</v>
      </c>
      <c r="F95" t="s">
        <v>151</v>
      </c>
      <c r="G95">
        <v>3</v>
      </c>
    </row>
    <row r="96" spans="1:7">
      <c r="A96" t="s">
        <v>322</v>
      </c>
      <c r="B96" t="s">
        <v>323</v>
      </c>
      <c r="C96">
        <v>5</v>
      </c>
      <c r="D96">
        <v>16</v>
      </c>
      <c r="E96" t="s">
        <v>150</v>
      </c>
      <c r="F96" t="s">
        <v>151</v>
      </c>
      <c r="G96">
        <v>4</v>
      </c>
    </row>
    <row r="97" spans="1:7">
      <c r="A97" t="s">
        <v>324</v>
      </c>
      <c r="B97" t="s">
        <v>325</v>
      </c>
      <c r="C97">
        <v>5</v>
      </c>
      <c r="D97">
        <v>16</v>
      </c>
      <c r="E97" t="s">
        <v>150</v>
      </c>
      <c r="F97" t="s">
        <v>151</v>
      </c>
      <c r="G97">
        <v>4</v>
      </c>
    </row>
    <row r="98" spans="1:7">
      <c r="A98" t="s">
        <v>326</v>
      </c>
      <c r="B98" t="s">
        <v>327</v>
      </c>
      <c r="C98">
        <v>5</v>
      </c>
      <c r="D98">
        <v>16</v>
      </c>
      <c r="E98" t="s">
        <v>150</v>
      </c>
      <c r="F98" t="s">
        <v>151</v>
      </c>
      <c r="G98">
        <v>4</v>
      </c>
    </row>
    <row r="99" spans="1:7">
      <c r="A99" t="s">
        <v>328</v>
      </c>
      <c r="B99" t="s">
        <v>12</v>
      </c>
      <c r="C99">
        <v>3</v>
      </c>
      <c r="D99">
        <v>16</v>
      </c>
      <c r="E99" t="s">
        <v>152</v>
      </c>
      <c r="F99" t="s">
        <v>153</v>
      </c>
      <c r="G99">
        <v>1</v>
      </c>
    </row>
    <row r="100" spans="1:7">
      <c r="A100" t="s">
        <v>329</v>
      </c>
      <c r="B100" t="s">
        <v>153</v>
      </c>
      <c r="C100">
        <v>5</v>
      </c>
      <c r="D100">
        <v>16</v>
      </c>
      <c r="E100" t="s">
        <v>152</v>
      </c>
      <c r="F100" t="s">
        <v>153</v>
      </c>
      <c r="G100">
        <v>1</v>
      </c>
    </row>
    <row r="101" spans="1:7">
      <c r="A101" t="s">
        <v>330</v>
      </c>
      <c r="B101" t="s">
        <v>331</v>
      </c>
      <c r="C101">
        <v>4</v>
      </c>
      <c r="D101">
        <v>16</v>
      </c>
      <c r="E101" t="s">
        <v>152</v>
      </c>
      <c r="F101" t="s">
        <v>153</v>
      </c>
      <c r="G101">
        <v>1</v>
      </c>
    </row>
    <row r="102" spans="1:7">
      <c r="A102" t="s">
        <v>332</v>
      </c>
      <c r="B102" t="s">
        <v>9</v>
      </c>
      <c r="C102">
        <v>5</v>
      </c>
      <c r="D102">
        <v>16</v>
      </c>
      <c r="E102" t="s">
        <v>152</v>
      </c>
      <c r="F102" t="s">
        <v>153</v>
      </c>
      <c r="G102">
        <v>1</v>
      </c>
    </row>
    <row r="103" spans="1:7">
      <c r="A103" t="s">
        <v>333</v>
      </c>
      <c r="B103" t="s">
        <v>334</v>
      </c>
      <c r="C103">
        <v>4</v>
      </c>
      <c r="D103">
        <v>16</v>
      </c>
      <c r="E103" t="s">
        <v>152</v>
      </c>
      <c r="F103" t="s">
        <v>153</v>
      </c>
      <c r="G103">
        <v>1</v>
      </c>
    </row>
    <row r="104" spans="1:7">
      <c r="A104" t="s">
        <v>335</v>
      </c>
      <c r="B104" t="s">
        <v>336</v>
      </c>
      <c r="C104">
        <v>5</v>
      </c>
      <c r="D104">
        <v>16</v>
      </c>
      <c r="E104" t="s">
        <v>152</v>
      </c>
      <c r="F104" t="s">
        <v>153</v>
      </c>
      <c r="G104">
        <v>2</v>
      </c>
    </row>
    <row r="105" spans="1:7">
      <c r="A105" t="s">
        <v>337</v>
      </c>
      <c r="B105" t="s">
        <v>338</v>
      </c>
      <c r="C105">
        <v>5</v>
      </c>
      <c r="D105">
        <v>16</v>
      </c>
      <c r="E105" t="s">
        <v>152</v>
      </c>
      <c r="F105" t="s">
        <v>153</v>
      </c>
      <c r="G105">
        <v>2</v>
      </c>
    </row>
    <row r="106" spans="1:7">
      <c r="A106" t="s">
        <v>339</v>
      </c>
      <c r="B106" t="s">
        <v>340</v>
      </c>
      <c r="C106">
        <v>4</v>
      </c>
      <c r="D106">
        <v>16</v>
      </c>
      <c r="E106" t="s">
        <v>152</v>
      </c>
      <c r="F106" t="s">
        <v>153</v>
      </c>
      <c r="G106">
        <v>2</v>
      </c>
    </row>
    <row r="107" spans="1:7">
      <c r="A107" t="s">
        <v>341</v>
      </c>
      <c r="B107" t="s">
        <v>33</v>
      </c>
      <c r="C107">
        <v>5</v>
      </c>
      <c r="D107">
        <v>16</v>
      </c>
      <c r="E107" t="s">
        <v>152</v>
      </c>
      <c r="F107" t="s">
        <v>153</v>
      </c>
      <c r="G107">
        <v>2</v>
      </c>
    </row>
    <row r="108" spans="1:7">
      <c r="A108" t="s">
        <v>342</v>
      </c>
      <c r="B108" t="s">
        <v>343</v>
      </c>
      <c r="C108">
        <v>4</v>
      </c>
      <c r="D108">
        <v>16</v>
      </c>
      <c r="E108" t="s">
        <v>152</v>
      </c>
      <c r="F108" t="s">
        <v>153</v>
      </c>
      <c r="G108">
        <v>2</v>
      </c>
    </row>
    <row r="109" spans="1:7">
      <c r="A109" t="s">
        <v>344</v>
      </c>
      <c r="B109" t="s">
        <v>345</v>
      </c>
      <c r="C109">
        <v>4</v>
      </c>
      <c r="D109">
        <v>16</v>
      </c>
      <c r="E109" t="s">
        <v>152</v>
      </c>
      <c r="F109" t="s">
        <v>153</v>
      </c>
      <c r="G109">
        <v>3</v>
      </c>
    </row>
    <row r="110" spans="1:7">
      <c r="A110" t="s">
        <v>346</v>
      </c>
      <c r="B110" t="s">
        <v>347</v>
      </c>
      <c r="C110">
        <v>4</v>
      </c>
      <c r="D110">
        <v>16</v>
      </c>
      <c r="E110" t="s">
        <v>152</v>
      </c>
      <c r="F110" t="s">
        <v>153</v>
      </c>
      <c r="G110">
        <v>3</v>
      </c>
    </row>
    <row r="111" spans="1:7">
      <c r="A111" t="s">
        <v>348</v>
      </c>
      <c r="B111" t="s">
        <v>186</v>
      </c>
      <c r="C111">
        <v>4</v>
      </c>
      <c r="D111">
        <v>16</v>
      </c>
      <c r="E111" t="s">
        <v>152</v>
      </c>
      <c r="F111" t="s">
        <v>153</v>
      </c>
      <c r="G111">
        <v>3</v>
      </c>
    </row>
    <row r="112" spans="1:7">
      <c r="A112" t="s">
        <v>349</v>
      </c>
      <c r="B112" t="s">
        <v>350</v>
      </c>
      <c r="C112">
        <v>3</v>
      </c>
      <c r="D112">
        <v>16</v>
      </c>
      <c r="E112" t="s">
        <v>152</v>
      </c>
      <c r="F112" t="s">
        <v>153</v>
      </c>
      <c r="G112">
        <v>3</v>
      </c>
    </row>
    <row r="113" spans="1:7">
      <c r="A113" t="s">
        <v>351</v>
      </c>
      <c r="B113" t="s">
        <v>352</v>
      </c>
      <c r="C113">
        <v>5</v>
      </c>
      <c r="D113">
        <v>16</v>
      </c>
      <c r="E113" t="s">
        <v>152</v>
      </c>
      <c r="F113" t="s">
        <v>153</v>
      </c>
      <c r="G113">
        <v>3</v>
      </c>
    </row>
    <row r="114" spans="1:7">
      <c r="A114" t="s">
        <v>353</v>
      </c>
      <c r="B114" t="s">
        <v>125</v>
      </c>
      <c r="C114">
        <v>4</v>
      </c>
      <c r="D114">
        <v>16</v>
      </c>
      <c r="E114" t="s">
        <v>152</v>
      </c>
      <c r="F114" t="s">
        <v>153</v>
      </c>
      <c r="G114">
        <v>3</v>
      </c>
    </row>
    <row r="115" spans="1:7">
      <c r="A115" t="s">
        <v>354</v>
      </c>
      <c r="B115" t="s">
        <v>14</v>
      </c>
      <c r="C115">
        <v>5</v>
      </c>
      <c r="D115">
        <v>16</v>
      </c>
      <c r="E115" t="s">
        <v>152</v>
      </c>
      <c r="F115" t="s">
        <v>153</v>
      </c>
      <c r="G115">
        <v>4</v>
      </c>
    </row>
    <row r="116" spans="1:7">
      <c r="A116" t="s">
        <v>355</v>
      </c>
      <c r="B116" t="s">
        <v>356</v>
      </c>
      <c r="C116">
        <v>4</v>
      </c>
      <c r="D116">
        <v>16</v>
      </c>
      <c r="E116" t="s">
        <v>152</v>
      </c>
      <c r="F116" t="s">
        <v>153</v>
      </c>
      <c r="G116">
        <v>4</v>
      </c>
    </row>
    <row r="117" spans="1:7">
      <c r="A117" t="s">
        <v>357</v>
      </c>
      <c r="B117" t="s">
        <v>44</v>
      </c>
      <c r="C117">
        <v>5</v>
      </c>
      <c r="D117">
        <v>16</v>
      </c>
      <c r="E117" t="s">
        <v>152</v>
      </c>
      <c r="F117" t="s">
        <v>153</v>
      </c>
      <c r="G117">
        <v>4</v>
      </c>
    </row>
    <row r="118" spans="1:7">
      <c r="A118" t="s">
        <v>358</v>
      </c>
      <c r="B118" t="s">
        <v>359</v>
      </c>
      <c r="C118">
        <v>4</v>
      </c>
      <c r="D118">
        <v>16</v>
      </c>
      <c r="E118" t="s">
        <v>152</v>
      </c>
      <c r="F118" t="s">
        <v>153</v>
      </c>
      <c r="G118">
        <v>4</v>
      </c>
    </row>
    <row r="119" spans="1:7">
      <c r="A119" t="s">
        <v>360</v>
      </c>
      <c r="B119" t="s">
        <v>361</v>
      </c>
      <c r="C119">
        <v>4</v>
      </c>
      <c r="D119">
        <v>16</v>
      </c>
      <c r="E119" t="s">
        <v>152</v>
      </c>
      <c r="F119" t="s">
        <v>153</v>
      </c>
      <c r="G119">
        <v>4</v>
      </c>
    </row>
    <row r="120" spans="1:7">
      <c r="A120" t="s">
        <v>362</v>
      </c>
      <c r="B120" t="s">
        <v>363</v>
      </c>
      <c r="C120">
        <v>4</v>
      </c>
      <c r="D120">
        <v>16</v>
      </c>
      <c r="E120" t="s">
        <v>152</v>
      </c>
      <c r="F120" t="s">
        <v>153</v>
      </c>
      <c r="G120">
        <v>5</v>
      </c>
    </row>
    <row r="121" spans="1:7">
      <c r="A121" t="s">
        <v>364</v>
      </c>
      <c r="B121" t="s">
        <v>365</v>
      </c>
      <c r="C121">
        <v>4</v>
      </c>
      <c r="D121">
        <v>16</v>
      </c>
      <c r="E121" t="s">
        <v>152</v>
      </c>
      <c r="F121" t="s">
        <v>153</v>
      </c>
      <c r="G121">
        <v>5</v>
      </c>
    </row>
    <row r="122" spans="1:7">
      <c r="A122" t="s">
        <v>366</v>
      </c>
      <c r="B122" t="s">
        <v>367</v>
      </c>
      <c r="C122">
        <v>4</v>
      </c>
      <c r="D122">
        <v>16</v>
      </c>
      <c r="E122" t="s">
        <v>152</v>
      </c>
      <c r="F122" t="s">
        <v>153</v>
      </c>
      <c r="G122">
        <v>5</v>
      </c>
    </row>
    <row r="123" spans="1:7">
      <c r="A123" t="s">
        <v>368</v>
      </c>
      <c r="B123" t="s">
        <v>369</v>
      </c>
      <c r="C123">
        <v>3</v>
      </c>
      <c r="D123">
        <v>16</v>
      </c>
      <c r="E123" t="s">
        <v>152</v>
      </c>
      <c r="F123" t="s">
        <v>153</v>
      </c>
      <c r="G123">
        <v>5</v>
      </c>
    </row>
    <row r="124" spans="1:7">
      <c r="A124" t="s">
        <v>370</v>
      </c>
      <c r="B124" t="s">
        <v>371</v>
      </c>
      <c r="C124">
        <v>4</v>
      </c>
      <c r="D124">
        <v>16</v>
      </c>
      <c r="E124" t="s">
        <v>152</v>
      </c>
      <c r="F124" t="s">
        <v>153</v>
      </c>
      <c r="G124">
        <v>5</v>
      </c>
    </row>
    <row r="125" spans="1:7">
      <c r="A125" t="s">
        <v>372</v>
      </c>
      <c r="B125" t="s">
        <v>373</v>
      </c>
      <c r="C125">
        <v>4</v>
      </c>
      <c r="D125">
        <v>16</v>
      </c>
      <c r="E125" t="s">
        <v>152</v>
      </c>
      <c r="F125" t="s">
        <v>153</v>
      </c>
      <c r="G125">
        <v>5</v>
      </c>
    </row>
    <row r="126" spans="1:7">
      <c r="A126" t="s">
        <v>374</v>
      </c>
      <c r="B126" t="s">
        <v>375</v>
      </c>
      <c r="C126">
        <v>4</v>
      </c>
      <c r="D126">
        <v>16</v>
      </c>
      <c r="E126" t="s">
        <v>152</v>
      </c>
      <c r="F126" t="s">
        <v>153</v>
      </c>
      <c r="G126">
        <v>6</v>
      </c>
    </row>
    <row r="127" spans="1:7">
      <c r="A127" t="s">
        <v>376</v>
      </c>
      <c r="B127" t="s">
        <v>377</v>
      </c>
      <c r="C127">
        <v>4</v>
      </c>
      <c r="D127">
        <v>16</v>
      </c>
      <c r="E127" t="s">
        <v>152</v>
      </c>
      <c r="F127" t="s">
        <v>153</v>
      </c>
      <c r="G127">
        <v>6</v>
      </c>
    </row>
    <row r="128" spans="1:7">
      <c r="A128" t="s">
        <v>378</v>
      </c>
      <c r="B128" t="s">
        <v>379</v>
      </c>
      <c r="C128">
        <v>4</v>
      </c>
      <c r="D128">
        <v>16</v>
      </c>
      <c r="E128" t="s">
        <v>152</v>
      </c>
      <c r="F128" t="s">
        <v>153</v>
      </c>
      <c r="G128">
        <v>6</v>
      </c>
    </row>
    <row r="129" spans="1:7">
      <c r="A129" t="s">
        <v>380</v>
      </c>
      <c r="B129" t="s">
        <v>381</v>
      </c>
      <c r="C129">
        <v>4</v>
      </c>
      <c r="D129">
        <v>16</v>
      </c>
      <c r="E129" t="s">
        <v>152</v>
      </c>
      <c r="F129" t="s">
        <v>153</v>
      </c>
      <c r="G129">
        <v>6</v>
      </c>
    </row>
    <row r="130" spans="1:7">
      <c r="A130" t="s">
        <v>382</v>
      </c>
      <c r="B130" t="s">
        <v>383</v>
      </c>
      <c r="C130">
        <v>3</v>
      </c>
      <c r="D130">
        <v>16</v>
      </c>
      <c r="E130" t="s">
        <v>152</v>
      </c>
      <c r="F130" t="s">
        <v>153</v>
      </c>
      <c r="G130">
        <v>6</v>
      </c>
    </row>
    <row r="131" spans="1:7">
      <c r="A131" t="s">
        <v>384</v>
      </c>
      <c r="B131" t="s">
        <v>385</v>
      </c>
      <c r="C131">
        <v>4</v>
      </c>
      <c r="D131">
        <v>16</v>
      </c>
      <c r="E131" t="s">
        <v>152</v>
      </c>
      <c r="F131" t="s">
        <v>153</v>
      </c>
      <c r="G131">
        <v>6</v>
      </c>
    </row>
    <row r="132" spans="1:7">
      <c r="A132" t="s">
        <v>386</v>
      </c>
      <c r="B132" t="s">
        <v>387</v>
      </c>
      <c r="C132">
        <v>4</v>
      </c>
      <c r="D132">
        <v>16</v>
      </c>
      <c r="E132" t="s">
        <v>152</v>
      </c>
      <c r="F132" t="s">
        <v>153</v>
      </c>
      <c r="G132">
        <v>7</v>
      </c>
    </row>
    <row r="133" spans="1:7">
      <c r="A133" t="s">
        <v>388</v>
      </c>
      <c r="B133" t="s">
        <v>389</v>
      </c>
      <c r="C133">
        <v>4</v>
      </c>
      <c r="D133">
        <v>16</v>
      </c>
      <c r="E133" t="s">
        <v>152</v>
      </c>
      <c r="F133" t="s">
        <v>153</v>
      </c>
      <c r="G133">
        <v>7</v>
      </c>
    </row>
    <row r="134" spans="1:7">
      <c r="A134" t="s">
        <v>390</v>
      </c>
      <c r="B134" t="s">
        <v>391</v>
      </c>
      <c r="C134">
        <v>5</v>
      </c>
      <c r="D134">
        <v>16</v>
      </c>
      <c r="E134" t="s">
        <v>152</v>
      </c>
      <c r="F134" t="s">
        <v>153</v>
      </c>
      <c r="G134">
        <v>7</v>
      </c>
    </row>
    <row r="135" spans="1:7">
      <c r="A135" t="s">
        <v>392</v>
      </c>
      <c r="B135" t="s">
        <v>393</v>
      </c>
      <c r="C135">
        <v>4</v>
      </c>
      <c r="D135">
        <v>16</v>
      </c>
      <c r="E135" t="s">
        <v>152</v>
      </c>
      <c r="F135" t="s">
        <v>153</v>
      </c>
      <c r="G135">
        <v>7</v>
      </c>
    </row>
    <row r="136" spans="1:7">
      <c r="A136" t="s">
        <v>394</v>
      </c>
      <c r="B136" t="s">
        <v>395</v>
      </c>
      <c r="C136">
        <v>4</v>
      </c>
      <c r="D136">
        <v>16</v>
      </c>
      <c r="E136" t="s">
        <v>152</v>
      </c>
      <c r="F136" t="s">
        <v>153</v>
      </c>
      <c r="G136">
        <v>7</v>
      </c>
    </row>
    <row r="137" spans="1:7">
      <c r="A137" t="s">
        <v>396</v>
      </c>
      <c r="B137" t="s">
        <v>397</v>
      </c>
      <c r="C137">
        <v>5</v>
      </c>
      <c r="D137">
        <v>16</v>
      </c>
      <c r="E137" t="s">
        <v>152</v>
      </c>
      <c r="F137" t="s">
        <v>153</v>
      </c>
      <c r="G137">
        <v>8</v>
      </c>
    </row>
    <row r="138" spans="1:7">
      <c r="A138" t="s">
        <v>398</v>
      </c>
      <c r="B138" t="s">
        <v>210</v>
      </c>
      <c r="C138">
        <v>5</v>
      </c>
      <c r="D138">
        <v>16</v>
      </c>
      <c r="E138" t="s">
        <v>152</v>
      </c>
      <c r="F138" t="s">
        <v>153</v>
      </c>
      <c r="G138">
        <v>8</v>
      </c>
    </row>
    <row r="139" spans="1:7">
      <c r="A139" t="s">
        <v>399</v>
      </c>
      <c r="B139" t="s">
        <v>400</v>
      </c>
      <c r="C139">
        <v>6</v>
      </c>
      <c r="D139">
        <v>16</v>
      </c>
      <c r="E139" t="s">
        <v>152</v>
      </c>
      <c r="F139" t="s">
        <v>153</v>
      </c>
      <c r="G139">
        <v>8</v>
      </c>
    </row>
    <row r="140" spans="1:7">
      <c r="A140" t="s">
        <v>401</v>
      </c>
      <c r="B140" t="s">
        <v>402</v>
      </c>
      <c r="C140">
        <v>4</v>
      </c>
      <c r="D140">
        <v>16</v>
      </c>
      <c r="E140" t="s">
        <v>152</v>
      </c>
      <c r="F140" t="s">
        <v>153</v>
      </c>
      <c r="G140">
        <v>8</v>
      </c>
    </row>
    <row r="141" spans="1:7">
      <c r="A141" t="s">
        <v>403</v>
      </c>
      <c r="B141" t="s">
        <v>11</v>
      </c>
      <c r="C141">
        <v>7</v>
      </c>
      <c r="D141">
        <v>16</v>
      </c>
      <c r="E141" t="s">
        <v>8</v>
      </c>
      <c r="F141" t="s">
        <v>154</v>
      </c>
      <c r="G141">
        <v>1</v>
      </c>
    </row>
    <row r="142" spans="1:7">
      <c r="A142" t="s">
        <v>404</v>
      </c>
      <c r="B142" t="s">
        <v>9</v>
      </c>
      <c r="C142">
        <v>5</v>
      </c>
      <c r="D142">
        <v>16</v>
      </c>
      <c r="E142" t="s">
        <v>8</v>
      </c>
      <c r="F142" t="s">
        <v>154</v>
      </c>
      <c r="G142">
        <v>1</v>
      </c>
    </row>
    <row r="143" spans="1:7">
      <c r="A143" t="s">
        <v>405</v>
      </c>
      <c r="B143" t="s">
        <v>12</v>
      </c>
      <c r="C143">
        <v>3</v>
      </c>
      <c r="D143">
        <v>16</v>
      </c>
      <c r="E143" t="s">
        <v>8</v>
      </c>
      <c r="F143" t="s">
        <v>154</v>
      </c>
      <c r="G143">
        <v>1</v>
      </c>
    </row>
    <row r="144" spans="1:7">
      <c r="A144" t="s">
        <v>406</v>
      </c>
      <c r="B144" t="s">
        <v>13</v>
      </c>
      <c r="C144">
        <v>2</v>
      </c>
      <c r="D144">
        <v>16</v>
      </c>
      <c r="E144" t="s">
        <v>8</v>
      </c>
      <c r="F144" t="s">
        <v>154</v>
      </c>
      <c r="G144">
        <v>1</v>
      </c>
    </row>
    <row r="145" spans="1:7">
      <c r="A145" t="s">
        <v>407</v>
      </c>
      <c r="B145" t="s">
        <v>14</v>
      </c>
      <c r="C145">
        <v>3</v>
      </c>
      <c r="D145">
        <v>16</v>
      </c>
      <c r="E145" t="s">
        <v>8</v>
      </c>
      <c r="F145" t="s">
        <v>154</v>
      </c>
      <c r="G145">
        <v>1</v>
      </c>
    </row>
    <row r="146" spans="1:7">
      <c r="A146" t="s">
        <v>408</v>
      </c>
      <c r="B146" t="s">
        <v>15</v>
      </c>
      <c r="C146">
        <v>3</v>
      </c>
      <c r="D146">
        <v>16</v>
      </c>
      <c r="E146" t="s">
        <v>8</v>
      </c>
      <c r="F146" t="s">
        <v>154</v>
      </c>
      <c r="G146">
        <v>2</v>
      </c>
    </row>
    <row r="147" spans="1:7">
      <c r="A147" t="s">
        <v>409</v>
      </c>
      <c r="B147" t="s">
        <v>17</v>
      </c>
      <c r="C147">
        <v>8</v>
      </c>
      <c r="D147">
        <v>16</v>
      </c>
      <c r="E147" t="s">
        <v>8</v>
      </c>
      <c r="F147" t="s">
        <v>154</v>
      </c>
      <c r="G147">
        <v>2</v>
      </c>
    </row>
    <row r="148" spans="1:7">
      <c r="A148" t="s">
        <v>410</v>
      </c>
      <c r="B148" t="s">
        <v>19</v>
      </c>
      <c r="C148">
        <v>2</v>
      </c>
      <c r="D148">
        <v>16</v>
      </c>
      <c r="E148" t="s">
        <v>8</v>
      </c>
      <c r="F148" t="s">
        <v>154</v>
      </c>
      <c r="G148">
        <v>2</v>
      </c>
    </row>
    <row r="149" spans="1:7">
      <c r="A149" t="s">
        <v>411</v>
      </c>
      <c r="B149" t="s">
        <v>16</v>
      </c>
      <c r="C149">
        <v>3</v>
      </c>
      <c r="D149">
        <v>16</v>
      </c>
      <c r="E149" t="s">
        <v>8</v>
      </c>
      <c r="F149" t="s">
        <v>154</v>
      </c>
      <c r="G149">
        <v>2</v>
      </c>
    </row>
    <row r="150" spans="1:7">
      <c r="A150" t="s">
        <v>412</v>
      </c>
      <c r="B150" t="s">
        <v>18</v>
      </c>
      <c r="C150">
        <v>4</v>
      </c>
      <c r="D150">
        <v>16</v>
      </c>
      <c r="E150" t="s">
        <v>8</v>
      </c>
      <c r="F150" t="s">
        <v>154</v>
      </c>
      <c r="G150">
        <v>2</v>
      </c>
    </row>
    <row r="151" spans="1:7">
      <c r="A151" t="s">
        <v>413</v>
      </c>
      <c r="B151" t="s">
        <v>21</v>
      </c>
      <c r="C151">
        <v>5</v>
      </c>
      <c r="D151">
        <v>16</v>
      </c>
      <c r="E151" t="s">
        <v>8</v>
      </c>
      <c r="F151" t="s">
        <v>154</v>
      </c>
      <c r="G151">
        <v>3</v>
      </c>
    </row>
    <row r="152" spans="1:7">
      <c r="A152" t="s">
        <v>414</v>
      </c>
      <c r="B152" t="s">
        <v>24</v>
      </c>
      <c r="C152">
        <v>4</v>
      </c>
      <c r="D152">
        <v>16</v>
      </c>
      <c r="E152" t="s">
        <v>8</v>
      </c>
      <c r="F152" t="s">
        <v>154</v>
      </c>
      <c r="G152">
        <v>3</v>
      </c>
    </row>
    <row r="153" spans="1:7">
      <c r="A153" t="s">
        <v>415</v>
      </c>
      <c r="B153" t="s">
        <v>20</v>
      </c>
      <c r="C153">
        <v>3</v>
      </c>
      <c r="D153">
        <v>16</v>
      </c>
      <c r="E153" t="s">
        <v>8</v>
      </c>
      <c r="F153" t="s">
        <v>154</v>
      </c>
      <c r="G153">
        <v>3</v>
      </c>
    </row>
    <row r="154" spans="1:7">
      <c r="A154" t="s">
        <v>416</v>
      </c>
      <c r="B154" t="s">
        <v>25</v>
      </c>
      <c r="C154">
        <v>3</v>
      </c>
      <c r="D154">
        <v>16</v>
      </c>
      <c r="E154" t="s">
        <v>8</v>
      </c>
      <c r="F154" t="s">
        <v>154</v>
      </c>
      <c r="G154">
        <v>3</v>
      </c>
    </row>
    <row r="155" spans="1:7">
      <c r="A155" t="s">
        <v>417</v>
      </c>
      <c r="B155" t="s">
        <v>23</v>
      </c>
      <c r="C155">
        <v>2</v>
      </c>
      <c r="D155">
        <v>16</v>
      </c>
      <c r="E155" t="s">
        <v>8</v>
      </c>
      <c r="F155" t="s">
        <v>154</v>
      </c>
      <c r="G155">
        <v>3</v>
      </c>
    </row>
    <row r="156" spans="1:7">
      <c r="A156" t="s">
        <v>418</v>
      </c>
      <c r="B156" t="s">
        <v>22</v>
      </c>
      <c r="C156">
        <v>3</v>
      </c>
      <c r="D156">
        <v>16</v>
      </c>
      <c r="E156" t="s">
        <v>8</v>
      </c>
      <c r="F156" t="s">
        <v>154</v>
      </c>
      <c r="G156">
        <v>3</v>
      </c>
    </row>
    <row r="157" spans="1:7">
      <c r="A157" t="s">
        <v>419</v>
      </c>
      <c r="B157" t="s">
        <v>28</v>
      </c>
      <c r="C157">
        <v>4</v>
      </c>
      <c r="D157">
        <v>16</v>
      </c>
      <c r="E157" t="s">
        <v>8</v>
      </c>
      <c r="F157" t="s">
        <v>154</v>
      </c>
      <c r="G157">
        <v>4</v>
      </c>
    </row>
    <row r="158" spans="1:7">
      <c r="A158" t="s">
        <v>420</v>
      </c>
      <c r="B158" t="s">
        <v>26</v>
      </c>
      <c r="C158">
        <v>5</v>
      </c>
      <c r="D158">
        <v>16</v>
      </c>
      <c r="E158" t="s">
        <v>8</v>
      </c>
      <c r="F158" t="s">
        <v>154</v>
      </c>
      <c r="G158">
        <v>4</v>
      </c>
    </row>
    <row r="159" spans="1:7">
      <c r="A159" t="s">
        <v>421</v>
      </c>
      <c r="B159" t="s">
        <v>31</v>
      </c>
      <c r="C159">
        <v>3</v>
      </c>
      <c r="D159">
        <v>16</v>
      </c>
      <c r="E159" t="s">
        <v>8</v>
      </c>
      <c r="F159" t="s">
        <v>154</v>
      </c>
      <c r="G159">
        <v>4</v>
      </c>
    </row>
    <row r="160" spans="1:7">
      <c r="A160" t="s">
        <v>422</v>
      </c>
      <c r="B160" t="s">
        <v>32</v>
      </c>
      <c r="C160">
        <v>4</v>
      </c>
      <c r="D160">
        <v>16</v>
      </c>
      <c r="E160" t="s">
        <v>8</v>
      </c>
      <c r="F160" t="s">
        <v>154</v>
      </c>
      <c r="G160">
        <v>4</v>
      </c>
    </row>
    <row r="161" spans="1:7">
      <c r="A161" t="s">
        <v>423</v>
      </c>
      <c r="B161" t="s">
        <v>30</v>
      </c>
      <c r="C161">
        <v>4</v>
      </c>
      <c r="D161">
        <v>16</v>
      </c>
      <c r="E161" t="s">
        <v>8</v>
      </c>
      <c r="F161" t="s">
        <v>154</v>
      </c>
      <c r="G161">
        <v>4</v>
      </c>
    </row>
    <row r="162" spans="1:7">
      <c r="A162" t="s">
        <v>424</v>
      </c>
      <c r="B162" t="s">
        <v>33</v>
      </c>
      <c r="C162">
        <v>4</v>
      </c>
      <c r="D162">
        <v>16</v>
      </c>
      <c r="E162" t="s">
        <v>8</v>
      </c>
      <c r="F162" t="s">
        <v>154</v>
      </c>
      <c r="G162">
        <v>5</v>
      </c>
    </row>
    <row r="163" spans="1:7">
      <c r="A163" t="s">
        <v>425</v>
      </c>
      <c r="B163" t="s">
        <v>34</v>
      </c>
      <c r="C163">
        <v>5</v>
      </c>
      <c r="D163">
        <v>16</v>
      </c>
      <c r="E163" t="s">
        <v>8</v>
      </c>
      <c r="F163" t="s">
        <v>154</v>
      </c>
      <c r="G163">
        <v>5</v>
      </c>
    </row>
    <row r="164" spans="1:7">
      <c r="A164" t="s">
        <v>426</v>
      </c>
      <c r="B164" t="s">
        <v>35</v>
      </c>
      <c r="C164">
        <v>5</v>
      </c>
      <c r="D164">
        <v>16</v>
      </c>
      <c r="E164" t="s">
        <v>8</v>
      </c>
      <c r="F164" t="s">
        <v>154</v>
      </c>
      <c r="G164">
        <v>5</v>
      </c>
    </row>
    <row r="165" spans="1:7">
      <c r="A165" t="s">
        <v>427</v>
      </c>
      <c r="B165" t="s">
        <v>36</v>
      </c>
      <c r="C165">
        <v>3</v>
      </c>
      <c r="D165">
        <v>16</v>
      </c>
      <c r="E165" t="s">
        <v>8</v>
      </c>
      <c r="F165" t="s">
        <v>154</v>
      </c>
      <c r="G165">
        <v>5</v>
      </c>
    </row>
    <row r="166" spans="1:7">
      <c r="A166" t="s">
        <v>428</v>
      </c>
      <c r="B166" t="s">
        <v>37</v>
      </c>
      <c r="C166">
        <v>3</v>
      </c>
      <c r="D166">
        <v>16</v>
      </c>
      <c r="E166" t="s">
        <v>8</v>
      </c>
      <c r="F166" t="s">
        <v>154</v>
      </c>
      <c r="G166">
        <v>5</v>
      </c>
    </row>
    <row r="167" spans="1:7">
      <c r="A167" t="s">
        <v>429</v>
      </c>
      <c r="B167" t="s">
        <v>41</v>
      </c>
      <c r="C167">
        <v>3</v>
      </c>
      <c r="D167">
        <v>16</v>
      </c>
      <c r="E167" t="s">
        <v>8</v>
      </c>
      <c r="F167" t="s">
        <v>154</v>
      </c>
      <c r="G167">
        <v>6</v>
      </c>
    </row>
    <row r="168" spans="1:7">
      <c r="A168" t="s">
        <v>430</v>
      </c>
      <c r="B168" t="s">
        <v>39</v>
      </c>
      <c r="C168">
        <v>5</v>
      </c>
      <c r="D168">
        <v>16</v>
      </c>
      <c r="E168" t="s">
        <v>8</v>
      </c>
      <c r="F168" t="s">
        <v>154</v>
      </c>
      <c r="G168">
        <v>6</v>
      </c>
    </row>
    <row r="169" spans="1:7">
      <c r="A169" t="s">
        <v>431</v>
      </c>
      <c r="B169" t="s">
        <v>40</v>
      </c>
      <c r="C169">
        <v>3</v>
      </c>
      <c r="D169">
        <v>16</v>
      </c>
      <c r="E169" t="s">
        <v>8</v>
      </c>
      <c r="F169" t="s">
        <v>154</v>
      </c>
      <c r="G169">
        <v>6</v>
      </c>
    </row>
    <row r="170" spans="1:7">
      <c r="A170" t="s">
        <v>432</v>
      </c>
      <c r="B170" t="s">
        <v>42</v>
      </c>
      <c r="C170">
        <v>3</v>
      </c>
      <c r="D170">
        <v>16</v>
      </c>
      <c r="E170" t="s">
        <v>8</v>
      </c>
      <c r="F170" t="s">
        <v>154</v>
      </c>
      <c r="G170">
        <v>6</v>
      </c>
    </row>
    <row r="171" spans="1:7">
      <c r="A171" t="s">
        <v>433</v>
      </c>
      <c r="B171" t="s">
        <v>43</v>
      </c>
      <c r="C171">
        <v>3</v>
      </c>
      <c r="D171">
        <v>16</v>
      </c>
      <c r="E171" t="s">
        <v>8</v>
      </c>
      <c r="F171" t="s">
        <v>154</v>
      </c>
      <c r="G171">
        <v>6</v>
      </c>
    </row>
    <row r="172" spans="1:7">
      <c r="A172" t="s">
        <v>434</v>
      </c>
      <c r="B172" t="s">
        <v>44</v>
      </c>
      <c r="C172">
        <v>3</v>
      </c>
      <c r="D172">
        <v>16</v>
      </c>
      <c r="E172" t="s">
        <v>8</v>
      </c>
      <c r="F172" t="s">
        <v>154</v>
      </c>
      <c r="G172">
        <v>6</v>
      </c>
    </row>
    <row r="173" spans="1:7">
      <c r="A173" t="s">
        <v>435</v>
      </c>
      <c r="B173" t="s">
        <v>46</v>
      </c>
      <c r="C173">
        <v>6</v>
      </c>
      <c r="D173">
        <v>16</v>
      </c>
      <c r="E173" t="s">
        <v>8</v>
      </c>
      <c r="F173" t="s">
        <v>154</v>
      </c>
      <c r="G173">
        <v>7</v>
      </c>
    </row>
    <row r="174" spans="1:7">
      <c r="A174" t="s">
        <v>436</v>
      </c>
      <c r="B174" t="s">
        <v>47</v>
      </c>
      <c r="C174">
        <v>5</v>
      </c>
      <c r="D174">
        <v>16</v>
      </c>
      <c r="E174" t="s">
        <v>8</v>
      </c>
      <c r="F174" t="s">
        <v>154</v>
      </c>
      <c r="G174">
        <v>7</v>
      </c>
    </row>
    <row r="175" spans="1:7">
      <c r="A175" t="s">
        <v>437</v>
      </c>
      <c r="B175" t="s">
        <v>49</v>
      </c>
      <c r="C175">
        <v>5</v>
      </c>
      <c r="D175">
        <v>16</v>
      </c>
      <c r="E175" t="s">
        <v>8</v>
      </c>
      <c r="F175" t="s">
        <v>154</v>
      </c>
      <c r="G175">
        <v>7</v>
      </c>
    </row>
    <row r="176" spans="1:7">
      <c r="A176" t="s">
        <v>438</v>
      </c>
      <c r="B176" t="s">
        <v>48</v>
      </c>
      <c r="C176">
        <v>4</v>
      </c>
      <c r="D176">
        <v>16</v>
      </c>
      <c r="E176" t="s">
        <v>8</v>
      </c>
      <c r="F176" t="s">
        <v>154</v>
      </c>
      <c r="G176">
        <v>7</v>
      </c>
    </row>
    <row r="177" spans="1:7">
      <c r="A177" t="s">
        <v>439</v>
      </c>
      <c r="B177" t="s">
        <v>53</v>
      </c>
      <c r="C177">
        <v>3</v>
      </c>
      <c r="D177">
        <v>16</v>
      </c>
      <c r="E177" t="s">
        <v>8</v>
      </c>
      <c r="F177" t="s">
        <v>154</v>
      </c>
      <c r="G177">
        <v>8</v>
      </c>
    </row>
    <row r="178" spans="1:7">
      <c r="A178" t="s">
        <v>440</v>
      </c>
      <c r="B178" t="s">
        <v>54</v>
      </c>
      <c r="C178">
        <v>6</v>
      </c>
      <c r="D178">
        <v>16</v>
      </c>
      <c r="E178" t="s">
        <v>8</v>
      </c>
      <c r="F178" t="s">
        <v>154</v>
      </c>
      <c r="G178">
        <v>8</v>
      </c>
    </row>
    <row r="179" spans="1:7">
      <c r="A179" t="s">
        <v>441</v>
      </c>
      <c r="B179" t="s">
        <v>56</v>
      </c>
      <c r="C179">
        <v>4</v>
      </c>
      <c r="D179">
        <v>16</v>
      </c>
      <c r="E179" t="s">
        <v>8</v>
      </c>
      <c r="F179" t="s">
        <v>154</v>
      </c>
      <c r="G179">
        <v>8</v>
      </c>
    </row>
    <row r="180" spans="1:7">
      <c r="A180" t="s">
        <v>442</v>
      </c>
      <c r="B180" t="s">
        <v>55</v>
      </c>
      <c r="C180">
        <v>3</v>
      </c>
      <c r="D180">
        <v>16</v>
      </c>
      <c r="E180" t="s">
        <v>8</v>
      </c>
      <c r="F180" t="s">
        <v>154</v>
      </c>
      <c r="G180">
        <v>8</v>
      </c>
    </row>
    <row r="181" spans="1:7">
      <c r="A181" t="s">
        <v>443</v>
      </c>
      <c r="B181" t="s">
        <v>57</v>
      </c>
      <c r="C181">
        <v>4</v>
      </c>
      <c r="D181">
        <v>16</v>
      </c>
      <c r="E181" t="s">
        <v>8</v>
      </c>
      <c r="F181" t="s">
        <v>154</v>
      </c>
      <c r="G181">
        <v>8</v>
      </c>
    </row>
    <row r="182" spans="1:7">
      <c r="A182" t="s">
        <v>444</v>
      </c>
      <c r="B182" t="s">
        <v>108</v>
      </c>
      <c r="C182">
        <v>7</v>
      </c>
      <c r="D182">
        <v>16</v>
      </c>
      <c r="E182" t="s">
        <v>107</v>
      </c>
      <c r="F182" t="s">
        <v>155</v>
      </c>
      <c r="G182">
        <v>1</v>
      </c>
    </row>
    <row r="183" spans="1:7">
      <c r="A183" t="s">
        <v>445</v>
      </c>
      <c r="B183" t="s">
        <v>109</v>
      </c>
      <c r="C183">
        <v>6</v>
      </c>
      <c r="D183">
        <v>16</v>
      </c>
      <c r="E183" t="s">
        <v>107</v>
      </c>
      <c r="F183" t="s">
        <v>155</v>
      </c>
      <c r="G183">
        <v>1</v>
      </c>
    </row>
    <row r="184" spans="1:7">
      <c r="A184" t="s">
        <v>446</v>
      </c>
      <c r="B184" t="s">
        <v>63</v>
      </c>
      <c r="C184">
        <v>3</v>
      </c>
      <c r="D184">
        <v>16</v>
      </c>
      <c r="E184" t="s">
        <v>107</v>
      </c>
      <c r="F184" t="s">
        <v>155</v>
      </c>
      <c r="G184">
        <v>1</v>
      </c>
    </row>
    <row r="185" spans="1:7">
      <c r="A185" t="s">
        <v>447</v>
      </c>
      <c r="B185" t="s">
        <v>12</v>
      </c>
      <c r="C185">
        <v>4</v>
      </c>
      <c r="D185">
        <v>16</v>
      </c>
      <c r="E185" t="s">
        <v>107</v>
      </c>
      <c r="F185" t="s">
        <v>155</v>
      </c>
      <c r="G185">
        <v>1</v>
      </c>
    </row>
    <row r="186" spans="1:7">
      <c r="A186" t="s">
        <v>448</v>
      </c>
      <c r="B186" t="s">
        <v>33</v>
      </c>
      <c r="C186">
        <v>6</v>
      </c>
      <c r="D186">
        <v>16</v>
      </c>
      <c r="E186" t="s">
        <v>107</v>
      </c>
      <c r="F186" t="s">
        <v>155</v>
      </c>
      <c r="G186">
        <v>2</v>
      </c>
    </row>
    <row r="187" spans="1:7">
      <c r="A187" t="s">
        <v>449</v>
      </c>
      <c r="B187" t="s">
        <v>111</v>
      </c>
      <c r="C187">
        <v>4</v>
      </c>
      <c r="D187">
        <v>16</v>
      </c>
      <c r="E187" t="s">
        <v>107</v>
      </c>
      <c r="F187" t="s">
        <v>155</v>
      </c>
      <c r="G187">
        <v>2</v>
      </c>
    </row>
    <row r="188" spans="1:7">
      <c r="A188" t="s">
        <v>450</v>
      </c>
      <c r="B188" t="s">
        <v>18</v>
      </c>
      <c r="C188">
        <v>5</v>
      </c>
      <c r="D188">
        <v>16</v>
      </c>
      <c r="E188" t="s">
        <v>107</v>
      </c>
      <c r="F188" t="s">
        <v>155</v>
      </c>
      <c r="G188">
        <v>2</v>
      </c>
    </row>
    <row r="189" spans="1:7">
      <c r="A189" t="s">
        <v>451</v>
      </c>
      <c r="B189" t="s">
        <v>110</v>
      </c>
      <c r="C189">
        <v>5</v>
      </c>
      <c r="D189">
        <v>16</v>
      </c>
      <c r="E189" t="s">
        <v>107</v>
      </c>
      <c r="F189" t="s">
        <v>155</v>
      </c>
      <c r="G189">
        <v>2</v>
      </c>
    </row>
    <row r="190" spans="1:7">
      <c r="A190" t="s">
        <v>452</v>
      </c>
      <c r="B190" t="s">
        <v>112</v>
      </c>
      <c r="C190">
        <v>6</v>
      </c>
      <c r="D190">
        <v>16</v>
      </c>
      <c r="E190" t="s">
        <v>107</v>
      </c>
      <c r="F190" t="s">
        <v>155</v>
      </c>
      <c r="G190">
        <v>3</v>
      </c>
    </row>
    <row r="191" spans="1:7">
      <c r="A191" t="s">
        <v>453</v>
      </c>
      <c r="B191" t="s">
        <v>113</v>
      </c>
      <c r="C191">
        <v>5</v>
      </c>
      <c r="D191">
        <v>16</v>
      </c>
      <c r="E191" t="s">
        <v>107</v>
      </c>
      <c r="F191" t="s">
        <v>155</v>
      </c>
      <c r="G191">
        <v>3</v>
      </c>
    </row>
    <row r="192" spans="1:7">
      <c r="A192" t="s">
        <v>454</v>
      </c>
      <c r="B192" t="s">
        <v>114</v>
      </c>
      <c r="C192">
        <v>5</v>
      </c>
      <c r="D192">
        <v>16</v>
      </c>
      <c r="E192" t="s">
        <v>107</v>
      </c>
      <c r="F192" t="s">
        <v>155</v>
      </c>
      <c r="G192">
        <v>3</v>
      </c>
    </row>
    <row r="193" spans="1:7">
      <c r="A193" t="s">
        <v>455</v>
      </c>
      <c r="B193" t="s">
        <v>115</v>
      </c>
      <c r="C193">
        <v>4</v>
      </c>
      <c r="D193">
        <v>16</v>
      </c>
      <c r="E193" t="s">
        <v>107</v>
      </c>
      <c r="F193" t="s">
        <v>155</v>
      </c>
      <c r="G193">
        <v>3</v>
      </c>
    </row>
    <row r="194" spans="1:7">
      <c r="A194" t="s">
        <v>456</v>
      </c>
      <c r="B194" t="s">
        <v>65</v>
      </c>
      <c r="C194">
        <v>5</v>
      </c>
      <c r="D194">
        <v>16</v>
      </c>
      <c r="E194" t="s">
        <v>107</v>
      </c>
      <c r="F194" t="s">
        <v>155</v>
      </c>
      <c r="G194">
        <v>4</v>
      </c>
    </row>
    <row r="195" spans="1:7">
      <c r="A195" t="s">
        <v>457</v>
      </c>
      <c r="B195" t="s">
        <v>116</v>
      </c>
      <c r="C195">
        <v>3</v>
      </c>
      <c r="D195">
        <v>16</v>
      </c>
      <c r="E195" t="s">
        <v>107</v>
      </c>
      <c r="F195" t="s">
        <v>155</v>
      </c>
      <c r="G195">
        <v>4</v>
      </c>
    </row>
    <row r="196" spans="1:7">
      <c r="A196" t="s">
        <v>458</v>
      </c>
      <c r="B196" t="s">
        <v>28</v>
      </c>
      <c r="C196">
        <v>5</v>
      </c>
      <c r="D196">
        <v>16</v>
      </c>
      <c r="E196" t="s">
        <v>107</v>
      </c>
      <c r="F196" t="s">
        <v>155</v>
      </c>
      <c r="G196">
        <v>4</v>
      </c>
    </row>
    <row r="197" spans="1:7">
      <c r="A197" t="s">
        <v>459</v>
      </c>
      <c r="B197" t="s">
        <v>117</v>
      </c>
      <c r="C197">
        <v>3</v>
      </c>
      <c r="D197">
        <v>16</v>
      </c>
      <c r="E197" t="s">
        <v>107</v>
      </c>
      <c r="F197" t="s">
        <v>155</v>
      </c>
      <c r="G197">
        <v>4</v>
      </c>
    </row>
    <row r="198" spans="1:7">
      <c r="A198" t="s">
        <v>460</v>
      </c>
      <c r="B198" t="s">
        <v>118</v>
      </c>
      <c r="C198">
        <v>4</v>
      </c>
      <c r="D198">
        <v>16</v>
      </c>
      <c r="E198" t="s">
        <v>107</v>
      </c>
      <c r="F198" t="s">
        <v>155</v>
      </c>
      <c r="G198">
        <v>4</v>
      </c>
    </row>
    <row r="199" spans="1:7">
      <c r="A199" t="s">
        <v>461</v>
      </c>
      <c r="B199" t="s">
        <v>119</v>
      </c>
      <c r="C199">
        <v>4</v>
      </c>
      <c r="D199">
        <v>16</v>
      </c>
      <c r="E199" t="s">
        <v>107</v>
      </c>
      <c r="F199" t="s">
        <v>155</v>
      </c>
      <c r="G199">
        <v>5</v>
      </c>
    </row>
    <row r="200" spans="1:7">
      <c r="A200" t="s">
        <v>462</v>
      </c>
      <c r="B200" t="s">
        <v>120</v>
      </c>
      <c r="C200">
        <v>3</v>
      </c>
      <c r="D200">
        <v>16</v>
      </c>
      <c r="E200" t="s">
        <v>107</v>
      </c>
      <c r="F200" t="s">
        <v>155</v>
      </c>
      <c r="G200">
        <v>5</v>
      </c>
    </row>
    <row r="201" spans="1:7">
      <c r="A201" t="s">
        <v>463</v>
      </c>
      <c r="B201" t="s">
        <v>121</v>
      </c>
      <c r="C201">
        <v>4</v>
      </c>
      <c r="D201">
        <v>16</v>
      </c>
      <c r="E201" t="s">
        <v>107</v>
      </c>
      <c r="F201" t="s">
        <v>155</v>
      </c>
      <c r="G201">
        <v>5</v>
      </c>
    </row>
    <row r="202" spans="1:7">
      <c r="A202" t="s">
        <v>464</v>
      </c>
      <c r="B202" t="s">
        <v>122</v>
      </c>
      <c r="C202">
        <v>3</v>
      </c>
      <c r="D202">
        <v>16</v>
      </c>
      <c r="E202" t="s">
        <v>107</v>
      </c>
      <c r="F202" t="s">
        <v>155</v>
      </c>
      <c r="G202">
        <v>5</v>
      </c>
    </row>
    <row r="203" spans="1:7">
      <c r="A203" t="s">
        <v>465</v>
      </c>
      <c r="B203" t="s">
        <v>123</v>
      </c>
      <c r="C203">
        <v>3</v>
      </c>
      <c r="D203">
        <v>16</v>
      </c>
      <c r="E203" t="s">
        <v>107</v>
      </c>
      <c r="F203" t="s">
        <v>155</v>
      </c>
      <c r="G203">
        <v>5</v>
      </c>
    </row>
    <row r="204" spans="1:7">
      <c r="A204" t="s">
        <v>466</v>
      </c>
      <c r="B204" t="s">
        <v>124</v>
      </c>
      <c r="C204">
        <v>3</v>
      </c>
      <c r="D204">
        <v>16</v>
      </c>
      <c r="E204" t="s">
        <v>107</v>
      </c>
      <c r="F204" t="s">
        <v>155</v>
      </c>
      <c r="G204">
        <v>5</v>
      </c>
    </row>
    <row r="205" spans="1:7">
      <c r="A205" t="s">
        <v>467</v>
      </c>
      <c r="B205" t="s">
        <v>125</v>
      </c>
      <c r="C205">
        <v>4</v>
      </c>
      <c r="D205">
        <v>16</v>
      </c>
      <c r="E205" t="s">
        <v>107</v>
      </c>
      <c r="F205" t="s">
        <v>155</v>
      </c>
      <c r="G205">
        <v>6</v>
      </c>
    </row>
    <row r="206" spans="1:7">
      <c r="A206" t="s">
        <v>468</v>
      </c>
      <c r="B206" t="s">
        <v>126</v>
      </c>
      <c r="C206">
        <v>3</v>
      </c>
      <c r="D206">
        <v>16</v>
      </c>
      <c r="E206" t="s">
        <v>107</v>
      </c>
      <c r="F206" t="s">
        <v>155</v>
      </c>
      <c r="G206">
        <v>6</v>
      </c>
    </row>
    <row r="207" spans="1:7">
      <c r="A207" t="s">
        <v>469</v>
      </c>
      <c r="B207" t="s">
        <v>127</v>
      </c>
      <c r="C207">
        <v>4</v>
      </c>
      <c r="D207">
        <v>16</v>
      </c>
      <c r="E207" t="s">
        <v>107</v>
      </c>
      <c r="F207" t="s">
        <v>155</v>
      </c>
      <c r="G207">
        <v>6</v>
      </c>
    </row>
    <row r="208" spans="1:7">
      <c r="A208" t="s">
        <v>470</v>
      </c>
      <c r="B208" t="s">
        <v>35</v>
      </c>
      <c r="C208">
        <v>5</v>
      </c>
      <c r="D208">
        <v>16</v>
      </c>
      <c r="E208" t="s">
        <v>107</v>
      </c>
      <c r="F208" t="s">
        <v>155</v>
      </c>
      <c r="G208">
        <v>6</v>
      </c>
    </row>
    <row r="209" spans="1:7">
      <c r="A209" t="s">
        <v>471</v>
      </c>
      <c r="B209" t="s">
        <v>128</v>
      </c>
      <c r="C209">
        <v>4</v>
      </c>
      <c r="D209">
        <v>16</v>
      </c>
      <c r="E209" t="s">
        <v>107</v>
      </c>
      <c r="F209" t="s">
        <v>155</v>
      </c>
      <c r="G209">
        <v>6</v>
      </c>
    </row>
    <row r="210" spans="1:7">
      <c r="A210" t="s">
        <v>472</v>
      </c>
      <c r="B210" t="s">
        <v>129</v>
      </c>
      <c r="C210">
        <v>4</v>
      </c>
      <c r="D210">
        <v>16</v>
      </c>
      <c r="E210" t="s">
        <v>107</v>
      </c>
      <c r="F210" t="s">
        <v>155</v>
      </c>
      <c r="G210">
        <v>7</v>
      </c>
    </row>
    <row r="211" spans="1:7">
      <c r="A211" t="s">
        <v>473</v>
      </c>
      <c r="B211" t="s">
        <v>130</v>
      </c>
      <c r="C211">
        <v>4</v>
      </c>
      <c r="D211">
        <v>16</v>
      </c>
      <c r="E211" t="s">
        <v>107</v>
      </c>
      <c r="F211" t="s">
        <v>155</v>
      </c>
      <c r="G211">
        <v>7</v>
      </c>
    </row>
    <row r="212" spans="1:7">
      <c r="A212" t="s">
        <v>474</v>
      </c>
      <c r="B212" t="s">
        <v>132</v>
      </c>
      <c r="C212">
        <v>4</v>
      </c>
      <c r="D212">
        <v>16</v>
      </c>
      <c r="E212" t="s">
        <v>107</v>
      </c>
      <c r="F212" t="s">
        <v>155</v>
      </c>
      <c r="G212">
        <v>7</v>
      </c>
    </row>
    <row r="213" spans="1:7">
      <c r="A213" t="s">
        <v>475</v>
      </c>
      <c r="B213" t="s">
        <v>133</v>
      </c>
      <c r="C213">
        <v>4</v>
      </c>
      <c r="D213">
        <v>16</v>
      </c>
      <c r="E213" t="s">
        <v>107</v>
      </c>
      <c r="F213" t="s">
        <v>155</v>
      </c>
      <c r="G213">
        <v>7</v>
      </c>
    </row>
    <row r="214" spans="1:7">
      <c r="A214" t="s">
        <v>476</v>
      </c>
      <c r="B214" t="s">
        <v>55</v>
      </c>
      <c r="C214">
        <v>4</v>
      </c>
      <c r="D214">
        <v>16</v>
      </c>
      <c r="E214" t="s">
        <v>107</v>
      </c>
      <c r="F214" t="s">
        <v>155</v>
      </c>
      <c r="G214">
        <v>7</v>
      </c>
    </row>
    <row r="215" spans="1:7">
      <c r="A215" t="s">
        <v>477</v>
      </c>
      <c r="B215" t="s">
        <v>134</v>
      </c>
      <c r="C215">
        <v>4</v>
      </c>
      <c r="D215">
        <v>16</v>
      </c>
      <c r="E215" t="s">
        <v>107</v>
      </c>
      <c r="F215" t="s">
        <v>155</v>
      </c>
      <c r="G215">
        <v>8</v>
      </c>
    </row>
    <row r="216" spans="1:7">
      <c r="A216" t="s">
        <v>478</v>
      </c>
      <c r="B216" t="s">
        <v>40</v>
      </c>
      <c r="C216">
        <v>4</v>
      </c>
      <c r="D216">
        <v>16</v>
      </c>
      <c r="E216" t="s">
        <v>107</v>
      </c>
      <c r="F216" t="s">
        <v>155</v>
      </c>
      <c r="G216">
        <v>8</v>
      </c>
    </row>
    <row r="217" spans="1:7">
      <c r="A217" t="s">
        <v>479</v>
      </c>
      <c r="B217" t="s">
        <v>135</v>
      </c>
      <c r="C217">
        <v>4</v>
      </c>
      <c r="D217">
        <v>16</v>
      </c>
      <c r="E217" t="s">
        <v>107</v>
      </c>
      <c r="F217" t="s">
        <v>155</v>
      </c>
      <c r="G217">
        <v>8</v>
      </c>
    </row>
    <row r="218" spans="1:7">
      <c r="A218" t="s">
        <v>480</v>
      </c>
      <c r="B218" t="s">
        <v>481</v>
      </c>
      <c r="C218">
        <v>4</v>
      </c>
      <c r="D218">
        <v>16</v>
      </c>
      <c r="E218" t="s">
        <v>107</v>
      </c>
      <c r="F218" t="s">
        <v>155</v>
      </c>
      <c r="G218">
        <v>8</v>
      </c>
    </row>
    <row r="219" spans="1:7">
      <c r="A219" t="s">
        <v>482</v>
      </c>
      <c r="B219" t="s">
        <v>136</v>
      </c>
      <c r="C219">
        <v>4</v>
      </c>
      <c r="D219">
        <v>16</v>
      </c>
      <c r="E219" t="s">
        <v>107</v>
      </c>
      <c r="F219" t="s">
        <v>155</v>
      </c>
      <c r="G219">
        <v>8</v>
      </c>
    </row>
    <row r="220" spans="1:7">
      <c r="A220" t="s">
        <v>483</v>
      </c>
      <c r="B220" t="s">
        <v>484</v>
      </c>
      <c r="C220">
        <v>4</v>
      </c>
      <c r="D220">
        <v>16</v>
      </c>
      <c r="E220" t="s">
        <v>156</v>
      </c>
      <c r="F220" t="s">
        <v>157</v>
      </c>
      <c r="G220">
        <v>8</v>
      </c>
    </row>
    <row r="221" spans="1:7">
      <c r="A221" t="s">
        <v>485</v>
      </c>
      <c r="B221" t="s">
        <v>486</v>
      </c>
      <c r="C221">
        <v>4</v>
      </c>
      <c r="D221">
        <v>16</v>
      </c>
      <c r="E221" t="s">
        <v>156</v>
      </c>
      <c r="F221" t="s">
        <v>157</v>
      </c>
      <c r="G221">
        <v>3</v>
      </c>
    </row>
    <row r="222" spans="1:7">
      <c r="A222" t="s">
        <v>487</v>
      </c>
      <c r="B222" t="s">
        <v>66</v>
      </c>
      <c r="C222">
        <v>4</v>
      </c>
      <c r="D222">
        <v>16</v>
      </c>
      <c r="E222" t="s">
        <v>156</v>
      </c>
      <c r="F222" t="s">
        <v>157</v>
      </c>
      <c r="G222">
        <v>3</v>
      </c>
    </row>
    <row r="223" spans="1:7">
      <c r="A223" t="s">
        <v>488</v>
      </c>
      <c r="B223" t="s">
        <v>489</v>
      </c>
      <c r="C223">
        <v>4</v>
      </c>
      <c r="D223">
        <v>16</v>
      </c>
      <c r="E223" t="s">
        <v>156</v>
      </c>
      <c r="F223" t="s">
        <v>157</v>
      </c>
      <c r="G223">
        <v>3</v>
      </c>
    </row>
    <row r="224" spans="1:7">
      <c r="A224" t="s">
        <v>490</v>
      </c>
      <c r="B224" t="s">
        <v>491</v>
      </c>
      <c r="C224">
        <v>4</v>
      </c>
      <c r="D224">
        <v>16</v>
      </c>
      <c r="E224" t="s">
        <v>156</v>
      </c>
      <c r="F224" t="s">
        <v>157</v>
      </c>
      <c r="G224">
        <v>3</v>
      </c>
    </row>
    <row r="225" spans="1:7">
      <c r="A225" t="s">
        <v>492</v>
      </c>
      <c r="B225" t="s">
        <v>493</v>
      </c>
      <c r="C225">
        <v>4</v>
      </c>
      <c r="D225">
        <v>16</v>
      </c>
      <c r="E225" t="s">
        <v>156</v>
      </c>
      <c r="F225" t="s">
        <v>157</v>
      </c>
      <c r="G225">
        <v>3</v>
      </c>
    </row>
    <row r="226" spans="1:7">
      <c r="A226" t="s">
        <v>494</v>
      </c>
      <c r="B226" t="s">
        <v>495</v>
      </c>
      <c r="C226">
        <v>4</v>
      </c>
      <c r="D226">
        <v>16</v>
      </c>
      <c r="E226" t="s">
        <v>156</v>
      </c>
      <c r="F226" t="s">
        <v>157</v>
      </c>
      <c r="G226">
        <v>4</v>
      </c>
    </row>
    <row r="227" spans="1:7">
      <c r="A227" t="s">
        <v>496</v>
      </c>
      <c r="B227" t="s">
        <v>497</v>
      </c>
      <c r="C227">
        <v>5</v>
      </c>
      <c r="D227">
        <v>16</v>
      </c>
      <c r="E227" t="s">
        <v>156</v>
      </c>
      <c r="F227" t="s">
        <v>157</v>
      </c>
      <c r="G227">
        <v>4</v>
      </c>
    </row>
    <row r="228" spans="1:7">
      <c r="A228" t="s">
        <v>498</v>
      </c>
      <c r="B228" t="s">
        <v>499</v>
      </c>
      <c r="C228">
        <v>6</v>
      </c>
      <c r="D228">
        <v>16</v>
      </c>
      <c r="E228" t="s">
        <v>156</v>
      </c>
      <c r="F228" t="s">
        <v>157</v>
      </c>
      <c r="G228">
        <v>4</v>
      </c>
    </row>
    <row r="229" spans="1:7">
      <c r="A229" t="s">
        <v>500</v>
      </c>
      <c r="B229" t="s">
        <v>501</v>
      </c>
      <c r="C229">
        <v>5</v>
      </c>
      <c r="D229">
        <v>16</v>
      </c>
      <c r="E229" t="s">
        <v>156</v>
      </c>
      <c r="F229" t="s">
        <v>157</v>
      </c>
      <c r="G229">
        <v>4</v>
      </c>
    </row>
    <row r="230" spans="1:7">
      <c r="A230" t="s">
        <v>502</v>
      </c>
      <c r="B230" t="s">
        <v>503</v>
      </c>
      <c r="C230">
        <v>4</v>
      </c>
      <c r="D230">
        <v>16</v>
      </c>
      <c r="E230" t="s">
        <v>156</v>
      </c>
      <c r="F230" t="s">
        <v>157</v>
      </c>
      <c r="G230">
        <v>6</v>
      </c>
    </row>
    <row r="231" spans="1:7">
      <c r="A231" t="s">
        <v>504</v>
      </c>
      <c r="B231" t="s">
        <v>505</v>
      </c>
      <c r="C231">
        <v>4</v>
      </c>
      <c r="D231">
        <v>16</v>
      </c>
      <c r="E231" t="s">
        <v>156</v>
      </c>
      <c r="F231" t="s">
        <v>157</v>
      </c>
      <c r="G231">
        <v>6</v>
      </c>
    </row>
    <row r="232" spans="1:7">
      <c r="A232" t="s">
        <v>506</v>
      </c>
      <c r="B232" t="s">
        <v>507</v>
      </c>
      <c r="C232">
        <v>4</v>
      </c>
      <c r="D232">
        <v>16</v>
      </c>
      <c r="E232" t="s">
        <v>156</v>
      </c>
      <c r="F232" t="s">
        <v>157</v>
      </c>
      <c r="G232">
        <v>6</v>
      </c>
    </row>
    <row r="233" spans="1:7">
      <c r="A233" t="s">
        <v>508</v>
      </c>
      <c r="B233" t="s">
        <v>509</v>
      </c>
      <c r="C233">
        <v>4</v>
      </c>
      <c r="D233">
        <v>16</v>
      </c>
      <c r="E233" t="s">
        <v>156</v>
      </c>
      <c r="F233" t="s">
        <v>157</v>
      </c>
      <c r="G233">
        <v>6</v>
      </c>
    </row>
    <row r="234" spans="1:7">
      <c r="A234" t="s">
        <v>510</v>
      </c>
      <c r="B234" t="s">
        <v>511</v>
      </c>
      <c r="C234">
        <v>4</v>
      </c>
      <c r="D234">
        <v>16</v>
      </c>
      <c r="E234" t="s">
        <v>156</v>
      </c>
      <c r="F234" t="s">
        <v>157</v>
      </c>
      <c r="G234">
        <v>6</v>
      </c>
    </row>
    <row r="235" spans="1:7">
      <c r="A235" t="s">
        <v>512</v>
      </c>
      <c r="B235" t="s">
        <v>513</v>
      </c>
      <c r="C235">
        <v>4</v>
      </c>
      <c r="D235">
        <v>16</v>
      </c>
      <c r="E235" t="s">
        <v>156</v>
      </c>
      <c r="F235" t="s">
        <v>157</v>
      </c>
      <c r="G235">
        <v>8</v>
      </c>
    </row>
    <row r="236" spans="1:7">
      <c r="A236" t="s">
        <v>514</v>
      </c>
      <c r="B236" t="s">
        <v>515</v>
      </c>
      <c r="C236">
        <v>4</v>
      </c>
      <c r="D236">
        <v>16</v>
      </c>
      <c r="E236" t="s">
        <v>156</v>
      </c>
      <c r="F236" t="s">
        <v>157</v>
      </c>
      <c r="G236">
        <v>8</v>
      </c>
    </row>
    <row r="237" spans="1:7">
      <c r="A237" t="s">
        <v>516</v>
      </c>
      <c r="B237" t="s">
        <v>517</v>
      </c>
      <c r="C237">
        <v>4</v>
      </c>
      <c r="D237">
        <v>16</v>
      </c>
      <c r="E237" t="s">
        <v>156</v>
      </c>
      <c r="F237" t="s">
        <v>157</v>
      </c>
      <c r="G237">
        <v>8</v>
      </c>
    </row>
    <row r="238" spans="1:7">
      <c r="A238" t="s">
        <v>518</v>
      </c>
      <c r="B238" t="s">
        <v>245</v>
      </c>
      <c r="C238">
        <v>4</v>
      </c>
      <c r="D238">
        <v>16</v>
      </c>
      <c r="E238" t="s">
        <v>156</v>
      </c>
      <c r="F238" t="s">
        <v>157</v>
      </c>
      <c r="G238">
        <v>8</v>
      </c>
    </row>
    <row r="239" spans="1:7">
      <c r="A239" t="s">
        <v>519</v>
      </c>
      <c r="B239" t="s">
        <v>520</v>
      </c>
      <c r="C239">
        <v>20</v>
      </c>
      <c r="D239">
        <v>16</v>
      </c>
      <c r="E239" t="s">
        <v>156</v>
      </c>
      <c r="F239" t="s">
        <v>157</v>
      </c>
      <c r="G239">
        <v>8</v>
      </c>
    </row>
    <row r="240" spans="1:7">
      <c r="A240" t="s">
        <v>521</v>
      </c>
      <c r="B240" t="s">
        <v>522</v>
      </c>
      <c r="C240">
        <v>5</v>
      </c>
      <c r="D240">
        <v>16</v>
      </c>
      <c r="E240" t="s">
        <v>158</v>
      </c>
      <c r="F240" t="s">
        <v>117</v>
      </c>
      <c r="G240">
        <v>1</v>
      </c>
    </row>
    <row r="241" spans="1:7">
      <c r="A241" t="s">
        <v>523</v>
      </c>
      <c r="B241" t="s">
        <v>524</v>
      </c>
      <c r="C241">
        <v>4</v>
      </c>
      <c r="D241">
        <v>16</v>
      </c>
      <c r="E241" t="s">
        <v>158</v>
      </c>
      <c r="F241" t="s">
        <v>117</v>
      </c>
      <c r="G241">
        <v>1</v>
      </c>
    </row>
    <row r="242" spans="1:7">
      <c r="A242" t="s">
        <v>525</v>
      </c>
      <c r="B242" t="s">
        <v>526</v>
      </c>
      <c r="C242">
        <v>4</v>
      </c>
      <c r="D242">
        <v>16</v>
      </c>
      <c r="E242" t="s">
        <v>158</v>
      </c>
      <c r="F242" t="s">
        <v>117</v>
      </c>
      <c r="G242">
        <v>1</v>
      </c>
    </row>
    <row r="243" spans="1:7">
      <c r="A243" t="s">
        <v>527</v>
      </c>
      <c r="B243" t="s">
        <v>528</v>
      </c>
      <c r="C243">
        <v>4</v>
      </c>
      <c r="D243">
        <v>16</v>
      </c>
      <c r="E243" t="s">
        <v>158</v>
      </c>
      <c r="F243" t="s">
        <v>117</v>
      </c>
      <c r="G243">
        <v>1</v>
      </c>
    </row>
    <row r="244" spans="1:7">
      <c r="A244" t="s">
        <v>529</v>
      </c>
      <c r="B244" t="s">
        <v>530</v>
      </c>
      <c r="C244">
        <v>3</v>
      </c>
      <c r="D244">
        <v>16</v>
      </c>
      <c r="E244" t="s">
        <v>158</v>
      </c>
      <c r="F244" t="s">
        <v>117</v>
      </c>
      <c r="G244">
        <v>1</v>
      </c>
    </row>
    <row r="245" spans="1:7">
      <c r="A245" t="s">
        <v>531</v>
      </c>
      <c r="B245" t="s">
        <v>532</v>
      </c>
      <c r="C245">
        <v>4</v>
      </c>
      <c r="D245">
        <v>16</v>
      </c>
      <c r="E245" t="s">
        <v>158</v>
      </c>
      <c r="F245" t="s">
        <v>117</v>
      </c>
      <c r="G245">
        <v>2</v>
      </c>
    </row>
    <row r="246" spans="1:7">
      <c r="A246" t="s">
        <v>533</v>
      </c>
      <c r="B246" t="s">
        <v>534</v>
      </c>
      <c r="C246">
        <v>3</v>
      </c>
      <c r="D246">
        <v>16</v>
      </c>
      <c r="E246" t="s">
        <v>158</v>
      </c>
      <c r="F246" t="s">
        <v>117</v>
      </c>
      <c r="G246">
        <v>2</v>
      </c>
    </row>
    <row r="247" spans="1:7">
      <c r="A247" t="s">
        <v>535</v>
      </c>
      <c r="B247" t="s">
        <v>536</v>
      </c>
      <c r="C247">
        <v>3</v>
      </c>
      <c r="D247">
        <v>16</v>
      </c>
      <c r="E247" t="s">
        <v>158</v>
      </c>
      <c r="F247" t="s">
        <v>117</v>
      </c>
      <c r="G247">
        <v>2</v>
      </c>
    </row>
    <row r="248" spans="1:7">
      <c r="A248" t="s">
        <v>537</v>
      </c>
      <c r="B248" t="s">
        <v>538</v>
      </c>
      <c r="C248">
        <v>3</v>
      </c>
      <c r="D248">
        <v>16</v>
      </c>
      <c r="E248" t="s">
        <v>158</v>
      </c>
      <c r="F248" t="s">
        <v>117</v>
      </c>
      <c r="G248">
        <v>2</v>
      </c>
    </row>
    <row r="249" spans="1:7">
      <c r="A249" t="s">
        <v>539</v>
      </c>
      <c r="B249" t="s">
        <v>540</v>
      </c>
      <c r="C249">
        <v>3</v>
      </c>
      <c r="D249">
        <v>16</v>
      </c>
      <c r="E249" t="s">
        <v>158</v>
      </c>
      <c r="F249" t="s">
        <v>117</v>
      </c>
      <c r="G249">
        <v>2</v>
      </c>
    </row>
    <row r="250" spans="1:7">
      <c r="A250" t="s">
        <v>541</v>
      </c>
      <c r="B250" t="s">
        <v>542</v>
      </c>
      <c r="C250">
        <v>4</v>
      </c>
      <c r="D250">
        <v>16</v>
      </c>
      <c r="E250" t="s">
        <v>158</v>
      </c>
      <c r="F250" t="s">
        <v>117</v>
      </c>
      <c r="G250">
        <v>2</v>
      </c>
    </row>
    <row r="251" spans="1:7">
      <c r="A251" t="s">
        <v>543</v>
      </c>
      <c r="B251" t="s">
        <v>544</v>
      </c>
      <c r="C251">
        <v>4</v>
      </c>
      <c r="D251">
        <v>16</v>
      </c>
      <c r="E251" t="s">
        <v>158</v>
      </c>
      <c r="F251" t="s">
        <v>117</v>
      </c>
      <c r="G251">
        <v>3</v>
      </c>
    </row>
    <row r="252" spans="1:7">
      <c r="A252" t="s">
        <v>545</v>
      </c>
      <c r="B252" t="s">
        <v>546</v>
      </c>
      <c r="C252">
        <v>4</v>
      </c>
      <c r="D252">
        <v>16</v>
      </c>
      <c r="E252" t="s">
        <v>158</v>
      </c>
      <c r="F252" t="s">
        <v>117</v>
      </c>
      <c r="G252">
        <v>3</v>
      </c>
    </row>
    <row r="253" spans="1:7">
      <c r="A253" t="s">
        <v>547</v>
      </c>
      <c r="B253" t="s">
        <v>548</v>
      </c>
      <c r="C253">
        <v>3</v>
      </c>
      <c r="D253">
        <v>16</v>
      </c>
      <c r="E253" t="s">
        <v>158</v>
      </c>
      <c r="F253" t="s">
        <v>117</v>
      </c>
      <c r="G253">
        <v>3</v>
      </c>
    </row>
    <row r="254" spans="1:7">
      <c r="A254" t="s">
        <v>549</v>
      </c>
      <c r="B254" t="s">
        <v>550</v>
      </c>
      <c r="C254">
        <v>3</v>
      </c>
      <c r="D254">
        <v>16</v>
      </c>
      <c r="E254" t="s">
        <v>158</v>
      </c>
      <c r="F254" t="s">
        <v>117</v>
      </c>
      <c r="G254">
        <v>3</v>
      </c>
    </row>
    <row r="255" spans="1:7">
      <c r="A255" t="s">
        <v>551</v>
      </c>
      <c r="B255" t="s">
        <v>552</v>
      </c>
      <c r="C255">
        <v>3</v>
      </c>
      <c r="D255">
        <v>16</v>
      </c>
      <c r="E255" t="s">
        <v>158</v>
      </c>
      <c r="F255" t="s">
        <v>117</v>
      </c>
      <c r="G255">
        <v>3</v>
      </c>
    </row>
    <row r="256" spans="1:7">
      <c r="A256" t="s">
        <v>553</v>
      </c>
      <c r="B256" t="s">
        <v>554</v>
      </c>
      <c r="C256">
        <v>3</v>
      </c>
      <c r="D256">
        <v>16</v>
      </c>
      <c r="E256" t="s">
        <v>158</v>
      </c>
      <c r="F256" t="s">
        <v>117</v>
      </c>
      <c r="G256">
        <v>3</v>
      </c>
    </row>
    <row r="257" spans="1:7">
      <c r="A257" t="s">
        <v>555</v>
      </c>
      <c r="B257" t="s">
        <v>556</v>
      </c>
      <c r="C257">
        <v>4</v>
      </c>
      <c r="D257">
        <v>16</v>
      </c>
      <c r="E257" t="s">
        <v>158</v>
      </c>
      <c r="F257" t="s">
        <v>117</v>
      </c>
      <c r="G257">
        <v>4</v>
      </c>
    </row>
    <row r="258" spans="1:7">
      <c r="A258" t="s">
        <v>557</v>
      </c>
      <c r="B258" t="s">
        <v>558</v>
      </c>
      <c r="C258">
        <v>4</v>
      </c>
      <c r="D258">
        <v>16</v>
      </c>
      <c r="E258" t="s">
        <v>158</v>
      </c>
      <c r="F258" t="s">
        <v>117</v>
      </c>
      <c r="G258">
        <v>4</v>
      </c>
    </row>
    <row r="259" spans="1:7">
      <c r="A259" t="s">
        <v>559</v>
      </c>
      <c r="B259" t="s">
        <v>560</v>
      </c>
      <c r="C259">
        <v>4</v>
      </c>
      <c r="D259">
        <v>16</v>
      </c>
      <c r="E259" t="s">
        <v>158</v>
      </c>
      <c r="F259" t="s">
        <v>117</v>
      </c>
      <c r="G259">
        <v>4</v>
      </c>
    </row>
    <row r="260" spans="1:7">
      <c r="A260" t="s">
        <v>561</v>
      </c>
      <c r="B260" t="s">
        <v>562</v>
      </c>
      <c r="C260">
        <v>4</v>
      </c>
      <c r="D260">
        <v>16</v>
      </c>
      <c r="E260" t="s">
        <v>158</v>
      </c>
      <c r="F260" t="s">
        <v>117</v>
      </c>
      <c r="G260">
        <v>4</v>
      </c>
    </row>
    <row r="261" spans="1:7">
      <c r="A261" t="s">
        <v>563</v>
      </c>
      <c r="B261" t="s">
        <v>564</v>
      </c>
      <c r="C261">
        <v>4</v>
      </c>
      <c r="D261">
        <v>16</v>
      </c>
      <c r="E261" t="s">
        <v>158</v>
      </c>
      <c r="F261" t="s">
        <v>117</v>
      </c>
      <c r="G261">
        <v>4</v>
      </c>
    </row>
    <row r="262" spans="1:7">
      <c r="A262" t="s">
        <v>565</v>
      </c>
      <c r="B262" t="s">
        <v>566</v>
      </c>
      <c r="C262">
        <v>4</v>
      </c>
      <c r="D262">
        <v>16</v>
      </c>
      <c r="E262" t="s">
        <v>158</v>
      </c>
      <c r="F262" t="s">
        <v>117</v>
      </c>
      <c r="G262">
        <v>5</v>
      </c>
    </row>
    <row r="263" spans="1:7">
      <c r="A263" t="s">
        <v>567</v>
      </c>
      <c r="B263" t="s">
        <v>568</v>
      </c>
      <c r="C263">
        <v>4</v>
      </c>
      <c r="D263">
        <v>16</v>
      </c>
      <c r="E263" t="s">
        <v>158</v>
      </c>
      <c r="F263" t="s">
        <v>117</v>
      </c>
      <c r="G263">
        <v>5</v>
      </c>
    </row>
    <row r="264" spans="1:7">
      <c r="A264" t="s">
        <v>569</v>
      </c>
      <c r="B264" t="s">
        <v>570</v>
      </c>
      <c r="C264">
        <v>4</v>
      </c>
      <c r="D264">
        <v>16</v>
      </c>
      <c r="E264" t="s">
        <v>158</v>
      </c>
      <c r="F264" t="s">
        <v>117</v>
      </c>
      <c r="G264">
        <v>5</v>
      </c>
    </row>
    <row r="265" spans="1:7">
      <c r="A265" t="s">
        <v>571</v>
      </c>
      <c r="B265" t="s">
        <v>572</v>
      </c>
      <c r="C265">
        <v>4</v>
      </c>
      <c r="D265">
        <v>16</v>
      </c>
      <c r="E265" t="s">
        <v>158</v>
      </c>
      <c r="F265" t="s">
        <v>117</v>
      </c>
      <c r="G265">
        <v>5</v>
      </c>
    </row>
    <row r="266" spans="1:7">
      <c r="A266" t="s">
        <v>573</v>
      </c>
      <c r="B266" t="s">
        <v>574</v>
      </c>
      <c r="C266">
        <v>4</v>
      </c>
      <c r="D266">
        <v>16</v>
      </c>
      <c r="E266" t="s">
        <v>158</v>
      </c>
      <c r="F266" t="s">
        <v>117</v>
      </c>
      <c r="G266">
        <v>5</v>
      </c>
    </row>
    <row r="267" spans="1:7">
      <c r="A267" t="s">
        <v>575</v>
      </c>
      <c r="B267" t="s">
        <v>576</v>
      </c>
      <c r="C267">
        <v>4</v>
      </c>
      <c r="D267">
        <v>16</v>
      </c>
      <c r="E267" t="s">
        <v>158</v>
      </c>
      <c r="F267" t="s">
        <v>117</v>
      </c>
      <c r="G267">
        <v>6</v>
      </c>
    </row>
    <row r="268" spans="1:7">
      <c r="A268" t="s">
        <v>577</v>
      </c>
      <c r="B268" t="s">
        <v>578</v>
      </c>
      <c r="C268">
        <v>4</v>
      </c>
      <c r="D268">
        <v>16</v>
      </c>
      <c r="E268" t="s">
        <v>158</v>
      </c>
      <c r="F268" t="s">
        <v>117</v>
      </c>
      <c r="G268">
        <v>6</v>
      </c>
    </row>
    <row r="269" spans="1:7">
      <c r="A269" t="s">
        <v>579</v>
      </c>
      <c r="B269" t="s">
        <v>580</v>
      </c>
      <c r="C269">
        <v>4</v>
      </c>
      <c r="D269">
        <v>16</v>
      </c>
      <c r="E269" t="s">
        <v>158</v>
      </c>
      <c r="F269" t="s">
        <v>117</v>
      </c>
      <c r="G269">
        <v>6</v>
      </c>
    </row>
    <row r="270" spans="1:7">
      <c r="A270" t="s">
        <v>581</v>
      </c>
      <c r="B270" t="s">
        <v>582</v>
      </c>
      <c r="C270">
        <v>4</v>
      </c>
      <c r="D270">
        <v>16</v>
      </c>
      <c r="E270" t="s">
        <v>158</v>
      </c>
      <c r="F270" t="s">
        <v>117</v>
      </c>
      <c r="G270">
        <v>6</v>
      </c>
    </row>
    <row r="271" spans="1:7">
      <c r="A271" t="s">
        <v>583</v>
      </c>
      <c r="B271" t="s">
        <v>584</v>
      </c>
      <c r="C271">
        <v>4</v>
      </c>
      <c r="D271">
        <v>16</v>
      </c>
      <c r="E271" t="s">
        <v>158</v>
      </c>
      <c r="F271" t="s">
        <v>117</v>
      </c>
      <c r="G271">
        <v>6</v>
      </c>
    </row>
    <row r="272" spans="1:7">
      <c r="A272" t="s">
        <v>585</v>
      </c>
      <c r="B272" t="s">
        <v>586</v>
      </c>
      <c r="C272">
        <v>5</v>
      </c>
      <c r="D272">
        <v>16</v>
      </c>
      <c r="E272" t="s">
        <v>158</v>
      </c>
      <c r="F272" t="s">
        <v>117</v>
      </c>
      <c r="G272">
        <v>7</v>
      </c>
    </row>
    <row r="273" spans="1:7">
      <c r="A273" t="s">
        <v>587</v>
      </c>
      <c r="B273" t="s">
        <v>588</v>
      </c>
      <c r="C273">
        <v>5</v>
      </c>
      <c r="D273">
        <v>16</v>
      </c>
      <c r="E273" t="s">
        <v>158</v>
      </c>
      <c r="F273" t="s">
        <v>117</v>
      </c>
      <c r="G273">
        <v>7</v>
      </c>
    </row>
    <row r="274" spans="1:7">
      <c r="A274" t="s">
        <v>589</v>
      </c>
      <c r="B274" t="s">
        <v>590</v>
      </c>
      <c r="C274">
        <v>5</v>
      </c>
      <c r="D274">
        <v>16</v>
      </c>
      <c r="E274" t="s">
        <v>158</v>
      </c>
      <c r="F274" t="s">
        <v>117</v>
      </c>
      <c r="G274">
        <v>7</v>
      </c>
    </row>
    <row r="275" spans="1:7">
      <c r="A275" t="s">
        <v>591</v>
      </c>
      <c r="B275" t="s">
        <v>592</v>
      </c>
      <c r="C275">
        <v>5</v>
      </c>
      <c r="D275">
        <v>16</v>
      </c>
      <c r="E275" t="s">
        <v>158</v>
      </c>
      <c r="F275" t="s">
        <v>117</v>
      </c>
      <c r="G275">
        <v>7</v>
      </c>
    </row>
    <row r="276" spans="1:7">
      <c r="A276" t="s">
        <v>593</v>
      </c>
      <c r="B276" t="s">
        <v>594</v>
      </c>
      <c r="C276">
        <v>5</v>
      </c>
      <c r="D276">
        <v>16</v>
      </c>
      <c r="E276" t="s">
        <v>158</v>
      </c>
      <c r="F276" t="s">
        <v>117</v>
      </c>
      <c r="G276">
        <v>8</v>
      </c>
    </row>
    <row r="277" spans="1:7">
      <c r="A277" t="s">
        <v>595</v>
      </c>
      <c r="B277" t="s">
        <v>596</v>
      </c>
      <c r="C277">
        <v>5</v>
      </c>
      <c r="D277">
        <v>16</v>
      </c>
      <c r="E277" t="s">
        <v>158</v>
      </c>
      <c r="F277" t="s">
        <v>117</v>
      </c>
      <c r="G277">
        <v>8</v>
      </c>
    </row>
    <row r="278" spans="1:7">
      <c r="A278" t="s">
        <v>597</v>
      </c>
      <c r="B278" t="s">
        <v>598</v>
      </c>
      <c r="C278">
        <v>5</v>
      </c>
      <c r="D278">
        <v>16</v>
      </c>
      <c r="E278" t="s">
        <v>158</v>
      </c>
      <c r="F278" t="s">
        <v>117</v>
      </c>
      <c r="G278">
        <v>8</v>
      </c>
    </row>
    <row r="279" spans="1:7">
      <c r="A279" t="s">
        <v>599</v>
      </c>
      <c r="B279" t="s">
        <v>600</v>
      </c>
      <c r="C279">
        <v>5</v>
      </c>
      <c r="D279">
        <v>16</v>
      </c>
      <c r="E279" t="s">
        <v>158</v>
      </c>
      <c r="F279" t="s">
        <v>117</v>
      </c>
      <c r="G279">
        <v>8</v>
      </c>
    </row>
    <row r="280" spans="1:7">
      <c r="A280" t="s">
        <v>601</v>
      </c>
      <c r="B280" t="s">
        <v>602</v>
      </c>
      <c r="C280">
        <v>6</v>
      </c>
      <c r="D280">
        <v>16</v>
      </c>
      <c r="E280" t="s">
        <v>159</v>
      </c>
      <c r="F280" t="s">
        <v>160</v>
      </c>
      <c r="G280">
        <v>1</v>
      </c>
    </row>
    <row r="281" spans="1:7">
      <c r="A281" t="s">
        <v>603</v>
      </c>
      <c r="B281" t="s">
        <v>604</v>
      </c>
      <c r="C281">
        <v>5</v>
      </c>
      <c r="D281">
        <v>16</v>
      </c>
      <c r="E281" t="s">
        <v>159</v>
      </c>
      <c r="F281" t="s">
        <v>160</v>
      </c>
      <c r="G281">
        <v>1</v>
      </c>
    </row>
    <row r="282" spans="1:7">
      <c r="A282" t="s">
        <v>605</v>
      </c>
      <c r="B282" t="s">
        <v>606</v>
      </c>
      <c r="C282">
        <v>6</v>
      </c>
      <c r="D282">
        <v>16</v>
      </c>
      <c r="E282" t="s">
        <v>159</v>
      </c>
      <c r="F282" t="s">
        <v>160</v>
      </c>
      <c r="G282">
        <v>1</v>
      </c>
    </row>
    <row r="283" spans="1:7">
      <c r="A283" t="s">
        <v>607</v>
      </c>
      <c r="B283" t="s">
        <v>608</v>
      </c>
      <c r="C283">
        <v>4</v>
      </c>
      <c r="D283">
        <v>16</v>
      </c>
      <c r="E283" t="s">
        <v>159</v>
      </c>
      <c r="F283" t="s">
        <v>160</v>
      </c>
      <c r="G283">
        <v>1</v>
      </c>
    </row>
    <row r="284" spans="1:7">
      <c r="A284" t="s">
        <v>609</v>
      </c>
      <c r="B284" t="s">
        <v>610</v>
      </c>
      <c r="C284">
        <v>6</v>
      </c>
      <c r="D284">
        <v>16</v>
      </c>
      <c r="E284" t="s">
        <v>159</v>
      </c>
      <c r="F284" t="s">
        <v>160</v>
      </c>
      <c r="G284">
        <v>1</v>
      </c>
    </row>
    <row r="285" spans="1:7">
      <c r="A285" t="s">
        <v>611</v>
      </c>
      <c r="B285" t="s">
        <v>612</v>
      </c>
      <c r="C285">
        <v>6</v>
      </c>
      <c r="D285">
        <v>16</v>
      </c>
      <c r="E285" t="s">
        <v>159</v>
      </c>
      <c r="F285" t="s">
        <v>160</v>
      </c>
      <c r="G285">
        <v>2</v>
      </c>
    </row>
    <row r="286" spans="1:7">
      <c r="A286" t="s">
        <v>613</v>
      </c>
      <c r="B286" t="s">
        <v>614</v>
      </c>
      <c r="C286">
        <v>6</v>
      </c>
      <c r="D286">
        <v>16</v>
      </c>
      <c r="E286" t="s">
        <v>159</v>
      </c>
      <c r="F286" t="s">
        <v>160</v>
      </c>
      <c r="G286">
        <v>2</v>
      </c>
    </row>
    <row r="287" spans="1:7">
      <c r="A287" t="s">
        <v>615</v>
      </c>
      <c r="B287" t="s">
        <v>616</v>
      </c>
      <c r="C287">
        <v>6</v>
      </c>
      <c r="D287">
        <v>16</v>
      </c>
      <c r="E287" t="s">
        <v>159</v>
      </c>
      <c r="F287" t="s">
        <v>160</v>
      </c>
      <c r="G287">
        <v>2</v>
      </c>
    </row>
    <row r="288" spans="1:7">
      <c r="A288" t="s">
        <v>617</v>
      </c>
      <c r="B288" t="s">
        <v>618</v>
      </c>
      <c r="C288">
        <v>6</v>
      </c>
      <c r="D288">
        <v>16</v>
      </c>
      <c r="E288" t="s">
        <v>159</v>
      </c>
      <c r="F288" t="s">
        <v>160</v>
      </c>
      <c r="G288">
        <v>2</v>
      </c>
    </row>
    <row r="289" spans="1:7">
      <c r="A289" t="s">
        <v>619</v>
      </c>
      <c r="B289" t="s">
        <v>486</v>
      </c>
      <c r="C289">
        <v>6</v>
      </c>
      <c r="D289">
        <v>16</v>
      </c>
      <c r="E289" t="s">
        <v>159</v>
      </c>
      <c r="F289" t="s">
        <v>160</v>
      </c>
      <c r="G289">
        <v>3</v>
      </c>
    </row>
    <row r="290" spans="1:7">
      <c r="A290" t="s">
        <v>620</v>
      </c>
      <c r="B290" t="s">
        <v>66</v>
      </c>
      <c r="C290">
        <v>6</v>
      </c>
      <c r="D290">
        <v>16</v>
      </c>
      <c r="E290" t="s">
        <v>159</v>
      </c>
      <c r="F290" t="s">
        <v>160</v>
      </c>
      <c r="G290">
        <v>3</v>
      </c>
    </row>
    <row r="291" spans="1:7">
      <c r="A291" t="s">
        <v>621</v>
      </c>
      <c r="B291" t="s">
        <v>489</v>
      </c>
      <c r="C291">
        <v>10</v>
      </c>
      <c r="D291">
        <v>16</v>
      </c>
      <c r="E291" t="s">
        <v>159</v>
      </c>
      <c r="F291" t="s">
        <v>160</v>
      </c>
      <c r="G291">
        <v>3</v>
      </c>
    </row>
    <row r="292" spans="1:7">
      <c r="A292" t="s">
        <v>622</v>
      </c>
      <c r="B292" t="s">
        <v>491</v>
      </c>
      <c r="C292">
        <v>6</v>
      </c>
      <c r="D292">
        <v>16</v>
      </c>
      <c r="E292" t="s">
        <v>159</v>
      </c>
      <c r="F292" t="s">
        <v>160</v>
      </c>
      <c r="G292">
        <v>3</v>
      </c>
    </row>
    <row r="293" spans="1:7">
      <c r="A293" t="s">
        <v>623</v>
      </c>
      <c r="B293" t="s">
        <v>493</v>
      </c>
      <c r="C293">
        <v>8</v>
      </c>
      <c r="D293">
        <v>16</v>
      </c>
      <c r="E293" t="s">
        <v>159</v>
      </c>
      <c r="F293" t="s">
        <v>160</v>
      </c>
      <c r="G293">
        <v>3</v>
      </c>
    </row>
    <row r="294" spans="1:7">
      <c r="A294" t="s">
        <v>624</v>
      </c>
      <c r="B294" t="s">
        <v>495</v>
      </c>
      <c r="C294">
        <v>8</v>
      </c>
      <c r="D294">
        <v>16</v>
      </c>
      <c r="E294" t="s">
        <v>159</v>
      </c>
      <c r="F294" t="s">
        <v>160</v>
      </c>
      <c r="G294">
        <v>4</v>
      </c>
    </row>
    <row r="295" spans="1:7">
      <c r="A295" t="s">
        <v>625</v>
      </c>
      <c r="B295" t="s">
        <v>626</v>
      </c>
      <c r="C295">
        <v>8</v>
      </c>
      <c r="D295">
        <v>16</v>
      </c>
      <c r="E295" t="s">
        <v>159</v>
      </c>
      <c r="F295" t="s">
        <v>160</v>
      </c>
      <c r="G295">
        <v>4</v>
      </c>
    </row>
    <row r="296" spans="1:7">
      <c r="A296" t="s">
        <v>627</v>
      </c>
      <c r="B296" t="s">
        <v>499</v>
      </c>
      <c r="C296">
        <v>8</v>
      </c>
      <c r="D296">
        <v>16</v>
      </c>
      <c r="E296" t="s">
        <v>159</v>
      </c>
      <c r="F296" t="s">
        <v>160</v>
      </c>
      <c r="G296">
        <v>4</v>
      </c>
    </row>
    <row r="297" spans="1:7">
      <c r="A297" t="s">
        <v>628</v>
      </c>
      <c r="B297" t="s">
        <v>501</v>
      </c>
      <c r="C297">
        <v>10</v>
      </c>
      <c r="D297">
        <v>16</v>
      </c>
      <c r="E297" t="s">
        <v>159</v>
      </c>
      <c r="F297" t="s">
        <v>160</v>
      </c>
      <c r="G297">
        <v>4</v>
      </c>
    </row>
    <row r="298" spans="1:7">
      <c r="A298" t="s">
        <v>629</v>
      </c>
      <c r="B298" t="s">
        <v>630</v>
      </c>
      <c r="C298">
        <v>10</v>
      </c>
      <c r="D298">
        <v>16</v>
      </c>
      <c r="E298" t="s">
        <v>159</v>
      </c>
      <c r="F298" t="s">
        <v>160</v>
      </c>
      <c r="G298">
        <v>4</v>
      </c>
    </row>
    <row r="299" spans="1:7">
      <c r="A299" t="s">
        <v>631</v>
      </c>
      <c r="B299" t="s">
        <v>632</v>
      </c>
      <c r="C299">
        <v>6</v>
      </c>
      <c r="D299">
        <v>16</v>
      </c>
      <c r="E299" t="s">
        <v>159</v>
      </c>
      <c r="F299" t="s">
        <v>160</v>
      </c>
      <c r="G299">
        <v>5</v>
      </c>
    </row>
    <row r="300" spans="1:7">
      <c r="A300" t="s">
        <v>633</v>
      </c>
      <c r="B300" t="s">
        <v>634</v>
      </c>
      <c r="C300">
        <v>5</v>
      </c>
      <c r="D300">
        <v>16</v>
      </c>
      <c r="E300" t="s">
        <v>159</v>
      </c>
      <c r="F300" t="s">
        <v>160</v>
      </c>
      <c r="G300">
        <v>5</v>
      </c>
    </row>
    <row r="301" spans="1:7">
      <c r="A301" t="s">
        <v>635</v>
      </c>
      <c r="B301" t="s">
        <v>636</v>
      </c>
      <c r="C301">
        <v>6</v>
      </c>
      <c r="D301">
        <v>16</v>
      </c>
      <c r="E301" t="s">
        <v>159</v>
      </c>
      <c r="F301" t="s">
        <v>160</v>
      </c>
      <c r="G301">
        <v>5</v>
      </c>
    </row>
    <row r="302" spans="1:7">
      <c r="A302" t="s">
        <v>637</v>
      </c>
      <c r="B302" t="s">
        <v>638</v>
      </c>
      <c r="C302">
        <v>4</v>
      </c>
      <c r="D302">
        <v>16</v>
      </c>
      <c r="E302" t="s">
        <v>159</v>
      </c>
      <c r="F302" t="s">
        <v>160</v>
      </c>
      <c r="G302">
        <v>5</v>
      </c>
    </row>
    <row r="303" spans="1:7">
      <c r="A303" t="s">
        <v>639</v>
      </c>
      <c r="B303" t="s">
        <v>640</v>
      </c>
      <c r="C303">
        <v>6</v>
      </c>
      <c r="D303">
        <v>16</v>
      </c>
      <c r="E303" t="s">
        <v>159</v>
      </c>
      <c r="F303" t="s">
        <v>160</v>
      </c>
      <c r="G303">
        <v>5</v>
      </c>
    </row>
    <row r="304" spans="1:7">
      <c r="A304" t="s">
        <v>641</v>
      </c>
      <c r="B304" t="s">
        <v>642</v>
      </c>
      <c r="C304">
        <v>6</v>
      </c>
      <c r="D304">
        <v>16</v>
      </c>
      <c r="E304" t="s">
        <v>159</v>
      </c>
      <c r="F304" t="s">
        <v>160</v>
      </c>
      <c r="G304">
        <v>5</v>
      </c>
    </row>
    <row r="305" spans="1:7">
      <c r="A305" t="s">
        <v>643</v>
      </c>
      <c r="B305" t="s">
        <v>503</v>
      </c>
      <c r="C305">
        <v>6</v>
      </c>
      <c r="D305">
        <v>16</v>
      </c>
      <c r="E305" t="s">
        <v>159</v>
      </c>
      <c r="F305" t="s">
        <v>160</v>
      </c>
      <c r="G305">
        <v>6</v>
      </c>
    </row>
    <row r="306" spans="1:7">
      <c r="A306" t="s">
        <v>644</v>
      </c>
      <c r="B306" t="s">
        <v>645</v>
      </c>
      <c r="C306">
        <v>6</v>
      </c>
      <c r="D306">
        <v>16</v>
      </c>
      <c r="E306" t="s">
        <v>159</v>
      </c>
      <c r="F306" t="s">
        <v>160</v>
      </c>
      <c r="G306">
        <v>6</v>
      </c>
    </row>
    <row r="307" spans="1:7">
      <c r="A307" t="s">
        <v>646</v>
      </c>
      <c r="B307" t="s">
        <v>509</v>
      </c>
      <c r="C307">
        <v>6</v>
      </c>
      <c r="D307">
        <v>16</v>
      </c>
      <c r="E307" t="s">
        <v>159</v>
      </c>
      <c r="F307" t="s">
        <v>160</v>
      </c>
      <c r="G307">
        <v>6</v>
      </c>
    </row>
    <row r="308" spans="1:7">
      <c r="A308" t="s">
        <v>647</v>
      </c>
      <c r="B308" t="s">
        <v>511</v>
      </c>
      <c r="C308">
        <v>6</v>
      </c>
      <c r="D308">
        <v>16</v>
      </c>
      <c r="E308" t="s">
        <v>159</v>
      </c>
      <c r="F308" t="s">
        <v>160</v>
      </c>
      <c r="G308">
        <v>6</v>
      </c>
    </row>
    <row r="309" spans="1:7">
      <c r="A309" t="s">
        <v>648</v>
      </c>
      <c r="B309" t="s">
        <v>507</v>
      </c>
      <c r="C309">
        <v>6</v>
      </c>
      <c r="D309">
        <v>16</v>
      </c>
      <c r="E309" t="s">
        <v>159</v>
      </c>
      <c r="F309" t="s">
        <v>160</v>
      </c>
      <c r="G309">
        <v>6</v>
      </c>
    </row>
    <row r="310" spans="1:7">
      <c r="A310" t="s">
        <v>649</v>
      </c>
      <c r="B310" t="s">
        <v>650</v>
      </c>
      <c r="C310">
        <v>10</v>
      </c>
      <c r="D310">
        <v>16</v>
      </c>
      <c r="E310" t="s">
        <v>159</v>
      </c>
      <c r="F310" t="s">
        <v>160</v>
      </c>
      <c r="G310">
        <v>7</v>
      </c>
    </row>
    <row r="311" spans="1:7">
      <c r="A311" t="s">
        <v>651</v>
      </c>
      <c r="B311" t="s">
        <v>652</v>
      </c>
      <c r="C311">
        <v>6</v>
      </c>
      <c r="D311">
        <v>16</v>
      </c>
      <c r="E311" t="s">
        <v>159</v>
      </c>
      <c r="F311" t="s">
        <v>160</v>
      </c>
      <c r="G311">
        <v>7</v>
      </c>
    </row>
    <row r="312" spans="1:7">
      <c r="A312" t="s">
        <v>653</v>
      </c>
      <c r="B312" t="s">
        <v>654</v>
      </c>
      <c r="C312">
        <v>8</v>
      </c>
      <c r="D312">
        <v>16</v>
      </c>
      <c r="E312" t="s">
        <v>159</v>
      </c>
      <c r="F312" t="s">
        <v>160</v>
      </c>
      <c r="G312">
        <v>7</v>
      </c>
    </row>
    <row r="313" spans="1:7">
      <c r="A313" t="s">
        <v>655</v>
      </c>
      <c r="B313" t="s">
        <v>656</v>
      </c>
      <c r="C313">
        <v>8</v>
      </c>
      <c r="D313">
        <v>16</v>
      </c>
      <c r="E313" t="s">
        <v>159</v>
      </c>
      <c r="F313" t="s">
        <v>160</v>
      </c>
      <c r="G313">
        <v>7</v>
      </c>
    </row>
    <row r="314" spans="1:7">
      <c r="A314" t="s">
        <v>657</v>
      </c>
      <c r="B314" t="s">
        <v>517</v>
      </c>
      <c r="C314">
        <v>8</v>
      </c>
      <c r="D314">
        <v>16</v>
      </c>
      <c r="E314" t="s">
        <v>159</v>
      </c>
      <c r="F314" t="s">
        <v>160</v>
      </c>
      <c r="G314">
        <v>8</v>
      </c>
    </row>
    <row r="315" spans="1:7">
      <c r="A315" t="s">
        <v>658</v>
      </c>
      <c r="B315" t="s">
        <v>513</v>
      </c>
      <c r="C315">
        <v>8</v>
      </c>
      <c r="D315">
        <v>16</v>
      </c>
      <c r="E315" t="s">
        <v>159</v>
      </c>
      <c r="F315" t="s">
        <v>160</v>
      </c>
      <c r="G315">
        <v>8</v>
      </c>
    </row>
    <row r="316" spans="1:7">
      <c r="A316" t="s">
        <v>659</v>
      </c>
      <c r="B316" t="s">
        <v>660</v>
      </c>
      <c r="C316">
        <v>10</v>
      </c>
      <c r="D316">
        <v>16</v>
      </c>
      <c r="E316" t="s">
        <v>159</v>
      </c>
      <c r="F316" t="s">
        <v>160</v>
      </c>
      <c r="G316">
        <v>8</v>
      </c>
    </row>
    <row r="317" spans="1:7">
      <c r="A317" t="s">
        <v>661</v>
      </c>
      <c r="B317" t="s">
        <v>484</v>
      </c>
      <c r="C317">
        <v>10</v>
      </c>
      <c r="D317">
        <v>16</v>
      </c>
      <c r="E317" t="s">
        <v>159</v>
      </c>
      <c r="F317" t="s">
        <v>160</v>
      </c>
      <c r="G317">
        <v>8</v>
      </c>
    </row>
    <row r="318" spans="1:7">
      <c r="A318" t="s">
        <v>662</v>
      </c>
      <c r="B318" t="s">
        <v>515</v>
      </c>
      <c r="C318">
        <v>6</v>
      </c>
      <c r="D318">
        <v>16</v>
      </c>
      <c r="E318" t="s">
        <v>159</v>
      </c>
      <c r="F318" t="s">
        <v>160</v>
      </c>
      <c r="G318">
        <v>8</v>
      </c>
    </row>
    <row r="319" spans="1:7">
      <c r="A319" t="s">
        <v>663</v>
      </c>
      <c r="B319" t="s">
        <v>664</v>
      </c>
      <c r="C319">
        <v>1</v>
      </c>
      <c r="D319">
        <v>16</v>
      </c>
      <c r="E319" t="s">
        <v>165</v>
      </c>
      <c r="F319" t="s">
        <v>166</v>
      </c>
      <c r="G319">
        <v>0</v>
      </c>
    </row>
    <row r="320" spans="1:7">
      <c r="A320" t="s">
        <v>665</v>
      </c>
      <c r="B320" t="s">
        <v>666</v>
      </c>
      <c r="C320">
        <v>1</v>
      </c>
      <c r="D320">
        <v>16</v>
      </c>
      <c r="E320" t="s">
        <v>161</v>
      </c>
      <c r="F320" t="s">
        <v>162</v>
      </c>
      <c r="G320">
        <v>0</v>
      </c>
    </row>
    <row r="321" spans="1:7">
      <c r="A321" t="s">
        <v>667</v>
      </c>
      <c r="B321" t="s">
        <v>668</v>
      </c>
      <c r="C321">
        <v>1</v>
      </c>
      <c r="D321">
        <v>16</v>
      </c>
      <c r="E321" t="s">
        <v>161</v>
      </c>
      <c r="F321" t="s">
        <v>162</v>
      </c>
      <c r="G321">
        <v>0</v>
      </c>
    </row>
    <row r="322" spans="1:7">
      <c r="A322" t="s">
        <v>669</v>
      </c>
      <c r="B322" t="s">
        <v>670</v>
      </c>
      <c r="C322">
        <v>1</v>
      </c>
      <c r="D322">
        <v>16</v>
      </c>
      <c r="E322" t="s">
        <v>161</v>
      </c>
      <c r="F322" t="s">
        <v>162</v>
      </c>
      <c r="G322">
        <v>0</v>
      </c>
    </row>
    <row r="323" spans="1:7">
      <c r="A323" t="s">
        <v>671</v>
      </c>
      <c r="B323" t="s">
        <v>672</v>
      </c>
      <c r="C323">
        <v>1</v>
      </c>
      <c r="D323">
        <v>16</v>
      </c>
      <c r="E323" t="s">
        <v>161</v>
      </c>
      <c r="F323" t="s">
        <v>162</v>
      </c>
      <c r="G323">
        <v>0</v>
      </c>
    </row>
    <row r="324" spans="1:7">
      <c r="A324" t="s">
        <v>673</v>
      </c>
      <c r="B324" t="s">
        <v>674</v>
      </c>
      <c r="C324">
        <v>1</v>
      </c>
      <c r="D324">
        <v>16</v>
      </c>
      <c r="E324" t="s">
        <v>163</v>
      </c>
      <c r="F324" t="s">
        <v>164</v>
      </c>
      <c r="G324">
        <v>0</v>
      </c>
    </row>
    <row r="325" spans="1:7">
      <c r="A325" t="s">
        <v>675</v>
      </c>
      <c r="B325" t="s">
        <v>676</v>
      </c>
      <c r="C325">
        <v>1</v>
      </c>
      <c r="D325">
        <v>16</v>
      </c>
      <c r="E325" t="s">
        <v>167</v>
      </c>
      <c r="F325" t="s">
        <v>168</v>
      </c>
      <c r="G325">
        <v>60</v>
      </c>
    </row>
    <row r="326" spans="1:7">
      <c r="A326" t="s">
        <v>677</v>
      </c>
      <c r="B326" t="s">
        <v>678</v>
      </c>
      <c r="C326">
        <v>1</v>
      </c>
      <c r="D326">
        <v>16</v>
      </c>
      <c r="E326" t="s">
        <v>167</v>
      </c>
      <c r="F326" t="s">
        <v>168</v>
      </c>
      <c r="G326">
        <v>60</v>
      </c>
    </row>
    <row r="327" spans="1:7">
      <c r="A327" t="s">
        <v>679</v>
      </c>
      <c r="B327" t="s">
        <v>680</v>
      </c>
      <c r="C327">
        <v>1</v>
      </c>
      <c r="D327">
        <v>16</v>
      </c>
      <c r="E327" t="s">
        <v>167</v>
      </c>
      <c r="F327" t="s">
        <v>168</v>
      </c>
      <c r="G327">
        <v>60</v>
      </c>
    </row>
    <row r="328" spans="1:7">
      <c r="A328" t="s">
        <v>681</v>
      </c>
      <c r="B328" t="s">
        <v>682</v>
      </c>
      <c r="C328">
        <v>1</v>
      </c>
      <c r="D328">
        <v>16</v>
      </c>
      <c r="E328" t="s">
        <v>171</v>
      </c>
      <c r="F328" t="s">
        <v>172</v>
      </c>
      <c r="G328">
        <v>80</v>
      </c>
    </row>
    <row r="329" spans="1:7">
      <c r="A329" t="s">
        <v>683</v>
      </c>
      <c r="B329" t="s">
        <v>684</v>
      </c>
      <c r="C329">
        <v>1</v>
      </c>
      <c r="D329">
        <v>16</v>
      </c>
      <c r="E329" t="s">
        <v>171</v>
      </c>
      <c r="F329" t="s">
        <v>172</v>
      </c>
      <c r="G329">
        <v>80</v>
      </c>
    </row>
    <row r="330" spans="1:7">
      <c r="A330" t="s">
        <v>685</v>
      </c>
      <c r="B330" t="s">
        <v>686</v>
      </c>
      <c r="C330">
        <v>1</v>
      </c>
      <c r="D330">
        <v>16</v>
      </c>
      <c r="E330" t="s">
        <v>169</v>
      </c>
      <c r="F330" t="s">
        <v>170</v>
      </c>
      <c r="G330">
        <v>90</v>
      </c>
    </row>
    <row r="331" spans="1:7">
      <c r="A331" t="s">
        <v>687</v>
      </c>
      <c r="B331" t="s">
        <v>688</v>
      </c>
      <c r="C331">
        <v>1</v>
      </c>
      <c r="D331">
        <v>16</v>
      </c>
      <c r="E331" t="s">
        <v>169</v>
      </c>
      <c r="F331" t="s">
        <v>170</v>
      </c>
      <c r="G331">
        <v>90</v>
      </c>
    </row>
    <row r="332" spans="1:7">
      <c r="A332" t="s">
        <v>689</v>
      </c>
      <c r="B332" t="s">
        <v>690</v>
      </c>
      <c r="C332">
        <v>1</v>
      </c>
      <c r="D332">
        <v>16</v>
      </c>
      <c r="E332" t="s">
        <v>169</v>
      </c>
      <c r="F332" t="s">
        <v>170</v>
      </c>
      <c r="G332">
        <v>90</v>
      </c>
    </row>
    <row r="333" spans="1:7">
      <c r="A333" t="s">
        <v>691</v>
      </c>
      <c r="B333" t="s">
        <v>692</v>
      </c>
      <c r="C333">
        <v>1</v>
      </c>
      <c r="D333">
        <v>16</v>
      </c>
      <c r="E333" t="s">
        <v>169</v>
      </c>
      <c r="F333" t="s">
        <v>170</v>
      </c>
      <c r="G333">
        <v>90</v>
      </c>
    </row>
    <row r="334" spans="1:7">
      <c r="A334" t="s">
        <v>693</v>
      </c>
      <c r="B334" t="s">
        <v>694</v>
      </c>
      <c r="C334">
        <v>1</v>
      </c>
      <c r="D334">
        <v>16</v>
      </c>
      <c r="E334" t="s">
        <v>169</v>
      </c>
      <c r="F334" t="s">
        <v>170</v>
      </c>
      <c r="G334">
        <v>90</v>
      </c>
    </row>
    <row r="335" spans="1:7">
      <c r="A335" t="s">
        <v>695</v>
      </c>
      <c r="B335" t="s">
        <v>696</v>
      </c>
      <c r="C335">
        <v>1</v>
      </c>
      <c r="D335">
        <v>16</v>
      </c>
      <c r="E335" t="s">
        <v>169</v>
      </c>
      <c r="F335" t="s">
        <v>170</v>
      </c>
      <c r="G335">
        <v>90</v>
      </c>
    </row>
    <row r="336" spans="1:7">
      <c r="A336" t="s">
        <v>697</v>
      </c>
      <c r="B336" t="s">
        <v>698</v>
      </c>
      <c r="C336">
        <v>1</v>
      </c>
      <c r="D336">
        <v>16</v>
      </c>
      <c r="E336" t="s">
        <v>169</v>
      </c>
      <c r="F336" t="s">
        <v>170</v>
      </c>
      <c r="G336">
        <v>90</v>
      </c>
    </row>
    <row r="337" spans="1:7">
      <c r="A337" t="s">
        <v>699</v>
      </c>
      <c r="B337" t="s">
        <v>700</v>
      </c>
      <c r="C337">
        <v>1</v>
      </c>
      <c r="D337">
        <v>16</v>
      </c>
      <c r="E337" t="s">
        <v>169</v>
      </c>
      <c r="F337" t="s">
        <v>170</v>
      </c>
      <c r="G337">
        <v>90</v>
      </c>
    </row>
    <row r="338" spans="1:7">
      <c r="A338" t="s">
        <v>701</v>
      </c>
      <c r="B338" t="s">
        <v>103</v>
      </c>
      <c r="C338">
        <v>1</v>
      </c>
      <c r="D338">
        <v>16</v>
      </c>
      <c r="E338" t="s">
        <v>97</v>
      </c>
      <c r="F338" t="s">
        <v>173</v>
      </c>
      <c r="G338">
        <v>5</v>
      </c>
    </row>
    <row r="339" spans="1:7">
      <c r="A339" t="s">
        <v>702</v>
      </c>
      <c r="B339" t="s">
        <v>98</v>
      </c>
      <c r="C339">
        <v>1</v>
      </c>
      <c r="D339">
        <v>16</v>
      </c>
      <c r="E339" t="s">
        <v>97</v>
      </c>
      <c r="F339" t="s">
        <v>173</v>
      </c>
      <c r="G339">
        <v>5</v>
      </c>
    </row>
    <row r="340" spans="1:7">
      <c r="A340" t="s">
        <v>703</v>
      </c>
      <c r="B340" t="s">
        <v>101</v>
      </c>
      <c r="C340">
        <v>1</v>
      </c>
      <c r="D340">
        <v>16</v>
      </c>
      <c r="E340" t="s">
        <v>97</v>
      </c>
      <c r="F340" t="s">
        <v>173</v>
      </c>
      <c r="G340">
        <v>5</v>
      </c>
    </row>
    <row r="341" spans="1:7">
      <c r="A341" t="s">
        <v>704</v>
      </c>
      <c r="B341" t="s">
        <v>105</v>
      </c>
      <c r="C341">
        <v>1</v>
      </c>
      <c r="D341">
        <v>16</v>
      </c>
      <c r="E341" t="s">
        <v>97</v>
      </c>
      <c r="F341" t="s">
        <v>173</v>
      </c>
      <c r="G341">
        <v>5</v>
      </c>
    </row>
    <row r="342" spans="1:7">
      <c r="A342" t="s">
        <v>705</v>
      </c>
      <c r="B342" t="s">
        <v>104</v>
      </c>
      <c r="C342">
        <v>1</v>
      </c>
      <c r="D342">
        <v>16</v>
      </c>
      <c r="E342" t="s">
        <v>97</v>
      </c>
      <c r="F342" t="s">
        <v>173</v>
      </c>
      <c r="G342">
        <v>6</v>
      </c>
    </row>
    <row r="343" spans="1:7">
      <c r="A343" t="s">
        <v>706</v>
      </c>
      <c r="B343" t="s">
        <v>100</v>
      </c>
      <c r="C343">
        <v>1</v>
      </c>
      <c r="D343">
        <v>16</v>
      </c>
      <c r="E343" t="s">
        <v>97</v>
      </c>
      <c r="F343" t="s">
        <v>173</v>
      </c>
      <c r="G343">
        <v>6</v>
      </c>
    </row>
    <row r="344" spans="1:7">
      <c r="A344" t="s">
        <v>707</v>
      </c>
      <c r="B344" t="s">
        <v>102</v>
      </c>
      <c r="C344">
        <v>1</v>
      </c>
      <c r="D344">
        <v>16</v>
      </c>
      <c r="E344" t="s">
        <v>97</v>
      </c>
      <c r="F344" t="s">
        <v>173</v>
      </c>
      <c r="G344">
        <v>6</v>
      </c>
    </row>
    <row r="345" spans="1:7">
      <c r="A345" t="s">
        <v>708</v>
      </c>
      <c r="B345" t="s">
        <v>106</v>
      </c>
      <c r="C345">
        <v>1</v>
      </c>
      <c r="D345">
        <v>16</v>
      </c>
      <c r="E345" t="s">
        <v>97</v>
      </c>
      <c r="F345" t="s">
        <v>173</v>
      </c>
      <c r="G345">
        <v>6</v>
      </c>
    </row>
    <row r="346" spans="1:7">
      <c r="A346" t="s">
        <v>709</v>
      </c>
      <c r="B346" t="s">
        <v>51</v>
      </c>
      <c r="C346">
        <v>1</v>
      </c>
      <c r="D346">
        <v>16</v>
      </c>
      <c r="E346" t="s">
        <v>50</v>
      </c>
      <c r="F346" t="s">
        <v>174</v>
      </c>
      <c r="G346">
        <v>7</v>
      </c>
    </row>
    <row r="347" spans="1:7">
      <c r="A347" t="s">
        <v>709</v>
      </c>
      <c r="B347" t="s">
        <v>95</v>
      </c>
      <c r="C347">
        <v>1</v>
      </c>
      <c r="D347">
        <v>16</v>
      </c>
      <c r="E347" t="s">
        <v>50</v>
      </c>
      <c r="F347" t="s">
        <v>174</v>
      </c>
      <c r="G347">
        <v>7</v>
      </c>
    </row>
    <row r="348" spans="1:7">
      <c r="A348" t="s">
        <v>709</v>
      </c>
      <c r="B348" t="s">
        <v>137</v>
      </c>
      <c r="C348">
        <v>1</v>
      </c>
      <c r="D348">
        <v>16</v>
      </c>
      <c r="E348" t="s">
        <v>50</v>
      </c>
      <c r="F348" t="s">
        <v>174</v>
      </c>
      <c r="G348">
        <v>7</v>
      </c>
    </row>
    <row r="349" spans="1:7">
      <c r="A349" t="s">
        <v>709</v>
      </c>
      <c r="B349" t="s">
        <v>52</v>
      </c>
      <c r="C349">
        <v>1</v>
      </c>
      <c r="D349">
        <v>16</v>
      </c>
      <c r="E349" t="s">
        <v>50</v>
      </c>
      <c r="F349" t="s">
        <v>174</v>
      </c>
      <c r="G349">
        <v>7</v>
      </c>
    </row>
    <row r="350" spans="1:7">
      <c r="A350" t="s">
        <v>710</v>
      </c>
      <c r="B350" t="s">
        <v>59</v>
      </c>
      <c r="C350">
        <v>1</v>
      </c>
      <c r="D350">
        <v>16</v>
      </c>
      <c r="E350" t="s">
        <v>50</v>
      </c>
      <c r="F350" t="s">
        <v>174</v>
      </c>
      <c r="G350">
        <v>8</v>
      </c>
    </row>
    <row r="351" spans="1:7">
      <c r="A351" t="s">
        <v>710</v>
      </c>
      <c r="B351" t="s">
        <v>96</v>
      </c>
      <c r="C351">
        <v>1</v>
      </c>
      <c r="D351">
        <v>16</v>
      </c>
      <c r="E351" t="s">
        <v>50</v>
      </c>
      <c r="F351" t="s">
        <v>174</v>
      </c>
      <c r="G351">
        <v>8</v>
      </c>
    </row>
    <row r="352" spans="1:7">
      <c r="A352" t="s">
        <v>710</v>
      </c>
      <c r="B352" t="s">
        <v>138</v>
      </c>
      <c r="C352">
        <v>1</v>
      </c>
      <c r="D352">
        <v>16</v>
      </c>
      <c r="E352" t="s">
        <v>50</v>
      </c>
      <c r="F352" t="s">
        <v>174</v>
      </c>
      <c r="G352">
        <v>8</v>
      </c>
    </row>
    <row r="353" spans="1:7">
      <c r="A353" t="s">
        <v>710</v>
      </c>
      <c r="B353" t="s">
        <v>60</v>
      </c>
      <c r="C353">
        <v>1</v>
      </c>
      <c r="D353">
        <v>16</v>
      </c>
      <c r="E353" t="s">
        <v>50</v>
      </c>
      <c r="F353" t="s">
        <v>174</v>
      </c>
      <c r="G353">
        <v>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EE32D-016A-4BED-B964-04262A34666F}">
  <dimension ref="A1:B44"/>
  <sheetViews>
    <sheetView workbookViewId="0">
      <selection activeCell="A2" sqref="A2"/>
    </sheetView>
  </sheetViews>
  <sheetFormatPr defaultColWidth="9.140625" defaultRowHeight="15"/>
  <cols>
    <col min="1" max="1" width="18.7109375" bestFit="1" customWidth="1"/>
    <col min="2" max="2" width="62.7109375" bestFit="1" customWidth="1"/>
  </cols>
  <sheetData>
    <row r="1" spans="1:2">
      <c r="A1" t="s">
        <v>711</v>
      </c>
      <c r="B1" t="s">
        <v>712</v>
      </c>
    </row>
    <row r="2" spans="1:2">
      <c r="A2" t="s">
        <v>713</v>
      </c>
      <c r="B2" t="s">
        <v>13</v>
      </c>
    </row>
    <row r="3" spans="1:2">
      <c r="A3" t="s">
        <v>714</v>
      </c>
      <c r="B3" t="s">
        <v>715</v>
      </c>
    </row>
    <row r="4" spans="1:2">
      <c r="A4" t="s">
        <v>716</v>
      </c>
      <c r="B4" t="s">
        <v>717</v>
      </c>
    </row>
    <row r="5" spans="1:2">
      <c r="A5" t="s">
        <v>718</v>
      </c>
      <c r="B5" t="s">
        <v>719</v>
      </c>
    </row>
    <row r="6" spans="1:2">
      <c r="A6" t="s">
        <v>720</v>
      </c>
      <c r="B6" t="s">
        <v>721</v>
      </c>
    </row>
    <row r="7" spans="1:2">
      <c r="A7" t="s">
        <v>722</v>
      </c>
      <c r="B7" t="s">
        <v>723</v>
      </c>
    </row>
    <row r="8" spans="1:2">
      <c r="A8" t="s">
        <v>724</v>
      </c>
      <c r="B8" t="s">
        <v>725</v>
      </c>
    </row>
    <row r="9" spans="1:2">
      <c r="A9" t="s">
        <v>726</v>
      </c>
      <c r="B9" t="s">
        <v>38</v>
      </c>
    </row>
    <row r="10" spans="1:2">
      <c r="A10" t="s">
        <v>727</v>
      </c>
      <c r="B10" t="s">
        <v>728</v>
      </c>
    </row>
    <row r="11" spans="1:2">
      <c r="A11" t="s">
        <v>729</v>
      </c>
      <c r="B11" t="s">
        <v>70</v>
      </c>
    </row>
    <row r="12" spans="1:2">
      <c r="A12" t="s">
        <v>730</v>
      </c>
      <c r="B12" t="s">
        <v>27</v>
      </c>
    </row>
    <row r="13" spans="1:2">
      <c r="A13" t="s">
        <v>731</v>
      </c>
      <c r="B13" t="s">
        <v>90</v>
      </c>
    </row>
    <row r="14" spans="1:2">
      <c r="A14" t="s">
        <v>732</v>
      </c>
      <c r="B14" t="s">
        <v>71</v>
      </c>
    </row>
    <row r="15" spans="1:2">
      <c r="A15" t="s">
        <v>733</v>
      </c>
      <c r="B15" t="s">
        <v>734</v>
      </c>
    </row>
    <row r="16" spans="1:2">
      <c r="A16" t="s">
        <v>735</v>
      </c>
      <c r="B16" t="s">
        <v>736</v>
      </c>
    </row>
    <row r="17" spans="1:2">
      <c r="A17" t="s">
        <v>737</v>
      </c>
      <c r="B17" t="s">
        <v>738</v>
      </c>
    </row>
    <row r="18" spans="1:2">
      <c r="A18" t="s">
        <v>739</v>
      </c>
      <c r="B18" t="s">
        <v>91</v>
      </c>
    </row>
    <row r="19" spans="1:2">
      <c r="A19" t="s">
        <v>740</v>
      </c>
      <c r="B19" t="s">
        <v>29</v>
      </c>
    </row>
    <row r="20" spans="1:2">
      <c r="A20" t="s">
        <v>741</v>
      </c>
      <c r="B20" t="s">
        <v>742</v>
      </c>
    </row>
    <row r="21" spans="1:2">
      <c r="A21" t="s">
        <v>743</v>
      </c>
      <c r="B21" t="s">
        <v>744</v>
      </c>
    </row>
    <row r="22" spans="1:2">
      <c r="A22" t="s">
        <v>745</v>
      </c>
      <c r="B22" t="s">
        <v>746</v>
      </c>
    </row>
    <row r="23" spans="1:2">
      <c r="A23" t="s">
        <v>747</v>
      </c>
      <c r="B23" t="s">
        <v>131</v>
      </c>
    </row>
    <row r="24" spans="1:2">
      <c r="A24" t="s">
        <v>748</v>
      </c>
      <c r="B24" t="s">
        <v>749</v>
      </c>
    </row>
    <row r="25" spans="1:2">
      <c r="A25" t="s">
        <v>750</v>
      </c>
      <c r="B25" t="s">
        <v>45</v>
      </c>
    </row>
    <row r="26" spans="1:2">
      <c r="A26" t="s">
        <v>751</v>
      </c>
      <c r="B26" t="s">
        <v>83</v>
      </c>
    </row>
    <row r="27" spans="1:2">
      <c r="A27" t="s">
        <v>752</v>
      </c>
      <c r="B27" t="s">
        <v>93</v>
      </c>
    </row>
    <row r="28" spans="1:2">
      <c r="A28" t="s">
        <v>753</v>
      </c>
      <c r="B28" t="s">
        <v>10</v>
      </c>
    </row>
    <row r="29" spans="1:2">
      <c r="A29" t="s">
        <v>754</v>
      </c>
      <c r="B29" t="s">
        <v>99</v>
      </c>
    </row>
    <row r="30" spans="1:2">
      <c r="A30" t="s">
        <v>755</v>
      </c>
      <c r="B30" t="s">
        <v>756</v>
      </c>
    </row>
    <row r="31" spans="1:2">
      <c r="A31" t="s">
        <v>757</v>
      </c>
      <c r="B31" t="s">
        <v>758</v>
      </c>
    </row>
    <row r="32" spans="1:2">
      <c r="A32" t="s">
        <v>759</v>
      </c>
      <c r="B32" t="s">
        <v>760</v>
      </c>
    </row>
    <row r="33" spans="1:2">
      <c r="A33" t="s">
        <v>761</v>
      </c>
      <c r="B33" t="s">
        <v>58</v>
      </c>
    </row>
    <row r="34" spans="1:2">
      <c r="A34" t="s">
        <v>762</v>
      </c>
      <c r="B34" t="s">
        <v>763</v>
      </c>
    </row>
    <row r="35" spans="1:2">
      <c r="A35" t="s">
        <v>764</v>
      </c>
    </row>
    <row r="36" spans="1:2">
      <c r="A36" t="s">
        <v>764</v>
      </c>
    </row>
    <row r="37" spans="1:2">
      <c r="A37" t="s">
        <v>764</v>
      </c>
    </row>
    <row r="38" spans="1:2">
      <c r="A38" t="s">
        <v>764</v>
      </c>
    </row>
    <row r="39" spans="1:2">
      <c r="A39" t="s">
        <v>764</v>
      </c>
    </row>
    <row r="40" spans="1:2">
      <c r="A40" t="s">
        <v>764</v>
      </c>
    </row>
    <row r="41" spans="1:2">
      <c r="A41" t="s">
        <v>764</v>
      </c>
    </row>
    <row r="42" spans="1:2">
      <c r="A42" t="s">
        <v>764</v>
      </c>
    </row>
    <row r="43" spans="1:2">
      <c r="A43" t="s">
        <v>764</v>
      </c>
    </row>
    <row r="44" spans="1:2">
      <c r="A44" t="s">
        <v>764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C45305-CC6A-4513-BD7F-D55DB35417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CALDERON ZAMORA OSCAR XAVIER</cp:lastModifiedBy>
  <cp:revision/>
  <dcterms:created xsi:type="dcterms:W3CDTF">2026-06-15T13:49:13Z</dcterms:created>
  <dcterms:modified xsi:type="dcterms:W3CDTF">2026-06-29T14:02:03Z</dcterms:modified>
  <cp:category/>
  <cp:contentStatus/>
</cp:coreProperties>
</file>