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leam-my.sharepoint.com/personal/avelino_carrillo_uleam_edu_ec/Documents/FCACC/PLANIFICACION/"/>
    </mc:Choice>
  </mc:AlternateContent>
  <xr:revisionPtr revIDLastSave="2295" documentId="11_9248B46DC1CBB2E3ED7FF6F9903E8C1851038383" xr6:coauthVersionLast="47" xr6:coauthVersionMax="47" xr10:uidLastSave="{3A9D020C-F003-4847-B60D-CD47F93B2EE2}"/>
  <bookViews>
    <workbookView xWindow="-120" yWindow="-120" windowWidth="20730" windowHeight="11040" tabRatio="801" activeTab="1" xr2:uid="{00000000-000D-0000-FFFF-FFFF00000000}"/>
  </bookViews>
  <sheets>
    <sheet name="ASIGNACION" sheetId="1" r:id="rId1"/>
    <sheet name="INTERCAMBIO" sheetId="12" r:id="rId2"/>
    <sheet name="MAE_CONOCIMIENTO" sheetId="21" state="hidden" r:id="rId3"/>
    <sheet name="MAE_CARRERA" sheetId="22" state="hidden" r:id="rId4"/>
    <sheet name="MDOCENTES" sheetId="23" state="hidden" r:id="rId5"/>
    <sheet name="MAE_ASIGNATURA" sheetId="24" state="hidden" r:id="rId6"/>
    <sheet name="MAESTRIA_DETALLADO" sheetId="25" state="hidden" r:id="rId7"/>
    <sheet name="EDU_DOCENTE" sheetId="26" state="hidden" r:id="rId8"/>
    <sheet name="DET_ASIG" sheetId="27" state="hidden" r:id="rId9"/>
  </sheets>
  <definedNames>
    <definedName name="_xlcn.WorksheetConnection_PLAN_ASIG.xlsxTabla11" hidden="1">Tabla1[]</definedName>
    <definedName name="DatosExternos_1" localSheetId="8" hidden="1">DET_ASIG!$A$1:$H$600</definedName>
    <definedName name="DatosExternos_1" localSheetId="7" hidden="1">EDU_DOCENTE!$A$1:$F$489</definedName>
    <definedName name="DatosExternos_1" localSheetId="5" hidden="1">MAE_ASIGNATURA!$A$1:$G$339</definedName>
    <definedName name="DatosExternos_1" localSheetId="3" hidden="1">MAE_CARRERA!$A$1:$G$18</definedName>
    <definedName name="DatosExternos_1" localSheetId="2" hidden="1">MAE_CONOCIMIENTO!$A$1:$B$37</definedName>
    <definedName name="DatosExternos_1" localSheetId="6" hidden="1">MAESTRIA_DETALLADO!$A$1:$E$598</definedName>
    <definedName name="DatosExternos_1" localSheetId="4" hidden="1">MDOCENTES!$A$1:$I$135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PLAN_ASIG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" i="1" l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BD601" i="12" a="1"/>
  <c r="BD601" i="12"/>
  <c r="BD602" i="12" a="1"/>
  <c r="BD602" i="12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Q12" i="1"/>
  <c r="U12" i="1" s="1"/>
  <c r="Q13" i="1"/>
  <c r="U13" i="1" s="1"/>
  <c r="Q14" i="1"/>
  <c r="U14" i="1" s="1"/>
  <c r="Q15" i="1"/>
  <c r="U15" i="1" s="1"/>
  <c r="Q16" i="1"/>
  <c r="U16" i="1" s="1"/>
  <c r="Q17" i="1"/>
  <c r="U17" i="1" s="1"/>
  <c r="Q18" i="1"/>
  <c r="U18" i="1" s="1"/>
  <c r="Q19" i="1"/>
  <c r="U19" i="1" s="1"/>
  <c r="Q20" i="1"/>
  <c r="U20" i="1" s="1"/>
  <c r="Q21" i="1"/>
  <c r="U21" i="1" s="1"/>
  <c r="Q22" i="1"/>
  <c r="U22" i="1" s="1"/>
  <c r="Q23" i="1"/>
  <c r="U23" i="1" s="1"/>
  <c r="Q24" i="1"/>
  <c r="U24" i="1" s="1"/>
  <c r="Q25" i="1"/>
  <c r="U25" i="1" s="1"/>
  <c r="Q26" i="1"/>
  <c r="U26" i="1" s="1"/>
  <c r="Q27" i="1"/>
  <c r="U27" i="1" s="1"/>
  <c r="Q28" i="1"/>
  <c r="U28" i="1" s="1"/>
  <c r="Q29" i="1"/>
  <c r="U29" i="1" s="1"/>
  <c r="Q30" i="1"/>
  <c r="U30" i="1" s="1"/>
  <c r="Q31" i="1"/>
  <c r="U31" i="1" s="1"/>
  <c r="Q32" i="1"/>
  <c r="U32" i="1" s="1"/>
  <c r="Q33" i="1"/>
  <c r="U33" i="1" s="1"/>
  <c r="Q34" i="1"/>
  <c r="U34" i="1" s="1"/>
  <c r="Q35" i="1"/>
  <c r="U35" i="1" s="1"/>
  <c r="Q36" i="1"/>
  <c r="U36" i="1" s="1"/>
  <c r="Q37" i="1"/>
  <c r="U37" i="1" s="1"/>
  <c r="Q38" i="1"/>
  <c r="U38" i="1" s="1"/>
  <c r="Q39" i="1"/>
  <c r="U39" i="1" s="1"/>
  <c r="Q40" i="1"/>
  <c r="U40" i="1" s="1"/>
  <c r="Q41" i="1"/>
  <c r="U41" i="1" s="1"/>
  <c r="Q42" i="1"/>
  <c r="U42" i="1" s="1"/>
  <c r="Q43" i="1"/>
  <c r="U43" i="1" s="1"/>
  <c r="Q44" i="1"/>
  <c r="U44" i="1" s="1"/>
  <c r="Q45" i="1"/>
  <c r="U45" i="1" s="1"/>
  <c r="Q46" i="1"/>
  <c r="U46" i="1" s="1"/>
  <c r="Q47" i="1"/>
  <c r="U47" i="1" s="1"/>
  <c r="Q48" i="1"/>
  <c r="U48" i="1" s="1"/>
  <c r="Q49" i="1"/>
  <c r="U49" i="1" s="1"/>
  <c r="Q50" i="1"/>
  <c r="U50" i="1" s="1"/>
  <c r="Q51" i="1"/>
  <c r="U51" i="1" s="1"/>
  <c r="Q52" i="1"/>
  <c r="U52" i="1" s="1"/>
  <c r="Q53" i="1"/>
  <c r="U53" i="1" s="1"/>
  <c r="Q54" i="1"/>
  <c r="U54" i="1" s="1"/>
  <c r="Q55" i="1"/>
  <c r="U55" i="1" s="1"/>
  <c r="Q56" i="1"/>
  <c r="U56" i="1" s="1"/>
  <c r="Q57" i="1"/>
  <c r="U57" i="1" s="1"/>
  <c r="Q58" i="1"/>
  <c r="U58" i="1" s="1"/>
  <c r="Q59" i="1"/>
  <c r="U59" i="1" s="1"/>
  <c r="Q60" i="1"/>
  <c r="U60" i="1" s="1"/>
  <c r="Q61" i="1"/>
  <c r="U61" i="1" s="1"/>
  <c r="Q62" i="1"/>
  <c r="U62" i="1" s="1"/>
  <c r="Q63" i="1"/>
  <c r="U63" i="1" s="1"/>
  <c r="Q64" i="1"/>
  <c r="U64" i="1" s="1"/>
  <c r="Q65" i="1"/>
  <c r="U65" i="1" s="1"/>
  <c r="Q66" i="1"/>
  <c r="U66" i="1" s="1"/>
  <c r="Q67" i="1"/>
  <c r="U67" i="1" s="1"/>
  <c r="Q68" i="1"/>
  <c r="U68" i="1" s="1"/>
  <c r="Q69" i="1"/>
  <c r="U69" i="1" s="1"/>
  <c r="Q70" i="1"/>
  <c r="U70" i="1" s="1"/>
  <c r="Q71" i="1"/>
  <c r="U71" i="1" s="1"/>
  <c r="Q72" i="1"/>
  <c r="U72" i="1" s="1"/>
  <c r="Q73" i="1"/>
  <c r="U73" i="1" s="1"/>
  <c r="Q74" i="1"/>
  <c r="U74" i="1" s="1"/>
  <c r="Q75" i="1"/>
  <c r="U75" i="1" s="1"/>
  <c r="Q76" i="1"/>
  <c r="U76" i="1" s="1"/>
  <c r="Q77" i="1"/>
  <c r="U77" i="1" s="1"/>
  <c r="Q78" i="1"/>
  <c r="U78" i="1" s="1"/>
  <c r="Q79" i="1"/>
  <c r="U79" i="1" s="1"/>
  <c r="Q80" i="1"/>
  <c r="U80" i="1" s="1"/>
  <c r="Q81" i="1"/>
  <c r="U81" i="1" s="1"/>
  <c r="Q82" i="1"/>
  <c r="U82" i="1" s="1"/>
  <c r="Q83" i="1"/>
  <c r="U83" i="1" s="1"/>
  <c r="Q84" i="1"/>
  <c r="U84" i="1" s="1"/>
  <c r="Q85" i="1"/>
  <c r="U85" i="1" s="1"/>
  <c r="Q86" i="1"/>
  <c r="U86" i="1" s="1"/>
  <c r="Q87" i="1"/>
  <c r="U87" i="1" s="1"/>
  <c r="Q88" i="1"/>
  <c r="U88" i="1" s="1"/>
  <c r="Q89" i="1"/>
  <c r="U89" i="1" s="1"/>
  <c r="Q90" i="1"/>
  <c r="U90" i="1" s="1"/>
  <c r="Q91" i="1"/>
  <c r="U91" i="1" s="1"/>
  <c r="Q92" i="1"/>
  <c r="U92" i="1" s="1"/>
  <c r="Q93" i="1"/>
  <c r="U93" i="1" s="1"/>
  <c r="Q94" i="1"/>
  <c r="U94" i="1" s="1"/>
  <c r="Q95" i="1"/>
  <c r="U95" i="1" s="1"/>
  <c r="Q96" i="1"/>
  <c r="U96" i="1" s="1"/>
  <c r="Q97" i="1"/>
  <c r="U97" i="1" s="1"/>
  <c r="Q98" i="1"/>
  <c r="U98" i="1" s="1"/>
  <c r="Q99" i="1"/>
  <c r="U99" i="1" s="1"/>
  <c r="Q100" i="1"/>
  <c r="U100" i="1" s="1"/>
  <c r="Q101" i="1"/>
  <c r="U101" i="1" s="1"/>
  <c r="Q102" i="1"/>
  <c r="U102" i="1" s="1"/>
  <c r="Q103" i="1"/>
  <c r="U103" i="1" s="1"/>
  <c r="Q104" i="1"/>
  <c r="U104" i="1" s="1"/>
  <c r="Q105" i="1"/>
  <c r="U105" i="1" s="1"/>
  <c r="Q106" i="1"/>
  <c r="U106" i="1" s="1"/>
  <c r="Q107" i="1"/>
  <c r="U107" i="1" s="1"/>
  <c r="Q108" i="1"/>
  <c r="U108" i="1" s="1"/>
  <c r="Q109" i="1"/>
  <c r="U109" i="1" s="1"/>
  <c r="Q110" i="1"/>
  <c r="U110" i="1" s="1"/>
  <c r="Q111" i="1"/>
  <c r="U111" i="1" s="1"/>
  <c r="Q112" i="1"/>
  <c r="U112" i="1" s="1"/>
  <c r="Q113" i="1"/>
  <c r="U113" i="1" s="1"/>
  <c r="Q114" i="1"/>
  <c r="U114" i="1" s="1"/>
  <c r="Q115" i="1"/>
  <c r="U115" i="1" s="1"/>
  <c r="Q116" i="1"/>
  <c r="U116" i="1" s="1"/>
  <c r="Q117" i="1"/>
  <c r="U117" i="1" s="1"/>
  <c r="Q118" i="1"/>
  <c r="U118" i="1" s="1"/>
  <c r="Q119" i="1"/>
  <c r="U119" i="1" s="1"/>
  <c r="Q120" i="1"/>
  <c r="U120" i="1" s="1"/>
  <c r="Q121" i="1"/>
  <c r="U121" i="1" s="1"/>
  <c r="Q122" i="1"/>
  <c r="U122" i="1" s="1"/>
  <c r="Q123" i="1"/>
  <c r="U123" i="1" s="1"/>
  <c r="Q124" i="1"/>
  <c r="U124" i="1" s="1"/>
  <c r="Q125" i="1"/>
  <c r="U125" i="1" s="1"/>
  <c r="Q126" i="1"/>
  <c r="U126" i="1" s="1"/>
  <c r="Q127" i="1"/>
  <c r="U127" i="1" s="1"/>
  <c r="Q128" i="1"/>
  <c r="U128" i="1" s="1"/>
  <c r="Q129" i="1"/>
  <c r="U129" i="1" s="1"/>
  <c r="Q130" i="1"/>
  <c r="U130" i="1" s="1"/>
  <c r="Q131" i="1"/>
  <c r="U131" i="1" s="1"/>
  <c r="Q132" i="1"/>
  <c r="U132" i="1" s="1"/>
  <c r="Q133" i="1"/>
  <c r="U133" i="1" s="1"/>
  <c r="Q134" i="1"/>
  <c r="U134" i="1" s="1"/>
  <c r="Q135" i="1"/>
  <c r="U135" i="1" s="1"/>
  <c r="Q136" i="1"/>
  <c r="U136" i="1" s="1"/>
  <c r="Q137" i="1"/>
  <c r="U137" i="1" s="1"/>
  <c r="Q138" i="1"/>
  <c r="U138" i="1" s="1"/>
  <c r="Q139" i="1"/>
  <c r="U139" i="1" s="1"/>
  <c r="Q140" i="1"/>
  <c r="U140" i="1" s="1"/>
  <c r="Q141" i="1"/>
  <c r="U141" i="1" s="1"/>
  <c r="Q142" i="1"/>
  <c r="U142" i="1" s="1"/>
  <c r="Q143" i="1"/>
  <c r="U143" i="1" s="1"/>
  <c r="Q144" i="1"/>
  <c r="U144" i="1" s="1"/>
  <c r="Q145" i="1"/>
  <c r="U145" i="1" s="1"/>
  <c r="Q146" i="1"/>
  <c r="U146" i="1" s="1"/>
  <c r="Q147" i="1"/>
  <c r="U147" i="1" s="1"/>
  <c r="Q148" i="1"/>
  <c r="U148" i="1" s="1"/>
  <c r="Q149" i="1"/>
  <c r="U149" i="1" s="1"/>
  <c r="Q150" i="1"/>
  <c r="U150" i="1" s="1"/>
  <c r="Q151" i="1"/>
  <c r="U151" i="1" s="1"/>
  <c r="Q152" i="1"/>
  <c r="U152" i="1" s="1"/>
  <c r="Q153" i="1"/>
  <c r="U153" i="1" s="1"/>
  <c r="Q154" i="1"/>
  <c r="U154" i="1" s="1"/>
  <c r="Q155" i="1"/>
  <c r="U155" i="1" s="1"/>
  <c r="Q156" i="1"/>
  <c r="U156" i="1" s="1"/>
  <c r="Q157" i="1"/>
  <c r="U157" i="1" s="1"/>
  <c r="Q158" i="1"/>
  <c r="U158" i="1" s="1"/>
  <c r="Q159" i="1"/>
  <c r="U159" i="1" s="1"/>
  <c r="Q160" i="1"/>
  <c r="U160" i="1" s="1"/>
  <c r="Q161" i="1"/>
  <c r="U161" i="1" s="1"/>
  <c r="Q162" i="1"/>
  <c r="U162" i="1" s="1"/>
  <c r="Q163" i="1"/>
  <c r="U163" i="1" s="1"/>
  <c r="Q164" i="1"/>
  <c r="U164" i="1" s="1"/>
  <c r="Q165" i="1"/>
  <c r="U165" i="1" s="1"/>
  <c r="Q166" i="1"/>
  <c r="U166" i="1" s="1"/>
  <c r="Q167" i="1"/>
  <c r="U167" i="1" s="1"/>
  <c r="Q168" i="1"/>
  <c r="U168" i="1" s="1"/>
  <c r="Q169" i="1"/>
  <c r="U169" i="1" s="1"/>
  <c r="Q170" i="1"/>
  <c r="U170" i="1" s="1"/>
  <c r="Q171" i="1"/>
  <c r="U171" i="1" s="1"/>
  <c r="Q172" i="1"/>
  <c r="U172" i="1" s="1"/>
  <c r="Q173" i="1"/>
  <c r="U173" i="1" s="1"/>
  <c r="Q174" i="1"/>
  <c r="U174" i="1" s="1"/>
  <c r="Q175" i="1"/>
  <c r="U175" i="1" s="1"/>
  <c r="Q176" i="1"/>
  <c r="U176" i="1" s="1"/>
  <c r="Q177" i="1"/>
  <c r="U177" i="1" s="1"/>
  <c r="Q178" i="1"/>
  <c r="U178" i="1" s="1"/>
  <c r="Q179" i="1"/>
  <c r="U179" i="1" s="1"/>
  <c r="Q180" i="1"/>
  <c r="U180" i="1" s="1"/>
  <c r="Q181" i="1"/>
  <c r="U181" i="1" s="1"/>
  <c r="Q182" i="1"/>
  <c r="U182" i="1" s="1"/>
  <c r="Q183" i="1"/>
  <c r="U183" i="1" s="1"/>
  <c r="Q184" i="1"/>
  <c r="U184" i="1" s="1"/>
  <c r="Q185" i="1"/>
  <c r="U185" i="1" s="1"/>
  <c r="Q186" i="1"/>
  <c r="U186" i="1" s="1"/>
  <c r="Q187" i="1"/>
  <c r="U187" i="1" s="1"/>
  <c r="Q188" i="1"/>
  <c r="U188" i="1" s="1"/>
  <c r="Q189" i="1"/>
  <c r="U189" i="1" s="1"/>
  <c r="Q190" i="1"/>
  <c r="U190" i="1" s="1"/>
  <c r="Q191" i="1"/>
  <c r="U191" i="1" s="1"/>
  <c r="Q192" i="1"/>
  <c r="U192" i="1" s="1"/>
  <c r="Q193" i="1"/>
  <c r="U193" i="1" s="1"/>
  <c r="Q194" i="1"/>
  <c r="U194" i="1" s="1"/>
  <c r="Q195" i="1"/>
  <c r="U195" i="1" s="1"/>
  <c r="Q196" i="1"/>
  <c r="U196" i="1" s="1"/>
  <c r="Q197" i="1"/>
  <c r="U197" i="1" s="1"/>
  <c r="Q198" i="1"/>
  <c r="U198" i="1" s="1"/>
  <c r="Q199" i="1"/>
  <c r="U199" i="1" s="1"/>
  <c r="Q200" i="1"/>
  <c r="U200" i="1" s="1"/>
  <c r="Q201" i="1"/>
  <c r="U201" i="1" s="1"/>
  <c r="Q202" i="1"/>
  <c r="U202" i="1" s="1"/>
  <c r="Q203" i="1"/>
  <c r="U203" i="1" s="1"/>
  <c r="Q204" i="1"/>
  <c r="U204" i="1" s="1"/>
  <c r="Q205" i="1"/>
  <c r="U205" i="1" s="1"/>
  <c r="Q206" i="1"/>
  <c r="U206" i="1" s="1"/>
  <c r="Q207" i="1"/>
  <c r="U207" i="1" s="1"/>
  <c r="Q208" i="1"/>
  <c r="U208" i="1" s="1"/>
  <c r="Q209" i="1"/>
  <c r="U209" i="1" s="1"/>
  <c r="Q210" i="1"/>
  <c r="U210" i="1" s="1"/>
  <c r="Q211" i="1"/>
  <c r="U211" i="1" s="1"/>
  <c r="Q212" i="1"/>
  <c r="U212" i="1" s="1"/>
  <c r="Q213" i="1"/>
  <c r="U213" i="1" s="1"/>
  <c r="Q214" i="1"/>
  <c r="U214" i="1" s="1"/>
  <c r="Q215" i="1"/>
  <c r="U215" i="1" s="1"/>
  <c r="Q216" i="1"/>
  <c r="U216" i="1" s="1"/>
  <c r="Q217" i="1"/>
  <c r="U217" i="1" s="1"/>
  <c r="Q218" i="1"/>
  <c r="U218" i="1" s="1"/>
  <c r="Q219" i="1"/>
  <c r="U219" i="1" s="1"/>
  <c r="Q220" i="1"/>
  <c r="U220" i="1" s="1"/>
  <c r="Q221" i="1"/>
  <c r="U221" i="1" s="1"/>
  <c r="Q222" i="1"/>
  <c r="U222" i="1" s="1"/>
  <c r="Q223" i="1"/>
  <c r="U223" i="1" s="1"/>
  <c r="Q224" i="1"/>
  <c r="U224" i="1" s="1"/>
  <c r="Q225" i="1"/>
  <c r="U225" i="1" s="1"/>
  <c r="Q226" i="1"/>
  <c r="U226" i="1" s="1"/>
  <c r="Q227" i="1"/>
  <c r="U227" i="1" s="1"/>
  <c r="Q228" i="1"/>
  <c r="U228" i="1" s="1"/>
  <c r="Q229" i="1"/>
  <c r="U229" i="1" s="1"/>
  <c r="Q230" i="1"/>
  <c r="U230" i="1" s="1"/>
  <c r="Q231" i="1"/>
  <c r="U231" i="1" s="1"/>
  <c r="Q232" i="1"/>
  <c r="U232" i="1" s="1"/>
  <c r="Q233" i="1"/>
  <c r="U233" i="1" s="1"/>
  <c r="Q234" i="1"/>
  <c r="U234" i="1" s="1"/>
  <c r="Q235" i="1"/>
  <c r="U235" i="1" s="1"/>
  <c r="Q236" i="1"/>
  <c r="U236" i="1" s="1"/>
  <c r="Q237" i="1"/>
  <c r="U237" i="1" s="1"/>
  <c r="Q238" i="1"/>
  <c r="U238" i="1" s="1"/>
  <c r="Q239" i="1"/>
  <c r="U239" i="1" s="1"/>
  <c r="Q240" i="1"/>
  <c r="U240" i="1" s="1"/>
  <c r="Q241" i="1"/>
  <c r="U241" i="1" s="1"/>
  <c r="Q242" i="1"/>
  <c r="U242" i="1" s="1"/>
  <c r="Q243" i="1"/>
  <c r="U243" i="1" s="1"/>
  <c r="Q244" i="1"/>
  <c r="U244" i="1" s="1"/>
  <c r="Q245" i="1"/>
  <c r="U245" i="1" s="1"/>
  <c r="Q246" i="1"/>
  <c r="U246" i="1" s="1"/>
  <c r="Q247" i="1"/>
  <c r="U247" i="1" s="1"/>
  <c r="Q248" i="1"/>
  <c r="U248" i="1" s="1"/>
  <c r="Q249" i="1"/>
  <c r="U249" i="1" s="1"/>
  <c r="Q250" i="1"/>
  <c r="U250" i="1" s="1"/>
  <c r="Q251" i="1"/>
  <c r="U251" i="1" s="1"/>
  <c r="Q252" i="1"/>
  <c r="U252" i="1" s="1"/>
  <c r="Q253" i="1"/>
  <c r="U253" i="1" s="1"/>
  <c r="Q254" i="1"/>
  <c r="U254" i="1" s="1"/>
  <c r="Q255" i="1"/>
  <c r="U255" i="1" s="1"/>
  <c r="Q256" i="1"/>
  <c r="U256" i="1" s="1"/>
  <c r="Q257" i="1"/>
  <c r="U257" i="1" s="1"/>
  <c r="Q258" i="1"/>
  <c r="U258" i="1" s="1"/>
  <c r="Q259" i="1"/>
  <c r="U259" i="1" s="1"/>
  <c r="Q260" i="1"/>
  <c r="U260" i="1" s="1"/>
  <c r="Q261" i="1"/>
  <c r="U261" i="1" s="1"/>
  <c r="Q262" i="1"/>
  <c r="U262" i="1" s="1"/>
  <c r="Q263" i="1"/>
  <c r="U263" i="1" s="1"/>
  <c r="Q264" i="1"/>
  <c r="U264" i="1" s="1"/>
  <c r="Q265" i="1"/>
  <c r="U265" i="1" s="1"/>
  <c r="Q266" i="1"/>
  <c r="U266" i="1" s="1"/>
  <c r="Q267" i="1"/>
  <c r="U267" i="1" s="1"/>
  <c r="Q268" i="1"/>
  <c r="U268" i="1" s="1"/>
  <c r="Q269" i="1"/>
  <c r="U269" i="1" s="1"/>
  <c r="Q270" i="1"/>
  <c r="U270" i="1" s="1"/>
  <c r="Q271" i="1"/>
  <c r="U271" i="1" s="1"/>
  <c r="Q272" i="1"/>
  <c r="U272" i="1" s="1"/>
  <c r="Q273" i="1"/>
  <c r="U273" i="1" s="1"/>
  <c r="Q274" i="1"/>
  <c r="U274" i="1" s="1"/>
  <c r="Q275" i="1"/>
  <c r="U275" i="1" s="1"/>
  <c r="Q276" i="1"/>
  <c r="U276" i="1" s="1"/>
  <c r="Q277" i="1"/>
  <c r="U277" i="1" s="1"/>
  <c r="Q278" i="1"/>
  <c r="U278" i="1" s="1"/>
  <c r="Q279" i="1"/>
  <c r="U279" i="1" s="1"/>
  <c r="Q280" i="1"/>
  <c r="U280" i="1" s="1"/>
  <c r="Q281" i="1"/>
  <c r="U281" i="1" s="1"/>
  <c r="Q282" i="1"/>
  <c r="U282" i="1" s="1"/>
  <c r="Q283" i="1"/>
  <c r="U283" i="1" s="1"/>
  <c r="Q284" i="1"/>
  <c r="U284" i="1" s="1"/>
  <c r="Q285" i="1"/>
  <c r="U285" i="1" s="1"/>
  <c r="Q286" i="1"/>
  <c r="U286" i="1" s="1"/>
  <c r="Q287" i="1"/>
  <c r="U287" i="1" s="1"/>
  <c r="Q288" i="1"/>
  <c r="U288" i="1" s="1"/>
  <c r="Q289" i="1"/>
  <c r="U289" i="1" s="1"/>
  <c r="Q290" i="1"/>
  <c r="U290" i="1" s="1"/>
  <c r="Q291" i="1"/>
  <c r="U291" i="1" s="1"/>
  <c r="Q292" i="1"/>
  <c r="U292" i="1" s="1"/>
  <c r="Q293" i="1"/>
  <c r="U293" i="1" s="1"/>
  <c r="Q294" i="1"/>
  <c r="U294" i="1" s="1"/>
  <c r="Q295" i="1"/>
  <c r="U295" i="1" s="1"/>
  <c r="Q296" i="1"/>
  <c r="U296" i="1" s="1"/>
  <c r="Q297" i="1"/>
  <c r="U297" i="1" s="1"/>
  <c r="Q298" i="1"/>
  <c r="U298" i="1" s="1"/>
  <c r="Q299" i="1"/>
  <c r="U299" i="1" s="1"/>
  <c r="Q300" i="1"/>
  <c r="U300" i="1" s="1"/>
  <c r="Q301" i="1"/>
  <c r="U301" i="1" s="1"/>
  <c r="Q302" i="1"/>
  <c r="U302" i="1" s="1"/>
  <c r="Q303" i="1"/>
  <c r="U303" i="1" s="1"/>
  <c r="Q304" i="1"/>
  <c r="U304" i="1" s="1"/>
  <c r="Q305" i="1"/>
  <c r="U305" i="1" s="1"/>
  <c r="Q306" i="1"/>
  <c r="U306" i="1" s="1"/>
  <c r="Q307" i="1"/>
  <c r="U307" i="1" s="1"/>
  <c r="Q308" i="1"/>
  <c r="U308" i="1" s="1"/>
  <c r="Q309" i="1"/>
  <c r="U309" i="1" s="1"/>
  <c r="Q310" i="1"/>
  <c r="U310" i="1" s="1"/>
  <c r="Q311" i="1"/>
  <c r="U311" i="1" s="1"/>
  <c r="Q312" i="1"/>
  <c r="U312" i="1" s="1"/>
  <c r="Q313" i="1"/>
  <c r="U313" i="1" s="1"/>
  <c r="Q314" i="1"/>
  <c r="U314" i="1" s="1"/>
  <c r="Q315" i="1"/>
  <c r="U315" i="1" s="1"/>
  <c r="Q316" i="1"/>
  <c r="U316" i="1" s="1"/>
  <c r="Q317" i="1"/>
  <c r="U317" i="1" s="1"/>
  <c r="Q318" i="1"/>
  <c r="U318" i="1" s="1"/>
  <c r="Q319" i="1"/>
  <c r="U319" i="1" s="1"/>
  <c r="Q320" i="1"/>
  <c r="U320" i="1" s="1"/>
  <c r="Q321" i="1"/>
  <c r="U321" i="1" s="1"/>
  <c r="Q322" i="1"/>
  <c r="U322" i="1" s="1"/>
  <c r="Q323" i="1"/>
  <c r="U323" i="1" s="1"/>
  <c r="Q324" i="1"/>
  <c r="U324" i="1" s="1"/>
  <c r="Q325" i="1"/>
  <c r="U325" i="1" s="1"/>
  <c r="Q326" i="1"/>
  <c r="U326" i="1" s="1"/>
  <c r="Q327" i="1"/>
  <c r="U327" i="1" s="1"/>
  <c r="Q328" i="1"/>
  <c r="U328" i="1" s="1"/>
  <c r="Q329" i="1"/>
  <c r="U329" i="1" s="1"/>
  <c r="Q330" i="1"/>
  <c r="U330" i="1" s="1"/>
  <c r="Q331" i="1"/>
  <c r="U331" i="1" s="1"/>
  <c r="Q332" i="1"/>
  <c r="U332" i="1" s="1"/>
  <c r="Q333" i="1"/>
  <c r="U333" i="1" s="1"/>
  <c r="Q334" i="1"/>
  <c r="U334" i="1" s="1"/>
  <c r="Q335" i="1"/>
  <c r="U335" i="1" s="1"/>
  <c r="Q336" i="1"/>
  <c r="U336" i="1" s="1"/>
  <c r="Q337" i="1"/>
  <c r="U337" i="1" s="1"/>
  <c r="Q338" i="1"/>
  <c r="U338" i="1" s="1"/>
  <c r="Q339" i="1"/>
  <c r="U339" i="1" s="1"/>
  <c r="Q340" i="1"/>
  <c r="U340" i="1" s="1"/>
  <c r="Q341" i="1"/>
  <c r="U341" i="1" s="1"/>
  <c r="Q342" i="1"/>
  <c r="U342" i="1" s="1"/>
  <c r="Q343" i="1"/>
  <c r="U343" i="1" s="1"/>
  <c r="Q344" i="1"/>
  <c r="U344" i="1" s="1"/>
  <c r="Q345" i="1"/>
  <c r="U345" i="1" s="1"/>
  <c r="Q346" i="1"/>
  <c r="U346" i="1" s="1"/>
  <c r="Q347" i="1"/>
  <c r="U347" i="1" s="1"/>
  <c r="Q348" i="1"/>
  <c r="U348" i="1" s="1"/>
  <c r="Q349" i="1"/>
  <c r="U349" i="1" s="1"/>
  <c r="Q350" i="1"/>
  <c r="U350" i="1" s="1"/>
  <c r="Q351" i="1"/>
  <c r="U351" i="1" s="1"/>
  <c r="Q352" i="1"/>
  <c r="U352" i="1" s="1"/>
  <c r="Q353" i="1"/>
  <c r="U353" i="1" s="1"/>
  <c r="Q354" i="1"/>
  <c r="U354" i="1" s="1"/>
  <c r="Q355" i="1"/>
  <c r="U355" i="1" s="1"/>
  <c r="Q356" i="1"/>
  <c r="U356" i="1" s="1"/>
  <c r="Q357" i="1"/>
  <c r="U357" i="1" s="1"/>
  <c r="Q358" i="1"/>
  <c r="U358" i="1" s="1"/>
  <c r="Q359" i="1"/>
  <c r="U359" i="1" s="1"/>
  <c r="Q360" i="1"/>
  <c r="U360" i="1" s="1"/>
  <c r="Q361" i="1"/>
  <c r="U361" i="1" s="1"/>
  <c r="Q362" i="1"/>
  <c r="U362" i="1" s="1"/>
  <c r="Q363" i="1"/>
  <c r="U363" i="1" s="1"/>
  <c r="Q364" i="1"/>
  <c r="U364" i="1" s="1"/>
  <c r="Q365" i="1"/>
  <c r="U365" i="1" s="1"/>
  <c r="Q366" i="1"/>
  <c r="U366" i="1" s="1"/>
  <c r="Q367" i="1"/>
  <c r="U367" i="1" s="1"/>
  <c r="Q368" i="1"/>
  <c r="U368" i="1" s="1"/>
  <c r="Q369" i="1"/>
  <c r="U369" i="1" s="1"/>
  <c r="Q370" i="1"/>
  <c r="U370" i="1" s="1"/>
  <c r="Q371" i="1"/>
  <c r="U371" i="1" s="1"/>
  <c r="Q372" i="1"/>
  <c r="U372" i="1" s="1"/>
  <c r="Q373" i="1"/>
  <c r="U373" i="1" s="1"/>
  <c r="Q374" i="1"/>
  <c r="U374" i="1" s="1"/>
  <c r="Q375" i="1"/>
  <c r="U375" i="1" s="1"/>
  <c r="Q376" i="1"/>
  <c r="U376" i="1" s="1"/>
  <c r="Q377" i="1"/>
  <c r="U377" i="1" s="1"/>
  <c r="Q378" i="1"/>
  <c r="U378" i="1" s="1"/>
  <c r="Q379" i="1"/>
  <c r="U379" i="1" s="1"/>
  <c r="Q380" i="1"/>
  <c r="U380" i="1" s="1"/>
  <c r="Q381" i="1"/>
  <c r="U381" i="1" s="1"/>
  <c r="Q382" i="1"/>
  <c r="U382" i="1" s="1"/>
  <c r="Q383" i="1"/>
  <c r="U383" i="1" s="1"/>
  <c r="Q384" i="1"/>
  <c r="U384" i="1" s="1"/>
  <c r="Q385" i="1"/>
  <c r="U385" i="1" s="1"/>
  <c r="Q386" i="1"/>
  <c r="U386" i="1" s="1"/>
  <c r="Q387" i="1"/>
  <c r="U387" i="1" s="1"/>
  <c r="Q388" i="1"/>
  <c r="U388" i="1" s="1"/>
  <c r="Q389" i="1"/>
  <c r="U389" i="1" s="1"/>
  <c r="Q390" i="1"/>
  <c r="U390" i="1" s="1"/>
  <c r="Q391" i="1"/>
  <c r="U391" i="1" s="1"/>
  <c r="Q392" i="1"/>
  <c r="U392" i="1" s="1"/>
  <c r="Q393" i="1"/>
  <c r="U393" i="1" s="1"/>
  <c r="Q394" i="1"/>
  <c r="U394" i="1" s="1"/>
  <c r="Q395" i="1"/>
  <c r="U395" i="1" s="1"/>
  <c r="Q396" i="1"/>
  <c r="U396" i="1" s="1"/>
  <c r="Q397" i="1"/>
  <c r="U397" i="1" s="1"/>
  <c r="Q398" i="1"/>
  <c r="U398" i="1" s="1"/>
  <c r="Q399" i="1"/>
  <c r="U399" i="1" s="1"/>
  <c r="Q400" i="1"/>
  <c r="U400" i="1" s="1"/>
  <c r="Q401" i="1"/>
  <c r="U401" i="1" s="1"/>
  <c r="Q402" i="1"/>
  <c r="U402" i="1" s="1"/>
  <c r="Q403" i="1"/>
  <c r="U403" i="1" s="1"/>
  <c r="Q404" i="1"/>
  <c r="U404" i="1" s="1"/>
  <c r="Q405" i="1"/>
  <c r="U405" i="1" s="1"/>
  <c r="Q406" i="1"/>
  <c r="U406" i="1" s="1"/>
  <c r="Q407" i="1"/>
  <c r="U407" i="1" s="1"/>
  <c r="Q408" i="1"/>
  <c r="U408" i="1" s="1"/>
  <c r="Q409" i="1"/>
  <c r="U409" i="1" s="1"/>
  <c r="Q410" i="1"/>
  <c r="U410" i="1" s="1"/>
  <c r="Q411" i="1"/>
  <c r="U411" i="1" s="1"/>
  <c r="Q412" i="1"/>
  <c r="U412" i="1" s="1"/>
  <c r="Q413" i="1"/>
  <c r="U413" i="1" s="1"/>
  <c r="Q414" i="1"/>
  <c r="U414" i="1" s="1"/>
  <c r="Q415" i="1"/>
  <c r="U415" i="1" s="1"/>
  <c r="Q416" i="1"/>
  <c r="U416" i="1" s="1"/>
  <c r="Q417" i="1"/>
  <c r="U417" i="1" s="1"/>
  <c r="Q418" i="1"/>
  <c r="U418" i="1" s="1"/>
  <c r="Q419" i="1"/>
  <c r="U419" i="1" s="1"/>
  <c r="Q420" i="1"/>
  <c r="U420" i="1" s="1"/>
  <c r="Q421" i="1"/>
  <c r="U421" i="1" s="1"/>
  <c r="Q422" i="1"/>
  <c r="U422" i="1" s="1"/>
  <c r="Q423" i="1"/>
  <c r="U423" i="1" s="1"/>
  <c r="Q424" i="1"/>
  <c r="U424" i="1" s="1"/>
  <c r="Q425" i="1"/>
  <c r="U425" i="1" s="1"/>
  <c r="Q426" i="1"/>
  <c r="U426" i="1" s="1"/>
  <c r="Q427" i="1"/>
  <c r="U427" i="1" s="1"/>
  <c r="Q428" i="1"/>
  <c r="U428" i="1" s="1"/>
  <c r="Q429" i="1"/>
  <c r="U429" i="1" s="1"/>
  <c r="Q430" i="1"/>
  <c r="U430" i="1" s="1"/>
  <c r="Q431" i="1"/>
  <c r="U431" i="1" s="1"/>
  <c r="Q432" i="1"/>
  <c r="U432" i="1" s="1"/>
  <c r="Q433" i="1"/>
  <c r="U433" i="1" s="1"/>
  <c r="Q434" i="1"/>
  <c r="U434" i="1" s="1"/>
  <c r="Q435" i="1"/>
  <c r="U435" i="1" s="1"/>
  <c r="Q436" i="1"/>
  <c r="U436" i="1" s="1"/>
  <c r="Q437" i="1"/>
  <c r="U437" i="1" s="1"/>
  <c r="Q438" i="1"/>
  <c r="U438" i="1" s="1"/>
  <c r="Q439" i="1"/>
  <c r="U439" i="1" s="1"/>
  <c r="Q440" i="1"/>
  <c r="U440" i="1" s="1"/>
  <c r="Q441" i="1"/>
  <c r="U441" i="1" s="1"/>
  <c r="Q442" i="1"/>
  <c r="U442" i="1" s="1"/>
  <c r="Q443" i="1"/>
  <c r="U443" i="1" s="1"/>
  <c r="Q444" i="1"/>
  <c r="U444" i="1" s="1"/>
  <c r="Q445" i="1"/>
  <c r="U445" i="1" s="1"/>
  <c r="Q446" i="1"/>
  <c r="U446" i="1" s="1"/>
  <c r="Q447" i="1"/>
  <c r="U447" i="1" s="1"/>
  <c r="Q448" i="1"/>
  <c r="U448" i="1" s="1"/>
  <c r="Q449" i="1"/>
  <c r="U449" i="1" s="1"/>
  <c r="Q450" i="1"/>
  <c r="U450" i="1" s="1"/>
  <c r="Q451" i="1"/>
  <c r="U451" i="1" s="1"/>
  <c r="Q452" i="1"/>
  <c r="U452" i="1" s="1"/>
  <c r="Q453" i="1"/>
  <c r="U453" i="1" s="1"/>
  <c r="Q454" i="1"/>
  <c r="U454" i="1" s="1"/>
  <c r="Q455" i="1"/>
  <c r="U455" i="1" s="1"/>
  <c r="Q456" i="1"/>
  <c r="U456" i="1" s="1"/>
  <c r="Q457" i="1"/>
  <c r="U457" i="1" s="1"/>
  <c r="Q458" i="1"/>
  <c r="U458" i="1" s="1"/>
  <c r="Q459" i="1"/>
  <c r="U459" i="1" s="1"/>
  <c r="Q460" i="1"/>
  <c r="U460" i="1" s="1"/>
  <c r="Q461" i="1"/>
  <c r="U461" i="1" s="1"/>
  <c r="Q462" i="1"/>
  <c r="U462" i="1" s="1"/>
  <c r="Q463" i="1"/>
  <c r="U463" i="1" s="1"/>
  <c r="Q464" i="1"/>
  <c r="U464" i="1" s="1"/>
  <c r="Q465" i="1"/>
  <c r="U465" i="1" s="1"/>
  <c r="Q466" i="1"/>
  <c r="U466" i="1" s="1"/>
  <c r="Q467" i="1"/>
  <c r="U467" i="1" s="1"/>
  <c r="Q468" i="1"/>
  <c r="U468" i="1" s="1"/>
  <c r="Q469" i="1"/>
  <c r="U469" i="1" s="1"/>
  <c r="Q470" i="1"/>
  <c r="U470" i="1" s="1"/>
  <c r="Q471" i="1"/>
  <c r="U471" i="1" s="1"/>
  <c r="Q472" i="1"/>
  <c r="U472" i="1" s="1"/>
  <c r="Q473" i="1"/>
  <c r="U473" i="1" s="1"/>
  <c r="Q474" i="1"/>
  <c r="U474" i="1" s="1"/>
  <c r="Q475" i="1"/>
  <c r="U475" i="1" s="1"/>
  <c r="Q476" i="1"/>
  <c r="U476" i="1" s="1"/>
  <c r="Q477" i="1"/>
  <c r="U477" i="1" s="1"/>
  <c r="Q478" i="1"/>
  <c r="U478" i="1" s="1"/>
  <c r="Q479" i="1"/>
  <c r="U479" i="1" s="1"/>
  <c r="Q480" i="1"/>
  <c r="U480" i="1" s="1"/>
  <c r="Q481" i="1"/>
  <c r="U481" i="1" s="1"/>
  <c r="Q482" i="1"/>
  <c r="U482" i="1" s="1"/>
  <c r="Q483" i="1"/>
  <c r="U483" i="1" s="1"/>
  <c r="Q484" i="1"/>
  <c r="U484" i="1" s="1"/>
  <c r="Q485" i="1"/>
  <c r="U485" i="1" s="1"/>
  <c r="Q486" i="1"/>
  <c r="U486" i="1" s="1"/>
  <c r="Q487" i="1"/>
  <c r="U487" i="1" s="1"/>
  <c r="Q488" i="1"/>
  <c r="U488" i="1" s="1"/>
  <c r="Q489" i="1"/>
  <c r="U489" i="1" s="1"/>
  <c r="Q490" i="1"/>
  <c r="U490" i="1" s="1"/>
  <c r="Q491" i="1"/>
  <c r="U491" i="1" s="1"/>
  <c r="Q492" i="1"/>
  <c r="U492" i="1" s="1"/>
  <c r="Q493" i="1"/>
  <c r="U493" i="1" s="1"/>
  <c r="Q494" i="1"/>
  <c r="U494" i="1" s="1"/>
  <c r="Q495" i="1"/>
  <c r="U495" i="1" s="1"/>
  <c r="Q496" i="1"/>
  <c r="U496" i="1" s="1"/>
  <c r="Q497" i="1"/>
  <c r="U497" i="1" s="1"/>
  <c r="Q498" i="1"/>
  <c r="U498" i="1" s="1"/>
  <c r="Q499" i="1"/>
  <c r="U499" i="1" s="1"/>
  <c r="Q500" i="1"/>
  <c r="U500" i="1" s="1"/>
  <c r="Q501" i="1"/>
  <c r="U501" i="1" s="1"/>
  <c r="Q502" i="1"/>
  <c r="U502" i="1" s="1"/>
  <c r="Q503" i="1"/>
  <c r="U503" i="1" s="1"/>
  <c r="Q504" i="1"/>
  <c r="U504" i="1" s="1"/>
  <c r="Q505" i="1"/>
  <c r="U505" i="1" s="1"/>
  <c r="Q506" i="1"/>
  <c r="U506" i="1" s="1"/>
  <c r="Q507" i="1"/>
  <c r="U507" i="1" s="1"/>
  <c r="Q508" i="1"/>
  <c r="U508" i="1" s="1"/>
  <c r="Q509" i="1"/>
  <c r="U509" i="1" s="1"/>
  <c r="Q510" i="1"/>
  <c r="U510" i="1" s="1"/>
  <c r="Q511" i="1"/>
  <c r="U511" i="1" s="1"/>
  <c r="Q512" i="1"/>
  <c r="U512" i="1" s="1"/>
  <c r="Q513" i="1"/>
  <c r="U513" i="1" s="1"/>
  <c r="Q514" i="1"/>
  <c r="U514" i="1" s="1"/>
  <c r="Q515" i="1"/>
  <c r="U515" i="1" s="1"/>
  <c r="Q516" i="1"/>
  <c r="U516" i="1" s="1"/>
  <c r="Q517" i="1"/>
  <c r="U517" i="1" s="1"/>
  <c r="Q518" i="1"/>
  <c r="U518" i="1" s="1"/>
  <c r="Q519" i="1"/>
  <c r="U519" i="1" s="1"/>
  <c r="Q520" i="1"/>
  <c r="U520" i="1" s="1"/>
  <c r="Q521" i="1"/>
  <c r="U521" i="1" s="1"/>
  <c r="Q522" i="1"/>
  <c r="U522" i="1" s="1"/>
  <c r="Q523" i="1"/>
  <c r="U523" i="1" s="1"/>
  <c r="Q524" i="1"/>
  <c r="U524" i="1" s="1"/>
  <c r="Q525" i="1"/>
  <c r="U525" i="1" s="1"/>
  <c r="Q526" i="1"/>
  <c r="U526" i="1" s="1"/>
  <c r="Q527" i="1"/>
  <c r="U527" i="1" s="1"/>
  <c r="Q528" i="1"/>
  <c r="U528" i="1" s="1"/>
  <c r="Q529" i="1"/>
  <c r="U529" i="1" s="1"/>
  <c r="Q530" i="1"/>
  <c r="U530" i="1" s="1"/>
  <c r="Q531" i="1"/>
  <c r="U531" i="1" s="1"/>
  <c r="Q532" i="1"/>
  <c r="U532" i="1" s="1"/>
  <c r="Q533" i="1"/>
  <c r="U533" i="1" s="1"/>
  <c r="Q534" i="1"/>
  <c r="U534" i="1" s="1"/>
  <c r="Q535" i="1"/>
  <c r="U535" i="1" s="1"/>
  <c r="Q536" i="1"/>
  <c r="U536" i="1" s="1"/>
  <c r="Q537" i="1"/>
  <c r="U537" i="1" s="1"/>
  <c r="Q538" i="1"/>
  <c r="U538" i="1" s="1"/>
  <c r="Q539" i="1"/>
  <c r="U539" i="1" s="1"/>
  <c r="Q540" i="1"/>
  <c r="U540" i="1" s="1"/>
  <c r="Q541" i="1"/>
  <c r="U541" i="1" s="1"/>
  <c r="Q542" i="1"/>
  <c r="U542" i="1" s="1"/>
  <c r="Q543" i="1"/>
  <c r="U543" i="1" s="1"/>
  <c r="Q544" i="1"/>
  <c r="U544" i="1" s="1"/>
  <c r="Q545" i="1"/>
  <c r="U545" i="1" s="1"/>
  <c r="Q546" i="1"/>
  <c r="U546" i="1" s="1"/>
  <c r="Q547" i="1"/>
  <c r="U547" i="1" s="1"/>
  <c r="Q548" i="1"/>
  <c r="U548" i="1" s="1"/>
  <c r="Q549" i="1"/>
  <c r="U549" i="1" s="1"/>
  <c r="Q550" i="1"/>
  <c r="U550" i="1" s="1"/>
  <c r="Q551" i="1"/>
  <c r="U551" i="1" s="1"/>
  <c r="Q552" i="1"/>
  <c r="U552" i="1" s="1"/>
  <c r="Q553" i="1"/>
  <c r="U553" i="1" s="1"/>
  <c r="Q554" i="1"/>
  <c r="U554" i="1" s="1"/>
  <c r="Q555" i="1"/>
  <c r="U555" i="1" s="1"/>
  <c r="Q556" i="1"/>
  <c r="U556" i="1" s="1"/>
  <c r="Q557" i="1"/>
  <c r="U557" i="1" s="1"/>
  <c r="Q558" i="1"/>
  <c r="U558" i="1" s="1"/>
  <c r="Q559" i="1"/>
  <c r="U559" i="1" s="1"/>
  <c r="Q560" i="1"/>
  <c r="U560" i="1" s="1"/>
  <c r="Q561" i="1"/>
  <c r="U561" i="1" s="1"/>
  <c r="Q562" i="1"/>
  <c r="U562" i="1" s="1"/>
  <c r="Q563" i="1"/>
  <c r="U563" i="1" s="1"/>
  <c r="Q564" i="1"/>
  <c r="U564" i="1" s="1"/>
  <c r="Q565" i="1"/>
  <c r="U565" i="1" s="1"/>
  <c r="Q566" i="1"/>
  <c r="U566" i="1" s="1"/>
  <c r="Q567" i="1"/>
  <c r="U567" i="1" s="1"/>
  <c r="Q568" i="1"/>
  <c r="U568" i="1" s="1"/>
  <c r="Q569" i="1"/>
  <c r="U569" i="1" s="1"/>
  <c r="Q570" i="1"/>
  <c r="U570" i="1" s="1"/>
  <c r="Q571" i="1"/>
  <c r="U571" i="1" s="1"/>
  <c r="Q572" i="1"/>
  <c r="U572" i="1" s="1"/>
  <c r="Q573" i="1"/>
  <c r="U573" i="1" s="1"/>
  <c r="Q574" i="1"/>
  <c r="U574" i="1" s="1"/>
  <c r="Q575" i="1"/>
  <c r="U575" i="1" s="1"/>
  <c r="Q576" i="1"/>
  <c r="U576" i="1" s="1"/>
  <c r="Q577" i="1"/>
  <c r="U577" i="1" s="1"/>
  <c r="Q578" i="1"/>
  <c r="U578" i="1" s="1"/>
  <c r="Q579" i="1"/>
  <c r="U579" i="1" s="1"/>
  <c r="Q580" i="1"/>
  <c r="U580" i="1" s="1"/>
  <c r="Q581" i="1"/>
  <c r="U581" i="1" s="1"/>
  <c r="Q582" i="1"/>
  <c r="U582" i="1" s="1"/>
  <c r="Q583" i="1"/>
  <c r="U583" i="1" s="1"/>
  <c r="Q584" i="1"/>
  <c r="U584" i="1" s="1"/>
  <c r="Q585" i="1"/>
  <c r="U585" i="1" s="1"/>
  <c r="Q586" i="1"/>
  <c r="U586" i="1" s="1"/>
  <c r="Q587" i="1"/>
  <c r="U587" i="1" s="1"/>
  <c r="Q588" i="1"/>
  <c r="U588" i="1" s="1"/>
  <c r="Q589" i="1"/>
  <c r="U589" i="1" s="1"/>
  <c r="Q590" i="1"/>
  <c r="U590" i="1" s="1"/>
  <c r="Q591" i="1"/>
  <c r="U591" i="1" s="1"/>
  <c r="Q592" i="1"/>
  <c r="U592" i="1" s="1"/>
  <c r="Q593" i="1"/>
  <c r="U593" i="1" s="1"/>
  <c r="Q594" i="1"/>
  <c r="U594" i="1" s="1"/>
  <c r="Q595" i="1"/>
  <c r="U595" i="1" s="1"/>
  <c r="Q596" i="1"/>
  <c r="U596" i="1" s="1"/>
  <c r="Q597" i="1"/>
  <c r="U597" i="1" s="1"/>
  <c r="Q598" i="1"/>
  <c r="U598" i="1" s="1"/>
  <c r="Q599" i="1"/>
  <c r="U599" i="1" s="1"/>
  <c r="Q600" i="1"/>
  <c r="U600" i="1" s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G9" i="1"/>
  <c r="J9" i="1" s="1"/>
  <c r="L9" i="1" s="1"/>
  <c r="G10" i="1"/>
  <c r="J10" i="1" s="1"/>
  <c r="L10" i="1" s="1"/>
  <c r="G11" i="1"/>
  <c r="J11" i="1" s="1"/>
  <c r="L11" i="1" s="1"/>
  <c r="G12" i="1"/>
  <c r="J12" i="1" s="1"/>
  <c r="L12" i="1" s="1"/>
  <c r="G13" i="1"/>
  <c r="J13" i="1" s="1"/>
  <c r="L13" i="1" s="1"/>
  <c r="G14" i="1"/>
  <c r="J14" i="1" s="1"/>
  <c r="L14" i="1" s="1"/>
  <c r="G15" i="1"/>
  <c r="J15" i="1" s="1"/>
  <c r="L15" i="1" s="1"/>
  <c r="G16" i="1"/>
  <c r="J16" i="1" s="1"/>
  <c r="L16" i="1" s="1"/>
  <c r="G17" i="1"/>
  <c r="J17" i="1" s="1"/>
  <c r="L17" i="1" s="1"/>
  <c r="G18" i="1"/>
  <c r="J18" i="1" s="1"/>
  <c r="L18" i="1" s="1"/>
  <c r="G19" i="1"/>
  <c r="J19" i="1" s="1"/>
  <c r="L19" i="1" s="1"/>
  <c r="G20" i="1"/>
  <c r="J20" i="1" s="1"/>
  <c r="L20" i="1" s="1"/>
  <c r="G21" i="1"/>
  <c r="J21" i="1" s="1"/>
  <c r="L21" i="1" s="1"/>
  <c r="G22" i="1"/>
  <c r="J22" i="1" s="1"/>
  <c r="L22" i="1" s="1"/>
  <c r="G23" i="1"/>
  <c r="J23" i="1" s="1"/>
  <c r="L23" i="1" s="1"/>
  <c r="G24" i="1"/>
  <c r="J24" i="1" s="1"/>
  <c r="L24" i="1" s="1"/>
  <c r="G25" i="1"/>
  <c r="J25" i="1" s="1"/>
  <c r="L25" i="1" s="1"/>
  <c r="G26" i="1"/>
  <c r="J26" i="1" s="1"/>
  <c r="L26" i="1" s="1"/>
  <c r="G27" i="1"/>
  <c r="J27" i="1" s="1"/>
  <c r="L27" i="1" s="1"/>
  <c r="G28" i="1"/>
  <c r="J28" i="1" s="1"/>
  <c r="L28" i="1" s="1"/>
  <c r="G29" i="1"/>
  <c r="J29" i="1" s="1"/>
  <c r="L29" i="1" s="1"/>
  <c r="G30" i="1"/>
  <c r="J30" i="1" s="1"/>
  <c r="L30" i="1" s="1"/>
  <c r="G31" i="1"/>
  <c r="J31" i="1" s="1"/>
  <c r="L31" i="1" s="1"/>
  <c r="G32" i="1"/>
  <c r="J32" i="1" s="1"/>
  <c r="L32" i="1" s="1"/>
  <c r="G33" i="1"/>
  <c r="J33" i="1" s="1"/>
  <c r="L33" i="1" s="1"/>
  <c r="G34" i="1"/>
  <c r="J34" i="1" s="1"/>
  <c r="L34" i="1" s="1"/>
  <c r="G35" i="1"/>
  <c r="J35" i="1" s="1"/>
  <c r="L35" i="1" s="1"/>
  <c r="G36" i="1"/>
  <c r="J36" i="1" s="1"/>
  <c r="L36" i="1" s="1"/>
  <c r="G37" i="1"/>
  <c r="J37" i="1" s="1"/>
  <c r="L37" i="1" s="1"/>
  <c r="G38" i="1"/>
  <c r="J38" i="1" s="1"/>
  <c r="L38" i="1" s="1"/>
  <c r="G39" i="1"/>
  <c r="J39" i="1" s="1"/>
  <c r="L39" i="1" s="1"/>
  <c r="G40" i="1"/>
  <c r="J40" i="1" s="1"/>
  <c r="L40" i="1" s="1"/>
  <c r="G41" i="1"/>
  <c r="J41" i="1" s="1"/>
  <c r="L41" i="1" s="1"/>
  <c r="G42" i="1"/>
  <c r="J42" i="1" s="1"/>
  <c r="L42" i="1" s="1"/>
  <c r="G43" i="1"/>
  <c r="J43" i="1" s="1"/>
  <c r="L43" i="1" s="1"/>
  <c r="G44" i="1"/>
  <c r="J44" i="1" s="1"/>
  <c r="L44" i="1" s="1"/>
  <c r="G45" i="1"/>
  <c r="J45" i="1" s="1"/>
  <c r="L45" i="1" s="1"/>
  <c r="G46" i="1"/>
  <c r="J46" i="1" s="1"/>
  <c r="L46" i="1" s="1"/>
  <c r="G47" i="1"/>
  <c r="J47" i="1" s="1"/>
  <c r="L47" i="1" s="1"/>
  <c r="G48" i="1"/>
  <c r="J48" i="1" s="1"/>
  <c r="L48" i="1" s="1"/>
  <c r="G49" i="1"/>
  <c r="J49" i="1" s="1"/>
  <c r="L49" i="1" s="1"/>
  <c r="G50" i="1"/>
  <c r="J50" i="1" s="1"/>
  <c r="L50" i="1" s="1"/>
  <c r="G51" i="1"/>
  <c r="J51" i="1" s="1"/>
  <c r="L51" i="1" s="1"/>
  <c r="G52" i="1"/>
  <c r="J52" i="1" s="1"/>
  <c r="L52" i="1" s="1"/>
  <c r="G53" i="1"/>
  <c r="J53" i="1" s="1"/>
  <c r="L53" i="1" s="1"/>
  <c r="G54" i="1"/>
  <c r="J54" i="1" s="1"/>
  <c r="L54" i="1" s="1"/>
  <c r="G55" i="1"/>
  <c r="J55" i="1" s="1"/>
  <c r="L55" i="1" s="1"/>
  <c r="G56" i="1"/>
  <c r="J56" i="1" s="1"/>
  <c r="L56" i="1" s="1"/>
  <c r="G57" i="1"/>
  <c r="J57" i="1" s="1"/>
  <c r="L57" i="1" s="1"/>
  <c r="G58" i="1"/>
  <c r="J58" i="1" s="1"/>
  <c r="L58" i="1" s="1"/>
  <c r="G59" i="1"/>
  <c r="J59" i="1" s="1"/>
  <c r="L59" i="1" s="1"/>
  <c r="G60" i="1"/>
  <c r="J60" i="1" s="1"/>
  <c r="L60" i="1" s="1"/>
  <c r="G61" i="1"/>
  <c r="J61" i="1" s="1"/>
  <c r="L61" i="1" s="1"/>
  <c r="G62" i="1"/>
  <c r="J62" i="1" s="1"/>
  <c r="L62" i="1" s="1"/>
  <c r="G63" i="1"/>
  <c r="J63" i="1" s="1"/>
  <c r="L63" i="1" s="1"/>
  <c r="G64" i="1"/>
  <c r="J64" i="1" s="1"/>
  <c r="L64" i="1" s="1"/>
  <c r="G65" i="1"/>
  <c r="J65" i="1" s="1"/>
  <c r="L65" i="1" s="1"/>
  <c r="G66" i="1"/>
  <c r="J66" i="1" s="1"/>
  <c r="L66" i="1" s="1"/>
  <c r="G67" i="1"/>
  <c r="J67" i="1" s="1"/>
  <c r="L67" i="1" s="1"/>
  <c r="G68" i="1"/>
  <c r="J68" i="1" s="1"/>
  <c r="L68" i="1" s="1"/>
  <c r="G69" i="1"/>
  <c r="J69" i="1" s="1"/>
  <c r="L69" i="1" s="1"/>
  <c r="G70" i="1"/>
  <c r="J70" i="1" s="1"/>
  <c r="L70" i="1" s="1"/>
  <c r="G71" i="1"/>
  <c r="J71" i="1" s="1"/>
  <c r="L71" i="1" s="1"/>
  <c r="G72" i="1"/>
  <c r="J72" i="1" s="1"/>
  <c r="L72" i="1" s="1"/>
  <c r="G73" i="1"/>
  <c r="J73" i="1" s="1"/>
  <c r="L73" i="1" s="1"/>
  <c r="G74" i="1"/>
  <c r="J74" i="1" s="1"/>
  <c r="L74" i="1" s="1"/>
  <c r="G75" i="1"/>
  <c r="J75" i="1" s="1"/>
  <c r="L75" i="1" s="1"/>
  <c r="G76" i="1"/>
  <c r="J76" i="1" s="1"/>
  <c r="L76" i="1" s="1"/>
  <c r="G77" i="1"/>
  <c r="J77" i="1" s="1"/>
  <c r="L77" i="1" s="1"/>
  <c r="G78" i="1"/>
  <c r="J78" i="1" s="1"/>
  <c r="L78" i="1" s="1"/>
  <c r="G79" i="1"/>
  <c r="J79" i="1" s="1"/>
  <c r="L79" i="1" s="1"/>
  <c r="G80" i="1"/>
  <c r="J80" i="1" s="1"/>
  <c r="L80" i="1" s="1"/>
  <c r="G81" i="1"/>
  <c r="J81" i="1" s="1"/>
  <c r="L81" i="1" s="1"/>
  <c r="G82" i="1"/>
  <c r="J82" i="1" s="1"/>
  <c r="L82" i="1" s="1"/>
  <c r="G83" i="1"/>
  <c r="J83" i="1" s="1"/>
  <c r="L83" i="1" s="1"/>
  <c r="G84" i="1"/>
  <c r="J84" i="1" s="1"/>
  <c r="L84" i="1" s="1"/>
  <c r="G85" i="1"/>
  <c r="J85" i="1" s="1"/>
  <c r="L85" i="1" s="1"/>
  <c r="G86" i="1"/>
  <c r="J86" i="1" s="1"/>
  <c r="L86" i="1" s="1"/>
  <c r="G87" i="1"/>
  <c r="J87" i="1" s="1"/>
  <c r="L87" i="1" s="1"/>
  <c r="G88" i="1"/>
  <c r="J88" i="1" s="1"/>
  <c r="L88" i="1" s="1"/>
  <c r="G89" i="1"/>
  <c r="J89" i="1" s="1"/>
  <c r="L89" i="1" s="1"/>
  <c r="G90" i="1"/>
  <c r="J90" i="1" s="1"/>
  <c r="L90" i="1" s="1"/>
  <c r="G91" i="1"/>
  <c r="J91" i="1" s="1"/>
  <c r="L91" i="1" s="1"/>
  <c r="G92" i="1"/>
  <c r="J92" i="1" s="1"/>
  <c r="L92" i="1" s="1"/>
  <c r="G93" i="1"/>
  <c r="J93" i="1" s="1"/>
  <c r="L93" i="1" s="1"/>
  <c r="G94" i="1"/>
  <c r="J94" i="1" s="1"/>
  <c r="L94" i="1" s="1"/>
  <c r="G95" i="1"/>
  <c r="J95" i="1" s="1"/>
  <c r="L95" i="1" s="1"/>
  <c r="G96" i="1"/>
  <c r="J96" i="1" s="1"/>
  <c r="L96" i="1" s="1"/>
  <c r="G97" i="1"/>
  <c r="J97" i="1" s="1"/>
  <c r="L97" i="1" s="1"/>
  <c r="G98" i="1"/>
  <c r="J98" i="1" s="1"/>
  <c r="L98" i="1" s="1"/>
  <c r="G99" i="1"/>
  <c r="J99" i="1" s="1"/>
  <c r="L99" i="1" s="1"/>
  <c r="G100" i="1"/>
  <c r="J100" i="1" s="1"/>
  <c r="L100" i="1" s="1"/>
  <c r="G101" i="1"/>
  <c r="J101" i="1" s="1"/>
  <c r="L101" i="1" s="1"/>
  <c r="G102" i="1"/>
  <c r="J102" i="1" s="1"/>
  <c r="L102" i="1" s="1"/>
  <c r="G103" i="1"/>
  <c r="J103" i="1" s="1"/>
  <c r="L103" i="1" s="1"/>
  <c r="G104" i="1"/>
  <c r="J104" i="1" s="1"/>
  <c r="L104" i="1" s="1"/>
  <c r="G105" i="1"/>
  <c r="J105" i="1" s="1"/>
  <c r="L105" i="1" s="1"/>
  <c r="G106" i="1"/>
  <c r="J106" i="1" s="1"/>
  <c r="L106" i="1" s="1"/>
  <c r="G107" i="1"/>
  <c r="J107" i="1" s="1"/>
  <c r="L107" i="1" s="1"/>
  <c r="G108" i="1"/>
  <c r="J108" i="1" s="1"/>
  <c r="L108" i="1" s="1"/>
  <c r="G109" i="1"/>
  <c r="J109" i="1" s="1"/>
  <c r="L109" i="1" s="1"/>
  <c r="G110" i="1"/>
  <c r="J110" i="1" s="1"/>
  <c r="L110" i="1" s="1"/>
  <c r="G111" i="1"/>
  <c r="J111" i="1" s="1"/>
  <c r="L111" i="1" s="1"/>
  <c r="G112" i="1"/>
  <c r="J112" i="1" s="1"/>
  <c r="L112" i="1" s="1"/>
  <c r="G113" i="1"/>
  <c r="J113" i="1" s="1"/>
  <c r="L113" i="1" s="1"/>
  <c r="G114" i="1"/>
  <c r="J114" i="1" s="1"/>
  <c r="L114" i="1" s="1"/>
  <c r="G115" i="1"/>
  <c r="J115" i="1" s="1"/>
  <c r="L115" i="1" s="1"/>
  <c r="G116" i="1"/>
  <c r="J116" i="1" s="1"/>
  <c r="L116" i="1" s="1"/>
  <c r="G117" i="1"/>
  <c r="J117" i="1" s="1"/>
  <c r="L117" i="1" s="1"/>
  <c r="G118" i="1"/>
  <c r="J118" i="1" s="1"/>
  <c r="L118" i="1" s="1"/>
  <c r="G119" i="1"/>
  <c r="J119" i="1" s="1"/>
  <c r="L119" i="1" s="1"/>
  <c r="G120" i="1"/>
  <c r="J120" i="1" s="1"/>
  <c r="L120" i="1" s="1"/>
  <c r="G121" i="1"/>
  <c r="J121" i="1" s="1"/>
  <c r="L121" i="1" s="1"/>
  <c r="G122" i="1"/>
  <c r="J122" i="1" s="1"/>
  <c r="L122" i="1" s="1"/>
  <c r="G123" i="1"/>
  <c r="J123" i="1" s="1"/>
  <c r="L123" i="1" s="1"/>
  <c r="G124" i="1"/>
  <c r="J124" i="1" s="1"/>
  <c r="L124" i="1" s="1"/>
  <c r="G125" i="1"/>
  <c r="J125" i="1" s="1"/>
  <c r="L125" i="1" s="1"/>
  <c r="G126" i="1"/>
  <c r="J126" i="1" s="1"/>
  <c r="L126" i="1" s="1"/>
  <c r="G127" i="1"/>
  <c r="J127" i="1" s="1"/>
  <c r="L127" i="1" s="1"/>
  <c r="G128" i="1"/>
  <c r="J128" i="1" s="1"/>
  <c r="L128" i="1" s="1"/>
  <c r="G129" i="1"/>
  <c r="J129" i="1" s="1"/>
  <c r="L129" i="1" s="1"/>
  <c r="G130" i="1"/>
  <c r="J130" i="1" s="1"/>
  <c r="L130" i="1" s="1"/>
  <c r="G131" i="1"/>
  <c r="J131" i="1" s="1"/>
  <c r="L131" i="1" s="1"/>
  <c r="G132" i="1"/>
  <c r="J132" i="1" s="1"/>
  <c r="L132" i="1" s="1"/>
  <c r="G133" i="1"/>
  <c r="J133" i="1" s="1"/>
  <c r="L133" i="1" s="1"/>
  <c r="G134" i="1"/>
  <c r="J134" i="1" s="1"/>
  <c r="L134" i="1" s="1"/>
  <c r="G135" i="1"/>
  <c r="J135" i="1" s="1"/>
  <c r="L135" i="1" s="1"/>
  <c r="G136" i="1"/>
  <c r="J136" i="1" s="1"/>
  <c r="L136" i="1" s="1"/>
  <c r="G137" i="1"/>
  <c r="J137" i="1" s="1"/>
  <c r="L137" i="1" s="1"/>
  <c r="G138" i="1"/>
  <c r="J138" i="1" s="1"/>
  <c r="L138" i="1" s="1"/>
  <c r="G139" i="1"/>
  <c r="J139" i="1" s="1"/>
  <c r="L139" i="1" s="1"/>
  <c r="G140" i="1"/>
  <c r="J140" i="1" s="1"/>
  <c r="L140" i="1" s="1"/>
  <c r="G141" i="1"/>
  <c r="J141" i="1" s="1"/>
  <c r="L141" i="1" s="1"/>
  <c r="G142" i="1"/>
  <c r="J142" i="1" s="1"/>
  <c r="L142" i="1" s="1"/>
  <c r="G143" i="1"/>
  <c r="J143" i="1" s="1"/>
  <c r="L143" i="1" s="1"/>
  <c r="G144" i="1"/>
  <c r="J144" i="1" s="1"/>
  <c r="L144" i="1" s="1"/>
  <c r="G145" i="1"/>
  <c r="J145" i="1" s="1"/>
  <c r="L145" i="1" s="1"/>
  <c r="G146" i="1"/>
  <c r="J146" i="1" s="1"/>
  <c r="L146" i="1" s="1"/>
  <c r="G147" i="1"/>
  <c r="J147" i="1" s="1"/>
  <c r="L147" i="1" s="1"/>
  <c r="G148" i="1"/>
  <c r="J148" i="1" s="1"/>
  <c r="L148" i="1" s="1"/>
  <c r="G149" i="1"/>
  <c r="J149" i="1" s="1"/>
  <c r="L149" i="1" s="1"/>
  <c r="G150" i="1"/>
  <c r="J150" i="1" s="1"/>
  <c r="L150" i="1" s="1"/>
  <c r="G151" i="1"/>
  <c r="J151" i="1" s="1"/>
  <c r="L151" i="1" s="1"/>
  <c r="G152" i="1"/>
  <c r="J152" i="1" s="1"/>
  <c r="L152" i="1" s="1"/>
  <c r="G153" i="1"/>
  <c r="J153" i="1" s="1"/>
  <c r="L153" i="1" s="1"/>
  <c r="G154" i="1"/>
  <c r="J154" i="1" s="1"/>
  <c r="L154" i="1" s="1"/>
  <c r="G155" i="1"/>
  <c r="J155" i="1" s="1"/>
  <c r="L155" i="1" s="1"/>
  <c r="G156" i="1"/>
  <c r="J156" i="1" s="1"/>
  <c r="L156" i="1" s="1"/>
  <c r="G157" i="1"/>
  <c r="J157" i="1" s="1"/>
  <c r="L157" i="1" s="1"/>
  <c r="G158" i="1"/>
  <c r="J158" i="1" s="1"/>
  <c r="L158" i="1" s="1"/>
  <c r="G159" i="1"/>
  <c r="J159" i="1" s="1"/>
  <c r="L159" i="1" s="1"/>
  <c r="G160" i="1"/>
  <c r="J160" i="1" s="1"/>
  <c r="L160" i="1" s="1"/>
  <c r="G161" i="1"/>
  <c r="J161" i="1" s="1"/>
  <c r="L161" i="1" s="1"/>
  <c r="G162" i="1"/>
  <c r="J162" i="1" s="1"/>
  <c r="L162" i="1" s="1"/>
  <c r="G163" i="1"/>
  <c r="J163" i="1" s="1"/>
  <c r="L163" i="1" s="1"/>
  <c r="G164" i="1"/>
  <c r="J164" i="1" s="1"/>
  <c r="L164" i="1" s="1"/>
  <c r="G165" i="1"/>
  <c r="J165" i="1" s="1"/>
  <c r="L165" i="1" s="1"/>
  <c r="G166" i="1"/>
  <c r="J166" i="1" s="1"/>
  <c r="L166" i="1" s="1"/>
  <c r="G167" i="1"/>
  <c r="J167" i="1" s="1"/>
  <c r="L167" i="1" s="1"/>
  <c r="G168" i="1"/>
  <c r="J168" i="1" s="1"/>
  <c r="L168" i="1" s="1"/>
  <c r="G169" i="1"/>
  <c r="J169" i="1" s="1"/>
  <c r="L169" i="1" s="1"/>
  <c r="G170" i="1"/>
  <c r="J170" i="1" s="1"/>
  <c r="L170" i="1" s="1"/>
  <c r="G171" i="1"/>
  <c r="J171" i="1" s="1"/>
  <c r="L171" i="1" s="1"/>
  <c r="G172" i="1"/>
  <c r="J172" i="1" s="1"/>
  <c r="L172" i="1" s="1"/>
  <c r="G173" i="1"/>
  <c r="J173" i="1" s="1"/>
  <c r="L173" i="1" s="1"/>
  <c r="G174" i="1"/>
  <c r="J174" i="1" s="1"/>
  <c r="L174" i="1" s="1"/>
  <c r="G175" i="1"/>
  <c r="J175" i="1" s="1"/>
  <c r="L175" i="1" s="1"/>
  <c r="G176" i="1"/>
  <c r="J176" i="1" s="1"/>
  <c r="L176" i="1" s="1"/>
  <c r="G177" i="1"/>
  <c r="J177" i="1" s="1"/>
  <c r="L177" i="1" s="1"/>
  <c r="G178" i="1"/>
  <c r="J178" i="1" s="1"/>
  <c r="L178" i="1" s="1"/>
  <c r="G179" i="1"/>
  <c r="J179" i="1" s="1"/>
  <c r="L179" i="1" s="1"/>
  <c r="G180" i="1"/>
  <c r="J180" i="1" s="1"/>
  <c r="L180" i="1" s="1"/>
  <c r="G181" i="1"/>
  <c r="J181" i="1" s="1"/>
  <c r="L181" i="1" s="1"/>
  <c r="G182" i="1"/>
  <c r="J182" i="1" s="1"/>
  <c r="L182" i="1" s="1"/>
  <c r="G183" i="1"/>
  <c r="J183" i="1" s="1"/>
  <c r="L183" i="1" s="1"/>
  <c r="G184" i="1"/>
  <c r="J184" i="1" s="1"/>
  <c r="L184" i="1" s="1"/>
  <c r="G185" i="1"/>
  <c r="J185" i="1" s="1"/>
  <c r="L185" i="1" s="1"/>
  <c r="G186" i="1"/>
  <c r="J186" i="1" s="1"/>
  <c r="L186" i="1" s="1"/>
  <c r="G187" i="1"/>
  <c r="J187" i="1" s="1"/>
  <c r="L187" i="1" s="1"/>
  <c r="G188" i="1"/>
  <c r="J188" i="1" s="1"/>
  <c r="L188" i="1" s="1"/>
  <c r="G189" i="1"/>
  <c r="J189" i="1" s="1"/>
  <c r="L189" i="1" s="1"/>
  <c r="G190" i="1"/>
  <c r="J190" i="1" s="1"/>
  <c r="L190" i="1" s="1"/>
  <c r="G191" i="1"/>
  <c r="J191" i="1" s="1"/>
  <c r="L191" i="1" s="1"/>
  <c r="G192" i="1"/>
  <c r="J192" i="1" s="1"/>
  <c r="L192" i="1" s="1"/>
  <c r="G193" i="1"/>
  <c r="J193" i="1" s="1"/>
  <c r="L193" i="1" s="1"/>
  <c r="G194" i="1"/>
  <c r="J194" i="1" s="1"/>
  <c r="L194" i="1" s="1"/>
  <c r="G195" i="1"/>
  <c r="J195" i="1" s="1"/>
  <c r="L195" i="1" s="1"/>
  <c r="G196" i="1"/>
  <c r="J196" i="1" s="1"/>
  <c r="L196" i="1" s="1"/>
  <c r="G197" i="1"/>
  <c r="J197" i="1" s="1"/>
  <c r="L197" i="1" s="1"/>
  <c r="G198" i="1"/>
  <c r="J198" i="1" s="1"/>
  <c r="L198" i="1" s="1"/>
  <c r="G199" i="1"/>
  <c r="J199" i="1" s="1"/>
  <c r="L199" i="1" s="1"/>
  <c r="G200" i="1"/>
  <c r="J200" i="1" s="1"/>
  <c r="L200" i="1" s="1"/>
  <c r="G201" i="1"/>
  <c r="J201" i="1" s="1"/>
  <c r="L201" i="1" s="1"/>
  <c r="G202" i="1"/>
  <c r="J202" i="1" s="1"/>
  <c r="L202" i="1" s="1"/>
  <c r="G203" i="1"/>
  <c r="J203" i="1" s="1"/>
  <c r="L203" i="1" s="1"/>
  <c r="G204" i="1"/>
  <c r="J204" i="1" s="1"/>
  <c r="L204" i="1" s="1"/>
  <c r="G205" i="1"/>
  <c r="J205" i="1" s="1"/>
  <c r="L205" i="1" s="1"/>
  <c r="G206" i="1"/>
  <c r="J206" i="1" s="1"/>
  <c r="L206" i="1" s="1"/>
  <c r="G207" i="1"/>
  <c r="J207" i="1" s="1"/>
  <c r="L207" i="1" s="1"/>
  <c r="G208" i="1"/>
  <c r="J208" i="1" s="1"/>
  <c r="L208" i="1" s="1"/>
  <c r="G209" i="1"/>
  <c r="J209" i="1" s="1"/>
  <c r="L209" i="1" s="1"/>
  <c r="G210" i="1"/>
  <c r="J210" i="1" s="1"/>
  <c r="L210" i="1" s="1"/>
  <c r="G211" i="1"/>
  <c r="J211" i="1" s="1"/>
  <c r="L211" i="1" s="1"/>
  <c r="G212" i="1"/>
  <c r="J212" i="1" s="1"/>
  <c r="L212" i="1" s="1"/>
  <c r="G213" i="1"/>
  <c r="J213" i="1" s="1"/>
  <c r="L213" i="1" s="1"/>
  <c r="G214" i="1"/>
  <c r="J214" i="1" s="1"/>
  <c r="L214" i="1" s="1"/>
  <c r="G215" i="1"/>
  <c r="J215" i="1" s="1"/>
  <c r="L215" i="1" s="1"/>
  <c r="G216" i="1"/>
  <c r="J216" i="1" s="1"/>
  <c r="L216" i="1" s="1"/>
  <c r="G217" i="1"/>
  <c r="J217" i="1" s="1"/>
  <c r="L217" i="1" s="1"/>
  <c r="G218" i="1"/>
  <c r="J218" i="1" s="1"/>
  <c r="L218" i="1" s="1"/>
  <c r="G219" i="1"/>
  <c r="J219" i="1" s="1"/>
  <c r="L219" i="1" s="1"/>
  <c r="G220" i="1"/>
  <c r="J220" i="1" s="1"/>
  <c r="L220" i="1" s="1"/>
  <c r="G221" i="1"/>
  <c r="J221" i="1" s="1"/>
  <c r="L221" i="1" s="1"/>
  <c r="G222" i="1"/>
  <c r="J222" i="1" s="1"/>
  <c r="L222" i="1" s="1"/>
  <c r="G223" i="1"/>
  <c r="J223" i="1" s="1"/>
  <c r="L223" i="1" s="1"/>
  <c r="G224" i="1"/>
  <c r="J224" i="1" s="1"/>
  <c r="L224" i="1" s="1"/>
  <c r="G225" i="1"/>
  <c r="J225" i="1" s="1"/>
  <c r="L225" i="1" s="1"/>
  <c r="G226" i="1"/>
  <c r="J226" i="1" s="1"/>
  <c r="L226" i="1" s="1"/>
  <c r="G227" i="1"/>
  <c r="J227" i="1" s="1"/>
  <c r="L227" i="1" s="1"/>
  <c r="G228" i="1"/>
  <c r="J228" i="1" s="1"/>
  <c r="L228" i="1" s="1"/>
  <c r="G229" i="1"/>
  <c r="J229" i="1" s="1"/>
  <c r="L229" i="1" s="1"/>
  <c r="G230" i="1"/>
  <c r="J230" i="1" s="1"/>
  <c r="L230" i="1" s="1"/>
  <c r="G231" i="1"/>
  <c r="J231" i="1" s="1"/>
  <c r="L231" i="1" s="1"/>
  <c r="G232" i="1"/>
  <c r="J232" i="1" s="1"/>
  <c r="L232" i="1" s="1"/>
  <c r="G233" i="1"/>
  <c r="J233" i="1" s="1"/>
  <c r="L233" i="1" s="1"/>
  <c r="G234" i="1"/>
  <c r="J234" i="1" s="1"/>
  <c r="L234" i="1" s="1"/>
  <c r="G235" i="1"/>
  <c r="J235" i="1" s="1"/>
  <c r="L235" i="1" s="1"/>
  <c r="G236" i="1"/>
  <c r="J236" i="1" s="1"/>
  <c r="L236" i="1" s="1"/>
  <c r="G237" i="1"/>
  <c r="J237" i="1" s="1"/>
  <c r="L237" i="1" s="1"/>
  <c r="G238" i="1"/>
  <c r="J238" i="1" s="1"/>
  <c r="L238" i="1" s="1"/>
  <c r="G239" i="1"/>
  <c r="J239" i="1" s="1"/>
  <c r="L239" i="1" s="1"/>
  <c r="G240" i="1"/>
  <c r="J240" i="1" s="1"/>
  <c r="L240" i="1" s="1"/>
  <c r="G241" i="1"/>
  <c r="J241" i="1" s="1"/>
  <c r="L241" i="1" s="1"/>
  <c r="G242" i="1"/>
  <c r="J242" i="1" s="1"/>
  <c r="L242" i="1" s="1"/>
  <c r="G243" i="1"/>
  <c r="J243" i="1" s="1"/>
  <c r="L243" i="1" s="1"/>
  <c r="G244" i="1"/>
  <c r="J244" i="1" s="1"/>
  <c r="L244" i="1" s="1"/>
  <c r="G245" i="1"/>
  <c r="J245" i="1" s="1"/>
  <c r="L245" i="1" s="1"/>
  <c r="G246" i="1"/>
  <c r="J246" i="1" s="1"/>
  <c r="L246" i="1" s="1"/>
  <c r="G247" i="1"/>
  <c r="J247" i="1" s="1"/>
  <c r="L247" i="1" s="1"/>
  <c r="G248" i="1"/>
  <c r="J248" i="1" s="1"/>
  <c r="L248" i="1" s="1"/>
  <c r="G249" i="1"/>
  <c r="J249" i="1" s="1"/>
  <c r="L249" i="1" s="1"/>
  <c r="G250" i="1"/>
  <c r="J250" i="1" s="1"/>
  <c r="L250" i="1" s="1"/>
  <c r="G251" i="1"/>
  <c r="J251" i="1" s="1"/>
  <c r="L251" i="1" s="1"/>
  <c r="G252" i="1"/>
  <c r="J252" i="1" s="1"/>
  <c r="L252" i="1" s="1"/>
  <c r="G253" i="1"/>
  <c r="J253" i="1" s="1"/>
  <c r="L253" i="1" s="1"/>
  <c r="G254" i="1"/>
  <c r="J254" i="1" s="1"/>
  <c r="L254" i="1" s="1"/>
  <c r="G255" i="1"/>
  <c r="J255" i="1" s="1"/>
  <c r="L255" i="1" s="1"/>
  <c r="G256" i="1"/>
  <c r="J256" i="1" s="1"/>
  <c r="L256" i="1" s="1"/>
  <c r="G257" i="1"/>
  <c r="J257" i="1" s="1"/>
  <c r="L257" i="1" s="1"/>
  <c r="G258" i="1"/>
  <c r="J258" i="1" s="1"/>
  <c r="L258" i="1" s="1"/>
  <c r="G259" i="1"/>
  <c r="J259" i="1" s="1"/>
  <c r="L259" i="1" s="1"/>
  <c r="G260" i="1"/>
  <c r="J260" i="1" s="1"/>
  <c r="L260" i="1" s="1"/>
  <c r="G261" i="1"/>
  <c r="J261" i="1" s="1"/>
  <c r="L261" i="1" s="1"/>
  <c r="G262" i="1"/>
  <c r="J262" i="1" s="1"/>
  <c r="L262" i="1" s="1"/>
  <c r="G263" i="1"/>
  <c r="J263" i="1" s="1"/>
  <c r="L263" i="1" s="1"/>
  <c r="G264" i="1"/>
  <c r="J264" i="1" s="1"/>
  <c r="L264" i="1" s="1"/>
  <c r="G265" i="1"/>
  <c r="J265" i="1" s="1"/>
  <c r="L265" i="1" s="1"/>
  <c r="G266" i="1"/>
  <c r="J266" i="1" s="1"/>
  <c r="L266" i="1" s="1"/>
  <c r="G267" i="1"/>
  <c r="J267" i="1" s="1"/>
  <c r="L267" i="1" s="1"/>
  <c r="G268" i="1"/>
  <c r="J268" i="1" s="1"/>
  <c r="L268" i="1" s="1"/>
  <c r="G269" i="1"/>
  <c r="J269" i="1" s="1"/>
  <c r="L269" i="1" s="1"/>
  <c r="G270" i="1"/>
  <c r="J270" i="1" s="1"/>
  <c r="L270" i="1" s="1"/>
  <c r="G271" i="1"/>
  <c r="J271" i="1" s="1"/>
  <c r="L271" i="1" s="1"/>
  <c r="G272" i="1"/>
  <c r="J272" i="1" s="1"/>
  <c r="L272" i="1" s="1"/>
  <c r="G273" i="1"/>
  <c r="J273" i="1" s="1"/>
  <c r="L273" i="1" s="1"/>
  <c r="G274" i="1"/>
  <c r="J274" i="1" s="1"/>
  <c r="L274" i="1" s="1"/>
  <c r="G275" i="1"/>
  <c r="J275" i="1" s="1"/>
  <c r="L275" i="1" s="1"/>
  <c r="G276" i="1"/>
  <c r="J276" i="1" s="1"/>
  <c r="L276" i="1" s="1"/>
  <c r="G277" i="1"/>
  <c r="J277" i="1" s="1"/>
  <c r="L277" i="1" s="1"/>
  <c r="G278" i="1"/>
  <c r="J278" i="1" s="1"/>
  <c r="L278" i="1" s="1"/>
  <c r="G279" i="1"/>
  <c r="J279" i="1" s="1"/>
  <c r="L279" i="1" s="1"/>
  <c r="G280" i="1"/>
  <c r="J280" i="1" s="1"/>
  <c r="L280" i="1" s="1"/>
  <c r="G281" i="1"/>
  <c r="J281" i="1" s="1"/>
  <c r="L281" i="1" s="1"/>
  <c r="G282" i="1"/>
  <c r="J282" i="1" s="1"/>
  <c r="L282" i="1" s="1"/>
  <c r="G283" i="1"/>
  <c r="J283" i="1" s="1"/>
  <c r="L283" i="1" s="1"/>
  <c r="G284" i="1"/>
  <c r="J284" i="1" s="1"/>
  <c r="L284" i="1" s="1"/>
  <c r="G285" i="1"/>
  <c r="J285" i="1" s="1"/>
  <c r="L285" i="1" s="1"/>
  <c r="G286" i="1"/>
  <c r="J286" i="1" s="1"/>
  <c r="L286" i="1" s="1"/>
  <c r="G287" i="1"/>
  <c r="J287" i="1" s="1"/>
  <c r="L287" i="1" s="1"/>
  <c r="G288" i="1"/>
  <c r="J288" i="1" s="1"/>
  <c r="L288" i="1" s="1"/>
  <c r="G289" i="1"/>
  <c r="J289" i="1" s="1"/>
  <c r="L289" i="1" s="1"/>
  <c r="G290" i="1"/>
  <c r="J290" i="1" s="1"/>
  <c r="L290" i="1" s="1"/>
  <c r="G291" i="1"/>
  <c r="J291" i="1" s="1"/>
  <c r="L291" i="1" s="1"/>
  <c r="G292" i="1"/>
  <c r="J292" i="1" s="1"/>
  <c r="L292" i="1" s="1"/>
  <c r="G293" i="1"/>
  <c r="J293" i="1" s="1"/>
  <c r="L293" i="1" s="1"/>
  <c r="G294" i="1"/>
  <c r="J294" i="1" s="1"/>
  <c r="L294" i="1" s="1"/>
  <c r="G295" i="1"/>
  <c r="J295" i="1" s="1"/>
  <c r="L295" i="1" s="1"/>
  <c r="G296" i="1"/>
  <c r="J296" i="1" s="1"/>
  <c r="L296" i="1" s="1"/>
  <c r="G297" i="1"/>
  <c r="J297" i="1" s="1"/>
  <c r="L297" i="1" s="1"/>
  <c r="G298" i="1"/>
  <c r="J298" i="1" s="1"/>
  <c r="L298" i="1" s="1"/>
  <c r="G299" i="1"/>
  <c r="J299" i="1" s="1"/>
  <c r="L299" i="1" s="1"/>
  <c r="G300" i="1"/>
  <c r="J300" i="1" s="1"/>
  <c r="L300" i="1" s="1"/>
  <c r="G301" i="1"/>
  <c r="J301" i="1" s="1"/>
  <c r="L301" i="1" s="1"/>
  <c r="G302" i="1"/>
  <c r="J302" i="1" s="1"/>
  <c r="L302" i="1" s="1"/>
  <c r="G303" i="1"/>
  <c r="J303" i="1" s="1"/>
  <c r="L303" i="1" s="1"/>
  <c r="G304" i="1"/>
  <c r="J304" i="1" s="1"/>
  <c r="L304" i="1" s="1"/>
  <c r="G305" i="1"/>
  <c r="J305" i="1" s="1"/>
  <c r="L305" i="1" s="1"/>
  <c r="G306" i="1"/>
  <c r="J306" i="1" s="1"/>
  <c r="L306" i="1" s="1"/>
  <c r="G307" i="1"/>
  <c r="J307" i="1" s="1"/>
  <c r="L307" i="1" s="1"/>
  <c r="G308" i="1"/>
  <c r="J308" i="1" s="1"/>
  <c r="L308" i="1" s="1"/>
  <c r="G309" i="1"/>
  <c r="J309" i="1" s="1"/>
  <c r="L309" i="1" s="1"/>
  <c r="G310" i="1"/>
  <c r="J310" i="1" s="1"/>
  <c r="L310" i="1" s="1"/>
  <c r="G311" i="1"/>
  <c r="J311" i="1" s="1"/>
  <c r="L311" i="1" s="1"/>
  <c r="G312" i="1"/>
  <c r="J312" i="1" s="1"/>
  <c r="L312" i="1" s="1"/>
  <c r="G313" i="1"/>
  <c r="J313" i="1" s="1"/>
  <c r="L313" i="1" s="1"/>
  <c r="G314" i="1"/>
  <c r="J314" i="1" s="1"/>
  <c r="L314" i="1" s="1"/>
  <c r="G315" i="1"/>
  <c r="J315" i="1" s="1"/>
  <c r="L315" i="1" s="1"/>
  <c r="G316" i="1"/>
  <c r="J316" i="1" s="1"/>
  <c r="L316" i="1" s="1"/>
  <c r="G317" i="1"/>
  <c r="J317" i="1" s="1"/>
  <c r="L317" i="1" s="1"/>
  <c r="G318" i="1"/>
  <c r="J318" i="1" s="1"/>
  <c r="L318" i="1" s="1"/>
  <c r="G319" i="1"/>
  <c r="J319" i="1" s="1"/>
  <c r="L319" i="1" s="1"/>
  <c r="G320" i="1"/>
  <c r="J320" i="1" s="1"/>
  <c r="L320" i="1" s="1"/>
  <c r="G321" i="1"/>
  <c r="J321" i="1" s="1"/>
  <c r="L321" i="1" s="1"/>
  <c r="G322" i="1"/>
  <c r="J322" i="1" s="1"/>
  <c r="L322" i="1" s="1"/>
  <c r="G323" i="1"/>
  <c r="J323" i="1" s="1"/>
  <c r="L323" i="1" s="1"/>
  <c r="G324" i="1"/>
  <c r="J324" i="1" s="1"/>
  <c r="L324" i="1" s="1"/>
  <c r="G325" i="1"/>
  <c r="J325" i="1" s="1"/>
  <c r="L325" i="1" s="1"/>
  <c r="G326" i="1"/>
  <c r="J326" i="1" s="1"/>
  <c r="L326" i="1" s="1"/>
  <c r="G327" i="1"/>
  <c r="J327" i="1" s="1"/>
  <c r="L327" i="1" s="1"/>
  <c r="G328" i="1"/>
  <c r="J328" i="1" s="1"/>
  <c r="L328" i="1" s="1"/>
  <c r="G329" i="1"/>
  <c r="J329" i="1" s="1"/>
  <c r="L329" i="1" s="1"/>
  <c r="G330" i="1"/>
  <c r="J330" i="1" s="1"/>
  <c r="L330" i="1" s="1"/>
  <c r="G331" i="1"/>
  <c r="J331" i="1" s="1"/>
  <c r="L331" i="1" s="1"/>
  <c r="G332" i="1"/>
  <c r="J332" i="1" s="1"/>
  <c r="L332" i="1" s="1"/>
  <c r="G333" i="1"/>
  <c r="J333" i="1" s="1"/>
  <c r="L333" i="1" s="1"/>
  <c r="G334" i="1"/>
  <c r="J334" i="1" s="1"/>
  <c r="L334" i="1" s="1"/>
  <c r="G335" i="1"/>
  <c r="J335" i="1" s="1"/>
  <c r="L335" i="1" s="1"/>
  <c r="G336" i="1"/>
  <c r="J336" i="1" s="1"/>
  <c r="L336" i="1" s="1"/>
  <c r="G337" i="1"/>
  <c r="J337" i="1" s="1"/>
  <c r="L337" i="1" s="1"/>
  <c r="G338" i="1"/>
  <c r="J338" i="1" s="1"/>
  <c r="L338" i="1" s="1"/>
  <c r="G339" i="1"/>
  <c r="J339" i="1" s="1"/>
  <c r="L339" i="1" s="1"/>
  <c r="G340" i="1"/>
  <c r="J340" i="1" s="1"/>
  <c r="L340" i="1" s="1"/>
  <c r="G341" i="1"/>
  <c r="J341" i="1" s="1"/>
  <c r="L341" i="1" s="1"/>
  <c r="G342" i="1"/>
  <c r="J342" i="1" s="1"/>
  <c r="L342" i="1" s="1"/>
  <c r="G343" i="1"/>
  <c r="J343" i="1" s="1"/>
  <c r="L343" i="1" s="1"/>
  <c r="G344" i="1"/>
  <c r="J344" i="1" s="1"/>
  <c r="L344" i="1" s="1"/>
  <c r="G345" i="1"/>
  <c r="J345" i="1" s="1"/>
  <c r="L345" i="1" s="1"/>
  <c r="G346" i="1"/>
  <c r="J346" i="1" s="1"/>
  <c r="L346" i="1" s="1"/>
  <c r="G347" i="1"/>
  <c r="J347" i="1" s="1"/>
  <c r="L347" i="1" s="1"/>
  <c r="G348" i="1"/>
  <c r="J348" i="1" s="1"/>
  <c r="L348" i="1" s="1"/>
  <c r="G349" i="1"/>
  <c r="J349" i="1" s="1"/>
  <c r="L349" i="1" s="1"/>
  <c r="G350" i="1"/>
  <c r="J350" i="1" s="1"/>
  <c r="L350" i="1" s="1"/>
  <c r="G351" i="1"/>
  <c r="J351" i="1" s="1"/>
  <c r="L351" i="1" s="1"/>
  <c r="G352" i="1"/>
  <c r="J352" i="1" s="1"/>
  <c r="L352" i="1" s="1"/>
  <c r="G353" i="1"/>
  <c r="J353" i="1" s="1"/>
  <c r="L353" i="1" s="1"/>
  <c r="G354" i="1"/>
  <c r="J354" i="1" s="1"/>
  <c r="L354" i="1" s="1"/>
  <c r="G355" i="1"/>
  <c r="J355" i="1" s="1"/>
  <c r="L355" i="1" s="1"/>
  <c r="G356" i="1"/>
  <c r="J356" i="1" s="1"/>
  <c r="L356" i="1" s="1"/>
  <c r="G357" i="1"/>
  <c r="J357" i="1" s="1"/>
  <c r="L357" i="1" s="1"/>
  <c r="G358" i="1"/>
  <c r="J358" i="1" s="1"/>
  <c r="L358" i="1" s="1"/>
  <c r="G359" i="1"/>
  <c r="J359" i="1" s="1"/>
  <c r="L359" i="1" s="1"/>
  <c r="G360" i="1"/>
  <c r="J360" i="1" s="1"/>
  <c r="L360" i="1" s="1"/>
  <c r="G361" i="1"/>
  <c r="J361" i="1" s="1"/>
  <c r="L361" i="1" s="1"/>
  <c r="G362" i="1"/>
  <c r="J362" i="1" s="1"/>
  <c r="L362" i="1" s="1"/>
  <c r="G363" i="1"/>
  <c r="J363" i="1" s="1"/>
  <c r="L363" i="1" s="1"/>
  <c r="G364" i="1"/>
  <c r="J364" i="1" s="1"/>
  <c r="L364" i="1" s="1"/>
  <c r="G365" i="1"/>
  <c r="J365" i="1" s="1"/>
  <c r="L365" i="1" s="1"/>
  <c r="G366" i="1"/>
  <c r="J366" i="1" s="1"/>
  <c r="L366" i="1" s="1"/>
  <c r="G367" i="1"/>
  <c r="J367" i="1" s="1"/>
  <c r="L367" i="1" s="1"/>
  <c r="G368" i="1"/>
  <c r="J368" i="1" s="1"/>
  <c r="L368" i="1" s="1"/>
  <c r="G369" i="1"/>
  <c r="J369" i="1" s="1"/>
  <c r="L369" i="1" s="1"/>
  <c r="G370" i="1"/>
  <c r="J370" i="1" s="1"/>
  <c r="L370" i="1" s="1"/>
  <c r="G371" i="1"/>
  <c r="J371" i="1" s="1"/>
  <c r="L371" i="1" s="1"/>
  <c r="G372" i="1"/>
  <c r="J372" i="1" s="1"/>
  <c r="L372" i="1" s="1"/>
  <c r="G373" i="1"/>
  <c r="J373" i="1" s="1"/>
  <c r="L373" i="1" s="1"/>
  <c r="G374" i="1"/>
  <c r="J374" i="1" s="1"/>
  <c r="L374" i="1" s="1"/>
  <c r="G375" i="1"/>
  <c r="J375" i="1" s="1"/>
  <c r="L375" i="1" s="1"/>
  <c r="G376" i="1"/>
  <c r="J376" i="1" s="1"/>
  <c r="L376" i="1" s="1"/>
  <c r="G377" i="1"/>
  <c r="J377" i="1" s="1"/>
  <c r="L377" i="1" s="1"/>
  <c r="G378" i="1"/>
  <c r="J378" i="1" s="1"/>
  <c r="L378" i="1" s="1"/>
  <c r="G379" i="1"/>
  <c r="J379" i="1" s="1"/>
  <c r="L379" i="1" s="1"/>
  <c r="G380" i="1"/>
  <c r="J380" i="1" s="1"/>
  <c r="L380" i="1" s="1"/>
  <c r="G381" i="1"/>
  <c r="J381" i="1" s="1"/>
  <c r="L381" i="1" s="1"/>
  <c r="G382" i="1"/>
  <c r="J382" i="1" s="1"/>
  <c r="L382" i="1" s="1"/>
  <c r="G383" i="1"/>
  <c r="J383" i="1" s="1"/>
  <c r="L383" i="1" s="1"/>
  <c r="G384" i="1"/>
  <c r="J384" i="1" s="1"/>
  <c r="L384" i="1" s="1"/>
  <c r="G385" i="1"/>
  <c r="J385" i="1" s="1"/>
  <c r="L385" i="1" s="1"/>
  <c r="G386" i="1"/>
  <c r="J386" i="1" s="1"/>
  <c r="L386" i="1" s="1"/>
  <c r="G387" i="1"/>
  <c r="J387" i="1" s="1"/>
  <c r="L387" i="1" s="1"/>
  <c r="G388" i="1"/>
  <c r="J388" i="1" s="1"/>
  <c r="L388" i="1" s="1"/>
  <c r="G389" i="1"/>
  <c r="J389" i="1" s="1"/>
  <c r="L389" i="1" s="1"/>
  <c r="G390" i="1"/>
  <c r="J390" i="1" s="1"/>
  <c r="L390" i="1" s="1"/>
  <c r="G391" i="1"/>
  <c r="J391" i="1" s="1"/>
  <c r="L391" i="1" s="1"/>
  <c r="G392" i="1"/>
  <c r="J392" i="1" s="1"/>
  <c r="L392" i="1" s="1"/>
  <c r="G393" i="1"/>
  <c r="J393" i="1" s="1"/>
  <c r="L393" i="1" s="1"/>
  <c r="G394" i="1"/>
  <c r="J394" i="1" s="1"/>
  <c r="L394" i="1" s="1"/>
  <c r="G395" i="1"/>
  <c r="J395" i="1" s="1"/>
  <c r="L395" i="1" s="1"/>
  <c r="G396" i="1"/>
  <c r="J396" i="1" s="1"/>
  <c r="L396" i="1" s="1"/>
  <c r="G397" i="1"/>
  <c r="J397" i="1" s="1"/>
  <c r="L397" i="1" s="1"/>
  <c r="G398" i="1"/>
  <c r="J398" i="1" s="1"/>
  <c r="L398" i="1" s="1"/>
  <c r="G399" i="1"/>
  <c r="J399" i="1" s="1"/>
  <c r="L399" i="1" s="1"/>
  <c r="G400" i="1"/>
  <c r="J400" i="1" s="1"/>
  <c r="L400" i="1" s="1"/>
  <c r="G401" i="1"/>
  <c r="J401" i="1" s="1"/>
  <c r="L401" i="1" s="1"/>
  <c r="G402" i="1"/>
  <c r="J402" i="1" s="1"/>
  <c r="L402" i="1" s="1"/>
  <c r="G403" i="1"/>
  <c r="J403" i="1" s="1"/>
  <c r="L403" i="1" s="1"/>
  <c r="G404" i="1"/>
  <c r="J404" i="1" s="1"/>
  <c r="L404" i="1" s="1"/>
  <c r="G405" i="1"/>
  <c r="J405" i="1" s="1"/>
  <c r="L405" i="1" s="1"/>
  <c r="G406" i="1"/>
  <c r="J406" i="1" s="1"/>
  <c r="L406" i="1" s="1"/>
  <c r="G407" i="1"/>
  <c r="J407" i="1" s="1"/>
  <c r="L407" i="1" s="1"/>
  <c r="G408" i="1"/>
  <c r="J408" i="1" s="1"/>
  <c r="L408" i="1" s="1"/>
  <c r="G409" i="1"/>
  <c r="J409" i="1" s="1"/>
  <c r="L409" i="1" s="1"/>
  <c r="G410" i="1"/>
  <c r="J410" i="1" s="1"/>
  <c r="L410" i="1" s="1"/>
  <c r="G411" i="1"/>
  <c r="J411" i="1" s="1"/>
  <c r="L411" i="1" s="1"/>
  <c r="G412" i="1"/>
  <c r="J412" i="1" s="1"/>
  <c r="L412" i="1" s="1"/>
  <c r="G413" i="1"/>
  <c r="J413" i="1" s="1"/>
  <c r="L413" i="1" s="1"/>
  <c r="G414" i="1"/>
  <c r="J414" i="1" s="1"/>
  <c r="L414" i="1" s="1"/>
  <c r="G415" i="1"/>
  <c r="J415" i="1" s="1"/>
  <c r="L415" i="1" s="1"/>
  <c r="G416" i="1"/>
  <c r="J416" i="1" s="1"/>
  <c r="L416" i="1" s="1"/>
  <c r="G417" i="1"/>
  <c r="J417" i="1" s="1"/>
  <c r="L417" i="1" s="1"/>
  <c r="G418" i="1"/>
  <c r="J418" i="1" s="1"/>
  <c r="L418" i="1" s="1"/>
  <c r="G419" i="1"/>
  <c r="J419" i="1" s="1"/>
  <c r="L419" i="1" s="1"/>
  <c r="G420" i="1"/>
  <c r="J420" i="1" s="1"/>
  <c r="L420" i="1" s="1"/>
  <c r="G421" i="1"/>
  <c r="J421" i="1" s="1"/>
  <c r="L421" i="1" s="1"/>
  <c r="G422" i="1"/>
  <c r="J422" i="1" s="1"/>
  <c r="L422" i="1" s="1"/>
  <c r="G423" i="1"/>
  <c r="J423" i="1" s="1"/>
  <c r="L423" i="1" s="1"/>
  <c r="G424" i="1"/>
  <c r="J424" i="1" s="1"/>
  <c r="L424" i="1" s="1"/>
  <c r="G425" i="1"/>
  <c r="J425" i="1" s="1"/>
  <c r="L425" i="1" s="1"/>
  <c r="G426" i="1"/>
  <c r="J426" i="1" s="1"/>
  <c r="L426" i="1" s="1"/>
  <c r="G427" i="1"/>
  <c r="J427" i="1" s="1"/>
  <c r="L427" i="1" s="1"/>
  <c r="G428" i="1"/>
  <c r="J428" i="1" s="1"/>
  <c r="L428" i="1" s="1"/>
  <c r="G429" i="1"/>
  <c r="J429" i="1" s="1"/>
  <c r="L429" i="1" s="1"/>
  <c r="G430" i="1"/>
  <c r="J430" i="1" s="1"/>
  <c r="L430" i="1" s="1"/>
  <c r="G431" i="1"/>
  <c r="J431" i="1" s="1"/>
  <c r="L431" i="1" s="1"/>
  <c r="G432" i="1"/>
  <c r="J432" i="1" s="1"/>
  <c r="L432" i="1" s="1"/>
  <c r="G433" i="1"/>
  <c r="J433" i="1" s="1"/>
  <c r="L433" i="1" s="1"/>
  <c r="G434" i="1"/>
  <c r="J434" i="1" s="1"/>
  <c r="L434" i="1" s="1"/>
  <c r="G435" i="1"/>
  <c r="J435" i="1" s="1"/>
  <c r="L435" i="1" s="1"/>
  <c r="G436" i="1"/>
  <c r="J436" i="1" s="1"/>
  <c r="L436" i="1" s="1"/>
  <c r="G437" i="1"/>
  <c r="J437" i="1" s="1"/>
  <c r="L437" i="1" s="1"/>
  <c r="G438" i="1"/>
  <c r="J438" i="1" s="1"/>
  <c r="L438" i="1" s="1"/>
  <c r="G439" i="1"/>
  <c r="J439" i="1" s="1"/>
  <c r="L439" i="1" s="1"/>
  <c r="G440" i="1"/>
  <c r="J440" i="1" s="1"/>
  <c r="L440" i="1" s="1"/>
  <c r="G441" i="1"/>
  <c r="J441" i="1" s="1"/>
  <c r="L441" i="1" s="1"/>
  <c r="G442" i="1"/>
  <c r="J442" i="1" s="1"/>
  <c r="L442" i="1" s="1"/>
  <c r="G443" i="1"/>
  <c r="J443" i="1" s="1"/>
  <c r="L443" i="1" s="1"/>
  <c r="G444" i="1"/>
  <c r="J444" i="1" s="1"/>
  <c r="L444" i="1" s="1"/>
  <c r="G445" i="1"/>
  <c r="J445" i="1" s="1"/>
  <c r="L445" i="1" s="1"/>
  <c r="G446" i="1"/>
  <c r="J446" i="1" s="1"/>
  <c r="L446" i="1" s="1"/>
  <c r="G447" i="1"/>
  <c r="J447" i="1" s="1"/>
  <c r="L447" i="1" s="1"/>
  <c r="G448" i="1"/>
  <c r="J448" i="1" s="1"/>
  <c r="L448" i="1" s="1"/>
  <c r="G449" i="1"/>
  <c r="J449" i="1" s="1"/>
  <c r="L449" i="1" s="1"/>
  <c r="G450" i="1"/>
  <c r="J450" i="1" s="1"/>
  <c r="L450" i="1" s="1"/>
  <c r="G451" i="1"/>
  <c r="J451" i="1" s="1"/>
  <c r="L451" i="1" s="1"/>
  <c r="G452" i="1"/>
  <c r="J452" i="1" s="1"/>
  <c r="L452" i="1" s="1"/>
  <c r="G453" i="1"/>
  <c r="J453" i="1" s="1"/>
  <c r="L453" i="1" s="1"/>
  <c r="G454" i="1"/>
  <c r="J454" i="1" s="1"/>
  <c r="L454" i="1" s="1"/>
  <c r="G455" i="1"/>
  <c r="J455" i="1" s="1"/>
  <c r="L455" i="1" s="1"/>
  <c r="G456" i="1"/>
  <c r="J456" i="1" s="1"/>
  <c r="L456" i="1" s="1"/>
  <c r="G457" i="1"/>
  <c r="J457" i="1" s="1"/>
  <c r="L457" i="1" s="1"/>
  <c r="G458" i="1"/>
  <c r="J458" i="1" s="1"/>
  <c r="L458" i="1" s="1"/>
  <c r="G459" i="1"/>
  <c r="J459" i="1" s="1"/>
  <c r="L459" i="1" s="1"/>
  <c r="G460" i="1"/>
  <c r="J460" i="1" s="1"/>
  <c r="L460" i="1" s="1"/>
  <c r="G461" i="1"/>
  <c r="J461" i="1" s="1"/>
  <c r="L461" i="1" s="1"/>
  <c r="G462" i="1"/>
  <c r="J462" i="1" s="1"/>
  <c r="L462" i="1" s="1"/>
  <c r="G463" i="1"/>
  <c r="J463" i="1" s="1"/>
  <c r="L463" i="1" s="1"/>
  <c r="G464" i="1"/>
  <c r="J464" i="1" s="1"/>
  <c r="L464" i="1" s="1"/>
  <c r="G465" i="1"/>
  <c r="J465" i="1" s="1"/>
  <c r="L465" i="1" s="1"/>
  <c r="G466" i="1"/>
  <c r="J466" i="1" s="1"/>
  <c r="L466" i="1" s="1"/>
  <c r="G467" i="1"/>
  <c r="J467" i="1" s="1"/>
  <c r="L467" i="1" s="1"/>
  <c r="G468" i="1"/>
  <c r="J468" i="1" s="1"/>
  <c r="L468" i="1" s="1"/>
  <c r="G469" i="1"/>
  <c r="J469" i="1" s="1"/>
  <c r="L469" i="1" s="1"/>
  <c r="G470" i="1"/>
  <c r="J470" i="1" s="1"/>
  <c r="L470" i="1" s="1"/>
  <c r="G471" i="1"/>
  <c r="J471" i="1" s="1"/>
  <c r="L471" i="1" s="1"/>
  <c r="G472" i="1"/>
  <c r="J472" i="1" s="1"/>
  <c r="L472" i="1" s="1"/>
  <c r="G473" i="1"/>
  <c r="J473" i="1" s="1"/>
  <c r="L473" i="1" s="1"/>
  <c r="G474" i="1"/>
  <c r="J474" i="1" s="1"/>
  <c r="L474" i="1" s="1"/>
  <c r="G475" i="1"/>
  <c r="J475" i="1" s="1"/>
  <c r="L475" i="1" s="1"/>
  <c r="G476" i="1"/>
  <c r="J476" i="1" s="1"/>
  <c r="L476" i="1" s="1"/>
  <c r="G477" i="1"/>
  <c r="J477" i="1" s="1"/>
  <c r="L477" i="1" s="1"/>
  <c r="G478" i="1"/>
  <c r="J478" i="1" s="1"/>
  <c r="L478" i="1" s="1"/>
  <c r="G479" i="1"/>
  <c r="J479" i="1" s="1"/>
  <c r="L479" i="1" s="1"/>
  <c r="G480" i="1"/>
  <c r="J480" i="1" s="1"/>
  <c r="L480" i="1" s="1"/>
  <c r="G481" i="1"/>
  <c r="J481" i="1" s="1"/>
  <c r="L481" i="1" s="1"/>
  <c r="G482" i="1"/>
  <c r="J482" i="1" s="1"/>
  <c r="L482" i="1" s="1"/>
  <c r="G483" i="1"/>
  <c r="J483" i="1" s="1"/>
  <c r="L483" i="1" s="1"/>
  <c r="G484" i="1"/>
  <c r="J484" i="1" s="1"/>
  <c r="L484" i="1" s="1"/>
  <c r="G485" i="1"/>
  <c r="J485" i="1" s="1"/>
  <c r="L485" i="1" s="1"/>
  <c r="G486" i="1"/>
  <c r="J486" i="1" s="1"/>
  <c r="L486" i="1" s="1"/>
  <c r="G487" i="1"/>
  <c r="J487" i="1" s="1"/>
  <c r="L487" i="1" s="1"/>
  <c r="G488" i="1"/>
  <c r="J488" i="1" s="1"/>
  <c r="L488" i="1" s="1"/>
  <c r="G489" i="1"/>
  <c r="J489" i="1" s="1"/>
  <c r="L489" i="1" s="1"/>
  <c r="G490" i="1"/>
  <c r="J490" i="1" s="1"/>
  <c r="L490" i="1" s="1"/>
  <c r="G491" i="1"/>
  <c r="J491" i="1" s="1"/>
  <c r="L491" i="1" s="1"/>
  <c r="G492" i="1"/>
  <c r="J492" i="1" s="1"/>
  <c r="L492" i="1" s="1"/>
  <c r="G493" i="1"/>
  <c r="J493" i="1" s="1"/>
  <c r="L493" i="1" s="1"/>
  <c r="G494" i="1"/>
  <c r="J494" i="1" s="1"/>
  <c r="L494" i="1" s="1"/>
  <c r="G495" i="1"/>
  <c r="J495" i="1" s="1"/>
  <c r="L495" i="1" s="1"/>
  <c r="G496" i="1"/>
  <c r="J496" i="1" s="1"/>
  <c r="L496" i="1" s="1"/>
  <c r="G497" i="1"/>
  <c r="J497" i="1" s="1"/>
  <c r="L497" i="1" s="1"/>
  <c r="G498" i="1"/>
  <c r="J498" i="1" s="1"/>
  <c r="L498" i="1" s="1"/>
  <c r="G499" i="1"/>
  <c r="J499" i="1" s="1"/>
  <c r="L499" i="1" s="1"/>
  <c r="G500" i="1"/>
  <c r="J500" i="1" s="1"/>
  <c r="L500" i="1" s="1"/>
  <c r="G501" i="1"/>
  <c r="J501" i="1" s="1"/>
  <c r="L501" i="1" s="1"/>
  <c r="G502" i="1"/>
  <c r="J502" i="1" s="1"/>
  <c r="L502" i="1" s="1"/>
  <c r="G503" i="1"/>
  <c r="J503" i="1" s="1"/>
  <c r="L503" i="1" s="1"/>
  <c r="G504" i="1"/>
  <c r="J504" i="1" s="1"/>
  <c r="L504" i="1" s="1"/>
  <c r="G505" i="1"/>
  <c r="J505" i="1" s="1"/>
  <c r="L505" i="1" s="1"/>
  <c r="G506" i="1"/>
  <c r="J506" i="1" s="1"/>
  <c r="L506" i="1" s="1"/>
  <c r="G507" i="1"/>
  <c r="J507" i="1" s="1"/>
  <c r="L507" i="1" s="1"/>
  <c r="G508" i="1"/>
  <c r="J508" i="1" s="1"/>
  <c r="L508" i="1" s="1"/>
  <c r="G509" i="1"/>
  <c r="J509" i="1" s="1"/>
  <c r="L509" i="1" s="1"/>
  <c r="G510" i="1"/>
  <c r="J510" i="1" s="1"/>
  <c r="L510" i="1" s="1"/>
  <c r="G511" i="1"/>
  <c r="J511" i="1" s="1"/>
  <c r="L511" i="1" s="1"/>
  <c r="G512" i="1"/>
  <c r="J512" i="1" s="1"/>
  <c r="L512" i="1" s="1"/>
  <c r="G513" i="1"/>
  <c r="J513" i="1" s="1"/>
  <c r="L513" i="1" s="1"/>
  <c r="G514" i="1"/>
  <c r="J514" i="1" s="1"/>
  <c r="L514" i="1" s="1"/>
  <c r="G515" i="1"/>
  <c r="J515" i="1" s="1"/>
  <c r="L515" i="1" s="1"/>
  <c r="G516" i="1"/>
  <c r="J516" i="1" s="1"/>
  <c r="L516" i="1" s="1"/>
  <c r="G517" i="1"/>
  <c r="J517" i="1" s="1"/>
  <c r="L517" i="1" s="1"/>
  <c r="G518" i="1"/>
  <c r="J518" i="1" s="1"/>
  <c r="L518" i="1" s="1"/>
  <c r="G519" i="1"/>
  <c r="J519" i="1" s="1"/>
  <c r="L519" i="1" s="1"/>
  <c r="G520" i="1"/>
  <c r="J520" i="1" s="1"/>
  <c r="L520" i="1" s="1"/>
  <c r="G521" i="1"/>
  <c r="J521" i="1" s="1"/>
  <c r="L521" i="1" s="1"/>
  <c r="G522" i="1"/>
  <c r="J522" i="1" s="1"/>
  <c r="L522" i="1" s="1"/>
  <c r="G523" i="1"/>
  <c r="J523" i="1" s="1"/>
  <c r="L523" i="1" s="1"/>
  <c r="G524" i="1"/>
  <c r="J524" i="1" s="1"/>
  <c r="L524" i="1" s="1"/>
  <c r="G525" i="1"/>
  <c r="J525" i="1" s="1"/>
  <c r="L525" i="1" s="1"/>
  <c r="G526" i="1"/>
  <c r="J526" i="1" s="1"/>
  <c r="L526" i="1" s="1"/>
  <c r="G527" i="1"/>
  <c r="J527" i="1" s="1"/>
  <c r="L527" i="1" s="1"/>
  <c r="G528" i="1"/>
  <c r="J528" i="1" s="1"/>
  <c r="L528" i="1" s="1"/>
  <c r="G529" i="1"/>
  <c r="J529" i="1" s="1"/>
  <c r="L529" i="1" s="1"/>
  <c r="G530" i="1"/>
  <c r="J530" i="1" s="1"/>
  <c r="L530" i="1" s="1"/>
  <c r="G531" i="1"/>
  <c r="J531" i="1" s="1"/>
  <c r="L531" i="1" s="1"/>
  <c r="G532" i="1"/>
  <c r="J532" i="1" s="1"/>
  <c r="L532" i="1" s="1"/>
  <c r="G533" i="1"/>
  <c r="J533" i="1" s="1"/>
  <c r="L533" i="1" s="1"/>
  <c r="G534" i="1"/>
  <c r="J534" i="1" s="1"/>
  <c r="L534" i="1" s="1"/>
  <c r="G535" i="1"/>
  <c r="J535" i="1" s="1"/>
  <c r="L535" i="1" s="1"/>
  <c r="G536" i="1"/>
  <c r="J536" i="1" s="1"/>
  <c r="L536" i="1" s="1"/>
  <c r="G537" i="1"/>
  <c r="J537" i="1" s="1"/>
  <c r="L537" i="1" s="1"/>
  <c r="G538" i="1"/>
  <c r="J538" i="1" s="1"/>
  <c r="L538" i="1" s="1"/>
  <c r="G539" i="1"/>
  <c r="J539" i="1" s="1"/>
  <c r="L539" i="1" s="1"/>
  <c r="G540" i="1"/>
  <c r="J540" i="1" s="1"/>
  <c r="L540" i="1" s="1"/>
  <c r="G541" i="1"/>
  <c r="J541" i="1" s="1"/>
  <c r="L541" i="1" s="1"/>
  <c r="G542" i="1"/>
  <c r="J542" i="1" s="1"/>
  <c r="L542" i="1" s="1"/>
  <c r="G543" i="1"/>
  <c r="J543" i="1" s="1"/>
  <c r="L543" i="1" s="1"/>
  <c r="G544" i="1"/>
  <c r="J544" i="1" s="1"/>
  <c r="L544" i="1" s="1"/>
  <c r="G545" i="1"/>
  <c r="J545" i="1" s="1"/>
  <c r="L545" i="1" s="1"/>
  <c r="G546" i="1"/>
  <c r="J546" i="1" s="1"/>
  <c r="L546" i="1" s="1"/>
  <c r="G547" i="1"/>
  <c r="J547" i="1" s="1"/>
  <c r="L547" i="1" s="1"/>
  <c r="G548" i="1"/>
  <c r="J548" i="1" s="1"/>
  <c r="L548" i="1" s="1"/>
  <c r="G549" i="1"/>
  <c r="J549" i="1" s="1"/>
  <c r="L549" i="1" s="1"/>
  <c r="G550" i="1"/>
  <c r="J550" i="1" s="1"/>
  <c r="L550" i="1" s="1"/>
  <c r="G551" i="1"/>
  <c r="J551" i="1" s="1"/>
  <c r="L551" i="1" s="1"/>
  <c r="G552" i="1"/>
  <c r="J552" i="1" s="1"/>
  <c r="L552" i="1" s="1"/>
  <c r="G553" i="1"/>
  <c r="J553" i="1" s="1"/>
  <c r="L553" i="1" s="1"/>
  <c r="G554" i="1"/>
  <c r="J554" i="1" s="1"/>
  <c r="L554" i="1" s="1"/>
  <c r="G555" i="1"/>
  <c r="J555" i="1" s="1"/>
  <c r="L555" i="1" s="1"/>
  <c r="G556" i="1"/>
  <c r="J556" i="1" s="1"/>
  <c r="L556" i="1" s="1"/>
  <c r="G557" i="1"/>
  <c r="J557" i="1" s="1"/>
  <c r="L557" i="1" s="1"/>
  <c r="G558" i="1"/>
  <c r="J558" i="1" s="1"/>
  <c r="L558" i="1" s="1"/>
  <c r="G559" i="1"/>
  <c r="J559" i="1" s="1"/>
  <c r="L559" i="1" s="1"/>
  <c r="G560" i="1"/>
  <c r="J560" i="1" s="1"/>
  <c r="L560" i="1" s="1"/>
  <c r="G561" i="1"/>
  <c r="J561" i="1" s="1"/>
  <c r="L561" i="1" s="1"/>
  <c r="G562" i="1"/>
  <c r="J562" i="1" s="1"/>
  <c r="L562" i="1" s="1"/>
  <c r="G563" i="1"/>
  <c r="J563" i="1" s="1"/>
  <c r="L563" i="1" s="1"/>
  <c r="G564" i="1"/>
  <c r="J564" i="1" s="1"/>
  <c r="L564" i="1" s="1"/>
  <c r="G565" i="1"/>
  <c r="J565" i="1" s="1"/>
  <c r="L565" i="1" s="1"/>
  <c r="G566" i="1"/>
  <c r="J566" i="1" s="1"/>
  <c r="L566" i="1" s="1"/>
  <c r="G567" i="1"/>
  <c r="J567" i="1" s="1"/>
  <c r="L567" i="1" s="1"/>
  <c r="G568" i="1"/>
  <c r="J568" i="1" s="1"/>
  <c r="L568" i="1" s="1"/>
  <c r="G569" i="1"/>
  <c r="J569" i="1" s="1"/>
  <c r="L569" i="1" s="1"/>
  <c r="G570" i="1"/>
  <c r="J570" i="1" s="1"/>
  <c r="L570" i="1" s="1"/>
  <c r="G571" i="1"/>
  <c r="J571" i="1" s="1"/>
  <c r="L571" i="1" s="1"/>
  <c r="G572" i="1"/>
  <c r="J572" i="1" s="1"/>
  <c r="L572" i="1" s="1"/>
  <c r="G573" i="1"/>
  <c r="J573" i="1" s="1"/>
  <c r="L573" i="1" s="1"/>
  <c r="G574" i="1"/>
  <c r="J574" i="1" s="1"/>
  <c r="L574" i="1" s="1"/>
  <c r="G575" i="1"/>
  <c r="J575" i="1" s="1"/>
  <c r="L575" i="1" s="1"/>
  <c r="G576" i="1"/>
  <c r="J576" i="1" s="1"/>
  <c r="L576" i="1" s="1"/>
  <c r="G577" i="1"/>
  <c r="J577" i="1" s="1"/>
  <c r="L577" i="1" s="1"/>
  <c r="G578" i="1"/>
  <c r="J578" i="1" s="1"/>
  <c r="L578" i="1" s="1"/>
  <c r="G579" i="1"/>
  <c r="J579" i="1" s="1"/>
  <c r="L579" i="1" s="1"/>
  <c r="G580" i="1"/>
  <c r="J580" i="1" s="1"/>
  <c r="L580" i="1" s="1"/>
  <c r="G581" i="1"/>
  <c r="J581" i="1" s="1"/>
  <c r="L581" i="1" s="1"/>
  <c r="G582" i="1"/>
  <c r="J582" i="1" s="1"/>
  <c r="L582" i="1" s="1"/>
  <c r="G583" i="1"/>
  <c r="J583" i="1" s="1"/>
  <c r="L583" i="1" s="1"/>
  <c r="G584" i="1"/>
  <c r="J584" i="1" s="1"/>
  <c r="L584" i="1" s="1"/>
  <c r="G585" i="1"/>
  <c r="J585" i="1" s="1"/>
  <c r="L585" i="1" s="1"/>
  <c r="G586" i="1"/>
  <c r="J586" i="1" s="1"/>
  <c r="L586" i="1" s="1"/>
  <c r="G587" i="1"/>
  <c r="J587" i="1" s="1"/>
  <c r="L587" i="1" s="1"/>
  <c r="G588" i="1"/>
  <c r="J588" i="1" s="1"/>
  <c r="L588" i="1" s="1"/>
  <c r="G589" i="1"/>
  <c r="J589" i="1" s="1"/>
  <c r="L589" i="1" s="1"/>
  <c r="G590" i="1"/>
  <c r="J590" i="1" s="1"/>
  <c r="L590" i="1" s="1"/>
  <c r="G591" i="1"/>
  <c r="J591" i="1" s="1"/>
  <c r="L591" i="1" s="1"/>
  <c r="G592" i="1"/>
  <c r="J592" i="1" s="1"/>
  <c r="L592" i="1" s="1"/>
  <c r="G593" i="1"/>
  <c r="J593" i="1" s="1"/>
  <c r="L593" i="1" s="1"/>
  <c r="G594" i="1"/>
  <c r="J594" i="1" s="1"/>
  <c r="L594" i="1" s="1"/>
  <c r="G595" i="1"/>
  <c r="J595" i="1" s="1"/>
  <c r="L595" i="1" s="1"/>
  <c r="G596" i="1"/>
  <c r="J596" i="1" s="1"/>
  <c r="L596" i="1" s="1"/>
  <c r="G597" i="1"/>
  <c r="J597" i="1" s="1"/>
  <c r="L597" i="1" s="1"/>
  <c r="G598" i="1"/>
  <c r="J598" i="1" s="1"/>
  <c r="L598" i="1" s="1"/>
  <c r="G599" i="1"/>
  <c r="J599" i="1" s="1"/>
  <c r="L599" i="1" s="1"/>
  <c r="G600" i="1"/>
  <c r="J600" i="1" s="1"/>
  <c r="L600" i="1" s="1"/>
  <c r="O2" i="1"/>
  <c r="O3" i="1"/>
  <c r="O4" i="1"/>
  <c r="O5" i="1"/>
  <c r="O6" i="1"/>
  <c r="O7" i="1"/>
  <c r="O8" i="1"/>
  <c r="N2" i="1"/>
  <c r="N3" i="1"/>
  <c r="N4" i="1"/>
  <c r="N5" i="1"/>
  <c r="N6" i="1"/>
  <c r="N7" i="1"/>
  <c r="N8" i="1"/>
  <c r="T7" i="1"/>
  <c r="S7" i="1"/>
  <c r="EA5" i="12" a="1"/>
  <c r="EA5" i="12" s="1"/>
  <c r="EA6" i="12" a="1"/>
  <c r="EA6" i="12" s="1"/>
  <c r="EA7" i="12" a="1"/>
  <c r="EA7" i="12" s="1"/>
  <c r="EA9" i="12" a="1"/>
  <c r="EA9" i="12" s="1"/>
  <c r="EA10" i="12" a="1"/>
  <c r="EA10" i="12" s="1"/>
  <c r="EA12" i="12" a="1"/>
  <c r="EA12" i="12" s="1"/>
  <c r="EA13" i="12" a="1"/>
  <c r="EA13" i="12" s="1"/>
  <c r="EA14" i="12" a="1"/>
  <c r="EA14" i="12" s="1"/>
  <c r="EA15" i="12" a="1"/>
  <c r="EA15" i="12" s="1"/>
  <c r="EA16" i="12" a="1"/>
  <c r="EA16" i="12" s="1"/>
  <c r="EA17" i="12" a="1"/>
  <c r="EA17" i="12" s="1"/>
  <c r="EA18" i="12" a="1"/>
  <c r="EA18" i="12" s="1"/>
  <c r="EA19" i="12" a="1"/>
  <c r="EA19" i="12" s="1"/>
  <c r="EA20" i="12" a="1"/>
  <c r="EA20" i="12" s="1"/>
  <c r="EA21" i="12" a="1"/>
  <c r="EA21" i="12" s="1"/>
  <c r="EA22" i="12" a="1"/>
  <c r="EA22" i="12" s="1"/>
  <c r="EA23" i="12" a="1"/>
  <c r="EA23" i="12" s="1"/>
  <c r="EA24" i="12" a="1"/>
  <c r="EA24" i="12" s="1"/>
  <c r="EA25" i="12" a="1"/>
  <c r="EA25" i="12" s="1"/>
  <c r="EA26" i="12" a="1"/>
  <c r="EA26" i="12" s="1"/>
  <c r="EA27" i="12" a="1"/>
  <c r="EA27" i="12" s="1"/>
  <c r="EA28" i="12" a="1"/>
  <c r="EA28" i="12" s="1"/>
  <c r="EA29" i="12" a="1"/>
  <c r="EA29" i="12" s="1"/>
  <c r="EA30" i="12" a="1"/>
  <c r="EA30" i="12" s="1"/>
  <c r="EA31" i="12" a="1"/>
  <c r="EA31" i="12" s="1"/>
  <c r="EA32" i="12" a="1"/>
  <c r="EA32" i="12" s="1"/>
  <c r="EA33" i="12" a="1"/>
  <c r="EA33" i="12" s="1"/>
  <c r="EA34" i="12" a="1"/>
  <c r="EA34" i="12" s="1"/>
  <c r="EA35" i="12" a="1"/>
  <c r="EA35" i="12" s="1"/>
  <c r="EA36" i="12" a="1"/>
  <c r="EA36" i="12" s="1"/>
  <c r="EA37" i="12" a="1"/>
  <c r="EA37" i="12" s="1"/>
  <c r="EA38" i="12" a="1"/>
  <c r="EA38" i="12" s="1"/>
  <c r="EA39" i="12" a="1"/>
  <c r="EA39" i="12" s="1"/>
  <c r="EA40" i="12" a="1"/>
  <c r="EA40" i="12" s="1"/>
  <c r="EA41" i="12" a="1"/>
  <c r="EA41" i="12" s="1"/>
  <c r="EA42" i="12" a="1"/>
  <c r="EA42" i="12" s="1"/>
  <c r="EA43" i="12" a="1"/>
  <c r="EA43" i="12" s="1"/>
  <c r="EA44" i="12" a="1"/>
  <c r="EA44" i="12" s="1"/>
  <c r="EA45" i="12" a="1"/>
  <c r="EA45" i="12" s="1"/>
  <c r="EA46" i="12" a="1"/>
  <c r="EA46" i="12" s="1"/>
  <c r="EA47" i="12" a="1"/>
  <c r="EA47" i="12" s="1"/>
  <c r="EA48" i="12" a="1"/>
  <c r="EA48" i="12" s="1"/>
  <c r="EA49" i="12" a="1"/>
  <c r="EA49" i="12" s="1"/>
  <c r="EA50" i="12" a="1"/>
  <c r="EA50" i="12" s="1"/>
  <c r="EA51" i="12" a="1"/>
  <c r="EA51" i="12" s="1"/>
  <c r="EA52" i="12" a="1"/>
  <c r="EA52" i="12" s="1"/>
  <c r="EA53" i="12" a="1"/>
  <c r="EA53" i="12" s="1"/>
  <c r="EA54" i="12" a="1"/>
  <c r="EA54" i="12" s="1"/>
  <c r="EA55" i="12" a="1"/>
  <c r="EA55" i="12" s="1"/>
  <c r="EA56" i="12" a="1"/>
  <c r="EA56" i="12" s="1"/>
  <c r="EA57" i="12" a="1"/>
  <c r="EA57" i="12" s="1"/>
  <c r="EA58" i="12" a="1"/>
  <c r="EA58" i="12" s="1"/>
  <c r="EA59" i="12" a="1"/>
  <c r="EA59" i="12" s="1"/>
  <c r="EA60" i="12" a="1"/>
  <c r="EA60" i="12" s="1"/>
  <c r="EA61" i="12" a="1"/>
  <c r="EA61" i="12" s="1"/>
  <c r="EA62" i="12" a="1"/>
  <c r="EA62" i="12" s="1"/>
  <c r="EA63" i="12" a="1"/>
  <c r="EA63" i="12" s="1"/>
  <c r="EA64" i="12" a="1"/>
  <c r="EA64" i="12" s="1"/>
  <c r="EA65" i="12" a="1"/>
  <c r="EA65" i="12" s="1"/>
  <c r="EA66" i="12" a="1"/>
  <c r="EA66" i="12" s="1"/>
  <c r="EA67" i="12" a="1"/>
  <c r="EA67" i="12" s="1"/>
  <c r="EA68" i="12" a="1"/>
  <c r="EA68" i="12" s="1"/>
  <c r="EA69" i="12" a="1"/>
  <c r="EA69" i="12" s="1"/>
  <c r="EA70" i="12" a="1"/>
  <c r="EA70" i="12" s="1"/>
  <c r="EA71" i="12" a="1"/>
  <c r="EA71" i="12" s="1"/>
  <c r="EA72" i="12" a="1"/>
  <c r="EA72" i="12" s="1"/>
  <c r="EA73" i="12" a="1"/>
  <c r="EA73" i="12" s="1"/>
  <c r="EA74" i="12" a="1"/>
  <c r="EA74" i="12" s="1"/>
  <c r="EA75" i="12" a="1"/>
  <c r="EA75" i="12" s="1"/>
  <c r="EA76" i="12" a="1"/>
  <c r="EA76" i="12" s="1"/>
  <c r="EA77" i="12" a="1"/>
  <c r="EA77" i="12" s="1"/>
  <c r="EA78" i="12" a="1"/>
  <c r="EA78" i="12" s="1"/>
  <c r="EA79" i="12" a="1"/>
  <c r="EA79" i="12" s="1"/>
  <c r="EA80" i="12" a="1"/>
  <c r="EA80" i="12" s="1"/>
  <c r="EA81" i="12" a="1"/>
  <c r="EA81" i="12" s="1"/>
  <c r="EA82" i="12" a="1"/>
  <c r="EA82" i="12" s="1"/>
  <c r="EA83" i="12" a="1"/>
  <c r="EA83" i="12" s="1"/>
  <c r="EA84" i="12" a="1"/>
  <c r="EA84" i="12" s="1"/>
  <c r="EA85" i="12" a="1"/>
  <c r="EA85" i="12" s="1"/>
  <c r="EA86" i="12" a="1"/>
  <c r="EA86" i="12" s="1"/>
  <c r="EA87" i="12" a="1"/>
  <c r="EA87" i="12" s="1"/>
  <c r="EA88" i="12" a="1"/>
  <c r="EA88" i="12" s="1"/>
  <c r="EA89" i="12" a="1"/>
  <c r="EA89" i="12" s="1"/>
  <c r="EA90" i="12" a="1"/>
  <c r="EA90" i="12" s="1"/>
  <c r="EA91" i="12" a="1"/>
  <c r="EA91" i="12" s="1"/>
  <c r="EA92" i="12" a="1"/>
  <c r="EA92" i="12" s="1"/>
  <c r="EA93" i="12" a="1"/>
  <c r="EA93" i="12" s="1"/>
  <c r="EA94" i="12" a="1"/>
  <c r="EA94" i="12" s="1"/>
  <c r="EA95" i="12" a="1"/>
  <c r="EA95" i="12" s="1"/>
  <c r="EA96" i="12" a="1"/>
  <c r="EA96" i="12" s="1"/>
  <c r="EA97" i="12" a="1"/>
  <c r="EA97" i="12" s="1"/>
  <c r="EA98" i="12" a="1"/>
  <c r="EA98" i="12" s="1"/>
  <c r="EA99" i="12" a="1"/>
  <c r="EA99" i="12" s="1"/>
  <c r="EA100" i="12" a="1"/>
  <c r="EA100" i="12" s="1"/>
  <c r="EA101" i="12" a="1"/>
  <c r="EA101" i="12" s="1"/>
  <c r="EA102" i="12" a="1"/>
  <c r="EA102" i="12" s="1"/>
  <c r="EA103" i="12" a="1"/>
  <c r="EA103" i="12" s="1"/>
  <c r="EA104" i="12" a="1"/>
  <c r="EA104" i="12" s="1"/>
  <c r="EA105" i="12" a="1"/>
  <c r="EA105" i="12" s="1"/>
  <c r="EA106" i="12" a="1"/>
  <c r="EA106" i="12" s="1"/>
  <c r="EA107" i="12" a="1"/>
  <c r="EA107" i="12" s="1"/>
  <c r="EA108" i="12" a="1"/>
  <c r="EA108" i="12" s="1"/>
  <c r="EA109" i="12" a="1"/>
  <c r="EA109" i="12" s="1"/>
  <c r="EA110" i="12" a="1"/>
  <c r="EA110" i="12" s="1"/>
  <c r="EA111" i="12" a="1"/>
  <c r="EA111" i="12" s="1"/>
  <c r="EA112" i="12" a="1"/>
  <c r="EA112" i="12" s="1"/>
  <c r="EA113" i="12" a="1"/>
  <c r="EA113" i="12" s="1"/>
  <c r="EA114" i="12" a="1"/>
  <c r="EA114" i="12" s="1"/>
  <c r="EA115" i="12" a="1"/>
  <c r="EA115" i="12" s="1"/>
  <c r="EA116" i="12" a="1"/>
  <c r="EA116" i="12" s="1"/>
  <c r="EA117" i="12" a="1"/>
  <c r="EA117" i="12" s="1"/>
  <c r="EA118" i="12" a="1"/>
  <c r="EA118" i="12" s="1"/>
  <c r="EA119" i="12" a="1"/>
  <c r="EA119" i="12" s="1"/>
  <c r="EA120" i="12" a="1"/>
  <c r="EA120" i="12" s="1"/>
  <c r="EA121" i="12" a="1"/>
  <c r="EA121" i="12" s="1"/>
  <c r="EA122" i="12" a="1"/>
  <c r="EA122" i="12" s="1"/>
  <c r="EA123" i="12" a="1"/>
  <c r="EA123" i="12" s="1"/>
  <c r="EA124" i="12" a="1"/>
  <c r="EA124" i="12" s="1"/>
  <c r="EA125" i="12" a="1"/>
  <c r="EA125" i="12" s="1"/>
  <c r="EA126" i="12" a="1"/>
  <c r="EA126" i="12" s="1"/>
  <c r="EA127" i="12" a="1"/>
  <c r="EA127" i="12" s="1"/>
  <c r="EA128" i="12" a="1"/>
  <c r="EA128" i="12" s="1"/>
  <c r="EA129" i="12" a="1"/>
  <c r="EA129" i="12" s="1"/>
  <c r="EA130" i="12" a="1"/>
  <c r="EA130" i="12" s="1"/>
  <c r="EA131" i="12" a="1"/>
  <c r="EA131" i="12" s="1"/>
  <c r="EA132" i="12" a="1"/>
  <c r="EA132" i="12" s="1"/>
  <c r="EA133" i="12" a="1"/>
  <c r="EA133" i="12" s="1"/>
  <c r="EA134" i="12" a="1"/>
  <c r="EA134" i="12" s="1"/>
  <c r="EA135" i="12" a="1"/>
  <c r="EA135" i="12" s="1"/>
  <c r="EA136" i="12" a="1"/>
  <c r="EA136" i="12" s="1"/>
  <c r="EA137" i="12" a="1"/>
  <c r="EA137" i="12" s="1"/>
  <c r="EA138" i="12" a="1"/>
  <c r="EA138" i="12" s="1"/>
  <c r="EA139" i="12" a="1"/>
  <c r="EA139" i="12" s="1"/>
  <c r="EA140" i="12" a="1"/>
  <c r="EA140" i="12" s="1"/>
  <c r="EA141" i="12" a="1"/>
  <c r="EA141" i="12" s="1"/>
  <c r="EA142" i="12" a="1"/>
  <c r="EA142" i="12" s="1"/>
  <c r="EA143" i="12" a="1"/>
  <c r="EA143" i="12" s="1"/>
  <c r="EA144" i="12" a="1"/>
  <c r="EA144" i="12" s="1"/>
  <c r="EA145" i="12" a="1"/>
  <c r="EA145" i="12" s="1"/>
  <c r="EA146" i="12" a="1"/>
  <c r="EA146" i="12" s="1"/>
  <c r="EA147" i="12" a="1"/>
  <c r="EA147" i="12" s="1"/>
  <c r="EA148" i="12" a="1"/>
  <c r="EA148" i="12" s="1"/>
  <c r="EA149" i="12" a="1"/>
  <c r="EA149" i="12" s="1"/>
  <c r="EA150" i="12" a="1"/>
  <c r="EA150" i="12" s="1"/>
  <c r="EA151" i="12" a="1"/>
  <c r="EA151" i="12" s="1"/>
  <c r="EA152" i="12" a="1"/>
  <c r="EA152" i="12" s="1"/>
  <c r="EA153" i="12" a="1"/>
  <c r="EA153" i="12" s="1"/>
  <c r="EA154" i="12" a="1"/>
  <c r="EA154" i="12" s="1"/>
  <c r="EA155" i="12" a="1"/>
  <c r="EA155" i="12" s="1"/>
  <c r="EA156" i="12" a="1"/>
  <c r="EA156" i="12" s="1"/>
  <c r="EA157" i="12" a="1"/>
  <c r="EA157" i="12" s="1"/>
  <c r="EA158" i="12" a="1"/>
  <c r="EA158" i="12" s="1"/>
  <c r="EA159" i="12" a="1"/>
  <c r="EA159" i="12" s="1"/>
  <c r="EA160" i="12" a="1"/>
  <c r="EA160" i="12" s="1"/>
  <c r="EA161" i="12" a="1"/>
  <c r="EA161" i="12" s="1"/>
  <c r="EA162" i="12" a="1"/>
  <c r="EA162" i="12" s="1"/>
  <c r="EA163" i="12" a="1"/>
  <c r="EA163" i="12" s="1"/>
  <c r="EA164" i="12" a="1"/>
  <c r="EA164" i="12" s="1"/>
  <c r="EA165" i="12" a="1"/>
  <c r="EA165" i="12" s="1"/>
  <c r="EA166" i="12" a="1"/>
  <c r="EA166" i="12" s="1"/>
  <c r="EA167" i="12" a="1"/>
  <c r="EA167" i="12" s="1"/>
  <c r="EA168" i="12" a="1"/>
  <c r="EA168" i="12" s="1"/>
  <c r="EA169" i="12" a="1"/>
  <c r="EA169" i="12" s="1"/>
  <c r="EA170" i="12" a="1"/>
  <c r="EA170" i="12" s="1"/>
  <c r="EA171" i="12" a="1"/>
  <c r="EA171" i="12" s="1"/>
  <c r="EA172" i="12" a="1"/>
  <c r="EA172" i="12" s="1"/>
  <c r="EA173" i="12" a="1"/>
  <c r="EA173" i="12" s="1"/>
  <c r="EA174" i="12" a="1"/>
  <c r="EA174" i="12" s="1"/>
  <c r="EA175" i="12" a="1"/>
  <c r="EA175" i="12" s="1"/>
  <c r="EA176" i="12" a="1"/>
  <c r="EA176" i="12" s="1"/>
  <c r="EA177" i="12" a="1"/>
  <c r="EA177" i="12" s="1"/>
  <c r="EA178" i="12" a="1"/>
  <c r="EA178" i="12" s="1"/>
  <c r="EA179" i="12" a="1"/>
  <c r="EA179" i="12" s="1"/>
  <c r="EA180" i="12" a="1"/>
  <c r="EA180" i="12" s="1"/>
  <c r="EA181" i="12" a="1"/>
  <c r="EA181" i="12" s="1"/>
  <c r="EA182" i="12" a="1"/>
  <c r="EA182" i="12" s="1"/>
  <c r="EA183" i="12" a="1"/>
  <c r="EA183" i="12" s="1"/>
  <c r="EA184" i="12" a="1"/>
  <c r="EA184" i="12" s="1"/>
  <c r="EA185" i="12" a="1"/>
  <c r="EA185" i="12" s="1"/>
  <c r="EA186" i="12" a="1"/>
  <c r="EA186" i="12" s="1"/>
  <c r="EA187" i="12" a="1"/>
  <c r="EA187" i="12" s="1"/>
  <c r="EA188" i="12" a="1"/>
  <c r="EA188" i="12" s="1"/>
  <c r="EA189" i="12" a="1"/>
  <c r="EA189" i="12" s="1"/>
  <c r="EA190" i="12" a="1"/>
  <c r="EA190" i="12" s="1"/>
  <c r="EA191" i="12" a="1"/>
  <c r="EA191" i="12" s="1"/>
  <c r="EA192" i="12" a="1"/>
  <c r="EA192" i="12" s="1"/>
  <c r="EA193" i="12" a="1"/>
  <c r="EA193" i="12" s="1"/>
  <c r="EA194" i="12" a="1"/>
  <c r="EA194" i="12" s="1"/>
  <c r="EA195" i="12" a="1"/>
  <c r="EA195" i="12" s="1"/>
  <c r="EA196" i="12" a="1"/>
  <c r="EA196" i="12" s="1"/>
  <c r="EA197" i="12" a="1"/>
  <c r="EA197" i="12" s="1"/>
  <c r="EA198" i="12" a="1"/>
  <c r="EA198" i="12" s="1"/>
  <c r="EA199" i="12" a="1"/>
  <c r="EA199" i="12" s="1"/>
  <c r="EA200" i="12" a="1"/>
  <c r="EA200" i="12" s="1"/>
  <c r="EA201" i="12" a="1"/>
  <c r="EA201" i="12" s="1"/>
  <c r="EA202" i="12" a="1"/>
  <c r="EA202" i="12" s="1"/>
  <c r="EA203" i="12" a="1"/>
  <c r="EA203" i="12" s="1"/>
  <c r="EA204" i="12" a="1"/>
  <c r="EA204" i="12" s="1"/>
  <c r="EA205" i="12" a="1"/>
  <c r="EA205" i="12" s="1"/>
  <c r="EA206" i="12" a="1"/>
  <c r="EA206" i="12" s="1"/>
  <c r="EA207" i="12" a="1"/>
  <c r="EA207" i="12" s="1"/>
  <c r="EA208" i="12" a="1"/>
  <c r="EA208" i="12" s="1"/>
  <c r="EA209" i="12" a="1"/>
  <c r="EA209" i="12" s="1"/>
  <c r="EA210" i="12" a="1"/>
  <c r="EA210" i="12" s="1"/>
  <c r="EA211" i="12" a="1"/>
  <c r="EA211" i="12" s="1"/>
  <c r="EA212" i="12" a="1"/>
  <c r="EA212" i="12" s="1"/>
  <c r="EA213" i="12" a="1"/>
  <c r="EA213" i="12" s="1"/>
  <c r="EA214" i="12" a="1"/>
  <c r="EA214" i="12" s="1"/>
  <c r="EA215" i="12" a="1"/>
  <c r="EA215" i="12" s="1"/>
  <c r="EA216" i="12" a="1"/>
  <c r="EA216" i="12" s="1"/>
  <c r="EA217" i="12" a="1"/>
  <c r="EA217" i="12" s="1"/>
  <c r="EA218" i="12" a="1"/>
  <c r="EA218" i="12" s="1"/>
  <c r="EA219" i="12" a="1"/>
  <c r="EA219" i="12" s="1"/>
  <c r="EA220" i="12" a="1"/>
  <c r="EA220" i="12" s="1"/>
  <c r="EA221" i="12" a="1"/>
  <c r="EA221" i="12" s="1"/>
  <c r="EA222" i="12" a="1"/>
  <c r="EA222" i="12" s="1"/>
  <c r="EA223" i="12" a="1"/>
  <c r="EA223" i="12" s="1"/>
  <c r="EA224" i="12" a="1"/>
  <c r="EA224" i="12" s="1"/>
  <c r="EA225" i="12" a="1"/>
  <c r="EA225" i="12" s="1"/>
  <c r="EA226" i="12" a="1"/>
  <c r="EA226" i="12" s="1"/>
  <c r="EA227" i="12" a="1"/>
  <c r="EA227" i="12" s="1"/>
  <c r="EA228" i="12" a="1"/>
  <c r="EA228" i="12" s="1"/>
  <c r="EA229" i="12" a="1"/>
  <c r="EA229" i="12" s="1"/>
  <c r="EA230" i="12" a="1"/>
  <c r="EA230" i="12" s="1"/>
  <c r="EA231" i="12" a="1"/>
  <c r="EA231" i="12" s="1"/>
  <c r="EA232" i="12" a="1"/>
  <c r="EA232" i="12" s="1"/>
  <c r="EA233" i="12" a="1"/>
  <c r="EA233" i="12" s="1"/>
  <c r="EA234" i="12" a="1"/>
  <c r="EA234" i="12" s="1"/>
  <c r="EA235" i="12" a="1"/>
  <c r="EA235" i="12" s="1"/>
  <c r="EA236" i="12" a="1"/>
  <c r="EA236" i="12" s="1"/>
  <c r="EA237" i="12" a="1"/>
  <c r="EA237" i="12" s="1"/>
  <c r="EA238" i="12" a="1"/>
  <c r="EA238" i="12" s="1"/>
  <c r="EA239" i="12" a="1"/>
  <c r="EA239" i="12" s="1"/>
  <c r="EA240" i="12" a="1"/>
  <c r="EA240" i="12" s="1"/>
  <c r="EA241" i="12" a="1"/>
  <c r="EA241" i="12" s="1"/>
  <c r="EA242" i="12" a="1"/>
  <c r="EA242" i="12" s="1"/>
  <c r="EA243" i="12" a="1"/>
  <c r="EA243" i="12" s="1"/>
  <c r="EA244" i="12" a="1"/>
  <c r="EA244" i="12" s="1"/>
  <c r="EA245" i="12" a="1"/>
  <c r="EA245" i="12" s="1"/>
  <c r="EA246" i="12" a="1"/>
  <c r="EA246" i="12" s="1"/>
  <c r="EA247" i="12" a="1"/>
  <c r="EA247" i="12" s="1"/>
  <c r="EA248" i="12" a="1"/>
  <c r="EA248" i="12" s="1"/>
  <c r="EA249" i="12" a="1"/>
  <c r="EA249" i="12" s="1"/>
  <c r="EA250" i="12" a="1"/>
  <c r="EA250" i="12" s="1"/>
  <c r="EA251" i="12" a="1"/>
  <c r="EA251" i="12" s="1"/>
  <c r="EA252" i="12" a="1"/>
  <c r="EA252" i="12" s="1"/>
  <c r="EA253" i="12" a="1"/>
  <c r="EA253" i="12" s="1"/>
  <c r="EA254" i="12" a="1"/>
  <c r="EA254" i="12" s="1"/>
  <c r="EA255" i="12" a="1"/>
  <c r="EA255" i="12" s="1"/>
  <c r="EA256" i="12" a="1"/>
  <c r="EA256" i="12" s="1"/>
  <c r="EA257" i="12" a="1"/>
  <c r="EA257" i="12" s="1"/>
  <c r="EA258" i="12" a="1"/>
  <c r="EA258" i="12" s="1"/>
  <c r="EA259" i="12" a="1"/>
  <c r="EA259" i="12" s="1"/>
  <c r="EA260" i="12" a="1"/>
  <c r="EA260" i="12" s="1"/>
  <c r="EA261" i="12" a="1"/>
  <c r="EA261" i="12" s="1"/>
  <c r="EA262" i="12" a="1"/>
  <c r="EA262" i="12" s="1"/>
  <c r="EA263" i="12" a="1"/>
  <c r="EA263" i="12" s="1"/>
  <c r="EA264" i="12" a="1"/>
  <c r="EA264" i="12" s="1"/>
  <c r="EA265" i="12" a="1"/>
  <c r="EA265" i="12" s="1"/>
  <c r="EA266" i="12" a="1"/>
  <c r="EA266" i="12" s="1"/>
  <c r="EA267" i="12" a="1"/>
  <c r="EA267" i="12" s="1"/>
  <c r="EA268" i="12" a="1"/>
  <c r="EA268" i="12" s="1"/>
  <c r="EA269" i="12" a="1"/>
  <c r="EA269" i="12" s="1"/>
  <c r="EA270" i="12" a="1"/>
  <c r="EA270" i="12" s="1"/>
  <c r="EA271" i="12" a="1"/>
  <c r="EA271" i="12" s="1"/>
  <c r="EA272" i="12" a="1"/>
  <c r="EA272" i="12" s="1"/>
  <c r="EA273" i="12" a="1"/>
  <c r="EA273" i="12" s="1"/>
  <c r="EA274" i="12" a="1"/>
  <c r="EA274" i="12" s="1"/>
  <c r="EA275" i="12" a="1"/>
  <c r="EA275" i="12" s="1"/>
  <c r="EA276" i="12" a="1"/>
  <c r="EA276" i="12" s="1"/>
  <c r="EA277" i="12" a="1"/>
  <c r="EA277" i="12" s="1"/>
  <c r="EA278" i="12" a="1"/>
  <c r="EA278" i="12" s="1"/>
  <c r="EA279" i="12" a="1"/>
  <c r="EA279" i="12" s="1"/>
  <c r="EA280" i="12" a="1"/>
  <c r="EA280" i="12" s="1"/>
  <c r="EA281" i="12" a="1"/>
  <c r="EA281" i="12" s="1"/>
  <c r="EA282" i="12" a="1"/>
  <c r="EA282" i="12" s="1"/>
  <c r="EA283" i="12" a="1"/>
  <c r="EA283" i="12" s="1"/>
  <c r="EA284" i="12" a="1"/>
  <c r="EA284" i="12" s="1"/>
  <c r="EA285" i="12" a="1"/>
  <c r="EA285" i="12" s="1"/>
  <c r="EA286" i="12" a="1"/>
  <c r="EA286" i="12" s="1"/>
  <c r="EA287" i="12" a="1"/>
  <c r="EA287" i="12" s="1"/>
  <c r="EA288" i="12" a="1"/>
  <c r="EA288" i="12" s="1"/>
  <c r="EA289" i="12" a="1"/>
  <c r="EA289" i="12" s="1"/>
  <c r="EA290" i="12" a="1"/>
  <c r="EA290" i="12" s="1"/>
  <c r="EA291" i="12" a="1"/>
  <c r="EA291" i="12" s="1"/>
  <c r="EA292" i="12" a="1"/>
  <c r="EA292" i="12" s="1"/>
  <c r="EA293" i="12" a="1"/>
  <c r="EA293" i="12" s="1"/>
  <c r="EA294" i="12" a="1"/>
  <c r="EA294" i="12" s="1"/>
  <c r="EA295" i="12" a="1"/>
  <c r="EA295" i="12" s="1"/>
  <c r="EA296" i="12" a="1"/>
  <c r="EA296" i="12" s="1"/>
  <c r="EA297" i="12" a="1"/>
  <c r="EA297" i="12" s="1"/>
  <c r="EA298" i="12" a="1"/>
  <c r="EA298" i="12" s="1"/>
  <c r="EA299" i="12" a="1"/>
  <c r="EA299" i="12" s="1"/>
  <c r="EA300" i="12" a="1"/>
  <c r="EA300" i="12" s="1"/>
  <c r="EA301" i="12" a="1"/>
  <c r="EA301" i="12" s="1"/>
  <c r="EA302" i="12" a="1"/>
  <c r="EA302" i="12" s="1"/>
  <c r="EA303" i="12" a="1"/>
  <c r="EA303" i="12" s="1"/>
  <c r="EA304" i="12" a="1"/>
  <c r="EA304" i="12" s="1"/>
  <c r="EA305" i="12" a="1"/>
  <c r="EA305" i="12" s="1"/>
  <c r="EA306" i="12" a="1"/>
  <c r="EA306" i="12" s="1"/>
  <c r="EA307" i="12" a="1"/>
  <c r="EA307" i="12" s="1"/>
  <c r="EA308" i="12" a="1"/>
  <c r="EA308" i="12" s="1"/>
  <c r="EA309" i="12" a="1"/>
  <c r="EA309" i="12" s="1"/>
  <c r="EA310" i="12" a="1"/>
  <c r="EA310" i="12" s="1"/>
  <c r="EA311" i="12" a="1"/>
  <c r="EA311" i="12" s="1"/>
  <c r="EA312" i="12" a="1"/>
  <c r="EA312" i="12" s="1"/>
  <c r="EA313" i="12" a="1"/>
  <c r="EA313" i="12" s="1"/>
  <c r="EA314" i="12" a="1"/>
  <c r="EA314" i="12" s="1"/>
  <c r="EA315" i="12" a="1"/>
  <c r="EA315" i="12" s="1"/>
  <c r="EA316" i="12" a="1"/>
  <c r="EA316" i="12" s="1"/>
  <c r="EA317" i="12" a="1"/>
  <c r="EA317" i="12" s="1"/>
  <c r="EA318" i="12" a="1"/>
  <c r="EA318" i="12" s="1"/>
  <c r="EA319" i="12" a="1"/>
  <c r="EA319" i="12" s="1"/>
  <c r="EA320" i="12" a="1"/>
  <c r="EA320" i="12" s="1"/>
  <c r="EA321" i="12" a="1"/>
  <c r="EA321" i="12" s="1"/>
  <c r="EA322" i="12" a="1"/>
  <c r="EA322" i="12" s="1"/>
  <c r="EA323" i="12" a="1"/>
  <c r="EA323" i="12" s="1"/>
  <c r="EA324" i="12" a="1"/>
  <c r="EA324" i="12" s="1"/>
  <c r="EA325" i="12" a="1"/>
  <c r="EA325" i="12" s="1"/>
  <c r="EA326" i="12" a="1"/>
  <c r="EA326" i="12" s="1"/>
  <c r="EA327" i="12" a="1"/>
  <c r="EA327" i="12" s="1"/>
  <c r="EA328" i="12" a="1"/>
  <c r="EA328" i="12" s="1"/>
  <c r="EA329" i="12" a="1"/>
  <c r="EA329" i="12" s="1"/>
  <c r="EA330" i="12" a="1"/>
  <c r="EA330" i="12" s="1"/>
  <c r="EA331" i="12" a="1"/>
  <c r="EA331" i="12" s="1"/>
  <c r="EA332" i="12" a="1"/>
  <c r="EA332" i="12" s="1"/>
  <c r="EA333" i="12" a="1"/>
  <c r="EA333" i="12" s="1"/>
  <c r="EA334" i="12" a="1"/>
  <c r="EA334" i="12" s="1"/>
  <c r="EA335" i="12" a="1"/>
  <c r="EA335" i="12" s="1"/>
  <c r="EA336" i="12" a="1"/>
  <c r="EA336" i="12" s="1"/>
  <c r="EA337" i="12" a="1"/>
  <c r="EA337" i="12" s="1"/>
  <c r="EA338" i="12" a="1"/>
  <c r="EA338" i="12" s="1"/>
  <c r="EA339" i="12" a="1"/>
  <c r="EA339" i="12" s="1"/>
  <c r="EA340" i="12" a="1"/>
  <c r="EA340" i="12" s="1"/>
  <c r="EA341" i="12" a="1"/>
  <c r="EA341" i="12" s="1"/>
  <c r="EA342" i="12" a="1"/>
  <c r="EA342" i="12" s="1"/>
  <c r="EA343" i="12" a="1"/>
  <c r="EA343" i="12" s="1"/>
  <c r="EA344" i="12" a="1"/>
  <c r="EA344" i="12" s="1"/>
  <c r="EA345" i="12" a="1"/>
  <c r="EA345" i="12" s="1"/>
  <c r="EA346" i="12" a="1"/>
  <c r="EA346" i="12" s="1"/>
  <c r="EA347" i="12" a="1"/>
  <c r="EA347" i="12" s="1"/>
  <c r="EA348" i="12" a="1"/>
  <c r="EA348" i="12" s="1"/>
  <c r="EA349" i="12" a="1"/>
  <c r="EA349" i="12" s="1"/>
  <c r="EA350" i="12" a="1"/>
  <c r="EA350" i="12" s="1"/>
  <c r="EA351" i="12" a="1"/>
  <c r="EA351" i="12" s="1"/>
  <c r="EA352" i="12" a="1"/>
  <c r="EA352" i="12" s="1"/>
  <c r="EA353" i="12" a="1"/>
  <c r="EA353" i="12" s="1"/>
  <c r="EA354" i="12" a="1"/>
  <c r="EA354" i="12" s="1"/>
  <c r="EA355" i="12" a="1"/>
  <c r="EA355" i="12" s="1"/>
  <c r="EA356" i="12" a="1"/>
  <c r="EA356" i="12" s="1"/>
  <c r="EA357" i="12" a="1"/>
  <c r="EA357" i="12" s="1"/>
  <c r="EA358" i="12" a="1"/>
  <c r="EA358" i="12" s="1"/>
  <c r="EA359" i="12" a="1"/>
  <c r="EA359" i="12" s="1"/>
  <c r="EA360" i="12" a="1"/>
  <c r="EA360" i="12" s="1"/>
  <c r="EA361" i="12" a="1"/>
  <c r="EA361" i="12" s="1"/>
  <c r="EA362" i="12" a="1"/>
  <c r="EA362" i="12" s="1"/>
  <c r="EA363" i="12" a="1"/>
  <c r="EA363" i="12" s="1"/>
  <c r="EA364" i="12" a="1"/>
  <c r="EA364" i="12" s="1"/>
  <c r="EA365" i="12" a="1"/>
  <c r="EA365" i="12" s="1"/>
  <c r="EA366" i="12" a="1"/>
  <c r="EA366" i="12" s="1"/>
  <c r="EA367" i="12" a="1"/>
  <c r="EA367" i="12" s="1"/>
  <c r="EA368" i="12" a="1"/>
  <c r="EA368" i="12" s="1"/>
  <c r="EA369" i="12" a="1"/>
  <c r="EA369" i="12" s="1"/>
  <c r="EA370" i="12" a="1"/>
  <c r="EA370" i="12" s="1"/>
  <c r="EA371" i="12" a="1"/>
  <c r="EA371" i="12" s="1"/>
  <c r="EA372" i="12" a="1"/>
  <c r="EA372" i="12" s="1"/>
  <c r="EA373" i="12" a="1"/>
  <c r="EA373" i="12" s="1"/>
  <c r="EA374" i="12" a="1"/>
  <c r="EA374" i="12" s="1"/>
  <c r="EA375" i="12" a="1"/>
  <c r="EA375" i="12" s="1"/>
  <c r="EA376" i="12" a="1"/>
  <c r="EA376" i="12" s="1"/>
  <c r="EA377" i="12" a="1"/>
  <c r="EA377" i="12" s="1"/>
  <c r="EA378" i="12" a="1"/>
  <c r="EA378" i="12" s="1"/>
  <c r="EA379" i="12" a="1"/>
  <c r="EA379" i="12" s="1"/>
  <c r="EA380" i="12" a="1"/>
  <c r="EA380" i="12" s="1"/>
  <c r="EA381" i="12" a="1"/>
  <c r="EA381" i="12" s="1"/>
  <c r="EA382" i="12" a="1"/>
  <c r="EA382" i="12" s="1"/>
  <c r="EA383" i="12" a="1"/>
  <c r="EA383" i="12" s="1"/>
  <c r="EA384" i="12" a="1"/>
  <c r="EA384" i="12" s="1"/>
  <c r="EA385" i="12" a="1"/>
  <c r="EA385" i="12" s="1"/>
  <c r="EA386" i="12" a="1"/>
  <c r="EA386" i="12" s="1"/>
  <c r="EA387" i="12" a="1"/>
  <c r="EA387" i="12" s="1"/>
  <c r="EA388" i="12" a="1"/>
  <c r="EA388" i="12" s="1"/>
  <c r="EA389" i="12" a="1"/>
  <c r="EA389" i="12" s="1"/>
  <c r="EA390" i="12" a="1"/>
  <c r="EA390" i="12" s="1"/>
  <c r="EA391" i="12" a="1"/>
  <c r="EA391" i="12" s="1"/>
  <c r="EA392" i="12" a="1"/>
  <c r="EA392" i="12" s="1"/>
  <c r="EA393" i="12" a="1"/>
  <c r="EA393" i="12" s="1"/>
  <c r="EA394" i="12" a="1"/>
  <c r="EA394" i="12" s="1"/>
  <c r="EA395" i="12" a="1"/>
  <c r="EA395" i="12" s="1"/>
  <c r="EA396" i="12" a="1"/>
  <c r="EA396" i="12" s="1"/>
  <c r="EA397" i="12" a="1"/>
  <c r="EA397" i="12" s="1"/>
  <c r="EA398" i="12" a="1"/>
  <c r="EA398" i="12" s="1"/>
  <c r="EA399" i="12" a="1"/>
  <c r="EA399" i="12" s="1"/>
  <c r="EA400" i="12" a="1"/>
  <c r="EA400" i="12" s="1"/>
  <c r="EA401" i="12" a="1"/>
  <c r="EA401" i="12" s="1"/>
  <c r="EA402" i="12" a="1"/>
  <c r="EA402" i="12" s="1"/>
  <c r="EA403" i="12" a="1"/>
  <c r="EA403" i="12" s="1"/>
  <c r="EA404" i="12" a="1"/>
  <c r="EA404" i="12" s="1"/>
  <c r="EA405" i="12" a="1"/>
  <c r="EA405" i="12" s="1"/>
  <c r="EA406" i="12" a="1"/>
  <c r="EA406" i="12" s="1"/>
  <c r="EA407" i="12" a="1"/>
  <c r="EA407" i="12" s="1"/>
  <c r="EA408" i="12" a="1"/>
  <c r="EA408" i="12" s="1"/>
  <c r="EA409" i="12" a="1"/>
  <c r="EA409" i="12" s="1"/>
  <c r="EA410" i="12" a="1"/>
  <c r="EA410" i="12" s="1"/>
  <c r="EA411" i="12" a="1"/>
  <c r="EA411" i="12" s="1"/>
  <c r="EA412" i="12" a="1"/>
  <c r="EA412" i="12" s="1"/>
  <c r="EA413" i="12" a="1"/>
  <c r="EA413" i="12" s="1"/>
  <c r="EA414" i="12" a="1"/>
  <c r="EA414" i="12" s="1"/>
  <c r="EA415" i="12" a="1"/>
  <c r="EA415" i="12" s="1"/>
  <c r="EA416" i="12" a="1"/>
  <c r="EA416" i="12" s="1"/>
  <c r="EA417" i="12" a="1"/>
  <c r="EA417" i="12" s="1"/>
  <c r="EA418" i="12" a="1"/>
  <c r="EA418" i="12" s="1"/>
  <c r="EA419" i="12" a="1"/>
  <c r="EA419" i="12" s="1"/>
  <c r="EA420" i="12" a="1"/>
  <c r="EA420" i="12" s="1"/>
  <c r="EA421" i="12" a="1"/>
  <c r="EA421" i="12" s="1"/>
  <c r="EA422" i="12" a="1"/>
  <c r="EA422" i="12" s="1"/>
  <c r="EA423" i="12" a="1"/>
  <c r="EA423" i="12" s="1"/>
  <c r="EA424" i="12" a="1"/>
  <c r="EA424" i="12" s="1"/>
  <c r="EA425" i="12" a="1"/>
  <c r="EA425" i="12" s="1"/>
  <c r="EA426" i="12" a="1"/>
  <c r="EA426" i="12" s="1"/>
  <c r="EA427" i="12" a="1"/>
  <c r="EA427" i="12" s="1"/>
  <c r="EA428" i="12" a="1"/>
  <c r="EA428" i="12" s="1"/>
  <c r="EA429" i="12" a="1"/>
  <c r="EA429" i="12" s="1"/>
  <c r="EA430" i="12" a="1"/>
  <c r="EA430" i="12" s="1"/>
  <c r="EA431" i="12" a="1"/>
  <c r="EA431" i="12" s="1"/>
  <c r="EA432" i="12" a="1"/>
  <c r="EA432" i="12" s="1"/>
  <c r="EA433" i="12" a="1"/>
  <c r="EA433" i="12" s="1"/>
  <c r="EA434" i="12" a="1"/>
  <c r="EA434" i="12" s="1"/>
  <c r="EA435" i="12" a="1"/>
  <c r="EA435" i="12" s="1"/>
  <c r="EA436" i="12" a="1"/>
  <c r="EA436" i="12" s="1"/>
  <c r="EA437" i="12" a="1"/>
  <c r="EA437" i="12" s="1"/>
  <c r="EA438" i="12" a="1"/>
  <c r="EA438" i="12" s="1"/>
  <c r="EA439" i="12" a="1"/>
  <c r="EA439" i="12" s="1"/>
  <c r="EA440" i="12" a="1"/>
  <c r="EA440" i="12" s="1"/>
  <c r="EA441" i="12" a="1"/>
  <c r="EA441" i="12" s="1"/>
  <c r="EA442" i="12" a="1"/>
  <c r="EA442" i="12" s="1"/>
  <c r="EA443" i="12" a="1"/>
  <c r="EA443" i="12" s="1"/>
  <c r="EA444" i="12" a="1"/>
  <c r="EA444" i="12" s="1"/>
  <c r="EA445" i="12" a="1"/>
  <c r="EA445" i="12" s="1"/>
  <c r="EA446" i="12" a="1"/>
  <c r="EA446" i="12" s="1"/>
  <c r="EA447" i="12" a="1"/>
  <c r="EA447" i="12" s="1"/>
  <c r="EA448" i="12" a="1"/>
  <c r="EA448" i="12" s="1"/>
  <c r="EA449" i="12" a="1"/>
  <c r="EA449" i="12" s="1"/>
  <c r="EA450" i="12" a="1"/>
  <c r="EA450" i="12" s="1"/>
  <c r="EA451" i="12" a="1"/>
  <c r="EA451" i="12" s="1"/>
  <c r="EA452" i="12" a="1"/>
  <c r="EA452" i="12" s="1"/>
  <c r="EA453" i="12" a="1"/>
  <c r="EA453" i="12" s="1"/>
  <c r="EA454" i="12" a="1"/>
  <c r="EA454" i="12" s="1"/>
  <c r="EA455" i="12" a="1"/>
  <c r="EA455" i="12" s="1"/>
  <c r="EA456" i="12" a="1"/>
  <c r="EA456" i="12" s="1"/>
  <c r="EA457" i="12" a="1"/>
  <c r="EA457" i="12" s="1"/>
  <c r="EA458" i="12" a="1"/>
  <c r="EA458" i="12" s="1"/>
  <c r="EA459" i="12" a="1"/>
  <c r="EA459" i="12" s="1"/>
  <c r="EA460" i="12" a="1"/>
  <c r="EA460" i="12" s="1"/>
  <c r="EA461" i="12" a="1"/>
  <c r="EA461" i="12" s="1"/>
  <c r="EA462" i="12" a="1"/>
  <c r="EA462" i="12" s="1"/>
  <c r="EA463" i="12" a="1"/>
  <c r="EA463" i="12" s="1"/>
  <c r="EA464" i="12" a="1"/>
  <c r="EA464" i="12" s="1"/>
  <c r="EA465" i="12" a="1"/>
  <c r="EA465" i="12" s="1"/>
  <c r="EA466" i="12" a="1"/>
  <c r="EA466" i="12" s="1"/>
  <c r="EA467" i="12" a="1"/>
  <c r="EA467" i="12" s="1"/>
  <c r="EA468" i="12" a="1"/>
  <c r="EA468" i="12" s="1"/>
  <c r="EA469" i="12" a="1"/>
  <c r="EA469" i="12" s="1"/>
  <c r="EA470" i="12" a="1"/>
  <c r="EA470" i="12" s="1"/>
  <c r="EA471" i="12" a="1"/>
  <c r="EA471" i="12" s="1"/>
  <c r="EA472" i="12" a="1"/>
  <c r="EA472" i="12" s="1"/>
  <c r="EA473" i="12" a="1"/>
  <c r="EA473" i="12" s="1"/>
  <c r="EA474" i="12" a="1"/>
  <c r="EA474" i="12" s="1"/>
  <c r="EA475" i="12" a="1"/>
  <c r="EA475" i="12" s="1"/>
  <c r="EA476" i="12" a="1"/>
  <c r="EA476" i="12" s="1"/>
  <c r="EA477" i="12" a="1"/>
  <c r="EA477" i="12" s="1"/>
  <c r="EA478" i="12" a="1"/>
  <c r="EA478" i="12" s="1"/>
  <c r="EA479" i="12" a="1"/>
  <c r="EA479" i="12" s="1"/>
  <c r="EA480" i="12" a="1"/>
  <c r="EA480" i="12" s="1"/>
  <c r="EA481" i="12" a="1"/>
  <c r="EA481" i="12" s="1"/>
  <c r="EA482" i="12" a="1"/>
  <c r="EA482" i="12" s="1"/>
  <c r="EA483" i="12" a="1"/>
  <c r="EA483" i="12" s="1"/>
  <c r="EA484" i="12" a="1"/>
  <c r="EA484" i="12" s="1"/>
  <c r="EA485" i="12" a="1"/>
  <c r="EA485" i="12" s="1"/>
  <c r="EA486" i="12" a="1"/>
  <c r="EA486" i="12" s="1"/>
  <c r="EA487" i="12" a="1"/>
  <c r="EA487" i="12" s="1"/>
  <c r="EA488" i="12" a="1"/>
  <c r="EA488" i="12" s="1"/>
  <c r="EA489" i="12" a="1"/>
  <c r="EA489" i="12" s="1"/>
  <c r="EA490" i="12" a="1"/>
  <c r="EA490" i="12" s="1"/>
  <c r="EA491" i="12" a="1"/>
  <c r="EA491" i="12" s="1"/>
  <c r="EA492" i="12" a="1"/>
  <c r="EA492" i="12" s="1"/>
  <c r="EA493" i="12" a="1"/>
  <c r="EA493" i="12" s="1"/>
  <c r="EA494" i="12" a="1"/>
  <c r="EA494" i="12" s="1"/>
  <c r="EA495" i="12" a="1"/>
  <c r="EA495" i="12" s="1"/>
  <c r="EA496" i="12" a="1"/>
  <c r="EA496" i="12" s="1"/>
  <c r="EA497" i="12" a="1"/>
  <c r="EA497" i="12" s="1"/>
  <c r="EA498" i="12" a="1"/>
  <c r="EA498" i="12" s="1"/>
  <c r="EA499" i="12" a="1"/>
  <c r="EA499" i="12" s="1"/>
  <c r="EA500" i="12" a="1"/>
  <c r="EA500" i="12" s="1"/>
  <c r="EA501" i="12" a="1"/>
  <c r="EA501" i="12" s="1"/>
  <c r="EA502" i="12" a="1"/>
  <c r="EA502" i="12" s="1"/>
  <c r="EA503" i="12" a="1"/>
  <c r="EA503" i="12" s="1"/>
  <c r="EA504" i="12" a="1"/>
  <c r="EA504" i="12" s="1"/>
  <c r="EA505" i="12" a="1"/>
  <c r="EA505" i="12" s="1"/>
  <c r="EA506" i="12" a="1"/>
  <c r="EA506" i="12" s="1"/>
  <c r="EA507" i="12" a="1"/>
  <c r="EA507" i="12" s="1"/>
  <c r="EA508" i="12" a="1"/>
  <c r="EA508" i="12" s="1"/>
  <c r="EA509" i="12" a="1"/>
  <c r="EA509" i="12" s="1"/>
  <c r="EA510" i="12" a="1"/>
  <c r="EA510" i="12" s="1"/>
  <c r="EA511" i="12" a="1"/>
  <c r="EA511" i="12" s="1"/>
  <c r="EA512" i="12" a="1"/>
  <c r="EA512" i="12" s="1"/>
  <c r="EA513" i="12" a="1"/>
  <c r="EA513" i="12" s="1"/>
  <c r="EA514" i="12" a="1"/>
  <c r="EA514" i="12" s="1"/>
  <c r="EA515" i="12" a="1"/>
  <c r="EA515" i="12" s="1"/>
  <c r="EA516" i="12" a="1"/>
  <c r="EA516" i="12" s="1"/>
  <c r="EA517" i="12" a="1"/>
  <c r="EA517" i="12" s="1"/>
  <c r="EA518" i="12" a="1"/>
  <c r="EA518" i="12" s="1"/>
  <c r="EA519" i="12" a="1"/>
  <c r="EA519" i="12" s="1"/>
  <c r="EA520" i="12" a="1"/>
  <c r="EA520" i="12" s="1"/>
  <c r="EA521" i="12" a="1"/>
  <c r="EA521" i="12" s="1"/>
  <c r="EA522" i="12" a="1"/>
  <c r="EA522" i="12" s="1"/>
  <c r="EA523" i="12" a="1"/>
  <c r="EA523" i="12" s="1"/>
  <c r="EA524" i="12" a="1"/>
  <c r="EA524" i="12" s="1"/>
  <c r="EA525" i="12" a="1"/>
  <c r="EA525" i="12" s="1"/>
  <c r="EA526" i="12" a="1"/>
  <c r="EA526" i="12" s="1"/>
  <c r="EA527" i="12" a="1"/>
  <c r="EA527" i="12" s="1"/>
  <c r="EA528" i="12" a="1"/>
  <c r="EA528" i="12" s="1"/>
  <c r="EA529" i="12" a="1"/>
  <c r="EA529" i="12" s="1"/>
  <c r="EA530" i="12" a="1"/>
  <c r="EA530" i="12" s="1"/>
  <c r="EA531" i="12" a="1"/>
  <c r="EA531" i="12" s="1"/>
  <c r="EA532" i="12" a="1"/>
  <c r="EA532" i="12" s="1"/>
  <c r="EA533" i="12" a="1"/>
  <c r="EA533" i="12" s="1"/>
  <c r="EA534" i="12" a="1"/>
  <c r="EA534" i="12" s="1"/>
  <c r="EA535" i="12" a="1"/>
  <c r="EA535" i="12" s="1"/>
  <c r="EA536" i="12" a="1"/>
  <c r="EA536" i="12" s="1"/>
  <c r="EA537" i="12" a="1"/>
  <c r="EA537" i="12" s="1"/>
  <c r="EA538" i="12" a="1"/>
  <c r="EA538" i="12" s="1"/>
  <c r="EA539" i="12" a="1"/>
  <c r="EA539" i="12" s="1"/>
  <c r="EA540" i="12" a="1"/>
  <c r="EA540" i="12" s="1"/>
  <c r="EA541" i="12" a="1"/>
  <c r="EA541" i="12" s="1"/>
  <c r="EA542" i="12" a="1"/>
  <c r="EA542" i="12" s="1"/>
  <c r="EA543" i="12" a="1"/>
  <c r="EA543" i="12" s="1"/>
  <c r="EA544" i="12" a="1"/>
  <c r="EA544" i="12" s="1"/>
  <c r="EA545" i="12" a="1"/>
  <c r="EA545" i="12" s="1"/>
  <c r="EA546" i="12" a="1"/>
  <c r="EA546" i="12" s="1"/>
  <c r="EA547" i="12" a="1"/>
  <c r="EA547" i="12" s="1"/>
  <c r="EA548" i="12" a="1"/>
  <c r="EA548" i="12" s="1"/>
  <c r="EA549" i="12" a="1"/>
  <c r="EA549" i="12" s="1"/>
  <c r="EA550" i="12" a="1"/>
  <c r="EA550" i="12" s="1"/>
  <c r="EA551" i="12" a="1"/>
  <c r="EA551" i="12" s="1"/>
  <c r="EA552" i="12" a="1"/>
  <c r="EA552" i="12" s="1"/>
  <c r="EA553" i="12" a="1"/>
  <c r="EA553" i="12" s="1"/>
  <c r="EA554" i="12" a="1"/>
  <c r="EA554" i="12" s="1"/>
  <c r="EA555" i="12" a="1"/>
  <c r="EA555" i="12" s="1"/>
  <c r="EA556" i="12" a="1"/>
  <c r="EA556" i="12" s="1"/>
  <c r="EA557" i="12" a="1"/>
  <c r="EA557" i="12" s="1"/>
  <c r="EA558" i="12" a="1"/>
  <c r="EA558" i="12" s="1"/>
  <c r="EA559" i="12" a="1"/>
  <c r="EA559" i="12" s="1"/>
  <c r="EA560" i="12" a="1"/>
  <c r="EA560" i="12" s="1"/>
  <c r="EA561" i="12" a="1"/>
  <c r="EA561" i="12" s="1"/>
  <c r="EA562" i="12" a="1"/>
  <c r="EA562" i="12" s="1"/>
  <c r="EA563" i="12" a="1"/>
  <c r="EA563" i="12" s="1"/>
  <c r="EA564" i="12" a="1"/>
  <c r="EA564" i="12" s="1"/>
  <c r="EA565" i="12" a="1"/>
  <c r="EA565" i="12" s="1"/>
  <c r="EA566" i="12" a="1"/>
  <c r="EA566" i="12" s="1"/>
  <c r="EA567" i="12" a="1"/>
  <c r="EA567" i="12" s="1"/>
  <c r="EA568" i="12" a="1"/>
  <c r="EA568" i="12" s="1"/>
  <c r="EA569" i="12" a="1"/>
  <c r="EA569" i="12" s="1"/>
  <c r="EA570" i="12" a="1"/>
  <c r="EA570" i="12" s="1"/>
  <c r="EA571" i="12" a="1"/>
  <c r="EA571" i="12" s="1"/>
  <c r="EA572" i="12" a="1"/>
  <c r="EA572" i="12" s="1"/>
  <c r="EA573" i="12" a="1"/>
  <c r="EA573" i="12" s="1"/>
  <c r="EA574" i="12" a="1"/>
  <c r="EA574" i="12" s="1"/>
  <c r="EA575" i="12" a="1"/>
  <c r="EA575" i="12" s="1"/>
  <c r="EA576" i="12" a="1"/>
  <c r="EA576" i="12" s="1"/>
  <c r="EA577" i="12" a="1"/>
  <c r="EA577" i="12" s="1"/>
  <c r="EA578" i="12" a="1"/>
  <c r="EA578" i="12" s="1"/>
  <c r="EA579" i="12" a="1"/>
  <c r="EA579" i="12" s="1"/>
  <c r="EA580" i="12" a="1"/>
  <c r="EA580" i="12" s="1"/>
  <c r="EA581" i="12" a="1"/>
  <c r="EA581" i="12" s="1"/>
  <c r="EA582" i="12" a="1"/>
  <c r="EA582" i="12" s="1"/>
  <c r="EA583" i="12" a="1"/>
  <c r="EA583" i="12" s="1"/>
  <c r="EA584" i="12" a="1"/>
  <c r="EA584" i="12" s="1"/>
  <c r="EA585" i="12" a="1"/>
  <c r="EA585" i="12" s="1"/>
  <c r="EA586" i="12" a="1"/>
  <c r="EA586" i="12" s="1"/>
  <c r="EA587" i="12" a="1"/>
  <c r="EA587" i="12" s="1"/>
  <c r="EA588" i="12" a="1"/>
  <c r="EA588" i="12" s="1"/>
  <c r="EA589" i="12" a="1"/>
  <c r="EA589" i="12" s="1"/>
  <c r="EA590" i="12" a="1"/>
  <c r="EA590" i="12" s="1"/>
  <c r="EA591" i="12" a="1"/>
  <c r="EA591" i="12" s="1"/>
  <c r="EA592" i="12" a="1"/>
  <c r="EA592" i="12" s="1"/>
  <c r="EA593" i="12" a="1"/>
  <c r="EA593" i="12" s="1"/>
  <c r="EA594" i="12" a="1"/>
  <c r="EA594" i="12" s="1"/>
  <c r="EA595" i="12" a="1"/>
  <c r="EA595" i="12" s="1"/>
  <c r="EA596" i="12" a="1"/>
  <c r="EA596" i="12" s="1"/>
  <c r="EA597" i="12" a="1"/>
  <c r="EA597" i="12" s="1"/>
  <c r="EA598" i="12" a="1"/>
  <c r="EA598" i="12" s="1"/>
  <c r="EA599" i="12" a="1"/>
  <c r="EA599" i="12" s="1"/>
  <c r="EA600" i="12" a="1"/>
  <c r="EA600" i="12" s="1"/>
  <c r="EA601" i="12" a="1"/>
  <c r="EA601" i="12" s="1"/>
  <c r="EA602" i="12" a="1"/>
  <c r="EA602" i="12" s="1"/>
  <c r="BQ601" i="12" a="1"/>
  <c r="BQ601" i="12" s="1"/>
  <c r="BQ602" i="12" a="1"/>
  <c r="BQ602" i="12" s="1"/>
  <c r="W3" i="1"/>
  <c r="W4" i="1"/>
  <c r="W5" i="1"/>
  <c r="W6" i="1"/>
  <c r="W7" i="1"/>
  <c r="W8" i="1"/>
  <c r="W2" i="1"/>
  <c r="BQ603" i="12" a="1"/>
  <c r="BQ603" i="12" s="1"/>
  <c r="BQ604" i="12" a="1"/>
  <c r="BQ604" i="12" s="1"/>
  <c r="BQ605" i="12" a="1"/>
  <c r="BQ605" i="12" s="1"/>
  <c r="BQ606" i="12" a="1"/>
  <c r="BQ606" i="12" s="1"/>
  <c r="BQ607" i="12" a="1"/>
  <c r="BQ607" i="12" s="1"/>
  <c r="BQ608" i="12" a="1"/>
  <c r="BQ608" i="12" s="1"/>
  <c r="BQ609" i="12" a="1"/>
  <c r="BQ609" i="12" s="1"/>
  <c r="BQ610" i="12" a="1"/>
  <c r="BQ610" i="12" s="1"/>
  <c r="BQ611" i="12" a="1"/>
  <c r="BQ611" i="12" s="1"/>
  <c r="BQ612" i="12" a="1"/>
  <c r="BQ612" i="12" s="1"/>
  <c r="BQ613" i="12" a="1"/>
  <c r="BQ613" i="12" s="1"/>
  <c r="BQ614" i="12" a="1"/>
  <c r="BQ614" i="12" s="1"/>
  <c r="BQ615" i="12" a="1"/>
  <c r="BQ615" i="12" s="1"/>
  <c r="BQ616" i="12" a="1"/>
  <c r="BQ616" i="12" s="1"/>
  <c r="BQ617" i="12" a="1"/>
  <c r="BQ617" i="12" s="1"/>
  <c r="BQ618" i="12" a="1"/>
  <c r="BQ618" i="12" s="1"/>
  <c r="BQ619" i="12" a="1"/>
  <c r="BQ619" i="12" s="1"/>
  <c r="BQ620" i="12" a="1"/>
  <c r="BQ620" i="12" s="1"/>
  <c r="BQ621" i="12" a="1"/>
  <c r="BQ621" i="12" s="1"/>
  <c r="BQ622" i="12" a="1"/>
  <c r="BQ622" i="12" s="1"/>
  <c r="BQ623" i="12" a="1"/>
  <c r="BQ623" i="12" s="1"/>
  <c r="BQ624" i="12" a="1"/>
  <c r="BQ624" i="12" s="1"/>
  <c r="BQ625" i="12" a="1"/>
  <c r="BQ625" i="12" s="1"/>
  <c r="BQ626" i="12" a="1"/>
  <c r="BQ626" i="12" s="1"/>
  <c r="BQ627" i="12" a="1"/>
  <c r="BQ627" i="12" s="1"/>
  <c r="BQ628" i="12" a="1"/>
  <c r="BQ628" i="12" s="1"/>
  <c r="BQ629" i="12" a="1"/>
  <c r="BQ629" i="12" s="1"/>
  <c r="BQ630" i="12" a="1"/>
  <c r="BQ630" i="12" s="1"/>
  <c r="BQ631" i="12" a="1"/>
  <c r="BQ631" i="12" s="1"/>
  <c r="BQ632" i="12" a="1"/>
  <c r="BQ632" i="12" s="1"/>
  <c r="BQ633" i="12" a="1"/>
  <c r="BQ633" i="12" s="1"/>
  <c r="BQ634" i="12" a="1"/>
  <c r="BQ634" i="12" s="1"/>
  <c r="BQ635" i="12" a="1"/>
  <c r="BQ635" i="12" s="1"/>
  <c r="BQ636" i="12" a="1"/>
  <c r="BQ636" i="12" s="1"/>
  <c r="BQ637" i="12" a="1"/>
  <c r="BQ637" i="12" s="1"/>
  <c r="A601" i="12" a="1"/>
  <c r="A601" i="12" s="1"/>
  <c r="A602" i="12" a="1"/>
  <c r="A602" i="12" s="1"/>
  <c r="S601" i="12" a="1"/>
  <c r="S601" i="12" s="1"/>
  <c r="S602" i="12" a="1"/>
  <c r="S602" i="12" s="1"/>
  <c r="G2" i="1"/>
  <c r="G3" i="1"/>
  <c r="J3" i="1" s="1"/>
  <c r="L3" i="1" s="1"/>
  <c r="G4" i="1"/>
  <c r="J4" i="1" s="1"/>
  <c r="L4" i="1" s="1"/>
  <c r="G5" i="1"/>
  <c r="J5" i="1" s="1"/>
  <c r="L5" i="1" s="1"/>
  <c r="G6" i="1"/>
  <c r="J6" i="1" s="1"/>
  <c r="L6" i="1" s="1"/>
  <c r="G7" i="1"/>
  <c r="J7" i="1" s="1"/>
  <c r="L7" i="1" s="1"/>
  <c r="G8" i="1"/>
  <c r="J8" i="1" s="1"/>
  <c r="L8" i="1" s="1"/>
  <c r="C2" i="1"/>
  <c r="S11" i="1" l="1"/>
  <c r="T11" i="1"/>
  <c r="BD600" i="12" a="1"/>
  <c r="BD600" i="12" s="1"/>
  <c r="BD599" i="12" a="1"/>
  <c r="BD599" i="12" s="1"/>
  <c r="BD598" i="12" a="1"/>
  <c r="BD598" i="12" s="1"/>
  <c r="BD597" i="12" a="1"/>
  <c r="BD597" i="12" s="1"/>
  <c r="BD596" i="12" a="1"/>
  <c r="BD596" i="12" s="1"/>
  <c r="BD595" i="12" a="1"/>
  <c r="BD595" i="12" s="1"/>
  <c r="BD594" i="12" a="1"/>
  <c r="BD594" i="12" s="1"/>
  <c r="BD593" i="12" a="1"/>
  <c r="BD593" i="12" s="1"/>
  <c r="BD592" i="12" a="1"/>
  <c r="BD592" i="12" s="1"/>
  <c r="BD591" i="12" a="1"/>
  <c r="BD591" i="12" s="1"/>
  <c r="BD590" i="12" a="1"/>
  <c r="BD590" i="12" s="1"/>
  <c r="BD589" i="12" a="1"/>
  <c r="BD589" i="12" s="1"/>
  <c r="BD588" i="12" a="1"/>
  <c r="BD588" i="12" s="1"/>
  <c r="BD587" i="12" a="1"/>
  <c r="BD587" i="12" s="1"/>
  <c r="BD586" i="12" a="1"/>
  <c r="BD586" i="12" s="1"/>
  <c r="BD585" i="12" a="1"/>
  <c r="BD585" i="12" s="1"/>
  <c r="BD584" i="12" a="1"/>
  <c r="BD584" i="12" s="1"/>
  <c r="BD583" i="12" a="1"/>
  <c r="BD583" i="12" s="1"/>
  <c r="BD582" i="12" a="1"/>
  <c r="BD582" i="12" s="1"/>
  <c r="BD581" i="12" a="1"/>
  <c r="BD581" i="12" s="1"/>
  <c r="BD580" i="12" a="1"/>
  <c r="BD580" i="12" s="1"/>
  <c r="BD579" i="12" a="1"/>
  <c r="BD579" i="12" s="1"/>
  <c r="BD578" i="12" a="1"/>
  <c r="BD578" i="12" s="1"/>
  <c r="BD577" i="12" a="1"/>
  <c r="BD577" i="12" s="1"/>
  <c r="BD576" i="12" a="1"/>
  <c r="BD576" i="12" s="1"/>
  <c r="BD575" i="12" a="1"/>
  <c r="BD575" i="12" s="1"/>
  <c r="BD574" i="12" a="1"/>
  <c r="BD574" i="12" s="1"/>
  <c r="BD573" i="12" a="1"/>
  <c r="BD573" i="12" s="1"/>
  <c r="BD572" i="12" a="1"/>
  <c r="BD572" i="12" s="1"/>
  <c r="BD571" i="12" a="1"/>
  <c r="BD571" i="12" s="1"/>
  <c r="BD570" i="12" a="1"/>
  <c r="BD570" i="12" s="1"/>
  <c r="BD569" i="12" a="1"/>
  <c r="BD569" i="12" s="1"/>
  <c r="BD568" i="12" a="1"/>
  <c r="BD568" i="12" s="1"/>
  <c r="BD567" i="12" a="1"/>
  <c r="BD567" i="12" s="1"/>
  <c r="BD566" i="12" a="1"/>
  <c r="BD566" i="12" s="1"/>
  <c r="BD565" i="12" a="1"/>
  <c r="BD565" i="12" s="1"/>
  <c r="BD564" i="12" a="1"/>
  <c r="BD564" i="12" s="1"/>
  <c r="BD563" i="12" a="1"/>
  <c r="BD563" i="12" s="1"/>
  <c r="BD562" i="12" a="1"/>
  <c r="BD562" i="12" s="1"/>
  <c r="BD561" i="12" a="1"/>
  <c r="BD561" i="12" s="1"/>
  <c r="BD560" i="12" a="1"/>
  <c r="BD560" i="12" s="1"/>
  <c r="BD559" i="12" a="1"/>
  <c r="BD559" i="12" s="1"/>
  <c r="BD558" i="12" a="1"/>
  <c r="BD558" i="12" s="1"/>
  <c r="BD557" i="12" a="1"/>
  <c r="BD557" i="12" s="1"/>
  <c r="BD556" i="12" a="1"/>
  <c r="BD556" i="12" s="1"/>
  <c r="BD555" i="12" a="1"/>
  <c r="BD555" i="12" s="1"/>
  <c r="BD554" i="12" a="1"/>
  <c r="BD554" i="12" s="1"/>
  <c r="BD553" i="12" a="1"/>
  <c r="BD553" i="12" s="1"/>
  <c r="BD552" i="12" a="1"/>
  <c r="BD552" i="12" s="1"/>
  <c r="BD551" i="12" a="1"/>
  <c r="BD551" i="12" s="1"/>
  <c r="BD550" i="12" a="1"/>
  <c r="BD550" i="12" s="1"/>
  <c r="BD549" i="12" a="1"/>
  <c r="BD549" i="12" s="1"/>
  <c r="BD548" i="12" a="1"/>
  <c r="BD548" i="12" s="1"/>
  <c r="BD547" i="12" a="1"/>
  <c r="BD547" i="12" s="1"/>
  <c r="BD546" i="12" a="1"/>
  <c r="BD546" i="12" s="1"/>
  <c r="BD545" i="12" a="1"/>
  <c r="BD545" i="12" s="1"/>
  <c r="BD544" i="12" a="1"/>
  <c r="BD544" i="12" s="1"/>
  <c r="BD543" i="12" a="1"/>
  <c r="BD543" i="12" s="1"/>
  <c r="BD542" i="12" a="1"/>
  <c r="BD542" i="12" s="1"/>
  <c r="BD541" i="12" a="1"/>
  <c r="BD541" i="12" s="1"/>
  <c r="BD540" i="12" a="1"/>
  <c r="BD540" i="12" s="1"/>
  <c r="BD539" i="12" a="1"/>
  <c r="BD539" i="12" s="1"/>
  <c r="BD538" i="12" a="1"/>
  <c r="BD538" i="12" s="1"/>
  <c r="BD537" i="12" a="1"/>
  <c r="BD537" i="12" s="1"/>
  <c r="BD536" i="12" a="1"/>
  <c r="BD536" i="12" s="1"/>
  <c r="BD535" i="12" a="1"/>
  <c r="BD535" i="12" s="1"/>
  <c r="BD534" i="12" a="1"/>
  <c r="BD534" i="12" s="1"/>
  <c r="BD533" i="12" a="1"/>
  <c r="BD533" i="12" s="1"/>
  <c r="BD532" i="12" a="1"/>
  <c r="BD532" i="12" s="1"/>
  <c r="BD531" i="12" a="1"/>
  <c r="BD531" i="12" s="1"/>
  <c r="BD530" i="12" a="1"/>
  <c r="BD530" i="12" s="1"/>
  <c r="BD529" i="12" a="1"/>
  <c r="BD529" i="12" s="1"/>
  <c r="BD528" i="12" a="1"/>
  <c r="BD528" i="12" s="1"/>
  <c r="BD527" i="12" a="1"/>
  <c r="BD527" i="12" s="1"/>
  <c r="BD526" i="12" a="1"/>
  <c r="BD526" i="12" s="1"/>
  <c r="BD525" i="12" a="1"/>
  <c r="BD525" i="12" s="1"/>
  <c r="BD524" i="12" a="1"/>
  <c r="BD524" i="12" s="1"/>
  <c r="BD523" i="12" a="1"/>
  <c r="BD523" i="12" s="1"/>
  <c r="BD522" i="12" a="1"/>
  <c r="BD522" i="12" s="1"/>
  <c r="BD521" i="12" a="1"/>
  <c r="BD521" i="12" s="1"/>
  <c r="BD520" i="12" a="1"/>
  <c r="BD520" i="12" s="1"/>
  <c r="BD519" i="12" a="1"/>
  <c r="BD519" i="12" s="1"/>
  <c r="BD518" i="12" a="1"/>
  <c r="BD518" i="12" s="1"/>
  <c r="BD517" i="12" a="1"/>
  <c r="BD517" i="12" s="1"/>
  <c r="BD516" i="12" a="1"/>
  <c r="BD516" i="12" s="1"/>
  <c r="BD515" i="12" a="1"/>
  <c r="BD515" i="12" s="1"/>
  <c r="BD514" i="12" a="1"/>
  <c r="BD514" i="12" s="1"/>
  <c r="BD513" i="12" a="1"/>
  <c r="BD513" i="12" s="1"/>
  <c r="BD512" i="12" a="1"/>
  <c r="BD512" i="12" s="1"/>
  <c r="BD511" i="12" a="1"/>
  <c r="BD511" i="12" s="1"/>
  <c r="BD510" i="12" a="1"/>
  <c r="BD510" i="12" s="1"/>
  <c r="BD509" i="12" a="1"/>
  <c r="BD509" i="12" s="1"/>
  <c r="BD508" i="12" a="1"/>
  <c r="BD508" i="12" s="1"/>
  <c r="BD507" i="12" a="1"/>
  <c r="BD507" i="12" s="1"/>
  <c r="BD506" i="12" a="1"/>
  <c r="BD506" i="12" s="1"/>
  <c r="BD505" i="12" a="1"/>
  <c r="BD505" i="12" s="1"/>
  <c r="BD504" i="12" a="1"/>
  <c r="BD504" i="12" s="1"/>
  <c r="BD503" i="12" a="1"/>
  <c r="BD503" i="12" s="1"/>
  <c r="BD502" i="12" a="1"/>
  <c r="BD502" i="12" s="1"/>
  <c r="BD501" i="12" a="1"/>
  <c r="BD501" i="12" s="1"/>
  <c r="BD500" i="12" a="1"/>
  <c r="BD500" i="12" s="1"/>
  <c r="BD499" i="12" a="1"/>
  <c r="BD499" i="12" s="1"/>
  <c r="BD498" i="12" a="1"/>
  <c r="BD498" i="12" s="1"/>
  <c r="BD497" i="12" a="1"/>
  <c r="BD497" i="12" s="1"/>
  <c r="BD496" i="12" a="1"/>
  <c r="BD496" i="12" s="1"/>
  <c r="BD495" i="12" a="1"/>
  <c r="BD495" i="12" s="1"/>
  <c r="BD494" i="12" a="1"/>
  <c r="BD494" i="12" s="1"/>
  <c r="BD493" i="12" a="1"/>
  <c r="BD493" i="12" s="1"/>
  <c r="BD492" i="12" a="1"/>
  <c r="BD492" i="12" s="1"/>
  <c r="BD491" i="12" a="1"/>
  <c r="BD491" i="12" s="1"/>
  <c r="BD490" i="12" a="1"/>
  <c r="BD490" i="12" s="1"/>
  <c r="BD489" i="12" a="1"/>
  <c r="BD489" i="12" s="1"/>
  <c r="BD488" i="12" a="1"/>
  <c r="BD488" i="12" s="1"/>
  <c r="BD487" i="12" a="1"/>
  <c r="BD487" i="12" s="1"/>
  <c r="BD486" i="12" a="1"/>
  <c r="BD486" i="12" s="1"/>
  <c r="BD485" i="12" a="1"/>
  <c r="BD485" i="12" s="1"/>
  <c r="BD484" i="12" a="1"/>
  <c r="BD484" i="12" s="1"/>
  <c r="BD483" i="12" a="1"/>
  <c r="BD483" i="12" s="1"/>
  <c r="BD482" i="12" a="1"/>
  <c r="BD482" i="12" s="1"/>
  <c r="BD481" i="12" a="1"/>
  <c r="BD481" i="12" s="1"/>
  <c r="BD480" i="12" a="1"/>
  <c r="BD480" i="12" s="1"/>
  <c r="BD479" i="12" a="1"/>
  <c r="BD479" i="12" s="1"/>
  <c r="BD478" i="12" a="1"/>
  <c r="BD478" i="12" s="1"/>
  <c r="BD477" i="12" a="1"/>
  <c r="BD477" i="12" s="1"/>
  <c r="BD476" i="12" a="1"/>
  <c r="BD476" i="12" s="1"/>
  <c r="BD475" i="12" a="1"/>
  <c r="BD475" i="12" s="1"/>
  <c r="BD474" i="12" a="1"/>
  <c r="BD474" i="12" s="1"/>
  <c r="BD473" i="12" a="1"/>
  <c r="BD473" i="12" s="1"/>
  <c r="BD472" i="12" a="1"/>
  <c r="BD472" i="12" s="1"/>
  <c r="BD471" i="12" a="1"/>
  <c r="BD471" i="12" s="1"/>
  <c r="BD470" i="12" a="1"/>
  <c r="BD470" i="12" s="1"/>
  <c r="BD469" i="12" a="1"/>
  <c r="BD469" i="12" s="1"/>
  <c r="BD468" i="12" a="1"/>
  <c r="BD468" i="12" s="1"/>
  <c r="BD467" i="12" a="1"/>
  <c r="BD467" i="12" s="1"/>
  <c r="BD466" i="12" a="1"/>
  <c r="BD466" i="12" s="1"/>
  <c r="BD465" i="12" a="1"/>
  <c r="BD465" i="12" s="1"/>
  <c r="BD464" i="12" a="1"/>
  <c r="BD464" i="12" s="1"/>
  <c r="BD463" i="12" a="1"/>
  <c r="BD463" i="12" s="1"/>
  <c r="BD462" i="12" a="1"/>
  <c r="BD462" i="12" s="1"/>
  <c r="BD461" i="12" a="1"/>
  <c r="BD461" i="12" s="1"/>
  <c r="BD460" i="12" a="1"/>
  <c r="BD460" i="12" s="1"/>
  <c r="BD459" i="12" a="1"/>
  <c r="BD459" i="12" s="1"/>
  <c r="BD458" i="12" a="1"/>
  <c r="BD458" i="12" s="1"/>
  <c r="BD457" i="12" a="1"/>
  <c r="BD457" i="12" s="1"/>
  <c r="BD456" i="12" a="1"/>
  <c r="BD456" i="12" s="1"/>
  <c r="BD455" i="12" a="1"/>
  <c r="BD455" i="12" s="1"/>
  <c r="BD454" i="12" a="1"/>
  <c r="BD454" i="12" s="1"/>
  <c r="BD453" i="12" a="1"/>
  <c r="BD453" i="12" s="1"/>
  <c r="BD452" i="12" a="1"/>
  <c r="BD452" i="12" s="1"/>
  <c r="BD451" i="12" a="1"/>
  <c r="BD451" i="12" s="1"/>
  <c r="BD450" i="12" a="1"/>
  <c r="BD450" i="12" s="1"/>
  <c r="BD449" i="12" a="1"/>
  <c r="BD449" i="12" s="1"/>
  <c r="BD448" i="12" a="1"/>
  <c r="BD448" i="12" s="1"/>
  <c r="BD447" i="12" a="1"/>
  <c r="BD447" i="12" s="1"/>
  <c r="BD446" i="12" a="1"/>
  <c r="BD446" i="12" s="1"/>
  <c r="BD445" i="12" a="1"/>
  <c r="BD445" i="12" s="1"/>
  <c r="BD444" i="12" a="1"/>
  <c r="BD444" i="12" s="1"/>
  <c r="BD443" i="12" a="1"/>
  <c r="BD443" i="12" s="1"/>
  <c r="BD442" i="12" a="1"/>
  <c r="BD442" i="12" s="1"/>
  <c r="BD441" i="12" a="1"/>
  <c r="BD441" i="12" s="1"/>
  <c r="BD440" i="12" a="1"/>
  <c r="BD440" i="12" s="1"/>
  <c r="BD439" i="12" a="1"/>
  <c r="BD439" i="12" s="1"/>
  <c r="BD438" i="12" a="1"/>
  <c r="BD438" i="12" s="1"/>
  <c r="BD437" i="12" a="1"/>
  <c r="BD437" i="12" s="1"/>
  <c r="BD436" i="12" a="1"/>
  <c r="BD436" i="12" s="1"/>
  <c r="BD435" i="12" a="1"/>
  <c r="BD435" i="12" s="1"/>
  <c r="BD434" i="12" a="1"/>
  <c r="BD434" i="12" s="1"/>
  <c r="BD433" i="12" a="1"/>
  <c r="BD433" i="12" s="1"/>
  <c r="BD432" i="12" a="1"/>
  <c r="BD432" i="12" s="1"/>
  <c r="BD431" i="12" a="1"/>
  <c r="BD431" i="12" s="1"/>
  <c r="BD430" i="12" a="1"/>
  <c r="BD430" i="12" s="1"/>
  <c r="BD429" i="12" a="1"/>
  <c r="BD429" i="12" s="1"/>
  <c r="BD428" i="12" a="1"/>
  <c r="BD428" i="12" s="1"/>
  <c r="BD427" i="12" a="1"/>
  <c r="BD427" i="12" s="1"/>
  <c r="BD426" i="12" a="1"/>
  <c r="BD426" i="12" s="1"/>
  <c r="BD425" i="12" a="1"/>
  <c r="BD425" i="12" s="1"/>
  <c r="BD424" i="12" a="1"/>
  <c r="BD424" i="12" s="1"/>
  <c r="BD423" i="12" a="1"/>
  <c r="BD423" i="12" s="1"/>
  <c r="BD422" i="12" a="1"/>
  <c r="BD422" i="12" s="1"/>
  <c r="BD421" i="12" a="1"/>
  <c r="BD421" i="12" s="1"/>
  <c r="BD420" i="12" a="1"/>
  <c r="BD420" i="12" s="1"/>
  <c r="BD419" i="12" a="1"/>
  <c r="BD419" i="12" s="1"/>
  <c r="BD418" i="12" a="1"/>
  <c r="BD418" i="12" s="1"/>
  <c r="BD417" i="12" a="1"/>
  <c r="BD417" i="12" s="1"/>
  <c r="BD416" i="12" a="1"/>
  <c r="BD416" i="12" s="1"/>
  <c r="BD415" i="12" a="1"/>
  <c r="BD415" i="12" s="1"/>
  <c r="BD414" i="12" a="1"/>
  <c r="BD414" i="12" s="1"/>
  <c r="BD413" i="12" a="1"/>
  <c r="BD413" i="12" s="1"/>
  <c r="BD412" i="12" a="1"/>
  <c r="BD412" i="12" s="1"/>
  <c r="BD411" i="12" a="1"/>
  <c r="BD411" i="12" s="1"/>
  <c r="BD410" i="12" a="1"/>
  <c r="BD410" i="12" s="1"/>
  <c r="BD409" i="12" a="1"/>
  <c r="BD409" i="12" s="1"/>
  <c r="BD408" i="12" a="1"/>
  <c r="BD408" i="12" s="1"/>
  <c r="BD407" i="12" a="1"/>
  <c r="BD407" i="12" s="1"/>
  <c r="BD406" i="12" a="1"/>
  <c r="BD406" i="12" s="1"/>
  <c r="BD405" i="12" a="1"/>
  <c r="BD405" i="12" s="1"/>
  <c r="BD404" i="12" a="1"/>
  <c r="BD404" i="12" s="1"/>
  <c r="BD403" i="12" a="1"/>
  <c r="BD403" i="12" s="1"/>
  <c r="BD402" i="12" a="1"/>
  <c r="BD402" i="12" s="1"/>
  <c r="BD401" i="12" a="1"/>
  <c r="BD401" i="12" s="1"/>
  <c r="BD400" i="12" a="1"/>
  <c r="BD400" i="12" s="1"/>
  <c r="BD399" i="12" a="1"/>
  <c r="BD399" i="12" s="1"/>
  <c r="BD398" i="12" a="1"/>
  <c r="BD398" i="12" s="1"/>
  <c r="BD397" i="12" a="1"/>
  <c r="BD397" i="12" s="1"/>
  <c r="BD396" i="12" a="1"/>
  <c r="BD396" i="12" s="1"/>
  <c r="BD395" i="12" a="1"/>
  <c r="BD395" i="12" s="1"/>
  <c r="BD394" i="12" a="1"/>
  <c r="BD394" i="12" s="1"/>
  <c r="BD393" i="12" a="1"/>
  <c r="BD393" i="12" s="1"/>
  <c r="BD392" i="12" a="1"/>
  <c r="BD392" i="12" s="1"/>
  <c r="BD391" i="12" a="1"/>
  <c r="BD391" i="12" s="1"/>
  <c r="BD390" i="12" a="1"/>
  <c r="BD390" i="12" s="1"/>
  <c r="BD389" i="12" a="1"/>
  <c r="BD389" i="12" s="1"/>
  <c r="BD388" i="12" a="1"/>
  <c r="BD388" i="12" s="1"/>
  <c r="BD387" i="12" a="1"/>
  <c r="BD387" i="12" s="1"/>
  <c r="BD386" i="12" a="1"/>
  <c r="BD386" i="12" s="1"/>
  <c r="BD385" i="12" a="1"/>
  <c r="BD385" i="12" s="1"/>
  <c r="BD384" i="12" a="1"/>
  <c r="BD384" i="12" s="1"/>
  <c r="BD383" i="12" a="1"/>
  <c r="BD383" i="12" s="1"/>
  <c r="BD382" i="12" a="1"/>
  <c r="BD382" i="12" s="1"/>
  <c r="BD381" i="12" a="1"/>
  <c r="BD381" i="12" s="1"/>
  <c r="BD380" i="12" a="1"/>
  <c r="BD380" i="12" s="1"/>
  <c r="BD379" i="12" a="1"/>
  <c r="BD379" i="12" s="1"/>
  <c r="BD378" i="12" a="1"/>
  <c r="BD378" i="12" s="1"/>
  <c r="BD377" i="12" a="1"/>
  <c r="BD377" i="12" s="1"/>
  <c r="BD376" i="12" a="1"/>
  <c r="BD376" i="12" s="1"/>
  <c r="BD375" i="12" a="1"/>
  <c r="BD375" i="12" s="1"/>
  <c r="BD374" i="12" a="1"/>
  <c r="BD374" i="12" s="1"/>
  <c r="BD373" i="12" a="1"/>
  <c r="BD373" i="12" s="1"/>
  <c r="BD372" i="12" a="1"/>
  <c r="BD372" i="12" s="1"/>
  <c r="BD371" i="12" a="1"/>
  <c r="BD371" i="12" s="1"/>
  <c r="BD370" i="12" a="1"/>
  <c r="BD370" i="12" s="1"/>
  <c r="BD369" i="12" a="1"/>
  <c r="BD369" i="12" s="1"/>
  <c r="BD368" i="12" a="1"/>
  <c r="BD368" i="12" s="1"/>
  <c r="BD367" i="12" a="1"/>
  <c r="BD367" i="12" s="1"/>
  <c r="BD366" i="12" a="1"/>
  <c r="BD366" i="12" s="1"/>
  <c r="BD365" i="12" a="1"/>
  <c r="BD365" i="12" s="1"/>
  <c r="BD364" i="12" a="1"/>
  <c r="BD364" i="12" s="1"/>
  <c r="BD363" i="12" a="1"/>
  <c r="BD363" i="12" s="1"/>
  <c r="BD362" i="12" a="1"/>
  <c r="BD362" i="12" s="1"/>
  <c r="BD361" i="12" a="1"/>
  <c r="BD361" i="12" s="1"/>
  <c r="BD360" i="12" a="1"/>
  <c r="BD360" i="12" s="1"/>
  <c r="BD359" i="12" a="1"/>
  <c r="BD359" i="12" s="1"/>
  <c r="BD358" i="12" a="1"/>
  <c r="BD358" i="12" s="1"/>
  <c r="BD357" i="12" a="1"/>
  <c r="BD357" i="12" s="1"/>
  <c r="BD356" i="12" a="1"/>
  <c r="BD356" i="12" s="1"/>
  <c r="BD355" i="12" a="1"/>
  <c r="BD355" i="12" s="1"/>
  <c r="BD354" i="12" a="1"/>
  <c r="BD354" i="12" s="1"/>
  <c r="BD353" i="12" a="1"/>
  <c r="BD353" i="12" s="1"/>
  <c r="BD352" i="12" a="1"/>
  <c r="BD352" i="12" s="1"/>
  <c r="BD351" i="12" a="1"/>
  <c r="BD351" i="12" s="1"/>
  <c r="BD350" i="12" a="1"/>
  <c r="BD350" i="12" s="1"/>
  <c r="BD349" i="12" a="1"/>
  <c r="BD349" i="12" s="1"/>
  <c r="BD348" i="12" a="1"/>
  <c r="BD348" i="12" s="1"/>
  <c r="BD347" i="12" a="1"/>
  <c r="BD347" i="12" s="1"/>
  <c r="BD346" i="12" a="1"/>
  <c r="BD346" i="12" s="1"/>
  <c r="BD345" i="12" a="1"/>
  <c r="BD345" i="12" s="1"/>
  <c r="BD344" i="12" a="1"/>
  <c r="BD344" i="12" s="1"/>
  <c r="BD343" i="12" a="1"/>
  <c r="BD343" i="12" s="1"/>
  <c r="BD342" i="12" a="1"/>
  <c r="BD342" i="12" s="1"/>
  <c r="BD341" i="12" a="1"/>
  <c r="BD341" i="12" s="1"/>
  <c r="BD340" i="12" a="1"/>
  <c r="BD340" i="12" s="1"/>
  <c r="BD339" i="12" a="1"/>
  <c r="BD339" i="12" s="1"/>
  <c r="BD338" i="12" a="1"/>
  <c r="BD338" i="12" s="1"/>
  <c r="BD337" i="12" a="1"/>
  <c r="BD337" i="12" s="1"/>
  <c r="BD336" i="12" a="1"/>
  <c r="BD336" i="12" s="1"/>
  <c r="BD335" i="12" a="1"/>
  <c r="BD335" i="12" s="1"/>
  <c r="BD334" i="12" a="1"/>
  <c r="BD334" i="12" s="1"/>
  <c r="BD333" i="12" a="1"/>
  <c r="BD333" i="12" s="1"/>
  <c r="BD332" i="12" a="1"/>
  <c r="BD332" i="12" s="1"/>
  <c r="BD331" i="12" a="1"/>
  <c r="BD331" i="12" s="1"/>
  <c r="BD330" i="12" a="1"/>
  <c r="BD330" i="12" s="1"/>
  <c r="BD329" i="12" a="1"/>
  <c r="BD329" i="12" s="1"/>
  <c r="BD328" i="12" a="1"/>
  <c r="BD328" i="12" s="1"/>
  <c r="BD327" i="12" a="1"/>
  <c r="BD327" i="12" s="1"/>
  <c r="BD326" i="12" a="1"/>
  <c r="BD326" i="12" s="1"/>
  <c r="BD325" i="12" a="1"/>
  <c r="BD325" i="12" s="1"/>
  <c r="BD324" i="12" a="1"/>
  <c r="BD324" i="12" s="1"/>
  <c r="BD323" i="12" a="1"/>
  <c r="BD323" i="12" s="1"/>
  <c r="BD322" i="12" a="1"/>
  <c r="BD322" i="12" s="1"/>
  <c r="BD321" i="12" a="1"/>
  <c r="BD321" i="12" s="1"/>
  <c r="BD320" i="12" a="1"/>
  <c r="BD320" i="12" s="1"/>
  <c r="BD319" i="12" a="1"/>
  <c r="BD319" i="12" s="1"/>
  <c r="BD318" i="12" a="1"/>
  <c r="BD318" i="12" s="1"/>
  <c r="BD317" i="12" a="1"/>
  <c r="BD317" i="12" s="1"/>
  <c r="BD316" i="12" a="1"/>
  <c r="BD316" i="12" s="1"/>
  <c r="BD315" i="12" a="1"/>
  <c r="BD315" i="12" s="1"/>
  <c r="BD314" i="12" a="1"/>
  <c r="BD314" i="12" s="1"/>
  <c r="BD313" i="12" a="1"/>
  <c r="BD313" i="12" s="1"/>
  <c r="BD312" i="12" a="1"/>
  <c r="BD312" i="12" s="1"/>
  <c r="BD311" i="12" a="1"/>
  <c r="BD311" i="12" s="1"/>
  <c r="BD310" i="12" a="1"/>
  <c r="BD310" i="12" s="1"/>
  <c r="BD309" i="12" a="1"/>
  <c r="BD309" i="12" s="1"/>
  <c r="BD308" i="12" a="1"/>
  <c r="BD308" i="12" s="1"/>
  <c r="BD307" i="12" a="1"/>
  <c r="BD307" i="12" s="1"/>
  <c r="BD306" i="12" a="1"/>
  <c r="BD306" i="12" s="1"/>
  <c r="BD305" i="12" a="1"/>
  <c r="BD305" i="12" s="1"/>
  <c r="BD304" i="12" a="1"/>
  <c r="BD304" i="12" s="1"/>
  <c r="BD303" i="12" a="1"/>
  <c r="BD303" i="12" s="1"/>
  <c r="BD302" i="12" a="1"/>
  <c r="BD302" i="12" s="1"/>
  <c r="BD301" i="12" a="1"/>
  <c r="BD301" i="12" s="1"/>
  <c r="BD300" i="12" a="1"/>
  <c r="BD300" i="12" s="1"/>
  <c r="BD299" i="12" a="1"/>
  <c r="BD299" i="12" s="1"/>
  <c r="BD298" i="12" a="1"/>
  <c r="BD298" i="12" s="1"/>
  <c r="BD297" i="12" a="1"/>
  <c r="BD297" i="12" s="1"/>
  <c r="BD296" i="12" a="1"/>
  <c r="BD296" i="12" s="1"/>
  <c r="BD295" i="12" a="1"/>
  <c r="BD295" i="12" s="1"/>
  <c r="BD294" i="12" a="1"/>
  <c r="BD294" i="12" s="1"/>
  <c r="BD293" i="12" a="1"/>
  <c r="BD293" i="12" s="1"/>
  <c r="BD292" i="12" a="1"/>
  <c r="BD292" i="12" s="1"/>
  <c r="BD291" i="12" a="1"/>
  <c r="BD291" i="12" s="1"/>
  <c r="BD290" i="12" a="1"/>
  <c r="BD290" i="12" s="1"/>
  <c r="BD289" i="12" a="1"/>
  <c r="BD289" i="12" s="1"/>
  <c r="BD288" i="12" a="1"/>
  <c r="BD288" i="12" s="1"/>
  <c r="BD287" i="12" a="1"/>
  <c r="BD287" i="12" s="1"/>
  <c r="BD286" i="12" a="1"/>
  <c r="BD286" i="12" s="1"/>
  <c r="BD285" i="12" a="1"/>
  <c r="BD285" i="12" s="1"/>
  <c r="BD284" i="12" a="1"/>
  <c r="BD284" i="12" s="1"/>
  <c r="BD283" i="12" a="1"/>
  <c r="BD283" i="12" s="1"/>
  <c r="BD282" i="12" a="1"/>
  <c r="BD282" i="12" s="1"/>
  <c r="BD281" i="12" a="1"/>
  <c r="BD281" i="12" s="1"/>
  <c r="BD280" i="12" a="1"/>
  <c r="BD280" i="12" s="1"/>
  <c r="BD279" i="12" a="1"/>
  <c r="BD279" i="12" s="1"/>
  <c r="BD278" i="12" a="1"/>
  <c r="BD278" i="12" s="1"/>
  <c r="BD277" i="12" a="1"/>
  <c r="BD277" i="12" s="1"/>
  <c r="BD276" i="12" a="1"/>
  <c r="BD276" i="12" s="1"/>
  <c r="BD275" i="12" a="1"/>
  <c r="BD275" i="12" s="1"/>
  <c r="BD274" i="12" a="1"/>
  <c r="BD274" i="12" s="1"/>
  <c r="BD273" i="12" a="1"/>
  <c r="BD273" i="12" s="1"/>
  <c r="BD272" i="12" a="1"/>
  <c r="BD272" i="12" s="1"/>
  <c r="BD271" i="12" a="1"/>
  <c r="BD271" i="12" s="1"/>
  <c r="BD270" i="12" a="1"/>
  <c r="BD270" i="12" s="1"/>
  <c r="BD269" i="12" a="1"/>
  <c r="BD269" i="12" s="1"/>
  <c r="BD268" i="12" a="1"/>
  <c r="BD268" i="12" s="1"/>
  <c r="BD267" i="12" a="1"/>
  <c r="BD267" i="12" s="1"/>
  <c r="BD266" i="12" a="1"/>
  <c r="BD266" i="12" s="1"/>
  <c r="BD265" i="12" a="1"/>
  <c r="BD265" i="12" s="1"/>
  <c r="BD264" i="12" a="1"/>
  <c r="BD264" i="12" s="1"/>
  <c r="BD263" i="12" a="1"/>
  <c r="BD263" i="12" s="1"/>
  <c r="BD262" i="12" a="1"/>
  <c r="BD262" i="12" s="1"/>
  <c r="BD261" i="12" a="1"/>
  <c r="BD261" i="12" s="1"/>
  <c r="BD260" i="12" a="1"/>
  <c r="BD260" i="12" s="1"/>
  <c r="BD259" i="12" a="1"/>
  <c r="BD259" i="12" s="1"/>
  <c r="BD258" i="12" a="1"/>
  <c r="BD258" i="12" s="1"/>
  <c r="BD257" i="12" a="1"/>
  <c r="BD257" i="12" s="1"/>
  <c r="BD256" i="12" a="1"/>
  <c r="BD256" i="12" s="1"/>
  <c r="BD255" i="12" a="1"/>
  <c r="BD255" i="12" s="1"/>
  <c r="BD254" i="12" a="1"/>
  <c r="BD254" i="12" s="1"/>
  <c r="BD253" i="12" a="1"/>
  <c r="BD253" i="12" s="1"/>
  <c r="BD252" i="12" a="1"/>
  <c r="BD252" i="12" s="1"/>
  <c r="BD251" i="12" a="1"/>
  <c r="BD251" i="12" s="1"/>
  <c r="BD250" i="12" a="1"/>
  <c r="BD250" i="12" s="1"/>
  <c r="BD249" i="12" a="1"/>
  <c r="BD249" i="12" s="1"/>
  <c r="BD248" i="12" a="1"/>
  <c r="BD248" i="12" s="1"/>
  <c r="BD247" i="12" a="1"/>
  <c r="BD247" i="12" s="1"/>
  <c r="BD246" i="12" a="1"/>
  <c r="BD246" i="12" s="1"/>
  <c r="BD245" i="12" a="1"/>
  <c r="BD245" i="12" s="1"/>
  <c r="BD244" i="12" a="1"/>
  <c r="BD244" i="12" s="1"/>
  <c r="BD243" i="12" a="1"/>
  <c r="BD243" i="12" s="1"/>
  <c r="BD242" i="12" a="1"/>
  <c r="BD242" i="12" s="1"/>
  <c r="BD241" i="12" a="1"/>
  <c r="BD241" i="12" s="1"/>
  <c r="BD240" i="12" a="1"/>
  <c r="BD240" i="12" s="1"/>
  <c r="BD239" i="12" a="1"/>
  <c r="BD239" i="12" s="1"/>
  <c r="BD238" i="12" a="1"/>
  <c r="BD238" i="12" s="1"/>
  <c r="BD237" i="12" a="1"/>
  <c r="BD237" i="12" s="1"/>
  <c r="BD236" i="12" a="1"/>
  <c r="BD236" i="12" s="1"/>
  <c r="BD235" i="12" a="1"/>
  <c r="BD235" i="12" s="1"/>
  <c r="BD234" i="12" a="1"/>
  <c r="BD234" i="12" s="1"/>
  <c r="BD233" i="12" a="1"/>
  <c r="BD233" i="12" s="1"/>
  <c r="BD232" i="12" a="1"/>
  <c r="BD232" i="12" s="1"/>
  <c r="BD231" i="12" a="1"/>
  <c r="BD231" i="12" s="1"/>
  <c r="BD230" i="12" a="1"/>
  <c r="BD230" i="12" s="1"/>
  <c r="BD229" i="12" a="1"/>
  <c r="BD229" i="12" s="1"/>
  <c r="BD228" i="12" a="1"/>
  <c r="BD228" i="12" s="1"/>
  <c r="BD227" i="12" a="1"/>
  <c r="BD227" i="12" s="1"/>
  <c r="BD226" i="12" a="1"/>
  <c r="BD226" i="12" s="1"/>
  <c r="BD225" i="12" a="1"/>
  <c r="BD225" i="12" s="1"/>
  <c r="BD224" i="12" a="1"/>
  <c r="BD224" i="12" s="1"/>
  <c r="BD223" i="12" a="1"/>
  <c r="BD223" i="12" s="1"/>
  <c r="BD222" i="12" a="1"/>
  <c r="BD222" i="12" s="1"/>
  <c r="BD221" i="12" a="1"/>
  <c r="BD221" i="12" s="1"/>
  <c r="BD220" i="12" a="1"/>
  <c r="BD220" i="12" s="1"/>
  <c r="BD219" i="12" a="1"/>
  <c r="BD219" i="12" s="1"/>
  <c r="BD218" i="12" a="1"/>
  <c r="BD218" i="12" s="1"/>
  <c r="BD217" i="12" a="1"/>
  <c r="BD217" i="12" s="1"/>
  <c r="BD216" i="12" a="1"/>
  <c r="BD216" i="12" s="1"/>
  <c r="BD215" i="12" a="1"/>
  <c r="BD215" i="12" s="1"/>
  <c r="BD214" i="12" a="1"/>
  <c r="BD214" i="12" s="1"/>
  <c r="BD213" i="12" a="1"/>
  <c r="BD213" i="12" s="1"/>
  <c r="BD212" i="12" a="1"/>
  <c r="BD212" i="12" s="1"/>
  <c r="BD211" i="12" a="1"/>
  <c r="BD211" i="12" s="1"/>
  <c r="BD210" i="12" a="1"/>
  <c r="BD210" i="12" s="1"/>
  <c r="BD209" i="12" a="1"/>
  <c r="BD209" i="12" s="1"/>
  <c r="BD208" i="12" a="1"/>
  <c r="BD208" i="12" s="1"/>
  <c r="BD207" i="12" a="1"/>
  <c r="BD207" i="12" s="1"/>
  <c r="BD206" i="12" a="1"/>
  <c r="BD206" i="12" s="1"/>
  <c r="BD205" i="12" a="1"/>
  <c r="BD205" i="12" s="1"/>
  <c r="BD204" i="12" a="1"/>
  <c r="BD204" i="12" s="1"/>
  <c r="BD203" i="12" a="1"/>
  <c r="BD203" i="12" s="1"/>
  <c r="BD202" i="12" a="1"/>
  <c r="BD202" i="12" s="1"/>
  <c r="BD201" i="12" a="1"/>
  <c r="BD201" i="12" s="1"/>
  <c r="BD200" i="12" a="1"/>
  <c r="BD200" i="12" s="1"/>
  <c r="BD199" i="12" a="1"/>
  <c r="BD199" i="12" s="1"/>
  <c r="BD198" i="12" a="1"/>
  <c r="BD198" i="12" s="1"/>
  <c r="BD197" i="12" a="1"/>
  <c r="BD197" i="12" s="1"/>
  <c r="BD196" i="12" a="1"/>
  <c r="BD196" i="12" s="1"/>
  <c r="BD195" i="12" a="1"/>
  <c r="BD195" i="12" s="1"/>
  <c r="BD194" i="12" a="1"/>
  <c r="BD194" i="12" s="1"/>
  <c r="BD193" i="12" a="1"/>
  <c r="BD193" i="12" s="1"/>
  <c r="BD192" i="12" a="1"/>
  <c r="BD192" i="12" s="1"/>
  <c r="BD191" i="12" a="1"/>
  <c r="BD191" i="12" s="1"/>
  <c r="BD190" i="12" a="1"/>
  <c r="BD190" i="12" s="1"/>
  <c r="BD189" i="12" a="1"/>
  <c r="BD189" i="12" s="1"/>
  <c r="BD188" i="12" a="1"/>
  <c r="BD188" i="12" s="1"/>
  <c r="BD187" i="12" a="1"/>
  <c r="BD187" i="12" s="1"/>
  <c r="BD186" i="12" a="1"/>
  <c r="BD186" i="12" s="1"/>
  <c r="BD185" i="12" a="1"/>
  <c r="BD185" i="12" s="1"/>
  <c r="BD184" i="12" a="1"/>
  <c r="BD184" i="12" s="1"/>
  <c r="BD183" i="12" a="1"/>
  <c r="BD183" i="12" s="1"/>
  <c r="BD182" i="12" a="1"/>
  <c r="BD182" i="12" s="1"/>
  <c r="BD181" i="12" a="1"/>
  <c r="BD181" i="12" s="1"/>
  <c r="BD180" i="12" a="1"/>
  <c r="BD180" i="12" s="1"/>
  <c r="BD179" i="12" a="1"/>
  <c r="BD179" i="12" s="1"/>
  <c r="BD178" i="12" a="1"/>
  <c r="BD178" i="12" s="1"/>
  <c r="BD177" i="12" a="1"/>
  <c r="BD177" i="12" s="1"/>
  <c r="BD176" i="12" a="1"/>
  <c r="BD176" i="12" s="1"/>
  <c r="BD175" i="12" a="1"/>
  <c r="BD175" i="12" s="1"/>
  <c r="BD174" i="12" a="1"/>
  <c r="BD174" i="12" s="1"/>
  <c r="BD173" i="12" a="1"/>
  <c r="BD173" i="12" s="1"/>
  <c r="BD172" i="12" a="1"/>
  <c r="BD172" i="12" s="1"/>
  <c r="BD171" i="12" a="1"/>
  <c r="BD171" i="12" s="1"/>
  <c r="BD170" i="12" a="1"/>
  <c r="BD170" i="12" s="1"/>
  <c r="BD169" i="12" a="1"/>
  <c r="BD169" i="12" s="1"/>
  <c r="BD168" i="12" a="1"/>
  <c r="BD168" i="12" s="1"/>
  <c r="BD167" i="12" a="1"/>
  <c r="BD167" i="12" s="1"/>
  <c r="BD166" i="12" a="1"/>
  <c r="BD166" i="12" s="1"/>
  <c r="BD165" i="12" a="1"/>
  <c r="BD165" i="12" s="1"/>
  <c r="BD164" i="12" a="1"/>
  <c r="BD164" i="12" s="1"/>
  <c r="BD163" i="12" a="1"/>
  <c r="BD163" i="12" s="1"/>
  <c r="BD162" i="12" a="1"/>
  <c r="BD162" i="12" s="1"/>
  <c r="BD161" i="12" a="1"/>
  <c r="BD161" i="12" s="1"/>
  <c r="BD160" i="12" a="1"/>
  <c r="BD160" i="12" s="1"/>
  <c r="BD159" i="12" a="1"/>
  <c r="BD159" i="12" s="1"/>
  <c r="BD158" i="12" a="1"/>
  <c r="BD158" i="12" s="1"/>
  <c r="BD157" i="12" a="1"/>
  <c r="BD157" i="12" s="1"/>
  <c r="BD156" i="12" a="1"/>
  <c r="BD156" i="12" s="1"/>
  <c r="BD155" i="12" a="1"/>
  <c r="BD155" i="12" s="1"/>
  <c r="BD154" i="12" a="1"/>
  <c r="BD154" i="12" s="1"/>
  <c r="BD153" i="12" a="1"/>
  <c r="BD153" i="12" s="1"/>
  <c r="BD152" i="12" a="1"/>
  <c r="BD152" i="12" s="1"/>
  <c r="BD151" i="12" a="1"/>
  <c r="BD151" i="12" s="1"/>
  <c r="BD150" i="12" a="1"/>
  <c r="BD150" i="12" s="1"/>
  <c r="BD149" i="12" a="1"/>
  <c r="BD149" i="12" s="1"/>
  <c r="BD148" i="12" a="1"/>
  <c r="BD148" i="12" s="1"/>
  <c r="BD147" i="12" a="1"/>
  <c r="BD147" i="12" s="1"/>
  <c r="BD146" i="12" a="1"/>
  <c r="BD146" i="12" s="1"/>
  <c r="BD145" i="12" a="1"/>
  <c r="BD145" i="12" s="1"/>
  <c r="BD144" i="12" a="1"/>
  <c r="BD144" i="12" s="1"/>
  <c r="BD143" i="12" a="1"/>
  <c r="BD143" i="12" s="1"/>
  <c r="BD142" i="12" a="1"/>
  <c r="BD142" i="12" s="1"/>
  <c r="BD141" i="12" a="1"/>
  <c r="BD141" i="12" s="1"/>
  <c r="BD140" i="12" a="1"/>
  <c r="BD140" i="12" s="1"/>
  <c r="BD139" i="12" a="1"/>
  <c r="BD139" i="12" s="1"/>
  <c r="BD138" i="12" a="1"/>
  <c r="BD138" i="12" s="1"/>
  <c r="BD137" i="12" a="1"/>
  <c r="BD137" i="12" s="1"/>
  <c r="BD136" i="12" a="1"/>
  <c r="BD136" i="12" s="1"/>
  <c r="BD135" i="12" a="1"/>
  <c r="BD135" i="12" s="1"/>
  <c r="BD134" i="12" a="1"/>
  <c r="BD134" i="12" s="1"/>
  <c r="BD133" i="12" a="1"/>
  <c r="BD133" i="12" s="1"/>
  <c r="BD132" i="12" a="1"/>
  <c r="BD132" i="12" s="1"/>
  <c r="BD131" i="12" a="1"/>
  <c r="BD131" i="12" s="1"/>
  <c r="BD130" i="12" a="1"/>
  <c r="BD130" i="12" s="1"/>
  <c r="BD129" i="12" a="1"/>
  <c r="BD129" i="12" s="1"/>
  <c r="BD128" i="12" a="1"/>
  <c r="BD128" i="12" s="1"/>
  <c r="BD127" i="12" a="1"/>
  <c r="BD127" i="12" s="1"/>
  <c r="BD126" i="12" a="1"/>
  <c r="BD126" i="12" s="1"/>
  <c r="BD125" i="12" a="1"/>
  <c r="BD125" i="12" s="1"/>
  <c r="BD124" i="12" a="1"/>
  <c r="BD124" i="12" s="1"/>
  <c r="BD123" i="12" a="1"/>
  <c r="BD123" i="12" s="1"/>
  <c r="BD122" i="12" a="1"/>
  <c r="BD122" i="12" s="1"/>
  <c r="BD121" i="12" a="1"/>
  <c r="BD121" i="12" s="1"/>
  <c r="BD120" i="12" a="1"/>
  <c r="BD120" i="12" s="1"/>
  <c r="BD119" i="12" a="1"/>
  <c r="BD119" i="12" s="1"/>
  <c r="BD118" i="12" a="1"/>
  <c r="BD118" i="12" s="1"/>
  <c r="BD117" i="12" a="1"/>
  <c r="BD117" i="12" s="1"/>
  <c r="BD116" i="12" a="1"/>
  <c r="BD116" i="12" s="1"/>
  <c r="BD115" i="12" a="1"/>
  <c r="BD115" i="12" s="1"/>
  <c r="BD114" i="12" a="1"/>
  <c r="BD114" i="12" s="1"/>
  <c r="BD113" i="12" a="1"/>
  <c r="BD113" i="12" s="1"/>
  <c r="BD112" i="12" a="1"/>
  <c r="BD112" i="12" s="1"/>
  <c r="BD111" i="12" a="1"/>
  <c r="BD111" i="12" s="1"/>
  <c r="BD110" i="12" a="1"/>
  <c r="BD110" i="12" s="1"/>
  <c r="BD109" i="12" a="1"/>
  <c r="BD109" i="12" s="1"/>
  <c r="BD108" i="12" a="1"/>
  <c r="BD108" i="12" s="1"/>
  <c r="BD107" i="12" a="1"/>
  <c r="BD107" i="12" s="1"/>
  <c r="BD106" i="12" a="1"/>
  <c r="BD106" i="12" s="1"/>
  <c r="BD105" i="12" a="1"/>
  <c r="BD105" i="12" s="1"/>
  <c r="BD104" i="12" a="1"/>
  <c r="BD104" i="12" s="1"/>
  <c r="BD103" i="12" a="1"/>
  <c r="BD103" i="12" s="1"/>
  <c r="BD102" i="12" a="1"/>
  <c r="BD102" i="12" s="1"/>
  <c r="BD101" i="12" a="1"/>
  <c r="BD101" i="12" s="1"/>
  <c r="BD100" i="12" a="1"/>
  <c r="BD100" i="12" s="1"/>
  <c r="BD99" i="12" a="1"/>
  <c r="BD99" i="12" s="1"/>
  <c r="BD98" i="12" a="1"/>
  <c r="BD98" i="12" s="1"/>
  <c r="BD97" i="12" a="1"/>
  <c r="BD97" i="12" s="1"/>
  <c r="BD96" i="12" a="1"/>
  <c r="BD96" i="12" s="1"/>
  <c r="BD95" i="12" a="1"/>
  <c r="BD95" i="12" s="1"/>
  <c r="BD94" i="12" a="1"/>
  <c r="BD94" i="12" s="1"/>
  <c r="BD93" i="12" a="1"/>
  <c r="BD93" i="12" s="1"/>
  <c r="BD92" i="12" a="1"/>
  <c r="BD92" i="12" s="1"/>
  <c r="BD91" i="12" a="1"/>
  <c r="BD91" i="12" s="1"/>
  <c r="BD90" i="12" a="1"/>
  <c r="BD90" i="12" s="1"/>
  <c r="BD89" i="12" a="1"/>
  <c r="BD89" i="12" s="1"/>
  <c r="BD88" i="12" a="1"/>
  <c r="BD88" i="12" s="1"/>
  <c r="BD87" i="12" a="1"/>
  <c r="BD87" i="12" s="1"/>
  <c r="BD86" i="12" a="1"/>
  <c r="BD86" i="12" s="1"/>
  <c r="BD85" i="12" a="1"/>
  <c r="BD85" i="12" s="1"/>
  <c r="BD84" i="12" a="1"/>
  <c r="BD84" i="12" s="1"/>
  <c r="BD83" i="12" a="1"/>
  <c r="BD83" i="12" s="1"/>
  <c r="BD82" i="12" a="1"/>
  <c r="BD82" i="12" s="1"/>
  <c r="BD81" i="12" a="1"/>
  <c r="BD81" i="12" s="1"/>
  <c r="BD80" i="12" a="1"/>
  <c r="BD80" i="12" s="1"/>
  <c r="BD79" i="12" a="1"/>
  <c r="BD79" i="12" s="1"/>
  <c r="BD78" i="12" a="1"/>
  <c r="BD78" i="12" s="1"/>
  <c r="BD77" i="12" a="1"/>
  <c r="BD77" i="12" s="1"/>
  <c r="BD76" i="12" a="1"/>
  <c r="BD76" i="12" s="1"/>
  <c r="BD75" i="12" a="1"/>
  <c r="BD75" i="12" s="1"/>
  <c r="BD74" i="12" a="1"/>
  <c r="BD74" i="12" s="1"/>
  <c r="BD73" i="12" a="1"/>
  <c r="BD73" i="12" s="1"/>
  <c r="BD72" i="12" a="1"/>
  <c r="BD72" i="12" s="1"/>
  <c r="BD71" i="12" a="1"/>
  <c r="BD71" i="12" s="1"/>
  <c r="BD70" i="12" a="1"/>
  <c r="BD70" i="12" s="1"/>
  <c r="BD69" i="12" a="1"/>
  <c r="BD69" i="12" s="1"/>
  <c r="BD68" i="12" a="1"/>
  <c r="BD68" i="12" s="1"/>
  <c r="BD67" i="12" a="1"/>
  <c r="BD67" i="12" s="1"/>
  <c r="BD66" i="12" a="1"/>
  <c r="BD66" i="12" s="1"/>
  <c r="BD65" i="12" a="1"/>
  <c r="BD65" i="12" s="1"/>
  <c r="BD64" i="12" a="1"/>
  <c r="BD64" i="12" s="1"/>
  <c r="BD63" i="12" a="1"/>
  <c r="BD63" i="12" s="1"/>
  <c r="BD62" i="12" a="1"/>
  <c r="BD62" i="12" s="1"/>
  <c r="BD61" i="12" a="1"/>
  <c r="BD61" i="12" s="1"/>
  <c r="BD60" i="12" a="1"/>
  <c r="BD60" i="12" s="1"/>
  <c r="BD59" i="12" a="1"/>
  <c r="BD59" i="12" s="1"/>
  <c r="BD58" i="12" a="1"/>
  <c r="BD58" i="12" s="1"/>
  <c r="BD57" i="12" a="1"/>
  <c r="BD57" i="12" s="1"/>
  <c r="BD56" i="12" a="1"/>
  <c r="BD56" i="12" s="1"/>
  <c r="BD55" i="12" a="1"/>
  <c r="BD55" i="12" s="1"/>
  <c r="BD54" i="12" a="1"/>
  <c r="BD54" i="12" s="1"/>
  <c r="BD53" i="12" a="1"/>
  <c r="BD53" i="12" s="1"/>
  <c r="BD52" i="12" a="1"/>
  <c r="BD52" i="12" s="1"/>
  <c r="BD51" i="12" a="1"/>
  <c r="BD51" i="12" s="1"/>
  <c r="BD50" i="12" a="1"/>
  <c r="BD50" i="12" s="1"/>
  <c r="BD49" i="12" a="1"/>
  <c r="BD49" i="12" s="1"/>
  <c r="BD48" i="12" a="1"/>
  <c r="BD48" i="12" s="1"/>
  <c r="BD47" i="12" a="1"/>
  <c r="BD47" i="12" s="1"/>
  <c r="BD46" i="12" a="1"/>
  <c r="BD46" i="12" s="1"/>
  <c r="BD45" i="12" a="1"/>
  <c r="BD45" i="12" s="1"/>
  <c r="BD44" i="12" a="1"/>
  <c r="BD44" i="12" s="1"/>
  <c r="BD43" i="12" a="1"/>
  <c r="BD43" i="12" s="1"/>
  <c r="BD42" i="12" a="1"/>
  <c r="BD42" i="12" s="1"/>
  <c r="BD41" i="12" a="1"/>
  <c r="BD41" i="12" s="1"/>
  <c r="BD40" i="12" a="1"/>
  <c r="BD40" i="12" s="1"/>
  <c r="BD39" i="12" a="1"/>
  <c r="BD39" i="12" s="1"/>
  <c r="BD38" i="12" a="1"/>
  <c r="BD38" i="12" s="1"/>
  <c r="BD37" i="12" a="1"/>
  <c r="BD37" i="12" s="1"/>
  <c r="BD36" i="12" a="1"/>
  <c r="BD36" i="12" s="1"/>
  <c r="BD35" i="12" a="1"/>
  <c r="BD35" i="12" s="1"/>
  <c r="BD34" i="12" a="1"/>
  <c r="BD34" i="12" s="1"/>
  <c r="BD33" i="12" a="1"/>
  <c r="BD33" i="12" s="1"/>
  <c r="BD32" i="12" a="1"/>
  <c r="BD32" i="12" s="1"/>
  <c r="BD31" i="12" a="1"/>
  <c r="BD31" i="12" s="1"/>
  <c r="BD30" i="12" a="1"/>
  <c r="BD30" i="12" s="1"/>
  <c r="BD29" i="12" a="1"/>
  <c r="BD29" i="12" s="1"/>
  <c r="BD28" i="12" a="1"/>
  <c r="BD28" i="12" s="1"/>
  <c r="BD27" i="12" a="1"/>
  <c r="BD27" i="12" s="1"/>
  <c r="BD26" i="12" a="1"/>
  <c r="BD26" i="12" s="1"/>
  <c r="BD25" i="12" a="1"/>
  <c r="BD25" i="12" s="1"/>
  <c r="BD24" i="12" a="1"/>
  <c r="BD24" i="12" s="1"/>
  <c r="BD23" i="12" a="1"/>
  <c r="BD23" i="12" s="1"/>
  <c r="BD22" i="12" a="1"/>
  <c r="BD22" i="12" s="1"/>
  <c r="BD21" i="12" a="1"/>
  <c r="BD21" i="12" s="1"/>
  <c r="BD20" i="12" a="1"/>
  <c r="BD20" i="12" s="1"/>
  <c r="BD19" i="12" a="1"/>
  <c r="BD19" i="12" s="1"/>
  <c r="BD18" i="12" a="1"/>
  <c r="BD18" i="12" s="1"/>
  <c r="BD17" i="12" a="1"/>
  <c r="BD17" i="12" s="1"/>
  <c r="BD16" i="12" a="1"/>
  <c r="BD16" i="12" s="1"/>
  <c r="BD15" i="12" a="1"/>
  <c r="BD15" i="12" s="1"/>
  <c r="BD14" i="12" a="1"/>
  <c r="BD14" i="12" s="1"/>
  <c r="BD13" i="12" a="1"/>
  <c r="BD13" i="12" s="1"/>
  <c r="BD12" i="12" a="1"/>
  <c r="BD12" i="12" s="1"/>
  <c r="BD11" i="12" a="1"/>
  <c r="BD11" i="12" s="1"/>
  <c r="BD10" i="12" a="1"/>
  <c r="BD10" i="12" s="1"/>
  <c r="BD9" i="12" a="1"/>
  <c r="BD9" i="12" s="1"/>
  <c r="BQ9" i="12" s="1" a="1"/>
  <c r="BQ9" i="12" s="1"/>
  <c r="BD8" i="12" a="1"/>
  <c r="BD8" i="12" s="1"/>
  <c r="BD7" i="12" a="1"/>
  <c r="BD7" i="12" s="1"/>
  <c r="BD6" i="12" a="1"/>
  <c r="BD6" i="12" s="1"/>
  <c r="BD5" i="12" a="1"/>
  <c r="BD5" i="12" s="1"/>
  <c r="BD4" i="12" a="1"/>
  <c r="BD4" i="12" s="1"/>
  <c r="BD3" i="12" a="1"/>
  <c r="BD3" i="12" s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S8" i="1"/>
  <c r="S9" i="1"/>
  <c r="S10" i="1"/>
  <c r="A2" i="12" a="1"/>
  <c r="A2" i="12" s="1"/>
  <c r="BD2" i="12" a="1"/>
  <c r="BD2" i="12" s="1"/>
  <c r="H3" i="1" a="1"/>
  <c r="H3" i="1" s="1"/>
  <c r="A6" i="12" a="1"/>
  <c r="A6" i="12" s="1"/>
  <c r="H9" i="1" a="1"/>
  <c r="H9" i="1" s="1"/>
  <c r="H12" i="1" a="1"/>
  <c r="H12" i="1" s="1"/>
  <c r="A4" i="12" a="1"/>
  <c r="A4" i="12" s="1"/>
  <c r="S7" i="12" a="1"/>
  <c r="S7" i="12" s="1"/>
  <c r="H10" i="1" a="1"/>
  <c r="H10" i="1" s="1"/>
  <c r="A5" i="12" a="1"/>
  <c r="A5" i="12" s="1"/>
  <c r="H8" i="1" a="1"/>
  <c r="H8" i="1" s="1"/>
  <c r="H11" i="1" a="1"/>
  <c r="H11" i="1" s="1"/>
  <c r="Q11" i="1" s="1"/>
  <c r="S8" i="12" a="1"/>
  <c r="S8" i="12" s="1"/>
  <c r="A13" i="12" a="1"/>
  <c r="A13" i="12" s="1"/>
  <c r="H13" i="1" a="1"/>
  <c r="H13" i="1" s="1"/>
  <c r="A14" i="12" a="1"/>
  <c r="A14" i="12" s="1"/>
  <c r="H14" i="1" a="1"/>
  <c r="H14" i="1" s="1"/>
  <c r="A15" i="12" a="1"/>
  <c r="A15" i="12" s="1"/>
  <c r="H15" i="1" a="1"/>
  <c r="H15" i="1" s="1"/>
  <c r="A16" i="12" a="1"/>
  <c r="A16" i="12" s="1"/>
  <c r="H16" i="1" a="1"/>
  <c r="H16" i="1" s="1"/>
  <c r="A17" i="12" a="1"/>
  <c r="A17" i="12" s="1"/>
  <c r="H17" i="1" a="1"/>
  <c r="H17" i="1" s="1"/>
  <c r="S18" i="12" a="1"/>
  <c r="S18" i="12" s="1"/>
  <c r="H18" i="1" a="1"/>
  <c r="H18" i="1" s="1"/>
  <c r="A19" i="12" a="1"/>
  <c r="A19" i="12" s="1"/>
  <c r="H19" i="1" a="1"/>
  <c r="H19" i="1" s="1"/>
  <c r="A20" i="12" a="1"/>
  <c r="A20" i="12" s="1"/>
  <c r="H20" i="1" a="1"/>
  <c r="H20" i="1" s="1"/>
  <c r="A21" i="12" a="1"/>
  <c r="A21" i="12" s="1"/>
  <c r="H21" i="1" a="1"/>
  <c r="H21" i="1" s="1"/>
  <c r="A22" i="12" a="1"/>
  <c r="A22" i="12" s="1"/>
  <c r="H22" i="1" a="1"/>
  <c r="H22" i="1" s="1"/>
  <c r="A23" i="12" a="1"/>
  <c r="A23" i="12" s="1"/>
  <c r="H23" i="1" a="1"/>
  <c r="H23" i="1" s="1"/>
  <c r="A24" i="12" a="1"/>
  <c r="A24" i="12" s="1"/>
  <c r="H24" i="1" a="1"/>
  <c r="H24" i="1" s="1"/>
  <c r="A25" i="12" a="1"/>
  <c r="A25" i="12" s="1"/>
  <c r="H25" i="1" a="1"/>
  <c r="H25" i="1" s="1"/>
  <c r="A26" i="12" a="1"/>
  <c r="A26" i="12" s="1"/>
  <c r="H26" i="1" a="1"/>
  <c r="H26" i="1" s="1"/>
  <c r="A27" i="12" a="1"/>
  <c r="A27" i="12" s="1"/>
  <c r="H27" i="1" a="1"/>
  <c r="H27" i="1" s="1"/>
  <c r="A28" i="12" a="1"/>
  <c r="A28" i="12" s="1"/>
  <c r="H28" i="1" a="1"/>
  <c r="H28" i="1" s="1"/>
  <c r="A29" i="12" a="1"/>
  <c r="A29" i="12" s="1"/>
  <c r="H29" i="1" a="1"/>
  <c r="H29" i="1" s="1"/>
  <c r="A30" i="12" a="1"/>
  <c r="A30" i="12" s="1"/>
  <c r="H30" i="1" a="1"/>
  <c r="H30" i="1" s="1"/>
  <c r="A31" i="12" a="1"/>
  <c r="A31" i="12" s="1"/>
  <c r="H31" i="1" a="1"/>
  <c r="H31" i="1" s="1"/>
  <c r="A32" i="12" a="1"/>
  <c r="A32" i="12" s="1"/>
  <c r="H32" i="1" a="1"/>
  <c r="H32" i="1" s="1"/>
  <c r="A33" i="12" a="1"/>
  <c r="A33" i="12" s="1"/>
  <c r="H33" i="1" a="1"/>
  <c r="H33" i="1" s="1"/>
  <c r="A34" i="12" a="1"/>
  <c r="A34" i="12" s="1"/>
  <c r="H34" i="1" a="1"/>
  <c r="H34" i="1" s="1"/>
  <c r="A35" i="12" a="1"/>
  <c r="A35" i="12" s="1"/>
  <c r="H35" i="1" a="1"/>
  <c r="H35" i="1" s="1"/>
  <c r="A36" i="12" a="1"/>
  <c r="A36" i="12" s="1"/>
  <c r="H36" i="1" a="1"/>
  <c r="H36" i="1" s="1"/>
  <c r="A37" i="12" a="1"/>
  <c r="A37" i="12" s="1"/>
  <c r="H37" i="1" a="1"/>
  <c r="H37" i="1" s="1"/>
  <c r="A38" i="12" a="1"/>
  <c r="A38" i="12" s="1"/>
  <c r="H38" i="1" a="1"/>
  <c r="H38" i="1" s="1"/>
  <c r="A39" i="12" a="1"/>
  <c r="A39" i="12" s="1"/>
  <c r="H39" i="1" a="1"/>
  <c r="H39" i="1" s="1"/>
  <c r="A40" i="12" a="1"/>
  <c r="A40" i="12" s="1"/>
  <c r="H40" i="1" a="1"/>
  <c r="H40" i="1" s="1"/>
  <c r="A41" i="12" a="1"/>
  <c r="A41" i="12" s="1"/>
  <c r="H41" i="1" a="1"/>
  <c r="H41" i="1" s="1"/>
  <c r="A42" i="12" a="1"/>
  <c r="A42" i="12" s="1"/>
  <c r="H42" i="1" a="1"/>
  <c r="H42" i="1" s="1"/>
  <c r="A43" i="12" a="1"/>
  <c r="A43" i="12" s="1"/>
  <c r="H43" i="1" a="1"/>
  <c r="H43" i="1" s="1"/>
  <c r="A44" i="12" a="1"/>
  <c r="A44" i="12" s="1"/>
  <c r="H44" i="1" a="1"/>
  <c r="H44" i="1" s="1"/>
  <c r="A45" i="12" a="1"/>
  <c r="A45" i="12" s="1"/>
  <c r="H45" i="1" a="1"/>
  <c r="H45" i="1" s="1"/>
  <c r="A46" i="12" a="1"/>
  <c r="A46" i="12" s="1"/>
  <c r="H46" i="1" a="1"/>
  <c r="H46" i="1" s="1"/>
  <c r="A47" i="12" a="1"/>
  <c r="A47" i="12" s="1"/>
  <c r="H47" i="1" a="1"/>
  <c r="H47" i="1" s="1"/>
  <c r="A48" i="12" a="1"/>
  <c r="A48" i="12" s="1"/>
  <c r="H48" i="1" a="1"/>
  <c r="H48" i="1" s="1"/>
  <c r="A49" i="12" a="1"/>
  <c r="A49" i="12" s="1"/>
  <c r="H49" i="1" a="1"/>
  <c r="H49" i="1" s="1"/>
  <c r="A50" i="12" a="1"/>
  <c r="A50" i="12" s="1"/>
  <c r="H50" i="1" a="1"/>
  <c r="H50" i="1" s="1"/>
  <c r="A51" i="12" a="1"/>
  <c r="A51" i="12" s="1"/>
  <c r="H51" i="1" a="1"/>
  <c r="H51" i="1" s="1"/>
  <c r="A52" i="12" a="1"/>
  <c r="A52" i="12" s="1"/>
  <c r="H52" i="1" a="1"/>
  <c r="H52" i="1" s="1"/>
  <c r="A53" i="12" a="1"/>
  <c r="A53" i="12" s="1"/>
  <c r="H53" i="1" a="1"/>
  <c r="H53" i="1" s="1"/>
  <c r="A54" i="12" a="1"/>
  <c r="A54" i="12" s="1"/>
  <c r="H54" i="1" a="1"/>
  <c r="H54" i="1" s="1"/>
  <c r="A55" i="12" a="1"/>
  <c r="A55" i="12" s="1"/>
  <c r="H55" i="1" a="1"/>
  <c r="H55" i="1" s="1"/>
  <c r="A56" i="12" a="1"/>
  <c r="A56" i="12" s="1"/>
  <c r="H56" i="1" a="1"/>
  <c r="H56" i="1" s="1"/>
  <c r="A57" i="12" a="1"/>
  <c r="A57" i="12" s="1"/>
  <c r="H57" i="1" a="1"/>
  <c r="H57" i="1" s="1"/>
  <c r="A58" i="12" a="1"/>
  <c r="A58" i="12" s="1"/>
  <c r="H58" i="1" a="1"/>
  <c r="H58" i="1" s="1"/>
  <c r="A59" i="12" a="1"/>
  <c r="A59" i="12" s="1"/>
  <c r="H59" i="1" a="1"/>
  <c r="H59" i="1" s="1"/>
  <c r="A60" i="12" a="1"/>
  <c r="A60" i="12" s="1"/>
  <c r="H60" i="1" a="1"/>
  <c r="H60" i="1" s="1"/>
  <c r="A61" i="12" a="1"/>
  <c r="A61" i="12" s="1"/>
  <c r="H61" i="1" a="1"/>
  <c r="H61" i="1" s="1"/>
  <c r="A62" i="12" a="1"/>
  <c r="A62" i="12" s="1"/>
  <c r="H62" i="1" a="1"/>
  <c r="H62" i="1" s="1"/>
  <c r="A63" i="12" a="1"/>
  <c r="A63" i="12" s="1"/>
  <c r="H63" i="1" a="1"/>
  <c r="H63" i="1" s="1"/>
  <c r="A64" i="12" a="1"/>
  <c r="A64" i="12" s="1"/>
  <c r="H64" i="1" a="1"/>
  <c r="H64" i="1" s="1"/>
  <c r="A65" i="12" a="1"/>
  <c r="A65" i="12" s="1"/>
  <c r="H65" i="1" a="1"/>
  <c r="H65" i="1" s="1"/>
  <c r="A66" i="12" a="1"/>
  <c r="A66" i="12" s="1"/>
  <c r="H66" i="1" a="1"/>
  <c r="H66" i="1" s="1"/>
  <c r="A67" i="12" a="1"/>
  <c r="A67" i="12" s="1"/>
  <c r="H67" i="1" a="1"/>
  <c r="H67" i="1" s="1"/>
  <c r="A68" i="12" a="1"/>
  <c r="A68" i="12" s="1"/>
  <c r="H68" i="1" a="1"/>
  <c r="H68" i="1" s="1"/>
  <c r="A69" i="12" a="1"/>
  <c r="A69" i="12" s="1"/>
  <c r="H69" i="1" a="1"/>
  <c r="H69" i="1" s="1"/>
  <c r="A70" i="12" a="1"/>
  <c r="A70" i="12" s="1"/>
  <c r="H70" i="1" a="1"/>
  <c r="H70" i="1" s="1"/>
  <c r="A71" i="12" a="1"/>
  <c r="A71" i="12" s="1"/>
  <c r="H71" i="1" a="1"/>
  <c r="H71" i="1" s="1"/>
  <c r="A72" i="12" a="1"/>
  <c r="A72" i="12" s="1"/>
  <c r="H72" i="1" a="1"/>
  <c r="H72" i="1" s="1"/>
  <c r="A73" i="12" a="1"/>
  <c r="A73" i="12" s="1"/>
  <c r="H73" i="1" a="1"/>
  <c r="H73" i="1" s="1"/>
  <c r="A74" i="12" a="1"/>
  <c r="A74" i="12" s="1"/>
  <c r="H74" i="1" a="1"/>
  <c r="H74" i="1" s="1"/>
  <c r="A75" i="12" a="1"/>
  <c r="A75" i="12" s="1"/>
  <c r="H75" i="1" a="1"/>
  <c r="H75" i="1" s="1"/>
  <c r="A76" i="12" a="1"/>
  <c r="A76" i="12" s="1"/>
  <c r="H76" i="1" a="1"/>
  <c r="H76" i="1" s="1"/>
  <c r="A77" i="12" a="1"/>
  <c r="A77" i="12" s="1"/>
  <c r="H77" i="1" a="1"/>
  <c r="H77" i="1" s="1"/>
  <c r="A78" i="12" a="1"/>
  <c r="A78" i="12" s="1"/>
  <c r="H78" i="1" a="1"/>
  <c r="H78" i="1" s="1"/>
  <c r="A79" i="12" a="1"/>
  <c r="A79" i="12" s="1"/>
  <c r="H79" i="1" a="1"/>
  <c r="H79" i="1" s="1"/>
  <c r="A80" i="12" a="1"/>
  <c r="A80" i="12" s="1"/>
  <c r="H80" i="1" a="1"/>
  <c r="H80" i="1" s="1"/>
  <c r="A81" i="12" a="1"/>
  <c r="A81" i="12" s="1"/>
  <c r="H81" i="1" a="1"/>
  <c r="H81" i="1" s="1"/>
  <c r="A82" i="12" a="1"/>
  <c r="A82" i="12" s="1"/>
  <c r="H82" i="1" a="1"/>
  <c r="H82" i="1" s="1"/>
  <c r="A83" i="12" a="1"/>
  <c r="A83" i="12" s="1"/>
  <c r="H83" i="1" a="1"/>
  <c r="H83" i="1" s="1"/>
  <c r="A84" i="12" a="1"/>
  <c r="A84" i="12" s="1"/>
  <c r="H84" i="1" a="1"/>
  <c r="H84" i="1" s="1"/>
  <c r="A85" i="12" a="1"/>
  <c r="A85" i="12" s="1"/>
  <c r="H85" i="1" a="1"/>
  <c r="H85" i="1" s="1"/>
  <c r="A86" i="12" a="1"/>
  <c r="A86" i="12" s="1"/>
  <c r="H86" i="1" a="1"/>
  <c r="H86" i="1" s="1"/>
  <c r="A87" i="12" a="1"/>
  <c r="A87" i="12" s="1"/>
  <c r="H87" i="1" a="1"/>
  <c r="H87" i="1" s="1"/>
  <c r="A88" i="12" a="1"/>
  <c r="A88" i="12" s="1"/>
  <c r="H88" i="1" a="1"/>
  <c r="H88" i="1" s="1"/>
  <c r="A89" i="12" a="1"/>
  <c r="A89" i="12" s="1"/>
  <c r="H89" i="1" a="1"/>
  <c r="H89" i="1" s="1"/>
  <c r="A90" i="12" a="1"/>
  <c r="A90" i="12" s="1"/>
  <c r="H90" i="1" a="1"/>
  <c r="H90" i="1" s="1"/>
  <c r="A91" i="12" a="1"/>
  <c r="A91" i="12" s="1"/>
  <c r="H91" i="1" a="1"/>
  <c r="H91" i="1" s="1"/>
  <c r="A92" i="12" a="1"/>
  <c r="A92" i="12" s="1"/>
  <c r="H92" i="1" a="1"/>
  <c r="H92" i="1" s="1"/>
  <c r="A93" i="12" a="1"/>
  <c r="A93" i="12" s="1"/>
  <c r="H93" i="1" a="1"/>
  <c r="H93" i="1" s="1"/>
  <c r="A94" i="12" a="1"/>
  <c r="A94" i="12" s="1"/>
  <c r="H94" i="1" a="1"/>
  <c r="H94" i="1" s="1"/>
  <c r="A95" i="12" a="1"/>
  <c r="A95" i="12" s="1"/>
  <c r="H95" i="1" a="1"/>
  <c r="H95" i="1" s="1"/>
  <c r="A96" i="12" a="1"/>
  <c r="A96" i="12" s="1"/>
  <c r="H96" i="1" a="1"/>
  <c r="H96" i="1" s="1"/>
  <c r="A97" i="12" a="1"/>
  <c r="A97" i="12" s="1"/>
  <c r="H97" i="1" a="1"/>
  <c r="H97" i="1" s="1"/>
  <c r="A98" i="12" a="1"/>
  <c r="A98" i="12" s="1"/>
  <c r="H98" i="1" a="1"/>
  <c r="H98" i="1" s="1"/>
  <c r="A99" i="12" a="1"/>
  <c r="A99" i="12" s="1"/>
  <c r="H99" i="1" a="1"/>
  <c r="H99" i="1" s="1"/>
  <c r="A100" i="12" a="1"/>
  <c r="A100" i="12" s="1"/>
  <c r="H100" i="1" a="1"/>
  <c r="H100" i="1" s="1"/>
  <c r="A101" i="12" a="1"/>
  <c r="A101" i="12" s="1"/>
  <c r="H101" i="1" a="1"/>
  <c r="H101" i="1" s="1"/>
  <c r="A102" i="12" a="1"/>
  <c r="A102" i="12" s="1"/>
  <c r="H102" i="1" a="1"/>
  <c r="H102" i="1" s="1"/>
  <c r="A103" i="12" a="1"/>
  <c r="A103" i="12" s="1"/>
  <c r="H103" i="1" a="1"/>
  <c r="H103" i="1" s="1"/>
  <c r="A104" i="12" a="1"/>
  <c r="A104" i="12" s="1"/>
  <c r="H104" i="1" a="1"/>
  <c r="H104" i="1" s="1"/>
  <c r="A105" i="12" a="1"/>
  <c r="A105" i="12" s="1"/>
  <c r="H105" i="1" a="1"/>
  <c r="H105" i="1" s="1"/>
  <c r="A106" i="12" a="1"/>
  <c r="A106" i="12" s="1"/>
  <c r="H106" i="1" a="1"/>
  <c r="H106" i="1" s="1"/>
  <c r="A107" i="12" a="1"/>
  <c r="A107" i="12" s="1"/>
  <c r="H107" i="1" a="1"/>
  <c r="H107" i="1" s="1"/>
  <c r="A108" i="12" a="1"/>
  <c r="A108" i="12" s="1"/>
  <c r="H108" i="1" a="1"/>
  <c r="H108" i="1" s="1"/>
  <c r="A109" i="12" a="1"/>
  <c r="A109" i="12" s="1"/>
  <c r="H109" i="1" a="1"/>
  <c r="H109" i="1" s="1"/>
  <c r="A110" i="12" a="1"/>
  <c r="A110" i="12" s="1"/>
  <c r="H110" i="1" a="1"/>
  <c r="H110" i="1" s="1"/>
  <c r="A111" i="12" a="1"/>
  <c r="A111" i="12" s="1"/>
  <c r="H111" i="1" a="1"/>
  <c r="H111" i="1" s="1"/>
  <c r="A112" i="12" a="1"/>
  <c r="A112" i="12" s="1"/>
  <c r="H112" i="1" a="1"/>
  <c r="H112" i="1" s="1"/>
  <c r="A113" i="12" a="1"/>
  <c r="A113" i="12" s="1"/>
  <c r="H113" i="1" a="1"/>
  <c r="H113" i="1" s="1"/>
  <c r="A114" i="12" a="1"/>
  <c r="A114" i="12" s="1"/>
  <c r="H114" i="1" a="1"/>
  <c r="H114" i="1" s="1"/>
  <c r="A115" i="12" a="1"/>
  <c r="A115" i="12" s="1"/>
  <c r="H115" i="1" a="1"/>
  <c r="H115" i="1" s="1"/>
  <c r="A116" i="12" a="1"/>
  <c r="A116" i="12" s="1"/>
  <c r="H116" i="1" a="1"/>
  <c r="H116" i="1" s="1"/>
  <c r="A117" i="12" a="1"/>
  <c r="A117" i="12" s="1"/>
  <c r="H117" i="1" a="1"/>
  <c r="H117" i="1" s="1"/>
  <c r="A118" i="12" a="1"/>
  <c r="A118" i="12" s="1"/>
  <c r="H118" i="1" a="1"/>
  <c r="H118" i="1" s="1"/>
  <c r="A119" i="12" a="1"/>
  <c r="A119" i="12" s="1"/>
  <c r="H119" i="1" a="1"/>
  <c r="H119" i="1" s="1"/>
  <c r="A120" i="12" a="1"/>
  <c r="A120" i="12" s="1"/>
  <c r="H120" i="1" a="1"/>
  <c r="H120" i="1" s="1"/>
  <c r="A121" i="12" a="1"/>
  <c r="A121" i="12" s="1"/>
  <c r="H121" i="1" a="1"/>
  <c r="H121" i="1" s="1"/>
  <c r="A122" i="12" a="1"/>
  <c r="A122" i="12" s="1"/>
  <c r="H122" i="1" a="1"/>
  <c r="H122" i="1" s="1"/>
  <c r="A123" i="12" a="1"/>
  <c r="A123" i="12" s="1"/>
  <c r="H123" i="1" a="1"/>
  <c r="H123" i="1" s="1"/>
  <c r="A124" i="12" a="1"/>
  <c r="A124" i="12" s="1"/>
  <c r="H124" i="1" a="1"/>
  <c r="H124" i="1" s="1"/>
  <c r="A125" i="12" a="1"/>
  <c r="A125" i="12" s="1"/>
  <c r="H125" i="1" a="1"/>
  <c r="H125" i="1" s="1"/>
  <c r="A126" i="12" a="1"/>
  <c r="A126" i="12" s="1"/>
  <c r="H126" i="1" a="1"/>
  <c r="H126" i="1" s="1"/>
  <c r="A127" i="12" a="1"/>
  <c r="A127" i="12" s="1"/>
  <c r="H127" i="1" a="1"/>
  <c r="H127" i="1" s="1"/>
  <c r="A128" i="12" a="1"/>
  <c r="A128" i="12" s="1"/>
  <c r="H128" i="1" a="1"/>
  <c r="H128" i="1" s="1"/>
  <c r="A129" i="12" a="1"/>
  <c r="A129" i="12" s="1"/>
  <c r="H129" i="1" a="1"/>
  <c r="H129" i="1" s="1"/>
  <c r="A130" i="12" a="1"/>
  <c r="A130" i="12" s="1"/>
  <c r="H130" i="1" a="1"/>
  <c r="H130" i="1" s="1"/>
  <c r="A131" i="12" a="1"/>
  <c r="A131" i="12" s="1"/>
  <c r="H131" i="1" a="1"/>
  <c r="H131" i="1" s="1"/>
  <c r="A132" i="12" a="1"/>
  <c r="A132" i="12" s="1"/>
  <c r="H132" i="1" a="1"/>
  <c r="H132" i="1" s="1"/>
  <c r="A133" i="12" a="1"/>
  <c r="A133" i="12" s="1"/>
  <c r="H133" i="1" a="1"/>
  <c r="H133" i="1" s="1"/>
  <c r="A134" i="12" a="1"/>
  <c r="A134" i="12" s="1"/>
  <c r="H134" i="1" a="1"/>
  <c r="H134" i="1" s="1"/>
  <c r="A135" i="12" a="1"/>
  <c r="A135" i="12" s="1"/>
  <c r="H135" i="1" a="1"/>
  <c r="H135" i="1" s="1"/>
  <c r="A136" i="12" a="1"/>
  <c r="A136" i="12" s="1"/>
  <c r="H136" i="1" a="1"/>
  <c r="H136" i="1" s="1"/>
  <c r="A137" i="12" a="1"/>
  <c r="A137" i="12" s="1"/>
  <c r="H137" i="1" a="1"/>
  <c r="H137" i="1" s="1"/>
  <c r="A138" i="12" a="1"/>
  <c r="A138" i="12" s="1"/>
  <c r="H138" i="1" a="1"/>
  <c r="H138" i="1" s="1"/>
  <c r="A139" i="12" a="1"/>
  <c r="A139" i="12" s="1"/>
  <c r="H139" i="1" a="1"/>
  <c r="H139" i="1" s="1"/>
  <c r="A140" i="12" a="1"/>
  <c r="A140" i="12" s="1"/>
  <c r="H140" i="1" a="1"/>
  <c r="H140" i="1" s="1"/>
  <c r="A141" i="12" a="1"/>
  <c r="A141" i="12" s="1"/>
  <c r="H141" i="1" a="1"/>
  <c r="H141" i="1" s="1"/>
  <c r="A142" i="12" a="1"/>
  <c r="A142" i="12" s="1"/>
  <c r="H142" i="1" a="1"/>
  <c r="H142" i="1" s="1"/>
  <c r="A143" i="12" a="1"/>
  <c r="A143" i="12" s="1"/>
  <c r="H143" i="1" a="1"/>
  <c r="H143" i="1" s="1"/>
  <c r="A144" i="12" a="1"/>
  <c r="A144" i="12" s="1"/>
  <c r="H144" i="1" a="1"/>
  <c r="H144" i="1" s="1"/>
  <c r="A145" i="12" a="1"/>
  <c r="A145" i="12" s="1"/>
  <c r="H145" i="1" a="1"/>
  <c r="H145" i="1" s="1"/>
  <c r="A146" i="12" a="1"/>
  <c r="A146" i="12" s="1"/>
  <c r="H146" i="1" a="1"/>
  <c r="H146" i="1" s="1"/>
  <c r="A147" i="12" a="1"/>
  <c r="A147" i="12" s="1"/>
  <c r="H147" i="1" a="1"/>
  <c r="H147" i="1" s="1"/>
  <c r="A148" i="12" a="1"/>
  <c r="A148" i="12" s="1"/>
  <c r="H148" i="1" a="1"/>
  <c r="H148" i="1" s="1"/>
  <c r="A149" i="12" a="1"/>
  <c r="A149" i="12" s="1"/>
  <c r="H149" i="1" a="1"/>
  <c r="H149" i="1" s="1"/>
  <c r="A150" i="12" a="1"/>
  <c r="A150" i="12" s="1"/>
  <c r="H150" i="1" a="1"/>
  <c r="H150" i="1" s="1"/>
  <c r="A151" i="12" a="1"/>
  <c r="A151" i="12" s="1"/>
  <c r="H151" i="1" a="1"/>
  <c r="H151" i="1" s="1"/>
  <c r="A152" i="12" a="1"/>
  <c r="A152" i="12" s="1"/>
  <c r="H152" i="1" a="1"/>
  <c r="H152" i="1" s="1"/>
  <c r="A153" i="12" a="1"/>
  <c r="A153" i="12" s="1"/>
  <c r="H153" i="1" a="1"/>
  <c r="H153" i="1" s="1"/>
  <c r="A154" i="12" a="1"/>
  <c r="A154" i="12" s="1"/>
  <c r="H154" i="1" a="1"/>
  <c r="H154" i="1" s="1"/>
  <c r="A155" i="12" a="1"/>
  <c r="A155" i="12" s="1"/>
  <c r="H155" i="1" a="1"/>
  <c r="H155" i="1" s="1"/>
  <c r="A156" i="12" a="1"/>
  <c r="A156" i="12" s="1"/>
  <c r="H156" i="1" a="1"/>
  <c r="H156" i="1" s="1"/>
  <c r="A157" i="12" a="1"/>
  <c r="A157" i="12" s="1"/>
  <c r="H157" i="1" a="1"/>
  <c r="H157" i="1" s="1"/>
  <c r="A158" i="12" a="1"/>
  <c r="A158" i="12" s="1"/>
  <c r="H158" i="1" a="1"/>
  <c r="H158" i="1" s="1"/>
  <c r="A159" i="12" a="1"/>
  <c r="A159" i="12" s="1"/>
  <c r="H159" i="1" a="1"/>
  <c r="H159" i="1" s="1"/>
  <c r="A160" i="12" a="1"/>
  <c r="A160" i="12" s="1"/>
  <c r="H160" i="1" a="1"/>
  <c r="H160" i="1" s="1"/>
  <c r="A161" i="12" a="1"/>
  <c r="A161" i="12" s="1"/>
  <c r="H161" i="1" a="1"/>
  <c r="H161" i="1" s="1"/>
  <c r="A162" i="12" a="1"/>
  <c r="A162" i="12" s="1"/>
  <c r="H162" i="1" a="1"/>
  <c r="H162" i="1" s="1"/>
  <c r="A163" i="12" a="1"/>
  <c r="A163" i="12" s="1"/>
  <c r="H163" i="1" a="1"/>
  <c r="H163" i="1" s="1"/>
  <c r="A164" i="12" a="1"/>
  <c r="A164" i="12" s="1"/>
  <c r="H164" i="1" a="1"/>
  <c r="H164" i="1" s="1"/>
  <c r="A165" i="12" a="1"/>
  <c r="A165" i="12" s="1"/>
  <c r="H165" i="1" a="1"/>
  <c r="H165" i="1" s="1"/>
  <c r="A166" i="12" a="1"/>
  <c r="A166" i="12" s="1"/>
  <c r="H166" i="1" a="1"/>
  <c r="H166" i="1" s="1"/>
  <c r="A167" i="12" a="1"/>
  <c r="A167" i="12" s="1"/>
  <c r="H167" i="1" a="1"/>
  <c r="H167" i="1" s="1"/>
  <c r="A168" i="12" a="1"/>
  <c r="A168" i="12" s="1"/>
  <c r="H168" i="1" a="1"/>
  <c r="H168" i="1" s="1"/>
  <c r="A169" i="12" a="1"/>
  <c r="A169" i="12" s="1"/>
  <c r="H169" i="1" a="1"/>
  <c r="H169" i="1" s="1"/>
  <c r="A170" i="12" a="1"/>
  <c r="A170" i="12" s="1"/>
  <c r="H170" i="1" a="1"/>
  <c r="H170" i="1" s="1"/>
  <c r="A171" i="12" a="1"/>
  <c r="A171" i="12" s="1"/>
  <c r="H171" i="1" a="1"/>
  <c r="H171" i="1" s="1"/>
  <c r="A172" i="12" a="1"/>
  <c r="A172" i="12" s="1"/>
  <c r="H172" i="1" a="1"/>
  <c r="H172" i="1" s="1"/>
  <c r="A173" i="12" a="1"/>
  <c r="A173" i="12" s="1"/>
  <c r="H173" i="1" a="1"/>
  <c r="H173" i="1" s="1"/>
  <c r="A174" i="12" a="1"/>
  <c r="A174" i="12" s="1"/>
  <c r="H174" i="1" a="1"/>
  <c r="H174" i="1" s="1"/>
  <c r="A175" i="12" a="1"/>
  <c r="A175" i="12" s="1"/>
  <c r="H175" i="1" a="1"/>
  <c r="H175" i="1" s="1"/>
  <c r="A176" i="12" a="1"/>
  <c r="A176" i="12" s="1"/>
  <c r="H176" i="1" a="1"/>
  <c r="H176" i="1" s="1"/>
  <c r="A177" i="12" a="1"/>
  <c r="A177" i="12" s="1"/>
  <c r="H177" i="1" a="1"/>
  <c r="H177" i="1" s="1"/>
  <c r="A178" i="12" a="1"/>
  <c r="A178" i="12" s="1"/>
  <c r="H178" i="1" a="1"/>
  <c r="H178" i="1" s="1"/>
  <c r="A179" i="12" a="1"/>
  <c r="A179" i="12" s="1"/>
  <c r="H179" i="1" a="1"/>
  <c r="H179" i="1" s="1"/>
  <c r="A180" i="12" a="1"/>
  <c r="A180" i="12" s="1"/>
  <c r="H180" i="1" a="1"/>
  <c r="H180" i="1" s="1"/>
  <c r="A181" i="12" a="1"/>
  <c r="A181" i="12" s="1"/>
  <c r="H181" i="1" a="1"/>
  <c r="H181" i="1" s="1"/>
  <c r="A182" i="12" a="1"/>
  <c r="A182" i="12" s="1"/>
  <c r="H182" i="1" a="1"/>
  <c r="H182" i="1" s="1"/>
  <c r="A183" i="12" a="1"/>
  <c r="A183" i="12" s="1"/>
  <c r="H183" i="1" a="1"/>
  <c r="H183" i="1" s="1"/>
  <c r="A184" i="12" a="1"/>
  <c r="A184" i="12" s="1"/>
  <c r="H184" i="1" a="1"/>
  <c r="H184" i="1" s="1"/>
  <c r="A185" i="12" a="1"/>
  <c r="A185" i="12" s="1"/>
  <c r="H185" i="1" a="1"/>
  <c r="H185" i="1" s="1"/>
  <c r="A186" i="12" a="1"/>
  <c r="A186" i="12" s="1"/>
  <c r="H186" i="1" a="1"/>
  <c r="H186" i="1" s="1"/>
  <c r="A187" i="12" a="1"/>
  <c r="A187" i="12" s="1"/>
  <c r="H187" i="1" a="1"/>
  <c r="H187" i="1" s="1"/>
  <c r="A188" i="12" a="1"/>
  <c r="A188" i="12" s="1"/>
  <c r="H188" i="1" a="1"/>
  <c r="H188" i="1" s="1"/>
  <c r="A189" i="12" a="1"/>
  <c r="A189" i="12" s="1"/>
  <c r="H189" i="1" a="1"/>
  <c r="H189" i="1" s="1"/>
  <c r="A190" i="12" a="1"/>
  <c r="A190" i="12" s="1"/>
  <c r="H190" i="1" a="1"/>
  <c r="H190" i="1" s="1"/>
  <c r="A191" i="12" a="1"/>
  <c r="A191" i="12" s="1"/>
  <c r="H191" i="1" a="1"/>
  <c r="H191" i="1" s="1"/>
  <c r="A192" i="12" a="1"/>
  <c r="A192" i="12" s="1"/>
  <c r="H192" i="1" a="1"/>
  <c r="H192" i="1" s="1"/>
  <c r="A193" i="12" a="1"/>
  <c r="A193" i="12" s="1"/>
  <c r="H193" i="1" a="1"/>
  <c r="H193" i="1" s="1"/>
  <c r="A194" i="12" a="1"/>
  <c r="A194" i="12" s="1"/>
  <c r="H194" i="1" a="1"/>
  <c r="H194" i="1" s="1"/>
  <c r="A195" i="12" a="1"/>
  <c r="A195" i="12" s="1"/>
  <c r="H195" i="1" a="1"/>
  <c r="H195" i="1" s="1"/>
  <c r="A196" i="12" a="1"/>
  <c r="A196" i="12" s="1"/>
  <c r="H196" i="1" a="1"/>
  <c r="H196" i="1" s="1"/>
  <c r="A197" i="12" a="1"/>
  <c r="A197" i="12" s="1"/>
  <c r="H197" i="1" a="1"/>
  <c r="H197" i="1" s="1"/>
  <c r="A198" i="12" a="1"/>
  <c r="A198" i="12" s="1"/>
  <c r="H198" i="1" a="1"/>
  <c r="H198" i="1" s="1"/>
  <c r="A199" i="12" a="1"/>
  <c r="A199" i="12" s="1"/>
  <c r="H199" i="1" a="1"/>
  <c r="H199" i="1" s="1"/>
  <c r="A200" i="12" a="1"/>
  <c r="A200" i="12" s="1"/>
  <c r="H200" i="1" a="1"/>
  <c r="H200" i="1" s="1"/>
  <c r="A201" i="12" a="1"/>
  <c r="A201" i="12" s="1"/>
  <c r="H201" i="1" a="1"/>
  <c r="H201" i="1" s="1"/>
  <c r="A202" i="12" a="1"/>
  <c r="A202" i="12" s="1"/>
  <c r="H202" i="1" a="1"/>
  <c r="H202" i="1" s="1"/>
  <c r="A203" i="12" a="1"/>
  <c r="A203" i="12" s="1"/>
  <c r="H203" i="1" a="1"/>
  <c r="H203" i="1" s="1"/>
  <c r="A204" i="12" a="1"/>
  <c r="A204" i="12" s="1"/>
  <c r="H204" i="1" a="1"/>
  <c r="H204" i="1" s="1"/>
  <c r="A205" i="12" a="1"/>
  <c r="A205" i="12" s="1"/>
  <c r="H205" i="1" a="1"/>
  <c r="H205" i="1" s="1"/>
  <c r="A206" i="12" a="1"/>
  <c r="A206" i="12" s="1"/>
  <c r="H206" i="1" a="1"/>
  <c r="H206" i="1" s="1"/>
  <c r="A207" i="12" a="1"/>
  <c r="A207" i="12" s="1"/>
  <c r="H207" i="1" a="1"/>
  <c r="H207" i="1" s="1"/>
  <c r="A208" i="12" a="1"/>
  <c r="A208" i="12" s="1"/>
  <c r="H208" i="1" a="1"/>
  <c r="H208" i="1" s="1"/>
  <c r="A209" i="12" a="1"/>
  <c r="A209" i="12" s="1"/>
  <c r="H209" i="1" a="1"/>
  <c r="H209" i="1" s="1"/>
  <c r="A210" i="12" a="1"/>
  <c r="A210" i="12" s="1"/>
  <c r="H210" i="1" a="1"/>
  <c r="H210" i="1" s="1"/>
  <c r="A211" i="12" a="1"/>
  <c r="A211" i="12" s="1"/>
  <c r="H211" i="1" a="1"/>
  <c r="H211" i="1" s="1"/>
  <c r="A212" i="12" a="1"/>
  <c r="A212" i="12" s="1"/>
  <c r="H212" i="1" a="1"/>
  <c r="H212" i="1" s="1"/>
  <c r="A213" i="12" a="1"/>
  <c r="A213" i="12" s="1"/>
  <c r="H213" i="1" a="1"/>
  <c r="H213" i="1" s="1"/>
  <c r="A214" i="12" a="1"/>
  <c r="A214" i="12" s="1"/>
  <c r="H214" i="1" a="1"/>
  <c r="H214" i="1" s="1"/>
  <c r="A215" i="12" a="1"/>
  <c r="A215" i="12" s="1"/>
  <c r="H215" i="1" a="1"/>
  <c r="H215" i="1" s="1"/>
  <c r="A216" i="12" a="1"/>
  <c r="A216" i="12" s="1"/>
  <c r="H216" i="1" a="1"/>
  <c r="H216" i="1" s="1"/>
  <c r="A217" i="12" a="1"/>
  <c r="A217" i="12" s="1"/>
  <c r="H217" i="1" a="1"/>
  <c r="H217" i="1" s="1"/>
  <c r="A218" i="12" a="1"/>
  <c r="A218" i="12" s="1"/>
  <c r="H218" i="1" a="1"/>
  <c r="H218" i="1" s="1"/>
  <c r="A219" i="12" a="1"/>
  <c r="A219" i="12" s="1"/>
  <c r="H219" i="1" a="1"/>
  <c r="H219" i="1" s="1"/>
  <c r="A220" i="12" a="1"/>
  <c r="A220" i="12" s="1"/>
  <c r="H220" i="1" a="1"/>
  <c r="H220" i="1" s="1"/>
  <c r="A221" i="12" a="1"/>
  <c r="A221" i="12" s="1"/>
  <c r="H221" i="1" a="1"/>
  <c r="H221" i="1" s="1"/>
  <c r="A222" i="12" a="1"/>
  <c r="A222" i="12" s="1"/>
  <c r="H222" i="1" a="1"/>
  <c r="H222" i="1" s="1"/>
  <c r="A223" i="12" a="1"/>
  <c r="A223" i="12" s="1"/>
  <c r="H223" i="1" a="1"/>
  <c r="H223" i="1" s="1"/>
  <c r="A224" i="12" a="1"/>
  <c r="A224" i="12" s="1"/>
  <c r="H224" i="1" a="1"/>
  <c r="H224" i="1" s="1"/>
  <c r="A225" i="12" a="1"/>
  <c r="A225" i="12" s="1"/>
  <c r="H225" i="1" a="1"/>
  <c r="H225" i="1" s="1"/>
  <c r="A226" i="12" a="1"/>
  <c r="A226" i="12" s="1"/>
  <c r="H226" i="1" a="1"/>
  <c r="H226" i="1" s="1"/>
  <c r="A227" i="12" a="1"/>
  <c r="A227" i="12" s="1"/>
  <c r="H227" i="1" a="1"/>
  <c r="H227" i="1" s="1"/>
  <c r="A228" i="12" a="1"/>
  <c r="A228" i="12" s="1"/>
  <c r="H228" i="1" a="1"/>
  <c r="H228" i="1" s="1"/>
  <c r="A229" i="12" a="1"/>
  <c r="A229" i="12" s="1"/>
  <c r="H229" i="1" a="1"/>
  <c r="H229" i="1" s="1"/>
  <c r="A230" i="12" a="1"/>
  <c r="A230" i="12" s="1"/>
  <c r="H230" i="1" a="1"/>
  <c r="H230" i="1" s="1"/>
  <c r="A231" i="12" a="1"/>
  <c r="A231" i="12" s="1"/>
  <c r="H231" i="1" a="1"/>
  <c r="H231" i="1" s="1"/>
  <c r="A232" i="12" a="1"/>
  <c r="A232" i="12" s="1"/>
  <c r="H232" i="1" a="1"/>
  <c r="H232" i="1" s="1"/>
  <c r="A233" i="12" a="1"/>
  <c r="A233" i="12" s="1"/>
  <c r="H233" i="1" a="1"/>
  <c r="H233" i="1" s="1"/>
  <c r="A234" i="12" a="1"/>
  <c r="A234" i="12" s="1"/>
  <c r="H234" i="1" a="1"/>
  <c r="H234" i="1" s="1"/>
  <c r="A235" i="12" a="1"/>
  <c r="A235" i="12" s="1"/>
  <c r="H235" i="1" a="1"/>
  <c r="H235" i="1" s="1"/>
  <c r="A236" i="12" a="1"/>
  <c r="A236" i="12" s="1"/>
  <c r="H236" i="1" a="1"/>
  <c r="H236" i="1" s="1"/>
  <c r="A237" i="12" a="1"/>
  <c r="A237" i="12" s="1"/>
  <c r="H237" i="1" a="1"/>
  <c r="H237" i="1" s="1"/>
  <c r="A238" i="12" a="1"/>
  <c r="A238" i="12" s="1"/>
  <c r="H238" i="1" a="1"/>
  <c r="H238" i="1" s="1"/>
  <c r="A239" i="12" a="1"/>
  <c r="A239" i="12" s="1"/>
  <c r="H239" i="1" a="1"/>
  <c r="H239" i="1" s="1"/>
  <c r="A240" i="12" a="1"/>
  <c r="A240" i="12" s="1"/>
  <c r="H240" i="1" a="1"/>
  <c r="H240" i="1" s="1"/>
  <c r="A241" i="12" a="1"/>
  <c r="A241" i="12" s="1"/>
  <c r="H241" i="1" a="1"/>
  <c r="H241" i="1" s="1"/>
  <c r="A242" i="12" a="1"/>
  <c r="A242" i="12" s="1"/>
  <c r="H242" i="1" a="1"/>
  <c r="H242" i="1" s="1"/>
  <c r="A243" i="12" a="1"/>
  <c r="A243" i="12" s="1"/>
  <c r="H243" i="1" a="1"/>
  <c r="H243" i="1" s="1"/>
  <c r="A244" i="12" a="1"/>
  <c r="A244" i="12" s="1"/>
  <c r="H244" i="1" a="1"/>
  <c r="H244" i="1" s="1"/>
  <c r="A245" i="12" a="1"/>
  <c r="A245" i="12" s="1"/>
  <c r="H245" i="1" a="1"/>
  <c r="H245" i="1" s="1"/>
  <c r="A246" i="12" a="1"/>
  <c r="A246" i="12" s="1"/>
  <c r="H246" i="1" a="1"/>
  <c r="H246" i="1" s="1"/>
  <c r="A247" i="12" a="1"/>
  <c r="A247" i="12" s="1"/>
  <c r="H247" i="1" a="1"/>
  <c r="H247" i="1" s="1"/>
  <c r="A248" i="12" a="1"/>
  <c r="A248" i="12" s="1"/>
  <c r="H248" i="1" a="1"/>
  <c r="H248" i="1" s="1"/>
  <c r="A249" i="12" a="1"/>
  <c r="A249" i="12" s="1"/>
  <c r="H249" i="1" a="1"/>
  <c r="H249" i="1" s="1"/>
  <c r="A250" i="12" a="1"/>
  <c r="A250" i="12" s="1"/>
  <c r="H250" i="1" a="1"/>
  <c r="H250" i="1" s="1"/>
  <c r="A251" i="12" a="1"/>
  <c r="A251" i="12" s="1"/>
  <c r="H251" i="1" a="1"/>
  <c r="H251" i="1" s="1"/>
  <c r="A252" i="12" a="1"/>
  <c r="A252" i="12" s="1"/>
  <c r="H252" i="1" a="1"/>
  <c r="H252" i="1" s="1"/>
  <c r="A253" i="12" a="1"/>
  <c r="A253" i="12" s="1"/>
  <c r="H253" i="1" a="1"/>
  <c r="H253" i="1" s="1"/>
  <c r="A254" i="12" a="1"/>
  <c r="A254" i="12" s="1"/>
  <c r="H254" i="1" a="1"/>
  <c r="H254" i="1" s="1"/>
  <c r="A255" i="12" a="1"/>
  <c r="A255" i="12" s="1"/>
  <c r="H255" i="1" a="1"/>
  <c r="H255" i="1" s="1"/>
  <c r="A256" i="12" a="1"/>
  <c r="A256" i="12" s="1"/>
  <c r="H256" i="1" a="1"/>
  <c r="H256" i="1" s="1"/>
  <c r="A257" i="12" a="1"/>
  <c r="A257" i="12" s="1"/>
  <c r="H257" i="1" a="1"/>
  <c r="H257" i="1" s="1"/>
  <c r="A258" i="12" a="1"/>
  <c r="A258" i="12" s="1"/>
  <c r="H258" i="1" a="1"/>
  <c r="H258" i="1" s="1"/>
  <c r="A259" i="12" a="1"/>
  <c r="A259" i="12" s="1"/>
  <c r="H259" i="1" a="1"/>
  <c r="H259" i="1" s="1"/>
  <c r="A260" i="12" a="1"/>
  <c r="A260" i="12" s="1"/>
  <c r="H260" i="1" a="1"/>
  <c r="H260" i="1" s="1"/>
  <c r="A261" i="12" a="1"/>
  <c r="A261" i="12" s="1"/>
  <c r="H261" i="1" a="1"/>
  <c r="H261" i="1" s="1"/>
  <c r="A262" i="12" a="1"/>
  <c r="A262" i="12" s="1"/>
  <c r="H262" i="1" a="1"/>
  <c r="H262" i="1" s="1"/>
  <c r="A263" i="12" a="1"/>
  <c r="A263" i="12" s="1"/>
  <c r="H263" i="1" a="1"/>
  <c r="H263" i="1" s="1"/>
  <c r="A264" i="12" a="1"/>
  <c r="A264" i="12" s="1"/>
  <c r="H264" i="1" a="1"/>
  <c r="H264" i="1" s="1"/>
  <c r="A265" i="12" a="1"/>
  <c r="A265" i="12" s="1"/>
  <c r="H265" i="1" a="1"/>
  <c r="H265" i="1" s="1"/>
  <c r="A266" i="12" a="1"/>
  <c r="A266" i="12" s="1"/>
  <c r="H266" i="1" a="1"/>
  <c r="H266" i="1" s="1"/>
  <c r="A267" i="12" a="1"/>
  <c r="A267" i="12" s="1"/>
  <c r="H267" i="1" a="1"/>
  <c r="H267" i="1" s="1"/>
  <c r="A268" i="12" a="1"/>
  <c r="A268" i="12" s="1"/>
  <c r="H268" i="1" a="1"/>
  <c r="H268" i="1" s="1"/>
  <c r="A269" i="12" a="1"/>
  <c r="A269" i="12" s="1"/>
  <c r="H269" i="1" a="1"/>
  <c r="H269" i="1" s="1"/>
  <c r="A270" i="12" a="1"/>
  <c r="A270" i="12" s="1"/>
  <c r="H270" i="1" a="1"/>
  <c r="H270" i="1" s="1"/>
  <c r="A271" i="12" a="1"/>
  <c r="A271" i="12" s="1"/>
  <c r="H271" i="1" a="1"/>
  <c r="H271" i="1" s="1"/>
  <c r="A272" i="12" a="1"/>
  <c r="A272" i="12" s="1"/>
  <c r="H272" i="1" a="1"/>
  <c r="H272" i="1" s="1"/>
  <c r="A273" i="12" a="1"/>
  <c r="A273" i="12" s="1"/>
  <c r="H273" i="1" a="1"/>
  <c r="H273" i="1" s="1"/>
  <c r="A274" i="12" a="1"/>
  <c r="A274" i="12" s="1"/>
  <c r="H274" i="1" a="1"/>
  <c r="H274" i="1" s="1"/>
  <c r="A275" i="12" a="1"/>
  <c r="A275" i="12" s="1"/>
  <c r="H275" i="1" a="1"/>
  <c r="H275" i="1" s="1"/>
  <c r="A276" i="12" a="1"/>
  <c r="A276" i="12" s="1"/>
  <c r="H276" i="1" a="1"/>
  <c r="H276" i="1" s="1"/>
  <c r="A277" i="12" a="1"/>
  <c r="A277" i="12" s="1"/>
  <c r="H277" i="1" a="1"/>
  <c r="H277" i="1" s="1"/>
  <c r="A278" i="12" a="1"/>
  <c r="A278" i="12" s="1"/>
  <c r="H278" i="1" a="1"/>
  <c r="H278" i="1" s="1"/>
  <c r="A279" i="12" a="1"/>
  <c r="A279" i="12" s="1"/>
  <c r="H279" i="1" a="1"/>
  <c r="H279" i="1" s="1"/>
  <c r="A280" i="12" a="1"/>
  <c r="A280" i="12" s="1"/>
  <c r="H280" i="1" a="1"/>
  <c r="H280" i="1" s="1"/>
  <c r="A281" i="12" a="1"/>
  <c r="A281" i="12" s="1"/>
  <c r="H281" i="1" a="1"/>
  <c r="H281" i="1" s="1"/>
  <c r="A282" i="12" a="1"/>
  <c r="A282" i="12" s="1"/>
  <c r="H282" i="1" a="1"/>
  <c r="H282" i="1" s="1"/>
  <c r="A283" i="12" a="1"/>
  <c r="A283" i="12" s="1"/>
  <c r="H283" i="1" a="1"/>
  <c r="H283" i="1" s="1"/>
  <c r="A284" i="12" a="1"/>
  <c r="A284" i="12" s="1"/>
  <c r="H284" i="1" a="1"/>
  <c r="H284" i="1" s="1"/>
  <c r="A285" i="12" a="1"/>
  <c r="A285" i="12" s="1"/>
  <c r="H285" i="1" a="1"/>
  <c r="H285" i="1" s="1"/>
  <c r="A286" i="12" a="1"/>
  <c r="A286" i="12" s="1"/>
  <c r="H286" i="1" a="1"/>
  <c r="H286" i="1" s="1"/>
  <c r="A287" i="12" a="1"/>
  <c r="A287" i="12" s="1"/>
  <c r="H287" i="1" a="1"/>
  <c r="H287" i="1" s="1"/>
  <c r="A288" i="12" a="1"/>
  <c r="A288" i="12" s="1"/>
  <c r="H288" i="1" a="1"/>
  <c r="H288" i="1" s="1"/>
  <c r="A289" i="12" a="1"/>
  <c r="A289" i="12" s="1"/>
  <c r="H289" i="1" a="1"/>
  <c r="H289" i="1" s="1"/>
  <c r="A290" i="12" a="1"/>
  <c r="A290" i="12" s="1"/>
  <c r="H290" i="1" a="1"/>
  <c r="H290" i="1" s="1"/>
  <c r="A291" i="12" a="1"/>
  <c r="A291" i="12" s="1"/>
  <c r="H291" i="1" a="1"/>
  <c r="H291" i="1" s="1"/>
  <c r="A292" i="12" a="1"/>
  <c r="A292" i="12" s="1"/>
  <c r="H292" i="1" a="1"/>
  <c r="H292" i="1" s="1"/>
  <c r="A293" i="12" a="1"/>
  <c r="A293" i="12" s="1"/>
  <c r="H293" i="1" a="1"/>
  <c r="H293" i="1" s="1"/>
  <c r="A294" i="12" a="1"/>
  <c r="A294" i="12" s="1"/>
  <c r="H294" i="1" a="1"/>
  <c r="H294" i="1" s="1"/>
  <c r="A295" i="12" a="1"/>
  <c r="A295" i="12" s="1"/>
  <c r="H295" i="1" a="1"/>
  <c r="H295" i="1" s="1"/>
  <c r="A296" i="12" a="1"/>
  <c r="A296" i="12" s="1"/>
  <c r="H296" i="1" a="1"/>
  <c r="H296" i="1" s="1"/>
  <c r="A297" i="12" a="1"/>
  <c r="A297" i="12" s="1"/>
  <c r="H297" i="1" a="1"/>
  <c r="H297" i="1" s="1"/>
  <c r="A298" i="12" a="1"/>
  <c r="A298" i="12" s="1"/>
  <c r="H298" i="1" a="1"/>
  <c r="H298" i="1" s="1"/>
  <c r="A299" i="12" a="1"/>
  <c r="A299" i="12" s="1"/>
  <c r="H299" i="1" a="1"/>
  <c r="H299" i="1" s="1"/>
  <c r="A300" i="12" a="1"/>
  <c r="A300" i="12" s="1"/>
  <c r="H300" i="1" a="1"/>
  <c r="H300" i="1" s="1"/>
  <c r="A301" i="12" a="1"/>
  <c r="A301" i="12" s="1"/>
  <c r="H301" i="1" a="1"/>
  <c r="H301" i="1" s="1"/>
  <c r="A302" i="12" a="1"/>
  <c r="A302" i="12" s="1"/>
  <c r="H302" i="1" a="1"/>
  <c r="H302" i="1" s="1"/>
  <c r="A303" i="12" a="1"/>
  <c r="A303" i="12" s="1"/>
  <c r="H303" i="1" a="1"/>
  <c r="H303" i="1" s="1"/>
  <c r="A304" i="12" a="1"/>
  <c r="A304" i="12" s="1"/>
  <c r="H304" i="1" a="1"/>
  <c r="H304" i="1" s="1"/>
  <c r="A305" i="12" a="1"/>
  <c r="A305" i="12" s="1"/>
  <c r="H305" i="1" a="1"/>
  <c r="H305" i="1" s="1"/>
  <c r="A306" i="12" a="1"/>
  <c r="A306" i="12" s="1"/>
  <c r="H306" i="1" a="1"/>
  <c r="H306" i="1" s="1"/>
  <c r="A307" i="12" a="1"/>
  <c r="A307" i="12" s="1"/>
  <c r="H307" i="1" a="1"/>
  <c r="H307" i="1" s="1"/>
  <c r="A308" i="12" a="1"/>
  <c r="A308" i="12" s="1"/>
  <c r="H308" i="1" a="1"/>
  <c r="H308" i="1" s="1"/>
  <c r="A309" i="12" a="1"/>
  <c r="A309" i="12" s="1"/>
  <c r="H309" i="1" a="1"/>
  <c r="H309" i="1" s="1"/>
  <c r="A310" i="12" a="1"/>
  <c r="A310" i="12" s="1"/>
  <c r="H310" i="1" a="1"/>
  <c r="H310" i="1" s="1"/>
  <c r="A311" i="12" a="1"/>
  <c r="A311" i="12" s="1"/>
  <c r="H311" i="1" a="1"/>
  <c r="H311" i="1" s="1"/>
  <c r="A312" i="12" a="1"/>
  <c r="A312" i="12" s="1"/>
  <c r="H312" i="1" a="1"/>
  <c r="H312" i="1" s="1"/>
  <c r="A313" i="12" a="1"/>
  <c r="A313" i="12" s="1"/>
  <c r="H313" i="1" a="1"/>
  <c r="H313" i="1" s="1"/>
  <c r="A314" i="12" a="1"/>
  <c r="A314" i="12" s="1"/>
  <c r="H314" i="1" a="1"/>
  <c r="H314" i="1" s="1"/>
  <c r="A315" i="12" a="1"/>
  <c r="A315" i="12" s="1"/>
  <c r="H315" i="1" a="1"/>
  <c r="H315" i="1" s="1"/>
  <c r="A316" i="12" a="1"/>
  <c r="A316" i="12" s="1"/>
  <c r="H316" i="1" a="1"/>
  <c r="H316" i="1" s="1"/>
  <c r="A317" i="12" a="1"/>
  <c r="A317" i="12" s="1"/>
  <c r="H317" i="1" a="1"/>
  <c r="H317" i="1" s="1"/>
  <c r="A318" i="12" a="1"/>
  <c r="A318" i="12" s="1"/>
  <c r="H318" i="1" a="1"/>
  <c r="H318" i="1" s="1"/>
  <c r="A319" i="12" a="1"/>
  <c r="A319" i="12" s="1"/>
  <c r="H319" i="1" a="1"/>
  <c r="H319" i="1" s="1"/>
  <c r="A320" i="12" a="1"/>
  <c r="A320" i="12" s="1"/>
  <c r="H320" i="1" a="1"/>
  <c r="H320" i="1" s="1"/>
  <c r="A321" i="12" a="1"/>
  <c r="A321" i="12" s="1"/>
  <c r="H321" i="1" a="1"/>
  <c r="H321" i="1" s="1"/>
  <c r="A322" i="12" a="1"/>
  <c r="A322" i="12" s="1"/>
  <c r="H322" i="1" a="1"/>
  <c r="H322" i="1" s="1"/>
  <c r="A323" i="12" a="1"/>
  <c r="A323" i="12" s="1"/>
  <c r="H323" i="1" a="1"/>
  <c r="H323" i="1" s="1"/>
  <c r="A324" i="12" a="1"/>
  <c r="A324" i="12" s="1"/>
  <c r="H324" i="1" a="1"/>
  <c r="H324" i="1" s="1"/>
  <c r="A325" i="12" a="1"/>
  <c r="A325" i="12" s="1"/>
  <c r="H325" i="1" a="1"/>
  <c r="H325" i="1" s="1"/>
  <c r="A326" i="12" a="1"/>
  <c r="A326" i="12" s="1"/>
  <c r="H326" i="1" a="1"/>
  <c r="H326" i="1" s="1"/>
  <c r="A327" i="12" a="1"/>
  <c r="A327" i="12" s="1"/>
  <c r="H327" i="1" a="1"/>
  <c r="H327" i="1" s="1"/>
  <c r="A328" i="12" a="1"/>
  <c r="A328" i="12" s="1"/>
  <c r="H328" i="1" a="1"/>
  <c r="H328" i="1" s="1"/>
  <c r="A329" i="12" a="1"/>
  <c r="A329" i="12" s="1"/>
  <c r="H329" i="1" a="1"/>
  <c r="H329" i="1" s="1"/>
  <c r="A330" i="12" a="1"/>
  <c r="A330" i="12" s="1"/>
  <c r="H330" i="1" a="1"/>
  <c r="H330" i="1" s="1"/>
  <c r="A331" i="12" a="1"/>
  <c r="A331" i="12" s="1"/>
  <c r="H331" i="1" a="1"/>
  <c r="H331" i="1" s="1"/>
  <c r="A332" i="12" a="1"/>
  <c r="A332" i="12" s="1"/>
  <c r="H332" i="1" a="1"/>
  <c r="H332" i="1" s="1"/>
  <c r="A333" i="12" a="1"/>
  <c r="A333" i="12" s="1"/>
  <c r="H333" i="1" a="1"/>
  <c r="H333" i="1" s="1"/>
  <c r="A334" i="12" a="1"/>
  <c r="A334" i="12" s="1"/>
  <c r="H334" i="1" a="1"/>
  <c r="H334" i="1" s="1"/>
  <c r="A335" i="12" a="1"/>
  <c r="A335" i="12" s="1"/>
  <c r="H335" i="1" a="1"/>
  <c r="H335" i="1" s="1"/>
  <c r="A336" i="12" a="1"/>
  <c r="A336" i="12" s="1"/>
  <c r="H336" i="1" a="1"/>
  <c r="H336" i="1" s="1"/>
  <c r="A337" i="12" a="1"/>
  <c r="A337" i="12" s="1"/>
  <c r="H337" i="1" a="1"/>
  <c r="H337" i="1" s="1"/>
  <c r="A338" i="12" a="1"/>
  <c r="A338" i="12" s="1"/>
  <c r="H338" i="1" a="1"/>
  <c r="H338" i="1" s="1"/>
  <c r="A339" i="12" a="1"/>
  <c r="A339" i="12" s="1"/>
  <c r="H339" i="1" a="1"/>
  <c r="H339" i="1" s="1"/>
  <c r="A340" i="12" a="1"/>
  <c r="A340" i="12" s="1"/>
  <c r="H340" i="1" a="1"/>
  <c r="H340" i="1" s="1"/>
  <c r="A341" i="12" a="1"/>
  <c r="A341" i="12" s="1"/>
  <c r="H341" i="1" a="1"/>
  <c r="H341" i="1" s="1"/>
  <c r="A342" i="12" a="1"/>
  <c r="A342" i="12" s="1"/>
  <c r="H342" i="1" a="1"/>
  <c r="H342" i="1" s="1"/>
  <c r="A343" i="12" a="1"/>
  <c r="A343" i="12" s="1"/>
  <c r="H343" i="1" a="1"/>
  <c r="H343" i="1" s="1"/>
  <c r="A344" i="12" a="1"/>
  <c r="A344" i="12" s="1"/>
  <c r="H344" i="1" a="1"/>
  <c r="H344" i="1" s="1"/>
  <c r="A345" i="12" a="1"/>
  <c r="A345" i="12" s="1"/>
  <c r="H345" i="1" a="1"/>
  <c r="H345" i="1" s="1"/>
  <c r="A346" i="12" a="1"/>
  <c r="A346" i="12" s="1"/>
  <c r="H346" i="1" a="1"/>
  <c r="H346" i="1" s="1"/>
  <c r="A347" i="12" a="1"/>
  <c r="A347" i="12" s="1"/>
  <c r="H347" i="1" a="1"/>
  <c r="H347" i="1" s="1"/>
  <c r="A348" i="12" a="1"/>
  <c r="A348" i="12" s="1"/>
  <c r="H348" i="1" a="1"/>
  <c r="H348" i="1" s="1"/>
  <c r="A349" i="12" a="1"/>
  <c r="A349" i="12" s="1"/>
  <c r="H349" i="1" a="1"/>
  <c r="H349" i="1" s="1"/>
  <c r="A350" i="12" a="1"/>
  <c r="A350" i="12" s="1"/>
  <c r="H350" i="1" a="1"/>
  <c r="H350" i="1" s="1"/>
  <c r="A351" i="12" a="1"/>
  <c r="A351" i="12" s="1"/>
  <c r="H351" i="1" a="1"/>
  <c r="H351" i="1" s="1"/>
  <c r="A352" i="12" a="1"/>
  <c r="A352" i="12" s="1"/>
  <c r="H352" i="1" a="1"/>
  <c r="H352" i="1" s="1"/>
  <c r="A353" i="12" a="1"/>
  <c r="A353" i="12" s="1"/>
  <c r="H353" i="1" a="1"/>
  <c r="H353" i="1" s="1"/>
  <c r="A354" i="12" a="1"/>
  <c r="A354" i="12" s="1"/>
  <c r="H354" i="1" a="1"/>
  <c r="H354" i="1" s="1"/>
  <c r="A355" i="12" a="1"/>
  <c r="A355" i="12" s="1"/>
  <c r="H355" i="1" a="1"/>
  <c r="H355" i="1" s="1"/>
  <c r="A356" i="12" a="1"/>
  <c r="A356" i="12" s="1"/>
  <c r="H356" i="1" a="1"/>
  <c r="H356" i="1" s="1"/>
  <c r="A357" i="12" a="1"/>
  <c r="A357" i="12" s="1"/>
  <c r="H357" i="1" a="1"/>
  <c r="H357" i="1" s="1"/>
  <c r="A358" i="12" a="1"/>
  <c r="A358" i="12" s="1"/>
  <c r="H358" i="1" a="1"/>
  <c r="H358" i="1" s="1"/>
  <c r="A359" i="12" a="1"/>
  <c r="A359" i="12" s="1"/>
  <c r="H359" i="1" a="1"/>
  <c r="H359" i="1" s="1"/>
  <c r="A360" i="12" a="1"/>
  <c r="A360" i="12" s="1"/>
  <c r="H360" i="1" a="1"/>
  <c r="H360" i="1" s="1"/>
  <c r="A361" i="12" a="1"/>
  <c r="A361" i="12" s="1"/>
  <c r="H361" i="1" a="1"/>
  <c r="H361" i="1" s="1"/>
  <c r="A362" i="12" a="1"/>
  <c r="A362" i="12" s="1"/>
  <c r="H362" i="1" a="1"/>
  <c r="H362" i="1" s="1"/>
  <c r="A363" i="12" a="1"/>
  <c r="A363" i="12" s="1"/>
  <c r="H363" i="1" a="1"/>
  <c r="H363" i="1" s="1"/>
  <c r="A364" i="12" a="1"/>
  <c r="A364" i="12" s="1"/>
  <c r="H364" i="1" a="1"/>
  <c r="H364" i="1" s="1"/>
  <c r="A365" i="12" a="1"/>
  <c r="A365" i="12" s="1"/>
  <c r="H365" i="1" a="1"/>
  <c r="H365" i="1" s="1"/>
  <c r="A366" i="12" a="1"/>
  <c r="A366" i="12" s="1"/>
  <c r="H366" i="1" a="1"/>
  <c r="H366" i="1" s="1"/>
  <c r="A367" i="12" a="1"/>
  <c r="A367" i="12" s="1"/>
  <c r="H367" i="1" a="1"/>
  <c r="H367" i="1" s="1"/>
  <c r="A368" i="12" a="1"/>
  <c r="A368" i="12" s="1"/>
  <c r="H368" i="1" a="1"/>
  <c r="H368" i="1" s="1"/>
  <c r="A369" i="12" a="1"/>
  <c r="A369" i="12" s="1"/>
  <c r="H369" i="1" a="1"/>
  <c r="H369" i="1" s="1"/>
  <c r="A370" i="12" a="1"/>
  <c r="A370" i="12" s="1"/>
  <c r="H370" i="1" a="1"/>
  <c r="H370" i="1" s="1"/>
  <c r="A371" i="12" a="1"/>
  <c r="A371" i="12" s="1"/>
  <c r="H371" i="1" a="1"/>
  <c r="H371" i="1" s="1"/>
  <c r="A372" i="12" a="1"/>
  <c r="A372" i="12" s="1"/>
  <c r="H372" i="1" a="1"/>
  <c r="H372" i="1" s="1"/>
  <c r="A373" i="12" a="1"/>
  <c r="A373" i="12" s="1"/>
  <c r="H373" i="1" a="1"/>
  <c r="H373" i="1" s="1"/>
  <c r="A374" i="12" a="1"/>
  <c r="A374" i="12" s="1"/>
  <c r="H374" i="1" a="1"/>
  <c r="H374" i="1" s="1"/>
  <c r="A375" i="12" a="1"/>
  <c r="A375" i="12" s="1"/>
  <c r="H375" i="1" a="1"/>
  <c r="H375" i="1" s="1"/>
  <c r="A376" i="12" a="1"/>
  <c r="A376" i="12" s="1"/>
  <c r="H376" i="1" a="1"/>
  <c r="H376" i="1" s="1"/>
  <c r="A377" i="12" a="1"/>
  <c r="A377" i="12" s="1"/>
  <c r="H377" i="1" a="1"/>
  <c r="H377" i="1" s="1"/>
  <c r="A378" i="12" a="1"/>
  <c r="A378" i="12" s="1"/>
  <c r="H378" i="1" a="1"/>
  <c r="H378" i="1" s="1"/>
  <c r="A379" i="12" a="1"/>
  <c r="A379" i="12" s="1"/>
  <c r="H379" i="1" a="1"/>
  <c r="H379" i="1" s="1"/>
  <c r="A380" i="12" a="1"/>
  <c r="A380" i="12" s="1"/>
  <c r="H380" i="1" a="1"/>
  <c r="H380" i="1" s="1"/>
  <c r="A381" i="12" a="1"/>
  <c r="A381" i="12" s="1"/>
  <c r="H381" i="1" a="1"/>
  <c r="H381" i="1" s="1"/>
  <c r="A382" i="12" a="1"/>
  <c r="A382" i="12" s="1"/>
  <c r="H382" i="1" a="1"/>
  <c r="H382" i="1" s="1"/>
  <c r="A383" i="12" a="1"/>
  <c r="A383" i="12" s="1"/>
  <c r="H383" i="1" a="1"/>
  <c r="H383" i="1" s="1"/>
  <c r="A384" i="12" a="1"/>
  <c r="A384" i="12" s="1"/>
  <c r="H384" i="1" a="1"/>
  <c r="H384" i="1" s="1"/>
  <c r="A385" i="12" a="1"/>
  <c r="A385" i="12" s="1"/>
  <c r="H385" i="1" a="1"/>
  <c r="H385" i="1" s="1"/>
  <c r="A386" i="12" a="1"/>
  <c r="A386" i="12" s="1"/>
  <c r="H386" i="1" a="1"/>
  <c r="H386" i="1" s="1"/>
  <c r="A387" i="12" a="1"/>
  <c r="A387" i="12" s="1"/>
  <c r="H387" i="1" a="1"/>
  <c r="H387" i="1" s="1"/>
  <c r="A388" i="12" a="1"/>
  <c r="A388" i="12" s="1"/>
  <c r="H388" i="1" a="1"/>
  <c r="H388" i="1" s="1"/>
  <c r="A389" i="12" a="1"/>
  <c r="A389" i="12" s="1"/>
  <c r="H389" i="1" a="1"/>
  <c r="H389" i="1" s="1"/>
  <c r="A390" i="12" a="1"/>
  <c r="A390" i="12" s="1"/>
  <c r="H390" i="1" a="1"/>
  <c r="H390" i="1" s="1"/>
  <c r="A391" i="12" a="1"/>
  <c r="A391" i="12" s="1"/>
  <c r="H391" i="1" a="1"/>
  <c r="H391" i="1" s="1"/>
  <c r="A392" i="12" a="1"/>
  <c r="A392" i="12" s="1"/>
  <c r="H392" i="1" a="1"/>
  <c r="H392" i="1" s="1"/>
  <c r="A393" i="12" a="1"/>
  <c r="A393" i="12" s="1"/>
  <c r="H393" i="1" a="1"/>
  <c r="H393" i="1" s="1"/>
  <c r="A394" i="12" a="1"/>
  <c r="A394" i="12" s="1"/>
  <c r="H394" i="1" a="1"/>
  <c r="H394" i="1" s="1"/>
  <c r="A395" i="12" a="1"/>
  <c r="A395" i="12" s="1"/>
  <c r="H395" i="1" a="1"/>
  <c r="H395" i="1" s="1"/>
  <c r="A396" i="12" a="1"/>
  <c r="A396" i="12" s="1"/>
  <c r="H396" i="1" a="1"/>
  <c r="H396" i="1" s="1"/>
  <c r="A397" i="12" a="1"/>
  <c r="A397" i="12" s="1"/>
  <c r="H397" i="1" a="1"/>
  <c r="H397" i="1" s="1"/>
  <c r="A398" i="12" a="1"/>
  <c r="A398" i="12" s="1"/>
  <c r="H398" i="1" a="1"/>
  <c r="H398" i="1" s="1"/>
  <c r="A399" i="12" a="1"/>
  <c r="A399" i="12" s="1"/>
  <c r="H399" i="1" a="1"/>
  <c r="H399" i="1" s="1"/>
  <c r="A400" i="12" a="1"/>
  <c r="A400" i="12" s="1"/>
  <c r="H400" i="1" a="1"/>
  <c r="H400" i="1" s="1"/>
  <c r="A401" i="12" a="1"/>
  <c r="A401" i="12" s="1"/>
  <c r="H401" i="1" a="1"/>
  <c r="H401" i="1" s="1"/>
  <c r="A402" i="12" a="1"/>
  <c r="A402" i="12" s="1"/>
  <c r="H402" i="1" a="1"/>
  <c r="H402" i="1" s="1"/>
  <c r="A403" i="12" a="1"/>
  <c r="A403" i="12" s="1"/>
  <c r="H403" i="1" a="1"/>
  <c r="H403" i="1" s="1"/>
  <c r="A404" i="12" a="1"/>
  <c r="A404" i="12" s="1"/>
  <c r="H404" i="1" a="1"/>
  <c r="H404" i="1" s="1"/>
  <c r="A405" i="12" a="1"/>
  <c r="A405" i="12" s="1"/>
  <c r="H405" i="1" a="1"/>
  <c r="H405" i="1" s="1"/>
  <c r="A406" i="12" a="1"/>
  <c r="A406" i="12" s="1"/>
  <c r="H406" i="1" a="1"/>
  <c r="H406" i="1" s="1"/>
  <c r="A407" i="12" a="1"/>
  <c r="A407" i="12" s="1"/>
  <c r="H407" i="1" a="1"/>
  <c r="H407" i="1" s="1"/>
  <c r="A408" i="12" a="1"/>
  <c r="A408" i="12" s="1"/>
  <c r="H408" i="1" a="1"/>
  <c r="H408" i="1" s="1"/>
  <c r="A409" i="12" a="1"/>
  <c r="A409" i="12" s="1"/>
  <c r="H409" i="1" a="1"/>
  <c r="H409" i="1" s="1"/>
  <c r="A410" i="12" a="1"/>
  <c r="A410" i="12" s="1"/>
  <c r="H410" i="1" a="1"/>
  <c r="H410" i="1" s="1"/>
  <c r="A411" i="12" a="1"/>
  <c r="A411" i="12" s="1"/>
  <c r="H411" i="1" a="1"/>
  <c r="H411" i="1" s="1"/>
  <c r="A412" i="12" a="1"/>
  <c r="A412" i="12" s="1"/>
  <c r="H412" i="1" a="1"/>
  <c r="H412" i="1" s="1"/>
  <c r="A413" i="12" a="1"/>
  <c r="A413" i="12" s="1"/>
  <c r="H413" i="1" a="1"/>
  <c r="H413" i="1" s="1"/>
  <c r="A414" i="12" a="1"/>
  <c r="A414" i="12" s="1"/>
  <c r="H414" i="1" a="1"/>
  <c r="H414" i="1" s="1"/>
  <c r="A415" i="12" a="1"/>
  <c r="A415" i="12" s="1"/>
  <c r="H415" i="1" a="1"/>
  <c r="H415" i="1" s="1"/>
  <c r="A416" i="12" a="1"/>
  <c r="A416" i="12" s="1"/>
  <c r="H416" i="1" a="1"/>
  <c r="H416" i="1" s="1"/>
  <c r="A417" i="12" a="1"/>
  <c r="A417" i="12" s="1"/>
  <c r="H417" i="1" a="1"/>
  <c r="H417" i="1" s="1"/>
  <c r="A418" i="12" a="1"/>
  <c r="A418" i="12" s="1"/>
  <c r="H418" i="1" a="1"/>
  <c r="H418" i="1" s="1"/>
  <c r="A419" i="12" a="1"/>
  <c r="A419" i="12" s="1"/>
  <c r="H419" i="1" a="1"/>
  <c r="H419" i="1" s="1"/>
  <c r="A420" i="12" a="1"/>
  <c r="A420" i="12" s="1"/>
  <c r="H420" i="1" a="1"/>
  <c r="H420" i="1" s="1"/>
  <c r="A421" i="12" a="1"/>
  <c r="A421" i="12" s="1"/>
  <c r="H421" i="1" a="1"/>
  <c r="H421" i="1" s="1"/>
  <c r="A422" i="12" a="1"/>
  <c r="A422" i="12" s="1"/>
  <c r="H422" i="1" a="1"/>
  <c r="H422" i="1" s="1"/>
  <c r="A423" i="12" a="1"/>
  <c r="A423" i="12" s="1"/>
  <c r="H423" i="1" a="1"/>
  <c r="H423" i="1" s="1"/>
  <c r="A424" i="12" a="1"/>
  <c r="A424" i="12" s="1"/>
  <c r="H424" i="1" a="1"/>
  <c r="H424" i="1" s="1"/>
  <c r="A425" i="12" a="1"/>
  <c r="A425" i="12" s="1"/>
  <c r="H425" i="1" a="1"/>
  <c r="H425" i="1" s="1"/>
  <c r="A426" i="12" a="1"/>
  <c r="A426" i="12" s="1"/>
  <c r="H426" i="1" a="1"/>
  <c r="H426" i="1" s="1"/>
  <c r="A427" i="12" a="1"/>
  <c r="A427" i="12" s="1"/>
  <c r="H427" i="1" a="1"/>
  <c r="H427" i="1" s="1"/>
  <c r="A428" i="12" a="1"/>
  <c r="A428" i="12" s="1"/>
  <c r="H428" i="1" a="1"/>
  <c r="H428" i="1" s="1"/>
  <c r="A429" i="12" a="1"/>
  <c r="A429" i="12" s="1"/>
  <c r="H429" i="1" a="1"/>
  <c r="H429" i="1" s="1"/>
  <c r="A430" i="12" a="1"/>
  <c r="A430" i="12" s="1"/>
  <c r="H430" i="1" a="1"/>
  <c r="H430" i="1" s="1"/>
  <c r="A431" i="12" a="1"/>
  <c r="A431" i="12" s="1"/>
  <c r="H431" i="1" a="1"/>
  <c r="H431" i="1" s="1"/>
  <c r="A432" i="12" a="1"/>
  <c r="A432" i="12" s="1"/>
  <c r="H432" i="1" a="1"/>
  <c r="H432" i="1" s="1"/>
  <c r="A433" i="12" a="1"/>
  <c r="A433" i="12" s="1"/>
  <c r="H433" i="1" a="1"/>
  <c r="H433" i="1" s="1"/>
  <c r="A434" i="12" a="1"/>
  <c r="A434" i="12" s="1"/>
  <c r="H434" i="1" a="1"/>
  <c r="H434" i="1" s="1"/>
  <c r="A435" i="12" a="1"/>
  <c r="A435" i="12" s="1"/>
  <c r="H435" i="1" a="1"/>
  <c r="H435" i="1" s="1"/>
  <c r="A436" i="12" a="1"/>
  <c r="A436" i="12" s="1"/>
  <c r="H436" i="1" a="1"/>
  <c r="H436" i="1" s="1"/>
  <c r="A437" i="12" a="1"/>
  <c r="A437" i="12" s="1"/>
  <c r="H437" i="1" a="1"/>
  <c r="H437" i="1" s="1"/>
  <c r="A438" i="12" a="1"/>
  <c r="A438" i="12" s="1"/>
  <c r="H438" i="1" a="1"/>
  <c r="H438" i="1" s="1"/>
  <c r="A439" i="12" a="1"/>
  <c r="A439" i="12" s="1"/>
  <c r="H439" i="1" a="1"/>
  <c r="H439" i="1" s="1"/>
  <c r="A440" i="12" a="1"/>
  <c r="A440" i="12" s="1"/>
  <c r="H440" i="1" a="1"/>
  <c r="H440" i="1" s="1"/>
  <c r="A441" i="12" a="1"/>
  <c r="A441" i="12" s="1"/>
  <c r="H441" i="1" a="1"/>
  <c r="H441" i="1" s="1"/>
  <c r="A442" i="12" a="1"/>
  <c r="A442" i="12" s="1"/>
  <c r="H442" i="1" a="1"/>
  <c r="H442" i="1" s="1"/>
  <c r="A443" i="12" a="1"/>
  <c r="A443" i="12" s="1"/>
  <c r="H443" i="1" a="1"/>
  <c r="H443" i="1" s="1"/>
  <c r="A444" i="12" a="1"/>
  <c r="A444" i="12" s="1"/>
  <c r="H444" i="1" a="1"/>
  <c r="H444" i="1" s="1"/>
  <c r="A445" i="12" a="1"/>
  <c r="A445" i="12" s="1"/>
  <c r="H445" i="1" a="1"/>
  <c r="H445" i="1" s="1"/>
  <c r="A446" i="12" a="1"/>
  <c r="A446" i="12" s="1"/>
  <c r="H446" i="1" a="1"/>
  <c r="H446" i="1" s="1"/>
  <c r="A447" i="12" a="1"/>
  <c r="A447" i="12" s="1"/>
  <c r="H447" i="1" a="1"/>
  <c r="H447" i="1" s="1"/>
  <c r="A448" i="12" a="1"/>
  <c r="A448" i="12" s="1"/>
  <c r="H448" i="1" a="1"/>
  <c r="H448" i="1" s="1"/>
  <c r="A449" i="12" a="1"/>
  <c r="A449" i="12" s="1"/>
  <c r="H449" i="1" a="1"/>
  <c r="H449" i="1" s="1"/>
  <c r="A450" i="12" a="1"/>
  <c r="A450" i="12" s="1"/>
  <c r="H450" i="1" a="1"/>
  <c r="H450" i="1" s="1"/>
  <c r="A451" i="12" a="1"/>
  <c r="A451" i="12" s="1"/>
  <c r="H451" i="1" a="1"/>
  <c r="H451" i="1" s="1"/>
  <c r="A452" i="12" a="1"/>
  <c r="A452" i="12" s="1"/>
  <c r="H452" i="1" a="1"/>
  <c r="H452" i="1" s="1"/>
  <c r="A453" i="12" a="1"/>
  <c r="A453" i="12" s="1"/>
  <c r="H453" i="1" a="1"/>
  <c r="H453" i="1" s="1"/>
  <c r="A454" i="12" a="1"/>
  <c r="A454" i="12" s="1"/>
  <c r="H454" i="1" a="1"/>
  <c r="H454" i="1" s="1"/>
  <c r="A455" i="12" a="1"/>
  <c r="A455" i="12" s="1"/>
  <c r="H455" i="1" a="1"/>
  <c r="H455" i="1" s="1"/>
  <c r="A456" i="12" a="1"/>
  <c r="A456" i="12" s="1"/>
  <c r="H456" i="1" a="1"/>
  <c r="H456" i="1" s="1"/>
  <c r="A457" i="12" a="1"/>
  <c r="A457" i="12" s="1"/>
  <c r="H457" i="1" a="1"/>
  <c r="H457" i="1" s="1"/>
  <c r="A458" i="12" a="1"/>
  <c r="A458" i="12" s="1"/>
  <c r="H458" i="1" a="1"/>
  <c r="H458" i="1" s="1"/>
  <c r="A459" i="12" a="1"/>
  <c r="A459" i="12" s="1"/>
  <c r="H459" i="1" a="1"/>
  <c r="H459" i="1" s="1"/>
  <c r="A460" i="12" a="1"/>
  <c r="A460" i="12" s="1"/>
  <c r="H460" i="1" a="1"/>
  <c r="H460" i="1" s="1"/>
  <c r="A461" i="12" a="1"/>
  <c r="A461" i="12" s="1"/>
  <c r="H461" i="1" a="1"/>
  <c r="H461" i="1" s="1"/>
  <c r="A462" i="12" a="1"/>
  <c r="A462" i="12" s="1"/>
  <c r="H462" i="1" a="1"/>
  <c r="H462" i="1" s="1"/>
  <c r="A463" i="12" a="1"/>
  <c r="A463" i="12" s="1"/>
  <c r="H463" i="1" a="1"/>
  <c r="H463" i="1" s="1"/>
  <c r="A464" i="12" a="1"/>
  <c r="A464" i="12" s="1"/>
  <c r="H464" i="1" a="1"/>
  <c r="H464" i="1" s="1"/>
  <c r="A465" i="12" a="1"/>
  <c r="A465" i="12" s="1"/>
  <c r="H465" i="1" a="1"/>
  <c r="H465" i="1" s="1"/>
  <c r="A466" i="12" a="1"/>
  <c r="A466" i="12" s="1"/>
  <c r="H466" i="1" a="1"/>
  <c r="H466" i="1" s="1"/>
  <c r="A467" i="12" a="1"/>
  <c r="A467" i="12" s="1"/>
  <c r="H467" i="1" a="1"/>
  <c r="H467" i="1" s="1"/>
  <c r="A468" i="12" a="1"/>
  <c r="A468" i="12" s="1"/>
  <c r="H468" i="1" a="1"/>
  <c r="H468" i="1" s="1"/>
  <c r="A469" i="12" a="1"/>
  <c r="A469" i="12" s="1"/>
  <c r="H469" i="1" a="1"/>
  <c r="H469" i="1" s="1"/>
  <c r="A470" i="12" a="1"/>
  <c r="A470" i="12" s="1"/>
  <c r="H470" i="1" a="1"/>
  <c r="H470" i="1" s="1"/>
  <c r="A471" i="12" a="1"/>
  <c r="A471" i="12" s="1"/>
  <c r="H471" i="1" a="1"/>
  <c r="H471" i="1" s="1"/>
  <c r="A472" i="12" a="1"/>
  <c r="A472" i="12" s="1"/>
  <c r="H472" i="1" a="1"/>
  <c r="H472" i="1" s="1"/>
  <c r="A473" i="12" a="1"/>
  <c r="A473" i="12" s="1"/>
  <c r="H473" i="1" a="1"/>
  <c r="H473" i="1" s="1"/>
  <c r="A474" i="12" a="1"/>
  <c r="A474" i="12" s="1"/>
  <c r="H474" i="1" a="1"/>
  <c r="H474" i="1" s="1"/>
  <c r="A475" i="12" a="1"/>
  <c r="A475" i="12" s="1"/>
  <c r="H475" i="1" a="1"/>
  <c r="H475" i="1" s="1"/>
  <c r="A476" i="12" a="1"/>
  <c r="A476" i="12" s="1"/>
  <c r="H476" i="1" a="1"/>
  <c r="H476" i="1" s="1"/>
  <c r="A477" i="12" a="1"/>
  <c r="A477" i="12" s="1"/>
  <c r="H477" i="1" a="1"/>
  <c r="H477" i="1" s="1"/>
  <c r="A478" i="12" a="1"/>
  <c r="A478" i="12" s="1"/>
  <c r="H478" i="1" a="1"/>
  <c r="H478" i="1" s="1"/>
  <c r="A479" i="12" a="1"/>
  <c r="A479" i="12" s="1"/>
  <c r="H479" i="1" a="1"/>
  <c r="H479" i="1" s="1"/>
  <c r="A480" i="12" a="1"/>
  <c r="A480" i="12" s="1"/>
  <c r="H480" i="1" a="1"/>
  <c r="H480" i="1" s="1"/>
  <c r="A481" i="12" a="1"/>
  <c r="A481" i="12" s="1"/>
  <c r="H481" i="1" a="1"/>
  <c r="H481" i="1" s="1"/>
  <c r="A482" i="12" a="1"/>
  <c r="A482" i="12" s="1"/>
  <c r="H482" i="1" a="1"/>
  <c r="H482" i="1" s="1"/>
  <c r="A483" i="12" a="1"/>
  <c r="A483" i="12" s="1"/>
  <c r="H483" i="1" a="1"/>
  <c r="H483" i="1" s="1"/>
  <c r="A484" i="12" a="1"/>
  <c r="A484" i="12" s="1"/>
  <c r="H484" i="1" a="1"/>
  <c r="H484" i="1" s="1"/>
  <c r="A485" i="12" a="1"/>
  <c r="A485" i="12" s="1"/>
  <c r="H485" i="1" a="1"/>
  <c r="H485" i="1" s="1"/>
  <c r="A486" i="12" a="1"/>
  <c r="A486" i="12" s="1"/>
  <c r="H486" i="1" a="1"/>
  <c r="H486" i="1" s="1"/>
  <c r="A487" i="12" a="1"/>
  <c r="A487" i="12" s="1"/>
  <c r="H487" i="1" a="1"/>
  <c r="H487" i="1" s="1"/>
  <c r="A488" i="12" a="1"/>
  <c r="A488" i="12" s="1"/>
  <c r="H488" i="1" a="1"/>
  <c r="H488" i="1" s="1"/>
  <c r="A489" i="12" a="1"/>
  <c r="A489" i="12" s="1"/>
  <c r="H489" i="1" a="1"/>
  <c r="H489" i="1" s="1"/>
  <c r="A490" i="12" a="1"/>
  <c r="A490" i="12" s="1"/>
  <c r="H490" i="1" a="1"/>
  <c r="H490" i="1" s="1"/>
  <c r="A491" i="12" a="1"/>
  <c r="A491" i="12" s="1"/>
  <c r="H491" i="1" a="1"/>
  <c r="H491" i="1" s="1"/>
  <c r="A492" i="12" a="1"/>
  <c r="A492" i="12" s="1"/>
  <c r="H492" i="1" a="1"/>
  <c r="H492" i="1" s="1"/>
  <c r="A493" i="12" a="1"/>
  <c r="A493" i="12" s="1"/>
  <c r="H493" i="1" a="1"/>
  <c r="H493" i="1" s="1"/>
  <c r="A494" i="12" a="1"/>
  <c r="A494" i="12" s="1"/>
  <c r="H494" i="1" a="1"/>
  <c r="H494" i="1" s="1"/>
  <c r="A495" i="12" a="1"/>
  <c r="A495" i="12" s="1"/>
  <c r="H495" i="1" a="1"/>
  <c r="H495" i="1" s="1"/>
  <c r="A496" i="12" a="1"/>
  <c r="A496" i="12" s="1"/>
  <c r="H496" i="1" a="1"/>
  <c r="H496" i="1" s="1"/>
  <c r="A497" i="12" a="1"/>
  <c r="A497" i="12" s="1"/>
  <c r="H497" i="1" a="1"/>
  <c r="H497" i="1" s="1"/>
  <c r="A498" i="12" a="1"/>
  <c r="A498" i="12" s="1"/>
  <c r="H498" i="1" a="1"/>
  <c r="H498" i="1" s="1"/>
  <c r="A499" i="12" a="1"/>
  <c r="A499" i="12" s="1"/>
  <c r="H499" i="1" a="1"/>
  <c r="H499" i="1" s="1"/>
  <c r="A500" i="12" a="1"/>
  <c r="A500" i="12" s="1"/>
  <c r="H500" i="1" a="1"/>
  <c r="H500" i="1" s="1"/>
  <c r="A501" i="12" a="1"/>
  <c r="A501" i="12" s="1"/>
  <c r="H501" i="1" a="1"/>
  <c r="H501" i="1" s="1"/>
  <c r="A502" i="12" a="1"/>
  <c r="A502" i="12" s="1"/>
  <c r="H502" i="1" a="1"/>
  <c r="H502" i="1" s="1"/>
  <c r="A503" i="12" a="1"/>
  <c r="A503" i="12" s="1"/>
  <c r="H503" i="1" a="1"/>
  <c r="H503" i="1" s="1"/>
  <c r="A504" i="12" a="1"/>
  <c r="A504" i="12" s="1"/>
  <c r="H504" i="1" a="1"/>
  <c r="H504" i="1" s="1"/>
  <c r="A505" i="12" a="1"/>
  <c r="A505" i="12" s="1"/>
  <c r="H505" i="1" a="1"/>
  <c r="H505" i="1" s="1"/>
  <c r="A506" i="12" a="1"/>
  <c r="A506" i="12" s="1"/>
  <c r="H506" i="1" a="1"/>
  <c r="H506" i="1" s="1"/>
  <c r="A507" i="12" a="1"/>
  <c r="A507" i="12" s="1"/>
  <c r="H507" i="1" a="1"/>
  <c r="H507" i="1" s="1"/>
  <c r="A508" i="12" a="1"/>
  <c r="A508" i="12" s="1"/>
  <c r="H508" i="1" a="1"/>
  <c r="H508" i="1" s="1"/>
  <c r="A509" i="12" a="1"/>
  <c r="A509" i="12" s="1"/>
  <c r="H509" i="1" a="1"/>
  <c r="H509" i="1" s="1"/>
  <c r="A510" i="12" a="1"/>
  <c r="A510" i="12" s="1"/>
  <c r="H510" i="1" a="1"/>
  <c r="H510" i="1" s="1"/>
  <c r="A511" i="12" a="1"/>
  <c r="A511" i="12" s="1"/>
  <c r="H511" i="1" a="1"/>
  <c r="H511" i="1" s="1"/>
  <c r="A512" i="12" a="1"/>
  <c r="A512" i="12" s="1"/>
  <c r="H512" i="1" a="1"/>
  <c r="H512" i="1" s="1"/>
  <c r="A513" i="12" a="1"/>
  <c r="A513" i="12" s="1"/>
  <c r="H513" i="1" a="1"/>
  <c r="H513" i="1" s="1"/>
  <c r="A514" i="12" a="1"/>
  <c r="A514" i="12" s="1"/>
  <c r="H514" i="1" a="1"/>
  <c r="H514" i="1" s="1"/>
  <c r="A515" i="12" a="1"/>
  <c r="A515" i="12" s="1"/>
  <c r="H515" i="1" a="1"/>
  <c r="H515" i="1" s="1"/>
  <c r="A516" i="12" a="1"/>
  <c r="A516" i="12" s="1"/>
  <c r="H516" i="1" a="1"/>
  <c r="H516" i="1" s="1"/>
  <c r="A517" i="12" a="1"/>
  <c r="A517" i="12" s="1"/>
  <c r="H517" i="1" a="1"/>
  <c r="H517" i="1" s="1"/>
  <c r="A518" i="12" a="1"/>
  <c r="A518" i="12" s="1"/>
  <c r="H518" i="1" a="1"/>
  <c r="H518" i="1" s="1"/>
  <c r="A519" i="12" a="1"/>
  <c r="A519" i="12" s="1"/>
  <c r="H519" i="1" a="1"/>
  <c r="H519" i="1" s="1"/>
  <c r="A520" i="12" a="1"/>
  <c r="A520" i="12" s="1"/>
  <c r="H520" i="1" a="1"/>
  <c r="H520" i="1" s="1"/>
  <c r="A521" i="12" a="1"/>
  <c r="A521" i="12" s="1"/>
  <c r="H521" i="1" a="1"/>
  <c r="H521" i="1" s="1"/>
  <c r="A522" i="12" a="1"/>
  <c r="A522" i="12" s="1"/>
  <c r="H522" i="1" a="1"/>
  <c r="H522" i="1" s="1"/>
  <c r="A523" i="12" a="1"/>
  <c r="A523" i="12" s="1"/>
  <c r="H523" i="1" a="1"/>
  <c r="H523" i="1" s="1"/>
  <c r="A524" i="12" a="1"/>
  <c r="A524" i="12" s="1"/>
  <c r="H524" i="1" a="1"/>
  <c r="H524" i="1" s="1"/>
  <c r="A525" i="12" a="1"/>
  <c r="A525" i="12" s="1"/>
  <c r="H525" i="1" a="1"/>
  <c r="H525" i="1" s="1"/>
  <c r="A526" i="12" a="1"/>
  <c r="A526" i="12" s="1"/>
  <c r="H526" i="1" a="1"/>
  <c r="H526" i="1" s="1"/>
  <c r="A527" i="12" a="1"/>
  <c r="A527" i="12" s="1"/>
  <c r="H527" i="1" a="1"/>
  <c r="H527" i="1" s="1"/>
  <c r="A528" i="12" a="1"/>
  <c r="A528" i="12" s="1"/>
  <c r="H528" i="1" a="1"/>
  <c r="H528" i="1" s="1"/>
  <c r="A529" i="12" a="1"/>
  <c r="A529" i="12" s="1"/>
  <c r="H529" i="1" a="1"/>
  <c r="H529" i="1" s="1"/>
  <c r="A530" i="12" a="1"/>
  <c r="A530" i="12" s="1"/>
  <c r="H530" i="1" a="1"/>
  <c r="H530" i="1" s="1"/>
  <c r="A531" i="12" a="1"/>
  <c r="A531" i="12" s="1"/>
  <c r="H531" i="1" a="1"/>
  <c r="H531" i="1" s="1"/>
  <c r="A532" i="12" a="1"/>
  <c r="A532" i="12" s="1"/>
  <c r="H532" i="1" a="1"/>
  <c r="H532" i="1" s="1"/>
  <c r="A533" i="12" a="1"/>
  <c r="A533" i="12" s="1"/>
  <c r="H533" i="1" a="1"/>
  <c r="H533" i="1" s="1"/>
  <c r="A534" i="12" a="1"/>
  <c r="A534" i="12" s="1"/>
  <c r="H534" i="1" a="1"/>
  <c r="H534" i="1" s="1"/>
  <c r="A535" i="12" a="1"/>
  <c r="A535" i="12" s="1"/>
  <c r="H535" i="1" a="1"/>
  <c r="H535" i="1" s="1"/>
  <c r="A536" i="12" a="1"/>
  <c r="A536" i="12" s="1"/>
  <c r="H536" i="1" a="1"/>
  <c r="H536" i="1" s="1"/>
  <c r="A537" i="12" a="1"/>
  <c r="A537" i="12" s="1"/>
  <c r="H537" i="1" a="1"/>
  <c r="H537" i="1" s="1"/>
  <c r="A538" i="12" a="1"/>
  <c r="A538" i="12" s="1"/>
  <c r="H538" i="1" a="1"/>
  <c r="H538" i="1" s="1"/>
  <c r="A539" i="12" a="1"/>
  <c r="A539" i="12" s="1"/>
  <c r="H539" i="1" a="1"/>
  <c r="H539" i="1" s="1"/>
  <c r="A540" i="12" a="1"/>
  <c r="A540" i="12" s="1"/>
  <c r="H540" i="1" a="1"/>
  <c r="H540" i="1" s="1"/>
  <c r="A541" i="12" a="1"/>
  <c r="A541" i="12" s="1"/>
  <c r="H541" i="1" a="1"/>
  <c r="H541" i="1" s="1"/>
  <c r="A542" i="12" a="1"/>
  <c r="A542" i="12" s="1"/>
  <c r="H542" i="1" a="1"/>
  <c r="H542" i="1" s="1"/>
  <c r="A543" i="12" a="1"/>
  <c r="A543" i="12" s="1"/>
  <c r="H543" i="1" a="1"/>
  <c r="H543" i="1" s="1"/>
  <c r="A544" i="12" a="1"/>
  <c r="A544" i="12" s="1"/>
  <c r="H544" i="1" a="1"/>
  <c r="H544" i="1" s="1"/>
  <c r="A545" i="12" a="1"/>
  <c r="A545" i="12" s="1"/>
  <c r="H545" i="1" a="1"/>
  <c r="H545" i="1" s="1"/>
  <c r="A546" i="12" a="1"/>
  <c r="A546" i="12" s="1"/>
  <c r="H546" i="1" a="1"/>
  <c r="H546" i="1" s="1"/>
  <c r="A547" i="12" a="1"/>
  <c r="A547" i="12" s="1"/>
  <c r="H547" i="1" a="1"/>
  <c r="H547" i="1" s="1"/>
  <c r="A548" i="12" a="1"/>
  <c r="A548" i="12" s="1"/>
  <c r="H548" i="1" a="1"/>
  <c r="H548" i="1" s="1"/>
  <c r="A549" i="12" a="1"/>
  <c r="A549" i="12" s="1"/>
  <c r="H549" i="1" a="1"/>
  <c r="H549" i="1" s="1"/>
  <c r="A550" i="12" a="1"/>
  <c r="A550" i="12" s="1"/>
  <c r="H550" i="1" a="1"/>
  <c r="H550" i="1" s="1"/>
  <c r="A551" i="12" a="1"/>
  <c r="A551" i="12" s="1"/>
  <c r="H551" i="1" a="1"/>
  <c r="H551" i="1" s="1"/>
  <c r="A552" i="12" a="1"/>
  <c r="A552" i="12" s="1"/>
  <c r="H552" i="1" a="1"/>
  <c r="H552" i="1" s="1"/>
  <c r="A553" i="12" a="1"/>
  <c r="A553" i="12" s="1"/>
  <c r="H553" i="1" a="1"/>
  <c r="H553" i="1" s="1"/>
  <c r="A554" i="12" a="1"/>
  <c r="A554" i="12" s="1"/>
  <c r="H554" i="1" a="1"/>
  <c r="H554" i="1" s="1"/>
  <c r="A555" i="12" a="1"/>
  <c r="A555" i="12" s="1"/>
  <c r="H555" i="1" a="1"/>
  <c r="H555" i="1" s="1"/>
  <c r="A556" i="12" a="1"/>
  <c r="A556" i="12" s="1"/>
  <c r="H556" i="1" a="1"/>
  <c r="H556" i="1" s="1"/>
  <c r="A557" i="12" a="1"/>
  <c r="A557" i="12" s="1"/>
  <c r="H557" i="1" a="1"/>
  <c r="H557" i="1" s="1"/>
  <c r="A558" i="12" a="1"/>
  <c r="A558" i="12" s="1"/>
  <c r="H558" i="1" a="1"/>
  <c r="H558" i="1" s="1"/>
  <c r="A559" i="12" a="1"/>
  <c r="A559" i="12" s="1"/>
  <c r="H559" i="1" a="1"/>
  <c r="H559" i="1" s="1"/>
  <c r="A560" i="12" a="1"/>
  <c r="A560" i="12" s="1"/>
  <c r="H560" i="1" a="1"/>
  <c r="H560" i="1" s="1"/>
  <c r="A561" i="12" a="1"/>
  <c r="A561" i="12" s="1"/>
  <c r="H561" i="1" a="1"/>
  <c r="H561" i="1" s="1"/>
  <c r="A562" i="12" a="1"/>
  <c r="A562" i="12" s="1"/>
  <c r="H562" i="1" a="1"/>
  <c r="H562" i="1" s="1"/>
  <c r="A563" i="12" a="1"/>
  <c r="A563" i="12" s="1"/>
  <c r="H563" i="1" a="1"/>
  <c r="H563" i="1" s="1"/>
  <c r="A564" i="12" a="1"/>
  <c r="A564" i="12" s="1"/>
  <c r="H564" i="1" a="1"/>
  <c r="H564" i="1" s="1"/>
  <c r="A565" i="12" a="1"/>
  <c r="A565" i="12" s="1"/>
  <c r="H565" i="1" a="1"/>
  <c r="H565" i="1" s="1"/>
  <c r="A566" i="12" a="1"/>
  <c r="A566" i="12" s="1"/>
  <c r="H566" i="1" a="1"/>
  <c r="H566" i="1" s="1"/>
  <c r="A567" i="12" a="1"/>
  <c r="A567" i="12" s="1"/>
  <c r="H567" i="1" a="1"/>
  <c r="H567" i="1" s="1"/>
  <c r="A568" i="12" a="1"/>
  <c r="A568" i="12" s="1"/>
  <c r="H568" i="1" a="1"/>
  <c r="H568" i="1" s="1"/>
  <c r="A569" i="12" a="1"/>
  <c r="A569" i="12" s="1"/>
  <c r="H569" i="1" a="1"/>
  <c r="H569" i="1" s="1"/>
  <c r="A570" i="12" a="1"/>
  <c r="A570" i="12" s="1"/>
  <c r="H570" i="1" a="1"/>
  <c r="H570" i="1" s="1"/>
  <c r="A571" i="12" a="1"/>
  <c r="A571" i="12" s="1"/>
  <c r="H571" i="1" a="1"/>
  <c r="H571" i="1" s="1"/>
  <c r="A572" i="12" a="1"/>
  <c r="A572" i="12" s="1"/>
  <c r="H572" i="1" a="1"/>
  <c r="H572" i="1" s="1"/>
  <c r="A573" i="12" a="1"/>
  <c r="A573" i="12" s="1"/>
  <c r="H573" i="1" a="1"/>
  <c r="H573" i="1" s="1"/>
  <c r="A574" i="12" a="1"/>
  <c r="A574" i="12" s="1"/>
  <c r="H574" i="1" a="1"/>
  <c r="H574" i="1" s="1"/>
  <c r="A575" i="12" a="1"/>
  <c r="A575" i="12" s="1"/>
  <c r="H575" i="1" a="1"/>
  <c r="H575" i="1" s="1"/>
  <c r="A576" i="12" a="1"/>
  <c r="A576" i="12" s="1"/>
  <c r="H576" i="1" a="1"/>
  <c r="H576" i="1" s="1"/>
  <c r="A577" i="12" a="1"/>
  <c r="A577" i="12" s="1"/>
  <c r="H577" i="1" a="1"/>
  <c r="H577" i="1" s="1"/>
  <c r="A578" i="12" a="1"/>
  <c r="A578" i="12" s="1"/>
  <c r="H578" i="1" a="1"/>
  <c r="H578" i="1" s="1"/>
  <c r="A579" i="12" a="1"/>
  <c r="A579" i="12" s="1"/>
  <c r="H579" i="1" a="1"/>
  <c r="H579" i="1" s="1"/>
  <c r="A580" i="12" a="1"/>
  <c r="A580" i="12" s="1"/>
  <c r="H580" i="1" a="1"/>
  <c r="H580" i="1" s="1"/>
  <c r="A581" i="12" a="1"/>
  <c r="A581" i="12" s="1"/>
  <c r="H581" i="1" a="1"/>
  <c r="H581" i="1" s="1"/>
  <c r="A582" i="12" a="1"/>
  <c r="A582" i="12" s="1"/>
  <c r="H582" i="1" a="1"/>
  <c r="H582" i="1" s="1"/>
  <c r="A583" i="12" a="1"/>
  <c r="A583" i="12" s="1"/>
  <c r="H583" i="1" a="1"/>
  <c r="H583" i="1" s="1"/>
  <c r="A584" i="12" a="1"/>
  <c r="A584" i="12" s="1"/>
  <c r="H584" i="1" a="1"/>
  <c r="H584" i="1" s="1"/>
  <c r="A585" i="12" a="1"/>
  <c r="A585" i="12" s="1"/>
  <c r="H585" i="1" a="1"/>
  <c r="H585" i="1" s="1"/>
  <c r="A586" i="12" a="1"/>
  <c r="A586" i="12" s="1"/>
  <c r="H586" i="1" a="1"/>
  <c r="H586" i="1" s="1"/>
  <c r="A587" i="12" a="1"/>
  <c r="A587" i="12" s="1"/>
  <c r="H587" i="1" a="1"/>
  <c r="H587" i="1" s="1"/>
  <c r="A588" i="12" a="1"/>
  <c r="A588" i="12" s="1"/>
  <c r="H588" i="1" a="1"/>
  <c r="H588" i="1" s="1"/>
  <c r="A589" i="12" a="1"/>
  <c r="A589" i="12" s="1"/>
  <c r="H589" i="1" a="1"/>
  <c r="H589" i="1" s="1"/>
  <c r="A590" i="12" a="1"/>
  <c r="A590" i="12" s="1"/>
  <c r="H590" i="1" a="1"/>
  <c r="H590" i="1" s="1"/>
  <c r="A591" i="12" a="1"/>
  <c r="A591" i="12" s="1"/>
  <c r="H591" i="1" a="1"/>
  <c r="H591" i="1" s="1"/>
  <c r="A592" i="12" a="1"/>
  <c r="A592" i="12" s="1"/>
  <c r="H592" i="1" a="1"/>
  <c r="H592" i="1" s="1"/>
  <c r="A593" i="12" a="1"/>
  <c r="A593" i="12" s="1"/>
  <c r="H593" i="1" a="1"/>
  <c r="H593" i="1" s="1"/>
  <c r="A594" i="12" a="1"/>
  <c r="A594" i="12" s="1"/>
  <c r="H594" i="1" a="1"/>
  <c r="H594" i="1" s="1"/>
  <c r="A595" i="12" a="1"/>
  <c r="A595" i="12" s="1"/>
  <c r="H595" i="1" a="1"/>
  <c r="H595" i="1" s="1"/>
  <c r="A596" i="12" a="1"/>
  <c r="A596" i="12" s="1"/>
  <c r="H596" i="1" a="1"/>
  <c r="H596" i="1" s="1"/>
  <c r="A597" i="12" a="1"/>
  <c r="A597" i="12" s="1"/>
  <c r="H597" i="1" a="1"/>
  <c r="H597" i="1" s="1"/>
  <c r="A598" i="12" a="1"/>
  <c r="A598" i="12" s="1"/>
  <c r="H598" i="1" a="1"/>
  <c r="H598" i="1" s="1"/>
  <c r="A599" i="12" a="1"/>
  <c r="A599" i="12" s="1"/>
  <c r="H599" i="1" a="1"/>
  <c r="H599" i="1" s="1"/>
  <c r="A600" i="12" a="1"/>
  <c r="A600" i="12" s="1"/>
  <c r="H600" i="1" a="1"/>
  <c r="H600" i="1" s="1"/>
  <c r="S5" i="1"/>
  <c r="S6" i="1"/>
  <c r="J2" i="1"/>
  <c r="L2" i="1" s="1"/>
  <c r="T2" i="1" s="1"/>
  <c r="S4" i="1"/>
  <c r="S3" i="1"/>
  <c r="T3" i="1"/>
  <c r="H7" i="1" a="1"/>
  <c r="H7" i="1" s="1"/>
  <c r="H6" i="1" a="1"/>
  <c r="H6" i="1" s="1"/>
  <c r="H5" i="1" a="1"/>
  <c r="H5" i="1" s="1"/>
  <c r="H4" i="1" a="1"/>
  <c r="H4" i="1" s="1"/>
  <c r="BQ17" i="12" a="1"/>
  <c r="BQ17" i="12" s="1"/>
  <c r="BQ6" i="12" a="1"/>
  <c r="BQ6" i="12" s="1"/>
  <c r="BQ16" i="12" a="1"/>
  <c r="BQ16" i="12" s="1"/>
  <c r="BQ5" i="12" a="1"/>
  <c r="BQ5" i="12" s="1"/>
  <c r="BQ15" i="12" a="1"/>
  <c r="BQ15" i="12" s="1"/>
  <c r="BQ4" i="12" a="1"/>
  <c r="BQ4" i="12" s="1"/>
  <c r="EA4" i="12" s="1" a="1"/>
  <c r="EA4" i="12" s="1"/>
  <c r="BQ14" i="12" a="1"/>
  <c r="BQ14" i="12" s="1"/>
  <c r="BQ13" i="12" a="1"/>
  <c r="BQ13" i="12" s="1"/>
  <c r="BQ12" i="12" a="1"/>
  <c r="BQ12" i="12" s="1"/>
  <c r="BQ11" i="12" a="1"/>
  <c r="BQ11" i="12" s="1"/>
  <c r="EA11" i="12" s="1" a="1"/>
  <c r="EA11" i="12" s="1"/>
  <c r="BQ10" i="12" a="1"/>
  <c r="BQ10" i="12" s="1"/>
  <c r="BQ8" i="12" a="1"/>
  <c r="BQ8" i="12" s="1"/>
  <c r="EA8" i="12" s="1" a="1"/>
  <c r="EA8" i="12" s="1"/>
  <c r="BQ18" i="12" a="1"/>
  <c r="BQ18" i="12" s="1"/>
  <c r="BQ7" i="12" a="1"/>
  <c r="BQ7" i="12" s="1"/>
  <c r="H2" i="1" a="1"/>
  <c r="H2" i="1" s="1"/>
  <c r="S6" i="12" a="1"/>
  <c r="S6" i="12" s="1"/>
  <c r="A12" i="12" a="1"/>
  <c r="A12" i="12" s="1"/>
  <c r="S17" i="12" a="1"/>
  <c r="S17" i="12" s="1"/>
  <c r="S16" i="12" a="1"/>
  <c r="S16" i="12" s="1"/>
  <c r="S5" i="12" a="1"/>
  <c r="S5" i="12" s="1"/>
  <c r="A11" i="12" a="1"/>
  <c r="A11" i="12" s="1"/>
  <c r="S15" i="12" a="1"/>
  <c r="S15" i="12" s="1"/>
  <c r="S4" i="12" a="1"/>
  <c r="S4" i="12" s="1"/>
  <c r="A10" i="12" a="1"/>
  <c r="A10" i="12" s="1"/>
  <c r="BQ2" i="12" a="1"/>
  <c r="BQ2" i="12" s="1"/>
  <c r="EA2" i="12" s="1" a="1"/>
  <c r="EA2" i="12" s="1"/>
  <c r="S14" i="12" a="1"/>
  <c r="S14" i="12" s="1"/>
  <c r="S3" i="12" a="1"/>
  <c r="S3" i="12" s="1"/>
  <c r="A9" i="12" a="1"/>
  <c r="A9" i="12" s="1"/>
  <c r="S13" i="12" a="1"/>
  <c r="S13" i="12" s="1"/>
  <c r="S12" i="12" a="1"/>
  <c r="S12" i="12" s="1"/>
  <c r="A8" i="12" a="1"/>
  <c r="A8" i="12" s="1"/>
  <c r="S11" i="12" a="1"/>
  <c r="S11" i="12" s="1"/>
  <c r="A18" i="12" a="1"/>
  <c r="A18" i="12" s="1"/>
  <c r="A7" i="12" a="1"/>
  <c r="A7" i="12" s="1"/>
  <c r="S10" i="12" a="1"/>
  <c r="S10" i="12" s="1"/>
  <c r="BQ3" i="12" a="1"/>
  <c r="BQ3" i="12" s="1"/>
  <c r="EA3" i="12" s="1" a="1"/>
  <c r="EA3" i="12" s="1"/>
  <c r="S9" i="12" a="1"/>
  <c r="S9" i="12" s="1"/>
  <c r="A3" i="12" a="1"/>
  <c r="A3" i="12" s="1"/>
  <c r="S2" i="12" a="1"/>
  <c r="S2" i="12" s="1"/>
  <c r="P11" i="1" l="1"/>
  <c r="R11" i="1"/>
  <c r="P2" i="1"/>
  <c r="T4" i="1"/>
  <c r="S2" i="1"/>
  <c r="T9" i="1"/>
  <c r="T5" i="1"/>
  <c r="T6" i="1"/>
  <c r="T8" i="1"/>
  <c r="P3" i="1"/>
  <c r="P7" i="1"/>
  <c r="P4" i="1"/>
  <c r="P5" i="1"/>
  <c r="P6" i="1"/>
  <c r="P8" i="1"/>
  <c r="P9" i="1"/>
  <c r="P10" i="1"/>
  <c r="R9" i="1"/>
  <c r="R10" i="1"/>
  <c r="Q9" i="1"/>
  <c r="Q10" i="1"/>
  <c r="R8" i="1"/>
  <c r="Q8" i="1"/>
  <c r="R7" i="1"/>
  <c r="Q7" i="1"/>
  <c r="R6" i="1"/>
  <c r="Q6" i="1"/>
  <c r="R5" i="1"/>
  <c r="Q5" i="1"/>
  <c r="Q4" i="1"/>
  <c r="Q2" i="1"/>
  <c r="R2" i="1"/>
  <c r="Q3" i="1"/>
  <c r="R4" i="1"/>
  <c r="R3" i="1"/>
  <c r="BQ592" i="12" a="1"/>
  <c r="BQ592" i="12" s="1"/>
  <c r="BQ453" i="12" a="1"/>
  <c r="BQ453" i="12" s="1"/>
  <c r="BQ572" i="12" a="1"/>
  <c r="BQ572" i="12" s="1"/>
  <c r="BQ495" i="12" a="1"/>
  <c r="BQ495" i="12" s="1"/>
  <c r="BQ457" i="12" a="1"/>
  <c r="BQ457" i="12" s="1"/>
  <c r="BQ441" i="12" a="1"/>
  <c r="BQ441" i="12" s="1"/>
  <c r="BQ430" i="12" a="1"/>
  <c r="BQ430" i="12" s="1"/>
  <c r="BQ406" i="12" a="1"/>
  <c r="BQ406" i="12" s="1"/>
  <c r="BQ379" i="12" a="1"/>
  <c r="BQ379" i="12" s="1"/>
  <c r="BQ352" i="12" a="1"/>
  <c r="BQ352" i="12" s="1"/>
  <c r="BQ320" i="12" a="1"/>
  <c r="BQ320" i="12" s="1"/>
  <c r="BQ594" i="12" a="1"/>
  <c r="BQ594" i="12" s="1"/>
  <c r="BQ585" i="12" a="1"/>
  <c r="BQ585" i="12" s="1"/>
  <c r="BQ576" i="12" a="1"/>
  <c r="BQ576" i="12" s="1"/>
  <c r="BQ567" i="12" a="1"/>
  <c r="BQ567" i="12" s="1"/>
  <c r="BQ558" i="12" a="1"/>
  <c r="BQ558" i="12" s="1"/>
  <c r="BQ549" i="12" a="1"/>
  <c r="BQ549" i="12" s="1"/>
  <c r="BQ537" i="12" a="1"/>
  <c r="BQ537" i="12" s="1"/>
  <c r="BQ526" i="12" a="1"/>
  <c r="BQ526" i="12" s="1"/>
  <c r="BQ510" i="12" a="1"/>
  <c r="BQ510" i="12" s="1"/>
  <c r="BQ499" i="12" a="1"/>
  <c r="BQ499" i="12" s="1"/>
  <c r="BQ483" i="12" a="1"/>
  <c r="BQ483" i="12" s="1"/>
  <c r="BQ472" i="12" a="1"/>
  <c r="BQ472" i="12" s="1"/>
  <c r="BQ456" i="12" a="1"/>
  <c r="BQ456" i="12" s="1"/>
  <c r="BQ445" i="12" a="1"/>
  <c r="BQ445" i="12" s="1"/>
  <c r="BQ429" i="12" a="1"/>
  <c r="BQ429" i="12" s="1"/>
  <c r="BQ409" i="12" a="1"/>
  <c r="BQ409" i="12" s="1"/>
  <c r="BQ382" i="12" a="1"/>
  <c r="BQ382" i="12" s="1"/>
  <c r="BQ355" i="12" a="1"/>
  <c r="BQ355" i="12" s="1"/>
  <c r="BQ318" i="12" a="1"/>
  <c r="BQ318" i="12" s="1"/>
  <c r="BQ423" i="12" a="1"/>
  <c r="BQ423" i="12" s="1"/>
  <c r="BQ414" i="12" a="1"/>
  <c r="BQ414" i="12" s="1"/>
  <c r="BQ405" i="12" a="1"/>
  <c r="BQ405" i="12" s="1"/>
  <c r="BQ396" i="12" a="1"/>
  <c r="BQ396" i="12" s="1"/>
  <c r="BQ387" i="12" a="1"/>
  <c r="BQ387" i="12" s="1"/>
  <c r="BQ378" i="12" a="1"/>
  <c r="BQ378" i="12" s="1"/>
  <c r="BQ369" i="12" a="1"/>
  <c r="BQ369" i="12" s="1"/>
  <c r="BQ360" i="12" a="1"/>
  <c r="BQ360" i="12" s="1"/>
  <c r="BQ351" i="12" a="1"/>
  <c r="BQ351" i="12" s="1"/>
  <c r="BQ339" i="12" a="1"/>
  <c r="BQ339" i="12" s="1"/>
  <c r="BQ321" i="12" a="1"/>
  <c r="BQ321" i="12" s="1"/>
  <c r="BQ303" i="12" a="1"/>
  <c r="BQ303" i="12" s="1"/>
  <c r="BQ278" i="12" a="1"/>
  <c r="BQ278" i="12" s="1"/>
  <c r="BQ249" i="12" a="1"/>
  <c r="BQ249" i="12" s="1"/>
  <c r="BQ171" i="12" a="1"/>
  <c r="BQ171" i="12" s="1"/>
  <c r="BQ593" i="12" a="1"/>
  <c r="BQ593" i="12" s="1"/>
  <c r="BQ583" i="12" a="1"/>
  <c r="BQ583" i="12" s="1"/>
  <c r="BQ547" i="12" a="1"/>
  <c r="BQ547" i="12" s="1"/>
  <c r="BQ523" i="12" a="1"/>
  <c r="BQ523" i="12" s="1"/>
  <c r="BQ496" i="12" a="1"/>
  <c r="BQ496" i="12" s="1"/>
  <c r="BQ442" i="12" a="1"/>
  <c r="BQ442" i="12" s="1"/>
  <c r="BQ394" i="12" a="1"/>
  <c r="BQ394" i="12" s="1"/>
  <c r="BQ336" i="12" a="1"/>
  <c r="BQ336" i="12" s="1"/>
  <c r="BQ554" i="12" a="1"/>
  <c r="BQ554" i="12" s="1"/>
  <c r="BQ484" i="12" a="1"/>
  <c r="BQ484" i="12" s="1"/>
  <c r="BQ598" i="12" a="1"/>
  <c r="BQ598" i="12" s="1"/>
  <c r="BQ562" i="12" a="1"/>
  <c r="BQ562" i="12" s="1"/>
  <c r="BQ532" i="12" a="1"/>
  <c r="BQ532" i="12" s="1"/>
  <c r="BQ462" i="12" a="1"/>
  <c r="BQ462" i="12" s="1"/>
  <c r="BQ412" i="12" a="1"/>
  <c r="BQ412" i="12" s="1"/>
  <c r="BQ329" i="12" a="1"/>
  <c r="BQ329" i="12" s="1"/>
  <c r="BQ578" i="12" a="1"/>
  <c r="BQ578" i="12" s="1"/>
  <c r="BQ560" i="12" a="1"/>
  <c r="BQ560" i="12" s="1"/>
  <c r="BQ551" i="12" a="1"/>
  <c r="BQ551" i="12" s="1"/>
  <c r="BQ542" i="12" a="1"/>
  <c r="BQ542" i="12" s="1"/>
  <c r="BQ531" i="12" a="1"/>
  <c r="BQ531" i="12" s="1"/>
  <c r="BQ520" i="12" a="1"/>
  <c r="BQ520" i="12" s="1"/>
  <c r="BQ504" i="12" a="1"/>
  <c r="BQ504" i="12" s="1"/>
  <c r="BQ493" i="12" a="1"/>
  <c r="BQ493" i="12" s="1"/>
  <c r="BQ477" i="12" a="1"/>
  <c r="BQ477" i="12" s="1"/>
  <c r="BQ466" i="12" a="1"/>
  <c r="BQ466" i="12" s="1"/>
  <c r="BQ450" i="12" a="1"/>
  <c r="BQ450" i="12" s="1"/>
  <c r="BQ439" i="12" a="1"/>
  <c r="BQ439" i="12" s="1"/>
  <c r="BQ424" i="12" a="1"/>
  <c r="BQ424" i="12" s="1"/>
  <c r="BQ397" i="12" a="1"/>
  <c r="BQ397" i="12" s="1"/>
  <c r="BQ370" i="12" a="1"/>
  <c r="BQ370" i="12" s="1"/>
  <c r="BQ347" i="12" a="1"/>
  <c r="BQ347" i="12" s="1"/>
  <c r="BQ591" i="12" a="1"/>
  <c r="BQ591" i="12" s="1"/>
  <c r="BQ582" i="12" a="1"/>
  <c r="BQ582" i="12" s="1"/>
  <c r="BQ573" i="12" a="1"/>
  <c r="BQ573" i="12" s="1"/>
  <c r="BQ564" i="12" a="1"/>
  <c r="BQ564" i="12" s="1"/>
  <c r="BQ555" i="12" a="1"/>
  <c r="BQ555" i="12" s="1"/>
  <c r="BQ546" i="12" a="1"/>
  <c r="BQ546" i="12" s="1"/>
  <c r="BQ535" i="12" a="1"/>
  <c r="BQ535" i="12" s="1"/>
  <c r="BQ519" i="12" a="1"/>
  <c r="BQ519" i="12" s="1"/>
  <c r="BQ508" i="12" a="1"/>
  <c r="BQ508" i="12" s="1"/>
  <c r="BQ492" i="12" a="1"/>
  <c r="BQ492" i="12" s="1"/>
  <c r="BQ481" i="12" a="1"/>
  <c r="BQ481" i="12" s="1"/>
  <c r="BQ465" i="12" a="1"/>
  <c r="BQ465" i="12" s="1"/>
  <c r="BQ454" i="12" a="1"/>
  <c r="BQ454" i="12" s="1"/>
  <c r="BQ438" i="12" a="1"/>
  <c r="BQ438" i="12" s="1"/>
  <c r="BQ427" i="12" a="1"/>
  <c r="BQ427" i="12" s="1"/>
  <c r="BQ400" i="12" a="1"/>
  <c r="BQ400" i="12" s="1"/>
  <c r="BQ373" i="12" a="1"/>
  <c r="BQ373" i="12" s="1"/>
  <c r="BQ345" i="12" a="1"/>
  <c r="BQ345" i="12" s="1"/>
  <c r="BQ311" i="12" a="1"/>
  <c r="BQ311" i="12" s="1"/>
  <c r="BQ420" i="12" a="1"/>
  <c r="BQ420" i="12" s="1"/>
  <c r="BQ411" i="12" a="1"/>
  <c r="BQ411" i="12" s="1"/>
  <c r="BQ402" i="12" a="1"/>
  <c r="BQ402" i="12" s="1"/>
  <c r="BQ393" i="12" a="1"/>
  <c r="BQ393" i="12" s="1"/>
  <c r="BQ384" i="12" a="1"/>
  <c r="BQ384" i="12" s="1"/>
  <c r="BQ375" i="12" a="1"/>
  <c r="BQ375" i="12" s="1"/>
  <c r="BQ366" i="12" a="1"/>
  <c r="BQ366" i="12" s="1"/>
  <c r="BQ357" i="12" a="1"/>
  <c r="BQ357" i="12" s="1"/>
  <c r="BQ348" i="12" a="1"/>
  <c r="BQ348" i="12" s="1"/>
  <c r="BQ332" i="12" a="1"/>
  <c r="BQ332" i="12" s="1"/>
  <c r="BQ314" i="12" a="1"/>
  <c r="BQ314" i="12" s="1"/>
  <c r="BQ294" i="12" a="1"/>
  <c r="BQ294" i="12" s="1"/>
  <c r="BQ276" i="12" a="1"/>
  <c r="BQ276" i="12" s="1"/>
  <c r="BQ225" i="12" a="1"/>
  <c r="BQ225" i="12" s="1"/>
  <c r="BQ137" i="12" a="1"/>
  <c r="BQ137" i="12" s="1"/>
  <c r="BQ587" i="12" a="1"/>
  <c r="BQ587" i="12" s="1"/>
  <c r="BQ574" i="12" a="1"/>
  <c r="BQ574" i="12" s="1"/>
  <c r="BQ565" i="12" a="1"/>
  <c r="BQ565" i="12" s="1"/>
  <c r="BQ556" i="12" a="1"/>
  <c r="BQ556" i="12" s="1"/>
  <c r="BQ534" i="12" a="1"/>
  <c r="BQ534" i="12" s="1"/>
  <c r="BQ507" i="12" a="1"/>
  <c r="BQ507" i="12" s="1"/>
  <c r="BQ480" i="12" a="1"/>
  <c r="BQ480" i="12" s="1"/>
  <c r="BQ469" i="12" a="1"/>
  <c r="BQ469" i="12" s="1"/>
  <c r="BQ421" i="12" a="1"/>
  <c r="BQ421" i="12" s="1"/>
  <c r="BQ367" i="12" a="1"/>
  <c r="BQ367" i="12" s="1"/>
  <c r="BQ581" i="12" a="1"/>
  <c r="BQ581" i="12" s="1"/>
  <c r="BQ563" i="12" a="1"/>
  <c r="BQ563" i="12" s="1"/>
  <c r="BQ545" i="12" a="1"/>
  <c r="BQ545" i="12" s="1"/>
  <c r="BQ538" i="12" a="1"/>
  <c r="BQ538" i="12" s="1"/>
  <c r="BQ522" i="12" a="1"/>
  <c r="BQ522" i="12" s="1"/>
  <c r="BQ511" i="12" a="1"/>
  <c r="BQ511" i="12" s="1"/>
  <c r="BQ468" i="12" a="1"/>
  <c r="BQ468" i="12" s="1"/>
  <c r="BQ599" i="12" a="1"/>
  <c r="BQ599" i="12" s="1"/>
  <c r="BQ584" i="12" a="1"/>
  <c r="BQ584" i="12" s="1"/>
  <c r="BQ589" i="12" a="1"/>
  <c r="BQ589" i="12" s="1"/>
  <c r="BQ580" i="12" a="1"/>
  <c r="BQ580" i="12" s="1"/>
  <c r="BQ571" i="12" a="1"/>
  <c r="BQ571" i="12" s="1"/>
  <c r="BQ553" i="12" a="1"/>
  <c r="BQ553" i="12" s="1"/>
  <c r="BQ544" i="12" a="1"/>
  <c r="BQ544" i="12" s="1"/>
  <c r="BQ516" i="12" a="1"/>
  <c r="BQ516" i="12" s="1"/>
  <c r="BQ505" i="12" a="1"/>
  <c r="BQ505" i="12" s="1"/>
  <c r="BQ489" i="12" a="1"/>
  <c r="BQ489" i="12" s="1"/>
  <c r="BQ478" i="12" a="1"/>
  <c r="BQ478" i="12" s="1"/>
  <c r="BQ451" i="12" a="1"/>
  <c r="BQ451" i="12" s="1"/>
  <c r="BQ435" i="12" a="1"/>
  <c r="BQ435" i="12" s="1"/>
  <c r="BQ385" i="12" a="1"/>
  <c r="BQ385" i="12" s="1"/>
  <c r="BQ358" i="12" a="1"/>
  <c r="BQ358" i="12" s="1"/>
  <c r="BQ569" i="12" a="1"/>
  <c r="BQ569" i="12" s="1"/>
  <c r="BQ590" i="12" a="1"/>
  <c r="BQ590" i="12" s="1"/>
  <c r="BQ596" i="12" a="1"/>
  <c r="BQ596" i="12" s="1"/>
  <c r="BQ595" i="12" a="1"/>
  <c r="BQ595" i="12" s="1"/>
  <c r="BQ586" i="12" a="1"/>
  <c r="BQ586" i="12" s="1"/>
  <c r="BQ577" i="12" a="1"/>
  <c r="BQ577" i="12" s="1"/>
  <c r="BQ568" i="12" a="1"/>
  <c r="BQ568" i="12" s="1"/>
  <c r="BQ559" i="12" a="1"/>
  <c r="BQ559" i="12" s="1"/>
  <c r="BQ550" i="12" a="1"/>
  <c r="BQ550" i="12" s="1"/>
  <c r="BQ541" i="12" a="1"/>
  <c r="BQ541" i="12" s="1"/>
  <c r="BQ525" i="12" a="1"/>
  <c r="BQ525" i="12" s="1"/>
  <c r="BQ514" i="12" a="1"/>
  <c r="BQ514" i="12" s="1"/>
  <c r="BQ498" i="12" a="1"/>
  <c r="BQ498" i="12" s="1"/>
  <c r="BQ487" i="12" a="1"/>
  <c r="BQ487" i="12" s="1"/>
  <c r="BQ471" i="12" a="1"/>
  <c r="BQ471" i="12" s="1"/>
  <c r="BQ460" i="12" a="1"/>
  <c r="BQ460" i="12" s="1"/>
  <c r="BQ444" i="12" a="1"/>
  <c r="BQ444" i="12" s="1"/>
  <c r="BQ433" i="12" a="1"/>
  <c r="BQ433" i="12" s="1"/>
  <c r="BQ403" i="12" a="1"/>
  <c r="BQ403" i="12" s="1"/>
  <c r="BQ376" i="12" a="1"/>
  <c r="BQ376" i="12" s="1"/>
  <c r="BQ349" i="12" a="1"/>
  <c r="BQ349" i="12" s="1"/>
  <c r="BQ309" i="12" a="1"/>
  <c r="BQ309" i="12" s="1"/>
  <c r="BQ575" i="12" a="1"/>
  <c r="BQ575" i="12" s="1"/>
  <c r="BQ566" i="12" a="1"/>
  <c r="BQ566" i="12" s="1"/>
  <c r="BQ557" i="12" a="1"/>
  <c r="BQ557" i="12" s="1"/>
  <c r="BQ548" i="12" a="1"/>
  <c r="BQ548" i="12" s="1"/>
  <c r="BQ540" i="12" a="1"/>
  <c r="BQ540" i="12" s="1"/>
  <c r="BQ529" i="12" a="1"/>
  <c r="BQ529" i="12" s="1"/>
  <c r="BQ513" i="12" a="1"/>
  <c r="BQ513" i="12" s="1"/>
  <c r="BQ502" i="12" a="1"/>
  <c r="BQ502" i="12" s="1"/>
  <c r="BQ486" i="12" a="1"/>
  <c r="BQ486" i="12" s="1"/>
  <c r="BQ475" i="12" a="1"/>
  <c r="BQ475" i="12" s="1"/>
  <c r="BQ459" i="12" a="1"/>
  <c r="BQ459" i="12" s="1"/>
  <c r="BQ448" i="12" a="1"/>
  <c r="BQ448" i="12" s="1"/>
  <c r="BQ432" i="12" a="1"/>
  <c r="BQ432" i="12" s="1"/>
  <c r="BQ415" i="12" a="1"/>
  <c r="BQ415" i="12" s="1"/>
  <c r="BQ388" i="12" a="1"/>
  <c r="BQ388" i="12" s="1"/>
  <c r="BQ361" i="12" a="1"/>
  <c r="BQ361" i="12" s="1"/>
  <c r="BQ327" i="12" a="1"/>
  <c r="BQ327" i="12" s="1"/>
  <c r="BQ597" i="12" a="1"/>
  <c r="BQ597" i="12" s="1"/>
  <c r="BQ588" i="12" a="1"/>
  <c r="BQ588" i="12" s="1"/>
  <c r="BQ579" i="12" a="1"/>
  <c r="BQ579" i="12" s="1"/>
  <c r="BQ570" i="12" a="1"/>
  <c r="BQ570" i="12" s="1"/>
  <c r="BQ561" i="12" a="1"/>
  <c r="BQ561" i="12" s="1"/>
  <c r="BQ552" i="12" a="1"/>
  <c r="BQ552" i="12" s="1"/>
  <c r="BQ543" i="12" a="1"/>
  <c r="BQ543" i="12" s="1"/>
  <c r="BQ528" i="12" a="1"/>
  <c r="BQ528" i="12" s="1"/>
  <c r="BQ517" i="12" a="1"/>
  <c r="BQ517" i="12" s="1"/>
  <c r="BQ501" i="12" a="1"/>
  <c r="BQ501" i="12" s="1"/>
  <c r="BQ490" i="12" a="1"/>
  <c r="BQ490" i="12" s="1"/>
  <c r="BQ474" i="12" a="1"/>
  <c r="BQ474" i="12" s="1"/>
  <c r="BQ463" i="12" a="1"/>
  <c r="BQ463" i="12" s="1"/>
  <c r="BQ447" i="12" a="1"/>
  <c r="BQ447" i="12" s="1"/>
  <c r="BQ436" i="12" a="1"/>
  <c r="BQ436" i="12" s="1"/>
  <c r="BQ418" i="12" a="1"/>
  <c r="BQ418" i="12" s="1"/>
  <c r="BQ391" i="12" a="1"/>
  <c r="BQ391" i="12" s="1"/>
  <c r="BQ364" i="12" a="1"/>
  <c r="BQ364" i="12" s="1"/>
  <c r="BQ338" i="12" a="1"/>
  <c r="BQ338" i="12" s="1"/>
  <c r="BQ426" i="12" a="1"/>
  <c r="BQ426" i="12" s="1"/>
  <c r="BQ417" i="12" a="1"/>
  <c r="BQ417" i="12" s="1"/>
  <c r="BQ408" i="12" a="1"/>
  <c r="BQ408" i="12" s="1"/>
  <c r="BQ399" i="12" a="1"/>
  <c r="BQ399" i="12" s="1"/>
  <c r="BQ390" i="12" a="1"/>
  <c r="BQ390" i="12" s="1"/>
  <c r="BQ381" i="12" a="1"/>
  <c r="BQ381" i="12" s="1"/>
  <c r="BQ372" i="12" a="1"/>
  <c r="BQ372" i="12" s="1"/>
  <c r="BQ363" i="12" a="1"/>
  <c r="BQ363" i="12" s="1"/>
  <c r="BQ354" i="12" a="1"/>
  <c r="BQ354" i="12" s="1"/>
  <c r="BQ341" i="12" a="1"/>
  <c r="BQ341" i="12" s="1"/>
  <c r="BQ330" i="12" a="1"/>
  <c r="BQ330" i="12" s="1"/>
  <c r="BQ305" i="12" a="1"/>
  <c r="BQ305" i="12" s="1"/>
  <c r="BQ287" i="12" a="1"/>
  <c r="BQ287" i="12" s="1"/>
  <c r="BQ260" i="12" a="1"/>
  <c r="BQ260" i="12" s="1"/>
  <c r="BQ198" i="12" a="1"/>
  <c r="BQ198" i="12" s="1"/>
  <c r="BQ302" i="12" a="1"/>
  <c r="BQ302" i="12" s="1"/>
  <c r="BQ267" i="12" a="1"/>
  <c r="BQ267" i="12" s="1"/>
  <c r="BQ251" i="12" a="1"/>
  <c r="BQ251" i="12" s="1"/>
  <c r="BQ234" i="12" a="1"/>
  <c r="BQ234" i="12" s="1"/>
  <c r="BQ207" i="12" a="1"/>
  <c r="BQ207" i="12" s="1"/>
  <c r="BQ180" i="12" a="1"/>
  <c r="BQ180" i="12" s="1"/>
  <c r="BQ144" i="12" a="1"/>
  <c r="BQ144" i="12" s="1"/>
  <c r="BQ110" i="12" a="1"/>
  <c r="BQ110" i="12" s="1"/>
  <c r="BQ293" i="12" a="1"/>
  <c r="BQ293" i="12" s="1"/>
  <c r="BQ282" i="12" a="1"/>
  <c r="BQ282" i="12" s="1"/>
  <c r="BQ266" i="12" a="1"/>
  <c r="BQ266" i="12" s="1"/>
  <c r="BQ255" i="12" a="1"/>
  <c r="BQ255" i="12" s="1"/>
  <c r="BQ237" i="12" a="1"/>
  <c r="BQ237" i="12" s="1"/>
  <c r="BQ210" i="12" a="1"/>
  <c r="BQ210" i="12" s="1"/>
  <c r="BQ183" i="12" a="1"/>
  <c r="BQ183" i="12" s="1"/>
  <c r="BQ155" i="12" a="1"/>
  <c r="BQ155" i="12" s="1"/>
  <c r="BQ108" i="12" a="1"/>
  <c r="BQ108" i="12" s="1"/>
  <c r="BQ536" i="12" a="1"/>
  <c r="BQ536" i="12" s="1"/>
  <c r="BQ527" i="12" a="1"/>
  <c r="BQ527" i="12" s="1"/>
  <c r="BQ518" i="12" a="1"/>
  <c r="BQ518" i="12" s="1"/>
  <c r="BQ509" i="12" a="1"/>
  <c r="BQ509" i="12" s="1"/>
  <c r="BQ500" i="12" a="1"/>
  <c r="BQ500" i="12" s="1"/>
  <c r="BQ491" i="12" a="1"/>
  <c r="BQ491" i="12" s="1"/>
  <c r="BQ482" i="12" a="1"/>
  <c r="BQ482" i="12" s="1"/>
  <c r="BQ473" i="12" a="1"/>
  <c r="BQ473" i="12" s="1"/>
  <c r="BQ464" i="12" a="1"/>
  <c r="BQ464" i="12" s="1"/>
  <c r="BQ455" i="12" a="1"/>
  <c r="BQ455" i="12" s="1"/>
  <c r="BQ446" i="12" a="1"/>
  <c r="BQ446" i="12" s="1"/>
  <c r="BQ437" i="12" a="1"/>
  <c r="BQ437" i="12" s="1"/>
  <c r="BQ428" i="12" a="1"/>
  <c r="BQ428" i="12" s="1"/>
  <c r="BQ419" i="12" a="1"/>
  <c r="BQ419" i="12" s="1"/>
  <c r="BQ410" i="12" a="1"/>
  <c r="BQ410" i="12" s="1"/>
  <c r="BQ401" i="12" a="1"/>
  <c r="BQ401" i="12" s="1"/>
  <c r="BQ392" i="12" a="1"/>
  <c r="BQ392" i="12" s="1"/>
  <c r="BQ383" i="12" a="1"/>
  <c r="BQ383" i="12" s="1"/>
  <c r="BQ374" i="12" a="1"/>
  <c r="BQ374" i="12" s="1"/>
  <c r="BQ365" i="12" a="1"/>
  <c r="BQ365" i="12" s="1"/>
  <c r="BQ356" i="12" a="1"/>
  <c r="BQ356" i="12" s="1"/>
  <c r="BQ344" i="12" a="1"/>
  <c r="BQ344" i="12" s="1"/>
  <c r="BQ333" i="12" a="1"/>
  <c r="BQ333" i="12" s="1"/>
  <c r="BQ317" i="12" a="1"/>
  <c r="BQ317" i="12" s="1"/>
  <c r="BQ306" i="12" a="1"/>
  <c r="BQ306" i="12" s="1"/>
  <c r="BQ290" i="12" a="1"/>
  <c r="BQ290" i="12" s="1"/>
  <c r="BQ279" i="12" a="1"/>
  <c r="BQ279" i="12" s="1"/>
  <c r="BQ263" i="12" a="1"/>
  <c r="BQ263" i="12" s="1"/>
  <c r="BQ252" i="12" a="1"/>
  <c r="BQ252" i="12" s="1"/>
  <c r="BQ240" i="12" a="1"/>
  <c r="BQ240" i="12" s="1"/>
  <c r="BQ213" i="12" a="1"/>
  <c r="BQ213" i="12" s="1"/>
  <c r="BQ186" i="12" a="1"/>
  <c r="BQ186" i="12" s="1"/>
  <c r="BQ146" i="12" a="1"/>
  <c r="BQ146" i="12" s="1"/>
  <c r="BQ99" i="12" a="1"/>
  <c r="BQ99" i="12" s="1"/>
  <c r="BQ236" i="12" a="1"/>
  <c r="BQ236" i="12" s="1"/>
  <c r="BQ227" i="12" a="1"/>
  <c r="BQ227" i="12" s="1"/>
  <c r="BQ218" i="12" a="1"/>
  <c r="BQ218" i="12" s="1"/>
  <c r="BQ209" i="12" a="1"/>
  <c r="BQ209" i="12" s="1"/>
  <c r="BQ200" i="12" a="1"/>
  <c r="BQ200" i="12" s="1"/>
  <c r="BQ191" i="12" a="1"/>
  <c r="BQ191" i="12" s="1"/>
  <c r="BQ182" i="12" a="1"/>
  <c r="BQ182" i="12" s="1"/>
  <c r="BQ173" i="12" a="1"/>
  <c r="BQ173" i="12" s="1"/>
  <c r="BQ158" i="12" a="1"/>
  <c r="BQ158" i="12" s="1"/>
  <c r="BQ147" i="12" a="1"/>
  <c r="BQ147" i="12" s="1"/>
  <c r="BQ131" i="12" a="1"/>
  <c r="BQ131" i="12" s="1"/>
  <c r="BQ120" i="12" a="1"/>
  <c r="BQ120" i="12" s="1"/>
  <c r="BQ104" i="12" a="1"/>
  <c r="BQ104" i="12" s="1"/>
  <c r="BQ93" i="12" a="1"/>
  <c r="BQ93" i="12" s="1"/>
  <c r="BQ77" i="12" a="1"/>
  <c r="BQ77" i="12" s="1"/>
  <c r="BQ63" i="12" a="1"/>
  <c r="BQ63" i="12" s="1"/>
  <c r="BQ36" i="12" a="1"/>
  <c r="BQ36" i="12" s="1"/>
  <c r="BQ83" i="12" a="1"/>
  <c r="BQ83" i="12" s="1"/>
  <c r="BQ66" i="12" a="1"/>
  <c r="BQ66" i="12" s="1"/>
  <c r="BQ39" i="12" a="1"/>
  <c r="BQ39" i="12" s="1"/>
  <c r="BQ346" i="12" a="1"/>
  <c r="BQ346" i="12" s="1"/>
  <c r="BQ337" i="12" a="1"/>
  <c r="BQ337" i="12" s="1"/>
  <c r="BQ328" i="12" a="1"/>
  <c r="BQ328" i="12" s="1"/>
  <c r="BQ319" i="12" a="1"/>
  <c r="BQ319" i="12" s="1"/>
  <c r="BQ310" i="12" a="1"/>
  <c r="BQ310" i="12" s="1"/>
  <c r="BQ301" i="12" a="1"/>
  <c r="BQ301" i="12" s="1"/>
  <c r="BQ292" i="12" a="1"/>
  <c r="BQ292" i="12" s="1"/>
  <c r="BQ283" i="12" a="1"/>
  <c r="BQ283" i="12" s="1"/>
  <c r="BQ274" i="12" a="1"/>
  <c r="BQ274" i="12" s="1"/>
  <c r="BQ265" i="12" a="1"/>
  <c r="BQ265" i="12" s="1"/>
  <c r="BQ256" i="12" a="1"/>
  <c r="BQ256" i="12" s="1"/>
  <c r="BQ247" i="12" a="1"/>
  <c r="BQ247" i="12" s="1"/>
  <c r="BQ238" i="12" a="1"/>
  <c r="BQ238" i="12" s="1"/>
  <c r="BQ229" i="12" a="1"/>
  <c r="BQ229" i="12" s="1"/>
  <c r="BQ220" i="12" a="1"/>
  <c r="BQ220" i="12" s="1"/>
  <c r="BQ211" i="12" a="1"/>
  <c r="BQ211" i="12" s="1"/>
  <c r="BQ202" i="12" a="1"/>
  <c r="BQ202" i="12" s="1"/>
  <c r="BQ193" i="12" a="1"/>
  <c r="BQ193" i="12" s="1"/>
  <c r="BQ184" i="12" a="1"/>
  <c r="BQ184" i="12" s="1"/>
  <c r="BQ175" i="12" a="1"/>
  <c r="BQ175" i="12" s="1"/>
  <c r="BQ168" i="12" a="1"/>
  <c r="BQ168" i="12" s="1"/>
  <c r="BQ152" i="12" a="1"/>
  <c r="BQ152" i="12" s="1"/>
  <c r="BQ141" i="12" a="1"/>
  <c r="BQ141" i="12" s="1"/>
  <c r="BQ125" i="12" a="1"/>
  <c r="BQ125" i="12" s="1"/>
  <c r="BQ114" i="12" a="1"/>
  <c r="BQ114" i="12" s="1"/>
  <c r="BQ98" i="12" a="1"/>
  <c r="BQ98" i="12" s="1"/>
  <c r="BQ87" i="12" a="1"/>
  <c r="BQ87" i="12" s="1"/>
  <c r="BQ69" i="12" a="1"/>
  <c r="BQ69" i="12" s="1"/>
  <c r="BQ42" i="12" a="1"/>
  <c r="BQ42" i="12" s="1"/>
  <c r="BQ71" i="12" a="1"/>
  <c r="BQ71" i="12" s="1"/>
  <c r="BQ62" i="12" a="1"/>
  <c r="BQ62" i="12" s="1"/>
  <c r="BQ53" i="12" a="1"/>
  <c r="BQ53" i="12" s="1"/>
  <c r="BQ44" i="12" a="1"/>
  <c r="BQ44" i="12" s="1"/>
  <c r="BQ35" i="12" a="1"/>
  <c r="BQ35" i="12" s="1"/>
  <c r="BQ169" i="12" a="1"/>
  <c r="BQ169" i="12" s="1"/>
  <c r="BQ160" i="12" a="1"/>
  <c r="BQ160" i="12" s="1"/>
  <c r="BQ151" i="12" a="1"/>
  <c r="BQ151" i="12" s="1"/>
  <c r="BQ142" i="12" a="1"/>
  <c r="BQ142" i="12" s="1"/>
  <c r="BQ133" i="12" a="1"/>
  <c r="BQ133" i="12" s="1"/>
  <c r="BQ124" i="12" a="1"/>
  <c r="BQ124" i="12" s="1"/>
  <c r="BQ115" i="12" a="1"/>
  <c r="BQ115" i="12" s="1"/>
  <c r="BQ106" i="12" a="1"/>
  <c r="BQ106" i="12" s="1"/>
  <c r="BQ97" i="12" a="1"/>
  <c r="BQ97" i="12" s="1"/>
  <c r="BQ88" i="12" a="1"/>
  <c r="BQ88" i="12" s="1"/>
  <c r="BQ79" i="12" a="1"/>
  <c r="BQ79" i="12" s="1"/>
  <c r="BQ70" i="12" a="1"/>
  <c r="BQ70" i="12" s="1"/>
  <c r="BQ61" i="12" a="1"/>
  <c r="BQ61" i="12" s="1"/>
  <c r="BQ52" i="12" a="1"/>
  <c r="BQ52" i="12" s="1"/>
  <c r="BQ43" i="12" a="1"/>
  <c r="BQ43" i="12" s="1"/>
  <c r="BQ34" i="12" a="1"/>
  <c r="BQ34" i="12" s="1"/>
  <c r="BQ291" i="12" a="1"/>
  <c r="BQ291" i="12" s="1"/>
  <c r="BQ275" i="12" a="1"/>
  <c r="BQ275" i="12" s="1"/>
  <c r="BQ264" i="12" a="1"/>
  <c r="BQ264" i="12" s="1"/>
  <c r="BQ248" i="12" a="1"/>
  <c r="BQ248" i="12" s="1"/>
  <c r="BQ228" i="12" a="1"/>
  <c r="BQ228" i="12" s="1"/>
  <c r="BQ201" i="12" a="1"/>
  <c r="BQ201" i="12" s="1"/>
  <c r="BQ174" i="12" a="1"/>
  <c r="BQ174" i="12" s="1"/>
  <c r="BQ135" i="12" a="1"/>
  <c r="BQ135" i="12" s="1"/>
  <c r="BQ101" i="12" a="1"/>
  <c r="BQ101" i="12" s="1"/>
  <c r="BQ533" i="12" a="1"/>
  <c r="BQ533" i="12" s="1"/>
  <c r="BQ524" i="12" a="1"/>
  <c r="BQ524" i="12" s="1"/>
  <c r="BQ515" i="12" a="1"/>
  <c r="BQ515" i="12" s="1"/>
  <c r="BQ506" i="12" a="1"/>
  <c r="BQ506" i="12" s="1"/>
  <c r="BQ497" i="12" a="1"/>
  <c r="BQ497" i="12" s="1"/>
  <c r="BQ488" i="12" a="1"/>
  <c r="BQ488" i="12" s="1"/>
  <c r="BQ479" i="12" a="1"/>
  <c r="BQ479" i="12" s="1"/>
  <c r="BQ470" i="12" a="1"/>
  <c r="BQ470" i="12" s="1"/>
  <c r="BQ461" i="12" a="1"/>
  <c r="BQ461" i="12" s="1"/>
  <c r="BQ452" i="12" a="1"/>
  <c r="BQ452" i="12" s="1"/>
  <c r="BQ443" i="12" a="1"/>
  <c r="BQ443" i="12" s="1"/>
  <c r="BQ434" i="12" a="1"/>
  <c r="BQ434" i="12" s="1"/>
  <c r="BQ425" i="12" a="1"/>
  <c r="BQ425" i="12" s="1"/>
  <c r="BQ416" i="12" a="1"/>
  <c r="BQ416" i="12" s="1"/>
  <c r="BQ407" i="12" a="1"/>
  <c r="BQ407" i="12" s="1"/>
  <c r="BQ398" i="12" a="1"/>
  <c r="BQ398" i="12" s="1"/>
  <c r="BQ389" i="12" a="1"/>
  <c r="BQ389" i="12" s="1"/>
  <c r="BQ380" i="12" a="1"/>
  <c r="BQ380" i="12" s="1"/>
  <c r="BQ371" i="12" a="1"/>
  <c r="BQ371" i="12" s="1"/>
  <c r="BQ362" i="12" a="1"/>
  <c r="BQ362" i="12" s="1"/>
  <c r="BQ353" i="12" a="1"/>
  <c r="BQ353" i="12" s="1"/>
  <c r="BQ342" i="12" a="1"/>
  <c r="BQ342" i="12" s="1"/>
  <c r="BQ326" i="12" a="1"/>
  <c r="BQ326" i="12" s="1"/>
  <c r="BQ315" i="12" a="1"/>
  <c r="BQ315" i="12" s="1"/>
  <c r="BQ299" i="12" a="1"/>
  <c r="BQ299" i="12" s="1"/>
  <c r="BQ288" i="12" a="1"/>
  <c r="BQ288" i="12" s="1"/>
  <c r="BQ272" i="12" a="1"/>
  <c r="BQ272" i="12" s="1"/>
  <c r="BQ261" i="12" a="1"/>
  <c r="BQ261" i="12" s="1"/>
  <c r="BQ245" i="12" a="1"/>
  <c r="BQ245" i="12" s="1"/>
  <c r="BQ231" i="12" a="1"/>
  <c r="BQ231" i="12" s="1"/>
  <c r="BQ204" i="12" a="1"/>
  <c r="BQ204" i="12" s="1"/>
  <c r="BQ177" i="12" a="1"/>
  <c r="BQ177" i="12" s="1"/>
  <c r="BQ126" i="12" a="1"/>
  <c r="BQ126" i="12" s="1"/>
  <c r="BQ92" i="12" a="1"/>
  <c r="BQ92" i="12" s="1"/>
  <c r="BQ233" i="12" a="1"/>
  <c r="BQ233" i="12" s="1"/>
  <c r="BQ224" i="12" a="1"/>
  <c r="BQ224" i="12" s="1"/>
  <c r="BQ215" i="12" a="1"/>
  <c r="BQ215" i="12" s="1"/>
  <c r="BQ206" i="12" a="1"/>
  <c r="BQ206" i="12" s="1"/>
  <c r="BQ197" i="12" a="1"/>
  <c r="BQ197" i="12" s="1"/>
  <c r="BQ188" i="12" a="1"/>
  <c r="BQ188" i="12" s="1"/>
  <c r="BQ179" i="12" a="1"/>
  <c r="BQ179" i="12" s="1"/>
  <c r="BQ167" i="12" a="1"/>
  <c r="BQ167" i="12" s="1"/>
  <c r="BQ156" i="12" a="1"/>
  <c r="BQ156" i="12" s="1"/>
  <c r="BQ140" i="12" a="1"/>
  <c r="BQ140" i="12" s="1"/>
  <c r="BQ129" i="12" a="1"/>
  <c r="BQ129" i="12" s="1"/>
  <c r="BQ113" i="12" a="1"/>
  <c r="BQ113" i="12" s="1"/>
  <c r="BQ102" i="12" a="1"/>
  <c r="BQ102" i="12" s="1"/>
  <c r="BQ86" i="12" a="1"/>
  <c r="BQ86" i="12" s="1"/>
  <c r="BQ75" i="12" a="1"/>
  <c r="BQ75" i="12" s="1"/>
  <c r="BQ54" i="12" a="1"/>
  <c r="BQ54" i="12" s="1"/>
  <c r="BQ81" i="12" a="1"/>
  <c r="BQ81" i="12" s="1"/>
  <c r="BQ57" i="12" a="1"/>
  <c r="BQ57" i="12" s="1"/>
  <c r="BQ30" i="12" a="1"/>
  <c r="BQ30" i="12" s="1"/>
  <c r="BQ343" i="12" a="1"/>
  <c r="BQ343" i="12" s="1"/>
  <c r="BQ334" i="12" a="1"/>
  <c r="BQ334" i="12" s="1"/>
  <c r="BQ325" i="12" a="1"/>
  <c r="BQ325" i="12" s="1"/>
  <c r="BQ316" i="12" a="1"/>
  <c r="BQ316" i="12" s="1"/>
  <c r="BQ307" i="12" a="1"/>
  <c r="BQ307" i="12" s="1"/>
  <c r="BQ298" i="12" a="1"/>
  <c r="BQ298" i="12" s="1"/>
  <c r="BQ289" i="12" a="1"/>
  <c r="BQ289" i="12" s="1"/>
  <c r="BQ280" i="12" a="1"/>
  <c r="BQ280" i="12" s="1"/>
  <c r="BQ271" i="12" a="1"/>
  <c r="BQ271" i="12" s="1"/>
  <c r="BQ262" i="12" a="1"/>
  <c r="BQ262" i="12" s="1"/>
  <c r="BQ253" i="12" a="1"/>
  <c r="BQ253" i="12" s="1"/>
  <c r="BQ244" i="12" a="1"/>
  <c r="BQ244" i="12" s="1"/>
  <c r="BQ235" i="12" a="1"/>
  <c r="BQ235" i="12" s="1"/>
  <c r="BQ226" i="12" a="1"/>
  <c r="BQ226" i="12" s="1"/>
  <c r="BQ217" i="12" a="1"/>
  <c r="BQ217" i="12" s="1"/>
  <c r="BQ208" i="12" a="1"/>
  <c r="BQ208" i="12" s="1"/>
  <c r="BQ199" i="12" a="1"/>
  <c r="BQ199" i="12" s="1"/>
  <c r="BQ190" i="12" a="1"/>
  <c r="BQ190" i="12" s="1"/>
  <c r="BQ181" i="12" a="1"/>
  <c r="BQ181" i="12" s="1"/>
  <c r="BQ172" i="12" a="1"/>
  <c r="BQ172" i="12" s="1"/>
  <c r="BQ161" i="12" a="1"/>
  <c r="BQ161" i="12" s="1"/>
  <c r="BQ150" i="12" a="1"/>
  <c r="BQ150" i="12" s="1"/>
  <c r="BQ134" i="12" a="1"/>
  <c r="BQ134" i="12" s="1"/>
  <c r="BQ123" i="12" a="1"/>
  <c r="BQ123" i="12" s="1"/>
  <c r="BQ107" i="12" a="1"/>
  <c r="BQ107" i="12" s="1"/>
  <c r="BQ96" i="12" a="1"/>
  <c r="BQ96" i="12" s="1"/>
  <c r="BQ80" i="12" a="1"/>
  <c r="BQ80" i="12" s="1"/>
  <c r="BQ60" i="12" a="1"/>
  <c r="BQ60" i="12" s="1"/>
  <c r="BQ33" i="12" a="1"/>
  <c r="BQ33" i="12" s="1"/>
  <c r="BQ68" i="12" a="1"/>
  <c r="BQ68" i="12" s="1"/>
  <c r="BQ59" i="12" a="1"/>
  <c r="BQ59" i="12" s="1"/>
  <c r="BQ50" i="12" a="1"/>
  <c r="BQ50" i="12" s="1"/>
  <c r="BQ41" i="12" a="1"/>
  <c r="BQ41" i="12" s="1"/>
  <c r="BQ32" i="12" a="1"/>
  <c r="BQ32" i="12" s="1"/>
  <c r="BQ166" i="12" a="1"/>
  <c r="BQ166" i="12" s="1"/>
  <c r="BQ157" i="12" a="1"/>
  <c r="BQ157" i="12" s="1"/>
  <c r="BQ148" i="12" a="1"/>
  <c r="BQ148" i="12" s="1"/>
  <c r="BQ139" i="12" a="1"/>
  <c r="BQ139" i="12" s="1"/>
  <c r="BQ130" i="12" a="1"/>
  <c r="BQ130" i="12" s="1"/>
  <c r="BQ121" i="12" a="1"/>
  <c r="BQ121" i="12" s="1"/>
  <c r="BQ112" i="12" a="1"/>
  <c r="BQ112" i="12" s="1"/>
  <c r="BQ103" i="12" a="1"/>
  <c r="BQ103" i="12" s="1"/>
  <c r="BQ94" i="12" a="1"/>
  <c r="BQ94" i="12" s="1"/>
  <c r="BQ85" i="12" a="1"/>
  <c r="BQ85" i="12" s="1"/>
  <c r="BQ76" i="12" a="1"/>
  <c r="BQ76" i="12" s="1"/>
  <c r="BQ67" i="12" a="1"/>
  <c r="BQ67" i="12" s="1"/>
  <c r="BQ58" i="12" a="1"/>
  <c r="BQ58" i="12" s="1"/>
  <c r="BQ49" i="12" a="1"/>
  <c r="BQ49" i="12" s="1"/>
  <c r="BQ40" i="12" a="1"/>
  <c r="BQ40" i="12" s="1"/>
  <c r="BQ31" i="12" a="1"/>
  <c r="BQ31" i="12" s="1"/>
  <c r="BQ323" i="12" a="1"/>
  <c r="BQ323" i="12" s="1"/>
  <c r="BQ312" i="12" a="1"/>
  <c r="BQ312" i="12" s="1"/>
  <c r="BQ296" i="12" a="1"/>
  <c r="BQ296" i="12" s="1"/>
  <c r="BQ285" i="12" a="1"/>
  <c r="BQ285" i="12" s="1"/>
  <c r="BQ269" i="12" a="1"/>
  <c r="BQ269" i="12" s="1"/>
  <c r="BQ258" i="12" a="1"/>
  <c r="BQ258" i="12" s="1"/>
  <c r="BQ242" i="12" a="1"/>
  <c r="BQ242" i="12" s="1"/>
  <c r="BQ216" i="12" a="1"/>
  <c r="BQ216" i="12" s="1"/>
  <c r="BQ189" i="12" a="1"/>
  <c r="BQ189" i="12" s="1"/>
  <c r="BQ164" i="12" a="1"/>
  <c r="BQ164" i="12" s="1"/>
  <c r="BQ117" i="12" a="1"/>
  <c r="BQ117" i="12" s="1"/>
  <c r="BQ300" i="12" a="1"/>
  <c r="BQ300" i="12" s="1"/>
  <c r="BQ284" i="12" a="1"/>
  <c r="BQ284" i="12" s="1"/>
  <c r="BQ273" i="12" a="1"/>
  <c r="BQ273" i="12" s="1"/>
  <c r="BQ257" i="12" a="1"/>
  <c r="BQ257" i="12" s="1"/>
  <c r="BQ246" i="12" a="1"/>
  <c r="BQ246" i="12" s="1"/>
  <c r="BQ219" i="12" a="1"/>
  <c r="BQ219" i="12" s="1"/>
  <c r="BQ192" i="12" a="1"/>
  <c r="BQ192" i="12" s="1"/>
  <c r="BQ162" i="12" a="1"/>
  <c r="BQ162" i="12" s="1"/>
  <c r="BQ128" i="12" a="1"/>
  <c r="BQ128" i="12" s="1"/>
  <c r="BQ539" i="12" a="1"/>
  <c r="BQ539" i="12" s="1"/>
  <c r="BQ530" i="12" a="1"/>
  <c r="BQ530" i="12" s="1"/>
  <c r="BQ521" i="12" a="1"/>
  <c r="BQ521" i="12" s="1"/>
  <c r="BQ512" i="12" a="1"/>
  <c r="BQ512" i="12" s="1"/>
  <c r="BQ503" i="12" a="1"/>
  <c r="BQ503" i="12" s="1"/>
  <c r="BQ494" i="12" a="1"/>
  <c r="BQ494" i="12" s="1"/>
  <c r="BQ485" i="12" a="1"/>
  <c r="BQ485" i="12" s="1"/>
  <c r="BQ476" i="12" a="1"/>
  <c r="BQ476" i="12" s="1"/>
  <c r="BQ467" i="12" a="1"/>
  <c r="BQ467" i="12" s="1"/>
  <c r="BQ458" i="12" a="1"/>
  <c r="BQ458" i="12" s="1"/>
  <c r="BQ449" i="12" a="1"/>
  <c r="BQ449" i="12" s="1"/>
  <c r="BQ440" i="12" a="1"/>
  <c r="BQ440" i="12" s="1"/>
  <c r="BQ431" i="12" a="1"/>
  <c r="BQ431" i="12" s="1"/>
  <c r="BQ422" i="12" a="1"/>
  <c r="BQ422" i="12" s="1"/>
  <c r="BQ413" i="12" a="1"/>
  <c r="BQ413" i="12" s="1"/>
  <c r="BQ404" i="12" a="1"/>
  <c r="BQ404" i="12" s="1"/>
  <c r="BQ395" i="12" a="1"/>
  <c r="BQ395" i="12" s="1"/>
  <c r="BQ386" i="12" a="1"/>
  <c r="BQ386" i="12" s="1"/>
  <c r="BQ377" i="12" a="1"/>
  <c r="BQ377" i="12" s="1"/>
  <c r="BQ368" i="12" a="1"/>
  <c r="BQ368" i="12" s="1"/>
  <c r="BQ359" i="12" a="1"/>
  <c r="BQ359" i="12" s="1"/>
  <c r="BQ350" i="12" a="1"/>
  <c r="BQ350" i="12" s="1"/>
  <c r="BQ335" i="12" a="1"/>
  <c r="BQ335" i="12" s="1"/>
  <c r="BQ324" i="12" a="1"/>
  <c r="BQ324" i="12" s="1"/>
  <c r="BQ308" i="12" a="1"/>
  <c r="BQ308" i="12" s="1"/>
  <c r="BQ297" i="12" a="1"/>
  <c r="BQ297" i="12" s="1"/>
  <c r="BQ281" i="12" a="1"/>
  <c r="BQ281" i="12" s="1"/>
  <c r="BQ270" i="12" a="1"/>
  <c r="BQ270" i="12" s="1"/>
  <c r="BQ254" i="12" a="1"/>
  <c r="BQ254" i="12" s="1"/>
  <c r="BQ243" i="12" a="1"/>
  <c r="BQ243" i="12" s="1"/>
  <c r="BQ222" i="12" a="1"/>
  <c r="BQ222" i="12" s="1"/>
  <c r="BQ195" i="12" a="1"/>
  <c r="BQ195" i="12" s="1"/>
  <c r="BQ153" i="12" a="1"/>
  <c r="BQ153" i="12" s="1"/>
  <c r="BQ119" i="12" a="1"/>
  <c r="BQ119" i="12" s="1"/>
  <c r="BQ239" i="12" a="1"/>
  <c r="BQ239" i="12" s="1"/>
  <c r="BQ230" i="12" a="1"/>
  <c r="BQ230" i="12" s="1"/>
  <c r="BQ221" i="12" a="1"/>
  <c r="BQ221" i="12" s="1"/>
  <c r="BQ212" i="12" a="1"/>
  <c r="BQ212" i="12" s="1"/>
  <c r="BQ203" i="12" a="1"/>
  <c r="BQ203" i="12" s="1"/>
  <c r="BQ194" i="12" a="1"/>
  <c r="BQ194" i="12" s="1"/>
  <c r="BQ185" i="12" a="1"/>
  <c r="BQ185" i="12" s="1"/>
  <c r="BQ176" i="12" a="1"/>
  <c r="BQ176" i="12" s="1"/>
  <c r="BQ165" i="12" a="1"/>
  <c r="BQ165" i="12" s="1"/>
  <c r="BQ149" i="12" a="1"/>
  <c r="BQ149" i="12" s="1"/>
  <c r="BQ138" i="12" a="1"/>
  <c r="BQ138" i="12" s="1"/>
  <c r="BQ122" i="12" a="1"/>
  <c r="BQ122" i="12" s="1"/>
  <c r="BQ111" i="12" a="1"/>
  <c r="BQ111" i="12" s="1"/>
  <c r="BQ95" i="12" a="1"/>
  <c r="BQ95" i="12" s="1"/>
  <c r="BQ84" i="12" a="1"/>
  <c r="BQ84" i="12" s="1"/>
  <c r="BQ72" i="12" a="1"/>
  <c r="BQ72" i="12" s="1"/>
  <c r="BQ45" i="12" a="1"/>
  <c r="BQ45" i="12" s="1"/>
  <c r="BQ90" i="12" a="1"/>
  <c r="BQ90" i="12" s="1"/>
  <c r="BQ74" i="12" a="1"/>
  <c r="BQ74" i="12" s="1"/>
  <c r="BQ48" i="12" a="1"/>
  <c r="BQ48" i="12" s="1"/>
  <c r="BQ340" i="12" a="1"/>
  <c r="BQ340" i="12" s="1"/>
  <c r="BQ331" i="12" a="1"/>
  <c r="BQ331" i="12" s="1"/>
  <c r="BQ322" i="12" a="1"/>
  <c r="BQ322" i="12" s="1"/>
  <c r="BQ313" i="12" a="1"/>
  <c r="BQ313" i="12" s="1"/>
  <c r="BQ304" i="12" a="1"/>
  <c r="BQ304" i="12" s="1"/>
  <c r="BQ295" i="12" a="1"/>
  <c r="BQ295" i="12" s="1"/>
  <c r="BQ286" i="12" a="1"/>
  <c r="BQ286" i="12" s="1"/>
  <c r="BQ277" i="12" a="1"/>
  <c r="BQ277" i="12" s="1"/>
  <c r="BQ268" i="12" a="1"/>
  <c r="BQ268" i="12" s="1"/>
  <c r="BQ259" i="12" a="1"/>
  <c r="BQ259" i="12" s="1"/>
  <c r="BQ250" i="12" a="1"/>
  <c r="BQ250" i="12" s="1"/>
  <c r="BQ241" i="12" a="1"/>
  <c r="BQ241" i="12" s="1"/>
  <c r="BQ232" i="12" a="1"/>
  <c r="BQ232" i="12" s="1"/>
  <c r="BQ223" i="12" a="1"/>
  <c r="BQ223" i="12" s="1"/>
  <c r="BQ214" i="12" a="1"/>
  <c r="BQ214" i="12" s="1"/>
  <c r="BQ205" i="12" a="1"/>
  <c r="BQ205" i="12" s="1"/>
  <c r="BQ196" i="12" a="1"/>
  <c r="BQ196" i="12" s="1"/>
  <c r="BQ187" i="12" a="1"/>
  <c r="BQ187" i="12" s="1"/>
  <c r="BQ178" i="12" a="1"/>
  <c r="BQ178" i="12" s="1"/>
  <c r="BQ170" i="12" a="1"/>
  <c r="BQ170" i="12" s="1"/>
  <c r="BQ159" i="12" a="1"/>
  <c r="BQ159" i="12" s="1"/>
  <c r="BQ143" i="12" a="1"/>
  <c r="BQ143" i="12" s="1"/>
  <c r="BQ132" i="12" a="1"/>
  <c r="BQ132" i="12" s="1"/>
  <c r="BQ116" i="12" a="1"/>
  <c r="BQ116" i="12" s="1"/>
  <c r="BQ105" i="12" a="1"/>
  <c r="BQ105" i="12" s="1"/>
  <c r="BQ89" i="12" a="1"/>
  <c r="BQ89" i="12" s="1"/>
  <c r="BQ78" i="12" a="1"/>
  <c r="BQ78" i="12" s="1"/>
  <c r="BQ51" i="12" a="1"/>
  <c r="BQ51" i="12" s="1"/>
  <c r="BQ65" i="12" a="1"/>
  <c r="BQ65" i="12" s="1"/>
  <c r="BQ56" i="12" a="1"/>
  <c r="BQ56" i="12" s="1"/>
  <c r="BQ47" i="12" a="1"/>
  <c r="BQ47" i="12" s="1"/>
  <c r="BQ38" i="12" a="1"/>
  <c r="BQ38" i="12" s="1"/>
  <c r="BQ29" i="12" a="1"/>
  <c r="BQ29" i="12" s="1"/>
  <c r="BQ163" i="12" a="1"/>
  <c r="BQ163" i="12" s="1"/>
  <c r="BQ154" i="12" a="1"/>
  <c r="BQ154" i="12" s="1"/>
  <c r="BQ145" i="12" a="1"/>
  <c r="BQ145" i="12" s="1"/>
  <c r="BQ136" i="12" a="1"/>
  <c r="BQ136" i="12" s="1"/>
  <c r="BQ127" i="12" a="1"/>
  <c r="BQ127" i="12" s="1"/>
  <c r="BQ118" i="12" a="1"/>
  <c r="BQ118" i="12" s="1"/>
  <c r="BQ109" i="12" a="1"/>
  <c r="BQ109" i="12" s="1"/>
  <c r="BQ100" i="12" a="1"/>
  <c r="BQ100" i="12" s="1"/>
  <c r="BQ91" i="12" a="1"/>
  <c r="BQ91" i="12" s="1"/>
  <c r="BQ82" i="12" a="1"/>
  <c r="BQ82" i="12" s="1"/>
  <c r="BQ73" i="12" a="1"/>
  <c r="BQ73" i="12" s="1"/>
  <c r="BQ64" i="12" a="1"/>
  <c r="BQ64" i="12" s="1"/>
  <c r="BQ55" i="12" a="1"/>
  <c r="BQ55" i="12" s="1"/>
  <c r="BQ46" i="12" a="1"/>
  <c r="BQ46" i="12" s="1"/>
  <c r="BQ37" i="12" a="1"/>
  <c r="BQ37" i="12" s="1"/>
  <c r="BQ28" i="12" a="1"/>
  <c r="BQ28" i="12" s="1"/>
  <c r="U11" i="1" l="1"/>
  <c r="V11" i="1"/>
  <c r="U9" i="1"/>
  <c r="U5" i="1"/>
  <c r="U10" i="1"/>
  <c r="U8" i="1"/>
  <c r="U4" i="1"/>
  <c r="U6" i="1"/>
  <c r="U2" i="1"/>
  <c r="U7" i="1"/>
  <c r="U3" i="1"/>
  <c r="V10" i="1"/>
  <c r="V9" i="1"/>
  <c r="V8" i="1"/>
  <c r="V7" i="1"/>
  <c r="V4" i="1"/>
  <c r="V6" i="1"/>
  <c r="V5" i="1"/>
  <c r="V3" i="1"/>
  <c r="BQ27" i="12" a="1"/>
  <c r="BQ27" i="12" s="1"/>
  <c r="S27" i="12" a="1"/>
  <c r="S27" i="12" s="1"/>
  <c r="BQ600" i="12" a="1"/>
  <c r="BQ600" i="12" s="1"/>
  <c r="BQ22" i="12" a="1"/>
  <c r="BQ22" i="12" s="1"/>
  <c r="BQ26" i="12" a="1"/>
  <c r="BQ26" i="12" s="1"/>
  <c r="BQ24" i="12" a="1"/>
  <c r="BQ24" i="12" s="1"/>
  <c r="BQ19" i="12" a="1"/>
  <c r="BQ19" i="12" s="1"/>
  <c r="BQ23" i="12" a="1"/>
  <c r="BQ23" i="12" s="1"/>
  <c r="BQ25" i="12" a="1"/>
  <c r="BQ25" i="12" s="1"/>
  <c r="BQ21" i="12" a="1"/>
  <c r="BQ21" i="12" s="1"/>
  <c r="BQ20" i="12" a="1"/>
  <c r="BQ20" i="12" s="1"/>
  <c r="V2" i="1"/>
  <c r="S141" i="12" a="1"/>
  <c r="S141" i="12" s="1"/>
  <c r="S256" i="12" a="1"/>
  <c r="S256" i="12" s="1"/>
  <c r="S66" i="12" a="1"/>
  <c r="S66" i="12" s="1"/>
  <c r="S182" i="12" a="1"/>
  <c r="S182" i="12" s="1"/>
  <c r="S252" i="12" a="1"/>
  <c r="S252" i="12" s="1"/>
  <c r="S392" i="12" a="1"/>
  <c r="S392" i="12" s="1"/>
  <c r="S500" i="12" a="1"/>
  <c r="S500" i="12" s="1"/>
  <c r="S282" i="12" a="1"/>
  <c r="S282" i="12" s="1"/>
  <c r="S287" i="12" a="1"/>
  <c r="S287" i="12" s="1"/>
  <c r="S426" i="12" a="1"/>
  <c r="S426" i="12" s="1"/>
  <c r="S528" i="12" a="1"/>
  <c r="S528" i="12" s="1"/>
  <c r="S432" i="12" a="1"/>
  <c r="S432" i="12" s="1"/>
  <c r="S575" i="12" a="1"/>
  <c r="S575" i="12" s="1"/>
  <c r="S525" i="12" a="1"/>
  <c r="S525" i="12" s="1"/>
  <c r="S385" i="12" a="1"/>
  <c r="S385" i="12" s="1"/>
  <c r="S584" i="12" a="1"/>
  <c r="S584" i="12" s="1"/>
  <c r="S480" i="12" a="1"/>
  <c r="S480" i="12" s="1"/>
  <c r="S332" i="12" a="1"/>
  <c r="S332" i="12" s="1"/>
  <c r="S373" i="12" a="1"/>
  <c r="S373" i="12" s="1"/>
  <c r="S555" i="12" a="1"/>
  <c r="S555" i="12" s="1"/>
  <c r="S466" i="12" a="1"/>
  <c r="S466" i="12" s="1"/>
  <c r="S462" i="12" a="1"/>
  <c r="S462" i="12" s="1"/>
  <c r="S583" i="12" a="1"/>
  <c r="S583" i="12" s="1"/>
  <c r="S387" i="12" a="1"/>
  <c r="S387" i="12" s="1"/>
  <c r="S472" i="12" a="1"/>
  <c r="S472" i="12" s="1"/>
  <c r="S320" i="12" a="1"/>
  <c r="S320" i="12" s="1"/>
  <c r="S73" i="12" a="1"/>
  <c r="S73" i="12" s="1"/>
  <c r="S259" i="12" a="1"/>
  <c r="S259" i="12" s="1"/>
  <c r="S185" i="12" a="1"/>
  <c r="S185" i="12" s="1"/>
  <c r="S503" i="12" a="1"/>
  <c r="S503" i="12" s="1"/>
  <c r="S33" i="12" a="1"/>
  <c r="S33" i="12" s="1"/>
  <c r="S307" i="12" a="1"/>
  <c r="S307" i="12" s="1"/>
  <c r="S326" i="12" a="1"/>
  <c r="S326" i="12" s="1"/>
  <c r="S135" i="12" a="1"/>
  <c r="S135" i="12" s="1"/>
  <c r="S247" i="12" a="1"/>
  <c r="S247" i="12" s="1"/>
  <c r="S240" i="12" a="1"/>
  <c r="S240" i="12" s="1"/>
  <c r="S266" i="12" a="1"/>
  <c r="S266" i="12" s="1"/>
  <c r="S417" i="12" a="1"/>
  <c r="S417" i="12" s="1"/>
  <c r="S415" i="12" a="1"/>
  <c r="S415" i="12" s="1"/>
  <c r="S514" i="12" a="1"/>
  <c r="S514" i="12" s="1"/>
  <c r="S358" i="12" a="1"/>
  <c r="S358" i="12" s="1"/>
  <c r="S469" i="12" a="1"/>
  <c r="S469" i="12" s="1"/>
  <c r="S345" i="12" a="1"/>
  <c r="S345" i="12" s="1"/>
  <c r="S546" i="12" a="1"/>
  <c r="S546" i="12" s="1"/>
  <c r="S378" i="12" a="1"/>
  <c r="S378" i="12" s="1"/>
  <c r="S452" i="12" a="1"/>
  <c r="S452" i="12" s="1"/>
  <c r="S91" i="12" a="1"/>
  <c r="S91" i="12" s="1"/>
  <c r="S47" i="12" a="1"/>
  <c r="S47" i="12" s="1"/>
  <c r="S170" i="12" a="1"/>
  <c r="S170" i="12" s="1"/>
  <c r="S277" i="12" a="1"/>
  <c r="S277" i="12" s="1"/>
  <c r="S45" i="12" a="1"/>
  <c r="S45" i="12" s="1"/>
  <c r="S203" i="12" a="1"/>
  <c r="S203" i="12" s="1"/>
  <c r="S281" i="12" a="1"/>
  <c r="S281" i="12" s="1"/>
  <c r="S413" i="12" a="1"/>
  <c r="S413" i="12" s="1"/>
  <c r="S117" i="12" a="1"/>
  <c r="S117" i="12" s="1"/>
  <c r="S80" i="12" a="1"/>
  <c r="S80" i="12" s="1"/>
  <c r="S217" i="12" a="1"/>
  <c r="S217" i="12" s="1"/>
  <c r="S325" i="12" a="1"/>
  <c r="S325" i="12" s="1"/>
  <c r="S129" i="12" a="1"/>
  <c r="S129" i="12" s="1"/>
  <c r="S126" i="12" a="1"/>
  <c r="S126" i="12" s="1"/>
  <c r="S353" i="12" a="1"/>
  <c r="S353" i="12" s="1"/>
  <c r="S461" i="12" a="1"/>
  <c r="S461" i="12" s="1"/>
  <c r="S201" i="12" a="1"/>
  <c r="S201" i="12" s="1"/>
  <c r="S79" i="12" a="1"/>
  <c r="S79" i="12" s="1"/>
  <c r="S35" i="12" a="1"/>
  <c r="S35" i="12" s="1"/>
  <c r="S152" i="12" a="1"/>
  <c r="S152" i="12" s="1"/>
  <c r="S265" i="12" a="1"/>
  <c r="S265" i="12" s="1"/>
  <c r="S83" i="12" a="1"/>
  <c r="S83" i="12" s="1"/>
  <c r="S191" i="12" a="1"/>
  <c r="S191" i="12" s="1"/>
  <c r="S263" i="12" a="1"/>
  <c r="S263" i="12" s="1"/>
  <c r="S401" i="12" a="1"/>
  <c r="S401" i="12" s="1"/>
  <c r="S509" i="12" a="1"/>
  <c r="S509" i="12" s="1"/>
  <c r="S293" i="12" a="1"/>
  <c r="S293" i="12" s="1"/>
  <c r="S305" i="12" a="1"/>
  <c r="S305" i="12" s="1"/>
  <c r="S338" i="12" a="1"/>
  <c r="S338" i="12" s="1"/>
  <c r="S543" i="12" a="1"/>
  <c r="S543" i="12" s="1"/>
  <c r="S448" i="12" a="1"/>
  <c r="S448" i="12" s="1"/>
  <c r="S309" i="12" a="1"/>
  <c r="S309" i="12" s="1"/>
  <c r="S541" i="12" a="1"/>
  <c r="S541" i="12" s="1"/>
  <c r="S435" i="12" a="1"/>
  <c r="S435" i="12" s="1"/>
  <c r="S599" i="12" a="1"/>
  <c r="S599" i="12" s="1"/>
  <c r="S507" i="12" a="1"/>
  <c r="S507" i="12" s="1"/>
  <c r="S348" i="12" a="1"/>
  <c r="S348" i="12" s="1"/>
  <c r="S400" i="12" a="1"/>
  <c r="S400" i="12" s="1"/>
  <c r="S564" i="12" a="1"/>
  <c r="S564" i="12" s="1"/>
  <c r="S477" i="12" a="1"/>
  <c r="S477" i="12" s="1"/>
  <c r="S532" i="12" a="1"/>
  <c r="S532" i="12" s="1"/>
  <c r="S593" i="12" a="1"/>
  <c r="S593" i="12" s="1"/>
  <c r="S396" i="12" a="1"/>
  <c r="S396" i="12" s="1"/>
  <c r="S483" i="12" a="1"/>
  <c r="S483" i="12" s="1"/>
  <c r="S352" i="12" a="1"/>
  <c r="S352" i="12" s="1"/>
  <c r="S450" i="12" a="1"/>
  <c r="S450" i="12" s="1"/>
  <c r="S342" i="12" a="1"/>
  <c r="S342" i="12" s="1"/>
  <c r="S31" i="12" a="1"/>
  <c r="S31" i="12" s="1"/>
  <c r="S100" i="12" a="1"/>
  <c r="S100" i="12" s="1"/>
  <c r="S56" i="12" a="1"/>
  <c r="S56" i="12" s="1"/>
  <c r="S178" i="12" a="1"/>
  <c r="S178" i="12" s="1"/>
  <c r="S286" i="12" a="1"/>
  <c r="S286" i="12" s="1"/>
  <c r="S72" i="12" a="1"/>
  <c r="S72" i="12" s="1"/>
  <c r="S212" i="12" a="1"/>
  <c r="S212" i="12" s="1"/>
  <c r="S297" i="12" a="1"/>
  <c r="S297" i="12" s="1"/>
  <c r="S422" i="12" a="1"/>
  <c r="S422" i="12" s="1"/>
  <c r="S530" i="12" a="1"/>
  <c r="S530" i="12" s="1"/>
  <c r="S164" i="12" a="1"/>
  <c r="S164" i="12" s="1"/>
  <c r="S40" i="12" a="1"/>
  <c r="S40" i="12" s="1"/>
  <c r="S148" i="12" a="1"/>
  <c r="S148" i="12" s="1"/>
  <c r="S96" i="12" a="1"/>
  <c r="S96" i="12" s="1"/>
  <c r="S226" i="12" a="1"/>
  <c r="S226" i="12" s="1"/>
  <c r="S334" i="12" a="1"/>
  <c r="S334" i="12" s="1"/>
  <c r="S140" i="12" a="1"/>
  <c r="S140" i="12" s="1"/>
  <c r="S177" i="12" a="1"/>
  <c r="S177" i="12" s="1"/>
  <c r="S362" i="12" a="1"/>
  <c r="S362" i="12" s="1"/>
  <c r="S470" i="12" a="1"/>
  <c r="S470" i="12" s="1"/>
  <c r="S228" i="12" a="1"/>
  <c r="S228" i="12" s="1"/>
  <c r="S88" i="12" a="1"/>
  <c r="S88" i="12" s="1"/>
  <c r="S44" i="12" a="1"/>
  <c r="S44" i="12" s="1"/>
  <c r="S168" i="12" a="1"/>
  <c r="S168" i="12" s="1"/>
  <c r="S274" i="12" a="1"/>
  <c r="S274" i="12" s="1"/>
  <c r="S36" i="12" a="1"/>
  <c r="S36" i="12" s="1"/>
  <c r="S200" i="12" a="1"/>
  <c r="S200" i="12" s="1"/>
  <c r="S279" i="12" a="1"/>
  <c r="S279" i="12" s="1"/>
  <c r="S410" i="12" a="1"/>
  <c r="S410" i="12" s="1"/>
  <c r="S518" i="12" a="1"/>
  <c r="S518" i="12" s="1"/>
  <c r="S110" i="12" a="1"/>
  <c r="S110" i="12" s="1"/>
  <c r="S330" i="12" a="1"/>
  <c r="S330" i="12" s="1"/>
  <c r="S364" i="12" a="1"/>
  <c r="S364" i="12" s="1"/>
  <c r="S552" i="12" a="1"/>
  <c r="S552" i="12" s="1"/>
  <c r="S459" i="12" a="1"/>
  <c r="S459" i="12" s="1"/>
  <c r="S349" i="12" a="1"/>
  <c r="S349" i="12" s="1"/>
  <c r="S550" i="12" a="1"/>
  <c r="S550" i="12" s="1"/>
  <c r="S451" i="12" a="1"/>
  <c r="S451" i="12" s="1"/>
  <c r="S468" i="12" a="1"/>
  <c r="S468" i="12" s="1"/>
  <c r="S534" i="12" a="1"/>
  <c r="S534" i="12" s="1"/>
  <c r="S357" i="12" a="1"/>
  <c r="S357" i="12" s="1"/>
  <c r="S427" i="12" a="1"/>
  <c r="S427" i="12" s="1"/>
  <c r="S573" i="12" a="1"/>
  <c r="S573" i="12" s="1"/>
  <c r="S493" i="12" a="1"/>
  <c r="S493" i="12" s="1"/>
  <c r="S562" i="12" a="1"/>
  <c r="S562" i="12" s="1"/>
  <c r="S171" i="12" a="1"/>
  <c r="S171" i="12" s="1"/>
  <c r="S405" i="12" a="1"/>
  <c r="S405" i="12" s="1"/>
  <c r="S499" i="12" a="1"/>
  <c r="S499" i="12" s="1"/>
  <c r="S379" i="12" a="1"/>
  <c r="S379" i="12" s="1"/>
  <c r="S130" i="12" a="1"/>
  <c r="S130" i="12" s="1"/>
  <c r="S208" i="12" a="1"/>
  <c r="S208" i="12" s="1"/>
  <c r="S92" i="12" a="1"/>
  <c r="S92" i="12" s="1"/>
  <c r="S70" i="12" a="1"/>
  <c r="S70" i="12" s="1"/>
  <c r="S521" i="12" a="1"/>
  <c r="S521" i="12" s="1"/>
  <c r="S109" i="12" a="1"/>
  <c r="S109" i="12" s="1"/>
  <c r="S65" i="12" a="1"/>
  <c r="S65" i="12" s="1"/>
  <c r="S187" i="12" a="1"/>
  <c r="S187" i="12" s="1"/>
  <c r="S295" i="12" a="1"/>
  <c r="S295" i="12" s="1"/>
  <c r="S84" i="12" a="1"/>
  <c r="S84" i="12" s="1"/>
  <c r="S221" i="12" a="1"/>
  <c r="S221" i="12" s="1"/>
  <c r="S308" i="12" a="1"/>
  <c r="S308" i="12" s="1"/>
  <c r="S431" i="12" a="1"/>
  <c r="S431" i="12" s="1"/>
  <c r="S539" i="12" a="1"/>
  <c r="S539" i="12" s="1"/>
  <c r="S189" i="12" a="1"/>
  <c r="S189" i="12" s="1"/>
  <c r="S49" i="12" a="1"/>
  <c r="S49" i="12" s="1"/>
  <c r="S157" i="12" a="1"/>
  <c r="S157" i="12" s="1"/>
  <c r="S107" i="12" a="1"/>
  <c r="S107" i="12" s="1"/>
  <c r="S235" i="12" a="1"/>
  <c r="S235" i="12" s="1"/>
  <c r="S343" i="12" a="1"/>
  <c r="S343" i="12" s="1"/>
  <c r="S156" i="12" a="1"/>
  <c r="S156" i="12" s="1"/>
  <c r="S204" i="12" a="1"/>
  <c r="S204" i="12" s="1"/>
  <c r="S371" i="12" a="1"/>
  <c r="S371" i="12" s="1"/>
  <c r="S479" i="12" a="1"/>
  <c r="S479" i="12" s="1"/>
  <c r="S248" i="12" a="1"/>
  <c r="S248" i="12" s="1"/>
  <c r="S97" i="12" a="1"/>
  <c r="S97" i="12" s="1"/>
  <c r="S53" i="12" a="1"/>
  <c r="S53" i="12" s="1"/>
  <c r="S175" i="12" a="1"/>
  <c r="S175" i="12" s="1"/>
  <c r="S283" i="12" a="1"/>
  <c r="S283" i="12" s="1"/>
  <c r="S63" i="12" a="1"/>
  <c r="S63" i="12" s="1"/>
  <c r="S209" i="12" a="1"/>
  <c r="S209" i="12" s="1"/>
  <c r="S290" i="12" a="1"/>
  <c r="S290" i="12" s="1"/>
  <c r="S419" i="12" a="1"/>
  <c r="S419" i="12" s="1"/>
  <c r="S527" i="12" a="1"/>
  <c r="S527" i="12" s="1"/>
  <c r="S144" i="12" a="1"/>
  <c r="S144" i="12" s="1"/>
  <c r="S341" i="12" a="1"/>
  <c r="S341" i="12" s="1"/>
  <c r="S391" i="12" a="1"/>
  <c r="S391" i="12" s="1"/>
  <c r="S561" i="12" a="1"/>
  <c r="S561" i="12" s="1"/>
  <c r="S475" i="12" a="1"/>
  <c r="S475" i="12" s="1"/>
  <c r="S376" i="12" a="1"/>
  <c r="S376" i="12" s="1"/>
  <c r="S559" i="12" a="1"/>
  <c r="S559" i="12" s="1"/>
  <c r="S478" i="12" a="1"/>
  <c r="S478" i="12" s="1"/>
  <c r="S511" i="12" a="1"/>
  <c r="S511" i="12" s="1"/>
  <c r="S556" i="12" a="1"/>
  <c r="S556" i="12" s="1"/>
  <c r="S366" i="12" a="1"/>
  <c r="S366" i="12" s="1"/>
  <c r="S438" i="12" a="1"/>
  <c r="S438" i="12" s="1"/>
  <c r="S582" i="12" a="1"/>
  <c r="S582" i="12" s="1"/>
  <c r="S504" i="12" a="1"/>
  <c r="S504" i="12" s="1"/>
  <c r="S598" i="12" a="1"/>
  <c r="S598" i="12" s="1"/>
  <c r="S249" i="12" a="1"/>
  <c r="S249" i="12" s="1"/>
  <c r="S414" i="12" a="1"/>
  <c r="S414" i="12" s="1"/>
  <c r="S510" i="12" a="1"/>
  <c r="S510" i="12" s="1"/>
  <c r="S406" i="12" a="1"/>
  <c r="S406" i="12" s="1"/>
  <c r="S254" i="12" a="1"/>
  <c r="S254" i="12" s="1"/>
  <c r="S169" i="12" a="1"/>
  <c r="S169" i="12" s="1"/>
  <c r="S412" i="12" a="1"/>
  <c r="S412" i="12" s="1"/>
  <c r="S82" i="12" a="1"/>
  <c r="S82" i="12" s="1"/>
  <c r="S38" i="12" a="1"/>
  <c r="S38" i="12" s="1"/>
  <c r="S159" i="12" a="1"/>
  <c r="S159" i="12" s="1"/>
  <c r="S268" i="12" a="1"/>
  <c r="S268" i="12" s="1"/>
  <c r="S90" i="12" a="1"/>
  <c r="S90" i="12" s="1"/>
  <c r="S194" i="12" a="1"/>
  <c r="S194" i="12" s="1"/>
  <c r="S270" i="12" a="1"/>
  <c r="S270" i="12" s="1"/>
  <c r="S404" i="12" a="1"/>
  <c r="S404" i="12" s="1"/>
  <c r="S512" i="12" a="1"/>
  <c r="S512" i="12" s="1"/>
  <c r="S300" i="12" a="1"/>
  <c r="S300" i="12" s="1"/>
  <c r="S60" i="12" a="1"/>
  <c r="S60" i="12" s="1"/>
  <c r="S113" i="12" a="1"/>
  <c r="S113" i="12" s="1"/>
  <c r="S174" i="12" a="1"/>
  <c r="S174" i="12" s="1"/>
  <c r="S139" i="12" a="1"/>
  <c r="S139" i="12" s="1"/>
  <c r="S118" i="12" a="1"/>
  <c r="S118" i="12" s="1"/>
  <c r="S24" i="12" a="1"/>
  <c r="S24" i="12" s="1"/>
  <c r="S196" i="12" a="1"/>
  <c r="S196" i="12" s="1"/>
  <c r="S304" i="12" a="1"/>
  <c r="S304" i="12" s="1"/>
  <c r="S95" i="12" a="1"/>
  <c r="S95" i="12" s="1"/>
  <c r="S230" i="12" a="1"/>
  <c r="S230" i="12" s="1"/>
  <c r="S324" i="12" a="1"/>
  <c r="S324" i="12" s="1"/>
  <c r="S440" i="12" a="1"/>
  <c r="S440" i="12" s="1"/>
  <c r="S128" i="12" a="1"/>
  <c r="S128" i="12" s="1"/>
  <c r="S216" i="12" a="1"/>
  <c r="S216" i="12" s="1"/>
  <c r="S58" i="12" a="1"/>
  <c r="S58" i="12" s="1"/>
  <c r="S166" i="12" a="1"/>
  <c r="S166" i="12" s="1"/>
  <c r="S123" i="12" a="1"/>
  <c r="S123" i="12" s="1"/>
  <c r="S244" i="12" a="1"/>
  <c r="S244" i="12" s="1"/>
  <c r="S30" i="12" a="1"/>
  <c r="S30" i="12" s="1"/>
  <c r="S167" i="12" a="1"/>
  <c r="S167" i="12" s="1"/>
  <c r="S231" i="12" a="1"/>
  <c r="S231" i="12" s="1"/>
  <c r="S380" i="12" a="1"/>
  <c r="S380" i="12" s="1"/>
  <c r="S488" i="12" a="1"/>
  <c r="S488" i="12" s="1"/>
  <c r="S264" i="12" a="1"/>
  <c r="S264" i="12" s="1"/>
  <c r="S106" i="12" a="1"/>
  <c r="S106" i="12" s="1"/>
  <c r="S62" i="12" a="1"/>
  <c r="S62" i="12" s="1"/>
  <c r="S184" i="12" a="1"/>
  <c r="S184" i="12" s="1"/>
  <c r="S292" i="12" a="1"/>
  <c r="S292" i="12" s="1"/>
  <c r="S77" i="12" a="1"/>
  <c r="S77" i="12" s="1"/>
  <c r="S218" i="12" a="1"/>
  <c r="S218" i="12" s="1"/>
  <c r="S306" i="12" a="1"/>
  <c r="S306" i="12" s="1"/>
  <c r="S428" i="12" a="1"/>
  <c r="S428" i="12" s="1"/>
  <c r="S536" i="12" a="1"/>
  <c r="S536" i="12" s="1"/>
  <c r="S180" i="12" a="1"/>
  <c r="S180" i="12" s="1"/>
  <c r="S354" i="12" a="1"/>
  <c r="S354" i="12" s="1"/>
  <c r="S418" i="12" a="1"/>
  <c r="S418" i="12" s="1"/>
  <c r="S570" i="12" a="1"/>
  <c r="S570" i="12" s="1"/>
  <c r="S486" i="12" a="1"/>
  <c r="S486" i="12" s="1"/>
  <c r="S403" i="12" a="1"/>
  <c r="S403" i="12" s="1"/>
  <c r="S568" i="12" a="1"/>
  <c r="S568" i="12" s="1"/>
  <c r="S489" i="12" a="1"/>
  <c r="S489" i="12" s="1"/>
  <c r="S522" i="12" a="1"/>
  <c r="S522" i="12" s="1"/>
  <c r="S565" i="12" a="1"/>
  <c r="S565" i="12" s="1"/>
  <c r="S375" i="12" a="1"/>
  <c r="S375" i="12" s="1"/>
  <c r="S454" i="12" a="1"/>
  <c r="S454" i="12" s="1"/>
  <c r="S591" i="12" a="1"/>
  <c r="S591" i="12" s="1"/>
  <c r="S520" i="12" a="1"/>
  <c r="S520" i="12" s="1"/>
  <c r="S484" i="12" a="1"/>
  <c r="S484" i="12" s="1"/>
  <c r="S278" i="12" a="1"/>
  <c r="S278" i="12" s="1"/>
  <c r="S423" i="12" a="1"/>
  <c r="S423" i="12" s="1"/>
  <c r="S526" i="12" a="1"/>
  <c r="S526" i="12" s="1"/>
  <c r="S430" i="12" a="1"/>
  <c r="S430" i="12" s="1"/>
  <c r="S134" i="12" a="1"/>
  <c r="S134" i="12" s="1"/>
  <c r="S253" i="12" a="1"/>
  <c r="S253" i="12" s="1"/>
  <c r="S57" i="12" a="1"/>
  <c r="S57" i="12" s="1"/>
  <c r="S179" i="12" a="1"/>
  <c r="S179" i="12" s="1"/>
  <c r="S245" i="12" a="1"/>
  <c r="S245" i="12" s="1"/>
  <c r="S389" i="12" a="1"/>
  <c r="S389" i="12" s="1"/>
  <c r="S497" i="12" a="1"/>
  <c r="S497" i="12" s="1"/>
  <c r="S115" i="12" a="1"/>
  <c r="S115" i="12" s="1"/>
  <c r="S71" i="12" a="1"/>
  <c r="S71" i="12" s="1"/>
  <c r="S193" i="12" a="1"/>
  <c r="S193" i="12" s="1"/>
  <c r="S301" i="12" a="1"/>
  <c r="S301" i="12" s="1"/>
  <c r="S93" i="12" a="1"/>
  <c r="S93" i="12" s="1"/>
  <c r="S227" i="12" a="1"/>
  <c r="S227" i="12" s="1"/>
  <c r="S317" i="12" a="1"/>
  <c r="S317" i="12" s="1"/>
  <c r="S437" i="12" a="1"/>
  <c r="S437" i="12" s="1"/>
  <c r="S108" i="12" a="1"/>
  <c r="S108" i="12" s="1"/>
  <c r="S207" i="12" a="1"/>
  <c r="S207" i="12" s="1"/>
  <c r="S363" i="12" a="1"/>
  <c r="S363" i="12" s="1"/>
  <c r="S436" i="12" a="1"/>
  <c r="S436" i="12" s="1"/>
  <c r="S579" i="12" a="1"/>
  <c r="S579" i="12" s="1"/>
  <c r="S502" i="12" a="1"/>
  <c r="S502" i="12" s="1"/>
  <c r="S433" i="12" a="1"/>
  <c r="S433" i="12" s="1"/>
  <c r="S577" i="12" a="1"/>
  <c r="S577" i="12" s="1"/>
  <c r="S505" i="12" a="1"/>
  <c r="S505" i="12" s="1"/>
  <c r="S538" i="12" a="1"/>
  <c r="S538" i="12" s="1"/>
  <c r="S574" i="12" a="1"/>
  <c r="S574" i="12" s="1"/>
  <c r="S384" i="12" a="1"/>
  <c r="S384" i="12" s="1"/>
  <c r="S465" i="12" a="1"/>
  <c r="S465" i="12" s="1"/>
  <c r="S600" i="12" a="1"/>
  <c r="S600" i="12" s="1"/>
  <c r="S531" i="12" a="1"/>
  <c r="S531" i="12" s="1"/>
  <c r="S554" i="12" a="1"/>
  <c r="S554" i="12" s="1"/>
  <c r="S303" i="12" a="1"/>
  <c r="S303" i="12" s="1"/>
  <c r="S318" i="12" a="1"/>
  <c r="S318" i="12" s="1"/>
  <c r="S537" i="12" a="1"/>
  <c r="S537" i="12" s="1"/>
  <c r="S441" i="12" a="1"/>
  <c r="S441" i="12" s="1"/>
  <c r="S29" i="12" a="1"/>
  <c r="S29" i="12" s="1"/>
  <c r="S284" i="12" a="1"/>
  <c r="S284" i="12" s="1"/>
  <c r="S233" i="12" a="1"/>
  <c r="S233" i="12" s="1"/>
  <c r="S125" i="12" a="1"/>
  <c r="S125" i="12" s="1"/>
  <c r="S491" i="12" a="1"/>
  <c r="S491" i="12" s="1"/>
  <c r="S517" i="12" a="1"/>
  <c r="S517" i="12" s="1"/>
  <c r="S589" i="12" a="1"/>
  <c r="S589" i="12" s="1"/>
  <c r="S456" i="12" a="1"/>
  <c r="S456" i="12" s="1"/>
  <c r="S316" i="12" a="1"/>
  <c r="S316" i="12" s="1"/>
  <c r="S19" i="12" a="1"/>
  <c r="S19" i="12" s="1"/>
  <c r="S127" i="12" a="1"/>
  <c r="S127" i="12" s="1"/>
  <c r="S51" i="12" a="1"/>
  <c r="S51" i="12" s="1"/>
  <c r="S205" i="12" a="1"/>
  <c r="S205" i="12" s="1"/>
  <c r="S313" i="12" a="1"/>
  <c r="S313" i="12" s="1"/>
  <c r="S111" i="12" a="1"/>
  <c r="S111" i="12" s="1"/>
  <c r="S239" i="12" a="1"/>
  <c r="S239" i="12" s="1"/>
  <c r="S335" i="12" a="1"/>
  <c r="S335" i="12" s="1"/>
  <c r="S449" i="12" a="1"/>
  <c r="S449" i="12" s="1"/>
  <c r="S162" i="12" a="1"/>
  <c r="S162" i="12" s="1"/>
  <c r="S242" i="12" a="1"/>
  <c r="S242" i="12" s="1"/>
  <c r="S67" i="12" a="1"/>
  <c r="S67" i="12" s="1"/>
  <c r="S275" i="12" a="1"/>
  <c r="S275" i="12" s="1"/>
  <c r="S28" i="12" a="1"/>
  <c r="S28" i="12" s="1"/>
  <c r="S136" i="12" a="1"/>
  <c r="S136" i="12" s="1"/>
  <c r="S78" i="12" a="1"/>
  <c r="S78" i="12" s="1"/>
  <c r="S214" i="12" a="1"/>
  <c r="S214" i="12" s="1"/>
  <c r="S322" i="12" a="1"/>
  <c r="S322" i="12" s="1"/>
  <c r="S122" i="12" a="1"/>
  <c r="S122" i="12" s="1"/>
  <c r="S119" i="12" a="1"/>
  <c r="S119" i="12" s="1"/>
  <c r="S350" i="12" a="1"/>
  <c r="S350" i="12" s="1"/>
  <c r="S458" i="12" a="1"/>
  <c r="S458" i="12" s="1"/>
  <c r="S192" i="12" a="1"/>
  <c r="S192" i="12" s="1"/>
  <c r="S258" i="12" a="1"/>
  <c r="S258" i="12" s="1"/>
  <c r="S76" i="12" a="1"/>
  <c r="S76" i="12" s="1"/>
  <c r="S32" i="12" a="1"/>
  <c r="S32" i="12" s="1"/>
  <c r="S150" i="12" a="1"/>
  <c r="S150" i="12" s="1"/>
  <c r="S262" i="12" a="1"/>
  <c r="S262" i="12" s="1"/>
  <c r="S81" i="12" a="1"/>
  <c r="S81" i="12" s="1"/>
  <c r="S188" i="12" a="1"/>
  <c r="S188" i="12" s="1"/>
  <c r="S261" i="12" a="1"/>
  <c r="S261" i="12" s="1"/>
  <c r="S398" i="12" a="1"/>
  <c r="S398" i="12" s="1"/>
  <c r="S506" i="12" a="1"/>
  <c r="S506" i="12" s="1"/>
  <c r="S291" i="12" a="1"/>
  <c r="S291" i="12" s="1"/>
  <c r="S124" i="12" a="1"/>
  <c r="S124" i="12" s="1"/>
  <c r="S42" i="12" a="1"/>
  <c r="S42" i="12" s="1"/>
  <c r="S202" i="12" a="1"/>
  <c r="S202" i="12" s="1"/>
  <c r="S310" i="12" a="1"/>
  <c r="S310" i="12" s="1"/>
  <c r="S104" i="12" a="1"/>
  <c r="S104" i="12" s="1"/>
  <c r="S236" i="12" a="1"/>
  <c r="S236" i="12" s="1"/>
  <c r="S333" i="12" a="1"/>
  <c r="S333" i="12" s="1"/>
  <c r="S446" i="12" a="1"/>
  <c r="S446" i="12" s="1"/>
  <c r="S155" i="12" a="1"/>
  <c r="S155" i="12" s="1"/>
  <c r="S234" i="12" a="1"/>
  <c r="S234" i="12" s="1"/>
  <c r="S372" i="12" a="1"/>
  <c r="S372" i="12" s="1"/>
  <c r="S447" i="12" a="1"/>
  <c r="S447" i="12" s="1"/>
  <c r="S588" i="12" a="1"/>
  <c r="S588" i="12" s="1"/>
  <c r="S513" i="12" a="1"/>
  <c r="S513" i="12" s="1"/>
  <c r="S444" i="12" a="1"/>
  <c r="S444" i="12" s="1"/>
  <c r="S586" i="12" a="1"/>
  <c r="S586" i="12" s="1"/>
  <c r="S516" i="12" a="1"/>
  <c r="S516" i="12" s="1"/>
  <c r="S545" i="12" a="1"/>
  <c r="S545" i="12" s="1"/>
  <c r="S587" i="12" a="1"/>
  <c r="S587" i="12" s="1"/>
  <c r="S393" i="12" a="1"/>
  <c r="S393" i="12" s="1"/>
  <c r="S481" i="12" a="1"/>
  <c r="S481" i="12" s="1"/>
  <c r="S347" i="12" a="1"/>
  <c r="S347" i="12" s="1"/>
  <c r="S542" i="12" a="1"/>
  <c r="S542" i="12" s="1"/>
  <c r="S336" i="12" a="1"/>
  <c r="S336" i="12" s="1"/>
  <c r="S321" i="12" a="1"/>
  <c r="S321" i="12" s="1"/>
  <c r="S355" i="12" a="1"/>
  <c r="S355" i="12" s="1"/>
  <c r="S549" i="12" a="1"/>
  <c r="S549" i="12" s="1"/>
  <c r="S457" i="12" a="1"/>
  <c r="S457" i="12" s="1"/>
  <c r="S133" i="12" a="1"/>
  <c r="S133" i="12" s="1"/>
  <c r="S69" i="12" a="1"/>
  <c r="S69" i="12" s="1"/>
  <c r="S211" i="12" a="1"/>
  <c r="S211" i="12" s="1"/>
  <c r="S319" i="12" a="1"/>
  <c r="S319" i="12" s="1"/>
  <c r="S120" i="12" a="1"/>
  <c r="S120" i="12" s="1"/>
  <c r="S99" i="12" a="1"/>
  <c r="S99" i="12" s="1"/>
  <c r="S344" i="12" a="1"/>
  <c r="S344" i="12" s="1"/>
  <c r="S455" i="12" a="1"/>
  <c r="S455" i="12" s="1"/>
  <c r="S183" i="12" a="1"/>
  <c r="S183" i="12" s="1"/>
  <c r="S251" i="12" a="1"/>
  <c r="S251" i="12" s="1"/>
  <c r="S381" i="12" a="1"/>
  <c r="S381" i="12" s="1"/>
  <c r="S463" i="12" a="1"/>
  <c r="S463" i="12" s="1"/>
  <c r="S597" i="12" a="1"/>
  <c r="S597" i="12" s="1"/>
  <c r="S529" i="12" a="1"/>
  <c r="S529" i="12" s="1"/>
  <c r="S460" i="12" a="1"/>
  <c r="S460" i="12" s="1"/>
  <c r="S595" i="12" a="1"/>
  <c r="S595" i="12" s="1"/>
  <c r="S544" i="12" a="1"/>
  <c r="S544" i="12" s="1"/>
  <c r="S563" i="12" a="1"/>
  <c r="S563" i="12" s="1"/>
  <c r="S137" i="12" a="1"/>
  <c r="S137" i="12" s="1"/>
  <c r="S402" i="12" a="1"/>
  <c r="S402" i="12" s="1"/>
  <c r="S492" i="12" a="1"/>
  <c r="S492" i="12" s="1"/>
  <c r="S370" i="12" a="1"/>
  <c r="S370" i="12" s="1"/>
  <c r="S551" i="12" a="1"/>
  <c r="S551" i="12" s="1"/>
  <c r="S394" i="12" a="1"/>
  <c r="S394" i="12" s="1"/>
  <c r="S339" i="12" a="1"/>
  <c r="S339" i="12" s="1"/>
  <c r="S382" i="12" a="1"/>
  <c r="S382" i="12" s="1"/>
  <c r="S558" i="12" a="1"/>
  <c r="S558" i="12" s="1"/>
  <c r="S495" i="12" a="1"/>
  <c r="S495" i="12" s="1"/>
  <c r="S64" i="12" a="1"/>
  <c r="S64" i="12" s="1"/>
  <c r="S143" i="12" a="1"/>
  <c r="S143" i="12" s="1"/>
  <c r="S74" i="12" a="1"/>
  <c r="S74" i="12" s="1"/>
  <c r="S395" i="12" a="1"/>
  <c r="S395" i="12" s="1"/>
  <c r="S323" i="12" a="1"/>
  <c r="S323" i="12" s="1"/>
  <c r="S199" i="12" a="1"/>
  <c r="S199" i="12" s="1"/>
  <c r="S102" i="12" a="1"/>
  <c r="S102" i="12" s="1"/>
  <c r="S443" i="12" a="1"/>
  <c r="S443" i="12" s="1"/>
  <c r="S61" i="12" a="1"/>
  <c r="S61" i="12" s="1"/>
  <c r="S39" i="12" a="1"/>
  <c r="S39" i="12" s="1"/>
  <c r="S383" i="12" a="1"/>
  <c r="S383" i="12" s="1"/>
  <c r="S260" i="12" a="1"/>
  <c r="S260" i="12" s="1"/>
  <c r="S566" i="12" a="1"/>
  <c r="S566" i="12" s="1"/>
  <c r="S314" i="12" a="1"/>
  <c r="S314" i="12" s="1"/>
  <c r="S594" i="12" a="1"/>
  <c r="S594" i="12" s="1"/>
  <c r="S407" i="12" a="1"/>
  <c r="S407" i="12" s="1"/>
  <c r="S46" i="12" a="1"/>
  <c r="S46" i="12" s="1"/>
  <c r="S154" i="12" a="1"/>
  <c r="S154" i="12" s="1"/>
  <c r="S105" i="12" a="1"/>
  <c r="S105" i="12" s="1"/>
  <c r="S232" i="12" a="1"/>
  <c r="S232" i="12" s="1"/>
  <c r="S340" i="12" a="1"/>
  <c r="S340" i="12" s="1"/>
  <c r="S149" i="12" a="1"/>
  <c r="S149" i="12" s="1"/>
  <c r="S195" i="12" a="1"/>
  <c r="S195" i="12" s="1"/>
  <c r="S368" i="12" a="1"/>
  <c r="S368" i="12" s="1"/>
  <c r="S476" i="12" a="1"/>
  <c r="S476" i="12" s="1"/>
  <c r="S285" i="12" a="1"/>
  <c r="S285" i="12" s="1"/>
  <c r="S94" i="12" a="1"/>
  <c r="S94" i="12" s="1"/>
  <c r="S50" i="12" a="1"/>
  <c r="S50" i="12" s="1"/>
  <c r="S172" i="12" a="1"/>
  <c r="S172" i="12" s="1"/>
  <c r="S280" i="12" a="1"/>
  <c r="S280" i="12" s="1"/>
  <c r="S54" i="12" a="1"/>
  <c r="S54" i="12" s="1"/>
  <c r="S206" i="12" a="1"/>
  <c r="S206" i="12" s="1"/>
  <c r="S288" i="12" a="1"/>
  <c r="S288" i="12" s="1"/>
  <c r="S416" i="12" a="1"/>
  <c r="S416" i="12" s="1"/>
  <c r="S524" i="12" a="1"/>
  <c r="S524" i="12" s="1"/>
  <c r="S34" i="12" a="1"/>
  <c r="S34" i="12" s="1"/>
  <c r="S142" i="12" a="1"/>
  <c r="S142" i="12" s="1"/>
  <c r="S87" i="12" a="1"/>
  <c r="S87" i="12" s="1"/>
  <c r="S220" i="12" a="1"/>
  <c r="S220" i="12" s="1"/>
  <c r="S328" i="12" a="1"/>
  <c r="S328" i="12" s="1"/>
  <c r="S131" i="12" a="1"/>
  <c r="S131" i="12" s="1"/>
  <c r="S146" i="12" a="1"/>
  <c r="S146" i="12" s="1"/>
  <c r="S356" i="12" a="1"/>
  <c r="S356" i="12" s="1"/>
  <c r="S464" i="12" a="1"/>
  <c r="S464" i="12" s="1"/>
  <c r="S210" i="12" a="1"/>
  <c r="S210" i="12" s="1"/>
  <c r="S267" i="12" a="1"/>
  <c r="S267" i="12" s="1"/>
  <c r="S390" i="12" a="1"/>
  <c r="S390" i="12" s="1"/>
  <c r="S474" i="12" a="1"/>
  <c r="S474" i="12" s="1"/>
  <c r="S327" i="12" a="1"/>
  <c r="S327" i="12" s="1"/>
  <c r="S540" i="12" a="1"/>
  <c r="S540" i="12" s="1"/>
  <c r="S471" i="12" a="1"/>
  <c r="S471" i="12" s="1"/>
  <c r="S596" i="12" a="1"/>
  <c r="S596" i="12" s="1"/>
  <c r="S553" i="12" a="1"/>
  <c r="S553" i="12" s="1"/>
  <c r="S581" i="12" a="1"/>
  <c r="S581" i="12" s="1"/>
  <c r="S225" i="12" a="1"/>
  <c r="S225" i="12" s="1"/>
  <c r="S411" i="12" a="1"/>
  <c r="S411" i="12" s="1"/>
  <c r="S508" i="12" a="1"/>
  <c r="S508" i="12" s="1"/>
  <c r="S397" i="12" a="1"/>
  <c r="S397" i="12" s="1"/>
  <c r="S560" i="12" a="1"/>
  <c r="S560" i="12" s="1"/>
  <c r="S442" i="12" a="1"/>
  <c r="S442" i="12" s="1"/>
  <c r="S351" i="12" a="1"/>
  <c r="S351" i="12" s="1"/>
  <c r="S409" i="12" a="1"/>
  <c r="S409" i="12" s="1"/>
  <c r="S567" i="12" a="1"/>
  <c r="S567" i="12" s="1"/>
  <c r="S572" i="12" a="1"/>
  <c r="S572" i="12" s="1"/>
  <c r="S121" i="12" a="1"/>
  <c r="S121" i="12" s="1"/>
  <c r="S173" i="12" a="1"/>
  <c r="S173" i="12" s="1"/>
  <c r="S547" i="12" a="1"/>
  <c r="S547" i="12" s="1"/>
  <c r="S37" i="12" a="1"/>
  <c r="S37" i="12" s="1"/>
  <c r="S145" i="12" a="1"/>
  <c r="S145" i="12" s="1"/>
  <c r="S89" i="12" a="1"/>
  <c r="S89" i="12" s="1"/>
  <c r="S223" i="12" a="1"/>
  <c r="S223" i="12" s="1"/>
  <c r="S331" i="12" a="1"/>
  <c r="S331" i="12" s="1"/>
  <c r="S138" i="12" a="1"/>
  <c r="S138" i="12" s="1"/>
  <c r="S153" i="12" a="1"/>
  <c r="S153" i="12" s="1"/>
  <c r="S359" i="12" a="1"/>
  <c r="S359" i="12" s="1"/>
  <c r="S467" i="12" a="1"/>
  <c r="S467" i="12" s="1"/>
  <c r="S219" i="12" a="1"/>
  <c r="S219" i="12" s="1"/>
  <c r="S269" i="12" a="1"/>
  <c r="S269" i="12" s="1"/>
  <c r="S85" i="12" a="1"/>
  <c r="S85" i="12" s="1"/>
  <c r="S41" i="12" a="1"/>
  <c r="S41" i="12" s="1"/>
  <c r="S161" i="12" a="1"/>
  <c r="S161" i="12" s="1"/>
  <c r="S271" i="12" a="1"/>
  <c r="S271" i="12" s="1"/>
  <c r="S197" i="12" a="1"/>
  <c r="S197" i="12" s="1"/>
  <c r="S272" i="12" a="1"/>
  <c r="S272" i="12" s="1"/>
  <c r="S515" i="12" a="1"/>
  <c r="S515" i="12" s="1"/>
  <c r="S246" i="12" a="1"/>
  <c r="S246" i="12" s="1"/>
  <c r="S55" i="12" a="1"/>
  <c r="S55" i="12" s="1"/>
  <c r="S163" i="12" a="1"/>
  <c r="S163" i="12" s="1"/>
  <c r="S116" i="12" a="1"/>
  <c r="S116" i="12" s="1"/>
  <c r="S241" i="12" a="1"/>
  <c r="S241" i="12" s="1"/>
  <c r="S21" i="12" a="1"/>
  <c r="S21" i="12" s="1"/>
  <c r="S165" i="12" a="1"/>
  <c r="S165" i="12" s="1"/>
  <c r="S222" i="12" a="1"/>
  <c r="S222" i="12" s="1"/>
  <c r="S377" i="12" a="1"/>
  <c r="S377" i="12" s="1"/>
  <c r="S485" i="12" a="1"/>
  <c r="S485" i="12" s="1"/>
  <c r="S257" i="12" a="1"/>
  <c r="S257" i="12" s="1"/>
  <c r="S296" i="12" a="1"/>
  <c r="S296" i="12" s="1"/>
  <c r="S103" i="12" a="1"/>
  <c r="S103" i="12" s="1"/>
  <c r="S59" i="12" a="1"/>
  <c r="S59" i="12" s="1"/>
  <c r="S181" i="12" a="1"/>
  <c r="S181" i="12" s="1"/>
  <c r="S289" i="12" a="1"/>
  <c r="S289" i="12" s="1"/>
  <c r="S75" i="12" a="1"/>
  <c r="S75" i="12" s="1"/>
  <c r="S215" i="12" a="1"/>
  <c r="S215" i="12" s="1"/>
  <c r="S299" i="12" a="1"/>
  <c r="S299" i="12" s="1"/>
  <c r="S425" i="12" a="1"/>
  <c r="S425" i="12" s="1"/>
  <c r="S533" i="12" a="1"/>
  <c r="S533" i="12" s="1"/>
  <c r="S43" i="12" a="1"/>
  <c r="S43" i="12" s="1"/>
  <c r="S151" i="12" a="1"/>
  <c r="S151" i="12" s="1"/>
  <c r="S98" i="12" a="1"/>
  <c r="S98" i="12" s="1"/>
  <c r="S229" i="12" a="1"/>
  <c r="S229" i="12" s="1"/>
  <c r="S337" i="12" a="1"/>
  <c r="S337" i="12" s="1"/>
  <c r="S147" i="12" a="1"/>
  <c r="S147" i="12" s="1"/>
  <c r="S186" i="12" a="1"/>
  <c r="S186" i="12" s="1"/>
  <c r="S365" i="12" a="1"/>
  <c r="S365" i="12" s="1"/>
  <c r="S473" i="12" a="1"/>
  <c r="S473" i="12" s="1"/>
  <c r="S237" i="12" a="1"/>
  <c r="S237" i="12" s="1"/>
  <c r="S302" i="12" a="1"/>
  <c r="S302" i="12" s="1"/>
  <c r="S399" i="12" a="1"/>
  <c r="S399" i="12" s="1"/>
  <c r="S490" i="12" a="1"/>
  <c r="S490" i="12" s="1"/>
  <c r="S361" i="12" a="1"/>
  <c r="S361" i="12" s="1"/>
  <c r="S548" i="12" a="1"/>
  <c r="S548" i="12" s="1"/>
  <c r="S487" i="12" a="1"/>
  <c r="S487" i="12" s="1"/>
  <c r="S590" i="12" a="1"/>
  <c r="S590" i="12" s="1"/>
  <c r="S571" i="12" a="1"/>
  <c r="S571" i="12" s="1"/>
  <c r="S367" i="12" a="1"/>
  <c r="S367" i="12" s="1"/>
  <c r="S276" i="12" a="1"/>
  <c r="S276" i="12" s="1"/>
  <c r="S420" i="12" a="1"/>
  <c r="S420" i="12" s="1"/>
  <c r="S519" i="12" a="1"/>
  <c r="S519" i="12" s="1"/>
  <c r="S424" i="12" a="1"/>
  <c r="S424" i="12" s="1"/>
  <c r="S578" i="12" a="1"/>
  <c r="S578" i="12" s="1"/>
  <c r="S496" i="12" a="1"/>
  <c r="S496" i="12" s="1"/>
  <c r="S360" i="12" a="1"/>
  <c r="S360" i="12" s="1"/>
  <c r="S429" i="12" a="1"/>
  <c r="S429" i="12" s="1"/>
  <c r="S576" i="12" a="1"/>
  <c r="S576" i="12" s="1"/>
  <c r="S453" i="12" a="1"/>
  <c r="S453" i="12" s="1"/>
  <c r="S132" i="12" a="1"/>
  <c r="S132" i="12" s="1"/>
  <c r="S250" i="12" a="1"/>
  <c r="S250" i="12" s="1"/>
  <c r="S48" i="12" a="1"/>
  <c r="S48" i="12" s="1"/>
  <c r="S176" i="12" a="1"/>
  <c r="S176" i="12" s="1"/>
  <c r="S243" i="12" a="1"/>
  <c r="S243" i="12" s="1"/>
  <c r="S386" i="12" a="1"/>
  <c r="S386" i="12" s="1"/>
  <c r="S494" i="12" a="1"/>
  <c r="S494" i="12" s="1"/>
  <c r="S273" i="12" a="1"/>
  <c r="S273" i="12" s="1"/>
  <c r="S312" i="12" a="1"/>
  <c r="S312" i="12" s="1"/>
  <c r="S112" i="12" a="1"/>
  <c r="S112" i="12" s="1"/>
  <c r="S68" i="12" a="1"/>
  <c r="S68" i="12" s="1"/>
  <c r="S190" i="12" a="1"/>
  <c r="S190" i="12" s="1"/>
  <c r="S298" i="12" a="1"/>
  <c r="S298" i="12" s="1"/>
  <c r="S86" i="12" a="1"/>
  <c r="S86" i="12" s="1"/>
  <c r="S224" i="12" a="1"/>
  <c r="S224" i="12" s="1"/>
  <c r="S315" i="12" a="1"/>
  <c r="S315" i="12" s="1"/>
  <c r="S434" i="12" a="1"/>
  <c r="S434" i="12" s="1"/>
  <c r="S101" i="12" a="1"/>
  <c r="S101" i="12" s="1"/>
  <c r="S52" i="12" a="1"/>
  <c r="S52" i="12" s="1"/>
  <c r="S160" i="12" a="1"/>
  <c r="S160" i="12" s="1"/>
  <c r="S114" i="12" a="1"/>
  <c r="S114" i="12" s="1"/>
  <c r="S238" i="12" a="1"/>
  <c r="S238" i="12" s="1"/>
  <c r="S346" i="12" a="1"/>
  <c r="S346" i="12" s="1"/>
  <c r="S158" i="12" a="1"/>
  <c r="S158" i="12" s="1"/>
  <c r="S213" i="12" a="1"/>
  <c r="S213" i="12" s="1"/>
  <c r="S374" i="12" a="1"/>
  <c r="S374" i="12" s="1"/>
  <c r="S482" i="12" a="1"/>
  <c r="S482" i="12" s="1"/>
  <c r="S255" i="12" a="1"/>
  <c r="S255" i="12" s="1"/>
  <c r="S198" i="12" a="1"/>
  <c r="S198" i="12" s="1"/>
  <c r="S408" i="12" a="1"/>
  <c r="S408" i="12" s="1"/>
  <c r="S501" i="12" a="1"/>
  <c r="S501" i="12" s="1"/>
  <c r="S388" i="12" a="1"/>
  <c r="S388" i="12" s="1"/>
  <c r="S557" i="12" a="1"/>
  <c r="S557" i="12" s="1"/>
  <c r="S498" i="12" a="1"/>
  <c r="S498" i="12" s="1"/>
  <c r="S569" i="12" a="1"/>
  <c r="S569" i="12" s="1"/>
  <c r="S580" i="12" a="1"/>
  <c r="S580" i="12" s="1"/>
  <c r="S421" i="12" a="1"/>
  <c r="S421" i="12" s="1"/>
  <c r="S294" i="12" a="1"/>
  <c r="S294" i="12" s="1"/>
  <c r="S311" i="12" a="1"/>
  <c r="S311" i="12" s="1"/>
  <c r="S535" i="12" a="1"/>
  <c r="S535" i="12" s="1"/>
  <c r="S439" i="12" a="1"/>
  <c r="S439" i="12" s="1"/>
  <c r="S329" i="12" a="1"/>
  <c r="S329" i="12" s="1"/>
  <c r="S523" i="12" a="1"/>
  <c r="S523" i="12" s="1"/>
  <c r="S369" i="12" a="1"/>
  <c r="S369" i="12" s="1"/>
  <c r="S445" i="12" a="1"/>
  <c r="S445" i="12" s="1"/>
  <c r="S585" i="12" a="1"/>
  <c r="S585" i="12" s="1"/>
  <c r="S592" i="12" a="1"/>
  <c r="S592" i="12" s="1"/>
  <c r="S22" i="12" a="1"/>
  <c r="S22" i="12" s="1"/>
  <c r="S26" i="12" a="1"/>
  <c r="S26" i="12" s="1"/>
  <c r="S23" i="12" a="1"/>
  <c r="S23" i="12" s="1"/>
  <c r="S25" i="12" a="1"/>
  <c r="S25" i="12" s="1"/>
  <c r="S20" i="12" a="1"/>
  <c r="S20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BDFA67-D7B5-4A71-BB03-98F4B35DEFD6}" keepAlive="1" name="Query - DET_ASIG" description="Conexión a la consulta 'DET_ASIG' en el libro." type="5" refreshedVersion="8" background="1" saveData="1">
    <dbPr connection="Provider=Microsoft.Mashup.OleDb.1;Data Source=$Workbook$;Location=DET_ASIG;Extended Properties=&quot;&quot;" command="SELECT * FROM [DET_ASIG]"/>
  </connection>
  <connection id="2" xr16:uid="{0E7D963E-A0FB-4D8F-8902-CFB3E918E853}" keepAlive="1" name="Query - EDU_DOCENTE" description="Conexión a la consulta 'EDU_DOCENTE' en el libro." type="5" refreshedVersion="8" background="1" saveData="1">
    <dbPr connection="Provider=Microsoft.Mashup.OleDb.1;Data Source=$Workbook$;Location=EDU_DOCENTE;Extended Properties=&quot;&quot;" command="SELECT * FROM [EDU_DOCENTE]"/>
  </connection>
  <connection id="3" xr16:uid="{FE138382-DFBC-4E91-9E93-A2947274D406}" keepAlive="1" name="Query - MAE_ASIGNATURA" description="Conexión a la consulta 'MAE_ASIGNATURA' en el libro." type="5" refreshedVersion="8" background="1" saveData="1">
    <dbPr connection="Provider=Microsoft.Mashup.OleDb.1;Data Source=$Workbook$;Location=MAE_ASIGNATURA;Extended Properties=&quot;&quot;" command="SELECT * FROM [MAE_ASIGNATURA]"/>
  </connection>
  <connection id="4" xr16:uid="{21C34919-F958-47EE-B04C-EB5B71F58C00}" keepAlive="1" name="Query - MAE_CARRERA" description="Conexión a la consulta 'MAE_CARRERA' en el libro." type="5" refreshedVersion="8" background="1" saveData="1">
    <dbPr connection="Provider=Microsoft.Mashup.OleDb.1;Data Source=$Workbook$;Location=MAE_CARRERA;Extended Properties=&quot;&quot;" command="SELECT * FROM [MAE_CARRERA]"/>
  </connection>
  <connection id="5" xr16:uid="{D06EE4C1-F016-4AA8-AF40-A477ED65F6AC}" keepAlive="1" name="Query - MAE_CONOCIMIENTO" description="Conexión a la consulta 'MAE_CONOCIMIENTO' en el libro." type="5" refreshedVersion="8" background="1" saveData="1">
    <dbPr connection="Provider=Microsoft.Mashup.OleDb.1;Data Source=$Workbook$;Location=MAE_CONOCIMIENTO;Extended Properties=&quot;&quot;" command="SELECT * FROM [MAE_CONOCIMIENTO]"/>
  </connection>
  <connection id="6" xr16:uid="{341785AB-DF0E-42F8-8B8D-679E67682ED7}" keepAlive="1" name="Query - MAESTRIA_DETALLADO" description="Conexión a la consulta 'MAESTRIA_DETALLADO' en el libro." type="5" refreshedVersion="8" background="1" saveData="1">
    <dbPr connection="Provider=Microsoft.Mashup.OleDb.1;Data Source=$Workbook$;Location=MAESTRIA_DETALLADO;Extended Properties=&quot;&quot;" command="SELECT * FROM [MAESTRIA_DETALLADO]"/>
  </connection>
  <connection id="7" xr16:uid="{3D594BA2-B73C-4EEC-90EB-62E9ACDF365F}" keepAlive="1" name="Query - MDOCENTES" description="Conexión a la consulta 'MDOCENTES' en el libro." type="5" refreshedVersion="8" background="1" saveData="1">
    <dbPr connection="Provider=Microsoft.Mashup.OleDb.1;Data Source=$Workbook$;Location=MDOCENTES;Extended Properties=&quot;&quot;" command="SELECT * FROM [MDOCENTES]"/>
  </connection>
  <connection id="8" xr16:uid="{3D47EAA9-BE3B-49FA-A0C1-8FAB260EE6F5}" keepAlive="1" name="Query - T_ASIGNATURA1" description="Conexión a la consulta 'T_ASIGNATURA1' en el libro." type="5" refreshedVersion="8" background="1" saveData="1">
    <dbPr connection="Provider=Microsoft.Mashup.OleDb.1;Data Source=$Workbook$;Location=T_ASIGNATURA1;Extended Properties=&quot;&quot;" command="SELECT * FROM [T_ASIGNATURA1]"/>
  </connection>
  <connection id="9" xr16:uid="{EEEB31E3-1F6F-493F-AE6C-3F376E044900}" keepAlive="1" name="Query - T_CARREAS1" description="Conexión a la consulta 'T_CARREAS1' en el libro." type="5" refreshedVersion="8" background="1" saveData="1">
    <dbPr connection="Provider=Microsoft.Mashup.OleDb.1;Data Source=$Workbook$;Location=T_CARREAS1;Extended Properties=&quot;&quot;" command="SELECT * FROM [T_CARREAS1]"/>
  </connection>
  <connection id="10" xr16:uid="{DA3B9D92-58D4-4E43-96E5-B89C3BF8EE17}" name="WorksheetConnection_PLAN_ASIG.xlsx!Tabla1" type="102" refreshedVersion="8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PLAN_ASIG.xlsxTabla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<sst xmlns="http://schemas.openxmlformats.org/spreadsheetml/2006/main" count="8281" uniqueCount="2200">
  <si>
    <t>N°</t>
  </si>
  <si>
    <t>CARRERA</t>
  </si>
  <si>
    <t>ID_CARRERA</t>
  </si>
  <si>
    <t>NIVEL</t>
  </si>
  <si>
    <t>PARALELO</t>
  </si>
  <si>
    <t>ASIGNATURA</t>
  </si>
  <si>
    <t>ID_ASIG_CAM_DET</t>
  </si>
  <si>
    <t>CAMPO</t>
  </si>
  <si>
    <t>AFINIDAD/DOCENCIA</t>
  </si>
  <si>
    <t>HORAS</t>
  </si>
  <si>
    <t>CALCULAR HORA</t>
  </si>
  <si>
    <t>TOTAL</t>
  </si>
  <si>
    <t>NOMBRE_DOCENT</t>
  </si>
  <si>
    <t>TIPO DOCENTE</t>
  </si>
  <si>
    <t>ESTUDIO DOCENTE</t>
  </si>
  <si>
    <t>TOTAL ASIGNATURA</t>
  </si>
  <si>
    <t>HORAS NO AFINIDAD</t>
  </si>
  <si>
    <t>HORAS UNIDAD BASICA</t>
  </si>
  <si>
    <t>HORAS ACTIVIDAD</t>
  </si>
  <si>
    <t>HORAS AFINIDAD</t>
  </si>
  <si>
    <t>TOTAL HORAS CLASES</t>
  </si>
  <si>
    <t>TOTAL HORAS</t>
  </si>
  <si>
    <t>CEDULA_DOCENTE</t>
  </si>
  <si>
    <t>CONTABILIDAD Y AUDITORÍA 2024 NS</t>
  </si>
  <si>
    <t>A</t>
  </si>
  <si>
    <t>CONTABILIDAD BÁSICA</t>
  </si>
  <si>
    <t>NO</t>
  </si>
  <si>
    <t>CACERES LARREATEGUI ALBA LUCIA</t>
  </si>
  <si>
    <t>METODOLOGÍA DE LA INVESTIGACIÓN</t>
  </si>
  <si>
    <t>CARRILLO PICO FEDERICO AVELINO</t>
  </si>
  <si>
    <t>ADMINISTRACIÓN</t>
  </si>
  <si>
    <t>B</t>
  </si>
  <si>
    <t>MATEMÁTICA</t>
  </si>
  <si>
    <t xml:space="preserve">1. Docencia - Clases </t>
  </si>
  <si>
    <t>AD4 Preparación de Clases</t>
  </si>
  <si>
    <t>ACTIVIDAD</t>
  </si>
  <si>
    <t>AD5 Elaboración y calificación de evaluaciones</t>
  </si>
  <si>
    <t>AD6 Orientación a través de Tutorías</t>
  </si>
  <si>
    <t>ESTADÍSTICA DESCRIPTIVA</t>
  </si>
  <si>
    <t>ARAUZ CHAVEZ MARIO ROBERTO</t>
  </si>
  <si>
    <t>maestria</t>
  </si>
  <si>
    <t>lista docente</t>
  </si>
  <si>
    <t>ID_DDETALLADO</t>
  </si>
  <si>
    <t>CAMPO_DETALLADO</t>
  </si>
  <si>
    <t>F-C-D-ADM</t>
  </si>
  <si>
    <t>F-C-D-ADM-EN -E-C</t>
  </si>
  <si>
    <t>ADMINISTRACIÓN EN E-COMMERCE</t>
  </si>
  <si>
    <t>F-C-D-AUD-DE -TEC</t>
  </si>
  <si>
    <t>AUDITORÍA DE TECNOLOGÍAS</t>
  </si>
  <si>
    <t>F-C-D-BIB-DOC</t>
  </si>
  <si>
    <t>BIBLIOTECOLOGÍA, DOCUMENTACIÓN Y ARCHIVOLOGÍA</t>
  </si>
  <si>
    <t>F-C-D-CIE-COM</t>
  </si>
  <si>
    <t>CIENCIAS COMPUTACIONALES</t>
  </si>
  <si>
    <t>F-C-D-CIE-DEL-MED</t>
  </si>
  <si>
    <t>CIENCIAS DEL MEDIO AMBIENTE</t>
  </si>
  <si>
    <t>F-C-D-CIE-POL</t>
  </si>
  <si>
    <t>CIENCIAS POLÍTICAS</t>
  </si>
  <si>
    <t>F-C-D-COM</t>
  </si>
  <si>
    <t>COMERCIO</t>
  </si>
  <si>
    <t>F-C-D-COM-Y N-NEG</t>
  </si>
  <si>
    <t>COMERCIO Y NEGOCIOS INTERNACIONAL</t>
  </si>
  <si>
    <t>F-C-D-COM-LAB</t>
  </si>
  <si>
    <t>COMPETENCIAS LABORALES</t>
  </si>
  <si>
    <t>F-C-D-CON-Y A-AUD</t>
  </si>
  <si>
    <t>CONTABILIDAD Y AUDITORÍA</t>
  </si>
  <si>
    <t>F-C-D-DER</t>
  </si>
  <si>
    <t>DERECHO</t>
  </si>
  <si>
    <t>F-C-D-DER-HUM</t>
  </si>
  <si>
    <t>DERECHOS HUMANOS</t>
  </si>
  <si>
    <t>F-C-D-DIS-Y A-ADM</t>
  </si>
  <si>
    <t>DISEÑO Y ADMINISTRACIÓN DE REDES Y BASES DE DATOS</t>
  </si>
  <si>
    <t>F-C-D-ECO</t>
  </si>
  <si>
    <t>ECONOMÍA</t>
  </si>
  <si>
    <t>F-C-D-ECO-MAT</t>
  </si>
  <si>
    <t>ECONOMÍA MATEMÁTICA</t>
  </si>
  <si>
    <t>F-C-D-GES-DE -INF</t>
  </si>
  <si>
    <t>GESTIÓN DE INFORMACIÓN</t>
  </si>
  <si>
    <t>F-C-D-GES-FIN</t>
  </si>
  <si>
    <t>GESTIÓN FINANCIERA</t>
  </si>
  <si>
    <t>F-C-D-IDI</t>
  </si>
  <si>
    <t>IDIOMAS</t>
  </si>
  <si>
    <t>F-C-D-INF-GER</t>
  </si>
  <si>
    <t>INFORMACIÓN GERENCIAL</t>
  </si>
  <si>
    <t>F-C-D-INN-TEC-</t>
  </si>
  <si>
    <t>INNOVACIÓN TECNOLÓGICA EN LOS NEGOCIOS</t>
  </si>
  <si>
    <t>F-C-D-MAR-Y P-PUB</t>
  </si>
  <si>
    <t>MARKETING Y PUBLICIDAD</t>
  </si>
  <si>
    <t>F-C-D-MED-AMB</t>
  </si>
  <si>
    <t>MEDIO AMBIENTE</t>
  </si>
  <si>
    <t>F-C-D-NEG-INT</t>
  </si>
  <si>
    <t>NEGOCIOS INTERNACIONALES</t>
  </si>
  <si>
    <t>F-C-D-SEG-Y S-SAL</t>
  </si>
  <si>
    <t>SEGURIDAD Y SALUD OCUPACIONAL</t>
  </si>
  <si>
    <t>F-C-D-SIS-DE -INF</t>
  </si>
  <si>
    <t>SISTEMAS DE INFORMACIÓN</t>
  </si>
  <si>
    <t>F-C-D-UNI-BAS</t>
  </si>
  <si>
    <t>UNIDAD BASICA</t>
  </si>
  <si>
    <t>F-C-D-ACT</t>
  </si>
  <si>
    <t>F-C-D-DES-Y A-ANÁ</t>
  </si>
  <si>
    <t>DESARROLLO Y ANÁLISIS DE SOFTWARE Y APLICACIONES</t>
  </si>
  <si>
    <t xml:space="preserve">F-C-D-CIE-DE -LA </t>
  </si>
  <si>
    <t>CIENCIAS DE LA EDUCACIÓN</t>
  </si>
  <si>
    <t>F-C-D-FOR-PAR-DOC</t>
  </si>
  <si>
    <t>FORMACIÓN PARA DOCENTES CON ASIGNATURAS DE ESPECIALIZACIÓN</t>
  </si>
  <si>
    <t>F-C-D-GES-AMB</t>
  </si>
  <si>
    <t>GESTIÓN AMBIENTAL</t>
  </si>
  <si>
    <t>F-C-D-</t>
  </si>
  <si>
    <t>NOMBRE_CARRERA</t>
  </si>
  <si>
    <t>SEMANAS</t>
  </si>
  <si>
    <t>FECHA_INICIO</t>
  </si>
  <si>
    <t>FECHA_FIN</t>
  </si>
  <si>
    <t>ESTADO</t>
  </si>
  <si>
    <t>FCACC-AD-EM</t>
  </si>
  <si>
    <t>ADMINISTRACIÓN DE EMPRESAS</t>
  </si>
  <si>
    <t>Vigente</t>
  </si>
  <si>
    <t>FCACC-AU-CO-GE</t>
  </si>
  <si>
    <t>AUDITORÍA Y CONTROL DE GESTIÓN 2024 NS</t>
  </si>
  <si>
    <t>FCACC-BI-RA</t>
  </si>
  <si>
    <t>BIENES RAICES</t>
  </si>
  <si>
    <t>FCACC-CO-EX</t>
  </si>
  <si>
    <t>COMERCIO EXTERIOR</t>
  </si>
  <si>
    <t>FCACC-CO-AD</t>
  </si>
  <si>
    <t>FCACC-FINA</t>
  </si>
  <si>
    <t>FINANZAS 2024 NS</t>
  </si>
  <si>
    <t>FCACC-GE-IN-GE</t>
  </si>
  <si>
    <t>GESTION DE LA INFORMACIÓN GERENCIA - 2024</t>
  </si>
  <si>
    <t>FCACC-GE-TA-HU</t>
  </si>
  <si>
    <t>GESTIÓN DEL TALENTO HUMANO</t>
  </si>
  <si>
    <t>FCACC-MA</t>
  </si>
  <si>
    <t>MARKETING</t>
  </si>
  <si>
    <t>FCACC-1-DO-CL</t>
  </si>
  <si>
    <t>FCACC-5-DO-PE-IN</t>
  </si>
  <si>
    <t>5. Docencia - Uso pedagógico de la investigación</t>
  </si>
  <si>
    <t>FCACC-4-DO-TU-TI</t>
  </si>
  <si>
    <t>4. Docencia - Tutoría de titulación</t>
  </si>
  <si>
    <t>FCACC-6-IVN</t>
  </si>
  <si>
    <t xml:space="preserve">6. Investigación </t>
  </si>
  <si>
    <t>FCACC-9-GE_ED</t>
  </si>
  <si>
    <t xml:space="preserve">9. Gestión Educativa </t>
  </si>
  <si>
    <t>FCACC-8-VI-SO</t>
  </si>
  <si>
    <t xml:space="preserve">8. Vinculación con la Sociedad </t>
  </si>
  <si>
    <t>FCACC-8-PRAC</t>
  </si>
  <si>
    <t>Prácticas</t>
  </si>
  <si>
    <t>FCACC-8-TITU</t>
  </si>
  <si>
    <t>Titulación</t>
  </si>
  <si>
    <t>ID_DOCENTE</t>
  </si>
  <si>
    <t>DATOS_DOCENTE</t>
  </si>
  <si>
    <t>UNIDAD</t>
  </si>
  <si>
    <t>CORREO</t>
  </si>
  <si>
    <t>CELULAR</t>
  </si>
  <si>
    <t>ESTUDIO</t>
  </si>
  <si>
    <t>DEDICACION</t>
  </si>
  <si>
    <t>Modalidad_TH</t>
  </si>
  <si>
    <t>TIPO SANGRE</t>
  </si>
  <si>
    <t>ALARCON CHAVEZ CESAR RAUL</t>
  </si>
  <si>
    <t>ADMINISTRACION DE EMPRESA</t>
  </si>
  <si>
    <t>cesar.alarcon@uleam.edu.ec</t>
  </si>
  <si>
    <t>MAESTRÍA</t>
  </si>
  <si>
    <t>TC</t>
  </si>
  <si>
    <t>NOMBRAMIENTO</t>
  </si>
  <si>
    <t> </t>
  </si>
  <si>
    <t>ALCIVAR MERO MARIA JESSENIA</t>
  </si>
  <si>
    <t>mariaj.alcivar@uleam.edu.ec</t>
  </si>
  <si>
    <t>ALVIA TOALA DAHIANA VALERIA</t>
  </si>
  <si>
    <t>dahiana.alvia@uleam.edu.ec</t>
  </si>
  <si>
    <t>BALSECA MACIAS PAOLA ESTEFANIA</t>
  </si>
  <si>
    <t>paola.balseca@uleam.edu.ec</t>
  </si>
  <si>
    <t>BAYAS ZAMBRANO CARMEN MARIETA</t>
  </si>
  <si>
    <t>carmen.bayas@uleam.edu.ec</t>
  </si>
  <si>
    <t>alba.caceres@uleam.edu.ec</t>
  </si>
  <si>
    <t>CALDERON ZAMORA OSCAR XAVIER</t>
  </si>
  <si>
    <t>oscar.calderon@uleam.edu.ec</t>
  </si>
  <si>
    <t>CANO LARA EVELYN DYANN</t>
  </si>
  <si>
    <t>evelyn.cano@uleam.edu.ec</t>
  </si>
  <si>
    <t>DOCTORADO</t>
  </si>
  <si>
    <t>CEVALLOS ENRIQUEZ RODRIGO PAUL</t>
  </si>
  <si>
    <t>rodrigo.cevallos@uleam.edu.ec</t>
  </si>
  <si>
    <t>MT</t>
  </si>
  <si>
    <t>CRUZ MERA RAFER HENRY</t>
  </si>
  <si>
    <t>rafer.cruz@uleam.edu.ec</t>
  </si>
  <si>
    <t>FRANCO CHAVEZ MONICA ALEXANDRA</t>
  </si>
  <si>
    <t>monica.franco@uleam.edu.ec</t>
  </si>
  <si>
    <t>CONTRATOS OCASIONALES</t>
  </si>
  <si>
    <t>FRANCO RODRIGUEZ LUIS ENRIQUE</t>
  </si>
  <si>
    <t>luise.franco@uleam.edu.ec</t>
  </si>
  <si>
    <t>GARCIA LOOR ANA DEL ROCIO</t>
  </si>
  <si>
    <t>ana.garcia@uleam.edu.ec</t>
  </si>
  <si>
    <t>GUADAMUD VERA JESSICA GEOCONDA</t>
  </si>
  <si>
    <t>jessica.guadamud@uleam.edu.ec</t>
  </si>
  <si>
    <t>GUEVARA CAÑIZARES MARISSA ALEJANDRA</t>
  </si>
  <si>
    <t>marissa.guevara@uleam.edu.ec</t>
  </si>
  <si>
    <t>HEREDIA COPPIANO GENESIS ESTEFANIA</t>
  </si>
  <si>
    <t>genesis.heredia@uleam.edu.ec</t>
  </si>
  <si>
    <t>HOLGUIN BRIONES AUDREY JACQUELINE</t>
  </si>
  <si>
    <t>audrey.holguin@uleam.edu.ec</t>
  </si>
  <si>
    <t>MACIAS CATAGUA OTTO WAGNER</t>
  </si>
  <si>
    <t>otto.macias@uleam.edu.ec</t>
  </si>
  <si>
    <t>MARCILLO PIN KARLA ROSANNA</t>
  </si>
  <si>
    <t>karla.marcillo@uleam.edu.ec</t>
  </si>
  <si>
    <t>MENDOZA BRIONES AMADO ANTONIO</t>
  </si>
  <si>
    <t>amado.mendoza@uleam.edu.ec</t>
  </si>
  <si>
    <t>MERO MERO RUBEN DARIO</t>
  </si>
  <si>
    <t>ruben.mero@uleam.edu.ec</t>
  </si>
  <si>
    <t>MORANTE GALARZA JOSE LUIS</t>
  </si>
  <si>
    <t>jose.morante@uleam.edu.ec</t>
  </si>
  <si>
    <t>PIGUAVE PEREZ VICENTA ROCIO</t>
  </si>
  <si>
    <t>rocio.piguave@uleam.edu.ec</t>
  </si>
  <si>
    <t>RODRIGUEZ DURAN MIGUEL OSWALDO</t>
  </si>
  <si>
    <t>oswaldo.rodriguez@uleam.edu.ec</t>
  </si>
  <si>
    <t>SALCEDO LOOR HERNAN VLADIMIR</t>
  </si>
  <si>
    <t>hernan.salcedo@uleam.edu.ec</t>
  </si>
  <si>
    <t>SANTOS VELEZ MARIA BEATRIZ</t>
  </si>
  <si>
    <t>mariab.santos@uleam.edu.ec</t>
  </si>
  <si>
    <t>TORO LOOR RICHARD GONZALO</t>
  </si>
  <si>
    <t>richard.toro@uleam.edu.ec</t>
  </si>
  <si>
    <t>TRIVIÑO QUIJIJE JEFFERSON ALEXANDER</t>
  </si>
  <si>
    <t>alexander.trivino@uleam.edu.ec</t>
  </si>
  <si>
    <t>VELASCO DELGADO CARLOS ALBERTO</t>
  </si>
  <si>
    <t>carlos.velasco@uleam.edu.ec</t>
  </si>
  <si>
    <t>VELEZ CHAVEZ CARLOS ORLANDO</t>
  </si>
  <si>
    <t>carlos.velez@uleam.edu.ec</t>
  </si>
  <si>
    <t>VELEZ ROMERO XAVIER ALBERTO</t>
  </si>
  <si>
    <t>xavier.velez@uleam.edu.ec</t>
  </si>
  <si>
    <t>TP</t>
  </si>
  <si>
    <t>ZAMBRANO VERA MARIA FERNANDA</t>
  </si>
  <si>
    <t>mariaf.zambrano@uleam.edu.ec</t>
  </si>
  <si>
    <t>CALDERON ZAMORA MARJORIE JESSENIA</t>
  </si>
  <si>
    <t>marjorie.calderon@uleam.edu.ec</t>
  </si>
  <si>
    <t>CANO MURE ERNESTO RODOLFO</t>
  </si>
  <si>
    <t>ernesto.cano@uleam.edu.ec</t>
  </si>
  <si>
    <t>CUADROS OCAMPO CARMINA ISABEL</t>
  </si>
  <si>
    <t>carmina.cuadros@uleam.edu.ec</t>
  </si>
  <si>
    <t>FERNANDEZ ALAVA VANESSA GUADALUPE</t>
  </si>
  <si>
    <t>vanessa.fernandez@uleam.edu.ec</t>
  </si>
  <si>
    <t>INTRIAGO DURAN MARCOS VINICIO</t>
  </si>
  <si>
    <t>marcos.intriago@uleam.edu.ec</t>
  </si>
  <si>
    <t>LOOR MUÑOZ PRESLEY IDULFO</t>
  </si>
  <si>
    <t>presleyi.loor@uleam.edu.ec</t>
  </si>
  <si>
    <t>LOPEZ DELGADO RONALD MAURICIO</t>
  </si>
  <si>
    <t>ronald.lopez@uleam.edu.ec</t>
  </si>
  <si>
    <t>MENDOZA GARCIA JORGE GREGORIO</t>
  </si>
  <si>
    <t>jorge.mendoza@uleam.edu.ec</t>
  </si>
  <si>
    <t>NOMBRAMIENTO PROVISIONAL</t>
  </si>
  <si>
    <t>MENENDEZ DELGADO ERICK RODOLFO</t>
  </si>
  <si>
    <t>erik.menendez@uleam.edu.ec</t>
  </si>
  <si>
    <t>MENESES SALVADOR JUAN CARLOS</t>
  </si>
  <si>
    <t>juan.meneses@uleam.edu.ec</t>
  </si>
  <si>
    <t>MUÑOZ MACIAS KARLOS EDUARDO</t>
  </si>
  <si>
    <t>karlos.munoz@uleam.edu.ec</t>
  </si>
  <si>
    <t>PALACIO HANZE CARLOS LUIS</t>
  </si>
  <si>
    <t>carlos.palacio@uleam.edu.ec</t>
  </si>
  <si>
    <t>PARRAGA MOGROVEJO MAYRA IVETH</t>
  </si>
  <si>
    <t>mayra.parraga@uleam.edu.ec</t>
  </si>
  <si>
    <t>SANCHEZ ARTEAGA ALEX ALFONSO</t>
  </si>
  <si>
    <t>alex.sanchez@uleam.edu.ec</t>
  </si>
  <si>
    <t>VELEZ CEDEÑO JOHANNA GUADALUPE</t>
  </si>
  <si>
    <t>johanna.velez@uleam.edu.ec</t>
  </si>
  <si>
    <t>VELIZ INTRIAGO AMNUSKA KOYITO</t>
  </si>
  <si>
    <t>amnuska.veliz@uleam.edu.ec</t>
  </si>
  <si>
    <t>VERA SANTANA HUGO CARLOS</t>
  </si>
  <si>
    <t>hugo.vera@uleam.edu.ec</t>
  </si>
  <si>
    <t>ALCIVAR CEDEÑO BEATRIZ ISABEL</t>
  </si>
  <si>
    <t>CONTABILIDAD Y AUDITORIA</t>
  </si>
  <si>
    <t>beatriz.alcivar@uleam.edu.ec</t>
  </si>
  <si>
    <t>ALCIVAR VERA GEMA MICHELLE</t>
  </si>
  <si>
    <t>gemam.alcivar@uleam.edu.ec</t>
  </si>
  <si>
    <t>ANGULO MURILLO NAVIRA GISSELA</t>
  </si>
  <si>
    <t>navira.angulo@uleam.edu.ec</t>
  </si>
  <si>
    <t>BAILON LOURIDO WALTER ALBERTO</t>
  </si>
  <si>
    <t>walter.bailon@uleam.edu.ec</t>
  </si>
  <si>
    <t>CALDERERO VILLAGOMEZ ERICK ANTONIO</t>
  </si>
  <si>
    <t>erick.calderero@uleam.edu.ec</t>
  </si>
  <si>
    <t>CASTILLO GARCIA PAOLA GERMANIA</t>
  </si>
  <si>
    <t>paola.castillo@uleam.edu.ec</t>
  </si>
  <si>
    <t>CEDEÑO CHOEZ PEDRO JAVIER</t>
  </si>
  <si>
    <t>pedro.cedeno@uleam.edu.ec</t>
  </si>
  <si>
    <t>CEVALLOS HOPPE JUAN CARLOS</t>
  </si>
  <si>
    <t>juan.cevallos@uleam.edu.ec</t>
  </si>
  <si>
    <t>DELGADO CHAVEZ MARIA IRASEMA</t>
  </si>
  <si>
    <t>mariai.delgado@uleam.edu.ec</t>
  </si>
  <si>
    <t>NOMBRAMIENTO AUTORIDAD UNIVERS</t>
  </si>
  <si>
    <t>DUARTE VALENCIA CRISTHIAN DARIO</t>
  </si>
  <si>
    <t>cristhian.duarto@uleam.edu.ec</t>
  </si>
  <si>
    <t>FORTTY BARBERAN DENNY ALEXANDER</t>
  </si>
  <si>
    <t>alexander.fortty@uleam.edu.ec</t>
  </si>
  <si>
    <t>GUTIERREZ ZAMBRANO CARMEN EBELINA</t>
  </si>
  <si>
    <t>carmen.gutierrez@uleam.edu.ec</t>
  </si>
  <si>
    <t>HIDALGO AVILA ARGELIO ANTONIO</t>
  </si>
  <si>
    <t>argelio.hidalgo@uleam.edu.ec</t>
  </si>
  <si>
    <t>INTRIAGO MOLINA GEMA VALERIA</t>
  </si>
  <si>
    <t>gema.intriago@uleam.edu.ec</t>
  </si>
  <si>
    <t>LINO VELEZ LEONEL LIVINGTON</t>
  </si>
  <si>
    <t>leonell.lino@uleam.edu.ec</t>
  </si>
  <si>
    <t>LOOR ALCIVAR MARIA ILIANA</t>
  </si>
  <si>
    <t>maria.loor@uleam.edu.ec</t>
  </si>
  <si>
    <t>LOOR MIELES TANIA JACQUELINE</t>
  </si>
  <si>
    <t>tania.loor@uleam.edu.ec</t>
  </si>
  <si>
    <t>LOOR SOLORZANO ROSA MARIA</t>
  </si>
  <si>
    <t>rosam.loor@uleam.edu.ec</t>
  </si>
  <si>
    <t>MACÍAS UGALDE LEXANDRA TATIANA</t>
  </si>
  <si>
    <t>lexandra.macias@uleam.edu.ec</t>
  </si>
  <si>
    <t>MACIAS VALENCIA DAVID GABRIEL</t>
  </si>
  <si>
    <t>david.macias@uleam.edu.ec</t>
  </si>
  <si>
    <t>MENDOZA ZAMORA WALTER MANUEL</t>
  </si>
  <si>
    <t>walter.mendoza@uleam.edu.ec</t>
  </si>
  <si>
    <t>MOLINA CEVALLOS MARIA LORENA</t>
  </si>
  <si>
    <t>maria.molina@uleam.edu.ec</t>
  </si>
  <si>
    <t>MOREIRA LARGACHA JUAN MIGUEL</t>
  </si>
  <si>
    <t>miguel.moreira@uleam.edu.ec</t>
  </si>
  <si>
    <t>MURILLO DELGADO ISAAC GABRIEL</t>
  </si>
  <si>
    <t>isaac.murillo@uleam.edu.ec</t>
  </si>
  <si>
    <t>OCHOA SOLEDISPA NESTOR IVAN</t>
  </si>
  <si>
    <t>nestor.ochoa@uleam.edu.ec</t>
  </si>
  <si>
    <t>PARRAGA FRANCO SILVANA MARIELA</t>
  </si>
  <si>
    <t>silvana.parraga@uleam.edu.ec</t>
  </si>
  <si>
    <t>PINARGOTE VASQUEZ NANCY FABIOLA</t>
  </si>
  <si>
    <t>nancy.pinargote@uleam.edu.ec</t>
  </si>
  <si>
    <t>REYES VELEZ PEDRO ENRIQUE</t>
  </si>
  <si>
    <t>pedro.reyes@uleam.edu.ec</t>
  </si>
  <si>
    <t>SAN ANDRES HORMAZA DALLAS CECILIA</t>
  </si>
  <si>
    <t>dallas.sanandres@uleam.edu.ec</t>
  </si>
  <si>
    <t>SORNOZA ZAMORA JUAN CARLOS</t>
  </si>
  <si>
    <t>juan.sornoza@uleam.edu.ec</t>
  </si>
  <si>
    <t>TOMALA PINTO JESUS JACINTO</t>
  </si>
  <si>
    <t>jesus.tomala@uleam.edu.ec</t>
  </si>
  <si>
    <t>TUBAY CEDEÑO BORIS RICARDO</t>
  </si>
  <si>
    <t>boris.tubay@uleam.edu.ec</t>
  </si>
  <si>
    <t>VALLE JARAMILLO SILVIA ARACELY</t>
  </si>
  <si>
    <t>silvia.valle@uleam.edu.ec</t>
  </si>
  <si>
    <t>VELÁSQUEZ BRAVO IRMA KATHERINE</t>
  </si>
  <si>
    <t>irma.velasquez@uleam.edu.ec</t>
  </si>
  <si>
    <t>VELEZ MENDOZA LAYSY VALERIA</t>
  </si>
  <si>
    <t>laysy.velez@uleam.edu.ec</t>
  </si>
  <si>
    <t>VINUEZA TELLO SHIRLEY ELIZABETH</t>
  </si>
  <si>
    <t>shirley.vinueza@uleam.edu.ec</t>
  </si>
  <si>
    <t>ZAMBRANO ALCIVAR NILDA ISABEL</t>
  </si>
  <si>
    <t>nilda.zambrano@uleam.edu.ec</t>
  </si>
  <si>
    <t>ZAMBRANO LOOR RITA MAYDA</t>
  </si>
  <si>
    <t>rita.zambrano@uleam.edu.ec</t>
  </si>
  <si>
    <t>ZAMBRANO VERA MONICA JANETH</t>
  </si>
  <si>
    <t>janeth.zambrano@uleam.edu.ec</t>
  </si>
  <si>
    <t>ANDRADE ALVARADO SONIA PATRICIA</t>
  </si>
  <si>
    <t>GESTION DE LA INFORMACION GERENCIAL</t>
  </si>
  <si>
    <t>patricia.andrade@uleam.edu.ec</t>
  </si>
  <si>
    <t>mario.arauz@uleam.edu.ec</t>
  </si>
  <si>
    <t>BARREIRO CEDEÑO ISABEL MONSERRATE</t>
  </si>
  <si>
    <t>isabel.barreiro@uleam.edu.ec</t>
  </si>
  <si>
    <t>BERMUDEZ VILLACRESES ROSA MAGDALENA</t>
  </si>
  <si>
    <t>magdalena.bermudez@uleam.edu.ec</t>
  </si>
  <si>
    <t>CAÑARTE RODRIGUEZ TANIA CECIBEL</t>
  </si>
  <si>
    <t>tania.canarte@uleam.edu.ec</t>
  </si>
  <si>
    <t>COVEÑA MENÉNDEZ JONATHAN KLEBER</t>
  </si>
  <si>
    <t>jonathan.covena@uleam.edu.ec</t>
  </si>
  <si>
    <t>GARAY VERA JULIA MARLENE</t>
  </si>
  <si>
    <t>julia.garay@uleam.edu.ec</t>
  </si>
  <si>
    <t>IDROVO FLORES PEDRO MANUEL</t>
  </si>
  <si>
    <t>pedro.idrovo@uleam.edu.ec</t>
  </si>
  <si>
    <t>LUNA CAICEDO MERCEDES MONICA</t>
  </si>
  <si>
    <t>monica.luna@uleam.edu.ec</t>
  </si>
  <si>
    <t>MERO DELGADO OSWALDO WALDEMAR</t>
  </si>
  <si>
    <t>oswaldo.mero@uleam.edu.ec</t>
  </si>
  <si>
    <t>PEÑAHERRERA VELEZ CINDY DEL CARMEN</t>
  </si>
  <si>
    <t>cindy.penaherrera@uleam.edu.ec</t>
  </si>
  <si>
    <t>QUIJIJE ZAMBRANO DIGNA MARGARITA</t>
  </si>
  <si>
    <t>digna.quijije@uleam.edu.ec</t>
  </si>
  <si>
    <t>RODRIGUEZ SANCHEZ JOHNNY GUSTAVO</t>
  </si>
  <si>
    <t>johnny.rodriguez@uleam.edu.ec</t>
  </si>
  <si>
    <t>ROJAS ONCE MERCY CELINDA</t>
  </si>
  <si>
    <t>mercy.rojas@uleam.edu.ec</t>
  </si>
  <si>
    <t>SALTOS ALAVA SONIA KARINA</t>
  </si>
  <si>
    <t>sonia.saltos@uleam.edu.ec</t>
  </si>
  <si>
    <t>VIDAL FERNANDEZ PABLO</t>
  </si>
  <si>
    <t>pablo.vidal@uleam.edu.ec</t>
  </si>
  <si>
    <t>ARAUZ CHAVEZ ANDREA ROBERTHA</t>
  </si>
  <si>
    <t>MERCADOTECNIA</t>
  </si>
  <si>
    <t>andrea.arauz@uleam.edu.ec</t>
  </si>
  <si>
    <t>ARIAS ARIAS ANA ELENA</t>
  </si>
  <si>
    <t>ana.arias@uleam.edu.ec</t>
  </si>
  <si>
    <t>BADUY MOLINA AARON LEONEL</t>
  </si>
  <si>
    <t>aaron.baduy@uleam.edu.ec</t>
  </si>
  <si>
    <t>BASURTO CEDEÑO XAVIER ALBERTO</t>
  </si>
  <si>
    <t>alberto.basurto@uleam.edu.ec</t>
  </si>
  <si>
    <t>CALDERON BAILON JOSE CALIXTO</t>
  </si>
  <si>
    <t>jose.calderon@uleam.edu.ec</t>
  </si>
  <si>
    <t>CARREÑO VILLAVICENCIO DIANEXY VIVIANA</t>
  </si>
  <si>
    <t>dianexy.carreno@uleam.edu.ec</t>
  </si>
  <si>
    <t>FARFAN TRIVIÑO HUGO ERNESTO</t>
  </si>
  <si>
    <t>hugo.farfan@uleam.edu.ec</t>
  </si>
  <si>
    <t>GRANDA GARCIA MARCO IVAN</t>
  </si>
  <si>
    <t>marco.granda@uleam.edu.ec</t>
  </si>
  <si>
    <t>HORMAZA VILLAFUERTE SANDY LISBETH</t>
  </si>
  <si>
    <t>sandy.hormaza@uleam.edu.ec</t>
  </si>
  <si>
    <t>JACOME SANTOS XAVIER IVAN</t>
  </si>
  <si>
    <t>xavier.jacome@uleam.edu.ec</t>
  </si>
  <si>
    <t>LOOR CHAVEZ TEMISTOCLES DEODATO</t>
  </si>
  <si>
    <t>deodato.loor@uleam.edu.ec</t>
  </si>
  <si>
    <t>LOOR MOREIRA ALEXANDRA JACQUELINE</t>
  </si>
  <si>
    <t>alexandra.loor@uleam.edu.ec</t>
  </si>
  <si>
    <t>LOPEZ LEONES CRISTHIAN JOSE</t>
  </si>
  <si>
    <t>cristhian.lopez@uleam.edu.ec</t>
  </si>
  <si>
    <t>MEJIA VASQUEZ PERICLES RAMON</t>
  </si>
  <si>
    <t>pericles.mejia@uleam.edu.ec</t>
  </si>
  <si>
    <t>MERO CHAVEZ ULISES FEDERICO</t>
  </si>
  <si>
    <t>ulises.mero@uleam.edu.ec</t>
  </si>
  <si>
    <t>MOLINA CEDEÑO JIMMY WILMER</t>
  </si>
  <si>
    <t>jimmy.molina@uleam.edu.ec</t>
  </si>
  <si>
    <t>MOLINA QUIROZ CLAUDIA ANALIA</t>
  </si>
  <si>
    <t>analia.molina@uleam.edu.ec</t>
  </si>
  <si>
    <t>MORAN QUIÑONEZ CARLOS JULIO</t>
  </si>
  <si>
    <t>carlos.moran@uleam.edu.ec</t>
  </si>
  <si>
    <t>PALACIOS BRIONES NURI LUPITA</t>
  </si>
  <si>
    <t>nuri.palacios@uleam.edu.ec</t>
  </si>
  <si>
    <t>PEÑA VÉLEZ ISAURA VANESSA</t>
  </si>
  <si>
    <t>vanessa.pena@uleam.edu.ec</t>
  </si>
  <si>
    <t>PINARGOTE MONTENEGRO KAREN GISELA</t>
  </si>
  <si>
    <t>karen.pinargote@uleam.edu.ec</t>
  </si>
  <si>
    <t>PONCE ANDRADE JOHNNY EDISON</t>
  </si>
  <si>
    <t>johnny.ponce@uleam.edu.ec</t>
  </si>
  <si>
    <t>SABANDO MENDOZA ESTELA ROSSANA</t>
  </si>
  <si>
    <t>estela.sabando@uleam.edu.ec</t>
  </si>
  <si>
    <t>SOLIS BRAVO HUGO ALFONSO</t>
  </si>
  <si>
    <t>hugo.solis@uleam.edu.ec</t>
  </si>
  <si>
    <t>VILLAFUERTE MUÑOZ WAGNER OSWALDO</t>
  </si>
  <si>
    <t>wagner.villafuerte@uleam.edu.ec</t>
  </si>
  <si>
    <t>VILLAMARIN VILLOTA WALTER HUMBERTO</t>
  </si>
  <si>
    <t>walter.villamarin@uleam.edu.ec</t>
  </si>
  <si>
    <t>ZAMBRANO PEÑARRIETA JOSSELYN JAMILETH</t>
  </si>
  <si>
    <t>josselynj.zambrano@uleam.edu.ec</t>
  </si>
  <si>
    <t>avelino.carrillo@uleam.eud.ec</t>
  </si>
  <si>
    <t>MORAN GONZALES DAVID RENATO</t>
  </si>
  <si>
    <t>ADMINISTRACIÓN DE EMPRESA</t>
  </si>
  <si>
    <t>VERA DELGADO BRYAN ADRIÁN</t>
  </si>
  <si>
    <t>ID_ASIG</t>
  </si>
  <si>
    <t>NOM_ASIG</t>
  </si>
  <si>
    <t>semanas</t>
  </si>
  <si>
    <t>ID_NIVEL</t>
  </si>
  <si>
    <t>FCACC-AD-EM-NI-1-CONTA-DE -COS</t>
  </si>
  <si>
    <t>CONTABILIDAD DE COSTOS</t>
  </si>
  <si>
    <t>FCACC-AD-EM-NI-1-MATEM-APL-A L</t>
  </si>
  <si>
    <t>MATEMÁTICA APLICADA A LA ADMINISTRACIÓN</t>
  </si>
  <si>
    <t>FCACC-AD-EM-NI-1-ADMIN-PAR-LOS</t>
  </si>
  <si>
    <t>ADMINISTRACIÓN PARA LOS NEGOCIOS</t>
  </si>
  <si>
    <t xml:space="preserve">FCACC-AD-EM-NI-1-METOD-DE -LA </t>
  </si>
  <si>
    <t>FCACC-AD-EM-NI-1-MICRO</t>
  </si>
  <si>
    <t>MICROECONOMÍA</t>
  </si>
  <si>
    <t>FCACC-AD-EM-NI-2-CONTA-FIN</t>
  </si>
  <si>
    <t>CONTABILIDAD FINANCIERA</t>
  </si>
  <si>
    <t>FCACC-AD-EM-NI-2-MATEM-FIN</t>
  </si>
  <si>
    <t>MATEMÁTICA FINANCIERA</t>
  </si>
  <si>
    <t>FCACC-AD-EM-NI-2-ADMIN-EST</t>
  </si>
  <si>
    <t>ADMINISTRACIÓN ESTRATÉGICA</t>
  </si>
  <si>
    <t xml:space="preserve">FCACC-AD-EM-NI-2-ESTAD-APL-A </t>
  </si>
  <si>
    <t>ESTADÍSTICA APLICADA A LA ADMINISTRACIÓN</t>
  </si>
  <si>
    <t>FCACC-AD-EM-NI-2-MACRO</t>
  </si>
  <si>
    <t>MACROECONOMÍA</t>
  </si>
  <si>
    <t>FCACC-AD-EM-NI-2-DEREC-MER-Y S</t>
  </si>
  <si>
    <t>DERECHO MERCANTIL Y SOCIETARIO</t>
  </si>
  <si>
    <t>FCACC-AD-EM-NI-3-CREAT-E I-INN</t>
  </si>
  <si>
    <t>CREATIVIDAD E INNOVACIÓN EMPRESARIAL</t>
  </si>
  <si>
    <t>FCACC-AD-EM-NI-3-MÉTOD-CUA-P</t>
  </si>
  <si>
    <t>MÉTODOS CUANTITATIVOS PARA LOS NEGOCIOS</t>
  </si>
  <si>
    <t>FCACC-AD-EM-NI-3-DISEÑ-ORG-Y</t>
  </si>
  <si>
    <t>DISEÑO ORGANIZACIONAL Y GESTIÓN DE PROCESOS</t>
  </si>
  <si>
    <t>FCACC-AD-EM-NI-3-HERRA-PAR-ANÁ</t>
  </si>
  <si>
    <t>HERRAMIENTAS PARA ANÁLISIS DE DATOS</t>
  </si>
  <si>
    <t>FCACC-AD-EM-NI-3-ADMIN-AMB</t>
  </si>
  <si>
    <t>ADMINISTRACIÓN AMBIENTAL</t>
  </si>
  <si>
    <t>FCACC-AD-EM-NI-3-DEREC-LAB</t>
  </si>
  <si>
    <t>DERECHO LABORAL</t>
  </si>
  <si>
    <t>FCACC-AD-EM-NI-4-GESTI-FIN</t>
  </si>
  <si>
    <t xml:space="preserve">FCACC-AD-EM-NI-4-GESTI-DE -LA </t>
  </si>
  <si>
    <t>GESTIÓN DE LA CALIDAD</t>
  </si>
  <si>
    <t>FCACC-AD-EM-NI-4-ADMIN-DEL-TAL</t>
  </si>
  <si>
    <t>ADMINISTRACIÓN DEL TALENTO HUMANO</t>
  </si>
  <si>
    <t>FCACC-AD-EM-NI-4-ANÁLI-E I-INV</t>
  </si>
  <si>
    <t>ANÁLISIS E INVESTIGACIÓN DE INVENTARIOS</t>
  </si>
  <si>
    <t>FCACC-AD-EM-NI-4-ÉTICA-Y R-RES</t>
  </si>
  <si>
    <t>ÉTICA Y RESPONSABILIDAD SOCIAL EMPRESARIAL</t>
  </si>
  <si>
    <t>FCACC-AD-EM-NI-5-ADMIN-FIN</t>
  </si>
  <si>
    <t>ADMINISTRACIÓN FINANCIERA ESTRATÉGICA</t>
  </si>
  <si>
    <t xml:space="preserve">FCACC-AD-EM-NI-5-ADMIN-DE -LA </t>
  </si>
  <si>
    <t>ADMINISTRACIÓN DE LA PRODUCCIÓN Y OPERACIONES</t>
  </si>
  <si>
    <t>FCACC-AD-EM-NI-5-DESAR-DE -HAB</t>
  </si>
  <si>
    <t>DESARROLLO DE HABILIDADES DIRECTIVAS</t>
  </si>
  <si>
    <t>FCACC-AD-EM-NI-5-AUDIT-ADM</t>
  </si>
  <si>
    <t>AUDITORÍA ADMINISTRATIVA Y FINANCIERA</t>
  </si>
  <si>
    <t>FCACC-AD-EM-NI-5-RIESG-Y S-SEG</t>
  </si>
  <si>
    <t>RIESGOS Y SEGUROS</t>
  </si>
  <si>
    <t>FCACC-AD-EM-NI-6-FINAN-COR</t>
  </si>
  <si>
    <t>FINANZAS CORPORATIVAS</t>
  </si>
  <si>
    <t>FCACC-AD-EM-NI-6-PRESU</t>
  </si>
  <si>
    <t>PRESUPUESTOS</t>
  </si>
  <si>
    <t>FCACC-AD-EM-NI-6-ADMIN-PÚB-</t>
  </si>
  <si>
    <t>ADMINISTRACIÓN PÚBLICA Y TRIBUTARIA</t>
  </si>
  <si>
    <t>FCACC-AD-EM-NI-6-MARKE-EST</t>
  </si>
  <si>
    <t>MARKETING ESTRATÉGICO</t>
  </si>
  <si>
    <t>FCACC-AD-EM-NI-6-LIDER-Y G-GES</t>
  </si>
  <si>
    <t>LIDERAZGO Y GESTIÓN DE EQUIPOS</t>
  </si>
  <si>
    <t>FCACC-AD-EM-NI-7-GESTI-DE -PRO</t>
  </si>
  <si>
    <t>GESTIÓN DE PROYECTOS EMPRESARIALES</t>
  </si>
  <si>
    <t>FCACC-AD-EM-NI-7-LOGÍS-EMP</t>
  </si>
  <si>
    <t>LOGÍSTICA EMPRESARIAL</t>
  </si>
  <si>
    <t>FCACC-AD-EM-NI-7-GESTI-DE -VEN</t>
  </si>
  <si>
    <t>GESTIÓN DE VENTAS</t>
  </si>
  <si>
    <t>FCACC-AD-EM-NI-7-SISTE-DE -INF</t>
  </si>
  <si>
    <t>SISTEMA DE INFORMACIÓN GERENCIAL</t>
  </si>
  <si>
    <t>FCACC-AD-EM-NI-8-BUSIN-INT</t>
  </si>
  <si>
    <t>BUSINESS INTELLIGENCE</t>
  </si>
  <si>
    <t>FCACC-AD-EM-NI-8-COMER-INT</t>
  </si>
  <si>
    <t>COMERCIO INTERNACIONAL</t>
  </si>
  <si>
    <t>FCACC-AD-EM-NI-8-INCUB-Y C-CRE</t>
  </si>
  <si>
    <t>INCUBACIÓN Y CREACIÓN DE EMPRESAS</t>
  </si>
  <si>
    <t>FCACC-AD-EM-NI-8-SIMUL-DE -NEG</t>
  </si>
  <si>
    <t>SIMULACIÓN DE NEGOCIOS</t>
  </si>
  <si>
    <t>FCACC-AU-CO-GE-NI-1-FUNDA-DE -CON</t>
  </si>
  <si>
    <t>FUNDAMENTOS DE CONTABILIDAD</t>
  </si>
  <si>
    <t>FCACC-AU-CO-GE-NI-1-FUNDA-DE -ADM</t>
  </si>
  <si>
    <t>FUNDAMENTOS DE ADMINISTRACIÓN</t>
  </si>
  <si>
    <t>FCACC-AU-CO-GE-NI-1-ESTAD-DES</t>
  </si>
  <si>
    <t>FCACC-AU-CO-GE-NI-1-LEGIS-MER-Y</t>
  </si>
  <si>
    <t>LEGISLACIÓN MERCANTIL Y SOCIERTARIA</t>
  </si>
  <si>
    <t>FCACC-AU-CO-GE-NI-2-CONTA-FIN</t>
  </si>
  <si>
    <t>FCACC-AU-CO-GE-NI-2-MATEM-FIN</t>
  </si>
  <si>
    <t>FCACC-AU-CO-GE-NI-2-ESTAD-INF</t>
  </si>
  <si>
    <t>ESTADÍSTICA INFERENCIAL</t>
  </si>
  <si>
    <t>FCACC-AU-CO-GE-NI-2-LEGIS-LAB</t>
  </si>
  <si>
    <t>LEGISLACIÓN LABORAL</t>
  </si>
  <si>
    <t>FCACC-AU-CO-GE-NI-3-CONTA-DE -COS</t>
  </si>
  <si>
    <t>FCACC-AU-CO-GE-NI-3-CONTA-SOC-Y A</t>
  </si>
  <si>
    <t>CONTABILIDAD SOCIAL Y AMBIENTAL</t>
  </si>
  <si>
    <t>FCACC-AU-CO-GE-NI-3-ADMIN-FIN</t>
  </si>
  <si>
    <t>ADMINISTRACIÓN FINANCIERA</t>
  </si>
  <si>
    <t>FCACC-AU-CO-GE-NI-3-FUNDA-DE -AUD</t>
  </si>
  <si>
    <t>FUNDAMENTOS DE AUDITORÍAS</t>
  </si>
  <si>
    <t>FCACC-AU-CO-GE-NI-3-GESTI-DE -TAL</t>
  </si>
  <si>
    <t>GESTIÓN DE TALENTO HUMANO</t>
  </si>
  <si>
    <t>FCACC-AU-CO-GE-NI-4-PLANI-DE -AUD</t>
  </si>
  <si>
    <t>PLANIFICACIÓN DE AUDITORÍAS</t>
  </si>
  <si>
    <t xml:space="preserve">FCACC-AU-CO-GE-NI-4-CONTA-EN -EL </t>
  </si>
  <si>
    <t>CONTABILIDAD EN EL SECTOR PÚBLICO</t>
  </si>
  <si>
    <t>FCACC-AU-CO-GE-NI-4-GESTI-TRI</t>
  </si>
  <si>
    <t>GESTIÓN TRIBUTARIA</t>
  </si>
  <si>
    <t>FCACC-AU-CO-GE-NI-4-PLANI-Y D-DIR</t>
  </si>
  <si>
    <t>PLANIFICACIÓN Y DIRECCIÓN ESTRATÉGICA</t>
  </si>
  <si>
    <t>FCACC-AU-CO-GE-NI-4-ÉTICA-PRO</t>
  </si>
  <si>
    <t>ÉTICA PROFESIONAL</t>
  </si>
  <si>
    <t xml:space="preserve">FCACC-AU-CO-GE-NI-5-GESTI-DE -LA </t>
  </si>
  <si>
    <t>GESTIÓN DE LA PRODUCTIVIDAD</t>
  </si>
  <si>
    <t>FCACC-AU-CO-GE-NI-5-AUDIT-FIN</t>
  </si>
  <si>
    <t>AUDITORÍA FINANCIERA</t>
  </si>
  <si>
    <t>FCACC-AU-CO-GE-NI-5-CONTA-GER-</t>
  </si>
  <si>
    <t>CONTABILIDAD GERENCIAL Y PRESUPUESTO</t>
  </si>
  <si>
    <t>FCACC-AU-CO-GE-NI-5-SOFTW-DE -GES</t>
  </si>
  <si>
    <t>SOFTWARE DE GESTIÓN  ADMINISTRATIVA FINANCIERA</t>
  </si>
  <si>
    <t>FCACC-AU-CO-GE-NI-5-SISTE-DE -IND</t>
  </si>
  <si>
    <t>SISTEMA DE INDICADORES DE  GESTIÓN</t>
  </si>
  <si>
    <t>FCACC-AU-CO-GE-NI-6-GESTI-PÚB</t>
  </si>
  <si>
    <t>GESTIÓN PÚBLICA</t>
  </si>
  <si>
    <t>FCACC-AU-CO-GE-NI-6-SISTE-DE -CON</t>
  </si>
  <si>
    <t>SISTEMAS DE CONTROL Y GESTIÓN</t>
  </si>
  <si>
    <t>FCACC-AU-CO-GE-NI-6-AUDIT-DE -GES</t>
  </si>
  <si>
    <t>AUDITORÍA DE GESTIÓN</t>
  </si>
  <si>
    <t>FCACC-AU-CO-GE-NI-6-PROCE-DE -CON</t>
  </si>
  <si>
    <t>PROCESO DE CONTRATACIÓN PÚBLICA</t>
  </si>
  <si>
    <t>FCACC-AU-CO-GE-NI-6-AUDIT-TRI</t>
  </si>
  <si>
    <t>AUDITORÍA TRIBUTARIA</t>
  </si>
  <si>
    <t>FCACC-AU-CO-GE-NI-7-AUDIT-EN -SEG</t>
  </si>
  <si>
    <t>AUDITORÍA EN SEGURIDAD_x000D_
Y SALUD OCUPACIONAL</t>
  </si>
  <si>
    <t>FCACC-AU-CO-GE-NI-7-VALOR-DE -EMP</t>
  </si>
  <si>
    <t>VALORACIÓN DE EMPRESAS Y_x000D_
RIESGOS</t>
  </si>
  <si>
    <t>FCACC-AU-CO-GE-NI-7-AUDIT</t>
  </si>
  <si>
    <t>AUDITORÍA_x000D_
GUBERNAMENTAL</t>
  </si>
  <si>
    <t>FCACC-AU-CO-GE-NI-7-AUDIT-AMB</t>
  </si>
  <si>
    <t>AUDITORIA AMBIENTAL</t>
  </si>
  <si>
    <t>FCACC-AU-CO-GE-NI-7-RESPO-SOC-</t>
  </si>
  <si>
    <t>RESPONSABILIDAD SOCIAL CORPORATIVA</t>
  </si>
  <si>
    <t xml:space="preserve">FCACC-AU-CO-GE-NI-8-DISEÑ-DES- Y </t>
  </si>
  <si>
    <t>DISEÑO, DESARROLLO  Y EVALUACIÓN DE  PROYECTOS</t>
  </si>
  <si>
    <t>FCACC-AU-CO-GE-NI-8-LIDER-Y G-GES</t>
  </si>
  <si>
    <t>LIDERAZGO Y GESTIÓN DE_x000D_
AUDITORIA</t>
  </si>
  <si>
    <t>FCACC-AU-CO-GE-NI-8-AUDIT-DE -SIS</t>
  </si>
  <si>
    <t>AUDITORÍA DE SISTEMAS_x000D_
DE INFORMACIÓN</t>
  </si>
  <si>
    <t>FCACC-AU-CO-GE-NI-8-AUDIT-FOR</t>
  </si>
  <si>
    <t>AUDITORÍA FORENSE</t>
  </si>
  <si>
    <t>FCACC-AU-CO-GE-NI-8-AUDIT-INT</t>
  </si>
  <si>
    <t>AUDITORÍA INTEGRAL</t>
  </si>
  <si>
    <t>FCACC-BI-RA-NI-1-MATEM-FIN-(</t>
  </si>
  <si>
    <t>MATEMÁTICA FINANCIERA (BR)</t>
  </si>
  <si>
    <t>FCACC-BI-RA-NI-1-ECONO-EN -BIE</t>
  </si>
  <si>
    <t>ECONOMÍA EN BIENES RAÍCES (BR)</t>
  </si>
  <si>
    <t>FCACC-BI-RA-NI-1-DEREC-APL-A L</t>
  </si>
  <si>
    <t>DERECHO APLICADO A LA GESTIÓN INMOBIIARIA (BR)</t>
  </si>
  <si>
    <t>FCACC-BI-RA-NI-1-ADMIN-INM</t>
  </si>
  <si>
    <t>ADMINISTRACIÓN INMOBILIARIA (BR)</t>
  </si>
  <si>
    <t>FCACC-BI-RA-NI-1-ÉTICA-PRO-(BR</t>
  </si>
  <si>
    <t>ÉTICA PROFESIONAL (BR)</t>
  </si>
  <si>
    <t>FCACC-BI-RA-NI-1-GESTI-EST-(BR</t>
  </si>
  <si>
    <t>GESTIÓN ESTRATÉGICA (BR)</t>
  </si>
  <si>
    <t>FCACC-BI-RA-NI-2-ESTAD-DE -RIE</t>
  </si>
  <si>
    <t>ESTADÍSTICA DE RIESGOS (BR)</t>
  </si>
  <si>
    <t>FCACC-BI-RA-NI-2-MARKE-INM-</t>
  </si>
  <si>
    <t>MARKETING INMOBILIARIO (BR)</t>
  </si>
  <si>
    <t>FCACC-BI-RA-NI-2-LEGIS-DE -SEG</t>
  </si>
  <si>
    <t>LEGISLACIÓN DE SEGUROS (BR)</t>
  </si>
  <si>
    <t>FCACC-BI-RA-NI-2-ANÁLI-DE -MER</t>
  </si>
  <si>
    <t>ANÁLISIS DE MERCADO INMOBILIARIO (BR)</t>
  </si>
  <si>
    <t>FCACC-BI-RA-NI-2-GESTI-DEL-AGE</t>
  </si>
  <si>
    <t>GESTIÓN DEL AGENTE EN BIENES RAÍCES (BR)</t>
  </si>
  <si>
    <t>FCACC-BI-RA-NI-3-TASAC-DE -INM</t>
  </si>
  <si>
    <t>TASACIÓN DE INMUEBLES: ARANCELEARIA Y COMERCIAL (BR)</t>
  </si>
  <si>
    <t>FCACC-BI-RA-NI-3-FINAN-EN -BIE</t>
  </si>
  <si>
    <t>FINANZAS EN BIENES RAÍCES (BR)</t>
  </si>
  <si>
    <t>FCACC-BI-RA-NI-3-GESTI-DE -RIE</t>
  </si>
  <si>
    <t>GESTIÓN DE RIESGOS Y SINIESTROS (BR)</t>
  </si>
  <si>
    <t>FCACC-BI-RA-NI-3-GEREN-Y N-NEG</t>
  </si>
  <si>
    <t>GERENCIA Y NEGOCIACIÓN INMOBILIARIA (BR)</t>
  </si>
  <si>
    <t>FCACC-BI-RA-NI-3-EMPRE-Y P-PLA</t>
  </si>
  <si>
    <t>EMPRENDIMIENTO Y PLAN DE NEGOCIOS (BR)</t>
  </si>
  <si>
    <t>FCACC-BI-RA-NI-4-EVALU-Y V-VAL</t>
  </si>
  <si>
    <t>EVALUACIÓN Y VALUACIÓN DE INMUEBLES (BR)</t>
  </si>
  <si>
    <t>FCACC-BI-RA-NI-4-PLANI-DEL-DES</t>
  </si>
  <si>
    <t>PLANIFICACIÓN DEL DESARROLLO URBANO (BR)</t>
  </si>
  <si>
    <t>FCACC-BI-RA-NI-4-AUDIT-DE -SEG</t>
  </si>
  <si>
    <t>AUDITORÍA DE SEGUROS (BR)</t>
  </si>
  <si>
    <t xml:space="preserve">FCACC-CO-EX-NI-1-METOD-DE -LA </t>
  </si>
  <si>
    <t>FCACC-CO-EX-NI-1-COMER-EXT</t>
  </si>
  <si>
    <t>FCACC-CO-EX-NI-1-REALI-NAC-Y G</t>
  </si>
  <si>
    <t>REALIDAD NACIONAL Y GEOPOLITICA</t>
  </si>
  <si>
    <t>FCACC-CO-EX-NI-1-MATEM</t>
  </si>
  <si>
    <t>FCACC-CO-EX-NI-1-CONTA-GEN</t>
  </si>
  <si>
    <t>CONTABILIDAD GENERAL</t>
  </si>
  <si>
    <t>FCACC-CO-EX-NI-2-MATEM-FIN</t>
  </si>
  <si>
    <t>MATEMÁTICAS FINANCIERAS</t>
  </si>
  <si>
    <t>FCACC-CO-EX-NI-2-DESAR-DEL-COM</t>
  </si>
  <si>
    <t>DESARROLLO DEL COMERCIO REGIONAL</t>
  </si>
  <si>
    <t>FCACC-CO-EX-NI-2-RESPO-SOC-</t>
  </si>
  <si>
    <t>RESPONSABILIDAD SOCIAL Y EMPRESARIAL</t>
  </si>
  <si>
    <t>FCACC-CO-EX-NI-2-CONTA-DE -COS</t>
  </si>
  <si>
    <t>FCACC-CO-EX-NI-2-FUNDA-DE -ECO</t>
  </si>
  <si>
    <t>FUNDAMENTOS DE ECONOMÍA</t>
  </si>
  <si>
    <t>FCACC-CO-EX-NI-3-COMPO-ORG</t>
  </si>
  <si>
    <t>COMPORTAMIENTO ORGANIZACIONAL</t>
  </si>
  <si>
    <t>FCACC-CO-EX-NI-3-ESTAD</t>
  </si>
  <si>
    <t>ESTADÍSTICAS</t>
  </si>
  <si>
    <t>FCACC-CO-EX-NI-3-MICRO</t>
  </si>
  <si>
    <t>FCACC-CO-EX-NI-3-DEREC-CON-</t>
  </si>
  <si>
    <t>DERECHO CONSTITUCIONAL Y LEGISLACIÓN DEL COMERCIO</t>
  </si>
  <si>
    <t xml:space="preserve">FCACC-CO-EX-NI-3-TEORI-DE -LA </t>
  </si>
  <si>
    <t>TEORIA DE LA POLÍTICA COMERCIAL</t>
  </si>
  <si>
    <t>FCACC-CO-EX-NI-3-FINAN-COR</t>
  </si>
  <si>
    <t>FCACC-CO-EX-NI-4-MACRO</t>
  </si>
  <si>
    <t>FCACC-CO-EX-NI-4-MECAN-DE -INT</t>
  </si>
  <si>
    <t>MECANISMOS DE INTEGRACIÓN</t>
  </si>
  <si>
    <t>FCACC-CO-EX-NI-4-INVES-OPE</t>
  </si>
  <si>
    <t>INVESTIGACIÓN OPERATIVA</t>
  </si>
  <si>
    <t>FCACC-CO-EX-NI-4-GESTI-LOG-EMP</t>
  </si>
  <si>
    <t>GESTIÓN LOGÍSTICA EMPRESARIAL</t>
  </si>
  <si>
    <t>FCACC-CO-EX-NI-4-COMER-JUS-Y S</t>
  </si>
  <si>
    <t>COMERCIO JUSTO Y SOBERANÍA ALIMENTARIA</t>
  </si>
  <si>
    <t>FCACC-CO-EX-NI-5-PLANE-EST</t>
  </si>
  <si>
    <t>PLANEACIÓN ESTRATÉGICA</t>
  </si>
  <si>
    <t>FCACC-CO-EX-NI-5-FORMU-Y E-ELA</t>
  </si>
  <si>
    <t>FORMULACIÓN Y ELABORACIÓN DE PROYECTOS EMPRESARIALES</t>
  </si>
  <si>
    <t>FCACC-CO-EX-NI-5-RELAC-ECO-I</t>
  </si>
  <si>
    <t>RELACIONES ECONÓMICAS INTERNACIONALES</t>
  </si>
  <si>
    <t>FCACC-CO-EX-NI-5-GESTI-AMB-DEL</t>
  </si>
  <si>
    <t>GESTIÓN AMBIENTAL DEL COMERCIO</t>
  </si>
  <si>
    <t>FCACC-CO-EX-NI-5-INGLÉ-COM-I</t>
  </si>
  <si>
    <t>INGLÉS COMERCIAL I</t>
  </si>
  <si>
    <t>FCACC-CO-EX-NI-5-INVES-DE -MER</t>
  </si>
  <si>
    <t>INVESTIGACIÓN DE MERCADOS INTERNACIONALES</t>
  </si>
  <si>
    <t>FCACC-CO-EX-NI-6-NOMEN-ARA</t>
  </si>
  <si>
    <t>NOMENCLATURA ARANCELARIA Y MERCEOLOGÍA</t>
  </si>
  <si>
    <t>FCACC-CO-EX-NI-6-FINAN-INT</t>
  </si>
  <si>
    <t>FINANZAS INTERNACIONALES</t>
  </si>
  <si>
    <t>FCACC-CO-EX-NI-6-GESTI-DE -PRO</t>
  </si>
  <si>
    <t>GESTIÓN DE PROYECTOS SOCIALES Y DE INVERSIÓN</t>
  </si>
  <si>
    <t>FCACC-CO-EX-NI-6-INGLÉ-COM-II</t>
  </si>
  <si>
    <t>INGLÉS COMERCIAL II</t>
  </si>
  <si>
    <t>FCACC-CO-EX-NI-6-ESTRA-DE -INT</t>
  </si>
  <si>
    <t>ESTRATÉGIAS DE INTERNACIONALIZACIÓN</t>
  </si>
  <si>
    <t>FCACC-CO-EX-NI-6-MERCA-INT</t>
  </si>
  <si>
    <t>MERCADOTECNIA INTERNACIONAL</t>
  </si>
  <si>
    <t xml:space="preserve">FCACC-CO-EX-NI-7-ÉTICA-APL-AL </t>
  </si>
  <si>
    <t>ÉTICA APLICADA AL COMERCIO INTERNACIONAL</t>
  </si>
  <si>
    <t>FCACC-CO-EX-NI-7-PROCE-OPE-ADU</t>
  </si>
  <si>
    <t>PROCESOS OPERATIVOS ADUANEROS</t>
  </si>
  <si>
    <t>FCACC-CO-EX-NI-7-OPERA-POR-</t>
  </si>
  <si>
    <t>OPERATIVIDAD PORTUARIA Y AEROPORTUARIA</t>
  </si>
  <si>
    <t>FCACC-CO-EX-NI-7-INGLÉ-COM-III</t>
  </si>
  <si>
    <t>INGLÉS COMERCIAL III</t>
  </si>
  <si>
    <t>FCACC-CO-EX-NI-7-DESAR-LOC-Y E</t>
  </si>
  <si>
    <t>DESARROLLO LOCAL Y EMPRENDIMIENTO</t>
  </si>
  <si>
    <t>FCACC-CO-EX-NI-8-TRÁMI-DE -EXP</t>
  </si>
  <si>
    <t>TRÁMITES DE EXPORTACIÓN E IMPORTACIÓN</t>
  </si>
  <si>
    <t xml:space="preserve">FCACC-CO-EX-NI-8-GESTI-DE -LA </t>
  </si>
  <si>
    <t>FCACC-CO-EX-NI-8-LOGÍS-INT</t>
  </si>
  <si>
    <t>LOGÍSTICA INTERNACIONAL</t>
  </si>
  <si>
    <t>FCACC-CO-EX-NI-8-NEGOC-INT</t>
  </si>
  <si>
    <t>NEGOCIACIÓN INTERNACIONAL</t>
  </si>
  <si>
    <t>FCACC-CO-AD-NI-1-CONTA-BÁS</t>
  </si>
  <si>
    <t>FCACC-CO-AD-NI-1-MATEM</t>
  </si>
  <si>
    <t xml:space="preserve">FCACC-CO-AD-NI-1-METOD-DE -LA </t>
  </si>
  <si>
    <t>FCACC-CO-AD-NI-1-ADMIN</t>
  </si>
  <si>
    <t>FCACC-CO-AD-NI-1-MACRO</t>
  </si>
  <si>
    <t>FCACC-CO-AD-NI-2-LEGIS-LAB</t>
  </si>
  <si>
    <t>FCACC-CO-AD-NI-2-CONTA-INT</t>
  </si>
  <si>
    <t>CONTABILIDAD INTERMEDIA</t>
  </si>
  <si>
    <t>FCACC-CO-AD-NI-2-ESTAD-DES</t>
  </si>
  <si>
    <t>FCACC-CO-AD-NI-2-LEGIS-MER-Y</t>
  </si>
  <si>
    <t>LEGISLACIÓN MERCANTIL Y SOCIETARIA</t>
  </si>
  <si>
    <t>FCACC-CO-AD-NI-2-MATEM-FIN</t>
  </si>
  <si>
    <t>FCACC-CO-AD-NI-3-CONTA-AVA</t>
  </si>
  <si>
    <t>CONTABILIDAD AVANZADA</t>
  </si>
  <si>
    <t>FCACC-CO-AD-NI-3-FUNDA-DE -AUD</t>
  </si>
  <si>
    <t>FUNDAMENTOS DE AUDITORÍA</t>
  </si>
  <si>
    <t>FCACC-CO-AD-NI-3-ESTAD-APL</t>
  </si>
  <si>
    <t>ESTADÍSTICA APLICADA</t>
  </si>
  <si>
    <t>FCACC-CO-AD-NI-3-LEGIS-TRI</t>
  </si>
  <si>
    <t>LEGISLACIÓN TRIBUTARIA</t>
  </si>
  <si>
    <t>FCACC-CO-AD-NI-3-SISTE-CON</t>
  </si>
  <si>
    <t>SISTEMATIZACIÓN CONTABLE Y FINANCIERA</t>
  </si>
  <si>
    <t>FCACC-CO-AD-NI-3-PROCE-Y C-CON</t>
  </si>
  <si>
    <t>PROCESO Y CONTROL DEL TALENTO HUMANO</t>
  </si>
  <si>
    <t>FCACC-CO-AD-NI-4-ADMIN-FIN</t>
  </si>
  <si>
    <t>FCACC-CO-AD-NI-4-CONTA-SUP</t>
  </si>
  <si>
    <t>CONTABILIDAD SUPERIOR</t>
  </si>
  <si>
    <t>FCACC-CO-AD-NI-4-PLANI-Y D-DIR</t>
  </si>
  <si>
    <t>FCACC-CO-AD-NI-4-PLANI-DE -AUD</t>
  </si>
  <si>
    <t>PLANIFICACIÓN DE AUDITORÍA</t>
  </si>
  <si>
    <t>FCACC-CO-AD-NI-4-TRIBU-APL</t>
  </si>
  <si>
    <t>TRIBUTACIÓN APLICADA</t>
  </si>
  <si>
    <t>FCACC-CO-AD-NI-5-CONTA-DE -COS</t>
  </si>
  <si>
    <t>FCACC-CO-AD-NI-5-CONTA-ESP</t>
  </si>
  <si>
    <t>CONTABILIDAD ESPECIALIZADA</t>
  </si>
  <si>
    <t>FCACC-CO-AD-NI-5-AUDIT-FIN</t>
  </si>
  <si>
    <t>FCACC-CO-AD-NI-5-ORGAN-Y M-MÉT</t>
  </si>
  <si>
    <t>ORGANIZACIÓN Y MÉTODOS</t>
  </si>
  <si>
    <t>FCACC-CO-AD-NI-5-PRESU</t>
  </si>
  <si>
    <t>PRESUPUESTO</t>
  </si>
  <si>
    <t>FCACC-CO-AD-NI-6-MARCO-INT-E I</t>
  </si>
  <si>
    <t>MARCO INTEGRADO E INDICADORES DE GESTIÓN</t>
  </si>
  <si>
    <t>FCACC-CO-AD-NI-6-CONTA-DE -COS</t>
  </si>
  <si>
    <t>CONTABILIDAD DE COSTOS AVANZADA</t>
  </si>
  <si>
    <t>FCACC-CO-AD-NI-6-CONTA-GUB</t>
  </si>
  <si>
    <t>CONTABILIDAD GUBERNAMENTAL</t>
  </si>
  <si>
    <t>FCACC-CO-AD-NI-6-FORMU-DE -PRO</t>
  </si>
  <si>
    <t>FORMULACIÓN DE PROYECTOS SOCIALES Y PRODUCTIVOS</t>
  </si>
  <si>
    <t xml:space="preserve">FCACC-CO-AD-NI-6-GESTI-DE -LA </t>
  </si>
  <si>
    <t>GESTIÓN DE LA CALIDAD Y ESTANDARIZACIÓN</t>
  </si>
  <si>
    <t>FCACC-CO-AD-NI-6-INVES-OPE</t>
  </si>
  <si>
    <t>FCACC-CO-AD-NI-7-AUDIT-TRI</t>
  </si>
  <si>
    <t>FCACC-CO-AD-NI-7-AUDIT-DE -CAL</t>
  </si>
  <si>
    <t>AUDITORÍA DE CALIDAD</t>
  </si>
  <si>
    <t>FCACC-CO-AD-NI-7-EVALU-DE -PRO</t>
  </si>
  <si>
    <t>EVALUACIÓN DE PROYECTOS SOCIALES Y PRODUACTIVOS</t>
  </si>
  <si>
    <t>FCACC-CO-AD-NI-7-AUDIT-GUB</t>
  </si>
  <si>
    <t>AUDITORÍA GUBERNAMENTAL</t>
  </si>
  <si>
    <t>FCACC-CO-AD-NI-8-AUDIT-FOR</t>
  </si>
  <si>
    <t>FCACC-CO-AD-NI-8-AUDIT-DE -GES</t>
  </si>
  <si>
    <t>FCACC-CO-AD-NI-8-AUDIT-INF</t>
  </si>
  <si>
    <t>AUDITORÍA INFORMÁTICA</t>
  </si>
  <si>
    <t>FCACC-CO-AD-NI-8-PROCE-DE -CON</t>
  </si>
  <si>
    <t>FCACC-CO-AD-NI-8-AUDIT-AMB</t>
  </si>
  <si>
    <t>AUDITORÍA AMBIENTAL</t>
  </si>
  <si>
    <t>FCACC-FINA-NI-1-CONTA-ADM</t>
  </si>
  <si>
    <t>CONTABILIDAD ADMINISTRATIVA</t>
  </si>
  <si>
    <t>FCACC-FINA-NI-1-MATEM-ADM</t>
  </si>
  <si>
    <t>MATEMÁTICA ADMINISTRATIVA</t>
  </si>
  <si>
    <t>FCACC-FINA-NI-1-FUNDA-DE -ADM</t>
  </si>
  <si>
    <t xml:space="preserve">FCACC-FINA-NI-1-METOD-DE -LA </t>
  </si>
  <si>
    <t>FCACC-FINA-NI-2-CONTA-DE -COS</t>
  </si>
  <si>
    <t>FCACC-FINA-NI-2-SISTE-TRI</t>
  </si>
  <si>
    <t>SISTEMA TRIBUTARIO</t>
  </si>
  <si>
    <t>FCACC-FINA-NI-2-MATEM-FIN</t>
  </si>
  <si>
    <t>FCACC-FINA-NI-2-ESTAD-FIN</t>
  </si>
  <si>
    <t>ESTADÍSTICA FINANCIERA</t>
  </si>
  <si>
    <t>FCACC-FINA-NI-3-CONTA-BAN</t>
  </si>
  <si>
    <t>CONTABILIDAD BANCARIA</t>
  </si>
  <si>
    <t>FCACC-FINA-NI-3-FUNDA-DE -FIN</t>
  </si>
  <si>
    <t>FUNDAMENTOS DE FINANZAS</t>
  </si>
  <si>
    <t>FCACC-FINA-NI-3-ECONO</t>
  </si>
  <si>
    <t>ECONOMETRÍA</t>
  </si>
  <si>
    <t>FCACC-FINA-NI-3-LEGIS-MON-Y</t>
  </si>
  <si>
    <t>LEGISLACIÓN MONETARIA Y BANCARIA</t>
  </si>
  <si>
    <t>FCACC-FINA-NI-4-CONTA-FIN</t>
  </si>
  <si>
    <t>FCACC-FINA-NI-4-MERCA-DE -SEG</t>
  </si>
  <si>
    <t>MERCADO DE SEGUROS</t>
  </si>
  <si>
    <t>FCACC-FINA-NI-4-ADMIN-FIN</t>
  </si>
  <si>
    <t>FCACC-FINA-NI-4-GESTI-DEL-TAL</t>
  </si>
  <si>
    <t>FCACC-FINA-NI-4-GEREN-EST</t>
  </si>
  <si>
    <t>GERENCIA ESTRATÉGICA</t>
  </si>
  <si>
    <t>FCACC-FINA-NI-5-GESTI-DEL-PRE</t>
  </si>
  <si>
    <t>GESTIÓN DEL PRESUPUESTO</t>
  </si>
  <si>
    <t>FCACC-FINA-NI-5-ECONO-POP-Y S</t>
  </si>
  <si>
    <t>ECONOMÍA POPULARES Y SOLIDARIAS SECTOR FINANCIERO</t>
  </si>
  <si>
    <t>FCACC-FINA-NI-5-ADMIN-DE -RIE</t>
  </si>
  <si>
    <t>ADMINISTRACIÓN DE RIESGOS FINANCIEROS</t>
  </si>
  <si>
    <t>FCACC-FINA-NI-5-GESTI-DE -SEG</t>
  </si>
  <si>
    <t>GESTIÓN DE SEGURO Y TRANSFERENCIA DE RIESGO</t>
  </si>
  <si>
    <t>FCACC-FINA-NI-5-EMPRE-Y D-DES</t>
  </si>
  <si>
    <t>EMPRENDIMIENTO Y DESARROLLO LOCAL</t>
  </si>
  <si>
    <t>FCACC-FINA-NI-5-ÉTICA-Y R-RES</t>
  </si>
  <si>
    <t>ÉTICA Y RESPONSABILIDAD SOCIAL CORPORATIVA</t>
  </si>
  <si>
    <t>FCACC-FINA-NI-6-FINAN-COR</t>
  </si>
  <si>
    <t>FCACC-FINA-NI-6-ECONO- PO-POP</t>
  </si>
  <si>
    <t>ECONOMÍAS  POPULARES Y SOLIDARIAS SECTOR NO FINANCIERO</t>
  </si>
  <si>
    <t>FCACC-FINA-NI-6-DISEÑ-Y E-EVA</t>
  </si>
  <si>
    <t>DISEÑO Y EVALUACIÓN DE PROYECTOS DE DESARROLLO  SOCIALES</t>
  </si>
  <si>
    <t>FCACC-FINA-NI-6-AUDIT-FIN</t>
  </si>
  <si>
    <t>FCACC-FINA-NI-6-MERCA-FIN</t>
  </si>
  <si>
    <t>MERCADOS FINANCIEROS</t>
  </si>
  <si>
    <t>FCACC-FINA-NI-7-FINAN- Y -Y P</t>
  </si>
  <si>
    <t>FINANZAS  Y POLÍTICAS PÚBLICAS</t>
  </si>
  <si>
    <t>FCACC-FINA-NI-7-MERCA</t>
  </si>
  <si>
    <t>FCACC-FINA-NI-7-DISEÑ- Y -Y E</t>
  </si>
  <si>
    <t>DISEÑO  Y EVALUACIÓN DE PROYECTOS DE INVERSIÓN</t>
  </si>
  <si>
    <t>FCACC-FINA-NI-7-PLANI-PRO</t>
  </si>
  <si>
    <t>PLANIFICACIÓN PROSPECTIVA_x000D_
ESTRATÉGICA Y FINANCIERA</t>
  </si>
  <si>
    <t>FCACC-FINA-NI-7-PROCE-DE -CON</t>
  </si>
  <si>
    <t>FCACC-FINA-NI-8-SISTE-DE -INF</t>
  </si>
  <si>
    <t>SISTEMA DE INFORMACIÓN FINANCIERA</t>
  </si>
  <si>
    <t>FCACC-FINA-NI-8-CONTA-GUB</t>
  </si>
  <si>
    <t>FCACC-FINA-NI-8-FINAN-DE -INV</t>
  </si>
  <si>
    <t>FINANCIAMIENTO DE INVERSIONES</t>
  </si>
  <si>
    <t>FCACC-FINA-NI-8-MODEL-Y S-SIM</t>
  </si>
  <si>
    <t>MODELACIÓN Y SIMULACIÓN FINANCIERA</t>
  </si>
  <si>
    <t>FCACC-FINA-NI-8-VALOR-DE -EMP</t>
  </si>
  <si>
    <t>VALORACIÓN DE EMPRESA</t>
  </si>
  <si>
    <t>FCACC-GE-IN-GE-NI-8-ENGLI-FOR-SPE</t>
  </si>
  <si>
    <t>ENGLISH FOR SPECIFIC PURPOSE II</t>
  </si>
  <si>
    <t>FCACC-GE-IN-GE-NI-3-GESTI-DE -PRO</t>
  </si>
  <si>
    <t>GESTION DE PROCESOS</t>
  </si>
  <si>
    <t>FCACC-GE-IN-GE-NI-3-ESTAD-INF</t>
  </si>
  <si>
    <t>FCACC-GE-IN-GE-NI-3-SISTE-DE -INF</t>
  </si>
  <si>
    <t>SISTEMAS DE INFORMACIÓN Y GESTIÓN  DOCUMENTAL</t>
  </si>
  <si>
    <t xml:space="preserve">FCACC-GE-IN-GE-NI-3-GESTI-DE -LA </t>
  </si>
  <si>
    <t>GESTIÓN DE LA INFORMACIÓN</t>
  </si>
  <si>
    <t>FCACC-GE-IN-GE-NI-3-METOD-DE -INV</t>
  </si>
  <si>
    <t>METODOLOGÍA DE INVESTIGACIÓN</t>
  </si>
  <si>
    <t>FCACC-GE-IN-GE-NI-4-SISTE-DE -INF</t>
  </si>
  <si>
    <t>SISTEMA DE INFORMACIÓN DIGITAL</t>
  </si>
  <si>
    <t>FCACC-GE-IN-GE-NI-4-HERRA-DIG-</t>
  </si>
  <si>
    <t>HERRAMIENTAS DIGITALES AVANZADAS PARA LA GESTIÓN  DE INFORMACIÓN</t>
  </si>
  <si>
    <t xml:space="preserve">FCACC-GE-IN-GE-NI-4-GOBIE-ELE-Y </t>
  </si>
  <si>
    <t>GOBIERNO ELECTRÓNICO Y ADMINISTRACIÓN PÚBLICA</t>
  </si>
  <si>
    <t>FCACC-GE-IN-GE-NI-4-GESTI-DOC-Y A</t>
  </si>
  <si>
    <t>GESTIÓN DOCUMENTAL Y ARCHIVÍSTICA</t>
  </si>
  <si>
    <t>FCACC-GE-IN-GE-NI-6-ANÁLI-CUA-DE</t>
  </si>
  <si>
    <t>ANÁLISIS CUALITATIVO DE LA INFORMACIÓN</t>
  </si>
  <si>
    <t>FCACC-GE-IN-GE-NI-6-ANALI-DE -MOD</t>
  </si>
  <si>
    <t>ANALISIS DE MODELOS INSTITUCIONALES  EN LA GESTIÓN INFORMACIONAL</t>
  </si>
  <si>
    <t>FCACC-GE-IN-GE-NI-6-GESTI-DEL-CON</t>
  </si>
  <si>
    <t>GESTIÓN DEL CONOCIMIENTO</t>
  </si>
  <si>
    <t>FCACC-GE-IN-GE-NI-6-DISEÑ-Y E-EVA</t>
  </si>
  <si>
    <t>DISEÑO Y EVALUACIÓN DE PROYECTOS DE INVESTIGACIÓN</t>
  </si>
  <si>
    <t xml:space="preserve">FCACC-GE-IN-GE-NI-6-SISTE-GES-DE </t>
  </si>
  <si>
    <t>SISTEMAS GESTORES DE BASES DE DATOS</t>
  </si>
  <si>
    <t>FCACC-GE-IN-GE-NI-8-INFOR-ARC</t>
  </si>
  <si>
    <t>INFORMATION ARCHITECTURE</t>
  </si>
  <si>
    <t>FCACC-GE-IN-GE-NI-8-BUSIN-ENG</t>
  </si>
  <si>
    <t>BUSINESS ENGLISH</t>
  </si>
  <si>
    <t>FCACC-GE-IN-GE-NI-8-EVALU-DE -PRO</t>
  </si>
  <si>
    <t>EVALUACIÓN DE PROGRAMAS INFORMACIONALES</t>
  </si>
  <si>
    <t>FCACC-GE-IN-GE-NI-8-BUSIN-INT</t>
  </si>
  <si>
    <t>FCACC-GE-IN-GE-NI-8-prueb</t>
  </si>
  <si>
    <t>prueba</t>
  </si>
  <si>
    <t>FCACC-GE-TA-HU-NI-1-GESTI-DEL-TAL</t>
  </si>
  <si>
    <t>GESTIÓN DEL TALENTO HUMANO (GTH)</t>
  </si>
  <si>
    <t>FCACC-GE-TA-HU-NI-1-LA AD-(GT</t>
  </si>
  <si>
    <t>LA ADMINISTRACIÓN (GTH)</t>
  </si>
  <si>
    <t xml:space="preserve">FCACC-GE-TA-HU-NI-1-METOD-DE -LA </t>
  </si>
  <si>
    <t>METODOLOGÍA DE LA INVESTIGACIÓN (GTH)</t>
  </si>
  <si>
    <t>FCACC-GE-TA-HU-NI-1-MICRO-(GT</t>
  </si>
  <si>
    <t>MICROECONOMÍA (GTH)</t>
  </si>
  <si>
    <t>FCACC-GE-TA-HU-NI-1-DEREC-CON-</t>
  </si>
  <si>
    <t>DERECHO CONSTITUCIONAL (GTH)</t>
  </si>
  <si>
    <t>FCACC-GE-TA-HU-NI-2-ORGAN-EST</t>
  </si>
  <si>
    <t>ORGANIZACIÓN ESTRUCTURAL Y DE PROCESOS (GTH)</t>
  </si>
  <si>
    <t>FCACC-GE-TA-HU-NI-2-PSICO-ORG</t>
  </si>
  <si>
    <t>PSICOLOGÍA ORGANIZACIONAL (GTH)</t>
  </si>
  <si>
    <t xml:space="preserve">FCACC-GE-TA-HU-NI-2-ESTAD-APL-A </t>
  </si>
  <si>
    <t>ESTADÍSTICA APLICADA A LA ADMINISTRACIÓN (GTH)</t>
  </si>
  <si>
    <t>FCACC-GE-TA-HU-NI-2-MACRO-(GT</t>
  </si>
  <si>
    <t>MACROECONOMÍA (GTH)</t>
  </si>
  <si>
    <t>FCACC-GE-TA-HU-NI-2-DEREC-LAB-PRI</t>
  </si>
  <si>
    <t>DERECHO LABORAL PRIVADO (GTH)</t>
  </si>
  <si>
    <t>FCACC-GE-TA-HU-NI-2-GESTI-DEL-CAM</t>
  </si>
  <si>
    <t>GESTIÓN DEL CAMBIO EN ORGANIZACIONES (GTH)</t>
  </si>
  <si>
    <t>FCACC-GE-TA-HU-NI-3-CLASI-Y V-VAL</t>
  </si>
  <si>
    <t>CLASIFICACIÓN Y VALORACIÓN DE CARGOS POR COMPETENCIAS (GTH)</t>
  </si>
  <si>
    <t>FCACC-GE-TA-HU-NI-3-CULTU-Y C-COM</t>
  </si>
  <si>
    <t>CULTURA Y COMPORTAMIENTO ORGANIZACIONAL (GTH)</t>
  </si>
  <si>
    <t>FCACC-GE-TA-HU-NI-3-INVES-DE -MER</t>
  </si>
  <si>
    <t>INVESTIGACIÓN DE MERCADO LABORAL (GTH)</t>
  </si>
  <si>
    <t>FCACC-GE-TA-HU-NI-3-PROGR-NEU</t>
  </si>
  <si>
    <t>PROGRAMACIÓN NEUROLINGUÍSTICA (GTH)</t>
  </si>
  <si>
    <t>FCACC-GE-TA-HU-NI-3-DEREC-LAB-PÚB</t>
  </si>
  <si>
    <t>DERECHO LABORAL PÚBLICO (GTH)</t>
  </si>
  <si>
    <t>FCACC-GE-TA-HU-NI-3-GESTI-DOC-Y A</t>
  </si>
  <si>
    <t>GESTIÓN DOCUMENTAL Y ARCHIVÍSTICA (GTH)</t>
  </si>
  <si>
    <t>FCACC-GE-TA-HU-NI-4-RECLU-SEL</t>
  </si>
  <si>
    <t>RECLUTAMIENTO SELECCIÓN Y ONBOARDING DEL CAPITAL HUMANO (GTH</t>
  </si>
  <si>
    <t>FCACC-GE-TA-HU-NI-4-EMPLE-Y D-DES</t>
  </si>
  <si>
    <t>EMPLEABILIDAD Y DESARROLLO PROFESIONAL (GTH)</t>
  </si>
  <si>
    <t>FCACC-GE-TA-HU-NI-4-NEURO-(GT</t>
  </si>
  <si>
    <t>NEUROMANAGEMENT (GTH)</t>
  </si>
  <si>
    <t>FCACC-GE-TA-HU-NI-4-GESTI-DEL-CON</t>
  </si>
  <si>
    <t>GESTIÓN DEL CONOCIMIENTO EN LAS ORGANIZACIONES (GTH)</t>
  </si>
  <si>
    <t>FCACC-GE-TA-HU-NI-4-SEGUR-Y S-SAL</t>
  </si>
  <si>
    <t>SEGURIDAD Y SALUD OCUPACIONAL (GTH)</t>
  </si>
  <si>
    <t>FCACC-GE-TA-HU-NI-5-EVALU-DEL-DES</t>
  </si>
  <si>
    <t>EVALUACIÓN DEL DESEMPEÑO / COMPETITIVIDAD LABORAL (GTH)</t>
  </si>
  <si>
    <t>FCACC-GE-TA-HU-NI-5-ADMIN-DE -REM</t>
  </si>
  <si>
    <t>ADMINISTRACIÓN DE REMUNERACIONES INDEMNIZACIONES Y COMPENSAC</t>
  </si>
  <si>
    <t>FCACC-GE-TA-HU-NI-5-BIENE-Y C-CLI</t>
  </si>
  <si>
    <t>BIENESTAR Y CLIMA LABORAL (GTH)</t>
  </si>
  <si>
    <t>FCACC-GE-TA-HU-NI-5-PRESU-(GT</t>
  </si>
  <si>
    <t>PRESUPUESTO (GTH)</t>
  </si>
  <si>
    <t>FCACC-GE-TA-HU-NI-5-POLÍT-PÚB-Y L</t>
  </si>
  <si>
    <t>POLÍTICAS PÚBLICAS Y LABORALES (GTH)</t>
  </si>
  <si>
    <t>FCACC-GE-TA-HU-NI-6-GESTI-INT-DEL</t>
  </si>
  <si>
    <t>GESTIÓN INTEGRAL DEL TALENTO HUMANO (GTH)</t>
  </si>
  <si>
    <t>FCACC-GE-TA-HU-NI-6-DIREC-DE -TAL</t>
  </si>
  <si>
    <t>DIRECCIÓN DE TALENTO HUMANO (GTH)</t>
  </si>
  <si>
    <t>FCACC-GE-TA-HU-NI-6-E-TRA-/ E-E-L</t>
  </si>
  <si>
    <t>E-TRADING / E-LEARNING ORGANIZACIONAL (GTH)</t>
  </si>
  <si>
    <t>FCACC-GE-TA-HU-NI-6-CONSU-ORG</t>
  </si>
  <si>
    <t>CONSULTORÍA ORGANIZACIONAL (GTH)</t>
  </si>
  <si>
    <t>FCACC-GE-TA-HU-NI-6-GESTI-DE -CAL</t>
  </si>
  <si>
    <t>GESTIÓN DE CALIDAD APLICADA AL TALENTO HUMANO (GTH)</t>
  </si>
  <si>
    <t>FCACC-GE-TA-HU-NI-7-ENDOM-(GT</t>
  </si>
  <si>
    <t>ENDOMARKETING (GTH)</t>
  </si>
  <si>
    <t xml:space="preserve">FCACC-GE-TA-HU-NI-7-TENDE-GLO-DE </t>
  </si>
  <si>
    <t>TENDENCIAS GLOBALES DE LA GESTIÓN DEL TALENTO HUMANO (GTH)</t>
  </si>
  <si>
    <t>FCACC-GE-TA-HU-NI-7-GEREN-EST-(G</t>
  </si>
  <si>
    <t>GERENCIA ESTRATÉGICA (GTH)</t>
  </si>
  <si>
    <t>FCACC-GE-TA-HU-NI-7-DEONT-PRO</t>
  </si>
  <si>
    <t>DEONTOLOGÍA PROFESIONAL (GTH)</t>
  </si>
  <si>
    <t>FCACC-GE-TA-HU-NI-8-AUDIT-DEL-TAL</t>
  </si>
  <si>
    <t>AUDITORÍA DEL TALENTO HUMANO (GTH)</t>
  </si>
  <si>
    <t>FCACC-GE-TA-HU-NI-8-BUSIN-COA-(GT</t>
  </si>
  <si>
    <t>BUSINESS COACHING (GTH)</t>
  </si>
  <si>
    <t>FCACC-GE-TA-HU-NI-8-GESTI-DE -CON</t>
  </si>
  <si>
    <t>GESTIÓN DE CONFLICTOS Y NEGOCIACIÓN (GTH)</t>
  </si>
  <si>
    <t>FCACC-GE-TA-HU-NI-8-RESPO-SOC-</t>
  </si>
  <si>
    <t>RESPONSABILIDAD SOCIAL EMPRESARIAL (GTH)</t>
  </si>
  <si>
    <t xml:space="preserve">FCACC-MA-NI-1-SOCIE-DE -LA </t>
  </si>
  <si>
    <t>SOCIEDAD DE LA INFORMACIÓN Y EL CONOCIMIENTO</t>
  </si>
  <si>
    <t>FCACC-MA-NI-1-INTRO-A L-LOS</t>
  </si>
  <si>
    <t>INTRODUCCIÓN A LOS SISTEMAS DE INFORMACIÓN</t>
  </si>
  <si>
    <t>FCACC-MA-NI-1-ÉTICA-Y R-RES</t>
  </si>
  <si>
    <t>ÉTICA Y RESPONSABILIDAD SOCIAL EN LA INFORMACIÓN</t>
  </si>
  <si>
    <t>FCACC-MA-NI-1-OFIMÁ</t>
  </si>
  <si>
    <t>OFIMÁTICA</t>
  </si>
  <si>
    <t>FCACC-MA-NI-1-CÁTED-ALF</t>
  </si>
  <si>
    <t>CÁTEDRA ALFARO</t>
  </si>
  <si>
    <t>FCACC-MA-NI-2-GESTI-ORG</t>
  </si>
  <si>
    <t>GESTIÓN ORGANIZACIONAL</t>
  </si>
  <si>
    <t xml:space="preserve">FCACC-MA-NI-2-MARCO-CON-Y </t>
  </si>
  <si>
    <t>MARCO CONSTITUCIONAL Y DERECHO ADMINISTRATIVO ECUATORIANO</t>
  </si>
  <si>
    <t>FCACC-MA-NI-2-MEMOR-PAT-Y U</t>
  </si>
  <si>
    <t>MEMORIA, PATRIMONIO Y USO DE LA INFORMACIÓN</t>
  </si>
  <si>
    <t>FCACC-MA-NI-2-ESTAD-DES</t>
  </si>
  <si>
    <t>ESTADISTICA DESCRIPTIVA</t>
  </si>
  <si>
    <t>FCACC-MA-NI-3-GESTI-DE -PRO</t>
  </si>
  <si>
    <t>FCACC-MA-NI-3-ESTAD-INF</t>
  </si>
  <si>
    <t>FCACC-MA-NI-3-SISTE-DE -INF</t>
  </si>
  <si>
    <t xml:space="preserve">FCACC-MA-NI-3-GESTI-DE -LA </t>
  </si>
  <si>
    <t>FCACC-MA-NI-3-METOD-DE -INV</t>
  </si>
  <si>
    <t>FCACC-MA-NI-4-SISTE-DE -INF</t>
  </si>
  <si>
    <t>FCACC-MA-NI-4-HERRA-DIG-</t>
  </si>
  <si>
    <t>HERRAMIENTAS DIGITALES AVANZADAS PARALA GESTIÓN  DE INFORMACIÓN</t>
  </si>
  <si>
    <t xml:space="preserve">FCACC-MA-NI-4-GOBIE-ELE-Y </t>
  </si>
  <si>
    <t>FCACC-MA-NI-4-GESTI-DOC-Y A</t>
  </si>
  <si>
    <t>FCACC-MA-NI-4-PRÁCT-PRE</t>
  </si>
  <si>
    <t>PRÁCTICAS PREPROFESIONALES I</t>
  </si>
  <si>
    <t>FCACC-MA-NI-5-PLANI-EST</t>
  </si>
  <si>
    <t>PLANIFICACIÓN ESTRATÉGICA</t>
  </si>
  <si>
    <t>FCACC-MA-NI-5-ALFAB-Y C-COM</t>
  </si>
  <si>
    <t>ALFABETIZACIÓN Y COMPETENCIAS INFORMACIONALES</t>
  </si>
  <si>
    <t>FCACC-MA-NI-5-ANÁLI-CUA-D</t>
  </si>
  <si>
    <t>ANÁLISIS CUANTITATIVO DE LA INFORMACIÓN</t>
  </si>
  <si>
    <t xml:space="preserve">FCACC-MA-NI-5-MODEL-GES-DE </t>
  </si>
  <si>
    <t>MODELOS GESTIÓN DE INFORMACIÓN</t>
  </si>
  <si>
    <t xml:space="preserve">FCACC-MA-NI-5-CALID-TOT-DE </t>
  </si>
  <si>
    <t>CALIDAD TOTAL DE LA INFORMACIÓN</t>
  </si>
  <si>
    <t>FCACC-MA-NI-5-PRÁCT-PRE</t>
  </si>
  <si>
    <t>PRÁCTICAS PREPROFESIONALES II</t>
  </si>
  <si>
    <t>FCACC-MA-NI-6-ANÁLI-CUA-DE</t>
  </si>
  <si>
    <t>FCACC-MA-NI-6-ANÁLI-DE -MOD</t>
  </si>
  <si>
    <t>ANÁLISIS DE MODELOS INSTITUCIONALES EN LA GESTIÓN INFORMACIONAL</t>
  </si>
  <si>
    <t>FCACC-MA-NI-6-DISEÑ-Y E-EVA</t>
  </si>
  <si>
    <t xml:space="preserve">FCACC-MA-NI-6-SISTE-GES-DE </t>
  </si>
  <si>
    <t>FCACC-MA-NI-6-GESTI-DEL-CON</t>
  </si>
  <si>
    <t>FCACC-MA-NI-7-EVALU-DE -MOD</t>
  </si>
  <si>
    <t>EVALUACIÓN DE MODELOS DE GESTIÓN DE INFORMACIÓN</t>
  </si>
  <si>
    <t xml:space="preserve">FCACC-MA-NI-7-DECIS-MAK-IN </t>
  </si>
  <si>
    <t>DECISION MAKING IN MANAGEMENT</t>
  </si>
  <si>
    <t>FCACC-MA-NI-7-GESTI-DE -PRO</t>
  </si>
  <si>
    <t>GESTIÓN DE PROYECTOS</t>
  </si>
  <si>
    <t>FCACC-MA-NI-7-ENGLI-FOR-SPE</t>
  </si>
  <si>
    <t>ENGLISH FOR SPECIFIC PURPOSE I</t>
  </si>
  <si>
    <t>FCACC-MA-NI-8-EVALU-DE -PRO</t>
  </si>
  <si>
    <t>FCACC-MA-NI-8-INFOR-ARC</t>
  </si>
  <si>
    <t>FCACC-MA-NI-8-BUSIN- IN-INT</t>
  </si>
  <si>
    <t>BUSINESS  INTELLIGENCE</t>
  </si>
  <si>
    <t>FCACC-MA-NI-8-ENGLI-FOR-SPE</t>
  </si>
  <si>
    <t>FCACC-MA-NI-8-BUSIN-ENG</t>
  </si>
  <si>
    <t>FCACC-4-DO-TU-TI-NI-0-AD1 D-Dir-y T</t>
  </si>
  <si>
    <t>AD1 Dirección y Tutorias de Trabajos para la obtención del titulo de grado</t>
  </si>
  <si>
    <t>FCACC-1-DO-CL-NI-0-AD5 E-Ela-y c</t>
  </si>
  <si>
    <t xml:space="preserve">FCACC-1-DO-CL-NI-0-AD4 P-Pre-de </t>
  </si>
  <si>
    <t>FCACC-1-DO-CL-NI-0-AD6 O-Ori-a t</t>
  </si>
  <si>
    <t xml:space="preserve">FCACC-1-DO-CL-NI-0-AD8 P-Par-en </t>
  </si>
  <si>
    <t>AD8 Participación en colectivos académicos sobre docencia</t>
  </si>
  <si>
    <t>FCACC-5-DO-PE-IN-NI-0-AD3 U-Uso-ped</t>
  </si>
  <si>
    <t>AD3 Uso pedagógico de la investigación</t>
  </si>
  <si>
    <t>FCACC-6-IVN-NI-60-AI1 D-Dis-y d</t>
  </si>
  <si>
    <t>AI1 Diseño y dirección de proyectos de investigación</t>
  </si>
  <si>
    <t xml:space="preserve">FCACC-6-IVN-NI-60-AI3 D-Dif-de </t>
  </si>
  <si>
    <t>AI3 Difusión de resultados y beneficios sociales de la investigación.</t>
  </si>
  <si>
    <t xml:space="preserve">FCACC-6-IVN-NI-60-AI2 E-Eje-de </t>
  </si>
  <si>
    <t>AI2 Ejecución de proyectos de investigación, Básica, Aplicada a la tecnología</t>
  </si>
  <si>
    <t>FCACC-8-VI-SO-NI-80-AVS3 -Par-com</t>
  </si>
  <si>
    <t>AVS3 Participación como líder en proyectos sociales de vinculación con la sociedad</t>
  </si>
  <si>
    <t xml:space="preserve">FCACC-8-VI-SO-NI-80-AVS2 -Par-en </t>
  </si>
  <si>
    <t>AVS2 Participación en proyectos sociales de vinculación con la sociedad</t>
  </si>
  <si>
    <t xml:space="preserve">FCACC-9-GE_ED-NI-90-GPA8 -Mie-de </t>
  </si>
  <si>
    <t>GPA8 Miembro de Despacho Rectorado</t>
  </si>
  <si>
    <t>FCACC-9-GE_ED-NI-90-GPA36-Res-Bie</t>
  </si>
  <si>
    <t>GPA36 Responsable Bienestar</t>
  </si>
  <si>
    <t>FCACC-9-GE_ED-NI-90-GPA13-Pre-Com</t>
  </si>
  <si>
    <t>GPA13 Presidente Comisión de Vinculación</t>
  </si>
  <si>
    <t xml:space="preserve">FCACC-9-GE_ED-NI-90-GPA6 -Dir-de </t>
  </si>
  <si>
    <t>GPA6 Director/a de Carrera</t>
  </si>
  <si>
    <t>FCACC-9-GE_ED-NI-90-GPA14-Mie-Doc</t>
  </si>
  <si>
    <t>GPA14 Miembro Docente de Comisión Académica</t>
  </si>
  <si>
    <t>FCACC-9-GE_ED-NI-90-GPA5 -Dir-Aca</t>
  </si>
  <si>
    <t>GPA5 Director/a Académico</t>
  </si>
  <si>
    <t xml:space="preserve">FCACC-9-GE_ED-NI-90-GPA28-Mie-de </t>
  </si>
  <si>
    <t>GPA28 Miembro de Despacho Vicerrectorado Académico</t>
  </si>
  <si>
    <t xml:space="preserve">FCACC-9-GE_ED-NI-90-GPA45-Pre-de </t>
  </si>
  <si>
    <t>GPA45 Presidente de Comisión de Prácticas Preprofesionales</t>
  </si>
  <si>
    <t>FCACC-8-PRAC-NI-70-Labor</t>
  </si>
  <si>
    <t>Laborales</t>
  </si>
  <si>
    <t>FCACC-8-PRAC-NI-70-Pre-p</t>
  </si>
  <si>
    <t>Pre-profesionales</t>
  </si>
  <si>
    <t>ID_DET_MAEST</t>
  </si>
  <si>
    <t>MAESTRIA</t>
  </si>
  <si>
    <t>ID_MAESTRIA</t>
  </si>
  <si>
    <t>ID_DETALLADO</t>
  </si>
  <si>
    <t>FCAC-DET-MAES-01</t>
  </si>
  <si>
    <t>DOCTOR DENTRO DEL PROGRAMA DE DOCTORADO EN CIENCIAS SOCIALES Y JURÍDICAS</t>
  </si>
  <si>
    <t>MAES-DOC-DOC-DEN-DEL</t>
  </si>
  <si>
    <t>FCAC-DET-MAES-02</t>
  </si>
  <si>
    <t>DOCTOR EN CIENCIAS SOCIALES MENCIÓN GERENCIA</t>
  </si>
  <si>
    <t>MAES-DOC-DOC-EN -CIE</t>
  </si>
  <si>
    <t>FCAC-DET-MAES-03</t>
  </si>
  <si>
    <t>MAESTRIA EN ALTA DIRECCIÓN (MBA)</t>
  </si>
  <si>
    <t>MAES-DOC-MAE-EN -ALT</t>
  </si>
  <si>
    <t>FCAC-DET-MAES-04</t>
  </si>
  <si>
    <t>MAGISTER EJECUTIVO EN INFORMATICA DE GESTIÓN Y NUEVAS TECNOLOGÍAS</t>
  </si>
  <si>
    <t xml:space="preserve">MAES-DOC-MAG-EJE-EN </t>
  </si>
  <si>
    <t>FCAC-DET-MAES-05</t>
  </si>
  <si>
    <t>MAGISTER EN ADMINISTRACIÓN DE EMPRESAS</t>
  </si>
  <si>
    <t>MAES-DOC-MAG-EN -ADM</t>
  </si>
  <si>
    <t>FCAC-DET-MAES-06</t>
  </si>
  <si>
    <t>MAGISTER EN ADMINISTRACIÓN DE EMPRESAS CON MENCIÓN EN MARKETING</t>
  </si>
  <si>
    <t>FCAC-DET-MAES-07</t>
  </si>
  <si>
    <t>FCAC-DET-MAES-08</t>
  </si>
  <si>
    <t>MAGISTER EN ADMINISTRACIÓN DE EMPRESAS MENCIÓN DIRECCIÓN FINANCIERA</t>
  </si>
  <si>
    <t>FCAC-DET-MAES-09</t>
  </si>
  <si>
    <t>FCAC-DET-MAES-10</t>
  </si>
  <si>
    <t>MAGISTER EN ADMINISTRACIÓN DE EMPRESAS MENCIÓN EN GESTIÓN DE RECURSOS HUMANOS</t>
  </si>
  <si>
    <t>FCAC-DET-MAES-11</t>
  </si>
  <si>
    <t>MAGISTER EN ADMINISTRACIÓN DE EMPRESAS MENCIÓN NEGOCIOS INTERNACIONALES</t>
  </si>
  <si>
    <t>FCAC-DET-MAES-12</t>
  </si>
  <si>
    <t>MAGISTER EN ADMINISTRACIÓN PÚBLICA MENCIÓN DESARROLLO INSTITUCIONAL</t>
  </si>
  <si>
    <t>FCAC-DET-MAES-13</t>
  </si>
  <si>
    <t>MAGISTER EN AUDITORÍA DE GESTIÓN DE LA CALIDAD</t>
  </si>
  <si>
    <t>MAES-DOC-MAG-EN -AUD</t>
  </si>
  <si>
    <t>FCAC-DET-MAES-14</t>
  </si>
  <si>
    <t>MAGISTER EN AUDITORÍA DE TECNOLOGÍAS DE LA INFORMACIÓN</t>
  </si>
  <si>
    <t>FCAC-DET-MAES-15</t>
  </si>
  <si>
    <t>MAGISTER EN AUDITORÍA INTEGRAL</t>
  </si>
  <si>
    <t>FCAC-DET-MAES-16</t>
  </si>
  <si>
    <t>MAGISTER EN CONSTITUCIONALISMO CONTEMPORANEO Y GOBERNANZA LOCAL</t>
  </si>
  <si>
    <t>MAES-DOC-MAG-EN -CON</t>
  </si>
  <si>
    <t>FCAC-DET-MAES-17</t>
  </si>
  <si>
    <t>MAGISTER EN CONTABILIDAD Y AUDITORÍA</t>
  </si>
  <si>
    <t>FCAC-DET-MAES-18</t>
  </si>
  <si>
    <t>MAGISTER EN CONTABILIDAD Y AUDITORÍA CON MENCIÓN EN GESTIÓN TRIBUTARIA</t>
  </si>
  <si>
    <t>FCAC-DET-MAES-19</t>
  </si>
  <si>
    <t>MAGISTER EN CONTABILIDAD Y FINANZAS MENCIÓN EN GESTIÓN FISCAL, FINANCIERA Y TRIBUTARIA</t>
  </si>
  <si>
    <t>FCAC-DET-MAES-20</t>
  </si>
  <si>
    <t>FCAC-DET-MAES-21</t>
  </si>
  <si>
    <t>MAGISTER EN DERECHO DE EMPRESA</t>
  </si>
  <si>
    <t>MAES-DOC-MAG-EN -DER</t>
  </si>
  <si>
    <t>FCAC-DET-MAES-22</t>
  </si>
  <si>
    <t>MAGISTER EN DERECHO MENCIÓN EN DERECHO PROCESAL ADMINISTRATIVO Y LITIGACIÓN</t>
  </si>
  <si>
    <t>FCAC-DET-MAES-23</t>
  </si>
  <si>
    <t>MAGISTER EN EDUCACIÓN SUPERIOR</t>
  </si>
  <si>
    <t>MAES-DOC-MAG-EN -EDU</t>
  </si>
  <si>
    <t>FCAC-DET-MAES-24</t>
  </si>
  <si>
    <t>MAGISTER EN FINANZAS Y COMERCIO INTERNACIONAL</t>
  </si>
  <si>
    <t>MAES-DOC-MAG-EN -FIN</t>
  </si>
  <si>
    <t>FCAC-DET-MAES-25</t>
  </si>
  <si>
    <t>FCAC-DET-MAES-26</t>
  </si>
  <si>
    <t>MAGISTER EN FINANZAS Y ECONOMÍA EMPRESARIAL</t>
  </si>
  <si>
    <t>FCAC-DET-MAES-27</t>
  </si>
  <si>
    <t>MAGISTER EN FINANZAS Y PROYECTOS CORPORATIVOS</t>
  </si>
  <si>
    <t>FCAC-DET-MAES-28</t>
  </si>
  <si>
    <t>FCAC-DET-MAES-29</t>
  </si>
  <si>
    <t>MAGISTER EN GERENCIA DE PROYECTOS EDUCATIVOS Y SOCIALES</t>
  </si>
  <si>
    <t>MAES-DOC-MAG-EN -GER</t>
  </si>
  <si>
    <t>FCAC-DET-MAES-30</t>
  </si>
  <si>
    <t>MAGISTER EN GERENCIA EDUCATIVA</t>
  </si>
  <si>
    <t>FCAC-DET-MAES-31</t>
  </si>
  <si>
    <t>MAGISTER EN GESTIÓN AMBIENTAL</t>
  </si>
  <si>
    <t>MAES-DOC-MAG-EN -GES</t>
  </si>
  <si>
    <t>FCAC-DET-MAES-32</t>
  </si>
  <si>
    <t>MAGISTER EN GESTIÓN DE PROYECTOS</t>
  </si>
  <si>
    <t>FCAC-DET-MAES-33</t>
  </si>
  <si>
    <t>FCAC-DET-MAES-34</t>
  </si>
  <si>
    <t>MAGISTER EN GESTIÓN EMPRESARIAL</t>
  </si>
  <si>
    <t>FCAC-DET-MAES-35</t>
  </si>
  <si>
    <t>MAGISTER EN PEDAGOGÍA DE LOS IDIOMAS NACIONALES Y EXTRANJEROS MENCIÓN EN ENSEÑANZA DEL INGLÉS</t>
  </si>
  <si>
    <t>MAES-DOC-MAG-EN -PED</t>
  </si>
  <si>
    <t>FCAC-DET-MAES-36</t>
  </si>
  <si>
    <t>MAGISTER EN TRIBUTACIÓN Y FINANZAS</t>
  </si>
  <si>
    <t>MAES-DOC-MAG-EN -TRI</t>
  </si>
  <si>
    <t>FCAC-DET-MAES-37</t>
  </si>
  <si>
    <t>MASTER EN ADMINISTRACIÓN DE EMPRESAS</t>
  </si>
  <si>
    <t>MAES-DOC-MAS-EN -ADM</t>
  </si>
  <si>
    <t>FCAC-DET-MAES-38</t>
  </si>
  <si>
    <t>MASTER UNIVERSITARIO EN DIRECCIÓN Y ADMINISTRACIÓN DE EMPRESAS /
MASTER IN BUSINESS ADMINISTRATION (MBA)</t>
  </si>
  <si>
    <t>MAES-DOC-MAS-UNI-EN</t>
  </si>
  <si>
    <t>FCAC-DET-MAES-39</t>
  </si>
  <si>
    <t>MASTER UNIVERSITARIO EN DIRECCIÓN Y ASESORAMIENTO FINANCIERO</t>
  </si>
  <si>
    <t>FCAC-DET-MAES-40</t>
  </si>
  <si>
    <t>FCAC-DET-MAES-41</t>
  </si>
  <si>
    <t>MASTER UNIVERSITARIO EN DIRECCIÓN Y GESTIÓN DE PROYECTOS</t>
  </si>
  <si>
    <t>FCAC-DET-MAES-42</t>
  </si>
  <si>
    <t>FCAC-DET-MAES-43</t>
  </si>
  <si>
    <t>MASTER UNIVERSITARIO EN DIRECCIÓN Y GESTIÓN DE RECURSOS HUMANOS</t>
  </si>
  <si>
    <t>FCAC-DET-MAES-46</t>
  </si>
  <si>
    <t>Seleccione Maestria</t>
  </si>
  <si>
    <t>FCAC-DET-MAES-47</t>
  </si>
  <si>
    <t>FCAC-DET-MAES-48</t>
  </si>
  <si>
    <t>FCAC-DET-MAES-49</t>
  </si>
  <si>
    <t>FCAC-DET-MAES-50</t>
  </si>
  <si>
    <t>FCAC-DET-MAES-51</t>
  </si>
  <si>
    <t>FCAC-DET-MAES-52</t>
  </si>
  <si>
    <t>FCAC-DET-MAES-53</t>
  </si>
  <si>
    <t>FCAC-DET-MAES-54</t>
  </si>
  <si>
    <t>FCAC-DET-MAES-55</t>
  </si>
  <si>
    <t>FCAC-DET-MAES-56</t>
  </si>
  <si>
    <t>FCAC-DET-MAES-57</t>
  </si>
  <si>
    <t>FCAC-DET-MAES-58</t>
  </si>
  <si>
    <t>FCAC-DET-MAES-59</t>
  </si>
  <si>
    <t>FCAC-DET-MAES-60</t>
  </si>
  <si>
    <t>FCAC-DET-MAES-61</t>
  </si>
  <si>
    <t>FCAC-DET-MAES-62</t>
  </si>
  <si>
    <t>FCAC-DET-MAES-63</t>
  </si>
  <si>
    <t>FCAC-DET-MAES-64</t>
  </si>
  <si>
    <t>FCAC-DET-MAES-65</t>
  </si>
  <si>
    <t>FCAC-DET-MAES-66</t>
  </si>
  <si>
    <t>FCAC-DET-MAES-67</t>
  </si>
  <si>
    <t>FCAC-DET-MAES-68</t>
  </si>
  <si>
    <t>FCAC-DET-MAES-69</t>
  </si>
  <si>
    <t>FCAC-DET-MAES-70</t>
  </si>
  <si>
    <t>FCAC-DET-MAES-71</t>
  </si>
  <si>
    <t>FCAC-DET-MAES-72</t>
  </si>
  <si>
    <t>FCAC-DET-MAES-73</t>
  </si>
  <si>
    <t>FCAC-DET-MAES-74</t>
  </si>
  <si>
    <t>FCAC-DET-MAES-75</t>
  </si>
  <si>
    <t>FCAC-DET-MAES-76</t>
  </si>
  <si>
    <t>FCAC-DET-MAES-77</t>
  </si>
  <si>
    <t>FCAC-DET-MAES-78</t>
  </si>
  <si>
    <t>FCAC-DET-MAES-79</t>
  </si>
  <si>
    <t>FCAC-DET-MAES-80</t>
  </si>
  <si>
    <t>FCAC-DET-MAES-81</t>
  </si>
  <si>
    <t>FCAC-DET-MAES-82</t>
  </si>
  <si>
    <t>FCAC-DET-MAES-83</t>
  </si>
  <si>
    <t>FCAC-DET-MAES-84</t>
  </si>
  <si>
    <t>FCAC-DET-MAES-85</t>
  </si>
  <si>
    <t>FCAC-DET-MAES-86</t>
  </si>
  <si>
    <t>FCAC-DET-MAES-87</t>
  </si>
  <si>
    <t>FCAC-DET-MAES-88</t>
  </si>
  <si>
    <t>FCAC-DET-MAES-89</t>
  </si>
  <si>
    <t>FCAC-DET-MAES-90</t>
  </si>
  <si>
    <t>FCAC-DET-MAES-91</t>
  </si>
  <si>
    <t>FCAC-DET-MAES-92</t>
  </si>
  <si>
    <t>FCAC-DET-MAES-93</t>
  </si>
  <si>
    <t>FCAC-DET-MAES-94</t>
  </si>
  <si>
    <t>FCAC-DET-MAES-95</t>
  </si>
  <si>
    <t>FCAC-DET-MAES-96</t>
  </si>
  <si>
    <t>FCAC-DET-MAES-97</t>
  </si>
  <si>
    <t>FCAC-DET-MAES-98</t>
  </si>
  <si>
    <t>FCAC-DET-MAES-99</t>
  </si>
  <si>
    <t>FCAC-DET-MAES-100</t>
  </si>
  <si>
    <t>FCAC-DET-MAES-101</t>
  </si>
  <si>
    <t>FCAC-DET-MAES-102</t>
  </si>
  <si>
    <t>FCAC-DET-MAES-103</t>
  </si>
  <si>
    <t>FCAC-DET-MAES-104</t>
  </si>
  <si>
    <t>FCAC-DET-MAES-105</t>
  </si>
  <si>
    <t>FCAC-DET-MAES-106</t>
  </si>
  <si>
    <t>FCAC-DET-MAES-107</t>
  </si>
  <si>
    <t>FCAC-DET-MAES-108</t>
  </si>
  <si>
    <t>FCAC-DET-MAES-109</t>
  </si>
  <si>
    <t>FCAC-DET-MAES-110</t>
  </si>
  <si>
    <t>FCAC-DET-MAES-111</t>
  </si>
  <si>
    <t>FCAC-DET-MAES-112</t>
  </si>
  <si>
    <t>FCAC-DET-MAES-113</t>
  </si>
  <si>
    <t>FCAC-DET-MAES-114</t>
  </si>
  <si>
    <t>FCAC-DET-MAES-115</t>
  </si>
  <si>
    <t>FCAC-DET-MAES-116</t>
  </si>
  <si>
    <t>FCAC-DET-MAES-117</t>
  </si>
  <si>
    <t>FCAC-DET-MAES-118</t>
  </si>
  <si>
    <t>FCAC-DET-MAES-119</t>
  </si>
  <si>
    <t>FCAC-DET-MAES-120</t>
  </si>
  <si>
    <t>FCAC-DET-MAES-121</t>
  </si>
  <si>
    <t>FCAC-DET-MAES-122</t>
  </si>
  <si>
    <t>FCAC-DET-MAES-123</t>
  </si>
  <si>
    <t>FCAC-DET-MAES-124</t>
  </si>
  <si>
    <t>FCAC-DET-MAES-125</t>
  </si>
  <si>
    <t>FCAC-DET-MAES-126</t>
  </si>
  <si>
    <t>FCAC-DET-MAES-127</t>
  </si>
  <si>
    <t>FCAC-DET-MAES-128</t>
  </si>
  <si>
    <t>FCAC-DET-MAES-129</t>
  </si>
  <si>
    <t>FCAC-DET-MAES-130</t>
  </si>
  <si>
    <t>FCAC-DET-MAES-131</t>
  </si>
  <si>
    <t>FCAC-DET-MAES-132</t>
  </si>
  <si>
    <t>FCAC-DET-MAES-133</t>
  </si>
  <si>
    <t>FCAC-DET-MAES-134</t>
  </si>
  <si>
    <t>FCAC-DET-MAES-135</t>
  </si>
  <si>
    <t>FCAC-DET-MAES-136</t>
  </si>
  <si>
    <t>FCAC-DET-MAES-137</t>
  </si>
  <si>
    <t>FCAC-DET-MAES-138</t>
  </si>
  <si>
    <t>FCAC-DET-MAES-139</t>
  </si>
  <si>
    <t>FCAC-DET-MAES-140</t>
  </si>
  <si>
    <t>FCAC-DET-MAES-141</t>
  </si>
  <si>
    <t>FCAC-DET-MAES-142</t>
  </si>
  <si>
    <t>FCAC-DET-MAES-143</t>
  </si>
  <si>
    <t>FCAC-DET-MAES-144</t>
  </si>
  <si>
    <t>FCAC-DET-MAES-145</t>
  </si>
  <si>
    <t>FCAC-DET-MAES-146</t>
  </si>
  <si>
    <t>FCAC-DET-MAES-147</t>
  </si>
  <si>
    <t>FCAC-DET-MAES-148</t>
  </si>
  <si>
    <t>FCAC-DET-MAES-149</t>
  </si>
  <si>
    <t>FCAC-DET-MAES-150</t>
  </si>
  <si>
    <t>FCAC-DET-MAES-151</t>
  </si>
  <si>
    <t>FCAC-DET-MAES-152</t>
  </si>
  <si>
    <t>FCAC-DET-MAES-153</t>
  </si>
  <si>
    <t>FCAC-DET-MAES-154</t>
  </si>
  <si>
    <t>FCAC-DET-MAES-155</t>
  </si>
  <si>
    <t>FCAC-DET-MAES-156</t>
  </si>
  <si>
    <t>FCAC-DET-MAES-157</t>
  </si>
  <si>
    <t>FCAC-DET-MAES-158</t>
  </si>
  <si>
    <t>FCAC-DET-MAES-159</t>
  </si>
  <si>
    <t>FCAC-DET-MAES-160</t>
  </si>
  <si>
    <t>FCAC-DET-MAES-161</t>
  </si>
  <si>
    <t>FCAC-DET-MAES-162</t>
  </si>
  <si>
    <t>FCAC-DET-MAES-163</t>
  </si>
  <si>
    <t>FCAC-DET-MAES-164</t>
  </si>
  <si>
    <t>FCAC-DET-MAES-165</t>
  </si>
  <si>
    <t>FCAC-DET-MAES-166</t>
  </si>
  <si>
    <t>FCAC-DET-MAES-167</t>
  </si>
  <si>
    <t>FCAC-DET-MAES-168</t>
  </si>
  <si>
    <t>FCAC-DET-MAES-169</t>
  </si>
  <si>
    <t>FCAC-DET-MAES-170</t>
  </si>
  <si>
    <t>FCAC-DET-MAES-171</t>
  </si>
  <si>
    <t>FCAC-DET-MAES-172</t>
  </si>
  <si>
    <t>FCAC-DET-MAES-173</t>
  </si>
  <si>
    <t>FCAC-DET-MAES-174</t>
  </si>
  <si>
    <t>FCAC-DET-MAES-175</t>
  </si>
  <si>
    <t>FCAC-DET-MAES-176</t>
  </si>
  <si>
    <t>FCAC-DET-MAES-177</t>
  </si>
  <si>
    <t>FCAC-DET-MAES-178</t>
  </si>
  <si>
    <t>FCAC-DET-MAES-179</t>
  </si>
  <si>
    <t>FCAC-DET-MAES-180</t>
  </si>
  <si>
    <t>FCAC-DET-MAES-181</t>
  </si>
  <si>
    <t>FCAC-DET-MAES-182</t>
  </si>
  <si>
    <t>FCAC-DET-MAES-183</t>
  </si>
  <si>
    <t>FCAC-DET-MAES-184</t>
  </si>
  <si>
    <t>FCAC-DET-MAES-185</t>
  </si>
  <si>
    <t>FCAC-DET-MAES-186</t>
  </si>
  <si>
    <t>FCAC-DET-MAES-187</t>
  </si>
  <si>
    <t>FCAC-DET-MAES-188</t>
  </si>
  <si>
    <t>FCAC-DET-MAES-189</t>
  </si>
  <si>
    <t>FCAC-DET-MAES-190</t>
  </si>
  <si>
    <t>FCAC-DET-MAES-191</t>
  </si>
  <si>
    <t>FCAC-DET-MAES-192</t>
  </si>
  <si>
    <t>FCAC-DET-MAES-193</t>
  </si>
  <si>
    <t>FCAC-DET-MAES-194</t>
  </si>
  <si>
    <t>FCAC-DET-MAES-195</t>
  </si>
  <si>
    <t>FCAC-DET-MAES-196</t>
  </si>
  <si>
    <t>FCAC-DET-MAES-197</t>
  </si>
  <si>
    <t>FCAC-DET-MAES-198</t>
  </si>
  <si>
    <t>FCAC-DET-MAES-199</t>
  </si>
  <si>
    <t>FCAC-DET-MAES-200</t>
  </si>
  <si>
    <t>FCAC-DET-MAES-201</t>
  </si>
  <si>
    <t>FCAC-DET-MAES-202</t>
  </si>
  <si>
    <t>FCAC-DET-MAES-203</t>
  </si>
  <si>
    <t>FCAC-DET-MAES-204</t>
  </si>
  <si>
    <t>FCAC-DET-MAES-205</t>
  </si>
  <si>
    <t>FCAC-DET-MAES-206</t>
  </si>
  <si>
    <t>FCAC-DET-MAES-207</t>
  </si>
  <si>
    <t>FCAC-DET-MAES-208</t>
  </si>
  <si>
    <t>FCAC-DET-MAES-209</t>
  </si>
  <si>
    <t>FCAC-DET-MAES-210</t>
  </si>
  <si>
    <t>FCAC-DET-MAES-211</t>
  </si>
  <si>
    <t>FCAC-DET-MAES-212</t>
  </si>
  <si>
    <t>FCAC-DET-MAES-213</t>
  </si>
  <si>
    <t>FCAC-DET-MAES-214</t>
  </si>
  <si>
    <t>FCAC-DET-MAES-215</t>
  </si>
  <si>
    <t>FCAC-DET-MAES-216</t>
  </si>
  <si>
    <t>FCAC-DET-MAES-217</t>
  </si>
  <si>
    <t>FCAC-DET-MAES-218</t>
  </si>
  <si>
    <t>FCAC-DET-MAES-219</t>
  </si>
  <si>
    <t>FCAC-DET-MAES-220</t>
  </si>
  <si>
    <t>FCAC-DET-MAES-221</t>
  </si>
  <si>
    <t>FCAC-DET-MAES-222</t>
  </si>
  <si>
    <t>FCAC-DET-MAES-223</t>
  </si>
  <si>
    <t>FCAC-DET-MAES-224</t>
  </si>
  <si>
    <t>FCAC-DET-MAES-225</t>
  </si>
  <si>
    <t>FCAC-DET-MAES-226</t>
  </si>
  <si>
    <t>FCAC-DET-MAES-227</t>
  </si>
  <si>
    <t>FCAC-DET-MAES-228</t>
  </si>
  <si>
    <t>FCAC-DET-MAES-229</t>
  </si>
  <si>
    <t>FCAC-DET-MAES-230</t>
  </si>
  <si>
    <t>FCAC-DET-MAES-231</t>
  </si>
  <si>
    <t>FCAC-DET-MAES-232</t>
  </si>
  <si>
    <t>FCAC-DET-MAES-233</t>
  </si>
  <si>
    <t>FCAC-DET-MAES-234</t>
  </si>
  <si>
    <t>FCAC-DET-MAES-235</t>
  </si>
  <si>
    <t>FCAC-DET-MAES-236</t>
  </si>
  <si>
    <t>FCAC-DET-MAES-237</t>
  </si>
  <si>
    <t>FCAC-DET-MAES-238</t>
  </si>
  <si>
    <t>FCAC-DET-MAES-239</t>
  </si>
  <si>
    <t>FCAC-DET-MAES-240</t>
  </si>
  <si>
    <t>FCAC-DET-MAES-241</t>
  </si>
  <si>
    <t>FCAC-DET-MAES-242</t>
  </si>
  <si>
    <t>FCAC-DET-MAES-243</t>
  </si>
  <si>
    <t>FCAC-DET-MAES-244</t>
  </si>
  <si>
    <t>FCAC-DET-MAES-245</t>
  </si>
  <si>
    <t>FCAC-DET-MAES-246</t>
  </si>
  <si>
    <t>FCAC-DET-MAES-247</t>
  </si>
  <si>
    <t>FCAC-DET-MAES-248</t>
  </si>
  <si>
    <t>FCAC-DET-MAES-249</t>
  </si>
  <si>
    <t>FCAC-DET-MAES-250</t>
  </si>
  <si>
    <t>FCAC-DET-MAES-251</t>
  </si>
  <si>
    <t>FCAC-DET-MAES-252</t>
  </si>
  <si>
    <t>FCAC-DET-MAES-253</t>
  </si>
  <si>
    <t>FCAC-DET-MAES-254</t>
  </si>
  <si>
    <t>FCAC-DET-MAES-255</t>
  </si>
  <si>
    <t>FCAC-DET-MAES-256</t>
  </si>
  <si>
    <t>FCAC-DET-MAES-257</t>
  </si>
  <si>
    <t>FCAC-DET-MAES-258</t>
  </si>
  <si>
    <t>FCAC-DET-MAES-259</t>
  </si>
  <si>
    <t>FCAC-DET-MAES-260</t>
  </si>
  <si>
    <t>FCAC-DET-MAES-261</t>
  </si>
  <si>
    <t>FCAC-DET-MAES-262</t>
  </si>
  <si>
    <t>FCAC-DET-MAES-263</t>
  </si>
  <si>
    <t>FCAC-DET-MAES-264</t>
  </si>
  <si>
    <t>FCAC-DET-MAES-265</t>
  </si>
  <si>
    <t>FCAC-DET-MAES-266</t>
  </si>
  <si>
    <t>FCAC-DET-MAES-267</t>
  </si>
  <si>
    <t>FCAC-DET-MAES-268</t>
  </si>
  <si>
    <t>FCAC-DET-MAES-269</t>
  </si>
  <si>
    <t>FCAC-DET-MAES-270</t>
  </si>
  <si>
    <t>FCAC-DET-MAES-271</t>
  </si>
  <si>
    <t>FCAC-DET-MAES-272</t>
  </si>
  <si>
    <t>FCAC-DET-MAES-273</t>
  </si>
  <si>
    <t>FCAC-DET-MAES-274</t>
  </si>
  <si>
    <t>FCAC-DET-MAES-275</t>
  </si>
  <si>
    <t>FCAC-DET-MAES-276</t>
  </si>
  <si>
    <t>FCAC-DET-MAES-277</t>
  </si>
  <si>
    <t>FCAC-DET-MAES-278</t>
  </si>
  <si>
    <t>FCAC-DET-MAES-279</t>
  </si>
  <si>
    <t>FCAC-DET-MAES-280</t>
  </si>
  <si>
    <t>FCAC-DET-MAES-281</t>
  </si>
  <si>
    <t>FCAC-DET-MAES-282</t>
  </si>
  <si>
    <t>FCAC-DET-MAES-283</t>
  </si>
  <si>
    <t>FCAC-DET-MAES-284</t>
  </si>
  <si>
    <t>FCAC-DET-MAES-285</t>
  </si>
  <si>
    <t>FCAC-DET-MAES-286</t>
  </si>
  <si>
    <t>FCAC-DET-MAES-287</t>
  </si>
  <si>
    <t>FCAC-DET-MAES-288</t>
  </si>
  <si>
    <t>FCAC-DET-MAES-289</t>
  </si>
  <si>
    <t>FCAC-DET-MAES-290</t>
  </si>
  <si>
    <t>FCAC-DET-MAES-291</t>
  </si>
  <si>
    <t>FCAC-DET-MAES-292</t>
  </si>
  <si>
    <t>FCAC-DET-MAES-293</t>
  </si>
  <si>
    <t>FCAC-DET-MAES-294</t>
  </si>
  <si>
    <t>FCAC-DET-MAES-295</t>
  </si>
  <si>
    <t>FCAC-DET-MAES-296</t>
  </si>
  <si>
    <t>FCAC-DET-MAES-297</t>
  </si>
  <si>
    <t>FCAC-DET-MAES-298</t>
  </si>
  <si>
    <t>FCAC-DET-MAES-299</t>
  </si>
  <si>
    <t>FCAC-DET-MAES-300</t>
  </si>
  <si>
    <t>FCAC-DET-MAES-301</t>
  </si>
  <si>
    <t>FCAC-DET-MAES-302</t>
  </si>
  <si>
    <t>FCAC-DET-MAES-303</t>
  </si>
  <si>
    <t>FCAC-DET-MAES-304</t>
  </si>
  <si>
    <t>FCAC-DET-MAES-305</t>
  </si>
  <si>
    <t>FCAC-DET-MAES-306</t>
  </si>
  <si>
    <t>FCAC-DET-MAES-307</t>
  </si>
  <si>
    <t>FCAC-DET-MAES-308</t>
  </si>
  <si>
    <t>FCAC-DET-MAES-309</t>
  </si>
  <si>
    <t>FCAC-DET-MAES-310</t>
  </si>
  <si>
    <t>FCAC-DET-MAES-311</t>
  </si>
  <si>
    <t>FCAC-DET-MAES-312</t>
  </si>
  <si>
    <t>FCAC-DET-MAES-313</t>
  </si>
  <si>
    <t>FCAC-DET-MAES-314</t>
  </si>
  <si>
    <t>FCAC-DET-MAES-315</t>
  </si>
  <si>
    <t>FCAC-DET-MAES-316</t>
  </si>
  <si>
    <t>FCAC-DET-MAES-317</t>
  </si>
  <si>
    <t>FCAC-DET-MAES-318</t>
  </si>
  <si>
    <t>FCAC-DET-MAES-319</t>
  </si>
  <si>
    <t>FCAC-DET-MAES-320</t>
  </si>
  <si>
    <t>FCAC-DET-MAES-321</t>
  </si>
  <si>
    <t>FCAC-DET-MAES-322</t>
  </si>
  <si>
    <t>FCAC-DET-MAES-323</t>
  </si>
  <si>
    <t>FCAC-DET-MAES-324</t>
  </si>
  <si>
    <t>FCAC-DET-MAES-325</t>
  </si>
  <si>
    <t>FCAC-DET-MAES-326</t>
  </si>
  <si>
    <t>FCAC-DET-MAES-327</t>
  </si>
  <si>
    <t>FCAC-DET-MAES-328</t>
  </si>
  <si>
    <t>FCAC-DET-MAES-329</t>
  </si>
  <si>
    <t>FCAC-DET-MAES-330</t>
  </si>
  <si>
    <t>FCAC-DET-MAES-331</t>
  </si>
  <si>
    <t>FCAC-DET-MAES-332</t>
  </si>
  <si>
    <t>FCAC-DET-MAES-333</t>
  </si>
  <si>
    <t>FCAC-DET-MAES-334</t>
  </si>
  <si>
    <t>FCAC-DET-MAES-335</t>
  </si>
  <si>
    <t>FCAC-DET-MAES-336</t>
  </si>
  <si>
    <t>FCAC-DET-MAES-337</t>
  </si>
  <si>
    <t>FCAC-DET-MAES-338</t>
  </si>
  <si>
    <t>FCAC-DET-MAES-339</t>
  </si>
  <si>
    <t>FCAC-DET-MAES-340</t>
  </si>
  <si>
    <t>FCAC-DET-MAES-341</t>
  </si>
  <si>
    <t>FCAC-DET-MAES-342</t>
  </si>
  <si>
    <t>FCAC-DET-MAES-343</t>
  </si>
  <si>
    <t>FCAC-DET-MAES-344</t>
  </si>
  <si>
    <t>FCAC-DET-MAES-345</t>
  </si>
  <si>
    <t>FCAC-DET-MAES-346</t>
  </si>
  <si>
    <t>FCAC-DET-MAES-347</t>
  </si>
  <si>
    <t>FCAC-DET-MAES-348</t>
  </si>
  <si>
    <t>FCAC-DET-MAES-349</t>
  </si>
  <si>
    <t>FCAC-DET-MAES-350</t>
  </si>
  <si>
    <t>FCAC-DET-MAES-351</t>
  </si>
  <si>
    <t>FCAC-DET-MAES-352</t>
  </si>
  <si>
    <t>FCAC-DET-MAES-353</t>
  </si>
  <si>
    <t>FCAC-DET-MAES-354</t>
  </si>
  <si>
    <t>FCAC-DET-MAES-355</t>
  </si>
  <si>
    <t>FCAC-DET-MAES-356</t>
  </si>
  <si>
    <t>FCAC-DET-MAES-357</t>
  </si>
  <si>
    <t>FCAC-DET-MAES-358</t>
  </si>
  <si>
    <t>FCAC-DET-MAES-359</t>
  </si>
  <si>
    <t>FCAC-DET-MAES-360</t>
  </si>
  <si>
    <t>FCAC-DET-MAES-361</t>
  </si>
  <si>
    <t>FCAC-DET-MAES-362</t>
  </si>
  <si>
    <t>FCAC-DET-MAES-363</t>
  </si>
  <si>
    <t>FCAC-DET-MAES-364</t>
  </si>
  <si>
    <t>FCAC-DET-MAES-365</t>
  </si>
  <si>
    <t>FCAC-DET-MAES-366</t>
  </si>
  <si>
    <t>FCAC-DET-MAES-367</t>
  </si>
  <si>
    <t>FCAC-DET-MAES-368</t>
  </si>
  <si>
    <t>FCAC-DET-MAES-369</t>
  </si>
  <si>
    <t>FCAC-DET-MAES-370</t>
  </si>
  <si>
    <t>FCAC-DET-MAES-371</t>
  </si>
  <si>
    <t>FCAC-DET-MAES-372</t>
  </si>
  <si>
    <t>FCAC-DET-MAES-373</t>
  </si>
  <si>
    <t>FCAC-DET-MAES-374</t>
  </si>
  <si>
    <t>FCAC-DET-MAES-375</t>
  </si>
  <si>
    <t>FCAC-DET-MAES-376</t>
  </si>
  <si>
    <t>FCAC-DET-MAES-377</t>
  </si>
  <si>
    <t>FCAC-DET-MAES-378</t>
  </si>
  <si>
    <t>FCAC-DET-MAES-379</t>
  </si>
  <si>
    <t>FCAC-DET-MAES-380</t>
  </si>
  <si>
    <t>FCAC-DET-MAES-381</t>
  </si>
  <si>
    <t>FCAC-DET-MAES-382</t>
  </si>
  <si>
    <t>FCAC-DET-MAES-383</t>
  </si>
  <si>
    <t>FCAC-DET-MAES-384</t>
  </si>
  <si>
    <t>FCAC-DET-MAES-385</t>
  </si>
  <si>
    <t>FCAC-DET-MAES-386</t>
  </si>
  <si>
    <t>FCAC-DET-MAES-387</t>
  </si>
  <si>
    <t>FCAC-DET-MAES-388</t>
  </si>
  <si>
    <t>FCAC-DET-MAES-389</t>
  </si>
  <si>
    <t>FCAC-DET-MAES-390</t>
  </si>
  <si>
    <t>FCAC-DET-MAES-391</t>
  </si>
  <si>
    <t>FCAC-DET-MAES-392</t>
  </si>
  <si>
    <t>FCAC-DET-MAES-393</t>
  </si>
  <si>
    <t>FCAC-DET-MAES-394</t>
  </si>
  <si>
    <t>FCAC-DET-MAES-395</t>
  </si>
  <si>
    <t>FCAC-DET-MAES-396</t>
  </si>
  <si>
    <t>FCAC-DET-MAES-397</t>
  </si>
  <si>
    <t>FCAC-DET-MAES-398</t>
  </si>
  <si>
    <t>FCAC-DET-MAES-399</t>
  </si>
  <si>
    <t>FCAC-DET-MAES-400</t>
  </si>
  <si>
    <t>FCAC-DET-MAES-401</t>
  </si>
  <si>
    <t>FCAC-DET-MAES-402</t>
  </si>
  <si>
    <t>FCAC-DET-MAES-403</t>
  </si>
  <si>
    <t>FCAC-DET-MAES-404</t>
  </si>
  <si>
    <t>FCAC-DET-MAES-405</t>
  </si>
  <si>
    <t>FCAC-DET-MAES-406</t>
  </si>
  <si>
    <t>FCAC-DET-MAES-407</t>
  </si>
  <si>
    <t>FCAC-DET-MAES-408</t>
  </si>
  <si>
    <t>FCAC-DET-MAES-409</t>
  </si>
  <si>
    <t>FCAC-DET-MAES-410</t>
  </si>
  <si>
    <t>FCAC-DET-MAES-411</t>
  </si>
  <si>
    <t>FCAC-DET-MAES-412</t>
  </si>
  <si>
    <t>FCAC-DET-MAES-413</t>
  </si>
  <si>
    <t>FCAC-DET-MAES-414</t>
  </si>
  <si>
    <t>FCAC-DET-MAES-415</t>
  </si>
  <si>
    <t>FCAC-DET-MAES-416</t>
  </si>
  <si>
    <t>FCAC-DET-MAES-417</t>
  </si>
  <si>
    <t>FCAC-DET-MAES-418</t>
  </si>
  <si>
    <t>FCAC-DET-MAES-419</t>
  </si>
  <si>
    <t>FCAC-DET-MAES-420</t>
  </si>
  <si>
    <t>FCAC-DET-MAES-421</t>
  </si>
  <si>
    <t>FCAC-DET-MAES-422</t>
  </si>
  <si>
    <t>FCAC-DET-MAES-423</t>
  </si>
  <si>
    <t>FCAC-DET-MAES-424</t>
  </si>
  <si>
    <t>FCAC-DET-MAES-425</t>
  </si>
  <si>
    <t>FCAC-DET-MAES-426</t>
  </si>
  <si>
    <t>FCAC-DET-MAES-427</t>
  </si>
  <si>
    <t>FCAC-DET-MAES-428</t>
  </si>
  <si>
    <t>FCAC-DET-MAES-429</t>
  </si>
  <si>
    <t>FCAC-DET-MAES-430</t>
  </si>
  <si>
    <t>FCAC-DET-MAES-431</t>
  </si>
  <si>
    <t>FCAC-DET-MAES-432</t>
  </si>
  <si>
    <t>FCAC-DET-MAES-433</t>
  </si>
  <si>
    <t>FCAC-DET-MAES-434</t>
  </si>
  <si>
    <t>FCAC-DET-MAES-435</t>
  </si>
  <si>
    <t>FCAC-DET-MAES-436</t>
  </si>
  <si>
    <t>FCAC-DET-MAES-437</t>
  </si>
  <si>
    <t>FCAC-DET-MAES-438</t>
  </si>
  <si>
    <t>FCAC-DET-MAES-439</t>
  </si>
  <si>
    <t>FCAC-DET-MAES-440</t>
  </si>
  <si>
    <t>FCAC-DET-MAES-441</t>
  </si>
  <si>
    <t>FCAC-DET-MAES-442</t>
  </si>
  <si>
    <t>FCAC-DET-MAES-443</t>
  </si>
  <si>
    <t>FCAC-DET-MAES-444</t>
  </si>
  <si>
    <t>FCAC-DET-MAES-445</t>
  </si>
  <si>
    <t>FCAC-DET-MAES-446</t>
  </si>
  <si>
    <t>FCAC-DET-MAES-447</t>
  </si>
  <si>
    <t>FCAC-DET-MAES-448</t>
  </si>
  <si>
    <t>FCAC-DET-MAES-449</t>
  </si>
  <si>
    <t>FCAC-DET-MAES-450</t>
  </si>
  <si>
    <t>FCAC-DET-MAES-451</t>
  </si>
  <si>
    <t>FCAC-DET-MAES-452</t>
  </si>
  <si>
    <t>FCAC-DET-MAES-453</t>
  </si>
  <si>
    <t>FCAC-DET-MAES-454</t>
  </si>
  <si>
    <t>FCAC-DET-MAES-455</t>
  </si>
  <si>
    <t>FCAC-DET-MAES-456</t>
  </si>
  <si>
    <t>FCAC-DET-MAES-457</t>
  </si>
  <si>
    <t>FCAC-DET-MAES-458</t>
  </si>
  <si>
    <t>FCAC-DET-MAES-459</t>
  </si>
  <si>
    <t>FCAC-DET-MAES-460</t>
  </si>
  <si>
    <t>FCAC-DET-MAES-461</t>
  </si>
  <si>
    <t>FCAC-DET-MAES-462</t>
  </si>
  <si>
    <t>FCAC-DET-MAES-463</t>
  </si>
  <si>
    <t>FCAC-DET-MAES-464</t>
  </si>
  <si>
    <t>FCAC-DET-MAES-465</t>
  </si>
  <si>
    <t>FCAC-DET-MAES-466</t>
  </si>
  <si>
    <t>FCAC-DET-MAES-467</t>
  </si>
  <si>
    <t>FCAC-DET-MAES-468</t>
  </si>
  <si>
    <t>FCAC-DET-MAES-469</t>
  </si>
  <si>
    <t>FCAC-DET-MAES-470</t>
  </si>
  <si>
    <t>FCAC-DET-MAES-471</t>
  </si>
  <si>
    <t>FCAC-DET-MAES-472</t>
  </si>
  <si>
    <t>FCAC-DET-MAES-473</t>
  </si>
  <si>
    <t>FCAC-DET-MAES-474</t>
  </si>
  <si>
    <t>FCAC-DET-MAES-475</t>
  </si>
  <si>
    <t>FCAC-DET-MAES-476</t>
  </si>
  <si>
    <t>FCAC-DET-MAES-477</t>
  </si>
  <si>
    <t>FCAC-DET-MAES-478</t>
  </si>
  <si>
    <t>FCAC-DET-MAES-479</t>
  </si>
  <si>
    <t>FCAC-DET-MAES-480</t>
  </si>
  <si>
    <t>FCAC-DET-MAES-481</t>
  </si>
  <si>
    <t>FCAC-DET-MAES-482</t>
  </si>
  <si>
    <t>FCAC-DET-MAES-483</t>
  </si>
  <si>
    <t>FCAC-DET-MAES-484</t>
  </si>
  <si>
    <t>FCAC-DET-MAES-485</t>
  </si>
  <si>
    <t>FCAC-DET-MAES-486</t>
  </si>
  <si>
    <t>FCAC-DET-MAES-487</t>
  </si>
  <si>
    <t>FCAC-DET-MAES-488</t>
  </si>
  <si>
    <t>FCAC-DET-MAES-489</t>
  </si>
  <si>
    <t>FCAC-DET-MAES-490</t>
  </si>
  <si>
    <t>FCAC-DET-MAES-491</t>
  </si>
  <si>
    <t>FCAC-DET-MAES-492</t>
  </si>
  <si>
    <t>FCAC-DET-MAES-493</t>
  </si>
  <si>
    <t>FCAC-DET-MAES-494</t>
  </si>
  <si>
    <t>FCAC-DET-MAES-495</t>
  </si>
  <si>
    <t>FCAC-DET-MAES-496</t>
  </si>
  <si>
    <t>FCAC-DET-MAES-497</t>
  </si>
  <si>
    <t>FCAC-DET-MAES-498</t>
  </si>
  <si>
    <t>FCAC-DET-MAES-499</t>
  </si>
  <si>
    <t>FCAC-DET-MAES-500</t>
  </si>
  <si>
    <t>FCAC-DET-MAES-501</t>
  </si>
  <si>
    <t>FCAC-DET-MAES-502</t>
  </si>
  <si>
    <t>FCAC-DET-MAES-503</t>
  </si>
  <si>
    <t>FCAC-DET-MAES-504</t>
  </si>
  <si>
    <t>FCAC-DET-MAES-505</t>
  </si>
  <si>
    <t>FCAC-DET-MAES-506</t>
  </si>
  <si>
    <t>FCAC-DET-MAES-507</t>
  </si>
  <si>
    <t>FCAC-DET-MAES-508</t>
  </si>
  <si>
    <t>FCAC-DET-MAES-509</t>
  </si>
  <si>
    <t>FCAC-DET-MAES-510</t>
  </si>
  <si>
    <t>FCAC-DET-MAES-511</t>
  </si>
  <si>
    <t>FCAC-DET-MAES-512</t>
  </si>
  <si>
    <t>FCAC-DET-MAES-513</t>
  </si>
  <si>
    <t>FCAC-DET-MAES-514</t>
  </si>
  <si>
    <t>FCAC-DET-MAES-515</t>
  </si>
  <si>
    <t>FCAC-DET-MAES-516</t>
  </si>
  <si>
    <t>FCAC-DET-MAES-517</t>
  </si>
  <si>
    <t>FCAC-DET-MAES-518</t>
  </si>
  <si>
    <t>FCAC-DET-MAES-519</t>
  </si>
  <si>
    <t>FCAC-DET-MAES-520</t>
  </si>
  <si>
    <t>FCAC-DET-MAES-521</t>
  </si>
  <si>
    <t>FCAC-DET-MAES-522</t>
  </si>
  <si>
    <t>FCAC-DET-MAES-523</t>
  </si>
  <si>
    <t>FCAC-DET-MAES-524</t>
  </si>
  <si>
    <t>FCAC-DET-MAES-525</t>
  </si>
  <si>
    <t>FCAC-DET-MAES-526</t>
  </si>
  <si>
    <t>FCAC-DET-MAES-527</t>
  </si>
  <si>
    <t>FCAC-DET-MAES-528</t>
  </si>
  <si>
    <t>FCAC-DET-MAES-529</t>
  </si>
  <si>
    <t>FCAC-DET-MAES-530</t>
  </si>
  <si>
    <t>FCAC-DET-MAES-531</t>
  </si>
  <si>
    <t>FCAC-DET-MAES-532</t>
  </si>
  <si>
    <t>FCAC-DET-MAES-533</t>
  </si>
  <si>
    <t>FCAC-DET-MAES-534</t>
  </si>
  <si>
    <t>FCAC-DET-MAES-535</t>
  </si>
  <si>
    <t>FCAC-DET-MAES-536</t>
  </si>
  <si>
    <t>FCAC-DET-MAES-537</t>
  </si>
  <si>
    <t>FCAC-DET-MAES-538</t>
  </si>
  <si>
    <t>FCAC-DET-MAES-539</t>
  </si>
  <si>
    <t>FCAC-DET-MAES-540</t>
  </si>
  <si>
    <t>FCAC-DET-MAES-541</t>
  </si>
  <si>
    <t>FCAC-DET-MAES-542</t>
  </si>
  <si>
    <t>FCAC-DET-MAES-543</t>
  </si>
  <si>
    <t>FCAC-DET-MAES-544</t>
  </si>
  <si>
    <t>FCAC-DET-MAES-545</t>
  </si>
  <si>
    <t>FCAC-DET-MAES-546</t>
  </si>
  <si>
    <t>FCAC-DET-MAES-547</t>
  </si>
  <si>
    <t>FCAC-DET-MAES-548</t>
  </si>
  <si>
    <t>FCAC-DET-MAES-549</t>
  </si>
  <si>
    <t>FCAC-DET-MAES-550</t>
  </si>
  <si>
    <t>FCAC-DET-MAES-551</t>
  </si>
  <si>
    <t>FCAC-DET-MAES-552</t>
  </si>
  <si>
    <t>FCAC-DET-MAES-553</t>
  </si>
  <si>
    <t>FCAC-DET-MAES-554</t>
  </si>
  <si>
    <t>FCAC-DET-MAES-555</t>
  </si>
  <si>
    <t>FCAC-DET-MAES-556</t>
  </si>
  <si>
    <t>FCAC-DET-MAES-557</t>
  </si>
  <si>
    <t>FCAC-DET-MAES-558</t>
  </si>
  <si>
    <t>FCAC-DET-MAES-559</t>
  </si>
  <si>
    <t>FCAC-DET-MAES-560</t>
  </si>
  <si>
    <t>FCAC-DET-MAES-561</t>
  </si>
  <si>
    <t>FCAC-DET-MAES-562</t>
  </si>
  <si>
    <t>FCAC-DET-MAES-563</t>
  </si>
  <si>
    <t>FCAC-DET-MAES-564</t>
  </si>
  <si>
    <t>FCAC-DET-MAES-565</t>
  </si>
  <si>
    <t>FCAC-DET-MAES-566</t>
  </si>
  <si>
    <t>FCAC-DET-MAES-567</t>
  </si>
  <si>
    <t>FCAC-DET-MAES-568</t>
  </si>
  <si>
    <t>FCAC-DET-MAES-569</t>
  </si>
  <si>
    <t>FCAC-DET-MAES-570</t>
  </si>
  <si>
    <t>FCAC-DET-MAES-571</t>
  </si>
  <si>
    <t>FCAC-DET-MAES-572</t>
  </si>
  <si>
    <t>FCAC-DET-MAES-573</t>
  </si>
  <si>
    <t>FCAC-DET-MAES-574</t>
  </si>
  <si>
    <t>FCAC-DET-MAES-575</t>
  </si>
  <si>
    <t>FCAC-DET-MAES-576</t>
  </si>
  <si>
    <t>FCAC-DET-MAES-577</t>
  </si>
  <si>
    <t>FCAC-DET-MAES-578</t>
  </si>
  <si>
    <t>FCAC-DET-MAES-579</t>
  </si>
  <si>
    <t>FCAC-DET-MAES-580</t>
  </si>
  <si>
    <t>FCAC-DET-MAES-581</t>
  </si>
  <si>
    <t>FCAC-DET-MAES-582</t>
  </si>
  <si>
    <t>FCAC-DET-MAES-583</t>
  </si>
  <si>
    <t>FCAC-DET-MAES-584</t>
  </si>
  <si>
    <t>FCAC-DET-MAES-585</t>
  </si>
  <si>
    <t>FCAC-DET-MAES-586</t>
  </si>
  <si>
    <t>FCAC-DET-MAES-587</t>
  </si>
  <si>
    <t>FCAC-DET-MAES-588</t>
  </si>
  <si>
    <t>FCAC-DET-MAES-589</t>
  </si>
  <si>
    <t>FCAC-DET-MAES-590</t>
  </si>
  <si>
    <t>FCAC-DET-MAES-591</t>
  </si>
  <si>
    <t>FCAC-DET-MAES-592</t>
  </si>
  <si>
    <t>FCAC-DET-MAES-593</t>
  </si>
  <si>
    <t>FCAC-DET-MAES-594</t>
  </si>
  <si>
    <t>FCAC-DET-MAES-595</t>
  </si>
  <si>
    <t>FCAC-DET-MAES-596</t>
  </si>
  <si>
    <t>FCAC-DET-MAES-597</t>
  </si>
  <si>
    <t>FCAC-DET-MAES-598</t>
  </si>
  <si>
    <t>FCAC-DET-MAES-599</t>
  </si>
  <si>
    <t>ID_NIVE_DOC</t>
  </si>
  <si>
    <t>NOMBRE_DOCENTE</t>
  </si>
  <si>
    <t>IDENTIFICACION</t>
  </si>
  <si>
    <t xml:space="preserve">VALIDACION </t>
  </si>
  <si>
    <t>ID_MAESRIA</t>
  </si>
  <si>
    <t>FCACC-RED-01</t>
  </si>
  <si>
    <t/>
  </si>
  <si>
    <t>FCACC-RED-02</t>
  </si>
  <si>
    <t>FCACC-RED-03</t>
  </si>
  <si>
    <t>FCACC-RED-04</t>
  </si>
  <si>
    <t>FCACC-RED-05</t>
  </si>
  <si>
    <t>FCACC-RED-06</t>
  </si>
  <si>
    <t>FCACC-RED-07</t>
  </si>
  <si>
    <t>FCACC-RED-08</t>
  </si>
  <si>
    <t>FCACC-RED-09</t>
  </si>
  <si>
    <t>FCACC-RED-10</t>
  </si>
  <si>
    <t>FCACC-RED-11</t>
  </si>
  <si>
    <t>FCACC-RED-12</t>
  </si>
  <si>
    <t>FCACC-RED-13</t>
  </si>
  <si>
    <t>FCACC-RED-14</t>
  </si>
  <si>
    <t>FCACC-RED-15</t>
  </si>
  <si>
    <t>FCACC-RED-16</t>
  </si>
  <si>
    <t>FCACC-RED-17</t>
  </si>
  <si>
    <t>FCACC-RED-18</t>
  </si>
  <si>
    <t>FCACC-RED-19</t>
  </si>
  <si>
    <t>FCACC-RED-20</t>
  </si>
  <si>
    <t>FCACC-RED-21</t>
  </si>
  <si>
    <t>FCACC-RED-22</t>
  </si>
  <si>
    <t>FCACC-RED-23</t>
  </si>
  <si>
    <t>FCACC-RED-24</t>
  </si>
  <si>
    <t>FCACC-RED-25</t>
  </si>
  <si>
    <t>FCACC-RED-26</t>
  </si>
  <si>
    <t>FCACC-RED-27</t>
  </si>
  <si>
    <t>FCACC-RED-28</t>
  </si>
  <si>
    <t>FCACC-RED-29</t>
  </si>
  <si>
    <t>FCACC-RED-30</t>
  </si>
  <si>
    <t>FCACC-RED-31</t>
  </si>
  <si>
    <t>FCACC-RED-32</t>
  </si>
  <si>
    <t>FCACC-RED-33</t>
  </si>
  <si>
    <t>FCACC-RED-34</t>
  </si>
  <si>
    <t>FCACC-RED-35</t>
  </si>
  <si>
    <t>FCACC-RED-36</t>
  </si>
  <si>
    <t>FCACC-RED-37</t>
  </si>
  <si>
    <t>FCACC-RED-38</t>
  </si>
  <si>
    <t>FCACC-RED-39</t>
  </si>
  <si>
    <t>FCACC-RED-40</t>
  </si>
  <si>
    <t>FCACC-RED-41</t>
  </si>
  <si>
    <t>FCACC-RED-42</t>
  </si>
  <si>
    <t>FCACC-RED-44</t>
  </si>
  <si>
    <t>FCACC-RED-45</t>
  </si>
  <si>
    <t>FCACC-RED-46</t>
  </si>
  <si>
    <t>FCACC-RED-47</t>
  </si>
  <si>
    <t>FCACC-RED-48</t>
  </si>
  <si>
    <t>FCACC-RED-50</t>
  </si>
  <si>
    <t>FCACC-RED-51</t>
  </si>
  <si>
    <t>FCACC-RED-52</t>
  </si>
  <si>
    <t>FCACC-RED-54</t>
  </si>
  <si>
    <t>FCACC-RED-56</t>
  </si>
  <si>
    <t>FCACC-RED-57</t>
  </si>
  <si>
    <t>FCACC-RED-58</t>
  </si>
  <si>
    <t>Seleccione Docente</t>
  </si>
  <si>
    <t>FCACC-RED-59</t>
  </si>
  <si>
    <t>FCACC-RED-60</t>
  </si>
  <si>
    <t>FCACC-RED-61</t>
  </si>
  <si>
    <t>FCACC-RED-62</t>
  </si>
  <si>
    <t>FCACC-RED-63</t>
  </si>
  <si>
    <t>FCACC-RED-64</t>
  </si>
  <si>
    <t>FCACC-RED-65</t>
  </si>
  <si>
    <t>FCACC-RED-66</t>
  </si>
  <si>
    <t>FCACC-RED-67</t>
  </si>
  <si>
    <t>FCACC-RED-68</t>
  </si>
  <si>
    <t>FCACC-RED-69</t>
  </si>
  <si>
    <t>FCACC-RED-70</t>
  </si>
  <si>
    <t>FCACC-RED-71</t>
  </si>
  <si>
    <t>FCACC-RED-72</t>
  </si>
  <si>
    <t>FCACC-RED-73</t>
  </si>
  <si>
    <t>FCACC-RED-74</t>
  </si>
  <si>
    <t>FCACC-RED-75</t>
  </si>
  <si>
    <t>FCACC-RED-76</t>
  </si>
  <si>
    <t>FCACC-RED-77</t>
  </si>
  <si>
    <t>FCACC-RED-78</t>
  </si>
  <si>
    <t>FCACC-RED-79</t>
  </si>
  <si>
    <t>FCACC-RED-80</t>
  </si>
  <si>
    <t>FCACC-RED-81</t>
  </si>
  <si>
    <t>FCACC-RED-82</t>
  </si>
  <si>
    <t>FCACC-RED-83</t>
  </si>
  <si>
    <t>FCACC-RED-84</t>
  </si>
  <si>
    <t>FCACC-RED-85</t>
  </si>
  <si>
    <t>FCACC-RED-86</t>
  </si>
  <si>
    <t>FCACC-RED-87</t>
  </si>
  <si>
    <t>FCACC-RED-88</t>
  </si>
  <si>
    <t>FCACC-RED-89</t>
  </si>
  <si>
    <t>FCACC-RED-90</t>
  </si>
  <si>
    <t>FCACC-RED-91</t>
  </si>
  <si>
    <t>FCACC-RED-92</t>
  </si>
  <si>
    <t>FCACC-RED-93</t>
  </si>
  <si>
    <t>FCACC-RED-94</t>
  </si>
  <si>
    <t>FCACC-RED-95</t>
  </si>
  <si>
    <t>FCACC-RED-96</t>
  </si>
  <si>
    <t>FCACC-RED-97</t>
  </si>
  <si>
    <t>FCACC-RED-98</t>
  </si>
  <si>
    <t>FCACC-RED-99</t>
  </si>
  <si>
    <t>FCACC-RED-100</t>
  </si>
  <si>
    <t>FCACC-RED-101</t>
  </si>
  <si>
    <t>FCACC-RED-102</t>
  </si>
  <si>
    <t>FCACC-RED-103</t>
  </si>
  <si>
    <t>FCACC-RED-104</t>
  </si>
  <si>
    <t>FCACC-RED-105</t>
  </si>
  <si>
    <t>FCACC-RED-106</t>
  </si>
  <si>
    <t>FCACC-RED-107</t>
  </si>
  <si>
    <t>FCACC-RED-108</t>
  </si>
  <si>
    <t>FCACC-RED-109</t>
  </si>
  <si>
    <t>FCACC-RED-110</t>
  </si>
  <si>
    <t>FCACC-RED-111</t>
  </si>
  <si>
    <t>FCACC-RED-112</t>
  </si>
  <si>
    <t>FCACC-RED-113</t>
  </si>
  <si>
    <t>FCACC-RED-114</t>
  </si>
  <si>
    <t>FCACC-RED-115</t>
  </si>
  <si>
    <t>FCACC-RED-116</t>
  </si>
  <si>
    <t>FCACC-RED-117</t>
  </si>
  <si>
    <t>FCACC-RED-118</t>
  </si>
  <si>
    <t>FCACC-RED-119</t>
  </si>
  <si>
    <t>FCACC-RED-120</t>
  </si>
  <si>
    <t>FCACC-RED-121</t>
  </si>
  <si>
    <t>FCACC-RED-122</t>
  </si>
  <si>
    <t>FCACC-RED-123</t>
  </si>
  <si>
    <t>FCACC-RED-124</t>
  </si>
  <si>
    <t>FCACC-RED-125</t>
  </si>
  <si>
    <t>FCACC-RED-126</t>
  </si>
  <si>
    <t>FCACC-RED-127</t>
  </si>
  <si>
    <t>FCACC-RED-128</t>
  </si>
  <si>
    <t>FCACC-RED-129</t>
  </si>
  <si>
    <t>FCACC-RED-130</t>
  </si>
  <si>
    <t>FCACC-RED-131</t>
  </si>
  <si>
    <t>FCACC-RED-132</t>
  </si>
  <si>
    <t>FCACC-RED-133</t>
  </si>
  <si>
    <t>FCACC-RED-134</t>
  </si>
  <si>
    <t>FCACC-RED-135</t>
  </si>
  <si>
    <t>FCACC-RED-136</t>
  </si>
  <si>
    <t>FCACC-RED-137</t>
  </si>
  <si>
    <t>FCACC-RED-138</t>
  </si>
  <si>
    <t>FCACC-RED-139</t>
  </si>
  <si>
    <t>FCACC-RED-140</t>
  </si>
  <si>
    <t>FCACC-RED-141</t>
  </si>
  <si>
    <t>FCACC-RED-142</t>
  </si>
  <si>
    <t>FCACC-RED-143</t>
  </si>
  <si>
    <t>FCACC-RED-144</t>
  </si>
  <si>
    <t>FCACC-RED-145</t>
  </si>
  <si>
    <t>FCACC-RED-146</t>
  </si>
  <si>
    <t>FCACC-RED-147</t>
  </si>
  <si>
    <t>FCACC-RED-148</t>
  </si>
  <si>
    <t>FCACC-RED-149</t>
  </si>
  <si>
    <t>FCACC-RED-150</t>
  </si>
  <si>
    <t>FCACC-RED-151</t>
  </si>
  <si>
    <t>FCACC-RED-152</t>
  </si>
  <si>
    <t>FCACC-RED-153</t>
  </si>
  <si>
    <t>FCACC-RED-154</t>
  </si>
  <si>
    <t>FCACC-RED-155</t>
  </si>
  <si>
    <t>FCACC-RED-156</t>
  </si>
  <si>
    <t>FCACC-RED-157</t>
  </si>
  <si>
    <t>FCACC-RED-158</t>
  </si>
  <si>
    <t>FCACC-RED-159</t>
  </si>
  <si>
    <t>FCACC-RED-160</t>
  </si>
  <si>
    <t>FCACC-RED-161</t>
  </si>
  <si>
    <t>FCACC-RED-162</t>
  </si>
  <si>
    <t>FCACC-RED-163</t>
  </si>
  <si>
    <t>FCACC-RED-164</t>
  </si>
  <si>
    <t>FCACC-RED-165</t>
  </si>
  <si>
    <t>FCACC-RED-166</t>
  </si>
  <si>
    <t>FCACC-RED-167</t>
  </si>
  <si>
    <t>FCACC-RED-168</t>
  </si>
  <si>
    <t>FCACC-RED-169</t>
  </si>
  <si>
    <t>FCACC-RED-170</t>
  </si>
  <si>
    <t>FCACC-RED-171</t>
  </si>
  <si>
    <t>FCACC-RED-172</t>
  </si>
  <si>
    <t>FCACC-RED-173</t>
  </si>
  <si>
    <t>FCACC-RED-174</t>
  </si>
  <si>
    <t>FCACC-RED-175</t>
  </si>
  <si>
    <t>FCACC-RED-176</t>
  </si>
  <si>
    <t>FCACC-RED-177</t>
  </si>
  <si>
    <t>FCACC-RED-178</t>
  </si>
  <si>
    <t>FCACC-RED-179</t>
  </si>
  <si>
    <t>FCACC-RED-180</t>
  </si>
  <si>
    <t>FCACC-RED-181</t>
  </si>
  <si>
    <t>FCACC-RED-182</t>
  </si>
  <si>
    <t>FCACC-RED-183</t>
  </si>
  <si>
    <t>FCACC-RED-184</t>
  </si>
  <si>
    <t>FCACC-RED-185</t>
  </si>
  <si>
    <t>FCACC-RED-186</t>
  </si>
  <si>
    <t>FCACC-RED-187</t>
  </si>
  <si>
    <t>FCACC-RED-188</t>
  </si>
  <si>
    <t>FCACC-RED-189</t>
  </si>
  <si>
    <t>FCACC-RED-190</t>
  </si>
  <si>
    <t>FCACC-RED-191</t>
  </si>
  <si>
    <t>FCACC-RED-192</t>
  </si>
  <si>
    <t>FCACC-RED-193</t>
  </si>
  <si>
    <t>FCACC-RED-194</t>
  </si>
  <si>
    <t>FCACC-RED-195</t>
  </si>
  <si>
    <t>FCACC-RED-196</t>
  </si>
  <si>
    <t>FCACC-RED-197</t>
  </si>
  <si>
    <t>FCACC-RED-198</t>
  </si>
  <si>
    <t>FCACC-RED-199</t>
  </si>
  <si>
    <t>FCACC-RED-200</t>
  </si>
  <si>
    <t>FCACC-RED-201</t>
  </si>
  <si>
    <t>FCACC-RED-202</t>
  </si>
  <si>
    <t>FCACC-RED-203</t>
  </si>
  <si>
    <t>FCACC-RED-204</t>
  </si>
  <si>
    <t>FCACC-RED-205</t>
  </si>
  <si>
    <t>FCACC-RED-206</t>
  </si>
  <si>
    <t>FCACC-RED-207</t>
  </si>
  <si>
    <t>FCACC-RED-208</t>
  </si>
  <si>
    <t>FCACC-RED-209</t>
  </si>
  <si>
    <t>FCACC-RED-210</t>
  </si>
  <si>
    <t>FCACC-RED-211</t>
  </si>
  <si>
    <t>FCACC-RED-212</t>
  </si>
  <si>
    <t>FCACC-RED-213</t>
  </si>
  <si>
    <t>FCACC-RED-214</t>
  </si>
  <si>
    <t>FCACC-RED-215</t>
  </si>
  <si>
    <t>FCACC-RED-216</t>
  </si>
  <si>
    <t>FCACC-RED-217</t>
  </si>
  <si>
    <t>FCACC-RED-218</t>
  </si>
  <si>
    <t>FCACC-RED-219</t>
  </si>
  <si>
    <t>FCACC-RED-220</t>
  </si>
  <si>
    <t>FCACC-RED-221</t>
  </si>
  <si>
    <t>FCACC-RED-222</t>
  </si>
  <si>
    <t>FCACC-RED-223</t>
  </si>
  <si>
    <t>FCACC-RED-224</t>
  </si>
  <si>
    <t>FCACC-RED-225</t>
  </si>
  <si>
    <t>FCACC-RED-226</t>
  </si>
  <si>
    <t>FCACC-RED-227</t>
  </si>
  <si>
    <t>FCACC-RED-228</t>
  </si>
  <si>
    <t>FCACC-RED-229</t>
  </si>
  <si>
    <t>FCACC-RED-230</t>
  </si>
  <si>
    <t>FCACC-RED-231</t>
  </si>
  <si>
    <t>FCACC-RED-232</t>
  </si>
  <si>
    <t>FCACC-RED-233</t>
  </si>
  <si>
    <t>FCACC-RED-234</t>
  </si>
  <si>
    <t>FCACC-RED-235</t>
  </si>
  <si>
    <t>FCACC-RED-236</t>
  </si>
  <si>
    <t>FCACC-RED-237</t>
  </si>
  <si>
    <t>FCACC-RED-238</t>
  </si>
  <si>
    <t>FCACC-RED-239</t>
  </si>
  <si>
    <t>FCACC-RED-240</t>
  </si>
  <si>
    <t>FCACC-RED-241</t>
  </si>
  <si>
    <t>FCACC-RED-242</t>
  </si>
  <si>
    <t>FCACC-RED-243</t>
  </si>
  <si>
    <t>FCACC-RED-244</t>
  </si>
  <si>
    <t>FCACC-RED-245</t>
  </si>
  <si>
    <t>FCACC-RED-246</t>
  </si>
  <si>
    <t>FCACC-RED-247</t>
  </si>
  <si>
    <t>FCACC-RED-248</t>
  </si>
  <si>
    <t>FCACC-RED-249</t>
  </si>
  <si>
    <t>FCACC-RED-250</t>
  </si>
  <si>
    <t>FCACC-RED-251</t>
  </si>
  <si>
    <t>FCACC-RED-252</t>
  </si>
  <si>
    <t>FCACC-RED-253</t>
  </si>
  <si>
    <t>FCACC-RED-254</t>
  </si>
  <si>
    <t>FCACC-RED-255</t>
  </si>
  <si>
    <t>FCACC-RED-256</t>
  </si>
  <si>
    <t>FCACC-RED-257</t>
  </si>
  <si>
    <t>FCACC-RED-258</t>
  </si>
  <si>
    <t>FCACC-RED-259</t>
  </si>
  <si>
    <t>FCACC-RED-260</t>
  </si>
  <si>
    <t>FCACC-RED-261</t>
  </si>
  <si>
    <t>FCACC-RED-262</t>
  </si>
  <si>
    <t>FCACC-RED-263</t>
  </si>
  <si>
    <t>FCACC-RED-264</t>
  </si>
  <si>
    <t>FCACC-RED-265</t>
  </si>
  <si>
    <t>FCACC-RED-266</t>
  </si>
  <si>
    <t>FCACC-RED-267</t>
  </si>
  <si>
    <t>FCACC-RED-268</t>
  </si>
  <si>
    <t>FCACC-RED-269</t>
  </si>
  <si>
    <t>FCACC-RED-270</t>
  </si>
  <si>
    <t>FCACC-RED-271</t>
  </si>
  <si>
    <t>FCACC-RED-272</t>
  </si>
  <si>
    <t>FCACC-RED-273</t>
  </si>
  <si>
    <t>FCACC-RED-274</t>
  </si>
  <si>
    <t>FCACC-RED-275</t>
  </si>
  <si>
    <t>FCACC-RED-276</t>
  </si>
  <si>
    <t>FCACC-RED-277</t>
  </si>
  <si>
    <t>FCACC-RED-278</t>
  </si>
  <si>
    <t>FCACC-RED-279</t>
  </si>
  <si>
    <t>FCACC-RED-280</t>
  </si>
  <si>
    <t>FCACC-RED-281</t>
  </si>
  <si>
    <t>FCACC-RED-282</t>
  </si>
  <si>
    <t>FCACC-RED-283</t>
  </si>
  <si>
    <t>FCACC-RED-284</t>
  </si>
  <si>
    <t>FCACC-RED-285</t>
  </si>
  <si>
    <t>FCACC-RED-286</t>
  </si>
  <si>
    <t>FCACC-RED-287</t>
  </si>
  <si>
    <t>FCACC-RED-288</t>
  </si>
  <si>
    <t>FCACC-RED-289</t>
  </si>
  <si>
    <t>FCACC-RED-290</t>
  </si>
  <si>
    <t>FCACC-RED-291</t>
  </si>
  <si>
    <t>FCACC-RED-292</t>
  </si>
  <si>
    <t>FCACC-RED-293</t>
  </si>
  <si>
    <t>FCACC-RED-294</t>
  </si>
  <si>
    <t>FCACC-RED-295</t>
  </si>
  <si>
    <t>FCACC-RED-296</t>
  </si>
  <si>
    <t>FCACC-RED-297</t>
  </si>
  <si>
    <t>FCACC-RED-298</t>
  </si>
  <si>
    <t>FCACC-RED-299</t>
  </si>
  <si>
    <t>FCACC-RED-300</t>
  </si>
  <si>
    <t>FCACC-RED-301</t>
  </si>
  <si>
    <t>FCACC-RED-302</t>
  </si>
  <si>
    <t>FCACC-RED-303</t>
  </si>
  <si>
    <t>FCACC-RED-304</t>
  </si>
  <si>
    <t>FCACC-RED-305</t>
  </si>
  <si>
    <t>FCACC-RED-306</t>
  </si>
  <si>
    <t>FCACC-RED-307</t>
  </si>
  <si>
    <t>FCACC-RED-308</t>
  </si>
  <si>
    <t>FCACC-RED-309</t>
  </si>
  <si>
    <t>FCACC-RED-310</t>
  </si>
  <si>
    <t>FCACC-RED-311</t>
  </si>
  <si>
    <t>FCACC-RED-312</t>
  </si>
  <si>
    <t>FCACC-RED-313</t>
  </si>
  <si>
    <t>FCACC-RED-314</t>
  </si>
  <si>
    <t>FCACC-RED-315</t>
  </si>
  <si>
    <t>FCACC-RED-316</t>
  </si>
  <si>
    <t>FCACC-RED-317</t>
  </si>
  <si>
    <t>FCACC-RED-318</t>
  </si>
  <si>
    <t>FCACC-RED-319</t>
  </si>
  <si>
    <t>FCACC-RED-320</t>
  </si>
  <si>
    <t>FCACC-RED-321</t>
  </si>
  <si>
    <t>FCACC-RED-322</t>
  </si>
  <si>
    <t>FCACC-RED-323</t>
  </si>
  <si>
    <t>FCACC-RED-324</t>
  </si>
  <si>
    <t>FCACC-RED-325</t>
  </si>
  <si>
    <t>FCACC-RED-326</t>
  </si>
  <si>
    <t>FCACC-RED-327</t>
  </si>
  <si>
    <t>FCACC-RED-328</t>
  </si>
  <si>
    <t>FCACC-RED-329</t>
  </si>
  <si>
    <t>FCACC-RED-330</t>
  </si>
  <si>
    <t>FCACC-RED-331</t>
  </si>
  <si>
    <t>FCACC-RED-332</t>
  </si>
  <si>
    <t>FCACC-RED-333</t>
  </si>
  <si>
    <t>FCACC-RED-334</t>
  </si>
  <si>
    <t>FCACC-RED-335</t>
  </si>
  <si>
    <t>FCACC-RED-336</t>
  </si>
  <si>
    <t>FCACC-RED-337</t>
  </si>
  <si>
    <t>FCACC-RED-338</t>
  </si>
  <si>
    <t>FCACC-RED-339</t>
  </si>
  <si>
    <t>FCACC-RED-340</t>
  </si>
  <si>
    <t>FCACC-RED-341</t>
  </si>
  <si>
    <t>FCACC-RED-342</t>
  </si>
  <si>
    <t>FCACC-RED-343</t>
  </si>
  <si>
    <t>FCACC-RED-344</t>
  </si>
  <si>
    <t>FCACC-RED-345</t>
  </si>
  <si>
    <t>FCACC-RED-346</t>
  </si>
  <si>
    <t>FCACC-RED-347</t>
  </si>
  <si>
    <t>FCACC-RED-348</t>
  </si>
  <si>
    <t>FCACC-RED-349</t>
  </si>
  <si>
    <t>FCACC-RED-350</t>
  </si>
  <si>
    <t>FCACC-RED-351</t>
  </si>
  <si>
    <t>FCACC-RED-352</t>
  </si>
  <si>
    <t>FCACC-RED-353</t>
  </si>
  <si>
    <t>FCACC-RED-354</t>
  </si>
  <si>
    <t>FCACC-RED-355</t>
  </si>
  <si>
    <t>FCACC-RED-356</t>
  </si>
  <si>
    <t>FCACC-RED-357</t>
  </si>
  <si>
    <t>FCACC-RED-358</t>
  </si>
  <si>
    <t>FCACC-RED-359</t>
  </si>
  <si>
    <t>FCACC-RED-360</t>
  </si>
  <si>
    <t>FCACC-RED-361</t>
  </si>
  <si>
    <t>FCACC-RED-362</t>
  </si>
  <si>
    <t>FCACC-RED-363</t>
  </si>
  <si>
    <t>FCACC-RED-364</t>
  </si>
  <si>
    <t>FCACC-RED-365</t>
  </si>
  <si>
    <t>FCACC-RED-366</t>
  </si>
  <si>
    <t>FCACC-RED-367</t>
  </si>
  <si>
    <t>FCACC-RED-368</t>
  </si>
  <si>
    <t>FCACC-RED-369</t>
  </si>
  <si>
    <t>FCACC-RED-370</t>
  </si>
  <si>
    <t>FCACC-RED-371</t>
  </si>
  <si>
    <t>FCACC-RED-372</t>
  </si>
  <si>
    <t>FCACC-RED-373</t>
  </si>
  <si>
    <t>FCACC-RED-374</t>
  </si>
  <si>
    <t>FCACC-RED-375</t>
  </si>
  <si>
    <t>FCACC-RED-376</t>
  </si>
  <si>
    <t>FCACC-RED-377</t>
  </si>
  <si>
    <t>FCACC-RED-378</t>
  </si>
  <si>
    <t>FCACC-RED-379</t>
  </si>
  <si>
    <t>FCACC-RED-380</t>
  </si>
  <si>
    <t>FCACC-RED-381</t>
  </si>
  <si>
    <t>FCACC-RED-382</t>
  </si>
  <si>
    <t>FCACC-RED-383</t>
  </si>
  <si>
    <t>FCACC-RED-384</t>
  </si>
  <si>
    <t>FCACC-RED-385</t>
  </si>
  <si>
    <t>FCACC-RED-386</t>
  </si>
  <si>
    <t>FCACC-RED-387</t>
  </si>
  <si>
    <t>FCACC-RED-388</t>
  </si>
  <si>
    <t>FCACC-RED-389</t>
  </si>
  <si>
    <t>FCACC-RED-390</t>
  </si>
  <si>
    <t>FCACC-RED-391</t>
  </si>
  <si>
    <t>FCACC-RED-392</t>
  </si>
  <si>
    <t>FCACC-RED-393</t>
  </si>
  <si>
    <t>FCACC-RED-394</t>
  </si>
  <si>
    <t>FCACC-RED-395</t>
  </si>
  <si>
    <t>FCACC-RED-396</t>
  </si>
  <si>
    <t>FCACC-RED-397</t>
  </si>
  <si>
    <t>FCACC-RED-398</t>
  </si>
  <si>
    <t>FCACC-RED-399</t>
  </si>
  <si>
    <t>FCACC-RED-400</t>
  </si>
  <si>
    <t>FCACC-RED-401</t>
  </si>
  <si>
    <t>FCACC-RED-402</t>
  </si>
  <si>
    <t>FCACC-RED-403</t>
  </si>
  <si>
    <t>FCACC-RED-404</t>
  </si>
  <si>
    <t>FCACC-RED-405</t>
  </si>
  <si>
    <t>FCACC-RED-406</t>
  </si>
  <si>
    <t>FCACC-RED-407</t>
  </si>
  <si>
    <t>FCACC-RED-408</t>
  </si>
  <si>
    <t>FCACC-RED-409</t>
  </si>
  <si>
    <t>FCACC-RED-410</t>
  </si>
  <si>
    <t>FCACC-RED-411</t>
  </si>
  <si>
    <t>FCACC-RED-412</t>
  </si>
  <si>
    <t>FCACC-RED-413</t>
  </si>
  <si>
    <t>FCACC-RED-414</t>
  </si>
  <si>
    <t>FCACC-RED-415</t>
  </si>
  <si>
    <t>FCACC-RED-416</t>
  </si>
  <si>
    <t>FCACC-RED-417</t>
  </si>
  <si>
    <t>FCACC-RED-418</t>
  </si>
  <si>
    <t>FCACC-RED-419</t>
  </si>
  <si>
    <t>FCACC-RED-420</t>
  </si>
  <si>
    <t>FCACC-RED-421</t>
  </si>
  <si>
    <t>FCACC-RED-422</t>
  </si>
  <si>
    <t>FCACC-RED-423</t>
  </si>
  <si>
    <t>FCACC-RED-424</t>
  </si>
  <si>
    <t>FCACC-RED-425</t>
  </si>
  <si>
    <t>FCACC-RED-426</t>
  </si>
  <si>
    <t>FCACC-RED-427</t>
  </si>
  <si>
    <t>FCACC-RED-428</t>
  </si>
  <si>
    <t>FCACC-RED-429</t>
  </si>
  <si>
    <t>FCACC-RED-430</t>
  </si>
  <si>
    <t>FCACC-RED-431</t>
  </si>
  <si>
    <t>FCACC-RED-432</t>
  </si>
  <si>
    <t>FCACC-RED-433</t>
  </si>
  <si>
    <t>FCACC-RED-434</t>
  </si>
  <si>
    <t>FCACC-RED-435</t>
  </si>
  <si>
    <t>FCACC-RED-436</t>
  </si>
  <si>
    <t>FCACC-RED-437</t>
  </si>
  <si>
    <t>FCACC-RED-438</t>
  </si>
  <si>
    <t>FCACC-RED-439</t>
  </si>
  <si>
    <t>FCACC-RED-440</t>
  </si>
  <si>
    <t>FCACC-RED-441</t>
  </si>
  <si>
    <t>FCACC-RED-442</t>
  </si>
  <si>
    <t>FCACC-RED-443</t>
  </si>
  <si>
    <t>FCACC-RED-444</t>
  </si>
  <si>
    <t>FCACC-RED-445</t>
  </si>
  <si>
    <t>FCACC-RED-446</t>
  </si>
  <si>
    <t>FCACC-RED-447</t>
  </si>
  <si>
    <t>FCACC-RED-448</t>
  </si>
  <si>
    <t>FCACC-RED-449</t>
  </si>
  <si>
    <t>FCACC-RED-450</t>
  </si>
  <si>
    <t>FCACC-RED-451</t>
  </si>
  <si>
    <t>FCACC-RED-452</t>
  </si>
  <si>
    <t>FCACC-RED-453</t>
  </si>
  <si>
    <t>FCACC-RED-454</t>
  </si>
  <si>
    <t>FCACC-RED-455</t>
  </si>
  <si>
    <t>FCACC-RED-456</t>
  </si>
  <si>
    <t>FCACC-RED-457</t>
  </si>
  <si>
    <t>FCACC-RED-458</t>
  </si>
  <si>
    <t>FCACC-RED-459</t>
  </si>
  <si>
    <t>FCACC-RED-460</t>
  </si>
  <si>
    <t>FCACC-RED-461</t>
  </si>
  <si>
    <t>FCACC-RED-462</t>
  </si>
  <si>
    <t>FCACC-RED-463</t>
  </si>
  <si>
    <t>FCACC-RED-464</t>
  </si>
  <si>
    <t>FCACC-RED-465</t>
  </si>
  <si>
    <t>FCACC-RED-466</t>
  </si>
  <si>
    <t>FCACC-RED-467</t>
  </si>
  <si>
    <t>FCACC-RED-468</t>
  </si>
  <si>
    <t>FCACC-RED-469</t>
  </si>
  <si>
    <t>FCACC-RED-470</t>
  </si>
  <si>
    <t>FCACC-RED-471</t>
  </si>
  <si>
    <t>FCACC-RED-472</t>
  </si>
  <si>
    <t>FCACC-RED-473</t>
  </si>
  <si>
    <t>FCACC-RED-474</t>
  </si>
  <si>
    <t>FCACC-RED-475</t>
  </si>
  <si>
    <t>FCACC-RED-476</t>
  </si>
  <si>
    <t>FCACC-RED-477</t>
  </si>
  <si>
    <t>FCACC-RED-478</t>
  </si>
  <si>
    <t>FCACC-RED-479</t>
  </si>
  <si>
    <t>FCACC-RED-480</t>
  </si>
  <si>
    <t>FCACC-RED-481</t>
  </si>
  <si>
    <t>FCACC-RED-482</t>
  </si>
  <si>
    <t>FCACC-RED-483</t>
  </si>
  <si>
    <t>FCACC-RED-484</t>
  </si>
  <si>
    <t>FCACC-RED-485</t>
  </si>
  <si>
    <t>FCACC-RED-486</t>
  </si>
  <si>
    <t>FCACC-RED-487</t>
  </si>
  <si>
    <t>FCACC-RED-488</t>
  </si>
  <si>
    <t>FCACC-RED-489</t>
  </si>
  <si>
    <t>FCACC-RED-490</t>
  </si>
  <si>
    <t>FCACC-RED-491</t>
  </si>
  <si>
    <t>FCACC-RED-492</t>
  </si>
  <si>
    <t>DETALLADO</t>
  </si>
  <si>
    <t>Seleccione ID Carrera</t>
  </si>
  <si>
    <t>Seleccione Asignatura</t>
  </si>
  <si>
    <t>No existe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</si>
</sst>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  <alignment wrapText="1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7B909720-9E3F-49D8-88C1-78A1F11632AE}" autoFormatId="16" applyNumberFormats="0" applyBorderFormats="0" applyFontFormats="0" applyPatternFormats="0" applyAlignmentFormats="0" applyWidthHeightFormats="0">
  <queryTableRefresh nextId="3">
    <queryTableFields count="2">
      <queryTableField id="1" name="ID_DDETALLADO" tableColumnId="1"/>
      <queryTableField id="2" name="CAMPO_DETALLAD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FEF7A923-EA25-4E8A-A4AE-2056115605BA}" autoFormatId="16" applyNumberFormats="0" applyBorderFormats="0" applyFontFormats="0" applyPatternFormats="0" applyAlignmentFormats="0" applyWidthHeightFormats="0">
  <queryTableRefresh nextId="15">
    <queryTableFields count="7">
      <queryTableField id="6" name="ID_CARRERA" tableColumnId="6"/>
      <queryTableField id="7" name="NOMBRE_CARRERA" tableColumnId="7"/>
      <queryTableField id="13" name="SEMANAS" tableColumnId="2"/>
      <queryTableField id="11" name="TOTAL HORAS" tableColumnId="1"/>
      <queryTableField id="8" name="FECHA_INICIO" tableColumnId="8"/>
      <queryTableField id="9" name="FECHA_FIN" tableColumnId="9"/>
      <queryTableField id="10" name="ESTADO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01B22A9A-8592-4004-A43C-3F6994EB6254}" autoFormatId="16" applyNumberFormats="0" applyBorderFormats="0" applyFontFormats="0" applyPatternFormats="0" applyAlignmentFormats="0" applyWidthHeightFormats="0">
  <queryTableRefresh nextId="19">
    <queryTableFields count="9">
      <queryTableField id="10" name="ID_DOCENTE" tableColumnId="10"/>
      <queryTableField id="11" name="DATOS_DOCENTE" tableColumnId="11"/>
      <queryTableField id="12" name="UNIDAD" tableColumnId="12"/>
      <queryTableField id="13" name="CORREO" tableColumnId="13"/>
      <queryTableField id="14" name="CELULAR" tableColumnId="14"/>
      <queryTableField id="15" name="ESTUDIO" tableColumnId="15"/>
      <queryTableField id="16" name="DEDICACION" tableColumnId="16"/>
      <queryTableField id="17" name="Modalidad_TH" tableColumnId="17"/>
      <queryTableField id="18" name="TIPO SANGRE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E04CD537-F917-473D-9AF6-912C1E09F971}" autoFormatId="16" applyNumberFormats="0" applyBorderFormats="0" applyFontFormats="0" applyPatternFormats="0" applyAlignmentFormats="0" applyWidthHeightFormats="0">
  <queryTableRefresh nextId="15">
    <queryTableFields count="7">
      <queryTableField id="8" name="ID_ASIG" tableColumnId="8"/>
      <queryTableField id="9" name="NOM_ASIG" tableColumnId="9"/>
      <queryTableField id="10" name="HORAS" tableColumnId="10"/>
      <queryTableField id="11" name="semanas" tableColumnId="11"/>
      <queryTableField id="12" name="ID_CARRERA" tableColumnId="12"/>
      <queryTableField id="13" name="NOMBRE_CARRERA" tableColumnId="13"/>
      <queryTableField id="14" name="ID_NIVEL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64B34255-D187-4339-85B1-553E3E3D3A00}" autoFormatId="16" applyNumberFormats="0" applyBorderFormats="0" applyFontFormats="0" applyPatternFormats="0" applyAlignmentFormats="0" applyWidthHeightFormats="0">
  <queryTableRefresh nextId="6">
    <queryTableFields count="5">
      <queryTableField id="1" name="ID_DET_MAEST" tableColumnId="1"/>
      <queryTableField id="2" name="MAESTRIA" tableColumnId="2"/>
      <queryTableField id="3" name="ID_MAESTRIA" tableColumnId="3"/>
      <queryTableField id="4" name="CAMPO_DETALLADO" tableColumnId="4"/>
      <queryTableField id="5" name="ID_DETALLADO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3E9E591-681A-4483-BB89-60FCDCECC8EF}" autoFormatId="16" applyNumberFormats="0" applyBorderFormats="0" applyFontFormats="0" applyPatternFormats="0" applyAlignmentFormats="0" applyWidthHeightFormats="0">
  <queryTableRefresh nextId="7">
    <queryTableFields count="6">
      <queryTableField id="1" name="ID_NIVE_DOC" tableColumnId="1"/>
      <queryTableField id="2" name="NOMBRE_DOCENTE" tableColumnId="2"/>
      <queryTableField id="3" name="IDENTIFICACION" tableColumnId="3"/>
      <queryTableField id="4" name="MAESTRIA" tableColumnId="4"/>
      <queryTableField id="5" name="VALIDACION " tableColumnId="5"/>
      <queryTableField id="6" name="ID_MAESRIA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CB2326B-BB47-47B3-A7E9-D0FA79E4E512}" autoFormatId="16" applyNumberFormats="0" applyBorderFormats="0" applyFontFormats="0" applyPatternFormats="0" applyAlignmentFormats="0" applyWidthHeightFormats="0">
  <queryTableRefresh nextId="10">
    <queryTableFields count="8">
      <queryTableField id="1" name="ID_ASIG_CAM_DET" tableColumnId="1"/>
      <queryTableField id="2" name="ID_CARRERA" tableColumnId="2"/>
      <queryTableField id="3" name="NOMBRE_CARRERA" tableColumnId="3"/>
      <queryTableField id="4" name="NIVEL" tableColumnId="4"/>
      <queryTableField id="5" name="ASIGNATURA" tableColumnId="5"/>
      <queryTableField id="8" name="ID_ASIG" tableColumnId="8"/>
      <queryTableField id="6" name="DETALLADO" tableColumnId="6"/>
      <queryTableField id="7" name="ID_DETALLADO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ED29E-8FBF-4A13-B5D1-840498A967A7}" name="Tabla1" displayName="Tabla1" ref="A1:W600" totalsRowShown="0" headerRowDxfId="48">
  <autoFilter ref="A1:W600" xr:uid="{68BED29E-8FBF-4A13-B5D1-840498A967A7}"/>
  <tableColumns count="23">
    <tableColumn id="13" xr3:uid="{DDD1E444-BB4C-4A3E-8AC3-165CEA530ED7}" name="N°"/>
    <tableColumn id="1" xr3:uid="{68091A46-C844-44E7-98AD-7AAAF99FC1D3}" name="CARRERA"/>
    <tableColumn id="7" xr3:uid="{BF67D830-980C-4995-9DB0-3B58FA0CE705}" name="ID_CARRERA" dataDxfId="47">
      <calculatedColumnFormula>_xlfn.XLOOKUP(Tabla1[[#This Row],[CARRERA]],MAE_CARRERA[NOMBRE_CARRERA],MAE_CARRERA[ID_CARRERA],"Seleccione Carrera")</calculatedColumnFormula>
    </tableColumn>
    <tableColumn id="2" xr3:uid="{51ACFC0D-9465-4E6A-936B-F1F8082CC836}" name="NIVEL" dataDxfId="46">
      <calculatedColumnFormula array="1">INDIRECT(B2)</calculatedColumnFormula>
    </tableColumn>
    <tableColumn id="4" xr3:uid="{022795CA-9A8F-42B6-9AC7-E497E6473358}" name="PARALELO"/>
    <tableColumn id="3" xr3:uid="{01A994F6-C306-4896-9709-1B4D7A432170}" name="ASIGNATURA"/>
    <tableColumn id="19" xr3:uid="{E203F613-28DF-44E6-922C-680334F91C7A}" name="ID_ASIG_CAM_DET" dataDxfId="45">
      <calculatedColumnFormula>_xlfn.XLOOKUP(Tabla1[[#This Row],[ASIGNATURA]],MAE_ASIGNATURA[NOM_ASIG],MAE_ASIGNATURA[ID_ASIG],"Seleccione Asignatura")</calculatedColumnFormula>
    </tableColumn>
    <tableColumn id="9" xr3:uid="{0FD5AA64-C5B7-431F-BD20-EC23E04104E5}" name="CAMPO" dataDxfId="44">
      <calculatedColumnFormula array="1">_xlfn.TEXTJOIN("; ",TRUE,TRANSPOSE(_xlfn.UNIQUE(_xlfn._xlws.FILTER(DET_ASIG[DETALLADO],(DET_ASIG[NIVEL]=ASIGNACION!$D2)*(DET_ASIG[ID_CARRERA]=ASIGNACION!$C2)*(DET_ASIG[ID_ASIG]=ASIGNACION!$G2),"No existe información"))))</calculatedColumnFormula>
    </tableColumn>
    <tableColumn id="14" xr3:uid="{A8839E5A-A0EE-42EC-9DB1-8043640638F5}" name="AFINIDAD/DOCENCIA" dataDxfId="43"/>
    <tableColumn id="5" xr3:uid="{0D02E2A2-BC1D-47DA-9B6E-3D098638D421}" name="HORAS" dataDxfId="42">
      <calculatedColumnFormula>_xlfn.XLOOKUP(Tabla1[[#This Row],[ID_ASIG_CAM_DET]],MAE_ASIGNATURA[ID_ASIG],MAE_ASIGNATURA[HORAS],0)</calculatedColumnFormula>
    </tableColumn>
    <tableColumn id="10" xr3:uid="{BA00137F-AAC1-4B36-BA02-4BE56751DE6D}" name="CALCULAR HORA"/>
    <tableColumn id="11" xr3:uid="{81570C96-98B2-4912-B34F-A18ED2513B48}" name="TOTAL" dataDxfId="41">
      <calculatedColumnFormula>+Tabla1[[#This Row],[CALCULAR HORA]]*Tabla1[[#This Row],[HORAS]]</calculatedColumnFormula>
    </tableColumn>
    <tableColumn id="8" xr3:uid="{B8FE5E8B-DE1A-4724-9C88-B0ED5BAC51B6}" name="NOMBRE_DOCENT"/>
    <tableColumn id="20" xr3:uid="{EE087F64-E12F-45B9-928E-460FE7792742}" name="TIPO DOCENTE" dataDxfId="40">
      <calculatedColumnFormula>_xlfn.XLOOKUP(Tabla1[[#This Row],[NOMBRE_DOCENT]],MDOCENTES[DATOS_DOCENTE],MDOCENTES[DEDICACION],"Seleccione Docente")</calculatedColumnFormula>
    </tableColumn>
    <tableColumn id="22" xr3:uid="{9E61C94A-A185-4A79-9C44-9D31360F19C2}" name="ESTUDIO DOCENTE" dataDxfId="39">
      <calculatedColumnFormula>_xlfn.XLOOKUP(Tabla1[[#This Row],[NOMBRE_DOCENT]],MDOCENTES[DATOS_DOCENTE],MDOCENTES[ESTUDIO],"Seleccione Docente")</calculatedColumnFormula>
    </tableColumn>
    <tableColumn id="21" xr3:uid="{58BA2819-9B7F-4595-B02A-5C7212EADE33}" name="TOTAL ASIGNATURA" dataDxfId="38">
      <calculatedColumnFormula>COUNTIFS($M:$M, M2, $H:$H, "&lt;&gt;ACTIVIDAD")</calculatedColumnFormula>
    </tableColumn>
    <tableColumn id="12" xr3:uid="{1DA3744D-7841-4828-B63C-94768F2D7EAB}" name="HORAS NO AFINIDAD" dataDxfId="37">
      <calculatedColumnFormula>SUMIFS($L:$L, $M:$M, M2, $I:$I, "NO",$H:$H,"&lt;&gt;UNIDAD BASICA")</calculatedColumnFormula>
    </tableColumn>
    <tableColumn id="17" xr3:uid="{4F8D8A76-E737-43EC-A28F-0D1DC901B767}" name="HORAS UNIDAD BASICA" dataDxfId="36">
      <calculatedColumnFormula>SUMIFS($L:$L, $M:$M, M2, $H:$H, "UNIDAD BASICA",$I:$I,"NO")</calculatedColumnFormula>
    </tableColumn>
    <tableColumn id="16" xr3:uid="{7B60FC23-FD82-4F1F-9C6C-0A30456A542F}" name="HORAS ACTIVIDAD" dataDxfId="35">
      <calculatedColumnFormula>SUMIFS($L:$L, $M:$M, M2, $I:$I, "ACTIVIDAD")</calculatedColumnFormula>
    </tableColumn>
    <tableColumn id="15" xr3:uid="{5E42247E-A465-4226-90D0-167826706414}" name="HORAS AFINIDAD" dataDxfId="34">
      <calculatedColumnFormula>SUMIFS($L:$L, $M:$M, M2, $I:$I, "SI")</calculatedColumnFormula>
    </tableColumn>
    <tableColumn id="23" xr3:uid="{DC9B7E79-5FF8-44E7-A484-5AB448890630}" name="TOTAL HORAS CLASES" dataDxfId="33">
      <calculatedColumnFormula>Tabla1[[#This Row],[HORAS NO AFINIDAD]]+Tabla1[[#This Row],[HORAS UNIDAD BASICA]]+Tabla1[[#This Row],[HORAS AFINIDAD]]</calculatedColumnFormula>
    </tableColumn>
    <tableColumn id="18" xr3:uid="{1FF23949-7D96-4D39-97FA-EA3A3CD94F65}" name="TOTAL HORAS" dataDxfId="32">
      <calculatedColumnFormula>+Tabla1[[#This Row],[HORAS AFINIDAD]]+Tabla1[[#This Row],[HORAS ACTIVIDAD]]+Tabla1[[#This Row],[HORAS UNIDAD BASICA]]+Tabla1[[#This Row],[HORAS NO AFINIDAD]]</calculatedColumnFormula>
    </tableColumn>
    <tableColumn id="6" xr3:uid="{A25CCF6B-4487-44A1-8089-D8B28019D958}" name="CEDULA_DOCENTE" dataDxfId="31">
      <calculatedColumnFormula>_xlfn.XLOOKUP(Tabla1[[#This Row],[NOMBRE_DOCENT]],EDU_DOCENTE[NOMBRE_DOCENTE],EDU_DOCENTE[IDENTIFICACION],"Seleccione Docente")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CF779F-1CB1-4768-AD8D-EFED6309556C}" name="MAE_CONOCIMIENTO" displayName="MAE_CONOCIMIENTO" ref="A1:B37" tableType="queryTable" totalsRowShown="0">
  <autoFilter ref="A1:B37" xr:uid="{37CF779F-1CB1-4768-AD8D-EFED6309556C}"/>
  <tableColumns count="2">
    <tableColumn id="1" xr3:uid="{9CB87C56-7F57-4094-A02C-D37BFCB4BAD6}" uniqueName="1" name="ID_DDETALLADO" queryTableFieldId="1" dataDxfId="30"/>
    <tableColumn id="2" xr3:uid="{BF725DB7-1B2F-40BD-9F09-EF4012A19C1B}" uniqueName="2" name="CAMPO_DETALLADO" queryTableFieldId="2" dataDxfId="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B1E9DD8-96AA-41CE-B9E5-4DB1EE5C887D}" name="MAE_CARRERA" displayName="MAE_CARRERA" ref="A1:G18" tableType="queryTable" totalsRowShown="0">
  <autoFilter ref="A1:G18" xr:uid="{BB1E9DD8-96AA-41CE-B9E5-4DB1EE5C887D}"/>
  <tableColumns count="7">
    <tableColumn id="6" xr3:uid="{AE8783AF-2ED5-4E27-A587-56E2056F110E}" uniqueName="6" name="ID_CARRERA" queryTableFieldId="6" dataDxfId="28"/>
    <tableColumn id="7" xr3:uid="{93FFF7F3-D247-40E9-8AE5-975CB37A9D69}" uniqueName="7" name="NOMBRE_CARRERA" queryTableFieldId="7" dataDxfId="27"/>
    <tableColumn id="2" xr3:uid="{E42FDAF5-9DB9-47C2-91A4-067876520D38}" uniqueName="2" name="SEMANAS" queryTableFieldId="13"/>
    <tableColumn id="1" xr3:uid="{64205EE9-F2D6-457E-A2E6-6ECA9221C465}" uniqueName="1" name="TOTAL HORAS" queryTableFieldId="11"/>
    <tableColumn id="8" xr3:uid="{FFB09148-DDD5-4F3E-B03E-36AD93CD3672}" uniqueName="8" name="FECHA_INICIO" queryTableFieldId="8" dataDxfId="26"/>
    <tableColumn id="9" xr3:uid="{46F4EEA2-29A7-459A-ACC5-7D23789DA0CA}" uniqueName="9" name="FECHA_FIN" queryTableFieldId="9" dataDxfId="25"/>
    <tableColumn id="10" xr3:uid="{72328E06-ED85-4D53-AE3B-FB674531924F}" uniqueName="10" name="ESTADO" queryTableFieldId="10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BA10297-0EBA-455A-B5C7-EF0CB17F90FD}" name="MDOCENTES" displayName="MDOCENTES" ref="A1:I135" tableType="queryTable" totalsRowShown="0">
  <autoFilter ref="A1:I135" xr:uid="{2BA10297-0EBA-455A-B5C7-EF0CB17F90FD}"/>
  <tableColumns count="9">
    <tableColumn id="10" xr3:uid="{DAFC7BA0-5500-41D9-8702-3AD24DBEF2F8}" uniqueName="10" name="ID_DOCENTE" queryTableFieldId="10"/>
    <tableColumn id="11" xr3:uid="{3B07D370-5E51-47D0-A97F-A90BC49076B2}" uniqueName="11" name="DATOS_DOCENTE" queryTableFieldId="11" dataDxfId="23"/>
    <tableColumn id="12" xr3:uid="{22735A3D-F624-4A56-8CC7-C810F92BD050}" uniqueName="12" name="UNIDAD" queryTableFieldId="12" dataDxfId="22"/>
    <tableColumn id="13" xr3:uid="{CB2DB63E-5C95-42E2-A3EC-B8D90518CC53}" uniqueName="13" name="CORREO" queryTableFieldId="13" dataDxfId="21"/>
    <tableColumn id="14" xr3:uid="{BD6B11FB-02DB-4CD5-A792-6267C743F7A7}" uniqueName="14" name="CELULAR" queryTableFieldId="14"/>
    <tableColumn id="15" xr3:uid="{AD798D26-DA37-4EC7-A242-9DE445900B72}" uniqueName="15" name="ESTUDIO" queryTableFieldId="15" dataDxfId="20"/>
    <tableColumn id="16" xr3:uid="{6422165F-5CEB-489D-A735-9824FE602E02}" uniqueName="16" name="DEDICACION" queryTableFieldId="16" dataDxfId="19"/>
    <tableColumn id="17" xr3:uid="{41065FB5-F2FB-4714-9C21-984B8E159690}" uniqueName="17" name="Modalidad_TH" queryTableFieldId="17" dataDxfId="18"/>
    <tableColumn id="18" xr3:uid="{D1B9D6C9-2D5F-4A4D-8A54-CC682B52EC88}" uniqueName="18" name="TIPO SANGRE" queryTableFieldId="18" dataDxf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268E0DC-6609-44E2-AEF6-6A8EFCAA0BEC}" name="MAE_ASIGNATURA" displayName="MAE_ASIGNATURA" ref="A1:G339" tableType="queryTable" totalsRowShown="0">
  <autoFilter ref="A1:G339" xr:uid="{9268E0DC-6609-44E2-AEF6-6A8EFCAA0BEC}"/>
  <tableColumns count="7">
    <tableColumn id="8" xr3:uid="{6268F2E8-1328-4BE2-8539-4D5B54BA36F1}" uniqueName="8" name="ID_ASIG" queryTableFieldId="8" dataDxfId="16"/>
    <tableColumn id="9" xr3:uid="{B2861A4C-3A19-4507-B24F-9A4CA180A125}" uniqueName="9" name="NOM_ASIG" queryTableFieldId="9" dataDxfId="15"/>
    <tableColumn id="10" xr3:uid="{4EEABC05-A2BC-409D-9C7D-A259694B825E}" uniqueName="10" name="HORAS" queryTableFieldId="10"/>
    <tableColumn id="11" xr3:uid="{CCB044E3-4F30-4E39-86C9-25D668670149}" uniqueName="11" name="semanas" queryTableFieldId="11"/>
    <tableColumn id="12" xr3:uid="{3F44A2CD-8E23-496A-88D8-2FCB4B630029}" uniqueName="12" name="ID_CARRERA" queryTableFieldId="12" dataDxfId="14"/>
    <tableColumn id="13" xr3:uid="{83C6A078-834B-443A-B024-BB289648D292}" uniqueName="13" name="NOMBRE_CARRERA" queryTableFieldId="13" dataDxfId="13"/>
    <tableColumn id="14" xr3:uid="{ED5BB7FA-82E2-436E-899E-A57AB2840DF2}" uniqueName="14" name="ID_NIVEL" queryTableField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52C9B9-086C-411B-B07C-CC8C9E318152}" name="MAESTRIA_DETALLADO" displayName="MAESTRIA_DETALLADO" ref="A1:E598" tableType="queryTable" totalsRowShown="0">
  <autoFilter ref="A1:E598" xr:uid="{6152C9B9-086C-411B-B07C-CC8C9E318152}"/>
  <tableColumns count="5">
    <tableColumn id="1" xr3:uid="{4D542062-7AA9-4F1B-B797-FA0A184A2DB3}" uniqueName="1" name="ID_DET_MAEST" queryTableFieldId="1" dataDxfId="12"/>
    <tableColumn id="2" xr3:uid="{3DD5D35A-1D27-49EF-8C65-69F16840DEAB}" uniqueName="2" name="MAESTRIA" queryTableFieldId="2" dataDxfId="11"/>
    <tableColumn id="3" xr3:uid="{D69CA541-D7BC-43E4-B100-E2A0E713523E}" uniqueName="3" name="ID_MAESTRIA" queryTableFieldId="3" dataDxfId="10"/>
    <tableColumn id="4" xr3:uid="{AE066E6B-41B5-4959-9BD2-AEF75EE51B21}" uniqueName="4" name="CAMPO_DETALLADO" queryTableFieldId="4" dataDxfId="9"/>
    <tableColumn id="5" xr3:uid="{A18FE124-B36D-4D5E-83C8-D525F7AA91C6}" uniqueName="5" name="ID_DETALLADO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02776D-0CBC-4053-B926-D774692E5252}" name="EDU_DOCENTE" displayName="EDU_DOCENTE" ref="A1:F489" tableType="queryTable" totalsRowShown="0">
  <autoFilter ref="A1:F489" xr:uid="{AE02776D-0CBC-4053-B926-D774692E5252}"/>
  <tableColumns count="6">
    <tableColumn id="1" xr3:uid="{9ECF9B7B-B093-4137-9B6F-58B3E9DE797D}" uniqueName="1" name="ID_NIVE_DOC" queryTableFieldId="1" dataDxfId="8"/>
    <tableColumn id="2" xr3:uid="{D4BDFC5D-46ED-4EB0-812B-96BB9A16905E}" uniqueName="2" name="NOMBRE_DOCENTE" queryTableFieldId="2" dataDxfId="7"/>
    <tableColumn id="3" xr3:uid="{6EA47788-9257-4A58-98EA-FDC97BC21D58}" uniqueName="3" name="IDENTIFICACION" queryTableFieldId="3"/>
    <tableColumn id="4" xr3:uid="{B4B344E3-A85A-4808-AB73-9F6DE63F1F46}" uniqueName="4" name="MAESTRIA" queryTableFieldId="4" dataDxfId="6"/>
    <tableColumn id="5" xr3:uid="{974E8B14-F2D8-4213-B404-B47F8581C674}" uniqueName="5" name="VALIDACION " queryTableFieldId="5" dataDxfId="5"/>
    <tableColumn id="6" xr3:uid="{4AFECA16-B737-4AA3-AA47-ED64BB6D3396}" uniqueName="6" name="ID_MAESRIA" queryTableFieldId="6" dataDxf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3E5D40-B3E6-45B4-AA47-D5A64BE8F16D}" name="DET_ASIG" displayName="DET_ASIG" ref="A1:H600" tableType="queryTable" totalsRowShown="0">
  <autoFilter ref="A1:H600" xr:uid="{E23E5D40-B3E6-45B4-AA47-D5A64BE8F16D}"/>
  <tableColumns count="8">
    <tableColumn id="1" xr3:uid="{3D1B65A3-25D5-4FAB-85BC-8E0C25019DC2}" uniqueName="1" name="ID_ASIG_CAM_DET" queryTableFieldId="1"/>
    <tableColumn id="2" xr3:uid="{D7645B0E-55C8-42BD-9A1F-4BD6A56D5762}" uniqueName="2" name="ID_CARRERA" queryTableFieldId="2" dataDxfId="3"/>
    <tableColumn id="3" xr3:uid="{DEAA1490-6FC6-48E5-930C-4D8D1018013D}" uniqueName="3" name="NOMBRE_CARRERA" queryTableFieldId="3" dataDxfId="2"/>
    <tableColumn id="4" xr3:uid="{B3A17ABD-55BF-4D96-96C4-A5FF6AC221F9}" uniqueName="4" name="NIVEL" queryTableFieldId="4"/>
    <tableColumn id="5" xr3:uid="{A689E0B5-6CA9-4CEC-8092-D2954E01B801}" uniqueName="5" name="ASIGNATURA" queryTableFieldId="5" dataDxfId="1"/>
    <tableColumn id="8" xr3:uid="{A34940A1-0A70-44D1-91B4-61757B611E55}" uniqueName="8" name="ID_ASIG" queryTableFieldId="8"/>
    <tableColumn id="6" xr3:uid="{E43997CC-E17B-45C1-A7B1-F15ABF0003E5}" uniqueName="6" name="DETALLADO" queryTableFieldId="6" dataDxfId="0"/>
    <tableColumn id="7" xr3:uid="{9DAA8158-49BB-4FA2-B2E3-281DC8A1C949}" uniqueName="7" name="ID_DETALLADO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0"/>
  <sheetViews>
    <sheetView topLeftCell="J1" zoomScale="85" zoomScaleNormal="85" workbookViewId="0">
      <selection activeCell="Y6" sqref="Y6"/>
    </sheetView>
  </sheetViews>
  <sheetFormatPr defaultColWidth="9.140625" defaultRowHeight="18.75" customHeight="1"/>
  <cols>
    <col min="2" max="2" width="37.7109375" customWidth="1"/>
    <col min="3" max="3" width="18.140625" hidden="1" customWidth="1"/>
    <col min="4" max="4" width="8.42578125" bestFit="1" customWidth="1"/>
    <col min="5" max="5" width="9.85546875" customWidth="1"/>
    <col min="6" max="6" width="40.5703125" customWidth="1"/>
    <col min="7" max="7" width="53.85546875" hidden="1" customWidth="1"/>
    <col min="8" max="8" width="38.7109375" customWidth="1"/>
    <col min="9" max="9" width="11.28515625" customWidth="1"/>
    <col min="10" max="11" width="9.42578125" customWidth="1"/>
    <col min="12" max="12" width="9.42578125" style="2" customWidth="1"/>
    <col min="13" max="13" width="34.5703125" customWidth="1"/>
    <col min="14" max="14" width="10.140625" customWidth="1"/>
    <col min="15" max="15" width="18.42578125" customWidth="1"/>
    <col min="16" max="16" width="12.5703125" customWidth="1"/>
    <col min="17" max="18" width="9.42578125" customWidth="1"/>
    <col min="19" max="19" width="10.85546875" customWidth="1"/>
    <col min="20" max="22" width="9.42578125" customWidth="1"/>
    <col min="23" max="23" width="23.28515625" hidden="1" customWidth="1"/>
    <col min="24" max="24" width="23.28515625" customWidth="1"/>
  </cols>
  <sheetData>
    <row r="1" spans="1:23" s="8" customFormat="1" ht="45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spans="1:23" ht="18.75" customHeight="1">
      <c r="A2">
        <v>1</v>
      </c>
      <c r="B2" t="s">
        <v>23</v>
      </c>
      <c r="C2" t="str">
        <f>_xlfn.XLOOKUP(Tabla1[[#This Row],[CARRERA]],MAE_CARRERA[NOMBRE_CARRERA],MAE_CARRERA[ID_CARRERA],"Seleccione Carrera")</f>
        <v>FCACC-CO-AD</v>
      </c>
      <c r="D2">
        <v>1</v>
      </c>
      <c r="E2" t="s">
        <v>24</v>
      </c>
      <c r="F2" s="1" t="s">
        <v>25</v>
      </c>
      <c r="G2" s="1" t="str">
        <f>_xlfn.XLOOKUP(Tabla1[[#This Row],[ASIGNATURA]],MAE_ASIGNATURA[NOM_ASIG],MAE_ASIGNATURA[ID_ASIG],"Seleccione Asignatura")</f>
        <v>FCACC-CO-AD-NI-1-CONTA-BÁS</v>
      </c>
      <c r="H2" s="1" t="str" cm="1">
        <f t="array" ref="H2">_xlfn.TEXTJOIN("; ",TRUE,TRANSPOSE(_xlfn.UNIQUE(_xlfn._xlws.FILTER(DET_ASIG[DETALLADO],(DET_ASIG[NIVEL]=ASIGNACION!$D2)*(DET_ASIG[ID_CARRERA]=ASIGNACION!$C2)*(DET_ASIG[ID_ASIG]=ASIGNACION!$G2),"No existe información"))))</f>
        <v>UNIDAD BASICA</v>
      </c>
      <c r="I2" s="1" t="s">
        <v>26</v>
      </c>
      <c r="J2">
        <f>_xlfn.XLOOKUP(Tabla1[[#This Row],[ID_ASIG_CAM_DET]],MAE_ASIGNATURA[ID_ASIG],MAE_ASIGNATURA[HORAS],0)</f>
        <v>7</v>
      </c>
      <c r="K2">
        <v>1</v>
      </c>
      <c r="L2" s="2">
        <f>+Tabla1[[#This Row],[CALCULAR HORA]]*Tabla1[[#This Row],[HORAS]]</f>
        <v>7</v>
      </c>
      <c r="M2" t="s">
        <v>27</v>
      </c>
      <c r="N2" t="str">
        <f>_xlfn.XLOOKUP(Tabla1[[#This Row],[NOMBRE_DOCENT]],MDOCENTES[DATOS_DOCENTE],MDOCENTES[DEDICACION],"Seleccione Docente")</f>
        <v>TC</v>
      </c>
      <c r="O2" t="str">
        <f>_xlfn.XLOOKUP(Tabla1[[#This Row],[NOMBRE_DOCENT]],MDOCENTES[DATOS_DOCENTE],MDOCENTES[ESTUDIO],"Seleccione Docente")</f>
        <v>MAESTRÍA</v>
      </c>
      <c r="P2">
        <f t="shared" ref="P2:P65" si="0">COUNTIFS($M:$M, M2, $H:$H, "&lt;&gt;ACTIVIDAD")</f>
        <v>4</v>
      </c>
      <c r="Q2">
        <f t="shared" ref="Q2:Q65" si="1">SUMIFS($L:$L, $M:$M, M2, $I:$I, "NO",$H:$H,"&lt;&gt;UNIDAD BASICA")</f>
        <v>0</v>
      </c>
      <c r="R2">
        <f t="shared" ref="R2:R65" si="2">SUMIFS($L:$L, $M:$M, M2, $H:$H, "UNIDAD BASICA",$I:$I,"NO")</f>
        <v>16</v>
      </c>
      <c r="S2">
        <f t="shared" ref="S2:S65" si="3">SUMIFS($L:$L, $M:$M, M2, $I:$I, "ACTIVIDAD")</f>
        <v>9</v>
      </c>
      <c r="T2">
        <f t="shared" ref="T2:T65" si="4">SUMIFS($L:$L, $M:$M, M2, $I:$I, "SI")</f>
        <v>0</v>
      </c>
      <c r="U2">
        <f>Tabla1[[#This Row],[HORAS NO AFINIDAD]]+Tabla1[[#This Row],[HORAS UNIDAD BASICA]]+Tabla1[[#This Row],[HORAS AFINIDAD]]</f>
        <v>16</v>
      </c>
      <c r="V2">
        <f>+Tabla1[[#This Row],[HORAS AFINIDAD]]+Tabla1[[#This Row],[HORAS ACTIVIDAD]]+Tabla1[[#This Row],[HORAS UNIDAD BASICA]]+Tabla1[[#This Row],[HORAS NO AFINIDAD]]</f>
        <v>25</v>
      </c>
      <c r="W2" t="str">
        <f>_xlfn.XLOOKUP(Tabla1[[#This Row],[NOMBRE_DOCENT]],EDU_DOCENTE[NOMBRE_DOCENTE],EDU_DOCENTE[IDENTIFICACION],"Seleccione Docente")</f>
        <v>Seleccione Docente</v>
      </c>
    </row>
    <row r="3" spans="1:23" ht="18.75" customHeight="1">
      <c r="A3">
        <v>2</v>
      </c>
      <c r="B3" t="s">
        <v>23</v>
      </c>
      <c r="C3" t="str">
        <f>_xlfn.XLOOKUP(Tabla1[[#This Row],[CARRERA]],MAE_CARRERA[NOMBRE_CARRERA],MAE_CARRERA[ID_CARRERA],"Seleccione Carrera")</f>
        <v>FCACC-CO-AD</v>
      </c>
      <c r="D3">
        <v>1</v>
      </c>
      <c r="E3" t="s">
        <v>24</v>
      </c>
      <c r="F3" s="1" t="s">
        <v>28</v>
      </c>
      <c r="G3" t="str">
        <f>_xlfn.XLOOKUP(Tabla1[[#This Row],[ASIGNATURA]],MAE_ASIGNATURA[NOM_ASIG],MAE_ASIGNATURA[ID_ASIG],"Seleccione Asignatura")</f>
        <v xml:space="preserve">FCACC-AD-EM-NI-1-METOD-DE -LA </v>
      </c>
      <c r="H3" s="1" t="str" cm="1">
        <f t="array" ref="H3">_xlfn.TEXTJOIN("; ",TRUE,TRANSPOSE(_xlfn.UNIQUE(_xlfn._xlws.FILTER(DET_ASIG[DETALLADO],(DET_ASIG[NIVEL]=ASIGNACION!$D3)*(DET_ASIG[ID_CARRERA]=ASIGNACION!$C3)*(DET_ASIG[ID_ASIG]=ASIGNACION!$G3),"No existe información"))))</f>
        <v>UNIDAD BASICA</v>
      </c>
      <c r="I3" s="1" t="s">
        <v>26</v>
      </c>
      <c r="J3">
        <f>_xlfn.XLOOKUP(Tabla1[[#This Row],[ID_ASIG_CAM_DET]],MAE_ASIGNATURA[ID_ASIG],MAE_ASIGNATURA[HORAS],0)</f>
        <v>4</v>
      </c>
      <c r="K3">
        <v>1</v>
      </c>
      <c r="L3" s="2">
        <f>+Tabla1[[#This Row],[CALCULAR HORA]]*Tabla1[[#This Row],[HORAS]]</f>
        <v>4</v>
      </c>
      <c r="M3" t="s">
        <v>29</v>
      </c>
      <c r="N3" t="str">
        <f>_xlfn.XLOOKUP(Tabla1[[#This Row],[NOMBRE_DOCENT]],MDOCENTES[DATOS_DOCENTE],MDOCENTES[DEDICACION],"Seleccione Docente")</f>
        <v>TC</v>
      </c>
      <c r="O3" t="str">
        <f>_xlfn.XLOOKUP(Tabla1[[#This Row],[NOMBRE_DOCENT]],MDOCENTES[DATOS_DOCENTE],MDOCENTES[ESTUDIO],"Seleccione Docente")</f>
        <v>MAESTRÍA</v>
      </c>
      <c r="P3">
        <f t="shared" si="0"/>
        <v>2</v>
      </c>
      <c r="Q3">
        <f t="shared" si="1"/>
        <v>0</v>
      </c>
      <c r="R3">
        <f t="shared" si="2"/>
        <v>8</v>
      </c>
      <c r="S3">
        <f t="shared" si="3"/>
        <v>0</v>
      </c>
      <c r="T3">
        <f t="shared" si="4"/>
        <v>0</v>
      </c>
      <c r="U3">
        <f>Tabla1[[#This Row],[HORAS NO AFINIDAD]]+Tabla1[[#This Row],[HORAS UNIDAD BASICA]]+Tabla1[[#This Row],[HORAS AFINIDAD]]</f>
        <v>8</v>
      </c>
      <c r="V3">
        <f>+Tabla1[[#This Row],[HORAS AFINIDAD]]+Tabla1[[#This Row],[HORAS ACTIVIDAD]]+Tabla1[[#This Row],[HORAS UNIDAD BASICA]]+Tabla1[[#This Row],[HORAS NO AFINIDAD]]</f>
        <v>8</v>
      </c>
      <c r="W3" t="str">
        <f>_xlfn.XLOOKUP(Tabla1[[#This Row],[NOMBRE_DOCENT]],EDU_DOCENTE[NOMBRE_DOCENTE],EDU_DOCENTE[IDENTIFICACION],"Seleccione Docente")</f>
        <v>Seleccione Docente</v>
      </c>
    </row>
    <row r="4" spans="1:23" ht="18.75" customHeight="1">
      <c r="A4">
        <v>3</v>
      </c>
      <c r="B4" t="s">
        <v>23</v>
      </c>
      <c r="C4" t="str">
        <f>_xlfn.XLOOKUP(Tabla1[[#This Row],[CARRERA]],MAE_CARRERA[NOMBRE_CARRERA],MAE_CARRERA[ID_CARRERA],"Seleccione Carrera")</f>
        <v>FCACC-CO-AD</v>
      </c>
      <c r="D4">
        <v>1</v>
      </c>
      <c r="E4" t="s">
        <v>24</v>
      </c>
      <c r="F4" s="1" t="s">
        <v>30</v>
      </c>
      <c r="G4" t="str">
        <f>_xlfn.XLOOKUP(Tabla1[[#This Row],[ASIGNATURA]],MAE_ASIGNATURA[NOM_ASIG],MAE_ASIGNATURA[ID_ASIG],"Seleccione Asignatura")</f>
        <v>FCACC-CO-AD-NI-1-ADMIN</v>
      </c>
      <c r="H4" s="1" t="str" cm="1">
        <f t="array" ref="H4">_xlfn.TEXTJOIN("; ",TRUE,TRANSPOSE(_xlfn.UNIQUE(_xlfn._xlws.FILTER(DET_ASIG[DETALLADO],(DET_ASIG[NIVEL]=ASIGNACION!$D4)*(DET_ASIG[ID_CARRERA]=ASIGNACION!$C4)*(DET_ASIG[ID_ASIG]=ASIGNACION!$G4),"No existe información"))))</f>
        <v>UNIDAD BASICA</v>
      </c>
      <c r="I4" s="1" t="s">
        <v>26</v>
      </c>
      <c r="J4">
        <f>_xlfn.XLOOKUP(Tabla1[[#This Row],[ID_ASIG_CAM_DET]],MAE_ASIGNATURA[ID_ASIG],MAE_ASIGNATURA[HORAS],0)</f>
        <v>2</v>
      </c>
      <c r="K4">
        <v>1</v>
      </c>
      <c r="L4" s="2">
        <f>+Tabla1[[#This Row],[CALCULAR HORA]]*Tabla1[[#This Row],[HORAS]]</f>
        <v>2</v>
      </c>
      <c r="M4" t="s">
        <v>27</v>
      </c>
      <c r="N4" t="str">
        <f>_xlfn.XLOOKUP(Tabla1[[#This Row],[NOMBRE_DOCENT]],MDOCENTES[DATOS_DOCENTE],MDOCENTES[DEDICACION],"Seleccione Docente")</f>
        <v>TC</v>
      </c>
      <c r="O4" t="str">
        <f>_xlfn.XLOOKUP(Tabla1[[#This Row],[NOMBRE_DOCENT]],MDOCENTES[DATOS_DOCENTE],MDOCENTES[ESTUDIO],"Seleccione Docente")</f>
        <v>MAESTRÍA</v>
      </c>
      <c r="P4">
        <f t="shared" si="0"/>
        <v>4</v>
      </c>
      <c r="Q4">
        <f t="shared" si="1"/>
        <v>0</v>
      </c>
      <c r="R4">
        <f t="shared" si="2"/>
        <v>16</v>
      </c>
      <c r="S4">
        <f t="shared" si="3"/>
        <v>9</v>
      </c>
      <c r="T4">
        <f t="shared" si="4"/>
        <v>0</v>
      </c>
      <c r="U4">
        <f>Tabla1[[#This Row],[HORAS NO AFINIDAD]]+Tabla1[[#This Row],[HORAS UNIDAD BASICA]]+Tabla1[[#This Row],[HORAS AFINIDAD]]</f>
        <v>16</v>
      </c>
      <c r="V4">
        <f>+Tabla1[[#This Row],[HORAS AFINIDAD]]+Tabla1[[#This Row],[HORAS ACTIVIDAD]]+Tabla1[[#This Row],[HORAS UNIDAD BASICA]]+Tabla1[[#This Row],[HORAS NO AFINIDAD]]</f>
        <v>25</v>
      </c>
      <c r="W4" t="str">
        <f>_xlfn.XLOOKUP(Tabla1[[#This Row],[NOMBRE_DOCENT]],EDU_DOCENTE[NOMBRE_DOCENTE],EDU_DOCENTE[IDENTIFICACION],"Seleccione Docente")</f>
        <v>Seleccione Docente</v>
      </c>
    </row>
    <row r="5" spans="1:23" ht="18.75" customHeight="1">
      <c r="A5">
        <v>4</v>
      </c>
      <c r="B5" t="s">
        <v>23</v>
      </c>
      <c r="C5" t="str">
        <f>_xlfn.XLOOKUP(Tabla1[[#This Row],[CARRERA]],MAE_CARRERA[NOMBRE_CARRERA],MAE_CARRERA[ID_CARRERA],"Seleccione Carrera")</f>
        <v>FCACC-CO-AD</v>
      </c>
      <c r="D5">
        <v>1</v>
      </c>
      <c r="E5" t="s">
        <v>31</v>
      </c>
      <c r="F5" s="1" t="s">
        <v>30</v>
      </c>
      <c r="G5" t="str">
        <f>_xlfn.XLOOKUP(Tabla1[[#This Row],[ASIGNATURA]],MAE_ASIGNATURA[NOM_ASIG],MAE_ASIGNATURA[ID_ASIG],"Seleccione Asignatura")</f>
        <v>FCACC-CO-AD-NI-1-ADMIN</v>
      </c>
      <c r="H5" s="1" t="str" cm="1">
        <f t="array" ref="H5">_xlfn.TEXTJOIN("; ",TRUE,TRANSPOSE(_xlfn.UNIQUE(_xlfn._xlws.FILTER(DET_ASIG[DETALLADO],(DET_ASIG[NIVEL]=ASIGNACION!$D5)*(DET_ASIG[ID_CARRERA]=ASIGNACION!$C5)*(DET_ASIG[ID_ASIG]=ASIGNACION!$G5),"No existe información"))))</f>
        <v>UNIDAD BASICA</v>
      </c>
      <c r="I5" s="1" t="s">
        <v>26</v>
      </c>
      <c r="J5">
        <f>_xlfn.XLOOKUP(Tabla1[[#This Row],[ID_ASIG_CAM_DET]],MAE_ASIGNATURA[ID_ASIG],MAE_ASIGNATURA[HORAS],0)</f>
        <v>2</v>
      </c>
      <c r="K5">
        <v>1</v>
      </c>
      <c r="L5" s="2">
        <f>+Tabla1[[#This Row],[CALCULAR HORA]]*Tabla1[[#This Row],[HORAS]]</f>
        <v>2</v>
      </c>
      <c r="M5" t="s">
        <v>27</v>
      </c>
      <c r="N5" t="str">
        <f>_xlfn.XLOOKUP(Tabla1[[#This Row],[NOMBRE_DOCENT]],MDOCENTES[DATOS_DOCENTE],MDOCENTES[DEDICACION],"Seleccione Docente")</f>
        <v>TC</v>
      </c>
      <c r="O5" t="str">
        <f>_xlfn.XLOOKUP(Tabla1[[#This Row],[NOMBRE_DOCENT]],MDOCENTES[DATOS_DOCENTE],MDOCENTES[ESTUDIO],"Seleccione Docente")</f>
        <v>MAESTRÍA</v>
      </c>
      <c r="P5">
        <f t="shared" si="0"/>
        <v>4</v>
      </c>
      <c r="Q5">
        <f t="shared" si="1"/>
        <v>0</v>
      </c>
      <c r="R5">
        <f t="shared" si="2"/>
        <v>16</v>
      </c>
      <c r="S5">
        <f t="shared" si="3"/>
        <v>9</v>
      </c>
      <c r="T5">
        <f t="shared" si="4"/>
        <v>0</v>
      </c>
      <c r="U5">
        <f>Tabla1[[#This Row],[HORAS NO AFINIDAD]]+Tabla1[[#This Row],[HORAS UNIDAD BASICA]]+Tabla1[[#This Row],[HORAS AFINIDAD]]</f>
        <v>16</v>
      </c>
      <c r="V5">
        <f>+Tabla1[[#This Row],[HORAS AFINIDAD]]+Tabla1[[#This Row],[HORAS ACTIVIDAD]]+Tabla1[[#This Row],[HORAS UNIDAD BASICA]]+Tabla1[[#This Row],[HORAS NO AFINIDAD]]</f>
        <v>25</v>
      </c>
      <c r="W5" t="str">
        <f>_xlfn.XLOOKUP(Tabla1[[#This Row],[NOMBRE_DOCENT]],EDU_DOCENTE[NOMBRE_DOCENTE],EDU_DOCENTE[IDENTIFICACION],"Seleccione Docente")</f>
        <v>Seleccione Docente</v>
      </c>
    </row>
    <row r="6" spans="1:23" ht="18.75" customHeight="1">
      <c r="A6">
        <v>5</v>
      </c>
      <c r="B6" t="s">
        <v>23</v>
      </c>
      <c r="C6" t="str">
        <f>_xlfn.XLOOKUP(Tabla1[[#This Row],[CARRERA]],MAE_CARRERA[NOMBRE_CARRERA],MAE_CARRERA[ID_CARRERA],"Seleccione Carrera")</f>
        <v>FCACC-CO-AD</v>
      </c>
      <c r="D6">
        <v>1</v>
      </c>
      <c r="E6" t="s">
        <v>31</v>
      </c>
      <c r="F6" s="1" t="s">
        <v>32</v>
      </c>
      <c r="G6" t="str">
        <f>_xlfn.XLOOKUP(Tabla1[[#This Row],[ASIGNATURA]],MAE_ASIGNATURA[NOM_ASIG],MAE_ASIGNATURA[ID_ASIG],"Seleccione Asignatura")</f>
        <v>FCACC-CO-EX-NI-1-MATEM</v>
      </c>
      <c r="H6" s="1" t="str" cm="1">
        <f t="array" ref="H6">_xlfn.TEXTJOIN("; ",TRUE,TRANSPOSE(_xlfn.UNIQUE(_xlfn._xlws.FILTER(DET_ASIG[DETALLADO],(DET_ASIG[NIVEL]=ASIGNACION!$D6)*(DET_ASIG[ID_CARRERA]=ASIGNACION!$C6)*(DET_ASIG[ID_ASIG]=ASIGNACION!$G6),"No existe información"))))</f>
        <v>UNIDAD BASICA</v>
      </c>
      <c r="I6" s="1" t="s">
        <v>26</v>
      </c>
      <c r="J6">
        <f>_xlfn.XLOOKUP(Tabla1[[#This Row],[ID_ASIG_CAM_DET]],MAE_ASIGNATURA[ID_ASIG],MAE_ASIGNATURA[HORAS],0)</f>
        <v>5</v>
      </c>
      <c r="K6">
        <v>1</v>
      </c>
      <c r="L6" s="2">
        <f>+Tabla1[[#This Row],[CALCULAR HORA]]*Tabla1[[#This Row],[HORAS]]</f>
        <v>5</v>
      </c>
      <c r="M6" t="s">
        <v>27</v>
      </c>
      <c r="N6" t="str">
        <f>_xlfn.XLOOKUP(Tabla1[[#This Row],[NOMBRE_DOCENT]],MDOCENTES[DATOS_DOCENTE],MDOCENTES[DEDICACION],"Seleccione Docente")</f>
        <v>TC</v>
      </c>
      <c r="O6" t="str">
        <f>_xlfn.XLOOKUP(Tabla1[[#This Row],[NOMBRE_DOCENT]],MDOCENTES[DATOS_DOCENTE],MDOCENTES[ESTUDIO],"Seleccione Docente")</f>
        <v>MAESTRÍA</v>
      </c>
      <c r="P6">
        <f t="shared" si="0"/>
        <v>4</v>
      </c>
      <c r="Q6">
        <f t="shared" si="1"/>
        <v>0</v>
      </c>
      <c r="R6">
        <f t="shared" si="2"/>
        <v>16</v>
      </c>
      <c r="S6">
        <f t="shared" si="3"/>
        <v>9</v>
      </c>
      <c r="T6">
        <f t="shared" si="4"/>
        <v>0</v>
      </c>
      <c r="U6">
        <f>Tabla1[[#This Row],[HORAS NO AFINIDAD]]+Tabla1[[#This Row],[HORAS UNIDAD BASICA]]+Tabla1[[#This Row],[HORAS AFINIDAD]]</f>
        <v>16</v>
      </c>
      <c r="V6">
        <f>+Tabla1[[#This Row],[HORAS AFINIDAD]]+Tabla1[[#This Row],[HORAS ACTIVIDAD]]+Tabla1[[#This Row],[HORAS UNIDAD BASICA]]+Tabla1[[#This Row],[HORAS NO AFINIDAD]]</f>
        <v>25</v>
      </c>
      <c r="W6" t="str">
        <f>_xlfn.XLOOKUP(Tabla1[[#This Row],[NOMBRE_DOCENT]],EDU_DOCENTE[NOMBRE_DOCENTE],EDU_DOCENTE[IDENTIFICACION],"Seleccione Docente")</f>
        <v>Seleccione Docente</v>
      </c>
    </row>
    <row r="7" spans="1:23" ht="18.75" customHeight="1">
      <c r="A7">
        <v>6</v>
      </c>
      <c r="B7" t="s">
        <v>23</v>
      </c>
      <c r="C7" t="str">
        <f>_xlfn.XLOOKUP(Tabla1[[#This Row],[CARRERA]],MAE_CARRERA[NOMBRE_CARRERA],MAE_CARRERA[ID_CARRERA],"Seleccione Carrera")</f>
        <v>FCACC-CO-AD</v>
      </c>
      <c r="D7">
        <v>1</v>
      </c>
      <c r="E7" t="s">
        <v>24</v>
      </c>
      <c r="F7" s="1" t="s">
        <v>28</v>
      </c>
      <c r="G7" t="str">
        <f>_xlfn.XLOOKUP(Tabla1[[#This Row],[ASIGNATURA]],MAE_ASIGNATURA[NOM_ASIG],MAE_ASIGNATURA[ID_ASIG],"Seleccione Asignatura")</f>
        <v xml:space="preserve">FCACC-AD-EM-NI-1-METOD-DE -LA </v>
      </c>
      <c r="H7" s="1" t="str" cm="1">
        <f t="array" ref="H7">_xlfn.TEXTJOIN("; ",TRUE,TRANSPOSE(_xlfn.UNIQUE(_xlfn._xlws.FILTER(DET_ASIG[DETALLADO],(DET_ASIG[NIVEL]=ASIGNACION!$D7)*(DET_ASIG[ID_CARRERA]=ASIGNACION!$C7)*(DET_ASIG[ID_ASIG]=ASIGNACION!$G7),"No existe información"))))</f>
        <v>UNIDAD BASICA</v>
      </c>
      <c r="I7" s="1" t="s">
        <v>26</v>
      </c>
      <c r="J7">
        <f>_xlfn.XLOOKUP(Tabla1[[#This Row],[ID_ASIG_CAM_DET]],MAE_ASIGNATURA[ID_ASIG],MAE_ASIGNATURA[HORAS],0)</f>
        <v>4</v>
      </c>
      <c r="K7">
        <v>1</v>
      </c>
      <c r="L7" s="2">
        <f>+Tabla1[[#This Row],[CALCULAR HORA]]*Tabla1[[#This Row],[HORAS]]</f>
        <v>4</v>
      </c>
      <c r="M7" t="s">
        <v>29</v>
      </c>
      <c r="N7" t="str">
        <f>_xlfn.XLOOKUP(Tabla1[[#This Row],[NOMBRE_DOCENT]],MDOCENTES[DATOS_DOCENTE],MDOCENTES[DEDICACION],"Seleccione Docente")</f>
        <v>TC</v>
      </c>
      <c r="O7" t="str">
        <f>_xlfn.XLOOKUP(Tabla1[[#This Row],[NOMBRE_DOCENT]],MDOCENTES[DATOS_DOCENTE],MDOCENTES[ESTUDIO],"Seleccione Docente")</f>
        <v>MAESTRÍA</v>
      </c>
      <c r="P7">
        <f t="shared" si="0"/>
        <v>2</v>
      </c>
      <c r="Q7">
        <f t="shared" si="1"/>
        <v>0</v>
      </c>
      <c r="R7">
        <f t="shared" si="2"/>
        <v>8</v>
      </c>
      <c r="S7">
        <f t="shared" si="3"/>
        <v>0</v>
      </c>
      <c r="T7">
        <f t="shared" si="4"/>
        <v>0</v>
      </c>
      <c r="U7">
        <f>Tabla1[[#This Row],[HORAS NO AFINIDAD]]+Tabla1[[#This Row],[HORAS UNIDAD BASICA]]+Tabla1[[#This Row],[HORAS AFINIDAD]]</f>
        <v>8</v>
      </c>
      <c r="V7">
        <f>+Tabla1[[#This Row],[HORAS AFINIDAD]]+Tabla1[[#This Row],[HORAS ACTIVIDAD]]+Tabla1[[#This Row],[HORAS UNIDAD BASICA]]+Tabla1[[#This Row],[HORAS NO AFINIDAD]]</f>
        <v>8</v>
      </c>
      <c r="W7" t="str">
        <f>_xlfn.XLOOKUP(Tabla1[[#This Row],[NOMBRE_DOCENT]],EDU_DOCENTE[NOMBRE_DOCENTE],EDU_DOCENTE[IDENTIFICACION],"Seleccione Docente")</f>
        <v>Seleccione Docente</v>
      </c>
    </row>
    <row r="8" spans="1:23" ht="18.75" customHeight="1">
      <c r="A8">
        <v>7</v>
      </c>
      <c r="B8" t="s">
        <v>33</v>
      </c>
      <c r="C8" t="str">
        <f>_xlfn.XLOOKUP(Tabla1[[#This Row],[CARRERA]],MAE_CARRERA[NOMBRE_CARRERA],MAE_CARRERA[ID_CARRERA],"Seleccione Carrera")</f>
        <v>FCACC-1-DO-CL</v>
      </c>
      <c r="D8">
        <v>0</v>
      </c>
      <c r="F8" s="1" t="s">
        <v>34</v>
      </c>
      <c r="G8" t="str">
        <f>_xlfn.XLOOKUP(Tabla1[[#This Row],[ASIGNATURA]],MAE_ASIGNATURA[NOM_ASIG],MAE_ASIGNATURA[ID_ASIG],"Seleccione Asignatura")</f>
        <v xml:space="preserve">FCACC-1-DO-CL-NI-0-AD4 P-Pre-de </v>
      </c>
      <c r="H8" s="1" t="str" cm="1">
        <f t="array" ref="H8">_xlfn.TEXTJOIN("; ",TRUE,TRANSPOSE(_xlfn.UNIQUE(_xlfn._xlws.FILTER(DET_ASIG[DETALLADO],(DET_ASIG[NIVEL]=ASIGNACION!$D8)*(DET_ASIG[ID_CARRERA]=ASIGNACION!$C8)*(DET_ASIG[ID_ASIG]=ASIGNACION!$G8),"No existe información"))))</f>
        <v>ACTIVIDAD</v>
      </c>
      <c r="I8" s="1" t="s">
        <v>35</v>
      </c>
      <c r="J8">
        <f>_xlfn.XLOOKUP(Tabla1[[#This Row],[ID_ASIG_CAM_DET]],MAE_ASIGNATURA[ID_ASIG],MAE_ASIGNATURA[HORAS],0)</f>
        <v>1</v>
      </c>
      <c r="K8">
        <v>3</v>
      </c>
      <c r="L8" s="2">
        <f>+Tabla1[[#This Row],[CALCULAR HORA]]*Tabla1[[#This Row],[HORAS]]</f>
        <v>3</v>
      </c>
      <c r="M8" t="s">
        <v>27</v>
      </c>
      <c r="N8" t="str">
        <f>_xlfn.XLOOKUP(Tabla1[[#This Row],[NOMBRE_DOCENT]],MDOCENTES[DATOS_DOCENTE],MDOCENTES[DEDICACION],"Seleccione Docente")</f>
        <v>TC</v>
      </c>
      <c r="O8" t="str">
        <f>_xlfn.XLOOKUP(Tabla1[[#This Row],[NOMBRE_DOCENT]],MDOCENTES[DATOS_DOCENTE],MDOCENTES[ESTUDIO],"Seleccione Docente")</f>
        <v>MAESTRÍA</v>
      </c>
      <c r="P8">
        <f t="shared" si="0"/>
        <v>4</v>
      </c>
      <c r="Q8">
        <f t="shared" si="1"/>
        <v>0</v>
      </c>
      <c r="R8">
        <f t="shared" si="2"/>
        <v>16</v>
      </c>
      <c r="S8">
        <f t="shared" si="3"/>
        <v>9</v>
      </c>
      <c r="T8">
        <f t="shared" si="4"/>
        <v>0</v>
      </c>
      <c r="U8">
        <f>Tabla1[[#This Row],[HORAS NO AFINIDAD]]+Tabla1[[#This Row],[HORAS UNIDAD BASICA]]+Tabla1[[#This Row],[HORAS AFINIDAD]]</f>
        <v>16</v>
      </c>
      <c r="V8">
        <f>+Tabla1[[#This Row],[HORAS AFINIDAD]]+Tabla1[[#This Row],[HORAS ACTIVIDAD]]+Tabla1[[#This Row],[HORAS UNIDAD BASICA]]+Tabla1[[#This Row],[HORAS NO AFINIDAD]]</f>
        <v>25</v>
      </c>
      <c r="W8" t="str">
        <f>_xlfn.XLOOKUP(Tabla1[[#This Row],[NOMBRE_DOCENT]],EDU_DOCENTE[NOMBRE_DOCENTE],EDU_DOCENTE[IDENTIFICACION],"Seleccione Docente")</f>
        <v>Seleccione Docente</v>
      </c>
    </row>
    <row r="9" spans="1:23" ht="18.75" customHeight="1">
      <c r="A9">
        <v>8</v>
      </c>
      <c r="B9" t="s">
        <v>33</v>
      </c>
      <c r="C9" t="str">
        <f>_xlfn.XLOOKUP(Tabla1[[#This Row],[CARRERA]],MAE_CARRERA[NOMBRE_CARRERA],MAE_CARRERA[ID_CARRERA],"Seleccione Carrera")</f>
        <v>FCACC-1-DO-CL</v>
      </c>
      <c r="D9">
        <v>0</v>
      </c>
      <c r="F9" s="1" t="s">
        <v>36</v>
      </c>
      <c r="G9" t="str">
        <f>_xlfn.XLOOKUP(Tabla1[[#This Row],[ASIGNATURA]],MAE_ASIGNATURA[NOM_ASIG],MAE_ASIGNATURA[ID_ASIG],"Seleccione Asignatura")</f>
        <v>FCACC-1-DO-CL-NI-0-AD5 E-Ela-y c</v>
      </c>
      <c r="H9" s="1" t="str" cm="1">
        <f t="array" ref="H9">_xlfn.TEXTJOIN("; ",TRUE,TRANSPOSE(_xlfn.UNIQUE(_xlfn._xlws.FILTER(DET_ASIG[DETALLADO],(DET_ASIG[NIVEL]=ASIGNACION!$D9)*(DET_ASIG[ID_CARRERA]=ASIGNACION!$C9)*(DET_ASIG[ID_ASIG]=ASIGNACION!$G9),"No existe información"))))</f>
        <v>ACTIVIDAD</v>
      </c>
      <c r="I9" s="1" t="s">
        <v>35</v>
      </c>
      <c r="J9">
        <f>_xlfn.XLOOKUP(Tabla1[[#This Row],[ID_ASIG_CAM_DET]],MAE_ASIGNATURA[ID_ASIG],MAE_ASIGNATURA[HORAS],0)</f>
        <v>1</v>
      </c>
      <c r="K9">
        <v>3</v>
      </c>
      <c r="L9" s="2">
        <f>+Tabla1[[#This Row],[CALCULAR HORA]]*Tabla1[[#This Row],[HORAS]]</f>
        <v>3</v>
      </c>
      <c r="M9" t="s">
        <v>27</v>
      </c>
      <c r="N9" t="str">
        <f>_xlfn.XLOOKUP(Tabla1[[#This Row],[NOMBRE_DOCENT]],MDOCENTES[DATOS_DOCENTE],MDOCENTES[DEDICACION],"Seleccione Docente")</f>
        <v>TC</v>
      </c>
      <c r="O9" t="str">
        <f>_xlfn.XLOOKUP(Tabla1[[#This Row],[NOMBRE_DOCENT]],MDOCENTES[DATOS_DOCENTE],MDOCENTES[ESTUDIO],"Seleccione Docente")</f>
        <v>MAESTRÍA</v>
      </c>
      <c r="P9">
        <f t="shared" si="0"/>
        <v>4</v>
      </c>
      <c r="Q9">
        <f t="shared" si="1"/>
        <v>0</v>
      </c>
      <c r="R9">
        <f t="shared" si="2"/>
        <v>16</v>
      </c>
      <c r="S9">
        <f t="shared" si="3"/>
        <v>9</v>
      </c>
      <c r="T9">
        <f t="shared" si="4"/>
        <v>0</v>
      </c>
      <c r="U9">
        <f>Tabla1[[#This Row],[HORAS NO AFINIDAD]]+Tabla1[[#This Row],[HORAS UNIDAD BASICA]]+Tabla1[[#This Row],[HORAS AFINIDAD]]</f>
        <v>16</v>
      </c>
      <c r="V9">
        <f>+Tabla1[[#This Row],[HORAS AFINIDAD]]+Tabla1[[#This Row],[HORAS ACTIVIDAD]]+Tabla1[[#This Row],[HORAS UNIDAD BASICA]]+Tabla1[[#This Row],[HORAS NO AFINIDAD]]</f>
        <v>25</v>
      </c>
    </row>
    <row r="10" spans="1:23" ht="18.75" customHeight="1">
      <c r="A10">
        <v>9</v>
      </c>
      <c r="B10" t="s">
        <v>33</v>
      </c>
      <c r="C10" t="str">
        <f>_xlfn.XLOOKUP(Tabla1[[#This Row],[CARRERA]],MAE_CARRERA[NOMBRE_CARRERA],MAE_CARRERA[ID_CARRERA],"Seleccione Carrera")</f>
        <v>FCACC-1-DO-CL</v>
      </c>
      <c r="D10">
        <v>0</v>
      </c>
      <c r="F10" s="1" t="s">
        <v>37</v>
      </c>
      <c r="G10" t="str">
        <f>_xlfn.XLOOKUP(Tabla1[[#This Row],[ASIGNATURA]],MAE_ASIGNATURA[NOM_ASIG],MAE_ASIGNATURA[ID_ASIG],"Seleccione Asignatura")</f>
        <v>FCACC-1-DO-CL-NI-0-AD6 O-Ori-a t</v>
      </c>
      <c r="H10" s="1" t="str" cm="1">
        <f t="array" ref="H10">_xlfn.TEXTJOIN("; ",TRUE,TRANSPOSE(_xlfn.UNIQUE(_xlfn._xlws.FILTER(DET_ASIG[DETALLADO],(DET_ASIG[NIVEL]=ASIGNACION!$D10)*(DET_ASIG[ID_CARRERA]=ASIGNACION!$C10)*(DET_ASIG[ID_ASIG]=ASIGNACION!$G10),"No existe información"))))</f>
        <v>ACTIVIDAD</v>
      </c>
      <c r="I10" s="1" t="s">
        <v>35</v>
      </c>
      <c r="J10">
        <f>_xlfn.XLOOKUP(Tabla1[[#This Row],[ID_ASIG_CAM_DET]],MAE_ASIGNATURA[ID_ASIG],MAE_ASIGNATURA[HORAS],0)</f>
        <v>1</v>
      </c>
      <c r="K10">
        <v>3</v>
      </c>
      <c r="L10" s="2">
        <f>+Tabla1[[#This Row],[CALCULAR HORA]]*Tabla1[[#This Row],[HORAS]]</f>
        <v>3</v>
      </c>
      <c r="M10" t="s">
        <v>27</v>
      </c>
      <c r="N10" t="str">
        <f>_xlfn.XLOOKUP(Tabla1[[#This Row],[NOMBRE_DOCENT]],MDOCENTES[DATOS_DOCENTE],MDOCENTES[DEDICACION],"Seleccione Docente")</f>
        <v>TC</v>
      </c>
      <c r="O10" t="str">
        <f>_xlfn.XLOOKUP(Tabla1[[#This Row],[NOMBRE_DOCENT]],MDOCENTES[DATOS_DOCENTE],MDOCENTES[ESTUDIO],"Seleccione Docente")</f>
        <v>MAESTRÍA</v>
      </c>
      <c r="P10">
        <f t="shared" si="0"/>
        <v>4</v>
      </c>
      <c r="Q10">
        <f t="shared" si="1"/>
        <v>0</v>
      </c>
      <c r="R10">
        <f t="shared" si="2"/>
        <v>16</v>
      </c>
      <c r="S10">
        <f t="shared" si="3"/>
        <v>9</v>
      </c>
      <c r="T10">
        <f t="shared" si="4"/>
        <v>0</v>
      </c>
      <c r="U10">
        <f>Tabla1[[#This Row],[HORAS NO AFINIDAD]]+Tabla1[[#This Row],[HORAS UNIDAD BASICA]]+Tabla1[[#This Row],[HORAS AFINIDAD]]</f>
        <v>16</v>
      </c>
      <c r="V10">
        <f>+Tabla1[[#This Row],[HORAS AFINIDAD]]+Tabla1[[#This Row],[HORAS ACTIVIDAD]]+Tabla1[[#This Row],[HORAS UNIDAD BASICA]]+Tabla1[[#This Row],[HORAS NO AFINIDAD]]</f>
        <v>25</v>
      </c>
    </row>
    <row r="11" spans="1:23" ht="18.75" customHeight="1">
      <c r="A11">
        <v>10</v>
      </c>
      <c r="B11" t="s">
        <v>23</v>
      </c>
      <c r="C11" t="str">
        <f>_xlfn.XLOOKUP(Tabla1[[#This Row],[CARRERA]],MAE_CARRERA[NOMBRE_CARRERA],MAE_CARRERA[ID_CARRERA],"Seleccione Carrera")</f>
        <v>FCACC-CO-AD</v>
      </c>
      <c r="D11">
        <v>2</v>
      </c>
      <c r="F11" s="1" t="s">
        <v>38</v>
      </c>
      <c r="G11" t="str">
        <f>_xlfn.XLOOKUP(Tabla1[[#This Row],[ASIGNATURA]],MAE_ASIGNATURA[NOM_ASIG],MAE_ASIGNATURA[ID_ASIG],"Seleccione Asignatura")</f>
        <v>FCACC-AU-CO-GE-NI-1-ESTAD-DES</v>
      </c>
      <c r="H11" s="1" t="str" cm="1">
        <f t="array" ref="H11">_xlfn.TEXTJOIN("; ",TRUE,TRANSPOSE(_xlfn.UNIQUE(_xlfn._xlws.FILTER(DET_ASIG[DETALLADO],(DET_ASIG[NIVEL]=ASIGNACION!$D11)*(DET_ASIG[ID_CARRERA]=ASIGNACION!$C11)*(DET_ASIG[ID_ASIG]=ASIGNACION!$G11),"No existe información"))))</f>
        <v>UNIDAD BASICA</v>
      </c>
      <c r="I11" s="1" t="s">
        <v>26</v>
      </c>
      <c r="J11">
        <f>_xlfn.XLOOKUP(Tabla1[[#This Row],[ID_ASIG_CAM_DET]],MAE_ASIGNATURA[ID_ASIG],MAE_ASIGNATURA[HORAS],0)</f>
        <v>2</v>
      </c>
      <c r="K11">
        <v>8</v>
      </c>
      <c r="L11" s="2">
        <f>+Tabla1[[#This Row],[CALCULAR HORA]]*Tabla1[[#This Row],[HORAS]]</f>
        <v>16</v>
      </c>
      <c r="M11" t="s">
        <v>39</v>
      </c>
      <c r="N11" t="str">
        <f>_xlfn.XLOOKUP(Tabla1[[#This Row],[NOMBRE_DOCENT]],MDOCENTES[DATOS_DOCENTE],MDOCENTES[DEDICACION],"Seleccione Docente")</f>
        <v>TC</v>
      </c>
      <c r="O11" t="str">
        <f>_xlfn.XLOOKUP(Tabla1[[#This Row],[NOMBRE_DOCENT]],MDOCENTES[DATOS_DOCENTE],MDOCENTES[ESTUDIO],"Seleccione Docente")</f>
        <v>MAESTRÍA</v>
      </c>
      <c r="P11">
        <f t="shared" si="0"/>
        <v>1</v>
      </c>
      <c r="Q11">
        <f t="shared" si="1"/>
        <v>0</v>
      </c>
      <c r="R11">
        <f t="shared" si="2"/>
        <v>16</v>
      </c>
      <c r="S11">
        <f t="shared" si="3"/>
        <v>0</v>
      </c>
      <c r="T11">
        <f t="shared" si="4"/>
        <v>0</v>
      </c>
      <c r="U11">
        <f>Tabla1[[#This Row],[HORAS NO AFINIDAD]]+Tabla1[[#This Row],[HORAS UNIDAD BASICA]]+Tabla1[[#This Row],[HORAS AFINIDAD]]</f>
        <v>16</v>
      </c>
      <c r="V11">
        <f>+Tabla1[[#This Row],[HORAS AFINIDAD]]+Tabla1[[#This Row],[HORAS ACTIVIDAD]]+Tabla1[[#This Row],[HORAS UNIDAD BASICA]]+Tabla1[[#This Row],[HORAS NO AFINIDAD]]</f>
        <v>16</v>
      </c>
    </row>
    <row r="12" spans="1:23" ht="18.75" customHeight="1">
      <c r="A12">
        <v>11</v>
      </c>
      <c r="C12" t="str">
        <f>_xlfn.XLOOKUP(Tabla1[[#This Row],[CARRERA]],MAE_CARRERA[NOMBRE_CARRERA],MAE_CARRERA[ID_CARRERA],"Seleccione Carrera")</f>
        <v>Seleccione Carrera</v>
      </c>
      <c r="F12" s="1"/>
      <c r="G12" t="str">
        <f>_xlfn.XLOOKUP(Tabla1[[#This Row],[ASIGNATURA]],MAE_ASIGNATURA[NOM_ASIG],MAE_ASIGNATURA[ID_ASIG],"Seleccione Asignatura")</f>
        <v>Seleccione Asignatura</v>
      </c>
      <c r="H12" s="1" t="str" cm="1">
        <f t="array" ref="H12">_xlfn.TEXTJOIN("; ",TRUE,TRANSPOSE(_xlfn.UNIQUE(_xlfn._xlws.FILTER(DET_ASIG[DETALLADO],(DET_ASIG[NIVEL]=ASIGNACION!$D12)*(DET_ASIG[ID_CARRERA]=ASIGNACION!$C12)*(DET_ASIG[ID_ASIG]=ASIGNACION!$G12),"No existe información"))))</f>
        <v>No existe información</v>
      </c>
      <c r="I12" s="1"/>
      <c r="J12">
        <f>_xlfn.XLOOKUP(Tabla1[[#This Row],[ID_ASIG_CAM_DET]],MAE_ASIGNATURA[ID_ASIG],MAE_ASIGNATURA[HORAS],0)</f>
        <v>0</v>
      </c>
      <c r="K12">
        <v>4</v>
      </c>
      <c r="L12" s="2">
        <f>+Tabla1[[#This Row],[CALCULAR HORA]]*Tabla1[[#This Row],[HORAS]]</f>
        <v>0</v>
      </c>
      <c r="N12" t="str">
        <f>_xlfn.XLOOKUP(Tabla1[[#This Row],[NOMBRE_DOCENT]],MDOCENTES[DATOS_DOCENTE],MDOCENTES[DEDICACION],"Seleccione Docente")</f>
        <v>Seleccione Docente</v>
      </c>
      <c r="O12" t="str">
        <f>_xlfn.XLOOKUP(Tabla1[[#This Row],[NOMBRE_DOCENT]],MDOCENTES[DATOS_DOCENTE],MDOCENTES[ESTUDIO],"Seleccione Docente")</f>
        <v>Seleccione Docente</v>
      </c>
      <c r="P12">
        <f t="shared" si="0"/>
        <v>0</v>
      </c>
      <c r="Q12">
        <f t="shared" si="1"/>
        <v>0</v>
      </c>
      <c r="R12">
        <f t="shared" si="2"/>
        <v>0</v>
      </c>
      <c r="S12">
        <f t="shared" si="3"/>
        <v>0</v>
      </c>
      <c r="T12">
        <f t="shared" si="4"/>
        <v>0</v>
      </c>
      <c r="U12">
        <f>Tabla1[[#This Row],[HORAS NO AFINIDAD]]+Tabla1[[#This Row],[HORAS UNIDAD BASICA]]+Tabla1[[#This Row],[HORAS AFINIDAD]]</f>
        <v>0</v>
      </c>
      <c r="V12">
        <f>+Tabla1[[#This Row],[HORAS AFINIDAD]]+Tabla1[[#This Row],[HORAS ACTIVIDAD]]+Tabla1[[#This Row],[HORAS UNIDAD BASICA]]+Tabla1[[#This Row],[HORAS NO AFINIDAD]]</f>
        <v>0</v>
      </c>
    </row>
    <row r="13" spans="1:23" ht="18.75" customHeight="1">
      <c r="A13">
        <v>12</v>
      </c>
      <c r="C13" t="str">
        <f>_xlfn.XLOOKUP(Tabla1[[#This Row],[CARRERA]],MAE_CARRERA[NOMBRE_CARRERA],MAE_CARRERA[ID_CARRERA],"Seleccione Carrera")</f>
        <v>Seleccione Carrera</v>
      </c>
      <c r="F13" s="1"/>
      <c r="G13" t="str">
        <f>_xlfn.XLOOKUP(Tabla1[[#This Row],[ASIGNATURA]],MAE_ASIGNATURA[NOM_ASIG],MAE_ASIGNATURA[ID_ASIG],"Seleccione Asignatura")</f>
        <v>Seleccione Asignatura</v>
      </c>
      <c r="H13" s="1" t="str" cm="1">
        <f t="array" ref="H13">_xlfn.TEXTJOIN("; ",TRUE,TRANSPOSE(_xlfn.UNIQUE(_xlfn._xlws.FILTER(DET_ASIG[DETALLADO],(DET_ASIG[NIVEL]=ASIGNACION!$D13)*(DET_ASIG[ID_CARRERA]=ASIGNACION!$C13)*(DET_ASIG[ID_ASIG]=ASIGNACION!$G13),"No existe información"))))</f>
        <v>No existe información</v>
      </c>
      <c r="I13" s="1"/>
      <c r="J13">
        <f>_xlfn.XLOOKUP(Tabla1[[#This Row],[ID_ASIG_CAM_DET]],MAE_ASIGNATURA[ID_ASIG],MAE_ASIGNATURA[HORAS],0)</f>
        <v>0</v>
      </c>
      <c r="K13">
        <v>4</v>
      </c>
      <c r="L13" s="2">
        <f>+Tabla1[[#This Row],[CALCULAR HORA]]*Tabla1[[#This Row],[HORAS]]</f>
        <v>0</v>
      </c>
      <c r="N13" t="str">
        <f>_xlfn.XLOOKUP(Tabla1[[#This Row],[NOMBRE_DOCENT]],MDOCENTES[DATOS_DOCENTE],MDOCENTES[DEDICACION],"Seleccione Docente")</f>
        <v>Seleccione Docente</v>
      </c>
      <c r="O13" t="str">
        <f>_xlfn.XLOOKUP(Tabla1[[#This Row],[NOMBRE_DOCENT]],MDOCENTES[DATOS_DOCENTE],MDOCENTES[ESTUDIO],"Seleccione Docente")</f>
        <v>Seleccione Docente</v>
      </c>
      <c r="P13">
        <f t="shared" si="0"/>
        <v>0</v>
      </c>
      <c r="Q13">
        <f t="shared" si="1"/>
        <v>0</v>
      </c>
      <c r="R13">
        <f t="shared" si="2"/>
        <v>0</v>
      </c>
      <c r="S13">
        <f t="shared" si="3"/>
        <v>0</v>
      </c>
      <c r="T13">
        <f t="shared" si="4"/>
        <v>0</v>
      </c>
      <c r="U13">
        <f>Tabla1[[#This Row],[HORAS NO AFINIDAD]]+Tabla1[[#This Row],[HORAS UNIDAD BASICA]]+Tabla1[[#This Row],[HORAS AFINIDAD]]</f>
        <v>0</v>
      </c>
      <c r="V13">
        <f>+Tabla1[[#This Row],[HORAS AFINIDAD]]+Tabla1[[#This Row],[HORAS ACTIVIDAD]]+Tabla1[[#This Row],[HORAS UNIDAD BASICA]]+Tabla1[[#This Row],[HORAS NO AFINIDAD]]</f>
        <v>0</v>
      </c>
    </row>
    <row r="14" spans="1:23" ht="18.75" customHeight="1">
      <c r="A14">
        <v>13</v>
      </c>
      <c r="C14" t="str">
        <f>_xlfn.XLOOKUP(Tabla1[[#This Row],[CARRERA]],MAE_CARRERA[NOMBRE_CARRERA],MAE_CARRERA[ID_CARRERA],"Seleccione Carrera")</f>
        <v>Seleccione Carrera</v>
      </c>
      <c r="F14" s="1"/>
      <c r="G14" t="str">
        <f>_xlfn.XLOOKUP(Tabla1[[#This Row],[ASIGNATURA]],MAE_ASIGNATURA[NOM_ASIG],MAE_ASIGNATURA[ID_ASIG],"Seleccione Asignatura")</f>
        <v>Seleccione Asignatura</v>
      </c>
      <c r="H14" s="1" t="str" cm="1">
        <f t="array" ref="H14">_xlfn.TEXTJOIN("; ",TRUE,TRANSPOSE(_xlfn.UNIQUE(_xlfn._xlws.FILTER(DET_ASIG[DETALLADO],(DET_ASIG[NIVEL]=ASIGNACION!$D14)*(DET_ASIG[ID_CARRERA]=ASIGNACION!$C14)*(DET_ASIG[ID_ASIG]=ASIGNACION!$G14),"No existe información"))))</f>
        <v>No existe información</v>
      </c>
      <c r="I14" s="1"/>
      <c r="J14">
        <f>_xlfn.XLOOKUP(Tabla1[[#This Row],[ID_ASIG_CAM_DET]],MAE_ASIGNATURA[ID_ASIG],MAE_ASIGNATURA[HORAS],0)</f>
        <v>0</v>
      </c>
      <c r="K14">
        <v>4</v>
      </c>
      <c r="L14" s="2">
        <f>+Tabla1[[#This Row],[CALCULAR HORA]]*Tabla1[[#This Row],[HORAS]]</f>
        <v>0</v>
      </c>
      <c r="N14" t="str">
        <f>_xlfn.XLOOKUP(Tabla1[[#This Row],[NOMBRE_DOCENT]],MDOCENTES[DATOS_DOCENTE],MDOCENTES[DEDICACION],"Seleccione Docente")</f>
        <v>Seleccione Docente</v>
      </c>
      <c r="O14" t="str">
        <f>_xlfn.XLOOKUP(Tabla1[[#This Row],[NOMBRE_DOCENT]],MDOCENTES[DATOS_DOCENTE],MDOCENTES[ESTUDIO],"Seleccione Docente")</f>
        <v>Seleccione Docente</v>
      </c>
      <c r="P14">
        <f t="shared" si="0"/>
        <v>0</v>
      </c>
      <c r="Q14">
        <f t="shared" si="1"/>
        <v>0</v>
      </c>
      <c r="R14">
        <f t="shared" si="2"/>
        <v>0</v>
      </c>
      <c r="S14">
        <f t="shared" si="3"/>
        <v>0</v>
      </c>
      <c r="T14">
        <f t="shared" si="4"/>
        <v>0</v>
      </c>
      <c r="U14">
        <f>Tabla1[[#This Row],[HORAS NO AFINIDAD]]+Tabla1[[#This Row],[HORAS UNIDAD BASICA]]+Tabla1[[#This Row],[HORAS AFINIDAD]]</f>
        <v>0</v>
      </c>
      <c r="V14">
        <f>+Tabla1[[#This Row],[HORAS AFINIDAD]]+Tabla1[[#This Row],[HORAS ACTIVIDAD]]+Tabla1[[#This Row],[HORAS UNIDAD BASICA]]+Tabla1[[#This Row],[HORAS NO AFINIDAD]]</f>
        <v>0</v>
      </c>
    </row>
    <row r="15" spans="1:23" ht="18.75" customHeight="1">
      <c r="A15">
        <v>14</v>
      </c>
      <c r="C15" t="str">
        <f>_xlfn.XLOOKUP(Tabla1[[#This Row],[CARRERA]],MAE_CARRERA[NOMBRE_CARRERA],MAE_CARRERA[ID_CARRERA],"Seleccione Carrera")</f>
        <v>Seleccione Carrera</v>
      </c>
      <c r="F15" s="1"/>
      <c r="G15" t="str">
        <f>_xlfn.XLOOKUP(Tabla1[[#This Row],[ASIGNATURA]],MAE_ASIGNATURA[NOM_ASIG],MAE_ASIGNATURA[ID_ASIG],"Seleccione Asignatura")</f>
        <v>Seleccione Asignatura</v>
      </c>
      <c r="H15" s="1" t="str" cm="1">
        <f t="array" ref="H15">_xlfn.TEXTJOIN("; ",TRUE,TRANSPOSE(_xlfn.UNIQUE(_xlfn._xlws.FILTER(DET_ASIG[DETALLADO],(DET_ASIG[NIVEL]=ASIGNACION!$D15)*(DET_ASIG[ID_CARRERA]=ASIGNACION!$C15)*(DET_ASIG[ID_ASIG]=ASIGNACION!$G15),"No existe información"))))</f>
        <v>No existe información</v>
      </c>
      <c r="I15" s="1"/>
      <c r="J15">
        <f>_xlfn.XLOOKUP(Tabla1[[#This Row],[ID_ASIG_CAM_DET]],MAE_ASIGNATURA[ID_ASIG],MAE_ASIGNATURA[HORAS],0)</f>
        <v>0</v>
      </c>
      <c r="K15">
        <v>4</v>
      </c>
      <c r="L15" s="2">
        <f>+Tabla1[[#This Row],[CALCULAR HORA]]*Tabla1[[#This Row],[HORAS]]</f>
        <v>0</v>
      </c>
      <c r="N15" t="str">
        <f>_xlfn.XLOOKUP(Tabla1[[#This Row],[NOMBRE_DOCENT]],MDOCENTES[DATOS_DOCENTE],MDOCENTES[DEDICACION],"Seleccione Docente")</f>
        <v>Seleccione Docente</v>
      </c>
      <c r="O15" t="str">
        <f>_xlfn.XLOOKUP(Tabla1[[#This Row],[NOMBRE_DOCENT]],MDOCENTES[DATOS_DOCENTE],MDOCENTES[ESTUDIO],"Seleccione Docente")</f>
        <v>Seleccione Docente</v>
      </c>
      <c r="P15">
        <f t="shared" si="0"/>
        <v>0</v>
      </c>
      <c r="Q15">
        <f t="shared" si="1"/>
        <v>0</v>
      </c>
      <c r="R15">
        <f t="shared" si="2"/>
        <v>0</v>
      </c>
      <c r="S15">
        <f t="shared" si="3"/>
        <v>0</v>
      </c>
      <c r="T15">
        <f t="shared" si="4"/>
        <v>0</v>
      </c>
      <c r="U15">
        <f>Tabla1[[#This Row],[HORAS NO AFINIDAD]]+Tabla1[[#This Row],[HORAS UNIDAD BASICA]]+Tabla1[[#This Row],[HORAS AFINIDAD]]</f>
        <v>0</v>
      </c>
      <c r="V15">
        <f>+Tabla1[[#This Row],[HORAS AFINIDAD]]+Tabla1[[#This Row],[HORAS ACTIVIDAD]]+Tabla1[[#This Row],[HORAS UNIDAD BASICA]]+Tabla1[[#This Row],[HORAS NO AFINIDAD]]</f>
        <v>0</v>
      </c>
    </row>
    <row r="16" spans="1:23" ht="18.75" customHeight="1">
      <c r="A16">
        <v>15</v>
      </c>
      <c r="C16" t="str">
        <f>_xlfn.XLOOKUP(Tabla1[[#This Row],[CARRERA]],MAE_CARRERA[NOMBRE_CARRERA],MAE_CARRERA[ID_CARRERA],"Seleccione Carrera")</f>
        <v>Seleccione Carrera</v>
      </c>
      <c r="F16" s="1"/>
      <c r="G16" t="str">
        <f>_xlfn.XLOOKUP(Tabla1[[#This Row],[ASIGNATURA]],MAE_ASIGNATURA[NOM_ASIG],MAE_ASIGNATURA[ID_ASIG],"Seleccione Asignatura")</f>
        <v>Seleccione Asignatura</v>
      </c>
      <c r="H16" s="1" t="str" cm="1">
        <f t="array" ref="H16">_xlfn.TEXTJOIN("; ",TRUE,TRANSPOSE(_xlfn.UNIQUE(_xlfn._xlws.FILTER(DET_ASIG[DETALLADO],(DET_ASIG[NIVEL]=ASIGNACION!$D16)*(DET_ASIG[ID_CARRERA]=ASIGNACION!$C16)*(DET_ASIG[ID_ASIG]=ASIGNACION!$G16),"No existe información"))))</f>
        <v>No existe información</v>
      </c>
      <c r="I16" s="1"/>
      <c r="J16">
        <f>_xlfn.XLOOKUP(Tabla1[[#This Row],[ID_ASIG_CAM_DET]],MAE_ASIGNATURA[ID_ASIG],MAE_ASIGNATURA[HORAS],0)</f>
        <v>0</v>
      </c>
      <c r="K16">
        <v>4</v>
      </c>
      <c r="L16" s="2">
        <f>+Tabla1[[#This Row],[CALCULAR HORA]]*Tabla1[[#This Row],[HORAS]]</f>
        <v>0</v>
      </c>
      <c r="N16" t="str">
        <f>_xlfn.XLOOKUP(Tabla1[[#This Row],[NOMBRE_DOCENT]],MDOCENTES[DATOS_DOCENTE],MDOCENTES[DEDICACION],"Seleccione Docente")</f>
        <v>Seleccione Docente</v>
      </c>
      <c r="O16" t="str">
        <f>_xlfn.XLOOKUP(Tabla1[[#This Row],[NOMBRE_DOCENT]],MDOCENTES[DATOS_DOCENTE],MDOCENTES[ESTUDIO],"Seleccione Docente")</f>
        <v>Seleccione Docente</v>
      </c>
      <c r="P16">
        <f t="shared" si="0"/>
        <v>0</v>
      </c>
      <c r="Q16">
        <f t="shared" si="1"/>
        <v>0</v>
      </c>
      <c r="R16">
        <f t="shared" si="2"/>
        <v>0</v>
      </c>
      <c r="S16">
        <f t="shared" si="3"/>
        <v>0</v>
      </c>
      <c r="T16">
        <f t="shared" si="4"/>
        <v>0</v>
      </c>
      <c r="U16">
        <f>Tabla1[[#This Row],[HORAS NO AFINIDAD]]+Tabla1[[#This Row],[HORAS UNIDAD BASICA]]+Tabla1[[#This Row],[HORAS AFINIDAD]]</f>
        <v>0</v>
      </c>
      <c r="V16">
        <f>+Tabla1[[#This Row],[HORAS AFINIDAD]]+Tabla1[[#This Row],[HORAS ACTIVIDAD]]+Tabla1[[#This Row],[HORAS UNIDAD BASICA]]+Tabla1[[#This Row],[HORAS NO AFINIDAD]]</f>
        <v>0</v>
      </c>
    </row>
    <row r="17" spans="1:22" ht="18.75" customHeight="1">
      <c r="A17">
        <v>16</v>
      </c>
      <c r="C17" t="str">
        <f>_xlfn.XLOOKUP(Tabla1[[#This Row],[CARRERA]],MAE_CARRERA[NOMBRE_CARRERA],MAE_CARRERA[ID_CARRERA],"Seleccione Carrera")</f>
        <v>Seleccione Carrera</v>
      </c>
      <c r="F17" s="1"/>
      <c r="G17" t="str">
        <f>_xlfn.XLOOKUP(Tabla1[[#This Row],[ASIGNATURA]],MAE_ASIGNATURA[NOM_ASIG],MAE_ASIGNATURA[ID_ASIG],"Seleccione Asignatura")</f>
        <v>Seleccione Asignatura</v>
      </c>
      <c r="H17" s="1" t="str" cm="1">
        <f t="array" ref="H17">_xlfn.TEXTJOIN("; ",TRUE,TRANSPOSE(_xlfn.UNIQUE(_xlfn._xlws.FILTER(DET_ASIG[DETALLADO],(DET_ASIG[NIVEL]=ASIGNACION!$D17)*(DET_ASIG[ID_CARRERA]=ASIGNACION!$C17)*(DET_ASIG[ID_ASIG]=ASIGNACION!$G17),"No existe información"))))</f>
        <v>No existe información</v>
      </c>
      <c r="I17" s="1"/>
      <c r="J17">
        <f>_xlfn.XLOOKUP(Tabla1[[#This Row],[ID_ASIG_CAM_DET]],MAE_ASIGNATURA[ID_ASIG],MAE_ASIGNATURA[HORAS],0)</f>
        <v>0</v>
      </c>
      <c r="K17">
        <v>4</v>
      </c>
      <c r="L17" s="2">
        <f>+Tabla1[[#This Row],[CALCULAR HORA]]*Tabla1[[#This Row],[HORAS]]</f>
        <v>0</v>
      </c>
      <c r="N17" t="str">
        <f>_xlfn.XLOOKUP(Tabla1[[#This Row],[NOMBRE_DOCENT]],MDOCENTES[DATOS_DOCENTE],MDOCENTES[DEDICACION],"Seleccione Docente")</f>
        <v>Seleccione Docente</v>
      </c>
      <c r="O17" t="str">
        <f>_xlfn.XLOOKUP(Tabla1[[#This Row],[NOMBRE_DOCENT]],MDOCENTES[DATOS_DOCENTE],MDOCENTES[ESTUDIO],"Seleccione Docente")</f>
        <v>Seleccione Docente</v>
      </c>
      <c r="P17">
        <f t="shared" si="0"/>
        <v>0</v>
      </c>
      <c r="Q17">
        <f t="shared" si="1"/>
        <v>0</v>
      </c>
      <c r="R17">
        <f t="shared" si="2"/>
        <v>0</v>
      </c>
      <c r="S17">
        <f t="shared" si="3"/>
        <v>0</v>
      </c>
      <c r="T17">
        <f t="shared" si="4"/>
        <v>0</v>
      </c>
      <c r="U17">
        <f>Tabla1[[#This Row],[HORAS NO AFINIDAD]]+Tabla1[[#This Row],[HORAS UNIDAD BASICA]]+Tabla1[[#This Row],[HORAS AFINIDAD]]</f>
        <v>0</v>
      </c>
      <c r="V17">
        <f>+Tabla1[[#This Row],[HORAS AFINIDAD]]+Tabla1[[#This Row],[HORAS ACTIVIDAD]]+Tabla1[[#This Row],[HORAS UNIDAD BASICA]]+Tabla1[[#This Row],[HORAS NO AFINIDAD]]</f>
        <v>0</v>
      </c>
    </row>
    <row r="18" spans="1:22" ht="18.75" customHeight="1">
      <c r="A18">
        <v>17</v>
      </c>
      <c r="C18" t="str">
        <f>_xlfn.XLOOKUP(Tabla1[[#This Row],[CARRERA]],MAE_CARRERA[NOMBRE_CARRERA],MAE_CARRERA[ID_CARRERA],"Seleccione Carrera")</f>
        <v>Seleccione Carrera</v>
      </c>
      <c r="F18" s="1"/>
      <c r="G18" t="str">
        <f>_xlfn.XLOOKUP(Tabla1[[#This Row],[ASIGNATURA]],MAE_ASIGNATURA[NOM_ASIG],MAE_ASIGNATURA[ID_ASIG],"Seleccione Asignatura")</f>
        <v>Seleccione Asignatura</v>
      </c>
      <c r="H18" s="1" t="str" cm="1">
        <f t="array" ref="H18">_xlfn.TEXTJOIN("; ",TRUE,TRANSPOSE(_xlfn.UNIQUE(_xlfn._xlws.FILTER(DET_ASIG[DETALLADO],(DET_ASIG[NIVEL]=ASIGNACION!$D18)*(DET_ASIG[ID_CARRERA]=ASIGNACION!$C18)*(DET_ASIG[ID_ASIG]=ASIGNACION!$G18),"No existe información"))))</f>
        <v>No existe información</v>
      </c>
      <c r="I18" s="1"/>
      <c r="J18">
        <f>_xlfn.XLOOKUP(Tabla1[[#This Row],[ID_ASIG_CAM_DET]],MAE_ASIGNATURA[ID_ASIG],MAE_ASIGNATURA[HORAS],0)</f>
        <v>0</v>
      </c>
      <c r="K18">
        <v>4</v>
      </c>
      <c r="L18" s="2">
        <f>+Tabla1[[#This Row],[CALCULAR HORA]]*Tabla1[[#This Row],[HORAS]]</f>
        <v>0</v>
      </c>
      <c r="N18" t="str">
        <f>_xlfn.XLOOKUP(Tabla1[[#This Row],[NOMBRE_DOCENT]],MDOCENTES[DATOS_DOCENTE],MDOCENTES[DEDICACION],"Seleccione Docente")</f>
        <v>Seleccione Docente</v>
      </c>
      <c r="O18" t="str">
        <f>_xlfn.XLOOKUP(Tabla1[[#This Row],[NOMBRE_DOCENT]],MDOCENTES[DATOS_DOCENTE],MDOCENTES[ESTUDIO],"Seleccione Docente")</f>
        <v>Seleccione Docente</v>
      </c>
      <c r="P18">
        <f t="shared" si="0"/>
        <v>0</v>
      </c>
      <c r="Q18">
        <f t="shared" si="1"/>
        <v>0</v>
      </c>
      <c r="R18">
        <f t="shared" si="2"/>
        <v>0</v>
      </c>
      <c r="S18">
        <f t="shared" si="3"/>
        <v>0</v>
      </c>
      <c r="T18">
        <f t="shared" si="4"/>
        <v>0</v>
      </c>
      <c r="U18">
        <f>Tabla1[[#This Row],[HORAS NO AFINIDAD]]+Tabla1[[#This Row],[HORAS UNIDAD BASICA]]+Tabla1[[#This Row],[HORAS AFINIDAD]]</f>
        <v>0</v>
      </c>
      <c r="V18">
        <f>+Tabla1[[#This Row],[HORAS AFINIDAD]]+Tabla1[[#This Row],[HORAS ACTIVIDAD]]+Tabla1[[#This Row],[HORAS UNIDAD BASICA]]+Tabla1[[#This Row],[HORAS NO AFINIDAD]]</f>
        <v>0</v>
      </c>
    </row>
    <row r="19" spans="1:22" ht="18.75" customHeight="1">
      <c r="A19">
        <v>18</v>
      </c>
      <c r="C19" t="str">
        <f>_xlfn.XLOOKUP(Tabla1[[#This Row],[CARRERA]],MAE_CARRERA[NOMBRE_CARRERA],MAE_CARRERA[ID_CARRERA],"Seleccione Carrera")</f>
        <v>Seleccione Carrera</v>
      </c>
      <c r="F19" s="1"/>
      <c r="G19" t="str">
        <f>_xlfn.XLOOKUP(Tabla1[[#This Row],[ASIGNATURA]],MAE_ASIGNATURA[NOM_ASIG],MAE_ASIGNATURA[ID_ASIG],"Seleccione Asignatura")</f>
        <v>Seleccione Asignatura</v>
      </c>
      <c r="H19" s="1" t="str" cm="1">
        <f t="array" ref="H19">_xlfn.TEXTJOIN("; ",TRUE,TRANSPOSE(_xlfn.UNIQUE(_xlfn._xlws.FILTER(DET_ASIG[DETALLADO],(DET_ASIG[NIVEL]=ASIGNACION!$D19)*(DET_ASIG[ID_CARRERA]=ASIGNACION!$C19)*(DET_ASIG[ID_ASIG]=ASIGNACION!$G19),"No existe información"))))</f>
        <v>No existe información</v>
      </c>
      <c r="I19" s="1"/>
      <c r="J19">
        <f>_xlfn.XLOOKUP(Tabla1[[#This Row],[ID_ASIG_CAM_DET]],MAE_ASIGNATURA[ID_ASIG],MAE_ASIGNATURA[HORAS],0)</f>
        <v>0</v>
      </c>
      <c r="K19">
        <v>4</v>
      </c>
      <c r="L19" s="2">
        <f>+Tabla1[[#This Row],[CALCULAR HORA]]*Tabla1[[#This Row],[HORAS]]</f>
        <v>0</v>
      </c>
      <c r="N19" t="str">
        <f>_xlfn.XLOOKUP(Tabla1[[#This Row],[NOMBRE_DOCENT]],MDOCENTES[DATOS_DOCENTE],MDOCENTES[DEDICACION],"Seleccione Docente")</f>
        <v>Seleccione Docente</v>
      </c>
      <c r="O19" t="str">
        <f>_xlfn.XLOOKUP(Tabla1[[#This Row],[NOMBRE_DOCENT]],MDOCENTES[DATOS_DOCENTE],MDOCENTES[ESTUDIO],"Seleccione Docente")</f>
        <v>Seleccione Docente</v>
      </c>
      <c r="P19">
        <f t="shared" si="0"/>
        <v>0</v>
      </c>
      <c r="Q19">
        <f t="shared" si="1"/>
        <v>0</v>
      </c>
      <c r="R19">
        <f t="shared" si="2"/>
        <v>0</v>
      </c>
      <c r="S19">
        <f t="shared" si="3"/>
        <v>0</v>
      </c>
      <c r="T19">
        <f t="shared" si="4"/>
        <v>0</v>
      </c>
      <c r="U19">
        <f>Tabla1[[#This Row],[HORAS NO AFINIDAD]]+Tabla1[[#This Row],[HORAS UNIDAD BASICA]]+Tabla1[[#This Row],[HORAS AFINIDAD]]</f>
        <v>0</v>
      </c>
      <c r="V19">
        <f>+Tabla1[[#This Row],[HORAS AFINIDAD]]+Tabla1[[#This Row],[HORAS ACTIVIDAD]]+Tabla1[[#This Row],[HORAS UNIDAD BASICA]]+Tabla1[[#This Row],[HORAS NO AFINIDAD]]</f>
        <v>0</v>
      </c>
    </row>
    <row r="20" spans="1:22" ht="18.75" customHeight="1">
      <c r="A20">
        <v>19</v>
      </c>
      <c r="C20" t="str">
        <f>_xlfn.XLOOKUP(Tabla1[[#This Row],[CARRERA]],MAE_CARRERA[NOMBRE_CARRERA],MAE_CARRERA[ID_CARRERA],"Seleccione Carrera")</f>
        <v>Seleccione Carrera</v>
      </c>
      <c r="F20" s="1"/>
      <c r="G20" t="str">
        <f>_xlfn.XLOOKUP(Tabla1[[#This Row],[ASIGNATURA]],MAE_ASIGNATURA[NOM_ASIG],MAE_ASIGNATURA[ID_ASIG],"Seleccione Asignatura")</f>
        <v>Seleccione Asignatura</v>
      </c>
      <c r="H20" s="1" t="str" cm="1">
        <f t="array" ref="H20">_xlfn.TEXTJOIN("; ",TRUE,TRANSPOSE(_xlfn.UNIQUE(_xlfn._xlws.FILTER(DET_ASIG[DETALLADO],(DET_ASIG[NIVEL]=ASIGNACION!$D20)*(DET_ASIG[ID_CARRERA]=ASIGNACION!$C20)*(DET_ASIG[ID_ASIG]=ASIGNACION!$G20),"No existe información"))))</f>
        <v>No existe información</v>
      </c>
      <c r="I20" s="1"/>
      <c r="J20">
        <f>_xlfn.XLOOKUP(Tabla1[[#This Row],[ID_ASIG_CAM_DET]],MAE_ASIGNATURA[ID_ASIG],MAE_ASIGNATURA[HORAS],0)</f>
        <v>0</v>
      </c>
      <c r="K20">
        <v>4</v>
      </c>
      <c r="L20" s="2">
        <f>+Tabla1[[#This Row],[CALCULAR HORA]]*Tabla1[[#This Row],[HORAS]]</f>
        <v>0</v>
      </c>
      <c r="N20" t="str">
        <f>_xlfn.XLOOKUP(Tabla1[[#This Row],[NOMBRE_DOCENT]],MDOCENTES[DATOS_DOCENTE],MDOCENTES[DEDICACION],"Seleccione Docente")</f>
        <v>Seleccione Docente</v>
      </c>
      <c r="O20" t="str">
        <f>_xlfn.XLOOKUP(Tabla1[[#This Row],[NOMBRE_DOCENT]],MDOCENTES[DATOS_DOCENTE],MDOCENTES[ESTUDIO],"Seleccione Docente")</f>
        <v>Seleccione Docente</v>
      </c>
      <c r="P20">
        <f t="shared" si="0"/>
        <v>0</v>
      </c>
      <c r="Q20">
        <f t="shared" si="1"/>
        <v>0</v>
      </c>
      <c r="R20">
        <f t="shared" si="2"/>
        <v>0</v>
      </c>
      <c r="S20">
        <f t="shared" si="3"/>
        <v>0</v>
      </c>
      <c r="T20">
        <f t="shared" si="4"/>
        <v>0</v>
      </c>
      <c r="U20">
        <f>Tabla1[[#This Row],[HORAS NO AFINIDAD]]+Tabla1[[#This Row],[HORAS UNIDAD BASICA]]+Tabla1[[#This Row],[HORAS AFINIDAD]]</f>
        <v>0</v>
      </c>
      <c r="V20">
        <f>+Tabla1[[#This Row],[HORAS AFINIDAD]]+Tabla1[[#This Row],[HORAS ACTIVIDAD]]+Tabla1[[#This Row],[HORAS UNIDAD BASICA]]+Tabla1[[#This Row],[HORAS NO AFINIDAD]]</f>
        <v>0</v>
      </c>
    </row>
    <row r="21" spans="1:22" ht="18.75" customHeight="1">
      <c r="A21">
        <v>20</v>
      </c>
      <c r="C21" t="str">
        <f>_xlfn.XLOOKUP(Tabla1[[#This Row],[CARRERA]],MAE_CARRERA[NOMBRE_CARRERA],MAE_CARRERA[ID_CARRERA],"Seleccione Carrera")</f>
        <v>Seleccione Carrera</v>
      </c>
      <c r="F21" s="1"/>
      <c r="G21" t="str">
        <f>_xlfn.XLOOKUP(Tabla1[[#This Row],[ASIGNATURA]],MAE_ASIGNATURA[NOM_ASIG],MAE_ASIGNATURA[ID_ASIG],"Seleccione Asignatura")</f>
        <v>Seleccione Asignatura</v>
      </c>
      <c r="H21" s="1" t="str" cm="1">
        <f t="array" ref="H21">_xlfn.TEXTJOIN("; ",TRUE,TRANSPOSE(_xlfn.UNIQUE(_xlfn._xlws.FILTER(DET_ASIG[DETALLADO],(DET_ASIG[NIVEL]=ASIGNACION!$D21)*(DET_ASIG[ID_CARRERA]=ASIGNACION!$C21)*(DET_ASIG[ID_ASIG]=ASIGNACION!$G21),"No existe información"))))</f>
        <v>No existe información</v>
      </c>
      <c r="I21" s="1"/>
      <c r="J21">
        <f>_xlfn.XLOOKUP(Tabla1[[#This Row],[ID_ASIG_CAM_DET]],MAE_ASIGNATURA[ID_ASIG],MAE_ASIGNATURA[HORAS],0)</f>
        <v>0</v>
      </c>
      <c r="K21">
        <v>4</v>
      </c>
      <c r="L21" s="2">
        <f>+Tabla1[[#This Row],[CALCULAR HORA]]*Tabla1[[#This Row],[HORAS]]</f>
        <v>0</v>
      </c>
      <c r="N21" t="str">
        <f>_xlfn.XLOOKUP(Tabla1[[#This Row],[NOMBRE_DOCENT]],MDOCENTES[DATOS_DOCENTE],MDOCENTES[DEDICACION],"Seleccione Docente")</f>
        <v>Seleccione Docente</v>
      </c>
      <c r="O21" t="str">
        <f>_xlfn.XLOOKUP(Tabla1[[#This Row],[NOMBRE_DOCENT]],MDOCENTES[DATOS_DOCENTE],MDOCENTES[ESTUDIO],"Seleccione Docente")</f>
        <v>Seleccione Docente</v>
      </c>
      <c r="P21">
        <f t="shared" si="0"/>
        <v>0</v>
      </c>
      <c r="Q21">
        <f t="shared" si="1"/>
        <v>0</v>
      </c>
      <c r="R21">
        <f t="shared" si="2"/>
        <v>0</v>
      </c>
      <c r="S21">
        <f t="shared" si="3"/>
        <v>0</v>
      </c>
      <c r="T21">
        <f t="shared" si="4"/>
        <v>0</v>
      </c>
      <c r="U21">
        <f>Tabla1[[#This Row],[HORAS NO AFINIDAD]]+Tabla1[[#This Row],[HORAS UNIDAD BASICA]]+Tabla1[[#This Row],[HORAS AFINIDAD]]</f>
        <v>0</v>
      </c>
      <c r="V21">
        <f>+Tabla1[[#This Row],[HORAS AFINIDAD]]+Tabla1[[#This Row],[HORAS ACTIVIDAD]]+Tabla1[[#This Row],[HORAS UNIDAD BASICA]]+Tabla1[[#This Row],[HORAS NO AFINIDAD]]</f>
        <v>0</v>
      </c>
    </row>
    <row r="22" spans="1:22" ht="18.75" customHeight="1">
      <c r="A22">
        <v>21</v>
      </c>
      <c r="C22" t="str">
        <f>_xlfn.XLOOKUP(Tabla1[[#This Row],[CARRERA]],MAE_CARRERA[NOMBRE_CARRERA],MAE_CARRERA[ID_CARRERA],"Seleccione Carrera")</f>
        <v>Seleccione Carrera</v>
      </c>
      <c r="F22" s="1"/>
      <c r="G22" t="str">
        <f>_xlfn.XLOOKUP(Tabla1[[#This Row],[ASIGNATURA]],MAE_ASIGNATURA[NOM_ASIG],MAE_ASIGNATURA[ID_ASIG],"Seleccione Asignatura")</f>
        <v>Seleccione Asignatura</v>
      </c>
      <c r="H22" s="1" t="str" cm="1">
        <f t="array" ref="H22">_xlfn.TEXTJOIN("; ",TRUE,TRANSPOSE(_xlfn.UNIQUE(_xlfn._xlws.FILTER(DET_ASIG[DETALLADO],(DET_ASIG[NIVEL]=ASIGNACION!$D22)*(DET_ASIG[ID_CARRERA]=ASIGNACION!$C22)*(DET_ASIG[ID_ASIG]=ASIGNACION!$G22),"No existe información"))))</f>
        <v>No existe información</v>
      </c>
      <c r="I22" s="1"/>
      <c r="J22">
        <f>_xlfn.XLOOKUP(Tabla1[[#This Row],[ID_ASIG_CAM_DET]],MAE_ASIGNATURA[ID_ASIG],MAE_ASIGNATURA[HORAS],0)</f>
        <v>0</v>
      </c>
      <c r="K22">
        <v>4</v>
      </c>
      <c r="L22" s="2">
        <f>+Tabla1[[#This Row],[CALCULAR HORA]]*Tabla1[[#This Row],[HORAS]]</f>
        <v>0</v>
      </c>
      <c r="N22" t="str">
        <f>_xlfn.XLOOKUP(Tabla1[[#This Row],[NOMBRE_DOCENT]],MDOCENTES[DATOS_DOCENTE],MDOCENTES[DEDICACION],"Seleccione Docente")</f>
        <v>Seleccione Docente</v>
      </c>
      <c r="O22" t="str">
        <f>_xlfn.XLOOKUP(Tabla1[[#This Row],[NOMBRE_DOCENT]],MDOCENTES[DATOS_DOCENTE],MDOCENTES[ESTUDIO],"Seleccione Docente")</f>
        <v>Seleccione Docente</v>
      </c>
      <c r="P22">
        <f t="shared" si="0"/>
        <v>0</v>
      </c>
      <c r="Q22">
        <f t="shared" si="1"/>
        <v>0</v>
      </c>
      <c r="R22">
        <f t="shared" si="2"/>
        <v>0</v>
      </c>
      <c r="S22">
        <f t="shared" si="3"/>
        <v>0</v>
      </c>
      <c r="T22">
        <f t="shared" si="4"/>
        <v>0</v>
      </c>
      <c r="U22">
        <f>Tabla1[[#This Row],[HORAS NO AFINIDAD]]+Tabla1[[#This Row],[HORAS UNIDAD BASICA]]+Tabla1[[#This Row],[HORAS AFINIDAD]]</f>
        <v>0</v>
      </c>
      <c r="V22">
        <f>+Tabla1[[#This Row],[HORAS AFINIDAD]]+Tabla1[[#This Row],[HORAS ACTIVIDAD]]+Tabla1[[#This Row],[HORAS UNIDAD BASICA]]+Tabla1[[#This Row],[HORAS NO AFINIDAD]]</f>
        <v>0</v>
      </c>
    </row>
    <row r="23" spans="1:22" ht="18.75" customHeight="1">
      <c r="A23">
        <v>22</v>
      </c>
      <c r="C23" t="str">
        <f>_xlfn.XLOOKUP(Tabla1[[#This Row],[CARRERA]],MAE_CARRERA[NOMBRE_CARRERA],MAE_CARRERA[ID_CARRERA],"Seleccione Carrera")</f>
        <v>Seleccione Carrera</v>
      </c>
      <c r="F23" s="1"/>
      <c r="G23" t="str">
        <f>_xlfn.XLOOKUP(Tabla1[[#This Row],[ASIGNATURA]],MAE_ASIGNATURA[NOM_ASIG],MAE_ASIGNATURA[ID_ASIG],"Seleccione Asignatura")</f>
        <v>Seleccione Asignatura</v>
      </c>
      <c r="H23" s="1" t="str" cm="1">
        <f t="array" ref="H23">_xlfn.TEXTJOIN("; ",TRUE,TRANSPOSE(_xlfn.UNIQUE(_xlfn._xlws.FILTER(DET_ASIG[DETALLADO],(DET_ASIG[NIVEL]=ASIGNACION!$D23)*(DET_ASIG[ID_CARRERA]=ASIGNACION!$C23)*(DET_ASIG[ID_ASIG]=ASIGNACION!$G23),"No existe información"))))</f>
        <v>No existe información</v>
      </c>
      <c r="I23" s="1"/>
      <c r="J23">
        <f>_xlfn.XLOOKUP(Tabla1[[#This Row],[ID_ASIG_CAM_DET]],MAE_ASIGNATURA[ID_ASIG],MAE_ASIGNATURA[HORAS],0)</f>
        <v>0</v>
      </c>
      <c r="K23">
        <v>4</v>
      </c>
      <c r="L23" s="2">
        <f>+Tabla1[[#This Row],[CALCULAR HORA]]*Tabla1[[#This Row],[HORAS]]</f>
        <v>0</v>
      </c>
      <c r="N23" t="str">
        <f>_xlfn.XLOOKUP(Tabla1[[#This Row],[NOMBRE_DOCENT]],MDOCENTES[DATOS_DOCENTE],MDOCENTES[DEDICACION],"Seleccione Docente")</f>
        <v>Seleccione Docente</v>
      </c>
      <c r="O23" t="str">
        <f>_xlfn.XLOOKUP(Tabla1[[#This Row],[NOMBRE_DOCENT]],MDOCENTES[DATOS_DOCENTE],MDOCENTES[ESTUDIO],"Seleccione Docente")</f>
        <v>Seleccione Docente</v>
      </c>
      <c r="P23">
        <f t="shared" si="0"/>
        <v>0</v>
      </c>
      <c r="Q23">
        <f t="shared" si="1"/>
        <v>0</v>
      </c>
      <c r="R23">
        <f t="shared" si="2"/>
        <v>0</v>
      </c>
      <c r="S23">
        <f t="shared" si="3"/>
        <v>0</v>
      </c>
      <c r="T23">
        <f t="shared" si="4"/>
        <v>0</v>
      </c>
      <c r="U23">
        <f>Tabla1[[#This Row],[HORAS NO AFINIDAD]]+Tabla1[[#This Row],[HORAS UNIDAD BASICA]]+Tabla1[[#This Row],[HORAS AFINIDAD]]</f>
        <v>0</v>
      </c>
      <c r="V23">
        <f>+Tabla1[[#This Row],[HORAS AFINIDAD]]+Tabla1[[#This Row],[HORAS ACTIVIDAD]]+Tabla1[[#This Row],[HORAS UNIDAD BASICA]]+Tabla1[[#This Row],[HORAS NO AFINIDAD]]</f>
        <v>0</v>
      </c>
    </row>
    <row r="24" spans="1:22" ht="18.75" customHeight="1">
      <c r="A24">
        <v>23</v>
      </c>
      <c r="C24" t="str">
        <f>_xlfn.XLOOKUP(Tabla1[[#This Row],[CARRERA]],MAE_CARRERA[NOMBRE_CARRERA],MAE_CARRERA[ID_CARRERA],"Seleccione Carrera")</f>
        <v>Seleccione Carrera</v>
      </c>
      <c r="F24" s="1"/>
      <c r="G24" t="str">
        <f>_xlfn.XLOOKUP(Tabla1[[#This Row],[ASIGNATURA]],MAE_ASIGNATURA[NOM_ASIG],MAE_ASIGNATURA[ID_ASIG],"Seleccione Asignatura")</f>
        <v>Seleccione Asignatura</v>
      </c>
      <c r="H24" s="1" t="str" cm="1">
        <f t="array" ref="H24">_xlfn.TEXTJOIN("; ",TRUE,TRANSPOSE(_xlfn.UNIQUE(_xlfn._xlws.FILTER(DET_ASIG[DETALLADO],(DET_ASIG[NIVEL]=ASIGNACION!$D24)*(DET_ASIG[ID_CARRERA]=ASIGNACION!$C24)*(DET_ASIG[ID_ASIG]=ASIGNACION!$G24),"No existe información"))))</f>
        <v>No existe información</v>
      </c>
      <c r="I24" s="1"/>
      <c r="J24">
        <f>_xlfn.XLOOKUP(Tabla1[[#This Row],[ID_ASIG_CAM_DET]],MAE_ASIGNATURA[ID_ASIG],MAE_ASIGNATURA[HORAS],0)</f>
        <v>0</v>
      </c>
      <c r="K24">
        <v>4</v>
      </c>
      <c r="L24" s="2">
        <f>+Tabla1[[#This Row],[CALCULAR HORA]]*Tabla1[[#This Row],[HORAS]]</f>
        <v>0</v>
      </c>
      <c r="N24" t="str">
        <f>_xlfn.XLOOKUP(Tabla1[[#This Row],[NOMBRE_DOCENT]],MDOCENTES[DATOS_DOCENTE],MDOCENTES[DEDICACION],"Seleccione Docente")</f>
        <v>Seleccione Docente</v>
      </c>
      <c r="O24" t="str">
        <f>_xlfn.XLOOKUP(Tabla1[[#This Row],[NOMBRE_DOCENT]],MDOCENTES[DATOS_DOCENTE],MDOCENTES[ESTUDIO],"Seleccione Docente")</f>
        <v>Seleccione Docente</v>
      </c>
      <c r="P24">
        <f t="shared" si="0"/>
        <v>0</v>
      </c>
      <c r="Q24">
        <f t="shared" si="1"/>
        <v>0</v>
      </c>
      <c r="R24">
        <f t="shared" si="2"/>
        <v>0</v>
      </c>
      <c r="S24">
        <f t="shared" si="3"/>
        <v>0</v>
      </c>
      <c r="T24">
        <f t="shared" si="4"/>
        <v>0</v>
      </c>
      <c r="U24">
        <f>Tabla1[[#This Row],[HORAS NO AFINIDAD]]+Tabla1[[#This Row],[HORAS UNIDAD BASICA]]+Tabla1[[#This Row],[HORAS AFINIDAD]]</f>
        <v>0</v>
      </c>
      <c r="V24">
        <f>+Tabla1[[#This Row],[HORAS AFINIDAD]]+Tabla1[[#This Row],[HORAS ACTIVIDAD]]+Tabla1[[#This Row],[HORAS UNIDAD BASICA]]+Tabla1[[#This Row],[HORAS NO AFINIDAD]]</f>
        <v>0</v>
      </c>
    </row>
    <row r="25" spans="1:22" ht="18.75" customHeight="1">
      <c r="A25">
        <v>24</v>
      </c>
      <c r="C25" t="str">
        <f>_xlfn.XLOOKUP(Tabla1[[#This Row],[CARRERA]],MAE_CARRERA[NOMBRE_CARRERA],MAE_CARRERA[ID_CARRERA],"Seleccione Carrera")</f>
        <v>Seleccione Carrera</v>
      </c>
      <c r="F25" s="1"/>
      <c r="G25" t="str">
        <f>_xlfn.XLOOKUP(Tabla1[[#This Row],[ASIGNATURA]],MAE_ASIGNATURA[NOM_ASIG],MAE_ASIGNATURA[ID_ASIG],"Seleccione Asignatura")</f>
        <v>Seleccione Asignatura</v>
      </c>
      <c r="H25" s="1" t="str" cm="1">
        <f t="array" ref="H25">_xlfn.TEXTJOIN("; ",TRUE,TRANSPOSE(_xlfn.UNIQUE(_xlfn._xlws.FILTER(DET_ASIG[DETALLADO],(DET_ASIG[NIVEL]=ASIGNACION!$D25)*(DET_ASIG[ID_CARRERA]=ASIGNACION!$C25)*(DET_ASIG[ID_ASIG]=ASIGNACION!$G25),"No existe información"))))</f>
        <v>No existe información</v>
      </c>
      <c r="I25" s="1"/>
      <c r="J25">
        <f>_xlfn.XLOOKUP(Tabla1[[#This Row],[ID_ASIG_CAM_DET]],MAE_ASIGNATURA[ID_ASIG],MAE_ASIGNATURA[HORAS],0)</f>
        <v>0</v>
      </c>
      <c r="K25">
        <v>4</v>
      </c>
      <c r="L25" s="2">
        <f>+Tabla1[[#This Row],[CALCULAR HORA]]*Tabla1[[#This Row],[HORAS]]</f>
        <v>0</v>
      </c>
      <c r="N25" t="str">
        <f>_xlfn.XLOOKUP(Tabla1[[#This Row],[NOMBRE_DOCENT]],MDOCENTES[DATOS_DOCENTE],MDOCENTES[DEDICACION],"Seleccione Docente")</f>
        <v>Seleccione Docente</v>
      </c>
      <c r="O25" t="str">
        <f>_xlfn.XLOOKUP(Tabla1[[#This Row],[NOMBRE_DOCENT]],MDOCENTES[DATOS_DOCENTE],MDOCENTES[ESTUDIO],"Seleccione Docente")</f>
        <v>Seleccione Docente</v>
      </c>
      <c r="P25">
        <f t="shared" si="0"/>
        <v>0</v>
      </c>
      <c r="Q25">
        <f t="shared" si="1"/>
        <v>0</v>
      </c>
      <c r="R25">
        <f t="shared" si="2"/>
        <v>0</v>
      </c>
      <c r="S25">
        <f t="shared" si="3"/>
        <v>0</v>
      </c>
      <c r="T25">
        <f t="shared" si="4"/>
        <v>0</v>
      </c>
      <c r="U25">
        <f>Tabla1[[#This Row],[HORAS NO AFINIDAD]]+Tabla1[[#This Row],[HORAS UNIDAD BASICA]]+Tabla1[[#This Row],[HORAS AFINIDAD]]</f>
        <v>0</v>
      </c>
      <c r="V25">
        <f>+Tabla1[[#This Row],[HORAS AFINIDAD]]+Tabla1[[#This Row],[HORAS ACTIVIDAD]]+Tabla1[[#This Row],[HORAS UNIDAD BASICA]]+Tabla1[[#This Row],[HORAS NO AFINIDAD]]</f>
        <v>0</v>
      </c>
    </row>
    <row r="26" spans="1:22" ht="18.75" customHeight="1">
      <c r="A26">
        <v>25</v>
      </c>
      <c r="C26" t="str">
        <f>_xlfn.XLOOKUP(Tabla1[[#This Row],[CARRERA]],MAE_CARRERA[NOMBRE_CARRERA],MAE_CARRERA[ID_CARRERA],"Seleccione Carrera")</f>
        <v>Seleccione Carrera</v>
      </c>
      <c r="F26" s="1"/>
      <c r="G26" t="str">
        <f>_xlfn.XLOOKUP(Tabla1[[#This Row],[ASIGNATURA]],MAE_ASIGNATURA[NOM_ASIG],MAE_ASIGNATURA[ID_ASIG],"Seleccione Asignatura")</f>
        <v>Seleccione Asignatura</v>
      </c>
      <c r="H26" s="1" t="str" cm="1">
        <f t="array" ref="H26">_xlfn.TEXTJOIN("; ",TRUE,TRANSPOSE(_xlfn.UNIQUE(_xlfn._xlws.FILTER(DET_ASIG[DETALLADO],(DET_ASIG[NIVEL]=ASIGNACION!$D26)*(DET_ASIG[ID_CARRERA]=ASIGNACION!$C26)*(DET_ASIG[ID_ASIG]=ASIGNACION!$G26),"No existe información"))))</f>
        <v>No existe información</v>
      </c>
      <c r="I26" s="1"/>
      <c r="J26">
        <f>_xlfn.XLOOKUP(Tabla1[[#This Row],[ID_ASIG_CAM_DET]],MAE_ASIGNATURA[ID_ASIG],MAE_ASIGNATURA[HORAS],0)</f>
        <v>0</v>
      </c>
      <c r="K26">
        <v>4</v>
      </c>
      <c r="L26" s="2">
        <f>+Tabla1[[#This Row],[CALCULAR HORA]]*Tabla1[[#This Row],[HORAS]]</f>
        <v>0</v>
      </c>
      <c r="N26" t="str">
        <f>_xlfn.XLOOKUP(Tabla1[[#This Row],[NOMBRE_DOCENT]],MDOCENTES[DATOS_DOCENTE],MDOCENTES[DEDICACION],"Seleccione Docente")</f>
        <v>Seleccione Docente</v>
      </c>
      <c r="O26" t="str">
        <f>_xlfn.XLOOKUP(Tabla1[[#This Row],[NOMBRE_DOCENT]],MDOCENTES[DATOS_DOCENTE],MDOCENTES[ESTUDIO],"Seleccione Docente")</f>
        <v>Seleccione Docente</v>
      </c>
      <c r="P26">
        <f t="shared" si="0"/>
        <v>0</v>
      </c>
      <c r="Q26">
        <f t="shared" si="1"/>
        <v>0</v>
      </c>
      <c r="R26">
        <f t="shared" si="2"/>
        <v>0</v>
      </c>
      <c r="S26">
        <f t="shared" si="3"/>
        <v>0</v>
      </c>
      <c r="T26">
        <f t="shared" si="4"/>
        <v>0</v>
      </c>
      <c r="U26">
        <f>Tabla1[[#This Row],[HORAS NO AFINIDAD]]+Tabla1[[#This Row],[HORAS UNIDAD BASICA]]+Tabla1[[#This Row],[HORAS AFINIDAD]]</f>
        <v>0</v>
      </c>
      <c r="V26">
        <f>+Tabla1[[#This Row],[HORAS AFINIDAD]]+Tabla1[[#This Row],[HORAS ACTIVIDAD]]+Tabla1[[#This Row],[HORAS UNIDAD BASICA]]+Tabla1[[#This Row],[HORAS NO AFINIDAD]]</f>
        <v>0</v>
      </c>
    </row>
    <row r="27" spans="1:22" ht="18.75" customHeight="1">
      <c r="A27">
        <v>26</v>
      </c>
      <c r="C27" t="str">
        <f>_xlfn.XLOOKUP(Tabla1[[#This Row],[CARRERA]],MAE_CARRERA[NOMBRE_CARRERA],MAE_CARRERA[ID_CARRERA],"Seleccione Carrera")</f>
        <v>Seleccione Carrera</v>
      </c>
      <c r="F27" s="1"/>
      <c r="G27" t="str">
        <f>_xlfn.XLOOKUP(Tabla1[[#This Row],[ASIGNATURA]],MAE_ASIGNATURA[NOM_ASIG],MAE_ASIGNATURA[ID_ASIG],"Seleccione Asignatura")</f>
        <v>Seleccione Asignatura</v>
      </c>
      <c r="H27" s="1" t="str" cm="1">
        <f t="array" ref="H27">_xlfn.TEXTJOIN("; ",TRUE,TRANSPOSE(_xlfn.UNIQUE(_xlfn._xlws.FILTER(DET_ASIG[DETALLADO],(DET_ASIG[NIVEL]=ASIGNACION!$D27)*(DET_ASIG[ID_CARRERA]=ASIGNACION!$C27)*(DET_ASIG[ID_ASIG]=ASIGNACION!$G27),"No existe información"))))</f>
        <v>No existe información</v>
      </c>
      <c r="I27" s="1"/>
      <c r="J27">
        <f>_xlfn.XLOOKUP(Tabla1[[#This Row],[ID_ASIG_CAM_DET]],MAE_ASIGNATURA[ID_ASIG],MAE_ASIGNATURA[HORAS],0)</f>
        <v>0</v>
      </c>
      <c r="K27">
        <v>4</v>
      </c>
      <c r="L27" s="2">
        <f>+Tabla1[[#This Row],[CALCULAR HORA]]*Tabla1[[#This Row],[HORAS]]</f>
        <v>0</v>
      </c>
      <c r="N27" t="str">
        <f>_xlfn.XLOOKUP(Tabla1[[#This Row],[NOMBRE_DOCENT]],MDOCENTES[DATOS_DOCENTE],MDOCENTES[DEDICACION],"Seleccione Docente")</f>
        <v>Seleccione Docente</v>
      </c>
      <c r="O27" t="str">
        <f>_xlfn.XLOOKUP(Tabla1[[#This Row],[NOMBRE_DOCENT]],MDOCENTES[DATOS_DOCENTE],MDOCENTES[ESTUDIO],"Seleccione Docente")</f>
        <v>Seleccione Docente</v>
      </c>
      <c r="P27">
        <f t="shared" si="0"/>
        <v>0</v>
      </c>
      <c r="Q27">
        <f t="shared" si="1"/>
        <v>0</v>
      </c>
      <c r="R27">
        <f t="shared" si="2"/>
        <v>0</v>
      </c>
      <c r="S27">
        <f t="shared" si="3"/>
        <v>0</v>
      </c>
      <c r="T27">
        <f t="shared" si="4"/>
        <v>0</v>
      </c>
      <c r="U27">
        <f>Tabla1[[#This Row],[HORAS NO AFINIDAD]]+Tabla1[[#This Row],[HORAS UNIDAD BASICA]]+Tabla1[[#This Row],[HORAS AFINIDAD]]</f>
        <v>0</v>
      </c>
      <c r="V27">
        <f>+Tabla1[[#This Row],[HORAS AFINIDAD]]+Tabla1[[#This Row],[HORAS ACTIVIDAD]]+Tabla1[[#This Row],[HORAS UNIDAD BASICA]]+Tabla1[[#This Row],[HORAS NO AFINIDAD]]</f>
        <v>0</v>
      </c>
    </row>
    <row r="28" spans="1:22" ht="18.75" customHeight="1">
      <c r="A28">
        <v>27</v>
      </c>
      <c r="C28" t="str">
        <f>_xlfn.XLOOKUP(Tabla1[[#This Row],[CARRERA]],MAE_CARRERA[NOMBRE_CARRERA],MAE_CARRERA[ID_CARRERA],"Seleccione Carrera")</f>
        <v>Seleccione Carrera</v>
      </c>
      <c r="F28" s="1"/>
      <c r="G28" t="str">
        <f>_xlfn.XLOOKUP(Tabla1[[#This Row],[ASIGNATURA]],MAE_ASIGNATURA[NOM_ASIG],MAE_ASIGNATURA[ID_ASIG],"Seleccione Asignatura")</f>
        <v>Seleccione Asignatura</v>
      </c>
      <c r="H28" s="1" t="str" cm="1">
        <f t="array" ref="H28">_xlfn.TEXTJOIN("; ",TRUE,TRANSPOSE(_xlfn.UNIQUE(_xlfn._xlws.FILTER(DET_ASIG[DETALLADO],(DET_ASIG[NIVEL]=ASIGNACION!$D28)*(DET_ASIG[ID_CARRERA]=ASIGNACION!$C28)*(DET_ASIG[ID_ASIG]=ASIGNACION!$G28),"No existe información"))))</f>
        <v>No existe información</v>
      </c>
      <c r="I28" s="1"/>
      <c r="J28">
        <f>_xlfn.XLOOKUP(Tabla1[[#This Row],[ID_ASIG_CAM_DET]],MAE_ASIGNATURA[ID_ASIG],MAE_ASIGNATURA[HORAS],0)</f>
        <v>0</v>
      </c>
      <c r="K28">
        <v>4</v>
      </c>
      <c r="L28" s="2">
        <f>+Tabla1[[#This Row],[CALCULAR HORA]]*Tabla1[[#This Row],[HORAS]]</f>
        <v>0</v>
      </c>
      <c r="N28" t="str">
        <f>_xlfn.XLOOKUP(Tabla1[[#This Row],[NOMBRE_DOCENT]],MDOCENTES[DATOS_DOCENTE],MDOCENTES[DEDICACION],"Seleccione Docente")</f>
        <v>Seleccione Docente</v>
      </c>
      <c r="O28" t="str">
        <f>_xlfn.XLOOKUP(Tabla1[[#This Row],[NOMBRE_DOCENT]],MDOCENTES[DATOS_DOCENTE],MDOCENTES[ESTUDIO],"Seleccione Docente")</f>
        <v>Seleccione Docente</v>
      </c>
      <c r="P28">
        <f t="shared" si="0"/>
        <v>0</v>
      </c>
      <c r="Q28">
        <f t="shared" si="1"/>
        <v>0</v>
      </c>
      <c r="R28">
        <f t="shared" si="2"/>
        <v>0</v>
      </c>
      <c r="S28">
        <f t="shared" si="3"/>
        <v>0</v>
      </c>
      <c r="T28">
        <f t="shared" si="4"/>
        <v>0</v>
      </c>
      <c r="U28">
        <f>Tabla1[[#This Row],[HORAS NO AFINIDAD]]+Tabla1[[#This Row],[HORAS UNIDAD BASICA]]+Tabla1[[#This Row],[HORAS AFINIDAD]]</f>
        <v>0</v>
      </c>
      <c r="V28">
        <f>+Tabla1[[#This Row],[HORAS AFINIDAD]]+Tabla1[[#This Row],[HORAS ACTIVIDAD]]+Tabla1[[#This Row],[HORAS UNIDAD BASICA]]+Tabla1[[#This Row],[HORAS NO AFINIDAD]]</f>
        <v>0</v>
      </c>
    </row>
    <row r="29" spans="1:22" ht="18.75" customHeight="1">
      <c r="A29">
        <v>28</v>
      </c>
      <c r="C29" t="str">
        <f>_xlfn.XLOOKUP(Tabla1[[#This Row],[CARRERA]],MAE_CARRERA[NOMBRE_CARRERA],MAE_CARRERA[ID_CARRERA],"Seleccione Carrera")</f>
        <v>Seleccione Carrera</v>
      </c>
      <c r="F29" s="1"/>
      <c r="G29" t="str">
        <f>_xlfn.XLOOKUP(Tabla1[[#This Row],[ASIGNATURA]],MAE_ASIGNATURA[NOM_ASIG],MAE_ASIGNATURA[ID_ASIG],"Seleccione Asignatura")</f>
        <v>Seleccione Asignatura</v>
      </c>
      <c r="H29" s="1" t="str" cm="1">
        <f t="array" ref="H29">_xlfn.TEXTJOIN("; ",TRUE,TRANSPOSE(_xlfn.UNIQUE(_xlfn._xlws.FILTER(DET_ASIG[DETALLADO],(DET_ASIG[NIVEL]=ASIGNACION!$D29)*(DET_ASIG[ID_CARRERA]=ASIGNACION!$C29)*(DET_ASIG[ID_ASIG]=ASIGNACION!$G29),"No existe información"))))</f>
        <v>No existe información</v>
      </c>
      <c r="I29" s="1"/>
      <c r="J29">
        <f>_xlfn.XLOOKUP(Tabla1[[#This Row],[ID_ASIG_CAM_DET]],MAE_ASIGNATURA[ID_ASIG],MAE_ASIGNATURA[HORAS],0)</f>
        <v>0</v>
      </c>
      <c r="K29">
        <v>4</v>
      </c>
      <c r="L29" s="2">
        <f>+Tabla1[[#This Row],[CALCULAR HORA]]*Tabla1[[#This Row],[HORAS]]</f>
        <v>0</v>
      </c>
      <c r="N29" t="str">
        <f>_xlfn.XLOOKUP(Tabla1[[#This Row],[NOMBRE_DOCENT]],MDOCENTES[DATOS_DOCENTE],MDOCENTES[DEDICACION],"Seleccione Docente")</f>
        <v>Seleccione Docente</v>
      </c>
      <c r="O29" t="str">
        <f>_xlfn.XLOOKUP(Tabla1[[#This Row],[NOMBRE_DOCENT]],MDOCENTES[DATOS_DOCENTE],MDOCENTES[ESTUDIO],"Seleccione Docente")</f>
        <v>Seleccione Docente</v>
      </c>
      <c r="P29">
        <f t="shared" si="0"/>
        <v>0</v>
      </c>
      <c r="Q29">
        <f t="shared" si="1"/>
        <v>0</v>
      </c>
      <c r="R29">
        <f t="shared" si="2"/>
        <v>0</v>
      </c>
      <c r="S29">
        <f t="shared" si="3"/>
        <v>0</v>
      </c>
      <c r="T29">
        <f t="shared" si="4"/>
        <v>0</v>
      </c>
      <c r="U29">
        <f>Tabla1[[#This Row],[HORAS NO AFINIDAD]]+Tabla1[[#This Row],[HORAS UNIDAD BASICA]]+Tabla1[[#This Row],[HORAS AFINIDAD]]</f>
        <v>0</v>
      </c>
      <c r="V29">
        <f>+Tabla1[[#This Row],[HORAS AFINIDAD]]+Tabla1[[#This Row],[HORAS ACTIVIDAD]]+Tabla1[[#This Row],[HORAS UNIDAD BASICA]]+Tabla1[[#This Row],[HORAS NO AFINIDAD]]</f>
        <v>0</v>
      </c>
    </row>
    <row r="30" spans="1:22" ht="18.75" customHeight="1">
      <c r="A30">
        <v>29</v>
      </c>
      <c r="C30" t="str">
        <f>_xlfn.XLOOKUP(Tabla1[[#This Row],[CARRERA]],MAE_CARRERA[NOMBRE_CARRERA],MAE_CARRERA[ID_CARRERA],"Seleccione Carrera")</f>
        <v>Seleccione Carrera</v>
      </c>
      <c r="F30" s="1"/>
      <c r="G30" t="str">
        <f>_xlfn.XLOOKUP(Tabla1[[#This Row],[ASIGNATURA]],MAE_ASIGNATURA[NOM_ASIG],MAE_ASIGNATURA[ID_ASIG],"Seleccione Asignatura")</f>
        <v>Seleccione Asignatura</v>
      </c>
      <c r="H30" s="1" t="str" cm="1">
        <f t="array" ref="H30">_xlfn.TEXTJOIN("; ",TRUE,TRANSPOSE(_xlfn.UNIQUE(_xlfn._xlws.FILTER(DET_ASIG[DETALLADO],(DET_ASIG[NIVEL]=ASIGNACION!$D30)*(DET_ASIG[ID_CARRERA]=ASIGNACION!$C30)*(DET_ASIG[ID_ASIG]=ASIGNACION!$G30),"No existe información"))))</f>
        <v>No existe información</v>
      </c>
      <c r="I30" s="1"/>
      <c r="J30">
        <f>_xlfn.XLOOKUP(Tabla1[[#This Row],[ID_ASIG_CAM_DET]],MAE_ASIGNATURA[ID_ASIG],MAE_ASIGNATURA[HORAS],0)</f>
        <v>0</v>
      </c>
      <c r="K30">
        <v>4</v>
      </c>
      <c r="L30" s="2">
        <f>+Tabla1[[#This Row],[CALCULAR HORA]]*Tabla1[[#This Row],[HORAS]]</f>
        <v>0</v>
      </c>
      <c r="N30" t="str">
        <f>_xlfn.XLOOKUP(Tabla1[[#This Row],[NOMBRE_DOCENT]],MDOCENTES[DATOS_DOCENTE],MDOCENTES[DEDICACION],"Seleccione Docente")</f>
        <v>Seleccione Docente</v>
      </c>
      <c r="O30" t="str">
        <f>_xlfn.XLOOKUP(Tabla1[[#This Row],[NOMBRE_DOCENT]],MDOCENTES[DATOS_DOCENTE],MDOCENTES[ESTUDIO],"Seleccione Docente")</f>
        <v>Seleccione Docente</v>
      </c>
      <c r="P30">
        <f t="shared" si="0"/>
        <v>0</v>
      </c>
      <c r="Q30">
        <f t="shared" si="1"/>
        <v>0</v>
      </c>
      <c r="R30">
        <f t="shared" si="2"/>
        <v>0</v>
      </c>
      <c r="S30">
        <f t="shared" si="3"/>
        <v>0</v>
      </c>
      <c r="T30">
        <f t="shared" si="4"/>
        <v>0</v>
      </c>
      <c r="U30">
        <f>Tabla1[[#This Row],[HORAS NO AFINIDAD]]+Tabla1[[#This Row],[HORAS UNIDAD BASICA]]+Tabla1[[#This Row],[HORAS AFINIDAD]]</f>
        <v>0</v>
      </c>
      <c r="V30">
        <f>+Tabla1[[#This Row],[HORAS AFINIDAD]]+Tabla1[[#This Row],[HORAS ACTIVIDAD]]+Tabla1[[#This Row],[HORAS UNIDAD BASICA]]+Tabla1[[#This Row],[HORAS NO AFINIDAD]]</f>
        <v>0</v>
      </c>
    </row>
    <row r="31" spans="1:22" ht="18.75" customHeight="1">
      <c r="A31">
        <v>30</v>
      </c>
      <c r="C31" t="str">
        <f>_xlfn.XLOOKUP(Tabla1[[#This Row],[CARRERA]],MAE_CARRERA[NOMBRE_CARRERA],MAE_CARRERA[ID_CARRERA],"Seleccione Carrera")</f>
        <v>Seleccione Carrera</v>
      </c>
      <c r="F31" s="1"/>
      <c r="G31" t="str">
        <f>_xlfn.XLOOKUP(Tabla1[[#This Row],[ASIGNATURA]],MAE_ASIGNATURA[NOM_ASIG],MAE_ASIGNATURA[ID_ASIG],"Seleccione Asignatura")</f>
        <v>Seleccione Asignatura</v>
      </c>
      <c r="H31" s="1" t="str" cm="1">
        <f t="array" ref="H31">_xlfn.TEXTJOIN("; ",TRUE,TRANSPOSE(_xlfn.UNIQUE(_xlfn._xlws.FILTER(DET_ASIG[DETALLADO],(DET_ASIG[NIVEL]=ASIGNACION!$D31)*(DET_ASIG[ID_CARRERA]=ASIGNACION!$C31)*(DET_ASIG[ID_ASIG]=ASIGNACION!$G31),"No existe información"))))</f>
        <v>No existe información</v>
      </c>
      <c r="I31" s="1"/>
      <c r="J31">
        <f>_xlfn.XLOOKUP(Tabla1[[#This Row],[ID_ASIG_CAM_DET]],MAE_ASIGNATURA[ID_ASIG],MAE_ASIGNATURA[HORAS],0)</f>
        <v>0</v>
      </c>
      <c r="K31">
        <v>4</v>
      </c>
      <c r="L31" s="2">
        <f>+Tabla1[[#This Row],[CALCULAR HORA]]*Tabla1[[#This Row],[HORAS]]</f>
        <v>0</v>
      </c>
      <c r="N31" t="str">
        <f>_xlfn.XLOOKUP(Tabla1[[#This Row],[NOMBRE_DOCENT]],MDOCENTES[DATOS_DOCENTE],MDOCENTES[DEDICACION],"Seleccione Docente")</f>
        <v>Seleccione Docente</v>
      </c>
      <c r="O31" t="str">
        <f>_xlfn.XLOOKUP(Tabla1[[#This Row],[NOMBRE_DOCENT]],MDOCENTES[DATOS_DOCENTE],MDOCENTES[ESTUDIO],"Seleccione Docente")</f>
        <v>Seleccione Docente</v>
      </c>
      <c r="P31">
        <f t="shared" si="0"/>
        <v>0</v>
      </c>
      <c r="Q31">
        <f t="shared" si="1"/>
        <v>0</v>
      </c>
      <c r="R31">
        <f t="shared" si="2"/>
        <v>0</v>
      </c>
      <c r="S31">
        <f t="shared" si="3"/>
        <v>0</v>
      </c>
      <c r="T31">
        <f t="shared" si="4"/>
        <v>0</v>
      </c>
      <c r="U31">
        <f>Tabla1[[#This Row],[HORAS NO AFINIDAD]]+Tabla1[[#This Row],[HORAS UNIDAD BASICA]]+Tabla1[[#This Row],[HORAS AFINIDAD]]</f>
        <v>0</v>
      </c>
      <c r="V31">
        <f>+Tabla1[[#This Row],[HORAS AFINIDAD]]+Tabla1[[#This Row],[HORAS ACTIVIDAD]]+Tabla1[[#This Row],[HORAS UNIDAD BASICA]]+Tabla1[[#This Row],[HORAS NO AFINIDAD]]</f>
        <v>0</v>
      </c>
    </row>
    <row r="32" spans="1:22" ht="18.75" customHeight="1">
      <c r="A32">
        <v>31</v>
      </c>
      <c r="C32" t="str">
        <f>_xlfn.XLOOKUP(Tabla1[[#This Row],[CARRERA]],MAE_CARRERA[NOMBRE_CARRERA],MAE_CARRERA[ID_CARRERA],"Seleccione Carrera")</f>
        <v>Seleccione Carrera</v>
      </c>
      <c r="F32" s="1"/>
      <c r="G32" t="str">
        <f>_xlfn.XLOOKUP(Tabla1[[#This Row],[ASIGNATURA]],MAE_ASIGNATURA[NOM_ASIG],MAE_ASIGNATURA[ID_ASIG],"Seleccione Asignatura")</f>
        <v>Seleccione Asignatura</v>
      </c>
      <c r="H32" s="1" t="str" cm="1">
        <f t="array" ref="H32">_xlfn.TEXTJOIN("; ",TRUE,TRANSPOSE(_xlfn.UNIQUE(_xlfn._xlws.FILTER(DET_ASIG[DETALLADO],(DET_ASIG[NIVEL]=ASIGNACION!$D32)*(DET_ASIG[ID_CARRERA]=ASIGNACION!$C32)*(DET_ASIG[ID_ASIG]=ASIGNACION!$G32),"No existe información"))))</f>
        <v>No existe información</v>
      </c>
      <c r="I32" s="1"/>
      <c r="J32">
        <f>_xlfn.XLOOKUP(Tabla1[[#This Row],[ID_ASIG_CAM_DET]],MAE_ASIGNATURA[ID_ASIG],MAE_ASIGNATURA[HORAS],0)</f>
        <v>0</v>
      </c>
      <c r="K32">
        <v>4</v>
      </c>
      <c r="L32" s="2">
        <f>+Tabla1[[#This Row],[CALCULAR HORA]]*Tabla1[[#This Row],[HORAS]]</f>
        <v>0</v>
      </c>
      <c r="N32" t="str">
        <f>_xlfn.XLOOKUP(Tabla1[[#This Row],[NOMBRE_DOCENT]],MDOCENTES[DATOS_DOCENTE],MDOCENTES[DEDICACION],"Seleccione Docente")</f>
        <v>Seleccione Docente</v>
      </c>
      <c r="O32" t="str">
        <f>_xlfn.XLOOKUP(Tabla1[[#This Row],[NOMBRE_DOCENT]],MDOCENTES[DATOS_DOCENTE],MDOCENTES[ESTUDIO],"Seleccione Docente")</f>
        <v>Seleccione Docente</v>
      </c>
      <c r="P32">
        <f t="shared" si="0"/>
        <v>0</v>
      </c>
      <c r="Q32">
        <f t="shared" si="1"/>
        <v>0</v>
      </c>
      <c r="R32">
        <f t="shared" si="2"/>
        <v>0</v>
      </c>
      <c r="S32">
        <f t="shared" si="3"/>
        <v>0</v>
      </c>
      <c r="T32">
        <f t="shared" si="4"/>
        <v>0</v>
      </c>
      <c r="U32">
        <f>Tabla1[[#This Row],[HORAS NO AFINIDAD]]+Tabla1[[#This Row],[HORAS UNIDAD BASICA]]+Tabla1[[#This Row],[HORAS AFINIDAD]]</f>
        <v>0</v>
      </c>
      <c r="V32">
        <f>+Tabla1[[#This Row],[HORAS AFINIDAD]]+Tabla1[[#This Row],[HORAS ACTIVIDAD]]+Tabla1[[#This Row],[HORAS UNIDAD BASICA]]+Tabla1[[#This Row],[HORAS NO AFINIDAD]]</f>
        <v>0</v>
      </c>
    </row>
    <row r="33" spans="1:22" ht="18.75" customHeight="1">
      <c r="A33">
        <v>32</v>
      </c>
      <c r="C33" t="str">
        <f>_xlfn.XLOOKUP(Tabla1[[#This Row],[CARRERA]],MAE_CARRERA[NOMBRE_CARRERA],MAE_CARRERA[ID_CARRERA],"Seleccione Carrera")</f>
        <v>Seleccione Carrera</v>
      </c>
      <c r="F33" s="1"/>
      <c r="G33" t="str">
        <f>_xlfn.XLOOKUP(Tabla1[[#This Row],[ASIGNATURA]],MAE_ASIGNATURA[NOM_ASIG],MAE_ASIGNATURA[ID_ASIG],"Seleccione Asignatura")</f>
        <v>Seleccione Asignatura</v>
      </c>
      <c r="H33" s="1" t="str" cm="1">
        <f t="array" ref="H33">_xlfn.TEXTJOIN("; ",TRUE,TRANSPOSE(_xlfn.UNIQUE(_xlfn._xlws.FILTER(DET_ASIG[DETALLADO],(DET_ASIG[NIVEL]=ASIGNACION!$D33)*(DET_ASIG[ID_CARRERA]=ASIGNACION!$C33)*(DET_ASIG[ID_ASIG]=ASIGNACION!$G33),"No existe información"))))</f>
        <v>No existe información</v>
      </c>
      <c r="I33" s="1"/>
      <c r="J33">
        <f>_xlfn.XLOOKUP(Tabla1[[#This Row],[ID_ASIG_CAM_DET]],MAE_ASIGNATURA[ID_ASIG],MAE_ASIGNATURA[HORAS],0)</f>
        <v>0</v>
      </c>
      <c r="K33">
        <v>4</v>
      </c>
      <c r="L33" s="2">
        <f>+Tabla1[[#This Row],[CALCULAR HORA]]*Tabla1[[#This Row],[HORAS]]</f>
        <v>0</v>
      </c>
      <c r="N33" t="str">
        <f>_xlfn.XLOOKUP(Tabla1[[#This Row],[NOMBRE_DOCENT]],MDOCENTES[DATOS_DOCENTE],MDOCENTES[DEDICACION],"Seleccione Docente")</f>
        <v>Seleccione Docente</v>
      </c>
      <c r="O33" t="str">
        <f>_xlfn.XLOOKUP(Tabla1[[#This Row],[NOMBRE_DOCENT]],MDOCENTES[DATOS_DOCENTE],MDOCENTES[ESTUDIO],"Seleccione Docente")</f>
        <v>Seleccione Docente</v>
      </c>
      <c r="P33">
        <f t="shared" si="0"/>
        <v>0</v>
      </c>
      <c r="Q33">
        <f t="shared" si="1"/>
        <v>0</v>
      </c>
      <c r="R33">
        <f t="shared" si="2"/>
        <v>0</v>
      </c>
      <c r="S33">
        <f t="shared" si="3"/>
        <v>0</v>
      </c>
      <c r="T33">
        <f t="shared" si="4"/>
        <v>0</v>
      </c>
      <c r="U33">
        <f>Tabla1[[#This Row],[HORAS NO AFINIDAD]]+Tabla1[[#This Row],[HORAS UNIDAD BASICA]]+Tabla1[[#This Row],[HORAS AFINIDAD]]</f>
        <v>0</v>
      </c>
      <c r="V33">
        <f>+Tabla1[[#This Row],[HORAS AFINIDAD]]+Tabla1[[#This Row],[HORAS ACTIVIDAD]]+Tabla1[[#This Row],[HORAS UNIDAD BASICA]]+Tabla1[[#This Row],[HORAS NO AFINIDAD]]</f>
        <v>0</v>
      </c>
    </row>
    <row r="34" spans="1:22" ht="18.75" customHeight="1">
      <c r="A34">
        <v>33</v>
      </c>
      <c r="C34" t="str">
        <f>_xlfn.XLOOKUP(Tabla1[[#This Row],[CARRERA]],MAE_CARRERA[NOMBRE_CARRERA],MAE_CARRERA[ID_CARRERA],"Seleccione Carrera")</f>
        <v>Seleccione Carrera</v>
      </c>
      <c r="F34" s="1"/>
      <c r="G34" t="str">
        <f>_xlfn.XLOOKUP(Tabla1[[#This Row],[ASIGNATURA]],MAE_ASIGNATURA[NOM_ASIG],MAE_ASIGNATURA[ID_ASIG],"Seleccione Asignatura")</f>
        <v>Seleccione Asignatura</v>
      </c>
      <c r="H34" s="1" t="str" cm="1">
        <f t="array" ref="H34">_xlfn.TEXTJOIN("; ",TRUE,TRANSPOSE(_xlfn.UNIQUE(_xlfn._xlws.FILTER(DET_ASIG[DETALLADO],(DET_ASIG[NIVEL]=ASIGNACION!$D34)*(DET_ASIG[ID_CARRERA]=ASIGNACION!$C34)*(DET_ASIG[ID_ASIG]=ASIGNACION!$G34),"No existe información"))))</f>
        <v>No existe información</v>
      </c>
      <c r="I34" s="1"/>
      <c r="J34">
        <f>_xlfn.XLOOKUP(Tabla1[[#This Row],[ID_ASIG_CAM_DET]],MAE_ASIGNATURA[ID_ASIG],MAE_ASIGNATURA[HORAS],0)</f>
        <v>0</v>
      </c>
      <c r="K34">
        <v>4</v>
      </c>
      <c r="L34" s="2">
        <f>+Tabla1[[#This Row],[CALCULAR HORA]]*Tabla1[[#This Row],[HORAS]]</f>
        <v>0</v>
      </c>
      <c r="N34" t="str">
        <f>_xlfn.XLOOKUP(Tabla1[[#This Row],[NOMBRE_DOCENT]],MDOCENTES[DATOS_DOCENTE],MDOCENTES[DEDICACION],"Seleccione Docente")</f>
        <v>Seleccione Docente</v>
      </c>
      <c r="O34" t="str">
        <f>_xlfn.XLOOKUP(Tabla1[[#This Row],[NOMBRE_DOCENT]],MDOCENTES[DATOS_DOCENTE],MDOCENTES[ESTUDIO],"Seleccione Docente")</f>
        <v>Seleccione Docente</v>
      </c>
      <c r="P34">
        <f t="shared" si="0"/>
        <v>0</v>
      </c>
      <c r="Q34">
        <f t="shared" si="1"/>
        <v>0</v>
      </c>
      <c r="R34">
        <f t="shared" si="2"/>
        <v>0</v>
      </c>
      <c r="S34">
        <f t="shared" si="3"/>
        <v>0</v>
      </c>
      <c r="T34">
        <f t="shared" si="4"/>
        <v>0</v>
      </c>
      <c r="U34">
        <f>Tabla1[[#This Row],[HORAS NO AFINIDAD]]+Tabla1[[#This Row],[HORAS UNIDAD BASICA]]+Tabla1[[#This Row],[HORAS AFINIDAD]]</f>
        <v>0</v>
      </c>
      <c r="V34">
        <f>+Tabla1[[#This Row],[HORAS AFINIDAD]]+Tabla1[[#This Row],[HORAS ACTIVIDAD]]+Tabla1[[#This Row],[HORAS UNIDAD BASICA]]+Tabla1[[#This Row],[HORAS NO AFINIDAD]]</f>
        <v>0</v>
      </c>
    </row>
    <row r="35" spans="1:22" ht="18.75" customHeight="1">
      <c r="A35">
        <v>34</v>
      </c>
      <c r="C35" t="str">
        <f>_xlfn.XLOOKUP(Tabla1[[#This Row],[CARRERA]],MAE_CARRERA[NOMBRE_CARRERA],MAE_CARRERA[ID_CARRERA],"Seleccione Carrera")</f>
        <v>Seleccione Carrera</v>
      </c>
      <c r="F35" s="1"/>
      <c r="G35" t="str">
        <f>_xlfn.XLOOKUP(Tabla1[[#This Row],[ASIGNATURA]],MAE_ASIGNATURA[NOM_ASIG],MAE_ASIGNATURA[ID_ASIG],"Seleccione Asignatura")</f>
        <v>Seleccione Asignatura</v>
      </c>
      <c r="H35" s="1" t="str" cm="1">
        <f t="array" ref="H35">_xlfn.TEXTJOIN("; ",TRUE,TRANSPOSE(_xlfn.UNIQUE(_xlfn._xlws.FILTER(DET_ASIG[DETALLADO],(DET_ASIG[NIVEL]=ASIGNACION!$D35)*(DET_ASIG[ID_CARRERA]=ASIGNACION!$C35)*(DET_ASIG[ID_ASIG]=ASIGNACION!$G35),"No existe información"))))</f>
        <v>No existe información</v>
      </c>
      <c r="I35" s="1"/>
      <c r="J35">
        <f>_xlfn.XLOOKUP(Tabla1[[#This Row],[ID_ASIG_CAM_DET]],MAE_ASIGNATURA[ID_ASIG],MAE_ASIGNATURA[HORAS],0)</f>
        <v>0</v>
      </c>
      <c r="K35">
        <v>4</v>
      </c>
      <c r="L35" s="2">
        <f>+Tabla1[[#This Row],[CALCULAR HORA]]*Tabla1[[#This Row],[HORAS]]</f>
        <v>0</v>
      </c>
      <c r="N35" t="str">
        <f>_xlfn.XLOOKUP(Tabla1[[#This Row],[NOMBRE_DOCENT]],MDOCENTES[DATOS_DOCENTE],MDOCENTES[DEDICACION],"Seleccione Docente")</f>
        <v>Seleccione Docente</v>
      </c>
      <c r="O35" t="str">
        <f>_xlfn.XLOOKUP(Tabla1[[#This Row],[NOMBRE_DOCENT]],MDOCENTES[DATOS_DOCENTE],MDOCENTES[ESTUDIO],"Seleccione Docente")</f>
        <v>Seleccione Docente</v>
      </c>
      <c r="P35">
        <f t="shared" si="0"/>
        <v>0</v>
      </c>
      <c r="Q35">
        <f t="shared" si="1"/>
        <v>0</v>
      </c>
      <c r="R35">
        <f t="shared" si="2"/>
        <v>0</v>
      </c>
      <c r="S35">
        <f t="shared" si="3"/>
        <v>0</v>
      </c>
      <c r="T35">
        <f t="shared" si="4"/>
        <v>0</v>
      </c>
      <c r="U35">
        <f>Tabla1[[#This Row],[HORAS NO AFINIDAD]]+Tabla1[[#This Row],[HORAS UNIDAD BASICA]]+Tabla1[[#This Row],[HORAS AFINIDAD]]</f>
        <v>0</v>
      </c>
      <c r="V35">
        <f>+Tabla1[[#This Row],[HORAS AFINIDAD]]+Tabla1[[#This Row],[HORAS ACTIVIDAD]]+Tabla1[[#This Row],[HORAS UNIDAD BASICA]]+Tabla1[[#This Row],[HORAS NO AFINIDAD]]</f>
        <v>0</v>
      </c>
    </row>
    <row r="36" spans="1:22" ht="18.75" customHeight="1">
      <c r="A36">
        <v>35</v>
      </c>
      <c r="C36" t="str">
        <f>_xlfn.XLOOKUP(Tabla1[[#This Row],[CARRERA]],MAE_CARRERA[NOMBRE_CARRERA],MAE_CARRERA[ID_CARRERA],"Seleccione Carrera")</f>
        <v>Seleccione Carrera</v>
      </c>
      <c r="F36" s="1"/>
      <c r="G36" t="str">
        <f>_xlfn.XLOOKUP(Tabla1[[#This Row],[ASIGNATURA]],MAE_ASIGNATURA[NOM_ASIG],MAE_ASIGNATURA[ID_ASIG],"Seleccione Asignatura")</f>
        <v>Seleccione Asignatura</v>
      </c>
      <c r="H36" s="1" t="str" cm="1">
        <f t="array" ref="H36">_xlfn.TEXTJOIN("; ",TRUE,TRANSPOSE(_xlfn.UNIQUE(_xlfn._xlws.FILTER(DET_ASIG[DETALLADO],(DET_ASIG[NIVEL]=ASIGNACION!$D36)*(DET_ASIG[ID_CARRERA]=ASIGNACION!$C36)*(DET_ASIG[ID_ASIG]=ASIGNACION!$G36),"No existe información"))))</f>
        <v>No existe información</v>
      </c>
      <c r="I36" s="1"/>
      <c r="J36">
        <f>_xlfn.XLOOKUP(Tabla1[[#This Row],[ID_ASIG_CAM_DET]],MAE_ASIGNATURA[ID_ASIG],MAE_ASIGNATURA[HORAS],0)</f>
        <v>0</v>
      </c>
      <c r="K36">
        <v>4</v>
      </c>
      <c r="L36" s="2">
        <f>+Tabla1[[#This Row],[CALCULAR HORA]]*Tabla1[[#This Row],[HORAS]]</f>
        <v>0</v>
      </c>
      <c r="N36" t="str">
        <f>_xlfn.XLOOKUP(Tabla1[[#This Row],[NOMBRE_DOCENT]],MDOCENTES[DATOS_DOCENTE],MDOCENTES[DEDICACION],"Seleccione Docente")</f>
        <v>Seleccione Docente</v>
      </c>
      <c r="O36" t="str">
        <f>_xlfn.XLOOKUP(Tabla1[[#This Row],[NOMBRE_DOCENT]],MDOCENTES[DATOS_DOCENTE],MDOCENTES[ESTUDIO],"Seleccione Docente")</f>
        <v>Seleccione Docente</v>
      </c>
      <c r="P36">
        <f t="shared" si="0"/>
        <v>0</v>
      </c>
      <c r="Q36">
        <f t="shared" si="1"/>
        <v>0</v>
      </c>
      <c r="R36">
        <f t="shared" si="2"/>
        <v>0</v>
      </c>
      <c r="S36">
        <f t="shared" si="3"/>
        <v>0</v>
      </c>
      <c r="T36">
        <f t="shared" si="4"/>
        <v>0</v>
      </c>
      <c r="U36">
        <f>Tabla1[[#This Row],[HORAS NO AFINIDAD]]+Tabla1[[#This Row],[HORAS UNIDAD BASICA]]+Tabla1[[#This Row],[HORAS AFINIDAD]]</f>
        <v>0</v>
      </c>
      <c r="V36">
        <f>+Tabla1[[#This Row],[HORAS AFINIDAD]]+Tabla1[[#This Row],[HORAS ACTIVIDAD]]+Tabla1[[#This Row],[HORAS UNIDAD BASICA]]+Tabla1[[#This Row],[HORAS NO AFINIDAD]]</f>
        <v>0</v>
      </c>
    </row>
    <row r="37" spans="1:22" ht="18.75" customHeight="1">
      <c r="A37">
        <v>36</v>
      </c>
      <c r="C37" t="str">
        <f>_xlfn.XLOOKUP(Tabla1[[#This Row],[CARRERA]],MAE_CARRERA[NOMBRE_CARRERA],MAE_CARRERA[ID_CARRERA],"Seleccione Carrera")</f>
        <v>Seleccione Carrera</v>
      </c>
      <c r="F37" s="1"/>
      <c r="G37" t="str">
        <f>_xlfn.XLOOKUP(Tabla1[[#This Row],[ASIGNATURA]],MAE_ASIGNATURA[NOM_ASIG],MAE_ASIGNATURA[ID_ASIG],"Seleccione Asignatura")</f>
        <v>Seleccione Asignatura</v>
      </c>
      <c r="H37" s="1" t="str" cm="1">
        <f t="array" ref="H37">_xlfn.TEXTJOIN("; ",TRUE,TRANSPOSE(_xlfn.UNIQUE(_xlfn._xlws.FILTER(DET_ASIG[DETALLADO],(DET_ASIG[NIVEL]=ASIGNACION!$D37)*(DET_ASIG[ID_CARRERA]=ASIGNACION!$C37)*(DET_ASIG[ID_ASIG]=ASIGNACION!$G37),"No existe información"))))</f>
        <v>No existe información</v>
      </c>
      <c r="I37" s="1"/>
      <c r="J37">
        <f>_xlfn.XLOOKUP(Tabla1[[#This Row],[ID_ASIG_CAM_DET]],MAE_ASIGNATURA[ID_ASIG],MAE_ASIGNATURA[HORAS],0)</f>
        <v>0</v>
      </c>
      <c r="K37">
        <v>4</v>
      </c>
      <c r="L37" s="2">
        <f>+Tabla1[[#This Row],[CALCULAR HORA]]*Tabla1[[#This Row],[HORAS]]</f>
        <v>0</v>
      </c>
      <c r="N37" t="str">
        <f>_xlfn.XLOOKUP(Tabla1[[#This Row],[NOMBRE_DOCENT]],MDOCENTES[DATOS_DOCENTE],MDOCENTES[DEDICACION],"Seleccione Docente")</f>
        <v>Seleccione Docente</v>
      </c>
      <c r="O37" t="str">
        <f>_xlfn.XLOOKUP(Tabla1[[#This Row],[NOMBRE_DOCENT]],MDOCENTES[DATOS_DOCENTE],MDOCENTES[ESTUDIO],"Seleccione Docente")</f>
        <v>Seleccione Docente</v>
      </c>
      <c r="P37">
        <f t="shared" si="0"/>
        <v>0</v>
      </c>
      <c r="Q37">
        <f t="shared" si="1"/>
        <v>0</v>
      </c>
      <c r="R37">
        <f t="shared" si="2"/>
        <v>0</v>
      </c>
      <c r="S37">
        <f t="shared" si="3"/>
        <v>0</v>
      </c>
      <c r="T37">
        <f t="shared" si="4"/>
        <v>0</v>
      </c>
      <c r="U37">
        <f>Tabla1[[#This Row],[HORAS NO AFINIDAD]]+Tabla1[[#This Row],[HORAS UNIDAD BASICA]]+Tabla1[[#This Row],[HORAS AFINIDAD]]</f>
        <v>0</v>
      </c>
      <c r="V37">
        <f>+Tabla1[[#This Row],[HORAS AFINIDAD]]+Tabla1[[#This Row],[HORAS ACTIVIDAD]]+Tabla1[[#This Row],[HORAS UNIDAD BASICA]]+Tabla1[[#This Row],[HORAS NO AFINIDAD]]</f>
        <v>0</v>
      </c>
    </row>
    <row r="38" spans="1:22" ht="18.75" customHeight="1">
      <c r="A38">
        <v>37</v>
      </c>
      <c r="C38" t="str">
        <f>_xlfn.XLOOKUP(Tabla1[[#This Row],[CARRERA]],MAE_CARRERA[NOMBRE_CARRERA],MAE_CARRERA[ID_CARRERA],"Seleccione Carrera")</f>
        <v>Seleccione Carrera</v>
      </c>
      <c r="F38" s="1"/>
      <c r="G38" t="str">
        <f>_xlfn.XLOOKUP(Tabla1[[#This Row],[ASIGNATURA]],MAE_ASIGNATURA[NOM_ASIG],MAE_ASIGNATURA[ID_ASIG],"Seleccione Asignatura")</f>
        <v>Seleccione Asignatura</v>
      </c>
      <c r="H38" s="1" t="str" cm="1">
        <f t="array" ref="H38">_xlfn.TEXTJOIN("; ",TRUE,TRANSPOSE(_xlfn.UNIQUE(_xlfn._xlws.FILTER(DET_ASIG[DETALLADO],(DET_ASIG[NIVEL]=ASIGNACION!$D38)*(DET_ASIG[ID_CARRERA]=ASIGNACION!$C38)*(DET_ASIG[ID_ASIG]=ASIGNACION!$G38),"No existe información"))))</f>
        <v>No existe información</v>
      </c>
      <c r="I38" s="1"/>
      <c r="J38">
        <f>_xlfn.XLOOKUP(Tabla1[[#This Row],[ID_ASIG_CAM_DET]],MAE_ASIGNATURA[ID_ASIG],MAE_ASIGNATURA[HORAS],0)</f>
        <v>0</v>
      </c>
      <c r="K38">
        <v>4</v>
      </c>
      <c r="L38" s="2">
        <f>+Tabla1[[#This Row],[CALCULAR HORA]]*Tabla1[[#This Row],[HORAS]]</f>
        <v>0</v>
      </c>
      <c r="N38" t="str">
        <f>_xlfn.XLOOKUP(Tabla1[[#This Row],[NOMBRE_DOCENT]],MDOCENTES[DATOS_DOCENTE],MDOCENTES[DEDICACION],"Seleccione Docente")</f>
        <v>Seleccione Docente</v>
      </c>
      <c r="O38" t="str">
        <f>_xlfn.XLOOKUP(Tabla1[[#This Row],[NOMBRE_DOCENT]],MDOCENTES[DATOS_DOCENTE],MDOCENTES[ESTUDIO],"Seleccione Docente")</f>
        <v>Seleccione Docente</v>
      </c>
      <c r="P38">
        <f t="shared" si="0"/>
        <v>0</v>
      </c>
      <c r="Q38">
        <f t="shared" si="1"/>
        <v>0</v>
      </c>
      <c r="R38">
        <f t="shared" si="2"/>
        <v>0</v>
      </c>
      <c r="S38">
        <f t="shared" si="3"/>
        <v>0</v>
      </c>
      <c r="T38">
        <f t="shared" si="4"/>
        <v>0</v>
      </c>
      <c r="U38">
        <f>Tabla1[[#This Row],[HORAS NO AFINIDAD]]+Tabla1[[#This Row],[HORAS UNIDAD BASICA]]+Tabla1[[#This Row],[HORAS AFINIDAD]]</f>
        <v>0</v>
      </c>
      <c r="V38">
        <f>+Tabla1[[#This Row],[HORAS AFINIDAD]]+Tabla1[[#This Row],[HORAS ACTIVIDAD]]+Tabla1[[#This Row],[HORAS UNIDAD BASICA]]+Tabla1[[#This Row],[HORAS NO AFINIDAD]]</f>
        <v>0</v>
      </c>
    </row>
    <row r="39" spans="1:22" ht="18.75" customHeight="1">
      <c r="A39">
        <v>38</v>
      </c>
      <c r="C39" t="str">
        <f>_xlfn.XLOOKUP(Tabla1[[#This Row],[CARRERA]],MAE_CARRERA[NOMBRE_CARRERA],MAE_CARRERA[ID_CARRERA],"Seleccione Carrera")</f>
        <v>Seleccione Carrera</v>
      </c>
      <c r="F39" s="1"/>
      <c r="G39" t="str">
        <f>_xlfn.XLOOKUP(Tabla1[[#This Row],[ASIGNATURA]],MAE_ASIGNATURA[NOM_ASIG],MAE_ASIGNATURA[ID_ASIG],"Seleccione Asignatura")</f>
        <v>Seleccione Asignatura</v>
      </c>
      <c r="H39" s="1" t="str" cm="1">
        <f t="array" ref="H39">_xlfn.TEXTJOIN("; ",TRUE,TRANSPOSE(_xlfn.UNIQUE(_xlfn._xlws.FILTER(DET_ASIG[DETALLADO],(DET_ASIG[NIVEL]=ASIGNACION!$D39)*(DET_ASIG[ID_CARRERA]=ASIGNACION!$C39)*(DET_ASIG[ID_ASIG]=ASIGNACION!$G39),"No existe información"))))</f>
        <v>No existe información</v>
      </c>
      <c r="I39" s="1"/>
      <c r="J39">
        <f>_xlfn.XLOOKUP(Tabla1[[#This Row],[ID_ASIG_CAM_DET]],MAE_ASIGNATURA[ID_ASIG],MAE_ASIGNATURA[HORAS],0)</f>
        <v>0</v>
      </c>
      <c r="K39">
        <v>4</v>
      </c>
      <c r="L39" s="2">
        <f>+Tabla1[[#This Row],[CALCULAR HORA]]*Tabla1[[#This Row],[HORAS]]</f>
        <v>0</v>
      </c>
      <c r="N39" t="str">
        <f>_xlfn.XLOOKUP(Tabla1[[#This Row],[NOMBRE_DOCENT]],MDOCENTES[DATOS_DOCENTE],MDOCENTES[DEDICACION],"Seleccione Docente")</f>
        <v>Seleccione Docente</v>
      </c>
      <c r="O39" t="str">
        <f>_xlfn.XLOOKUP(Tabla1[[#This Row],[NOMBRE_DOCENT]],MDOCENTES[DATOS_DOCENTE],MDOCENTES[ESTUDIO],"Seleccione Docente")</f>
        <v>Seleccione Docente</v>
      </c>
      <c r="P39">
        <f t="shared" si="0"/>
        <v>0</v>
      </c>
      <c r="Q39">
        <f t="shared" si="1"/>
        <v>0</v>
      </c>
      <c r="R39">
        <f t="shared" si="2"/>
        <v>0</v>
      </c>
      <c r="S39">
        <f t="shared" si="3"/>
        <v>0</v>
      </c>
      <c r="T39">
        <f t="shared" si="4"/>
        <v>0</v>
      </c>
      <c r="U39">
        <f>Tabla1[[#This Row],[HORAS NO AFINIDAD]]+Tabla1[[#This Row],[HORAS UNIDAD BASICA]]+Tabla1[[#This Row],[HORAS AFINIDAD]]</f>
        <v>0</v>
      </c>
      <c r="V39">
        <f>+Tabla1[[#This Row],[HORAS AFINIDAD]]+Tabla1[[#This Row],[HORAS ACTIVIDAD]]+Tabla1[[#This Row],[HORAS UNIDAD BASICA]]+Tabla1[[#This Row],[HORAS NO AFINIDAD]]</f>
        <v>0</v>
      </c>
    </row>
    <row r="40" spans="1:22" ht="18.75" customHeight="1">
      <c r="A40">
        <v>39</v>
      </c>
      <c r="C40" t="str">
        <f>_xlfn.XLOOKUP(Tabla1[[#This Row],[CARRERA]],MAE_CARRERA[NOMBRE_CARRERA],MAE_CARRERA[ID_CARRERA],"Seleccione Carrera")</f>
        <v>Seleccione Carrera</v>
      </c>
      <c r="F40" s="1"/>
      <c r="G40" t="str">
        <f>_xlfn.XLOOKUP(Tabla1[[#This Row],[ASIGNATURA]],MAE_ASIGNATURA[NOM_ASIG],MAE_ASIGNATURA[ID_ASIG],"Seleccione Asignatura")</f>
        <v>Seleccione Asignatura</v>
      </c>
      <c r="H40" s="1" t="str" cm="1">
        <f t="array" ref="H40">_xlfn.TEXTJOIN("; ",TRUE,TRANSPOSE(_xlfn.UNIQUE(_xlfn._xlws.FILTER(DET_ASIG[DETALLADO],(DET_ASIG[NIVEL]=ASIGNACION!$D40)*(DET_ASIG[ID_CARRERA]=ASIGNACION!$C40)*(DET_ASIG[ID_ASIG]=ASIGNACION!$G40),"No existe información"))))</f>
        <v>No existe información</v>
      </c>
      <c r="I40" s="1"/>
      <c r="J40">
        <f>_xlfn.XLOOKUP(Tabla1[[#This Row],[ID_ASIG_CAM_DET]],MAE_ASIGNATURA[ID_ASIG],MAE_ASIGNATURA[HORAS],0)</f>
        <v>0</v>
      </c>
      <c r="K40">
        <v>4</v>
      </c>
      <c r="L40" s="2">
        <f>+Tabla1[[#This Row],[CALCULAR HORA]]*Tabla1[[#This Row],[HORAS]]</f>
        <v>0</v>
      </c>
      <c r="N40" t="str">
        <f>_xlfn.XLOOKUP(Tabla1[[#This Row],[NOMBRE_DOCENT]],MDOCENTES[DATOS_DOCENTE],MDOCENTES[DEDICACION],"Seleccione Docente")</f>
        <v>Seleccione Docente</v>
      </c>
      <c r="O40" t="str">
        <f>_xlfn.XLOOKUP(Tabla1[[#This Row],[NOMBRE_DOCENT]],MDOCENTES[DATOS_DOCENTE],MDOCENTES[ESTUDIO],"Seleccione Docente")</f>
        <v>Seleccione Docente</v>
      </c>
      <c r="P40">
        <f t="shared" si="0"/>
        <v>0</v>
      </c>
      <c r="Q40">
        <f t="shared" si="1"/>
        <v>0</v>
      </c>
      <c r="R40">
        <f t="shared" si="2"/>
        <v>0</v>
      </c>
      <c r="S40">
        <f t="shared" si="3"/>
        <v>0</v>
      </c>
      <c r="T40">
        <f t="shared" si="4"/>
        <v>0</v>
      </c>
      <c r="U40">
        <f>Tabla1[[#This Row],[HORAS NO AFINIDAD]]+Tabla1[[#This Row],[HORAS UNIDAD BASICA]]+Tabla1[[#This Row],[HORAS AFINIDAD]]</f>
        <v>0</v>
      </c>
      <c r="V40">
        <f>+Tabla1[[#This Row],[HORAS AFINIDAD]]+Tabla1[[#This Row],[HORAS ACTIVIDAD]]+Tabla1[[#This Row],[HORAS UNIDAD BASICA]]+Tabla1[[#This Row],[HORAS NO AFINIDAD]]</f>
        <v>0</v>
      </c>
    </row>
    <row r="41" spans="1:22" ht="18.75" customHeight="1">
      <c r="A41">
        <v>40</v>
      </c>
      <c r="C41" t="str">
        <f>_xlfn.XLOOKUP(Tabla1[[#This Row],[CARRERA]],MAE_CARRERA[NOMBRE_CARRERA],MAE_CARRERA[ID_CARRERA],"Seleccione Carrera")</f>
        <v>Seleccione Carrera</v>
      </c>
      <c r="F41" s="1"/>
      <c r="G41" t="str">
        <f>_xlfn.XLOOKUP(Tabla1[[#This Row],[ASIGNATURA]],MAE_ASIGNATURA[NOM_ASIG],MAE_ASIGNATURA[ID_ASIG],"Seleccione Asignatura")</f>
        <v>Seleccione Asignatura</v>
      </c>
      <c r="H41" s="1" t="str" cm="1">
        <f t="array" ref="H41">_xlfn.TEXTJOIN("; ",TRUE,TRANSPOSE(_xlfn.UNIQUE(_xlfn._xlws.FILTER(DET_ASIG[DETALLADO],(DET_ASIG[NIVEL]=ASIGNACION!$D41)*(DET_ASIG[ID_CARRERA]=ASIGNACION!$C41)*(DET_ASIG[ID_ASIG]=ASIGNACION!$G41),"No existe información"))))</f>
        <v>No existe información</v>
      </c>
      <c r="I41" s="1"/>
      <c r="J41">
        <f>_xlfn.XLOOKUP(Tabla1[[#This Row],[ID_ASIG_CAM_DET]],MAE_ASIGNATURA[ID_ASIG],MAE_ASIGNATURA[HORAS],0)</f>
        <v>0</v>
      </c>
      <c r="K41">
        <v>4</v>
      </c>
      <c r="L41" s="2">
        <f>+Tabla1[[#This Row],[CALCULAR HORA]]*Tabla1[[#This Row],[HORAS]]</f>
        <v>0</v>
      </c>
      <c r="N41" t="str">
        <f>_xlfn.XLOOKUP(Tabla1[[#This Row],[NOMBRE_DOCENT]],MDOCENTES[DATOS_DOCENTE],MDOCENTES[DEDICACION],"Seleccione Docente")</f>
        <v>Seleccione Docente</v>
      </c>
      <c r="O41" t="str">
        <f>_xlfn.XLOOKUP(Tabla1[[#This Row],[NOMBRE_DOCENT]],MDOCENTES[DATOS_DOCENTE],MDOCENTES[ESTUDIO],"Seleccione Docente")</f>
        <v>Seleccione Docente</v>
      </c>
      <c r="P41">
        <f t="shared" si="0"/>
        <v>0</v>
      </c>
      <c r="Q41">
        <f t="shared" si="1"/>
        <v>0</v>
      </c>
      <c r="R41">
        <f t="shared" si="2"/>
        <v>0</v>
      </c>
      <c r="S41">
        <f t="shared" si="3"/>
        <v>0</v>
      </c>
      <c r="T41">
        <f t="shared" si="4"/>
        <v>0</v>
      </c>
      <c r="U41">
        <f>Tabla1[[#This Row],[HORAS NO AFINIDAD]]+Tabla1[[#This Row],[HORAS UNIDAD BASICA]]+Tabla1[[#This Row],[HORAS AFINIDAD]]</f>
        <v>0</v>
      </c>
      <c r="V41">
        <f>+Tabla1[[#This Row],[HORAS AFINIDAD]]+Tabla1[[#This Row],[HORAS ACTIVIDAD]]+Tabla1[[#This Row],[HORAS UNIDAD BASICA]]+Tabla1[[#This Row],[HORAS NO AFINIDAD]]</f>
        <v>0</v>
      </c>
    </row>
    <row r="42" spans="1:22" ht="18.75" customHeight="1">
      <c r="A42">
        <v>41</v>
      </c>
      <c r="C42" t="str">
        <f>_xlfn.XLOOKUP(Tabla1[[#This Row],[CARRERA]],MAE_CARRERA[NOMBRE_CARRERA],MAE_CARRERA[ID_CARRERA],"Seleccione Carrera")</f>
        <v>Seleccione Carrera</v>
      </c>
      <c r="F42" s="1"/>
      <c r="G42" t="str">
        <f>_xlfn.XLOOKUP(Tabla1[[#This Row],[ASIGNATURA]],MAE_ASIGNATURA[NOM_ASIG],MAE_ASIGNATURA[ID_ASIG],"Seleccione Asignatura")</f>
        <v>Seleccione Asignatura</v>
      </c>
      <c r="H42" s="1" t="str" cm="1">
        <f t="array" ref="H42">_xlfn.TEXTJOIN("; ",TRUE,TRANSPOSE(_xlfn.UNIQUE(_xlfn._xlws.FILTER(DET_ASIG[DETALLADO],(DET_ASIG[NIVEL]=ASIGNACION!$D42)*(DET_ASIG[ID_CARRERA]=ASIGNACION!$C42)*(DET_ASIG[ID_ASIG]=ASIGNACION!$G42),"No existe información"))))</f>
        <v>No existe información</v>
      </c>
      <c r="I42" s="1"/>
      <c r="J42">
        <f>_xlfn.XLOOKUP(Tabla1[[#This Row],[ID_ASIG_CAM_DET]],MAE_ASIGNATURA[ID_ASIG],MAE_ASIGNATURA[HORAS],0)</f>
        <v>0</v>
      </c>
      <c r="K42">
        <v>4</v>
      </c>
      <c r="L42" s="2">
        <f>+Tabla1[[#This Row],[CALCULAR HORA]]*Tabla1[[#This Row],[HORAS]]</f>
        <v>0</v>
      </c>
      <c r="N42" t="str">
        <f>_xlfn.XLOOKUP(Tabla1[[#This Row],[NOMBRE_DOCENT]],MDOCENTES[DATOS_DOCENTE],MDOCENTES[DEDICACION],"Seleccione Docente")</f>
        <v>Seleccione Docente</v>
      </c>
      <c r="O42" t="str">
        <f>_xlfn.XLOOKUP(Tabla1[[#This Row],[NOMBRE_DOCENT]],MDOCENTES[DATOS_DOCENTE],MDOCENTES[ESTUDIO],"Seleccione Docente")</f>
        <v>Seleccione Docente</v>
      </c>
      <c r="P42">
        <f t="shared" si="0"/>
        <v>0</v>
      </c>
      <c r="Q42">
        <f t="shared" si="1"/>
        <v>0</v>
      </c>
      <c r="R42">
        <f t="shared" si="2"/>
        <v>0</v>
      </c>
      <c r="S42">
        <f t="shared" si="3"/>
        <v>0</v>
      </c>
      <c r="T42">
        <f t="shared" si="4"/>
        <v>0</v>
      </c>
      <c r="U42">
        <f>Tabla1[[#This Row],[HORAS NO AFINIDAD]]+Tabla1[[#This Row],[HORAS UNIDAD BASICA]]+Tabla1[[#This Row],[HORAS AFINIDAD]]</f>
        <v>0</v>
      </c>
      <c r="V42">
        <f>+Tabla1[[#This Row],[HORAS AFINIDAD]]+Tabla1[[#This Row],[HORAS ACTIVIDAD]]+Tabla1[[#This Row],[HORAS UNIDAD BASICA]]+Tabla1[[#This Row],[HORAS NO AFINIDAD]]</f>
        <v>0</v>
      </c>
    </row>
    <row r="43" spans="1:22" ht="18.75" customHeight="1">
      <c r="A43">
        <v>42</v>
      </c>
      <c r="C43" t="str">
        <f>_xlfn.XLOOKUP(Tabla1[[#This Row],[CARRERA]],MAE_CARRERA[NOMBRE_CARRERA],MAE_CARRERA[ID_CARRERA],"Seleccione Carrera")</f>
        <v>Seleccione Carrera</v>
      </c>
      <c r="F43" s="1"/>
      <c r="G43" t="str">
        <f>_xlfn.XLOOKUP(Tabla1[[#This Row],[ASIGNATURA]],MAE_ASIGNATURA[NOM_ASIG],MAE_ASIGNATURA[ID_ASIG],"Seleccione Asignatura")</f>
        <v>Seleccione Asignatura</v>
      </c>
      <c r="H43" s="1" t="str" cm="1">
        <f t="array" ref="H43">_xlfn.TEXTJOIN("; ",TRUE,TRANSPOSE(_xlfn.UNIQUE(_xlfn._xlws.FILTER(DET_ASIG[DETALLADO],(DET_ASIG[NIVEL]=ASIGNACION!$D43)*(DET_ASIG[ID_CARRERA]=ASIGNACION!$C43)*(DET_ASIG[ID_ASIG]=ASIGNACION!$G43),"No existe información"))))</f>
        <v>No existe información</v>
      </c>
      <c r="I43" s="1"/>
      <c r="J43">
        <f>_xlfn.XLOOKUP(Tabla1[[#This Row],[ID_ASIG_CAM_DET]],MAE_ASIGNATURA[ID_ASIG],MAE_ASIGNATURA[HORAS],0)</f>
        <v>0</v>
      </c>
      <c r="K43">
        <v>4</v>
      </c>
      <c r="L43" s="2">
        <f>+Tabla1[[#This Row],[CALCULAR HORA]]*Tabla1[[#This Row],[HORAS]]</f>
        <v>0</v>
      </c>
      <c r="N43" t="str">
        <f>_xlfn.XLOOKUP(Tabla1[[#This Row],[NOMBRE_DOCENT]],MDOCENTES[DATOS_DOCENTE],MDOCENTES[DEDICACION],"Seleccione Docente")</f>
        <v>Seleccione Docente</v>
      </c>
      <c r="O43" t="str">
        <f>_xlfn.XLOOKUP(Tabla1[[#This Row],[NOMBRE_DOCENT]],MDOCENTES[DATOS_DOCENTE],MDOCENTES[ESTUDIO],"Seleccione Docente")</f>
        <v>Seleccione Docente</v>
      </c>
      <c r="P43">
        <f t="shared" si="0"/>
        <v>0</v>
      </c>
      <c r="Q43">
        <f t="shared" si="1"/>
        <v>0</v>
      </c>
      <c r="R43">
        <f t="shared" si="2"/>
        <v>0</v>
      </c>
      <c r="S43">
        <f t="shared" si="3"/>
        <v>0</v>
      </c>
      <c r="T43">
        <f t="shared" si="4"/>
        <v>0</v>
      </c>
      <c r="U43">
        <f>Tabla1[[#This Row],[HORAS NO AFINIDAD]]+Tabla1[[#This Row],[HORAS UNIDAD BASICA]]+Tabla1[[#This Row],[HORAS AFINIDAD]]</f>
        <v>0</v>
      </c>
      <c r="V43">
        <f>+Tabla1[[#This Row],[HORAS AFINIDAD]]+Tabla1[[#This Row],[HORAS ACTIVIDAD]]+Tabla1[[#This Row],[HORAS UNIDAD BASICA]]+Tabla1[[#This Row],[HORAS NO AFINIDAD]]</f>
        <v>0</v>
      </c>
    </row>
    <row r="44" spans="1:22" ht="18.75" customHeight="1">
      <c r="A44">
        <v>43</v>
      </c>
      <c r="C44" t="str">
        <f>_xlfn.XLOOKUP(Tabla1[[#This Row],[CARRERA]],MAE_CARRERA[NOMBRE_CARRERA],MAE_CARRERA[ID_CARRERA],"Seleccione Carrera")</f>
        <v>Seleccione Carrera</v>
      </c>
      <c r="F44" s="1"/>
      <c r="G44" t="str">
        <f>_xlfn.XLOOKUP(Tabla1[[#This Row],[ASIGNATURA]],MAE_ASIGNATURA[NOM_ASIG],MAE_ASIGNATURA[ID_ASIG],"Seleccione Asignatura")</f>
        <v>Seleccione Asignatura</v>
      </c>
      <c r="H44" s="1" t="str" cm="1">
        <f t="array" ref="H44">_xlfn.TEXTJOIN("; ",TRUE,TRANSPOSE(_xlfn.UNIQUE(_xlfn._xlws.FILTER(DET_ASIG[DETALLADO],(DET_ASIG[NIVEL]=ASIGNACION!$D44)*(DET_ASIG[ID_CARRERA]=ASIGNACION!$C44)*(DET_ASIG[ID_ASIG]=ASIGNACION!$G44),"No existe información"))))</f>
        <v>No existe información</v>
      </c>
      <c r="I44" s="1"/>
      <c r="J44">
        <f>_xlfn.XLOOKUP(Tabla1[[#This Row],[ID_ASIG_CAM_DET]],MAE_ASIGNATURA[ID_ASIG],MAE_ASIGNATURA[HORAS],0)</f>
        <v>0</v>
      </c>
      <c r="K44">
        <v>4</v>
      </c>
      <c r="L44" s="2">
        <f>+Tabla1[[#This Row],[CALCULAR HORA]]*Tabla1[[#This Row],[HORAS]]</f>
        <v>0</v>
      </c>
      <c r="N44" t="str">
        <f>_xlfn.XLOOKUP(Tabla1[[#This Row],[NOMBRE_DOCENT]],MDOCENTES[DATOS_DOCENTE],MDOCENTES[DEDICACION],"Seleccione Docente")</f>
        <v>Seleccione Docente</v>
      </c>
      <c r="O44" t="str">
        <f>_xlfn.XLOOKUP(Tabla1[[#This Row],[NOMBRE_DOCENT]],MDOCENTES[DATOS_DOCENTE],MDOCENTES[ESTUDIO],"Seleccione Docente")</f>
        <v>Seleccione Docente</v>
      </c>
      <c r="P44">
        <f t="shared" si="0"/>
        <v>0</v>
      </c>
      <c r="Q44">
        <f t="shared" si="1"/>
        <v>0</v>
      </c>
      <c r="R44">
        <f t="shared" si="2"/>
        <v>0</v>
      </c>
      <c r="S44">
        <f t="shared" si="3"/>
        <v>0</v>
      </c>
      <c r="T44">
        <f t="shared" si="4"/>
        <v>0</v>
      </c>
      <c r="U44">
        <f>Tabla1[[#This Row],[HORAS NO AFINIDAD]]+Tabla1[[#This Row],[HORAS UNIDAD BASICA]]+Tabla1[[#This Row],[HORAS AFINIDAD]]</f>
        <v>0</v>
      </c>
      <c r="V44">
        <f>+Tabla1[[#This Row],[HORAS AFINIDAD]]+Tabla1[[#This Row],[HORAS ACTIVIDAD]]+Tabla1[[#This Row],[HORAS UNIDAD BASICA]]+Tabla1[[#This Row],[HORAS NO AFINIDAD]]</f>
        <v>0</v>
      </c>
    </row>
    <row r="45" spans="1:22" ht="18.75" customHeight="1">
      <c r="A45">
        <v>44</v>
      </c>
      <c r="C45" t="str">
        <f>_xlfn.XLOOKUP(Tabla1[[#This Row],[CARRERA]],MAE_CARRERA[NOMBRE_CARRERA],MAE_CARRERA[ID_CARRERA],"Seleccione Carrera")</f>
        <v>Seleccione Carrera</v>
      </c>
      <c r="F45" s="1"/>
      <c r="G45" t="str">
        <f>_xlfn.XLOOKUP(Tabla1[[#This Row],[ASIGNATURA]],MAE_ASIGNATURA[NOM_ASIG],MAE_ASIGNATURA[ID_ASIG],"Seleccione Asignatura")</f>
        <v>Seleccione Asignatura</v>
      </c>
      <c r="H45" s="1" t="str" cm="1">
        <f t="array" ref="H45">_xlfn.TEXTJOIN("; ",TRUE,TRANSPOSE(_xlfn.UNIQUE(_xlfn._xlws.FILTER(DET_ASIG[DETALLADO],(DET_ASIG[NIVEL]=ASIGNACION!$D45)*(DET_ASIG[ID_CARRERA]=ASIGNACION!$C45)*(DET_ASIG[ID_ASIG]=ASIGNACION!$G45),"No existe información"))))</f>
        <v>No existe información</v>
      </c>
      <c r="I45" s="1"/>
      <c r="J45">
        <f>_xlfn.XLOOKUP(Tabla1[[#This Row],[ID_ASIG_CAM_DET]],MAE_ASIGNATURA[ID_ASIG],MAE_ASIGNATURA[HORAS],0)</f>
        <v>0</v>
      </c>
      <c r="K45">
        <v>4</v>
      </c>
      <c r="L45" s="2">
        <f>+Tabla1[[#This Row],[CALCULAR HORA]]*Tabla1[[#This Row],[HORAS]]</f>
        <v>0</v>
      </c>
      <c r="N45" t="str">
        <f>_xlfn.XLOOKUP(Tabla1[[#This Row],[NOMBRE_DOCENT]],MDOCENTES[DATOS_DOCENTE],MDOCENTES[DEDICACION],"Seleccione Docente")</f>
        <v>Seleccione Docente</v>
      </c>
      <c r="O45" t="str">
        <f>_xlfn.XLOOKUP(Tabla1[[#This Row],[NOMBRE_DOCENT]],MDOCENTES[DATOS_DOCENTE],MDOCENTES[ESTUDIO],"Seleccione Docente")</f>
        <v>Seleccione Docente</v>
      </c>
      <c r="P45">
        <f t="shared" si="0"/>
        <v>0</v>
      </c>
      <c r="Q45">
        <f t="shared" si="1"/>
        <v>0</v>
      </c>
      <c r="R45">
        <f t="shared" si="2"/>
        <v>0</v>
      </c>
      <c r="S45">
        <f t="shared" si="3"/>
        <v>0</v>
      </c>
      <c r="T45">
        <f t="shared" si="4"/>
        <v>0</v>
      </c>
      <c r="U45">
        <f>Tabla1[[#This Row],[HORAS NO AFINIDAD]]+Tabla1[[#This Row],[HORAS UNIDAD BASICA]]+Tabla1[[#This Row],[HORAS AFINIDAD]]</f>
        <v>0</v>
      </c>
      <c r="V45">
        <f>+Tabla1[[#This Row],[HORAS AFINIDAD]]+Tabla1[[#This Row],[HORAS ACTIVIDAD]]+Tabla1[[#This Row],[HORAS UNIDAD BASICA]]+Tabla1[[#This Row],[HORAS NO AFINIDAD]]</f>
        <v>0</v>
      </c>
    </row>
    <row r="46" spans="1:22" ht="18.75" customHeight="1">
      <c r="A46">
        <v>45</v>
      </c>
      <c r="C46" t="str">
        <f>_xlfn.XLOOKUP(Tabla1[[#This Row],[CARRERA]],MAE_CARRERA[NOMBRE_CARRERA],MAE_CARRERA[ID_CARRERA],"Seleccione Carrera")</f>
        <v>Seleccione Carrera</v>
      </c>
      <c r="F46" s="1"/>
      <c r="G46" t="str">
        <f>_xlfn.XLOOKUP(Tabla1[[#This Row],[ASIGNATURA]],MAE_ASIGNATURA[NOM_ASIG],MAE_ASIGNATURA[ID_ASIG],"Seleccione Asignatura")</f>
        <v>Seleccione Asignatura</v>
      </c>
      <c r="H46" s="1" t="str" cm="1">
        <f t="array" ref="H46">_xlfn.TEXTJOIN("; ",TRUE,TRANSPOSE(_xlfn.UNIQUE(_xlfn._xlws.FILTER(DET_ASIG[DETALLADO],(DET_ASIG[NIVEL]=ASIGNACION!$D46)*(DET_ASIG[ID_CARRERA]=ASIGNACION!$C46)*(DET_ASIG[ID_ASIG]=ASIGNACION!$G46),"No existe información"))))</f>
        <v>No existe información</v>
      </c>
      <c r="I46" s="1"/>
      <c r="J46">
        <f>_xlfn.XLOOKUP(Tabla1[[#This Row],[ID_ASIG_CAM_DET]],MAE_ASIGNATURA[ID_ASIG],MAE_ASIGNATURA[HORAS],0)</f>
        <v>0</v>
      </c>
      <c r="K46">
        <v>4</v>
      </c>
      <c r="L46" s="2">
        <f>+Tabla1[[#This Row],[CALCULAR HORA]]*Tabla1[[#This Row],[HORAS]]</f>
        <v>0</v>
      </c>
      <c r="N46" t="str">
        <f>_xlfn.XLOOKUP(Tabla1[[#This Row],[NOMBRE_DOCENT]],MDOCENTES[DATOS_DOCENTE],MDOCENTES[DEDICACION],"Seleccione Docente")</f>
        <v>Seleccione Docente</v>
      </c>
      <c r="O46" t="str">
        <f>_xlfn.XLOOKUP(Tabla1[[#This Row],[NOMBRE_DOCENT]],MDOCENTES[DATOS_DOCENTE],MDOCENTES[ESTUDIO],"Seleccione Docente")</f>
        <v>Seleccione Docente</v>
      </c>
      <c r="P46">
        <f t="shared" si="0"/>
        <v>0</v>
      </c>
      <c r="Q46">
        <f t="shared" si="1"/>
        <v>0</v>
      </c>
      <c r="R46">
        <f t="shared" si="2"/>
        <v>0</v>
      </c>
      <c r="S46">
        <f t="shared" si="3"/>
        <v>0</v>
      </c>
      <c r="T46">
        <f t="shared" si="4"/>
        <v>0</v>
      </c>
      <c r="U46">
        <f>Tabla1[[#This Row],[HORAS NO AFINIDAD]]+Tabla1[[#This Row],[HORAS UNIDAD BASICA]]+Tabla1[[#This Row],[HORAS AFINIDAD]]</f>
        <v>0</v>
      </c>
      <c r="V46">
        <f>+Tabla1[[#This Row],[HORAS AFINIDAD]]+Tabla1[[#This Row],[HORAS ACTIVIDAD]]+Tabla1[[#This Row],[HORAS UNIDAD BASICA]]+Tabla1[[#This Row],[HORAS NO AFINIDAD]]</f>
        <v>0</v>
      </c>
    </row>
    <row r="47" spans="1:22" ht="18.75" customHeight="1">
      <c r="A47">
        <v>46</v>
      </c>
      <c r="C47" t="str">
        <f>_xlfn.XLOOKUP(Tabla1[[#This Row],[CARRERA]],MAE_CARRERA[NOMBRE_CARRERA],MAE_CARRERA[ID_CARRERA],"Seleccione Carrera")</f>
        <v>Seleccione Carrera</v>
      </c>
      <c r="F47" s="1"/>
      <c r="G47" t="str">
        <f>_xlfn.XLOOKUP(Tabla1[[#This Row],[ASIGNATURA]],MAE_ASIGNATURA[NOM_ASIG],MAE_ASIGNATURA[ID_ASIG],"Seleccione Asignatura")</f>
        <v>Seleccione Asignatura</v>
      </c>
      <c r="H47" s="1" t="str" cm="1">
        <f t="array" ref="H47">_xlfn.TEXTJOIN("; ",TRUE,TRANSPOSE(_xlfn.UNIQUE(_xlfn._xlws.FILTER(DET_ASIG[DETALLADO],(DET_ASIG[NIVEL]=ASIGNACION!$D47)*(DET_ASIG[ID_CARRERA]=ASIGNACION!$C47)*(DET_ASIG[ID_ASIG]=ASIGNACION!$G47),"No existe información"))))</f>
        <v>No existe información</v>
      </c>
      <c r="I47" s="1"/>
      <c r="J47">
        <f>_xlfn.XLOOKUP(Tabla1[[#This Row],[ID_ASIG_CAM_DET]],MAE_ASIGNATURA[ID_ASIG],MAE_ASIGNATURA[HORAS],0)</f>
        <v>0</v>
      </c>
      <c r="K47">
        <v>4</v>
      </c>
      <c r="L47" s="2">
        <f>+Tabla1[[#This Row],[CALCULAR HORA]]*Tabla1[[#This Row],[HORAS]]</f>
        <v>0</v>
      </c>
      <c r="N47" t="str">
        <f>_xlfn.XLOOKUP(Tabla1[[#This Row],[NOMBRE_DOCENT]],MDOCENTES[DATOS_DOCENTE],MDOCENTES[DEDICACION],"Seleccione Docente")</f>
        <v>Seleccione Docente</v>
      </c>
      <c r="O47" t="str">
        <f>_xlfn.XLOOKUP(Tabla1[[#This Row],[NOMBRE_DOCENT]],MDOCENTES[DATOS_DOCENTE],MDOCENTES[ESTUDIO],"Seleccione Docente")</f>
        <v>Seleccione Docente</v>
      </c>
      <c r="P47">
        <f t="shared" si="0"/>
        <v>0</v>
      </c>
      <c r="Q47">
        <f t="shared" si="1"/>
        <v>0</v>
      </c>
      <c r="R47">
        <f t="shared" si="2"/>
        <v>0</v>
      </c>
      <c r="S47">
        <f t="shared" si="3"/>
        <v>0</v>
      </c>
      <c r="T47">
        <f t="shared" si="4"/>
        <v>0</v>
      </c>
      <c r="U47">
        <f>Tabla1[[#This Row],[HORAS NO AFINIDAD]]+Tabla1[[#This Row],[HORAS UNIDAD BASICA]]+Tabla1[[#This Row],[HORAS AFINIDAD]]</f>
        <v>0</v>
      </c>
      <c r="V47">
        <f>+Tabla1[[#This Row],[HORAS AFINIDAD]]+Tabla1[[#This Row],[HORAS ACTIVIDAD]]+Tabla1[[#This Row],[HORAS UNIDAD BASICA]]+Tabla1[[#This Row],[HORAS NO AFINIDAD]]</f>
        <v>0</v>
      </c>
    </row>
    <row r="48" spans="1:22" ht="18.75" customHeight="1">
      <c r="A48">
        <v>47</v>
      </c>
      <c r="C48" t="str">
        <f>_xlfn.XLOOKUP(Tabla1[[#This Row],[CARRERA]],MAE_CARRERA[NOMBRE_CARRERA],MAE_CARRERA[ID_CARRERA],"Seleccione Carrera")</f>
        <v>Seleccione Carrera</v>
      </c>
      <c r="F48" s="1"/>
      <c r="G48" t="str">
        <f>_xlfn.XLOOKUP(Tabla1[[#This Row],[ASIGNATURA]],MAE_ASIGNATURA[NOM_ASIG],MAE_ASIGNATURA[ID_ASIG],"Seleccione Asignatura")</f>
        <v>Seleccione Asignatura</v>
      </c>
      <c r="H48" s="1" t="str" cm="1">
        <f t="array" ref="H48">_xlfn.TEXTJOIN("; ",TRUE,TRANSPOSE(_xlfn.UNIQUE(_xlfn._xlws.FILTER(DET_ASIG[DETALLADO],(DET_ASIG[NIVEL]=ASIGNACION!$D48)*(DET_ASIG[ID_CARRERA]=ASIGNACION!$C48)*(DET_ASIG[ID_ASIG]=ASIGNACION!$G48),"No existe información"))))</f>
        <v>No existe información</v>
      </c>
      <c r="I48" s="1"/>
      <c r="J48">
        <f>_xlfn.XLOOKUP(Tabla1[[#This Row],[ID_ASIG_CAM_DET]],MAE_ASIGNATURA[ID_ASIG],MAE_ASIGNATURA[HORAS],0)</f>
        <v>0</v>
      </c>
      <c r="K48">
        <v>4</v>
      </c>
      <c r="L48" s="2">
        <f>+Tabla1[[#This Row],[CALCULAR HORA]]*Tabla1[[#This Row],[HORAS]]</f>
        <v>0</v>
      </c>
      <c r="N48" t="str">
        <f>_xlfn.XLOOKUP(Tabla1[[#This Row],[NOMBRE_DOCENT]],MDOCENTES[DATOS_DOCENTE],MDOCENTES[DEDICACION],"Seleccione Docente")</f>
        <v>Seleccione Docente</v>
      </c>
      <c r="O48" t="str">
        <f>_xlfn.XLOOKUP(Tabla1[[#This Row],[NOMBRE_DOCENT]],MDOCENTES[DATOS_DOCENTE],MDOCENTES[ESTUDIO],"Seleccione Docente")</f>
        <v>Seleccione Docente</v>
      </c>
      <c r="P48">
        <f t="shared" si="0"/>
        <v>0</v>
      </c>
      <c r="Q48">
        <f t="shared" si="1"/>
        <v>0</v>
      </c>
      <c r="R48">
        <f t="shared" si="2"/>
        <v>0</v>
      </c>
      <c r="S48">
        <f t="shared" si="3"/>
        <v>0</v>
      </c>
      <c r="T48">
        <f t="shared" si="4"/>
        <v>0</v>
      </c>
      <c r="U48">
        <f>Tabla1[[#This Row],[HORAS NO AFINIDAD]]+Tabla1[[#This Row],[HORAS UNIDAD BASICA]]+Tabla1[[#This Row],[HORAS AFINIDAD]]</f>
        <v>0</v>
      </c>
      <c r="V48">
        <f>+Tabla1[[#This Row],[HORAS AFINIDAD]]+Tabla1[[#This Row],[HORAS ACTIVIDAD]]+Tabla1[[#This Row],[HORAS UNIDAD BASICA]]+Tabla1[[#This Row],[HORAS NO AFINIDAD]]</f>
        <v>0</v>
      </c>
    </row>
    <row r="49" spans="1:22" ht="18.75" customHeight="1">
      <c r="A49">
        <v>48</v>
      </c>
      <c r="C49" t="str">
        <f>_xlfn.XLOOKUP(Tabla1[[#This Row],[CARRERA]],MAE_CARRERA[NOMBRE_CARRERA],MAE_CARRERA[ID_CARRERA],"Seleccione Carrera")</f>
        <v>Seleccione Carrera</v>
      </c>
      <c r="F49" s="1"/>
      <c r="G49" t="str">
        <f>_xlfn.XLOOKUP(Tabla1[[#This Row],[ASIGNATURA]],MAE_ASIGNATURA[NOM_ASIG],MAE_ASIGNATURA[ID_ASIG],"Seleccione Asignatura")</f>
        <v>Seleccione Asignatura</v>
      </c>
      <c r="H49" s="1" t="str" cm="1">
        <f t="array" ref="H49">_xlfn.TEXTJOIN("; ",TRUE,TRANSPOSE(_xlfn.UNIQUE(_xlfn._xlws.FILTER(DET_ASIG[DETALLADO],(DET_ASIG[NIVEL]=ASIGNACION!$D49)*(DET_ASIG[ID_CARRERA]=ASIGNACION!$C49)*(DET_ASIG[ID_ASIG]=ASIGNACION!$G49),"No existe información"))))</f>
        <v>No existe información</v>
      </c>
      <c r="I49" s="1"/>
      <c r="J49">
        <f>_xlfn.XLOOKUP(Tabla1[[#This Row],[ID_ASIG_CAM_DET]],MAE_ASIGNATURA[ID_ASIG],MAE_ASIGNATURA[HORAS],0)</f>
        <v>0</v>
      </c>
      <c r="K49">
        <v>4</v>
      </c>
      <c r="L49" s="2">
        <f>+Tabla1[[#This Row],[CALCULAR HORA]]*Tabla1[[#This Row],[HORAS]]</f>
        <v>0</v>
      </c>
      <c r="N49" t="str">
        <f>_xlfn.XLOOKUP(Tabla1[[#This Row],[NOMBRE_DOCENT]],MDOCENTES[DATOS_DOCENTE],MDOCENTES[DEDICACION],"Seleccione Docente")</f>
        <v>Seleccione Docente</v>
      </c>
      <c r="O49" t="str">
        <f>_xlfn.XLOOKUP(Tabla1[[#This Row],[NOMBRE_DOCENT]],MDOCENTES[DATOS_DOCENTE],MDOCENTES[ESTUDIO],"Seleccione Docente")</f>
        <v>Seleccione Docente</v>
      </c>
      <c r="P49">
        <f t="shared" si="0"/>
        <v>0</v>
      </c>
      <c r="Q49">
        <f t="shared" si="1"/>
        <v>0</v>
      </c>
      <c r="R49">
        <f t="shared" si="2"/>
        <v>0</v>
      </c>
      <c r="S49">
        <f t="shared" si="3"/>
        <v>0</v>
      </c>
      <c r="T49">
        <f t="shared" si="4"/>
        <v>0</v>
      </c>
      <c r="U49">
        <f>Tabla1[[#This Row],[HORAS NO AFINIDAD]]+Tabla1[[#This Row],[HORAS UNIDAD BASICA]]+Tabla1[[#This Row],[HORAS AFINIDAD]]</f>
        <v>0</v>
      </c>
      <c r="V49">
        <f>+Tabla1[[#This Row],[HORAS AFINIDAD]]+Tabla1[[#This Row],[HORAS ACTIVIDAD]]+Tabla1[[#This Row],[HORAS UNIDAD BASICA]]+Tabla1[[#This Row],[HORAS NO AFINIDAD]]</f>
        <v>0</v>
      </c>
    </row>
    <row r="50" spans="1:22" ht="18.75" customHeight="1">
      <c r="A50">
        <v>49</v>
      </c>
      <c r="C50" t="str">
        <f>_xlfn.XLOOKUP(Tabla1[[#This Row],[CARRERA]],MAE_CARRERA[NOMBRE_CARRERA],MAE_CARRERA[ID_CARRERA],"Seleccione Carrera")</f>
        <v>Seleccione Carrera</v>
      </c>
      <c r="F50" s="1"/>
      <c r="G50" t="str">
        <f>_xlfn.XLOOKUP(Tabla1[[#This Row],[ASIGNATURA]],MAE_ASIGNATURA[NOM_ASIG],MAE_ASIGNATURA[ID_ASIG],"Seleccione Asignatura")</f>
        <v>Seleccione Asignatura</v>
      </c>
      <c r="H50" s="1" t="str" cm="1">
        <f t="array" ref="H50">_xlfn.TEXTJOIN("; ",TRUE,TRANSPOSE(_xlfn.UNIQUE(_xlfn._xlws.FILTER(DET_ASIG[DETALLADO],(DET_ASIG[NIVEL]=ASIGNACION!$D50)*(DET_ASIG[ID_CARRERA]=ASIGNACION!$C50)*(DET_ASIG[ID_ASIG]=ASIGNACION!$G50),"No existe información"))))</f>
        <v>No existe información</v>
      </c>
      <c r="I50" s="1"/>
      <c r="J50">
        <f>_xlfn.XLOOKUP(Tabla1[[#This Row],[ID_ASIG_CAM_DET]],MAE_ASIGNATURA[ID_ASIG],MAE_ASIGNATURA[HORAS],0)</f>
        <v>0</v>
      </c>
      <c r="K50">
        <v>4</v>
      </c>
      <c r="L50" s="2">
        <f>+Tabla1[[#This Row],[CALCULAR HORA]]*Tabla1[[#This Row],[HORAS]]</f>
        <v>0</v>
      </c>
      <c r="N50" t="str">
        <f>_xlfn.XLOOKUP(Tabla1[[#This Row],[NOMBRE_DOCENT]],MDOCENTES[DATOS_DOCENTE],MDOCENTES[DEDICACION],"Seleccione Docente")</f>
        <v>Seleccione Docente</v>
      </c>
      <c r="O50" t="str">
        <f>_xlfn.XLOOKUP(Tabla1[[#This Row],[NOMBRE_DOCENT]],MDOCENTES[DATOS_DOCENTE],MDOCENTES[ESTUDIO],"Seleccione Docente")</f>
        <v>Seleccione Docente</v>
      </c>
      <c r="P50">
        <f t="shared" si="0"/>
        <v>0</v>
      </c>
      <c r="Q50">
        <f t="shared" si="1"/>
        <v>0</v>
      </c>
      <c r="R50">
        <f t="shared" si="2"/>
        <v>0</v>
      </c>
      <c r="S50">
        <f t="shared" si="3"/>
        <v>0</v>
      </c>
      <c r="T50">
        <f t="shared" si="4"/>
        <v>0</v>
      </c>
      <c r="U50">
        <f>Tabla1[[#This Row],[HORAS NO AFINIDAD]]+Tabla1[[#This Row],[HORAS UNIDAD BASICA]]+Tabla1[[#This Row],[HORAS AFINIDAD]]</f>
        <v>0</v>
      </c>
      <c r="V50">
        <f>+Tabla1[[#This Row],[HORAS AFINIDAD]]+Tabla1[[#This Row],[HORAS ACTIVIDAD]]+Tabla1[[#This Row],[HORAS UNIDAD BASICA]]+Tabla1[[#This Row],[HORAS NO AFINIDAD]]</f>
        <v>0</v>
      </c>
    </row>
    <row r="51" spans="1:22" ht="18.75" customHeight="1">
      <c r="A51">
        <v>50</v>
      </c>
      <c r="C51" t="str">
        <f>_xlfn.XLOOKUP(Tabla1[[#This Row],[CARRERA]],MAE_CARRERA[NOMBRE_CARRERA],MAE_CARRERA[ID_CARRERA],"Seleccione Carrera")</f>
        <v>Seleccione Carrera</v>
      </c>
      <c r="F51" s="1"/>
      <c r="G51" t="str">
        <f>_xlfn.XLOOKUP(Tabla1[[#This Row],[ASIGNATURA]],MAE_ASIGNATURA[NOM_ASIG],MAE_ASIGNATURA[ID_ASIG],"Seleccione Asignatura")</f>
        <v>Seleccione Asignatura</v>
      </c>
      <c r="H51" s="1" t="str" cm="1">
        <f t="array" ref="H51">_xlfn.TEXTJOIN("; ",TRUE,TRANSPOSE(_xlfn.UNIQUE(_xlfn._xlws.FILTER(DET_ASIG[DETALLADO],(DET_ASIG[NIVEL]=ASIGNACION!$D51)*(DET_ASIG[ID_CARRERA]=ASIGNACION!$C51)*(DET_ASIG[ID_ASIG]=ASIGNACION!$G51),"No existe información"))))</f>
        <v>No existe información</v>
      </c>
      <c r="I51" s="1"/>
      <c r="J51">
        <f>_xlfn.XLOOKUP(Tabla1[[#This Row],[ID_ASIG_CAM_DET]],MAE_ASIGNATURA[ID_ASIG],MAE_ASIGNATURA[HORAS],0)</f>
        <v>0</v>
      </c>
      <c r="K51">
        <v>4</v>
      </c>
      <c r="L51" s="2">
        <f>+Tabla1[[#This Row],[CALCULAR HORA]]*Tabla1[[#This Row],[HORAS]]</f>
        <v>0</v>
      </c>
      <c r="N51" t="str">
        <f>_xlfn.XLOOKUP(Tabla1[[#This Row],[NOMBRE_DOCENT]],MDOCENTES[DATOS_DOCENTE],MDOCENTES[DEDICACION],"Seleccione Docente")</f>
        <v>Seleccione Docente</v>
      </c>
      <c r="O51" t="str">
        <f>_xlfn.XLOOKUP(Tabla1[[#This Row],[NOMBRE_DOCENT]],MDOCENTES[DATOS_DOCENTE],MDOCENTES[ESTUDIO],"Seleccione Docente")</f>
        <v>Seleccione Docente</v>
      </c>
      <c r="P51">
        <f t="shared" si="0"/>
        <v>0</v>
      </c>
      <c r="Q51">
        <f t="shared" si="1"/>
        <v>0</v>
      </c>
      <c r="R51">
        <f t="shared" si="2"/>
        <v>0</v>
      </c>
      <c r="S51">
        <f t="shared" si="3"/>
        <v>0</v>
      </c>
      <c r="T51">
        <f t="shared" si="4"/>
        <v>0</v>
      </c>
      <c r="U51">
        <f>Tabla1[[#This Row],[HORAS NO AFINIDAD]]+Tabla1[[#This Row],[HORAS UNIDAD BASICA]]+Tabla1[[#This Row],[HORAS AFINIDAD]]</f>
        <v>0</v>
      </c>
      <c r="V51">
        <f>+Tabla1[[#This Row],[HORAS AFINIDAD]]+Tabla1[[#This Row],[HORAS ACTIVIDAD]]+Tabla1[[#This Row],[HORAS UNIDAD BASICA]]+Tabla1[[#This Row],[HORAS NO AFINIDAD]]</f>
        <v>0</v>
      </c>
    </row>
    <row r="52" spans="1:22" ht="18.75" customHeight="1">
      <c r="A52">
        <v>51</v>
      </c>
      <c r="C52" t="str">
        <f>_xlfn.XLOOKUP(Tabla1[[#This Row],[CARRERA]],MAE_CARRERA[NOMBRE_CARRERA],MAE_CARRERA[ID_CARRERA],"Seleccione Carrera")</f>
        <v>Seleccione Carrera</v>
      </c>
      <c r="F52" s="1"/>
      <c r="G52" t="str">
        <f>_xlfn.XLOOKUP(Tabla1[[#This Row],[ASIGNATURA]],MAE_ASIGNATURA[NOM_ASIG],MAE_ASIGNATURA[ID_ASIG],"Seleccione Asignatura")</f>
        <v>Seleccione Asignatura</v>
      </c>
      <c r="H52" s="1" t="str" cm="1">
        <f t="array" ref="H52">_xlfn.TEXTJOIN("; ",TRUE,TRANSPOSE(_xlfn.UNIQUE(_xlfn._xlws.FILTER(DET_ASIG[DETALLADO],(DET_ASIG[NIVEL]=ASIGNACION!$D52)*(DET_ASIG[ID_CARRERA]=ASIGNACION!$C52)*(DET_ASIG[ID_ASIG]=ASIGNACION!$G52),"No existe información"))))</f>
        <v>No existe información</v>
      </c>
      <c r="I52" s="1"/>
      <c r="J52">
        <f>_xlfn.XLOOKUP(Tabla1[[#This Row],[ID_ASIG_CAM_DET]],MAE_ASIGNATURA[ID_ASIG],MAE_ASIGNATURA[HORAS],0)</f>
        <v>0</v>
      </c>
      <c r="K52">
        <v>4</v>
      </c>
      <c r="L52" s="2">
        <f>+Tabla1[[#This Row],[CALCULAR HORA]]*Tabla1[[#This Row],[HORAS]]</f>
        <v>0</v>
      </c>
      <c r="N52" t="str">
        <f>_xlfn.XLOOKUP(Tabla1[[#This Row],[NOMBRE_DOCENT]],MDOCENTES[DATOS_DOCENTE],MDOCENTES[DEDICACION],"Seleccione Docente")</f>
        <v>Seleccione Docente</v>
      </c>
      <c r="O52" t="str">
        <f>_xlfn.XLOOKUP(Tabla1[[#This Row],[NOMBRE_DOCENT]],MDOCENTES[DATOS_DOCENTE],MDOCENTES[ESTUDIO],"Seleccione Docente")</f>
        <v>Seleccione Docente</v>
      </c>
      <c r="P52">
        <f t="shared" si="0"/>
        <v>0</v>
      </c>
      <c r="Q52">
        <f t="shared" si="1"/>
        <v>0</v>
      </c>
      <c r="R52">
        <f t="shared" si="2"/>
        <v>0</v>
      </c>
      <c r="S52">
        <f t="shared" si="3"/>
        <v>0</v>
      </c>
      <c r="T52">
        <f t="shared" si="4"/>
        <v>0</v>
      </c>
      <c r="U52">
        <f>Tabla1[[#This Row],[HORAS NO AFINIDAD]]+Tabla1[[#This Row],[HORAS UNIDAD BASICA]]+Tabla1[[#This Row],[HORAS AFINIDAD]]</f>
        <v>0</v>
      </c>
      <c r="V52">
        <f>+Tabla1[[#This Row],[HORAS AFINIDAD]]+Tabla1[[#This Row],[HORAS ACTIVIDAD]]+Tabla1[[#This Row],[HORAS UNIDAD BASICA]]+Tabla1[[#This Row],[HORAS NO AFINIDAD]]</f>
        <v>0</v>
      </c>
    </row>
    <row r="53" spans="1:22" ht="18.75" customHeight="1">
      <c r="A53">
        <v>52</v>
      </c>
      <c r="C53" t="str">
        <f>_xlfn.XLOOKUP(Tabla1[[#This Row],[CARRERA]],MAE_CARRERA[NOMBRE_CARRERA],MAE_CARRERA[ID_CARRERA],"Seleccione Carrera")</f>
        <v>Seleccione Carrera</v>
      </c>
      <c r="F53" s="1"/>
      <c r="G53" t="str">
        <f>_xlfn.XLOOKUP(Tabla1[[#This Row],[ASIGNATURA]],MAE_ASIGNATURA[NOM_ASIG],MAE_ASIGNATURA[ID_ASIG],"Seleccione Asignatura")</f>
        <v>Seleccione Asignatura</v>
      </c>
      <c r="H53" s="1" t="str" cm="1">
        <f t="array" ref="H53">_xlfn.TEXTJOIN("; ",TRUE,TRANSPOSE(_xlfn.UNIQUE(_xlfn._xlws.FILTER(DET_ASIG[DETALLADO],(DET_ASIG[NIVEL]=ASIGNACION!$D53)*(DET_ASIG[ID_CARRERA]=ASIGNACION!$C53)*(DET_ASIG[ID_ASIG]=ASIGNACION!$G53),"No existe información"))))</f>
        <v>No existe información</v>
      </c>
      <c r="I53" s="1"/>
      <c r="J53">
        <f>_xlfn.XLOOKUP(Tabla1[[#This Row],[ID_ASIG_CAM_DET]],MAE_ASIGNATURA[ID_ASIG],MAE_ASIGNATURA[HORAS],0)</f>
        <v>0</v>
      </c>
      <c r="K53">
        <v>4</v>
      </c>
      <c r="L53" s="2">
        <f>+Tabla1[[#This Row],[CALCULAR HORA]]*Tabla1[[#This Row],[HORAS]]</f>
        <v>0</v>
      </c>
      <c r="N53" t="str">
        <f>_xlfn.XLOOKUP(Tabla1[[#This Row],[NOMBRE_DOCENT]],MDOCENTES[DATOS_DOCENTE],MDOCENTES[DEDICACION],"Seleccione Docente")</f>
        <v>Seleccione Docente</v>
      </c>
      <c r="O53" t="str">
        <f>_xlfn.XLOOKUP(Tabla1[[#This Row],[NOMBRE_DOCENT]],MDOCENTES[DATOS_DOCENTE],MDOCENTES[ESTUDIO],"Seleccione Docente")</f>
        <v>Seleccione Docente</v>
      </c>
      <c r="P53">
        <f t="shared" si="0"/>
        <v>0</v>
      </c>
      <c r="Q53">
        <f t="shared" si="1"/>
        <v>0</v>
      </c>
      <c r="R53">
        <f t="shared" si="2"/>
        <v>0</v>
      </c>
      <c r="S53">
        <f t="shared" si="3"/>
        <v>0</v>
      </c>
      <c r="T53">
        <f t="shared" si="4"/>
        <v>0</v>
      </c>
      <c r="U53">
        <f>Tabla1[[#This Row],[HORAS NO AFINIDAD]]+Tabla1[[#This Row],[HORAS UNIDAD BASICA]]+Tabla1[[#This Row],[HORAS AFINIDAD]]</f>
        <v>0</v>
      </c>
      <c r="V53">
        <f>+Tabla1[[#This Row],[HORAS AFINIDAD]]+Tabla1[[#This Row],[HORAS ACTIVIDAD]]+Tabla1[[#This Row],[HORAS UNIDAD BASICA]]+Tabla1[[#This Row],[HORAS NO AFINIDAD]]</f>
        <v>0</v>
      </c>
    </row>
    <row r="54" spans="1:22" ht="18.75" customHeight="1">
      <c r="A54">
        <v>53</v>
      </c>
      <c r="C54" t="str">
        <f>_xlfn.XLOOKUP(Tabla1[[#This Row],[CARRERA]],MAE_CARRERA[NOMBRE_CARRERA],MAE_CARRERA[ID_CARRERA],"Seleccione Carrera")</f>
        <v>Seleccione Carrera</v>
      </c>
      <c r="F54" s="1"/>
      <c r="G54" t="str">
        <f>_xlfn.XLOOKUP(Tabla1[[#This Row],[ASIGNATURA]],MAE_ASIGNATURA[NOM_ASIG],MAE_ASIGNATURA[ID_ASIG],"Seleccione Asignatura")</f>
        <v>Seleccione Asignatura</v>
      </c>
      <c r="H54" s="1" t="str" cm="1">
        <f t="array" ref="H54">_xlfn.TEXTJOIN("; ",TRUE,TRANSPOSE(_xlfn.UNIQUE(_xlfn._xlws.FILTER(DET_ASIG[DETALLADO],(DET_ASIG[NIVEL]=ASIGNACION!$D54)*(DET_ASIG[ID_CARRERA]=ASIGNACION!$C54)*(DET_ASIG[ID_ASIG]=ASIGNACION!$G54),"No existe información"))))</f>
        <v>No existe información</v>
      </c>
      <c r="I54" s="1"/>
      <c r="J54">
        <f>_xlfn.XLOOKUP(Tabla1[[#This Row],[ID_ASIG_CAM_DET]],MAE_ASIGNATURA[ID_ASIG],MAE_ASIGNATURA[HORAS],0)</f>
        <v>0</v>
      </c>
      <c r="K54">
        <v>4</v>
      </c>
      <c r="L54" s="2">
        <f>+Tabla1[[#This Row],[CALCULAR HORA]]*Tabla1[[#This Row],[HORAS]]</f>
        <v>0</v>
      </c>
      <c r="N54" t="str">
        <f>_xlfn.XLOOKUP(Tabla1[[#This Row],[NOMBRE_DOCENT]],MDOCENTES[DATOS_DOCENTE],MDOCENTES[DEDICACION],"Seleccione Docente")</f>
        <v>Seleccione Docente</v>
      </c>
      <c r="O54" t="str">
        <f>_xlfn.XLOOKUP(Tabla1[[#This Row],[NOMBRE_DOCENT]],MDOCENTES[DATOS_DOCENTE],MDOCENTES[ESTUDIO],"Seleccione Docente")</f>
        <v>Seleccione Docente</v>
      </c>
      <c r="P54">
        <f t="shared" si="0"/>
        <v>0</v>
      </c>
      <c r="Q54">
        <f t="shared" si="1"/>
        <v>0</v>
      </c>
      <c r="R54">
        <f t="shared" si="2"/>
        <v>0</v>
      </c>
      <c r="S54">
        <f t="shared" si="3"/>
        <v>0</v>
      </c>
      <c r="T54">
        <f t="shared" si="4"/>
        <v>0</v>
      </c>
      <c r="U54">
        <f>Tabla1[[#This Row],[HORAS NO AFINIDAD]]+Tabla1[[#This Row],[HORAS UNIDAD BASICA]]+Tabla1[[#This Row],[HORAS AFINIDAD]]</f>
        <v>0</v>
      </c>
      <c r="V54">
        <f>+Tabla1[[#This Row],[HORAS AFINIDAD]]+Tabla1[[#This Row],[HORAS ACTIVIDAD]]+Tabla1[[#This Row],[HORAS UNIDAD BASICA]]+Tabla1[[#This Row],[HORAS NO AFINIDAD]]</f>
        <v>0</v>
      </c>
    </row>
    <row r="55" spans="1:22" ht="18.75" customHeight="1">
      <c r="A55">
        <v>54</v>
      </c>
      <c r="C55" t="str">
        <f>_xlfn.XLOOKUP(Tabla1[[#This Row],[CARRERA]],MAE_CARRERA[NOMBRE_CARRERA],MAE_CARRERA[ID_CARRERA],"Seleccione Carrera")</f>
        <v>Seleccione Carrera</v>
      </c>
      <c r="F55" s="1"/>
      <c r="G55" t="str">
        <f>_xlfn.XLOOKUP(Tabla1[[#This Row],[ASIGNATURA]],MAE_ASIGNATURA[NOM_ASIG],MAE_ASIGNATURA[ID_ASIG],"Seleccione Asignatura")</f>
        <v>Seleccione Asignatura</v>
      </c>
      <c r="H55" s="1" t="str" cm="1">
        <f t="array" ref="H55">_xlfn.TEXTJOIN("; ",TRUE,TRANSPOSE(_xlfn.UNIQUE(_xlfn._xlws.FILTER(DET_ASIG[DETALLADO],(DET_ASIG[NIVEL]=ASIGNACION!$D55)*(DET_ASIG[ID_CARRERA]=ASIGNACION!$C55)*(DET_ASIG[ID_ASIG]=ASIGNACION!$G55),"No existe información"))))</f>
        <v>No existe información</v>
      </c>
      <c r="I55" s="1"/>
      <c r="J55">
        <f>_xlfn.XLOOKUP(Tabla1[[#This Row],[ID_ASIG_CAM_DET]],MAE_ASIGNATURA[ID_ASIG],MAE_ASIGNATURA[HORAS],0)</f>
        <v>0</v>
      </c>
      <c r="K55">
        <v>4</v>
      </c>
      <c r="L55" s="2">
        <f>+Tabla1[[#This Row],[CALCULAR HORA]]*Tabla1[[#This Row],[HORAS]]</f>
        <v>0</v>
      </c>
      <c r="N55" t="str">
        <f>_xlfn.XLOOKUP(Tabla1[[#This Row],[NOMBRE_DOCENT]],MDOCENTES[DATOS_DOCENTE],MDOCENTES[DEDICACION],"Seleccione Docente")</f>
        <v>Seleccione Docente</v>
      </c>
      <c r="O55" t="str">
        <f>_xlfn.XLOOKUP(Tabla1[[#This Row],[NOMBRE_DOCENT]],MDOCENTES[DATOS_DOCENTE],MDOCENTES[ESTUDIO],"Seleccione Docente")</f>
        <v>Seleccione Docente</v>
      </c>
      <c r="P55">
        <f t="shared" si="0"/>
        <v>0</v>
      </c>
      <c r="Q55">
        <f t="shared" si="1"/>
        <v>0</v>
      </c>
      <c r="R55">
        <f t="shared" si="2"/>
        <v>0</v>
      </c>
      <c r="S55">
        <f t="shared" si="3"/>
        <v>0</v>
      </c>
      <c r="T55">
        <f t="shared" si="4"/>
        <v>0</v>
      </c>
      <c r="U55">
        <f>Tabla1[[#This Row],[HORAS NO AFINIDAD]]+Tabla1[[#This Row],[HORAS UNIDAD BASICA]]+Tabla1[[#This Row],[HORAS AFINIDAD]]</f>
        <v>0</v>
      </c>
      <c r="V55">
        <f>+Tabla1[[#This Row],[HORAS AFINIDAD]]+Tabla1[[#This Row],[HORAS ACTIVIDAD]]+Tabla1[[#This Row],[HORAS UNIDAD BASICA]]+Tabla1[[#This Row],[HORAS NO AFINIDAD]]</f>
        <v>0</v>
      </c>
    </row>
    <row r="56" spans="1:22" ht="18.75" customHeight="1">
      <c r="A56">
        <v>55</v>
      </c>
      <c r="C56" t="str">
        <f>_xlfn.XLOOKUP(Tabla1[[#This Row],[CARRERA]],MAE_CARRERA[NOMBRE_CARRERA],MAE_CARRERA[ID_CARRERA],"Seleccione Carrera")</f>
        <v>Seleccione Carrera</v>
      </c>
      <c r="F56" s="1"/>
      <c r="G56" t="str">
        <f>_xlfn.XLOOKUP(Tabla1[[#This Row],[ASIGNATURA]],MAE_ASIGNATURA[NOM_ASIG],MAE_ASIGNATURA[ID_ASIG],"Seleccione Asignatura")</f>
        <v>Seleccione Asignatura</v>
      </c>
      <c r="H56" s="1" t="str" cm="1">
        <f t="array" ref="H56">_xlfn.TEXTJOIN("; ",TRUE,TRANSPOSE(_xlfn.UNIQUE(_xlfn._xlws.FILTER(DET_ASIG[DETALLADO],(DET_ASIG[NIVEL]=ASIGNACION!$D56)*(DET_ASIG[ID_CARRERA]=ASIGNACION!$C56)*(DET_ASIG[ID_ASIG]=ASIGNACION!$G56),"No existe información"))))</f>
        <v>No existe información</v>
      </c>
      <c r="I56" s="1"/>
      <c r="J56">
        <f>_xlfn.XLOOKUP(Tabla1[[#This Row],[ID_ASIG_CAM_DET]],MAE_ASIGNATURA[ID_ASIG],MAE_ASIGNATURA[HORAS],0)</f>
        <v>0</v>
      </c>
      <c r="K56">
        <v>4</v>
      </c>
      <c r="L56" s="2">
        <f>+Tabla1[[#This Row],[CALCULAR HORA]]*Tabla1[[#This Row],[HORAS]]</f>
        <v>0</v>
      </c>
      <c r="N56" t="str">
        <f>_xlfn.XLOOKUP(Tabla1[[#This Row],[NOMBRE_DOCENT]],MDOCENTES[DATOS_DOCENTE],MDOCENTES[DEDICACION],"Seleccione Docente")</f>
        <v>Seleccione Docente</v>
      </c>
      <c r="O56" t="str">
        <f>_xlfn.XLOOKUP(Tabla1[[#This Row],[NOMBRE_DOCENT]],MDOCENTES[DATOS_DOCENTE],MDOCENTES[ESTUDIO],"Seleccione Docente")</f>
        <v>Seleccione Docente</v>
      </c>
      <c r="P56">
        <f t="shared" si="0"/>
        <v>0</v>
      </c>
      <c r="Q56">
        <f t="shared" si="1"/>
        <v>0</v>
      </c>
      <c r="R56">
        <f t="shared" si="2"/>
        <v>0</v>
      </c>
      <c r="S56">
        <f t="shared" si="3"/>
        <v>0</v>
      </c>
      <c r="T56">
        <f t="shared" si="4"/>
        <v>0</v>
      </c>
      <c r="U56">
        <f>Tabla1[[#This Row],[HORAS NO AFINIDAD]]+Tabla1[[#This Row],[HORAS UNIDAD BASICA]]+Tabla1[[#This Row],[HORAS AFINIDAD]]</f>
        <v>0</v>
      </c>
      <c r="V56">
        <f>+Tabla1[[#This Row],[HORAS AFINIDAD]]+Tabla1[[#This Row],[HORAS ACTIVIDAD]]+Tabla1[[#This Row],[HORAS UNIDAD BASICA]]+Tabla1[[#This Row],[HORAS NO AFINIDAD]]</f>
        <v>0</v>
      </c>
    </row>
    <row r="57" spans="1:22" ht="18.75" customHeight="1">
      <c r="A57">
        <v>56</v>
      </c>
      <c r="C57" t="str">
        <f>_xlfn.XLOOKUP(Tabla1[[#This Row],[CARRERA]],MAE_CARRERA[NOMBRE_CARRERA],MAE_CARRERA[ID_CARRERA],"Seleccione Carrera")</f>
        <v>Seleccione Carrera</v>
      </c>
      <c r="F57" s="1"/>
      <c r="G57" t="str">
        <f>_xlfn.XLOOKUP(Tabla1[[#This Row],[ASIGNATURA]],MAE_ASIGNATURA[NOM_ASIG],MAE_ASIGNATURA[ID_ASIG],"Seleccione Asignatura")</f>
        <v>Seleccione Asignatura</v>
      </c>
      <c r="H57" s="1" t="str" cm="1">
        <f t="array" ref="H57">_xlfn.TEXTJOIN("; ",TRUE,TRANSPOSE(_xlfn.UNIQUE(_xlfn._xlws.FILTER(DET_ASIG[DETALLADO],(DET_ASIG[NIVEL]=ASIGNACION!$D57)*(DET_ASIG[ID_CARRERA]=ASIGNACION!$C57)*(DET_ASIG[ID_ASIG]=ASIGNACION!$G57),"No existe información"))))</f>
        <v>No existe información</v>
      </c>
      <c r="I57" s="1"/>
      <c r="J57">
        <f>_xlfn.XLOOKUP(Tabla1[[#This Row],[ID_ASIG_CAM_DET]],MAE_ASIGNATURA[ID_ASIG],MAE_ASIGNATURA[HORAS],0)</f>
        <v>0</v>
      </c>
      <c r="K57">
        <v>4</v>
      </c>
      <c r="L57" s="2">
        <f>+Tabla1[[#This Row],[CALCULAR HORA]]*Tabla1[[#This Row],[HORAS]]</f>
        <v>0</v>
      </c>
      <c r="N57" t="str">
        <f>_xlfn.XLOOKUP(Tabla1[[#This Row],[NOMBRE_DOCENT]],MDOCENTES[DATOS_DOCENTE],MDOCENTES[DEDICACION],"Seleccione Docente")</f>
        <v>Seleccione Docente</v>
      </c>
      <c r="O57" t="str">
        <f>_xlfn.XLOOKUP(Tabla1[[#This Row],[NOMBRE_DOCENT]],MDOCENTES[DATOS_DOCENTE],MDOCENTES[ESTUDIO],"Seleccione Docente")</f>
        <v>Seleccione Docente</v>
      </c>
      <c r="P57">
        <f t="shared" si="0"/>
        <v>0</v>
      </c>
      <c r="Q57">
        <f t="shared" si="1"/>
        <v>0</v>
      </c>
      <c r="R57">
        <f t="shared" si="2"/>
        <v>0</v>
      </c>
      <c r="S57">
        <f t="shared" si="3"/>
        <v>0</v>
      </c>
      <c r="T57">
        <f t="shared" si="4"/>
        <v>0</v>
      </c>
      <c r="U57">
        <f>Tabla1[[#This Row],[HORAS NO AFINIDAD]]+Tabla1[[#This Row],[HORAS UNIDAD BASICA]]+Tabla1[[#This Row],[HORAS AFINIDAD]]</f>
        <v>0</v>
      </c>
      <c r="V57">
        <f>+Tabla1[[#This Row],[HORAS AFINIDAD]]+Tabla1[[#This Row],[HORAS ACTIVIDAD]]+Tabla1[[#This Row],[HORAS UNIDAD BASICA]]+Tabla1[[#This Row],[HORAS NO AFINIDAD]]</f>
        <v>0</v>
      </c>
    </row>
    <row r="58" spans="1:22" ht="18.75" customHeight="1">
      <c r="A58">
        <v>57</v>
      </c>
      <c r="C58" t="str">
        <f>_xlfn.XLOOKUP(Tabla1[[#This Row],[CARRERA]],MAE_CARRERA[NOMBRE_CARRERA],MAE_CARRERA[ID_CARRERA],"Seleccione Carrera")</f>
        <v>Seleccione Carrera</v>
      </c>
      <c r="F58" s="1"/>
      <c r="G58" t="str">
        <f>_xlfn.XLOOKUP(Tabla1[[#This Row],[ASIGNATURA]],MAE_ASIGNATURA[NOM_ASIG],MAE_ASIGNATURA[ID_ASIG],"Seleccione Asignatura")</f>
        <v>Seleccione Asignatura</v>
      </c>
      <c r="H58" s="1" t="str" cm="1">
        <f t="array" ref="H58">_xlfn.TEXTJOIN("; ",TRUE,TRANSPOSE(_xlfn.UNIQUE(_xlfn._xlws.FILTER(DET_ASIG[DETALLADO],(DET_ASIG[NIVEL]=ASIGNACION!$D58)*(DET_ASIG[ID_CARRERA]=ASIGNACION!$C58)*(DET_ASIG[ID_ASIG]=ASIGNACION!$G58),"No existe información"))))</f>
        <v>No existe información</v>
      </c>
      <c r="I58" s="1"/>
      <c r="J58">
        <f>_xlfn.XLOOKUP(Tabla1[[#This Row],[ID_ASIG_CAM_DET]],MAE_ASIGNATURA[ID_ASIG],MAE_ASIGNATURA[HORAS],0)</f>
        <v>0</v>
      </c>
      <c r="K58">
        <v>4</v>
      </c>
      <c r="L58" s="2">
        <f>+Tabla1[[#This Row],[CALCULAR HORA]]*Tabla1[[#This Row],[HORAS]]</f>
        <v>0</v>
      </c>
      <c r="N58" t="str">
        <f>_xlfn.XLOOKUP(Tabla1[[#This Row],[NOMBRE_DOCENT]],MDOCENTES[DATOS_DOCENTE],MDOCENTES[DEDICACION],"Seleccione Docente")</f>
        <v>Seleccione Docente</v>
      </c>
      <c r="O58" t="str">
        <f>_xlfn.XLOOKUP(Tabla1[[#This Row],[NOMBRE_DOCENT]],MDOCENTES[DATOS_DOCENTE],MDOCENTES[ESTUDIO],"Seleccione Docente")</f>
        <v>Seleccione Docente</v>
      </c>
      <c r="P58">
        <f t="shared" si="0"/>
        <v>0</v>
      </c>
      <c r="Q58">
        <f t="shared" si="1"/>
        <v>0</v>
      </c>
      <c r="R58">
        <f t="shared" si="2"/>
        <v>0</v>
      </c>
      <c r="S58">
        <f t="shared" si="3"/>
        <v>0</v>
      </c>
      <c r="T58">
        <f t="shared" si="4"/>
        <v>0</v>
      </c>
      <c r="U58">
        <f>Tabla1[[#This Row],[HORAS NO AFINIDAD]]+Tabla1[[#This Row],[HORAS UNIDAD BASICA]]+Tabla1[[#This Row],[HORAS AFINIDAD]]</f>
        <v>0</v>
      </c>
      <c r="V58">
        <f>+Tabla1[[#This Row],[HORAS AFINIDAD]]+Tabla1[[#This Row],[HORAS ACTIVIDAD]]+Tabla1[[#This Row],[HORAS UNIDAD BASICA]]+Tabla1[[#This Row],[HORAS NO AFINIDAD]]</f>
        <v>0</v>
      </c>
    </row>
    <row r="59" spans="1:22" ht="18.75" customHeight="1">
      <c r="A59">
        <v>58</v>
      </c>
      <c r="C59" t="str">
        <f>_xlfn.XLOOKUP(Tabla1[[#This Row],[CARRERA]],MAE_CARRERA[NOMBRE_CARRERA],MAE_CARRERA[ID_CARRERA],"Seleccione Carrera")</f>
        <v>Seleccione Carrera</v>
      </c>
      <c r="F59" s="1"/>
      <c r="G59" t="str">
        <f>_xlfn.XLOOKUP(Tabla1[[#This Row],[ASIGNATURA]],MAE_ASIGNATURA[NOM_ASIG],MAE_ASIGNATURA[ID_ASIG],"Seleccione Asignatura")</f>
        <v>Seleccione Asignatura</v>
      </c>
      <c r="H59" s="1" t="str" cm="1">
        <f t="array" ref="H59">_xlfn.TEXTJOIN("; ",TRUE,TRANSPOSE(_xlfn.UNIQUE(_xlfn._xlws.FILTER(DET_ASIG[DETALLADO],(DET_ASIG[NIVEL]=ASIGNACION!$D59)*(DET_ASIG[ID_CARRERA]=ASIGNACION!$C59)*(DET_ASIG[ID_ASIG]=ASIGNACION!$G59),"No existe información"))))</f>
        <v>No existe información</v>
      </c>
      <c r="I59" s="1"/>
      <c r="J59">
        <f>_xlfn.XLOOKUP(Tabla1[[#This Row],[ID_ASIG_CAM_DET]],MAE_ASIGNATURA[ID_ASIG],MAE_ASIGNATURA[HORAS],0)</f>
        <v>0</v>
      </c>
      <c r="K59">
        <v>4</v>
      </c>
      <c r="L59" s="2">
        <f>+Tabla1[[#This Row],[CALCULAR HORA]]*Tabla1[[#This Row],[HORAS]]</f>
        <v>0</v>
      </c>
      <c r="N59" t="str">
        <f>_xlfn.XLOOKUP(Tabla1[[#This Row],[NOMBRE_DOCENT]],MDOCENTES[DATOS_DOCENTE],MDOCENTES[DEDICACION],"Seleccione Docente")</f>
        <v>Seleccione Docente</v>
      </c>
      <c r="O59" t="str">
        <f>_xlfn.XLOOKUP(Tabla1[[#This Row],[NOMBRE_DOCENT]],MDOCENTES[DATOS_DOCENTE],MDOCENTES[ESTUDIO],"Seleccione Docente")</f>
        <v>Seleccione Docente</v>
      </c>
      <c r="P59">
        <f t="shared" si="0"/>
        <v>0</v>
      </c>
      <c r="Q59">
        <f t="shared" si="1"/>
        <v>0</v>
      </c>
      <c r="R59">
        <f t="shared" si="2"/>
        <v>0</v>
      </c>
      <c r="S59">
        <f t="shared" si="3"/>
        <v>0</v>
      </c>
      <c r="T59">
        <f t="shared" si="4"/>
        <v>0</v>
      </c>
      <c r="U59">
        <f>Tabla1[[#This Row],[HORAS NO AFINIDAD]]+Tabla1[[#This Row],[HORAS UNIDAD BASICA]]+Tabla1[[#This Row],[HORAS AFINIDAD]]</f>
        <v>0</v>
      </c>
      <c r="V59">
        <f>+Tabla1[[#This Row],[HORAS AFINIDAD]]+Tabla1[[#This Row],[HORAS ACTIVIDAD]]+Tabla1[[#This Row],[HORAS UNIDAD BASICA]]+Tabla1[[#This Row],[HORAS NO AFINIDAD]]</f>
        <v>0</v>
      </c>
    </row>
    <row r="60" spans="1:22" ht="18.75" customHeight="1">
      <c r="A60">
        <v>59</v>
      </c>
      <c r="C60" t="str">
        <f>_xlfn.XLOOKUP(Tabla1[[#This Row],[CARRERA]],MAE_CARRERA[NOMBRE_CARRERA],MAE_CARRERA[ID_CARRERA],"Seleccione Carrera")</f>
        <v>Seleccione Carrera</v>
      </c>
      <c r="F60" s="1"/>
      <c r="G60" t="str">
        <f>_xlfn.XLOOKUP(Tabla1[[#This Row],[ASIGNATURA]],MAE_ASIGNATURA[NOM_ASIG],MAE_ASIGNATURA[ID_ASIG],"Seleccione Asignatura")</f>
        <v>Seleccione Asignatura</v>
      </c>
      <c r="H60" s="1" t="str" cm="1">
        <f t="array" ref="H60">_xlfn.TEXTJOIN("; ",TRUE,TRANSPOSE(_xlfn.UNIQUE(_xlfn._xlws.FILTER(DET_ASIG[DETALLADO],(DET_ASIG[NIVEL]=ASIGNACION!$D60)*(DET_ASIG[ID_CARRERA]=ASIGNACION!$C60)*(DET_ASIG[ID_ASIG]=ASIGNACION!$G60),"No existe información"))))</f>
        <v>No existe información</v>
      </c>
      <c r="I60" s="1"/>
      <c r="J60">
        <f>_xlfn.XLOOKUP(Tabla1[[#This Row],[ID_ASIG_CAM_DET]],MAE_ASIGNATURA[ID_ASIG],MAE_ASIGNATURA[HORAS],0)</f>
        <v>0</v>
      </c>
      <c r="K60">
        <v>4</v>
      </c>
      <c r="L60" s="2">
        <f>+Tabla1[[#This Row],[CALCULAR HORA]]*Tabla1[[#This Row],[HORAS]]</f>
        <v>0</v>
      </c>
      <c r="N60" t="str">
        <f>_xlfn.XLOOKUP(Tabla1[[#This Row],[NOMBRE_DOCENT]],MDOCENTES[DATOS_DOCENTE],MDOCENTES[DEDICACION],"Seleccione Docente")</f>
        <v>Seleccione Docente</v>
      </c>
      <c r="O60" t="str">
        <f>_xlfn.XLOOKUP(Tabla1[[#This Row],[NOMBRE_DOCENT]],MDOCENTES[DATOS_DOCENTE],MDOCENTES[ESTUDIO],"Seleccione Docente")</f>
        <v>Seleccione Docente</v>
      </c>
      <c r="P60">
        <f t="shared" si="0"/>
        <v>0</v>
      </c>
      <c r="Q60">
        <f t="shared" si="1"/>
        <v>0</v>
      </c>
      <c r="R60">
        <f t="shared" si="2"/>
        <v>0</v>
      </c>
      <c r="S60">
        <f t="shared" si="3"/>
        <v>0</v>
      </c>
      <c r="T60">
        <f t="shared" si="4"/>
        <v>0</v>
      </c>
      <c r="U60">
        <f>Tabla1[[#This Row],[HORAS NO AFINIDAD]]+Tabla1[[#This Row],[HORAS UNIDAD BASICA]]+Tabla1[[#This Row],[HORAS AFINIDAD]]</f>
        <v>0</v>
      </c>
      <c r="V60">
        <f>+Tabla1[[#This Row],[HORAS AFINIDAD]]+Tabla1[[#This Row],[HORAS ACTIVIDAD]]+Tabla1[[#This Row],[HORAS UNIDAD BASICA]]+Tabla1[[#This Row],[HORAS NO AFINIDAD]]</f>
        <v>0</v>
      </c>
    </row>
    <row r="61" spans="1:22" ht="18.75" customHeight="1">
      <c r="A61">
        <v>60</v>
      </c>
      <c r="C61" t="str">
        <f>_xlfn.XLOOKUP(Tabla1[[#This Row],[CARRERA]],MAE_CARRERA[NOMBRE_CARRERA],MAE_CARRERA[ID_CARRERA],"Seleccione Carrera")</f>
        <v>Seleccione Carrera</v>
      </c>
      <c r="F61" s="1"/>
      <c r="G61" t="str">
        <f>_xlfn.XLOOKUP(Tabla1[[#This Row],[ASIGNATURA]],MAE_ASIGNATURA[NOM_ASIG],MAE_ASIGNATURA[ID_ASIG],"Seleccione Asignatura")</f>
        <v>Seleccione Asignatura</v>
      </c>
      <c r="H61" s="1" t="str" cm="1">
        <f t="array" ref="H61">_xlfn.TEXTJOIN("; ",TRUE,TRANSPOSE(_xlfn.UNIQUE(_xlfn._xlws.FILTER(DET_ASIG[DETALLADO],(DET_ASIG[NIVEL]=ASIGNACION!$D61)*(DET_ASIG[ID_CARRERA]=ASIGNACION!$C61)*(DET_ASIG[ID_ASIG]=ASIGNACION!$G61),"No existe información"))))</f>
        <v>No existe información</v>
      </c>
      <c r="I61" s="1"/>
      <c r="J61">
        <f>_xlfn.XLOOKUP(Tabla1[[#This Row],[ID_ASIG_CAM_DET]],MAE_ASIGNATURA[ID_ASIG],MAE_ASIGNATURA[HORAS],0)</f>
        <v>0</v>
      </c>
      <c r="K61">
        <v>4</v>
      </c>
      <c r="L61" s="2">
        <f>+Tabla1[[#This Row],[CALCULAR HORA]]*Tabla1[[#This Row],[HORAS]]</f>
        <v>0</v>
      </c>
      <c r="N61" t="str">
        <f>_xlfn.XLOOKUP(Tabla1[[#This Row],[NOMBRE_DOCENT]],MDOCENTES[DATOS_DOCENTE],MDOCENTES[DEDICACION],"Seleccione Docente")</f>
        <v>Seleccione Docente</v>
      </c>
      <c r="O61" t="str">
        <f>_xlfn.XLOOKUP(Tabla1[[#This Row],[NOMBRE_DOCENT]],MDOCENTES[DATOS_DOCENTE],MDOCENTES[ESTUDIO],"Seleccione Docente")</f>
        <v>Seleccione Docente</v>
      </c>
      <c r="P61">
        <f t="shared" si="0"/>
        <v>0</v>
      </c>
      <c r="Q61">
        <f t="shared" si="1"/>
        <v>0</v>
      </c>
      <c r="R61">
        <f t="shared" si="2"/>
        <v>0</v>
      </c>
      <c r="S61">
        <f t="shared" si="3"/>
        <v>0</v>
      </c>
      <c r="T61">
        <f t="shared" si="4"/>
        <v>0</v>
      </c>
      <c r="U61">
        <f>Tabla1[[#This Row],[HORAS NO AFINIDAD]]+Tabla1[[#This Row],[HORAS UNIDAD BASICA]]+Tabla1[[#This Row],[HORAS AFINIDAD]]</f>
        <v>0</v>
      </c>
      <c r="V61">
        <f>+Tabla1[[#This Row],[HORAS AFINIDAD]]+Tabla1[[#This Row],[HORAS ACTIVIDAD]]+Tabla1[[#This Row],[HORAS UNIDAD BASICA]]+Tabla1[[#This Row],[HORAS NO AFINIDAD]]</f>
        <v>0</v>
      </c>
    </row>
    <row r="62" spans="1:22" ht="18.75" customHeight="1">
      <c r="A62">
        <v>61</v>
      </c>
      <c r="C62" t="str">
        <f>_xlfn.XLOOKUP(Tabla1[[#This Row],[CARRERA]],MAE_CARRERA[NOMBRE_CARRERA],MAE_CARRERA[ID_CARRERA],"Seleccione Carrera")</f>
        <v>Seleccione Carrera</v>
      </c>
      <c r="F62" s="1"/>
      <c r="G62" t="str">
        <f>_xlfn.XLOOKUP(Tabla1[[#This Row],[ASIGNATURA]],MAE_ASIGNATURA[NOM_ASIG],MAE_ASIGNATURA[ID_ASIG],"Seleccione Asignatura")</f>
        <v>Seleccione Asignatura</v>
      </c>
      <c r="H62" s="1" t="str" cm="1">
        <f t="array" ref="H62">_xlfn.TEXTJOIN("; ",TRUE,TRANSPOSE(_xlfn.UNIQUE(_xlfn._xlws.FILTER(DET_ASIG[DETALLADO],(DET_ASIG[NIVEL]=ASIGNACION!$D62)*(DET_ASIG[ID_CARRERA]=ASIGNACION!$C62)*(DET_ASIG[ID_ASIG]=ASIGNACION!$G62),"No existe información"))))</f>
        <v>No existe información</v>
      </c>
      <c r="I62" s="1"/>
      <c r="J62">
        <f>_xlfn.XLOOKUP(Tabla1[[#This Row],[ID_ASIG_CAM_DET]],MAE_ASIGNATURA[ID_ASIG],MAE_ASIGNATURA[HORAS],0)</f>
        <v>0</v>
      </c>
      <c r="K62">
        <v>4</v>
      </c>
      <c r="L62" s="2">
        <f>+Tabla1[[#This Row],[CALCULAR HORA]]*Tabla1[[#This Row],[HORAS]]</f>
        <v>0</v>
      </c>
      <c r="N62" t="str">
        <f>_xlfn.XLOOKUP(Tabla1[[#This Row],[NOMBRE_DOCENT]],MDOCENTES[DATOS_DOCENTE],MDOCENTES[DEDICACION],"Seleccione Docente")</f>
        <v>Seleccione Docente</v>
      </c>
      <c r="O62" t="str">
        <f>_xlfn.XLOOKUP(Tabla1[[#This Row],[NOMBRE_DOCENT]],MDOCENTES[DATOS_DOCENTE],MDOCENTES[ESTUDIO],"Seleccione Docente")</f>
        <v>Seleccione Docente</v>
      </c>
      <c r="P62">
        <f t="shared" si="0"/>
        <v>0</v>
      </c>
      <c r="Q62">
        <f t="shared" si="1"/>
        <v>0</v>
      </c>
      <c r="R62">
        <f t="shared" si="2"/>
        <v>0</v>
      </c>
      <c r="S62">
        <f t="shared" si="3"/>
        <v>0</v>
      </c>
      <c r="T62">
        <f t="shared" si="4"/>
        <v>0</v>
      </c>
      <c r="U62">
        <f>Tabla1[[#This Row],[HORAS NO AFINIDAD]]+Tabla1[[#This Row],[HORAS UNIDAD BASICA]]+Tabla1[[#This Row],[HORAS AFINIDAD]]</f>
        <v>0</v>
      </c>
      <c r="V62">
        <f>+Tabla1[[#This Row],[HORAS AFINIDAD]]+Tabla1[[#This Row],[HORAS ACTIVIDAD]]+Tabla1[[#This Row],[HORAS UNIDAD BASICA]]+Tabla1[[#This Row],[HORAS NO AFINIDAD]]</f>
        <v>0</v>
      </c>
    </row>
    <row r="63" spans="1:22" ht="18.75" customHeight="1">
      <c r="A63">
        <v>62</v>
      </c>
      <c r="C63" t="str">
        <f>_xlfn.XLOOKUP(Tabla1[[#This Row],[CARRERA]],MAE_CARRERA[NOMBRE_CARRERA],MAE_CARRERA[ID_CARRERA],"Seleccione Carrera")</f>
        <v>Seleccione Carrera</v>
      </c>
      <c r="F63" s="1"/>
      <c r="G63" t="str">
        <f>_xlfn.XLOOKUP(Tabla1[[#This Row],[ASIGNATURA]],MAE_ASIGNATURA[NOM_ASIG],MAE_ASIGNATURA[ID_ASIG],"Seleccione Asignatura")</f>
        <v>Seleccione Asignatura</v>
      </c>
      <c r="H63" s="1" t="str" cm="1">
        <f t="array" ref="H63">_xlfn.TEXTJOIN("; ",TRUE,TRANSPOSE(_xlfn.UNIQUE(_xlfn._xlws.FILTER(DET_ASIG[DETALLADO],(DET_ASIG[NIVEL]=ASIGNACION!$D63)*(DET_ASIG[ID_CARRERA]=ASIGNACION!$C63)*(DET_ASIG[ID_ASIG]=ASIGNACION!$G63),"No existe información"))))</f>
        <v>No existe información</v>
      </c>
      <c r="I63" s="1"/>
      <c r="J63">
        <f>_xlfn.XLOOKUP(Tabla1[[#This Row],[ID_ASIG_CAM_DET]],MAE_ASIGNATURA[ID_ASIG],MAE_ASIGNATURA[HORAS],0)</f>
        <v>0</v>
      </c>
      <c r="K63">
        <v>4</v>
      </c>
      <c r="L63" s="2">
        <f>+Tabla1[[#This Row],[CALCULAR HORA]]*Tabla1[[#This Row],[HORAS]]</f>
        <v>0</v>
      </c>
      <c r="N63" t="str">
        <f>_xlfn.XLOOKUP(Tabla1[[#This Row],[NOMBRE_DOCENT]],MDOCENTES[DATOS_DOCENTE],MDOCENTES[DEDICACION],"Seleccione Docente")</f>
        <v>Seleccione Docente</v>
      </c>
      <c r="O63" t="str">
        <f>_xlfn.XLOOKUP(Tabla1[[#This Row],[NOMBRE_DOCENT]],MDOCENTES[DATOS_DOCENTE],MDOCENTES[ESTUDIO],"Seleccione Docente")</f>
        <v>Seleccione Docente</v>
      </c>
      <c r="P63">
        <f t="shared" si="0"/>
        <v>0</v>
      </c>
      <c r="Q63">
        <f t="shared" si="1"/>
        <v>0</v>
      </c>
      <c r="R63">
        <f t="shared" si="2"/>
        <v>0</v>
      </c>
      <c r="S63">
        <f t="shared" si="3"/>
        <v>0</v>
      </c>
      <c r="T63">
        <f t="shared" si="4"/>
        <v>0</v>
      </c>
      <c r="U63">
        <f>Tabla1[[#This Row],[HORAS NO AFINIDAD]]+Tabla1[[#This Row],[HORAS UNIDAD BASICA]]+Tabla1[[#This Row],[HORAS AFINIDAD]]</f>
        <v>0</v>
      </c>
      <c r="V63">
        <f>+Tabla1[[#This Row],[HORAS AFINIDAD]]+Tabla1[[#This Row],[HORAS ACTIVIDAD]]+Tabla1[[#This Row],[HORAS UNIDAD BASICA]]+Tabla1[[#This Row],[HORAS NO AFINIDAD]]</f>
        <v>0</v>
      </c>
    </row>
    <row r="64" spans="1:22" ht="18.75" customHeight="1">
      <c r="A64">
        <v>63</v>
      </c>
      <c r="C64" t="str">
        <f>_xlfn.XLOOKUP(Tabla1[[#This Row],[CARRERA]],MAE_CARRERA[NOMBRE_CARRERA],MAE_CARRERA[ID_CARRERA],"Seleccione Carrera")</f>
        <v>Seleccione Carrera</v>
      </c>
      <c r="F64" s="1"/>
      <c r="G64" t="str">
        <f>_xlfn.XLOOKUP(Tabla1[[#This Row],[ASIGNATURA]],MAE_ASIGNATURA[NOM_ASIG],MAE_ASIGNATURA[ID_ASIG],"Seleccione Asignatura")</f>
        <v>Seleccione Asignatura</v>
      </c>
      <c r="H64" s="1" t="str" cm="1">
        <f t="array" ref="H64">_xlfn.TEXTJOIN("; ",TRUE,TRANSPOSE(_xlfn.UNIQUE(_xlfn._xlws.FILTER(DET_ASIG[DETALLADO],(DET_ASIG[NIVEL]=ASIGNACION!$D64)*(DET_ASIG[ID_CARRERA]=ASIGNACION!$C64)*(DET_ASIG[ID_ASIG]=ASIGNACION!$G64),"No existe información"))))</f>
        <v>No existe información</v>
      </c>
      <c r="I64" s="1"/>
      <c r="J64">
        <f>_xlfn.XLOOKUP(Tabla1[[#This Row],[ID_ASIG_CAM_DET]],MAE_ASIGNATURA[ID_ASIG],MAE_ASIGNATURA[HORAS],0)</f>
        <v>0</v>
      </c>
      <c r="K64">
        <v>4</v>
      </c>
      <c r="L64" s="2">
        <f>+Tabla1[[#This Row],[CALCULAR HORA]]*Tabla1[[#This Row],[HORAS]]</f>
        <v>0</v>
      </c>
      <c r="N64" t="str">
        <f>_xlfn.XLOOKUP(Tabla1[[#This Row],[NOMBRE_DOCENT]],MDOCENTES[DATOS_DOCENTE],MDOCENTES[DEDICACION],"Seleccione Docente")</f>
        <v>Seleccione Docente</v>
      </c>
      <c r="O64" t="str">
        <f>_xlfn.XLOOKUP(Tabla1[[#This Row],[NOMBRE_DOCENT]],MDOCENTES[DATOS_DOCENTE],MDOCENTES[ESTUDIO],"Seleccione Docente")</f>
        <v>Seleccione Docente</v>
      </c>
      <c r="P64">
        <f t="shared" si="0"/>
        <v>0</v>
      </c>
      <c r="Q64">
        <f t="shared" si="1"/>
        <v>0</v>
      </c>
      <c r="R64">
        <f t="shared" si="2"/>
        <v>0</v>
      </c>
      <c r="S64">
        <f t="shared" si="3"/>
        <v>0</v>
      </c>
      <c r="T64">
        <f t="shared" si="4"/>
        <v>0</v>
      </c>
      <c r="U64">
        <f>Tabla1[[#This Row],[HORAS NO AFINIDAD]]+Tabla1[[#This Row],[HORAS UNIDAD BASICA]]+Tabla1[[#This Row],[HORAS AFINIDAD]]</f>
        <v>0</v>
      </c>
      <c r="V64">
        <f>+Tabla1[[#This Row],[HORAS AFINIDAD]]+Tabla1[[#This Row],[HORAS ACTIVIDAD]]+Tabla1[[#This Row],[HORAS UNIDAD BASICA]]+Tabla1[[#This Row],[HORAS NO AFINIDAD]]</f>
        <v>0</v>
      </c>
    </row>
    <row r="65" spans="1:22" ht="18.75" customHeight="1">
      <c r="A65">
        <v>64</v>
      </c>
      <c r="C65" t="str">
        <f>_xlfn.XLOOKUP(Tabla1[[#This Row],[CARRERA]],MAE_CARRERA[NOMBRE_CARRERA],MAE_CARRERA[ID_CARRERA],"Seleccione Carrera")</f>
        <v>Seleccione Carrera</v>
      </c>
      <c r="F65" s="1"/>
      <c r="G65" t="str">
        <f>_xlfn.XLOOKUP(Tabla1[[#This Row],[ASIGNATURA]],MAE_ASIGNATURA[NOM_ASIG],MAE_ASIGNATURA[ID_ASIG],"Seleccione Asignatura")</f>
        <v>Seleccione Asignatura</v>
      </c>
      <c r="H65" s="1" t="str" cm="1">
        <f t="array" ref="H65">_xlfn.TEXTJOIN("; ",TRUE,TRANSPOSE(_xlfn.UNIQUE(_xlfn._xlws.FILTER(DET_ASIG[DETALLADO],(DET_ASIG[NIVEL]=ASIGNACION!$D65)*(DET_ASIG[ID_CARRERA]=ASIGNACION!$C65)*(DET_ASIG[ID_ASIG]=ASIGNACION!$G65),"No existe información"))))</f>
        <v>No existe información</v>
      </c>
      <c r="I65" s="1"/>
      <c r="J65">
        <f>_xlfn.XLOOKUP(Tabla1[[#This Row],[ID_ASIG_CAM_DET]],MAE_ASIGNATURA[ID_ASIG],MAE_ASIGNATURA[HORAS],0)</f>
        <v>0</v>
      </c>
      <c r="K65">
        <v>4</v>
      </c>
      <c r="L65" s="2">
        <f>+Tabla1[[#This Row],[CALCULAR HORA]]*Tabla1[[#This Row],[HORAS]]</f>
        <v>0</v>
      </c>
      <c r="N65" t="str">
        <f>_xlfn.XLOOKUP(Tabla1[[#This Row],[NOMBRE_DOCENT]],MDOCENTES[DATOS_DOCENTE],MDOCENTES[DEDICACION],"Seleccione Docente")</f>
        <v>Seleccione Docente</v>
      </c>
      <c r="O65" t="str">
        <f>_xlfn.XLOOKUP(Tabla1[[#This Row],[NOMBRE_DOCENT]],MDOCENTES[DATOS_DOCENTE],MDOCENTES[ESTUDIO],"Seleccione Docente")</f>
        <v>Seleccione Docente</v>
      </c>
      <c r="P65">
        <f t="shared" si="0"/>
        <v>0</v>
      </c>
      <c r="Q65">
        <f t="shared" si="1"/>
        <v>0</v>
      </c>
      <c r="R65">
        <f t="shared" si="2"/>
        <v>0</v>
      </c>
      <c r="S65">
        <f t="shared" si="3"/>
        <v>0</v>
      </c>
      <c r="T65">
        <f t="shared" si="4"/>
        <v>0</v>
      </c>
      <c r="U65">
        <f>Tabla1[[#This Row],[HORAS NO AFINIDAD]]+Tabla1[[#This Row],[HORAS UNIDAD BASICA]]+Tabla1[[#This Row],[HORAS AFINIDAD]]</f>
        <v>0</v>
      </c>
      <c r="V65">
        <f>+Tabla1[[#This Row],[HORAS AFINIDAD]]+Tabla1[[#This Row],[HORAS ACTIVIDAD]]+Tabla1[[#This Row],[HORAS UNIDAD BASICA]]+Tabla1[[#This Row],[HORAS NO AFINIDAD]]</f>
        <v>0</v>
      </c>
    </row>
    <row r="66" spans="1:22" ht="18.75" customHeight="1">
      <c r="A66">
        <v>65</v>
      </c>
      <c r="C66" t="str">
        <f>_xlfn.XLOOKUP(Tabla1[[#This Row],[CARRERA]],MAE_CARRERA[NOMBRE_CARRERA],MAE_CARRERA[ID_CARRERA],"Seleccione Carrera")</f>
        <v>Seleccione Carrera</v>
      </c>
      <c r="F66" s="1"/>
      <c r="G66" t="str">
        <f>_xlfn.XLOOKUP(Tabla1[[#This Row],[ASIGNATURA]],MAE_ASIGNATURA[NOM_ASIG],MAE_ASIGNATURA[ID_ASIG],"Seleccione Asignatura")</f>
        <v>Seleccione Asignatura</v>
      </c>
      <c r="H66" s="1" t="str" cm="1">
        <f t="array" ref="H66">_xlfn.TEXTJOIN("; ",TRUE,TRANSPOSE(_xlfn.UNIQUE(_xlfn._xlws.FILTER(DET_ASIG[DETALLADO],(DET_ASIG[NIVEL]=ASIGNACION!$D66)*(DET_ASIG[ID_CARRERA]=ASIGNACION!$C66)*(DET_ASIG[ID_ASIG]=ASIGNACION!$G66),"No existe información"))))</f>
        <v>No existe información</v>
      </c>
      <c r="I66" s="1"/>
      <c r="J66">
        <f>_xlfn.XLOOKUP(Tabla1[[#This Row],[ID_ASIG_CAM_DET]],MAE_ASIGNATURA[ID_ASIG],MAE_ASIGNATURA[HORAS],0)</f>
        <v>0</v>
      </c>
      <c r="K66">
        <v>4</v>
      </c>
      <c r="L66" s="2">
        <f>+Tabla1[[#This Row],[CALCULAR HORA]]*Tabla1[[#This Row],[HORAS]]</f>
        <v>0</v>
      </c>
      <c r="N66" t="str">
        <f>_xlfn.XLOOKUP(Tabla1[[#This Row],[NOMBRE_DOCENT]],MDOCENTES[DATOS_DOCENTE],MDOCENTES[DEDICACION],"Seleccione Docente")</f>
        <v>Seleccione Docente</v>
      </c>
      <c r="O66" t="str">
        <f>_xlfn.XLOOKUP(Tabla1[[#This Row],[NOMBRE_DOCENT]],MDOCENTES[DATOS_DOCENTE],MDOCENTES[ESTUDIO],"Seleccione Docente")</f>
        <v>Seleccione Docente</v>
      </c>
      <c r="P66">
        <f t="shared" ref="P66:P129" si="5">COUNTIFS($M:$M, M66, $H:$H, "&lt;&gt;ACTIVIDAD")</f>
        <v>0</v>
      </c>
      <c r="Q66">
        <f t="shared" ref="Q66:Q129" si="6">SUMIFS($L:$L, $M:$M, M66, $I:$I, "NO",$H:$H,"&lt;&gt;UNIDAD BASICA")</f>
        <v>0</v>
      </c>
      <c r="R66">
        <f t="shared" ref="R66:R129" si="7">SUMIFS($L:$L, $M:$M, M66, $H:$H, "UNIDAD BASICA",$I:$I,"NO")</f>
        <v>0</v>
      </c>
      <c r="S66">
        <f t="shared" ref="S66:S129" si="8">SUMIFS($L:$L, $M:$M, M66, $I:$I, "ACTIVIDAD")</f>
        <v>0</v>
      </c>
      <c r="T66">
        <f t="shared" ref="T66:T129" si="9">SUMIFS($L:$L, $M:$M, M66, $I:$I, "SI")</f>
        <v>0</v>
      </c>
      <c r="U66">
        <f>Tabla1[[#This Row],[HORAS NO AFINIDAD]]+Tabla1[[#This Row],[HORAS UNIDAD BASICA]]+Tabla1[[#This Row],[HORAS AFINIDAD]]</f>
        <v>0</v>
      </c>
      <c r="V66">
        <f>+Tabla1[[#This Row],[HORAS AFINIDAD]]+Tabla1[[#This Row],[HORAS ACTIVIDAD]]+Tabla1[[#This Row],[HORAS UNIDAD BASICA]]+Tabla1[[#This Row],[HORAS NO AFINIDAD]]</f>
        <v>0</v>
      </c>
    </row>
    <row r="67" spans="1:22" ht="18.75" customHeight="1">
      <c r="A67">
        <v>66</v>
      </c>
      <c r="C67" t="str">
        <f>_xlfn.XLOOKUP(Tabla1[[#This Row],[CARRERA]],MAE_CARRERA[NOMBRE_CARRERA],MAE_CARRERA[ID_CARRERA],"Seleccione Carrera")</f>
        <v>Seleccione Carrera</v>
      </c>
      <c r="F67" s="1"/>
      <c r="G67" t="str">
        <f>_xlfn.XLOOKUP(Tabla1[[#This Row],[ASIGNATURA]],MAE_ASIGNATURA[NOM_ASIG],MAE_ASIGNATURA[ID_ASIG],"Seleccione Asignatura")</f>
        <v>Seleccione Asignatura</v>
      </c>
      <c r="H67" s="1" t="str" cm="1">
        <f t="array" ref="H67">_xlfn.TEXTJOIN("; ",TRUE,TRANSPOSE(_xlfn.UNIQUE(_xlfn._xlws.FILTER(DET_ASIG[DETALLADO],(DET_ASIG[NIVEL]=ASIGNACION!$D67)*(DET_ASIG[ID_CARRERA]=ASIGNACION!$C67)*(DET_ASIG[ID_ASIG]=ASIGNACION!$G67),"No existe información"))))</f>
        <v>No existe información</v>
      </c>
      <c r="I67" s="1"/>
      <c r="J67">
        <f>_xlfn.XLOOKUP(Tabla1[[#This Row],[ID_ASIG_CAM_DET]],MAE_ASIGNATURA[ID_ASIG],MAE_ASIGNATURA[HORAS],0)</f>
        <v>0</v>
      </c>
      <c r="K67">
        <v>4</v>
      </c>
      <c r="L67" s="2">
        <f>+Tabla1[[#This Row],[CALCULAR HORA]]*Tabla1[[#This Row],[HORAS]]</f>
        <v>0</v>
      </c>
      <c r="N67" t="str">
        <f>_xlfn.XLOOKUP(Tabla1[[#This Row],[NOMBRE_DOCENT]],MDOCENTES[DATOS_DOCENTE],MDOCENTES[DEDICACION],"Seleccione Docente")</f>
        <v>Seleccione Docente</v>
      </c>
      <c r="O67" t="str">
        <f>_xlfn.XLOOKUP(Tabla1[[#This Row],[NOMBRE_DOCENT]],MDOCENTES[DATOS_DOCENTE],MDOCENTES[ESTUDIO],"Seleccione Docente")</f>
        <v>Seleccione Docente</v>
      </c>
      <c r="P67">
        <f t="shared" si="5"/>
        <v>0</v>
      </c>
      <c r="Q67">
        <f t="shared" si="6"/>
        <v>0</v>
      </c>
      <c r="R67">
        <f t="shared" si="7"/>
        <v>0</v>
      </c>
      <c r="S67">
        <f t="shared" si="8"/>
        <v>0</v>
      </c>
      <c r="T67">
        <f t="shared" si="9"/>
        <v>0</v>
      </c>
      <c r="U67">
        <f>Tabla1[[#This Row],[HORAS NO AFINIDAD]]+Tabla1[[#This Row],[HORAS UNIDAD BASICA]]+Tabla1[[#This Row],[HORAS AFINIDAD]]</f>
        <v>0</v>
      </c>
      <c r="V67">
        <f>+Tabla1[[#This Row],[HORAS AFINIDAD]]+Tabla1[[#This Row],[HORAS ACTIVIDAD]]+Tabla1[[#This Row],[HORAS UNIDAD BASICA]]+Tabla1[[#This Row],[HORAS NO AFINIDAD]]</f>
        <v>0</v>
      </c>
    </row>
    <row r="68" spans="1:22" ht="18.75" customHeight="1">
      <c r="A68">
        <v>67</v>
      </c>
      <c r="C68" t="str">
        <f>_xlfn.XLOOKUP(Tabla1[[#This Row],[CARRERA]],MAE_CARRERA[NOMBRE_CARRERA],MAE_CARRERA[ID_CARRERA],"Seleccione Carrera")</f>
        <v>Seleccione Carrera</v>
      </c>
      <c r="F68" s="1"/>
      <c r="G68" t="str">
        <f>_xlfn.XLOOKUP(Tabla1[[#This Row],[ASIGNATURA]],MAE_ASIGNATURA[NOM_ASIG],MAE_ASIGNATURA[ID_ASIG],"Seleccione Asignatura")</f>
        <v>Seleccione Asignatura</v>
      </c>
      <c r="H68" s="1" t="str" cm="1">
        <f t="array" ref="H68">_xlfn.TEXTJOIN("; ",TRUE,TRANSPOSE(_xlfn.UNIQUE(_xlfn._xlws.FILTER(DET_ASIG[DETALLADO],(DET_ASIG[NIVEL]=ASIGNACION!$D68)*(DET_ASIG[ID_CARRERA]=ASIGNACION!$C68)*(DET_ASIG[ID_ASIG]=ASIGNACION!$G68),"No existe información"))))</f>
        <v>No existe información</v>
      </c>
      <c r="I68" s="1"/>
      <c r="J68">
        <f>_xlfn.XLOOKUP(Tabla1[[#This Row],[ID_ASIG_CAM_DET]],MAE_ASIGNATURA[ID_ASIG],MAE_ASIGNATURA[HORAS],0)</f>
        <v>0</v>
      </c>
      <c r="K68">
        <v>4</v>
      </c>
      <c r="L68" s="2">
        <f>+Tabla1[[#This Row],[CALCULAR HORA]]*Tabla1[[#This Row],[HORAS]]</f>
        <v>0</v>
      </c>
      <c r="N68" t="str">
        <f>_xlfn.XLOOKUP(Tabla1[[#This Row],[NOMBRE_DOCENT]],MDOCENTES[DATOS_DOCENTE],MDOCENTES[DEDICACION],"Seleccione Docente")</f>
        <v>Seleccione Docente</v>
      </c>
      <c r="O68" t="str">
        <f>_xlfn.XLOOKUP(Tabla1[[#This Row],[NOMBRE_DOCENT]],MDOCENTES[DATOS_DOCENTE],MDOCENTES[ESTUDIO],"Seleccione Docente")</f>
        <v>Seleccione Docente</v>
      </c>
      <c r="P68">
        <f t="shared" si="5"/>
        <v>0</v>
      </c>
      <c r="Q68">
        <f t="shared" si="6"/>
        <v>0</v>
      </c>
      <c r="R68">
        <f t="shared" si="7"/>
        <v>0</v>
      </c>
      <c r="S68">
        <f t="shared" si="8"/>
        <v>0</v>
      </c>
      <c r="T68">
        <f t="shared" si="9"/>
        <v>0</v>
      </c>
      <c r="U68">
        <f>Tabla1[[#This Row],[HORAS NO AFINIDAD]]+Tabla1[[#This Row],[HORAS UNIDAD BASICA]]+Tabla1[[#This Row],[HORAS AFINIDAD]]</f>
        <v>0</v>
      </c>
      <c r="V68">
        <f>+Tabla1[[#This Row],[HORAS AFINIDAD]]+Tabla1[[#This Row],[HORAS ACTIVIDAD]]+Tabla1[[#This Row],[HORAS UNIDAD BASICA]]+Tabla1[[#This Row],[HORAS NO AFINIDAD]]</f>
        <v>0</v>
      </c>
    </row>
    <row r="69" spans="1:22" ht="18.75" customHeight="1">
      <c r="A69">
        <v>68</v>
      </c>
      <c r="C69" t="str">
        <f>_xlfn.XLOOKUP(Tabla1[[#This Row],[CARRERA]],MAE_CARRERA[NOMBRE_CARRERA],MAE_CARRERA[ID_CARRERA],"Seleccione Carrera")</f>
        <v>Seleccione Carrera</v>
      </c>
      <c r="F69" s="1"/>
      <c r="G69" t="str">
        <f>_xlfn.XLOOKUP(Tabla1[[#This Row],[ASIGNATURA]],MAE_ASIGNATURA[NOM_ASIG],MAE_ASIGNATURA[ID_ASIG],"Seleccione Asignatura")</f>
        <v>Seleccione Asignatura</v>
      </c>
      <c r="H69" s="1" t="str" cm="1">
        <f t="array" ref="H69">_xlfn.TEXTJOIN("; ",TRUE,TRANSPOSE(_xlfn.UNIQUE(_xlfn._xlws.FILTER(DET_ASIG[DETALLADO],(DET_ASIG[NIVEL]=ASIGNACION!$D69)*(DET_ASIG[ID_CARRERA]=ASIGNACION!$C69)*(DET_ASIG[ID_ASIG]=ASIGNACION!$G69),"No existe información"))))</f>
        <v>No existe información</v>
      </c>
      <c r="I69" s="1"/>
      <c r="J69">
        <f>_xlfn.XLOOKUP(Tabla1[[#This Row],[ID_ASIG_CAM_DET]],MAE_ASIGNATURA[ID_ASIG],MAE_ASIGNATURA[HORAS],0)</f>
        <v>0</v>
      </c>
      <c r="K69">
        <v>4</v>
      </c>
      <c r="L69" s="2">
        <f>+Tabla1[[#This Row],[CALCULAR HORA]]*Tabla1[[#This Row],[HORAS]]</f>
        <v>0</v>
      </c>
      <c r="N69" t="str">
        <f>_xlfn.XLOOKUP(Tabla1[[#This Row],[NOMBRE_DOCENT]],MDOCENTES[DATOS_DOCENTE],MDOCENTES[DEDICACION],"Seleccione Docente")</f>
        <v>Seleccione Docente</v>
      </c>
      <c r="O69" t="str">
        <f>_xlfn.XLOOKUP(Tabla1[[#This Row],[NOMBRE_DOCENT]],MDOCENTES[DATOS_DOCENTE],MDOCENTES[ESTUDIO],"Seleccione Docente")</f>
        <v>Seleccione Docente</v>
      </c>
      <c r="P69">
        <f t="shared" si="5"/>
        <v>0</v>
      </c>
      <c r="Q69">
        <f t="shared" si="6"/>
        <v>0</v>
      </c>
      <c r="R69">
        <f t="shared" si="7"/>
        <v>0</v>
      </c>
      <c r="S69">
        <f t="shared" si="8"/>
        <v>0</v>
      </c>
      <c r="T69">
        <f t="shared" si="9"/>
        <v>0</v>
      </c>
      <c r="U69">
        <f>Tabla1[[#This Row],[HORAS NO AFINIDAD]]+Tabla1[[#This Row],[HORAS UNIDAD BASICA]]+Tabla1[[#This Row],[HORAS AFINIDAD]]</f>
        <v>0</v>
      </c>
      <c r="V69">
        <f>+Tabla1[[#This Row],[HORAS AFINIDAD]]+Tabla1[[#This Row],[HORAS ACTIVIDAD]]+Tabla1[[#This Row],[HORAS UNIDAD BASICA]]+Tabla1[[#This Row],[HORAS NO AFINIDAD]]</f>
        <v>0</v>
      </c>
    </row>
    <row r="70" spans="1:22" ht="18.75" customHeight="1">
      <c r="A70">
        <v>69</v>
      </c>
      <c r="C70" t="str">
        <f>_xlfn.XLOOKUP(Tabla1[[#This Row],[CARRERA]],MAE_CARRERA[NOMBRE_CARRERA],MAE_CARRERA[ID_CARRERA],"Seleccione Carrera")</f>
        <v>Seleccione Carrera</v>
      </c>
      <c r="F70" s="1"/>
      <c r="G70" t="str">
        <f>_xlfn.XLOOKUP(Tabla1[[#This Row],[ASIGNATURA]],MAE_ASIGNATURA[NOM_ASIG],MAE_ASIGNATURA[ID_ASIG],"Seleccione Asignatura")</f>
        <v>Seleccione Asignatura</v>
      </c>
      <c r="H70" s="1" t="str" cm="1">
        <f t="array" ref="H70">_xlfn.TEXTJOIN("; ",TRUE,TRANSPOSE(_xlfn.UNIQUE(_xlfn._xlws.FILTER(DET_ASIG[DETALLADO],(DET_ASIG[NIVEL]=ASIGNACION!$D70)*(DET_ASIG[ID_CARRERA]=ASIGNACION!$C70)*(DET_ASIG[ID_ASIG]=ASIGNACION!$G70),"No existe información"))))</f>
        <v>No existe información</v>
      </c>
      <c r="I70" s="1"/>
      <c r="J70">
        <f>_xlfn.XLOOKUP(Tabla1[[#This Row],[ID_ASIG_CAM_DET]],MAE_ASIGNATURA[ID_ASIG],MAE_ASIGNATURA[HORAS],0)</f>
        <v>0</v>
      </c>
      <c r="K70">
        <v>4</v>
      </c>
      <c r="L70" s="2">
        <f>+Tabla1[[#This Row],[CALCULAR HORA]]*Tabla1[[#This Row],[HORAS]]</f>
        <v>0</v>
      </c>
      <c r="N70" t="str">
        <f>_xlfn.XLOOKUP(Tabla1[[#This Row],[NOMBRE_DOCENT]],MDOCENTES[DATOS_DOCENTE],MDOCENTES[DEDICACION],"Seleccione Docente")</f>
        <v>Seleccione Docente</v>
      </c>
      <c r="O70" t="str">
        <f>_xlfn.XLOOKUP(Tabla1[[#This Row],[NOMBRE_DOCENT]],MDOCENTES[DATOS_DOCENTE],MDOCENTES[ESTUDIO],"Seleccione Docente")</f>
        <v>Seleccione Docente</v>
      </c>
      <c r="P70">
        <f t="shared" si="5"/>
        <v>0</v>
      </c>
      <c r="Q70">
        <f t="shared" si="6"/>
        <v>0</v>
      </c>
      <c r="R70">
        <f t="shared" si="7"/>
        <v>0</v>
      </c>
      <c r="S70">
        <f t="shared" si="8"/>
        <v>0</v>
      </c>
      <c r="T70">
        <f t="shared" si="9"/>
        <v>0</v>
      </c>
      <c r="U70">
        <f>Tabla1[[#This Row],[HORAS NO AFINIDAD]]+Tabla1[[#This Row],[HORAS UNIDAD BASICA]]+Tabla1[[#This Row],[HORAS AFINIDAD]]</f>
        <v>0</v>
      </c>
      <c r="V70">
        <f>+Tabla1[[#This Row],[HORAS AFINIDAD]]+Tabla1[[#This Row],[HORAS ACTIVIDAD]]+Tabla1[[#This Row],[HORAS UNIDAD BASICA]]+Tabla1[[#This Row],[HORAS NO AFINIDAD]]</f>
        <v>0</v>
      </c>
    </row>
    <row r="71" spans="1:22" ht="18.75" customHeight="1">
      <c r="A71">
        <v>70</v>
      </c>
      <c r="C71" t="str">
        <f>_xlfn.XLOOKUP(Tabla1[[#This Row],[CARRERA]],MAE_CARRERA[NOMBRE_CARRERA],MAE_CARRERA[ID_CARRERA],"Seleccione Carrera")</f>
        <v>Seleccione Carrera</v>
      </c>
      <c r="F71" s="1"/>
      <c r="G71" t="str">
        <f>_xlfn.XLOOKUP(Tabla1[[#This Row],[ASIGNATURA]],MAE_ASIGNATURA[NOM_ASIG],MAE_ASIGNATURA[ID_ASIG],"Seleccione Asignatura")</f>
        <v>Seleccione Asignatura</v>
      </c>
      <c r="H71" s="1" t="str" cm="1">
        <f t="array" ref="H71">_xlfn.TEXTJOIN("; ",TRUE,TRANSPOSE(_xlfn.UNIQUE(_xlfn._xlws.FILTER(DET_ASIG[DETALLADO],(DET_ASIG[NIVEL]=ASIGNACION!$D71)*(DET_ASIG[ID_CARRERA]=ASIGNACION!$C71)*(DET_ASIG[ID_ASIG]=ASIGNACION!$G71),"No existe información"))))</f>
        <v>No existe información</v>
      </c>
      <c r="I71" s="1"/>
      <c r="J71">
        <f>_xlfn.XLOOKUP(Tabla1[[#This Row],[ID_ASIG_CAM_DET]],MAE_ASIGNATURA[ID_ASIG],MAE_ASIGNATURA[HORAS],0)</f>
        <v>0</v>
      </c>
      <c r="K71">
        <v>4</v>
      </c>
      <c r="L71" s="2">
        <f>+Tabla1[[#This Row],[CALCULAR HORA]]*Tabla1[[#This Row],[HORAS]]</f>
        <v>0</v>
      </c>
      <c r="N71" t="str">
        <f>_xlfn.XLOOKUP(Tabla1[[#This Row],[NOMBRE_DOCENT]],MDOCENTES[DATOS_DOCENTE],MDOCENTES[DEDICACION],"Seleccione Docente")</f>
        <v>Seleccione Docente</v>
      </c>
      <c r="O71" t="str">
        <f>_xlfn.XLOOKUP(Tabla1[[#This Row],[NOMBRE_DOCENT]],MDOCENTES[DATOS_DOCENTE],MDOCENTES[ESTUDIO],"Seleccione Docente")</f>
        <v>Seleccione Docente</v>
      </c>
      <c r="P71">
        <f t="shared" si="5"/>
        <v>0</v>
      </c>
      <c r="Q71">
        <f t="shared" si="6"/>
        <v>0</v>
      </c>
      <c r="R71">
        <f t="shared" si="7"/>
        <v>0</v>
      </c>
      <c r="S71">
        <f t="shared" si="8"/>
        <v>0</v>
      </c>
      <c r="T71">
        <f t="shared" si="9"/>
        <v>0</v>
      </c>
      <c r="U71">
        <f>Tabla1[[#This Row],[HORAS NO AFINIDAD]]+Tabla1[[#This Row],[HORAS UNIDAD BASICA]]+Tabla1[[#This Row],[HORAS AFINIDAD]]</f>
        <v>0</v>
      </c>
      <c r="V71">
        <f>+Tabla1[[#This Row],[HORAS AFINIDAD]]+Tabla1[[#This Row],[HORAS ACTIVIDAD]]+Tabla1[[#This Row],[HORAS UNIDAD BASICA]]+Tabla1[[#This Row],[HORAS NO AFINIDAD]]</f>
        <v>0</v>
      </c>
    </row>
    <row r="72" spans="1:22" ht="18.75" customHeight="1">
      <c r="A72">
        <v>71</v>
      </c>
      <c r="C72" t="str">
        <f>_xlfn.XLOOKUP(Tabla1[[#This Row],[CARRERA]],MAE_CARRERA[NOMBRE_CARRERA],MAE_CARRERA[ID_CARRERA],"Seleccione Carrera")</f>
        <v>Seleccione Carrera</v>
      </c>
      <c r="F72" s="1"/>
      <c r="G72" t="str">
        <f>_xlfn.XLOOKUP(Tabla1[[#This Row],[ASIGNATURA]],MAE_ASIGNATURA[NOM_ASIG],MAE_ASIGNATURA[ID_ASIG],"Seleccione Asignatura")</f>
        <v>Seleccione Asignatura</v>
      </c>
      <c r="H72" s="1" t="str" cm="1">
        <f t="array" ref="H72">_xlfn.TEXTJOIN("; ",TRUE,TRANSPOSE(_xlfn.UNIQUE(_xlfn._xlws.FILTER(DET_ASIG[DETALLADO],(DET_ASIG[NIVEL]=ASIGNACION!$D72)*(DET_ASIG[ID_CARRERA]=ASIGNACION!$C72)*(DET_ASIG[ID_ASIG]=ASIGNACION!$G72),"No existe información"))))</f>
        <v>No existe información</v>
      </c>
      <c r="I72" s="1"/>
      <c r="J72">
        <f>_xlfn.XLOOKUP(Tabla1[[#This Row],[ID_ASIG_CAM_DET]],MAE_ASIGNATURA[ID_ASIG],MAE_ASIGNATURA[HORAS],0)</f>
        <v>0</v>
      </c>
      <c r="K72">
        <v>4</v>
      </c>
      <c r="L72" s="2">
        <f>+Tabla1[[#This Row],[CALCULAR HORA]]*Tabla1[[#This Row],[HORAS]]</f>
        <v>0</v>
      </c>
      <c r="N72" t="str">
        <f>_xlfn.XLOOKUP(Tabla1[[#This Row],[NOMBRE_DOCENT]],MDOCENTES[DATOS_DOCENTE],MDOCENTES[DEDICACION],"Seleccione Docente")</f>
        <v>Seleccione Docente</v>
      </c>
      <c r="O72" t="str">
        <f>_xlfn.XLOOKUP(Tabla1[[#This Row],[NOMBRE_DOCENT]],MDOCENTES[DATOS_DOCENTE],MDOCENTES[ESTUDIO],"Seleccione Docente")</f>
        <v>Seleccione Docente</v>
      </c>
      <c r="P72">
        <f t="shared" si="5"/>
        <v>0</v>
      </c>
      <c r="Q72">
        <f t="shared" si="6"/>
        <v>0</v>
      </c>
      <c r="R72">
        <f t="shared" si="7"/>
        <v>0</v>
      </c>
      <c r="S72">
        <f t="shared" si="8"/>
        <v>0</v>
      </c>
      <c r="T72">
        <f t="shared" si="9"/>
        <v>0</v>
      </c>
      <c r="U72">
        <f>Tabla1[[#This Row],[HORAS NO AFINIDAD]]+Tabla1[[#This Row],[HORAS UNIDAD BASICA]]+Tabla1[[#This Row],[HORAS AFINIDAD]]</f>
        <v>0</v>
      </c>
      <c r="V72">
        <f>+Tabla1[[#This Row],[HORAS AFINIDAD]]+Tabla1[[#This Row],[HORAS ACTIVIDAD]]+Tabla1[[#This Row],[HORAS UNIDAD BASICA]]+Tabla1[[#This Row],[HORAS NO AFINIDAD]]</f>
        <v>0</v>
      </c>
    </row>
    <row r="73" spans="1:22" ht="18.75" customHeight="1">
      <c r="A73">
        <v>72</v>
      </c>
      <c r="C73" t="str">
        <f>_xlfn.XLOOKUP(Tabla1[[#This Row],[CARRERA]],MAE_CARRERA[NOMBRE_CARRERA],MAE_CARRERA[ID_CARRERA],"Seleccione Carrera")</f>
        <v>Seleccione Carrera</v>
      </c>
      <c r="F73" s="1"/>
      <c r="G73" t="str">
        <f>_xlfn.XLOOKUP(Tabla1[[#This Row],[ASIGNATURA]],MAE_ASIGNATURA[NOM_ASIG],MAE_ASIGNATURA[ID_ASIG],"Seleccione Asignatura")</f>
        <v>Seleccione Asignatura</v>
      </c>
      <c r="H73" s="1" t="str" cm="1">
        <f t="array" ref="H73">_xlfn.TEXTJOIN("; ",TRUE,TRANSPOSE(_xlfn.UNIQUE(_xlfn._xlws.FILTER(DET_ASIG[DETALLADO],(DET_ASIG[NIVEL]=ASIGNACION!$D73)*(DET_ASIG[ID_CARRERA]=ASIGNACION!$C73)*(DET_ASIG[ID_ASIG]=ASIGNACION!$G73),"No existe información"))))</f>
        <v>No existe información</v>
      </c>
      <c r="I73" s="1"/>
      <c r="J73">
        <f>_xlfn.XLOOKUP(Tabla1[[#This Row],[ID_ASIG_CAM_DET]],MAE_ASIGNATURA[ID_ASIG],MAE_ASIGNATURA[HORAS],0)</f>
        <v>0</v>
      </c>
      <c r="K73">
        <v>4</v>
      </c>
      <c r="L73" s="2">
        <f>+Tabla1[[#This Row],[CALCULAR HORA]]*Tabla1[[#This Row],[HORAS]]</f>
        <v>0</v>
      </c>
      <c r="N73" t="str">
        <f>_xlfn.XLOOKUP(Tabla1[[#This Row],[NOMBRE_DOCENT]],MDOCENTES[DATOS_DOCENTE],MDOCENTES[DEDICACION],"Seleccione Docente")</f>
        <v>Seleccione Docente</v>
      </c>
      <c r="O73" t="str">
        <f>_xlfn.XLOOKUP(Tabla1[[#This Row],[NOMBRE_DOCENT]],MDOCENTES[DATOS_DOCENTE],MDOCENTES[ESTUDIO],"Seleccione Docente")</f>
        <v>Seleccione Docente</v>
      </c>
      <c r="P73">
        <f t="shared" si="5"/>
        <v>0</v>
      </c>
      <c r="Q73">
        <f t="shared" si="6"/>
        <v>0</v>
      </c>
      <c r="R73">
        <f t="shared" si="7"/>
        <v>0</v>
      </c>
      <c r="S73">
        <f t="shared" si="8"/>
        <v>0</v>
      </c>
      <c r="T73">
        <f t="shared" si="9"/>
        <v>0</v>
      </c>
      <c r="U73">
        <f>Tabla1[[#This Row],[HORAS NO AFINIDAD]]+Tabla1[[#This Row],[HORAS UNIDAD BASICA]]+Tabla1[[#This Row],[HORAS AFINIDAD]]</f>
        <v>0</v>
      </c>
      <c r="V73">
        <f>+Tabla1[[#This Row],[HORAS AFINIDAD]]+Tabla1[[#This Row],[HORAS ACTIVIDAD]]+Tabla1[[#This Row],[HORAS UNIDAD BASICA]]+Tabla1[[#This Row],[HORAS NO AFINIDAD]]</f>
        <v>0</v>
      </c>
    </row>
    <row r="74" spans="1:22" ht="18.75" customHeight="1">
      <c r="A74">
        <v>73</v>
      </c>
      <c r="C74" t="str">
        <f>_xlfn.XLOOKUP(Tabla1[[#This Row],[CARRERA]],MAE_CARRERA[NOMBRE_CARRERA],MAE_CARRERA[ID_CARRERA],"Seleccione Carrera")</f>
        <v>Seleccione Carrera</v>
      </c>
      <c r="F74" s="1"/>
      <c r="G74" t="str">
        <f>_xlfn.XLOOKUP(Tabla1[[#This Row],[ASIGNATURA]],MAE_ASIGNATURA[NOM_ASIG],MAE_ASIGNATURA[ID_ASIG],"Seleccione Asignatura")</f>
        <v>Seleccione Asignatura</v>
      </c>
      <c r="H74" s="1" t="str" cm="1">
        <f t="array" ref="H74">_xlfn.TEXTJOIN("; ",TRUE,TRANSPOSE(_xlfn.UNIQUE(_xlfn._xlws.FILTER(DET_ASIG[DETALLADO],(DET_ASIG[NIVEL]=ASIGNACION!$D74)*(DET_ASIG[ID_CARRERA]=ASIGNACION!$C74)*(DET_ASIG[ID_ASIG]=ASIGNACION!$G74),"No existe información"))))</f>
        <v>No existe información</v>
      </c>
      <c r="I74" s="1"/>
      <c r="J74">
        <f>_xlfn.XLOOKUP(Tabla1[[#This Row],[ID_ASIG_CAM_DET]],MAE_ASIGNATURA[ID_ASIG],MAE_ASIGNATURA[HORAS],0)</f>
        <v>0</v>
      </c>
      <c r="K74">
        <v>4</v>
      </c>
      <c r="L74" s="2">
        <f>+Tabla1[[#This Row],[CALCULAR HORA]]*Tabla1[[#This Row],[HORAS]]</f>
        <v>0</v>
      </c>
      <c r="N74" t="str">
        <f>_xlfn.XLOOKUP(Tabla1[[#This Row],[NOMBRE_DOCENT]],MDOCENTES[DATOS_DOCENTE],MDOCENTES[DEDICACION],"Seleccione Docente")</f>
        <v>Seleccione Docente</v>
      </c>
      <c r="O74" t="str">
        <f>_xlfn.XLOOKUP(Tabla1[[#This Row],[NOMBRE_DOCENT]],MDOCENTES[DATOS_DOCENTE],MDOCENTES[ESTUDIO],"Seleccione Docente")</f>
        <v>Seleccione Docente</v>
      </c>
      <c r="P74">
        <f t="shared" si="5"/>
        <v>0</v>
      </c>
      <c r="Q74">
        <f t="shared" si="6"/>
        <v>0</v>
      </c>
      <c r="R74">
        <f t="shared" si="7"/>
        <v>0</v>
      </c>
      <c r="S74">
        <f t="shared" si="8"/>
        <v>0</v>
      </c>
      <c r="T74">
        <f t="shared" si="9"/>
        <v>0</v>
      </c>
      <c r="U74">
        <f>Tabla1[[#This Row],[HORAS NO AFINIDAD]]+Tabla1[[#This Row],[HORAS UNIDAD BASICA]]+Tabla1[[#This Row],[HORAS AFINIDAD]]</f>
        <v>0</v>
      </c>
      <c r="V74">
        <f>+Tabla1[[#This Row],[HORAS AFINIDAD]]+Tabla1[[#This Row],[HORAS ACTIVIDAD]]+Tabla1[[#This Row],[HORAS UNIDAD BASICA]]+Tabla1[[#This Row],[HORAS NO AFINIDAD]]</f>
        <v>0</v>
      </c>
    </row>
    <row r="75" spans="1:22" ht="18.75" customHeight="1">
      <c r="A75">
        <v>74</v>
      </c>
      <c r="C75" t="str">
        <f>_xlfn.XLOOKUP(Tabla1[[#This Row],[CARRERA]],MAE_CARRERA[NOMBRE_CARRERA],MAE_CARRERA[ID_CARRERA],"Seleccione Carrera")</f>
        <v>Seleccione Carrera</v>
      </c>
      <c r="F75" s="1"/>
      <c r="G75" t="str">
        <f>_xlfn.XLOOKUP(Tabla1[[#This Row],[ASIGNATURA]],MAE_ASIGNATURA[NOM_ASIG],MAE_ASIGNATURA[ID_ASIG],"Seleccione Asignatura")</f>
        <v>Seleccione Asignatura</v>
      </c>
      <c r="H75" s="1" t="str" cm="1">
        <f t="array" ref="H75">_xlfn.TEXTJOIN("; ",TRUE,TRANSPOSE(_xlfn.UNIQUE(_xlfn._xlws.FILTER(DET_ASIG[DETALLADO],(DET_ASIG[NIVEL]=ASIGNACION!$D75)*(DET_ASIG[ID_CARRERA]=ASIGNACION!$C75)*(DET_ASIG[ID_ASIG]=ASIGNACION!$G75),"No existe información"))))</f>
        <v>No existe información</v>
      </c>
      <c r="I75" s="1"/>
      <c r="J75">
        <f>_xlfn.XLOOKUP(Tabla1[[#This Row],[ID_ASIG_CAM_DET]],MAE_ASIGNATURA[ID_ASIG],MAE_ASIGNATURA[HORAS],0)</f>
        <v>0</v>
      </c>
      <c r="K75">
        <v>4</v>
      </c>
      <c r="L75" s="2">
        <f>+Tabla1[[#This Row],[CALCULAR HORA]]*Tabla1[[#This Row],[HORAS]]</f>
        <v>0</v>
      </c>
      <c r="N75" t="str">
        <f>_xlfn.XLOOKUP(Tabla1[[#This Row],[NOMBRE_DOCENT]],MDOCENTES[DATOS_DOCENTE],MDOCENTES[DEDICACION],"Seleccione Docente")</f>
        <v>Seleccione Docente</v>
      </c>
      <c r="O75" t="str">
        <f>_xlfn.XLOOKUP(Tabla1[[#This Row],[NOMBRE_DOCENT]],MDOCENTES[DATOS_DOCENTE],MDOCENTES[ESTUDIO],"Seleccione Docente")</f>
        <v>Seleccione Docente</v>
      </c>
      <c r="P75">
        <f t="shared" si="5"/>
        <v>0</v>
      </c>
      <c r="Q75">
        <f t="shared" si="6"/>
        <v>0</v>
      </c>
      <c r="R75">
        <f t="shared" si="7"/>
        <v>0</v>
      </c>
      <c r="S75">
        <f t="shared" si="8"/>
        <v>0</v>
      </c>
      <c r="T75">
        <f t="shared" si="9"/>
        <v>0</v>
      </c>
      <c r="U75">
        <f>Tabla1[[#This Row],[HORAS NO AFINIDAD]]+Tabla1[[#This Row],[HORAS UNIDAD BASICA]]+Tabla1[[#This Row],[HORAS AFINIDAD]]</f>
        <v>0</v>
      </c>
      <c r="V75">
        <f>+Tabla1[[#This Row],[HORAS AFINIDAD]]+Tabla1[[#This Row],[HORAS ACTIVIDAD]]+Tabla1[[#This Row],[HORAS UNIDAD BASICA]]+Tabla1[[#This Row],[HORAS NO AFINIDAD]]</f>
        <v>0</v>
      </c>
    </row>
    <row r="76" spans="1:22" ht="18.75" customHeight="1">
      <c r="A76">
        <v>75</v>
      </c>
      <c r="C76" t="str">
        <f>_xlfn.XLOOKUP(Tabla1[[#This Row],[CARRERA]],MAE_CARRERA[NOMBRE_CARRERA],MAE_CARRERA[ID_CARRERA],"Seleccione Carrera")</f>
        <v>Seleccione Carrera</v>
      </c>
      <c r="F76" s="1"/>
      <c r="G76" t="str">
        <f>_xlfn.XLOOKUP(Tabla1[[#This Row],[ASIGNATURA]],MAE_ASIGNATURA[NOM_ASIG],MAE_ASIGNATURA[ID_ASIG],"Seleccione Asignatura")</f>
        <v>Seleccione Asignatura</v>
      </c>
      <c r="H76" s="1" t="str" cm="1">
        <f t="array" ref="H76">_xlfn.TEXTJOIN("; ",TRUE,TRANSPOSE(_xlfn.UNIQUE(_xlfn._xlws.FILTER(DET_ASIG[DETALLADO],(DET_ASIG[NIVEL]=ASIGNACION!$D76)*(DET_ASIG[ID_CARRERA]=ASIGNACION!$C76)*(DET_ASIG[ID_ASIG]=ASIGNACION!$G76),"No existe información"))))</f>
        <v>No existe información</v>
      </c>
      <c r="I76" s="1"/>
      <c r="J76">
        <f>_xlfn.XLOOKUP(Tabla1[[#This Row],[ID_ASIG_CAM_DET]],MAE_ASIGNATURA[ID_ASIG],MAE_ASIGNATURA[HORAS],0)</f>
        <v>0</v>
      </c>
      <c r="K76">
        <v>4</v>
      </c>
      <c r="L76" s="2">
        <f>+Tabla1[[#This Row],[CALCULAR HORA]]*Tabla1[[#This Row],[HORAS]]</f>
        <v>0</v>
      </c>
      <c r="N76" t="str">
        <f>_xlfn.XLOOKUP(Tabla1[[#This Row],[NOMBRE_DOCENT]],MDOCENTES[DATOS_DOCENTE],MDOCENTES[DEDICACION],"Seleccione Docente")</f>
        <v>Seleccione Docente</v>
      </c>
      <c r="O76" t="str">
        <f>_xlfn.XLOOKUP(Tabla1[[#This Row],[NOMBRE_DOCENT]],MDOCENTES[DATOS_DOCENTE],MDOCENTES[ESTUDIO],"Seleccione Docente")</f>
        <v>Seleccione Docente</v>
      </c>
      <c r="P76">
        <f t="shared" si="5"/>
        <v>0</v>
      </c>
      <c r="Q76">
        <f t="shared" si="6"/>
        <v>0</v>
      </c>
      <c r="R76">
        <f t="shared" si="7"/>
        <v>0</v>
      </c>
      <c r="S76">
        <f t="shared" si="8"/>
        <v>0</v>
      </c>
      <c r="T76">
        <f t="shared" si="9"/>
        <v>0</v>
      </c>
      <c r="U76">
        <f>Tabla1[[#This Row],[HORAS NO AFINIDAD]]+Tabla1[[#This Row],[HORAS UNIDAD BASICA]]+Tabla1[[#This Row],[HORAS AFINIDAD]]</f>
        <v>0</v>
      </c>
      <c r="V76">
        <f>+Tabla1[[#This Row],[HORAS AFINIDAD]]+Tabla1[[#This Row],[HORAS ACTIVIDAD]]+Tabla1[[#This Row],[HORAS UNIDAD BASICA]]+Tabla1[[#This Row],[HORAS NO AFINIDAD]]</f>
        <v>0</v>
      </c>
    </row>
    <row r="77" spans="1:22" ht="18.75" customHeight="1">
      <c r="A77">
        <v>76</v>
      </c>
      <c r="C77" t="str">
        <f>_xlfn.XLOOKUP(Tabla1[[#This Row],[CARRERA]],MAE_CARRERA[NOMBRE_CARRERA],MAE_CARRERA[ID_CARRERA],"Seleccione Carrera")</f>
        <v>Seleccione Carrera</v>
      </c>
      <c r="F77" s="1"/>
      <c r="G77" t="str">
        <f>_xlfn.XLOOKUP(Tabla1[[#This Row],[ASIGNATURA]],MAE_ASIGNATURA[NOM_ASIG],MAE_ASIGNATURA[ID_ASIG],"Seleccione Asignatura")</f>
        <v>Seleccione Asignatura</v>
      </c>
      <c r="H77" s="1" t="str" cm="1">
        <f t="array" ref="H77">_xlfn.TEXTJOIN("; ",TRUE,TRANSPOSE(_xlfn.UNIQUE(_xlfn._xlws.FILTER(DET_ASIG[DETALLADO],(DET_ASIG[NIVEL]=ASIGNACION!$D77)*(DET_ASIG[ID_CARRERA]=ASIGNACION!$C77)*(DET_ASIG[ID_ASIG]=ASIGNACION!$G77),"No existe información"))))</f>
        <v>No existe información</v>
      </c>
      <c r="I77" s="1"/>
      <c r="J77">
        <f>_xlfn.XLOOKUP(Tabla1[[#This Row],[ID_ASIG_CAM_DET]],MAE_ASIGNATURA[ID_ASIG],MAE_ASIGNATURA[HORAS],0)</f>
        <v>0</v>
      </c>
      <c r="K77">
        <v>4</v>
      </c>
      <c r="L77" s="2">
        <f>+Tabla1[[#This Row],[CALCULAR HORA]]*Tabla1[[#This Row],[HORAS]]</f>
        <v>0</v>
      </c>
      <c r="N77" t="str">
        <f>_xlfn.XLOOKUP(Tabla1[[#This Row],[NOMBRE_DOCENT]],MDOCENTES[DATOS_DOCENTE],MDOCENTES[DEDICACION],"Seleccione Docente")</f>
        <v>Seleccione Docente</v>
      </c>
      <c r="O77" t="str">
        <f>_xlfn.XLOOKUP(Tabla1[[#This Row],[NOMBRE_DOCENT]],MDOCENTES[DATOS_DOCENTE],MDOCENTES[ESTUDIO],"Seleccione Docente")</f>
        <v>Seleccione Docente</v>
      </c>
      <c r="P77">
        <f t="shared" si="5"/>
        <v>0</v>
      </c>
      <c r="Q77">
        <f t="shared" si="6"/>
        <v>0</v>
      </c>
      <c r="R77">
        <f t="shared" si="7"/>
        <v>0</v>
      </c>
      <c r="S77">
        <f t="shared" si="8"/>
        <v>0</v>
      </c>
      <c r="T77">
        <f t="shared" si="9"/>
        <v>0</v>
      </c>
      <c r="U77">
        <f>Tabla1[[#This Row],[HORAS NO AFINIDAD]]+Tabla1[[#This Row],[HORAS UNIDAD BASICA]]+Tabla1[[#This Row],[HORAS AFINIDAD]]</f>
        <v>0</v>
      </c>
      <c r="V77">
        <f>+Tabla1[[#This Row],[HORAS AFINIDAD]]+Tabla1[[#This Row],[HORAS ACTIVIDAD]]+Tabla1[[#This Row],[HORAS UNIDAD BASICA]]+Tabla1[[#This Row],[HORAS NO AFINIDAD]]</f>
        <v>0</v>
      </c>
    </row>
    <row r="78" spans="1:22" ht="18.75" customHeight="1">
      <c r="A78">
        <v>77</v>
      </c>
      <c r="C78" t="str">
        <f>_xlfn.XLOOKUP(Tabla1[[#This Row],[CARRERA]],MAE_CARRERA[NOMBRE_CARRERA],MAE_CARRERA[ID_CARRERA],"Seleccione Carrera")</f>
        <v>Seleccione Carrera</v>
      </c>
      <c r="F78" s="1"/>
      <c r="G78" t="str">
        <f>_xlfn.XLOOKUP(Tabla1[[#This Row],[ASIGNATURA]],MAE_ASIGNATURA[NOM_ASIG],MAE_ASIGNATURA[ID_ASIG],"Seleccione Asignatura")</f>
        <v>Seleccione Asignatura</v>
      </c>
      <c r="H78" s="1" t="str" cm="1">
        <f t="array" ref="H78">_xlfn.TEXTJOIN("; ",TRUE,TRANSPOSE(_xlfn.UNIQUE(_xlfn._xlws.FILTER(DET_ASIG[DETALLADO],(DET_ASIG[NIVEL]=ASIGNACION!$D78)*(DET_ASIG[ID_CARRERA]=ASIGNACION!$C78)*(DET_ASIG[ID_ASIG]=ASIGNACION!$G78),"No existe información"))))</f>
        <v>No existe información</v>
      </c>
      <c r="I78" s="1"/>
      <c r="J78">
        <f>_xlfn.XLOOKUP(Tabla1[[#This Row],[ID_ASIG_CAM_DET]],MAE_ASIGNATURA[ID_ASIG],MAE_ASIGNATURA[HORAS],0)</f>
        <v>0</v>
      </c>
      <c r="K78">
        <v>4</v>
      </c>
      <c r="L78" s="2">
        <f>+Tabla1[[#This Row],[CALCULAR HORA]]*Tabla1[[#This Row],[HORAS]]</f>
        <v>0</v>
      </c>
      <c r="N78" t="str">
        <f>_xlfn.XLOOKUP(Tabla1[[#This Row],[NOMBRE_DOCENT]],MDOCENTES[DATOS_DOCENTE],MDOCENTES[DEDICACION],"Seleccione Docente")</f>
        <v>Seleccione Docente</v>
      </c>
      <c r="O78" t="str">
        <f>_xlfn.XLOOKUP(Tabla1[[#This Row],[NOMBRE_DOCENT]],MDOCENTES[DATOS_DOCENTE],MDOCENTES[ESTUDIO],"Seleccione Docente")</f>
        <v>Seleccione Docente</v>
      </c>
      <c r="P78">
        <f t="shared" si="5"/>
        <v>0</v>
      </c>
      <c r="Q78">
        <f t="shared" si="6"/>
        <v>0</v>
      </c>
      <c r="R78">
        <f t="shared" si="7"/>
        <v>0</v>
      </c>
      <c r="S78">
        <f t="shared" si="8"/>
        <v>0</v>
      </c>
      <c r="T78">
        <f t="shared" si="9"/>
        <v>0</v>
      </c>
      <c r="U78">
        <f>Tabla1[[#This Row],[HORAS NO AFINIDAD]]+Tabla1[[#This Row],[HORAS UNIDAD BASICA]]+Tabla1[[#This Row],[HORAS AFINIDAD]]</f>
        <v>0</v>
      </c>
      <c r="V78">
        <f>+Tabla1[[#This Row],[HORAS AFINIDAD]]+Tabla1[[#This Row],[HORAS ACTIVIDAD]]+Tabla1[[#This Row],[HORAS UNIDAD BASICA]]+Tabla1[[#This Row],[HORAS NO AFINIDAD]]</f>
        <v>0</v>
      </c>
    </row>
    <row r="79" spans="1:22" ht="18.75" customHeight="1">
      <c r="A79">
        <v>78</v>
      </c>
      <c r="C79" t="str">
        <f>_xlfn.XLOOKUP(Tabla1[[#This Row],[CARRERA]],MAE_CARRERA[NOMBRE_CARRERA],MAE_CARRERA[ID_CARRERA],"Seleccione Carrera")</f>
        <v>Seleccione Carrera</v>
      </c>
      <c r="F79" s="1"/>
      <c r="G79" t="str">
        <f>_xlfn.XLOOKUP(Tabla1[[#This Row],[ASIGNATURA]],MAE_ASIGNATURA[NOM_ASIG],MAE_ASIGNATURA[ID_ASIG],"Seleccione Asignatura")</f>
        <v>Seleccione Asignatura</v>
      </c>
      <c r="H79" s="1" t="str" cm="1">
        <f t="array" ref="H79">_xlfn.TEXTJOIN("; ",TRUE,TRANSPOSE(_xlfn.UNIQUE(_xlfn._xlws.FILTER(DET_ASIG[DETALLADO],(DET_ASIG[NIVEL]=ASIGNACION!$D79)*(DET_ASIG[ID_CARRERA]=ASIGNACION!$C79)*(DET_ASIG[ID_ASIG]=ASIGNACION!$G79),"No existe información"))))</f>
        <v>No existe información</v>
      </c>
      <c r="I79" s="1"/>
      <c r="J79">
        <f>_xlfn.XLOOKUP(Tabla1[[#This Row],[ID_ASIG_CAM_DET]],MAE_ASIGNATURA[ID_ASIG],MAE_ASIGNATURA[HORAS],0)</f>
        <v>0</v>
      </c>
      <c r="K79">
        <v>4</v>
      </c>
      <c r="L79" s="2">
        <f>+Tabla1[[#This Row],[CALCULAR HORA]]*Tabla1[[#This Row],[HORAS]]</f>
        <v>0</v>
      </c>
      <c r="N79" t="str">
        <f>_xlfn.XLOOKUP(Tabla1[[#This Row],[NOMBRE_DOCENT]],MDOCENTES[DATOS_DOCENTE],MDOCENTES[DEDICACION],"Seleccione Docente")</f>
        <v>Seleccione Docente</v>
      </c>
      <c r="O79" t="str">
        <f>_xlfn.XLOOKUP(Tabla1[[#This Row],[NOMBRE_DOCENT]],MDOCENTES[DATOS_DOCENTE],MDOCENTES[ESTUDIO],"Seleccione Docente")</f>
        <v>Seleccione Docente</v>
      </c>
      <c r="P79">
        <f t="shared" si="5"/>
        <v>0</v>
      </c>
      <c r="Q79">
        <f t="shared" si="6"/>
        <v>0</v>
      </c>
      <c r="R79">
        <f t="shared" si="7"/>
        <v>0</v>
      </c>
      <c r="S79">
        <f t="shared" si="8"/>
        <v>0</v>
      </c>
      <c r="T79">
        <f t="shared" si="9"/>
        <v>0</v>
      </c>
      <c r="U79">
        <f>Tabla1[[#This Row],[HORAS NO AFINIDAD]]+Tabla1[[#This Row],[HORAS UNIDAD BASICA]]+Tabla1[[#This Row],[HORAS AFINIDAD]]</f>
        <v>0</v>
      </c>
      <c r="V79">
        <f>+Tabla1[[#This Row],[HORAS AFINIDAD]]+Tabla1[[#This Row],[HORAS ACTIVIDAD]]+Tabla1[[#This Row],[HORAS UNIDAD BASICA]]+Tabla1[[#This Row],[HORAS NO AFINIDAD]]</f>
        <v>0</v>
      </c>
    </row>
    <row r="80" spans="1:22" ht="18.75" customHeight="1">
      <c r="A80">
        <v>79</v>
      </c>
      <c r="C80" t="str">
        <f>_xlfn.XLOOKUP(Tabla1[[#This Row],[CARRERA]],MAE_CARRERA[NOMBRE_CARRERA],MAE_CARRERA[ID_CARRERA],"Seleccione Carrera")</f>
        <v>Seleccione Carrera</v>
      </c>
      <c r="F80" s="1"/>
      <c r="G80" t="str">
        <f>_xlfn.XLOOKUP(Tabla1[[#This Row],[ASIGNATURA]],MAE_ASIGNATURA[NOM_ASIG],MAE_ASIGNATURA[ID_ASIG],"Seleccione Asignatura")</f>
        <v>Seleccione Asignatura</v>
      </c>
      <c r="H80" s="1" t="str" cm="1">
        <f t="array" ref="H80">_xlfn.TEXTJOIN("; ",TRUE,TRANSPOSE(_xlfn.UNIQUE(_xlfn._xlws.FILTER(DET_ASIG[DETALLADO],(DET_ASIG[NIVEL]=ASIGNACION!$D80)*(DET_ASIG[ID_CARRERA]=ASIGNACION!$C80)*(DET_ASIG[ID_ASIG]=ASIGNACION!$G80),"No existe información"))))</f>
        <v>No existe información</v>
      </c>
      <c r="I80" s="1"/>
      <c r="J80">
        <f>_xlfn.XLOOKUP(Tabla1[[#This Row],[ID_ASIG_CAM_DET]],MAE_ASIGNATURA[ID_ASIG],MAE_ASIGNATURA[HORAS],0)</f>
        <v>0</v>
      </c>
      <c r="K80">
        <v>4</v>
      </c>
      <c r="L80" s="2">
        <f>+Tabla1[[#This Row],[CALCULAR HORA]]*Tabla1[[#This Row],[HORAS]]</f>
        <v>0</v>
      </c>
      <c r="N80" t="str">
        <f>_xlfn.XLOOKUP(Tabla1[[#This Row],[NOMBRE_DOCENT]],MDOCENTES[DATOS_DOCENTE],MDOCENTES[DEDICACION],"Seleccione Docente")</f>
        <v>Seleccione Docente</v>
      </c>
      <c r="O80" t="str">
        <f>_xlfn.XLOOKUP(Tabla1[[#This Row],[NOMBRE_DOCENT]],MDOCENTES[DATOS_DOCENTE],MDOCENTES[ESTUDIO],"Seleccione Docente")</f>
        <v>Seleccione Docente</v>
      </c>
      <c r="P80">
        <f t="shared" si="5"/>
        <v>0</v>
      </c>
      <c r="Q80">
        <f t="shared" si="6"/>
        <v>0</v>
      </c>
      <c r="R80">
        <f t="shared" si="7"/>
        <v>0</v>
      </c>
      <c r="S80">
        <f t="shared" si="8"/>
        <v>0</v>
      </c>
      <c r="T80">
        <f t="shared" si="9"/>
        <v>0</v>
      </c>
      <c r="U80">
        <f>Tabla1[[#This Row],[HORAS NO AFINIDAD]]+Tabla1[[#This Row],[HORAS UNIDAD BASICA]]+Tabla1[[#This Row],[HORAS AFINIDAD]]</f>
        <v>0</v>
      </c>
      <c r="V80">
        <f>+Tabla1[[#This Row],[HORAS AFINIDAD]]+Tabla1[[#This Row],[HORAS ACTIVIDAD]]+Tabla1[[#This Row],[HORAS UNIDAD BASICA]]+Tabla1[[#This Row],[HORAS NO AFINIDAD]]</f>
        <v>0</v>
      </c>
    </row>
    <row r="81" spans="1:22" ht="18.75" customHeight="1">
      <c r="A81">
        <v>80</v>
      </c>
      <c r="C81" t="str">
        <f>_xlfn.XLOOKUP(Tabla1[[#This Row],[CARRERA]],MAE_CARRERA[NOMBRE_CARRERA],MAE_CARRERA[ID_CARRERA],"Seleccione Carrera")</f>
        <v>Seleccione Carrera</v>
      </c>
      <c r="F81" s="1"/>
      <c r="G81" t="str">
        <f>_xlfn.XLOOKUP(Tabla1[[#This Row],[ASIGNATURA]],MAE_ASIGNATURA[NOM_ASIG],MAE_ASIGNATURA[ID_ASIG],"Seleccione Asignatura")</f>
        <v>Seleccione Asignatura</v>
      </c>
      <c r="H81" s="1" t="str" cm="1">
        <f t="array" ref="H81">_xlfn.TEXTJOIN("; ",TRUE,TRANSPOSE(_xlfn.UNIQUE(_xlfn._xlws.FILTER(DET_ASIG[DETALLADO],(DET_ASIG[NIVEL]=ASIGNACION!$D81)*(DET_ASIG[ID_CARRERA]=ASIGNACION!$C81)*(DET_ASIG[ID_ASIG]=ASIGNACION!$G81),"No existe información"))))</f>
        <v>No existe información</v>
      </c>
      <c r="I81" s="1"/>
      <c r="J81">
        <f>_xlfn.XLOOKUP(Tabla1[[#This Row],[ID_ASIG_CAM_DET]],MAE_ASIGNATURA[ID_ASIG],MAE_ASIGNATURA[HORAS],0)</f>
        <v>0</v>
      </c>
      <c r="K81">
        <v>4</v>
      </c>
      <c r="L81" s="2">
        <f>+Tabla1[[#This Row],[CALCULAR HORA]]*Tabla1[[#This Row],[HORAS]]</f>
        <v>0</v>
      </c>
      <c r="N81" t="str">
        <f>_xlfn.XLOOKUP(Tabla1[[#This Row],[NOMBRE_DOCENT]],MDOCENTES[DATOS_DOCENTE],MDOCENTES[DEDICACION],"Seleccione Docente")</f>
        <v>Seleccione Docente</v>
      </c>
      <c r="O81" t="str">
        <f>_xlfn.XLOOKUP(Tabla1[[#This Row],[NOMBRE_DOCENT]],MDOCENTES[DATOS_DOCENTE],MDOCENTES[ESTUDIO],"Seleccione Docente")</f>
        <v>Seleccione Docente</v>
      </c>
      <c r="P81">
        <f t="shared" si="5"/>
        <v>0</v>
      </c>
      <c r="Q81">
        <f t="shared" si="6"/>
        <v>0</v>
      </c>
      <c r="R81">
        <f t="shared" si="7"/>
        <v>0</v>
      </c>
      <c r="S81">
        <f t="shared" si="8"/>
        <v>0</v>
      </c>
      <c r="T81">
        <f t="shared" si="9"/>
        <v>0</v>
      </c>
      <c r="U81">
        <f>Tabla1[[#This Row],[HORAS NO AFINIDAD]]+Tabla1[[#This Row],[HORAS UNIDAD BASICA]]+Tabla1[[#This Row],[HORAS AFINIDAD]]</f>
        <v>0</v>
      </c>
      <c r="V81">
        <f>+Tabla1[[#This Row],[HORAS AFINIDAD]]+Tabla1[[#This Row],[HORAS ACTIVIDAD]]+Tabla1[[#This Row],[HORAS UNIDAD BASICA]]+Tabla1[[#This Row],[HORAS NO AFINIDAD]]</f>
        <v>0</v>
      </c>
    </row>
    <row r="82" spans="1:22" ht="18.75" customHeight="1">
      <c r="A82">
        <v>81</v>
      </c>
      <c r="C82" t="str">
        <f>_xlfn.XLOOKUP(Tabla1[[#This Row],[CARRERA]],MAE_CARRERA[NOMBRE_CARRERA],MAE_CARRERA[ID_CARRERA],"Seleccione Carrera")</f>
        <v>Seleccione Carrera</v>
      </c>
      <c r="F82" s="1"/>
      <c r="G82" t="str">
        <f>_xlfn.XLOOKUP(Tabla1[[#This Row],[ASIGNATURA]],MAE_ASIGNATURA[NOM_ASIG],MAE_ASIGNATURA[ID_ASIG],"Seleccione Asignatura")</f>
        <v>Seleccione Asignatura</v>
      </c>
      <c r="H82" s="1" t="str" cm="1">
        <f t="array" ref="H82">_xlfn.TEXTJOIN("; ",TRUE,TRANSPOSE(_xlfn.UNIQUE(_xlfn._xlws.FILTER(DET_ASIG[DETALLADO],(DET_ASIG[NIVEL]=ASIGNACION!$D82)*(DET_ASIG[ID_CARRERA]=ASIGNACION!$C82)*(DET_ASIG[ID_ASIG]=ASIGNACION!$G82),"No existe información"))))</f>
        <v>No existe información</v>
      </c>
      <c r="I82" s="1"/>
      <c r="J82">
        <f>_xlfn.XLOOKUP(Tabla1[[#This Row],[ID_ASIG_CAM_DET]],MAE_ASIGNATURA[ID_ASIG],MAE_ASIGNATURA[HORAS],0)</f>
        <v>0</v>
      </c>
      <c r="K82">
        <v>4</v>
      </c>
      <c r="L82" s="2">
        <f>+Tabla1[[#This Row],[CALCULAR HORA]]*Tabla1[[#This Row],[HORAS]]</f>
        <v>0</v>
      </c>
      <c r="N82" t="str">
        <f>_xlfn.XLOOKUP(Tabla1[[#This Row],[NOMBRE_DOCENT]],MDOCENTES[DATOS_DOCENTE],MDOCENTES[DEDICACION],"Seleccione Docente")</f>
        <v>Seleccione Docente</v>
      </c>
      <c r="O82" t="str">
        <f>_xlfn.XLOOKUP(Tabla1[[#This Row],[NOMBRE_DOCENT]],MDOCENTES[DATOS_DOCENTE],MDOCENTES[ESTUDIO],"Seleccione Docente")</f>
        <v>Seleccione Docente</v>
      </c>
      <c r="P82">
        <f t="shared" si="5"/>
        <v>0</v>
      </c>
      <c r="Q82">
        <f t="shared" si="6"/>
        <v>0</v>
      </c>
      <c r="R82">
        <f t="shared" si="7"/>
        <v>0</v>
      </c>
      <c r="S82">
        <f t="shared" si="8"/>
        <v>0</v>
      </c>
      <c r="T82">
        <f t="shared" si="9"/>
        <v>0</v>
      </c>
      <c r="U82">
        <f>Tabla1[[#This Row],[HORAS NO AFINIDAD]]+Tabla1[[#This Row],[HORAS UNIDAD BASICA]]+Tabla1[[#This Row],[HORAS AFINIDAD]]</f>
        <v>0</v>
      </c>
      <c r="V82">
        <f>+Tabla1[[#This Row],[HORAS AFINIDAD]]+Tabla1[[#This Row],[HORAS ACTIVIDAD]]+Tabla1[[#This Row],[HORAS UNIDAD BASICA]]+Tabla1[[#This Row],[HORAS NO AFINIDAD]]</f>
        <v>0</v>
      </c>
    </row>
    <row r="83" spans="1:22" ht="18.75" customHeight="1">
      <c r="A83">
        <v>82</v>
      </c>
      <c r="C83" t="str">
        <f>_xlfn.XLOOKUP(Tabla1[[#This Row],[CARRERA]],MAE_CARRERA[NOMBRE_CARRERA],MAE_CARRERA[ID_CARRERA],"Seleccione Carrera")</f>
        <v>Seleccione Carrera</v>
      </c>
      <c r="F83" s="1"/>
      <c r="G83" t="str">
        <f>_xlfn.XLOOKUP(Tabla1[[#This Row],[ASIGNATURA]],MAE_ASIGNATURA[NOM_ASIG],MAE_ASIGNATURA[ID_ASIG],"Seleccione Asignatura")</f>
        <v>Seleccione Asignatura</v>
      </c>
      <c r="H83" s="1" t="str" cm="1">
        <f t="array" ref="H83">_xlfn.TEXTJOIN("; ",TRUE,TRANSPOSE(_xlfn.UNIQUE(_xlfn._xlws.FILTER(DET_ASIG[DETALLADO],(DET_ASIG[NIVEL]=ASIGNACION!$D83)*(DET_ASIG[ID_CARRERA]=ASIGNACION!$C83)*(DET_ASIG[ID_ASIG]=ASIGNACION!$G83),"No existe información"))))</f>
        <v>No existe información</v>
      </c>
      <c r="I83" s="1"/>
      <c r="J83">
        <f>_xlfn.XLOOKUP(Tabla1[[#This Row],[ID_ASIG_CAM_DET]],MAE_ASIGNATURA[ID_ASIG],MAE_ASIGNATURA[HORAS],0)</f>
        <v>0</v>
      </c>
      <c r="K83">
        <v>4</v>
      </c>
      <c r="L83" s="2">
        <f>+Tabla1[[#This Row],[CALCULAR HORA]]*Tabla1[[#This Row],[HORAS]]</f>
        <v>0</v>
      </c>
      <c r="N83" t="str">
        <f>_xlfn.XLOOKUP(Tabla1[[#This Row],[NOMBRE_DOCENT]],MDOCENTES[DATOS_DOCENTE],MDOCENTES[DEDICACION],"Seleccione Docente")</f>
        <v>Seleccione Docente</v>
      </c>
      <c r="O83" t="str">
        <f>_xlfn.XLOOKUP(Tabla1[[#This Row],[NOMBRE_DOCENT]],MDOCENTES[DATOS_DOCENTE],MDOCENTES[ESTUDIO],"Seleccione Docente")</f>
        <v>Seleccione Docente</v>
      </c>
      <c r="P83">
        <f t="shared" si="5"/>
        <v>0</v>
      </c>
      <c r="Q83">
        <f t="shared" si="6"/>
        <v>0</v>
      </c>
      <c r="R83">
        <f t="shared" si="7"/>
        <v>0</v>
      </c>
      <c r="S83">
        <f t="shared" si="8"/>
        <v>0</v>
      </c>
      <c r="T83">
        <f t="shared" si="9"/>
        <v>0</v>
      </c>
      <c r="U83">
        <f>Tabla1[[#This Row],[HORAS NO AFINIDAD]]+Tabla1[[#This Row],[HORAS UNIDAD BASICA]]+Tabla1[[#This Row],[HORAS AFINIDAD]]</f>
        <v>0</v>
      </c>
      <c r="V83">
        <f>+Tabla1[[#This Row],[HORAS AFINIDAD]]+Tabla1[[#This Row],[HORAS ACTIVIDAD]]+Tabla1[[#This Row],[HORAS UNIDAD BASICA]]+Tabla1[[#This Row],[HORAS NO AFINIDAD]]</f>
        <v>0</v>
      </c>
    </row>
    <row r="84" spans="1:22" ht="18.75" customHeight="1">
      <c r="A84">
        <v>83</v>
      </c>
      <c r="C84" t="str">
        <f>_xlfn.XLOOKUP(Tabla1[[#This Row],[CARRERA]],MAE_CARRERA[NOMBRE_CARRERA],MAE_CARRERA[ID_CARRERA],"Seleccione Carrera")</f>
        <v>Seleccione Carrera</v>
      </c>
      <c r="F84" s="1"/>
      <c r="G84" t="str">
        <f>_xlfn.XLOOKUP(Tabla1[[#This Row],[ASIGNATURA]],MAE_ASIGNATURA[NOM_ASIG],MAE_ASIGNATURA[ID_ASIG],"Seleccione Asignatura")</f>
        <v>Seleccione Asignatura</v>
      </c>
      <c r="H84" s="1" t="str" cm="1">
        <f t="array" ref="H84">_xlfn.TEXTJOIN("; ",TRUE,TRANSPOSE(_xlfn.UNIQUE(_xlfn._xlws.FILTER(DET_ASIG[DETALLADO],(DET_ASIG[NIVEL]=ASIGNACION!$D84)*(DET_ASIG[ID_CARRERA]=ASIGNACION!$C84)*(DET_ASIG[ID_ASIG]=ASIGNACION!$G84),"No existe información"))))</f>
        <v>No existe información</v>
      </c>
      <c r="I84" s="1"/>
      <c r="J84">
        <f>_xlfn.XLOOKUP(Tabla1[[#This Row],[ID_ASIG_CAM_DET]],MAE_ASIGNATURA[ID_ASIG],MAE_ASIGNATURA[HORAS],0)</f>
        <v>0</v>
      </c>
      <c r="K84">
        <v>4</v>
      </c>
      <c r="L84" s="2">
        <f>+Tabla1[[#This Row],[CALCULAR HORA]]*Tabla1[[#This Row],[HORAS]]</f>
        <v>0</v>
      </c>
      <c r="N84" t="str">
        <f>_xlfn.XLOOKUP(Tabla1[[#This Row],[NOMBRE_DOCENT]],MDOCENTES[DATOS_DOCENTE],MDOCENTES[DEDICACION],"Seleccione Docente")</f>
        <v>Seleccione Docente</v>
      </c>
      <c r="O84" t="str">
        <f>_xlfn.XLOOKUP(Tabla1[[#This Row],[NOMBRE_DOCENT]],MDOCENTES[DATOS_DOCENTE],MDOCENTES[ESTUDIO],"Seleccione Docente")</f>
        <v>Seleccione Docente</v>
      </c>
      <c r="P84">
        <f t="shared" si="5"/>
        <v>0</v>
      </c>
      <c r="Q84">
        <f t="shared" si="6"/>
        <v>0</v>
      </c>
      <c r="R84">
        <f t="shared" si="7"/>
        <v>0</v>
      </c>
      <c r="S84">
        <f t="shared" si="8"/>
        <v>0</v>
      </c>
      <c r="T84">
        <f t="shared" si="9"/>
        <v>0</v>
      </c>
      <c r="U84">
        <f>Tabla1[[#This Row],[HORAS NO AFINIDAD]]+Tabla1[[#This Row],[HORAS UNIDAD BASICA]]+Tabla1[[#This Row],[HORAS AFINIDAD]]</f>
        <v>0</v>
      </c>
      <c r="V84">
        <f>+Tabla1[[#This Row],[HORAS AFINIDAD]]+Tabla1[[#This Row],[HORAS ACTIVIDAD]]+Tabla1[[#This Row],[HORAS UNIDAD BASICA]]+Tabla1[[#This Row],[HORAS NO AFINIDAD]]</f>
        <v>0</v>
      </c>
    </row>
    <row r="85" spans="1:22" ht="18.75" customHeight="1">
      <c r="A85">
        <v>84</v>
      </c>
      <c r="C85" t="str">
        <f>_xlfn.XLOOKUP(Tabla1[[#This Row],[CARRERA]],MAE_CARRERA[NOMBRE_CARRERA],MAE_CARRERA[ID_CARRERA],"Seleccione Carrera")</f>
        <v>Seleccione Carrera</v>
      </c>
      <c r="F85" s="1"/>
      <c r="G85" t="str">
        <f>_xlfn.XLOOKUP(Tabla1[[#This Row],[ASIGNATURA]],MAE_ASIGNATURA[NOM_ASIG],MAE_ASIGNATURA[ID_ASIG],"Seleccione Asignatura")</f>
        <v>Seleccione Asignatura</v>
      </c>
      <c r="H85" s="1" t="str" cm="1">
        <f t="array" ref="H85">_xlfn.TEXTJOIN("; ",TRUE,TRANSPOSE(_xlfn.UNIQUE(_xlfn._xlws.FILTER(DET_ASIG[DETALLADO],(DET_ASIG[NIVEL]=ASIGNACION!$D85)*(DET_ASIG[ID_CARRERA]=ASIGNACION!$C85)*(DET_ASIG[ID_ASIG]=ASIGNACION!$G85),"No existe información"))))</f>
        <v>No existe información</v>
      </c>
      <c r="I85" s="1"/>
      <c r="J85">
        <f>_xlfn.XLOOKUP(Tabla1[[#This Row],[ID_ASIG_CAM_DET]],MAE_ASIGNATURA[ID_ASIG],MAE_ASIGNATURA[HORAS],0)</f>
        <v>0</v>
      </c>
      <c r="K85">
        <v>4</v>
      </c>
      <c r="L85" s="2">
        <f>+Tabla1[[#This Row],[CALCULAR HORA]]*Tabla1[[#This Row],[HORAS]]</f>
        <v>0</v>
      </c>
      <c r="N85" t="str">
        <f>_xlfn.XLOOKUP(Tabla1[[#This Row],[NOMBRE_DOCENT]],MDOCENTES[DATOS_DOCENTE],MDOCENTES[DEDICACION],"Seleccione Docente")</f>
        <v>Seleccione Docente</v>
      </c>
      <c r="O85" t="str">
        <f>_xlfn.XLOOKUP(Tabla1[[#This Row],[NOMBRE_DOCENT]],MDOCENTES[DATOS_DOCENTE],MDOCENTES[ESTUDIO],"Seleccione Docente")</f>
        <v>Seleccione Docente</v>
      </c>
      <c r="P85">
        <f t="shared" si="5"/>
        <v>0</v>
      </c>
      <c r="Q85">
        <f t="shared" si="6"/>
        <v>0</v>
      </c>
      <c r="R85">
        <f t="shared" si="7"/>
        <v>0</v>
      </c>
      <c r="S85">
        <f t="shared" si="8"/>
        <v>0</v>
      </c>
      <c r="T85">
        <f t="shared" si="9"/>
        <v>0</v>
      </c>
      <c r="U85">
        <f>Tabla1[[#This Row],[HORAS NO AFINIDAD]]+Tabla1[[#This Row],[HORAS UNIDAD BASICA]]+Tabla1[[#This Row],[HORAS AFINIDAD]]</f>
        <v>0</v>
      </c>
      <c r="V85">
        <f>+Tabla1[[#This Row],[HORAS AFINIDAD]]+Tabla1[[#This Row],[HORAS ACTIVIDAD]]+Tabla1[[#This Row],[HORAS UNIDAD BASICA]]+Tabla1[[#This Row],[HORAS NO AFINIDAD]]</f>
        <v>0</v>
      </c>
    </row>
    <row r="86" spans="1:22" ht="18.75" customHeight="1">
      <c r="A86">
        <v>85</v>
      </c>
      <c r="C86" t="str">
        <f>_xlfn.XLOOKUP(Tabla1[[#This Row],[CARRERA]],MAE_CARRERA[NOMBRE_CARRERA],MAE_CARRERA[ID_CARRERA],"Seleccione Carrera")</f>
        <v>Seleccione Carrera</v>
      </c>
      <c r="F86" s="1"/>
      <c r="G86" t="str">
        <f>_xlfn.XLOOKUP(Tabla1[[#This Row],[ASIGNATURA]],MAE_ASIGNATURA[NOM_ASIG],MAE_ASIGNATURA[ID_ASIG],"Seleccione Asignatura")</f>
        <v>Seleccione Asignatura</v>
      </c>
      <c r="H86" s="1" t="str" cm="1">
        <f t="array" ref="H86">_xlfn.TEXTJOIN("; ",TRUE,TRANSPOSE(_xlfn.UNIQUE(_xlfn._xlws.FILTER(DET_ASIG[DETALLADO],(DET_ASIG[NIVEL]=ASIGNACION!$D86)*(DET_ASIG[ID_CARRERA]=ASIGNACION!$C86)*(DET_ASIG[ID_ASIG]=ASIGNACION!$G86),"No existe información"))))</f>
        <v>No existe información</v>
      </c>
      <c r="I86" s="1"/>
      <c r="J86">
        <f>_xlfn.XLOOKUP(Tabla1[[#This Row],[ID_ASIG_CAM_DET]],MAE_ASIGNATURA[ID_ASIG],MAE_ASIGNATURA[HORAS],0)</f>
        <v>0</v>
      </c>
      <c r="K86">
        <v>4</v>
      </c>
      <c r="L86" s="2">
        <f>+Tabla1[[#This Row],[CALCULAR HORA]]*Tabla1[[#This Row],[HORAS]]</f>
        <v>0</v>
      </c>
      <c r="N86" t="str">
        <f>_xlfn.XLOOKUP(Tabla1[[#This Row],[NOMBRE_DOCENT]],MDOCENTES[DATOS_DOCENTE],MDOCENTES[DEDICACION],"Seleccione Docente")</f>
        <v>Seleccione Docente</v>
      </c>
      <c r="O86" t="str">
        <f>_xlfn.XLOOKUP(Tabla1[[#This Row],[NOMBRE_DOCENT]],MDOCENTES[DATOS_DOCENTE],MDOCENTES[ESTUDIO],"Seleccione Docente")</f>
        <v>Seleccione Docente</v>
      </c>
      <c r="P86">
        <f t="shared" si="5"/>
        <v>0</v>
      </c>
      <c r="Q86">
        <f t="shared" si="6"/>
        <v>0</v>
      </c>
      <c r="R86">
        <f t="shared" si="7"/>
        <v>0</v>
      </c>
      <c r="S86">
        <f t="shared" si="8"/>
        <v>0</v>
      </c>
      <c r="T86">
        <f t="shared" si="9"/>
        <v>0</v>
      </c>
      <c r="U86">
        <f>Tabla1[[#This Row],[HORAS NO AFINIDAD]]+Tabla1[[#This Row],[HORAS UNIDAD BASICA]]+Tabla1[[#This Row],[HORAS AFINIDAD]]</f>
        <v>0</v>
      </c>
      <c r="V86">
        <f>+Tabla1[[#This Row],[HORAS AFINIDAD]]+Tabla1[[#This Row],[HORAS ACTIVIDAD]]+Tabla1[[#This Row],[HORAS UNIDAD BASICA]]+Tabla1[[#This Row],[HORAS NO AFINIDAD]]</f>
        <v>0</v>
      </c>
    </row>
    <row r="87" spans="1:22" ht="18.75" customHeight="1">
      <c r="A87">
        <v>86</v>
      </c>
      <c r="C87" t="str">
        <f>_xlfn.XLOOKUP(Tabla1[[#This Row],[CARRERA]],MAE_CARRERA[NOMBRE_CARRERA],MAE_CARRERA[ID_CARRERA],"Seleccione Carrera")</f>
        <v>Seleccione Carrera</v>
      </c>
      <c r="F87" s="1"/>
      <c r="G87" t="str">
        <f>_xlfn.XLOOKUP(Tabla1[[#This Row],[ASIGNATURA]],MAE_ASIGNATURA[NOM_ASIG],MAE_ASIGNATURA[ID_ASIG],"Seleccione Asignatura")</f>
        <v>Seleccione Asignatura</v>
      </c>
      <c r="H87" s="1" t="str" cm="1">
        <f t="array" ref="H87">_xlfn.TEXTJOIN("; ",TRUE,TRANSPOSE(_xlfn.UNIQUE(_xlfn._xlws.FILTER(DET_ASIG[DETALLADO],(DET_ASIG[NIVEL]=ASIGNACION!$D87)*(DET_ASIG[ID_CARRERA]=ASIGNACION!$C87)*(DET_ASIG[ID_ASIG]=ASIGNACION!$G87),"No existe información"))))</f>
        <v>No existe información</v>
      </c>
      <c r="I87" s="1"/>
      <c r="J87">
        <f>_xlfn.XLOOKUP(Tabla1[[#This Row],[ID_ASIG_CAM_DET]],MAE_ASIGNATURA[ID_ASIG],MAE_ASIGNATURA[HORAS],0)</f>
        <v>0</v>
      </c>
      <c r="K87">
        <v>4</v>
      </c>
      <c r="L87" s="2">
        <f>+Tabla1[[#This Row],[CALCULAR HORA]]*Tabla1[[#This Row],[HORAS]]</f>
        <v>0</v>
      </c>
      <c r="N87" t="str">
        <f>_xlfn.XLOOKUP(Tabla1[[#This Row],[NOMBRE_DOCENT]],MDOCENTES[DATOS_DOCENTE],MDOCENTES[DEDICACION],"Seleccione Docente")</f>
        <v>Seleccione Docente</v>
      </c>
      <c r="O87" t="str">
        <f>_xlfn.XLOOKUP(Tabla1[[#This Row],[NOMBRE_DOCENT]],MDOCENTES[DATOS_DOCENTE],MDOCENTES[ESTUDIO],"Seleccione Docente")</f>
        <v>Seleccione Docente</v>
      </c>
      <c r="P87">
        <f t="shared" si="5"/>
        <v>0</v>
      </c>
      <c r="Q87">
        <f t="shared" si="6"/>
        <v>0</v>
      </c>
      <c r="R87">
        <f t="shared" si="7"/>
        <v>0</v>
      </c>
      <c r="S87">
        <f t="shared" si="8"/>
        <v>0</v>
      </c>
      <c r="T87">
        <f t="shared" si="9"/>
        <v>0</v>
      </c>
      <c r="U87">
        <f>Tabla1[[#This Row],[HORAS NO AFINIDAD]]+Tabla1[[#This Row],[HORAS UNIDAD BASICA]]+Tabla1[[#This Row],[HORAS AFINIDAD]]</f>
        <v>0</v>
      </c>
      <c r="V87">
        <f>+Tabla1[[#This Row],[HORAS AFINIDAD]]+Tabla1[[#This Row],[HORAS ACTIVIDAD]]+Tabla1[[#This Row],[HORAS UNIDAD BASICA]]+Tabla1[[#This Row],[HORAS NO AFINIDAD]]</f>
        <v>0</v>
      </c>
    </row>
    <row r="88" spans="1:22" ht="18.75" customHeight="1">
      <c r="A88">
        <v>87</v>
      </c>
      <c r="C88" t="str">
        <f>_xlfn.XLOOKUP(Tabla1[[#This Row],[CARRERA]],MAE_CARRERA[NOMBRE_CARRERA],MAE_CARRERA[ID_CARRERA],"Seleccione Carrera")</f>
        <v>Seleccione Carrera</v>
      </c>
      <c r="F88" s="1"/>
      <c r="G88" t="str">
        <f>_xlfn.XLOOKUP(Tabla1[[#This Row],[ASIGNATURA]],MAE_ASIGNATURA[NOM_ASIG],MAE_ASIGNATURA[ID_ASIG],"Seleccione Asignatura")</f>
        <v>Seleccione Asignatura</v>
      </c>
      <c r="H88" s="1" t="str" cm="1">
        <f t="array" ref="H88">_xlfn.TEXTJOIN("; ",TRUE,TRANSPOSE(_xlfn.UNIQUE(_xlfn._xlws.FILTER(DET_ASIG[DETALLADO],(DET_ASIG[NIVEL]=ASIGNACION!$D88)*(DET_ASIG[ID_CARRERA]=ASIGNACION!$C88)*(DET_ASIG[ID_ASIG]=ASIGNACION!$G88),"No existe información"))))</f>
        <v>No existe información</v>
      </c>
      <c r="I88" s="1"/>
      <c r="J88">
        <f>_xlfn.XLOOKUP(Tabla1[[#This Row],[ID_ASIG_CAM_DET]],MAE_ASIGNATURA[ID_ASIG],MAE_ASIGNATURA[HORAS],0)</f>
        <v>0</v>
      </c>
      <c r="K88">
        <v>4</v>
      </c>
      <c r="L88" s="2">
        <f>+Tabla1[[#This Row],[CALCULAR HORA]]*Tabla1[[#This Row],[HORAS]]</f>
        <v>0</v>
      </c>
      <c r="N88" t="str">
        <f>_xlfn.XLOOKUP(Tabla1[[#This Row],[NOMBRE_DOCENT]],MDOCENTES[DATOS_DOCENTE],MDOCENTES[DEDICACION],"Seleccione Docente")</f>
        <v>Seleccione Docente</v>
      </c>
      <c r="O88" t="str">
        <f>_xlfn.XLOOKUP(Tabla1[[#This Row],[NOMBRE_DOCENT]],MDOCENTES[DATOS_DOCENTE],MDOCENTES[ESTUDIO],"Seleccione Docente")</f>
        <v>Seleccione Docente</v>
      </c>
      <c r="P88">
        <f t="shared" si="5"/>
        <v>0</v>
      </c>
      <c r="Q88">
        <f t="shared" si="6"/>
        <v>0</v>
      </c>
      <c r="R88">
        <f t="shared" si="7"/>
        <v>0</v>
      </c>
      <c r="S88">
        <f t="shared" si="8"/>
        <v>0</v>
      </c>
      <c r="T88">
        <f t="shared" si="9"/>
        <v>0</v>
      </c>
      <c r="U88">
        <f>Tabla1[[#This Row],[HORAS NO AFINIDAD]]+Tabla1[[#This Row],[HORAS UNIDAD BASICA]]+Tabla1[[#This Row],[HORAS AFINIDAD]]</f>
        <v>0</v>
      </c>
      <c r="V88">
        <f>+Tabla1[[#This Row],[HORAS AFINIDAD]]+Tabla1[[#This Row],[HORAS ACTIVIDAD]]+Tabla1[[#This Row],[HORAS UNIDAD BASICA]]+Tabla1[[#This Row],[HORAS NO AFINIDAD]]</f>
        <v>0</v>
      </c>
    </row>
    <row r="89" spans="1:22" ht="18.75" customHeight="1">
      <c r="A89">
        <v>88</v>
      </c>
      <c r="C89" t="str">
        <f>_xlfn.XLOOKUP(Tabla1[[#This Row],[CARRERA]],MAE_CARRERA[NOMBRE_CARRERA],MAE_CARRERA[ID_CARRERA],"Seleccione Carrera")</f>
        <v>Seleccione Carrera</v>
      </c>
      <c r="F89" s="1"/>
      <c r="G89" t="str">
        <f>_xlfn.XLOOKUP(Tabla1[[#This Row],[ASIGNATURA]],MAE_ASIGNATURA[NOM_ASIG],MAE_ASIGNATURA[ID_ASIG],"Seleccione Asignatura")</f>
        <v>Seleccione Asignatura</v>
      </c>
      <c r="H89" s="1" t="str" cm="1">
        <f t="array" ref="H89">_xlfn.TEXTJOIN("; ",TRUE,TRANSPOSE(_xlfn.UNIQUE(_xlfn._xlws.FILTER(DET_ASIG[DETALLADO],(DET_ASIG[NIVEL]=ASIGNACION!$D89)*(DET_ASIG[ID_CARRERA]=ASIGNACION!$C89)*(DET_ASIG[ID_ASIG]=ASIGNACION!$G89),"No existe información"))))</f>
        <v>No existe información</v>
      </c>
      <c r="I89" s="1"/>
      <c r="J89">
        <f>_xlfn.XLOOKUP(Tabla1[[#This Row],[ID_ASIG_CAM_DET]],MAE_ASIGNATURA[ID_ASIG],MAE_ASIGNATURA[HORAS],0)</f>
        <v>0</v>
      </c>
      <c r="K89">
        <v>4</v>
      </c>
      <c r="L89" s="2">
        <f>+Tabla1[[#This Row],[CALCULAR HORA]]*Tabla1[[#This Row],[HORAS]]</f>
        <v>0</v>
      </c>
      <c r="N89" t="str">
        <f>_xlfn.XLOOKUP(Tabla1[[#This Row],[NOMBRE_DOCENT]],MDOCENTES[DATOS_DOCENTE],MDOCENTES[DEDICACION],"Seleccione Docente")</f>
        <v>Seleccione Docente</v>
      </c>
      <c r="O89" t="str">
        <f>_xlfn.XLOOKUP(Tabla1[[#This Row],[NOMBRE_DOCENT]],MDOCENTES[DATOS_DOCENTE],MDOCENTES[ESTUDIO],"Seleccione Docente")</f>
        <v>Seleccione Docente</v>
      </c>
      <c r="P89">
        <f t="shared" si="5"/>
        <v>0</v>
      </c>
      <c r="Q89">
        <f t="shared" si="6"/>
        <v>0</v>
      </c>
      <c r="R89">
        <f t="shared" si="7"/>
        <v>0</v>
      </c>
      <c r="S89">
        <f t="shared" si="8"/>
        <v>0</v>
      </c>
      <c r="T89">
        <f t="shared" si="9"/>
        <v>0</v>
      </c>
      <c r="U89">
        <f>Tabla1[[#This Row],[HORAS NO AFINIDAD]]+Tabla1[[#This Row],[HORAS UNIDAD BASICA]]+Tabla1[[#This Row],[HORAS AFINIDAD]]</f>
        <v>0</v>
      </c>
      <c r="V89">
        <f>+Tabla1[[#This Row],[HORAS AFINIDAD]]+Tabla1[[#This Row],[HORAS ACTIVIDAD]]+Tabla1[[#This Row],[HORAS UNIDAD BASICA]]+Tabla1[[#This Row],[HORAS NO AFINIDAD]]</f>
        <v>0</v>
      </c>
    </row>
    <row r="90" spans="1:22" ht="18.75" customHeight="1">
      <c r="A90">
        <v>89</v>
      </c>
      <c r="C90" t="str">
        <f>_xlfn.XLOOKUP(Tabla1[[#This Row],[CARRERA]],MAE_CARRERA[NOMBRE_CARRERA],MAE_CARRERA[ID_CARRERA],"Seleccione Carrera")</f>
        <v>Seleccione Carrera</v>
      </c>
      <c r="F90" s="1"/>
      <c r="G90" t="str">
        <f>_xlfn.XLOOKUP(Tabla1[[#This Row],[ASIGNATURA]],MAE_ASIGNATURA[NOM_ASIG],MAE_ASIGNATURA[ID_ASIG],"Seleccione Asignatura")</f>
        <v>Seleccione Asignatura</v>
      </c>
      <c r="H90" s="1" t="str" cm="1">
        <f t="array" ref="H90">_xlfn.TEXTJOIN("; ",TRUE,TRANSPOSE(_xlfn.UNIQUE(_xlfn._xlws.FILTER(DET_ASIG[DETALLADO],(DET_ASIG[NIVEL]=ASIGNACION!$D90)*(DET_ASIG[ID_CARRERA]=ASIGNACION!$C90)*(DET_ASIG[ID_ASIG]=ASIGNACION!$G90),"No existe información"))))</f>
        <v>No existe información</v>
      </c>
      <c r="I90" s="1"/>
      <c r="J90">
        <f>_xlfn.XLOOKUP(Tabla1[[#This Row],[ID_ASIG_CAM_DET]],MAE_ASIGNATURA[ID_ASIG],MAE_ASIGNATURA[HORAS],0)</f>
        <v>0</v>
      </c>
      <c r="K90">
        <v>4</v>
      </c>
      <c r="L90" s="2">
        <f>+Tabla1[[#This Row],[CALCULAR HORA]]*Tabla1[[#This Row],[HORAS]]</f>
        <v>0</v>
      </c>
      <c r="N90" t="str">
        <f>_xlfn.XLOOKUP(Tabla1[[#This Row],[NOMBRE_DOCENT]],MDOCENTES[DATOS_DOCENTE],MDOCENTES[DEDICACION],"Seleccione Docente")</f>
        <v>Seleccione Docente</v>
      </c>
      <c r="O90" t="str">
        <f>_xlfn.XLOOKUP(Tabla1[[#This Row],[NOMBRE_DOCENT]],MDOCENTES[DATOS_DOCENTE],MDOCENTES[ESTUDIO],"Seleccione Docente")</f>
        <v>Seleccione Docente</v>
      </c>
      <c r="P90">
        <f t="shared" si="5"/>
        <v>0</v>
      </c>
      <c r="Q90">
        <f t="shared" si="6"/>
        <v>0</v>
      </c>
      <c r="R90">
        <f t="shared" si="7"/>
        <v>0</v>
      </c>
      <c r="S90">
        <f t="shared" si="8"/>
        <v>0</v>
      </c>
      <c r="T90">
        <f t="shared" si="9"/>
        <v>0</v>
      </c>
      <c r="U90">
        <f>Tabla1[[#This Row],[HORAS NO AFINIDAD]]+Tabla1[[#This Row],[HORAS UNIDAD BASICA]]+Tabla1[[#This Row],[HORAS AFINIDAD]]</f>
        <v>0</v>
      </c>
      <c r="V90">
        <f>+Tabla1[[#This Row],[HORAS AFINIDAD]]+Tabla1[[#This Row],[HORAS ACTIVIDAD]]+Tabla1[[#This Row],[HORAS UNIDAD BASICA]]+Tabla1[[#This Row],[HORAS NO AFINIDAD]]</f>
        <v>0</v>
      </c>
    </row>
    <row r="91" spans="1:22" ht="18.75" customHeight="1">
      <c r="A91">
        <v>90</v>
      </c>
      <c r="C91" t="str">
        <f>_xlfn.XLOOKUP(Tabla1[[#This Row],[CARRERA]],MAE_CARRERA[NOMBRE_CARRERA],MAE_CARRERA[ID_CARRERA],"Seleccione Carrera")</f>
        <v>Seleccione Carrera</v>
      </c>
      <c r="F91" s="1"/>
      <c r="G91" t="str">
        <f>_xlfn.XLOOKUP(Tabla1[[#This Row],[ASIGNATURA]],MAE_ASIGNATURA[NOM_ASIG],MAE_ASIGNATURA[ID_ASIG],"Seleccione Asignatura")</f>
        <v>Seleccione Asignatura</v>
      </c>
      <c r="H91" s="1" t="str" cm="1">
        <f t="array" ref="H91">_xlfn.TEXTJOIN("; ",TRUE,TRANSPOSE(_xlfn.UNIQUE(_xlfn._xlws.FILTER(DET_ASIG[DETALLADO],(DET_ASIG[NIVEL]=ASIGNACION!$D91)*(DET_ASIG[ID_CARRERA]=ASIGNACION!$C91)*(DET_ASIG[ID_ASIG]=ASIGNACION!$G91),"No existe información"))))</f>
        <v>No existe información</v>
      </c>
      <c r="I91" s="1"/>
      <c r="J91">
        <f>_xlfn.XLOOKUP(Tabla1[[#This Row],[ID_ASIG_CAM_DET]],MAE_ASIGNATURA[ID_ASIG],MAE_ASIGNATURA[HORAS],0)</f>
        <v>0</v>
      </c>
      <c r="K91">
        <v>4</v>
      </c>
      <c r="L91" s="2">
        <f>+Tabla1[[#This Row],[CALCULAR HORA]]*Tabla1[[#This Row],[HORAS]]</f>
        <v>0</v>
      </c>
      <c r="N91" t="str">
        <f>_xlfn.XLOOKUP(Tabla1[[#This Row],[NOMBRE_DOCENT]],MDOCENTES[DATOS_DOCENTE],MDOCENTES[DEDICACION],"Seleccione Docente")</f>
        <v>Seleccione Docente</v>
      </c>
      <c r="O91" t="str">
        <f>_xlfn.XLOOKUP(Tabla1[[#This Row],[NOMBRE_DOCENT]],MDOCENTES[DATOS_DOCENTE],MDOCENTES[ESTUDIO],"Seleccione Docente")</f>
        <v>Seleccione Docente</v>
      </c>
      <c r="P91">
        <f t="shared" si="5"/>
        <v>0</v>
      </c>
      <c r="Q91">
        <f t="shared" si="6"/>
        <v>0</v>
      </c>
      <c r="R91">
        <f t="shared" si="7"/>
        <v>0</v>
      </c>
      <c r="S91">
        <f t="shared" si="8"/>
        <v>0</v>
      </c>
      <c r="T91">
        <f t="shared" si="9"/>
        <v>0</v>
      </c>
      <c r="U91">
        <f>Tabla1[[#This Row],[HORAS NO AFINIDAD]]+Tabla1[[#This Row],[HORAS UNIDAD BASICA]]+Tabla1[[#This Row],[HORAS AFINIDAD]]</f>
        <v>0</v>
      </c>
      <c r="V91">
        <f>+Tabla1[[#This Row],[HORAS AFINIDAD]]+Tabla1[[#This Row],[HORAS ACTIVIDAD]]+Tabla1[[#This Row],[HORAS UNIDAD BASICA]]+Tabla1[[#This Row],[HORAS NO AFINIDAD]]</f>
        <v>0</v>
      </c>
    </row>
    <row r="92" spans="1:22" ht="18.75" customHeight="1">
      <c r="A92">
        <v>91</v>
      </c>
      <c r="C92" t="str">
        <f>_xlfn.XLOOKUP(Tabla1[[#This Row],[CARRERA]],MAE_CARRERA[NOMBRE_CARRERA],MAE_CARRERA[ID_CARRERA],"Seleccione Carrera")</f>
        <v>Seleccione Carrera</v>
      </c>
      <c r="F92" s="1"/>
      <c r="G92" t="str">
        <f>_xlfn.XLOOKUP(Tabla1[[#This Row],[ASIGNATURA]],MAE_ASIGNATURA[NOM_ASIG],MAE_ASIGNATURA[ID_ASIG],"Seleccione Asignatura")</f>
        <v>Seleccione Asignatura</v>
      </c>
      <c r="H92" s="1" t="str" cm="1">
        <f t="array" ref="H92">_xlfn.TEXTJOIN("; ",TRUE,TRANSPOSE(_xlfn.UNIQUE(_xlfn._xlws.FILTER(DET_ASIG[DETALLADO],(DET_ASIG[NIVEL]=ASIGNACION!$D92)*(DET_ASIG[ID_CARRERA]=ASIGNACION!$C92)*(DET_ASIG[ID_ASIG]=ASIGNACION!$G92),"No existe información"))))</f>
        <v>No existe información</v>
      </c>
      <c r="I92" s="1"/>
      <c r="J92">
        <f>_xlfn.XLOOKUP(Tabla1[[#This Row],[ID_ASIG_CAM_DET]],MAE_ASIGNATURA[ID_ASIG],MAE_ASIGNATURA[HORAS],0)</f>
        <v>0</v>
      </c>
      <c r="K92">
        <v>4</v>
      </c>
      <c r="L92" s="2">
        <f>+Tabla1[[#This Row],[CALCULAR HORA]]*Tabla1[[#This Row],[HORAS]]</f>
        <v>0</v>
      </c>
      <c r="N92" t="str">
        <f>_xlfn.XLOOKUP(Tabla1[[#This Row],[NOMBRE_DOCENT]],MDOCENTES[DATOS_DOCENTE],MDOCENTES[DEDICACION],"Seleccione Docente")</f>
        <v>Seleccione Docente</v>
      </c>
      <c r="O92" t="str">
        <f>_xlfn.XLOOKUP(Tabla1[[#This Row],[NOMBRE_DOCENT]],MDOCENTES[DATOS_DOCENTE],MDOCENTES[ESTUDIO],"Seleccione Docente")</f>
        <v>Seleccione Docente</v>
      </c>
      <c r="P92">
        <f t="shared" si="5"/>
        <v>0</v>
      </c>
      <c r="Q92">
        <f t="shared" si="6"/>
        <v>0</v>
      </c>
      <c r="R92">
        <f t="shared" si="7"/>
        <v>0</v>
      </c>
      <c r="S92">
        <f t="shared" si="8"/>
        <v>0</v>
      </c>
      <c r="T92">
        <f t="shared" si="9"/>
        <v>0</v>
      </c>
      <c r="U92">
        <f>Tabla1[[#This Row],[HORAS NO AFINIDAD]]+Tabla1[[#This Row],[HORAS UNIDAD BASICA]]+Tabla1[[#This Row],[HORAS AFINIDAD]]</f>
        <v>0</v>
      </c>
      <c r="V92">
        <f>+Tabla1[[#This Row],[HORAS AFINIDAD]]+Tabla1[[#This Row],[HORAS ACTIVIDAD]]+Tabla1[[#This Row],[HORAS UNIDAD BASICA]]+Tabla1[[#This Row],[HORAS NO AFINIDAD]]</f>
        <v>0</v>
      </c>
    </row>
    <row r="93" spans="1:22" ht="18.75" customHeight="1">
      <c r="A93">
        <v>92</v>
      </c>
      <c r="C93" t="str">
        <f>_xlfn.XLOOKUP(Tabla1[[#This Row],[CARRERA]],MAE_CARRERA[NOMBRE_CARRERA],MAE_CARRERA[ID_CARRERA],"Seleccione Carrera")</f>
        <v>Seleccione Carrera</v>
      </c>
      <c r="F93" s="1"/>
      <c r="G93" t="str">
        <f>_xlfn.XLOOKUP(Tabla1[[#This Row],[ASIGNATURA]],MAE_ASIGNATURA[NOM_ASIG],MAE_ASIGNATURA[ID_ASIG],"Seleccione Asignatura")</f>
        <v>Seleccione Asignatura</v>
      </c>
      <c r="H93" s="1" t="str" cm="1">
        <f t="array" ref="H93">_xlfn.TEXTJOIN("; ",TRUE,TRANSPOSE(_xlfn.UNIQUE(_xlfn._xlws.FILTER(DET_ASIG[DETALLADO],(DET_ASIG[NIVEL]=ASIGNACION!$D93)*(DET_ASIG[ID_CARRERA]=ASIGNACION!$C93)*(DET_ASIG[ID_ASIG]=ASIGNACION!$G93),"No existe información"))))</f>
        <v>No existe información</v>
      </c>
      <c r="I93" s="1"/>
      <c r="J93">
        <f>_xlfn.XLOOKUP(Tabla1[[#This Row],[ID_ASIG_CAM_DET]],MAE_ASIGNATURA[ID_ASIG],MAE_ASIGNATURA[HORAS],0)</f>
        <v>0</v>
      </c>
      <c r="K93">
        <v>4</v>
      </c>
      <c r="L93" s="2">
        <f>+Tabla1[[#This Row],[CALCULAR HORA]]*Tabla1[[#This Row],[HORAS]]</f>
        <v>0</v>
      </c>
      <c r="N93" t="str">
        <f>_xlfn.XLOOKUP(Tabla1[[#This Row],[NOMBRE_DOCENT]],MDOCENTES[DATOS_DOCENTE],MDOCENTES[DEDICACION],"Seleccione Docente")</f>
        <v>Seleccione Docente</v>
      </c>
      <c r="O93" t="str">
        <f>_xlfn.XLOOKUP(Tabla1[[#This Row],[NOMBRE_DOCENT]],MDOCENTES[DATOS_DOCENTE],MDOCENTES[ESTUDIO],"Seleccione Docente")</f>
        <v>Seleccione Docente</v>
      </c>
      <c r="P93">
        <f t="shared" si="5"/>
        <v>0</v>
      </c>
      <c r="Q93">
        <f t="shared" si="6"/>
        <v>0</v>
      </c>
      <c r="R93">
        <f t="shared" si="7"/>
        <v>0</v>
      </c>
      <c r="S93">
        <f t="shared" si="8"/>
        <v>0</v>
      </c>
      <c r="T93">
        <f t="shared" si="9"/>
        <v>0</v>
      </c>
      <c r="U93">
        <f>Tabla1[[#This Row],[HORAS NO AFINIDAD]]+Tabla1[[#This Row],[HORAS UNIDAD BASICA]]+Tabla1[[#This Row],[HORAS AFINIDAD]]</f>
        <v>0</v>
      </c>
      <c r="V93">
        <f>+Tabla1[[#This Row],[HORAS AFINIDAD]]+Tabla1[[#This Row],[HORAS ACTIVIDAD]]+Tabla1[[#This Row],[HORAS UNIDAD BASICA]]+Tabla1[[#This Row],[HORAS NO AFINIDAD]]</f>
        <v>0</v>
      </c>
    </row>
    <row r="94" spans="1:22" ht="18.75" customHeight="1">
      <c r="A94">
        <v>93</v>
      </c>
      <c r="C94" t="str">
        <f>_xlfn.XLOOKUP(Tabla1[[#This Row],[CARRERA]],MAE_CARRERA[NOMBRE_CARRERA],MAE_CARRERA[ID_CARRERA],"Seleccione Carrera")</f>
        <v>Seleccione Carrera</v>
      </c>
      <c r="F94" s="1"/>
      <c r="G94" t="str">
        <f>_xlfn.XLOOKUP(Tabla1[[#This Row],[ASIGNATURA]],MAE_ASIGNATURA[NOM_ASIG],MAE_ASIGNATURA[ID_ASIG],"Seleccione Asignatura")</f>
        <v>Seleccione Asignatura</v>
      </c>
      <c r="H94" s="1" t="str" cm="1">
        <f t="array" ref="H94">_xlfn.TEXTJOIN("; ",TRUE,TRANSPOSE(_xlfn.UNIQUE(_xlfn._xlws.FILTER(DET_ASIG[DETALLADO],(DET_ASIG[NIVEL]=ASIGNACION!$D94)*(DET_ASIG[ID_CARRERA]=ASIGNACION!$C94)*(DET_ASIG[ID_ASIG]=ASIGNACION!$G94),"No existe información"))))</f>
        <v>No existe información</v>
      </c>
      <c r="I94" s="1"/>
      <c r="J94">
        <f>_xlfn.XLOOKUP(Tabla1[[#This Row],[ID_ASIG_CAM_DET]],MAE_ASIGNATURA[ID_ASIG],MAE_ASIGNATURA[HORAS],0)</f>
        <v>0</v>
      </c>
      <c r="K94">
        <v>4</v>
      </c>
      <c r="L94" s="2">
        <f>+Tabla1[[#This Row],[CALCULAR HORA]]*Tabla1[[#This Row],[HORAS]]</f>
        <v>0</v>
      </c>
      <c r="N94" t="str">
        <f>_xlfn.XLOOKUP(Tabla1[[#This Row],[NOMBRE_DOCENT]],MDOCENTES[DATOS_DOCENTE],MDOCENTES[DEDICACION],"Seleccione Docente")</f>
        <v>Seleccione Docente</v>
      </c>
      <c r="O94" t="str">
        <f>_xlfn.XLOOKUP(Tabla1[[#This Row],[NOMBRE_DOCENT]],MDOCENTES[DATOS_DOCENTE],MDOCENTES[ESTUDIO],"Seleccione Docente")</f>
        <v>Seleccione Docente</v>
      </c>
      <c r="P94">
        <f t="shared" si="5"/>
        <v>0</v>
      </c>
      <c r="Q94">
        <f t="shared" si="6"/>
        <v>0</v>
      </c>
      <c r="R94">
        <f t="shared" si="7"/>
        <v>0</v>
      </c>
      <c r="S94">
        <f t="shared" si="8"/>
        <v>0</v>
      </c>
      <c r="T94">
        <f t="shared" si="9"/>
        <v>0</v>
      </c>
      <c r="U94">
        <f>Tabla1[[#This Row],[HORAS NO AFINIDAD]]+Tabla1[[#This Row],[HORAS UNIDAD BASICA]]+Tabla1[[#This Row],[HORAS AFINIDAD]]</f>
        <v>0</v>
      </c>
      <c r="V94">
        <f>+Tabla1[[#This Row],[HORAS AFINIDAD]]+Tabla1[[#This Row],[HORAS ACTIVIDAD]]+Tabla1[[#This Row],[HORAS UNIDAD BASICA]]+Tabla1[[#This Row],[HORAS NO AFINIDAD]]</f>
        <v>0</v>
      </c>
    </row>
    <row r="95" spans="1:22" ht="18.75" customHeight="1">
      <c r="A95">
        <v>94</v>
      </c>
      <c r="C95" t="str">
        <f>_xlfn.XLOOKUP(Tabla1[[#This Row],[CARRERA]],MAE_CARRERA[NOMBRE_CARRERA],MAE_CARRERA[ID_CARRERA],"Seleccione Carrera")</f>
        <v>Seleccione Carrera</v>
      </c>
      <c r="F95" s="1"/>
      <c r="G95" t="str">
        <f>_xlfn.XLOOKUP(Tabla1[[#This Row],[ASIGNATURA]],MAE_ASIGNATURA[NOM_ASIG],MAE_ASIGNATURA[ID_ASIG],"Seleccione Asignatura")</f>
        <v>Seleccione Asignatura</v>
      </c>
      <c r="H95" s="1" t="str" cm="1">
        <f t="array" ref="H95">_xlfn.TEXTJOIN("; ",TRUE,TRANSPOSE(_xlfn.UNIQUE(_xlfn._xlws.FILTER(DET_ASIG[DETALLADO],(DET_ASIG[NIVEL]=ASIGNACION!$D95)*(DET_ASIG[ID_CARRERA]=ASIGNACION!$C95)*(DET_ASIG[ID_ASIG]=ASIGNACION!$G95),"No existe información"))))</f>
        <v>No existe información</v>
      </c>
      <c r="I95" s="1"/>
      <c r="J95">
        <f>_xlfn.XLOOKUP(Tabla1[[#This Row],[ID_ASIG_CAM_DET]],MAE_ASIGNATURA[ID_ASIG],MAE_ASIGNATURA[HORAS],0)</f>
        <v>0</v>
      </c>
      <c r="K95">
        <v>4</v>
      </c>
      <c r="L95" s="2">
        <f>+Tabla1[[#This Row],[CALCULAR HORA]]*Tabla1[[#This Row],[HORAS]]</f>
        <v>0</v>
      </c>
      <c r="N95" t="str">
        <f>_xlfn.XLOOKUP(Tabla1[[#This Row],[NOMBRE_DOCENT]],MDOCENTES[DATOS_DOCENTE],MDOCENTES[DEDICACION],"Seleccione Docente")</f>
        <v>Seleccione Docente</v>
      </c>
      <c r="O95" t="str">
        <f>_xlfn.XLOOKUP(Tabla1[[#This Row],[NOMBRE_DOCENT]],MDOCENTES[DATOS_DOCENTE],MDOCENTES[ESTUDIO],"Seleccione Docente")</f>
        <v>Seleccione Docente</v>
      </c>
      <c r="P95">
        <f t="shared" si="5"/>
        <v>0</v>
      </c>
      <c r="Q95">
        <f t="shared" si="6"/>
        <v>0</v>
      </c>
      <c r="R95">
        <f t="shared" si="7"/>
        <v>0</v>
      </c>
      <c r="S95">
        <f t="shared" si="8"/>
        <v>0</v>
      </c>
      <c r="T95">
        <f t="shared" si="9"/>
        <v>0</v>
      </c>
      <c r="U95">
        <f>Tabla1[[#This Row],[HORAS NO AFINIDAD]]+Tabla1[[#This Row],[HORAS UNIDAD BASICA]]+Tabla1[[#This Row],[HORAS AFINIDAD]]</f>
        <v>0</v>
      </c>
      <c r="V95">
        <f>+Tabla1[[#This Row],[HORAS AFINIDAD]]+Tabla1[[#This Row],[HORAS ACTIVIDAD]]+Tabla1[[#This Row],[HORAS UNIDAD BASICA]]+Tabla1[[#This Row],[HORAS NO AFINIDAD]]</f>
        <v>0</v>
      </c>
    </row>
    <row r="96" spans="1:22" ht="18.75" customHeight="1">
      <c r="A96">
        <v>95</v>
      </c>
      <c r="C96" t="str">
        <f>_xlfn.XLOOKUP(Tabla1[[#This Row],[CARRERA]],MAE_CARRERA[NOMBRE_CARRERA],MAE_CARRERA[ID_CARRERA],"Seleccione Carrera")</f>
        <v>Seleccione Carrera</v>
      </c>
      <c r="F96" s="1"/>
      <c r="G96" t="str">
        <f>_xlfn.XLOOKUP(Tabla1[[#This Row],[ASIGNATURA]],MAE_ASIGNATURA[NOM_ASIG],MAE_ASIGNATURA[ID_ASIG],"Seleccione Asignatura")</f>
        <v>Seleccione Asignatura</v>
      </c>
      <c r="H96" s="1" t="str" cm="1">
        <f t="array" ref="H96">_xlfn.TEXTJOIN("; ",TRUE,TRANSPOSE(_xlfn.UNIQUE(_xlfn._xlws.FILTER(DET_ASIG[DETALLADO],(DET_ASIG[NIVEL]=ASIGNACION!$D96)*(DET_ASIG[ID_CARRERA]=ASIGNACION!$C96)*(DET_ASIG[ID_ASIG]=ASIGNACION!$G96),"No existe información"))))</f>
        <v>No existe información</v>
      </c>
      <c r="I96" s="1"/>
      <c r="J96">
        <f>_xlfn.XLOOKUP(Tabla1[[#This Row],[ID_ASIG_CAM_DET]],MAE_ASIGNATURA[ID_ASIG],MAE_ASIGNATURA[HORAS],0)</f>
        <v>0</v>
      </c>
      <c r="K96">
        <v>4</v>
      </c>
      <c r="L96" s="2">
        <f>+Tabla1[[#This Row],[CALCULAR HORA]]*Tabla1[[#This Row],[HORAS]]</f>
        <v>0</v>
      </c>
      <c r="N96" t="str">
        <f>_xlfn.XLOOKUP(Tabla1[[#This Row],[NOMBRE_DOCENT]],MDOCENTES[DATOS_DOCENTE],MDOCENTES[DEDICACION],"Seleccione Docente")</f>
        <v>Seleccione Docente</v>
      </c>
      <c r="O96" t="str">
        <f>_xlfn.XLOOKUP(Tabla1[[#This Row],[NOMBRE_DOCENT]],MDOCENTES[DATOS_DOCENTE],MDOCENTES[ESTUDIO],"Seleccione Docente")</f>
        <v>Seleccione Docente</v>
      </c>
      <c r="P96">
        <f t="shared" si="5"/>
        <v>0</v>
      </c>
      <c r="Q96">
        <f t="shared" si="6"/>
        <v>0</v>
      </c>
      <c r="R96">
        <f t="shared" si="7"/>
        <v>0</v>
      </c>
      <c r="S96">
        <f t="shared" si="8"/>
        <v>0</v>
      </c>
      <c r="T96">
        <f t="shared" si="9"/>
        <v>0</v>
      </c>
      <c r="U96">
        <f>Tabla1[[#This Row],[HORAS NO AFINIDAD]]+Tabla1[[#This Row],[HORAS UNIDAD BASICA]]+Tabla1[[#This Row],[HORAS AFINIDAD]]</f>
        <v>0</v>
      </c>
      <c r="V96">
        <f>+Tabla1[[#This Row],[HORAS AFINIDAD]]+Tabla1[[#This Row],[HORAS ACTIVIDAD]]+Tabla1[[#This Row],[HORAS UNIDAD BASICA]]+Tabla1[[#This Row],[HORAS NO AFINIDAD]]</f>
        <v>0</v>
      </c>
    </row>
    <row r="97" spans="1:22" ht="18.75" customHeight="1">
      <c r="A97">
        <v>96</v>
      </c>
      <c r="C97" t="str">
        <f>_xlfn.XLOOKUP(Tabla1[[#This Row],[CARRERA]],MAE_CARRERA[NOMBRE_CARRERA],MAE_CARRERA[ID_CARRERA],"Seleccione Carrera")</f>
        <v>Seleccione Carrera</v>
      </c>
      <c r="F97" s="1"/>
      <c r="G97" t="str">
        <f>_xlfn.XLOOKUP(Tabla1[[#This Row],[ASIGNATURA]],MAE_ASIGNATURA[NOM_ASIG],MAE_ASIGNATURA[ID_ASIG],"Seleccione Asignatura")</f>
        <v>Seleccione Asignatura</v>
      </c>
      <c r="H97" s="1" t="str" cm="1">
        <f t="array" ref="H97">_xlfn.TEXTJOIN("; ",TRUE,TRANSPOSE(_xlfn.UNIQUE(_xlfn._xlws.FILTER(DET_ASIG[DETALLADO],(DET_ASIG[NIVEL]=ASIGNACION!$D97)*(DET_ASIG[ID_CARRERA]=ASIGNACION!$C97)*(DET_ASIG[ID_ASIG]=ASIGNACION!$G97),"No existe información"))))</f>
        <v>No existe información</v>
      </c>
      <c r="I97" s="1"/>
      <c r="J97">
        <f>_xlfn.XLOOKUP(Tabla1[[#This Row],[ID_ASIG_CAM_DET]],MAE_ASIGNATURA[ID_ASIG],MAE_ASIGNATURA[HORAS],0)</f>
        <v>0</v>
      </c>
      <c r="K97">
        <v>4</v>
      </c>
      <c r="L97" s="2">
        <f>+Tabla1[[#This Row],[CALCULAR HORA]]*Tabla1[[#This Row],[HORAS]]</f>
        <v>0</v>
      </c>
      <c r="N97" t="str">
        <f>_xlfn.XLOOKUP(Tabla1[[#This Row],[NOMBRE_DOCENT]],MDOCENTES[DATOS_DOCENTE],MDOCENTES[DEDICACION],"Seleccione Docente")</f>
        <v>Seleccione Docente</v>
      </c>
      <c r="O97" t="str">
        <f>_xlfn.XLOOKUP(Tabla1[[#This Row],[NOMBRE_DOCENT]],MDOCENTES[DATOS_DOCENTE],MDOCENTES[ESTUDIO],"Seleccione Docente")</f>
        <v>Seleccione Docente</v>
      </c>
      <c r="P97">
        <f t="shared" si="5"/>
        <v>0</v>
      </c>
      <c r="Q97">
        <f t="shared" si="6"/>
        <v>0</v>
      </c>
      <c r="R97">
        <f t="shared" si="7"/>
        <v>0</v>
      </c>
      <c r="S97">
        <f t="shared" si="8"/>
        <v>0</v>
      </c>
      <c r="T97">
        <f t="shared" si="9"/>
        <v>0</v>
      </c>
      <c r="U97">
        <f>Tabla1[[#This Row],[HORAS NO AFINIDAD]]+Tabla1[[#This Row],[HORAS UNIDAD BASICA]]+Tabla1[[#This Row],[HORAS AFINIDAD]]</f>
        <v>0</v>
      </c>
      <c r="V97">
        <f>+Tabla1[[#This Row],[HORAS AFINIDAD]]+Tabla1[[#This Row],[HORAS ACTIVIDAD]]+Tabla1[[#This Row],[HORAS UNIDAD BASICA]]+Tabla1[[#This Row],[HORAS NO AFINIDAD]]</f>
        <v>0</v>
      </c>
    </row>
    <row r="98" spans="1:22" ht="18.75" customHeight="1">
      <c r="A98">
        <v>97</v>
      </c>
      <c r="C98" t="str">
        <f>_xlfn.XLOOKUP(Tabla1[[#This Row],[CARRERA]],MAE_CARRERA[NOMBRE_CARRERA],MAE_CARRERA[ID_CARRERA],"Seleccione Carrera")</f>
        <v>Seleccione Carrera</v>
      </c>
      <c r="F98" s="1"/>
      <c r="G98" t="str">
        <f>_xlfn.XLOOKUP(Tabla1[[#This Row],[ASIGNATURA]],MAE_ASIGNATURA[NOM_ASIG],MAE_ASIGNATURA[ID_ASIG],"Seleccione Asignatura")</f>
        <v>Seleccione Asignatura</v>
      </c>
      <c r="H98" s="1" t="str" cm="1">
        <f t="array" ref="H98">_xlfn.TEXTJOIN("; ",TRUE,TRANSPOSE(_xlfn.UNIQUE(_xlfn._xlws.FILTER(DET_ASIG[DETALLADO],(DET_ASIG[NIVEL]=ASIGNACION!$D98)*(DET_ASIG[ID_CARRERA]=ASIGNACION!$C98)*(DET_ASIG[ID_ASIG]=ASIGNACION!$G98),"No existe información"))))</f>
        <v>No existe información</v>
      </c>
      <c r="I98" s="1"/>
      <c r="J98">
        <f>_xlfn.XLOOKUP(Tabla1[[#This Row],[ID_ASIG_CAM_DET]],MAE_ASIGNATURA[ID_ASIG],MAE_ASIGNATURA[HORAS],0)</f>
        <v>0</v>
      </c>
      <c r="K98">
        <v>4</v>
      </c>
      <c r="L98" s="2">
        <f>+Tabla1[[#This Row],[CALCULAR HORA]]*Tabla1[[#This Row],[HORAS]]</f>
        <v>0</v>
      </c>
      <c r="N98" t="str">
        <f>_xlfn.XLOOKUP(Tabla1[[#This Row],[NOMBRE_DOCENT]],MDOCENTES[DATOS_DOCENTE],MDOCENTES[DEDICACION],"Seleccione Docente")</f>
        <v>Seleccione Docente</v>
      </c>
      <c r="O98" t="str">
        <f>_xlfn.XLOOKUP(Tabla1[[#This Row],[NOMBRE_DOCENT]],MDOCENTES[DATOS_DOCENTE],MDOCENTES[ESTUDIO],"Seleccione Docente")</f>
        <v>Seleccione Docente</v>
      </c>
      <c r="P98">
        <f t="shared" si="5"/>
        <v>0</v>
      </c>
      <c r="Q98">
        <f t="shared" si="6"/>
        <v>0</v>
      </c>
      <c r="R98">
        <f t="shared" si="7"/>
        <v>0</v>
      </c>
      <c r="S98">
        <f t="shared" si="8"/>
        <v>0</v>
      </c>
      <c r="T98">
        <f t="shared" si="9"/>
        <v>0</v>
      </c>
      <c r="U98">
        <f>Tabla1[[#This Row],[HORAS NO AFINIDAD]]+Tabla1[[#This Row],[HORAS UNIDAD BASICA]]+Tabla1[[#This Row],[HORAS AFINIDAD]]</f>
        <v>0</v>
      </c>
      <c r="V98">
        <f>+Tabla1[[#This Row],[HORAS AFINIDAD]]+Tabla1[[#This Row],[HORAS ACTIVIDAD]]+Tabla1[[#This Row],[HORAS UNIDAD BASICA]]+Tabla1[[#This Row],[HORAS NO AFINIDAD]]</f>
        <v>0</v>
      </c>
    </row>
    <row r="99" spans="1:22" ht="18.75" customHeight="1">
      <c r="A99">
        <v>98</v>
      </c>
      <c r="C99" t="str">
        <f>_xlfn.XLOOKUP(Tabla1[[#This Row],[CARRERA]],MAE_CARRERA[NOMBRE_CARRERA],MAE_CARRERA[ID_CARRERA],"Seleccione Carrera")</f>
        <v>Seleccione Carrera</v>
      </c>
      <c r="F99" s="1"/>
      <c r="G99" t="str">
        <f>_xlfn.XLOOKUP(Tabla1[[#This Row],[ASIGNATURA]],MAE_ASIGNATURA[NOM_ASIG],MAE_ASIGNATURA[ID_ASIG],"Seleccione Asignatura")</f>
        <v>Seleccione Asignatura</v>
      </c>
      <c r="H99" s="1" t="str" cm="1">
        <f t="array" ref="H99">_xlfn.TEXTJOIN("; ",TRUE,TRANSPOSE(_xlfn.UNIQUE(_xlfn._xlws.FILTER(DET_ASIG[DETALLADO],(DET_ASIG[NIVEL]=ASIGNACION!$D99)*(DET_ASIG[ID_CARRERA]=ASIGNACION!$C99)*(DET_ASIG[ID_ASIG]=ASIGNACION!$G99),"No existe información"))))</f>
        <v>No existe información</v>
      </c>
      <c r="I99" s="1"/>
      <c r="J99">
        <f>_xlfn.XLOOKUP(Tabla1[[#This Row],[ID_ASIG_CAM_DET]],MAE_ASIGNATURA[ID_ASIG],MAE_ASIGNATURA[HORAS],0)</f>
        <v>0</v>
      </c>
      <c r="K99">
        <v>4</v>
      </c>
      <c r="L99" s="2">
        <f>+Tabla1[[#This Row],[CALCULAR HORA]]*Tabla1[[#This Row],[HORAS]]</f>
        <v>0</v>
      </c>
      <c r="N99" t="str">
        <f>_xlfn.XLOOKUP(Tabla1[[#This Row],[NOMBRE_DOCENT]],MDOCENTES[DATOS_DOCENTE],MDOCENTES[DEDICACION],"Seleccione Docente")</f>
        <v>Seleccione Docente</v>
      </c>
      <c r="O99" t="str">
        <f>_xlfn.XLOOKUP(Tabla1[[#This Row],[NOMBRE_DOCENT]],MDOCENTES[DATOS_DOCENTE],MDOCENTES[ESTUDIO],"Seleccione Docente")</f>
        <v>Seleccione Docente</v>
      </c>
      <c r="P99">
        <f t="shared" si="5"/>
        <v>0</v>
      </c>
      <c r="Q99">
        <f t="shared" si="6"/>
        <v>0</v>
      </c>
      <c r="R99">
        <f t="shared" si="7"/>
        <v>0</v>
      </c>
      <c r="S99">
        <f t="shared" si="8"/>
        <v>0</v>
      </c>
      <c r="T99">
        <f t="shared" si="9"/>
        <v>0</v>
      </c>
      <c r="U99">
        <f>Tabla1[[#This Row],[HORAS NO AFINIDAD]]+Tabla1[[#This Row],[HORAS UNIDAD BASICA]]+Tabla1[[#This Row],[HORAS AFINIDAD]]</f>
        <v>0</v>
      </c>
      <c r="V99">
        <f>+Tabla1[[#This Row],[HORAS AFINIDAD]]+Tabla1[[#This Row],[HORAS ACTIVIDAD]]+Tabla1[[#This Row],[HORAS UNIDAD BASICA]]+Tabla1[[#This Row],[HORAS NO AFINIDAD]]</f>
        <v>0</v>
      </c>
    </row>
    <row r="100" spans="1:22" ht="18.75" customHeight="1">
      <c r="A100">
        <v>99</v>
      </c>
      <c r="C100" t="str">
        <f>_xlfn.XLOOKUP(Tabla1[[#This Row],[CARRERA]],MAE_CARRERA[NOMBRE_CARRERA],MAE_CARRERA[ID_CARRERA],"Seleccione Carrera")</f>
        <v>Seleccione Carrera</v>
      </c>
      <c r="F100" s="1"/>
      <c r="G100" t="str">
        <f>_xlfn.XLOOKUP(Tabla1[[#This Row],[ASIGNATURA]],MAE_ASIGNATURA[NOM_ASIG],MAE_ASIGNATURA[ID_ASIG],"Seleccione Asignatura")</f>
        <v>Seleccione Asignatura</v>
      </c>
      <c r="H100" s="1" t="str" cm="1">
        <f t="array" ref="H100">_xlfn.TEXTJOIN("; ",TRUE,TRANSPOSE(_xlfn.UNIQUE(_xlfn._xlws.FILTER(DET_ASIG[DETALLADO],(DET_ASIG[NIVEL]=ASIGNACION!$D100)*(DET_ASIG[ID_CARRERA]=ASIGNACION!$C100)*(DET_ASIG[ID_ASIG]=ASIGNACION!$G100),"No existe información"))))</f>
        <v>No existe información</v>
      </c>
      <c r="I100" s="1"/>
      <c r="J100">
        <f>_xlfn.XLOOKUP(Tabla1[[#This Row],[ID_ASIG_CAM_DET]],MAE_ASIGNATURA[ID_ASIG],MAE_ASIGNATURA[HORAS],0)</f>
        <v>0</v>
      </c>
      <c r="K100">
        <v>4</v>
      </c>
      <c r="L100" s="2">
        <f>+Tabla1[[#This Row],[CALCULAR HORA]]*Tabla1[[#This Row],[HORAS]]</f>
        <v>0</v>
      </c>
      <c r="N100" t="str">
        <f>_xlfn.XLOOKUP(Tabla1[[#This Row],[NOMBRE_DOCENT]],MDOCENTES[DATOS_DOCENTE],MDOCENTES[DEDICACION],"Seleccione Docente")</f>
        <v>Seleccione Docente</v>
      </c>
      <c r="O100" t="str">
        <f>_xlfn.XLOOKUP(Tabla1[[#This Row],[NOMBRE_DOCENT]],MDOCENTES[DATOS_DOCENTE],MDOCENTES[ESTUDIO],"Seleccione Docente")</f>
        <v>Seleccione Docente</v>
      </c>
      <c r="P100">
        <f t="shared" si="5"/>
        <v>0</v>
      </c>
      <c r="Q100">
        <f t="shared" si="6"/>
        <v>0</v>
      </c>
      <c r="R100">
        <f t="shared" si="7"/>
        <v>0</v>
      </c>
      <c r="S100">
        <f t="shared" si="8"/>
        <v>0</v>
      </c>
      <c r="T100">
        <f t="shared" si="9"/>
        <v>0</v>
      </c>
      <c r="U100">
        <f>Tabla1[[#This Row],[HORAS NO AFINIDAD]]+Tabla1[[#This Row],[HORAS UNIDAD BASICA]]+Tabla1[[#This Row],[HORAS AFINIDAD]]</f>
        <v>0</v>
      </c>
      <c r="V100">
        <f>+Tabla1[[#This Row],[HORAS AFINIDAD]]+Tabla1[[#This Row],[HORAS ACTIVIDAD]]+Tabla1[[#This Row],[HORAS UNIDAD BASICA]]+Tabla1[[#This Row],[HORAS NO AFINIDAD]]</f>
        <v>0</v>
      </c>
    </row>
    <row r="101" spans="1:22" ht="18.75" customHeight="1">
      <c r="A101">
        <v>100</v>
      </c>
      <c r="C101" t="str">
        <f>_xlfn.XLOOKUP(Tabla1[[#This Row],[CARRERA]],MAE_CARRERA[NOMBRE_CARRERA],MAE_CARRERA[ID_CARRERA],"Seleccione Carrera")</f>
        <v>Seleccione Carrera</v>
      </c>
      <c r="F101" s="1"/>
      <c r="G101" t="str">
        <f>_xlfn.XLOOKUP(Tabla1[[#This Row],[ASIGNATURA]],MAE_ASIGNATURA[NOM_ASIG],MAE_ASIGNATURA[ID_ASIG],"Seleccione Asignatura")</f>
        <v>Seleccione Asignatura</v>
      </c>
      <c r="H101" s="1" t="str" cm="1">
        <f t="array" ref="H101">_xlfn.TEXTJOIN("; ",TRUE,TRANSPOSE(_xlfn.UNIQUE(_xlfn._xlws.FILTER(DET_ASIG[DETALLADO],(DET_ASIG[NIVEL]=ASIGNACION!$D101)*(DET_ASIG[ID_CARRERA]=ASIGNACION!$C101)*(DET_ASIG[ID_ASIG]=ASIGNACION!$G101),"No existe información"))))</f>
        <v>No existe información</v>
      </c>
      <c r="I101" s="1"/>
      <c r="J101">
        <f>_xlfn.XLOOKUP(Tabla1[[#This Row],[ID_ASIG_CAM_DET]],MAE_ASIGNATURA[ID_ASIG],MAE_ASIGNATURA[HORAS],0)</f>
        <v>0</v>
      </c>
      <c r="K101">
        <v>4</v>
      </c>
      <c r="L101" s="2">
        <f>+Tabla1[[#This Row],[CALCULAR HORA]]*Tabla1[[#This Row],[HORAS]]</f>
        <v>0</v>
      </c>
      <c r="N101" t="str">
        <f>_xlfn.XLOOKUP(Tabla1[[#This Row],[NOMBRE_DOCENT]],MDOCENTES[DATOS_DOCENTE],MDOCENTES[DEDICACION],"Seleccione Docente")</f>
        <v>Seleccione Docente</v>
      </c>
      <c r="O101" t="str">
        <f>_xlfn.XLOOKUP(Tabla1[[#This Row],[NOMBRE_DOCENT]],MDOCENTES[DATOS_DOCENTE],MDOCENTES[ESTUDIO],"Seleccione Docente")</f>
        <v>Seleccione Docente</v>
      </c>
      <c r="P101">
        <f t="shared" si="5"/>
        <v>0</v>
      </c>
      <c r="Q101">
        <f t="shared" si="6"/>
        <v>0</v>
      </c>
      <c r="R101">
        <f t="shared" si="7"/>
        <v>0</v>
      </c>
      <c r="S101">
        <f t="shared" si="8"/>
        <v>0</v>
      </c>
      <c r="T101">
        <f t="shared" si="9"/>
        <v>0</v>
      </c>
      <c r="U101">
        <f>Tabla1[[#This Row],[HORAS NO AFINIDAD]]+Tabla1[[#This Row],[HORAS UNIDAD BASICA]]+Tabla1[[#This Row],[HORAS AFINIDAD]]</f>
        <v>0</v>
      </c>
      <c r="V101">
        <f>+Tabla1[[#This Row],[HORAS AFINIDAD]]+Tabla1[[#This Row],[HORAS ACTIVIDAD]]+Tabla1[[#This Row],[HORAS UNIDAD BASICA]]+Tabla1[[#This Row],[HORAS NO AFINIDAD]]</f>
        <v>0</v>
      </c>
    </row>
    <row r="102" spans="1:22" ht="18.75" customHeight="1">
      <c r="A102">
        <v>101</v>
      </c>
      <c r="C102" t="str">
        <f>_xlfn.XLOOKUP(Tabla1[[#This Row],[CARRERA]],MAE_CARRERA[NOMBRE_CARRERA],MAE_CARRERA[ID_CARRERA],"Seleccione Carrera")</f>
        <v>Seleccione Carrera</v>
      </c>
      <c r="F102" s="1"/>
      <c r="G102" t="str">
        <f>_xlfn.XLOOKUP(Tabla1[[#This Row],[ASIGNATURA]],MAE_ASIGNATURA[NOM_ASIG],MAE_ASIGNATURA[ID_ASIG],"Seleccione Asignatura")</f>
        <v>Seleccione Asignatura</v>
      </c>
      <c r="H102" s="1" t="str" cm="1">
        <f t="array" ref="H102">_xlfn.TEXTJOIN("; ",TRUE,TRANSPOSE(_xlfn.UNIQUE(_xlfn._xlws.FILTER(DET_ASIG[DETALLADO],(DET_ASIG[NIVEL]=ASIGNACION!$D102)*(DET_ASIG[ID_CARRERA]=ASIGNACION!$C102)*(DET_ASIG[ID_ASIG]=ASIGNACION!$G102),"No existe información"))))</f>
        <v>No existe información</v>
      </c>
      <c r="I102" s="1"/>
      <c r="J102">
        <f>_xlfn.XLOOKUP(Tabla1[[#This Row],[ID_ASIG_CAM_DET]],MAE_ASIGNATURA[ID_ASIG],MAE_ASIGNATURA[HORAS],0)</f>
        <v>0</v>
      </c>
      <c r="K102">
        <v>4</v>
      </c>
      <c r="L102" s="2">
        <f>+Tabla1[[#This Row],[CALCULAR HORA]]*Tabla1[[#This Row],[HORAS]]</f>
        <v>0</v>
      </c>
      <c r="N102" t="str">
        <f>_xlfn.XLOOKUP(Tabla1[[#This Row],[NOMBRE_DOCENT]],MDOCENTES[DATOS_DOCENTE],MDOCENTES[DEDICACION],"Seleccione Docente")</f>
        <v>Seleccione Docente</v>
      </c>
      <c r="O102" t="str">
        <f>_xlfn.XLOOKUP(Tabla1[[#This Row],[NOMBRE_DOCENT]],MDOCENTES[DATOS_DOCENTE],MDOCENTES[ESTUDIO],"Seleccione Docente")</f>
        <v>Seleccione Docente</v>
      </c>
      <c r="P102">
        <f t="shared" si="5"/>
        <v>0</v>
      </c>
      <c r="Q102">
        <f t="shared" si="6"/>
        <v>0</v>
      </c>
      <c r="R102">
        <f t="shared" si="7"/>
        <v>0</v>
      </c>
      <c r="S102">
        <f t="shared" si="8"/>
        <v>0</v>
      </c>
      <c r="T102">
        <f t="shared" si="9"/>
        <v>0</v>
      </c>
      <c r="U102">
        <f>Tabla1[[#This Row],[HORAS NO AFINIDAD]]+Tabla1[[#This Row],[HORAS UNIDAD BASICA]]+Tabla1[[#This Row],[HORAS AFINIDAD]]</f>
        <v>0</v>
      </c>
      <c r="V102">
        <f>+Tabla1[[#This Row],[HORAS AFINIDAD]]+Tabla1[[#This Row],[HORAS ACTIVIDAD]]+Tabla1[[#This Row],[HORAS UNIDAD BASICA]]+Tabla1[[#This Row],[HORAS NO AFINIDAD]]</f>
        <v>0</v>
      </c>
    </row>
    <row r="103" spans="1:22" ht="18.75" customHeight="1">
      <c r="A103">
        <v>102</v>
      </c>
      <c r="C103" t="str">
        <f>_xlfn.XLOOKUP(Tabla1[[#This Row],[CARRERA]],MAE_CARRERA[NOMBRE_CARRERA],MAE_CARRERA[ID_CARRERA],"Seleccione Carrera")</f>
        <v>Seleccione Carrera</v>
      </c>
      <c r="F103" s="1"/>
      <c r="G103" t="str">
        <f>_xlfn.XLOOKUP(Tabla1[[#This Row],[ASIGNATURA]],MAE_ASIGNATURA[NOM_ASIG],MAE_ASIGNATURA[ID_ASIG],"Seleccione Asignatura")</f>
        <v>Seleccione Asignatura</v>
      </c>
      <c r="H103" s="1" t="str" cm="1">
        <f t="array" ref="H103">_xlfn.TEXTJOIN("; ",TRUE,TRANSPOSE(_xlfn.UNIQUE(_xlfn._xlws.FILTER(DET_ASIG[DETALLADO],(DET_ASIG[NIVEL]=ASIGNACION!$D103)*(DET_ASIG[ID_CARRERA]=ASIGNACION!$C103)*(DET_ASIG[ID_ASIG]=ASIGNACION!$G103),"No existe información"))))</f>
        <v>No existe información</v>
      </c>
      <c r="I103" s="1"/>
      <c r="J103">
        <f>_xlfn.XLOOKUP(Tabla1[[#This Row],[ID_ASIG_CAM_DET]],MAE_ASIGNATURA[ID_ASIG],MAE_ASIGNATURA[HORAS],0)</f>
        <v>0</v>
      </c>
      <c r="K103">
        <v>4</v>
      </c>
      <c r="L103" s="2">
        <f>+Tabla1[[#This Row],[CALCULAR HORA]]*Tabla1[[#This Row],[HORAS]]</f>
        <v>0</v>
      </c>
      <c r="N103" t="str">
        <f>_xlfn.XLOOKUP(Tabla1[[#This Row],[NOMBRE_DOCENT]],MDOCENTES[DATOS_DOCENTE],MDOCENTES[DEDICACION],"Seleccione Docente")</f>
        <v>Seleccione Docente</v>
      </c>
      <c r="O103" t="str">
        <f>_xlfn.XLOOKUP(Tabla1[[#This Row],[NOMBRE_DOCENT]],MDOCENTES[DATOS_DOCENTE],MDOCENTES[ESTUDIO],"Seleccione Docente")</f>
        <v>Seleccione Docente</v>
      </c>
      <c r="P103">
        <f t="shared" si="5"/>
        <v>0</v>
      </c>
      <c r="Q103">
        <f t="shared" si="6"/>
        <v>0</v>
      </c>
      <c r="R103">
        <f t="shared" si="7"/>
        <v>0</v>
      </c>
      <c r="S103">
        <f t="shared" si="8"/>
        <v>0</v>
      </c>
      <c r="T103">
        <f t="shared" si="9"/>
        <v>0</v>
      </c>
      <c r="U103">
        <f>Tabla1[[#This Row],[HORAS NO AFINIDAD]]+Tabla1[[#This Row],[HORAS UNIDAD BASICA]]+Tabla1[[#This Row],[HORAS AFINIDAD]]</f>
        <v>0</v>
      </c>
      <c r="V103">
        <f>+Tabla1[[#This Row],[HORAS AFINIDAD]]+Tabla1[[#This Row],[HORAS ACTIVIDAD]]+Tabla1[[#This Row],[HORAS UNIDAD BASICA]]+Tabla1[[#This Row],[HORAS NO AFINIDAD]]</f>
        <v>0</v>
      </c>
    </row>
    <row r="104" spans="1:22" ht="18.75" customHeight="1">
      <c r="A104">
        <v>103</v>
      </c>
      <c r="C104" t="str">
        <f>_xlfn.XLOOKUP(Tabla1[[#This Row],[CARRERA]],MAE_CARRERA[NOMBRE_CARRERA],MAE_CARRERA[ID_CARRERA],"Seleccione Carrera")</f>
        <v>Seleccione Carrera</v>
      </c>
      <c r="F104" s="1"/>
      <c r="G104" t="str">
        <f>_xlfn.XLOOKUP(Tabla1[[#This Row],[ASIGNATURA]],MAE_ASIGNATURA[NOM_ASIG],MAE_ASIGNATURA[ID_ASIG],"Seleccione Asignatura")</f>
        <v>Seleccione Asignatura</v>
      </c>
      <c r="H104" s="1" t="str" cm="1">
        <f t="array" ref="H104">_xlfn.TEXTJOIN("; ",TRUE,TRANSPOSE(_xlfn.UNIQUE(_xlfn._xlws.FILTER(DET_ASIG[DETALLADO],(DET_ASIG[NIVEL]=ASIGNACION!$D104)*(DET_ASIG[ID_CARRERA]=ASIGNACION!$C104)*(DET_ASIG[ID_ASIG]=ASIGNACION!$G104),"No existe información"))))</f>
        <v>No existe información</v>
      </c>
      <c r="I104" s="1"/>
      <c r="J104">
        <f>_xlfn.XLOOKUP(Tabla1[[#This Row],[ID_ASIG_CAM_DET]],MAE_ASIGNATURA[ID_ASIG],MAE_ASIGNATURA[HORAS],0)</f>
        <v>0</v>
      </c>
      <c r="K104">
        <v>4</v>
      </c>
      <c r="L104" s="2">
        <f>+Tabla1[[#This Row],[CALCULAR HORA]]*Tabla1[[#This Row],[HORAS]]</f>
        <v>0</v>
      </c>
      <c r="N104" t="str">
        <f>_xlfn.XLOOKUP(Tabla1[[#This Row],[NOMBRE_DOCENT]],MDOCENTES[DATOS_DOCENTE],MDOCENTES[DEDICACION],"Seleccione Docente")</f>
        <v>Seleccione Docente</v>
      </c>
      <c r="O104" t="str">
        <f>_xlfn.XLOOKUP(Tabla1[[#This Row],[NOMBRE_DOCENT]],MDOCENTES[DATOS_DOCENTE],MDOCENTES[ESTUDIO],"Seleccione Docente")</f>
        <v>Seleccione Docente</v>
      </c>
      <c r="P104">
        <f t="shared" si="5"/>
        <v>0</v>
      </c>
      <c r="Q104">
        <f t="shared" si="6"/>
        <v>0</v>
      </c>
      <c r="R104">
        <f t="shared" si="7"/>
        <v>0</v>
      </c>
      <c r="S104">
        <f t="shared" si="8"/>
        <v>0</v>
      </c>
      <c r="T104">
        <f t="shared" si="9"/>
        <v>0</v>
      </c>
      <c r="U104">
        <f>Tabla1[[#This Row],[HORAS NO AFINIDAD]]+Tabla1[[#This Row],[HORAS UNIDAD BASICA]]+Tabla1[[#This Row],[HORAS AFINIDAD]]</f>
        <v>0</v>
      </c>
      <c r="V104">
        <f>+Tabla1[[#This Row],[HORAS AFINIDAD]]+Tabla1[[#This Row],[HORAS ACTIVIDAD]]+Tabla1[[#This Row],[HORAS UNIDAD BASICA]]+Tabla1[[#This Row],[HORAS NO AFINIDAD]]</f>
        <v>0</v>
      </c>
    </row>
    <row r="105" spans="1:22" ht="18.75" customHeight="1">
      <c r="A105">
        <v>104</v>
      </c>
      <c r="C105" t="str">
        <f>_xlfn.XLOOKUP(Tabla1[[#This Row],[CARRERA]],MAE_CARRERA[NOMBRE_CARRERA],MAE_CARRERA[ID_CARRERA],"Seleccione Carrera")</f>
        <v>Seleccione Carrera</v>
      </c>
      <c r="F105" s="1"/>
      <c r="G105" t="str">
        <f>_xlfn.XLOOKUP(Tabla1[[#This Row],[ASIGNATURA]],MAE_ASIGNATURA[NOM_ASIG],MAE_ASIGNATURA[ID_ASIG],"Seleccione Asignatura")</f>
        <v>Seleccione Asignatura</v>
      </c>
      <c r="H105" s="1" t="str" cm="1">
        <f t="array" ref="H105">_xlfn.TEXTJOIN("; ",TRUE,TRANSPOSE(_xlfn.UNIQUE(_xlfn._xlws.FILTER(DET_ASIG[DETALLADO],(DET_ASIG[NIVEL]=ASIGNACION!$D105)*(DET_ASIG[ID_CARRERA]=ASIGNACION!$C105)*(DET_ASIG[ID_ASIG]=ASIGNACION!$G105),"No existe información"))))</f>
        <v>No existe información</v>
      </c>
      <c r="I105" s="1"/>
      <c r="J105">
        <f>_xlfn.XLOOKUP(Tabla1[[#This Row],[ID_ASIG_CAM_DET]],MAE_ASIGNATURA[ID_ASIG],MAE_ASIGNATURA[HORAS],0)</f>
        <v>0</v>
      </c>
      <c r="K105">
        <v>4</v>
      </c>
      <c r="L105" s="2">
        <f>+Tabla1[[#This Row],[CALCULAR HORA]]*Tabla1[[#This Row],[HORAS]]</f>
        <v>0</v>
      </c>
      <c r="N105" t="str">
        <f>_xlfn.XLOOKUP(Tabla1[[#This Row],[NOMBRE_DOCENT]],MDOCENTES[DATOS_DOCENTE],MDOCENTES[DEDICACION],"Seleccione Docente")</f>
        <v>Seleccione Docente</v>
      </c>
      <c r="O105" t="str">
        <f>_xlfn.XLOOKUP(Tabla1[[#This Row],[NOMBRE_DOCENT]],MDOCENTES[DATOS_DOCENTE],MDOCENTES[ESTUDIO],"Seleccione Docente")</f>
        <v>Seleccione Docente</v>
      </c>
      <c r="P105">
        <f t="shared" si="5"/>
        <v>0</v>
      </c>
      <c r="Q105">
        <f t="shared" si="6"/>
        <v>0</v>
      </c>
      <c r="R105">
        <f t="shared" si="7"/>
        <v>0</v>
      </c>
      <c r="S105">
        <f t="shared" si="8"/>
        <v>0</v>
      </c>
      <c r="T105">
        <f t="shared" si="9"/>
        <v>0</v>
      </c>
      <c r="U105">
        <f>Tabla1[[#This Row],[HORAS NO AFINIDAD]]+Tabla1[[#This Row],[HORAS UNIDAD BASICA]]+Tabla1[[#This Row],[HORAS AFINIDAD]]</f>
        <v>0</v>
      </c>
      <c r="V105">
        <f>+Tabla1[[#This Row],[HORAS AFINIDAD]]+Tabla1[[#This Row],[HORAS ACTIVIDAD]]+Tabla1[[#This Row],[HORAS UNIDAD BASICA]]+Tabla1[[#This Row],[HORAS NO AFINIDAD]]</f>
        <v>0</v>
      </c>
    </row>
    <row r="106" spans="1:22" ht="18.75" customHeight="1">
      <c r="A106">
        <v>105</v>
      </c>
      <c r="C106" t="str">
        <f>_xlfn.XLOOKUP(Tabla1[[#This Row],[CARRERA]],MAE_CARRERA[NOMBRE_CARRERA],MAE_CARRERA[ID_CARRERA],"Seleccione Carrera")</f>
        <v>Seleccione Carrera</v>
      </c>
      <c r="F106" s="1"/>
      <c r="G106" t="str">
        <f>_xlfn.XLOOKUP(Tabla1[[#This Row],[ASIGNATURA]],MAE_ASIGNATURA[NOM_ASIG],MAE_ASIGNATURA[ID_ASIG],"Seleccione Asignatura")</f>
        <v>Seleccione Asignatura</v>
      </c>
      <c r="H106" s="1" t="str" cm="1">
        <f t="array" ref="H106">_xlfn.TEXTJOIN("; ",TRUE,TRANSPOSE(_xlfn.UNIQUE(_xlfn._xlws.FILTER(DET_ASIG[DETALLADO],(DET_ASIG[NIVEL]=ASIGNACION!$D106)*(DET_ASIG[ID_CARRERA]=ASIGNACION!$C106)*(DET_ASIG[ID_ASIG]=ASIGNACION!$G106),"No existe información"))))</f>
        <v>No existe información</v>
      </c>
      <c r="I106" s="1"/>
      <c r="J106">
        <f>_xlfn.XLOOKUP(Tabla1[[#This Row],[ID_ASIG_CAM_DET]],MAE_ASIGNATURA[ID_ASIG],MAE_ASIGNATURA[HORAS],0)</f>
        <v>0</v>
      </c>
      <c r="K106">
        <v>4</v>
      </c>
      <c r="L106" s="2">
        <f>+Tabla1[[#This Row],[CALCULAR HORA]]*Tabla1[[#This Row],[HORAS]]</f>
        <v>0</v>
      </c>
      <c r="N106" t="str">
        <f>_xlfn.XLOOKUP(Tabla1[[#This Row],[NOMBRE_DOCENT]],MDOCENTES[DATOS_DOCENTE],MDOCENTES[DEDICACION],"Seleccione Docente")</f>
        <v>Seleccione Docente</v>
      </c>
      <c r="O106" t="str">
        <f>_xlfn.XLOOKUP(Tabla1[[#This Row],[NOMBRE_DOCENT]],MDOCENTES[DATOS_DOCENTE],MDOCENTES[ESTUDIO],"Seleccione Docente")</f>
        <v>Seleccione Docente</v>
      </c>
      <c r="P106">
        <f t="shared" si="5"/>
        <v>0</v>
      </c>
      <c r="Q106">
        <f t="shared" si="6"/>
        <v>0</v>
      </c>
      <c r="R106">
        <f t="shared" si="7"/>
        <v>0</v>
      </c>
      <c r="S106">
        <f t="shared" si="8"/>
        <v>0</v>
      </c>
      <c r="T106">
        <f t="shared" si="9"/>
        <v>0</v>
      </c>
      <c r="U106">
        <f>Tabla1[[#This Row],[HORAS NO AFINIDAD]]+Tabla1[[#This Row],[HORAS UNIDAD BASICA]]+Tabla1[[#This Row],[HORAS AFINIDAD]]</f>
        <v>0</v>
      </c>
      <c r="V106">
        <f>+Tabla1[[#This Row],[HORAS AFINIDAD]]+Tabla1[[#This Row],[HORAS ACTIVIDAD]]+Tabla1[[#This Row],[HORAS UNIDAD BASICA]]+Tabla1[[#This Row],[HORAS NO AFINIDAD]]</f>
        <v>0</v>
      </c>
    </row>
    <row r="107" spans="1:22" ht="18.75" customHeight="1">
      <c r="A107">
        <v>106</v>
      </c>
      <c r="C107" t="str">
        <f>_xlfn.XLOOKUP(Tabla1[[#This Row],[CARRERA]],MAE_CARRERA[NOMBRE_CARRERA],MAE_CARRERA[ID_CARRERA],"Seleccione Carrera")</f>
        <v>Seleccione Carrera</v>
      </c>
      <c r="F107" s="1"/>
      <c r="G107" t="str">
        <f>_xlfn.XLOOKUP(Tabla1[[#This Row],[ASIGNATURA]],MAE_ASIGNATURA[NOM_ASIG],MAE_ASIGNATURA[ID_ASIG],"Seleccione Asignatura")</f>
        <v>Seleccione Asignatura</v>
      </c>
      <c r="H107" s="1" t="str" cm="1">
        <f t="array" ref="H107">_xlfn.TEXTJOIN("; ",TRUE,TRANSPOSE(_xlfn.UNIQUE(_xlfn._xlws.FILTER(DET_ASIG[DETALLADO],(DET_ASIG[NIVEL]=ASIGNACION!$D107)*(DET_ASIG[ID_CARRERA]=ASIGNACION!$C107)*(DET_ASIG[ID_ASIG]=ASIGNACION!$G107),"No existe información"))))</f>
        <v>No existe información</v>
      </c>
      <c r="I107" s="1"/>
      <c r="J107">
        <f>_xlfn.XLOOKUP(Tabla1[[#This Row],[ID_ASIG_CAM_DET]],MAE_ASIGNATURA[ID_ASIG],MAE_ASIGNATURA[HORAS],0)</f>
        <v>0</v>
      </c>
      <c r="K107">
        <v>4</v>
      </c>
      <c r="L107" s="2">
        <f>+Tabla1[[#This Row],[CALCULAR HORA]]*Tabla1[[#This Row],[HORAS]]</f>
        <v>0</v>
      </c>
      <c r="N107" t="str">
        <f>_xlfn.XLOOKUP(Tabla1[[#This Row],[NOMBRE_DOCENT]],MDOCENTES[DATOS_DOCENTE],MDOCENTES[DEDICACION],"Seleccione Docente")</f>
        <v>Seleccione Docente</v>
      </c>
      <c r="O107" t="str">
        <f>_xlfn.XLOOKUP(Tabla1[[#This Row],[NOMBRE_DOCENT]],MDOCENTES[DATOS_DOCENTE],MDOCENTES[ESTUDIO],"Seleccione Docente")</f>
        <v>Seleccione Docente</v>
      </c>
      <c r="P107">
        <f t="shared" si="5"/>
        <v>0</v>
      </c>
      <c r="Q107">
        <f t="shared" si="6"/>
        <v>0</v>
      </c>
      <c r="R107">
        <f t="shared" si="7"/>
        <v>0</v>
      </c>
      <c r="S107">
        <f t="shared" si="8"/>
        <v>0</v>
      </c>
      <c r="T107">
        <f t="shared" si="9"/>
        <v>0</v>
      </c>
      <c r="U107">
        <f>Tabla1[[#This Row],[HORAS NO AFINIDAD]]+Tabla1[[#This Row],[HORAS UNIDAD BASICA]]+Tabla1[[#This Row],[HORAS AFINIDAD]]</f>
        <v>0</v>
      </c>
      <c r="V107">
        <f>+Tabla1[[#This Row],[HORAS AFINIDAD]]+Tabla1[[#This Row],[HORAS ACTIVIDAD]]+Tabla1[[#This Row],[HORAS UNIDAD BASICA]]+Tabla1[[#This Row],[HORAS NO AFINIDAD]]</f>
        <v>0</v>
      </c>
    </row>
    <row r="108" spans="1:22" ht="18.75" customHeight="1">
      <c r="A108">
        <v>107</v>
      </c>
      <c r="C108" t="str">
        <f>_xlfn.XLOOKUP(Tabla1[[#This Row],[CARRERA]],MAE_CARRERA[NOMBRE_CARRERA],MAE_CARRERA[ID_CARRERA],"Seleccione Carrera")</f>
        <v>Seleccione Carrera</v>
      </c>
      <c r="F108" s="1"/>
      <c r="G108" t="str">
        <f>_xlfn.XLOOKUP(Tabla1[[#This Row],[ASIGNATURA]],MAE_ASIGNATURA[NOM_ASIG],MAE_ASIGNATURA[ID_ASIG],"Seleccione Asignatura")</f>
        <v>Seleccione Asignatura</v>
      </c>
      <c r="H108" s="1" t="str" cm="1">
        <f t="array" ref="H108">_xlfn.TEXTJOIN("; ",TRUE,TRANSPOSE(_xlfn.UNIQUE(_xlfn._xlws.FILTER(DET_ASIG[DETALLADO],(DET_ASIG[NIVEL]=ASIGNACION!$D108)*(DET_ASIG[ID_CARRERA]=ASIGNACION!$C108)*(DET_ASIG[ID_ASIG]=ASIGNACION!$G108),"No existe información"))))</f>
        <v>No existe información</v>
      </c>
      <c r="I108" s="1"/>
      <c r="J108">
        <f>_xlfn.XLOOKUP(Tabla1[[#This Row],[ID_ASIG_CAM_DET]],MAE_ASIGNATURA[ID_ASIG],MAE_ASIGNATURA[HORAS],0)</f>
        <v>0</v>
      </c>
      <c r="K108">
        <v>4</v>
      </c>
      <c r="L108" s="2">
        <f>+Tabla1[[#This Row],[CALCULAR HORA]]*Tabla1[[#This Row],[HORAS]]</f>
        <v>0</v>
      </c>
      <c r="N108" t="str">
        <f>_xlfn.XLOOKUP(Tabla1[[#This Row],[NOMBRE_DOCENT]],MDOCENTES[DATOS_DOCENTE],MDOCENTES[DEDICACION],"Seleccione Docente")</f>
        <v>Seleccione Docente</v>
      </c>
      <c r="O108" t="str">
        <f>_xlfn.XLOOKUP(Tabla1[[#This Row],[NOMBRE_DOCENT]],MDOCENTES[DATOS_DOCENTE],MDOCENTES[ESTUDIO],"Seleccione Docente")</f>
        <v>Seleccione Docente</v>
      </c>
      <c r="P108">
        <f t="shared" si="5"/>
        <v>0</v>
      </c>
      <c r="Q108">
        <f t="shared" si="6"/>
        <v>0</v>
      </c>
      <c r="R108">
        <f t="shared" si="7"/>
        <v>0</v>
      </c>
      <c r="S108">
        <f t="shared" si="8"/>
        <v>0</v>
      </c>
      <c r="T108">
        <f t="shared" si="9"/>
        <v>0</v>
      </c>
      <c r="U108">
        <f>Tabla1[[#This Row],[HORAS NO AFINIDAD]]+Tabla1[[#This Row],[HORAS UNIDAD BASICA]]+Tabla1[[#This Row],[HORAS AFINIDAD]]</f>
        <v>0</v>
      </c>
      <c r="V108">
        <f>+Tabla1[[#This Row],[HORAS AFINIDAD]]+Tabla1[[#This Row],[HORAS ACTIVIDAD]]+Tabla1[[#This Row],[HORAS UNIDAD BASICA]]+Tabla1[[#This Row],[HORAS NO AFINIDAD]]</f>
        <v>0</v>
      </c>
    </row>
    <row r="109" spans="1:22" ht="18.75" customHeight="1">
      <c r="A109">
        <v>108</v>
      </c>
      <c r="C109" t="str">
        <f>_xlfn.XLOOKUP(Tabla1[[#This Row],[CARRERA]],MAE_CARRERA[NOMBRE_CARRERA],MAE_CARRERA[ID_CARRERA],"Seleccione Carrera")</f>
        <v>Seleccione Carrera</v>
      </c>
      <c r="F109" s="1"/>
      <c r="G109" t="str">
        <f>_xlfn.XLOOKUP(Tabla1[[#This Row],[ASIGNATURA]],MAE_ASIGNATURA[NOM_ASIG],MAE_ASIGNATURA[ID_ASIG],"Seleccione Asignatura")</f>
        <v>Seleccione Asignatura</v>
      </c>
      <c r="H109" s="1" t="str" cm="1">
        <f t="array" ref="H109">_xlfn.TEXTJOIN("; ",TRUE,TRANSPOSE(_xlfn.UNIQUE(_xlfn._xlws.FILTER(DET_ASIG[DETALLADO],(DET_ASIG[NIVEL]=ASIGNACION!$D109)*(DET_ASIG[ID_CARRERA]=ASIGNACION!$C109)*(DET_ASIG[ID_ASIG]=ASIGNACION!$G109),"No existe información"))))</f>
        <v>No existe información</v>
      </c>
      <c r="I109" s="1"/>
      <c r="J109">
        <f>_xlfn.XLOOKUP(Tabla1[[#This Row],[ID_ASIG_CAM_DET]],MAE_ASIGNATURA[ID_ASIG],MAE_ASIGNATURA[HORAS],0)</f>
        <v>0</v>
      </c>
      <c r="K109">
        <v>4</v>
      </c>
      <c r="L109" s="2">
        <f>+Tabla1[[#This Row],[CALCULAR HORA]]*Tabla1[[#This Row],[HORAS]]</f>
        <v>0</v>
      </c>
      <c r="N109" t="str">
        <f>_xlfn.XLOOKUP(Tabla1[[#This Row],[NOMBRE_DOCENT]],MDOCENTES[DATOS_DOCENTE],MDOCENTES[DEDICACION],"Seleccione Docente")</f>
        <v>Seleccione Docente</v>
      </c>
      <c r="O109" t="str">
        <f>_xlfn.XLOOKUP(Tabla1[[#This Row],[NOMBRE_DOCENT]],MDOCENTES[DATOS_DOCENTE],MDOCENTES[ESTUDIO],"Seleccione Docente")</f>
        <v>Seleccione Docente</v>
      </c>
      <c r="P109">
        <f t="shared" si="5"/>
        <v>0</v>
      </c>
      <c r="Q109">
        <f t="shared" si="6"/>
        <v>0</v>
      </c>
      <c r="R109">
        <f t="shared" si="7"/>
        <v>0</v>
      </c>
      <c r="S109">
        <f t="shared" si="8"/>
        <v>0</v>
      </c>
      <c r="T109">
        <f t="shared" si="9"/>
        <v>0</v>
      </c>
      <c r="U109">
        <f>Tabla1[[#This Row],[HORAS NO AFINIDAD]]+Tabla1[[#This Row],[HORAS UNIDAD BASICA]]+Tabla1[[#This Row],[HORAS AFINIDAD]]</f>
        <v>0</v>
      </c>
      <c r="V109">
        <f>+Tabla1[[#This Row],[HORAS AFINIDAD]]+Tabla1[[#This Row],[HORAS ACTIVIDAD]]+Tabla1[[#This Row],[HORAS UNIDAD BASICA]]+Tabla1[[#This Row],[HORAS NO AFINIDAD]]</f>
        <v>0</v>
      </c>
    </row>
    <row r="110" spans="1:22" ht="18.75" customHeight="1">
      <c r="A110">
        <v>109</v>
      </c>
      <c r="C110" t="str">
        <f>_xlfn.XLOOKUP(Tabla1[[#This Row],[CARRERA]],MAE_CARRERA[NOMBRE_CARRERA],MAE_CARRERA[ID_CARRERA],"Seleccione Carrera")</f>
        <v>Seleccione Carrera</v>
      </c>
      <c r="F110" s="1"/>
      <c r="G110" t="str">
        <f>_xlfn.XLOOKUP(Tabla1[[#This Row],[ASIGNATURA]],MAE_ASIGNATURA[NOM_ASIG],MAE_ASIGNATURA[ID_ASIG],"Seleccione Asignatura")</f>
        <v>Seleccione Asignatura</v>
      </c>
      <c r="H110" s="1" t="str" cm="1">
        <f t="array" ref="H110">_xlfn.TEXTJOIN("; ",TRUE,TRANSPOSE(_xlfn.UNIQUE(_xlfn._xlws.FILTER(DET_ASIG[DETALLADO],(DET_ASIG[NIVEL]=ASIGNACION!$D110)*(DET_ASIG[ID_CARRERA]=ASIGNACION!$C110)*(DET_ASIG[ID_ASIG]=ASIGNACION!$G110),"No existe información"))))</f>
        <v>No existe información</v>
      </c>
      <c r="I110" s="1"/>
      <c r="J110">
        <f>_xlfn.XLOOKUP(Tabla1[[#This Row],[ID_ASIG_CAM_DET]],MAE_ASIGNATURA[ID_ASIG],MAE_ASIGNATURA[HORAS],0)</f>
        <v>0</v>
      </c>
      <c r="K110">
        <v>4</v>
      </c>
      <c r="L110" s="2">
        <f>+Tabla1[[#This Row],[CALCULAR HORA]]*Tabla1[[#This Row],[HORAS]]</f>
        <v>0</v>
      </c>
      <c r="N110" t="str">
        <f>_xlfn.XLOOKUP(Tabla1[[#This Row],[NOMBRE_DOCENT]],MDOCENTES[DATOS_DOCENTE],MDOCENTES[DEDICACION],"Seleccione Docente")</f>
        <v>Seleccione Docente</v>
      </c>
      <c r="O110" t="str">
        <f>_xlfn.XLOOKUP(Tabla1[[#This Row],[NOMBRE_DOCENT]],MDOCENTES[DATOS_DOCENTE],MDOCENTES[ESTUDIO],"Seleccione Docente")</f>
        <v>Seleccione Docente</v>
      </c>
      <c r="P110">
        <f t="shared" si="5"/>
        <v>0</v>
      </c>
      <c r="Q110">
        <f t="shared" si="6"/>
        <v>0</v>
      </c>
      <c r="R110">
        <f t="shared" si="7"/>
        <v>0</v>
      </c>
      <c r="S110">
        <f t="shared" si="8"/>
        <v>0</v>
      </c>
      <c r="T110">
        <f t="shared" si="9"/>
        <v>0</v>
      </c>
      <c r="U110">
        <f>Tabla1[[#This Row],[HORAS NO AFINIDAD]]+Tabla1[[#This Row],[HORAS UNIDAD BASICA]]+Tabla1[[#This Row],[HORAS AFINIDAD]]</f>
        <v>0</v>
      </c>
      <c r="V110">
        <f>+Tabla1[[#This Row],[HORAS AFINIDAD]]+Tabla1[[#This Row],[HORAS ACTIVIDAD]]+Tabla1[[#This Row],[HORAS UNIDAD BASICA]]+Tabla1[[#This Row],[HORAS NO AFINIDAD]]</f>
        <v>0</v>
      </c>
    </row>
    <row r="111" spans="1:22" ht="18.75" customHeight="1">
      <c r="A111">
        <v>110</v>
      </c>
      <c r="C111" t="str">
        <f>_xlfn.XLOOKUP(Tabla1[[#This Row],[CARRERA]],MAE_CARRERA[NOMBRE_CARRERA],MAE_CARRERA[ID_CARRERA],"Seleccione Carrera")</f>
        <v>Seleccione Carrera</v>
      </c>
      <c r="F111" s="1"/>
      <c r="G111" t="str">
        <f>_xlfn.XLOOKUP(Tabla1[[#This Row],[ASIGNATURA]],MAE_ASIGNATURA[NOM_ASIG],MAE_ASIGNATURA[ID_ASIG],"Seleccione Asignatura")</f>
        <v>Seleccione Asignatura</v>
      </c>
      <c r="H111" s="1" t="str" cm="1">
        <f t="array" ref="H111">_xlfn.TEXTJOIN("; ",TRUE,TRANSPOSE(_xlfn.UNIQUE(_xlfn._xlws.FILTER(DET_ASIG[DETALLADO],(DET_ASIG[NIVEL]=ASIGNACION!$D111)*(DET_ASIG[ID_CARRERA]=ASIGNACION!$C111)*(DET_ASIG[ID_ASIG]=ASIGNACION!$G111),"No existe información"))))</f>
        <v>No existe información</v>
      </c>
      <c r="I111" s="1"/>
      <c r="J111">
        <f>_xlfn.XLOOKUP(Tabla1[[#This Row],[ID_ASIG_CAM_DET]],MAE_ASIGNATURA[ID_ASIG],MAE_ASIGNATURA[HORAS],0)</f>
        <v>0</v>
      </c>
      <c r="K111">
        <v>4</v>
      </c>
      <c r="L111" s="2">
        <f>+Tabla1[[#This Row],[CALCULAR HORA]]*Tabla1[[#This Row],[HORAS]]</f>
        <v>0</v>
      </c>
      <c r="N111" t="str">
        <f>_xlfn.XLOOKUP(Tabla1[[#This Row],[NOMBRE_DOCENT]],MDOCENTES[DATOS_DOCENTE],MDOCENTES[DEDICACION],"Seleccione Docente")</f>
        <v>Seleccione Docente</v>
      </c>
      <c r="O111" t="str">
        <f>_xlfn.XLOOKUP(Tabla1[[#This Row],[NOMBRE_DOCENT]],MDOCENTES[DATOS_DOCENTE],MDOCENTES[ESTUDIO],"Seleccione Docente")</f>
        <v>Seleccione Docente</v>
      </c>
      <c r="P111">
        <f t="shared" si="5"/>
        <v>0</v>
      </c>
      <c r="Q111">
        <f t="shared" si="6"/>
        <v>0</v>
      </c>
      <c r="R111">
        <f t="shared" si="7"/>
        <v>0</v>
      </c>
      <c r="S111">
        <f t="shared" si="8"/>
        <v>0</v>
      </c>
      <c r="T111">
        <f t="shared" si="9"/>
        <v>0</v>
      </c>
      <c r="U111">
        <f>Tabla1[[#This Row],[HORAS NO AFINIDAD]]+Tabla1[[#This Row],[HORAS UNIDAD BASICA]]+Tabla1[[#This Row],[HORAS AFINIDAD]]</f>
        <v>0</v>
      </c>
      <c r="V111">
        <f>+Tabla1[[#This Row],[HORAS AFINIDAD]]+Tabla1[[#This Row],[HORAS ACTIVIDAD]]+Tabla1[[#This Row],[HORAS UNIDAD BASICA]]+Tabla1[[#This Row],[HORAS NO AFINIDAD]]</f>
        <v>0</v>
      </c>
    </row>
    <row r="112" spans="1:22" ht="18.75" customHeight="1">
      <c r="A112">
        <v>111</v>
      </c>
      <c r="C112" t="str">
        <f>_xlfn.XLOOKUP(Tabla1[[#This Row],[CARRERA]],MAE_CARRERA[NOMBRE_CARRERA],MAE_CARRERA[ID_CARRERA],"Seleccione Carrera")</f>
        <v>Seleccione Carrera</v>
      </c>
      <c r="F112" s="1"/>
      <c r="G112" t="str">
        <f>_xlfn.XLOOKUP(Tabla1[[#This Row],[ASIGNATURA]],MAE_ASIGNATURA[NOM_ASIG],MAE_ASIGNATURA[ID_ASIG],"Seleccione Asignatura")</f>
        <v>Seleccione Asignatura</v>
      </c>
      <c r="H112" s="1" t="str" cm="1">
        <f t="array" ref="H112">_xlfn.TEXTJOIN("; ",TRUE,TRANSPOSE(_xlfn.UNIQUE(_xlfn._xlws.FILTER(DET_ASIG[DETALLADO],(DET_ASIG[NIVEL]=ASIGNACION!$D112)*(DET_ASIG[ID_CARRERA]=ASIGNACION!$C112)*(DET_ASIG[ID_ASIG]=ASIGNACION!$G112),"No existe información"))))</f>
        <v>No existe información</v>
      </c>
      <c r="I112" s="1"/>
      <c r="J112">
        <f>_xlfn.XLOOKUP(Tabla1[[#This Row],[ID_ASIG_CAM_DET]],MAE_ASIGNATURA[ID_ASIG],MAE_ASIGNATURA[HORAS],0)</f>
        <v>0</v>
      </c>
      <c r="K112">
        <v>4</v>
      </c>
      <c r="L112" s="2">
        <f>+Tabla1[[#This Row],[CALCULAR HORA]]*Tabla1[[#This Row],[HORAS]]</f>
        <v>0</v>
      </c>
      <c r="N112" t="str">
        <f>_xlfn.XLOOKUP(Tabla1[[#This Row],[NOMBRE_DOCENT]],MDOCENTES[DATOS_DOCENTE],MDOCENTES[DEDICACION],"Seleccione Docente")</f>
        <v>Seleccione Docente</v>
      </c>
      <c r="O112" t="str">
        <f>_xlfn.XLOOKUP(Tabla1[[#This Row],[NOMBRE_DOCENT]],MDOCENTES[DATOS_DOCENTE],MDOCENTES[ESTUDIO],"Seleccione Docente")</f>
        <v>Seleccione Docente</v>
      </c>
      <c r="P112">
        <f t="shared" si="5"/>
        <v>0</v>
      </c>
      <c r="Q112">
        <f t="shared" si="6"/>
        <v>0</v>
      </c>
      <c r="R112">
        <f t="shared" si="7"/>
        <v>0</v>
      </c>
      <c r="S112">
        <f t="shared" si="8"/>
        <v>0</v>
      </c>
      <c r="T112">
        <f t="shared" si="9"/>
        <v>0</v>
      </c>
      <c r="U112">
        <f>Tabla1[[#This Row],[HORAS NO AFINIDAD]]+Tabla1[[#This Row],[HORAS UNIDAD BASICA]]+Tabla1[[#This Row],[HORAS AFINIDAD]]</f>
        <v>0</v>
      </c>
      <c r="V112">
        <f>+Tabla1[[#This Row],[HORAS AFINIDAD]]+Tabla1[[#This Row],[HORAS ACTIVIDAD]]+Tabla1[[#This Row],[HORAS UNIDAD BASICA]]+Tabla1[[#This Row],[HORAS NO AFINIDAD]]</f>
        <v>0</v>
      </c>
    </row>
    <row r="113" spans="1:22" ht="18.75" customHeight="1">
      <c r="A113">
        <v>112</v>
      </c>
      <c r="C113" t="str">
        <f>_xlfn.XLOOKUP(Tabla1[[#This Row],[CARRERA]],MAE_CARRERA[NOMBRE_CARRERA],MAE_CARRERA[ID_CARRERA],"Seleccione Carrera")</f>
        <v>Seleccione Carrera</v>
      </c>
      <c r="F113" s="1"/>
      <c r="G113" t="str">
        <f>_xlfn.XLOOKUP(Tabla1[[#This Row],[ASIGNATURA]],MAE_ASIGNATURA[NOM_ASIG],MAE_ASIGNATURA[ID_ASIG],"Seleccione Asignatura")</f>
        <v>Seleccione Asignatura</v>
      </c>
      <c r="H113" s="1" t="str" cm="1">
        <f t="array" ref="H113">_xlfn.TEXTJOIN("; ",TRUE,TRANSPOSE(_xlfn.UNIQUE(_xlfn._xlws.FILTER(DET_ASIG[DETALLADO],(DET_ASIG[NIVEL]=ASIGNACION!$D113)*(DET_ASIG[ID_CARRERA]=ASIGNACION!$C113)*(DET_ASIG[ID_ASIG]=ASIGNACION!$G113),"No existe información"))))</f>
        <v>No existe información</v>
      </c>
      <c r="I113" s="1"/>
      <c r="J113">
        <f>_xlfn.XLOOKUP(Tabla1[[#This Row],[ID_ASIG_CAM_DET]],MAE_ASIGNATURA[ID_ASIG],MAE_ASIGNATURA[HORAS],0)</f>
        <v>0</v>
      </c>
      <c r="K113">
        <v>4</v>
      </c>
      <c r="L113" s="2">
        <f>+Tabla1[[#This Row],[CALCULAR HORA]]*Tabla1[[#This Row],[HORAS]]</f>
        <v>0</v>
      </c>
      <c r="N113" t="str">
        <f>_xlfn.XLOOKUP(Tabla1[[#This Row],[NOMBRE_DOCENT]],MDOCENTES[DATOS_DOCENTE],MDOCENTES[DEDICACION],"Seleccione Docente")</f>
        <v>Seleccione Docente</v>
      </c>
      <c r="O113" t="str">
        <f>_xlfn.XLOOKUP(Tabla1[[#This Row],[NOMBRE_DOCENT]],MDOCENTES[DATOS_DOCENTE],MDOCENTES[ESTUDIO],"Seleccione Docente")</f>
        <v>Seleccione Docente</v>
      </c>
      <c r="P113">
        <f t="shared" si="5"/>
        <v>0</v>
      </c>
      <c r="Q113">
        <f t="shared" si="6"/>
        <v>0</v>
      </c>
      <c r="R113">
        <f t="shared" si="7"/>
        <v>0</v>
      </c>
      <c r="S113">
        <f t="shared" si="8"/>
        <v>0</v>
      </c>
      <c r="T113">
        <f t="shared" si="9"/>
        <v>0</v>
      </c>
      <c r="U113">
        <f>Tabla1[[#This Row],[HORAS NO AFINIDAD]]+Tabla1[[#This Row],[HORAS UNIDAD BASICA]]+Tabla1[[#This Row],[HORAS AFINIDAD]]</f>
        <v>0</v>
      </c>
      <c r="V113">
        <f>+Tabla1[[#This Row],[HORAS AFINIDAD]]+Tabla1[[#This Row],[HORAS ACTIVIDAD]]+Tabla1[[#This Row],[HORAS UNIDAD BASICA]]+Tabla1[[#This Row],[HORAS NO AFINIDAD]]</f>
        <v>0</v>
      </c>
    </row>
    <row r="114" spans="1:22" ht="18.75" customHeight="1">
      <c r="A114">
        <v>113</v>
      </c>
      <c r="C114" t="str">
        <f>_xlfn.XLOOKUP(Tabla1[[#This Row],[CARRERA]],MAE_CARRERA[NOMBRE_CARRERA],MAE_CARRERA[ID_CARRERA],"Seleccione Carrera")</f>
        <v>Seleccione Carrera</v>
      </c>
      <c r="F114" s="1"/>
      <c r="G114" t="str">
        <f>_xlfn.XLOOKUP(Tabla1[[#This Row],[ASIGNATURA]],MAE_ASIGNATURA[NOM_ASIG],MAE_ASIGNATURA[ID_ASIG],"Seleccione Asignatura")</f>
        <v>Seleccione Asignatura</v>
      </c>
      <c r="H114" s="1" t="str" cm="1">
        <f t="array" ref="H114">_xlfn.TEXTJOIN("; ",TRUE,TRANSPOSE(_xlfn.UNIQUE(_xlfn._xlws.FILTER(DET_ASIG[DETALLADO],(DET_ASIG[NIVEL]=ASIGNACION!$D114)*(DET_ASIG[ID_CARRERA]=ASIGNACION!$C114)*(DET_ASIG[ID_ASIG]=ASIGNACION!$G114),"No existe información"))))</f>
        <v>No existe información</v>
      </c>
      <c r="I114" s="1"/>
      <c r="J114">
        <f>_xlfn.XLOOKUP(Tabla1[[#This Row],[ID_ASIG_CAM_DET]],MAE_ASIGNATURA[ID_ASIG],MAE_ASIGNATURA[HORAS],0)</f>
        <v>0</v>
      </c>
      <c r="K114">
        <v>4</v>
      </c>
      <c r="L114" s="2">
        <f>+Tabla1[[#This Row],[CALCULAR HORA]]*Tabla1[[#This Row],[HORAS]]</f>
        <v>0</v>
      </c>
      <c r="N114" t="str">
        <f>_xlfn.XLOOKUP(Tabla1[[#This Row],[NOMBRE_DOCENT]],MDOCENTES[DATOS_DOCENTE],MDOCENTES[DEDICACION],"Seleccione Docente")</f>
        <v>Seleccione Docente</v>
      </c>
      <c r="O114" t="str">
        <f>_xlfn.XLOOKUP(Tabla1[[#This Row],[NOMBRE_DOCENT]],MDOCENTES[DATOS_DOCENTE],MDOCENTES[ESTUDIO],"Seleccione Docente")</f>
        <v>Seleccione Docente</v>
      </c>
      <c r="P114">
        <f t="shared" si="5"/>
        <v>0</v>
      </c>
      <c r="Q114">
        <f t="shared" si="6"/>
        <v>0</v>
      </c>
      <c r="R114">
        <f t="shared" si="7"/>
        <v>0</v>
      </c>
      <c r="S114">
        <f t="shared" si="8"/>
        <v>0</v>
      </c>
      <c r="T114">
        <f t="shared" si="9"/>
        <v>0</v>
      </c>
      <c r="U114">
        <f>Tabla1[[#This Row],[HORAS NO AFINIDAD]]+Tabla1[[#This Row],[HORAS UNIDAD BASICA]]+Tabla1[[#This Row],[HORAS AFINIDAD]]</f>
        <v>0</v>
      </c>
      <c r="V114">
        <f>+Tabla1[[#This Row],[HORAS AFINIDAD]]+Tabla1[[#This Row],[HORAS ACTIVIDAD]]+Tabla1[[#This Row],[HORAS UNIDAD BASICA]]+Tabla1[[#This Row],[HORAS NO AFINIDAD]]</f>
        <v>0</v>
      </c>
    </row>
    <row r="115" spans="1:22" ht="18.75" customHeight="1">
      <c r="A115">
        <v>114</v>
      </c>
      <c r="C115" t="str">
        <f>_xlfn.XLOOKUP(Tabla1[[#This Row],[CARRERA]],MAE_CARRERA[NOMBRE_CARRERA],MAE_CARRERA[ID_CARRERA],"Seleccione Carrera")</f>
        <v>Seleccione Carrera</v>
      </c>
      <c r="F115" s="1"/>
      <c r="G115" t="str">
        <f>_xlfn.XLOOKUP(Tabla1[[#This Row],[ASIGNATURA]],MAE_ASIGNATURA[NOM_ASIG],MAE_ASIGNATURA[ID_ASIG],"Seleccione Asignatura")</f>
        <v>Seleccione Asignatura</v>
      </c>
      <c r="H115" s="1" t="str" cm="1">
        <f t="array" ref="H115">_xlfn.TEXTJOIN("; ",TRUE,TRANSPOSE(_xlfn.UNIQUE(_xlfn._xlws.FILTER(DET_ASIG[DETALLADO],(DET_ASIG[NIVEL]=ASIGNACION!$D115)*(DET_ASIG[ID_CARRERA]=ASIGNACION!$C115)*(DET_ASIG[ID_ASIG]=ASIGNACION!$G115),"No existe información"))))</f>
        <v>No existe información</v>
      </c>
      <c r="I115" s="1"/>
      <c r="J115">
        <f>_xlfn.XLOOKUP(Tabla1[[#This Row],[ID_ASIG_CAM_DET]],MAE_ASIGNATURA[ID_ASIG],MAE_ASIGNATURA[HORAS],0)</f>
        <v>0</v>
      </c>
      <c r="K115">
        <v>4</v>
      </c>
      <c r="L115" s="2">
        <f>+Tabla1[[#This Row],[CALCULAR HORA]]*Tabla1[[#This Row],[HORAS]]</f>
        <v>0</v>
      </c>
      <c r="N115" t="str">
        <f>_xlfn.XLOOKUP(Tabla1[[#This Row],[NOMBRE_DOCENT]],MDOCENTES[DATOS_DOCENTE],MDOCENTES[DEDICACION],"Seleccione Docente")</f>
        <v>Seleccione Docente</v>
      </c>
      <c r="O115" t="str">
        <f>_xlfn.XLOOKUP(Tabla1[[#This Row],[NOMBRE_DOCENT]],MDOCENTES[DATOS_DOCENTE],MDOCENTES[ESTUDIO],"Seleccione Docente")</f>
        <v>Seleccione Docente</v>
      </c>
      <c r="P115">
        <f t="shared" si="5"/>
        <v>0</v>
      </c>
      <c r="Q115">
        <f t="shared" si="6"/>
        <v>0</v>
      </c>
      <c r="R115">
        <f t="shared" si="7"/>
        <v>0</v>
      </c>
      <c r="S115">
        <f t="shared" si="8"/>
        <v>0</v>
      </c>
      <c r="T115">
        <f t="shared" si="9"/>
        <v>0</v>
      </c>
      <c r="U115">
        <f>Tabla1[[#This Row],[HORAS NO AFINIDAD]]+Tabla1[[#This Row],[HORAS UNIDAD BASICA]]+Tabla1[[#This Row],[HORAS AFINIDAD]]</f>
        <v>0</v>
      </c>
      <c r="V115">
        <f>+Tabla1[[#This Row],[HORAS AFINIDAD]]+Tabla1[[#This Row],[HORAS ACTIVIDAD]]+Tabla1[[#This Row],[HORAS UNIDAD BASICA]]+Tabla1[[#This Row],[HORAS NO AFINIDAD]]</f>
        <v>0</v>
      </c>
    </row>
    <row r="116" spans="1:22" ht="18.75" customHeight="1">
      <c r="A116">
        <v>115</v>
      </c>
      <c r="C116" t="str">
        <f>_xlfn.XLOOKUP(Tabla1[[#This Row],[CARRERA]],MAE_CARRERA[NOMBRE_CARRERA],MAE_CARRERA[ID_CARRERA],"Seleccione Carrera")</f>
        <v>Seleccione Carrera</v>
      </c>
      <c r="F116" s="1"/>
      <c r="G116" t="str">
        <f>_xlfn.XLOOKUP(Tabla1[[#This Row],[ASIGNATURA]],MAE_ASIGNATURA[NOM_ASIG],MAE_ASIGNATURA[ID_ASIG],"Seleccione Asignatura")</f>
        <v>Seleccione Asignatura</v>
      </c>
      <c r="H116" s="1" t="str" cm="1">
        <f t="array" ref="H116">_xlfn.TEXTJOIN("; ",TRUE,TRANSPOSE(_xlfn.UNIQUE(_xlfn._xlws.FILTER(DET_ASIG[DETALLADO],(DET_ASIG[NIVEL]=ASIGNACION!$D116)*(DET_ASIG[ID_CARRERA]=ASIGNACION!$C116)*(DET_ASIG[ID_ASIG]=ASIGNACION!$G116),"No existe información"))))</f>
        <v>No existe información</v>
      </c>
      <c r="I116" s="1"/>
      <c r="J116">
        <f>_xlfn.XLOOKUP(Tabla1[[#This Row],[ID_ASIG_CAM_DET]],MAE_ASIGNATURA[ID_ASIG],MAE_ASIGNATURA[HORAS],0)</f>
        <v>0</v>
      </c>
      <c r="K116">
        <v>4</v>
      </c>
      <c r="L116" s="2">
        <f>+Tabla1[[#This Row],[CALCULAR HORA]]*Tabla1[[#This Row],[HORAS]]</f>
        <v>0</v>
      </c>
      <c r="N116" t="str">
        <f>_xlfn.XLOOKUP(Tabla1[[#This Row],[NOMBRE_DOCENT]],MDOCENTES[DATOS_DOCENTE],MDOCENTES[DEDICACION],"Seleccione Docente")</f>
        <v>Seleccione Docente</v>
      </c>
      <c r="O116" t="str">
        <f>_xlfn.XLOOKUP(Tabla1[[#This Row],[NOMBRE_DOCENT]],MDOCENTES[DATOS_DOCENTE],MDOCENTES[ESTUDIO],"Seleccione Docente")</f>
        <v>Seleccione Docente</v>
      </c>
      <c r="P116">
        <f t="shared" si="5"/>
        <v>0</v>
      </c>
      <c r="Q116">
        <f t="shared" si="6"/>
        <v>0</v>
      </c>
      <c r="R116">
        <f t="shared" si="7"/>
        <v>0</v>
      </c>
      <c r="S116">
        <f t="shared" si="8"/>
        <v>0</v>
      </c>
      <c r="T116">
        <f t="shared" si="9"/>
        <v>0</v>
      </c>
      <c r="U116">
        <f>Tabla1[[#This Row],[HORAS NO AFINIDAD]]+Tabla1[[#This Row],[HORAS UNIDAD BASICA]]+Tabla1[[#This Row],[HORAS AFINIDAD]]</f>
        <v>0</v>
      </c>
      <c r="V116">
        <f>+Tabla1[[#This Row],[HORAS AFINIDAD]]+Tabla1[[#This Row],[HORAS ACTIVIDAD]]+Tabla1[[#This Row],[HORAS UNIDAD BASICA]]+Tabla1[[#This Row],[HORAS NO AFINIDAD]]</f>
        <v>0</v>
      </c>
    </row>
    <row r="117" spans="1:22" ht="18.75" customHeight="1">
      <c r="A117">
        <v>116</v>
      </c>
      <c r="C117" t="str">
        <f>_xlfn.XLOOKUP(Tabla1[[#This Row],[CARRERA]],MAE_CARRERA[NOMBRE_CARRERA],MAE_CARRERA[ID_CARRERA],"Seleccione Carrera")</f>
        <v>Seleccione Carrera</v>
      </c>
      <c r="F117" s="1"/>
      <c r="G117" t="str">
        <f>_xlfn.XLOOKUP(Tabla1[[#This Row],[ASIGNATURA]],MAE_ASIGNATURA[NOM_ASIG],MAE_ASIGNATURA[ID_ASIG],"Seleccione Asignatura")</f>
        <v>Seleccione Asignatura</v>
      </c>
      <c r="H117" s="1" t="str" cm="1">
        <f t="array" ref="H117">_xlfn.TEXTJOIN("; ",TRUE,TRANSPOSE(_xlfn.UNIQUE(_xlfn._xlws.FILTER(DET_ASIG[DETALLADO],(DET_ASIG[NIVEL]=ASIGNACION!$D117)*(DET_ASIG[ID_CARRERA]=ASIGNACION!$C117)*(DET_ASIG[ID_ASIG]=ASIGNACION!$G117),"No existe información"))))</f>
        <v>No existe información</v>
      </c>
      <c r="I117" s="1"/>
      <c r="J117">
        <f>_xlfn.XLOOKUP(Tabla1[[#This Row],[ID_ASIG_CAM_DET]],MAE_ASIGNATURA[ID_ASIG],MAE_ASIGNATURA[HORAS],0)</f>
        <v>0</v>
      </c>
      <c r="K117">
        <v>4</v>
      </c>
      <c r="L117" s="2">
        <f>+Tabla1[[#This Row],[CALCULAR HORA]]*Tabla1[[#This Row],[HORAS]]</f>
        <v>0</v>
      </c>
      <c r="N117" t="str">
        <f>_xlfn.XLOOKUP(Tabla1[[#This Row],[NOMBRE_DOCENT]],MDOCENTES[DATOS_DOCENTE],MDOCENTES[DEDICACION],"Seleccione Docente")</f>
        <v>Seleccione Docente</v>
      </c>
      <c r="O117" t="str">
        <f>_xlfn.XLOOKUP(Tabla1[[#This Row],[NOMBRE_DOCENT]],MDOCENTES[DATOS_DOCENTE],MDOCENTES[ESTUDIO],"Seleccione Docente")</f>
        <v>Seleccione Docente</v>
      </c>
      <c r="P117">
        <f t="shared" si="5"/>
        <v>0</v>
      </c>
      <c r="Q117">
        <f t="shared" si="6"/>
        <v>0</v>
      </c>
      <c r="R117">
        <f t="shared" si="7"/>
        <v>0</v>
      </c>
      <c r="S117">
        <f t="shared" si="8"/>
        <v>0</v>
      </c>
      <c r="T117">
        <f t="shared" si="9"/>
        <v>0</v>
      </c>
      <c r="U117">
        <f>Tabla1[[#This Row],[HORAS NO AFINIDAD]]+Tabla1[[#This Row],[HORAS UNIDAD BASICA]]+Tabla1[[#This Row],[HORAS AFINIDAD]]</f>
        <v>0</v>
      </c>
      <c r="V117">
        <f>+Tabla1[[#This Row],[HORAS AFINIDAD]]+Tabla1[[#This Row],[HORAS ACTIVIDAD]]+Tabla1[[#This Row],[HORAS UNIDAD BASICA]]+Tabla1[[#This Row],[HORAS NO AFINIDAD]]</f>
        <v>0</v>
      </c>
    </row>
    <row r="118" spans="1:22" ht="18.75" customHeight="1">
      <c r="A118">
        <v>117</v>
      </c>
      <c r="C118" t="str">
        <f>_xlfn.XLOOKUP(Tabla1[[#This Row],[CARRERA]],MAE_CARRERA[NOMBRE_CARRERA],MAE_CARRERA[ID_CARRERA],"Seleccione Carrera")</f>
        <v>Seleccione Carrera</v>
      </c>
      <c r="F118" s="1"/>
      <c r="G118" t="str">
        <f>_xlfn.XLOOKUP(Tabla1[[#This Row],[ASIGNATURA]],MAE_ASIGNATURA[NOM_ASIG],MAE_ASIGNATURA[ID_ASIG],"Seleccione Asignatura")</f>
        <v>Seleccione Asignatura</v>
      </c>
      <c r="H118" s="1" t="str" cm="1">
        <f t="array" ref="H118">_xlfn.TEXTJOIN("; ",TRUE,TRANSPOSE(_xlfn.UNIQUE(_xlfn._xlws.FILTER(DET_ASIG[DETALLADO],(DET_ASIG[NIVEL]=ASIGNACION!$D118)*(DET_ASIG[ID_CARRERA]=ASIGNACION!$C118)*(DET_ASIG[ID_ASIG]=ASIGNACION!$G118),"No existe información"))))</f>
        <v>No existe información</v>
      </c>
      <c r="I118" s="1"/>
      <c r="J118">
        <f>_xlfn.XLOOKUP(Tabla1[[#This Row],[ID_ASIG_CAM_DET]],MAE_ASIGNATURA[ID_ASIG],MAE_ASIGNATURA[HORAS],0)</f>
        <v>0</v>
      </c>
      <c r="K118">
        <v>4</v>
      </c>
      <c r="L118" s="2">
        <f>+Tabla1[[#This Row],[CALCULAR HORA]]*Tabla1[[#This Row],[HORAS]]</f>
        <v>0</v>
      </c>
      <c r="N118" t="str">
        <f>_xlfn.XLOOKUP(Tabla1[[#This Row],[NOMBRE_DOCENT]],MDOCENTES[DATOS_DOCENTE],MDOCENTES[DEDICACION],"Seleccione Docente")</f>
        <v>Seleccione Docente</v>
      </c>
      <c r="O118" t="str">
        <f>_xlfn.XLOOKUP(Tabla1[[#This Row],[NOMBRE_DOCENT]],MDOCENTES[DATOS_DOCENTE],MDOCENTES[ESTUDIO],"Seleccione Docente")</f>
        <v>Seleccione Docente</v>
      </c>
      <c r="P118">
        <f t="shared" si="5"/>
        <v>0</v>
      </c>
      <c r="Q118">
        <f t="shared" si="6"/>
        <v>0</v>
      </c>
      <c r="R118">
        <f t="shared" si="7"/>
        <v>0</v>
      </c>
      <c r="S118">
        <f t="shared" si="8"/>
        <v>0</v>
      </c>
      <c r="T118">
        <f t="shared" si="9"/>
        <v>0</v>
      </c>
      <c r="U118">
        <f>Tabla1[[#This Row],[HORAS NO AFINIDAD]]+Tabla1[[#This Row],[HORAS UNIDAD BASICA]]+Tabla1[[#This Row],[HORAS AFINIDAD]]</f>
        <v>0</v>
      </c>
      <c r="V118">
        <f>+Tabla1[[#This Row],[HORAS AFINIDAD]]+Tabla1[[#This Row],[HORAS ACTIVIDAD]]+Tabla1[[#This Row],[HORAS UNIDAD BASICA]]+Tabla1[[#This Row],[HORAS NO AFINIDAD]]</f>
        <v>0</v>
      </c>
    </row>
    <row r="119" spans="1:22" ht="18.75" customHeight="1">
      <c r="A119">
        <v>118</v>
      </c>
      <c r="C119" t="str">
        <f>_xlfn.XLOOKUP(Tabla1[[#This Row],[CARRERA]],MAE_CARRERA[NOMBRE_CARRERA],MAE_CARRERA[ID_CARRERA],"Seleccione Carrera")</f>
        <v>Seleccione Carrera</v>
      </c>
      <c r="F119" s="1"/>
      <c r="G119" t="str">
        <f>_xlfn.XLOOKUP(Tabla1[[#This Row],[ASIGNATURA]],MAE_ASIGNATURA[NOM_ASIG],MAE_ASIGNATURA[ID_ASIG],"Seleccione Asignatura")</f>
        <v>Seleccione Asignatura</v>
      </c>
      <c r="H119" s="1" t="str" cm="1">
        <f t="array" ref="H119">_xlfn.TEXTJOIN("; ",TRUE,TRANSPOSE(_xlfn.UNIQUE(_xlfn._xlws.FILTER(DET_ASIG[DETALLADO],(DET_ASIG[NIVEL]=ASIGNACION!$D119)*(DET_ASIG[ID_CARRERA]=ASIGNACION!$C119)*(DET_ASIG[ID_ASIG]=ASIGNACION!$G119),"No existe información"))))</f>
        <v>No existe información</v>
      </c>
      <c r="I119" s="1"/>
      <c r="J119">
        <f>_xlfn.XLOOKUP(Tabla1[[#This Row],[ID_ASIG_CAM_DET]],MAE_ASIGNATURA[ID_ASIG],MAE_ASIGNATURA[HORAS],0)</f>
        <v>0</v>
      </c>
      <c r="K119">
        <v>4</v>
      </c>
      <c r="L119" s="2">
        <f>+Tabla1[[#This Row],[CALCULAR HORA]]*Tabla1[[#This Row],[HORAS]]</f>
        <v>0</v>
      </c>
      <c r="N119" t="str">
        <f>_xlfn.XLOOKUP(Tabla1[[#This Row],[NOMBRE_DOCENT]],MDOCENTES[DATOS_DOCENTE],MDOCENTES[DEDICACION],"Seleccione Docente")</f>
        <v>Seleccione Docente</v>
      </c>
      <c r="O119" t="str">
        <f>_xlfn.XLOOKUP(Tabla1[[#This Row],[NOMBRE_DOCENT]],MDOCENTES[DATOS_DOCENTE],MDOCENTES[ESTUDIO],"Seleccione Docente")</f>
        <v>Seleccione Docente</v>
      </c>
      <c r="P119">
        <f t="shared" si="5"/>
        <v>0</v>
      </c>
      <c r="Q119">
        <f t="shared" si="6"/>
        <v>0</v>
      </c>
      <c r="R119">
        <f t="shared" si="7"/>
        <v>0</v>
      </c>
      <c r="S119">
        <f t="shared" si="8"/>
        <v>0</v>
      </c>
      <c r="T119">
        <f t="shared" si="9"/>
        <v>0</v>
      </c>
      <c r="U119">
        <f>Tabla1[[#This Row],[HORAS NO AFINIDAD]]+Tabla1[[#This Row],[HORAS UNIDAD BASICA]]+Tabla1[[#This Row],[HORAS AFINIDAD]]</f>
        <v>0</v>
      </c>
      <c r="V119">
        <f>+Tabla1[[#This Row],[HORAS AFINIDAD]]+Tabla1[[#This Row],[HORAS ACTIVIDAD]]+Tabla1[[#This Row],[HORAS UNIDAD BASICA]]+Tabla1[[#This Row],[HORAS NO AFINIDAD]]</f>
        <v>0</v>
      </c>
    </row>
    <row r="120" spans="1:22" ht="18.75" customHeight="1">
      <c r="A120">
        <v>119</v>
      </c>
      <c r="C120" t="str">
        <f>_xlfn.XLOOKUP(Tabla1[[#This Row],[CARRERA]],MAE_CARRERA[NOMBRE_CARRERA],MAE_CARRERA[ID_CARRERA],"Seleccione Carrera")</f>
        <v>Seleccione Carrera</v>
      </c>
      <c r="F120" s="1"/>
      <c r="G120" t="str">
        <f>_xlfn.XLOOKUP(Tabla1[[#This Row],[ASIGNATURA]],MAE_ASIGNATURA[NOM_ASIG],MAE_ASIGNATURA[ID_ASIG],"Seleccione Asignatura")</f>
        <v>Seleccione Asignatura</v>
      </c>
      <c r="H120" s="1" t="str" cm="1">
        <f t="array" ref="H120">_xlfn.TEXTJOIN("; ",TRUE,TRANSPOSE(_xlfn.UNIQUE(_xlfn._xlws.FILTER(DET_ASIG[DETALLADO],(DET_ASIG[NIVEL]=ASIGNACION!$D120)*(DET_ASIG[ID_CARRERA]=ASIGNACION!$C120)*(DET_ASIG[ID_ASIG]=ASIGNACION!$G120),"No existe información"))))</f>
        <v>No existe información</v>
      </c>
      <c r="I120" s="1"/>
      <c r="J120">
        <f>_xlfn.XLOOKUP(Tabla1[[#This Row],[ID_ASIG_CAM_DET]],MAE_ASIGNATURA[ID_ASIG],MAE_ASIGNATURA[HORAS],0)</f>
        <v>0</v>
      </c>
      <c r="K120">
        <v>4</v>
      </c>
      <c r="L120" s="2">
        <f>+Tabla1[[#This Row],[CALCULAR HORA]]*Tabla1[[#This Row],[HORAS]]</f>
        <v>0</v>
      </c>
      <c r="N120" t="str">
        <f>_xlfn.XLOOKUP(Tabla1[[#This Row],[NOMBRE_DOCENT]],MDOCENTES[DATOS_DOCENTE],MDOCENTES[DEDICACION],"Seleccione Docente")</f>
        <v>Seleccione Docente</v>
      </c>
      <c r="O120" t="str">
        <f>_xlfn.XLOOKUP(Tabla1[[#This Row],[NOMBRE_DOCENT]],MDOCENTES[DATOS_DOCENTE],MDOCENTES[ESTUDIO],"Seleccione Docente")</f>
        <v>Seleccione Docente</v>
      </c>
      <c r="P120">
        <f t="shared" si="5"/>
        <v>0</v>
      </c>
      <c r="Q120">
        <f t="shared" si="6"/>
        <v>0</v>
      </c>
      <c r="R120">
        <f t="shared" si="7"/>
        <v>0</v>
      </c>
      <c r="S120">
        <f t="shared" si="8"/>
        <v>0</v>
      </c>
      <c r="T120">
        <f t="shared" si="9"/>
        <v>0</v>
      </c>
      <c r="U120">
        <f>Tabla1[[#This Row],[HORAS NO AFINIDAD]]+Tabla1[[#This Row],[HORAS UNIDAD BASICA]]+Tabla1[[#This Row],[HORAS AFINIDAD]]</f>
        <v>0</v>
      </c>
      <c r="V120">
        <f>+Tabla1[[#This Row],[HORAS AFINIDAD]]+Tabla1[[#This Row],[HORAS ACTIVIDAD]]+Tabla1[[#This Row],[HORAS UNIDAD BASICA]]+Tabla1[[#This Row],[HORAS NO AFINIDAD]]</f>
        <v>0</v>
      </c>
    </row>
    <row r="121" spans="1:22" ht="18.75" customHeight="1">
      <c r="A121">
        <v>120</v>
      </c>
      <c r="C121" t="str">
        <f>_xlfn.XLOOKUP(Tabla1[[#This Row],[CARRERA]],MAE_CARRERA[NOMBRE_CARRERA],MAE_CARRERA[ID_CARRERA],"Seleccione Carrera")</f>
        <v>Seleccione Carrera</v>
      </c>
      <c r="F121" s="1"/>
      <c r="G121" t="str">
        <f>_xlfn.XLOOKUP(Tabla1[[#This Row],[ASIGNATURA]],MAE_ASIGNATURA[NOM_ASIG],MAE_ASIGNATURA[ID_ASIG],"Seleccione Asignatura")</f>
        <v>Seleccione Asignatura</v>
      </c>
      <c r="H121" s="1" t="str" cm="1">
        <f t="array" ref="H121">_xlfn.TEXTJOIN("; ",TRUE,TRANSPOSE(_xlfn.UNIQUE(_xlfn._xlws.FILTER(DET_ASIG[DETALLADO],(DET_ASIG[NIVEL]=ASIGNACION!$D121)*(DET_ASIG[ID_CARRERA]=ASIGNACION!$C121)*(DET_ASIG[ID_ASIG]=ASIGNACION!$G121),"No existe información"))))</f>
        <v>No existe información</v>
      </c>
      <c r="I121" s="1"/>
      <c r="J121">
        <f>_xlfn.XLOOKUP(Tabla1[[#This Row],[ID_ASIG_CAM_DET]],MAE_ASIGNATURA[ID_ASIG],MAE_ASIGNATURA[HORAS],0)</f>
        <v>0</v>
      </c>
      <c r="K121">
        <v>4</v>
      </c>
      <c r="L121" s="2">
        <f>+Tabla1[[#This Row],[CALCULAR HORA]]*Tabla1[[#This Row],[HORAS]]</f>
        <v>0</v>
      </c>
      <c r="N121" t="str">
        <f>_xlfn.XLOOKUP(Tabla1[[#This Row],[NOMBRE_DOCENT]],MDOCENTES[DATOS_DOCENTE],MDOCENTES[DEDICACION],"Seleccione Docente")</f>
        <v>Seleccione Docente</v>
      </c>
      <c r="O121" t="str">
        <f>_xlfn.XLOOKUP(Tabla1[[#This Row],[NOMBRE_DOCENT]],MDOCENTES[DATOS_DOCENTE],MDOCENTES[ESTUDIO],"Seleccione Docente")</f>
        <v>Seleccione Docente</v>
      </c>
      <c r="P121">
        <f t="shared" si="5"/>
        <v>0</v>
      </c>
      <c r="Q121">
        <f t="shared" si="6"/>
        <v>0</v>
      </c>
      <c r="R121">
        <f t="shared" si="7"/>
        <v>0</v>
      </c>
      <c r="S121">
        <f t="shared" si="8"/>
        <v>0</v>
      </c>
      <c r="T121">
        <f t="shared" si="9"/>
        <v>0</v>
      </c>
      <c r="U121">
        <f>Tabla1[[#This Row],[HORAS NO AFINIDAD]]+Tabla1[[#This Row],[HORAS UNIDAD BASICA]]+Tabla1[[#This Row],[HORAS AFINIDAD]]</f>
        <v>0</v>
      </c>
      <c r="V121">
        <f>+Tabla1[[#This Row],[HORAS AFINIDAD]]+Tabla1[[#This Row],[HORAS ACTIVIDAD]]+Tabla1[[#This Row],[HORAS UNIDAD BASICA]]+Tabla1[[#This Row],[HORAS NO AFINIDAD]]</f>
        <v>0</v>
      </c>
    </row>
    <row r="122" spans="1:22" ht="18.75" customHeight="1">
      <c r="A122">
        <v>121</v>
      </c>
      <c r="C122" t="str">
        <f>_xlfn.XLOOKUP(Tabla1[[#This Row],[CARRERA]],MAE_CARRERA[NOMBRE_CARRERA],MAE_CARRERA[ID_CARRERA],"Seleccione Carrera")</f>
        <v>Seleccione Carrera</v>
      </c>
      <c r="F122" s="1"/>
      <c r="G122" t="str">
        <f>_xlfn.XLOOKUP(Tabla1[[#This Row],[ASIGNATURA]],MAE_ASIGNATURA[NOM_ASIG],MAE_ASIGNATURA[ID_ASIG],"Seleccione Asignatura")</f>
        <v>Seleccione Asignatura</v>
      </c>
      <c r="H122" s="1" t="str" cm="1">
        <f t="array" ref="H122">_xlfn.TEXTJOIN("; ",TRUE,TRANSPOSE(_xlfn.UNIQUE(_xlfn._xlws.FILTER(DET_ASIG[DETALLADO],(DET_ASIG[NIVEL]=ASIGNACION!$D122)*(DET_ASIG[ID_CARRERA]=ASIGNACION!$C122)*(DET_ASIG[ID_ASIG]=ASIGNACION!$G122),"No existe información"))))</f>
        <v>No existe información</v>
      </c>
      <c r="I122" s="1"/>
      <c r="J122">
        <f>_xlfn.XLOOKUP(Tabla1[[#This Row],[ID_ASIG_CAM_DET]],MAE_ASIGNATURA[ID_ASIG],MAE_ASIGNATURA[HORAS],0)</f>
        <v>0</v>
      </c>
      <c r="K122">
        <v>4</v>
      </c>
      <c r="L122" s="2">
        <f>+Tabla1[[#This Row],[CALCULAR HORA]]*Tabla1[[#This Row],[HORAS]]</f>
        <v>0</v>
      </c>
      <c r="N122" t="str">
        <f>_xlfn.XLOOKUP(Tabla1[[#This Row],[NOMBRE_DOCENT]],MDOCENTES[DATOS_DOCENTE],MDOCENTES[DEDICACION],"Seleccione Docente")</f>
        <v>Seleccione Docente</v>
      </c>
      <c r="O122" t="str">
        <f>_xlfn.XLOOKUP(Tabla1[[#This Row],[NOMBRE_DOCENT]],MDOCENTES[DATOS_DOCENTE],MDOCENTES[ESTUDIO],"Seleccione Docente")</f>
        <v>Seleccione Docente</v>
      </c>
      <c r="P122">
        <f t="shared" si="5"/>
        <v>0</v>
      </c>
      <c r="Q122">
        <f t="shared" si="6"/>
        <v>0</v>
      </c>
      <c r="R122">
        <f t="shared" si="7"/>
        <v>0</v>
      </c>
      <c r="S122">
        <f t="shared" si="8"/>
        <v>0</v>
      </c>
      <c r="T122">
        <f t="shared" si="9"/>
        <v>0</v>
      </c>
      <c r="U122">
        <f>Tabla1[[#This Row],[HORAS NO AFINIDAD]]+Tabla1[[#This Row],[HORAS UNIDAD BASICA]]+Tabla1[[#This Row],[HORAS AFINIDAD]]</f>
        <v>0</v>
      </c>
      <c r="V122">
        <f>+Tabla1[[#This Row],[HORAS AFINIDAD]]+Tabla1[[#This Row],[HORAS ACTIVIDAD]]+Tabla1[[#This Row],[HORAS UNIDAD BASICA]]+Tabla1[[#This Row],[HORAS NO AFINIDAD]]</f>
        <v>0</v>
      </c>
    </row>
    <row r="123" spans="1:22" ht="18.75" customHeight="1">
      <c r="A123">
        <v>122</v>
      </c>
      <c r="C123" t="str">
        <f>_xlfn.XLOOKUP(Tabla1[[#This Row],[CARRERA]],MAE_CARRERA[NOMBRE_CARRERA],MAE_CARRERA[ID_CARRERA],"Seleccione Carrera")</f>
        <v>Seleccione Carrera</v>
      </c>
      <c r="F123" s="1"/>
      <c r="G123" t="str">
        <f>_xlfn.XLOOKUP(Tabla1[[#This Row],[ASIGNATURA]],MAE_ASIGNATURA[NOM_ASIG],MAE_ASIGNATURA[ID_ASIG],"Seleccione Asignatura")</f>
        <v>Seleccione Asignatura</v>
      </c>
      <c r="H123" s="1" t="str" cm="1">
        <f t="array" ref="H123">_xlfn.TEXTJOIN("; ",TRUE,TRANSPOSE(_xlfn.UNIQUE(_xlfn._xlws.FILTER(DET_ASIG[DETALLADO],(DET_ASIG[NIVEL]=ASIGNACION!$D123)*(DET_ASIG[ID_CARRERA]=ASIGNACION!$C123)*(DET_ASIG[ID_ASIG]=ASIGNACION!$G123),"No existe información"))))</f>
        <v>No existe información</v>
      </c>
      <c r="I123" s="1"/>
      <c r="J123">
        <f>_xlfn.XLOOKUP(Tabla1[[#This Row],[ID_ASIG_CAM_DET]],MAE_ASIGNATURA[ID_ASIG],MAE_ASIGNATURA[HORAS],0)</f>
        <v>0</v>
      </c>
      <c r="K123">
        <v>4</v>
      </c>
      <c r="L123" s="2">
        <f>+Tabla1[[#This Row],[CALCULAR HORA]]*Tabla1[[#This Row],[HORAS]]</f>
        <v>0</v>
      </c>
      <c r="N123" t="str">
        <f>_xlfn.XLOOKUP(Tabla1[[#This Row],[NOMBRE_DOCENT]],MDOCENTES[DATOS_DOCENTE],MDOCENTES[DEDICACION],"Seleccione Docente")</f>
        <v>Seleccione Docente</v>
      </c>
      <c r="O123" t="str">
        <f>_xlfn.XLOOKUP(Tabla1[[#This Row],[NOMBRE_DOCENT]],MDOCENTES[DATOS_DOCENTE],MDOCENTES[ESTUDIO],"Seleccione Docente")</f>
        <v>Seleccione Docente</v>
      </c>
      <c r="P123">
        <f t="shared" si="5"/>
        <v>0</v>
      </c>
      <c r="Q123">
        <f t="shared" si="6"/>
        <v>0</v>
      </c>
      <c r="R123">
        <f t="shared" si="7"/>
        <v>0</v>
      </c>
      <c r="S123">
        <f t="shared" si="8"/>
        <v>0</v>
      </c>
      <c r="T123">
        <f t="shared" si="9"/>
        <v>0</v>
      </c>
      <c r="U123">
        <f>Tabla1[[#This Row],[HORAS NO AFINIDAD]]+Tabla1[[#This Row],[HORAS UNIDAD BASICA]]+Tabla1[[#This Row],[HORAS AFINIDAD]]</f>
        <v>0</v>
      </c>
      <c r="V123">
        <f>+Tabla1[[#This Row],[HORAS AFINIDAD]]+Tabla1[[#This Row],[HORAS ACTIVIDAD]]+Tabla1[[#This Row],[HORAS UNIDAD BASICA]]+Tabla1[[#This Row],[HORAS NO AFINIDAD]]</f>
        <v>0</v>
      </c>
    </row>
    <row r="124" spans="1:22" ht="18.75" customHeight="1">
      <c r="A124">
        <v>123</v>
      </c>
      <c r="C124" t="str">
        <f>_xlfn.XLOOKUP(Tabla1[[#This Row],[CARRERA]],MAE_CARRERA[NOMBRE_CARRERA],MAE_CARRERA[ID_CARRERA],"Seleccione Carrera")</f>
        <v>Seleccione Carrera</v>
      </c>
      <c r="F124" s="1"/>
      <c r="G124" t="str">
        <f>_xlfn.XLOOKUP(Tabla1[[#This Row],[ASIGNATURA]],MAE_ASIGNATURA[NOM_ASIG],MAE_ASIGNATURA[ID_ASIG],"Seleccione Asignatura")</f>
        <v>Seleccione Asignatura</v>
      </c>
      <c r="H124" s="1" t="str" cm="1">
        <f t="array" ref="H124">_xlfn.TEXTJOIN("; ",TRUE,TRANSPOSE(_xlfn.UNIQUE(_xlfn._xlws.FILTER(DET_ASIG[DETALLADO],(DET_ASIG[NIVEL]=ASIGNACION!$D124)*(DET_ASIG[ID_CARRERA]=ASIGNACION!$C124)*(DET_ASIG[ID_ASIG]=ASIGNACION!$G124),"No existe información"))))</f>
        <v>No existe información</v>
      </c>
      <c r="I124" s="1"/>
      <c r="J124">
        <f>_xlfn.XLOOKUP(Tabla1[[#This Row],[ID_ASIG_CAM_DET]],MAE_ASIGNATURA[ID_ASIG],MAE_ASIGNATURA[HORAS],0)</f>
        <v>0</v>
      </c>
      <c r="K124">
        <v>4</v>
      </c>
      <c r="L124" s="2">
        <f>+Tabla1[[#This Row],[CALCULAR HORA]]*Tabla1[[#This Row],[HORAS]]</f>
        <v>0</v>
      </c>
      <c r="N124" t="str">
        <f>_xlfn.XLOOKUP(Tabla1[[#This Row],[NOMBRE_DOCENT]],MDOCENTES[DATOS_DOCENTE],MDOCENTES[DEDICACION],"Seleccione Docente")</f>
        <v>Seleccione Docente</v>
      </c>
      <c r="O124" t="str">
        <f>_xlfn.XLOOKUP(Tabla1[[#This Row],[NOMBRE_DOCENT]],MDOCENTES[DATOS_DOCENTE],MDOCENTES[ESTUDIO],"Seleccione Docente")</f>
        <v>Seleccione Docente</v>
      </c>
      <c r="P124">
        <f t="shared" si="5"/>
        <v>0</v>
      </c>
      <c r="Q124">
        <f t="shared" si="6"/>
        <v>0</v>
      </c>
      <c r="R124">
        <f t="shared" si="7"/>
        <v>0</v>
      </c>
      <c r="S124">
        <f t="shared" si="8"/>
        <v>0</v>
      </c>
      <c r="T124">
        <f t="shared" si="9"/>
        <v>0</v>
      </c>
      <c r="U124">
        <f>Tabla1[[#This Row],[HORAS NO AFINIDAD]]+Tabla1[[#This Row],[HORAS UNIDAD BASICA]]+Tabla1[[#This Row],[HORAS AFINIDAD]]</f>
        <v>0</v>
      </c>
      <c r="V124">
        <f>+Tabla1[[#This Row],[HORAS AFINIDAD]]+Tabla1[[#This Row],[HORAS ACTIVIDAD]]+Tabla1[[#This Row],[HORAS UNIDAD BASICA]]+Tabla1[[#This Row],[HORAS NO AFINIDAD]]</f>
        <v>0</v>
      </c>
    </row>
    <row r="125" spans="1:22" ht="18.75" customHeight="1">
      <c r="A125">
        <v>124</v>
      </c>
      <c r="C125" t="str">
        <f>_xlfn.XLOOKUP(Tabla1[[#This Row],[CARRERA]],MAE_CARRERA[NOMBRE_CARRERA],MAE_CARRERA[ID_CARRERA],"Seleccione Carrera")</f>
        <v>Seleccione Carrera</v>
      </c>
      <c r="F125" s="1"/>
      <c r="G125" t="str">
        <f>_xlfn.XLOOKUP(Tabla1[[#This Row],[ASIGNATURA]],MAE_ASIGNATURA[NOM_ASIG],MAE_ASIGNATURA[ID_ASIG],"Seleccione Asignatura")</f>
        <v>Seleccione Asignatura</v>
      </c>
      <c r="H125" s="1" t="str" cm="1">
        <f t="array" ref="H125">_xlfn.TEXTJOIN("; ",TRUE,TRANSPOSE(_xlfn.UNIQUE(_xlfn._xlws.FILTER(DET_ASIG[DETALLADO],(DET_ASIG[NIVEL]=ASIGNACION!$D125)*(DET_ASIG[ID_CARRERA]=ASIGNACION!$C125)*(DET_ASIG[ID_ASIG]=ASIGNACION!$G125),"No existe información"))))</f>
        <v>No existe información</v>
      </c>
      <c r="I125" s="1"/>
      <c r="J125">
        <f>_xlfn.XLOOKUP(Tabla1[[#This Row],[ID_ASIG_CAM_DET]],MAE_ASIGNATURA[ID_ASIG],MAE_ASIGNATURA[HORAS],0)</f>
        <v>0</v>
      </c>
      <c r="K125">
        <v>4</v>
      </c>
      <c r="L125" s="2">
        <f>+Tabla1[[#This Row],[CALCULAR HORA]]*Tabla1[[#This Row],[HORAS]]</f>
        <v>0</v>
      </c>
      <c r="N125" t="str">
        <f>_xlfn.XLOOKUP(Tabla1[[#This Row],[NOMBRE_DOCENT]],MDOCENTES[DATOS_DOCENTE],MDOCENTES[DEDICACION],"Seleccione Docente")</f>
        <v>Seleccione Docente</v>
      </c>
      <c r="O125" t="str">
        <f>_xlfn.XLOOKUP(Tabla1[[#This Row],[NOMBRE_DOCENT]],MDOCENTES[DATOS_DOCENTE],MDOCENTES[ESTUDIO],"Seleccione Docente")</f>
        <v>Seleccione Docente</v>
      </c>
      <c r="P125">
        <f t="shared" si="5"/>
        <v>0</v>
      </c>
      <c r="Q125">
        <f t="shared" si="6"/>
        <v>0</v>
      </c>
      <c r="R125">
        <f t="shared" si="7"/>
        <v>0</v>
      </c>
      <c r="S125">
        <f t="shared" si="8"/>
        <v>0</v>
      </c>
      <c r="T125">
        <f t="shared" si="9"/>
        <v>0</v>
      </c>
      <c r="U125">
        <f>Tabla1[[#This Row],[HORAS NO AFINIDAD]]+Tabla1[[#This Row],[HORAS UNIDAD BASICA]]+Tabla1[[#This Row],[HORAS AFINIDAD]]</f>
        <v>0</v>
      </c>
      <c r="V125">
        <f>+Tabla1[[#This Row],[HORAS AFINIDAD]]+Tabla1[[#This Row],[HORAS ACTIVIDAD]]+Tabla1[[#This Row],[HORAS UNIDAD BASICA]]+Tabla1[[#This Row],[HORAS NO AFINIDAD]]</f>
        <v>0</v>
      </c>
    </row>
    <row r="126" spans="1:22" ht="18.75" customHeight="1">
      <c r="A126">
        <v>125</v>
      </c>
      <c r="C126" t="str">
        <f>_xlfn.XLOOKUP(Tabla1[[#This Row],[CARRERA]],MAE_CARRERA[NOMBRE_CARRERA],MAE_CARRERA[ID_CARRERA],"Seleccione Carrera")</f>
        <v>Seleccione Carrera</v>
      </c>
      <c r="F126" s="1"/>
      <c r="G126" t="str">
        <f>_xlfn.XLOOKUP(Tabla1[[#This Row],[ASIGNATURA]],MAE_ASIGNATURA[NOM_ASIG],MAE_ASIGNATURA[ID_ASIG],"Seleccione Asignatura")</f>
        <v>Seleccione Asignatura</v>
      </c>
      <c r="H126" s="1" t="str" cm="1">
        <f t="array" ref="H126">_xlfn.TEXTJOIN("; ",TRUE,TRANSPOSE(_xlfn.UNIQUE(_xlfn._xlws.FILTER(DET_ASIG[DETALLADO],(DET_ASIG[NIVEL]=ASIGNACION!$D126)*(DET_ASIG[ID_CARRERA]=ASIGNACION!$C126)*(DET_ASIG[ID_ASIG]=ASIGNACION!$G126),"No existe información"))))</f>
        <v>No existe información</v>
      </c>
      <c r="I126" s="1"/>
      <c r="J126">
        <f>_xlfn.XLOOKUP(Tabla1[[#This Row],[ID_ASIG_CAM_DET]],MAE_ASIGNATURA[ID_ASIG],MAE_ASIGNATURA[HORAS],0)</f>
        <v>0</v>
      </c>
      <c r="K126">
        <v>4</v>
      </c>
      <c r="L126" s="2">
        <f>+Tabla1[[#This Row],[CALCULAR HORA]]*Tabla1[[#This Row],[HORAS]]</f>
        <v>0</v>
      </c>
      <c r="N126" t="str">
        <f>_xlfn.XLOOKUP(Tabla1[[#This Row],[NOMBRE_DOCENT]],MDOCENTES[DATOS_DOCENTE],MDOCENTES[DEDICACION],"Seleccione Docente")</f>
        <v>Seleccione Docente</v>
      </c>
      <c r="O126" t="str">
        <f>_xlfn.XLOOKUP(Tabla1[[#This Row],[NOMBRE_DOCENT]],MDOCENTES[DATOS_DOCENTE],MDOCENTES[ESTUDIO],"Seleccione Docente")</f>
        <v>Seleccione Docente</v>
      </c>
      <c r="P126">
        <f t="shared" si="5"/>
        <v>0</v>
      </c>
      <c r="Q126">
        <f t="shared" si="6"/>
        <v>0</v>
      </c>
      <c r="R126">
        <f t="shared" si="7"/>
        <v>0</v>
      </c>
      <c r="S126">
        <f t="shared" si="8"/>
        <v>0</v>
      </c>
      <c r="T126">
        <f t="shared" si="9"/>
        <v>0</v>
      </c>
      <c r="U126">
        <f>Tabla1[[#This Row],[HORAS NO AFINIDAD]]+Tabla1[[#This Row],[HORAS UNIDAD BASICA]]+Tabla1[[#This Row],[HORAS AFINIDAD]]</f>
        <v>0</v>
      </c>
      <c r="V126">
        <f>+Tabla1[[#This Row],[HORAS AFINIDAD]]+Tabla1[[#This Row],[HORAS ACTIVIDAD]]+Tabla1[[#This Row],[HORAS UNIDAD BASICA]]+Tabla1[[#This Row],[HORAS NO AFINIDAD]]</f>
        <v>0</v>
      </c>
    </row>
    <row r="127" spans="1:22" ht="18.75" customHeight="1">
      <c r="A127">
        <v>126</v>
      </c>
      <c r="C127" t="str">
        <f>_xlfn.XLOOKUP(Tabla1[[#This Row],[CARRERA]],MAE_CARRERA[NOMBRE_CARRERA],MAE_CARRERA[ID_CARRERA],"Seleccione Carrera")</f>
        <v>Seleccione Carrera</v>
      </c>
      <c r="F127" s="1"/>
      <c r="G127" t="str">
        <f>_xlfn.XLOOKUP(Tabla1[[#This Row],[ASIGNATURA]],MAE_ASIGNATURA[NOM_ASIG],MAE_ASIGNATURA[ID_ASIG],"Seleccione Asignatura")</f>
        <v>Seleccione Asignatura</v>
      </c>
      <c r="H127" s="1" t="str" cm="1">
        <f t="array" ref="H127">_xlfn.TEXTJOIN("; ",TRUE,TRANSPOSE(_xlfn.UNIQUE(_xlfn._xlws.FILTER(DET_ASIG[DETALLADO],(DET_ASIG[NIVEL]=ASIGNACION!$D127)*(DET_ASIG[ID_CARRERA]=ASIGNACION!$C127)*(DET_ASIG[ID_ASIG]=ASIGNACION!$G127),"No existe información"))))</f>
        <v>No existe información</v>
      </c>
      <c r="I127" s="1"/>
      <c r="J127">
        <f>_xlfn.XLOOKUP(Tabla1[[#This Row],[ID_ASIG_CAM_DET]],MAE_ASIGNATURA[ID_ASIG],MAE_ASIGNATURA[HORAS],0)</f>
        <v>0</v>
      </c>
      <c r="K127">
        <v>4</v>
      </c>
      <c r="L127" s="2">
        <f>+Tabla1[[#This Row],[CALCULAR HORA]]*Tabla1[[#This Row],[HORAS]]</f>
        <v>0</v>
      </c>
      <c r="N127" t="str">
        <f>_xlfn.XLOOKUP(Tabla1[[#This Row],[NOMBRE_DOCENT]],MDOCENTES[DATOS_DOCENTE],MDOCENTES[DEDICACION],"Seleccione Docente")</f>
        <v>Seleccione Docente</v>
      </c>
      <c r="O127" t="str">
        <f>_xlfn.XLOOKUP(Tabla1[[#This Row],[NOMBRE_DOCENT]],MDOCENTES[DATOS_DOCENTE],MDOCENTES[ESTUDIO],"Seleccione Docente")</f>
        <v>Seleccione Docente</v>
      </c>
      <c r="P127">
        <f t="shared" si="5"/>
        <v>0</v>
      </c>
      <c r="Q127">
        <f t="shared" si="6"/>
        <v>0</v>
      </c>
      <c r="R127">
        <f t="shared" si="7"/>
        <v>0</v>
      </c>
      <c r="S127">
        <f t="shared" si="8"/>
        <v>0</v>
      </c>
      <c r="T127">
        <f t="shared" si="9"/>
        <v>0</v>
      </c>
      <c r="U127">
        <f>Tabla1[[#This Row],[HORAS NO AFINIDAD]]+Tabla1[[#This Row],[HORAS UNIDAD BASICA]]+Tabla1[[#This Row],[HORAS AFINIDAD]]</f>
        <v>0</v>
      </c>
      <c r="V127">
        <f>+Tabla1[[#This Row],[HORAS AFINIDAD]]+Tabla1[[#This Row],[HORAS ACTIVIDAD]]+Tabla1[[#This Row],[HORAS UNIDAD BASICA]]+Tabla1[[#This Row],[HORAS NO AFINIDAD]]</f>
        <v>0</v>
      </c>
    </row>
    <row r="128" spans="1:22" ht="18.75" customHeight="1">
      <c r="A128">
        <v>127</v>
      </c>
      <c r="C128" t="str">
        <f>_xlfn.XLOOKUP(Tabla1[[#This Row],[CARRERA]],MAE_CARRERA[NOMBRE_CARRERA],MAE_CARRERA[ID_CARRERA],"Seleccione Carrera")</f>
        <v>Seleccione Carrera</v>
      </c>
      <c r="F128" s="1"/>
      <c r="G128" t="str">
        <f>_xlfn.XLOOKUP(Tabla1[[#This Row],[ASIGNATURA]],MAE_ASIGNATURA[NOM_ASIG],MAE_ASIGNATURA[ID_ASIG],"Seleccione Asignatura")</f>
        <v>Seleccione Asignatura</v>
      </c>
      <c r="H128" s="1" t="str" cm="1">
        <f t="array" ref="H128">_xlfn.TEXTJOIN("; ",TRUE,TRANSPOSE(_xlfn.UNIQUE(_xlfn._xlws.FILTER(DET_ASIG[DETALLADO],(DET_ASIG[NIVEL]=ASIGNACION!$D128)*(DET_ASIG[ID_CARRERA]=ASIGNACION!$C128)*(DET_ASIG[ID_ASIG]=ASIGNACION!$G128),"No existe información"))))</f>
        <v>No existe información</v>
      </c>
      <c r="I128" s="1"/>
      <c r="J128">
        <f>_xlfn.XLOOKUP(Tabla1[[#This Row],[ID_ASIG_CAM_DET]],MAE_ASIGNATURA[ID_ASIG],MAE_ASIGNATURA[HORAS],0)</f>
        <v>0</v>
      </c>
      <c r="K128">
        <v>4</v>
      </c>
      <c r="L128" s="2">
        <f>+Tabla1[[#This Row],[CALCULAR HORA]]*Tabla1[[#This Row],[HORAS]]</f>
        <v>0</v>
      </c>
      <c r="N128" t="str">
        <f>_xlfn.XLOOKUP(Tabla1[[#This Row],[NOMBRE_DOCENT]],MDOCENTES[DATOS_DOCENTE],MDOCENTES[DEDICACION],"Seleccione Docente")</f>
        <v>Seleccione Docente</v>
      </c>
      <c r="O128" t="str">
        <f>_xlfn.XLOOKUP(Tabla1[[#This Row],[NOMBRE_DOCENT]],MDOCENTES[DATOS_DOCENTE],MDOCENTES[ESTUDIO],"Seleccione Docente")</f>
        <v>Seleccione Docente</v>
      </c>
      <c r="P128">
        <f t="shared" si="5"/>
        <v>0</v>
      </c>
      <c r="Q128">
        <f t="shared" si="6"/>
        <v>0</v>
      </c>
      <c r="R128">
        <f t="shared" si="7"/>
        <v>0</v>
      </c>
      <c r="S128">
        <f t="shared" si="8"/>
        <v>0</v>
      </c>
      <c r="T128">
        <f t="shared" si="9"/>
        <v>0</v>
      </c>
      <c r="U128">
        <f>Tabla1[[#This Row],[HORAS NO AFINIDAD]]+Tabla1[[#This Row],[HORAS UNIDAD BASICA]]+Tabla1[[#This Row],[HORAS AFINIDAD]]</f>
        <v>0</v>
      </c>
      <c r="V128">
        <f>+Tabla1[[#This Row],[HORAS AFINIDAD]]+Tabla1[[#This Row],[HORAS ACTIVIDAD]]+Tabla1[[#This Row],[HORAS UNIDAD BASICA]]+Tabla1[[#This Row],[HORAS NO AFINIDAD]]</f>
        <v>0</v>
      </c>
    </row>
    <row r="129" spans="1:22" ht="18.75" customHeight="1">
      <c r="A129">
        <v>128</v>
      </c>
      <c r="C129" t="str">
        <f>_xlfn.XLOOKUP(Tabla1[[#This Row],[CARRERA]],MAE_CARRERA[NOMBRE_CARRERA],MAE_CARRERA[ID_CARRERA],"Seleccione Carrera")</f>
        <v>Seleccione Carrera</v>
      </c>
      <c r="F129" s="1"/>
      <c r="G129" t="str">
        <f>_xlfn.XLOOKUP(Tabla1[[#This Row],[ASIGNATURA]],MAE_ASIGNATURA[NOM_ASIG],MAE_ASIGNATURA[ID_ASIG],"Seleccione Asignatura")</f>
        <v>Seleccione Asignatura</v>
      </c>
      <c r="H129" s="1" t="str" cm="1">
        <f t="array" ref="H129">_xlfn.TEXTJOIN("; ",TRUE,TRANSPOSE(_xlfn.UNIQUE(_xlfn._xlws.FILTER(DET_ASIG[DETALLADO],(DET_ASIG[NIVEL]=ASIGNACION!$D129)*(DET_ASIG[ID_CARRERA]=ASIGNACION!$C129)*(DET_ASIG[ID_ASIG]=ASIGNACION!$G129),"No existe información"))))</f>
        <v>No existe información</v>
      </c>
      <c r="I129" s="1"/>
      <c r="J129">
        <f>_xlfn.XLOOKUP(Tabla1[[#This Row],[ID_ASIG_CAM_DET]],MAE_ASIGNATURA[ID_ASIG],MAE_ASIGNATURA[HORAS],0)</f>
        <v>0</v>
      </c>
      <c r="K129">
        <v>4</v>
      </c>
      <c r="L129" s="2">
        <f>+Tabla1[[#This Row],[CALCULAR HORA]]*Tabla1[[#This Row],[HORAS]]</f>
        <v>0</v>
      </c>
      <c r="N129" t="str">
        <f>_xlfn.XLOOKUP(Tabla1[[#This Row],[NOMBRE_DOCENT]],MDOCENTES[DATOS_DOCENTE],MDOCENTES[DEDICACION],"Seleccione Docente")</f>
        <v>Seleccione Docente</v>
      </c>
      <c r="O129" t="str">
        <f>_xlfn.XLOOKUP(Tabla1[[#This Row],[NOMBRE_DOCENT]],MDOCENTES[DATOS_DOCENTE],MDOCENTES[ESTUDIO],"Seleccione Docente")</f>
        <v>Seleccione Docente</v>
      </c>
      <c r="P129">
        <f t="shared" si="5"/>
        <v>0</v>
      </c>
      <c r="Q129">
        <f t="shared" si="6"/>
        <v>0</v>
      </c>
      <c r="R129">
        <f t="shared" si="7"/>
        <v>0</v>
      </c>
      <c r="S129">
        <f t="shared" si="8"/>
        <v>0</v>
      </c>
      <c r="T129">
        <f t="shared" si="9"/>
        <v>0</v>
      </c>
      <c r="U129">
        <f>Tabla1[[#This Row],[HORAS NO AFINIDAD]]+Tabla1[[#This Row],[HORAS UNIDAD BASICA]]+Tabla1[[#This Row],[HORAS AFINIDAD]]</f>
        <v>0</v>
      </c>
      <c r="V129">
        <f>+Tabla1[[#This Row],[HORAS AFINIDAD]]+Tabla1[[#This Row],[HORAS ACTIVIDAD]]+Tabla1[[#This Row],[HORAS UNIDAD BASICA]]+Tabla1[[#This Row],[HORAS NO AFINIDAD]]</f>
        <v>0</v>
      </c>
    </row>
    <row r="130" spans="1:22" ht="18.75" customHeight="1">
      <c r="A130">
        <v>129</v>
      </c>
      <c r="C130" t="str">
        <f>_xlfn.XLOOKUP(Tabla1[[#This Row],[CARRERA]],MAE_CARRERA[NOMBRE_CARRERA],MAE_CARRERA[ID_CARRERA],"Seleccione Carrera")</f>
        <v>Seleccione Carrera</v>
      </c>
      <c r="F130" s="1"/>
      <c r="G130" t="str">
        <f>_xlfn.XLOOKUP(Tabla1[[#This Row],[ASIGNATURA]],MAE_ASIGNATURA[NOM_ASIG],MAE_ASIGNATURA[ID_ASIG],"Seleccione Asignatura")</f>
        <v>Seleccione Asignatura</v>
      </c>
      <c r="H130" s="1" t="str" cm="1">
        <f t="array" ref="H130">_xlfn.TEXTJOIN("; ",TRUE,TRANSPOSE(_xlfn.UNIQUE(_xlfn._xlws.FILTER(DET_ASIG[DETALLADO],(DET_ASIG[NIVEL]=ASIGNACION!$D130)*(DET_ASIG[ID_CARRERA]=ASIGNACION!$C130)*(DET_ASIG[ID_ASIG]=ASIGNACION!$G130),"No existe información"))))</f>
        <v>No existe información</v>
      </c>
      <c r="I130" s="1"/>
      <c r="J130">
        <f>_xlfn.XLOOKUP(Tabla1[[#This Row],[ID_ASIG_CAM_DET]],MAE_ASIGNATURA[ID_ASIG],MAE_ASIGNATURA[HORAS],0)</f>
        <v>0</v>
      </c>
      <c r="K130">
        <v>4</v>
      </c>
      <c r="L130" s="2">
        <f>+Tabla1[[#This Row],[CALCULAR HORA]]*Tabla1[[#This Row],[HORAS]]</f>
        <v>0</v>
      </c>
      <c r="N130" t="str">
        <f>_xlfn.XLOOKUP(Tabla1[[#This Row],[NOMBRE_DOCENT]],MDOCENTES[DATOS_DOCENTE],MDOCENTES[DEDICACION],"Seleccione Docente")</f>
        <v>Seleccione Docente</v>
      </c>
      <c r="O130" t="str">
        <f>_xlfn.XLOOKUP(Tabla1[[#This Row],[NOMBRE_DOCENT]],MDOCENTES[DATOS_DOCENTE],MDOCENTES[ESTUDIO],"Seleccione Docente")</f>
        <v>Seleccione Docente</v>
      </c>
      <c r="P130">
        <f t="shared" ref="P130:P193" si="10">COUNTIFS($M:$M, M130, $H:$H, "&lt;&gt;ACTIVIDAD")</f>
        <v>0</v>
      </c>
      <c r="Q130">
        <f t="shared" ref="Q130:Q193" si="11">SUMIFS($L:$L, $M:$M, M130, $I:$I, "NO",$H:$H,"&lt;&gt;UNIDAD BASICA")</f>
        <v>0</v>
      </c>
      <c r="R130">
        <f t="shared" ref="R130:R193" si="12">SUMIFS($L:$L, $M:$M, M130, $H:$H, "UNIDAD BASICA",$I:$I,"NO")</f>
        <v>0</v>
      </c>
      <c r="S130">
        <f t="shared" ref="S130:S193" si="13">SUMIFS($L:$L, $M:$M, M130, $I:$I, "ACTIVIDAD")</f>
        <v>0</v>
      </c>
      <c r="T130">
        <f t="shared" ref="T130:T193" si="14">SUMIFS($L:$L, $M:$M, M130, $I:$I, "SI")</f>
        <v>0</v>
      </c>
      <c r="U130">
        <f>Tabla1[[#This Row],[HORAS NO AFINIDAD]]+Tabla1[[#This Row],[HORAS UNIDAD BASICA]]+Tabla1[[#This Row],[HORAS AFINIDAD]]</f>
        <v>0</v>
      </c>
      <c r="V130">
        <f>+Tabla1[[#This Row],[HORAS AFINIDAD]]+Tabla1[[#This Row],[HORAS ACTIVIDAD]]+Tabla1[[#This Row],[HORAS UNIDAD BASICA]]+Tabla1[[#This Row],[HORAS NO AFINIDAD]]</f>
        <v>0</v>
      </c>
    </row>
    <row r="131" spans="1:22" ht="18.75" customHeight="1">
      <c r="A131">
        <v>130</v>
      </c>
      <c r="C131" t="str">
        <f>_xlfn.XLOOKUP(Tabla1[[#This Row],[CARRERA]],MAE_CARRERA[NOMBRE_CARRERA],MAE_CARRERA[ID_CARRERA],"Seleccione Carrera")</f>
        <v>Seleccione Carrera</v>
      </c>
      <c r="F131" s="1"/>
      <c r="G131" t="str">
        <f>_xlfn.XLOOKUP(Tabla1[[#This Row],[ASIGNATURA]],MAE_ASIGNATURA[NOM_ASIG],MAE_ASIGNATURA[ID_ASIG],"Seleccione Asignatura")</f>
        <v>Seleccione Asignatura</v>
      </c>
      <c r="H131" s="1" t="str" cm="1">
        <f t="array" ref="H131">_xlfn.TEXTJOIN("; ",TRUE,TRANSPOSE(_xlfn.UNIQUE(_xlfn._xlws.FILTER(DET_ASIG[DETALLADO],(DET_ASIG[NIVEL]=ASIGNACION!$D131)*(DET_ASIG[ID_CARRERA]=ASIGNACION!$C131)*(DET_ASIG[ID_ASIG]=ASIGNACION!$G131),"No existe información"))))</f>
        <v>No existe información</v>
      </c>
      <c r="I131" s="1"/>
      <c r="J131">
        <f>_xlfn.XLOOKUP(Tabla1[[#This Row],[ID_ASIG_CAM_DET]],MAE_ASIGNATURA[ID_ASIG],MAE_ASIGNATURA[HORAS],0)</f>
        <v>0</v>
      </c>
      <c r="K131">
        <v>4</v>
      </c>
      <c r="L131" s="2">
        <f>+Tabla1[[#This Row],[CALCULAR HORA]]*Tabla1[[#This Row],[HORAS]]</f>
        <v>0</v>
      </c>
      <c r="N131" t="str">
        <f>_xlfn.XLOOKUP(Tabla1[[#This Row],[NOMBRE_DOCENT]],MDOCENTES[DATOS_DOCENTE],MDOCENTES[DEDICACION],"Seleccione Docente")</f>
        <v>Seleccione Docente</v>
      </c>
      <c r="O131" t="str">
        <f>_xlfn.XLOOKUP(Tabla1[[#This Row],[NOMBRE_DOCENT]],MDOCENTES[DATOS_DOCENTE],MDOCENTES[ESTUDIO],"Seleccione Docente")</f>
        <v>Seleccione Docente</v>
      </c>
      <c r="P131">
        <f t="shared" si="10"/>
        <v>0</v>
      </c>
      <c r="Q131">
        <f t="shared" si="11"/>
        <v>0</v>
      </c>
      <c r="R131">
        <f t="shared" si="12"/>
        <v>0</v>
      </c>
      <c r="S131">
        <f t="shared" si="13"/>
        <v>0</v>
      </c>
      <c r="T131">
        <f t="shared" si="14"/>
        <v>0</v>
      </c>
      <c r="U131">
        <f>Tabla1[[#This Row],[HORAS NO AFINIDAD]]+Tabla1[[#This Row],[HORAS UNIDAD BASICA]]+Tabla1[[#This Row],[HORAS AFINIDAD]]</f>
        <v>0</v>
      </c>
      <c r="V131">
        <f>+Tabla1[[#This Row],[HORAS AFINIDAD]]+Tabla1[[#This Row],[HORAS ACTIVIDAD]]+Tabla1[[#This Row],[HORAS UNIDAD BASICA]]+Tabla1[[#This Row],[HORAS NO AFINIDAD]]</f>
        <v>0</v>
      </c>
    </row>
    <row r="132" spans="1:22" ht="18.75" customHeight="1">
      <c r="A132">
        <v>131</v>
      </c>
      <c r="C132" t="str">
        <f>_xlfn.XLOOKUP(Tabla1[[#This Row],[CARRERA]],MAE_CARRERA[NOMBRE_CARRERA],MAE_CARRERA[ID_CARRERA],"Seleccione Carrera")</f>
        <v>Seleccione Carrera</v>
      </c>
      <c r="F132" s="1"/>
      <c r="G132" t="str">
        <f>_xlfn.XLOOKUP(Tabla1[[#This Row],[ASIGNATURA]],MAE_ASIGNATURA[NOM_ASIG],MAE_ASIGNATURA[ID_ASIG],"Seleccione Asignatura")</f>
        <v>Seleccione Asignatura</v>
      </c>
      <c r="H132" s="1" t="str" cm="1">
        <f t="array" ref="H132">_xlfn.TEXTJOIN("; ",TRUE,TRANSPOSE(_xlfn.UNIQUE(_xlfn._xlws.FILTER(DET_ASIG[DETALLADO],(DET_ASIG[NIVEL]=ASIGNACION!$D132)*(DET_ASIG[ID_CARRERA]=ASIGNACION!$C132)*(DET_ASIG[ID_ASIG]=ASIGNACION!$G132),"No existe información"))))</f>
        <v>No existe información</v>
      </c>
      <c r="I132" s="1"/>
      <c r="J132">
        <f>_xlfn.XLOOKUP(Tabla1[[#This Row],[ID_ASIG_CAM_DET]],MAE_ASIGNATURA[ID_ASIG],MAE_ASIGNATURA[HORAS],0)</f>
        <v>0</v>
      </c>
      <c r="K132">
        <v>4</v>
      </c>
      <c r="L132" s="2">
        <f>+Tabla1[[#This Row],[CALCULAR HORA]]*Tabla1[[#This Row],[HORAS]]</f>
        <v>0</v>
      </c>
      <c r="N132" t="str">
        <f>_xlfn.XLOOKUP(Tabla1[[#This Row],[NOMBRE_DOCENT]],MDOCENTES[DATOS_DOCENTE],MDOCENTES[DEDICACION],"Seleccione Docente")</f>
        <v>Seleccione Docente</v>
      </c>
      <c r="O132" t="str">
        <f>_xlfn.XLOOKUP(Tabla1[[#This Row],[NOMBRE_DOCENT]],MDOCENTES[DATOS_DOCENTE],MDOCENTES[ESTUDIO],"Seleccione Docente")</f>
        <v>Seleccione Docente</v>
      </c>
      <c r="P132">
        <f t="shared" si="10"/>
        <v>0</v>
      </c>
      <c r="Q132">
        <f t="shared" si="11"/>
        <v>0</v>
      </c>
      <c r="R132">
        <f t="shared" si="12"/>
        <v>0</v>
      </c>
      <c r="S132">
        <f t="shared" si="13"/>
        <v>0</v>
      </c>
      <c r="T132">
        <f t="shared" si="14"/>
        <v>0</v>
      </c>
      <c r="U132">
        <f>Tabla1[[#This Row],[HORAS NO AFINIDAD]]+Tabla1[[#This Row],[HORAS UNIDAD BASICA]]+Tabla1[[#This Row],[HORAS AFINIDAD]]</f>
        <v>0</v>
      </c>
      <c r="V132">
        <f>+Tabla1[[#This Row],[HORAS AFINIDAD]]+Tabla1[[#This Row],[HORAS ACTIVIDAD]]+Tabla1[[#This Row],[HORAS UNIDAD BASICA]]+Tabla1[[#This Row],[HORAS NO AFINIDAD]]</f>
        <v>0</v>
      </c>
    </row>
    <row r="133" spans="1:22" ht="18.75" customHeight="1">
      <c r="A133">
        <v>132</v>
      </c>
      <c r="C133" t="str">
        <f>_xlfn.XLOOKUP(Tabla1[[#This Row],[CARRERA]],MAE_CARRERA[NOMBRE_CARRERA],MAE_CARRERA[ID_CARRERA],"Seleccione Carrera")</f>
        <v>Seleccione Carrera</v>
      </c>
      <c r="F133" s="1"/>
      <c r="G133" t="str">
        <f>_xlfn.XLOOKUP(Tabla1[[#This Row],[ASIGNATURA]],MAE_ASIGNATURA[NOM_ASIG],MAE_ASIGNATURA[ID_ASIG],"Seleccione Asignatura")</f>
        <v>Seleccione Asignatura</v>
      </c>
      <c r="H133" s="1" t="str" cm="1">
        <f t="array" ref="H133">_xlfn.TEXTJOIN("; ",TRUE,TRANSPOSE(_xlfn.UNIQUE(_xlfn._xlws.FILTER(DET_ASIG[DETALLADO],(DET_ASIG[NIVEL]=ASIGNACION!$D133)*(DET_ASIG[ID_CARRERA]=ASIGNACION!$C133)*(DET_ASIG[ID_ASIG]=ASIGNACION!$G133),"No existe información"))))</f>
        <v>No existe información</v>
      </c>
      <c r="I133" s="1"/>
      <c r="J133">
        <f>_xlfn.XLOOKUP(Tabla1[[#This Row],[ID_ASIG_CAM_DET]],MAE_ASIGNATURA[ID_ASIG],MAE_ASIGNATURA[HORAS],0)</f>
        <v>0</v>
      </c>
      <c r="K133">
        <v>4</v>
      </c>
      <c r="L133" s="2">
        <f>+Tabla1[[#This Row],[CALCULAR HORA]]*Tabla1[[#This Row],[HORAS]]</f>
        <v>0</v>
      </c>
      <c r="N133" t="str">
        <f>_xlfn.XLOOKUP(Tabla1[[#This Row],[NOMBRE_DOCENT]],MDOCENTES[DATOS_DOCENTE],MDOCENTES[DEDICACION],"Seleccione Docente")</f>
        <v>Seleccione Docente</v>
      </c>
      <c r="O133" t="str">
        <f>_xlfn.XLOOKUP(Tabla1[[#This Row],[NOMBRE_DOCENT]],MDOCENTES[DATOS_DOCENTE],MDOCENTES[ESTUDIO],"Seleccione Docente")</f>
        <v>Seleccione Docente</v>
      </c>
      <c r="P133">
        <f t="shared" si="10"/>
        <v>0</v>
      </c>
      <c r="Q133">
        <f t="shared" si="11"/>
        <v>0</v>
      </c>
      <c r="R133">
        <f t="shared" si="12"/>
        <v>0</v>
      </c>
      <c r="S133">
        <f t="shared" si="13"/>
        <v>0</v>
      </c>
      <c r="T133">
        <f t="shared" si="14"/>
        <v>0</v>
      </c>
      <c r="U133">
        <f>Tabla1[[#This Row],[HORAS NO AFINIDAD]]+Tabla1[[#This Row],[HORAS UNIDAD BASICA]]+Tabla1[[#This Row],[HORAS AFINIDAD]]</f>
        <v>0</v>
      </c>
      <c r="V133">
        <f>+Tabla1[[#This Row],[HORAS AFINIDAD]]+Tabla1[[#This Row],[HORAS ACTIVIDAD]]+Tabla1[[#This Row],[HORAS UNIDAD BASICA]]+Tabla1[[#This Row],[HORAS NO AFINIDAD]]</f>
        <v>0</v>
      </c>
    </row>
    <row r="134" spans="1:22" ht="18.75" customHeight="1">
      <c r="A134">
        <v>133</v>
      </c>
      <c r="C134" t="str">
        <f>_xlfn.XLOOKUP(Tabla1[[#This Row],[CARRERA]],MAE_CARRERA[NOMBRE_CARRERA],MAE_CARRERA[ID_CARRERA],"Seleccione Carrera")</f>
        <v>Seleccione Carrera</v>
      </c>
      <c r="F134" s="1"/>
      <c r="G134" t="str">
        <f>_xlfn.XLOOKUP(Tabla1[[#This Row],[ASIGNATURA]],MAE_ASIGNATURA[NOM_ASIG],MAE_ASIGNATURA[ID_ASIG],"Seleccione Asignatura")</f>
        <v>Seleccione Asignatura</v>
      </c>
      <c r="H134" s="1" t="str" cm="1">
        <f t="array" ref="H134">_xlfn.TEXTJOIN("; ",TRUE,TRANSPOSE(_xlfn.UNIQUE(_xlfn._xlws.FILTER(DET_ASIG[DETALLADO],(DET_ASIG[NIVEL]=ASIGNACION!$D134)*(DET_ASIG[ID_CARRERA]=ASIGNACION!$C134)*(DET_ASIG[ID_ASIG]=ASIGNACION!$G134),"No existe información"))))</f>
        <v>No existe información</v>
      </c>
      <c r="I134" s="1"/>
      <c r="J134">
        <f>_xlfn.XLOOKUP(Tabla1[[#This Row],[ID_ASIG_CAM_DET]],MAE_ASIGNATURA[ID_ASIG],MAE_ASIGNATURA[HORAS],0)</f>
        <v>0</v>
      </c>
      <c r="K134">
        <v>4</v>
      </c>
      <c r="L134" s="2">
        <f>+Tabla1[[#This Row],[CALCULAR HORA]]*Tabla1[[#This Row],[HORAS]]</f>
        <v>0</v>
      </c>
      <c r="N134" t="str">
        <f>_xlfn.XLOOKUP(Tabla1[[#This Row],[NOMBRE_DOCENT]],MDOCENTES[DATOS_DOCENTE],MDOCENTES[DEDICACION],"Seleccione Docente")</f>
        <v>Seleccione Docente</v>
      </c>
      <c r="O134" t="str">
        <f>_xlfn.XLOOKUP(Tabla1[[#This Row],[NOMBRE_DOCENT]],MDOCENTES[DATOS_DOCENTE],MDOCENTES[ESTUDIO],"Seleccione Docente")</f>
        <v>Seleccione Docente</v>
      </c>
      <c r="P134">
        <f t="shared" si="10"/>
        <v>0</v>
      </c>
      <c r="Q134">
        <f t="shared" si="11"/>
        <v>0</v>
      </c>
      <c r="R134">
        <f t="shared" si="12"/>
        <v>0</v>
      </c>
      <c r="S134">
        <f t="shared" si="13"/>
        <v>0</v>
      </c>
      <c r="T134">
        <f t="shared" si="14"/>
        <v>0</v>
      </c>
      <c r="U134">
        <f>Tabla1[[#This Row],[HORAS NO AFINIDAD]]+Tabla1[[#This Row],[HORAS UNIDAD BASICA]]+Tabla1[[#This Row],[HORAS AFINIDAD]]</f>
        <v>0</v>
      </c>
      <c r="V134">
        <f>+Tabla1[[#This Row],[HORAS AFINIDAD]]+Tabla1[[#This Row],[HORAS ACTIVIDAD]]+Tabla1[[#This Row],[HORAS UNIDAD BASICA]]+Tabla1[[#This Row],[HORAS NO AFINIDAD]]</f>
        <v>0</v>
      </c>
    </row>
    <row r="135" spans="1:22" ht="18.75" customHeight="1">
      <c r="A135">
        <v>134</v>
      </c>
      <c r="C135" t="str">
        <f>_xlfn.XLOOKUP(Tabla1[[#This Row],[CARRERA]],MAE_CARRERA[NOMBRE_CARRERA],MAE_CARRERA[ID_CARRERA],"Seleccione Carrera")</f>
        <v>Seleccione Carrera</v>
      </c>
      <c r="F135" s="1"/>
      <c r="G135" t="str">
        <f>_xlfn.XLOOKUP(Tabla1[[#This Row],[ASIGNATURA]],MAE_ASIGNATURA[NOM_ASIG],MAE_ASIGNATURA[ID_ASIG],"Seleccione Asignatura")</f>
        <v>Seleccione Asignatura</v>
      </c>
      <c r="H135" s="1" t="str" cm="1">
        <f t="array" ref="H135">_xlfn.TEXTJOIN("; ",TRUE,TRANSPOSE(_xlfn.UNIQUE(_xlfn._xlws.FILTER(DET_ASIG[DETALLADO],(DET_ASIG[NIVEL]=ASIGNACION!$D135)*(DET_ASIG[ID_CARRERA]=ASIGNACION!$C135)*(DET_ASIG[ID_ASIG]=ASIGNACION!$G135),"No existe información"))))</f>
        <v>No existe información</v>
      </c>
      <c r="I135" s="1"/>
      <c r="J135">
        <f>_xlfn.XLOOKUP(Tabla1[[#This Row],[ID_ASIG_CAM_DET]],MAE_ASIGNATURA[ID_ASIG],MAE_ASIGNATURA[HORAS],0)</f>
        <v>0</v>
      </c>
      <c r="K135">
        <v>4</v>
      </c>
      <c r="L135" s="2">
        <f>+Tabla1[[#This Row],[CALCULAR HORA]]*Tabla1[[#This Row],[HORAS]]</f>
        <v>0</v>
      </c>
      <c r="N135" t="str">
        <f>_xlfn.XLOOKUP(Tabla1[[#This Row],[NOMBRE_DOCENT]],MDOCENTES[DATOS_DOCENTE],MDOCENTES[DEDICACION],"Seleccione Docente")</f>
        <v>Seleccione Docente</v>
      </c>
      <c r="O135" t="str">
        <f>_xlfn.XLOOKUP(Tabla1[[#This Row],[NOMBRE_DOCENT]],MDOCENTES[DATOS_DOCENTE],MDOCENTES[ESTUDIO],"Seleccione Docente")</f>
        <v>Seleccione Docente</v>
      </c>
      <c r="P135">
        <f t="shared" si="10"/>
        <v>0</v>
      </c>
      <c r="Q135">
        <f t="shared" si="11"/>
        <v>0</v>
      </c>
      <c r="R135">
        <f t="shared" si="12"/>
        <v>0</v>
      </c>
      <c r="S135">
        <f t="shared" si="13"/>
        <v>0</v>
      </c>
      <c r="T135">
        <f t="shared" si="14"/>
        <v>0</v>
      </c>
      <c r="U135">
        <f>Tabla1[[#This Row],[HORAS NO AFINIDAD]]+Tabla1[[#This Row],[HORAS UNIDAD BASICA]]+Tabla1[[#This Row],[HORAS AFINIDAD]]</f>
        <v>0</v>
      </c>
      <c r="V135">
        <f>+Tabla1[[#This Row],[HORAS AFINIDAD]]+Tabla1[[#This Row],[HORAS ACTIVIDAD]]+Tabla1[[#This Row],[HORAS UNIDAD BASICA]]+Tabla1[[#This Row],[HORAS NO AFINIDAD]]</f>
        <v>0</v>
      </c>
    </row>
    <row r="136" spans="1:22" ht="18.75" customHeight="1">
      <c r="A136">
        <v>135</v>
      </c>
      <c r="C136" t="str">
        <f>_xlfn.XLOOKUP(Tabla1[[#This Row],[CARRERA]],MAE_CARRERA[NOMBRE_CARRERA],MAE_CARRERA[ID_CARRERA],"Seleccione Carrera")</f>
        <v>Seleccione Carrera</v>
      </c>
      <c r="F136" s="1"/>
      <c r="G136" t="str">
        <f>_xlfn.XLOOKUP(Tabla1[[#This Row],[ASIGNATURA]],MAE_ASIGNATURA[NOM_ASIG],MAE_ASIGNATURA[ID_ASIG],"Seleccione Asignatura")</f>
        <v>Seleccione Asignatura</v>
      </c>
      <c r="H136" s="1" t="str" cm="1">
        <f t="array" ref="H136">_xlfn.TEXTJOIN("; ",TRUE,TRANSPOSE(_xlfn.UNIQUE(_xlfn._xlws.FILTER(DET_ASIG[DETALLADO],(DET_ASIG[NIVEL]=ASIGNACION!$D136)*(DET_ASIG[ID_CARRERA]=ASIGNACION!$C136)*(DET_ASIG[ID_ASIG]=ASIGNACION!$G136),"No existe información"))))</f>
        <v>No existe información</v>
      </c>
      <c r="I136" s="1"/>
      <c r="J136">
        <f>_xlfn.XLOOKUP(Tabla1[[#This Row],[ID_ASIG_CAM_DET]],MAE_ASIGNATURA[ID_ASIG],MAE_ASIGNATURA[HORAS],0)</f>
        <v>0</v>
      </c>
      <c r="K136">
        <v>4</v>
      </c>
      <c r="L136" s="2">
        <f>+Tabla1[[#This Row],[CALCULAR HORA]]*Tabla1[[#This Row],[HORAS]]</f>
        <v>0</v>
      </c>
      <c r="N136" t="str">
        <f>_xlfn.XLOOKUP(Tabla1[[#This Row],[NOMBRE_DOCENT]],MDOCENTES[DATOS_DOCENTE],MDOCENTES[DEDICACION],"Seleccione Docente")</f>
        <v>Seleccione Docente</v>
      </c>
      <c r="O136" t="str">
        <f>_xlfn.XLOOKUP(Tabla1[[#This Row],[NOMBRE_DOCENT]],MDOCENTES[DATOS_DOCENTE],MDOCENTES[ESTUDIO],"Seleccione Docente")</f>
        <v>Seleccione Docente</v>
      </c>
      <c r="P136">
        <f t="shared" si="10"/>
        <v>0</v>
      </c>
      <c r="Q136">
        <f t="shared" si="11"/>
        <v>0</v>
      </c>
      <c r="R136">
        <f t="shared" si="12"/>
        <v>0</v>
      </c>
      <c r="S136">
        <f t="shared" si="13"/>
        <v>0</v>
      </c>
      <c r="T136">
        <f t="shared" si="14"/>
        <v>0</v>
      </c>
      <c r="U136">
        <f>Tabla1[[#This Row],[HORAS NO AFINIDAD]]+Tabla1[[#This Row],[HORAS UNIDAD BASICA]]+Tabla1[[#This Row],[HORAS AFINIDAD]]</f>
        <v>0</v>
      </c>
      <c r="V136">
        <f>+Tabla1[[#This Row],[HORAS AFINIDAD]]+Tabla1[[#This Row],[HORAS ACTIVIDAD]]+Tabla1[[#This Row],[HORAS UNIDAD BASICA]]+Tabla1[[#This Row],[HORAS NO AFINIDAD]]</f>
        <v>0</v>
      </c>
    </row>
    <row r="137" spans="1:22" ht="18.75" customHeight="1">
      <c r="A137">
        <v>136</v>
      </c>
      <c r="C137" t="str">
        <f>_xlfn.XLOOKUP(Tabla1[[#This Row],[CARRERA]],MAE_CARRERA[NOMBRE_CARRERA],MAE_CARRERA[ID_CARRERA],"Seleccione Carrera")</f>
        <v>Seleccione Carrera</v>
      </c>
      <c r="F137" s="1"/>
      <c r="G137" t="str">
        <f>_xlfn.XLOOKUP(Tabla1[[#This Row],[ASIGNATURA]],MAE_ASIGNATURA[NOM_ASIG],MAE_ASIGNATURA[ID_ASIG],"Seleccione Asignatura")</f>
        <v>Seleccione Asignatura</v>
      </c>
      <c r="H137" s="1" t="str" cm="1">
        <f t="array" ref="H137">_xlfn.TEXTJOIN("; ",TRUE,TRANSPOSE(_xlfn.UNIQUE(_xlfn._xlws.FILTER(DET_ASIG[DETALLADO],(DET_ASIG[NIVEL]=ASIGNACION!$D137)*(DET_ASIG[ID_CARRERA]=ASIGNACION!$C137)*(DET_ASIG[ID_ASIG]=ASIGNACION!$G137),"No existe información"))))</f>
        <v>No existe información</v>
      </c>
      <c r="I137" s="1"/>
      <c r="J137">
        <f>_xlfn.XLOOKUP(Tabla1[[#This Row],[ID_ASIG_CAM_DET]],MAE_ASIGNATURA[ID_ASIG],MAE_ASIGNATURA[HORAS],0)</f>
        <v>0</v>
      </c>
      <c r="K137">
        <v>4</v>
      </c>
      <c r="L137" s="2">
        <f>+Tabla1[[#This Row],[CALCULAR HORA]]*Tabla1[[#This Row],[HORAS]]</f>
        <v>0</v>
      </c>
      <c r="N137" t="str">
        <f>_xlfn.XLOOKUP(Tabla1[[#This Row],[NOMBRE_DOCENT]],MDOCENTES[DATOS_DOCENTE],MDOCENTES[DEDICACION],"Seleccione Docente")</f>
        <v>Seleccione Docente</v>
      </c>
      <c r="O137" t="str">
        <f>_xlfn.XLOOKUP(Tabla1[[#This Row],[NOMBRE_DOCENT]],MDOCENTES[DATOS_DOCENTE],MDOCENTES[ESTUDIO],"Seleccione Docente")</f>
        <v>Seleccione Docente</v>
      </c>
      <c r="P137">
        <f t="shared" si="10"/>
        <v>0</v>
      </c>
      <c r="Q137">
        <f t="shared" si="11"/>
        <v>0</v>
      </c>
      <c r="R137">
        <f t="shared" si="12"/>
        <v>0</v>
      </c>
      <c r="S137">
        <f t="shared" si="13"/>
        <v>0</v>
      </c>
      <c r="T137">
        <f t="shared" si="14"/>
        <v>0</v>
      </c>
      <c r="U137">
        <f>Tabla1[[#This Row],[HORAS NO AFINIDAD]]+Tabla1[[#This Row],[HORAS UNIDAD BASICA]]+Tabla1[[#This Row],[HORAS AFINIDAD]]</f>
        <v>0</v>
      </c>
      <c r="V137">
        <f>+Tabla1[[#This Row],[HORAS AFINIDAD]]+Tabla1[[#This Row],[HORAS ACTIVIDAD]]+Tabla1[[#This Row],[HORAS UNIDAD BASICA]]+Tabla1[[#This Row],[HORAS NO AFINIDAD]]</f>
        <v>0</v>
      </c>
    </row>
    <row r="138" spans="1:22" ht="18.75" customHeight="1">
      <c r="A138">
        <v>137</v>
      </c>
      <c r="C138" t="str">
        <f>_xlfn.XLOOKUP(Tabla1[[#This Row],[CARRERA]],MAE_CARRERA[NOMBRE_CARRERA],MAE_CARRERA[ID_CARRERA],"Seleccione Carrera")</f>
        <v>Seleccione Carrera</v>
      </c>
      <c r="F138" s="1"/>
      <c r="G138" t="str">
        <f>_xlfn.XLOOKUP(Tabla1[[#This Row],[ASIGNATURA]],MAE_ASIGNATURA[NOM_ASIG],MAE_ASIGNATURA[ID_ASIG],"Seleccione Asignatura")</f>
        <v>Seleccione Asignatura</v>
      </c>
      <c r="H138" s="1" t="str" cm="1">
        <f t="array" ref="H138">_xlfn.TEXTJOIN("; ",TRUE,TRANSPOSE(_xlfn.UNIQUE(_xlfn._xlws.FILTER(DET_ASIG[DETALLADO],(DET_ASIG[NIVEL]=ASIGNACION!$D138)*(DET_ASIG[ID_CARRERA]=ASIGNACION!$C138)*(DET_ASIG[ID_ASIG]=ASIGNACION!$G138),"No existe información"))))</f>
        <v>No existe información</v>
      </c>
      <c r="I138" s="1"/>
      <c r="J138">
        <f>_xlfn.XLOOKUP(Tabla1[[#This Row],[ID_ASIG_CAM_DET]],MAE_ASIGNATURA[ID_ASIG],MAE_ASIGNATURA[HORAS],0)</f>
        <v>0</v>
      </c>
      <c r="K138">
        <v>4</v>
      </c>
      <c r="L138" s="2">
        <f>+Tabla1[[#This Row],[CALCULAR HORA]]*Tabla1[[#This Row],[HORAS]]</f>
        <v>0</v>
      </c>
      <c r="N138" t="str">
        <f>_xlfn.XLOOKUP(Tabla1[[#This Row],[NOMBRE_DOCENT]],MDOCENTES[DATOS_DOCENTE],MDOCENTES[DEDICACION],"Seleccione Docente")</f>
        <v>Seleccione Docente</v>
      </c>
      <c r="O138" t="str">
        <f>_xlfn.XLOOKUP(Tabla1[[#This Row],[NOMBRE_DOCENT]],MDOCENTES[DATOS_DOCENTE],MDOCENTES[ESTUDIO],"Seleccione Docente")</f>
        <v>Seleccione Docente</v>
      </c>
      <c r="P138">
        <f t="shared" si="10"/>
        <v>0</v>
      </c>
      <c r="Q138">
        <f t="shared" si="11"/>
        <v>0</v>
      </c>
      <c r="R138">
        <f t="shared" si="12"/>
        <v>0</v>
      </c>
      <c r="S138">
        <f t="shared" si="13"/>
        <v>0</v>
      </c>
      <c r="T138">
        <f t="shared" si="14"/>
        <v>0</v>
      </c>
      <c r="U138">
        <f>Tabla1[[#This Row],[HORAS NO AFINIDAD]]+Tabla1[[#This Row],[HORAS UNIDAD BASICA]]+Tabla1[[#This Row],[HORAS AFINIDAD]]</f>
        <v>0</v>
      </c>
      <c r="V138">
        <f>+Tabla1[[#This Row],[HORAS AFINIDAD]]+Tabla1[[#This Row],[HORAS ACTIVIDAD]]+Tabla1[[#This Row],[HORAS UNIDAD BASICA]]+Tabla1[[#This Row],[HORAS NO AFINIDAD]]</f>
        <v>0</v>
      </c>
    </row>
    <row r="139" spans="1:22" ht="18.75" customHeight="1">
      <c r="A139">
        <v>138</v>
      </c>
      <c r="C139" t="str">
        <f>_xlfn.XLOOKUP(Tabla1[[#This Row],[CARRERA]],MAE_CARRERA[NOMBRE_CARRERA],MAE_CARRERA[ID_CARRERA],"Seleccione Carrera")</f>
        <v>Seleccione Carrera</v>
      </c>
      <c r="F139" s="1"/>
      <c r="G139" t="str">
        <f>_xlfn.XLOOKUP(Tabla1[[#This Row],[ASIGNATURA]],MAE_ASIGNATURA[NOM_ASIG],MAE_ASIGNATURA[ID_ASIG],"Seleccione Asignatura")</f>
        <v>Seleccione Asignatura</v>
      </c>
      <c r="H139" s="1" t="str" cm="1">
        <f t="array" ref="H139">_xlfn.TEXTJOIN("; ",TRUE,TRANSPOSE(_xlfn.UNIQUE(_xlfn._xlws.FILTER(DET_ASIG[DETALLADO],(DET_ASIG[NIVEL]=ASIGNACION!$D139)*(DET_ASIG[ID_CARRERA]=ASIGNACION!$C139)*(DET_ASIG[ID_ASIG]=ASIGNACION!$G139),"No existe información"))))</f>
        <v>No existe información</v>
      </c>
      <c r="I139" s="1"/>
      <c r="J139">
        <f>_xlfn.XLOOKUP(Tabla1[[#This Row],[ID_ASIG_CAM_DET]],MAE_ASIGNATURA[ID_ASIG],MAE_ASIGNATURA[HORAS],0)</f>
        <v>0</v>
      </c>
      <c r="K139">
        <v>4</v>
      </c>
      <c r="L139" s="2">
        <f>+Tabla1[[#This Row],[CALCULAR HORA]]*Tabla1[[#This Row],[HORAS]]</f>
        <v>0</v>
      </c>
      <c r="N139" t="str">
        <f>_xlfn.XLOOKUP(Tabla1[[#This Row],[NOMBRE_DOCENT]],MDOCENTES[DATOS_DOCENTE],MDOCENTES[DEDICACION],"Seleccione Docente")</f>
        <v>Seleccione Docente</v>
      </c>
      <c r="O139" t="str">
        <f>_xlfn.XLOOKUP(Tabla1[[#This Row],[NOMBRE_DOCENT]],MDOCENTES[DATOS_DOCENTE],MDOCENTES[ESTUDIO],"Seleccione Docente")</f>
        <v>Seleccione Docente</v>
      </c>
      <c r="P139">
        <f t="shared" si="10"/>
        <v>0</v>
      </c>
      <c r="Q139">
        <f t="shared" si="11"/>
        <v>0</v>
      </c>
      <c r="R139">
        <f t="shared" si="12"/>
        <v>0</v>
      </c>
      <c r="S139">
        <f t="shared" si="13"/>
        <v>0</v>
      </c>
      <c r="T139">
        <f t="shared" si="14"/>
        <v>0</v>
      </c>
      <c r="U139">
        <f>Tabla1[[#This Row],[HORAS NO AFINIDAD]]+Tabla1[[#This Row],[HORAS UNIDAD BASICA]]+Tabla1[[#This Row],[HORAS AFINIDAD]]</f>
        <v>0</v>
      </c>
      <c r="V139">
        <f>+Tabla1[[#This Row],[HORAS AFINIDAD]]+Tabla1[[#This Row],[HORAS ACTIVIDAD]]+Tabla1[[#This Row],[HORAS UNIDAD BASICA]]+Tabla1[[#This Row],[HORAS NO AFINIDAD]]</f>
        <v>0</v>
      </c>
    </row>
    <row r="140" spans="1:22" ht="18.75" customHeight="1">
      <c r="A140">
        <v>139</v>
      </c>
      <c r="C140" t="str">
        <f>_xlfn.XLOOKUP(Tabla1[[#This Row],[CARRERA]],MAE_CARRERA[NOMBRE_CARRERA],MAE_CARRERA[ID_CARRERA],"Seleccione Carrera")</f>
        <v>Seleccione Carrera</v>
      </c>
      <c r="F140" s="1"/>
      <c r="G140" t="str">
        <f>_xlfn.XLOOKUP(Tabla1[[#This Row],[ASIGNATURA]],MAE_ASIGNATURA[NOM_ASIG],MAE_ASIGNATURA[ID_ASIG],"Seleccione Asignatura")</f>
        <v>Seleccione Asignatura</v>
      </c>
      <c r="H140" s="1" t="str" cm="1">
        <f t="array" ref="H140">_xlfn.TEXTJOIN("; ",TRUE,TRANSPOSE(_xlfn.UNIQUE(_xlfn._xlws.FILTER(DET_ASIG[DETALLADO],(DET_ASIG[NIVEL]=ASIGNACION!$D140)*(DET_ASIG[ID_CARRERA]=ASIGNACION!$C140)*(DET_ASIG[ID_ASIG]=ASIGNACION!$G140),"No existe información"))))</f>
        <v>No existe información</v>
      </c>
      <c r="I140" s="1"/>
      <c r="J140">
        <f>_xlfn.XLOOKUP(Tabla1[[#This Row],[ID_ASIG_CAM_DET]],MAE_ASIGNATURA[ID_ASIG],MAE_ASIGNATURA[HORAS],0)</f>
        <v>0</v>
      </c>
      <c r="K140">
        <v>4</v>
      </c>
      <c r="L140" s="2">
        <f>+Tabla1[[#This Row],[CALCULAR HORA]]*Tabla1[[#This Row],[HORAS]]</f>
        <v>0</v>
      </c>
      <c r="N140" t="str">
        <f>_xlfn.XLOOKUP(Tabla1[[#This Row],[NOMBRE_DOCENT]],MDOCENTES[DATOS_DOCENTE],MDOCENTES[DEDICACION],"Seleccione Docente")</f>
        <v>Seleccione Docente</v>
      </c>
      <c r="O140" t="str">
        <f>_xlfn.XLOOKUP(Tabla1[[#This Row],[NOMBRE_DOCENT]],MDOCENTES[DATOS_DOCENTE],MDOCENTES[ESTUDIO],"Seleccione Docente")</f>
        <v>Seleccione Docente</v>
      </c>
      <c r="P140">
        <f t="shared" si="10"/>
        <v>0</v>
      </c>
      <c r="Q140">
        <f t="shared" si="11"/>
        <v>0</v>
      </c>
      <c r="R140">
        <f t="shared" si="12"/>
        <v>0</v>
      </c>
      <c r="S140">
        <f t="shared" si="13"/>
        <v>0</v>
      </c>
      <c r="T140">
        <f t="shared" si="14"/>
        <v>0</v>
      </c>
      <c r="U140">
        <f>Tabla1[[#This Row],[HORAS NO AFINIDAD]]+Tabla1[[#This Row],[HORAS UNIDAD BASICA]]+Tabla1[[#This Row],[HORAS AFINIDAD]]</f>
        <v>0</v>
      </c>
      <c r="V140">
        <f>+Tabla1[[#This Row],[HORAS AFINIDAD]]+Tabla1[[#This Row],[HORAS ACTIVIDAD]]+Tabla1[[#This Row],[HORAS UNIDAD BASICA]]+Tabla1[[#This Row],[HORAS NO AFINIDAD]]</f>
        <v>0</v>
      </c>
    </row>
    <row r="141" spans="1:22" ht="18.75" customHeight="1">
      <c r="A141">
        <v>140</v>
      </c>
      <c r="C141" t="str">
        <f>_xlfn.XLOOKUP(Tabla1[[#This Row],[CARRERA]],MAE_CARRERA[NOMBRE_CARRERA],MAE_CARRERA[ID_CARRERA],"Seleccione Carrera")</f>
        <v>Seleccione Carrera</v>
      </c>
      <c r="F141" s="1"/>
      <c r="G141" t="str">
        <f>_xlfn.XLOOKUP(Tabla1[[#This Row],[ASIGNATURA]],MAE_ASIGNATURA[NOM_ASIG],MAE_ASIGNATURA[ID_ASIG],"Seleccione Asignatura")</f>
        <v>Seleccione Asignatura</v>
      </c>
      <c r="H141" s="1" t="str" cm="1">
        <f t="array" ref="H141">_xlfn.TEXTJOIN("; ",TRUE,TRANSPOSE(_xlfn.UNIQUE(_xlfn._xlws.FILTER(DET_ASIG[DETALLADO],(DET_ASIG[NIVEL]=ASIGNACION!$D141)*(DET_ASIG[ID_CARRERA]=ASIGNACION!$C141)*(DET_ASIG[ID_ASIG]=ASIGNACION!$G141),"No existe información"))))</f>
        <v>No existe información</v>
      </c>
      <c r="I141" s="1"/>
      <c r="J141">
        <f>_xlfn.XLOOKUP(Tabla1[[#This Row],[ID_ASIG_CAM_DET]],MAE_ASIGNATURA[ID_ASIG],MAE_ASIGNATURA[HORAS],0)</f>
        <v>0</v>
      </c>
      <c r="K141">
        <v>4</v>
      </c>
      <c r="L141" s="2">
        <f>+Tabla1[[#This Row],[CALCULAR HORA]]*Tabla1[[#This Row],[HORAS]]</f>
        <v>0</v>
      </c>
      <c r="N141" t="str">
        <f>_xlfn.XLOOKUP(Tabla1[[#This Row],[NOMBRE_DOCENT]],MDOCENTES[DATOS_DOCENTE],MDOCENTES[DEDICACION],"Seleccione Docente")</f>
        <v>Seleccione Docente</v>
      </c>
      <c r="O141" t="str">
        <f>_xlfn.XLOOKUP(Tabla1[[#This Row],[NOMBRE_DOCENT]],MDOCENTES[DATOS_DOCENTE],MDOCENTES[ESTUDIO],"Seleccione Docente")</f>
        <v>Seleccione Docente</v>
      </c>
      <c r="P141">
        <f t="shared" si="10"/>
        <v>0</v>
      </c>
      <c r="Q141">
        <f t="shared" si="11"/>
        <v>0</v>
      </c>
      <c r="R141">
        <f t="shared" si="12"/>
        <v>0</v>
      </c>
      <c r="S141">
        <f t="shared" si="13"/>
        <v>0</v>
      </c>
      <c r="T141">
        <f t="shared" si="14"/>
        <v>0</v>
      </c>
      <c r="U141">
        <f>Tabla1[[#This Row],[HORAS NO AFINIDAD]]+Tabla1[[#This Row],[HORAS UNIDAD BASICA]]+Tabla1[[#This Row],[HORAS AFINIDAD]]</f>
        <v>0</v>
      </c>
      <c r="V141">
        <f>+Tabla1[[#This Row],[HORAS AFINIDAD]]+Tabla1[[#This Row],[HORAS ACTIVIDAD]]+Tabla1[[#This Row],[HORAS UNIDAD BASICA]]+Tabla1[[#This Row],[HORAS NO AFINIDAD]]</f>
        <v>0</v>
      </c>
    </row>
    <row r="142" spans="1:22" ht="18.75" customHeight="1">
      <c r="A142">
        <v>141</v>
      </c>
      <c r="C142" t="str">
        <f>_xlfn.XLOOKUP(Tabla1[[#This Row],[CARRERA]],MAE_CARRERA[NOMBRE_CARRERA],MAE_CARRERA[ID_CARRERA],"Seleccione Carrera")</f>
        <v>Seleccione Carrera</v>
      </c>
      <c r="F142" s="1"/>
      <c r="G142" t="str">
        <f>_xlfn.XLOOKUP(Tabla1[[#This Row],[ASIGNATURA]],MAE_ASIGNATURA[NOM_ASIG],MAE_ASIGNATURA[ID_ASIG],"Seleccione Asignatura")</f>
        <v>Seleccione Asignatura</v>
      </c>
      <c r="H142" s="1" t="str" cm="1">
        <f t="array" ref="H142">_xlfn.TEXTJOIN("; ",TRUE,TRANSPOSE(_xlfn.UNIQUE(_xlfn._xlws.FILTER(DET_ASIG[DETALLADO],(DET_ASIG[NIVEL]=ASIGNACION!$D142)*(DET_ASIG[ID_CARRERA]=ASIGNACION!$C142)*(DET_ASIG[ID_ASIG]=ASIGNACION!$G142),"No existe información"))))</f>
        <v>No existe información</v>
      </c>
      <c r="I142" s="1"/>
      <c r="J142">
        <f>_xlfn.XLOOKUP(Tabla1[[#This Row],[ID_ASIG_CAM_DET]],MAE_ASIGNATURA[ID_ASIG],MAE_ASIGNATURA[HORAS],0)</f>
        <v>0</v>
      </c>
      <c r="K142">
        <v>4</v>
      </c>
      <c r="L142" s="2">
        <f>+Tabla1[[#This Row],[CALCULAR HORA]]*Tabla1[[#This Row],[HORAS]]</f>
        <v>0</v>
      </c>
      <c r="N142" t="str">
        <f>_xlfn.XLOOKUP(Tabla1[[#This Row],[NOMBRE_DOCENT]],MDOCENTES[DATOS_DOCENTE],MDOCENTES[DEDICACION],"Seleccione Docente")</f>
        <v>Seleccione Docente</v>
      </c>
      <c r="O142" t="str">
        <f>_xlfn.XLOOKUP(Tabla1[[#This Row],[NOMBRE_DOCENT]],MDOCENTES[DATOS_DOCENTE],MDOCENTES[ESTUDIO],"Seleccione Docente")</f>
        <v>Seleccione Docente</v>
      </c>
      <c r="P142">
        <f t="shared" si="10"/>
        <v>0</v>
      </c>
      <c r="Q142">
        <f t="shared" si="11"/>
        <v>0</v>
      </c>
      <c r="R142">
        <f t="shared" si="12"/>
        <v>0</v>
      </c>
      <c r="S142">
        <f t="shared" si="13"/>
        <v>0</v>
      </c>
      <c r="T142">
        <f t="shared" si="14"/>
        <v>0</v>
      </c>
      <c r="U142">
        <f>Tabla1[[#This Row],[HORAS NO AFINIDAD]]+Tabla1[[#This Row],[HORAS UNIDAD BASICA]]+Tabla1[[#This Row],[HORAS AFINIDAD]]</f>
        <v>0</v>
      </c>
      <c r="V142">
        <f>+Tabla1[[#This Row],[HORAS AFINIDAD]]+Tabla1[[#This Row],[HORAS ACTIVIDAD]]+Tabla1[[#This Row],[HORAS UNIDAD BASICA]]+Tabla1[[#This Row],[HORAS NO AFINIDAD]]</f>
        <v>0</v>
      </c>
    </row>
    <row r="143" spans="1:22" ht="18.75" customHeight="1">
      <c r="A143">
        <v>142</v>
      </c>
      <c r="C143" t="str">
        <f>_xlfn.XLOOKUP(Tabla1[[#This Row],[CARRERA]],MAE_CARRERA[NOMBRE_CARRERA],MAE_CARRERA[ID_CARRERA],"Seleccione Carrera")</f>
        <v>Seleccione Carrera</v>
      </c>
      <c r="F143" s="1"/>
      <c r="G143" t="str">
        <f>_xlfn.XLOOKUP(Tabla1[[#This Row],[ASIGNATURA]],MAE_ASIGNATURA[NOM_ASIG],MAE_ASIGNATURA[ID_ASIG],"Seleccione Asignatura")</f>
        <v>Seleccione Asignatura</v>
      </c>
      <c r="H143" s="1" t="str" cm="1">
        <f t="array" ref="H143">_xlfn.TEXTJOIN("; ",TRUE,TRANSPOSE(_xlfn.UNIQUE(_xlfn._xlws.FILTER(DET_ASIG[DETALLADO],(DET_ASIG[NIVEL]=ASIGNACION!$D143)*(DET_ASIG[ID_CARRERA]=ASIGNACION!$C143)*(DET_ASIG[ID_ASIG]=ASIGNACION!$G143),"No existe información"))))</f>
        <v>No existe información</v>
      </c>
      <c r="I143" s="1"/>
      <c r="J143">
        <f>_xlfn.XLOOKUP(Tabla1[[#This Row],[ID_ASIG_CAM_DET]],MAE_ASIGNATURA[ID_ASIG],MAE_ASIGNATURA[HORAS],0)</f>
        <v>0</v>
      </c>
      <c r="K143">
        <v>4</v>
      </c>
      <c r="L143" s="2">
        <f>+Tabla1[[#This Row],[CALCULAR HORA]]*Tabla1[[#This Row],[HORAS]]</f>
        <v>0</v>
      </c>
      <c r="N143" t="str">
        <f>_xlfn.XLOOKUP(Tabla1[[#This Row],[NOMBRE_DOCENT]],MDOCENTES[DATOS_DOCENTE],MDOCENTES[DEDICACION],"Seleccione Docente")</f>
        <v>Seleccione Docente</v>
      </c>
      <c r="O143" t="str">
        <f>_xlfn.XLOOKUP(Tabla1[[#This Row],[NOMBRE_DOCENT]],MDOCENTES[DATOS_DOCENTE],MDOCENTES[ESTUDIO],"Seleccione Docente")</f>
        <v>Seleccione Docente</v>
      </c>
      <c r="P143">
        <f t="shared" si="10"/>
        <v>0</v>
      </c>
      <c r="Q143">
        <f t="shared" si="11"/>
        <v>0</v>
      </c>
      <c r="R143">
        <f t="shared" si="12"/>
        <v>0</v>
      </c>
      <c r="S143">
        <f t="shared" si="13"/>
        <v>0</v>
      </c>
      <c r="T143">
        <f t="shared" si="14"/>
        <v>0</v>
      </c>
      <c r="U143">
        <f>Tabla1[[#This Row],[HORAS NO AFINIDAD]]+Tabla1[[#This Row],[HORAS UNIDAD BASICA]]+Tabla1[[#This Row],[HORAS AFINIDAD]]</f>
        <v>0</v>
      </c>
      <c r="V143">
        <f>+Tabla1[[#This Row],[HORAS AFINIDAD]]+Tabla1[[#This Row],[HORAS ACTIVIDAD]]+Tabla1[[#This Row],[HORAS UNIDAD BASICA]]+Tabla1[[#This Row],[HORAS NO AFINIDAD]]</f>
        <v>0</v>
      </c>
    </row>
    <row r="144" spans="1:22" ht="18.75" customHeight="1">
      <c r="A144">
        <v>143</v>
      </c>
      <c r="C144" t="str">
        <f>_xlfn.XLOOKUP(Tabla1[[#This Row],[CARRERA]],MAE_CARRERA[NOMBRE_CARRERA],MAE_CARRERA[ID_CARRERA],"Seleccione Carrera")</f>
        <v>Seleccione Carrera</v>
      </c>
      <c r="F144" s="1"/>
      <c r="G144" t="str">
        <f>_xlfn.XLOOKUP(Tabla1[[#This Row],[ASIGNATURA]],MAE_ASIGNATURA[NOM_ASIG],MAE_ASIGNATURA[ID_ASIG],"Seleccione Asignatura")</f>
        <v>Seleccione Asignatura</v>
      </c>
      <c r="H144" s="1" t="str" cm="1">
        <f t="array" ref="H144">_xlfn.TEXTJOIN("; ",TRUE,TRANSPOSE(_xlfn.UNIQUE(_xlfn._xlws.FILTER(DET_ASIG[DETALLADO],(DET_ASIG[NIVEL]=ASIGNACION!$D144)*(DET_ASIG[ID_CARRERA]=ASIGNACION!$C144)*(DET_ASIG[ID_ASIG]=ASIGNACION!$G144),"No existe información"))))</f>
        <v>No existe información</v>
      </c>
      <c r="I144" s="1"/>
      <c r="J144">
        <f>_xlfn.XLOOKUP(Tabla1[[#This Row],[ID_ASIG_CAM_DET]],MAE_ASIGNATURA[ID_ASIG],MAE_ASIGNATURA[HORAS],0)</f>
        <v>0</v>
      </c>
      <c r="K144">
        <v>4</v>
      </c>
      <c r="L144" s="2">
        <f>+Tabla1[[#This Row],[CALCULAR HORA]]*Tabla1[[#This Row],[HORAS]]</f>
        <v>0</v>
      </c>
      <c r="N144" t="str">
        <f>_xlfn.XLOOKUP(Tabla1[[#This Row],[NOMBRE_DOCENT]],MDOCENTES[DATOS_DOCENTE],MDOCENTES[DEDICACION],"Seleccione Docente")</f>
        <v>Seleccione Docente</v>
      </c>
      <c r="O144" t="str">
        <f>_xlfn.XLOOKUP(Tabla1[[#This Row],[NOMBRE_DOCENT]],MDOCENTES[DATOS_DOCENTE],MDOCENTES[ESTUDIO],"Seleccione Docente")</f>
        <v>Seleccione Docente</v>
      </c>
      <c r="P144">
        <f t="shared" si="10"/>
        <v>0</v>
      </c>
      <c r="Q144">
        <f t="shared" si="11"/>
        <v>0</v>
      </c>
      <c r="R144">
        <f t="shared" si="12"/>
        <v>0</v>
      </c>
      <c r="S144">
        <f t="shared" si="13"/>
        <v>0</v>
      </c>
      <c r="T144">
        <f t="shared" si="14"/>
        <v>0</v>
      </c>
      <c r="U144">
        <f>Tabla1[[#This Row],[HORAS NO AFINIDAD]]+Tabla1[[#This Row],[HORAS UNIDAD BASICA]]+Tabla1[[#This Row],[HORAS AFINIDAD]]</f>
        <v>0</v>
      </c>
      <c r="V144">
        <f>+Tabla1[[#This Row],[HORAS AFINIDAD]]+Tabla1[[#This Row],[HORAS ACTIVIDAD]]+Tabla1[[#This Row],[HORAS UNIDAD BASICA]]+Tabla1[[#This Row],[HORAS NO AFINIDAD]]</f>
        <v>0</v>
      </c>
    </row>
    <row r="145" spans="1:22" ht="18.75" customHeight="1">
      <c r="A145">
        <v>144</v>
      </c>
      <c r="C145" t="str">
        <f>_xlfn.XLOOKUP(Tabla1[[#This Row],[CARRERA]],MAE_CARRERA[NOMBRE_CARRERA],MAE_CARRERA[ID_CARRERA],"Seleccione Carrera")</f>
        <v>Seleccione Carrera</v>
      </c>
      <c r="F145" s="1"/>
      <c r="G145" t="str">
        <f>_xlfn.XLOOKUP(Tabla1[[#This Row],[ASIGNATURA]],MAE_ASIGNATURA[NOM_ASIG],MAE_ASIGNATURA[ID_ASIG],"Seleccione Asignatura")</f>
        <v>Seleccione Asignatura</v>
      </c>
      <c r="H145" s="1" t="str" cm="1">
        <f t="array" ref="H145">_xlfn.TEXTJOIN("; ",TRUE,TRANSPOSE(_xlfn.UNIQUE(_xlfn._xlws.FILTER(DET_ASIG[DETALLADO],(DET_ASIG[NIVEL]=ASIGNACION!$D145)*(DET_ASIG[ID_CARRERA]=ASIGNACION!$C145)*(DET_ASIG[ID_ASIG]=ASIGNACION!$G145),"No existe información"))))</f>
        <v>No existe información</v>
      </c>
      <c r="I145" s="1"/>
      <c r="J145">
        <f>_xlfn.XLOOKUP(Tabla1[[#This Row],[ID_ASIG_CAM_DET]],MAE_ASIGNATURA[ID_ASIG],MAE_ASIGNATURA[HORAS],0)</f>
        <v>0</v>
      </c>
      <c r="K145">
        <v>4</v>
      </c>
      <c r="L145" s="2">
        <f>+Tabla1[[#This Row],[CALCULAR HORA]]*Tabla1[[#This Row],[HORAS]]</f>
        <v>0</v>
      </c>
      <c r="N145" t="str">
        <f>_xlfn.XLOOKUP(Tabla1[[#This Row],[NOMBRE_DOCENT]],MDOCENTES[DATOS_DOCENTE],MDOCENTES[DEDICACION],"Seleccione Docente")</f>
        <v>Seleccione Docente</v>
      </c>
      <c r="O145" t="str">
        <f>_xlfn.XLOOKUP(Tabla1[[#This Row],[NOMBRE_DOCENT]],MDOCENTES[DATOS_DOCENTE],MDOCENTES[ESTUDIO],"Seleccione Docente")</f>
        <v>Seleccione Docente</v>
      </c>
      <c r="P145">
        <f t="shared" si="10"/>
        <v>0</v>
      </c>
      <c r="Q145">
        <f t="shared" si="11"/>
        <v>0</v>
      </c>
      <c r="R145">
        <f t="shared" si="12"/>
        <v>0</v>
      </c>
      <c r="S145">
        <f t="shared" si="13"/>
        <v>0</v>
      </c>
      <c r="T145">
        <f t="shared" si="14"/>
        <v>0</v>
      </c>
      <c r="U145">
        <f>Tabla1[[#This Row],[HORAS NO AFINIDAD]]+Tabla1[[#This Row],[HORAS UNIDAD BASICA]]+Tabla1[[#This Row],[HORAS AFINIDAD]]</f>
        <v>0</v>
      </c>
      <c r="V145">
        <f>+Tabla1[[#This Row],[HORAS AFINIDAD]]+Tabla1[[#This Row],[HORAS ACTIVIDAD]]+Tabla1[[#This Row],[HORAS UNIDAD BASICA]]+Tabla1[[#This Row],[HORAS NO AFINIDAD]]</f>
        <v>0</v>
      </c>
    </row>
    <row r="146" spans="1:22" ht="18.75" customHeight="1">
      <c r="A146">
        <v>145</v>
      </c>
      <c r="C146" t="str">
        <f>_xlfn.XLOOKUP(Tabla1[[#This Row],[CARRERA]],MAE_CARRERA[NOMBRE_CARRERA],MAE_CARRERA[ID_CARRERA],"Seleccione Carrera")</f>
        <v>Seleccione Carrera</v>
      </c>
      <c r="F146" s="1"/>
      <c r="G146" t="str">
        <f>_xlfn.XLOOKUP(Tabla1[[#This Row],[ASIGNATURA]],MAE_ASIGNATURA[NOM_ASIG],MAE_ASIGNATURA[ID_ASIG],"Seleccione Asignatura")</f>
        <v>Seleccione Asignatura</v>
      </c>
      <c r="H146" s="1" t="str" cm="1">
        <f t="array" ref="H146">_xlfn.TEXTJOIN("; ",TRUE,TRANSPOSE(_xlfn.UNIQUE(_xlfn._xlws.FILTER(DET_ASIG[DETALLADO],(DET_ASIG[NIVEL]=ASIGNACION!$D146)*(DET_ASIG[ID_CARRERA]=ASIGNACION!$C146)*(DET_ASIG[ID_ASIG]=ASIGNACION!$G146),"No existe información"))))</f>
        <v>No existe información</v>
      </c>
      <c r="I146" s="1"/>
      <c r="J146">
        <f>_xlfn.XLOOKUP(Tabla1[[#This Row],[ID_ASIG_CAM_DET]],MAE_ASIGNATURA[ID_ASIG],MAE_ASIGNATURA[HORAS],0)</f>
        <v>0</v>
      </c>
      <c r="K146">
        <v>4</v>
      </c>
      <c r="L146" s="2">
        <f>+Tabla1[[#This Row],[CALCULAR HORA]]*Tabla1[[#This Row],[HORAS]]</f>
        <v>0</v>
      </c>
      <c r="N146" t="str">
        <f>_xlfn.XLOOKUP(Tabla1[[#This Row],[NOMBRE_DOCENT]],MDOCENTES[DATOS_DOCENTE],MDOCENTES[DEDICACION],"Seleccione Docente")</f>
        <v>Seleccione Docente</v>
      </c>
      <c r="O146" t="str">
        <f>_xlfn.XLOOKUP(Tabla1[[#This Row],[NOMBRE_DOCENT]],MDOCENTES[DATOS_DOCENTE],MDOCENTES[ESTUDIO],"Seleccione Docente")</f>
        <v>Seleccione Docente</v>
      </c>
      <c r="P146">
        <f t="shared" si="10"/>
        <v>0</v>
      </c>
      <c r="Q146">
        <f t="shared" si="11"/>
        <v>0</v>
      </c>
      <c r="R146">
        <f t="shared" si="12"/>
        <v>0</v>
      </c>
      <c r="S146">
        <f t="shared" si="13"/>
        <v>0</v>
      </c>
      <c r="T146">
        <f t="shared" si="14"/>
        <v>0</v>
      </c>
      <c r="U146">
        <f>Tabla1[[#This Row],[HORAS NO AFINIDAD]]+Tabla1[[#This Row],[HORAS UNIDAD BASICA]]+Tabla1[[#This Row],[HORAS AFINIDAD]]</f>
        <v>0</v>
      </c>
      <c r="V146">
        <f>+Tabla1[[#This Row],[HORAS AFINIDAD]]+Tabla1[[#This Row],[HORAS ACTIVIDAD]]+Tabla1[[#This Row],[HORAS UNIDAD BASICA]]+Tabla1[[#This Row],[HORAS NO AFINIDAD]]</f>
        <v>0</v>
      </c>
    </row>
    <row r="147" spans="1:22" ht="18.75" customHeight="1">
      <c r="A147">
        <v>146</v>
      </c>
      <c r="C147" t="str">
        <f>_xlfn.XLOOKUP(Tabla1[[#This Row],[CARRERA]],MAE_CARRERA[NOMBRE_CARRERA],MAE_CARRERA[ID_CARRERA],"Seleccione Carrera")</f>
        <v>Seleccione Carrera</v>
      </c>
      <c r="F147" s="1"/>
      <c r="G147" t="str">
        <f>_xlfn.XLOOKUP(Tabla1[[#This Row],[ASIGNATURA]],MAE_ASIGNATURA[NOM_ASIG],MAE_ASIGNATURA[ID_ASIG],"Seleccione Asignatura")</f>
        <v>Seleccione Asignatura</v>
      </c>
      <c r="H147" s="1" t="str" cm="1">
        <f t="array" ref="H147">_xlfn.TEXTJOIN("; ",TRUE,TRANSPOSE(_xlfn.UNIQUE(_xlfn._xlws.FILTER(DET_ASIG[DETALLADO],(DET_ASIG[NIVEL]=ASIGNACION!$D147)*(DET_ASIG[ID_CARRERA]=ASIGNACION!$C147)*(DET_ASIG[ID_ASIG]=ASIGNACION!$G147),"No existe información"))))</f>
        <v>No existe información</v>
      </c>
      <c r="I147" s="1"/>
      <c r="J147">
        <f>_xlfn.XLOOKUP(Tabla1[[#This Row],[ID_ASIG_CAM_DET]],MAE_ASIGNATURA[ID_ASIG],MAE_ASIGNATURA[HORAS],0)</f>
        <v>0</v>
      </c>
      <c r="K147">
        <v>4</v>
      </c>
      <c r="L147" s="2">
        <f>+Tabla1[[#This Row],[CALCULAR HORA]]*Tabla1[[#This Row],[HORAS]]</f>
        <v>0</v>
      </c>
      <c r="N147" t="str">
        <f>_xlfn.XLOOKUP(Tabla1[[#This Row],[NOMBRE_DOCENT]],MDOCENTES[DATOS_DOCENTE],MDOCENTES[DEDICACION],"Seleccione Docente")</f>
        <v>Seleccione Docente</v>
      </c>
      <c r="O147" t="str">
        <f>_xlfn.XLOOKUP(Tabla1[[#This Row],[NOMBRE_DOCENT]],MDOCENTES[DATOS_DOCENTE],MDOCENTES[ESTUDIO],"Seleccione Docente")</f>
        <v>Seleccione Docente</v>
      </c>
      <c r="P147">
        <f t="shared" si="10"/>
        <v>0</v>
      </c>
      <c r="Q147">
        <f t="shared" si="11"/>
        <v>0</v>
      </c>
      <c r="R147">
        <f t="shared" si="12"/>
        <v>0</v>
      </c>
      <c r="S147">
        <f t="shared" si="13"/>
        <v>0</v>
      </c>
      <c r="T147">
        <f t="shared" si="14"/>
        <v>0</v>
      </c>
      <c r="U147">
        <f>Tabla1[[#This Row],[HORAS NO AFINIDAD]]+Tabla1[[#This Row],[HORAS UNIDAD BASICA]]+Tabla1[[#This Row],[HORAS AFINIDAD]]</f>
        <v>0</v>
      </c>
      <c r="V147">
        <f>+Tabla1[[#This Row],[HORAS AFINIDAD]]+Tabla1[[#This Row],[HORAS ACTIVIDAD]]+Tabla1[[#This Row],[HORAS UNIDAD BASICA]]+Tabla1[[#This Row],[HORAS NO AFINIDAD]]</f>
        <v>0</v>
      </c>
    </row>
    <row r="148" spans="1:22" ht="18.75" customHeight="1">
      <c r="A148">
        <v>147</v>
      </c>
      <c r="C148" t="str">
        <f>_xlfn.XLOOKUP(Tabla1[[#This Row],[CARRERA]],MAE_CARRERA[NOMBRE_CARRERA],MAE_CARRERA[ID_CARRERA],"Seleccione Carrera")</f>
        <v>Seleccione Carrera</v>
      </c>
      <c r="F148" s="1"/>
      <c r="G148" t="str">
        <f>_xlfn.XLOOKUP(Tabla1[[#This Row],[ASIGNATURA]],MAE_ASIGNATURA[NOM_ASIG],MAE_ASIGNATURA[ID_ASIG],"Seleccione Asignatura")</f>
        <v>Seleccione Asignatura</v>
      </c>
      <c r="H148" s="1" t="str" cm="1">
        <f t="array" ref="H148">_xlfn.TEXTJOIN("; ",TRUE,TRANSPOSE(_xlfn.UNIQUE(_xlfn._xlws.FILTER(DET_ASIG[DETALLADO],(DET_ASIG[NIVEL]=ASIGNACION!$D148)*(DET_ASIG[ID_CARRERA]=ASIGNACION!$C148)*(DET_ASIG[ID_ASIG]=ASIGNACION!$G148),"No existe información"))))</f>
        <v>No existe información</v>
      </c>
      <c r="I148" s="1"/>
      <c r="J148">
        <f>_xlfn.XLOOKUP(Tabla1[[#This Row],[ID_ASIG_CAM_DET]],MAE_ASIGNATURA[ID_ASIG],MAE_ASIGNATURA[HORAS],0)</f>
        <v>0</v>
      </c>
      <c r="K148">
        <v>4</v>
      </c>
      <c r="L148" s="2">
        <f>+Tabla1[[#This Row],[CALCULAR HORA]]*Tabla1[[#This Row],[HORAS]]</f>
        <v>0</v>
      </c>
      <c r="N148" t="str">
        <f>_xlfn.XLOOKUP(Tabla1[[#This Row],[NOMBRE_DOCENT]],MDOCENTES[DATOS_DOCENTE],MDOCENTES[DEDICACION],"Seleccione Docente")</f>
        <v>Seleccione Docente</v>
      </c>
      <c r="O148" t="str">
        <f>_xlfn.XLOOKUP(Tabla1[[#This Row],[NOMBRE_DOCENT]],MDOCENTES[DATOS_DOCENTE],MDOCENTES[ESTUDIO],"Seleccione Docente")</f>
        <v>Seleccione Docente</v>
      </c>
      <c r="P148">
        <f t="shared" si="10"/>
        <v>0</v>
      </c>
      <c r="Q148">
        <f t="shared" si="11"/>
        <v>0</v>
      </c>
      <c r="R148">
        <f t="shared" si="12"/>
        <v>0</v>
      </c>
      <c r="S148">
        <f t="shared" si="13"/>
        <v>0</v>
      </c>
      <c r="T148">
        <f t="shared" si="14"/>
        <v>0</v>
      </c>
      <c r="U148">
        <f>Tabla1[[#This Row],[HORAS NO AFINIDAD]]+Tabla1[[#This Row],[HORAS UNIDAD BASICA]]+Tabla1[[#This Row],[HORAS AFINIDAD]]</f>
        <v>0</v>
      </c>
      <c r="V148">
        <f>+Tabla1[[#This Row],[HORAS AFINIDAD]]+Tabla1[[#This Row],[HORAS ACTIVIDAD]]+Tabla1[[#This Row],[HORAS UNIDAD BASICA]]+Tabla1[[#This Row],[HORAS NO AFINIDAD]]</f>
        <v>0</v>
      </c>
    </row>
    <row r="149" spans="1:22" ht="18.75" customHeight="1">
      <c r="A149">
        <v>148</v>
      </c>
      <c r="C149" t="str">
        <f>_xlfn.XLOOKUP(Tabla1[[#This Row],[CARRERA]],MAE_CARRERA[NOMBRE_CARRERA],MAE_CARRERA[ID_CARRERA],"Seleccione Carrera")</f>
        <v>Seleccione Carrera</v>
      </c>
      <c r="F149" s="1"/>
      <c r="G149" t="str">
        <f>_xlfn.XLOOKUP(Tabla1[[#This Row],[ASIGNATURA]],MAE_ASIGNATURA[NOM_ASIG],MAE_ASIGNATURA[ID_ASIG],"Seleccione Asignatura")</f>
        <v>Seleccione Asignatura</v>
      </c>
      <c r="H149" s="1" t="str" cm="1">
        <f t="array" ref="H149">_xlfn.TEXTJOIN("; ",TRUE,TRANSPOSE(_xlfn.UNIQUE(_xlfn._xlws.FILTER(DET_ASIG[DETALLADO],(DET_ASIG[NIVEL]=ASIGNACION!$D149)*(DET_ASIG[ID_CARRERA]=ASIGNACION!$C149)*(DET_ASIG[ID_ASIG]=ASIGNACION!$G149),"No existe información"))))</f>
        <v>No existe información</v>
      </c>
      <c r="I149" s="1"/>
      <c r="J149">
        <f>_xlfn.XLOOKUP(Tabla1[[#This Row],[ID_ASIG_CAM_DET]],MAE_ASIGNATURA[ID_ASIG],MAE_ASIGNATURA[HORAS],0)</f>
        <v>0</v>
      </c>
      <c r="K149">
        <v>4</v>
      </c>
      <c r="L149" s="2">
        <f>+Tabla1[[#This Row],[CALCULAR HORA]]*Tabla1[[#This Row],[HORAS]]</f>
        <v>0</v>
      </c>
      <c r="N149" t="str">
        <f>_xlfn.XLOOKUP(Tabla1[[#This Row],[NOMBRE_DOCENT]],MDOCENTES[DATOS_DOCENTE],MDOCENTES[DEDICACION],"Seleccione Docente")</f>
        <v>Seleccione Docente</v>
      </c>
      <c r="O149" t="str">
        <f>_xlfn.XLOOKUP(Tabla1[[#This Row],[NOMBRE_DOCENT]],MDOCENTES[DATOS_DOCENTE],MDOCENTES[ESTUDIO],"Seleccione Docente")</f>
        <v>Seleccione Docente</v>
      </c>
      <c r="P149">
        <f t="shared" si="10"/>
        <v>0</v>
      </c>
      <c r="Q149">
        <f t="shared" si="11"/>
        <v>0</v>
      </c>
      <c r="R149">
        <f t="shared" si="12"/>
        <v>0</v>
      </c>
      <c r="S149">
        <f t="shared" si="13"/>
        <v>0</v>
      </c>
      <c r="T149">
        <f t="shared" si="14"/>
        <v>0</v>
      </c>
      <c r="U149">
        <f>Tabla1[[#This Row],[HORAS NO AFINIDAD]]+Tabla1[[#This Row],[HORAS UNIDAD BASICA]]+Tabla1[[#This Row],[HORAS AFINIDAD]]</f>
        <v>0</v>
      </c>
      <c r="V149">
        <f>+Tabla1[[#This Row],[HORAS AFINIDAD]]+Tabla1[[#This Row],[HORAS ACTIVIDAD]]+Tabla1[[#This Row],[HORAS UNIDAD BASICA]]+Tabla1[[#This Row],[HORAS NO AFINIDAD]]</f>
        <v>0</v>
      </c>
    </row>
    <row r="150" spans="1:22" ht="18.75" customHeight="1">
      <c r="A150">
        <v>149</v>
      </c>
      <c r="C150" t="str">
        <f>_xlfn.XLOOKUP(Tabla1[[#This Row],[CARRERA]],MAE_CARRERA[NOMBRE_CARRERA],MAE_CARRERA[ID_CARRERA],"Seleccione Carrera")</f>
        <v>Seleccione Carrera</v>
      </c>
      <c r="F150" s="1"/>
      <c r="G150" t="str">
        <f>_xlfn.XLOOKUP(Tabla1[[#This Row],[ASIGNATURA]],MAE_ASIGNATURA[NOM_ASIG],MAE_ASIGNATURA[ID_ASIG],"Seleccione Asignatura")</f>
        <v>Seleccione Asignatura</v>
      </c>
      <c r="H150" s="1" t="str" cm="1">
        <f t="array" ref="H150">_xlfn.TEXTJOIN("; ",TRUE,TRANSPOSE(_xlfn.UNIQUE(_xlfn._xlws.FILTER(DET_ASIG[DETALLADO],(DET_ASIG[NIVEL]=ASIGNACION!$D150)*(DET_ASIG[ID_CARRERA]=ASIGNACION!$C150)*(DET_ASIG[ID_ASIG]=ASIGNACION!$G150),"No existe información"))))</f>
        <v>No existe información</v>
      </c>
      <c r="I150" s="1"/>
      <c r="J150">
        <f>_xlfn.XLOOKUP(Tabla1[[#This Row],[ID_ASIG_CAM_DET]],MAE_ASIGNATURA[ID_ASIG],MAE_ASIGNATURA[HORAS],0)</f>
        <v>0</v>
      </c>
      <c r="K150">
        <v>4</v>
      </c>
      <c r="L150" s="2">
        <f>+Tabla1[[#This Row],[CALCULAR HORA]]*Tabla1[[#This Row],[HORAS]]</f>
        <v>0</v>
      </c>
      <c r="N150" t="str">
        <f>_xlfn.XLOOKUP(Tabla1[[#This Row],[NOMBRE_DOCENT]],MDOCENTES[DATOS_DOCENTE],MDOCENTES[DEDICACION],"Seleccione Docente")</f>
        <v>Seleccione Docente</v>
      </c>
      <c r="O150" t="str">
        <f>_xlfn.XLOOKUP(Tabla1[[#This Row],[NOMBRE_DOCENT]],MDOCENTES[DATOS_DOCENTE],MDOCENTES[ESTUDIO],"Seleccione Docente")</f>
        <v>Seleccione Docente</v>
      </c>
      <c r="P150">
        <f t="shared" si="10"/>
        <v>0</v>
      </c>
      <c r="Q150">
        <f t="shared" si="11"/>
        <v>0</v>
      </c>
      <c r="R150">
        <f t="shared" si="12"/>
        <v>0</v>
      </c>
      <c r="S150">
        <f t="shared" si="13"/>
        <v>0</v>
      </c>
      <c r="T150">
        <f t="shared" si="14"/>
        <v>0</v>
      </c>
      <c r="U150">
        <f>Tabla1[[#This Row],[HORAS NO AFINIDAD]]+Tabla1[[#This Row],[HORAS UNIDAD BASICA]]+Tabla1[[#This Row],[HORAS AFINIDAD]]</f>
        <v>0</v>
      </c>
      <c r="V150">
        <f>+Tabla1[[#This Row],[HORAS AFINIDAD]]+Tabla1[[#This Row],[HORAS ACTIVIDAD]]+Tabla1[[#This Row],[HORAS UNIDAD BASICA]]+Tabla1[[#This Row],[HORAS NO AFINIDAD]]</f>
        <v>0</v>
      </c>
    </row>
    <row r="151" spans="1:22" ht="18.75" customHeight="1">
      <c r="A151">
        <v>150</v>
      </c>
      <c r="C151" t="str">
        <f>_xlfn.XLOOKUP(Tabla1[[#This Row],[CARRERA]],MAE_CARRERA[NOMBRE_CARRERA],MAE_CARRERA[ID_CARRERA],"Seleccione Carrera")</f>
        <v>Seleccione Carrera</v>
      </c>
      <c r="F151" s="1"/>
      <c r="G151" t="str">
        <f>_xlfn.XLOOKUP(Tabla1[[#This Row],[ASIGNATURA]],MAE_ASIGNATURA[NOM_ASIG],MAE_ASIGNATURA[ID_ASIG],"Seleccione Asignatura")</f>
        <v>Seleccione Asignatura</v>
      </c>
      <c r="H151" s="1" t="str" cm="1">
        <f t="array" ref="H151">_xlfn.TEXTJOIN("; ",TRUE,TRANSPOSE(_xlfn.UNIQUE(_xlfn._xlws.FILTER(DET_ASIG[DETALLADO],(DET_ASIG[NIVEL]=ASIGNACION!$D151)*(DET_ASIG[ID_CARRERA]=ASIGNACION!$C151)*(DET_ASIG[ID_ASIG]=ASIGNACION!$G151),"No existe información"))))</f>
        <v>No existe información</v>
      </c>
      <c r="I151" s="1"/>
      <c r="J151">
        <f>_xlfn.XLOOKUP(Tabla1[[#This Row],[ID_ASIG_CAM_DET]],MAE_ASIGNATURA[ID_ASIG],MAE_ASIGNATURA[HORAS],0)</f>
        <v>0</v>
      </c>
      <c r="K151">
        <v>4</v>
      </c>
      <c r="L151" s="2">
        <f>+Tabla1[[#This Row],[CALCULAR HORA]]*Tabla1[[#This Row],[HORAS]]</f>
        <v>0</v>
      </c>
      <c r="N151" t="str">
        <f>_xlfn.XLOOKUP(Tabla1[[#This Row],[NOMBRE_DOCENT]],MDOCENTES[DATOS_DOCENTE],MDOCENTES[DEDICACION],"Seleccione Docente")</f>
        <v>Seleccione Docente</v>
      </c>
      <c r="O151" t="str">
        <f>_xlfn.XLOOKUP(Tabla1[[#This Row],[NOMBRE_DOCENT]],MDOCENTES[DATOS_DOCENTE],MDOCENTES[ESTUDIO],"Seleccione Docente")</f>
        <v>Seleccione Docente</v>
      </c>
      <c r="P151">
        <f t="shared" si="10"/>
        <v>0</v>
      </c>
      <c r="Q151">
        <f t="shared" si="11"/>
        <v>0</v>
      </c>
      <c r="R151">
        <f t="shared" si="12"/>
        <v>0</v>
      </c>
      <c r="S151">
        <f t="shared" si="13"/>
        <v>0</v>
      </c>
      <c r="T151">
        <f t="shared" si="14"/>
        <v>0</v>
      </c>
      <c r="U151">
        <f>Tabla1[[#This Row],[HORAS NO AFINIDAD]]+Tabla1[[#This Row],[HORAS UNIDAD BASICA]]+Tabla1[[#This Row],[HORAS AFINIDAD]]</f>
        <v>0</v>
      </c>
      <c r="V151">
        <f>+Tabla1[[#This Row],[HORAS AFINIDAD]]+Tabla1[[#This Row],[HORAS ACTIVIDAD]]+Tabla1[[#This Row],[HORAS UNIDAD BASICA]]+Tabla1[[#This Row],[HORAS NO AFINIDAD]]</f>
        <v>0</v>
      </c>
    </row>
    <row r="152" spans="1:22" ht="18.75" customHeight="1">
      <c r="A152">
        <v>151</v>
      </c>
      <c r="C152" t="str">
        <f>_xlfn.XLOOKUP(Tabla1[[#This Row],[CARRERA]],MAE_CARRERA[NOMBRE_CARRERA],MAE_CARRERA[ID_CARRERA],"Seleccione Carrera")</f>
        <v>Seleccione Carrera</v>
      </c>
      <c r="F152" s="1"/>
      <c r="G152" t="str">
        <f>_xlfn.XLOOKUP(Tabla1[[#This Row],[ASIGNATURA]],MAE_ASIGNATURA[NOM_ASIG],MAE_ASIGNATURA[ID_ASIG],"Seleccione Asignatura")</f>
        <v>Seleccione Asignatura</v>
      </c>
      <c r="H152" s="1" t="str" cm="1">
        <f t="array" ref="H152">_xlfn.TEXTJOIN("; ",TRUE,TRANSPOSE(_xlfn.UNIQUE(_xlfn._xlws.FILTER(DET_ASIG[DETALLADO],(DET_ASIG[NIVEL]=ASIGNACION!$D152)*(DET_ASIG[ID_CARRERA]=ASIGNACION!$C152)*(DET_ASIG[ID_ASIG]=ASIGNACION!$G152),"No existe información"))))</f>
        <v>No existe información</v>
      </c>
      <c r="I152" s="1"/>
      <c r="J152">
        <f>_xlfn.XLOOKUP(Tabla1[[#This Row],[ID_ASIG_CAM_DET]],MAE_ASIGNATURA[ID_ASIG],MAE_ASIGNATURA[HORAS],0)</f>
        <v>0</v>
      </c>
      <c r="K152">
        <v>4</v>
      </c>
      <c r="L152" s="2">
        <f>+Tabla1[[#This Row],[CALCULAR HORA]]*Tabla1[[#This Row],[HORAS]]</f>
        <v>0</v>
      </c>
      <c r="N152" t="str">
        <f>_xlfn.XLOOKUP(Tabla1[[#This Row],[NOMBRE_DOCENT]],MDOCENTES[DATOS_DOCENTE],MDOCENTES[DEDICACION],"Seleccione Docente")</f>
        <v>Seleccione Docente</v>
      </c>
      <c r="O152" t="str">
        <f>_xlfn.XLOOKUP(Tabla1[[#This Row],[NOMBRE_DOCENT]],MDOCENTES[DATOS_DOCENTE],MDOCENTES[ESTUDIO],"Seleccione Docente")</f>
        <v>Seleccione Docente</v>
      </c>
      <c r="P152">
        <f t="shared" si="10"/>
        <v>0</v>
      </c>
      <c r="Q152">
        <f t="shared" si="11"/>
        <v>0</v>
      </c>
      <c r="R152">
        <f t="shared" si="12"/>
        <v>0</v>
      </c>
      <c r="S152">
        <f t="shared" si="13"/>
        <v>0</v>
      </c>
      <c r="T152">
        <f t="shared" si="14"/>
        <v>0</v>
      </c>
      <c r="U152">
        <f>Tabla1[[#This Row],[HORAS NO AFINIDAD]]+Tabla1[[#This Row],[HORAS UNIDAD BASICA]]+Tabla1[[#This Row],[HORAS AFINIDAD]]</f>
        <v>0</v>
      </c>
      <c r="V152">
        <f>+Tabla1[[#This Row],[HORAS AFINIDAD]]+Tabla1[[#This Row],[HORAS ACTIVIDAD]]+Tabla1[[#This Row],[HORAS UNIDAD BASICA]]+Tabla1[[#This Row],[HORAS NO AFINIDAD]]</f>
        <v>0</v>
      </c>
    </row>
    <row r="153" spans="1:22" ht="18.75" customHeight="1">
      <c r="A153">
        <v>152</v>
      </c>
      <c r="C153" t="str">
        <f>_xlfn.XLOOKUP(Tabla1[[#This Row],[CARRERA]],MAE_CARRERA[NOMBRE_CARRERA],MAE_CARRERA[ID_CARRERA],"Seleccione Carrera")</f>
        <v>Seleccione Carrera</v>
      </c>
      <c r="F153" s="1"/>
      <c r="G153" t="str">
        <f>_xlfn.XLOOKUP(Tabla1[[#This Row],[ASIGNATURA]],MAE_ASIGNATURA[NOM_ASIG],MAE_ASIGNATURA[ID_ASIG],"Seleccione Asignatura")</f>
        <v>Seleccione Asignatura</v>
      </c>
      <c r="H153" s="1" t="str" cm="1">
        <f t="array" ref="H153">_xlfn.TEXTJOIN("; ",TRUE,TRANSPOSE(_xlfn.UNIQUE(_xlfn._xlws.FILTER(DET_ASIG[DETALLADO],(DET_ASIG[NIVEL]=ASIGNACION!$D153)*(DET_ASIG[ID_CARRERA]=ASIGNACION!$C153)*(DET_ASIG[ID_ASIG]=ASIGNACION!$G153),"No existe información"))))</f>
        <v>No existe información</v>
      </c>
      <c r="I153" s="1"/>
      <c r="J153">
        <f>_xlfn.XLOOKUP(Tabla1[[#This Row],[ID_ASIG_CAM_DET]],MAE_ASIGNATURA[ID_ASIG],MAE_ASIGNATURA[HORAS],0)</f>
        <v>0</v>
      </c>
      <c r="K153">
        <v>4</v>
      </c>
      <c r="L153" s="2">
        <f>+Tabla1[[#This Row],[CALCULAR HORA]]*Tabla1[[#This Row],[HORAS]]</f>
        <v>0</v>
      </c>
      <c r="N153" t="str">
        <f>_xlfn.XLOOKUP(Tabla1[[#This Row],[NOMBRE_DOCENT]],MDOCENTES[DATOS_DOCENTE],MDOCENTES[DEDICACION],"Seleccione Docente")</f>
        <v>Seleccione Docente</v>
      </c>
      <c r="O153" t="str">
        <f>_xlfn.XLOOKUP(Tabla1[[#This Row],[NOMBRE_DOCENT]],MDOCENTES[DATOS_DOCENTE],MDOCENTES[ESTUDIO],"Seleccione Docente")</f>
        <v>Seleccione Docente</v>
      </c>
      <c r="P153">
        <f t="shared" si="10"/>
        <v>0</v>
      </c>
      <c r="Q153">
        <f t="shared" si="11"/>
        <v>0</v>
      </c>
      <c r="R153">
        <f t="shared" si="12"/>
        <v>0</v>
      </c>
      <c r="S153">
        <f t="shared" si="13"/>
        <v>0</v>
      </c>
      <c r="T153">
        <f t="shared" si="14"/>
        <v>0</v>
      </c>
      <c r="U153">
        <f>Tabla1[[#This Row],[HORAS NO AFINIDAD]]+Tabla1[[#This Row],[HORAS UNIDAD BASICA]]+Tabla1[[#This Row],[HORAS AFINIDAD]]</f>
        <v>0</v>
      </c>
      <c r="V153">
        <f>+Tabla1[[#This Row],[HORAS AFINIDAD]]+Tabla1[[#This Row],[HORAS ACTIVIDAD]]+Tabla1[[#This Row],[HORAS UNIDAD BASICA]]+Tabla1[[#This Row],[HORAS NO AFINIDAD]]</f>
        <v>0</v>
      </c>
    </row>
    <row r="154" spans="1:22" ht="18.75" customHeight="1">
      <c r="A154">
        <v>153</v>
      </c>
      <c r="C154" t="str">
        <f>_xlfn.XLOOKUP(Tabla1[[#This Row],[CARRERA]],MAE_CARRERA[NOMBRE_CARRERA],MAE_CARRERA[ID_CARRERA],"Seleccione Carrera")</f>
        <v>Seleccione Carrera</v>
      </c>
      <c r="F154" s="1"/>
      <c r="G154" t="str">
        <f>_xlfn.XLOOKUP(Tabla1[[#This Row],[ASIGNATURA]],MAE_ASIGNATURA[NOM_ASIG],MAE_ASIGNATURA[ID_ASIG],"Seleccione Asignatura")</f>
        <v>Seleccione Asignatura</v>
      </c>
      <c r="H154" s="1" t="str" cm="1">
        <f t="array" ref="H154">_xlfn.TEXTJOIN("; ",TRUE,TRANSPOSE(_xlfn.UNIQUE(_xlfn._xlws.FILTER(DET_ASIG[DETALLADO],(DET_ASIG[NIVEL]=ASIGNACION!$D154)*(DET_ASIG[ID_CARRERA]=ASIGNACION!$C154)*(DET_ASIG[ID_ASIG]=ASIGNACION!$G154),"No existe información"))))</f>
        <v>No existe información</v>
      </c>
      <c r="I154" s="1"/>
      <c r="J154">
        <f>_xlfn.XLOOKUP(Tabla1[[#This Row],[ID_ASIG_CAM_DET]],MAE_ASIGNATURA[ID_ASIG],MAE_ASIGNATURA[HORAS],0)</f>
        <v>0</v>
      </c>
      <c r="K154">
        <v>4</v>
      </c>
      <c r="L154" s="2">
        <f>+Tabla1[[#This Row],[CALCULAR HORA]]*Tabla1[[#This Row],[HORAS]]</f>
        <v>0</v>
      </c>
      <c r="N154" t="str">
        <f>_xlfn.XLOOKUP(Tabla1[[#This Row],[NOMBRE_DOCENT]],MDOCENTES[DATOS_DOCENTE],MDOCENTES[DEDICACION],"Seleccione Docente")</f>
        <v>Seleccione Docente</v>
      </c>
      <c r="O154" t="str">
        <f>_xlfn.XLOOKUP(Tabla1[[#This Row],[NOMBRE_DOCENT]],MDOCENTES[DATOS_DOCENTE],MDOCENTES[ESTUDIO],"Seleccione Docente")</f>
        <v>Seleccione Docente</v>
      </c>
      <c r="P154">
        <f t="shared" si="10"/>
        <v>0</v>
      </c>
      <c r="Q154">
        <f t="shared" si="11"/>
        <v>0</v>
      </c>
      <c r="R154">
        <f t="shared" si="12"/>
        <v>0</v>
      </c>
      <c r="S154">
        <f t="shared" si="13"/>
        <v>0</v>
      </c>
      <c r="T154">
        <f t="shared" si="14"/>
        <v>0</v>
      </c>
      <c r="U154">
        <f>Tabla1[[#This Row],[HORAS NO AFINIDAD]]+Tabla1[[#This Row],[HORAS UNIDAD BASICA]]+Tabla1[[#This Row],[HORAS AFINIDAD]]</f>
        <v>0</v>
      </c>
      <c r="V154">
        <f>+Tabla1[[#This Row],[HORAS AFINIDAD]]+Tabla1[[#This Row],[HORAS ACTIVIDAD]]+Tabla1[[#This Row],[HORAS UNIDAD BASICA]]+Tabla1[[#This Row],[HORAS NO AFINIDAD]]</f>
        <v>0</v>
      </c>
    </row>
    <row r="155" spans="1:22" ht="18.75" customHeight="1">
      <c r="A155">
        <v>154</v>
      </c>
      <c r="C155" t="str">
        <f>_xlfn.XLOOKUP(Tabla1[[#This Row],[CARRERA]],MAE_CARRERA[NOMBRE_CARRERA],MAE_CARRERA[ID_CARRERA],"Seleccione Carrera")</f>
        <v>Seleccione Carrera</v>
      </c>
      <c r="F155" s="1"/>
      <c r="G155" t="str">
        <f>_xlfn.XLOOKUP(Tabla1[[#This Row],[ASIGNATURA]],MAE_ASIGNATURA[NOM_ASIG],MAE_ASIGNATURA[ID_ASIG],"Seleccione Asignatura")</f>
        <v>Seleccione Asignatura</v>
      </c>
      <c r="H155" s="1" t="str" cm="1">
        <f t="array" ref="H155">_xlfn.TEXTJOIN("; ",TRUE,TRANSPOSE(_xlfn.UNIQUE(_xlfn._xlws.FILTER(DET_ASIG[DETALLADO],(DET_ASIG[NIVEL]=ASIGNACION!$D155)*(DET_ASIG[ID_CARRERA]=ASIGNACION!$C155)*(DET_ASIG[ID_ASIG]=ASIGNACION!$G155),"No existe información"))))</f>
        <v>No existe información</v>
      </c>
      <c r="I155" s="1"/>
      <c r="J155">
        <f>_xlfn.XLOOKUP(Tabla1[[#This Row],[ID_ASIG_CAM_DET]],MAE_ASIGNATURA[ID_ASIG],MAE_ASIGNATURA[HORAS],0)</f>
        <v>0</v>
      </c>
      <c r="K155">
        <v>4</v>
      </c>
      <c r="L155" s="2">
        <f>+Tabla1[[#This Row],[CALCULAR HORA]]*Tabla1[[#This Row],[HORAS]]</f>
        <v>0</v>
      </c>
      <c r="N155" t="str">
        <f>_xlfn.XLOOKUP(Tabla1[[#This Row],[NOMBRE_DOCENT]],MDOCENTES[DATOS_DOCENTE],MDOCENTES[DEDICACION],"Seleccione Docente")</f>
        <v>Seleccione Docente</v>
      </c>
      <c r="O155" t="str">
        <f>_xlfn.XLOOKUP(Tabla1[[#This Row],[NOMBRE_DOCENT]],MDOCENTES[DATOS_DOCENTE],MDOCENTES[ESTUDIO],"Seleccione Docente")</f>
        <v>Seleccione Docente</v>
      </c>
      <c r="P155">
        <f t="shared" si="10"/>
        <v>0</v>
      </c>
      <c r="Q155">
        <f t="shared" si="11"/>
        <v>0</v>
      </c>
      <c r="R155">
        <f t="shared" si="12"/>
        <v>0</v>
      </c>
      <c r="S155">
        <f t="shared" si="13"/>
        <v>0</v>
      </c>
      <c r="T155">
        <f t="shared" si="14"/>
        <v>0</v>
      </c>
      <c r="U155">
        <f>Tabla1[[#This Row],[HORAS NO AFINIDAD]]+Tabla1[[#This Row],[HORAS UNIDAD BASICA]]+Tabla1[[#This Row],[HORAS AFINIDAD]]</f>
        <v>0</v>
      </c>
      <c r="V155">
        <f>+Tabla1[[#This Row],[HORAS AFINIDAD]]+Tabla1[[#This Row],[HORAS ACTIVIDAD]]+Tabla1[[#This Row],[HORAS UNIDAD BASICA]]+Tabla1[[#This Row],[HORAS NO AFINIDAD]]</f>
        <v>0</v>
      </c>
    </row>
    <row r="156" spans="1:22" ht="18.75" customHeight="1">
      <c r="A156">
        <v>155</v>
      </c>
      <c r="C156" t="str">
        <f>_xlfn.XLOOKUP(Tabla1[[#This Row],[CARRERA]],MAE_CARRERA[NOMBRE_CARRERA],MAE_CARRERA[ID_CARRERA],"Seleccione Carrera")</f>
        <v>Seleccione Carrera</v>
      </c>
      <c r="F156" s="1"/>
      <c r="G156" t="str">
        <f>_xlfn.XLOOKUP(Tabla1[[#This Row],[ASIGNATURA]],MAE_ASIGNATURA[NOM_ASIG],MAE_ASIGNATURA[ID_ASIG],"Seleccione Asignatura")</f>
        <v>Seleccione Asignatura</v>
      </c>
      <c r="H156" s="1" t="str" cm="1">
        <f t="array" ref="H156">_xlfn.TEXTJOIN("; ",TRUE,TRANSPOSE(_xlfn.UNIQUE(_xlfn._xlws.FILTER(DET_ASIG[DETALLADO],(DET_ASIG[NIVEL]=ASIGNACION!$D156)*(DET_ASIG[ID_CARRERA]=ASIGNACION!$C156)*(DET_ASIG[ID_ASIG]=ASIGNACION!$G156),"No existe información"))))</f>
        <v>No existe información</v>
      </c>
      <c r="I156" s="1"/>
      <c r="J156">
        <f>_xlfn.XLOOKUP(Tabla1[[#This Row],[ID_ASIG_CAM_DET]],MAE_ASIGNATURA[ID_ASIG],MAE_ASIGNATURA[HORAS],0)</f>
        <v>0</v>
      </c>
      <c r="K156">
        <v>4</v>
      </c>
      <c r="L156" s="2">
        <f>+Tabla1[[#This Row],[CALCULAR HORA]]*Tabla1[[#This Row],[HORAS]]</f>
        <v>0</v>
      </c>
      <c r="N156" t="str">
        <f>_xlfn.XLOOKUP(Tabla1[[#This Row],[NOMBRE_DOCENT]],MDOCENTES[DATOS_DOCENTE],MDOCENTES[DEDICACION],"Seleccione Docente")</f>
        <v>Seleccione Docente</v>
      </c>
      <c r="O156" t="str">
        <f>_xlfn.XLOOKUP(Tabla1[[#This Row],[NOMBRE_DOCENT]],MDOCENTES[DATOS_DOCENTE],MDOCENTES[ESTUDIO],"Seleccione Docente")</f>
        <v>Seleccione Docente</v>
      </c>
      <c r="P156">
        <f t="shared" si="10"/>
        <v>0</v>
      </c>
      <c r="Q156">
        <f t="shared" si="11"/>
        <v>0</v>
      </c>
      <c r="R156">
        <f t="shared" si="12"/>
        <v>0</v>
      </c>
      <c r="S156">
        <f t="shared" si="13"/>
        <v>0</v>
      </c>
      <c r="T156">
        <f t="shared" si="14"/>
        <v>0</v>
      </c>
      <c r="U156">
        <f>Tabla1[[#This Row],[HORAS NO AFINIDAD]]+Tabla1[[#This Row],[HORAS UNIDAD BASICA]]+Tabla1[[#This Row],[HORAS AFINIDAD]]</f>
        <v>0</v>
      </c>
      <c r="V156">
        <f>+Tabla1[[#This Row],[HORAS AFINIDAD]]+Tabla1[[#This Row],[HORAS ACTIVIDAD]]+Tabla1[[#This Row],[HORAS UNIDAD BASICA]]+Tabla1[[#This Row],[HORAS NO AFINIDAD]]</f>
        <v>0</v>
      </c>
    </row>
    <row r="157" spans="1:22" ht="18.75" customHeight="1">
      <c r="A157">
        <v>156</v>
      </c>
      <c r="C157" t="str">
        <f>_xlfn.XLOOKUP(Tabla1[[#This Row],[CARRERA]],MAE_CARRERA[NOMBRE_CARRERA],MAE_CARRERA[ID_CARRERA],"Seleccione Carrera")</f>
        <v>Seleccione Carrera</v>
      </c>
      <c r="F157" s="1"/>
      <c r="G157" t="str">
        <f>_xlfn.XLOOKUP(Tabla1[[#This Row],[ASIGNATURA]],MAE_ASIGNATURA[NOM_ASIG],MAE_ASIGNATURA[ID_ASIG],"Seleccione Asignatura")</f>
        <v>Seleccione Asignatura</v>
      </c>
      <c r="H157" s="1" t="str" cm="1">
        <f t="array" ref="H157">_xlfn.TEXTJOIN("; ",TRUE,TRANSPOSE(_xlfn.UNIQUE(_xlfn._xlws.FILTER(DET_ASIG[DETALLADO],(DET_ASIG[NIVEL]=ASIGNACION!$D157)*(DET_ASIG[ID_CARRERA]=ASIGNACION!$C157)*(DET_ASIG[ID_ASIG]=ASIGNACION!$G157),"No existe información"))))</f>
        <v>No existe información</v>
      </c>
      <c r="I157" s="1"/>
      <c r="J157">
        <f>_xlfn.XLOOKUP(Tabla1[[#This Row],[ID_ASIG_CAM_DET]],MAE_ASIGNATURA[ID_ASIG],MAE_ASIGNATURA[HORAS],0)</f>
        <v>0</v>
      </c>
      <c r="K157">
        <v>4</v>
      </c>
      <c r="L157" s="2">
        <f>+Tabla1[[#This Row],[CALCULAR HORA]]*Tabla1[[#This Row],[HORAS]]</f>
        <v>0</v>
      </c>
      <c r="N157" t="str">
        <f>_xlfn.XLOOKUP(Tabla1[[#This Row],[NOMBRE_DOCENT]],MDOCENTES[DATOS_DOCENTE],MDOCENTES[DEDICACION],"Seleccione Docente")</f>
        <v>Seleccione Docente</v>
      </c>
      <c r="O157" t="str">
        <f>_xlfn.XLOOKUP(Tabla1[[#This Row],[NOMBRE_DOCENT]],MDOCENTES[DATOS_DOCENTE],MDOCENTES[ESTUDIO],"Seleccione Docente")</f>
        <v>Seleccione Docente</v>
      </c>
      <c r="P157">
        <f t="shared" si="10"/>
        <v>0</v>
      </c>
      <c r="Q157">
        <f t="shared" si="11"/>
        <v>0</v>
      </c>
      <c r="R157">
        <f t="shared" si="12"/>
        <v>0</v>
      </c>
      <c r="S157">
        <f t="shared" si="13"/>
        <v>0</v>
      </c>
      <c r="T157">
        <f t="shared" si="14"/>
        <v>0</v>
      </c>
      <c r="U157">
        <f>Tabla1[[#This Row],[HORAS NO AFINIDAD]]+Tabla1[[#This Row],[HORAS UNIDAD BASICA]]+Tabla1[[#This Row],[HORAS AFINIDAD]]</f>
        <v>0</v>
      </c>
      <c r="V157">
        <f>+Tabla1[[#This Row],[HORAS AFINIDAD]]+Tabla1[[#This Row],[HORAS ACTIVIDAD]]+Tabla1[[#This Row],[HORAS UNIDAD BASICA]]+Tabla1[[#This Row],[HORAS NO AFINIDAD]]</f>
        <v>0</v>
      </c>
    </row>
    <row r="158" spans="1:22" ht="18.75" customHeight="1">
      <c r="A158">
        <v>157</v>
      </c>
      <c r="C158" t="str">
        <f>_xlfn.XLOOKUP(Tabla1[[#This Row],[CARRERA]],MAE_CARRERA[NOMBRE_CARRERA],MAE_CARRERA[ID_CARRERA],"Seleccione Carrera")</f>
        <v>Seleccione Carrera</v>
      </c>
      <c r="F158" s="1"/>
      <c r="G158" t="str">
        <f>_xlfn.XLOOKUP(Tabla1[[#This Row],[ASIGNATURA]],MAE_ASIGNATURA[NOM_ASIG],MAE_ASIGNATURA[ID_ASIG],"Seleccione Asignatura")</f>
        <v>Seleccione Asignatura</v>
      </c>
      <c r="H158" s="1" t="str" cm="1">
        <f t="array" ref="H158">_xlfn.TEXTJOIN("; ",TRUE,TRANSPOSE(_xlfn.UNIQUE(_xlfn._xlws.FILTER(DET_ASIG[DETALLADO],(DET_ASIG[NIVEL]=ASIGNACION!$D158)*(DET_ASIG[ID_CARRERA]=ASIGNACION!$C158)*(DET_ASIG[ID_ASIG]=ASIGNACION!$G158),"No existe información"))))</f>
        <v>No existe información</v>
      </c>
      <c r="I158" s="1"/>
      <c r="J158">
        <f>_xlfn.XLOOKUP(Tabla1[[#This Row],[ID_ASIG_CAM_DET]],MAE_ASIGNATURA[ID_ASIG],MAE_ASIGNATURA[HORAS],0)</f>
        <v>0</v>
      </c>
      <c r="K158">
        <v>4</v>
      </c>
      <c r="L158" s="2">
        <f>+Tabla1[[#This Row],[CALCULAR HORA]]*Tabla1[[#This Row],[HORAS]]</f>
        <v>0</v>
      </c>
      <c r="N158" t="str">
        <f>_xlfn.XLOOKUP(Tabla1[[#This Row],[NOMBRE_DOCENT]],MDOCENTES[DATOS_DOCENTE],MDOCENTES[DEDICACION],"Seleccione Docente")</f>
        <v>Seleccione Docente</v>
      </c>
      <c r="O158" t="str">
        <f>_xlfn.XLOOKUP(Tabla1[[#This Row],[NOMBRE_DOCENT]],MDOCENTES[DATOS_DOCENTE],MDOCENTES[ESTUDIO],"Seleccione Docente")</f>
        <v>Seleccione Docente</v>
      </c>
      <c r="P158">
        <f t="shared" si="10"/>
        <v>0</v>
      </c>
      <c r="Q158">
        <f t="shared" si="11"/>
        <v>0</v>
      </c>
      <c r="R158">
        <f t="shared" si="12"/>
        <v>0</v>
      </c>
      <c r="S158">
        <f t="shared" si="13"/>
        <v>0</v>
      </c>
      <c r="T158">
        <f t="shared" si="14"/>
        <v>0</v>
      </c>
      <c r="U158">
        <f>Tabla1[[#This Row],[HORAS NO AFINIDAD]]+Tabla1[[#This Row],[HORAS UNIDAD BASICA]]+Tabla1[[#This Row],[HORAS AFINIDAD]]</f>
        <v>0</v>
      </c>
      <c r="V158">
        <f>+Tabla1[[#This Row],[HORAS AFINIDAD]]+Tabla1[[#This Row],[HORAS ACTIVIDAD]]+Tabla1[[#This Row],[HORAS UNIDAD BASICA]]+Tabla1[[#This Row],[HORAS NO AFINIDAD]]</f>
        <v>0</v>
      </c>
    </row>
    <row r="159" spans="1:22" ht="18.75" customHeight="1">
      <c r="A159">
        <v>158</v>
      </c>
      <c r="C159" t="str">
        <f>_xlfn.XLOOKUP(Tabla1[[#This Row],[CARRERA]],MAE_CARRERA[NOMBRE_CARRERA],MAE_CARRERA[ID_CARRERA],"Seleccione Carrera")</f>
        <v>Seleccione Carrera</v>
      </c>
      <c r="F159" s="1"/>
      <c r="G159" t="str">
        <f>_xlfn.XLOOKUP(Tabla1[[#This Row],[ASIGNATURA]],MAE_ASIGNATURA[NOM_ASIG],MAE_ASIGNATURA[ID_ASIG],"Seleccione Asignatura")</f>
        <v>Seleccione Asignatura</v>
      </c>
      <c r="H159" s="1" t="str" cm="1">
        <f t="array" ref="H159">_xlfn.TEXTJOIN("; ",TRUE,TRANSPOSE(_xlfn.UNIQUE(_xlfn._xlws.FILTER(DET_ASIG[DETALLADO],(DET_ASIG[NIVEL]=ASIGNACION!$D159)*(DET_ASIG[ID_CARRERA]=ASIGNACION!$C159)*(DET_ASIG[ID_ASIG]=ASIGNACION!$G159),"No existe información"))))</f>
        <v>No existe información</v>
      </c>
      <c r="I159" s="1"/>
      <c r="J159">
        <f>_xlfn.XLOOKUP(Tabla1[[#This Row],[ID_ASIG_CAM_DET]],MAE_ASIGNATURA[ID_ASIG],MAE_ASIGNATURA[HORAS],0)</f>
        <v>0</v>
      </c>
      <c r="K159">
        <v>4</v>
      </c>
      <c r="L159" s="2">
        <f>+Tabla1[[#This Row],[CALCULAR HORA]]*Tabla1[[#This Row],[HORAS]]</f>
        <v>0</v>
      </c>
      <c r="N159" t="str">
        <f>_xlfn.XLOOKUP(Tabla1[[#This Row],[NOMBRE_DOCENT]],MDOCENTES[DATOS_DOCENTE],MDOCENTES[DEDICACION],"Seleccione Docente")</f>
        <v>Seleccione Docente</v>
      </c>
      <c r="O159" t="str">
        <f>_xlfn.XLOOKUP(Tabla1[[#This Row],[NOMBRE_DOCENT]],MDOCENTES[DATOS_DOCENTE],MDOCENTES[ESTUDIO],"Seleccione Docente")</f>
        <v>Seleccione Docente</v>
      </c>
      <c r="P159">
        <f t="shared" si="10"/>
        <v>0</v>
      </c>
      <c r="Q159">
        <f t="shared" si="11"/>
        <v>0</v>
      </c>
      <c r="R159">
        <f t="shared" si="12"/>
        <v>0</v>
      </c>
      <c r="S159">
        <f t="shared" si="13"/>
        <v>0</v>
      </c>
      <c r="T159">
        <f t="shared" si="14"/>
        <v>0</v>
      </c>
      <c r="U159">
        <f>Tabla1[[#This Row],[HORAS NO AFINIDAD]]+Tabla1[[#This Row],[HORAS UNIDAD BASICA]]+Tabla1[[#This Row],[HORAS AFINIDAD]]</f>
        <v>0</v>
      </c>
      <c r="V159">
        <f>+Tabla1[[#This Row],[HORAS AFINIDAD]]+Tabla1[[#This Row],[HORAS ACTIVIDAD]]+Tabla1[[#This Row],[HORAS UNIDAD BASICA]]+Tabla1[[#This Row],[HORAS NO AFINIDAD]]</f>
        <v>0</v>
      </c>
    </row>
    <row r="160" spans="1:22" ht="18.75" customHeight="1">
      <c r="A160">
        <v>159</v>
      </c>
      <c r="C160" t="str">
        <f>_xlfn.XLOOKUP(Tabla1[[#This Row],[CARRERA]],MAE_CARRERA[NOMBRE_CARRERA],MAE_CARRERA[ID_CARRERA],"Seleccione Carrera")</f>
        <v>Seleccione Carrera</v>
      </c>
      <c r="F160" s="1"/>
      <c r="G160" t="str">
        <f>_xlfn.XLOOKUP(Tabla1[[#This Row],[ASIGNATURA]],MAE_ASIGNATURA[NOM_ASIG],MAE_ASIGNATURA[ID_ASIG],"Seleccione Asignatura")</f>
        <v>Seleccione Asignatura</v>
      </c>
      <c r="H160" s="1" t="str" cm="1">
        <f t="array" ref="H160">_xlfn.TEXTJOIN("; ",TRUE,TRANSPOSE(_xlfn.UNIQUE(_xlfn._xlws.FILTER(DET_ASIG[DETALLADO],(DET_ASIG[NIVEL]=ASIGNACION!$D160)*(DET_ASIG[ID_CARRERA]=ASIGNACION!$C160)*(DET_ASIG[ID_ASIG]=ASIGNACION!$G160),"No existe información"))))</f>
        <v>No existe información</v>
      </c>
      <c r="I160" s="1"/>
      <c r="J160">
        <f>_xlfn.XLOOKUP(Tabla1[[#This Row],[ID_ASIG_CAM_DET]],MAE_ASIGNATURA[ID_ASIG],MAE_ASIGNATURA[HORAS],0)</f>
        <v>0</v>
      </c>
      <c r="K160">
        <v>4</v>
      </c>
      <c r="L160" s="2">
        <f>+Tabla1[[#This Row],[CALCULAR HORA]]*Tabla1[[#This Row],[HORAS]]</f>
        <v>0</v>
      </c>
      <c r="N160" t="str">
        <f>_xlfn.XLOOKUP(Tabla1[[#This Row],[NOMBRE_DOCENT]],MDOCENTES[DATOS_DOCENTE],MDOCENTES[DEDICACION],"Seleccione Docente")</f>
        <v>Seleccione Docente</v>
      </c>
      <c r="O160" t="str">
        <f>_xlfn.XLOOKUP(Tabla1[[#This Row],[NOMBRE_DOCENT]],MDOCENTES[DATOS_DOCENTE],MDOCENTES[ESTUDIO],"Seleccione Docente")</f>
        <v>Seleccione Docente</v>
      </c>
      <c r="P160">
        <f t="shared" si="10"/>
        <v>0</v>
      </c>
      <c r="Q160">
        <f t="shared" si="11"/>
        <v>0</v>
      </c>
      <c r="R160">
        <f t="shared" si="12"/>
        <v>0</v>
      </c>
      <c r="S160">
        <f t="shared" si="13"/>
        <v>0</v>
      </c>
      <c r="T160">
        <f t="shared" si="14"/>
        <v>0</v>
      </c>
      <c r="U160">
        <f>Tabla1[[#This Row],[HORAS NO AFINIDAD]]+Tabla1[[#This Row],[HORAS UNIDAD BASICA]]+Tabla1[[#This Row],[HORAS AFINIDAD]]</f>
        <v>0</v>
      </c>
      <c r="V160">
        <f>+Tabla1[[#This Row],[HORAS AFINIDAD]]+Tabla1[[#This Row],[HORAS ACTIVIDAD]]+Tabla1[[#This Row],[HORAS UNIDAD BASICA]]+Tabla1[[#This Row],[HORAS NO AFINIDAD]]</f>
        <v>0</v>
      </c>
    </row>
    <row r="161" spans="1:22" ht="18.75" customHeight="1">
      <c r="A161">
        <v>160</v>
      </c>
      <c r="C161" t="str">
        <f>_xlfn.XLOOKUP(Tabla1[[#This Row],[CARRERA]],MAE_CARRERA[NOMBRE_CARRERA],MAE_CARRERA[ID_CARRERA],"Seleccione Carrera")</f>
        <v>Seleccione Carrera</v>
      </c>
      <c r="F161" s="1"/>
      <c r="G161" t="str">
        <f>_xlfn.XLOOKUP(Tabla1[[#This Row],[ASIGNATURA]],MAE_ASIGNATURA[NOM_ASIG],MAE_ASIGNATURA[ID_ASIG],"Seleccione Asignatura")</f>
        <v>Seleccione Asignatura</v>
      </c>
      <c r="H161" s="1" t="str" cm="1">
        <f t="array" ref="H161">_xlfn.TEXTJOIN("; ",TRUE,TRANSPOSE(_xlfn.UNIQUE(_xlfn._xlws.FILTER(DET_ASIG[DETALLADO],(DET_ASIG[NIVEL]=ASIGNACION!$D161)*(DET_ASIG[ID_CARRERA]=ASIGNACION!$C161)*(DET_ASIG[ID_ASIG]=ASIGNACION!$G161),"No existe información"))))</f>
        <v>No existe información</v>
      </c>
      <c r="I161" s="1"/>
      <c r="J161">
        <f>_xlfn.XLOOKUP(Tabla1[[#This Row],[ID_ASIG_CAM_DET]],MAE_ASIGNATURA[ID_ASIG],MAE_ASIGNATURA[HORAS],0)</f>
        <v>0</v>
      </c>
      <c r="K161">
        <v>4</v>
      </c>
      <c r="L161" s="2">
        <f>+Tabla1[[#This Row],[CALCULAR HORA]]*Tabla1[[#This Row],[HORAS]]</f>
        <v>0</v>
      </c>
      <c r="N161" t="str">
        <f>_xlfn.XLOOKUP(Tabla1[[#This Row],[NOMBRE_DOCENT]],MDOCENTES[DATOS_DOCENTE],MDOCENTES[DEDICACION],"Seleccione Docente")</f>
        <v>Seleccione Docente</v>
      </c>
      <c r="O161" t="str">
        <f>_xlfn.XLOOKUP(Tabla1[[#This Row],[NOMBRE_DOCENT]],MDOCENTES[DATOS_DOCENTE],MDOCENTES[ESTUDIO],"Seleccione Docente")</f>
        <v>Seleccione Docente</v>
      </c>
      <c r="P161">
        <f t="shared" si="10"/>
        <v>0</v>
      </c>
      <c r="Q161">
        <f t="shared" si="11"/>
        <v>0</v>
      </c>
      <c r="R161">
        <f t="shared" si="12"/>
        <v>0</v>
      </c>
      <c r="S161">
        <f t="shared" si="13"/>
        <v>0</v>
      </c>
      <c r="T161">
        <f t="shared" si="14"/>
        <v>0</v>
      </c>
      <c r="U161">
        <f>Tabla1[[#This Row],[HORAS NO AFINIDAD]]+Tabla1[[#This Row],[HORAS UNIDAD BASICA]]+Tabla1[[#This Row],[HORAS AFINIDAD]]</f>
        <v>0</v>
      </c>
      <c r="V161">
        <f>+Tabla1[[#This Row],[HORAS AFINIDAD]]+Tabla1[[#This Row],[HORAS ACTIVIDAD]]+Tabla1[[#This Row],[HORAS UNIDAD BASICA]]+Tabla1[[#This Row],[HORAS NO AFINIDAD]]</f>
        <v>0</v>
      </c>
    </row>
    <row r="162" spans="1:22" ht="18.75" customHeight="1">
      <c r="A162">
        <v>161</v>
      </c>
      <c r="C162" t="str">
        <f>_xlfn.XLOOKUP(Tabla1[[#This Row],[CARRERA]],MAE_CARRERA[NOMBRE_CARRERA],MAE_CARRERA[ID_CARRERA],"Seleccione Carrera")</f>
        <v>Seleccione Carrera</v>
      </c>
      <c r="F162" s="1"/>
      <c r="G162" t="str">
        <f>_xlfn.XLOOKUP(Tabla1[[#This Row],[ASIGNATURA]],MAE_ASIGNATURA[NOM_ASIG],MAE_ASIGNATURA[ID_ASIG],"Seleccione Asignatura")</f>
        <v>Seleccione Asignatura</v>
      </c>
      <c r="H162" s="1" t="str" cm="1">
        <f t="array" ref="H162">_xlfn.TEXTJOIN("; ",TRUE,TRANSPOSE(_xlfn.UNIQUE(_xlfn._xlws.FILTER(DET_ASIG[DETALLADO],(DET_ASIG[NIVEL]=ASIGNACION!$D162)*(DET_ASIG[ID_CARRERA]=ASIGNACION!$C162)*(DET_ASIG[ID_ASIG]=ASIGNACION!$G162),"No existe información"))))</f>
        <v>No existe información</v>
      </c>
      <c r="I162" s="1"/>
      <c r="J162">
        <f>_xlfn.XLOOKUP(Tabla1[[#This Row],[ID_ASIG_CAM_DET]],MAE_ASIGNATURA[ID_ASIG],MAE_ASIGNATURA[HORAS],0)</f>
        <v>0</v>
      </c>
      <c r="K162">
        <v>4</v>
      </c>
      <c r="L162" s="2">
        <f>+Tabla1[[#This Row],[CALCULAR HORA]]*Tabla1[[#This Row],[HORAS]]</f>
        <v>0</v>
      </c>
      <c r="N162" t="str">
        <f>_xlfn.XLOOKUP(Tabla1[[#This Row],[NOMBRE_DOCENT]],MDOCENTES[DATOS_DOCENTE],MDOCENTES[DEDICACION],"Seleccione Docente")</f>
        <v>Seleccione Docente</v>
      </c>
      <c r="O162" t="str">
        <f>_xlfn.XLOOKUP(Tabla1[[#This Row],[NOMBRE_DOCENT]],MDOCENTES[DATOS_DOCENTE],MDOCENTES[ESTUDIO],"Seleccione Docente")</f>
        <v>Seleccione Docente</v>
      </c>
      <c r="P162">
        <f t="shared" si="10"/>
        <v>0</v>
      </c>
      <c r="Q162">
        <f t="shared" si="11"/>
        <v>0</v>
      </c>
      <c r="R162">
        <f t="shared" si="12"/>
        <v>0</v>
      </c>
      <c r="S162">
        <f t="shared" si="13"/>
        <v>0</v>
      </c>
      <c r="T162">
        <f t="shared" si="14"/>
        <v>0</v>
      </c>
      <c r="U162">
        <f>Tabla1[[#This Row],[HORAS NO AFINIDAD]]+Tabla1[[#This Row],[HORAS UNIDAD BASICA]]+Tabla1[[#This Row],[HORAS AFINIDAD]]</f>
        <v>0</v>
      </c>
      <c r="V162">
        <f>+Tabla1[[#This Row],[HORAS AFINIDAD]]+Tabla1[[#This Row],[HORAS ACTIVIDAD]]+Tabla1[[#This Row],[HORAS UNIDAD BASICA]]+Tabla1[[#This Row],[HORAS NO AFINIDAD]]</f>
        <v>0</v>
      </c>
    </row>
    <row r="163" spans="1:22" ht="18.75" customHeight="1">
      <c r="A163">
        <v>162</v>
      </c>
      <c r="C163" t="str">
        <f>_xlfn.XLOOKUP(Tabla1[[#This Row],[CARRERA]],MAE_CARRERA[NOMBRE_CARRERA],MAE_CARRERA[ID_CARRERA],"Seleccione Carrera")</f>
        <v>Seleccione Carrera</v>
      </c>
      <c r="F163" s="1"/>
      <c r="G163" t="str">
        <f>_xlfn.XLOOKUP(Tabla1[[#This Row],[ASIGNATURA]],MAE_ASIGNATURA[NOM_ASIG],MAE_ASIGNATURA[ID_ASIG],"Seleccione Asignatura")</f>
        <v>Seleccione Asignatura</v>
      </c>
      <c r="H163" s="1" t="str" cm="1">
        <f t="array" ref="H163">_xlfn.TEXTJOIN("; ",TRUE,TRANSPOSE(_xlfn.UNIQUE(_xlfn._xlws.FILTER(DET_ASIG[DETALLADO],(DET_ASIG[NIVEL]=ASIGNACION!$D163)*(DET_ASIG[ID_CARRERA]=ASIGNACION!$C163)*(DET_ASIG[ID_ASIG]=ASIGNACION!$G163),"No existe información"))))</f>
        <v>No existe información</v>
      </c>
      <c r="I163" s="1"/>
      <c r="J163">
        <f>_xlfn.XLOOKUP(Tabla1[[#This Row],[ID_ASIG_CAM_DET]],MAE_ASIGNATURA[ID_ASIG],MAE_ASIGNATURA[HORAS],0)</f>
        <v>0</v>
      </c>
      <c r="K163">
        <v>4</v>
      </c>
      <c r="L163" s="2">
        <f>+Tabla1[[#This Row],[CALCULAR HORA]]*Tabla1[[#This Row],[HORAS]]</f>
        <v>0</v>
      </c>
      <c r="N163" t="str">
        <f>_xlfn.XLOOKUP(Tabla1[[#This Row],[NOMBRE_DOCENT]],MDOCENTES[DATOS_DOCENTE],MDOCENTES[DEDICACION],"Seleccione Docente")</f>
        <v>Seleccione Docente</v>
      </c>
      <c r="O163" t="str">
        <f>_xlfn.XLOOKUP(Tabla1[[#This Row],[NOMBRE_DOCENT]],MDOCENTES[DATOS_DOCENTE],MDOCENTES[ESTUDIO],"Seleccione Docente")</f>
        <v>Seleccione Docente</v>
      </c>
      <c r="P163">
        <f t="shared" si="10"/>
        <v>0</v>
      </c>
      <c r="Q163">
        <f t="shared" si="11"/>
        <v>0</v>
      </c>
      <c r="R163">
        <f t="shared" si="12"/>
        <v>0</v>
      </c>
      <c r="S163">
        <f t="shared" si="13"/>
        <v>0</v>
      </c>
      <c r="T163">
        <f t="shared" si="14"/>
        <v>0</v>
      </c>
      <c r="U163">
        <f>Tabla1[[#This Row],[HORAS NO AFINIDAD]]+Tabla1[[#This Row],[HORAS UNIDAD BASICA]]+Tabla1[[#This Row],[HORAS AFINIDAD]]</f>
        <v>0</v>
      </c>
      <c r="V163">
        <f>+Tabla1[[#This Row],[HORAS AFINIDAD]]+Tabla1[[#This Row],[HORAS ACTIVIDAD]]+Tabla1[[#This Row],[HORAS UNIDAD BASICA]]+Tabla1[[#This Row],[HORAS NO AFINIDAD]]</f>
        <v>0</v>
      </c>
    </row>
    <row r="164" spans="1:22" ht="18.75" customHeight="1">
      <c r="A164">
        <v>163</v>
      </c>
      <c r="C164" t="str">
        <f>_xlfn.XLOOKUP(Tabla1[[#This Row],[CARRERA]],MAE_CARRERA[NOMBRE_CARRERA],MAE_CARRERA[ID_CARRERA],"Seleccione Carrera")</f>
        <v>Seleccione Carrera</v>
      </c>
      <c r="F164" s="1"/>
      <c r="G164" t="str">
        <f>_xlfn.XLOOKUP(Tabla1[[#This Row],[ASIGNATURA]],MAE_ASIGNATURA[NOM_ASIG],MAE_ASIGNATURA[ID_ASIG],"Seleccione Asignatura")</f>
        <v>Seleccione Asignatura</v>
      </c>
      <c r="H164" s="1" t="str" cm="1">
        <f t="array" ref="H164">_xlfn.TEXTJOIN("; ",TRUE,TRANSPOSE(_xlfn.UNIQUE(_xlfn._xlws.FILTER(DET_ASIG[DETALLADO],(DET_ASIG[NIVEL]=ASIGNACION!$D164)*(DET_ASIG[ID_CARRERA]=ASIGNACION!$C164)*(DET_ASIG[ID_ASIG]=ASIGNACION!$G164),"No existe información"))))</f>
        <v>No existe información</v>
      </c>
      <c r="I164" s="1"/>
      <c r="J164">
        <f>_xlfn.XLOOKUP(Tabla1[[#This Row],[ID_ASIG_CAM_DET]],MAE_ASIGNATURA[ID_ASIG],MAE_ASIGNATURA[HORAS],0)</f>
        <v>0</v>
      </c>
      <c r="K164">
        <v>4</v>
      </c>
      <c r="L164" s="2">
        <f>+Tabla1[[#This Row],[CALCULAR HORA]]*Tabla1[[#This Row],[HORAS]]</f>
        <v>0</v>
      </c>
      <c r="N164" t="str">
        <f>_xlfn.XLOOKUP(Tabla1[[#This Row],[NOMBRE_DOCENT]],MDOCENTES[DATOS_DOCENTE],MDOCENTES[DEDICACION],"Seleccione Docente")</f>
        <v>Seleccione Docente</v>
      </c>
      <c r="O164" t="str">
        <f>_xlfn.XLOOKUP(Tabla1[[#This Row],[NOMBRE_DOCENT]],MDOCENTES[DATOS_DOCENTE],MDOCENTES[ESTUDIO],"Seleccione Docente")</f>
        <v>Seleccione Docente</v>
      </c>
      <c r="P164">
        <f t="shared" si="10"/>
        <v>0</v>
      </c>
      <c r="Q164">
        <f t="shared" si="11"/>
        <v>0</v>
      </c>
      <c r="R164">
        <f t="shared" si="12"/>
        <v>0</v>
      </c>
      <c r="S164">
        <f t="shared" si="13"/>
        <v>0</v>
      </c>
      <c r="T164">
        <f t="shared" si="14"/>
        <v>0</v>
      </c>
      <c r="U164">
        <f>Tabla1[[#This Row],[HORAS NO AFINIDAD]]+Tabla1[[#This Row],[HORAS UNIDAD BASICA]]+Tabla1[[#This Row],[HORAS AFINIDAD]]</f>
        <v>0</v>
      </c>
      <c r="V164">
        <f>+Tabla1[[#This Row],[HORAS AFINIDAD]]+Tabla1[[#This Row],[HORAS ACTIVIDAD]]+Tabla1[[#This Row],[HORAS UNIDAD BASICA]]+Tabla1[[#This Row],[HORAS NO AFINIDAD]]</f>
        <v>0</v>
      </c>
    </row>
    <row r="165" spans="1:22" ht="18.75" customHeight="1">
      <c r="A165">
        <v>164</v>
      </c>
      <c r="C165" t="str">
        <f>_xlfn.XLOOKUP(Tabla1[[#This Row],[CARRERA]],MAE_CARRERA[NOMBRE_CARRERA],MAE_CARRERA[ID_CARRERA],"Seleccione Carrera")</f>
        <v>Seleccione Carrera</v>
      </c>
      <c r="F165" s="1"/>
      <c r="G165" t="str">
        <f>_xlfn.XLOOKUP(Tabla1[[#This Row],[ASIGNATURA]],MAE_ASIGNATURA[NOM_ASIG],MAE_ASIGNATURA[ID_ASIG],"Seleccione Asignatura")</f>
        <v>Seleccione Asignatura</v>
      </c>
      <c r="H165" s="1" t="str" cm="1">
        <f t="array" ref="H165">_xlfn.TEXTJOIN("; ",TRUE,TRANSPOSE(_xlfn.UNIQUE(_xlfn._xlws.FILTER(DET_ASIG[DETALLADO],(DET_ASIG[NIVEL]=ASIGNACION!$D165)*(DET_ASIG[ID_CARRERA]=ASIGNACION!$C165)*(DET_ASIG[ID_ASIG]=ASIGNACION!$G165),"No existe información"))))</f>
        <v>No existe información</v>
      </c>
      <c r="I165" s="1"/>
      <c r="J165">
        <f>_xlfn.XLOOKUP(Tabla1[[#This Row],[ID_ASIG_CAM_DET]],MAE_ASIGNATURA[ID_ASIG],MAE_ASIGNATURA[HORAS],0)</f>
        <v>0</v>
      </c>
      <c r="K165">
        <v>4</v>
      </c>
      <c r="L165" s="2">
        <f>+Tabla1[[#This Row],[CALCULAR HORA]]*Tabla1[[#This Row],[HORAS]]</f>
        <v>0</v>
      </c>
      <c r="N165" t="str">
        <f>_xlfn.XLOOKUP(Tabla1[[#This Row],[NOMBRE_DOCENT]],MDOCENTES[DATOS_DOCENTE],MDOCENTES[DEDICACION],"Seleccione Docente")</f>
        <v>Seleccione Docente</v>
      </c>
      <c r="O165" t="str">
        <f>_xlfn.XLOOKUP(Tabla1[[#This Row],[NOMBRE_DOCENT]],MDOCENTES[DATOS_DOCENTE],MDOCENTES[ESTUDIO],"Seleccione Docente")</f>
        <v>Seleccione Docente</v>
      </c>
      <c r="P165">
        <f t="shared" si="10"/>
        <v>0</v>
      </c>
      <c r="Q165">
        <f t="shared" si="11"/>
        <v>0</v>
      </c>
      <c r="R165">
        <f t="shared" si="12"/>
        <v>0</v>
      </c>
      <c r="S165">
        <f t="shared" si="13"/>
        <v>0</v>
      </c>
      <c r="T165">
        <f t="shared" si="14"/>
        <v>0</v>
      </c>
      <c r="U165">
        <f>Tabla1[[#This Row],[HORAS NO AFINIDAD]]+Tabla1[[#This Row],[HORAS UNIDAD BASICA]]+Tabla1[[#This Row],[HORAS AFINIDAD]]</f>
        <v>0</v>
      </c>
      <c r="V165">
        <f>+Tabla1[[#This Row],[HORAS AFINIDAD]]+Tabla1[[#This Row],[HORAS ACTIVIDAD]]+Tabla1[[#This Row],[HORAS UNIDAD BASICA]]+Tabla1[[#This Row],[HORAS NO AFINIDAD]]</f>
        <v>0</v>
      </c>
    </row>
    <row r="166" spans="1:22" ht="18.75" customHeight="1">
      <c r="A166">
        <v>165</v>
      </c>
      <c r="C166" t="str">
        <f>_xlfn.XLOOKUP(Tabla1[[#This Row],[CARRERA]],MAE_CARRERA[NOMBRE_CARRERA],MAE_CARRERA[ID_CARRERA],"Seleccione Carrera")</f>
        <v>Seleccione Carrera</v>
      </c>
      <c r="F166" s="1"/>
      <c r="G166" t="str">
        <f>_xlfn.XLOOKUP(Tabla1[[#This Row],[ASIGNATURA]],MAE_ASIGNATURA[NOM_ASIG],MAE_ASIGNATURA[ID_ASIG],"Seleccione Asignatura")</f>
        <v>Seleccione Asignatura</v>
      </c>
      <c r="H166" s="1" t="str" cm="1">
        <f t="array" ref="H166">_xlfn.TEXTJOIN("; ",TRUE,TRANSPOSE(_xlfn.UNIQUE(_xlfn._xlws.FILTER(DET_ASIG[DETALLADO],(DET_ASIG[NIVEL]=ASIGNACION!$D166)*(DET_ASIG[ID_CARRERA]=ASIGNACION!$C166)*(DET_ASIG[ID_ASIG]=ASIGNACION!$G166),"No existe información"))))</f>
        <v>No existe información</v>
      </c>
      <c r="I166" s="1"/>
      <c r="J166">
        <f>_xlfn.XLOOKUP(Tabla1[[#This Row],[ID_ASIG_CAM_DET]],MAE_ASIGNATURA[ID_ASIG],MAE_ASIGNATURA[HORAS],0)</f>
        <v>0</v>
      </c>
      <c r="K166">
        <v>4</v>
      </c>
      <c r="L166" s="2">
        <f>+Tabla1[[#This Row],[CALCULAR HORA]]*Tabla1[[#This Row],[HORAS]]</f>
        <v>0</v>
      </c>
      <c r="N166" t="str">
        <f>_xlfn.XLOOKUP(Tabla1[[#This Row],[NOMBRE_DOCENT]],MDOCENTES[DATOS_DOCENTE],MDOCENTES[DEDICACION],"Seleccione Docente")</f>
        <v>Seleccione Docente</v>
      </c>
      <c r="O166" t="str">
        <f>_xlfn.XLOOKUP(Tabla1[[#This Row],[NOMBRE_DOCENT]],MDOCENTES[DATOS_DOCENTE],MDOCENTES[ESTUDIO],"Seleccione Docente")</f>
        <v>Seleccione Docente</v>
      </c>
      <c r="P166">
        <f t="shared" si="10"/>
        <v>0</v>
      </c>
      <c r="Q166">
        <f t="shared" si="11"/>
        <v>0</v>
      </c>
      <c r="R166">
        <f t="shared" si="12"/>
        <v>0</v>
      </c>
      <c r="S166">
        <f t="shared" si="13"/>
        <v>0</v>
      </c>
      <c r="T166">
        <f t="shared" si="14"/>
        <v>0</v>
      </c>
      <c r="U166">
        <f>Tabla1[[#This Row],[HORAS NO AFINIDAD]]+Tabla1[[#This Row],[HORAS UNIDAD BASICA]]+Tabla1[[#This Row],[HORAS AFINIDAD]]</f>
        <v>0</v>
      </c>
      <c r="V166">
        <f>+Tabla1[[#This Row],[HORAS AFINIDAD]]+Tabla1[[#This Row],[HORAS ACTIVIDAD]]+Tabla1[[#This Row],[HORAS UNIDAD BASICA]]+Tabla1[[#This Row],[HORAS NO AFINIDAD]]</f>
        <v>0</v>
      </c>
    </row>
    <row r="167" spans="1:22" ht="18.75" customHeight="1">
      <c r="A167">
        <v>166</v>
      </c>
      <c r="C167" t="str">
        <f>_xlfn.XLOOKUP(Tabla1[[#This Row],[CARRERA]],MAE_CARRERA[NOMBRE_CARRERA],MAE_CARRERA[ID_CARRERA],"Seleccione Carrera")</f>
        <v>Seleccione Carrera</v>
      </c>
      <c r="F167" s="1"/>
      <c r="G167" t="str">
        <f>_xlfn.XLOOKUP(Tabla1[[#This Row],[ASIGNATURA]],MAE_ASIGNATURA[NOM_ASIG],MAE_ASIGNATURA[ID_ASIG],"Seleccione Asignatura")</f>
        <v>Seleccione Asignatura</v>
      </c>
      <c r="H167" s="1" t="str" cm="1">
        <f t="array" ref="H167">_xlfn.TEXTJOIN("; ",TRUE,TRANSPOSE(_xlfn.UNIQUE(_xlfn._xlws.FILTER(DET_ASIG[DETALLADO],(DET_ASIG[NIVEL]=ASIGNACION!$D167)*(DET_ASIG[ID_CARRERA]=ASIGNACION!$C167)*(DET_ASIG[ID_ASIG]=ASIGNACION!$G167),"No existe información"))))</f>
        <v>No existe información</v>
      </c>
      <c r="I167" s="1"/>
      <c r="J167">
        <f>_xlfn.XLOOKUP(Tabla1[[#This Row],[ID_ASIG_CAM_DET]],MAE_ASIGNATURA[ID_ASIG],MAE_ASIGNATURA[HORAS],0)</f>
        <v>0</v>
      </c>
      <c r="K167">
        <v>4</v>
      </c>
      <c r="L167" s="2">
        <f>+Tabla1[[#This Row],[CALCULAR HORA]]*Tabla1[[#This Row],[HORAS]]</f>
        <v>0</v>
      </c>
      <c r="N167" t="str">
        <f>_xlfn.XLOOKUP(Tabla1[[#This Row],[NOMBRE_DOCENT]],MDOCENTES[DATOS_DOCENTE],MDOCENTES[DEDICACION],"Seleccione Docente")</f>
        <v>Seleccione Docente</v>
      </c>
      <c r="O167" t="str">
        <f>_xlfn.XLOOKUP(Tabla1[[#This Row],[NOMBRE_DOCENT]],MDOCENTES[DATOS_DOCENTE],MDOCENTES[ESTUDIO],"Seleccione Docente")</f>
        <v>Seleccione Docente</v>
      </c>
      <c r="P167">
        <f t="shared" si="10"/>
        <v>0</v>
      </c>
      <c r="Q167">
        <f t="shared" si="11"/>
        <v>0</v>
      </c>
      <c r="R167">
        <f t="shared" si="12"/>
        <v>0</v>
      </c>
      <c r="S167">
        <f t="shared" si="13"/>
        <v>0</v>
      </c>
      <c r="T167">
        <f t="shared" si="14"/>
        <v>0</v>
      </c>
      <c r="U167">
        <f>Tabla1[[#This Row],[HORAS NO AFINIDAD]]+Tabla1[[#This Row],[HORAS UNIDAD BASICA]]+Tabla1[[#This Row],[HORAS AFINIDAD]]</f>
        <v>0</v>
      </c>
      <c r="V167">
        <f>+Tabla1[[#This Row],[HORAS AFINIDAD]]+Tabla1[[#This Row],[HORAS ACTIVIDAD]]+Tabla1[[#This Row],[HORAS UNIDAD BASICA]]+Tabla1[[#This Row],[HORAS NO AFINIDAD]]</f>
        <v>0</v>
      </c>
    </row>
    <row r="168" spans="1:22" ht="18.75" customHeight="1">
      <c r="A168">
        <v>167</v>
      </c>
      <c r="C168" t="str">
        <f>_xlfn.XLOOKUP(Tabla1[[#This Row],[CARRERA]],MAE_CARRERA[NOMBRE_CARRERA],MAE_CARRERA[ID_CARRERA],"Seleccione Carrera")</f>
        <v>Seleccione Carrera</v>
      </c>
      <c r="F168" s="1"/>
      <c r="G168" t="str">
        <f>_xlfn.XLOOKUP(Tabla1[[#This Row],[ASIGNATURA]],MAE_ASIGNATURA[NOM_ASIG],MAE_ASIGNATURA[ID_ASIG],"Seleccione Asignatura")</f>
        <v>Seleccione Asignatura</v>
      </c>
      <c r="H168" s="1" t="str" cm="1">
        <f t="array" ref="H168">_xlfn.TEXTJOIN("; ",TRUE,TRANSPOSE(_xlfn.UNIQUE(_xlfn._xlws.FILTER(DET_ASIG[DETALLADO],(DET_ASIG[NIVEL]=ASIGNACION!$D168)*(DET_ASIG[ID_CARRERA]=ASIGNACION!$C168)*(DET_ASIG[ID_ASIG]=ASIGNACION!$G168),"No existe información"))))</f>
        <v>No existe información</v>
      </c>
      <c r="I168" s="1"/>
      <c r="J168">
        <f>_xlfn.XLOOKUP(Tabla1[[#This Row],[ID_ASIG_CAM_DET]],MAE_ASIGNATURA[ID_ASIG],MAE_ASIGNATURA[HORAS],0)</f>
        <v>0</v>
      </c>
      <c r="K168">
        <v>4</v>
      </c>
      <c r="L168" s="2">
        <f>+Tabla1[[#This Row],[CALCULAR HORA]]*Tabla1[[#This Row],[HORAS]]</f>
        <v>0</v>
      </c>
      <c r="N168" t="str">
        <f>_xlfn.XLOOKUP(Tabla1[[#This Row],[NOMBRE_DOCENT]],MDOCENTES[DATOS_DOCENTE],MDOCENTES[DEDICACION],"Seleccione Docente")</f>
        <v>Seleccione Docente</v>
      </c>
      <c r="O168" t="str">
        <f>_xlfn.XLOOKUP(Tabla1[[#This Row],[NOMBRE_DOCENT]],MDOCENTES[DATOS_DOCENTE],MDOCENTES[ESTUDIO],"Seleccione Docente")</f>
        <v>Seleccione Docente</v>
      </c>
      <c r="P168">
        <f t="shared" si="10"/>
        <v>0</v>
      </c>
      <c r="Q168">
        <f t="shared" si="11"/>
        <v>0</v>
      </c>
      <c r="R168">
        <f t="shared" si="12"/>
        <v>0</v>
      </c>
      <c r="S168">
        <f t="shared" si="13"/>
        <v>0</v>
      </c>
      <c r="T168">
        <f t="shared" si="14"/>
        <v>0</v>
      </c>
      <c r="U168">
        <f>Tabla1[[#This Row],[HORAS NO AFINIDAD]]+Tabla1[[#This Row],[HORAS UNIDAD BASICA]]+Tabla1[[#This Row],[HORAS AFINIDAD]]</f>
        <v>0</v>
      </c>
      <c r="V168">
        <f>+Tabla1[[#This Row],[HORAS AFINIDAD]]+Tabla1[[#This Row],[HORAS ACTIVIDAD]]+Tabla1[[#This Row],[HORAS UNIDAD BASICA]]+Tabla1[[#This Row],[HORAS NO AFINIDAD]]</f>
        <v>0</v>
      </c>
    </row>
    <row r="169" spans="1:22" ht="18.75" customHeight="1">
      <c r="A169">
        <v>168</v>
      </c>
      <c r="C169" t="str">
        <f>_xlfn.XLOOKUP(Tabla1[[#This Row],[CARRERA]],MAE_CARRERA[NOMBRE_CARRERA],MAE_CARRERA[ID_CARRERA],"Seleccione Carrera")</f>
        <v>Seleccione Carrera</v>
      </c>
      <c r="F169" s="1"/>
      <c r="G169" t="str">
        <f>_xlfn.XLOOKUP(Tabla1[[#This Row],[ASIGNATURA]],MAE_ASIGNATURA[NOM_ASIG],MAE_ASIGNATURA[ID_ASIG],"Seleccione Asignatura")</f>
        <v>Seleccione Asignatura</v>
      </c>
      <c r="H169" s="1" t="str" cm="1">
        <f t="array" ref="H169">_xlfn.TEXTJOIN("; ",TRUE,TRANSPOSE(_xlfn.UNIQUE(_xlfn._xlws.FILTER(DET_ASIG[DETALLADO],(DET_ASIG[NIVEL]=ASIGNACION!$D169)*(DET_ASIG[ID_CARRERA]=ASIGNACION!$C169)*(DET_ASIG[ID_ASIG]=ASIGNACION!$G169),"No existe información"))))</f>
        <v>No existe información</v>
      </c>
      <c r="I169" s="1"/>
      <c r="J169">
        <f>_xlfn.XLOOKUP(Tabla1[[#This Row],[ID_ASIG_CAM_DET]],MAE_ASIGNATURA[ID_ASIG],MAE_ASIGNATURA[HORAS],0)</f>
        <v>0</v>
      </c>
      <c r="K169">
        <v>4</v>
      </c>
      <c r="L169" s="2">
        <f>+Tabla1[[#This Row],[CALCULAR HORA]]*Tabla1[[#This Row],[HORAS]]</f>
        <v>0</v>
      </c>
      <c r="N169" t="str">
        <f>_xlfn.XLOOKUP(Tabla1[[#This Row],[NOMBRE_DOCENT]],MDOCENTES[DATOS_DOCENTE],MDOCENTES[DEDICACION],"Seleccione Docente")</f>
        <v>Seleccione Docente</v>
      </c>
      <c r="O169" t="str">
        <f>_xlfn.XLOOKUP(Tabla1[[#This Row],[NOMBRE_DOCENT]],MDOCENTES[DATOS_DOCENTE],MDOCENTES[ESTUDIO],"Seleccione Docente")</f>
        <v>Seleccione Docente</v>
      </c>
      <c r="P169">
        <f t="shared" si="10"/>
        <v>0</v>
      </c>
      <c r="Q169">
        <f t="shared" si="11"/>
        <v>0</v>
      </c>
      <c r="R169">
        <f t="shared" si="12"/>
        <v>0</v>
      </c>
      <c r="S169">
        <f t="shared" si="13"/>
        <v>0</v>
      </c>
      <c r="T169">
        <f t="shared" si="14"/>
        <v>0</v>
      </c>
      <c r="U169">
        <f>Tabla1[[#This Row],[HORAS NO AFINIDAD]]+Tabla1[[#This Row],[HORAS UNIDAD BASICA]]+Tabla1[[#This Row],[HORAS AFINIDAD]]</f>
        <v>0</v>
      </c>
      <c r="V169">
        <f>+Tabla1[[#This Row],[HORAS AFINIDAD]]+Tabla1[[#This Row],[HORAS ACTIVIDAD]]+Tabla1[[#This Row],[HORAS UNIDAD BASICA]]+Tabla1[[#This Row],[HORAS NO AFINIDAD]]</f>
        <v>0</v>
      </c>
    </row>
    <row r="170" spans="1:22" ht="18.75" customHeight="1">
      <c r="A170">
        <v>169</v>
      </c>
      <c r="C170" t="str">
        <f>_xlfn.XLOOKUP(Tabla1[[#This Row],[CARRERA]],MAE_CARRERA[NOMBRE_CARRERA],MAE_CARRERA[ID_CARRERA],"Seleccione Carrera")</f>
        <v>Seleccione Carrera</v>
      </c>
      <c r="F170" s="1"/>
      <c r="G170" t="str">
        <f>_xlfn.XLOOKUP(Tabla1[[#This Row],[ASIGNATURA]],MAE_ASIGNATURA[NOM_ASIG],MAE_ASIGNATURA[ID_ASIG],"Seleccione Asignatura")</f>
        <v>Seleccione Asignatura</v>
      </c>
      <c r="H170" s="1" t="str" cm="1">
        <f t="array" ref="H170">_xlfn.TEXTJOIN("; ",TRUE,TRANSPOSE(_xlfn.UNIQUE(_xlfn._xlws.FILTER(DET_ASIG[DETALLADO],(DET_ASIG[NIVEL]=ASIGNACION!$D170)*(DET_ASIG[ID_CARRERA]=ASIGNACION!$C170)*(DET_ASIG[ID_ASIG]=ASIGNACION!$G170),"No existe información"))))</f>
        <v>No existe información</v>
      </c>
      <c r="I170" s="1"/>
      <c r="J170">
        <f>_xlfn.XLOOKUP(Tabla1[[#This Row],[ID_ASIG_CAM_DET]],MAE_ASIGNATURA[ID_ASIG],MAE_ASIGNATURA[HORAS],0)</f>
        <v>0</v>
      </c>
      <c r="K170">
        <v>4</v>
      </c>
      <c r="L170" s="2">
        <f>+Tabla1[[#This Row],[CALCULAR HORA]]*Tabla1[[#This Row],[HORAS]]</f>
        <v>0</v>
      </c>
      <c r="N170" t="str">
        <f>_xlfn.XLOOKUP(Tabla1[[#This Row],[NOMBRE_DOCENT]],MDOCENTES[DATOS_DOCENTE],MDOCENTES[DEDICACION],"Seleccione Docente")</f>
        <v>Seleccione Docente</v>
      </c>
      <c r="O170" t="str">
        <f>_xlfn.XLOOKUP(Tabla1[[#This Row],[NOMBRE_DOCENT]],MDOCENTES[DATOS_DOCENTE],MDOCENTES[ESTUDIO],"Seleccione Docente")</f>
        <v>Seleccione Docente</v>
      </c>
      <c r="P170">
        <f t="shared" si="10"/>
        <v>0</v>
      </c>
      <c r="Q170">
        <f t="shared" si="11"/>
        <v>0</v>
      </c>
      <c r="R170">
        <f t="shared" si="12"/>
        <v>0</v>
      </c>
      <c r="S170">
        <f t="shared" si="13"/>
        <v>0</v>
      </c>
      <c r="T170">
        <f t="shared" si="14"/>
        <v>0</v>
      </c>
      <c r="U170">
        <f>Tabla1[[#This Row],[HORAS NO AFINIDAD]]+Tabla1[[#This Row],[HORAS UNIDAD BASICA]]+Tabla1[[#This Row],[HORAS AFINIDAD]]</f>
        <v>0</v>
      </c>
      <c r="V170">
        <f>+Tabla1[[#This Row],[HORAS AFINIDAD]]+Tabla1[[#This Row],[HORAS ACTIVIDAD]]+Tabla1[[#This Row],[HORAS UNIDAD BASICA]]+Tabla1[[#This Row],[HORAS NO AFINIDAD]]</f>
        <v>0</v>
      </c>
    </row>
    <row r="171" spans="1:22" ht="18.75" customHeight="1">
      <c r="A171">
        <v>170</v>
      </c>
      <c r="C171" t="str">
        <f>_xlfn.XLOOKUP(Tabla1[[#This Row],[CARRERA]],MAE_CARRERA[NOMBRE_CARRERA],MAE_CARRERA[ID_CARRERA],"Seleccione Carrera")</f>
        <v>Seleccione Carrera</v>
      </c>
      <c r="F171" s="1"/>
      <c r="G171" t="str">
        <f>_xlfn.XLOOKUP(Tabla1[[#This Row],[ASIGNATURA]],MAE_ASIGNATURA[NOM_ASIG],MAE_ASIGNATURA[ID_ASIG],"Seleccione Asignatura")</f>
        <v>Seleccione Asignatura</v>
      </c>
      <c r="H171" s="1" t="str" cm="1">
        <f t="array" ref="H171">_xlfn.TEXTJOIN("; ",TRUE,TRANSPOSE(_xlfn.UNIQUE(_xlfn._xlws.FILTER(DET_ASIG[DETALLADO],(DET_ASIG[NIVEL]=ASIGNACION!$D171)*(DET_ASIG[ID_CARRERA]=ASIGNACION!$C171)*(DET_ASIG[ID_ASIG]=ASIGNACION!$G171),"No existe información"))))</f>
        <v>No existe información</v>
      </c>
      <c r="I171" s="1"/>
      <c r="J171">
        <f>_xlfn.XLOOKUP(Tabla1[[#This Row],[ID_ASIG_CAM_DET]],MAE_ASIGNATURA[ID_ASIG],MAE_ASIGNATURA[HORAS],0)</f>
        <v>0</v>
      </c>
      <c r="K171">
        <v>4</v>
      </c>
      <c r="L171" s="2">
        <f>+Tabla1[[#This Row],[CALCULAR HORA]]*Tabla1[[#This Row],[HORAS]]</f>
        <v>0</v>
      </c>
      <c r="N171" t="str">
        <f>_xlfn.XLOOKUP(Tabla1[[#This Row],[NOMBRE_DOCENT]],MDOCENTES[DATOS_DOCENTE],MDOCENTES[DEDICACION],"Seleccione Docente")</f>
        <v>Seleccione Docente</v>
      </c>
      <c r="O171" t="str">
        <f>_xlfn.XLOOKUP(Tabla1[[#This Row],[NOMBRE_DOCENT]],MDOCENTES[DATOS_DOCENTE],MDOCENTES[ESTUDIO],"Seleccione Docente")</f>
        <v>Seleccione Docente</v>
      </c>
      <c r="P171">
        <f t="shared" si="10"/>
        <v>0</v>
      </c>
      <c r="Q171">
        <f t="shared" si="11"/>
        <v>0</v>
      </c>
      <c r="R171">
        <f t="shared" si="12"/>
        <v>0</v>
      </c>
      <c r="S171">
        <f t="shared" si="13"/>
        <v>0</v>
      </c>
      <c r="T171">
        <f t="shared" si="14"/>
        <v>0</v>
      </c>
      <c r="U171">
        <f>Tabla1[[#This Row],[HORAS NO AFINIDAD]]+Tabla1[[#This Row],[HORAS UNIDAD BASICA]]+Tabla1[[#This Row],[HORAS AFINIDAD]]</f>
        <v>0</v>
      </c>
      <c r="V171">
        <f>+Tabla1[[#This Row],[HORAS AFINIDAD]]+Tabla1[[#This Row],[HORAS ACTIVIDAD]]+Tabla1[[#This Row],[HORAS UNIDAD BASICA]]+Tabla1[[#This Row],[HORAS NO AFINIDAD]]</f>
        <v>0</v>
      </c>
    </row>
    <row r="172" spans="1:22" ht="18.75" customHeight="1">
      <c r="A172">
        <v>171</v>
      </c>
      <c r="C172" t="str">
        <f>_xlfn.XLOOKUP(Tabla1[[#This Row],[CARRERA]],MAE_CARRERA[NOMBRE_CARRERA],MAE_CARRERA[ID_CARRERA],"Seleccione Carrera")</f>
        <v>Seleccione Carrera</v>
      </c>
      <c r="F172" s="1"/>
      <c r="G172" t="str">
        <f>_xlfn.XLOOKUP(Tabla1[[#This Row],[ASIGNATURA]],MAE_ASIGNATURA[NOM_ASIG],MAE_ASIGNATURA[ID_ASIG],"Seleccione Asignatura")</f>
        <v>Seleccione Asignatura</v>
      </c>
      <c r="H172" s="1" t="str" cm="1">
        <f t="array" ref="H172">_xlfn.TEXTJOIN("; ",TRUE,TRANSPOSE(_xlfn.UNIQUE(_xlfn._xlws.FILTER(DET_ASIG[DETALLADO],(DET_ASIG[NIVEL]=ASIGNACION!$D172)*(DET_ASIG[ID_CARRERA]=ASIGNACION!$C172)*(DET_ASIG[ID_ASIG]=ASIGNACION!$G172),"No existe información"))))</f>
        <v>No existe información</v>
      </c>
      <c r="I172" s="1"/>
      <c r="J172">
        <f>_xlfn.XLOOKUP(Tabla1[[#This Row],[ID_ASIG_CAM_DET]],MAE_ASIGNATURA[ID_ASIG],MAE_ASIGNATURA[HORAS],0)</f>
        <v>0</v>
      </c>
      <c r="K172">
        <v>4</v>
      </c>
      <c r="L172" s="2">
        <f>+Tabla1[[#This Row],[CALCULAR HORA]]*Tabla1[[#This Row],[HORAS]]</f>
        <v>0</v>
      </c>
      <c r="N172" t="str">
        <f>_xlfn.XLOOKUP(Tabla1[[#This Row],[NOMBRE_DOCENT]],MDOCENTES[DATOS_DOCENTE],MDOCENTES[DEDICACION],"Seleccione Docente")</f>
        <v>Seleccione Docente</v>
      </c>
      <c r="O172" t="str">
        <f>_xlfn.XLOOKUP(Tabla1[[#This Row],[NOMBRE_DOCENT]],MDOCENTES[DATOS_DOCENTE],MDOCENTES[ESTUDIO],"Seleccione Docente")</f>
        <v>Seleccione Docente</v>
      </c>
      <c r="P172">
        <f t="shared" si="10"/>
        <v>0</v>
      </c>
      <c r="Q172">
        <f t="shared" si="11"/>
        <v>0</v>
      </c>
      <c r="R172">
        <f t="shared" si="12"/>
        <v>0</v>
      </c>
      <c r="S172">
        <f t="shared" si="13"/>
        <v>0</v>
      </c>
      <c r="T172">
        <f t="shared" si="14"/>
        <v>0</v>
      </c>
      <c r="U172">
        <f>Tabla1[[#This Row],[HORAS NO AFINIDAD]]+Tabla1[[#This Row],[HORAS UNIDAD BASICA]]+Tabla1[[#This Row],[HORAS AFINIDAD]]</f>
        <v>0</v>
      </c>
      <c r="V172">
        <f>+Tabla1[[#This Row],[HORAS AFINIDAD]]+Tabla1[[#This Row],[HORAS ACTIVIDAD]]+Tabla1[[#This Row],[HORAS UNIDAD BASICA]]+Tabla1[[#This Row],[HORAS NO AFINIDAD]]</f>
        <v>0</v>
      </c>
    </row>
    <row r="173" spans="1:22" ht="18.75" customHeight="1">
      <c r="A173">
        <v>172</v>
      </c>
      <c r="C173" t="str">
        <f>_xlfn.XLOOKUP(Tabla1[[#This Row],[CARRERA]],MAE_CARRERA[NOMBRE_CARRERA],MAE_CARRERA[ID_CARRERA],"Seleccione Carrera")</f>
        <v>Seleccione Carrera</v>
      </c>
      <c r="F173" s="1"/>
      <c r="G173" t="str">
        <f>_xlfn.XLOOKUP(Tabla1[[#This Row],[ASIGNATURA]],MAE_ASIGNATURA[NOM_ASIG],MAE_ASIGNATURA[ID_ASIG],"Seleccione Asignatura")</f>
        <v>Seleccione Asignatura</v>
      </c>
      <c r="H173" s="1" t="str" cm="1">
        <f t="array" ref="H173">_xlfn.TEXTJOIN("; ",TRUE,TRANSPOSE(_xlfn.UNIQUE(_xlfn._xlws.FILTER(DET_ASIG[DETALLADO],(DET_ASIG[NIVEL]=ASIGNACION!$D173)*(DET_ASIG[ID_CARRERA]=ASIGNACION!$C173)*(DET_ASIG[ID_ASIG]=ASIGNACION!$G173),"No existe información"))))</f>
        <v>No existe información</v>
      </c>
      <c r="I173" s="1"/>
      <c r="J173">
        <f>_xlfn.XLOOKUP(Tabla1[[#This Row],[ID_ASIG_CAM_DET]],MAE_ASIGNATURA[ID_ASIG],MAE_ASIGNATURA[HORAS],0)</f>
        <v>0</v>
      </c>
      <c r="K173">
        <v>4</v>
      </c>
      <c r="L173" s="2">
        <f>+Tabla1[[#This Row],[CALCULAR HORA]]*Tabla1[[#This Row],[HORAS]]</f>
        <v>0</v>
      </c>
      <c r="N173" t="str">
        <f>_xlfn.XLOOKUP(Tabla1[[#This Row],[NOMBRE_DOCENT]],MDOCENTES[DATOS_DOCENTE],MDOCENTES[DEDICACION],"Seleccione Docente")</f>
        <v>Seleccione Docente</v>
      </c>
      <c r="O173" t="str">
        <f>_xlfn.XLOOKUP(Tabla1[[#This Row],[NOMBRE_DOCENT]],MDOCENTES[DATOS_DOCENTE],MDOCENTES[ESTUDIO],"Seleccione Docente")</f>
        <v>Seleccione Docente</v>
      </c>
      <c r="P173">
        <f t="shared" si="10"/>
        <v>0</v>
      </c>
      <c r="Q173">
        <f t="shared" si="11"/>
        <v>0</v>
      </c>
      <c r="R173">
        <f t="shared" si="12"/>
        <v>0</v>
      </c>
      <c r="S173">
        <f t="shared" si="13"/>
        <v>0</v>
      </c>
      <c r="T173">
        <f t="shared" si="14"/>
        <v>0</v>
      </c>
      <c r="U173">
        <f>Tabla1[[#This Row],[HORAS NO AFINIDAD]]+Tabla1[[#This Row],[HORAS UNIDAD BASICA]]+Tabla1[[#This Row],[HORAS AFINIDAD]]</f>
        <v>0</v>
      </c>
      <c r="V173">
        <f>+Tabla1[[#This Row],[HORAS AFINIDAD]]+Tabla1[[#This Row],[HORAS ACTIVIDAD]]+Tabla1[[#This Row],[HORAS UNIDAD BASICA]]+Tabla1[[#This Row],[HORAS NO AFINIDAD]]</f>
        <v>0</v>
      </c>
    </row>
    <row r="174" spans="1:22" ht="18.75" customHeight="1">
      <c r="A174">
        <v>173</v>
      </c>
      <c r="C174" t="str">
        <f>_xlfn.XLOOKUP(Tabla1[[#This Row],[CARRERA]],MAE_CARRERA[NOMBRE_CARRERA],MAE_CARRERA[ID_CARRERA],"Seleccione Carrera")</f>
        <v>Seleccione Carrera</v>
      </c>
      <c r="F174" s="1"/>
      <c r="G174" t="str">
        <f>_xlfn.XLOOKUP(Tabla1[[#This Row],[ASIGNATURA]],MAE_ASIGNATURA[NOM_ASIG],MAE_ASIGNATURA[ID_ASIG],"Seleccione Asignatura")</f>
        <v>Seleccione Asignatura</v>
      </c>
      <c r="H174" s="1" t="str" cm="1">
        <f t="array" ref="H174">_xlfn.TEXTJOIN("; ",TRUE,TRANSPOSE(_xlfn.UNIQUE(_xlfn._xlws.FILTER(DET_ASIG[DETALLADO],(DET_ASIG[NIVEL]=ASIGNACION!$D174)*(DET_ASIG[ID_CARRERA]=ASIGNACION!$C174)*(DET_ASIG[ID_ASIG]=ASIGNACION!$G174),"No existe información"))))</f>
        <v>No existe información</v>
      </c>
      <c r="I174" s="1"/>
      <c r="J174">
        <f>_xlfn.XLOOKUP(Tabla1[[#This Row],[ID_ASIG_CAM_DET]],MAE_ASIGNATURA[ID_ASIG],MAE_ASIGNATURA[HORAS],0)</f>
        <v>0</v>
      </c>
      <c r="K174">
        <v>4</v>
      </c>
      <c r="L174" s="2">
        <f>+Tabla1[[#This Row],[CALCULAR HORA]]*Tabla1[[#This Row],[HORAS]]</f>
        <v>0</v>
      </c>
      <c r="N174" t="str">
        <f>_xlfn.XLOOKUP(Tabla1[[#This Row],[NOMBRE_DOCENT]],MDOCENTES[DATOS_DOCENTE],MDOCENTES[DEDICACION],"Seleccione Docente")</f>
        <v>Seleccione Docente</v>
      </c>
      <c r="O174" t="str">
        <f>_xlfn.XLOOKUP(Tabla1[[#This Row],[NOMBRE_DOCENT]],MDOCENTES[DATOS_DOCENTE],MDOCENTES[ESTUDIO],"Seleccione Docente")</f>
        <v>Seleccione Docente</v>
      </c>
      <c r="P174">
        <f t="shared" si="10"/>
        <v>0</v>
      </c>
      <c r="Q174">
        <f t="shared" si="11"/>
        <v>0</v>
      </c>
      <c r="R174">
        <f t="shared" si="12"/>
        <v>0</v>
      </c>
      <c r="S174">
        <f t="shared" si="13"/>
        <v>0</v>
      </c>
      <c r="T174">
        <f t="shared" si="14"/>
        <v>0</v>
      </c>
      <c r="U174">
        <f>Tabla1[[#This Row],[HORAS NO AFINIDAD]]+Tabla1[[#This Row],[HORAS UNIDAD BASICA]]+Tabla1[[#This Row],[HORAS AFINIDAD]]</f>
        <v>0</v>
      </c>
      <c r="V174">
        <f>+Tabla1[[#This Row],[HORAS AFINIDAD]]+Tabla1[[#This Row],[HORAS ACTIVIDAD]]+Tabla1[[#This Row],[HORAS UNIDAD BASICA]]+Tabla1[[#This Row],[HORAS NO AFINIDAD]]</f>
        <v>0</v>
      </c>
    </row>
    <row r="175" spans="1:22" ht="18.75" customHeight="1">
      <c r="A175">
        <v>174</v>
      </c>
      <c r="C175" t="str">
        <f>_xlfn.XLOOKUP(Tabla1[[#This Row],[CARRERA]],MAE_CARRERA[NOMBRE_CARRERA],MAE_CARRERA[ID_CARRERA],"Seleccione Carrera")</f>
        <v>Seleccione Carrera</v>
      </c>
      <c r="F175" s="1"/>
      <c r="G175" t="str">
        <f>_xlfn.XLOOKUP(Tabla1[[#This Row],[ASIGNATURA]],MAE_ASIGNATURA[NOM_ASIG],MAE_ASIGNATURA[ID_ASIG],"Seleccione Asignatura")</f>
        <v>Seleccione Asignatura</v>
      </c>
      <c r="H175" s="1" t="str" cm="1">
        <f t="array" ref="H175">_xlfn.TEXTJOIN("; ",TRUE,TRANSPOSE(_xlfn.UNIQUE(_xlfn._xlws.FILTER(DET_ASIG[DETALLADO],(DET_ASIG[NIVEL]=ASIGNACION!$D175)*(DET_ASIG[ID_CARRERA]=ASIGNACION!$C175)*(DET_ASIG[ID_ASIG]=ASIGNACION!$G175),"No existe información"))))</f>
        <v>No existe información</v>
      </c>
      <c r="I175" s="1"/>
      <c r="J175">
        <f>_xlfn.XLOOKUP(Tabla1[[#This Row],[ID_ASIG_CAM_DET]],MAE_ASIGNATURA[ID_ASIG],MAE_ASIGNATURA[HORAS],0)</f>
        <v>0</v>
      </c>
      <c r="K175">
        <v>4</v>
      </c>
      <c r="L175" s="2">
        <f>+Tabla1[[#This Row],[CALCULAR HORA]]*Tabla1[[#This Row],[HORAS]]</f>
        <v>0</v>
      </c>
      <c r="N175" t="str">
        <f>_xlfn.XLOOKUP(Tabla1[[#This Row],[NOMBRE_DOCENT]],MDOCENTES[DATOS_DOCENTE],MDOCENTES[DEDICACION],"Seleccione Docente")</f>
        <v>Seleccione Docente</v>
      </c>
      <c r="O175" t="str">
        <f>_xlfn.XLOOKUP(Tabla1[[#This Row],[NOMBRE_DOCENT]],MDOCENTES[DATOS_DOCENTE],MDOCENTES[ESTUDIO],"Seleccione Docente")</f>
        <v>Seleccione Docente</v>
      </c>
      <c r="P175">
        <f t="shared" si="10"/>
        <v>0</v>
      </c>
      <c r="Q175">
        <f t="shared" si="11"/>
        <v>0</v>
      </c>
      <c r="R175">
        <f t="shared" si="12"/>
        <v>0</v>
      </c>
      <c r="S175">
        <f t="shared" si="13"/>
        <v>0</v>
      </c>
      <c r="T175">
        <f t="shared" si="14"/>
        <v>0</v>
      </c>
      <c r="U175">
        <f>Tabla1[[#This Row],[HORAS NO AFINIDAD]]+Tabla1[[#This Row],[HORAS UNIDAD BASICA]]+Tabla1[[#This Row],[HORAS AFINIDAD]]</f>
        <v>0</v>
      </c>
      <c r="V175">
        <f>+Tabla1[[#This Row],[HORAS AFINIDAD]]+Tabla1[[#This Row],[HORAS ACTIVIDAD]]+Tabla1[[#This Row],[HORAS UNIDAD BASICA]]+Tabla1[[#This Row],[HORAS NO AFINIDAD]]</f>
        <v>0</v>
      </c>
    </row>
    <row r="176" spans="1:22" ht="18.75" customHeight="1">
      <c r="A176">
        <v>175</v>
      </c>
      <c r="C176" t="str">
        <f>_xlfn.XLOOKUP(Tabla1[[#This Row],[CARRERA]],MAE_CARRERA[NOMBRE_CARRERA],MAE_CARRERA[ID_CARRERA],"Seleccione Carrera")</f>
        <v>Seleccione Carrera</v>
      </c>
      <c r="F176" s="1"/>
      <c r="G176" t="str">
        <f>_xlfn.XLOOKUP(Tabla1[[#This Row],[ASIGNATURA]],MAE_ASIGNATURA[NOM_ASIG],MAE_ASIGNATURA[ID_ASIG],"Seleccione Asignatura")</f>
        <v>Seleccione Asignatura</v>
      </c>
      <c r="H176" s="1" t="str" cm="1">
        <f t="array" ref="H176">_xlfn.TEXTJOIN("; ",TRUE,TRANSPOSE(_xlfn.UNIQUE(_xlfn._xlws.FILTER(DET_ASIG[DETALLADO],(DET_ASIG[NIVEL]=ASIGNACION!$D176)*(DET_ASIG[ID_CARRERA]=ASIGNACION!$C176)*(DET_ASIG[ID_ASIG]=ASIGNACION!$G176),"No existe información"))))</f>
        <v>No existe información</v>
      </c>
      <c r="I176" s="1"/>
      <c r="J176">
        <f>_xlfn.XLOOKUP(Tabla1[[#This Row],[ID_ASIG_CAM_DET]],MAE_ASIGNATURA[ID_ASIG],MAE_ASIGNATURA[HORAS],0)</f>
        <v>0</v>
      </c>
      <c r="K176">
        <v>4</v>
      </c>
      <c r="L176" s="2">
        <f>+Tabla1[[#This Row],[CALCULAR HORA]]*Tabla1[[#This Row],[HORAS]]</f>
        <v>0</v>
      </c>
      <c r="N176" t="str">
        <f>_xlfn.XLOOKUP(Tabla1[[#This Row],[NOMBRE_DOCENT]],MDOCENTES[DATOS_DOCENTE],MDOCENTES[DEDICACION],"Seleccione Docente")</f>
        <v>Seleccione Docente</v>
      </c>
      <c r="O176" t="str">
        <f>_xlfn.XLOOKUP(Tabla1[[#This Row],[NOMBRE_DOCENT]],MDOCENTES[DATOS_DOCENTE],MDOCENTES[ESTUDIO],"Seleccione Docente")</f>
        <v>Seleccione Docente</v>
      </c>
      <c r="P176">
        <f t="shared" si="10"/>
        <v>0</v>
      </c>
      <c r="Q176">
        <f t="shared" si="11"/>
        <v>0</v>
      </c>
      <c r="R176">
        <f t="shared" si="12"/>
        <v>0</v>
      </c>
      <c r="S176">
        <f t="shared" si="13"/>
        <v>0</v>
      </c>
      <c r="T176">
        <f t="shared" si="14"/>
        <v>0</v>
      </c>
      <c r="U176">
        <f>Tabla1[[#This Row],[HORAS NO AFINIDAD]]+Tabla1[[#This Row],[HORAS UNIDAD BASICA]]+Tabla1[[#This Row],[HORAS AFINIDAD]]</f>
        <v>0</v>
      </c>
      <c r="V176">
        <f>+Tabla1[[#This Row],[HORAS AFINIDAD]]+Tabla1[[#This Row],[HORAS ACTIVIDAD]]+Tabla1[[#This Row],[HORAS UNIDAD BASICA]]+Tabla1[[#This Row],[HORAS NO AFINIDAD]]</f>
        <v>0</v>
      </c>
    </row>
    <row r="177" spans="1:22" ht="18.75" customHeight="1">
      <c r="A177">
        <v>176</v>
      </c>
      <c r="C177" t="str">
        <f>_xlfn.XLOOKUP(Tabla1[[#This Row],[CARRERA]],MAE_CARRERA[NOMBRE_CARRERA],MAE_CARRERA[ID_CARRERA],"Seleccione Carrera")</f>
        <v>Seleccione Carrera</v>
      </c>
      <c r="F177" s="1"/>
      <c r="G177" t="str">
        <f>_xlfn.XLOOKUP(Tabla1[[#This Row],[ASIGNATURA]],MAE_ASIGNATURA[NOM_ASIG],MAE_ASIGNATURA[ID_ASIG],"Seleccione Asignatura")</f>
        <v>Seleccione Asignatura</v>
      </c>
      <c r="H177" s="1" t="str" cm="1">
        <f t="array" ref="H177">_xlfn.TEXTJOIN("; ",TRUE,TRANSPOSE(_xlfn.UNIQUE(_xlfn._xlws.FILTER(DET_ASIG[DETALLADO],(DET_ASIG[NIVEL]=ASIGNACION!$D177)*(DET_ASIG[ID_CARRERA]=ASIGNACION!$C177)*(DET_ASIG[ID_ASIG]=ASIGNACION!$G177),"No existe información"))))</f>
        <v>No existe información</v>
      </c>
      <c r="I177" s="1"/>
      <c r="J177">
        <f>_xlfn.XLOOKUP(Tabla1[[#This Row],[ID_ASIG_CAM_DET]],MAE_ASIGNATURA[ID_ASIG],MAE_ASIGNATURA[HORAS],0)</f>
        <v>0</v>
      </c>
      <c r="K177">
        <v>4</v>
      </c>
      <c r="L177" s="2">
        <f>+Tabla1[[#This Row],[CALCULAR HORA]]*Tabla1[[#This Row],[HORAS]]</f>
        <v>0</v>
      </c>
      <c r="N177" t="str">
        <f>_xlfn.XLOOKUP(Tabla1[[#This Row],[NOMBRE_DOCENT]],MDOCENTES[DATOS_DOCENTE],MDOCENTES[DEDICACION],"Seleccione Docente")</f>
        <v>Seleccione Docente</v>
      </c>
      <c r="O177" t="str">
        <f>_xlfn.XLOOKUP(Tabla1[[#This Row],[NOMBRE_DOCENT]],MDOCENTES[DATOS_DOCENTE],MDOCENTES[ESTUDIO],"Seleccione Docente")</f>
        <v>Seleccione Docente</v>
      </c>
      <c r="P177">
        <f t="shared" si="10"/>
        <v>0</v>
      </c>
      <c r="Q177">
        <f t="shared" si="11"/>
        <v>0</v>
      </c>
      <c r="R177">
        <f t="shared" si="12"/>
        <v>0</v>
      </c>
      <c r="S177">
        <f t="shared" si="13"/>
        <v>0</v>
      </c>
      <c r="T177">
        <f t="shared" si="14"/>
        <v>0</v>
      </c>
      <c r="U177">
        <f>Tabla1[[#This Row],[HORAS NO AFINIDAD]]+Tabla1[[#This Row],[HORAS UNIDAD BASICA]]+Tabla1[[#This Row],[HORAS AFINIDAD]]</f>
        <v>0</v>
      </c>
      <c r="V177">
        <f>+Tabla1[[#This Row],[HORAS AFINIDAD]]+Tabla1[[#This Row],[HORAS ACTIVIDAD]]+Tabla1[[#This Row],[HORAS UNIDAD BASICA]]+Tabla1[[#This Row],[HORAS NO AFINIDAD]]</f>
        <v>0</v>
      </c>
    </row>
    <row r="178" spans="1:22" ht="18.75" customHeight="1">
      <c r="A178">
        <v>177</v>
      </c>
      <c r="C178" t="str">
        <f>_xlfn.XLOOKUP(Tabla1[[#This Row],[CARRERA]],MAE_CARRERA[NOMBRE_CARRERA],MAE_CARRERA[ID_CARRERA],"Seleccione Carrera")</f>
        <v>Seleccione Carrera</v>
      </c>
      <c r="F178" s="1"/>
      <c r="G178" t="str">
        <f>_xlfn.XLOOKUP(Tabla1[[#This Row],[ASIGNATURA]],MAE_ASIGNATURA[NOM_ASIG],MAE_ASIGNATURA[ID_ASIG],"Seleccione Asignatura")</f>
        <v>Seleccione Asignatura</v>
      </c>
      <c r="H178" s="1" t="str" cm="1">
        <f t="array" ref="H178">_xlfn.TEXTJOIN("; ",TRUE,TRANSPOSE(_xlfn.UNIQUE(_xlfn._xlws.FILTER(DET_ASIG[DETALLADO],(DET_ASIG[NIVEL]=ASIGNACION!$D178)*(DET_ASIG[ID_CARRERA]=ASIGNACION!$C178)*(DET_ASIG[ID_ASIG]=ASIGNACION!$G178),"No existe información"))))</f>
        <v>No existe información</v>
      </c>
      <c r="I178" s="1"/>
      <c r="J178">
        <f>_xlfn.XLOOKUP(Tabla1[[#This Row],[ID_ASIG_CAM_DET]],MAE_ASIGNATURA[ID_ASIG],MAE_ASIGNATURA[HORAS],0)</f>
        <v>0</v>
      </c>
      <c r="K178">
        <v>4</v>
      </c>
      <c r="L178" s="2">
        <f>+Tabla1[[#This Row],[CALCULAR HORA]]*Tabla1[[#This Row],[HORAS]]</f>
        <v>0</v>
      </c>
      <c r="N178" t="str">
        <f>_xlfn.XLOOKUP(Tabla1[[#This Row],[NOMBRE_DOCENT]],MDOCENTES[DATOS_DOCENTE],MDOCENTES[DEDICACION],"Seleccione Docente")</f>
        <v>Seleccione Docente</v>
      </c>
      <c r="O178" t="str">
        <f>_xlfn.XLOOKUP(Tabla1[[#This Row],[NOMBRE_DOCENT]],MDOCENTES[DATOS_DOCENTE],MDOCENTES[ESTUDIO],"Seleccione Docente")</f>
        <v>Seleccione Docente</v>
      </c>
      <c r="P178">
        <f t="shared" si="10"/>
        <v>0</v>
      </c>
      <c r="Q178">
        <f t="shared" si="11"/>
        <v>0</v>
      </c>
      <c r="R178">
        <f t="shared" si="12"/>
        <v>0</v>
      </c>
      <c r="S178">
        <f t="shared" si="13"/>
        <v>0</v>
      </c>
      <c r="T178">
        <f t="shared" si="14"/>
        <v>0</v>
      </c>
      <c r="U178">
        <f>Tabla1[[#This Row],[HORAS NO AFINIDAD]]+Tabla1[[#This Row],[HORAS UNIDAD BASICA]]+Tabla1[[#This Row],[HORAS AFINIDAD]]</f>
        <v>0</v>
      </c>
      <c r="V178">
        <f>+Tabla1[[#This Row],[HORAS AFINIDAD]]+Tabla1[[#This Row],[HORAS ACTIVIDAD]]+Tabla1[[#This Row],[HORAS UNIDAD BASICA]]+Tabla1[[#This Row],[HORAS NO AFINIDAD]]</f>
        <v>0</v>
      </c>
    </row>
    <row r="179" spans="1:22" ht="18.75" customHeight="1">
      <c r="A179">
        <v>178</v>
      </c>
      <c r="C179" t="str">
        <f>_xlfn.XLOOKUP(Tabla1[[#This Row],[CARRERA]],MAE_CARRERA[NOMBRE_CARRERA],MAE_CARRERA[ID_CARRERA],"Seleccione Carrera")</f>
        <v>Seleccione Carrera</v>
      </c>
      <c r="F179" s="1"/>
      <c r="G179" t="str">
        <f>_xlfn.XLOOKUP(Tabla1[[#This Row],[ASIGNATURA]],MAE_ASIGNATURA[NOM_ASIG],MAE_ASIGNATURA[ID_ASIG],"Seleccione Asignatura")</f>
        <v>Seleccione Asignatura</v>
      </c>
      <c r="H179" s="1" t="str" cm="1">
        <f t="array" ref="H179">_xlfn.TEXTJOIN("; ",TRUE,TRANSPOSE(_xlfn.UNIQUE(_xlfn._xlws.FILTER(DET_ASIG[DETALLADO],(DET_ASIG[NIVEL]=ASIGNACION!$D179)*(DET_ASIG[ID_CARRERA]=ASIGNACION!$C179)*(DET_ASIG[ID_ASIG]=ASIGNACION!$G179),"No existe información"))))</f>
        <v>No existe información</v>
      </c>
      <c r="I179" s="1"/>
      <c r="J179">
        <f>_xlfn.XLOOKUP(Tabla1[[#This Row],[ID_ASIG_CAM_DET]],MAE_ASIGNATURA[ID_ASIG],MAE_ASIGNATURA[HORAS],0)</f>
        <v>0</v>
      </c>
      <c r="K179">
        <v>4</v>
      </c>
      <c r="L179" s="2">
        <f>+Tabla1[[#This Row],[CALCULAR HORA]]*Tabla1[[#This Row],[HORAS]]</f>
        <v>0</v>
      </c>
      <c r="N179" t="str">
        <f>_xlfn.XLOOKUP(Tabla1[[#This Row],[NOMBRE_DOCENT]],MDOCENTES[DATOS_DOCENTE],MDOCENTES[DEDICACION],"Seleccione Docente")</f>
        <v>Seleccione Docente</v>
      </c>
      <c r="O179" t="str">
        <f>_xlfn.XLOOKUP(Tabla1[[#This Row],[NOMBRE_DOCENT]],MDOCENTES[DATOS_DOCENTE],MDOCENTES[ESTUDIO],"Seleccione Docente")</f>
        <v>Seleccione Docente</v>
      </c>
      <c r="P179">
        <f t="shared" si="10"/>
        <v>0</v>
      </c>
      <c r="Q179">
        <f t="shared" si="11"/>
        <v>0</v>
      </c>
      <c r="R179">
        <f t="shared" si="12"/>
        <v>0</v>
      </c>
      <c r="S179">
        <f t="shared" si="13"/>
        <v>0</v>
      </c>
      <c r="T179">
        <f t="shared" si="14"/>
        <v>0</v>
      </c>
      <c r="U179">
        <f>Tabla1[[#This Row],[HORAS NO AFINIDAD]]+Tabla1[[#This Row],[HORAS UNIDAD BASICA]]+Tabla1[[#This Row],[HORAS AFINIDAD]]</f>
        <v>0</v>
      </c>
      <c r="V179">
        <f>+Tabla1[[#This Row],[HORAS AFINIDAD]]+Tabla1[[#This Row],[HORAS ACTIVIDAD]]+Tabla1[[#This Row],[HORAS UNIDAD BASICA]]+Tabla1[[#This Row],[HORAS NO AFINIDAD]]</f>
        <v>0</v>
      </c>
    </row>
    <row r="180" spans="1:22" ht="18.75" customHeight="1">
      <c r="A180">
        <v>179</v>
      </c>
      <c r="C180" t="str">
        <f>_xlfn.XLOOKUP(Tabla1[[#This Row],[CARRERA]],MAE_CARRERA[NOMBRE_CARRERA],MAE_CARRERA[ID_CARRERA],"Seleccione Carrera")</f>
        <v>Seleccione Carrera</v>
      </c>
      <c r="F180" s="1"/>
      <c r="G180" t="str">
        <f>_xlfn.XLOOKUP(Tabla1[[#This Row],[ASIGNATURA]],MAE_ASIGNATURA[NOM_ASIG],MAE_ASIGNATURA[ID_ASIG],"Seleccione Asignatura")</f>
        <v>Seleccione Asignatura</v>
      </c>
      <c r="H180" s="1" t="str" cm="1">
        <f t="array" ref="H180">_xlfn.TEXTJOIN("; ",TRUE,TRANSPOSE(_xlfn.UNIQUE(_xlfn._xlws.FILTER(DET_ASIG[DETALLADO],(DET_ASIG[NIVEL]=ASIGNACION!$D180)*(DET_ASIG[ID_CARRERA]=ASIGNACION!$C180)*(DET_ASIG[ID_ASIG]=ASIGNACION!$G180),"No existe información"))))</f>
        <v>No existe información</v>
      </c>
      <c r="I180" s="1"/>
      <c r="J180">
        <f>_xlfn.XLOOKUP(Tabla1[[#This Row],[ID_ASIG_CAM_DET]],MAE_ASIGNATURA[ID_ASIG],MAE_ASIGNATURA[HORAS],0)</f>
        <v>0</v>
      </c>
      <c r="K180">
        <v>4</v>
      </c>
      <c r="L180" s="2">
        <f>+Tabla1[[#This Row],[CALCULAR HORA]]*Tabla1[[#This Row],[HORAS]]</f>
        <v>0</v>
      </c>
      <c r="N180" t="str">
        <f>_xlfn.XLOOKUP(Tabla1[[#This Row],[NOMBRE_DOCENT]],MDOCENTES[DATOS_DOCENTE],MDOCENTES[DEDICACION],"Seleccione Docente")</f>
        <v>Seleccione Docente</v>
      </c>
      <c r="O180" t="str">
        <f>_xlfn.XLOOKUP(Tabla1[[#This Row],[NOMBRE_DOCENT]],MDOCENTES[DATOS_DOCENTE],MDOCENTES[ESTUDIO],"Seleccione Docente")</f>
        <v>Seleccione Docente</v>
      </c>
      <c r="P180">
        <f t="shared" si="10"/>
        <v>0</v>
      </c>
      <c r="Q180">
        <f t="shared" si="11"/>
        <v>0</v>
      </c>
      <c r="R180">
        <f t="shared" si="12"/>
        <v>0</v>
      </c>
      <c r="S180">
        <f t="shared" si="13"/>
        <v>0</v>
      </c>
      <c r="T180">
        <f t="shared" si="14"/>
        <v>0</v>
      </c>
      <c r="U180">
        <f>Tabla1[[#This Row],[HORAS NO AFINIDAD]]+Tabla1[[#This Row],[HORAS UNIDAD BASICA]]+Tabla1[[#This Row],[HORAS AFINIDAD]]</f>
        <v>0</v>
      </c>
      <c r="V180">
        <f>+Tabla1[[#This Row],[HORAS AFINIDAD]]+Tabla1[[#This Row],[HORAS ACTIVIDAD]]+Tabla1[[#This Row],[HORAS UNIDAD BASICA]]+Tabla1[[#This Row],[HORAS NO AFINIDAD]]</f>
        <v>0</v>
      </c>
    </row>
    <row r="181" spans="1:22" ht="18.75" customHeight="1">
      <c r="A181">
        <v>180</v>
      </c>
      <c r="C181" t="str">
        <f>_xlfn.XLOOKUP(Tabla1[[#This Row],[CARRERA]],MAE_CARRERA[NOMBRE_CARRERA],MAE_CARRERA[ID_CARRERA],"Seleccione Carrera")</f>
        <v>Seleccione Carrera</v>
      </c>
      <c r="F181" s="1"/>
      <c r="G181" t="str">
        <f>_xlfn.XLOOKUP(Tabla1[[#This Row],[ASIGNATURA]],MAE_ASIGNATURA[NOM_ASIG],MAE_ASIGNATURA[ID_ASIG],"Seleccione Asignatura")</f>
        <v>Seleccione Asignatura</v>
      </c>
      <c r="H181" s="1" t="str" cm="1">
        <f t="array" ref="H181">_xlfn.TEXTJOIN("; ",TRUE,TRANSPOSE(_xlfn.UNIQUE(_xlfn._xlws.FILTER(DET_ASIG[DETALLADO],(DET_ASIG[NIVEL]=ASIGNACION!$D181)*(DET_ASIG[ID_CARRERA]=ASIGNACION!$C181)*(DET_ASIG[ID_ASIG]=ASIGNACION!$G181),"No existe información"))))</f>
        <v>No existe información</v>
      </c>
      <c r="I181" s="1"/>
      <c r="J181">
        <f>_xlfn.XLOOKUP(Tabla1[[#This Row],[ID_ASIG_CAM_DET]],MAE_ASIGNATURA[ID_ASIG],MAE_ASIGNATURA[HORAS],0)</f>
        <v>0</v>
      </c>
      <c r="K181">
        <v>4</v>
      </c>
      <c r="L181" s="2">
        <f>+Tabla1[[#This Row],[CALCULAR HORA]]*Tabla1[[#This Row],[HORAS]]</f>
        <v>0</v>
      </c>
      <c r="N181" t="str">
        <f>_xlfn.XLOOKUP(Tabla1[[#This Row],[NOMBRE_DOCENT]],MDOCENTES[DATOS_DOCENTE],MDOCENTES[DEDICACION],"Seleccione Docente")</f>
        <v>Seleccione Docente</v>
      </c>
      <c r="O181" t="str">
        <f>_xlfn.XLOOKUP(Tabla1[[#This Row],[NOMBRE_DOCENT]],MDOCENTES[DATOS_DOCENTE],MDOCENTES[ESTUDIO],"Seleccione Docente")</f>
        <v>Seleccione Docente</v>
      </c>
      <c r="P181">
        <f t="shared" si="10"/>
        <v>0</v>
      </c>
      <c r="Q181">
        <f t="shared" si="11"/>
        <v>0</v>
      </c>
      <c r="R181">
        <f t="shared" si="12"/>
        <v>0</v>
      </c>
      <c r="S181">
        <f t="shared" si="13"/>
        <v>0</v>
      </c>
      <c r="T181">
        <f t="shared" si="14"/>
        <v>0</v>
      </c>
      <c r="U181">
        <f>Tabla1[[#This Row],[HORAS NO AFINIDAD]]+Tabla1[[#This Row],[HORAS UNIDAD BASICA]]+Tabla1[[#This Row],[HORAS AFINIDAD]]</f>
        <v>0</v>
      </c>
      <c r="V181">
        <f>+Tabla1[[#This Row],[HORAS AFINIDAD]]+Tabla1[[#This Row],[HORAS ACTIVIDAD]]+Tabla1[[#This Row],[HORAS UNIDAD BASICA]]+Tabla1[[#This Row],[HORAS NO AFINIDAD]]</f>
        <v>0</v>
      </c>
    </row>
    <row r="182" spans="1:22" ht="18.75" customHeight="1">
      <c r="A182">
        <v>181</v>
      </c>
      <c r="C182" t="str">
        <f>_xlfn.XLOOKUP(Tabla1[[#This Row],[CARRERA]],MAE_CARRERA[NOMBRE_CARRERA],MAE_CARRERA[ID_CARRERA],"Seleccione Carrera")</f>
        <v>Seleccione Carrera</v>
      </c>
      <c r="F182" s="1"/>
      <c r="G182" t="str">
        <f>_xlfn.XLOOKUP(Tabla1[[#This Row],[ASIGNATURA]],MAE_ASIGNATURA[NOM_ASIG],MAE_ASIGNATURA[ID_ASIG],"Seleccione Asignatura")</f>
        <v>Seleccione Asignatura</v>
      </c>
      <c r="H182" s="1" t="str" cm="1">
        <f t="array" ref="H182">_xlfn.TEXTJOIN("; ",TRUE,TRANSPOSE(_xlfn.UNIQUE(_xlfn._xlws.FILTER(DET_ASIG[DETALLADO],(DET_ASIG[NIVEL]=ASIGNACION!$D182)*(DET_ASIG[ID_CARRERA]=ASIGNACION!$C182)*(DET_ASIG[ID_ASIG]=ASIGNACION!$G182),"No existe información"))))</f>
        <v>No existe información</v>
      </c>
      <c r="I182" s="1"/>
      <c r="J182">
        <f>_xlfn.XLOOKUP(Tabla1[[#This Row],[ID_ASIG_CAM_DET]],MAE_ASIGNATURA[ID_ASIG],MAE_ASIGNATURA[HORAS],0)</f>
        <v>0</v>
      </c>
      <c r="K182">
        <v>4</v>
      </c>
      <c r="L182" s="2">
        <f>+Tabla1[[#This Row],[CALCULAR HORA]]*Tabla1[[#This Row],[HORAS]]</f>
        <v>0</v>
      </c>
      <c r="N182" t="str">
        <f>_xlfn.XLOOKUP(Tabla1[[#This Row],[NOMBRE_DOCENT]],MDOCENTES[DATOS_DOCENTE],MDOCENTES[DEDICACION],"Seleccione Docente")</f>
        <v>Seleccione Docente</v>
      </c>
      <c r="O182" t="str">
        <f>_xlfn.XLOOKUP(Tabla1[[#This Row],[NOMBRE_DOCENT]],MDOCENTES[DATOS_DOCENTE],MDOCENTES[ESTUDIO],"Seleccione Docente")</f>
        <v>Seleccione Docente</v>
      </c>
      <c r="P182">
        <f t="shared" si="10"/>
        <v>0</v>
      </c>
      <c r="Q182">
        <f t="shared" si="11"/>
        <v>0</v>
      </c>
      <c r="R182">
        <f t="shared" si="12"/>
        <v>0</v>
      </c>
      <c r="S182">
        <f t="shared" si="13"/>
        <v>0</v>
      </c>
      <c r="T182">
        <f t="shared" si="14"/>
        <v>0</v>
      </c>
      <c r="U182">
        <f>Tabla1[[#This Row],[HORAS NO AFINIDAD]]+Tabla1[[#This Row],[HORAS UNIDAD BASICA]]+Tabla1[[#This Row],[HORAS AFINIDAD]]</f>
        <v>0</v>
      </c>
      <c r="V182">
        <f>+Tabla1[[#This Row],[HORAS AFINIDAD]]+Tabla1[[#This Row],[HORAS ACTIVIDAD]]+Tabla1[[#This Row],[HORAS UNIDAD BASICA]]+Tabla1[[#This Row],[HORAS NO AFINIDAD]]</f>
        <v>0</v>
      </c>
    </row>
    <row r="183" spans="1:22" ht="18.75" customHeight="1">
      <c r="A183">
        <v>182</v>
      </c>
      <c r="C183" t="str">
        <f>_xlfn.XLOOKUP(Tabla1[[#This Row],[CARRERA]],MAE_CARRERA[NOMBRE_CARRERA],MAE_CARRERA[ID_CARRERA],"Seleccione Carrera")</f>
        <v>Seleccione Carrera</v>
      </c>
      <c r="F183" s="1"/>
      <c r="G183" t="str">
        <f>_xlfn.XLOOKUP(Tabla1[[#This Row],[ASIGNATURA]],MAE_ASIGNATURA[NOM_ASIG],MAE_ASIGNATURA[ID_ASIG],"Seleccione Asignatura")</f>
        <v>Seleccione Asignatura</v>
      </c>
      <c r="H183" s="1" t="str" cm="1">
        <f t="array" ref="H183">_xlfn.TEXTJOIN("; ",TRUE,TRANSPOSE(_xlfn.UNIQUE(_xlfn._xlws.FILTER(DET_ASIG[DETALLADO],(DET_ASIG[NIVEL]=ASIGNACION!$D183)*(DET_ASIG[ID_CARRERA]=ASIGNACION!$C183)*(DET_ASIG[ID_ASIG]=ASIGNACION!$G183),"No existe información"))))</f>
        <v>No existe información</v>
      </c>
      <c r="I183" s="1"/>
      <c r="J183">
        <f>_xlfn.XLOOKUP(Tabla1[[#This Row],[ID_ASIG_CAM_DET]],MAE_ASIGNATURA[ID_ASIG],MAE_ASIGNATURA[HORAS],0)</f>
        <v>0</v>
      </c>
      <c r="K183">
        <v>4</v>
      </c>
      <c r="L183" s="2">
        <f>+Tabla1[[#This Row],[CALCULAR HORA]]*Tabla1[[#This Row],[HORAS]]</f>
        <v>0</v>
      </c>
      <c r="N183" t="str">
        <f>_xlfn.XLOOKUP(Tabla1[[#This Row],[NOMBRE_DOCENT]],MDOCENTES[DATOS_DOCENTE],MDOCENTES[DEDICACION],"Seleccione Docente")</f>
        <v>Seleccione Docente</v>
      </c>
      <c r="O183" t="str">
        <f>_xlfn.XLOOKUP(Tabla1[[#This Row],[NOMBRE_DOCENT]],MDOCENTES[DATOS_DOCENTE],MDOCENTES[ESTUDIO],"Seleccione Docente")</f>
        <v>Seleccione Docente</v>
      </c>
      <c r="P183">
        <f t="shared" si="10"/>
        <v>0</v>
      </c>
      <c r="Q183">
        <f t="shared" si="11"/>
        <v>0</v>
      </c>
      <c r="R183">
        <f t="shared" si="12"/>
        <v>0</v>
      </c>
      <c r="S183">
        <f t="shared" si="13"/>
        <v>0</v>
      </c>
      <c r="T183">
        <f t="shared" si="14"/>
        <v>0</v>
      </c>
      <c r="U183">
        <f>Tabla1[[#This Row],[HORAS NO AFINIDAD]]+Tabla1[[#This Row],[HORAS UNIDAD BASICA]]+Tabla1[[#This Row],[HORAS AFINIDAD]]</f>
        <v>0</v>
      </c>
      <c r="V183">
        <f>+Tabla1[[#This Row],[HORAS AFINIDAD]]+Tabla1[[#This Row],[HORAS ACTIVIDAD]]+Tabla1[[#This Row],[HORAS UNIDAD BASICA]]+Tabla1[[#This Row],[HORAS NO AFINIDAD]]</f>
        <v>0</v>
      </c>
    </row>
    <row r="184" spans="1:22" ht="18.75" customHeight="1">
      <c r="A184">
        <v>183</v>
      </c>
      <c r="C184" t="str">
        <f>_xlfn.XLOOKUP(Tabla1[[#This Row],[CARRERA]],MAE_CARRERA[NOMBRE_CARRERA],MAE_CARRERA[ID_CARRERA],"Seleccione Carrera")</f>
        <v>Seleccione Carrera</v>
      </c>
      <c r="F184" s="1"/>
      <c r="G184" t="str">
        <f>_xlfn.XLOOKUP(Tabla1[[#This Row],[ASIGNATURA]],MAE_ASIGNATURA[NOM_ASIG],MAE_ASIGNATURA[ID_ASIG],"Seleccione Asignatura")</f>
        <v>Seleccione Asignatura</v>
      </c>
      <c r="H184" s="1" t="str" cm="1">
        <f t="array" ref="H184">_xlfn.TEXTJOIN("; ",TRUE,TRANSPOSE(_xlfn.UNIQUE(_xlfn._xlws.FILTER(DET_ASIG[DETALLADO],(DET_ASIG[NIVEL]=ASIGNACION!$D184)*(DET_ASIG[ID_CARRERA]=ASIGNACION!$C184)*(DET_ASIG[ID_ASIG]=ASIGNACION!$G184),"No existe información"))))</f>
        <v>No existe información</v>
      </c>
      <c r="I184" s="1"/>
      <c r="J184">
        <f>_xlfn.XLOOKUP(Tabla1[[#This Row],[ID_ASIG_CAM_DET]],MAE_ASIGNATURA[ID_ASIG],MAE_ASIGNATURA[HORAS],0)</f>
        <v>0</v>
      </c>
      <c r="K184">
        <v>4</v>
      </c>
      <c r="L184" s="2">
        <f>+Tabla1[[#This Row],[CALCULAR HORA]]*Tabla1[[#This Row],[HORAS]]</f>
        <v>0</v>
      </c>
      <c r="N184" t="str">
        <f>_xlfn.XLOOKUP(Tabla1[[#This Row],[NOMBRE_DOCENT]],MDOCENTES[DATOS_DOCENTE],MDOCENTES[DEDICACION],"Seleccione Docente")</f>
        <v>Seleccione Docente</v>
      </c>
      <c r="O184" t="str">
        <f>_xlfn.XLOOKUP(Tabla1[[#This Row],[NOMBRE_DOCENT]],MDOCENTES[DATOS_DOCENTE],MDOCENTES[ESTUDIO],"Seleccione Docente")</f>
        <v>Seleccione Docente</v>
      </c>
      <c r="P184">
        <f t="shared" si="10"/>
        <v>0</v>
      </c>
      <c r="Q184">
        <f t="shared" si="11"/>
        <v>0</v>
      </c>
      <c r="R184">
        <f t="shared" si="12"/>
        <v>0</v>
      </c>
      <c r="S184">
        <f t="shared" si="13"/>
        <v>0</v>
      </c>
      <c r="T184">
        <f t="shared" si="14"/>
        <v>0</v>
      </c>
      <c r="U184">
        <f>Tabla1[[#This Row],[HORAS NO AFINIDAD]]+Tabla1[[#This Row],[HORAS UNIDAD BASICA]]+Tabla1[[#This Row],[HORAS AFINIDAD]]</f>
        <v>0</v>
      </c>
      <c r="V184">
        <f>+Tabla1[[#This Row],[HORAS AFINIDAD]]+Tabla1[[#This Row],[HORAS ACTIVIDAD]]+Tabla1[[#This Row],[HORAS UNIDAD BASICA]]+Tabla1[[#This Row],[HORAS NO AFINIDAD]]</f>
        <v>0</v>
      </c>
    </row>
    <row r="185" spans="1:22" ht="18.75" customHeight="1">
      <c r="A185">
        <v>184</v>
      </c>
      <c r="C185" t="str">
        <f>_xlfn.XLOOKUP(Tabla1[[#This Row],[CARRERA]],MAE_CARRERA[NOMBRE_CARRERA],MAE_CARRERA[ID_CARRERA],"Seleccione Carrera")</f>
        <v>Seleccione Carrera</v>
      </c>
      <c r="F185" s="1"/>
      <c r="G185" t="str">
        <f>_xlfn.XLOOKUP(Tabla1[[#This Row],[ASIGNATURA]],MAE_ASIGNATURA[NOM_ASIG],MAE_ASIGNATURA[ID_ASIG],"Seleccione Asignatura")</f>
        <v>Seleccione Asignatura</v>
      </c>
      <c r="H185" s="1" t="str" cm="1">
        <f t="array" ref="H185">_xlfn.TEXTJOIN("; ",TRUE,TRANSPOSE(_xlfn.UNIQUE(_xlfn._xlws.FILTER(DET_ASIG[DETALLADO],(DET_ASIG[NIVEL]=ASIGNACION!$D185)*(DET_ASIG[ID_CARRERA]=ASIGNACION!$C185)*(DET_ASIG[ID_ASIG]=ASIGNACION!$G185),"No existe información"))))</f>
        <v>No existe información</v>
      </c>
      <c r="I185" s="1"/>
      <c r="J185">
        <f>_xlfn.XLOOKUP(Tabla1[[#This Row],[ID_ASIG_CAM_DET]],MAE_ASIGNATURA[ID_ASIG],MAE_ASIGNATURA[HORAS],0)</f>
        <v>0</v>
      </c>
      <c r="K185">
        <v>4</v>
      </c>
      <c r="L185" s="2">
        <f>+Tabla1[[#This Row],[CALCULAR HORA]]*Tabla1[[#This Row],[HORAS]]</f>
        <v>0</v>
      </c>
      <c r="N185" t="str">
        <f>_xlfn.XLOOKUP(Tabla1[[#This Row],[NOMBRE_DOCENT]],MDOCENTES[DATOS_DOCENTE],MDOCENTES[DEDICACION],"Seleccione Docente")</f>
        <v>Seleccione Docente</v>
      </c>
      <c r="O185" t="str">
        <f>_xlfn.XLOOKUP(Tabla1[[#This Row],[NOMBRE_DOCENT]],MDOCENTES[DATOS_DOCENTE],MDOCENTES[ESTUDIO],"Seleccione Docente")</f>
        <v>Seleccione Docente</v>
      </c>
      <c r="P185">
        <f t="shared" si="10"/>
        <v>0</v>
      </c>
      <c r="Q185">
        <f t="shared" si="11"/>
        <v>0</v>
      </c>
      <c r="R185">
        <f t="shared" si="12"/>
        <v>0</v>
      </c>
      <c r="S185">
        <f t="shared" si="13"/>
        <v>0</v>
      </c>
      <c r="T185">
        <f t="shared" si="14"/>
        <v>0</v>
      </c>
      <c r="U185">
        <f>Tabla1[[#This Row],[HORAS NO AFINIDAD]]+Tabla1[[#This Row],[HORAS UNIDAD BASICA]]+Tabla1[[#This Row],[HORAS AFINIDAD]]</f>
        <v>0</v>
      </c>
      <c r="V185">
        <f>+Tabla1[[#This Row],[HORAS AFINIDAD]]+Tabla1[[#This Row],[HORAS ACTIVIDAD]]+Tabla1[[#This Row],[HORAS UNIDAD BASICA]]+Tabla1[[#This Row],[HORAS NO AFINIDAD]]</f>
        <v>0</v>
      </c>
    </row>
    <row r="186" spans="1:22" ht="18.75" customHeight="1">
      <c r="A186">
        <v>185</v>
      </c>
      <c r="C186" t="str">
        <f>_xlfn.XLOOKUP(Tabla1[[#This Row],[CARRERA]],MAE_CARRERA[NOMBRE_CARRERA],MAE_CARRERA[ID_CARRERA],"Seleccione Carrera")</f>
        <v>Seleccione Carrera</v>
      </c>
      <c r="F186" s="1"/>
      <c r="G186" t="str">
        <f>_xlfn.XLOOKUP(Tabla1[[#This Row],[ASIGNATURA]],MAE_ASIGNATURA[NOM_ASIG],MAE_ASIGNATURA[ID_ASIG],"Seleccione Asignatura")</f>
        <v>Seleccione Asignatura</v>
      </c>
      <c r="H186" s="1" t="str" cm="1">
        <f t="array" ref="H186">_xlfn.TEXTJOIN("; ",TRUE,TRANSPOSE(_xlfn.UNIQUE(_xlfn._xlws.FILTER(DET_ASIG[DETALLADO],(DET_ASIG[NIVEL]=ASIGNACION!$D186)*(DET_ASIG[ID_CARRERA]=ASIGNACION!$C186)*(DET_ASIG[ID_ASIG]=ASIGNACION!$G186),"No existe información"))))</f>
        <v>No existe información</v>
      </c>
      <c r="I186" s="1"/>
      <c r="J186">
        <f>_xlfn.XLOOKUP(Tabla1[[#This Row],[ID_ASIG_CAM_DET]],MAE_ASIGNATURA[ID_ASIG],MAE_ASIGNATURA[HORAS],0)</f>
        <v>0</v>
      </c>
      <c r="K186">
        <v>4</v>
      </c>
      <c r="L186" s="2">
        <f>+Tabla1[[#This Row],[CALCULAR HORA]]*Tabla1[[#This Row],[HORAS]]</f>
        <v>0</v>
      </c>
      <c r="N186" t="str">
        <f>_xlfn.XLOOKUP(Tabla1[[#This Row],[NOMBRE_DOCENT]],MDOCENTES[DATOS_DOCENTE],MDOCENTES[DEDICACION],"Seleccione Docente")</f>
        <v>Seleccione Docente</v>
      </c>
      <c r="O186" t="str">
        <f>_xlfn.XLOOKUP(Tabla1[[#This Row],[NOMBRE_DOCENT]],MDOCENTES[DATOS_DOCENTE],MDOCENTES[ESTUDIO],"Seleccione Docente")</f>
        <v>Seleccione Docente</v>
      </c>
      <c r="P186">
        <f t="shared" si="10"/>
        <v>0</v>
      </c>
      <c r="Q186">
        <f t="shared" si="11"/>
        <v>0</v>
      </c>
      <c r="R186">
        <f t="shared" si="12"/>
        <v>0</v>
      </c>
      <c r="S186">
        <f t="shared" si="13"/>
        <v>0</v>
      </c>
      <c r="T186">
        <f t="shared" si="14"/>
        <v>0</v>
      </c>
      <c r="U186">
        <f>Tabla1[[#This Row],[HORAS NO AFINIDAD]]+Tabla1[[#This Row],[HORAS UNIDAD BASICA]]+Tabla1[[#This Row],[HORAS AFINIDAD]]</f>
        <v>0</v>
      </c>
      <c r="V186">
        <f>+Tabla1[[#This Row],[HORAS AFINIDAD]]+Tabla1[[#This Row],[HORAS ACTIVIDAD]]+Tabla1[[#This Row],[HORAS UNIDAD BASICA]]+Tabla1[[#This Row],[HORAS NO AFINIDAD]]</f>
        <v>0</v>
      </c>
    </row>
    <row r="187" spans="1:22" ht="18.75" customHeight="1">
      <c r="A187">
        <v>186</v>
      </c>
      <c r="C187" t="str">
        <f>_xlfn.XLOOKUP(Tabla1[[#This Row],[CARRERA]],MAE_CARRERA[NOMBRE_CARRERA],MAE_CARRERA[ID_CARRERA],"Seleccione Carrera")</f>
        <v>Seleccione Carrera</v>
      </c>
      <c r="F187" s="1"/>
      <c r="G187" t="str">
        <f>_xlfn.XLOOKUP(Tabla1[[#This Row],[ASIGNATURA]],MAE_ASIGNATURA[NOM_ASIG],MAE_ASIGNATURA[ID_ASIG],"Seleccione Asignatura")</f>
        <v>Seleccione Asignatura</v>
      </c>
      <c r="H187" s="1" t="str" cm="1">
        <f t="array" ref="H187">_xlfn.TEXTJOIN("; ",TRUE,TRANSPOSE(_xlfn.UNIQUE(_xlfn._xlws.FILTER(DET_ASIG[DETALLADO],(DET_ASIG[NIVEL]=ASIGNACION!$D187)*(DET_ASIG[ID_CARRERA]=ASIGNACION!$C187)*(DET_ASIG[ID_ASIG]=ASIGNACION!$G187),"No existe información"))))</f>
        <v>No existe información</v>
      </c>
      <c r="I187" s="1"/>
      <c r="J187">
        <f>_xlfn.XLOOKUP(Tabla1[[#This Row],[ID_ASIG_CAM_DET]],MAE_ASIGNATURA[ID_ASIG],MAE_ASIGNATURA[HORAS],0)</f>
        <v>0</v>
      </c>
      <c r="K187">
        <v>4</v>
      </c>
      <c r="L187" s="2">
        <f>+Tabla1[[#This Row],[CALCULAR HORA]]*Tabla1[[#This Row],[HORAS]]</f>
        <v>0</v>
      </c>
      <c r="N187" t="str">
        <f>_xlfn.XLOOKUP(Tabla1[[#This Row],[NOMBRE_DOCENT]],MDOCENTES[DATOS_DOCENTE],MDOCENTES[DEDICACION],"Seleccione Docente")</f>
        <v>Seleccione Docente</v>
      </c>
      <c r="O187" t="str">
        <f>_xlfn.XLOOKUP(Tabla1[[#This Row],[NOMBRE_DOCENT]],MDOCENTES[DATOS_DOCENTE],MDOCENTES[ESTUDIO],"Seleccione Docente")</f>
        <v>Seleccione Docente</v>
      </c>
      <c r="P187">
        <f t="shared" si="10"/>
        <v>0</v>
      </c>
      <c r="Q187">
        <f t="shared" si="11"/>
        <v>0</v>
      </c>
      <c r="R187">
        <f t="shared" si="12"/>
        <v>0</v>
      </c>
      <c r="S187">
        <f t="shared" si="13"/>
        <v>0</v>
      </c>
      <c r="T187">
        <f t="shared" si="14"/>
        <v>0</v>
      </c>
      <c r="U187">
        <f>Tabla1[[#This Row],[HORAS NO AFINIDAD]]+Tabla1[[#This Row],[HORAS UNIDAD BASICA]]+Tabla1[[#This Row],[HORAS AFINIDAD]]</f>
        <v>0</v>
      </c>
      <c r="V187">
        <f>+Tabla1[[#This Row],[HORAS AFINIDAD]]+Tabla1[[#This Row],[HORAS ACTIVIDAD]]+Tabla1[[#This Row],[HORAS UNIDAD BASICA]]+Tabla1[[#This Row],[HORAS NO AFINIDAD]]</f>
        <v>0</v>
      </c>
    </row>
    <row r="188" spans="1:22" ht="18.75" customHeight="1">
      <c r="A188">
        <v>187</v>
      </c>
      <c r="C188" t="str">
        <f>_xlfn.XLOOKUP(Tabla1[[#This Row],[CARRERA]],MAE_CARRERA[NOMBRE_CARRERA],MAE_CARRERA[ID_CARRERA],"Seleccione Carrera")</f>
        <v>Seleccione Carrera</v>
      </c>
      <c r="F188" s="1"/>
      <c r="G188" t="str">
        <f>_xlfn.XLOOKUP(Tabla1[[#This Row],[ASIGNATURA]],MAE_ASIGNATURA[NOM_ASIG],MAE_ASIGNATURA[ID_ASIG],"Seleccione Asignatura")</f>
        <v>Seleccione Asignatura</v>
      </c>
      <c r="H188" s="1" t="str" cm="1">
        <f t="array" ref="H188">_xlfn.TEXTJOIN("; ",TRUE,TRANSPOSE(_xlfn.UNIQUE(_xlfn._xlws.FILTER(DET_ASIG[DETALLADO],(DET_ASIG[NIVEL]=ASIGNACION!$D188)*(DET_ASIG[ID_CARRERA]=ASIGNACION!$C188)*(DET_ASIG[ID_ASIG]=ASIGNACION!$G188),"No existe información"))))</f>
        <v>No existe información</v>
      </c>
      <c r="I188" s="1"/>
      <c r="J188">
        <f>_xlfn.XLOOKUP(Tabla1[[#This Row],[ID_ASIG_CAM_DET]],MAE_ASIGNATURA[ID_ASIG],MAE_ASIGNATURA[HORAS],0)</f>
        <v>0</v>
      </c>
      <c r="K188">
        <v>4</v>
      </c>
      <c r="L188" s="2">
        <f>+Tabla1[[#This Row],[CALCULAR HORA]]*Tabla1[[#This Row],[HORAS]]</f>
        <v>0</v>
      </c>
      <c r="N188" t="str">
        <f>_xlfn.XLOOKUP(Tabla1[[#This Row],[NOMBRE_DOCENT]],MDOCENTES[DATOS_DOCENTE],MDOCENTES[DEDICACION],"Seleccione Docente")</f>
        <v>Seleccione Docente</v>
      </c>
      <c r="O188" t="str">
        <f>_xlfn.XLOOKUP(Tabla1[[#This Row],[NOMBRE_DOCENT]],MDOCENTES[DATOS_DOCENTE],MDOCENTES[ESTUDIO],"Seleccione Docente")</f>
        <v>Seleccione Docente</v>
      </c>
      <c r="P188">
        <f t="shared" si="10"/>
        <v>0</v>
      </c>
      <c r="Q188">
        <f t="shared" si="11"/>
        <v>0</v>
      </c>
      <c r="R188">
        <f t="shared" si="12"/>
        <v>0</v>
      </c>
      <c r="S188">
        <f t="shared" si="13"/>
        <v>0</v>
      </c>
      <c r="T188">
        <f t="shared" si="14"/>
        <v>0</v>
      </c>
      <c r="U188">
        <f>Tabla1[[#This Row],[HORAS NO AFINIDAD]]+Tabla1[[#This Row],[HORAS UNIDAD BASICA]]+Tabla1[[#This Row],[HORAS AFINIDAD]]</f>
        <v>0</v>
      </c>
      <c r="V188">
        <f>+Tabla1[[#This Row],[HORAS AFINIDAD]]+Tabla1[[#This Row],[HORAS ACTIVIDAD]]+Tabla1[[#This Row],[HORAS UNIDAD BASICA]]+Tabla1[[#This Row],[HORAS NO AFINIDAD]]</f>
        <v>0</v>
      </c>
    </row>
    <row r="189" spans="1:22" ht="18.75" customHeight="1">
      <c r="A189">
        <v>188</v>
      </c>
      <c r="C189" t="str">
        <f>_xlfn.XLOOKUP(Tabla1[[#This Row],[CARRERA]],MAE_CARRERA[NOMBRE_CARRERA],MAE_CARRERA[ID_CARRERA],"Seleccione Carrera")</f>
        <v>Seleccione Carrera</v>
      </c>
      <c r="F189" s="1"/>
      <c r="G189" t="str">
        <f>_xlfn.XLOOKUP(Tabla1[[#This Row],[ASIGNATURA]],MAE_ASIGNATURA[NOM_ASIG],MAE_ASIGNATURA[ID_ASIG],"Seleccione Asignatura")</f>
        <v>Seleccione Asignatura</v>
      </c>
      <c r="H189" s="1" t="str" cm="1">
        <f t="array" ref="H189">_xlfn.TEXTJOIN("; ",TRUE,TRANSPOSE(_xlfn.UNIQUE(_xlfn._xlws.FILTER(DET_ASIG[DETALLADO],(DET_ASIG[NIVEL]=ASIGNACION!$D189)*(DET_ASIG[ID_CARRERA]=ASIGNACION!$C189)*(DET_ASIG[ID_ASIG]=ASIGNACION!$G189),"No existe información"))))</f>
        <v>No existe información</v>
      </c>
      <c r="I189" s="1"/>
      <c r="J189">
        <f>_xlfn.XLOOKUP(Tabla1[[#This Row],[ID_ASIG_CAM_DET]],MAE_ASIGNATURA[ID_ASIG],MAE_ASIGNATURA[HORAS],0)</f>
        <v>0</v>
      </c>
      <c r="K189">
        <v>4</v>
      </c>
      <c r="L189" s="2">
        <f>+Tabla1[[#This Row],[CALCULAR HORA]]*Tabla1[[#This Row],[HORAS]]</f>
        <v>0</v>
      </c>
      <c r="N189" t="str">
        <f>_xlfn.XLOOKUP(Tabla1[[#This Row],[NOMBRE_DOCENT]],MDOCENTES[DATOS_DOCENTE],MDOCENTES[DEDICACION],"Seleccione Docente")</f>
        <v>Seleccione Docente</v>
      </c>
      <c r="O189" t="str">
        <f>_xlfn.XLOOKUP(Tabla1[[#This Row],[NOMBRE_DOCENT]],MDOCENTES[DATOS_DOCENTE],MDOCENTES[ESTUDIO],"Seleccione Docente")</f>
        <v>Seleccione Docente</v>
      </c>
      <c r="P189">
        <f t="shared" si="10"/>
        <v>0</v>
      </c>
      <c r="Q189">
        <f t="shared" si="11"/>
        <v>0</v>
      </c>
      <c r="R189">
        <f t="shared" si="12"/>
        <v>0</v>
      </c>
      <c r="S189">
        <f t="shared" si="13"/>
        <v>0</v>
      </c>
      <c r="T189">
        <f t="shared" si="14"/>
        <v>0</v>
      </c>
      <c r="U189">
        <f>Tabla1[[#This Row],[HORAS NO AFINIDAD]]+Tabla1[[#This Row],[HORAS UNIDAD BASICA]]+Tabla1[[#This Row],[HORAS AFINIDAD]]</f>
        <v>0</v>
      </c>
      <c r="V189">
        <f>+Tabla1[[#This Row],[HORAS AFINIDAD]]+Tabla1[[#This Row],[HORAS ACTIVIDAD]]+Tabla1[[#This Row],[HORAS UNIDAD BASICA]]+Tabla1[[#This Row],[HORAS NO AFINIDAD]]</f>
        <v>0</v>
      </c>
    </row>
    <row r="190" spans="1:22" ht="18.75" customHeight="1">
      <c r="A190">
        <v>189</v>
      </c>
      <c r="C190" t="str">
        <f>_xlfn.XLOOKUP(Tabla1[[#This Row],[CARRERA]],MAE_CARRERA[NOMBRE_CARRERA],MAE_CARRERA[ID_CARRERA],"Seleccione Carrera")</f>
        <v>Seleccione Carrera</v>
      </c>
      <c r="F190" s="1"/>
      <c r="G190" t="str">
        <f>_xlfn.XLOOKUP(Tabla1[[#This Row],[ASIGNATURA]],MAE_ASIGNATURA[NOM_ASIG],MAE_ASIGNATURA[ID_ASIG],"Seleccione Asignatura")</f>
        <v>Seleccione Asignatura</v>
      </c>
      <c r="H190" s="1" t="str" cm="1">
        <f t="array" ref="H190">_xlfn.TEXTJOIN("; ",TRUE,TRANSPOSE(_xlfn.UNIQUE(_xlfn._xlws.FILTER(DET_ASIG[DETALLADO],(DET_ASIG[NIVEL]=ASIGNACION!$D190)*(DET_ASIG[ID_CARRERA]=ASIGNACION!$C190)*(DET_ASIG[ID_ASIG]=ASIGNACION!$G190),"No existe información"))))</f>
        <v>No existe información</v>
      </c>
      <c r="I190" s="1"/>
      <c r="J190">
        <f>_xlfn.XLOOKUP(Tabla1[[#This Row],[ID_ASIG_CAM_DET]],MAE_ASIGNATURA[ID_ASIG],MAE_ASIGNATURA[HORAS],0)</f>
        <v>0</v>
      </c>
      <c r="K190">
        <v>4</v>
      </c>
      <c r="L190" s="2">
        <f>+Tabla1[[#This Row],[CALCULAR HORA]]*Tabla1[[#This Row],[HORAS]]</f>
        <v>0</v>
      </c>
      <c r="N190" t="str">
        <f>_xlfn.XLOOKUP(Tabla1[[#This Row],[NOMBRE_DOCENT]],MDOCENTES[DATOS_DOCENTE],MDOCENTES[DEDICACION],"Seleccione Docente")</f>
        <v>Seleccione Docente</v>
      </c>
      <c r="O190" t="str">
        <f>_xlfn.XLOOKUP(Tabla1[[#This Row],[NOMBRE_DOCENT]],MDOCENTES[DATOS_DOCENTE],MDOCENTES[ESTUDIO],"Seleccione Docente")</f>
        <v>Seleccione Docente</v>
      </c>
      <c r="P190">
        <f t="shared" si="10"/>
        <v>0</v>
      </c>
      <c r="Q190">
        <f t="shared" si="11"/>
        <v>0</v>
      </c>
      <c r="R190">
        <f t="shared" si="12"/>
        <v>0</v>
      </c>
      <c r="S190">
        <f t="shared" si="13"/>
        <v>0</v>
      </c>
      <c r="T190">
        <f t="shared" si="14"/>
        <v>0</v>
      </c>
      <c r="U190">
        <f>Tabla1[[#This Row],[HORAS NO AFINIDAD]]+Tabla1[[#This Row],[HORAS UNIDAD BASICA]]+Tabla1[[#This Row],[HORAS AFINIDAD]]</f>
        <v>0</v>
      </c>
      <c r="V190">
        <f>+Tabla1[[#This Row],[HORAS AFINIDAD]]+Tabla1[[#This Row],[HORAS ACTIVIDAD]]+Tabla1[[#This Row],[HORAS UNIDAD BASICA]]+Tabla1[[#This Row],[HORAS NO AFINIDAD]]</f>
        <v>0</v>
      </c>
    </row>
    <row r="191" spans="1:22" ht="18.75" customHeight="1">
      <c r="A191">
        <v>190</v>
      </c>
      <c r="C191" t="str">
        <f>_xlfn.XLOOKUP(Tabla1[[#This Row],[CARRERA]],MAE_CARRERA[NOMBRE_CARRERA],MAE_CARRERA[ID_CARRERA],"Seleccione Carrera")</f>
        <v>Seleccione Carrera</v>
      </c>
      <c r="F191" s="1"/>
      <c r="G191" t="str">
        <f>_xlfn.XLOOKUP(Tabla1[[#This Row],[ASIGNATURA]],MAE_ASIGNATURA[NOM_ASIG],MAE_ASIGNATURA[ID_ASIG],"Seleccione Asignatura")</f>
        <v>Seleccione Asignatura</v>
      </c>
      <c r="H191" s="1" t="str" cm="1">
        <f t="array" ref="H191">_xlfn.TEXTJOIN("; ",TRUE,TRANSPOSE(_xlfn.UNIQUE(_xlfn._xlws.FILTER(DET_ASIG[DETALLADO],(DET_ASIG[NIVEL]=ASIGNACION!$D191)*(DET_ASIG[ID_CARRERA]=ASIGNACION!$C191)*(DET_ASIG[ID_ASIG]=ASIGNACION!$G191),"No existe información"))))</f>
        <v>No existe información</v>
      </c>
      <c r="I191" s="1"/>
      <c r="J191">
        <f>_xlfn.XLOOKUP(Tabla1[[#This Row],[ID_ASIG_CAM_DET]],MAE_ASIGNATURA[ID_ASIG],MAE_ASIGNATURA[HORAS],0)</f>
        <v>0</v>
      </c>
      <c r="K191">
        <v>4</v>
      </c>
      <c r="L191" s="2">
        <f>+Tabla1[[#This Row],[CALCULAR HORA]]*Tabla1[[#This Row],[HORAS]]</f>
        <v>0</v>
      </c>
      <c r="N191" t="str">
        <f>_xlfn.XLOOKUP(Tabla1[[#This Row],[NOMBRE_DOCENT]],MDOCENTES[DATOS_DOCENTE],MDOCENTES[DEDICACION],"Seleccione Docente")</f>
        <v>Seleccione Docente</v>
      </c>
      <c r="O191" t="str">
        <f>_xlfn.XLOOKUP(Tabla1[[#This Row],[NOMBRE_DOCENT]],MDOCENTES[DATOS_DOCENTE],MDOCENTES[ESTUDIO],"Seleccione Docente")</f>
        <v>Seleccione Docente</v>
      </c>
      <c r="P191">
        <f t="shared" si="10"/>
        <v>0</v>
      </c>
      <c r="Q191">
        <f t="shared" si="11"/>
        <v>0</v>
      </c>
      <c r="R191">
        <f t="shared" si="12"/>
        <v>0</v>
      </c>
      <c r="S191">
        <f t="shared" si="13"/>
        <v>0</v>
      </c>
      <c r="T191">
        <f t="shared" si="14"/>
        <v>0</v>
      </c>
      <c r="U191">
        <f>Tabla1[[#This Row],[HORAS NO AFINIDAD]]+Tabla1[[#This Row],[HORAS UNIDAD BASICA]]+Tabla1[[#This Row],[HORAS AFINIDAD]]</f>
        <v>0</v>
      </c>
      <c r="V191">
        <f>+Tabla1[[#This Row],[HORAS AFINIDAD]]+Tabla1[[#This Row],[HORAS ACTIVIDAD]]+Tabla1[[#This Row],[HORAS UNIDAD BASICA]]+Tabla1[[#This Row],[HORAS NO AFINIDAD]]</f>
        <v>0</v>
      </c>
    </row>
    <row r="192" spans="1:22" ht="18.75" customHeight="1">
      <c r="A192">
        <v>191</v>
      </c>
      <c r="C192" t="str">
        <f>_xlfn.XLOOKUP(Tabla1[[#This Row],[CARRERA]],MAE_CARRERA[NOMBRE_CARRERA],MAE_CARRERA[ID_CARRERA],"Seleccione Carrera")</f>
        <v>Seleccione Carrera</v>
      </c>
      <c r="F192" s="1"/>
      <c r="G192" t="str">
        <f>_xlfn.XLOOKUP(Tabla1[[#This Row],[ASIGNATURA]],MAE_ASIGNATURA[NOM_ASIG],MAE_ASIGNATURA[ID_ASIG],"Seleccione Asignatura")</f>
        <v>Seleccione Asignatura</v>
      </c>
      <c r="H192" s="1" t="str" cm="1">
        <f t="array" ref="H192">_xlfn.TEXTJOIN("; ",TRUE,TRANSPOSE(_xlfn.UNIQUE(_xlfn._xlws.FILTER(DET_ASIG[DETALLADO],(DET_ASIG[NIVEL]=ASIGNACION!$D192)*(DET_ASIG[ID_CARRERA]=ASIGNACION!$C192)*(DET_ASIG[ID_ASIG]=ASIGNACION!$G192),"No existe información"))))</f>
        <v>No existe información</v>
      </c>
      <c r="I192" s="1"/>
      <c r="J192">
        <f>_xlfn.XLOOKUP(Tabla1[[#This Row],[ID_ASIG_CAM_DET]],MAE_ASIGNATURA[ID_ASIG],MAE_ASIGNATURA[HORAS],0)</f>
        <v>0</v>
      </c>
      <c r="K192">
        <v>4</v>
      </c>
      <c r="L192" s="2">
        <f>+Tabla1[[#This Row],[CALCULAR HORA]]*Tabla1[[#This Row],[HORAS]]</f>
        <v>0</v>
      </c>
      <c r="N192" t="str">
        <f>_xlfn.XLOOKUP(Tabla1[[#This Row],[NOMBRE_DOCENT]],MDOCENTES[DATOS_DOCENTE],MDOCENTES[DEDICACION],"Seleccione Docente")</f>
        <v>Seleccione Docente</v>
      </c>
      <c r="O192" t="str">
        <f>_xlfn.XLOOKUP(Tabla1[[#This Row],[NOMBRE_DOCENT]],MDOCENTES[DATOS_DOCENTE],MDOCENTES[ESTUDIO],"Seleccione Docente")</f>
        <v>Seleccione Docente</v>
      </c>
      <c r="P192">
        <f t="shared" si="10"/>
        <v>0</v>
      </c>
      <c r="Q192">
        <f t="shared" si="11"/>
        <v>0</v>
      </c>
      <c r="R192">
        <f t="shared" si="12"/>
        <v>0</v>
      </c>
      <c r="S192">
        <f t="shared" si="13"/>
        <v>0</v>
      </c>
      <c r="T192">
        <f t="shared" si="14"/>
        <v>0</v>
      </c>
      <c r="U192">
        <f>Tabla1[[#This Row],[HORAS NO AFINIDAD]]+Tabla1[[#This Row],[HORAS UNIDAD BASICA]]+Tabla1[[#This Row],[HORAS AFINIDAD]]</f>
        <v>0</v>
      </c>
      <c r="V192">
        <f>+Tabla1[[#This Row],[HORAS AFINIDAD]]+Tabla1[[#This Row],[HORAS ACTIVIDAD]]+Tabla1[[#This Row],[HORAS UNIDAD BASICA]]+Tabla1[[#This Row],[HORAS NO AFINIDAD]]</f>
        <v>0</v>
      </c>
    </row>
    <row r="193" spans="1:22" ht="18.75" customHeight="1">
      <c r="A193">
        <v>192</v>
      </c>
      <c r="C193" t="str">
        <f>_xlfn.XLOOKUP(Tabla1[[#This Row],[CARRERA]],MAE_CARRERA[NOMBRE_CARRERA],MAE_CARRERA[ID_CARRERA],"Seleccione Carrera")</f>
        <v>Seleccione Carrera</v>
      </c>
      <c r="F193" s="1"/>
      <c r="G193" t="str">
        <f>_xlfn.XLOOKUP(Tabla1[[#This Row],[ASIGNATURA]],MAE_ASIGNATURA[NOM_ASIG],MAE_ASIGNATURA[ID_ASIG],"Seleccione Asignatura")</f>
        <v>Seleccione Asignatura</v>
      </c>
      <c r="H193" s="1" t="str" cm="1">
        <f t="array" ref="H193">_xlfn.TEXTJOIN("; ",TRUE,TRANSPOSE(_xlfn.UNIQUE(_xlfn._xlws.FILTER(DET_ASIG[DETALLADO],(DET_ASIG[NIVEL]=ASIGNACION!$D193)*(DET_ASIG[ID_CARRERA]=ASIGNACION!$C193)*(DET_ASIG[ID_ASIG]=ASIGNACION!$G193),"No existe información"))))</f>
        <v>No existe información</v>
      </c>
      <c r="I193" s="1"/>
      <c r="J193">
        <f>_xlfn.XLOOKUP(Tabla1[[#This Row],[ID_ASIG_CAM_DET]],MAE_ASIGNATURA[ID_ASIG],MAE_ASIGNATURA[HORAS],0)</f>
        <v>0</v>
      </c>
      <c r="K193">
        <v>4</v>
      </c>
      <c r="L193" s="2">
        <f>+Tabla1[[#This Row],[CALCULAR HORA]]*Tabla1[[#This Row],[HORAS]]</f>
        <v>0</v>
      </c>
      <c r="N193" t="str">
        <f>_xlfn.XLOOKUP(Tabla1[[#This Row],[NOMBRE_DOCENT]],MDOCENTES[DATOS_DOCENTE],MDOCENTES[DEDICACION],"Seleccione Docente")</f>
        <v>Seleccione Docente</v>
      </c>
      <c r="O193" t="str">
        <f>_xlfn.XLOOKUP(Tabla1[[#This Row],[NOMBRE_DOCENT]],MDOCENTES[DATOS_DOCENTE],MDOCENTES[ESTUDIO],"Seleccione Docente")</f>
        <v>Seleccione Docente</v>
      </c>
      <c r="P193">
        <f t="shared" si="10"/>
        <v>0</v>
      </c>
      <c r="Q193">
        <f t="shared" si="11"/>
        <v>0</v>
      </c>
      <c r="R193">
        <f t="shared" si="12"/>
        <v>0</v>
      </c>
      <c r="S193">
        <f t="shared" si="13"/>
        <v>0</v>
      </c>
      <c r="T193">
        <f t="shared" si="14"/>
        <v>0</v>
      </c>
      <c r="U193">
        <f>Tabla1[[#This Row],[HORAS NO AFINIDAD]]+Tabla1[[#This Row],[HORAS UNIDAD BASICA]]+Tabla1[[#This Row],[HORAS AFINIDAD]]</f>
        <v>0</v>
      </c>
      <c r="V193">
        <f>+Tabla1[[#This Row],[HORAS AFINIDAD]]+Tabla1[[#This Row],[HORAS ACTIVIDAD]]+Tabla1[[#This Row],[HORAS UNIDAD BASICA]]+Tabla1[[#This Row],[HORAS NO AFINIDAD]]</f>
        <v>0</v>
      </c>
    </row>
    <row r="194" spans="1:22" ht="18.75" customHeight="1">
      <c r="A194">
        <v>193</v>
      </c>
      <c r="C194" t="str">
        <f>_xlfn.XLOOKUP(Tabla1[[#This Row],[CARRERA]],MAE_CARRERA[NOMBRE_CARRERA],MAE_CARRERA[ID_CARRERA],"Seleccione Carrera")</f>
        <v>Seleccione Carrera</v>
      </c>
      <c r="F194" s="1"/>
      <c r="G194" t="str">
        <f>_xlfn.XLOOKUP(Tabla1[[#This Row],[ASIGNATURA]],MAE_ASIGNATURA[NOM_ASIG],MAE_ASIGNATURA[ID_ASIG],"Seleccione Asignatura")</f>
        <v>Seleccione Asignatura</v>
      </c>
      <c r="H194" s="1" t="str" cm="1">
        <f t="array" ref="H194">_xlfn.TEXTJOIN("; ",TRUE,TRANSPOSE(_xlfn.UNIQUE(_xlfn._xlws.FILTER(DET_ASIG[DETALLADO],(DET_ASIG[NIVEL]=ASIGNACION!$D194)*(DET_ASIG[ID_CARRERA]=ASIGNACION!$C194)*(DET_ASIG[ID_ASIG]=ASIGNACION!$G194),"No existe información"))))</f>
        <v>No existe información</v>
      </c>
      <c r="I194" s="1"/>
      <c r="J194">
        <f>_xlfn.XLOOKUP(Tabla1[[#This Row],[ID_ASIG_CAM_DET]],MAE_ASIGNATURA[ID_ASIG],MAE_ASIGNATURA[HORAS],0)</f>
        <v>0</v>
      </c>
      <c r="K194">
        <v>4</v>
      </c>
      <c r="L194" s="2">
        <f>+Tabla1[[#This Row],[CALCULAR HORA]]*Tabla1[[#This Row],[HORAS]]</f>
        <v>0</v>
      </c>
      <c r="N194" t="str">
        <f>_xlfn.XLOOKUP(Tabla1[[#This Row],[NOMBRE_DOCENT]],MDOCENTES[DATOS_DOCENTE],MDOCENTES[DEDICACION],"Seleccione Docente")</f>
        <v>Seleccione Docente</v>
      </c>
      <c r="O194" t="str">
        <f>_xlfn.XLOOKUP(Tabla1[[#This Row],[NOMBRE_DOCENT]],MDOCENTES[DATOS_DOCENTE],MDOCENTES[ESTUDIO],"Seleccione Docente")</f>
        <v>Seleccione Docente</v>
      </c>
      <c r="P194">
        <f t="shared" ref="P194:P257" si="15">COUNTIFS($M:$M, M194, $H:$H, "&lt;&gt;ACTIVIDAD")</f>
        <v>0</v>
      </c>
      <c r="Q194">
        <f t="shared" ref="Q194:Q257" si="16">SUMIFS($L:$L, $M:$M, M194, $I:$I, "NO",$H:$H,"&lt;&gt;UNIDAD BASICA")</f>
        <v>0</v>
      </c>
      <c r="R194">
        <f t="shared" ref="R194:R257" si="17">SUMIFS($L:$L, $M:$M, M194, $H:$H, "UNIDAD BASICA",$I:$I,"NO")</f>
        <v>0</v>
      </c>
      <c r="S194">
        <f t="shared" ref="S194:S257" si="18">SUMIFS($L:$L, $M:$M, M194, $I:$I, "ACTIVIDAD")</f>
        <v>0</v>
      </c>
      <c r="T194">
        <f t="shared" ref="T194:T257" si="19">SUMIFS($L:$L, $M:$M, M194, $I:$I, "SI")</f>
        <v>0</v>
      </c>
      <c r="U194">
        <f>Tabla1[[#This Row],[HORAS NO AFINIDAD]]+Tabla1[[#This Row],[HORAS UNIDAD BASICA]]+Tabla1[[#This Row],[HORAS AFINIDAD]]</f>
        <v>0</v>
      </c>
      <c r="V194">
        <f>+Tabla1[[#This Row],[HORAS AFINIDAD]]+Tabla1[[#This Row],[HORAS ACTIVIDAD]]+Tabla1[[#This Row],[HORAS UNIDAD BASICA]]+Tabla1[[#This Row],[HORAS NO AFINIDAD]]</f>
        <v>0</v>
      </c>
    </row>
    <row r="195" spans="1:22" ht="18.75" customHeight="1">
      <c r="A195">
        <v>194</v>
      </c>
      <c r="C195" t="str">
        <f>_xlfn.XLOOKUP(Tabla1[[#This Row],[CARRERA]],MAE_CARRERA[NOMBRE_CARRERA],MAE_CARRERA[ID_CARRERA],"Seleccione Carrera")</f>
        <v>Seleccione Carrera</v>
      </c>
      <c r="F195" s="1"/>
      <c r="G195" t="str">
        <f>_xlfn.XLOOKUP(Tabla1[[#This Row],[ASIGNATURA]],MAE_ASIGNATURA[NOM_ASIG],MAE_ASIGNATURA[ID_ASIG],"Seleccione Asignatura")</f>
        <v>Seleccione Asignatura</v>
      </c>
      <c r="H195" s="1" t="str" cm="1">
        <f t="array" ref="H195">_xlfn.TEXTJOIN("; ",TRUE,TRANSPOSE(_xlfn.UNIQUE(_xlfn._xlws.FILTER(DET_ASIG[DETALLADO],(DET_ASIG[NIVEL]=ASIGNACION!$D195)*(DET_ASIG[ID_CARRERA]=ASIGNACION!$C195)*(DET_ASIG[ID_ASIG]=ASIGNACION!$G195),"No existe información"))))</f>
        <v>No existe información</v>
      </c>
      <c r="I195" s="1"/>
      <c r="J195">
        <f>_xlfn.XLOOKUP(Tabla1[[#This Row],[ID_ASIG_CAM_DET]],MAE_ASIGNATURA[ID_ASIG],MAE_ASIGNATURA[HORAS],0)</f>
        <v>0</v>
      </c>
      <c r="K195">
        <v>4</v>
      </c>
      <c r="L195" s="2">
        <f>+Tabla1[[#This Row],[CALCULAR HORA]]*Tabla1[[#This Row],[HORAS]]</f>
        <v>0</v>
      </c>
      <c r="N195" t="str">
        <f>_xlfn.XLOOKUP(Tabla1[[#This Row],[NOMBRE_DOCENT]],MDOCENTES[DATOS_DOCENTE],MDOCENTES[DEDICACION],"Seleccione Docente")</f>
        <v>Seleccione Docente</v>
      </c>
      <c r="O195" t="str">
        <f>_xlfn.XLOOKUP(Tabla1[[#This Row],[NOMBRE_DOCENT]],MDOCENTES[DATOS_DOCENTE],MDOCENTES[ESTUDIO],"Seleccione Docente")</f>
        <v>Seleccione Docente</v>
      </c>
      <c r="P195">
        <f t="shared" si="15"/>
        <v>0</v>
      </c>
      <c r="Q195">
        <f t="shared" si="16"/>
        <v>0</v>
      </c>
      <c r="R195">
        <f t="shared" si="17"/>
        <v>0</v>
      </c>
      <c r="S195">
        <f t="shared" si="18"/>
        <v>0</v>
      </c>
      <c r="T195">
        <f t="shared" si="19"/>
        <v>0</v>
      </c>
      <c r="U195">
        <f>Tabla1[[#This Row],[HORAS NO AFINIDAD]]+Tabla1[[#This Row],[HORAS UNIDAD BASICA]]+Tabla1[[#This Row],[HORAS AFINIDAD]]</f>
        <v>0</v>
      </c>
      <c r="V195">
        <f>+Tabla1[[#This Row],[HORAS AFINIDAD]]+Tabla1[[#This Row],[HORAS ACTIVIDAD]]+Tabla1[[#This Row],[HORAS UNIDAD BASICA]]+Tabla1[[#This Row],[HORAS NO AFINIDAD]]</f>
        <v>0</v>
      </c>
    </row>
    <row r="196" spans="1:22" ht="18.75" customHeight="1">
      <c r="A196">
        <v>195</v>
      </c>
      <c r="C196" t="str">
        <f>_xlfn.XLOOKUP(Tabla1[[#This Row],[CARRERA]],MAE_CARRERA[NOMBRE_CARRERA],MAE_CARRERA[ID_CARRERA],"Seleccione Carrera")</f>
        <v>Seleccione Carrera</v>
      </c>
      <c r="F196" s="1"/>
      <c r="G196" t="str">
        <f>_xlfn.XLOOKUP(Tabla1[[#This Row],[ASIGNATURA]],MAE_ASIGNATURA[NOM_ASIG],MAE_ASIGNATURA[ID_ASIG],"Seleccione Asignatura")</f>
        <v>Seleccione Asignatura</v>
      </c>
      <c r="H196" s="1" t="str" cm="1">
        <f t="array" ref="H196">_xlfn.TEXTJOIN("; ",TRUE,TRANSPOSE(_xlfn.UNIQUE(_xlfn._xlws.FILTER(DET_ASIG[DETALLADO],(DET_ASIG[NIVEL]=ASIGNACION!$D196)*(DET_ASIG[ID_CARRERA]=ASIGNACION!$C196)*(DET_ASIG[ID_ASIG]=ASIGNACION!$G196),"No existe información"))))</f>
        <v>No existe información</v>
      </c>
      <c r="I196" s="1"/>
      <c r="J196">
        <f>_xlfn.XLOOKUP(Tabla1[[#This Row],[ID_ASIG_CAM_DET]],MAE_ASIGNATURA[ID_ASIG],MAE_ASIGNATURA[HORAS],0)</f>
        <v>0</v>
      </c>
      <c r="K196">
        <v>4</v>
      </c>
      <c r="L196" s="2">
        <f>+Tabla1[[#This Row],[CALCULAR HORA]]*Tabla1[[#This Row],[HORAS]]</f>
        <v>0</v>
      </c>
      <c r="N196" t="str">
        <f>_xlfn.XLOOKUP(Tabla1[[#This Row],[NOMBRE_DOCENT]],MDOCENTES[DATOS_DOCENTE],MDOCENTES[DEDICACION],"Seleccione Docente")</f>
        <v>Seleccione Docente</v>
      </c>
      <c r="O196" t="str">
        <f>_xlfn.XLOOKUP(Tabla1[[#This Row],[NOMBRE_DOCENT]],MDOCENTES[DATOS_DOCENTE],MDOCENTES[ESTUDIO],"Seleccione Docente")</f>
        <v>Seleccione Docente</v>
      </c>
      <c r="P196">
        <f t="shared" si="15"/>
        <v>0</v>
      </c>
      <c r="Q196">
        <f t="shared" si="16"/>
        <v>0</v>
      </c>
      <c r="R196">
        <f t="shared" si="17"/>
        <v>0</v>
      </c>
      <c r="S196">
        <f t="shared" si="18"/>
        <v>0</v>
      </c>
      <c r="T196">
        <f t="shared" si="19"/>
        <v>0</v>
      </c>
      <c r="U196">
        <f>Tabla1[[#This Row],[HORAS NO AFINIDAD]]+Tabla1[[#This Row],[HORAS UNIDAD BASICA]]+Tabla1[[#This Row],[HORAS AFINIDAD]]</f>
        <v>0</v>
      </c>
      <c r="V196">
        <f>+Tabla1[[#This Row],[HORAS AFINIDAD]]+Tabla1[[#This Row],[HORAS ACTIVIDAD]]+Tabla1[[#This Row],[HORAS UNIDAD BASICA]]+Tabla1[[#This Row],[HORAS NO AFINIDAD]]</f>
        <v>0</v>
      </c>
    </row>
    <row r="197" spans="1:22" ht="18.75" customHeight="1">
      <c r="A197">
        <v>196</v>
      </c>
      <c r="C197" t="str">
        <f>_xlfn.XLOOKUP(Tabla1[[#This Row],[CARRERA]],MAE_CARRERA[NOMBRE_CARRERA],MAE_CARRERA[ID_CARRERA],"Seleccione Carrera")</f>
        <v>Seleccione Carrera</v>
      </c>
      <c r="F197" s="1"/>
      <c r="G197" t="str">
        <f>_xlfn.XLOOKUP(Tabla1[[#This Row],[ASIGNATURA]],MAE_ASIGNATURA[NOM_ASIG],MAE_ASIGNATURA[ID_ASIG],"Seleccione Asignatura")</f>
        <v>Seleccione Asignatura</v>
      </c>
      <c r="H197" s="1" t="str" cm="1">
        <f t="array" ref="H197">_xlfn.TEXTJOIN("; ",TRUE,TRANSPOSE(_xlfn.UNIQUE(_xlfn._xlws.FILTER(DET_ASIG[DETALLADO],(DET_ASIG[NIVEL]=ASIGNACION!$D197)*(DET_ASIG[ID_CARRERA]=ASIGNACION!$C197)*(DET_ASIG[ID_ASIG]=ASIGNACION!$G197),"No existe información"))))</f>
        <v>No existe información</v>
      </c>
      <c r="I197" s="1"/>
      <c r="J197">
        <f>_xlfn.XLOOKUP(Tabla1[[#This Row],[ID_ASIG_CAM_DET]],MAE_ASIGNATURA[ID_ASIG],MAE_ASIGNATURA[HORAS],0)</f>
        <v>0</v>
      </c>
      <c r="K197">
        <v>4</v>
      </c>
      <c r="L197" s="2">
        <f>+Tabla1[[#This Row],[CALCULAR HORA]]*Tabla1[[#This Row],[HORAS]]</f>
        <v>0</v>
      </c>
      <c r="N197" t="str">
        <f>_xlfn.XLOOKUP(Tabla1[[#This Row],[NOMBRE_DOCENT]],MDOCENTES[DATOS_DOCENTE],MDOCENTES[DEDICACION],"Seleccione Docente")</f>
        <v>Seleccione Docente</v>
      </c>
      <c r="O197" t="str">
        <f>_xlfn.XLOOKUP(Tabla1[[#This Row],[NOMBRE_DOCENT]],MDOCENTES[DATOS_DOCENTE],MDOCENTES[ESTUDIO],"Seleccione Docente")</f>
        <v>Seleccione Docente</v>
      </c>
      <c r="P197">
        <f t="shared" si="15"/>
        <v>0</v>
      </c>
      <c r="Q197">
        <f t="shared" si="16"/>
        <v>0</v>
      </c>
      <c r="R197">
        <f t="shared" si="17"/>
        <v>0</v>
      </c>
      <c r="S197">
        <f t="shared" si="18"/>
        <v>0</v>
      </c>
      <c r="T197">
        <f t="shared" si="19"/>
        <v>0</v>
      </c>
      <c r="U197">
        <f>Tabla1[[#This Row],[HORAS NO AFINIDAD]]+Tabla1[[#This Row],[HORAS UNIDAD BASICA]]+Tabla1[[#This Row],[HORAS AFINIDAD]]</f>
        <v>0</v>
      </c>
      <c r="V197">
        <f>+Tabla1[[#This Row],[HORAS AFINIDAD]]+Tabla1[[#This Row],[HORAS ACTIVIDAD]]+Tabla1[[#This Row],[HORAS UNIDAD BASICA]]+Tabla1[[#This Row],[HORAS NO AFINIDAD]]</f>
        <v>0</v>
      </c>
    </row>
    <row r="198" spans="1:22" ht="18.75" customHeight="1">
      <c r="A198">
        <v>197</v>
      </c>
      <c r="C198" t="str">
        <f>_xlfn.XLOOKUP(Tabla1[[#This Row],[CARRERA]],MAE_CARRERA[NOMBRE_CARRERA],MAE_CARRERA[ID_CARRERA],"Seleccione Carrera")</f>
        <v>Seleccione Carrera</v>
      </c>
      <c r="F198" s="1"/>
      <c r="G198" t="str">
        <f>_xlfn.XLOOKUP(Tabla1[[#This Row],[ASIGNATURA]],MAE_ASIGNATURA[NOM_ASIG],MAE_ASIGNATURA[ID_ASIG],"Seleccione Asignatura")</f>
        <v>Seleccione Asignatura</v>
      </c>
      <c r="H198" s="1" t="str" cm="1">
        <f t="array" ref="H198">_xlfn.TEXTJOIN("; ",TRUE,TRANSPOSE(_xlfn.UNIQUE(_xlfn._xlws.FILTER(DET_ASIG[DETALLADO],(DET_ASIG[NIVEL]=ASIGNACION!$D198)*(DET_ASIG[ID_CARRERA]=ASIGNACION!$C198)*(DET_ASIG[ID_ASIG]=ASIGNACION!$G198),"No existe información"))))</f>
        <v>No existe información</v>
      </c>
      <c r="I198" s="1"/>
      <c r="J198">
        <f>_xlfn.XLOOKUP(Tabla1[[#This Row],[ID_ASIG_CAM_DET]],MAE_ASIGNATURA[ID_ASIG],MAE_ASIGNATURA[HORAS],0)</f>
        <v>0</v>
      </c>
      <c r="K198">
        <v>4</v>
      </c>
      <c r="L198" s="2">
        <f>+Tabla1[[#This Row],[CALCULAR HORA]]*Tabla1[[#This Row],[HORAS]]</f>
        <v>0</v>
      </c>
      <c r="N198" t="str">
        <f>_xlfn.XLOOKUP(Tabla1[[#This Row],[NOMBRE_DOCENT]],MDOCENTES[DATOS_DOCENTE],MDOCENTES[DEDICACION],"Seleccione Docente")</f>
        <v>Seleccione Docente</v>
      </c>
      <c r="O198" t="str">
        <f>_xlfn.XLOOKUP(Tabla1[[#This Row],[NOMBRE_DOCENT]],MDOCENTES[DATOS_DOCENTE],MDOCENTES[ESTUDIO],"Seleccione Docente")</f>
        <v>Seleccione Docente</v>
      </c>
      <c r="P198">
        <f t="shared" si="15"/>
        <v>0</v>
      </c>
      <c r="Q198">
        <f t="shared" si="16"/>
        <v>0</v>
      </c>
      <c r="R198">
        <f t="shared" si="17"/>
        <v>0</v>
      </c>
      <c r="S198">
        <f t="shared" si="18"/>
        <v>0</v>
      </c>
      <c r="T198">
        <f t="shared" si="19"/>
        <v>0</v>
      </c>
      <c r="U198">
        <f>Tabla1[[#This Row],[HORAS NO AFINIDAD]]+Tabla1[[#This Row],[HORAS UNIDAD BASICA]]+Tabla1[[#This Row],[HORAS AFINIDAD]]</f>
        <v>0</v>
      </c>
      <c r="V198">
        <f>+Tabla1[[#This Row],[HORAS AFINIDAD]]+Tabla1[[#This Row],[HORAS ACTIVIDAD]]+Tabla1[[#This Row],[HORAS UNIDAD BASICA]]+Tabla1[[#This Row],[HORAS NO AFINIDAD]]</f>
        <v>0</v>
      </c>
    </row>
    <row r="199" spans="1:22" ht="18.75" customHeight="1">
      <c r="A199">
        <v>198</v>
      </c>
      <c r="C199" t="str">
        <f>_xlfn.XLOOKUP(Tabla1[[#This Row],[CARRERA]],MAE_CARRERA[NOMBRE_CARRERA],MAE_CARRERA[ID_CARRERA],"Seleccione Carrera")</f>
        <v>Seleccione Carrera</v>
      </c>
      <c r="F199" s="1"/>
      <c r="G199" t="str">
        <f>_xlfn.XLOOKUP(Tabla1[[#This Row],[ASIGNATURA]],MAE_ASIGNATURA[NOM_ASIG],MAE_ASIGNATURA[ID_ASIG],"Seleccione Asignatura")</f>
        <v>Seleccione Asignatura</v>
      </c>
      <c r="H199" s="1" t="str" cm="1">
        <f t="array" ref="H199">_xlfn.TEXTJOIN("; ",TRUE,TRANSPOSE(_xlfn.UNIQUE(_xlfn._xlws.FILTER(DET_ASIG[DETALLADO],(DET_ASIG[NIVEL]=ASIGNACION!$D199)*(DET_ASIG[ID_CARRERA]=ASIGNACION!$C199)*(DET_ASIG[ID_ASIG]=ASIGNACION!$G199),"No existe información"))))</f>
        <v>No existe información</v>
      </c>
      <c r="I199" s="1"/>
      <c r="J199">
        <f>_xlfn.XLOOKUP(Tabla1[[#This Row],[ID_ASIG_CAM_DET]],MAE_ASIGNATURA[ID_ASIG],MAE_ASIGNATURA[HORAS],0)</f>
        <v>0</v>
      </c>
      <c r="K199">
        <v>4</v>
      </c>
      <c r="L199" s="2">
        <f>+Tabla1[[#This Row],[CALCULAR HORA]]*Tabla1[[#This Row],[HORAS]]</f>
        <v>0</v>
      </c>
      <c r="N199" t="str">
        <f>_xlfn.XLOOKUP(Tabla1[[#This Row],[NOMBRE_DOCENT]],MDOCENTES[DATOS_DOCENTE],MDOCENTES[DEDICACION],"Seleccione Docente")</f>
        <v>Seleccione Docente</v>
      </c>
      <c r="O199" t="str">
        <f>_xlfn.XLOOKUP(Tabla1[[#This Row],[NOMBRE_DOCENT]],MDOCENTES[DATOS_DOCENTE],MDOCENTES[ESTUDIO],"Seleccione Docente")</f>
        <v>Seleccione Docente</v>
      </c>
      <c r="P199">
        <f t="shared" si="15"/>
        <v>0</v>
      </c>
      <c r="Q199">
        <f t="shared" si="16"/>
        <v>0</v>
      </c>
      <c r="R199">
        <f t="shared" si="17"/>
        <v>0</v>
      </c>
      <c r="S199">
        <f t="shared" si="18"/>
        <v>0</v>
      </c>
      <c r="T199">
        <f t="shared" si="19"/>
        <v>0</v>
      </c>
      <c r="U199">
        <f>Tabla1[[#This Row],[HORAS NO AFINIDAD]]+Tabla1[[#This Row],[HORAS UNIDAD BASICA]]+Tabla1[[#This Row],[HORAS AFINIDAD]]</f>
        <v>0</v>
      </c>
      <c r="V199">
        <f>+Tabla1[[#This Row],[HORAS AFINIDAD]]+Tabla1[[#This Row],[HORAS ACTIVIDAD]]+Tabla1[[#This Row],[HORAS UNIDAD BASICA]]+Tabla1[[#This Row],[HORAS NO AFINIDAD]]</f>
        <v>0</v>
      </c>
    </row>
    <row r="200" spans="1:22" ht="18.75" customHeight="1">
      <c r="A200">
        <v>199</v>
      </c>
      <c r="C200" t="str">
        <f>_xlfn.XLOOKUP(Tabla1[[#This Row],[CARRERA]],MAE_CARRERA[NOMBRE_CARRERA],MAE_CARRERA[ID_CARRERA],"Seleccione Carrera")</f>
        <v>Seleccione Carrera</v>
      </c>
      <c r="F200" s="1"/>
      <c r="G200" t="str">
        <f>_xlfn.XLOOKUP(Tabla1[[#This Row],[ASIGNATURA]],MAE_ASIGNATURA[NOM_ASIG],MAE_ASIGNATURA[ID_ASIG],"Seleccione Asignatura")</f>
        <v>Seleccione Asignatura</v>
      </c>
      <c r="H200" s="1" t="str" cm="1">
        <f t="array" ref="H200">_xlfn.TEXTJOIN("; ",TRUE,TRANSPOSE(_xlfn.UNIQUE(_xlfn._xlws.FILTER(DET_ASIG[DETALLADO],(DET_ASIG[NIVEL]=ASIGNACION!$D200)*(DET_ASIG[ID_CARRERA]=ASIGNACION!$C200)*(DET_ASIG[ID_ASIG]=ASIGNACION!$G200),"No existe información"))))</f>
        <v>No existe información</v>
      </c>
      <c r="I200" s="1"/>
      <c r="J200">
        <f>_xlfn.XLOOKUP(Tabla1[[#This Row],[ID_ASIG_CAM_DET]],MAE_ASIGNATURA[ID_ASIG],MAE_ASIGNATURA[HORAS],0)</f>
        <v>0</v>
      </c>
      <c r="K200">
        <v>4</v>
      </c>
      <c r="L200" s="2">
        <f>+Tabla1[[#This Row],[CALCULAR HORA]]*Tabla1[[#This Row],[HORAS]]</f>
        <v>0</v>
      </c>
      <c r="N200" t="str">
        <f>_xlfn.XLOOKUP(Tabla1[[#This Row],[NOMBRE_DOCENT]],MDOCENTES[DATOS_DOCENTE],MDOCENTES[DEDICACION],"Seleccione Docente")</f>
        <v>Seleccione Docente</v>
      </c>
      <c r="O200" t="str">
        <f>_xlfn.XLOOKUP(Tabla1[[#This Row],[NOMBRE_DOCENT]],MDOCENTES[DATOS_DOCENTE],MDOCENTES[ESTUDIO],"Seleccione Docente")</f>
        <v>Seleccione Docente</v>
      </c>
      <c r="P200">
        <f t="shared" si="15"/>
        <v>0</v>
      </c>
      <c r="Q200">
        <f t="shared" si="16"/>
        <v>0</v>
      </c>
      <c r="R200">
        <f t="shared" si="17"/>
        <v>0</v>
      </c>
      <c r="S200">
        <f t="shared" si="18"/>
        <v>0</v>
      </c>
      <c r="T200">
        <f t="shared" si="19"/>
        <v>0</v>
      </c>
      <c r="U200">
        <f>Tabla1[[#This Row],[HORAS NO AFINIDAD]]+Tabla1[[#This Row],[HORAS UNIDAD BASICA]]+Tabla1[[#This Row],[HORAS AFINIDAD]]</f>
        <v>0</v>
      </c>
      <c r="V200">
        <f>+Tabla1[[#This Row],[HORAS AFINIDAD]]+Tabla1[[#This Row],[HORAS ACTIVIDAD]]+Tabla1[[#This Row],[HORAS UNIDAD BASICA]]+Tabla1[[#This Row],[HORAS NO AFINIDAD]]</f>
        <v>0</v>
      </c>
    </row>
    <row r="201" spans="1:22" ht="18.75" customHeight="1">
      <c r="A201">
        <v>200</v>
      </c>
      <c r="C201" t="str">
        <f>_xlfn.XLOOKUP(Tabla1[[#This Row],[CARRERA]],MAE_CARRERA[NOMBRE_CARRERA],MAE_CARRERA[ID_CARRERA],"Seleccione Carrera")</f>
        <v>Seleccione Carrera</v>
      </c>
      <c r="F201" s="1"/>
      <c r="G201" t="str">
        <f>_xlfn.XLOOKUP(Tabla1[[#This Row],[ASIGNATURA]],MAE_ASIGNATURA[NOM_ASIG],MAE_ASIGNATURA[ID_ASIG],"Seleccione Asignatura")</f>
        <v>Seleccione Asignatura</v>
      </c>
      <c r="H201" s="1" t="str" cm="1">
        <f t="array" ref="H201">_xlfn.TEXTJOIN("; ",TRUE,TRANSPOSE(_xlfn.UNIQUE(_xlfn._xlws.FILTER(DET_ASIG[DETALLADO],(DET_ASIG[NIVEL]=ASIGNACION!$D201)*(DET_ASIG[ID_CARRERA]=ASIGNACION!$C201)*(DET_ASIG[ID_ASIG]=ASIGNACION!$G201),"No existe información"))))</f>
        <v>No existe información</v>
      </c>
      <c r="I201" s="1"/>
      <c r="J201">
        <f>_xlfn.XLOOKUP(Tabla1[[#This Row],[ID_ASIG_CAM_DET]],MAE_ASIGNATURA[ID_ASIG],MAE_ASIGNATURA[HORAS],0)</f>
        <v>0</v>
      </c>
      <c r="K201">
        <v>4</v>
      </c>
      <c r="L201" s="2">
        <f>+Tabla1[[#This Row],[CALCULAR HORA]]*Tabla1[[#This Row],[HORAS]]</f>
        <v>0</v>
      </c>
      <c r="N201" t="str">
        <f>_xlfn.XLOOKUP(Tabla1[[#This Row],[NOMBRE_DOCENT]],MDOCENTES[DATOS_DOCENTE],MDOCENTES[DEDICACION],"Seleccione Docente")</f>
        <v>Seleccione Docente</v>
      </c>
      <c r="O201" t="str">
        <f>_xlfn.XLOOKUP(Tabla1[[#This Row],[NOMBRE_DOCENT]],MDOCENTES[DATOS_DOCENTE],MDOCENTES[ESTUDIO],"Seleccione Docente")</f>
        <v>Seleccione Docente</v>
      </c>
      <c r="P201">
        <f t="shared" si="15"/>
        <v>0</v>
      </c>
      <c r="Q201">
        <f t="shared" si="16"/>
        <v>0</v>
      </c>
      <c r="R201">
        <f t="shared" si="17"/>
        <v>0</v>
      </c>
      <c r="S201">
        <f t="shared" si="18"/>
        <v>0</v>
      </c>
      <c r="T201">
        <f t="shared" si="19"/>
        <v>0</v>
      </c>
      <c r="U201">
        <f>Tabla1[[#This Row],[HORAS NO AFINIDAD]]+Tabla1[[#This Row],[HORAS UNIDAD BASICA]]+Tabla1[[#This Row],[HORAS AFINIDAD]]</f>
        <v>0</v>
      </c>
      <c r="V201">
        <f>+Tabla1[[#This Row],[HORAS AFINIDAD]]+Tabla1[[#This Row],[HORAS ACTIVIDAD]]+Tabla1[[#This Row],[HORAS UNIDAD BASICA]]+Tabla1[[#This Row],[HORAS NO AFINIDAD]]</f>
        <v>0</v>
      </c>
    </row>
    <row r="202" spans="1:22" ht="18.75" customHeight="1">
      <c r="A202">
        <v>201</v>
      </c>
      <c r="C202" t="str">
        <f>_xlfn.XLOOKUP(Tabla1[[#This Row],[CARRERA]],MAE_CARRERA[NOMBRE_CARRERA],MAE_CARRERA[ID_CARRERA],"Seleccione Carrera")</f>
        <v>Seleccione Carrera</v>
      </c>
      <c r="F202" s="1"/>
      <c r="G202" t="str">
        <f>_xlfn.XLOOKUP(Tabla1[[#This Row],[ASIGNATURA]],MAE_ASIGNATURA[NOM_ASIG],MAE_ASIGNATURA[ID_ASIG],"Seleccione Asignatura")</f>
        <v>Seleccione Asignatura</v>
      </c>
      <c r="H202" s="1" t="str" cm="1">
        <f t="array" ref="H202">_xlfn.TEXTJOIN("; ",TRUE,TRANSPOSE(_xlfn.UNIQUE(_xlfn._xlws.FILTER(DET_ASIG[DETALLADO],(DET_ASIG[NIVEL]=ASIGNACION!$D202)*(DET_ASIG[ID_CARRERA]=ASIGNACION!$C202)*(DET_ASIG[ID_ASIG]=ASIGNACION!$G202),"No existe información"))))</f>
        <v>No existe información</v>
      </c>
      <c r="I202" s="1"/>
      <c r="J202">
        <f>_xlfn.XLOOKUP(Tabla1[[#This Row],[ID_ASIG_CAM_DET]],MAE_ASIGNATURA[ID_ASIG],MAE_ASIGNATURA[HORAS],0)</f>
        <v>0</v>
      </c>
      <c r="K202">
        <v>4</v>
      </c>
      <c r="L202" s="2">
        <f>+Tabla1[[#This Row],[CALCULAR HORA]]*Tabla1[[#This Row],[HORAS]]</f>
        <v>0</v>
      </c>
      <c r="N202" t="str">
        <f>_xlfn.XLOOKUP(Tabla1[[#This Row],[NOMBRE_DOCENT]],MDOCENTES[DATOS_DOCENTE],MDOCENTES[DEDICACION],"Seleccione Docente")</f>
        <v>Seleccione Docente</v>
      </c>
      <c r="O202" t="str">
        <f>_xlfn.XLOOKUP(Tabla1[[#This Row],[NOMBRE_DOCENT]],MDOCENTES[DATOS_DOCENTE],MDOCENTES[ESTUDIO],"Seleccione Docente")</f>
        <v>Seleccione Docente</v>
      </c>
      <c r="P202">
        <f t="shared" si="15"/>
        <v>0</v>
      </c>
      <c r="Q202">
        <f t="shared" si="16"/>
        <v>0</v>
      </c>
      <c r="R202">
        <f t="shared" si="17"/>
        <v>0</v>
      </c>
      <c r="S202">
        <f t="shared" si="18"/>
        <v>0</v>
      </c>
      <c r="T202">
        <f t="shared" si="19"/>
        <v>0</v>
      </c>
      <c r="U202">
        <f>Tabla1[[#This Row],[HORAS NO AFINIDAD]]+Tabla1[[#This Row],[HORAS UNIDAD BASICA]]+Tabla1[[#This Row],[HORAS AFINIDAD]]</f>
        <v>0</v>
      </c>
      <c r="V202">
        <f>+Tabla1[[#This Row],[HORAS AFINIDAD]]+Tabla1[[#This Row],[HORAS ACTIVIDAD]]+Tabla1[[#This Row],[HORAS UNIDAD BASICA]]+Tabla1[[#This Row],[HORAS NO AFINIDAD]]</f>
        <v>0</v>
      </c>
    </row>
    <row r="203" spans="1:22" ht="18.75" customHeight="1">
      <c r="A203">
        <v>202</v>
      </c>
      <c r="C203" t="str">
        <f>_xlfn.XLOOKUP(Tabla1[[#This Row],[CARRERA]],MAE_CARRERA[NOMBRE_CARRERA],MAE_CARRERA[ID_CARRERA],"Seleccione Carrera")</f>
        <v>Seleccione Carrera</v>
      </c>
      <c r="F203" s="1"/>
      <c r="G203" t="str">
        <f>_xlfn.XLOOKUP(Tabla1[[#This Row],[ASIGNATURA]],MAE_ASIGNATURA[NOM_ASIG],MAE_ASIGNATURA[ID_ASIG],"Seleccione Asignatura")</f>
        <v>Seleccione Asignatura</v>
      </c>
      <c r="H203" s="1" t="str" cm="1">
        <f t="array" ref="H203">_xlfn.TEXTJOIN("; ",TRUE,TRANSPOSE(_xlfn.UNIQUE(_xlfn._xlws.FILTER(DET_ASIG[DETALLADO],(DET_ASIG[NIVEL]=ASIGNACION!$D203)*(DET_ASIG[ID_CARRERA]=ASIGNACION!$C203)*(DET_ASIG[ID_ASIG]=ASIGNACION!$G203),"No existe información"))))</f>
        <v>No existe información</v>
      </c>
      <c r="I203" s="1"/>
      <c r="J203">
        <f>_xlfn.XLOOKUP(Tabla1[[#This Row],[ID_ASIG_CAM_DET]],MAE_ASIGNATURA[ID_ASIG],MAE_ASIGNATURA[HORAS],0)</f>
        <v>0</v>
      </c>
      <c r="K203">
        <v>4</v>
      </c>
      <c r="L203" s="2">
        <f>+Tabla1[[#This Row],[CALCULAR HORA]]*Tabla1[[#This Row],[HORAS]]</f>
        <v>0</v>
      </c>
      <c r="N203" t="str">
        <f>_xlfn.XLOOKUP(Tabla1[[#This Row],[NOMBRE_DOCENT]],MDOCENTES[DATOS_DOCENTE],MDOCENTES[DEDICACION],"Seleccione Docente")</f>
        <v>Seleccione Docente</v>
      </c>
      <c r="O203" t="str">
        <f>_xlfn.XLOOKUP(Tabla1[[#This Row],[NOMBRE_DOCENT]],MDOCENTES[DATOS_DOCENTE],MDOCENTES[ESTUDIO],"Seleccione Docente")</f>
        <v>Seleccione Docente</v>
      </c>
      <c r="P203">
        <f t="shared" si="15"/>
        <v>0</v>
      </c>
      <c r="Q203">
        <f t="shared" si="16"/>
        <v>0</v>
      </c>
      <c r="R203">
        <f t="shared" si="17"/>
        <v>0</v>
      </c>
      <c r="S203">
        <f t="shared" si="18"/>
        <v>0</v>
      </c>
      <c r="T203">
        <f t="shared" si="19"/>
        <v>0</v>
      </c>
      <c r="U203">
        <f>Tabla1[[#This Row],[HORAS NO AFINIDAD]]+Tabla1[[#This Row],[HORAS UNIDAD BASICA]]+Tabla1[[#This Row],[HORAS AFINIDAD]]</f>
        <v>0</v>
      </c>
      <c r="V203">
        <f>+Tabla1[[#This Row],[HORAS AFINIDAD]]+Tabla1[[#This Row],[HORAS ACTIVIDAD]]+Tabla1[[#This Row],[HORAS UNIDAD BASICA]]+Tabla1[[#This Row],[HORAS NO AFINIDAD]]</f>
        <v>0</v>
      </c>
    </row>
    <row r="204" spans="1:22" ht="18.75" customHeight="1">
      <c r="A204">
        <v>203</v>
      </c>
      <c r="C204" t="str">
        <f>_xlfn.XLOOKUP(Tabla1[[#This Row],[CARRERA]],MAE_CARRERA[NOMBRE_CARRERA],MAE_CARRERA[ID_CARRERA],"Seleccione Carrera")</f>
        <v>Seleccione Carrera</v>
      </c>
      <c r="F204" s="1"/>
      <c r="G204" t="str">
        <f>_xlfn.XLOOKUP(Tabla1[[#This Row],[ASIGNATURA]],MAE_ASIGNATURA[NOM_ASIG],MAE_ASIGNATURA[ID_ASIG],"Seleccione Asignatura")</f>
        <v>Seleccione Asignatura</v>
      </c>
      <c r="H204" s="1" t="str" cm="1">
        <f t="array" ref="H204">_xlfn.TEXTJOIN("; ",TRUE,TRANSPOSE(_xlfn.UNIQUE(_xlfn._xlws.FILTER(DET_ASIG[DETALLADO],(DET_ASIG[NIVEL]=ASIGNACION!$D204)*(DET_ASIG[ID_CARRERA]=ASIGNACION!$C204)*(DET_ASIG[ID_ASIG]=ASIGNACION!$G204),"No existe información"))))</f>
        <v>No existe información</v>
      </c>
      <c r="I204" s="1"/>
      <c r="J204">
        <f>_xlfn.XLOOKUP(Tabla1[[#This Row],[ID_ASIG_CAM_DET]],MAE_ASIGNATURA[ID_ASIG],MAE_ASIGNATURA[HORAS],0)</f>
        <v>0</v>
      </c>
      <c r="K204">
        <v>4</v>
      </c>
      <c r="L204" s="2">
        <f>+Tabla1[[#This Row],[CALCULAR HORA]]*Tabla1[[#This Row],[HORAS]]</f>
        <v>0</v>
      </c>
      <c r="N204" t="str">
        <f>_xlfn.XLOOKUP(Tabla1[[#This Row],[NOMBRE_DOCENT]],MDOCENTES[DATOS_DOCENTE],MDOCENTES[DEDICACION],"Seleccione Docente")</f>
        <v>Seleccione Docente</v>
      </c>
      <c r="O204" t="str">
        <f>_xlfn.XLOOKUP(Tabla1[[#This Row],[NOMBRE_DOCENT]],MDOCENTES[DATOS_DOCENTE],MDOCENTES[ESTUDIO],"Seleccione Docente")</f>
        <v>Seleccione Docente</v>
      </c>
      <c r="P204">
        <f t="shared" si="15"/>
        <v>0</v>
      </c>
      <c r="Q204">
        <f t="shared" si="16"/>
        <v>0</v>
      </c>
      <c r="R204">
        <f t="shared" si="17"/>
        <v>0</v>
      </c>
      <c r="S204">
        <f t="shared" si="18"/>
        <v>0</v>
      </c>
      <c r="T204">
        <f t="shared" si="19"/>
        <v>0</v>
      </c>
      <c r="U204">
        <f>Tabla1[[#This Row],[HORAS NO AFINIDAD]]+Tabla1[[#This Row],[HORAS UNIDAD BASICA]]+Tabla1[[#This Row],[HORAS AFINIDAD]]</f>
        <v>0</v>
      </c>
      <c r="V204">
        <f>+Tabla1[[#This Row],[HORAS AFINIDAD]]+Tabla1[[#This Row],[HORAS ACTIVIDAD]]+Tabla1[[#This Row],[HORAS UNIDAD BASICA]]+Tabla1[[#This Row],[HORAS NO AFINIDAD]]</f>
        <v>0</v>
      </c>
    </row>
    <row r="205" spans="1:22" ht="18.75" customHeight="1">
      <c r="A205">
        <v>204</v>
      </c>
      <c r="C205" t="str">
        <f>_xlfn.XLOOKUP(Tabla1[[#This Row],[CARRERA]],MAE_CARRERA[NOMBRE_CARRERA],MAE_CARRERA[ID_CARRERA],"Seleccione Carrera")</f>
        <v>Seleccione Carrera</v>
      </c>
      <c r="F205" s="1"/>
      <c r="G205" t="str">
        <f>_xlfn.XLOOKUP(Tabla1[[#This Row],[ASIGNATURA]],MAE_ASIGNATURA[NOM_ASIG],MAE_ASIGNATURA[ID_ASIG],"Seleccione Asignatura")</f>
        <v>Seleccione Asignatura</v>
      </c>
      <c r="H205" s="1" t="str" cm="1">
        <f t="array" ref="H205">_xlfn.TEXTJOIN("; ",TRUE,TRANSPOSE(_xlfn.UNIQUE(_xlfn._xlws.FILTER(DET_ASIG[DETALLADO],(DET_ASIG[NIVEL]=ASIGNACION!$D205)*(DET_ASIG[ID_CARRERA]=ASIGNACION!$C205)*(DET_ASIG[ID_ASIG]=ASIGNACION!$G205),"No existe información"))))</f>
        <v>No existe información</v>
      </c>
      <c r="I205" s="1"/>
      <c r="J205">
        <f>_xlfn.XLOOKUP(Tabla1[[#This Row],[ID_ASIG_CAM_DET]],MAE_ASIGNATURA[ID_ASIG],MAE_ASIGNATURA[HORAS],0)</f>
        <v>0</v>
      </c>
      <c r="K205">
        <v>4</v>
      </c>
      <c r="L205" s="2">
        <f>+Tabla1[[#This Row],[CALCULAR HORA]]*Tabla1[[#This Row],[HORAS]]</f>
        <v>0</v>
      </c>
      <c r="N205" t="str">
        <f>_xlfn.XLOOKUP(Tabla1[[#This Row],[NOMBRE_DOCENT]],MDOCENTES[DATOS_DOCENTE],MDOCENTES[DEDICACION],"Seleccione Docente")</f>
        <v>Seleccione Docente</v>
      </c>
      <c r="O205" t="str">
        <f>_xlfn.XLOOKUP(Tabla1[[#This Row],[NOMBRE_DOCENT]],MDOCENTES[DATOS_DOCENTE],MDOCENTES[ESTUDIO],"Seleccione Docente")</f>
        <v>Seleccione Docente</v>
      </c>
      <c r="P205">
        <f t="shared" si="15"/>
        <v>0</v>
      </c>
      <c r="Q205">
        <f t="shared" si="16"/>
        <v>0</v>
      </c>
      <c r="R205">
        <f t="shared" si="17"/>
        <v>0</v>
      </c>
      <c r="S205">
        <f t="shared" si="18"/>
        <v>0</v>
      </c>
      <c r="T205">
        <f t="shared" si="19"/>
        <v>0</v>
      </c>
      <c r="U205">
        <f>Tabla1[[#This Row],[HORAS NO AFINIDAD]]+Tabla1[[#This Row],[HORAS UNIDAD BASICA]]+Tabla1[[#This Row],[HORAS AFINIDAD]]</f>
        <v>0</v>
      </c>
      <c r="V205">
        <f>+Tabla1[[#This Row],[HORAS AFINIDAD]]+Tabla1[[#This Row],[HORAS ACTIVIDAD]]+Tabla1[[#This Row],[HORAS UNIDAD BASICA]]+Tabla1[[#This Row],[HORAS NO AFINIDAD]]</f>
        <v>0</v>
      </c>
    </row>
    <row r="206" spans="1:22" ht="18.75" customHeight="1">
      <c r="A206">
        <v>205</v>
      </c>
      <c r="C206" t="str">
        <f>_xlfn.XLOOKUP(Tabla1[[#This Row],[CARRERA]],MAE_CARRERA[NOMBRE_CARRERA],MAE_CARRERA[ID_CARRERA],"Seleccione Carrera")</f>
        <v>Seleccione Carrera</v>
      </c>
      <c r="F206" s="1"/>
      <c r="G206" t="str">
        <f>_xlfn.XLOOKUP(Tabla1[[#This Row],[ASIGNATURA]],MAE_ASIGNATURA[NOM_ASIG],MAE_ASIGNATURA[ID_ASIG],"Seleccione Asignatura")</f>
        <v>Seleccione Asignatura</v>
      </c>
      <c r="H206" s="1" t="str" cm="1">
        <f t="array" ref="H206">_xlfn.TEXTJOIN("; ",TRUE,TRANSPOSE(_xlfn.UNIQUE(_xlfn._xlws.FILTER(DET_ASIG[DETALLADO],(DET_ASIG[NIVEL]=ASIGNACION!$D206)*(DET_ASIG[ID_CARRERA]=ASIGNACION!$C206)*(DET_ASIG[ID_ASIG]=ASIGNACION!$G206),"No existe información"))))</f>
        <v>No existe información</v>
      </c>
      <c r="I206" s="1"/>
      <c r="J206">
        <f>_xlfn.XLOOKUP(Tabla1[[#This Row],[ID_ASIG_CAM_DET]],MAE_ASIGNATURA[ID_ASIG],MAE_ASIGNATURA[HORAS],0)</f>
        <v>0</v>
      </c>
      <c r="K206">
        <v>4</v>
      </c>
      <c r="L206" s="2">
        <f>+Tabla1[[#This Row],[CALCULAR HORA]]*Tabla1[[#This Row],[HORAS]]</f>
        <v>0</v>
      </c>
      <c r="N206" t="str">
        <f>_xlfn.XLOOKUP(Tabla1[[#This Row],[NOMBRE_DOCENT]],MDOCENTES[DATOS_DOCENTE],MDOCENTES[DEDICACION],"Seleccione Docente")</f>
        <v>Seleccione Docente</v>
      </c>
      <c r="O206" t="str">
        <f>_xlfn.XLOOKUP(Tabla1[[#This Row],[NOMBRE_DOCENT]],MDOCENTES[DATOS_DOCENTE],MDOCENTES[ESTUDIO],"Seleccione Docente")</f>
        <v>Seleccione Docente</v>
      </c>
      <c r="P206">
        <f t="shared" si="15"/>
        <v>0</v>
      </c>
      <c r="Q206">
        <f t="shared" si="16"/>
        <v>0</v>
      </c>
      <c r="R206">
        <f t="shared" si="17"/>
        <v>0</v>
      </c>
      <c r="S206">
        <f t="shared" si="18"/>
        <v>0</v>
      </c>
      <c r="T206">
        <f t="shared" si="19"/>
        <v>0</v>
      </c>
      <c r="U206">
        <f>Tabla1[[#This Row],[HORAS NO AFINIDAD]]+Tabla1[[#This Row],[HORAS UNIDAD BASICA]]+Tabla1[[#This Row],[HORAS AFINIDAD]]</f>
        <v>0</v>
      </c>
      <c r="V206">
        <f>+Tabla1[[#This Row],[HORAS AFINIDAD]]+Tabla1[[#This Row],[HORAS ACTIVIDAD]]+Tabla1[[#This Row],[HORAS UNIDAD BASICA]]+Tabla1[[#This Row],[HORAS NO AFINIDAD]]</f>
        <v>0</v>
      </c>
    </row>
    <row r="207" spans="1:22" ht="18.75" customHeight="1">
      <c r="A207">
        <v>206</v>
      </c>
      <c r="C207" t="str">
        <f>_xlfn.XLOOKUP(Tabla1[[#This Row],[CARRERA]],MAE_CARRERA[NOMBRE_CARRERA],MAE_CARRERA[ID_CARRERA],"Seleccione Carrera")</f>
        <v>Seleccione Carrera</v>
      </c>
      <c r="F207" s="1"/>
      <c r="G207" t="str">
        <f>_xlfn.XLOOKUP(Tabla1[[#This Row],[ASIGNATURA]],MAE_ASIGNATURA[NOM_ASIG],MAE_ASIGNATURA[ID_ASIG],"Seleccione Asignatura")</f>
        <v>Seleccione Asignatura</v>
      </c>
      <c r="H207" s="1" t="str" cm="1">
        <f t="array" ref="H207">_xlfn.TEXTJOIN("; ",TRUE,TRANSPOSE(_xlfn.UNIQUE(_xlfn._xlws.FILTER(DET_ASIG[DETALLADO],(DET_ASIG[NIVEL]=ASIGNACION!$D207)*(DET_ASIG[ID_CARRERA]=ASIGNACION!$C207)*(DET_ASIG[ID_ASIG]=ASIGNACION!$G207),"No existe información"))))</f>
        <v>No existe información</v>
      </c>
      <c r="I207" s="1"/>
      <c r="J207">
        <f>_xlfn.XLOOKUP(Tabla1[[#This Row],[ID_ASIG_CAM_DET]],MAE_ASIGNATURA[ID_ASIG],MAE_ASIGNATURA[HORAS],0)</f>
        <v>0</v>
      </c>
      <c r="K207">
        <v>4</v>
      </c>
      <c r="L207" s="2">
        <f>+Tabla1[[#This Row],[CALCULAR HORA]]*Tabla1[[#This Row],[HORAS]]</f>
        <v>0</v>
      </c>
      <c r="N207" t="str">
        <f>_xlfn.XLOOKUP(Tabla1[[#This Row],[NOMBRE_DOCENT]],MDOCENTES[DATOS_DOCENTE],MDOCENTES[DEDICACION],"Seleccione Docente")</f>
        <v>Seleccione Docente</v>
      </c>
      <c r="O207" t="str">
        <f>_xlfn.XLOOKUP(Tabla1[[#This Row],[NOMBRE_DOCENT]],MDOCENTES[DATOS_DOCENTE],MDOCENTES[ESTUDIO],"Seleccione Docente")</f>
        <v>Seleccione Docente</v>
      </c>
      <c r="P207">
        <f t="shared" si="15"/>
        <v>0</v>
      </c>
      <c r="Q207">
        <f t="shared" si="16"/>
        <v>0</v>
      </c>
      <c r="R207">
        <f t="shared" si="17"/>
        <v>0</v>
      </c>
      <c r="S207">
        <f t="shared" si="18"/>
        <v>0</v>
      </c>
      <c r="T207">
        <f t="shared" si="19"/>
        <v>0</v>
      </c>
      <c r="U207">
        <f>Tabla1[[#This Row],[HORAS NO AFINIDAD]]+Tabla1[[#This Row],[HORAS UNIDAD BASICA]]+Tabla1[[#This Row],[HORAS AFINIDAD]]</f>
        <v>0</v>
      </c>
      <c r="V207">
        <f>+Tabla1[[#This Row],[HORAS AFINIDAD]]+Tabla1[[#This Row],[HORAS ACTIVIDAD]]+Tabla1[[#This Row],[HORAS UNIDAD BASICA]]+Tabla1[[#This Row],[HORAS NO AFINIDAD]]</f>
        <v>0</v>
      </c>
    </row>
    <row r="208" spans="1:22" ht="18.75" customHeight="1">
      <c r="A208">
        <v>207</v>
      </c>
      <c r="C208" t="str">
        <f>_xlfn.XLOOKUP(Tabla1[[#This Row],[CARRERA]],MAE_CARRERA[NOMBRE_CARRERA],MAE_CARRERA[ID_CARRERA],"Seleccione Carrera")</f>
        <v>Seleccione Carrera</v>
      </c>
      <c r="F208" s="1"/>
      <c r="G208" t="str">
        <f>_xlfn.XLOOKUP(Tabla1[[#This Row],[ASIGNATURA]],MAE_ASIGNATURA[NOM_ASIG],MAE_ASIGNATURA[ID_ASIG],"Seleccione Asignatura")</f>
        <v>Seleccione Asignatura</v>
      </c>
      <c r="H208" s="1" t="str" cm="1">
        <f t="array" ref="H208">_xlfn.TEXTJOIN("; ",TRUE,TRANSPOSE(_xlfn.UNIQUE(_xlfn._xlws.FILTER(DET_ASIG[DETALLADO],(DET_ASIG[NIVEL]=ASIGNACION!$D208)*(DET_ASIG[ID_CARRERA]=ASIGNACION!$C208)*(DET_ASIG[ID_ASIG]=ASIGNACION!$G208),"No existe información"))))</f>
        <v>No existe información</v>
      </c>
      <c r="I208" s="1"/>
      <c r="J208">
        <f>_xlfn.XLOOKUP(Tabla1[[#This Row],[ID_ASIG_CAM_DET]],MAE_ASIGNATURA[ID_ASIG],MAE_ASIGNATURA[HORAS],0)</f>
        <v>0</v>
      </c>
      <c r="K208">
        <v>4</v>
      </c>
      <c r="L208" s="2">
        <f>+Tabla1[[#This Row],[CALCULAR HORA]]*Tabla1[[#This Row],[HORAS]]</f>
        <v>0</v>
      </c>
      <c r="N208" t="str">
        <f>_xlfn.XLOOKUP(Tabla1[[#This Row],[NOMBRE_DOCENT]],MDOCENTES[DATOS_DOCENTE],MDOCENTES[DEDICACION],"Seleccione Docente")</f>
        <v>Seleccione Docente</v>
      </c>
      <c r="O208" t="str">
        <f>_xlfn.XLOOKUP(Tabla1[[#This Row],[NOMBRE_DOCENT]],MDOCENTES[DATOS_DOCENTE],MDOCENTES[ESTUDIO],"Seleccione Docente")</f>
        <v>Seleccione Docente</v>
      </c>
      <c r="P208">
        <f t="shared" si="15"/>
        <v>0</v>
      </c>
      <c r="Q208">
        <f t="shared" si="16"/>
        <v>0</v>
      </c>
      <c r="R208">
        <f t="shared" si="17"/>
        <v>0</v>
      </c>
      <c r="S208">
        <f t="shared" si="18"/>
        <v>0</v>
      </c>
      <c r="T208">
        <f t="shared" si="19"/>
        <v>0</v>
      </c>
      <c r="U208">
        <f>Tabla1[[#This Row],[HORAS NO AFINIDAD]]+Tabla1[[#This Row],[HORAS UNIDAD BASICA]]+Tabla1[[#This Row],[HORAS AFINIDAD]]</f>
        <v>0</v>
      </c>
      <c r="V208">
        <f>+Tabla1[[#This Row],[HORAS AFINIDAD]]+Tabla1[[#This Row],[HORAS ACTIVIDAD]]+Tabla1[[#This Row],[HORAS UNIDAD BASICA]]+Tabla1[[#This Row],[HORAS NO AFINIDAD]]</f>
        <v>0</v>
      </c>
    </row>
    <row r="209" spans="1:22" ht="18.75" customHeight="1">
      <c r="A209">
        <v>208</v>
      </c>
      <c r="C209" t="str">
        <f>_xlfn.XLOOKUP(Tabla1[[#This Row],[CARRERA]],MAE_CARRERA[NOMBRE_CARRERA],MAE_CARRERA[ID_CARRERA],"Seleccione Carrera")</f>
        <v>Seleccione Carrera</v>
      </c>
      <c r="F209" s="1"/>
      <c r="G209" t="str">
        <f>_xlfn.XLOOKUP(Tabla1[[#This Row],[ASIGNATURA]],MAE_ASIGNATURA[NOM_ASIG],MAE_ASIGNATURA[ID_ASIG],"Seleccione Asignatura")</f>
        <v>Seleccione Asignatura</v>
      </c>
      <c r="H209" s="1" t="str" cm="1">
        <f t="array" ref="H209">_xlfn.TEXTJOIN("; ",TRUE,TRANSPOSE(_xlfn.UNIQUE(_xlfn._xlws.FILTER(DET_ASIG[DETALLADO],(DET_ASIG[NIVEL]=ASIGNACION!$D209)*(DET_ASIG[ID_CARRERA]=ASIGNACION!$C209)*(DET_ASIG[ID_ASIG]=ASIGNACION!$G209),"No existe información"))))</f>
        <v>No existe información</v>
      </c>
      <c r="I209" s="1"/>
      <c r="J209">
        <f>_xlfn.XLOOKUP(Tabla1[[#This Row],[ID_ASIG_CAM_DET]],MAE_ASIGNATURA[ID_ASIG],MAE_ASIGNATURA[HORAS],0)</f>
        <v>0</v>
      </c>
      <c r="K209">
        <v>4</v>
      </c>
      <c r="L209" s="2">
        <f>+Tabla1[[#This Row],[CALCULAR HORA]]*Tabla1[[#This Row],[HORAS]]</f>
        <v>0</v>
      </c>
      <c r="N209" t="str">
        <f>_xlfn.XLOOKUP(Tabla1[[#This Row],[NOMBRE_DOCENT]],MDOCENTES[DATOS_DOCENTE],MDOCENTES[DEDICACION],"Seleccione Docente")</f>
        <v>Seleccione Docente</v>
      </c>
      <c r="O209" t="str">
        <f>_xlfn.XLOOKUP(Tabla1[[#This Row],[NOMBRE_DOCENT]],MDOCENTES[DATOS_DOCENTE],MDOCENTES[ESTUDIO],"Seleccione Docente")</f>
        <v>Seleccione Docente</v>
      </c>
      <c r="P209">
        <f t="shared" si="15"/>
        <v>0</v>
      </c>
      <c r="Q209">
        <f t="shared" si="16"/>
        <v>0</v>
      </c>
      <c r="R209">
        <f t="shared" si="17"/>
        <v>0</v>
      </c>
      <c r="S209">
        <f t="shared" si="18"/>
        <v>0</v>
      </c>
      <c r="T209">
        <f t="shared" si="19"/>
        <v>0</v>
      </c>
      <c r="U209">
        <f>Tabla1[[#This Row],[HORAS NO AFINIDAD]]+Tabla1[[#This Row],[HORAS UNIDAD BASICA]]+Tabla1[[#This Row],[HORAS AFINIDAD]]</f>
        <v>0</v>
      </c>
      <c r="V209">
        <f>+Tabla1[[#This Row],[HORAS AFINIDAD]]+Tabla1[[#This Row],[HORAS ACTIVIDAD]]+Tabla1[[#This Row],[HORAS UNIDAD BASICA]]+Tabla1[[#This Row],[HORAS NO AFINIDAD]]</f>
        <v>0</v>
      </c>
    </row>
    <row r="210" spans="1:22" ht="18.75" customHeight="1">
      <c r="A210">
        <v>209</v>
      </c>
      <c r="C210" t="str">
        <f>_xlfn.XLOOKUP(Tabla1[[#This Row],[CARRERA]],MAE_CARRERA[NOMBRE_CARRERA],MAE_CARRERA[ID_CARRERA],"Seleccione Carrera")</f>
        <v>Seleccione Carrera</v>
      </c>
      <c r="F210" s="1"/>
      <c r="G210" t="str">
        <f>_xlfn.XLOOKUP(Tabla1[[#This Row],[ASIGNATURA]],MAE_ASIGNATURA[NOM_ASIG],MAE_ASIGNATURA[ID_ASIG],"Seleccione Asignatura")</f>
        <v>Seleccione Asignatura</v>
      </c>
      <c r="H210" s="1" t="str" cm="1">
        <f t="array" ref="H210">_xlfn.TEXTJOIN("; ",TRUE,TRANSPOSE(_xlfn.UNIQUE(_xlfn._xlws.FILTER(DET_ASIG[DETALLADO],(DET_ASIG[NIVEL]=ASIGNACION!$D210)*(DET_ASIG[ID_CARRERA]=ASIGNACION!$C210)*(DET_ASIG[ID_ASIG]=ASIGNACION!$G210),"No existe información"))))</f>
        <v>No existe información</v>
      </c>
      <c r="I210" s="1"/>
      <c r="J210">
        <f>_xlfn.XLOOKUP(Tabla1[[#This Row],[ID_ASIG_CAM_DET]],MAE_ASIGNATURA[ID_ASIG],MAE_ASIGNATURA[HORAS],0)</f>
        <v>0</v>
      </c>
      <c r="K210">
        <v>4</v>
      </c>
      <c r="L210" s="2">
        <f>+Tabla1[[#This Row],[CALCULAR HORA]]*Tabla1[[#This Row],[HORAS]]</f>
        <v>0</v>
      </c>
      <c r="N210" t="str">
        <f>_xlfn.XLOOKUP(Tabla1[[#This Row],[NOMBRE_DOCENT]],MDOCENTES[DATOS_DOCENTE],MDOCENTES[DEDICACION],"Seleccione Docente")</f>
        <v>Seleccione Docente</v>
      </c>
      <c r="O210" t="str">
        <f>_xlfn.XLOOKUP(Tabla1[[#This Row],[NOMBRE_DOCENT]],MDOCENTES[DATOS_DOCENTE],MDOCENTES[ESTUDIO],"Seleccione Docente")</f>
        <v>Seleccione Docente</v>
      </c>
      <c r="P210">
        <f t="shared" si="15"/>
        <v>0</v>
      </c>
      <c r="Q210">
        <f t="shared" si="16"/>
        <v>0</v>
      </c>
      <c r="R210">
        <f t="shared" si="17"/>
        <v>0</v>
      </c>
      <c r="S210">
        <f t="shared" si="18"/>
        <v>0</v>
      </c>
      <c r="T210">
        <f t="shared" si="19"/>
        <v>0</v>
      </c>
      <c r="U210">
        <f>Tabla1[[#This Row],[HORAS NO AFINIDAD]]+Tabla1[[#This Row],[HORAS UNIDAD BASICA]]+Tabla1[[#This Row],[HORAS AFINIDAD]]</f>
        <v>0</v>
      </c>
      <c r="V210">
        <f>+Tabla1[[#This Row],[HORAS AFINIDAD]]+Tabla1[[#This Row],[HORAS ACTIVIDAD]]+Tabla1[[#This Row],[HORAS UNIDAD BASICA]]+Tabla1[[#This Row],[HORAS NO AFINIDAD]]</f>
        <v>0</v>
      </c>
    </row>
    <row r="211" spans="1:22" ht="18.75" customHeight="1">
      <c r="A211">
        <v>210</v>
      </c>
      <c r="C211" t="str">
        <f>_xlfn.XLOOKUP(Tabla1[[#This Row],[CARRERA]],MAE_CARRERA[NOMBRE_CARRERA],MAE_CARRERA[ID_CARRERA],"Seleccione Carrera")</f>
        <v>Seleccione Carrera</v>
      </c>
      <c r="F211" s="1"/>
      <c r="G211" t="str">
        <f>_xlfn.XLOOKUP(Tabla1[[#This Row],[ASIGNATURA]],MAE_ASIGNATURA[NOM_ASIG],MAE_ASIGNATURA[ID_ASIG],"Seleccione Asignatura")</f>
        <v>Seleccione Asignatura</v>
      </c>
      <c r="H211" s="1" t="str" cm="1">
        <f t="array" ref="H211">_xlfn.TEXTJOIN("; ",TRUE,TRANSPOSE(_xlfn.UNIQUE(_xlfn._xlws.FILTER(DET_ASIG[DETALLADO],(DET_ASIG[NIVEL]=ASIGNACION!$D211)*(DET_ASIG[ID_CARRERA]=ASIGNACION!$C211)*(DET_ASIG[ID_ASIG]=ASIGNACION!$G211),"No existe información"))))</f>
        <v>No existe información</v>
      </c>
      <c r="I211" s="1"/>
      <c r="J211">
        <f>_xlfn.XLOOKUP(Tabla1[[#This Row],[ID_ASIG_CAM_DET]],MAE_ASIGNATURA[ID_ASIG],MAE_ASIGNATURA[HORAS],0)</f>
        <v>0</v>
      </c>
      <c r="K211">
        <v>4</v>
      </c>
      <c r="L211" s="2">
        <f>+Tabla1[[#This Row],[CALCULAR HORA]]*Tabla1[[#This Row],[HORAS]]</f>
        <v>0</v>
      </c>
      <c r="N211" t="str">
        <f>_xlfn.XLOOKUP(Tabla1[[#This Row],[NOMBRE_DOCENT]],MDOCENTES[DATOS_DOCENTE],MDOCENTES[DEDICACION],"Seleccione Docente")</f>
        <v>Seleccione Docente</v>
      </c>
      <c r="O211" t="str">
        <f>_xlfn.XLOOKUP(Tabla1[[#This Row],[NOMBRE_DOCENT]],MDOCENTES[DATOS_DOCENTE],MDOCENTES[ESTUDIO],"Seleccione Docente")</f>
        <v>Seleccione Docente</v>
      </c>
      <c r="P211">
        <f t="shared" si="15"/>
        <v>0</v>
      </c>
      <c r="Q211">
        <f t="shared" si="16"/>
        <v>0</v>
      </c>
      <c r="R211">
        <f t="shared" si="17"/>
        <v>0</v>
      </c>
      <c r="S211">
        <f t="shared" si="18"/>
        <v>0</v>
      </c>
      <c r="T211">
        <f t="shared" si="19"/>
        <v>0</v>
      </c>
      <c r="U211">
        <f>Tabla1[[#This Row],[HORAS NO AFINIDAD]]+Tabla1[[#This Row],[HORAS UNIDAD BASICA]]+Tabla1[[#This Row],[HORAS AFINIDAD]]</f>
        <v>0</v>
      </c>
      <c r="V211">
        <f>+Tabla1[[#This Row],[HORAS AFINIDAD]]+Tabla1[[#This Row],[HORAS ACTIVIDAD]]+Tabla1[[#This Row],[HORAS UNIDAD BASICA]]+Tabla1[[#This Row],[HORAS NO AFINIDAD]]</f>
        <v>0</v>
      </c>
    </row>
    <row r="212" spans="1:22" ht="18.75" customHeight="1">
      <c r="A212">
        <v>211</v>
      </c>
      <c r="C212" t="str">
        <f>_xlfn.XLOOKUP(Tabla1[[#This Row],[CARRERA]],MAE_CARRERA[NOMBRE_CARRERA],MAE_CARRERA[ID_CARRERA],"Seleccione Carrera")</f>
        <v>Seleccione Carrera</v>
      </c>
      <c r="F212" s="1"/>
      <c r="G212" t="str">
        <f>_xlfn.XLOOKUP(Tabla1[[#This Row],[ASIGNATURA]],MAE_ASIGNATURA[NOM_ASIG],MAE_ASIGNATURA[ID_ASIG],"Seleccione Asignatura")</f>
        <v>Seleccione Asignatura</v>
      </c>
      <c r="H212" s="1" t="str" cm="1">
        <f t="array" ref="H212">_xlfn.TEXTJOIN("; ",TRUE,TRANSPOSE(_xlfn.UNIQUE(_xlfn._xlws.FILTER(DET_ASIG[DETALLADO],(DET_ASIG[NIVEL]=ASIGNACION!$D212)*(DET_ASIG[ID_CARRERA]=ASIGNACION!$C212)*(DET_ASIG[ID_ASIG]=ASIGNACION!$G212),"No existe información"))))</f>
        <v>No existe información</v>
      </c>
      <c r="I212" s="1"/>
      <c r="J212">
        <f>_xlfn.XLOOKUP(Tabla1[[#This Row],[ID_ASIG_CAM_DET]],MAE_ASIGNATURA[ID_ASIG],MAE_ASIGNATURA[HORAS],0)</f>
        <v>0</v>
      </c>
      <c r="K212">
        <v>4</v>
      </c>
      <c r="L212" s="2">
        <f>+Tabla1[[#This Row],[CALCULAR HORA]]*Tabla1[[#This Row],[HORAS]]</f>
        <v>0</v>
      </c>
      <c r="N212" t="str">
        <f>_xlfn.XLOOKUP(Tabla1[[#This Row],[NOMBRE_DOCENT]],MDOCENTES[DATOS_DOCENTE],MDOCENTES[DEDICACION],"Seleccione Docente")</f>
        <v>Seleccione Docente</v>
      </c>
      <c r="O212" t="str">
        <f>_xlfn.XLOOKUP(Tabla1[[#This Row],[NOMBRE_DOCENT]],MDOCENTES[DATOS_DOCENTE],MDOCENTES[ESTUDIO],"Seleccione Docente")</f>
        <v>Seleccione Docente</v>
      </c>
      <c r="P212">
        <f t="shared" si="15"/>
        <v>0</v>
      </c>
      <c r="Q212">
        <f t="shared" si="16"/>
        <v>0</v>
      </c>
      <c r="R212">
        <f t="shared" si="17"/>
        <v>0</v>
      </c>
      <c r="S212">
        <f t="shared" si="18"/>
        <v>0</v>
      </c>
      <c r="T212">
        <f t="shared" si="19"/>
        <v>0</v>
      </c>
      <c r="U212">
        <f>Tabla1[[#This Row],[HORAS NO AFINIDAD]]+Tabla1[[#This Row],[HORAS UNIDAD BASICA]]+Tabla1[[#This Row],[HORAS AFINIDAD]]</f>
        <v>0</v>
      </c>
      <c r="V212">
        <f>+Tabla1[[#This Row],[HORAS AFINIDAD]]+Tabla1[[#This Row],[HORAS ACTIVIDAD]]+Tabla1[[#This Row],[HORAS UNIDAD BASICA]]+Tabla1[[#This Row],[HORAS NO AFINIDAD]]</f>
        <v>0</v>
      </c>
    </row>
    <row r="213" spans="1:22" ht="18.75" customHeight="1">
      <c r="A213">
        <v>212</v>
      </c>
      <c r="C213" t="str">
        <f>_xlfn.XLOOKUP(Tabla1[[#This Row],[CARRERA]],MAE_CARRERA[NOMBRE_CARRERA],MAE_CARRERA[ID_CARRERA],"Seleccione Carrera")</f>
        <v>Seleccione Carrera</v>
      </c>
      <c r="F213" s="1"/>
      <c r="G213" t="str">
        <f>_xlfn.XLOOKUP(Tabla1[[#This Row],[ASIGNATURA]],MAE_ASIGNATURA[NOM_ASIG],MAE_ASIGNATURA[ID_ASIG],"Seleccione Asignatura")</f>
        <v>Seleccione Asignatura</v>
      </c>
      <c r="H213" s="1" t="str" cm="1">
        <f t="array" ref="H213">_xlfn.TEXTJOIN("; ",TRUE,TRANSPOSE(_xlfn.UNIQUE(_xlfn._xlws.FILTER(DET_ASIG[DETALLADO],(DET_ASIG[NIVEL]=ASIGNACION!$D213)*(DET_ASIG[ID_CARRERA]=ASIGNACION!$C213)*(DET_ASIG[ID_ASIG]=ASIGNACION!$G213),"No existe información"))))</f>
        <v>No existe información</v>
      </c>
      <c r="I213" s="1"/>
      <c r="J213">
        <f>_xlfn.XLOOKUP(Tabla1[[#This Row],[ID_ASIG_CAM_DET]],MAE_ASIGNATURA[ID_ASIG],MAE_ASIGNATURA[HORAS],0)</f>
        <v>0</v>
      </c>
      <c r="K213">
        <v>4</v>
      </c>
      <c r="L213" s="2">
        <f>+Tabla1[[#This Row],[CALCULAR HORA]]*Tabla1[[#This Row],[HORAS]]</f>
        <v>0</v>
      </c>
      <c r="N213" t="str">
        <f>_xlfn.XLOOKUP(Tabla1[[#This Row],[NOMBRE_DOCENT]],MDOCENTES[DATOS_DOCENTE],MDOCENTES[DEDICACION],"Seleccione Docente")</f>
        <v>Seleccione Docente</v>
      </c>
      <c r="O213" t="str">
        <f>_xlfn.XLOOKUP(Tabla1[[#This Row],[NOMBRE_DOCENT]],MDOCENTES[DATOS_DOCENTE],MDOCENTES[ESTUDIO],"Seleccione Docente")</f>
        <v>Seleccione Docente</v>
      </c>
      <c r="P213">
        <f t="shared" si="15"/>
        <v>0</v>
      </c>
      <c r="Q213">
        <f t="shared" si="16"/>
        <v>0</v>
      </c>
      <c r="R213">
        <f t="shared" si="17"/>
        <v>0</v>
      </c>
      <c r="S213">
        <f t="shared" si="18"/>
        <v>0</v>
      </c>
      <c r="T213">
        <f t="shared" si="19"/>
        <v>0</v>
      </c>
      <c r="U213">
        <f>Tabla1[[#This Row],[HORAS NO AFINIDAD]]+Tabla1[[#This Row],[HORAS UNIDAD BASICA]]+Tabla1[[#This Row],[HORAS AFINIDAD]]</f>
        <v>0</v>
      </c>
      <c r="V213">
        <f>+Tabla1[[#This Row],[HORAS AFINIDAD]]+Tabla1[[#This Row],[HORAS ACTIVIDAD]]+Tabla1[[#This Row],[HORAS UNIDAD BASICA]]+Tabla1[[#This Row],[HORAS NO AFINIDAD]]</f>
        <v>0</v>
      </c>
    </row>
    <row r="214" spans="1:22" ht="18.75" customHeight="1">
      <c r="A214">
        <v>213</v>
      </c>
      <c r="C214" t="str">
        <f>_xlfn.XLOOKUP(Tabla1[[#This Row],[CARRERA]],MAE_CARRERA[NOMBRE_CARRERA],MAE_CARRERA[ID_CARRERA],"Seleccione Carrera")</f>
        <v>Seleccione Carrera</v>
      </c>
      <c r="F214" s="1"/>
      <c r="G214" t="str">
        <f>_xlfn.XLOOKUP(Tabla1[[#This Row],[ASIGNATURA]],MAE_ASIGNATURA[NOM_ASIG],MAE_ASIGNATURA[ID_ASIG],"Seleccione Asignatura")</f>
        <v>Seleccione Asignatura</v>
      </c>
      <c r="H214" s="1" t="str" cm="1">
        <f t="array" ref="H214">_xlfn.TEXTJOIN("; ",TRUE,TRANSPOSE(_xlfn.UNIQUE(_xlfn._xlws.FILTER(DET_ASIG[DETALLADO],(DET_ASIG[NIVEL]=ASIGNACION!$D214)*(DET_ASIG[ID_CARRERA]=ASIGNACION!$C214)*(DET_ASIG[ID_ASIG]=ASIGNACION!$G214),"No existe información"))))</f>
        <v>No existe información</v>
      </c>
      <c r="I214" s="1"/>
      <c r="J214">
        <f>_xlfn.XLOOKUP(Tabla1[[#This Row],[ID_ASIG_CAM_DET]],MAE_ASIGNATURA[ID_ASIG],MAE_ASIGNATURA[HORAS],0)</f>
        <v>0</v>
      </c>
      <c r="K214">
        <v>4</v>
      </c>
      <c r="L214" s="2">
        <f>+Tabla1[[#This Row],[CALCULAR HORA]]*Tabla1[[#This Row],[HORAS]]</f>
        <v>0</v>
      </c>
      <c r="N214" t="str">
        <f>_xlfn.XLOOKUP(Tabla1[[#This Row],[NOMBRE_DOCENT]],MDOCENTES[DATOS_DOCENTE],MDOCENTES[DEDICACION],"Seleccione Docente")</f>
        <v>Seleccione Docente</v>
      </c>
      <c r="O214" t="str">
        <f>_xlfn.XLOOKUP(Tabla1[[#This Row],[NOMBRE_DOCENT]],MDOCENTES[DATOS_DOCENTE],MDOCENTES[ESTUDIO],"Seleccione Docente")</f>
        <v>Seleccione Docente</v>
      </c>
      <c r="P214">
        <f t="shared" si="15"/>
        <v>0</v>
      </c>
      <c r="Q214">
        <f t="shared" si="16"/>
        <v>0</v>
      </c>
      <c r="R214">
        <f t="shared" si="17"/>
        <v>0</v>
      </c>
      <c r="S214">
        <f t="shared" si="18"/>
        <v>0</v>
      </c>
      <c r="T214">
        <f t="shared" si="19"/>
        <v>0</v>
      </c>
      <c r="U214">
        <f>Tabla1[[#This Row],[HORAS NO AFINIDAD]]+Tabla1[[#This Row],[HORAS UNIDAD BASICA]]+Tabla1[[#This Row],[HORAS AFINIDAD]]</f>
        <v>0</v>
      </c>
      <c r="V214">
        <f>+Tabla1[[#This Row],[HORAS AFINIDAD]]+Tabla1[[#This Row],[HORAS ACTIVIDAD]]+Tabla1[[#This Row],[HORAS UNIDAD BASICA]]+Tabla1[[#This Row],[HORAS NO AFINIDAD]]</f>
        <v>0</v>
      </c>
    </row>
    <row r="215" spans="1:22" ht="18.75" customHeight="1">
      <c r="A215">
        <v>214</v>
      </c>
      <c r="C215" t="str">
        <f>_xlfn.XLOOKUP(Tabla1[[#This Row],[CARRERA]],MAE_CARRERA[NOMBRE_CARRERA],MAE_CARRERA[ID_CARRERA],"Seleccione Carrera")</f>
        <v>Seleccione Carrera</v>
      </c>
      <c r="F215" s="1"/>
      <c r="G215" t="str">
        <f>_xlfn.XLOOKUP(Tabla1[[#This Row],[ASIGNATURA]],MAE_ASIGNATURA[NOM_ASIG],MAE_ASIGNATURA[ID_ASIG],"Seleccione Asignatura")</f>
        <v>Seleccione Asignatura</v>
      </c>
      <c r="H215" s="1" t="str" cm="1">
        <f t="array" ref="H215">_xlfn.TEXTJOIN("; ",TRUE,TRANSPOSE(_xlfn.UNIQUE(_xlfn._xlws.FILTER(DET_ASIG[DETALLADO],(DET_ASIG[NIVEL]=ASIGNACION!$D215)*(DET_ASIG[ID_CARRERA]=ASIGNACION!$C215)*(DET_ASIG[ID_ASIG]=ASIGNACION!$G215),"No existe información"))))</f>
        <v>No existe información</v>
      </c>
      <c r="I215" s="1"/>
      <c r="J215">
        <f>_xlfn.XLOOKUP(Tabla1[[#This Row],[ID_ASIG_CAM_DET]],MAE_ASIGNATURA[ID_ASIG],MAE_ASIGNATURA[HORAS],0)</f>
        <v>0</v>
      </c>
      <c r="K215">
        <v>4</v>
      </c>
      <c r="L215" s="2">
        <f>+Tabla1[[#This Row],[CALCULAR HORA]]*Tabla1[[#This Row],[HORAS]]</f>
        <v>0</v>
      </c>
      <c r="N215" t="str">
        <f>_xlfn.XLOOKUP(Tabla1[[#This Row],[NOMBRE_DOCENT]],MDOCENTES[DATOS_DOCENTE],MDOCENTES[DEDICACION],"Seleccione Docente")</f>
        <v>Seleccione Docente</v>
      </c>
      <c r="O215" t="str">
        <f>_xlfn.XLOOKUP(Tabla1[[#This Row],[NOMBRE_DOCENT]],MDOCENTES[DATOS_DOCENTE],MDOCENTES[ESTUDIO],"Seleccione Docente")</f>
        <v>Seleccione Docente</v>
      </c>
      <c r="P215">
        <f t="shared" si="15"/>
        <v>0</v>
      </c>
      <c r="Q215">
        <f t="shared" si="16"/>
        <v>0</v>
      </c>
      <c r="R215">
        <f t="shared" si="17"/>
        <v>0</v>
      </c>
      <c r="S215">
        <f t="shared" si="18"/>
        <v>0</v>
      </c>
      <c r="T215">
        <f t="shared" si="19"/>
        <v>0</v>
      </c>
      <c r="U215">
        <f>Tabla1[[#This Row],[HORAS NO AFINIDAD]]+Tabla1[[#This Row],[HORAS UNIDAD BASICA]]+Tabla1[[#This Row],[HORAS AFINIDAD]]</f>
        <v>0</v>
      </c>
      <c r="V215">
        <f>+Tabla1[[#This Row],[HORAS AFINIDAD]]+Tabla1[[#This Row],[HORAS ACTIVIDAD]]+Tabla1[[#This Row],[HORAS UNIDAD BASICA]]+Tabla1[[#This Row],[HORAS NO AFINIDAD]]</f>
        <v>0</v>
      </c>
    </row>
    <row r="216" spans="1:22" ht="18.75" customHeight="1">
      <c r="A216">
        <v>215</v>
      </c>
      <c r="C216" t="str">
        <f>_xlfn.XLOOKUP(Tabla1[[#This Row],[CARRERA]],MAE_CARRERA[NOMBRE_CARRERA],MAE_CARRERA[ID_CARRERA],"Seleccione Carrera")</f>
        <v>Seleccione Carrera</v>
      </c>
      <c r="F216" s="1"/>
      <c r="G216" t="str">
        <f>_xlfn.XLOOKUP(Tabla1[[#This Row],[ASIGNATURA]],MAE_ASIGNATURA[NOM_ASIG],MAE_ASIGNATURA[ID_ASIG],"Seleccione Asignatura")</f>
        <v>Seleccione Asignatura</v>
      </c>
      <c r="H216" s="1" t="str" cm="1">
        <f t="array" ref="H216">_xlfn.TEXTJOIN("; ",TRUE,TRANSPOSE(_xlfn.UNIQUE(_xlfn._xlws.FILTER(DET_ASIG[DETALLADO],(DET_ASIG[NIVEL]=ASIGNACION!$D216)*(DET_ASIG[ID_CARRERA]=ASIGNACION!$C216)*(DET_ASIG[ID_ASIG]=ASIGNACION!$G216),"No existe información"))))</f>
        <v>No existe información</v>
      </c>
      <c r="I216" s="1"/>
      <c r="J216">
        <f>_xlfn.XLOOKUP(Tabla1[[#This Row],[ID_ASIG_CAM_DET]],MAE_ASIGNATURA[ID_ASIG],MAE_ASIGNATURA[HORAS],0)</f>
        <v>0</v>
      </c>
      <c r="K216">
        <v>4</v>
      </c>
      <c r="L216" s="2">
        <f>+Tabla1[[#This Row],[CALCULAR HORA]]*Tabla1[[#This Row],[HORAS]]</f>
        <v>0</v>
      </c>
      <c r="N216" t="str">
        <f>_xlfn.XLOOKUP(Tabla1[[#This Row],[NOMBRE_DOCENT]],MDOCENTES[DATOS_DOCENTE],MDOCENTES[DEDICACION],"Seleccione Docente")</f>
        <v>Seleccione Docente</v>
      </c>
      <c r="O216" t="str">
        <f>_xlfn.XLOOKUP(Tabla1[[#This Row],[NOMBRE_DOCENT]],MDOCENTES[DATOS_DOCENTE],MDOCENTES[ESTUDIO],"Seleccione Docente")</f>
        <v>Seleccione Docente</v>
      </c>
      <c r="P216">
        <f t="shared" si="15"/>
        <v>0</v>
      </c>
      <c r="Q216">
        <f t="shared" si="16"/>
        <v>0</v>
      </c>
      <c r="R216">
        <f t="shared" si="17"/>
        <v>0</v>
      </c>
      <c r="S216">
        <f t="shared" si="18"/>
        <v>0</v>
      </c>
      <c r="T216">
        <f t="shared" si="19"/>
        <v>0</v>
      </c>
      <c r="U216">
        <f>Tabla1[[#This Row],[HORAS NO AFINIDAD]]+Tabla1[[#This Row],[HORAS UNIDAD BASICA]]+Tabla1[[#This Row],[HORAS AFINIDAD]]</f>
        <v>0</v>
      </c>
      <c r="V216">
        <f>+Tabla1[[#This Row],[HORAS AFINIDAD]]+Tabla1[[#This Row],[HORAS ACTIVIDAD]]+Tabla1[[#This Row],[HORAS UNIDAD BASICA]]+Tabla1[[#This Row],[HORAS NO AFINIDAD]]</f>
        <v>0</v>
      </c>
    </row>
    <row r="217" spans="1:22" ht="18.75" customHeight="1">
      <c r="A217">
        <v>216</v>
      </c>
      <c r="C217" t="str">
        <f>_xlfn.XLOOKUP(Tabla1[[#This Row],[CARRERA]],MAE_CARRERA[NOMBRE_CARRERA],MAE_CARRERA[ID_CARRERA],"Seleccione Carrera")</f>
        <v>Seleccione Carrera</v>
      </c>
      <c r="F217" s="1"/>
      <c r="G217" t="str">
        <f>_xlfn.XLOOKUP(Tabla1[[#This Row],[ASIGNATURA]],MAE_ASIGNATURA[NOM_ASIG],MAE_ASIGNATURA[ID_ASIG],"Seleccione Asignatura")</f>
        <v>Seleccione Asignatura</v>
      </c>
      <c r="H217" s="1" t="str" cm="1">
        <f t="array" ref="H217">_xlfn.TEXTJOIN("; ",TRUE,TRANSPOSE(_xlfn.UNIQUE(_xlfn._xlws.FILTER(DET_ASIG[DETALLADO],(DET_ASIG[NIVEL]=ASIGNACION!$D217)*(DET_ASIG[ID_CARRERA]=ASIGNACION!$C217)*(DET_ASIG[ID_ASIG]=ASIGNACION!$G217),"No existe información"))))</f>
        <v>No existe información</v>
      </c>
      <c r="I217" s="1"/>
      <c r="J217">
        <f>_xlfn.XLOOKUP(Tabla1[[#This Row],[ID_ASIG_CAM_DET]],MAE_ASIGNATURA[ID_ASIG],MAE_ASIGNATURA[HORAS],0)</f>
        <v>0</v>
      </c>
      <c r="K217">
        <v>4</v>
      </c>
      <c r="L217" s="2">
        <f>+Tabla1[[#This Row],[CALCULAR HORA]]*Tabla1[[#This Row],[HORAS]]</f>
        <v>0</v>
      </c>
      <c r="N217" t="str">
        <f>_xlfn.XLOOKUP(Tabla1[[#This Row],[NOMBRE_DOCENT]],MDOCENTES[DATOS_DOCENTE],MDOCENTES[DEDICACION],"Seleccione Docente")</f>
        <v>Seleccione Docente</v>
      </c>
      <c r="O217" t="str">
        <f>_xlfn.XLOOKUP(Tabla1[[#This Row],[NOMBRE_DOCENT]],MDOCENTES[DATOS_DOCENTE],MDOCENTES[ESTUDIO],"Seleccione Docente")</f>
        <v>Seleccione Docente</v>
      </c>
      <c r="P217">
        <f t="shared" si="15"/>
        <v>0</v>
      </c>
      <c r="Q217">
        <f t="shared" si="16"/>
        <v>0</v>
      </c>
      <c r="R217">
        <f t="shared" si="17"/>
        <v>0</v>
      </c>
      <c r="S217">
        <f t="shared" si="18"/>
        <v>0</v>
      </c>
      <c r="T217">
        <f t="shared" si="19"/>
        <v>0</v>
      </c>
      <c r="U217">
        <f>Tabla1[[#This Row],[HORAS NO AFINIDAD]]+Tabla1[[#This Row],[HORAS UNIDAD BASICA]]+Tabla1[[#This Row],[HORAS AFINIDAD]]</f>
        <v>0</v>
      </c>
      <c r="V217">
        <f>+Tabla1[[#This Row],[HORAS AFINIDAD]]+Tabla1[[#This Row],[HORAS ACTIVIDAD]]+Tabla1[[#This Row],[HORAS UNIDAD BASICA]]+Tabla1[[#This Row],[HORAS NO AFINIDAD]]</f>
        <v>0</v>
      </c>
    </row>
    <row r="218" spans="1:22" ht="18.75" customHeight="1">
      <c r="A218">
        <v>217</v>
      </c>
      <c r="C218" t="str">
        <f>_xlfn.XLOOKUP(Tabla1[[#This Row],[CARRERA]],MAE_CARRERA[NOMBRE_CARRERA],MAE_CARRERA[ID_CARRERA],"Seleccione Carrera")</f>
        <v>Seleccione Carrera</v>
      </c>
      <c r="F218" s="1"/>
      <c r="G218" t="str">
        <f>_xlfn.XLOOKUP(Tabla1[[#This Row],[ASIGNATURA]],MAE_ASIGNATURA[NOM_ASIG],MAE_ASIGNATURA[ID_ASIG],"Seleccione Asignatura")</f>
        <v>Seleccione Asignatura</v>
      </c>
      <c r="H218" s="1" t="str" cm="1">
        <f t="array" ref="H218">_xlfn.TEXTJOIN("; ",TRUE,TRANSPOSE(_xlfn.UNIQUE(_xlfn._xlws.FILTER(DET_ASIG[DETALLADO],(DET_ASIG[NIVEL]=ASIGNACION!$D218)*(DET_ASIG[ID_CARRERA]=ASIGNACION!$C218)*(DET_ASIG[ID_ASIG]=ASIGNACION!$G218),"No existe información"))))</f>
        <v>No existe información</v>
      </c>
      <c r="I218" s="1"/>
      <c r="J218">
        <f>_xlfn.XLOOKUP(Tabla1[[#This Row],[ID_ASIG_CAM_DET]],MAE_ASIGNATURA[ID_ASIG],MAE_ASIGNATURA[HORAS],0)</f>
        <v>0</v>
      </c>
      <c r="K218">
        <v>4</v>
      </c>
      <c r="L218" s="2">
        <f>+Tabla1[[#This Row],[CALCULAR HORA]]*Tabla1[[#This Row],[HORAS]]</f>
        <v>0</v>
      </c>
      <c r="N218" t="str">
        <f>_xlfn.XLOOKUP(Tabla1[[#This Row],[NOMBRE_DOCENT]],MDOCENTES[DATOS_DOCENTE],MDOCENTES[DEDICACION],"Seleccione Docente")</f>
        <v>Seleccione Docente</v>
      </c>
      <c r="O218" t="str">
        <f>_xlfn.XLOOKUP(Tabla1[[#This Row],[NOMBRE_DOCENT]],MDOCENTES[DATOS_DOCENTE],MDOCENTES[ESTUDIO],"Seleccione Docente")</f>
        <v>Seleccione Docente</v>
      </c>
      <c r="P218">
        <f t="shared" si="15"/>
        <v>0</v>
      </c>
      <c r="Q218">
        <f t="shared" si="16"/>
        <v>0</v>
      </c>
      <c r="R218">
        <f t="shared" si="17"/>
        <v>0</v>
      </c>
      <c r="S218">
        <f t="shared" si="18"/>
        <v>0</v>
      </c>
      <c r="T218">
        <f t="shared" si="19"/>
        <v>0</v>
      </c>
      <c r="U218">
        <f>Tabla1[[#This Row],[HORAS NO AFINIDAD]]+Tabla1[[#This Row],[HORAS UNIDAD BASICA]]+Tabla1[[#This Row],[HORAS AFINIDAD]]</f>
        <v>0</v>
      </c>
      <c r="V218">
        <f>+Tabla1[[#This Row],[HORAS AFINIDAD]]+Tabla1[[#This Row],[HORAS ACTIVIDAD]]+Tabla1[[#This Row],[HORAS UNIDAD BASICA]]+Tabla1[[#This Row],[HORAS NO AFINIDAD]]</f>
        <v>0</v>
      </c>
    </row>
    <row r="219" spans="1:22" ht="18.75" customHeight="1">
      <c r="A219">
        <v>218</v>
      </c>
      <c r="C219" t="str">
        <f>_xlfn.XLOOKUP(Tabla1[[#This Row],[CARRERA]],MAE_CARRERA[NOMBRE_CARRERA],MAE_CARRERA[ID_CARRERA],"Seleccione Carrera")</f>
        <v>Seleccione Carrera</v>
      </c>
      <c r="F219" s="1"/>
      <c r="G219" t="str">
        <f>_xlfn.XLOOKUP(Tabla1[[#This Row],[ASIGNATURA]],MAE_ASIGNATURA[NOM_ASIG],MAE_ASIGNATURA[ID_ASIG],"Seleccione Asignatura")</f>
        <v>Seleccione Asignatura</v>
      </c>
      <c r="H219" s="1" t="str" cm="1">
        <f t="array" ref="H219">_xlfn.TEXTJOIN("; ",TRUE,TRANSPOSE(_xlfn.UNIQUE(_xlfn._xlws.FILTER(DET_ASIG[DETALLADO],(DET_ASIG[NIVEL]=ASIGNACION!$D219)*(DET_ASIG[ID_CARRERA]=ASIGNACION!$C219)*(DET_ASIG[ID_ASIG]=ASIGNACION!$G219),"No existe información"))))</f>
        <v>No existe información</v>
      </c>
      <c r="I219" s="1"/>
      <c r="J219">
        <f>_xlfn.XLOOKUP(Tabla1[[#This Row],[ID_ASIG_CAM_DET]],MAE_ASIGNATURA[ID_ASIG],MAE_ASIGNATURA[HORAS],0)</f>
        <v>0</v>
      </c>
      <c r="K219">
        <v>4</v>
      </c>
      <c r="L219" s="2">
        <f>+Tabla1[[#This Row],[CALCULAR HORA]]*Tabla1[[#This Row],[HORAS]]</f>
        <v>0</v>
      </c>
      <c r="N219" t="str">
        <f>_xlfn.XLOOKUP(Tabla1[[#This Row],[NOMBRE_DOCENT]],MDOCENTES[DATOS_DOCENTE],MDOCENTES[DEDICACION],"Seleccione Docente")</f>
        <v>Seleccione Docente</v>
      </c>
      <c r="O219" t="str">
        <f>_xlfn.XLOOKUP(Tabla1[[#This Row],[NOMBRE_DOCENT]],MDOCENTES[DATOS_DOCENTE],MDOCENTES[ESTUDIO],"Seleccione Docente")</f>
        <v>Seleccione Docente</v>
      </c>
      <c r="P219">
        <f t="shared" si="15"/>
        <v>0</v>
      </c>
      <c r="Q219">
        <f t="shared" si="16"/>
        <v>0</v>
      </c>
      <c r="R219">
        <f t="shared" si="17"/>
        <v>0</v>
      </c>
      <c r="S219">
        <f t="shared" si="18"/>
        <v>0</v>
      </c>
      <c r="T219">
        <f t="shared" si="19"/>
        <v>0</v>
      </c>
      <c r="U219">
        <f>Tabla1[[#This Row],[HORAS NO AFINIDAD]]+Tabla1[[#This Row],[HORAS UNIDAD BASICA]]+Tabla1[[#This Row],[HORAS AFINIDAD]]</f>
        <v>0</v>
      </c>
      <c r="V219">
        <f>+Tabla1[[#This Row],[HORAS AFINIDAD]]+Tabla1[[#This Row],[HORAS ACTIVIDAD]]+Tabla1[[#This Row],[HORAS UNIDAD BASICA]]+Tabla1[[#This Row],[HORAS NO AFINIDAD]]</f>
        <v>0</v>
      </c>
    </row>
    <row r="220" spans="1:22" ht="18.75" customHeight="1">
      <c r="A220">
        <v>219</v>
      </c>
      <c r="C220" t="str">
        <f>_xlfn.XLOOKUP(Tabla1[[#This Row],[CARRERA]],MAE_CARRERA[NOMBRE_CARRERA],MAE_CARRERA[ID_CARRERA],"Seleccione Carrera")</f>
        <v>Seleccione Carrera</v>
      </c>
      <c r="F220" s="1"/>
      <c r="G220" t="str">
        <f>_xlfn.XLOOKUP(Tabla1[[#This Row],[ASIGNATURA]],MAE_ASIGNATURA[NOM_ASIG],MAE_ASIGNATURA[ID_ASIG],"Seleccione Asignatura")</f>
        <v>Seleccione Asignatura</v>
      </c>
      <c r="H220" s="1" t="str" cm="1">
        <f t="array" ref="H220">_xlfn.TEXTJOIN("; ",TRUE,TRANSPOSE(_xlfn.UNIQUE(_xlfn._xlws.FILTER(DET_ASIG[DETALLADO],(DET_ASIG[NIVEL]=ASIGNACION!$D220)*(DET_ASIG[ID_CARRERA]=ASIGNACION!$C220)*(DET_ASIG[ID_ASIG]=ASIGNACION!$G220),"No existe información"))))</f>
        <v>No existe información</v>
      </c>
      <c r="I220" s="1"/>
      <c r="J220">
        <f>_xlfn.XLOOKUP(Tabla1[[#This Row],[ID_ASIG_CAM_DET]],MAE_ASIGNATURA[ID_ASIG],MAE_ASIGNATURA[HORAS],0)</f>
        <v>0</v>
      </c>
      <c r="K220">
        <v>4</v>
      </c>
      <c r="L220" s="2">
        <f>+Tabla1[[#This Row],[CALCULAR HORA]]*Tabla1[[#This Row],[HORAS]]</f>
        <v>0</v>
      </c>
      <c r="N220" t="str">
        <f>_xlfn.XLOOKUP(Tabla1[[#This Row],[NOMBRE_DOCENT]],MDOCENTES[DATOS_DOCENTE],MDOCENTES[DEDICACION],"Seleccione Docente")</f>
        <v>Seleccione Docente</v>
      </c>
      <c r="O220" t="str">
        <f>_xlfn.XLOOKUP(Tabla1[[#This Row],[NOMBRE_DOCENT]],MDOCENTES[DATOS_DOCENTE],MDOCENTES[ESTUDIO],"Seleccione Docente")</f>
        <v>Seleccione Docente</v>
      </c>
      <c r="P220">
        <f t="shared" si="15"/>
        <v>0</v>
      </c>
      <c r="Q220">
        <f t="shared" si="16"/>
        <v>0</v>
      </c>
      <c r="R220">
        <f t="shared" si="17"/>
        <v>0</v>
      </c>
      <c r="S220">
        <f t="shared" si="18"/>
        <v>0</v>
      </c>
      <c r="T220">
        <f t="shared" si="19"/>
        <v>0</v>
      </c>
      <c r="U220">
        <f>Tabla1[[#This Row],[HORAS NO AFINIDAD]]+Tabla1[[#This Row],[HORAS UNIDAD BASICA]]+Tabla1[[#This Row],[HORAS AFINIDAD]]</f>
        <v>0</v>
      </c>
      <c r="V220">
        <f>+Tabla1[[#This Row],[HORAS AFINIDAD]]+Tabla1[[#This Row],[HORAS ACTIVIDAD]]+Tabla1[[#This Row],[HORAS UNIDAD BASICA]]+Tabla1[[#This Row],[HORAS NO AFINIDAD]]</f>
        <v>0</v>
      </c>
    </row>
    <row r="221" spans="1:22" ht="18.75" customHeight="1">
      <c r="A221">
        <v>220</v>
      </c>
      <c r="C221" t="str">
        <f>_xlfn.XLOOKUP(Tabla1[[#This Row],[CARRERA]],MAE_CARRERA[NOMBRE_CARRERA],MAE_CARRERA[ID_CARRERA],"Seleccione Carrera")</f>
        <v>Seleccione Carrera</v>
      </c>
      <c r="F221" s="1"/>
      <c r="G221" t="str">
        <f>_xlfn.XLOOKUP(Tabla1[[#This Row],[ASIGNATURA]],MAE_ASIGNATURA[NOM_ASIG],MAE_ASIGNATURA[ID_ASIG],"Seleccione Asignatura")</f>
        <v>Seleccione Asignatura</v>
      </c>
      <c r="H221" s="1" t="str" cm="1">
        <f t="array" ref="H221">_xlfn.TEXTJOIN("; ",TRUE,TRANSPOSE(_xlfn.UNIQUE(_xlfn._xlws.FILTER(DET_ASIG[DETALLADO],(DET_ASIG[NIVEL]=ASIGNACION!$D221)*(DET_ASIG[ID_CARRERA]=ASIGNACION!$C221)*(DET_ASIG[ID_ASIG]=ASIGNACION!$G221),"No existe información"))))</f>
        <v>No existe información</v>
      </c>
      <c r="I221" s="1"/>
      <c r="J221">
        <f>_xlfn.XLOOKUP(Tabla1[[#This Row],[ID_ASIG_CAM_DET]],MAE_ASIGNATURA[ID_ASIG],MAE_ASIGNATURA[HORAS],0)</f>
        <v>0</v>
      </c>
      <c r="K221">
        <v>4</v>
      </c>
      <c r="L221" s="2">
        <f>+Tabla1[[#This Row],[CALCULAR HORA]]*Tabla1[[#This Row],[HORAS]]</f>
        <v>0</v>
      </c>
      <c r="N221" t="str">
        <f>_xlfn.XLOOKUP(Tabla1[[#This Row],[NOMBRE_DOCENT]],MDOCENTES[DATOS_DOCENTE],MDOCENTES[DEDICACION],"Seleccione Docente")</f>
        <v>Seleccione Docente</v>
      </c>
      <c r="O221" t="str">
        <f>_xlfn.XLOOKUP(Tabla1[[#This Row],[NOMBRE_DOCENT]],MDOCENTES[DATOS_DOCENTE],MDOCENTES[ESTUDIO],"Seleccione Docente")</f>
        <v>Seleccione Docente</v>
      </c>
      <c r="P221">
        <f t="shared" si="15"/>
        <v>0</v>
      </c>
      <c r="Q221">
        <f t="shared" si="16"/>
        <v>0</v>
      </c>
      <c r="R221">
        <f t="shared" si="17"/>
        <v>0</v>
      </c>
      <c r="S221">
        <f t="shared" si="18"/>
        <v>0</v>
      </c>
      <c r="T221">
        <f t="shared" si="19"/>
        <v>0</v>
      </c>
      <c r="U221">
        <f>Tabla1[[#This Row],[HORAS NO AFINIDAD]]+Tabla1[[#This Row],[HORAS UNIDAD BASICA]]+Tabla1[[#This Row],[HORAS AFINIDAD]]</f>
        <v>0</v>
      </c>
      <c r="V221">
        <f>+Tabla1[[#This Row],[HORAS AFINIDAD]]+Tabla1[[#This Row],[HORAS ACTIVIDAD]]+Tabla1[[#This Row],[HORAS UNIDAD BASICA]]+Tabla1[[#This Row],[HORAS NO AFINIDAD]]</f>
        <v>0</v>
      </c>
    </row>
    <row r="222" spans="1:22" ht="18.75" customHeight="1">
      <c r="A222">
        <v>221</v>
      </c>
      <c r="C222" t="str">
        <f>_xlfn.XLOOKUP(Tabla1[[#This Row],[CARRERA]],MAE_CARRERA[NOMBRE_CARRERA],MAE_CARRERA[ID_CARRERA],"Seleccione Carrera")</f>
        <v>Seleccione Carrera</v>
      </c>
      <c r="F222" s="1"/>
      <c r="G222" t="str">
        <f>_xlfn.XLOOKUP(Tabla1[[#This Row],[ASIGNATURA]],MAE_ASIGNATURA[NOM_ASIG],MAE_ASIGNATURA[ID_ASIG],"Seleccione Asignatura")</f>
        <v>Seleccione Asignatura</v>
      </c>
      <c r="H222" s="1" t="str" cm="1">
        <f t="array" ref="H222">_xlfn.TEXTJOIN("; ",TRUE,TRANSPOSE(_xlfn.UNIQUE(_xlfn._xlws.FILTER(DET_ASIG[DETALLADO],(DET_ASIG[NIVEL]=ASIGNACION!$D222)*(DET_ASIG[ID_CARRERA]=ASIGNACION!$C222)*(DET_ASIG[ID_ASIG]=ASIGNACION!$G222),"No existe información"))))</f>
        <v>No existe información</v>
      </c>
      <c r="I222" s="1"/>
      <c r="J222">
        <f>_xlfn.XLOOKUP(Tabla1[[#This Row],[ID_ASIG_CAM_DET]],MAE_ASIGNATURA[ID_ASIG],MAE_ASIGNATURA[HORAS],0)</f>
        <v>0</v>
      </c>
      <c r="K222">
        <v>4</v>
      </c>
      <c r="L222" s="2">
        <f>+Tabla1[[#This Row],[CALCULAR HORA]]*Tabla1[[#This Row],[HORAS]]</f>
        <v>0</v>
      </c>
      <c r="N222" t="str">
        <f>_xlfn.XLOOKUP(Tabla1[[#This Row],[NOMBRE_DOCENT]],MDOCENTES[DATOS_DOCENTE],MDOCENTES[DEDICACION],"Seleccione Docente")</f>
        <v>Seleccione Docente</v>
      </c>
      <c r="O222" t="str">
        <f>_xlfn.XLOOKUP(Tabla1[[#This Row],[NOMBRE_DOCENT]],MDOCENTES[DATOS_DOCENTE],MDOCENTES[ESTUDIO],"Seleccione Docente")</f>
        <v>Seleccione Docente</v>
      </c>
      <c r="P222">
        <f t="shared" si="15"/>
        <v>0</v>
      </c>
      <c r="Q222">
        <f t="shared" si="16"/>
        <v>0</v>
      </c>
      <c r="R222">
        <f t="shared" si="17"/>
        <v>0</v>
      </c>
      <c r="S222">
        <f t="shared" si="18"/>
        <v>0</v>
      </c>
      <c r="T222">
        <f t="shared" si="19"/>
        <v>0</v>
      </c>
      <c r="U222">
        <f>Tabla1[[#This Row],[HORAS NO AFINIDAD]]+Tabla1[[#This Row],[HORAS UNIDAD BASICA]]+Tabla1[[#This Row],[HORAS AFINIDAD]]</f>
        <v>0</v>
      </c>
      <c r="V222">
        <f>+Tabla1[[#This Row],[HORAS AFINIDAD]]+Tabla1[[#This Row],[HORAS ACTIVIDAD]]+Tabla1[[#This Row],[HORAS UNIDAD BASICA]]+Tabla1[[#This Row],[HORAS NO AFINIDAD]]</f>
        <v>0</v>
      </c>
    </row>
    <row r="223" spans="1:22" ht="18.75" customHeight="1">
      <c r="A223">
        <v>222</v>
      </c>
      <c r="C223" t="str">
        <f>_xlfn.XLOOKUP(Tabla1[[#This Row],[CARRERA]],MAE_CARRERA[NOMBRE_CARRERA],MAE_CARRERA[ID_CARRERA],"Seleccione Carrera")</f>
        <v>Seleccione Carrera</v>
      </c>
      <c r="F223" s="1"/>
      <c r="G223" t="str">
        <f>_xlfn.XLOOKUP(Tabla1[[#This Row],[ASIGNATURA]],MAE_ASIGNATURA[NOM_ASIG],MAE_ASIGNATURA[ID_ASIG],"Seleccione Asignatura")</f>
        <v>Seleccione Asignatura</v>
      </c>
      <c r="H223" s="1" t="str" cm="1">
        <f t="array" ref="H223">_xlfn.TEXTJOIN("; ",TRUE,TRANSPOSE(_xlfn.UNIQUE(_xlfn._xlws.FILTER(DET_ASIG[DETALLADO],(DET_ASIG[NIVEL]=ASIGNACION!$D223)*(DET_ASIG[ID_CARRERA]=ASIGNACION!$C223)*(DET_ASIG[ID_ASIG]=ASIGNACION!$G223),"No existe información"))))</f>
        <v>No existe información</v>
      </c>
      <c r="I223" s="1"/>
      <c r="J223">
        <f>_xlfn.XLOOKUP(Tabla1[[#This Row],[ID_ASIG_CAM_DET]],MAE_ASIGNATURA[ID_ASIG],MAE_ASIGNATURA[HORAS],0)</f>
        <v>0</v>
      </c>
      <c r="K223">
        <v>4</v>
      </c>
      <c r="L223" s="2">
        <f>+Tabla1[[#This Row],[CALCULAR HORA]]*Tabla1[[#This Row],[HORAS]]</f>
        <v>0</v>
      </c>
      <c r="N223" t="str">
        <f>_xlfn.XLOOKUP(Tabla1[[#This Row],[NOMBRE_DOCENT]],MDOCENTES[DATOS_DOCENTE],MDOCENTES[DEDICACION],"Seleccione Docente")</f>
        <v>Seleccione Docente</v>
      </c>
      <c r="O223" t="str">
        <f>_xlfn.XLOOKUP(Tabla1[[#This Row],[NOMBRE_DOCENT]],MDOCENTES[DATOS_DOCENTE],MDOCENTES[ESTUDIO],"Seleccione Docente")</f>
        <v>Seleccione Docente</v>
      </c>
      <c r="P223">
        <f t="shared" si="15"/>
        <v>0</v>
      </c>
      <c r="Q223">
        <f t="shared" si="16"/>
        <v>0</v>
      </c>
      <c r="R223">
        <f t="shared" si="17"/>
        <v>0</v>
      </c>
      <c r="S223">
        <f t="shared" si="18"/>
        <v>0</v>
      </c>
      <c r="T223">
        <f t="shared" si="19"/>
        <v>0</v>
      </c>
      <c r="U223">
        <f>Tabla1[[#This Row],[HORAS NO AFINIDAD]]+Tabla1[[#This Row],[HORAS UNIDAD BASICA]]+Tabla1[[#This Row],[HORAS AFINIDAD]]</f>
        <v>0</v>
      </c>
      <c r="V223">
        <f>+Tabla1[[#This Row],[HORAS AFINIDAD]]+Tabla1[[#This Row],[HORAS ACTIVIDAD]]+Tabla1[[#This Row],[HORAS UNIDAD BASICA]]+Tabla1[[#This Row],[HORAS NO AFINIDAD]]</f>
        <v>0</v>
      </c>
    </row>
    <row r="224" spans="1:22" ht="18.75" customHeight="1">
      <c r="A224">
        <v>223</v>
      </c>
      <c r="C224" t="str">
        <f>_xlfn.XLOOKUP(Tabla1[[#This Row],[CARRERA]],MAE_CARRERA[NOMBRE_CARRERA],MAE_CARRERA[ID_CARRERA],"Seleccione Carrera")</f>
        <v>Seleccione Carrera</v>
      </c>
      <c r="F224" s="1"/>
      <c r="G224" t="str">
        <f>_xlfn.XLOOKUP(Tabla1[[#This Row],[ASIGNATURA]],MAE_ASIGNATURA[NOM_ASIG],MAE_ASIGNATURA[ID_ASIG],"Seleccione Asignatura")</f>
        <v>Seleccione Asignatura</v>
      </c>
      <c r="H224" s="1" t="str" cm="1">
        <f t="array" ref="H224">_xlfn.TEXTJOIN("; ",TRUE,TRANSPOSE(_xlfn.UNIQUE(_xlfn._xlws.FILTER(DET_ASIG[DETALLADO],(DET_ASIG[NIVEL]=ASIGNACION!$D224)*(DET_ASIG[ID_CARRERA]=ASIGNACION!$C224)*(DET_ASIG[ID_ASIG]=ASIGNACION!$G224),"No existe información"))))</f>
        <v>No existe información</v>
      </c>
      <c r="I224" s="1"/>
      <c r="J224">
        <f>_xlfn.XLOOKUP(Tabla1[[#This Row],[ID_ASIG_CAM_DET]],MAE_ASIGNATURA[ID_ASIG],MAE_ASIGNATURA[HORAS],0)</f>
        <v>0</v>
      </c>
      <c r="K224">
        <v>4</v>
      </c>
      <c r="L224" s="2">
        <f>+Tabla1[[#This Row],[CALCULAR HORA]]*Tabla1[[#This Row],[HORAS]]</f>
        <v>0</v>
      </c>
      <c r="N224" t="str">
        <f>_xlfn.XLOOKUP(Tabla1[[#This Row],[NOMBRE_DOCENT]],MDOCENTES[DATOS_DOCENTE],MDOCENTES[DEDICACION],"Seleccione Docente")</f>
        <v>Seleccione Docente</v>
      </c>
      <c r="O224" t="str">
        <f>_xlfn.XLOOKUP(Tabla1[[#This Row],[NOMBRE_DOCENT]],MDOCENTES[DATOS_DOCENTE],MDOCENTES[ESTUDIO],"Seleccione Docente")</f>
        <v>Seleccione Docente</v>
      </c>
      <c r="P224">
        <f t="shared" si="15"/>
        <v>0</v>
      </c>
      <c r="Q224">
        <f t="shared" si="16"/>
        <v>0</v>
      </c>
      <c r="R224">
        <f t="shared" si="17"/>
        <v>0</v>
      </c>
      <c r="S224">
        <f t="shared" si="18"/>
        <v>0</v>
      </c>
      <c r="T224">
        <f t="shared" si="19"/>
        <v>0</v>
      </c>
      <c r="U224">
        <f>Tabla1[[#This Row],[HORAS NO AFINIDAD]]+Tabla1[[#This Row],[HORAS UNIDAD BASICA]]+Tabla1[[#This Row],[HORAS AFINIDAD]]</f>
        <v>0</v>
      </c>
      <c r="V224">
        <f>+Tabla1[[#This Row],[HORAS AFINIDAD]]+Tabla1[[#This Row],[HORAS ACTIVIDAD]]+Tabla1[[#This Row],[HORAS UNIDAD BASICA]]+Tabla1[[#This Row],[HORAS NO AFINIDAD]]</f>
        <v>0</v>
      </c>
    </row>
    <row r="225" spans="1:22" ht="18.75" customHeight="1">
      <c r="A225">
        <v>224</v>
      </c>
      <c r="C225" t="str">
        <f>_xlfn.XLOOKUP(Tabla1[[#This Row],[CARRERA]],MAE_CARRERA[NOMBRE_CARRERA],MAE_CARRERA[ID_CARRERA],"Seleccione Carrera")</f>
        <v>Seleccione Carrera</v>
      </c>
      <c r="F225" s="1"/>
      <c r="G225" t="str">
        <f>_xlfn.XLOOKUP(Tabla1[[#This Row],[ASIGNATURA]],MAE_ASIGNATURA[NOM_ASIG],MAE_ASIGNATURA[ID_ASIG],"Seleccione Asignatura")</f>
        <v>Seleccione Asignatura</v>
      </c>
      <c r="H225" s="1" t="str" cm="1">
        <f t="array" ref="H225">_xlfn.TEXTJOIN("; ",TRUE,TRANSPOSE(_xlfn.UNIQUE(_xlfn._xlws.FILTER(DET_ASIG[DETALLADO],(DET_ASIG[NIVEL]=ASIGNACION!$D225)*(DET_ASIG[ID_CARRERA]=ASIGNACION!$C225)*(DET_ASIG[ID_ASIG]=ASIGNACION!$G225),"No existe información"))))</f>
        <v>No existe información</v>
      </c>
      <c r="I225" s="1"/>
      <c r="J225">
        <f>_xlfn.XLOOKUP(Tabla1[[#This Row],[ID_ASIG_CAM_DET]],MAE_ASIGNATURA[ID_ASIG],MAE_ASIGNATURA[HORAS],0)</f>
        <v>0</v>
      </c>
      <c r="K225">
        <v>4</v>
      </c>
      <c r="L225" s="2">
        <f>+Tabla1[[#This Row],[CALCULAR HORA]]*Tabla1[[#This Row],[HORAS]]</f>
        <v>0</v>
      </c>
      <c r="N225" t="str">
        <f>_xlfn.XLOOKUP(Tabla1[[#This Row],[NOMBRE_DOCENT]],MDOCENTES[DATOS_DOCENTE],MDOCENTES[DEDICACION],"Seleccione Docente")</f>
        <v>Seleccione Docente</v>
      </c>
      <c r="O225" t="str">
        <f>_xlfn.XLOOKUP(Tabla1[[#This Row],[NOMBRE_DOCENT]],MDOCENTES[DATOS_DOCENTE],MDOCENTES[ESTUDIO],"Seleccione Docente")</f>
        <v>Seleccione Docente</v>
      </c>
      <c r="P225">
        <f t="shared" si="15"/>
        <v>0</v>
      </c>
      <c r="Q225">
        <f t="shared" si="16"/>
        <v>0</v>
      </c>
      <c r="R225">
        <f t="shared" si="17"/>
        <v>0</v>
      </c>
      <c r="S225">
        <f t="shared" si="18"/>
        <v>0</v>
      </c>
      <c r="T225">
        <f t="shared" si="19"/>
        <v>0</v>
      </c>
      <c r="U225">
        <f>Tabla1[[#This Row],[HORAS NO AFINIDAD]]+Tabla1[[#This Row],[HORAS UNIDAD BASICA]]+Tabla1[[#This Row],[HORAS AFINIDAD]]</f>
        <v>0</v>
      </c>
      <c r="V225">
        <f>+Tabla1[[#This Row],[HORAS AFINIDAD]]+Tabla1[[#This Row],[HORAS ACTIVIDAD]]+Tabla1[[#This Row],[HORAS UNIDAD BASICA]]+Tabla1[[#This Row],[HORAS NO AFINIDAD]]</f>
        <v>0</v>
      </c>
    </row>
    <row r="226" spans="1:22" ht="18.75" customHeight="1">
      <c r="A226">
        <v>225</v>
      </c>
      <c r="C226" t="str">
        <f>_xlfn.XLOOKUP(Tabla1[[#This Row],[CARRERA]],MAE_CARRERA[NOMBRE_CARRERA],MAE_CARRERA[ID_CARRERA],"Seleccione Carrera")</f>
        <v>Seleccione Carrera</v>
      </c>
      <c r="F226" s="1"/>
      <c r="G226" t="str">
        <f>_xlfn.XLOOKUP(Tabla1[[#This Row],[ASIGNATURA]],MAE_ASIGNATURA[NOM_ASIG],MAE_ASIGNATURA[ID_ASIG],"Seleccione Asignatura")</f>
        <v>Seleccione Asignatura</v>
      </c>
      <c r="H226" s="1" t="str" cm="1">
        <f t="array" ref="H226">_xlfn.TEXTJOIN("; ",TRUE,TRANSPOSE(_xlfn.UNIQUE(_xlfn._xlws.FILTER(DET_ASIG[DETALLADO],(DET_ASIG[NIVEL]=ASIGNACION!$D226)*(DET_ASIG[ID_CARRERA]=ASIGNACION!$C226)*(DET_ASIG[ID_ASIG]=ASIGNACION!$G226),"No existe información"))))</f>
        <v>No existe información</v>
      </c>
      <c r="I226" s="1"/>
      <c r="J226">
        <f>_xlfn.XLOOKUP(Tabla1[[#This Row],[ID_ASIG_CAM_DET]],MAE_ASIGNATURA[ID_ASIG],MAE_ASIGNATURA[HORAS],0)</f>
        <v>0</v>
      </c>
      <c r="K226">
        <v>4</v>
      </c>
      <c r="L226" s="2">
        <f>+Tabla1[[#This Row],[CALCULAR HORA]]*Tabla1[[#This Row],[HORAS]]</f>
        <v>0</v>
      </c>
      <c r="N226" t="str">
        <f>_xlfn.XLOOKUP(Tabla1[[#This Row],[NOMBRE_DOCENT]],MDOCENTES[DATOS_DOCENTE],MDOCENTES[DEDICACION],"Seleccione Docente")</f>
        <v>Seleccione Docente</v>
      </c>
      <c r="O226" t="str">
        <f>_xlfn.XLOOKUP(Tabla1[[#This Row],[NOMBRE_DOCENT]],MDOCENTES[DATOS_DOCENTE],MDOCENTES[ESTUDIO],"Seleccione Docente")</f>
        <v>Seleccione Docente</v>
      </c>
      <c r="P226">
        <f t="shared" si="15"/>
        <v>0</v>
      </c>
      <c r="Q226">
        <f t="shared" si="16"/>
        <v>0</v>
      </c>
      <c r="R226">
        <f t="shared" si="17"/>
        <v>0</v>
      </c>
      <c r="S226">
        <f t="shared" si="18"/>
        <v>0</v>
      </c>
      <c r="T226">
        <f t="shared" si="19"/>
        <v>0</v>
      </c>
      <c r="U226">
        <f>Tabla1[[#This Row],[HORAS NO AFINIDAD]]+Tabla1[[#This Row],[HORAS UNIDAD BASICA]]+Tabla1[[#This Row],[HORAS AFINIDAD]]</f>
        <v>0</v>
      </c>
      <c r="V226">
        <f>+Tabla1[[#This Row],[HORAS AFINIDAD]]+Tabla1[[#This Row],[HORAS ACTIVIDAD]]+Tabla1[[#This Row],[HORAS UNIDAD BASICA]]+Tabla1[[#This Row],[HORAS NO AFINIDAD]]</f>
        <v>0</v>
      </c>
    </row>
    <row r="227" spans="1:22" ht="18.75" customHeight="1">
      <c r="A227">
        <v>226</v>
      </c>
      <c r="C227" t="str">
        <f>_xlfn.XLOOKUP(Tabla1[[#This Row],[CARRERA]],MAE_CARRERA[NOMBRE_CARRERA],MAE_CARRERA[ID_CARRERA],"Seleccione Carrera")</f>
        <v>Seleccione Carrera</v>
      </c>
      <c r="F227" s="1"/>
      <c r="G227" t="str">
        <f>_xlfn.XLOOKUP(Tabla1[[#This Row],[ASIGNATURA]],MAE_ASIGNATURA[NOM_ASIG],MAE_ASIGNATURA[ID_ASIG],"Seleccione Asignatura")</f>
        <v>Seleccione Asignatura</v>
      </c>
      <c r="H227" s="1" t="str" cm="1">
        <f t="array" ref="H227">_xlfn.TEXTJOIN("; ",TRUE,TRANSPOSE(_xlfn.UNIQUE(_xlfn._xlws.FILTER(DET_ASIG[DETALLADO],(DET_ASIG[NIVEL]=ASIGNACION!$D227)*(DET_ASIG[ID_CARRERA]=ASIGNACION!$C227)*(DET_ASIG[ID_ASIG]=ASIGNACION!$G227),"No existe información"))))</f>
        <v>No existe información</v>
      </c>
      <c r="I227" s="1"/>
      <c r="J227">
        <f>_xlfn.XLOOKUP(Tabla1[[#This Row],[ID_ASIG_CAM_DET]],MAE_ASIGNATURA[ID_ASIG],MAE_ASIGNATURA[HORAS],0)</f>
        <v>0</v>
      </c>
      <c r="K227">
        <v>4</v>
      </c>
      <c r="L227" s="2">
        <f>+Tabla1[[#This Row],[CALCULAR HORA]]*Tabla1[[#This Row],[HORAS]]</f>
        <v>0</v>
      </c>
      <c r="N227" t="str">
        <f>_xlfn.XLOOKUP(Tabla1[[#This Row],[NOMBRE_DOCENT]],MDOCENTES[DATOS_DOCENTE],MDOCENTES[DEDICACION],"Seleccione Docente")</f>
        <v>Seleccione Docente</v>
      </c>
      <c r="O227" t="str">
        <f>_xlfn.XLOOKUP(Tabla1[[#This Row],[NOMBRE_DOCENT]],MDOCENTES[DATOS_DOCENTE],MDOCENTES[ESTUDIO],"Seleccione Docente")</f>
        <v>Seleccione Docente</v>
      </c>
      <c r="P227">
        <f t="shared" si="15"/>
        <v>0</v>
      </c>
      <c r="Q227">
        <f t="shared" si="16"/>
        <v>0</v>
      </c>
      <c r="R227">
        <f t="shared" si="17"/>
        <v>0</v>
      </c>
      <c r="S227">
        <f t="shared" si="18"/>
        <v>0</v>
      </c>
      <c r="T227">
        <f t="shared" si="19"/>
        <v>0</v>
      </c>
      <c r="U227">
        <f>Tabla1[[#This Row],[HORAS NO AFINIDAD]]+Tabla1[[#This Row],[HORAS UNIDAD BASICA]]+Tabla1[[#This Row],[HORAS AFINIDAD]]</f>
        <v>0</v>
      </c>
      <c r="V227">
        <f>+Tabla1[[#This Row],[HORAS AFINIDAD]]+Tabla1[[#This Row],[HORAS ACTIVIDAD]]+Tabla1[[#This Row],[HORAS UNIDAD BASICA]]+Tabla1[[#This Row],[HORAS NO AFINIDAD]]</f>
        <v>0</v>
      </c>
    </row>
    <row r="228" spans="1:22" ht="18.75" customHeight="1">
      <c r="A228">
        <v>227</v>
      </c>
      <c r="C228" t="str">
        <f>_xlfn.XLOOKUP(Tabla1[[#This Row],[CARRERA]],MAE_CARRERA[NOMBRE_CARRERA],MAE_CARRERA[ID_CARRERA],"Seleccione Carrera")</f>
        <v>Seleccione Carrera</v>
      </c>
      <c r="F228" s="1"/>
      <c r="G228" t="str">
        <f>_xlfn.XLOOKUP(Tabla1[[#This Row],[ASIGNATURA]],MAE_ASIGNATURA[NOM_ASIG],MAE_ASIGNATURA[ID_ASIG],"Seleccione Asignatura")</f>
        <v>Seleccione Asignatura</v>
      </c>
      <c r="H228" s="1" t="str" cm="1">
        <f t="array" ref="H228">_xlfn.TEXTJOIN("; ",TRUE,TRANSPOSE(_xlfn.UNIQUE(_xlfn._xlws.FILTER(DET_ASIG[DETALLADO],(DET_ASIG[NIVEL]=ASIGNACION!$D228)*(DET_ASIG[ID_CARRERA]=ASIGNACION!$C228)*(DET_ASIG[ID_ASIG]=ASIGNACION!$G228),"No existe información"))))</f>
        <v>No existe información</v>
      </c>
      <c r="I228" s="1"/>
      <c r="J228">
        <f>_xlfn.XLOOKUP(Tabla1[[#This Row],[ID_ASIG_CAM_DET]],MAE_ASIGNATURA[ID_ASIG],MAE_ASIGNATURA[HORAS],0)</f>
        <v>0</v>
      </c>
      <c r="K228">
        <v>4</v>
      </c>
      <c r="L228" s="2">
        <f>+Tabla1[[#This Row],[CALCULAR HORA]]*Tabla1[[#This Row],[HORAS]]</f>
        <v>0</v>
      </c>
      <c r="N228" t="str">
        <f>_xlfn.XLOOKUP(Tabla1[[#This Row],[NOMBRE_DOCENT]],MDOCENTES[DATOS_DOCENTE],MDOCENTES[DEDICACION],"Seleccione Docente")</f>
        <v>Seleccione Docente</v>
      </c>
      <c r="O228" t="str">
        <f>_xlfn.XLOOKUP(Tabla1[[#This Row],[NOMBRE_DOCENT]],MDOCENTES[DATOS_DOCENTE],MDOCENTES[ESTUDIO],"Seleccione Docente")</f>
        <v>Seleccione Docente</v>
      </c>
      <c r="P228">
        <f t="shared" si="15"/>
        <v>0</v>
      </c>
      <c r="Q228">
        <f t="shared" si="16"/>
        <v>0</v>
      </c>
      <c r="R228">
        <f t="shared" si="17"/>
        <v>0</v>
      </c>
      <c r="S228">
        <f t="shared" si="18"/>
        <v>0</v>
      </c>
      <c r="T228">
        <f t="shared" si="19"/>
        <v>0</v>
      </c>
      <c r="U228">
        <f>Tabla1[[#This Row],[HORAS NO AFINIDAD]]+Tabla1[[#This Row],[HORAS UNIDAD BASICA]]+Tabla1[[#This Row],[HORAS AFINIDAD]]</f>
        <v>0</v>
      </c>
      <c r="V228">
        <f>+Tabla1[[#This Row],[HORAS AFINIDAD]]+Tabla1[[#This Row],[HORAS ACTIVIDAD]]+Tabla1[[#This Row],[HORAS UNIDAD BASICA]]+Tabla1[[#This Row],[HORAS NO AFINIDAD]]</f>
        <v>0</v>
      </c>
    </row>
    <row r="229" spans="1:22" ht="18.75" customHeight="1">
      <c r="A229">
        <v>228</v>
      </c>
      <c r="C229" t="str">
        <f>_xlfn.XLOOKUP(Tabla1[[#This Row],[CARRERA]],MAE_CARRERA[NOMBRE_CARRERA],MAE_CARRERA[ID_CARRERA],"Seleccione Carrera")</f>
        <v>Seleccione Carrera</v>
      </c>
      <c r="F229" s="1"/>
      <c r="G229" t="str">
        <f>_xlfn.XLOOKUP(Tabla1[[#This Row],[ASIGNATURA]],MAE_ASIGNATURA[NOM_ASIG],MAE_ASIGNATURA[ID_ASIG],"Seleccione Asignatura")</f>
        <v>Seleccione Asignatura</v>
      </c>
      <c r="H229" s="1" t="str" cm="1">
        <f t="array" ref="H229">_xlfn.TEXTJOIN("; ",TRUE,TRANSPOSE(_xlfn.UNIQUE(_xlfn._xlws.FILTER(DET_ASIG[DETALLADO],(DET_ASIG[NIVEL]=ASIGNACION!$D229)*(DET_ASIG[ID_CARRERA]=ASIGNACION!$C229)*(DET_ASIG[ID_ASIG]=ASIGNACION!$G229),"No existe información"))))</f>
        <v>No existe información</v>
      </c>
      <c r="I229" s="1"/>
      <c r="J229">
        <f>_xlfn.XLOOKUP(Tabla1[[#This Row],[ID_ASIG_CAM_DET]],MAE_ASIGNATURA[ID_ASIG],MAE_ASIGNATURA[HORAS],0)</f>
        <v>0</v>
      </c>
      <c r="K229">
        <v>4</v>
      </c>
      <c r="L229" s="2">
        <f>+Tabla1[[#This Row],[CALCULAR HORA]]*Tabla1[[#This Row],[HORAS]]</f>
        <v>0</v>
      </c>
      <c r="N229" t="str">
        <f>_xlfn.XLOOKUP(Tabla1[[#This Row],[NOMBRE_DOCENT]],MDOCENTES[DATOS_DOCENTE],MDOCENTES[DEDICACION],"Seleccione Docente")</f>
        <v>Seleccione Docente</v>
      </c>
      <c r="O229" t="str">
        <f>_xlfn.XLOOKUP(Tabla1[[#This Row],[NOMBRE_DOCENT]],MDOCENTES[DATOS_DOCENTE],MDOCENTES[ESTUDIO],"Seleccione Docente")</f>
        <v>Seleccione Docente</v>
      </c>
      <c r="P229">
        <f t="shared" si="15"/>
        <v>0</v>
      </c>
      <c r="Q229">
        <f t="shared" si="16"/>
        <v>0</v>
      </c>
      <c r="R229">
        <f t="shared" si="17"/>
        <v>0</v>
      </c>
      <c r="S229">
        <f t="shared" si="18"/>
        <v>0</v>
      </c>
      <c r="T229">
        <f t="shared" si="19"/>
        <v>0</v>
      </c>
      <c r="U229">
        <f>Tabla1[[#This Row],[HORAS NO AFINIDAD]]+Tabla1[[#This Row],[HORAS UNIDAD BASICA]]+Tabla1[[#This Row],[HORAS AFINIDAD]]</f>
        <v>0</v>
      </c>
      <c r="V229">
        <f>+Tabla1[[#This Row],[HORAS AFINIDAD]]+Tabla1[[#This Row],[HORAS ACTIVIDAD]]+Tabla1[[#This Row],[HORAS UNIDAD BASICA]]+Tabla1[[#This Row],[HORAS NO AFINIDAD]]</f>
        <v>0</v>
      </c>
    </row>
    <row r="230" spans="1:22" ht="18.75" customHeight="1">
      <c r="A230">
        <v>229</v>
      </c>
      <c r="C230" t="str">
        <f>_xlfn.XLOOKUP(Tabla1[[#This Row],[CARRERA]],MAE_CARRERA[NOMBRE_CARRERA],MAE_CARRERA[ID_CARRERA],"Seleccione Carrera")</f>
        <v>Seleccione Carrera</v>
      </c>
      <c r="F230" s="1"/>
      <c r="G230" t="str">
        <f>_xlfn.XLOOKUP(Tabla1[[#This Row],[ASIGNATURA]],MAE_ASIGNATURA[NOM_ASIG],MAE_ASIGNATURA[ID_ASIG],"Seleccione Asignatura")</f>
        <v>Seleccione Asignatura</v>
      </c>
      <c r="H230" s="1" t="str" cm="1">
        <f t="array" ref="H230">_xlfn.TEXTJOIN("; ",TRUE,TRANSPOSE(_xlfn.UNIQUE(_xlfn._xlws.FILTER(DET_ASIG[DETALLADO],(DET_ASIG[NIVEL]=ASIGNACION!$D230)*(DET_ASIG[ID_CARRERA]=ASIGNACION!$C230)*(DET_ASIG[ID_ASIG]=ASIGNACION!$G230),"No existe información"))))</f>
        <v>No existe información</v>
      </c>
      <c r="I230" s="1"/>
      <c r="J230">
        <f>_xlfn.XLOOKUP(Tabla1[[#This Row],[ID_ASIG_CAM_DET]],MAE_ASIGNATURA[ID_ASIG],MAE_ASIGNATURA[HORAS],0)</f>
        <v>0</v>
      </c>
      <c r="K230">
        <v>4</v>
      </c>
      <c r="L230" s="2">
        <f>+Tabla1[[#This Row],[CALCULAR HORA]]*Tabla1[[#This Row],[HORAS]]</f>
        <v>0</v>
      </c>
      <c r="N230" t="str">
        <f>_xlfn.XLOOKUP(Tabla1[[#This Row],[NOMBRE_DOCENT]],MDOCENTES[DATOS_DOCENTE],MDOCENTES[DEDICACION],"Seleccione Docente")</f>
        <v>Seleccione Docente</v>
      </c>
      <c r="O230" t="str">
        <f>_xlfn.XLOOKUP(Tabla1[[#This Row],[NOMBRE_DOCENT]],MDOCENTES[DATOS_DOCENTE],MDOCENTES[ESTUDIO],"Seleccione Docente")</f>
        <v>Seleccione Docente</v>
      </c>
      <c r="P230">
        <f t="shared" si="15"/>
        <v>0</v>
      </c>
      <c r="Q230">
        <f t="shared" si="16"/>
        <v>0</v>
      </c>
      <c r="R230">
        <f t="shared" si="17"/>
        <v>0</v>
      </c>
      <c r="S230">
        <f t="shared" si="18"/>
        <v>0</v>
      </c>
      <c r="T230">
        <f t="shared" si="19"/>
        <v>0</v>
      </c>
      <c r="U230">
        <f>Tabla1[[#This Row],[HORAS NO AFINIDAD]]+Tabla1[[#This Row],[HORAS UNIDAD BASICA]]+Tabla1[[#This Row],[HORAS AFINIDAD]]</f>
        <v>0</v>
      </c>
      <c r="V230">
        <f>+Tabla1[[#This Row],[HORAS AFINIDAD]]+Tabla1[[#This Row],[HORAS ACTIVIDAD]]+Tabla1[[#This Row],[HORAS UNIDAD BASICA]]+Tabla1[[#This Row],[HORAS NO AFINIDAD]]</f>
        <v>0</v>
      </c>
    </row>
    <row r="231" spans="1:22" ht="18.75" customHeight="1">
      <c r="A231">
        <v>230</v>
      </c>
      <c r="C231" t="str">
        <f>_xlfn.XLOOKUP(Tabla1[[#This Row],[CARRERA]],MAE_CARRERA[NOMBRE_CARRERA],MAE_CARRERA[ID_CARRERA],"Seleccione Carrera")</f>
        <v>Seleccione Carrera</v>
      </c>
      <c r="F231" s="1"/>
      <c r="G231" t="str">
        <f>_xlfn.XLOOKUP(Tabla1[[#This Row],[ASIGNATURA]],MAE_ASIGNATURA[NOM_ASIG],MAE_ASIGNATURA[ID_ASIG],"Seleccione Asignatura")</f>
        <v>Seleccione Asignatura</v>
      </c>
      <c r="H231" s="1" t="str" cm="1">
        <f t="array" ref="H231">_xlfn.TEXTJOIN("; ",TRUE,TRANSPOSE(_xlfn.UNIQUE(_xlfn._xlws.FILTER(DET_ASIG[DETALLADO],(DET_ASIG[NIVEL]=ASIGNACION!$D231)*(DET_ASIG[ID_CARRERA]=ASIGNACION!$C231)*(DET_ASIG[ID_ASIG]=ASIGNACION!$G231),"No existe información"))))</f>
        <v>No existe información</v>
      </c>
      <c r="I231" s="1"/>
      <c r="J231">
        <f>_xlfn.XLOOKUP(Tabla1[[#This Row],[ID_ASIG_CAM_DET]],MAE_ASIGNATURA[ID_ASIG],MAE_ASIGNATURA[HORAS],0)</f>
        <v>0</v>
      </c>
      <c r="K231">
        <v>4</v>
      </c>
      <c r="L231" s="2">
        <f>+Tabla1[[#This Row],[CALCULAR HORA]]*Tabla1[[#This Row],[HORAS]]</f>
        <v>0</v>
      </c>
      <c r="N231" t="str">
        <f>_xlfn.XLOOKUP(Tabla1[[#This Row],[NOMBRE_DOCENT]],MDOCENTES[DATOS_DOCENTE],MDOCENTES[DEDICACION],"Seleccione Docente")</f>
        <v>Seleccione Docente</v>
      </c>
      <c r="O231" t="str">
        <f>_xlfn.XLOOKUP(Tabla1[[#This Row],[NOMBRE_DOCENT]],MDOCENTES[DATOS_DOCENTE],MDOCENTES[ESTUDIO],"Seleccione Docente")</f>
        <v>Seleccione Docente</v>
      </c>
      <c r="P231">
        <f t="shared" si="15"/>
        <v>0</v>
      </c>
      <c r="Q231">
        <f t="shared" si="16"/>
        <v>0</v>
      </c>
      <c r="R231">
        <f t="shared" si="17"/>
        <v>0</v>
      </c>
      <c r="S231">
        <f t="shared" si="18"/>
        <v>0</v>
      </c>
      <c r="T231">
        <f t="shared" si="19"/>
        <v>0</v>
      </c>
      <c r="U231">
        <f>Tabla1[[#This Row],[HORAS NO AFINIDAD]]+Tabla1[[#This Row],[HORAS UNIDAD BASICA]]+Tabla1[[#This Row],[HORAS AFINIDAD]]</f>
        <v>0</v>
      </c>
      <c r="V231">
        <f>+Tabla1[[#This Row],[HORAS AFINIDAD]]+Tabla1[[#This Row],[HORAS ACTIVIDAD]]+Tabla1[[#This Row],[HORAS UNIDAD BASICA]]+Tabla1[[#This Row],[HORAS NO AFINIDAD]]</f>
        <v>0</v>
      </c>
    </row>
    <row r="232" spans="1:22" ht="18.75" customHeight="1">
      <c r="A232">
        <v>231</v>
      </c>
      <c r="C232" t="str">
        <f>_xlfn.XLOOKUP(Tabla1[[#This Row],[CARRERA]],MAE_CARRERA[NOMBRE_CARRERA],MAE_CARRERA[ID_CARRERA],"Seleccione Carrera")</f>
        <v>Seleccione Carrera</v>
      </c>
      <c r="F232" s="1"/>
      <c r="G232" t="str">
        <f>_xlfn.XLOOKUP(Tabla1[[#This Row],[ASIGNATURA]],MAE_ASIGNATURA[NOM_ASIG],MAE_ASIGNATURA[ID_ASIG],"Seleccione Asignatura")</f>
        <v>Seleccione Asignatura</v>
      </c>
      <c r="H232" s="1" t="str" cm="1">
        <f t="array" ref="H232">_xlfn.TEXTJOIN("; ",TRUE,TRANSPOSE(_xlfn.UNIQUE(_xlfn._xlws.FILTER(DET_ASIG[DETALLADO],(DET_ASIG[NIVEL]=ASIGNACION!$D232)*(DET_ASIG[ID_CARRERA]=ASIGNACION!$C232)*(DET_ASIG[ID_ASIG]=ASIGNACION!$G232),"No existe información"))))</f>
        <v>No existe información</v>
      </c>
      <c r="I232" s="1"/>
      <c r="J232">
        <f>_xlfn.XLOOKUP(Tabla1[[#This Row],[ID_ASIG_CAM_DET]],MAE_ASIGNATURA[ID_ASIG],MAE_ASIGNATURA[HORAS],0)</f>
        <v>0</v>
      </c>
      <c r="K232">
        <v>4</v>
      </c>
      <c r="L232" s="2">
        <f>+Tabla1[[#This Row],[CALCULAR HORA]]*Tabla1[[#This Row],[HORAS]]</f>
        <v>0</v>
      </c>
      <c r="N232" t="str">
        <f>_xlfn.XLOOKUP(Tabla1[[#This Row],[NOMBRE_DOCENT]],MDOCENTES[DATOS_DOCENTE],MDOCENTES[DEDICACION],"Seleccione Docente")</f>
        <v>Seleccione Docente</v>
      </c>
      <c r="O232" t="str">
        <f>_xlfn.XLOOKUP(Tabla1[[#This Row],[NOMBRE_DOCENT]],MDOCENTES[DATOS_DOCENTE],MDOCENTES[ESTUDIO],"Seleccione Docente")</f>
        <v>Seleccione Docente</v>
      </c>
      <c r="P232">
        <f t="shared" si="15"/>
        <v>0</v>
      </c>
      <c r="Q232">
        <f t="shared" si="16"/>
        <v>0</v>
      </c>
      <c r="R232">
        <f t="shared" si="17"/>
        <v>0</v>
      </c>
      <c r="S232">
        <f t="shared" si="18"/>
        <v>0</v>
      </c>
      <c r="T232">
        <f t="shared" si="19"/>
        <v>0</v>
      </c>
      <c r="U232">
        <f>Tabla1[[#This Row],[HORAS NO AFINIDAD]]+Tabla1[[#This Row],[HORAS UNIDAD BASICA]]+Tabla1[[#This Row],[HORAS AFINIDAD]]</f>
        <v>0</v>
      </c>
      <c r="V232">
        <f>+Tabla1[[#This Row],[HORAS AFINIDAD]]+Tabla1[[#This Row],[HORAS ACTIVIDAD]]+Tabla1[[#This Row],[HORAS UNIDAD BASICA]]+Tabla1[[#This Row],[HORAS NO AFINIDAD]]</f>
        <v>0</v>
      </c>
    </row>
    <row r="233" spans="1:22" ht="18.75" customHeight="1">
      <c r="A233">
        <v>232</v>
      </c>
      <c r="C233" t="str">
        <f>_xlfn.XLOOKUP(Tabla1[[#This Row],[CARRERA]],MAE_CARRERA[NOMBRE_CARRERA],MAE_CARRERA[ID_CARRERA],"Seleccione Carrera")</f>
        <v>Seleccione Carrera</v>
      </c>
      <c r="F233" s="1"/>
      <c r="G233" t="str">
        <f>_xlfn.XLOOKUP(Tabla1[[#This Row],[ASIGNATURA]],MAE_ASIGNATURA[NOM_ASIG],MAE_ASIGNATURA[ID_ASIG],"Seleccione Asignatura")</f>
        <v>Seleccione Asignatura</v>
      </c>
      <c r="H233" s="1" t="str" cm="1">
        <f t="array" ref="H233">_xlfn.TEXTJOIN("; ",TRUE,TRANSPOSE(_xlfn.UNIQUE(_xlfn._xlws.FILTER(DET_ASIG[DETALLADO],(DET_ASIG[NIVEL]=ASIGNACION!$D233)*(DET_ASIG[ID_CARRERA]=ASIGNACION!$C233)*(DET_ASIG[ID_ASIG]=ASIGNACION!$G233),"No existe información"))))</f>
        <v>No existe información</v>
      </c>
      <c r="I233" s="1"/>
      <c r="J233">
        <f>_xlfn.XLOOKUP(Tabla1[[#This Row],[ID_ASIG_CAM_DET]],MAE_ASIGNATURA[ID_ASIG],MAE_ASIGNATURA[HORAS],0)</f>
        <v>0</v>
      </c>
      <c r="K233">
        <v>4</v>
      </c>
      <c r="L233" s="2">
        <f>+Tabla1[[#This Row],[CALCULAR HORA]]*Tabla1[[#This Row],[HORAS]]</f>
        <v>0</v>
      </c>
      <c r="N233" t="str">
        <f>_xlfn.XLOOKUP(Tabla1[[#This Row],[NOMBRE_DOCENT]],MDOCENTES[DATOS_DOCENTE],MDOCENTES[DEDICACION],"Seleccione Docente")</f>
        <v>Seleccione Docente</v>
      </c>
      <c r="O233" t="str">
        <f>_xlfn.XLOOKUP(Tabla1[[#This Row],[NOMBRE_DOCENT]],MDOCENTES[DATOS_DOCENTE],MDOCENTES[ESTUDIO],"Seleccione Docente")</f>
        <v>Seleccione Docente</v>
      </c>
      <c r="P233">
        <f t="shared" si="15"/>
        <v>0</v>
      </c>
      <c r="Q233">
        <f t="shared" si="16"/>
        <v>0</v>
      </c>
      <c r="R233">
        <f t="shared" si="17"/>
        <v>0</v>
      </c>
      <c r="S233">
        <f t="shared" si="18"/>
        <v>0</v>
      </c>
      <c r="T233">
        <f t="shared" si="19"/>
        <v>0</v>
      </c>
      <c r="U233">
        <f>Tabla1[[#This Row],[HORAS NO AFINIDAD]]+Tabla1[[#This Row],[HORAS UNIDAD BASICA]]+Tabla1[[#This Row],[HORAS AFINIDAD]]</f>
        <v>0</v>
      </c>
      <c r="V233">
        <f>+Tabla1[[#This Row],[HORAS AFINIDAD]]+Tabla1[[#This Row],[HORAS ACTIVIDAD]]+Tabla1[[#This Row],[HORAS UNIDAD BASICA]]+Tabla1[[#This Row],[HORAS NO AFINIDAD]]</f>
        <v>0</v>
      </c>
    </row>
    <row r="234" spans="1:22" ht="18.75" customHeight="1">
      <c r="A234">
        <v>233</v>
      </c>
      <c r="C234" t="str">
        <f>_xlfn.XLOOKUP(Tabla1[[#This Row],[CARRERA]],MAE_CARRERA[NOMBRE_CARRERA],MAE_CARRERA[ID_CARRERA],"Seleccione Carrera")</f>
        <v>Seleccione Carrera</v>
      </c>
      <c r="F234" s="1"/>
      <c r="G234" t="str">
        <f>_xlfn.XLOOKUP(Tabla1[[#This Row],[ASIGNATURA]],MAE_ASIGNATURA[NOM_ASIG],MAE_ASIGNATURA[ID_ASIG],"Seleccione Asignatura")</f>
        <v>Seleccione Asignatura</v>
      </c>
      <c r="H234" s="1" t="str" cm="1">
        <f t="array" ref="H234">_xlfn.TEXTJOIN("; ",TRUE,TRANSPOSE(_xlfn.UNIQUE(_xlfn._xlws.FILTER(DET_ASIG[DETALLADO],(DET_ASIG[NIVEL]=ASIGNACION!$D234)*(DET_ASIG[ID_CARRERA]=ASIGNACION!$C234)*(DET_ASIG[ID_ASIG]=ASIGNACION!$G234),"No existe información"))))</f>
        <v>No existe información</v>
      </c>
      <c r="I234" s="1"/>
      <c r="J234">
        <f>_xlfn.XLOOKUP(Tabla1[[#This Row],[ID_ASIG_CAM_DET]],MAE_ASIGNATURA[ID_ASIG],MAE_ASIGNATURA[HORAS],0)</f>
        <v>0</v>
      </c>
      <c r="K234">
        <v>4</v>
      </c>
      <c r="L234" s="2">
        <f>+Tabla1[[#This Row],[CALCULAR HORA]]*Tabla1[[#This Row],[HORAS]]</f>
        <v>0</v>
      </c>
      <c r="N234" t="str">
        <f>_xlfn.XLOOKUP(Tabla1[[#This Row],[NOMBRE_DOCENT]],MDOCENTES[DATOS_DOCENTE],MDOCENTES[DEDICACION],"Seleccione Docente")</f>
        <v>Seleccione Docente</v>
      </c>
      <c r="O234" t="str">
        <f>_xlfn.XLOOKUP(Tabla1[[#This Row],[NOMBRE_DOCENT]],MDOCENTES[DATOS_DOCENTE],MDOCENTES[ESTUDIO],"Seleccione Docente")</f>
        <v>Seleccione Docente</v>
      </c>
      <c r="P234">
        <f t="shared" si="15"/>
        <v>0</v>
      </c>
      <c r="Q234">
        <f t="shared" si="16"/>
        <v>0</v>
      </c>
      <c r="R234">
        <f t="shared" si="17"/>
        <v>0</v>
      </c>
      <c r="S234">
        <f t="shared" si="18"/>
        <v>0</v>
      </c>
      <c r="T234">
        <f t="shared" si="19"/>
        <v>0</v>
      </c>
      <c r="U234">
        <f>Tabla1[[#This Row],[HORAS NO AFINIDAD]]+Tabla1[[#This Row],[HORAS UNIDAD BASICA]]+Tabla1[[#This Row],[HORAS AFINIDAD]]</f>
        <v>0</v>
      </c>
      <c r="V234">
        <f>+Tabla1[[#This Row],[HORAS AFINIDAD]]+Tabla1[[#This Row],[HORAS ACTIVIDAD]]+Tabla1[[#This Row],[HORAS UNIDAD BASICA]]+Tabla1[[#This Row],[HORAS NO AFINIDAD]]</f>
        <v>0</v>
      </c>
    </row>
    <row r="235" spans="1:22" ht="18.75" customHeight="1">
      <c r="A235">
        <v>234</v>
      </c>
      <c r="C235" t="str">
        <f>_xlfn.XLOOKUP(Tabla1[[#This Row],[CARRERA]],MAE_CARRERA[NOMBRE_CARRERA],MAE_CARRERA[ID_CARRERA],"Seleccione Carrera")</f>
        <v>Seleccione Carrera</v>
      </c>
      <c r="F235" s="1"/>
      <c r="G235" t="str">
        <f>_xlfn.XLOOKUP(Tabla1[[#This Row],[ASIGNATURA]],MAE_ASIGNATURA[NOM_ASIG],MAE_ASIGNATURA[ID_ASIG],"Seleccione Asignatura")</f>
        <v>Seleccione Asignatura</v>
      </c>
      <c r="H235" s="1" t="str" cm="1">
        <f t="array" ref="H235">_xlfn.TEXTJOIN("; ",TRUE,TRANSPOSE(_xlfn.UNIQUE(_xlfn._xlws.FILTER(DET_ASIG[DETALLADO],(DET_ASIG[NIVEL]=ASIGNACION!$D235)*(DET_ASIG[ID_CARRERA]=ASIGNACION!$C235)*(DET_ASIG[ID_ASIG]=ASIGNACION!$G235),"No existe información"))))</f>
        <v>No existe información</v>
      </c>
      <c r="I235" s="1"/>
      <c r="J235">
        <f>_xlfn.XLOOKUP(Tabla1[[#This Row],[ID_ASIG_CAM_DET]],MAE_ASIGNATURA[ID_ASIG],MAE_ASIGNATURA[HORAS],0)</f>
        <v>0</v>
      </c>
      <c r="K235">
        <v>4</v>
      </c>
      <c r="L235" s="2">
        <f>+Tabla1[[#This Row],[CALCULAR HORA]]*Tabla1[[#This Row],[HORAS]]</f>
        <v>0</v>
      </c>
      <c r="N235" t="str">
        <f>_xlfn.XLOOKUP(Tabla1[[#This Row],[NOMBRE_DOCENT]],MDOCENTES[DATOS_DOCENTE],MDOCENTES[DEDICACION],"Seleccione Docente")</f>
        <v>Seleccione Docente</v>
      </c>
      <c r="O235" t="str">
        <f>_xlfn.XLOOKUP(Tabla1[[#This Row],[NOMBRE_DOCENT]],MDOCENTES[DATOS_DOCENTE],MDOCENTES[ESTUDIO],"Seleccione Docente")</f>
        <v>Seleccione Docente</v>
      </c>
      <c r="P235">
        <f t="shared" si="15"/>
        <v>0</v>
      </c>
      <c r="Q235">
        <f t="shared" si="16"/>
        <v>0</v>
      </c>
      <c r="R235">
        <f t="shared" si="17"/>
        <v>0</v>
      </c>
      <c r="S235">
        <f t="shared" si="18"/>
        <v>0</v>
      </c>
      <c r="T235">
        <f t="shared" si="19"/>
        <v>0</v>
      </c>
      <c r="U235">
        <f>Tabla1[[#This Row],[HORAS NO AFINIDAD]]+Tabla1[[#This Row],[HORAS UNIDAD BASICA]]+Tabla1[[#This Row],[HORAS AFINIDAD]]</f>
        <v>0</v>
      </c>
      <c r="V235">
        <f>+Tabla1[[#This Row],[HORAS AFINIDAD]]+Tabla1[[#This Row],[HORAS ACTIVIDAD]]+Tabla1[[#This Row],[HORAS UNIDAD BASICA]]+Tabla1[[#This Row],[HORAS NO AFINIDAD]]</f>
        <v>0</v>
      </c>
    </row>
    <row r="236" spans="1:22" ht="18.75" customHeight="1">
      <c r="A236">
        <v>235</v>
      </c>
      <c r="C236" t="str">
        <f>_xlfn.XLOOKUP(Tabla1[[#This Row],[CARRERA]],MAE_CARRERA[NOMBRE_CARRERA],MAE_CARRERA[ID_CARRERA],"Seleccione Carrera")</f>
        <v>Seleccione Carrera</v>
      </c>
      <c r="F236" s="1"/>
      <c r="G236" t="str">
        <f>_xlfn.XLOOKUP(Tabla1[[#This Row],[ASIGNATURA]],MAE_ASIGNATURA[NOM_ASIG],MAE_ASIGNATURA[ID_ASIG],"Seleccione Asignatura")</f>
        <v>Seleccione Asignatura</v>
      </c>
      <c r="H236" s="1" t="str" cm="1">
        <f t="array" ref="H236">_xlfn.TEXTJOIN("; ",TRUE,TRANSPOSE(_xlfn.UNIQUE(_xlfn._xlws.FILTER(DET_ASIG[DETALLADO],(DET_ASIG[NIVEL]=ASIGNACION!$D236)*(DET_ASIG[ID_CARRERA]=ASIGNACION!$C236)*(DET_ASIG[ID_ASIG]=ASIGNACION!$G236),"No existe información"))))</f>
        <v>No existe información</v>
      </c>
      <c r="I236" s="1"/>
      <c r="J236">
        <f>_xlfn.XLOOKUP(Tabla1[[#This Row],[ID_ASIG_CAM_DET]],MAE_ASIGNATURA[ID_ASIG],MAE_ASIGNATURA[HORAS],0)</f>
        <v>0</v>
      </c>
      <c r="K236">
        <v>4</v>
      </c>
      <c r="L236" s="2">
        <f>+Tabla1[[#This Row],[CALCULAR HORA]]*Tabla1[[#This Row],[HORAS]]</f>
        <v>0</v>
      </c>
      <c r="N236" t="str">
        <f>_xlfn.XLOOKUP(Tabla1[[#This Row],[NOMBRE_DOCENT]],MDOCENTES[DATOS_DOCENTE],MDOCENTES[DEDICACION],"Seleccione Docente")</f>
        <v>Seleccione Docente</v>
      </c>
      <c r="O236" t="str">
        <f>_xlfn.XLOOKUP(Tabla1[[#This Row],[NOMBRE_DOCENT]],MDOCENTES[DATOS_DOCENTE],MDOCENTES[ESTUDIO],"Seleccione Docente")</f>
        <v>Seleccione Docente</v>
      </c>
      <c r="P236">
        <f t="shared" si="15"/>
        <v>0</v>
      </c>
      <c r="Q236">
        <f t="shared" si="16"/>
        <v>0</v>
      </c>
      <c r="R236">
        <f t="shared" si="17"/>
        <v>0</v>
      </c>
      <c r="S236">
        <f t="shared" si="18"/>
        <v>0</v>
      </c>
      <c r="T236">
        <f t="shared" si="19"/>
        <v>0</v>
      </c>
      <c r="U236">
        <f>Tabla1[[#This Row],[HORAS NO AFINIDAD]]+Tabla1[[#This Row],[HORAS UNIDAD BASICA]]+Tabla1[[#This Row],[HORAS AFINIDAD]]</f>
        <v>0</v>
      </c>
      <c r="V236">
        <f>+Tabla1[[#This Row],[HORAS AFINIDAD]]+Tabla1[[#This Row],[HORAS ACTIVIDAD]]+Tabla1[[#This Row],[HORAS UNIDAD BASICA]]+Tabla1[[#This Row],[HORAS NO AFINIDAD]]</f>
        <v>0</v>
      </c>
    </row>
    <row r="237" spans="1:22" ht="18.75" customHeight="1">
      <c r="A237">
        <v>236</v>
      </c>
      <c r="C237" t="str">
        <f>_xlfn.XLOOKUP(Tabla1[[#This Row],[CARRERA]],MAE_CARRERA[NOMBRE_CARRERA],MAE_CARRERA[ID_CARRERA],"Seleccione Carrera")</f>
        <v>Seleccione Carrera</v>
      </c>
      <c r="F237" s="1"/>
      <c r="G237" t="str">
        <f>_xlfn.XLOOKUP(Tabla1[[#This Row],[ASIGNATURA]],MAE_ASIGNATURA[NOM_ASIG],MAE_ASIGNATURA[ID_ASIG],"Seleccione Asignatura")</f>
        <v>Seleccione Asignatura</v>
      </c>
      <c r="H237" s="1" t="str" cm="1">
        <f t="array" ref="H237">_xlfn.TEXTJOIN("; ",TRUE,TRANSPOSE(_xlfn.UNIQUE(_xlfn._xlws.FILTER(DET_ASIG[DETALLADO],(DET_ASIG[NIVEL]=ASIGNACION!$D237)*(DET_ASIG[ID_CARRERA]=ASIGNACION!$C237)*(DET_ASIG[ID_ASIG]=ASIGNACION!$G237),"No existe información"))))</f>
        <v>No existe información</v>
      </c>
      <c r="I237" s="1"/>
      <c r="J237">
        <f>_xlfn.XLOOKUP(Tabla1[[#This Row],[ID_ASIG_CAM_DET]],MAE_ASIGNATURA[ID_ASIG],MAE_ASIGNATURA[HORAS],0)</f>
        <v>0</v>
      </c>
      <c r="K237">
        <v>4</v>
      </c>
      <c r="L237" s="2">
        <f>+Tabla1[[#This Row],[CALCULAR HORA]]*Tabla1[[#This Row],[HORAS]]</f>
        <v>0</v>
      </c>
      <c r="N237" t="str">
        <f>_xlfn.XLOOKUP(Tabla1[[#This Row],[NOMBRE_DOCENT]],MDOCENTES[DATOS_DOCENTE],MDOCENTES[DEDICACION],"Seleccione Docente")</f>
        <v>Seleccione Docente</v>
      </c>
      <c r="O237" t="str">
        <f>_xlfn.XLOOKUP(Tabla1[[#This Row],[NOMBRE_DOCENT]],MDOCENTES[DATOS_DOCENTE],MDOCENTES[ESTUDIO],"Seleccione Docente")</f>
        <v>Seleccione Docente</v>
      </c>
      <c r="P237">
        <f t="shared" si="15"/>
        <v>0</v>
      </c>
      <c r="Q237">
        <f t="shared" si="16"/>
        <v>0</v>
      </c>
      <c r="R237">
        <f t="shared" si="17"/>
        <v>0</v>
      </c>
      <c r="S237">
        <f t="shared" si="18"/>
        <v>0</v>
      </c>
      <c r="T237">
        <f t="shared" si="19"/>
        <v>0</v>
      </c>
      <c r="U237">
        <f>Tabla1[[#This Row],[HORAS NO AFINIDAD]]+Tabla1[[#This Row],[HORAS UNIDAD BASICA]]+Tabla1[[#This Row],[HORAS AFINIDAD]]</f>
        <v>0</v>
      </c>
      <c r="V237">
        <f>+Tabla1[[#This Row],[HORAS AFINIDAD]]+Tabla1[[#This Row],[HORAS ACTIVIDAD]]+Tabla1[[#This Row],[HORAS UNIDAD BASICA]]+Tabla1[[#This Row],[HORAS NO AFINIDAD]]</f>
        <v>0</v>
      </c>
    </row>
    <row r="238" spans="1:22" ht="18.75" customHeight="1">
      <c r="A238">
        <v>237</v>
      </c>
      <c r="C238" t="str">
        <f>_xlfn.XLOOKUP(Tabla1[[#This Row],[CARRERA]],MAE_CARRERA[NOMBRE_CARRERA],MAE_CARRERA[ID_CARRERA],"Seleccione Carrera")</f>
        <v>Seleccione Carrera</v>
      </c>
      <c r="F238" s="1"/>
      <c r="G238" t="str">
        <f>_xlfn.XLOOKUP(Tabla1[[#This Row],[ASIGNATURA]],MAE_ASIGNATURA[NOM_ASIG],MAE_ASIGNATURA[ID_ASIG],"Seleccione Asignatura")</f>
        <v>Seleccione Asignatura</v>
      </c>
      <c r="H238" s="1" t="str" cm="1">
        <f t="array" ref="H238">_xlfn.TEXTJOIN("; ",TRUE,TRANSPOSE(_xlfn.UNIQUE(_xlfn._xlws.FILTER(DET_ASIG[DETALLADO],(DET_ASIG[NIVEL]=ASIGNACION!$D238)*(DET_ASIG[ID_CARRERA]=ASIGNACION!$C238)*(DET_ASIG[ID_ASIG]=ASIGNACION!$G238),"No existe información"))))</f>
        <v>No existe información</v>
      </c>
      <c r="I238" s="1"/>
      <c r="J238">
        <f>_xlfn.XLOOKUP(Tabla1[[#This Row],[ID_ASIG_CAM_DET]],MAE_ASIGNATURA[ID_ASIG],MAE_ASIGNATURA[HORAS],0)</f>
        <v>0</v>
      </c>
      <c r="K238">
        <v>4</v>
      </c>
      <c r="L238" s="2">
        <f>+Tabla1[[#This Row],[CALCULAR HORA]]*Tabla1[[#This Row],[HORAS]]</f>
        <v>0</v>
      </c>
      <c r="N238" t="str">
        <f>_xlfn.XLOOKUP(Tabla1[[#This Row],[NOMBRE_DOCENT]],MDOCENTES[DATOS_DOCENTE],MDOCENTES[DEDICACION],"Seleccione Docente")</f>
        <v>Seleccione Docente</v>
      </c>
      <c r="O238" t="str">
        <f>_xlfn.XLOOKUP(Tabla1[[#This Row],[NOMBRE_DOCENT]],MDOCENTES[DATOS_DOCENTE],MDOCENTES[ESTUDIO],"Seleccione Docente")</f>
        <v>Seleccione Docente</v>
      </c>
      <c r="P238">
        <f t="shared" si="15"/>
        <v>0</v>
      </c>
      <c r="Q238">
        <f t="shared" si="16"/>
        <v>0</v>
      </c>
      <c r="R238">
        <f t="shared" si="17"/>
        <v>0</v>
      </c>
      <c r="S238">
        <f t="shared" si="18"/>
        <v>0</v>
      </c>
      <c r="T238">
        <f t="shared" si="19"/>
        <v>0</v>
      </c>
      <c r="U238">
        <f>Tabla1[[#This Row],[HORAS NO AFINIDAD]]+Tabla1[[#This Row],[HORAS UNIDAD BASICA]]+Tabla1[[#This Row],[HORAS AFINIDAD]]</f>
        <v>0</v>
      </c>
      <c r="V238">
        <f>+Tabla1[[#This Row],[HORAS AFINIDAD]]+Tabla1[[#This Row],[HORAS ACTIVIDAD]]+Tabla1[[#This Row],[HORAS UNIDAD BASICA]]+Tabla1[[#This Row],[HORAS NO AFINIDAD]]</f>
        <v>0</v>
      </c>
    </row>
    <row r="239" spans="1:22" ht="18.75" customHeight="1">
      <c r="A239">
        <v>238</v>
      </c>
      <c r="C239" t="str">
        <f>_xlfn.XLOOKUP(Tabla1[[#This Row],[CARRERA]],MAE_CARRERA[NOMBRE_CARRERA],MAE_CARRERA[ID_CARRERA],"Seleccione Carrera")</f>
        <v>Seleccione Carrera</v>
      </c>
      <c r="F239" s="1"/>
      <c r="G239" t="str">
        <f>_xlfn.XLOOKUP(Tabla1[[#This Row],[ASIGNATURA]],MAE_ASIGNATURA[NOM_ASIG],MAE_ASIGNATURA[ID_ASIG],"Seleccione Asignatura")</f>
        <v>Seleccione Asignatura</v>
      </c>
      <c r="H239" s="1" t="str" cm="1">
        <f t="array" ref="H239">_xlfn.TEXTJOIN("; ",TRUE,TRANSPOSE(_xlfn.UNIQUE(_xlfn._xlws.FILTER(DET_ASIG[DETALLADO],(DET_ASIG[NIVEL]=ASIGNACION!$D239)*(DET_ASIG[ID_CARRERA]=ASIGNACION!$C239)*(DET_ASIG[ID_ASIG]=ASIGNACION!$G239),"No existe información"))))</f>
        <v>No existe información</v>
      </c>
      <c r="I239" s="1"/>
      <c r="J239">
        <f>_xlfn.XLOOKUP(Tabla1[[#This Row],[ID_ASIG_CAM_DET]],MAE_ASIGNATURA[ID_ASIG],MAE_ASIGNATURA[HORAS],0)</f>
        <v>0</v>
      </c>
      <c r="K239">
        <v>4</v>
      </c>
      <c r="L239" s="2">
        <f>+Tabla1[[#This Row],[CALCULAR HORA]]*Tabla1[[#This Row],[HORAS]]</f>
        <v>0</v>
      </c>
      <c r="N239" t="str">
        <f>_xlfn.XLOOKUP(Tabla1[[#This Row],[NOMBRE_DOCENT]],MDOCENTES[DATOS_DOCENTE],MDOCENTES[DEDICACION],"Seleccione Docente")</f>
        <v>Seleccione Docente</v>
      </c>
      <c r="O239" t="str">
        <f>_xlfn.XLOOKUP(Tabla1[[#This Row],[NOMBRE_DOCENT]],MDOCENTES[DATOS_DOCENTE],MDOCENTES[ESTUDIO],"Seleccione Docente")</f>
        <v>Seleccione Docente</v>
      </c>
      <c r="P239">
        <f t="shared" si="15"/>
        <v>0</v>
      </c>
      <c r="Q239">
        <f t="shared" si="16"/>
        <v>0</v>
      </c>
      <c r="R239">
        <f t="shared" si="17"/>
        <v>0</v>
      </c>
      <c r="S239">
        <f t="shared" si="18"/>
        <v>0</v>
      </c>
      <c r="T239">
        <f t="shared" si="19"/>
        <v>0</v>
      </c>
      <c r="U239">
        <f>Tabla1[[#This Row],[HORAS NO AFINIDAD]]+Tabla1[[#This Row],[HORAS UNIDAD BASICA]]+Tabla1[[#This Row],[HORAS AFINIDAD]]</f>
        <v>0</v>
      </c>
      <c r="V239">
        <f>+Tabla1[[#This Row],[HORAS AFINIDAD]]+Tabla1[[#This Row],[HORAS ACTIVIDAD]]+Tabla1[[#This Row],[HORAS UNIDAD BASICA]]+Tabla1[[#This Row],[HORAS NO AFINIDAD]]</f>
        <v>0</v>
      </c>
    </row>
    <row r="240" spans="1:22" ht="18.75" customHeight="1">
      <c r="A240">
        <v>239</v>
      </c>
      <c r="C240" t="str">
        <f>_xlfn.XLOOKUP(Tabla1[[#This Row],[CARRERA]],MAE_CARRERA[NOMBRE_CARRERA],MAE_CARRERA[ID_CARRERA],"Seleccione Carrera")</f>
        <v>Seleccione Carrera</v>
      </c>
      <c r="F240" s="1"/>
      <c r="G240" t="str">
        <f>_xlfn.XLOOKUP(Tabla1[[#This Row],[ASIGNATURA]],MAE_ASIGNATURA[NOM_ASIG],MAE_ASIGNATURA[ID_ASIG],"Seleccione Asignatura")</f>
        <v>Seleccione Asignatura</v>
      </c>
      <c r="H240" s="1" t="str" cm="1">
        <f t="array" ref="H240">_xlfn.TEXTJOIN("; ",TRUE,TRANSPOSE(_xlfn.UNIQUE(_xlfn._xlws.FILTER(DET_ASIG[DETALLADO],(DET_ASIG[NIVEL]=ASIGNACION!$D240)*(DET_ASIG[ID_CARRERA]=ASIGNACION!$C240)*(DET_ASIG[ID_ASIG]=ASIGNACION!$G240),"No existe información"))))</f>
        <v>No existe información</v>
      </c>
      <c r="I240" s="1"/>
      <c r="J240">
        <f>_xlfn.XLOOKUP(Tabla1[[#This Row],[ID_ASIG_CAM_DET]],MAE_ASIGNATURA[ID_ASIG],MAE_ASIGNATURA[HORAS],0)</f>
        <v>0</v>
      </c>
      <c r="K240">
        <v>4</v>
      </c>
      <c r="L240" s="2">
        <f>+Tabla1[[#This Row],[CALCULAR HORA]]*Tabla1[[#This Row],[HORAS]]</f>
        <v>0</v>
      </c>
      <c r="N240" t="str">
        <f>_xlfn.XLOOKUP(Tabla1[[#This Row],[NOMBRE_DOCENT]],MDOCENTES[DATOS_DOCENTE],MDOCENTES[DEDICACION],"Seleccione Docente")</f>
        <v>Seleccione Docente</v>
      </c>
      <c r="O240" t="str">
        <f>_xlfn.XLOOKUP(Tabla1[[#This Row],[NOMBRE_DOCENT]],MDOCENTES[DATOS_DOCENTE],MDOCENTES[ESTUDIO],"Seleccione Docente")</f>
        <v>Seleccione Docente</v>
      </c>
      <c r="P240">
        <f t="shared" si="15"/>
        <v>0</v>
      </c>
      <c r="Q240">
        <f t="shared" si="16"/>
        <v>0</v>
      </c>
      <c r="R240">
        <f t="shared" si="17"/>
        <v>0</v>
      </c>
      <c r="S240">
        <f t="shared" si="18"/>
        <v>0</v>
      </c>
      <c r="T240">
        <f t="shared" si="19"/>
        <v>0</v>
      </c>
      <c r="U240">
        <f>Tabla1[[#This Row],[HORAS NO AFINIDAD]]+Tabla1[[#This Row],[HORAS UNIDAD BASICA]]+Tabla1[[#This Row],[HORAS AFINIDAD]]</f>
        <v>0</v>
      </c>
      <c r="V240">
        <f>+Tabla1[[#This Row],[HORAS AFINIDAD]]+Tabla1[[#This Row],[HORAS ACTIVIDAD]]+Tabla1[[#This Row],[HORAS UNIDAD BASICA]]+Tabla1[[#This Row],[HORAS NO AFINIDAD]]</f>
        <v>0</v>
      </c>
    </row>
    <row r="241" spans="1:22" ht="18.75" customHeight="1">
      <c r="A241">
        <v>240</v>
      </c>
      <c r="C241" t="str">
        <f>_xlfn.XLOOKUP(Tabla1[[#This Row],[CARRERA]],MAE_CARRERA[NOMBRE_CARRERA],MAE_CARRERA[ID_CARRERA],"Seleccione Carrera")</f>
        <v>Seleccione Carrera</v>
      </c>
      <c r="F241" s="1"/>
      <c r="G241" t="str">
        <f>_xlfn.XLOOKUP(Tabla1[[#This Row],[ASIGNATURA]],MAE_ASIGNATURA[NOM_ASIG],MAE_ASIGNATURA[ID_ASIG],"Seleccione Asignatura")</f>
        <v>Seleccione Asignatura</v>
      </c>
      <c r="H241" s="1" t="str" cm="1">
        <f t="array" ref="H241">_xlfn.TEXTJOIN("; ",TRUE,TRANSPOSE(_xlfn.UNIQUE(_xlfn._xlws.FILTER(DET_ASIG[DETALLADO],(DET_ASIG[NIVEL]=ASIGNACION!$D241)*(DET_ASIG[ID_CARRERA]=ASIGNACION!$C241)*(DET_ASIG[ID_ASIG]=ASIGNACION!$G241),"No existe información"))))</f>
        <v>No existe información</v>
      </c>
      <c r="I241" s="1"/>
      <c r="J241">
        <f>_xlfn.XLOOKUP(Tabla1[[#This Row],[ID_ASIG_CAM_DET]],MAE_ASIGNATURA[ID_ASIG],MAE_ASIGNATURA[HORAS],0)</f>
        <v>0</v>
      </c>
      <c r="K241">
        <v>4</v>
      </c>
      <c r="L241" s="2">
        <f>+Tabla1[[#This Row],[CALCULAR HORA]]*Tabla1[[#This Row],[HORAS]]</f>
        <v>0</v>
      </c>
      <c r="N241" t="str">
        <f>_xlfn.XLOOKUP(Tabla1[[#This Row],[NOMBRE_DOCENT]],MDOCENTES[DATOS_DOCENTE],MDOCENTES[DEDICACION],"Seleccione Docente")</f>
        <v>Seleccione Docente</v>
      </c>
      <c r="O241" t="str">
        <f>_xlfn.XLOOKUP(Tabla1[[#This Row],[NOMBRE_DOCENT]],MDOCENTES[DATOS_DOCENTE],MDOCENTES[ESTUDIO],"Seleccione Docente")</f>
        <v>Seleccione Docente</v>
      </c>
      <c r="P241">
        <f t="shared" si="15"/>
        <v>0</v>
      </c>
      <c r="Q241">
        <f t="shared" si="16"/>
        <v>0</v>
      </c>
      <c r="R241">
        <f t="shared" si="17"/>
        <v>0</v>
      </c>
      <c r="S241">
        <f t="shared" si="18"/>
        <v>0</v>
      </c>
      <c r="T241">
        <f t="shared" si="19"/>
        <v>0</v>
      </c>
      <c r="U241">
        <f>Tabla1[[#This Row],[HORAS NO AFINIDAD]]+Tabla1[[#This Row],[HORAS UNIDAD BASICA]]+Tabla1[[#This Row],[HORAS AFINIDAD]]</f>
        <v>0</v>
      </c>
      <c r="V241">
        <f>+Tabla1[[#This Row],[HORAS AFINIDAD]]+Tabla1[[#This Row],[HORAS ACTIVIDAD]]+Tabla1[[#This Row],[HORAS UNIDAD BASICA]]+Tabla1[[#This Row],[HORAS NO AFINIDAD]]</f>
        <v>0</v>
      </c>
    </row>
    <row r="242" spans="1:22" ht="18.75" customHeight="1">
      <c r="A242">
        <v>241</v>
      </c>
      <c r="C242" t="str">
        <f>_xlfn.XLOOKUP(Tabla1[[#This Row],[CARRERA]],MAE_CARRERA[NOMBRE_CARRERA],MAE_CARRERA[ID_CARRERA],"Seleccione Carrera")</f>
        <v>Seleccione Carrera</v>
      </c>
      <c r="F242" s="1"/>
      <c r="G242" t="str">
        <f>_xlfn.XLOOKUP(Tabla1[[#This Row],[ASIGNATURA]],MAE_ASIGNATURA[NOM_ASIG],MAE_ASIGNATURA[ID_ASIG],"Seleccione Asignatura")</f>
        <v>Seleccione Asignatura</v>
      </c>
      <c r="H242" s="1" t="str" cm="1">
        <f t="array" ref="H242">_xlfn.TEXTJOIN("; ",TRUE,TRANSPOSE(_xlfn.UNIQUE(_xlfn._xlws.FILTER(DET_ASIG[DETALLADO],(DET_ASIG[NIVEL]=ASIGNACION!$D242)*(DET_ASIG[ID_CARRERA]=ASIGNACION!$C242)*(DET_ASIG[ID_ASIG]=ASIGNACION!$G242),"No existe información"))))</f>
        <v>No existe información</v>
      </c>
      <c r="I242" s="1"/>
      <c r="J242">
        <f>_xlfn.XLOOKUP(Tabla1[[#This Row],[ID_ASIG_CAM_DET]],MAE_ASIGNATURA[ID_ASIG],MAE_ASIGNATURA[HORAS],0)</f>
        <v>0</v>
      </c>
      <c r="K242">
        <v>4</v>
      </c>
      <c r="L242" s="2">
        <f>+Tabla1[[#This Row],[CALCULAR HORA]]*Tabla1[[#This Row],[HORAS]]</f>
        <v>0</v>
      </c>
      <c r="N242" t="str">
        <f>_xlfn.XLOOKUP(Tabla1[[#This Row],[NOMBRE_DOCENT]],MDOCENTES[DATOS_DOCENTE],MDOCENTES[DEDICACION],"Seleccione Docente")</f>
        <v>Seleccione Docente</v>
      </c>
      <c r="O242" t="str">
        <f>_xlfn.XLOOKUP(Tabla1[[#This Row],[NOMBRE_DOCENT]],MDOCENTES[DATOS_DOCENTE],MDOCENTES[ESTUDIO],"Seleccione Docente")</f>
        <v>Seleccione Docente</v>
      </c>
      <c r="P242">
        <f t="shared" si="15"/>
        <v>0</v>
      </c>
      <c r="Q242">
        <f t="shared" si="16"/>
        <v>0</v>
      </c>
      <c r="R242">
        <f t="shared" si="17"/>
        <v>0</v>
      </c>
      <c r="S242">
        <f t="shared" si="18"/>
        <v>0</v>
      </c>
      <c r="T242">
        <f t="shared" si="19"/>
        <v>0</v>
      </c>
      <c r="U242">
        <f>Tabla1[[#This Row],[HORAS NO AFINIDAD]]+Tabla1[[#This Row],[HORAS UNIDAD BASICA]]+Tabla1[[#This Row],[HORAS AFINIDAD]]</f>
        <v>0</v>
      </c>
      <c r="V242">
        <f>+Tabla1[[#This Row],[HORAS AFINIDAD]]+Tabla1[[#This Row],[HORAS ACTIVIDAD]]+Tabla1[[#This Row],[HORAS UNIDAD BASICA]]+Tabla1[[#This Row],[HORAS NO AFINIDAD]]</f>
        <v>0</v>
      </c>
    </row>
    <row r="243" spans="1:22" ht="18.75" customHeight="1">
      <c r="A243">
        <v>242</v>
      </c>
      <c r="C243" t="str">
        <f>_xlfn.XLOOKUP(Tabla1[[#This Row],[CARRERA]],MAE_CARRERA[NOMBRE_CARRERA],MAE_CARRERA[ID_CARRERA],"Seleccione Carrera")</f>
        <v>Seleccione Carrera</v>
      </c>
      <c r="F243" s="1"/>
      <c r="G243" t="str">
        <f>_xlfn.XLOOKUP(Tabla1[[#This Row],[ASIGNATURA]],MAE_ASIGNATURA[NOM_ASIG],MAE_ASIGNATURA[ID_ASIG],"Seleccione Asignatura")</f>
        <v>Seleccione Asignatura</v>
      </c>
      <c r="H243" s="1" t="str" cm="1">
        <f t="array" ref="H243">_xlfn.TEXTJOIN("; ",TRUE,TRANSPOSE(_xlfn.UNIQUE(_xlfn._xlws.FILTER(DET_ASIG[DETALLADO],(DET_ASIG[NIVEL]=ASIGNACION!$D243)*(DET_ASIG[ID_CARRERA]=ASIGNACION!$C243)*(DET_ASIG[ID_ASIG]=ASIGNACION!$G243),"No existe información"))))</f>
        <v>No existe información</v>
      </c>
      <c r="I243" s="1"/>
      <c r="J243">
        <f>_xlfn.XLOOKUP(Tabla1[[#This Row],[ID_ASIG_CAM_DET]],MAE_ASIGNATURA[ID_ASIG],MAE_ASIGNATURA[HORAS],0)</f>
        <v>0</v>
      </c>
      <c r="K243">
        <v>4</v>
      </c>
      <c r="L243" s="2">
        <f>+Tabla1[[#This Row],[CALCULAR HORA]]*Tabla1[[#This Row],[HORAS]]</f>
        <v>0</v>
      </c>
      <c r="N243" t="str">
        <f>_xlfn.XLOOKUP(Tabla1[[#This Row],[NOMBRE_DOCENT]],MDOCENTES[DATOS_DOCENTE],MDOCENTES[DEDICACION],"Seleccione Docente")</f>
        <v>Seleccione Docente</v>
      </c>
      <c r="O243" t="str">
        <f>_xlfn.XLOOKUP(Tabla1[[#This Row],[NOMBRE_DOCENT]],MDOCENTES[DATOS_DOCENTE],MDOCENTES[ESTUDIO],"Seleccione Docente")</f>
        <v>Seleccione Docente</v>
      </c>
      <c r="P243">
        <f t="shared" si="15"/>
        <v>0</v>
      </c>
      <c r="Q243">
        <f t="shared" si="16"/>
        <v>0</v>
      </c>
      <c r="R243">
        <f t="shared" si="17"/>
        <v>0</v>
      </c>
      <c r="S243">
        <f t="shared" si="18"/>
        <v>0</v>
      </c>
      <c r="T243">
        <f t="shared" si="19"/>
        <v>0</v>
      </c>
      <c r="U243">
        <f>Tabla1[[#This Row],[HORAS NO AFINIDAD]]+Tabla1[[#This Row],[HORAS UNIDAD BASICA]]+Tabla1[[#This Row],[HORAS AFINIDAD]]</f>
        <v>0</v>
      </c>
      <c r="V243">
        <f>+Tabla1[[#This Row],[HORAS AFINIDAD]]+Tabla1[[#This Row],[HORAS ACTIVIDAD]]+Tabla1[[#This Row],[HORAS UNIDAD BASICA]]+Tabla1[[#This Row],[HORAS NO AFINIDAD]]</f>
        <v>0</v>
      </c>
    </row>
    <row r="244" spans="1:22" ht="18.75" customHeight="1">
      <c r="A244">
        <v>243</v>
      </c>
      <c r="C244" t="str">
        <f>_xlfn.XLOOKUP(Tabla1[[#This Row],[CARRERA]],MAE_CARRERA[NOMBRE_CARRERA],MAE_CARRERA[ID_CARRERA],"Seleccione Carrera")</f>
        <v>Seleccione Carrera</v>
      </c>
      <c r="F244" s="1"/>
      <c r="G244" t="str">
        <f>_xlfn.XLOOKUP(Tabla1[[#This Row],[ASIGNATURA]],MAE_ASIGNATURA[NOM_ASIG],MAE_ASIGNATURA[ID_ASIG],"Seleccione Asignatura")</f>
        <v>Seleccione Asignatura</v>
      </c>
      <c r="H244" s="1" t="str" cm="1">
        <f t="array" ref="H244">_xlfn.TEXTJOIN("; ",TRUE,TRANSPOSE(_xlfn.UNIQUE(_xlfn._xlws.FILTER(DET_ASIG[DETALLADO],(DET_ASIG[NIVEL]=ASIGNACION!$D244)*(DET_ASIG[ID_CARRERA]=ASIGNACION!$C244)*(DET_ASIG[ID_ASIG]=ASIGNACION!$G244),"No existe información"))))</f>
        <v>No existe información</v>
      </c>
      <c r="I244" s="1"/>
      <c r="J244">
        <f>_xlfn.XLOOKUP(Tabla1[[#This Row],[ID_ASIG_CAM_DET]],MAE_ASIGNATURA[ID_ASIG],MAE_ASIGNATURA[HORAS],0)</f>
        <v>0</v>
      </c>
      <c r="K244">
        <v>4</v>
      </c>
      <c r="L244" s="2">
        <f>+Tabla1[[#This Row],[CALCULAR HORA]]*Tabla1[[#This Row],[HORAS]]</f>
        <v>0</v>
      </c>
      <c r="N244" t="str">
        <f>_xlfn.XLOOKUP(Tabla1[[#This Row],[NOMBRE_DOCENT]],MDOCENTES[DATOS_DOCENTE],MDOCENTES[DEDICACION],"Seleccione Docente")</f>
        <v>Seleccione Docente</v>
      </c>
      <c r="O244" t="str">
        <f>_xlfn.XLOOKUP(Tabla1[[#This Row],[NOMBRE_DOCENT]],MDOCENTES[DATOS_DOCENTE],MDOCENTES[ESTUDIO],"Seleccione Docente")</f>
        <v>Seleccione Docente</v>
      </c>
      <c r="P244">
        <f t="shared" si="15"/>
        <v>0</v>
      </c>
      <c r="Q244">
        <f t="shared" si="16"/>
        <v>0</v>
      </c>
      <c r="R244">
        <f t="shared" si="17"/>
        <v>0</v>
      </c>
      <c r="S244">
        <f t="shared" si="18"/>
        <v>0</v>
      </c>
      <c r="T244">
        <f t="shared" si="19"/>
        <v>0</v>
      </c>
      <c r="U244">
        <f>Tabla1[[#This Row],[HORAS NO AFINIDAD]]+Tabla1[[#This Row],[HORAS UNIDAD BASICA]]+Tabla1[[#This Row],[HORAS AFINIDAD]]</f>
        <v>0</v>
      </c>
      <c r="V244">
        <f>+Tabla1[[#This Row],[HORAS AFINIDAD]]+Tabla1[[#This Row],[HORAS ACTIVIDAD]]+Tabla1[[#This Row],[HORAS UNIDAD BASICA]]+Tabla1[[#This Row],[HORAS NO AFINIDAD]]</f>
        <v>0</v>
      </c>
    </row>
    <row r="245" spans="1:22" ht="18.75" customHeight="1">
      <c r="A245">
        <v>244</v>
      </c>
      <c r="C245" t="str">
        <f>_xlfn.XLOOKUP(Tabla1[[#This Row],[CARRERA]],MAE_CARRERA[NOMBRE_CARRERA],MAE_CARRERA[ID_CARRERA],"Seleccione Carrera")</f>
        <v>Seleccione Carrera</v>
      </c>
      <c r="F245" s="1"/>
      <c r="G245" t="str">
        <f>_xlfn.XLOOKUP(Tabla1[[#This Row],[ASIGNATURA]],MAE_ASIGNATURA[NOM_ASIG],MAE_ASIGNATURA[ID_ASIG],"Seleccione Asignatura")</f>
        <v>Seleccione Asignatura</v>
      </c>
      <c r="H245" s="1" t="str" cm="1">
        <f t="array" ref="H245">_xlfn.TEXTJOIN("; ",TRUE,TRANSPOSE(_xlfn.UNIQUE(_xlfn._xlws.FILTER(DET_ASIG[DETALLADO],(DET_ASIG[NIVEL]=ASIGNACION!$D245)*(DET_ASIG[ID_CARRERA]=ASIGNACION!$C245)*(DET_ASIG[ID_ASIG]=ASIGNACION!$G245),"No existe información"))))</f>
        <v>No existe información</v>
      </c>
      <c r="I245" s="1"/>
      <c r="J245">
        <f>_xlfn.XLOOKUP(Tabla1[[#This Row],[ID_ASIG_CAM_DET]],MAE_ASIGNATURA[ID_ASIG],MAE_ASIGNATURA[HORAS],0)</f>
        <v>0</v>
      </c>
      <c r="K245">
        <v>4</v>
      </c>
      <c r="L245" s="2">
        <f>+Tabla1[[#This Row],[CALCULAR HORA]]*Tabla1[[#This Row],[HORAS]]</f>
        <v>0</v>
      </c>
      <c r="N245" t="str">
        <f>_xlfn.XLOOKUP(Tabla1[[#This Row],[NOMBRE_DOCENT]],MDOCENTES[DATOS_DOCENTE],MDOCENTES[DEDICACION],"Seleccione Docente")</f>
        <v>Seleccione Docente</v>
      </c>
      <c r="O245" t="str">
        <f>_xlfn.XLOOKUP(Tabla1[[#This Row],[NOMBRE_DOCENT]],MDOCENTES[DATOS_DOCENTE],MDOCENTES[ESTUDIO],"Seleccione Docente")</f>
        <v>Seleccione Docente</v>
      </c>
      <c r="P245">
        <f t="shared" si="15"/>
        <v>0</v>
      </c>
      <c r="Q245">
        <f t="shared" si="16"/>
        <v>0</v>
      </c>
      <c r="R245">
        <f t="shared" si="17"/>
        <v>0</v>
      </c>
      <c r="S245">
        <f t="shared" si="18"/>
        <v>0</v>
      </c>
      <c r="T245">
        <f t="shared" si="19"/>
        <v>0</v>
      </c>
      <c r="U245">
        <f>Tabla1[[#This Row],[HORAS NO AFINIDAD]]+Tabla1[[#This Row],[HORAS UNIDAD BASICA]]+Tabla1[[#This Row],[HORAS AFINIDAD]]</f>
        <v>0</v>
      </c>
      <c r="V245">
        <f>+Tabla1[[#This Row],[HORAS AFINIDAD]]+Tabla1[[#This Row],[HORAS ACTIVIDAD]]+Tabla1[[#This Row],[HORAS UNIDAD BASICA]]+Tabla1[[#This Row],[HORAS NO AFINIDAD]]</f>
        <v>0</v>
      </c>
    </row>
    <row r="246" spans="1:22" ht="18.75" customHeight="1">
      <c r="A246">
        <v>245</v>
      </c>
      <c r="C246" t="str">
        <f>_xlfn.XLOOKUP(Tabla1[[#This Row],[CARRERA]],MAE_CARRERA[NOMBRE_CARRERA],MAE_CARRERA[ID_CARRERA],"Seleccione Carrera")</f>
        <v>Seleccione Carrera</v>
      </c>
      <c r="F246" s="1"/>
      <c r="G246" t="str">
        <f>_xlfn.XLOOKUP(Tabla1[[#This Row],[ASIGNATURA]],MAE_ASIGNATURA[NOM_ASIG],MAE_ASIGNATURA[ID_ASIG],"Seleccione Asignatura")</f>
        <v>Seleccione Asignatura</v>
      </c>
      <c r="H246" s="1" t="str" cm="1">
        <f t="array" ref="H246">_xlfn.TEXTJOIN("; ",TRUE,TRANSPOSE(_xlfn.UNIQUE(_xlfn._xlws.FILTER(DET_ASIG[DETALLADO],(DET_ASIG[NIVEL]=ASIGNACION!$D246)*(DET_ASIG[ID_CARRERA]=ASIGNACION!$C246)*(DET_ASIG[ID_ASIG]=ASIGNACION!$G246),"No existe información"))))</f>
        <v>No existe información</v>
      </c>
      <c r="I246" s="1"/>
      <c r="J246">
        <f>_xlfn.XLOOKUP(Tabla1[[#This Row],[ID_ASIG_CAM_DET]],MAE_ASIGNATURA[ID_ASIG],MAE_ASIGNATURA[HORAS],0)</f>
        <v>0</v>
      </c>
      <c r="K246">
        <v>4</v>
      </c>
      <c r="L246" s="2">
        <f>+Tabla1[[#This Row],[CALCULAR HORA]]*Tabla1[[#This Row],[HORAS]]</f>
        <v>0</v>
      </c>
      <c r="N246" t="str">
        <f>_xlfn.XLOOKUP(Tabla1[[#This Row],[NOMBRE_DOCENT]],MDOCENTES[DATOS_DOCENTE],MDOCENTES[DEDICACION],"Seleccione Docente")</f>
        <v>Seleccione Docente</v>
      </c>
      <c r="O246" t="str">
        <f>_xlfn.XLOOKUP(Tabla1[[#This Row],[NOMBRE_DOCENT]],MDOCENTES[DATOS_DOCENTE],MDOCENTES[ESTUDIO],"Seleccione Docente")</f>
        <v>Seleccione Docente</v>
      </c>
      <c r="P246">
        <f t="shared" si="15"/>
        <v>0</v>
      </c>
      <c r="Q246">
        <f t="shared" si="16"/>
        <v>0</v>
      </c>
      <c r="R246">
        <f t="shared" si="17"/>
        <v>0</v>
      </c>
      <c r="S246">
        <f t="shared" si="18"/>
        <v>0</v>
      </c>
      <c r="T246">
        <f t="shared" si="19"/>
        <v>0</v>
      </c>
      <c r="U246">
        <f>Tabla1[[#This Row],[HORAS NO AFINIDAD]]+Tabla1[[#This Row],[HORAS UNIDAD BASICA]]+Tabla1[[#This Row],[HORAS AFINIDAD]]</f>
        <v>0</v>
      </c>
      <c r="V246">
        <f>+Tabla1[[#This Row],[HORAS AFINIDAD]]+Tabla1[[#This Row],[HORAS ACTIVIDAD]]+Tabla1[[#This Row],[HORAS UNIDAD BASICA]]+Tabla1[[#This Row],[HORAS NO AFINIDAD]]</f>
        <v>0</v>
      </c>
    </row>
    <row r="247" spans="1:22" ht="18.75" customHeight="1">
      <c r="A247">
        <v>246</v>
      </c>
      <c r="C247" t="str">
        <f>_xlfn.XLOOKUP(Tabla1[[#This Row],[CARRERA]],MAE_CARRERA[NOMBRE_CARRERA],MAE_CARRERA[ID_CARRERA],"Seleccione Carrera")</f>
        <v>Seleccione Carrera</v>
      </c>
      <c r="F247" s="1"/>
      <c r="G247" t="str">
        <f>_xlfn.XLOOKUP(Tabla1[[#This Row],[ASIGNATURA]],MAE_ASIGNATURA[NOM_ASIG],MAE_ASIGNATURA[ID_ASIG],"Seleccione Asignatura")</f>
        <v>Seleccione Asignatura</v>
      </c>
      <c r="H247" s="1" t="str" cm="1">
        <f t="array" ref="H247">_xlfn.TEXTJOIN("; ",TRUE,TRANSPOSE(_xlfn.UNIQUE(_xlfn._xlws.FILTER(DET_ASIG[DETALLADO],(DET_ASIG[NIVEL]=ASIGNACION!$D247)*(DET_ASIG[ID_CARRERA]=ASIGNACION!$C247)*(DET_ASIG[ID_ASIG]=ASIGNACION!$G247),"No existe información"))))</f>
        <v>No existe información</v>
      </c>
      <c r="I247" s="1"/>
      <c r="J247">
        <f>_xlfn.XLOOKUP(Tabla1[[#This Row],[ID_ASIG_CAM_DET]],MAE_ASIGNATURA[ID_ASIG],MAE_ASIGNATURA[HORAS],0)</f>
        <v>0</v>
      </c>
      <c r="K247">
        <v>4</v>
      </c>
      <c r="L247" s="2">
        <f>+Tabla1[[#This Row],[CALCULAR HORA]]*Tabla1[[#This Row],[HORAS]]</f>
        <v>0</v>
      </c>
      <c r="N247" t="str">
        <f>_xlfn.XLOOKUP(Tabla1[[#This Row],[NOMBRE_DOCENT]],MDOCENTES[DATOS_DOCENTE],MDOCENTES[DEDICACION],"Seleccione Docente")</f>
        <v>Seleccione Docente</v>
      </c>
      <c r="O247" t="str">
        <f>_xlfn.XLOOKUP(Tabla1[[#This Row],[NOMBRE_DOCENT]],MDOCENTES[DATOS_DOCENTE],MDOCENTES[ESTUDIO],"Seleccione Docente")</f>
        <v>Seleccione Docente</v>
      </c>
      <c r="P247">
        <f t="shared" si="15"/>
        <v>0</v>
      </c>
      <c r="Q247">
        <f t="shared" si="16"/>
        <v>0</v>
      </c>
      <c r="R247">
        <f t="shared" si="17"/>
        <v>0</v>
      </c>
      <c r="S247">
        <f t="shared" si="18"/>
        <v>0</v>
      </c>
      <c r="T247">
        <f t="shared" si="19"/>
        <v>0</v>
      </c>
      <c r="U247">
        <f>Tabla1[[#This Row],[HORAS NO AFINIDAD]]+Tabla1[[#This Row],[HORAS UNIDAD BASICA]]+Tabla1[[#This Row],[HORAS AFINIDAD]]</f>
        <v>0</v>
      </c>
      <c r="V247">
        <f>+Tabla1[[#This Row],[HORAS AFINIDAD]]+Tabla1[[#This Row],[HORAS ACTIVIDAD]]+Tabla1[[#This Row],[HORAS UNIDAD BASICA]]+Tabla1[[#This Row],[HORAS NO AFINIDAD]]</f>
        <v>0</v>
      </c>
    </row>
    <row r="248" spans="1:22" ht="18.75" customHeight="1">
      <c r="A248">
        <v>247</v>
      </c>
      <c r="C248" t="str">
        <f>_xlfn.XLOOKUP(Tabla1[[#This Row],[CARRERA]],MAE_CARRERA[NOMBRE_CARRERA],MAE_CARRERA[ID_CARRERA],"Seleccione Carrera")</f>
        <v>Seleccione Carrera</v>
      </c>
      <c r="F248" s="1"/>
      <c r="G248" t="str">
        <f>_xlfn.XLOOKUP(Tabla1[[#This Row],[ASIGNATURA]],MAE_ASIGNATURA[NOM_ASIG],MAE_ASIGNATURA[ID_ASIG],"Seleccione Asignatura")</f>
        <v>Seleccione Asignatura</v>
      </c>
      <c r="H248" s="1" t="str" cm="1">
        <f t="array" ref="H248">_xlfn.TEXTJOIN("; ",TRUE,TRANSPOSE(_xlfn.UNIQUE(_xlfn._xlws.FILTER(DET_ASIG[DETALLADO],(DET_ASIG[NIVEL]=ASIGNACION!$D248)*(DET_ASIG[ID_CARRERA]=ASIGNACION!$C248)*(DET_ASIG[ID_ASIG]=ASIGNACION!$G248),"No existe información"))))</f>
        <v>No existe información</v>
      </c>
      <c r="I248" s="1"/>
      <c r="J248">
        <f>_xlfn.XLOOKUP(Tabla1[[#This Row],[ID_ASIG_CAM_DET]],MAE_ASIGNATURA[ID_ASIG],MAE_ASIGNATURA[HORAS],0)</f>
        <v>0</v>
      </c>
      <c r="K248">
        <v>4</v>
      </c>
      <c r="L248" s="2">
        <f>+Tabla1[[#This Row],[CALCULAR HORA]]*Tabla1[[#This Row],[HORAS]]</f>
        <v>0</v>
      </c>
      <c r="N248" t="str">
        <f>_xlfn.XLOOKUP(Tabla1[[#This Row],[NOMBRE_DOCENT]],MDOCENTES[DATOS_DOCENTE],MDOCENTES[DEDICACION],"Seleccione Docente")</f>
        <v>Seleccione Docente</v>
      </c>
      <c r="O248" t="str">
        <f>_xlfn.XLOOKUP(Tabla1[[#This Row],[NOMBRE_DOCENT]],MDOCENTES[DATOS_DOCENTE],MDOCENTES[ESTUDIO],"Seleccione Docente")</f>
        <v>Seleccione Docente</v>
      </c>
      <c r="P248">
        <f t="shared" si="15"/>
        <v>0</v>
      </c>
      <c r="Q248">
        <f t="shared" si="16"/>
        <v>0</v>
      </c>
      <c r="R248">
        <f t="shared" si="17"/>
        <v>0</v>
      </c>
      <c r="S248">
        <f t="shared" si="18"/>
        <v>0</v>
      </c>
      <c r="T248">
        <f t="shared" si="19"/>
        <v>0</v>
      </c>
      <c r="U248">
        <f>Tabla1[[#This Row],[HORAS NO AFINIDAD]]+Tabla1[[#This Row],[HORAS UNIDAD BASICA]]+Tabla1[[#This Row],[HORAS AFINIDAD]]</f>
        <v>0</v>
      </c>
      <c r="V248">
        <f>+Tabla1[[#This Row],[HORAS AFINIDAD]]+Tabla1[[#This Row],[HORAS ACTIVIDAD]]+Tabla1[[#This Row],[HORAS UNIDAD BASICA]]+Tabla1[[#This Row],[HORAS NO AFINIDAD]]</f>
        <v>0</v>
      </c>
    </row>
    <row r="249" spans="1:22" ht="18.75" customHeight="1">
      <c r="A249">
        <v>248</v>
      </c>
      <c r="C249" t="str">
        <f>_xlfn.XLOOKUP(Tabla1[[#This Row],[CARRERA]],MAE_CARRERA[NOMBRE_CARRERA],MAE_CARRERA[ID_CARRERA],"Seleccione Carrera")</f>
        <v>Seleccione Carrera</v>
      </c>
      <c r="F249" s="1"/>
      <c r="G249" t="str">
        <f>_xlfn.XLOOKUP(Tabla1[[#This Row],[ASIGNATURA]],MAE_ASIGNATURA[NOM_ASIG],MAE_ASIGNATURA[ID_ASIG],"Seleccione Asignatura")</f>
        <v>Seleccione Asignatura</v>
      </c>
      <c r="H249" s="1" t="str" cm="1">
        <f t="array" ref="H249">_xlfn.TEXTJOIN("; ",TRUE,TRANSPOSE(_xlfn.UNIQUE(_xlfn._xlws.FILTER(DET_ASIG[DETALLADO],(DET_ASIG[NIVEL]=ASIGNACION!$D249)*(DET_ASIG[ID_CARRERA]=ASIGNACION!$C249)*(DET_ASIG[ID_ASIG]=ASIGNACION!$G249),"No existe información"))))</f>
        <v>No existe información</v>
      </c>
      <c r="I249" s="1"/>
      <c r="J249">
        <f>_xlfn.XLOOKUP(Tabla1[[#This Row],[ID_ASIG_CAM_DET]],MAE_ASIGNATURA[ID_ASIG],MAE_ASIGNATURA[HORAS],0)</f>
        <v>0</v>
      </c>
      <c r="K249">
        <v>4</v>
      </c>
      <c r="L249" s="2">
        <f>+Tabla1[[#This Row],[CALCULAR HORA]]*Tabla1[[#This Row],[HORAS]]</f>
        <v>0</v>
      </c>
      <c r="N249" t="str">
        <f>_xlfn.XLOOKUP(Tabla1[[#This Row],[NOMBRE_DOCENT]],MDOCENTES[DATOS_DOCENTE],MDOCENTES[DEDICACION],"Seleccione Docente")</f>
        <v>Seleccione Docente</v>
      </c>
      <c r="O249" t="str">
        <f>_xlfn.XLOOKUP(Tabla1[[#This Row],[NOMBRE_DOCENT]],MDOCENTES[DATOS_DOCENTE],MDOCENTES[ESTUDIO],"Seleccione Docente")</f>
        <v>Seleccione Docente</v>
      </c>
      <c r="P249">
        <f t="shared" si="15"/>
        <v>0</v>
      </c>
      <c r="Q249">
        <f t="shared" si="16"/>
        <v>0</v>
      </c>
      <c r="R249">
        <f t="shared" si="17"/>
        <v>0</v>
      </c>
      <c r="S249">
        <f t="shared" si="18"/>
        <v>0</v>
      </c>
      <c r="T249">
        <f t="shared" si="19"/>
        <v>0</v>
      </c>
      <c r="U249">
        <f>Tabla1[[#This Row],[HORAS NO AFINIDAD]]+Tabla1[[#This Row],[HORAS UNIDAD BASICA]]+Tabla1[[#This Row],[HORAS AFINIDAD]]</f>
        <v>0</v>
      </c>
      <c r="V249">
        <f>+Tabla1[[#This Row],[HORAS AFINIDAD]]+Tabla1[[#This Row],[HORAS ACTIVIDAD]]+Tabla1[[#This Row],[HORAS UNIDAD BASICA]]+Tabla1[[#This Row],[HORAS NO AFINIDAD]]</f>
        <v>0</v>
      </c>
    </row>
    <row r="250" spans="1:22" ht="18.75" customHeight="1">
      <c r="A250">
        <v>249</v>
      </c>
      <c r="C250" t="str">
        <f>_xlfn.XLOOKUP(Tabla1[[#This Row],[CARRERA]],MAE_CARRERA[NOMBRE_CARRERA],MAE_CARRERA[ID_CARRERA],"Seleccione Carrera")</f>
        <v>Seleccione Carrera</v>
      </c>
      <c r="F250" s="1"/>
      <c r="G250" t="str">
        <f>_xlfn.XLOOKUP(Tabla1[[#This Row],[ASIGNATURA]],MAE_ASIGNATURA[NOM_ASIG],MAE_ASIGNATURA[ID_ASIG],"Seleccione Asignatura")</f>
        <v>Seleccione Asignatura</v>
      </c>
      <c r="H250" s="1" t="str" cm="1">
        <f t="array" ref="H250">_xlfn.TEXTJOIN("; ",TRUE,TRANSPOSE(_xlfn.UNIQUE(_xlfn._xlws.FILTER(DET_ASIG[DETALLADO],(DET_ASIG[NIVEL]=ASIGNACION!$D250)*(DET_ASIG[ID_CARRERA]=ASIGNACION!$C250)*(DET_ASIG[ID_ASIG]=ASIGNACION!$G250),"No existe información"))))</f>
        <v>No existe información</v>
      </c>
      <c r="I250" s="1"/>
      <c r="J250">
        <f>_xlfn.XLOOKUP(Tabla1[[#This Row],[ID_ASIG_CAM_DET]],MAE_ASIGNATURA[ID_ASIG],MAE_ASIGNATURA[HORAS],0)</f>
        <v>0</v>
      </c>
      <c r="K250">
        <v>4</v>
      </c>
      <c r="L250" s="2">
        <f>+Tabla1[[#This Row],[CALCULAR HORA]]*Tabla1[[#This Row],[HORAS]]</f>
        <v>0</v>
      </c>
      <c r="N250" t="str">
        <f>_xlfn.XLOOKUP(Tabla1[[#This Row],[NOMBRE_DOCENT]],MDOCENTES[DATOS_DOCENTE],MDOCENTES[DEDICACION],"Seleccione Docente")</f>
        <v>Seleccione Docente</v>
      </c>
      <c r="O250" t="str">
        <f>_xlfn.XLOOKUP(Tabla1[[#This Row],[NOMBRE_DOCENT]],MDOCENTES[DATOS_DOCENTE],MDOCENTES[ESTUDIO],"Seleccione Docente")</f>
        <v>Seleccione Docente</v>
      </c>
      <c r="P250">
        <f t="shared" si="15"/>
        <v>0</v>
      </c>
      <c r="Q250">
        <f t="shared" si="16"/>
        <v>0</v>
      </c>
      <c r="R250">
        <f t="shared" si="17"/>
        <v>0</v>
      </c>
      <c r="S250">
        <f t="shared" si="18"/>
        <v>0</v>
      </c>
      <c r="T250">
        <f t="shared" si="19"/>
        <v>0</v>
      </c>
      <c r="U250">
        <f>Tabla1[[#This Row],[HORAS NO AFINIDAD]]+Tabla1[[#This Row],[HORAS UNIDAD BASICA]]+Tabla1[[#This Row],[HORAS AFINIDAD]]</f>
        <v>0</v>
      </c>
      <c r="V250">
        <f>+Tabla1[[#This Row],[HORAS AFINIDAD]]+Tabla1[[#This Row],[HORAS ACTIVIDAD]]+Tabla1[[#This Row],[HORAS UNIDAD BASICA]]+Tabla1[[#This Row],[HORAS NO AFINIDAD]]</f>
        <v>0</v>
      </c>
    </row>
    <row r="251" spans="1:22" ht="18.75" customHeight="1">
      <c r="A251">
        <v>250</v>
      </c>
      <c r="C251" t="str">
        <f>_xlfn.XLOOKUP(Tabla1[[#This Row],[CARRERA]],MAE_CARRERA[NOMBRE_CARRERA],MAE_CARRERA[ID_CARRERA],"Seleccione Carrera")</f>
        <v>Seleccione Carrera</v>
      </c>
      <c r="F251" s="1"/>
      <c r="G251" t="str">
        <f>_xlfn.XLOOKUP(Tabla1[[#This Row],[ASIGNATURA]],MAE_ASIGNATURA[NOM_ASIG],MAE_ASIGNATURA[ID_ASIG],"Seleccione Asignatura")</f>
        <v>Seleccione Asignatura</v>
      </c>
      <c r="H251" s="1" t="str" cm="1">
        <f t="array" ref="H251">_xlfn.TEXTJOIN("; ",TRUE,TRANSPOSE(_xlfn.UNIQUE(_xlfn._xlws.FILTER(DET_ASIG[DETALLADO],(DET_ASIG[NIVEL]=ASIGNACION!$D251)*(DET_ASIG[ID_CARRERA]=ASIGNACION!$C251)*(DET_ASIG[ID_ASIG]=ASIGNACION!$G251),"No existe información"))))</f>
        <v>No existe información</v>
      </c>
      <c r="I251" s="1"/>
      <c r="J251">
        <f>_xlfn.XLOOKUP(Tabla1[[#This Row],[ID_ASIG_CAM_DET]],MAE_ASIGNATURA[ID_ASIG],MAE_ASIGNATURA[HORAS],0)</f>
        <v>0</v>
      </c>
      <c r="K251">
        <v>4</v>
      </c>
      <c r="L251" s="2">
        <f>+Tabla1[[#This Row],[CALCULAR HORA]]*Tabla1[[#This Row],[HORAS]]</f>
        <v>0</v>
      </c>
      <c r="N251" t="str">
        <f>_xlfn.XLOOKUP(Tabla1[[#This Row],[NOMBRE_DOCENT]],MDOCENTES[DATOS_DOCENTE],MDOCENTES[DEDICACION],"Seleccione Docente")</f>
        <v>Seleccione Docente</v>
      </c>
      <c r="O251" t="str">
        <f>_xlfn.XLOOKUP(Tabla1[[#This Row],[NOMBRE_DOCENT]],MDOCENTES[DATOS_DOCENTE],MDOCENTES[ESTUDIO],"Seleccione Docente")</f>
        <v>Seleccione Docente</v>
      </c>
      <c r="P251">
        <f t="shared" si="15"/>
        <v>0</v>
      </c>
      <c r="Q251">
        <f t="shared" si="16"/>
        <v>0</v>
      </c>
      <c r="R251">
        <f t="shared" si="17"/>
        <v>0</v>
      </c>
      <c r="S251">
        <f t="shared" si="18"/>
        <v>0</v>
      </c>
      <c r="T251">
        <f t="shared" si="19"/>
        <v>0</v>
      </c>
      <c r="U251">
        <f>Tabla1[[#This Row],[HORAS NO AFINIDAD]]+Tabla1[[#This Row],[HORAS UNIDAD BASICA]]+Tabla1[[#This Row],[HORAS AFINIDAD]]</f>
        <v>0</v>
      </c>
      <c r="V251">
        <f>+Tabla1[[#This Row],[HORAS AFINIDAD]]+Tabla1[[#This Row],[HORAS ACTIVIDAD]]+Tabla1[[#This Row],[HORAS UNIDAD BASICA]]+Tabla1[[#This Row],[HORAS NO AFINIDAD]]</f>
        <v>0</v>
      </c>
    </row>
    <row r="252" spans="1:22" ht="18.75" customHeight="1">
      <c r="A252">
        <v>251</v>
      </c>
      <c r="C252" t="str">
        <f>_xlfn.XLOOKUP(Tabla1[[#This Row],[CARRERA]],MAE_CARRERA[NOMBRE_CARRERA],MAE_CARRERA[ID_CARRERA],"Seleccione Carrera")</f>
        <v>Seleccione Carrera</v>
      </c>
      <c r="F252" s="1"/>
      <c r="G252" t="str">
        <f>_xlfn.XLOOKUP(Tabla1[[#This Row],[ASIGNATURA]],MAE_ASIGNATURA[NOM_ASIG],MAE_ASIGNATURA[ID_ASIG],"Seleccione Asignatura")</f>
        <v>Seleccione Asignatura</v>
      </c>
      <c r="H252" s="1" t="str" cm="1">
        <f t="array" ref="H252">_xlfn.TEXTJOIN("; ",TRUE,TRANSPOSE(_xlfn.UNIQUE(_xlfn._xlws.FILTER(DET_ASIG[DETALLADO],(DET_ASIG[NIVEL]=ASIGNACION!$D252)*(DET_ASIG[ID_CARRERA]=ASIGNACION!$C252)*(DET_ASIG[ID_ASIG]=ASIGNACION!$G252),"No existe información"))))</f>
        <v>No existe información</v>
      </c>
      <c r="I252" s="1"/>
      <c r="J252">
        <f>_xlfn.XLOOKUP(Tabla1[[#This Row],[ID_ASIG_CAM_DET]],MAE_ASIGNATURA[ID_ASIG],MAE_ASIGNATURA[HORAS],0)</f>
        <v>0</v>
      </c>
      <c r="K252">
        <v>4</v>
      </c>
      <c r="L252" s="2">
        <f>+Tabla1[[#This Row],[CALCULAR HORA]]*Tabla1[[#This Row],[HORAS]]</f>
        <v>0</v>
      </c>
      <c r="N252" t="str">
        <f>_xlfn.XLOOKUP(Tabla1[[#This Row],[NOMBRE_DOCENT]],MDOCENTES[DATOS_DOCENTE],MDOCENTES[DEDICACION],"Seleccione Docente")</f>
        <v>Seleccione Docente</v>
      </c>
      <c r="O252" t="str">
        <f>_xlfn.XLOOKUP(Tabla1[[#This Row],[NOMBRE_DOCENT]],MDOCENTES[DATOS_DOCENTE],MDOCENTES[ESTUDIO],"Seleccione Docente")</f>
        <v>Seleccione Docente</v>
      </c>
      <c r="P252">
        <f t="shared" si="15"/>
        <v>0</v>
      </c>
      <c r="Q252">
        <f t="shared" si="16"/>
        <v>0</v>
      </c>
      <c r="R252">
        <f t="shared" si="17"/>
        <v>0</v>
      </c>
      <c r="S252">
        <f t="shared" si="18"/>
        <v>0</v>
      </c>
      <c r="T252">
        <f t="shared" si="19"/>
        <v>0</v>
      </c>
      <c r="U252">
        <f>Tabla1[[#This Row],[HORAS NO AFINIDAD]]+Tabla1[[#This Row],[HORAS UNIDAD BASICA]]+Tabla1[[#This Row],[HORAS AFINIDAD]]</f>
        <v>0</v>
      </c>
      <c r="V252">
        <f>+Tabla1[[#This Row],[HORAS AFINIDAD]]+Tabla1[[#This Row],[HORAS ACTIVIDAD]]+Tabla1[[#This Row],[HORAS UNIDAD BASICA]]+Tabla1[[#This Row],[HORAS NO AFINIDAD]]</f>
        <v>0</v>
      </c>
    </row>
    <row r="253" spans="1:22" ht="18.75" customHeight="1">
      <c r="A253">
        <v>252</v>
      </c>
      <c r="C253" t="str">
        <f>_xlfn.XLOOKUP(Tabla1[[#This Row],[CARRERA]],MAE_CARRERA[NOMBRE_CARRERA],MAE_CARRERA[ID_CARRERA],"Seleccione Carrera")</f>
        <v>Seleccione Carrera</v>
      </c>
      <c r="F253" s="1"/>
      <c r="G253" t="str">
        <f>_xlfn.XLOOKUP(Tabla1[[#This Row],[ASIGNATURA]],MAE_ASIGNATURA[NOM_ASIG],MAE_ASIGNATURA[ID_ASIG],"Seleccione Asignatura")</f>
        <v>Seleccione Asignatura</v>
      </c>
      <c r="H253" s="1" t="str" cm="1">
        <f t="array" ref="H253">_xlfn.TEXTJOIN("; ",TRUE,TRANSPOSE(_xlfn.UNIQUE(_xlfn._xlws.FILTER(DET_ASIG[DETALLADO],(DET_ASIG[NIVEL]=ASIGNACION!$D253)*(DET_ASIG[ID_CARRERA]=ASIGNACION!$C253)*(DET_ASIG[ID_ASIG]=ASIGNACION!$G253),"No existe información"))))</f>
        <v>No existe información</v>
      </c>
      <c r="I253" s="1"/>
      <c r="J253">
        <f>_xlfn.XLOOKUP(Tabla1[[#This Row],[ID_ASIG_CAM_DET]],MAE_ASIGNATURA[ID_ASIG],MAE_ASIGNATURA[HORAS],0)</f>
        <v>0</v>
      </c>
      <c r="K253">
        <v>4</v>
      </c>
      <c r="L253" s="2">
        <f>+Tabla1[[#This Row],[CALCULAR HORA]]*Tabla1[[#This Row],[HORAS]]</f>
        <v>0</v>
      </c>
      <c r="N253" t="str">
        <f>_xlfn.XLOOKUP(Tabla1[[#This Row],[NOMBRE_DOCENT]],MDOCENTES[DATOS_DOCENTE],MDOCENTES[DEDICACION],"Seleccione Docente")</f>
        <v>Seleccione Docente</v>
      </c>
      <c r="O253" t="str">
        <f>_xlfn.XLOOKUP(Tabla1[[#This Row],[NOMBRE_DOCENT]],MDOCENTES[DATOS_DOCENTE],MDOCENTES[ESTUDIO],"Seleccione Docente")</f>
        <v>Seleccione Docente</v>
      </c>
      <c r="P253">
        <f t="shared" si="15"/>
        <v>0</v>
      </c>
      <c r="Q253">
        <f t="shared" si="16"/>
        <v>0</v>
      </c>
      <c r="R253">
        <f t="shared" si="17"/>
        <v>0</v>
      </c>
      <c r="S253">
        <f t="shared" si="18"/>
        <v>0</v>
      </c>
      <c r="T253">
        <f t="shared" si="19"/>
        <v>0</v>
      </c>
      <c r="U253">
        <f>Tabla1[[#This Row],[HORAS NO AFINIDAD]]+Tabla1[[#This Row],[HORAS UNIDAD BASICA]]+Tabla1[[#This Row],[HORAS AFINIDAD]]</f>
        <v>0</v>
      </c>
      <c r="V253">
        <f>+Tabla1[[#This Row],[HORAS AFINIDAD]]+Tabla1[[#This Row],[HORAS ACTIVIDAD]]+Tabla1[[#This Row],[HORAS UNIDAD BASICA]]+Tabla1[[#This Row],[HORAS NO AFINIDAD]]</f>
        <v>0</v>
      </c>
    </row>
    <row r="254" spans="1:22" ht="18.75" customHeight="1">
      <c r="A254">
        <v>253</v>
      </c>
      <c r="C254" t="str">
        <f>_xlfn.XLOOKUP(Tabla1[[#This Row],[CARRERA]],MAE_CARRERA[NOMBRE_CARRERA],MAE_CARRERA[ID_CARRERA],"Seleccione Carrera")</f>
        <v>Seleccione Carrera</v>
      </c>
      <c r="F254" s="1"/>
      <c r="G254" t="str">
        <f>_xlfn.XLOOKUP(Tabla1[[#This Row],[ASIGNATURA]],MAE_ASIGNATURA[NOM_ASIG],MAE_ASIGNATURA[ID_ASIG],"Seleccione Asignatura")</f>
        <v>Seleccione Asignatura</v>
      </c>
      <c r="H254" s="1" t="str" cm="1">
        <f t="array" ref="H254">_xlfn.TEXTJOIN("; ",TRUE,TRANSPOSE(_xlfn.UNIQUE(_xlfn._xlws.FILTER(DET_ASIG[DETALLADO],(DET_ASIG[NIVEL]=ASIGNACION!$D254)*(DET_ASIG[ID_CARRERA]=ASIGNACION!$C254)*(DET_ASIG[ID_ASIG]=ASIGNACION!$G254),"No existe información"))))</f>
        <v>No existe información</v>
      </c>
      <c r="I254" s="1"/>
      <c r="J254">
        <f>_xlfn.XLOOKUP(Tabla1[[#This Row],[ID_ASIG_CAM_DET]],MAE_ASIGNATURA[ID_ASIG],MAE_ASIGNATURA[HORAS],0)</f>
        <v>0</v>
      </c>
      <c r="K254">
        <v>4</v>
      </c>
      <c r="L254" s="2">
        <f>+Tabla1[[#This Row],[CALCULAR HORA]]*Tabla1[[#This Row],[HORAS]]</f>
        <v>0</v>
      </c>
      <c r="N254" t="str">
        <f>_xlfn.XLOOKUP(Tabla1[[#This Row],[NOMBRE_DOCENT]],MDOCENTES[DATOS_DOCENTE],MDOCENTES[DEDICACION],"Seleccione Docente")</f>
        <v>Seleccione Docente</v>
      </c>
      <c r="O254" t="str">
        <f>_xlfn.XLOOKUP(Tabla1[[#This Row],[NOMBRE_DOCENT]],MDOCENTES[DATOS_DOCENTE],MDOCENTES[ESTUDIO],"Seleccione Docente")</f>
        <v>Seleccione Docente</v>
      </c>
      <c r="P254">
        <f t="shared" si="15"/>
        <v>0</v>
      </c>
      <c r="Q254">
        <f t="shared" si="16"/>
        <v>0</v>
      </c>
      <c r="R254">
        <f t="shared" si="17"/>
        <v>0</v>
      </c>
      <c r="S254">
        <f t="shared" si="18"/>
        <v>0</v>
      </c>
      <c r="T254">
        <f t="shared" si="19"/>
        <v>0</v>
      </c>
      <c r="U254">
        <f>Tabla1[[#This Row],[HORAS NO AFINIDAD]]+Tabla1[[#This Row],[HORAS UNIDAD BASICA]]+Tabla1[[#This Row],[HORAS AFINIDAD]]</f>
        <v>0</v>
      </c>
      <c r="V254">
        <f>+Tabla1[[#This Row],[HORAS AFINIDAD]]+Tabla1[[#This Row],[HORAS ACTIVIDAD]]+Tabla1[[#This Row],[HORAS UNIDAD BASICA]]+Tabla1[[#This Row],[HORAS NO AFINIDAD]]</f>
        <v>0</v>
      </c>
    </row>
    <row r="255" spans="1:22" ht="18.75" customHeight="1">
      <c r="A255">
        <v>254</v>
      </c>
      <c r="C255" t="str">
        <f>_xlfn.XLOOKUP(Tabla1[[#This Row],[CARRERA]],MAE_CARRERA[NOMBRE_CARRERA],MAE_CARRERA[ID_CARRERA],"Seleccione Carrera")</f>
        <v>Seleccione Carrera</v>
      </c>
      <c r="F255" s="1"/>
      <c r="G255" t="str">
        <f>_xlfn.XLOOKUP(Tabla1[[#This Row],[ASIGNATURA]],MAE_ASIGNATURA[NOM_ASIG],MAE_ASIGNATURA[ID_ASIG],"Seleccione Asignatura")</f>
        <v>Seleccione Asignatura</v>
      </c>
      <c r="H255" s="1" t="str" cm="1">
        <f t="array" ref="H255">_xlfn.TEXTJOIN("; ",TRUE,TRANSPOSE(_xlfn.UNIQUE(_xlfn._xlws.FILTER(DET_ASIG[DETALLADO],(DET_ASIG[NIVEL]=ASIGNACION!$D255)*(DET_ASIG[ID_CARRERA]=ASIGNACION!$C255)*(DET_ASIG[ID_ASIG]=ASIGNACION!$G255),"No existe información"))))</f>
        <v>No existe información</v>
      </c>
      <c r="I255" s="1"/>
      <c r="J255">
        <f>_xlfn.XLOOKUP(Tabla1[[#This Row],[ID_ASIG_CAM_DET]],MAE_ASIGNATURA[ID_ASIG],MAE_ASIGNATURA[HORAS],0)</f>
        <v>0</v>
      </c>
      <c r="K255">
        <v>4</v>
      </c>
      <c r="L255" s="2">
        <f>+Tabla1[[#This Row],[CALCULAR HORA]]*Tabla1[[#This Row],[HORAS]]</f>
        <v>0</v>
      </c>
      <c r="N255" t="str">
        <f>_xlfn.XLOOKUP(Tabla1[[#This Row],[NOMBRE_DOCENT]],MDOCENTES[DATOS_DOCENTE],MDOCENTES[DEDICACION],"Seleccione Docente")</f>
        <v>Seleccione Docente</v>
      </c>
      <c r="O255" t="str">
        <f>_xlfn.XLOOKUP(Tabla1[[#This Row],[NOMBRE_DOCENT]],MDOCENTES[DATOS_DOCENTE],MDOCENTES[ESTUDIO],"Seleccione Docente")</f>
        <v>Seleccione Docente</v>
      </c>
      <c r="P255">
        <f t="shared" si="15"/>
        <v>0</v>
      </c>
      <c r="Q255">
        <f t="shared" si="16"/>
        <v>0</v>
      </c>
      <c r="R255">
        <f t="shared" si="17"/>
        <v>0</v>
      </c>
      <c r="S255">
        <f t="shared" si="18"/>
        <v>0</v>
      </c>
      <c r="T255">
        <f t="shared" si="19"/>
        <v>0</v>
      </c>
      <c r="U255">
        <f>Tabla1[[#This Row],[HORAS NO AFINIDAD]]+Tabla1[[#This Row],[HORAS UNIDAD BASICA]]+Tabla1[[#This Row],[HORAS AFINIDAD]]</f>
        <v>0</v>
      </c>
      <c r="V255">
        <f>+Tabla1[[#This Row],[HORAS AFINIDAD]]+Tabla1[[#This Row],[HORAS ACTIVIDAD]]+Tabla1[[#This Row],[HORAS UNIDAD BASICA]]+Tabla1[[#This Row],[HORAS NO AFINIDAD]]</f>
        <v>0</v>
      </c>
    </row>
    <row r="256" spans="1:22" ht="18.75" customHeight="1">
      <c r="A256">
        <v>255</v>
      </c>
      <c r="C256" t="str">
        <f>_xlfn.XLOOKUP(Tabla1[[#This Row],[CARRERA]],MAE_CARRERA[NOMBRE_CARRERA],MAE_CARRERA[ID_CARRERA],"Seleccione Carrera")</f>
        <v>Seleccione Carrera</v>
      </c>
      <c r="F256" s="1"/>
      <c r="G256" t="str">
        <f>_xlfn.XLOOKUP(Tabla1[[#This Row],[ASIGNATURA]],MAE_ASIGNATURA[NOM_ASIG],MAE_ASIGNATURA[ID_ASIG],"Seleccione Asignatura")</f>
        <v>Seleccione Asignatura</v>
      </c>
      <c r="H256" s="1" t="str" cm="1">
        <f t="array" ref="H256">_xlfn.TEXTJOIN("; ",TRUE,TRANSPOSE(_xlfn.UNIQUE(_xlfn._xlws.FILTER(DET_ASIG[DETALLADO],(DET_ASIG[NIVEL]=ASIGNACION!$D256)*(DET_ASIG[ID_CARRERA]=ASIGNACION!$C256)*(DET_ASIG[ID_ASIG]=ASIGNACION!$G256),"No existe información"))))</f>
        <v>No existe información</v>
      </c>
      <c r="I256" s="1"/>
      <c r="J256">
        <f>_xlfn.XLOOKUP(Tabla1[[#This Row],[ID_ASIG_CAM_DET]],MAE_ASIGNATURA[ID_ASIG],MAE_ASIGNATURA[HORAS],0)</f>
        <v>0</v>
      </c>
      <c r="K256">
        <v>4</v>
      </c>
      <c r="L256" s="2">
        <f>+Tabla1[[#This Row],[CALCULAR HORA]]*Tabla1[[#This Row],[HORAS]]</f>
        <v>0</v>
      </c>
      <c r="N256" t="str">
        <f>_xlfn.XLOOKUP(Tabla1[[#This Row],[NOMBRE_DOCENT]],MDOCENTES[DATOS_DOCENTE],MDOCENTES[DEDICACION],"Seleccione Docente")</f>
        <v>Seleccione Docente</v>
      </c>
      <c r="O256" t="str">
        <f>_xlfn.XLOOKUP(Tabla1[[#This Row],[NOMBRE_DOCENT]],MDOCENTES[DATOS_DOCENTE],MDOCENTES[ESTUDIO],"Seleccione Docente")</f>
        <v>Seleccione Docente</v>
      </c>
      <c r="P256">
        <f t="shared" si="15"/>
        <v>0</v>
      </c>
      <c r="Q256">
        <f t="shared" si="16"/>
        <v>0</v>
      </c>
      <c r="R256">
        <f t="shared" si="17"/>
        <v>0</v>
      </c>
      <c r="S256">
        <f t="shared" si="18"/>
        <v>0</v>
      </c>
      <c r="T256">
        <f t="shared" si="19"/>
        <v>0</v>
      </c>
      <c r="U256">
        <f>Tabla1[[#This Row],[HORAS NO AFINIDAD]]+Tabla1[[#This Row],[HORAS UNIDAD BASICA]]+Tabla1[[#This Row],[HORAS AFINIDAD]]</f>
        <v>0</v>
      </c>
      <c r="V256">
        <f>+Tabla1[[#This Row],[HORAS AFINIDAD]]+Tabla1[[#This Row],[HORAS ACTIVIDAD]]+Tabla1[[#This Row],[HORAS UNIDAD BASICA]]+Tabla1[[#This Row],[HORAS NO AFINIDAD]]</f>
        <v>0</v>
      </c>
    </row>
    <row r="257" spans="1:22" ht="18.75" customHeight="1">
      <c r="A257">
        <v>256</v>
      </c>
      <c r="C257" t="str">
        <f>_xlfn.XLOOKUP(Tabla1[[#This Row],[CARRERA]],MAE_CARRERA[NOMBRE_CARRERA],MAE_CARRERA[ID_CARRERA],"Seleccione Carrera")</f>
        <v>Seleccione Carrera</v>
      </c>
      <c r="F257" s="1"/>
      <c r="G257" t="str">
        <f>_xlfn.XLOOKUP(Tabla1[[#This Row],[ASIGNATURA]],MAE_ASIGNATURA[NOM_ASIG],MAE_ASIGNATURA[ID_ASIG],"Seleccione Asignatura")</f>
        <v>Seleccione Asignatura</v>
      </c>
      <c r="H257" s="1" t="str" cm="1">
        <f t="array" ref="H257">_xlfn.TEXTJOIN("; ",TRUE,TRANSPOSE(_xlfn.UNIQUE(_xlfn._xlws.FILTER(DET_ASIG[DETALLADO],(DET_ASIG[NIVEL]=ASIGNACION!$D257)*(DET_ASIG[ID_CARRERA]=ASIGNACION!$C257)*(DET_ASIG[ID_ASIG]=ASIGNACION!$G257),"No existe información"))))</f>
        <v>No existe información</v>
      </c>
      <c r="I257" s="1"/>
      <c r="J257">
        <f>_xlfn.XLOOKUP(Tabla1[[#This Row],[ID_ASIG_CAM_DET]],MAE_ASIGNATURA[ID_ASIG],MAE_ASIGNATURA[HORAS],0)</f>
        <v>0</v>
      </c>
      <c r="K257">
        <v>4</v>
      </c>
      <c r="L257" s="2">
        <f>+Tabla1[[#This Row],[CALCULAR HORA]]*Tabla1[[#This Row],[HORAS]]</f>
        <v>0</v>
      </c>
      <c r="N257" t="str">
        <f>_xlfn.XLOOKUP(Tabla1[[#This Row],[NOMBRE_DOCENT]],MDOCENTES[DATOS_DOCENTE],MDOCENTES[DEDICACION],"Seleccione Docente")</f>
        <v>Seleccione Docente</v>
      </c>
      <c r="O257" t="str">
        <f>_xlfn.XLOOKUP(Tabla1[[#This Row],[NOMBRE_DOCENT]],MDOCENTES[DATOS_DOCENTE],MDOCENTES[ESTUDIO],"Seleccione Docente")</f>
        <v>Seleccione Docente</v>
      </c>
      <c r="P257">
        <f t="shared" si="15"/>
        <v>0</v>
      </c>
      <c r="Q257">
        <f t="shared" si="16"/>
        <v>0</v>
      </c>
      <c r="R257">
        <f t="shared" si="17"/>
        <v>0</v>
      </c>
      <c r="S257">
        <f t="shared" si="18"/>
        <v>0</v>
      </c>
      <c r="T257">
        <f t="shared" si="19"/>
        <v>0</v>
      </c>
      <c r="U257">
        <f>Tabla1[[#This Row],[HORAS NO AFINIDAD]]+Tabla1[[#This Row],[HORAS UNIDAD BASICA]]+Tabla1[[#This Row],[HORAS AFINIDAD]]</f>
        <v>0</v>
      </c>
      <c r="V257">
        <f>+Tabla1[[#This Row],[HORAS AFINIDAD]]+Tabla1[[#This Row],[HORAS ACTIVIDAD]]+Tabla1[[#This Row],[HORAS UNIDAD BASICA]]+Tabla1[[#This Row],[HORAS NO AFINIDAD]]</f>
        <v>0</v>
      </c>
    </row>
    <row r="258" spans="1:22" ht="18.75" customHeight="1">
      <c r="A258">
        <v>257</v>
      </c>
      <c r="C258" t="str">
        <f>_xlfn.XLOOKUP(Tabla1[[#This Row],[CARRERA]],MAE_CARRERA[NOMBRE_CARRERA],MAE_CARRERA[ID_CARRERA],"Seleccione Carrera")</f>
        <v>Seleccione Carrera</v>
      </c>
      <c r="F258" s="1"/>
      <c r="G258" t="str">
        <f>_xlfn.XLOOKUP(Tabla1[[#This Row],[ASIGNATURA]],MAE_ASIGNATURA[NOM_ASIG],MAE_ASIGNATURA[ID_ASIG],"Seleccione Asignatura")</f>
        <v>Seleccione Asignatura</v>
      </c>
      <c r="H258" s="1" t="str" cm="1">
        <f t="array" ref="H258">_xlfn.TEXTJOIN("; ",TRUE,TRANSPOSE(_xlfn.UNIQUE(_xlfn._xlws.FILTER(DET_ASIG[DETALLADO],(DET_ASIG[NIVEL]=ASIGNACION!$D258)*(DET_ASIG[ID_CARRERA]=ASIGNACION!$C258)*(DET_ASIG[ID_ASIG]=ASIGNACION!$G258),"No existe información"))))</f>
        <v>No existe información</v>
      </c>
      <c r="I258" s="1"/>
      <c r="J258">
        <f>_xlfn.XLOOKUP(Tabla1[[#This Row],[ID_ASIG_CAM_DET]],MAE_ASIGNATURA[ID_ASIG],MAE_ASIGNATURA[HORAS],0)</f>
        <v>0</v>
      </c>
      <c r="K258">
        <v>4</v>
      </c>
      <c r="L258" s="2">
        <f>+Tabla1[[#This Row],[CALCULAR HORA]]*Tabla1[[#This Row],[HORAS]]</f>
        <v>0</v>
      </c>
      <c r="N258" t="str">
        <f>_xlfn.XLOOKUP(Tabla1[[#This Row],[NOMBRE_DOCENT]],MDOCENTES[DATOS_DOCENTE],MDOCENTES[DEDICACION],"Seleccione Docente")</f>
        <v>Seleccione Docente</v>
      </c>
      <c r="O258" t="str">
        <f>_xlfn.XLOOKUP(Tabla1[[#This Row],[NOMBRE_DOCENT]],MDOCENTES[DATOS_DOCENTE],MDOCENTES[ESTUDIO],"Seleccione Docente")</f>
        <v>Seleccione Docente</v>
      </c>
      <c r="P258">
        <f t="shared" ref="P258:P321" si="20">COUNTIFS($M:$M, M258, $H:$H, "&lt;&gt;ACTIVIDAD")</f>
        <v>0</v>
      </c>
      <c r="Q258">
        <f t="shared" ref="Q258:Q321" si="21">SUMIFS($L:$L, $M:$M, M258, $I:$I, "NO",$H:$H,"&lt;&gt;UNIDAD BASICA")</f>
        <v>0</v>
      </c>
      <c r="R258">
        <f t="shared" ref="R258:R321" si="22">SUMIFS($L:$L, $M:$M, M258, $H:$H, "UNIDAD BASICA",$I:$I,"NO")</f>
        <v>0</v>
      </c>
      <c r="S258">
        <f t="shared" ref="S258:S321" si="23">SUMIFS($L:$L, $M:$M, M258, $I:$I, "ACTIVIDAD")</f>
        <v>0</v>
      </c>
      <c r="T258">
        <f t="shared" ref="T258:T321" si="24">SUMIFS($L:$L, $M:$M, M258, $I:$I, "SI")</f>
        <v>0</v>
      </c>
      <c r="U258">
        <f>Tabla1[[#This Row],[HORAS NO AFINIDAD]]+Tabla1[[#This Row],[HORAS UNIDAD BASICA]]+Tabla1[[#This Row],[HORAS AFINIDAD]]</f>
        <v>0</v>
      </c>
      <c r="V258">
        <f>+Tabla1[[#This Row],[HORAS AFINIDAD]]+Tabla1[[#This Row],[HORAS ACTIVIDAD]]+Tabla1[[#This Row],[HORAS UNIDAD BASICA]]+Tabla1[[#This Row],[HORAS NO AFINIDAD]]</f>
        <v>0</v>
      </c>
    </row>
    <row r="259" spans="1:22" ht="18.75" customHeight="1">
      <c r="A259">
        <v>258</v>
      </c>
      <c r="C259" t="str">
        <f>_xlfn.XLOOKUP(Tabla1[[#This Row],[CARRERA]],MAE_CARRERA[NOMBRE_CARRERA],MAE_CARRERA[ID_CARRERA],"Seleccione Carrera")</f>
        <v>Seleccione Carrera</v>
      </c>
      <c r="F259" s="1"/>
      <c r="G259" t="str">
        <f>_xlfn.XLOOKUP(Tabla1[[#This Row],[ASIGNATURA]],MAE_ASIGNATURA[NOM_ASIG],MAE_ASIGNATURA[ID_ASIG],"Seleccione Asignatura")</f>
        <v>Seleccione Asignatura</v>
      </c>
      <c r="H259" s="1" t="str" cm="1">
        <f t="array" ref="H259">_xlfn.TEXTJOIN("; ",TRUE,TRANSPOSE(_xlfn.UNIQUE(_xlfn._xlws.FILTER(DET_ASIG[DETALLADO],(DET_ASIG[NIVEL]=ASIGNACION!$D259)*(DET_ASIG[ID_CARRERA]=ASIGNACION!$C259)*(DET_ASIG[ID_ASIG]=ASIGNACION!$G259),"No existe información"))))</f>
        <v>No existe información</v>
      </c>
      <c r="I259" s="1"/>
      <c r="J259">
        <f>_xlfn.XLOOKUP(Tabla1[[#This Row],[ID_ASIG_CAM_DET]],MAE_ASIGNATURA[ID_ASIG],MAE_ASIGNATURA[HORAS],0)</f>
        <v>0</v>
      </c>
      <c r="K259">
        <v>4</v>
      </c>
      <c r="L259" s="2">
        <f>+Tabla1[[#This Row],[CALCULAR HORA]]*Tabla1[[#This Row],[HORAS]]</f>
        <v>0</v>
      </c>
      <c r="N259" t="str">
        <f>_xlfn.XLOOKUP(Tabla1[[#This Row],[NOMBRE_DOCENT]],MDOCENTES[DATOS_DOCENTE],MDOCENTES[DEDICACION],"Seleccione Docente")</f>
        <v>Seleccione Docente</v>
      </c>
      <c r="O259" t="str">
        <f>_xlfn.XLOOKUP(Tabla1[[#This Row],[NOMBRE_DOCENT]],MDOCENTES[DATOS_DOCENTE],MDOCENTES[ESTUDIO],"Seleccione Docente")</f>
        <v>Seleccione Docente</v>
      </c>
      <c r="P259">
        <f t="shared" si="20"/>
        <v>0</v>
      </c>
      <c r="Q259">
        <f t="shared" si="21"/>
        <v>0</v>
      </c>
      <c r="R259">
        <f t="shared" si="22"/>
        <v>0</v>
      </c>
      <c r="S259">
        <f t="shared" si="23"/>
        <v>0</v>
      </c>
      <c r="T259">
        <f t="shared" si="24"/>
        <v>0</v>
      </c>
      <c r="U259">
        <f>Tabla1[[#This Row],[HORAS NO AFINIDAD]]+Tabla1[[#This Row],[HORAS UNIDAD BASICA]]+Tabla1[[#This Row],[HORAS AFINIDAD]]</f>
        <v>0</v>
      </c>
      <c r="V259">
        <f>+Tabla1[[#This Row],[HORAS AFINIDAD]]+Tabla1[[#This Row],[HORAS ACTIVIDAD]]+Tabla1[[#This Row],[HORAS UNIDAD BASICA]]+Tabla1[[#This Row],[HORAS NO AFINIDAD]]</f>
        <v>0</v>
      </c>
    </row>
    <row r="260" spans="1:22" ht="18.75" customHeight="1">
      <c r="A260">
        <v>259</v>
      </c>
      <c r="C260" t="str">
        <f>_xlfn.XLOOKUP(Tabla1[[#This Row],[CARRERA]],MAE_CARRERA[NOMBRE_CARRERA],MAE_CARRERA[ID_CARRERA],"Seleccione Carrera")</f>
        <v>Seleccione Carrera</v>
      </c>
      <c r="F260" s="1"/>
      <c r="G260" t="str">
        <f>_xlfn.XLOOKUP(Tabla1[[#This Row],[ASIGNATURA]],MAE_ASIGNATURA[NOM_ASIG],MAE_ASIGNATURA[ID_ASIG],"Seleccione Asignatura")</f>
        <v>Seleccione Asignatura</v>
      </c>
      <c r="H260" s="1" t="str" cm="1">
        <f t="array" ref="H260">_xlfn.TEXTJOIN("; ",TRUE,TRANSPOSE(_xlfn.UNIQUE(_xlfn._xlws.FILTER(DET_ASIG[DETALLADO],(DET_ASIG[NIVEL]=ASIGNACION!$D260)*(DET_ASIG[ID_CARRERA]=ASIGNACION!$C260)*(DET_ASIG[ID_ASIG]=ASIGNACION!$G260),"No existe información"))))</f>
        <v>No existe información</v>
      </c>
      <c r="I260" s="1"/>
      <c r="J260">
        <f>_xlfn.XLOOKUP(Tabla1[[#This Row],[ID_ASIG_CAM_DET]],MAE_ASIGNATURA[ID_ASIG],MAE_ASIGNATURA[HORAS],0)</f>
        <v>0</v>
      </c>
      <c r="K260">
        <v>4</v>
      </c>
      <c r="L260" s="2">
        <f>+Tabla1[[#This Row],[CALCULAR HORA]]*Tabla1[[#This Row],[HORAS]]</f>
        <v>0</v>
      </c>
      <c r="N260" t="str">
        <f>_xlfn.XLOOKUP(Tabla1[[#This Row],[NOMBRE_DOCENT]],MDOCENTES[DATOS_DOCENTE],MDOCENTES[DEDICACION],"Seleccione Docente")</f>
        <v>Seleccione Docente</v>
      </c>
      <c r="O260" t="str">
        <f>_xlfn.XLOOKUP(Tabla1[[#This Row],[NOMBRE_DOCENT]],MDOCENTES[DATOS_DOCENTE],MDOCENTES[ESTUDIO],"Seleccione Docente")</f>
        <v>Seleccione Docente</v>
      </c>
      <c r="P260">
        <f t="shared" si="20"/>
        <v>0</v>
      </c>
      <c r="Q260">
        <f t="shared" si="21"/>
        <v>0</v>
      </c>
      <c r="R260">
        <f t="shared" si="22"/>
        <v>0</v>
      </c>
      <c r="S260">
        <f t="shared" si="23"/>
        <v>0</v>
      </c>
      <c r="T260">
        <f t="shared" si="24"/>
        <v>0</v>
      </c>
      <c r="U260">
        <f>Tabla1[[#This Row],[HORAS NO AFINIDAD]]+Tabla1[[#This Row],[HORAS UNIDAD BASICA]]+Tabla1[[#This Row],[HORAS AFINIDAD]]</f>
        <v>0</v>
      </c>
      <c r="V260">
        <f>+Tabla1[[#This Row],[HORAS AFINIDAD]]+Tabla1[[#This Row],[HORAS ACTIVIDAD]]+Tabla1[[#This Row],[HORAS UNIDAD BASICA]]+Tabla1[[#This Row],[HORAS NO AFINIDAD]]</f>
        <v>0</v>
      </c>
    </row>
    <row r="261" spans="1:22" ht="18.75" customHeight="1">
      <c r="A261">
        <v>260</v>
      </c>
      <c r="C261" t="str">
        <f>_xlfn.XLOOKUP(Tabla1[[#This Row],[CARRERA]],MAE_CARRERA[NOMBRE_CARRERA],MAE_CARRERA[ID_CARRERA],"Seleccione Carrera")</f>
        <v>Seleccione Carrera</v>
      </c>
      <c r="F261" s="1"/>
      <c r="G261" t="str">
        <f>_xlfn.XLOOKUP(Tabla1[[#This Row],[ASIGNATURA]],MAE_ASIGNATURA[NOM_ASIG],MAE_ASIGNATURA[ID_ASIG],"Seleccione Asignatura")</f>
        <v>Seleccione Asignatura</v>
      </c>
      <c r="H261" s="1" t="str" cm="1">
        <f t="array" ref="H261">_xlfn.TEXTJOIN("; ",TRUE,TRANSPOSE(_xlfn.UNIQUE(_xlfn._xlws.FILTER(DET_ASIG[DETALLADO],(DET_ASIG[NIVEL]=ASIGNACION!$D261)*(DET_ASIG[ID_CARRERA]=ASIGNACION!$C261)*(DET_ASIG[ID_ASIG]=ASIGNACION!$G261),"No existe información"))))</f>
        <v>No existe información</v>
      </c>
      <c r="I261" s="1"/>
      <c r="J261">
        <f>_xlfn.XLOOKUP(Tabla1[[#This Row],[ID_ASIG_CAM_DET]],MAE_ASIGNATURA[ID_ASIG],MAE_ASIGNATURA[HORAS],0)</f>
        <v>0</v>
      </c>
      <c r="K261">
        <v>4</v>
      </c>
      <c r="L261" s="2">
        <f>+Tabla1[[#This Row],[CALCULAR HORA]]*Tabla1[[#This Row],[HORAS]]</f>
        <v>0</v>
      </c>
      <c r="N261" t="str">
        <f>_xlfn.XLOOKUP(Tabla1[[#This Row],[NOMBRE_DOCENT]],MDOCENTES[DATOS_DOCENTE],MDOCENTES[DEDICACION],"Seleccione Docente")</f>
        <v>Seleccione Docente</v>
      </c>
      <c r="O261" t="str">
        <f>_xlfn.XLOOKUP(Tabla1[[#This Row],[NOMBRE_DOCENT]],MDOCENTES[DATOS_DOCENTE],MDOCENTES[ESTUDIO],"Seleccione Docente")</f>
        <v>Seleccione Docente</v>
      </c>
      <c r="P261">
        <f t="shared" si="20"/>
        <v>0</v>
      </c>
      <c r="Q261">
        <f t="shared" si="21"/>
        <v>0</v>
      </c>
      <c r="R261">
        <f t="shared" si="22"/>
        <v>0</v>
      </c>
      <c r="S261">
        <f t="shared" si="23"/>
        <v>0</v>
      </c>
      <c r="T261">
        <f t="shared" si="24"/>
        <v>0</v>
      </c>
      <c r="U261">
        <f>Tabla1[[#This Row],[HORAS NO AFINIDAD]]+Tabla1[[#This Row],[HORAS UNIDAD BASICA]]+Tabla1[[#This Row],[HORAS AFINIDAD]]</f>
        <v>0</v>
      </c>
      <c r="V261">
        <f>+Tabla1[[#This Row],[HORAS AFINIDAD]]+Tabla1[[#This Row],[HORAS ACTIVIDAD]]+Tabla1[[#This Row],[HORAS UNIDAD BASICA]]+Tabla1[[#This Row],[HORAS NO AFINIDAD]]</f>
        <v>0</v>
      </c>
    </row>
    <row r="262" spans="1:22" ht="18.75" customHeight="1">
      <c r="A262">
        <v>261</v>
      </c>
      <c r="C262" t="str">
        <f>_xlfn.XLOOKUP(Tabla1[[#This Row],[CARRERA]],MAE_CARRERA[NOMBRE_CARRERA],MAE_CARRERA[ID_CARRERA],"Seleccione Carrera")</f>
        <v>Seleccione Carrera</v>
      </c>
      <c r="F262" s="1"/>
      <c r="G262" t="str">
        <f>_xlfn.XLOOKUP(Tabla1[[#This Row],[ASIGNATURA]],MAE_ASIGNATURA[NOM_ASIG],MAE_ASIGNATURA[ID_ASIG],"Seleccione Asignatura")</f>
        <v>Seleccione Asignatura</v>
      </c>
      <c r="H262" s="1" t="str" cm="1">
        <f t="array" ref="H262">_xlfn.TEXTJOIN("; ",TRUE,TRANSPOSE(_xlfn.UNIQUE(_xlfn._xlws.FILTER(DET_ASIG[DETALLADO],(DET_ASIG[NIVEL]=ASIGNACION!$D262)*(DET_ASIG[ID_CARRERA]=ASIGNACION!$C262)*(DET_ASIG[ID_ASIG]=ASIGNACION!$G262),"No existe información"))))</f>
        <v>No existe información</v>
      </c>
      <c r="I262" s="1"/>
      <c r="J262">
        <f>_xlfn.XLOOKUP(Tabla1[[#This Row],[ID_ASIG_CAM_DET]],MAE_ASIGNATURA[ID_ASIG],MAE_ASIGNATURA[HORAS],0)</f>
        <v>0</v>
      </c>
      <c r="K262">
        <v>4</v>
      </c>
      <c r="L262" s="2">
        <f>+Tabla1[[#This Row],[CALCULAR HORA]]*Tabla1[[#This Row],[HORAS]]</f>
        <v>0</v>
      </c>
      <c r="N262" t="str">
        <f>_xlfn.XLOOKUP(Tabla1[[#This Row],[NOMBRE_DOCENT]],MDOCENTES[DATOS_DOCENTE],MDOCENTES[DEDICACION],"Seleccione Docente")</f>
        <v>Seleccione Docente</v>
      </c>
      <c r="O262" t="str">
        <f>_xlfn.XLOOKUP(Tabla1[[#This Row],[NOMBRE_DOCENT]],MDOCENTES[DATOS_DOCENTE],MDOCENTES[ESTUDIO],"Seleccione Docente")</f>
        <v>Seleccione Docente</v>
      </c>
      <c r="P262">
        <f t="shared" si="20"/>
        <v>0</v>
      </c>
      <c r="Q262">
        <f t="shared" si="21"/>
        <v>0</v>
      </c>
      <c r="R262">
        <f t="shared" si="22"/>
        <v>0</v>
      </c>
      <c r="S262">
        <f t="shared" si="23"/>
        <v>0</v>
      </c>
      <c r="T262">
        <f t="shared" si="24"/>
        <v>0</v>
      </c>
      <c r="U262">
        <f>Tabla1[[#This Row],[HORAS NO AFINIDAD]]+Tabla1[[#This Row],[HORAS UNIDAD BASICA]]+Tabla1[[#This Row],[HORAS AFINIDAD]]</f>
        <v>0</v>
      </c>
      <c r="V262">
        <f>+Tabla1[[#This Row],[HORAS AFINIDAD]]+Tabla1[[#This Row],[HORAS ACTIVIDAD]]+Tabla1[[#This Row],[HORAS UNIDAD BASICA]]+Tabla1[[#This Row],[HORAS NO AFINIDAD]]</f>
        <v>0</v>
      </c>
    </row>
    <row r="263" spans="1:22" ht="18.75" customHeight="1">
      <c r="A263">
        <v>262</v>
      </c>
      <c r="C263" t="str">
        <f>_xlfn.XLOOKUP(Tabla1[[#This Row],[CARRERA]],MAE_CARRERA[NOMBRE_CARRERA],MAE_CARRERA[ID_CARRERA],"Seleccione Carrera")</f>
        <v>Seleccione Carrera</v>
      </c>
      <c r="F263" s="1"/>
      <c r="G263" t="str">
        <f>_xlfn.XLOOKUP(Tabla1[[#This Row],[ASIGNATURA]],MAE_ASIGNATURA[NOM_ASIG],MAE_ASIGNATURA[ID_ASIG],"Seleccione Asignatura")</f>
        <v>Seleccione Asignatura</v>
      </c>
      <c r="H263" s="1" t="str" cm="1">
        <f t="array" ref="H263">_xlfn.TEXTJOIN("; ",TRUE,TRANSPOSE(_xlfn.UNIQUE(_xlfn._xlws.FILTER(DET_ASIG[DETALLADO],(DET_ASIG[NIVEL]=ASIGNACION!$D263)*(DET_ASIG[ID_CARRERA]=ASIGNACION!$C263)*(DET_ASIG[ID_ASIG]=ASIGNACION!$G263),"No existe información"))))</f>
        <v>No existe información</v>
      </c>
      <c r="I263" s="1"/>
      <c r="J263">
        <f>_xlfn.XLOOKUP(Tabla1[[#This Row],[ID_ASIG_CAM_DET]],MAE_ASIGNATURA[ID_ASIG],MAE_ASIGNATURA[HORAS],0)</f>
        <v>0</v>
      </c>
      <c r="K263">
        <v>4</v>
      </c>
      <c r="L263" s="2">
        <f>+Tabla1[[#This Row],[CALCULAR HORA]]*Tabla1[[#This Row],[HORAS]]</f>
        <v>0</v>
      </c>
      <c r="N263" t="str">
        <f>_xlfn.XLOOKUP(Tabla1[[#This Row],[NOMBRE_DOCENT]],MDOCENTES[DATOS_DOCENTE],MDOCENTES[DEDICACION],"Seleccione Docente")</f>
        <v>Seleccione Docente</v>
      </c>
      <c r="O263" t="str">
        <f>_xlfn.XLOOKUP(Tabla1[[#This Row],[NOMBRE_DOCENT]],MDOCENTES[DATOS_DOCENTE],MDOCENTES[ESTUDIO],"Seleccione Docente")</f>
        <v>Seleccione Docente</v>
      </c>
      <c r="P263">
        <f t="shared" si="20"/>
        <v>0</v>
      </c>
      <c r="Q263">
        <f t="shared" si="21"/>
        <v>0</v>
      </c>
      <c r="R263">
        <f t="shared" si="22"/>
        <v>0</v>
      </c>
      <c r="S263">
        <f t="shared" si="23"/>
        <v>0</v>
      </c>
      <c r="T263">
        <f t="shared" si="24"/>
        <v>0</v>
      </c>
      <c r="U263">
        <f>Tabla1[[#This Row],[HORAS NO AFINIDAD]]+Tabla1[[#This Row],[HORAS UNIDAD BASICA]]+Tabla1[[#This Row],[HORAS AFINIDAD]]</f>
        <v>0</v>
      </c>
      <c r="V263">
        <f>+Tabla1[[#This Row],[HORAS AFINIDAD]]+Tabla1[[#This Row],[HORAS ACTIVIDAD]]+Tabla1[[#This Row],[HORAS UNIDAD BASICA]]+Tabla1[[#This Row],[HORAS NO AFINIDAD]]</f>
        <v>0</v>
      </c>
    </row>
    <row r="264" spans="1:22" ht="18.75" customHeight="1">
      <c r="A264">
        <v>263</v>
      </c>
      <c r="C264" t="str">
        <f>_xlfn.XLOOKUP(Tabla1[[#This Row],[CARRERA]],MAE_CARRERA[NOMBRE_CARRERA],MAE_CARRERA[ID_CARRERA],"Seleccione Carrera")</f>
        <v>Seleccione Carrera</v>
      </c>
      <c r="F264" s="1"/>
      <c r="G264" t="str">
        <f>_xlfn.XLOOKUP(Tabla1[[#This Row],[ASIGNATURA]],MAE_ASIGNATURA[NOM_ASIG],MAE_ASIGNATURA[ID_ASIG],"Seleccione Asignatura")</f>
        <v>Seleccione Asignatura</v>
      </c>
      <c r="H264" s="1" t="str" cm="1">
        <f t="array" ref="H264">_xlfn.TEXTJOIN("; ",TRUE,TRANSPOSE(_xlfn.UNIQUE(_xlfn._xlws.FILTER(DET_ASIG[DETALLADO],(DET_ASIG[NIVEL]=ASIGNACION!$D264)*(DET_ASIG[ID_CARRERA]=ASIGNACION!$C264)*(DET_ASIG[ID_ASIG]=ASIGNACION!$G264),"No existe información"))))</f>
        <v>No existe información</v>
      </c>
      <c r="I264" s="1"/>
      <c r="J264">
        <f>_xlfn.XLOOKUP(Tabla1[[#This Row],[ID_ASIG_CAM_DET]],MAE_ASIGNATURA[ID_ASIG],MAE_ASIGNATURA[HORAS],0)</f>
        <v>0</v>
      </c>
      <c r="K264">
        <v>4</v>
      </c>
      <c r="L264" s="2">
        <f>+Tabla1[[#This Row],[CALCULAR HORA]]*Tabla1[[#This Row],[HORAS]]</f>
        <v>0</v>
      </c>
      <c r="N264" t="str">
        <f>_xlfn.XLOOKUP(Tabla1[[#This Row],[NOMBRE_DOCENT]],MDOCENTES[DATOS_DOCENTE],MDOCENTES[DEDICACION],"Seleccione Docente")</f>
        <v>Seleccione Docente</v>
      </c>
      <c r="O264" t="str">
        <f>_xlfn.XLOOKUP(Tabla1[[#This Row],[NOMBRE_DOCENT]],MDOCENTES[DATOS_DOCENTE],MDOCENTES[ESTUDIO],"Seleccione Docente")</f>
        <v>Seleccione Docente</v>
      </c>
      <c r="P264">
        <f t="shared" si="20"/>
        <v>0</v>
      </c>
      <c r="Q264">
        <f t="shared" si="21"/>
        <v>0</v>
      </c>
      <c r="R264">
        <f t="shared" si="22"/>
        <v>0</v>
      </c>
      <c r="S264">
        <f t="shared" si="23"/>
        <v>0</v>
      </c>
      <c r="T264">
        <f t="shared" si="24"/>
        <v>0</v>
      </c>
      <c r="U264">
        <f>Tabla1[[#This Row],[HORAS NO AFINIDAD]]+Tabla1[[#This Row],[HORAS UNIDAD BASICA]]+Tabla1[[#This Row],[HORAS AFINIDAD]]</f>
        <v>0</v>
      </c>
      <c r="V264">
        <f>+Tabla1[[#This Row],[HORAS AFINIDAD]]+Tabla1[[#This Row],[HORAS ACTIVIDAD]]+Tabla1[[#This Row],[HORAS UNIDAD BASICA]]+Tabla1[[#This Row],[HORAS NO AFINIDAD]]</f>
        <v>0</v>
      </c>
    </row>
    <row r="265" spans="1:22" ht="18.75" customHeight="1">
      <c r="A265">
        <v>264</v>
      </c>
      <c r="C265" t="str">
        <f>_xlfn.XLOOKUP(Tabla1[[#This Row],[CARRERA]],MAE_CARRERA[NOMBRE_CARRERA],MAE_CARRERA[ID_CARRERA],"Seleccione Carrera")</f>
        <v>Seleccione Carrera</v>
      </c>
      <c r="F265" s="1"/>
      <c r="G265" t="str">
        <f>_xlfn.XLOOKUP(Tabla1[[#This Row],[ASIGNATURA]],MAE_ASIGNATURA[NOM_ASIG],MAE_ASIGNATURA[ID_ASIG],"Seleccione Asignatura")</f>
        <v>Seleccione Asignatura</v>
      </c>
      <c r="H265" s="1" t="str" cm="1">
        <f t="array" ref="H265">_xlfn.TEXTJOIN("; ",TRUE,TRANSPOSE(_xlfn.UNIQUE(_xlfn._xlws.FILTER(DET_ASIG[DETALLADO],(DET_ASIG[NIVEL]=ASIGNACION!$D265)*(DET_ASIG[ID_CARRERA]=ASIGNACION!$C265)*(DET_ASIG[ID_ASIG]=ASIGNACION!$G265),"No existe información"))))</f>
        <v>No existe información</v>
      </c>
      <c r="I265" s="1"/>
      <c r="J265">
        <f>_xlfn.XLOOKUP(Tabla1[[#This Row],[ID_ASIG_CAM_DET]],MAE_ASIGNATURA[ID_ASIG],MAE_ASIGNATURA[HORAS],0)</f>
        <v>0</v>
      </c>
      <c r="K265">
        <v>4</v>
      </c>
      <c r="L265" s="2">
        <f>+Tabla1[[#This Row],[CALCULAR HORA]]*Tabla1[[#This Row],[HORAS]]</f>
        <v>0</v>
      </c>
      <c r="N265" t="str">
        <f>_xlfn.XLOOKUP(Tabla1[[#This Row],[NOMBRE_DOCENT]],MDOCENTES[DATOS_DOCENTE],MDOCENTES[DEDICACION],"Seleccione Docente")</f>
        <v>Seleccione Docente</v>
      </c>
      <c r="O265" t="str">
        <f>_xlfn.XLOOKUP(Tabla1[[#This Row],[NOMBRE_DOCENT]],MDOCENTES[DATOS_DOCENTE],MDOCENTES[ESTUDIO],"Seleccione Docente")</f>
        <v>Seleccione Docente</v>
      </c>
      <c r="P265">
        <f t="shared" si="20"/>
        <v>0</v>
      </c>
      <c r="Q265">
        <f t="shared" si="21"/>
        <v>0</v>
      </c>
      <c r="R265">
        <f t="shared" si="22"/>
        <v>0</v>
      </c>
      <c r="S265">
        <f t="shared" si="23"/>
        <v>0</v>
      </c>
      <c r="T265">
        <f t="shared" si="24"/>
        <v>0</v>
      </c>
      <c r="U265">
        <f>Tabla1[[#This Row],[HORAS NO AFINIDAD]]+Tabla1[[#This Row],[HORAS UNIDAD BASICA]]+Tabla1[[#This Row],[HORAS AFINIDAD]]</f>
        <v>0</v>
      </c>
      <c r="V265">
        <f>+Tabla1[[#This Row],[HORAS AFINIDAD]]+Tabla1[[#This Row],[HORAS ACTIVIDAD]]+Tabla1[[#This Row],[HORAS UNIDAD BASICA]]+Tabla1[[#This Row],[HORAS NO AFINIDAD]]</f>
        <v>0</v>
      </c>
    </row>
    <row r="266" spans="1:22" ht="18.75" customHeight="1">
      <c r="A266">
        <v>265</v>
      </c>
      <c r="C266" t="str">
        <f>_xlfn.XLOOKUP(Tabla1[[#This Row],[CARRERA]],MAE_CARRERA[NOMBRE_CARRERA],MAE_CARRERA[ID_CARRERA],"Seleccione Carrera")</f>
        <v>Seleccione Carrera</v>
      </c>
      <c r="F266" s="1"/>
      <c r="G266" t="str">
        <f>_xlfn.XLOOKUP(Tabla1[[#This Row],[ASIGNATURA]],MAE_ASIGNATURA[NOM_ASIG],MAE_ASIGNATURA[ID_ASIG],"Seleccione Asignatura")</f>
        <v>Seleccione Asignatura</v>
      </c>
      <c r="H266" s="1" t="str" cm="1">
        <f t="array" ref="H266">_xlfn.TEXTJOIN("; ",TRUE,TRANSPOSE(_xlfn.UNIQUE(_xlfn._xlws.FILTER(DET_ASIG[DETALLADO],(DET_ASIG[NIVEL]=ASIGNACION!$D266)*(DET_ASIG[ID_CARRERA]=ASIGNACION!$C266)*(DET_ASIG[ID_ASIG]=ASIGNACION!$G266),"No existe información"))))</f>
        <v>No existe información</v>
      </c>
      <c r="I266" s="1"/>
      <c r="J266">
        <f>_xlfn.XLOOKUP(Tabla1[[#This Row],[ID_ASIG_CAM_DET]],MAE_ASIGNATURA[ID_ASIG],MAE_ASIGNATURA[HORAS],0)</f>
        <v>0</v>
      </c>
      <c r="K266">
        <v>4</v>
      </c>
      <c r="L266" s="2">
        <f>+Tabla1[[#This Row],[CALCULAR HORA]]*Tabla1[[#This Row],[HORAS]]</f>
        <v>0</v>
      </c>
      <c r="N266" t="str">
        <f>_xlfn.XLOOKUP(Tabla1[[#This Row],[NOMBRE_DOCENT]],MDOCENTES[DATOS_DOCENTE],MDOCENTES[DEDICACION],"Seleccione Docente")</f>
        <v>Seleccione Docente</v>
      </c>
      <c r="O266" t="str">
        <f>_xlfn.XLOOKUP(Tabla1[[#This Row],[NOMBRE_DOCENT]],MDOCENTES[DATOS_DOCENTE],MDOCENTES[ESTUDIO],"Seleccione Docente")</f>
        <v>Seleccione Docente</v>
      </c>
      <c r="P266">
        <f t="shared" si="20"/>
        <v>0</v>
      </c>
      <c r="Q266">
        <f t="shared" si="21"/>
        <v>0</v>
      </c>
      <c r="R266">
        <f t="shared" si="22"/>
        <v>0</v>
      </c>
      <c r="S266">
        <f t="shared" si="23"/>
        <v>0</v>
      </c>
      <c r="T266">
        <f t="shared" si="24"/>
        <v>0</v>
      </c>
      <c r="U266">
        <f>Tabla1[[#This Row],[HORAS NO AFINIDAD]]+Tabla1[[#This Row],[HORAS UNIDAD BASICA]]+Tabla1[[#This Row],[HORAS AFINIDAD]]</f>
        <v>0</v>
      </c>
      <c r="V266">
        <f>+Tabla1[[#This Row],[HORAS AFINIDAD]]+Tabla1[[#This Row],[HORAS ACTIVIDAD]]+Tabla1[[#This Row],[HORAS UNIDAD BASICA]]+Tabla1[[#This Row],[HORAS NO AFINIDAD]]</f>
        <v>0</v>
      </c>
    </row>
    <row r="267" spans="1:22" ht="18.75" customHeight="1">
      <c r="A267">
        <v>266</v>
      </c>
      <c r="C267" t="str">
        <f>_xlfn.XLOOKUP(Tabla1[[#This Row],[CARRERA]],MAE_CARRERA[NOMBRE_CARRERA],MAE_CARRERA[ID_CARRERA],"Seleccione Carrera")</f>
        <v>Seleccione Carrera</v>
      </c>
      <c r="F267" s="1"/>
      <c r="G267" t="str">
        <f>_xlfn.XLOOKUP(Tabla1[[#This Row],[ASIGNATURA]],MAE_ASIGNATURA[NOM_ASIG],MAE_ASIGNATURA[ID_ASIG],"Seleccione Asignatura")</f>
        <v>Seleccione Asignatura</v>
      </c>
      <c r="H267" s="1" t="str" cm="1">
        <f t="array" ref="H267">_xlfn.TEXTJOIN("; ",TRUE,TRANSPOSE(_xlfn.UNIQUE(_xlfn._xlws.FILTER(DET_ASIG[DETALLADO],(DET_ASIG[NIVEL]=ASIGNACION!$D267)*(DET_ASIG[ID_CARRERA]=ASIGNACION!$C267)*(DET_ASIG[ID_ASIG]=ASIGNACION!$G267),"No existe información"))))</f>
        <v>No existe información</v>
      </c>
      <c r="I267" s="1"/>
      <c r="J267">
        <f>_xlfn.XLOOKUP(Tabla1[[#This Row],[ID_ASIG_CAM_DET]],MAE_ASIGNATURA[ID_ASIG],MAE_ASIGNATURA[HORAS],0)</f>
        <v>0</v>
      </c>
      <c r="K267">
        <v>4</v>
      </c>
      <c r="L267" s="2">
        <f>+Tabla1[[#This Row],[CALCULAR HORA]]*Tabla1[[#This Row],[HORAS]]</f>
        <v>0</v>
      </c>
      <c r="N267" t="str">
        <f>_xlfn.XLOOKUP(Tabla1[[#This Row],[NOMBRE_DOCENT]],MDOCENTES[DATOS_DOCENTE],MDOCENTES[DEDICACION],"Seleccione Docente")</f>
        <v>Seleccione Docente</v>
      </c>
      <c r="O267" t="str">
        <f>_xlfn.XLOOKUP(Tabla1[[#This Row],[NOMBRE_DOCENT]],MDOCENTES[DATOS_DOCENTE],MDOCENTES[ESTUDIO],"Seleccione Docente")</f>
        <v>Seleccione Docente</v>
      </c>
      <c r="P267">
        <f t="shared" si="20"/>
        <v>0</v>
      </c>
      <c r="Q267">
        <f t="shared" si="21"/>
        <v>0</v>
      </c>
      <c r="R267">
        <f t="shared" si="22"/>
        <v>0</v>
      </c>
      <c r="S267">
        <f t="shared" si="23"/>
        <v>0</v>
      </c>
      <c r="T267">
        <f t="shared" si="24"/>
        <v>0</v>
      </c>
      <c r="U267">
        <f>Tabla1[[#This Row],[HORAS NO AFINIDAD]]+Tabla1[[#This Row],[HORAS UNIDAD BASICA]]+Tabla1[[#This Row],[HORAS AFINIDAD]]</f>
        <v>0</v>
      </c>
      <c r="V267">
        <f>+Tabla1[[#This Row],[HORAS AFINIDAD]]+Tabla1[[#This Row],[HORAS ACTIVIDAD]]+Tabla1[[#This Row],[HORAS UNIDAD BASICA]]+Tabla1[[#This Row],[HORAS NO AFINIDAD]]</f>
        <v>0</v>
      </c>
    </row>
    <row r="268" spans="1:22" ht="18.75" customHeight="1">
      <c r="A268">
        <v>267</v>
      </c>
      <c r="C268" t="str">
        <f>_xlfn.XLOOKUP(Tabla1[[#This Row],[CARRERA]],MAE_CARRERA[NOMBRE_CARRERA],MAE_CARRERA[ID_CARRERA],"Seleccione Carrera")</f>
        <v>Seleccione Carrera</v>
      </c>
      <c r="F268" s="1"/>
      <c r="G268" t="str">
        <f>_xlfn.XLOOKUP(Tabla1[[#This Row],[ASIGNATURA]],MAE_ASIGNATURA[NOM_ASIG],MAE_ASIGNATURA[ID_ASIG],"Seleccione Asignatura")</f>
        <v>Seleccione Asignatura</v>
      </c>
      <c r="H268" s="1" t="str" cm="1">
        <f t="array" ref="H268">_xlfn.TEXTJOIN("; ",TRUE,TRANSPOSE(_xlfn.UNIQUE(_xlfn._xlws.FILTER(DET_ASIG[DETALLADO],(DET_ASIG[NIVEL]=ASIGNACION!$D268)*(DET_ASIG[ID_CARRERA]=ASIGNACION!$C268)*(DET_ASIG[ID_ASIG]=ASIGNACION!$G268),"No existe información"))))</f>
        <v>No existe información</v>
      </c>
      <c r="I268" s="1"/>
      <c r="J268">
        <f>_xlfn.XLOOKUP(Tabla1[[#This Row],[ID_ASIG_CAM_DET]],MAE_ASIGNATURA[ID_ASIG],MAE_ASIGNATURA[HORAS],0)</f>
        <v>0</v>
      </c>
      <c r="K268">
        <v>4</v>
      </c>
      <c r="L268" s="2">
        <f>+Tabla1[[#This Row],[CALCULAR HORA]]*Tabla1[[#This Row],[HORAS]]</f>
        <v>0</v>
      </c>
      <c r="N268" t="str">
        <f>_xlfn.XLOOKUP(Tabla1[[#This Row],[NOMBRE_DOCENT]],MDOCENTES[DATOS_DOCENTE],MDOCENTES[DEDICACION],"Seleccione Docente")</f>
        <v>Seleccione Docente</v>
      </c>
      <c r="O268" t="str">
        <f>_xlfn.XLOOKUP(Tabla1[[#This Row],[NOMBRE_DOCENT]],MDOCENTES[DATOS_DOCENTE],MDOCENTES[ESTUDIO],"Seleccione Docente")</f>
        <v>Seleccione Docente</v>
      </c>
      <c r="P268">
        <f t="shared" si="20"/>
        <v>0</v>
      </c>
      <c r="Q268">
        <f t="shared" si="21"/>
        <v>0</v>
      </c>
      <c r="R268">
        <f t="shared" si="22"/>
        <v>0</v>
      </c>
      <c r="S268">
        <f t="shared" si="23"/>
        <v>0</v>
      </c>
      <c r="T268">
        <f t="shared" si="24"/>
        <v>0</v>
      </c>
      <c r="U268">
        <f>Tabla1[[#This Row],[HORAS NO AFINIDAD]]+Tabla1[[#This Row],[HORAS UNIDAD BASICA]]+Tabla1[[#This Row],[HORAS AFINIDAD]]</f>
        <v>0</v>
      </c>
      <c r="V268">
        <f>+Tabla1[[#This Row],[HORAS AFINIDAD]]+Tabla1[[#This Row],[HORAS ACTIVIDAD]]+Tabla1[[#This Row],[HORAS UNIDAD BASICA]]+Tabla1[[#This Row],[HORAS NO AFINIDAD]]</f>
        <v>0</v>
      </c>
    </row>
    <row r="269" spans="1:22" ht="18.75" customHeight="1">
      <c r="A269">
        <v>268</v>
      </c>
      <c r="C269" t="str">
        <f>_xlfn.XLOOKUP(Tabla1[[#This Row],[CARRERA]],MAE_CARRERA[NOMBRE_CARRERA],MAE_CARRERA[ID_CARRERA],"Seleccione Carrera")</f>
        <v>Seleccione Carrera</v>
      </c>
      <c r="F269" s="1"/>
      <c r="G269" t="str">
        <f>_xlfn.XLOOKUP(Tabla1[[#This Row],[ASIGNATURA]],MAE_ASIGNATURA[NOM_ASIG],MAE_ASIGNATURA[ID_ASIG],"Seleccione Asignatura")</f>
        <v>Seleccione Asignatura</v>
      </c>
      <c r="H269" s="1" t="str" cm="1">
        <f t="array" ref="H269">_xlfn.TEXTJOIN("; ",TRUE,TRANSPOSE(_xlfn.UNIQUE(_xlfn._xlws.FILTER(DET_ASIG[DETALLADO],(DET_ASIG[NIVEL]=ASIGNACION!$D269)*(DET_ASIG[ID_CARRERA]=ASIGNACION!$C269)*(DET_ASIG[ID_ASIG]=ASIGNACION!$G269),"No existe información"))))</f>
        <v>No existe información</v>
      </c>
      <c r="I269" s="1"/>
      <c r="J269">
        <f>_xlfn.XLOOKUP(Tabla1[[#This Row],[ID_ASIG_CAM_DET]],MAE_ASIGNATURA[ID_ASIG],MAE_ASIGNATURA[HORAS],0)</f>
        <v>0</v>
      </c>
      <c r="K269">
        <v>4</v>
      </c>
      <c r="L269" s="2">
        <f>+Tabla1[[#This Row],[CALCULAR HORA]]*Tabla1[[#This Row],[HORAS]]</f>
        <v>0</v>
      </c>
      <c r="N269" t="str">
        <f>_xlfn.XLOOKUP(Tabla1[[#This Row],[NOMBRE_DOCENT]],MDOCENTES[DATOS_DOCENTE],MDOCENTES[DEDICACION],"Seleccione Docente")</f>
        <v>Seleccione Docente</v>
      </c>
      <c r="O269" t="str">
        <f>_xlfn.XLOOKUP(Tabla1[[#This Row],[NOMBRE_DOCENT]],MDOCENTES[DATOS_DOCENTE],MDOCENTES[ESTUDIO],"Seleccione Docente")</f>
        <v>Seleccione Docente</v>
      </c>
      <c r="P269">
        <f t="shared" si="20"/>
        <v>0</v>
      </c>
      <c r="Q269">
        <f t="shared" si="21"/>
        <v>0</v>
      </c>
      <c r="R269">
        <f t="shared" si="22"/>
        <v>0</v>
      </c>
      <c r="S269">
        <f t="shared" si="23"/>
        <v>0</v>
      </c>
      <c r="T269">
        <f t="shared" si="24"/>
        <v>0</v>
      </c>
      <c r="U269">
        <f>Tabla1[[#This Row],[HORAS NO AFINIDAD]]+Tabla1[[#This Row],[HORAS UNIDAD BASICA]]+Tabla1[[#This Row],[HORAS AFINIDAD]]</f>
        <v>0</v>
      </c>
      <c r="V269">
        <f>+Tabla1[[#This Row],[HORAS AFINIDAD]]+Tabla1[[#This Row],[HORAS ACTIVIDAD]]+Tabla1[[#This Row],[HORAS UNIDAD BASICA]]+Tabla1[[#This Row],[HORAS NO AFINIDAD]]</f>
        <v>0</v>
      </c>
    </row>
    <row r="270" spans="1:22" ht="18.75" customHeight="1">
      <c r="A270">
        <v>269</v>
      </c>
      <c r="C270" t="str">
        <f>_xlfn.XLOOKUP(Tabla1[[#This Row],[CARRERA]],MAE_CARRERA[NOMBRE_CARRERA],MAE_CARRERA[ID_CARRERA],"Seleccione Carrera")</f>
        <v>Seleccione Carrera</v>
      </c>
      <c r="F270" s="1"/>
      <c r="G270" t="str">
        <f>_xlfn.XLOOKUP(Tabla1[[#This Row],[ASIGNATURA]],MAE_ASIGNATURA[NOM_ASIG],MAE_ASIGNATURA[ID_ASIG],"Seleccione Asignatura")</f>
        <v>Seleccione Asignatura</v>
      </c>
      <c r="H270" s="1" t="str" cm="1">
        <f t="array" ref="H270">_xlfn.TEXTJOIN("; ",TRUE,TRANSPOSE(_xlfn.UNIQUE(_xlfn._xlws.FILTER(DET_ASIG[DETALLADO],(DET_ASIG[NIVEL]=ASIGNACION!$D270)*(DET_ASIG[ID_CARRERA]=ASIGNACION!$C270)*(DET_ASIG[ID_ASIG]=ASIGNACION!$G270),"No existe información"))))</f>
        <v>No existe información</v>
      </c>
      <c r="I270" s="1"/>
      <c r="J270">
        <f>_xlfn.XLOOKUP(Tabla1[[#This Row],[ID_ASIG_CAM_DET]],MAE_ASIGNATURA[ID_ASIG],MAE_ASIGNATURA[HORAS],0)</f>
        <v>0</v>
      </c>
      <c r="K270">
        <v>4</v>
      </c>
      <c r="L270" s="2">
        <f>+Tabla1[[#This Row],[CALCULAR HORA]]*Tabla1[[#This Row],[HORAS]]</f>
        <v>0</v>
      </c>
      <c r="N270" t="str">
        <f>_xlfn.XLOOKUP(Tabla1[[#This Row],[NOMBRE_DOCENT]],MDOCENTES[DATOS_DOCENTE],MDOCENTES[DEDICACION],"Seleccione Docente")</f>
        <v>Seleccione Docente</v>
      </c>
      <c r="O270" t="str">
        <f>_xlfn.XLOOKUP(Tabla1[[#This Row],[NOMBRE_DOCENT]],MDOCENTES[DATOS_DOCENTE],MDOCENTES[ESTUDIO],"Seleccione Docente")</f>
        <v>Seleccione Docente</v>
      </c>
      <c r="P270">
        <f t="shared" si="20"/>
        <v>0</v>
      </c>
      <c r="Q270">
        <f t="shared" si="21"/>
        <v>0</v>
      </c>
      <c r="R270">
        <f t="shared" si="22"/>
        <v>0</v>
      </c>
      <c r="S270">
        <f t="shared" si="23"/>
        <v>0</v>
      </c>
      <c r="T270">
        <f t="shared" si="24"/>
        <v>0</v>
      </c>
      <c r="U270">
        <f>Tabla1[[#This Row],[HORAS NO AFINIDAD]]+Tabla1[[#This Row],[HORAS UNIDAD BASICA]]+Tabla1[[#This Row],[HORAS AFINIDAD]]</f>
        <v>0</v>
      </c>
      <c r="V270">
        <f>+Tabla1[[#This Row],[HORAS AFINIDAD]]+Tabla1[[#This Row],[HORAS ACTIVIDAD]]+Tabla1[[#This Row],[HORAS UNIDAD BASICA]]+Tabla1[[#This Row],[HORAS NO AFINIDAD]]</f>
        <v>0</v>
      </c>
    </row>
    <row r="271" spans="1:22" ht="18.75" customHeight="1">
      <c r="A271">
        <v>270</v>
      </c>
      <c r="C271" t="str">
        <f>_xlfn.XLOOKUP(Tabla1[[#This Row],[CARRERA]],MAE_CARRERA[NOMBRE_CARRERA],MAE_CARRERA[ID_CARRERA],"Seleccione Carrera")</f>
        <v>Seleccione Carrera</v>
      </c>
      <c r="F271" s="1"/>
      <c r="G271" t="str">
        <f>_xlfn.XLOOKUP(Tabla1[[#This Row],[ASIGNATURA]],MAE_ASIGNATURA[NOM_ASIG],MAE_ASIGNATURA[ID_ASIG],"Seleccione Asignatura")</f>
        <v>Seleccione Asignatura</v>
      </c>
      <c r="H271" s="1" t="str" cm="1">
        <f t="array" ref="H271">_xlfn.TEXTJOIN("; ",TRUE,TRANSPOSE(_xlfn.UNIQUE(_xlfn._xlws.FILTER(DET_ASIG[DETALLADO],(DET_ASIG[NIVEL]=ASIGNACION!$D271)*(DET_ASIG[ID_CARRERA]=ASIGNACION!$C271)*(DET_ASIG[ID_ASIG]=ASIGNACION!$G271),"No existe información"))))</f>
        <v>No existe información</v>
      </c>
      <c r="I271" s="1"/>
      <c r="J271">
        <f>_xlfn.XLOOKUP(Tabla1[[#This Row],[ID_ASIG_CAM_DET]],MAE_ASIGNATURA[ID_ASIG],MAE_ASIGNATURA[HORAS],0)</f>
        <v>0</v>
      </c>
      <c r="K271">
        <v>4</v>
      </c>
      <c r="L271" s="2">
        <f>+Tabla1[[#This Row],[CALCULAR HORA]]*Tabla1[[#This Row],[HORAS]]</f>
        <v>0</v>
      </c>
      <c r="N271" t="str">
        <f>_xlfn.XLOOKUP(Tabla1[[#This Row],[NOMBRE_DOCENT]],MDOCENTES[DATOS_DOCENTE],MDOCENTES[DEDICACION],"Seleccione Docente")</f>
        <v>Seleccione Docente</v>
      </c>
      <c r="O271" t="str">
        <f>_xlfn.XLOOKUP(Tabla1[[#This Row],[NOMBRE_DOCENT]],MDOCENTES[DATOS_DOCENTE],MDOCENTES[ESTUDIO],"Seleccione Docente")</f>
        <v>Seleccione Docente</v>
      </c>
      <c r="P271">
        <f t="shared" si="20"/>
        <v>0</v>
      </c>
      <c r="Q271">
        <f t="shared" si="21"/>
        <v>0</v>
      </c>
      <c r="R271">
        <f t="shared" si="22"/>
        <v>0</v>
      </c>
      <c r="S271">
        <f t="shared" si="23"/>
        <v>0</v>
      </c>
      <c r="T271">
        <f t="shared" si="24"/>
        <v>0</v>
      </c>
      <c r="U271">
        <f>Tabla1[[#This Row],[HORAS NO AFINIDAD]]+Tabla1[[#This Row],[HORAS UNIDAD BASICA]]+Tabla1[[#This Row],[HORAS AFINIDAD]]</f>
        <v>0</v>
      </c>
      <c r="V271">
        <f>+Tabla1[[#This Row],[HORAS AFINIDAD]]+Tabla1[[#This Row],[HORAS ACTIVIDAD]]+Tabla1[[#This Row],[HORAS UNIDAD BASICA]]+Tabla1[[#This Row],[HORAS NO AFINIDAD]]</f>
        <v>0</v>
      </c>
    </row>
    <row r="272" spans="1:22" ht="18.75" customHeight="1">
      <c r="A272">
        <v>271</v>
      </c>
      <c r="C272" t="str">
        <f>_xlfn.XLOOKUP(Tabla1[[#This Row],[CARRERA]],MAE_CARRERA[NOMBRE_CARRERA],MAE_CARRERA[ID_CARRERA],"Seleccione Carrera")</f>
        <v>Seleccione Carrera</v>
      </c>
      <c r="F272" s="1"/>
      <c r="G272" t="str">
        <f>_xlfn.XLOOKUP(Tabla1[[#This Row],[ASIGNATURA]],MAE_ASIGNATURA[NOM_ASIG],MAE_ASIGNATURA[ID_ASIG],"Seleccione Asignatura")</f>
        <v>Seleccione Asignatura</v>
      </c>
      <c r="H272" s="1" t="str" cm="1">
        <f t="array" ref="H272">_xlfn.TEXTJOIN("; ",TRUE,TRANSPOSE(_xlfn.UNIQUE(_xlfn._xlws.FILTER(DET_ASIG[DETALLADO],(DET_ASIG[NIVEL]=ASIGNACION!$D272)*(DET_ASIG[ID_CARRERA]=ASIGNACION!$C272)*(DET_ASIG[ID_ASIG]=ASIGNACION!$G272),"No existe información"))))</f>
        <v>No existe información</v>
      </c>
      <c r="I272" s="1"/>
      <c r="J272">
        <f>_xlfn.XLOOKUP(Tabla1[[#This Row],[ID_ASIG_CAM_DET]],MAE_ASIGNATURA[ID_ASIG],MAE_ASIGNATURA[HORAS],0)</f>
        <v>0</v>
      </c>
      <c r="K272">
        <v>4</v>
      </c>
      <c r="L272" s="2">
        <f>+Tabla1[[#This Row],[CALCULAR HORA]]*Tabla1[[#This Row],[HORAS]]</f>
        <v>0</v>
      </c>
      <c r="N272" t="str">
        <f>_xlfn.XLOOKUP(Tabla1[[#This Row],[NOMBRE_DOCENT]],MDOCENTES[DATOS_DOCENTE],MDOCENTES[DEDICACION],"Seleccione Docente")</f>
        <v>Seleccione Docente</v>
      </c>
      <c r="O272" t="str">
        <f>_xlfn.XLOOKUP(Tabla1[[#This Row],[NOMBRE_DOCENT]],MDOCENTES[DATOS_DOCENTE],MDOCENTES[ESTUDIO],"Seleccione Docente")</f>
        <v>Seleccione Docente</v>
      </c>
      <c r="P272">
        <f t="shared" si="20"/>
        <v>0</v>
      </c>
      <c r="Q272">
        <f t="shared" si="21"/>
        <v>0</v>
      </c>
      <c r="R272">
        <f t="shared" si="22"/>
        <v>0</v>
      </c>
      <c r="S272">
        <f t="shared" si="23"/>
        <v>0</v>
      </c>
      <c r="T272">
        <f t="shared" si="24"/>
        <v>0</v>
      </c>
      <c r="U272">
        <f>Tabla1[[#This Row],[HORAS NO AFINIDAD]]+Tabla1[[#This Row],[HORAS UNIDAD BASICA]]+Tabla1[[#This Row],[HORAS AFINIDAD]]</f>
        <v>0</v>
      </c>
      <c r="V272">
        <f>+Tabla1[[#This Row],[HORAS AFINIDAD]]+Tabla1[[#This Row],[HORAS ACTIVIDAD]]+Tabla1[[#This Row],[HORAS UNIDAD BASICA]]+Tabla1[[#This Row],[HORAS NO AFINIDAD]]</f>
        <v>0</v>
      </c>
    </row>
    <row r="273" spans="1:22" ht="18.75" customHeight="1">
      <c r="A273">
        <v>272</v>
      </c>
      <c r="C273" t="str">
        <f>_xlfn.XLOOKUP(Tabla1[[#This Row],[CARRERA]],MAE_CARRERA[NOMBRE_CARRERA],MAE_CARRERA[ID_CARRERA],"Seleccione Carrera")</f>
        <v>Seleccione Carrera</v>
      </c>
      <c r="F273" s="1"/>
      <c r="G273" t="str">
        <f>_xlfn.XLOOKUP(Tabla1[[#This Row],[ASIGNATURA]],MAE_ASIGNATURA[NOM_ASIG],MAE_ASIGNATURA[ID_ASIG],"Seleccione Asignatura")</f>
        <v>Seleccione Asignatura</v>
      </c>
      <c r="H273" s="1" t="str" cm="1">
        <f t="array" ref="H273">_xlfn.TEXTJOIN("; ",TRUE,TRANSPOSE(_xlfn.UNIQUE(_xlfn._xlws.FILTER(DET_ASIG[DETALLADO],(DET_ASIG[NIVEL]=ASIGNACION!$D273)*(DET_ASIG[ID_CARRERA]=ASIGNACION!$C273)*(DET_ASIG[ID_ASIG]=ASIGNACION!$G273),"No existe información"))))</f>
        <v>No existe información</v>
      </c>
      <c r="I273" s="1"/>
      <c r="J273">
        <f>_xlfn.XLOOKUP(Tabla1[[#This Row],[ID_ASIG_CAM_DET]],MAE_ASIGNATURA[ID_ASIG],MAE_ASIGNATURA[HORAS],0)</f>
        <v>0</v>
      </c>
      <c r="K273">
        <v>4</v>
      </c>
      <c r="L273" s="2">
        <f>+Tabla1[[#This Row],[CALCULAR HORA]]*Tabla1[[#This Row],[HORAS]]</f>
        <v>0</v>
      </c>
      <c r="N273" t="str">
        <f>_xlfn.XLOOKUP(Tabla1[[#This Row],[NOMBRE_DOCENT]],MDOCENTES[DATOS_DOCENTE],MDOCENTES[DEDICACION],"Seleccione Docente")</f>
        <v>Seleccione Docente</v>
      </c>
      <c r="O273" t="str">
        <f>_xlfn.XLOOKUP(Tabla1[[#This Row],[NOMBRE_DOCENT]],MDOCENTES[DATOS_DOCENTE],MDOCENTES[ESTUDIO],"Seleccione Docente")</f>
        <v>Seleccione Docente</v>
      </c>
      <c r="P273">
        <f t="shared" si="20"/>
        <v>0</v>
      </c>
      <c r="Q273">
        <f t="shared" si="21"/>
        <v>0</v>
      </c>
      <c r="R273">
        <f t="shared" si="22"/>
        <v>0</v>
      </c>
      <c r="S273">
        <f t="shared" si="23"/>
        <v>0</v>
      </c>
      <c r="T273">
        <f t="shared" si="24"/>
        <v>0</v>
      </c>
      <c r="U273">
        <f>Tabla1[[#This Row],[HORAS NO AFINIDAD]]+Tabla1[[#This Row],[HORAS UNIDAD BASICA]]+Tabla1[[#This Row],[HORAS AFINIDAD]]</f>
        <v>0</v>
      </c>
      <c r="V273">
        <f>+Tabla1[[#This Row],[HORAS AFINIDAD]]+Tabla1[[#This Row],[HORAS ACTIVIDAD]]+Tabla1[[#This Row],[HORAS UNIDAD BASICA]]+Tabla1[[#This Row],[HORAS NO AFINIDAD]]</f>
        <v>0</v>
      </c>
    </row>
    <row r="274" spans="1:22" ht="18.75" customHeight="1">
      <c r="A274">
        <v>273</v>
      </c>
      <c r="C274" t="str">
        <f>_xlfn.XLOOKUP(Tabla1[[#This Row],[CARRERA]],MAE_CARRERA[NOMBRE_CARRERA],MAE_CARRERA[ID_CARRERA],"Seleccione Carrera")</f>
        <v>Seleccione Carrera</v>
      </c>
      <c r="F274" s="1"/>
      <c r="G274" t="str">
        <f>_xlfn.XLOOKUP(Tabla1[[#This Row],[ASIGNATURA]],MAE_ASIGNATURA[NOM_ASIG],MAE_ASIGNATURA[ID_ASIG],"Seleccione Asignatura")</f>
        <v>Seleccione Asignatura</v>
      </c>
      <c r="H274" s="1" t="str" cm="1">
        <f t="array" ref="H274">_xlfn.TEXTJOIN("; ",TRUE,TRANSPOSE(_xlfn.UNIQUE(_xlfn._xlws.FILTER(DET_ASIG[DETALLADO],(DET_ASIG[NIVEL]=ASIGNACION!$D274)*(DET_ASIG[ID_CARRERA]=ASIGNACION!$C274)*(DET_ASIG[ID_ASIG]=ASIGNACION!$G274),"No existe información"))))</f>
        <v>No existe información</v>
      </c>
      <c r="I274" s="1"/>
      <c r="J274">
        <f>_xlfn.XLOOKUP(Tabla1[[#This Row],[ID_ASIG_CAM_DET]],MAE_ASIGNATURA[ID_ASIG],MAE_ASIGNATURA[HORAS],0)</f>
        <v>0</v>
      </c>
      <c r="K274">
        <v>4</v>
      </c>
      <c r="L274" s="2">
        <f>+Tabla1[[#This Row],[CALCULAR HORA]]*Tabla1[[#This Row],[HORAS]]</f>
        <v>0</v>
      </c>
      <c r="N274" t="str">
        <f>_xlfn.XLOOKUP(Tabla1[[#This Row],[NOMBRE_DOCENT]],MDOCENTES[DATOS_DOCENTE],MDOCENTES[DEDICACION],"Seleccione Docente")</f>
        <v>Seleccione Docente</v>
      </c>
      <c r="O274" t="str">
        <f>_xlfn.XLOOKUP(Tabla1[[#This Row],[NOMBRE_DOCENT]],MDOCENTES[DATOS_DOCENTE],MDOCENTES[ESTUDIO],"Seleccione Docente")</f>
        <v>Seleccione Docente</v>
      </c>
      <c r="P274">
        <f t="shared" si="20"/>
        <v>0</v>
      </c>
      <c r="Q274">
        <f t="shared" si="21"/>
        <v>0</v>
      </c>
      <c r="R274">
        <f t="shared" si="22"/>
        <v>0</v>
      </c>
      <c r="S274">
        <f t="shared" si="23"/>
        <v>0</v>
      </c>
      <c r="T274">
        <f t="shared" si="24"/>
        <v>0</v>
      </c>
      <c r="U274">
        <f>Tabla1[[#This Row],[HORAS NO AFINIDAD]]+Tabla1[[#This Row],[HORAS UNIDAD BASICA]]+Tabla1[[#This Row],[HORAS AFINIDAD]]</f>
        <v>0</v>
      </c>
      <c r="V274">
        <f>+Tabla1[[#This Row],[HORAS AFINIDAD]]+Tabla1[[#This Row],[HORAS ACTIVIDAD]]+Tabla1[[#This Row],[HORAS UNIDAD BASICA]]+Tabla1[[#This Row],[HORAS NO AFINIDAD]]</f>
        <v>0</v>
      </c>
    </row>
    <row r="275" spans="1:22" ht="18.75" customHeight="1">
      <c r="A275">
        <v>274</v>
      </c>
      <c r="C275" t="str">
        <f>_xlfn.XLOOKUP(Tabla1[[#This Row],[CARRERA]],MAE_CARRERA[NOMBRE_CARRERA],MAE_CARRERA[ID_CARRERA],"Seleccione Carrera")</f>
        <v>Seleccione Carrera</v>
      </c>
      <c r="F275" s="1"/>
      <c r="G275" t="str">
        <f>_xlfn.XLOOKUP(Tabla1[[#This Row],[ASIGNATURA]],MAE_ASIGNATURA[NOM_ASIG],MAE_ASIGNATURA[ID_ASIG],"Seleccione Asignatura")</f>
        <v>Seleccione Asignatura</v>
      </c>
      <c r="H275" s="1" t="str" cm="1">
        <f t="array" ref="H275">_xlfn.TEXTJOIN("; ",TRUE,TRANSPOSE(_xlfn.UNIQUE(_xlfn._xlws.FILTER(DET_ASIG[DETALLADO],(DET_ASIG[NIVEL]=ASIGNACION!$D275)*(DET_ASIG[ID_CARRERA]=ASIGNACION!$C275)*(DET_ASIG[ID_ASIG]=ASIGNACION!$G275),"No existe información"))))</f>
        <v>No existe información</v>
      </c>
      <c r="I275" s="1"/>
      <c r="J275">
        <f>_xlfn.XLOOKUP(Tabla1[[#This Row],[ID_ASIG_CAM_DET]],MAE_ASIGNATURA[ID_ASIG],MAE_ASIGNATURA[HORAS],0)</f>
        <v>0</v>
      </c>
      <c r="K275">
        <v>4</v>
      </c>
      <c r="L275" s="2">
        <f>+Tabla1[[#This Row],[CALCULAR HORA]]*Tabla1[[#This Row],[HORAS]]</f>
        <v>0</v>
      </c>
      <c r="N275" t="str">
        <f>_xlfn.XLOOKUP(Tabla1[[#This Row],[NOMBRE_DOCENT]],MDOCENTES[DATOS_DOCENTE],MDOCENTES[DEDICACION],"Seleccione Docente")</f>
        <v>Seleccione Docente</v>
      </c>
      <c r="O275" t="str">
        <f>_xlfn.XLOOKUP(Tabla1[[#This Row],[NOMBRE_DOCENT]],MDOCENTES[DATOS_DOCENTE],MDOCENTES[ESTUDIO],"Seleccione Docente")</f>
        <v>Seleccione Docente</v>
      </c>
      <c r="P275">
        <f t="shared" si="20"/>
        <v>0</v>
      </c>
      <c r="Q275">
        <f t="shared" si="21"/>
        <v>0</v>
      </c>
      <c r="R275">
        <f t="shared" si="22"/>
        <v>0</v>
      </c>
      <c r="S275">
        <f t="shared" si="23"/>
        <v>0</v>
      </c>
      <c r="T275">
        <f t="shared" si="24"/>
        <v>0</v>
      </c>
      <c r="U275">
        <f>Tabla1[[#This Row],[HORAS NO AFINIDAD]]+Tabla1[[#This Row],[HORAS UNIDAD BASICA]]+Tabla1[[#This Row],[HORAS AFINIDAD]]</f>
        <v>0</v>
      </c>
      <c r="V275">
        <f>+Tabla1[[#This Row],[HORAS AFINIDAD]]+Tabla1[[#This Row],[HORAS ACTIVIDAD]]+Tabla1[[#This Row],[HORAS UNIDAD BASICA]]+Tabla1[[#This Row],[HORAS NO AFINIDAD]]</f>
        <v>0</v>
      </c>
    </row>
    <row r="276" spans="1:22" ht="18.75" customHeight="1">
      <c r="A276">
        <v>275</v>
      </c>
      <c r="C276" t="str">
        <f>_xlfn.XLOOKUP(Tabla1[[#This Row],[CARRERA]],MAE_CARRERA[NOMBRE_CARRERA],MAE_CARRERA[ID_CARRERA],"Seleccione Carrera")</f>
        <v>Seleccione Carrera</v>
      </c>
      <c r="F276" s="1"/>
      <c r="G276" t="str">
        <f>_xlfn.XLOOKUP(Tabla1[[#This Row],[ASIGNATURA]],MAE_ASIGNATURA[NOM_ASIG],MAE_ASIGNATURA[ID_ASIG],"Seleccione Asignatura")</f>
        <v>Seleccione Asignatura</v>
      </c>
      <c r="H276" s="1" t="str" cm="1">
        <f t="array" ref="H276">_xlfn.TEXTJOIN("; ",TRUE,TRANSPOSE(_xlfn.UNIQUE(_xlfn._xlws.FILTER(DET_ASIG[DETALLADO],(DET_ASIG[NIVEL]=ASIGNACION!$D276)*(DET_ASIG[ID_CARRERA]=ASIGNACION!$C276)*(DET_ASIG[ID_ASIG]=ASIGNACION!$G276),"No existe información"))))</f>
        <v>No existe información</v>
      </c>
      <c r="I276" s="1"/>
      <c r="J276">
        <f>_xlfn.XLOOKUP(Tabla1[[#This Row],[ID_ASIG_CAM_DET]],MAE_ASIGNATURA[ID_ASIG],MAE_ASIGNATURA[HORAS],0)</f>
        <v>0</v>
      </c>
      <c r="K276">
        <v>4</v>
      </c>
      <c r="L276" s="2">
        <f>+Tabla1[[#This Row],[CALCULAR HORA]]*Tabla1[[#This Row],[HORAS]]</f>
        <v>0</v>
      </c>
      <c r="N276" t="str">
        <f>_xlfn.XLOOKUP(Tabla1[[#This Row],[NOMBRE_DOCENT]],MDOCENTES[DATOS_DOCENTE],MDOCENTES[DEDICACION],"Seleccione Docente")</f>
        <v>Seleccione Docente</v>
      </c>
      <c r="O276" t="str">
        <f>_xlfn.XLOOKUP(Tabla1[[#This Row],[NOMBRE_DOCENT]],MDOCENTES[DATOS_DOCENTE],MDOCENTES[ESTUDIO],"Seleccione Docente")</f>
        <v>Seleccione Docente</v>
      </c>
      <c r="P276">
        <f t="shared" si="20"/>
        <v>0</v>
      </c>
      <c r="Q276">
        <f t="shared" si="21"/>
        <v>0</v>
      </c>
      <c r="R276">
        <f t="shared" si="22"/>
        <v>0</v>
      </c>
      <c r="S276">
        <f t="shared" si="23"/>
        <v>0</v>
      </c>
      <c r="T276">
        <f t="shared" si="24"/>
        <v>0</v>
      </c>
      <c r="U276">
        <f>Tabla1[[#This Row],[HORAS NO AFINIDAD]]+Tabla1[[#This Row],[HORAS UNIDAD BASICA]]+Tabla1[[#This Row],[HORAS AFINIDAD]]</f>
        <v>0</v>
      </c>
      <c r="V276">
        <f>+Tabla1[[#This Row],[HORAS AFINIDAD]]+Tabla1[[#This Row],[HORAS ACTIVIDAD]]+Tabla1[[#This Row],[HORAS UNIDAD BASICA]]+Tabla1[[#This Row],[HORAS NO AFINIDAD]]</f>
        <v>0</v>
      </c>
    </row>
    <row r="277" spans="1:22" ht="18.75" customHeight="1">
      <c r="A277">
        <v>276</v>
      </c>
      <c r="C277" t="str">
        <f>_xlfn.XLOOKUP(Tabla1[[#This Row],[CARRERA]],MAE_CARRERA[NOMBRE_CARRERA],MAE_CARRERA[ID_CARRERA],"Seleccione Carrera")</f>
        <v>Seleccione Carrera</v>
      </c>
      <c r="F277" s="1"/>
      <c r="G277" t="str">
        <f>_xlfn.XLOOKUP(Tabla1[[#This Row],[ASIGNATURA]],MAE_ASIGNATURA[NOM_ASIG],MAE_ASIGNATURA[ID_ASIG],"Seleccione Asignatura")</f>
        <v>Seleccione Asignatura</v>
      </c>
      <c r="H277" s="1" t="str" cm="1">
        <f t="array" ref="H277">_xlfn.TEXTJOIN("; ",TRUE,TRANSPOSE(_xlfn.UNIQUE(_xlfn._xlws.FILTER(DET_ASIG[DETALLADO],(DET_ASIG[NIVEL]=ASIGNACION!$D277)*(DET_ASIG[ID_CARRERA]=ASIGNACION!$C277)*(DET_ASIG[ID_ASIG]=ASIGNACION!$G277),"No existe información"))))</f>
        <v>No existe información</v>
      </c>
      <c r="I277" s="1"/>
      <c r="J277">
        <f>_xlfn.XLOOKUP(Tabla1[[#This Row],[ID_ASIG_CAM_DET]],MAE_ASIGNATURA[ID_ASIG],MAE_ASIGNATURA[HORAS],0)</f>
        <v>0</v>
      </c>
      <c r="K277">
        <v>4</v>
      </c>
      <c r="L277" s="2">
        <f>+Tabla1[[#This Row],[CALCULAR HORA]]*Tabla1[[#This Row],[HORAS]]</f>
        <v>0</v>
      </c>
      <c r="N277" t="str">
        <f>_xlfn.XLOOKUP(Tabla1[[#This Row],[NOMBRE_DOCENT]],MDOCENTES[DATOS_DOCENTE],MDOCENTES[DEDICACION],"Seleccione Docente")</f>
        <v>Seleccione Docente</v>
      </c>
      <c r="O277" t="str">
        <f>_xlfn.XLOOKUP(Tabla1[[#This Row],[NOMBRE_DOCENT]],MDOCENTES[DATOS_DOCENTE],MDOCENTES[ESTUDIO],"Seleccione Docente")</f>
        <v>Seleccione Docente</v>
      </c>
      <c r="P277">
        <f t="shared" si="20"/>
        <v>0</v>
      </c>
      <c r="Q277">
        <f t="shared" si="21"/>
        <v>0</v>
      </c>
      <c r="R277">
        <f t="shared" si="22"/>
        <v>0</v>
      </c>
      <c r="S277">
        <f t="shared" si="23"/>
        <v>0</v>
      </c>
      <c r="T277">
        <f t="shared" si="24"/>
        <v>0</v>
      </c>
      <c r="U277">
        <f>Tabla1[[#This Row],[HORAS NO AFINIDAD]]+Tabla1[[#This Row],[HORAS UNIDAD BASICA]]+Tabla1[[#This Row],[HORAS AFINIDAD]]</f>
        <v>0</v>
      </c>
      <c r="V277">
        <f>+Tabla1[[#This Row],[HORAS AFINIDAD]]+Tabla1[[#This Row],[HORAS ACTIVIDAD]]+Tabla1[[#This Row],[HORAS UNIDAD BASICA]]+Tabla1[[#This Row],[HORAS NO AFINIDAD]]</f>
        <v>0</v>
      </c>
    </row>
    <row r="278" spans="1:22" ht="18.75" customHeight="1">
      <c r="A278">
        <v>277</v>
      </c>
      <c r="C278" t="str">
        <f>_xlfn.XLOOKUP(Tabla1[[#This Row],[CARRERA]],MAE_CARRERA[NOMBRE_CARRERA],MAE_CARRERA[ID_CARRERA],"Seleccione Carrera")</f>
        <v>Seleccione Carrera</v>
      </c>
      <c r="F278" s="1"/>
      <c r="G278" t="str">
        <f>_xlfn.XLOOKUP(Tabla1[[#This Row],[ASIGNATURA]],MAE_ASIGNATURA[NOM_ASIG],MAE_ASIGNATURA[ID_ASIG],"Seleccione Asignatura")</f>
        <v>Seleccione Asignatura</v>
      </c>
      <c r="H278" s="1" t="str" cm="1">
        <f t="array" ref="H278">_xlfn.TEXTJOIN("; ",TRUE,TRANSPOSE(_xlfn.UNIQUE(_xlfn._xlws.FILTER(DET_ASIG[DETALLADO],(DET_ASIG[NIVEL]=ASIGNACION!$D278)*(DET_ASIG[ID_CARRERA]=ASIGNACION!$C278)*(DET_ASIG[ID_ASIG]=ASIGNACION!$G278),"No existe información"))))</f>
        <v>No existe información</v>
      </c>
      <c r="I278" s="1"/>
      <c r="J278">
        <f>_xlfn.XLOOKUP(Tabla1[[#This Row],[ID_ASIG_CAM_DET]],MAE_ASIGNATURA[ID_ASIG],MAE_ASIGNATURA[HORAS],0)</f>
        <v>0</v>
      </c>
      <c r="K278">
        <v>4</v>
      </c>
      <c r="L278" s="2">
        <f>+Tabla1[[#This Row],[CALCULAR HORA]]*Tabla1[[#This Row],[HORAS]]</f>
        <v>0</v>
      </c>
      <c r="N278" t="str">
        <f>_xlfn.XLOOKUP(Tabla1[[#This Row],[NOMBRE_DOCENT]],MDOCENTES[DATOS_DOCENTE],MDOCENTES[DEDICACION],"Seleccione Docente")</f>
        <v>Seleccione Docente</v>
      </c>
      <c r="O278" t="str">
        <f>_xlfn.XLOOKUP(Tabla1[[#This Row],[NOMBRE_DOCENT]],MDOCENTES[DATOS_DOCENTE],MDOCENTES[ESTUDIO],"Seleccione Docente")</f>
        <v>Seleccione Docente</v>
      </c>
      <c r="P278">
        <f t="shared" si="20"/>
        <v>0</v>
      </c>
      <c r="Q278">
        <f t="shared" si="21"/>
        <v>0</v>
      </c>
      <c r="R278">
        <f t="shared" si="22"/>
        <v>0</v>
      </c>
      <c r="S278">
        <f t="shared" si="23"/>
        <v>0</v>
      </c>
      <c r="T278">
        <f t="shared" si="24"/>
        <v>0</v>
      </c>
      <c r="U278">
        <f>Tabla1[[#This Row],[HORAS NO AFINIDAD]]+Tabla1[[#This Row],[HORAS UNIDAD BASICA]]+Tabla1[[#This Row],[HORAS AFINIDAD]]</f>
        <v>0</v>
      </c>
      <c r="V278">
        <f>+Tabla1[[#This Row],[HORAS AFINIDAD]]+Tabla1[[#This Row],[HORAS ACTIVIDAD]]+Tabla1[[#This Row],[HORAS UNIDAD BASICA]]+Tabla1[[#This Row],[HORAS NO AFINIDAD]]</f>
        <v>0</v>
      </c>
    </row>
    <row r="279" spans="1:22" ht="18.75" customHeight="1">
      <c r="A279">
        <v>278</v>
      </c>
      <c r="C279" t="str">
        <f>_xlfn.XLOOKUP(Tabla1[[#This Row],[CARRERA]],MAE_CARRERA[NOMBRE_CARRERA],MAE_CARRERA[ID_CARRERA],"Seleccione Carrera")</f>
        <v>Seleccione Carrera</v>
      </c>
      <c r="F279" s="1"/>
      <c r="G279" t="str">
        <f>_xlfn.XLOOKUP(Tabla1[[#This Row],[ASIGNATURA]],MAE_ASIGNATURA[NOM_ASIG],MAE_ASIGNATURA[ID_ASIG],"Seleccione Asignatura")</f>
        <v>Seleccione Asignatura</v>
      </c>
      <c r="H279" s="1" t="str" cm="1">
        <f t="array" ref="H279">_xlfn.TEXTJOIN("; ",TRUE,TRANSPOSE(_xlfn.UNIQUE(_xlfn._xlws.FILTER(DET_ASIG[DETALLADO],(DET_ASIG[NIVEL]=ASIGNACION!$D279)*(DET_ASIG[ID_CARRERA]=ASIGNACION!$C279)*(DET_ASIG[ID_ASIG]=ASIGNACION!$G279),"No existe información"))))</f>
        <v>No existe información</v>
      </c>
      <c r="I279" s="1"/>
      <c r="J279">
        <f>_xlfn.XLOOKUP(Tabla1[[#This Row],[ID_ASIG_CAM_DET]],MAE_ASIGNATURA[ID_ASIG],MAE_ASIGNATURA[HORAS],0)</f>
        <v>0</v>
      </c>
      <c r="K279">
        <v>4</v>
      </c>
      <c r="L279" s="2">
        <f>+Tabla1[[#This Row],[CALCULAR HORA]]*Tabla1[[#This Row],[HORAS]]</f>
        <v>0</v>
      </c>
      <c r="N279" t="str">
        <f>_xlfn.XLOOKUP(Tabla1[[#This Row],[NOMBRE_DOCENT]],MDOCENTES[DATOS_DOCENTE],MDOCENTES[DEDICACION],"Seleccione Docente")</f>
        <v>Seleccione Docente</v>
      </c>
      <c r="O279" t="str">
        <f>_xlfn.XLOOKUP(Tabla1[[#This Row],[NOMBRE_DOCENT]],MDOCENTES[DATOS_DOCENTE],MDOCENTES[ESTUDIO],"Seleccione Docente")</f>
        <v>Seleccione Docente</v>
      </c>
      <c r="P279">
        <f t="shared" si="20"/>
        <v>0</v>
      </c>
      <c r="Q279">
        <f t="shared" si="21"/>
        <v>0</v>
      </c>
      <c r="R279">
        <f t="shared" si="22"/>
        <v>0</v>
      </c>
      <c r="S279">
        <f t="shared" si="23"/>
        <v>0</v>
      </c>
      <c r="T279">
        <f t="shared" si="24"/>
        <v>0</v>
      </c>
      <c r="U279">
        <f>Tabla1[[#This Row],[HORAS NO AFINIDAD]]+Tabla1[[#This Row],[HORAS UNIDAD BASICA]]+Tabla1[[#This Row],[HORAS AFINIDAD]]</f>
        <v>0</v>
      </c>
      <c r="V279">
        <f>+Tabla1[[#This Row],[HORAS AFINIDAD]]+Tabla1[[#This Row],[HORAS ACTIVIDAD]]+Tabla1[[#This Row],[HORAS UNIDAD BASICA]]+Tabla1[[#This Row],[HORAS NO AFINIDAD]]</f>
        <v>0</v>
      </c>
    </row>
    <row r="280" spans="1:22" ht="18.75" customHeight="1">
      <c r="A280">
        <v>279</v>
      </c>
      <c r="C280" t="str">
        <f>_xlfn.XLOOKUP(Tabla1[[#This Row],[CARRERA]],MAE_CARRERA[NOMBRE_CARRERA],MAE_CARRERA[ID_CARRERA],"Seleccione Carrera")</f>
        <v>Seleccione Carrera</v>
      </c>
      <c r="F280" s="1"/>
      <c r="G280" t="str">
        <f>_xlfn.XLOOKUP(Tabla1[[#This Row],[ASIGNATURA]],MAE_ASIGNATURA[NOM_ASIG],MAE_ASIGNATURA[ID_ASIG],"Seleccione Asignatura")</f>
        <v>Seleccione Asignatura</v>
      </c>
      <c r="H280" s="1" t="str" cm="1">
        <f t="array" ref="H280">_xlfn.TEXTJOIN("; ",TRUE,TRANSPOSE(_xlfn.UNIQUE(_xlfn._xlws.FILTER(DET_ASIG[DETALLADO],(DET_ASIG[NIVEL]=ASIGNACION!$D280)*(DET_ASIG[ID_CARRERA]=ASIGNACION!$C280)*(DET_ASIG[ID_ASIG]=ASIGNACION!$G280),"No existe información"))))</f>
        <v>No existe información</v>
      </c>
      <c r="I280" s="1"/>
      <c r="J280">
        <f>_xlfn.XLOOKUP(Tabla1[[#This Row],[ID_ASIG_CAM_DET]],MAE_ASIGNATURA[ID_ASIG],MAE_ASIGNATURA[HORAS],0)</f>
        <v>0</v>
      </c>
      <c r="K280">
        <v>4</v>
      </c>
      <c r="L280" s="2">
        <f>+Tabla1[[#This Row],[CALCULAR HORA]]*Tabla1[[#This Row],[HORAS]]</f>
        <v>0</v>
      </c>
      <c r="N280" t="str">
        <f>_xlfn.XLOOKUP(Tabla1[[#This Row],[NOMBRE_DOCENT]],MDOCENTES[DATOS_DOCENTE],MDOCENTES[DEDICACION],"Seleccione Docente")</f>
        <v>Seleccione Docente</v>
      </c>
      <c r="O280" t="str">
        <f>_xlfn.XLOOKUP(Tabla1[[#This Row],[NOMBRE_DOCENT]],MDOCENTES[DATOS_DOCENTE],MDOCENTES[ESTUDIO],"Seleccione Docente")</f>
        <v>Seleccione Docente</v>
      </c>
      <c r="P280">
        <f t="shared" si="20"/>
        <v>0</v>
      </c>
      <c r="Q280">
        <f t="shared" si="21"/>
        <v>0</v>
      </c>
      <c r="R280">
        <f t="shared" si="22"/>
        <v>0</v>
      </c>
      <c r="S280">
        <f t="shared" si="23"/>
        <v>0</v>
      </c>
      <c r="T280">
        <f t="shared" si="24"/>
        <v>0</v>
      </c>
      <c r="U280">
        <f>Tabla1[[#This Row],[HORAS NO AFINIDAD]]+Tabla1[[#This Row],[HORAS UNIDAD BASICA]]+Tabla1[[#This Row],[HORAS AFINIDAD]]</f>
        <v>0</v>
      </c>
      <c r="V280">
        <f>+Tabla1[[#This Row],[HORAS AFINIDAD]]+Tabla1[[#This Row],[HORAS ACTIVIDAD]]+Tabla1[[#This Row],[HORAS UNIDAD BASICA]]+Tabla1[[#This Row],[HORAS NO AFINIDAD]]</f>
        <v>0</v>
      </c>
    </row>
    <row r="281" spans="1:22" ht="18.75" customHeight="1">
      <c r="A281">
        <v>280</v>
      </c>
      <c r="C281" t="str">
        <f>_xlfn.XLOOKUP(Tabla1[[#This Row],[CARRERA]],MAE_CARRERA[NOMBRE_CARRERA],MAE_CARRERA[ID_CARRERA],"Seleccione Carrera")</f>
        <v>Seleccione Carrera</v>
      </c>
      <c r="F281" s="1"/>
      <c r="G281" t="str">
        <f>_xlfn.XLOOKUP(Tabla1[[#This Row],[ASIGNATURA]],MAE_ASIGNATURA[NOM_ASIG],MAE_ASIGNATURA[ID_ASIG],"Seleccione Asignatura")</f>
        <v>Seleccione Asignatura</v>
      </c>
      <c r="H281" s="1" t="str" cm="1">
        <f t="array" ref="H281">_xlfn.TEXTJOIN("; ",TRUE,TRANSPOSE(_xlfn.UNIQUE(_xlfn._xlws.FILTER(DET_ASIG[DETALLADO],(DET_ASIG[NIVEL]=ASIGNACION!$D281)*(DET_ASIG[ID_CARRERA]=ASIGNACION!$C281)*(DET_ASIG[ID_ASIG]=ASIGNACION!$G281),"No existe información"))))</f>
        <v>No existe información</v>
      </c>
      <c r="I281" s="1"/>
      <c r="J281">
        <f>_xlfn.XLOOKUP(Tabla1[[#This Row],[ID_ASIG_CAM_DET]],MAE_ASIGNATURA[ID_ASIG],MAE_ASIGNATURA[HORAS],0)</f>
        <v>0</v>
      </c>
      <c r="K281">
        <v>4</v>
      </c>
      <c r="L281" s="2">
        <f>+Tabla1[[#This Row],[CALCULAR HORA]]*Tabla1[[#This Row],[HORAS]]</f>
        <v>0</v>
      </c>
      <c r="N281" t="str">
        <f>_xlfn.XLOOKUP(Tabla1[[#This Row],[NOMBRE_DOCENT]],MDOCENTES[DATOS_DOCENTE],MDOCENTES[DEDICACION],"Seleccione Docente")</f>
        <v>Seleccione Docente</v>
      </c>
      <c r="O281" t="str">
        <f>_xlfn.XLOOKUP(Tabla1[[#This Row],[NOMBRE_DOCENT]],MDOCENTES[DATOS_DOCENTE],MDOCENTES[ESTUDIO],"Seleccione Docente")</f>
        <v>Seleccione Docente</v>
      </c>
      <c r="P281">
        <f t="shared" si="20"/>
        <v>0</v>
      </c>
      <c r="Q281">
        <f t="shared" si="21"/>
        <v>0</v>
      </c>
      <c r="R281">
        <f t="shared" si="22"/>
        <v>0</v>
      </c>
      <c r="S281">
        <f t="shared" si="23"/>
        <v>0</v>
      </c>
      <c r="T281">
        <f t="shared" si="24"/>
        <v>0</v>
      </c>
      <c r="U281">
        <f>Tabla1[[#This Row],[HORAS NO AFINIDAD]]+Tabla1[[#This Row],[HORAS UNIDAD BASICA]]+Tabla1[[#This Row],[HORAS AFINIDAD]]</f>
        <v>0</v>
      </c>
      <c r="V281">
        <f>+Tabla1[[#This Row],[HORAS AFINIDAD]]+Tabla1[[#This Row],[HORAS ACTIVIDAD]]+Tabla1[[#This Row],[HORAS UNIDAD BASICA]]+Tabla1[[#This Row],[HORAS NO AFINIDAD]]</f>
        <v>0</v>
      </c>
    </row>
    <row r="282" spans="1:22" ht="18.75" customHeight="1">
      <c r="A282">
        <v>281</v>
      </c>
      <c r="C282" t="str">
        <f>_xlfn.XLOOKUP(Tabla1[[#This Row],[CARRERA]],MAE_CARRERA[NOMBRE_CARRERA],MAE_CARRERA[ID_CARRERA],"Seleccione Carrera")</f>
        <v>Seleccione Carrera</v>
      </c>
      <c r="F282" s="1"/>
      <c r="G282" t="str">
        <f>_xlfn.XLOOKUP(Tabla1[[#This Row],[ASIGNATURA]],MAE_ASIGNATURA[NOM_ASIG],MAE_ASIGNATURA[ID_ASIG],"Seleccione Asignatura")</f>
        <v>Seleccione Asignatura</v>
      </c>
      <c r="H282" s="1" t="str" cm="1">
        <f t="array" ref="H282">_xlfn.TEXTJOIN("; ",TRUE,TRANSPOSE(_xlfn.UNIQUE(_xlfn._xlws.FILTER(DET_ASIG[DETALLADO],(DET_ASIG[NIVEL]=ASIGNACION!$D282)*(DET_ASIG[ID_CARRERA]=ASIGNACION!$C282)*(DET_ASIG[ID_ASIG]=ASIGNACION!$G282),"No existe información"))))</f>
        <v>No existe información</v>
      </c>
      <c r="I282" s="1"/>
      <c r="J282">
        <f>_xlfn.XLOOKUP(Tabla1[[#This Row],[ID_ASIG_CAM_DET]],MAE_ASIGNATURA[ID_ASIG],MAE_ASIGNATURA[HORAS],0)</f>
        <v>0</v>
      </c>
      <c r="K282">
        <v>4</v>
      </c>
      <c r="L282" s="2">
        <f>+Tabla1[[#This Row],[CALCULAR HORA]]*Tabla1[[#This Row],[HORAS]]</f>
        <v>0</v>
      </c>
      <c r="N282" t="str">
        <f>_xlfn.XLOOKUP(Tabla1[[#This Row],[NOMBRE_DOCENT]],MDOCENTES[DATOS_DOCENTE],MDOCENTES[DEDICACION],"Seleccione Docente")</f>
        <v>Seleccione Docente</v>
      </c>
      <c r="O282" t="str">
        <f>_xlfn.XLOOKUP(Tabla1[[#This Row],[NOMBRE_DOCENT]],MDOCENTES[DATOS_DOCENTE],MDOCENTES[ESTUDIO],"Seleccione Docente")</f>
        <v>Seleccione Docente</v>
      </c>
      <c r="P282">
        <f t="shared" si="20"/>
        <v>0</v>
      </c>
      <c r="Q282">
        <f t="shared" si="21"/>
        <v>0</v>
      </c>
      <c r="R282">
        <f t="shared" si="22"/>
        <v>0</v>
      </c>
      <c r="S282">
        <f t="shared" si="23"/>
        <v>0</v>
      </c>
      <c r="T282">
        <f t="shared" si="24"/>
        <v>0</v>
      </c>
      <c r="U282">
        <f>Tabla1[[#This Row],[HORAS NO AFINIDAD]]+Tabla1[[#This Row],[HORAS UNIDAD BASICA]]+Tabla1[[#This Row],[HORAS AFINIDAD]]</f>
        <v>0</v>
      </c>
      <c r="V282">
        <f>+Tabla1[[#This Row],[HORAS AFINIDAD]]+Tabla1[[#This Row],[HORAS ACTIVIDAD]]+Tabla1[[#This Row],[HORAS UNIDAD BASICA]]+Tabla1[[#This Row],[HORAS NO AFINIDAD]]</f>
        <v>0</v>
      </c>
    </row>
    <row r="283" spans="1:22" ht="18.75" customHeight="1">
      <c r="A283">
        <v>282</v>
      </c>
      <c r="C283" t="str">
        <f>_xlfn.XLOOKUP(Tabla1[[#This Row],[CARRERA]],MAE_CARRERA[NOMBRE_CARRERA],MAE_CARRERA[ID_CARRERA],"Seleccione Carrera")</f>
        <v>Seleccione Carrera</v>
      </c>
      <c r="F283" s="1"/>
      <c r="G283" t="str">
        <f>_xlfn.XLOOKUP(Tabla1[[#This Row],[ASIGNATURA]],MAE_ASIGNATURA[NOM_ASIG],MAE_ASIGNATURA[ID_ASIG],"Seleccione Asignatura")</f>
        <v>Seleccione Asignatura</v>
      </c>
      <c r="H283" s="1" t="str" cm="1">
        <f t="array" ref="H283">_xlfn.TEXTJOIN("; ",TRUE,TRANSPOSE(_xlfn.UNIQUE(_xlfn._xlws.FILTER(DET_ASIG[DETALLADO],(DET_ASIG[NIVEL]=ASIGNACION!$D283)*(DET_ASIG[ID_CARRERA]=ASIGNACION!$C283)*(DET_ASIG[ID_ASIG]=ASIGNACION!$G283),"No existe información"))))</f>
        <v>No existe información</v>
      </c>
      <c r="I283" s="1"/>
      <c r="J283">
        <f>_xlfn.XLOOKUP(Tabla1[[#This Row],[ID_ASIG_CAM_DET]],MAE_ASIGNATURA[ID_ASIG],MAE_ASIGNATURA[HORAS],0)</f>
        <v>0</v>
      </c>
      <c r="K283">
        <v>4</v>
      </c>
      <c r="L283" s="2">
        <f>+Tabla1[[#This Row],[CALCULAR HORA]]*Tabla1[[#This Row],[HORAS]]</f>
        <v>0</v>
      </c>
      <c r="N283" t="str">
        <f>_xlfn.XLOOKUP(Tabla1[[#This Row],[NOMBRE_DOCENT]],MDOCENTES[DATOS_DOCENTE],MDOCENTES[DEDICACION],"Seleccione Docente")</f>
        <v>Seleccione Docente</v>
      </c>
      <c r="O283" t="str">
        <f>_xlfn.XLOOKUP(Tabla1[[#This Row],[NOMBRE_DOCENT]],MDOCENTES[DATOS_DOCENTE],MDOCENTES[ESTUDIO],"Seleccione Docente")</f>
        <v>Seleccione Docente</v>
      </c>
      <c r="P283">
        <f t="shared" si="20"/>
        <v>0</v>
      </c>
      <c r="Q283">
        <f t="shared" si="21"/>
        <v>0</v>
      </c>
      <c r="R283">
        <f t="shared" si="22"/>
        <v>0</v>
      </c>
      <c r="S283">
        <f t="shared" si="23"/>
        <v>0</v>
      </c>
      <c r="T283">
        <f t="shared" si="24"/>
        <v>0</v>
      </c>
      <c r="U283">
        <f>Tabla1[[#This Row],[HORAS NO AFINIDAD]]+Tabla1[[#This Row],[HORAS UNIDAD BASICA]]+Tabla1[[#This Row],[HORAS AFINIDAD]]</f>
        <v>0</v>
      </c>
      <c r="V283">
        <f>+Tabla1[[#This Row],[HORAS AFINIDAD]]+Tabla1[[#This Row],[HORAS ACTIVIDAD]]+Tabla1[[#This Row],[HORAS UNIDAD BASICA]]+Tabla1[[#This Row],[HORAS NO AFINIDAD]]</f>
        <v>0</v>
      </c>
    </row>
    <row r="284" spans="1:22" ht="18.75" customHeight="1">
      <c r="A284">
        <v>283</v>
      </c>
      <c r="C284" t="str">
        <f>_xlfn.XLOOKUP(Tabla1[[#This Row],[CARRERA]],MAE_CARRERA[NOMBRE_CARRERA],MAE_CARRERA[ID_CARRERA],"Seleccione Carrera")</f>
        <v>Seleccione Carrera</v>
      </c>
      <c r="F284" s="1"/>
      <c r="G284" t="str">
        <f>_xlfn.XLOOKUP(Tabla1[[#This Row],[ASIGNATURA]],MAE_ASIGNATURA[NOM_ASIG],MAE_ASIGNATURA[ID_ASIG],"Seleccione Asignatura")</f>
        <v>Seleccione Asignatura</v>
      </c>
      <c r="H284" s="1" t="str" cm="1">
        <f t="array" ref="H284">_xlfn.TEXTJOIN("; ",TRUE,TRANSPOSE(_xlfn.UNIQUE(_xlfn._xlws.FILTER(DET_ASIG[DETALLADO],(DET_ASIG[NIVEL]=ASIGNACION!$D284)*(DET_ASIG[ID_CARRERA]=ASIGNACION!$C284)*(DET_ASIG[ID_ASIG]=ASIGNACION!$G284),"No existe información"))))</f>
        <v>No existe información</v>
      </c>
      <c r="I284" s="1"/>
      <c r="J284">
        <f>_xlfn.XLOOKUP(Tabla1[[#This Row],[ID_ASIG_CAM_DET]],MAE_ASIGNATURA[ID_ASIG],MAE_ASIGNATURA[HORAS],0)</f>
        <v>0</v>
      </c>
      <c r="K284">
        <v>4</v>
      </c>
      <c r="L284" s="2">
        <f>+Tabla1[[#This Row],[CALCULAR HORA]]*Tabla1[[#This Row],[HORAS]]</f>
        <v>0</v>
      </c>
      <c r="N284" t="str">
        <f>_xlfn.XLOOKUP(Tabla1[[#This Row],[NOMBRE_DOCENT]],MDOCENTES[DATOS_DOCENTE],MDOCENTES[DEDICACION],"Seleccione Docente")</f>
        <v>Seleccione Docente</v>
      </c>
      <c r="O284" t="str">
        <f>_xlfn.XLOOKUP(Tabla1[[#This Row],[NOMBRE_DOCENT]],MDOCENTES[DATOS_DOCENTE],MDOCENTES[ESTUDIO],"Seleccione Docente")</f>
        <v>Seleccione Docente</v>
      </c>
      <c r="P284">
        <f t="shared" si="20"/>
        <v>0</v>
      </c>
      <c r="Q284">
        <f t="shared" si="21"/>
        <v>0</v>
      </c>
      <c r="R284">
        <f t="shared" si="22"/>
        <v>0</v>
      </c>
      <c r="S284">
        <f t="shared" si="23"/>
        <v>0</v>
      </c>
      <c r="T284">
        <f t="shared" si="24"/>
        <v>0</v>
      </c>
      <c r="U284">
        <f>Tabla1[[#This Row],[HORAS NO AFINIDAD]]+Tabla1[[#This Row],[HORAS UNIDAD BASICA]]+Tabla1[[#This Row],[HORAS AFINIDAD]]</f>
        <v>0</v>
      </c>
      <c r="V284">
        <f>+Tabla1[[#This Row],[HORAS AFINIDAD]]+Tabla1[[#This Row],[HORAS ACTIVIDAD]]+Tabla1[[#This Row],[HORAS UNIDAD BASICA]]+Tabla1[[#This Row],[HORAS NO AFINIDAD]]</f>
        <v>0</v>
      </c>
    </row>
    <row r="285" spans="1:22" ht="18.75" customHeight="1">
      <c r="A285">
        <v>284</v>
      </c>
      <c r="C285" t="str">
        <f>_xlfn.XLOOKUP(Tabla1[[#This Row],[CARRERA]],MAE_CARRERA[NOMBRE_CARRERA],MAE_CARRERA[ID_CARRERA],"Seleccione Carrera")</f>
        <v>Seleccione Carrera</v>
      </c>
      <c r="F285" s="1"/>
      <c r="G285" t="str">
        <f>_xlfn.XLOOKUP(Tabla1[[#This Row],[ASIGNATURA]],MAE_ASIGNATURA[NOM_ASIG],MAE_ASIGNATURA[ID_ASIG],"Seleccione Asignatura")</f>
        <v>Seleccione Asignatura</v>
      </c>
      <c r="H285" s="1" t="str" cm="1">
        <f t="array" ref="H285">_xlfn.TEXTJOIN("; ",TRUE,TRANSPOSE(_xlfn.UNIQUE(_xlfn._xlws.FILTER(DET_ASIG[DETALLADO],(DET_ASIG[NIVEL]=ASIGNACION!$D285)*(DET_ASIG[ID_CARRERA]=ASIGNACION!$C285)*(DET_ASIG[ID_ASIG]=ASIGNACION!$G285),"No existe información"))))</f>
        <v>No existe información</v>
      </c>
      <c r="I285" s="1"/>
      <c r="J285">
        <f>_xlfn.XLOOKUP(Tabla1[[#This Row],[ID_ASIG_CAM_DET]],MAE_ASIGNATURA[ID_ASIG],MAE_ASIGNATURA[HORAS],0)</f>
        <v>0</v>
      </c>
      <c r="K285">
        <v>4</v>
      </c>
      <c r="L285" s="2">
        <f>+Tabla1[[#This Row],[CALCULAR HORA]]*Tabla1[[#This Row],[HORAS]]</f>
        <v>0</v>
      </c>
      <c r="N285" t="str">
        <f>_xlfn.XLOOKUP(Tabla1[[#This Row],[NOMBRE_DOCENT]],MDOCENTES[DATOS_DOCENTE],MDOCENTES[DEDICACION],"Seleccione Docente")</f>
        <v>Seleccione Docente</v>
      </c>
      <c r="O285" t="str">
        <f>_xlfn.XLOOKUP(Tabla1[[#This Row],[NOMBRE_DOCENT]],MDOCENTES[DATOS_DOCENTE],MDOCENTES[ESTUDIO],"Seleccione Docente")</f>
        <v>Seleccione Docente</v>
      </c>
      <c r="P285">
        <f t="shared" si="20"/>
        <v>0</v>
      </c>
      <c r="Q285">
        <f t="shared" si="21"/>
        <v>0</v>
      </c>
      <c r="R285">
        <f t="shared" si="22"/>
        <v>0</v>
      </c>
      <c r="S285">
        <f t="shared" si="23"/>
        <v>0</v>
      </c>
      <c r="T285">
        <f t="shared" si="24"/>
        <v>0</v>
      </c>
      <c r="U285">
        <f>Tabla1[[#This Row],[HORAS NO AFINIDAD]]+Tabla1[[#This Row],[HORAS UNIDAD BASICA]]+Tabla1[[#This Row],[HORAS AFINIDAD]]</f>
        <v>0</v>
      </c>
      <c r="V285">
        <f>+Tabla1[[#This Row],[HORAS AFINIDAD]]+Tabla1[[#This Row],[HORAS ACTIVIDAD]]+Tabla1[[#This Row],[HORAS UNIDAD BASICA]]+Tabla1[[#This Row],[HORAS NO AFINIDAD]]</f>
        <v>0</v>
      </c>
    </row>
    <row r="286" spans="1:22" ht="18.75" customHeight="1">
      <c r="A286">
        <v>285</v>
      </c>
      <c r="C286" t="str">
        <f>_xlfn.XLOOKUP(Tabla1[[#This Row],[CARRERA]],MAE_CARRERA[NOMBRE_CARRERA],MAE_CARRERA[ID_CARRERA],"Seleccione Carrera")</f>
        <v>Seleccione Carrera</v>
      </c>
      <c r="F286" s="1"/>
      <c r="G286" t="str">
        <f>_xlfn.XLOOKUP(Tabla1[[#This Row],[ASIGNATURA]],MAE_ASIGNATURA[NOM_ASIG],MAE_ASIGNATURA[ID_ASIG],"Seleccione Asignatura")</f>
        <v>Seleccione Asignatura</v>
      </c>
      <c r="H286" s="1" t="str" cm="1">
        <f t="array" ref="H286">_xlfn.TEXTJOIN("; ",TRUE,TRANSPOSE(_xlfn.UNIQUE(_xlfn._xlws.FILTER(DET_ASIG[DETALLADO],(DET_ASIG[NIVEL]=ASIGNACION!$D286)*(DET_ASIG[ID_CARRERA]=ASIGNACION!$C286)*(DET_ASIG[ID_ASIG]=ASIGNACION!$G286),"No existe información"))))</f>
        <v>No existe información</v>
      </c>
      <c r="I286" s="1"/>
      <c r="J286">
        <f>_xlfn.XLOOKUP(Tabla1[[#This Row],[ID_ASIG_CAM_DET]],MAE_ASIGNATURA[ID_ASIG],MAE_ASIGNATURA[HORAS],0)</f>
        <v>0</v>
      </c>
      <c r="K286">
        <v>4</v>
      </c>
      <c r="L286" s="2">
        <f>+Tabla1[[#This Row],[CALCULAR HORA]]*Tabla1[[#This Row],[HORAS]]</f>
        <v>0</v>
      </c>
      <c r="N286" t="str">
        <f>_xlfn.XLOOKUP(Tabla1[[#This Row],[NOMBRE_DOCENT]],MDOCENTES[DATOS_DOCENTE],MDOCENTES[DEDICACION],"Seleccione Docente")</f>
        <v>Seleccione Docente</v>
      </c>
      <c r="O286" t="str">
        <f>_xlfn.XLOOKUP(Tabla1[[#This Row],[NOMBRE_DOCENT]],MDOCENTES[DATOS_DOCENTE],MDOCENTES[ESTUDIO],"Seleccione Docente")</f>
        <v>Seleccione Docente</v>
      </c>
      <c r="P286">
        <f t="shared" si="20"/>
        <v>0</v>
      </c>
      <c r="Q286">
        <f t="shared" si="21"/>
        <v>0</v>
      </c>
      <c r="R286">
        <f t="shared" si="22"/>
        <v>0</v>
      </c>
      <c r="S286">
        <f t="shared" si="23"/>
        <v>0</v>
      </c>
      <c r="T286">
        <f t="shared" si="24"/>
        <v>0</v>
      </c>
      <c r="U286">
        <f>Tabla1[[#This Row],[HORAS NO AFINIDAD]]+Tabla1[[#This Row],[HORAS UNIDAD BASICA]]+Tabla1[[#This Row],[HORAS AFINIDAD]]</f>
        <v>0</v>
      </c>
      <c r="V286">
        <f>+Tabla1[[#This Row],[HORAS AFINIDAD]]+Tabla1[[#This Row],[HORAS ACTIVIDAD]]+Tabla1[[#This Row],[HORAS UNIDAD BASICA]]+Tabla1[[#This Row],[HORAS NO AFINIDAD]]</f>
        <v>0</v>
      </c>
    </row>
    <row r="287" spans="1:22" ht="18.75" customHeight="1">
      <c r="A287">
        <v>286</v>
      </c>
      <c r="C287" t="str">
        <f>_xlfn.XLOOKUP(Tabla1[[#This Row],[CARRERA]],MAE_CARRERA[NOMBRE_CARRERA],MAE_CARRERA[ID_CARRERA],"Seleccione Carrera")</f>
        <v>Seleccione Carrera</v>
      </c>
      <c r="F287" s="1"/>
      <c r="G287" t="str">
        <f>_xlfn.XLOOKUP(Tabla1[[#This Row],[ASIGNATURA]],MAE_ASIGNATURA[NOM_ASIG],MAE_ASIGNATURA[ID_ASIG],"Seleccione Asignatura")</f>
        <v>Seleccione Asignatura</v>
      </c>
      <c r="H287" s="1" t="str" cm="1">
        <f t="array" ref="H287">_xlfn.TEXTJOIN("; ",TRUE,TRANSPOSE(_xlfn.UNIQUE(_xlfn._xlws.FILTER(DET_ASIG[DETALLADO],(DET_ASIG[NIVEL]=ASIGNACION!$D287)*(DET_ASIG[ID_CARRERA]=ASIGNACION!$C287)*(DET_ASIG[ID_ASIG]=ASIGNACION!$G287),"No existe información"))))</f>
        <v>No existe información</v>
      </c>
      <c r="I287" s="1"/>
      <c r="J287">
        <f>_xlfn.XLOOKUP(Tabla1[[#This Row],[ID_ASIG_CAM_DET]],MAE_ASIGNATURA[ID_ASIG],MAE_ASIGNATURA[HORAS],0)</f>
        <v>0</v>
      </c>
      <c r="K287">
        <v>4</v>
      </c>
      <c r="L287" s="2">
        <f>+Tabla1[[#This Row],[CALCULAR HORA]]*Tabla1[[#This Row],[HORAS]]</f>
        <v>0</v>
      </c>
      <c r="N287" t="str">
        <f>_xlfn.XLOOKUP(Tabla1[[#This Row],[NOMBRE_DOCENT]],MDOCENTES[DATOS_DOCENTE],MDOCENTES[DEDICACION],"Seleccione Docente")</f>
        <v>Seleccione Docente</v>
      </c>
      <c r="O287" t="str">
        <f>_xlfn.XLOOKUP(Tabla1[[#This Row],[NOMBRE_DOCENT]],MDOCENTES[DATOS_DOCENTE],MDOCENTES[ESTUDIO],"Seleccione Docente")</f>
        <v>Seleccione Docente</v>
      </c>
      <c r="P287">
        <f t="shared" si="20"/>
        <v>0</v>
      </c>
      <c r="Q287">
        <f t="shared" si="21"/>
        <v>0</v>
      </c>
      <c r="R287">
        <f t="shared" si="22"/>
        <v>0</v>
      </c>
      <c r="S287">
        <f t="shared" si="23"/>
        <v>0</v>
      </c>
      <c r="T287">
        <f t="shared" si="24"/>
        <v>0</v>
      </c>
      <c r="U287">
        <f>Tabla1[[#This Row],[HORAS NO AFINIDAD]]+Tabla1[[#This Row],[HORAS UNIDAD BASICA]]+Tabla1[[#This Row],[HORAS AFINIDAD]]</f>
        <v>0</v>
      </c>
      <c r="V287">
        <f>+Tabla1[[#This Row],[HORAS AFINIDAD]]+Tabla1[[#This Row],[HORAS ACTIVIDAD]]+Tabla1[[#This Row],[HORAS UNIDAD BASICA]]+Tabla1[[#This Row],[HORAS NO AFINIDAD]]</f>
        <v>0</v>
      </c>
    </row>
    <row r="288" spans="1:22" ht="18.75" customHeight="1">
      <c r="A288">
        <v>287</v>
      </c>
      <c r="C288" t="str">
        <f>_xlfn.XLOOKUP(Tabla1[[#This Row],[CARRERA]],MAE_CARRERA[NOMBRE_CARRERA],MAE_CARRERA[ID_CARRERA],"Seleccione Carrera")</f>
        <v>Seleccione Carrera</v>
      </c>
      <c r="F288" s="1"/>
      <c r="G288" t="str">
        <f>_xlfn.XLOOKUP(Tabla1[[#This Row],[ASIGNATURA]],MAE_ASIGNATURA[NOM_ASIG],MAE_ASIGNATURA[ID_ASIG],"Seleccione Asignatura")</f>
        <v>Seleccione Asignatura</v>
      </c>
      <c r="H288" s="1" t="str" cm="1">
        <f t="array" ref="H288">_xlfn.TEXTJOIN("; ",TRUE,TRANSPOSE(_xlfn.UNIQUE(_xlfn._xlws.FILTER(DET_ASIG[DETALLADO],(DET_ASIG[NIVEL]=ASIGNACION!$D288)*(DET_ASIG[ID_CARRERA]=ASIGNACION!$C288)*(DET_ASIG[ID_ASIG]=ASIGNACION!$G288),"No existe información"))))</f>
        <v>No existe información</v>
      </c>
      <c r="I288" s="1"/>
      <c r="J288">
        <f>_xlfn.XLOOKUP(Tabla1[[#This Row],[ID_ASIG_CAM_DET]],MAE_ASIGNATURA[ID_ASIG],MAE_ASIGNATURA[HORAS],0)</f>
        <v>0</v>
      </c>
      <c r="K288">
        <v>4</v>
      </c>
      <c r="L288" s="2">
        <f>+Tabla1[[#This Row],[CALCULAR HORA]]*Tabla1[[#This Row],[HORAS]]</f>
        <v>0</v>
      </c>
      <c r="N288" t="str">
        <f>_xlfn.XLOOKUP(Tabla1[[#This Row],[NOMBRE_DOCENT]],MDOCENTES[DATOS_DOCENTE],MDOCENTES[DEDICACION],"Seleccione Docente")</f>
        <v>Seleccione Docente</v>
      </c>
      <c r="O288" t="str">
        <f>_xlfn.XLOOKUP(Tabla1[[#This Row],[NOMBRE_DOCENT]],MDOCENTES[DATOS_DOCENTE],MDOCENTES[ESTUDIO],"Seleccione Docente")</f>
        <v>Seleccione Docente</v>
      </c>
      <c r="P288">
        <f t="shared" si="20"/>
        <v>0</v>
      </c>
      <c r="Q288">
        <f t="shared" si="21"/>
        <v>0</v>
      </c>
      <c r="R288">
        <f t="shared" si="22"/>
        <v>0</v>
      </c>
      <c r="S288">
        <f t="shared" si="23"/>
        <v>0</v>
      </c>
      <c r="T288">
        <f t="shared" si="24"/>
        <v>0</v>
      </c>
      <c r="U288">
        <f>Tabla1[[#This Row],[HORAS NO AFINIDAD]]+Tabla1[[#This Row],[HORAS UNIDAD BASICA]]+Tabla1[[#This Row],[HORAS AFINIDAD]]</f>
        <v>0</v>
      </c>
      <c r="V288">
        <f>+Tabla1[[#This Row],[HORAS AFINIDAD]]+Tabla1[[#This Row],[HORAS ACTIVIDAD]]+Tabla1[[#This Row],[HORAS UNIDAD BASICA]]+Tabla1[[#This Row],[HORAS NO AFINIDAD]]</f>
        <v>0</v>
      </c>
    </row>
    <row r="289" spans="1:22" ht="18.75" customHeight="1">
      <c r="A289">
        <v>288</v>
      </c>
      <c r="C289" t="str">
        <f>_xlfn.XLOOKUP(Tabla1[[#This Row],[CARRERA]],MAE_CARRERA[NOMBRE_CARRERA],MAE_CARRERA[ID_CARRERA],"Seleccione Carrera")</f>
        <v>Seleccione Carrera</v>
      </c>
      <c r="F289" s="1"/>
      <c r="G289" t="str">
        <f>_xlfn.XLOOKUP(Tabla1[[#This Row],[ASIGNATURA]],MAE_ASIGNATURA[NOM_ASIG],MAE_ASIGNATURA[ID_ASIG],"Seleccione Asignatura")</f>
        <v>Seleccione Asignatura</v>
      </c>
      <c r="H289" s="1" t="str" cm="1">
        <f t="array" ref="H289">_xlfn.TEXTJOIN("; ",TRUE,TRANSPOSE(_xlfn.UNIQUE(_xlfn._xlws.FILTER(DET_ASIG[DETALLADO],(DET_ASIG[NIVEL]=ASIGNACION!$D289)*(DET_ASIG[ID_CARRERA]=ASIGNACION!$C289)*(DET_ASIG[ID_ASIG]=ASIGNACION!$G289),"No existe información"))))</f>
        <v>No existe información</v>
      </c>
      <c r="I289" s="1"/>
      <c r="J289">
        <f>_xlfn.XLOOKUP(Tabla1[[#This Row],[ID_ASIG_CAM_DET]],MAE_ASIGNATURA[ID_ASIG],MAE_ASIGNATURA[HORAS],0)</f>
        <v>0</v>
      </c>
      <c r="K289">
        <v>4</v>
      </c>
      <c r="L289" s="2">
        <f>+Tabla1[[#This Row],[CALCULAR HORA]]*Tabla1[[#This Row],[HORAS]]</f>
        <v>0</v>
      </c>
      <c r="N289" t="str">
        <f>_xlfn.XLOOKUP(Tabla1[[#This Row],[NOMBRE_DOCENT]],MDOCENTES[DATOS_DOCENTE],MDOCENTES[DEDICACION],"Seleccione Docente")</f>
        <v>Seleccione Docente</v>
      </c>
      <c r="O289" t="str">
        <f>_xlfn.XLOOKUP(Tabla1[[#This Row],[NOMBRE_DOCENT]],MDOCENTES[DATOS_DOCENTE],MDOCENTES[ESTUDIO],"Seleccione Docente")</f>
        <v>Seleccione Docente</v>
      </c>
      <c r="P289">
        <f t="shared" si="20"/>
        <v>0</v>
      </c>
      <c r="Q289">
        <f t="shared" si="21"/>
        <v>0</v>
      </c>
      <c r="R289">
        <f t="shared" si="22"/>
        <v>0</v>
      </c>
      <c r="S289">
        <f t="shared" si="23"/>
        <v>0</v>
      </c>
      <c r="T289">
        <f t="shared" si="24"/>
        <v>0</v>
      </c>
      <c r="U289">
        <f>Tabla1[[#This Row],[HORAS NO AFINIDAD]]+Tabla1[[#This Row],[HORAS UNIDAD BASICA]]+Tabla1[[#This Row],[HORAS AFINIDAD]]</f>
        <v>0</v>
      </c>
      <c r="V289">
        <f>+Tabla1[[#This Row],[HORAS AFINIDAD]]+Tabla1[[#This Row],[HORAS ACTIVIDAD]]+Tabla1[[#This Row],[HORAS UNIDAD BASICA]]+Tabla1[[#This Row],[HORAS NO AFINIDAD]]</f>
        <v>0</v>
      </c>
    </row>
    <row r="290" spans="1:22" ht="18.75" customHeight="1">
      <c r="A290">
        <v>289</v>
      </c>
      <c r="C290" t="str">
        <f>_xlfn.XLOOKUP(Tabla1[[#This Row],[CARRERA]],MAE_CARRERA[NOMBRE_CARRERA],MAE_CARRERA[ID_CARRERA],"Seleccione Carrera")</f>
        <v>Seleccione Carrera</v>
      </c>
      <c r="F290" s="1"/>
      <c r="G290" t="str">
        <f>_xlfn.XLOOKUP(Tabla1[[#This Row],[ASIGNATURA]],MAE_ASIGNATURA[NOM_ASIG],MAE_ASIGNATURA[ID_ASIG],"Seleccione Asignatura")</f>
        <v>Seleccione Asignatura</v>
      </c>
      <c r="H290" s="1" t="str" cm="1">
        <f t="array" ref="H290">_xlfn.TEXTJOIN("; ",TRUE,TRANSPOSE(_xlfn.UNIQUE(_xlfn._xlws.FILTER(DET_ASIG[DETALLADO],(DET_ASIG[NIVEL]=ASIGNACION!$D290)*(DET_ASIG[ID_CARRERA]=ASIGNACION!$C290)*(DET_ASIG[ID_ASIG]=ASIGNACION!$G290),"No existe información"))))</f>
        <v>No existe información</v>
      </c>
      <c r="I290" s="1"/>
      <c r="J290">
        <f>_xlfn.XLOOKUP(Tabla1[[#This Row],[ID_ASIG_CAM_DET]],MAE_ASIGNATURA[ID_ASIG],MAE_ASIGNATURA[HORAS],0)</f>
        <v>0</v>
      </c>
      <c r="K290">
        <v>4</v>
      </c>
      <c r="L290" s="2">
        <f>+Tabla1[[#This Row],[CALCULAR HORA]]*Tabla1[[#This Row],[HORAS]]</f>
        <v>0</v>
      </c>
      <c r="N290" t="str">
        <f>_xlfn.XLOOKUP(Tabla1[[#This Row],[NOMBRE_DOCENT]],MDOCENTES[DATOS_DOCENTE],MDOCENTES[DEDICACION],"Seleccione Docente")</f>
        <v>Seleccione Docente</v>
      </c>
      <c r="O290" t="str">
        <f>_xlfn.XLOOKUP(Tabla1[[#This Row],[NOMBRE_DOCENT]],MDOCENTES[DATOS_DOCENTE],MDOCENTES[ESTUDIO],"Seleccione Docente")</f>
        <v>Seleccione Docente</v>
      </c>
      <c r="P290">
        <f t="shared" si="20"/>
        <v>0</v>
      </c>
      <c r="Q290">
        <f t="shared" si="21"/>
        <v>0</v>
      </c>
      <c r="R290">
        <f t="shared" si="22"/>
        <v>0</v>
      </c>
      <c r="S290">
        <f t="shared" si="23"/>
        <v>0</v>
      </c>
      <c r="T290">
        <f t="shared" si="24"/>
        <v>0</v>
      </c>
      <c r="U290">
        <f>Tabla1[[#This Row],[HORAS NO AFINIDAD]]+Tabla1[[#This Row],[HORAS UNIDAD BASICA]]+Tabla1[[#This Row],[HORAS AFINIDAD]]</f>
        <v>0</v>
      </c>
      <c r="V290">
        <f>+Tabla1[[#This Row],[HORAS AFINIDAD]]+Tabla1[[#This Row],[HORAS ACTIVIDAD]]+Tabla1[[#This Row],[HORAS UNIDAD BASICA]]+Tabla1[[#This Row],[HORAS NO AFINIDAD]]</f>
        <v>0</v>
      </c>
    </row>
    <row r="291" spans="1:22" ht="18.75" customHeight="1">
      <c r="A291">
        <v>290</v>
      </c>
      <c r="C291" t="str">
        <f>_xlfn.XLOOKUP(Tabla1[[#This Row],[CARRERA]],MAE_CARRERA[NOMBRE_CARRERA],MAE_CARRERA[ID_CARRERA],"Seleccione Carrera")</f>
        <v>Seleccione Carrera</v>
      </c>
      <c r="F291" s="1"/>
      <c r="G291" t="str">
        <f>_xlfn.XLOOKUP(Tabla1[[#This Row],[ASIGNATURA]],MAE_ASIGNATURA[NOM_ASIG],MAE_ASIGNATURA[ID_ASIG],"Seleccione Asignatura")</f>
        <v>Seleccione Asignatura</v>
      </c>
      <c r="H291" s="1" t="str" cm="1">
        <f t="array" ref="H291">_xlfn.TEXTJOIN("; ",TRUE,TRANSPOSE(_xlfn.UNIQUE(_xlfn._xlws.FILTER(DET_ASIG[DETALLADO],(DET_ASIG[NIVEL]=ASIGNACION!$D291)*(DET_ASIG[ID_CARRERA]=ASIGNACION!$C291)*(DET_ASIG[ID_ASIG]=ASIGNACION!$G291),"No existe información"))))</f>
        <v>No existe información</v>
      </c>
      <c r="I291" s="1"/>
      <c r="J291">
        <f>_xlfn.XLOOKUP(Tabla1[[#This Row],[ID_ASIG_CAM_DET]],MAE_ASIGNATURA[ID_ASIG],MAE_ASIGNATURA[HORAS],0)</f>
        <v>0</v>
      </c>
      <c r="K291">
        <v>4</v>
      </c>
      <c r="L291" s="2">
        <f>+Tabla1[[#This Row],[CALCULAR HORA]]*Tabla1[[#This Row],[HORAS]]</f>
        <v>0</v>
      </c>
      <c r="N291" t="str">
        <f>_xlfn.XLOOKUP(Tabla1[[#This Row],[NOMBRE_DOCENT]],MDOCENTES[DATOS_DOCENTE],MDOCENTES[DEDICACION],"Seleccione Docente")</f>
        <v>Seleccione Docente</v>
      </c>
      <c r="O291" t="str">
        <f>_xlfn.XLOOKUP(Tabla1[[#This Row],[NOMBRE_DOCENT]],MDOCENTES[DATOS_DOCENTE],MDOCENTES[ESTUDIO],"Seleccione Docente")</f>
        <v>Seleccione Docente</v>
      </c>
      <c r="P291">
        <f t="shared" si="20"/>
        <v>0</v>
      </c>
      <c r="Q291">
        <f t="shared" si="21"/>
        <v>0</v>
      </c>
      <c r="R291">
        <f t="shared" si="22"/>
        <v>0</v>
      </c>
      <c r="S291">
        <f t="shared" si="23"/>
        <v>0</v>
      </c>
      <c r="T291">
        <f t="shared" si="24"/>
        <v>0</v>
      </c>
      <c r="U291">
        <f>Tabla1[[#This Row],[HORAS NO AFINIDAD]]+Tabla1[[#This Row],[HORAS UNIDAD BASICA]]+Tabla1[[#This Row],[HORAS AFINIDAD]]</f>
        <v>0</v>
      </c>
      <c r="V291">
        <f>+Tabla1[[#This Row],[HORAS AFINIDAD]]+Tabla1[[#This Row],[HORAS ACTIVIDAD]]+Tabla1[[#This Row],[HORAS UNIDAD BASICA]]+Tabla1[[#This Row],[HORAS NO AFINIDAD]]</f>
        <v>0</v>
      </c>
    </row>
    <row r="292" spans="1:22" ht="18.75" customHeight="1">
      <c r="A292">
        <v>291</v>
      </c>
      <c r="C292" t="str">
        <f>_xlfn.XLOOKUP(Tabla1[[#This Row],[CARRERA]],MAE_CARRERA[NOMBRE_CARRERA],MAE_CARRERA[ID_CARRERA],"Seleccione Carrera")</f>
        <v>Seleccione Carrera</v>
      </c>
      <c r="F292" s="1"/>
      <c r="G292" t="str">
        <f>_xlfn.XLOOKUP(Tabla1[[#This Row],[ASIGNATURA]],MAE_ASIGNATURA[NOM_ASIG],MAE_ASIGNATURA[ID_ASIG],"Seleccione Asignatura")</f>
        <v>Seleccione Asignatura</v>
      </c>
      <c r="H292" s="1" t="str" cm="1">
        <f t="array" ref="H292">_xlfn.TEXTJOIN("; ",TRUE,TRANSPOSE(_xlfn.UNIQUE(_xlfn._xlws.FILTER(DET_ASIG[DETALLADO],(DET_ASIG[NIVEL]=ASIGNACION!$D292)*(DET_ASIG[ID_CARRERA]=ASIGNACION!$C292)*(DET_ASIG[ID_ASIG]=ASIGNACION!$G292),"No existe información"))))</f>
        <v>No existe información</v>
      </c>
      <c r="I292" s="1"/>
      <c r="J292">
        <f>_xlfn.XLOOKUP(Tabla1[[#This Row],[ID_ASIG_CAM_DET]],MAE_ASIGNATURA[ID_ASIG],MAE_ASIGNATURA[HORAS],0)</f>
        <v>0</v>
      </c>
      <c r="K292">
        <v>4</v>
      </c>
      <c r="L292" s="2">
        <f>+Tabla1[[#This Row],[CALCULAR HORA]]*Tabla1[[#This Row],[HORAS]]</f>
        <v>0</v>
      </c>
      <c r="N292" t="str">
        <f>_xlfn.XLOOKUP(Tabla1[[#This Row],[NOMBRE_DOCENT]],MDOCENTES[DATOS_DOCENTE],MDOCENTES[DEDICACION],"Seleccione Docente")</f>
        <v>Seleccione Docente</v>
      </c>
      <c r="O292" t="str">
        <f>_xlfn.XLOOKUP(Tabla1[[#This Row],[NOMBRE_DOCENT]],MDOCENTES[DATOS_DOCENTE],MDOCENTES[ESTUDIO],"Seleccione Docente")</f>
        <v>Seleccione Docente</v>
      </c>
      <c r="P292">
        <f t="shared" si="20"/>
        <v>0</v>
      </c>
      <c r="Q292">
        <f t="shared" si="21"/>
        <v>0</v>
      </c>
      <c r="R292">
        <f t="shared" si="22"/>
        <v>0</v>
      </c>
      <c r="S292">
        <f t="shared" si="23"/>
        <v>0</v>
      </c>
      <c r="T292">
        <f t="shared" si="24"/>
        <v>0</v>
      </c>
      <c r="U292">
        <f>Tabla1[[#This Row],[HORAS NO AFINIDAD]]+Tabla1[[#This Row],[HORAS UNIDAD BASICA]]+Tabla1[[#This Row],[HORAS AFINIDAD]]</f>
        <v>0</v>
      </c>
      <c r="V292">
        <f>+Tabla1[[#This Row],[HORAS AFINIDAD]]+Tabla1[[#This Row],[HORAS ACTIVIDAD]]+Tabla1[[#This Row],[HORAS UNIDAD BASICA]]+Tabla1[[#This Row],[HORAS NO AFINIDAD]]</f>
        <v>0</v>
      </c>
    </row>
    <row r="293" spans="1:22" ht="18.75" customHeight="1">
      <c r="A293">
        <v>292</v>
      </c>
      <c r="C293" t="str">
        <f>_xlfn.XLOOKUP(Tabla1[[#This Row],[CARRERA]],MAE_CARRERA[NOMBRE_CARRERA],MAE_CARRERA[ID_CARRERA],"Seleccione Carrera")</f>
        <v>Seleccione Carrera</v>
      </c>
      <c r="F293" s="1"/>
      <c r="G293" t="str">
        <f>_xlfn.XLOOKUP(Tabla1[[#This Row],[ASIGNATURA]],MAE_ASIGNATURA[NOM_ASIG],MAE_ASIGNATURA[ID_ASIG],"Seleccione Asignatura")</f>
        <v>Seleccione Asignatura</v>
      </c>
      <c r="H293" s="1" t="str" cm="1">
        <f t="array" ref="H293">_xlfn.TEXTJOIN("; ",TRUE,TRANSPOSE(_xlfn.UNIQUE(_xlfn._xlws.FILTER(DET_ASIG[DETALLADO],(DET_ASIG[NIVEL]=ASIGNACION!$D293)*(DET_ASIG[ID_CARRERA]=ASIGNACION!$C293)*(DET_ASIG[ID_ASIG]=ASIGNACION!$G293),"No existe información"))))</f>
        <v>No existe información</v>
      </c>
      <c r="I293" s="1"/>
      <c r="J293">
        <f>_xlfn.XLOOKUP(Tabla1[[#This Row],[ID_ASIG_CAM_DET]],MAE_ASIGNATURA[ID_ASIG],MAE_ASIGNATURA[HORAS],0)</f>
        <v>0</v>
      </c>
      <c r="K293">
        <v>4</v>
      </c>
      <c r="L293" s="2">
        <f>+Tabla1[[#This Row],[CALCULAR HORA]]*Tabla1[[#This Row],[HORAS]]</f>
        <v>0</v>
      </c>
      <c r="N293" t="str">
        <f>_xlfn.XLOOKUP(Tabla1[[#This Row],[NOMBRE_DOCENT]],MDOCENTES[DATOS_DOCENTE],MDOCENTES[DEDICACION],"Seleccione Docente")</f>
        <v>Seleccione Docente</v>
      </c>
      <c r="O293" t="str">
        <f>_xlfn.XLOOKUP(Tabla1[[#This Row],[NOMBRE_DOCENT]],MDOCENTES[DATOS_DOCENTE],MDOCENTES[ESTUDIO],"Seleccione Docente")</f>
        <v>Seleccione Docente</v>
      </c>
      <c r="P293">
        <f t="shared" si="20"/>
        <v>0</v>
      </c>
      <c r="Q293">
        <f t="shared" si="21"/>
        <v>0</v>
      </c>
      <c r="R293">
        <f t="shared" si="22"/>
        <v>0</v>
      </c>
      <c r="S293">
        <f t="shared" si="23"/>
        <v>0</v>
      </c>
      <c r="T293">
        <f t="shared" si="24"/>
        <v>0</v>
      </c>
      <c r="U293">
        <f>Tabla1[[#This Row],[HORAS NO AFINIDAD]]+Tabla1[[#This Row],[HORAS UNIDAD BASICA]]+Tabla1[[#This Row],[HORAS AFINIDAD]]</f>
        <v>0</v>
      </c>
      <c r="V293">
        <f>+Tabla1[[#This Row],[HORAS AFINIDAD]]+Tabla1[[#This Row],[HORAS ACTIVIDAD]]+Tabla1[[#This Row],[HORAS UNIDAD BASICA]]+Tabla1[[#This Row],[HORAS NO AFINIDAD]]</f>
        <v>0</v>
      </c>
    </row>
    <row r="294" spans="1:22" ht="18.75" customHeight="1">
      <c r="A294">
        <v>293</v>
      </c>
      <c r="C294" t="str">
        <f>_xlfn.XLOOKUP(Tabla1[[#This Row],[CARRERA]],MAE_CARRERA[NOMBRE_CARRERA],MAE_CARRERA[ID_CARRERA],"Seleccione Carrera")</f>
        <v>Seleccione Carrera</v>
      </c>
      <c r="F294" s="1"/>
      <c r="G294" t="str">
        <f>_xlfn.XLOOKUP(Tabla1[[#This Row],[ASIGNATURA]],MAE_ASIGNATURA[NOM_ASIG],MAE_ASIGNATURA[ID_ASIG],"Seleccione Asignatura")</f>
        <v>Seleccione Asignatura</v>
      </c>
      <c r="H294" s="1" t="str" cm="1">
        <f t="array" ref="H294">_xlfn.TEXTJOIN("; ",TRUE,TRANSPOSE(_xlfn.UNIQUE(_xlfn._xlws.FILTER(DET_ASIG[DETALLADO],(DET_ASIG[NIVEL]=ASIGNACION!$D294)*(DET_ASIG[ID_CARRERA]=ASIGNACION!$C294)*(DET_ASIG[ID_ASIG]=ASIGNACION!$G294),"No existe información"))))</f>
        <v>No existe información</v>
      </c>
      <c r="I294" s="1"/>
      <c r="J294">
        <f>_xlfn.XLOOKUP(Tabla1[[#This Row],[ID_ASIG_CAM_DET]],MAE_ASIGNATURA[ID_ASIG],MAE_ASIGNATURA[HORAS],0)</f>
        <v>0</v>
      </c>
      <c r="K294">
        <v>4</v>
      </c>
      <c r="L294" s="2">
        <f>+Tabla1[[#This Row],[CALCULAR HORA]]*Tabla1[[#This Row],[HORAS]]</f>
        <v>0</v>
      </c>
      <c r="N294" t="str">
        <f>_xlfn.XLOOKUP(Tabla1[[#This Row],[NOMBRE_DOCENT]],MDOCENTES[DATOS_DOCENTE],MDOCENTES[DEDICACION],"Seleccione Docente")</f>
        <v>Seleccione Docente</v>
      </c>
      <c r="O294" t="str">
        <f>_xlfn.XLOOKUP(Tabla1[[#This Row],[NOMBRE_DOCENT]],MDOCENTES[DATOS_DOCENTE],MDOCENTES[ESTUDIO],"Seleccione Docente")</f>
        <v>Seleccione Docente</v>
      </c>
      <c r="P294">
        <f t="shared" si="20"/>
        <v>0</v>
      </c>
      <c r="Q294">
        <f t="shared" si="21"/>
        <v>0</v>
      </c>
      <c r="R294">
        <f t="shared" si="22"/>
        <v>0</v>
      </c>
      <c r="S294">
        <f t="shared" si="23"/>
        <v>0</v>
      </c>
      <c r="T294">
        <f t="shared" si="24"/>
        <v>0</v>
      </c>
      <c r="U294">
        <f>Tabla1[[#This Row],[HORAS NO AFINIDAD]]+Tabla1[[#This Row],[HORAS UNIDAD BASICA]]+Tabla1[[#This Row],[HORAS AFINIDAD]]</f>
        <v>0</v>
      </c>
      <c r="V294">
        <f>+Tabla1[[#This Row],[HORAS AFINIDAD]]+Tabla1[[#This Row],[HORAS ACTIVIDAD]]+Tabla1[[#This Row],[HORAS UNIDAD BASICA]]+Tabla1[[#This Row],[HORAS NO AFINIDAD]]</f>
        <v>0</v>
      </c>
    </row>
    <row r="295" spans="1:22" ht="18.75" customHeight="1">
      <c r="A295">
        <v>294</v>
      </c>
      <c r="C295" t="str">
        <f>_xlfn.XLOOKUP(Tabla1[[#This Row],[CARRERA]],MAE_CARRERA[NOMBRE_CARRERA],MAE_CARRERA[ID_CARRERA],"Seleccione Carrera")</f>
        <v>Seleccione Carrera</v>
      </c>
      <c r="F295" s="1"/>
      <c r="G295" t="str">
        <f>_xlfn.XLOOKUP(Tabla1[[#This Row],[ASIGNATURA]],MAE_ASIGNATURA[NOM_ASIG],MAE_ASIGNATURA[ID_ASIG],"Seleccione Asignatura")</f>
        <v>Seleccione Asignatura</v>
      </c>
      <c r="H295" s="1" t="str" cm="1">
        <f t="array" ref="H295">_xlfn.TEXTJOIN("; ",TRUE,TRANSPOSE(_xlfn.UNIQUE(_xlfn._xlws.FILTER(DET_ASIG[DETALLADO],(DET_ASIG[NIVEL]=ASIGNACION!$D295)*(DET_ASIG[ID_CARRERA]=ASIGNACION!$C295)*(DET_ASIG[ID_ASIG]=ASIGNACION!$G295),"No existe información"))))</f>
        <v>No existe información</v>
      </c>
      <c r="I295" s="1"/>
      <c r="J295">
        <f>_xlfn.XLOOKUP(Tabla1[[#This Row],[ID_ASIG_CAM_DET]],MAE_ASIGNATURA[ID_ASIG],MAE_ASIGNATURA[HORAS],0)</f>
        <v>0</v>
      </c>
      <c r="K295">
        <v>4</v>
      </c>
      <c r="L295" s="2">
        <f>+Tabla1[[#This Row],[CALCULAR HORA]]*Tabla1[[#This Row],[HORAS]]</f>
        <v>0</v>
      </c>
      <c r="N295" t="str">
        <f>_xlfn.XLOOKUP(Tabla1[[#This Row],[NOMBRE_DOCENT]],MDOCENTES[DATOS_DOCENTE],MDOCENTES[DEDICACION],"Seleccione Docente")</f>
        <v>Seleccione Docente</v>
      </c>
      <c r="O295" t="str">
        <f>_xlfn.XLOOKUP(Tabla1[[#This Row],[NOMBRE_DOCENT]],MDOCENTES[DATOS_DOCENTE],MDOCENTES[ESTUDIO],"Seleccione Docente")</f>
        <v>Seleccione Docente</v>
      </c>
      <c r="P295">
        <f t="shared" si="20"/>
        <v>0</v>
      </c>
      <c r="Q295">
        <f t="shared" si="21"/>
        <v>0</v>
      </c>
      <c r="R295">
        <f t="shared" si="22"/>
        <v>0</v>
      </c>
      <c r="S295">
        <f t="shared" si="23"/>
        <v>0</v>
      </c>
      <c r="T295">
        <f t="shared" si="24"/>
        <v>0</v>
      </c>
      <c r="U295">
        <f>Tabla1[[#This Row],[HORAS NO AFINIDAD]]+Tabla1[[#This Row],[HORAS UNIDAD BASICA]]+Tabla1[[#This Row],[HORAS AFINIDAD]]</f>
        <v>0</v>
      </c>
      <c r="V295">
        <f>+Tabla1[[#This Row],[HORAS AFINIDAD]]+Tabla1[[#This Row],[HORAS ACTIVIDAD]]+Tabla1[[#This Row],[HORAS UNIDAD BASICA]]+Tabla1[[#This Row],[HORAS NO AFINIDAD]]</f>
        <v>0</v>
      </c>
    </row>
    <row r="296" spans="1:22" ht="18.75" customHeight="1">
      <c r="A296">
        <v>295</v>
      </c>
      <c r="C296" t="str">
        <f>_xlfn.XLOOKUP(Tabla1[[#This Row],[CARRERA]],MAE_CARRERA[NOMBRE_CARRERA],MAE_CARRERA[ID_CARRERA],"Seleccione Carrera")</f>
        <v>Seleccione Carrera</v>
      </c>
      <c r="F296" s="1"/>
      <c r="G296" t="str">
        <f>_xlfn.XLOOKUP(Tabla1[[#This Row],[ASIGNATURA]],MAE_ASIGNATURA[NOM_ASIG],MAE_ASIGNATURA[ID_ASIG],"Seleccione Asignatura")</f>
        <v>Seleccione Asignatura</v>
      </c>
      <c r="H296" s="1" t="str" cm="1">
        <f t="array" ref="H296">_xlfn.TEXTJOIN("; ",TRUE,TRANSPOSE(_xlfn.UNIQUE(_xlfn._xlws.FILTER(DET_ASIG[DETALLADO],(DET_ASIG[NIVEL]=ASIGNACION!$D296)*(DET_ASIG[ID_CARRERA]=ASIGNACION!$C296)*(DET_ASIG[ID_ASIG]=ASIGNACION!$G296),"No existe información"))))</f>
        <v>No existe información</v>
      </c>
      <c r="I296" s="1"/>
      <c r="J296">
        <f>_xlfn.XLOOKUP(Tabla1[[#This Row],[ID_ASIG_CAM_DET]],MAE_ASIGNATURA[ID_ASIG],MAE_ASIGNATURA[HORAS],0)</f>
        <v>0</v>
      </c>
      <c r="K296">
        <v>4</v>
      </c>
      <c r="L296" s="2">
        <f>+Tabla1[[#This Row],[CALCULAR HORA]]*Tabla1[[#This Row],[HORAS]]</f>
        <v>0</v>
      </c>
      <c r="N296" t="str">
        <f>_xlfn.XLOOKUP(Tabla1[[#This Row],[NOMBRE_DOCENT]],MDOCENTES[DATOS_DOCENTE],MDOCENTES[DEDICACION],"Seleccione Docente")</f>
        <v>Seleccione Docente</v>
      </c>
      <c r="O296" t="str">
        <f>_xlfn.XLOOKUP(Tabla1[[#This Row],[NOMBRE_DOCENT]],MDOCENTES[DATOS_DOCENTE],MDOCENTES[ESTUDIO],"Seleccione Docente")</f>
        <v>Seleccione Docente</v>
      </c>
      <c r="P296">
        <f t="shared" si="20"/>
        <v>0</v>
      </c>
      <c r="Q296">
        <f t="shared" si="21"/>
        <v>0</v>
      </c>
      <c r="R296">
        <f t="shared" si="22"/>
        <v>0</v>
      </c>
      <c r="S296">
        <f t="shared" si="23"/>
        <v>0</v>
      </c>
      <c r="T296">
        <f t="shared" si="24"/>
        <v>0</v>
      </c>
      <c r="U296">
        <f>Tabla1[[#This Row],[HORAS NO AFINIDAD]]+Tabla1[[#This Row],[HORAS UNIDAD BASICA]]+Tabla1[[#This Row],[HORAS AFINIDAD]]</f>
        <v>0</v>
      </c>
      <c r="V296">
        <f>+Tabla1[[#This Row],[HORAS AFINIDAD]]+Tabla1[[#This Row],[HORAS ACTIVIDAD]]+Tabla1[[#This Row],[HORAS UNIDAD BASICA]]+Tabla1[[#This Row],[HORAS NO AFINIDAD]]</f>
        <v>0</v>
      </c>
    </row>
    <row r="297" spans="1:22" ht="18.75" customHeight="1">
      <c r="A297">
        <v>296</v>
      </c>
      <c r="C297" t="str">
        <f>_xlfn.XLOOKUP(Tabla1[[#This Row],[CARRERA]],MAE_CARRERA[NOMBRE_CARRERA],MAE_CARRERA[ID_CARRERA],"Seleccione Carrera")</f>
        <v>Seleccione Carrera</v>
      </c>
      <c r="F297" s="1"/>
      <c r="G297" t="str">
        <f>_xlfn.XLOOKUP(Tabla1[[#This Row],[ASIGNATURA]],MAE_ASIGNATURA[NOM_ASIG],MAE_ASIGNATURA[ID_ASIG],"Seleccione Asignatura")</f>
        <v>Seleccione Asignatura</v>
      </c>
      <c r="H297" s="1" t="str" cm="1">
        <f t="array" ref="H297">_xlfn.TEXTJOIN("; ",TRUE,TRANSPOSE(_xlfn.UNIQUE(_xlfn._xlws.FILTER(DET_ASIG[DETALLADO],(DET_ASIG[NIVEL]=ASIGNACION!$D297)*(DET_ASIG[ID_CARRERA]=ASIGNACION!$C297)*(DET_ASIG[ID_ASIG]=ASIGNACION!$G297),"No existe información"))))</f>
        <v>No existe información</v>
      </c>
      <c r="I297" s="1"/>
      <c r="J297">
        <f>_xlfn.XLOOKUP(Tabla1[[#This Row],[ID_ASIG_CAM_DET]],MAE_ASIGNATURA[ID_ASIG],MAE_ASIGNATURA[HORAS],0)</f>
        <v>0</v>
      </c>
      <c r="K297">
        <v>4</v>
      </c>
      <c r="L297" s="2">
        <f>+Tabla1[[#This Row],[CALCULAR HORA]]*Tabla1[[#This Row],[HORAS]]</f>
        <v>0</v>
      </c>
      <c r="N297" t="str">
        <f>_xlfn.XLOOKUP(Tabla1[[#This Row],[NOMBRE_DOCENT]],MDOCENTES[DATOS_DOCENTE],MDOCENTES[DEDICACION],"Seleccione Docente")</f>
        <v>Seleccione Docente</v>
      </c>
      <c r="O297" t="str">
        <f>_xlfn.XLOOKUP(Tabla1[[#This Row],[NOMBRE_DOCENT]],MDOCENTES[DATOS_DOCENTE],MDOCENTES[ESTUDIO],"Seleccione Docente")</f>
        <v>Seleccione Docente</v>
      </c>
      <c r="P297">
        <f t="shared" si="20"/>
        <v>0</v>
      </c>
      <c r="Q297">
        <f t="shared" si="21"/>
        <v>0</v>
      </c>
      <c r="R297">
        <f t="shared" si="22"/>
        <v>0</v>
      </c>
      <c r="S297">
        <f t="shared" si="23"/>
        <v>0</v>
      </c>
      <c r="T297">
        <f t="shared" si="24"/>
        <v>0</v>
      </c>
      <c r="U297">
        <f>Tabla1[[#This Row],[HORAS NO AFINIDAD]]+Tabla1[[#This Row],[HORAS UNIDAD BASICA]]+Tabla1[[#This Row],[HORAS AFINIDAD]]</f>
        <v>0</v>
      </c>
      <c r="V297">
        <f>+Tabla1[[#This Row],[HORAS AFINIDAD]]+Tabla1[[#This Row],[HORAS ACTIVIDAD]]+Tabla1[[#This Row],[HORAS UNIDAD BASICA]]+Tabla1[[#This Row],[HORAS NO AFINIDAD]]</f>
        <v>0</v>
      </c>
    </row>
    <row r="298" spans="1:22" ht="18.75" customHeight="1">
      <c r="A298">
        <v>297</v>
      </c>
      <c r="C298" t="str">
        <f>_xlfn.XLOOKUP(Tabla1[[#This Row],[CARRERA]],MAE_CARRERA[NOMBRE_CARRERA],MAE_CARRERA[ID_CARRERA],"Seleccione Carrera")</f>
        <v>Seleccione Carrera</v>
      </c>
      <c r="F298" s="1"/>
      <c r="G298" t="str">
        <f>_xlfn.XLOOKUP(Tabla1[[#This Row],[ASIGNATURA]],MAE_ASIGNATURA[NOM_ASIG],MAE_ASIGNATURA[ID_ASIG],"Seleccione Asignatura")</f>
        <v>Seleccione Asignatura</v>
      </c>
      <c r="H298" s="1" t="str" cm="1">
        <f t="array" ref="H298">_xlfn.TEXTJOIN("; ",TRUE,TRANSPOSE(_xlfn.UNIQUE(_xlfn._xlws.FILTER(DET_ASIG[DETALLADO],(DET_ASIG[NIVEL]=ASIGNACION!$D298)*(DET_ASIG[ID_CARRERA]=ASIGNACION!$C298)*(DET_ASIG[ID_ASIG]=ASIGNACION!$G298),"No existe información"))))</f>
        <v>No existe información</v>
      </c>
      <c r="I298" s="1"/>
      <c r="J298">
        <f>_xlfn.XLOOKUP(Tabla1[[#This Row],[ID_ASIG_CAM_DET]],MAE_ASIGNATURA[ID_ASIG],MAE_ASIGNATURA[HORAS],0)</f>
        <v>0</v>
      </c>
      <c r="K298">
        <v>4</v>
      </c>
      <c r="L298" s="2">
        <f>+Tabla1[[#This Row],[CALCULAR HORA]]*Tabla1[[#This Row],[HORAS]]</f>
        <v>0</v>
      </c>
      <c r="N298" t="str">
        <f>_xlfn.XLOOKUP(Tabla1[[#This Row],[NOMBRE_DOCENT]],MDOCENTES[DATOS_DOCENTE],MDOCENTES[DEDICACION],"Seleccione Docente")</f>
        <v>Seleccione Docente</v>
      </c>
      <c r="O298" t="str">
        <f>_xlfn.XLOOKUP(Tabla1[[#This Row],[NOMBRE_DOCENT]],MDOCENTES[DATOS_DOCENTE],MDOCENTES[ESTUDIO],"Seleccione Docente")</f>
        <v>Seleccione Docente</v>
      </c>
      <c r="P298">
        <f t="shared" si="20"/>
        <v>0</v>
      </c>
      <c r="Q298">
        <f t="shared" si="21"/>
        <v>0</v>
      </c>
      <c r="R298">
        <f t="shared" si="22"/>
        <v>0</v>
      </c>
      <c r="S298">
        <f t="shared" si="23"/>
        <v>0</v>
      </c>
      <c r="T298">
        <f t="shared" si="24"/>
        <v>0</v>
      </c>
      <c r="U298">
        <f>Tabla1[[#This Row],[HORAS NO AFINIDAD]]+Tabla1[[#This Row],[HORAS UNIDAD BASICA]]+Tabla1[[#This Row],[HORAS AFINIDAD]]</f>
        <v>0</v>
      </c>
      <c r="V298">
        <f>+Tabla1[[#This Row],[HORAS AFINIDAD]]+Tabla1[[#This Row],[HORAS ACTIVIDAD]]+Tabla1[[#This Row],[HORAS UNIDAD BASICA]]+Tabla1[[#This Row],[HORAS NO AFINIDAD]]</f>
        <v>0</v>
      </c>
    </row>
    <row r="299" spans="1:22" ht="18.75" customHeight="1">
      <c r="A299">
        <v>298</v>
      </c>
      <c r="C299" t="str">
        <f>_xlfn.XLOOKUP(Tabla1[[#This Row],[CARRERA]],MAE_CARRERA[NOMBRE_CARRERA],MAE_CARRERA[ID_CARRERA],"Seleccione Carrera")</f>
        <v>Seleccione Carrera</v>
      </c>
      <c r="F299" s="1"/>
      <c r="G299" t="str">
        <f>_xlfn.XLOOKUP(Tabla1[[#This Row],[ASIGNATURA]],MAE_ASIGNATURA[NOM_ASIG],MAE_ASIGNATURA[ID_ASIG],"Seleccione Asignatura")</f>
        <v>Seleccione Asignatura</v>
      </c>
      <c r="H299" s="1" t="str" cm="1">
        <f t="array" ref="H299">_xlfn.TEXTJOIN("; ",TRUE,TRANSPOSE(_xlfn.UNIQUE(_xlfn._xlws.FILTER(DET_ASIG[DETALLADO],(DET_ASIG[NIVEL]=ASIGNACION!$D299)*(DET_ASIG[ID_CARRERA]=ASIGNACION!$C299)*(DET_ASIG[ID_ASIG]=ASIGNACION!$G299),"No existe información"))))</f>
        <v>No existe información</v>
      </c>
      <c r="I299" s="1"/>
      <c r="J299">
        <f>_xlfn.XLOOKUP(Tabla1[[#This Row],[ID_ASIG_CAM_DET]],MAE_ASIGNATURA[ID_ASIG],MAE_ASIGNATURA[HORAS],0)</f>
        <v>0</v>
      </c>
      <c r="K299">
        <v>4</v>
      </c>
      <c r="L299" s="2">
        <f>+Tabla1[[#This Row],[CALCULAR HORA]]*Tabla1[[#This Row],[HORAS]]</f>
        <v>0</v>
      </c>
      <c r="N299" t="str">
        <f>_xlfn.XLOOKUP(Tabla1[[#This Row],[NOMBRE_DOCENT]],MDOCENTES[DATOS_DOCENTE],MDOCENTES[DEDICACION],"Seleccione Docente")</f>
        <v>Seleccione Docente</v>
      </c>
      <c r="O299" t="str">
        <f>_xlfn.XLOOKUP(Tabla1[[#This Row],[NOMBRE_DOCENT]],MDOCENTES[DATOS_DOCENTE],MDOCENTES[ESTUDIO],"Seleccione Docente")</f>
        <v>Seleccione Docente</v>
      </c>
      <c r="P299">
        <f t="shared" si="20"/>
        <v>0</v>
      </c>
      <c r="Q299">
        <f t="shared" si="21"/>
        <v>0</v>
      </c>
      <c r="R299">
        <f t="shared" si="22"/>
        <v>0</v>
      </c>
      <c r="S299">
        <f t="shared" si="23"/>
        <v>0</v>
      </c>
      <c r="T299">
        <f t="shared" si="24"/>
        <v>0</v>
      </c>
      <c r="U299">
        <f>Tabla1[[#This Row],[HORAS NO AFINIDAD]]+Tabla1[[#This Row],[HORAS UNIDAD BASICA]]+Tabla1[[#This Row],[HORAS AFINIDAD]]</f>
        <v>0</v>
      </c>
      <c r="V299">
        <f>+Tabla1[[#This Row],[HORAS AFINIDAD]]+Tabla1[[#This Row],[HORAS ACTIVIDAD]]+Tabla1[[#This Row],[HORAS UNIDAD BASICA]]+Tabla1[[#This Row],[HORAS NO AFINIDAD]]</f>
        <v>0</v>
      </c>
    </row>
    <row r="300" spans="1:22" ht="18.75" customHeight="1">
      <c r="A300">
        <v>299</v>
      </c>
      <c r="C300" t="str">
        <f>_xlfn.XLOOKUP(Tabla1[[#This Row],[CARRERA]],MAE_CARRERA[NOMBRE_CARRERA],MAE_CARRERA[ID_CARRERA],"Seleccione Carrera")</f>
        <v>Seleccione Carrera</v>
      </c>
      <c r="F300" s="1"/>
      <c r="G300" t="str">
        <f>_xlfn.XLOOKUP(Tabla1[[#This Row],[ASIGNATURA]],MAE_ASIGNATURA[NOM_ASIG],MAE_ASIGNATURA[ID_ASIG],"Seleccione Asignatura")</f>
        <v>Seleccione Asignatura</v>
      </c>
      <c r="H300" s="1" t="str" cm="1">
        <f t="array" ref="H300">_xlfn.TEXTJOIN("; ",TRUE,TRANSPOSE(_xlfn.UNIQUE(_xlfn._xlws.FILTER(DET_ASIG[DETALLADO],(DET_ASIG[NIVEL]=ASIGNACION!$D300)*(DET_ASIG[ID_CARRERA]=ASIGNACION!$C300)*(DET_ASIG[ID_ASIG]=ASIGNACION!$G300),"No existe información"))))</f>
        <v>No existe información</v>
      </c>
      <c r="I300" s="1"/>
      <c r="J300">
        <f>_xlfn.XLOOKUP(Tabla1[[#This Row],[ID_ASIG_CAM_DET]],MAE_ASIGNATURA[ID_ASIG],MAE_ASIGNATURA[HORAS],0)</f>
        <v>0</v>
      </c>
      <c r="K300">
        <v>4</v>
      </c>
      <c r="L300" s="2">
        <f>+Tabla1[[#This Row],[CALCULAR HORA]]*Tabla1[[#This Row],[HORAS]]</f>
        <v>0</v>
      </c>
      <c r="N300" t="str">
        <f>_xlfn.XLOOKUP(Tabla1[[#This Row],[NOMBRE_DOCENT]],MDOCENTES[DATOS_DOCENTE],MDOCENTES[DEDICACION],"Seleccione Docente")</f>
        <v>Seleccione Docente</v>
      </c>
      <c r="O300" t="str">
        <f>_xlfn.XLOOKUP(Tabla1[[#This Row],[NOMBRE_DOCENT]],MDOCENTES[DATOS_DOCENTE],MDOCENTES[ESTUDIO],"Seleccione Docente")</f>
        <v>Seleccione Docente</v>
      </c>
      <c r="P300">
        <f t="shared" si="20"/>
        <v>0</v>
      </c>
      <c r="Q300">
        <f t="shared" si="21"/>
        <v>0</v>
      </c>
      <c r="R300">
        <f t="shared" si="22"/>
        <v>0</v>
      </c>
      <c r="S300">
        <f t="shared" si="23"/>
        <v>0</v>
      </c>
      <c r="T300">
        <f t="shared" si="24"/>
        <v>0</v>
      </c>
      <c r="U300">
        <f>Tabla1[[#This Row],[HORAS NO AFINIDAD]]+Tabla1[[#This Row],[HORAS UNIDAD BASICA]]+Tabla1[[#This Row],[HORAS AFINIDAD]]</f>
        <v>0</v>
      </c>
      <c r="V300">
        <f>+Tabla1[[#This Row],[HORAS AFINIDAD]]+Tabla1[[#This Row],[HORAS ACTIVIDAD]]+Tabla1[[#This Row],[HORAS UNIDAD BASICA]]+Tabla1[[#This Row],[HORAS NO AFINIDAD]]</f>
        <v>0</v>
      </c>
    </row>
    <row r="301" spans="1:22" ht="18.75" customHeight="1">
      <c r="A301">
        <v>300</v>
      </c>
      <c r="C301" t="str">
        <f>_xlfn.XLOOKUP(Tabla1[[#This Row],[CARRERA]],MAE_CARRERA[NOMBRE_CARRERA],MAE_CARRERA[ID_CARRERA],"Seleccione Carrera")</f>
        <v>Seleccione Carrera</v>
      </c>
      <c r="F301" s="1"/>
      <c r="G301" t="str">
        <f>_xlfn.XLOOKUP(Tabla1[[#This Row],[ASIGNATURA]],MAE_ASIGNATURA[NOM_ASIG],MAE_ASIGNATURA[ID_ASIG],"Seleccione Asignatura")</f>
        <v>Seleccione Asignatura</v>
      </c>
      <c r="H301" s="1" t="str" cm="1">
        <f t="array" ref="H301">_xlfn.TEXTJOIN("; ",TRUE,TRANSPOSE(_xlfn.UNIQUE(_xlfn._xlws.FILTER(DET_ASIG[DETALLADO],(DET_ASIG[NIVEL]=ASIGNACION!$D301)*(DET_ASIG[ID_CARRERA]=ASIGNACION!$C301)*(DET_ASIG[ID_ASIG]=ASIGNACION!$G301),"No existe información"))))</f>
        <v>No existe información</v>
      </c>
      <c r="I301" s="1"/>
      <c r="J301">
        <f>_xlfn.XLOOKUP(Tabla1[[#This Row],[ID_ASIG_CAM_DET]],MAE_ASIGNATURA[ID_ASIG],MAE_ASIGNATURA[HORAS],0)</f>
        <v>0</v>
      </c>
      <c r="K301">
        <v>4</v>
      </c>
      <c r="L301" s="2">
        <f>+Tabla1[[#This Row],[CALCULAR HORA]]*Tabla1[[#This Row],[HORAS]]</f>
        <v>0</v>
      </c>
      <c r="N301" t="str">
        <f>_xlfn.XLOOKUP(Tabla1[[#This Row],[NOMBRE_DOCENT]],MDOCENTES[DATOS_DOCENTE],MDOCENTES[DEDICACION],"Seleccione Docente")</f>
        <v>Seleccione Docente</v>
      </c>
      <c r="O301" t="str">
        <f>_xlfn.XLOOKUP(Tabla1[[#This Row],[NOMBRE_DOCENT]],MDOCENTES[DATOS_DOCENTE],MDOCENTES[ESTUDIO],"Seleccione Docente")</f>
        <v>Seleccione Docente</v>
      </c>
      <c r="P301">
        <f t="shared" si="20"/>
        <v>0</v>
      </c>
      <c r="Q301">
        <f t="shared" si="21"/>
        <v>0</v>
      </c>
      <c r="R301">
        <f t="shared" si="22"/>
        <v>0</v>
      </c>
      <c r="S301">
        <f t="shared" si="23"/>
        <v>0</v>
      </c>
      <c r="T301">
        <f t="shared" si="24"/>
        <v>0</v>
      </c>
      <c r="U301">
        <f>Tabla1[[#This Row],[HORAS NO AFINIDAD]]+Tabla1[[#This Row],[HORAS UNIDAD BASICA]]+Tabla1[[#This Row],[HORAS AFINIDAD]]</f>
        <v>0</v>
      </c>
      <c r="V301">
        <f>+Tabla1[[#This Row],[HORAS AFINIDAD]]+Tabla1[[#This Row],[HORAS ACTIVIDAD]]+Tabla1[[#This Row],[HORAS UNIDAD BASICA]]+Tabla1[[#This Row],[HORAS NO AFINIDAD]]</f>
        <v>0</v>
      </c>
    </row>
    <row r="302" spans="1:22" ht="18.75" customHeight="1">
      <c r="A302">
        <v>301</v>
      </c>
      <c r="C302" t="str">
        <f>_xlfn.XLOOKUP(Tabla1[[#This Row],[CARRERA]],MAE_CARRERA[NOMBRE_CARRERA],MAE_CARRERA[ID_CARRERA],"Seleccione Carrera")</f>
        <v>Seleccione Carrera</v>
      </c>
      <c r="F302" s="1"/>
      <c r="G302" t="str">
        <f>_xlfn.XLOOKUP(Tabla1[[#This Row],[ASIGNATURA]],MAE_ASIGNATURA[NOM_ASIG],MAE_ASIGNATURA[ID_ASIG],"Seleccione Asignatura")</f>
        <v>Seleccione Asignatura</v>
      </c>
      <c r="H302" s="1" t="str" cm="1">
        <f t="array" ref="H302">_xlfn.TEXTJOIN("; ",TRUE,TRANSPOSE(_xlfn.UNIQUE(_xlfn._xlws.FILTER(DET_ASIG[DETALLADO],(DET_ASIG[NIVEL]=ASIGNACION!$D302)*(DET_ASIG[ID_CARRERA]=ASIGNACION!$C302)*(DET_ASIG[ID_ASIG]=ASIGNACION!$G302),"No existe información"))))</f>
        <v>No existe información</v>
      </c>
      <c r="I302" s="1"/>
      <c r="J302">
        <f>_xlfn.XLOOKUP(Tabla1[[#This Row],[ID_ASIG_CAM_DET]],MAE_ASIGNATURA[ID_ASIG],MAE_ASIGNATURA[HORAS],0)</f>
        <v>0</v>
      </c>
      <c r="K302">
        <v>4</v>
      </c>
      <c r="L302" s="2">
        <f>+Tabla1[[#This Row],[CALCULAR HORA]]*Tabla1[[#This Row],[HORAS]]</f>
        <v>0</v>
      </c>
      <c r="N302" t="str">
        <f>_xlfn.XLOOKUP(Tabla1[[#This Row],[NOMBRE_DOCENT]],MDOCENTES[DATOS_DOCENTE],MDOCENTES[DEDICACION],"Seleccione Docente")</f>
        <v>Seleccione Docente</v>
      </c>
      <c r="O302" t="str">
        <f>_xlfn.XLOOKUP(Tabla1[[#This Row],[NOMBRE_DOCENT]],MDOCENTES[DATOS_DOCENTE],MDOCENTES[ESTUDIO],"Seleccione Docente")</f>
        <v>Seleccione Docente</v>
      </c>
      <c r="P302">
        <f t="shared" si="20"/>
        <v>0</v>
      </c>
      <c r="Q302">
        <f t="shared" si="21"/>
        <v>0</v>
      </c>
      <c r="R302">
        <f t="shared" si="22"/>
        <v>0</v>
      </c>
      <c r="S302">
        <f t="shared" si="23"/>
        <v>0</v>
      </c>
      <c r="T302">
        <f t="shared" si="24"/>
        <v>0</v>
      </c>
      <c r="U302">
        <f>Tabla1[[#This Row],[HORAS NO AFINIDAD]]+Tabla1[[#This Row],[HORAS UNIDAD BASICA]]+Tabla1[[#This Row],[HORAS AFINIDAD]]</f>
        <v>0</v>
      </c>
      <c r="V302">
        <f>+Tabla1[[#This Row],[HORAS AFINIDAD]]+Tabla1[[#This Row],[HORAS ACTIVIDAD]]+Tabla1[[#This Row],[HORAS UNIDAD BASICA]]+Tabla1[[#This Row],[HORAS NO AFINIDAD]]</f>
        <v>0</v>
      </c>
    </row>
    <row r="303" spans="1:22" ht="18.75" customHeight="1">
      <c r="A303">
        <v>302</v>
      </c>
      <c r="C303" t="str">
        <f>_xlfn.XLOOKUP(Tabla1[[#This Row],[CARRERA]],MAE_CARRERA[NOMBRE_CARRERA],MAE_CARRERA[ID_CARRERA],"Seleccione Carrera")</f>
        <v>Seleccione Carrera</v>
      </c>
      <c r="F303" s="1"/>
      <c r="G303" t="str">
        <f>_xlfn.XLOOKUP(Tabla1[[#This Row],[ASIGNATURA]],MAE_ASIGNATURA[NOM_ASIG],MAE_ASIGNATURA[ID_ASIG],"Seleccione Asignatura")</f>
        <v>Seleccione Asignatura</v>
      </c>
      <c r="H303" s="1" t="str" cm="1">
        <f t="array" ref="H303">_xlfn.TEXTJOIN("; ",TRUE,TRANSPOSE(_xlfn.UNIQUE(_xlfn._xlws.FILTER(DET_ASIG[DETALLADO],(DET_ASIG[NIVEL]=ASIGNACION!$D303)*(DET_ASIG[ID_CARRERA]=ASIGNACION!$C303)*(DET_ASIG[ID_ASIG]=ASIGNACION!$G303),"No existe información"))))</f>
        <v>No existe información</v>
      </c>
      <c r="I303" s="1"/>
      <c r="J303">
        <f>_xlfn.XLOOKUP(Tabla1[[#This Row],[ID_ASIG_CAM_DET]],MAE_ASIGNATURA[ID_ASIG],MAE_ASIGNATURA[HORAS],0)</f>
        <v>0</v>
      </c>
      <c r="K303">
        <v>4</v>
      </c>
      <c r="L303" s="2">
        <f>+Tabla1[[#This Row],[CALCULAR HORA]]*Tabla1[[#This Row],[HORAS]]</f>
        <v>0</v>
      </c>
      <c r="N303" t="str">
        <f>_xlfn.XLOOKUP(Tabla1[[#This Row],[NOMBRE_DOCENT]],MDOCENTES[DATOS_DOCENTE],MDOCENTES[DEDICACION],"Seleccione Docente")</f>
        <v>Seleccione Docente</v>
      </c>
      <c r="O303" t="str">
        <f>_xlfn.XLOOKUP(Tabla1[[#This Row],[NOMBRE_DOCENT]],MDOCENTES[DATOS_DOCENTE],MDOCENTES[ESTUDIO],"Seleccione Docente")</f>
        <v>Seleccione Docente</v>
      </c>
      <c r="P303">
        <f t="shared" si="20"/>
        <v>0</v>
      </c>
      <c r="Q303">
        <f t="shared" si="21"/>
        <v>0</v>
      </c>
      <c r="R303">
        <f t="shared" si="22"/>
        <v>0</v>
      </c>
      <c r="S303">
        <f t="shared" si="23"/>
        <v>0</v>
      </c>
      <c r="T303">
        <f t="shared" si="24"/>
        <v>0</v>
      </c>
      <c r="U303">
        <f>Tabla1[[#This Row],[HORAS NO AFINIDAD]]+Tabla1[[#This Row],[HORAS UNIDAD BASICA]]+Tabla1[[#This Row],[HORAS AFINIDAD]]</f>
        <v>0</v>
      </c>
      <c r="V303">
        <f>+Tabla1[[#This Row],[HORAS AFINIDAD]]+Tabla1[[#This Row],[HORAS ACTIVIDAD]]+Tabla1[[#This Row],[HORAS UNIDAD BASICA]]+Tabla1[[#This Row],[HORAS NO AFINIDAD]]</f>
        <v>0</v>
      </c>
    </row>
    <row r="304" spans="1:22" ht="18.75" customHeight="1">
      <c r="A304">
        <v>303</v>
      </c>
      <c r="C304" t="str">
        <f>_xlfn.XLOOKUP(Tabla1[[#This Row],[CARRERA]],MAE_CARRERA[NOMBRE_CARRERA],MAE_CARRERA[ID_CARRERA],"Seleccione Carrera")</f>
        <v>Seleccione Carrera</v>
      </c>
      <c r="F304" s="1"/>
      <c r="G304" t="str">
        <f>_xlfn.XLOOKUP(Tabla1[[#This Row],[ASIGNATURA]],MAE_ASIGNATURA[NOM_ASIG],MAE_ASIGNATURA[ID_ASIG],"Seleccione Asignatura")</f>
        <v>Seleccione Asignatura</v>
      </c>
      <c r="H304" s="1" t="str" cm="1">
        <f t="array" ref="H304">_xlfn.TEXTJOIN("; ",TRUE,TRANSPOSE(_xlfn.UNIQUE(_xlfn._xlws.FILTER(DET_ASIG[DETALLADO],(DET_ASIG[NIVEL]=ASIGNACION!$D304)*(DET_ASIG[ID_CARRERA]=ASIGNACION!$C304)*(DET_ASIG[ID_ASIG]=ASIGNACION!$G304),"No existe información"))))</f>
        <v>No existe información</v>
      </c>
      <c r="I304" s="1"/>
      <c r="J304">
        <f>_xlfn.XLOOKUP(Tabla1[[#This Row],[ID_ASIG_CAM_DET]],MAE_ASIGNATURA[ID_ASIG],MAE_ASIGNATURA[HORAS],0)</f>
        <v>0</v>
      </c>
      <c r="K304">
        <v>4</v>
      </c>
      <c r="L304" s="2">
        <f>+Tabla1[[#This Row],[CALCULAR HORA]]*Tabla1[[#This Row],[HORAS]]</f>
        <v>0</v>
      </c>
      <c r="N304" t="str">
        <f>_xlfn.XLOOKUP(Tabla1[[#This Row],[NOMBRE_DOCENT]],MDOCENTES[DATOS_DOCENTE],MDOCENTES[DEDICACION],"Seleccione Docente")</f>
        <v>Seleccione Docente</v>
      </c>
      <c r="O304" t="str">
        <f>_xlfn.XLOOKUP(Tabla1[[#This Row],[NOMBRE_DOCENT]],MDOCENTES[DATOS_DOCENTE],MDOCENTES[ESTUDIO],"Seleccione Docente")</f>
        <v>Seleccione Docente</v>
      </c>
      <c r="P304">
        <f t="shared" si="20"/>
        <v>0</v>
      </c>
      <c r="Q304">
        <f t="shared" si="21"/>
        <v>0</v>
      </c>
      <c r="R304">
        <f t="shared" si="22"/>
        <v>0</v>
      </c>
      <c r="S304">
        <f t="shared" si="23"/>
        <v>0</v>
      </c>
      <c r="T304">
        <f t="shared" si="24"/>
        <v>0</v>
      </c>
      <c r="U304">
        <f>Tabla1[[#This Row],[HORAS NO AFINIDAD]]+Tabla1[[#This Row],[HORAS UNIDAD BASICA]]+Tabla1[[#This Row],[HORAS AFINIDAD]]</f>
        <v>0</v>
      </c>
      <c r="V304">
        <f>+Tabla1[[#This Row],[HORAS AFINIDAD]]+Tabla1[[#This Row],[HORAS ACTIVIDAD]]+Tabla1[[#This Row],[HORAS UNIDAD BASICA]]+Tabla1[[#This Row],[HORAS NO AFINIDAD]]</f>
        <v>0</v>
      </c>
    </row>
    <row r="305" spans="1:22" ht="18.75" customHeight="1">
      <c r="A305">
        <v>304</v>
      </c>
      <c r="C305" t="str">
        <f>_xlfn.XLOOKUP(Tabla1[[#This Row],[CARRERA]],MAE_CARRERA[NOMBRE_CARRERA],MAE_CARRERA[ID_CARRERA],"Seleccione Carrera")</f>
        <v>Seleccione Carrera</v>
      </c>
      <c r="F305" s="1"/>
      <c r="G305" t="str">
        <f>_xlfn.XLOOKUP(Tabla1[[#This Row],[ASIGNATURA]],MAE_ASIGNATURA[NOM_ASIG],MAE_ASIGNATURA[ID_ASIG],"Seleccione Asignatura")</f>
        <v>Seleccione Asignatura</v>
      </c>
      <c r="H305" s="1" t="str" cm="1">
        <f t="array" ref="H305">_xlfn.TEXTJOIN("; ",TRUE,TRANSPOSE(_xlfn.UNIQUE(_xlfn._xlws.FILTER(DET_ASIG[DETALLADO],(DET_ASIG[NIVEL]=ASIGNACION!$D305)*(DET_ASIG[ID_CARRERA]=ASIGNACION!$C305)*(DET_ASIG[ID_ASIG]=ASIGNACION!$G305),"No existe información"))))</f>
        <v>No existe información</v>
      </c>
      <c r="I305" s="1"/>
      <c r="J305">
        <f>_xlfn.XLOOKUP(Tabla1[[#This Row],[ID_ASIG_CAM_DET]],MAE_ASIGNATURA[ID_ASIG],MAE_ASIGNATURA[HORAS],0)</f>
        <v>0</v>
      </c>
      <c r="K305">
        <v>4</v>
      </c>
      <c r="L305" s="2">
        <f>+Tabla1[[#This Row],[CALCULAR HORA]]*Tabla1[[#This Row],[HORAS]]</f>
        <v>0</v>
      </c>
      <c r="N305" t="str">
        <f>_xlfn.XLOOKUP(Tabla1[[#This Row],[NOMBRE_DOCENT]],MDOCENTES[DATOS_DOCENTE],MDOCENTES[DEDICACION],"Seleccione Docente")</f>
        <v>Seleccione Docente</v>
      </c>
      <c r="O305" t="str">
        <f>_xlfn.XLOOKUP(Tabla1[[#This Row],[NOMBRE_DOCENT]],MDOCENTES[DATOS_DOCENTE],MDOCENTES[ESTUDIO],"Seleccione Docente")</f>
        <v>Seleccione Docente</v>
      </c>
      <c r="P305">
        <f t="shared" si="20"/>
        <v>0</v>
      </c>
      <c r="Q305">
        <f t="shared" si="21"/>
        <v>0</v>
      </c>
      <c r="R305">
        <f t="shared" si="22"/>
        <v>0</v>
      </c>
      <c r="S305">
        <f t="shared" si="23"/>
        <v>0</v>
      </c>
      <c r="T305">
        <f t="shared" si="24"/>
        <v>0</v>
      </c>
      <c r="U305">
        <f>Tabla1[[#This Row],[HORAS NO AFINIDAD]]+Tabla1[[#This Row],[HORAS UNIDAD BASICA]]+Tabla1[[#This Row],[HORAS AFINIDAD]]</f>
        <v>0</v>
      </c>
      <c r="V305">
        <f>+Tabla1[[#This Row],[HORAS AFINIDAD]]+Tabla1[[#This Row],[HORAS ACTIVIDAD]]+Tabla1[[#This Row],[HORAS UNIDAD BASICA]]+Tabla1[[#This Row],[HORAS NO AFINIDAD]]</f>
        <v>0</v>
      </c>
    </row>
    <row r="306" spans="1:22" ht="18.75" customHeight="1">
      <c r="A306">
        <v>305</v>
      </c>
      <c r="C306" t="str">
        <f>_xlfn.XLOOKUP(Tabla1[[#This Row],[CARRERA]],MAE_CARRERA[NOMBRE_CARRERA],MAE_CARRERA[ID_CARRERA],"Seleccione Carrera")</f>
        <v>Seleccione Carrera</v>
      </c>
      <c r="F306" s="1"/>
      <c r="G306" t="str">
        <f>_xlfn.XLOOKUP(Tabla1[[#This Row],[ASIGNATURA]],MAE_ASIGNATURA[NOM_ASIG],MAE_ASIGNATURA[ID_ASIG],"Seleccione Asignatura")</f>
        <v>Seleccione Asignatura</v>
      </c>
      <c r="H306" s="1" t="str" cm="1">
        <f t="array" ref="H306">_xlfn.TEXTJOIN("; ",TRUE,TRANSPOSE(_xlfn.UNIQUE(_xlfn._xlws.FILTER(DET_ASIG[DETALLADO],(DET_ASIG[NIVEL]=ASIGNACION!$D306)*(DET_ASIG[ID_CARRERA]=ASIGNACION!$C306)*(DET_ASIG[ID_ASIG]=ASIGNACION!$G306),"No existe información"))))</f>
        <v>No existe información</v>
      </c>
      <c r="I306" s="1"/>
      <c r="J306">
        <f>_xlfn.XLOOKUP(Tabla1[[#This Row],[ID_ASIG_CAM_DET]],MAE_ASIGNATURA[ID_ASIG],MAE_ASIGNATURA[HORAS],0)</f>
        <v>0</v>
      </c>
      <c r="K306">
        <v>4</v>
      </c>
      <c r="L306" s="2">
        <f>+Tabla1[[#This Row],[CALCULAR HORA]]*Tabla1[[#This Row],[HORAS]]</f>
        <v>0</v>
      </c>
      <c r="N306" t="str">
        <f>_xlfn.XLOOKUP(Tabla1[[#This Row],[NOMBRE_DOCENT]],MDOCENTES[DATOS_DOCENTE],MDOCENTES[DEDICACION],"Seleccione Docente")</f>
        <v>Seleccione Docente</v>
      </c>
      <c r="O306" t="str">
        <f>_xlfn.XLOOKUP(Tabla1[[#This Row],[NOMBRE_DOCENT]],MDOCENTES[DATOS_DOCENTE],MDOCENTES[ESTUDIO],"Seleccione Docente")</f>
        <v>Seleccione Docente</v>
      </c>
      <c r="P306">
        <f t="shared" si="20"/>
        <v>0</v>
      </c>
      <c r="Q306">
        <f t="shared" si="21"/>
        <v>0</v>
      </c>
      <c r="R306">
        <f t="shared" si="22"/>
        <v>0</v>
      </c>
      <c r="S306">
        <f t="shared" si="23"/>
        <v>0</v>
      </c>
      <c r="T306">
        <f t="shared" si="24"/>
        <v>0</v>
      </c>
      <c r="U306">
        <f>Tabla1[[#This Row],[HORAS NO AFINIDAD]]+Tabla1[[#This Row],[HORAS UNIDAD BASICA]]+Tabla1[[#This Row],[HORAS AFINIDAD]]</f>
        <v>0</v>
      </c>
      <c r="V306">
        <f>+Tabla1[[#This Row],[HORAS AFINIDAD]]+Tabla1[[#This Row],[HORAS ACTIVIDAD]]+Tabla1[[#This Row],[HORAS UNIDAD BASICA]]+Tabla1[[#This Row],[HORAS NO AFINIDAD]]</f>
        <v>0</v>
      </c>
    </row>
    <row r="307" spans="1:22" ht="18.75" customHeight="1">
      <c r="A307">
        <v>306</v>
      </c>
      <c r="C307" t="str">
        <f>_xlfn.XLOOKUP(Tabla1[[#This Row],[CARRERA]],MAE_CARRERA[NOMBRE_CARRERA],MAE_CARRERA[ID_CARRERA],"Seleccione Carrera")</f>
        <v>Seleccione Carrera</v>
      </c>
      <c r="F307" s="1"/>
      <c r="G307" t="str">
        <f>_xlfn.XLOOKUP(Tabla1[[#This Row],[ASIGNATURA]],MAE_ASIGNATURA[NOM_ASIG],MAE_ASIGNATURA[ID_ASIG],"Seleccione Asignatura")</f>
        <v>Seleccione Asignatura</v>
      </c>
      <c r="H307" s="1" t="str" cm="1">
        <f t="array" ref="H307">_xlfn.TEXTJOIN("; ",TRUE,TRANSPOSE(_xlfn.UNIQUE(_xlfn._xlws.FILTER(DET_ASIG[DETALLADO],(DET_ASIG[NIVEL]=ASIGNACION!$D307)*(DET_ASIG[ID_CARRERA]=ASIGNACION!$C307)*(DET_ASIG[ID_ASIG]=ASIGNACION!$G307),"No existe información"))))</f>
        <v>No existe información</v>
      </c>
      <c r="I307" s="1"/>
      <c r="J307">
        <f>_xlfn.XLOOKUP(Tabla1[[#This Row],[ID_ASIG_CAM_DET]],MAE_ASIGNATURA[ID_ASIG],MAE_ASIGNATURA[HORAS],0)</f>
        <v>0</v>
      </c>
      <c r="K307">
        <v>4</v>
      </c>
      <c r="L307" s="2">
        <f>+Tabla1[[#This Row],[CALCULAR HORA]]*Tabla1[[#This Row],[HORAS]]</f>
        <v>0</v>
      </c>
      <c r="N307" t="str">
        <f>_xlfn.XLOOKUP(Tabla1[[#This Row],[NOMBRE_DOCENT]],MDOCENTES[DATOS_DOCENTE],MDOCENTES[DEDICACION],"Seleccione Docente")</f>
        <v>Seleccione Docente</v>
      </c>
      <c r="O307" t="str">
        <f>_xlfn.XLOOKUP(Tabla1[[#This Row],[NOMBRE_DOCENT]],MDOCENTES[DATOS_DOCENTE],MDOCENTES[ESTUDIO],"Seleccione Docente")</f>
        <v>Seleccione Docente</v>
      </c>
      <c r="P307">
        <f t="shared" si="20"/>
        <v>0</v>
      </c>
      <c r="Q307">
        <f t="shared" si="21"/>
        <v>0</v>
      </c>
      <c r="R307">
        <f t="shared" si="22"/>
        <v>0</v>
      </c>
      <c r="S307">
        <f t="shared" si="23"/>
        <v>0</v>
      </c>
      <c r="T307">
        <f t="shared" si="24"/>
        <v>0</v>
      </c>
      <c r="U307">
        <f>Tabla1[[#This Row],[HORAS NO AFINIDAD]]+Tabla1[[#This Row],[HORAS UNIDAD BASICA]]+Tabla1[[#This Row],[HORAS AFINIDAD]]</f>
        <v>0</v>
      </c>
      <c r="V307">
        <f>+Tabla1[[#This Row],[HORAS AFINIDAD]]+Tabla1[[#This Row],[HORAS ACTIVIDAD]]+Tabla1[[#This Row],[HORAS UNIDAD BASICA]]+Tabla1[[#This Row],[HORAS NO AFINIDAD]]</f>
        <v>0</v>
      </c>
    </row>
    <row r="308" spans="1:22" ht="18.75" customHeight="1">
      <c r="A308">
        <v>307</v>
      </c>
      <c r="C308" t="str">
        <f>_xlfn.XLOOKUP(Tabla1[[#This Row],[CARRERA]],MAE_CARRERA[NOMBRE_CARRERA],MAE_CARRERA[ID_CARRERA],"Seleccione Carrera")</f>
        <v>Seleccione Carrera</v>
      </c>
      <c r="F308" s="1"/>
      <c r="G308" t="str">
        <f>_xlfn.XLOOKUP(Tabla1[[#This Row],[ASIGNATURA]],MAE_ASIGNATURA[NOM_ASIG],MAE_ASIGNATURA[ID_ASIG],"Seleccione Asignatura")</f>
        <v>Seleccione Asignatura</v>
      </c>
      <c r="H308" s="1" t="str" cm="1">
        <f t="array" ref="H308">_xlfn.TEXTJOIN("; ",TRUE,TRANSPOSE(_xlfn.UNIQUE(_xlfn._xlws.FILTER(DET_ASIG[DETALLADO],(DET_ASIG[NIVEL]=ASIGNACION!$D308)*(DET_ASIG[ID_CARRERA]=ASIGNACION!$C308)*(DET_ASIG[ID_ASIG]=ASIGNACION!$G308),"No existe información"))))</f>
        <v>No existe información</v>
      </c>
      <c r="I308" s="1"/>
      <c r="J308">
        <f>_xlfn.XLOOKUP(Tabla1[[#This Row],[ID_ASIG_CAM_DET]],MAE_ASIGNATURA[ID_ASIG],MAE_ASIGNATURA[HORAS],0)</f>
        <v>0</v>
      </c>
      <c r="K308">
        <v>4</v>
      </c>
      <c r="L308" s="2">
        <f>+Tabla1[[#This Row],[CALCULAR HORA]]*Tabla1[[#This Row],[HORAS]]</f>
        <v>0</v>
      </c>
      <c r="N308" t="str">
        <f>_xlfn.XLOOKUP(Tabla1[[#This Row],[NOMBRE_DOCENT]],MDOCENTES[DATOS_DOCENTE],MDOCENTES[DEDICACION],"Seleccione Docente")</f>
        <v>Seleccione Docente</v>
      </c>
      <c r="O308" t="str">
        <f>_xlfn.XLOOKUP(Tabla1[[#This Row],[NOMBRE_DOCENT]],MDOCENTES[DATOS_DOCENTE],MDOCENTES[ESTUDIO],"Seleccione Docente")</f>
        <v>Seleccione Docente</v>
      </c>
      <c r="P308">
        <f t="shared" si="20"/>
        <v>0</v>
      </c>
      <c r="Q308">
        <f t="shared" si="21"/>
        <v>0</v>
      </c>
      <c r="R308">
        <f t="shared" si="22"/>
        <v>0</v>
      </c>
      <c r="S308">
        <f t="shared" si="23"/>
        <v>0</v>
      </c>
      <c r="T308">
        <f t="shared" si="24"/>
        <v>0</v>
      </c>
      <c r="U308">
        <f>Tabla1[[#This Row],[HORAS NO AFINIDAD]]+Tabla1[[#This Row],[HORAS UNIDAD BASICA]]+Tabla1[[#This Row],[HORAS AFINIDAD]]</f>
        <v>0</v>
      </c>
      <c r="V308">
        <f>+Tabla1[[#This Row],[HORAS AFINIDAD]]+Tabla1[[#This Row],[HORAS ACTIVIDAD]]+Tabla1[[#This Row],[HORAS UNIDAD BASICA]]+Tabla1[[#This Row],[HORAS NO AFINIDAD]]</f>
        <v>0</v>
      </c>
    </row>
    <row r="309" spans="1:22" ht="18.75" customHeight="1">
      <c r="A309">
        <v>308</v>
      </c>
      <c r="C309" t="str">
        <f>_xlfn.XLOOKUP(Tabla1[[#This Row],[CARRERA]],MAE_CARRERA[NOMBRE_CARRERA],MAE_CARRERA[ID_CARRERA],"Seleccione Carrera")</f>
        <v>Seleccione Carrera</v>
      </c>
      <c r="F309" s="1"/>
      <c r="G309" t="str">
        <f>_xlfn.XLOOKUP(Tabla1[[#This Row],[ASIGNATURA]],MAE_ASIGNATURA[NOM_ASIG],MAE_ASIGNATURA[ID_ASIG],"Seleccione Asignatura")</f>
        <v>Seleccione Asignatura</v>
      </c>
      <c r="H309" s="1" t="str" cm="1">
        <f t="array" ref="H309">_xlfn.TEXTJOIN("; ",TRUE,TRANSPOSE(_xlfn.UNIQUE(_xlfn._xlws.FILTER(DET_ASIG[DETALLADO],(DET_ASIG[NIVEL]=ASIGNACION!$D309)*(DET_ASIG[ID_CARRERA]=ASIGNACION!$C309)*(DET_ASIG[ID_ASIG]=ASIGNACION!$G309),"No existe información"))))</f>
        <v>No existe información</v>
      </c>
      <c r="I309" s="1"/>
      <c r="J309">
        <f>_xlfn.XLOOKUP(Tabla1[[#This Row],[ID_ASIG_CAM_DET]],MAE_ASIGNATURA[ID_ASIG],MAE_ASIGNATURA[HORAS],0)</f>
        <v>0</v>
      </c>
      <c r="K309">
        <v>4</v>
      </c>
      <c r="L309" s="2">
        <f>+Tabla1[[#This Row],[CALCULAR HORA]]*Tabla1[[#This Row],[HORAS]]</f>
        <v>0</v>
      </c>
      <c r="N309" t="str">
        <f>_xlfn.XLOOKUP(Tabla1[[#This Row],[NOMBRE_DOCENT]],MDOCENTES[DATOS_DOCENTE],MDOCENTES[DEDICACION],"Seleccione Docente")</f>
        <v>Seleccione Docente</v>
      </c>
      <c r="O309" t="str">
        <f>_xlfn.XLOOKUP(Tabla1[[#This Row],[NOMBRE_DOCENT]],MDOCENTES[DATOS_DOCENTE],MDOCENTES[ESTUDIO],"Seleccione Docente")</f>
        <v>Seleccione Docente</v>
      </c>
      <c r="P309">
        <f t="shared" si="20"/>
        <v>0</v>
      </c>
      <c r="Q309">
        <f t="shared" si="21"/>
        <v>0</v>
      </c>
      <c r="R309">
        <f t="shared" si="22"/>
        <v>0</v>
      </c>
      <c r="S309">
        <f t="shared" si="23"/>
        <v>0</v>
      </c>
      <c r="T309">
        <f t="shared" si="24"/>
        <v>0</v>
      </c>
      <c r="U309">
        <f>Tabla1[[#This Row],[HORAS NO AFINIDAD]]+Tabla1[[#This Row],[HORAS UNIDAD BASICA]]+Tabla1[[#This Row],[HORAS AFINIDAD]]</f>
        <v>0</v>
      </c>
      <c r="V309">
        <f>+Tabla1[[#This Row],[HORAS AFINIDAD]]+Tabla1[[#This Row],[HORAS ACTIVIDAD]]+Tabla1[[#This Row],[HORAS UNIDAD BASICA]]+Tabla1[[#This Row],[HORAS NO AFINIDAD]]</f>
        <v>0</v>
      </c>
    </row>
    <row r="310" spans="1:22" ht="18.75" customHeight="1">
      <c r="A310">
        <v>309</v>
      </c>
      <c r="C310" t="str">
        <f>_xlfn.XLOOKUP(Tabla1[[#This Row],[CARRERA]],MAE_CARRERA[NOMBRE_CARRERA],MAE_CARRERA[ID_CARRERA],"Seleccione Carrera")</f>
        <v>Seleccione Carrera</v>
      </c>
      <c r="F310" s="1"/>
      <c r="G310" t="str">
        <f>_xlfn.XLOOKUP(Tabla1[[#This Row],[ASIGNATURA]],MAE_ASIGNATURA[NOM_ASIG],MAE_ASIGNATURA[ID_ASIG],"Seleccione Asignatura")</f>
        <v>Seleccione Asignatura</v>
      </c>
      <c r="H310" s="1" t="str" cm="1">
        <f t="array" ref="H310">_xlfn.TEXTJOIN("; ",TRUE,TRANSPOSE(_xlfn.UNIQUE(_xlfn._xlws.FILTER(DET_ASIG[DETALLADO],(DET_ASIG[NIVEL]=ASIGNACION!$D310)*(DET_ASIG[ID_CARRERA]=ASIGNACION!$C310)*(DET_ASIG[ID_ASIG]=ASIGNACION!$G310),"No existe información"))))</f>
        <v>No existe información</v>
      </c>
      <c r="I310" s="1"/>
      <c r="J310">
        <f>_xlfn.XLOOKUP(Tabla1[[#This Row],[ID_ASIG_CAM_DET]],MAE_ASIGNATURA[ID_ASIG],MAE_ASIGNATURA[HORAS],0)</f>
        <v>0</v>
      </c>
      <c r="K310">
        <v>4</v>
      </c>
      <c r="L310" s="2">
        <f>+Tabla1[[#This Row],[CALCULAR HORA]]*Tabla1[[#This Row],[HORAS]]</f>
        <v>0</v>
      </c>
      <c r="N310" t="str">
        <f>_xlfn.XLOOKUP(Tabla1[[#This Row],[NOMBRE_DOCENT]],MDOCENTES[DATOS_DOCENTE],MDOCENTES[DEDICACION],"Seleccione Docente")</f>
        <v>Seleccione Docente</v>
      </c>
      <c r="O310" t="str">
        <f>_xlfn.XLOOKUP(Tabla1[[#This Row],[NOMBRE_DOCENT]],MDOCENTES[DATOS_DOCENTE],MDOCENTES[ESTUDIO],"Seleccione Docente")</f>
        <v>Seleccione Docente</v>
      </c>
      <c r="P310">
        <f t="shared" si="20"/>
        <v>0</v>
      </c>
      <c r="Q310">
        <f t="shared" si="21"/>
        <v>0</v>
      </c>
      <c r="R310">
        <f t="shared" si="22"/>
        <v>0</v>
      </c>
      <c r="S310">
        <f t="shared" si="23"/>
        <v>0</v>
      </c>
      <c r="T310">
        <f t="shared" si="24"/>
        <v>0</v>
      </c>
      <c r="U310">
        <f>Tabla1[[#This Row],[HORAS NO AFINIDAD]]+Tabla1[[#This Row],[HORAS UNIDAD BASICA]]+Tabla1[[#This Row],[HORAS AFINIDAD]]</f>
        <v>0</v>
      </c>
      <c r="V310">
        <f>+Tabla1[[#This Row],[HORAS AFINIDAD]]+Tabla1[[#This Row],[HORAS ACTIVIDAD]]+Tabla1[[#This Row],[HORAS UNIDAD BASICA]]+Tabla1[[#This Row],[HORAS NO AFINIDAD]]</f>
        <v>0</v>
      </c>
    </row>
    <row r="311" spans="1:22" ht="18.75" customHeight="1">
      <c r="A311">
        <v>310</v>
      </c>
      <c r="C311" t="str">
        <f>_xlfn.XLOOKUP(Tabla1[[#This Row],[CARRERA]],MAE_CARRERA[NOMBRE_CARRERA],MAE_CARRERA[ID_CARRERA],"Seleccione Carrera")</f>
        <v>Seleccione Carrera</v>
      </c>
      <c r="F311" s="1"/>
      <c r="G311" t="str">
        <f>_xlfn.XLOOKUP(Tabla1[[#This Row],[ASIGNATURA]],MAE_ASIGNATURA[NOM_ASIG],MAE_ASIGNATURA[ID_ASIG],"Seleccione Asignatura")</f>
        <v>Seleccione Asignatura</v>
      </c>
      <c r="H311" s="1" t="str" cm="1">
        <f t="array" ref="H311">_xlfn.TEXTJOIN("; ",TRUE,TRANSPOSE(_xlfn.UNIQUE(_xlfn._xlws.FILTER(DET_ASIG[DETALLADO],(DET_ASIG[NIVEL]=ASIGNACION!$D311)*(DET_ASIG[ID_CARRERA]=ASIGNACION!$C311)*(DET_ASIG[ID_ASIG]=ASIGNACION!$G311),"No existe información"))))</f>
        <v>No existe información</v>
      </c>
      <c r="I311" s="1"/>
      <c r="J311">
        <f>_xlfn.XLOOKUP(Tabla1[[#This Row],[ID_ASIG_CAM_DET]],MAE_ASIGNATURA[ID_ASIG],MAE_ASIGNATURA[HORAS],0)</f>
        <v>0</v>
      </c>
      <c r="K311">
        <v>4</v>
      </c>
      <c r="L311" s="2">
        <f>+Tabla1[[#This Row],[CALCULAR HORA]]*Tabla1[[#This Row],[HORAS]]</f>
        <v>0</v>
      </c>
      <c r="N311" t="str">
        <f>_xlfn.XLOOKUP(Tabla1[[#This Row],[NOMBRE_DOCENT]],MDOCENTES[DATOS_DOCENTE],MDOCENTES[DEDICACION],"Seleccione Docente")</f>
        <v>Seleccione Docente</v>
      </c>
      <c r="O311" t="str">
        <f>_xlfn.XLOOKUP(Tabla1[[#This Row],[NOMBRE_DOCENT]],MDOCENTES[DATOS_DOCENTE],MDOCENTES[ESTUDIO],"Seleccione Docente")</f>
        <v>Seleccione Docente</v>
      </c>
      <c r="P311">
        <f t="shared" si="20"/>
        <v>0</v>
      </c>
      <c r="Q311">
        <f t="shared" si="21"/>
        <v>0</v>
      </c>
      <c r="R311">
        <f t="shared" si="22"/>
        <v>0</v>
      </c>
      <c r="S311">
        <f t="shared" si="23"/>
        <v>0</v>
      </c>
      <c r="T311">
        <f t="shared" si="24"/>
        <v>0</v>
      </c>
      <c r="U311">
        <f>Tabla1[[#This Row],[HORAS NO AFINIDAD]]+Tabla1[[#This Row],[HORAS UNIDAD BASICA]]+Tabla1[[#This Row],[HORAS AFINIDAD]]</f>
        <v>0</v>
      </c>
      <c r="V311">
        <f>+Tabla1[[#This Row],[HORAS AFINIDAD]]+Tabla1[[#This Row],[HORAS ACTIVIDAD]]+Tabla1[[#This Row],[HORAS UNIDAD BASICA]]+Tabla1[[#This Row],[HORAS NO AFINIDAD]]</f>
        <v>0</v>
      </c>
    </row>
    <row r="312" spans="1:22" ht="18.75" customHeight="1">
      <c r="A312">
        <v>311</v>
      </c>
      <c r="C312" t="str">
        <f>_xlfn.XLOOKUP(Tabla1[[#This Row],[CARRERA]],MAE_CARRERA[NOMBRE_CARRERA],MAE_CARRERA[ID_CARRERA],"Seleccione Carrera")</f>
        <v>Seleccione Carrera</v>
      </c>
      <c r="F312" s="1"/>
      <c r="G312" t="str">
        <f>_xlfn.XLOOKUP(Tabla1[[#This Row],[ASIGNATURA]],MAE_ASIGNATURA[NOM_ASIG],MAE_ASIGNATURA[ID_ASIG],"Seleccione Asignatura")</f>
        <v>Seleccione Asignatura</v>
      </c>
      <c r="H312" s="1" t="str" cm="1">
        <f t="array" ref="H312">_xlfn.TEXTJOIN("; ",TRUE,TRANSPOSE(_xlfn.UNIQUE(_xlfn._xlws.FILTER(DET_ASIG[DETALLADO],(DET_ASIG[NIVEL]=ASIGNACION!$D312)*(DET_ASIG[ID_CARRERA]=ASIGNACION!$C312)*(DET_ASIG[ID_ASIG]=ASIGNACION!$G312),"No existe información"))))</f>
        <v>No existe información</v>
      </c>
      <c r="I312" s="1"/>
      <c r="J312">
        <f>_xlfn.XLOOKUP(Tabla1[[#This Row],[ID_ASIG_CAM_DET]],MAE_ASIGNATURA[ID_ASIG],MAE_ASIGNATURA[HORAS],0)</f>
        <v>0</v>
      </c>
      <c r="K312">
        <v>4</v>
      </c>
      <c r="L312" s="2">
        <f>+Tabla1[[#This Row],[CALCULAR HORA]]*Tabla1[[#This Row],[HORAS]]</f>
        <v>0</v>
      </c>
      <c r="N312" t="str">
        <f>_xlfn.XLOOKUP(Tabla1[[#This Row],[NOMBRE_DOCENT]],MDOCENTES[DATOS_DOCENTE],MDOCENTES[DEDICACION],"Seleccione Docente")</f>
        <v>Seleccione Docente</v>
      </c>
      <c r="O312" t="str">
        <f>_xlfn.XLOOKUP(Tabla1[[#This Row],[NOMBRE_DOCENT]],MDOCENTES[DATOS_DOCENTE],MDOCENTES[ESTUDIO],"Seleccione Docente")</f>
        <v>Seleccione Docente</v>
      </c>
      <c r="P312">
        <f t="shared" si="20"/>
        <v>0</v>
      </c>
      <c r="Q312">
        <f t="shared" si="21"/>
        <v>0</v>
      </c>
      <c r="R312">
        <f t="shared" si="22"/>
        <v>0</v>
      </c>
      <c r="S312">
        <f t="shared" si="23"/>
        <v>0</v>
      </c>
      <c r="T312">
        <f t="shared" si="24"/>
        <v>0</v>
      </c>
      <c r="U312">
        <f>Tabla1[[#This Row],[HORAS NO AFINIDAD]]+Tabla1[[#This Row],[HORAS UNIDAD BASICA]]+Tabla1[[#This Row],[HORAS AFINIDAD]]</f>
        <v>0</v>
      </c>
      <c r="V312">
        <f>+Tabla1[[#This Row],[HORAS AFINIDAD]]+Tabla1[[#This Row],[HORAS ACTIVIDAD]]+Tabla1[[#This Row],[HORAS UNIDAD BASICA]]+Tabla1[[#This Row],[HORAS NO AFINIDAD]]</f>
        <v>0</v>
      </c>
    </row>
    <row r="313" spans="1:22" ht="18.75" customHeight="1">
      <c r="A313">
        <v>312</v>
      </c>
      <c r="C313" t="str">
        <f>_xlfn.XLOOKUP(Tabla1[[#This Row],[CARRERA]],MAE_CARRERA[NOMBRE_CARRERA],MAE_CARRERA[ID_CARRERA],"Seleccione Carrera")</f>
        <v>Seleccione Carrera</v>
      </c>
      <c r="F313" s="1"/>
      <c r="G313" t="str">
        <f>_xlfn.XLOOKUP(Tabla1[[#This Row],[ASIGNATURA]],MAE_ASIGNATURA[NOM_ASIG],MAE_ASIGNATURA[ID_ASIG],"Seleccione Asignatura")</f>
        <v>Seleccione Asignatura</v>
      </c>
      <c r="H313" s="1" t="str" cm="1">
        <f t="array" ref="H313">_xlfn.TEXTJOIN("; ",TRUE,TRANSPOSE(_xlfn.UNIQUE(_xlfn._xlws.FILTER(DET_ASIG[DETALLADO],(DET_ASIG[NIVEL]=ASIGNACION!$D313)*(DET_ASIG[ID_CARRERA]=ASIGNACION!$C313)*(DET_ASIG[ID_ASIG]=ASIGNACION!$G313),"No existe información"))))</f>
        <v>No existe información</v>
      </c>
      <c r="I313" s="1"/>
      <c r="J313">
        <f>_xlfn.XLOOKUP(Tabla1[[#This Row],[ID_ASIG_CAM_DET]],MAE_ASIGNATURA[ID_ASIG],MAE_ASIGNATURA[HORAS],0)</f>
        <v>0</v>
      </c>
      <c r="K313">
        <v>4</v>
      </c>
      <c r="L313" s="2">
        <f>+Tabla1[[#This Row],[CALCULAR HORA]]*Tabla1[[#This Row],[HORAS]]</f>
        <v>0</v>
      </c>
      <c r="N313" t="str">
        <f>_xlfn.XLOOKUP(Tabla1[[#This Row],[NOMBRE_DOCENT]],MDOCENTES[DATOS_DOCENTE],MDOCENTES[DEDICACION],"Seleccione Docente")</f>
        <v>Seleccione Docente</v>
      </c>
      <c r="O313" t="str">
        <f>_xlfn.XLOOKUP(Tabla1[[#This Row],[NOMBRE_DOCENT]],MDOCENTES[DATOS_DOCENTE],MDOCENTES[ESTUDIO],"Seleccione Docente")</f>
        <v>Seleccione Docente</v>
      </c>
      <c r="P313">
        <f t="shared" si="20"/>
        <v>0</v>
      </c>
      <c r="Q313">
        <f t="shared" si="21"/>
        <v>0</v>
      </c>
      <c r="R313">
        <f t="shared" si="22"/>
        <v>0</v>
      </c>
      <c r="S313">
        <f t="shared" si="23"/>
        <v>0</v>
      </c>
      <c r="T313">
        <f t="shared" si="24"/>
        <v>0</v>
      </c>
      <c r="U313">
        <f>Tabla1[[#This Row],[HORAS NO AFINIDAD]]+Tabla1[[#This Row],[HORAS UNIDAD BASICA]]+Tabla1[[#This Row],[HORAS AFINIDAD]]</f>
        <v>0</v>
      </c>
      <c r="V313">
        <f>+Tabla1[[#This Row],[HORAS AFINIDAD]]+Tabla1[[#This Row],[HORAS ACTIVIDAD]]+Tabla1[[#This Row],[HORAS UNIDAD BASICA]]+Tabla1[[#This Row],[HORAS NO AFINIDAD]]</f>
        <v>0</v>
      </c>
    </row>
    <row r="314" spans="1:22" ht="18.75" customHeight="1">
      <c r="A314">
        <v>313</v>
      </c>
      <c r="C314" t="str">
        <f>_xlfn.XLOOKUP(Tabla1[[#This Row],[CARRERA]],MAE_CARRERA[NOMBRE_CARRERA],MAE_CARRERA[ID_CARRERA],"Seleccione Carrera")</f>
        <v>Seleccione Carrera</v>
      </c>
      <c r="F314" s="1"/>
      <c r="G314" t="str">
        <f>_xlfn.XLOOKUP(Tabla1[[#This Row],[ASIGNATURA]],MAE_ASIGNATURA[NOM_ASIG],MAE_ASIGNATURA[ID_ASIG],"Seleccione Asignatura")</f>
        <v>Seleccione Asignatura</v>
      </c>
      <c r="H314" s="1" t="str" cm="1">
        <f t="array" ref="H314">_xlfn.TEXTJOIN("; ",TRUE,TRANSPOSE(_xlfn.UNIQUE(_xlfn._xlws.FILTER(DET_ASIG[DETALLADO],(DET_ASIG[NIVEL]=ASIGNACION!$D314)*(DET_ASIG[ID_CARRERA]=ASIGNACION!$C314)*(DET_ASIG[ID_ASIG]=ASIGNACION!$G314),"No existe información"))))</f>
        <v>No existe información</v>
      </c>
      <c r="I314" s="1"/>
      <c r="J314">
        <f>_xlfn.XLOOKUP(Tabla1[[#This Row],[ID_ASIG_CAM_DET]],MAE_ASIGNATURA[ID_ASIG],MAE_ASIGNATURA[HORAS],0)</f>
        <v>0</v>
      </c>
      <c r="K314">
        <v>4</v>
      </c>
      <c r="L314" s="2">
        <f>+Tabla1[[#This Row],[CALCULAR HORA]]*Tabla1[[#This Row],[HORAS]]</f>
        <v>0</v>
      </c>
      <c r="N314" t="str">
        <f>_xlfn.XLOOKUP(Tabla1[[#This Row],[NOMBRE_DOCENT]],MDOCENTES[DATOS_DOCENTE],MDOCENTES[DEDICACION],"Seleccione Docente")</f>
        <v>Seleccione Docente</v>
      </c>
      <c r="O314" t="str">
        <f>_xlfn.XLOOKUP(Tabla1[[#This Row],[NOMBRE_DOCENT]],MDOCENTES[DATOS_DOCENTE],MDOCENTES[ESTUDIO],"Seleccione Docente")</f>
        <v>Seleccione Docente</v>
      </c>
      <c r="P314">
        <f t="shared" si="20"/>
        <v>0</v>
      </c>
      <c r="Q314">
        <f t="shared" si="21"/>
        <v>0</v>
      </c>
      <c r="R314">
        <f t="shared" si="22"/>
        <v>0</v>
      </c>
      <c r="S314">
        <f t="shared" si="23"/>
        <v>0</v>
      </c>
      <c r="T314">
        <f t="shared" si="24"/>
        <v>0</v>
      </c>
      <c r="U314">
        <f>Tabla1[[#This Row],[HORAS NO AFINIDAD]]+Tabla1[[#This Row],[HORAS UNIDAD BASICA]]+Tabla1[[#This Row],[HORAS AFINIDAD]]</f>
        <v>0</v>
      </c>
      <c r="V314">
        <f>+Tabla1[[#This Row],[HORAS AFINIDAD]]+Tabla1[[#This Row],[HORAS ACTIVIDAD]]+Tabla1[[#This Row],[HORAS UNIDAD BASICA]]+Tabla1[[#This Row],[HORAS NO AFINIDAD]]</f>
        <v>0</v>
      </c>
    </row>
    <row r="315" spans="1:22" ht="18.75" customHeight="1">
      <c r="A315">
        <v>314</v>
      </c>
      <c r="C315" t="str">
        <f>_xlfn.XLOOKUP(Tabla1[[#This Row],[CARRERA]],MAE_CARRERA[NOMBRE_CARRERA],MAE_CARRERA[ID_CARRERA],"Seleccione Carrera")</f>
        <v>Seleccione Carrera</v>
      </c>
      <c r="F315" s="1"/>
      <c r="G315" t="str">
        <f>_xlfn.XLOOKUP(Tabla1[[#This Row],[ASIGNATURA]],MAE_ASIGNATURA[NOM_ASIG],MAE_ASIGNATURA[ID_ASIG],"Seleccione Asignatura")</f>
        <v>Seleccione Asignatura</v>
      </c>
      <c r="H315" s="1" t="str" cm="1">
        <f t="array" ref="H315">_xlfn.TEXTJOIN("; ",TRUE,TRANSPOSE(_xlfn.UNIQUE(_xlfn._xlws.FILTER(DET_ASIG[DETALLADO],(DET_ASIG[NIVEL]=ASIGNACION!$D315)*(DET_ASIG[ID_CARRERA]=ASIGNACION!$C315)*(DET_ASIG[ID_ASIG]=ASIGNACION!$G315),"No existe información"))))</f>
        <v>No existe información</v>
      </c>
      <c r="I315" s="1"/>
      <c r="J315">
        <f>_xlfn.XLOOKUP(Tabla1[[#This Row],[ID_ASIG_CAM_DET]],MAE_ASIGNATURA[ID_ASIG],MAE_ASIGNATURA[HORAS],0)</f>
        <v>0</v>
      </c>
      <c r="K315">
        <v>4</v>
      </c>
      <c r="L315" s="2">
        <f>+Tabla1[[#This Row],[CALCULAR HORA]]*Tabla1[[#This Row],[HORAS]]</f>
        <v>0</v>
      </c>
      <c r="N315" t="str">
        <f>_xlfn.XLOOKUP(Tabla1[[#This Row],[NOMBRE_DOCENT]],MDOCENTES[DATOS_DOCENTE],MDOCENTES[DEDICACION],"Seleccione Docente")</f>
        <v>Seleccione Docente</v>
      </c>
      <c r="O315" t="str">
        <f>_xlfn.XLOOKUP(Tabla1[[#This Row],[NOMBRE_DOCENT]],MDOCENTES[DATOS_DOCENTE],MDOCENTES[ESTUDIO],"Seleccione Docente")</f>
        <v>Seleccione Docente</v>
      </c>
      <c r="P315">
        <f t="shared" si="20"/>
        <v>0</v>
      </c>
      <c r="Q315">
        <f t="shared" si="21"/>
        <v>0</v>
      </c>
      <c r="R315">
        <f t="shared" si="22"/>
        <v>0</v>
      </c>
      <c r="S315">
        <f t="shared" si="23"/>
        <v>0</v>
      </c>
      <c r="T315">
        <f t="shared" si="24"/>
        <v>0</v>
      </c>
      <c r="U315">
        <f>Tabla1[[#This Row],[HORAS NO AFINIDAD]]+Tabla1[[#This Row],[HORAS UNIDAD BASICA]]+Tabla1[[#This Row],[HORAS AFINIDAD]]</f>
        <v>0</v>
      </c>
      <c r="V315">
        <f>+Tabla1[[#This Row],[HORAS AFINIDAD]]+Tabla1[[#This Row],[HORAS ACTIVIDAD]]+Tabla1[[#This Row],[HORAS UNIDAD BASICA]]+Tabla1[[#This Row],[HORAS NO AFINIDAD]]</f>
        <v>0</v>
      </c>
    </row>
    <row r="316" spans="1:22" ht="18.75" customHeight="1">
      <c r="A316">
        <v>315</v>
      </c>
      <c r="C316" t="str">
        <f>_xlfn.XLOOKUP(Tabla1[[#This Row],[CARRERA]],MAE_CARRERA[NOMBRE_CARRERA],MAE_CARRERA[ID_CARRERA],"Seleccione Carrera")</f>
        <v>Seleccione Carrera</v>
      </c>
      <c r="F316" s="1"/>
      <c r="G316" t="str">
        <f>_xlfn.XLOOKUP(Tabla1[[#This Row],[ASIGNATURA]],MAE_ASIGNATURA[NOM_ASIG],MAE_ASIGNATURA[ID_ASIG],"Seleccione Asignatura")</f>
        <v>Seleccione Asignatura</v>
      </c>
      <c r="H316" s="1" t="str" cm="1">
        <f t="array" ref="H316">_xlfn.TEXTJOIN("; ",TRUE,TRANSPOSE(_xlfn.UNIQUE(_xlfn._xlws.FILTER(DET_ASIG[DETALLADO],(DET_ASIG[NIVEL]=ASIGNACION!$D316)*(DET_ASIG[ID_CARRERA]=ASIGNACION!$C316)*(DET_ASIG[ID_ASIG]=ASIGNACION!$G316),"No existe información"))))</f>
        <v>No existe información</v>
      </c>
      <c r="I316" s="1"/>
      <c r="J316">
        <f>_xlfn.XLOOKUP(Tabla1[[#This Row],[ID_ASIG_CAM_DET]],MAE_ASIGNATURA[ID_ASIG],MAE_ASIGNATURA[HORAS],0)</f>
        <v>0</v>
      </c>
      <c r="K316">
        <v>4</v>
      </c>
      <c r="L316" s="2">
        <f>+Tabla1[[#This Row],[CALCULAR HORA]]*Tabla1[[#This Row],[HORAS]]</f>
        <v>0</v>
      </c>
      <c r="N316" t="str">
        <f>_xlfn.XLOOKUP(Tabla1[[#This Row],[NOMBRE_DOCENT]],MDOCENTES[DATOS_DOCENTE],MDOCENTES[DEDICACION],"Seleccione Docente")</f>
        <v>Seleccione Docente</v>
      </c>
      <c r="O316" t="str">
        <f>_xlfn.XLOOKUP(Tabla1[[#This Row],[NOMBRE_DOCENT]],MDOCENTES[DATOS_DOCENTE],MDOCENTES[ESTUDIO],"Seleccione Docente")</f>
        <v>Seleccione Docente</v>
      </c>
      <c r="P316">
        <f t="shared" si="20"/>
        <v>0</v>
      </c>
      <c r="Q316">
        <f t="shared" si="21"/>
        <v>0</v>
      </c>
      <c r="R316">
        <f t="shared" si="22"/>
        <v>0</v>
      </c>
      <c r="S316">
        <f t="shared" si="23"/>
        <v>0</v>
      </c>
      <c r="T316">
        <f t="shared" si="24"/>
        <v>0</v>
      </c>
      <c r="U316">
        <f>Tabla1[[#This Row],[HORAS NO AFINIDAD]]+Tabla1[[#This Row],[HORAS UNIDAD BASICA]]+Tabla1[[#This Row],[HORAS AFINIDAD]]</f>
        <v>0</v>
      </c>
      <c r="V316">
        <f>+Tabla1[[#This Row],[HORAS AFINIDAD]]+Tabla1[[#This Row],[HORAS ACTIVIDAD]]+Tabla1[[#This Row],[HORAS UNIDAD BASICA]]+Tabla1[[#This Row],[HORAS NO AFINIDAD]]</f>
        <v>0</v>
      </c>
    </row>
    <row r="317" spans="1:22" ht="18.75" customHeight="1">
      <c r="A317">
        <v>316</v>
      </c>
      <c r="C317" t="str">
        <f>_xlfn.XLOOKUP(Tabla1[[#This Row],[CARRERA]],MAE_CARRERA[NOMBRE_CARRERA],MAE_CARRERA[ID_CARRERA],"Seleccione Carrera")</f>
        <v>Seleccione Carrera</v>
      </c>
      <c r="F317" s="1"/>
      <c r="G317" t="str">
        <f>_xlfn.XLOOKUP(Tabla1[[#This Row],[ASIGNATURA]],MAE_ASIGNATURA[NOM_ASIG],MAE_ASIGNATURA[ID_ASIG],"Seleccione Asignatura")</f>
        <v>Seleccione Asignatura</v>
      </c>
      <c r="H317" s="1" t="str" cm="1">
        <f t="array" ref="H317">_xlfn.TEXTJOIN("; ",TRUE,TRANSPOSE(_xlfn.UNIQUE(_xlfn._xlws.FILTER(DET_ASIG[DETALLADO],(DET_ASIG[NIVEL]=ASIGNACION!$D317)*(DET_ASIG[ID_CARRERA]=ASIGNACION!$C317)*(DET_ASIG[ID_ASIG]=ASIGNACION!$G317),"No existe información"))))</f>
        <v>No existe información</v>
      </c>
      <c r="I317" s="1"/>
      <c r="J317">
        <f>_xlfn.XLOOKUP(Tabla1[[#This Row],[ID_ASIG_CAM_DET]],MAE_ASIGNATURA[ID_ASIG],MAE_ASIGNATURA[HORAS],0)</f>
        <v>0</v>
      </c>
      <c r="K317">
        <v>4</v>
      </c>
      <c r="L317" s="2">
        <f>+Tabla1[[#This Row],[CALCULAR HORA]]*Tabla1[[#This Row],[HORAS]]</f>
        <v>0</v>
      </c>
      <c r="N317" t="str">
        <f>_xlfn.XLOOKUP(Tabla1[[#This Row],[NOMBRE_DOCENT]],MDOCENTES[DATOS_DOCENTE],MDOCENTES[DEDICACION],"Seleccione Docente")</f>
        <v>Seleccione Docente</v>
      </c>
      <c r="O317" t="str">
        <f>_xlfn.XLOOKUP(Tabla1[[#This Row],[NOMBRE_DOCENT]],MDOCENTES[DATOS_DOCENTE],MDOCENTES[ESTUDIO],"Seleccione Docente")</f>
        <v>Seleccione Docente</v>
      </c>
      <c r="P317">
        <f t="shared" si="20"/>
        <v>0</v>
      </c>
      <c r="Q317">
        <f t="shared" si="21"/>
        <v>0</v>
      </c>
      <c r="R317">
        <f t="shared" si="22"/>
        <v>0</v>
      </c>
      <c r="S317">
        <f t="shared" si="23"/>
        <v>0</v>
      </c>
      <c r="T317">
        <f t="shared" si="24"/>
        <v>0</v>
      </c>
      <c r="U317">
        <f>Tabla1[[#This Row],[HORAS NO AFINIDAD]]+Tabla1[[#This Row],[HORAS UNIDAD BASICA]]+Tabla1[[#This Row],[HORAS AFINIDAD]]</f>
        <v>0</v>
      </c>
      <c r="V317">
        <f>+Tabla1[[#This Row],[HORAS AFINIDAD]]+Tabla1[[#This Row],[HORAS ACTIVIDAD]]+Tabla1[[#This Row],[HORAS UNIDAD BASICA]]+Tabla1[[#This Row],[HORAS NO AFINIDAD]]</f>
        <v>0</v>
      </c>
    </row>
    <row r="318" spans="1:22" ht="18.75" customHeight="1">
      <c r="A318">
        <v>317</v>
      </c>
      <c r="C318" t="str">
        <f>_xlfn.XLOOKUP(Tabla1[[#This Row],[CARRERA]],MAE_CARRERA[NOMBRE_CARRERA],MAE_CARRERA[ID_CARRERA],"Seleccione Carrera")</f>
        <v>Seleccione Carrera</v>
      </c>
      <c r="F318" s="1"/>
      <c r="G318" t="str">
        <f>_xlfn.XLOOKUP(Tabla1[[#This Row],[ASIGNATURA]],MAE_ASIGNATURA[NOM_ASIG],MAE_ASIGNATURA[ID_ASIG],"Seleccione Asignatura")</f>
        <v>Seleccione Asignatura</v>
      </c>
      <c r="H318" s="1" t="str" cm="1">
        <f t="array" ref="H318">_xlfn.TEXTJOIN("; ",TRUE,TRANSPOSE(_xlfn.UNIQUE(_xlfn._xlws.FILTER(DET_ASIG[DETALLADO],(DET_ASIG[NIVEL]=ASIGNACION!$D318)*(DET_ASIG[ID_CARRERA]=ASIGNACION!$C318)*(DET_ASIG[ID_ASIG]=ASIGNACION!$G318),"No existe información"))))</f>
        <v>No existe información</v>
      </c>
      <c r="I318" s="1"/>
      <c r="J318">
        <f>_xlfn.XLOOKUP(Tabla1[[#This Row],[ID_ASIG_CAM_DET]],MAE_ASIGNATURA[ID_ASIG],MAE_ASIGNATURA[HORAS],0)</f>
        <v>0</v>
      </c>
      <c r="K318">
        <v>4</v>
      </c>
      <c r="L318" s="2">
        <f>+Tabla1[[#This Row],[CALCULAR HORA]]*Tabla1[[#This Row],[HORAS]]</f>
        <v>0</v>
      </c>
      <c r="N318" t="str">
        <f>_xlfn.XLOOKUP(Tabla1[[#This Row],[NOMBRE_DOCENT]],MDOCENTES[DATOS_DOCENTE],MDOCENTES[DEDICACION],"Seleccione Docente")</f>
        <v>Seleccione Docente</v>
      </c>
      <c r="O318" t="str">
        <f>_xlfn.XLOOKUP(Tabla1[[#This Row],[NOMBRE_DOCENT]],MDOCENTES[DATOS_DOCENTE],MDOCENTES[ESTUDIO],"Seleccione Docente")</f>
        <v>Seleccione Docente</v>
      </c>
      <c r="P318">
        <f t="shared" si="20"/>
        <v>0</v>
      </c>
      <c r="Q318">
        <f t="shared" si="21"/>
        <v>0</v>
      </c>
      <c r="R318">
        <f t="shared" si="22"/>
        <v>0</v>
      </c>
      <c r="S318">
        <f t="shared" si="23"/>
        <v>0</v>
      </c>
      <c r="T318">
        <f t="shared" si="24"/>
        <v>0</v>
      </c>
      <c r="U318">
        <f>Tabla1[[#This Row],[HORAS NO AFINIDAD]]+Tabla1[[#This Row],[HORAS UNIDAD BASICA]]+Tabla1[[#This Row],[HORAS AFINIDAD]]</f>
        <v>0</v>
      </c>
      <c r="V318">
        <f>+Tabla1[[#This Row],[HORAS AFINIDAD]]+Tabla1[[#This Row],[HORAS ACTIVIDAD]]+Tabla1[[#This Row],[HORAS UNIDAD BASICA]]+Tabla1[[#This Row],[HORAS NO AFINIDAD]]</f>
        <v>0</v>
      </c>
    </row>
    <row r="319" spans="1:22" ht="18.75" customHeight="1">
      <c r="A319">
        <v>318</v>
      </c>
      <c r="C319" t="str">
        <f>_xlfn.XLOOKUP(Tabla1[[#This Row],[CARRERA]],MAE_CARRERA[NOMBRE_CARRERA],MAE_CARRERA[ID_CARRERA],"Seleccione Carrera")</f>
        <v>Seleccione Carrera</v>
      </c>
      <c r="F319" s="1"/>
      <c r="G319" t="str">
        <f>_xlfn.XLOOKUP(Tabla1[[#This Row],[ASIGNATURA]],MAE_ASIGNATURA[NOM_ASIG],MAE_ASIGNATURA[ID_ASIG],"Seleccione Asignatura")</f>
        <v>Seleccione Asignatura</v>
      </c>
      <c r="H319" s="1" t="str" cm="1">
        <f t="array" ref="H319">_xlfn.TEXTJOIN("; ",TRUE,TRANSPOSE(_xlfn.UNIQUE(_xlfn._xlws.FILTER(DET_ASIG[DETALLADO],(DET_ASIG[NIVEL]=ASIGNACION!$D319)*(DET_ASIG[ID_CARRERA]=ASIGNACION!$C319)*(DET_ASIG[ID_ASIG]=ASIGNACION!$G319),"No existe información"))))</f>
        <v>No existe información</v>
      </c>
      <c r="I319" s="1"/>
      <c r="J319">
        <f>_xlfn.XLOOKUP(Tabla1[[#This Row],[ID_ASIG_CAM_DET]],MAE_ASIGNATURA[ID_ASIG],MAE_ASIGNATURA[HORAS],0)</f>
        <v>0</v>
      </c>
      <c r="K319">
        <v>4</v>
      </c>
      <c r="L319" s="2">
        <f>+Tabla1[[#This Row],[CALCULAR HORA]]*Tabla1[[#This Row],[HORAS]]</f>
        <v>0</v>
      </c>
      <c r="N319" t="str">
        <f>_xlfn.XLOOKUP(Tabla1[[#This Row],[NOMBRE_DOCENT]],MDOCENTES[DATOS_DOCENTE],MDOCENTES[DEDICACION],"Seleccione Docente")</f>
        <v>Seleccione Docente</v>
      </c>
      <c r="O319" t="str">
        <f>_xlfn.XLOOKUP(Tabla1[[#This Row],[NOMBRE_DOCENT]],MDOCENTES[DATOS_DOCENTE],MDOCENTES[ESTUDIO],"Seleccione Docente")</f>
        <v>Seleccione Docente</v>
      </c>
      <c r="P319">
        <f t="shared" si="20"/>
        <v>0</v>
      </c>
      <c r="Q319">
        <f t="shared" si="21"/>
        <v>0</v>
      </c>
      <c r="R319">
        <f t="shared" si="22"/>
        <v>0</v>
      </c>
      <c r="S319">
        <f t="shared" si="23"/>
        <v>0</v>
      </c>
      <c r="T319">
        <f t="shared" si="24"/>
        <v>0</v>
      </c>
      <c r="U319">
        <f>Tabla1[[#This Row],[HORAS NO AFINIDAD]]+Tabla1[[#This Row],[HORAS UNIDAD BASICA]]+Tabla1[[#This Row],[HORAS AFINIDAD]]</f>
        <v>0</v>
      </c>
      <c r="V319">
        <f>+Tabla1[[#This Row],[HORAS AFINIDAD]]+Tabla1[[#This Row],[HORAS ACTIVIDAD]]+Tabla1[[#This Row],[HORAS UNIDAD BASICA]]+Tabla1[[#This Row],[HORAS NO AFINIDAD]]</f>
        <v>0</v>
      </c>
    </row>
    <row r="320" spans="1:22" ht="18.75" customHeight="1">
      <c r="A320">
        <v>319</v>
      </c>
      <c r="C320" t="str">
        <f>_xlfn.XLOOKUP(Tabla1[[#This Row],[CARRERA]],MAE_CARRERA[NOMBRE_CARRERA],MAE_CARRERA[ID_CARRERA],"Seleccione Carrera")</f>
        <v>Seleccione Carrera</v>
      </c>
      <c r="F320" s="1"/>
      <c r="G320" t="str">
        <f>_xlfn.XLOOKUP(Tabla1[[#This Row],[ASIGNATURA]],MAE_ASIGNATURA[NOM_ASIG],MAE_ASIGNATURA[ID_ASIG],"Seleccione Asignatura")</f>
        <v>Seleccione Asignatura</v>
      </c>
      <c r="H320" s="1" t="str" cm="1">
        <f t="array" ref="H320">_xlfn.TEXTJOIN("; ",TRUE,TRANSPOSE(_xlfn.UNIQUE(_xlfn._xlws.FILTER(DET_ASIG[DETALLADO],(DET_ASIG[NIVEL]=ASIGNACION!$D320)*(DET_ASIG[ID_CARRERA]=ASIGNACION!$C320)*(DET_ASIG[ID_ASIG]=ASIGNACION!$G320),"No existe información"))))</f>
        <v>No existe información</v>
      </c>
      <c r="I320" s="1"/>
      <c r="J320">
        <f>_xlfn.XLOOKUP(Tabla1[[#This Row],[ID_ASIG_CAM_DET]],MAE_ASIGNATURA[ID_ASIG],MAE_ASIGNATURA[HORAS],0)</f>
        <v>0</v>
      </c>
      <c r="K320">
        <v>4</v>
      </c>
      <c r="L320" s="2">
        <f>+Tabla1[[#This Row],[CALCULAR HORA]]*Tabla1[[#This Row],[HORAS]]</f>
        <v>0</v>
      </c>
      <c r="N320" t="str">
        <f>_xlfn.XLOOKUP(Tabla1[[#This Row],[NOMBRE_DOCENT]],MDOCENTES[DATOS_DOCENTE],MDOCENTES[DEDICACION],"Seleccione Docente")</f>
        <v>Seleccione Docente</v>
      </c>
      <c r="O320" t="str">
        <f>_xlfn.XLOOKUP(Tabla1[[#This Row],[NOMBRE_DOCENT]],MDOCENTES[DATOS_DOCENTE],MDOCENTES[ESTUDIO],"Seleccione Docente")</f>
        <v>Seleccione Docente</v>
      </c>
      <c r="P320">
        <f t="shared" si="20"/>
        <v>0</v>
      </c>
      <c r="Q320">
        <f t="shared" si="21"/>
        <v>0</v>
      </c>
      <c r="R320">
        <f t="shared" si="22"/>
        <v>0</v>
      </c>
      <c r="S320">
        <f t="shared" si="23"/>
        <v>0</v>
      </c>
      <c r="T320">
        <f t="shared" si="24"/>
        <v>0</v>
      </c>
      <c r="U320">
        <f>Tabla1[[#This Row],[HORAS NO AFINIDAD]]+Tabla1[[#This Row],[HORAS UNIDAD BASICA]]+Tabla1[[#This Row],[HORAS AFINIDAD]]</f>
        <v>0</v>
      </c>
      <c r="V320">
        <f>+Tabla1[[#This Row],[HORAS AFINIDAD]]+Tabla1[[#This Row],[HORAS ACTIVIDAD]]+Tabla1[[#This Row],[HORAS UNIDAD BASICA]]+Tabla1[[#This Row],[HORAS NO AFINIDAD]]</f>
        <v>0</v>
      </c>
    </row>
    <row r="321" spans="1:22" ht="18.75" customHeight="1">
      <c r="A321">
        <v>320</v>
      </c>
      <c r="C321" t="str">
        <f>_xlfn.XLOOKUP(Tabla1[[#This Row],[CARRERA]],MAE_CARRERA[NOMBRE_CARRERA],MAE_CARRERA[ID_CARRERA],"Seleccione Carrera")</f>
        <v>Seleccione Carrera</v>
      </c>
      <c r="F321" s="1"/>
      <c r="G321" t="str">
        <f>_xlfn.XLOOKUP(Tabla1[[#This Row],[ASIGNATURA]],MAE_ASIGNATURA[NOM_ASIG],MAE_ASIGNATURA[ID_ASIG],"Seleccione Asignatura")</f>
        <v>Seleccione Asignatura</v>
      </c>
      <c r="H321" s="1" t="str" cm="1">
        <f t="array" ref="H321">_xlfn.TEXTJOIN("; ",TRUE,TRANSPOSE(_xlfn.UNIQUE(_xlfn._xlws.FILTER(DET_ASIG[DETALLADO],(DET_ASIG[NIVEL]=ASIGNACION!$D321)*(DET_ASIG[ID_CARRERA]=ASIGNACION!$C321)*(DET_ASIG[ID_ASIG]=ASIGNACION!$G321),"No existe información"))))</f>
        <v>No existe información</v>
      </c>
      <c r="I321" s="1"/>
      <c r="J321">
        <f>_xlfn.XLOOKUP(Tabla1[[#This Row],[ID_ASIG_CAM_DET]],MAE_ASIGNATURA[ID_ASIG],MAE_ASIGNATURA[HORAS],0)</f>
        <v>0</v>
      </c>
      <c r="K321">
        <v>4</v>
      </c>
      <c r="L321" s="2">
        <f>+Tabla1[[#This Row],[CALCULAR HORA]]*Tabla1[[#This Row],[HORAS]]</f>
        <v>0</v>
      </c>
      <c r="N321" t="str">
        <f>_xlfn.XLOOKUP(Tabla1[[#This Row],[NOMBRE_DOCENT]],MDOCENTES[DATOS_DOCENTE],MDOCENTES[DEDICACION],"Seleccione Docente")</f>
        <v>Seleccione Docente</v>
      </c>
      <c r="O321" t="str">
        <f>_xlfn.XLOOKUP(Tabla1[[#This Row],[NOMBRE_DOCENT]],MDOCENTES[DATOS_DOCENTE],MDOCENTES[ESTUDIO],"Seleccione Docente")</f>
        <v>Seleccione Docente</v>
      </c>
      <c r="P321">
        <f t="shared" si="20"/>
        <v>0</v>
      </c>
      <c r="Q321">
        <f t="shared" si="21"/>
        <v>0</v>
      </c>
      <c r="R321">
        <f t="shared" si="22"/>
        <v>0</v>
      </c>
      <c r="S321">
        <f t="shared" si="23"/>
        <v>0</v>
      </c>
      <c r="T321">
        <f t="shared" si="24"/>
        <v>0</v>
      </c>
      <c r="U321">
        <f>Tabla1[[#This Row],[HORAS NO AFINIDAD]]+Tabla1[[#This Row],[HORAS UNIDAD BASICA]]+Tabla1[[#This Row],[HORAS AFINIDAD]]</f>
        <v>0</v>
      </c>
      <c r="V321">
        <f>+Tabla1[[#This Row],[HORAS AFINIDAD]]+Tabla1[[#This Row],[HORAS ACTIVIDAD]]+Tabla1[[#This Row],[HORAS UNIDAD BASICA]]+Tabla1[[#This Row],[HORAS NO AFINIDAD]]</f>
        <v>0</v>
      </c>
    </row>
    <row r="322" spans="1:22" ht="18.75" customHeight="1">
      <c r="A322">
        <v>321</v>
      </c>
      <c r="C322" t="str">
        <f>_xlfn.XLOOKUP(Tabla1[[#This Row],[CARRERA]],MAE_CARRERA[NOMBRE_CARRERA],MAE_CARRERA[ID_CARRERA],"Seleccione Carrera")</f>
        <v>Seleccione Carrera</v>
      </c>
      <c r="F322" s="1"/>
      <c r="G322" t="str">
        <f>_xlfn.XLOOKUP(Tabla1[[#This Row],[ASIGNATURA]],MAE_ASIGNATURA[NOM_ASIG],MAE_ASIGNATURA[ID_ASIG],"Seleccione Asignatura")</f>
        <v>Seleccione Asignatura</v>
      </c>
      <c r="H322" s="1" t="str" cm="1">
        <f t="array" ref="H322">_xlfn.TEXTJOIN("; ",TRUE,TRANSPOSE(_xlfn.UNIQUE(_xlfn._xlws.FILTER(DET_ASIG[DETALLADO],(DET_ASIG[NIVEL]=ASIGNACION!$D322)*(DET_ASIG[ID_CARRERA]=ASIGNACION!$C322)*(DET_ASIG[ID_ASIG]=ASIGNACION!$G322),"No existe información"))))</f>
        <v>No existe información</v>
      </c>
      <c r="I322" s="1"/>
      <c r="J322">
        <f>_xlfn.XLOOKUP(Tabla1[[#This Row],[ID_ASIG_CAM_DET]],MAE_ASIGNATURA[ID_ASIG],MAE_ASIGNATURA[HORAS],0)</f>
        <v>0</v>
      </c>
      <c r="K322">
        <v>4</v>
      </c>
      <c r="L322" s="2">
        <f>+Tabla1[[#This Row],[CALCULAR HORA]]*Tabla1[[#This Row],[HORAS]]</f>
        <v>0</v>
      </c>
      <c r="N322" t="str">
        <f>_xlfn.XLOOKUP(Tabla1[[#This Row],[NOMBRE_DOCENT]],MDOCENTES[DATOS_DOCENTE],MDOCENTES[DEDICACION],"Seleccione Docente")</f>
        <v>Seleccione Docente</v>
      </c>
      <c r="O322" t="str">
        <f>_xlfn.XLOOKUP(Tabla1[[#This Row],[NOMBRE_DOCENT]],MDOCENTES[DATOS_DOCENTE],MDOCENTES[ESTUDIO],"Seleccione Docente")</f>
        <v>Seleccione Docente</v>
      </c>
      <c r="P322">
        <f t="shared" ref="P322:P385" si="25">COUNTIFS($M:$M, M322, $H:$H, "&lt;&gt;ACTIVIDAD")</f>
        <v>0</v>
      </c>
      <c r="Q322">
        <f t="shared" ref="Q322:Q385" si="26">SUMIFS($L:$L, $M:$M, M322, $I:$I, "NO",$H:$H,"&lt;&gt;UNIDAD BASICA")</f>
        <v>0</v>
      </c>
      <c r="R322">
        <f t="shared" ref="R322:R385" si="27">SUMIFS($L:$L, $M:$M, M322, $H:$H, "UNIDAD BASICA",$I:$I,"NO")</f>
        <v>0</v>
      </c>
      <c r="S322">
        <f t="shared" ref="S322:S385" si="28">SUMIFS($L:$L, $M:$M, M322, $I:$I, "ACTIVIDAD")</f>
        <v>0</v>
      </c>
      <c r="T322">
        <f t="shared" ref="T322:T385" si="29">SUMIFS($L:$L, $M:$M, M322, $I:$I, "SI")</f>
        <v>0</v>
      </c>
      <c r="U322">
        <f>Tabla1[[#This Row],[HORAS NO AFINIDAD]]+Tabla1[[#This Row],[HORAS UNIDAD BASICA]]+Tabla1[[#This Row],[HORAS AFINIDAD]]</f>
        <v>0</v>
      </c>
      <c r="V322">
        <f>+Tabla1[[#This Row],[HORAS AFINIDAD]]+Tabla1[[#This Row],[HORAS ACTIVIDAD]]+Tabla1[[#This Row],[HORAS UNIDAD BASICA]]+Tabla1[[#This Row],[HORAS NO AFINIDAD]]</f>
        <v>0</v>
      </c>
    </row>
    <row r="323" spans="1:22" ht="18.75" customHeight="1">
      <c r="A323">
        <v>322</v>
      </c>
      <c r="C323" t="str">
        <f>_xlfn.XLOOKUP(Tabla1[[#This Row],[CARRERA]],MAE_CARRERA[NOMBRE_CARRERA],MAE_CARRERA[ID_CARRERA],"Seleccione Carrera")</f>
        <v>Seleccione Carrera</v>
      </c>
      <c r="F323" s="1"/>
      <c r="G323" t="str">
        <f>_xlfn.XLOOKUP(Tabla1[[#This Row],[ASIGNATURA]],MAE_ASIGNATURA[NOM_ASIG],MAE_ASIGNATURA[ID_ASIG],"Seleccione Asignatura")</f>
        <v>Seleccione Asignatura</v>
      </c>
      <c r="H323" s="1" t="str" cm="1">
        <f t="array" ref="H323">_xlfn.TEXTJOIN("; ",TRUE,TRANSPOSE(_xlfn.UNIQUE(_xlfn._xlws.FILTER(DET_ASIG[DETALLADO],(DET_ASIG[NIVEL]=ASIGNACION!$D323)*(DET_ASIG[ID_CARRERA]=ASIGNACION!$C323)*(DET_ASIG[ID_ASIG]=ASIGNACION!$G323),"No existe información"))))</f>
        <v>No existe información</v>
      </c>
      <c r="I323" s="1"/>
      <c r="J323">
        <f>_xlfn.XLOOKUP(Tabla1[[#This Row],[ID_ASIG_CAM_DET]],MAE_ASIGNATURA[ID_ASIG],MAE_ASIGNATURA[HORAS],0)</f>
        <v>0</v>
      </c>
      <c r="K323">
        <v>4</v>
      </c>
      <c r="L323" s="2">
        <f>+Tabla1[[#This Row],[CALCULAR HORA]]*Tabla1[[#This Row],[HORAS]]</f>
        <v>0</v>
      </c>
      <c r="N323" t="str">
        <f>_xlfn.XLOOKUP(Tabla1[[#This Row],[NOMBRE_DOCENT]],MDOCENTES[DATOS_DOCENTE],MDOCENTES[DEDICACION],"Seleccione Docente")</f>
        <v>Seleccione Docente</v>
      </c>
      <c r="O323" t="str">
        <f>_xlfn.XLOOKUP(Tabla1[[#This Row],[NOMBRE_DOCENT]],MDOCENTES[DATOS_DOCENTE],MDOCENTES[ESTUDIO],"Seleccione Docente")</f>
        <v>Seleccione Docente</v>
      </c>
      <c r="P323">
        <f t="shared" si="25"/>
        <v>0</v>
      </c>
      <c r="Q323">
        <f t="shared" si="26"/>
        <v>0</v>
      </c>
      <c r="R323">
        <f t="shared" si="27"/>
        <v>0</v>
      </c>
      <c r="S323">
        <f t="shared" si="28"/>
        <v>0</v>
      </c>
      <c r="T323">
        <f t="shared" si="29"/>
        <v>0</v>
      </c>
      <c r="U323">
        <f>Tabla1[[#This Row],[HORAS NO AFINIDAD]]+Tabla1[[#This Row],[HORAS UNIDAD BASICA]]+Tabla1[[#This Row],[HORAS AFINIDAD]]</f>
        <v>0</v>
      </c>
      <c r="V323">
        <f>+Tabla1[[#This Row],[HORAS AFINIDAD]]+Tabla1[[#This Row],[HORAS ACTIVIDAD]]+Tabla1[[#This Row],[HORAS UNIDAD BASICA]]+Tabla1[[#This Row],[HORAS NO AFINIDAD]]</f>
        <v>0</v>
      </c>
    </row>
    <row r="324" spans="1:22" ht="18.75" customHeight="1">
      <c r="A324">
        <v>323</v>
      </c>
      <c r="C324" t="str">
        <f>_xlfn.XLOOKUP(Tabla1[[#This Row],[CARRERA]],MAE_CARRERA[NOMBRE_CARRERA],MAE_CARRERA[ID_CARRERA],"Seleccione Carrera")</f>
        <v>Seleccione Carrera</v>
      </c>
      <c r="F324" s="1"/>
      <c r="G324" t="str">
        <f>_xlfn.XLOOKUP(Tabla1[[#This Row],[ASIGNATURA]],MAE_ASIGNATURA[NOM_ASIG],MAE_ASIGNATURA[ID_ASIG],"Seleccione Asignatura")</f>
        <v>Seleccione Asignatura</v>
      </c>
      <c r="H324" s="1" t="str" cm="1">
        <f t="array" ref="H324">_xlfn.TEXTJOIN("; ",TRUE,TRANSPOSE(_xlfn.UNIQUE(_xlfn._xlws.FILTER(DET_ASIG[DETALLADO],(DET_ASIG[NIVEL]=ASIGNACION!$D324)*(DET_ASIG[ID_CARRERA]=ASIGNACION!$C324)*(DET_ASIG[ID_ASIG]=ASIGNACION!$G324),"No existe información"))))</f>
        <v>No existe información</v>
      </c>
      <c r="I324" s="1"/>
      <c r="J324">
        <f>_xlfn.XLOOKUP(Tabla1[[#This Row],[ID_ASIG_CAM_DET]],MAE_ASIGNATURA[ID_ASIG],MAE_ASIGNATURA[HORAS],0)</f>
        <v>0</v>
      </c>
      <c r="K324">
        <v>4</v>
      </c>
      <c r="L324" s="2">
        <f>+Tabla1[[#This Row],[CALCULAR HORA]]*Tabla1[[#This Row],[HORAS]]</f>
        <v>0</v>
      </c>
      <c r="N324" t="str">
        <f>_xlfn.XLOOKUP(Tabla1[[#This Row],[NOMBRE_DOCENT]],MDOCENTES[DATOS_DOCENTE],MDOCENTES[DEDICACION],"Seleccione Docente")</f>
        <v>Seleccione Docente</v>
      </c>
      <c r="O324" t="str">
        <f>_xlfn.XLOOKUP(Tabla1[[#This Row],[NOMBRE_DOCENT]],MDOCENTES[DATOS_DOCENTE],MDOCENTES[ESTUDIO],"Seleccione Docente")</f>
        <v>Seleccione Docente</v>
      </c>
      <c r="P324">
        <f t="shared" si="25"/>
        <v>0</v>
      </c>
      <c r="Q324">
        <f t="shared" si="26"/>
        <v>0</v>
      </c>
      <c r="R324">
        <f t="shared" si="27"/>
        <v>0</v>
      </c>
      <c r="S324">
        <f t="shared" si="28"/>
        <v>0</v>
      </c>
      <c r="T324">
        <f t="shared" si="29"/>
        <v>0</v>
      </c>
      <c r="U324">
        <f>Tabla1[[#This Row],[HORAS NO AFINIDAD]]+Tabla1[[#This Row],[HORAS UNIDAD BASICA]]+Tabla1[[#This Row],[HORAS AFINIDAD]]</f>
        <v>0</v>
      </c>
      <c r="V324">
        <f>+Tabla1[[#This Row],[HORAS AFINIDAD]]+Tabla1[[#This Row],[HORAS ACTIVIDAD]]+Tabla1[[#This Row],[HORAS UNIDAD BASICA]]+Tabla1[[#This Row],[HORAS NO AFINIDAD]]</f>
        <v>0</v>
      </c>
    </row>
    <row r="325" spans="1:22" ht="18.75" customHeight="1">
      <c r="A325">
        <v>324</v>
      </c>
      <c r="C325" t="str">
        <f>_xlfn.XLOOKUP(Tabla1[[#This Row],[CARRERA]],MAE_CARRERA[NOMBRE_CARRERA],MAE_CARRERA[ID_CARRERA],"Seleccione Carrera")</f>
        <v>Seleccione Carrera</v>
      </c>
      <c r="F325" s="1"/>
      <c r="G325" t="str">
        <f>_xlfn.XLOOKUP(Tabla1[[#This Row],[ASIGNATURA]],MAE_ASIGNATURA[NOM_ASIG],MAE_ASIGNATURA[ID_ASIG],"Seleccione Asignatura")</f>
        <v>Seleccione Asignatura</v>
      </c>
      <c r="H325" s="1" t="str" cm="1">
        <f t="array" ref="H325">_xlfn.TEXTJOIN("; ",TRUE,TRANSPOSE(_xlfn.UNIQUE(_xlfn._xlws.FILTER(DET_ASIG[DETALLADO],(DET_ASIG[NIVEL]=ASIGNACION!$D325)*(DET_ASIG[ID_CARRERA]=ASIGNACION!$C325)*(DET_ASIG[ID_ASIG]=ASIGNACION!$G325),"No existe información"))))</f>
        <v>No existe información</v>
      </c>
      <c r="I325" s="1"/>
      <c r="J325">
        <f>_xlfn.XLOOKUP(Tabla1[[#This Row],[ID_ASIG_CAM_DET]],MAE_ASIGNATURA[ID_ASIG],MAE_ASIGNATURA[HORAS],0)</f>
        <v>0</v>
      </c>
      <c r="K325">
        <v>4</v>
      </c>
      <c r="L325" s="2">
        <f>+Tabla1[[#This Row],[CALCULAR HORA]]*Tabla1[[#This Row],[HORAS]]</f>
        <v>0</v>
      </c>
      <c r="N325" t="str">
        <f>_xlfn.XLOOKUP(Tabla1[[#This Row],[NOMBRE_DOCENT]],MDOCENTES[DATOS_DOCENTE],MDOCENTES[DEDICACION],"Seleccione Docente")</f>
        <v>Seleccione Docente</v>
      </c>
      <c r="O325" t="str">
        <f>_xlfn.XLOOKUP(Tabla1[[#This Row],[NOMBRE_DOCENT]],MDOCENTES[DATOS_DOCENTE],MDOCENTES[ESTUDIO],"Seleccione Docente")</f>
        <v>Seleccione Docente</v>
      </c>
      <c r="P325">
        <f t="shared" si="25"/>
        <v>0</v>
      </c>
      <c r="Q325">
        <f t="shared" si="26"/>
        <v>0</v>
      </c>
      <c r="R325">
        <f t="shared" si="27"/>
        <v>0</v>
      </c>
      <c r="S325">
        <f t="shared" si="28"/>
        <v>0</v>
      </c>
      <c r="T325">
        <f t="shared" si="29"/>
        <v>0</v>
      </c>
      <c r="U325">
        <f>Tabla1[[#This Row],[HORAS NO AFINIDAD]]+Tabla1[[#This Row],[HORAS UNIDAD BASICA]]+Tabla1[[#This Row],[HORAS AFINIDAD]]</f>
        <v>0</v>
      </c>
      <c r="V325">
        <f>+Tabla1[[#This Row],[HORAS AFINIDAD]]+Tabla1[[#This Row],[HORAS ACTIVIDAD]]+Tabla1[[#This Row],[HORAS UNIDAD BASICA]]+Tabla1[[#This Row],[HORAS NO AFINIDAD]]</f>
        <v>0</v>
      </c>
    </row>
    <row r="326" spans="1:22" ht="18.75" customHeight="1">
      <c r="A326">
        <v>325</v>
      </c>
      <c r="C326" t="str">
        <f>_xlfn.XLOOKUP(Tabla1[[#This Row],[CARRERA]],MAE_CARRERA[NOMBRE_CARRERA],MAE_CARRERA[ID_CARRERA],"Seleccione Carrera")</f>
        <v>Seleccione Carrera</v>
      </c>
      <c r="F326" s="1"/>
      <c r="G326" t="str">
        <f>_xlfn.XLOOKUP(Tabla1[[#This Row],[ASIGNATURA]],MAE_ASIGNATURA[NOM_ASIG],MAE_ASIGNATURA[ID_ASIG],"Seleccione Asignatura")</f>
        <v>Seleccione Asignatura</v>
      </c>
      <c r="H326" s="1" t="str" cm="1">
        <f t="array" ref="H326">_xlfn.TEXTJOIN("; ",TRUE,TRANSPOSE(_xlfn.UNIQUE(_xlfn._xlws.FILTER(DET_ASIG[DETALLADO],(DET_ASIG[NIVEL]=ASIGNACION!$D326)*(DET_ASIG[ID_CARRERA]=ASIGNACION!$C326)*(DET_ASIG[ID_ASIG]=ASIGNACION!$G326),"No existe información"))))</f>
        <v>No existe información</v>
      </c>
      <c r="I326" s="1"/>
      <c r="J326">
        <f>_xlfn.XLOOKUP(Tabla1[[#This Row],[ID_ASIG_CAM_DET]],MAE_ASIGNATURA[ID_ASIG],MAE_ASIGNATURA[HORAS],0)</f>
        <v>0</v>
      </c>
      <c r="K326">
        <v>4</v>
      </c>
      <c r="L326" s="2">
        <f>+Tabla1[[#This Row],[CALCULAR HORA]]*Tabla1[[#This Row],[HORAS]]</f>
        <v>0</v>
      </c>
      <c r="N326" t="str">
        <f>_xlfn.XLOOKUP(Tabla1[[#This Row],[NOMBRE_DOCENT]],MDOCENTES[DATOS_DOCENTE],MDOCENTES[DEDICACION],"Seleccione Docente")</f>
        <v>Seleccione Docente</v>
      </c>
      <c r="O326" t="str">
        <f>_xlfn.XLOOKUP(Tabla1[[#This Row],[NOMBRE_DOCENT]],MDOCENTES[DATOS_DOCENTE],MDOCENTES[ESTUDIO],"Seleccione Docente")</f>
        <v>Seleccione Docente</v>
      </c>
      <c r="P326">
        <f t="shared" si="25"/>
        <v>0</v>
      </c>
      <c r="Q326">
        <f t="shared" si="26"/>
        <v>0</v>
      </c>
      <c r="R326">
        <f t="shared" si="27"/>
        <v>0</v>
      </c>
      <c r="S326">
        <f t="shared" si="28"/>
        <v>0</v>
      </c>
      <c r="T326">
        <f t="shared" si="29"/>
        <v>0</v>
      </c>
      <c r="U326">
        <f>Tabla1[[#This Row],[HORAS NO AFINIDAD]]+Tabla1[[#This Row],[HORAS UNIDAD BASICA]]+Tabla1[[#This Row],[HORAS AFINIDAD]]</f>
        <v>0</v>
      </c>
      <c r="V326">
        <f>+Tabla1[[#This Row],[HORAS AFINIDAD]]+Tabla1[[#This Row],[HORAS ACTIVIDAD]]+Tabla1[[#This Row],[HORAS UNIDAD BASICA]]+Tabla1[[#This Row],[HORAS NO AFINIDAD]]</f>
        <v>0</v>
      </c>
    </row>
    <row r="327" spans="1:22" ht="18.75" customHeight="1">
      <c r="A327">
        <v>326</v>
      </c>
      <c r="C327" t="str">
        <f>_xlfn.XLOOKUP(Tabla1[[#This Row],[CARRERA]],MAE_CARRERA[NOMBRE_CARRERA],MAE_CARRERA[ID_CARRERA],"Seleccione Carrera")</f>
        <v>Seleccione Carrera</v>
      </c>
      <c r="F327" s="1"/>
      <c r="G327" t="str">
        <f>_xlfn.XLOOKUP(Tabla1[[#This Row],[ASIGNATURA]],MAE_ASIGNATURA[NOM_ASIG],MAE_ASIGNATURA[ID_ASIG],"Seleccione Asignatura")</f>
        <v>Seleccione Asignatura</v>
      </c>
      <c r="H327" s="1" t="str" cm="1">
        <f t="array" ref="H327">_xlfn.TEXTJOIN("; ",TRUE,TRANSPOSE(_xlfn.UNIQUE(_xlfn._xlws.FILTER(DET_ASIG[DETALLADO],(DET_ASIG[NIVEL]=ASIGNACION!$D327)*(DET_ASIG[ID_CARRERA]=ASIGNACION!$C327)*(DET_ASIG[ID_ASIG]=ASIGNACION!$G327),"No existe información"))))</f>
        <v>No existe información</v>
      </c>
      <c r="I327" s="1"/>
      <c r="J327">
        <f>_xlfn.XLOOKUP(Tabla1[[#This Row],[ID_ASIG_CAM_DET]],MAE_ASIGNATURA[ID_ASIG],MAE_ASIGNATURA[HORAS],0)</f>
        <v>0</v>
      </c>
      <c r="K327">
        <v>4</v>
      </c>
      <c r="L327" s="2">
        <f>+Tabla1[[#This Row],[CALCULAR HORA]]*Tabla1[[#This Row],[HORAS]]</f>
        <v>0</v>
      </c>
      <c r="N327" t="str">
        <f>_xlfn.XLOOKUP(Tabla1[[#This Row],[NOMBRE_DOCENT]],MDOCENTES[DATOS_DOCENTE],MDOCENTES[DEDICACION],"Seleccione Docente")</f>
        <v>Seleccione Docente</v>
      </c>
      <c r="O327" t="str">
        <f>_xlfn.XLOOKUP(Tabla1[[#This Row],[NOMBRE_DOCENT]],MDOCENTES[DATOS_DOCENTE],MDOCENTES[ESTUDIO],"Seleccione Docente")</f>
        <v>Seleccione Docente</v>
      </c>
      <c r="P327">
        <f t="shared" si="25"/>
        <v>0</v>
      </c>
      <c r="Q327">
        <f t="shared" si="26"/>
        <v>0</v>
      </c>
      <c r="R327">
        <f t="shared" si="27"/>
        <v>0</v>
      </c>
      <c r="S327">
        <f t="shared" si="28"/>
        <v>0</v>
      </c>
      <c r="T327">
        <f t="shared" si="29"/>
        <v>0</v>
      </c>
      <c r="U327">
        <f>Tabla1[[#This Row],[HORAS NO AFINIDAD]]+Tabla1[[#This Row],[HORAS UNIDAD BASICA]]+Tabla1[[#This Row],[HORAS AFINIDAD]]</f>
        <v>0</v>
      </c>
      <c r="V327">
        <f>+Tabla1[[#This Row],[HORAS AFINIDAD]]+Tabla1[[#This Row],[HORAS ACTIVIDAD]]+Tabla1[[#This Row],[HORAS UNIDAD BASICA]]+Tabla1[[#This Row],[HORAS NO AFINIDAD]]</f>
        <v>0</v>
      </c>
    </row>
    <row r="328" spans="1:22" ht="18.75" customHeight="1">
      <c r="A328">
        <v>327</v>
      </c>
      <c r="C328" t="str">
        <f>_xlfn.XLOOKUP(Tabla1[[#This Row],[CARRERA]],MAE_CARRERA[NOMBRE_CARRERA],MAE_CARRERA[ID_CARRERA],"Seleccione Carrera")</f>
        <v>Seleccione Carrera</v>
      </c>
      <c r="F328" s="1"/>
      <c r="G328" t="str">
        <f>_xlfn.XLOOKUP(Tabla1[[#This Row],[ASIGNATURA]],MAE_ASIGNATURA[NOM_ASIG],MAE_ASIGNATURA[ID_ASIG],"Seleccione Asignatura")</f>
        <v>Seleccione Asignatura</v>
      </c>
      <c r="H328" s="1" t="str" cm="1">
        <f t="array" ref="H328">_xlfn.TEXTJOIN("; ",TRUE,TRANSPOSE(_xlfn.UNIQUE(_xlfn._xlws.FILTER(DET_ASIG[DETALLADO],(DET_ASIG[NIVEL]=ASIGNACION!$D328)*(DET_ASIG[ID_CARRERA]=ASIGNACION!$C328)*(DET_ASIG[ID_ASIG]=ASIGNACION!$G328),"No existe información"))))</f>
        <v>No existe información</v>
      </c>
      <c r="I328" s="1"/>
      <c r="J328">
        <f>_xlfn.XLOOKUP(Tabla1[[#This Row],[ID_ASIG_CAM_DET]],MAE_ASIGNATURA[ID_ASIG],MAE_ASIGNATURA[HORAS],0)</f>
        <v>0</v>
      </c>
      <c r="K328">
        <v>4</v>
      </c>
      <c r="L328" s="2">
        <f>+Tabla1[[#This Row],[CALCULAR HORA]]*Tabla1[[#This Row],[HORAS]]</f>
        <v>0</v>
      </c>
      <c r="N328" t="str">
        <f>_xlfn.XLOOKUP(Tabla1[[#This Row],[NOMBRE_DOCENT]],MDOCENTES[DATOS_DOCENTE],MDOCENTES[DEDICACION],"Seleccione Docente")</f>
        <v>Seleccione Docente</v>
      </c>
      <c r="O328" t="str">
        <f>_xlfn.XLOOKUP(Tabla1[[#This Row],[NOMBRE_DOCENT]],MDOCENTES[DATOS_DOCENTE],MDOCENTES[ESTUDIO],"Seleccione Docente")</f>
        <v>Seleccione Docente</v>
      </c>
      <c r="P328">
        <f t="shared" si="25"/>
        <v>0</v>
      </c>
      <c r="Q328">
        <f t="shared" si="26"/>
        <v>0</v>
      </c>
      <c r="R328">
        <f t="shared" si="27"/>
        <v>0</v>
      </c>
      <c r="S328">
        <f t="shared" si="28"/>
        <v>0</v>
      </c>
      <c r="T328">
        <f t="shared" si="29"/>
        <v>0</v>
      </c>
      <c r="U328">
        <f>Tabla1[[#This Row],[HORAS NO AFINIDAD]]+Tabla1[[#This Row],[HORAS UNIDAD BASICA]]+Tabla1[[#This Row],[HORAS AFINIDAD]]</f>
        <v>0</v>
      </c>
      <c r="V328">
        <f>+Tabla1[[#This Row],[HORAS AFINIDAD]]+Tabla1[[#This Row],[HORAS ACTIVIDAD]]+Tabla1[[#This Row],[HORAS UNIDAD BASICA]]+Tabla1[[#This Row],[HORAS NO AFINIDAD]]</f>
        <v>0</v>
      </c>
    </row>
    <row r="329" spans="1:22" ht="18.75" customHeight="1">
      <c r="A329">
        <v>328</v>
      </c>
      <c r="C329" t="str">
        <f>_xlfn.XLOOKUP(Tabla1[[#This Row],[CARRERA]],MAE_CARRERA[NOMBRE_CARRERA],MAE_CARRERA[ID_CARRERA],"Seleccione Carrera")</f>
        <v>Seleccione Carrera</v>
      </c>
      <c r="F329" s="1"/>
      <c r="G329" t="str">
        <f>_xlfn.XLOOKUP(Tabla1[[#This Row],[ASIGNATURA]],MAE_ASIGNATURA[NOM_ASIG],MAE_ASIGNATURA[ID_ASIG],"Seleccione Asignatura")</f>
        <v>Seleccione Asignatura</v>
      </c>
      <c r="H329" s="1" t="str" cm="1">
        <f t="array" ref="H329">_xlfn.TEXTJOIN("; ",TRUE,TRANSPOSE(_xlfn.UNIQUE(_xlfn._xlws.FILTER(DET_ASIG[DETALLADO],(DET_ASIG[NIVEL]=ASIGNACION!$D329)*(DET_ASIG[ID_CARRERA]=ASIGNACION!$C329)*(DET_ASIG[ID_ASIG]=ASIGNACION!$G329),"No existe información"))))</f>
        <v>No existe información</v>
      </c>
      <c r="I329" s="1"/>
      <c r="J329">
        <f>_xlfn.XLOOKUP(Tabla1[[#This Row],[ID_ASIG_CAM_DET]],MAE_ASIGNATURA[ID_ASIG],MAE_ASIGNATURA[HORAS],0)</f>
        <v>0</v>
      </c>
      <c r="K329">
        <v>4</v>
      </c>
      <c r="L329" s="2">
        <f>+Tabla1[[#This Row],[CALCULAR HORA]]*Tabla1[[#This Row],[HORAS]]</f>
        <v>0</v>
      </c>
      <c r="N329" t="str">
        <f>_xlfn.XLOOKUP(Tabla1[[#This Row],[NOMBRE_DOCENT]],MDOCENTES[DATOS_DOCENTE],MDOCENTES[DEDICACION],"Seleccione Docente")</f>
        <v>Seleccione Docente</v>
      </c>
      <c r="O329" t="str">
        <f>_xlfn.XLOOKUP(Tabla1[[#This Row],[NOMBRE_DOCENT]],MDOCENTES[DATOS_DOCENTE],MDOCENTES[ESTUDIO],"Seleccione Docente")</f>
        <v>Seleccione Docente</v>
      </c>
      <c r="P329">
        <f t="shared" si="25"/>
        <v>0</v>
      </c>
      <c r="Q329">
        <f t="shared" si="26"/>
        <v>0</v>
      </c>
      <c r="R329">
        <f t="shared" si="27"/>
        <v>0</v>
      </c>
      <c r="S329">
        <f t="shared" si="28"/>
        <v>0</v>
      </c>
      <c r="T329">
        <f t="shared" si="29"/>
        <v>0</v>
      </c>
      <c r="U329">
        <f>Tabla1[[#This Row],[HORAS NO AFINIDAD]]+Tabla1[[#This Row],[HORAS UNIDAD BASICA]]+Tabla1[[#This Row],[HORAS AFINIDAD]]</f>
        <v>0</v>
      </c>
      <c r="V329">
        <f>+Tabla1[[#This Row],[HORAS AFINIDAD]]+Tabla1[[#This Row],[HORAS ACTIVIDAD]]+Tabla1[[#This Row],[HORAS UNIDAD BASICA]]+Tabla1[[#This Row],[HORAS NO AFINIDAD]]</f>
        <v>0</v>
      </c>
    </row>
    <row r="330" spans="1:22" ht="18.75" customHeight="1">
      <c r="A330">
        <v>329</v>
      </c>
      <c r="C330" t="str">
        <f>_xlfn.XLOOKUP(Tabla1[[#This Row],[CARRERA]],MAE_CARRERA[NOMBRE_CARRERA],MAE_CARRERA[ID_CARRERA],"Seleccione Carrera")</f>
        <v>Seleccione Carrera</v>
      </c>
      <c r="F330" s="1"/>
      <c r="G330" t="str">
        <f>_xlfn.XLOOKUP(Tabla1[[#This Row],[ASIGNATURA]],MAE_ASIGNATURA[NOM_ASIG],MAE_ASIGNATURA[ID_ASIG],"Seleccione Asignatura")</f>
        <v>Seleccione Asignatura</v>
      </c>
      <c r="H330" s="1" t="str" cm="1">
        <f t="array" ref="H330">_xlfn.TEXTJOIN("; ",TRUE,TRANSPOSE(_xlfn.UNIQUE(_xlfn._xlws.FILTER(DET_ASIG[DETALLADO],(DET_ASIG[NIVEL]=ASIGNACION!$D330)*(DET_ASIG[ID_CARRERA]=ASIGNACION!$C330)*(DET_ASIG[ID_ASIG]=ASIGNACION!$G330),"No existe información"))))</f>
        <v>No existe información</v>
      </c>
      <c r="I330" s="1"/>
      <c r="J330">
        <f>_xlfn.XLOOKUP(Tabla1[[#This Row],[ID_ASIG_CAM_DET]],MAE_ASIGNATURA[ID_ASIG],MAE_ASIGNATURA[HORAS],0)</f>
        <v>0</v>
      </c>
      <c r="K330">
        <v>4</v>
      </c>
      <c r="L330" s="2">
        <f>+Tabla1[[#This Row],[CALCULAR HORA]]*Tabla1[[#This Row],[HORAS]]</f>
        <v>0</v>
      </c>
      <c r="N330" t="str">
        <f>_xlfn.XLOOKUP(Tabla1[[#This Row],[NOMBRE_DOCENT]],MDOCENTES[DATOS_DOCENTE],MDOCENTES[DEDICACION],"Seleccione Docente")</f>
        <v>Seleccione Docente</v>
      </c>
      <c r="O330" t="str">
        <f>_xlfn.XLOOKUP(Tabla1[[#This Row],[NOMBRE_DOCENT]],MDOCENTES[DATOS_DOCENTE],MDOCENTES[ESTUDIO],"Seleccione Docente")</f>
        <v>Seleccione Docente</v>
      </c>
      <c r="P330">
        <f t="shared" si="25"/>
        <v>0</v>
      </c>
      <c r="Q330">
        <f t="shared" si="26"/>
        <v>0</v>
      </c>
      <c r="R330">
        <f t="shared" si="27"/>
        <v>0</v>
      </c>
      <c r="S330">
        <f t="shared" si="28"/>
        <v>0</v>
      </c>
      <c r="T330">
        <f t="shared" si="29"/>
        <v>0</v>
      </c>
      <c r="U330">
        <f>Tabla1[[#This Row],[HORAS NO AFINIDAD]]+Tabla1[[#This Row],[HORAS UNIDAD BASICA]]+Tabla1[[#This Row],[HORAS AFINIDAD]]</f>
        <v>0</v>
      </c>
      <c r="V330">
        <f>+Tabla1[[#This Row],[HORAS AFINIDAD]]+Tabla1[[#This Row],[HORAS ACTIVIDAD]]+Tabla1[[#This Row],[HORAS UNIDAD BASICA]]+Tabla1[[#This Row],[HORAS NO AFINIDAD]]</f>
        <v>0</v>
      </c>
    </row>
    <row r="331" spans="1:22" ht="18.75" customHeight="1">
      <c r="A331">
        <v>330</v>
      </c>
      <c r="C331" t="str">
        <f>_xlfn.XLOOKUP(Tabla1[[#This Row],[CARRERA]],MAE_CARRERA[NOMBRE_CARRERA],MAE_CARRERA[ID_CARRERA],"Seleccione Carrera")</f>
        <v>Seleccione Carrera</v>
      </c>
      <c r="F331" s="1"/>
      <c r="G331" t="str">
        <f>_xlfn.XLOOKUP(Tabla1[[#This Row],[ASIGNATURA]],MAE_ASIGNATURA[NOM_ASIG],MAE_ASIGNATURA[ID_ASIG],"Seleccione Asignatura")</f>
        <v>Seleccione Asignatura</v>
      </c>
      <c r="H331" s="1" t="str" cm="1">
        <f t="array" ref="H331">_xlfn.TEXTJOIN("; ",TRUE,TRANSPOSE(_xlfn.UNIQUE(_xlfn._xlws.FILTER(DET_ASIG[DETALLADO],(DET_ASIG[NIVEL]=ASIGNACION!$D331)*(DET_ASIG[ID_CARRERA]=ASIGNACION!$C331)*(DET_ASIG[ID_ASIG]=ASIGNACION!$G331),"No existe información"))))</f>
        <v>No existe información</v>
      </c>
      <c r="I331" s="1"/>
      <c r="J331">
        <f>_xlfn.XLOOKUP(Tabla1[[#This Row],[ID_ASIG_CAM_DET]],MAE_ASIGNATURA[ID_ASIG],MAE_ASIGNATURA[HORAS],0)</f>
        <v>0</v>
      </c>
      <c r="K331">
        <v>4</v>
      </c>
      <c r="L331" s="2">
        <f>+Tabla1[[#This Row],[CALCULAR HORA]]*Tabla1[[#This Row],[HORAS]]</f>
        <v>0</v>
      </c>
      <c r="N331" t="str">
        <f>_xlfn.XLOOKUP(Tabla1[[#This Row],[NOMBRE_DOCENT]],MDOCENTES[DATOS_DOCENTE],MDOCENTES[DEDICACION],"Seleccione Docente")</f>
        <v>Seleccione Docente</v>
      </c>
      <c r="O331" t="str">
        <f>_xlfn.XLOOKUP(Tabla1[[#This Row],[NOMBRE_DOCENT]],MDOCENTES[DATOS_DOCENTE],MDOCENTES[ESTUDIO],"Seleccione Docente")</f>
        <v>Seleccione Docente</v>
      </c>
      <c r="P331">
        <f t="shared" si="25"/>
        <v>0</v>
      </c>
      <c r="Q331">
        <f t="shared" si="26"/>
        <v>0</v>
      </c>
      <c r="R331">
        <f t="shared" si="27"/>
        <v>0</v>
      </c>
      <c r="S331">
        <f t="shared" si="28"/>
        <v>0</v>
      </c>
      <c r="T331">
        <f t="shared" si="29"/>
        <v>0</v>
      </c>
      <c r="U331">
        <f>Tabla1[[#This Row],[HORAS NO AFINIDAD]]+Tabla1[[#This Row],[HORAS UNIDAD BASICA]]+Tabla1[[#This Row],[HORAS AFINIDAD]]</f>
        <v>0</v>
      </c>
      <c r="V331">
        <f>+Tabla1[[#This Row],[HORAS AFINIDAD]]+Tabla1[[#This Row],[HORAS ACTIVIDAD]]+Tabla1[[#This Row],[HORAS UNIDAD BASICA]]+Tabla1[[#This Row],[HORAS NO AFINIDAD]]</f>
        <v>0</v>
      </c>
    </row>
    <row r="332" spans="1:22" ht="18.75" customHeight="1">
      <c r="A332">
        <v>331</v>
      </c>
      <c r="C332" t="str">
        <f>_xlfn.XLOOKUP(Tabla1[[#This Row],[CARRERA]],MAE_CARRERA[NOMBRE_CARRERA],MAE_CARRERA[ID_CARRERA],"Seleccione Carrera")</f>
        <v>Seleccione Carrera</v>
      </c>
      <c r="F332" s="1"/>
      <c r="G332" t="str">
        <f>_xlfn.XLOOKUP(Tabla1[[#This Row],[ASIGNATURA]],MAE_ASIGNATURA[NOM_ASIG],MAE_ASIGNATURA[ID_ASIG],"Seleccione Asignatura")</f>
        <v>Seleccione Asignatura</v>
      </c>
      <c r="H332" s="1" t="str" cm="1">
        <f t="array" ref="H332">_xlfn.TEXTJOIN("; ",TRUE,TRANSPOSE(_xlfn.UNIQUE(_xlfn._xlws.FILTER(DET_ASIG[DETALLADO],(DET_ASIG[NIVEL]=ASIGNACION!$D332)*(DET_ASIG[ID_CARRERA]=ASIGNACION!$C332)*(DET_ASIG[ID_ASIG]=ASIGNACION!$G332),"No existe información"))))</f>
        <v>No existe información</v>
      </c>
      <c r="I332" s="1"/>
      <c r="J332">
        <f>_xlfn.XLOOKUP(Tabla1[[#This Row],[ID_ASIG_CAM_DET]],MAE_ASIGNATURA[ID_ASIG],MAE_ASIGNATURA[HORAS],0)</f>
        <v>0</v>
      </c>
      <c r="K332">
        <v>4</v>
      </c>
      <c r="L332" s="2">
        <f>+Tabla1[[#This Row],[CALCULAR HORA]]*Tabla1[[#This Row],[HORAS]]</f>
        <v>0</v>
      </c>
      <c r="N332" t="str">
        <f>_xlfn.XLOOKUP(Tabla1[[#This Row],[NOMBRE_DOCENT]],MDOCENTES[DATOS_DOCENTE],MDOCENTES[DEDICACION],"Seleccione Docente")</f>
        <v>Seleccione Docente</v>
      </c>
      <c r="O332" t="str">
        <f>_xlfn.XLOOKUP(Tabla1[[#This Row],[NOMBRE_DOCENT]],MDOCENTES[DATOS_DOCENTE],MDOCENTES[ESTUDIO],"Seleccione Docente")</f>
        <v>Seleccione Docente</v>
      </c>
      <c r="P332">
        <f t="shared" si="25"/>
        <v>0</v>
      </c>
      <c r="Q332">
        <f t="shared" si="26"/>
        <v>0</v>
      </c>
      <c r="R332">
        <f t="shared" si="27"/>
        <v>0</v>
      </c>
      <c r="S332">
        <f t="shared" si="28"/>
        <v>0</v>
      </c>
      <c r="T332">
        <f t="shared" si="29"/>
        <v>0</v>
      </c>
      <c r="U332">
        <f>Tabla1[[#This Row],[HORAS NO AFINIDAD]]+Tabla1[[#This Row],[HORAS UNIDAD BASICA]]+Tabla1[[#This Row],[HORAS AFINIDAD]]</f>
        <v>0</v>
      </c>
      <c r="V332">
        <f>+Tabla1[[#This Row],[HORAS AFINIDAD]]+Tabla1[[#This Row],[HORAS ACTIVIDAD]]+Tabla1[[#This Row],[HORAS UNIDAD BASICA]]+Tabla1[[#This Row],[HORAS NO AFINIDAD]]</f>
        <v>0</v>
      </c>
    </row>
    <row r="333" spans="1:22" ht="18.75" customHeight="1">
      <c r="A333">
        <v>332</v>
      </c>
      <c r="C333" t="str">
        <f>_xlfn.XLOOKUP(Tabla1[[#This Row],[CARRERA]],MAE_CARRERA[NOMBRE_CARRERA],MAE_CARRERA[ID_CARRERA],"Seleccione Carrera")</f>
        <v>Seleccione Carrera</v>
      </c>
      <c r="F333" s="1"/>
      <c r="G333" t="str">
        <f>_xlfn.XLOOKUP(Tabla1[[#This Row],[ASIGNATURA]],MAE_ASIGNATURA[NOM_ASIG],MAE_ASIGNATURA[ID_ASIG],"Seleccione Asignatura")</f>
        <v>Seleccione Asignatura</v>
      </c>
      <c r="H333" s="1" t="str" cm="1">
        <f t="array" ref="H333">_xlfn.TEXTJOIN("; ",TRUE,TRANSPOSE(_xlfn.UNIQUE(_xlfn._xlws.FILTER(DET_ASIG[DETALLADO],(DET_ASIG[NIVEL]=ASIGNACION!$D333)*(DET_ASIG[ID_CARRERA]=ASIGNACION!$C333)*(DET_ASIG[ID_ASIG]=ASIGNACION!$G333),"No existe información"))))</f>
        <v>No existe información</v>
      </c>
      <c r="I333" s="1"/>
      <c r="J333">
        <f>_xlfn.XLOOKUP(Tabla1[[#This Row],[ID_ASIG_CAM_DET]],MAE_ASIGNATURA[ID_ASIG],MAE_ASIGNATURA[HORAS],0)</f>
        <v>0</v>
      </c>
      <c r="K333">
        <v>4</v>
      </c>
      <c r="L333" s="2">
        <f>+Tabla1[[#This Row],[CALCULAR HORA]]*Tabla1[[#This Row],[HORAS]]</f>
        <v>0</v>
      </c>
      <c r="N333" t="str">
        <f>_xlfn.XLOOKUP(Tabla1[[#This Row],[NOMBRE_DOCENT]],MDOCENTES[DATOS_DOCENTE],MDOCENTES[DEDICACION],"Seleccione Docente")</f>
        <v>Seleccione Docente</v>
      </c>
      <c r="O333" t="str">
        <f>_xlfn.XLOOKUP(Tabla1[[#This Row],[NOMBRE_DOCENT]],MDOCENTES[DATOS_DOCENTE],MDOCENTES[ESTUDIO],"Seleccione Docente")</f>
        <v>Seleccione Docente</v>
      </c>
      <c r="P333">
        <f t="shared" si="25"/>
        <v>0</v>
      </c>
      <c r="Q333">
        <f t="shared" si="26"/>
        <v>0</v>
      </c>
      <c r="R333">
        <f t="shared" si="27"/>
        <v>0</v>
      </c>
      <c r="S333">
        <f t="shared" si="28"/>
        <v>0</v>
      </c>
      <c r="T333">
        <f t="shared" si="29"/>
        <v>0</v>
      </c>
      <c r="U333">
        <f>Tabla1[[#This Row],[HORAS NO AFINIDAD]]+Tabla1[[#This Row],[HORAS UNIDAD BASICA]]+Tabla1[[#This Row],[HORAS AFINIDAD]]</f>
        <v>0</v>
      </c>
      <c r="V333">
        <f>+Tabla1[[#This Row],[HORAS AFINIDAD]]+Tabla1[[#This Row],[HORAS ACTIVIDAD]]+Tabla1[[#This Row],[HORAS UNIDAD BASICA]]+Tabla1[[#This Row],[HORAS NO AFINIDAD]]</f>
        <v>0</v>
      </c>
    </row>
    <row r="334" spans="1:22" ht="18.75" customHeight="1">
      <c r="A334">
        <v>333</v>
      </c>
      <c r="C334" t="str">
        <f>_xlfn.XLOOKUP(Tabla1[[#This Row],[CARRERA]],MAE_CARRERA[NOMBRE_CARRERA],MAE_CARRERA[ID_CARRERA],"Seleccione Carrera")</f>
        <v>Seleccione Carrera</v>
      </c>
      <c r="F334" s="1"/>
      <c r="G334" t="str">
        <f>_xlfn.XLOOKUP(Tabla1[[#This Row],[ASIGNATURA]],MAE_ASIGNATURA[NOM_ASIG],MAE_ASIGNATURA[ID_ASIG],"Seleccione Asignatura")</f>
        <v>Seleccione Asignatura</v>
      </c>
      <c r="H334" s="1" t="str" cm="1">
        <f t="array" ref="H334">_xlfn.TEXTJOIN("; ",TRUE,TRANSPOSE(_xlfn.UNIQUE(_xlfn._xlws.FILTER(DET_ASIG[DETALLADO],(DET_ASIG[NIVEL]=ASIGNACION!$D334)*(DET_ASIG[ID_CARRERA]=ASIGNACION!$C334)*(DET_ASIG[ID_ASIG]=ASIGNACION!$G334),"No existe información"))))</f>
        <v>No existe información</v>
      </c>
      <c r="I334" s="1"/>
      <c r="J334">
        <f>_xlfn.XLOOKUP(Tabla1[[#This Row],[ID_ASIG_CAM_DET]],MAE_ASIGNATURA[ID_ASIG],MAE_ASIGNATURA[HORAS],0)</f>
        <v>0</v>
      </c>
      <c r="K334">
        <v>4</v>
      </c>
      <c r="L334" s="2">
        <f>+Tabla1[[#This Row],[CALCULAR HORA]]*Tabla1[[#This Row],[HORAS]]</f>
        <v>0</v>
      </c>
      <c r="N334" t="str">
        <f>_xlfn.XLOOKUP(Tabla1[[#This Row],[NOMBRE_DOCENT]],MDOCENTES[DATOS_DOCENTE],MDOCENTES[DEDICACION],"Seleccione Docente")</f>
        <v>Seleccione Docente</v>
      </c>
      <c r="O334" t="str">
        <f>_xlfn.XLOOKUP(Tabla1[[#This Row],[NOMBRE_DOCENT]],MDOCENTES[DATOS_DOCENTE],MDOCENTES[ESTUDIO],"Seleccione Docente")</f>
        <v>Seleccione Docente</v>
      </c>
      <c r="P334">
        <f t="shared" si="25"/>
        <v>0</v>
      </c>
      <c r="Q334">
        <f t="shared" si="26"/>
        <v>0</v>
      </c>
      <c r="R334">
        <f t="shared" si="27"/>
        <v>0</v>
      </c>
      <c r="S334">
        <f t="shared" si="28"/>
        <v>0</v>
      </c>
      <c r="T334">
        <f t="shared" si="29"/>
        <v>0</v>
      </c>
      <c r="U334">
        <f>Tabla1[[#This Row],[HORAS NO AFINIDAD]]+Tabla1[[#This Row],[HORAS UNIDAD BASICA]]+Tabla1[[#This Row],[HORAS AFINIDAD]]</f>
        <v>0</v>
      </c>
      <c r="V334">
        <f>+Tabla1[[#This Row],[HORAS AFINIDAD]]+Tabla1[[#This Row],[HORAS ACTIVIDAD]]+Tabla1[[#This Row],[HORAS UNIDAD BASICA]]+Tabla1[[#This Row],[HORAS NO AFINIDAD]]</f>
        <v>0</v>
      </c>
    </row>
    <row r="335" spans="1:22" ht="18.75" customHeight="1">
      <c r="A335">
        <v>334</v>
      </c>
      <c r="C335" t="str">
        <f>_xlfn.XLOOKUP(Tabla1[[#This Row],[CARRERA]],MAE_CARRERA[NOMBRE_CARRERA],MAE_CARRERA[ID_CARRERA],"Seleccione Carrera")</f>
        <v>Seleccione Carrera</v>
      </c>
      <c r="F335" s="1"/>
      <c r="G335" t="str">
        <f>_xlfn.XLOOKUP(Tabla1[[#This Row],[ASIGNATURA]],MAE_ASIGNATURA[NOM_ASIG],MAE_ASIGNATURA[ID_ASIG],"Seleccione Asignatura")</f>
        <v>Seleccione Asignatura</v>
      </c>
      <c r="H335" s="1" t="str" cm="1">
        <f t="array" ref="H335">_xlfn.TEXTJOIN("; ",TRUE,TRANSPOSE(_xlfn.UNIQUE(_xlfn._xlws.FILTER(DET_ASIG[DETALLADO],(DET_ASIG[NIVEL]=ASIGNACION!$D335)*(DET_ASIG[ID_CARRERA]=ASIGNACION!$C335)*(DET_ASIG[ID_ASIG]=ASIGNACION!$G335),"No existe información"))))</f>
        <v>No existe información</v>
      </c>
      <c r="I335" s="1"/>
      <c r="J335">
        <f>_xlfn.XLOOKUP(Tabla1[[#This Row],[ID_ASIG_CAM_DET]],MAE_ASIGNATURA[ID_ASIG],MAE_ASIGNATURA[HORAS],0)</f>
        <v>0</v>
      </c>
      <c r="K335">
        <v>4</v>
      </c>
      <c r="L335" s="2">
        <f>+Tabla1[[#This Row],[CALCULAR HORA]]*Tabla1[[#This Row],[HORAS]]</f>
        <v>0</v>
      </c>
      <c r="N335" t="str">
        <f>_xlfn.XLOOKUP(Tabla1[[#This Row],[NOMBRE_DOCENT]],MDOCENTES[DATOS_DOCENTE],MDOCENTES[DEDICACION],"Seleccione Docente")</f>
        <v>Seleccione Docente</v>
      </c>
      <c r="O335" t="str">
        <f>_xlfn.XLOOKUP(Tabla1[[#This Row],[NOMBRE_DOCENT]],MDOCENTES[DATOS_DOCENTE],MDOCENTES[ESTUDIO],"Seleccione Docente")</f>
        <v>Seleccione Docente</v>
      </c>
      <c r="P335">
        <f t="shared" si="25"/>
        <v>0</v>
      </c>
      <c r="Q335">
        <f t="shared" si="26"/>
        <v>0</v>
      </c>
      <c r="R335">
        <f t="shared" si="27"/>
        <v>0</v>
      </c>
      <c r="S335">
        <f t="shared" si="28"/>
        <v>0</v>
      </c>
      <c r="T335">
        <f t="shared" si="29"/>
        <v>0</v>
      </c>
      <c r="U335">
        <f>Tabla1[[#This Row],[HORAS NO AFINIDAD]]+Tabla1[[#This Row],[HORAS UNIDAD BASICA]]+Tabla1[[#This Row],[HORAS AFINIDAD]]</f>
        <v>0</v>
      </c>
      <c r="V335">
        <f>+Tabla1[[#This Row],[HORAS AFINIDAD]]+Tabla1[[#This Row],[HORAS ACTIVIDAD]]+Tabla1[[#This Row],[HORAS UNIDAD BASICA]]+Tabla1[[#This Row],[HORAS NO AFINIDAD]]</f>
        <v>0</v>
      </c>
    </row>
    <row r="336" spans="1:22" ht="18.75" customHeight="1">
      <c r="A336">
        <v>335</v>
      </c>
      <c r="C336" t="str">
        <f>_xlfn.XLOOKUP(Tabla1[[#This Row],[CARRERA]],MAE_CARRERA[NOMBRE_CARRERA],MAE_CARRERA[ID_CARRERA],"Seleccione Carrera")</f>
        <v>Seleccione Carrera</v>
      </c>
      <c r="F336" s="1"/>
      <c r="G336" t="str">
        <f>_xlfn.XLOOKUP(Tabla1[[#This Row],[ASIGNATURA]],MAE_ASIGNATURA[NOM_ASIG],MAE_ASIGNATURA[ID_ASIG],"Seleccione Asignatura")</f>
        <v>Seleccione Asignatura</v>
      </c>
      <c r="H336" s="1" t="str" cm="1">
        <f t="array" ref="H336">_xlfn.TEXTJOIN("; ",TRUE,TRANSPOSE(_xlfn.UNIQUE(_xlfn._xlws.FILTER(DET_ASIG[DETALLADO],(DET_ASIG[NIVEL]=ASIGNACION!$D336)*(DET_ASIG[ID_CARRERA]=ASIGNACION!$C336)*(DET_ASIG[ID_ASIG]=ASIGNACION!$G336),"No existe información"))))</f>
        <v>No existe información</v>
      </c>
      <c r="I336" s="1"/>
      <c r="J336">
        <f>_xlfn.XLOOKUP(Tabla1[[#This Row],[ID_ASIG_CAM_DET]],MAE_ASIGNATURA[ID_ASIG],MAE_ASIGNATURA[HORAS],0)</f>
        <v>0</v>
      </c>
      <c r="K336">
        <v>4</v>
      </c>
      <c r="L336" s="2">
        <f>+Tabla1[[#This Row],[CALCULAR HORA]]*Tabla1[[#This Row],[HORAS]]</f>
        <v>0</v>
      </c>
      <c r="N336" t="str">
        <f>_xlfn.XLOOKUP(Tabla1[[#This Row],[NOMBRE_DOCENT]],MDOCENTES[DATOS_DOCENTE],MDOCENTES[DEDICACION],"Seleccione Docente")</f>
        <v>Seleccione Docente</v>
      </c>
      <c r="O336" t="str">
        <f>_xlfn.XLOOKUP(Tabla1[[#This Row],[NOMBRE_DOCENT]],MDOCENTES[DATOS_DOCENTE],MDOCENTES[ESTUDIO],"Seleccione Docente")</f>
        <v>Seleccione Docente</v>
      </c>
      <c r="P336">
        <f t="shared" si="25"/>
        <v>0</v>
      </c>
      <c r="Q336">
        <f t="shared" si="26"/>
        <v>0</v>
      </c>
      <c r="R336">
        <f t="shared" si="27"/>
        <v>0</v>
      </c>
      <c r="S336">
        <f t="shared" si="28"/>
        <v>0</v>
      </c>
      <c r="T336">
        <f t="shared" si="29"/>
        <v>0</v>
      </c>
      <c r="U336">
        <f>Tabla1[[#This Row],[HORAS NO AFINIDAD]]+Tabla1[[#This Row],[HORAS UNIDAD BASICA]]+Tabla1[[#This Row],[HORAS AFINIDAD]]</f>
        <v>0</v>
      </c>
      <c r="V336">
        <f>+Tabla1[[#This Row],[HORAS AFINIDAD]]+Tabla1[[#This Row],[HORAS ACTIVIDAD]]+Tabla1[[#This Row],[HORAS UNIDAD BASICA]]+Tabla1[[#This Row],[HORAS NO AFINIDAD]]</f>
        <v>0</v>
      </c>
    </row>
    <row r="337" spans="1:22" ht="18.75" customHeight="1">
      <c r="A337">
        <v>336</v>
      </c>
      <c r="C337" t="str">
        <f>_xlfn.XLOOKUP(Tabla1[[#This Row],[CARRERA]],MAE_CARRERA[NOMBRE_CARRERA],MAE_CARRERA[ID_CARRERA],"Seleccione Carrera")</f>
        <v>Seleccione Carrera</v>
      </c>
      <c r="F337" s="1"/>
      <c r="G337" t="str">
        <f>_xlfn.XLOOKUP(Tabla1[[#This Row],[ASIGNATURA]],MAE_ASIGNATURA[NOM_ASIG],MAE_ASIGNATURA[ID_ASIG],"Seleccione Asignatura")</f>
        <v>Seleccione Asignatura</v>
      </c>
      <c r="H337" s="1" t="str" cm="1">
        <f t="array" ref="H337">_xlfn.TEXTJOIN("; ",TRUE,TRANSPOSE(_xlfn.UNIQUE(_xlfn._xlws.FILTER(DET_ASIG[DETALLADO],(DET_ASIG[NIVEL]=ASIGNACION!$D337)*(DET_ASIG[ID_CARRERA]=ASIGNACION!$C337)*(DET_ASIG[ID_ASIG]=ASIGNACION!$G337),"No existe información"))))</f>
        <v>No existe información</v>
      </c>
      <c r="I337" s="1"/>
      <c r="J337">
        <f>_xlfn.XLOOKUP(Tabla1[[#This Row],[ID_ASIG_CAM_DET]],MAE_ASIGNATURA[ID_ASIG],MAE_ASIGNATURA[HORAS],0)</f>
        <v>0</v>
      </c>
      <c r="K337">
        <v>4</v>
      </c>
      <c r="L337" s="2">
        <f>+Tabla1[[#This Row],[CALCULAR HORA]]*Tabla1[[#This Row],[HORAS]]</f>
        <v>0</v>
      </c>
      <c r="N337" t="str">
        <f>_xlfn.XLOOKUP(Tabla1[[#This Row],[NOMBRE_DOCENT]],MDOCENTES[DATOS_DOCENTE],MDOCENTES[DEDICACION],"Seleccione Docente")</f>
        <v>Seleccione Docente</v>
      </c>
      <c r="O337" t="str">
        <f>_xlfn.XLOOKUP(Tabla1[[#This Row],[NOMBRE_DOCENT]],MDOCENTES[DATOS_DOCENTE],MDOCENTES[ESTUDIO],"Seleccione Docente")</f>
        <v>Seleccione Docente</v>
      </c>
      <c r="P337">
        <f t="shared" si="25"/>
        <v>0</v>
      </c>
      <c r="Q337">
        <f t="shared" si="26"/>
        <v>0</v>
      </c>
      <c r="R337">
        <f t="shared" si="27"/>
        <v>0</v>
      </c>
      <c r="S337">
        <f t="shared" si="28"/>
        <v>0</v>
      </c>
      <c r="T337">
        <f t="shared" si="29"/>
        <v>0</v>
      </c>
      <c r="U337">
        <f>Tabla1[[#This Row],[HORAS NO AFINIDAD]]+Tabla1[[#This Row],[HORAS UNIDAD BASICA]]+Tabla1[[#This Row],[HORAS AFINIDAD]]</f>
        <v>0</v>
      </c>
      <c r="V337">
        <f>+Tabla1[[#This Row],[HORAS AFINIDAD]]+Tabla1[[#This Row],[HORAS ACTIVIDAD]]+Tabla1[[#This Row],[HORAS UNIDAD BASICA]]+Tabla1[[#This Row],[HORAS NO AFINIDAD]]</f>
        <v>0</v>
      </c>
    </row>
    <row r="338" spans="1:22" ht="18.75" customHeight="1">
      <c r="A338">
        <v>337</v>
      </c>
      <c r="C338" t="str">
        <f>_xlfn.XLOOKUP(Tabla1[[#This Row],[CARRERA]],MAE_CARRERA[NOMBRE_CARRERA],MAE_CARRERA[ID_CARRERA],"Seleccione Carrera")</f>
        <v>Seleccione Carrera</v>
      </c>
      <c r="F338" s="1"/>
      <c r="G338" t="str">
        <f>_xlfn.XLOOKUP(Tabla1[[#This Row],[ASIGNATURA]],MAE_ASIGNATURA[NOM_ASIG],MAE_ASIGNATURA[ID_ASIG],"Seleccione Asignatura")</f>
        <v>Seleccione Asignatura</v>
      </c>
      <c r="H338" s="1" t="str" cm="1">
        <f t="array" ref="H338">_xlfn.TEXTJOIN("; ",TRUE,TRANSPOSE(_xlfn.UNIQUE(_xlfn._xlws.FILTER(DET_ASIG[DETALLADO],(DET_ASIG[NIVEL]=ASIGNACION!$D338)*(DET_ASIG[ID_CARRERA]=ASIGNACION!$C338)*(DET_ASIG[ID_ASIG]=ASIGNACION!$G338),"No existe información"))))</f>
        <v>No existe información</v>
      </c>
      <c r="I338" s="1"/>
      <c r="J338">
        <f>_xlfn.XLOOKUP(Tabla1[[#This Row],[ID_ASIG_CAM_DET]],MAE_ASIGNATURA[ID_ASIG],MAE_ASIGNATURA[HORAS],0)</f>
        <v>0</v>
      </c>
      <c r="K338">
        <v>4</v>
      </c>
      <c r="L338" s="2">
        <f>+Tabla1[[#This Row],[CALCULAR HORA]]*Tabla1[[#This Row],[HORAS]]</f>
        <v>0</v>
      </c>
      <c r="N338" t="str">
        <f>_xlfn.XLOOKUP(Tabla1[[#This Row],[NOMBRE_DOCENT]],MDOCENTES[DATOS_DOCENTE],MDOCENTES[DEDICACION],"Seleccione Docente")</f>
        <v>Seleccione Docente</v>
      </c>
      <c r="O338" t="str">
        <f>_xlfn.XLOOKUP(Tabla1[[#This Row],[NOMBRE_DOCENT]],MDOCENTES[DATOS_DOCENTE],MDOCENTES[ESTUDIO],"Seleccione Docente")</f>
        <v>Seleccione Docente</v>
      </c>
      <c r="P338">
        <f t="shared" si="25"/>
        <v>0</v>
      </c>
      <c r="Q338">
        <f t="shared" si="26"/>
        <v>0</v>
      </c>
      <c r="R338">
        <f t="shared" si="27"/>
        <v>0</v>
      </c>
      <c r="S338">
        <f t="shared" si="28"/>
        <v>0</v>
      </c>
      <c r="T338">
        <f t="shared" si="29"/>
        <v>0</v>
      </c>
      <c r="U338">
        <f>Tabla1[[#This Row],[HORAS NO AFINIDAD]]+Tabla1[[#This Row],[HORAS UNIDAD BASICA]]+Tabla1[[#This Row],[HORAS AFINIDAD]]</f>
        <v>0</v>
      </c>
      <c r="V338">
        <f>+Tabla1[[#This Row],[HORAS AFINIDAD]]+Tabla1[[#This Row],[HORAS ACTIVIDAD]]+Tabla1[[#This Row],[HORAS UNIDAD BASICA]]+Tabla1[[#This Row],[HORAS NO AFINIDAD]]</f>
        <v>0</v>
      </c>
    </row>
    <row r="339" spans="1:22" ht="18.75" customHeight="1">
      <c r="A339">
        <v>338</v>
      </c>
      <c r="C339" t="str">
        <f>_xlfn.XLOOKUP(Tabla1[[#This Row],[CARRERA]],MAE_CARRERA[NOMBRE_CARRERA],MAE_CARRERA[ID_CARRERA],"Seleccione Carrera")</f>
        <v>Seleccione Carrera</v>
      </c>
      <c r="F339" s="1"/>
      <c r="G339" t="str">
        <f>_xlfn.XLOOKUP(Tabla1[[#This Row],[ASIGNATURA]],MAE_ASIGNATURA[NOM_ASIG],MAE_ASIGNATURA[ID_ASIG],"Seleccione Asignatura")</f>
        <v>Seleccione Asignatura</v>
      </c>
      <c r="H339" s="1" t="str" cm="1">
        <f t="array" ref="H339">_xlfn.TEXTJOIN("; ",TRUE,TRANSPOSE(_xlfn.UNIQUE(_xlfn._xlws.FILTER(DET_ASIG[DETALLADO],(DET_ASIG[NIVEL]=ASIGNACION!$D339)*(DET_ASIG[ID_CARRERA]=ASIGNACION!$C339)*(DET_ASIG[ID_ASIG]=ASIGNACION!$G339),"No existe información"))))</f>
        <v>No existe información</v>
      </c>
      <c r="I339" s="1"/>
      <c r="J339">
        <f>_xlfn.XLOOKUP(Tabla1[[#This Row],[ID_ASIG_CAM_DET]],MAE_ASIGNATURA[ID_ASIG],MAE_ASIGNATURA[HORAS],0)</f>
        <v>0</v>
      </c>
      <c r="K339">
        <v>4</v>
      </c>
      <c r="L339" s="2">
        <f>+Tabla1[[#This Row],[CALCULAR HORA]]*Tabla1[[#This Row],[HORAS]]</f>
        <v>0</v>
      </c>
      <c r="N339" t="str">
        <f>_xlfn.XLOOKUP(Tabla1[[#This Row],[NOMBRE_DOCENT]],MDOCENTES[DATOS_DOCENTE],MDOCENTES[DEDICACION],"Seleccione Docente")</f>
        <v>Seleccione Docente</v>
      </c>
      <c r="O339" t="str">
        <f>_xlfn.XLOOKUP(Tabla1[[#This Row],[NOMBRE_DOCENT]],MDOCENTES[DATOS_DOCENTE],MDOCENTES[ESTUDIO],"Seleccione Docente")</f>
        <v>Seleccione Docente</v>
      </c>
      <c r="P339">
        <f t="shared" si="25"/>
        <v>0</v>
      </c>
      <c r="Q339">
        <f t="shared" si="26"/>
        <v>0</v>
      </c>
      <c r="R339">
        <f t="shared" si="27"/>
        <v>0</v>
      </c>
      <c r="S339">
        <f t="shared" si="28"/>
        <v>0</v>
      </c>
      <c r="T339">
        <f t="shared" si="29"/>
        <v>0</v>
      </c>
      <c r="U339">
        <f>Tabla1[[#This Row],[HORAS NO AFINIDAD]]+Tabla1[[#This Row],[HORAS UNIDAD BASICA]]+Tabla1[[#This Row],[HORAS AFINIDAD]]</f>
        <v>0</v>
      </c>
      <c r="V339">
        <f>+Tabla1[[#This Row],[HORAS AFINIDAD]]+Tabla1[[#This Row],[HORAS ACTIVIDAD]]+Tabla1[[#This Row],[HORAS UNIDAD BASICA]]+Tabla1[[#This Row],[HORAS NO AFINIDAD]]</f>
        <v>0</v>
      </c>
    </row>
    <row r="340" spans="1:22" ht="18.75" customHeight="1">
      <c r="A340">
        <v>339</v>
      </c>
      <c r="C340" t="str">
        <f>_xlfn.XLOOKUP(Tabla1[[#This Row],[CARRERA]],MAE_CARRERA[NOMBRE_CARRERA],MAE_CARRERA[ID_CARRERA],"Seleccione Carrera")</f>
        <v>Seleccione Carrera</v>
      </c>
      <c r="F340" s="1"/>
      <c r="G340" t="str">
        <f>_xlfn.XLOOKUP(Tabla1[[#This Row],[ASIGNATURA]],MAE_ASIGNATURA[NOM_ASIG],MAE_ASIGNATURA[ID_ASIG],"Seleccione Asignatura")</f>
        <v>Seleccione Asignatura</v>
      </c>
      <c r="H340" s="1" t="str" cm="1">
        <f t="array" ref="H340">_xlfn.TEXTJOIN("; ",TRUE,TRANSPOSE(_xlfn.UNIQUE(_xlfn._xlws.FILTER(DET_ASIG[DETALLADO],(DET_ASIG[NIVEL]=ASIGNACION!$D340)*(DET_ASIG[ID_CARRERA]=ASIGNACION!$C340)*(DET_ASIG[ID_ASIG]=ASIGNACION!$G340),"No existe información"))))</f>
        <v>No existe información</v>
      </c>
      <c r="I340" s="1"/>
      <c r="J340">
        <f>_xlfn.XLOOKUP(Tabla1[[#This Row],[ID_ASIG_CAM_DET]],MAE_ASIGNATURA[ID_ASIG],MAE_ASIGNATURA[HORAS],0)</f>
        <v>0</v>
      </c>
      <c r="K340">
        <v>4</v>
      </c>
      <c r="L340" s="2">
        <f>+Tabla1[[#This Row],[CALCULAR HORA]]*Tabla1[[#This Row],[HORAS]]</f>
        <v>0</v>
      </c>
      <c r="N340" t="str">
        <f>_xlfn.XLOOKUP(Tabla1[[#This Row],[NOMBRE_DOCENT]],MDOCENTES[DATOS_DOCENTE],MDOCENTES[DEDICACION],"Seleccione Docente")</f>
        <v>Seleccione Docente</v>
      </c>
      <c r="O340" t="str">
        <f>_xlfn.XLOOKUP(Tabla1[[#This Row],[NOMBRE_DOCENT]],MDOCENTES[DATOS_DOCENTE],MDOCENTES[ESTUDIO],"Seleccione Docente")</f>
        <v>Seleccione Docente</v>
      </c>
      <c r="P340">
        <f t="shared" si="25"/>
        <v>0</v>
      </c>
      <c r="Q340">
        <f t="shared" si="26"/>
        <v>0</v>
      </c>
      <c r="R340">
        <f t="shared" si="27"/>
        <v>0</v>
      </c>
      <c r="S340">
        <f t="shared" si="28"/>
        <v>0</v>
      </c>
      <c r="T340">
        <f t="shared" si="29"/>
        <v>0</v>
      </c>
      <c r="U340">
        <f>Tabla1[[#This Row],[HORAS NO AFINIDAD]]+Tabla1[[#This Row],[HORAS UNIDAD BASICA]]+Tabla1[[#This Row],[HORAS AFINIDAD]]</f>
        <v>0</v>
      </c>
      <c r="V340">
        <f>+Tabla1[[#This Row],[HORAS AFINIDAD]]+Tabla1[[#This Row],[HORAS ACTIVIDAD]]+Tabla1[[#This Row],[HORAS UNIDAD BASICA]]+Tabla1[[#This Row],[HORAS NO AFINIDAD]]</f>
        <v>0</v>
      </c>
    </row>
    <row r="341" spans="1:22" ht="18.75" customHeight="1">
      <c r="A341">
        <v>340</v>
      </c>
      <c r="C341" t="str">
        <f>_xlfn.XLOOKUP(Tabla1[[#This Row],[CARRERA]],MAE_CARRERA[NOMBRE_CARRERA],MAE_CARRERA[ID_CARRERA],"Seleccione Carrera")</f>
        <v>Seleccione Carrera</v>
      </c>
      <c r="F341" s="1"/>
      <c r="G341" t="str">
        <f>_xlfn.XLOOKUP(Tabla1[[#This Row],[ASIGNATURA]],MAE_ASIGNATURA[NOM_ASIG],MAE_ASIGNATURA[ID_ASIG],"Seleccione Asignatura")</f>
        <v>Seleccione Asignatura</v>
      </c>
      <c r="H341" s="1" t="str" cm="1">
        <f t="array" ref="H341">_xlfn.TEXTJOIN("; ",TRUE,TRANSPOSE(_xlfn.UNIQUE(_xlfn._xlws.FILTER(DET_ASIG[DETALLADO],(DET_ASIG[NIVEL]=ASIGNACION!$D341)*(DET_ASIG[ID_CARRERA]=ASIGNACION!$C341)*(DET_ASIG[ID_ASIG]=ASIGNACION!$G341),"No existe información"))))</f>
        <v>No existe información</v>
      </c>
      <c r="I341" s="1"/>
      <c r="J341">
        <f>_xlfn.XLOOKUP(Tabla1[[#This Row],[ID_ASIG_CAM_DET]],MAE_ASIGNATURA[ID_ASIG],MAE_ASIGNATURA[HORAS],0)</f>
        <v>0</v>
      </c>
      <c r="K341">
        <v>4</v>
      </c>
      <c r="L341" s="2">
        <f>+Tabla1[[#This Row],[CALCULAR HORA]]*Tabla1[[#This Row],[HORAS]]</f>
        <v>0</v>
      </c>
      <c r="N341" t="str">
        <f>_xlfn.XLOOKUP(Tabla1[[#This Row],[NOMBRE_DOCENT]],MDOCENTES[DATOS_DOCENTE],MDOCENTES[DEDICACION],"Seleccione Docente")</f>
        <v>Seleccione Docente</v>
      </c>
      <c r="O341" t="str">
        <f>_xlfn.XLOOKUP(Tabla1[[#This Row],[NOMBRE_DOCENT]],MDOCENTES[DATOS_DOCENTE],MDOCENTES[ESTUDIO],"Seleccione Docente")</f>
        <v>Seleccione Docente</v>
      </c>
      <c r="P341">
        <f t="shared" si="25"/>
        <v>0</v>
      </c>
      <c r="Q341">
        <f t="shared" si="26"/>
        <v>0</v>
      </c>
      <c r="R341">
        <f t="shared" si="27"/>
        <v>0</v>
      </c>
      <c r="S341">
        <f t="shared" si="28"/>
        <v>0</v>
      </c>
      <c r="T341">
        <f t="shared" si="29"/>
        <v>0</v>
      </c>
      <c r="U341">
        <f>Tabla1[[#This Row],[HORAS NO AFINIDAD]]+Tabla1[[#This Row],[HORAS UNIDAD BASICA]]+Tabla1[[#This Row],[HORAS AFINIDAD]]</f>
        <v>0</v>
      </c>
      <c r="V341">
        <f>+Tabla1[[#This Row],[HORAS AFINIDAD]]+Tabla1[[#This Row],[HORAS ACTIVIDAD]]+Tabla1[[#This Row],[HORAS UNIDAD BASICA]]+Tabla1[[#This Row],[HORAS NO AFINIDAD]]</f>
        <v>0</v>
      </c>
    </row>
    <row r="342" spans="1:22" ht="18.75" customHeight="1">
      <c r="A342">
        <v>341</v>
      </c>
      <c r="C342" t="str">
        <f>_xlfn.XLOOKUP(Tabla1[[#This Row],[CARRERA]],MAE_CARRERA[NOMBRE_CARRERA],MAE_CARRERA[ID_CARRERA],"Seleccione Carrera")</f>
        <v>Seleccione Carrera</v>
      </c>
      <c r="F342" s="1"/>
      <c r="G342" t="str">
        <f>_xlfn.XLOOKUP(Tabla1[[#This Row],[ASIGNATURA]],MAE_ASIGNATURA[NOM_ASIG],MAE_ASIGNATURA[ID_ASIG],"Seleccione Asignatura")</f>
        <v>Seleccione Asignatura</v>
      </c>
      <c r="H342" s="1" t="str" cm="1">
        <f t="array" ref="H342">_xlfn.TEXTJOIN("; ",TRUE,TRANSPOSE(_xlfn.UNIQUE(_xlfn._xlws.FILTER(DET_ASIG[DETALLADO],(DET_ASIG[NIVEL]=ASIGNACION!$D342)*(DET_ASIG[ID_CARRERA]=ASIGNACION!$C342)*(DET_ASIG[ID_ASIG]=ASIGNACION!$G342),"No existe información"))))</f>
        <v>No existe información</v>
      </c>
      <c r="I342" s="1"/>
      <c r="J342">
        <f>_xlfn.XLOOKUP(Tabla1[[#This Row],[ID_ASIG_CAM_DET]],MAE_ASIGNATURA[ID_ASIG],MAE_ASIGNATURA[HORAS],0)</f>
        <v>0</v>
      </c>
      <c r="K342">
        <v>4</v>
      </c>
      <c r="L342" s="2">
        <f>+Tabla1[[#This Row],[CALCULAR HORA]]*Tabla1[[#This Row],[HORAS]]</f>
        <v>0</v>
      </c>
      <c r="N342" t="str">
        <f>_xlfn.XLOOKUP(Tabla1[[#This Row],[NOMBRE_DOCENT]],MDOCENTES[DATOS_DOCENTE],MDOCENTES[DEDICACION],"Seleccione Docente")</f>
        <v>Seleccione Docente</v>
      </c>
      <c r="O342" t="str">
        <f>_xlfn.XLOOKUP(Tabla1[[#This Row],[NOMBRE_DOCENT]],MDOCENTES[DATOS_DOCENTE],MDOCENTES[ESTUDIO],"Seleccione Docente")</f>
        <v>Seleccione Docente</v>
      </c>
      <c r="P342">
        <f t="shared" si="25"/>
        <v>0</v>
      </c>
      <c r="Q342">
        <f t="shared" si="26"/>
        <v>0</v>
      </c>
      <c r="R342">
        <f t="shared" si="27"/>
        <v>0</v>
      </c>
      <c r="S342">
        <f t="shared" si="28"/>
        <v>0</v>
      </c>
      <c r="T342">
        <f t="shared" si="29"/>
        <v>0</v>
      </c>
      <c r="U342">
        <f>Tabla1[[#This Row],[HORAS NO AFINIDAD]]+Tabla1[[#This Row],[HORAS UNIDAD BASICA]]+Tabla1[[#This Row],[HORAS AFINIDAD]]</f>
        <v>0</v>
      </c>
      <c r="V342">
        <f>+Tabla1[[#This Row],[HORAS AFINIDAD]]+Tabla1[[#This Row],[HORAS ACTIVIDAD]]+Tabla1[[#This Row],[HORAS UNIDAD BASICA]]+Tabla1[[#This Row],[HORAS NO AFINIDAD]]</f>
        <v>0</v>
      </c>
    </row>
    <row r="343" spans="1:22" ht="18.75" customHeight="1">
      <c r="A343">
        <v>342</v>
      </c>
      <c r="C343" t="str">
        <f>_xlfn.XLOOKUP(Tabla1[[#This Row],[CARRERA]],MAE_CARRERA[NOMBRE_CARRERA],MAE_CARRERA[ID_CARRERA],"Seleccione Carrera")</f>
        <v>Seleccione Carrera</v>
      </c>
      <c r="F343" s="1"/>
      <c r="G343" t="str">
        <f>_xlfn.XLOOKUP(Tabla1[[#This Row],[ASIGNATURA]],MAE_ASIGNATURA[NOM_ASIG],MAE_ASIGNATURA[ID_ASIG],"Seleccione Asignatura")</f>
        <v>Seleccione Asignatura</v>
      </c>
      <c r="H343" s="1" t="str" cm="1">
        <f t="array" ref="H343">_xlfn.TEXTJOIN("; ",TRUE,TRANSPOSE(_xlfn.UNIQUE(_xlfn._xlws.FILTER(DET_ASIG[DETALLADO],(DET_ASIG[NIVEL]=ASIGNACION!$D343)*(DET_ASIG[ID_CARRERA]=ASIGNACION!$C343)*(DET_ASIG[ID_ASIG]=ASIGNACION!$G343),"No existe información"))))</f>
        <v>No existe información</v>
      </c>
      <c r="I343" s="1"/>
      <c r="J343">
        <f>_xlfn.XLOOKUP(Tabla1[[#This Row],[ID_ASIG_CAM_DET]],MAE_ASIGNATURA[ID_ASIG],MAE_ASIGNATURA[HORAS],0)</f>
        <v>0</v>
      </c>
      <c r="K343">
        <v>4</v>
      </c>
      <c r="L343" s="2">
        <f>+Tabla1[[#This Row],[CALCULAR HORA]]*Tabla1[[#This Row],[HORAS]]</f>
        <v>0</v>
      </c>
      <c r="N343" t="str">
        <f>_xlfn.XLOOKUP(Tabla1[[#This Row],[NOMBRE_DOCENT]],MDOCENTES[DATOS_DOCENTE],MDOCENTES[DEDICACION],"Seleccione Docente")</f>
        <v>Seleccione Docente</v>
      </c>
      <c r="O343" t="str">
        <f>_xlfn.XLOOKUP(Tabla1[[#This Row],[NOMBRE_DOCENT]],MDOCENTES[DATOS_DOCENTE],MDOCENTES[ESTUDIO],"Seleccione Docente")</f>
        <v>Seleccione Docente</v>
      </c>
      <c r="P343">
        <f t="shared" si="25"/>
        <v>0</v>
      </c>
      <c r="Q343">
        <f t="shared" si="26"/>
        <v>0</v>
      </c>
      <c r="R343">
        <f t="shared" si="27"/>
        <v>0</v>
      </c>
      <c r="S343">
        <f t="shared" si="28"/>
        <v>0</v>
      </c>
      <c r="T343">
        <f t="shared" si="29"/>
        <v>0</v>
      </c>
      <c r="U343">
        <f>Tabla1[[#This Row],[HORAS NO AFINIDAD]]+Tabla1[[#This Row],[HORAS UNIDAD BASICA]]+Tabla1[[#This Row],[HORAS AFINIDAD]]</f>
        <v>0</v>
      </c>
      <c r="V343">
        <f>+Tabla1[[#This Row],[HORAS AFINIDAD]]+Tabla1[[#This Row],[HORAS ACTIVIDAD]]+Tabla1[[#This Row],[HORAS UNIDAD BASICA]]+Tabla1[[#This Row],[HORAS NO AFINIDAD]]</f>
        <v>0</v>
      </c>
    </row>
    <row r="344" spans="1:22" ht="18.75" customHeight="1">
      <c r="A344">
        <v>343</v>
      </c>
      <c r="C344" t="str">
        <f>_xlfn.XLOOKUP(Tabla1[[#This Row],[CARRERA]],MAE_CARRERA[NOMBRE_CARRERA],MAE_CARRERA[ID_CARRERA],"Seleccione Carrera")</f>
        <v>Seleccione Carrera</v>
      </c>
      <c r="F344" s="1"/>
      <c r="G344" t="str">
        <f>_xlfn.XLOOKUP(Tabla1[[#This Row],[ASIGNATURA]],MAE_ASIGNATURA[NOM_ASIG],MAE_ASIGNATURA[ID_ASIG],"Seleccione Asignatura")</f>
        <v>Seleccione Asignatura</v>
      </c>
      <c r="H344" s="1" t="str" cm="1">
        <f t="array" ref="H344">_xlfn.TEXTJOIN("; ",TRUE,TRANSPOSE(_xlfn.UNIQUE(_xlfn._xlws.FILTER(DET_ASIG[DETALLADO],(DET_ASIG[NIVEL]=ASIGNACION!$D344)*(DET_ASIG[ID_CARRERA]=ASIGNACION!$C344)*(DET_ASIG[ID_ASIG]=ASIGNACION!$G344),"No existe información"))))</f>
        <v>No existe información</v>
      </c>
      <c r="I344" s="1"/>
      <c r="J344">
        <f>_xlfn.XLOOKUP(Tabla1[[#This Row],[ID_ASIG_CAM_DET]],MAE_ASIGNATURA[ID_ASIG],MAE_ASIGNATURA[HORAS],0)</f>
        <v>0</v>
      </c>
      <c r="K344">
        <v>4</v>
      </c>
      <c r="L344" s="2">
        <f>+Tabla1[[#This Row],[CALCULAR HORA]]*Tabla1[[#This Row],[HORAS]]</f>
        <v>0</v>
      </c>
      <c r="N344" t="str">
        <f>_xlfn.XLOOKUP(Tabla1[[#This Row],[NOMBRE_DOCENT]],MDOCENTES[DATOS_DOCENTE],MDOCENTES[DEDICACION],"Seleccione Docente")</f>
        <v>Seleccione Docente</v>
      </c>
      <c r="O344" t="str">
        <f>_xlfn.XLOOKUP(Tabla1[[#This Row],[NOMBRE_DOCENT]],MDOCENTES[DATOS_DOCENTE],MDOCENTES[ESTUDIO],"Seleccione Docente")</f>
        <v>Seleccione Docente</v>
      </c>
      <c r="P344">
        <f t="shared" si="25"/>
        <v>0</v>
      </c>
      <c r="Q344">
        <f t="shared" si="26"/>
        <v>0</v>
      </c>
      <c r="R344">
        <f t="shared" si="27"/>
        <v>0</v>
      </c>
      <c r="S344">
        <f t="shared" si="28"/>
        <v>0</v>
      </c>
      <c r="T344">
        <f t="shared" si="29"/>
        <v>0</v>
      </c>
      <c r="U344">
        <f>Tabla1[[#This Row],[HORAS NO AFINIDAD]]+Tabla1[[#This Row],[HORAS UNIDAD BASICA]]+Tabla1[[#This Row],[HORAS AFINIDAD]]</f>
        <v>0</v>
      </c>
      <c r="V344">
        <f>+Tabla1[[#This Row],[HORAS AFINIDAD]]+Tabla1[[#This Row],[HORAS ACTIVIDAD]]+Tabla1[[#This Row],[HORAS UNIDAD BASICA]]+Tabla1[[#This Row],[HORAS NO AFINIDAD]]</f>
        <v>0</v>
      </c>
    </row>
    <row r="345" spans="1:22" ht="18.75" customHeight="1">
      <c r="A345">
        <v>344</v>
      </c>
      <c r="C345" t="str">
        <f>_xlfn.XLOOKUP(Tabla1[[#This Row],[CARRERA]],MAE_CARRERA[NOMBRE_CARRERA],MAE_CARRERA[ID_CARRERA],"Seleccione Carrera")</f>
        <v>Seleccione Carrera</v>
      </c>
      <c r="F345" s="1"/>
      <c r="G345" t="str">
        <f>_xlfn.XLOOKUP(Tabla1[[#This Row],[ASIGNATURA]],MAE_ASIGNATURA[NOM_ASIG],MAE_ASIGNATURA[ID_ASIG],"Seleccione Asignatura")</f>
        <v>Seleccione Asignatura</v>
      </c>
      <c r="H345" s="1" t="str" cm="1">
        <f t="array" ref="H345">_xlfn.TEXTJOIN("; ",TRUE,TRANSPOSE(_xlfn.UNIQUE(_xlfn._xlws.FILTER(DET_ASIG[DETALLADO],(DET_ASIG[NIVEL]=ASIGNACION!$D345)*(DET_ASIG[ID_CARRERA]=ASIGNACION!$C345)*(DET_ASIG[ID_ASIG]=ASIGNACION!$G345),"No existe información"))))</f>
        <v>No existe información</v>
      </c>
      <c r="I345" s="1"/>
      <c r="J345">
        <f>_xlfn.XLOOKUP(Tabla1[[#This Row],[ID_ASIG_CAM_DET]],MAE_ASIGNATURA[ID_ASIG],MAE_ASIGNATURA[HORAS],0)</f>
        <v>0</v>
      </c>
      <c r="K345">
        <v>4</v>
      </c>
      <c r="L345" s="2">
        <f>+Tabla1[[#This Row],[CALCULAR HORA]]*Tabla1[[#This Row],[HORAS]]</f>
        <v>0</v>
      </c>
      <c r="N345" t="str">
        <f>_xlfn.XLOOKUP(Tabla1[[#This Row],[NOMBRE_DOCENT]],MDOCENTES[DATOS_DOCENTE],MDOCENTES[DEDICACION],"Seleccione Docente")</f>
        <v>Seleccione Docente</v>
      </c>
      <c r="O345" t="str">
        <f>_xlfn.XLOOKUP(Tabla1[[#This Row],[NOMBRE_DOCENT]],MDOCENTES[DATOS_DOCENTE],MDOCENTES[ESTUDIO],"Seleccione Docente")</f>
        <v>Seleccione Docente</v>
      </c>
      <c r="P345">
        <f t="shared" si="25"/>
        <v>0</v>
      </c>
      <c r="Q345">
        <f t="shared" si="26"/>
        <v>0</v>
      </c>
      <c r="R345">
        <f t="shared" si="27"/>
        <v>0</v>
      </c>
      <c r="S345">
        <f t="shared" si="28"/>
        <v>0</v>
      </c>
      <c r="T345">
        <f t="shared" si="29"/>
        <v>0</v>
      </c>
      <c r="U345">
        <f>Tabla1[[#This Row],[HORAS NO AFINIDAD]]+Tabla1[[#This Row],[HORAS UNIDAD BASICA]]+Tabla1[[#This Row],[HORAS AFINIDAD]]</f>
        <v>0</v>
      </c>
      <c r="V345">
        <f>+Tabla1[[#This Row],[HORAS AFINIDAD]]+Tabla1[[#This Row],[HORAS ACTIVIDAD]]+Tabla1[[#This Row],[HORAS UNIDAD BASICA]]+Tabla1[[#This Row],[HORAS NO AFINIDAD]]</f>
        <v>0</v>
      </c>
    </row>
    <row r="346" spans="1:22" ht="18.75" customHeight="1">
      <c r="A346">
        <v>345</v>
      </c>
      <c r="C346" t="str">
        <f>_xlfn.XLOOKUP(Tabla1[[#This Row],[CARRERA]],MAE_CARRERA[NOMBRE_CARRERA],MAE_CARRERA[ID_CARRERA],"Seleccione Carrera")</f>
        <v>Seleccione Carrera</v>
      </c>
      <c r="F346" s="1"/>
      <c r="G346" t="str">
        <f>_xlfn.XLOOKUP(Tabla1[[#This Row],[ASIGNATURA]],MAE_ASIGNATURA[NOM_ASIG],MAE_ASIGNATURA[ID_ASIG],"Seleccione Asignatura")</f>
        <v>Seleccione Asignatura</v>
      </c>
      <c r="H346" s="1" t="str" cm="1">
        <f t="array" ref="H346">_xlfn.TEXTJOIN("; ",TRUE,TRANSPOSE(_xlfn.UNIQUE(_xlfn._xlws.FILTER(DET_ASIG[DETALLADO],(DET_ASIG[NIVEL]=ASIGNACION!$D346)*(DET_ASIG[ID_CARRERA]=ASIGNACION!$C346)*(DET_ASIG[ID_ASIG]=ASIGNACION!$G346),"No existe información"))))</f>
        <v>No existe información</v>
      </c>
      <c r="I346" s="1"/>
      <c r="J346">
        <f>_xlfn.XLOOKUP(Tabla1[[#This Row],[ID_ASIG_CAM_DET]],MAE_ASIGNATURA[ID_ASIG],MAE_ASIGNATURA[HORAS],0)</f>
        <v>0</v>
      </c>
      <c r="K346">
        <v>4</v>
      </c>
      <c r="L346" s="2">
        <f>+Tabla1[[#This Row],[CALCULAR HORA]]*Tabla1[[#This Row],[HORAS]]</f>
        <v>0</v>
      </c>
      <c r="N346" t="str">
        <f>_xlfn.XLOOKUP(Tabla1[[#This Row],[NOMBRE_DOCENT]],MDOCENTES[DATOS_DOCENTE],MDOCENTES[DEDICACION],"Seleccione Docente")</f>
        <v>Seleccione Docente</v>
      </c>
      <c r="O346" t="str">
        <f>_xlfn.XLOOKUP(Tabla1[[#This Row],[NOMBRE_DOCENT]],MDOCENTES[DATOS_DOCENTE],MDOCENTES[ESTUDIO],"Seleccione Docente")</f>
        <v>Seleccione Docente</v>
      </c>
      <c r="P346">
        <f t="shared" si="25"/>
        <v>0</v>
      </c>
      <c r="Q346">
        <f t="shared" si="26"/>
        <v>0</v>
      </c>
      <c r="R346">
        <f t="shared" si="27"/>
        <v>0</v>
      </c>
      <c r="S346">
        <f t="shared" si="28"/>
        <v>0</v>
      </c>
      <c r="T346">
        <f t="shared" si="29"/>
        <v>0</v>
      </c>
      <c r="U346">
        <f>Tabla1[[#This Row],[HORAS NO AFINIDAD]]+Tabla1[[#This Row],[HORAS UNIDAD BASICA]]+Tabla1[[#This Row],[HORAS AFINIDAD]]</f>
        <v>0</v>
      </c>
      <c r="V346">
        <f>+Tabla1[[#This Row],[HORAS AFINIDAD]]+Tabla1[[#This Row],[HORAS ACTIVIDAD]]+Tabla1[[#This Row],[HORAS UNIDAD BASICA]]+Tabla1[[#This Row],[HORAS NO AFINIDAD]]</f>
        <v>0</v>
      </c>
    </row>
    <row r="347" spans="1:22" ht="18.75" customHeight="1">
      <c r="A347">
        <v>346</v>
      </c>
      <c r="C347" t="str">
        <f>_xlfn.XLOOKUP(Tabla1[[#This Row],[CARRERA]],MAE_CARRERA[NOMBRE_CARRERA],MAE_CARRERA[ID_CARRERA],"Seleccione Carrera")</f>
        <v>Seleccione Carrera</v>
      </c>
      <c r="F347" s="1"/>
      <c r="G347" t="str">
        <f>_xlfn.XLOOKUP(Tabla1[[#This Row],[ASIGNATURA]],MAE_ASIGNATURA[NOM_ASIG],MAE_ASIGNATURA[ID_ASIG],"Seleccione Asignatura")</f>
        <v>Seleccione Asignatura</v>
      </c>
      <c r="H347" s="1" t="str" cm="1">
        <f t="array" ref="H347">_xlfn.TEXTJOIN("; ",TRUE,TRANSPOSE(_xlfn.UNIQUE(_xlfn._xlws.FILTER(DET_ASIG[DETALLADO],(DET_ASIG[NIVEL]=ASIGNACION!$D347)*(DET_ASIG[ID_CARRERA]=ASIGNACION!$C347)*(DET_ASIG[ID_ASIG]=ASIGNACION!$G347),"No existe información"))))</f>
        <v>No existe información</v>
      </c>
      <c r="I347" s="1"/>
      <c r="J347">
        <f>_xlfn.XLOOKUP(Tabla1[[#This Row],[ID_ASIG_CAM_DET]],MAE_ASIGNATURA[ID_ASIG],MAE_ASIGNATURA[HORAS],0)</f>
        <v>0</v>
      </c>
      <c r="K347">
        <v>4</v>
      </c>
      <c r="L347" s="2">
        <f>+Tabla1[[#This Row],[CALCULAR HORA]]*Tabla1[[#This Row],[HORAS]]</f>
        <v>0</v>
      </c>
      <c r="N347" t="str">
        <f>_xlfn.XLOOKUP(Tabla1[[#This Row],[NOMBRE_DOCENT]],MDOCENTES[DATOS_DOCENTE],MDOCENTES[DEDICACION],"Seleccione Docente")</f>
        <v>Seleccione Docente</v>
      </c>
      <c r="O347" t="str">
        <f>_xlfn.XLOOKUP(Tabla1[[#This Row],[NOMBRE_DOCENT]],MDOCENTES[DATOS_DOCENTE],MDOCENTES[ESTUDIO],"Seleccione Docente")</f>
        <v>Seleccione Docente</v>
      </c>
      <c r="P347">
        <f t="shared" si="25"/>
        <v>0</v>
      </c>
      <c r="Q347">
        <f t="shared" si="26"/>
        <v>0</v>
      </c>
      <c r="R347">
        <f t="shared" si="27"/>
        <v>0</v>
      </c>
      <c r="S347">
        <f t="shared" si="28"/>
        <v>0</v>
      </c>
      <c r="T347">
        <f t="shared" si="29"/>
        <v>0</v>
      </c>
      <c r="U347">
        <f>Tabla1[[#This Row],[HORAS NO AFINIDAD]]+Tabla1[[#This Row],[HORAS UNIDAD BASICA]]+Tabla1[[#This Row],[HORAS AFINIDAD]]</f>
        <v>0</v>
      </c>
      <c r="V347">
        <f>+Tabla1[[#This Row],[HORAS AFINIDAD]]+Tabla1[[#This Row],[HORAS ACTIVIDAD]]+Tabla1[[#This Row],[HORAS UNIDAD BASICA]]+Tabla1[[#This Row],[HORAS NO AFINIDAD]]</f>
        <v>0</v>
      </c>
    </row>
    <row r="348" spans="1:22" ht="18.75" customHeight="1">
      <c r="A348">
        <v>347</v>
      </c>
      <c r="C348" t="str">
        <f>_xlfn.XLOOKUP(Tabla1[[#This Row],[CARRERA]],MAE_CARRERA[NOMBRE_CARRERA],MAE_CARRERA[ID_CARRERA],"Seleccione Carrera")</f>
        <v>Seleccione Carrera</v>
      </c>
      <c r="F348" s="1"/>
      <c r="G348" t="str">
        <f>_xlfn.XLOOKUP(Tabla1[[#This Row],[ASIGNATURA]],MAE_ASIGNATURA[NOM_ASIG],MAE_ASIGNATURA[ID_ASIG],"Seleccione Asignatura")</f>
        <v>Seleccione Asignatura</v>
      </c>
      <c r="H348" s="1" t="str" cm="1">
        <f t="array" ref="H348">_xlfn.TEXTJOIN("; ",TRUE,TRANSPOSE(_xlfn.UNIQUE(_xlfn._xlws.FILTER(DET_ASIG[DETALLADO],(DET_ASIG[NIVEL]=ASIGNACION!$D348)*(DET_ASIG[ID_CARRERA]=ASIGNACION!$C348)*(DET_ASIG[ID_ASIG]=ASIGNACION!$G348),"No existe información"))))</f>
        <v>No existe información</v>
      </c>
      <c r="I348" s="1"/>
      <c r="J348">
        <f>_xlfn.XLOOKUP(Tabla1[[#This Row],[ID_ASIG_CAM_DET]],MAE_ASIGNATURA[ID_ASIG],MAE_ASIGNATURA[HORAS],0)</f>
        <v>0</v>
      </c>
      <c r="K348">
        <v>4</v>
      </c>
      <c r="L348" s="2">
        <f>+Tabla1[[#This Row],[CALCULAR HORA]]*Tabla1[[#This Row],[HORAS]]</f>
        <v>0</v>
      </c>
      <c r="N348" t="str">
        <f>_xlfn.XLOOKUP(Tabla1[[#This Row],[NOMBRE_DOCENT]],MDOCENTES[DATOS_DOCENTE],MDOCENTES[DEDICACION],"Seleccione Docente")</f>
        <v>Seleccione Docente</v>
      </c>
      <c r="O348" t="str">
        <f>_xlfn.XLOOKUP(Tabla1[[#This Row],[NOMBRE_DOCENT]],MDOCENTES[DATOS_DOCENTE],MDOCENTES[ESTUDIO],"Seleccione Docente")</f>
        <v>Seleccione Docente</v>
      </c>
      <c r="P348">
        <f t="shared" si="25"/>
        <v>0</v>
      </c>
      <c r="Q348">
        <f t="shared" si="26"/>
        <v>0</v>
      </c>
      <c r="R348">
        <f t="shared" si="27"/>
        <v>0</v>
      </c>
      <c r="S348">
        <f t="shared" si="28"/>
        <v>0</v>
      </c>
      <c r="T348">
        <f t="shared" si="29"/>
        <v>0</v>
      </c>
      <c r="U348">
        <f>Tabla1[[#This Row],[HORAS NO AFINIDAD]]+Tabla1[[#This Row],[HORAS UNIDAD BASICA]]+Tabla1[[#This Row],[HORAS AFINIDAD]]</f>
        <v>0</v>
      </c>
      <c r="V348">
        <f>+Tabla1[[#This Row],[HORAS AFINIDAD]]+Tabla1[[#This Row],[HORAS ACTIVIDAD]]+Tabla1[[#This Row],[HORAS UNIDAD BASICA]]+Tabla1[[#This Row],[HORAS NO AFINIDAD]]</f>
        <v>0</v>
      </c>
    </row>
    <row r="349" spans="1:22" ht="18.75" customHeight="1">
      <c r="A349">
        <v>348</v>
      </c>
      <c r="C349" t="str">
        <f>_xlfn.XLOOKUP(Tabla1[[#This Row],[CARRERA]],MAE_CARRERA[NOMBRE_CARRERA],MAE_CARRERA[ID_CARRERA],"Seleccione Carrera")</f>
        <v>Seleccione Carrera</v>
      </c>
      <c r="F349" s="1"/>
      <c r="G349" t="str">
        <f>_xlfn.XLOOKUP(Tabla1[[#This Row],[ASIGNATURA]],MAE_ASIGNATURA[NOM_ASIG],MAE_ASIGNATURA[ID_ASIG],"Seleccione Asignatura")</f>
        <v>Seleccione Asignatura</v>
      </c>
      <c r="H349" s="1" t="str" cm="1">
        <f t="array" ref="H349">_xlfn.TEXTJOIN("; ",TRUE,TRANSPOSE(_xlfn.UNIQUE(_xlfn._xlws.FILTER(DET_ASIG[DETALLADO],(DET_ASIG[NIVEL]=ASIGNACION!$D349)*(DET_ASIG[ID_CARRERA]=ASIGNACION!$C349)*(DET_ASIG[ID_ASIG]=ASIGNACION!$G349),"No existe información"))))</f>
        <v>No existe información</v>
      </c>
      <c r="I349" s="1"/>
      <c r="J349">
        <f>_xlfn.XLOOKUP(Tabla1[[#This Row],[ID_ASIG_CAM_DET]],MAE_ASIGNATURA[ID_ASIG],MAE_ASIGNATURA[HORAS],0)</f>
        <v>0</v>
      </c>
      <c r="K349">
        <v>4</v>
      </c>
      <c r="L349" s="2">
        <f>+Tabla1[[#This Row],[CALCULAR HORA]]*Tabla1[[#This Row],[HORAS]]</f>
        <v>0</v>
      </c>
      <c r="N349" t="str">
        <f>_xlfn.XLOOKUP(Tabla1[[#This Row],[NOMBRE_DOCENT]],MDOCENTES[DATOS_DOCENTE],MDOCENTES[DEDICACION],"Seleccione Docente")</f>
        <v>Seleccione Docente</v>
      </c>
      <c r="O349" t="str">
        <f>_xlfn.XLOOKUP(Tabla1[[#This Row],[NOMBRE_DOCENT]],MDOCENTES[DATOS_DOCENTE],MDOCENTES[ESTUDIO],"Seleccione Docente")</f>
        <v>Seleccione Docente</v>
      </c>
      <c r="P349">
        <f t="shared" si="25"/>
        <v>0</v>
      </c>
      <c r="Q349">
        <f t="shared" si="26"/>
        <v>0</v>
      </c>
      <c r="R349">
        <f t="shared" si="27"/>
        <v>0</v>
      </c>
      <c r="S349">
        <f t="shared" si="28"/>
        <v>0</v>
      </c>
      <c r="T349">
        <f t="shared" si="29"/>
        <v>0</v>
      </c>
      <c r="U349">
        <f>Tabla1[[#This Row],[HORAS NO AFINIDAD]]+Tabla1[[#This Row],[HORAS UNIDAD BASICA]]+Tabla1[[#This Row],[HORAS AFINIDAD]]</f>
        <v>0</v>
      </c>
      <c r="V349">
        <f>+Tabla1[[#This Row],[HORAS AFINIDAD]]+Tabla1[[#This Row],[HORAS ACTIVIDAD]]+Tabla1[[#This Row],[HORAS UNIDAD BASICA]]+Tabla1[[#This Row],[HORAS NO AFINIDAD]]</f>
        <v>0</v>
      </c>
    </row>
    <row r="350" spans="1:22" ht="18.75" customHeight="1">
      <c r="A350">
        <v>349</v>
      </c>
      <c r="C350" t="str">
        <f>_xlfn.XLOOKUP(Tabla1[[#This Row],[CARRERA]],MAE_CARRERA[NOMBRE_CARRERA],MAE_CARRERA[ID_CARRERA],"Seleccione Carrera")</f>
        <v>Seleccione Carrera</v>
      </c>
      <c r="F350" s="1"/>
      <c r="G350" t="str">
        <f>_xlfn.XLOOKUP(Tabla1[[#This Row],[ASIGNATURA]],MAE_ASIGNATURA[NOM_ASIG],MAE_ASIGNATURA[ID_ASIG],"Seleccione Asignatura")</f>
        <v>Seleccione Asignatura</v>
      </c>
      <c r="H350" s="1" t="str" cm="1">
        <f t="array" ref="H350">_xlfn.TEXTJOIN("; ",TRUE,TRANSPOSE(_xlfn.UNIQUE(_xlfn._xlws.FILTER(DET_ASIG[DETALLADO],(DET_ASIG[NIVEL]=ASIGNACION!$D350)*(DET_ASIG[ID_CARRERA]=ASIGNACION!$C350)*(DET_ASIG[ID_ASIG]=ASIGNACION!$G350),"No existe información"))))</f>
        <v>No existe información</v>
      </c>
      <c r="I350" s="1"/>
      <c r="J350">
        <f>_xlfn.XLOOKUP(Tabla1[[#This Row],[ID_ASIG_CAM_DET]],MAE_ASIGNATURA[ID_ASIG],MAE_ASIGNATURA[HORAS],0)</f>
        <v>0</v>
      </c>
      <c r="K350">
        <v>4</v>
      </c>
      <c r="L350" s="2">
        <f>+Tabla1[[#This Row],[CALCULAR HORA]]*Tabla1[[#This Row],[HORAS]]</f>
        <v>0</v>
      </c>
      <c r="N350" t="str">
        <f>_xlfn.XLOOKUP(Tabla1[[#This Row],[NOMBRE_DOCENT]],MDOCENTES[DATOS_DOCENTE],MDOCENTES[DEDICACION],"Seleccione Docente")</f>
        <v>Seleccione Docente</v>
      </c>
      <c r="O350" t="str">
        <f>_xlfn.XLOOKUP(Tabla1[[#This Row],[NOMBRE_DOCENT]],MDOCENTES[DATOS_DOCENTE],MDOCENTES[ESTUDIO],"Seleccione Docente")</f>
        <v>Seleccione Docente</v>
      </c>
      <c r="P350">
        <f t="shared" si="25"/>
        <v>0</v>
      </c>
      <c r="Q350">
        <f t="shared" si="26"/>
        <v>0</v>
      </c>
      <c r="R350">
        <f t="shared" si="27"/>
        <v>0</v>
      </c>
      <c r="S350">
        <f t="shared" si="28"/>
        <v>0</v>
      </c>
      <c r="T350">
        <f t="shared" si="29"/>
        <v>0</v>
      </c>
      <c r="U350">
        <f>Tabla1[[#This Row],[HORAS NO AFINIDAD]]+Tabla1[[#This Row],[HORAS UNIDAD BASICA]]+Tabla1[[#This Row],[HORAS AFINIDAD]]</f>
        <v>0</v>
      </c>
      <c r="V350">
        <f>+Tabla1[[#This Row],[HORAS AFINIDAD]]+Tabla1[[#This Row],[HORAS ACTIVIDAD]]+Tabla1[[#This Row],[HORAS UNIDAD BASICA]]+Tabla1[[#This Row],[HORAS NO AFINIDAD]]</f>
        <v>0</v>
      </c>
    </row>
    <row r="351" spans="1:22" ht="18.75" customHeight="1">
      <c r="A351">
        <v>350</v>
      </c>
      <c r="C351" t="str">
        <f>_xlfn.XLOOKUP(Tabla1[[#This Row],[CARRERA]],MAE_CARRERA[NOMBRE_CARRERA],MAE_CARRERA[ID_CARRERA],"Seleccione Carrera")</f>
        <v>Seleccione Carrera</v>
      </c>
      <c r="F351" s="1"/>
      <c r="G351" t="str">
        <f>_xlfn.XLOOKUP(Tabla1[[#This Row],[ASIGNATURA]],MAE_ASIGNATURA[NOM_ASIG],MAE_ASIGNATURA[ID_ASIG],"Seleccione Asignatura")</f>
        <v>Seleccione Asignatura</v>
      </c>
      <c r="H351" s="1" t="str" cm="1">
        <f t="array" ref="H351">_xlfn.TEXTJOIN("; ",TRUE,TRANSPOSE(_xlfn.UNIQUE(_xlfn._xlws.FILTER(DET_ASIG[DETALLADO],(DET_ASIG[NIVEL]=ASIGNACION!$D351)*(DET_ASIG[ID_CARRERA]=ASIGNACION!$C351)*(DET_ASIG[ID_ASIG]=ASIGNACION!$G351),"No existe información"))))</f>
        <v>No existe información</v>
      </c>
      <c r="I351" s="1"/>
      <c r="J351">
        <f>_xlfn.XLOOKUP(Tabla1[[#This Row],[ID_ASIG_CAM_DET]],MAE_ASIGNATURA[ID_ASIG],MAE_ASIGNATURA[HORAS],0)</f>
        <v>0</v>
      </c>
      <c r="K351">
        <v>4</v>
      </c>
      <c r="L351" s="2">
        <f>+Tabla1[[#This Row],[CALCULAR HORA]]*Tabla1[[#This Row],[HORAS]]</f>
        <v>0</v>
      </c>
      <c r="N351" t="str">
        <f>_xlfn.XLOOKUP(Tabla1[[#This Row],[NOMBRE_DOCENT]],MDOCENTES[DATOS_DOCENTE],MDOCENTES[DEDICACION],"Seleccione Docente")</f>
        <v>Seleccione Docente</v>
      </c>
      <c r="O351" t="str">
        <f>_xlfn.XLOOKUP(Tabla1[[#This Row],[NOMBRE_DOCENT]],MDOCENTES[DATOS_DOCENTE],MDOCENTES[ESTUDIO],"Seleccione Docente")</f>
        <v>Seleccione Docente</v>
      </c>
      <c r="P351">
        <f t="shared" si="25"/>
        <v>0</v>
      </c>
      <c r="Q351">
        <f t="shared" si="26"/>
        <v>0</v>
      </c>
      <c r="R351">
        <f t="shared" si="27"/>
        <v>0</v>
      </c>
      <c r="S351">
        <f t="shared" si="28"/>
        <v>0</v>
      </c>
      <c r="T351">
        <f t="shared" si="29"/>
        <v>0</v>
      </c>
      <c r="U351">
        <f>Tabla1[[#This Row],[HORAS NO AFINIDAD]]+Tabla1[[#This Row],[HORAS UNIDAD BASICA]]+Tabla1[[#This Row],[HORAS AFINIDAD]]</f>
        <v>0</v>
      </c>
      <c r="V351">
        <f>+Tabla1[[#This Row],[HORAS AFINIDAD]]+Tabla1[[#This Row],[HORAS ACTIVIDAD]]+Tabla1[[#This Row],[HORAS UNIDAD BASICA]]+Tabla1[[#This Row],[HORAS NO AFINIDAD]]</f>
        <v>0</v>
      </c>
    </row>
    <row r="352" spans="1:22" ht="18.75" customHeight="1">
      <c r="A352">
        <v>351</v>
      </c>
      <c r="C352" t="str">
        <f>_xlfn.XLOOKUP(Tabla1[[#This Row],[CARRERA]],MAE_CARRERA[NOMBRE_CARRERA],MAE_CARRERA[ID_CARRERA],"Seleccione Carrera")</f>
        <v>Seleccione Carrera</v>
      </c>
      <c r="F352" s="1"/>
      <c r="G352" t="str">
        <f>_xlfn.XLOOKUP(Tabla1[[#This Row],[ASIGNATURA]],MAE_ASIGNATURA[NOM_ASIG],MAE_ASIGNATURA[ID_ASIG],"Seleccione Asignatura")</f>
        <v>Seleccione Asignatura</v>
      </c>
      <c r="H352" s="1" t="str" cm="1">
        <f t="array" ref="H352">_xlfn.TEXTJOIN("; ",TRUE,TRANSPOSE(_xlfn.UNIQUE(_xlfn._xlws.FILTER(DET_ASIG[DETALLADO],(DET_ASIG[NIVEL]=ASIGNACION!$D352)*(DET_ASIG[ID_CARRERA]=ASIGNACION!$C352)*(DET_ASIG[ID_ASIG]=ASIGNACION!$G352),"No existe información"))))</f>
        <v>No existe información</v>
      </c>
      <c r="I352" s="1"/>
      <c r="J352">
        <f>_xlfn.XLOOKUP(Tabla1[[#This Row],[ID_ASIG_CAM_DET]],MAE_ASIGNATURA[ID_ASIG],MAE_ASIGNATURA[HORAS],0)</f>
        <v>0</v>
      </c>
      <c r="K352">
        <v>4</v>
      </c>
      <c r="L352" s="2">
        <f>+Tabla1[[#This Row],[CALCULAR HORA]]*Tabla1[[#This Row],[HORAS]]</f>
        <v>0</v>
      </c>
      <c r="N352" t="str">
        <f>_xlfn.XLOOKUP(Tabla1[[#This Row],[NOMBRE_DOCENT]],MDOCENTES[DATOS_DOCENTE],MDOCENTES[DEDICACION],"Seleccione Docente")</f>
        <v>Seleccione Docente</v>
      </c>
      <c r="O352" t="str">
        <f>_xlfn.XLOOKUP(Tabla1[[#This Row],[NOMBRE_DOCENT]],MDOCENTES[DATOS_DOCENTE],MDOCENTES[ESTUDIO],"Seleccione Docente")</f>
        <v>Seleccione Docente</v>
      </c>
      <c r="P352">
        <f t="shared" si="25"/>
        <v>0</v>
      </c>
      <c r="Q352">
        <f t="shared" si="26"/>
        <v>0</v>
      </c>
      <c r="R352">
        <f t="shared" si="27"/>
        <v>0</v>
      </c>
      <c r="S352">
        <f t="shared" si="28"/>
        <v>0</v>
      </c>
      <c r="T352">
        <f t="shared" si="29"/>
        <v>0</v>
      </c>
      <c r="U352">
        <f>Tabla1[[#This Row],[HORAS NO AFINIDAD]]+Tabla1[[#This Row],[HORAS UNIDAD BASICA]]+Tabla1[[#This Row],[HORAS AFINIDAD]]</f>
        <v>0</v>
      </c>
      <c r="V352">
        <f>+Tabla1[[#This Row],[HORAS AFINIDAD]]+Tabla1[[#This Row],[HORAS ACTIVIDAD]]+Tabla1[[#This Row],[HORAS UNIDAD BASICA]]+Tabla1[[#This Row],[HORAS NO AFINIDAD]]</f>
        <v>0</v>
      </c>
    </row>
    <row r="353" spans="1:22" ht="18.75" customHeight="1">
      <c r="A353">
        <v>352</v>
      </c>
      <c r="C353" t="str">
        <f>_xlfn.XLOOKUP(Tabla1[[#This Row],[CARRERA]],MAE_CARRERA[NOMBRE_CARRERA],MAE_CARRERA[ID_CARRERA],"Seleccione Carrera")</f>
        <v>Seleccione Carrera</v>
      </c>
      <c r="F353" s="1"/>
      <c r="G353" t="str">
        <f>_xlfn.XLOOKUP(Tabla1[[#This Row],[ASIGNATURA]],MAE_ASIGNATURA[NOM_ASIG],MAE_ASIGNATURA[ID_ASIG],"Seleccione Asignatura")</f>
        <v>Seleccione Asignatura</v>
      </c>
      <c r="H353" s="1" t="str" cm="1">
        <f t="array" ref="H353">_xlfn.TEXTJOIN("; ",TRUE,TRANSPOSE(_xlfn.UNIQUE(_xlfn._xlws.FILTER(DET_ASIG[DETALLADO],(DET_ASIG[NIVEL]=ASIGNACION!$D353)*(DET_ASIG[ID_CARRERA]=ASIGNACION!$C353)*(DET_ASIG[ID_ASIG]=ASIGNACION!$G353),"No existe información"))))</f>
        <v>No existe información</v>
      </c>
      <c r="I353" s="1"/>
      <c r="J353">
        <f>_xlfn.XLOOKUP(Tabla1[[#This Row],[ID_ASIG_CAM_DET]],MAE_ASIGNATURA[ID_ASIG],MAE_ASIGNATURA[HORAS],0)</f>
        <v>0</v>
      </c>
      <c r="K353">
        <v>4</v>
      </c>
      <c r="L353" s="2">
        <f>+Tabla1[[#This Row],[CALCULAR HORA]]*Tabla1[[#This Row],[HORAS]]</f>
        <v>0</v>
      </c>
      <c r="N353" t="str">
        <f>_xlfn.XLOOKUP(Tabla1[[#This Row],[NOMBRE_DOCENT]],MDOCENTES[DATOS_DOCENTE],MDOCENTES[DEDICACION],"Seleccione Docente")</f>
        <v>Seleccione Docente</v>
      </c>
      <c r="O353" t="str">
        <f>_xlfn.XLOOKUP(Tabla1[[#This Row],[NOMBRE_DOCENT]],MDOCENTES[DATOS_DOCENTE],MDOCENTES[ESTUDIO],"Seleccione Docente")</f>
        <v>Seleccione Docente</v>
      </c>
      <c r="P353">
        <f t="shared" si="25"/>
        <v>0</v>
      </c>
      <c r="Q353">
        <f t="shared" si="26"/>
        <v>0</v>
      </c>
      <c r="R353">
        <f t="shared" si="27"/>
        <v>0</v>
      </c>
      <c r="S353">
        <f t="shared" si="28"/>
        <v>0</v>
      </c>
      <c r="T353">
        <f t="shared" si="29"/>
        <v>0</v>
      </c>
      <c r="U353">
        <f>Tabla1[[#This Row],[HORAS NO AFINIDAD]]+Tabla1[[#This Row],[HORAS UNIDAD BASICA]]+Tabla1[[#This Row],[HORAS AFINIDAD]]</f>
        <v>0</v>
      </c>
      <c r="V353">
        <f>+Tabla1[[#This Row],[HORAS AFINIDAD]]+Tabla1[[#This Row],[HORAS ACTIVIDAD]]+Tabla1[[#This Row],[HORAS UNIDAD BASICA]]+Tabla1[[#This Row],[HORAS NO AFINIDAD]]</f>
        <v>0</v>
      </c>
    </row>
    <row r="354" spans="1:22" ht="18.75" customHeight="1">
      <c r="A354">
        <v>353</v>
      </c>
      <c r="C354" t="str">
        <f>_xlfn.XLOOKUP(Tabla1[[#This Row],[CARRERA]],MAE_CARRERA[NOMBRE_CARRERA],MAE_CARRERA[ID_CARRERA],"Seleccione Carrera")</f>
        <v>Seleccione Carrera</v>
      </c>
      <c r="F354" s="1"/>
      <c r="G354" t="str">
        <f>_xlfn.XLOOKUP(Tabla1[[#This Row],[ASIGNATURA]],MAE_ASIGNATURA[NOM_ASIG],MAE_ASIGNATURA[ID_ASIG],"Seleccione Asignatura")</f>
        <v>Seleccione Asignatura</v>
      </c>
      <c r="H354" s="1" t="str" cm="1">
        <f t="array" ref="H354">_xlfn.TEXTJOIN("; ",TRUE,TRANSPOSE(_xlfn.UNIQUE(_xlfn._xlws.FILTER(DET_ASIG[DETALLADO],(DET_ASIG[NIVEL]=ASIGNACION!$D354)*(DET_ASIG[ID_CARRERA]=ASIGNACION!$C354)*(DET_ASIG[ID_ASIG]=ASIGNACION!$G354),"No existe información"))))</f>
        <v>No existe información</v>
      </c>
      <c r="I354" s="1"/>
      <c r="J354">
        <f>_xlfn.XLOOKUP(Tabla1[[#This Row],[ID_ASIG_CAM_DET]],MAE_ASIGNATURA[ID_ASIG],MAE_ASIGNATURA[HORAS],0)</f>
        <v>0</v>
      </c>
      <c r="K354">
        <v>4</v>
      </c>
      <c r="L354" s="2">
        <f>+Tabla1[[#This Row],[CALCULAR HORA]]*Tabla1[[#This Row],[HORAS]]</f>
        <v>0</v>
      </c>
      <c r="N354" t="str">
        <f>_xlfn.XLOOKUP(Tabla1[[#This Row],[NOMBRE_DOCENT]],MDOCENTES[DATOS_DOCENTE],MDOCENTES[DEDICACION],"Seleccione Docente")</f>
        <v>Seleccione Docente</v>
      </c>
      <c r="O354" t="str">
        <f>_xlfn.XLOOKUP(Tabla1[[#This Row],[NOMBRE_DOCENT]],MDOCENTES[DATOS_DOCENTE],MDOCENTES[ESTUDIO],"Seleccione Docente")</f>
        <v>Seleccione Docente</v>
      </c>
      <c r="P354">
        <f t="shared" si="25"/>
        <v>0</v>
      </c>
      <c r="Q354">
        <f t="shared" si="26"/>
        <v>0</v>
      </c>
      <c r="R354">
        <f t="shared" si="27"/>
        <v>0</v>
      </c>
      <c r="S354">
        <f t="shared" si="28"/>
        <v>0</v>
      </c>
      <c r="T354">
        <f t="shared" si="29"/>
        <v>0</v>
      </c>
      <c r="U354">
        <f>Tabla1[[#This Row],[HORAS NO AFINIDAD]]+Tabla1[[#This Row],[HORAS UNIDAD BASICA]]+Tabla1[[#This Row],[HORAS AFINIDAD]]</f>
        <v>0</v>
      </c>
      <c r="V354">
        <f>+Tabla1[[#This Row],[HORAS AFINIDAD]]+Tabla1[[#This Row],[HORAS ACTIVIDAD]]+Tabla1[[#This Row],[HORAS UNIDAD BASICA]]+Tabla1[[#This Row],[HORAS NO AFINIDAD]]</f>
        <v>0</v>
      </c>
    </row>
    <row r="355" spans="1:22" ht="18.75" customHeight="1">
      <c r="A355">
        <v>354</v>
      </c>
      <c r="C355" t="str">
        <f>_xlfn.XLOOKUP(Tabla1[[#This Row],[CARRERA]],MAE_CARRERA[NOMBRE_CARRERA],MAE_CARRERA[ID_CARRERA],"Seleccione Carrera")</f>
        <v>Seleccione Carrera</v>
      </c>
      <c r="F355" s="1"/>
      <c r="G355" t="str">
        <f>_xlfn.XLOOKUP(Tabla1[[#This Row],[ASIGNATURA]],MAE_ASIGNATURA[NOM_ASIG],MAE_ASIGNATURA[ID_ASIG],"Seleccione Asignatura")</f>
        <v>Seleccione Asignatura</v>
      </c>
      <c r="H355" s="1" t="str" cm="1">
        <f t="array" ref="H355">_xlfn.TEXTJOIN("; ",TRUE,TRANSPOSE(_xlfn.UNIQUE(_xlfn._xlws.FILTER(DET_ASIG[DETALLADO],(DET_ASIG[NIVEL]=ASIGNACION!$D355)*(DET_ASIG[ID_CARRERA]=ASIGNACION!$C355)*(DET_ASIG[ID_ASIG]=ASIGNACION!$G355),"No existe información"))))</f>
        <v>No existe información</v>
      </c>
      <c r="I355" s="1"/>
      <c r="J355">
        <f>_xlfn.XLOOKUP(Tabla1[[#This Row],[ID_ASIG_CAM_DET]],MAE_ASIGNATURA[ID_ASIG],MAE_ASIGNATURA[HORAS],0)</f>
        <v>0</v>
      </c>
      <c r="K355">
        <v>4</v>
      </c>
      <c r="L355" s="2">
        <f>+Tabla1[[#This Row],[CALCULAR HORA]]*Tabla1[[#This Row],[HORAS]]</f>
        <v>0</v>
      </c>
      <c r="N355" t="str">
        <f>_xlfn.XLOOKUP(Tabla1[[#This Row],[NOMBRE_DOCENT]],MDOCENTES[DATOS_DOCENTE],MDOCENTES[DEDICACION],"Seleccione Docente")</f>
        <v>Seleccione Docente</v>
      </c>
      <c r="O355" t="str">
        <f>_xlfn.XLOOKUP(Tabla1[[#This Row],[NOMBRE_DOCENT]],MDOCENTES[DATOS_DOCENTE],MDOCENTES[ESTUDIO],"Seleccione Docente")</f>
        <v>Seleccione Docente</v>
      </c>
      <c r="P355">
        <f t="shared" si="25"/>
        <v>0</v>
      </c>
      <c r="Q355">
        <f t="shared" si="26"/>
        <v>0</v>
      </c>
      <c r="R355">
        <f t="shared" si="27"/>
        <v>0</v>
      </c>
      <c r="S355">
        <f t="shared" si="28"/>
        <v>0</v>
      </c>
      <c r="T355">
        <f t="shared" si="29"/>
        <v>0</v>
      </c>
      <c r="U355">
        <f>Tabla1[[#This Row],[HORAS NO AFINIDAD]]+Tabla1[[#This Row],[HORAS UNIDAD BASICA]]+Tabla1[[#This Row],[HORAS AFINIDAD]]</f>
        <v>0</v>
      </c>
      <c r="V355">
        <f>+Tabla1[[#This Row],[HORAS AFINIDAD]]+Tabla1[[#This Row],[HORAS ACTIVIDAD]]+Tabla1[[#This Row],[HORAS UNIDAD BASICA]]+Tabla1[[#This Row],[HORAS NO AFINIDAD]]</f>
        <v>0</v>
      </c>
    </row>
    <row r="356" spans="1:22" ht="18.75" customHeight="1">
      <c r="A356">
        <v>355</v>
      </c>
      <c r="C356" t="str">
        <f>_xlfn.XLOOKUP(Tabla1[[#This Row],[CARRERA]],MAE_CARRERA[NOMBRE_CARRERA],MAE_CARRERA[ID_CARRERA],"Seleccione Carrera")</f>
        <v>Seleccione Carrera</v>
      </c>
      <c r="F356" s="1"/>
      <c r="G356" t="str">
        <f>_xlfn.XLOOKUP(Tabla1[[#This Row],[ASIGNATURA]],MAE_ASIGNATURA[NOM_ASIG],MAE_ASIGNATURA[ID_ASIG],"Seleccione Asignatura")</f>
        <v>Seleccione Asignatura</v>
      </c>
      <c r="H356" s="1" t="str" cm="1">
        <f t="array" ref="H356">_xlfn.TEXTJOIN("; ",TRUE,TRANSPOSE(_xlfn.UNIQUE(_xlfn._xlws.FILTER(DET_ASIG[DETALLADO],(DET_ASIG[NIVEL]=ASIGNACION!$D356)*(DET_ASIG[ID_CARRERA]=ASIGNACION!$C356)*(DET_ASIG[ID_ASIG]=ASIGNACION!$G356),"No existe información"))))</f>
        <v>No existe información</v>
      </c>
      <c r="I356" s="1"/>
      <c r="J356">
        <f>_xlfn.XLOOKUP(Tabla1[[#This Row],[ID_ASIG_CAM_DET]],MAE_ASIGNATURA[ID_ASIG],MAE_ASIGNATURA[HORAS],0)</f>
        <v>0</v>
      </c>
      <c r="K356">
        <v>4</v>
      </c>
      <c r="L356" s="2">
        <f>+Tabla1[[#This Row],[CALCULAR HORA]]*Tabla1[[#This Row],[HORAS]]</f>
        <v>0</v>
      </c>
      <c r="N356" t="str">
        <f>_xlfn.XLOOKUP(Tabla1[[#This Row],[NOMBRE_DOCENT]],MDOCENTES[DATOS_DOCENTE],MDOCENTES[DEDICACION],"Seleccione Docente")</f>
        <v>Seleccione Docente</v>
      </c>
      <c r="O356" t="str">
        <f>_xlfn.XLOOKUP(Tabla1[[#This Row],[NOMBRE_DOCENT]],MDOCENTES[DATOS_DOCENTE],MDOCENTES[ESTUDIO],"Seleccione Docente")</f>
        <v>Seleccione Docente</v>
      </c>
      <c r="P356">
        <f t="shared" si="25"/>
        <v>0</v>
      </c>
      <c r="Q356">
        <f t="shared" si="26"/>
        <v>0</v>
      </c>
      <c r="R356">
        <f t="shared" si="27"/>
        <v>0</v>
      </c>
      <c r="S356">
        <f t="shared" si="28"/>
        <v>0</v>
      </c>
      <c r="T356">
        <f t="shared" si="29"/>
        <v>0</v>
      </c>
      <c r="U356">
        <f>Tabla1[[#This Row],[HORAS NO AFINIDAD]]+Tabla1[[#This Row],[HORAS UNIDAD BASICA]]+Tabla1[[#This Row],[HORAS AFINIDAD]]</f>
        <v>0</v>
      </c>
      <c r="V356">
        <f>+Tabla1[[#This Row],[HORAS AFINIDAD]]+Tabla1[[#This Row],[HORAS ACTIVIDAD]]+Tabla1[[#This Row],[HORAS UNIDAD BASICA]]+Tabla1[[#This Row],[HORAS NO AFINIDAD]]</f>
        <v>0</v>
      </c>
    </row>
    <row r="357" spans="1:22" ht="18.75" customHeight="1">
      <c r="A357">
        <v>356</v>
      </c>
      <c r="C357" t="str">
        <f>_xlfn.XLOOKUP(Tabla1[[#This Row],[CARRERA]],MAE_CARRERA[NOMBRE_CARRERA],MAE_CARRERA[ID_CARRERA],"Seleccione Carrera")</f>
        <v>Seleccione Carrera</v>
      </c>
      <c r="F357" s="1"/>
      <c r="G357" t="str">
        <f>_xlfn.XLOOKUP(Tabla1[[#This Row],[ASIGNATURA]],MAE_ASIGNATURA[NOM_ASIG],MAE_ASIGNATURA[ID_ASIG],"Seleccione Asignatura")</f>
        <v>Seleccione Asignatura</v>
      </c>
      <c r="H357" s="1" t="str" cm="1">
        <f t="array" ref="H357">_xlfn.TEXTJOIN("; ",TRUE,TRANSPOSE(_xlfn.UNIQUE(_xlfn._xlws.FILTER(DET_ASIG[DETALLADO],(DET_ASIG[NIVEL]=ASIGNACION!$D357)*(DET_ASIG[ID_CARRERA]=ASIGNACION!$C357)*(DET_ASIG[ID_ASIG]=ASIGNACION!$G357),"No existe información"))))</f>
        <v>No existe información</v>
      </c>
      <c r="I357" s="1"/>
      <c r="J357">
        <f>_xlfn.XLOOKUP(Tabla1[[#This Row],[ID_ASIG_CAM_DET]],MAE_ASIGNATURA[ID_ASIG],MAE_ASIGNATURA[HORAS],0)</f>
        <v>0</v>
      </c>
      <c r="K357">
        <v>4</v>
      </c>
      <c r="L357" s="2">
        <f>+Tabla1[[#This Row],[CALCULAR HORA]]*Tabla1[[#This Row],[HORAS]]</f>
        <v>0</v>
      </c>
      <c r="N357" t="str">
        <f>_xlfn.XLOOKUP(Tabla1[[#This Row],[NOMBRE_DOCENT]],MDOCENTES[DATOS_DOCENTE],MDOCENTES[DEDICACION],"Seleccione Docente")</f>
        <v>Seleccione Docente</v>
      </c>
      <c r="O357" t="str">
        <f>_xlfn.XLOOKUP(Tabla1[[#This Row],[NOMBRE_DOCENT]],MDOCENTES[DATOS_DOCENTE],MDOCENTES[ESTUDIO],"Seleccione Docente")</f>
        <v>Seleccione Docente</v>
      </c>
      <c r="P357">
        <f t="shared" si="25"/>
        <v>0</v>
      </c>
      <c r="Q357">
        <f t="shared" si="26"/>
        <v>0</v>
      </c>
      <c r="R357">
        <f t="shared" si="27"/>
        <v>0</v>
      </c>
      <c r="S357">
        <f t="shared" si="28"/>
        <v>0</v>
      </c>
      <c r="T357">
        <f t="shared" si="29"/>
        <v>0</v>
      </c>
      <c r="U357">
        <f>Tabla1[[#This Row],[HORAS NO AFINIDAD]]+Tabla1[[#This Row],[HORAS UNIDAD BASICA]]+Tabla1[[#This Row],[HORAS AFINIDAD]]</f>
        <v>0</v>
      </c>
      <c r="V357">
        <f>+Tabla1[[#This Row],[HORAS AFINIDAD]]+Tabla1[[#This Row],[HORAS ACTIVIDAD]]+Tabla1[[#This Row],[HORAS UNIDAD BASICA]]+Tabla1[[#This Row],[HORAS NO AFINIDAD]]</f>
        <v>0</v>
      </c>
    </row>
    <row r="358" spans="1:22" ht="18.75" customHeight="1">
      <c r="A358">
        <v>357</v>
      </c>
      <c r="C358" t="str">
        <f>_xlfn.XLOOKUP(Tabla1[[#This Row],[CARRERA]],MAE_CARRERA[NOMBRE_CARRERA],MAE_CARRERA[ID_CARRERA],"Seleccione Carrera")</f>
        <v>Seleccione Carrera</v>
      </c>
      <c r="F358" s="1"/>
      <c r="G358" t="str">
        <f>_xlfn.XLOOKUP(Tabla1[[#This Row],[ASIGNATURA]],MAE_ASIGNATURA[NOM_ASIG],MAE_ASIGNATURA[ID_ASIG],"Seleccione Asignatura")</f>
        <v>Seleccione Asignatura</v>
      </c>
      <c r="H358" s="1" t="str" cm="1">
        <f t="array" ref="H358">_xlfn.TEXTJOIN("; ",TRUE,TRANSPOSE(_xlfn.UNIQUE(_xlfn._xlws.FILTER(DET_ASIG[DETALLADO],(DET_ASIG[NIVEL]=ASIGNACION!$D358)*(DET_ASIG[ID_CARRERA]=ASIGNACION!$C358)*(DET_ASIG[ID_ASIG]=ASIGNACION!$G358),"No existe información"))))</f>
        <v>No existe información</v>
      </c>
      <c r="I358" s="1"/>
      <c r="J358">
        <f>_xlfn.XLOOKUP(Tabla1[[#This Row],[ID_ASIG_CAM_DET]],MAE_ASIGNATURA[ID_ASIG],MAE_ASIGNATURA[HORAS],0)</f>
        <v>0</v>
      </c>
      <c r="K358">
        <v>4</v>
      </c>
      <c r="L358" s="2">
        <f>+Tabla1[[#This Row],[CALCULAR HORA]]*Tabla1[[#This Row],[HORAS]]</f>
        <v>0</v>
      </c>
      <c r="N358" t="str">
        <f>_xlfn.XLOOKUP(Tabla1[[#This Row],[NOMBRE_DOCENT]],MDOCENTES[DATOS_DOCENTE],MDOCENTES[DEDICACION],"Seleccione Docente")</f>
        <v>Seleccione Docente</v>
      </c>
      <c r="O358" t="str">
        <f>_xlfn.XLOOKUP(Tabla1[[#This Row],[NOMBRE_DOCENT]],MDOCENTES[DATOS_DOCENTE],MDOCENTES[ESTUDIO],"Seleccione Docente")</f>
        <v>Seleccione Docente</v>
      </c>
      <c r="P358">
        <f t="shared" si="25"/>
        <v>0</v>
      </c>
      <c r="Q358">
        <f t="shared" si="26"/>
        <v>0</v>
      </c>
      <c r="R358">
        <f t="shared" si="27"/>
        <v>0</v>
      </c>
      <c r="S358">
        <f t="shared" si="28"/>
        <v>0</v>
      </c>
      <c r="T358">
        <f t="shared" si="29"/>
        <v>0</v>
      </c>
      <c r="U358">
        <f>Tabla1[[#This Row],[HORAS NO AFINIDAD]]+Tabla1[[#This Row],[HORAS UNIDAD BASICA]]+Tabla1[[#This Row],[HORAS AFINIDAD]]</f>
        <v>0</v>
      </c>
      <c r="V358">
        <f>+Tabla1[[#This Row],[HORAS AFINIDAD]]+Tabla1[[#This Row],[HORAS ACTIVIDAD]]+Tabla1[[#This Row],[HORAS UNIDAD BASICA]]+Tabla1[[#This Row],[HORAS NO AFINIDAD]]</f>
        <v>0</v>
      </c>
    </row>
    <row r="359" spans="1:22" ht="18.75" customHeight="1">
      <c r="A359">
        <v>358</v>
      </c>
      <c r="C359" t="str">
        <f>_xlfn.XLOOKUP(Tabla1[[#This Row],[CARRERA]],MAE_CARRERA[NOMBRE_CARRERA],MAE_CARRERA[ID_CARRERA],"Seleccione Carrera")</f>
        <v>Seleccione Carrera</v>
      </c>
      <c r="F359" s="1"/>
      <c r="G359" t="str">
        <f>_xlfn.XLOOKUP(Tabla1[[#This Row],[ASIGNATURA]],MAE_ASIGNATURA[NOM_ASIG],MAE_ASIGNATURA[ID_ASIG],"Seleccione Asignatura")</f>
        <v>Seleccione Asignatura</v>
      </c>
      <c r="H359" s="1" t="str" cm="1">
        <f t="array" ref="H359">_xlfn.TEXTJOIN("; ",TRUE,TRANSPOSE(_xlfn.UNIQUE(_xlfn._xlws.FILTER(DET_ASIG[DETALLADO],(DET_ASIG[NIVEL]=ASIGNACION!$D359)*(DET_ASIG[ID_CARRERA]=ASIGNACION!$C359)*(DET_ASIG[ID_ASIG]=ASIGNACION!$G359),"No existe información"))))</f>
        <v>No existe información</v>
      </c>
      <c r="I359" s="1"/>
      <c r="J359">
        <f>_xlfn.XLOOKUP(Tabla1[[#This Row],[ID_ASIG_CAM_DET]],MAE_ASIGNATURA[ID_ASIG],MAE_ASIGNATURA[HORAS],0)</f>
        <v>0</v>
      </c>
      <c r="K359">
        <v>4</v>
      </c>
      <c r="L359" s="2">
        <f>+Tabla1[[#This Row],[CALCULAR HORA]]*Tabla1[[#This Row],[HORAS]]</f>
        <v>0</v>
      </c>
      <c r="N359" t="str">
        <f>_xlfn.XLOOKUP(Tabla1[[#This Row],[NOMBRE_DOCENT]],MDOCENTES[DATOS_DOCENTE],MDOCENTES[DEDICACION],"Seleccione Docente")</f>
        <v>Seleccione Docente</v>
      </c>
      <c r="O359" t="str">
        <f>_xlfn.XLOOKUP(Tabla1[[#This Row],[NOMBRE_DOCENT]],MDOCENTES[DATOS_DOCENTE],MDOCENTES[ESTUDIO],"Seleccione Docente")</f>
        <v>Seleccione Docente</v>
      </c>
      <c r="P359">
        <f t="shared" si="25"/>
        <v>0</v>
      </c>
      <c r="Q359">
        <f t="shared" si="26"/>
        <v>0</v>
      </c>
      <c r="R359">
        <f t="shared" si="27"/>
        <v>0</v>
      </c>
      <c r="S359">
        <f t="shared" si="28"/>
        <v>0</v>
      </c>
      <c r="T359">
        <f t="shared" si="29"/>
        <v>0</v>
      </c>
      <c r="U359">
        <f>Tabla1[[#This Row],[HORAS NO AFINIDAD]]+Tabla1[[#This Row],[HORAS UNIDAD BASICA]]+Tabla1[[#This Row],[HORAS AFINIDAD]]</f>
        <v>0</v>
      </c>
      <c r="V359">
        <f>+Tabla1[[#This Row],[HORAS AFINIDAD]]+Tabla1[[#This Row],[HORAS ACTIVIDAD]]+Tabla1[[#This Row],[HORAS UNIDAD BASICA]]+Tabla1[[#This Row],[HORAS NO AFINIDAD]]</f>
        <v>0</v>
      </c>
    </row>
    <row r="360" spans="1:22" ht="18.75" customHeight="1">
      <c r="A360">
        <v>359</v>
      </c>
      <c r="C360" t="str">
        <f>_xlfn.XLOOKUP(Tabla1[[#This Row],[CARRERA]],MAE_CARRERA[NOMBRE_CARRERA],MAE_CARRERA[ID_CARRERA],"Seleccione Carrera")</f>
        <v>Seleccione Carrera</v>
      </c>
      <c r="F360" s="1"/>
      <c r="G360" t="str">
        <f>_xlfn.XLOOKUP(Tabla1[[#This Row],[ASIGNATURA]],MAE_ASIGNATURA[NOM_ASIG],MAE_ASIGNATURA[ID_ASIG],"Seleccione Asignatura")</f>
        <v>Seleccione Asignatura</v>
      </c>
      <c r="H360" s="1" t="str" cm="1">
        <f t="array" ref="H360">_xlfn.TEXTJOIN("; ",TRUE,TRANSPOSE(_xlfn.UNIQUE(_xlfn._xlws.FILTER(DET_ASIG[DETALLADO],(DET_ASIG[NIVEL]=ASIGNACION!$D360)*(DET_ASIG[ID_CARRERA]=ASIGNACION!$C360)*(DET_ASIG[ID_ASIG]=ASIGNACION!$G360),"No existe información"))))</f>
        <v>No existe información</v>
      </c>
      <c r="I360" s="1"/>
      <c r="J360">
        <f>_xlfn.XLOOKUP(Tabla1[[#This Row],[ID_ASIG_CAM_DET]],MAE_ASIGNATURA[ID_ASIG],MAE_ASIGNATURA[HORAS],0)</f>
        <v>0</v>
      </c>
      <c r="K360">
        <v>4</v>
      </c>
      <c r="L360" s="2">
        <f>+Tabla1[[#This Row],[CALCULAR HORA]]*Tabla1[[#This Row],[HORAS]]</f>
        <v>0</v>
      </c>
      <c r="N360" t="str">
        <f>_xlfn.XLOOKUP(Tabla1[[#This Row],[NOMBRE_DOCENT]],MDOCENTES[DATOS_DOCENTE],MDOCENTES[DEDICACION],"Seleccione Docente")</f>
        <v>Seleccione Docente</v>
      </c>
      <c r="O360" t="str">
        <f>_xlfn.XLOOKUP(Tabla1[[#This Row],[NOMBRE_DOCENT]],MDOCENTES[DATOS_DOCENTE],MDOCENTES[ESTUDIO],"Seleccione Docente")</f>
        <v>Seleccione Docente</v>
      </c>
      <c r="P360">
        <f t="shared" si="25"/>
        <v>0</v>
      </c>
      <c r="Q360">
        <f t="shared" si="26"/>
        <v>0</v>
      </c>
      <c r="R360">
        <f t="shared" si="27"/>
        <v>0</v>
      </c>
      <c r="S360">
        <f t="shared" si="28"/>
        <v>0</v>
      </c>
      <c r="T360">
        <f t="shared" si="29"/>
        <v>0</v>
      </c>
      <c r="U360">
        <f>Tabla1[[#This Row],[HORAS NO AFINIDAD]]+Tabla1[[#This Row],[HORAS UNIDAD BASICA]]+Tabla1[[#This Row],[HORAS AFINIDAD]]</f>
        <v>0</v>
      </c>
      <c r="V360">
        <f>+Tabla1[[#This Row],[HORAS AFINIDAD]]+Tabla1[[#This Row],[HORAS ACTIVIDAD]]+Tabla1[[#This Row],[HORAS UNIDAD BASICA]]+Tabla1[[#This Row],[HORAS NO AFINIDAD]]</f>
        <v>0</v>
      </c>
    </row>
    <row r="361" spans="1:22" ht="18.75" customHeight="1">
      <c r="A361">
        <v>360</v>
      </c>
      <c r="C361" t="str">
        <f>_xlfn.XLOOKUP(Tabla1[[#This Row],[CARRERA]],MAE_CARRERA[NOMBRE_CARRERA],MAE_CARRERA[ID_CARRERA],"Seleccione Carrera")</f>
        <v>Seleccione Carrera</v>
      </c>
      <c r="F361" s="1"/>
      <c r="G361" t="str">
        <f>_xlfn.XLOOKUP(Tabla1[[#This Row],[ASIGNATURA]],MAE_ASIGNATURA[NOM_ASIG],MAE_ASIGNATURA[ID_ASIG],"Seleccione Asignatura")</f>
        <v>Seleccione Asignatura</v>
      </c>
      <c r="H361" s="1" t="str" cm="1">
        <f t="array" ref="H361">_xlfn.TEXTJOIN("; ",TRUE,TRANSPOSE(_xlfn.UNIQUE(_xlfn._xlws.FILTER(DET_ASIG[DETALLADO],(DET_ASIG[NIVEL]=ASIGNACION!$D361)*(DET_ASIG[ID_CARRERA]=ASIGNACION!$C361)*(DET_ASIG[ID_ASIG]=ASIGNACION!$G361),"No existe información"))))</f>
        <v>No existe información</v>
      </c>
      <c r="I361" s="1"/>
      <c r="J361">
        <f>_xlfn.XLOOKUP(Tabla1[[#This Row],[ID_ASIG_CAM_DET]],MAE_ASIGNATURA[ID_ASIG],MAE_ASIGNATURA[HORAS],0)</f>
        <v>0</v>
      </c>
      <c r="K361">
        <v>4</v>
      </c>
      <c r="L361" s="2">
        <f>+Tabla1[[#This Row],[CALCULAR HORA]]*Tabla1[[#This Row],[HORAS]]</f>
        <v>0</v>
      </c>
      <c r="N361" t="str">
        <f>_xlfn.XLOOKUP(Tabla1[[#This Row],[NOMBRE_DOCENT]],MDOCENTES[DATOS_DOCENTE],MDOCENTES[DEDICACION],"Seleccione Docente")</f>
        <v>Seleccione Docente</v>
      </c>
      <c r="O361" t="str">
        <f>_xlfn.XLOOKUP(Tabla1[[#This Row],[NOMBRE_DOCENT]],MDOCENTES[DATOS_DOCENTE],MDOCENTES[ESTUDIO],"Seleccione Docente")</f>
        <v>Seleccione Docente</v>
      </c>
      <c r="P361">
        <f t="shared" si="25"/>
        <v>0</v>
      </c>
      <c r="Q361">
        <f t="shared" si="26"/>
        <v>0</v>
      </c>
      <c r="R361">
        <f t="shared" si="27"/>
        <v>0</v>
      </c>
      <c r="S361">
        <f t="shared" si="28"/>
        <v>0</v>
      </c>
      <c r="T361">
        <f t="shared" si="29"/>
        <v>0</v>
      </c>
      <c r="U361">
        <f>Tabla1[[#This Row],[HORAS NO AFINIDAD]]+Tabla1[[#This Row],[HORAS UNIDAD BASICA]]+Tabla1[[#This Row],[HORAS AFINIDAD]]</f>
        <v>0</v>
      </c>
      <c r="V361">
        <f>+Tabla1[[#This Row],[HORAS AFINIDAD]]+Tabla1[[#This Row],[HORAS ACTIVIDAD]]+Tabla1[[#This Row],[HORAS UNIDAD BASICA]]+Tabla1[[#This Row],[HORAS NO AFINIDAD]]</f>
        <v>0</v>
      </c>
    </row>
    <row r="362" spans="1:22" ht="18.75" customHeight="1">
      <c r="A362">
        <v>361</v>
      </c>
      <c r="C362" t="str">
        <f>_xlfn.XLOOKUP(Tabla1[[#This Row],[CARRERA]],MAE_CARRERA[NOMBRE_CARRERA],MAE_CARRERA[ID_CARRERA],"Seleccione Carrera")</f>
        <v>Seleccione Carrera</v>
      </c>
      <c r="F362" s="1"/>
      <c r="G362" t="str">
        <f>_xlfn.XLOOKUP(Tabla1[[#This Row],[ASIGNATURA]],MAE_ASIGNATURA[NOM_ASIG],MAE_ASIGNATURA[ID_ASIG],"Seleccione Asignatura")</f>
        <v>Seleccione Asignatura</v>
      </c>
      <c r="H362" s="1" t="str" cm="1">
        <f t="array" ref="H362">_xlfn.TEXTJOIN("; ",TRUE,TRANSPOSE(_xlfn.UNIQUE(_xlfn._xlws.FILTER(DET_ASIG[DETALLADO],(DET_ASIG[NIVEL]=ASIGNACION!$D362)*(DET_ASIG[ID_CARRERA]=ASIGNACION!$C362)*(DET_ASIG[ID_ASIG]=ASIGNACION!$G362),"No existe información"))))</f>
        <v>No existe información</v>
      </c>
      <c r="I362" s="1"/>
      <c r="J362">
        <f>_xlfn.XLOOKUP(Tabla1[[#This Row],[ID_ASIG_CAM_DET]],MAE_ASIGNATURA[ID_ASIG],MAE_ASIGNATURA[HORAS],0)</f>
        <v>0</v>
      </c>
      <c r="K362">
        <v>4</v>
      </c>
      <c r="L362" s="2">
        <f>+Tabla1[[#This Row],[CALCULAR HORA]]*Tabla1[[#This Row],[HORAS]]</f>
        <v>0</v>
      </c>
      <c r="N362" t="str">
        <f>_xlfn.XLOOKUP(Tabla1[[#This Row],[NOMBRE_DOCENT]],MDOCENTES[DATOS_DOCENTE],MDOCENTES[DEDICACION],"Seleccione Docente")</f>
        <v>Seleccione Docente</v>
      </c>
      <c r="O362" t="str">
        <f>_xlfn.XLOOKUP(Tabla1[[#This Row],[NOMBRE_DOCENT]],MDOCENTES[DATOS_DOCENTE],MDOCENTES[ESTUDIO],"Seleccione Docente")</f>
        <v>Seleccione Docente</v>
      </c>
      <c r="P362">
        <f t="shared" si="25"/>
        <v>0</v>
      </c>
      <c r="Q362">
        <f t="shared" si="26"/>
        <v>0</v>
      </c>
      <c r="R362">
        <f t="shared" si="27"/>
        <v>0</v>
      </c>
      <c r="S362">
        <f t="shared" si="28"/>
        <v>0</v>
      </c>
      <c r="T362">
        <f t="shared" si="29"/>
        <v>0</v>
      </c>
      <c r="U362">
        <f>Tabla1[[#This Row],[HORAS NO AFINIDAD]]+Tabla1[[#This Row],[HORAS UNIDAD BASICA]]+Tabla1[[#This Row],[HORAS AFINIDAD]]</f>
        <v>0</v>
      </c>
      <c r="V362">
        <f>+Tabla1[[#This Row],[HORAS AFINIDAD]]+Tabla1[[#This Row],[HORAS ACTIVIDAD]]+Tabla1[[#This Row],[HORAS UNIDAD BASICA]]+Tabla1[[#This Row],[HORAS NO AFINIDAD]]</f>
        <v>0</v>
      </c>
    </row>
    <row r="363" spans="1:22" ht="18.75" customHeight="1">
      <c r="A363">
        <v>362</v>
      </c>
      <c r="C363" t="str">
        <f>_xlfn.XLOOKUP(Tabla1[[#This Row],[CARRERA]],MAE_CARRERA[NOMBRE_CARRERA],MAE_CARRERA[ID_CARRERA],"Seleccione Carrera")</f>
        <v>Seleccione Carrera</v>
      </c>
      <c r="F363" s="1"/>
      <c r="G363" t="str">
        <f>_xlfn.XLOOKUP(Tabla1[[#This Row],[ASIGNATURA]],MAE_ASIGNATURA[NOM_ASIG],MAE_ASIGNATURA[ID_ASIG],"Seleccione Asignatura")</f>
        <v>Seleccione Asignatura</v>
      </c>
      <c r="H363" s="1" t="str" cm="1">
        <f t="array" ref="H363">_xlfn.TEXTJOIN("; ",TRUE,TRANSPOSE(_xlfn.UNIQUE(_xlfn._xlws.FILTER(DET_ASIG[DETALLADO],(DET_ASIG[NIVEL]=ASIGNACION!$D363)*(DET_ASIG[ID_CARRERA]=ASIGNACION!$C363)*(DET_ASIG[ID_ASIG]=ASIGNACION!$G363),"No existe información"))))</f>
        <v>No existe información</v>
      </c>
      <c r="I363" s="1"/>
      <c r="J363">
        <f>_xlfn.XLOOKUP(Tabla1[[#This Row],[ID_ASIG_CAM_DET]],MAE_ASIGNATURA[ID_ASIG],MAE_ASIGNATURA[HORAS],0)</f>
        <v>0</v>
      </c>
      <c r="K363">
        <v>4</v>
      </c>
      <c r="L363" s="2">
        <f>+Tabla1[[#This Row],[CALCULAR HORA]]*Tabla1[[#This Row],[HORAS]]</f>
        <v>0</v>
      </c>
      <c r="N363" t="str">
        <f>_xlfn.XLOOKUP(Tabla1[[#This Row],[NOMBRE_DOCENT]],MDOCENTES[DATOS_DOCENTE],MDOCENTES[DEDICACION],"Seleccione Docente")</f>
        <v>Seleccione Docente</v>
      </c>
      <c r="O363" t="str">
        <f>_xlfn.XLOOKUP(Tabla1[[#This Row],[NOMBRE_DOCENT]],MDOCENTES[DATOS_DOCENTE],MDOCENTES[ESTUDIO],"Seleccione Docente")</f>
        <v>Seleccione Docente</v>
      </c>
      <c r="P363">
        <f t="shared" si="25"/>
        <v>0</v>
      </c>
      <c r="Q363">
        <f t="shared" si="26"/>
        <v>0</v>
      </c>
      <c r="R363">
        <f t="shared" si="27"/>
        <v>0</v>
      </c>
      <c r="S363">
        <f t="shared" si="28"/>
        <v>0</v>
      </c>
      <c r="T363">
        <f t="shared" si="29"/>
        <v>0</v>
      </c>
      <c r="U363">
        <f>Tabla1[[#This Row],[HORAS NO AFINIDAD]]+Tabla1[[#This Row],[HORAS UNIDAD BASICA]]+Tabla1[[#This Row],[HORAS AFINIDAD]]</f>
        <v>0</v>
      </c>
      <c r="V363">
        <f>+Tabla1[[#This Row],[HORAS AFINIDAD]]+Tabla1[[#This Row],[HORAS ACTIVIDAD]]+Tabla1[[#This Row],[HORAS UNIDAD BASICA]]+Tabla1[[#This Row],[HORAS NO AFINIDAD]]</f>
        <v>0</v>
      </c>
    </row>
    <row r="364" spans="1:22" ht="18.75" customHeight="1">
      <c r="A364">
        <v>363</v>
      </c>
      <c r="C364" t="str">
        <f>_xlfn.XLOOKUP(Tabla1[[#This Row],[CARRERA]],MAE_CARRERA[NOMBRE_CARRERA],MAE_CARRERA[ID_CARRERA],"Seleccione Carrera")</f>
        <v>Seleccione Carrera</v>
      </c>
      <c r="F364" s="1"/>
      <c r="G364" t="str">
        <f>_xlfn.XLOOKUP(Tabla1[[#This Row],[ASIGNATURA]],MAE_ASIGNATURA[NOM_ASIG],MAE_ASIGNATURA[ID_ASIG],"Seleccione Asignatura")</f>
        <v>Seleccione Asignatura</v>
      </c>
      <c r="H364" s="1" t="str" cm="1">
        <f t="array" ref="H364">_xlfn.TEXTJOIN("; ",TRUE,TRANSPOSE(_xlfn.UNIQUE(_xlfn._xlws.FILTER(DET_ASIG[DETALLADO],(DET_ASIG[NIVEL]=ASIGNACION!$D364)*(DET_ASIG[ID_CARRERA]=ASIGNACION!$C364)*(DET_ASIG[ID_ASIG]=ASIGNACION!$G364),"No existe información"))))</f>
        <v>No existe información</v>
      </c>
      <c r="I364" s="1"/>
      <c r="J364">
        <f>_xlfn.XLOOKUP(Tabla1[[#This Row],[ID_ASIG_CAM_DET]],MAE_ASIGNATURA[ID_ASIG],MAE_ASIGNATURA[HORAS],0)</f>
        <v>0</v>
      </c>
      <c r="K364">
        <v>4</v>
      </c>
      <c r="L364" s="2">
        <f>+Tabla1[[#This Row],[CALCULAR HORA]]*Tabla1[[#This Row],[HORAS]]</f>
        <v>0</v>
      </c>
      <c r="N364" t="str">
        <f>_xlfn.XLOOKUP(Tabla1[[#This Row],[NOMBRE_DOCENT]],MDOCENTES[DATOS_DOCENTE],MDOCENTES[DEDICACION],"Seleccione Docente")</f>
        <v>Seleccione Docente</v>
      </c>
      <c r="O364" t="str">
        <f>_xlfn.XLOOKUP(Tabla1[[#This Row],[NOMBRE_DOCENT]],MDOCENTES[DATOS_DOCENTE],MDOCENTES[ESTUDIO],"Seleccione Docente")</f>
        <v>Seleccione Docente</v>
      </c>
      <c r="P364">
        <f t="shared" si="25"/>
        <v>0</v>
      </c>
      <c r="Q364">
        <f t="shared" si="26"/>
        <v>0</v>
      </c>
      <c r="R364">
        <f t="shared" si="27"/>
        <v>0</v>
      </c>
      <c r="S364">
        <f t="shared" si="28"/>
        <v>0</v>
      </c>
      <c r="T364">
        <f t="shared" si="29"/>
        <v>0</v>
      </c>
      <c r="U364">
        <f>Tabla1[[#This Row],[HORAS NO AFINIDAD]]+Tabla1[[#This Row],[HORAS UNIDAD BASICA]]+Tabla1[[#This Row],[HORAS AFINIDAD]]</f>
        <v>0</v>
      </c>
      <c r="V364">
        <f>+Tabla1[[#This Row],[HORAS AFINIDAD]]+Tabla1[[#This Row],[HORAS ACTIVIDAD]]+Tabla1[[#This Row],[HORAS UNIDAD BASICA]]+Tabla1[[#This Row],[HORAS NO AFINIDAD]]</f>
        <v>0</v>
      </c>
    </row>
    <row r="365" spans="1:22" ht="18.75" customHeight="1">
      <c r="A365">
        <v>364</v>
      </c>
      <c r="C365" t="str">
        <f>_xlfn.XLOOKUP(Tabla1[[#This Row],[CARRERA]],MAE_CARRERA[NOMBRE_CARRERA],MAE_CARRERA[ID_CARRERA],"Seleccione Carrera")</f>
        <v>Seleccione Carrera</v>
      </c>
      <c r="F365" s="1"/>
      <c r="G365" t="str">
        <f>_xlfn.XLOOKUP(Tabla1[[#This Row],[ASIGNATURA]],MAE_ASIGNATURA[NOM_ASIG],MAE_ASIGNATURA[ID_ASIG],"Seleccione Asignatura")</f>
        <v>Seleccione Asignatura</v>
      </c>
      <c r="H365" s="1" t="str" cm="1">
        <f t="array" ref="H365">_xlfn.TEXTJOIN("; ",TRUE,TRANSPOSE(_xlfn.UNIQUE(_xlfn._xlws.FILTER(DET_ASIG[DETALLADO],(DET_ASIG[NIVEL]=ASIGNACION!$D365)*(DET_ASIG[ID_CARRERA]=ASIGNACION!$C365)*(DET_ASIG[ID_ASIG]=ASIGNACION!$G365),"No existe información"))))</f>
        <v>No existe información</v>
      </c>
      <c r="I365" s="1"/>
      <c r="J365">
        <f>_xlfn.XLOOKUP(Tabla1[[#This Row],[ID_ASIG_CAM_DET]],MAE_ASIGNATURA[ID_ASIG],MAE_ASIGNATURA[HORAS],0)</f>
        <v>0</v>
      </c>
      <c r="K365">
        <v>4</v>
      </c>
      <c r="L365" s="2">
        <f>+Tabla1[[#This Row],[CALCULAR HORA]]*Tabla1[[#This Row],[HORAS]]</f>
        <v>0</v>
      </c>
      <c r="N365" t="str">
        <f>_xlfn.XLOOKUP(Tabla1[[#This Row],[NOMBRE_DOCENT]],MDOCENTES[DATOS_DOCENTE],MDOCENTES[DEDICACION],"Seleccione Docente")</f>
        <v>Seleccione Docente</v>
      </c>
      <c r="O365" t="str">
        <f>_xlfn.XLOOKUP(Tabla1[[#This Row],[NOMBRE_DOCENT]],MDOCENTES[DATOS_DOCENTE],MDOCENTES[ESTUDIO],"Seleccione Docente")</f>
        <v>Seleccione Docente</v>
      </c>
      <c r="P365">
        <f t="shared" si="25"/>
        <v>0</v>
      </c>
      <c r="Q365">
        <f t="shared" si="26"/>
        <v>0</v>
      </c>
      <c r="R365">
        <f t="shared" si="27"/>
        <v>0</v>
      </c>
      <c r="S365">
        <f t="shared" si="28"/>
        <v>0</v>
      </c>
      <c r="T365">
        <f t="shared" si="29"/>
        <v>0</v>
      </c>
      <c r="U365">
        <f>Tabla1[[#This Row],[HORAS NO AFINIDAD]]+Tabla1[[#This Row],[HORAS UNIDAD BASICA]]+Tabla1[[#This Row],[HORAS AFINIDAD]]</f>
        <v>0</v>
      </c>
      <c r="V365">
        <f>+Tabla1[[#This Row],[HORAS AFINIDAD]]+Tabla1[[#This Row],[HORAS ACTIVIDAD]]+Tabla1[[#This Row],[HORAS UNIDAD BASICA]]+Tabla1[[#This Row],[HORAS NO AFINIDAD]]</f>
        <v>0</v>
      </c>
    </row>
    <row r="366" spans="1:22" ht="18.75" customHeight="1">
      <c r="A366">
        <v>365</v>
      </c>
      <c r="C366" t="str">
        <f>_xlfn.XLOOKUP(Tabla1[[#This Row],[CARRERA]],MAE_CARRERA[NOMBRE_CARRERA],MAE_CARRERA[ID_CARRERA],"Seleccione Carrera")</f>
        <v>Seleccione Carrera</v>
      </c>
      <c r="F366" s="1"/>
      <c r="G366" t="str">
        <f>_xlfn.XLOOKUP(Tabla1[[#This Row],[ASIGNATURA]],MAE_ASIGNATURA[NOM_ASIG],MAE_ASIGNATURA[ID_ASIG],"Seleccione Asignatura")</f>
        <v>Seleccione Asignatura</v>
      </c>
      <c r="H366" s="1" t="str" cm="1">
        <f t="array" ref="H366">_xlfn.TEXTJOIN("; ",TRUE,TRANSPOSE(_xlfn.UNIQUE(_xlfn._xlws.FILTER(DET_ASIG[DETALLADO],(DET_ASIG[NIVEL]=ASIGNACION!$D366)*(DET_ASIG[ID_CARRERA]=ASIGNACION!$C366)*(DET_ASIG[ID_ASIG]=ASIGNACION!$G366),"No existe información"))))</f>
        <v>No existe información</v>
      </c>
      <c r="I366" s="1"/>
      <c r="J366">
        <f>_xlfn.XLOOKUP(Tabla1[[#This Row],[ID_ASIG_CAM_DET]],MAE_ASIGNATURA[ID_ASIG],MAE_ASIGNATURA[HORAS],0)</f>
        <v>0</v>
      </c>
      <c r="K366">
        <v>4</v>
      </c>
      <c r="L366" s="2">
        <f>+Tabla1[[#This Row],[CALCULAR HORA]]*Tabla1[[#This Row],[HORAS]]</f>
        <v>0</v>
      </c>
      <c r="N366" t="str">
        <f>_xlfn.XLOOKUP(Tabla1[[#This Row],[NOMBRE_DOCENT]],MDOCENTES[DATOS_DOCENTE],MDOCENTES[DEDICACION],"Seleccione Docente")</f>
        <v>Seleccione Docente</v>
      </c>
      <c r="O366" t="str">
        <f>_xlfn.XLOOKUP(Tabla1[[#This Row],[NOMBRE_DOCENT]],MDOCENTES[DATOS_DOCENTE],MDOCENTES[ESTUDIO],"Seleccione Docente")</f>
        <v>Seleccione Docente</v>
      </c>
      <c r="P366">
        <f t="shared" si="25"/>
        <v>0</v>
      </c>
      <c r="Q366">
        <f t="shared" si="26"/>
        <v>0</v>
      </c>
      <c r="R366">
        <f t="shared" si="27"/>
        <v>0</v>
      </c>
      <c r="S366">
        <f t="shared" si="28"/>
        <v>0</v>
      </c>
      <c r="T366">
        <f t="shared" si="29"/>
        <v>0</v>
      </c>
      <c r="U366">
        <f>Tabla1[[#This Row],[HORAS NO AFINIDAD]]+Tabla1[[#This Row],[HORAS UNIDAD BASICA]]+Tabla1[[#This Row],[HORAS AFINIDAD]]</f>
        <v>0</v>
      </c>
      <c r="V366">
        <f>+Tabla1[[#This Row],[HORAS AFINIDAD]]+Tabla1[[#This Row],[HORAS ACTIVIDAD]]+Tabla1[[#This Row],[HORAS UNIDAD BASICA]]+Tabla1[[#This Row],[HORAS NO AFINIDAD]]</f>
        <v>0</v>
      </c>
    </row>
    <row r="367" spans="1:22" ht="18.75" customHeight="1">
      <c r="A367">
        <v>366</v>
      </c>
      <c r="C367" t="str">
        <f>_xlfn.XLOOKUP(Tabla1[[#This Row],[CARRERA]],MAE_CARRERA[NOMBRE_CARRERA],MAE_CARRERA[ID_CARRERA],"Seleccione Carrera")</f>
        <v>Seleccione Carrera</v>
      </c>
      <c r="F367" s="1"/>
      <c r="G367" t="str">
        <f>_xlfn.XLOOKUP(Tabla1[[#This Row],[ASIGNATURA]],MAE_ASIGNATURA[NOM_ASIG],MAE_ASIGNATURA[ID_ASIG],"Seleccione Asignatura")</f>
        <v>Seleccione Asignatura</v>
      </c>
      <c r="H367" s="1" t="str" cm="1">
        <f t="array" ref="H367">_xlfn.TEXTJOIN("; ",TRUE,TRANSPOSE(_xlfn.UNIQUE(_xlfn._xlws.FILTER(DET_ASIG[DETALLADO],(DET_ASIG[NIVEL]=ASIGNACION!$D367)*(DET_ASIG[ID_CARRERA]=ASIGNACION!$C367)*(DET_ASIG[ID_ASIG]=ASIGNACION!$G367),"No existe información"))))</f>
        <v>No existe información</v>
      </c>
      <c r="I367" s="1"/>
      <c r="J367">
        <f>_xlfn.XLOOKUP(Tabla1[[#This Row],[ID_ASIG_CAM_DET]],MAE_ASIGNATURA[ID_ASIG],MAE_ASIGNATURA[HORAS],0)</f>
        <v>0</v>
      </c>
      <c r="K367">
        <v>4</v>
      </c>
      <c r="L367" s="2">
        <f>+Tabla1[[#This Row],[CALCULAR HORA]]*Tabla1[[#This Row],[HORAS]]</f>
        <v>0</v>
      </c>
      <c r="N367" t="str">
        <f>_xlfn.XLOOKUP(Tabla1[[#This Row],[NOMBRE_DOCENT]],MDOCENTES[DATOS_DOCENTE],MDOCENTES[DEDICACION],"Seleccione Docente")</f>
        <v>Seleccione Docente</v>
      </c>
      <c r="O367" t="str">
        <f>_xlfn.XLOOKUP(Tabla1[[#This Row],[NOMBRE_DOCENT]],MDOCENTES[DATOS_DOCENTE],MDOCENTES[ESTUDIO],"Seleccione Docente")</f>
        <v>Seleccione Docente</v>
      </c>
      <c r="P367">
        <f t="shared" si="25"/>
        <v>0</v>
      </c>
      <c r="Q367">
        <f t="shared" si="26"/>
        <v>0</v>
      </c>
      <c r="R367">
        <f t="shared" si="27"/>
        <v>0</v>
      </c>
      <c r="S367">
        <f t="shared" si="28"/>
        <v>0</v>
      </c>
      <c r="T367">
        <f t="shared" si="29"/>
        <v>0</v>
      </c>
      <c r="U367">
        <f>Tabla1[[#This Row],[HORAS NO AFINIDAD]]+Tabla1[[#This Row],[HORAS UNIDAD BASICA]]+Tabla1[[#This Row],[HORAS AFINIDAD]]</f>
        <v>0</v>
      </c>
      <c r="V367">
        <f>+Tabla1[[#This Row],[HORAS AFINIDAD]]+Tabla1[[#This Row],[HORAS ACTIVIDAD]]+Tabla1[[#This Row],[HORAS UNIDAD BASICA]]+Tabla1[[#This Row],[HORAS NO AFINIDAD]]</f>
        <v>0</v>
      </c>
    </row>
    <row r="368" spans="1:22" ht="18.75" customHeight="1">
      <c r="A368">
        <v>367</v>
      </c>
      <c r="C368" t="str">
        <f>_xlfn.XLOOKUP(Tabla1[[#This Row],[CARRERA]],MAE_CARRERA[NOMBRE_CARRERA],MAE_CARRERA[ID_CARRERA],"Seleccione Carrera")</f>
        <v>Seleccione Carrera</v>
      </c>
      <c r="F368" s="1"/>
      <c r="G368" t="str">
        <f>_xlfn.XLOOKUP(Tabla1[[#This Row],[ASIGNATURA]],MAE_ASIGNATURA[NOM_ASIG],MAE_ASIGNATURA[ID_ASIG],"Seleccione Asignatura")</f>
        <v>Seleccione Asignatura</v>
      </c>
      <c r="H368" s="1" t="str" cm="1">
        <f t="array" ref="H368">_xlfn.TEXTJOIN("; ",TRUE,TRANSPOSE(_xlfn.UNIQUE(_xlfn._xlws.FILTER(DET_ASIG[DETALLADO],(DET_ASIG[NIVEL]=ASIGNACION!$D368)*(DET_ASIG[ID_CARRERA]=ASIGNACION!$C368)*(DET_ASIG[ID_ASIG]=ASIGNACION!$G368),"No existe información"))))</f>
        <v>No existe información</v>
      </c>
      <c r="I368" s="1"/>
      <c r="J368">
        <f>_xlfn.XLOOKUP(Tabla1[[#This Row],[ID_ASIG_CAM_DET]],MAE_ASIGNATURA[ID_ASIG],MAE_ASIGNATURA[HORAS],0)</f>
        <v>0</v>
      </c>
      <c r="K368">
        <v>4</v>
      </c>
      <c r="L368" s="2">
        <f>+Tabla1[[#This Row],[CALCULAR HORA]]*Tabla1[[#This Row],[HORAS]]</f>
        <v>0</v>
      </c>
      <c r="N368" t="str">
        <f>_xlfn.XLOOKUP(Tabla1[[#This Row],[NOMBRE_DOCENT]],MDOCENTES[DATOS_DOCENTE],MDOCENTES[DEDICACION],"Seleccione Docente")</f>
        <v>Seleccione Docente</v>
      </c>
      <c r="O368" t="str">
        <f>_xlfn.XLOOKUP(Tabla1[[#This Row],[NOMBRE_DOCENT]],MDOCENTES[DATOS_DOCENTE],MDOCENTES[ESTUDIO],"Seleccione Docente")</f>
        <v>Seleccione Docente</v>
      </c>
      <c r="P368">
        <f t="shared" si="25"/>
        <v>0</v>
      </c>
      <c r="Q368">
        <f t="shared" si="26"/>
        <v>0</v>
      </c>
      <c r="R368">
        <f t="shared" si="27"/>
        <v>0</v>
      </c>
      <c r="S368">
        <f t="shared" si="28"/>
        <v>0</v>
      </c>
      <c r="T368">
        <f t="shared" si="29"/>
        <v>0</v>
      </c>
      <c r="U368">
        <f>Tabla1[[#This Row],[HORAS NO AFINIDAD]]+Tabla1[[#This Row],[HORAS UNIDAD BASICA]]+Tabla1[[#This Row],[HORAS AFINIDAD]]</f>
        <v>0</v>
      </c>
      <c r="V368">
        <f>+Tabla1[[#This Row],[HORAS AFINIDAD]]+Tabla1[[#This Row],[HORAS ACTIVIDAD]]+Tabla1[[#This Row],[HORAS UNIDAD BASICA]]+Tabla1[[#This Row],[HORAS NO AFINIDAD]]</f>
        <v>0</v>
      </c>
    </row>
    <row r="369" spans="1:22" ht="18.75" customHeight="1">
      <c r="A369">
        <v>368</v>
      </c>
      <c r="C369" t="str">
        <f>_xlfn.XLOOKUP(Tabla1[[#This Row],[CARRERA]],MAE_CARRERA[NOMBRE_CARRERA],MAE_CARRERA[ID_CARRERA],"Seleccione Carrera")</f>
        <v>Seleccione Carrera</v>
      </c>
      <c r="F369" s="1"/>
      <c r="G369" t="str">
        <f>_xlfn.XLOOKUP(Tabla1[[#This Row],[ASIGNATURA]],MAE_ASIGNATURA[NOM_ASIG],MAE_ASIGNATURA[ID_ASIG],"Seleccione Asignatura")</f>
        <v>Seleccione Asignatura</v>
      </c>
      <c r="H369" s="1" t="str" cm="1">
        <f t="array" ref="H369">_xlfn.TEXTJOIN("; ",TRUE,TRANSPOSE(_xlfn.UNIQUE(_xlfn._xlws.FILTER(DET_ASIG[DETALLADO],(DET_ASIG[NIVEL]=ASIGNACION!$D369)*(DET_ASIG[ID_CARRERA]=ASIGNACION!$C369)*(DET_ASIG[ID_ASIG]=ASIGNACION!$G369),"No existe información"))))</f>
        <v>No existe información</v>
      </c>
      <c r="I369" s="1"/>
      <c r="J369">
        <f>_xlfn.XLOOKUP(Tabla1[[#This Row],[ID_ASIG_CAM_DET]],MAE_ASIGNATURA[ID_ASIG],MAE_ASIGNATURA[HORAS],0)</f>
        <v>0</v>
      </c>
      <c r="K369">
        <v>4</v>
      </c>
      <c r="L369" s="2">
        <f>+Tabla1[[#This Row],[CALCULAR HORA]]*Tabla1[[#This Row],[HORAS]]</f>
        <v>0</v>
      </c>
      <c r="N369" t="str">
        <f>_xlfn.XLOOKUP(Tabla1[[#This Row],[NOMBRE_DOCENT]],MDOCENTES[DATOS_DOCENTE],MDOCENTES[DEDICACION],"Seleccione Docente")</f>
        <v>Seleccione Docente</v>
      </c>
      <c r="O369" t="str">
        <f>_xlfn.XLOOKUP(Tabla1[[#This Row],[NOMBRE_DOCENT]],MDOCENTES[DATOS_DOCENTE],MDOCENTES[ESTUDIO],"Seleccione Docente")</f>
        <v>Seleccione Docente</v>
      </c>
      <c r="P369">
        <f t="shared" si="25"/>
        <v>0</v>
      </c>
      <c r="Q369">
        <f t="shared" si="26"/>
        <v>0</v>
      </c>
      <c r="R369">
        <f t="shared" si="27"/>
        <v>0</v>
      </c>
      <c r="S369">
        <f t="shared" si="28"/>
        <v>0</v>
      </c>
      <c r="T369">
        <f t="shared" si="29"/>
        <v>0</v>
      </c>
      <c r="U369">
        <f>Tabla1[[#This Row],[HORAS NO AFINIDAD]]+Tabla1[[#This Row],[HORAS UNIDAD BASICA]]+Tabla1[[#This Row],[HORAS AFINIDAD]]</f>
        <v>0</v>
      </c>
      <c r="V369">
        <f>+Tabla1[[#This Row],[HORAS AFINIDAD]]+Tabla1[[#This Row],[HORAS ACTIVIDAD]]+Tabla1[[#This Row],[HORAS UNIDAD BASICA]]+Tabla1[[#This Row],[HORAS NO AFINIDAD]]</f>
        <v>0</v>
      </c>
    </row>
    <row r="370" spans="1:22" ht="18.75" customHeight="1">
      <c r="A370">
        <v>369</v>
      </c>
      <c r="C370" t="str">
        <f>_xlfn.XLOOKUP(Tabla1[[#This Row],[CARRERA]],MAE_CARRERA[NOMBRE_CARRERA],MAE_CARRERA[ID_CARRERA],"Seleccione Carrera")</f>
        <v>Seleccione Carrera</v>
      </c>
      <c r="F370" s="1"/>
      <c r="G370" t="str">
        <f>_xlfn.XLOOKUP(Tabla1[[#This Row],[ASIGNATURA]],MAE_ASIGNATURA[NOM_ASIG],MAE_ASIGNATURA[ID_ASIG],"Seleccione Asignatura")</f>
        <v>Seleccione Asignatura</v>
      </c>
      <c r="H370" s="1" t="str" cm="1">
        <f t="array" ref="H370">_xlfn.TEXTJOIN("; ",TRUE,TRANSPOSE(_xlfn.UNIQUE(_xlfn._xlws.FILTER(DET_ASIG[DETALLADO],(DET_ASIG[NIVEL]=ASIGNACION!$D370)*(DET_ASIG[ID_CARRERA]=ASIGNACION!$C370)*(DET_ASIG[ID_ASIG]=ASIGNACION!$G370),"No existe información"))))</f>
        <v>No existe información</v>
      </c>
      <c r="I370" s="1"/>
      <c r="J370">
        <f>_xlfn.XLOOKUP(Tabla1[[#This Row],[ID_ASIG_CAM_DET]],MAE_ASIGNATURA[ID_ASIG],MAE_ASIGNATURA[HORAS],0)</f>
        <v>0</v>
      </c>
      <c r="K370">
        <v>4</v>
      </c>
      <c r="L370" s="2">
        <f>+Tabla1[[#This Row],[CALCULAR HORA]]*Tabla1[[#This Row],[HORAS]]</f>
        <v>0</v>
      </c>
      <c r="N370" t="str">
        <f>_xlfn.XLOOKUP(Tabla1[[#This Row],[NOMBRE_DOCENT]],MDOCENTES[DATOS_DOCENTE],MDOCENTES[DEDICACION],"Seleccione Docente")</f>
        <v>Seleccione Docente</v>
      </c>
      <c r="O370" t="str">
        <f>_xlfn.XLOOKUP(Tabla1[[#This Row],[NOMBRE_DOCENT]],MDOCENTES[DATOS_DOCENTE],MDOCENTES[ESTUDIO],"Seleccione Docente")</f>
        <v>Seleccione Docente</v>
      </c>
      <c r="P370">
        <f t="shared" si="25"/>
        <v>0</v>
      </c>
      <c r="Q370">
        <f t="shared" si="26"/>
        <v>0</v>
      </c>
      <c r="R370">
        <f t="shared" si="27"/>
        <v>0</v>
      </c>
      <c r="S370">
        <f t="shared" si="28"/>
        <v>0</v>
      </c>
      <c r="T370">
        <f t="shared" si="29"/>
        <v>0</v>
      </c>
      <c r="U370">
        <f>Tabla1[[#This Row],[HORAS NO AFINIDAD]]+Tabla1[[#This Row],[HORAS UNIDAD BASICA]]+Tabla1[[#This Row],[HORAS AFINIDAD]]</f>
        <v>0</v>
      </c>
      <c r="V370">
        <f>+Tabla1[[#This Row],[HORAS AFINIDAD]]+Tabla1[[#This Row],[HORAS ACTIVIDAD]]+Tabla1[[#This Row],[HORAS UNIDAD BASICA]]+Tabla1[[#This Row],[HORAS NO AFINIDAD]]</f>
        <v>0</v>
      </c>
    </row>
    <row r="371" spans="1:22" ht="18.75" customHeight="1">
      <c r="A371">
        <v>370</v>
      </c>
      <c r="C371" t="str">
        <f>_xlfn.XLOOKUP(Tabla1[[#This Row],[CARRERA]],MAE_CARRERA[NOMBRE_CARRERA],MAE_CARRERA[ID_CARRERA],"Seleccione Carrera")</f>
        <v>Seleccione Carrera</v>
      </c>
      <c r="F371" s="1"/>
      <c r="G371" t="str">
        <f>_xlfn.XLOOKUP(Tabla1[[#This Row],[ASIGNATURA]],MAE_ASIGNATURA[NOM_ASIG],MAE_ASIGNATURA[ID_ASIG],"Seleccione Asignatura")</f>
        <v>Seleccione Asignatura</v>
      </c>
      <c r="H371" s="1" t="str" cm="1">
        <f t="array" ref="H371">_xlfn.TEXTJOIN("; ",TRUE,TRANSPOSE(_xlfn.UNIQUE(_xlfn._xlws.FILTER(DET_ASIG[DETALLADO],(DET_ASIG[NIVEL]=ASIGNACION!$D371)*(DET_ASIG[ID_CARRERA]=ASIGNACION!$C371)*(DET_ASIG[ID_ASIG]=ASIGNACION!$G371),"No existe información"))))</f>
        <v>No existe información</v>
      </c>
      <c r="I371" s="1"/>
      <c r="J371">
        <f>_xlfn.XLOOKUP(Tabla1[[#This Row],[ID_ASIG_CAM_DET]],MAE_ASIGNATURA[ID_ASIG],MAE_ASIGNATURA[HORAS],0)</f>
        <v>0</v>
      </c>
      <c r="K371">
        <v>4</v>
      </c>
      <c r="L371" s="2">
        <f>+Tabla1[[#This Row],[CALCULAR HORA]]*Tabla1[[#This Row],[HORAS]]</f>
        <v>0</v>
      </c>
      <c r="N371" t="str">
        <f>_xlfn.XLOOKUP(Tabla1[[#This Row],[NOMBRE_DOCENT]],MDOCENTES[DATOS_DOCENTE],MDOCENTES[DEDICACION],"Seleccione Docente")</f>
        <v>Seleccione Docente</v>
      </c>
      <c r="O371" t="str">
        <f>_xlfn.XLOOKUP(Tabla1[[#This Row],[NOMBRE_DOCENT]],MDOCENTES[DATOS_DOCENTE],MDOCENTES[ESTUDIO],"Seleccione Docente")</f>
        <v>Seleccione Docente</v>
      </c>
      <c r="P371">
        <f t="shared" si="25"/>
        <v>0</v>
      </c>
      <c r="Q371">
        <f t="shared" si="26"/>
        <v>0</v>
      </c>
      <c r="R371">
        <f t="shared" si="27"/>
        <v>0</v>
      </c>
      <c r="S371">
        <f t="shared" si="28"/>
        <v>0</v>
      </c>
      <c r="T371">
        <f t="shared" si="29"/>
        <v>0</v>
      </c>
      <c r="U371">
        <f>Tabla1[[#This Row],[HORAS NO AFINIDAD]]+Tabla1[[#This Row],[HORAS UNIDAD BASICA]]+Tabla1[[#This Row],[HORAS AFINIDAD]]</f>
        <v>0</v>
      </c>
      <c r="V371">
        <f>+Tabla1[[#This Row],[HORAS AFINIDAD]]+Tabla1[[#This Row],[HORAS ACTIVIDAD]]+Tabla1[[#This Row],[HORAS UNIDAD BASICA]]+Tabla1[[#This Row],[HORAS NO AFINIDAD]]</f>
        <v>0</v>
      </c>
    </row>
    <row r="372" spans="1:22" ht="18.75" customHeight="1">
      <c r="A372">
        <v>371</v>
      </c>
      <c r="C372" t="str">
        <f>_xlfn.XLOOKUP(Tabla1[[#This Row],[CARRERA]],MAE_CARRERA[NOMBRE_CARRERA],MAE_CARRERA[ID_CARRERA],"Seleccione Carrera")</f>
        <v>Seleccione Carrera</v>
      </c>
      <c r="F372" s="1"/>
      <c r="G372" t="str">
        <f>_xlfn.XLOOKUP(Tabla1[[#This Row],[ASIGNATURA]],MAE_ASIGNATURA[NOM_ASIG],MAE_ASIGNATURA[ID_ASIG],"Seleccione Asignatura")</f>
        <v>Seleccione Asignatura</v>
      </c>
      <c r="H372" s="1" t="str" cm="1">
        <f t="array" ref="H372">_xlfn.TEXTJOIN("; ",TRUE,TRANSPOSE(_xlfn.UNIQUE(_xlfn._xlws.FILTER(DET_ASIG[DETALLADO],(DET_ASIG[NIVEL]=ASIGNACION!$D372)*(DET_ASIG[ID_CARRERA]=ASIGNACION!$C372)*(DET_ASIG[ID_ASIG]=ASIGNACION!$G372),"No existe información"))))</f>
        <v>No existe información</v>
      </c>
      <c r="I372" s="1"/>
      <c r="J372">
        <f>_xlfn.XLOOKUP(Tabla1[[#This Row],[ID_ASIG_CAM_DET]],MAE_ASIGNATURA[ID_ASIG],MAE_ASIGNATURA[HORAS],0)</f>
        <v>0</v>
      </c>
      <c r="K372">
        <v>4</v>
      </c>
      <c r="L372" s="2">
        <f>+Tabla1[[#This Row],[CALCULAR HORA]]*Tabla1[[#This Row],[HORAS]]</f>
        <v>0</v>
      </c>
      <c r="N372" t="str">
        <f>_xlfn.XLOOKUP(Tabla1[[#This Row],[NOMBRE_DOCENT]],MDOCENTES[DATOS_DOCENTE],MDOCENTES[DEDICACION],"Seleccione Docente")</f>
        <v>Seleccione Docente</v>
      </c>
      <c r="O372" t="str">
        <f>_xlfn.XLOOKUP(Tabla1[[#This Row],[NOMBRE_DOCENT]],MDOCENTES[DATOS_DOCENTE],MDOCENTES[ESTUDIO],"Seleccione Docente")</f>
        <v>Seleccione Docente</v>
      </c>
      <c r="P372">
        <f t="shared" si="25"/>
        <v>0</v>
      </c>
      <c r="Q372">
        <f t="shared" si="26"/>
        <v>0</v>
      </c>
      <c r="R372">
        <f t="shared" si="27"/>
        <v>0</v>
      </c>
      <c r="S372">
        <f t="shared" si="28"/>
        <v>0</v>
      </c>
      <c r="T372">
        <f t="shared" si="29"/>
        <v>0</v>
      </c>
      <c r="U372">
        <f>Tabla1[[#This Row],[HORAS NO AFINIDAD]]+Tabla1[[#This Row],[HORAS UNIDAD BASICA]]+Tabla1[[#This Row],[HORAS AFINIDAD]]</f>
        <v>0</v>
      </c>
      <c r="V372">
        <f>+Tabla1[[#This Row],[HORAS AFINIDAD]]+Tabla1[[#This Row],[HORAS ACTIVIDAD]]+Tabla1[[#This Row],[HORAS UNIDAD BASICA]]+Tabla1[[#This Row],[HORAS NO AFINIDAD]]</f>
        <v>0</v>
      </c>
    </row>
    <row r="373" spans="1:22" ht="18.75" customHeight="1">
      <c r="A373">
        <v>372</v>
      </c>
      <c r="C373" t="str">
        <f>_xlfn.XLOOKUP(Tabla1[[#This Row],[CARRERA]],MAE_CARRERA[NOMBRE_CARRERA],MAE_CARRERA[ID_CARRERA],"Seleccione Carrera")</f>
        <v>Seleccione Carrera</v>
      </c>
      <c r="F373" s="1"/>
      <c r="G373" t="str">
        <f>_xlfn.XLOOKUP(Tabla1[[#This Row],[ASIGNATURA]],MAE_ASIGNATURA[NOM_ASIG],MAE_ASIGNATURA[ID_ASIG],"Seleccione Asignatura")</f>
        <v>Seleccione Asignatura</v>
      </c>
      <c r="H373" s="1" t="str" cm="1">
        <f t="array" ref="H373">_xlfn.TEXTJOIN("; ",TRUE,TRANSPOSE(_xlfn.UNIQUE(_xlfn._xlws.FILTER(DET_ASIG[DETALLADO],(DET_ASIG[NIVEL]=ASIGNACION!$D373)*(DET_ASIG[ID_CARRERA]=ASIGNACION!$C373)*(DET_ASIG[ID_ASIG]=ASIGNACION!$G373),"No existe información"))))</f>
        <v>No existe información</v>
      </c>
      <c r="I373" s="1"/>
      <c r="J373">
        <f>_xlfn.XLOOKUP(Tabla1[[#This Row],[ID_ASIG_CAM_DET]],MAE_ASIGNATURA[ID_ASIG],MAE_ASIGNATURA[HORAS],0)</f>
        <v>0</v>
      </c>
      <c r="K373">
        <v>4</v>
      </c>
      <c r="L373" s="2">
        <f>+Tabla1[[#This Row],[CALCULAR HORA]]*Tabla1[[#This Row],[HORAS]]</f>
        <v>0</v>
      </c>
      <c r="N373" t="str">
        <f>_xlfn.XLOOKUP(Tabla1[[#This Row],[NOMBRE_DOCENT]],MDOCENTES[DATOS_DOCENTE],MDOCENTES[DEDICACION],"Seleccione Docente")</f>
        <v>Seleccione Docente</v>
      </c>
      <c r="O373" t="str">
        <f>_xlfn.XLOOKUP(Tabla1[[#This Row],[NOMBRE_DOCENT]],MDOCENTES[DATOS_DOCENTE],MDOCENTES[ESTUDIO],"Seleccione Docente")</f>
        <v>Seleccione Docente</v>
      </c>
      <c r="P373">
        <f t="shared" si="25"/>
        <v>0</v>
      </c>
      <c r="Q373">
        <f t="shared" si="26"/>
        <v>0</v>
      </c>
      <c r="R373">
        <f t="shared" si="27"/>
        <v>0</v>
      </c>
      <c r="S373">
        <f t="shared" si="28"/>
        <v>0</v>
      </c>
      <c r="T373">
        <f t="shared" si="29"/>
        <v>0</v>
      </c>
      <c r="U373">
        <f>Tabla1[[#This Row],[HORAS NO AFINIDAD]]+Tabla1[[#This Row],[HORAS UNIDAD BASICA]]+Tabla1[[#This Row],[HORAS AFINIDAD]]</f>
        <v>0</v>
      </c>
      <c r="V373">
        <f>+Tabla1[[#This Row],[HORAS AFINIDAD]]+Tabla1[[#This Row],[HORAS ACTIVIDAD]]+Tabla1[[#This Row],[HORAS UNIDAD BASICA]]+Tabla1[[#This Row],[HORAS NO AFINIDAD]]</f>
        <v>0</v>
      </c>
    </row>
    <row r="374" spans="1:22" ht="18.75" customHeight="1">
      <c r="A374">
        <v>373</v>
      </c>
      <c r="C374" t="str">
        <f>_xlfn.XLOOKUP(Tabla1[[#This Row],[CARRERA]],MAE_CARRERA[NOMBRE_CARRERA],MAE_CARRERA[ID_CARRERA],"Seleccione Carrera")</f>
        <v>Seleccione Carrera</v>
      </c>
      <c r="F374" s="1"/>
      <c r="G374" t="str">
        <f>_xlfn.XLOOKUP(Tabla1[[#This Row],[ASIGNATURA]],MAE_ASIGNATURA[NOM_ASIG],MAE_ASIGNATURA[ID_ASIG],"Seleccione Asignatura")</f>
        <v>Seleccione Asignatura</v>
      </c>
      <c r="H374" s="1" t="str" cm="1">
        <f t="array" ref="H374">_xlfn.TEXTJOIN("; ",TRUE,TRANSPOSE(_xlfn.UNIQUE(_xlfn._xlws.FILTER(DET_ASIG[DETALLADO],(DET_ASIG[NIVEL]=ASIGNACION!$D374)*(DET_ASIG[ID_CARRERA]=ASIGNACION!$C374)*(DET_ASIG[ID_ASIG]=ASIGNACION!$G374),"No existe información"))))</f>
        <v>No existe información</v>
      </c>
      <c r="I374" s="1"/>
      <c r="J374">
        <f>_xlfn.XLOOKUP(Tabla1[[#This Row],[ID_ASIG_CAM_DET]],MAE_ASIGNATURA[ID_ASIG],MAE_ASIGNATURA[HORAS],0)</f>
        <v>0</v>
      </c>
      <c r="K374">
        <v>4</v>
      </c>
      <c r="L374" s="2">
        <f>+Tabla1[[#This Row],[CALCULAR HORA]]*Tabla1[[#This Row],[HORAS]]</f>
        <v>0</v>
      </c>
      <c r="N374" t="str">
        <f>_xlfn.XLOOKUP(Tabla1[[#This Row],[NOMBRE_DOCENT]],MDOCENTES[DATOS_DOCENTE],MDOCENTES[DEDICACION],"Seleccione Docente")</f>
        <v>Seleccione Docente</v>
      </c>
      <c r="O374" t="str">
        <f>_xlfn.XLOOKUP(Tabla1[[#This Row],[NOMBRE_DOCENT]],MDOCENTES[DATOS_DOCENTE],MDOCENTES[ESTUDIO],"Seleccione Docente")</f>
        <v>Seleccione Docente</v>
      </c>
      <c r="P374">
        <f t="shared" si="25"/>
        <v>0</v>
      </c>
      <c r="Q374">
        <f t="shared" si="26"/>
        <v>0</v>
      </c>
      <c r="R374">
        <f t="shared" si="27"/>
        <v>0</v>
      </c>
      <c r="S374">
        <f t="shared" si="28"/>
        <v>0</v>
      </c>
      <c r="T374">
        <f t="shared" si="29"/>
        <v>0</v>
      </c>
      <c r="U374">
        <f>Tabla1[[#This Row],[HORAS NO AFINIDAD]]+Tabla1[[#This Row],[HORAS UNIDAD BASICA]]+Tabla1[[#This Row],[HORAS AFINIDAD]]</f>
        <v>0</v>
      </c>
      <c r="V374">
        <f>+Tabla1[[#This Row],[HORAS AFINIDAD]]+Tabla1[[#This Row],[HORAS ACTIVIDAD]]+Tabla1[[#This Row],[HORAS UNIDAD BASICA]]+Tabla1[[#This Row],[HORAS NO AFINIDAD]]</f>
        <v>0</v>
      </c>
    </row>
    <row r="375" spans="1:22" ht="18.75" customHeight="1">
      <c r="A375">
        <v>374</v>
      </c>
      <c r="C375" t="str">
        <f>_xlfn.XLOOKUP(Tabla1[[#This Row],[CARRERA]],MAE_CARRERA[NOMBRE_CARRERA],MAE_CARRERA[ID_CARRERA],"Seleccione Carrera")</f>
        <v>Seleccione Carrera</v>
      </c>
      <c r="F375" s="1"/>
      <c r="G375" t="str">
        <f>_xlfn.XLOOKUP(Tabla1[[#This Row],[ASIGNATURA]],MAE_ASIGNATURA[NOM_ASIG],MAE_ASIGNATURA[ID_ASIG],"Seleccione Asignatura")</f>
        <v>Seleccione Asignatura</v>
      </c>
      <c r="H375" s="1" t="str" cm="1">
        <f t="array" ref="H375">_xlfn.TEXTJOIN("; ",TRUE,TRANSPOSE(_xlfn.UNIQUE(_xlfn._xlws.FILTER(DET_ASIG[DETALLADO],(DET_ASIG[NIVEL]=ASIGNACION!$D375)*(DET_ASIG[ID_CARRERA]=ASIGNACION!$C375)*(DET_ASIG[ID_ASIG]=ASIGNACION!$G375),"No existe información"))))</f>
        <v>No existe información</v>
      </c>
      <c r="I375" s="1"/>
      <c r="J375">
        <f>_xlfn.XLOOKUP(Tabla1[[#This Row],[ID_ASIG_CAM_DET]],MAE_ASIGNATURA[ID_ASIG],MAE_ASIGNATURA[HORAS],0)</f>
        <v>0</v>
      </c>
      <c r="K375">
        <v>4</v>
      </c>
      <c r="L375" s="2">
        <f>+Tabla1[[#This Row],[CALCULAR HORA]]*Tabla1[[#This Row],[HORAS]]</f>
        <v>0</v>
      </c>
      <c r="N375" t="str">
        <f>_xlfn.XLOOKUP(Tabla1[[#This Row],[NOMBRE_DOCENT]],MDOCENTES[DATOS_DOCENTE],MDOCENTES[DEDICACION],"Seleccione Docente")</f>
        <v>Seleccione Docente</v>
      </c>
      <c r="O375" t="str">
        <f>_xlfn.XLOOKUP(Tabla1[[#This Row],[NOMBRE_DOCENT]],MDOCENTES[DATOS_DOCENTE],MDOCENTES[ESTUDIO],"Seleccione Docente")</f>
        <v>Seleccione Docente</v>
      </c>
      <c r="P375">
        <f t="shared" si="25"/>
        <v>0</v>
      </c>
      <c r="Q375">
        <f t="shared" si="26"/>
        <v>0</v>
      </c>
      <c r="R375">
        <f t="shared" si="27"/>
        <v>0</v>
      </c>
      <c r="S375">
        <f t="shared" si="28"/>
        <v>0</v>
      </c>
      <c r="T375">
        <f t="shared" si="29"/>
        <v>0</v>
      </c>
      <c r="U375">
        <f>Tabla1[[#This Row],[HORAS NO AFINIDAD]]+Tabla1[[#This Row],[HORAS UNIDAD BASICA]]+Tabla1[[#This Row],[HORAS AFINIDAD]]</f>
        <v>0</v>
      </c>
      <c r="V375">
        <f>+Tabla1[[#This Row],[HORAS AFINIDAD]]+Tabla1[[#This Row],[HORAS ACTIVIDAD]]+Tabla1[[#This Row],[HORAS UNIDAD BASICA]]+Tabla1[[#This Row],[HORAS NO AFINIDAD]]</f>
        <v>0</v>
      </c>
    </row>
    <row r="376" spans="1:22" ht="18.75" customHeight="1">
      <c r="A376">
        <v>375</v>
      </c>
      <c r="C376" t="str">
        <f>_xlfn.XLOOKUP(Tabla1[[#This Row],[CARRERA]],MAE_CARRERA[NOMBRE_CARRERA],MAE_CARRERA[ID_CARRERA],"Seleccione Carrera")</f>
        <v>Seleccione Carrera</v>
      </c>
      <c r="F376" s="1"/>
      <c r="G376" t="str">
        <f>_xlfn.XLOOKUP(Tabla1[[#This Row],[ASIGNATURA]],MAE_ASIGNATURA[NOM_ASIG],MAE_ASIGNATURA[ID_ASIG],"Seleccione Asignatura")</f>
        <v>Seleccione Asignatura</v>
      </c>
      <c r="H376" s="1" t="str" cm="1">
        <f t="array" ref="H376">_xlfn.TEXTJOIN("; ",TRUE,TRANSPOSE(_xlfn.UNIQUE(_xlfn._xlws.FILTER(DET_ASIG[DETALLADO],(DET_ASIG[NIVEL]=ASIGNACION!$D376)*(DET_ASIG[ID_CARRERA]=ASIGNACION!$C376)*(DET_ASIG[ID_ASIG]=ASIGNACION!$G376),"No existe información"))))</f>
        <v>No existe información</v>
      </c>
      <c r="I376" s="1"/>
      <c r="J376">
        <f>_xlfn.XLOOKUP(Tabla1[[#This Row],[ID_ASIG_CAM_DET]],MAE_ASIGNATURA[ID_ASIG],MAE_ASIGNATURA[HORAS],0)</f>
        <v>0</v>
      </c>
      <c r="K376">
        <v>4</v>
      </c>
      <c r="L376" s="2">
        <f>+Tabla1[[#This Row],[CALCULAR HORA]]*Tabla1[[#This Row],[HORAS]]</f>
        <v>0</v>
      </c>
      <c r="N376" t="str">
        <f>_xlfn.XLOOKUP(Tabla1[[#This Row],[NOMBRE_DOCENT]],MDOCENTES[DATOS_DOCENTE],MDOCENTES[DEDICACION],"Seleccione Docente")</f>
        <v>Seleccione Docente</v>
      </c>
      <c r="O376" t="str">
        <f>_xlfn.XLOOKUP(Tabla1[[#This Row],[NOMBRE_DOCENT]],MDOCENTES[DATOS_DOCENTE],MDOCENTES[ESTUDIO],"Seleccione Docente")</f>
        <v>Seleccione Docente</v>
      </c>
      <c r="P376">
        <f t="shared" si="25"/>
        <v>0</v>
      </c>
      <c r="Q376">
        <f t="shared" si="26"/>
        <v>0</v>
      </c>
      <c r="R376">
        <f t="shared" si="27"/>
        <v>0</v>
      </c>
      <c r="S376">
        <f t="shared" si="28"/>
        <v>0</v>
      </c>
      <c r="T376">
        <f t="shared" si="29"/>
        <v>0</v>
      </c>
      <c r="U376">
        <f>Tabla1[[#This Row],[HORAS NO AFINIDAD]]+Tabla1[[#This Row],[HORAS UNIDAD BASICA]]+Tabla1[[#This Row],[HORAS AFINIDAD]]</f>
        <v>0</v>
      </c>
      <c r="V376">
        <f>+Tabla1[[#This Row],[HORAS AFINIDAD]]+Tabla1[[#This Row],[HORAS ACTIVIDAD]]+Tabla1[[#This Row],[HORAS UNIDAD BASICA]]+Tabla1[[#This Row],[HORAS NO AFINIDAD]]</f>
        <v>0</v>
      </c>
    </row>
    <row r="377" spans="1:22" ht="18.75" customHeight="1">
      <c r="A377">
        <v>376</v>
      </c>
      <c r="C377" t="str">
        <f>_xlfn.XLOOKUP(Tabla1[[#This Row],[CARRERA]],MAE_CARRERA[NOMBRE_CARRERA],MAE_CARRERA[ID_CARRERA],"Seleccione Carrera")</f>
        <v>Seleccione Carrera</v>
      </c>
      <c r="F377" s="1"/>
      <c r="G377" t="str">
        <f>_xlfn.XLOOKUP(Tabla1[[#This Row],[ASIGNATURA]],MAE_ASIGNATURA[NOM_ASIG],MAE_ASIGNATURA[ID_ASIG],"Seleccione Asignatura")</f>
        <v>Seleccione Asignatura</v>
      </c>
      <c r="H377" s="1" t="str" cm="1">
        <f t="array" ref="H377">_xlfn.TEXTJOIN("; ",TRUE,TRANSPOSE(_xlfn.UNIQUE(_xlfn._xlws.FILTER(DET_ASIG[DETALLADO],(DET_ASIG[NIVEL]=ASIGNACION!$D377)*(DET_ASIG[ID_CARRERA]=ASIGNACION!$C377)*(DET_ASIG[ID_ASIG]=ASIGNACION!$G377),"No existe información"))))</f>
        <v>No existe información</v>
      </c>
      <c r="I377" s="1"/>
      <c r="J377">
        <f>_xlfn.XLOOKUP(Tabla1[[#This Row],[ID_ASIG_CAM_DET]],MAE_ASIGNATURA[ID_ASIG],MAE_ASIGNATURA[HORAS],0)</f>
        <v>0</v>
      </c>
      <c r="K377">
        <v>4</v>
      </c>
      <c r="L377" s="2">
        <f>+Tabla1[[#This Row],[CALCULAR HORA]]*Tabla1[[#This Row],[HORAS]]</f>
        <v>0</v>
      </c>
      <c r="N377" t="str">
        <f>_xlfn.XLOOKUP(Tabla1[[#This Row],[NOMBRE_DOCENT]],MDOCENTES[DATOS_DOCENTE],MDOCENTES[DEDICACION],"Seleccione Docente")</f>
        <v>Seleccione Docente</v>
      </c>
      <c r="O377" t="str">
        <f>_xlfn.XLOOKUP(Tabla1[[#This Row],[NOMBRE_DOCENT]],MDOCENTES[DATOS_DOCENTE],MDOCENTES[ESTUDIO],"Seleccione Docente")</f>
        <v>Seleccione Docente</v>
      </c>
      <c r="P377">
        <f t="shared" si="25"/>
        <v>0</v>
      </c>
      <c r="Q377">
        <f t="shared" si="26"/>
        <v>0</v>
      </c>
      <c r="R377">
        <f t="shared" si="27"/>
        <v>0</v>
      </c>
      <c r="S377">
        <f t="shared" si="28"/>
        <v>0</v>
      </c>
      <c r="T377">
        <f t="shared" si="29"/>
        <v>0</v>
      </c>
      <c r="U377">
        <f>Tabla1[[#This Row],[HORAS NO AFINIDAD]]+Tabla1[[#This Row],[HORAS UNIDAD BASICA]]+Tabla1[[#This Row],[HORAS AFINIDAD]]</f>
        <v>0</v>
      </c>
      <c r="V377">
        <f>+Tabla1[[#This Row],[HORAS AFINIDAD]]+Tabla1[[#This Row],[HORAS ACTIVIDAD]]+Tabla1[[#This Row],[HORAS UNIDAD BASICA]]+Tabla1[[#This Row],[HORAS NO AFINIDAD]]</f>
        <v>0</v>
      </c>
    </row>
    <row r="378" spans="1:22" ht="18.75" customHeight="1">
      <c r="A378">
        <v>377</v>
      </c>
      <c r="C378" t="str">
        <f>_xlfn.XLOOKUP(Tabla1[[#This Row],[CARRERA]],MAE_CARRERA[NOMBRE_CARRERA],MAE_CARRERA[ID_CARRERA],"Seleccione Carrera")</f>
        <v>Seleccione Carrera</v>
      </c>
      <c r="F378" s="1"/>
      <c r="G378" t="str">
        <f>_xlfn.XLOOKUP(Tabla1[[#This Row],[ASIGNATURA]],MAE_ASIGNATURA[NOM_ASIG],MAE_ASIGNATURA[ID_ASIG],"Seleccione Asignatura")</f>
        <v>Seleccione Asignatura</v>
      </c>
      <c r="H378" s="1" t="str" cm="1">
        <f t="array" ref="H378">_xlfn.TEXTJOIN("; ",TRUE,TRANSPOSE(_xlfn.UNIQUE(_xlfn._xlws.FILTER(DET_ASIG[DETALLADO],(DET_ASIG[NIVEL]=ASIGNACION!$D378)*(DET_ASIG[ID_CARRERA]=ASIGNACION!$C378)*(DET_ASIG[ID_ASIG]=ASIGNACION!$G378),"No existe información"))))</f>
        <v>No existe información</v>
      </c>
      <c r="I378" s="1"/>
      <c r="J378">
        <f>_xlfn.XLOOKUP(Tabla1[[#This Row],[ID_ASIG_CAM_DET]],MAE_ASIGNATURA[ID_ASIG],MAE_ASIGNATURA[HORAS],0)</f>
        <v>0</v>
      </c>
      <c r="K378">
        <v>4</v>
      </c>
      <c r="L378" s="2">
        <f>+Tabla1[[#This Row],[CALCULAR HORA]]*Tabla1[[#This Row],[HORAS]]</f>
        <v>0</v>
      </c>
      <c r="N378" t="str">
        <f>_xlfn.XLOOKUP(Tabla1[[#This Row],[NOMBRE_DOCENT]],MDOCENTES[DATOS_DOCENTE],MDOCENTES[DEDICACION],"Seleccione Docente")</f>
        <v>Seleccione Docente</v>
      </c>
      <c r="O378" t="str">
        <f>_xlfn.XLOOKUP(Tabla1[[#This Row],[NOMBRE_DOCENT]],MDOCENTES[DATOS_DOCENTE],MDOCENTES[ESTUDIO],"Seleccione Docente")</f>
        <v>Seleccione Docente</v>
      </c>
      <c r="P378">
        <f t="shared" si="25"/>
        <v>0</v>
      </c>
      <c r="Q378">
        <f t="shared" si="26"/>
        <v>0</v>
      </c>
      <c r="R378">
        <f t="shared" si="27"/>
        <v>0</v>
      </c>
      <c r="S378">
        <f t="shared" si="28"/>
        <v>0</v>
      </c>
      <c r="T378">
        <f t="shared" si="29"/>
        <v>0</v>
      </c>
      <c r="U378">
        <f>Tabla1[[#This Row],[HORAS NO AFINIDAD]]+Tabla1[[#This Row],[HORAS UNIDAD BASICA]]+Tabla1[[#This Row],[HORAS AFINIDAD]]</f>
        <v>0</v>
      </c>
      <c r="V378">
        <f>+Tabla1[[#This Row],[HORAS AFINIDAD]]+Tabla1[[#This Row],[HORAS ACTIVIDAD]]+Tabla1[[#This Row],[HORAS UNIDAD BASICA]]+Tabla1[[#This Row],[HORAS NO AFINIDAD]]</f>
        <v>0</v>
      </c>
    </row>
    <row r="379" spans="1:22" ht="18.75" customHeight="1">
      <c r="A379">
        <v>378</v>
      </c>
      <c r="C379" t="str">
        <f>_xlfn.XLOOKUP(Tabla1[[#This Row],[CARRERA]],MAE_CARRERA[NOMBRE_CARRERA],MAE_CARRERA[ID_CARRERA],"Seleccione Carrera")</f>
        <v>Seleccione Carrera</v>
      </c>
      <c r="F379" s="1"/>
      <c r="G379" t="str">
        <f>_xlfn.XLOOKUP(Tabla1[[#This Row],[ASIGNATURA]],MAE_ASIGNATURA[NOM_ASIG],MAE_ASIGNATURA[ID_ASIG],"Seleccione Asignatura")</f>
        <v>Seleccione Asignatura</v>
      </c>
      <c r="H379" s="1" t="str" cm="1">
        <f t="array" ref="H379">_xlfn.TEXTJOIN("; ",TRUE,TRANSPOSE(_xlfn.UNIQUE(_xlfn._xlws.FILTER(DET_ASIG[DETALLADO],(DET_ASIG[NIVEL]=ASIGNACION!$D379)*(DET_ASIG[ID_CARRERA]=ASIGNACION!$C379)*(DET_ASIG[ID_ASIG]=ASIGNACION!$G379),"No existe información"))))</f>
        <v>No existe información</v>
      </c>
      <c r="I379" s="1"/>
      <c r="J379">
        <f>_xlfn.XLOOKUP(Tabla1[[#This Row],[ID_ASIG_CAM_DET]],MAE_ASIGNATURA[ID_ASIG],MAE_ASIGNATURA[HORAS],0)</f>
        <v>0</v>
      </c>
      <c r="K379">
        <v>4</v>
      </c>
      <c r="L379" s="2">
        <f>+Tabla1[[#This Row],[CALCULAR HORA]]*Tabla1[[#This Row],[HORAS]]</f>
        <v>0</v>
      </c>
      <c r="N379" t="str">
        <f>_xlfn.XLOOKUP(Tabla1[[#This Row],[NOMBRE_DOCENT]],MDOCENTES[DATOS_DOCENTE],MDOCENTES[DEDICACION],"Seleccione Docente")</f>
        <v>Seleccione Docente</v>
      </c>
      <c r="O379" t="str">
        <f>_xlfn.XLOOKUP(Tabla1[[#This Row],[NOMBRE_DOCENT]],MDOCENTES[DATOS_DOCENTE],MDOCENTES[ESTUDIO],"Seleccione Docente")</f>
        <v>Seleccione Docente</v>
      </c>
      <c r="P379">
        <f t="shared" si="25"/>
        <v>0</v>
      </c>
      <c r="Q379">
        <f t="shared" si="26"/>
        <v>0</v>
      </c>
      <c r="R379">
        <f t="shared" si="27"/>
        <v>0</v>
      </c>
      <c r="S379">
        <f t="shared" si="28"/>
        <v>0</v>
      </c>
      <c r="T379">
        <f t="shared" si="29"/>
        <v>0</v>
      </c>
      <c r="U379">
        <f>Tabla1[[#This Row],[HORAS NO AFINIDAD]]+Tabla1[[#This Row],[HORAS UNIDAD BASICA]]+Tabla1[[#This Row],[HORAS AFINIDAD]]</f>
        <v>0</v>
      </c>
      <c r="V379">
        <f>+Tabla1[[#This Row],[HORAS AFINIDAD]]+Tabla1[[#This Row],[HORAS ACTIVIDAD]]+Tabla1[[#This Row],[HORAS UNIDAD BASICA]]+Tabla1[[#This Row],[HORAS NO AFINIDAD]]</f>
        <v>0</v>
      </c>
    </row>
    <row r="380" spans="1:22" ht="18.75" customHeight="1">
      <c r="A380">
        <v>379</v>
      </c>
      <c r="C380" t="str">
        <f>_xlfn.XLOOKUP(Tabla1[[#This Row],[CARRERA]],MAE_CARRERA[NOMBRE_CARRERA],MAE_CARRERA[ID_CARRERA],"Seleccione Carrera")</f>
        <v>Seleccione Carrera</v>
      </c>
      <c r="F380" s="1"/>
      <c r="G380" t="str">
        <f>_xlfn.XLOOKUP(Tabla1[[#This Row],[ASIGNATURA]],MAE_ASIGNATURA[NOM_ASIG],MAE_ASIGNATURA[ID_ASIG],"Seleccione Asignatura")</f>
        <v>Seleccione Asignatura</v>
      </c>
      <c r="H380" s="1" t="str" cm="1">
        <f t="array" ref="H380">_xlfn.TEXTJOIN("; ",TRUE,TRANSPOSE(_xlfn.UNIQUE(_xlfn._xlws.FILTER(DET_ASIG[DETALLADO],(DET_ASIG[NIVEL]=ASIGNACION!$D380)*(DET_ASIG[ID_CARRERA]=ASIGNACION!$C380)*(DET_ASIG[ID_ASIG]=ASIGNACION!$G380),"No existe información"))))</f>
        <v>No existe información</v>
      </c>
      <c r="I380" s="1"/>
      <c r="J380">
        <f>_xlfn.XLOOKUP(Tabla1[[#This Row],[ID_ASIG_CAM_DET]],MAE_ASIGNATURA[ID_ASIG],MAE_ASIGNATURA[HORAS],0)</f>
        <v>0</v>
      </c>
      <c r="K380">
        <v>4</v>
      </c>
      <c r="L380" s="2">
        <f>+Tabla1[[#This Row],[CALCULAR HORA]]*Tabla1[[#This Row],[HORAS]]</f>
        <v>0</v>
      </c>
      <c r="N380" t="str">
        <f>_xlfn.XLOOKUP(Tabla1[[#This Row],[NOMBRE_DOCENT]],MDOCENTES[DATOS_DOCENTE],MDOCENTES[DEDICACION],"Seleccione Docente")</f>
        <v>Seleccione Docente</v>
      </c>
      <c r="O380" t="str">
        <f>_xlfn.XLOOKUP(Tabla1[[#This Row],[NOMBRE_DOCENT]],MDOCENTES[DATOS_DOCENTE],MDOCENTES[ESTUDIO],"Seleccione Docente")</f>
        <v>Seleccione Docente</v>
      </c>
      <c r="P380">
        <f t="shared" si="25"/>
        <v>0</v>
      </c>
      <c r="Q380">
        <f t="shared" si="26"/>
        <v>0</v>
      </c>
      <c r="R380">
        <f t="shared" si="27"/>
        <v>0</v>
      </c>
      <c r="S380">
        <f t="shared" si="28"/>
        <v>0</v>
      </c>
      <c r="T380">
        <f t="shared" si="29"/>
        <v>0</v>
      </c>
      <c r="U380">
        <f>Tabla1[[#This Row],[HORAS NO AFINIDAD]]+Tabla1[[#This Row],[HORAS UNIDAD BASICA]]+Tabla1[[#This Row],[HORAS AFINIDAD]]</f>
        <v>0</v>
      </c>
      <c r="V380">
        <f>+Tabla1[[#This Row],[HORAS AFINIDAD]]+Tabla1[[#This Row],[HORAS ACTIVIDAD]]+Tabla1[[#This Row],[HORAS UNIDAD BASICA]]+Tabla1[[#This Row],[HORAS NO AFINIDAD]]</f>
        <v>0</v>
      </c>
    </row>
    <row r="381" spans="1:22" ht="18.75" customHeight="1">
      <c r="A381">
        <v>380</v>
      </c>
      <c r="C381" t="str">
        <f>_xlfn.XLOOKUP(Tabla1[[#This Row],[CARRERA]],MAE_CARRERA[NOMBRE_CARRERA],MAE_CARRERA[ID_CARRERA],"Seleccione Carrera")</f>
        <v>Seleccione Carrera</v>
      </c>
      <c r="F381" s="1"/>
      <c r="G381" t="str">
        <f>_xlfn.XLOOKUP(Tabla1[[#This Row],[ASIGNATURA]],MAE_ASIGNATURA[NOM_ASIG],MAE_ASIGNATURA[ID_ASIG],"Seleccione Asignatura")</f>
        <v>Seleccione Asignatura</v>
      </c>
      <c r="H381" s="1" t="str" cm="1">
        <f t="array" ref="H381">_xlfn.TEXTJOIN("; ",TRUE,TRANSPOSE(_xlfn.UNIQUE(_xlfn._xlws.FILTER(DET_ASIG[DETALLADO],(DET_ASIG[NIVEL]=ASIGNACION!$D381)*(DET_ASIG[ID_CARRERA]=ASIGNACION!$C381)*(DET_ASIG[ID_ASIG]=ASIGNACION!$G381),"No existe información"))))</f>
        <v>No existe información</v>
      </c>
      <c r="I381" s="1"/>
      <c r="J381">
        <f>_xlfn.XLOOKUP(Tabla1[[#This Row],[ID_ASIG_CAM_DET]],MAE_ASIGNATURA[ID_ASIG],MAE_ASIGNATURA[HORAS],0)</f>
        <v>0</v>
      </c>
      <c r="K381">
        <v>4</v>
      </c>
      <c r="L381" s="2">
        <f>+Tabla1[[#This Row],[CALCULAR HORA]]*Tabla1[[#This Row],[HORAS]]</f>
        <v>0</v>
      </c>
      <c r="N381" t="str">
        <f>_xlfn.XLOOKUP(Tabla1[[#This Row],[NOMBRE_DOCENT]],MDOCENTES[DATOS_DOCENTE],MDOCENTES[DEDICACION],"Seleccione Docente")</f>
        <v>Seleccione Docente</v>
      </c>
      <c r="O381" t="str">
        <f>_xlfn.XLOOKUP(Tabla1[[#This Row],[NOMBRE_DOCENT]],MDOCENTES[DATOS_DOCENTE],MDOCENTES[ESTUDIO],"Seleccione Docente")</f>
        <v>Seleccione Docente</v>
      </c>
      <c r="P381">
        <f t="shared" si="25"/>
        <v>0</v>
      </c>
      <c r="Q381">
        <f t="shared" si="26"/>
        <v>0</v>
      </c>
      <c r="R381">
        <f t="shared" si="27"/>
        <v>0</v>
      </c>
      <c r="S381">
        <f t="shared" si="28"/>
        <v>0</v>
      </c>
      <c r="T381">
        <f t="shared" si="29"/>
        <v>0</v>
      </c>
      <c r="U381">
        <f>Tabla1[[#This Row],[HORAS NO AFINIDAD]]+Tabla1[[#This Row],[HORAS UNIDAD BASICA]]+Tabla1[[#This Row],[HORAS AFINIDAD]]</f>
        <v>0</v>
      </c>
      <c r="V381">
        <f>+Tabla1[[#This Row],[HORAS AFINIDAD]]+Tabla1[[#This Row],[HORAS ACTIVIDAD]]+Tabla1[[#This Row],[HORAS UNIDAD BASICA]]+Tabla1[[#This Row],[HORAS NO AFINIDAD]]</f>
        <v>0</v>
      </c>
    </row>
    <row r="382" spans="1:22" ht="18.75" customHeight="1">
      <c r="A382">
        <v>381</v>
      </c>
      <c r="C382" t="str">
        <f>_xlfn.XLOOKUP(Tabla1[[#This Row],[CARRERA]],MAE_CARRERA[NOMBRE_CARRERA],MAE_CARRERA[ID_CARRERA],"Seleccione Carrera")</f>
        <v>Seleccione Carrera</v>
      </c>
      <c r="F382" s="1"/>
      <c r="G382" t="str">
        <f>_xlfn.XLOOKUP(Tabla1[[#This Row],[ASIGNATURA]],MAE_ASIGNATURA[NOM_ASIG],MAE_ASIGNATURA[ID_ASIG],"Seleccione Asignatura")</f>
        <v>Seleccione Asignatura</v>
      </c>
      <c r="H382" s="1" t="str" cm="1">
        <f t="array" ref="H382">_xlfn.TEXTJOIN("; ",TRUE,TRANSPOSE(_xlfn.UNIQUE(_xlfn._xlws.FILTER(DET_ASIG[DETALLADO],(DET_ASIG[NIVEL]=ASIGNACION!$D382)*(DET_ASIG[ID_CARRERA]=ASIGNACION!$C382)*(DET_ASIG[ID_ASIG]=ASIGNACION!$G382),"No existe información"))))</f>
        <v>No existe información</v>
      </c>
      <c r="I382" s="1"/>
      <c r="J382">
        <f>_xlfn.XLOOKUP(Tabla1[[#This Row],[ID_ASIG_CAM_DET]],MAE_ASIGNATURA[ID_ASIG],MAE_ASIGNATURA[HORAS],0)</f>
        <v>0</v>
      </c>
      <c r="K382">
        <v>4</v>
      </c>
      <c r="L382" s="2">
        <f>+Tabla1[[#This Row],[CALCULAR HORA]]*Tabla1[[#This Row],[HORAS]]</f>
        <v>0</v>
      </c>
      <c r="N382" t="str">
        <f>_xlfn.XLOOKUP(Tabla1[[#This Row],[NOMBRE_DOCENT]],MDOCENTES[DATOS_DOCENTE],MDOCENTES[DEDICACION],"Seleccione Docente")</f>
        <v>Seleccione Docente</v>
      </c>
      <c r="O382" t="str">
        <f>_xlfn.XLOOKUP(Tabla1[[#This Row],[NOMBRE_DOCENT]],MDOCENTES[DATOS_DOCENTE],MDOCENTES[ESTUDIO],"Seleccione Docente")</f>
        <v>Seleccione Docente</v>
      </c>
      <c r="P382">
        <f t="shared" si="25"/>
        <v>0</v>
      </c>
      <c r="Q382">
        <f t="shared" si="26"/>
        <v>0</v>
      </c>
      <c r="R382">
        <f t="shared" si="27"/>
        <v>0</v>
      </c>
      <c r="S382">
        <f t="shared" si="28"/>
        <v>0</v>
      </c>
      <c r="T382">
        <f t="shared" si="29"/>
        <v>0</v>
      </c>
      <c r="U382">
        <f>Tabla1[[#This Row],[HORAS NO AFINIDAD]]+Tabla1[[#This Row],[HORAS UNIDAD BASICA]]+Tabla1[[#This Row],[HORAS AFINIDAD]]</f>
        <v>0</v>
      </c>
      <c r="V382">
        <f>+Tabla1[[#This Row],[HORAS AFINIDAD]]+Tabla1[[#This Row],[HORAS ACTIVIDAD]]+Tabla1[[#This Row],[HORAS UNIDAD BASICA]]+Tabla1[[#This Row],[HORAS NO AFINIDAD]]</f>
        <v>0</v>
      </c>
    </row>
    <row r="383" spans="1:22" ht="18.75" customHeight="1">
      <c r="A383">
        <v>382</v>
      </c>
      <c r="C383" t="str">
        <f>_xlfn.XLOOKUP(Tabla1[[#This Row],[CARRERA]],MAE_CARRERA[NOMBRE_CARRERA],MAE_CARRERA[ID_CARRERA],"Seleccione Carrera")</f>
        <v>Seleccione Carrera</v>
      </c>
      <c r="F383" s="1"/>
      <c r="G383" t="str">
        <f>_xlfn.XLOOKUP(Tabla1[[#This Row],[ASIGNATURA]],MAE_ASIGNATURA[NOM_ASIG],MAE_ASIGNATURA[ID_ASIG],"Seleccione Asignatura")</f>
        <v>Seleccione Asignatura</v>
      </c>
      <c r="H383" s="1" t="str" cm="1">
        <f t="array" ref="H383">_xlfn.TEXTJOIN("; ",TRUE,TRANSPOSE(_xlfn.UNIQUE(_xlfn._xlws.FILTER(DET_ASIG[DETALLADO],(DET_ASIG[NIVEL]=ASIGNACION!$D383)*(DET_ASIG[ID_CARRERA]=ASIGNACION!$C383)*(DET_ASIG[ID_ASIG]=ASIGNACION!$G383),"No existe información"))))</f>
        <v>No existe información</v>
      </c>
      <c r="I383" s="1"/>
      <c r="J383">
        <f>_xlfn.XLOOKUP(Tabla1[[#This Row],[ID_ASIG_CAM_DET]],MAE_ASIGNATURA[ID_ASIG],MAE_ASIGNATURA[HORAS],0)</f>
        <v>0</v>
      </c>
      <c r="K383">
        <v>4</v>
      </c>
      <c r="L383" s="2">
        <f>+Tabla1[[#This Row],[CALCULAR HORA]]*Tabla1[[#This Row],[HORAS]]</f>
        <v>0</v>
      </c>
      <c r="N383" t="str">
        <f>_xlfn.XLOOKUP(Tabla1[[#This Row],[NOMBRE_DOCENT]],MDOCENTES[DATOS_DOCENTE],MDOCENTES[DEDICACION],"Seleccione Docente")</f>
        <v>Seleccione Docente</v>
      </c>
      <c r="O383" t="str">
        <f>_xlfn.XLOOKUP(Tabla1[[#This Row],[NOMBRE_DOCENT]],MDOCENTES[DATOS_DOCENTE],MDOCENTES[ESTUDIO],"Seleccione Docente")</f>
        <v>Seleccione Docente</v>
      </c>
      <c r="P383">
        <f t="shared" si="25"/>
        <v>0</v>
      </c>
      <c r="Q383">
        <f t="shared" si="26"/>
        <v>0</v>
      </c>
      <c r="R383">
        <f t="shared" si="27"/>
        <v>0</v>
      </c>
      <c r="S383">
        <f t="shared" si="28"/>
        <v>0</v>
      </c>
      <c r="T383">
        <f t="shared" si="29"/>
        <v>0</v>
      </c>
      <c r="U383">
        <f>Tabla1[[#This Row],[HORAS NO AFINIDAD]]+Tabla1[[#This Row],[HORAS UNIDAD BASICA]]+Tabla1[[#This Row],[HORAS AFINIDAD]]</f>
        <v>0</v>
      </c>
      <c r="V383">
        <f>+Tabla1[[#This Row],[HORAS AFINIDAD]]+Tabla1[[#This Row],[HORAS ACTIVIDAD]]+Tabla1[[#This Row],[HORAS UNIDAD BASICA]]+Tabla1[[#This Row],[HORAS NO AFINIDAD]]</f>
        <v>0</v>
      </c>
    </row>
    <row r="384" spans="1:22" ht="18.75" customHeight="1">
      <c r="A384">
        <v>383</v>
      </c>
      <c r="C384" t="str">
        <f>_xlfn.XLOOKUP(Tabla1[[#This Row],[CARRERA]],MAE_CARRERA[NOMBRE_CARRERA],MAE_CARRERA[ID_CARRERA],"Seleccione Carrera")</f>
        <v>Seleccione Carrera</v>
      </c>
      <c r="F384" s="1"/>
      <c r="G384" t="str">
        <f>_xlfn.XLOOKUP(Tabla1[[#This Row],[ASIGNATURA]],MAE_ASIGNATURA[NOM_ASIG],MAE_ASIGNATURA[ID_ASIG],"Seleccione Asignatura")</f>
        <v>Seleccione Asignatura</v>
      </c>
      <c r="H384" s="1" t="str" cm="1">
        <f t="array" ref="H384">_xlfn.TEXTJOIN("; ",TRUE,TRANSPOSE(_xlfn.UNIQUE(_xlfn._xlws.FILTER(DET_ASIG[DETALLADO],(DET_ASIG[NIVEL]=ASIGNACION!$D384)*(DET_ASIG[ID_CARRERA]=ASIGNACION!$C384)*(DET_ASIG[ID_ASIG]=ASIGNACION!$G384),"No existe información"))))</f>
        <v>No existe información</v>
      </c>
      <c r="I384" s="1"/>
      <c r="J384">
        <f>_xlfn.XLOOKUP(Tabla1[[#This Row],[ID_ASIG_CAM_DET]],MAE_ASIGNATURA[ID_ASIG],MAE_ASIGNATURA[HORAS],0)</f>
        <v>0</v>
      </c>
      <c r="K384">
        <v>4</v>
      </c>
      <c r="L384" s="2">
        <f>+Tabla1[[#This Row],[CALCULAR HORA]]*Tabla1[[#This Row],[HORAS]]</f>
        <v>0</v>
      </c>
      <c r="N384" t="str">
        <f>_xlfn.XLOOKUP(Tabla1[[#This Row],[NOMBRE_DOCENT]],MDOCENTES[DATOS_DOCENTE],MDOCENTES[DEDICACION],"Seleccione Docente")</f>
        <v>Seleccione Docente</v>
      </c>
      <c r="O384" t="str">
        <f>_xlfn.XLOOKUP(Tabla1[[#This Row],[NOMBRE_DOCENT]],MDOCENTES[DATOS_DOCENTE],MDOCENTES[ESTUDIO],"Seleccione Docente")</f>
        <v>Seleccione Docente</v>
      </c>
      <c r="P384">
        <f t="shared" si="25"/>
        <v>0</v>
      </c>
      <c r="Q384">
        <f t="shared" si="26"/>
        <v>0</v>
      </c>
      <c r="R384">
        <f t="shared" si="27"/>
        <v>0</v>
      </c>
      <c r="S384">
        <f t="shared" si="28"/>
        <v>0</v>
      </c>
      <c r="T384">
        <f t="shared" si="29"/>
        <v>0</v>
      </c>
      <c r="U384">
        <f>Tabla1[[#This Row],[HORAS NO AFINIDAD]]+Tabla1[[#This Row],[HORAS UNIDAD BASICA]]+Tabla1[[#This Row],[HORAS AFINIDAD]]</f>
        <v>0</v>
      </c>
      <c r="V384">
        <f>+Tabla1[[#This Row],[HORAS AFINIDAD]]+Tabla1[[#This Row],[HORAS ACTIVIDAD]]+Tabla1[[#This Row],[HORAS UNIDAD BASICA]]+Tabla1[[#This Row],[HORAS NO AFINIDAD]]</f>
        <v>0</v>
      </c>
    </row>
    <row r="385" spans="1:22" ht="18.75" customHeight="1">
      <c r="A385">
        <v>384</v>
      </c>
      <c r="C385" t="str">
        <f>_xlfn.XLOOKUP(Tabla1[[#This Row],[CARRERA]],MAE_CARRERA[NOMBRE_CARRERA],MAE_CARRERA[ID_CARRERA],"Seleccione Carrera")</f>
        <v>Seleccione Carrera</v>
      </c>
      <c r="F385" s="1"/>
      <c r="G385" t="str">
        <f>_xlfn.XLOOKUP(Tabla1[[#This Row],[ASIGNATURA]],MAE_ASIGNATURA[NOM_ASIG],MAE_ASIGNATURA[ID_ASIG],"Seleccione Asignatura")</f>
        <v>Seleccione Asignatura</v>
      </c>
      <c r="H385" s="1" t="str" cm="1">
        <f t="array" ref="H385">_xlfn.TEXTJOIN("; ",TRUE,TRANSPOSE(_xlfn.UNIQUE(_xlfn._xlws.FILTER(DET_ASIG[DETALLADO],(DET_ASIG[NIVEL]=ASIGNACION!$D385)*(DET_ASIG[ID_CARRERA]=ASIGNACION!$C385)*(DET_ASIG[ID_ASIG]=ASIGNACION!$G385),"No existe información"))))</f>
        <v>No existe información</v>
      </c>
      <c r="I385" s="1"/>
      <c r="J385">
        <f>_xlfn.XLOOKUP(Tabla1[[#This Row],[ID_ASIG_CAM_DET]],MAE_ASIGNATURA[ID_ASIG],MAE_ASIGNATURA[HORAS],0)</f>
        <v>0</v>
      </c>
      <c r="K385">
        <v>4</v>
      </c>
      <c r="L385" s="2">
        <f>+Tabla1[[#This Row],[CALCULAR HORA]]*Tabla1[[#This Row],[HORAS]]</f>
        <v>0</v>
      </c>
      <c r="N385" t="str">
        <f>_xlfn.XLOOKUP(Tabla1[[#This Row],[NOMBRE_DOCENT]],MDOCENTES[DATOS_DOCENTE],MDOCENTES[DEDICACION],"Seleccione Docente")</f>
        <v>Seleccione Docente</v>
      </c>
      <c r="O385" t="str">
        <f>_xlfn.XLOOKUP(Tabla1[[#This Row],[NOMBRE_DOCENT]],MDOCENTES[DATOS_DOCENTE],MDOCENTES[ESTUDIO],"Seleccione Docente")</f>
        <v>Seleccione Docente</v>
      </c>
      <c r="P385">
        <f t="shared" si="25"/>
        <v>0</v>
      </c>
      <c r="Q385">
        <f t="shared" si="26"/>
        <v>0</v>
      </c>
      <c r="R385">
        <f t="shared" si="27"/>
        <v>0</v>
      </c>
      <c r="S385">
        <f t="shared" si="28"/>
        <v>0</v>
      </c>
      <c r="T385">
        <f t="shared" si="29"/>
        <v>0</v>
      </c>
      <c r="U385">
        <f>Tabla1[[#This Row],[HORAS NO AFINIDAD]]+Tabla1[[#This Row],[HORAS UNIDAD BASICA]]+Tabla1[[#This Row],[HORAS AFINIDAD]]</f>
        <v>0</v>
      </c>
      <c r="V385">
        <f>+Tabla1[[#This Row],[HORAS AFINIDAD]]+Tabla1[[#This Row],[HORAS ACTIVIDAD]]+Tabla1[[#This Row],[HORAS UNIDAD BASICA]]+Tabla1[[#This Row],[HORAS NO AFINIDAD]]</f>
        <v>0</v>
      </c>
    </row>
    <row r="386" spans="1:22" ht="18.75" customHeight="1">
      <c r="A386">
        <v>385</v>
      </c>
      <c r="C386" t="str">
        <f>_xlfn.XLOOKUP(Tabla1[[#This Row],[CARRERA]],MAE_CARRERA[NOMBRE_CARRERA],MAE_CARRERA[ID_CARRERA],"Seleccione Carrera")</f>
        <v>Seleccione Carrera</v>
      </c>
      <c r="F386" s="1"/>
      <c r="G386" t="str">
        <f>_xlfn.XLOOKUP(Tabla1[[#This Row],[ASIGNATURA]],MAE_ASIGNATURA[NOM_ASIG],MAE_ASIGNATURA[ID_ASIG],"Seleccione Asignatura")</f>
        <v>Seleccione Asignatura</v>
      </c>
      <c r="H386" s="1" t="str" cm="1">
        <f t="array" ref="H386">_xlfn.TEXTJOIN("; ",TRUE,TRANSPOSE(_xlfn.UNIQUE(_xlfn._xlws.FILTER(DET_ASIG[DETALLADO],(DET_ASIG[NIVEL]=ASIGNACION!$D386)*(DET_ASIG[ID_CARRERA]=ASIGNACION!$C386)*(DET_ASIG[ID_ASIG]=ASIGNACION!$G386),"No existe información"))))</f>
        <v>No existe información</v>
      </c>
      <c r="I386" s="1"/>
      <c r="J386">
        <f>_xlfn.XLOOKUP(Tabla1[[#This Row],[ID_ASIG_CAM_DET]],MAE_ASIGNATURA[ID_ASIG],MAE_ASIGNATURA[HORAS],0)</f>
        <v>0</v>
      </c>
      <c r="K386">
        <v>4</v>
      </c>
      <c r="L386" s="2">
        <f>+Tabla1[[#This Row],[CALCULAR HORA]]*Tabla1[[#This Row],[HORAS]]</f>
        <v>0</v>
      </c>
      <c r="N386" t="str">
        <f>_xlfn.XLOOKUP(Tabla1[[#This Row],[NOMBRE_DOCENT]],MDOCENTES[DATOS_DOCENTE],MDOCENTES[DEDICACION],"Seleccione Docente")</f>
        <v>Seleccione Docente</v>
      </c>
      <c r="O386" t="str">
        <f>_xlfn.XLOOKUP(Tabla1[[#This Row],[NOMBRE_DOCENT]],MDOCENTES[DATOS_DOCENTE],MDOCENTES[ESTUDIO],"Seleccione Docente")</f>
        <v>Seleccione Docente</v>
      </c>
      <c r="P386">
        <f t="shared" ref="P386:P449" si="30">COUNTIFS($M:$M, M386, $H:$H, "&lt;&gt;ACTIVIDAD")</f>
        <v>0</v>
      </c>
      <c r="Q386">
        <f t="shared" ref="Q386:Q449" si="31">SUMIFS($L:$L, $M:$M, M386, $I:$I, "NO",$H:$H,"&lt;&gt;UNIDAD BASICA")</f>
        <v>0</v>
      </c>
      <c r="R386">
        <f t="shared" ref="R386:R449" si="32">SUMIFS($L:$L, $M:$M, M386, $H:$H, "UNIDAD BASICA",$I:$I,"NO")</f>
        <v>0</v>
      </c>
      <c r="S386">
        <f t="shared" ref="S386:S449" si="33">SUMIFS($L:$L, $M:$M, M386, $I:$I, "ACTIVIDAD")</f>
        <v>0</v>
      </c>
      <c r="T386">
        <f t="shared" ref="T386:T449" si="34">SUMIFS($L:$L, $M:$M, M386, $I:$I, "SI")</f>
        <v>0</v>
      </c>
      <c r="U386">
        <f>Tabla1[[#This Row],[HORAS NO AFINIDAD]]+Tabla1[[#This Row],[HORAS UNIDAD BASICA]]+Tabla1[[#This Row],[HORAS AFINIDAD]]</f>
        <v>0</v>
      </c>
      <c r="V386">
        <f>+Tabla1[[#This Row],[HORAS AFINIDAD]]+Tabla1[[#This Row],[HORAS ACTIVIDAD]]+Tabla1[[#This Row],[HORAS UNIDAD BASICA]]+Tabla1[[#This Row],[HORAS NO AFINIDAD]]</f>
        <v>0</v>
      </c>
    </row>
    <row r="387" spans="1:22" ht="18.75" customHeight="1">
      <c r="A387">
        <v>386</v>
      </c>
      <c r="C387" t="str">
        <f>_xlfn.XLOOKUP(Tabla1[[#This Row],[CARRERA]],MAE_CARRERA[NOMBRE_CARRERA],MAE_CARRERA[ID_CARRERA],"Seleccione Carrera")</f>
        <v>Seleccione Carrera</v>
      </c>
      <c r="F387" s="1"/>
      <c r="G387" t="str">
        <f>_xlfn.XLOOKUP(Tabla1[[#This Row],[ASIGNATURA]],MAE_ASIGNATURA[NOM_ASIG],MAE_ASIGNATURA[ID_ASIG],"Seleccione Asignatura")</f>
        <v>Seleccione Asignatura</v>
      </c>
      <c r="H387" s="1" t="str" cm="1">
        <f t="array" ref="H387">_xlfn.TEXTJOIN("; ",TRUE,TRANSPOSE(_xlfn.UNIQUE(_xlfn._xlws.FILTER(DET_ASIG[DETALLADO],(DET_ASIG[NIVEL]=ASIGNACION!$D387)*(DET_ASIG[ID_CARRERA]=ASIGNACION!$C387)*(DET_ASIG[ID_ASIG]=ASIGNACION!$G387),"No existe información"))))</f>
        <v>No existe información</v>
      </c>
      <c r="I387" s="1"/>
      <c r="J387">
        <f>_xlfn.XLOOKUP(Tabla1[[#This Row],[ID_ASIG_CAM_DET]],MAE_ASIGNATURA[ID_ASIG],MAE_ASIGNATURA[HORAS],0)</f>
        <v>0</v>
      </c>
      <c r="K387">
        <v>4</v>
      </c>
      <c r="L387" s="2">
        <f>+Tabla1[[#This Row],[CALCULAR HORA]]*Tabla1[[#This Row],[HORAS]]</f>
        <v>0</v>
      </c>
      <c r="N387" t="str">
        <f>_xlfn.XLOOKUP(Tabla1[[#This Row],[NOMBRE_DOCENT]],MDOCENTES[DATOS_DOCENTE],MDOCENTES[DEDICACION],"Seleccione Docente")</f>
        <v>Seleccione Docente</v>
      </c>
      <c r="O387" t="str">
        <f>_xlfn.XLOOKUP(Tabla1[[#This Row],[NOMBRE_DOCENT]],MDOCENTES[DATOS_DOCENTE],MDOCENTES[ESTUDIO],"Seleccione Docente")</f>
        <v>Seleccione Docente</v>
      </c>
      <c r="P387">
        <f t="shared" si="30"/>
        <v>0</v>
      </c>
      <c r="Q387">
        <f t="shared" si="31"/>
        <v>0</v>
      </c>
      <c r="R387">
        <f t="shared" si="32"/>
        <v>0</v>
      </c>
      <c r="S387">
        <f t="shared" si="33"/>
        <v>0</v>
      </c>
      <c r="T387">
        <f t="shared" si="34"/>
        <v>0</v>
      </c>
      <c r="U387">
        <f>Tabla1[[#This Row],[HORAS NO AFINIDAD]]+Tabla1[[#This Row],[HORAS UNIDAD BASICA]]+Tabla1[[#This Row],[HORAS AFINIDAD]]</f>
        <v>0</v>
      </c>
      <c r="V387">
        <f>+Tabla1[[#This Row],[HORAS AFINIDAD]]+Tabla1[[#This Row],[HORAS ACTIVIDAD]]+Tabla1[[#This Row],[HORAS UNIDAD BASICA]]+Tabla1[[#This Row],[HORAS NO AFINIDAD]]</f>
        <v>0</v>
      </c>
    </row>
    <row r="388" spans="1:22" ht="18.75" customHeight="1">
      <c r="A388">
        <v>387</v>
      </c>
      <c r="C388" t="str">
        <f>_xlfn.XLOOKUP(Tabla1[[#This Row],[CARRERA]],MAE_CARRERA[NOMBRE_CARRERA],MAE_CARRERA[ID_CARRERA],"Seleccione Carrera")</f>
        <v>Seleccione Carrera</v>
      </c>
      <c r="F388" s="1"/>
      <c r="G388" t="str">
        <f>_xlfn.XLOOKUP(Tabla1[[#This Row],[ASIGNATURA]],MAE_ASIGNATURA[NOM_ASIG],MAE_ASIGNATURA[ID_ASIG],"Seleccione Asignatura")</f>
        <v>Seleccione Asignatura</v>
      </c>
      <c r="H388" s="1" t="str" cm="1">
        <f t="array" ref="H388">_xlfn.TEXTJOIN("; ",TRUE,TRANSPOSE(_xlfn.UNIQUE(_xlfn._xlws.FILTER(DET_ASIG[DETALLADO],(DET_ASIG[NIVEL]=ASIGNACION!$D388)*(DET_ASIG[ID_CARRERA]=ASIGNACION!$C388)*(DET_ASIG[ID_ASIG]=ASIGNACION!$G388),"No existe información"))))</f>
        <v>No existe información</v>
      </c>
      <c r="I388" s="1"/>
      <c r="J388">
        <f>_xlfn.XLOOKUP(Tabla1[[#This Row],[ID_ASIG_CAM_DET]],MAE_ASIGNATURA[ID_ASIG],MAE_ASIGNATURA[HORAS],0)</f>
        <v>0</v>
      </c>
      <c r="K388">
        <v>4</v>
      </c>
      <c r="L388" s="2">
        <f>+Tabla1[[#This Row],[CALCULAR HORA]]*Tabla1[[#This Row],[HORAS]]</f>
        <v>0</v>
      </c>
      <c r="N388" t="str">
        <f>_xlfn.XLOOKUP(Tabla1[[#This Row],[NOMBRE_DOCENT]],MDOCENTES[DATOS_DOCENTE],MDOCENTES[DEDICACION],"Seleccione Docente")</f>
        <v>Seleccione Docente</v>
      </c>
      <c r="O388" t="str">
        <f>_xlfn.XLOOKUP(Tabla1[[#This Row],[NOMBRE_DOCENT]],MDOCENTES[DATOS_DOCENTE],MDOCENTES[ESTUDIO],"Seleccione Docente")</f>
        <v>Seleccione Docente</v>
      </c>
      <c r="P388">
        <f t="shared" si="30"/>
        <v>0</v>
      </c>
      <c r="Q388">
        <f t="shared" si="31"/>
        <v>0</v>
      </c>
      <c r="R388">
        <f t="shared" si="32"/>
        <v>0</v>
      </c>
      <c r="S388">
        <f t="shared" si="33"/>
        <v>0</v>
      </c>
      <c r="T388">
        <f t="shared" si="34"/>
        <v>0</v>
      </c>
      <c r="U388">
        <f>Tabla1[[#This Row],[HORAS NO AFINIDAD]]+Tabla1[[#This Row],[HORAS UNIDAD BASICA]]+Tabla1[[#This Row],[HORAS AFINIDAD]]</f>
        <v>0</v>
      </c>
      <c r="V388">
        <f>+Tabla1[[#This Row],[HORAS AFINIDAD]]+Tabla1[[#This Row],[HORAS ACTIVIDAD]]+Tabla1[[#This Row],[HORAS UNIDAD BASICA]]+Tabla1[[#This Row],[HORAS NO AFINIDAD]]</f>
        <v>0</v>
      </c>
    </row>
    <row r="389" spans="1:22" ht="18.75" customHeight="1">
      <c r="A389">
        <v>388</v>
      </c>
      <c r="C389" t="str">
        <f>_xlfn.XLOOKUP(Tabla1[[#This Row],[CARRERA]],MAE_CARRERA[NOMBRE_CARRERA],MAE_CARRERA[ID_CARRERA],"Seleccione Carrera")</f>
        <v>Seleccione Carrera</v>
      </c>
      <c r="F389" s="1"/>
      <c r="G389" t="str">
        <f>_xlfn.XLOOKUP(Tabla1[[#This Row],[ASIGNATURA]],MAE_ASIGNATURA[NOM_ASIG],MAE_ASIGNATURA[ID_ASIG],"Seleccione Asignatura")</f>
        <v>Seleccione Asignatura</v>
      </c>
      <c r="H389" s="1" t="str" cm="1">
        <f t="array" ref="H389">_xlfn.TEXTJOIN("; ",TRUE,TRANSPOSE(_xlfn.UNIQUE(_xlfn._xlws.FILTER(DET_ASIG[DETALLADO],(DET_ASIG[NIVEL]=ASIGNACION!$D389)*(DET_ASIG[ID_CARRERA]=ASIGNACION!$C389)*(DET_ASIG[ID_ASIG]=ASIGNACION!$G389),"No existe información"))))</f>
        <v>No existe información</v>
      </c>
      <c r="I389" s="1"/>
      <c r="J389">
        <f>_xlfn.XLOOKUP(Tabla1[[#This Row],[ID_ASIG_CAM_DET]],MAE_ASIGNATURA[ID_ASIG],MAE_ASIGNATURA[HORAS],0)</f>
        <v>0</v>
      </c>
      <c r="K389">
        <v>4</v>
      </c>
      <c r="L389" s="2">
        <f>+Tabla1[[#This Row],[CALCULAR HORA]]*Tabla1[[#This Row],[HORAS]]</f>
        <v>0</v>
      </c>
      <c r="N389" t="str">
        <f>_xlfn.XLOOKUP(Tabla1[[#This Row],[NOMBRE_DOCENT]],MDOCENTES[DATOS_DOCENTE],MDOCENTES[DEDICACION],"Seleccione Docente")</f>
        <v>Seleccione Docente</v>
      </c>
      <c r="O389" t="str">
        <f>_xlfn.XLOOKUP(Tabla1[[#This Row],[NOMBRE_DOCENT]],MDOCENTES[DATOS_DOCENTE],MDOCENTES[ESTUDIO],"Seleccione Docente")</f>
        <v>Seleccione Docente</v>
      </c>
      <c r="P389">
        <f t="shared" si="30"/>
        <v>0</v>
      </c>
      <c r="Q389">
        <f t="shared" si="31"/>
        <v>0</v>
      </c>
      <c r="R389">
        <f t="shared" si="32"/>
        <v>0</v>
      </c>
      <c r="S389">
        <f t="shared" si="33"/>
        <v>0</v>
      </c>
      <c r="T389">
        <f t="shared" si="34"/>
        <v>0</v>
      </c>
      <c r="U389">
        <f>Tabla1[[#This Row],[HORAS NO AFINIDAD]]+Tabla1[[#This Row],[HORAS UNIDAD BASICA]]+Tabla1[[#This Row],[HORAS AFINIDAD]]</f>
        <v>0</v>
      </c>
      <c r="V389">
        <f>+Tabla1[[#This Row],[HORAS AFINIDAD]]+Tabla1[[#This Row],[HORAS ACTIVIDAD]]+Tabla1[[#This Row],[HORAS UNIDAD BASICA]]+Tabla1[[#This Row],[HORAS NO AFINIDAD]]</f>
        <v>0</v>
      </c>
    </row>
    <row r="390" spans="1:22" ht="18.75" customHeight="1">
      <c r="A390">
        <v>389</v>
      </c>
      <c r="C390" t="str">
        <f>_xlfn.XLOOKUP(Tabla1[[#This Row],[CARRERA]],MAE_CARRERA[NOMBRE_CARRERA],MAE_CARRERA[ID_CARRERA],"Seleccione Carrera")</f>
        <v>Seleccione Carrera</v>
      </c>
      <c r="F390" s="1"/>
      <c r="G390" t="str">
        <f>_xlfn.XLOOKUP(Tabla1[[#This Row],[ASIGNATURA]],MAE_ASIGNATURA[NOM_ASIG],MAE_ASIGNATURA[ID_ASIG],"Seleccione Asignatura")</f>
        <v>Seleccione Asignatura</v>
      </c>
      <c r="H390" s="1" t="str" cm="1">
        <f t="array" ref="H390">_xlfn.TEXTJOIN("; ",TRUE,TRANSPOSE(_xlfn.UNIQUE(_xlfn._xlws.FILTER(DET_ASIG[DETALLADO],(DET_ASIG[NIVEL]=ASIGNACION!$D390)*(DET_ASIG[ID_CARRERA]=ASIGNACION!$C390)*(DET_ASIG[ID_ASIG]=ASIGNACION!$G390),"No existe información"))))</f>
        <v>No existe información</v>
      </c>
      <c r="I390" s="1"/>
      <c r="J390">
        <f>_xlfn.XLOOKUP(Tabla1[[#This Row],[ID_ASIG_CAM_DET]],MAE_ASIGNATURA[ID_ASIG],MAE_ASIGNATURA[HORAS],0)</f>
        <v>0</v>
      </c>
      <c r="K390">
        <v>4</v>
      </c>
      <c r="L390" s="2">
        <f>+Tabla1[[#This Row],[CALCULAR HORA]]*Tabla1[[#This Row],[HORAS]]</f>
        <v>0</v>
      </c>
      <c r="N390" t="str">
        <f>_xlfn.XLOOKUP(Tabla1[[#This Row],[NOMBRE_DOCENT]],MDOCENTES[DATOS_DOCENTE],MDOCENTES[DEDICACION],"Seleccione Docente")</f>
        <v>Seleccione Docente</v>
      </c>
      <c r="O390" t="str">
        <f>_xlfn.XLOOKUP(Tabla1[[#This Row],[NOMBRE_DOCENT]],MDOCENTES[DATOS_DOCENTE],MDOCENTES[ESTUDIO],"Seleccione Docente")</f>
        <v>Seleccione Docente</v>
      </c>
      <c r="P390">
        <f t="shared" si="30"/>
        <v>0</v>
      </c>
      <c r="Q390">
        <f t="shared" si="31"/>
        <v>0</v>
      </c>
      <c r="R390">
        <f t="shared" si="32"/>
        <v>0</v>
      </c>
      <c r="S390">
        <f t="shared" si="33"/>
        <v>0</v>
      </c>
      <c r="T390">
        <f t="shared" si="34"/>
        <v>0</v>
      </c>
      <c r="U390">
        <f>Tabla1[[#This Row],[HORAS NO AFINIDAD]]+Tabla1[[#This Row],[HORAS UNIDAD BASICA]]+Tabla1[[#This Row],[HORAS AFINIDAD]]</f>
        <v>0</v>
      </c>
      <c r="V390">
        <f>+Tabla1[[#This Row],[HORAS AFINIDAD]]+Tabla1[[#This Row],[HORAS ACTIVIDAD]]+Tabla1[[#This Row],[HORAS UNIDAD BASICA]]+Tabla1[[#This Row],[HORAS NO AFINIDAD]]</f>
        <v>0</v>
      </c>
    </row>
    <row r="391" spans="1:22" ht="18.75" customHeight="1">
      <c r="A391">
        <v>390</v>
      </c>
      <c r="C391" t="str">
        <f>_xlfn.XLOOKUP(Tabla1[[#This Row],[CARRERA]],MAE_CARRERA[NOMBRE_CARRERA],MAE_CARRERA[ID_CARRERA],"Seleccione Carrera")</f>
        <v>Seleccione Carrera</v>
      </c>
      <c r="F391" s="1"/>
      <c r="G391" t="str">
        <f>_xlfn.XLOOKUP(Tabla1[[#This Row],[ASIGNATURA]],MAE_ASIGNATURA[NOM_ASIG],MAE_ASIGNATURA[ID_ASIG],"Seleccione Asignatura")</f>
        <v>Seleccione Asignatura</v>
      </c>
      <c r="H391" s="1" t="str" cm="1">
        <f t="array" ref="H391">_xlfn.TEXTJOIN("; ",TRUE,TRANSPOSE(_xlfn.UNIQUE(_xlfn._xlws.FILTER(DET_ASIG[DETALLADO],(DET_ASIG[NIVEL]=ASIGNACION!$D391)*(DET_ASIG[ID_CARRERA]=ASIGNACION!$C391)*(DET_ASIG[ID_ASIG]=ASIGNACION!$G391),"No existe información"))))</f>
        <v>No existe información</v>
      </c>
      <c r="I391" s="1"/>
      <c r="J391">
        <f>_xlfn.XLOOKUP(Tabla1[[#This Row],[ID_ASIG_CAM_DET]],MAE_ASIGNATURA[ID_ASIG],MAE_ASIGNATURA[HORAS],0)</f>
        <v>0</v>
      </c>
      <c r="K391">
        <v>4</v>
      </c>
      <c r="L391" s="2">
        <f>+Tabla1[[#This Row],[CALCULAR HORA]]*Tabla1[[#This Row],[HORAS]]</f>
        <v>0</v>
      </c>
      <c r="N391" t="str">
        <f>_xlfn.XLOOKUP(Tabla1[[#This Row],[NOMBRE_DOCENT]],MDOCENTES[DATOS_DOCENTE],MDOCENTES[DEDICACION],"Seleccione Docente")</f>
        <v>Seleccione Docente</v>
      </c>
      <c r="O391" t="str">
        <f>_xlfn.XLOOKUP(Tabla1[[#This Row],[NOMBRE_DOCENT]],MDOCENTES[DATOS_DOCENTE],MDOCENTES[ESTUDIO],"Seleccione Docente")</f>
        <v>Seleccione Docente</v>
      </c>
      <c r="P391">
        <f t="shared" si="30"/>
        <v>0</v>
      </c>
      <c r="Q391">
        <f t="shared" si="31"/>
        <v>0</v>
      </c>
      <c r="R391">
        <f t="shared" si="32"/>
        <v>0</v>
      </c>
      <c r="S391">
        <f t="shared" si="33"/>
        <v>0</v>
      </c>
      <c r="T391">
        <f t="shared" si="34"/>
        <v>0</v>
      </c>
      <c r="U391">
        <f>Tabla1[[#This Row],[HORAS NO AFINIDAD]]+Tabla1[[#This Row],[HORAS UNIDAD BASICA]]+Tabla1[[#This Row],[HORAS AFINIDAD]]</f>
        <v>0</v>
      </c>
      <c r="V391">
        <f>+Tabla1[[#This Row],[HORAS AFINIDAD]]+Tabla1[[#This Row],[HORAS ACTIVIDAD]]+Tabla1[[#This Row],[HORAS UNIDAD BASICA]]+Tabla1[[#This Row],[HORAS NO AFINIDAD]]</f>
        <v>0</v>
      </c>
    </row>
    <row r="392" spans="1:22" ht="18.75" customHeight="1">
      <c r="A392">
        <v>391</v>
      </c>
      <c r="C392" t="str">
        <f>_xlfn.XLOOKUP(Tabla1[[#This Row],[CARRERA]],MAE_CARRERA[NOMBRE_CARRERA],MAE_CARRERA[ID_CARRERA],"Seleccione Carrera")</f>
        <v>Seleccione Carrera</v>
      </c>
      <c r="F392" s="1"/>
      <c r="G392" t="str">
        <f>_xlfn.XLOOKUP(Tabla1[[#This Row],[ASIGNATURA]],MAE_ASIGNATURA[NOM_ASIG],MAE_ASIGNATURA[ID_ASIG],"Seleccione Asignatura")</f>
        <v>Seleccione Asignatura</v>
      </c>
      <c r="H392" s="1" t="str" cm="1">
        <f t="array" ref="H392">_xlfn.TEXTJOIN("; ",TRUE,TRANSPOSE(_xlfn.UNIQUE(_xlfn._xlws.FILTER(DET_ASIG[DETALLADO],(DET_ASIG[NIVEL]=ASIGNACION!$D392)*(DET_ASIG[ID_CARRERA]=ASIGNACION!$C392)*(DET_ASIG[ID_ASIG]=ASIGNACION!$G392),"No existe información"))))</f>
        <v>No existe información</v>
      </c>
      <c r="I392" s="1"/>
      <c r="J392">
        <f>_xlfn.XLOOKUP(Tabla1[[#This Row],[ID_ASIG_CAM_DET]],MAE_ASIGNATURA[ID_ASIG],MAE_ASIGNATURA[HORAS],0)</f>
        <v>0</v>
      </c>
      <c r="K392">
        <v>4</v>
      </c>
      <c r="L392" s="2">
        <f>+Tabla1[[#This Row],[CALCULAR HORA]]*Tabla1[[#This Row],[HORAS]]</f>
        <v>0</v>
      </c>
      <c r="N392" t="str">
        <f>_xlfn.XLOOKUP(Tabla1[[#This Row],[NOMBRE_DOCENT]],MDOCENTES[DATOS_DOCENTE],MDOCENTES[DEDICACION],"Seleccione Docente")</f>
        <v>Seleccione Docente</v>
      </c>
      <c r="O392" t="str">
        <f>_xlfn.XLOOKUP(Tabla1[[#This Row],[NOMBRE_DOCENT]],MDOCENTES[DATOS_DOCENTE],MDOCENTES[ESTUDIO],"Seleccione Docente")</f>
        <v>Seleccione Docente</v>
      </c>
      <c r="P392">
        <f t="shared" si="30"/>
        <v>0</v>
      </c>
      <c r="Q392">
        <f t="shared" si="31"/>
        <v>0</v>
      </c>
      <c r="R392">
        <f t="shared" si="32"/>
        <v>0</v>
      </c>
      <c r="S392">
        <f t="shared" si="33"/>
        <v>0</v>
      </c>
      <c r="T392">
        <f t="shared" si="34"/>
        <v>0</v>
      </c>
      <c r="U392">
        <f>Tabla1[[#This Row],[HORAS NO AFINIDAD]]+Tabla1[[#This Row],[HORAS UNIDAD BASICA]]+Tabla1[[#This Row],[HORAS AFINIDAD]]</f>
        <v>0</v>
      </c>
      <c r="V392">
        <f>+Tabla1[[#This Row],[HORAS AFINIDAD]]+Tabla1[[#This Row],[HORAS ACTIVIDAD]]+Tabla1[[#This Row],[HORAS UNIDAD BASICA]]+Tabla1[[#This Row],[HORAS NO AFINIDAD]]</f>
        <v>0</v>
      </c>
    </row>
    <row r="393" spans="1:22" ht="18.75" customHeight="1">
      <c r="A393">
        <v>392</v>
      </c>
      <c r="C393" t="str">
        <f>_xlfn.XLOOKUP(Tabla1[[#This Row],[CARRERA]],MAE_CARRERA[NOMBRE_CARRERA],MAE_CARRERA[ID_CARRERA],"Seleccione Carrera")</f>
        <v>Seleccione Carrera</v>
      </c>
      <c r="F393" s="1"/>
      <c r="G393" t="str">
        <f>_xlfn.XLOOKUP(Tabla1[[#This Row],[ASIGNATURA]],MAE_ASIGNATURA[NOM_ASIG],MAE_ASIGNATURA[ID_ASIG],"Seleccione Asignatura")</f>
        <v>Seleccione Asignatura</v>
      </c>
      <c r="H393" s="1" t="str" cm="1">
        <f t="array" ref="H393">_xlfn.TEXTJOIN("; ",TRUE,TRANSPOSE(_xlfn.UNIQUE(_xlfn._xlws.FILTER(DET_ASIG[DETALLADO],(DET_ASIG[NIVEL]=ASIGNACION!$D393)*(DET_ASIG[ID_CARRERA]=ASIGNACION!$C393)*(DET_ASIG[ID_ASIG]=ASIGNACION!$G393),"No existe información"))))</f>
        <v>No existe información</v>
      </c>
      <c r="I393" s="1"/>
      <c r="J393">
        <f>_xlfn.XLOOKUP(Tabla1[[#This Row],[ID_ASIG_CAM_DET]],MAE_ASIGNATURA[ID_ASIG],MAE_ASIGNATURA[HORAS],0)</f>
        <v>0</v>
      </c>
      <c r="K393">
        <v>4</v>
      </c>
      <c r="L393" s="2">
        <f>+Tabla1[[#This Row],[CALCULAR HORA]]*Tabla1[[#This Row],[HORAS]]</f>
        <v>0</v>
      </c>
      <c r="N393" t="str">
        <f>_xlfn.XLOOKUP(Tabla1[[#This Row],[NOMBRE_DOCENT]],MDOCENTES[DATOS_DOCENTE],MDOCENTES[DEDICACION],"Seleccione Docente")</f>
        <v>Seleccione Docente</v>
      </c>
      <c r="O393" t="str">
        <f>_xlfn.XLOOKUP(Tabla1[[#This Row],[NOMBRE_DOCENT]],MDOCENTES[DATOS_DOCENTE],MDOCENTES[ESTUDIO],"Seleccione Docente")</f>
        <v>Seleccione Docente</v>
      </c>
      <c r="P393">
        <f t="shared" si="30"/>
        <v>0</v>
      </c>
      <c r="Q393">
        <f t="shared" si="31"/>
        <v>0</v>
      </c>
      <c r="R393">
        <f t="shared" si="32"/>
        <v>0</v>
      </c>
      <c r="S393">
        <f t="shared" si="33"/>
        <v>0</v>
      </c>
      <c r="T393">
        <f t="shared" si="34"/>
        <v>0</v>
      </c>
      <c r="U393">
        <f>Tabla1[[#This Row],[HORAS NO AFINIDAD]]+Tabla1[[#This Row],[HORAS UNIDAD BASICA]]+Tabla1[[#This Row],[HORAS AFINIDAD]]</f>
        <v>0</v>
      </c>
      <c r="V393">
        <f>+Tabla1[[#This Row],[HORAS AFINIDAD]]+Tabla1[[#This Row],[HORAS ACTIVIDAD]]+Tabla1[[#This Row],[HORAS UNIDAD BASICA]]+Tabla1[[#This Row],[HORAS NO AFINIDAD]]</f>
        <v>0</v>
      </c>
    </row>
    <row r="394" spans="1:22" ht="18.75" customHeight="1">
      <c r="A394">
        <v>393</v>
      </c>
      <c r="C394" t="str">
        <f>_xlfn.XLOOKUP(Tabla1[[#This Row],[CARRERA]],MAE_CARRERA[NOMBRE_CARRERA],MAE_CARRERA[ID_CARRERA],"Seleccione Carrera")</f>
        <v>Seleccione Carrera</v>
      </c>
      <c r="F394" s="1"/>
      <c r="G394" t="str">
        <f>_xlfn.XLOOKUP(Tabla1[[#This Row],[ASIGNATURA]],MAE_ASIGNATURA[NOM_ASIG],MAE_ASIGNATURA[ID_ASIG],"Seleccione Asignatura")</f>
        <v>Seleccione Asignatura</v>
      </c>
      <c r="H394" s="1" t="str" cm="1">
        <f t="array" ref="H394">_xlfn.TEXTJOIN("; ",TRUE,TRANSPOSE(_xlfn.UNIQUE(_xlfn._xlws.FILTER(DET_ASIG[DETALLADO],(DET_ASIG[NIVEL]=ASIGNACION!$D394)*(DET_ASIG[ID_CARRERA]=ASIGNACION!$C394)*(DET_ASIG[ID_ASIG]=ASIGNACION!$G394),"No existe información"))))</f>
        <v>No existe información</v>
      </c>
      <c r="I394" s="1"/>
      <c r="J394">
        <f>_xlfn.XLOOKUP(Tabla1[[#This Row],[ID_ASIG_CAM_DET]],MAE_ASIGNATURA[ID_ASIG],MAE_ASIGNATURA[HORAS],0)</f>
        <v>0</v>
      </c>
      <c r="K394">
        <v>4</v>
      </c>
      <c r="L394" s="2">
        <f>+Tabla1[[#This Row],[CALCULAR HORA]]*Tabla1[[#This Row],[HORAS]]</f>
        <v>0</v>
      </c>
      <c r="N394" t="str">
        <f>_xlfn.XLOOKUP(Tabla1[[#This Row],[NOMBRE_DOCENT]],MDOCENTES[DATOS_DOCENTE],MDOCENTES[DEDICACION],"Seleccione Docente")</f>
        <v>Seleccione Docente</v>
      </c>
      <c r="O394" t="str">
        <f>_xlfn.XLOOKUP(Tabla1[[#This Row],[NOMBRE_DOCENT]],MDOCENTES[DATOS_DOCENTE],MDOCENTES[ESTUDIO],"Seleccione Docente")</f>
        <v>Seleccione Docente</v>
      </c>
      <c r="P394">
        <f t="shared" si="30"/>
        <v>0</v>
      </c>
      <c r="Q394">
        <f t="shared" si="31"/>
        <v>0</v>
      </c>
      <c r="R394">
        <f t="shared" si="32"/>
        <v>0</v>
      </c>
      <c r="S394">
        <f t="shared" si="33"/>
        <v>0</v>
      </c>
      <c r="T394">
        <f t="shared" si="34"/>
        <v>0</v>
      </c>
      <c r="U394">
        <f>Tabla1[[#This Row],[HORAS NO AFINIDAD]]+Tabla1[[#This Row],[HORAS UNIDAD BASICA]]+Tabla1[[#This Row],[HORAS AFINIDAD]]</f>
        <v>0</v>
      </c>
      <c r="V394">
        <f>+Tabla1[[#This Row],[HORAS AFINIDAD]]+Tabla1[[#This Row],[HORAS ACTIVIDAD]]+Tabla1[[#This Row],[HORAS UNIDAD BASICA]]+Tabla1[[#This Row],[HORAS NO AFINIDAD]]</f>
        <v>0</v>
      </c>
    </row>
    <row r="395" spans="1:22" ht="18.75" customHeight="1">
      <c r="A395">
        <v>394</v>
      </c>
      <c r="C395" t="str">
        <f>_xlfn.XLOOKUP(Tabla1[[#This Row],[CARRERA]],MAE_CARRERA[NOMBRE_CARRERA],MAE_CARRERA[ID_CARRERA],"Seleccione Carrera")</f>
        <v>Seleccione Carrera</v>
      </c>
      <c r="F395" s="1"/>
      <c r="G395" t="str">
        <f>_xlfn.XLOOKUP(Tabla1[[#This Row],[ASIGNATURA]],MAE_ASIGNATURA[NOM_ASIG],MAE_ASIGNATURA[ID_ASIG],"Seleccione Asignatura")</f>
        <v>Seleccione Asignatura</v>
      </c>
      <c r="H395" s="1" t="str" cm="1">
        <f t="array" ref="H395">_xlfn.TEXTJOIN("; ",TRUE,TRANSPOSE(_xlfn.UNIQUE(_xlfn._xlws.FILTER(DET_ASIG[DETALLADO],(DET_ASIG[NIVEL]=ASIGNACION!$D395)*(DET_ASIG[ID_CARRERA]=ASIGNACION!$C395)*(DET_ASIG[ID_ASIG]=ASIGNACION!$G395),"No existe información"))))</f>
        <v>No existe información</v>
      </c>
      <c r="I395" s="1"/>
      <c r="J395">
        <f>_xlfn.XLOOKUP(Tabla1[[#This Row],[ID_ASIG_CAM_DET]],MAE_ASIGNATURA[ID_ASIG],MAE_ASIGNATURA[HORAS],0)</f>
        <v>0</v>
      </c>
      <c r="K395">
        <v>4</v>
      </c>
      <c r="L395" s="2">
        <f>+Tabla1[[#This Row],[CALCULAR HORA]]*Tabla1[[#This Row],[HORAS]]</f>
        <v>0</v>
      </c>
      <c r="N395" t="str">
        <f>_xlfn.XLOOKUP(Tabla1[[#This Row],[NOMBRE_DOCENT]],MDOCENTES[DATOS_DOCENTE],MDOCENTES[DEDICACION],"Seleccione Docente")</f>
        <v>Seleccione Docente</v>
      </c>
      <c r="O395" t="str">
        <f>_xlfn.XLOOKUP(Tabla1[[#This Row],[NOMBRE_DOCENT]],MDOCENTES[DATOS_DOCENTE],MDOCENTES[ESTUDIO],"Seleccione Docente")</f>
        <v>Seleccione Docente</v>
      </c>
      <c r="P395">
        <f t="shared" si="30"/>
        <v>0</v>
      </c>
      <c r="Q395">
        <f t="shared" si="31"/>
        <v>0</v>
      </c>
      <c r="R395">
        <f t="shared" si="32"/>
        <v>0</v>
      </c>
      <c r="S395">
        <f t="shared" si="33"/>
        <v>0</v>
      </c>
      <c r="T395">
        <f t="shared" si="34"/>
        <v>0</v>
      </c>
      <c r="U395">
        <f>Tabla1[[#This Row],[HORAS NO AFINIDAD]]+Tabla1[[#This Row],[HORAS UNIDAD BASICA]]+Tabla1[[#This Row],[HORAS AFINIDAD]]</f>
        <v>0</v>
      </c>
      <c r="V395">
        <f>+Tabla1[[#This Row],[HORAS AFINIDAD]]+Tabla1[[#This Row],[HORAS ACTIVIDAD]]+Tabla1[[#This Row],[HORAS UNIDAD BASICA]]+Tabla1[[#This Row],[HORAS NO AFINIDAD]]</f>
        <v>0</v>
      </c>
    </row>
    <row r="396" spans="1:22" ht="18.75" customHeight="1">
      <c r="A396">
        <v>395</v>
      </c>
      <c r="C396" t="str">
        <f>_xlfn.XLOOKUP(Tabla1[[#This Row],[CARRERA]],MAE_CARRERA[NOMBRE_CARRERA],MAE_CARRERA[ID_CARRERA],"Seleccione Carrera")</f>
        <v>Seleccione Carrera</v>
      </c>
      <c r="F396" s="1"/>
      <c r="G396" t="str">
        <f>_xlfn.XLOOKUP(Tabla1[[#This Row],[ASIGNATURA]],MAE_ASIGNATURA[NOM_ASIG],MAE_ASIGNATURA[ID_ASIG],"Seleccione Asignatura")</f>
        <v>Seleccione Asignatura</v>
      </c>
      <c r="H396" s="1" t="str" cm="1">
        <f t="array" ref="H396">_xlfn.TEXTJOIN("; ",TRUE,TRANSPOSE(_xlfn.UNIQUE(_xlfn._xlws.FILTER(DET_ASIG[DETALLADO],(DET_ASIG[NIVEL]=ASIGNACION!$D396)*(DET_ASIG[ID_CARRERA]=ASIGNACION!$C396)*(DET_ASIG[ID_ASIG]=ASIGNACION!$G396),"No existe información"))))</f>
        <v>No existe información</v>
      </c>
      <c r="I396" s="1"/>
      <c r="J396">
        <f>_xlfn.XLOOKUP(Tabla1[[#This Row],[ID_ASIG_CAM_DET]],MAE_ASIGNATURA[ID_ASIG],MAE_ASIGNATURA[HORAS],0)</f>
        <v>0</v>
      </c>
      <c r="K396">
        <v>4</v>
      </c>
      <c r="L396" s="2">
        <f>+Tabla1[[#This Row],[CALCULAR HORA]]*Tabla1[[#This Row],[HORAS]]</f>
        <v>0</v>
      </c>
      <c r="N396" t="str">
        <f>_xlfn.XLOOKUP(Tabla1[[#This Row],[NOMBRE_DOCENT]],MDOCENTES[DATOS_DOCENTE],MDOCENTES[DEDICACION],"Seleccione Docente")</f>
        <v>Seleccione Docente</v>
      </c>
      <c r="O396" t="str">
        <f>_xlfn.XLOOKUP(Tabla1[[#This Row],[NOMBRE_DOCENT]],MDOCENTES[DATOS_DOCENTE],MDOCENTES[ESTUDIO],"Seleccione Docente")</f>
        <v>Seleccione Docente</v>
      </c>
      <c r="P396">
        <f t="shared" si="30"/>
        <v>0</v>
      </c>
      <c r="Q396">
        <f t="shared" si="31"/>
        <v>0</v>
      </c>
      <c r="R396">
        <f t="shared" si="32"/>
        <v>0</v>
      </c>
      <c r="S396">
        <f t="shared" si="33"/>
        <v>0</v>
      </c>
      <c r="T396">
        <f t="shared" si="34"/>
        <v>0</v>
      </c>
      <c r="U396">
        <f>Tabla1[[#This Row],[HORAS NO AFINIDAD]]+Tabla1[[#This Row],[HORAS UNIDAD BASICA]]+Tabla1[[#This Row],[HORAS AFINIDAD]]</f>
        <v>0</v>
      </c>
      <c r="V396">
        <f>+Tabla1[[#This Row],[HORAS AFINIDAD]]+Tabla1[[#This Row],[HORAS ACTIVIDAD]]+Tabla1[[#This Row],[HORAS UNIDAD BASICA]]+Tabla1[[#This Row],[HORAS NO AFINIDAD]]</f>
        <v>0</v>
      </c>
    </row>
    <row r="397" spans="1:22" ht="18.75" customHeight="1">
      <c r="A397">
        <v>396</v>
      </c>
      <c r="C397" t="str">
        <f>_xlfn.XLOOKUP(Tabla1[[#This Row],[CARRERA]],MAE_CARRERA[NOMBRE_CARRERA],MAE_CARRERA[ID_CARRERA],"Seleccione Carrera")</f>
        <v>Seleccione Carrera</v>
      </c>
      <c r="F397" s="1"/>
      <c r="G397" t="str">
        <f>_xlfn.XLOOKUP(Tabla1[[#This Row],[ASIGNATURA]],MAE_ASIGNATURA[NOM_ASIG],MAE_ASIGNATURA[ID_ASIG],"Seleccione Asignatura")</f>
        <v>Seleccione Asignatura</v>
      </c>
      <c r="H397" s="1" t="str" cm="1">
        <f t="array" ref="H397">_xlfn.TEXTJOIN("; ",TRUE,TRANSPOSE(_xlfn.UNIQUE(_xlfn._xlws.FILTER(DET_ASIG[DETALLADO],(DET_ASIG[NIVEL]=ASIGNACION!$D397)*(DET_ASIG[ID_CARRERA]=ASIGNACION!$C397)*(DET_ASIG[ID_ASIG]=ASIGNACION!$G397),"No existe información"))))</f>
        <v>No existe información</v>
      </c>
      <c r="I397" s="1"/>
      <c r="J397">
        <f>_xlfn.XLOOKUP(Tabla1[[#This Row],[ID_ASIG_CAM_DET]],MAE_ASIGNATURA[ID_ASIG],MAE_ASIGNATURA[HORAS],0)</f>
        <v>0</v>
      </c>
      <c r="K397">
        <v>4</v>
      </c>
      <c r="L397" s="2">
        <f>+Tabla1[[#This Row],[CALCULAR HORA]]*Tabla1[[#This Row],[HORAS]]</f>
        <v>0</v>
      </c>
      <c r="N397" t="str">
        <f>_xlfn.XLOOKUP(Tabla1[[#This Row],[NOMBRE_DOCENT]],MDOCENTES[DATOS_DOCENTE],MDOCENTES[DEDICACION],"Seleccione Docente")</f>
        <v>Seleccione Docente</v>
      </c>
      <c r="O397" t="str">
        <f>_xlfn.XLOOKUP(Tabla1[[#This Row],[NOMBRE_DOCENT]],MDOCENTES[DATOS_DOCENTE],MDOCENTES[ESTUDIO],"Seleccione Docente")</f>
        <v>Seleccione Docente</v>
      </c>
      <c r="P397">
        <f t="shared" si="30"/>
        <v>0</v>
      </c>
      <c r="Q397">
        <f t="shared" si="31"/>
        <v>0</v>
      </c>
      <c r="R397">
        <f t="shared" si="32"/>
        <v>0</v>
      </c>
      <c r="S397">
        <f t="shared" si="33"/>
        <v>0</v>
      </c>
      <c r="T397">
        <f t="shared" si="34"/>
        <v>0</v>
      </c>
      <c r="U397">
        <f>Tabla1[[#This Row],[HORAS NO AFINIDAD]]+Tabla1[[#This Row],[HORAS UNIDAD BASICA]]+Tabla1[[#This Row],[HORAS AFINIDAD]]</f>
        <v>0</v>
      </c>
      <c r="V397">
        <f>+Tabla1[[#This Row],[HORAS AFINIDAD]]+Tabla1[[#This Row],[HORAS ACTIVIDAD]]+Tabla1[[#This Row],[HORAS UNIDAD BASICA]]+Tabla1[[#This Row],[HORAS NO AFINIDAD]]</f>
        <v>0</v>
      </c>
    </row>
    <row r="398" spans="1:22" ht="18.75" customHeight="1">
      <c r="A398">
        <v>397</v>
      </c>
      <c r="C398" t="str">
        <f>_xlfn.XLOOKUP(Tabla1[[#This Row],[CARRERA]],MAE_CARRERA[NOMBRE_CARRERA],MAE_CARRERA[ID_CARRERA],"Seleccione Carrera")</f>
        <v>Seleccione Carrera</v>
      </c>
      <c r="F398" s="1"/>
      <c r="G398" t="str">
        <f>_xlfn.XLOOKUP(Tabla1[[#This Row],[ASIGNATURA]],MAE_ASIGNATURA[NOM_ASIG],MAE_ASIGNATURA[ID_ASIG],"Seleccione Asignatura")</f>
        <v>Seleccione Asignatura</v>
      </c>
      <c r="H398" s="1" t="str" cm="1">
        <f t="array" ref="H398">_xlfn.TEXTJOIN("; ",TRUE,TRANSPOSE(_xlfn.UNIQUE(_xlfn._xlws.FILTER(DET_ASIG[DETALLADO],(DET_ASIG[NIVEL]=ASIGNACION!$D398)*(DET_ASIG[ID_CARRERA]=ASIGNACION!$C398)*(DET_ASIG[ID_ASIG]=ASIGNACION!$G398),"No existe información"))))</f>
        <v>No existe información</v>
      </c>
      <c r="I398" s="1"/>
      <c r="J398">
        <f>_xlfn.XLOOKUP(Tabla1[[#This Row],[ID_ASIG_CAM_DET]],MAE_ASIGNATURA[ID_ASIG],MAE_ASIGNATURA[HORAS],0)</f>
        <v>0</v>
      </c>
      <c r="K398">
        <v>4</v>
      </c>
      <c r="L398" s="2">
        <f>+Tabla1[[#This Row],[CALCULAR HORA]]*Tabla1[[#This Row],[HORAS]]</f>
        <v>0</v>
      </c>
      <c r="N398" t="str">
        <f>_xlfn.XLOOKUP(Tabla1[[#This Row],[NOMBRE_DOCENT]],MDOCENTES[DATOS_DOCENTE],MDOCENTES[DEDICACION],"Seleccione Docente")</f>
        <v>Seleccione Docente</v>
      </c>
      <c r="O398" t="str">
        <f>_xlfn.XLOOKUP(Tabla1[[#This Row],[NOMBRE_DOCENT]],MDOCENTES[DATOS_DOCENTE],MDOCENTES[ESTUDIO],"Seleccione Docente")</f>
        <v>Seleccione Docente</v>
      </c>
      <c r="P398">
        <f t="shared" si="30"/>
        <v>0</v>
      </c>
      <c r="Q398">
        <f t="shared" si="31"/>
        <v>0</v>
      </c>
      <c r="R398">
        <f t="shared" si="32"/>
        <v>0</v>
      </c>
      <c r="S398">
        <f t="shared" si="33"/>
        <v>0</v>
      </c>
      <c r="T398">
        <f t="shared" si="34"/>
        <v>0</v>
      </c>
      <c r="U398">
        <f>Tabla1[[#This Row],[HORAS NO AFINIDAD]]+Tabla1[[#This Row],[HORAS UNIDAD BASICA]]+Tabla1[[#This Row],[HORAS AFINIDAD]]</f>
        <v>0</v>
      </c>
      <c r="V398">
        <f>+Tabla1[[#This Row],[HORAS AFINIDAD]]+Tabla1[[#This Row],[HORAS ACTIVIDAD]]+Tabla1[[#This Row],[HORAS UNIDAD BASICA]]+Tabla1[[#This Row],[HORAS NO AFINIDAD]]</f>
        <v>0</v>
      </c>
    </row>
    <row r="399" spans="1:22" ht="18.75" customHeight="1">
      <c r="A399">
        <v>398</v>
      </c>
      <c r="C399" t="str">
        <f>_xlfn.XLOOKUP(Tabla1[[#This Row],[CARRERA]],MAE_CARRERA[NOMBRE_CARRERA],MAE_CARRERA[ID_CARRERA],"Seleccione Carrera")</f>
        <v>Seleccione Carrera</v>
      </c>
      <c r="F399" s="1"/>
      <c r="G399" t="str">
        <f>_xlfn.XLOOKUP(Tabla1[[#This Row],[ASIGNATURA]],MAE_ASIGNATURA[NOM_ASIG],MAE_ASIGNATURA[ID_ASIG],"Seleccione Asignatura")</f>
        <v>Seleccione Asignatura</v>
      </c>
      <c r="H399" s="1" t="str" cm="1">
        <f t="array" ref="H399">_xlfn.TEXTJOIN("; ",TRUE,TRANSPOSE(_xlfn.UNIQUE(_xlfn._xlws.FILTER(DET_ASIG[DETALLADO],(DET_ASIG[NIVEL]=ASIGNACION!$D399)*(DET_ASIG[ID_CARRERA]=ASIGNACION!$C399)*(DET_ASIG[ID_ASIG]=ASIGNACION!$G399),"No existe información"))))</f>
        <v>No existe información</v>
      </c>
      <c r="I399" s="1"/>
      <c r="J399">
        <f>_xlfn.XLOOKUP(Tabla1[[#This Row],[ID_ASIG_CAM_DET]],MAE_ASIGNATURA[ID_ASIG],MAE_ASIGNATURA[HORAS],0)</f>
        <v>0</v>
      </c>
      <c r="K399">
        <v>4</v>
      </c>
      <c r="L399" s="2">
        <f>+Tabla1[[#This Row],[CALCULAR HORA]]*Tabla1[[#This Row],[HORAS]]</f>
        <v>0</v>
      </c>
      <c r="N399" t="str">
        <f>_xlfn.XLOOKUP(Tabla1[[#This Row],[NOMBRE_DOCENT]],MDOCENTES[DATOS_DOCENTE],MDOCENTES[DEDICACION],"Seleccione Docente")</f>
        <v>Seleccione Docente</v>
      </c>
      <c r="O399" t="str">
        <f>_xlfn.XLOOKUP(Tabla1[[#This Row],[NOMBRE_DOCENT]],MDOCENTES[DATOS_DOCENTE],MDOCENTES[ESTUDIO],"Seleccione Docente")</f>
        <v>Seleccione Docente</v>
      </c>
      <c r="P399">
        <f t="shared" si="30"/>
        <v>0</v>
      </c>
      <c r="Q399">
        <f t="shared" si="31"/>
        <v>0</v>
      </c>
      <c r="R399">
        <f t="shared" si="32"/>
        <v>0</v>
      </c>
      <c r="S399">
        <f t="shared" si="33"/>
        <v>0</v>
      </c>
      <c r="T399">
        <f t="shared" si="34"/>
        <v>0</v>
      </c>
      <c r="U399">
        <f>Tabla1[[#This Row],[HORAS NO AFINIDAD]]+Tabla1[[#This Row],[HORAS UNIDAD BASICA]]+Tabla1[[#This Row],[HORAS AFINIDAD]]</f>
        <v>0</v>
      </c>
      <c r="V399">
        <f>+Tabla1[[#This Row],[HORAS AFINIDAD]]+Tabla1[[#This Row],[HORAS ACTIVIDAD]]+Tabla1[[#This Row],[HORAS UNIDAD BASICA]]+Tabla1[[#This Row],[HORAS NO AFINIDAD]]</f>
        <v>0</v>
      </c>
    </row>
    <row r="400" spans="1:22" ht="18.75" customHeight="1">
      <c r="A400">
        <v>399</v>
      </c>
      <c r="C400" t="str">
        <f>_xlfn.XLOOKUP(Tabla1[[#This Row],[CARRERA]],MAE_CARRERA[NOMBRE_CARRERA],MAE_CARRERA[ID_CARRERA],"Seleccione Carrera")</f>
        <v>Seleccione Carrera</v>
      </c>
      <c r="F400" s="1"/>
      <c r="G400" t="str">
        <f>_xlfn.XLOOKUP(Tabla1[[#This Row],[ASIGNATURA]],MAE_ASIGNATURA[NOM_ASIG],MAE_ASIGNATURA[ID_ASIG],"Seleccione Asignatura")</f>
        <v>Seleccione Asignatura</v>
      </c>
      <c r="H400" s="1" t="str" cm="1">
        <f t="array" ref="H400">_xlfn.TEXTJOIN("; ",TRUE,TRANSPOSE(_xlfn.UNIQUE(_xlfn._xlws.FILTER(DET_ASIG[DETALLADO],(DET_ASIG[NIVEL]=ASIGNACION!$D400)*(DET_ASIG[ID_CARRERA]=ASIGNACION!$C400)*(DET_ASIG[ID_ASIG]=ASIGNACION!$G400),"No existe información"))))</f>
        <v>No existe información</v>
      </c>
      <c r="I400" s="1"/>
      <c r="J400">
        <f>_xlfn.XLOOKUP(Tabla1[[#This Row],[ID_ASIG_CAM_DET]],MAE_ASIGNATURA[ID_ASIG],MAE_ASIGNATURA[HORAS],0)</f>
        <v>0</v>
      </c>
      <c r="K400">
        <v>4</v>
      </c>
      <c r="L400" s="2">
        <f>+Tabla1[[#This Row],[CALCULAR HORA]]*Tabla1[[#This Row],[HORAS]]</f>
        <v>0</v>
      </c>
      <c r="N400" t="str">
        <f>_xlfn.XLOOKUP(Tabla1[[#This Row],[NOMBRE_DOCENT]],MDOCENTES[DATOS_DOCENTE],MDOCENTES[DEDICACION],"Seleccione Docente")</f>
        <v>Seleccione Docente</v>
      </c>
      <c r="O400" t="str">
        <f>_xlfn.XLOOKUP(Tabla1[[#This Row],[NOMBRE_DOCENT]],MDOCENTES[DATOS_DOCENTE],MDOCENTES[ESTUDIO],"Seleccione Docente")</f>
        <v>Seleccione Docente</v>
      </c>
      <c r="P400">
        <f t="shared" si="30"/>
        <v>0</v>
      </c>
      <c r="Q400">
        <f t="shared" si="31"/>
        <v>0</v>
      </c>
      <c r="R400">
        <f t="shared" si="32"/>
        <v>0</v>
      </c>
      <c r="S400">
        <f t="shared" si="33"/>
        <v>0</v>
      </c>
      <c r="T400">
        <f t="shared" si="34"/>
        <v>0</v>
      </c>
      <c r="U400">
        <f>Tabla1[[#This Row],[HORAS NO AFINIDAD]]+Tabla1[[#This Row],[HORAS UNIDAD BASICA]]+Tabla1[[#This Row],[HORAS AFINIDAD]]</f>
        <v>0</v>
      </c>
      <c r="V400">
        <f>+Tabla1[[#This Row],[HORAS AFINIDAD]]+Tabla1[[#This Row],[HORAS ACTIVIDAD]]+Tabla1[[#This Row],[HORAS UNIDAD BASICA]]+Tabla1[[#This Row],[HORAS NO AFINIDAD]]</f>
        <v>0</v>
      </c>
    </row>
    <row r="401" spans="1:22" ht="18.75" customHeight="1">
      <c r="A401">
        <v>400</v>
      </c>
      <c r="C401" t="str">
        <f>_xlfn.XLOOKUP(Tabla1[[#This Row],[CARRERA]],MAE_CARRERA[NOMBRE_CARRERA],MAE_CARRERA[ID_CARRERA],"Seleccione Carrera")</f>
        <v>Seleccione Carrera</v>
      </c>
      <c r="F401" s="1"/>
      <c r="G401" t="str">
        <f>_xlfn.XLOOKUP(Tabla1[[#This Row],[ASIGNATURA]],MAE_ASIGNATURA[NOM_ASIG],MAE_ASIGNATURA[ID_ASIG],"Seleccione Asignatura")</f>
        <v>Seleccione Asignatura</v>
      </c>
      <c r="H401" s="1" t="str" cm="1">
        <f t="array" ref="H401">_xlfn.TEXTJOIN("; ",TRUE,TRANSPOSE(_xlfn.UNIQUE(_xlfn._xlws.FILTER(DET_ASIG[DETALLADO],(DET_ASIG[NIVEL]=ASIGNACION!$D401)*(DET_ASIG[ID_CARRERA]=ASIGNACION!$C401)*(DET_ASIG[ID_ASIG]=ASIGNACION!$G401),"No existe información"))))</f>
        <v>No existe información</v>
      </c>
      <c r="I401" s="1"/>
      <c r="J401">
        <f>_xlfn.XLOOKUP(Tabla1[[#This Row],[ID_ASIG_CAM_DET]],MAE_ASIGNATURA[ID_ASIG],MAE_ASIGNATURA[HORAS],0)</f>
        <v>0</v>
      </c>
      <c r="K401">
        <v>4</v>
      </c>
      <c r="L401" s="2">
        <f>+Tabla1[[#This Row],[CALCULAR HORA]]*Tabla1[[#This Row],[HORAS]]</f>
        <v>0</v>
      </c>
      <c r="N401" t="str">
        <f>_xlfn.XLOOKUP(Tabla1[[#This Row],[NOMBRE_DOCENT]],MDOCENTES[DATOS_DOCENTE],MDOCENTES[DEDICACION],"Seleccione Docente")</f>
        <v>Seleccione Docente</v>
      </c>
      <c r="O401" t="str">
        <f>_xlfn.XLOOKUP(Tabla1[[#This Row],[NOMBRE_DOCENT]],MDOCENTES[DATOS_DOCENTE],MDOCENTES[ESTUDIO],"Seleccione Docente")</f>
        <v>Seleccione Docente</v>
      </c>
      <c r="P401">
        <f t="shared" si="30"/>
        <v>0</v>
      </c>
      <c r="Q401">
        <f t="shared" si="31"/>
        <v>0</v>
      </c>
      <c r="R401">
        <f t="shared" si="32"/>
        <v>0</v>
      </c>
      <c r="S401">
        <f t="shared" si="33"/>
        <v>0</v>
      </c>
      <c r="T401">
        <f t="shared" si="34"/>
        <v>0</v>
      </c>
      <c r="U401">
        <f>Tabla1[[#This Row],[HORAS NO AFINIDAD]]+Tabla1[[#This Row],[HORAS UNIDAD BASICA]]+Tabla1[[#This Row],[HORAS AFINIDAD]]</f>
        <v>0</v>
      </c>
      <c r="V401">
        <f>+Tabla1[[#This Row],[HORAS AFINIDAD]]+Tabla1[[#This Row],[HORAS ACTIVIDAD]]+Tabla1[[#This Row],[HORAS UNIDAD BASICA]]+Tabla1[[#This Row],[HORAS NO AFINIDAD]]</f>
        <v>0</v>
      </c>
    </row>
    <row r="402" spans="1:22" ht="18.75" customHeight="1">
      <c r="A402">
        <v>401</v>
      </c>
      <c r="C402" t="str">
        <f>_xlfn.XLOOKUP(Tabla1[[#This Row],[CARRERA]],MAE_CARRERA[NOMBRE_CARRERA],MAE_CARRERA[ID_CARRERA],"Seleccione Carrera")</f>
        <v>Seleccione Carrera</v>
      </c>
      <c r="F402" s="1"/>
      <c r="G402" t="str">
        <f>_xlfn.XLOOKUP(Tabla1[[#This Row],[ASIGNATURA]],MAE_ASIGNATURA[NOM_ASIG],MAE_ASIGNATURA[ID_ASIG],"Seleccione Asignatura")</f>
        <v>Seleccione Asignatura</v>
      </c>
      <c r="H402" s="1" t="str" cm="1">
        <f t="array" ref="H402">_xlfn.TEXTJOIN("; ",TRUE,TRANSPOSE(_xlfn.UNIQUE(_xlfn._xlws.FILTER(DET_ASIG[DETALLADO],(DET_ASIG[NIVEL]=ASIGNACION!$D402)*(DET_ASIG[ID_CARRERA]=ASIGNACION!$C402)*(DET_ASIG[ID_ASIG]=ASIGNACION!$G402),"No existe información"))))</f>
        <v>No existe información</v>
      </c>
      <c r="I402" s="1"/>
      <c r="J402">
        <f>_xlfn.XLOOKUP(Tabla1[[#This Row],[ID_ASIG_CAM_DET]],MAE_ASIGNATURA[ID_ASIG],MAE_ASIGNATURA[HORAS],0)</f>
        <v>0</v>
      </c>
      <c r="K402">
        <v>4</v>
      </c>
      <c r="L402" s="2">
        <f>+Tabla1[[#This Row],[CALCULAR HORA]]*Tabla1[[#This Row],[HORAS]]</f>
        <v>0</v>
      </c>
      <c r="N402" t="str">
        <f>_xlfn.XLOOKUP(Tabla1[[#This Row],[NOMBRE_DOCENT]],MDOCENTES[DATOS_DOCENTE],MDOCENTES[DEDICACION],"Seleccione Docente")</f>
        <v>Seleccione Docente</v>
      </c>
      <c r="O402" t="str">
        <f>_xlfn.XLOOKUP(Tabla1[[#This Row],[NOMBRE_DOCENT]],MDOCENTES[DATOS_DOCENTE],MDOCENTES[ESTUDIO],"Seleccione Docente")</f>
        <v>Seleccione Docente</v>
      </c>
      <c r="P402">
        <f t="shared" si="30"/>
        <v>0</v>
      </c>
      <c r="Q402">
        <f t="shared" si="31"/>
        <v>0</v>
      </c>
      <c r="R402">
        <f t="shared" si="32"/>
        <v>0</v>
      </c>
      <c r="S402">
        <f t="shared" si="33"/>
        <v>0</v>
      </c>
      <c r="T402">
        <f t="shared" si="34"/>
        <v>0</v>
      </c>
      <c r="U402">
        <f>Tabla1[[#This Row],[HORAS NO AFINIDAD]]+Tabla1[[#This Row],[HORAS UNIDAD BASICA]]+Tabla1[[#This Row],[HORAS AFINIDAD]]</f>
        <v>0</v>
      </c>
      <c r="V402">
        <f>+Tabla1[[#This Row],[HORAS AFINIDAD]]+Tabla1[[#This Row],[HORAS ACTIVIDAD]]+Tabla1[[#This Row],[HORAS UNIDAD BASICA]]+Tabla1[[#This Row],[HORAS NO AFINIDAD]]</f>
        <v>0</v>
      </c>
    </row>
    <row r="403" spans="1:22" ht="18.75" customHeight="1">
      <c r="A403">
        <v>402</v>
      </c>
      <c r="C403" t="str">
        <f>_xlfn.XLOOKUP(Tabla1[[#This Row],[CARRERA]],MAE_CARRERA[NOMBRE_CARRERA],MAE_CARRERA[ID_CARRERA],"Seleccione Carrera")</f>
        <v>Seleccione Carrera</v>
      </c>
      <c r="F403" s="1"/>
      <c r="G403" t="str">
        <f>_xlfn.XLOOKUP(Tabla1[[#This Row],[ASIGNATURA]],MAE_ASIGNATURA[NOM_ASIG],MAE_ASIGNATURA[ID_ASIG],"Seleccione Asignatura")</f>
        <v>Seleccione Asignatura</v>
      </c>
      <c r="H403" s="1" t="str" cm="1">
        <f t="array" ref="H403">_xlfn.TEXTJOIN("; ",TRUE,TRANSPOSE(_xlfn.UNIQUE(_xlfn._xlws.FILTER(DET_ASIG[DETALLADO],(DET_ASIG[NIVEL]=ASIGNACION!$D403)*(DET_ASIG[ID_CARRERA]=ASIGNACION!$C403)*(DET_ASIG[ID_ASIG]=ASIGNACION!$G403),"No existe información"))))</f>
        <v>No existe información</v>
      </c>
      <c r="I403" s="1"/>
      <c r="J403">
        <f>_xlfn.XLOOKUP(Tabla1[[#This Row],[ID_ASIG_CAM_DET]],MAE_ASIGNATURA[ID_ASIG],MAE_ASIGNATURA[HORAS],0)</f>
        <v>0</v>
      </c>
      <c r="K403">
        <v>4</v>
      </c>
      <c r="L403" s="2">
        <f>+Tabla1[[#This Row],[CALCULAR HORA]]*Tabla1[[#This Row],[HORAS]]</f>
        <v>0</v>
      </c>
      <c r="N403" t="str">
        <f>_xlfn.XLOOKUP(Tabla1[[#This Row],[NOMBRE_DOCENT]],MDOCENTES[DATOS_DOCENTE],MDOCENTES[DEDICACION],"Seleccione Docente")</f>
        <v>Seleccione Docente</v>
      </c>
      <c r="O403" t="str">
        <f>_xlfn.XLOOKUP(Tabla1[[#This Row],[NOMBRE_DOCENT]],MDOCENTES[DATOS_DOCENTE],MDOCENTES[ESTUDIO],"Seleccione Docente")</f>
        <v>Seleccione Docente</v>
      </c>
      <c r="P403">
        <f t="shared" si="30"/>
        <v>0</v>
      </c>
      <c r="Q403">
        <f t="shared" si="31"/>
        <v>0</v>
      </c>
      <c r="R403">
        <f t="shared" si="32"/>
        <v>0</v>
      </c>
      <c r="S403">
        <f t="shared" si="33"/>
        <v>0</v>
      </c>
      <c r="T403">
        <f t="shared" si="34"/>
        <v>0</v>
      </c>
      <c r="U403">
        <f>Tabla1[[#This Row],[HORAS NO AFINIDAD]]+Tabla1[[#This Row],[HORAS UNIDAD BASICA]]+Tabla1[[#This Row],[HORAS AFINIDAD]]</f>
        <v>0</v>
      </c>
      <c r="V403">
        <f>+Tabla1[[#This Row],[HORAS AFINIDAD]]+Tabla1[[#This Row],[HORAS ACTIVIDAD]]+Tabla1[[#This Row],[HORAS UNIDAD BASICA]]+Tabla1[[#This Row],[HORAS NO AFINIDAD]]</f>
        <v>0</v>
      </c>
    </row>
    <row r="404" spans="1:22" ht="18.75" customHeight="1">
      <c r="A404">
        <v>403</v>
      </c>
      <c r="C404" t="str">
        <f>_xlfn.XLOOKUP(Tabla1[[#This Row],[CARRERA]],MAE_CARRERA[NOMBRE_CARRERA],MAE_CARRERA[ID_CARRERA],"Seleccione Carrera")</f>
        <v>Seleccione Carrera</v>
      </c>
      <c r="F404" s="1"/>
      <c r="G404" t="str">
        <f>_xlfn.XLOOKUP(Tabla1[[#This Row],[ASIGNATURA]],MAE_ASIGNATURA[NOM_ASIG],MAE_ASIGNATURA[ID_ASIG],"Seleccione Asignatura")</f>
        <v>Seleccione Asignatura</v>
      </c>
      <c r="H404" s="1" t="str" cm="1">
        <f t="array" ref="H404">_xlfn.TEXTJOIN("; ",TRUE,TRANSPOSE(_xlfn.UNIQUE(_xlfn._xlws.FILTER(DET_ASIG[DETALLADO],(DET_ASIG[NIVEL]=ASIGNACION!$D404)*(DET_ASIG[ID_CARRERA]=ASIGNACION!$C404)*(DET_ASIG[ID_ASIG]=ASIGNACION!$G404),"No existe información"))))</f>
        <v>No existe información</v>
      </c>
      <c r="I404" s="1"/>
      <c r="J404">
        <f>_xlfn.XLOOKUP(Tabla1[[#This Row],[ID_ASIG_CAM_DET]],MAE_ASIGNATURA[ID_ASIG],MAE_ASIGNATURA[HORAS],0)</f>
        <v>0</v>
      </c>
      <c r="K404">
        <v>4</v>
      </c>
      <c r="L404" s="2">
        <f>+Tabla1[[#This Row],[CALCULAR HORA]]*Tabla1[[#This Row],[HORAS]]</f>
        <v>0</v>
      </c>
      <c r="N404" t="str">
        <f>_xlfn.XLOOKUP(Tabla1[[#This Row],[NOMBRE_DOCENT]],MDOCENTES[DATOS_DOCENTE],MDOCENTES[DEDICACION],"Seleccione Docente")</f>
        <v>Seleccione Docente</v>
      </c>
      <c r="O404" t="str">
        <f>_xlfn.XLOOKUP(Tabla1[[#This Row],[NOMBRE_DOCENT]],MDOCENTES[DATOS_DOCENTE],MDOCENTES[ESTUDIO],"Seleccione Docente")</f>
        <v>Seleccione Docente</v>
      </c>
      <c r="P404">
        <f t="shared" si="30"/>
        <v>0</v>
      </c>
      <c r="Q404">
        <f t="shared" si="31"/>
        <v>0</v>
      </c>
      <c r="R404">
        <f t="shared" si="32"/>
        <v>0</v>
      </c>
      <c r="S404">
        <f t="shared" si="33"/>
        <v>0</v>
      </c>
      <c r="T404">
        <f t="shared" si="34"/>
        <v>0</v>
      </c>
      <c r="U404">
        <f>Tabla1[[#This Row],[HORAS NO AFINIDAD]]+Tabla1[[#This Row],[HORAS UNIDAD BASICA]]+Tabla1[[#This Row],[HORAS AFINIDAD]]</f>
        <v>0</v>
      </c>
      <c r="V404">
        <f>+Tabla1[[#This Row],[HORAS AFINIDAD]]+Tabla1[[#This Row],[HORAS ACTIVIDAD]]+Tabla1[[#This Row],[HORAS UNIDAD BASICA]]+Tabla1[[#This Row],[HORAS NO AFINIDAD]]</f>
        <v>0</v>
      </c>
    </row>
    <row r="405" spans="1:22" ht="18.75" customHeight="1">
      <c r="A405">
        <v>404</v>
      </c>
      <c r="C405" t="str">
        <f>_xlfn.XLOOKUP(Tabla1[[#This Row],[CARRERA]],MAE_CARRERA[NOMBRE_CARRERA],MAE_CARRERA[ID_CARRERA],"Seleccione Carrera")</f>
        <v>Seleccione Carrera</v>
      </c>
      <c r="F405" s="1"/>
      <c r="G405" t="str">
        <f>_xlfn.XLOOKUP(Tabla1[[#This Row],[ASIGNATURA]],MAE_ASIGNATURA[NOM_ASIG],MAE_ASIGNATURA[ID_ASIG],"Seleccione Asignatura")</f>
        <v>Seleccione Asignatura</v>
      </c>
      <c r="H405" s="1" t="str" cm="1">
        <f t="array" ref="H405">_xlfn.TEXTJOIN("; ",TRUE,TRANSPOSE(_xlfn.UNIQUE(_xlfn._xlws.FILTER(DET_ASIG[DETALLADO],(DET_ASIG[NIVEL]=ASIGNACION!$D405)*(DET_ASIG[ID_CARRERA]=ASIGNACION!$C405)*(DET_ASIG[ID_ASIG]=ASIGNACION!$G405),"No existe información"))))</f>
        <v>No existe información</v>
      </c>
      <c r="I405" s="1"/>
      <c r="J405">
        <f>_xlfn.XLOOKUP(Tabla1[[#This Row],[ID_ASIG_CAM_DET]],MAE_ASIGNATURA[ID_ASIG],MAE_ASIGNATURA[HORAS],0)</f>
        <v>0</v>
      </c>
      <c r="K405">
        <v>4</v>
      </c>
      <c r="L405" s="2">
        <f>+Tabla1[[#This Row],[CALCULAR HORA]]*Tabla1[[#This Row],[HORAS]]</f>
        <v>0</v>
      </c>
      <c r="N405" t="str">
        <f>_xlfn.XLOOKUP(Tabla1[[#This Row],[NOMBRE_DOCENT]],MDOCENTES[DATOS_DOCENTE],MDOCENTES[DEDICACION],"Seleccione Docente")</f>
        <v>Seleccione Docente</v>
      </c>
      <c r="O405" t="str">
        <f>_xlfn.XLOOKUP(Tabla1[[#This Row],[NOMBRE_DOCENT]],MDOCENTES[DATOS_DOCENTE],MDOCENTES[ESTUDIO],"Seleccione Docente")</f>
        <v>Seleccione Docente</v>
      </c>
      <c r="P405">
        <f t="shared" si="30"/>
        <v>0</v>
      </c>
      <c r="Q405">
        <f t="shared" si="31"/>
        <v>0</v>
      </c>
      <c r="R405">
        <f t="shared" si="32"/>
        <v>0</v>
      </c>
      <c r="S405">
        <f t="shared" si="33"/>
        <v>0</v>
      </c>
      <c r="T405">
        <f t="shared" si="34"/>
        <v>0</v>
      </c>
      <c r="U405">
        <f>Tabla1[[#This Row],[HORAS NO AFINIDAD]]+Tabla1[[#This Row],[HORAS UNIDAD BASICA]]+Tabla1[[#This Row],[HORAS AFINIDAD]]</f>
        <v>0</v>
      </c>
      <c r="V405">
        <f>+Tabla1[[#This Row],[HORAS AFINIDAD]]+Tabla1[[#This Row],[HORAS ACTIVIDAD]]+Tabla1[[#This Row],[HORAS UNIDAD BASICA]]+Tabla1[[#This Row],[HORAS NO AFINIDAD]]</f>
        <v>0</v>
      </c>
    </row>
    <row r="406" spans="1:22" ht="18.75" customHeight="1">
      <c r="A406">
        <v>405</v>
      </c>
      <c r="C406" t="str">
        <f>_xlfn.XLOOKUP(Tabla1[[#This Row],[CARRERA]],MAE_CARRERA[NOMBRE_CARRERA],MAE_CARRERA[ID_CARRERA],"Seleccione Carrera")</f>
        <v>Seleccione Carrera</v>
      </c>
      <c r="F406" s="1"/>
      <c r="G406" t="str">
        <f>_xlfn.XLOOKUP(Tabla1[[#This Row],[ASIGNATURA]],MAE_ASIGNATURA[NOM_ASIG],MAE_ASIGNATURA[ID_ASIG],"Seleccione Asignatura")</f>
        <v>Seleccione Asignatura</v>
      </c>
      <c r="H406" s="1" t="str" cm="1">
        <f t="array" ref="H406">_xlfn.TEXTJOIN("; ",TRUE,TRANSPOSE(_xlfn.UNIQUE(_xlfn._xlws.FILTER(DET_ASIG[DETALLADO],(DET_ASIG[NIVEL]=ASIGNACION!$D406)*(DET_ASIG[ID_CARRERA]=ASIGNACION!$C406)*(DET_ASIG[ID_ASIG]=ASIGNACION!$G406),"No existe información"))))</f>
        <v>No existe información</v>
      </c>
      <c r="I406" s="1"/>
      <c r="J406">
        <f>_xlfn.XLOOKUP(Tabla1[[#This Row],[ID_ASIG_CAM_DET]],MAE_ASIGNATURA[ID_ASIG],MAE_ASIGNATURA[HORAS],0)</f>
        <v>0</v>
      </c>
      <c r="K406">
        <v>4</v>
      </c>
      <c r="L406" s="2">
        <f>+Tabla1[[#This Row],[CALCULAR HORA]]*Tabla1[[#This Row],[HORAS]]</f>
        <v>0</v>
      </c>
      <c r="N406" t="str">
        <f>_xlfn.XLOOKUP(Tabla1[[#This Row],[NOMBRE_DOCENT]],MDOCENTES[DATOS_DOCENTE],MDOCENTES[DEDICACION],"Seleccione Docente")</f>
        <v>Seleccione Docente</v>
      </c>
      <c r="O406" t="str">
        <f>_xlfn.XLOOKUP(Tabla1[[#This Row],[NOMBRE_DOCENT]],MDOCENTES[DATOS_DOCENTE],MDOCENTES[ESTUDIO],"Seleccione Docente")</f>
        <v>Seleccione Docente</v>
      </c>
      <c r="P406">
        <f t="shared" si="30"/>
        <v>0</v>
      </c>
      <c r="Q406">
        <f t="shared" si="31"/>
        <v>0</v>
      </c>
      <c r="R406">
        <f t="shared" si="32"/>
        <v>0</v>
      </c>
      <c r="S406">
        <f t="shared" si="33"/>
        <v>0</v>
      </c>
      <c r="T406">
        <f t="shared" si="34"/>
        <v>0</v>
      </c>
      <c r="U406">
        <f>Tabla1[[#This Row],[HORAS NO AFINIDAD]]+Tabla1[[#This Row],[HORAS UNIDAD BASICA]]+Tabla1[[#This Row],[HORAS AFINIDAD]]</f>
        <v>0</v>
      </c>
      <c r="V406">
        <f>+Tabla1[[#This Row],[HORAS AFINIDAD]]+Tabla1[[#This Row],[HORAS ACTIVIDAD]]+Tabla1[[#This Row],[HORAS UNIDAD BASICA]]+Tabla1[[#This Row],[HORAS NO AFINIDAD]]</f>
        <v>0</v>
      </c>
    </row>
    <row r="407" spans="1:22" ht="18.75" customHeight="1">
      <c r="A407">
        <v>406</v>
      </c>
      <c r="C407" t="str">
        <f>_xlfn.XLOOKUP(Tabla1[[#This Row],[CARRERA]],MAE_CARRERA[NOMBRE_CARRERA],MAE_CARRERA[ID_CARRERA],"Seleccione Carrera")</f>
        <v>Seleccione Carrera</v>
      </c>
      <c r="F407" s="1"/>
      <c r="G407" t="str">
        <f>_xlfn.XLOOKUP(Tabla1[[#This Row],[ASIGNATURA]],MAE_ASIGNATURA[NOM_ASIG],MAE_ASIGNATURA[ID_ASIG],"Seleccione Asignatura")</f>
        <v>Seleccione Asignatura</v>
      </c>
      <c r="H407" s="1" t="str" cm="1">
        <f t="array" ref="H407">_xlfn.TEXTJOIN("; ",TRUE,TRANSPOSE(_xlfn.UNIQUE(_xlfn._xlws.FILTER(DET_ASIG[DETALLADO],(DET_ASIG[NIVEL]=ASIGNACION!$D407)*(DET_ASIG[ID_CARRERA]=ASIGNACION!$C407)*(DET_ASIG[ID_ASIG]=ASIGNACION!$G407),"No existe información"))))</f>
        <v>No existe información</v>
      </c>
      <c r="I407" s="1"/>
      <c r="J407">
        <f>_xlfn.XLOOKUP(Tabla1[[#This Row],[ID_ASIG_CAM_DET]],MAE_ASIGNATURA[ID_ASIG],MAE_ASIGNATURA[HORAS],0)</f>
        <v>0</v>
      </c>
      <c r="K407">
        <v>4</v>
      </c>
      <c r="L407" s="2">
        <f>+Tabla1[[#This Row],[CALCULAR HORA]]*Tabla1[[#This Row],[HORAS]]</f>
        <v>0</v>
      </c>
      <c r="N407" t="str">
        <f>_xlfn.XLOOKUP(Tabla1[[#This Row],[NOMBRE_DOCENT]],MDOCENTES[DATOS_DOCENTE],MDOCENTES[DEDICACION],"Seleccione Docente")</f>
        <v>Seleccione Docente</v>
      </c>
      <c r="O407" t="str">
        <f>_xlfn.XLOOKUP(Tabla1[[#This Row],[NOMBRE_DOCENT]],MDOCENTES[DATOS_DOCENTE],MDOCENTES[ESTUDIO],"Seleccione Docente")</f>
        <v>Seleccione Docente</v>
      </c>
      <c r="P407">
        <f t="shared" si="30"/>
        <v>0</v>
      </c>
      <c r="Q407">
        <f t="shared" si="31"/>
        <v>0</v>
      </c>
      <c r="R407">
        <f t="shared" si="32"/>
        <v>0</v>
      </c>
      <c r="S407">
        <f t="shared" si="33"/>
        <v>0</v>
      </c>
      <c r="T407">
        <f t="shared" si="34"/>
        <v>0</v>
      </c>
      <c r="U407">
        <f>Tabla1[[#This Row],[HORAS NO AFINIDAD]]+Tabla1[[#This Row],[HORAS UNIDAD BASICA]]+Tabla1[[#This Row],[HORAS AFINIDAD]]</f>
        <v>0</v>
      </c>
      <c r="V407">
        <f>+Tabla1[[#This Row],[HORAS AFINIDAD]]+Tabla1[[#This Row],[HORAS ACTIVIDAD]]+Tabla1[[#This Row],[HORAS UNIDAD BASICA]]+Tabla1[[#This Row],[HORAS NO AFINIDAD]]</f>
        <v>0</v>
      </c>
    </row>
    <row r="408" spans="1:22" ht="18.75" customHeight="1">
      <c r="A408">
        <v>407</v>
      </c>
      <c r="C408" t="str">
        <f>_xlfn.XLOOKUP(Tabla1[[#This Row],[CARRERA]],MAE_CARRERA[NOMBRE_CARRERA],MAE_CARRERA[ID_CARRERA],"Seleccione Carrera")</f>
        <v>Seleccione Carrera</v>
      </c>
      <c r="F408" s="1"/>
      <c r="G408" t="str">
        <f>_xlfn.XLOOKUP(Tabla1[[#This Row],[ASIGNATURA]],MAE_ASIGNATURA[NOM_ASIG],MAE_ASIGNATURA[ID_ASIG],"Seleccione Asignatura")</f>
        <v>Seleccione Asignatura</v>
      </c>
      <c r="H408" s="1" t="str" cm="1">
        <f t="array" ref="H408">_xlfn.TEXTJOIN("; ",TRUE,TRANSPOSE(_xlfn.UNIQUE(_xlfn._xlws.FILTER(DET_ASIG[DETALLADO],(DET_ASIG[NIVEL]=ASIGNACION!$D408)*(DET_ASIG[ID_CARRERA]=ASIGNACION!$C408)*(DET_ASIG[ID_ASIG]=ASIGNACION!$G408),"No existe información"))))</f>
        <v>No existe información</v>
      </c>
      <c r="I408" s="1"/>
      <c r="J408">
        <f>_xlfn.XLOOKUP(Tabla1[[#This Row],[ID_ASIG_CAM_DET]],MAE_ASIGNATURA[ID_ASIG],MAE_ASIGNATURA[HORAS],0)</f>
        <v>0</v>
      </c>
      <c r="K408">
        <v>4</v>
      </c>
      <c r="L408" s="2">
        <f>+Tabla1[[#This Row],[CALCULAR HORA]]*Tabla1[[#This Row],[HORAS]]</f>
        <v>0</v>
      </c>
      <c r="N408" t="str">
        <f>_xlfn.XLOOKUP(Tabla1[[#This Row],[NOMBRE_DOCENT]],MDOCENTES[DATOS_DOCENTE],MDOCENTES[DEDICACION],"Seleccione Docente")</f>
        <v>Seleccione Docente</v>
      </c>
      <c r="O408" t="str">
        <f>_xlfn.XLOOKUP(Tabla1[[#This Row],[NOMBRE_DOCENT]],MDOCENTES[DATOS_DOCENTE],MDOCENTES[ESTUDIO],"Seleccione Docente")</f>
        <v>Seleccione Docente</v>
      </c>
      <c r="P408">
        <f t="shared" si="30"/>
        <v>0</v>
      </c>
      <c r="Q408">
        <f t="shared" si="31"/>
        <v>0</v>
      </c>
      <c r="R408">
        <f t="shared" si="32"/>
        <v>0</v>
      </c>
      <c r="S408">
        <f t="shared" si="33"/>
        <v>0</v>
      </c>
      <c r="T408">
        <f t="shared" si="34"/>
        <v>0</v>
      </c>
      <c r="U408">
        <f>Tabla1[[#This Row],[HORAS NO AFINIDAD]]+Tabla1[[#This Row],[HORAS UNIDAD BASICA]]+Tabla1[[#This Row],[HORAS AFINIDAD]]</f>
        <v>0</v>
      </c>
      <c r="V408">
        <f>+Tabla1[[#This Row],[HORAS AFINIDAD]]+Tabla1[[#This Row],[HORAS ACTIVIDAD]]+Tabla1[[#This Row],[HORAS UNIDAD BASICA]]+Tabla1[[#This Row],[HORAS NO AFINIDAD]]</f>
        <v>0</v>
      </c>
    </row>
    <row r="409" spans="1:22" ht="18.75" customHeight="1">
      <c r="A409">
        <v>408</v>
      </c>
      <c r="C409" t="str">
        <f>_xlfn.XLOOKUP(Tabla1[[#This Row],[CARRERA]],MAE_CARRERA[NOMBRE_CARRERA],MAE_CARRERA[ID_CARRERA],"Seleccione Carrera")</f>
        <v>Seleccione Carrera</v>
      </c>
      <c r="F409" s="1"/>
      <c r="G409" t="str">
        <f>_xlfn.XLOOKUP(Tabla1[[#This Row],[ASIGNATURA]],MAE_ASIGNATURA[NOM_ASIG],MAE_ASIGNATURA[ID_ASIG],"Seleccione Asignatura")</f>
        <v>Seleccione Asignatura</v>
      </c>
      <c r="H409" s="1" t="str" cm="1">
        <f t="array" ref="H409">_xlfn.TEXTJOIN("; ",TRUE,TRANSPOSE(_xlfn.UNIQUE(_xlfn._xlws.FILTER(DET_ASIG[DETALLADO],(DET_ASIG[NIVEL]=ASIGNACION!$D409)*(DET_ASIG[ID_CARRERA]=ASIGNACION!$C409)*(DET_ASIG[ID_ASIG]=ASIGNACION!$G409),"No existe información"))))</f>
        <v>No existe información</v>
      </c>
      <c r="I409" s="1"/>
      <c r="J409">
        <f>_xlfn.XLOOKUP(Tabla1[[#This Row],[ID_ASIG_CAM_DET]],MAE_ASIGNATURA[ID_ASIG],MAE_ASIGNATURA[HORAS],0)</f>
        <v>0</v>
      </c>
      <c r="K409">
        <v>4</v>
      </c>
      <c r="L409" s="2">
        <f>+Tabla1[[#This Row],[CALCULAR HORA]]*Tabla1[[#This Row],[HORAS]]</f>
        <v>0</v>
      </c>
      <c r="N409" t="str">
        <f>_xlfn.XLOOKUP(Tabla1[[#This Row],[NOMBRE_DOCENT]],MDOCENTES[DATOS_DOCENTE],MDOCENTES[DEDICACION],"Seleccione Docente")</f>
        <v>Seleccione Docente</v>
      </c>
      <c r="O409" t="str">
        <f>_xlfn.XLOOKUP(Tabla1[[#This Row],[NOMBRE_DOCENT]],MDOCENTES[DATOS_DOCENTE],MDOCENTES[ESTUDIO],"Seleccione Docente")</f>
        <v>Seleccione Docente</v>
      </c>
      <c r="P409">
        <f t="shared" si="30"/>
        <v>0</v>
      </c>
      <c r="Q409">
        <f t="shared" si="31"/>
        <v>0</v>
      </c>
      <c r="R409">
        <f t="shared" si="32"/>
        <v>0</v>
      </c>
      <c r="S409">
        <f t="shared" si="33"/>
        <v>0</v>
      </c>
      <c r="T409">
        <f t="shared" si="34"/>
        <v>0</v>
      </c>
      <c r="U409">
        <f>Tabla1[[#This Row],[HORAS NO AFINIDAD]]+Tabla1[[#This Row],[HORAS UNIDAD BASICA]]+Tabla1[[#This Row],[HORAS AFINIDAD]]</f>
        <v>0</v>
      </c>
      <c r="V409">
        <f>+Tabla1[[#This Row],[HORAS AFINIDAD]]+Tabla1[[#This Row],[HORAS ACTIVIDAD]]+Tabla1[[#This Row],[HORAS UNIDAD BASICA]]+Tabla1[[#This Row],[HORAS NO AFINIDAD]]</f>
        <v>0</v>
      </c>
    </row>
    <row r="410" spans="1:22" ht="18.75" customHeight="1">
      <c r="A410">
        <v>409</v>
      </c>
      <c r="C410" t="str">
        <f>_xlfn.XLOOKUP(Tabla1[[#This Row],[CARRERA]],MAE_CARRERA[NOMBRE_CARRERA],MAE_CARRERA[ID_CARRERA],"Seleccione Carrera")</f>
        <v>Seleccione Carrera</v>
      </c>
      <c r="F410" s="1"/>
      <c r="G410" t="str">
        <f>_xlfn.XLOOKUP(Tabla1[[#This Row],[ASIGNATURA]],MAE_ASIGNATURA[NOM_ASIG],MAE_ASIGNATURA[ID_ASIG],"Seleccione Asignatura")</f>
        <v>Seleccione Asignatura</v>
      </c>
      <c r="H410" s="1" t="str" cm="1">
        <f t="array" ref="H410">_xlfn.TEXTJOIN("; ",TRUE,TRANSPOSE(_xlfn.UNIQUE(_xlfn._xlws.FILTER(DET_ASIG[DETALLADO],(DET_ASIG[NIVEL]=ASIGNACION!$D410)*(DET_ASIG[ID_CARRERA]=ASIGNACION!$C410)*(DET_ASIG[ID_ASIG]=ASIGNACION!$G410),"No existe información"))))</f>
        <v>No existe información</v>
      </c>
      <c r="I410" s="1"/>
      <c r="J410">
        <f>_xlfn.XLOOKUP(Tabla1[[#This Row],[ID_ASIG_CAM_DET]],MAE_ASIGNATURA[ID_ASIG],MAE_ASIGNATURA[HORAS],0)</f>
        <v>0</v>
      </c>
      <c r="K410">
        <v>4</v>
      </c>
      <c r="L410" s="2">
        <f>+Tabla1[[#This Row],[CALCULAR HORA]]*Tabla1[[#This Row],[HORAS]]</f>
        <v>0</v>
      </c>
      <c r="N410" t="str">
        <f>_xlfn.XLOOKUP(Tabla1[[#This Row],[NOMBRE_DOCENT]],MDOCENTES[DATOS_DOCENTE],MDOCENTES[DEDICACION],"Seleccione Docente")</f>
        <v>Seleccione Docente</v>
      </c>
      <c r="O410" t="str">
        <f>_xlfn.XLOOKUP(Tabla1[[#This Row],[NOMBRE_DOCENT]],MDOCENTES[DATOS_DOCENTE],MDOCENTES[ESTUDIO],"Seleccione Docente")</f>
        <v>Seleccione Docente</v>
      </c>
      <c r="P410">
        <f t="shared" si="30"/>
        <v>0</v>
      </c>
      <c r="Q410">
        <f t="shared" si="31"/>
        <v>0</v>
      </c>
      <c r="R410">
        <f t="shared" si="32"/>
        <v>0</v>
      </c>
      <c r="S410">
        <f t="shared" si="33"/>
        <v>0</v>
      </c>
      <c r="T410">
        <f t="shared" si="34"/>
        <v>0</v>
      </c>
      <c r="U410">
        <f>Tabla1[[#This Row],[HORAS NO AFINIDAD]]+Tabla1[[#This Row],[HORAS UNIDAD BASICA]]+Tabla1[[#This Row],[HORAS AFINIDAD]]</f>
        <v>0</v>
      </c>
      <c r="V410">
        <f>+Tabla1[[#This Row],[HORAS AFINIDAD]]+Tabla1[[#This Row],[HORAS ACTIVIDAD]]+Tabla1[[#This Row],[HORAS UNIDAD BASICA]]+Tabla1[[#This Row],[HORAS NO AFINIDAD]]</f>
        <v>0</v>
      </c>
    </row>
    <row r="411" spans="1:22" ht="18.75" customHeight="1">
      <c r="A411">
        <v>410</v>
      </c>
      <c r="C411" t="str">
        <f>_xlfn.XLOOKUP(Tabla1[[#This Row],[CARRERA]],MAE_CARRERA[NOMBRE_CARRERA],MAE_CARRERA[ID_CARRERA],"Seleccione Carrera")</f>
        <v>Seleccione Carrera</v>
      </c>
      <c r="F411" s="1"/>
      <c r="G411" t="str">
        <f>_xlfn.XLOOKUP(Tabla1[[#This Row],[ASIGNATURA]],MAE_ASIGNATURA[NOM_ASIG],MAE_ASIGNATURA[ID_ASIG],"Seleccione Asignatura")</f>
        <v>Seleccione Asignatura</v>
      </c>
      <c r="H411" s="1" t="str" cm="1">
        <f t="array" ref="H411">_xlfn.TEXTJOIN("; ",TRUE,TRANSPOSE(_xlfn.UNIQUE(_xlfn._xlws.FILTER(DET_ASIG[DETALLADO],(DET_ASIG[NIVEL]=ASIGNACION!$D411)*(DET_ASIG[ID_CARRERA]=ASIGNACION!$C411)*(DET_ASIG[ID_ASIG]=ASIGNACION!$G411),"No existe información"))))</f>
        <v>No existe información</v>
      </c>
      <c r="I411" s="1"/>
      <c r="J411">
        <f>_xlfn.XLOOKUP(Tabla1[[#This Row],[ID_ASIG_CAM_DET]],MAE_ASIGNATURA[ID_ASIG],MAE_ASIGNATURA[HORAS],0)</f>
        <v>0</v>
      </c>
      <c r="K411">
        <v>4</v>
      </c>
      <c r="L411" s="2">
        <f>+Tabla1[[#This Row],[CALCULAR HORA]]*Tabla1[[#This Row],[HORAS]]</f>
        <v>0</v>
      </c>
      <c r="N411" t="str">
        <f>_xlfn.XLOOKUP(Tabla1[[#This Row],[NOMBRE_DOCENT]],MDOCENTES[DATOS_DOCENTE],MDOCENTES[DEDICACION],"Seleccione Docente")</f>
        <v>Seleccione Docente</v>
      </c>
      <c r="O411" t="str">
        <f>_xlfn.XLOOKUP(Tabla1[[#This Row],[NOMBRE_DOCENT]],MDOCENTES[DATOS_DOCENTE],MDOCENTES[ESTUDIO],"Seleccione Docente")</f>
        <v>Seleccione Docente</v>
      </c>
      <c r="P411">
        <f t="shared" si="30"/>
        <v>0</v>
      </c>
      <c r="Q411">
        <f t="shared" si="31"/>
        <v>0</v>
      </c>
      <c r="R411">
        <f t="shared" si="32"/>
        <v>0</v>
      </c>
      <c r="S411">
        <f t="shared" si="33"/>
        <v>0</v>
      </c>
      <c r="T411">
        <f t="shared" si="34"/>
        <v>0</v>
      </c>
      <c r="U411">
        <f>Tabla1[[#This Row],[HORAS NO AFINIDAD]]+Tabla1[[#This Row],[HORAS UNIDAD BASICA]]+Tabla1[[#This Row],[HORAS AFINIDAD]]</f>
        <v>0</v>
      </c>
      <c r="V411">
        <f>+Tabla1[[#This Row],[HORAS AFINIDAD]]+Tabla1[[#This Row],[HORAS ACTIVIDAD]]+Tabla1[[#This Row],[HORAS UNIDAD BASICA]]+Tabla1[[#This Row],[HORAS NO AFINIDAD]]</f>
        <v>0</v>
      </c>
    </row>
    <row r="412" spans="1:22" ht="18.75" customHeight="1">
      <c r="A412">
        <v>411</v>
      </c>
      <c r="C412" t="str">
        <f>_xlfn.XLOOKUP(Tabla1[[#This Row],[CARRERA]],MAE_CARRERA[NOMBRE_CARRERA],MAE_CARRERA[ID_CARRERA],"Seleccione Carrera")</f>
        <v>Seleccione Carrera</v>
      </c>
      <c r="F412" s="1"/>
      <c r="G412" t="str">
        <f>_xlfn.XLOOKUP(Tabla1[[#This Row],[ASIGNATURA]],MAE_ASIGNATURA[NOM_ASIG],MAE_ASIGNATURA[ID_ASIG],"Seleccione Asignatura")</f>
        <v>Seleccione Asignatura</v>
      </c>
      <c r="H412" s="1" t="str" cm="1">
        <f t="array" ref="H412">_xlfn.TEXTJOIN("; ",TRUE,TRANSPOSE(_xlfn.UNIQUE(_xlfn._xlws.FILTER(DET_ASIG[DETALLADO],(DET_ASIG[NIVEL]=ASIGNACION!$D412)*(DET_ASIG[ID_CARRERA]=ASIGNACION!$C412)*(DET_ASIG[ID_ASIG]=ASIGNACION!$G412),"No existe información"))))</f>
        <v>No existe información</v>
      </c>
      <c r="I412" s="1"/>
      <c r="J412">
        <f>_xlfn.XLOOKUP(Tabla1[[#This Row],[ID_ASIG_CAM_DET]],MAE_ASIGNATURA[ID_ASIG],MAE_ASIGNATURA[HORAS],0)</f>
        <v>0</v>
      </c>
      <c r="K412">
        <v>4</v>
      </c>
      <c r="L412" s="2">
        <f>+Tabla1[[#This Row],[CALCULAR HORA]]*Tabla1[[#This Row],[HORAS]]</f>
        <v>0</v>
      </c>
      <c r="N412" t="str">
        <f>_xlfn.XLOOKUP(Tabla1[[#This Row],[NOMBRE_DOCENT]],MDOCENTES[DATOS_DOCENTE],MDOCENTES[DEDICACION],"Seleccione Docente")</f>
        <v>Seleccione Docente</v>
      </c>
      <c r="O412" t="str">
        <f>_xlfn.XLOOKUP(Tabla1[[#This Row],[NOMBRE_DOCENT]],MDOCENTES[DATOS_DOCENTE],MDOCENTES[ESTUDIO],"Seleccione Docente")</f>
        <v>Seleccione Docente</v>
      </c>
      <c r="P412">
        <f t="shared" si="30"/>
        <v>0</v>
      </c>
      <c r="Q412">
        <f t="shared" si="31"/>
        <v>0</v>
      </c>
      <c r="R412">
        <f t="shared" si="32"/>
        <v>0</v>
      </c>
      <c r="S412">
        <f t="shared" si="33"/>
        <v>0</v>
      </c>
      <c r="T412">
        <f t="shared" si="34"/>
        <v>0</v>
      </c>
      <c r="U412">
        <f>Tabla1[[#This Row],[HORAS NO AFINIDAD]]+Tabla1[[#This Row],[HORAS UNIDAD BASICA]]+Tabla1[[#This Row],[HORAS AFINIDAD]]</f>
        <v>0</v>
      </c>
      <c r="V412">
        <f>+Tabla1[[#This Row],[HORAS AFINIDAD]]+Tabla1[[#This Row],[HORAS ACTIVIDAD]]+Tabla1[[#This Row],[HORAS UNIDAD BASICA]]+Tabla1[[#This Row],[HORAS NO AFINIDAD]]</f>
        <v>0</v>
      </c>
    </row>
    <row r="413" spans="1:22" ht="18.75" customHeight="1">
      <c r="A413">
        <v>412</v>
      </c>
      <c r="C413" t="str">
        <f>_xlfn.XLOOKUP(Tabla1[[#This Row],[CARRERA]],MAE_CARRERA[NOMBRE_CARRERA],MAE_CARRERA[ID_CARRERA],"Seleccione Carrera")</f>
        <v>Seleccione Carrera</v>
      </c>
      <c r="F413" s="1"/>
      <c r="G413" t="str">
        <f>_xlfn.XLOOKUP(Tabla1[[#This Row],[ASIGNATURA]],MAE_ASIGNATURA[NOM_ASIG],MAE_ASIGNATURA[ID_ASIG],"Seleccione Asignatura")</f>
        <v>Seleccione Asignatura</v>
      </c>
      <c r="H413" s="1" t="str" cm="1">
        <f t="array" ref="H413">_xlfn.TEXTJOIN("; ",TRUE,TRANSPOSE(_xlfn.UNIQUE(_xlfn._xlws.FILTER(DET_ASIG[DETALLADO],(DET_ASIG[NIVEL]=ASIGNACION!$D413)*(DET_ASIG[ID_CARRERA]=ASIGNACION!$C413)*(DET_ASIG[ID_ASIG]=ASIGNACION!$G413),"No existe información"))))</f>
        <v>No existe información</v>
      </c>
      <c r="I413" s="1"/>
      <c r="J413">
        <f>_xlfn.XLOOKUP(Tabla1[[#This Row],[ID_ASIG_CAM_DET]],MAE_ASIGNATURA[ID_ASIG],MAE_ASIGNATURA[HORAS],0)</f>
        <v>0</v>
      </c>
      <c r="K413">
        <v>4</v>
      </c>
      <c r="L413" s="2">
        <f>+Tabla1[[#This Row],[CALCULAR HORA]]*Tabla1[[#This Row],[HORAS]]</f>
        <v>0</v>
      </c>
      <c r="N413" t="str">
        <f>_xlfn.XLOOKUP(Tabla1[[#This Row],[NOMBRE_DOCENT]],MDOCENTES[DATOS_DOCENTE],MDOCENTES[DEDICACION],"Seleccione Docente")</f>
        <v>Seleccione Docente</v>
      </c>
      <c r="O413" t="str">
        <f>_xlfn.XLOOKUP(Tabla1[[#This Row],[NOMBRE_DOCENT]],MDOCENTES[DATOS_DOCENTE],MDOCENTES[ESTUDIO],"Seleccione Docente")</f>
        <v>Seleccione Docente</v>
      </c>
      <c r="P413">
        <f t="shared" si="30"/>
        <v>0</v>
      </c>
      <c r="Q413">
        <f t="shared" si="31"/>
        <v>0</v>
      </c>
      <c r="R413">
        <f t="shared" si="32"/>
        <v>0</v>
      </c>
      <c r="S413">
        <f t="shared" si="33"/>
        <v>0</v>
      </c>
      <c r="T413">
        <f t="shared" si="34"/>
        <v>0</v>
      </c>
      <c r="U413">
        <f>Tabla1[[#This Row],[HORAS NO AFINIDAD]]+Tabla1[[#This Row],[HORAS UNIDAD BASICA]]+Tabla1[[#This Row],[HORAS AFINIDAD]]</f>
        <v>0</v>
      </c>
      <c r="V413">
        <f>+Tabla1[[#This Row],[HORAS AFINIDAD]]+Tabla1[[#This Row],[HORAS ACTIVIDAD]]+Tabla1[[#This Row],[HORAS UNIDAD BASICA]]+Tabla1[[#This Row],[HORAS NO AFINIDAD]]</f>
        <v>0</v>
      </c>
    </row>
    <row r="414" spans="1:22" ht="18.75" customHeight="1">
      <c r="A414">
        <v>413</v>
      </c>
      <c r="C414" t="str">
        <f>_xlfn.XLOOKUP(Tabla1[[#This Row],[CARRERA]],MAE_CARRERA[NOMBRE_CARRERA],MAE_CARRERA[ID_CARRERA],"Seleccione Carrera")</f>
        <v>Seleccione Carrera</v>
      </c>
      <c r="F414" s="1"/>
      <c r="G414" t="str">
        <f>_xlfn.XLOOKUP(Tabla1[[#This Row],[ASIGNATURA]],MAE_ASIGNATURA[NOM_ASIG],MAE_ASIGNATURA[ID_ASIG],"Seleccione Asignatura")</f>
        <v>Seleccione Asignatura</v>
      </c>
      <c r="H414" s="1" t="str" cm="1">
        <f t="array" ref="H414">_xlfn.TEXTJOIN("; ",TRUE,TRANSPOSE(_xlfn.UNIQUE(_xlfn._xlws.FILTER(DET_ASIG[DETALLADO],(DET_ASIG[NIVEL]=ASIGNACION!$D414)*(DET_ASIG[ID_CARRERA]=ASIGNACION!$C414)*(DET_ASIG[ID_ASIG]=ASIGNACION!$G414),"No existe información"))))</f>
        <v>No existe información</v>
      </c>
      <c r="I414" s="1"/>
      <c r="J414">
        <f>_xlfn.XLOOKUP(Tabla1[[#This Row],[ID_ASIG_CAM_DET]],MAE_ASIGNATURA[ID_ASIG],MAE_ASIGNATURA[HORAS],0)</f>
        <v>0</v>
      </c>
      <c r="K414">
        <v>4</v>
      </c>
      <c r="L414" s="2">
        <f>+Tabla1[[#This Row],[CALCULAR HORA]]*Tabla1[[#This Row],[HORAS]]</f>
        <v>0</v>
      </c>
      <c r="N414" t="str">
        <f>_xlfn.XLOOKUP(Tabla1[[#This Row],[NOMBRE_DOCENT]],MDOCENTES[DATOS_DOCENTE],MDOCENTES[DEDICACION],"Seleccione Docente")</f>
        <v>Seleccione Docente</v>
      </c>
      <c r="O414" t="str">
        <f>_xlfn.XLOOKUP(Tabla1[[#This Row],[NOMBRE_DOCENT]],MDOCENTES[DATOS_DOCENTE],MDOCENTES[ESTUDIO],"Seleccione Docente")</f>
        <v>Seleccione Docente</v>
      </c>
      <c r="P414">
        <f t="shared" si="30"/>
        <v>0</v>
      </c>
      <c r="Q414">
        <f t="shared" si="31"/>
        <v>0</v>
      </c>
      <c r="R414">
        <f t="shared" si="32"/>
        <v>0</v>
      </c>
      <c r="S414">
        <f t="shared" si="33"/>
        <v>0</v>
      </c>
      <c r="T414">
        <f t="shared" si="34"/>
        <v>0</v>
      </c>
      <c r="U414">
        <f>Tabla1[[#This Row],[HORAS NO AFINIDAD]]+Tabla1[[#This Row],[HORAS UNIDAD BASICA]]+Tabla1[[#This Row],[HORAS AFINIDAD]]</f>
        <v>0</v>
      </c>
      <c r="V414">
        <f>+Tabla1[[#This Row],[HORAS AFINIDAD]]+Tabla1[[#This Row],[HORAS ACTIVIDAD]]+Tabla1[[#This Row],[HORAS UNIDAD BASICA]]+Tabla1[[#This Row],[HORAS NO AFINIDAD]]</f>
        <v>0</v>
      </c>
    </row>
    <row r="415" spans="1:22" ht="18.75" customHeight="1">
      <c r="A415">
        <v>414</v>
      </c>
      <c r="C415" t="str">
        <f>_xlfn.XLOOKUP(Tabla1[[#This Row],[CARRERA]],MAE_CARRERA[NOMBRE_CARRERA],MAE_CARRERA[ID_CARRERA],"Seleccione Carrera")</f>
        <v>Seleccione Carrera</v>
      </c>
      <c r="F415" s="1"/>
      <c r="G415" t="str">
        <f>_xlfn.XLOOKUP(Tabla1[[#This Row],[ASIGNATURA]],MAE_ASIGNATURA[NOM_ASIG],MAE_ASIGNATURA[ID_ASIG],"Seleccione Asignatura")</f>
        <v>Seleccione Asignatura</v>
      </c>
      <c r="H415" s="1" t="str" cm="1">
        <f t="array" ref="H415">_xlfn.TEXTJOIN("; ",TRUE,TRANSPOSE(_xlfn.UNIQUE(_xlfn._xlws.FILTER(DET_ASIG[DETALLADO],(DET_ASIG[NIVEL]=ASIGNACION!$D415)*(DET_ASIG[ID_CARRERA]=ASIGNACION!$C415)*(DET_ASIG[ID_ASIG]=ASIGNACION!$G415),"No existe información"))))</f>
        <v>No existe información</v>
      </c>
      <c r="I415" s="1"/>
      <c r="J415">
        <f>_xlfn.XLOOKUP(Tabla1[[#This Row],[ID_ASIG_CAM_DET]],MAE_ASIGNATURA[ID_ASIG],MAE_ASIGNATURA[HORAS],0)</f>
        <v>0</v>
      </c>
      <c r="K415">
        <v>4</v>
      </c>
      <c r="L415" s="2">
        <f>+Tabla1[[#This Row],[CALCULAR HORA]]*Tabla1[[#This Row],[HORAS]]</f>
        <v>0</v>
      </c>
      <c r="N415" t="str">
        <f>_xlfn.XLOOKUP(Tabla1[[#This Row],[NOMBRE_DOCENT]],MDOCENTES[DATOS_DOCENTE],MDOCENTES[DEDICACION],"Seleccione Docente")</f>
        <v>Seleccione Docente</v>
      </c>
      <c r="O415" t="str">
        <f>_xlfn.XLOOKUP(Tabla1[[#This Row],[NOMBRE_DOCENT]],MDOCENTES[DATOS_DOCENTE],MDOCENTES[ESTUDIO],"Seleccione Docente")</f>
        <v>Seleccione Docente</v>
      </c>
      <c r="P415">
        <f t="shared" si="30"/>
        <v>0</v>
      </c>
      <c r="Q415">
        <f t="shared" si="31"/>
        <v>0</v>
      </c>
      <c r="R415">
        <f t="shared" si="32"/>
        <v>0</v>
      </c>
      <c r="S415">
        <f t="shared" si="33"/>
        <v>0</v>
      </c>
      <c r="T415">
        <f t="shared" si="34"/>
        <v>0</v>
      </c>
      <c r="U415">
        <f>Tabla1[[#This Row],[HORAS NO AFINIDAD]]+Tabla1[[#This Row],[HORAS UNIDAD BASICA]]+Tabla1[[#This Row],[HORAS AFINIDAD]]</f>
        <v>0</v>
      </c>
      <c r="V415">
        <f>+Tabla1[[#This Row],[HORAS AFINIDAD]]+Tabla1[[#This Row],[HORAS ACTIVIDAD]]+Tabla1[[#This Row],[HORAS UNIDAD BASICA]]+Tabla1[[#This Row],[HORAS NO AFINIDAD]]</f>
        <v>0</v>
      </c>
    </row>
    <row r="416" spans="1:22" ht="18.75" customHeight="1">
      <c r="A416">
        <v>415</v>
      </c>
      <c r="C416" t="str">
        <f>_xlfn.XLOOKUP(Tabla1[[#This Row],[CARRERA]],MAE_CARRERA[NOMBRE_CARRERA],MAE_CARRERA[ID_CARRERA],"Seleccione Carrera")</f>
        <v>Seleccione Carrera</v>
      </c>
      <c r="F416" s="1"/>
      <c r="G416" t="str">
        <f>_xlfn.XLOOKUP(Tabla1[[#This Row],[ASIGNATURA]],MAE_ASIGNATURA[NOM_ASIG],MAE_ASIGNATURA[ID_ASIG],"Seleccione Asignatura")</f>
        <v>Seleccione Asignatura</v>
      </c>
      <c r="H416" s="1" t="str" cm="1">
        <f t="array" ref="H416">_xlfn.TEXTJOIN("; ",TRUE,TRANSPOSE(_xlfn.UNIQUE(_xlfn._xlws.FILTER(DET_ASIG[DETALLADO],(DET_ASIG[NIVEL]=ASIGNACION!$D416)*(DET_ASIG[ID_CARRERA]=ASIGNACION!$C416)*(DET_ASIG[ID_ASIG]=ASIGNACION!$G416),"No existe información"))))</f>
        <v>No existe información</v>
      </c>
      <c r="I416" s="1"/>
      <c r="J416">
        <f>_xlfn.XLOOKUP(Tabla1[[#This Row],[ID_ASIG_CAM_DET]],MAE_ASIGNATURA[ID_ASIG],MAE_ASIGNATURA[HORAS],0)</f>
        <v>0</v>
      </c>
      <c r="K416">
        <v>4</v>
      </c>
      <c r="L416" s="2">
        <f>+Tabla1[[#This Row],[CALCULAR HORA]]*Tabla1[[#This Row],[HORAS]]</f>
        <v>0</v>
      </c>
      <c r="N416" t="str">
        <f>_xlfn.XLOOKUP(Tabla1[[#This Row],[NOMBRE_DOCENT]],MDOCENTES[DATOS_DOCENTE],MDOCENTES[DEDICACION],"Seleccione Docente")</f>
        <v>Seleccione Docente</v>
      </c>
      <c r="O416" t="str">
        <f>_xlfn.XLOOKUP(Tabla1[[#This Row],[NOMBRE_DOCENT]],MDOCENTES[DATOS_DOCENTE],MDOCENTES[ESTUDIO],"Seleccione Docente")</f>
        <v>Seleccione Docente</v>
      </c>
      <c r="P416">
        <f t="shared" si="30"/>
        <v>0</v>
      </c>
      <c r="Q416">
        <f t="shared" si="31"/>
        <v>0</v>
      </c>
      <c r="R416">
        <f t="shared" si="32"/>
        <v>0</v>
      </c>
      <c r="S416">
        <f t="shared" si="33"/>
        <v>0</v>
      </c>
      <c r="T416">
        <f t="shared" si="34"/>
        <v>0</v>
      </c>
      <c r="U416">
        <f>Tabla1[[#This Row],[HORAS NO AFINIDAD]]+Tabla1[[#This Row],[HORAS UNIDAD BASICA]]+Tabla1[[#This Row],[HORAS AFINIDAD]]</f>
        <v>0</v>
      </c>
      <c r="V416">
        <f>+Tabla1[[#This Row],[HORAS AFINIDAD]]+Tabla1[[#This Row],[HORAS ACTIVIDAD]]+Tabla1[[#This Row],[HORAS UNIDAD BASICA]]+Tabla1[[#This Row],[HORAS NO AFINIDAD]]</f>
        <v>0</v>
      </c>
    </row>
    <row r="417" spans="1:22" ht="18.75" customHeight="1">
      <c r="A417">
        <v>416</v>
      </c>
      <c r="C417" t="str">
        <f>_xlfn.XLOOKUP(Tabla1[[#This Row],[CARRERA]],MAE_CARRERA[NOMBRE_CARRERA],MAE_CARRERA[ID_CARRERA],"Seleccione Carrera")</f>
        <v>Seleccione Carrera</v>
      </c>
      <c r="F417" s="1"/>
      <c r="G417" t="str">
        <f>_xlfn.XLOOKUP(Tabla1[[#This Row],[ASIGNATURA]],MAE_ASIGNATURA[NOM_ASIG],MAE_ASIGNATURA[ID_ASIG],"Seleccione Asignatura")</f>
        <v>Seleccione Asignatura</v>
      </c>
      <c r="H417" s="1" t="str" cm="1">
        <f t="array" ref="H417">_xlfn.TEXTJOIN("; ",TRUE,TRANSPOSE(_xlfn.UNIQUE(_xlfn._xlws.FILTER(DET_ASIG[DETALLADO],(DET_ASIG[NIVEL]=ASIGNACION!$D417)*(DET_ASIG[ID_CARRERA]=ASIGNACION!$C417)*(DET_ASIG[ID_ASIG]=ASIGNACION!$G417),"No existe información"))))</f>
        <v>No existe información</v>
      </c>
      <c r="I417" s="1"/>
      <c r="J417">
        <f>_xlfn.XLOOKUP(Tabla1[[#This Row],[ID_ASIG_CAM_DET]],MAE_ASIGNATURA[ID_ASIG],MAE_ASIGNATURA[HORAS],0)</f>
        <v>0</v>
      </c>
      <c r="K417">
        <v>4</v>
      </c>
      <c r="L417" s="2">
        <f>+Tabla1[[#This Row],[CALCULAR HORA]]*Tabla1[[#This Row],[HORAS]]</f>
        <v>0</v>
      </c>
      <c r="N417" t="str">
        <f>_xlfn.XLOOKUP(Tabla1[[#This Row],[NOMBRE_DOCENT]],MDOCENTES[DATOS_DOCENTE],MDOCENTES[DEDICACION],"Seleccione Docente")</f>
        <v>Seleccione Docente</v>
      </c>
      <c r="O417" t="str">
        <f>_xlfn.XLOOKUP(Tabla1[[#This Row],[NOMBRE_DOCENT]],MDOCENTES[DATOS_DOCENTE],MDOCENTES[ESTUDIO],"Seleccione Docente")</f>
        <v>Seleccione Docente</v>
      </c>
      <c r="P417">
        <f t="shared" si="30"/>
        <v>0</v>
      </c>
      <c r="Q417">
        <f t="shared" si="31"/>
        <v>0</v>
      </c>
      <c r="R417">
        <f t="shared" si="32"/>
        <v>0</v>
      </c>
      <c r="S417">
        <f t="shared" si="33"/>
        <v>0</v>
      </c>
      <c r="T417">
        <f t="shared" si="34"/>
        <v>0</v>
      </c>
      <c r="U417">
        <f>Tabla1[[#This Row],[HORAS NO AFINIDAD]]+Tabla1[[#This Row],[HORAS UNIDAD BASICA]]+Tabla1[[#This Row],[HORAS AFINIDAD]]</f>
        <v>0</v>
      </c>
      <c r="V417">
        <f>+Tabla1[[#This Row],[HORAS AFINIDAD]]+Tabla1[[#This Row],[HORAS ACTIVIDAD]]+Tabla1[[#This Row],[HORAS UNIDAD BASICA]]+Tabla1[[#This Row],[HORAS NO AFINIDAD]]</f>
        <v>0</v>
      </c>
    </row>
    <row r="418" spans="1:22" ht="18.75" customHeight="1">
      <c r="A418">
        <v>417</v>
      </c>
      <c r="C418" t="str">
        <f>_xlfn.XLOOKUP(Tabla1[[#This Row],[CARRERA]],MAE_CARRERA[NOMBRE_CARRERA],MAE_CARRERA[ID_CARRERA],"Seleccione Carrera")</f>
        <v>Seleccione Carrera</v>
      </c>
      <c r="F418" s="1"/>
      <c r="G418" t="str">
        <f>_xlfn.XLOOKUP(Tabla1[[#This Row],[ASIGNATURA]],MAE_ASIGNATURA[NOM_ASIG],MAE_ASIGNATURA[ID_ASIG],"Seleccione Asignatura")</f>
        <v>Seleccione Asignatura</v>
      </c>
      <c r="H418" s="1" t="str" cm="1">
        <f t="array" ref="H418">_xlfn.TEXTJOIN("; ",TRUE,TRANSPOSE(_xlfn.UNIQUE(_xlfn._xlws.FILTER(DET_ASIG[DETALLADO],(DET_ASIG[NIVEL]=ASIGNACION!$D418)*(DET_ASIG[ID_CARRERA]=ASIGNACION!$C418)*(DET_ASIG[ID_ASIG]=ASIGNACION!$G418),"No existe información"))))</f>
        <v>No existe información</v>
      </c>
      <c r="I418" s="1"/>
      <c r="J418">
        <f>_xlfn.XLOOKUP(Tabla1[[#This Row],[ID_ASIG_CAM_DET]],MAE_ASIGNATURA[ID_ASIG],MAE_ASIGNATURA[HORAS],0)</f>
        <v>0</v>
      </c>
      <c r="K418">
        <v>4</v>
      </c>
      <c r="L418" s="2">
        <f>+Tabla1[[#This Row],[CALCULAR HORA]]*Tabla1[[#This Row],[HORAS]]</f>
        <v>0</v>
      </c>
      <c r="N418" t="str">
        <f>_xlfn.XLOOKUP(Tabla1[[#This Row],[NOMBRE_DOCENT]],MDOCENTES[DATOS_DOCENTE],MDOCENTES[DEDICACION],"Seleccione Docente")</f>
        <v>Seleccione Docente</v>
      </c>
      <c r="O418" t="str">
        <f>_xlfn.XLOOKUP(Tabla1[[#This Row],[NOMBRE_DOCENT]],MDOCENTES[DATOS_DOCENTE],MDOCENTES[ESTUDIO],"Seleccione Docente")</f>
        <v>Seleccione Docente</v>
      </c>
      <c r="P418">
        <f t="shared" si="30"/>
        <v>0</v>
      </c>
      <c r="Q418">
        <f t="shared" si="31"/>
        <v>0</v>
      </c>
      <c r="R418">
        <f t="shared" si="32"/>
        <v>0</v>
      </c>
      <c r="S418">
        <f t="shared" si="33"/>
        <v>0</v>
      </c>
      <c r="T418">
        <f t="shared" si="34"/>
        <v>0</v>
      </c>
      <c r="U418">
        <f>Tabla1[[#This Row],[HORAS NO AFINIDAD]]+Tabla1[[#This Row],[HORAS UNIDAD BASICA]]+Tabla1[[#This Row],[HORAS AFINIDAD]]</f>
        <v>0</v>
      </c>
      <c r="V418">
        <f>+Tabla1[[#This Row],[HORAS AFINIDAD]]+Tabla1[[#This Row],[HORAS ACTIVIDAD]]+Tabla1[[#This Row],[HORAS UNIDAD BASICA]]+Tabla1[[#This Row],[HORAS NO AFINIDAD]]</f>
        <v>0</v>
      </c>
    </row>
    <row r="419" spans="1:22" ht="18.75" customHeight="1">
      <c r="A419">
        <v>418</v>
      </c>
      <c r="C419" t="str">
        <f>_xlfn.XLOOKUP(Tabla1[[#This Row],[CARRERA]],MAE_CARRERA[NOMBRE_CARRERA],MAE_CARRERA[ID_CARRERA],"Seleccione Carrera")</f>
        <v>Seleccione Carrera</v>
      </c>
      <c r="F419" s="1"/>
      <c r="G419" t="str">
        <f>_xlfn.XLOOKUP(Tabla1[[#This Row],[ASIGNATURA]],MAE_ASIGNATURA[NOM_ASIG],MAE_ASIGNATURA[ID_ASIG],"Seleccione Asignatura")</f>
        <v>Seleccione Asignatura</v>
      </c>
      <c r="H419" s="1" t="str" cm="1">
        <f t="array" ref="H419">_xlfn.TEXTJOIN("; ",TRUE,TRANSPOSE(_xlfn.UNIQUE(_xlfn._xlws.FILTER(DET_ASIG[DETALLADO],(DET_ASIG[NIVEL]=ASIGNACION!$D419)*(DET_ASIG[ID_CARRERA]=ASIGNACION!$C419)*(DET_ASIG[ID_ASIG]=ASIGNACION!$G419),"No existe información"))))</f>
        <v>No existe información</v>
      </c>
      <c r="I419" s="1"/>
      <c r="J419">
        <f>_xlfn.XLOOKUP(Tabla1[[#This Row],[ID_ASIG_CAM_DET]],MAE_ASIGNATURA[ID_ASIG],MAE_ASIGNATURA[HORAS],0)</f>
        <v>0</v>
      </c>
      <c r="K419">
        <v>4</v>
      </c>
      <c r="L419" s="2">
        <f>+Tabla1[[#This Row],[CALCULAR HORA]]*Tabla1[[#This Row],[HORAS]]</f>
        <v>0</v>
      </c>
      <c r="N419" t="str">
        <f>_xlfn.XLOOKUP(Tabla1[[#This Row],[NOMBRE_DOCENT]],MDOCENTES[DATOS_DOCENTE],MDOCENTES[DEDICACION],"Seleccione Docente")</f>
        <v>Seleccione Docente</v>
      </c>
      <c r="O419" t="str">
        <f>_xlfn.XLOOKUP(Tabla1[[#This Row],[NOMBRE_DOCENT]],MDOCENTES[DATOS_DOCENTE],MDOCENTES[ESTUDIO],"Seleccione Docente")</f>
        <v>Seleccione Docente</v>
      </c>
      <c r="P419">
        <f t="shared" si="30"/>
        <v>0</v>
      </c>
      <c r="Q419">
        <f t="shared" si="31"/>
        <v>0</v>
      </c>
      <c r="R419">
        <f t="shared" si="32"/>
        <v>0</v>
      </c>
      <c r="S419">
        <f t="shared" si="33"/>
        <v>0</v>
      </c>
      <c r="T419">
        <f t="shared" si="34"/>
        <v>0</v>
      </c>
      <c r="U419">
        <f>Tabla1[[#This Row],[HORAS NO AFINIDAD]]+Tabla1[[#This Row],[HORAS UNIDAD BASICA]]+Tabla1[[#This Row],[HORAS AFINIDAD]]</f>
        <v>0</v>
      </c>
      <c r="V419">
        <f>+Tabla1[[#This Row],[HORAS AFINIDAD]]+Tabla1[[#This Row],[HORAS ACTIVIDAD]]+Tabla1[[#This Row],[HORAS UNIDAD BASICA]]+Tabla1[[#This Row],[HORAS NO AFINIDAD]]</f>
        <v>0</v>
      </c>
    </row>
    <row r="420" spans="1:22" ht="18.75" customHeight="1">
      <c r="A420">
        <v>419</v>
      </c>
      <c r="C420" t="str">
        <f>_xlfn.XLOOKUP(Tabla1[[#This Row],[CARRERA]],MAE_CARRERA[NOMBRE_CARRERA],MAE_CARRERA[ID_CARRERA],"Seleccione Carrera")</f>
        <v>Seleccione Carrera</v>
      </c>
      <c r="F420" s="1"/>
      <c r="G420" t="str">
        <f>_xlfn.XLOOKUP(Tabla1[[#This Row],[ASIGNATURA]],MAE_ASIGNATURA[NOM_ASIG],MAE_ASIGNATURA[ID_ASIG],"Seleccione Asignatura")</f>
        <v>Seleccione Asignatura</v>
      </c>
      <c r="H420" s="1" t="str" cm="1">
        <f t="array" ref="H420">_xlfn.TEXTJOIN("; ",TRUE,TRANSPOSE(_xlfn.UNIQUE(_xlfn._xlws.FILTER(DET_ASIG[DETALLADO],(DET_ASIG[NIVEL]=ASIGNACION!$D420)*(DET_ASIG[ID_CARRERA]=ASIGNACION!$C420)*(DET_ASIG[ID_ASIG]=ASIGNACION!$G420),"No existe información"))))</f>
        <v>No existe información</v>
      </c>
      <c r="I420" s="1"/>
      <c r="J420">
        <f>_xlfn.XLOOKUP(Tabla1[[#This Row],[ID_ASIG_CAM_DET]],MAE_ASIGNATURA[ID_ASIG],MAE_ASIGNATURA[HORAS],0)</f>
        <v>0</v>
      </c>
      <c r="K420">
        <v>4</v>
      </c>
      <c r="L420" s="2">
        <f>+Tabla1[[#This Row],[CALCULAR HORA]]*Tabla1[[#This Row],[HORAS]]</f>
        <v>0</v>
      </c>
      <c r="N420" t="str">
        <f>_xlfn.XLOOKUP(Tabla1[[#This Row],[NOMBRE_DOCENT]],MDOCENTES[DATOS_DOCENTE],MDOCENTES[DEDICACION],"Seleccione Docente")</f>
        <v>Seleccione Docente</v>
      </c>
      <c r="O420" t="str">
        <f>_xlfn.XLOOKUP(Tabla1[[#This Row],[NOMBRE_DOCENT]],MDOCENTES[DATOS_DOCENTE],MDOCENTES[ESTUDIO],"Seleccione Docente")</f>
        <v>Seleccione Docente</v>
      </c>
      <c r="P420">
        <f t="shared" si="30"/>
        <v>0</v>
      </c>
      <c r="Q420">
        <f t="shared" si="31"/>
        <v>0</v>
      </c>
      <c r="R420">
        <f t="shared" si="32"/>
        <v>0</v>
      </c>
      <c r="S420">
        <f t="shared" si="33"/>
        <v>0</v>
      </c>
      <c r="T420">
        <f t="shared" si="34"/>
        <v>0</v>
      </c>
      <c r="U420">
        <f>Tabla1[[#This Row],[HORAS NO AFINIDAD]]+Tabla1[[#This Row],[HORAS UNIDAD BASICA]]+Tabla1[[#This Row],[HORAS AFINIDAD]]</f>
        <v>0</v>
      </c>
      <c r="V420">
        <f>+Tabla1[[#This Row],[HORAS AFINIDAD]]+Tabla1[[#This Row],[HORAS ACTIVIDAD]]+Tabla1[[#This Row],[HORAS UNIDAD BASICA]]+Tabla1[[#This Row],[HORAS NO AFINIDAD]]</f>
        <v>0</v>
      </c>
    </row>
    <row r="421" spans="1:22" ht="18.75" customHeight="1">
      <c r="A421">
        <v>420</v>
      </c>
      <c r="C421" t="str">
        <f>_xlfn.XLOOKUP(Tabla1[[#This Row],[CARRERA]],MAE_CARRERA[NOMBRE_CARRERA],MAE_CARRERA[ID_CARRERA],"Seleccione Carrera")</f>
        <v>Seleccione Carrera</v>
      </c>
      <c r="F421" s="1"/>
      <c r="G421" t="str">
        <f>_xlfn.XLOOKUP(Tabla1[[#This Row],[ASIGNATURA]],MAE_ASIGNATURA[NOM_ASIG],MAE_ASIGNATURA[ID_ASIG],"Seleccione Asignatura")</f>
        <v>Seleccione Asignatura</v>
      </c>
      <c r="H421" s="1" t="str" cm="1">
        <f t="array" ref="H421">_xlfn.TEXTJOIN("; ",TRUE,TRANSPOSE(_xlfn.UNIQUE(_xlfn._xlws.FILTER(DET_ASIG[DETALLADO],(DET_ASIG[NIVEL]=ASIGNACION!$D421)*(DET_ASIG[ID_CARRERA]=ASIGNACION!$C421)*(DET_ASIG[ID_ASIG]=ASIGNACION!$G421),"No existe información"))))</f>
        <v>No existe información</v>
      </c>
      <c r="I421" s="1"/>
      <c r="J421">
        <f>_xlfn.XLOOKUP(Tabla1[[#This Row],[ID_ASIG_CAM_DET]],MAE_ASIGNATURA[ID_ASIG],MAE_ASIGNATURA[HORAS],0)</f>
        <v>0</v>
      </c>
      <c r="K421">
        <v>4</v>
      </c>
      <c r="L421" s="2">
        <f>+Tabla1[[#This Row],[CALCULAR HORA]]*Tabla1[[#This Row],[HORAS]]</f>
        <v>0</v>
      </c>
      <c r="N421" t="str">
        <f>_xlfn.XLOOKUP(Tabla1[[#This Row],[NOMBRE_DOCENT]],MDOCENTES[DATOS_DOCENTE],MDOCENTES[DEDICACION],"Seleccione Docente")</f>
        <v>Seleccione Docente</v>
      </c>
      <c r="O421" t="str">
        <f>_xlfn.XLOOKUP(Tabla1[[#This Row],[NOMBRE_DOCENT]],MDOCENTES[DATOS_DOCENTE],MDOCENTES[ESTUDIO],"Seleccione Docente")</f>
        <v>Seleccione Docente</v>
      </c>
      <c r="P421">
        <f t="shared" si="30"/>
        <v>0</v>
      </c>
      <c r="Q421">
        <f t="shared" si="31"/>
        <v>0</v>
      </c>
      <c r="R421">
        <f t="shared" si="32"/>
        <v>0</v>
      </c>
      <c r="S421">
        <f t="shared" si="33"/>
        <v>0</v>
      </c>
      <c r="T421">
        <f t="shared" si="34"/>
        <v>0</v>
      </c>
      <c r="U421">
        <f>Tabla1[[#This Row],[HORAS NO AFINIDAD]]+Tabla1[[#This Row],[HORAS UNIDAD BASICA]]+Tabla1[[#This Row],[HORAS AFINIDAD]]</f>
        <v>0</v>
      </c>
      <c r="V421">
        <f>+Tabla1[[#This Row],[HORAS AFINIDAD]]+Tabla1[[#This Row],[HORAS ACTIVIDAD]]+Tabla1[[#This Row],[HORAS UNIDAD BASICA]]+Tabla1[[#This Row],[HORAS NO AFINIDAD]]</f>
        <v>0</v>
      </c>
    </row>
    <row r="422" spans="1:22" ht="18.75" customHeight="1">
      <c r="A422">
        <v>421</v>
      </c>
      <c r="C422" t="str">
        <f>_xlfn.XLOOKUP(Tabla1[[#This Row],[CARRERA]],MAE_CARRERA[NOMBRE_CARRERA],MAE_CARRERA[ID_CARRERA],"Seleccione Carrera")</f>
        <v>Seleccione Carrera</v>
      </c>
      <c r="F422" s="1"/>
      <c r="G422" t="str">
        <f>_xlfn.XLOOKUP(Tabla1[[#This Row],[ASIGNATURA]],MAE_ASIGNATURA[NOM_ASIG],MAE_ASIGNATURA[ID_ASIG],"Seleccione Asignatura")</f>
        <v>Seleccione Asignatura</v>
      </c>
      <c r="H422" s="1" t="str" cm="1">
        <f t="array" ref="H422">_xlfn.TEXTJOIN("; ",TRUE,TRANSPOSE(_xlfn.UNIQUE(_xlfn._xlws.FILTER(DET_ASIG[DETALLADO],(DET_ASIG[NIVEL]=ASIGNACION!$D422)*(DET_ASIG[ID_CARRERA]=ASIGNACION!$C422)*(DET_ASIG[ID_ASIG]=ASIGNACION!$G422),"No existe información"))))</f>
        <v>No existe información</v>
      </c>
      <c r="I422" s="1"/>
      <c r="J422">
        <f>_xlfn.XLOOKUP(Tabla1[[#This Row],[ID_ASIG_CAM_DET]],MAE_ASIGNATURA[ID_ASIG],MAE_ASIGNATURA[HORAS],0)</f>
        <v>0</v>
      </c>
      <c r="K422">
        <v>4</v>
      </c>
      <c r="L422" s="2">
        <f>+Tabla1[[#This Row],[CALCULAR HORA]]*Tabla1[[#This Row],[HORAS]]</f>
        <v>0</v>
      </c>
      <c r="N422" t="str">
        <f>_xlfn.XLOOKUP(Tabla1[[#This Row],[NOMBRE_DOCENT]],MDOCENTES[DATOS_DOCENTE],MDOCENTES[DEDICACION],"Seleccione Docente")</f>
        <v>Seleccione Docente</v>
      </c>
      <c r="O422" t="str">
        <f>_xlfn.XLOOKUP(Tabla1[[#This Row],[NOMBRE_DOCENT]],MDOCENTES[DATOS_DOCENTE],MDOCENTES[ESTUDIO],"Seleccione Docente")</f>
        <v>Seleccione Docente</v>
      </c>
      <c r="P422">
        <f t="shared" si="30"/>
        <v>0</v>
      </c>
      <c r="Q422">
        <f t="shared" si="31"/>
        <v>0</v>
      </c>
      <c r="R422">
        <f t="shared" si="32"/>
        <v>0</v>
      </c>
      <c r="S422">
        <f t="shared" si="33"/>
        <v>0</v>
      </c>
      <c r="T422">
        <f t="shared" si="34"/>
        <v>0</v>
      </c>
      <c r="U422">
        <f>Tabla1[[#This Row],[HORAS NO AFINIDAD]]+Tabla1[[#This Row],[HORAS UNIDAD BASICA]]+Tabla1[[#This Row],[HORAS AFINIDAD]]</f>
        <v>0</v>
      </c>
      <c r="V422">
        <f>+Tabla1[[#This Row],[HORAS AFINIDAD]]+Tabla1[[#This Row],[HORAS ACTIVIDAD]]+Tabla1[[#This Row],[HORAS UNIDAD BASICA]]+Tabla1[[#This Row],[HORAS NO AFINIDAD]]</f>
        <v>0</v>
      </c>
    </row>
    <row r="423" spans="1:22" ht="18.75" customHeight="1">
      <c r="A423">
        <v>422</v>
      </c>
      <c r="C423" t="str">
        <f>_xlfn.XLOOKUP(Tabla1[[#This Row],[CARRERA]],MAE_CARRERA[NOMBRE_CARRERA],MAE_CARRERA[ID_CARRERA],"Seleccione Carrera")</f>
        <v>Seleccione Carrera</v>
      </c>
      <c r="F423" s="1"/>
      <c r="G423" t="str">
        <f>_xlfn.XLOOKUP(Tabla1[[#This Row],[ASIGNATURA]],MAE_ASIGNATURA[NOM_ASIG],MAE_ASIGNATURA[ID_ASIG],"Seleccione Asignatura")</f>
        <v>Seleccione Asignatura</v>
      </c>
      <c r="H423" s="1" t="str" cm="1">
        <f t="array" ref="H423">_xlfn.TEXTJOIN("; ",TRUE,TRANSPOSE(_xlfn.UNIQUE(_xlfn._xlws.FILTER(DET_ASIG[DETALLADO],(DET_ASIG[NIVEL]=ASIGNACION!$D423)*(DET_ASIG[ID_CARRERA]=ASIGNACION!$C423)*(DET_ASIG[ID_ASIG]=ASIGNACION!$G423),"No existe información"))))</f>
        <v>No existe información</v>
      </c>
      <c r="I423" s="1"/>
      <c r="J423">
        <f>_xlfn.XLOOKUP(Tabla1[[#This Row],[ID_ASIG_CAM_DET]],MAE_ASIGNATURA[ID_ASIG],MAE_ASIGNATURA[HORAS],0)</f>
        <v>0</v>
      </c>
      <c r="K423">
        <v>4</v>
      </c>
      <c r="L423" s="2">
        <f>+Tabla1[[#This Row],[CALCULAR HORA]]*Tabla1[[#This Row],[HORAS]]</f>
        <v>0</v>
      </c>
      <c r="N423" t="str">
        <f>_xlfn.XLOOKUP(Tabla1[[#This Row],[NOMBRE_DOCENT]],MDOCENTES[DATOS_DOCENTE],MDOCENTES[DEDICACION],"Seleccione Docente")</f>
        <v>Seleccione Docente</v>
      </c>
      <c r="O423" t="str">
        <f>_xlfn.XLOOKUP(Tabla1[[#This Row],[NOMBRE_DOCENT]],MDOCENTES[DATOS_DOCENTE],MDOCENTES[ESTUDIO],"Seleccione Docente")</f>
        <v>Seleccione Docente</v>
      </c>
      <c r="P423">
        <f t="shared" si="30"/>
        <v>0</v>
      </c>
      <c r="Q423">
        <f t="shared" si="31"/>
        <v>0</v>
      </c>
      <c r="R423">
        <f t="shared" si="32"/>
        <v>0</v>
      </c>
      <c r="S423">
        <f t="shared" si="33"/>
        <v>0</v>
      </c>
      <c r="T423">
        <f t="shared" si="34"/>
        <v>0</v>
      </c>
      <c r="U423">
        <f>Tabla1[[#This Row],[HORAS NO AFINIDAD]]+Tabla1[[#This Row],[HORAS UNIDAD BASICA]]+Tabla1[[#This Row],[HORAS AFINIDAD]]</f>
        <v>0</v>
      </c>
      <c r="V423">
        <f>+Tabla1[[#This Row],[HORAS AFINIDAD]]+Tabla1[[#This Row],[HORAS ACTIVIDAD]]+Tabla1[[#This Row],[HORAS UNIDAD BASICA]]+Tabla1[[#This Row],[HORAS NO AFINIDAD]]</f>
        <v>0</v>
      </c>
    </row>
    <row r="424" spans="1:22" ht="18.75" customHeight="1">
      <c r="A424">
        <v>423</v>
      </c>
      <c r="C424" t="str">
        <f>_xlfn.XLOOKUP(Tabla1[[#This Row],[CARRERA]],MAE_CARRERA[NOMBRE_CARRERA],MAE_CARRERA[ID_CARRERA],"Seleccione Carrera")</f>
        <v>Seleccione Carrera</v>
      </c>
      <c r="F424" s="1"/>
      <c r="G424" t="str">
        <f>_xlfn.XLOOKUP(Tabla1[[#This Row],[ASIGNATURA]],MAE_ASIGNATURA[NOM_ASIG],MAE_ASIGNATURA[ID_ASIG],"Seleccione Asignatura")</f>
        <v>Seleccione Asignatura</v>
      </c>
      <c r="H424" s="1" t="str" cm="1">
        <f t="array" ref="H424">_xlfn.TEXTJOIN("; ",TRUE,TRANSPOSE(_xlfn.UNIQUE(_xlfn._xlws.FILTER(DET_ASIG[DETALLADO],(DET_ASIG[NIVEL]=ASIGNACION!$D424)*(DET_ASIG[ID_CARRERA]=ASIGNACION!$C424)*(DET_ASIG[ID_ASIG]=ASIGNACION!$G424),"No existe información"))))</f>
        <v>No existe información</v>
      </c>
      <c r="I424" s="1"/>
      <c r="J424">
        <f>_xlfn.XLOOKUP(Tabla1[[#This Row],[ID_ASIG_CAM_DET]],MAE_ASIGNATURA[ID_ASIG],MAE_ASIGNATURA[HORAS],0)</f>
        <v>0</v>
      </c>
      <c r="K424">
        <v>4</v>
      </c>
      <c r="L424" s="2">
        <f>+Tabla1[[#This Row],[CALCULAR HORA]]*Tabla1[[#This Row],[HORAS]]</f>
        <v>0</v>
      </c>
      <c r="N424" t="str">
        <f>_xlfn.XLOOKUP(Tabla1[[#This Row],[NOMBRE_DOCENT]],MDOCENTES[DATOS_DOCENTE],MDOCENTES[DEDICACION],"Seleccione Docente")</f>
        <v>Seleccione Docente</v>
      </c>
      <c r="O424" t="str">
        <f>_xlfn.XLOOKUP(Tabla1[[#This Row],[NOMBRE_DOCENT]],MDOCENTES[DATOS_DOCENTE],MDOCENTES[ESTUDIO],"Seleccione Docente")</f>
        <v>Seleccione Docente</v>
      </c>
      <c r="P424">
        <f t="shared" si="30"/>
        <v>0</v>
      </c>
      <c r="Q424">
        <f t="shared" si="31"/>
        <v>0</v>
      </c>
      <c r="R424">
        <f t="shared" si="32"/>
        <v>0</v>
      </c>
      <c r="S424">
        <f t="shared" si="33"/>
        <v>0</v>
      </c>
      <c r="T424">
        <f t="shared" si="34"/>
        <v>0</v>
      </c>
      <c r="U424">
        <f>Tabla1[[#This Row],[HORAS NO AFINIDAD]]+Tabla1[[#This Row],[HORAS UNIDAD BASICA]]+Tabla1[[#This Row],[HORAS AFINIDAD]]</f>
        <v>0</v>
      </c>
      <c r="V424">
        <f>+Tabla1[[#This Row],[HORAS AFINIDAD]]+Tabla1[[#This Row],[HORAS ACTIVIDAD]]+Tabla1[[#This Row],[HORAS UNIDAD BASICA]]+Tabla1[[#This Row],[HORAS NO AFINIDAD]]</f>
        <v>0</v>
      </c>
    </row>
    <row r="425" spans="1:22" ht="18.75" customHeight="1">
      <c r="A425">
        <v>424</v>
      </c>
      <c r="C425" t="str">
        <f>_xlfn.XLOOKUP(Tabla1[[#This Row],[CARRERA]],MAE_CARRERA[NOMBRE_CARRERA],MAE_CARRERA[ID_CARRERA],"Seleccione Carrera")</f>
        <v>Seleccione Carrera</v>
      </c>
      <c r="F425" s="1"/>
      <c r="G425" t="str">
        <f>_xlfn.XLOOKUP(Tabla1[[#This Row],[ASIGNATURA]],MAE_ASIGNATURA[NOM_ASIG],MAE_ASIGNATURA[ID_ASIG],"Seleccione Asignatura")</f>
        <v>Seleccione Asignatura</v>
      </c>
      <c r="H425" s="1" t="str" cm="1">
        <f t="array" ref="H425">_xlfn.TEXTJOIN("; ",TRUE,TRANSPOSE(_xlfn.UNIQUE(_xlfn._xlws.FILTER(DET_ASIG[DETALLADO],(DET_ASIG[NIVEL]=ASIGNACION!$D425)*(DET_ASIG[ID_CARRERA]=ASIGNACION!$C425)*(DET_ASIG[ID_ASIG]=ASIGNACION!$G425),"No existe información"))))</f>
        <v>No existe información</v>
      </c>
      <c r="I425" s="1"/>
      <c r="J425">
        <f>_xlfn.XLOOKUP(Tabla1[[#This Row],[ID_ASIG_CAM_DET]],MAE_ASIGNATURA[ID_ASIG],MAE_ASIGNATURA[HORAS],0)</f>
        <v>0</v>
      </c>
      <c r="K425">
        <v>4</v>
      </c>
      <c r="L425" s="2">
        <f>+Tabla1[[#This Row],[CALCULAR HORA]]*Tabla1[[#This Row],[HORAS]]</f>
        <v>0</v>
      </c>
      <c r="N425" t="str">
        <f>_xlfn.XLOOKUP(Tabla1[[#This Row],[NOMBRE_DOCENT]],MDOCENTES[DATOS_DOCENTE],MDOCENTES[DEDICACION],"Seleccione Docente")</f>
        <v>Seleccione Docente</v>
      </c>
      <c r="O425" t="str">
        <f>_xlfn.XLOOKUP(Tabla1[[#This Row],[NOMBRE_DOCENT]],MDOCENTES[DATOS_DOCENTE],MDOCENTES[ESTUDIO],"Seleccione Docente")</f>
        <v>Seleccione Docente</v>
      </c>
      <c r="P425">
        <f t="shared" si="30"/>
        <v>0</v>
      </c>
      <c r="Q425">
        <f t="shared" si="31"/>
        <v>0</v>
      </c>
      <c r="R425">
        <f t="shared" si="32"/>
        <v>0</v>
      </c>
      <c r="S425">
        <f t="shared" si="33"/>
        <v>0</v>
      </c>
      <c r="T425">
        <f t="shared" si="34"/>
        <v>0</v>
      </c>
      <c r="U425">
        <f>Tabla1[[#This Row],[HORAS NO AFINIDAD]]+Tabla1[[#This Row],[HORAS UNIDAD BASICA]]+Tabla1[[#This Row],[HORAS AFINIDAD]]</f>
        <v>0</v>
      </c>
      <c r="V425">
        <f>+Tabla1[[#This Row],[HORAS AFINIDAD]]+Tabla1[[#This Row],[HORAS ACTIVIDAD]]+Tabla1[[#This Row],[HORAS UNIDAD BASICA]]+Tabla1[[#This Row],[HORAS NO AFINIDAD]]</f>
        <v>0</v>
      </c>
    </row>
    <row r="426" spans="1:22" ht="18.75" customHeight="1">
      <c r="A426">
        <v>425</v>
      </c>
      <c r="C426" t="str">
        <f>_xlfn.XLOOKUP(Tabla1[[#This Row],[CARRERA]],MAE_CARRERA[NOMBRE_CARRERA],MAE_CARRERA[ID_CARRERA],"Seleccione Carrera")</f>
        <v>Seleccione Carrera</v>
      </c>
      <c r="F426" s="1"/>
      <c r="G426" t="str">
        <f>_xlfn.XLOOKUP(Tabla1[[#This Row],[ASIGNATURA]],MAE_ASIGNATURA[NOM_ASIG],MAE_ASIGNATURA[ID_ASIG],"Seleccione Asignatura")</f>
        <v>Seleccione Asignatura</v>
      </c>
      <c r="H426" s="1" t="str" cm="1">
        <f t="array" ref="H426">_xlfn.TEXTJOIN("; ",TRUE,TRANSPOSE(_xlfn.UNIQUE(_xlfn._xlws.FILTER(DET_ASIG[DETALLADO],(DET_ASIG[NIVEL]=ASIGNACION!$D426)*(DET_ASIG[ID_CARRERA]=ASIGNACION!$C426)*(DET_ASIG[ID_ASIG]=ASIGNACION!$G426),"No existe información"))))</f>
        <v>No existe información</v>
      </c>
      <c r="I426" s="1"/>
      <c r="J426">
        <f>_xlfn.XLOOKUP(Tabla1[[#This Row],[ID_ASIG_CAM_DET]],MAE_ASIGNATURA[ID_ASIG],MAE_ASIGNATURA[HORAS],0)</f>
        <v>0</v>
      </c>
      <c r="K426">
        <v>4</v>
      </c>
      <c r="L426" s="2">
        <f>+Tabla1[[#This Row],[CALCULAR HORA]]*Tabla1[[#This Row],[HORAS]]</f>
        <v>0</v>
      </c>
      <c r="N426" t="str">
        <f>_xlfn.XLOOKUP(Tabla1[[#This Row],[NOMBRE_DOCENT]],MDOCENTES[DATOS_DOCENTE],MDOCENTES[DEDICACION],"Seleccione Docente")</f>
        <v>Seleccione Docente</v>
      </c>
      <c r="O426" t="str">
        <f>_xlfn.XLOOKUP(Tabla1[[#This Row],[NOMBRE_DOCENT]],MDOCENTES[DATOS_DOCENTE],MDOCENTES[ESTUDIO],"Seleccione Docente")</f>
        <v>Seleccione Docente</v>
      </c>
      <c r="P426">
        <f t="shared" si="30"/>
        <v>0</v>
      </c>
      <c r="Q426">
        <f t="shared" si="31"/>
        <v>0</v>
      </c>
      <c r="R426">
        <f t="shared" si="32"/>
        <v>0</v>
      </c>
      <c r="S426">
        <f t="shared" si="33"/>
        <v>0</v>
      </c>
      <c r="T426">
        <f t="shared" si="34"/>
        <v>0</v>
      </c>
      <c r="U426">
        <f>Tabla1[[#This Row],[HORAS NO AFINIDAD]]+Tabla1[[#This Row],[HORAS UNIDAD BASICA]]+Tabla1[[#This Row],[HORAS AFINIDAD]]</f>
        <v>0</v>
      </c>
      <c r="V426">
        <f>+Tabla1[[#This Row],[HORAS AFINIDAD]]+Tabla1[[#This Row],[HORAS ACTIVIDAD]]+Tabla1[[#This Row],[HORAS UNIDAD BASICA]]+Tabla1[[#This Row],[HORAS NO AFINIDAD]]</f>
        <v>0</v>
      </c>
    </row>
    <row r="427" spans="1:22" ht="18.75" customHeight="1">
      <c r="A427">
        <v>426</v>
      </c>
      <c r="C427" t="str">
        <f>_xlfn.XLOOKUP(Tabla1[[#This Row],[CARRERA]],MAE_CARRERA[NOMBRE_CARRERA],MAE_CARRERA[ID_CARRERA],"Seleccione Carrera")</f>
        <v>Seleccione Carrera</v>
      </c>
      <c r="F427" s="1"/>
      <c r="G427" t="str">
        <f>_xlfn.XLOOKUP(Tabla1[[#This Row],[ASIGNATURA]],MAE_ASIGNATURA[NOM_ASIG],MAE_ASIGNATURA[ID_ASIG],"Seleccione Asignatura")</f>
        <v>Seleccione Asignatura</v>
      </c>
      <c r="H427" s="1" t="str" cm="1">
        <f t="array" ref="H427">_xlfn.TEXTJOIN("; ",TRUE,TRANSPOSE(_xlfn.UNIQUE(_xlfn._xlws.FILTER(DET_ASIG[DETALLADO],(DET_ASIG[NIVEL]=ASIGNACION!$D427)*(DET_ASIG[ID_CARRERA]=ASIGNACION!$C427)*(DET_ASIG[ID_ASIG]=ASIGNACION!$G427),"No existe información"))))</f>
        <v>No existe información</v>
      </c>
      <c r="I427" s="1"/>
      <c r="J427">
        <f>_xlfn.XLOOKUP(Tabla1[[#This Row],[ID_ASIG_CAM_DET]],MAE_ASIGNATURA[ID_ASIG],MAE_ASIGNATURA[HORAS],0)</f>
        <v>0</v>
      </c>
      <c r="K427">
        <v>4</v>
      </c>
      <c r="L427" s="2">
        <f>+Tabla1[[#This Row],[CALCULAR HORA]]*Tabla1[[#This Row],[HORAS]]</f>
        <v>0</v>
      </c>
      <c r="N427" t="str">
        <f>_xlfn.XLOOKUP(Tabla1[[#This Row],[NOMBRE_DOCENT]],MDOCENTES[DATOS_DOCENTE],MDOCENTES[DEDICACION],"Seleccione Docente")</f>
        <v>Seleccione Docente</v>
      </c>
      <c r="O427" t="str">
        <f>_xlfn.XLOOKUP(Tabla1[[#This Row],[NOMBRE_DOCENT]],MDOCENTES[DATOS_DOCENTE],MDOCENTES[ESTUDIO],"Seleccione Docente")</f>
        <v>Seleccione Docente</v>
      </c>
      <c r="P427">
        <f t="shared" si="30"/>
        <v>0</v>
      </c>
      <c r="Q427">
        <f t="shared" si="31"/>
        <v>0</v>
      </c>
      <c r="R427">
        <f t="shared" si="32"/>
        <v>0</v>
      </c>
      <c r="S427">
        <f t="shared" si="33"/>
        <v>0</v>
      </c>
      <c r="T427">
        <f t="shared" si="34"/>
        <v>0</v>
      </c>
      <c r="U427">
        <f>Tabla1[[#This Row],[HORAS NO AFINIDAD]]+Tabla1[[#This Row],[HORAS UNIDAD BASICA]]+Tabla1[[#This Row],[HORAS AFINIDAD]]</f>
        <v>0</v>
      </c>
      <c r="V427">
        <f>+Tabla1[[#This Row],[HORAS AFINIDAD]]+Tabla1[[#This Row],[HORAS ACTIVIDAD]]+Tabla1[[#This Row],[HORAS UNIDAD BASICA]]+Tabla1[[#This Row],[HORAS NO AFINIDAD]]</f>
        <v>0</v>
      </c>
    </row>
    <row r="428" spans="1:22" ht="18.75" customHeight="1">
      <c r="A428">
        <v>427</v>
      </c>
      <c r="C428" t="str">
        <f>_xlfn.XLOOKUP(Tabla1[[#This Row],[CARRERA]],MAE_CARRERA[NOMBRE_CARRERA],MAE_CARRERA[ID_CARRERA],"Seleccione Carrera")</f>
        <v>Seleccione Carrera</v>
      </c>
      <c r="F428" s="1"/>
      <c r="G428" t="str">
        <f>_xlfn.XLOOKUP(Tabla1[[#This Row],[ASIGNATURA]],MAE_ASIGNATURA[NOM_ASIG],MAE_ASIGNATURA[ID_ASIG],"Seleccione Asignatura")</f>
        <v>Seleccione Asignatura</v>
      </c>
      <c r="H428" s="1" t="str" cm="1">
        <f t="array" ref="H428">_xlfn.TEXTJOIN("; ",TRUE,TRANSPOSE(_xlfn.UNIQUE(_xlfn._xlws.FILTER(DET_ASIG[DETALLADO],(DET_ASIG[NIVEL]=ASIGNACION!$D428)*(DET_ASIG[ID_CARRERA]=ASIGNACION!$C428)*(DET_ASIG[ID_ASIG]=ASIGNACION!$G428),"No existe información"))))</f>
        <v>No existe información</v>
      </c>
      <c r="I428" s="1"/>
      <c r="J428">
        <f>_xlfn.XLOOKUP(Tabla1[[#This Row],[ID_ASIG_CAM_DET]],MAE_ASIGNATURA[ID_ASIG],MAE_ASIGNATURA[HORAS],0)</f>
        <v>0</v>
      </c>
      <c r="K428">
        <v>4</v>
      </c>
      <c r="L428" s="2">
        <f>+Tabla1[[#This Row],[CALCULAR HORA]]*Tabla1[[#This Row],[HORAS]]</f>
        <v>0</v>
      </c>
      <c r="N428" t="str">
        <f>_xlfn.XLOOKUP(Tabla1[[#This Row],[NOMBRE_DOCENT]],MDOCENTES[DATOS_DOCENTE],MDOCENTES[DEDICACION],"Seleccione Docente")</f>
        <v>Seleccione Docente</v>
      </c>
      <c r="O428" t="str">
        <f>_xlfn.XLOOKUP(Tabla1[[#This Row],[NOMBRE_DOCENT]],MDOCENTES[DATOS_DOCENTE],MDOCENTES[ESTUDIO],"Seleccione Docente")</f>
        <v>Seleccione Docente</v>
      </c>
      <c r="P428">
        <f t="shared" si="30"/>
        <v>0</v>
      </c>
      <c r="Q428">
        <f t="shared" si="31"/>
        <v>0</v>
      </c>
      <c r="R428">
        <f t="shared" si="32"/>
        <v>0</v>
      </c>
      <c r="S428">
        <f t="shared" si="33"/>
        <v>0</v>
      </c>
      <c r="T428">
        <f t="shared" si="34"/>
        <v>0</v>
      </c>
      <c r="U428">
        <f>Tabla1[[#This Row],[HORAS NO AFINIDAD]]+Tabla1[[#This Row],[HORAS UNIDAD BASICA]]+Tabla1[[#This Row],[HORAS AFINIDAD]]</f>
        <v>0</v>
      </c>
      <c r="V428">
        <f>+Tabla1[[#This Row],[HORAS AFINIDAD]]+Tabla1[[#This Row],[HORAS ACTIVIDAD]]+Tabla1[[#This Row],[HORAS UNIDAD BASICA]]+Tabla1[[#This Row],[HORAS NO AFINIDAD]]</f>
        <v>0</v>
      </c>
    </row>
    <row r="429" spans="1:22" ht="18.75" customHeight="1">
      <c r="A429">
        <v>428</v>
      </c>
      <c r="C429" t="str">
        <f>_xlfn.XLOOKUP(Tabla1[[#This Row],[CARRERA]],MAE_CARRERA[NOMBRE_CARRERA],MAE_CARRERA[ID_CARRERA],"Seleccione Carrera")</f>
        <v>Seleccione Carrera</v>
      </c>
      <c r="F429" s="1"/>
      <c r="G429" t="str">
        <f>_xlfn.XLOOKUP(Tabla1[[#This Row],[ASIGNATURA]],MAE_ASIGNATURA[NOM_ASIG],MAE_ASIGNATURA[ID_ASIG],"Seleccione Asignatura")</f>
        <v>Seleccione Asignatura</v>
      </c>
      <c r="H429" s="1" t="str" cm="1">
        <f t="array" ref="H429">_xlfn.TEXTJOIN("; ",TRUE,TRANSPOSE(_xlfn.UNIQUE(_xlfn._xlws.FILTER(DET_ASIG[DETALLADO],(DET_ASIG[NIVEL]=ASIGNACION!$D429)*(DET_ASIG[ID_CARRERA]=ASIGNACION!$C429)*(DET_ASIG[ID_ASIG]=ASIGNACION!$G429),"No existe información"))))</f>
        <v>No existe información</v>
      </c>
      <c r="I429" s="1"/>
      <c r="J429">
        <f>_xlfn.XLOOKUP(Tabla1[[#This Row],[ID_ASIG_CAM_DET]],MAE_ASIGNATURA[ID_ASIG],MAE_ASIGNATURA[HORAS],0)</f>
        <v>0</v>
      </c>
      <c r="K429">
        <v>4</v>
      </c>
      <c r="L429" s="2">
        <f>+Tabla1[[#This Row],[CALCULAR HORA]]*Tabla1[[#This Row],[HORAS]]</f>
        <v>0</v>
      </c>
      <c r="N429" t="str">
        <f>_xlfn.XLOOKUP(Tabla1[[#This Row],[NOMBRE_DOCENT]],MDOCENTES[DATOS_DOCENTE],MDOCENTES[DEDICACION],"Seleccione Docente")</f>
        <v>Seleccione Docente</v>
      </c>
      <c r="O429" t="str">
        <f>_xlfn.XLOOKUP(Tabla1[[#This Row],[NOMBRE_DOCENT]],MDOCENTES[DATOS_DOCENTE],MDOCENTES[ESTUDIO],"Seleccione Docente")</f>
        <v>Seleccione Docente</v>
      </c>
      <c r="P429">
        <f t="shared" si="30"/>
        <v>0</v>
      </c>
      <c r="Q429">
        <f t="shared" si="31"/>
        <v>0</v>
      </c>
      <c r="R429">
        <f t="shared" si="32"/>
        <v>0</v>
      </c>
      <c r="S429">
        <f t="shared" si="33"/>
        <v>0</v>
      </c>
      <c r="T429">
        <f t="shared" si="34"/>
        <v>0</v>
      </c>
      <c r="U429">
        <f>Tabla1[[#This Row],[HORAS NO AFINIDAD]]+Tabla1[[#This Row],[HORAS UNIDAD BASICA]]+Tabla1[[#This Row],[HORAS AFINIDAD]]</f>
        <v>0</v>
      </c>
      <c r="V429">
        <f>+Tabla1[[#This Row],[HORAS AFINIDAD]]+Tabla1[[#This Row],[HORAS ACTIVIDAD]]+Tabla1[[#This Row],[HORAS UNIDAD BASICA]]+Tabla1[[#This Row],[HORAS NO AFINIDAD]]</f>
        <v>0</v>
      </c>
    </row>
    <row r="430" spans="1:22" ht="18.75" customHeight="1">
      <c r="A430">
        <v>429</v>
      </c>
      <c r="C430" t="str">
        <f>_xlfn.XLOOKUP(Tabla1[[#This Row],[CARRERA]],MAE_CARRERA[NOMBRE_CARRERA],MAE_CARRERA[ID_CARRERA],"Seleccione Carrera")</f>
        <v>Seleccione Carrera</v>
      </c>
      <c r="F430" s="1"/>
      <c r="G430" t="str">
        <f>_xlfn.XLOOKUP(Tabla1[[#This Row],[ASIGNATURA]],MAE_ASIGNATURA[NOM_ASIG],MAE_ASIGNATURA[ID_ASIG],"Seleccione Asignatura")</f>
        <v>Seleccione Asignatura</v>
      </c>
      <c r="H430" s="1" t="str" cm="1">
        <f t="array" ref="H430">_xlfn.TEXTJOIN("; ",TRUE,TRANSPOSE(_xlfn.UNIQUE(_xlfn._xlws.FILTER(DET_ASIG[DETALLADO],(DET_ASIG[NIVEL]=ASIGNACION!$D430)*(DET_ASIG[ID_CARRERA]=ASIGNACION!$C430)*(DET_ASIG[ID_ASIG]=ASIGNACION!$G430),"No existe información"))))</f>
        <v>No existe información</v>
      </c>
      <c r="I430" s="1"/>
      <c r="J430">
        <f>_xlfn.XLOOKUP(Tabla1[[#This Row],[ID_ASIG_CAM_DET]],MAE_ASIGNATURA[ID_ASIG],MAE_ASIGNATURA[HORAS],0)</f>
        <v>0</v>
      </c>
      <c r="K430">
        <v>4</v>
      </c>
      <c r="L430" s="2">
        <f>+Tabla1[[#This Row],[CALCULAR HORA]]*Tabla1[[#This Row],[HORAS]]</f>
        <v>0</v>
      </c>
      <c r="N430" t="str">
        <f>_xlfn.XLOOKUP(Tabla1[[#This Row],[NOMBRE_DOCENT]],MDOCENTES[DATOS_DOCENTE],MDOCENTES[DEDICACION],"Seleccione Docente")</f>
        <v>Seleccione Docente</v>
      </c>
      <c r="O430" t="str">
        <f>_xlfn.XLOOKUP(Tabla1[[#This Row],[NOMBRE_DOCENT]],MDOCENTES[DATOS_DOCENTE],MDOCENTES[ESTUDIO],"Seleccione Docente")</f>
        <v>Seleccione Docente</v>
      </c>
      <c r="P430">
        <f t="shared" si="30"/>
        <v>0</v>
      </c>
      <c r="Q430">
        <f t="shared" si="31"/>
        <v>0</v>
      </c>
      <c r="R430">
        <f t="shared" si="32"/>
        <v>0</v>
      </c>
      <c r="S430">
        <f t="shared" si="33"/>
        <v>0</v>
      </c>
      <c r="T430">
        <f t="shared" si="34"/>
        <v>0</v>
      </c>
      <c r="U430">
        <f>Tabla1[[#This Row],[HORAS NO AFINIDAD]]+Tabla1[[#This Row],[HORAS UNIDAD BASICA]]+Tabla1[[#This Row],[HORAS AFINIDAD]]</f>
        <v>0</v>
      </c>
      <c r="V430">
        <f>+Tabla1[[#This Row],[HORAS AFINIDAD]]+Tabla1[[#This Row],[HORAS ACTIVIDAD]]+Tabla1[[#This Row],[HORAS UNIDAD BASICA]]+Tabla1[[#This Row],[HORAS NO AFINIDAD]]</f>
        <v>0</v>
      </c>
    </row>
    <row r="431" spans="1:22" ht="18.75" customHeight="1">
      <c r="A431">
        <v>430</v>
      </c>
      <c r="C431" t="str">
        <f>_xlfn.XLOOKUP(Tabla1[[#This Row],[CARRERA]],MAE_CARRERA[NOMBRE_CARRERA],MAE_CARRERA[ID_CARRERA],"Seleccione Carrera")</f>
        <v>Seleccione Carrera</v>
      </c>
      <c r="F431" s="1"/>
      <c r="G431" t="str">
        <f>_xlfn.XLOOKUP(Tabla1[[#This Row],[ASIGNATURA]],MAE_ASIGNATURA[NOM_ASIG],MAE_ASIGNATURA[ID_ASIG],"Seleccione Asignatura")</f>
        <v>Seleccione Asignatura</v>
      </c>
      <c r="H431" s="1" t="str" cm="1">
        <f t="array" ref="H431">_xlfn.TEXTJOIN("; ",TRUE,TRANSPOSE(_xlfn.UNIQUE(_xlfn._xlws.FILTER(DET_ASIG[DETALLADO],(DET_ASIG[NIVEL]=ASIGNACION!$D431)*(DET_ASIG[ID_CARRERA]=ASIGNACION!$C431)*(DET_ASIG[ID_ASIG]=ASIGNACION!$G431),"No existe información"))))</f>
        <v>No existe información</v>
      </c>
      <c r="I431" s="1"/>
      <c r="J431">
        <f>_xlfn.XLOOKUP(Tabla1[[#This Row],[ID_ASIG_CAM_DET]],MAE_ASIGNATURA[ID_ASIG],MAE_ASIGNATURA[HORAS],0)</f>
        <v>0</v>
      </c>
      <c r="K431">
        <v>4</v>
      </c>
      <c r="L431" s="2">
        <f>+Tabla1[[#This Row],[CALCULAR HORA]]*Tabla1[[#This Row],[HORAS]]</f>
        <v>0</v>
      </c>
      <c r="N431" t="str">
        <f>_xlfn.XLOOKUP(Tabla1[[#This Row],[NOMBRE_DOCENT]],MDOCENTES[DATOS_DOCENTE],MDOCENTES[DEDICACION],"Seleccione Docente")</f>
        <v>Seleccione Docente</v>
      </c>
      <c r="O431" t="str">
        <f>_xlfn.XLOOKUP(Tabla1[[#This Row],[NOMBRE_DOCENT]],MDOCENTES[DATOS_DOCENTE],MDOCENTES[ESTUDIO],"Seleccione Docente")</f>
        <v>Seleccione Docente</v>
      </c>
      <c r="P431">
        <f t="shared" si="30"/>
        <v>0</v>
      </c>
      <c r="Q431">
        <f t="shared" si="31"/>
        <v>0</v>
      </c>
      <c r="R431">
        <f t="shared" si="32"/>
        <v>0</v>
      </c>
      <c r="S431">
        <f t="shared" si="33"/>
        <v>0</v>
      </c>
      <c r="T431">
        <f t="shared" si="34"/>
        <v>0</v>
      </c>
      <c r="U431">
        <f>Tabla1[[#This Row],[HORAS NO AFINIDAD]]+Tabla1[[#This Row],[HORAS UNIDAD BASICA]]+Tabla1[[#This Row],[HORAS AFINIDAD]]</f>
        <v>0</v>
      </c>
      <c r="V431">
        <f>+Tabla1[[#This Row],[HORAS AFINIDAD]]+Tabla1[[#This Row],[HORAS ACTIVIDAD]]+Tabla1[[#This Row],[HORAS UNIDAD BASICA]]+Tabla1[[#This Row],[HORAS NO AFINIDAD]]</f>
        <v>0</v>
      </c>
    </row>
    <row r="432" spans="1:22" ht="18.75" customHeight="1">
      <c r="A432">
        <v>431</v>
      </c>
      <c r="C432" t="str">
        <f>_xlfn.XLOOKUP(Tabla1[[#This Row],[CARRERA]],MAE_CARRERA[NOMBRE_CARRERA],MAE_CARRERA[ID_CARRERA],"Seleccione Carrera")</f>
        <v>Seleccione Carrera</v>
      </c>
      <c r="F432" s="1"/>
      <c r="G432" t="str">
        <f>_xlfn.XLOOKUP(Tabla1[[#This Row],[ASIGNATURA]],MAE_ASIGNATURA[NOM_ASIG],MAE_ASIGNATURA[ID_ASIG],"Seleccione Asignatura")</f>
        <v>Seleccione Asignatura</v>
      </c>
      <c r="H432" s="1" t="str" cm="1">
        <f t="array" ref="H432">_xlfn.TEXTJOIN("; ",TRUE,TRANSPOSE(_xlfn.UNIQUE(_xlfn._xlws.FILTER(DET_ASIG[DETALLADO],(DET_ASIG[NIVEL]=ASIGNACION!$D432)*(DET_ASIG[ID_CARRERA]=ASIGNACION!$C432)*(DET_ASIG[ID_ASIG]=ASIGNACION!$G432),"No existe información"))))</f>
        <v>No existe información</v>
      </c>
      <c r="I432" s="1"/>
      <c r="J432">
        <f>_xlfn.XLOOKUP(Tabla1[[#This Row],[ID_ASIG_CAM_DET]],MAE_ASIGNATURA[ID_ASIG],MAE_ASIGNATURA[HORAS],0)</f>
        <v>0</v>
      </c>
      <c r="K432">
        <v>4</v>
      </c>
      <c r="L432" s="2">
        <f>+Tabla1[[#This Row],[CALCULAR HORA]]*Tabla1[[#This Row],[HORAS]]</f>
        <v>0</v>
      </c>
      <c r="N432" t="str">
        <f>_xlfn.XLOOKUP(Tabla1[[#This Row],[NOMBRE_DOCENT]],MDOCENTES[DATOS_DOCENTE],MDOCENTES[DEDICACION],"Seleccione Docente")</f>
        <v>Seleccione Docente</v>
      </c>
      <c r="O432" t="str">
        <f>_xlfn.XLOOKUP(Tabla1[[#This Row],[NOMBRE_DOCENT]],MDOCENTES[DATOS_DOCENTE],MDOCENTES[ESTUDIO],"Seleccione Docente")</f>
        <v>Seleccione Docente</v>
      </c>
      <c r="P432">
        <f t="shared" si="30"/>
        <v>0</v>
      </c>
      <c r="Q432">
        <f t="shared" si="31"/>
        <v>0</v>
      </c>
      <c r="R432">
        <f t="shared" si="32"/>
        <v>0</v>
      </c>
      <c r="S432">
        <f t="shared" si="33"/>
        <v>0</v>
      </c>
      <c r="T432">
        <f t="shared" si="34"/>
        <v>0</v>
      </c>
      <c r="U432">
        <f>Tabla1[[#This Row],[HORAS NO AFINIDAD]]+Tabla1[[#This Row],[HORAS UNIDAD BASICA]]+Tabla1[[#This Row],[HORAS AFINIDAD]]</f>
        <v>0</v>
      </c>
      <c r="V432">
        <f>+Tabla1[[#This Row],[HORAS AFINIDAD]]+Tabla1[[#This Row],[HORAS ACTIVIDAD]]+Tabla1[[#This Row],[HORAS UNIDAD BASICA]]+Tabla1[[#This Row],[HORAS NO AFINIDAD]]</f>
        <v>0</v>
      </c>
    </row>
    <row r="433" spans="1:22" ht="18.75" customHeight="1">
      <c r="A433">
        <v>432</v>
      </c>
      <c r="C433" t="str">
        <f>_xlfn.XLOOKUP(Tabla1[[#This Row],[CARRERA]],MAE_CARRERA[NOMBRE_CARRERA],MAE_CARRERA[ID_CARRERA],"Seleccione Carrera")</f>
        <v>Seleccione Carrera</v>
      </c>
      <c r="F433" s="1"/>
      <c r="G433" t="str">
        <f>_xlfn.XLOOKUP(Tabla1[[#This Row],[ASIGNATURA]],MAE_ASIGNATURA[NOM_ASIG],MAE_ASIGNATURA[ID_ASIG],"Seleccione Asignatura")</f>
        <v>Seleccione Asignatura</v>
      </c>
      <c r="H433" s="1" t="str" cm="1">
        <f t="array" ref="H433">_xlfn.TEXTJOIN("; ",TRUE,TRANSPOSE(_xlfn.UNIQUE(_xlfn._xlws.FILTER(DET_ASIG[DETALLADO],(DET_ASIG[NIVEL]=ASIGNACION!$D433)*(DET_ASIG[ID_CARRERA]=ASIGNACION!$C433)*(DET_ASIG[ID_ASIG]=ASIGNACION!$G433),"No existe información"))))</f>
        <v>No existe información</v>
      </c>
      <c r="I433" s="1"/>
      <c r="J433">
        <f>_xlfn.XLOOKUP(Tabla1[[#This Row],[ID_ASIG_CAM_DET]],MAE_ASIGNATURA[ID_ASIG],MAE_ASIGNATURA[HORAS],0)</f>
        <v>0</v>
      </c>
      <c r="K433">
        <v>4</v>
      </c>
      <c r="L433" s="2">
        <f>+Tabla1[[#This Row],[CALCULAR HORA]]*Tabla1[[#This Row],[HORAS]]</f>
        <v>0</v>
      </c>
      <c r="N433" t="str">
        <f>_xlfn.XLOOKUP(Tabla1[[#This Row],[NOMBRE_DOCENT]],MDOCENTES[DATOS_DOCENTE],MDOCENTES[DEDICACION],"Seleccione Docente")</f>
        <v>Seleccione Docente</v>
      </c>
      <c r="O433" t="str">
        <f>_xlfn.XLOOKUP(Tabla1[[#This Row],[NOMBRE_DOCENT]],MDOCENTES[DATOS_DOCENTE],MDOCENTES[ESTUDIO],"Seleccione Docente")</f>
        <v>Seleccione Docente</v>
      </c>
      <c r="P433">
        <f t="shared" si="30"/>
        <v>0</v>
      </c>
      <c r="Q433">
        <f t="shared" si="31"/>
        <v>0</v>
      </c>
      <c r="R433">
        <f t="shared" si="32"/>
        <v>0</v>
      </c>
      <c r="S433">
        <f t="shared" si="33"/>
        <v>0</v>
      </c>
      <c r="T433">
        <f t="shared" si="34"/>
        <v>0</v>
      </c>
      <c r="U433">
        <f>Tabla1[[#This Row],[HORAS NO AFINIDAD]]+Tabla1[[#This Row],[HORAS UNIDAD BASICA]]+Tabla1[[#This Row],[HORAS AFINIDAD]]</f>
        <v>0</v>
      </c>
      <c r="V433">
        <f>+Tabla1[[#This Row],[HORAS AFINIDAD]]+Tabla1[[#This Row],[HORAS ACTIVIDAD]]+Tabla1[[#This Row],[HORAS UNIDAD BASICA]]+Tabla1[[#This Row],[HORAS NO AFINIDAD]]</f>
        <v>0</v>
      </c>
    </row>
    <row r="434" spans="1:22" ht="18.75" customHeight="1">
      <c r="A434">
        <v>433</v>
      </c>
      <c r="C434" t="str">
        <f>_xlfn.XLOOKUP(Tabla1[[#This Row],[CARRERA]],MAE_CARRERA[NOMBRE_CARRERA],MAE_CARRERA[ID_CARRERA],"Seleccione Carrera")</f>
        <v>Seleccione Carrera</v>
      </c>
      <c r="F434" s="1"/>
      <c r="G434" t="str">
        <f>_xlfn.XLOOKUP(Tabla1[[#This Row],[ASIGNATURA]],MAE_ASIGNATURA[NOM_ASIG],MAE_ASIGNATURA[ID_ASIG],"Seleccione Asignatura")</f>
        <v>Seleccione Asignatura</v>
      </c>
      <c r="H434" s="1" t="str" cm="1">
        <f t="array" ref="H434">_xlfn.TEXTJOIN("; ",TRUE,TRANSPOSE(_xlfn.UNIQUE(_xlfn._xlws.FILTER(DET_ASIG[DETALLADO],(DET_ASIG[NIVEL]=ASIGNACION!$D434)*(DET_ASIG[ID_CARRERA]=ASIGNACION!$C434)*(DET_ASIG[ID_ASIG]=ASIGNACION!$G434),"No existe información"))))</f>
        <v>No existe información</v>
      </c>
      <c r="I434" s="1"/>
      <c r="J434">
        <f>_xlfn.XLOOKUP(Tabla1[[#This Row],[ID_ASIG_CAM_DET]],MAE_ASIGNATURA[ID_ASIG],MAE_ASIGNATURA[HORAS],0)</f>
        <v>0</v>
      </c>
      <c r="K434">
        <v>4</v>
      </c>
      <c r="L434" s="2">
        <f>+Tabla1[[#This Row],[CALCULAR HORA]]*Tabla1[[#This Row],[HORAS]]</f>
        <v>0</v>
      </c>
      <c r="N434" t="str">
        <f>_xlfn.XLOOKUP(Tabla1[[#This Row],[NOMBRE_DOCENT]],MDOCENTES[DATOS_DOCENTE],MDOCENTES[DEDICACION],"Seleccione Docente")</f>
        <v>Seleccione Docente</v>
      </c>
      <c r="O434" t="str">
        <f>_xlfn.XLOOKUP(Tabla1[[#This Row],[NOMBRE_DOCENT]],MDOCENTES[DATOS_DOCENTE],MDOCENTES[ESTUDIO],"Seleccione Docente")</f>
        <v>Seleccione Docente</v>
      </c>
      <c r="P434">
        <f t="shared" si="30"/>
        <v>0</v>
      </c>
      <c r="Q434">
        <f t="shared" si="31"/>
        <v>0</v>
      </c>
      <c r="R434">
        <f t="shared" si="32"/>
        <v>0</v>
      </c>
      <c r="S434">
        <f t="shared" si="33"/>
        <v>0</v>
      </c>
      <c r="T434">
        <f t="shared" si="34"/>
        <v>0</v>
      </c>
      <c r="U434">
        <f>Tabla1[[#This Row],[HORAS NO AFINIDAD]]+Tabla1[[#This Row],[HORAS UNIDAD BASICA]]+Tabla1[[#This Row],[HORAS AFINIDAD]]</f>
        <v>0</v>
      </c>
      <c r="V434">
        <f>+Tabla1[[#This Row],[HORAS AFINIDAD]]+Tabla1[[#This Row],[HORAS ACTIVIDAD]]+Tabla1[[#This Row],[HORAS UNIDAD BASICA]]+Tabla1[[#This Row],[HORAS NO AFINIDAD]]</f>
        <v>0</v>
      </c>
    </row>
    <row r="435" spans="1:22" ht="18.75" customHeight="1">
      <c r="A435">
        <v>434</v>
      </c>
      <c r="C435" t="str">
        <f>_xlfn.XLOOKUP(Tabla1[[#This Row],[CARRERA]],MAE_CARRERA[NOMBRE_CARRERA],MAE_CARRERA[ID_CARRERA],"Seleccione Carrera")</f>
        <v>Seleccione Carrera</v>
      </c>
      <c r="F435" s="1"/>
      <c r="G435" t="str">
        <f>_xlfn.XLOOKUP(Tabla1[[#This Row],[ASIGNATURA]],MAE_ASIGNATURA[NOM_ASIG],MAE_ASIGNATURA[ID_ASIG],"Seleccione Asignatura")</f>
        <v>Seleccione Asignatura</v>
      </c>
      <c r="H435" s="1" t="str" cm="1">
        <f t="array" ref="H435">_xlfn.TEXTJOIN("; ",TRUE,TRANSPOSE(_xlfn.UNIQUE(_xlfn._xlws.FILTER(DET_ASIG[DETALLADO],(DET_ASIG[NIVEL]=ASIGNACION!$D435)*(DET_ASIG[ID_CARRERA]=ASIGNACION!$C435)*(DET_ASIG[ID_ASIG]=ASIGNACION!$G435),"No existe información"))))</f>
        <v>No existe información</v>
      </c>
      <c r="I435" s="1"/>
      <c r="J435">
        <f>_xlfn.XLOOKUP(Tabla1[[#This Row],[ID_ASIG_CAM_DET]],MAE_ASIGNATURA[ID_ASIG],MAE_ASIGNATURA[HORAS],0)</f>
        <v>0</v>
      </c>
      <c r="K435">
        <v>4</v>
      </c>
      <c r="L435" s="2">
        <f>+Tabla1[[#This Row],[CALCULAR HORA]]*Tabla1[[#This Row],[HORAS]]</f>
        <v>0</v>
      </c>
      <c r="N435" t="str">
        <f>_xlfn.XLOOKUP(Tabla1[[#This Row],[NOMBRE_DOCENT]],MDOCENTES[DATOS_DOCENTE],MDOCENTES[DEDICACION],"Seleccione Docente")</f>
        <v>Seleccione Docente</v>
      </c>
      <c r="O435" t="str">
        <f>_xlfn.XLOOKUP(Tabla1[[#This Row],[NOMBRE_DOCENT]],MDOCENTES[DATOS_DOCENTE],MDOCENTES[ESTUDIO],"Seleccione Docente")</f>
        <v>Seleccione Docente</v>
      </c>
      <c r="P435">
        <f t="shared" si="30"/>
        <v>0</v>
      </c>
      <c r="Q435">
        <f t="shared" si="31"/>
        <v>0</v>
      </c>
      <c r="R435">
        <f t="shared" si="32"/>
        <v>0</v>
      </c>
      <c r="S435">
        <f t="shared" si="33"/>
        <v>0</v>
      </c>
      <c r="T435">
        <f t="shared" si="34"/>
        <v>0</v>
      </c>
      <c r="U435">
        <f>Tabla1[[#This Row],[HORAS NO AFINIDAD]]+Tabla1[[#This Row],[HORAS UNIDAD BASICA]]+Tabla1[[#This Row],[HORAS AFINIDAD]]</f>
        <v>0</v>
      </c>
      <c r="V435">
        <f>+Tabla1[[#This Row],[HORAS AFINIDAD]]+Tabla1[[#This Row],[HORAS ACTIVIDAD]]+Tabla1[[#This Row],[HORAS UNIDAD BASICA]]+Tabla1[[#This Row],[HORAS NO AFINIDAD]]</f>
        <v>0</v>
      </c>
    </row>
    <row r="436" spans="1:22" ht="18.75" customHeight="1">
      <c r="A436">
        <v>435</v>
      </c>
      <c r="C436" t="str">
        <f>_xlfn.XLOOKUP(Tabla1[[#This Row],[CARRERA]],MAE_CARRERA[NOMBRE_CARRERA],MAE_CARRERA[ID_CARRERA],"Seleccione Carrera")</f>
        <v>Seleccione Carrera</v>
      </c>
      <c r="F436" s="1"/>
      <c r="G436" t="str">
        <f>_xlfn.XLOOKUP(Tabla1[[#This Row],[ASIGNATURA]],MAE_ASIGNATURA[NOM_ASIG],MAE_ASIGNATURA[ID_ASIG],"Seleccione Asignatura")</f>
        <v>Seleccione Asignatura</v>
      </c>
      <c r="H436" s="1" t="str" cm="1">
        <f t="array" ref="H436">_xlfn.TEXTJOIN("; ",TRUE,TRANSPOSE(_xlfn.UNIQUE(_xlfn._xlws.FILTER(DET_ASIG[DETALLADO],(DET_ASIG[NIVEL]=ASIGNACION!$D436)*(DET_ASIG[ID_CARRERA]=ASIGNACION!$C436)*(DET_ASIG[ID_ASIG]=ASIGNACION!$G436),"No existe información"))))</f>
        <v>No existe información</v>
      </c>
      <c r="I436" s="1"/>
      <c r="J436">
        <f>_xlfn.XLOOKUP(Tabla1[[#This Row],[ID_ASIG_CAM_DET]],MAE_ASIGNATURA[ID_ASIG],MAE_ASIGNATURA[HORAS],0)</f>
        <v>0</v>
      </c>
      <c r="K436">
        <v>4</v>
      </c>
      <c r="L436" s="2">
        <f>+Tabla1[[#This Row],[CALCULAR HORA]]*Tabla1[[#This Row],[HORAS]]</f>
        <v>0</v>
      </c>
      <c r="N436" t="str">
        <f>_xlfn.XLOOKUP(Tabla1[[#This Row],[NOMBRE_DOCENT]],MDOCENTES[DATOS_DOCENTE],MDOCENTES[DEDICACION],"Seleccione Docente")</f>
        <v>Seleccione Docente</v>
      </c>
      <c r="O436" t="str">
        <f>_xlfn.XLOOKUP(Tabla1[[#This Row],[NOMBRE_DOCENT]],MDOCENTES[DATOS_DOCENTE],MDOCENTES[ESTUDIO],"Seleccione Docente")</f>
        <v>Seleccione Docente</v>
      </c>
      <c r="P436">
        <f t="shared" si="30"/>
        <v>0</v>
      </c>
      <c r="Q436">
        <f t="shared" si="31"/>
        <v>0</v>
      </c>
      <c r="R436">
        <f t="shared" si="32"/>
        <v>0</v>
      </c>
      <c r="S436">
        <f t="shared" si="33"/>
        <v>0</v>
      </c>
      <c r="T436">
        <f t="shared" si="34"/>
        <v>0</v>
      </c>
      <c r="U436">
        <f>Tabla1[[#This Row],[HORAS NO AFINIDAD]]+Tabla1[[#This Row],[HORAS UNIDAD BASICA]]+Tabla1[[#This Row],[HORAS AFINIDAD]]</f>
        <v>0</v>
      </c>
      <c r="V436">
        <f>+Tabla1[[#This Row],[HORAS AFINIDAD]]+Tabla1[[#This Row],[HORAS ACTIVIDAD]]+Tabla1[[#This Row],[HORAS UNIDAD BASICA]]+Tabla1[[#This Row],[HORAS NO AFINIDAD]]</f>
        <v>0</v>
      </c>
    </row>
    <row r="437" spans="1:22" ht="18.75" customHeight="1">
      <c r="A437">
        <v>436</v>
      </c>
      <c r="C437" t="str">
        <f>_xlfn.XLOOKUP(Tabla1[[#This Row],[CARRERA]],MAE_CARRERA[NOMBRE_CARRERA],MAE_CARRERA[ID_CARRERA],"Seleccione Carrera")</f>
        <v>Seleccione Carrera</v>
      </c>
      <c r="F437" s="1"/>
      <c r="G437" t="str">
        <f>_xlfn.XLOOKUP(Tabla1[[#This Row],[ASIGNATURA]],MAE_ASIGNATURA[NOM_ASIG],MAE_ASIGNATURA[ID_ASIG],"Seleccione Asignatura")</f>
        <v>Seleccione Asignatura</v>
      </c>
      <c r="H437" s="1" t="str" cm="1">
        <f t="array" ref="H437">_xlfn.TEXTJOIN("; ",TRUE,TRANSPOSE(_xlfn.UNIQUE(_xlfn._xlws.FILTER(DET_ASIG[DETALLADO],(DET_ASIG[NIVEL]=ASIGNACION!$D437)*(DET_ASIG[ID_CARRERA]=ASIGNACION!$C437)*(DET_ASIG[ID_ASIG]=ASIGNACION!$G437),"No existe información"))))</f>
        <v>No existe información</v>
      </c>
      <c r="I437" s="1"/>
      <c r="J437">
        <f>_xlfn.XLOOKUP(Tabla1[[#This Row],[ID_ASIG_CAM_DET]],MAE_ASIGNATURA[ID_ASIG],MAE_ASIGNATURA[HORAS],0)</f>
        <v>0</v>
      </c>
      <c r="K437">
        <v>4</v>
      </c>
      <c r="L437" s="2">
        <f>+Tabla1[[#This Row],[CALCULAR HORA]]*Tabla1[[#This Row],[HORAS]]</f>
        <v>0</v>
      </c>
      <c r="N437" t="str">
        <f>_xlfn.XLOOKUP(Tabla1[[#This Row],[NOMBRE_DOCENT]],MDOCENTES[DATOS_DOCENTE],MDOCENTES[DEDICACION],"Seleccione Docente")</f>
        <v>Seleccione Docente</v>
      </c>
      <c r="O437" t="str">
        <f>_xlfn.XLOOKUP(Tabla1[[#This Row],[NOMBRE_DOCENT]],MDOCENTES[DATOS_DOCENTE],MDOCENTES[ESTUDIO],"Seleccione Docente")</f>
        <v>Seleccione Docente</v>
      </c>
      <c r="P437">
        <f t="shared" si="30"/>
        <v>0</v>
      </c>
      <c r="Q437">
        <f t="shared" si="31"/>
        <v>0</v>
      </c>
      <c r="R437">
        <f t="shared" si="32"/>
        <v>0</v>
      </c>
      <c r="S437">
        <f t="shared" si="33"/>
        <v>0</v>
      </c>
      <c r="T437">
        <f t="shared" si="34"/>
        <v>0</v>
      </c>
      <c r="U437">
        <f>Tabla1[[#This Row],[HORAS NO AFINIDAD]]+Tabla1[[#This Row],[HORAS UNIDAD BASICA]]+Tabla1[[#This Row],[HORAS AFINIDAD]]</f>
        <v>0</v>
      </c>
      <c r="V437">
        <f>+Tabla1[[#This Row],[HORAS AFINIDAD]]+Tabla1[[#This Row],[HORAS ACTIVIDAD]]+Tabla1[[#This Row],[HORAS UNIDAD BASICA]]+Tabla1[[#This Row],[HORAS NO AFINIDAD]]</f>
        <v>0</v>
      </c>
    </row>
    <row r="438" spans="1:22" ht="18.75" customHeight="1">
      <c r="A438">
        <v>437</v>
      </c>
      <c r="C438" t="str">
        <f>_xlfn.XLOOKUP(Tabla1[[#This Row],[CARRERA]],MAE_CARRERA[NOMBRE_CARRERA],MAE_CARRERA[ID_CARRERA],"Seleccione Carrera")</f>
        <v>Seleccione Carrera</v>
      </c>
      <c r="F438" s="1"/>
      <c r="G438" t="str">
        <f>_xlfn.XLOOKUP(Tabla1[[#This Row],[ASIGNATURA]],MAE_ASIGNATURA[NOM_ASIG],MAE_ASIGNATURA[ID_ASIG],"Seleccione Asignatura")</f>
        <v>Seleccione Asignatura</v>
      </c>
      <c r="H438" s="1" t="str" cm="1">
        <f t="array" ref="H438">_xlfn.TEXTJOIN("; ",TRUE,TRANSPOSE(_xlfn.UNIQUE(_xlfn._xlws.FILTER(DET_ASIG[DETALLADO],(DET_ASIG[NIVEL]=ASIGNACION!$D438)*(DET_ASIG[ID_CARRERA]=ASIGNACION!$C438)*(DET_ASIG[ID_ASIG]=ASIGNACION!$G438),"No existe información"))))</f>
        <v>No existe información</v>
      </c>
      <c r="I438" s="1"/>
      <c r="J438">
        <f>_xlfn.XLOOKUP(Tabla1[[#This Row],[ID_ASIG_CAM_DET]],MAE_ASIGNATURA[ID_ASIG],MAE_ASIGNATURA[HORAS],0)</f>
        <v>0</v>
      </c>
      <c r="K438">
        <v>4</v>
      </c>
      <c r="L438" s="2">
        <f>+Tabla1[[#This Row],[CALCULAR HORA]]*Tabla1[[#This Row],[HORAS]]</f>
        <v>0</v>
      </c>
      <c r="N438" t="str">
        <f>_xlfn.XLOOKUP(Tabla1[[#This Row],[NOMBRE_DOCENT]],MDOCENTES[DATOS_DOCENTE],MDOCENTES[DEDICACION],"Seleccione Docente")</f>
        <v>Seleccione Docente</v>
      </c>
      <c r="O438" t="str">
        <f>_xlfn.XLOOKUP(Tabla1[[#This Row],[NOMBRE_DOCENT]],MDOCENTES[DATOS_DOCENTE],MDOCENTES[ESTUDIO],"Seleccione Docente")</f>
        <v>Seleccione Docente</v>
      </c>
      <c r="P438">
        <f t="shared" si="30"/>
        <v>0</v>
      </c>
      <c r="Q438">
        <f t="shared" si="31"/>
        <v>0</v>
      </c>
      <c r="R438">
        <f t="shared" si="32"/>
        <v>0</v>
      </c>
      <c r="S438">
        <f t="shared" si="33"/>
        <v>0</v>
      </c>
      <c r="T438">
        <f t="shared" si="34"/>
        <v>0</v>
      </c>
      <c r="U438">
        <f>Tabla1[[#This Row],[HORAS NO AFINIDAD]]+Tabla1[[#This Row],[HORAS UNIDAD BASICA]]+Tabla1[[#This Row],[HORAS AFINIDAD]]</f>
        <v>0</v>
      </c>
      <c r="V438">
        <f>+Tabla1[[#This Row],[HORAS AFINIDAD]]+Tabla1[[#This Row],[HORAS ACTIVIDAD]]+Tabla1[[#This Row],[HORAS UNIDAD BASICA]]+Tabla1[[#This Row],[HORAS NO AFINIDAD]]</f>
        <v>0</v>
      </c>
    </row>
    <row r="439" spans="1:22" ht="18.75" customHeight="1">
      <c r="A439">
        <v>438</v>
      </c>
      <c r="C439" t="str">
        <f>_xlfn.XLOOKUP(Tabla1[[#This Row],[CARRERA]],MAE_CARRERA[NOMBRE_CARRERA],MAE_CARRERA[ID_CARRERA],"Seleccione Carrera")</f>
        <v>Seleccione Carrera</v>
      </c>
      <c r="F439" s="1"/>
      <c r="G439" t="str">
        <f>_xlfn.XLOOKUP(Tabla1[[#This Row],[ASIGNATURA]],MAE_ASIGNATURA[NOM_ASIG],MAE_ASIGNATURA[ID_ASIG],"Seleccione Asignatura")</f>
        <v>Seleccione Asignatura</v>
      </c>
      <c r="H439" s="1" t="str" cm="1">
        <f t="array" ref="H439">_xlfn.TEXTJOIN("; ",TRUE,TRANSPOSE(_xlfn.UNIQUE(_xlfn._xlws.FILTER(DET_ASIG[DETALLADO],(DET_ASIG[NIVEL]=ASIGNACION!$D439)*(DET_ASIG[ID_CARRERA]=ASIGNACION!$C439)*(DET_ASIG[ID_ASIG]=ASIGNACION!$G439),"No existe información"))))</f>
        <v>No existe información</v>
      </c>
      <c r="I439" s="1"/>
      <c r="J439">
        <f>_xlfn.XLOOKUP(Tabla1[[#This Row],[ID_ASIG_CAM_DET]],MAE_ASIGNATURA[ID_ASIG],MAE_ASIGNATURA[HORAS],0)</f>
        <v>0</v>
      </c>
      <c r="K439">
        <v>4</v>
      </c>
      <c r="L439" s="2">
        <f>+Tabla1[[#This Row],[CALCULAR HORA]]*Tabla1[[#This Row],[HORAS]]</f>
        <v>0</v>
      </c>
      <c r="N439" t="str">
        <f>_xlfn.XLOOKUP(Tabla1[[#This Row],[NOMBRE_DOCENT]],MDOCENTES[DATOS_DOCENTE],MDOCENTES[DEDICACION],"Seleccione Docente")</f>
        <v>Seleccione Docente</v>
      </c>
      <c r="O439" t="str">
        <f>_xlfn.XLOOKUP(Tabla1[[#This Row],[NOMBRE_DOCENT]],MDOCENTES[DATOS_DOCENTE],MDOCENTES[ESTUDIO],"Seleccione Docente")</f>
        <v>Seleccione Docente</v>
      </c>
      <c r="P439">
        <f t="shared" si="30"/>
        <v>0</v>
      </c>
      <c r="Q439">
        <f t="shared" si="31"/>
        <v>0</v>
      </c>
      <c r="R439">
        <f t="shared" si="32"/>
        <v>0</v>
      </c>
      <c r="S439">
        <f t="shared" si="33"/>
        <v>0</v>
      </c>
      <c r="T439">
        <f t="shared" si="34"/>
        <v>0</v>
      </c>
      <c r="U439">
        <f>Tabla1[[#This Row],[HORAS NO AFINIDAD]]+Tabla1[[#This Row],[HORAS UNIDAD BASICA]]+Tabla1[[#This Row],[HORAS AFINIDAD]]</f>
        <v>0</v>
      </c>
      <c r="V439">
        <f>+Tabla1[[#This Row],[HORAS AFINIDAD]]+Tabla1[[#This Row],[HORAS ACTIVIDAD]]+Tabla1[[#This Row],[HORAS UNIDAD BASICA]]+Tabla1[[#This Row],[HORAS NO AFINIDAD]]</f>
        <v>0</v>
      </c>
    </row>
    <row r="440" spans="1:22" ht="18.75" customHeight="1">
      <c r="A440">
        <v>439</v>
      </c>
      <c r="C440" t="str">
        <f>_xlfn.XLOOKUP(Tabla1[[#This Row],[CARRERA]],MAE_CARRERA[NOMBRE_CARRERA],MAE_CARRERA[ID_CARRERA],"Seleccione Carrera")</f>
        <v>Seleccione Carrera</v>
      </c>
      <c r="F440" s="1"/>
      <c r="G440" t="str">
        <f>_xlfn.XLOOKUP(Tabla1[[#This Row],[ASIGNATURA]],MAE_ASIGNATURA[NOM_ASIG],MAE_ASIGNATURA[ID_ASIG],"Seleccione Asignatura")</f>
        <v>Seleccione Asignatura</v>
      </c>
      <c r="H440" s="1" t="str" cm="1">
        <f t="array" ref="H440">_xlfn.TEXTJOIN("; ",TRUE,TRANSPOSE(_xlfn.UNIQUE(_xlfn._xlws.FILTER(DET_ASIG[DETALLADO],(DET_ASIG[NIVEL]=ASIGNACION!$D440)*(DET_ASIG[ID_CARRERA]=ASIGNACION!$C440)*(DET_ASIG[ID_ASIG]=ASIGNACION!$G440),"No existe información"))))</f>
        <v>No existe información</v>
      </c>
      <c r="I440" s="1"/>
      <c r="J440">
        <f>_xlfn.XLOOKUP(Tabla1[[#This Row],[ID_ASIG_CAM_DET]],MAE_ASIGNATURA[ID_ASIG],MAE_ASIGNATURA[HORAS],0)</f>
        <v>0</v>
      </c>
      <c r="K440">
        <v>4</v>
      </c>
      <c r="L440" s="2">
        <f>+Tabla1[[#This Row],[CALCULAR HORA]]*Tabla1[[#This Row],[HORAS]]</f>
        <v>0</v>
      </c>
      <c r="N440" t="str">
        <f>_xlfn.XLOOKUP(Tabla1[[#This Row],[NOMBRE_DOCENT]],MDOCENTES[DATOS_DOCENTE],MDOCENTES[DEDICACION],"Seleccione Docente")</f>
        <v>Seleccione Docente</v>
      </c>
      <c r="O440" t="str">
        <f>_xlfn.XLOOKUP(Tabla1[[#This Row],[NOMBRE_DOCENT]],MDOCENTES[DATOS_DOCENTE],MDOCENTES[ESTUDIO],"Seleccione Docente")</f>
        <v>Seleccione Docente</v>
      </c>
      <c r="P440">
        <f t="shared" si="30"/>
        <v>0</v>
      </c>
      <c r="Q440">
        <f t="shared" si="31"/>
        <v>0</v>
      </c>
      <c r="R440">
        <f t="shared" si="32"/>
        <v>0</v>
      </c>
      <c r="S440">
        <f t="shared" si="33"/>
        <v>0</v>
      </c>
      <c r="T440">
        <f t="shared" si="34"/>
        <v>0</v>
      </c>
      <c r="U440">
        <f>Tabla1[[#This Row],[HORAS NO AFINIDAD]]+Tabla1[[#This Row],[HORAS UNIDAD BASICA]]+Tabla1[[#This Row],[HORAS AFINIDAD]]</f>
        <v>0</v>
      </c>
      <c r="V440">
        <f>+Tabla1[[#This Row],[HORAS AFINIDAD]]+Tabla1[[#This Row],[HORAS ACTIVIDAD]]+Tabla1[[#This Row],[HORAS UNIDAD BASICA]]+Tabla1[[#This Row],[HORAS NO AFINIDAD]]</f>
        <v>0</v>
      </c>
    </row>
    <row r="441" spans="1:22" ht="18.75" customHeight="1">
      <c r="A441">
        <v>440</v>
      </c>
      <c r="C441" t="str">
        <f>_xlfn.XLOOKUP(Tabla1[[#This Row],[CARRERA]],MAE_CARRERA[NOMBRE_CARRERA],MAE_CARRERA[ID_CARRERA],"Seleccione Carrera")</f>
        <v>Seleccione Carrera</v>
      </c>
      <c r="F441" s="1"/>
      <c r="G441" t="str">
        <f>_xlfn.XLOOKUP(Tabla1[[#This Row],[ASIGNATURA]],MAE_ASIGNATURA[NOM_ASIG],MAE_ASIGNATURA[ID_ASIG],"Seleccione Asignatura")</f>
        <v>Seleccione Asignatura</v>
      </c>
      <c r="H441" s="1" t="str" cm="1">
        <f t="array" ref="H441">_xlfn.TEXTJOIN("; ",TRUE,TRANSPOSE(_xlfn.UNIQUE(_xlfn._xlws.FILTER(DET_ASIG[DETALLADO],(DET_ASIG[NIVEL]=ASIGNACION!$D441)*(DET_ASIG[ID_CARRERA]=ASIGNACION!$C441)*(DET_ASIG[ID_ASIG]=ASIGNACION!$G441),"No existe información"))))</f>
        <v>No existe información</v>
      </c>
      <c r="I441" s="1"/>
      <c r="J441">
        <f>_xlfn.XLOOKUP(Tabla1[[#This Row],[ID_ASIG_CAM_DET]],MAE_ASIGNATURA[ID_ASIG],MAE_ASIGNATURA[HORAS],0)</f>
        <v>0</v>
      </c>
      <c r="K441">
        <v>4</v>
      </c>
      <c r="L441" s="2">
        <f>+Tabla1[[#This Row],[CALCULAR HORA]]*Tabla1[[#This Row],[HORAS]]</f>
        <v>0</v>
      </c>
      <c r="N441" t="str">
        <f>_xlfn.XLOOKUP(Tabla1[[#This Row],[NOMBRE_DOCENT]],MDOCENTES[DATOS_DOCENTE],MDOCENTES[DEDICACION],"Seleccione Docente")</f>
        <v>Seleccione Docente</v>
      </c>
      <c r="O441" t="str">
        <f>_xlfn.XLOOKUP(Tabla1[[#This Row],[NOMBRE_DOCENT]],MDOCENTES[DATOS_DOCENTE],MDOCENTES[ESTUDIO],"Seleccione Docente")</f>
        <v>Seleccione Docente</v>
      </c>
      <c r="P441">
        <f t="shared" si="30"/>
        <v>0</v>
      </c>
      <c r="Q441">
        <f t="shared" si="31"/>
        <v>0</v>
      </c>
      <c r="R441">
        <f t="shared" si="32"/>
        <v>0</v>
      </c>
      <c r="S441">
        <f t="shared" si="33"/>
        <v>0</v>
      </c>
      <c r="T441">
        <f t="shared" si="34"/>
        <v>0</v>
      </c>
      <c r="U441">
        <f>Tabla1[[#This Row],[HORAS NO AFINIDAD]]+Tabla1[[#This Row],[HORAS UNIDAD BASICA]]+Tabla1[[#This Row],[HORAS AFINIDAD]]</f>
        <v>0</v>
      </c>
      <c r="V441">
        <f>+Tabla1[[#This Row],[HORAS AFINIDAD]]+Tabla1[[#This Row],[HORAS ACTIVIDAD]]+Tabla1[[#This Row],[HORAS UNIDAD BASICA]]+Tabla1[[#This Row],[HORAS NO AFINIDAD]]</f>
        <v>0</v>
      </c>
    </row>
    <row r="442" spans="1:22" ht="18.75" customHeight="1">
      <c r="A442">
        <v>441</v>
      </c>
      <c r="C442" t="str">
        <f>_xlfn.XLOOKUP(Tabla1[[#This Row],[CARRERA]],MAE_CARRERA[NOMBRE_CARRERA],MAE_CARRERA[ID_CARRERA],"Seleccione Carrera")</f>
        <v>Seleccione Carrera</v>
      </c>
      <c r="F442" s="1"/>
      <c r="G442" t="str">
        <f>_xlfn.XLOOKUP(Tabla1[[#This Row],[ASIGNATURA]],MAE_ASIGNATURA[NOM_ASIG],MAE_ASIGNATURA[ID_ASIG],"Seleccione Asignatura")</f>
        <v>Seleccione Asignatura</v>
      </c>
      <c r="H442" s="1" t="str" cm="1">
        <f t="array" ref="H442">_xlfn.TEXTJOIN("; ",TRUE,TRANSPOSE(_xlfn.UNIQUE(_xlfn._xlws.FILTER(DET_ASIG[DETALLADO],(DET_ASIG[NIVEL]=ASIGNACION!$D442)*(DET_ASIG[ID_CARRERA]=ASIGNACION!$C442)*(DET_ASIG[ID_ASIG]=ASIGNACION!$G442),"No existe información"))))</f>
        <v>No existe información</v>
      </c>
      <c r="I442" s="1"/>
      <c r="J442">
        <f>_xlfn.XLOOKUP(Tabla1[[#This Row],[ID_ASIG_CAM_DET]],MAE_ASIGNATURA[ID_ASIG],MAE_ASIGNATURA[HORAS],0)</f>
        <v>0</v>
      </c>
      <c r="K442">
        <v>4</v>
      </c>
      <c r="L442" s="2">
        <f>+Tabla1[[#This Row],[CALCULAR HORA]]*Tabla1[[#This Row],[HORAS]]</f>
        <v>0</v>
      </c>
      <c r="N442" t="str">
        <f>_xlfn.XLOOKUP(Tabla1[[#This Row],[NOMBRE_DOCENT]],MDOCENTES[DATOS_DOCENTE],MDOCENTES[DEDICACION],"Seleccione Docente")</f>
        <v>Seleccione Docente</v>
      </c>
      <c r="O442" t="str">
        <f>_xlfn.XLOOKUP(Tabla1[[#This Row],[NOMBRE_DOCENT]],MDOCENTES[DATOS_DOCENTE],MDOCENTES[ESTUDIO],"Seleccione Docente")</f>
        <v>Seleccione Docente</v>
      </c>
      <c r="P442">
        <f t="shared" si="30"/>
        <v>0</v>
      </c>
      <c r="Q442">
        <f t="shared" si="31"/>
        <v>0</v>
      </c>
      <c r="R442">
        <f t="shared" si="32"/>
        <v>0</v>
      </c>
      <c r="S442">
        <f t="shared" si="33"/>
        <v>0</v>
      </c>
      <c r="T442">
        <f t="shared" si="34"/>
        <v>0</v>
      </c>
      <c r="U442">
        <f>Tabla1[[#This Row],[HORAS NO AFINIDAD]]+Tabla1[[#This Row],[HORAS UNIDAD BASICA]]+Tabla1[[#This Row],[HORAS AFINIDAD]]</f>
        <v>0</v>
      </c>
      <c r="V442">
        <f>+Tabla1[[#This Row],[HORAS AFINIDAD]]+Tabla1[[#This Row],[HORAS ACTIVIDAD]]+Tabla1[[#This Row],[HORAS UNIDAD BASICA]]+Tabla1[[#This Row],[HORAS NO AFINIDAD]]</f>
        <v>0</v>
      </c>
    </row>
    <row r="443" spans="1:22" ht="18.75" customHeight="1">
      <c r="A443">
        <v>442</v>
      </c>
      <c r="C443" t="str">
        <f>_xlfn.XLOOKUP(Tabla1[[#This Row],[CARRERA]],MAE_CARRERA[NOMBRE_CARRERA],MAE_CARRERA[ID_CARRERA],"Seleccione Carrera")</f>
        <v>Seleccione Carrera</v>
      </c>
      <c r="F443" s="1"/>
      <c r="G443" t="str">
        <f>_xlfn.XLOOKUP(Tabla1[[#This Row],[ASIGNATURA]],MAE_ASIGNATURA[NOM_ASIG],MAE_ASIGNATURA[ID_ASIG],"Seleccione Asignatura")</f>
        <v>Seleccione Asignatura</v>
      </c>
      <c r="H443" s="1" t="str" cm="1">
        <f t="array" ref="H443">_xlfn.TEXTJOIN("; ",TRUE,TRANSPOSE(_xlfn.UNIQUE(_xlfn._xlws.FILTER(DET_ASIG[DETALLADO],(DET_ASIG[NIVEL]=ASIGNACION!$D443)*(DET_ASIG[ID_CARRERA]=ASIGNACION!$C443)*(DET_ASIG[ID_ASIG]=ASIGNACION!$G443),"No existe información"))))</f>
        <v>No existe información</v>
      </c>
      <c r="I443" s="1"/>
      <c r="J443">
        <f>_xlfn.XLOOKUP(Tabla1[[#This Row],[ID_ASIG_CAM_DET]],MAE_ASIGNATURA[ID_ASIG],MAE_ASIGNATURA[HORAS],0)</f>
        <v>0</v>
      </c>
      <c r="K443">
        <v>4</v>
      </c>
      <c r="L443" s="2">
        <f>+Tabla1[[#This Row],[CALCULAR HORA]]*Tabla1[[#This Row],[HORAS]]</f>
        <v>0</v>
      </c>
      <c r="N443" t="str">
        <f>_xlfn.XLOOKUP(Tabla1[[#This Row],[NOMBRE_DOCENT]],MDOCENTES[DATOS_DOCENTE],MDOCENTES[DEDICACION],"Seleccione Docente")</f>
        <v>Seleccione Docente</v>
      </c>
      <c r="O443" t="str">
        <f>_xlfn.XLOOKUP(Tabla1[[#This Row],[NOMBRE_DOCENT]],MDOCENTES[DATOS_DOCENTE],MDOCENTES[ESTUDIO],"Seleccione Docente")</f>
        <v>Seleccione Docente</v>
      </c>
      <c r="P443">
        <f t="shared" si="30"/>
        <v>0</v>
      </c>
      <c r="Q443">
        <f t="shared" si="31"/>
        <v>0</v>
      </c>
      <c r="R443">
        <f t="shared" si="32"/>
        <v>0</v>
      </c>
      <c r="S443">
        <f t="shared" si="33"/>
        <v>0</v>
      </c>
      <c r="T443">
        <f t="shared" si="34"/>
        <v>0</v>
      </c>
      <c r="U443">
        <f>Tabla1[[#This Row],[HORAS NO AFINIDAD]]+Tabla1[[#This Row],[HORAS UNIDAD BASICA]]+Tabla1[[#This Row],[HORAS AFINIDAD]]</f>
        <v>0</v>
      </c>
      <c r="V443">
        <f>+Tabla1[[#This Row],[HORAS AFINIDAD]]+Tabla1[[#This Row],[HORAS ACTIVIDAD]]+Tabla1[[#This Row],[HORAS UNIDAD BASICA]]+Tabla1[[#This Row],[HORAS NO AFINIDAD]]</f>
        <v>0</v>
      </c>
    </row>
    <row r="444" spans="1:22" ht="18.75" customHeight="1">
      <c r="A444">
        <v>443</v>
      </c>
      <c r="C444" t="str">
        <f>_xlfn.XLOOKUP(Tabla1[[#This Row],[CARRERA]],MAE_CARRERA[NOMBRE_CARRERA],MAE_CARRERA[ID_CARRERA],"Seleccione Carrera")</f>
        <v>Seleccione Carrera</v>
      </c>
      <c r="F444" s="1"/>
      <c r="G444" t="str">
        <f>_xlfn.XLOOKUP(Tabla1[[#This Row],[ASIGNATURA]],MAE_ASIGNATURA[NOM_ASIG],MAE_ASIGNATURA[ID_ASIG],"Seleccione Asignatura")</f>
        <v>Seleccione Asignatura</v>
      </c>
      <c r="H444" s="1" t="str" cm="1">
        <f t="array" ref="H444">_xlfn.TEXTJOIN("; ",TRUE,TRANSPOSE(_xlfn.UNIQUE(_xlfn._xlws.FILTER(DET_ASIG[DETALLADO],(DET_ASIG[NIVEL]=ASIGNACION!$D444)*(DET_ASIG[ID_CARRERA]=ASIGNACION!$C444)*(DET_ASIG[ID_ASIG]=ASIGNACION!$G444),"No existe información"))))</f>
        <v>No existe información</v>
      </c>
      <c r="I444" s="1"/>
      <c r="J444">
        <f>_xlfn.XLOOKUP(Tabla1[[#This Row],[ID_ASIG_CAM_DET]],MAE_ASIGNATURA[ID_ASIG],MAE_ASIGNATURA[HORAS],0)</f>
        <v>0</v>
      </c>
      <c r="K444">
        <v>4</v>
      </c>
      <c r="L444" s="2">
        <f>+Tabla1[[#This Row],[CALCULAR HORA]]*Tabla1[[#This Row],[HORAS]]</f>
        <v>0</v>
      </c>
      <c r="N444" t="str">
        <f>_xlfn.XLOOKUP(Tabla1[[#This Row],[NOMBRE_DOCENT]],MDOCENTES[DATOS_DOCENTE],MDOCENTES[DEDICACION],"Seleccione Docente")</f>
        <v>Seleccione Docente</v>
      </c>
      <c r="O444" t="str">
        <f>_xlfn.XLOOKUP(Tabla1[[#This Row],[NOMBRE_DOCENT]],MDOCENTES[DATOS_DOCENTE],MDOCENTES[ESTUDIO],"Seleccione Docente")</f>
        <v>Seleccione Docente</v>
      </c>
      <c r="P444">
        <f t="shared" si="30"/>
        <v>0</v>
      </c>
      <c r="Q444">
        <f t="shared" si="31"/>
        <v>0</v>
      </c>
      <c r="R444">
        <f t="shared" si="32"/>
        <v>0</v>
      </c>
      <c r="S444">
        <f t="shared" si="33"/>
        <v>0</v>
      </c>
      <c r="T444">
        <f t="shared" si="34"/>
        <v>0</v>
      </c>
      <c r="U444">
        <f>Tabla1[[#This Row],[HORAS NO AFINIDAD]]+Tabla1[[#This Row],[HORAS UNIDAD BASICA]]+Tabla1[[#This Row],[HORAS AFINIDAD]]</f>
        <v>0</v>
      </c>
      <c r="V444">
        <f>+Tabla1[[#This Row],[HORAS AFINIDAD]]+Tabla1[[#This Row],[HORAS ACTIVIDAD]]+Tabla1[[#This Row],[HORAS UNIDAD BASICA]]+Tabla1[[#This Row],[HORAS NO AFINIDAD]]</f>
        <v>0</v>
      </c>
    </row>
    <row r="445" spans="1:22" ht="18.75" customHeight="1">
      <c r="A445">
        <v>444</v>
      </c>
      <c r="C445" t="str">
        <f>_xlfn.XLOOKUP(Tabla1[[#This Row],[CARRERA]],MAE_CARRERA[NOMBRE_CARRERA],MAE_CARRERA[ID_CARRERA],"Seleccione Carrera")</f>
        <v>Seleccione Carrera</v>
      </c>
      <c r="F445" s="1"/>
      <c r="G445" t="str">
        <f>_xlfn.XLOOKUP(Tabla1[[#This Row],[ASIGNATURA]],MAE_ASIGNATURA[NOM_ASIG],MAE_ASIGNATURA[ID_ASIG],"Seleccione Asignatura")</f>
        <v>Seleccione Asignatura</v>
      </c>
      <c r="H445" s="1" t="str" cm="1">
        <f t="array" ref="H445">_xlfn.TEXTJOIN("; ",TRUE,TRANSPOSE(_xlfn.UNIQUE(_xlfn._xlws.FILTER(DET_ASIG[DETALLADO],(DET_ASIG[NIVEL]=ASIGNACION!$D445)*(DET_ASIG[ID_CARRERA]=ASIGNACION!$C445)*(DET_ASIG[ID_ASIG]=ASIGNACION!$G445),"No existe información"))))</f>
        <v>No existe información</v>
      </c>
      <c r="I445" s="1"/>
      <c r="J445">
        <f>_xlfn.XLOOKUP(Tabla1[[#This Row],[ID_ASIG_CAM_DET]],MAE_ASIGNATURA[ID_ASIG],MAE_ASIGNATURA[HORAS],0)</f>
        <v>0</v>
      </c>
      <c r="K445">
        <v>4</v>
      </c>
      <c r="L445" s="2">
        <f>+Tabla1[[#This Row],[CALCULAR HORA]]*Tabla1[[#This Row],[HORAS]]</f>
        <v>0</v>
      </c>
      <c r="N445" t="str">
        <f>_xlfn.XLOOKUP(Tabla1[[#This Row],[NOMBRE_DOCENT]],MDOCENTES[DATOS_DOCENTE],MDOCENTES[DEDICACION],"Seleccione Docente")</f>
        <v>Seleccione Docente</v>
      </c>
      <c r="O445" t="str">
        <f>_xlfn.XLOOKUP(Tabla1[[#This Row],[NOMBRE_DOCENT]],MDOCENTES[DATOS_DOCENTE],MDOCENTES[ESTUDIO],"Seleccione Docente")</f>
        <v>Seleccione Docente</v>
      </c>
      <c r="P445">
        <f t="shared" si="30"/>
        <v>0</v>
      </c>
      <c r="Q445">
        <f t="shared" si="31"/>
        <v>0</v>
      </c>
      <c r="R445">
        <f t="shared" si="32"/>
        <v>0</v>
      </c>
      <c r="S445">
        <f t="shared" si="33"/>
        <v>0</v>
      </c>
      <c r="T445">
        <f t="shared" si="34"/>
        <v>0</v>
      </c>
      <c r="U445">
        <f>Tabla1[[#This Row],[HORAS NO AFINIDAD]]+Tabla1[[#This Row],[HORAS UNIDAD BASICA]]+Tabla1[[#This Row],[HORAS AFINIDAD]]</f>
        <v>0</v>
      </c>
      <c r="V445">
        <f>+Tabla1[[#This Row],[HORAS AFINIDAD]]+Tabla1[[#This Row],[HORAS ACTIVIDAD]]+Tabla1[[#This Row],[HORAS UNIDAD BASICA]]+Tabla1[[#This Row],[HORAS NO AFINIDAD]]</f>
        <v>0</v>
      </c>
    </row>
    <row r="446" spans="1:22" ht="18.75" customHeight="1">
      <c r="A446">
        <v>445</v>
      </c>
      <c r="C446" t="str">
        <f>_xlfn.XLOOKUP(Tabla1[[#This Row],[CARRERA]],MAE_CARRERA[NOMBRE_CARRERA],MAE_CARRERA[ID_CARRERA],"Seleccione Carrera")</f>
        <v>Seleccione Carrera</v>
      </c>
      <c r="F446" s="1"/>
      <c r="G446" t="str">
        <f>_xlfn.XLOOKUP(Tabla1[[#This Row],[ASIGNATURA]],MAE_ASIGNATURA[NOM_ASIG],MAE_ASIGNATURA[ID_ASIG],"Seleccione Asignatura")</f>
        <v>Seleccione Asignatura</v>
      </c>
      <c r="H446" s="1" t="str" cm="1">
        <f t="array" ref="H446">_xlfn.TEXTJOIN("; ",TRUE,TRANSPOSE(_xlfn.UNIQUE(_xlfn._xlws.FILTER(DET_ASIG[DETALLADO],(DET_ASIG[NIVEL]=ASIGNACION!$D446)*(DET_ASIG[ID_CARRERA]=ASIGNACION!$C446)*(DET_ASIG[ID_ASIG]=ASIGNACION!$G446),"No existe información"))))</f>
        <v>No existe información</v>
      </c>
      <c r="I446" s="1"/>
      <c r="J446">
        <f>_xlfn.XLOOKUP(Tabla1[[#This Row],[ID_ASIG_CAM_DET]],MAE_ASIGNATURA[ID_ASIG],MAE_ASIGNATURA[HORAS],0)</f>
        <v>0</v>
      </c>
      <c r="K446">
        <v>4</v>
      </c>
      <c r="L446" s="2">
        <f>+Tabla1[[#This Row],[CALCULAR HORA]]*Tabla1[[#This Row],[HORAS]]</f>
        <v>0</v>
      </c>
      <c r="N446" t="str">
        <f>_xlfn.XLOOKUP(Tabla1[[#This Row],[NOMBRE_DOCENT]],MDOCENTES[DATOS_DOCENTE],MDOCENTES[DEDICACION],"Seleccione Docente")</f>
        <v>Seleccione Docente</v>
      </c>
      <c r="O446" t="str">
        <f>_xlfn.XLOOKUP(Tabla1[[#This Row],[NOMBRE_DOCENT]],MDOCENTES[DATOS_DOCENTE],MDOCENTES[ESTUDIO],"Seleccione Docente")</f>
        <v>Seleccione Docente</v>
      </c>
      <c r="P446">
        <f t="shared" si="30"/>
        <v>0</v>
      </c>
      <c r="Q446">
        <f t="shared" si="31"/>
        <v>0</v>
      </c>
      <c r="R446">
        <f t="shared" si="32"/>
        <v>0</v>
      </c>
      <c r="S446">
        <f t="shared" si="33"/>
        <v>0</v>
      </c>
      <c r="T446">
        <f t="shared" si="34"/>
        <v>0</v>
      </c>
      <c r="U446">
        <f>Tabla1[[#This Row],[HORAS NO AFINIDAD]]+Tabla1[[#This Row],[HORAS UNIDAD BASICA]]+Tabla1[[#This Row],[HORAS AFINIDAD]]</f>
        <v>0</v>
      </c>
      <c r="V446">
        <f>+Tabla1[[#This Row],[HORAS AFINIDAD]]+Tabla1[[#This Row],[HORAS ACTIVIDAD]]+Tabla1[[#This Row],[HORAS UNIDAD BASICA]]+Tabla1[[#This Row],[HORAS NO AFINIDAD]]</f>
        <v>0</v>
      </c>
    </row>
    <row r="447" spans="1:22" ht="18.75" customHeight="1">
      <c r="A447">
        <v>446</v>
      </c>
      <c r="C447" t="str">
        <f>_xlfn.XLOOKUP(Tabla1[[#This Row],[CARRERA]],MAE_CARRERA[NOMBRE_CARRERA],MAE_CARRERA[ID_CARRERA],"Seleccione Carrera")</f>
        <v>Seleccione Carrera</v>
      </c>
      <c r="F447" s="1"/>
      <c r="G447" t="str">
        <f>_xlfn.XLOOKUP(Tabla1[[#This Row],[ASIGNATURA]],MAE_ASIGNATURA[NOM_ASIG],MAE_ASIGNATURA[ID_ASIG],"Seleccione Asignatura")</f>
        <v>Seleccione Asignatura</v>
      </c>
      <c r="H447" s="1" t="str" cm="1">
        <f t="array" ref="H447">_xlfn.TEXTJOIN("; ",TRUE,TRANSPOSE(_xlfn.UNIQUE(_xlfn._xlws.FILTER(DET_ASIG[DETALLADO],(DET_ASIG[NIVEL]=ASIGNACION!$D447)*(DET_ASIG[ID_CARRERA]=ASIGNACION!$C447)*(DET_ASIG[ID_ASIG]=ASIGNACION!$G447),"No existe información"))))</f>
        <v>No existe información</v>
      </c>
      <c r="I447" s="1"/>
      <c r="J447">
        <f>_xlfn.XLOOKUP(Tabla1[[#This Row],[ID_ASIG_CAM_DET]],MAE_ASIGNATURA[ID_ASIG],MAE_ASIGNATURA[HORAS],0)</f>
        <v>0</v>
      </c>
      <c r="K447">
        <v>4</v>
      </c>
      <c r="L447" s="2">
        <f>+Tabla1[[#This Row],[CALCULAR HORA]]*Tabla1[[#This Row],[HORAS]]</f>
        <v>0</v>
      </c>
      <c r="N447" t="str">
        <f>_xlfn.XLOOKUP(Tabla1[[#This Row],[NOMBRE_DOCENT]],MDOCENTES[DATOS_DOCENTE],MDOCENTES[DEDICACION],"Seleccione Docente")</f>
        <v>Seleccione Docente</v>
      </c>
      <c r="O447" t="str">
        <f>_xlfn.XLOOKUP(Tabla1[[#This Row],[NOMBRE_DOCENT]],MDOCENTES[DATOS_DOCENTE],MDOCENTES[ESTUDIO],"Seleccione Docente")</f>
        <v>Seleccione Docente</v>
      </c>
      <c r="P447">
        <f t="shared" si="30"/>
        <v>0</v>
      </c>
      <c r="Q447">
        <f t="shared" si="31"/>
        <v>0</v>
      </c>
      <c r="R447">
        <f t="shared" si="32"/>
        <v>0</v>
      </c>
      <c r="S447">
        <f t="shared" si="33"/>
        <v>0</v>
      </c>
      <c r="T447">
        <f t="shared" si="34"/>
        <v>0</v>
      </c>
      <c r="U447">
        <f>Tabla1[[#This Row],[HORAS NO AFINIDAD]]+Tabla1[[#This Row],[HORAS UNIDAD BASICA]]+Tabla1[[#This Row],[HORAS AFINIDAD]]</f>
        <v>0</v>
      </c>
      <c r="V447">
        <f>+Tabla1[[#This Row],[HORAS AFINIDAD]]+Tabla1[[#This Row],[HORAS ACTIVIDAD]]+Tabla1[[#This Row],[HORAS UNIDAD BASICA]]+Tabla1[[#This Row],[HORAS NO AFINIDAD]]</f>
        <v>0</v>
      </c>
    </row>
    <row r="448" spans="1:22" ht="18.75" customHeight="1">
      <c r="A448">
        <v>447</v>
      </c>
      <c r="C448" t="str">
        <f>_xlfn.XLOOKUP(Tabla1[[#This Row],[CARRERA]],MAE_CARRERA[NOMBRE_CARRERA],MAE_CARRERA[ID_CARRERA],"Seleccione Carrera")</f>
        <v>Seleccione Carrera</v>
      </c>
      <c r="F448" s="1"/>
      <c r="G448" t="str">
        <f>_xlfn.XLOOKUP(Tabla1[[#This Row],[ASIGNATURA]],MAE_ASIGNATURA[NOM_ASIG],MAE_ASIGNATURA[ID_ASIG],"Seleccione Asignatura")</f>
        <v>Seleccione Asignatura</v>
      </c>
      <c r="H448" s="1" t="str" cm="1">
        <f t="array" ref="H448">_xlfn.TEXTJOIN("; ",TRUE,TRANSPOSE(_xlfn.UNIQUE(_xlfn._xlws.FILTER(DET_ASIG[DETALLADO],(DET_ASIG[NIVEL]=ASIGNACION!$D448)*(DET_ASIG[ID_CARRERA]=ASIGNACION!$C448)*(DET_ASIG[ID_ASIG]=ASIGNACION!$G448),"No existe información"))))</f>
        <v>No existe información</v>
      </c>
      <c r="I448" s="1"/>
      <c r="J448">
        <f>_xlfn.XLOOKUP(Tabla1[[#This Row],[ID_ASIG_CAM_DET]],MAE_ASIGNATURA[ID_ASIG],MAE_ASIGNATURA[HORAS],0)</f>
        <v>0</v>
      </c>
      <c r="K448">
        <v>4</v>
      </c>
      <c r="L448" s="2">
        <f>+Tabla1[[#This Row],[CALCULAR HORA]]*Tabla1[[#This Row],[HORAS]]</f>
        <v>0</v>
      </c>
      <c r="N448" t="str">
        <f>_xlfn.XLOOKUP(Tabla1[[#This Row],[NOMBRE_DOCENT]],MDOCENTES[DATOS_DOCENTE],MDOCENTES[DEDICACION],"Seleccione Docente")</f>
        <v>Seleccione Docente</v>
      </c>
      <c r="O448" t="str">
        <f>_xlfn.XLOOKUP(Tabla1[[#This Row],[NOMBRE_DOCENT]],MDOCENTES[DATOS_DOCENTE],MDOCENTES[ESTUDIO],"Seleccione Docente")</f>
        <v>Seleccione Docente</v>
      </c>
      <c r="P448">
        <f t="shared" si="30"/>
        <v>0</v>
      </c>
      <c r="Q448">
        <f t="shared" si="31"/>
        <v>0</v>
      </c>
      <c r="R448">
        <f t="shared" si="32"/>
        <v>0</v>
      </c>
      <c r="S448">
        <f t="shared" si="33"/>
        <v>0</v>
      </c>
      <c r="T448">
        <f t="shared" si="34"/>
        <v>0</v>
      </c>
      <c r="U448">
        <f>Tabla1[[#This Row],[HORAS NO AFINIDAD]]+Tabla1[[#This Row],[HORAS UNIDAD BASICA]]+Tabla1[[#This Row],[HORAS AFINIDAD]]</f>
        <v>0</v>
      </c>
      <c r="V448">
        <f>+Tabla1[[#This Row],[HORAS AFINIDAD]]+Tabla1[[#This Row],[HORAS ACTIVIDAD]]+Tabla1[[#This Row],[HORAS UNIDAD BASICA]]+Tabla1[[#This Row],[HORAS NO AFINIDAD]]</f>
        <v>0</v>
      </c>
    </row>
    <row r="449" spans="1:22" ht="18.75" customHeight="1">
      <c r="A449">
        <v>448</v>
      </c>
      <c r="C449" t="str">
        <f>_xlfn.XLOOKUP(Tabla1[[#This Row],[CARRERA]],MAE_CARRERA[NOMBRE_CARRERA],MAE_CARRERA[ID_CARRERA],"Seleccione Carrera")</f>
        <v>Seleccione Carrera</v>
      </c>
      <c r="F449" s="1"/>
      <c r="G449" t="str">
        <f>_xlfn.XLOOKUP(Tabla1[[#This Row],[ASIGNATURA]],MAE_ASIGNATURA[NOM_ASIG],MAE_ASIGNATURA[ID_ASIG],"Seleccione Asignatura")</f>
        <v>Seleccione Asignatura</v>
      </c>
      <c r="H449" s="1" t="str" cm="1">
        <f t="array" ref="H449">_xlfn.TEXTJOIN("; ",TRUE,TRANSPOSE(_xlfn.UNIQUE(_xlfn._xlws.FILTER(DET_ASIG[DETALLADO],(DET_ASIG[NIVEL]=ASIGNACION!$D449)*(DET_ASIG[ID_CARRERA]=ASIGNACION!$C449)*(DET_ASIG[ID_ASIG]=ASIGNACION!$G449),"No existe información"))))</f>
        <v>No existe información</v>
      </c>
      <c r="I449" s="1"/>
      <c r="J449">
        <f>_xlfn.XLOOKUP(Tabla1[[#This Row],[ID_ASIG_CAM_DET]],MAE_ASIGNATURA[ID_ASIG],MAE_ASIGNATURA[HORAS],0)</f>
        <v>0</v>
      </c>
      <c r="K449">
        <v>4</v>
      </c>
      <c r="L449" s="2">
        <f>+Tabla1[[#This Row],[CALCULAR HORA]]*Tabla1[[#This Row],[HORAS]]</f>
        <v>0</v>
      </c>
      <c r="N449" t="str">
        <f>_xlfn.XLOOKUP(Tabla1[[#This Row],[NOMBRE_DOCENT]],MDOCENTES[DATOS_DOCENTE],MDOCENTES[DEDICACION],"Seleccione Docente")</f>
        <v>Seleccione Docente</v>
      </c>
      <c r="O449" t="str">
        <f>_xlfn.XLOOKUP(Tabla1[[#This Row],[NOMBRE_DOCENT]],MDOCENTES[DATOS_DOCENTE],MDOCENTES[ESTUDIO],"Seleccione Docente")</f>
        <v>Seleccione Docente</v>
      </c>
      <c r="P449">
        <f t="shared" si="30"/>
        <v>0</v>
      </c>
      <c r="Q449">
        <f t="shared" si="31"/>
        <v>0</v>
      </c>
      <c r="R449">
        <f t="shared" si="32"/>
        <v>0</v>
      </c>
      <c r="S449">
        <f t="shared" si="33"/>
        <v>0</v>
      </c>
      <c r="T449">
        <f t="shared" si="34"/>
        <v>0</v>
      </c>
      <c r="U449">
        <f>Tabla1[[#This Row],[HORAS NO AFINIDAD]]+Tabla1[[#This Row],[HORAS UNIDAD BASICA]]+Tabla1[[#This Row],[HORAS AFINIDAD]]</f>
        <v>0</v>
      </c>
      <c r="V449">
        <f>+Tabla1[[#This Row],[HORAS AFINIDAD]]+Tabla1[[#This Row],[HORAS ACTIVIDAD]]+Tabla1[[#This Row],[HORAS UNIDAD BASICA]]+Tabla1[[#This Row],[HORAS NO AFINIDAD]]</f>
        <v>0</v>
      </c>
    </row>
    <row r="450" spans="1:22" ht="18.75" customHeight="1">
      <c r="A450">
        <v>449</v>
      </c>
      <c r="C450" t="str">
        <f>_xlfn.XLOOKUP(Tabla1[[#This Row],[CARRERA]],MAE_CARRERA[NOMBRE_CARRERA],MAE_CARRERA[ID_CARRERA],"Seleccione Carrera")</f>
        <v>Seleccione Carrera</v>
      </c>
      <c r="F450" s="1"/>
      <c r="G450" t="str">
        <f>_xlfn.XLOOKUP(Tabla1[[#This Row],[ASIGNATURA]],MAE_ASIGNATURA[NOM_ASIG],MAE_ASIGNATURA[ID_ASIG],"Seleccione Asignatura")</f>
        <v>Seleccione Asignatura</v>
      </c>
      <c r="H450" s="1" t="str" cm="1">
        <f t="array" ref="H450">_xlfn.TEXTJOIN("; ",TRUE,TRANSPOSE(_xlfn.UNIQUE(_xlfn._xlws.FILTER(DET_ASIG[DETALLADO],(DET_ASIG[NIVEL]=ASIGNACION!$D450)*(DET_ASIG[ID_CARRERA]=ASIGNACION!$C450)*(DET_ASIG[ID_ASIG]=ASIGNACION!$G450),"No existe información"))))</f>
        <v>No existe información</v>
      </c>
      <c r="I450" s="1"/>
      <c r="J450">
        <f>_xlfn.XLOOKUP(Tabla1[[#This Row],[ID_ASIG_CAM_DET]],MAE_ASIGNATURA[ID_ASIG],MAE_ASIGNATURA[HORAS],0)</f>
        <v>0</v>
      </c>
      <c r="K450">
        <v>4</v>
      </c>
      <c r="L450" s="2">
        <f>+Tabla1[[#This Row],[CALCULAR HORA]]*Tabla1[[#This Row],[HORAS]]</f>
        <v>0</v>
      </c>
      <c r="N450" t="str">
        <f>_xlfn.XLOOKUP(Tabla1[[#This Row],[NOMBRE_DOCENT]],MDOCENTES[DATOS_DOCENTE],MDOCENTES[DEDICACION],"Seleccione Docente")</f>
        <v>Seleccione Docente</v>
      </c>
      <c r="O450" t="str">
        <f>_xlfn.XLOOKUP(Tabla1[[#This Row],[NOMBRE_DOCENT]],MDOCENTES[DATOS_DOCENTE],MDOCENTES[ESTUDIO],"Seleccione Docente")</f>
        <v>Seleccione Docente</v>
      </c>
      <c r="P450">
        <f t="shared" ref="P450:P513" si="35">COUNTIFS($M:$M, M450, $H:$H, "&lt;&gt;ACTIVIDAD")</f>
        <v>0</v>
      </c>
      <c r="Q450">
        <f t="shared" ref="Q450:Q513" si="36">SUMIFS($L:$L, $M:$M, M450, $I:$I, "NO",$H:$H,"&lt;&gt;UNIDAD BASICA")</f>
        <v>0</v>
      </c>
      <c r="R450">
        <f t="shared" ref="R450:R513" si="37">SUMIFS($L:$L, $M:$M, M450, $H:$H, "UNIDAD BASICA",$I:$I,"NO")</f>
        <v>0</v>
      </c>
      <c r="S450">
        <f t="shared" ref="S450:S513" si="38">SUMIFS($L:$L, $M:$M, M450, $I:$I, "ACTIVIDAD")</f>
        <v>0</v>
      </c>
      <c r="T450">
        <f t="shared" ref="T450:T513" si="39">SUMIFS($L:$L, $M:$M, M450, $I:$I, "SI")</f>
        <v>0</v>
      </c>
      <c r="U450">
        <f>Tabla1[[#This Row],[HORAS NO AFINIDAD]]+Tabla1[[#This Row],[HORAS UNIDAD BASICA]]+Tabla1[[#This Row],[HORAS AFINIDAD]]</f>
        <v>0</v>
      </c>
      <c r="V450">
        <f>+Tabla1[[#This Row],[HORAS AFINIDAD]]+Tabla1[[#This Row],[HORAS ACTIVIDAD]]+Tabla1[[#This Row],[HORAS UNIDAD BASICA]]+Tabla1[[#This Row],[HORAS NO AFINIDAD]]</f>
        <v>0</v>
      </c>
    </row>
    <row r="451" spans="1:22" ht="18.75" customHeight="1">
      <c r="A451">
        <v>450</v>
      </c>
      <c r="C451" t="str">
        <f>_xlfn.XLOOKUP(Tabla1[[#This Row],[CARRERA]],MAE_CARRERA[NOMBRE_CARRERA],MAE_CARRERA[ID_CARRERA],"Seleccione Carrera")</f>
        <v>Seleccione Carrera</v>
      </c>
      <c r="F451" s="1"/>
      <c r="G451" t="str">
        <f>_xlfn.XLOOKUP(Tabla1[[#This Row],[ASIGNATURA]],MAE_ASIGNATURA[NOM_ASIG],MAE_ASIGNATURA[ID_ASIG],"Seleccione Asignatura")</f>
        <v>Seleccione Asignatura</v>
      </c>
      <c r="H451" s="1" t="str" cm="1">
        <f t="array" ref="H451">_xlfn.TEXTJOIN("; ",TRUE,TRANSPOSE(_xlfn.UNIQUE(_xlfn._xlws.FILTER(DET_ASIG[DETALLADO],(DET_ASIG[NIVEL]=ASIGNACION!$D451)*(DET_ASIG[ID_CARRERA]=ASIGNACION!$C451)*(DET_ASIG[ID_ASIG]=ASIGNACION!$G451),"No existe información"))))</f>
        <v>No existe información</v>
      </c>
      <c r="I451" s="1"/>
      <c r="J451">
        <f>_xlfn.XLOOKUP(Tabla1[[#This Row],[ID_ASIG_CAM_DET]],MAE_ASIGNATURA[ID_ASIG],MAE_ASIGNATURA[HORAS],0)</f>
        <v>0</v>
      </c>
      <c r="K451">
        <v>4</v>
      </c>
      <c r="L451" s="2">
        <f>+Tabla1[[#This Row],[CALCULAR HORA]]*Tabla1[[#This Row],[HORAS]]</f>
        <v>0</v>
      </c>
      <c r="N451" t="str">
        <f>_xlfn.XLOOKUP(Tabla1[[#This Row],[NOMBRE_DOCENT]],MDOCENTES[DATOS_DOCENTE],MDOCENTES[DEDICACION],"Seleccione Docente")</f>
        <v>Seleccione Docente</v>
      </c>
      <c r="O451" t="str">
        <f>_xlfn.XLOOKUP(Tabla1[[#This Row],[NOMBRE_DOCENT]],MDOCENTES[DATOS_DOCENTE],MDOCENTES[ESTUDIO],"Seleccione Docente")</f>
        <v>Seleccione Docente</v>
      </c>
      <c r="P451">
        <f t="shared" si="35"/>
        <v>0</v>
      </c>
      <c r="Q451">
        <f t="shared" si="36"/>
        <v>0</v>
      </c>
      <c r="R451">
        <f t="shared" si="37"/>
        <v>0</v>
      </c>
      <c r="S451">
        <f t="shared" si="38"/>
        <v>0</v>
      </c>
      <c r="T451">
        <f t="shared" si="39"/>
        <v>0</v>
      </c>
      <c r="U451">
        <f>Tabla1[[#This Row],[HORAS NO AFINIDAD]]+Tabla1[[#This Row],[HORAS UNIDAD BASICA]]+Tabla1[[#This Row],[HORAS AFINIDAD]]</f>
        <v>0</v>
      </c>
      <c r="V451">
        <f>+Tabla1[[#This Row],[HORAS AFINIDAD]]+Tabla1[[#This Row],[HORAS ACTIVIDAD]]+Tabla1[[#This Row],[HORAS UNIDAD BASICA]]+Tabla1[[#This Row],[HORAS NO AFINIDAD]]</f>
        <v>0</v>
      </c>
    </row>
    <row r="452" spans="1:22" ht="18.75" customHeight="1">
      <c r="A452">
        <v>451</v>
      </c>
      <c r="C452" t="str">
        <f>_xlfn.XLOOKUP(Tabla1[[#This Row],[CARRERA]],MAE_CARRERA[NOMBRE_CARRERA],MAE_CARRERA[ID_CARRERA],"Seleccione Carrera")</f>
        <v>Seleccione Carrera</v>
      </c>
      <c r="F452" s="1"/>
      <c r="G452" t="str">
        <f>_xlfn.XLOOKUP(Tabla1[[#This Row],[ASIGNATURA]],MAE_ASIGNATURA[NOM_ASIG],MAE_ASIGNATURA[ID_ASIG],"Seleccione Asignatura")</f>
        <v>Seleccione Asignatura</v>
      </c>
      <c r="H452" s="1" t="str" cm="1">
        <f t="array" ref="H452">_xlfn.TEXTJOIN("; ",TRUE,TRANSPOSE(_xlfn.UNIQUE(_xlfn._xlws.FILTER(DET_ASIG[DETALLADO],(DET_ASIG[NIVEL]=ASIGNACION!$D452)*(DET_ASIG[ID_CARRERA]=ASIGNACION!$C452)*(DET_ASIG[ID_ASIG]=ASIGNACION!$G452),"No existe información"))))</f>
        <v>No existe información</v>
      </c>
      <c r="I452" s="1"/>
      <c r="J452">
        <f>_xlfn.XLOOKUP(Tabla1[[#This Row],[ID_ASIG_CAM_DET]],MAE_ASIGNATURA[ID_ASIG],MAE_ASIGNATURA[HORAS],0)</f>
        <v>0</v>
      </c>
      <c r="K452">
        <v>4</v>
      </c>
      <c r="L452" s="2">
        <f>+Tabla1[[#This Row],[CALCULAR HORA]]*Tabla1[[#This Row],[HORAS]]</f>
        <v>0</v>
      </c>
      <c r="N452" t="str">
        <f>_xlfn.XLOOKUP(Tabla1[[#This Row],[NOMBRE_DOCENT]],MDOCENTES[DATOS_DOCENTE],MDOCENTES[DEDICACION],"Seleccione Docente")</f>
        <v>Seleccione Docente</v>
      </c>
      <c r="O452" t="str">
        <f>_xlfn.XLOOKUP(Tabla1[[#This Row],[NOMBRE_DOCENT]],MDOCENTES[DATOS_DOCENTE],MDOCENTES[ESTUDIO],"Seleccione Docente")</f>
        <v>Seleccione Docente</v>
      </c>
      <c r="P452">
        <f t="shared" si="35"/>
        <v>0</v>
      </c>
      <c r="Q452">
        <f t="shared" si="36"/>
        <v>0</v>
      </c>
      <c r="R452">
        <f t="shared" si="37"/>
        <v>0</v>
      </c>
      <c r="S452">
        <f t="shared" si="38"/>
        <v>0</v>
      </c>
      <c r="T452">
        <f t="shared" si="39"/>
        <v>0</v>
      </c>
      <c r="U452">
        <f>Tabla1[[#This Row],[HORAS NO AFINIDAD]]+Tabla1[[#This Row],[HORAS UNIDAD BASICA]]+Tabla1[[#This Row],[HORAS AFINIDAD]]</f>
        <v>0</v>
      </c>
      <c r="V452">
        <f>+Tabla1[[#This Row],[HORAS AFINIDAD]]+Tabla1[[#This Row],[HORAS ACTIVIDAD]]+Tabla1[[#This Row],[HORAS UNIDAD BASICA]]+Tabla1[[#This Row],[HORAS NO AFINIDAD]]</f>
        <v>0</v>
      </c>
    </row>
    <row r="453" spans="1:22" ht="18.75" customHeight="1">
      <c r="A453">
        <v>452</v>
      </c>
      <c r="C453" t="str">
        <f>_xlfn.XLOOKUP(Tabla1[[#This Row],[CARRERA]],MAE_CARRERA[NOMBRE_CARRERA],MAE_CARRERA[ID_CARRERA],"Seleccione Carrera")</f>
        <v>Seleccione Carrera</v>
      </c>
      <c r="F453" s="1"/>
      <c r="G453" t="str">
        <f>_xlfn.XLOOKUP(Tabla1[[#This Row],[ASIGNATURA]],MAE_ASIGNATURA[NOM_ASIG],MAE_ASIGNATURA[ID_ASIG],"Seleccione Asignatura")</f>
        <v>Seleccione Asignatura</v>
      </c>
      <c r="H453" s="1" t="str" cm="1">
        <f t="array" ref="H453">_xlfn.TEXTJOIN("; ",TRUE,TRANSPOSE(_xlfn.UNIQUE(_xlfn._xlws.FILTER(DET_ASIG[DETALLADO],(DET_ASIG[NIVEL]=ASIGNACION!$D453)*(DET_ASIG[ID_CARRERA]=ASIGNACION!$C453)*(DET_ASIG[ID_ASIG]=ASIGNACION!$G453),"No existe información"))))</f>
        <v>No existe información</v>
      </c>
      <c r="I453" s="1"/>
      <c r="J453">
        <f>_xlfn.XLOOKUP(Tabla1[[#This Row],[ID_ASIG_CAM_DET]],MAE_ASIGNATURA[ID_ASIG],MAE_ASIGNATURA[HORAS],0)</f>
        <v>0</v>
      </c>
      <c r="K453">
        <v>4</v>
      </c>
      <c r="L453" s="2">
        <f>+Tabla1[[#This Row],[CALCULAR HORA]]*Tabla1[[#This Row],[HORAS]]</f>
        <v>0</v>
      </c>
      <c r="N453" t="str">
        <f>_xlfn.XLOOKUP(Tabla1[[#This Row],[NOMBRE_DOCENT]],MDOCENTES[DATOS_DOCENTE],MDOCENTES[DEDICACION],"Seleccione Docente")</f>
        <v>Seleccione Docente</v>
      </c>
      <c r="O453" t="str">
        <f>_xlfn.XLOOKUP(Tabla1[[#This Row],[NOMBRE_DOCENT]],MDOCENTES[DATOS_DOCENTE],MDOCENTES[ESTUDIO],"Seleccione Docente")</f>
        <v>Seleccione Docente</v>
      </c>
      <c r="P453">
        <f t="shared" si="35"/>
        <v>0</v>
      </c>
      <c r="Q453">
        <f t="shared" si="36"/>
        <v>0</v>
      </c>
      <c r="R453">
        <f t="shared" si="37"/>
        <v>0</v>
      </c>
      <c r="S453">
        <f t="shared" si="38"/>
        <v>0</v>
      </c>
      <c r="T453">
        <f t="shared" si="39"/>
        <v>0</v>
      </c>
      <c r="U453">
        <f>Tabla1[[#This Row],[HORAS NO AFINIDAD]]+Tabla1[[#This Row],[HORAS UNIDAD BASICA]]+Tabla1[[#This Row],[HORAS AFINIDAD]]</f>
        <v>0</v>
      </c>
      <c r="V453">
        <f>+Tabla1[[#This Row],[HORAS AFINIDAD]]+Tabla1[[#This Row],[HORAS ACTIVIDAD]]+Tabla1[[#This Row],[HORAS UNIDAD BASICA]]+Tabla1[[#This Row],[HORAS NO AFINIDAD]]</f>
        <v>0</v>
      </c>
    </row>
    <row r="454" spans="1:22" ht="18.75" customHeight="1">
      <c r="A454">
        <v>453</v>
      </c>
      <c r="C454" t="str">
        <f>_xlfn.XLOOKUP(Tabla1[[#This Row],[CARRERA]],MAE_CARRERA[NOMBRE_CARRERA],MAE_CARRERA[ID_CARRERA],"Seleccione Carrera")</f>
        <v>Seleccione Carrera</v>
      </c>
      <c r="F454" s="1"/>
      <c r="G454" t="str">
        <f>_xlfn.XLOOKUP(Tabla1[[#This Row],[ASIGNATURA]],MAE_ASIGNATURA[NOM_ASIG],MAE_ASIGNATURA[ID_ASIG],"Seleccione Asignatura")</f>
        <v>Seleccione Asignatura</v>
      </c>
      <c r="H454" s="1" t="str" cm="1">
        <f t="array" ref="H454">_xlfn.TEXTJOIN("; ",TRUE,TRANSPOSE(_xlfn.UNIQUE(_xlfn._xlws.FILTER(DET_ASIG[DETALLADO],(DET_ASIG[NIVEL]=ASIGNACION!$D454)*(DET_ASIG[ID_CARRERA]=ASIGNACION!$C454)*(DET_ASIG[ID_ASIG]=ASIGNACION!$G454),"No existe información"))))</f>
        <v>No existe información</v>
      </c>
      <c r="I454" s="1"/>
      <c r="J454">
        <f>_xlfn.XLOOKUP(Tabla1[[#This Row],[ID_ASIG_CAM_DET]],MAE_ASIGNATURA[ID_ASIG],MAE_ASIGNATURA[HORAS],0)</f>
        <v>0</v>
      </c>
      <c r="K454">
        <v>4</v>
      </c>
      <c r="L454" s="2">
        <f>+Tabla1[[#This Row],[CALCULAR HORA]]*Tabla1[[#This Row],[HORAS]]</f>
        <v>0</v>
      </c>
      <c r="N454" t="str">
        <f>_xlfn.XLOOKUP(Tabla1[[#This Row],[NOMBRE_DOCENT]],MDOCENTES[DATOS_DOCENTE],MDOCENTES[DEDICACION],"Seleccione Docente")</f>
        <v>Seleccione Docente</v>
      </c>
      <c r="O454" t="str">
        <f>_xlfn.XLOOKUP(Tabla1[[#This Row],[NOMBRE_DOCENT]],MDOCENTES[DATOS_DOCENTE],MDOCENTES[ESTUDIO],"Seleccione Docente")</f>
        <v>Seleccione Docente</v>
      </c>
      <c r="P454">
        <f t="shared" si="35"/>
        <v>0</v>
      </c>
      <c r="Q454">
        <f t="shared" si="36"/>
        <v>0</v>
      </c>
      <c r="R454">
        <f t="shared" si="37"/>
        <v>0</v>
      </c>
      <c r="S454">
        <f t="shared" si="38"/>
        <v>0</v>
      </c>
      <c r="T454">
        <f t="shared" si="39"/>
        <v>0</v>
      </c>
      <c r="U454">
        <f>Tabla1[[#This Row],[HORAS NO AFINIDAD]]+Tabla1[[#This Row],[HORAS UNIDAD BASICA]]+Tabla1[[#This Row],[HORAS AFINIDAD]]</f>
        <v>0</v>
      </c>
      <c r="V454">
        <f>+Tabla1[[#This Row],[HORAS AFINIDAD]]+Tabla1[[#This Row],[HORAS ACTIVIDAD]]+Tabla1[[#This Row],[HORAS UNIDAD BASICA]]+Tabla1[[#This Row],[HORAS NO AFINIDAD]]</f>
        <v>0</v>
      </c>
    </row>
    <row r="455" spans="1:22" ht="18.75" customHeight="1">
      <c r="A455">
        <v>454</v>
      </c>
      <c r="C455" t="str">
        <f>_xlfn.XLOOKUP(Tabla1[[#This Row],[CARRERA]],MAE_CARRERA[NOMBRE_CARRERA],MAE_CARRERA[ID_CARRERA],"Seleccione Carrera")</f>
        <v>Seleccione Carrera</v>
      </c>
      <c r="F455" s="1"/>
      <c r="G455" t="str">
        <f>_xlfn.XLOOKUP(Tabla1[[#This Row],[ASIGNATURA]],MAE_ASIGNATURA[NOM_ASIG],MAE_ASIGNATURA[ID_ASIG],"Seleccione Asignatura")</f>
        <v>Seleccione Asignatura</v>
      </c>
      <c r="H455" s="1" t="str" cm="1">
        <f t="array" ref="H455">_xlfn.TEXTJOIN("; ",TRUE,TRANSPOSE(_xlfn.UNIQUE(_xlfn._xlws.FILTER(DET_ASIG[DETALLADO],(DET_ASIG[NIVEL]=ASIGNACION!$D455)*(DET_ASIG[ID_CARRERA]=ASIGNACION!$C455)*(DET_ASIG[ID_ASIG]=ASIGNACION!$G455),"No existe información"))))</f>
        <v>No existe información</v>
      </c>
      <c r="I455" s="1"/>
      <c r="J455">
        <f>_xlfn.XLOOKUP(Tabla1[[#This Row],[ID_ASIG_CAM_DET]],MAE_ASIGNATURA[ID_ASIG],MAE_ASIGNATURA[HORAS],0)</f>
        <v>0</v>
      </c>
      <c r="K455">
        <v>4</v>
      </c>
      <c r="L455" s="2">
        <f>+Tabla1[[#This Row],[CALCULAR HORA]]*Tabla1[[#This Row],[HORAS]]</f>
        <v>0</v>
      </c>
      <c r="N455" t="str">
        <f>_xlfn.XLOOKUP(Tabla1[[#This Row],[NOMBRE_DOCENT]],MDOCENTES[DATOS_DOCENTE],MDOCENTES[DEDICACION],"Seleccione Docente")</f>
        <v>Seleccione Docente</v>
      </c>
      <c r="O455" t="str">
        <f>_xlfn.XLOOKUP(Tabla1[[#This Row],[NOMBRE_DOCENT]],MDOCENTES[DATOS_DOCENTE],MDOCENTES[ESTUDIO],"Seleccione Docente")</f>
        <v>Seleccione Docente</v>
      </c>
      <c r="P455">
        <f t="shared" si="35"/>
        <v>0</v>
      </c>
      <c r="Q455">
        <f t="shared" si="36"/>
        <v>0</v>
      </c>
      <c r="R455">
        <f t="shared" si="37"/>
        <v>0</v>
      </c>
      <c r="S455">
        <f t="shared" si="38"/>
        <v>0</v>
      </c>
      <c r="T455">
        <f t="shared" si="39"/>
        <v>0</v>
      </c>
      <c r="U455">
        <f>Tabla1[[#This Row],[HORAS NO AFINIDAD]]+Tabla1[[#This Row],[HORAS UNIDAD BASICA]]+Tabla1[[#This Row],[HORAS AFINIDAD]]</f>
        <v>0</v>
      </c>
      <c r="V455">
        <f>+Tabla1[[#This Row],[HORAS AFINIDAD]]+Tabla1[[#This Row],[HORAS ACTIVIDAD]]+Tabla1[[#This Row],[HORAS UNIDAD BASICA]]+Tabla1[[#This Row],[HORAS NO AFINIDAD]]</f>
        <v>0</v>
      </c>
    </row>
    <row r="456" spans="1:22" ht="18.75" customHeight="1">
      <c r="A456">
        <v>455</v>
      </c>
      <c r="C456" t="str">
        <f>_xlfn.XLOOKUP(Tabla1[[#This Row],[CARRERA]],MAE_CARRERA[NOMBRE_CARRERA],MAE_CARRERA[ID_CARRERA],"Seleccione Carrera")</f>
        <v>Seleccione Carrera</v>
      </c>
      <c r="F456" s="1"/>
      <c r="G456" t="str">
        <f>_xlfn.XLOOKUP(Tabla1[[#This Row],[ASIGNATURA]],MAE_ASIGNATURA[NOM_ASIG],MAE_ASIGNATURA[ID_ASIG],"Seleccione Asignatura")</f>
        <v>Seleccione Asignatura</v>
      </c>
      <c r="H456" s="1" t="str" cm="1">
        <f t="array" ref="H456">_xlfn.TEXTJOIN("; ",TRUE,TRANSPOSE(_xlfn.UNIQUE(_xlfn._xlws.FILTER(DET_ASIG[DETALLADO],(DET_ASIG[NIVEL]=ASIGNACION!$D456)*(DET_ASIG[ID_CARRERA]=ASIGNACION!$C456)*(DET_ASIG[ID_ASIG]=ASIGNACION!$G456),"No existe información"))))</f>
        <v>No existe información</v>
      </c>
      <c r="I456" s="1"/>
      <c r="J456">
        <f>_xlfn.XLOOKUP(Tabla1[[#This Row],[ID_ASIG_CAM_DET]],MAE_ASIGNATURA[ID_ASIG],MAE_ASIGNATURA[HORAS],0)</f>
        <v>0</v>
      </c>
      <c r="K456">
        <v>4</v>
      </c>
      <c r="L456" s="2">
        <f>+Tabla1[[#This Row],[CALCULAR HORA]]*Tabla1[[#This Row],[HORAS]]</f>
        <v>0</v>
      </c>
      <c r="N456" t="str">
        <f>_xlfn.XLOOKUP(Tabla1[[#This Row],[NOMBRE_DOCENT]],MDOCENTES[DATOS_DOCENTE],MDOCENTES[DEDICACION],"Seleccione Docente")</f>
        <v>Seleccione Docente</v>
      </c>
      <c r="O456" t="str">
        <f>_xlfn.XLOOKUP(Tabla1[[#This Row],[NOMBRE_DOCENT]],MDOCENTES[DATOS_DOCENTE],MDOCENTES[ESTUDIO],"Seleccione Docente")</f>
        <v>Seleccione Docente</v>
      </c>
      <c r="P456">
        <f t="shared" si="35"/>
        <v>0</v>
      </c>
      <c r="Q456">
        <f t="shared" si="36"/>
        <v>0</v>
      </c>
      <c r="R456">
        <f t="shared" si="37"/>
        <v>0</v>
      </c>
      <c r="S456">
        <f t="shared" si="38"/>
        <v>0</v>
      </c>
      <c r="T456">
        <f t="shared" si="39"/>
        <v>0</v>
      </c>
      <c r="U456">
        <f>Tabla1[[#This Row],[HORAS NO AFINIDAD]]+Tabla1[[#This Row],[HORAS UNIDAD BASICA]]+Tabla1[[#This Row],[HORAS AFINIDAD]]</f>
        <v>0</v>
      </c>
      <c r="V456">
        <f>+Tabla1[[#This Row],[HORAS AFINIDAD]]+Tabla1[[#This Row],[HORAS ACTIVIDAD]]+Tabla1[[#This Row],[HORAS UNIDAD BASICA]]+Tabla1[[#This Row],[HORAS NO AFINIDAD]]</f>
        <v>0</v>
      </c>
    </row>
    <row r="457" spans="1:22" ht="18.75" customHeight="1">
      <c r="A457">
        <v>456</v>
      </c>
      <c r="C457" t="str">
        <f>_xlfn.XLOOKUP(Tabla1[[#This Row],[CARRERA]],MAE_CARRERA[NOMBRE_CARRERA],MAE_CARRERA[ID_CARRERA],"Seleccione Carrera")</f>
        <v>Seleccione Carrera</v>
      </c>
      <c r="F457" s="1"/>
      <c r="G457" t="str">
        <f>_xlfn.XLOOKUP(Tabla1[[#This Row],[ASIGNATURA]],MAE_ASIGNATURA[NOM_ASIG],MAE_ASIGNATURA[ID_ASIG],"Seleccione Asignatura")</f>
        <v>Seleccione Asignatura</v>
      </c>
      <c r="H457" s="1" t="str" cm="1">
        <f t="array" ref="H457">_xlfn.TEXTJOIN("; ",TRUE,TRANSPOSE(_xlfn.UNIQUE(_xlfn._xlws.FILTER(DET_ASIG[DETALLADO],(DET_ASIG[NIVEL]=ASIGNACION!$D457)*(DET_ASIG[ID_CARRERA]=ASIGNACION!$C457)*(DET_ASIG[ID_ASIG]=ASIGNACION!$G457),"No existe información"))))</f>
        <v>No existe información</v>
      </c>
      <c r="I457" s="1"/>
      <c r="J457">
        <f>_xlfn.XLOOKUP(Tabla1[[#This Row],[ID_ASIG_CAM_DET]],MAE_ASIGNATURA[ID_ASIG],MAE_ASIGNATURA[HORAS],0)</f>
        <v>0</v>
      </c>
      <c r="K457">
        <v>4</v>
      </c>
      <c r="L457" s="2">
        <f>+Tabla1[[#This Row],[CALCULAR HORA]]*Tabla1[[#This Row],[HORAS]]</f>
        <v>0</v>
      </c>
      <c r="N457" t="str">
        <f>_xlfn.XLOOKUP(Tabla1[[#This Row],[NOMBRE_DOCENT]],MDOCENTES[DATOS_DOCENTE],MDOCENTES[DEDICACION],"Seleccione Docente")</f>
        <v>Seleccione Docente</v>
      </c>
      <c r="O457" t="str">
        <f>_xlfn.XLOOKUP(Tabla1[[#This Row],[NOMBRE_DOCENT]],MDOCENTES[DATOS_DOCENTE],MDOCENTES[ESTUDIO],"Seleccione Docente")</f>
        <v>Seleccione Docente</v>
      </c>
      <c r="P457">
        <f t="shared" si="35"/>
        <v>0</v>
      </c>
      <c r="Q457">
        <f t="shared" si="36"/>
        <v>0</v>
      </c>
      <c r="R457">
        <f t="shared" si="37"/>
        <v>0</v>
      </c>
      <c r="S457">
        <f t="shared" si="38"/>
        <v>0</v>
      </c>
      <c r="T457">
        <f t="shared" si="39"/>
        <v>0</v>
      </c>
      <c r="U457">
        <f>Tabla1[[#This Row],[HORAS NO AFINIDAD]]+Tabla1[[#This Row],[HORAS UNIDAD BASICA]]+Tabla1[[#This Row],[HORAS AFINIDAD]]</f>
        <v>0</v>
      </c>
      <c r="V457">
        <f>+Tabla1[[#This Row],[HORAS AFINIDAD]]+Tabla1[[#This Row],[HORAS ACTIVIDAD]]+Tabla1[[#This Row],[HORAS UNIDAD BASICA]]+Tabla1[[#This Row],[HORAS NO AFINIDAD]]</f>
        <v>0</v>
      </c>
    </row>
    <row r="458" spans="1:22" ht="18.75" customHeight="1">
      <c r="A458">
        <v>457</v>
      </c>
      <c r="C458" t="str">
        <f>_xlfn.XLOOKUP(Tabla1[[#This Row],[CARRERA]],MAE_CARRERA[NOMBRE_CARRERA],MAE_CARRERA[ID_CARRERA],"Seleccione Carrera")</f>
        <v>Seleccione Carrera</v>
      </c>
      <c r="F458" s="1"/>
      <c r="G458" t="str">
        <f>_xlfn.XLOOKUP(Tabla1[[#This Row],[ASIGNATURA]],MAE_ASIGNATURA[NOM_ASIG],MAE_ASIGNATURA[ID_ASIG],"Seleccione Asignatura")</f>
        <v>Seleccione Asignatura</v>
      </c>
      <c r="H458" s="1" t="str" cm="1">
        <f t="array" ref="H458">_xlfn.TEXTJOIN("; ",TRUE,TRANSPOSE(_xlfn.UNIQUE(_xlfn._xlws.FILTER(DET_ASIG[DETALLADO],(DET_ASIG[NIVEL]=ASIGNACION!$D458)*(DET_ASIG[ID_CARRERA]=ASIGNACION!$C458)*(DET_ASIG[ID_ASIG]=ASIGNACION!$G458),"No existe información"))))</f>
        <v>No existe información</v>
      </c>
      <c r="I458" s="1"/>
      <c r="J458">
        <f>_xlfn.XLOOKUP(Tabla1[[#This Row],[ID_ASIG_CAM_DET]],MAE_ASIGNATURA[ID_ASIG],MAE_ASIGNATURA[HORAS],0)</f>
        <v>0</v>
      </c>
      <c r="K458">
        <v>4</v>
      </c>
      <c r="L458" s="2">
        <f>+Tabla1[[#This Row],[CALCULAR HORA]]*Tabla1[[#This Row],[HORAS]]</f>
        <v>0</v>
      </c>
      <c r="N458" t="str">
        <f>_xlfn.XLOOKUP(Tabla1[[#This Row],[NOMBRE_DOCENT]],MDOCENTES[DATOS_DOCENTE],MDOCENTES[DEDICACION],"Seleccione Docente")</f>
        <v>Seleccione Docente</v>
      </c>
      <c r="O458" t="str">
        <f>_xlfn.XLOOKUP(Tabla1[[#This Row],[NOMBRE_DOCENT]],MDOCENTES[DATOS_DOCENTE],MDOCENTES[ESTUDIO],"Seleccione Docente")</f>
        <v>Seleccione Docente</v>
      </c>
      <c r="P458">
        <f t="shared" si="35"/>
        <v>0</v>
      </c>
      <c r="Q458">
        <f t="shared" si="36"/>
        <v>0</v>
      </c>
      <c r="R458">
        <f t="shared" si="37"/>
        <v>0</v>
      </c>
      <c r="S458">
        <f t="shared" si="38"/>
        <v>0</v>
      </c>
      <c r="T458">
        <f t="shared" si="39"/>
        <v>0</v>
      </c>
      <c r="U458">
        <f>Tabla1[[#This Row],[HORAS NO AFINIDAD]]+Tabla1[[#This Row],[HORAS UNIDAD BASICA]]+Tabla1[[#This Row],[HORAS AFINIDAD]]</f>
        <v>0</v>
      </c>
      <c r="V458">
        <f>+Tabla1[[#This Row],[HORAS AFINIDAD]]+Tabla1[[#This Row],[HORAS ACTIVIDAD]]+Tabla1[[#This Row],[HORAS UNIDAD BASICA]]+Tabla1[[#This Row],[HORAS NO AFINIDAD]]</f>
        <v>0</v>
      </c>
    </row>
    <row r="459" spans="1:22" ht="18.75" customHeight="1">
      <c r="A459">
        <v>458</v>
      </c>
      <c r="C459" t="str">
        <f>_xlfn.XLOOKUP(Tabla1[[#This Row],[CARRERA]],MAE_CARRERA[NOMBRE_CARRERA],MAE_CARRERA[ID_CARRERA],"Seleccione Carrera")</f>
        <v>Seleccione Carrera</v>
      </c>
      <c r="F459" s="1"/>
      <c r="G459" t="str">
        <f>_xlfn.XLOOKUP(Tabla1[[#This Row],[ASIGNATURA]],MAE_ASIGNATURA[NOM_ASIG],MAE_ASIGNATURA[ID_ASIG],"Seleccione Asignatura")</f>
        <v>Seleccione Asignatura</v>
      </c>
      <c r="H459" s="1" t="str" cm="1">
        <f t="array" ref="H459">_xlfn.TEXTJOIN("; ",TRUE,TRANSPOSE(_xlfn.UNIQUE(_xlfn._xlws.FILTER(DET_ASIG[DETALLADO],(DET_ASIG[NIVEL]=ASIGNACION!$D459)*(DET_ASIG[ID_CARRERA]=ASIGNACION!$C459)*(DET_ASIG[ID_ASIG]=ASIGNACION!$G459),"No existe información"))))</f>
        <v>No existe información</v>
      </c>
      <c r="I459" s="1"/>
      <c r="J459">
        <f>_xlfn.XLOOKUP(Tabla1[[#This Row],[ID_ASIG_CAM_DET]],MAE_ASIGNATURA[ID_ASIG],MAE_ASIGNATURA[HORAS],0)</f>
        <v>0</v>
      </c>
      <c r="K459">
        <v>4</v>
      </c>
      <c r="L459" s="2">
        <f>+Tabla1[[#This Row],[CALCULAR HORA]]*Tabla1[[#This Row],[HORAS]]</f>
        <v>0</v>
      </c>
      <c r="N459" t="str">
        <f>_xlfn.XLOOKUP(Tabla1[[#This Row],[NOMBRE_DOCENT]],MDOCENTES[DATOS_DOCENTE],MDOCENTES[DEDICACION],"Seleccione Docente")</f>
        <v>Seleccione Docente</v>
      </c>
      <c r="O459" t="str">
        <f>_xlfn.XLOOKUP(Tabla1[[#This Row],[NOMBRE_DOCENT]],MDOCENTES[DATOS_DOCENTE],MDOCENTES[ESTUDIO],"Seleccione Docente")</f>
        <v>Seleccione Docente</v>
      </c>
      <c r="P459">
        <f t="shared" si="35"/>
        <v>0</v>
      </c>
      <c r="Q459">
        <f t="shared" si="36"/>
        <v>0</v>
      </c>
      <c r="R459">
        <f t="shared" si="37"/>
        <v>0</v>
      </c>
      <c r="S459">
        <f t="shared" si="38"/>
        <v>0</v>
      </c>
      <c r="T459">
        <f t="shared" si="39"/>
        <v>0</v>
      </c>
      <c r="U459">
        <f>Tabla1[[#This Row],[HORAS NO AFINIDAD]]+Tabla1[[#This Row],[HORAS UNIDAD BASICA]]+Tabla1[[#This Row],[HORAS AFINIDAD]]</f>
        <v>0</v>
      </c>
      <c r="V459">
        <f>+Tabla1[[#This Row],[HORAS AFINIDAD]]+Tabla1[[#This Row],[HORAS ACTIVIDAD]]+Tabla1[[#This Row],[HORAS UNIDAD BASICA]]+Tabla1[[#This Row],[HORAS NO AFINIDAD]]</f>
        <v>0</v>
      </c>
    </row>
    <row r="460" spans="1:22" ht="18.75" customHeight="1">
      <c r="A460">
        <v>459</v>
      </c>
      <c r="C460" t="str">
        <f>_xlfn.XLOOKUP(Tabla1[[#This Row],[CARRERA]],MAE_CARRERA[NOMBRE_CARRERA],MAE_CARRERA[ID_CARRERA],"Seleccione Carrera")</f>
        <v>Seleccione Carrera</v>
      </c>
      <c r="F460" s="1"/>
      <c r="G460" t="str">
        <f>_xlfn.XLOOKUP(Tabla1[[#This Row],[ASIGNATURA]],MAE_ASIGNATURA[NOM_ASIG],MAE_ASIGNATURA[ID_ASIG],"Seleccione Asignatura")</f>
        <v>Seleccione Asignatura</v>
      </c>
      <c r="H460" s="1" t="str" cm="1">
        <f t="array" ref="H460">_xlfn.TEXTJOIN("; ",TRUE,TRANSPOSE(_xlfn.UNIQUE(_xlfn._xlws.FILTER(DET_ASIG[DETALLADO],(DET_ASIG[NIVEL]=ASIGNACION!$D460)*(DET_ASIG[ID_CARRERA]=ASIGNACION!$C460)*(DET_ASIG[ID_ASIG]=ASIGNACION!$G460),"No existe información"))))</f>
        <v>No existe información</v>
      </c>
      <c r="I460" s="1"/>
      <c r="J460">
        <f>_xlfn.XLOOKUP(Tabla1[[#This Row],[ID_ASIG_CAM_DET]],MAE_ASIGNATURA[ID_ASIG],MAE_ASIGNATURA[HORAS],0)</f>
        <v>0</v>
      </c>
      <c r="K460">
        <v>4</v>
      </c>
      <c r="L460" s="2">
        <f>+Tabla1[[#This Row],[CALCULAR HORA]]*Tabla1[[#This Row],[HORAS]]</f>
        <v>0</v>
      </c>
      <c r="N460" t="str">
        <f>_xlfn.XLOOKUP(Tabla1[[#This Row],[NOMBRE_DOCENT]],MDOCENTES[DATOS_DOCENTE],MDOCENTES[DEDICACION],"Seleccione Docente")</f>
        <v>Seleccione Docente</v>
      </c>
      <c r="O460" t="str">
        <f>_xlfn.XLOOKUP(Tabla1[[#This Row],[NOMBRE_DOCENT]],MDOCENTES[DATOS_DOCENTE],MDOCENTES[ESTUDIO],"Seleccione Docente")</f>
        <v>Seleccione Docente</v>
      </c>
      <c r="P460">
        <f t="shared" si="35"/>
        <v>0</v>
      </c>
      <c r="Q460">
        <f t="shared" si="36"/>
        <v>0</v>
      </c>
      <c r="R460">
        <f t="shared" si="37"/>
        <v>0</v>
      </c>
      <c r="S460">
        <f t="shared" si="38"/>
        <v>0</v>
      </c>
      <c r="T460">
        <f t="shared" si="39"/>
        <v>0</v>
      </c>
      <c r="U460">
        <f>Tabla1[[#This Row],[HORAS NO AFINIDAD]]+Tabla1[[#This Row],[HORAS UNIDAD BASICA]]+Tabla1[[#This Row],[HORAS AFINIDAD]]</f>
        <v>0</v>
      </c>
      <c r="V460">
        <f>+Tabla1[[#This Row],[HORAS AFINIDAD]]+Tabla1[[#This Row],[HORAS ACTIVIDAD]]+Tabla1[[#This Row],[HORAS UNIDAD BASICA]]+Tabla1[[#This Row],[HORAS NO AFINIDAD]]</f>
        <v>0</v>
      </c>
    </row>
    <row r="461" spans="1:22" ht="18.75" customHeight="1">
      <c r="A461">
        <v>460</v>
      </c>
      <c r="C461" t="str">
        <f>_xlfn.XLOOKUP(Tabla1[[#This Row],[CARRERA]],MAE_CARRERA[NOMBRE_CARRERA],MAE_CARRERA[ID_CARRERA],"Seleccione Carrera")</f>
        <v>Seleccione Carrera</v>
      </c>
      <c r="F461" s="1"/>
      <c r="G461" t="str">
        <f>_xlfn.XLOOKUP(Tabla1[[#This Row],[ASIGNATURA]],MAE_ASIGNATURA[NOM_ASIG],MAE_ASIGNATURA[ID_ASIG],"Seleccione Asignatura")</f>
        <v>Seleccione Asignatura</v>
      </c>
      <c r="H461" s="1" t="str" cm="1">
        <f t="array" ref="H461">_xlfn.TEXTJOIN("; ",TRUE,TRANSPOSE(_xlfn.UNIQUE(_xlfn._xlws.FILTER(DET_ASIG[DETALLADO],(DET_ASIG[NIVEL]=ASIGNACION!$D461)*(DET_ASIG[ID_CARRERA]=ASIGNACION!$C461)*(DET_ASIG[ID_ASIG]=ASIGNACION!$G461),"No existe información"))))</f>
        <v>No existe información</v>
      </c>
      <c r="I461" s="1"/>
      <c r="J461">
        <f>_xlfn.XLOOKUP(Tabla1[[#This Row],[ID_ASIG_CAM_DET]],MAE_ASIGNATURA[ID_ASIG],MAE_ASIGNATURA[HORAS],0)</f>
        <v>0</v>
      </c>
      <c r="K461">
        <v>4</v>
      </c>
      <c r="L461" s="2">
        <f>+Tabla1[[#This Row],[CALCULAR HORA]]*Tabla1[[#This Row],[HORAS]]</f>
        <v>0</v>
      </c>
      <c r="N461" t="str">
        <f>_xlfn.XLOOKUP(Tabla1[[#This Row],[NOMBRE_DOCENT]],MDOCENTES[DATOS_DOCENTE],MDOCENTES[DEDICACION],"Seleccione Docente")</f>
        <v>Seleccione Docente</v>
      </c>
      <c r="O461" t="str">
        <f>_xlfn.XLOOKUP(Tabla1[[#This Row],[NOMBRE_DOCENT]],MDOCENTES[DATOS_DOCENTE],MDOCENTES[ESTUDIO],"Seleccione Docente")</f>
        <v>Seleccione Docente</v>
      </c>
      <c r="P461">
        <f t="shared" si="35"/>
        <v>0</v>
      </c>
      <c r="Q461">
        <f t="shared" si="36"/>
        <v>0</v>
      </c>
      <c r="R461">
        <f t="shared" si="37"/>
        <v>0</v>
      </c>
      <c r="S461">
        <f t="shared" si="38"/>
        <v>0</v>
      </c>
      <c r="T461">
        <f t="shared" si="39"/>
        <v>0</v>
      </c>
      <c r="U461">
        <f>Tabla1[[#This Row],[HORAS NO AFINIDAD]]+Tabla1[[#This Row],[HORAS UNIDAD BASICA]]+Tabla1[[#This Row],[HORAS AFINIDAD]]</f>
        <v>0</v>
      </c>
      <c r="V461">
        <f>+Tabla1[[#This Row],[HORAS AFINIDAD]]+Tabla1[[#This Row],[HORAS ACTIVIDAD]]+Tabla1[[#This Row],[HORAS UNIDAD BASICA]]+Tabla1[[#This Row],[HORAS NO AFINIDAD]]</f>
        <v>0</v>
      </c>
    </row>
    <row r="462" spans="1:22" ht="18.75" customHeight="1">
      <c r="A462">
        <v>461</v>
      </c>
      <c r="C462" t="str">
        <f>_xlfn.XLOOKUP(Tabla1[[#This Row],[CARRERA]],MAE_CARRERA[NOMBRE_CARRERA],MAE_CARRERA[ID_CARRERA],"Seleccione Carrera")</f>
        <v>Seleccione Carrera</v>
      </c>
      <c r="F462" s="1"/>
      <c r="G462" t="str">
        <f>_xlfn.XLOOKUP(Tabla1[[#This Row],[ASIGNATURA]],MAE_ASIGNATURA[NOM_ASIG],MAE_ASIGNATURA[ID_ASIG],"Seleccione Asignatura")</f>
        <v>Seleccione Asignatura</v>
      </c>
      <c r="H462" s="1" t="str" cm="1">
        <f t="array" ref="H462">_xlfn.TEXTJOIN("; ",TRUE,TRANSPOSE(_xlfn.UNIQUE(_xlfn._xlws.FILTER(DET_ASIG[DETALLADO],(DET_ASIG[NIVEL]=ASIGNACION!$D462)*(DET_ASIG[ID_CARRERA]=ASIGNACION!$C462)*(DET_ASIG[ID_ASIG]=ASIGNACION!$G462),"No existe información"))))</f>
        <v>No existe información</v>
      </c>
      <c r="I462" s="1"/>
      <c r="J462">
        <f>_xlfn.XLOOKUP(Tabla1[[#This Row],[ID_ASIG_CAM_DET]],MAE_ASIGNATURA[ID_ASIG],MAE_ASIGNATURA[HORAS],0)</f>
        <v>0</v>
      </c>
      <c r="K462">
        <v>4</v>
      </c>
      <c r="L462" s="2">
        <f>+Tabla1[[#This Row],[CALCULAR HORA]]*Tabla1[[#This Row],[HORAS]]</f>
        <v>0</v>
      </c>
      <c r="N462" t="str">
        <f>_xlfn.XLOOKUP(Tabla1[[#This Row],[NOMBRE_DOCENT]],MDOCENTES[DATOS_DOCENTE],MDOCENTES[DEDICACION],"Seleccione Docente")</f>
        <v>Seleccione Docente</v>
      </c>
      <c r="O462" t="str">
        <f>_xlfn.XLOOKUP(Tabla1[[#This Row],[NOMBRE_DOCENT]],MDOCENTES[DATOS_DOCENTE],MDOCENTES[ESTUDIO],"Seleccione Docente")</f>
        <v>Seleccione Docente</v>
      </c>
      <c r="P462">
        <f t="shared" si="35"/>
        <v>0</v>
      </c>
      <c r="Q462">
        <f t="shared" si="36"/>
        <v>0</v>
      </c>
      <c r="R462">
        <f t="shared" si="37"/>
        <v>0</v>
      </c>
      <c r="S462">
        <f t="shared" si="38"/>
        <v>0</v>
      </c>
      <c r="T462">
        <f t="shared" si="39"/>
        <v>0</v>
      </c>
      <c r="U462">
        <f>Tabla1[[#This Row],[HORAS NO AFINIDAD]]+Tabla1[[#This Row],[HORAS UNIDAD BASICA]]+Tabla1[[#This Row],[HORAS AFINIDAD]]</f>
        <v>0</v>
      </c>
      <c r="V462">
        <f>+Tabla1[[#This Row],[HORAS AFINIDAD]]+Tabla1[[#This Row],[HORAS ACTIVIDAD]]+Tabla1[[#This Row],[HORAS UNIDAD BASICA]]+Tabla1[[#This Row],[HORAS NO AFINIDAD]]</f>
        <v>0</v>
      </c>
    </row>
    <row r="463" spans="1:22" ht="18.75" customHeight="1">
      <c r="A463">
        <v>462</v>
      </c>
      <c r="C463" t="str">
        <f>_xlfn.XLOOKUP(Tabla1[[#This Row],[CARRERA]],MAE_CARRERA[NOMBRE_CARRERA],MAE_CARRERA[ID_CARRERA],"Seleccione Carrera")</f>
        <v>Seleccione Carrera</v>
      </c>
      <c r="F463" s="1"/>
      <c r="G463" t="str">
        <f>_xlfn.XLOOKUP(Tabla1[[#This Row],[ASIGNATURA]],MAE_ASIGNATURA[NOM_ASIG],MAE_ASIGNATURA[ID_ASIG],"Seleccione Asignatura")</f>
        <v>Seleccione Asignatura</v>
      </c>
      <c r="H463" s="1" t="str" cm="1">
        <f t="array" ref="H463">_xlfn.TEXTJOIN("; ",TRUE,TRANSPOSE(_xlfn.UNIQUE(_xlfn._xlws.FILTER(DET_ASIG[DETALLADO],(DET_ASIG[NIVEL]=ASIGNACION!$D463)*(DET_ASIG[ID_CARRERA]=ASIGNACION!$C463)*(DET_ASIG[ID_ASIG]=ASIGNACION!$G463),"No existe información"))))</f>
        <v>No existe información</v>
      </c>
      <c r="I463" s="1"/>
      <c r="J463">
        <f>_xlfn.XLOOKUP(Tabla1[[#This Row],[ID_ASIG_CAM_DET]],MAE_ASIGNATURA[ID_ASIG],MAE_ASIGNATURA[HORAS],0)</f>
        <v>0</v>
      </c>
      <c r="K463">
        <v>4</v>
      </c>
      <c r="L463" s="2">
        <f>+Tabla1[[#This Row],[CALCULAR HORA]]*Tabla1[[#This Row],[HORAS]]</f>
        <v>0</v>
      </c>
      <c r="N463" t="str">
        <f>_xlfn.XLOOKUP(Tabla1[[#This Row],[NOMBRE_DOCENT]],MDOCENTES[DATOS_DOCENTE],MDOCENTES[DEDICACION],"Seleccione Docente")</f>
        <v>Seleccione Docente</v>
      </c>
      <c r="O463" t="str">
        <f>_xlfn.XLOOKUP(Tabla1[[#This Row],[NOMBRE_DOCENT]],MDOCENTES[DATOS_DOCENTE],MDOCENTES[ESTUDIO],"Seleccione Docente")</f>
        <v>Seleccione Docente</v>
      </c>
      <c r="P463">
        <f t="shared" si="35"/>
        <v>0</v>
      </c>
      <c r="Q463">
        <f t="shared" si="36"/>
        <v>0</v>
      </c>
      <c r="R463">
        <f t="shared" si="37"/>
        <v>0</v>
      </c>
      <c r="S463">
        <f t="shared" si="38"/>
        <v>0</v>
      </c>
      <c r="T463">
        <f t="shared" si="39"/>
        <v>0</v>
      </c>
      <c r="U463">
        <f>Tabla1[[#This Row],[HORAS NO AFINIDAD]]+Tabla1[[#This Row],[HORAS UNIDAD BASICA]]+Tabla1[[#This Row],[HORAS AFINIDAD]]</f>
        <v>0</v>
      </c>
      <c r="V463">
        <f>+Tabla1[[#This Row],[HORAS AFINIDAD]]+Tabla1[[#This Row],[HORAS ACTIVIDAD]]+Tabla1[[#This Row],[HORAS UNIDAD BASICA]]+Tabla1[[#This Row],[HORAS NO AFINIDAD]]</f>
        <v>0</v>
      </c>
    </row>
    <row r="464" spans="1:22" ht="18.75" customHeight="1">
      <c r="A464">
        <v>463</v>
      </c>
      <c r="C464" t="str">
        <f>_xlfn.XLOOKUP(Tabla1[[#This Row],[CARRERA]],MAE_CARRERA[NOMBRE_CARRERA],MAE_CARRERA[ID_CARRERA],"Seleccione Carrera")</f>
        <v>Seleccione Carrera</v>
      </c>
      <c r="F464" s="1"/>
      <c r="G464" t="str">
        <f>_xlfn.XLOOKUP(Tabla1[[#This Row],[ASIGNATURA]],MAE_ASIGNATURA[NOM_ASIG],MAE_ASIGNATURA[ID_ASIG],"Seleccione Asignatura")</f>
        <v>Seleccione Asignatura</v>
      </c>
      <c r="H464" s="1" t="str" cm="1">
        <f t="array" ref="H464">_xlfn.TEXTJOIN("; ",TRUE,TRANSPOSE(_xlfn.UNIQUE(_xlfn._xlws.FILTER(DET_ASIG[DETALLADO],(DET_ASIG[NIVEL]=ASIGNACION!$D464)*(DET_ASIG[ID_CARRERA]=ASIGNACION!$C464)*(DET_ASIG[ID_ASIG]=ASIGNACION!$G464),"No existe información"))))</f>
        <v>No existe información</v>
      </c>
      <c r="I464" s="1"/>
      <c r="J464">
        <f>_xlfn.XLOOKUP(Tabla1[[#This Row],[ID_ASIG_CAM_DET]],MAE_ASIGNATURA[ID_ASIG],MAE_ASIGNATURA[HORAS],0)</f>
        <v>0</v>
      </c>
      <c r="K464">
        <v>4</v>
      </c>
      <c r="L464" s="2">
        <f>+Tabla1[[#This Row],[CALCULAR HORA]]*Tabla1[[#This Row],[HORAS]]</f>
        <v>0</v>
      </c>
      <c r="N464" t="str">
        <f>_xlfn.XLOOKUP(Tabla1[[#This Row],[NOMBRE_DOCENT]],MDOCENTES[DATOS_DOCENTE],MDOCENTES[DEDICACION],"Seleccione Docente")</f>
        <v>Seleccione Docente</v>
      </c>
      <c r="O464" t="str">
        <f>_xlfn.XLOOKUP(Tabla1[[#This Row],[NOMBRE_DOCENT]],MDOCENTES[DATOS_DOCENTE],MDOCENTES[ESTUDIO],"Seleccione Docente")</f>
        <v>Seleccione Docente</v>
      </c>
      <c r="P464">
        <f t="shared" si="35"/>
        <v>0</v>
      </c>
      <c r="Q464">
        <f t="shared" si="36"/>
        <v>0</v>
      </c>
      <c r="R464">
        <f t="shared" si="37"/>
        <v>0</v>
      </c>
      <c r="S464">
        <f t="shared" si="38"/>
        <v>0</v>
      </c>
      <c r="T464">
        <f t="shared" si="39"/>
        <v>0</v>
      </c>
      <c r="U464">
        <f>Tabla1[[#This Row],[HORAS NO AFINIDAD]]+Tabla1[[#This Row],[HORAS UNIDAD BASICA]]+Tabla1[[#This Row],[HORAS AFINIDAD]]</f>
        <v>0</v>
      </c>
      <c r="V464">
        <f>+Tabla1[[#This Row],[HORAS AFINIDAD]]+Tabla1[[#This Row],[HORAS ACTIVIDAD]]+Tabla1[[#This Row],[HORAS UNIDAD BASICA]]+Tabla1[[#This Row],[HORAS NO AFINIDAD]]</f>
        <v>0</v>
      </c>
    </row>
    <row r="465" spans="1:22" ht="18.75" customHeight="1">
      <c r="A465">
        <v>464</v>
      </c>
      <c r="C465" t="str">
        <f>_xlfn.XLOOKUP(Tabla1[[#This Row],[CARRERA]],MAE_CARRERA[NOMBRE_CARRERA],MAE_CARRERA[ID_CARRERA],"Seleccione Carrera")</f>
        <v>Seleccione Carrera</v>
      </c>
      <c r="F465" s="1"/>
      <c r="G465" t="str">
        <f>_xlfn.XLOOKUP(Tabla1[[#This Row],[ASIGNATURA]],MAE_ASIGNATURA[NOM_ASIG],MAE_ASIGNATURA[ID_ASIG],"Seleccione Asignatura")</f>
        <v>Seleccione Asignatura</v>
      </c>
      <c r="H465" s="1" t="str" cm="1">
        <f t="array" ref="H465">_xlfn.TEXTJOIN("; ",TRUE,TRANSPOSE(_xlfn.UNIQUE(_xlfn._xlws.FILTER(DET_ASIG[DETALLADO],(DET_ASIG[NIVEL]=ASIGNACION!$D465)*(DET_ASIG[ID_CARRERA]=ASIGNACION!$C465)*(DET_ASIG[ID_ASIG]=ASIGNACION!$G465),"No existe información"))))</f>
        <v>No existe información</v>
      </c>
      <c r="I465" s="1"/>
      <c r="J465">
        <f>_xlfn.XLOOKUP(Tabla1[[#This Row],[ID_ASIG_CAM_DET]],MAE_ASIGNATURA[ID_ASIG],MAE_ASIGNATURA[HORAS],0)</f>
        <v>0</v>
      </c>
      <c r="K465">
        <v>4</v>
      </c>
      <c r="L465" s="2">
        <f>+Tabla1[[#This Row],[CALCULAR HORA]]*Tabla1[[#This Row],[HORAS]]</f>
        <v>0</v>
      </c>
      <c r="N465" t="str">
        <f>_xlfn.XLOOKUP(Tabla1[[#This Row],[NOMBRE_DOCENT]],MDOCENTES[DATOS_DOCENTE],MDOCENTES[DEDICACION],"Seleccione Docente")</f>
        <v>Seleccione Docente</v>
      </c>
      <c r="O465" t="str">
        <f>_xlfn.XLOOKUP(Tabla1[[#This Row],[NOMBRE_DOCENT]],MDOCENTES[DATOS_DOCENTE],MDOCENTES[ESTUDIO],"Seleccione Docente")</f>
        <v>Seleccione Docente</v>
      </c>
      <c r="P465">
        <f t="shared" si="35"/>
        <v>0</v>
      </c>
      <c r="Q465">
        <f t="shared" si="36"/>
        <v>0</v>
      </c>
      <c r="R465">
        <f t="shared" si="37"/>
        <v>0</v>
      </c>
      <c r="S465">
        <f t="shared" si="38"/>
        <v>0</v>
      </c>
      <c r="T465">
        <f t="shared" si="39"/>
        <v>0</v>
      </c>
      <c r="U465">
        <f>Tabla1[[#This Row],[HORAS NO AFINIDAD]]+Tabla1[[#This Row],[HORAS UNIDAD BASICA]]+Tabla1[[#This Row],[HORAS AFINIDAD]]</f>
        <v>0</v>
      </c>
      <c r="V465">
        <f>+Tabla1[[#This Row],[HORAS AFINIDAD]]+Tabla1[[#This Row],[HORAS ACTIVIDAD]]+Tabla1[[#This Row],[HORAS UNIDAD BASICA]]+Tabla1[[#This Row],[HORAS NO AFINIDAD]]</f>
        <v>0</v>
      </c>
    </row>
    <row r="466" spans="1:22" ht="18.75" customHeight="1">
      <c r="A466">
        <v>465</v>
      </c>
      <c r="C466" t="str">
        <f>_xlfn.XLOOKUP(Tabla1[[#This Row],[CARRERA]],MAE_CARRERA[NOMBRE_CARRERA],MAE_CARRERA[ID_CARRERA],"Seleccione Carrera")</f>
        <v>Seleccione Carrera</v>
      </c>
      <c r="F466" s="1"/>
      <c r="G466" t="str">
        <f>_xlfn.XLOOKUP(Tabla1[[#This Row],[ASIGNATURA]],MAE_ASIGNATURA[NOM_ASIG],MAE_ASIGNATURA[ID_ASIG],"Seleccione Asignatura")</f>
        <v>Seleccione Asignatura</v>
      </c>
      <c r="H466" s="1" t="str" cm="1">
        <f t="array" ref="H466">_xlfn.TEXTJOIN("; ",TRUE,TRANSPOSE(_xlfn.UNIQUE(_xlfn._xlws.FILTER(DET_ASIG[DETALLADO],(DET_ASIG[NIVEL]=ASIGNACION!$D466)*(DET_ASIG[ID_CARRERA]=ASIGNACION!$C466)*(DET_ASIG[ID_ASIG]=ASIGNACION!$G466),"No existe información"))))</f>
        <v>No existe información</v>
      </c>
      <c r="I466" s="1"/>
      <c r="J466">
        <f>_xlfn.XLOOKUP(Tabla1[[#This Row],[ID_ASIG_CAM_DET]],MAE_ASIGNATURA[ID_ASIG],MAE_ASIGNATURA[HORAS],0)</f>
        <v>0</v>
      </c>
      <c r="K466">
        <v>4</v>
      </c>
      <c r="L466" s="2">
        <f>+Tabla1[[#This Row],[CALCULAR HORA]]*Tabla1[[#This Row],[HORAS]]</f>
        <v>0</v>
      </c>
      <c r="N466" t="str">
        <f>_xlfn.XLOOKUP(Tabla1[[#This Row],[NOMBRE_DOCENT]],MDOCENTES[DATOS_DOCENTE],MDOCENTES[DEDICACION],"Seleccione Docente")</f>
        <v>Seleccione Docente</v>
      </c>
      <c r="O466" t="str">
        <f>_xlfn.XLOOKUP(Tabla1[[#This Row],[NOMBRE_DOCENT]],MDOCENTES[DATOS_DOCENTE],MDOCENTES[ESTUDIO],"Seleccione Docente")</f>
        <v>Seleccione Docente</v>
      </c>
      <c r="P466">
        <f t="shared" si="35"/>
        <v>0</v>
      </c>
      <c r="Q466">
        <f t="shared" si="36"/>
        <v>0</v>
      </c>
      <c r="R466">
        <f t="shared" si="37"/>
        <v>0</v>
      </c>
      <c r="S466">
        <f t="shared" si="38"/>
        <v>0</v>
      </c>
      <c r="T466">
        <f t="shared" si="39"/>
        <v>0</v>
      </c>
      <c r="U466">
        <f>Tabla1[[#This Row],[HORAS NO AFINIDAD]]+Tabla1[[#This Row],[HORAS UNIDAD BASICA]]+Tabla1[[#This Row],[HORAS AFINIDAD]]</f>
        <v>0</v>
      </c>
      <c r="V466">
        <f>+Tabla1[[#This Row],[HORAS AFINIDAD]]+Tabla1[[#This Row],[HORAS ACTIVIDAD]]+Tabla1[[#This Row],[HORAS UNIDAD BASICA]]+Tabla1[[#This Row],[HORAS NO AFINIDAD]]</f>
        <v>0</v>
      </c>
    </row>
    <row r="467" spans="1:22" ht="18.75" customHeight="1">
      <c r="A467">
        <v>466</v>
      </c>
      <c r="C467" t="str">
        <f>_xlfn.XLOOKUP(Tabla1[[#This Row],[CARRERA]],MAE_CARRERA[NOMBRE_CARRERA],MAE_CARRERA[ID_CARRERA],"Seleccione Carrera")</f>
        <v>Seleccione Carrera</v>
      </c>
      <c r="F467" s="1"/>
      <c r="G467" t="str">
        <f>_xlfn.XLOOKUP(Tabla1[[#This Row],[ASIGNATURA]],MAE_ASIGNATURA[NOM_ASIG],MAE_ASIGNATURA[ID_ASIG],"Seleccione Asignatura")</f>
        <v>Seleccione Asignatura</v>
      </c>
      <c r="H467" s="1" t="str" cm="1">
        <f t="array" ref="H467">_xlfn.TEXTJOIN("; ",TRUE,TRANSPOSE(_xlfn.UNIQUE(_xlfn._xlws.FILTER(DET_ASIG[DETALLADO],(DET_ASIG[NIVEL]=ASIGNACION!$D467)*(DET_ASIG[ID_CARRERA]=ASIGNACION!$C467)*(DET_ASIG[ID_ASIG]=ASIGNACION!$G467),"No existe información"))))</f>
        <v>No existe información</v>
      </c>
      <c r="I467" s="1"/>
      <c r="J467">
        <f>_xlfn.XLOOKUP(Tabla1[[#This Row],[ID_ASIG_CAM_DET]],MAE_ASIGNATURA[ID_ASIG],MAE_ASIGNATURA[HORAS],0)</f>
        <v>0</v>
      </c>
      <c r="K467">
        <v>4</v>
      </c>
      <c r="L467" s="2">
        <f>+Tabla1[[#This Row],[CALCULAR HORA]]*Tabla1[[#This Row],[HORAS]]</f>
        <v>0</v>
      </c>
      <c r="N467" t="str">
        <f>_xlfn.XLOOKUP(Tabla1[[#This Row],[NOMBRE_DOCENT]],MDOCENTES[DATOS_DOCENTE],MDOCENTES[DEDICACION],"Seleccione Docente")</f>
        <v>Seleccione Docente</v>
      </c>
      <c r="O467" t="str">
        <f>_xlfn.XLOOKUP(Tabla1[[#This Row],[NOMBRE_DOCENT]],MDOCENTES[DATOS_DOCENTE],MDOCENTES[ESTUDIO],"Seleccione Docente")</f>
        <v>Seleccione Docente</v>
      </c>
      <c r="P467">
        <f t="shared" si="35"/>
        <v>0</v>
      </c>
      <c r="Q467">
        <f t="shared" si="36"/>
        <v>0</v>
      </c>
      <c r="R467">
        <f t="shared" si="37"/>
        <v>0</v>
      </c>
      <c r="S467">
        <f t="shared" si="38"/>
        <v>0</v>
      </c>
      <c r="T467">
        <f t="shared" si="39"/>
        <v>0</v>
      </c>
      <c r="U467">
        <f>Tabla1[[#This Row],[HORAS NO AFINIDAD]]+Tabla1[[#This Row],[HORAS UNIDAD BASICA]]+Tabla1[[#This Row],[HORAS AFINIDAD]]</f>
        <v>0</v>
      </c>
      <c r="V467">
        <f>+Tabla1[[#This Row],[HORAS AFINIDAD]]+Tabla1[[#This Row],[HORAS ACTIVIDAD]]+Tabla1[[#This Row],[HORAS UNIDAD BASICA]]+Tabla1[[#This Row],[HORAS NO AFINIDAD]]</f>
        <v>0</v>
      </c>
    </row>
    <row r="468" spans="1:22" ht="18.75" customHeight="1">
      <c r="A468">
        <v>467</v>
      </c>
      <c r="C468" t="str">
        <f>_xlfn.XLOOKUP(Tabla1[[#This Row],[CARRERA]],MAE_CARRERA[NOMBRE_CARRERA],MAE_CARRERA[ID_CARRERA],"Seleccione Carrera")</f>
        <v>Seleccione Carrera</v>
      </c>
      <c r="F468" s="1"/>
      <c r="G468" t="str">
        <f>_xlfn.XLOOKUP(Tabla1[[#This Row],[ASIGNATURA]],MAE_ASIGNATURA[NOM_ASIG],MAE_ASIGNATURA[ID_ASIG],"Seleccione Asignatura")</f>
        <v>Seleccione Asignatura</v>
      </c>
      <c r="H468" s="1" t="str" cm="1">
        <f t="array" ref="H468">_xlfn.TEXTJOIN("; ",TRUE,TRANSPOSE(_xlfn.UNIQUE(_xlfn._xlws.FILTER(DET_ASIG[DETALLADO],(DET_ASIG[NIVEL]=ASIGNACION!$D468)*(DET_ASIG[ID_CARRERA]=ASIGNACION!$C468)*(DET_ASIG[ID_ASIG]=ASIGNACION!$G468),"No existe información"))))</f>
        <v>No existe información</v>
      </c>
      <c r="I468" s="1"/>
      <c r="J468">
        <f>_xlfn.XLOOKUP(Tabla1[[#This Row],[ID_ASIG_CAM_DET]],MAE_ASIGNATURA[ID_ASIG],MAE_ASIGNATURA[HORAS],0)</f>
        <v>0</v>
      </c>
      <c r="K468">
        <v>4</v>
      </c>
      <c r="L468" s="2">
        <f>+Tabla1[[#This Row],[CALCULAR HORA]]*Tabla1[[#This Row],[HORAS]]</f>
        <v>0</v>
      </c>
      <c r="N468" t="str">
        <f>_xlfn.XLOOKUP(Tabla1[[#This Row],[NOMBRE_DOCENT]],MDOCENTES[DATOS_DOCENTE],MDOCENTES[DEDICACION],"Seleccione Docente")</f>
        <v>Seleccione Docente</v>
      </c>
      <c r="O468" t="str">
        <f>_xlfn.XLOOKUP(Tabla1[[#This Row],[NOMBRE_DOCENT]],MDOCENTES[DATOS_DOCENTE],MDOCENTES[ESTUDIO],"Seleccione Docente")</f>
        <v>Seleccione Docente</v>
      </c>
      <c r="P468">
        <f t="shared" si="35"/>
        <v>0</v>
      </c>
      <c r="Q468">
        <f t="shared" si="36"/>
        <v>0</v>
      </c>
      <c r="R468">
        <f t="shared" si="37"/>
        <v>0</v>
      </c>
      <c r="S468">
        <f t="shared" si="38"/>
        <v>0</v>
      </c>
      <c r="T468">
        <f t="shared" si="39"/>
        <v>0</v>
      </c>
      <c r="U468">
        <f>Tabla1[[#This Row],[HORAS NO AFINIDAD]]+Tabla1[[#This Row],[HORAS UNIDAD BASICA]]+Tabla1[[#This Row],[HORAS AFINIDAD]]</f>
        <v>0</v>
      </c>
      <c r="V468">
        <f>+Tabla1[[#This Row],[HORAS AFINIDAD]]+Tabla1[[#This Row],[HORAS ACTIVIDAD]]+Tabla1[[#This Row],[HORAS UNIDAD BASICA]]+Tabla1[[#This Row],[HORAS NO AFINIDAD]]</f>
        <v>0</v>
      </c>
    </row>
    <row r="469" spans="1:22" ht="18.75" customHeight="1">
      <c r="A469">
        <v>468</v>
      </c>
      <c r="C469" t="str">
        <f>_xlfn.XLOOKUP(Tabla1[[#This Row],[CARRERA]],MAE_CARRERA[NOMBRE_CARRERA],MAE_CARRERA[ID_CARRERA],"Seleccione Carrera")</f>
        <v>Seleccione Carrera</v>
      </c>
      <c r="F469" s="1"/>
      <c r="G469" t="str">
        <f>_xlfn.XLOOKUP(Tabla1[[#This Row],[ASIGNATURA]],MAE_ASIGNATURA[NOM_ASIG],MAE_ASIGNATURA[ID_ASIG],"Seleccione Asignatura")</f>
        <v>Seleccione Asignatura</v>
      </c>
      <c r="H469" s="1" t="str" cm="1">
        <f t="array" ref="H469">_xlfn.TEXTJOIN("; ",TRUE,TRANSPOSE(_xlfn.UNIQUE(_xlfn._xlws.FILTER(DET_ASIG[DETALLADO],(DET_ASIG[NIVEL]=ASIGNACION!$D469)*(DET_ASIG[ID_CARRERA]=ASIGNACION!$C469)*(DET_ASIG[ID_ASIG]=ASIGNACION!$G469),"No existe información"))))</f>
        <v>No existe información</v>
      </c>
      <c r="I469" s="1"/>
      <c r="J469">
        <f>_xlfn.XLOOKUP(Tabla1[[#This Row],[ID_ASIG_CAM_DET]],MAE_ASIGNATURA[ID_ASIG],MAE_ASIGNATURA[HORAS],0)</f>
        <v>0</v>
      </c>
      <c r="K469">
        <v>4</v>
      </c>
      <c r="L469" s="2">
        <f>+Tabla1[[#This Row],[CALCULAR HORA]]*Tabla1[[#This Row],[HORAS]]</f>
        <v>0</v>
      </c>
      <c r="N469" t="str">
        <f>_xlfn.XLOOKUP(Tabla1[[#This Row],[NOMBRE_DOCENT]],MDOCENTES[DATOS_DOCENTE],MDOCENTES[DEDICACION],"Seleccione Docente")</f>
        <v>Seleccione Docente</v>
      </c>
      <c r="O469" t="str">
        <f>_xlfn.XLOOKUP(Tabla1[[#This Row],[NOMBRE_DOCENT]],MDOCENTES[DATOS_DOCENTE],MDOCENTES[ESTUDIO],"Seleccione Docente")</f>
        <v>Seleccione Docente</v>
      </c>
      <c r="P469">
        <f t="shared" si="35"/>
        <v>0</v>
      </c>
      <c r="Q469">
        <f t="shared" si="36"/>
        <v>0</v>
      </c>
      <c r="R469">
        <f t="shared" si="37"/>
        <v>0</v>
      </c>
      <c r="S469">
        <f t="shared" si="38"/>
        <v>0</v>
      </c>
      <c r="T469">
        <f t="shared" si="39"/>
        <v>0</v>
      </c>
      <c r="U469">
        <f>Tabla1[[#This Row],[HORAS NO AFINIDAD]]+Tabla1[[#This Row],[HORAS UNIDAD BASICA]]+Tabla1[[#This Row],[HORAS AFINIDAD]]</f>
        <v>0</v>
      </c>
      <c r="V469">
        <f>+Tabla1[[#This Row],[HORAS AFINIDAD]]+Tabla1[[#This Row],[HORAS ACTIVIDAD]]+Tabla1[[#This Row],[HORAS UNIDAD BASICA]]+Tabla1[[#This Row],[HORAS NO AFINIDAD]]</f>
        <v>0</v>
      </c>
    </row>
    <row r="470" spans="1:22" ht="18.75" customHeight="1">
      <c r="A470">
        <v>469</v>
      </c>
      <c r="C470" t="str">
        <f>_xlfn.XLOOKUP(Tabla1[[#This Row],[CARRERA]],MAE_CARRERA[NOMBRE_CARRERA],MAE_CARRERA[ID_CARRERA],"Seleccione Carrera")</f>
        <v>Seleccione Carrera</v>
      </c>
      <c r="F470" s="1"/>
      <c r="G470" t="str">
        <f>_xlfn.XLOOKUP(Tabla1[[#This Row],[ASIGNATURA]],MAE_ASIGNATURA[NOM_ASIG],MAE_ASIGNATURA[ID_ASIG],"Seleccione Asignatura")</f>
        <v>Seleccione Asignatura</v>
      </c>
      <c r="H470" s="1" t="str" cm="1">
        <f t="array" ref="H470">_xlfn.TEXTJOIN("; ",TRUE,TRANSPOSE(_xlfn.UNIQUE(_xlfn._xlws.FILTER(DET_ASIG[DETALLADO],(DET_ASIG[NIVEL]=ASIGNACION!$D470)*(DET_ASIG[ID_CARRERA]=ASIGNACION!$C470)*(DET_ASIG[ID_ASIG]=ASIGNACION!$G470),"No existe información"))))</f>
        <v>No existe información</v>
      </c>
      <c r="I470" s="1"/>
      <c r="J470">
        <f>_xlfn.XLOOKUP(Tabla1[[#This Row],[ID_ASIG_CAM_DET]],MAE_ASIGNATURA[ID_ASIG],MAE_ASIGNATURA[HORAS],0)</f>
        <v>0</v>
      </c>
      <c r="K470">
        <v>4</v>
      </c>
      <c r="L470" s="2">
        <f>+Tabla1[[#This Row],[CALCULAR HORA]]*Tabla1[[#This Row],[HORAS]]</f>
        <v>0</v>
      </c>
      <c r="N470" t="str">
        <f>_xlfn.XLOOKUP(Tabla1[[#This Row],[NOMBRE_DOCENT]],MDOCENTES[DATOS_DOCENTE],MDOCENTES[DEDICACION],"Seleccione Docente")</f>
        <v>Seleccione Docente</v>
      </c>
      <c r="O470" t="str">
        <f>_xlfn.XLOOKUP(Tabla1[[#This Row],[NOMBRE_DOCENT]],MDOCENTES[DATOS_DOCENTE],MDOCENTES[ESTUDIO],"Seleccione Docente")</f>
        <v>Seleccione Docente</v>
      </c>
      <c r="P470">
        <f t="shared" si="35"/>
        <v>0</v>
      </c>
      <c r="Q470">
        <f t="shared" si="36"/>
        <v>0</v>
      </c>
      <c r="R470">
        <f t="shared" si="37"/>
        <v>0</v>
      </c>
      <c r="S470">
        <f t="shared" si="38"/>
        <v>0</v>
      </c>
      <c r="T470">
        <f t="shared" si="39"/>
        <v>0</v>
      </c>
      <c r="U470">
        <f>Tabla1[[#This Row],[HORAS NO AFINIDAD]]+Tabla1[[#This Row],[HORAS UNIDAD BASICA]]+Tabla1[[#This Row],[HORAS AFINIDAD]]</f>
        <v>0</v>
      </c>
      <c r="V470">
        <f>+Tabla1[[#This Row],[HORAS AFINIDAD]]+Tabla1[[#This Row],[HORAS ACTIVIDAD]]+Tabla1[[#This Row],[HORAS UNIDAD BASICA]]+Tabla1[[#This Row],[HORAS NO AFINIDAD]]</f>
        <v>0</v>
      </c>
    </row>
    <row r="471" spans="1:22" ht="18.75" customHeight="1">
      <c r="A471">
        <v>470</v>
      </c>
      <c r="C471" t="str">
        <f>_xlfn.XLOOKUP(Tabla1[[#This Row],[CARRERA]],MAE_CARRERA[NOMBRE_CARRERA],MAE_CARRERA[ID_CARRERA],"Seleccione Carrera")</f>
        <v>Seleccione Carrera</v>
      </c>
      <c r="F471" s="1"/>
      <c r="G471" t="str">
        <f>_xlfn.XLOOKUP(Tabla1[[#This Row],[ASIGNATURA]],MAE_ASIGNATURA[NOM_ASIG],MAE_ASIGNATURA[ID_ASIG],"Seleccione Asignatura")</f>
        <v>Seleccione Asignatura</v>
      </c>
      <c r="H471" s="1" t="str" cm="1">
        <f t="array" ref="H471">_xlfn.TEXTJOIN("; ",TRUE,TRANSPOSE(_xlfn.UNIQUE(_xlfn._xlws.FILTER(DET_ASIG[DETALLADO],(DET_ASIG[NIVEL]=ASIGNACION!$D471)*(DET_ASIG[ID_CARRERA]=ASIGNACION!$C471)*(DET_ASIG[ID_ASIG]=ASIGNACION!$G471),"No existe información"))))</f>
        <v>No existe información</v>
      </c>
      <c r="I471" s="1"/>
      <c r="J471">
        <f>_xlfn.XLOOKUP(Tabla1[[#This Row],[ID_ASIG_CAM_DET]],MAE_ASIGNATURA[ID_ASIG],MAE_ASIGNATURA[HORAS],0)</f>
        <v>0</v>
      </c>
      <c r="K471">
        <v>4</v>
      </c>
      <c r="L471" s="2">
        <f>+Tabla1[[#This Row],[CALCULAR HORA]]*Tabla1[[#This Row],[HORAS]]</f>
        <v>0</v>
      </c>
      <c r="N471" t="str">
        <f>_xlfn.XLOOKUP(Tabla1[[#This Row],[NOMBRE_DOCENT]],MDOCENTES[DATOS_DOCENTE],MDOCENTES[DEDICACION],"Seleccione Docente")</f>
        <v>Seleccione Docente</v>
      </c>
      <c r="O471" t="str">
        <f>_xlfn.XLOOKUP(Tabla1[[#This Row],[NOMBRE_DOCENT]],MDOCENTES[DATOS_DOCENTE],MDOCENTES[ESTUDIO],"Seleccione Docente")</f>
        <v>Seleccione Docente</v>
      </c>
      <c r="P471">
        <f t="shared" si="35"/>
        <v>0</v>
      </c>
      <c r="Q471">
        <f t="shared" si="36"/>
        <v>0</v>
      </c>
      <c r="R471">
        <f t="shared" si="37"/>
        <v>0</v>
      </c>
      <c r="S471">
        <f t="shared" si="38"/>
        <v>0</v>
      </c>
      <c r="T471">
        <f t="shared" si="39"/>
        <v>0</v>
      </c>
      <c r="U471">
        <f>Tabla1[[#This Row],[HORAS NO AFINIDAD]]+Tabla1[[#This Row],[HORAS UNIDAD BASICA]]+Tabla1[[#This Row],[HORAS AFINIDAD]]</f>
        <v>0</v>
      </c>
      <c r="V471">
        <f>+Tabla1[[#This Row],[HORAS AFINIDAD]]+Tabla1[[#This Row],[HORAS ACTIVIDAD]]+Tabla1[[#This Row],[HORAS UNIDAD BASICA]]+Tabla1[[#This Row],[HORAS NO AFINIDAD]]</f>
        <v>0</v>
      </c>
    </row>
    <row r="472" spans="1:22" ht="18.75" customHeight="1">
      <c r="A472">
        <v>471</v>
      </c>
      <c r="C472" t="str">
        <f>_xlfn.XLOOKUP(Tabla1[[#This Row],[CARRERA]],MAE_CARRERA[NOMBRE_CARRERA],MAE_CARRERA[ID_CARRERA],"Seleccione Carrera")</f>
        <v>Seleccione Carrera</v>
      </c>
      <c r="F472" s="1"/>
      <c r="G472" t="str">
        <f>_xlfn.XLOOKUP(Tabla1[[#This Row],[ASIGNATURA]],MAE_ASIGNATURA[NOM_ASIG],MAE_ASIGNATURA[ID_ASIG],"Seleccione Asignatura")</f>
        <v>Seleccione Asignatura</v>
      </c>
      <c r="H472" s="1" t="str" cm="1">
        <f t="array" ref="H472">_xlfn.TEXTJOIN("; ",TRUE,TRANSPOSE(_xlfn.UNIQUE(_xlfn._xlws.FILTER(DET_ASIG[DETALLADO],(DET_ASIG[NIVEL]=ASIGNACION!$D472)*(DET_ASIG[ID_CARRERA]=ASIGNACION!$C472)*(DET_ASIG[ID_ASIG]=ASIGNACION!$G472),"No existe información"))))</f>
        <v>No existe información</v>
      </c>
      <c r="I472" s="1"/>
      <c r="J472">
        <f>_xlfn.XLOOKUP(Tabla1[[#This Row],[ID_ASIG_CAM_DET]],MAE_ASIGNATURA[ID_ASIG],MAE_ASIGNATURA[HORAS],0)</f>
        <v>0</v>
      </c>
      <c r="K472">
        <v>4</v>
      </c>
      <c r="L472" s="2">
        <f>+Tabla1[[#This Row],[CALCULAR HORA]]*Tabla1[[#This Row],[HORAS]]</f>
        <v>0</v>
      </c>
      <c r="N472" t="str">
        <f>_xlfn.XLOOKUP(Tabla1[[#This Row],[NOMBRE_DOCENT]],MDOCENTES[DATOS_DOCENTE],MDOCENTES[DEDICACION],"Seleccione Docente")</f>
        <v>Seleccione Docente</v>
      </c>
      <c r="O472" t="str">
        <f>_xlfn.XLOOKUP(Tabla1[[#This Row],[NOMBRE_DOCENT]],MDOCENTES[DATOS_DOCENTE],MDOCENTES[ESTUDIO],"Seleccione Docente")</f>
        <v>Seleccione Docente</v>
      </c>
      <c r="P472">
        <f t="shared" si="35"/>
        <v>0</v>
      </c>
      <c r="Q472">
        <f t="shared" si="36"/>
        <v>0</v>
      </c>
      <c r="R472">
        <f t="shared" si="37"/>
        <v>0</v>
      </c>
      <c r="S472">
        <f t="shared" si="38"/>
        <v>0</v>
      </c>
      <c r="T472">
        <f t="shared" si="39"/>
        <v>0</v>
      </c>
      <c r="U472">
        <f>Tabla1[[#This Row],[HORAS NO AFINIDAD]]+Tabla1[[#This Row],[HORAS UNIDAD BASICA]]+Tabla1[[#This Row],[HORAS AFINIDAD]]</f>
        <v>0</v>
      </c>
      <c r="V472">
        <f>+Tabla1[[#This Row],[HORAS AFINIDAD]]+Tabla1[[#This Row],[HORAS ACTIVIDAD]]+Tabla1[[#This Row],[HORAS UNIDAD BASICA]]+Tabla1[[#This Row],[HORAS NO AFINIDAD]]</f>
        <v>0</v>
      </c>
    </row>
    <row r="473" spans="1:22" ht="18.75" customHeight="1">
      <c r="A473">
        <v>472</v>
      </c>
      <c r="C473" t="str">
        <f>_xlfn.XLOOKUP(Tabla1[[#This Row],[CARRERA]],MAE_CARRERA[NOMBRE_CARRERA],MAE_CARRERA[ID_CARRERA],"Seleccione Carrera")</f>
        <v>Seleccione Carrera</v>
      </c>
      <c r="F473" s="1"/>
      <c r="G473" t="str">
        <f>_xlfn.XLOOKUP(Tabla1[[#This Row],[ASIGNATURA]],MAE_ASIGNATURA[NOM_ASIG],MAE_ASIGNATURA[ID_ASIG],"Seleccione Asignatura")</f>
        <v>Seleccione Asignatura</v>
      </c>
      <c r="H473" s="1" t="str" cm="1">
        <f t="array" ref="H473">_xlfn.TEXTJOIN("; ",TRUE,TRANSPOSE(_xlfn.UNIQUE(_xlfn._xlws.FILTER(DET_ASIG[DETALLADO],(DET_ASIG[NIVEL]=ASIGNACION!$D473)*(DET_ASIG[ID_CARRERA]=ASIGNACION!$C473)*(DET_ASIG[ID_ASIG]=ASIGNACION!$G473),"No existe información"))))</f>
        <v>No existe información</v>
      </c>
      <c r="I473" s="1"/>
      <c r="J473">
        <f>_xlfn.XLOOKUP(Tabla1[[#This Row],[ID_ASIG_CAM_DET]],MAE_ASIGNATURA[ID_ASIG],MAE_ASIGNATURA[HORAS],0)</f>
        <v>0</v>
      </c>
      <c r="K473">
        <v>4</v>
      </c>
      <c r="L473" s="2">
        <f>+Tabla1[[#This Row],[CALCULAR HORA]]*Tabla1[[#This Row],[HORAS]]</f>
        <v>0</v>
      </c>
      <c r="N473" t="str">
        <f>_xlfn.XLOOKUP(Tabla1[[#This Row],[NOMBRE_DOCENT]],MDOCENTES[DATOS_DOCENTE],MDOCENTES[DEDICACION],"Seleccione Docente")</f>
        <v>Seleccione Docente</v>
      </c>
      <c r="O473" t="str">
        <f>_xlfn.XLOOKUP(Tabla1[[#This Row],[NOMBRE_DOCENT]],MDOCENTES[DATOS_DOCENTE],MDOCENTES[ESTUDIO],"Seleccione Docente")</f>
        <v>Seleccione Docente</v>
      </c>
      <c r="P473">
        <f t="shared" si="35"/>
        <v>0</v>
      </c>
      <c r="Q473">
        <f t="shared" si="36"/>
        <v>0</v>
      </c>
      <c r="R473">
        <f t="shared" si="37"/>
        <v>0</v>
      </c>
      <c r="S473">
        <f t="shared" si="38"/>
        <v>0</v>
      </c>
      <c r="T473">
        <f t="shared" si="39"/>
        <v>0</v>
      </c>
      <c r="U473">
        <f>Tabla1[[#This Row],[HORAS NO AFINIDAD]]+Tabla1[[#This Row],[HORAS UNIDAD BASICA]]+Tabla1[[#This Row],[HORAS AFINIDAD]]</f>
        <v>0</v>
      </c>
      <c r="V473">
        <f>+Tabla1[[#This Row],[HORAS AFINIDAD]]+Tabla1[[#This Row],[HORAS ACTIVIDAD]]+Tabla1[[#This Row],[HORAS UNIDAD BASICA]]+Tabla1[[#This Row],[HORAS NO AFINIDAD]]</f>
        <v>0</v>
      </c>
    </row>
    <row r="474" spans="1:22" ht="18.75" customHeight="1">
      <c r="A474">
        <v>473</v>
      </c>
      <c r="C474" t="str">
        <f>_xlfn.XLOOKUP(Tabla1[[#This Row],[CARRERA]],MAE_CARRERA[NOMBRE_CARRERA],MAE_CARRERA[ID_CARRERA],"Seleccione Carrera")</f>
        <v>Seleccione Carrera</v>
      </c>
      <c r="F474" s="1"/>
      <c r="G474" t="str">
        <f>_xlfn.XLOOKUP(Tabla1[[#This Row],[ASIGNATURA]],MAE_ASIGNATURA[NOM_ASIG],MAE_ASIGNATURA[ID_ASIG],"Seleccione Asignatura")</f>
        <v>Seleccione Asignatura</v>
      </c>
      <c r="H474" s="1" t="str" cm="1">
        <f t="array" ref="H474">_xlfn.TEXTJOIN("; ",TRUE,TRANSPOSE(_xlfn.UNIQUE(_xlfn._xlws.FILTER(DET_ASIG[DETALLADO],(DET_ASIG[NIVEL]=ASIGNACION!$D474)*(DET_ASIG[ID_CARRERA]=ASIGNACION!$C474)*(DET_ASIG[ID_ASIG]=ASIGNACION!$G474),"No existe información"))))</f>
        <v>No existe información</v>
      </c>
      <c r="I474" s="1"/>
      <c r="J474">
        <f>_xlfn.XLOOKUP(Tabla1[[#This Row],[ID_ASIG_CAM_DET]],MAE_ASIGNATURA[ID_ASIG],MAE_ASIGNATURA[HORAS],0)</f>
        <v>0</v>
      </c>
      <c r="K474">
        <v>4</v>
      </c>
      <c r="L474" s="2">
        <f>+Tabla1[[#This Row],[CALCULAR HORA]]*Tabla1[[#This Row],[HORAS]]</f>
        <v>0</v>
      </c>
      <c r="N474" t="str">
        <f>_xlfn.XLOOKUP(Tabla1[[#This Row],[NOMBRE_DOCENT]],MDOCENTES[DATOS_DOCENTE],MDOCENTES[DEDICACION],"Seleccione Docente")</f>
        <v>Seleccione Docente</v>
      </c>
      <c r="O474" t="str">
        <f>_xlfn.XLOOKUP(Tabla1[[#This Row],[NOMBRE_DOCENT]],MDOCENTES[DATOS_DOCENTE],MDOCENTES[ESTUDIO],"Seleccione Docente")</f>
        <v>Seleccione Docente</v>
      </c>
      <c r="P474">
        <f t="shared" si="35"/>
        <v>0</v>
      </c>
      <c r="Q474">
        <f t="shared" si="36"/>
        <v>0</v>
      </c>
      <c r="R474">
        <f t="shared" si="37"/>
        <v>0</v>
      </c>
      <c r="S474">
        <f t="shared" si="38"/>
        <v>0</v>
      </c>
      <c r="T474">
        <f t="shared" si="39"/>
        <v>0</v>
      </c>
      <c r="U474">
        <f>Tabla1[[#This Row],[HORAS NO AFINIDAD]]+Tabla1[[#This Row],[HORAS UNIDAD BASICA]]+Tabla1[[#This Row],[HORAS AFINIDAD]]</f>
        <v>0</v>
      </c>
      <c r="V474">
        <f>+Tabla1[[#This Row],[HORAS AFINIDAD]]+Tabla1[[#This Row],[HORAS ACTIVIDAD]]+Tabla1[[#This Row],[HORAS UNIDAD BASICA]]+Tabla1[[#This Row],[HORAS NO AFINIDAD]]</f>
        <v>0</v>
      </c>
    </row>
    <row r="475" spans="1:22" ht="18.75" customHeight="1">
      <c r="A475">
        <v>474</v>
      </c>
      <c r="C475" t="str">
        <f>_xlfn.XLOOKUP(Tabla1[[#This Row],[CARRERA]],MAE_CARRERA[NOMBRE_CARRERA],MAE_CARRERA[ID_CARRERA],"Seleccione Carrera")</f>
        <v>Seleccione Carrera</v>
      </c>
      <c r="F475" s="1"/>
      <c r="G475" t="str">
        <f>_xlfn.XLOOKUP(Tabla1[[#This Row],[ASIGNATURA]],MAE_ASIGNATURA[NOM_ASIG],MAE_ASIGNATURA[ID_ASIG],"Seleccione Asignatura")</f>
        <v>Seleccione Asignatura</v>
      </c>
      <c r="H475" s="1" t="str" cm="1">
        <f t="array" ref="H475">_xlfn.TEXTJOIN("; ",TRUE,TRANSPOSE(_xlfn.UNIQUE(_xlfn._xlws.FILTER(DET_ASIG[DETALLADO],(DET_ASIG[NIVEL]=ASIGNACION!$D475)*(DET_ASIG[ID_CARRERA]=ASIGNACION!$C475)*(DET_ASIG[ID_ASIG]=ASIGNACION!$G475),"No existe información"))))</f>
        <v>No existe información</v>
      </c>
      <c r="I475" s="1"/>
      <c r="J475">
        <f>_xlfn.XLOOKUP(Tabla1[[#This Row],[ID_ASIG_CAM_DET]],MAE_ASIGNATURA[ID_ASIG],MAE_ASIGNATURA[HORAS],0)</f>
        <v>0</v>
      </c>
      <c r="K475">
        <v>4</v>
      </c>
      <c r="L475" s="2">
        <f>+Tabla1[[#This Row],[CALCULAR HORA]]*Tabla1[[#This Row],[HORAS]]</f>
        <v>0</v>
      </c>
      <c r="N475" t="str">
        <f>_xlfn.XLOOKUP(Tabla1[[#This Row],[NOMBRE_DOCENT]],MDOCENTES[DATOS_DOCENTE],MDOCENTES[DEDICACION],"Seleccione Docente")</f>
        <v>Seleccione Docente</v>
      </c>
      <c r="O475" t="str">
        <f>_xlfn.XLOOKUP(Tabla1[[#This Row],[NOMBRE_DOCENT]],MDOCENTES[DATOS_DOCENTE],MDOCENTES[ESTUDIO],"Seleccione Docente")</f>
        <v>Seleccione Docente</v>
      </c>
      <c r="P475">
        <f t="shared" si="35"/>
        <v>0</v>
      </c>
      <c r="Q475">
        <f t="shared" si="36"/>
        <v>0</v>
      </c>
      <c r="R475">
        <f t="shared" si="37"/>
        <v>0</v>
      </c>
      <c r="S475">
        <f t="shared" si="38"/>
        <v>0</v>
      </c>
      <c r="T475">
        <f t="shared" si="39"/>
        <v>0</v>
      </c>
      <c r="U475">
        <f>Tabla1[[#This Row],[HORAS NO AFINIDAD]]+Tabla1[[#This Row],[HORAS UNIDAD BASICA]]+Tabla1[[#This Row],[HORAS AFINIDAD]]</f>
        <v>0</v>
      </c>
      <c r="V475">
        <f>+Tabla1[[#This Row],[HORAS AFINIDAD]]+Tabla1[[#This Row],[HORAS ACTIVIDAD]]+Tabla1[[#This Row],[HORAS UNIDAD BASICA]]+Tabla1[[#This Row],[HORAS NO AFINIDAD]]</f>
        <v>0</v>
      </c>
    </row>
    <row r="476" spans="1:22" ht="18.75" customHeight="1">
      <c r="A476">
        <v>475</v>
      </c>
      <c r="C476" t="str">
        <f>_xlfn.XLOOKUP(Tabla1[[#This Row],[CARRERA]],MAE_CARRERA[NOMBRE_CARRERA],MAE_CARRERA[ID_CARRERA],"Seleccione Carrera")</f>
        <v>Seleccione Carrera</v>
      </c>
      <c r="F476" s="1"/>
      <c r="G476" t="str">
        <f>_xlfn.XLOOKUP(Tabla1[[#This Row],[ASIGNATURA]],MAE_ASIGNATURA[NOM_ASIG],MAE_ASIGNATURA[ID_ASIG],"Seleccione Asignatura")</f>
        <v>Seleccione Asignatura</v>
      </c>
      <c r="H476" s="1" t="str" cm="1">
        <f t="array" ref="H476">_xlfn.TEXTJOIN("; ",TRUE,TRANSPOSE(_xlfn.UNIQUE(_xlfn._xlws.FILTER(DET_ASIG[DETALLADO],(DET_ASIG[NIVEL]=ASIGNACION!$D476)*(DET_ASIG[ID_CARRERA]=ASIGNACION!$C476)*(DET_ASIG[ID_ASIG]=ASIGNACION!$G476),"No existe información"))))</f>
        <v>No existe información</v>
      </c>
      <c r="I476" s="1"/>
      <c r="J476">
        <f>_xlfn.XLOOKUP(Tabla1[[#This Row],[ID_ASIG_CAM_DET]],MAE_ASIGNATURA[ID_ASIG],MAE_ASIGNATURA[HORAS],0)</f>
        <v>0</v>
      </c>
      <c r="K476">
        <v>4</v>
      </c>
      <c r="L476" s="2">
        <f>+Tabla1[[#This Row],[CALCULAR HORA]]*Tabla1[[#This Row],[HORAS]]</f>
        <v>0</v>
      </c>
      <c r="N476" t="str">
        <f>_xlfn.XLOOKUP(Tabla1[[#This Row],[NOMBRE_DOCENT]],MDOCENTES[DATOS_DOCENTE],MDOCENTES[DEDICACION],"Seleccione Docente")</f>
        <v>Seleccione Docente</v>
      </c>
      <c r="O476" t="str">
        <f>_xlfn.XLOOKUP(Tabla1[[#This Row],[NOMBRE_DOCENT]],MDOCENTES[DATOS_DOCENTE],MDOCENTES[ESTUDIO],"Seleccione Docente")</f>
        <v>Seleccione Docente</v>
      </c>
      <c r="P476">
        <f t="shared" si="35"/>
        <v>0</v>
      </c>
      <c r="Q476">
        <f t="shared" si="36"/>
        <v>0</v>
      </c>
      <c r="R476">
        <f t="shared" si="37"/>
        <v>0</v>
      </c>
      <c r="S476">
        <f t="shared" si="38"/>
        <v>0</v>
      </c>
      <c r="T476">
        <f t="shared" si="39"/>
        <v>0</v>
      </c>
      <c r="U476">
        <f>Tabla1[[#This Row],[HORAS NO AFINIDAD]]+Tabla1[[#This Row],[HORAS UNIDAD BASICA]]+Tabla1[[#This Row],[HORAS AFINIDAD]]</f>
        <v>0</v>
      </c>
      <c r="V476">
        <f>+Tabla1[[#This Row],[HORAS AFINIDAD]]+Tabla1[[#This Row],[HORAS ACTIVIDAD]]+Tabla1[[#This Row],[HORAS UNIDAD BASICA]]+Tabla1[[#This Row],[HORAS NO AFINIDAD]]</f>
        <v>0</v>
      </c>
    </row>
    <row r="477" spans="1:22" ht="18.75" customHeight="1">
      <c r="A477">
        <v>476</v>
      </c>
      <c r="C477" t="str">
        <f>_xlfn.XLOOKUP(Tabla1[[#This Row],[CARRERA]],MAE_CARRERA[NOMBRE_CARRERA],MAE_CARRERA[ID_CARRERA],"Seleccione Carrera")</f>
        <v>Seleccione Carrera</v>
      </c>
      <c r="F477" s="1"/>
      <c r="G477" t="str">
        <f>_xlfn.XLOOKUP(Tabla1[[#This Row],[ASIGNATURA]],MAE_ASIGNATURA[NOM_ASIG],MAE_ASIGNATURA[ID_ASIG],"Seleccione Asignatura")</f>
        <v>Seleccione Asignatura</v>
      </c>
      <c r="H477" s="1" t="str" cm="1">
        <f t="array" ref="H477">_xlfn.TEXTJOIN("; ",TRUE,TRANSPOSE(_xlfn.UNIQUE(_xlfn._xlws.FILTER(DET_ASIG[DETALLADO],(DET_ASIG[NIVEL]=ASIGNACION!$D477)*(DET_ASIG[ID_CARRERA]=ASIGNACION!$C477)*(DET_ASIG[ID_ASIG]=ASIGNACION!$G477),"No existe información"))))</f>
        <v>No existe información</v>
      </c>
      <c r="I477" s="1"/>
      <c r="J477">
        <f>_xlfn.XLOOKUP(Tabla1[[#This Row],[ID_ASIG_CAM_DET]],MAE_ASIGNATURA[ID_ASIG],MAE_ASIGNATURA[HORAS],0)</f>
        <v>0</v>
      </c>
      <c r="K477">
        <v>4</v>
      </c>
      <c r="L477" s="2">
        <f>+Tabla1[[#This Row],[CALCULAR HORA]]*Tabla1[[#This Row],[HORAS]]</f>
        <v>0</v>
      </c>
      <c r="N477" t="str">
        <f>_xlfn.XLOOKUP(Tabla1[[#This Row],[NOMBRE_DOCENT]],MDOCENTES[DATOS_DOCENTE],MDOCENTES[DEDICACION],"Seleccione Docente")</f>
        <v>Seleccione Docente</v>
      </c>
      <c r="O477" t="str">
        <f>_xlfn.XLOOKUP(Tabla1[[#This Row],[NOMBRE_DOCENT]],MDOCENTES[DATOS_DOCENTE],MDOCENTES[ESTUDIO],"Seleccione Docente")</f>
        <v>Seleccione Docente</v>
      </c>
      <c r="P477">
        <f t="shared" si="35"/>
        <v>0</v>
      </c>
      <c r="Q477">
        <f t="shared" si="36"/>
        <v>0</v>
      </c>
      <c r="R477">
        <f t="shared" si="37"/>
        <v>0</v>
      </c>
      <c r="S477">
        <f t="shared" si="38"/>
        <v>0</v>
      </c>
      <c r="T477">
        <f t="shared" si="39"/>
        <v>0</v>
      </c>
      <c r="U477">
        <f>Tabla1[[#This Row],[HORAS NO AFINIDAD]]+Tabla1[[#This Row],[HORAS UNIDAD BASICA]]+Tabla1[[#This Row],[HORAS AFINIDAD]]</f>
        <v>0</v>
      </c>
      <c r="V477">
        <f>+Tabla1[[#This Row],[HORAS AFINIDAD]]+Tabla1[[#This Row],[HORAS ACTIVIDAD]]+Tabla1[[#This Row],[HORAS UNIDAD BASICA]]+Tabla1[[#This Row],[HORAS NO AFINIDAD]]</f>
        <v>0</v>
      </c>
    </row>
    <row r="478" spans="1:22" ht="18.75" customHeight="1">
      <c r="A478">
        <v>477</v>
      </c>
      <c r="C478" t="str">
        <f>_xlfn.XLOOKUP(Tabla1[[#This Row],[CARRERA]],MAE_CARRERA[NOMBRE_CARRERA],MAE_CARRERA[ID_CARRERA],"Seleccione Carrera")</f>
        <v>Seleccione Carrera</v>
      </c>
      <c r="F478" s="1"/>
      <c r="G478" t="str">
        <f>_xlfn.XLOOKUP(Tabla1[[#This Row],[ASIGNATURA]],MAE_ASIGNATURA[NOM_ASIG],MAE_ASIGNATURA[ID_ASIG],"Seleccione Asignatura")</f>
        <v>Seleccione Asignatura</v>
      </c>
      <c r="H478" s="1" t="str" cm="1">
        <f t="array" ref="H478">_xlfn.TEXTJOIN("; ",TRUE,TRANSPOSE(_xlfn.UNIQUE(_xlfn._xlws.FILTER(DET_ASIG[DETALLADO],(DET_ASIG[NIVEL]=ASIGNACION!$D478)*(DET_ASIG[ID_CARRERA]=ASIGNACION!$C478)*(DET_ASIG[ID_ASIG]=ASIGNACION!$G478),"No existe información"))))</f>
        <v>No existe información</v>
      </c>
      <c r="I478" s="1"/>
      <c r="J478">
        <f>_xlfn.XLOOKUP(Tabla1[[#This Row],[ID_ASIG_CAM_DET]],MAE_ASIGNATURA[ID_ASIG],MAE_ASIGNATURA[HORAS],0)</f>
        <v>0</v>
      </c>
      <c r="K478">
        <v>4</v>
      </c>
      <c r="L478" s="2">
        <f>+Tabla1[[#This Row],[CALCULAR HORA]]*Tabla1[[#This Row],[HORAS]]</f>
        <v>0</v>
      </c>
      <c r="N478" t="str">
        <f>_xlfn.XLOOKUP(Tabla1[[#This Row],[NOMBRE_DOCENT]],MDOCENTES[DATOS_DOCENTE],MDOCENTES[DEDICACION],"Seleccione Docente")</f>
        <v>Seleccione Docente</v>
      </c>
      <c r="O478" t="str">
        <f>_xlfn.XLOOKUP(Tabla1[[#This Row],[NOMBRE_DOCENT]],MDOCENTES[DATOS_DOCENTE],MDOCENTES[ESTUDIO],"Seleccione Docente")</f>
        <v>Seleccione Docente</v>
      </c>
      <c r="P478">
        <f t="shared" si="35"/>
        <v>0</v>
      </c>
      <c r="Q478">
        <f t="shared" si="36"/>
        <v>0</v>
      </c>
      <c r="R478">
        <f t="shared" si="37"/>
        <v>0</v>
      </c>
      <c r="S478">
        <f t="shared" si="38"/>
        <v>0</v>
      </c>
      <c r="T478">
        <f t="shared" si="39"/>
        <v>0</v>
      </c>
      <c r="U478">
        <f>Tabla1[[#This Row],[HORAS NO AFINIDAD]]+Tabla1[[#This Row],[HORAS UNIDAD BASICA]]+Tabla1[[#This Row],[HORAS AFINIDAD]]</f>
        <v>0</v>
      </c>
      <c r="V478">
        <f>+Tabla1[[#This Row],[HORAS AFINIDAD]]+Tabla1[[#This Row],[HORAS ACTIVIDAD]]+Tabla1[[#This Row],[HORAS UNIDAD BASICA]]+Tabla1[[#This Row],[HORAS NO AFINIDAD]]</f>
        <v>0</v>
      </c>
    </row>
    <row r="479" spans="1:22" ht="18.75" customHeight="1">
      <c r="A479">
        <v>478</v>
      </c>
      <c r="C479" t="str">
        <f>_xlfn.XLOOKUP(Tabla1[[#This Row],[CARRERA]],MAE_CARRERA[NOMBRE_CARRERA],MAE_CARRERA[ID_CARRERA],"Seleccione Carrera")</f>
        <v>Seleccione Carrera</v>
      </c>
      <c r="F479" s="1"/>
      <c r="G479" t="str">
        <f>_xlfn.XLOOKUP(Tabla1[[#This Row],[ASIGNATURA]],MAE_ASIGNATURA[NOM_ASIG],MAE_ASIGNATURA[ID_ASIG],"Seleccione Asignatura")</f>
        <v>Seleccione Asignatura</v>
      </c>
      <c r="H479" s="1" t="str" cm="1">
        <f t="array" ref="H479">_xlfn.TEXTJOIN("; ",TRUE,TRANSPOSE(_xlfn.UNIQUE(_xlfn._xlws.FILTER(DET_ASIG[DETALLADO],(DET_ASIG[NIVEL]=ASIGNACION!$D479)*(DET_ASIG[ID_CARRERA]=ASIGNACION!$C479)*(DET_ASIG[ID_ASIG]=ASIGNACION!$G479),"No existe información"))))</f>
        <v>No existe información</v>
      </c>
      <c r="I479" s="1"/>
      <c r="J479">
        <f>_xlfn.XLOOKUP(Tabla1[[#This Row],[ID_ASIG_CAM_DET]],MAE_ASIGNATURA[ID_ASIG],MAE_ASIGNATURA[HORAS],0)</f>
        <v>0</v>
      </c>
      <c r="K479">
        <v>4</v>
      </c>
      <c r="L479" s="2">
        <f>+Tabla1[[#This Row],[CALCULAR HORA]]*Tabla1[[#This Row],[HORAS]]</f>
        <v>0</v>
      </c>
      <c r="N479" t="str">
        <f>_xlfn.XLOOKUP(Tabla1[[#This Row],[NOMBRE_DOCENT]],MDOCENTES[DATOS_DOCENTE],MDOCENTES[DEDICACION],"Seleccione Docente")</f>
        <v>Seleccione Docente</v>
      </c>
      <c r="O479" t="str">
        <f>_xlfn.XLOOKUP(Tabla1[[#This Row],[NOMBRE_DOCENT]],MDOCENTES[DATOS_DOCENTE],MDOCENTES[ESTUDIO],"Seleccione Docente")</f>
        <v>Seleccione Docente</v>
      </c>
      <c r="P479">
        <f t="shared" si="35"/>
        <v>0</v>
      </c>
      <c r="Q479">
        <f t="shared" si="36"/>
        <v>0</v>
      </c>
      <c r="R479">
        <f t="shared" si="37"/>
        <v>0</v>
      </c>
      <c r="S479">
        <f t="shared" si="38"/>
        <v>0</v>
      </c>
      <c r="T479">
        <f t="shared" si="39"/>
        <v>0</v>
      </c>
      <c r="U479">
        <f>Tabla1[[#This Row],[HORAS NO AFINIDAD]]+Tabla1[[#This Row],[HORAS UNIDAD BASICA]]+Tabla1[[#This Row],[HORAS AFINIDAD]]</f>
        <v>0</v>
      </c>
      <c r="V479">
        <f>+Tabla1[[#This Row],[HORAS AFINIDAD]]+Tabla1[[#This Row],[HORAS ACTIVIDAD]]+Tabla1[[#This Row],[HORAS UNIDAD BASICA]]+Tabla1[[#This Row],[HORAS NO AFINIDAD]]</f>
        <v>0</v>
      </c>
    </row>
    <row r="480" spans="1:22" ht="18.75" customHeight="1">
      <c r="A480">
        <v>479</v>
      </c>
      <c r="C480" t="str">
        <f>_xlfn.XLOOKUP(Tabla1[[#This Row],[CARRERA]],MAE_CARRERA[NOMBRE_CARRERA],MAE_CARRERA[ID_CARRERA],"Seleccione Carrera")</f>
        <v>Seleccione Carrera</v>
      </c>
      <c r="F480" s="1"/>
      <c r="G480" t="str">
        <f>_xlfn.XLOOKUP(Tabla1[[#This Row],[ASIGNATURA]],MAE_ASIGNATURA[NOM_ASIG],MAE_ASIGNATURA[ID_ASIG],"Seleccione Asignatura")</f>
        <v>Seleccione Asignatura</v>
      </c>
      <c r="H480" s="1" t="str" cm="1">
        <f t="array" ref="H480">_xlfn.TEXTJOIN("; ",TRUE,TRANSPOSE(_xlfn.UNIQUE(_xlfn._xlws.FILTER(DET_ASIG[DETALLADO],(DET_ASIG[NIVEL]=ASIGNACION!$D480)*(DET_ASIG[ID_CARRERA]=ASIGNACION!$C480)*(DET_ASIG[ID_ASIG]=ASIGNACION!$G480),"No existe información"))))</f>
        <v>No existe información</v>
      </c>
      <c r="I480" s="1"/>
      <c r="J480">
        <f>_xlfn.XLOOKUP(Tabla1[[#This Row],[ID_ASIG_CAM_DET]],MAE_ASIGNATURA[ID_ASIG],MAE_ASIGNATURA[HORAS],0)</f>
        <v>0</v>
      </c>
      <c r="K480">
        <v>4</v>
      </c>
      <c r="L480" s="2">
        <f>+Tabla1[[#This Row],[CALCULAR HORA]]*Tabla1[[#This Row],[HORAS]]</f>
        <v>0</v>
      </c>
      <c r="N480" t="str">
        <f>_xlfn.XLOOKUP(Tabla1[[#This Row],[NOMBRE_DOCENT]],MDOCENTES[DATOS_DOCENTE],MDOCENTES[DEDICACION],"Seleccione Docente")</f>
        <v>Seleccione Docente</v>
      </c>
      <c r="O480" t="str">
        <f>_xlfn.XLOOKUP(Tabla1[[#This Row],[NOMBRE_DOCENT]],MDOCENTES[DATOS_DOCENTE],MDOCENTES[ESTUDIO],"Seleccione Docente")</f>
        <v>Seleccione Docente</v>
      </c>
      <c r="P480">
        <f t="shared" si="35"/>
        <v>0</v>
      </c>
      <c r="Q480">
        <f t="shared" si="36"/>
        <v>0</v>
      </c>
      <c r="R480">
        <f t="shared" si="37"/>
        <v>0</v>
      </c>
      <c r="S480">
        <f t="shared" si="38"/>
        <v>0</v>
      </c>
      <c r="T480">
        <f t="shared" si="39"/>
        <v>0</v>
      </c>
      <c r="U480">
        <f>Tabla1[[#This Row],[HORAS NO AFINIDAD]]+Tabla1[[#This Row],[HORAS UNIDAD BASICA]]+Tabla1[[#This Row],[HORAS AFINIDAD]]</f>
        <v>0</v>
      </c>
      <c r="V480">
        <f>+Tabla1[[#This Row],[HORAS AFINIDAD]]+Tabla1[[#This Row],[HORAS ACTIVIDAD]]+Tabla1[[#This Row],[HORAS UNIDAD BASICA]]+Tabla1[[#This Row],[HORAS NO AFINIDAD]]</f>
        <v>0</v>
      </c>
    </row>
    <row r="481" spans="1:22" ht="18.75" customHeight="1">
      <c r="A481">
        <v>480</v>
      </c>
      <c r="C481" t="str">
        <f>_xlfn.XLOOKUP(Tabla1[[#This Row],[CARRERA]],MAE_CARRERA[NOMBRE_CARRERA],MAE_CARRERA[ID_CARRERA],"Seleccione Carrera")</f>
        <v>Seleccione Carrera</v>
      </c>
      <c r="F481" s="1"/>
      <c r="G481" t="str">
        <f>_xlfn.XLOOKUP(Tabla1[[#This Row],[ASIGNATURA]],MAE_ASIGNATURA[NOM_ASIG],MAE_ASIGNATURA[ID_ASIG],"Seleccione Asignatura")</f>
        <v>Seleccione Asignatura</v>
      </c>
      <c r="H481" s="1" t="str" cm="1">
        <f t="array" ref="H481">_xlfn.TEXTJOIN("; ",TRUE,TRANSPOSE(_xlfn.UNIQUE(_xlfn._xlws.FILTER(DET_ASIG[DETALLADO],(DET_ASIG[NIVEL]=ASIGNACION!$D481)*(DET_ASIG[ID_CARRERA]=ASIGNACION!$C481)*(DET_ASIG[ID_ASIG]=ASIGNACION!$G481),"No existe información"))))</f>
        <v>No existe información</v>
      </c>
      <c r="I481" s="1"/>
      <c r="J481">
        <f>_xlfn.XLOOKUP(Tabla1[[#This Row],[ID_ASIG_CAM_DET]],MAE_ASIGNATURA[ID_ASIG],MAE_ASIGNATURA[HORAS],0)</f>
        <v>0</v>
      </c>
      <c r="K481">
        <v>4</v>
      </c>
      <c r="L481" s="2">
        <f>+Tabla1[[#This Row],[CALCULAR HORA]]*Tabla1[[#This Row],[HORAS]]</f>
        <v>0</v>
      </c>
      <c r="N481" t="str">
        <f>_xlfn.XLOOKUP(Tabla1[[#This Row],[NOMBRE_DOCENT]],MDOCENTES[DATOS_DOCENTE],MDOCENTES[DEDICACION],"Seleccione Docente")</f>
        <v>Seleccione Docente</v>
      </c>
      <c r="O481" t="str">
        <f>_xlfn.XLOOKUP(Tabla1[[#This Row],[NOMBRE_DOCENT]],MDOCENTES[DATOS_DOCENTE],MDOCENTES[ESTUDIO],"Seleccione Docente")</f>
        <v>Seleccione Docente</v>
      </c>
      <c r="P481">
        <f t="shared" si="35"/>
        <v>0</v>
      </c>
      <c r="Q481">
        <f t="shared" si="36"/>
        <v>0</v>
      </c>
      <c r="R481">
        <f t="shared" si="37"/>
        <v>0</v>
      </c>
      <c r="S481">
        <f t="shared" si="38"/>
        <v>0</v>
      </c>
      <c r="T481">
        <f t="shared" si="39"/>
        <v>0</v>
      </c>
      <c r="U481">
        <f>Tabla1[[#This Row],[HORAS NO AFINIDAD]]+Tabla1[[#This Row],[HORAS UNIDAD BASICA]]+Tabla1[[#This Row],[HORAS AFINIDAD]]</f>
        <v>0</v>
      </c>
      <c r="V481">
        <f>+Tabla1[[#This Row],[HORAS AFINIDAD]]+Tabla1[[#This Row],[HORAS ACTIVIDAD]]+Tabla1[[#This Row],[HORAS UNIDAD BASICA]]+Tabla1[[#This Row],[HORAS NO AFINIDAD]]</f>
        <v>0</v>
      </c>
    </row>
    <row r="482" spans="1:22" ht="18.75" customHeight="1">
      <c r="A482">
        <v>481</v>
      </c>
      <c r="C482" t="str">
        <f>_xlfn.XLOOKUP(Tabla1[[#This Row],[CARRERA]],MAE_CARRERA[NOMBRE_CARRERA],MAE_CARRERA[ID_CARRERA],"Seleccione Carrera")</f>
        <v>Seleccione Carrera</v>
      </c>
      <c r="F482" s="1"/>
      <c r="G482" t="str">
        <f>_xlfn.XLOOKUP(Tabla1[[#This Row],[ASIGNATURA]],MAE_ASIGNATURA[NOM_ASIG],MAE_ASIGNATURA[ID_ASIG],"Seleccione Asignatura")</f>
        <v>Seleccione Asignatura</v>
      </c>
      <c r="H482" s="1" t="str" cm="1">
        <f t="array" ref="H482">_xlfn.TEXTJOIN("; ",TRUE,TRANSPOSE(_xlfn.UNIQUE(_xlfn._xlws.FILTER(DET_ASIG[DETALLADO],(DET_ASIG[NIVEL]=ASIGNACION!$D482)*(DET_ASIG[ID_CARRERA]=ASIGNACION!$C482)*(DET_ASIG[ID_ASIG]=ASIGNACION!$G482),"No existe información"))))</f>
        <v>No existe información</v>
      </c>
      <c r="I482" s="1"/>
      <c r="J482">
        <f>_xlfn.XLOOKUP(Tabla1[[#This Row],[ID_ASIG_CAM_DET]],MAE_ASIGNATURA[ID_ASIG],MAE_ASIGNATURA[HORAS],0)</f>
        <v>0</v>
      </c>
      <c r="K482">
        <v>4</v>
      </c>
      <c r="L482" s="2">
        <f>+Tabla1[[#This Row],[CALCULAR HORA]]*Tabla1[[#This Row],[HORAS]]</f>
        <v>0</v>
      </c>
      <c r="N482" t="str">
        <f>_xlfn.XLOOKUP(Tabla1[[#This Row],[NOMBRE_DOCENT]],MDOCENTES[DATOS_DOCENTE],MDOCENTES[DEDICACION],"Seleccione Docente")</f>
        <v>Seleccione Docente</v>
      </c>
      <c r="O482" t="str">
        <f>_xlfn.XLOOKUP(Tabla1[[#This Row],[NOMBRE_DOCENT]],MDOCENTES[DATOS_DOCENTE],MDOCENTES[ESTUDIO],"Seleccione Docente")</f>
        <v>Seleccione Docente</v>
      </c>
      <c r="P482">
        <f t="shared" si="35"/>
        <v>0</v>
      </c>
      <c r="Q482">
        <f t="shared" si="36"/>
        <v>0</v>
      </c>
      <c r="R482">
        <f t="shared" si="37"/>
        <v>0</v>
      </c>
      <c r="S482">
        <f t="shared" si="38"/>
        <v>0</v>
      </c>
      <c r="T482">
        <f t="shared" si="39"/>
        <v>0</v>
      </c>
      <c r="U482">
        <f>Tabla1[[#This Row],[HORAS NO AFINIDAD]]+Tabla1[[#This Row],[HORAS UNIDAD BASICA]]+Tabla1[[#This Row],[HORAS AFINIDAD]]</f>
        <v>0</v>
      </c>
      <c r="V482">
        <f>+Tabla1[[#This Row],[HORAS AFINIDAD]]+Tabla1[[#This Row],[HORAS ACTIVIDAD]]+Tabla1[[#This Row],[HORAS UNIDAD BASICA]]+Tabla1[[#This Row],[HORAS NO AFINIDAD]]</f>
        <v>0</v>
      </c>
    </row>
    <row r="483" spans="1:22" ht="18.75" customHeight="1">
      <c r="A483">
        <v>482</v>
      </c>
      <c r="C483" t="str">
        <f>_xlfn.XLOOKUP(Tabla1[[#This Row],[CARRERA]],MAE_CARRERA[NOMBRE_CARRERA],MAE_CARRERA[ID_CARRERA],"Seleccione Carrera")</f>
        <v>Seleccione Carrera</v>
      </c>
      <c r="F483" s="1"/>
      <c r="G483" t="str">
        <f>_xlfn.XLOOKUP(Tabla1[[#This Row],[ASIGNATURA]],MAE_ASIGNATURA[NOM_ASIG],MAE_ASIGNATURA[ID_ASIG],"Seleccione Asignatura")</f>
        <v>Seleccione Asignatura</v>
      </c>
      <c r="H483" s="1" t="str" cm="1">
        <f t="array" ref="H483">_xlfn.TEXTJOIN("; ",TRUE,TRANSPOSE(_xlfn.UNIQUE(_xlfn._xlws.FILTER(DET_ASIG[DETALLADO],(DET_ASIG[NIVEL]=ASIGNACION!$D483)*(DET_ASIG[ID_CARRERA]=ASIGNACION!$C483)*(DET_ASIG[ID_ASIG]=ASIGNACION!$G483),"No existe información"))))</f>
        <v>No existe información</v>
      </c>
      <c r="I483" s="1"/>
      <c r="J483">
        <f>_xlfn.XLOOKUP(Tabla1[[#This Row],[ID_ASIG_CAM_DET]],MAE_ASIGNATURA[ID_ASIG],MAE_ASIGNATURA[HORAS],0)</f>
        <v>0</v>
      </c>
      <c r="K483">
        <v>4</v>
      </c>
      <c r="L483" s="2">
        <f>+Tabla1[[#This Row],[CALCULAR HORA]]*Tabla1[[#This Row],[HORAS]]</f>
        <v>0</v>
      </c>
      <c r="N483" t="str">
        <f>_xlfn.XLOOKUP(Tabla1[[#This Row],[NOMBRE_DOCENT]],MDOCENTES[DATOS_DOCENTE],MDOCENTES[DEDICACION],"Seleccione Docente")</f>
        <v>Seleccione Docente</v>
      </c>
      <c r="O483" t="str">
        <f>_xlfn.XLOOKUP(Tabla1[[#This Row],[NOMBRE_DOCENT]],MDOCENTES[DATOS_DOCENTE],MDOCENTES[ESTUDIO],"Seleccione Docente")</f>
        <v>Seleccione Docente</v>
      </c>
      <c r="P483">
        <f t="shared" si="35"/>
        <v>0</v>
      </c>
      <c r="Q483">
        <f t="shared" si="36"/>
        <v>0</v>
      </c>
      <c r="R483">
        <f t="shared" si="37"/>
        <v>0</v>
      </c>
      <c r="S483">
        <f t="shared" si="38"/>
        <v>0</v>
      </c>
      <c r="T483">
        <f t="shared" si="39"/>
        <v>0</v>
      </c>
      <c r="U483">
        <f>Tabla1[[#This Row],[HORAS NO AFINIDAD]]+Tabla1[[#This Row],[HORAS UNIDAD BASICA]]+Tabla1[[#This Row],[HORAS AFINIDAD]]</f>
        <v>0</v>
      </c>
      <c r="V483">
        <f>+Tabla1[[#This Row],[HORAS AFINIDAD]]+Tabla1[[#This Row],[HORAS ACTIVIDAD]]+Tabla1[[#This Row],[HORAS UNIDAD BASICA]]+Tabla1[[#This Row],[HORAS NO AFINIDAD]]</f>
        <v>0</v>
      </c>
    </row>
    <row r="484" spans="1:22" ht="18.75" customHeight="1">
      <c r="A484">
        <v>483</v>
      </c>
      <c r="C484" t="str">
        <f>_xlfn.XLOOKUP(Tabla1[[#This Row],[CARRERA]],MAE_CARRERA[NOMBRE_CARRERA],MAE_CARRERA[ID_CARRERA],"Seleccione Carrera")</f>
        <v>Seleccione Carrera</v>
      </c>
      <c r="F484" s="1"/>
      <c r="G484" t="str">
        <f>_xlfn.XLOOKUP(Tabla1[[#This Row],[ASIGNATURA]],MAE_ASIGNATURA[NOM_ASIG],MAE_ASIGNATURA[ID_ASIG],"Seleccione Asignatura")</f>
        <v>Seleccione Asignatura</v>
      </c>
      <c r="H484" s="1" t="str" cm="1">
        <f t="array" ref="H484">_xlfn.TEXTJOIN("; ",TRUE,TRANSPOSE(_xlfn.UNIQUE(_xlfn._xlws.FILTER(DET_ASIG[DETALLADO],(DET_ASIG[NIVEL]=ASIGNACION!$D484)*(DET_ASIG[ID_CARRERA]=ASIGNACION!$C484)*(DET_ASIG[ID_ASIG]=ASIGNACION!$G484),"No existe información"))))</f>
        <v>No existe información</v>
      </c>
      <c r="I484" s="1"/>
      <c r="J484">
        <f>_xlfn.XLOOKUP(Tabla1[[#This Row],[ID_ASIG_CAM_DET]],MAE_ASIGNATURA[ID_ASIG],MAE_ASIGNATURA[HORAS],0)</f>
        <v>0</v>
      </c>
      <c r="K484">
        <v>4</v>
      </c>
      <c r="L484" s="2">
        <f>+Tabla1[[#This Row],[CALCULAR HORA]]*Tabla1[[#This Row],[HORAS]]</f>
        <v>0</v>
      </c>
      <c r="N484" t="str">
        <f>_xlfn.XLOOKUP(Tabla1[[#This Row],[NOMBRE_DOCENT]],MDOCENTES[DATOS_DOCENTE],MDOCENTES[DEDICACION],"Seleccione Docente")</f>
        <v>Seleccione Docente</v>
      </c>
      <c r="O484" t="str">
        <f>_xlfn.XLOOKUP(Tabla1[[#This Row],[NOMBRE_DOCENT]],MDOCENTES[DATOS_DOCENTE],MDOCENTES[ESTUDIO],"Seleccione Docente")</f>
        <v>Seleccione Docente</v>
      </c>
      <c r="P484">
        <f t="shared" si="35"/>
        <v>0</v>
      </c>
      <c r="Q484">
        <f t="shared" si="36"/>
        <v>0</v>
      </c>
      <c r="R484">
        <f t="shared" si="37"/>
        <v>0</v>
      </c>
      <c r="S484">
        <f t="shared" si="38"/>
        <v>0</v>
      </c>
      <c r="T484">
        <f t="shared" si="39"/>
        <v>0</v>
      </c>
      <c r="U484">
        <f>Tabla1[[#This Row],[HORAS NO AFINIDAD]]+Tabla1[[#This Row],[HORAS UNIDAD BASICA]]+Tabla1[[#This Row],[HORAS AFINIDAD]]</f>
        <v>0</v>
      </c>
      <c r="V484">
        <f>+Tabla1[[#This Row],[HORAS AFINIDAD]]+Tabla1[[#This Row],[HORAS ACTIVIDAD]]+Tabla1[[#This Row],[HORAS UNIDAD BASICA]]+Tabla1[[#This Row],[HORAS NO AFINIDAD]]</f>
        <v>0</v>
      </c>
    </row>
    <row r="485" spans="1:22" ht="18.75" customHeight="1">
      <c r="A485">
        <v>484</v>
      </c>
      <c r="C485" t="str">
        <f>_xlfn.XLOOKUP(Tabla1[[#This Row],[CARRERA]],MAE_CARRERA[NOMBRE_CARRERA],MAE_CARRERA[ID_CARRERA],"Seleccione Carrera")</f>
        <v>Seleccione Carrera</v>
      </c>
      <c r="F485" s="1"/>
      <c r="G485" t="str">
        <f>_xlfn.XLOOKUP(Tabla1[[#This Row],[ASIGNATURA]],MAE_ASIGNATURA[NOM_ASIG],MAE_ASIGNATURA[ID_ASIG],"Seleccione Asignatura")</f>
        <v>Seleccione Asignatura</v>
      </c>
      <c r="H485" s="1" t="str" cm="1">
        <f t="array" ref="H485">_xlfn.TEXTJOIN("; ",TRUE,TRANSPOSE(_xlfn.UNIQUE(_xlfn._xlws.FILTER(DET_ASIG[DETALLADO],(DET_ASIG[NIVEL]=ASIGNACION!$D485)*(DET_ASIG[ID_CARRERA]=ASIGNACION!$C485)*(DET_ASIG[ID_ASIG]=ASIGNACION!$G485),"No existe información"))))</f>
        <v>No existe información</v>
      </c>
      <c r="I485" s="1"/>
      <c r="J485">
        <f>_xlfn.XLOOKUP(Tabla1[[#This Row],[ID_ASIG_CAM_DET]],MAE_ASIGNATURA[ID_ASIG],MAE_ASIGNATURA[HORAS],0)</f>
        <v>0</v>
      </c>
      <c r="K485">
        <v>4</v>
      </c>
      <c r="L485" s="2">
        <f>+Tabla1[[#This Row],[CALCULAR HORA]]*Tabla1[[#This Row],[HORAS]]</f>
        <v>0</v>
      </c>
      <c r="N485" t="str">
        <f>_xlfn.XLOOKUP(Tabla1[[#This Row],[NOMBRE_DOCENT]],MDOCENTES[DATOS_DOCENTE],MDOCENTES[DEDICACION],"Seleccione Docente")</f>
        <v>Seleccione Docente</v>
      </c>
      <c r="O485" t="str">
        <f>_xlfn.XLOOKUP(Tabla1[[#This Row],[NOMBRE_DOCENT]],MDOCENTES[DATOS_DOCENTE],MDOCENTES[ESTUDIO],"Seleccione Docente")</f>
        <v>Seleccione Docente</v>
      </c>
      <c r="P485">
        <f t="shared" si="35"/>
        <v>0</v>
      </c>
      <c r="Q485">
        <f t="shared" si="36"/>
        <v>0</v>
      </c>
      <c r="R485">
        <f t="shared" si="37"/>
        <v>0</v>
      </c>
      <c r="S485">
        <f t="shared" si="38"/>
        <v>0</v>
      </c>
      <c r="T485">
        <f t="shared" si="39"/>
        <v>0</v>
      </c>
      <c r="U485">
        <f>Tabla1[[#This Row],[HORAS NO AFINIDAD]]+Tabla1[[#This Row],[HORAS UNIDAD BASICA]]+Tabla1[[#This Row],[HORAS AFINIDAD]]</f>
        <v>0</v>
      </c>
      <c r="V485">
        <f>+Tabla1[[#This Row],[HORAS AFINIDAD]]+Tabla1[[#This Row],[HORAS ACTIVIDAD]]+Tabla1[[#This Row],[HORAS UNIDAD BASICA]]+Tabla1[[#This Row],[HORAS NO AFINIDAD]]</f>
        <v>0</v>
      </c>
    </row>
    <row r="486" spans="1:22" ht="18.75" customHeight="1">
      <c r="A486">
        <v>485</v>
      </c>
      <c r="C486" t="str">
        <f>_xlfn.XLOOKUP(Tabla1[[#This Row],[CARRERA]],MAE_CARRERA[NOMBRE_CARRERA],MAE_CARRERA[ID_CARRERA],"Seleccione Carrera")</f>
        <v>Seleccione Carrera</v>
      </c>
      <c r="F486" s="1"/>
      <c r="G486" t="str">
        <f>_xlfn.XLOOKUP(Tabla1[[#This Row],[ASIGNATURA]],MAE_ASIGNATURA[NOM_ASIG],MAE_ASIGNATURA[ID_ASIG],"Seleccione Asignatura")</f>
        <v>Seleccione Asignatura</v>
      </c>
      <c r="H486" s="1" t="str" cm="1">
        <f t="array" ref="H486">_xlfn.TEXTJOIN("; ",TRUE,TRANSPOSE(_xlfn.UNIQUE(_xlfn._xlws.FILTER(DET_ASIG[DETALLADO],(DET_ASIG[NIVEL]=ASIGNACION!$D486)*(DET_ASIG[ID_CARRERA]=ASIGNACION!$C486)*(DET_ASIG[ID_ASIG]=ASIGNACION!$G486),"No existe información"))))</f>
        <v>No existe información</v>
      </c>
      <c r="I486" s="1"/>
      <c r="J486">
        <f>_xlfn.XLOOKUP(Tabla1[[#This Row],[ID_ASIG_CAM_DET]],MAE_ASIGNATURA[ID_ASIG],MAE_ASIGNATURA[HORAS],0)</f>
        <v>0</v>
      </c>
      <c r="K486">
        <v>4</v>
      </c>
      <c r="L486" s="2">
        <f>+Tabla1[[#This Row],[CALCULAR HORA]]*Tabla1[[#This Row],[HORAS]]</f>
        <v>0</v>
      </c>
      <c r="N486" t="str">
        <f>_xlfn.XLOOKUP(Tabla1[[#This Row],[NOMBRE_DOCENT]],MDOCENTES[DATOS_DOCENTE],MDOCENTES[DEDICACION],"Seleccione Docente")</f>
        <v>Seleccione Docente</v>
      </c>
      <c r="O486" t="str">
        <f>_xlfn.XLOOKUP(Tabla1[[#This Row],[NOMBRE_DOCENT]],MDOCENTES[DATOS_DOCENTE],MDOCENTES[ESTUDIO],"Seleccione Docente")</f>
        <v>Seleccione Docente</v>
      </c>
      <c r="P486">
        <f t="shared" si="35"/>
        <v>0</v>
      </c>
      <c r="Q486">
        <f t="shared" si="36"/>
        <v>0</v>
      </c>
      <c r="R486">
        <f t="shared" si="37"/>
        <v>0</v>
      </c>
      <c r="S486">
        <f t="shared" si="38"/>
        <v>0</v>
      </c>
      <c r="T486">
        <f t="shared" si="39"/>
        <v>0</v>
      </c>
      <c r="U486">
        <f>Tabla1[[#This Row],[HORAS NO AFINIDAD]]+Tabla1[[#This Row],[HORAS UNIDAD BASICA]]+Tabla1[[#This Row],[HORAS AFINIDAD]]</f>
        <v>0</v>
      </c>
      <c r="V486">
        <f>+Tabla1[[#This Row],[HORAS AFINIDAD]]+Tabla1[[#This Row],[HORAS ACTIVIDAD]]+Tabla1[[#This Row],[HORAS UNIDAD BASICA]]+Tabla1[[#This Row],[HORAS NO AFINIDAD]]</f>
        <v>0</v>
      </c>
    </row>
    <row r="487" spans="1:22" ht="18.75" customHeight="1">
      <c r="A487">
        <v>486</v>
      </c>
      <c r="C487" t="str">
        <f>_xlfn.XLOOKUP(Tabla1[[#This Row],[CARRERA]],MAE_CARRERA[NOMBRE_CARRERA],MAE_CARRERA[ID_CARRERA],"Seleccione Carrera")</f>
        <v>Seleccione Carrera</v>
      </c>
      <c r="F487" s="1"/>
      <c r="G487" t="str">
        <f>_xlfn.XLOOKUP(Tabla1[[#This Row],[ASIGNATURA]],MAE_ASIGNATURA[NOM_ASIG],MAE_ASIGNATURA[ID_ASIG],"Seleccione Asignatura")</f>
        <v>Seleccione Asignatura</v>
      </c>
      <c r="H487" s="1" t="str" cm="1">
        <f t="array" ref="H487">_xlfn.TEXTJOIN("; ",TRUE,TRANSPOSE(_xlfn.UNIQUE(_xlfn._xlws.FILTER(DET_ASIG[DETALLADO],(DET_ASIG[NIVEL]=ASIGNACION!$D487)*(DET_ASIG[ID_CARRERA]=ASIGNACION!$C487)*(DET_ASIG[ID_ASIG]=ASIGNACION!$G487),"No existe información"))))</f>
        <v>No existe información</v>
      </c>
      <c r="I487" s="1"/>
      <c r="J487">
        <f>_xlfn.XLOOKUP(Tabla1[[#This Row],[ID_ASIG_CAM_DET]],MAE_ASIGNATURA[ID_ASIG],MAE_ASIGNATURA[HORAS],0)</f>
        <v>0</v>
      </c>
      <c r="K487">
        <v>4</v>
      </c>
      <c r="L487" s="2">
        <f>+Tabla1[[#This Row],[CALCULAR HORA]]*Tabla1[[#This Row],[HORAS]]</f>
        <v>0</v>
      </c>
      <c r="N487" t="str">
        <f>_xlfn.XLOOKUP(Tabla1[[#This Row],[NOMBRE_DOCENT]],MDOCENTES[DATOS_DOCENTE],MDOCENTES[DEDICACION],"Seleccione Docente")</f>
        <v>Seleccione Docente</v>
      </c>
      <c r="O487" t="str">
        <f>_xlfn.XLOOKUP(Tabla1[[#This Row],[NOMBRE_DOCENT]],MDOCENTES[DATOS_DOCENTE],MDOCENTES[ESTUDIO],"Seleccione Docente")</f>
        <v>Seleccione Docente</v>
      </c>
      <c r="P487">
        <f t="shared" si="35"/>
        <v>0</v>
      </c>
      <c r="Q487">
        <f t="shared" si="36"/>
        <v>0</v>
      </c>
      <c r="R487">
        <f t="shared" si="37"/>
        <v>0</v>
      </c>
      <c r="S487">
        <f t="shared" si="38"/>
        <v>0</v>
      </c>
      <c r="T487">
        <f t="shared" si="39"/>
        <v>0</v>
      </c>
      <c r="U487">
        <f>Tabla1[[#This Row],[HORAS NO AFINIDAD]]+Tabla1[[#This Row],[HORAS UNIDAD BASICA]]+Tabla1[[#This Row],[HORAS AFINIDAD]]</f>
        <v>0</v>
      </c>
      <c r="V487">
        <f>+Tabla1[[#This Row],[HORAS AFINIDAD]]+Tabla1[[#This Row],[HORAS ACTIVIDAD]]+Tabla1[[#This Row],[HORAS UNIDAD BASICA]]+Tabla1[[#This Row],[HORAS NO AFINIDAD]]</f>
        <v>0</v>
      </c>
    </row>
    <row r="488" spans="1:22" ht="18.75" customHeight="1">
      <c r="A488">
        <v>487</v>
      </c>
      <c r="C488" t="str">
        <f>_xlfn.XLOOKUP(Tabla1[[#This Row],[CARRERA]],MAE_CARRERA[NOMBRE_CARRERA],MAE_CARRERA[ID_CARRERA],"Seleccione Carrera")</f>
        <v>Seleccione Carrera</v>
      </c>
      <c r="F488" s="1"/>
      <c r="G488" t="str">
        <f>_xlfn.XLOOKUP(Tabla1[[#This Row],[ASIGNATURA]],MAE_ASIGNATURA[NOM_ASIG],MAE_ASIGNATURA[ID_ASIG],"Seleccione Asignatura")</f>
        <v>Seleccione Asignatura</v>
      </c>
      <c r="H488" s="1" t="str" cm="1">
        <f t="array" ref="H488">_xlfn.TEXTJOIN("; ",TRUE,TRANSPOSE(_xlfn.UNIQUE(_xlfn._xlws.FILTER(DET_ASIG[DETALLADO],(DET_ASIG[NIVEL]=ASIGNACION!$D488)*(DET_ASIG[ID_CARRERA]=ASIGNACION!$C488)*(DET_ASIG[ID_ASIG]=ASIGNACION!$G488),"No existe información"))))</f>
        <v>No existe información</v>
      </c>
      <c r="I488" s="1"/>
      <c r="J488">
        <f>_xlfn.XLOOKUP(Tabla1[[#This Row],[ID_ASIG_CAM_DET]],MAE_ASIGNATURA[ID_ASIG],MAE_ASIGNATURA[HORAS],0)</f>
        <v>0</v>
      </c>
      <c r="K488">
        <v>4</v>
      </c>
      <c r="L488" s="2">
        <f>+Tabla1[[#This Row],[CALCULAR HORA]]*Tabla1[[#This Row],[HORAS]]</f>
        <v>0</v>
      </c>
      <c r="N488" t="str">
        <f>_xlfn.XLOOKUP(Tabla1[[#This Row],[NOMBRE_DOCENT]],MDOCENTES[DATOS_DOCENTE],MDOCENTES[DEDICACION],"Seleccione Docente")</f>
        <v>Seleccione Docente</v>
      </c>
      <c r="O488" t="str">
        <f>_xlfn.XLOOKUP(Tabla1[[#This Row],[NOMBRE_DOCENT]],MDOCENTES[DATOS_DOCENTE],MDOCENTES[ESTUDIO],"Seleccione Docente")</f>
        <v>Seleccione Docente</v>
      </c>
      <c r="P488">
        <f t="shared" si="35"/>
        <v>0</v>
      </c>
      <c r="Q488">
        <f t="shared" si="36"/>
        <v>0</v>
      </c>
      <c r="R488">
        <f t="shared" si="37"/>
        <v>0</v>
      </c>
      <c r="S488">
        <f t="shared" si="38"/>
        <v>0</v>
      </c>
      <c r="T488">
        <f t="shared" si="39"/>
        <v>0</v>
      </c>
      <c r="U488">
        <f>Tabla1[[#This Row],[HORAS NO AFINIDAD]]+Tabla1[[#This Row],[HORAS UNIDAD BASICA]]+Tabla1[[#This Row],[HORAS AFINIDAD]]</f>
        <v>0</v>
      </c>
      <c r="V488">
        <f>+Tabla1[[#This Row],[HORAS AFINIDAD]]+Tabla1[[#This Row],[HORAS ACTIVIDAD]]+Tabla1[[#This Row],[HORAS UNIDAD BASICA]]+Tabla1[[#This Row],[HORAS NO AFINIDAD]]</f>
        <v>0</v>
      </c>
    </row>
    <row r="489" spans="1:22" ht="18.75" customHeight="1">
      <c r="A489">
        <v>488</v>
      </c>
      <c r="C489" t="str">
        <f>_xlfn.XLOOKUP(Tabla1[[#This Row],[CARRERA]],MAE_CARRERA[NOMBRE_CARRERA],MAE_CARRERA[ID_CARRERA],"Seleccione Carrera")</f>
        <v>Seleccione Carrera</v>
      </c>
      <c r="F489" s="1"/>
      <c r="G489" t="str">
        <f>_xlfn.XLOOKUP(Tabla1[[#This Row],[ASIGNATURA]],MAE_ASIGNATURA[NOM_ASIG],MAE_ASIGNATURA[ID_ASIG],"Seleccione Asignatura")</f>
        <v>Seleccione Asignatura</v>
      </c>
      <c r="H489" s="1" t="str" cm="1">
        <f t="array" ref="H489">_xlfn.TEXTJOIN("; ",TRUE,TRANSPOSE(_xlfn.UNIQUE(_xlfn._xlws.FILTER(DET_ASIG[DETALLADO],(DET_ASIG[NIVEL]=ASIGNACION!$D489)*(DET_ASIG[ID_CARRERA]=ASIGNACION!$C489)*(DET_ASIG[ID_ASIG]=ASIGNACION!$G489),"No existe información"))))</f>
        <v>No existe información</v>
      </c>
      <c r="I489" s="1"/>
      <c r="J489">
        <f>_xlfn.XLOOKUP(Tabla1[[#This Row],[ID_ASIG_CAM_DET]],MAE_ASIGNATURA[ID_ASIG],MAE_ASIGNATURA[HORAS],0)</f>
        <v>0</v>
      </c>
      <c r="K489">
        <v>4</v>
      </c>
      <c r="L489" s="2">
        <f>+Tabla1[[#This Row],[CALCULAR HORA]]*Tabla1[[#This Row],[HORAS]]</f>
        <v>0</v>
      </c>
      <c r="N489" t="str">
        <f>_xlfn.XLOOKUP(Tabla1[[#This Row],[NOMBRE_DOCENT]],MDOCENTES[DATOS_DOCENTE],MDOCENTES[DEDICACION],"Seleccione Docente")</f>
        <v>Seleccione Docente</v>
      </c>
      <c r="O489" t="str">
        <f>_xlfn.XLOOKUP(Tabla1[[#This Row],[NOMBRE_DOCENT]],MDOCENTES[DATOS_DOCENTE],MDOCENTES[ESTUDIO],"Seleccione Docente")</f>
        <v>Seleccione Docente</v>
      </c>
      <c r="P489">
        <f t="shared" si="35"/>
        <v>0</v>
      </c>
      <c r="Q489">
        <f t="shared" si="36"/>
        <v>0</v>
      </c>
      <c r="R489">
        <f t="shared" si="37"/>
        <v>0</v>
      </c>
      <c r="S489">
        <f t="shared" si="38"/>
        <v>0</v>
      </c>
      <c r="T489">
        <f t="shared" si="39"/>
        <v>0</v>
      </c>
      <c r="U489">
        <f>Tabla1[[#This Row],[HORAS NO AFINIDAD]]+Tabla1[[#This Row],[HORAS UNIDAD BASICA]]+Tabla1[[#This Row],[HORAS AFINIDAD]]</f>
        <v>0</v>
      </c>
      <c r="V489">
        <f>+Tabla1[[#This Row],[HORAS AFINIDAD]]+Tabla1[[#This Row],[HORAS ACTIVIDAD]]+Tabla1[[#This Row],[HORAS UNIDAD BASICA]]+Tabla1[[#This Row],[HORAS NO AFINIDAD]]</f>
        <v>0</v>
      </c>
    </row>
    <row r="490" spans="1:22" ht="18.75" customHeight="1">
      <c r="A490">
        <v>489</v>
      </c>
      <c r="C490" t="str">
        <f>_xlfn.XLOOKUP(Tabla1[[#This Row],[CARRERA]],MAE_CARRERA[NOMBRE_CARRERA],MAE_CARRERA[ID_CARRERA],"Seleccione Carrera")</f>
        <v>Seleccione Carrera</v>
      </c>
      <c r="F490" s="1"/>
      <c r="G490" t="str">
        <f>_xlfn.XLOOKUP(Tabla1[[#This Row],[ASIGNATURA]],MAE_ASIGNATURA[NOM_ASIG],MAE_ASIGNATURA[ID_ASIG],"Seleccione Asignatura")</f>
        <v>Seleccione Asignatura</v>
      </c>
      <c r="H490" s="1" t="str" cm="1">
        <f t="array" ref="H490">_xlfn.TEXTJOIN("; ",TRUE,TRANSPOSE(_xlfn.UNIQUE(_xlfn._xlws.FILTER(DET_ASIG[DETALLADO],(DET_ASIG[NIVEL]=ASIGNACION!$D490)*(DET_ASIG[ID_CARRERA]=ASIGNACION!$C490)*(DET_ASIG[ID_ASIG]=ASIGNACION!$G490),"No existe información"))))</f>
        <v>No existe información</v>
      </c>
      <c r="I490" s="1"/>
      <c r="J490">
        <f>_xlfn.XLOOKUP(Tabla1[[#This Row],[ID_ASIG_CAM_DET]],MAE_ASIGNATURA[ID_ASIG],MAE_ASIGNATURA[HORAS],0)</f>
        <v>0</v>
      </c>
      <c r="K490">
        <v>4</v>
      </c>
      <c r="L490" s="2">
        <f>+Tabla1[[#This Row],[CALCULAR HORA]]*Tabla1[[#This Row],[HORAS]]</f>
        <v>0</v>
      </c>
      <c r="N490" t="str">
        <f>_xlfn.XLOOKUP(Tabla1[[#This Row],[NOMBRE_DOCENT]],MDOCENTES[DATOS_DOCENTE],MDOCENTES[DEDICACION],"Seleccione Docente")</f>
        <v>Seleccione Docente</v>
      </c>
      <c r="O490" t="str">
        <f>_xlfn.XLOOKUP(Tabla1[[#This Row],[NOMBRE_DOCENT]],MDOCENTES[DATOS_DOCENTE],MDOCENTES[ESTUDIO],"Seleccione Docente")</f>
        <v>Seleccione Docente</v>
      </c>
      <c r="P490">
        <f t="shared" si="35"/>
        <v>0</v>
      </c>
      <c r="Q490">
        <f t="shared" si="36"/>
        <v>0</v>
      </c>
      <c r="R490">
        <f t="shared" si="37"/>
        <v>0</v>
      </c>
      <c r="S490">
        <f t="shared" si="38"/>
        <v>0</v>
      </c>
      <c r="T490">
        <f t="shared" si="39"/>
        <v>0</v>
      </c>
      <c r="U490">
        <f>Tabla1[[#This Row],[HORAS NO AFINIDAD]]+Tabla1[[#This Row],[HORAS UNIDAD BASICA]]+Tabla1[[#This Row],[HORAS AFINIDAD]]</f>
        <v>0</v>
      </c>
      <c r="V490">
        <f>+Tabla1[[#This Row],[HORAS AFINIDAD]]+Tabla1[[#This Row],[HORAS ACTIVIDAD]]+Tabla1[[#This Row],[HORAS UNIDAD BASICA]]+Tabla1[[#This Row],[HORAS NO AFINIDAD]]</f>
        <v>0</v>
      </c>
    </row>
    <row r="491" spans="1:22" ht="18.75" customHeight="1">
      <c r="A491">
        <v>490</v>
      </c>
      <c r="C491" t="str">
        <f>_xlfn.XLOOKUP(Tabla1[[#This Row],[CARRERA]],MAE_CARRERA[NOMBRE_CARRERA],MAE_CARRERA[ID_CARRERA],"Seleccione Carrera")</f>
        <v>Seleccione Carrera</v>
      </c>
      <c r="F491" s="1"/>
      <c r="G491" t="str">
        <f>_xlfn.XLOOKUP(Tabla1[[#This Row],[ASIGNATURA]],MAE_ASIGNATURA[NOM_ASIG],MAE_ASIGNATURA[ID_ASIG],"Seleccione Asignatura")</f>
        <v>Seleccione Asignatura</v>
      </c>
      <c r="H491" s="1" t="str" cm="1">
        <f t="array" ref="H491">_xlfn.TEXTJOIN("; ",TRUE,TRANSPOSE(_xlfn.UNIQUE(_xlfn._xlws.FILTER(DET_ASIG[DETALLADO],(DET_ASIG[NIVEL]=ASIGNACION!$D491)*(DET_ASIG[ID_CARRERA]=ASIGNACION!$C491)*(DET_ASIG[ID_ASIG]=ASIGNACION!$G491),"No existe información"))))</f>
        <v>No existe información</v>
      </c>
      <c r="I491" s="1"/>
      <c r="J491">
        <f>_xlfn.XLOOKUP(Tabla1[[#This Row],[ID_ASIG_CAM_DET]],MAE_ASIGNATURA[ID_ASIG],MAE_ASIGNATURA[HORAS],0)</f>
        <v>0</v>
      </c>
      <c r="K491">
        <v>4</v>
      </c>
      <c r="L491" s="2">
        <f>+Tabla1[[#This Row],[CALCULAR HORA]]*Tabla1[[#This Row],[HORAS]]</f>
        <v>0</v>
      </c>
      <c r="N491" t="str">
        <f>_xlfn.XLOOKUP(Tabla1[[#This Row],[NOMBRE_DOCENT]],MDOCENTES[DATOS_DOCENTE],MDOCENTES[DEDICACION],"Seleccione Docente")</f>
        <v>Seleccione Docente</v>
      </c>
      <c r="O491" t="str">
        <f>_xlfn.XLOOKUP(Tabla1[[#This Row],[NOMBRE_DOCENT]],MDOCENTES[DATOS_DOCENTE],MDOCENTES[ESTUDIO],"Seleccione Docente")</f>
        <v>Seleccione Docente</v>
      </c>
      <c r="P491">
        <f t="shared" si="35"/>
        <v>0</v>
      </c>
      <c r="Q491">
        <f t="shared" si="36"/>
        <v>0</v>
      </c>
      <c r="R491">
        <f t="shared" si="37"/>
        <v>0</v>
      </c>
      <c r="S491">
        <f t="shared" si="38"/>
        <v>0</v>
      </c>
      <c r="T491">
        <f t="shared" si="39"/>
        <v>0</v>
      </c>
      <c r="U491">
        <f>Tabla1[[#This Row],[HORAS NO AFINIDAD]]+Tabla1[[#This Row],[HORAS UNIDAD BASICA]]+Tabla1[[#This Row],[HORAS AFINIDAD]]</f>
        <v>0</v>
      </c>
      <c r="V491">
        <f>+Tabla1[[#This Row],[HORAS AFINIDAD]]+Tabla1[[#This Row],[HORAS ACTIVIDAD]]+Tabla1[[#This Row],[HORAS UNIDAD BASICA]]+Tabla1[[#This Row],[HORAS NO AFINIDAD]]</f>
        <v>0</v>
      </c>
    </row>
    <row r="492" spans="1:22" ht="18.75" customHeight="1">
      <c r="A492">
        <v>491</v>
      </c>
      <c r="C492" t="str">
        <f>_xlfn.XLOOKUP(Tabla1[[#This Row],[CARRERA]],MAE_CARRERA[NOMBRE_CARRERA],MAE_CARRERA[ID_CARRERA],"Seleccione Carrera")</f>
        <v>Seleccione Carrera</v>
      </c>
      <c r="F492" s="1"/>
      <c r="G492" t="str">
        <f>_xlfn.XLOOKUP(Tabla1[[#This Row],[ASIGNATURA]],MAE_ASIGNATURA[NOM_ASIG],MAE_ASIGNATURA[ID_ASIG],"Seleccione Asignatura")</f>
        <v>Seleccione Asignatura</v>
      </c>
      <c r="H492" s="1" t="str" cm="1">
        <f t="array" ref="H492">_xlfn.TEXTJOIN("; ",TRUE,TRANSPOSE(_xlfn.UNIQUE(_xlfn._xlws.FILTER(DET_ASIG[DETALLADO],(DET_ASIG[NIVEL]=ASIGNACION!$D492)*(DET_ASIG[ID_CARRERA]=ASIGNACION!$C492)*(DET_ASIG[ID_ASIG]=ASIGNACION!$G492),"No existe información"))))</f>
        <v>No existe información</v>
      </c>
      <c r="I492" s="1"/>
      <c r="J492">
        <f>_xlfn.XLOOKUP(Tabla1[[#This Row],[ID_ASIG_CAM_DET]],MAE_ASIGNATURA[ID_ASIG],MAE_ASIGNATURA[HORAS],0)</f>
        <v>0</v>
      </c>
      <c r="K492">
        <v>4</v>
      </c>
      <c r="L492" s="2">
        <f>+Tabla1[[#This Row],[CALCULAR HORA]]*Tabla1[[#This Row],[HORAS]]</f>
        <v>0</v>
      </c>
      <c r="N492" t="str">
        <f>_xlfn.XLOOKUP(Tabla1[[#This Row],[NOMBRE_DOCENT]],MDOCENTES[DATOS_DOCENTE],MDOCENTES[DEDICACION],"Seleccione Docente")</f>
        <v>Seleccione Docente</v>
      </c>
      <c r="O492" t="str">
        <f>_xlfn.XLOOKUP(Tabla1[[#This Row],[NOMBRE_DOCENT]],MDOCENTES[DATOS_DOCENTE],MDOCENTES[ESTUDIO],"Seleccione Docente")</f>
        <v>Seleccione Docente</v>
      </c>
      <c r="P492">
        <f t="shared" si="35"/>
        <v>0</v>
      </c>
      <c r="Q492">
        <f t="shared" si="36"/>
        <v>0</v>
      </c>
      <c r="R492">
        <f t="shared" si="37"/>
        <v>0</v>
      </c>
      <c r="S492">
        <f t="shared" si="38"/>
        <v>0</v>
      </c>
      <c r="T492">
        <f t="shared" si="39"/>
        <v>0</v>
      </c>
      <c r="U492">
        <f>Tabla1[[#This Row],[HORAS NO AFINIDAD]]+Tabla1[[#This Row],[HORAS UNIDAD BASICA]]+Tabla1[[#This Row],[HORAS AFINIDAD]]</f>
        <v>0</v>
      </c>
      <c r="V492">
        <f>+Tabla1[[#This Row],[HORAS AFINIDAD]]+Tabla1[[#This Row],[HORAS ACTIVIDAD]]+Tabla1[[#This Row],[HORAS UNIDAD BASICA]]+Tabla1[[#This Row],[HORAS NO AFINIDAD]]</f>
        <v>0</v>
      </c>
    </row>
    <row r="493" spans="1:22" ht="18.75" customHeight="1">
      <c r="A493">
        <v>492</v>
      </c>
      <c r="C493" t="str">
        <f>_xlfn.XLOOKUP(Tabla1[[#This Row],[CARRERA]],MAE_CARRERA[NOMBRE_CARRERA],MAE_CARRERA[ID_CARRERA],"Seleccione Carrera")</f>
        <v>Seleccione Carrera</v>
      </c>
      <c r="F493" s="1"/>
      <c r="G493" t="str">
        <f>_xlfn.XLOOKUP(Tabla1[[#This Row],[ASIGNATURA]],MAE_ASIGNATURA[NOM_ASIG],MAE_ASIGNATURA[ID_ASIG],"Seleccione Asignatura")</f>
        <v>Seleccione Asignatura</v>
      </c>
      <c r="H493" s="1" t="str" cm="1">
        <f t="array" ref="H493">_xlfn.TEXTJOIN("; ",TRUE,TRANSPOSE(_xlfn.UNIQUE(_xlfn._xlws.FILTER(DET_ASIG[DETALLADO],(DET_ASIG[NIVEL]=ASIGNACION!$D493)*(DET_ASIG[ID_CARRERA]=ASIGNACION!$C493)*(DET_ASIG[ID_ASIG]=ASIGNACION!$G493),"No existe información"))))</f>
        <v>No existe información</v>
      </c>
      <c r="I493" s="1"/>
      <c r="J493">
        <f>_xlfn.XLOOKUP(Tabla1[[#This Row],[ID_ASIG_CAM_DET]],MAE_ASIGNATURA[ID_ASIG],MAE_ASIGNATURA[HORAS],0)</f>
        <v>0</v>
      </c>
      <c r="K493">
        <v>4</v>
      </c>
      <c r="L493" s="2">
        <f>+Tabla1[[#This Row],[CALCULAR HORA]]*Tabla1[[#This Row],[HORAS]]</f>
        <v>0</v>
      </c>
      <c r="N493" t="str">
        <f>_xlfn.XLOOKUP(Tabla1[[#This Row],[NOMBRE_DOCENT]],MDOCENTES[DATOS_DOCENTE],MDOCENTES[DEDICACION],"Seleccione Docente")</f>
        <v>Seleccione Docente</v>
      </c>
      <c r="O493" t="str">
        <f>_xlfn.XLOOKUP(Tabla1[[#This Row],[NOMBRE_DOCENT]],MDOCENTES[DATOS_DOCENTE],MDOCENTES[ESTUDIO],"Seleccione Docente")</f>
        <v>Seleccione Docente</v>
      </c>
      <c r="P493">
        <f t="shared" si="35"/>
        <v>0</v>
      </c>
      <c r="Q493">
        <f t="shared" si="36"/>
        <v>0</v>
      </c>
      <c r="R493">
        <f t="shared" si="37"/>
        <v>0</v>
      </c>
      <c r="S493">
        <f t="shared" si="38"/>
        <v>0</v>
      </c>
      <c r="T493">
        <f t="shared" si="39"/>
        <v>0</v>
      </c>
      <c r="U493">
        <f>Tabla1[[#This Row],[HORAS NO AFINIDAD]]+Tabla1[[#This Row],[HORAS UNIDAD BASICA]]+Tabla1[[#This Row],[HORAS AFINIDAD]]</f>
        <v>0</v>
      </c>
      <c r="V493">
        <f>+Tabla1[[#This Row],[HORAS AFINIDAD]]+Tabla1[[#This Row],[HORAS ACTIVIDAD]]+Tabla1[[#This Row],[HORAS UNIDAD BASICA]]+Tabla1[[#This Row],[HORAS NO AFINIDAD]]</f>
        <v>0</v>
      </c>
    </row>
    <row r="494" spans="1:22" ht="18.75" customHeight="1">
      <c r="A494">
        <v>493</v>
      </c>
      <c r="C494" t="str">
        <f>_xlfn.XLOOKUP(Tabla1[[#This Row],[CARRERA]],MAE_CARRERA[NOMBRE_CARRERA],MAE_CARRERA[ID_CARRERA],"Seleccione Carrera")</f>
        <v>Seleccione Carrera</v>
      </c>
      <c r="F494" s="1"/>
      <c r="G494" t="str">
        <f>_xlfn.XLOOKUP(Tabla1[[#This Row],[ASIGNATURA]],MAE_ASIGNATURA[NOM_ASIG],MAE_ASIGNATURA[ID_ASIG],"Seleccione Asignatura")</f>
        <v>Seleccione Asignatura</v>
      </c>
      <c r="H494" s="1" t="str" cm="1">
        <f t="array" ref="H494">_xlfn.TEXTJOIN("; ",TRUE,TRANSPOSE(_xlfn.UNIQUE(_xlfn._xlws.FILTER(DET_ASIG[DETALLADO],(DET_ASIG[NIVEL]=ASIGNACION!$D494)*(DET_ASIG[ID_CARRERA]=ASIGNACION!$C494)*(DET_ASIG[ID_ASIG]=ASIGNACION!$G494),"No existe información"))))</f>
        <v>No existe información</v>
      </c>
      <c r="I494" s="1"/>
      <c r="J494">
        <f>_xlfn.XLOOKUP(Tabla1[[#This Row],[ID_ASIG_CAM_DET]],MAE_ASIGNATURA[ID_ASIG],MAE_ASIGNATURA[HORAS],0)</f>
        <v>0</v>
      </c>
      <c r="K494">
        <v>4</v>
      </c>
      <c r="L494" s="2">
        <f>+Tabla1[[#This Row],[CALCULAR HORA]]*Tabla1[[#This Row],[HORAS]]</f>
        <v>0</v>
      </c>
      <c r="N494" t="str">
        <f>_xlfn.XLOOKUP(Tabla1[[#This Row],[NOMBRE_DOCENT]],MDOCENTES[DATOS_DOCENTE],MDOCENTES[DEDICACION],"Seleccione Docente")</f>
        <v>Seleccione Docente</v>
      </c>
      <c r="O494" t="str">
        <f>_xlfn.XLOOKUP(Tabla1[[#This Row],[NOMBRE_DOCENT]],MDOCENTES[DATOS_DOCENTE],MDOCENTES[ESTUDIO],"Seleccione Docente")</f>
        <v>Seleccione Docente</v>
      </c>
      <c r="P494">
        <f t="shared" si="35"/>
        <v>0</v>
      </c>
      <c r="Q494">
        <f t="shared" si="36"/>
        <v>0</v>
      </c>
      <c r="R494">
        <f t="shared" si="37"/>
        <v>0</v>
      </c>
      <c r="S494">
        <f t="shared" si="38"/>
        <v>0</v>
      </c>
      <c r="T494">
        <f t="shared" si="39"/>
        <v>0</v>
      </c>
      <c r="U494">
        <f>Tabla1[[#This Row],[HORAS NO AFINIDAD]]+Tabla1[[#This Row],[HORAS UNIDAD BASICA]]+Tabla1[[#This Row],[HORAS AFINIDAD]]</f>
        <v>0</v>
      </c>
      <c r="V494">
        <f>+Tabla1[[#This Row],[HORAS AFINIDAD]]+Tabla1[[#This Row],[HORAS ACTIVIDAD]]+Tabla1[[#This Row],[HORAS UNIDAD BASICA]]+Tabla1[[#This Row],[HORAS NO AFINIDAD]]</f>
        <v>0</v>
      </c>
    </row>
    <row r="495" spans="1:22" ht="18.75" customHeight="1">
      <c r="A495">
        <v>494</v>
      </c>
      <c r="C495" t="str">
        <f>_xlfn.XLOOKUP(Tabla1[[#This Row],[CARRERA]],MAE_CARRERA[NOMBRE_CARRERA],MAE_CARRERA[ID_CARRERA],"Seleccione Carrera")</f>
        <v>Seleccione Carrera</v>
      </c>
      <c r="F495" s="1"/>
      <c r="G495" t="str">
        <f>_xlfn.XLOOKUP(Tabla1[[#This Row],[ASIGNATURA]],MAE_ASIGNATURA[NOM_ASIG],MAE_ASIGNATURA[ID_ASIG],"Seleccione Asignatura")</f>
        <v>Seleccione Asignatura</v>
      </c>
      <c r="H495" s="1" t="str" cm="1">
        <f t="array" ref="H495">_xlfn.TEXTJOIN("; ",TRUE,TRANSPOSE(_xlfn.UNIQUE(_xlfn._xlws.FILTER(DET_ASIG[DETALLADO],(DET_ASIG[NIVEL]=ASIGNACION!$D495)*(DET_ASIG[ID_CARRERA]=ASIGNACION!$C495)*(DET_ASIG[ID_ASIG]=ASIGNACION!$G495),"No existe información"))))</f>
        <v>No existe información</v>
      </c>
      <c r="I495" s="1"/>
      <c r="J495">
        <f>_xlfn.XLOOKUP(Tabla1[[#This Row],[ID_ASIG_CAM_DET]],MAE_ASIGNATURA[ID_ASIG],MAE_ASIGNATURA[HORAS],0)</f>
        <v>0</v>
      </c>
      <c r="K495">
        <v>4</v>
      </c>
      <c r="L495" s="2">
        <f>+Tabla1[[#This Row],[CALCULAR HORA]]*Tabla1[[#This Row],[HORAS]]</f>
        <v>0</v>
      </c>
      <c r="N495" t="str">
        <f>_xlfn.XLOOKUP(Tabla1[[#This Row],[NOMBRE_DOCENT]],MDOCENTES[DATOS_DOCENTE],MDOCENTES[DEDICACION],"Seleccione Docente")</f>
        <v>Seleccione Docente</v>
      </c>
      <c r="O495" t="str">
        <f>_xlfn.XLOOKUP(Tabla1[[#This Row],[NOMBRE_DOCENT]],MDOCENTES[DATOS_DOCENTE],MDOCENTES[ESTUDIO],"Seleccione Docente")</f>
        <v>Seleccione Docente</v>
      </c>
      <c r="P495">
        <f t="shared" si="35"/>
        <v>0</v>
      </c>
      <c r="Q495">
        <f t="shared" si="36"/>
        <v>0</v>
      </c>
      <c r="R495">
        <f t="shared" si="37"/>
        <v>0</v>
      </c>
      <c r="S495">
        <f t="shared" si="38"/>
        <v>0</v>
      </c>
      <c r="T495">
        <f t="shared" si="39"/>
        <v>0</v>
      </c>
      <c r="U495">
        <f>Tabla1[[#This Row],[HORAS NO AFINIDAD]]+Tabla1[[#This Row],[HORAS UNIDAD BASICA]]+Tabla1[[#This Row],[HORAS AFINIDAD]]</f>
        <v>0</v>
      </c>
      <c r="V495">
        <f>+Tabla1[[#This Row],[HORAS AFINIDAD]]+Tabla1[[#This Row],[HORAS ACTIVIDAD]]+Tabla1[[#This Row],[HORAS UNIDAD BASICA]]+Tabla1[[#This Row],[HORAS NO AFINIDAD]]</f>
        <v>0</v>
      </c>
    </row>
    <row r="496" spans="1:22" ht="18.75" customHeight="1">
      <c r="A496">
        <v>495</v>
      </c>
      <c r="C496" t="str">
        <f>_xlfn.XLOOKUP(Tabla1[[#This Row],[CARRERA]],MAE_CARRERA[NOMBRE_CARRERA],MAE_CARRERA[ID_CARRERA],"Seleccione Carrera")</f>
        <v>Seleccione Carrera</v>
      </c>
      <c r="F496" s="1"/>
      <c r="G496" t="str">
        <f>_xlfn.XLOOKUP(Tabla1[[#This Row],[ASIGNATURA]],MAE_ASIGNATURA[NOM_ASIG],MAE_ASIGNATURA[ID_ASIG],"Seleccione Asignatura")</f>
        <v>Seleccione Asignatura</v>
      </c>
      <c r="H496" s="1" t="str" cm="1">
        <f t="array" ref="H496">_xlfn.TEXTJOIN("; ",TRUE,TRANSPOSE(_xlfn.UNIQUE(_xlfn._xlws.FILTER(DET_ASIG[DETALLADO],(DET_ASIG[NIVEL]=ASIGNACION!$D496)*(DET_ASIG[ID_CARRERA]=ASIGNACION!$C496)*(DET_ASIG[ID_ASIG]=ASIGNACION!$G496),"No existe información"))))</f>
        <v>No existe información</v>
      </c>
      <c r="I496" s="1"/>
      <c r="J496">
        <f>_xlfn.XLOOKUP(Tabla1[[#This Row],[ID_ASIG_CAM_DET]],MAE_ASIGNATURA[ID_ASIG],MAE_ASIGNATURA[HORAS],0)</f>
        <v>0</v>
      </c>
      <c r="K496">
        <v>4</v>
      </c>
      <c r="L496" s="2">
        <f>+Tabla1[[#This Row],[CALCULAR HORA]]*Tabla1[[#This Row],[HORAS]]</f>
        <v>0</v>
      </c>
      <c r="N496" t="str">
        <f>_xlfn.XLOOKUP(Tabla1[[#This Row],[NOMBRE_DOCENT]],MDOCENTES[DATOS_DOCENTE],MDOCENTES[DEDICACION],"Seleccione Docente")</f>
        <v>Seleccione Docente</v>
      </c>
      <c r="O496" t="str">
        <f>_xlfn.XLOOKUP(Tabla1[[#This Row],[NOMBRE_DOCENT]],MDOCENTES[DATOS_DOCENTE],MDOCENTES[ESTUDIO],"Seleccione Docente")</f>
        <v>Seleccione Docente</v>
      </c>
      <c r="P496">
        <f t="shared" si="35"/>
        <v>0</v>
      </c>
      <c r="Q496">
        <f t="shared" si="36"/>
        <v>0</v>
      </c>
      <c r="R496">
        <f t="shared" si="37"/>
        <v>0</v>
      </c>
      <c r="S496">
        <f t="shared" si="38"/>
        <v>0</v>
      </c>
      <c r="T496">
        <f t="shared" si="39"/>
        <v>0</v>
      </c>
      <c r="U496">
        <f>Tabla1[[#This Row],[HORAS NO AFINIDAD]]+Tabla1[[#This Row],[HORAS UNIDAD BASICA]]+Tabla1[[#This Row],[HORAS AFINIDAD]]</f>
        <v>0</v>
      </c>
      <c r="V496">
        <f>+Tabla1[[#This Row],[HORAS AFINIDAD]]+Tabla1[[#This Row],[HORAS ACTIVIDAD]]+Tabla1[[#This Row],[HORAS UNIDAD BASICA]]+Tabla1[[#This Row],[HORAS NO AFINIDAD]]</f>
        <v>0</v>
      </c>
    </row>
    <row r="497" spans="1:22" ht="18.75" customHeight="1">
      <c r="A497">
        <v>496</v>
      </c>
      <c r="C497" t="str">
        <f>_xlfn.XLOOKUP(Tabla1[[#This Row],[CARRERA]],MAE_CARRERA[NOMBRE_CARRERA],MAE_CARRERA[ID_CARRERA],"Seleccione Carrera")</f>
        <v>Seleccione Carrera</v>
      </c>
      <c r="F497" s="1"/>
      <c r="G497" t="str">
        <f>_xlfn.XLOOKUP(Tabla1[[#This Row],[ASIGNATURA]],MAE_ASIGNATURA[NOM_ASIG],MAE_ASIGNATURA[ID_ASIG],"Seleccione Asignatura")</f>
        <v>Seleccione Asignatura</v>
      </c>
      <c r="H497" s="1" t="str" cm="1">
        <f t="array" ref="H497">_xlfn.TEXTJOIN("; ",TRUE,TRANSPOSE(_xlfn.UNIQUE(_xlfn._xlws.FILTER(DET_ASIG[DETALLADO],(DET_ASIG[NIVEL]=ASIGNACION!$D497)*(DET_ASIG[ID_CARRERA]=ASIGNACION!$C497)*(DET_ASIG[ID_ASIG]=ASIGNACION!$G497),"No existe información"))))</f>
        <v>No existe información</v>
      </c>
      <c r="I497" s="1"/>
      <c r="J497">
        <f>_xlfn.XLOOKUP(Tabla1[[#This Row],[ID_ASIG_CAM_DET]],MAE_ASIGNATURA[ID_ASIG],MAE_ASIGNATURA[HORAS],0)</f>
        <v>0</v>
      </c>
      <c r="K497">
        <v>4</v>
      </c>
      <c r="L497" s="2">
        <f>+Tabla1[[#This Row],[CALCULAR HORA]]*Tabla1[[#This Row],[HORAS]]</f>
        <v>0</v>
      </c>
      <c r="N497" t="str">
        <f>_xlfn.XLOOKUP(Tabla1[[#This Row],[NOMBRE_DOCENT]],MDOCENTES[DATOS_DOCENTE],MDOCENTES[DEDICACION],"Seleccione Docente")</f>
        <v>Seleccione Docente</v>
      </c>
      <c r="O497" t="str">
        <f>_xlfn.XLOOKUP(Tabla1[[#This Row],[NOMBRE_DOCENT]],MDOCENTES[DATOS_DOCENTE],MDOCENTES[ESTUDIO],"Seleccione Docente")</f>
        <v>Seleccione Docente</v>
      </c>
      <c r="P497">
        <f t="shared" si="35"/>
        <v>0</v>
      </c>
      <c r="Q497">
        <f t="shared" si="36"/>
        <v>0</v>
      </c>
      <c r="R497">
        <f t="shared" si="37"/>
        <v>0</v>
      </c>
      <c r="S497">
        <f t="shared" si="38"/>
        <v>0</v>
      </c>
      <c r="T497">
        <f t="shared" si="39"/>
        <v>0</v>
      </c>
      <c r="U497">
        <f>Tabla1[[#This Row],[HORAS NO AFINIDAD]]+Tabla1[[#This Row],[HORAS UNIDAD BASICA]]+Tabla1[[#This Row],[HORAS AFINIDAD]]</f>
        <v>0</v>
      </c>
      <c r="V497">
        <f>+Tabla1[[#This Row],[HORAS AFINIDAD]]+Tabla1[[#This Row],[HORAS ACTIVIDAD]]+Tabla1[[#This Row],[HORAS UNIDAD BASICA]]+Tabla1[[#This Row],[HORAS NO AFINIDAD]]</f>
        <v>0</v>
      </c>
    </row>
    <row r="498" spans="1:22" ht="18.75" customHeight="1">
      <c r="A498">
        <v>497</v>
      </c>
      <c r="C498" t="str">
        <f>_xlfn.XLOOKUP(Tabla1[[#This Row],[CARRERA]],MAE_CARRERA[NOMBRE_CARRERA],MAE_CARRERA[ID_CARRERA],"Seleccione Carrera")</f>
        <v>Seleccione Carrera</v>
      </c>
      <c r="F498" s="1"/>
      <c r="G498" t="str">
        <f>_xlfn.XLOOKUP(Tabla1[[#This Row],[ASIGNATURA]],MAE_ASIGNATURA[NOM_ASIG],MAE_ASIGNATURA[ID_ASIG],"Seleccione Asignatura")</f>
        <v>Seleccione Asignatura</v>
      </c>
      <c r="H498" s="1" t="str" cm="1">
        <f t="array" ref="H498">_xlfn.TEXTJOIN("; ",TRUE,TRANSPOSE(_xlfn.UNIQUE(_xlfn._xlws.FILTER(DET_ASIG[DETALLADO],(DET_ASIG[NIVEL]=ASIGNACION!$D498)*(DET_ASIG[ID_CARRERA]=ASIGNACION!$C498)*(DET_ASIG[ID_ASIG]=ASIGNACION!$G498),"No existe información"))))</f>
        <v>No existe información</v>
      </c>
      <c r="I498" s="1"/>
      <c r="J498">
        <f>_xlfn.XLOOKUP(Tabla1[[#This Row],[ID_ASIG_CAM_DET]],MAE_ASIGNATURA[ID_ASIG],MAE_ASIGNATURA[HORAS],0)</f>
        <v>0</v>
      </c>
      <c r="K498">
        <v>4</v>
      </c>
      <c r="L498" s="2">
        <f>+Tabla1[[#This Row],[CALCULAR HORA]]*Tabla1[[#This Row],[HORAS]]</f>
        <v>0</v>
      </c>
      <c r="N498" t="str">
        <f>_xlfn.XLOOKUP(Tabla1[[#This Row],[NOMBRE_DOCENT]],MDOCENTES[DATOS_DOCENTE],MDOCENTES[DEDICACION],"Seleccione Docente")</f>
        <v>Seleccione Docente</v>
      </c>
      <c r="O498" t="str">
        <f>_xlfn.XLOOKUP(Tabla1[[#This Row],[NOMBRE_DOCENT]],MDOCENTES[DATOS_DOCENTE],MDOCENTES[ESTUDIO],"Seleccione Docente")</f>
        <v>Seleccione Docente</v>
      </c>
      <c r="P498">
        <f t="shared" si="35"/>
        <v>0</v>
      </c>
      <c r="Q498">
        <f t="shared" si="36"/>
        <v>0</v>
      </c>
      <c r="R498">
        <f t="shared" si="37"/>
        <v>0</v>
      </c>
      <c r="S498">
        <f t="shared" si="38"/>
        <v>0</v>
      </c>
      <c r="T498">
        <f t="shared" si="39"/>
        <v>0</v>
      </c>
      <c r="U498">
        <f>Tabla1[[#This Row],[HORAS NO AFINIDAD]]+Tabla1[[#This Row],[HORAS UNIDAD BASICA]]+Tabla1[[#This Row],[HORAS AFINIDAD]]</f>
        <v>0</v>
      </c>
      <c r="V498">
        <f>+Tabla1[[#This Row],[HORAS AFINIDAD]]+Tabla1[[#This Row],[HORAS ACTIVIDAD]]+Tabla1[[#This Row],[HORAS UNIDAD BASICA]]+Tabla1[[#This Row],[HORAS NO AFINIDAD]]</f>
        <v>0</v>
      </c>
    </row>
    <row r="499" spans="1:22" ht="18.75" customHeight="1">
      <c r="A499">
        <v>498</v>
      </c>
      <c r="C499" t="str">
        <f>_xlfn.XLOOKUP(Tabla1[[#This Row],[CARRERA]],MAE_CARRERA[NOMBRE_CARRERA],MAE_CARRERA[ID_CARRERA],"Seleccione Carrera")</f>
        <v>Seleccione Carrera</v>
      </c>
      <c r="F499" s="1"/>
      <c r="G499" t="str">
        <f>_xlfn.XLOOKUP(Tabla1[[#This Row],[ASIGNATURA]],MAE_ASIGNATURA[NOM_ASIG],MAE_ASIGNATURA[ID_ASIG],"Seleccione Asignatura")</f>
        <v>Seleccione Asignatura</v>
      </c>
      <c r="H499" s="1" t="str" cm="1">
        <f t="array" ref="H499">_xlfn.TEXTJOIN("; ",TRUE,TRANSPOSE(_xlfn.UNIQUE(_xlfn._xlws.FILTER(DET_ASIG[DETALLADO],(DET_ASIG[NIVEL]=ASIGNACION!$D499)*(DET_ASIG[ID_CARRERA]=ASIGNACION!$C499)*(DET_ASIG[ID_ASIG]=ASIGNACION!$G499),"No existe información"))))</f>
        <v>No existe información</v>
      </c>
      <c r="I499" s="1"/>
      <c r="J499">
        <f>_xlfn.XLOOKUP(Tabla1[[#This Row],[ID_ASIG_CAM_DET]],MAE_ASIGNATURA[ID_ASIG],MAE_ASIGNATURA[HORAS],0)</f>
        <v>0</v>
      </c>
      <c r="K499">
        <v>4</v>
      </c>
      <c r="L499" s="2">
        <f>+Tabla1[[#This Row],[CALCULAR HORA]]*Tabla1[[#This Row],[HORAS]]</f>
        <v>0</v>
      </c>
      <c r="N499" t="str">
        <f>_xlfn.XLOOKUP(Tabla1[[#This Row],[NOMBRE_DOCENT]],MDOCENTES[DATOS_DOCENTE],MDOCENTES[DEDICACION],"Seleccione Docente")</f>
        <v>Seleccione Docente</v>
      </c>
      <c r="O499" t="str">
        <f>_xlfn.XLOOKUP(Tabla1[[#This Row],[NOMBRE_DOCENT]],MDOCENTES[DATOS_DOCENTE],MDOCENTES[ESTUDIO],"Seleccione Docente")</f>
        <v>Seleccione Docente</v>
      </c>
      <c r="P499">
        <f t="shared" si="35"/>
        <v>0</v>
      </c>
      <c r="Q499">
        <f t="shared" si="36"/>
        <v>0</v>
      </c>
      <c r="R499">
        <f t="shared" si="37"/>
        <v>0</v>
      </c>
      <c r="S499">
        <f t="shared" si="38"/>
        <v>0</v>
      </c>
      <c r="T499">
        <f t="shared" si="39"/>
        <v>0</v>
      </c>
      <c r="U499">
        <f>Tabla1[[#This Row],[HORAS NO AFINIDAD]]+Tabla1[[#This Row],[HORAS UNIDAD BASICA]]+Tabla1[[#This Row],[HORAS AFINIDAD]]</f>
        <v>0</v>
      </c>
      <c r="V499">
        <f>+Tabla1[[#This Row],[HORAS AFINIDAD]]+Tabla1[[#This Row],[HORAS ACTIVIDAD]]+Tabla1[[#This Row],[HORAS UNIDAD BASICA]]+Tabla1[[#This Row],[HORAS NO AFINIDAD]]</f>
        <v>0</v>
      </c>
    </row>
    <row r="500" spans="1:22" ht="18.75" customHeight="1">
      <c r="A500">
        <v>499</v>
      </c>
      <c r="C500" t="str">
        <f>_xlfn.XLOOKUP(Tabla1[[#This Row],[CARRERA]],MAE_CARRERA[NOMBRE_CARRERA],MAE_CARRERA[ID_CARRERA],"Seleccione Carrera")</f>
        <v>Seleccione Carrera</v>
      </c>
      <c r="F500" s="1"/>
      <c r="G500" t="str">
        <f>_xlfn.XLOOKUP(Tabla1[[#This Row],[ASIGNATURA]],MAE_ASIGNATURA[NOM_ASIG],MAE_ASIGNATURA[ID_ASIG],"Seleccione Asignatura")</f>
        <v>Seleccione Asignatura</v>
      </c>
      <c r="H500" s="1" t="str" cm="1">
        <f t="array" ref="H500">_xlfn.TEXTJOIN("; ",TRUE,TRANSPOSE(_xlfn.UNIQUE(_xlfn._xlws.FILTER(DET_ASIG[DETALLADO],(DET_ASIG[NIVEL]=ASIGNACION!$D500)*(DET_ASIG[ID_CARRERA]=ASIGNACION!$C500)*(DET_ASIG[ID_ASIG]=ASIGNACION!$G500),"No existe información"))))</f>
        <v>No existe información</v>
      </c>
      <c r="I500" s="1"/>
      <c r="J500">
        <f>_xlfn.XLOOKUP(Tabla1[[#This Row],[ID_ASIG_CAM_DET]],MAE_ASIGNATURA[ID_ASIG],MAE_ASIGNATURA[HORAS],0)</f>
        <v>0</v>
      </c>
      <c r="K500">
        <v>4</v>
      </c>
      <c r="L500" s="2">
        <f>+Tabla1[[#This Row],[CALCULAR HORA]]*Tabla1[[#This Row],[HORAS]]</f>
        <v>0</v>
      </c>
      <c r="N500" t="str">
        <f>_xlfn.XLOOKUP(Tabla1[[#This Row],[NOMBRE_DOCENT]],MDOCENTES[DATOS_DOCENTE],MDOCENTES[DEDICACION],"Seleccione Docente")</f>
        <v>Seleccione Docente</v>
      </c>
      <c r="O500" t="str">
        <f>_xlfn.XLOOKUP(Tabla1[[#This Row],[NOMBRE_DOCENT]],MDOCENTES[DATOS_DOCENTE],MDOCENTES[ESTUDIO],"Seleccione Docente")</f>
        <v>Seleccione Docente</v>
      </c>
      <c r="P500">
        <f t="shared" si="35"/>
        <v>0</v>
      </c>
      <c r="Q500">
        <f t="shared" si="36"/>
        <v>0</v>
      </c>
      <c r="R500">
        <f t="shared" si="37"/>
        <v>0</v>
      </c>
      <c r="S500">
        <f t="shared" si="38"/>
        <v>0</v>
      </c>
      <c r="T500">
        <f t="shared" si="39"/>
        <v>0</v>
      </c>
      <c r="U500">
        <f>Tabla1[[#This Row],[HORAS NO AFINIDAD]]+Tabla1[[#This Row],[HORAS UNIDAD BASICA]]+Tabla1[[#This Row],[HORAS AFINIDAD]]</f>
        <v>0</v>
      </c>
      <c r="V500">
        <f>+Tabla1[[#This Row],[HORAS AFINIDAD]]+Tabla1[[#This Row],[HORAS ACTIVIDAD]]+Tabla1[[#This Row],[HORAS UNIDAD BASICA]]+Tabla1[[#This Row],[HORAS NO AFINIDAD]]</f>
        <v>0</v>
      </c>
    </row>
    <row r="501" spans="1:22" ht="18.75" customHeight="1">
      <c r="A501">
        <v>500</v>
      </c>
      <c r="C501" t="str">
        <f>_xlfn.XLOOKUP(Tabla1[[#This Row],[CARRERA]],MAE_CARRERA[NOMBRE_CARRERA],MAE_CARRERA[ID_CARRERA],"Seleccione Carrera")</f>
        <v>Seleccione Carrera</v>
      </c>
      <c r="F501" s="1"/>
      <c r="G501" t="str">
        <f>_xlfn.XLOOKUP(Tabla1[[#This Row],[ASIGNATURA]],MAE_ASIGNATURA[NOM_ASIG],MAE_ASIGNATURA[ID_ASIG],"Seleccione Asignatura")</f>
        <v>Seleccione Asignatura</v>
      </c>
      <c r="H501" s="1" t="str" cm="1">
        <f t="array" ref="H501">_xlfn.TEXTJOIN("; ",TRUE,TRANSPOSE(_xlfn.UNIQUE(_xlfn._xlws.FILTER(DET_ASIG[DETALLADO],(DET_ASIG[NIVEL]=ASIGNACION!$D501)*(DET_ASIG[ID_CARRERA]=ASIGNACION!$C501)*(DET_ASIG[ID_ASIG]=ASIGNACION!$G501),"No existe información"))))</f>
        <v>No existe información</v>
      </c>
      <c r="I501" s="1"/>
      <c r="J501">
        <f>_xlfn.XLOOKUP(Tabla1[[#This Row],[ID_ASIG_CAM_DET]],MAE_ASIGNATURA[ID_ASIG],MAE_ASIGNATURA[HORAS],0)</f>
        <v>0</v>
      </c>
      <c r="K501">
        <v>4</v>
      </c>
      <c r="L501" s="2">
        <f>+Tabla1[[#This Row],[CALCULAR HORA]]*Tabla1[[#This Row],[HORAS]]</f>
        <v>0</v>
      </c>
      <c r="N501" t="str">
        <f>_xlfn.XLOOKUP(Tabla1[[#This Row],[NOMBRE_DOCENT]],MDOCENTES[DATOS_DOCENTE],MDOCENTES[DEDICACION],"Seleccione Docente")</f>
        <v>Seleccione Docente</v>
      </c>
      <c r="O501" t="str">
        <f>_xlfn.XLOOKUP(Tabla1[[#This Row],[NOMBRE_DOCENT]],MDOCENTES[DATOS_DOCENTE],MDOCENTES[ESTUDIO],"Seleccione Docente")</f>
        <v>Seleccione Docente</v>
      </c>
      <c r="P501">
        <f t="shared" si="35"/>
        <v>0</v>
      </c>
      <c r="Q501">
        <f t="shared" si="36"/>
        <v>0</v>
      </c>
      <c r="R501">
        <f t="shared" si="37"/>
        <v>0</v>
      </c>
      <c r="S501">
        <f t="shared" si="38"/>
        <v>0</v>
      </c>
      <c r="T501">
        <f t="shared" si="39"/>
        <v>0</v>
      </c>
      <c r="U501">
        <f>Tabla1[[#This Row],[HORAS NO AFINIDAD]]+Tabla1[[#This Row],[HORAS UNIDAD BASICA]]+Tabla1[[#This Row],[HORAS AFINIDAD]]</f>
        <v>0</v>
      </c>
      <c r="V501">
        <f>+Tabla1[[#This Row],[HORAS AFINIDAD]]+Tabla1[[#This Row],[HORAS ACTIVIDAD]]+Tabla1[[#This Row],[HORAS UNIDAD BASICA]]+Tabla1[[#This Row],[HORAS NO AFINIDAD]]</f>
        <v>0</v>
      </c>
    </row>
    <row r="502" spans="1:22" ht="18.75" customHeight="1">
      <c r="A502">
        <v>501</v>
      </c>
      <c r="C502" t="str">
        <f>_xlfn.XLOOKUP(Tabla1[[#This Row],[CARRERA]],MAE_CARRERA[NOMBRE_CARRERA],MAE_CARRERA[ID_CARRERA],"Seleccione Carrera")</f>
        <v>Seleccione Carrera</v>
      </c>
      <c r="F502" s="1"/>
      <c r="G502" t="str">
        <f>_xlfn.XLOOKUP(Tabla1[[#This Row],[ASIGNATURA]],MAE_ASIGNATURA[NOM_ASIG],MAE_ASIGNATURA[ID_ASIG],"Seleccione Asignatura")</f>
        <v>Seleccione Asignatura</v>
      </c>
      <c r="H502" s="1" t="str" cm="1">
        <f t="array" ref="H502">_xlfn.TEXTJOIN("; ",TRUE,TRANSPOSE(_xlfn.UNIQUE(_xlfn._xlws.FILTER(DET_ASIG[DETALLADO],(DET_ASIG[NIVEL]=ASIGNACION!$D502)*(DET_ASIG[ID_CARRERA]=ASIGNACION!$C502)*(DET_ASIG[ID_ASIG]=ASIGNACION!$G502),"No existe información"))))</f>
        <v>No existe información</v>
      </c>
      <c r="I502" s="1"/>
      <c r="J502">
        <f>_xlfn.XLOOKUP(Tabla1[[#This Row],[ID_ASIG_CAM_DET]],MAE_ASIGNATURA[ID_ASIG],MAE_ASIGNATURA[HORAS],0)</f>
        <v>0</v>
      </c>
      <c r="K502">
        <v>4</v>
      </c>
      <c r="L502" s="2">
        <f>+Tabla1[[#This Row],[CALCULAR HORA]]*Tabla1[[#This Row],[HORAS]]</f>
        <v>0</v>
      </c>
      <c r="N502" t="str">
        <f>_xlfn.XLOOKUP(Tabla1[[#This Row],[NOMBRE_DOCENT]],MDOCENTES[DATOS_DOCENTE],MDOCENTES[DEDICACION],"Seleccione Docente")</f>
        <v>Seleccione Docente</v>
      </c>
      <c r="O502" t="str">
        <f>_xlfn.XLOOKUP(Tabla1[[#This Row],[NOMBRE_DOCENT]],MDOCENTES[DATOS_DOCENTE],MDOCENTES[ESTUDIO],"Seleccione Docente")</f>
        <v>Seleccione Docente</v>
      </c>
      <c r="P502">
        <f t="shared" si="35"/>
        <v>0</v>
      </c>
      <c r="Q502">
        <f t="shared" si="36"/>
        <v>0</v>
      </c>
      <c r="R502">
        <f t="shared" si="37"/>
        <v>0</v>
      </c>
      <c r="S502">
        <f t="shared" si="38"/>
        <v>0</v>
      </c>
      <c r="T502">
        <f t="shared" si="39"/>
        <v>0</v>
      </c>
      <c r="U502">
        <f>Tabla1[[#This Row],[HORAS NO AFINIDAD]]+Tabla1[[#This Row],[HORAS UNIDAD BASICA]]+Tabla1[[#This Row],[HORAS AFINIDAD]]</f>
        <v>0</v>
      </c>
      <c r="V502">
        <f>+Tabla1[[#This Row],[HORAS AFINIDAD]]+Tabla1[[#This Row],[HORAS ACTIVIDAD]]+Tabla1[[#This Row],[HORAS UNIDAD BASICA]]+Tabla1[[#This Row],[HORAS NO AFINIDAD]]</f>
        <v>0</v>
      </c>
    </row>
    <row r="503" spans="1:22" ht="18.75" customHeight="1">
      <c r="A503">
        <v>502</v>
      </c>
      <c r="C503" t="str">
        <f>_xlfn.XLOOKUP(Tabla1[[#This Row],[CARRERA]],MAE_CARRERA[NOMBRE_CARRERA],MAE_CARRERA[ID_CARRERA],"Seleccione Carrera")</f>
        <v>Seleccione Carrera</v>
      </c>
      <c r="F503" s="1"/>
      <c r="G503" t="str">
        <f>_xlfn.XLOOKUP(Tabla1[[#This Row],[ASIGNATURA]],MAE_ASIGNATURA[NOM_ASIG],MAE_ASIGNATURA[ID_ASIG],"Seleccione Asignatura")</f>
        <v>Seleccione Asignatura</v>
      </c>
      <c r="H503" s="1" t="str" cm="1">
        <f t="array" ref="H503">_xlfn.TEXTJOIN("; ",TRUE,TRANSPOSE(_xlfn.UNIQUE(_xlfn._xlws.FILTER(DET_ASIG[DETALLADO],(DET_ASIG[NIVEL]=ASIGNACION!$D503)*(DET_ASIG[ID_CARRERA]=ASIGNACION!$C503)*(DET_ASIG[ID_ASIG]=ASIGNACION!$G503),"No existe información"))))</f>
        <v>No existe información</v>
      </c>
      <c r="I503" s="1"/>
      <c r="J503">
        <f>_xlfn.XLOOKUP(Tabla1[[#This Row],[ID_ASIG_CAM_DET]],MAE_ASIGNATURA[ID_ASIG],MAE_ASIGNATURA[HORAS],0)</f>
        <v>0</v>
      </c>
      <c r="K503">
        <v>4</v>
      </c>
      <c r="L503" s="2">
        <f>+Tabla1[[#This Row],[CALCULAR HORA]]*Tabla1[[#This Row],[HORAS]]</f>
        <v>0</v>
      </c>
      <c r="N503" t="str">
        <f>_xlfn.XLOOKUP(Tabla1[[#This Row],[NOMBRE_DOCENT]],MDOCENTES[DATOS_DOCENTE],MDOCENTES[DEDICACION],"Seleccione Docente")</f>
        <v>Seleccione Docente</v>
      </c>
      <c r="O503" t="str">
        <f>_xlfn.XLOOKUP(Tabla1[[#This Row],[NOMBRE_DOCENT]],MDOCENTES[DATOS_DOCENTE],MDOCENTES[ESTUDIO],"Seleccione Docente")</f>
        <v>Seleccione Docente</v>
      </c>
      <c r="P503">
        <f t="shared" si="35"/>
        <v>0</v>
      </c>
      <c r="Q503">
        <f t="shared" si="36"/>
        <v>0</v>
      </c>
      <c r="R503">
        <f t="shared" si="37"/>
        <v>0</v>
      </c>
      <c r="S503">
        <f t="shared" si="38"/>
        <v>0</v>
      </c>
      <c r="T503">
        <f t="shared" si="39"/>
        <v>0</v>
      </c>
      <c r="U503">
        <f>Tabla1[[#This Row],[HORAS NO AFINIDAD]]+Tabla1[[#This Row],[HORAS UNIDAD BASICA]]+Tabla1[[#This Row],[HORAS AFINIDAD]]</f>
        <v>0</v>
      </c>
      <c r="V503">
        <f>+Tabla1[[#This Row],[HORAS AFINIDAD]]+Tabla1[[#This Row],[HORAS ACTIVIDAD]]+Tabla1[[#This Row],[HORAS UNIDAD BASICA]]+Tabla1[[#This Row],[HORAS NO AFINIDAD]]</f>
        <v>0</v>
      </c>
    </row>
    <row r="504" spans="1:22" ht="18.75" customHeight="1">
      <c r="A504">
        <v>503</v>
      </c>
      <c r="C504" t="str">
        <f>_xlfn.XLOOKUP(Tabla1[[#This Row],[CARRERA]],MAE_CARRERA[NOMBRE_CARRERA],MAE_CARRERA[ID_CARRERA],"Seleccione Carrera")</f>
        <v>Seleccione Carrera</v>
      </c>
      <c r="F504" s="1"/>
      <c r="G504" t="str">
        <f>_xlfn.XLOOKUP(Tabla1[[#This Row],[ASIGNATURA]],MAE_ASIGNATURA[NOM_ASIG],MAE_ASIGNATURA[ID_ASIG],"Seleccione Asignatura")</f>
        <v>Seleccione Asignatura</v>
      </c>
      <c r="H504" s="1" t="str" cm="1">
        <f t="array" ref="H504">_xlfn.TEXTJOIN("; ",TRUE,TRANSPOSE(_xlfn.UNIQUE(_xlfn._xlws.FILTER(DET_ASIG[DETALLADO],(DET_ASIG[NIVEL]=ASIGNACION!$D504)*(DET_ASIG[ID_CARRERA]=ASIGNACION!$C504)*(DET_ASIG[ID_ASIG]=ASIGNACION!$G504),"No existe información"))))</f>
        <v>No existe información</v>
      </c>
      <c r="I504" s="1"/>
      <c r="J504">
        <f>_xlfn.XLOOKUP(Tabla1[[#This Row],[ID_ASIG_CAM_DET]],MAE_ASIGNATURA[ID_ASIG],MAE_ASIGNATURA[HORAS],0)</f>
        <v>0</v>
      </c>
      <c r="K504">
        <v>4</v>
      </c>
      <c r="L504" s="2">
        <f>+Tabla1[[#This Row],[CALCULAR HORA]]*Tabla1[[#This Row],[HORAS]]</f>
        <v>0</v>
      </c>
      <c r="N504" t="str">
        <f>_xlfn.XLOOKUP(Tabla1[[#This Row],[NOMBRE_DOCENT]],MDOCENTES[DATOS_DOCENTE],MDOCENTES[DEDICACION],"Seleccione Docente")</f>
        <v>Seleccione Docente</v>
      </c>
      <c r="O504" t="str">
        <f>_xlfn.XLOOKUP(Tabla1[[#This Row],[NOMBRE_DOCENT]],MDOCENTES[DATOS_DOCENTE],MDOCENTES[ESTUDIO],"Seleccione Docente")</f>
        <v>Seleccione Docente</v>
      </c>
      <c r="P504">
        <f t="shared" si="35"/>
        <v>0</v>
      </c>
      <c r="Q504">
        <f t="shared" si="36"/>
        <v>0</v>
      </c>
      <c r="R504">
        <f t="shared" si="37"/>
        <v>0</v>
      </c>
      <c r="S504">
        <f t="shared" si="38"/>
        <v>0</v>
      </c>
      <c r="T504">
        <f t="shared" si="39"/>
        <v>0</v>
      </c>
      <c r="U504">
        <f>Tabla1[[#This Row],[HORAS NO AFINIDAD]]+Tabla1[[#This Row],[HORAS UNIDAD BASICA]]+Tabla1[[#This Row],[HORAS AFINIDAD]]</f>
        <v>0</v>
      </c>
      <c r="V504">
        <f>+Tabla1[[#This Row],[HORAS AFINIDAD]]+Tabla1[[#This Row],[HORAS ACTIVIDAD]]+Tabla1[[#This Row],[HORAS UNIDAD BASICA]]+Tabla1[[#This Row],[HORAS NO AFINIDAD]]</f>
        <v>0</v>
      </c>
    </row>
    <row r="505" spans="1:22" ht="18.75" customHeight="1">
      <c r="A505">
        <v>504</v>
      </c>
      <c r="C505" t="str">
        <f>_xlfn.XLOOKUP(Tabla1[[#This Row],[CARRERA]],MAE_CARRERA[NOMBRE_CARRERA],MAE_CARRERA[ID_CARRERA],"Seleccione Carrera")</f>
        <v>Seleccione Carrera</v>
      </c>
      <c r="F505" s="1"/>
      <c r="G505" t="str">
        <f>_xlfn.XLOOKUP(Tabla1[[#This Row],[ASIGNATURA]],MAE_ASIGNATURA[NOM_ASIG],MAE_ASIGNATURA[ID_ASIG],"Seleccione Asignatura")</f>
        <v>Seleccione Asignatura</v>
      </c>
      <c r="H505" s="1" t="str" cm="1">
        <f t="array" ref="H505">_xlfn.TEXTJOIN("; ",TRUE,TRANSPOSE(_xlfn.UNIQUE(_xlfn._xlws.FILTER(DET_ASIG[DETALLADO],(DET_ASIG[NIVEL]=ASIGNACION!$D505)*(DET_ASIG[ID_CARRERA]=ASIGNACION!$C505)*(DET_ASIG[ID_ASIG]=ASIGNACION!$G505),"No existe información"))))</f>
        <v>No existe información</v>
      </c>
      <c r="I505" s="1"/>
      <c r="J505">
        <f>_xlfn.XLOOKUP(Tabla1[[#This Row],[ID_ASIG_CAM_DET]],MAE_ASIGNATURA[ID_ASIG],MAE_ASIGNATURA[HORAS],0)</f>
        <v>0</v>
      </c>
      <c r="K505">
        <v>4</v>
      </c>
      <c r="L505" s="2">
        <f>+Tabla1[[#This Row],[CALCULAR HORA]]*Tabla1[[#This Row],[HORAS]]</f>
        <v>0</v>
      </c>
      <c r="N505" t="str">
        <f>_xlfn.XLOOKUP(Tabla1[[#This Row],[NOMBRE_DOCENT]],MDOCENTES[DATOS_DOCENTE],MDOCENTES[DEDICACION],"Seleccione Docente")</f>
        <v>Seleccione Docente</v>
      </c>
      <c r="O505" t="str">
        <f>_xlfn.XLOOKUP(Tabla1[[#This Row],[NOMBRE_DOCENT]],MDOCENTES[DATOS_DOCENTE],MDOCENTES[ESTUDIO],"Seleccione Docente")</f>
        <v>Seleccione Docente</v>
      </c>
      <c r="P505">
        <f t="shared" si="35"/>
        <v>0</v>
      </c>
      <c r="Q505">
        <f t="shared" si="36"/>
        <v>0</v>
      </c>
      <c r="R505">
        <f t="shared" si="37"/>
        <v>0</v>
      </c>
      <c r="S505">
        <f t="shared" si="38"/>
        <v>0</v>
      </c>
      <c r="T505">
        <f t="shared" si="39"/>
        <v>0</v>
      </c>
      <c r="U505">
        <f>Tabla1[[#This Row],[HORAS NO AFINIDAD]]+Tabla1[[#This Row],[HORAS UNIDAD BASICA]]+Tabla1[[#This Row],[HORAS AFINIDAD]]</f>
        <v>0</v>
      </c>
      <c r="V505">
        <f>+Tabla1[[#This Row],[HORAS AFINIDAD]]+Tabla1[[#This Row],[HORAS ACTIVIDAD]]+Tabla1[[#This Row],[HORAS UNIDAD BASICA]]+Tabla1[[#This Row],[HORAS NO AFINIDAD]]</f>
        <v>0</v>
      </c>
    </row>
    <row r="506" spans="1:22" ht="18.75" customHeight="1">
      <c r="A506">
        <v>505</v>
      </c>
      <c r="C506" t="str">
        <f>_xlfn.XLOOKUP(Tabla1[[#This Row],[CARRERA]],MAE_CARRERA[NOMBRE_CARRERA],MAE_CARRERA[ID_CARRERA],"Seleccione Carrera")</f>
        <v>Seleccione Carrera</v>
      </c>
      <c r="F506" s="1"/>
      <c r="G506" t="str">
        <f>_xlfn.XLOOKUP(Tabla1[[#This Row],[ASIGNATURA]],MAE_ASIGNATURA[NOM_ASIG],MAE_ASIGNATURA[ID_ASIG],"Seleccione Asignatura")</f>
        <v>Seleccione Asignatura</v>
      </c>
      <c r="H506" s="1" t="str" cm="1">
        <f t="array" ref="H506">_xlfn.TEXTJOIN("; ",TRUE,TRANSPOSE(_xlfn.UNIQUE(_xlfn._xlws.FILTER(DET_ASIG[DETALLADO],(DET_ASIG[NIVEL]=ASIGNACION!$D506)*(DET_ASIG[ID_CARRERA]=ASIGNACION!$C506)*(DET_ASIG[ID_ASIG]=ASIGNACION!$G506),"No existe información"))))</f>
        <v>No existe información</v>
      </c>
      <c r="I506" s="1"/>
      <c r="J506">
        <f>_xlfn.XLOOKUP(Tabla1[[#This Row],[ID_ASIG_CAM_DET]],MAE_ASIGNATURA[ID_ASIG],MAE_ASIGNATURA[HORAS],0)</f>
        <v>0</v>
      </c>
      <c r="K506">
        <v>4</v>
      </c>
      <c r="L506" s="2">
        <f>+Tabla1[[#This Row],[CALCULAR HORA]]*Tabla1[[#This Row],[HORAS]]</f>
        <v>0</v>
      </c>
      <c r="N506" t="str">
        <f>_xlfn.XLOOKUP(Tabla1[[#This Row],[NOMBRE_DOCENT]],MDOCENTES[DATOS_DOCENTE],MDOCENTES[DEDICACION],"Seleccione Docente")</f>
        <v>Seleccione Docente</v>
      </c>
      <c r="O506" t="str">
        <f>_xlfn.XLOOKUP(Tabla1[[#This Row],[NOMBRE_DOCENT]],MDOCENTES[DATOS_DOCENTE],MDOCENTES[ESTUDIO],"Seleccione Docente")</f>
        <v>Seleccione Docente</v>
      </c>
      <c r="P506">
        <f t="shared" si="35"/>
        <v>0</v>
      </c>
      <c r="Q506">
        <f t="shared" si="36"/>
        <v>0</v>
      </c>
      <c r="R506">
        <f t="shared" si="37"/>
        <v>0</v>
      </c>
      <c r="S506">
        <f t="shared" si="38"/>
        <v>0</v>
      </c>
      <c r="T506">
        <f t="shared" si="39"/>
        <v>0</v>
      </c>
      <c r="U506">
        <f>Tabla1[[#This Row],[HORAS NO AFINIDAD]]+Tabla1[[#This Row],[HORAS UNIDAD BASICA]]+Tabla1[[#This Row],[HORAS AFINIDAD]]</f>
        <v>0</v>
      </c>
      <c r="V506">
        <f>+Tabla1[[#This Row],[HORAS AFINIDAD]]+Tabla1[[#This Row],[HORAS ACTIVIDAD]]+Tabla1[[#This Row],[HORAS UNIDAD BASICA]]+Tabla1[[#This Row],[HORAS NO AFINIDAD]]</f>
        <v>0</v>
      </c>
    </row>
    <row r="507" spans="1:22" ht="18.75" customHeight="1">
      <c r="A507">
        <v>506</v>
      </c>
      <c r="C507" t="str">
        <f>_xlfn.XLOOKUP(Tabla1[[#This Row],[CARRERA]],MAE_CARRERA[NOMBRE_CARRERA],MAE_CARRERA[ID_CARRERA],"Seleccione Carrera")</f>
        <v>Seleccione Carrera</v>
      </c>
      <c r="F507" s="1"/>
      <c r="G507" t="str">
        <f>_xlfn.XLOOKUP(Tabla1[[#This Row],[ASIGNATURA]],MAE_ASIGNATURA[NOM_ASIG],MAE_ASIGNATURA[ID_ASIG],"Seleccione Asignatura")</f>
        <v>Seleccione Asignatura</v>
      </c>
      <c r="H507" s="1" t="str" cm="1">
        <f t="array" ref="H507">_xlfn.TEXTJOIN("; ",TRUE,TRANSPOSE(_xlfn.UNIQUE(_xlfn._xlws.FILTER(DET_ASIG[DETALLADO],(DET_ASIG[NIVEL]=ASIGNACION!$D507)*(DET_ASIG[ID_CARRERA]=ASIGNACION!$C507)*(DET_ASIG[ID_ASIG]=ASIGNACION!$G507),"No existe información"))))</f>
        <v>No existe información</v>
      </c>
      <c r="I507" s="1"/>
      <c r="J507">
        <f>_xlfn.XLOOKUP(Tabla1[[#This Row],[ID_ASIG_CAM_DET]],MAE_ASIGNATURA[ID_ASIG],MAE_ASIGNATURA[HORAS],0)</f>
        <v>0</v>
      </c>
      <c r="K507">
        <v>4</v>
      </c>
      <c r="L507" s="2">
        <f>+Tabla1[[#This Row],[CALCULAR HORA]]*Tabla1[[#This Row],[HORAS]]</f>
        <v>0</v>
      </c>
      <c r="N507" t="str">
        <f>_xlfn.XLOOKUP(Tabla1[[#This Row],[NOMBRE_DOCENT]],MDOCENTES[DATOS_DOCENTE],MDOCENTES[DEDICACION],"Seleccione Docente")</f>
        <v>Seleccione Docente</v>
      </c>
      <c r="O507" t="str">
        <f>_xlfn.XLOOKUP(Tabla1[[#This Row],[NOMBRE_DOCENT]],MDOCENTES[DATOS_DOCENTE],MDOCENTES[ESTUDIO],"Seleccione Docente")</f>
        <v>Seleccione Docente</v>
      </c>
      <c r="P507">
        <f t="shared" si="35"/>
        <v>0</v>
      </c>
      <c r="Q507">
        <f t="shared" si="36"/>
        <v>0</v>
      </c>
      <c r="R507">
        <f t="shared" si="37"/>
        <v>0</v>
      </c>
      <c r="S507">
        <f t="shared" si="38"/>
        <v>0</v>
      </c>
      <c r="T507">
        <f t="shared" si="39"/>
        <v>0</v>
      </c>
      <c r="U507">
        <f>Tabla1[[#This Row],[HORAS NO AFINIDAD]]+Tabla1[[#This Row],[HORAS UNIDAD BASICA]]+Tabla1[[#This Row],[HORAS AFINIDAD]]</f>
        <v>0</v>
      </c>
      <c r="V507">
        <f>+Tabla1[[#This Row],[HORAS AFINIDAD]]+Tabla1[[#This Row],[HORAS ACTIVIDAD]]+Tabla1[[#This Row],[HORAS UNIDAD BASICA]]+Tabla1[[#This Row],[HORAS NO AFINIDAD]]</f>
        <v>0</v>
      </c>
    </row>
    <row r="508" spans="1:22" ht="18.75" customHeight="1">
      <c r="A508">
        <v>507</v>
      </c>
      <c r="C508" t="str">
        <f>_xlfn.XLOOKUP(Tabla1[[#This Row],[CARRERA]],MAE_CARRERA[NOMBRE_CARRERA],MAE_CARRERA[ID_CARRERA],"Seleccione Carrera")</f>
        <v>Seleccione Carrera</v>
      </c>
      <c r="F508" s="1"/>
      <c r="G508" t="str">
        <f>_xlfn.XLOOKUP(Tabla1[[#This Row],[ASIGNATURA]],MAE_ASIGNATURA[NOM_ASIG],MAE_ASIGNATURA[ID_ASIG],"Seleccione Asignatura")</f>
        <v>Seleccione Asignatura</v>
      </c>
      <c r="H508" s="1" t="str" cm="1">
        <f t="array" ref="H508">_xlfn.TEXTJOIN("; ",TRUE,TRANSPOSE(_xlfn.UNIQUE(_xlfn._xlws.FILTER(DET_ASIG[DETALLADO],(DET_ASIG[NIVEL]=ASIGNACION!$D508)*(DET_ASIG[ID_CARRERA]=ASIGNACION!$C508)*(DET_ASIG[ID_ASIG]=ASIGNACION!$G508),"No existe información"))))</f>
        <v>No existe información</v>
      </c>
      <c r="I508" s="1"/>
      <c r="J508">
        <f>_xlfn.XLOOKUP(Tabla1[[#This Row],[ID_ASIG_CAM_DET]],MAE_ASIGNATURA[ID_ASIG],MAE_ASIGNATURA[HORAS],0)</f>
        <v>0</v>
      </c>
      <c r="K508">
        <v>4</v>
      </c>
      <c r="L508" s="2">
        <f>+Tabla1[[#This Row],[CALCULAR HORA]]*Tabla1[[#This Row],[HORAS]]</f>
        <v>0</v>
      </c>
      <c r="N508" t="str">
        <f>_xlfn.XLOOKUP(Tabla1[[#This Row],[NOMBRE_DOCENT]],MDOCENTES[DATOS_DOCENTE],MDOCENTES[DEDICACION],"Seleccione Docente")</f>
        <v>Seleccione Docente</v>
      </c>
      <c r="O508" t="str">
        <f>_xlfn.XLOOKUP(Tabla1[[#This Row],[NOMBRE_DOCENT]],MDOCENTES[DATOS_DOCENTE],MDOCENTES[ESTUDIO],"Seleccione Docente")</f>
        <v>Seleccione Docente</v>
      </c>
      <c r="P508">
        <f t="shared" si="35"/>
        <v>0</v>
      </c>
      <c r="Q508">
        <f t="shared" si="36"/>
        <v>0</v>
      </c>
      <c r="R508">
        <f t="shared" si="37"/>
        <v>0</v>
      </c>
      <c r="S508">
        <f t="shared" si="38"/>
        <v>0</v>
      </c>
      <c r="T508">
        <f t="shared" si="39"/>
        <v>0</v>
      </c>
      <c r="U508">
        <f>Tabla1[[#This Row],[HORAS NO AFINIDAD]]+Tabla1[[#This Row],[HORAS UNIDAD BASICA]]+Tabla1[[#This Row],[HORAS AFINIDAD]]</f>
        <v>0</v>
      </c>
      <c r="V508">
        <f>+Tabla1[[#This Row],[HORAS AFINIDAD]]+Tabla1[[#This Row],[HORAS ACTIVIDAD]]+Tabla1[[#This Row],[HORAS UNIDAD BASICA]]+Tabla1[[#This Row],[HORAS NO AFINIDAD]]</f>
        <v>0</v>
      </c>
    </row>
    <row r="509" spans="1:22" ht="18.75" customHeight="1">
      <c r="A509">
        <v>508</v>
      </c>
      <c r="C509" t="str">
        <f>_xlfn.XLOOKUP(Tabla1[[#This Row],[CARRERA]],MAE_CARRERA[NOMBRE_CARRERA],MAE_CARRERA[ID_CARRERA],"Seleccione Carrera")</f>
        <v>Seleccione Carrera</v>
      </c>
      <c r="F509" s="1"/>
      <c r="G509" t="str">
        <f>_xlfn.XLOOKUP(Tabla1[[#This Row],[ASIGNATURA]],MAE_ASIGNATURA[NOM_ASIG],MAE_ASIGNATURA[ID_ASIG],"Seleccione Asignatura")</f>
        <v>Seleccione Asignatura</v>
      </c>
      <c r="H509" s="1" t="str" cm="1">
        <f t="array" ref="H509">_xlfn.TEXTJOIN("; ",TRUE,TRANSPOSE(_xlfn.UNIQUE(_xlfn._xlws.FILTER(DET_ASIG[DETALLADO],(DET_ASIG[NIVEL]=ASIGNACION!$D509)*(DET_ASIG[ID_CARRERA]=ASIGNACION!$C509)*(DET_ASIG[ID_ASIG]=ASIGNACION!$G509),"No existe información"))))</f>
        <v>No existe información</v>
      </c>
      <c r="I509" s="1"/>
      <c r="J509">
        <f>_xlfn.XLOOKUP(Tabla1[[#This Row],[ID_ASIG_CAM_DET]],MAE_ASIGNATURA[ID_ASIG],MAE_ASIGNATURA[HORAS],0)</f>
        <v>0</v>
      </c>
      <c r="K509">
        <v>4</v>
      </c>
      <c r="L509" s="2">
        <f>+Tabla1[[#This Row],[CALCULAR HORA]]*Tabla1[[#This Row],[HORAS]]</f>
        <v>0</v>
      </c>
      <c r="N509" t="str">
        <f>_xlfn.XLOOKUP(Tabla1[[#This Row],[NOMBRE_DOCENT]],MDOCENTES[DATOS_DOCENTE],MDOCENTES[DEDICACION],"Seleccione Docente")</f>
        <v>Seleccione Docente</v>
      </c>
      <c r="O509" t="str">
        <f>_xlfn.XLOOKUP(Tabla1[[#This Row],[NOMBRE_DOCENT]],MDOCENTES[DATOS_DOCENTE],MDOCENTES[ESTUDIO],"Seleccione Docente")</f>
        <v>Seleccione Docente</v>
      </c>
      <c r="P509">
        <f t="shared" si="35"/>
        <v>0</v>
      </c>
      <c r="Q509">
        <f t="shared" si="36"/>
        <v>0</v>
      </c>
      <c r="R509">
        <f t="shared" si="37"/>
        <v>0</v>
      </c>
      <c r="S509">
        <f t="shared" si="38"/>
        <v>0</v>
      </c>
      <c r="T509">
        <f t="shared" si="39"/>
        <v>0</v>
      </c>
      <c r="U509">
        <f>Tabla1[[#This Row],[HORAS NO AFINIDAD]]+Tabla1[[#This Row],[HORAS UNIDAD BASICA]]+Tabla1[[#This Row],[HORAS AFINIDAD]]</f>
        <v>0</v>
      </c>
      <c r="V509">
        <f>+Tabla1[[#This Row],[HORAS AFINIDAD]]+Tabla1[[#This Row],[HORAS ACTIVIDAD]]+Tabla1[[#This Row],[HORAS UNIDAD BASICA]]+Tabla1[[#This Row],[HORAS NO AFINIDAD]]</f>
        <v>0</v>
      </c>
    </row>
    <row r="510" spans="1:22" ht="18.75" customHeight="1">
      <c r="A510">
        <v>509</v>
      </c>
      <c r="C510" t="str">
        <f>_xlfn.XLOOKUP(Tabla1[[#This Row],[CARRERA]],MAE_CARRERA[NOMBRE_CARRERA],MAE_CARRERA[ID_CARRERA],"Seleccione Carrera")</f>
        <v>Seleccione Carrera</v>
      </c>
      <c r="F510" s="1"/>
      <c r="G510" t="str">
        <f>_xlfn.XLOOKUP(Tabla1[[#This Row],[ASIGNATURA]],MAE_ASIGNATURA[NOM_ASIG],MAE_ASIGNATURA[ID_ASIG],"Seleccione Asignatura")</f>
        <v>Seleccione Asignatura</v>
      </c>
      <c r="H510" s="1" t="str" cm="1">
        <f t="array" ref="H510">_xlfn.TEXTJOIN("; ",TRUE,TRANSPOSE(_xlfn.UNIQUE(_xlfn._xlws.FILTER(DET_ASIG[DETALLADO],(DET_ASIG[NIVEL]=ASIGNACION!$D510)*(DET_ASIG[ID_CARRERA]=ASIGNACION!$C510)*(DET_ASIG[ID_ASIG]=ASIGNACION!$G510),"No existe información"))))</f>
        <v>No existe información</v>
      </c>
      <c r="I510" s="1"/>
      <c r="J510">
        <f>_xlfn.XLOOKUP(Tabla1[[#This Row],[ID_ASIG_CAM_DET]],MAE_ASIGNATURA[ID_ASIG],MAE_ASIGNATURA[HORAS],0)</f>
        <v>0</v>
      </c>
      <c r="K510">
        <v>4</v>
      </c>
      <c r="L510" s="2">
        <f>+Tabla1[[#This Row],[CALCULAR HORA]]*Tabla1[[#This Row],[HORAS]]</f>
        <v>0</v>
      </c>
      <c r="N510" t="str">
        <f>_xlfn.XLOOKUP(Tabla1[[#This Row],[NOMBRE_DOCENT]],MDOCENTES[DATOS_DOCENTE],MDOCENTES[DEDICACION],"Seleccione Docente")</f>
        <v>Seleccione Docente</v>
      </c>
      <c r="O510" t="str">
        <f>_xlfn.XLOOKUP(Tabla1[[#This Row],[NOMBRE_DOCENT]],MDOCENTES[DATOS_DOCENTE],MDOCENTES[ESTUDIO],"Seleccione Docente")</f>
        <v>Seleccione Docente</v>
      </c>
      <c r="P510">
        <f t="shared" si="35"/>
        <v>0</v>
      </c>
      <c r="Q510">
        <f t="shared" si="36"/>
        <v>0</v>
      </c>
      <c r="R510">
        <f t="shared" si="37"/>
        <v>0</v>
      </c>
      <c r="S510">
        <f t="shared" si="38"/>
        <v>0</v>
      </c>
      <c r="T510">
        <f t="shared" si="39"/>
        <v>0</v>
      </c>
      <c r="U510">
        <f>Tabla1[[#This Row],[HORAS NO AFINIDAD]]+Tabla1[[#This Row],[HORAS UNIDAD BASICA]]+Tabla1[[#This Row],[HORAS AFINIDAD]]</f>
        <v>0</v>
      </c>
      <c r="V510">
        <f>+Tabla1[[#This Row],[HORAS AFINIDAD]]+Tabla1[[#This Row],[HORAS ACTIVIDAD]]+Tabla1[[#This Row],[HORAS UNIDAD BASICA]]+Tabla1[[#This Row],[HORAS NO AFINIDAD]]</f>
        <v>0</v>
      </c>
    </row>
    <row r="511" spans="1:22" ht="18.75" customHeight="1">
      <c r="A511">
        <v>510</v>
      </c>
      <c r="C511" t="str">
        <f>_xlfn.XLOOKUP(Tabla1[[#This Row],[CARRERA]],MAE_CARRERA[NOMBRE_CARRERA],MAE_CARRERA[ID_CARRERA],"Seleccione Carrera")</f>
        <v>Seleccione Carrera</v>
      </c>
      <c r="F511" s="1"/>
      <c r="G511" t="str">
        <f>_xlfn.XLOOKUP(Tabla1[[#This Row],[ASIGNATURA]],MAE_ASIGNATURA[NOM_ASIG],MAE_ASIGNATURA[ID_ASIG],"Seleccione Asignatura")</f>
        <v>Seleccione Asignatura</v>
      </c>
      <c r="H511" s="1" t="str" cm="1">
        <f t="array" ref="H511">_xlfn.TEXTJOIN("; ",TRUE,TRANSPOSE(_xlfn.UNIQUE(_xlfn._xlws.FILTER(DET_ASIG[DETALLADO],(DET_ASIG[NIVEL]=ASIGNACION!$D511)*(DET_ASIG[ID_CARRERA]=ASIGNACION!$C511)*(DET_ASIG[ID_ASIG]=ASIGNACION!$G511),"No existe información"))))</f>
        <v>No existe información</v>
      </c>
      <c r="I511" s="1"/>
      <c r="J511">
        <f>_xlfn.XLOOKUP(Tabla1[[#This Row],[ID_ASIG_CAM_DET]],MAE_ASIGNATURA[ID_ASIG],MAE_ASIGNATURA[HORAS],0)</f>
        <v>0</v>
      </c>
      <c r="K511">
        <v>4</v>
      </c>
      <c r="L511" s="2">
        <f>+Tabla1[[#This Row],[CALCULAR HORA]]*Tabla1[[#This Row],[HORAS]]</f>
        <v>0</v>
      </c>
      <c r="N511" t="str">
        <f>_xlfn.XLOOKUP(Tabla1[[#This Row],[NOMBRE_DOCENT]],MDOCENTES[DATOS_DOCENTE],MDOCENTES[DEDICACION],"Seleccione Docente")</f>
        <v>Seleccione Docente</v>
      </c>
      <c r="O511" t="str">
        <f>_xlfn.XLOOKUP(Tabla1[[#This Row],[NOMBRE_DOCENT]],MDOCENTES[DATOS_DOCENTE],MDOCENTES[ESTUDIO],"Seleccione Docente")</f>
        <v>Seleccione Docente</v>
      </c>
      <c r="P511">
        <f t="shared" si="35"/>
        <v>0</v>
      </c>
      <c r="Q511">
        <f t="shared" si="36"/>
        <v>0</v>
      </c>
      <c r="R511">
        <f t="shared" si="37"/>
        <v>0</v>
      </c>
      <c r="S511">
        <f t="shared" si="38"/>
        <v>0</v>
      </c>
      <c r="T511">
        <f t="shared" si="39"/>
        <v>0</v>
      </c>
      <c r="U511">
        <f>Tabla1[[#This Row],[HORAS NO AFINIDAD]]+Tabla1[[#This Row],[HORAS UNIDAD BASICA]]+Tabla1[[#This Row],[HORAS AFINIDAD]]</f>
        <v>0</v>
      </c>
      <c r="V511">
        <f>+Tabla1[[#This Row],[HORAS AFINIDAD]]+Tabla1[[#This Row],[HORAS ACTIVIDAD]]+Tabla1[[#This Row],[HORAS UNIDAD BASICA]]+Tabla1[[#This Row],[HORAS NO AFINIDAD]]</f>
        <v>0</v>
      </c>
    </row>
    <row r="512" spans="1:22" ht="18.75" customHeight="1">
      <c r="A512">
        <v>511</v>
      </c>
      <c r="C512" t="str">
        <f>_xlfn.XLOOKUP(Tabla1[[#This Row],[CARRERA]],MAE_CARRERA[NOMBRE_CARRERA],MAE_CARRERA[ID_CARRERA],"Seleccione Carrera")</f>
        <v>Seleccione Carrera</v>
      </c>
      <c r="F512" s="1"/>
      <c r="G512" t="str">
        <f>_xlfn.XLOOKUP(Tabla1[[#This Row],[ASIGNATURA]],MAE_ASIGNATURA[NOM_ASIG],MAE_ASIGNATURA[ID_ASIG],"Seleccione Asignatura")</f>
        <v>Seleccione Asignatura</v>
      </c>
      <c r="H512" s="1" t="str" cm="1">
        <f t="array" ref="H512">_xlfn.TEXTJOIN("; ",TRUE,TRANSPOSE(_xlfn.UNIQUE(_xlfn._xlws.FILTER(DET_ASIG[DETALLADO],(DET_ASIG[NIVEL]=ASIGNACION!$D512)*(DET_ASIG[ID_CARRERA]=ASIGNACION!$C512)*(DET_ASIG[ID_ASIG]=ASIGNACION!$G512),"No existe información"))))</f>
        <v>No existe información</v>
      </c>
      <c r="I512" s="1"/>
      <c r="J512">
        <f>_xlfn.XLOOKUP(Tabla1[[#This Row],[ID_ASIG_CAM_DET]],MAE_ASIGNATURA[ID_ASIG],MAE_ASIGNATURA[HORAS],0)</f>
        <v>0</v>
      </c>
      <c r="K512">
        <v>4</v>
      </c>
      <c r="L512" s="2">
        <f>+Tabla1[[#This Row],[CALCULAR HORA]]*Tabla1[[#This Row],[HORAS]]</f>
        <v>0</v>
      </c>
      <c r="N512" t="str">
        <f>_xlfn.XLOOKUP(Tabla1[[#This Row],[NOMBRE_DOCENT]],MDOCENTES[DATOS_DOCENTE],MDOCENTES[DEDICACION],"Seleccione Docente")</f>
        <v>Seleccione Docente</v>
      </c>
      <c r="O512" t="str">
        <f>_xlfn.XLOOKUP(Tabla1[[#This Row],[NOMBRE_DOCENT]],MDOCENTES[DATOS_DOCENTE],MDOCENTES[ESTUDIO],"Seleccione Docente")</f>
        <v>Seleccione Docente</v>
      </c>
      <c r="P512">
        <f t="shared" si="35"/>
        <v>0</v>
      </c>
      <c r="Q512">
        <f t="shared" si="36"/>
        <v>0</v>
      </c>
      <c r="R512">
        <f t="shared" si="37"/>
        <v>0</v>
      </c>
      <c r="S512">
        <f t="shared" si="38"/>
        <v>0</v>
      </c>
      <c r="T512">
        <f t="shared" si="39"/>
        <v>0</v>
      </c>
      <c r="U512">
        <f>Tabla1[[#This Row],[HORAS NO AFINIDAD]]+Tabla1[[#This Row],[HORAS UNIDAD BASICA]]+Tabla1[[#This Row],[HORAS AFINIDAD]]</f>
        <v>0</v>
      </c>
      <c r="V512">
        <f>+Tabla1[[#This Row],[HORAS AFINIDAD]]+Tabla1[[#This Row],[HORAS ACTIVIDAD]]+Tabla1[[#This Row],[HORAS UNIDAD BASICA]]+Tabla1[[#This Row],[HORAS NO AFINIDAD]]</f>
        <v>0</v>
      </c>
    </row>
    <row r="513" spans="1:22" ht="18.75" customHeight="1">
      <c r="A513">
        <v>512</v>
      </c>
      <c r="C513" t="str">
        <f>_xlfn.XLOOKUP(Tabla1[[#This Row],[CARRERA]],MAE_CARRERA[NOMBRE_CARRERA],MAE_CARRERA[ID_CARRERA],"Seleccione Carrera")</f>
        <v>Seleccione Carrera</v>
      </c>
      <c r="F513" s="1"/>
      <c r="G513" t="str">
        <f>_xlfn.XLOOKUP(Tabla1[[#This Row],[ASIGNATURA]],MAE_ASIGNATURA[NOM_ASIG],MAE_ASIGNATURA[ID_ASIG],"Seleccione Asignatura")</f>
        <v>Seleccione Asignatura</v>
      </c>
      <c r="H513" s="1" t="str" cm="1">
        <f t="array" ref="H513">_xlfn.TEXTJOIN("; ",TRUE,TRANSPOSE(_xlfn.UNIQUE(_xlfn._xlws.FILTER(DET_ASIG[DETALLADO],(DET_ASIG[NIVEL]=ASIGNACION!$D513)*(DET_ASIG[ID_CARRERA]=ASIGNACION!$C513)*(DET_ASIG[ID_ASIG]=ASIGNACION!$G513),"No existe información"))))</f>
        <v>No existe información</v>
      </c>
      <c r="I513" s="1"/>
      <c r="J513">
        <f>_xlfn.XLOOKUP(Tabla1[[#This Row],[ID_ASIG_CAM_DET]],MAE_ASIGNATURA[ID_ASIG],MAE_ASIGNATURA[HORAS],0)</f>
        <v>0</v>
      </c>
      <c r="K513">
        <v>4</v>
      </c>
      <c r="L513" s="2">
        <f>+Tabla1[[#This Row],[CALCULAR HORA]]*Tabla1[[#This Row],[HORAS]]</f>
        <v>0</v>
      </c>
      <c r="N513" t="str">
        <f>_xlfn.XLOOKUP(Tabla1[[#This Row],[NOMBRE_DOCENT]],MDOCENTES[DATOS_DOCENTE],MDOCENTES[DEDICACION],"Seleccione Docente")</f>
        <v>Seleccione Docente</v>
      </c>
      <c r="O513" t="str">
        <f>_xlfn.XLOOKUP(Tabla1[[#This Row],[NOMBRE_DOCENT]],MDOCENTES[DATOS_DOCENTE],MDOCENTES[ESTUDIO],"Seleccione Docente")</f>
        <v>Seleccione Docente</v>
      </c>
      <c r="P513">
        <f t="shared" si="35"/>
        <v>0</v>
      </c>
      <c r="Q513">
        <f t="shared" si="36"/>
        <v>0</v>
      </c>
      <c r="R513">
        <f t="shared" si="37"/>
        <v>0</v>
      </c>
      <c r="S513">
        <f t="shared" si="38"/>
        <v>0</v>
      </c>
      <c r="T513">
        <f t="shared" si="39"/>
        <v>0</v>
      </c>
      <c r="U513">
        <f>Tabla1[[#This Row],[HORAS NO AFINIDAD]]+Tabla1[[#This Row],[HORAS UNIDAD BASICA]]+Tabla1[[#This Row],[HORAS AFINIDAD]]</f>
        <v>0</v>
      </c>
      <c r="V513">
        <f>+Tabla1[[#This Row],[HORAS AFINIDAD]]+Tabla1[[#This Row],[HORAS ACTIVIDAD]]+Tabla1[[#This Row],[HORAS UNIDAD BASICA]]+Tabla1[[#This Row],[HORAS NO AFINIDAD]]</f>
        <v>0</v>
      </c>
    </row>
    <row r="514" spans="1:22" ht="18.75" customHeight="1">
      <c r="A514">
        <v>513</v>
      </c>
      <c r="C514" t="str">
        <f>_xlfn.XLOOKUP(Tabla1[[#This Row],[CARRERA]],MAE_CARRERA[NOMBRE_CARRERA],MAE_CARRERA[ID_CARRERA],"Seleccione Carrera")</f>
        <v>Seleccione Carrera</v>
      </c>
      <c r="F514" s="1"/>
      <c r="G514" t="str">
        <f>_xlfn.XLOOKUP(Tabla1[[#This Row],[ASIGNATURA]],MAE_ASIGNATURA[NOM_ASIG],MAE_ASIGNATURA[ID_ASIG],"Seleccione Asignatura")</f>
        <v>Seleccione Asignatura</v>
      </c>
      <c r="H514" s="1" t="str" cm="1">
        <f t="array" ref="H514">_xlfn.TEXTJOIN("; ",TRUE,TRANSPOSE(_xlfn.UNIQUE(_xlfn._xlws.FILTER(DET_ASIG[DETALLADO],(DET_ASIG[NIVEL]=ASIGNACION!$D514)*(DET_ASIG[ID_CARRERA]=ASIGNACION!$C514)*(DET_ASIG[ID_ASIG]=ASIGNACION!$G514),"No existe información"))))</f>
        <v>No existe información</v>
      </c>
      <c r="I514" s="1"/>
      <c r="J514">
        <f>_xlfn.XLOOKUP(Tabla1[[#This Row],[ID_ASIG_CAM_DET]],MAE_ASIGNATURA[ID_ASIG],MAE_ASIGNATURA[HORAS],0)</f>
        <v>0</v>
      </c>
      <c r="K514">
        <v>4</v>
      </c>
      <c r="L514" s="2">
        <f>+Tabla1[[#This Row],[CALCULAR HORA]]*Tabla1[[#This Row],[HORAS]]</f>
        <v>0</v>
      </c>
      <c r="N514" t="str">
        <f>_xlfn.XLOOKUP(Tabla1[[#This Row],[NOMBRE_DOCENT]],MDOCENTES[DATOS_DOCENTE],MDOCENTES[DEDICACION],"Seleccione Docente")</f>
        <v>Seleccione Docente</v>
      </c>
      <c r="O514" t="str">
        <f>_xlfn.XLOOKUP(Tabla1[[#This Row],[NOMBRE_DOCENT]],MDOCENTES[DATOS_DOCENTE],MDOCENTES[ESTUDIO],"Seleccione Docente")</f>
        <v>Seleccione Docente</v>
      </c>
      <c r="P514">
        <f t="shared" ref="P514:P577" si="40">COUNTIFS($M:$M, M514, $H:$H, "&lt;&gt;ACTIVIDAD")</f>
        <v>0</v>
      </c>
      <c r="Q514">
        <f t="shared" ref="Q514:Q577" si="41">SUMIFS($L:$L, $M:$M, M514, $I:$I, "NO",$H:$H,"&lt;&gt;UNIDAD BASICA")</f>
        <v>0</v>
      </c>
      <c r="R514">
        <f t="shared" ref="R514:R577" si="42">SUMIFS($L:$L, $M:$M, M514, $H:$H, "UNIDAD BASICA",$I:$I,"NO")</f>
        <v>0</v>
      </c>
      <c r="S514">
        <f t="shared" ref="S514:S577" si="43">SUMIFS($L:$L, $M:$M, M514, $I:$I, "ACTIVIDAD")</f>
        <v>0</v>
      </c>
      <c r="T514">
        <f t="shared" ref="T514:T577" si="44">SUMIFS($L:$L, $M:$M, M514, $I:$I, "SI")</f>
        <v>0</v>
      </c>
      <c r="U514">
        <f>Tabla1[[#This Row],[HORAS NO AFINIDAD]]+Tabla1[[#This Row],[HORAS UNIDAD BASICA]]+Tabla1[[#This Row],[HORAS AFINIDAD]]</f>
        <v>0</v>
      </c>
      <c r="V514">
        <f>+Tabla1[[#This Row],[HORAS AFINIDAD]]+Tabla1[[#This Row],[HORAS ACTIVIDAD]]+Tabla1[[#This Row],[HORAS UNIDAD BASICA]]+Tabla1[[#This Row],[HORAS NO AFINIDAD]]</f>
        <v>0</v>
      </c>
    </row>
    <row r="515" spans="1:22" ht="18.75" customHeight="1">
      <c r="A515">
        <v>514</v>
      </c>
      <c r="C515" t="str">
        <f>_xlfn.XLOOKUP(Tabla1[[#This Row],[CARRERA]],MAE_CARRERA[NOMBRE_CARRERA],MAE_CARRERA[ID_CARRERA],"Seleccione Carrera")</f>
        <v>Seleccione Carrera</v>
      </c>
      <c r="F515" s="1"/>
      <c r="G515" t="str">
        <f>_xlfn.XLOOKUP(Tabla1[[#This Row],[ASIGNATURA]],MAE_ASIGNATURA[NOM_ASIG],MAE_ASIGNATURA[ID_ASIG],"Seleccione Asignatura")</f>
        <v>Seleccione Asignatura</v>
      </c>
      <c r="H515" s="1" t="str" cm="1">
        <f t="array" ref="H515">_xlfn.TEXTJOIN("; ",TRUE,TRANSPOSE(_xlfn.UNIQUE(_xlfn._xlws.FILTER(DET_ASIG[DETALLADO],(DET_ASIG[NIVEL]=ASIGNACION!$D515)*(DET_ASIG[ID_CARRERA]=ASIGNACION!$C515)*(DET_ASIG[ID_ASIG]=ASIGNACION!$G515),"No existe información"))))</f>
        <v>No existe información</v>
      </c>
      <c r="I515" s="1"/>
      <c r="J515">
        <f>_xlfn.XLOOKUP(Tabla1[[#This Row],[ID_ASIG_CAM_DET]],MAE_ASIGNATURA[ID_ASIG],MAE_ASIGNATURA[HORAS],0)</f>
        <v>0</v>
      </c>
      <c r="K515">
        <v>4</v>
      </c>
      <c r="L515" s="2">
        <f>+Tabla1[[#This Row],[CALCULAR HORA]]*Tabla1[[#This Row],[HORAS]]</f>
        <v>0</v>
      </c>
      <c r="N515" t="str">
        <f>_xlfn.XLOOKUP(Tabla1[[#This Row],[NOMBRE_DOCENT]],MDOCENTES[DATOS_DOCENTE],MDOCENTES[DEDICACION],"Seleccione Docente")</f>
        <v>Seleccione Docente</v>
      </c>
      <c r="O515" t="str">
        <f>_xlfn.XLOOKUP(Tabla1[[#This Row],[NOMBRE_DOCENT]],MDOCENTES[DATOS_DOCENTE],MDOCENTES[ESTUDIO],"Seleccione Docente")</f>
        <v>Seleccione Docente</v>
      </c>
      <c r="P515">
        <f t="shared" si="40"/>
        <v>0</v>
      </c>
      <c r="Q515">
        <f t="shared" si="41"/>
        <v>0</v>
      </c>
      <c r="R515">
        <f t="shared" si="42"/>
        <v>0</v>
      </c>
      <c r="S515">
        <f t="shared" si="43"/>
        <v>0</v>
      </c>
      <c r="T515">
        <f t="shared" si="44"/>
        <v>0</v>
      </c>
      <c r="U515">
        <f>Tabla1[[#This Row],[HORAS NO AFINIDAD]]+Tabla1[[#This Row],[HORAS UNIDAD BASICA]]+Tabla1[[#This Row],[HORAS AFINIDAD]]</f>
        <v>0</v>
      </c>
      <c r="V515">
        <f>+Tabla1[[#This Row],[HORAS AFINIDAD]]+Tabla1[[#This Row],[HORAS ACTIVIDAD]]+Tabla1[[#This Row],[HORAS UNIDAD BASICA]]+Tabla1[[#This Row],[HORAS NO AFINIDAD]]</f>
        <v>0</v>
      </c>
    </row>
    <row r="516" spans="1:22" ht="18.75" customHeight="1">
      <c r="A516">
        <v>515</v>
      </c>
      <c r="C516" t="str">
        <f>_xlfn.XLOOKUP(Tabla1[[#This Row],[CARRERA]],MAE_CARRERA[NOMBRE_CARRERA],MAE_CARRERA[ID_CARRERA],"Seleccione Carrera")</f>
        <v>Seleccione Carrera</v>
      </c>
      <c r="F516" s="1"/>
      <c r="G516" t="str">
        <f>_xlfn.XLOOKUP(Tabla1[[#This Row],[ASIGNATURA]],MAE_ASIGNATURA[NOM_ASIG],MAE_ASIGNATURA[ID_ASIG],"Seleccione Asignatura")</f>
        <v>Seleccione Asignatura</v>
      </c>
      <c r="H516" s="1" t="str" cm="1">
        <f t="array" ref="H516">_xlfn.TEXTJOIN("; ",TRUE,TRANSPOSE(_xlfn.UNIQUE(_xlfn._xlws.FILTER(DET_ASIG[DETALLADO],(DET_ASIG[NIVEL]=ASIGNACION!$D516)*(DET_ASIG[ID_CARRERA]=ASIGNACION!$C516)*(DET_ASIG[ID_ASIG]=ASIGNACION!$G516),"No existe información"))))</f>
        <v>No existe información</v>
      </c>
      <c r="I516" s="1"/>
      <c r="J516">
        <f>_xlfn.XLOOKUP(Tabla1[[#This Row],[ID_ASIG_CAM_DET]],MAE_ASIGNATURA[ID_ASIG],MAE_ASIGNATURA[HORAS],0)</f>
        <v>0</v>
      </c>
      <c r="K516">
        <v>4</v>
      </c>
      <c r="L516" s="2">
        <f>+Tabla1[[#This Row],[CALCULAR HORA]]*Tabla1[[#This Row],[HORAS]]</f>
        <v>0</v>
      </c>
      <c r="N516" t="str">
        <f>_xlfn.XLOOKUP(Tabla1[[#This Row],[NOMBRE_DOCENT]],MDOCENTES[DATOS_DOCENTE],MDOCENTES[DEDICACION],"Seleccione Docente")</f>
        <v>Seleccione Docente</v>
      </c>
      <c r="O516" t="str">
        <f>_xlfn.XLOOKUP(Tabla1[[#This Row],[NOMBRE_DOCENT]],MDOCENTES[DATOS_DOCENTE],MDOCENTES[ESTUDIO],"Seleccione Docente")</f>
        <v>Seleccione Docente</v>
      </c>
      <c r="P516">
        <f t="shared" si="40"/>
        <v>0</v>
      </c>
      <c r="Q516">
        <f t="shared" si="41"/>
        <v>0</v>
      </c>
      <c r="R516">
        <f t="shared" si="42"/>
        <v>0</v>
      </c>
      <c r="S516">
        <f t="shared" si="43"/>
        <v>0</v>
      </c>
      <c r="T516">
        <f t="shared" si="44"/>
        <v>0</v>
      </c>
      <c r="U516">
        <f>Tabla1[[#This Row],[HORAS NO AFINIDAD]]+Tabla1[[#This Row],[HORAS UNIDAD BASICA]]+Tabla1[[#This Row],[HORAS AFINIDAD]]</f>
        <v>0</v>
      </c>
      <c r="V516">
        <f>+Tabla1[[#This Row],[HORAS AFINIDAD]]+Tabla1[[#This Row],[HORAS ACTIVIDAD]]+Tabla1[[#This Row],[HORAS UNIDAD BASICA]]+Tabla1[[#This Row],[HORAS NO AFINIDAD]]</f>
        <v>0</v>
      </c>
    </row>
    <row r="517" spans="1:22" ht="18.75" customHeight="1">
      <c r="A517">
        <v>516</v>
      </c>
      <c r="C517" t="str">
        <f>_xlfn.XLOOKUP(Tabla1[[#This Row],[CARRERA]],MAE_CARRERA[NOMBRE_CARRERA],MAE_CARRERA[ID_CARRERA],"Seleccione Carrera")</f>
        <v>Seleccione Carrera</v>
      </c>
      <c r="F517" s="1"/>
      <c r="G517" t="str">
        <f>_xlfn.XLOOKUP(Tabla1[[#This Row],[ASIGNATURA]],MAE_ASIGNATURA[NOM_ASIG],MAE_ASIGNATURA[ID_ASIG],"Seleccione Asignatura")</f>
        <v>Seleccione Asignatura</v>
      </c>
      <c r="H517" s="1" t="str" cm="1">
        <f t="array" ref="H517">_xlfn.TEXTJOIN("; ",TRUE,TRANSPOSE(_xlfn.UNIQUE(_xlfn._xlws.FILTER(DET_ASIG[DETALLADO],(DET_ASIG[NIVEL]=ASIGNACION!$D517)*(DET_ASIG[ID_CARRERA]=ASIGNACION!$C517)*(DET_ASIG[ID_ASIG]=ASIGNACION!$G517),"No existe información"))))</f>
        <v>No existe información</v>
      </c>
      <c r="I517" s="1"/>
      <c r="J517">
        <f>_xlfn.XLOOKUP(Tabla1[[#This Row],[ID_ASIG_CAM_DET]],MAE_ASIGNATURA[ID_ASIG],MAE_ASIGNATURA[HORAS],0)</f>
        <v>0</v>
      </c>
      <c r="K517">
        <v>4</v>
      </c>
      <c r="L517" s="2">
        <f>+Tabla1[[#This Row],[CALCULAR HORA]]*Tabla1[[#This Row],[HORAS]]</f>
        <v>0</v>
      </c>
      <c r="N517" t="str">
        <f>_xlfn.XLOOKUP(Tabla1[[#This Row],[NOMBRE_DOCENT]],MDOCENTES[DATOS_DOCENTE],MDOCENTES[DEDICACION],"Seleccione Docente")</f>
        <v>Seleccione Docente</v>
      </c>
      <c r="O517" t="str">
        <f>_xlfn.XLOOKUP(Tabla1[[#This Row],[NOMBRE_DOCENT]],MDOCENTES[DATOS_DOCENTE],MDOCENTES[ESTUDIO],"Seleccione Docente")</f>
        <v>Seleccione Docente</v>
      </c>
      <c r="P517">
        <f t="shared" si="40"/>
        <v>0</v>
      </c>
      <c r="Q517">
        <f t="shared" si="41"/>
        <v>0</v>
      </c>
      <c r="R517">
        <f t="shared" si="42"/>
        <v>0</v>
      </c>
      <c r="S517">
        <f t="shared" si="43"/>
        <v>0</v>
      </c>
      <c r="T517">
        <f t="shared" si="44"/>
        <v>0</v>
      </c>
      <c r="U517">
        <f>Tabla1[[#This Row],[HORAS NO AFINIDAD]]+Tabla1[[#This Row],[HORAS UNIDAD BASICA]]+Tabla1[[#This Row],[HORAS AFINIDAD]]</f>
        <v>0</v>
      </c>
      <c r="V517">
        <f>+Tabla1[[#This Row],[HORAS AFINIDAD]]+Tabla1[[#This Row],[HORAS ACTIVIDAD]]+Tabla1[[#This Row],[HORAS UNIDAD BASICA]]+Tabla1[[#This Row],[HORAS NO AFINIDAD]]</f>
        <v>0</v>
      </c>
    </row>
    <row r="518" spans="1:22" ht="18.75" customHeight="1">
      <c r="A518">
        <v>517</v>
      </c>
      <c r="C518" t="str">
        <f>_xlfn.XLOOKUP(Tabla1[[#This Row],[CARRERA]],MAE_CARRERA[NOMBRE_CARRERA],MAE_CARRERA[ID_CARRERA],"Seleccione Carrera")</f>
        <v>Seleccione Carrera</v>
      </c>
      <c r="F518" s="1"/>
      <c r="G518" t="str">
        <f>_xlfn.XLOOKUP(Tabla1[[#This Row],[ASIGNATURA]],MAE_ASIGNATURA[NOM_ASIG],MAE_ASIGNATURA[ID_ASIG],"Seleccione Asignatura")</f>
        <v>Seleccione Asignatura</v>
      </c>
      <c r="H518" s="1" t="str" cm="1">
        <f t="array" ref="H518">_xlfn.TEXTJOIN("; ",TRUE,TRANSPOSE(_xlfn.UNIQUE(_xlfn._xlws.FILTER(DET_ASIG[DETALLADO],(DET_ASIG[NIVEL]=ASIGNACION!$D518)*(DET_ASIG[ID_CARRERA]=ASIGNACION!$C518)*(DET_ASIG[ID_ASIG]=ASIGNACION!$G518),"No existe información"))))</f>
        <v>No existe información</v>
      </c>
      <c r="I518" s="1"/>
      <c r="J518">
        <f>_xlfn.XLOOKUP(Tabla1[[#This Row],[ID_ASIG_CAM_DET]],MAE_ASIGNATURA[ID_ASIG],MAE_ASIGNATURA[HORAS],0)</f>
        <v>0</v>
      </c>
      <c r="K518">
        <v>4</v>
      </c>
      <c r="L518" s="2">
        <f>+Tabla1[[#This Row],[CALCULAR HORA]]*Tabla1[[#This Row],[HORAS]]</f>
        <v>0</v>
      </c>
      <c r="N518" t="str">
        <f>_xlfn.XLOOKUP(Tabla1[[#This Row],[NOMBRE_DOCENT]],MDOCENTES[DATOS_DOCENTE],MDOCENTES[DEDICACION],"Seleccione Docente")</f>
        <v>Seleccione Docente</v>
      </c>
      <c r="O518" t="str">
        <f>_xlfn.XLOOKUP(Tabla1[[#This Row],[NOMBRE_DOCENT]],MDOCENTES[DATOS_DOCENTE],MDOCENTES[ESTUDIO],"Seleccione Docente")</f>
        <v>Seleccione Docente</v>
      </c>
      <c r="P518">
        <f t="shared" si="40"/>
        <v>0</v>
      </c>
      <c r="Q518">
        <f t="shared" si="41"/>
        <v>0</v>
      </c>
      <c r="R518">
        <f t="shared" si="42"/>
        <v>0</v>
      </c>
      <c r="S518">
        <f t="shared" si="43"/>
        <v>0</v>
      </c>
      <c r="T518">
        <f t="shared" si="44"/>
        <v>0</v>
      </c>
      <c r="U518">
        <f>Tabla1[[#This Row],[HORAS NO AFINIDAD]]+Tabla1[[#This Row],[HORAS UNIDAD BASICA]]+Tabla1[[#This Row],[HORAS AFINIDAD]]</f>
        <v>0</v>
      </c>
      <c r="V518">
        <f>+Tabla1[[#This Row],[HORAS AFINIDAD]]+Tabla1[[#This Row],[HORAS ACTIVIDAD]]+Tabla1[[#This Row],[HORAS UNIDAD BASICA]]+Tabla1[[#This Row],[HORAS NO AFINIDAD]]</f>
        <v>0</v>
      </c>
    </row>
    <row r="519" spans="1:22" ht="18.75" customHeight="1">
      <c r="A519">
        <v>518</v>
      </c>
      <c r="C519" t="str">
        <f>_xlfn.XLOOKUP(Tabla1[[#This Row],[CARRERA]],MAE_CARRERA[NOMBRE_CARRERA],MAE_CARRERA[ID_CARRERA],"Seleccione Carrera")</f>
        <v>Seleccione Carrera</v>
      </c>
      <c r="F519" s="1"/>
      <c r="G519" t="str">
        <f>_xlfn.XLOOKUP(Tabla1[[#This Row],[ASIGNATURA]],MAE_ASIGNATURA[NOM_ASIG],MAE_ASIGNATURA[ID_ASIG],"Seleccione Asignatura")</f>
        <v>Seleccione Asignatura</v>
      </c>
      <c r="H519" s="1" t="str" cm="1">
        <f t="array" ref="H519">_xlfn.TEXTJOIN("; ",TRUE,TRANSPOSE(_xlfn.UNIQUE(_xlfn._xlws.FILTER(DET_ASIG[DETALLADO],(DET_ASIG[NIVEL]=ASIGNACION!$D519)*(DET_ASIG[ID_CARRERA]=ASIGNACION!$C519)*(DET_ASIG[ID_ASIG]=ASIGNACION!$G519),"No existe información"))))</f>
        <v>No existe información</v>
      </c>
      <c r="I519" s="1"/>
      <c r="J519">
        <f>_xlfn.XLOOKUP(Tabla1[[#This Row],[ID_ASIG_CAM_DET]],MAE_ASIGNATURA[ID_ASIG],MAE_ASIGNATURA[HORAS],0)</f>
        <v>0</v>
      </c>
      <c r="K519">
        <v>4</v>
      </c>
      <c r="L519" s="2">
        <f>+Tabla1[[#This Row],[CALCULAR HORA]]*Tabla1[[#This Row],[HORAS]]</f>
        <v>0</v>
      </c>
      <c r="N519" t="str">
        <f>_xlfn.XLOOKUP(Tabla1[[#This Row],[NOMBRE_DOCENT]],MDOCENTES[DATOS_DOCENTE],MDOCENTES[DEDICACION],"Seleccione Docente")</f>
        <v>Seleccione Docente</v>
      </c>
      <c r="O519" t="str">
        <f>_xlfn.XLOOKUP(Tabla1[[#This Row],[NOMBRE_DOCENT]],MDOCENTES[DATOS_DOCENTE],MDOCENTES[ESTUDIO],"Seleccione Docente")</f>
        <v>Seleccione Docente</v>
      </c>
      <c r="P519">
        <f t="shared" si="40"/>
        <v>0</v>
      </c>
      <c r="Q519">
        <f t="shared" si="41"/>
        <v>0</v>
      </c>
      <c r="R519">
        <f t="shared" si="42"/>
        <v>0</v>
      </c>
      <c r="S519">
        <f t="shared" si="43"/>
        <v>0</v>
      </c>
      <c r="T519">
        <f t="shared" si="44"/>
        <v>0</v>
      </c>
      <c r="U519">
        <f>Tabla1[[#This Row],[HORAS NO AFINIDAD]]+Tabla1[[#This Row],[HORAS UNIDAD BASICA]]+Tabla1[[#This Row],[HORAS AFINIDAD]]</f>
        <v>0</v>
      </c>
      <c r="V519">
        <f>+Tabla1[[#This Row],[HORAS AFINIDAD]]+Tabla1[[#This Row],[HORAS ACTIVIDAD]]+Tabla1[[#This Row],[HORAS UNIDAD BASICA]]+Tabla1[[#This Row],[HORAS NO AFINIDAD]]</f>
        <v>0</v>
      </c>
    </row>
    <row r="520" spans="1:22" ht="18.75" customHeight="1">
      <c r="A520">
        <v>519</v>
      </c>
      <c r="C520" t="str">
        <f>_xlfn.XLOOKUP(Tabla1[[#This Row],[CARRERA]],MAE_CARRERA[NOMBRE_CARRERA],MAE_CARRERA[ID_CARRERA],"Seleccione Carrera")</f>
        <v>Seleccione Carrera</v>
      </c>
      <c r="F520" s="1"/>
      <c r="G520" t="str">
        <f>_xlfn.XLOOKUP(Tabla1[[#This Row],[ASIGNATURA]],MAE_ASIGNATURA[NOM_ASIG],MAE_ASIGNATURA[ID_ASIG],"Seleccione Asignatura")</f>
        <v>Seleccione Asignatura</v>
      </c>
      <c r="H520" s="1" t="str" cm="1">
        <f t="array" ref="H520">_xlfn.TEXTJOIN("; ",TRUE,TRANSPOSE(_xlfn.UNIQUE(_xlfn._xlws.FILTER(DET_ASIG[DETALLADO],(DET_ASIG[NIVEL]=ASIGNACION!$D520)*(DET_ASIG[ID_CARRERA]=ASIGNACION!$C520)*(DET_ASIG[ID_ASIG]=ASIGNACION!$G520),"No existe información"))))</f>
        <v>No existe información</v>
      </c>
      <c r="I520" s="1"/>
      <c r="J520">
        <f>_xlfn.XLOOKUP(Tabla1[[#This Row],[ID_ASIG_CAM_DET]],MAE_ASIGNATURA[ID_ASIG],MAE_ASIGNATURA[HORAS],0)</f>
        <v>0</v>
      </c>
      <c r="K520">
        <v>4</v>
      </c>
      <c r="L520" s="2">
        <f>+Tabla1[[#This Row],[CALCULAR HORA]]*Tabla1[[#This Row],[HORAS]]</f>
        <v>0</v>
      </c>
      <c r="N520" t="str">
        <f>_xlfn.XLOOKUP(Tabla1[[#This Row],[NOMBRE_DOCENT]],MDOCENTES[DATOS_DOCENTE],MDOCENTES[DEDICACION],"Seleccione Docente")</f>
        <v>Seleccione Docente</v>
      </c>
      <c r="O520" t="str">
        <f>_xlfn.XLOOKUP(Tabla1[[#This Row],[NOMBRE_DOCENT]],MDOCENTES[DATOS_DOCENTE],MDOCENTES[ESTUDIO],"Seleccione Docente")</f>
        <v>Seleccione Docente</v>
      </c>
      <c r="P520">
        <f t="shared" si="40"/>
        <v>0</v>
      </c>
      <c r="Q520">
        <f t="shared" si="41"/>
        <v>0</v>
      </c>
      <c r="R520">
        <f t="shared" si="42"/>
        <v>0</v>
      </c>
      <c r="S520">
        <f t="shared" si="43"/>
        <v>0</v>
      </c>
      <c r="T520">
        <f t="shared" si="44"/>
        <v>0</v>
      </c>
      <c r="U520">
        <f>Tabla1[[#This Row],[HORAS NO AFINIDAD]]+Tabla1[[#This Row],[HORAS UNIDAD BASICA]]+Tabla1[[#This Row],[HORAS AFINIDAD]]</f>
        <v>0</v>
      </c>
      <c r="V520">
        <f>+Tabla1[[#This Row],[HORAS AFINIDAD]]+Tabla1[[#This Row],[HORAS ACTIVIDAD]]+Tabla1[[#This Row],[HORAS UNIDAD BASICA]]+Tabla1[[#This Row],[HORAS NO AFINIDAD]]</f>
        <v>0</v>
      </c>
    </row>
    <row r="521" spans="1:22" ht="18.75" customHeight="1">
      <c r="A521">
        <v>520</v>
      </c>
      <c r="C521" t="str">
        <f>_xlfn.XLOOKUP(Tabla1[[#This Row],[CARRERA]],MAE_CARRERA[NOMBRE_CARRERA],MAE_CARRERA[ID_CARRERA],"Seleccione Carrera")</f>
        <v>Seleccione Carrera</v>
      </c>
      <c r="F521" s="1"/>
      <c r="G521" t="str">
        <f>_xlfn.XLOOKUP(Tabla1[[#This Row],[ASIGNATURA]],MAE_ASIGNATURA[NOM_ASIG],MAE_ASIGNATURA[ID_ASIG],"Seleccione Asignatura")</f>
        <v>Seleccione Asignatura</v>
      </c>
      <c r="H521" s="1" t="str" cm="1">
        <f t="array" ref="H521">_xlfn.TEXTJOIN("; ",TRUE,TRANSPOSE(_xlfn.UNIQUE(_xlfn._xlws.FILTER(DET_ASIG[DETALLADO],(DET_ASIG[NIVEL]=ASIGNACION!$D521)*(DET_ASIG[ID_CARRERA]=ASIGNACION!$C521)*(DET_ASIG[ID_ASIG]=ASIGNACION!$G521),"No existe información"))))</f>
        <v>No existe información</v>
      </c>
      <c r="I521" s="1"/>
      <c r="J521">
        <f>_xlfn.XLOOKUP(Tabla1[[#This Row],[ID_ASIG_CAM_DET]],MAE_ASIGNATURA[ID_ASIG],MAE_ASIGNATURA[HORAS],0)</f>
        <v>0</v>
      </c>
      <c r="K521">
        <v>4</v>
      </c>
      <c r="L521" s="2">
        <f>+Tabla1[[#This Row],[CALCULAR HORA]]*Tabla1[[#This Row],[HORAS]]</f>
        <v>0</v>
      </c>
      <c r="N521" t="str">
        <f>_xlfn.XLOOKUP(Tabla1[[#This Row],[NOMBRE_DOCENT]],MDOCENTES[DATOS_DOCENTE],MDOCENTES[DEDICACION],"Seleccione Docente")</f>
        <v>Seleccione Docente</v>
      </c>
      <c r="O521" t="str">
        <f>_xlfn.XLOOKUP(Tabla1[[#This Row],[NOMBRE_DOCENT]],MDOCENTES[DATOS_DOCENTE],MDOCENTES[ESTUDIO],"Seleccione Docente")</f>
        <v>Seleccione Docente</v>
      </c>
      <c r="P521">
        <f t="shared" si="40"/>
        <v>0</v>
      </c>
      <c r="Q521">
        <f t="shared" si="41"/>
        <v>0</v>
      </c>
      <c r="R521">
        <f t="shared" si="42"/>
        <v>0</v>
      </c>
      <c r="S521">
        <f t="shared" si="43"/>
        <v>0</v>
      </c>
      <c r="T521">
        <f t="shared" si="44"/>
        <v>0</v>
      </c>
      <c r="U521">
        <f>Tabla1[[#This Row],[HORAS NO AFINIDAD]]+Tabla1[[#This Row],[HORAS UNIDAD BASICA]]+Tabla1[[#This Row],[HORAS AFINIDAD]]</f>
        <v>0</v>
      </c>
      <c r="V521">
        <f>+Tabla1[[#This Row],[HORAS AFINIDAD]]+Tabla1[[#This Row],[HORAS ACTIVIDAD]]+Tabla1[[#This Row],[HORAS UNIDAD BASICA]]+Tabla1[[#This Row],[HORAS NO AFINIDAD]]</f>
        <v>0</v>
      </c>
    </row>
    <row r="522" spans="1:22" ht="18.75" customHeight="1">
      <c r="A522">
        <v>521</v>
      </c>
      <c r="C522" t="str">
        <f>_xlfn.XLOOKUP(Tabla1[[#This Row],[CARRERA]],MAE_CARRERA[NOMBRE_CARRERA],MAE_CARRERA[ID_CARRERA],"Seleccione Carrera")</f>
        <v>Seleccione Carrera</v>
      </c>
      <c r="F522" s="1"/>
      <c r="G522" t="str">
        <f>_xlfn.XLOOKUP(Tabla1[[#This Row],[ASIGNATURA]],MAE_ASIGNATURA[NOM_ASIG],MAE_ASIGNATURA[ID_ASIG],"Seleccione Asignatura")</f>
        <v>Seleccione Asignatura</v>
      </c>
      <c r="H522" s="1" t="str" cm="1">
        <f t="array" ref="H522">_xlfn.TEXTJOIN("; ",TRUE,TRANSPOSE(_xlfn.UNIQUE(_xlfn._xlws.FILTER(DET_ASIG[DETALLADO],(DET_ASIG[NIVEL]=ASIGNACION!$D522)*(DET_ASIG[ID_CARRERA]=ASIGNACION!$C522)*(DET_ASIG[ID_ASIG]=ASIGNACION!$G522),"No existe información"))))</f>
        <v>No existe información</v>
      </c>
      <c r="I522" s="1"/>
      <c r="J522">
        <f>_xlfn.XLOOKUP(Tabla1[[#This Row],[ID_ASIG_CAM_DET]],MAE_ASIGNATURA[ID_ASIG],MAE_ASIGNATURA[HORAS],0)</f>
        <v>0</v>
      </c>
      <c r="K522">
        <v>4</v>
      </c>
      <c r="L522" s="2">
        <f>+Tabla1[[#This Row],[CALCULAR HORA]]*Tabla1[[#This Row],[HORAS]]</f>
        <v>0</v>
      </c>
      <c r="N522" t="str">
        <f>_xlfn.XLOOKUP(Tabla1[[#This Row],[NOMBRE_DOCENT]],MDOCENTES[DATOS_DOCENTE],MDOCENTES[DEDICACION],"Seleccione Docente")</f>
        <v>Seleccione Docente</v>
      </c>
      <c r="O522" t="str">
        <f>_xlfn.XLOOKUP(Tabla1[[#This Row],[NOMBRE_DOCENT]],MDOCENTES[DATOS_DOCENTE],MDOCENTES[ESTUDIO],"Seleccione Docente")</f>
        <v>Seleccione Docente</v>
      </c>
      <c r="P522">
        <f t="shared" si="40"/>
        <v>0</v>
      </c>
      <c r="Q522">
        <f t="shared" si="41"/>
        <v>0</v>
      </c>
      <c r="R522">
        <f t="shared" si="42"/>
        <v>0</v>
      </c>
      <c r="S522">
        <f t="shared" si="43"/>
        <v>0</v>
      </c>
      <c r="T522">
        <f t="shared" si="44"/>
        <v>0</v>
      </c>
      <c r="U522">
        <f>Tabla1[[#This Row],[HORAS NO AFINIDAD]]+Tabla1[[#This Row],[HORAS UNIDAD BASICA]]+Tabla1[[#This Row],[HORAS AFINIDAD]]</f>
        <v>0</v>
      </c>
      <c r="V522">
        <f>+Tabla1[[#This Row],[HORAS AFINIDAD]]+Tabla1[[#This Row],[HORAS ACTIVIDAD]]+Tabla1[[#This Row],[HORAS UNIDAD BASICA]]+Tabla1[[#This Row],[HORAS NO AFINIDAD]]</f>
        <v>0</v>
      </c>
    </row>
    <row r="523" spans="1:22" ht="18.75" customHeight="1">
      <c r="A523">
        <v>522</v>
      </c>
      <c r="C523" t="str">
        <f>_xlfn.XLOOKUP(Tabla1[[#This Row],[CARRERA]],MAE_CARRERA[NOMBRE_CARRERA],MAE_CARRERA[ID_CARRERA],"Seleccione Carrera")</f>
        <v>Seleccione Carrera</v>
      </c>
      <c r="F523" s="1"/>
      <c r="G523" t="str">
        <f>_xlfn.XLOOKUP(Tabla1[[#This Row],[ASIGNATURA]],MAE_ASIGNATURA[NOM_ASIG],MAE_ASIGNATURA[ID_ASIG],"Seleccione Asignatura")</f>
        <v>Seleccione Asignatura</v>
      </c>
      <c r="H523" s="1" t="str" cm="1">
        <f t="array" ref="H523">_xlfn.TEXTJOIN("; ",TRUE,TRANSPOSE(_xlfn.UNIQUE(_xlfn._xlws.FILTER(DET_ASIG[DETALLADO],(DET_ASIG[NIVEL]=ASIGNACION!$D523)*(DET_ASIG[ID_CARRERA]=ASIGNACION!$C523)*(DET_ASIG[ID_ASIG]=ASIGNACION!$G523),"No existe información"))))</f>
        <v>No existe información</v>
      </c>
      <c r="I523" s="1"/>
      <c r="J523">
        <f>_xlfn.XLOOKUP(Tabla1[[#This Row],[ID_ASIG_CAM_DET]],MAE_ASIGNATURA[ID_ASIG],MAE_ASIGNATURA[HORAS],0)</f>
        <v>0</v>
      </c>
      <c r="K523">
        <v>4</v>
      </c>
      <c r="L523" s="2">
        <f>+Tabla1[[#This Row],[CALCULAR HORA]]*Tabla1[[#This Row],[HORAS]]</f>
        <v>0</v>
      </c>
      <c r="N523" t="str">
        <f>_xlfn.XLOOKUP(Tabla1[[#This Row],[NOMBRE_DOCENT]],MDOCENTES[DATOS_DOCENTE],MDOCENTES[DEDICACION],"Seleccione Docente")</f>
        <v>Seleccione Docente</v>
      </c>
      <c r="O523" t="str">
        <f>_xlfn.XLOOKUP(Tabla1[[#This Row],[NOMBRE_DOCENT]],MDOCENTES[DATOS_DOCENTE],MDOCENTES[ESTUDIO],"Seleccione Docente")</f>
        <v>Seleccione Docente</v>
      </c>
      <c r="P523">
        <f t="shared" si="40"/>
        <v>0</v>
      </c>
      <c r="Q523">
        <f t="shared" si="41"/>
        <v>0</v>
      </c>
      <c r="R523">
        <f t="shared" si="42"/>
        <v>0</v>
      </c>
      <c r="S523">
        <f t="shared" si="43"/>
        <v>0</v>
      </c>
      <c r="T523">
        <f t="shared" si="44"/>
        <v>0</v>
      </c>
      <c r="U523">
        <f>Tabla1[[#This Row],[HORAS NO AFINIDAD]]+Tabla1[[#This Row],[HORAS UNIDAD BASICA]]+Tabla1[[#This Row],[HORAS AFINIDAD]]</f>
        <v>0</v>
      </c>
      <c r="V523">
        <f>+Tabla1[[#This Row],[HORAS AFINIDAD]]+Tabla1[[#This Row],[HORAS ACTIVIDAD]]+Tabla1[[#This Row],[HORAS UNIDAD BASICA]]+Tabla1[[#This Row],[HORAS NO AFINIDAD]]</f>
        <v>0</v>
      </c>
    </row>
    <row r="524" spans="1:22" ht="18.75" customHeight="1">
      <c r="A524">
        <v>523</v>
      </c>
      <c r="C524" t="str">
        <f>_xlfn.XLOOKUP(Tabla1[[#This Row],[CARRERA]],MAE_CARRERA[NOMBRE_CARRERA],MAE_CARRERA[ID_CARRERA],"Seleccione Carrera")</f>
        <v>Seleccione Carrera</v>
      </c>
      <c r="F524" s="1"/>
      <c r="G524" t="str">
        <f>_xlfn.XLOOKUP(Tabla1[[#This Row],[ASIGNATURA]],MAE_ASIGNATURA[NOM_ASIG],MAE_ASIGNATURA[ID_ASIG],"Seleccione Asignatura")</f>
        <v>Seleccione Asignatura</v>
      </c>
      <c r="H524" s="1" t="str" cm="1">
        <f t="array" ref="H524">_xlfn.TEXTJOIN("; ",TRUE,TRANSPOSE(_xlfn.UNIQUE(_xlfn._xlws.FILTER(DET_ASIG[DETALLADO],(DET_ASIG[NIVEL]=ASIGNACION!$D524)*(DET_ASIG[ID_CARRERA]=ASIGNACION!$C524)*(DET_ASIG[ID_ASIG]=ASIGNACION!$G524),"No existe información"))))</f>
        <v>No existe información</v>
      </c>
      <c r="I524" s="1"/>
      <c r="J524">
        <f>_xlfn.XLOOKUP(Tabla1[[#This Row],[ID_ASIG_CAM_DET]],MAE_ASIGNATURA[ID_ASIG],MAE_ASIGNATURA[HORAS],0)</f>
        <v>0</v>
      </c>
      <c r="K524">
        <v>4</v>
      </c>
      <c r="L524" s="2">
        <f>+Tabla1[[#This Row],[CALCULAR HORA]]*Tabla1[[#This Row],[HORAS]]</f>
        <v>0</v>
      </c>
      <c r="N524" t="str">
        <f>_xlfn.XLOOKUP(Tabla1[[#This Row],[NOMBRE_DOCENT]],MDOCENTES[DATOS_DOCENTE],MDOCENTES[DEDICACION],"Seleccione Docente")</f>
        <v>Seleccione Docente</v>
      </c>
      <c r="O524" t="str">
        <f>_xlfn.XLOOKUP(Tabla1[[#This Row],[NOMBRE_DOCENT]],MDOCENTES[DATOS_DOCENTE],MDOCENTES[ESTUDIO],"Seleccione Docente")</f>
        <v>Seleccione Docente</v>
      </c>
      <c r="P524">
        <f t="shared" si="40"/>
        <v>0</v>
      </c>
      <c r="Q524">
        <f t="shared" si="41"/>
        <v>0</v>
      </c>
      <c r="R524">
        <f t="shared" si="42"/>
        <v>0</v>
      </c>
      <c r="S524">
        <f t="shared" si="43"/>
        <v>0</v>
      </c>
      <c r="T524">
        <f t="shared" si="44"/>
        <v>0</v>
      </c>
      <c r="U524">
        <f>Tabla1[[#This Row],[HORAS NO AFINIDAD]]+Tabla1[[#This Row],[HORAS UNIDAD BASICA]]+Tabla1[[#This Row],[HORAS AFINIDAD]]</f>
        <v>0</v>
      </c>
      <c r="V524">
        <f>+Tabla1[[#This Row],[HORAS AFINIDAD]]+Tabla1[[#This Row],[HORAS ACTIVIDAD]]+Tabla1[[#This Row],[HORAS UNIDAD BASICA]]+Tabla1[[#This Row],[HORAS NO AFINIDAD]]</f>
        <v>0</v>
      </c>
    </row>
    <row r="525" spans="1:22" ht="18.75" customHeight="1">
      <c r="A525">
        <v>524</v>
      </c>
      <c r="C525" t="str">
        <f>_xlfn.XLOOKUP(Tabla1[[#This Row],[CARRERA]],MAE_CARRERA[NOMBRE_CARRERA],MAE_CARRERA[ID_CARRERA],"Seleccione Carrera")</f>
        <v>Seleccione Carrera</v>
      </c>
      <c r="F525" s="1"/>
      <c r="G525" t="str">
        <f>_xlfn.XLOOKUP(Tabla1[[#This Row],[ASIGNATURA]],MAE_ASIGNATURA[NOM_ASIG],MAE_ASIGNATURA[ID_ASIG],"Seleccione Asignatura")</f>
        <v>Seleccione Asignatura</v>
      </c>
      <c r="H525" s="1" t="str" cm="1">
        <f t="array" ref="H525">_xlfn.TEXTJOIN("; ",TRUE,TRANSPOSE(_xlfn.UNIQUE(_xlfn._xlws.FILTER(DET_ASIG[DETALLADO],(DET_ASIG[NIVEL]=ASIGNACION!$D525)*(DET_ASIG[ID_CARRERA]=ASIGNACION!$C525)*(DET_ASIG[ID_ASIG]=ASIGNACION!$G525),"No existe información"))))</f>
        <v>No existe información</v>
      </c>
      <c r="I525" s="1"/>
      <c r="J525">
        <f>_xlfn.XLOOKUP(Tabla1[[#This Row],[ID_ASIG_CAM_DET]],MAE_ASIGNATURA[ID_ASIG],MAE_ASIGNATURA[HORAS],0)</f>
        <v>0</v>
      </c>
      <c r="K525">
        <v>4</v>
      </c>
      <c r="L525" s="2">
        <f>+Tabla1[[#This Row],[CALCULAR HORA]]*Tabla1[[#This Row],[HORAS]]</f>
        <v>0</v>
      </c>
      <c r="N525" t="str">
        <f>_xlfn.XLOOKUP(Tabla1[[#This Row],[NOMBRE_DOCENT]],MDOCENTES[DATOS_DOCENTE],MDOCENTES[DEDICACION],"Seleccione Docente")</f>
        <v>Seleccione Docente</v>
      </c>
      <c r="O525" t="str">
        <f>_xlfn.XLOOKUP(Tabla1[[#This Row],[NOMBRE_DOCENT]],MDOCENTES[DATOS_DOCENTE],MDOCENTES[ESTUDIO],"Seleccione Docente")</f>
        <v>Seleccione Docente</v>
      </c>
      <c r="P525">
        <f t="shared" si="40"/>
        <v>0</v>
      </c>
      <c r="Q525">
        <f t="shared" si="41"/>
        <v>0</v>
      </c>
      <c r="R525">
        <f t="shared" si="42"/>
        <v>0</v>
      </c>
      <c r="S525">
        <f t="shared" si="43"/>
        <v>0</v>
      </c>
      <c r="T525">
        <f t="shared" si="44"/>
        <v>0</v>
      </c>
      <c r="U525">
        <f>Tabla1[[#This Row],[HORAS NO AFINIDAD]]+Tabla1[[#This Row],[HORAS UNIDAD BASICA]]+Tabla1[[#This Row],[HORAS AFINIDAD]]</f>
        <v>0</v>
      </c>
      <c r="V525">
        <f>+Tabla1[[#This Row],[HORAS AFINIDAD]]+Tabla1[[#This Row],[HORAS ACTIVIDAD]]+Tabla1[[#This Row],[HORAS UNIDAD BASICA]]+Tabla1[[#This Row],[HORAS NO AFINIDAD]]</f>
        <v>0</v>
      </c>
    </row>
    <row r="526" spans="1:22" ht="18.75" customHeight="1">
      <c r="A526">
        <v>525</v>
      </c>
      <c r="C526" t="str">
        <f>_xlfn.XLOOKUP(Tabla1[[#This Row],[CARRERA]],MAE_CARRERA[NOMBRE_CARRERA],MAE_CARRERA[ID_CARRERA],"Seleccione Carrera")</f>
        <v>Seleccione Carrera</v>
      </c>
      <c r="F526" s="1"/>
      <c r="G526" t="str">
        <f>_xlfn.XLOOKUP(Tabla1[[#This Row],[ASIGNATURA]],MAE_ASIGNATURA[NOM_ASIG],MAE_ASIGNATURA[ID_ASIG],"Seleccione Asignatura")</f>
        <v>Seleccione Asignatura</v>
      </c>
      <c r="H526" s="1" t="str" cm="1">
        <f t="array" ref="H526">_xlfn.TEXTJOIN("; ",TRUE,TRANSPOSE(_xlfn.UNIQUE(_xlfn._xlws.FILTER(DET_ASIG[DETALLADO],(DET_ASIG[NIVEL]=ASIGNACION!$D526)*(DET_ASIG[ID_CARRERA]=ASIGNACION!$C526)*(DET_ASIG[ID_ASIG]=ASIGNACION!$G526),"No existe información"))))</f>
        <v>No existe información</v>
      </c>
      <c r="I526" s="1"/>
      <c r="J526">
        <f>_xlfn.XLOOKUP(Tabla1[[#This Row],[ID_ASIG_CAM_DET]],MAE_ASIGNATURA[ID_ASIG],MAE_ASIGNATURA[HORAS],0)</f>
        <v>0</v>
      </c>
      <c r="K526">
        <v>4</v>
      </c>
      <c r="L526" s="2">
        <f>+Tabla1[[#This Row],[CALCULAR HORA]]*Tabla1[[#This Row],[HORAS]]</f>
        <v>0</v>
      </c>
      <c r="N526" t="str">
        <f>_xlfn.XLOOKUP(Tabla1[[#This Row],[NOMBRE_DOCENT]],MDOCENTES[DATOS_DOCENTE],MDOCENTES[DEDICACION],"Seleccione Docente")</f>
        <v>Seleccione Docente</v>
      </c>
      <c r="O526" t="str">
        <f>_xlfn.XLOOKUP(Tabla1[[#This Row],[NOMBRE_DOCENT]],MDOCENTES[DATOS_DOCENTE],MDOCENTES[ESTUDIO],"Seleccione Docente")</f>
        <v>Seleccione Docente</v>
      </c>
      <c r="P526">
        <f t="shared" si="40"/>
        <v>0</v>
      </c>
      <c r="Q526">
        <f t="shared" si="41"/>
        <v>0</v>
      </c>
      <c r="R526">
        <f t="shared" si="42"/>
        <v>0</v>
      </c>
      <c r="S526">
        <f t="shared" si="43"/>
        <v>0</v>
      </c>
      <c r="T526">
        <f t="shared" si="44"/>
        <v>0</v>
      </c>
      <c r="U526">
        <f>Tabla1[[#This Row],[HORAS NO AFINIDAD]]+Tabla1[[#This Row],[HORAS UNIDAD BASICA]]+Tabla1[[#This Row],[HORAS AFINIDAD]]</f>
        <v>0</v>
      </c>
      <c r="V526">
        <f>+Tabla1[[#This Row],[HORAS AFINIDAD]]+Tabla1[[#This Row],[HORAS ACTIVIDAD]]+Tabla1[[#This Row],[HORAS UNIDAD BASICA]]+Tabla1[[#This Row],[HORAS NO AFINIDAD]]</f>
        <v>0</v>
      </c>
    </row>
    <row r="527" spans="1:22" ht="18.75" customHeight="1">
      <c r="A527">
        <v>526</v>
      </c>
      <c r="C527" t="str">
        <f>_xlfn.XLOOKUP(Tabla1[[#This Row],[CARRERA]],MAE_CARRERA[NOMBRE_CARRERA],MAE_CARRERA[ID_CARRERA],"Seleccione Carrera")</f>
        <v>Seleccione Carrera</v>
      </c>
      <c r="F527" s="1"/>
      <c r="G527" t="str">
        <f>_xlfn.XLOOKUP(Tabla1[[#This Row],[ASIGNATURA]],MAE_ASIGNATURA[NOM_ASIG],MAE_ASIGNATURA[ID_ASIG],"Seleccione Asignatura")</f>
        <v>Seleccione Asignatura</v>
      </c>
      <c r="H527" s="1" t="str" cm="1">
        <f t="array" ref="H527">_xlfn.TEXTJOIN("; ",TRUE,TRANSPOSE(_xlfn.UNIQUE(_xlfn._xlws.FILTER(DET_ASIG[DETALLADO],(DET_ASIG[NIVEL]=ASIGNACION!$D527)*(DET_ASIG[ID_CARRERA]=ASIGNACION!$C527)*(DET_ASIG[ID_ASIG]=ASIGNACION!$G527),"No existe información"))))</f>
        <v>No existe información</v>
      </c>
      <c r="I527" s="1"/>
      <c r="J527">
        <f>_xlfn.XLOOKUP(Tabla1[[#This Row],[ID_ASIG_CAM_DET]],MAE_ASIGNATURA[ID_ASIG],MAE_ASIGNATURA[HORAS],0)</f>
        <v>0</v>
      </c>
      <c r="K527">
        <v>4</v>
      </c>
      <c r="L527" s="2">
        <f>+Tabla1[[#This Row],[CALCULAR HORA]]*Tabla1[[#This Row],[HORAS]]</f>
        <v>0</v>
      </c>
      <c r="N527" t="str">
        <f>_xlfn.XLOOKUP(Tabla1[[#This Row],[NOMBRE_DOCENT]],MDOCENTES[DATOS_DOCENTE],MDOCENTES[DEDICACION],"Seleccione Docente")</f>
        <v>Seleccione Docente</v>
      </c>
      <c r="O527" t="str">
        <f>_xlfn.XLOOKUP(Tabla1[[#This Row],[NOMBRE_DOCENT]],MDOCENTES[DATOS_DOCENTE],MDOCENTES[ESTUDIO],"Seleccione Docente")</f>
        <v>Seleccione Docente</v>
      </c>
      <c r="P527">
        <f t="shared" si="40"/>
        <v>0</v>
      </c>
      <c r="Q527">
        <f t="shared" si="41"/>
        <v>0</v>
      </c>
      <c r="R527">
        <f t="shared" si="42"/>
        <v>0</v>
      </c>
      <c r="S527">
        <f t="shared" si="43"/>
        <v>0</v>
      </c>
      <c r="T527">
        <f t="shared" si="44"/>
        <v>0</v>
      </c>
      <c r="U527">
        <f>Tabla1[[#This Row],[HORAS NO AFINIDAD]]+Tabla1[[#This Row],[HORAS UNIDAD BASICA]]+Tabla1[[#This Row],[HORAS AFINIDAD]]</f>
        <v>0</v>
      </c>
      <c r="V527">
        <f>+Tabla1[[#This Row],[HORAS AFINIDAD]]+Tabla1[[#This Row],[HORAS ACTIVIDAD]]+Tabla1[[#This Row],[HORAS UNIDAD BASICA]]+Tabla1[[#This Row],[HORAS NO AFINIDAD]]</f>
        <v>0</v>
      </c>
    </row>
    <row r="528" spans="1:22" ht="18.75" customHeight="1">
      <c r="A528">
        <v>527</v>
      </c>
      <c r="C528" t="str">
        <f>_xlfn.XLOOKUP(Tabla1[[#This Row],[CARRERA]],MAE_CARRERA[NOMBRE_CARRERA],MAE_CARRERA[ID_CARRERA],"Seleccione Carrera")</f>
        <v>Seleccione Carrera</v>
      </c>
      <c r="F528" s="1"/>
      <c r="G528" t="str">
        <f>_xlfn.XLOOKUP(Tabla1[[#This Row],[ASIGNATURA]],MAE_ASIGNATURA[NOM_ASIG],MAE_ASIGNATURA[ID_ASIG],"Seleccione Asignatura")</f>
        <v>Seleccione Asignatura</v>
      </c>
      <c r="H528" s="1" t="str" cm="1">
        <f t="array" ref="H528">_xlfn.TEXTJOIN("; ",TRUE,TRANSPOSE(_xlfn.UNIQUE(_xlfn._xlws.FILTER(DET_ASIG[DETALLADO],(DET_ASIG[NIVEL]=ASIGNACION!$D528)*(DET_ASIG[ID_CARRERA]=ASIGNACION!$C528)*(DET_ASIG[ID_ASIG]=ASIGNACION!$G528),"No existe información"))))</f>
        <v>No existe información</v>
      </c>
      <c r="I528" s="1"/>
      <c r="J528">
        <f>_xlfn.XLOOKUP(Tabla1[[#This Row],[ID_ASIG_CAM_DET]],MAE_ASIGNATURA[ID_ASIG],MAE_ASIGNATURA[HORAS],0)</f>
        <v>0</v>
      </c>
      <c r="K528">
        <v>4</v>
      </c>
      <c r="L528" s="2">
        <f>+Tabla1[[#This Row],[CALCULAR HORA]]*Tabla1[[#This Row],[HORAS]]</f>
        <v>0</v>
      </c>
      <c r="N528" t="str">
        <f>_xlfn.XLOOKUP(Tabla1[[#This Row],[NOMBRE_DOCENT]],MDOCENTES[DATOS_DOCENTE],MDOCENTES[DEDICACION],"Seleccione Docente")</f>
        <v>Seleccione Docente</v>
      </c>
      <c r="O528" t="str">
        <f>_xlfn.XLOOKUP(Tabla1[[#This Row],[NOMBRE_DOCENT]],MDOCENTES[DATOS_DOCENTE],MDOCENTES[ESTUDIO],"Seleccione Docente")</f>
        <v>Seleccione Docente</v>
      </c>
      <c r="P528">
        <f t="shared" si="40"/>
        <v>0</v>
      </c>
      <c r="Q528">
        <f t="shared" si="41"/>
        <v>0</v>
      </c>
      <c r="R528">
        <f t="shared" si="42"/>
        <v>0</v>
      </c>
      <c r="S528">
        <f t="shared" si="43"/>
        <v>0</v>
      </c>
      <c r="T528">
        <f t="shared" si="44"/>
        <v>0</v>
      </c>
      <c r="U528">
        <f>Tabla1[[#This Row],[HORAS NO AFINIDAD]]+Tabla1[[#This Row],[HORAS UNIDAD BASICA]]+Tabla1[[#This Row],[HORAS AFINIDAD]]</f>
        <v>0</v>
      </c>
      <c r="V528">
        <f>+Tabla1[[#This Row],[HORAS AFINIDAD]]+Tabla1[[#This Row],[HORAS ACTIVIDAD]]+Tabla1[[#This Row],[HORAS UNIDAD BASICA]]+Tabla1[[#This Row],[HORAS NO AFINIDAD]]</f>
        <v>0</v>
      </c>
    </row>
    <row r="529" spans="1:22" ht="18.75" customHeight="1">
      <c r="A529">
        <v>528</v>
      </c>
      <c r="C529" t="str">
        <f>_xlfn.XLOOKUP(Tabla1[[#This Row],[CARRERA]],MAE_CARRERA[NOMBRE_CARRERA],MAE_CARRERA[ID_CARRERA],"Seleccione Carrera")</f>
        <v>Seleccione Carrera</v>
      </c>
      <c r="F529" s="1"/>
      <c r="G529" t="str">
        <f>_xlfn.XLOOKUP(Tabla1[[#This Row],[ASIGNATURA]],MAE_ASIGNATURA[NOM_ASIG],MAE_ASIGNATURA[ID_ASIG],"Seleccione Asignatura")</f>
        <v>Seleccione Asignatura</v>
      </c>
      <c r="H529" s="1" t="str" cm="1">
        <f t="array" ref="H529">_xlfn.TEXTJOIN("; ",TRUE,TRANSPOSE(_xlfn.UNIQUE(_xlfn._xlws.FILTER(DET_ASIG[DETALLADO],(DET_ASIG[NIVEL]=ASIGNACION!$D529)*(DET_ASIG[ID_CARRERA]=ASIGNACION!$C529)*(DET_ASIG[ID_ASIG]=ASIGNACION!$G529),"No existe información"))))</f>
        <v>No existe información</v>
      </c>
      <c r="I529" s="1"/>
      <c r="J529">
        <f>_xlfn.XLOOKUP(Tabla1[[#This Row],[ID_ASIG_CAM_DET]],MAE_ASIGNATURA[ID_ASIG],MAE_ASIGNATURA[HORAS],0)</f>
        <v>0</v>
      </c>
      <c r="K529">
        <v>4</v>
      </c>
      <c r="L529" s="2">
        <f>+Tabla1[[#This Row],[CALCULAR HORA]]*Tabla1[[#This Row],[HORAS]]</f>
        <v>0</v>
      </c>
      <c r="N529" t="str">
        <f>_xlfn.XLOOKUP(Tabla1[[#This Row],[NOMBRE_DOCENT]],MDOCENTES[DATOS_DOCENTE],MDOCENTES[DEDICACION],"Seleccione Docente")</f>
        <v>Seleccione Docente</v>
      </c>
      <c r="O529" t="str">
        <f>_xlfn.XLOOKUP(Tabla1[[#This Row],[NOMBRE_DOCENT]],MDOCENTES[DATOS_DOCENTE],MDOCENTES[ESTUDIO],"Seleccione Docente")</f>
        <v>Seleccione Docente</v>
      </c>
      <c r="P529">
        <f t="shared" si="40"/>
        <v>0</v>
      </c>
      <c r="Q529">
        <f t="shared" si="41"/>
        <v>0</v>
      </c>
      <c r="R529">
        <f t="shared" si="42"/>
        <v>0</v>
      </c>
      <c r="S529">
        <f t="shared" si="43"/>
        <v>0</v>
      </c>
      <c r="T529">
        <f t="shared" si="44"/>
        <v>0</v>
      </c>
      <c r="U529">
        <f>Tabla1[[#This Row],[HORAS NO AFINIDAD]]+Tabla1[[#This Row],[HORAS UNIDAD BASICA]]+Tabla1[[#This Row],[HORAS AFINIDAD]]</f>
        <v>0</v>
      </c>
      <c r="V529">
        <f>+Tabla1[[#This Row],[HORAS AFINIDAD]]+Tabla1[[#This Row],[HORAS ACTIVIDAD]]+Tabla1[[#This Row],[HORAS UNIDAD BASICA]]+Tabla1[[#This Row],[HORAS NO AFINIDAD]]</f>
        <v>0</v>
      </c>
    </row>
    <row r="530" spans="1:22" ht="18.75" customHeight="1">
      <c r="A530">
        <v>529</v>
      </c>
      <c r="C530" t="str">
        <f>_xlfn.XLOOKUP(Tabla1[[#This Row],[CARRERA]],MAE_CARRERA[NOMBRE_CARRERA],MAE_CARRERA[ID_CARRERA],"Seleccione Carrera")</f>
        <v>Seleccione Carrera</v>
      </c>
      <c r="F530" s="1"/>
      <c r="G530" t="str">
        <f>_xlfn.XLOOKUP(Tabla1[[#This Row],[ASIGNATURA]],MAE_ASIGNATURA[NOM_ASIG],MAE_ASIGNATURA[ID_ASIG],"Seleccione Asignatura")</f>
        <v>Seleccione Asignatura</v>
      </c>
      <c r="H530" s="1" t="str" cm="1">
        <f t="array" ref="H530">_xlfn.TEXTJOIN("; ",TRUE,TRANSPOSE(_xlfn.UNIQUE(_xlfn._xlws.FILTER(DET_ASIG[DETALLADO],(DET_ASIG[NIVEL]=ASIGNACION!$D530)*(DET_ASIG[ID_CARRERA]=ASIGNACION!$C530)*(DET_ASIG[ID_ASIG]=ASIGNACION!$G530),"No existe información"))))</f>
        <v>No existe información</v>
      </c>
      <c r="I530" s="1"/>
      <c r="J530">
        <f>_xlfn.XLOOKUP(Tabla1[[#This Row],[ID_ASIG_CAM_DET]],MAE_ASIGNATURA[ID_ASIG],MAE_ASIGNATURA[HORAS],0)</f>
        <v>0</v>
      </c>
      <c r="K530">
        <v>4</v>
      </c>
      <c r="L530" s="2">
        <f>+Tabla1[[#This Row],[CALCULAR HORA]]*Tabla1[[#This Row],[HORAS]]</f>
        <v>0</v>
      </c>
      <c r="N530" t="str">
        <f>_xlfn.XLOOKUP(Tabla1[[#This Row],[NOMBRE_DOCENT]],MDOCENTES[DATOS_DOCENTE],MDOCENTES[DEDICACION],"Seleccione Docente")</f>
        <v>Seleccione Docente</v>
      </c>
      <c r="O530" t="str">
        <f>_xlfn.XLOOKUP(Tabla1[[#This Row],[NOMBRE_DOCENT]],MDOCENTES[DATOS_DOCENTE],MDOCENTES[ESTUDIO],"Seleccione Docente")</f>
        <v>Seleccione Docente</v>
      </c>
      <c r="P530">
        <f t="shared" si="40"/>
        <v>0</v>
      </c>
      <c r="Q530">
        <f t="shared" si="41"/>
        <v>0</v>
      </c>
      <c r="R530">
        <f t="shared" si="42"/>
        <v>0</v>
      </c>
      <c r="S530">
        <f t="shared" si="43"/>
        <v>0</v>
      </c>
      <c r="T530">
        <f t="shared" si="44"/>
        <v>0</v>
      </c>
      <c r="U530">
        <f>Tabla1[[#This Row],[HORAS NO AFINIDAD]]+Tabla1[[#This Row],[HORAS UNIDAD BASICA]]+Tabla1[[#This Row],[HORAS AFINIDAD]]</f>
        <v>0</v>
      </c>
      <c r="V530">
        <f>+Tabla1[[#This Row],[HORAS AFINIDAD]]+Tabla1[[#This Row],[HORAS ACTIVIDAD]]+Tabla1[[#This Row],[HORAS UNIDAD BASICA]]+Tabla1[[#This Row],[HORAS NO AFINIDAD]]</f>
        <v>0</v>
      </c>
    </row>
    <row r="531" spans="1:22" ht="18.75" customHeight="1">
      <c r="A531">
        <v>530</v>
      </c>
      <c r="C531" t="str">
        <f>_xlfn.XLOOKUP(Tabla1[[#This Row],[CARRERA]],MAE_CARRERA[NOMBRE_CARRERA],MAE_CARRERA[ID_CARRERA],"Seleccione Carrera")</f>
        <v>Seleccione Carrera</v>
      </c>
      <c r="F531" s="1"/>
      <c r="G531" t="str">
        <f>_xlfn.XLOOKUP(Tabla1[[#This Row],[ASIGNATURA]],MAE_ASIGNATURA[NOM_ASIG],MAE_ASIGNATURA[ID_ASIG],"Seleccione Asignatura")</f>
        <v>Seleccione Asignatura</v>
      </c>
      <c r="H531" s="1" t="str" cm="1">
        <f t="array" ref="H531">_xlfn.TEXTJOIN("; ",TRUE,TRANSPOSE(_xlfn.UNIQUE(_xlfn._xlws.FILTER(DET_ASIG[DETALLADO],(DET_ASIG[NIVEL]=ASIGNACION!$D531)*(DET_ASIG[ID_CARRERA]=ASIGNACION!$C531)*(DET_ASIG[ID_ASIG]=ASIGNACION!$G531),"No existe información"))))</f>
        <v>No existe información</v>
      </c>
      <c r="I531" s="1"/>
      <c r="J531">
        <f>_xlfn.XLOOKUP(Tabla1[[#This Row],[ID_ASIG_CAM_DET]],MAE_ASIGNATURA[ID_ASIG],MAE_ASIGNATURA[HORAS],0)</f>
        <v>0</v>
      </c>
      <c r="K531">
        <v>4</v>
      </c>
      <c r="L531" s="2">
        <f>+Tabla1[[#This Row],[CALCULAR HORA]]*Tabla1[[#This Row],[HORAS]]</f>
        <v>0</v>
      </c>
      <c r="N531" t="str">
        <f>_xlfn.XLOOKUP(Tabla1[[#This Row],[NOMBRE_DOCENT]],MDOCENTES[DATOS_DOCENTE],MDOCENTES[DEDICACION],"Seleccione Docente")</f>
        <v>Seleccione Docente</v>
      </c>
      <c r="O531" t="str">
        <f>_xlfn.XLOOKUP(Tabla1[[#This Row],[NOMBRE_DOCENT]],MDOCENTES[DATOS_DOCENTE],MDOCENTES[ESTUDIO],"Seleccione Docente")</f>
        <v>Seleccione Docente</v>
      </c>
      <c r="P531">
        <f t="shared" si="40"/>
        <v>0</v>
      </c>
      <c r="Q531">
        <f t="shared" si="41"/>
        <v>0</v>
      </c>
      <c r="R531">
        <f t="shared" si="42"/>
        <v>0</v>
      </c>
      <c r="S531">
        <f t="shared" si="43"/>
        <v>0</v>
      </c>
      <c r="T531">
        <f t="shared" si="44"/>
        <v>0</v>
      </c>
      <c r="U531">
        <f>Tabla1[[#This Row],[HORAS NO AFINIDAD]]+Tabla1[[#This Row],[HORAS UNIDAD BASICA]]+Tabla1[[#This Row],[HORAS AFINIDAD]]</f>
        <v>0</v>
      </c>
      <c r="V531">
        <f>+Tabla1[[#This Row],[HORAS AFINIDAD]]+Tabla1[[#This Row],[HORAS ACTIVIDAD]]+Tabla1[[#This Row],[HORAS UNIDAD BASICA]]+Tabla1[[#This Row],[HORAS NO AFINIDAD]]</f>
        <v>0</v>
      </c>
    </row>
    <row r="532" spans="1:22" ht="18.75" customHeight="1">
      <c r="A532">
        <v>531</v>
      </c>
      <c r="C532" t="str">
        <f>_xlfn.XLOOKUP(Tabla1[[#This Row],[CARRERA]],MAE_CARRERA[NOMBRE_CARRERA],MAE_CARRERA[ID_CARRERA],"Seleccione Carrera")</f>
        <v>Seleccione Carrera</v>
      </c>
      <c r="F532" s="1"/>
      <c r="G532" t="str">
        <f>_xlfn.XLOOKUP(Tabla1[[#This Row],[ASIGNATURA]],MAE_ASIGNATURA[NOM_ASIG],MAE_ASIGNATURA[ID_ASIG],"Seleccione Asignatura")</f>
        <v>Seleccione Asignatura</v>
      </c>
      <c r="H532" s="1" t="str" cm="1">
        <f t="array" ref="H532">_xlfn.TEXTJOIN("; ",TRUE,TRANSPOSE(_xlfn.UNIQUE(_xlfn._xlws.FILTER(DET_ASIG[DETALLADO],(DET_ASIG[NIVEL]=ASIGNACION!$D532)*(DET_ASIG[ID_CARRERA]=ASIGNACION!$C532)*(DET_ASIG[ID_ASIG]=ASIGNACION!$G532),"No existe información"))))</f>
        <v>No existe información</v>
      </c>
      <c r="I532" s="1"/>
      <c r="J532">
        <f>_xlfn.XLOOKUP(Tabla1[[#This Row],[ID_ASIG_CAM_DET]],MAE_ASIGNATURA[ID_ASIG],MAE_ASIGNATURA[HORAS],0)</f>
        <v>0</v>
      </c>
      <c r="K532">
        <v>4</v>
      </c>
      <c r="L532" s="2">
        <f>+Tabla1[[#This Row],[CALCULAR HORA]]*Tabla1[[#This Row],[HORAS]]</f>
        <v>0</v>
      </c>
      <c r="N532" t="str">
        <f>_xlfn.XLOOKUP(Tabla1[[#This Row],[NOMBRE_DOCENT]],MDOCENTES[DATOS_DOCENTE],MDOCENTES[DEDICACION],"Seleccione Docente")</f>
        <v>Seleccione Docente</v>
      </c>
      <c r="O532" t="str">
        <f>_xlfn.XLOOKUP(Tabla1[[#This Row],[NOMBRE_DOCENT]],MDOCENTES[DATOS_DOCENTE],MDOCENTES[ESTUDIO],"Seleccione Docente")</f>
        <v>Seleccione Docente</v>
      </c>
      <c r="P532">
        <f t="shared" si="40"/>
        <v>0</v>
      </c>
      <c r="Q532">
        <f t="shared" si="41"/>
        <v>0</v>
      </c>
      <c r="R532">
        <f t="shared" si="42"/>
        <v>0</v>
      </c>
      <c r="S532">
        <f t="shared" si="43"/>
        <v>0</v>
      </c>
      <c r="T532">
        <f t="shared" si="44"/>
        <v>0</v>
      </c>
      <c r="U532">
        <f>Tabla1[[#This Row],[HORAS NO AFINIDAD]]+Tabla1[[#This Row],[HORAS UNIDAD BASICA]]+Tabla1[[#This Row],[HORAS AFINIDAD]]</f>
        <v>0</v>
      </c>
      <c r="V532">
        <f>+Tabla1[[#This Row],[HORAS AFINIDAD]]+Tabla1[[#This Row],[HORAS ACTIVIDAD]]+Tabla1[[#This Row],[HORAS UNIDAD BASICA]]+Tabla1[[#This Row],[HORAS NO AFINIDAD]]</f>
        <v>0</v>
      </c>
    </row>
    <row r="533" spans="1:22" ht="18.75" customHeight="1">
      <c r="A533">
        <v>532</v>
      </c>
      <c r="C533" t="str">
        <f>_xlfn.XLOOKUP(Tabla1[[#This Row],[CARRERA]],MAE_CARRERA[NOMBRE_CARRERA],MAE_CARRERA[ID_CARRERA],"Seleccione Carrera")</f>
        <v>Seleccione Carrera</v>
      </c>
      <c r="F533" s="1"/>
      <c r="G533" t="str">
        <f>_xlfn.XLOOKUP(Tabla1[[#This Row],[ASIGNATURA]],MAE_ASIGNATURA[NOM_ASIG],MAE_ASIGNATURA[ID_ASIG],"Seleccione Asignatura")</f>
        <v>Seleccione Asignatura</v>
      </c>
      <c r="H533" s="1" t="str" cm="1">
        <f t="array" ref="H533">_xlfn.TEXTJOIN("; ",TRUE,TRANSPOSE(_xlfn.UNIQUE(_xlfn._xlws.FILTER(DET_ASIG[DETALLADO],(DET_ASIG[NIVEL]=ASIGNACION!$D533)*(DET_ASIG[ID_CARRERA]=ASIGNACION!$C533)*(DET_ASIG[ID_ASIG]=ASIGNACION!$G533),"No existe información"))))</f>
        <v>No existe información</v>
      </c>
      <c r="I533" s="1"/>
      <c r="J533">
        <f>_xlfn.XLOOKUP(Tabla1[[#This Row],[ID_ASIG_CAM_DET]],MAE_ASIGNATURA[ID_ASIG],MAE_ASIGNATURA[HORAS],0)</f>
        <v>0</v>
      </c>
      <c r="K533">
        <v>4</v>
      </c>
      <c r="L533" s="2">
        <f>+Tabla1[[#This Row],[CALCULAR HORA]]*Tabla1[[#This Row],[HORAS]]</f>
        <v>0</v>
      </c>
      <c r="N533" t="str">
        <f>_xlfn.XLOOKUP(Tabla1[[#This Row],[NOMBRE_DOCENT]],MDOCENTES[DATOS_DOCENTE],MDOCENTES[DEDICACION],"Seleccione Docente")</f>
        <v>Seleccione Docente</v>
      </c>
      <c r="O533" t="str">
        <f>_xlfn.XLOOKUP(Tabla1[[#This Row],[NOMBRE_DOCENT]],MDOCENTES[DATOS_DOCENTE],MDOCENTES[ESTUDIO],"Seleccione Docente")</f>
        <v>Seleccione Docente</v>
      </c>
      <c r="P533">
        <f t="shared" si="40"/>
        <v>0</v>
      </c>
      <c r="Q533">
        <f t="shared" si="41"/>
        <v>0</v>
      </c>
      <c r="R533">
        <f t="shared" si="42"/>
        <v>0</v>
      </c>
      <c r="S533">
        <f t="shared" si="43"/>
        <v>0</v>
      </c>
      <c r="T533">
        <f t="shared" si="44"/>
        <v>0</v>
      </c>
      <c r="U533">
        <f>Tabla1[[#This Row],[HORAS NO AFINIDAD]]+Tabla1[[#This Row],[HORAS UNIDAD BASICA]]+Tabla1[[#This Row],[HORAS AFINIDAD]]</f>
        <v>0</v>
      </c>
      <c r="V533">
        <f>+Tabla1[[#This Row],[HORAS AFINIDAD]]+Tabla1[[#This Row],[HORAS ACTIVIDAD]]+Tabla1[[#This Row],[HORAS UNIDAD BASICA]]+Tabla1[[#This Row],[HORAS NO AFINIDAD]]</f>
        <v>0</v>
      </c>
    </row>
    <row r="534" spans="1:22" ht="18.75" customHeight="1">
      <c r="A534">
        <v>533</v>
      </c>
      <c r="C534" t="str">
        <f>_xlfn.XLOOKUP(Tabla1[[#This Row],[CARRERA]],MAE_CARRERA[NOMBRE_CARRERA],MAE_CARRERA[ID_CARRERA],"Seleccione Carrera")</f>
        <v>Seleccione Carrera</v>
      </c>
      <c r="F534" s="1"/>
      <c r="G534" t="str">
        <f>_xlfn.XLOOKUP(Tabla1[[#This Row],[ASIGNATURA]],MAE_ASIGNATURA[NOM_ASIG],MAE_ASIGNATURA[ID_ASIG],"Seleccione Asignatura")</f>
        <v>Seleccione Asignatura</v>
      </c>
      <c r="H534" s="1" t="str" cm="1">
        <f t="array" ref="H534">_xlfn.TEXTJOIN("; ",TRUE,TRANSPOSE(_xlfn.UNIQUE(_xlfn._xlws.FILTER(DET_ASIG[DETALLADO],(DET_ASIG[NIVEL]=ASIGNACION!$D534)*(DET_ASIG[ID_CARRERA]=ASIGNACION!$C534)*(DET_ASIG[ID_ASIG]=ASIGNACION!$G534),"No existe información"))))</f>
        <v>No existe información</v>
      </c>
      <c r="I534" s="1"/>
      <c r="J534">
        <f>_xlfn.XLOOKUP(Tabla1[[#This Row],[ID_ASIG_CAM_DET]],MAE_ASIGNATURA[ID_ASIG],MAE_ASIGNATURA[HORAS],0)</f>
        <v>0</v>
      </c>
      <c r="K534">
        <v>4</v>
      </c>
      <c r="L534" s="2">
        <f>+Tabla1[[#This Row],[CALCULAR HORA]]*Tabla1[[#This Row],[HORAS]]</f>
        <v>0</v>
      </c>
      <c r="N534" t="str">
        <f>_xlfn.XLOOKUP(Tabla1[[#This Row],[NOMBRE_DOCENT]],MDOCENTES[DATOS_DOCENTE],MDOCENTES[DEDICACION],"Seleccione Docente")</f>
        <v>Seleccione Docente</v>
      </c>
      <c r="O534" t="str">
        <f>_xlfn.XLOOKUP(Tabla1[[#This Row],[NOMBRE_DOCENT]],MDOCENTES[DATOS_DOCENTE],MDOCENTES[ESTUDIO],"Seleccione Docente")</f>
        <v>Seleccione Docente</v>
      </c>
      <c r="P534">
        <f t="shared" si="40"/>
        <v>0</v>
      </c>
      <c r="Q534">
        <f t="shared" si="41"/>
        <v>0</v>
      </c>
      <c r="R534">
        <f t="shared" si="42"/>
        <v>0</v>
      </c>
      <c r="S534">
        <f t="shared" si="43"/>
        <v>0</v>
      </c>
      <c r="T534">
        <f t="shared" si="44"/>
        <v>0</v>
      </c>
      <c r="U534">
        <f>Tabla1[[#This Row],[HORAS NO AFINIDAD]]+Tabla1[[#This Row],[HORAS UNIDAD BASICA]]+Tabla1[[#This Row],[HORAS AFINIDAD]]</f>
        <v>0</v>
      </c>
      <c r="V534">
        <f>+Tabla1[[#This Row],[HORAS AFINIDAD]]+Tabla1[[#This Row],[HORAS ACTIVIDAD]]+Tabla1[[#This Row],[HORAS UNIDAD BASICA]]+Tabla1[[#This Row],[HORAS NO AFINIDAD]]</f>
        <v>0</v>
      </c>
    </row>
    <row r="535" spans="1:22" ht="18.75" customHeight="1">
      <c r="A535">
        <v>534</v>
      </c>
      <c r="C535" t="str">
        <f>_xlfn.XLOOKUP(Tabla1[[#This Row],[CARRERA]],MAE_CARRERA[NOMBRE_CARRERA],MAE_CARRERA[ID_CARRERA],"Seleccione Carrera")</f>
        <v>Seleccione Carrera</v>
      </c>
      <c r="F535" s="1"/>
      <c r="G535" t="str">
        <f>_xlfn.XLOOKUP(Tabla1[[#This Row],[ASIGNATURA]],MAE_ASIGNATURA[NOM_ASIG],MAE_ASIGNATURA[ID_ASIG],"Seleccione Asignatura")</f>
        <v>Seleccione Asignatura</v>
      </c>
      <c r="H535" s="1" t="str" cm="1">
        <f t="array" ref="H535">_xlfn.TEXTJOIN("; ",TRUE,TRANSPOSE(_xlfn.UNIQUE(_xlfn._xlws.FILTER(DET_ASIG[DETALLADO],(DET_ASIG[NIVEL]=ASIGNACION!$D535)*(DET_ASIG[ID_CARRERA]=ASIGNACION!$C535)*(DET_ASIG[ID_ASIG]=ASIGNACION!$G535),"No existe información"))))</f>
        <v>No existe información</v>
      </c>
      <c r="I535" s="1"/>
      <c r="J535">
        <f>_xlfn.XLOOKUP(Tabla1[[#This Row],[ID_ASIG_CAM_DET]],MAE_ASIGNATURA[ID_ASIG],MAE_ASIGNATURA[HORAS],0)</f>
        <v>0</v>
      </c>
      <c r="K535">
        <v>4</v>
      </c>
      <c r="L535" s="2">
        <f>+Tabla1[[#This Row],[CALCULAR HORA]]*Tabla1[[#This Row],[HORAS]]</f>
        <v>0</v>
      </c>
      <c r="N535" t="str">
        <f>_xlfn.XLOOKUP(Tabla1[[#This Row],[NOMBRE_DOCENT]],MDOCENTES[DATOS_DOCENTE],MDOCENTES[DEDICACION],"Seleccione Docente")</f>
        <v>Seleccione Docente</v>
      </c>
      <c r="O535" t="str">
        <f>_xlfn.XLOOKUP(Tabla1[[#This Row],[NOMBRE_DOCENT]],MDOCENTES[DATOS_DOCENTE],MDOCENTES[ESTUDIO],"Seleccione Docente")</f>
        <v>Seleccione Docente</v>
      </c>
      <c r="P535">
        <f t="shared" si="40"/>
        <v>0</v>
      </c>
      <c r="Q535">
        <f t="shared" si="41"/>
        <v>0</v>
      </c>
      <c r="R535">
        <f t="shared" si="42"/>
        <v>0</v>
      </c>
      <c r="S535">
        <f t="shared" si="43"/>
        <v>0</v>
      </c>
      <c r="T535">
        <f t="shared" si="44"/>
        <v>0</v>
      </c>
      <c r="U535">
        <f>Tabla1[[#This Row],[HORAS NO AFINIDAD]]+Tabla1[[#This Row],[HORAS UNIDAD BASICA]]+Tabla1[[#This Row],[HORAS AFINIDAD]]</f>
        <v>0</v>
      </c>
      <c r="V535">
        <f>+Tabla1[[#This Row],[HORAS AFINIDAD]]+Tabla1[[#This Row],[HORAS ACTIVIDAD]]+Tabla1[[#This Row],[HORAS UNIDAD BASICA]]+Tabla1[[#This Row],[HORAS NO AFINIDAD]]</f>
        <v>0</v>
      </c>
    </row>
    <row r="536" spans="1:22" ht="18.75" customHeight="1">
      <c r="A536">
        <v>535</v>
      </c>
      <c r="C536" t="str">
        <f>_xlfn.XLOOKUP(Tabla1[[#This Row],[CARRERA]],MAE_CARRERA[NOMBRE_CARRERA],MAE_CARRERA[ID_CARRERA],"Seleccione Carrera")</f>
        <v>Seleccione Carrera</v>
      </c>
      <c r="F536" s="1"/>
      <c r="G536" t="str">
        <f>_xlfn.XLOOKUP(Tabla1[[#This Row],[ASIGNATURA]],MAE_ASIGNATURA[NOM_ASIG],MAE_ASIGNATURA[ID_ASIG],"Seleccione Asignatura")</f>
        <v>Seleccione Asignatura</v>
      </c>
      <c r="H536" s="1" t="str" cm="1">
        <f t="array" ref="H536">_xlfn.TEXTJOIN("; ",TRUE,TRANSPOSE(_xlfn.UNIQUE(_xlfn._xlws.FILTER(DET_ASIG[DETALLADO],(DET_ASIG[NIVEL]=ASIGNACION!$D536)*(DET_ASIG[ID_CARRERA]=ASIGNACION!$C536)*(DET_ASIG[ID_ASIG]=ASIGNACION!$G536),"No existe información"))))</f>
        <v>No existe información</v>
      </c>
      <c r="I536" s="1"/>
      <c r="J536">
        <f>_xlfn.XLOOKUP(Tabla1[[#This Row],[ID_ASIG_CAM_DET]],MAE_ASIGNATURA[ID_ASIG],MAE_ASIGNATURA[HORAS],0)</f>
        <v>0</v>
      </c>
      <c r="K536">
        <v>4</v>
      </c>
      <c r="L536" s="2">
        <f>+Tabla1[[#This Row],[CALCULAR HORA]]*Tabla1[[#This Row],[HORAS]]</f>
        <v>0</v>
      </c>
      <c r="N536" t="str">
        <f>_xlfn.XLOOKUP(Tabla1[[#This Row],[NOMBRE_DOCENT]],MDOCENTES[DATOS_DOCENTE],MDOCENTES[DEDICACION],"Seleccione Docente")</f>
        <v>Seleccione Docente</v>
      </c>
      <c r="O536" t="str">
        <f>_xlfn.XLOOKUP(Tabla1[[#This Row],[NOMBRE_DOCENT]],MDOCENTES[DATOS_DOCENTE],MDOCENTES[ESTUDIO],"Seleccione Docente")</f>
        <v>Seleccione Docente</v>
      </c>
      <c r="P536">
        <f t="shared" si="40"/>
        <v>0</v>
      </c>
      <c r="Q536">
        <f t="shared" si="41"/>
        <v>0</v>
      </c>
      <c r="R536">
        <f t="shared" si="42"/>
        <v>0</v>
      </c>
      <c r="S536">
        <f t="shared" si="43"/>
        <v>0</v>
      </c>
      <c r="T536">
        <f t="shared" si="44"/>
        <v>0</v>
      </c>
      <c r="U536">
        <f>Tabla1[[#This Row],[HORAS NO AFINIDAD]]+Tabla1[[#This Row],[HORAS UNIDAD BASICA]]+Tabla1[[#This Row],[HORAS AFINIDAD]]</f>
        <v>0</v>
      </c>
      <c r="V536">
        <f>+Tabla1[[#This Row],[HORAS AFINIDAD]]+Tabla1[[#This Row],[HORAS ACTIVIDAD]]+Tabla1[[#This Row],[HORAS UNIDAD BASICA]]+Tabla1[[#This Row],[HORAS NO AFINIDAD]]</f>
        <v>0</v>
      </c>
    </row>
    <row r="537" spans="1:22" ht="18.75" customHeight="1">
      <c r="A537">
        <v>536</v>
      </c>
      <c r="C537" t="str">
        <f>_xlfn.XLOOKUP(Tabla1[[#This Row],[CARRERA]],MAE_CARRERA[NOMBRE_CARRERA],MAE_CARRERA[ID_CARRERA],"Seleccione Carrera")</f>
        <v>Seleccione Carrera</v>
      </c>
      <c r="F537" s="1"/>
      <c r="G537" t="str">
        <f>_xlfn.XLOOKUP(Tabla1[[#This Row],[ASIGNATURA]],MAE_ASIGNATURA[NOM_ASIG],MAE_ASIGNATURA[ID_ASIG],"Seleccione Asignatura")</f>
        <v>Seleccione Asignatura</v>
      </c>
      <c r="H537" s="1" t="str" cm="1">
        <f t="array" ref="H537">_xlfn.TEXTJOIN("; ",TRUE,TRANSPOSE(_xlfn.UNIQUE(_xlfn._xlws.FILTER(DET_ASIG[DETALLADO],(DET_ASIG[NIVEL]=ASIGNACION!$D537)*(DET_ASIG[ID_CARRERA]=ASIGNACION!$C537)*(DET_ASIG[ID_ASIG]=ASIGNACION!$G537),"No existe información"))))</f>
        <v>No existe información</v>
      </c>
      <c r="I537" s="1"/>
      <c r="J537">
        <f>_xlfn.XLOOKUP(Tabla1[[#This Row],[ID_ASIG_CAM_DET]],MAE_ASIGNATURA[ID_ASIG],MAE_ASIGNATURA[HORAS],0)</f>
        <v>0</v>
      </c>
      <c r="K537">
        <v>4</v>
      </c>
      <c r="L537" s="2">
        <f>+Tabla1[[#This Row],[CALCULAR HORA]]*Tabla1[[#This Row],[HORAS]]</f>
        <v>0</v>
      </c>
      <c r="N537" t="str">
        <f>_xlfn.XLOOKUP(Tabla1[[#This Row],[NOMBRE_DOCENT]],MDOCENTES[DATOS_DOCENTE],MDOCENTES[DEDICACION],"Seleccione Docente")</f>
        <v>Seleccione Docente</v>
      </c>
      <c r="O537" t="str">
        <f>_xlfn.XLOOKUP(Tabla1[[#This Row],[NOMBRE_DOCENT]],MDOCENTES[DATOS_DOCENTE],MDOCENTES[ESTUDIO],"Seleccione Docente")</f>
        <v>Seleccione Docente</v>
      </c>
      <c r="P537">
        <f t="shared" si="40"/>
        <v>0</v>
      </c>
      <c r="Q537">
        <f t="shared" si="41"/>
        <v>0</v>
      </c>
      <c r="R537">
        <f t="shared" si="42"/>
        <v>0</v>
      </c>
      <c r="S537">
        <f t="shared" si="43"/>
        <v>0</v>
      </c>
      <c r="T537">
        <f t="shared" si="44"/>
        <v>0</v>
      </c>
      <c r="U537">
        <f>Tabla1[[#This Row],[HORAS NO AFINIDAD]]+Tabla1[[#This Row],[HORAS UNIDAD BASICA]]+Tabla1[[#This Row],[HORAS AFINIDAD]]</f>
        <v>0</v>
      </c>
      <c r="V537">
        <f>+Tabla1[[#This Row],[HORAS AFINIDAD]]+Tabla1[[#This Row],[HORAS ACTIVIDAD]]+Tabla1[[#This Row],[HORAS UNIDAD BASICA]]+Tabla1[[#This Row],[HORAS NO AFINIDAD]]</f>
        <v>0</v>
      </c>
    </row>
    <row r="538" spans="1:22" ht="18.75" customHeight="1">
      <c r="A538">
        <v>537</v>
      </c>
      <c r="C538" t="str">
        <f>_xlfn.XLOOKUP(Tabla1[[#This Row],[CARRERA]],MAE_CARRERA[NOMBRE_CARRERA],MAE_CARRERA[ID_CARRERA],"Seleccione Carrera")</f>
        <v>Seleccione Carrera</v>
      </c>
      <c r="F538" s="1"/>
      <c r="G538" t="str">
        <f>_xlfn.XLOOKUP(Tabla1[[#This Row],[ASIGNATURA]],MAE_ASIGNATURA[NOM_ASIG],MAE_ASIGNATURA[ID_ASIG],"Seleccione Asignatura")</f>
        <v>Seleccione Asignatura</v>
      </c>
      <c r="H538" s="1" t="str" cm="1">
        <f t="array" ref="H538">_xlfn.TEXTJOIN("; ",TRUE,TRANSPOSE(_xlfn.UNIQUE(_xlfn._xlws.FILTER(DET_ASIG[DETALLADO],(DET_ASIG[NIVEL]=ASIGNACION!$D538)*(DET_ASIG[ID_CARRERA]=ASIGNACION!$C538)*(DET_ASIG[ID_ASIG]=ASIGNACION!$G538),"No existe información"))))</f>
        <v>No existe información</v>
      </c>
      <c r="I538" s="1"/>
      <c r="J538">
        <f>_xlfn.XLOOKUP(Tabla1[[#This Row],[ID_ASIG_CAM_DET]],MAE_ASIGNATURA[ID_ASIG],MAE_ASIGNATURA[HORAS],0)</f>
        <v>0</v>
      </c>
      <c r="K538">
        <v>4</v>
      </c>
      <c r="L538" s="2">
        <f>+Tabla1[[#This Row],[CALCULAR HORA]]*Tabla1[[#This Row],[HORAS]]</f>
        <v>0</v>
      </c>
      <c r="N538" t="str">
        <f>_xlfn.XLOOKUP(Tabla1[[#This Row],[NOMBRE_DOCENT]],MDOCENTES[DATOS_DOCENTE],MDOCENTES[DEDICACION],"Seleccione Docente")</f>
        <v>Seleccione Docente</v>
      </c>
      <c r="O538" t="str">
        <f>_xlfn.XLOOKUP(Tabla1[[#This Row],[NOMBRE_DOCENT]],MDOCENTES[DATOS_DOCENTE],MDOCENTES[ESTUDIO],"Seleccione Docente")</f>
        <v>Seleccione Docente</v>
      </c>
      <c r="P538">
        <f t="shared" si="40"/>
        <v>0</v>
      </c>
      <c r="Q538">
        <f t="shared" si="41"/>
        <v>0</v>
      </c>
      <c r="R538">
        <f t="shared" si="42"/>
        <v>0</v>
      </c>
      <c r="S538">
        <f t="shared" si="43"/>
        <v>0</v>
      </c>
      <c r="T538">
        <f t="shared" si="44"/>
        <v>0</v>
      </c>
      <c r="U538">
        <f>Tabla1[[#This Row],[HORAS NO AFINIDAD]]+Tabla1[[#This Row],[HORAS UNIDAD BASICA]]+Tabla1[[#This Row],[HORAS AFINIDAD]]</f>
        <v>0</v>
      </c>
      <c r="V538">
        <f>+Tabla1[[#This Row],[HORAS AFINIDAD]]+Tabla1[[#This Row],[HORAS ACTIVIDAD]]+Tabla1[[#This Row],[HORAS UNIDAD BASICA]]+Tabla1[[#This Row],[HORAS NO AFINIDAD]]</f>
        <v>0</v>
      </c>
    </row>
    <row r="539" spans="1:22" ht="18.75" customHeight="1">
      <c r="A539">
        <v>538</v>
      </c>
      <c r="C539" t="str">
        <f>_xlfn.XLOOKUP(Tabla1[[#This Row],[CARRERA]],MAE_CARRERA[NOMBRE_CARRERA],MAE_CARRERA[ID_CARRERA],"Seleccione Carrera")</f>
        <v>Seleccione Carrera</v>
      </c>
      <c r="F539" s="1"/>
      <c r="G539" t="str">
        <f>_xlfn.XLOOKUP(Tabla1[[#This Row],[ASIGNATURA]],MAE_ASIGNATURA[NOM_ASIG],MAE_ASIGNATURA[ID_ASIG],"Seleccione Asignatura")</f>
        <v>Seleccione Asignatura</v>
      </c>
      <c r="H539" s="1" t="str" cm="1">
        <f t="array" ref="H539">_xlfn.TEXTJOIN("; ",TRUE,TRANSPOSE(_xlfn.UNIQUE(_xlfn._xlws.FILTER(DET_ASIG[DETALLADO],(DET_ASIG[NIVEL]=ASIGNACION!$D539)*(DET_ASIG[ID_CARRERA]=ASIGNACION!$C539)*(DET_ASIG[ID_ASIG]=ASIGNACION!$G539),"No existe información"))))</f>
        <v>No existe información</v>
      </c>
      <c r="I539" s="1"/>
      <c r="J539">
        <f>_xlfn.XLOOKUP(Tabla1[[#This Row],[ID_ASIG_CAM_DET]],MAE_ASIGNATURA[ID_ASIG],MAE_ASIGNATURA[HORAS],0)</f>
        <v>0</v>
      </c>
      <c r="K539">
        <v>4</v>
      </c>
      <c r="L539" s="2">
        <f>+Tabla1[[#This Row],[CALCULAR HORA]]*Tabla1[[#This Row],[HORAS]]</f>
        <v>0</v>
      </c>
      <c r="N539" t="str">
        <f>_xlfn.XLOOKUP(Tabla1[[#This Row],[NOMBRE_DOCENT]],MDOCENTES[DATOS_DOCENTE],MDOCENTES[DEDICACION],"Seleccione Docente")</f>
        <v>Seleccione Docente</v>
      </c>
      <c r="O539" t="str">
        <f>_xlfn.XLOOKUP(Tabla1[[#This Row],[NOMBRE_DOCENT]],MDOCENTES[DATOS_DOCENTE],MDOCENTES[ESTUDIO],"Seleccione Docente")</f>
        <v>Seleccione Docente</v>
      </c>
      <c r="P539">
        <f t="shared" si="40"/>
        <v>0</v>
      </c>
      <c r="Q539">
        <f t="shared" si="41"/>
        <v>0</v>
      </c>
      <c r="R539">
        <f t="shared" si="42"/>
        <v>0</v>
      </c>
      <c r="S539">
        <f t="shared" si="43"/>
        <v>0</v>
      </c>
      <c r="T539">
        <f t="shared" si="44"/>
        <v>0</v>
      </c>
      <c r="U539">
        <f>Tabla1[[#This Row],[HORAS NO AFINIDAD]]+Tabla1[[#This Row],[HORAS UNIDAD BASICA]]+Tabla1[[#This Row],[HORAS AFINIDAD]]</f>
        <v>0</v>
      </c>
      <c r="V539">
        <f>+Tabla1[[#This Row],[HORAS AFINIDAD]]+Tabla1[[#This Row],[HORAS ACTIVIDAD]]+Tabla1[[#This Row],[HORAS UNIDAD BASICA]]+Tabla1[[#This Row],[HORAS NO AFINIDAD]]</f>
        <v>0</v>
      </c>
    </row>
    <row r="540" spans="1:22" ht="18.75" customHeight="1">
      <c r="A540">
        <v>539</v>
      </c>
      <c r="C540" t="str">
        <f>_xlfn.XLOOKUP(Tabla1[[#This Row],[CARRERA]],MAE_CARRERA[NOMBRE_CARRERA],MAE_CARRERA[ID_CARRERA],"Seleccione Carrera")</f>
        <v>Seleccione Carrera</v>
      </c>
      <c r="F540" s="1"/>
      <c r="G540" t="str">
        <f>_xlfn.XLOOKUP(Tabla1[[#This Row],[ASIGNATURA]],MAE_ASIGNATURA[NOM_ASIG],MAE_ASIGNATURA[ID_ASIG],"Seleccione Asignatura")</f>
        <v>Seleccione Asignatura</v>
      </c>
      <c r="H540" s="1" t="str" cm="1">
        <f t="array" ref="H540">_xlfn.TEXTJOIN("; ",TRUE,TRANSPOSE(_xlfn.UNIQUE(_xlfn._xlws.FILTER(DET_ASIG[DETALLADO],(DET_ASIG[NIVEL]=ASIGNACION!$D540)*(DET_ASIG[ID_CARRERA]=ASIGNACION!$C540)*(DET_ASIG[ID_ASIG]=ASIGNACION!$G540),"No existe información"))))</f>
        <v>No existe información</v>
      </c>
      <c r="I540" s="1"/>
      <c r="J540">
        <f>_xlfn.XLOOKUP(Tabla1[[#This Row],[ID_ASIG_CAM_DET]],MAE_ASIGNATURA[ID_ASIG],MAE_ASIGNATURA[HORAS],0)</f>
        <v>0</v>
      </c>
      <c r="K540">
        <v>4</v>
      </c>
      <c r="L540" s="2">
        <f>+Tabla1[[#This Row],[CALCULAR HORA]]*Tabla1[[#This Row],[HORAS]]</f>
        <v>0</v>
      </c>
      <c r="N540" t="str">
        <f>_xlfn.XLOOKUP(Tabla1[[#This Row],[NOMBRE_DOCENT]],MDOCENTES[DATOS_DOCENTE],MDOCENTES[DEDICACION],"Seleccione Docente")</f>
        <v>Seleccione Docente</v>
      </c>
      <c r="O540" t="str">
        <f>_xlfn.XLOOKUP(Tabla1[[#This Row],[NOMBRE_DOCENT]],MDOCENTES[DATOS_DOCENTE],MDOCENTES[ESTUDIO],"Seleccione Docente")</f>
        <v>Seleccione Docente</v>
      </c>
      <c r="P540">
        <f t="shared" si="40"/>
        <v>0</v>
      </c>
      <c r="Q540">
        <f t="shared" si="41"/>
        <v>0</v>
      </c>
      <c r="R540">
        <f t="shared" si="42"/>
        <v>0</v>
      </c>
      <c r="S540">
        <f t="shared" si="43"/>
        <v>0</v>
      </c>
      <c r="T540">
        <f t="shared" si="44"/>
        <v>0</v>
      </c>
      <c r="U540">
        <f>Tabla1[[#This Row],[HORAS NO AFINIDAD]]+Tabla1[[#This Row],[HORAS UNIDAD BASICA]]+Tabla1[[#This Row],[HORAS AFINIDAD]]</f>
        <v>0</v>
      </c>
      <c r="V540">
        <f>+Tabla1[[#This Row],[HORAS AFINIDAD]]+Tabla1[[#This Row],[HORAS ACTIVIDAD]]+Tabla1[[#This Row],[HORAS UNIDAD BASICA]]+Tabla1[[#This Row],[HORAS NO AFINIDAD]]</f>
        <v>0</v>
      </c>
    </row>
    <row r="541" spans="1:22" ht="18.75" customHeight="1">
      <c r="A541">
        <v>540</v>
      </c>
      <c r="C541" t="str">
        <f>_xlfn.XLOOKUP(Tabla1[[#This Row],[CARRERA]],MAE_CARRERA[NOMBRE_CARRERA],MAE_CARRERA[ID_CARRERA],"Seleccione Carrera")</f>
        <v>Seleccione Carrera</v>
      </c>
      <c r="F541" s="1"/>
      <c r="G541" t="str">
        <f>_xlfn.XLOOKUP(Tabla1[[#This Row],[ASIGNATURA]],MAE_ASIGNATURA[NOM_ASIG],MAE_ASIGNATURA[ID_ASIG],"Seleccione Asignatura")</f>
        <v>Seleccione Asignatura</v>
      </c>
      <c r="H541" s="1" t="str" cm="1">
        <f t="array" ref="H541">_xlfn.TEXTJOIN("; ",TRUE,TRANSPOSE(_xlfn.UNIQUE(_xlfn._xlws.FILTER(DET_ASIG[DETALLADO],(DET_ASIG[NIVEL]=ASIGNACION!$D541)*(DET_ASIG[ID_CARRERA]=ASIGNACION!$C541)*(DET_ASIG[ID_ASIG]=ASIGNACION!$G541),"No existe información"))))</f>
        <v>No existe información</v>
      </c>
      <c r="I541" s="1"/>
      <c r="J541">
        <f>_xlfn.XLOOKUP(Tabla1[[#This Row],[ID_ASIG_CAM_DET]],MAE_ASIGNATURA[ID_ASIG],MAE_ASIGNATURA[HORAS],0)</f>
        <v>0</v>
      </c>
      <c r="K541">
        <v>4</v>
      </c>
      <c r="L541" s="2">
        <f>+Tabla1[[#This Row],[CALCULAR HORA]]*Tabla1[[#This Row],[HORAS]]</f>
        <v>0</v>
      </c>
      <c r="N541" t="str">
        <f>_xlfn.XLOOKUP(Tabla1[[#This Row],[NOMBRE_DOCENT]],MDOCENTES[DATOS_DOCENTE],MDOCENTES[DEDICACION],"Seleccione Docente")</f>
        <v>Seleccione Docente</v>
      </c>
      <c r="O541" t="str">
        <f>_xlfn.XLOOKUP(Tabla1[[#This Row],[NOMBRE_DOCENT]],MDOCENTES[DATOS_DOCENTE],MDOCENTES[ESTUDIO],"Seleccione Docente")</f>
        <v>Seleccione Docente</v>
      </c>
      <c r="P541">
        <f t="shared" si="40"/>
        <v>0</v>
      </c>
      <c r="Q541">
        <f t="shared" si="41"/>
        <v>0</v>
      </c>
      <c r="R541">
        <f t="shared" si="42"/>
        <v>0</v>
      </c>
      <c r="S541">
        <f t="shared" si="43"/>
        <v>0</v>
      </c>
      <c r="T541">
        <f t="shared" si="44"/>
        <v>0</v>
      </c>
      <c r="U541">
        <f>Tabla1[[#This Row],[HORAS NO AFINIDAD]]+Tabla1[[#This Row],[HORAS UNIDAD BASICA]]+Tabla1[[#This Row],[HORAS AFINIDAD]]</f>
        <v>0</v>
      </c>
      <c r="V541">
        <f>+Tabla1[[#This Row],[HORAS AFINIDAD]]+Tabla1[[#This Row],[HORAS ACTIVIDAD]]+Tabla1[[#This Row],[HORAS UNIDAD BASICA]]+Tabla1[[#This Row],[HORAS NO AFINIDAD]]</f>
        <v>0</v>
      </c>
    </row>
    <row r="542" spans="1:22" ht="18.75" customHeight="1">
      <c r="A542">
        <v>541</v>
      </c>
      <c r="C542" t="str">
        <f>_xlfn.XLOOKUP(Tabla1[[#This Row],[CARRERA]],MAE_CARRERA[NOMBRE_CARRERA],MAE_CARRERA[ID_CARRERA],"Seleccione Carrera")</f>
        <v>Seleccione Carrera</v>
      </c>
      <c r="F542" s="1"/>
      <c r="G542" t="str">
        <f>_xlfn.XLOOKUP(Tabla1[[#This Row],[ASIGNATURA]],MAE_ASIGNATURA[NOM_ASIG],MAE_ASIGNATURA[ID_ASIG],"Seleccione Asignatura")</f>
        <v>Seleccione Asignatura</v>
      </c>
      <c r="H542" s="1" t="str" cm="1">
        <f t="array" ref="H542">_xlfn.TEXTJOIN("; ",TRUE,TRANSPOSE(_xlfn.UNIQUE(_xlfn._xlws.FILTER(DET_ASIG[DETALLADO],(DET_ASIG[NIVEL]=ASIGNACION!$D542)*(DET_ASIG[ID_CARRERA]=ASIGNACION!$C542)*(DET_ASIG[ID_ASIG]=ASIGNACION!$G542),"No existe información"))))</f>
        <v>No existe información</v>
      </c>
      <c r="I542" s="1"/>
      <c r="J542">
        <f>_xlfn.XLOOKUP(Tabla1[[#This Row],[ID_ASIG_CAM_DET]],MAE_ASIGNATURA[ID_ASIG],MAE_ASIGNATURA[HORAS],0)</f>
        <v>0</v>
      </c>
      <c r="K542">
        <v>4</v>
      </c>
      <c r="L542" s="2">
        <f>+Tabla1[[#This Row],[CALCULAR HORA]]*Tabla1[[#This Row],[HORAS]]</f>
        <v>0</v>
      </c>
      <c r="N542" t="str">
        <f>_xlfn.XLOOKUP(Tabla1[[#This Row],[NOMBRE_DOCENT]],MDOCENTES[DATOS_DOCENTE],MDOCENTES[DEDICACION],"Seleccione Docente")</f>
        <v>Seleccione Docente</v>
      </c>
      <c r="O542" t="str">
        <f>_xlfn.XLOOKUP(Tabla1[[#This Row],[NOMBRE_DOCENT]],MDOCENTES[DATOS_DOCENTE],MDOCENTES[ESTUDIO],"Seleccione Docente")</f>
        <v>Seleccione Docente</v>
      </c>
      <c r="P542">
        <f t="shared" si="40"/>
        <v>0</v>
      </c>
      <c r="Q542">
        <f t="shared" si="41"/>
        <v>0</v>
      </c>
      <c r="R542">
        <f t="shared" si="42"/>
        <v>0</v>
      </c>
      <c r="S542">
        <f t="shared" si="43"/>
        <v>0</v>
      </c>
      <c r="T542">
        <f t="shared" si="44"/>
        <v>0</v>
      </c>
      <c r="U542">
        <f>Tabla1[[#This Row],[HORAS NO AFINIDAD]]+Tabla1[[#This Row],[HORAS UNIDAD BASICA]]+Tabla1[[#This Row],[HORAS AFINIDAD]]</f>
        <v>0</v>
      </c>
      <c r="V542">
        <f>+Tabla1[[#This Row],[HORAS AFINIDAD]]+Tabla1[[#This Row],[HORAS ACTIVIDAD]]+Tabla1[[#This Row],[HORAS UNIDAD BASICA]]+Tabla1[[#This Row],[HORAS NO AFINIDAD]]</f>
        <v>0</v>
      </c>
    </row>
    <row r="543" spans="1:22" ht="18.75" customHeight="1">
      <c r="A543">
        <v>542</v>
      </c>
      <c r="C543" t="str">
        <f>_xlfn.XLOOKUP(Tabla1[[#This Row],[CARRERA]],MAE_CARRERA[NOMBRE_CARRERA],MAE_CARRERA[ID_CARRERA],"Seleccione Carrera")</f>
        <v>Seleccione Carrera</v>
      </c>
      <c r="F543" s="1"/>
      <c r="G543" t="str">
        <f>_xlfn.XLOOKUP(Tabla1[[#This Row],[ASIGNATURA]],MAE_ASIGNATURA[NOM_ASIG],MAE_ASIGNATURA[ID_ASIG],"Seleccione Asignatura")</f>
        <v>Seleccione Asignatura</v>
      </c>
      <c r="H543" s="1" t="str" cm="1">
        <f t="array" ref="H543">_xlfn.TEXTJOIN("; ",TRUE,TRANSPOSE(_xlfn.UNIQUE(_xlfn._xlws.FILTER(DET_ASIG[DETALLADO],(DET_ASIG[NIVEL]=ASIGNACION!$D543)*(DET_ASIG[ID_CARRERA]=ASIGNACION!$C543)*(DET_ASIG[ID_ASIG]=ASIGNACION!$G543),"No existe información"))))</f>
        <v>No existe información</v>
      </c>
      <c r="I543" s="1"/>
      <c r="J543">
        <f>_xlfn.XLOOKUP(Tabla1[[#This Row],[ID_ASIG_CAM_DET]],MAE_ASIGNATURA[ID_ASIG],MAE_ASIGNATURA[HORAS],0)</f>
        <v>0</v>
      </c>
      <c r="K543">
        <v>4</v>
      </c>
      <c r="L543" s="2">
        <f>+Tabla1[[#This Row],[CALCULAR HORA]]*Tabla1[[#This Row],[HORAS]]</f>
        <v>0</v>
      </c>
      <c r="N543" t="str">
        <f>_xlfn.XLOOKUP(Tabla1[[#This Row],[NOMBRE_DOCENT]],MDOCENTES[DATOS_DOCENTE],MDOCENTES[DEDICACION],"Seleccione Docente")</f>
        <v>Seleccione Docente</v>
      </c>
      <c r="O543" t="str">
        <f>_xlfn.XLOOKUP(Tabla1[[#This Row],[NOMBRE_DOCENT]],MDOCENTES[DATOS_DOCENTE],MDOCENTES[ESTUDIO],"Seleccione Docente")</f>
        <v>Seleccione Docente</v>
      </c>
      <c r="P543">
        <f t="shared" si="40"/>
        <v>0</v>
      </c>
      <c r="Q543">
        <f t="shared" si="41"/>
        <v>0</v>
      </c>
      <c r="R543">
        <f t="shared" si="42"/>
        <v>0</v>
      </c>
      <c r="S543">
        <f t="shared" si="43"/>
        <v>0</v>
      </c>
      <c r="T543">
        <f t="shared" si="44"/>
        <v>0</v>
      </c>
      <c r="U543">
        <f>Tabla1[[#This Row],[HORAS NO AFINIDAD]]+Tabla1[[#This Row],[HORAS UNIDAD BASICA]]+Tabla1[[#This Row],[HORAS AFINIDAD]]</f>
        <v>0</v>
      </c>
      <c r="V543">
        <f>+Tabla1[[#This Row],[HORAS AFINIDAD]]+Tabla1[[#This Row],[HORAS ACTIVIDAD]]+Tabla1[[#This Row],[HORAS UNIDAD BASICA]]+Tabla1[[#This Row],[HORAS NO AFINIDAD]]</f>
        <v>0</v>
      </c>
    </row>
    <row r="544" spans="1:22" ht="18.75" customHeight="1">
      <c r="A544">
        <v>543</v>
      </c>
      <c r="C544" t="str">
        <f>_xlfn.XLOOKUP(Tabla1[[#This Row],[CARRERA]],MAE_CARRERA[NOMBRE_CARRERA],MAE_CARRERA[ID_CARRERA],"Seleccione Carrera")</f>
        <v>Seleccione Carrera</v>
      </c>
      <c r="F544" s="1"/>
      <c r="G544" t="str">
        <f>_xlfn.XLOOKUP(Tabla1[[#This Row],[ASIGNATURA]],MAE_ASIGNATURA[NOM_ASIG],MAE_ASIGNATURA[ID_ASIG],"Seleccione Asignatura")</f>
        <v>Seleccione Asignatura</v>
      </c>
      <c r="H544" s="1" t="str" cm="1">
        <f t="array" ref="H544">_xlfn.TEXTJOIN("; ",TRUE,TRANSPOSE(_xlfn.UNIQUE(_xlfn._xlws.FILTER(DET_ASIG[DETALLADO],(DET_ASIG[NIVEL]=ASIGNACION!$D544)*(DET_ASIG[ID_CARRERA]=ASIGNACION!$C544)*(DET_ASIG[ID_ASIG]=ASIGNACION!$G544),"No existe información"))))</f>
        <v>No existe información</v>
      </c>
      <c r="I544" s="1"/>
      <c r="J544">
        <f>_xlfn.XLOOKUP(Tabla1[[#This Row],[ID_ASIG_CAM_DET]],MAE_ASIGNATURA[ID_ASIG],MAE_ASIGNATURA[HORAS],0)</f>
        <v>0</v>
      </c>
      <c r="K544">
        <v>4</v>
      </c>
      <c r="L544" s="2">
        <f>+Tabla1[[#This Row],[CALCULAR HORA]]*Tabla1[[#This Row],[HORAS]]</f>
        <v>0</v>
      </c>
      <c r="N544" t="str">
        <f>_xlfn.XLOOKUP(Tabla1[[#This Row],[NOMBRE_DOCENT]],MDOCENTES[DATOS_DOCENTE],MDOCENTES[DEDICACION],"Seleccione Docente")</f>
        <v>Seleccione Docente</v>
      </c>
      <c r="O544" t="str">
        <f>_xlfn.XLOOKUP(Tabla1[[#This Row],[NOMBRE_DOCENT]],MDOCENTES[DATOS_DOCENTE],MDOCENTES[ESTUDIO],"Seleccione Docente")</f>
        <v>Seleccione Docente</v>
      </c>
      <c r="P544">
        <f t="shared" si="40"/>
        <v>0</v>
      </c>
      <c r="Q544">
        <f t="shared" si="41"/>
        <v>0</v>
      </c>
      <c r="R544">
        <f t="shared" si="42"/>
        <v>0</v>
      </c>
      <c r="S544">
        <f t="shared" si="43"/>
        <v>0</v>
      </c>
      <c r="T544">
        <f t="shared" si="44"/>
        <v>0</v>
      </c>
      <c r="U544">
        <f>Tabla1[[#This Row],[HORAS NO AFINIDAD]]+Tabla1[[#This Row],[HORAS UNIDAD BASICA]]+Tabla1[[#This Row],[HORAS AFINIDAD]]</f>
        <v>0</v>
      </c>
      <c r="V544">
        <f>+Tabla1[[#This Row],[HORAS AFINIDAD]]+Tabla1[[#This Row],[HORAS ACTIVIDAD]]+Tabla1[[#This Row],[HORAS UNIDAD BASICA]]+Tabla1[[#This Row],[HORAS NO AFINIDAD]]</f>
        <v>0</v>
      </c>
    </row>
    <row r="545" spans="1:22" ht="18.75" customHeight="1">
      <c r="A545">
        <v>544</v>
      </c>
      <c r="C545" t="str">
        <f>_xlfn.XLOOKUP(Tabla1[[#This Row],[CARRERA]],MAE_CARRERA[NOMBRE_CARRERA],MAE_CARRERA[ID_CARRERA],"Seleccione Carrera")</f>
        <v>Seleccione Carrera</v>
      </c>
      <c r="F545" s="1"/>
      <c r="G545" t="str">
        <f>_xlfn.XLOOKUP(Tabla1[[#This Row],[ASIGNATURA]],MAE_ASIGNATURA[NOM_ASIG],MAE_ASIGNATURA[ID_ASIG],"Seleccione Asignatura")</f>
        <v>Seleccione Asignatura</v>
      </c>
      <c r="H545" s="1" t="str" cm="1">
        <f t="array" ref="H545">_xlfn.TEXTJOIN("; ",TRUE,TRANSPOSE(_xlfn.UNIQUE(_xlfn._xlws.FILTER(DET_ASIG[DETALLADO],(DET_ASIG[NIVEL]=ASIGNACION!$D545)*(DET_ASIG[ID_CARRERA]=ASIGNACION!$C545)*(DET_ASIG[ID_ASIG]=ASIGNACION!$G545),"No existe información"))))</f>
        <v>No existe información</v>
      </c>
      <c r="I545" s="1"/>
      <c r="J545">
        <f>_xlfn.XLOOKUP(Tabla1[[#This Row],[ID_ASIG_CAM_DET]],MAE_ASIGNATURA[ID_ASIG],MAE_ASIGNATURA[HORAS],0)</f>
        <v>0</v>
      </c>
      <c r="K545">
        <v>4</v>
      </c>
      <c r="L545" s="2">
        <f>+Tabla1[[#This Row],[CALCULAR HORA]]*Tabla1[[#This Row],[HORAS]]</f>
        <v>0</v>
      </c>
      <c r="N545" t="str">
        <f>_xlfn.XLOOKUP(Tabla1[[#This Row],[NOMBRE_DOCENT]],MDOCENTES[DATOS_DOCENTE],MDOCENTES[DEDICACION],"Seleccione Docente")</f>
        <v>Seleccione Docente</v>
      </c>
      <c r="O545" t="str">
        <f>_xlfn.XLOOKUP(Tabla1[[#This Row],[NOMBRE_DOCENT]],MDOCENTES[DATOS_DOCENTE],MDOCENTES[ESTUDIO],"Seleccione Docente")</f>
        <v>Seleccione Docente</v>
      </c>
      <c r="P545">
        <f t="shared" si="40"/>
        <v>0</v>
      </c>
      <c r="Q545">
        <f t="shared" si="41"/>
        <v>0</v>
      </c>
      <c r="R545">
        <f t="shared" si="42"/>
        <v>0</v>
      </c>
      <c r="S545">
        <f t="shared" si="43"/>
        <v>0</v>
      </c>
      <c r="T545">
        <f t="shared" si="44"/>
        <v>0</v>
      </c>
      <c r="U545">
        <f>Tabla1[[#This Row],[HORAS NO AFINIDAD]]+Tabla1[[#This Row],[HORAS UNIDAD BASICA]]+Tabla1[[#This Row],[HORAS AFINIDAD]]</f>
        <v>0</v>
      </c>
      <c r="V545">
        <f>+Tabla1[[#This Row],[HORAS AFINIDAD]]+Tabla1[[#This Row],[HORAS ACTIVIDAD]]+Tabla1[[#This Row],[HORAS UNIDAD BASICA]]+Tabla1[[#This Row],[HORAS NO AFINIDAD]]</f>
        <v>0</v>
      </c>
    </row>
    <row r="546" spans="1:22" ht="18.75" customHeight="1">
      <c r="A546">
        <v>545</v>
      </c>
      <c r="C546" t="str">
        <f>_xlfn.XLOOKUP(Tabla1[[#This Row],[CARRERA]],MAE_CARRERA[NOMBRE_CARRERA],MAE_CARRERA[ID_CARRERA],"Seleccione Carrera")</f>
        <v>Seleccione Carrera</v>
      </c>
      <c r="F546" s="1"/>
      <c r="G546" t="str">
        <f>_xlfn.XLOOKUP(Tabla1[[#This Row],[ASIGNATURA]],MAE_ASIGNATURA[NOM_ASIG],MAE_ASIGNATURA[ID_ASIG],"Seleccione Asignatura")</f>
        <v>Seleccione Asignatura</v>
      </c>
      <c r="H546" s="1" t="str" cm="1">
        <f t="array" ref="H546">_xlfn.TEXTJOIN("; ",TRUE,TRANSPOSE(_xlfn.UNIQUE(_xlfn._xlws.FILTER(DET_ASIG[DETALLADO],(DET_ASIG[NIVEL]=ASIGNACION!$D546)*(DET_ASIG[ID_CARRERA]=ASIGNACION!$C546)*(DET_ASIG[ID_ASIG]=ASIGNACION!$G546),"No existe información"))))</f>
        <v>No existe información</v>
      </c>
      <c r="I546" s="1"/>
      <c r="J546">
        <f>_xlfn.XLOOKUP(Tabla1[[#This Row],[ID_ASIG_CAM_DET]],MAE_ASIGNATURA[ID_ASIG],MAE_ASIGNATURA[HORAS],0)</f>
        <v>0</v>
      </c>
      <c r="K546">
        <v>4</v>
      </c>
      <c r="L546" s="2">
        <f>+Tabla1[[#This Row],[CALCULAR HORA]]*Tabla1[[#This Row],[HORAS]]</f>
        <v>0</v>
      </c>
      <c r="N546" t="str">
        <f>_xlfn.XLOOKUP(Tabla1[[#This Row],[NOMBRE_DOCENT]],MDOCENTES[DATOS_DOCENTE],MDOCENTES[DEDICACION],"Seleccione Docente")</f>
        <v>Seleccione Docente</v>
      </c>
      <c r="O546" t="str">
        <f>_xlfn.XLOOKUP(Tabla1[[#This Row],[NOMBRE_DOCENT]],MDOCENTES[DATOS_DOCENTE],MDOCENTES[ESTUDIO],"Seleccione Docente")</f>
        <v>Seleccione Docente</v>
      </c>
      <c r="P546">
        <f t="shared" si="40"/>
        <v>0</v>
      </c>
      <c r="Q546">
        <f t="shared" si="41"/>
        <v>0</v>
      </c>
      <c r="R546">
        <f t="shared" si="42"/>
        <v>0</v>
      </c>
      <c r="S546">
        <f t="shared" si="43"/>
        <v>0</v>
      </c>
      <c r="T546">
        <f t="shared" si="44"/>
        <v>0</v>
      </c>
      <c r="U546">
        <f>Tabla1[[#This Row],[HORAS NO AFINIDAD]]+Tabla1[[#This Row],[HORAS UNIDAD BASICA]]+Tabla1[[#This Row],[HORAS AFINIDAD]]</f>
        <v>0</v>
      </c>
      <c r="V546">
        <f>+Tabla1[[#This Row],[HORAS AFINIDAD]]+Tabla1[[#This Row],[HORAS ACTIVIDAD]]+Tabla1[[#This Row],[HORAS UNIDAD BASICA]]+Tabla1[[#This Row],[HORAS NO AFINIDAD]]</f>
        <v>0</v>
      </c>
    </row>
    <row r="547" spans="1:22" ht="18.75" customHeight="1">
      <c r="A547">
        <v>546</v>
      </c>
      <c r="C547" t="str">
        <f>_xlfn.XLOOKUP(Tabla1[[#This Row],[CARRERA]],MAE_CARRERA[NOMBRE_CARRERA],MAE_CARRERA[ID_CARRERA],"Seleccione Carrera")</f>
        <v>Seleccione Carrera</v>
      </c>
      <c r="F547" s="1"/>
      <c r="G547" t="str">
        <f>_xlfn.XLOOKUP(Tabla1[[#This Row],[ASIGNATURA]],MAE_ASIGNATURA[NOM_ASIG],MAE_ASIGNATURA[ID_ASIG],"Seleccione Asignatura")</f>
        <v>Seleccione Asignatura</v>
      </c>
      <c r="H547" s="1" t="str" cm="1">
        <f t="array" ref="H547">_xlfn.TEXTJOIN("; ",TRUE,TRANSPOSE(_xlfn.UNIQUE(_xlfn._xlws.FILTER(DET_ASIG[DETALLADO],(DET_ASIG[NIVEL]=ASIGNACION!$D547)*(DET_ASIG[ID_CARRERA]=ASIGNACION!$C547)*(DET_ASIG[ID_ASIG]=ASIGNACION!$G547),"No existe información"))))</f>
        <v>No existe información</v>
      </c>
      <c r="I547" s="1"/>
      <c r="J547">
        <f>_xlfn.XLOOKUP(Tabla1[[#This Row],[ID_ASIG_CAM_DET]],MAE_ASIGNATURA[ID_ASIG],MAE_ASIGNATURA[HORAS],0)</f>
        <v>0</v>
      </c>
      <c r="K547">
        <v>4</v>
      </c>
      <c r="L547" s="2">
        <f>+Tabla1[[#This Row],[CALCULAR HORA]]*Tabla1[[#This Row],[HORAS]]</f>
        <v>0</v>
      </c>
      <c r="N547" t="str">
        <f>_xlfn.XLOOKUP(Tabla1[[#This Row],[NOMBRE_DOCENT]],MDOCENTES[DATOS_DOCENTE],MDOCENTES[DEDICACION],"Seleccione Docente")</f>
        <v>Seleccione Docente</v>
      </c>
      <c r="O547" t="str">
        <f>_xlfn.XLOOKUP(Tabla1[[#This Row],[NOMBRE_DOCENT]],MDOCENTES[DATOS_DOCENTE],MDOCENTES[ESTUDIO],"Seleccione Docente")</f>
        <v>Seleccione Docente</v>
      </c>
      <c r="P547">
        <f t="shared" si="40"/>
        <v>0</v>
      </c>
      <c r="Q547">
        <f t="shared" si="41"/>
        <v>0</v>
      </c>
      <c r="R547">
        <f t="shared" si="42"/>
        <v>0</v>
      </c>
      <c r="S547">
        <f t="shared" si="43"/>
        <v>0</v>
      </c>
      <c r="T547">
        <f t="shared" si="44"/>
        <v>0</v>
      </c>
      <c r="U547">
        <f>Tabla1[[#This Row],[HORAS NO AFINIDAD]]+Tabla1[[#This Row],[HORAS UNIDAD BASICA]]+Tabla1[[#This Row],[HORAS AFINIDAD]]</f>
        <v>0</v>
      </c>
      <c r="V547">
        <f>+Tabla1[[#This Row],[HORAS AFINIDAD]]+Tabla1[[#This Row],[HORAS ACTIVIDAD]]+Tabla1[[#This Row],[HORAS UNIDAD BASICA]]+Tabla1[[#This Row],[HORAS NO AFINIDAD]]</f>
        <v>0</v>
      </c>
    </row>
    <row r="548" spans="1:22" ht="18.75" customHeight="1">
      <c r="A548">
        <v>547</v>
      </c>
      <c r="C548" t="str">
        <f>_xlfn.XLOOKUP(Tabla1[[#This Row],[CARRERA]],MAE_CARRERA[NOMBRE_CARRERA],MAE_CARRERA[ID_CARRERA],"Seleccione Carrera")</f>
        <v>Seleccione Carrera</v>
      </c>
      <c r="F548" s="1"/>
      <c r="G548" t="str">
        <f>_xlfn.XLOOKUP(Tabla1[[#This Row],[ASIGNATURA]],MAE_ASIGNATURA[NOM_ASIG],MAE_ASIGNATURA[ID_ASIG],"Seleccione Asignatura")</f>
        <v>Seleccione Asignatura</v>
      </c>
      <c r="H548" s="1" t="str" cm="1">
        <f t="array" ref="H548">_xlfn.TEXTJOIN("; ",TRUE,TRANSPOSE(_xlfn.UNIQUE(_xlfn._xlws.FILTER(DET_ASIG[DETALLADO],(DET_ASIG[NIVEL]=ASIGNACION!$D548)*(DET_ASIG[ID_CARRERA]=ASIGNACION!$C548)*(DET_ASIG[ID_ASIG]=ASIGNACION!$G548),"No existe información"))))</f>
        <v>No existe información</v>
      </c>
      <c r="I548" s="1"/>
      <c r="J548">
        <f>_xlfn.XLOOKUP(Tabla1[[#This Row],[ID_ASIG_CAM_DET]],MAE_ASIGNATURA[ID_ASIG],MAE_ASIGNATURA[HORAS],0)</f>
        <v>0</v>
      </c>
      <c r="K548">
        <v>4</v>
      </c>
      <c r="L548" s="2">
        <f>+Tabla1[[#This Row],[CALCULAR HORA]]*Tabla1[[#This Row],[HORAS]]</f>
        <v>0</v>
      </c>
      <c r="N548" t="str">
        <f>_xlfn.XLOOKUP(Tabla1[[#This Row],[NOMBRE_DOCENT]],MDOCENTES[DATOS_DOCENTE],MDOCENTES[DEDICACION],"Seleccione Docente")</f>
        <v>Seleccione Docente</v>
      </c>
      <c r="O548" t="str">
        <f>_xlfn.XLOOKUP(Tabla1[[#This Row],[NOMBRE_DOCENT]],MDOCENTES[DATOS_DOCENTE],MDOCENTES[ESTUDIO],"Seleccione Docente")</f>
        <v>Seleccione Docente</v>
      </c>
      <c r="P548">
        <f t="shared" si="40"/>
        <v>0</v>
      </c>
      <c r="Q548">
        <f t="shared" si="41"/>
        <v>0</v>
      </c>
      <c r="R548">
        <f t="shared" si="42"/>
        <v>0</v>
      </c>
      <c r="S548">
        <f t="shared" si="43"/>
        <v>0</v>
      </c>
      <c r="T548">
        <f t="shared" si="44"/>
        <v>0</v>
      </c>
      <c r="U548">
        <f>Tabla1[[#This Row],[HORAS NO AFINIDAD]]+Tabla1[[#This Row],[HORAS UNIDAD BASICA]]+Tabla1[[#This Row],[HORAS AFINIDAD]]</f>
        <v>0</v>
      </c>
      <c r="V548">
        <f>+Tabla1[[#This Row],[HORAS AFINIDAD]]+Tabla1[[#This Row],[HORAS ACTIVIDAD]]+Tabla1[[#This Row],[HORAS UNIDAD BASICA]]+Tabla1[[#This Row],[HORAS NO AFINIDAD]]</f>
        <v>0</v>
      </c>
    </row>
    <row r="549" spans="1:22" ht="18.75" customHeight="1">
      <c r="A549">
        <v>548</v>
      </c>
      <c r="C549" t="str">
        <f>_xlfn.XLOOKUP(Tabla1[[#This Row],[CARRERA]],MAE_CARRERA[NOMBRE_CARRERA],MAE_CARRERA[ID_CARRERA],"Seleccione Carrera")</f>
        <v>Seleccione Carrera</v>
      </c>
      <c r="F549" s="1"/>
      <c r="G549" t="str">
        <f>_xlfn.XLOOKUP(Tabla1[[#This Row],[ASIGNATURA]],MAE_ASIGNATURA[NOM_ASIG],MAE_ASIGNATURA[ID_ASIG],"Seleccione Asignatura")</f>
        <v>Seleccione Asignatura</v>
      </c>
      <c r="H549" s="1" t="str" cm="1">
        <f t="array" ref="H549">_xlfn.TEXTJOIN("; ",TRUE,TRANSPOSE(_xlfn.UNIQUE(_xlfn._xlws.FILTER(DET_ASIG[DETALLADO],(DET_ASIG[NIVEL]=ASIGNACION!$D549)*(DET_ASIG[ID_CARRERA]=ASIGNACION!$C549)*(DET_ASIG[ID_ASIG]=ASIGNACION!$G549),"No existe información"))))</f>
        <v>No existe información</v>
      </c>
      <c r="I549" s="1"/>
      <c r="J549">
        <f>_xlfn.XLOOKUP(Tabla1[[#This Row],[ID_ASIG_CAM_DET]],MAE_ASIGNATURA[ID_ASIG],MAE_ASIGNATURA[HORAS],0)</f>
        <v>0</v>
      </c>
      <c r="K549">
        <v>4</v>
      </c>
      <c r="L549" s="2">
        <f>+Tabla1[[#This Row],[CALCULAR HORA]]*Tabla1[[#This Row],[HORAS]]</f>
        <v>0</v>
      </c>
      <c r="N549" t="str">
        <f>_xlfn.XLOOKUP(Tabla1[[#This Row],[NOMBRE_DOCENT]],MDOCENTES[DATOS_DOCENTE],MDOCENTES[DEDICACION],"Seleccione Docente")</f>
        <v>Seleccione Docente</v>
      </c>
      <c r="O549" t="str">
        <f>_xlfn.XLOOKUP(Tabla1[[#This Row],[NOMBRE_DOCENT]],MDOCENTES[DATOS_DOCENTE],MDOCENTES[ESTUDIO],"Seleccione Docente")</f>
        <v>Seleccione Docente</v>
      </c>
      <c r="P549">
        <f t="shared" si="40"/>
        <v>0</v>
      </c>
      <c r="Q549">
        <f t="shared" si="41"/>
        <v>0</v>
      </c>
      <c r="R549">
        <f t="shared" si="42"/>
        <v>0</v>
      </c>
      <c r="S549">
        <f t="shared" si="43"/>
        <v>0</v>
      </c>
      <c r="T549">
        <f t="shared" si="44"/>
        <v>0</v>
      </c>
      <c r="U549">
        <f>Tabla1[[#This Row],[HORAS NO AFINIDAD]]+Tabla1[[#This Row],[HORAS UNIDAD BASICA]]+Tabla1[[#This Row],[HORAS AFINIDAD]]</f>
        <v>0</v>
      </c>
      <c r="V549">
        <f>+Tabla1[[#This Row],[HORAS AFINIDAD]]+Tabla1[[#This Row],[HORAS ACTIVIDAD]]+Tabla1[[#This Row],[HORAS UNIDAD BASICA]]+Tabla1[[#This Row],[HORAS NO AFINIDAD]]</f>
        <v>0</v>
      </c>
    </row>
    <row r="550" spans="1:22" ht="18.75" customHeight="1">
      <c r="A550">
        <v>549</v>
      </c>
      <c r="C550" t="str">
        <f>_xlfn.XLOOKUP(Tabla1[[#This Row],[CARRERA]],MAE_CARRERA[NOMBRE_CARRERA],MAE_CARRERA[ID_CARRERA],"Seleccione Carrera")</f>
        <v>Seleccione Carrera</v>
      </c>
      <c r="F550" s="1"/>
      <c r="G550" t="str">
        <f>_xlfn.XLOOKUP(Tabla1[[#This Row],[ASIGNATURA]],MAE_ASIGNATURA[NOM_ASIG],MAE_ASIGNATURA[ID_ASIG],"Seleccione Asignatura")</f>
        <v>Seleccione Asignatura</v>
      </c>
      <c r="H550" s="1" t="str" cm="1">
        <f t="array" ref="H550">_xlfn.TEXTJOIN("; ",TRUE,TRANSPOSE(_xlfn.UNIQUE(_xlfn._xlws.FILTER(DET_ASIG[DETALLADO],(DET_ASIG[NIVEL]=ASIGNACION!$D550)*(DET_ASIG[ID_CARRERA]=ASIGNACION!$C550)*(DET_ASIG[ID_ASIG]=ASIGNACION!$G550),"No existe información"))))</f>
        <v>No existe información</v>
      </c>
      <c r="I550" s="1"/>
      <c r="J550">
        <f>_xlfn.XLOOKUP(Tabla1[[#This Row],[ID_ASIG_CAM_DET]],MAE_ASIGNATURA[ID_ASIG],MAE_ASIGNATURA[HORAS],0)</f>
        <v>0</v>
      </c>
      <c r="K550">
        <v>4</v>
      </c>
      <c r="L550" s="2">
        <f>+Tabla1[[#This Row],[CALCULAR HORA]]*Tabla1[[#This Row],[HORAS]]</f>
        <v>0</v>
      </c>
      <c r="N550" t="str">
        <f>_xlfn.XLOOKUP(Tabla1[[#This Row],[NOMBRE_DOCENT]],MDOCENTES[DATOS_DOCENTE],MDOCENTES[DEDICACION],"Seleccione Docente")</f>
        <v>Seleccione Docente</v>
      </c>
      <c r="O550" t="str">
        <f>_xlfn.XLOOKUP(Tabla1[[#This Row],[NOMBRE_DOCENT]],MDOCENTES[DATOS_DOCENTE],MDOCENTES[ESTUDIO],"Seleccione Docente")</f>
        <v>Seleccione Docente</v>
      </c>
      <c r="P550">
        <f t="shared" si="40"/>
        <v>0</v>
      </c>
      <c r="Q550">
        <f t="shared" si="41"/>
        <v>0</v>
      </c>
      <c r="R550">
        <f t="shared" si="42"/>
        <v>0</v>
      </c>
      <c r="S550">
        <f t="shared" si="43"/>
        <v>0</v>
      </c>
      <c r="T550">
        <f t="shared" si="44"/>
        <v>0</v>
      </c>
      <c r="U550">
        <f>Tabla1[[#This Row],[HORAS NO AFINIDAD]]+Tabla1[[#This Row],[HORAS UNIDAD BASICA]]+Tabla1[[#This Row],[HORAS AFINIDAD]]</f>
        <v>0</v>
      </c>
      <c r="V550">
        <f>+Tabla1[[#This Row],[HORAS AFINIDAD]]+Tabla1[[#This Row],[HORAS ACTIVIDAD]]+Tabla1[[#This Row],[HORAS UNIDAD BASICA]]+Tabla1[[#This Row],[HORAS NO AFINIDAD]]</f>
        <v>0</v>
      </c>
    </row>
    <row r="551" spans="1:22" ht="18.75" customHeight="1">
      <c r="A551">
        <v>550</v>
      </c>
      <c r="C551" t="str">
        <f>_xlfn.XLOOKUP(Tabla1[[#This Row],[CARRERA]],MAE_CARRERA[NOMBRE_CARRERA],MAE_CARRERA[ID_CARRERA],"Seleccione Carrera")</f>
        <v>Seleccione Carrera</v>
      </c>
      <c r="F551" s="1"/>
      <c r="G551" t="str">
        <f>_xlfn.XLOOKUP(Tabla1[[#This Row],[ASIGNATURA]],MAE_ASIGNATURA[NOM_ASIG],MAE_ASIGNATURA[ID_ASIG],"Seleccione Asignatura")</f>
        <v>Seleccione Asignatura</v>
      </c>
      <c r="H551" s="1" t="str" cm="1">
        <f t="array" ref="H551">_xlfn.TEXTJOIN("; ",TRUE,TRANSPOSE(_xlfn.UNIQUE(_xlfn._xlws.FILTER(DET_ASIG[DETALLADO],(DET_ASIG[NIVEL]=ASIGNACION!$D551)*(DET_ASIG[ID_CARRERA]=ASIGNACION!$C551)*(DET_ASIG[ID_ASIG]=ASIGNACION!$G551),"No existe información"))))</f>
        <v>No existe información</v>
      </c>
      <c r="I551" s="1"/>
      <c r="J551">
        <f>_xlfn.XLOOKUP(Tabla1[[#This Row],[ID_ASIG_CAM_DET]],MAE_ASIGNATURA[ID_ASIG],MAE_ASIGNATURA[HORAS],0)</f>
        <v>0</v>
      </c>
      <c r="K551">
        <v>4</v>
      </c>
      <c r="L551" s="2">
        <f>+Tabla1[[#This Row],[CALCULAR HORA]]*Tabla1[[#This Row],[HORAS]]</f>
        <v>0</v>
      </c>
      <c r="N551" t="str">
        <f>_xlfn.XLOOKUP(Tabla1[[#This Row],[NOMBRE_DOCENT]],MDOCENTES[DATOS_DOCENTE],MDOCENTES[DEDICACION],"Seleccione Docente")</f>
        <v>Seleccione Docente</v>
      </c>
      <c r="O551" t="str">
        <f>_xlfn.XLOOKUP(Tabla1[[#This Row],[NOMBRE_DOCENT]],MDOCENTES[DATOS_DOCENTE],MDOCENTES[ESTUDIO],"Seleccione Docente")</f>
        <v>Seleccione Docente</v>
      </c>
      <c r="P551">
        <f t="shared" si="40"/>
        <v>0</v>
      </c>
      <c r="Q551">
        <f t="shared" si="41"/>
        <v>0</v>
      </c>
      <c r="R551">
        <f t="shared" si="42"/>
        <v>0</v>
      </c>
      <c r="S551">
        <f t="shared" si="43"/>
        <v>0</v>
      </c>
      <c r="T551">
        <f t="shared" si="44"/>
        <v>0</v>
      </c>
      <c r="U551">
        <f>Tabla1[[#This Row],[HORAS NO AFINIDAD]]+Tabla1[[#This Row],[HORAS UNIDAD BASICA]]+Tabla1[[#This Row],[HORAS AFINIDAD]]</f>
        <v>0</v>
      </c>
      <c r="V551">
        <f>+Tabla1[[#This Row],[HORAS AFINIDAD]]+Tabla1[[#This Row],[HORAS ACTIVIDAD]]+Tabla1[[#This Row],[HORAS UNIDAD BASICA]]+Tabla1[[#This Row],[HORAS NO AFINIDAD]]</f>
        <v>0</v>
      </c>
    </row>
    <row r="552" spans="1:22" ht="18.75" customHeight="1">
      <c r="A552">
        <v>551</v>
      </c>
      <c r="C552" t="str">
        <f>_xlfn.XLOOKUP(Tabla1[[#This Row],[CARRERA]],MAE_CARRERA[NOMBRE_CARRERA],MAE_CARRERA[ID_CARRERA],"Seleccione Carrera")</f>
        <v>Seleccione Carrera</v>
      </c>
      <c r="F552" s="1"/>
      <c r="G552" t="str">
        <f>_xlfn.XLOOKUP(Tabla1[[#This Row],[ASIGNATURA]],MAE_ASIGNATURA[NOM_ASIG],MAE_ASIGNATURA[ID_ASIG],"Seleccione Asignatura")</f>
        <v>Seleccione Asignatura</v>
      </c>
      <c r="H552" s="1" t="str" cm="1">
        <f t="array" ref="H552">_xlfn.TEXTJOIN("; ",TRUE,TRANSPOSE(_xlfn.UNIQUE(_xlfn._xlws.FILTER(DET_ASIG[DETALLADO],(DET_ASIG[NIVEL]=ASIGNACION!$D552)*(DET_ASIG[ID_CARRERA]=ASIGNACION!$C552)*(DET_ASIG[ID_ASIG]=ASIGNACION!$G552),"No existe información"))))</f>
        <v>No existe información</v>
      </c>
      <c r="I552" s="1"/>
      <c r="J552">
        <f>_xlfn.XLOOKUP(Tabla1[[#This Row],[ID_ASIG_CAM_DET]],MAE_ASIGNATURA[ID_ASIG],MAE_ASIGNATURA[HORAS],0)</f>
        <v>0</v>
      </c>
      <c r="K552">
        <v>4</v>
      </c>
      <c r="L552" s="2">
        <f>+Tabla1[[#This Row],[CALCULAR HORA]]*Tabla1[[#This Row],[HORAS]]</f>
        <v>0</v>
      </c>
      <c r="N552" t="str">
        <f>_xlfn.XLOOKUP(Tabla1[[#This Row],[NOMBRE_DOCENT]],MDOCENTES[DATOS_DOCENTE],MDOCENTES[DEDICACION],"Seleccione Docente")</f>
        <v>Seleccione Docente</v>
      </c>
      <c r="O552" t="str">
        <f>_xlfn.XLOOKUP(Tabla1[[#This Row],[NOMBRE_DOCENT]],MDOCENTES[DATOS_DOCENTE],MDOCENTES[ESTUDIO],"Seleccione Docente")</f>
        <v>Seleccione Docente</v>
      </c>
      <c r="P552">
        <f t="shared" si="40"/>
        <v>0</v>
      </c>
      <c r="Q552">
        <f t="shared" si="41"/>
        <v>0</v>
      </c>
      <c r="R552">
        <f t="shared" si="42"/>
        <v>0</v>
      </c>
      <c r="S552">
        <f t="shared" si="43"/>
        <v>0</v>
      </c>
      <c r="T552">
        <f t="shared" si="44"/>
        <v>0</v>
      </c>
      <c r="U552">
        <f>Tabla1[[#This Row],[HORAS NO AFINIDAD]]+Tabla1[[#This Row],[HORAS UNIDAD BASICA]]+Tabla1[[#This Row],[HORAS AFINIDAD]]</f>
        <v>0</v>
      </c>
      <c r="V552">
        <f>+Tabla1[[#This Row],[HORAS AFINIDAD]]+Tabla1[[#This Row],[HORAS ACTIVIDAD]]+Tabla1[[#This Row],[HORAS UNIDAD BASICA]]+Tabla1[[#This Row],[HORAS NO AFINIDAD]]</f>
        <v>0</v>
      </c>
    </row>
    <row r="553" spans="1:22" ht="18.75" customHeight="1">
      <c r="A553">
        <v>552</v>
      </c>
      <c r="C553" t="str">
        <f>_xlfn.XLOOKUP(Tabla1[[#This Row],[CARRERA]],MAE_CARRERA[NOMBRE_CARRERA],MAE_CARRERA[ID_CARRERA],"Seleccione Carrera")</f>
        <v>Seleccione Carrera</v>
      </c>
      <c r="F553" s="1"/>
      <c r="G553" t="str">
        <f>_xlfn.XLOOKUP(Tabla1[[#This Row],[ASIGNATURA]],MAE_ASIGNATURA[NOM_ASIG],MAE_ASIGNATURA[ID_ASIG],"Seleccione Asignatura")</f>
        <v>Seleccione Asignatura</v>
      </c>
      <c r="H553" s="1" t="str" cm="1">
        <f t="array" ref="H553">_xlfn.TEXTJOIN("; ",TRUE,TRANSPOSE(_xlfn.UNIQUE(_xlfn._xlws.FILTER(DET_ASIG[DETALLADO],(DET_ASIG[NIVEL]=ASIGNACION!$D553)*(DET_ASIG[ID_CARRERA]=ASIGNACION!$C553)*(DET_ASIG[ID_ASIG]=ASIGNACION!$G553),"No existe información"))))</f>
        <v>No existe información</v>
      </c>
      <c r="I553" s="1"/>
      <c r="J553">
        <f>_xlfn.XLOOKUP(Tabla1[[#This Row],[ID_ASIG_CAM_DET]],MAE_ASIGNATURA[ID_ASIG],MAE_ASIGNATURA[HORAS],0)</f>
        <v>0</v>
      </c>
      <c r="K553">
        <v>4</v>
      </c>
      <c r="L553" s="2">
        <f>+Tabla1[[#This Row],[CALCULAR HORA]]*Tabla1[[#This Row],[HORAS]]</f>
        <v>0</v>
      </c>
      <c r="N553" t="str">
        <f>_xlfn.XLOOKUP(Tabla1[[#This Row],[NOMBRE_DOCENT]],MDOCENTES[DATOS_DOCENTE],MDOCENTES[DEDICACION],"Seleccione Docente")</f>
        <v>Seleccione Docente</v>
      </c>
      <c r="O553" t="str">
        <f>_xlfn.XLOOKUP(Tabla1[[#This Row],[NOMBRE_DOCENT]],MDOCENTES[DATOS_DOCENTE],MDOCENTES[ESTUDIO],"Seleccione Docente")</f>
        <v>Seleccione Docente</v>
      </c>
      <c r="P553">
        <f t="shared" si="40"/>
        <v>0</v>
      </c>
      <c r="Q553">
        <f t="shared" si="41"/>
        <v>0</v>
      </c>
      <c r="R553">
        <f t="shared" si="42"/>
        <v>0</v>
      </c>
      <c r="S553">
        <f t="shared" si="43"/>
        <v>0</v>
      </c>
      <c r="T553">
        <f t="shared" si="44"/>
        <v>0</v>
      </c>
      <c r="U553">
        <f>Tabla1[[#This Row],[HORAS NO AFINIDAD]]+Tabla1[[#This Row],[HORAS UNIDAD BASICA]]+Tabla1[[#This Row],[HORAS AFINIDAD]]</f>
        <v>0</v>
      </c>
      <c r="V553">
        <f>+Tabla1[[#This Row],[HORAS AFINIDAD]]+Tabla1[[#This Row],[HORAS ACTIVIDAD]]+Tabla1[[#This Row],[HORAS UNIDAD BASICA]]+Tabla1[[#This Row],[HORAS NO AFINIDAD]]</f>
        <v>0</v>
      </c>
    </row>
    <row r="554" spans="1:22" ht="18.75" customHeight="1">
      <c r="A554">
        <v>553</v>
      </c>
      <c r="C554" t="str">
        <f>_xlfn.XLOOKUP(Tabla1[[#This Row],[CARRERA]],MAE_CARRERA[NOMBRE_CARRERA],MAE_CARRERA[ID_CARRERA],"Seleccione Carrera")</f>
        <v>Seleccione Carrera</v>
      </c>
      <c r="F554" s="1"/>
      <c r="G554" t="str">
        <f>_xlfn.XLOOKUP(Tabla1[[#This Row],[ASIGNATURA]],MAE_ASIGNATURA[NOM_ASIG],MAE_ASIGNATURA[ID_ASIG],"Seleccione Asignatura")</f>
        <v>Seleccione Asignatura</v>
      </c>
      <c r="H554" s="1" t="str" cm="1">
        <f t="array" ref="H554">_xlfn.TEXTJOIN("; ",TRUE,TRANSPOSE(_xlfn.UNIQUE(_xlfn._xlws.FILTER(DET_ASIG[DETALLADO],(DET_ASIG[NIVEL]=ASIGNACION!$D554)*(DET_ASIG[ID_CARRERA]=ASIGNACION!$C554)*(DET_ASIG[ID_ASIG]=ASIGNACION!$G554),"No existe información"))))</f>
        <v>No existe información</v>
      </c>
      <c r="I554" s="1"/>
      <c r="J554">
        <f>_xlfn.XLOOKUP(Tabla1[[#This Row],[ID_ASIG_CAM_DET]],MAE_ASIGNATURA[ID_ASIG],MAE_ASIGNATURA[HORAS],0)</f>
        <v>0</v>
      </c>
      <c r="K554">
        <v>4</v>
      </c>
      <c r="L554" s="2">
        <f>+Tabla1[[#This Row],[CALCULAR HORA]]*Tabla1[[#This Row],[HORAS]]</f>
        <v>0</v>
      </c>
      <c r="N554" t="str">
        <f>_xlfn.XLOOKUP(Tabla1[[#This Row],[NOMBRE_DOCENT]],MDOCENTES[DATOS_DOCENTE],MDOCENTES[DEDICACION],"Seleccione Docente")</f>
        <v>Seleccione Docente</v>
      </c>
      <c r="O554" t="str">
        <f>_xlfn.XLOOKUP(Tabla1[[#This Row],[NOMBRE_DOCENT]],MDOCENTES[DATOS_DOCENTE],MDOCENTES[ESTUDIO],"Seleccione Docente")</f>
        <v>Seleccione Docente</v>
      </c>
      <c r="P554">
        <f t="shared" si="40"/>
        <v>0</v>
      </c>
      <c r="Q554">
        <f t="shared" si="41"/>
        <v>0</v>
      </c>
      <c r="R554">
        <f t="shared" si="42"/>
        <v>0</v>
      </c>
      <c r="S554">
        <f t="shared" si="43"/>
        <v>0</v>
      </c>
      <c r="T554">
        <f t="shared" si="44"/>
        <v>0</v>
      </c>
      <c r="U554">
        <f>Tabla1[[#This Row],[HORAS NO AFINIDAD]]+Tabla1[[#This Row],[HORAS UNIDAD BASICA]]+Tabla1[[#This Row],[HORAS AFINIDAD]]</f>
        <v>0</v>
      </c>
      <c r="V554">
        <f>+Tabla1[[#This Row],[HORAS AFINIDAD]]+Tabla1[[#This Row],[HORAS ACTIVIDAD]]+Tabla1[[#This Row],[HORAS UNIDAD BASICA]]+Tabla1[[#This Row],[HORAS NO AFINIDAD]]</f>
        <v>0</v>
      </c>
    </row>
    <row r="555" spans="1:22" ht="18.75" customHeight="1">
      <c r="A555">
        <v>554</v>
      </c>
      <c r="C555" t="str">
        <f>_xlfn.XLOOKUP(Tabla1[[#This Row],[CARRERA]],MAE_CARRERA[NOMBRE_CARRERA],MAE_CARRERA[ID_CARRERA],"Seleccione Carrera")</f>
        <v>Seleccione Carrera</v>
      </c>
      <c r="F555" s="1"/>
      <c r="G555" t="str">
        <f>_xlfn.XLOOKUP(Tabla1[[#This Row],[ASIGNATURA]],MAE_ASIGNATURA[NOM_ASIG],MAE_ASIGNATURA[ID_ASIG],"Seleccione Asignatura")</f>
        <v>Seleccione Asignatura</v>
      </c>
      <c r="H555" s="1" t="str" cm="1">
        <f t="array" ref="H555">_xlfn.TEXTJOIN("; ",TRUE,TRANSPOSE(_xlfn.UNIQUE(_xlfn._xlws.FILTER(DET_ASIG[DETALLADO],(DET_ASIG[NIVEL]=ASIGNACION!$D555)*(DET_ASIG[ID_CARRERA]=ASIGNACION!$C555)*(DET_ASIG[ID_ASIG]=ASIGNACION!$G555),"No existe información"))))</f>
        <v>No existe información</v>
      </c>
      <c r="I555" s="1"/>
      <c r="J555">
        <f>_xlfn.XLOOKUP(Tabla1[[#This Row],[ID_ASIG_CAM_DET]],MAE_ASIGNATURA[ID_ASIG],MAE_ASIGNATURA[HORAS],0)</f>
        <v>0</v>
      </c>
      <c r="K555">
        <v>4</v>
      </c>
      <c r="L555" s="2">
        <f>+Tabla1[[#This Row],[CALCULAR HORA]]*Tabla1[[#This Row],[HORAS]]</f>
        <v>0</v>
      </c>
      <c r="N555" t="str">
        <f>_xlfn.XLOOKUP(Tabla1[[#This Row],[NOMBRE_DOCENT]],MDOCENTES[DATOS_DOCENTE],MDOCENTES[DEDICACION],"Seleccione Docente")</f>
        <v>Seleccione Docente</v>
      </c>
      <c r="O555" t="str">
        <f>_xlfn.XLOOKUP(Tabla1[[#This Row],[NOMBRE_DOCENT]],MDOCENTES[DATOS_DOCENTE],MDOCENTES[ESTUDIO],"Seleccione Docente")</f>
        <v>Seleccione Docente</v>
      </c>
      <c r="P555">
        <f t="shared" si="40"/>
        <v>0</v>
      </c>
      <c r="Q555">
        <f t="shared" si="41"/>
        <v>0</v>
      </c>
      <c r="R555">
        <f t="shared" si="42"/>
        <v>0</v>
      </c>
      <c r="S555">
        <f t="shared" si="43"/>
        <v>0</v>
      </c>
      <c r="T555">
        <f t="shared" si="44"/>
        <v>0</v>
      </c>
      <c r="U555">
        <f>Tabla1[[#This Row],[HORAS NO AFINIDAD]]+Tabla1[[#This Row],[HORAS UNIDAD BASICA]]+Tabla1[[#This Row],[HORAS AFINIDAD]]</f>
        <v>0</v>
      </c>
      <c r="V555">
        <f>+Tabla1[[#This Row],[HORAS AFINIDAD]]+Tabla1[[#This Row],[HORAS ACTIVIDAD]]+Tabla1[[#This Row],[HORAS UNIDAD BASICA]]+Tabla1[[#This Row],[HORAS NO AFINIDAD]]</f>
        <v>0</v>
      </c>
    </row>
    <row r="556" spans="1:22" ht="18.75" customHeight="1">
      <c r="A556">
        <v>555</v>
      </c>
      <c r="C556" t="str">
        <f>_xlfn.XLOOKUP(Tabla1[[#This Row],[CARRERA]],MAE_CARRERA[NOMBRE_CARRERA],MAE_CARRERA[ID_CARRERA],"Seleccione Carrera")</f>
        <v>Seleccione Carrera</v>
      </c>
      <c r="F556" s="1"/>
      <c r="G556" t="str">
        <f>_xlfn.XLOOKUP(Tabla1[[#This Row],[ASIGNATURA]],MAE_ASIGNATURA[NOM_ASIG],MAE_ASIGNATURA[ID_ASIG],"Seleccione Asignatura")</f>
        <v>Seleccione Asignatura</v>
      </c>
      <c r="H556" s="1" t="str" cm="1">
        <f t="array" ref="H556">_xlfn.TEXTJOIN("; ",TRUE,TRANSPOSE(_xlfn.UNIQUE(_xlfn._xlws.FILTER(DET_ASIG[DETALLADO],(DET_ASIG[NIVEL]=ASIGNACION!$D556)*(DET_ASIG[ID_CARRERA]=ASIGNACION!$C556)*(DET_ASIG[ID_ASIG]=ASIGNACION!$G556),"No existe información"))))</f>
        <v>No existe información</v>
      </c>
      <c r="I556" s="1"/>
      <c r="J556">
        <f>_xlfn.XLOOKUP(Tabla1[[#This Row],[ID_ASIG_CAM_DET]],MAE_ASIGNATURA[ID_ASIG],MAE_ASIGNATURA[HORAS],0)</f>
        <v>0</v>
      </c>
      <c r="K556">
        <v>4</v>
      </c>
      <c r="L556" s="2">
        <f>+Tabla1[[#This Row],[CALCULAR HORA]]*Tabla1[[#This Row],[HORAS]]</f>
        <v>0</v>
      </c>
      <c r="N556" t="str">
        <f>_xlfn.XLOOKUP(Tabla1[[#This Row],[NOMBRE_DOCENT]],MDOCENTES[DATOS_DOCENTE],MDOCENTES[DEDICACION],"Seleccione Docente")</f>
        <v>Seleccione Docente</v>
      </c>
      <c r="O556" t="str">
        <f>_xlfn.XLOOKUP(Tabla1[[#This Row],[NOMBRE_DOCENT]],MDOCENTES[DATOS_DOCENTE],MDOCENTES[ESTUDIO],"Seleccione Docente")</f>
        <v>Seleccione Docente</v>
      </c>
      <c r="P556">
        <f t="shared" si="40"/>
        <v>0</v>
      </c>
      <c r="Q556">
        <f t="shared" si="41"/>
        <v>0</v>
      </c>
      <c r="R556">
        <f t="shared" si="42"/>
        <v>0</v>
      </c>
      <c r="S556">
        <f t="shared" si="43"/>
        <v>0</v>
      </c>
      <c r="T556">
        <f t="shared" si="44"/>
        <v>0</v>
      </c>
      <c r="U556">
        <f>Tabla1[[#This Row],[HORAS NO AFINIDAD]]+Tabla1[[#This Row],[HORAS UNIDAD BASICA]]+Tabla1[[#This Row],[HORAS AFINIDAD]]</f>
        <v>0</v>
      </c>
      <c r="V556">
        <f>+Tabla1[[#This Row],[HORAS AFINIDAD]]+Tabla1[[#This Row],[HORAS ACTIVIDAD]]+Tabla1[[#This Row],[HORAS UNIDAD BASICA]]+Tabla1[[#This Row],[HORAS NO AFINIDAD]]</f>
        <v>0</v>
      </c>
    </row>
    <row r="557" spans="1:22" ht="18.75" customHeight="1">
      <c r="A557">
        <v>556</v>
      </c>
      <c r="C557" t="str">
        <f>_xlfn.XLOOKUP(Tabla1[[#This Row],[CARRERA]],MAE_CARRERA[NOMBRE_CARRERA],MAE_CARRERA[ID_CARRERA],"Seleccione Carrera")</f>
        <v>Seleccione Carrera</v>
      </c>
      <c r="F557" s="1"/>
      <c r="G557" t="str">
        <f>_xlfn.XLOOKUP(Tabla1[[#This Row],[ASIGNATURA]],MAE_ASIGNATURA[NOM_ASIG],MAE_ASIGNATURA[ID_ASIG],"Seleccione Asignatura")</f>
        <v>Seleccione Asignatura</v>
      </c>
      <c r="H557" s="1" t="str" cm="1">
        <f t="array" ref="H557">_xlfn.TEXTJOIN("; ",TRUE,TRANSPOSE(_xlfn.UNIQUE(_xlfn._xlws.FILTER(DET_ASIG[DETALLADO],(DET_ASIG[NIVEL]=ASIGNACION!$D557)*(DET_ASIG[ID_CARRERA]=ASIGNACION!$C557)*(DET_ASIG[ID_ASIG]=ASIGNACION!$G557),"No existe información"))))</f>
        <v>No existe información</v>
      </c>
      <c r="I557" s="1"/>
      <c r="J557">
        <f>_xlfn.XLOOKUP(Tabla1[[#This Row],[ID_ASIG_CAM_DET]],MAE_ASIGNATURA[ID_ASIG],MAE_ASIGNATURA[HORAS],0)</f>
        <v>0</v>
      </c>
      <c r="K557">
        <v>4</v>
      </c>
      <c r="L557" s="2">
        <f>+Tabla1[[#This Row],[CALCULAR HORA]]*Tabla1[[#This Row],[HORAS]]</f>
        <v>0</v>
      </c>
      <c r="N557" t="str">
        <f>_xlfn.XLOOKUP(Tabla1[[#This Row],[NOMBRE_DOCENT]],MDOCENTES[DATOS_DOCENTE],MDOCENTES[DEDICACION],"Seleccione Docente")</f>
        <v>Seleccione Docente</v>
      </c>
      <c r="O557" t="str">
        <f>_xlfn.XLOOKUP(Tabla1[[#This Row],[NOMBRE_DOCENT]],MDOCENTES[DATOS_DOCENTE],MDOCENTES[ESTUDIO],"Seleccione Docente")</f>
        <v>Seleccione Docente</v>
      </c>
      <c r="P557">
        <f t="shared" si="40"/>
        <v>0</v>
      </c>
      <c r="Q557">
        <f t="shared" si="41"/>
        <v>0</v>
      </c>
      <c r="R557">
        <f t="shared" si="42"/>
        <v>0</v>
      </c>
      <c r="S557">
        <f t="shared" si="43"/>
        <v>0</v>
      </c>
      <c r="T557">
        <f t="shared" si="44"/>
        <v>0</v>
      </c>
      <c r="U557">
        <f>Tabla1[[#This Row],[HORAS NO AFINIDAD]]+Tabla1[[#This Row],[HORAS UNIDAD BASICA]]+Tabla1[[#This Row],[HORAS AFINIDAD]]</f>
        <v>0</v>
      </c>
      <c r="V557">
        <f>+Tabla1[[#This Row],[HORAS AFINIDAD]]+Tabla1[[#This Row],[HORAS ACTIVIDAD]]+Tabla1[[#This Row],[HORAS UNIDAD BASICA]]+Tabla1[[#This Row],[HORAS NO AFINIDAD]]</f>
        <v>0</v>
      </c>
    </row>
    <row r="558" spans="1:22" ht="18.75" customHeight="1">
      <c r="A558">
        <v>557</v>
      </c>
      <c r="C558" t="str">
        <f>_xlfn.XLOOKUP(Tabla1[[#This Row],[CARRERA]],MAE_CARRERA[NOMBRE_CARRERA],MAE_CARRERA[ID_CARRERA],"Seleccione Carrera")</f>
        <v>Seleccione Carrera</v>
      </c>
      <c r="F558" s="1"/>
      <c r="G558" t="str">
        <f>_xlfn.XLOOKUP(Tabla1[[#This Row],[ASIGNATURA]],MAE_ASIGNATURA[NOM_ASIG],MAE_ASIGNATURA[ID_ASIG],"Seleccione Asignatura")</f>
        <v>Seleccione Asignatura</v>
      </c>
      <c r="H558" s="1" t="str" cm="1">
        <f t="array" ref="H558">_xlfn.TEXTJOIN("; ",TRUE,TRANSPOSE(_xlfn.UNIQUE(_xlfn._xlws.FILTER(DET_ASIG[DETALLADO],(DET_ASIG[NIVEL]=ASIGNACION!$D558)*(DET_ASIG[ID_CARRERA]=ASIGNACION!$C558)*(DET_ASIG[ID_ASIG]=ASIGNACION!$G558),"No existe información"))))</f>
        <v>No existe información</v>
      </c>
      <c r="I558" s="1"/>
      <c r="J558">
        <f>_xlfn.XLOOKUP(Tabla1[[#This Row],[ID_ASIG_CAM_DET]],MAE_ASIGNATURA[ID_ASIG],MAE_ASIGNATURA[HORAS],0)</f>
        <v>0</v>
      </c>
      <c r="K558">
        <v>4</v>
      </c>
      <c r="L558" s="2">
        <f>+Tabla1[[#This Row],[CALCULAR HORA]]*Tabla1[[#This Row],[HORAS]]</f>
        <v>0</v>
      </c>
      <c r="N558" t="str">
        <f>_xlfn.XLOOKUP(Tabla1[[#This Row],[NOMBRE_DOCENT]],MDOCENTES[DATOS_DOCENTE],MDOCENTES[DEDICACION],"Seleccione Docente")</f>
        <v>Seleccione Docente</v>
      </c>
      <c r="O558" t="str">
        <f>_xlfn.XLOOKUP(Tabla1[[#This Row],[NOMBRE_DOCENT]],MDOCENTES[DATOS_DOCENTE],MDOCENTES[ESTUDIO],"Seleccione Docente")</f>
        <v>Seleccione Docente</v>
      </c>
      <c r="P558">
        <f t="shared" si="40"/>
        <v>0</v>
      </c>
      <c r="Q558">
        <f t="shared" si="41"/>
        <v>0</v>
      </c>
      <c r="R558">
        <f t="shared" si="42"/>
        <v>0</v>
      </c>
      <c r="S558">
        <f t="shared" si="43"/>
        <v>0</v>
      </c>
      <c r="T558">
        <f t="shared" si="44"/>
        <v>0</v>
      </c>
      <c r="U558">
        <f>Tabla1[[#This Row],[HORAS NO AFINIDAD]]+Tabla1[[#This Row],[HORAS UNIDAD BASICA]]+Tabla1[[#This Row],[HORAS AFINIDAD]]</f>
        <v>0</v>
      </c>
      <c r="V558">
        <f>+Tabla1[[#This Row],[HORAS AFINIDAD]]+Tabla1[[#This Row],[HORAS ACTIVIDAD]]+Tabla1[[#This Row],[HORAS UNIDAD BASICA]]+Tabla1[[#This Row],[HORAS NO AFINIDAD]]</f>
        <v>0</v>
      </c>
    </row>
    <row r="559" spans="1:22" ht="18.75" customHeight="1">
      <c r="A559">
        <v>558</v>
      </c>
      <c r="C559" t="str">
        <f>_xlfn.XLOOKUP(Tabla1[[#This Row],[CARRERA]],MAE_CARRERA[NOMBRE_CARRERA],MAE_CARRERA[ID_CARRERA],"Seleccione Carrera")</f>
        <v>Seleccione Carrera</v>
      </c>
      <c r="F559" s="1"/>
      <c r="G559" t="str">
        <f>_xlfn.XLOOKUP(Tabla1[[#This Row],[ASIGNATURA]],MAE_ASIGNATURA[NOM_ASIG],MAE_ASIGNATURA[ID_ASIG],"Seleccione Asignatura")</f>
        <v>Seleccione Asignatura</v>
      </c>
      <c r="H559" s="1" t="str" cm="1">
        <f t="array" ref="H559">_xlfn.TEXTJOIN("; ",TRUE,TRANSPOSE(_xlfn.UNIQUE(_xlfn._xlws.FILTER(DET_ASIG[DETALLADO],(DET_ASIG[NIVEL]=ASIGNACION!$D559)*(DET_ASIG[ID_CARRERA]=ASIGNACION!$C559)*(DET_ASIG[ID_ASIG]=ASIGNACION!$G559),"No existe información"))))</f>
        <v>No existe información</v>
      </c>
      <c r="I559" s="1"/>
      <c r="J559">
        <f>_xlfn.XLOOKUP(Tabla1[[#This Row],[ID_ASIG_CAM_DET]],MAE_ASIGNATURA[ID_ASIG],MAE_ASIGNATURA[HORAS],0)</f>
        <v>0</v>
      </c>
      <c r="K559">
        <v>4</v>
      </c>
      <c r="L559" s="2">
        <f>+Tabla1[[#This Row],[CALCULAR HORA]]*Tabla1[[#This Row],[HORAS]]</f>
        <v>0</v>
      </c>
      <c r="N559" t="str">
        <f>_xlfn.XLOOKUP(Tabla1[[#This Row],[NOMBRE_DOCENT]],MDOCENTES[DATOS_DOCENTE],MDOCENTES[DEDICACION],"Seleccione Docente")</f>
        <v>Seleccione Docente</v>
      </c>
      <c r="O559" t="str">
        <f>_xlfn.XLOOKUP(Tabla1[[#This Row],[NOMBRE_DOCENT]],MDOCENTES[DATOS_DOCENTE],MDOCENTES[ESTUDIO],"Seleccione Docente")</f>
        <v>Seleccione Docente</v>
      </c>
      <c r="P559">
        <f t="shared" si="40"/>
        <v>0</v>
      </c>
      <c r="Q559">
        <f t="shared" si="41"/>
        <v>0</v>
      </c>
      <c r="R559">
        <f t="shared" si="42"/>
        <v>0</v>
      </c>
      <c r="S559">
        <f t="shared" si="43"/>
        <v>0</v>
      </c>
      <c r="T559">
        <f t="shared" si="44"/>
        <v>0</v>
      </c>
      <c r="U559">
        <f>Tabla1[[#This Row],[HORAS NO AFINIDAD]]+Tabla1[[#This Row],[HORAS UNIDAD BASICA]]+Tabla1[[#This Row],[HORAS AFINIDAD]]</f>
        <v>0</v>
      </c>
      <c r="V559">
        <f>+Tabla1[[#This Row],[HORAS AFINIDAD]]+Tabla1[[#This Row],[HORAS ACTIVIDAD]]+Tabla1[[#This Row],[HORAS UNIDAD BASICA]]+Tabla1[[#This Row],[HORAS NO AFINIDAD]]</f>
        <v>0</v>
      </c>
    </row>
    <row r="560" spans="1:22" ht="18.75" customHeight="1">
      <c r="A560">
        <v>559</v>
      </c>
      <c r="C560" t="str">
        <f>_xlfn.XLOOKUP(Tabla1[[#This Row],[CARRERA]],MAE_CARRERA[NOMBRE_CARRERA],MAE_CARRERA[ID_CARRERA],"Seleccione Carrera")</f>
        <v>Seleccione Carrera</v>
      </c>
      <c r="F560" s="1"/>
      <c r="G560" t="str">
        <f>_xlfn.XLOOKUP(Tabla1[[#This Row],[ASIGNATURA]],MAE_ASIGNATURA[NOM_ASIG],MAE_ASIGNATURA[ID_ASIG],"Seleccione Asignatura")</f>
        <v>Seleccione Asignatura</v>
      </c>
      <c r="H560" s="1" t="str" cm="1">
        <f t="array" ref="H560">_xlfn.TEXTJOIN("; ",TRUE,TRANSPOSE(_xlfn.UNIQUE(_xlfn._xlws.FILTER(DET_ASIG[DETALLADO],(DET_ASIG[NIVEL]=ASIGNACION!$D560)*(DET_ASIG[ID_CARRERA]=ASIGNACION!$C560)*(DET_ASIG[ID_ASIG]=ASIGNACION!$G560),"No existe información"))))</f>
        <v>No existe información</v>
      </c>
      <c r="I560" s="1"/>
      <c r="J560">
        <f>_xlfn.XLOOKUP(Tabla1[[#This Row],[ID_ASIG_CAM_DET]],MAE_ASIGNATURA[ID_ASIG],MAE_ASIGNATURA[HORAS],0)</f>
        <v>0</v>
      </c>
      <c r="K560">
        <v>4</v>
      </c>
      <c r="L560" s="2">
        <f>+Tabla1[[#This Row],[CALCULAR HORA]]*Tabla1[[#This Row],[HORAS]]</f>
        <v>0</v>
      </c>
      <c r="N560" t="str">
        <f>_xlfn.XLOOKUP(Tabla1[[#This Row],[NOMBRE_DOCENT]],MDOCENTES[DATOS_DOCENTE],MDOCENTES[DEDICACION],"Seleccione Docente")</f>
        <v>Seleccione Docente</v>
      </c>
      <c r="O560" t="str">
        <f>_xlfn.XLOOKUP(Tabla1[[#This Row],[NOMBRE_DOCENT]],MDOCENTES[DATOS_DOCENTE],MDOCENTES[ESTUDIO],"Seleccione Docente")</f>
        <v>Seleccione Docente</v>
      </c>
      <c r="P560">
        <f t="shared" si="40"/>
        <v>0</v>
      </c>
      <c r="Q560">
        <f t="shared" si="41"/>
        <v>0</v>
      </c>
      <c r="R560">
        <f t="shared" si="42"/>
        <v>0</v>
      </c>
      <c r="S560">
        <f t="shared" si="43"/>
        <v>0</v>
      </c>
      <c r="T560">
        <f t="shared" si="44"/>
        <v>0</v>
      </c>
      <c r="U560">
        <f>Tabla1[[#This Row],[HORAS NO AFINIDAD]]+Tabla1[[#This Row],[HORAS UNIDAD BASICA]]+Tabla1[[#This Row],[HORAS AFINIDAD]]</f>
        <v>0</v>
      </c>
      <c r="V560">
        <f>+Tabla1[[#This Row],[HORAS AFINIDAD]]+Tabla1[[#This Row],[HORAS ACTIVIDAD]]+Tabla1[[#This Row],[HORAS UNIDAD BASICA]]+Tabla1[[#This Row],[HORAS NO AFINIDAD]]</f>
        <v>0</v>
      </c>
    </row>
    <row r="561" spans="1:22" ht="18.75" customHeight="1">
      <c r="A561">
        <v>560</v>
      </c>
      <c r="C561" t="str">
        <f>_xlfn.XLOOKUP(Tabla1[[#This Row],[CARRERA]],MAE_CARRERA[NOMBRE_CARRERA],MAE_CARRERA[ID_CARRERA],"Seleccione Carrera")</f>
        <v>Seleccione Carrera</v>
      </c>
      <c r="F561" s="1"/>
      <c r="G561" t="str">
        <f>_xlfn.XLOOKUP(Tabla1[[#This Row],[ASIGNATURA]],MAE_ASIGNATURA[NOM_ASIG],MAE_ASIGNATURA[ID_ASIG],"Seleccione Asignatura")</f>
        <v>Seleccione Asignatura</v>
      </c>
      <c r="H561" s="1" t="str" cm="1">
        <f t="array" ref="H561">_xlfn.TEXTJOIN("; ",TRUE,TRANSPOSE(_xlfn.UNIQUE(_xlfn._xlws.FILTER(DET_ASIG[DETALLADO],(DET_ASIG[NIVEL]=ASIGNACION!$D561)*(DET_ASIG[ID_CARRERA]=ASIGNACION!$C561)*(DET_ASIG[ID_ASIG]=ASIGNACION!$G561),"No existe información"))))</f>
        <v>No existe información</v>
      </c>
      <c r="I561" s="1"/>
      <c r="J561">
        <f>_xlfn.XLOOKUP(Tabla1[[#This Row],[ID_ASIG_CAM_DET]],MAE_ASIGNATURA[ID_ASIG],MAE_ASIGNATURA[HORAS],0)</f>
        <v>0</v>
      </c>
      <c r="K561">
        <v>4</v>
      </c>
      <c r="L561" s="2">
        <f>+Tabla1[[#This Row],[CALCULAR HORA]]*Tabla1[[#This Row],[HORAS]]</f>
        <v>0</v>
      </c>
      <c r="N561" t="str">
        <f>_xlfn.XLOOKUP(Tabla1[[#This Row],[NOMBRE_DOCENT]],MDOCENTES[DATOS_DOCENTE],MDOCENTES[DEDICACION],"Seleccione Docente")</f>
        <v>Seleccione Docente</v>
      </c>
      <c r="O561" t="str">
        <f>_xlfn.XLOOKUP(Tabla1[[#This Row],[NOMBRE_DOCENT]],MDOCENTES[DATOS_DOCENTE],MDOCENTES[ESTUDIO],"Seleccione Docente")</f>
        <v>Seleccione Docente</v>
      </c>
      <c r="P561">
        <f t="shared" si="40"/>
        <v>0</v>
      </c>
      <c r="Q561">
        <f t="shared" si="41"/>
        <v>0</v>
      </c>
      <c r="R561">
        <f t="shared" si="42"/>
        <v>0</v>
      </c>
      <c r="S561">
        <f t="shared" si="43"/>
        <v>0</v>
      </c>
      <c r="T561">
        <f t="shared" si="44"/>
        <v>0</v>
      </c>
      <c r="U561">
        <f>Tabla1[[#This Row],[HORAS NO AFINIDAD]]+Tabla1[[#This Row],[HORAS UNIDAD BASICA]]+Tabla1[[#This Row],[HORAS AFINIDAD]]</f>
        <v>0</v>
      </c>
      <c r="V561">
        <f>+Tabla1[[#This Row],[HORAS AFINIDAD]]+Tabla1[[#This Row],[HORAS ACTIVIDAD]]+Tabla1[[#This Row],[HORAS UNIDAD BASICA]]+Tabla1[[#This Row],[HORAS NO AFINIDAD]]</f>
        <v>0</v>
      </c>
    </row>
    <row r="562" spans="1:22" ht="18.75" customHeight="1">
      <c r="A562">
        <v>561</v>
      </c>
      <c r="C562" t="str">
        <f>_xlfn.XLOOKUP(Tabla1[[#This Row],[CARRERA]],MAE_CARRERA[NOMBRE_CARRERA],MAE_CARRERA[ID_CARRERA],"Seleccione Carrera")</f>
        <v>Seleccione Carrera</v>
      </c>
      <c r="F562" s="1"/>
      <c r="G562" t="str">
        <f>_xlfn.XLOOKUP(Tabla1[[#This Row],[ASIGNATURA]],MAE_ASIGNATURA[NOM_ASIG],MAE_ASIGNATURA[ID_ASIG],"Seleccione Asignatura")</f>
        <v>Seleccione Asignatura</v>
      </c>
      <c r="H562" s="1" t="str" cm="1">
        <f t="array" ref="H562">_xlfn.TEXTJOIN("; ",TRUE,TRANSPOSE(_xlfn.UNIQUE(_xlfn._xlws.FILTER(DET_ASIG[DETALLADO],(DET_ASIG[NIVEL]=ASIGNACION!$D562)*(DET_ASIG[ID_CARRERA]=ASIGNACION!$C562)*(DET_ASIG[ID_ASIG]=ASIGNACION!$G562),"No existe información"))))</f>
        <v>No existe información</v>
      </c>
      <c r="I562" s="1"/>
      <c r="J562">
        <f>_xlfn.XLOOKUP(Tabla1[[#This Row],[ID_ASIG_CAM_DET]],MAE_ASIGNATURA[ID_ASIG],MAE_ASIGNATURA[HORAS],0)</f>
        <v>0</v>
      </c>
      <c r="K562">
        <v>4</v>
      </c>
      <c r="L562" s="2">
        <f>+Tabla1[[#This Row],[CALCULAR HORA]]*Tabla1[[#This Row],[HORAS]]</f>
        <v>0</v>
      </c>
      <c r="N562" t="str">
        <f>_xlfn.XLOOKUP(Tabla1[[#This Row],[NOMBRE_DOCENT]],MDOCENTES[DATOS_DOCENTE],MDOCENTES[DEDICACION],"Seleccione Docente")</f>
        <v>Seleccione Docente</v>
      </c>
      <c r="O562" t="str">
        <f>_xlfn.XLOOKUP(Tabla1[[#This Row],[NOMBRE_DOCENT]],MDOCENTES[DATOS_DOCENTE],MDOCENTES[ESTUDIO],"Seleccione Docente")</f>
        <v>Seleccione Docente</v>
      </c>
      <c r="P562">
        <f t="shared" si="40"/>
        <v>0</v>
      </c>
      <c r="Q562">
        <f t="shared" si="41"/>
        <v>0</v>
      </c>
      <c r="R562">
        <f t="shared" si="42"/>
        <v>0</v>
      </c>
      <c r="S562">
        <f t="shared" si="43"/>
        <v>0</v>
      </c>
      <c r="T562">
        <f t="shared" si="44"/>
        <v>0</v>
      </c>
      <c r="U562">
        <f>Tabla1[[#This Row],[HORAS NO AFINIDAD]]+Tabla1[[#This Row],[HORAS UNIDAD BASICA]]+Tabla1[[#This Row],[HORAS AFINIDAD]]</f>
        <v>0</v>
      </c>
      <c r="V562">
        <f>+Tabla1[[#This Row],[HORAS AFINIDAD]]+Tabla1[[#This Row],[HORAS ACTIVIDAD]]+Tabla1[[#This Row],[HORAS UNIDAD BASICA]]+Tabla1[[#This Row],[HORAS NO AFINIDAD]]</f>
        <v>0</v>
      </c>
    </row>
    <row r="563" spans="1:22" ht="18.75" customHeight="1">
      <c r="A563">
        <v>562</v>
      </c>
      <c r="C563" t="str">
        <f>_xlfn.XLOOKUP(Tabla1[[#This Row],[CARRERA]],MAE_CARRERA[NOMBRE_CARRERA],MAE_CARRERA[ID_CARRERA],"Seleccione Carrera")</f>
        <v>Seleccione Carrera</v>
      </c>
      <c r="F563" s="1"/>
      <c r="G563" t="str">
        <f>_xlfn.XLOOKUP(Tabla1[[#This Row],[ASIGNATURA]],MAE_ASIGNATURA[NOM_ASIG],MAE_ASIGNATURA[ID_ASIG],"Seleccione Asignatura")</f>
        <v>Seleccione Asignatura</v>
      </c>
      <c r="H563" s="1" t="str" cm="1">
        <f t="array" ref="H563">_xlfn.TEXTJOIN("; ",TRUE,TRANSPOSE(_xlfn.UNIQUE(_xlfn._xlws.FILTER(DET_ASIG[DETALLADO],(DET_ASIG[NIVEL]=ASIGNACION!$D563)*(DET_ASIG[ID_CARRERA]=ASIGNACION!$C563)*(DET_ASIG[ID_ASIG]=ASIGNACION!$G563),"No existe información"))))</f>
        <v>No existe información</v>
      </c>
      <c r="I563" s="1"/>
      <c r="J563">
        <f>_xlfn.XLOOKUP(Tabla1[[#This Row],[ID_ASIG_CAM_DET]],MAE_ASIGNATURA[ID_ASIG],MAE_ASIGNATURA[HORAS],0)</f>
        <v>0</v>
      </c>
      <c r="K563">
        <v>4</v>
      </c>
      <c r="L563" s="2">
        <f>+Tabla1[[#This Row],[CALCULAR HORA]]*Tabla1[[#This Row],[HORAS]]</f>
        <v>0</v>
      </c>
      <c r="N563" t="str">
        <f>_xlfn.XLOOKUP(Tabla1[[#This Row],[NOMBRE_DOCENT]],MDOCENTES[DATOS_DOCENTE],MDOCENTES[DEDICACION],"Seleccione Docente")</f>
        <v>Seleccione Docente</v>
      </c>
      <c r="O563" t="str">
        <f>_xlfn.XLOOKUP(Tabla1[[#This Row],[NOMBRE_DOCENT]],MDOCENTES[DATOS_DOCENTE],MDOCENTES[ESTUDIO],"Seleccione Docente")</f>
        <v>Seleccione Docente</v>
      </c>
      <c r="P563">
        <f t="shared" si="40"/>
        <v>0</v>
      </c>
      <c r="Q563">
        <f t="shared" si="41"/>
        <v>0</v>
      </c>
      <c r="R563">
        <f t="shared" si="42"/>
        <v>0</v>
      </c>
      <c r="S563">
        <f t="shared" si="43"/>
        <v>0</v>
      </c>
      <c r="T563">
        <f t="shared" si="44"/>
        <v>0</v>
      </c>
      <c r="U563">
        <f>Tabla1[[#This Row],[HORAS NO AFINIDAD]]+Tabla1[[#This Row],[HORAS UNIDAD BASICA]]+Tabla1[[#This Row],[HORAS AFINIDAD]]</f>
        <v>0</v>
      </c>
      <c r="V563">
        <f>+Tabla1[[#This Row],[HORAS AFINIDAD]]+Tabla1[[#This Row],[HORAS ACTIVIDAD]]+Tabla1[[#This Row],[HORAS UNIDAD BASICA]]+Tabla1[[#This Row],[HORAS NO AFINIDAD]]</f>
        <v>0</v>
      </c>
    </row>
    <row r="564" spans="1:22" ht="18.75" customHeight="1">
      <c r="A564">
        <v>563</v>
      </c>
      <c r="C564" t="str">
        <f>_xlfn.XLOOKUP(Tabla1[[#This Row],[CARRERA]],MAE_CARRERA[NOMBRE_CARRERA],MAE_CARRERA[ID_CARRERA],"Seleccione Carrera")</f>
        <v>Seleccione Carrera</v>
      </c>
      <c r="F564" s="1"/>
      <c r="G564" t="str">
        <f>_xlfn.XLOOKUP(Tabla1[[#This Row],[ASIGNATURA]],MAE_ASIGNATURA[NOM_ASIG],MAE_ASIGNATURA[ID_ASIG],"Seleccione Asignatura")</f>
        <v>Seleccione Asignatura</v>
      </c>
      <c r="H564" s="1" t="str" cm="1">
        <f t="array" ref="H564">_xlfn.TEXTJOIN("; ",TRUE,TRANSPOSE(_xlfn.UNIQUE(_xlfn._xlws.FILTER(DET_ASIG[DETALLADO],(DET_ASIG[NIVEL]=ASIGNACION!$D564)*(DET_ASIG[ID_CARRERA]=ASIGNACION!$C564)*(DET_ASIG[ID_ASIG]=ASIGNACION!$G564),"No existe información"))))</f>
        <v>No existe información</v>
      </c>
      <c r="I564" s="1"/>
      <c r="J564">
        <f>_xlfn.XLOOKUP(Tabla1[[#This Row],[ID_ASIG_CAM_DET]],MAE_ASIGNATURA[ID_ASIG],MAE_ASIGNATURA[HORAS],0)</f>
        <v>0</v>
      </c>
      <c r="K564">
        <v>4</v>
      </c>
      <c r="L564" s="2">
        <f>+Tabla1[[#This Row],[CALCULAR HORA]]*Tabla1[[#This Row],[HORAS]]</f>
        <v>0</v>
      </c>
      <c r="N564" t="str">
        <f>_xlfn.XLOOKUP(Tabla1[[#This Row],[NOMBRE_DOCENT]],MDOCENTES[DATOS_DOCENTE],MDOCENTES[DEDICACION],"Seleccione Docente")</f>
        <v>Seleccione Docente</v>
      </c>
      <c r="O564" t="str">
        <f>_xlfn.XLOOKUP(Tabla1[[#This Row],[NOMBRE_DOCENT]],MDOCENTES[DATOS_DOCENTE],MDOCENTES[ESTUDIO],"Seleccione Docente")</f>
        <v>Seleccione Docente</v>
      </c>
      <c r="P564">
        <f t="shared" si="40"/>
        <v>0</v>
      </c>
      <c r="Q564">
        <f t="shared" si="41"/>
        <v>0</v>
      </c>
      <c r="R564">
        <f t="shared" si="42"/>
        <v>0</v>
      </c>
      <c r="S564">
        <f t="shared" si="43"/>
        <v>0</v>
      </c>
      <c r="T564">
        <f t="shared" si="44"/>
        <v>0</v>
      </c>
      <c r="U564">
        <f>Tabla1[[#This Row],[HORAS NO AFINIDAD]]+Tabla1[[#This Row],[HORAS UNIDAD BASICA]]+Tabla1[[#This Row],[HORAS AFINIDAD]]</f>
        <v>0</v>
      </c>
      <c r="V564">
        <f>+Tabla1[[#This Row],[HORAS AFINIDAD]]+Tabla1[[#This Row],[HORAS ACTIVIDAD]]+Tabla1[[#This Row],[HORAS UNIDAD BASICA]]+Tabla1[[#This Row],[HORAS NO AFINIDAD]]</f>
        <v>0</v>
      </c>
    </row>
    <row r="565" spans="1:22" ht="18.75" customHeight="1">
      <c r="A565">
        <v>564</v>
      </c>
      <c r="C565" t="str">
        <f>_xlfn.XLOOKUP(Tabla1[[#This Row],[CARRERA]],MAE_CARRERA[NOMBRE_CARRERA],MAE_CARRERA[ID_CARRERA],"Seleccione Carrera")</f>
        <v>Seleccione Carrera</v>
      </c>
      <c r="F565" s="1"/>
      <c r="G565" t="str">
        <f>_xlfn.XLOOKUP(Tabla1[[#This Row],[ASIGNATURA]],MAE_ASIGNATURA[NOM_ASIG],MAE_ASIGNATURA[ID_ASIG],"Seleccione Asignatura")</f>
        <v>Seleccione Asignatura</v>
      </c>
      <c r="H565" s="1" t="str" cm="1">
        <f t="array" ref="H565">_xlfn.TEXTJOIN("; ",TRUE,TRANSPOSE(_xlfn.UNIQUE(_xlfn._xlws.FILTER(DET_ASIG[DETALLADO],(DET_ASIG[NIVEL]=ASIGNACION!$D565)*(DET_ASIG[ID_CARRERA]=ASIGNACION!$C565)*(DET_ASIG[ID_ASIG]=ASIGNACION!$G565),"No existe información"))))</f>
        <v>No existe información</v>
      </c>
      <c r="I565" s="1"/>
      <c r="J565">
        <f>_xlfn.XLOOKUP(Tabla1[[#This Row],[ID_ASIG_CAM_DET]],MAE_ASIGNATURA[ID_ASIG],MAE_ASIGNATURA[HORAS],0)</f>
        <v>0</v>
      </c>
      <c r="K565">
        <v>4</v>
      </c>
      <c r="L565" s="2">
        <f>+Tabla1[[#This Row],[CALCULAR HORA]]*Tabla1[[#This Row],[HORAS]]</f>
        <v>0</v>
      </c>
      <c r="N565" t="str">
        <f>_xlfn.XLOOKUP(Tabla1[[#This Row],[NOMBRE_DOCENT]],MDOCENTES[DATOS_DOCENTE],MDOCENTES[DEDICACION],"Seleccione Docente")</f>
        <v>Seleccione Docente</v>
      </c>
      <c r="O565" t="str">
        <f>_xlfn.XLOOKUP(Tabla1[[#This Row],[NOMBRE_DOCENT]],MDOCENTES[DATOS_DOCENTE],MDOCENTES[ESTUDIO],"Seleccione Docente")</f>
        <v>Seleccione Docente</v>
      </c>
      <c r="P565">
        <f t="shared" si="40"/>
        <v>0</v>
      </c>
      <c r="Q565">
        <f t="shared" si="41"/>
        <v>0</v>
      </c>
      <c r="R565">
        <f t="shared" si="42"/>
        <v>0</v>
      </c>
      <c r="S565">
        <f t="shared" si="43"/>
        <v>0</v>
      </c>
      <c r="T565">
        <f t="shared" si="44"/>
        <v>0</v>
      </c>
      <c r="U565">
        <f>Tabla1[[#This Row],[HORAS NO AFINIDAD]]+Tabla1[[#This Row],[HORAS UNIDAD BASICA]]+Tabla1[[#This Row],[HORAS AFINIDAD]]</f>
        <v>0</v>
      </c>
      <c r="V565">
        <f>+Tabla1[[#This Row],[HORAS AFINIDAD]]+Tabla1[[#This Row],[HORAS ACTIVIDAD]]+Tabla1[[#This Row],[HORAS UNIDAD BASICA]]+Tabla1[[#This Row],[HORAS NO AFINIDAD]]</f>
        <v>0</v>
      </c>
    </row>
    <row r="566" spans="1:22" ht="18.75" customHeight="1">
      <c r="A566">
        <v>565</v>
      </c>
      <c r="C566" t="str">
        <f>_xlfn.XLOOKUP(Tabla1[[#This Row],[CARRERA]],MAE_CARRERA[NOMBRE_CARRERA],MAE_CARRERA[ID_CARRERA],"Seleccione Carrera")</f>
        <v>Seleccione Carrera</v>
      </c>
      <c r="F566" s="1"/>
      <c r="G566" t="str">
        <f>_xlfn.XLOOKUP(Tabla1[[#This Row],[ASIGNATURA]],MAE_ASIGNATURA[NOM_ASIG],MAE_ASIGNATURA[ID_ASIG],"Seleccione Asignatura")</f>
        <v>Seleccione Asignatura</v>
      </c>
      <c r="H566" s="1" t="str" cm="1">
        <f t="array" ref="H566">_xlfn.TEXTJOIN("; ",TRUE,TRANSPOSE(_xlfn.UNIQUE(_xlfn._xlws.FILTER(DET_ASIG[DETALLADO],(DET_ASIG[NIVEL]=ASIGNACION!$D566)*(DET_ASIG[ID_CARRERA]=ASIGNACION!$C566)*(DET_ASIG[ID_ASIG]=ASIGNACION!$G566),"No existe información"))))</f>
        <v>No existe información</v>
      </c>
      <c r="I566" s="1"/>
      <c r="J566">
        <f>_xlfn.XLOOKUP(Tabla1[[#This Row],[ID_ASIG_CAM_DET]],MAE_ASIGNATURA[ID_ASIG],MAE_ASIGNATURA[HORAS],0)</f>
        <v>0</v>
      </c>
      <c r="K566">
        <v>4</v>
      </c>
      <c r="L566" s="2">
        <f>+Tabla1[[#This Row],[CALCULAR HORA]]*Tabla1[[#This Row],[HORAS]]</f>
        <v>0</v>
      </c>
      <c r="N566" t="str">
        <f>_xlfn.XLOOKUP(Tabla1[[#This Row],[NOMBRE_DOCENT]],MDOCENTES[DATOS_DOCENTE],MDOCENTES[DEDICACION],"Seleccione Docente")</f>
        <v>Seleccione Docente</v>
      </c>
      <c r="O566" t="str">
        <f>_xlfn.XLOOKUP(Tabla1[[#This Row],[NOMBRE_DOCENT]],MDOCENTES[DATOS_DOCENTE],MDOCENTES[ESTUDIO],"Seleccione Docente")</f>
        <v>Seleccione Docente</v>
      </c>
      <c r="P566">
        <f t="shared" si="40"/>
        <v>0</v>
      </c>
      <c r="Q566">
        <f t="shared" si="41"/>
        <v>0</v>
      </c>
      <c r="R566">
        <f t="shared" si="42"/>
        <v>0</v>
      </c>
      <c r="S566">
        <f t="shared" si="43"/>
        <v>0</v>
      </c>
      <c r="T566">
        <f t="shared" si="44"/>
        <v>0</v>
      </c>
      <c r="U566">
        <f>Tabla1[[#This Row],[HORAS NO AFINIDAD]]+Tabla1[[#This Row],[HORAS UNIDAD BASICA]]+Tabla1[[#This Row],[HORAS AFINIDAD]]</f>
        <v>0</v>
      </c>
      <c r="V566">
        <f>+Tabla1[[#This Row],[HORAS AFINIDAD]]+Tabla1[[#This Row],[HORAS ACTIVIDAD]]+Tabla1[[#This Row],[HORAS UNIDAD BASICA]]+Tabla1[[#This Row],[HORAS NO AFINIDAD]]</f>
        <v>0</v>
      </c>
    </row>
    <row r="567" spans="1:22" ht="18.75" customHeight="1">
      <c r="A567">
        <v>566</v>
      </c>
      <c r="C567" t="str">
        <f>_xlfn.XLOOKUP(Tabla1[[#This Row],[CARRERA]],MAE_CARRERA[NOMBRE_CARRERA],MAE_CARRERA[ID_CARRERA],"Seleccione Carrera")</f>
        <v>Seleccione Carrera</v>
      </c>
      <c r="F567" s="1"/>
      <c r="G567" t="str">
        <f>_xlfn.XLOOKUP(Tabla1[[#This Row],[ASIGNATURA]],MAE_ASIGNATURA[NOM_ASIG],MAE_ASIGNATURA[ID_ASIG],"Seleccione Asignatura")</f>
        <v>Seleccione Asignatura</v>
      </c>
      <c r="H567" s="1" t="str" cm="1">
        <f t="array" ref="H567">_xlfn.TEXTJOIN("; ",TRUE,TRANSPOSE(_xlfn.UNIQUE(_xlfn._xlws.FILTER(DET_ASIG[DETALLADO],(DET_ASIG[NIVEL]=ASIGNACION!$D567)*(DET_ASIG[ID_CARRERA]=ASIGNACION!$C567)*(DET_ASIG[ID_ASIG]=ASIGNACION!$G567),"No existe información"))))</f>
        <v>No existe información</v>
      </c>
      <c r="I567" s="1"/>
      <c r="J567">
        <f>_xlfn.XLOOKUP(Tabla1[[#This Row],[ID_ASIG_CAM_DET]],MAE_ASIGNATURA[ID_ASIG],MAE_ASIGNATURA[HORAS],0)</f>
        <v>0</v>
      </c>
      <c r="K567">
        <v>4</v>
      </c>
      <c r="L567" s="2">
        <f>+Tabla1[[#This Row],[CALCULAR HORA]]*Tabla1[[#This Row],[HORAS]]</f>
        <v>0</v>
      </c>
      <c r="N567" t="str">
        <f>_xlfn.XLOOKUP(Tabla1[[#This Row],[NOMBRE_DOCENT]],MDOCENTES[DATOS_DOCENTE],MDOCENTES[DEDICACION],"Seleccione Docente")</f>
        <v>Seleccione Docente</v>
      </c>
      <c r="O567" t="str">
        <f>_xlfn.XLOOKUP(Tabla1[[#This Row],[NOMBRE_DOCENT]],MDOCENTES[DATOS_DOCENTE],MDOCENTES[ESTUDIO],"Seleccione Docente")</f>
        <v>Seleccione Docente</v>
      </c>
      <c r="P567">
        <f t="shared" si="40"/>
        <v>0</v>
      </c>
      <c r="Q567">
        <f t="shared" si="41"/>
        <v>0</v>
      </c>
      <c r="R567">
        <f t="shared" si="42"/>
        <v>0</v>
      </c>
      <c r="S567">
        <f t="shared" si="43"/>
        <v>0</v>
      </c>
      <c r="T567">
        <f t="shared" si="44"/>
        <v>0</v>
      </c>
      <c r="U567">
        <f>Tabla1[[#This Row],[HORAS NO AFINIDAD]]+Tabla1[[#This Row],[HORAS UNIDAD BASICA]]+Tabla1[[#This Row],[HORAS AFINIDAD]]</f>
        <v>0</v>
      </c>
      <c r="V567">
        <f>+Tabla1[[#This Row],[HORAS AFINIDAD]]+Tabla1[[#This Row],[HORAS ACTIVIDAD]]+Tabla1[[#This Row],[HORAS UNIDAD BASICA]]+Tabla1[[#This Row],[HORAS NO AFINIDAD]]</f>
        <v>0</v>
      </c>
    </row>
    <row r="568" spans="1:22" ht="18.75" customHeight="1">
      <c r="A568">
        <v>567</v>
      </c>
      <c r="C568" t="str">
        <f>_xlfn.XLOOKUP(Tabla1[[#This Row],[CARRERA]],MAE_CARRERA[NOMBRE_CARRERA],MAE_CARRERA[ID_CARRERA],"Seleccione Carrera")</f>
        <v>Seleccione Carrera</v>
      </c>
      <c r="F568" s="1"/>
      <c r="G568" t="str">
        <f>_xlfn.XLOOKUP(Tabla1[[#This Row],[ASIGNATURA]],MAE_ASIGNATURA[NOM_ASIG],MAE_ASIGNATURA[ID_ASIG],"Seleccione Asignatura")</f>
        <v>Seleccione Asignatura</v>
      </c>
      <c r="H568" s="1" t="str" cm="1">
        <f t="array" ref="H568">_xlfn.TEXTJOIN("; ",TRUE,TRANSPOSE(_xlfn.UNIQUE(_xlfn._xlws.FILTER(DET_ASIG[DETALLADO],(DET_ASIG[NIVEL]=ASIGNACION!$D568)*(DET_ASIG[ID_CARRERA]=ASIGNACION!$C568)*(DET_ASIG[ID_ASIG]=ASIGNACION!$G568),"No existe información"))))</f>
        <v>No existe información</v>
      </c>
      <c r="I568" s="1"/>
      <c r="J568">
        <f>_xlfn.XLOOKUP(Tabla1[[#This Row],[ID_ASIG_CAM_DET]],MAE_ASIGNATURA[ID_ASIG],MAE_ASIGNATURA[HORAS],0)</f>
        <v>0</v>
      </c>
      <c r="K568">
        <v>4</v>
      </c>
      <c r="L568" s="2">
        <f>+Tabla1[[#This Row],[CALCULAR HORA]]*Tabla1[[#This Row],[HORAS]]</f>
        <v>0</v>
      </c>
      <c r="N568" t="str">
        <f>_xlfn.XLOOKUP(Tabla1[[#This Row],[NOMBRE_DOCENT]],MDOCENTES[DATOS_DOCENTE],MDOCENTES[DEDICACION],"Seleccione Docente")</f>
        <v>Seleccione Docente</v>
      </c>
      <c r="O568" t="str">
        <f>_xlfn.XLOOKUP(Tabla1[[#This Row],[NOMBRE_DOCENT]],MDOCENTES[DATOS_DOCENTE],MDOCENTES[ESTUDIO],"Seleccione Docente")</f>
        <v>Seleccione Docente</v>
      </c>
      <c r="P568">
        <f t="shared" si="40"/>
        <v>0</v>
      </c>
      <c r="Q568">
        <f t="shared" si="41"/>
        <v>0</v>
      </c>
      <c r="R568">
        <f t="shared" si="42"/>
        <v>0</v>
      </c>
      <c r="S568">
        <f t="shared" si="43"/>
        <v>0</v>
      </c>
      <c r="T568">
        <f t="shared" si="44"/>
        <v>0</v>
      </c>
      <c r="U568">
        <f>Tabla1[[#This Row],[HORAS NO AFINIDAD]]+Tabla1[[#This Row],[HORAS UNIDAD BASICA]]+Tabla1[[#This Row],[HORAS AFINIDAD]]</f>
        <v>0</v>
      </c>
      <c r="V568">
        <f>+Tabla1[[#This Row],[HORAS AFINIDAD]]+Tabla1[[#This Row],[HORAS ACTIVIDAD]]+Tabla1[[#This Row],[HORAS UNIDAD BASICA]]+Tabla1[[#This Row],[HORAS NO AFINIDAD]]</f>
        <v>0</v>
      </c>
    </row>
    <row r="569" spans="1:22" ht="18.75" customHeight="1">
      <c r="A569">
        <v>568</v>
      </c>
      <c r="C569" t="str">
        <f>_xlfn.XLOOKUP(Tabla1[[#This Row],[CARRERA]],MAE_CARRERA[NOMBRE_CARRERA],MAE_CARRERA[ID_CARRERA],"Seleccione Carrera")</f>
        <v>Seleccione Carrera</v>
      </c>
      <c r="F569" s="1"/>
      <c r="G569" t="str">
        <f>_xlfn.XLOOKUP(Tabla1[[#This Row],[ASIGNATURA]],MAE_ASIGNATURA[NOM_ASIG],MAE_ASIGNATURA[ID_ASIG],"Seleccione Asignatura")</f>
        <v>Seleccione Asignatura</v>
      </c>
      <c r="H569" s="1" t="str" cm="1">
        <f t="array" ref="H569">_xlfn.TEXTJOIN("; ",TRUE,TRANSPOSE(_xlfn.UNIQUE(_xlfn._xlws.FILTER(DET_ASIG[DETALLADO],(DET_ASIG[NIVEL]=ASIGNACION!$D569)*(DET_ASIG[ID_CARRERA]=ASIGNACION!$C569)*(DET_ASIG[ID_ASIG]=ASIGNACION!$G569),"No existe información"))))</f>
        <v>No existe información</v>
      </c>
      <c r="I569" s="1"/>
      <c r="J569">
        <f>_xlfn.XLOOKUP(Tabla1[[#This Row],[ID_ASIG_CAM_DET]],MAE_ASIGNATURA[ID_ASIG],MAE_ASIGNATURA[HORAS],0)</f>
        <v>0</v>
      </c>
      <c r="K569">
        <v>4</v>
      </c>
      <c r="L569" s="2">
        <f>+Tabla1[[#This Row],[CALCULAR HORA]]*Tabla1[[#This Row],[HORAS]]</f>
        <v>0</v>
      </c>
      <c r="N569" t="str">
        <f>_xlfn.XLOOKUP(Tabla1[[#This Row],[NOMBRE_DOCENT]],MDOCENTES[DATOS_DOCENTE],MDOCENTES[DEDICACION],"Seleccione Docente")</f>
        <v>Seleccione Docente</v>
      </c>
      <c r="O569" t="str">
        <f>_xlfn.XLOOKUP(Tabla1[[#This Row],[NOMBRE_DOCENT]],MDOCENTES[DATOS_DOCENTE],MDOCENTES[ESTUDIO],"Seleccione Docente")</f>
        <v>Seleccione Docente</v>
      </c>
      <c r="P569">
        <f t="shared" si="40"/>
        <v>0</v>
      </c>
      <c r="Q569">
        <f t="shared" si="41"/>
        <v>0</v>
      </c>
      <c r="R569">
        <f t="shared" si="42"/>
        <v>0</v>
      </c>
      <c r="S569">
        <f t="shared" si="43"/>
        <v>0</v>
      </c>
      <c r="T569">
        <f t="shared" si="44"/>
        <v>0</v>
      </c>
      <c r="U569">
        <f>Tabla1[[#This Row],[HORAS NO AFINIDAD]]+Tabla1[[#This Row],[HORAS UNIDAD BASICA]]+Tabla1[[#This Row],[HORAS AFINIDAD]]</f>
        <v>0</v>
      </c>
      <c r="V569">
        <f>+Tabla1[[#This Row],[HORAS AFINIDAD]]+Tabla1[[#This Row],[HORAS ACTIVIDAD]]+Tabla1[[#This Row],[HORAS UNIDAD BASICA]]+Tabla1[[#This Row],[HORAS NO AFINIDAD]]</f>
        <v>0</v>
      </c>
    </row>
    <row r="570" spans="1:22" ht="18.75" customHeight="1">
      <c r="A570">
        <v>569</v>
      </c>
      <c r="C570" t="str">
        <f>_xlfn.XLOOKUP(Tabla1[[#This Row],[CARRERA]],MAE_CARRERA[NOMBRE_CARRERA],MAE_CARRERA[ID_CARRERA],"Seleccione Carrera")</f>
        <v>Seleccione Carrera</v>
      </c>
      <c r="F570" s="1"/>
      <c r="G570" t="str">
        <f>_xlfn.XLOOKUP(Tabla1[[#This Row],[ASIGNATURA]],MAE_ASIGNATURA[NOM_ASIG],MAE_ASIGNATURA[ID_ASIG],"Seleccione Asignatura")</f>
        <v>Seleccione Asignatura</v>
      </c>
      <c r="H570" s="1" t="str" cm="1">
        <f t="array" ref="H570">_xlfn.TEXTJOIN("; ",TRUE,TRANSPOSE(_xlfn.UNIQUE(_xlfn._xlws.FILTER(DET_ASIG[DETALLADO],(DET_ASIG[NIVEL]=ASIGNACION!$D570)*(DET_ASIG[ID_CARRERA]=ASIGNACION!$C570)*(DET_ASIG[ID_ASIG]=ASIGNACION!$G570),"No existe información"))))</f>
        <v>No existe información</v>
      </c>
      <c r="I570" s="1"/>
      <c r="J570">
        <f>_xlfn.XLOOKUP(Tabla1[[#This Row],[ID_ASIG_CAM_DET]],MAE_ASIGNATURA[ID_ASIG],MAE_ASIGNATURA[HORAS],0)</f>
        <v>0</v>
      </c>
      <c r="K570">
        <v>4</v>
      </c>
      <c r="L570" s="2">
        <f>+Tabla1[[#This Row],[CALCULAR HORA]]*Tabla1[[#This Row],[HORAS]]</f>
        <v>0</v>
      </c>
      <c r="N570" t="str">
        <f>_xlfn.XLOOKUP(Tabla1[[#This Row],[NOMBRE_DOCENT]],MDOCENTES[DATOS_DOCENTE],MDOCENTES[DEDICACION],"Seleccione Docente")</f>
        <v>Seleccione Docente</v>
      </c>
      <c r="O570" t="str">
        <f>_xlfn.XLOOKUP(Tabla1[[#This Row],[NOMBRE_DOCENT]],MDOCENTES[DATOS_DOCENTE],MDOCENTES[ESTUDIO],"Seleccione Docente")</f>
        <v>Seleccione Docente</v>
      </c>
      <c r="P570">
        <f t="shared" si="40"/>
        <v>0</v>
      </c>
      <c r="Q570">
        <f t="shared" si="41"/>
        <v>0</v>
      </c>
      <c r="R570">
        <f t="shared" si="42"/>
        <v>0</v>
      </c>
      <c r="S570">
        <f t="shared" si="43"/>
        <v>0</v>
      </c>
      <c r="T570">
        <f t="shared" si="44"/>
        <v>0</v>
      </c>
      <c r="U570">
        <f>Tabla1[[#This Row],[HORAS NO AFINIDAD]]+Tabla1[[#This Row],[HORAS UNIDAD BASICA]]+Tabla1[[#This Row],[HORAS AFINIDAD]]</f>
        <v>0</v>
      </c>
      <c r="V570">
        <f>+Tabla1[[#This Row],[HORAS AFINIDAD]]+Tabla1[[#This Row],[HORAS ACTIVIDAD]]+Tabla1[[#This Row],[HORAS UNIDAD BASICA]]+Tabla1[[#This Row],[HORAS NO AFINIDAD]]</f>
        <v>0</v>
      </c>
    </row>
    <row r="571" spans="1:22" ht="18.75" customHeight="1">
      <c r="A571">
        <v>570</v>
      </c>
      <c r="C571" t="str">
        <f>_xlfn.XLOOKUP(Tabla1[[#This Row],[CARRERA]],MAE_CARRERA[NOMBRE_CARRERA],MAE_CARRERA[ID_CARRERA],"Seleccione Carrera")</f>
        <v>Seleccione Carrera</v>
      </c>
      <c r="F571" s="1"/>
      <c r="G571" t="str">
        <f>_xlfn.XLOOKUP(Tabla1[[#This Row],[ASIGNATURA]],MAE_ASIGNATURA[NOM_ASIG],MAE_ASIGNATURA[ID_ASIG],"Seleccione Asignatura")</f>
        <v>Seleccione Asignatura</v>
      </c>
      <c r="H571" s="1" t="str" cm="1">
        <f t="array" ref="H571">_xlfn.TEXTJOIN("; ",TRUE,TRANSPOSE(_xlfn.UNIQUE(_xlfn._xlws.FILTER(DET_ASIG[DETALLADO],(DET_ASIG[NIVEL]=ASIGNACION!$D571)*(DET_ASIG[ID_CARRERA]=ASIGNACION!$C571)*(DET_ASIG[ID_ASIG]=ASIGNACION!$G571),"No existe información"))))</f>
        <v>No existe información</v>
      </c>
      <c r="I571" s="1"/>
      <c r="J571">
        <f>_xlfn.XLOOKUP(Tabla1[[#This Row],[ID_ASIG_CAM_DET]],MAE_ASIGNATURA[ID_ASIG],MAE_ASIGNATURA[HORAS],0)</f>
        <v>0</v>
      </c>
      <c r="K571">
        <v>4</v>
      </c>
      <c r="L571" s="2">
        <f>+Tabla1[[#This Row],[CALCULAR HORA]]*Tabla1[[#This Row],[HORAS]]</f>
        <v>0</v>
      </c>
      <c r="N571" t="str">
        <f>_xlfn.XLOOKUP(Tabla1[[#This Row],[NOMBRE_DOCENT]],MDOCENTES[DATOS_DOCENTE],MDOCENTES[DEDICACION],"Seleccione Docente")</f>
        <v>Seleccione Docente</v>
      </c>
      <c r="O571" t="str">
        <f>_xlfn.XLOOKUP(Tabla1[[#This Row],[NOMBRE_DOCENT]],MDOCENTES[DATOS_DOCENTE],MDOCENTES[ESTUDIO],"Seleccione Docente")</f>
        <v>Seleccione Docente</v>
      </c>
      <c r="P571">
        <f t="shared" si="40"/>
        <v>0</v>
      </c>
      <c r="Q571">
        <f t="shared" si="41"/>
        <v>0</v>
      </c>
      <c r="R571">
        <f t="shared" si="42"/>
        <v>0</v>
      </c>
      <c r="S571">
        <f t="shared" si="43"/>
        <v>0</v>
      </c>
      <c r="T571">
        <f t="shared" si="44"/>
        <v>0</v>
      </c>
      <c r="U571">
        <f>Tabla1[[#This Row],[HORAS NO AFINIDAD]]+Tabla1[[#This Row],[HORAS UNIDAD BASICA]]+Tabla1[[#This Row],[HORAS AFINIDAD]]</f>
        <v>0</v>
      </c>
      <c r="V571">
        <f>+Tabla1[[#This Row],[HORAS AFINIDAD]]+Tabla1[[#This Row],[HORAS ACTIVIDAD]]+Tabla1[[#This Row],[HORAS UNIDAD BASICA]]+Tabla1[[#This Row],[HORAS NO AFINIDAD]]</f>
        <v>0</v>
      </c>
    </row>
    <row r="572" spans="1:22" ht="18.75" customHeight="1">
      <c r="A572">
        <v>571</v>
      </c>
      <c r="C572" t="str">
        <f>_xlfn.XLOOKUP(Tabla1[[#This Row],[CARRERA]],MAE_CARRERA[NOMBRE_CARRERA],MAE_CARRERA[ID_CARRERA],"Seleccione Carrera")</f>
        <v>Seleccione Carrera</v>
      </c>
      <c r="F572" s="1"/>
      <c r="G572" t="str">
        <f>_xlfn.XLOOKUP(Tabla1[[#This Row],[ASIGNATURA]],MAE_ASIGNATURA[NOM_ASIG],MAE_ASIGNATURA[ID_ASIG],"Seleccione Asignatura")</f>
        <v>Seleccione Asignatura</v>
      </c>
      <c r="H572" s="1" t="str" cm="1">
        <f t="array" ref="H572">_xlfn.TEXTJOIN("; ",TRUE,TRANSPOSE(_xlfn.UNIQUE(_xlfn._xlws.FILTER(DET_ASIG[DETALLADO],(DET_ASIG[NIVEL]=ASIGNACION!$D572)*(DET_ASIG[ID_CARRERA]=ASIGNACION!$C572)*(DET_ASIG[ID_ASIG]=ASIGNACION!$G572),"No existe información"))))</f>
        <v>No existe información</v>
      </c>
      <c r="I572" s="1"/>
      <c r="J572">
        <f>_xlfn.XLOOKUP(Tabla1[[#This Row],[ID_ASIG_CAM_DET]],MAE_ASIGNATURA[ID_ASIG],MAE_ASIGNATURA[HORAS],0)</f>
        <v>0</v>
      </c>
      <c r="K572">
        <v>4</v>
      </c>
      <c r="L572" s="2">
        <f>+Tabla1[[#This Row],[CALCULAR HORA]]*Tabla1[[#This Row],[HORAS]]</f>
        <v>0</v>
      </c>
      <c r="N572" t="str">
        <f>_xlfn.XLOOKUP(Tabla1[[#This Row],[NOMBRE_DOCENT]],MDOCENTES[DATOS_DOCENTE],MDOCENTES[DEDICACION],"Seleccione Docente")</f>
        <v>Seleccione Docente</v>
      </c>
      <c r="O572" t="str">
        <f>_xlfn.XLOOKUP(Tabla1[[#This Row],[NOMBRE_DOCENT]],MDOCENTES[DATOS_DOCENTE],MDOCENTES[ESTUDIO],"Seleccione Docente")</f>
        <v>Seleccione Docente</v>
      </c>
      <c r="P572">
        <f t="shared" si="40"/>
        <v>0</v>
      </c>
      <c r="Q572">
        <f t="shared" si="41"/>
        <v>0</v>
      </c>
      <c r="R572">
        <f t="shared" si="42"/>
        <v>0</v>
      </c>
      <c r="S572">
        <f t="shared" si="43"/>
        <v>0</v>
      </c>
      <c r="T572">
        <f t="shared" si="44"/>
        <v>0</v>
      </c>
      <c r="U572">
        <f>Tabla1[[#This Row],[HORAS NO AFINIDAD]]+Tabla1[[#This Row],[HORAS UNIDAD BASICA]]+Tabla1[[#This Row],[HORAS AFINIDAD]]</f>
        <v>0</v>
      </c>
      <c r="V572">
        <f>+Tabla1[[#This Row],[HORAS AFINIDAD]]+Tabla1[[#This Row],[HORAS ACTIVIDAD]]+Tabla1[[#This Row],[HORAS UNIDAD BASICA]]+Tabla1[[#This Row],[HORAS NO AFINIDAD]]</f>
        <v>0</v>
      </c>
    </row>
    <row r="573" spans="1:22" ht="18.75" customHeight="1">
      <c r="A573">
        <v>572</v>
      </c>
      <c r="C573" t="str">
        <f>_xlfn.XLOOKUP(Tabla1[[#This Row],[CARRERA]],MAE_CARRERA[NOMBRE_CARRERA],MAE_CARRERA[ID_CARRERA],"Seleccione Carrera")</f>
        <v>Seleccione Carrera</v>
      </c>
      <c r="F573" s="1"/>
      <c r="G573" t="str">
        <f>_xlfn.XLOOKUP(Tabla1[[#This Row],[ASIGNATURA]],MAE_ASIGNATURA[NOM_ASIG],MAE_ASIGNATURA[ID_ASIG],"Seleccione Asignatura")</f>
        <v>Seleccione Asignatura</v>
      </c>
      <c r="H573" s="1" t="str" cm="1">
        <f t="array" ref="H573">_xlfn.TEXTJOIN("; ",TRUE,TRANSPOSE(_xlfn.UNIQUE(_xlfn._xlws.FILTER(DET_ASIG[DETALLADO],(DET_ASIG[NIVEL]=ASIGNACION!$D573)*(DET_ASIG[ID_CARRERA]=ASIGNACION!$C573)*(DET_ASIG[ID_ASIG]=ASIGNACION!$G573),"No existe información"))))</f>
        <v>No existe información</v>
      </c>
      <c r="I573" s="1"/>
      <c r="J573">
        <f>_xlfn.XLOOKUP(Tabla1[[#This Row],[ID_ASIG_CAM_DET]],MAE_ASIGNATURA[ID_ASIG],MAE_ASIGNATURA[HORAS],0)</f>
        <v>0</v>
      </c>
      <c r="K573">
        <v>4</v>
      </c>
      <c r="L573" s="2">
        <f>+Tabla1[[#This Row],[CALCULAR HORA]]*Tabla1[[#This Row],[HORAS]]</f>
        <v>0</v>
      </c>
      <c r="N573" t="str">
        <f>_xlfn.XLOOKUP(Tabla1[[#This Row],[NOMBRE_DOCENT]],MDOCENTES[DATOS_DOCENTE],MDOCENTES[DEDICACION],"Seleccione Docente")</f>
        <v>Seleccione Docente</v>
      </c>
      <c r="O573" t="str">
        <f>_xlfn.XLOOKUP(Tabla1[[#This Row],[NOMBRE_DOCENT]],MDOCENTES[DATOS_DOCENTE],MDOCENTES[ESTUDIO],"Seleccione Docente")</f>
        <v>Seleccione Docente</v>
      </c>
      <c r="P573">
        <f t="shared" si="40"/>
        <v>0</v>
      </c>
      <c r="Q573">
        <f t="shared" si="41"/>
        <v>0</v>
      </c>
      <c r="R573">
        <f t="shared" si="42"/>
        <v>0</v>
      </c>
      <c r="S573">
        <f t="shared" si="43"/>
        <v>0</v>
      </c>
      <c r="T573">
        <f t="shared" si="44"/>
        <v>0</v>
      </c>
      <c r="U573">
        <f>Tabla1[[#This Row],[HORAS NO AFINIDAD]]+Tabla1[[#This Row],[HORAS UNIDAD BASICA]]+Tabla1[[#This Row],[HORAS AFINIDAD]]</f>
        <v>0</v>
      </c>
      <c r="V573">
        <f>+Tabla1[[#This Row],[HORAS AFINIDAD]]+Tabla1[[#This Row],[HORAS ACTIVIDAD]]+Tabla1[[#This Row],[HORAS UNIDAD BASICA]]+Tabla1[[#This Row],[HORAS NO AFINIDAD]]</f>
        <v>0</v>
      </c>
    </row>
    <row r="574" spans="1:22" ht="18.75" customHeight="1">
      <c r="A574">
        <v>573</v>
      </c>
      <c r="C574" t="str">
        <f>_xlfn.XLOOKUP(Tabla1[[#This Row],[CARRERA]],MAE_CARRERA[NOMBRE_CARRERA],MAE_CARRERA[ID_CARRERA],"Seleccione Carrera")</f>
        <v>Seleccione Carrera</v>
      </c>
      <c r="F574" s="1"/>
      <c r="G574" t="str">
        <f>_xlfn.XLOOKUP(Tabla1[[#This Row],[ASIGNATURA]],MAE_ASIGNATURA[NOM_ASIG],MAE_ASIGNATURA[ID_ASIG],"Seleccione Asignatura")</f>
        <v>Seleccione Asignatura</v>
      </c>
      <c r="H574" s="1" t="str" cm="1">
        <f t="array" ref="H574">_xlfn.TEXTJOIN("; ",TRUE,TRANSPOSE(_xlfn.UNIQUE(_xlfn._xlws.FILTER(DET_ASIG[DETALLADO],(DET_ASIG[NIVEL]=ASIGNACION!$D574)*(DET_ASIG[ID_CARRERA]=ASIGNACION!$C574)*(DET_ASIG[ID_ASIG]=ASIGNACION!$G574),"No existe información"))))</f>
        <v>No existe información</v>
      </c>
      <c r="I574" s="1"/>
      <c r="J574">
        <f>_xlfn.XLOOKUP(Tabla1[[#This Row],[ID_ASIG_CAM_DET]],MAE_ASIGNATURA[ID_ASIG],MAE_ASIGNATURA[HORAS],0)</f>
        <v>0</v>
      </c>
      <c r="K574">
        <v>4</v>
      </c>
      <c r="L574" s="2">
        <f>+Tabla1[[#This Row],[CALCULAR HORA]]*Tabla1[[#This Row],[HORAS]]</f>
        <v>0</v>
      </c>
      <c r="N574" t="str">
        <f>_xlfn.XLOOKUP(Tabla1[[#This Row],[NOMBRE_DOCENT]],MDOCENTES[DATOS_DOCENTE],MDOCENTES[DEDICACION],"Seleccione Docente")</f>
        <v>Seleccione Docente</v>
      </c>
      <c r="O574" t="str">
        <f>_xlfn.XLOOKUP(Tabla1[[#This Row],[NOMBRE_DOCENT]],MDOCENTES[DATOS_DOCENTE],MDOCENTES[ESTUDIO],"Seleccione Docente")</f>
        <v>Seleccione Docente</v>
      </c>
      <c r="P574">
        <f t="shared" si="40"/>
        <v>0</v>
      </c>
      <c r="Q574">
        <f t="shared" si="41"/>
        <v>0</v>
      </c>
      <c r="R574">
        <f t="shared" si="42"/>
        <v>0</v>
      </c>
      <c r="S574">
        <f t="shared" si="43"/>
        <v>0</v>
      </c>
      <c r="T574">
        <f t="shared" si="44"/>
        <v>0</v>
      </c>
      <c r="U574">
        <f>Tabla1[[#This Row],[HORAS NO AFINIDAD]]+Tabla1[[#This Row],[HORAS UNIDAD BASICA]]+Tabla1[[#This Row],[HORAS AFINIDAD]]</f>
        <v>0</v>
      </c>
      <c r="V574">
        <f>+Tabla1[[#This Row],[HORAS AFINIDAD]]+Tabla1[[#This Row],[HORAS ACTIVIDAD]]+Tabla1[[#This Row],[HORAS UNIDAD BASICA]]+Tabla1[[#This Row],[HORAS NO AFINIDAD]]</f>
        <v>0</v>
      </c>
    </row>
    <row r="575" spans="1:22" ht="18.75" customHeight="1">
      <c r="A575">
        <v>574</v>
      </c>
      <c r="C575" t="str">
        <f>_xlfn.XLOOKUP(Tabla1[[#This Row],[CARRERA]],MAE_CARRERA[NOMBRE_CARRERA],MAE_CARRERA[ID_CARRERA],"Seleccione Carrera")</f>
        <v>Seleccione Carrera</v>
      </c>
      <c r="F575" s="1"/>
      <c r="G575" t="str">
        <f>_xlfn.XLOOKUP(Tabla1[[#This Row],[ASIGNATURA]],MAE_ASIGNATURA[NOM_ASIG],MAE_ASIGNATURA[ID_ASIG],"Seleccione Asignatura")</f>
        <v>Seleccione Asignatura</v>
      </c>
      <c r="H575" s="1" t="str" cm="1">
        <f t="array" ref="H575">_xlfn.TEXTJOIN("; ",TRUE,TRANSPOSE(_xlfn.UNIQUE(_xlfn._xlws.FILTER(DET_ASIG[DETALLADO],(DET_ASIG[NIVEL]=ASIGNACION!$D575)*(DET_ASIG[ID_CARRERA]=ASIGNACION!$C575)*(DET_ASIG[ID_ASIG]=ASIGNACION!$G575),"No existe información"))))</f>
        <v>No existe información</v>
      </c>
      <c r="I575" s="1"/>
      <c r="J575">
        <f>_xlfn.XLOOKUP(Tabla1[[#This Row],[ID_ASIG_CAM_DET]],MAE_ASIGNATURA[ID_ASIG],MAE_ASIGNATURA[HORAS],0)</f>
        <v>0</v>
      </c>
      <c r="K575">
        <v>4</v>
      </c>
      <c r="L575" s="2">
        <f>+Tabla1[[#This Row],[CALCULAR HORA]]*Tabla1[[#This Row],[HORAS]]</f>
        <v>0</v>
      </c>
      <c r="N575" t="str">
        <f>_xlfn.XLOOKUP(Tabla1[[#This Row],[NOMBRE_DOCENT]],MDOCENTES[DATOS_DOCENTE],MDOCENTES[DEDICACION],"Seleccione Docente")</f>
        <v>Seleccione Docente</v>
      </c>
      <c r="O575" t="str">
        <f>_xlfn.XLOOKUP(Tabla1[[#This Row],[NOMBRE_DOCENT]],MDOCENTES[DATOS_DOCENTE],MDOCENTES[ESTUDIO],"Seleccione Docente")</f>
        <v>Seleccione Docente</v>
      </c>
      <c r="P575">
        <f t="shared" si="40"/>
        <v>0</v>
      </c>
      <c r="Q575">
        <f t="shared" si="41"/>
        <v>0</v>
      </c>
      <c r="R575">
        <f t="shared" si="42"/>
        <v>0</v>
      </c>
      <c r="S575">
        <f t="shared" si="43"/>
        <v>0</v>
      </c>
      <c r="T575">
        <f t="shared" si="44"/>
        <v>0</v>
      </c>
      <c r="U575">
        <f>Tabla1[[#This Row],[HORAS NO AFINIDAD]]+Tabla1[[#This Row],[HORAS UNIDAD BASICA]]+Tabla1[[#This Row],[HORAS AFINIDAD]]</f>
        <v>0</v>
      </c>
      <c r="V575">
        <f>+Tabla1[[#This Row],[HORAS AFINIDAD]]+Tabla1[[#This Row],[HORAS ACTIVIDAD]]+Tabla1[[#This Row],[HORAS UNIDAD BASICA]]+Tabla1[[#This Row],[HORAS NO AFINIDAD]]</f>
        <v>0</v>
      </c>
    </row>
    <row r="576" spans="1:22" ht="18.75" customHeight="1">
      <c r="A576">
        <v>575</v>
      </c>
      <c r="C576" t="str">
        <f>_xlfn.XLOOKUP(Tabla1[[#This Row],[CARRERA]],MAE_CARRERA[NOMBRE_CARRERA],MAE_CARRERA[ID_CARRERA],"Seleccione Carrera")</f>
        <v>Seleccione Carrera</v>
      </c>
      <c r="F576" s="1"/>
      <c r="G576" t="str">
        <f>_xlfn.XLOOKUP(Tabla1[[#This Row],[ASIGNATURA]],MAE_ASIGNATURA[NOM_ASIG],MAE_ASIGNATURA[ID_ASIG],"Seleccione Asignatura")</f>
        <v>Seleccione Asignatura</v>
      </c>
      <c r="H576" s="1" t="str" cm="1">
        <f t="array" ref="H576">_xlfn.TEXTJOIN("; ",TRUE,TRANSPOSE(_xlfn.UNIQUE(_xlfn._xlws.FILTER(DET_ASIG[DETALLADO],(DET_ASIG[NIVEL]=ASIGNACION!$D576)*(DET_ASIG[ID_CARRERA]=ASIGNACION!$C576)*(DET_ASIG[ID_ASIG]=ASIGNACION!$G576),"No existe información"))))</f>
        <v>No existe información</v>
      </c>
      <c r="I576" s="1"/>
      <c r="J576">
        <f>_xlfn.XLOOKUP(Tabla1[[#This Row],[ID_ASIG_CAM_DET]],MAE_ASIGNATURA[ID_ASIG],MAE_ASIGNATURA[HORAS],0)</f>
        <v>0</v>
      </c>
      <c r="K576">
        <v>4</v>
      </c>
      <c r="L576" s="2">
        <f>+Tabla1[[#This Row],[CALCULAR HORA]]*Tabla1[[#This Row],[HORAS]]</f>
        <v>0</v>
      </c>
      <c r="N576" t="str">
        <f>_xlfn.XLOOKUP(Tabla1[[#This Row],[NOMBRE_DOCENT]],MDOCENTES[DATOS_DOCENTE],MDOCENTES[DEDICACION],"Seleccione Docente")</f>
        <v>Seleccione Docente</v>
      </c>
      <c r="O576" t="str">
        <f>_xlfn.XLOOKUP(Tabla1[[#This Row],[NOMBRE_DOCENT]],MDOCENTES[DATOS_DOCENTE],MDOCENTES[ESTUDIO],"Seleccione Docente")</f>
        <v>Seleccione Docente</v>
      </c>
      <c r="P576">
        <f t="shared" si="40"/>
        <v>0</v>
      </c>
      <c r="Q576">
        <f t="shared" si="41"/>
        <v>0</v>
      </c>
      <c r="R576">
        <f t="shared" si="42"/>
        <v>0</v>
      </c>
      <c r="S576">
        <f t="shared" si="43"/>
        <v>0</v>
      </c>
      <c r="T576">
        <f t="shared" si="44"/>
        <v>0</v>
      </c>
      <c r="U576">
        <f>Tabla1[[#This Row],[HORAS NO AFINIDAD]]+Tabla1[[#This Row],[HORAS UNIDAD BASICA]]+Tabla1[[#This Row],[HORAS AFINIDAD]]</f>
        <v>0</v>
      </c>
      <c r="V576">
        <f>+Tabla1[[#This Row],[HORAS AFINIDAD]]+Tabla1[[#This Row],[HORAS ACTIVIDAD]]+Tabla1[[#This Row],[HORAS UNIDAD BASICA]]+Tabla1[[#This Row],[HORAS NO AFINIDAD]]</f>
        <v>0</v>
      </c>
    </row>
    <row r="577" spans="1:22" ht="18.75" customHeight="1">
      <c r="A577">
        <v>576</v>
      </c>
      <c r="C577" t="str">
        <f>_xlfn.XLOOKUP(Tabla1[[#This Row],[CARRERA]],MAE_CARRERA[NOMBRE_CARRERA],MAE_CARRERA[ID_CARRERA],"Seleccione Carrera")</f>
        <v>Seleccione Carrera</v>
      </c>
      <c r="F577" s="1"/>
      <c r="G577" t="str">
        <f>_xlfn.XLOOKUP(Tabla1[[#This Row],[ASIGNATURA]],MAE_ASIGNATURA[NOM_ASIG],MAE_ASIGNATURA[ID_ASIG],"Seleccione Asignatura")</f>
        <v>Seleccione Asignatura</v>
      </c>
      <c r="H577" s="1" t="str" cm="1">
        <f t="array" ref="H577">_xlfn.TEXTJOIN("; ",TRUE,TRANSPOSE(_xlfn.UNIQUE(_xlfn._xlws.FILTER(DET_ASIG[DETALLADO],(DET_ASIG[NIVEL]=ASIGNACION!$D577)*(DET_ASIG[ID_CARRERA]=ASIGNACION!$C577)*(DET_ASIG[ID_ASIG]=ASIGNACION!$G577),"No existe información"))))</f>
        <v>No existe información</v>
      </c>
      <c r="I577" s="1"/>
      <c r="J577">
        <f>_xlfn.XLOOKUP(Tabla1[[#This Row],[ID_ASIG_CAM_DET]],MAE_ASIGNATURA[ID_ASIG],MAE_ASIGNATURA[HORAS],0)</f>
        <v>0</v>
      </c>
      <c r="K577">
        <v>4</v>
      </c>
      <c r="L577" s="2">
        <f>+Tabla1[[#This Row],[CALCULAR HORA]]*Tabla1[[#This Row],[HORAS]]</f>
        <v>0</v>
      </c>
      <c r="N577" t="str">
        <f>_xlfn.XLOOKUP(Tabla1[[#This Row],[NOMBRE_DOCENT]],MDOCENTES[DATOS_DOCENTE],MDOCENTES[DEDICACION],"Seleccione Docente")</f>
        <v>Seleccione Docente</v>
      </c>
      <c r="O577" t="str">
        <f>_xlfn.XLOOKUP(Tabla1[[#This Row],[NOMBRE_DOCENT]],MDOCENTES[DATOS_DOCENTE],MDOCENTES[ESTUDIO],"Seleccione Docente")</f>
        <v>Seleccione Docente</v>
      </c>
      <c r="P577">
        <f t="shared" si="40"/>
        <v>0</v>
      </c>
      <c r="Q577">
        <f t="shared" si="41"/>
        <v>0</v>
      </c>
      <c r="R577">
        <f t="shared" si="42"/>
        <v>0</v>
      </c>
      <c r="S577">
        <f t="shared" si="43"/>
        <v>0</v>
      </c>
      <c r="T577">
        <f t="shared" si="44"/>
        <v>0</v>
      </c>
      <c r="U577">
        <f>Tabla1[[#This Row],[HORAS NO AFINIDAD]]+Tabla1[[#This Row],[HORAS UNIDAD BASICA]]+Tabla1[[#This Row],[HORAS AFINIDAD]]</f>
        <v>0</v>
      </c>
      <c r="V577">
        <f>+Tabla1[[#This Row],[HORAS AFINIDAD]]+Tabla1[[#This Row],[HORAS ACTIVIDAD]]+Tabla1[[#This Row],[HORAS UNIDAD BASICA]]+Tabla1[[#This Row],[HORAS NO AFINIDAD]]</f>
        <v>0</v>
      </c>
    </row>
    <row r="578" spans="1:22" ht="18.75" customHeight="1">
      <c r="A578">
        <v>577</v>
      </c>
      <c r="C578" t="str">
        <f>_xlfn.XLOOKUP(Tabla1[[#This Row],[CARRERA]],MAE_CARRERA[NOMBRE_CARRERA],MAE_CARRERA[ID_CARRERA],"Seleccione Carrera")</f>
        <v>Seleccione Carrera</v>
      </c>
      <c r="F578" s="1"/>
      <c r="G578" t="str">
        <f>_xlfn.XLOOKUP(Tabla1[[#This Row],[ASIGNATURA]],MAE_ASIGNATURA[NOM_ASIG],MAE_ASIGNATURA[ID_ASIG],"Seleccione Asignatura")</f>
        <v>Seleccione Asignatura</v>
      </c>
      <c r="H578" s="1" t="str" cm="1">
        <f t="array" ref="H578">_xlfn.TEXTJOIN("; ",TRUE,TRANSPOSE(_xlfn.UNIQUE(_xlfn._xlws.FILTER(DET_ASIG[DETALLADO],(DET_ASIG[NIVEL]=ASIGNACION!$D578)*(DET_ASIG[ID_CARRERA]=ASIGNACION!$C578)*(DET_ASIG[ID_ASIG]=ASIGNACION!$G578),"No existe información"))))</f>
        <v>No existe información</v>
      </c>
      <c r="I578" s="1"/>
      <c r="J578">
        <f>_xlfn.XLOOKUP(Tabla1[[#This Row],[ID_ASIG_CAM_DET]],MAE_ASIGNATURA[ID_ASIG],MAE_ASIGNATURA[HORAS],0)</f>
        <v>0</v>
      </c>
      <c r="K578">
        <v>4</v>
      </c>
      <c r="L578" s="2">
        <f>+Tabla1[[#This Row],[CALCULAR HORA]]*Tabla1[[#This Row],[HORAS]]</f>
        <v>0</v>
      </c>
      <c r="N578" t="str">
        <f>_xlfn.XLOOKUP(Tabla1[[#This Row],[NOMBRE_DOCENT]],MDOCENTES[DATOS_DOCENTE],MDOCENTES[DEDICACION],"Seleccione Docente")</f>
        <v>Seleccione Docente</v>
      </c>
      <c r="O578" t="str">
        <f>_xlfn.XLOOKUP(Tabla1[[#This Row],[NOMBRE_DOCENT]],MDOCENTES[DATOS_DOCENTE],MDOCENTES[ESTUDIO],"Seleccione Docente")</f>
        <v>Seleccione Docente</v>
      </c>
      <c r="P578">
        <f t="shared" ref="P578:P600" si="45">COUNTIFS($M:$M, M578, $H:$H, "&lt;&gt;ACTIVIDAD")</f>
        <v>0</v>
      </c>
      <c r="Q578">
        <f t="shared" ref="Q578:Q600" si="46">SUMIFS($L:$L, $M:$M, M578, $I:$I, "NO",$H:$H,"&lt;&gt;UNIDAD BASICA")</f>
        <v>0</v>
      </c>
      <c r="R578">
        <f t="shared" ref="R578:R600" si="47">SUMIFS($L:$L, $M:$M, M578, $H:$H, "UNIDAD BASICA",$I:$I,"NO")</f>
        <v>0</v>
      </c>
      <c r="S578">
        <f t="shared" ref="S578:S600" si="48">SUMIFS($L:$L, $M:$M, M578, $I:$I, "ACTIVIDAD")</f>
        <v>0</v>
      </c>
      <c r="T578">
        <f t="shared" ref="T578:T600" si="49">SUMIFS($L:$L, $M:$M, M578, $I:$I, "SI")</f>
        <v>0</v>
      </c>
      <c r="U578">
        <f>Tabla1[[#This Row],[HORAS NO AFINIDAD]]+Tabla1[[#This Row],[HORAS UNIDAD BASICA]]+Tabla1[[#This Row],[HORAS AFINIDAD]]</f>
        <v>0</v>
      </c>
      <c r="V578">
        <f>+Tabla1[[#This Row],[HORAS AFINIDAD]]+Tabla1[[#This Row],[HORAS ACTIVIDAD]]+Tabla1[[#This Row],[HORAS UNIDAD BASICA]]+Tabla1[[#This Row],[HORAS NO AFINIDAD]]</f>
        <v>0</v>
      </c>
    </row>
    <row r="579" spans="1:22" ht="18.75" customHeight="1">
      <c r="A579">
        <v>578</v>
      </c>
      <c r="C579" t="str">
        <f>_xlfn.XLOOKUP(Tabla1[[#This Row],[CARRERA]],MAE_CARRERA[NOMBRE_CARRERA],MAE_CARRERA[ID_CARRERA],"Seleccione Carrera")</f>
        <v>Seleccione Carrera</v>
      </c>
      <c r="F579" s="1"/>
      <c r="G579" t="str">
        <f>_xlfn.XLOOKUP(Tabla1[[#This Row],[ASIGNATURA]],MAE_ASIGNATURA[NOM_ASIG],MAE_ASIGNATURA[ID_ASIG],"Seleccione Asignatura")</f>
        <v>Seleccione Asignatura</v>
      </c>
      <c r="H579" s="1" t="str" cm="1">
        <f t="array" ref="H579">_xlfn.TEXTJOIN("; ",TRUE,TRANSPOSE(_xlfn.UNIQUE(_xlfn._xlws.FILTER(DET_ASIG[DETALLADO],(DET_ASIG[NIVEL]=ASIGNACION!$D579)*(DET_ASIG[ID_CARRERA]=ASIGNACION!$C579)*(DET_ASIG[ID_ASIG]=ASIGNACION!$G579),"No existe información"))))</f>
        <v>No existe información</v>
      </c>
      <c r="I579" s="1"/>
      <c r="J579">
        <f>_xlfn.XLOOKUP(Tabla1[[#This Row],[ID_ASIG_CAM_DET]],MAE_ASIGNATURA[ID_ASIG],MAE_ASIGNATURA[HORAS],0)</f>
        <v>0</v>
      </c>
      <c r="K579">
        <v>4</v>
      </c>
      <c r="L579" s="2">
        <f>+Tabla1[[#This Row],[CALCULAR HORA]]*Tabla1[[#This Row],[HORAS]]</f>
        <v>0</v>
      </c>
      <c r="N579" t="str">
        <f>_xlfn.XLOOKUP(Tabla1[[#This Row],[NOMBRE_DOCENT]],MDOCENTES[DATOS_DOCENTE],MDOCENTES[DEDICACION],"Seleccione Docente")</f>
        <v>Seleccione Docente</v>
      </c>
      <c r="O579" t="str">
        <f>_xlfn.XLOOKUP(Tabla1[[#This Row],[NOMBRE_DOCENT]],MDOCENTES[DATOS_DOCENTE],MDOCENTES[ESTUDIO],"Seleccione Docente")</f>
        <v>Seleccione Docente</v>
      </c>
      <c r="P579">
        <f t="shared" si="45"/>
        <v>0</v>
      </c>
      <c r="Q579">
        <f t="shared" si="46"/>
        <v>0</v>
      </c>
      <c r="R579">
        <f t="shared" si="47"/>
        <v>0</v>
      </c>
      <c r="S579">
        <f t="shared" si="48"/>
        <v>0</v>
      </c>
      <c r="T579">
        <f t="shared" si="49"/>
        <v>0</v>
      </c>
      <c r="U579">
        <f>Tabla1[[#This Row],[HORAS NO AFINIDAD]]+Tabla1[[#This Row],[HORAS UNIDAD BASICA]]+Tabla1[[#This Row],[HORAS AFINIDAD]]</f>
        <v>0</v>
      </c>
      <c r="V579">
        <f>+Tabla1[[#This Row],[HORAS AFINIDAD]]+Tabla1[[#This Row],[HORAS ACTIVIDAD]]+Tabla1[[#This Row],[HORAS UNIDAD BASICA]]+Tabla1[[#This Row],[HORAS NO AFINIDAD]]</f>
        <v>0</v>
      </c>
    </row>
    <row r="580" spans="1:22" ht="18.75" customHeight="1">
      <c r="A580">
        <v>579</v>
      </c>
      <c r="C580" t="str">
        <f>_xlfn.XLOOKUP(Tabla1[[#This Row],[CARRERA]],MAE_CARRERA[NOMBRE_CARRERA],MAE_CARRERA[ID_CARRERA],"Seleccione Carrera")</f>
        <v>Seleccione Carrera</v>
      </c>
      <c r="F580" s="1"/>
      <c r="G580" t="str">
        <f>_xlfn.XLOOKUP(Tabla1[[#This Row],[ASIGNATURA]],MAE_ASIGNATURA[NOM_ASIG],MAE_ASIGNATURA[ID_ASIG],"Seleccione Asignatura")</f>
        <v>Seleccione Asignatura</v>
      </c>
      <c r="H580" s="1" t="str" cm="1">
        <f t="array" ref="H580">_xlfn.TEXTJOIN("; ",TRUE,TRANSPOSE(_xlfn.UNIQUE(_xlfn._xlws.FILTER(DET_ASIG[DETALLADO],(DET_ASIG[NIVEL]=ASIGNACION!$D580)*(DET_ASIG[ID_CARRERA]=ASIGNACION!$C580)*(DET_ASIG[ID_ASIG]=ASIGNACION!$G580),"No existe información"))))</f>
        <v>No existe información</v>
      </c>
      <c r="I580" s="1"/>
      <c r="J580">
        <f>_xlfn.XLOOKUP(Tabla1[[#This Row],[ID_ASIG_CAM_DET]],MAE_ASIGNATURA[ID_ASIG],MAE_ASIGNATURA[HORAS],0)</f>
        <v>0</v>
      </c>
      <c r="K580">
        <v>4</v>
      </c>
      <c r="L580" s="2">
        <f>+Tabla1[[#This Row],[CALCULAR HORA]]*Tabla1[[#This Row],[HORAS]]</f>
        <v>0</v>
      </c>
      <c r="N580" t="str">
        <f>_xlfn.XLOOKUP(Tabla1[[#This Row],[NOMBRE_DOCENT]],MDOCENTES[DATOS_DOCENTE],MDOCENTES[DEDICACION],"Seleccione Docente")</f>
        <v>Seleccione Docente</v>
      </c>
      <c r="O580" t="str">
        <f>_xlfn.XLOOKUP(Tabla1[[#This Row],[NOMBRE_DOCENT]],MDOCENTES[DATOS_DOCENTE],MDOCENTES[ESTUDIO],"Seleccione Docente")</f>
        <v>Seleccione Docente</v>
      </c>
      <c r="P580">
        <f t="shared" si="45"/>
        <v>0</v>
      </c>
      <c r="Q580">
        <f t="shared" si="46"/>
        <v>0</v>
      </c>
      <c r="R580">
        <f t="shared" si="47"/>
        <v>0</v>
      </c>
      <c r="S580">
        <f t="shared" si="48"/>
        <v>0</v>
      </c>
      <c r="T580">
        <f t="shared" si="49"/>
        <v>0</v>
      </c>
      <c r="U580">
        <f>Tabla1[[#This Row],[HORAS NO AFINIDAD]]+Tabla1[[#This Row],[HORAS UNIDAD BASICA]]+Tabla1[[#This Row],[HORAS AFINIDAD]]</f>
        <v>0</v>
      </c>
      <c r="V580">
        <f>+Tabla1[[#This Row],[HORAS AFINIDAD]]+Tabla1[[#This Row],[HORAS ACTIVIDAD]]+Tabla1[[#This Row],[HORAS UNIDAD BASICA]]+Tabla1[[#This Row],[HORAS NO AFINIDAD]]</f>
        <v>0</v>
      </c>
    </row>
    <row r="581" spans="1:22" ht="18.75" customHeight="1">
      <c r="A581">
        <v>580</v>
      </c>
      <c r="C581" t="str">
        <f>_xlfn.XLOOKUP(Tabla1[[#This Row],[CARRERA]],MAE_CARRERA[NOMBRE_CARRERA],MAE_CARRERA[ID_CARRERA],"Seleccione Carrera")</f>
        <v>Seleccione Carrera</v>
      </c>
      <c r="F581" s="1"/>
      <c r="G581" t="str">
        <f>_xlfn.XLOOKUP(Tabla1[[#This Row],[ASIGNATURA]],MAE_ASIGNATURA[NOM_ASIG],MAE_ASIGNATURA[ID_ASIG],"Seleccione Asignatura")</f>
        <v>Seleccione Asignatura</v>
      </c>
      <c r="H581" s="1" t="str" cm="1">
        <f t="array" ref="H581">_xlfn.TEXTJOIN("; ",TRUE,TRANSPOSE(_xlfn.UNIQUE(_xlfn._xlws.FILTER(DET_ASIG[DETALLADO],(DET_ASIG[NIVEL]=ASIGNACION!$D581)*(DET_ASIG[ID_CARRERA]=ASIGNACION!$C581)*(DET_ASIG[ID_ASIG]=ASIGNACION!$G581),"No existe información"))))</f>
        <v>No existe información</v>
      </c>
      <c r="I581" s="1"/>
      <c r="J581">
        <f>_xlfn.XLOOKUP(Tabla1[[#This Row],[ID_ASIG_CAM_DET]],MAE_ASIGNATURA[ID_ASIG],MAE_ASIGNATURA[HORAS],0)</f>
        <v>0</v>
      </c>
      <c r="K581">
        <v>4</v>
      </c>
      <c r="L581" s="2">
        <f>+Tabla1[[#This Row],[CALCULAR HORA]]*Tabla1[[#This Row],[HORAS]]</f>
        <v>0</v>
      </c>
      <c r="N581" t="str">
        <f>_xlfn.XLOOKUP(Tabla1[[#This Row],[NOMBRE_DOCENT]],MDOCENTES[DATOS_DOCENTE],MDOCENTES[DEDICACION],"Seleccione Docente")</f>
        <v>Seleccione Docente</v>
      </c>
      <c r="O581" t="str">
        <f>_xlfn.XLOOKUP(Tabla1[[#This Row],[NOMBRE_DOCENT]],MDOCENTES[DATOS_DOCENTE],MDOCENTES[ESTUDIO],"Seleccione Docente")</f>
        <v>Seleccione Docente</v>
      </c>
      <c r="P581">
        <f t="shared" si="45"/>
        <v>0</v>
      </c>
      <c r="Q581">
        <f t="shared" si="46"/>
        <v>0</v>
      </c>
      <c r="R581">
        <f t="shared" si="47"/>
        <v>0</v>
      </c>
      <c r="S581">
        <f t="shared" si="48"/>
        <v>0</v>
      </c>
      <c r="T581">
        <f t="shared" si="49"/>
        <v>0</v>
      </c>
      <c r="U581">
        <f>Tabla1[[#This Row],[HORAS NO AFINIDAD]]+Tabla1[[#This Row],[HORAS UNIDAD BASICA]]+Tabla1[[#This Row],[HORAS AFINIDAD]]</f>
        <v>0</v>
      </c>
      <c r="V581">
        <f>+Tabla1[[#This Row],[HORAS AFINIDAD]]+Tabla1[[#This Row],[HORAS ACTIVIDAD]]+Tabla1[[#This Row],[HORAS UNIDAD BASICA]]+Tabla1[[#This Row],[HORAS NO AFINIDAD]]</f>
        <v>0</v>
      </c>
    </row>
    <row r="582" spans="1:22" ht="18.75" customHeight="1">
      <c r="A582">
        <v>581</v>
      </c>
      <c r="C582" t="str">
        <f>_xlfn.XLOOKUP(Tabla1[[#This Row],[CARRERA]],MAE_CARRERA[NOMBRE_CARRERA],MAE_CARRERA[ID_CARRERA],"Seleccione Carrera")</f>
        <v>Seleccione Carrera</v>
      </c>
      <c r="F582" s="1"/>
      <c r="G582" t="str">
        <f>_xlfn.XLOOKUP(Tabla1[[#This Row],[ASIGNATURA]],MAE_ASIGNATURA[NOM_ASIG],MAE_ASIGNATURA[ID_ASIG],"Seleccione Asignatura")</f>
        <v>Seleccione Asignatura</v>
      </c>
      <c r="H582" s="1" t="str" cm="1">
        <f t="array" ref="H582">_xlfn.TEXTJOIN("; ",TRUE,TRANSPOSE(_xlfn.UNIQUE(_xlfn._xlws.FILTER(DET_ASIG[DETALLADO],(DET_ASIG[NIVEL]=ASIGNACION!$D582)*(DET_ASIG[ID_CARRERA]=ASIGNACION!$C582)*(DET_ASIG[ID_ASIG]=ASIGNACION!$G582),"No existe información"))))</f>
        <v>No existe información</v>
      </c>
      <c r="I582" s="1"/>
      <c r="J582">
        <f>_xlfn.XLOOKUP(Tabla1[[#This Row],[ID_ASIG_CAM_DET]],MAE_ASIGNATURA[ID_ASIG],MAE_ASIGNATURA[HORAS],0)</f>
        <v>0</v>
      </c>
      <c r="K582">
        <v>4</v>
      </c>
      <c r="L582" s="2">
        <f>+Tabla1[[#This Row],[CALCULAR HORA]]*Tabla1[[#This Row],[HORAS]]</f>
        <v>0</v>
      </c>
      <c r="N582" t="str">
        <f>_xlfn.XLOOKUP(Tabla1[[#This Row],[NOMBRE_DOCENT]],MDOCENTES[DATOS_DOCENTE],MDOCENTES[DEDICACION],"Seleccione Docente")</f>
        <v>Seleccione Docente</v>
      </c>
      <c r="O582" t="str">
        <f>_xlfn.XLOOKUP(Tabla1[[#This Row],[NOMBRE_DOCENT]],MDOCENTES[DATOS_DOCENTE],MDOCENTES[ESTUDIO],"Seleccione Docente")</f>
        <v>Seleccione Docente</v>
      </c>
      <c r="P582">
        <f t="shared" si="45"/>
        <v>0</v>
      </c>
      <c r="Q582">
        <f t="shared" si="46"/>
        <v>0</v>
      </c>
      <c r="R582">
        <f t="shared" si="47"/>
        <v>0</v>
      </c>
      <c r="S582">
        <f t="shared" si="48"/>
        <v>0</v>
      </c>
      <c r="T582">
        <f t="shared" si="49"/>
        <v>0</v>
      </c>
      <c r="U582">
        <f>Tabla1[[#This Row],[HORAS NO AFINIDAD]]+Tabla1[[#This Row],[HORAS UNIDAD BASICA]]+Tabla1[[#This Row],[HORAS AFINIDAD]]</f>
        <v>0</v>
      </c>
      <c r="V582">
        <f>+Tabla1[[#This Row],[HORAS AFINIDAD]]+Tabla1[[#This Row],[HORAS ACTIVIDAD]]+Tabla1[[#This Row],[HORAS UNIDAD BASICA]]+Tabla1[[#This Row],[HORAS NO AFINIDAD]]</f>
        <v>0</v>
      </c>
    </row>
    <row r="583" spans="1:22" ht="18.75" customHeight="1">
      <c r="A583">
        <v>582</v>
      </c>
      <c r="C583" t="str">
        <f>_xlfn.XLOOKUP(Tabla1[[#This Row],[CARRERA]],MAE_CARRERA[NOMBRE_CARRERA],MAE_CARRERA[ID_CARRERA],"Seleccione Carrera")</f>
        <v>Seleccione Carrera</v>
      </c>
      <c r="F583" s="1"/>
      <c r="G583" t="str">
        <f>_xlfn.XLOOKUP(Tabla1[[#This Row],[ASIGNATURA]],MAE_ASIGNATURA[NOM_ASIG],MAE_ASIGNATURA[ID_ASIG],"Seleccione Asignatura")</f>
        <v>Seleccione Asignatura</v>
      </c>
      <c r="H583" s="1" t="str" cm="1">
        <f t="array" ref="H583">_xlfn.TEXTJOIN("; ",TRUE,TRANSPOSE(_xlfn.UNIQUE(_xlfn._xlws.FILTER(DET_ASIG[DETALLADO],(DET_ASIG[NIVEL]=ASIGNACION!$D583)*(DET_ASIG[ID_CARRERA]=ASIGNACION!$C583)*(DET_ASIG[ID_ASIG]=ASIGNACION!$G583),"No existe información"))))</f>
        <v>No existe información</v>
      </c>
      <c r="I583" s="1"/>
      <c r="J583">
        <f>_xlfn.XLOOKUP(Tabla1[[#This Row],[ID_ASIG_CAM_DET]],MAE_ASIGNATURA[ID_ASIG],MAE_ASIGNATURA[HORAS],0)</f>
        <v>0</v>
      </c>
      <c r="K583">
        <v>4</v>
      </c>
      <c r="L583" s="2">
        <f>+Tabla1[[#This Row],[CALCULAR HORA]]*Tabla1[[#This Row],[HORAS]]</f>
        <v>0</v>
      </c>
      <c r="N583" t="str">
        <f>_xlfn.XLOOKUP(Tabla1[[#This Row],[NOMBRE_DOCENT]],MDOCENTES[DATOS_DOCENTE],MDOCENTES[DEDICACION],"Seleccione Docente")</f>
        <v>Seleccione Docente</v>
      </c>
      <c r="O583" t="str">
        <f>_xlfn.XLOOKUP(Tabla1[[#This Row],[NOMBRE_DOCENT]],MDOCENTES[DATOS_DOCENTE],MDOCENTES[ESTUDIO],"Seleccione Docente")</f>
        <v>Seleccione Docente</v>
      </c>
      <c r="P583">
        <f t="shared" si="45"/>
        <v>0</v>
      </c>
      <c r="Q583">
        <f t="shared" si="46"/>
        <v>0</v>
      </c>
      <c r="R583">
        <f t="shared" si="47"/>
        <v>0</v>
      </c>
      <c r="S583">
        <f t="shared" si="48"/>
        <v>0</v>
      </c>
      <c r="T583">
        <f t="shared" si="49"/>
        <v>0</v>
      </c>
      <c r="U583">
        <f>Tabla1[[#This Row],[HORAS NO AFINIDAD]]+Tabla1[[#This Row],[HORAS UNIDAD BASICA]]+Tabla1[[#This Row],[HORAS AFINIDAD]]</f>
        <v>0</v>
      </c>
      <c r="V583">
        <f>+Tabla1[[#This Row],[HORAS AFINIDAD]]+Tabla1[[#This Row],[HORAS ACTIVIDAD]]+Tabla1[[#This Row],[HORAS UNIDAD BASICA]]+Tabla1[[#This Row],[HORAS NO AFINIDAD]]</f>
        <v>0</v>
      </c>
    </row>
    <row r="584" spans="1:22" ht="18.75" customHeight="1">
      <c r="A584">
        <v>583</v>
      </c>
      <c r="C584" t="str">
        <f>_xlfn.XLOOKUP(Tabla1[[#This Row],[CARRERA]],MAE_CARRERA[NOMBRE_CARRERA],MAE_CARRERA[ID_CARRERA],"Seleccione Carrera")</f>
        <v>Seleccione Carrera</v>
      </c>
      <c r="F584" s="1"/>
      <c r="G584" t="str">
        <f>_xlfn.XLOOKUP(Tabla1[[#This Row],[ASIGNATURA]],MAE_ASIGNATURA[NOM_ASIG],MAE_ASIGNATURA[ID_ASIG],"Seleccione Asignatura")</f>
        <v>Seleccione Asignatura</v>
      </c>
      <c r="H584" s="1" t="str" cm="1">
        <f t="array" ref="H584">_xlfn.TEXTJOIN("; ",TRUE,TRANSPOSE(_xlfn.UNIQUE(_xlfn._xlws.FILTER(DET_ASIG[DETALLADO],(DET_ASIG[NIVEL]=ASIGNACION!$D584)*(DET_ASIG[ID_CARRERA]=ASIGNACION!$C584)*(DET_ASIG[ID_ASIG]=ASIGNACION!$G584),"No existe información"))))</f>
        <v>No existe información</v>
      </c>
      <c r="I584" s="1"/>
      <c r="J584">
        <f>_xlfn.XLOOKUP(Tabla1[[#This Row],[ID_ASIG_CAM_DET]],MAE_ASIGNATURA[ID_ASIG],MAE_ASIGNATURA[HORAS],0)</f>
        <v>0</v>
      </c>
      <c r="K584">
        <v>4</v>
      </c>
      <c r="L584" s="2">
        <f>+Tabla1[[#This Row],[CALCULAR HORA]]*Tabla1[[#This Row],[HORAS]]</f>
        <v>0</v>
      </c>
      <c r="N584" t="str">
        <f>_xlfn.XLOOKUP(Tabla1[[#This Row],[NOMBRE_DOCENT]],MDOCENTES[DATOS_DOCENTE],MDOCENTES[DEDICACION],"Seleccione Docente")</f>
        <v>Seleccione Docente</v>
      </c>
      <c r="O584" t="str">
        <f>_xlfn.XLOOKUP(Tabla1[[#This Row],[NOMBRE_DOCENT]],MDOCENTES[DATOS_DOCENTE],MDOCENTES[ESTUDIO],"Seleccione Docente")</f>
        <v>Seleccione Docente</v>
      </c>
      <c r="P584">
        <f t="shared" si="45"/>
        <v>0</v>
      </c>
      <c r="Q584">
        <f t="shared" si="46"/>
        <v>0</v>
      </c>
      <c r="R584">
        <f t="shared" si="47"/>
        <v>0</v>
      </c>
      <c r="S584">
        <f t="shared" si="48"/>
        <v>0</v>
      </c>
      <c r="T584">
        <f t="shared" si="49"/>
        <v>0</v>
      </c>
      <c r="U584">
        <f>Tabla1[[#This Row],[HORAS NO AFINIDAD]]+Tabla1[[#This Row],[HORAS UNIDAD BASICA]]+Tabla1[[#This Row],[HORAS AFINIDAD]]</f>
        <v>0</v>
      </c>
      <c r="V584">
        <f>+Tabla1[[#This Row],[HORAS AFINIDAD]]+Tabla1[[#This Row],[HORAS ACTIVIDAD]]+Tabla1[[#This Row],[HORAS UNIDAD BASICA]]+Tabla1[[#This Row],[HORAS NO AFINIDAD]]</f>
        <v>0</v>
      </c>
    </row>
    <row r="585" spans="1:22" ht="18.75" customHeight="1">
      <c r="A585">
        <v>584</v>
      </c>
      <c r="C585" t="str">
        <f>_xlfn.XLOOKUP(Tabla1[[#This Row],[CARRERA]],MAE_CARRERA[NOMBRE_CARRERA],MAE_CARRERA[ID_CARRERA],"Seleccione Carrera")</f>
        <v>Seleccione Carrera</v>
      </c>
      <c r="F585" s="1"/>
      <c r="G585" t="str">
        <f>_xlfn.XLOOKUP(Tabla1[[#This Row],[ASIGNATURA]],MAE_ASIGNATURA[NOM_ASIG],MAE_ASIGNATURA[ID_ASIG],"Seleccione Asignatura")</f>
        <v>Seleccione Asignatura</v>
      </c>
      <c r="H585" s="1" t="str" cm="1">
        <f t="array" ref="H585">_xlfn.TEXTJOIN("; ",TRUE,TRANSPOSE(_xlfn.UNIQUE(_xlfn._xlws.FILTER(DET_ASIG[DETALLADO],(DET_ASIG[NIVEL]=ASIGNACION!$D585)*(DET_ASIG[ID_CARRERA]=ASIGNACION!$C585)*(DET_ASIG[ID_ASIG]=ASIGNACION!$G585),"No existe información"))))</f>
        <v>No existe información</v>
      </c>
      <c r="I585" s="1"/>
      <c r="J585">
        <f>_xlfn.XLOOKUP(Tabla1[[#This Row],[ID_ASIG_CAM_DET]],MAE_ASIGNATURA[ID_ASIG],MAE_ASIGNATURA[HORAS],0)</f>
        <v>0</v>
      </c>
      <c r="K585">
        <v>4</v>
      </c>
      <c r="L585" s="2">
        <f>+Tabla1[[#This Row],[CALCULAR HORA]]*Tabla1[[#This Row],[HORAS]]</f>
        <v>0</v>
      </c>
      <c r="N585" t="str">
        <f>_xlfn.XLOOKUP(Tabla1[[#This Row],[NOMBRE_DOCENT]],MDOCENTES[DATOS_DOCENTE],MDOCENTES[DEDICACION],"Seleccione Docente")</f>
        <v>Seleccione Docente</v>
      </c>
      <c r="O585" t="str">
        <f>_xlfn.XLOOKUP(Tabla1[[#This Row],[NOMBRE_DOCENT]],MDOCENTES[DATOS_DOCENTE],MDOCENTES[ESTUDIO],"Seleccione Docente")</f>
        <v>Seleccione Docente</v>
      </c>
      <c r="P585">
        <f t="shared" si="45"/>
        <v>0</v>
      </c>
      <c r="Q585">
        <f t="shared" si="46"/>
        <v>0</v>
      </c>
      <c r="R585">
        <f t="shared" si="47"/>
        <v>0</v>
      </c>
      <c r="S585">
        <f t="shared" si="48"/>
        <v>0</v>
      </c>
      <c r="T585">
        <f t="shared" si="49"/>
        <v>0</v>
      </c>
      <c r="U585">
        <f>Tabla1[[#This Row],[HORAS NO AFINIDAD]]+Tabla1[[#This Row],[HORAS UNIDAD BASICA]]+Tabla1[[#This Row],[HORAS AFINIDAD]]</f>
        <v>0</v>
      </c>
      <c r="V585">
        <f>+Tabla1[[#This Row],[HORAS AFINIDAD]]+Tabla1[[#This Row],[HORAS ACTIVIDAD]]+Tabla1[[#This Row],[HORAS UNIDAD BASICA]]+Tabla1[[#This Row],[HORAS NO AFINIDAD]]</f>
        <v>0</v>
      </c>
    </row>
    <row r="586" spans="1:22" ht="18.75" customHeight="1">
      <c r="A586">
        <v>585</v>
      </c>
      <c r="C586" t="str">
        <f>_xlfn.XLOOKUP(Tabla1[[#This Row],[CARRERA]],MAE_CARRERA[NOMBRE_CARRERA],MAE_CARRERA[ID_CARRERA],"Seleccione Carrera")</f>
        <v>Seleccione Carrera</v>
      </c>
      <c r="F586" s="1"/>
      <c r="G586" t="str">
        <f>_xlfn.XLOOKUP(Tabla1[[#This Row],[ASIGNATURA]],MAE_ASIGNATURA[NOM_ASIG],MAE_ASIGNATURA[ID_ASIG],"Seleccione Asignatura")</f>
        <v>Seleccione Asignatura</v>
      </c>
      <c r="H586" s="1" t="str" cm="1">
        <f t="array" ref="H586">_xlfn.TEXTJOIN("; ",TRUE,TRANSPOSE(_xlfn.UNIQUE(_xlfn._xlws.FILTER(DET_ASIG[DETALLADO],(DET_ASIG[NIVEL]=ASIGNACION!$D586)*(DET_ASIG[ID_CARRERA]=ASIGNACION!$C586)*(DET_ASIG[ID_ASIG]=ASIGNACION!$G586),"No existe información"))))</f>
        <v>No existe información</v>
      </c>
      <c r="I586" s="1"/>
      <c r="J586">
        <f>_xlfn.XLOOKUP(Tabla1[[#This Row],[ID_ASIG_CAM_DET]],MAE_ASIGNATURA[ID_ASIG],MAE_ASIGNATURA[HORAS],0)</f>
        <v>0</v>
      </c>
      <c r="K586">
        <v>4</v>
      </c>
      <c r="L586" s="2">
        <f>+Tabla1[[#This Row],[CALCULAR HORA]]*Tabla1[[#This Row],[HORAS]]</f>
        <v>0</v>
      </c>
      <c r="N586" t="str">
        <f>_xlfn.XLOOKUP(Tabla1[[#This Row],[NOMBRE_DOCENT]],MDOCENTES[DATOS_DOCENTE],MDOCENTES[DEDICACION],"Seleccione Docente")</f>
        <v>Seleccione Docente</v>
      </c>
      <c r="O586" t="str">
        <f>_xlfn.XLOOKUP(Tabla1[[#This Row],[NOMBRE_DOCENT]],MDOCENTES[DATOS_DOCENTE],MDOCENTES[ESTUDIO],"Seleccione Docente")</f>
        <v>Seleccione Docente</v>
      </c>
      <c r="P586">
        <f t="shared" si="45"/>
        <v>0</v>
      </c>
      <c r="Q586">
        <f t="shared" si="46"/>
        <v>0</v>
      </c>
      <c r="R586">
        <f t="shared" si="47"/>
        <v>0</v>
      </c>
      <c r="S586">
        <f t="shared" si="48"/>
        <v>0</v>
      </c>
      <c r="T586">
        <f t="shared" si="49"/>
        <v>0</v>
      </c>
      <c r="U586">
        <f>Tabla1[[#This Row],[HORAS NO AFINIDAD]]+Tabla1[[#This Row],[HORAS UNIDAD BASICA]]+Tabla1[[#This Row],[HORAS AFINIDAD]]</f>
        <v>0</v>
      </c>
      <c r="V586">
        <f>+Tabla1[[#This Row],[HORAS AFINIDAD]]+Tabla1[[#This Row],[HORAS ACTIVIDAD]]+Tabla1[[#This Row],[HORAS UNIDAD BASICA]]+Tabla1[[#This Row],[HORAS NO AFINIDAD]]</f>
        <v>0</v>
      </c>
    </row>
    <row r="587" spans="1:22" ht="18.75" customHeight="1">
      <c r="A587">
        <v>586</v>
      </c>
      <c r="C587" t="str">
        <f>_xlfn.XLOOKUP(Tabla1[[#This Row],[CARRERA]],MAE_CARRERA[NOMBRE_CARRERA],MAE_CARRERA[ID_CARRERA],"Seleccione Carrera")</f>
        <v>Seleccione Carrera</v>
      </c>
      <c r="F587" s="1"/>
      <c r="G587" t="str">
        <f>_xlfn.XLOOKUP(Tabla1[[#This Row],[ASIGNATURA]],MAE_ASIGNATURA[NOM_ASIG],MAE_ASIGNATURA[ID_ASIG],"Seleccione Asignatura")</f>
        <v>Seleccione Asignatura</v>
      </c>
      <c r="H587" s="1" t="str" cm="1">
        <f t="array" ref="H587">_xlfn.TEXTJOIN("; ",TRUE,TRANSPOSE(_xlfn.UNIQUE(_xlfn._xlws.FILTER(DET_ASIG[DETALLADO],(DET_ASIG[NIVEL]=ASIGNACION!$D587)*(DET_ASIG[ID_CARRERA]=ASIGNACION!$C587)*(DET_ASIG[ID_ASIG]=ASIGNACION!$G587),"No existe información"))))</f>
        <v>No existe información</v>
      </c>
      <c r="I587" s="1"/>
      <c r="J587">
        <f>_xlfn.XLOOKUP(Tabla1[[#This Row],[ID_ASIG_CAM_DET]],MAE_ASIGNATURA[ID_ASIG],MAE_ASIGNATURA[HORAS],0)</f>
        <v>0</v>
      </c>
      <c r="K587">
        <v>4</v>
      </c>
      <c r="L587" s="2">
        <f>+Tabla1[[#This Row],[CALCULAR HORA]]*Tabla1[[#This Row],[HORAS]]</f>
        <v>0</v>
      </c>
      <c r="N587" t="str">
        <f>_xlfn.XLOOKUP(Tabla1[[#This Row],[NOMBRE_DOCENT]],MDOCENTES[DATOS_DOCENTE],MDOCENTES[DEDICACION],"Seleccione Docente")</f>
        <v>Seleccione Docente</v>
      </c>
      <c r="O587" t="str">
        <f>_xlfn.XLOOKUP(Tabla1[[#This Row],[NOMBRE_DOCENT]],MDOCENTES[DATOS_DOCENTE],MDOCENTES[ESTUDIO],"Seleccione Docente")</f>
        <v>Seleccione Docente</v>
      </c>
      <c r="P587">
        <f t="shared" si="45"/>
        <v>0</v>
      </c>
      <c r="Q587">
        <f t="shared" si="46"/>
        <v>0</v>
      </c>
      <c r="R587">
        <f t="shared" si="47"/>
        <v>0</v>
      </c>
      <c r="S587">
        <f t="shared" si="48"/>
        <v>0</v>
      </c>
      <c r="T587">
        <f t="shared" si="49"/>
        <v>0</v>
      </c>
      <c r="U587">
        <f>Tabla1[[#This Row],[HORAS NO AFINIDAD]]+Tabla1[[#This Row],[HORAS UNIDAD BASICA]]+Tabla1[[#This Row],[HORAS AFINIDAD]]</f>
        <v>0</v>
      </c>
      <c r="V587">
        <f>+Tabla1[[#This Row],[HORAS AFINIDAD]]+Tabla1[[#This Row],[HORAS ACTIVIDAD]]+Tabla1[[#This Row],[HORAS UNIDAD BASICA]]+Tabla1[[#This Row],[HORAS NO AFINIDAD]]</f>
        <v>0</v>
      </c>
    </row>
    <row r="588" spans="1:22" ht="18.75" customHeight="1">
      <c r="A588">
        <v>587</v>
      </c>
      <c r="C588" t="str">
        <f>_xlfn.XLOOKUP(Tabla1[[#This Row],[CARRERA]],MAE_CARRERA[NOMBRE_CARRERA],MAE_CARRERA[ID_CARRERA],"Seleccione Carrera")</f>
        <v>Seleccione Carrera</v>
      </c>
      <c r="F588" s="1"/>
      <c r="G588" t="str">
        <f>_xlfn.XLOOKUP(Tabla1[[#This Row],[ASIGNATURA]],MAE_ASIGNATURA[NOM_ASIG],MAE_ASIGNATURA[ID_ASIG],"Seleccione Asignatura")</f>
        <v>Seleccione Asignatura</v>
      </c>
      <c r="H588" s="1" t="str" cm="1">
        <f t="array" ref="H588">_xlfn.TEXTJOIN("; ",TRUE,TRANSPOSE(_xlfn.UNIQUE(_xlfn._xlws.FILTER(DET_ASIG[DETALLADO],(DET_ASIG[NIVEL]=ASIGNACION!$D588)*(DET_ASIG[ID_CARRERA]=ASIGNACION!$C588)*(DET_ASIG[ID_ASIG]=ASIGNACION!$G588),"No existe información"))))</f>
        <v>No existe información</v>
      </c>
      <c r="I588" s="1"/>
      <c r="J588">
        <f>_xlfn.XLOOKUP(Tabla1[[#This Row],[ID_ASIG_CAM_DET]],MAE_ASIGNATURA[ID_ASIG],MAE_ASIGNATURA[HORAS],0)</f>
        <v>0</v>
      </c>
      <c r="K588">
        <v>4</v>
      </c>
      <c r="L588" s="2">
        <f>+Tabla1[[#This Row],[CALCULAR HORA]]*Tabla1[[#This Row],[HORAS]]</f>
        <v>0</v>
      </c>
      <c r="N588" t="str">
        <f>_xlfn.XLOOKUP(Tabla1[[#This Row],[NOMBRE_DOCENT]],MDOCENTES[DATOS_DOCENTE],MDOCENTES[DEDICACION],"Seleccione Docente")</f>
        <v>Seleccione Docente</v>
      </c>
      <c r="O588" t="str">
        <f>_xlfn.XLOOKUP(Tabla1[[#This Row],[NOMBRE_DOCENT]],MDOCENTES[DATOS_DOCENTE],MDOCENTES[ESTUDIO],"Seleccione Docente")</f>
        <v>Seleccione Docente</v>
      </c>
      <c r="P588">
        <f t="shared" si="45"/>
        <v>0</v>
      </c>
      <c r="Q588">
        <f t="shared" si="46"/>
        <v>0</v>
      </c>
      <c r="R588">
        <f t="shared" si="47"/>
        <v>0</v>
      </c>
      <c r="S588">
        <f t="shared" si="48"/>
        <v>0</v>
      </c>
      <c r="T588">
        <f t="shared" si="49"/>
        <v>0</v>
      </c>
      <c r="U588">
        <f>Tabla1[[#This Row],[HORAS NO AFINIDAD]]+Tabla1[[#This Row],[HORAS UNIDAD BASICA]]+Tabla1[[#This Row],[HORAS AFINIDAD]]</f>
        <v>0</v>
      </c>
      <c r="V588">
        <f>+Tabla1[[#This Row],[HORAS AFINIDAD]]+Tabla1[[#This Row],[HORAS ACTIVIDAD]]+Tabla1[[#This Row],[HORAS UNIDAD BASICA]]+Tabla1[[#This Row],[HORAS NO AFINIDAD]]</f>
        <v>0</v>
      </c>
    </row>
    <row r="589" spans="1:22" ht="18.75" customHeight="1">
      <c r="A589">
        <v>588</v>
      </c>
      <c r="C589" t="str">
        <f>_xlfn.XLOOKUP(Tabla1[[#This Row],[CARRERA]],MAE_CARRERA[NOMBRE_CARRERA],MAE_CARRERA[ID_CARRERA],"Seleccione Carrera")</f>
        <v>Seleccione Carrera</v>
      </c>
      <c r="F589" s="1"/>
      <c r="G589" t="str">
        <f>_xlfn.XLOOKUP(Tabla1[[#This Row],[ASIGNATURA]],MAE_ASIGNATURA[NOM_ASIG],MAE_ASIGNATURA[ID_ASIG],"Seleccione Asignatura")</f>
        <v>Seleccione Asignatura</v>
      </c>
      <c r="H589" s="1" t="str" cm="1">
        <f t="array" ref="H589">_xlfn.TEXTJOIN("; ",TRUE,TRANSPOSE(_xlfn.UNIQUE(_xlfn._xlws.FILTER(DET_ASIG[DETALLADO],(DET_ASIG[NIVEL]=ASIGNACION!$D589)*(DET_ASIG[ID_CARRERA]=ASIGNACION!$C589)*(DET_ASIG[ID_ASIG]=ASIGNACION!$G589),"No existe información"))))</f>
        <v>No existe información</v>
      </c>
      <c r="I589" s="1"/>
      <c r="J589">
        <f>_xlfn.XLOOKUP(Tabla1[[#This Row],[ID_ASIG_CAM_DET]],MAE_ASIGNATURA[ID_ASIG],MAE_ASIGNATURA[HORAS],0)</f>
        <v>0</v>
      </c>
      <c r="K589">
        <v>4</v>
      </c>
      <c r="L589" s="2">
        <f>+Tabla1[[#This Row],[CALCULAR HORA]]*Tabla1[[#This Row],[HORAS]]</f>
        <v>0</v>
      </c>
      <c r="N589" t="str">
        <f>_xlfn.XLOOKUP(Tabla1[[#This Row],[NOMBRE_DOCENT]],MDOCENTES[DATOS_DOCENTE],MDOCENTES[DEDICACION],"Seleccione Docente")</f>
        <v>Seleccione Docente</v>
      </c>
      <c r="O589" t="str">
        <f>_xlfn.XLOOKUP(Tabla1[[#This Row],[NOMBRE_DOCENT]],MDOCENTES[DATOS_DOCENTE],MDOCENTES[ESTUDIO],"Seleccione Docente")</f>
        <v>Seleccione Docente</v>
      </c>
      <c r="P589">
        <f t="shared" si="45"/>
        <v>0</v>
      </c>
      <c r="Q589">
        <f t="shared" si="46"/>
        <v>0</v>
      </c>
      <c r="R589">
        <f t="shared" si="47"/>
        <v>0</v>
      </c>
      <c r="S589">
        <f t="shared" si="48"/>
        <v>0</v>
      </c>
      <c r="T589">
        <f t="shared" si="49"/>
        <v>0</v>
      </c>
      <c r="U589">
        <f>Tabla1[[#This Row],[HORAS NO AFINIDAD]]+Tabla1[[#This Row],[HORAS UNIDAD BASICA]]+Tabla1[[#This Row],[HORAS AFINIDAD]]</f>
        <v>0</v>
      </c>
      <c r="V589">
        <f>+Tabla1[[#This Row],[HORAS AFINIDAD]]+Tabla1[[#This Row],[HORAS ACTIVIDAD]]+Tabla1[[#This Row],[HORAS UNIDAD BASICA]]+Tabla1[[#This Row],[HORAS NO AFINIDAD]]</f>
        <v>0</v>
      </c>
    </row>
    <row r="590" spans="1:22" ht="18.75" customHeight="1">
      <c r="A590">
        <v>589</v>
      </c>
      <c r="C590" t="str">
        <f>_xlfn.XLOOKUP(Tabla1[[#This Row],[CARRERA]],MAE_CARRERA[NOMBRE_CARRERA],MAE_CARRERA[ID_CARRERA],"Seleccione Carrera")</f>
        <v>Seleccione Carrera</v>
      </c>
      <c r="F590" s="1"/>
      <c r="G590" t="str">
        <f>_xlfn.XLOOKUP(Tabla1[[#This Row],[ASIGNATURA]],MAE_ASIGNATURA[NOM_ASIG],MAE_ASIGNATURA[ID_ASIG],"Seleccione Asignatura")</f>
        <v>Seleccione Asignatura</v>
      </c>
      <c r="H590" s="1" t="str" cm="1">
        <f t="array" ref="H590">_xlfn.TEXTJOIN("; ",TRUE,TRANSPOSE(_xlfn.UNIQUE(_xlfn._xlws.FILTER(DET_ASIG[DETALLADO],(DET_ASIG[NIVEL]=ASIGNACION!$D590)*(DET_ASIG[ID_CARRERA]=ASIGNACION!$C590)*(DET_ASIG[ID_ASIG]=ASIGNACION!$G590),"No existe información"))))</f>
        <v>No existe información</v>
      </c>
      <c r="I590" s="1"/>
      <c r="J590">
        <f>_xlfn.XLOOKUP(Tabla1[[#This Row],[ID_ASIG_CAM_DET]],MAE_ASIGNATURA[ID_ASIG],MAE_ASIGNATURA[HORAS],0)</f>
        <v>0</v>
      </c>
      <c r="K590">
        <v>4</v>
      </c>
      <c r="L590" s="2">
        <f>+Tabla1[[#This Row],[CALCULAR HORA]]*Tabla1[[#This Row],[HORAS]]</f>
        <v>0</v>
      </c>
      <c r="N590" t="str">
        <f>_xlfn.XLOOKUP(Tabla1[[#This Row],[NOMBRE_DOCENT]],MDOCENTES[DATOS_DOCENTE],MDOCENTES[DEDICACION],"Seleccione Docente")</f>
        <v>Seleccione Docente</v>
      </c>
      <c r="O590" t="str">
        <f>_xlfn.XLOOKUP(Tabla1[[#This Row],[NOMBRE_DOCENT]],MDOCENTES[DATOS_DOCENTE],MDOCENTES[ESTUDIO],"Seleccione Docente")</f>
        <v>Seleccione Docente</v>
      </c>
      <c r="P590">
        <f t="shared" si="45"/>
        <v>0</v>
      </c>
      <c r="Q590">
        <f t="shared" si="46"/>
        <v>0</v>
      </c>
      <c r="R590">
        <f t="shared" si="47"/>
        <v>0</v>
      </c>
      <c r="S590">
        <f t="shared" si="48"/>
        <v>0</v>
      </c>
      <c r="T590">
        <f t="shared" si="49"/>
        <v>0</v>
      </c>
      <c r="U590">
        <f>Tabla1[[#This Row],[HORAS NO AFINIDAD]]+Tabla1[[#This Row],[HORAS UNIDAD BASICA]]+Tabla1[[#This Row],[HORAS AFINIDAD]]</f>
        <v>0</v>
      </c>
      <c r="V590">
        <f>+Tabla1[[#This Row],[HORAS AFINIDAD]]+Tabla1[[#This Row],[HORAS ACTIVIDAD]]+Tabla1[[#This Row],[HORAS UNIDAD BASICA]]+Tabla1[[#This Row],[HORAS NO AFINIDAD]]</f>
        <v>0</v>
      </c>
    </row>
    <row r="591" spans="1:22" ht="18.75" customHeight="1">
      <c r="A591">
        <v>590</v>
      </c>
      <c r="C591" t="str">
        <f>_xlfn.XLOOKUP(Tabla1[[#This Row],[CARRERA]],MAE_CARRERA[NOMBRE_CARRERA],MAE_CARRERA[ID_CARRERA],"Seleccione Carrera")</f>
        <v>Seleccione Carrera</v>
      </c>
      <c r="F591" s="1"/>
      <c r="G591" t="str">
        <f>_xlfn.XLOOKUP(Tabla1[[#This Row],[ASIGNATURA]],MAE_ASIGNATURA[NOM_ASIG],MAE_ASIGNATURA[ID_ASIG],"Seleccione Asignatura")</f>
        <v>Seleccione Asignatura</v>
      </c>
      <c r="H591" s="1" t="str" cm="1">
        <f t="array" ref="H591">_xlfn.TEXTJOIN("; ",TRUE,TRANSPOSE(_xlfn.UNIQUE(_xlfn._xlws.FILTER(DET_ASIG[DETALLADO],(DET_ASIG[NIVEL]=ASIGNACION!$D591)*(DET_ASIG[ID_CARRERA]=ASIGNACION!$C591)*(DET_ASIG[ID_ASIG]=ASIGNACION!$G591),"No existe información"))))</f>
        <v>No existe información</v>
      </c>
      <c r="I591" s="1"/>
      <c r="J591">
        <f>_xlfn.XLOOKUP(Tabla1[[#This Row],[ID_ASIG_CAM_DET]],MAE_ASIGNATURA[ID_ASIG],MAE_ASIGNATURA[HORAS],0)</f>
        <v>0</v>
      </c>
      <c r="K591">
        <v>4</v>
      </c>
      <c r="L591" s="2">
        <f>+Tabla1[[#This Row],[CALCULAR HORA]]*Tabla1[[#This Row],[HORAS]]</f>
        <v>0</v>
      </c>
      <c r="N591" t="str">
        <f>_xlfn.XLOOKUP(Tabla1[[#This Row],[NOMBRE_DOCENT]],MDOCENTES[DATOS_DOCENTE],MDOCENTES[DEDICACION],"Seleccione Docente")</f>
        <v>Seleccione Docente</v>
      </c>
      <c r="O591" t="str">
        <f>_xlfn.XLOOKUP(Tabla1[[#This Row],[NOMBRE_DOCENT]],MDOCENTES[DATOS_DOCENTE],MDOCENTES[ESTUDIO],"Seleccione Docente")</f>
        <v>Seleccione Docente</v>
      </c>
      <c r="P591">
        <f t="shared" si="45"/>
        <v>0</v>
      </c>
      <c r="Q591">
        <f t="shared" si="46"/>
        <v>0</v>
      </c>
      <c r="R591">
        <f t="shared" si="47"/>
        <v>0</v>
      </c>
      <c r="S591">
        <f t="shared" si="48"/>
        <v>0</v>
      </c>
      <c r="T591">
        <f t="shared" si="49"/>
        <v>0</v>
      </c>
      <c r="U591">
        <f>Tabla1[[#This Row],[HORAS NO AFINIDAD]]+Tabla1[[#This Row],[HORAS UNIDAD BASICA]]+Tabla1[[#This Row],[HORAS AFINIDAD]]</f>
        <v>0</v>
      </c>
      <c r="V591">
        <f>+Tabla1[[#This Row],[HORAS AFINIDAD]]+Tabla1[[#This Row],[HORAS ACTIVIDAD]]+Tabla1[[#This Row],[HORAS UNIDAD BASICA]]+Tabla1[[#This Row],[HORAS NO AFINIDAD]]</f>
        <v>0</v>
      </c>
    </row>
    <row r="592" spans="1:22" ht="18.75" customHeight="1">
      <c r="A592">
        <v>591</v>
      </c>
      <c r="C592" t="str">
        <f>_xlfn.XLOOKUP(Tabla1[[#This Row],[CARRERA]],MAE_CARRERA[NOMBRE_CARRERA],MAE_CARRERA[ID_CARRERA],"Seleccione Carrera")</f>
        <v>Seleccione Carrera</v>
      </c>
      <c r="F592" s="1"/>
      <c r="G592" t="str">
        <f>_xlfn.XLOOKUP(Tabla1[[#This Row],[ASIGNATURA]],MAE_ASIGNATURA[NOM_ASIG],MAE_ASIGNATURA[ID_ASIG],"Seleccione Asignatura")</f>
        <v>Seleccione Asignatura</v>
      </c>
      <c r="H592" s="1" t="str" cm="1">
        <f t="array" ref="H592">_xlfn.TEXTJOIN("; ",TRUE,TRANSPOSE(_xlfn.UNIQUE(_xlfn._xlws.FILTER(DET_ASIG[DETALLADO],(DET_ASIG[NIVEL]=ASIGNACION!$D592)*(DET_ASIG[ID_CARRERA]=ASIGNACION!$C592)*(DET_ASIG[ID_ASIG]=ASIGNACION!$G592),"No existe información"))))</f>
        <v>No existe información</v>
      </c>
      <c r="I592" s="1"/>
      <c r="J592">
        <f>_xlfn.XLOOKUP(Tabla1[[#This Row],[ID_ASIG_CAM_DET]],MAE_ASIGNATURA[ID_ASIG],MAE_ASIGNATURA[HORAS],0)</f>
        <v>0</v>
      </c>
      <c r="K592">
        <v>4</v>
      </c>
      <c r="L592" s="2">
        <f>+Tabla1[[#This Row],[CALCULAR HORA]]*Tabla1[[#This Row],[HORAS]]</f>
        <v>0</v>
      </c>
      <c r="N592" t="str">
        <f>_xlfn.XLOOKUP(Tabla1[[#This Row],[NOMBRE_DOCENT]],MDOCENTES[DATOS_DOCENTE],MDOCENTES[DEDICACION],"Seleccione Docente")</f>
        <v>Seleccione Docente</v>
      </c>
      <c r="O592" t="str">
        <f>_xlfn.XLOOKUP(Tabla1[[#This Row],[NOMBRE_DOCENT]],MDOCENTES[DATOS_DOCENTE],MDOCENTES[ESTUDIO],"Seleccione Docente")</f>
        <v>Seleccione Docente</v>
      </c>
      <c r="P592">
        <f t="shared" si="45"/>
        <v>0</v>
      </c>
      <c r="Q592">
        <f t="shared" si="46"/>
        <v>0</v>
      </c>
      <c r="R592">
        <f t="shared" si="47"/>
        <v>0</v>
      </c>
      <c r="S592">
        <f t="shared" si="48"/>
        <v>0</v>
      </c>
      <c r="T592">
        <f t="shared" si="49"/>
        <v>0</v>
      </c>
      <c r="U592">
        <f>Tabla1[[#This Row],[HORAS NO AFINIDAD]]+Tabla1[[#This Row],[HORAS UNIDAD BASICA]]+Tabla1[[#This Row],[HORAS AFINIDAD]]</f>
        <v>0</v>
      </c>
      <c r="V592">
        <f>+Tabla1[[#This Row],[HORAS AFINIDAD]]+Tabla1[[#This Row],[HORAS ACTIVIDAD]]+Tabla1[[#This Row],[HORAS UNIDAD BASICA]]+Tabla1[[#This Row],[HORAS NO AFINIDAD]]</f>
        <v>0</v>
      </c>
    </row>
    <row r="593" spans="1:22" ht="18.75" customHeight="1">
      <c r="A593">
        <v>592</v>
      </c>
      <c r="C593" t="str">
        <f>_xlfn.XLOOKUP(Tabla1[[#This Row],[CARRERA]],MAE_CARRERA[NOMBRE_CARRERA],MAE_CARRERA[ID_CARRERA],"Seleccione Carrera")</f>
        <v>Seleccione Carrera</v>
      </c>
      <c r="F593" s="1"/>
      <c r="G593" t="str">
        <f>_xlfn.XLOOKUP(Tabla1[[#This Row],[ASIGNATURA]],MAE_ASIGNATURA[NOM_ASIG],MAE_ASIGNATURA[ID_ASIG],"Seleccione Asignatura")</f>
        <v>Seleccione Asignatura</v>
      </c>
      <c r="H593" s="1" t="str" cm="1">
        <f t="array" ref="H593">_xlfn.TEXTJOIN("; ",TRUE,TRANSPOSE(_xlfn.UNIQUE(_xlfn._xlws.FILTER(DET_ASIG[DETALLADO],(DET_ASIG[NIVEL]=ASIGNACION!$D593)*(DET_ASIG[ID_CARRERA]=ASIGNACION!$C593)*(DET_ASIG[ID_ASIG]=ASIGNACION!$G593),"No existe información"))))</f>
        <v>No existe información</v>
      </c>
      <c r="I593" s="1"/>
      <c r="J593">
        <f>_xlfn.XLOOKUP(Tabla1[[#This Row],[ID_ASIG_CAM_DET]],MAE_ASIGNATURA[ID_ASIG],MAE_ASIGNATURA[HORAS],0)</f>
        <v>0</v>
      </c>
      <c r="K593">
        <v>4</v>
      </c>
      <c r="L593" s="2">
        <f>+Tabla1[[#This Row],[CALCULAR HORA]]*Tabla1[[#This Row],[HORAS]]</f>
        <v>0</v>
      </c>
      <c r="N593" t="str">
        <f>_xlfn.XLOOKUP(Tabla1[[#This Row],[NOMBRE_DOCENT]],MDOCENTES[DATOS_DOCENTE],MDOCENTES[DEDICACION],"Seleccione Docente")</f>
        <v>Seleccione Docente</v>
      </c>
      <c r="O593" t="str">
        <f>_xlfn.XLOOKUP(Tabla1[[#This Row],[NOMBRE_DOCENT]],MDOCENTES[DATOS_DOCENTE],MDOCENTES[ESTUDIO],"Seleccione Docente")</f>
        <v>Seleccione Docente</v>
      </c>
      <c r="P593">
        <f t="shared" si="45"/>
        <v>0</v>
      </c>
      <c r="Q593">
        <f t="shared" si="46"/>
        <v>0</v>
      </c>
      <c r="R593">
        <f t="shared" si="47"/>
        <v>0</v>
      </c>
      <c r="S593">
        <f t="shared" si="48"/>
        <v>0</v>
      </c>
      <c r="T593">
        <f t="shared" si="49"/>
        <v>0</v>
      </c>
      <c r="U593">
        <f>Tabla1[[#This Row],[HORAS NO AFINIDAD]]+Tabla1[[#This Row],[HORAS UNIDAD BASICA]]+Tabla1[[#This Row],[HORAS AFINIDAD]]</f>
        <v>0</v>
      </c>
      <c r="V593">
        <f>+Tabla1[[#This Row],[HORAS AFINIDAD]]+Tabla1[[#This Row],[HORAS ACTIVIDAD]]+Tabla1[[#This Row],[HORAS UNIDAD BASICA]]+Tabla1[[#This Row],[HORAS NO AFINIDAD]]</f>
        <v>0</v>
      </c>
    </row>
    <row r="594" spans="1:22" ht="18.75" customHeight="1">
      <c r="A594">
        <v>593</v>
      </c>
      <c r="C594" t="str">
        <f>_xlfn.XLOOKUP(Tabla1[[#This Row],[CARRERA]],MAE_CARRERA[NOMBRE_CARRERA],MAE_CARRERA[ID_CARRERA],"Seleccione Carrera")</f>
        <v>Seleccione Carrera</v>
      </c>
      <c r="F594" s="1"/>
      <c r="G594" t="str">
        <f>_xlfn.XLOOKUP(Tabla1[[#This Row],[ASIGNATURA]],MAE_ASIGNATURA[NOM_ASIG],MAE_ASIGNATURA[ID_ASIG],"Seleccione Asignatura")</f>
        <v>Seleccione Asignatura</v>
      </c>
      <c r="H594" s="1" t="str" cm="1">
        <f t="array" ref="H594">_xlfn.TEXTJOIN("; ",TRUE,TRANSPOSE(_xlfn.UNIQUE(_xlfn._xlws.FILTER(DET_ASIG[DETALLADO],(DET_ASIG[NIVEL]=ASIGNACION!$D594)*(DET_ASIG[ID_CARRERA]=ASIGNACION!$C594)*(DET_ASIG[ID_ASIG]=ASIGNACION!$G594),"No existe información"))))</f>
        <v>No existe información</v>
      </c>
      <c r="I594" s="1"/>
      <c r="J594">
        <f>_xlfn.XLOOKUP(Tabla1[[#This Row],[ID_ASIG_CAM_DET]],MAE_ASIGNATURA[ID_ASIG],MAE_ASIGNATURA[HORAS],0)</f>
        <v>0</v>
      </c>
      <c r="K594">
        <v>4</v>
      </c>
      <c r="L594" s="2">
        <f>+Tabla1[[#This Row],[CALCULAR HORA]]*Tabla1[[#This Row],[HORAS]]</f>
        <v>0</v>
      </c>
      <c r="N594" t="str">
        <f>_xlfn.XLOOKUP(Tabla1[[#This Row],[NOMBRE_DOCENT]],MDOCENTES[DATOS_DOCENTE],MDOCENTES[DEDICACION],"Seleccione Docente")</f>
        <v>Seleccione Docente</v>
      </c>
      <c r="O594" t="str">
        <f>_xlfn.XLOOKUP(Tabla1[[#This Row],[NOMBRE_DOCENT]],MDOCENTES[DATOS_DOCENTE],MDOCENTES[ESTUDIO],"Seleccione Docente")</f>
        <v>Seleccione Docente</v>
      </c>
      <c r="P594">
        <f t="shared" si="45"/>
        <v>0</v>
      </c>
      <c r="Q594">
        <f t="shared" si="46"/>
        <v>0</v>
      </c>
      <c r="R594">
        <f t="shared" si="47"/>
        <v>0</v>
      </c>
      <c r="S594">
        <f t="shared" si="48"/>
        <v>0</v>
      </c>
      <c r="T594">
        <f t="shared" si="49"/>
        <v>0</v>
      </c>
      <c r="U594">
        <f>Tabla1[[#This Row],[HORAS NO AFINIDAD]]+Tabla1[[#This Row],[HORAS UNIDAD BASICA]]+Tabla1[[#This Row],[HORAS AFINIDAD]]</f>
        <v>0</v>
      </c>
      <c r="V594">
        <f>+Tabla1[[#This Row],[HORAS AFINIDAD]]+Tabla1[[#This Row],[HORAS ACTIVIDAD]]+Tabla1[[#This Row],[HORAS UNIDAD BASICA]]+Tabla1[[#This Row],[HORAS NO AFINIDAD]]</f>
        <v>0</v>
      </c>
    </row>
    <row r="595" spans="1:22" ht="18.75" customHeight="1">
      <c r="A595">
        <v>594</v>
      </c>
      <c r="C595" t="str">
        <f>_xlfn.XLOOKUP(Tabla1[[#This Row],[CARRERA]],MAE_CARRERA[NOMBRE_CARRERA],MAE_CARRERA[ID_CARRERA],"Seleccione Carrera")</f>
        <v>Seleccione Carrera</v>
      </c>
      <c r="F595" s="1"/>
      <c r="G595" t="str">
        <f>_xlfn.XLOOKUP(Tabla1[[#This Row],[ASIGNATURA]],MAE_ASIGNATURA[NOM_ASIG],MAE_ASIGNATURA[ID_ASIG],"Seleccione Asignatura")</f>
        <v>Seleccione Asignatura</v>
      </c>
      <c r="H595" s="1" t="str" cm="1">
        <f t="array" ref="H595">_xlfn.TEXTJOIN("; ",TRUE,TRANSPOSE(_xlfn.UNIQUE(_xlfn._xlws.FILTER(DET_ASIG[DETALLADO],(DET_ASIG[NIVEL]=ASIGNACION!$D595)*(DET_ASIG[ID_CARRERA]=ASIGNACION!$C595)*(DET_ASIG[ID_ASIG]=ASIGNACION!$G595),"No existe información"))))</f>
        <v>No existe información</v>
      </c>
      <c r="I595" s="1"/>
      <c r="J595">
        <f>_xlfn.XLOOKUP(Tabla1[[#This Row],[ID_ASIG_CAM_DET]],MAE_ASIGNATURA[ID_ASIG],MAE_ASIGNATURA[HORAS],0)</f>
        <v>0</v>
      </c>
      <c r="K595">
        <v>4</v>
      </c>
      <c r="L595" s="2">
        <f>+Tabla1[[#This Row],[CALCULAR HORA]]*Tabla1[[#This Row],[HORAS]]</f>
        <v>0</v>
      </c>
      <c r="N595" t="str">
        <f>_xlfn.XLOOKUP(Tabla1[[#This Row],[NOMBRE_DOCENT]],MDOCENTES[DATOS_DOCENTE],MDOCENTES[DEDICACION],"Seleccione Docente")</f>
        <v>Seleccione Docente</v>
      </c>
      <c r="O595" t="str">
        <f>_xlfn.XLOOKUP(Tabla1[[#This Row],[NOMBRE_DOCENT]],MDOCENTES[DATOS_DOCENTE],MDOCENTES[ESTUDIO],"Seleccione Docente")</f>
        <v>Seleccione Docente</v>
      </c>
      <c r="P595">
        <f t="shared" si="45"/>
        <v>0</v>
      </c>
      <c r="Q595">
        <f t="shared" si="46"/>
        <v>0</v>
      </c>
      <c r="R595">
        <f t="shared" si="47"/>
        <v>0</v>
      </c>
      <c r="S595">
        <f t="shared" si="48"/>
        <v>0</v>
      </c>
      <c r="T595">
        <f t="shared" si="49"/>
        <v>0</v>
      </c>
      <c r="U595">
        <f>Tabla1[[#This Row],[HORAS NO AFINIDAD]]+Tabla1[[#This Row],[HORAS UNIDAD BASICA]]+Tabla1[[#This Row],[HORAS AFINIDAD]]</f>
        <v>0</v>
      </c>
      <c r="V595">
        <f>+Tabla1[[#This Row],[HORAS AFINIDAD]]+Tabla1[[#This Row],[HORAS ACTIVIDAD]]+Tabla1[[#This Row],[HORAS UNIDAD BASICA]]+Tabla1[[#This Row],[HORAS NO AFINIDAD]]</f>
        <v>0</v>
      </c>
    </row>
    <row r="596" spans="1:22" ht="18.75" customHeight="1">
      <c r="A596">
        <v>595</v>
      </c>
      <c r="C596" t="str">
        <f>_xlfn.XLOOKUP(Tabla1[[#This Row],[CARRERA]],MAE_CARRERA[NOMBRE_CARRERA],MAE_CARRERA[ID_CARRERA],"Seleccione Carrera")</f>
        <v>Seleccione Carrera</v>
      </c>
      <c r="F596" s="1"/>
      <c r="G596" t="str">
        <f>_xlfn.XLOOKUP(Tabla1[[#This Row],[ASIGNATURA]],MAE_ASIGNATURA[NOM_ASIG],MAE_ASIGNATURA[ID_ASIG],"Seleccione Asignatura")</f>
        <v>Seleccione Asignatura</v>
      </c>
      <c r="H596" s="1" t="str" cm="1">
        <f t="array" ref="H596">_xlfn.TEXTJOIN("; ",TRUE,TRANSPOSE(_xlfn.UNIQUE(_xlfn._xlws.FILTER(DET_ASIG[DETALLADO],(DET_ASIG[NIVEL]=ASIGNACION!$D596)*(DET_ASIG[ID_CARRERA]=ASIGNACION!$C596)*(DET_ASIG[ID_ASIG]=ASIGNACION!$G596),"No existe información"))))</f>
        <v>No existe información</v>
      </c>
      <c r="I596" s="1"/>
      <c r="J596">
        <f>_xlfn.XLOOKUP(Tabla1[[#This Row],[ID_ASIG_CAM_DET]],MAE_ASIGNATURA[ID_ASIG],MAE_ASIGNATURA[HORAS],0)</f>
        <v>0</v>
      </c>
      <c r="K596">
        <v>4</v>
      </c>
      <c r="L596" s="2">
        <f>+Tabla1[[#This Row],[CALCULAR HORA]]*Tabla1[[#This Row],[HORAS]]</f>
        <v>0</v>
      </c>
      <c r="N596" t="str">
        <f>_xlfn.XLOOKUP(Tabla1[[#This Row],[NOMBRE_DOCENT]],MDOCENTES[DATOS_DOCENTE],MDOCENTES[DEDICACION],"Seleccione Docente")</f>
        <v>Seleccione Docente</v>
      </c>
      <c r="O596" t="str">
        <f>_xlfn.XLOOKUP(Tabla1[[#This Row],[NOMBRE_DOCENT]],MDOCENTES[DATOS_DOCENTE],MDOCENTES[ESTUDIO],"Seleccione Docente")</f>
        <v>Seleccione Docente</v>
      </c>
      <c r="P596">
        <f t="shared" si="45"/>
        <v>0</v>
      </c>
      <c r="Q596">
        <f t="shared" si="46"/>
        <v>0</v>
      </c>
      <c r="R596">
        <f t="shared" si="47"/>
        <v>0</v>
      </c>
      <c r="S596">
        <f t="shared" si="48"/>
        <v>0</v>
      </c>
      <c r="T596">
        <f t="shared" si="49"/>
        <v>0</v>
      </c>
      <c r="U596">
        <f>Tabla1[[#This Row],[HORAS NO AFINIDAD]]+Tabla1[[#This Row],[HORAS UNIDAD BASICA]]+Tabla1[[#This Row],[HORAS AFINIDAD]]</f>
        <v>0</v>
      </c>
      <c r="V596">
        <f>+Tabla1[[#This Row],[HORAS AFINIDAD]]+Tabla1[[#This Row],[HORAS ACTIVIDAD]]+Tabla1[[#This Row],[HORAS UNIDAD BASICA]]+Tabla1[[#This Row],[HORAS NO AFINIDAD]]</f>
        <v>0</v>
      </c>
    </row>
    <row r="597" spans="1:22" ht="18.75" customHeight="1">
      <c r="A597">
        <v>596</v>
      </c>
      <c r="C597" t="str">
        <f>_xlfn.XLOOKUP(Tabla1[[#This Row],[CARRERA]],MAE_CARRERA[NOMBRE_CARRERA],MAE_CARRERA[ID_CARRERA],"Seleccione Carrera")</f>
        <v>Seleccione Carrera</v>
      </c>
      <c r="F597" s="1"/>
      <c r="G597" t="str">
        <f>_xlfn.XLOOKUP(Tabla1[[#This Row],[ASIGNATURA]],MAE_ASIGNATURA[NOM_ASIG],MAE_ASIGNATURA[ID_ASIG],"Seleccione Asignatura")</f>
        <v>Seleccione Asignatura</v>
      </c>
      <c r="H597" s="1" t="str" cm="1">
        <f t="array" ref="H597">_xlfn.TEXTJOIN("; ",TRUE,TRANSPOSE(_xlfn.UNIQUE(_xlfn._xlws.FILTER(DET_ASIG[DETALLADO],(DET_ASIG[NIVEL]=ASIGNACION!$D597)*(DET_ASIG[ID_CARRERA]=ASIGNACION!$C597)*(DET_ASIG[ID_ASIG]=ASIGNACION!$G597),"No existe información"))))</f>
        <v>No existe información</v>
      </c>
      <c r="I597" s="1"/>
      <c r="J597">
        <f>_xlfn.XLOOKUP(Tabla1[[#This Row],[ID_ASIG_CAM_DET]],MAE_ASIGNATURA[ID_ASIG],MAE_ASIGNATURA[HORAS],0)</f>
        <v>0</v>
      </c>
      <c r="K597">
        <v>4</v>
      </c>
      <c r="L597" s="2">
        <f>+Tabla1[[#This Row],[CALCULAR HORA]]*Tabla1[[#This Row],[HORAS]]</f>
        <v>0</v>
      </c>
      <c r="N597" t="str">
        <f>_xlfn.XLOOKUP(Tabla1[[#This Row],[NOMBRE_DOCENT]],MDOCENTES[DATOS_DOCENTE],MDOCENTES[DEDICACION],"Seleccione Docente")</f>
        <v>Seleccione Docente</v>
      </c>
      <c r="O597" t="str">
        <f>_xlfn.XLOOKUP(Tabla1[[#This Row],[NOMBRE_DOCENT]],MDOCENTES[DATOS_DOCENTE],MDOCENTES[ESTUDIO],"Seleccione Docente")</f>
        <v>Seleccione Docente</v>
      </c>
      <c r="P597">
        <f t="shared" si="45"/>
        <v>0</v>
      </c>
      <c r="Q597">
        <f t="shared" si="46"/>
        <v>0</v>
      </c>
      <c r="R597">
        <f t="shared" si="47"/>
        <v>0</v>
      </c>
      <c r="S597">
        <f t="shared" si="48"/>
        <v>0</v>
      </c>
      <c r="T597">
        <f t="shared" si="49"/>
        <v>0</v>
      </c>
      <c r="U597">
        <f>Tabla1[[#This Row],[HORAS NO AFINIDAD]]+Tabla1[[#This Row],[HORAS UNIDAD BASICA]]+Tabla1[[#This Row],[HORAS AFINIDAD]]</f>
        <v>0</v>
      </c>
      <c r="V597">
        <f>+Tabla1[[#This Row],[HORAS AFINIDAD]]+Tabla1[[#This Row],[HORAS ACTIVIDAD]]+Tabla1[[#This Row],[HORAS UNIDAD BASICA]]+Tabla1[[#This Row],[HORAS NO AFINIDAD]]</f>
        <v>0</v>
      </c>
    </row>
    <row r="598" spans="1:22" ht="18.75" customHeight="1">
      <c r="A598">
        <v>597</v>
      </c>
      <c r="C598" t="str">
        <f>_xlfn.XLOOKUP(Tabla1[[#This Row],[CARRERA]],MAE_CARRERA[NOMBRE_CARRERA],MAE_CARRERA[ID_CARRERA],"Seleccione Carrera")</f>
        <v>Seleccione Carrera</v>
      </c>
      <c r="F598" s="1"/>
      <c r="G598" t="str">
        <f>_xlfn.XLOOKUP(Tabla1[[#This Row],[ASIGNATURA]],MAE_ASIGNATURA[NOM_ASIG],MAE_ASIGNATURA[ID_ASIG],"Seleccione Asignatura")</f>
        <v>Seleccione Asignatura</v>
      </c>
      <c r="H598" s="1" t="str" cm="1">
        <f t="array" ref="H598">_xlfn.TEXTJOIN("; ",TRUE,TRANSPOSE(_xlfn.UNIQUE(_xlfn._xlws.FILTER(DET_ASIG[DETALLADO],(DET_ASIG[NIVEL]=ASIGNACION!$D598)*(DET_ASIG[ID_CARRERA]=ASIGNACION!$C598)*(DET_ASIG[ID_ASIG]=ASIGNACION!$G598),"No existe información"))))</f>
        <v>No existe información</v>
      </c>
      <c r="I598" s="1"/>
      <c r="J598">
        <f>_xlfn.XLOOKUP(Tabla1[[#This Row],[ID_ASIG_CAM_DET]],MAE_ASIGNATURA[ID_ASIG],MAE_ASIGNATURA[HORAS],0)</f>
        <v>0</v>
      </c>
      <c r="K598">
        <v>4</v>
      </c>
      <c r="L598" s="2">
        <f>+Tabla1[[#This Row],[CALCULAR HORA]]*Tabla1[[#This Row],[HORAS]]</f>
        <v>0</v>
      </c>
      <c r="N598" t="str">
        <f>_xlfn.XLOOKUP(Tabla1[[#This Row],[NOMBRE_DOCENT]],MDOCENTES[DATOS_DOCENTE],MDOCENTES[DEDICACION],"Seleccione Docente")</f>
        <v>Seleccione Docente</v>
      </c>
      <c r="O598" t="str">
        <f>_xlfn.XLOOKUP(Tabla1[[#This Row],[NOMBRE_DOCENT]],MDOCENTES[DATOS_DOCENTE],MDOCENTES[ESTUDIO],"Seleccione Docente")</f>
        <v>Seleccione Docente</v>
      </c>
      <c r="P598">
        <f t="shared" si="45"/>
        <v>0</v>
      </c>
      <c r="Q598">
        <f t="shared" si="46"/>
        <v>0</v>
      </c>
      <c r="R598">
        <f t="shared" si="47"/>
        <v>0</v>
      </c>
      <c r="S598">
        <f t="shared" si="48"/>
        <v>0</v>
      </c>
      <c r="T598">
        <f t="shared" si="49"/>
        <v>0</v>
      </c>
      <c r="U598">
        <f>Tabla1[[#This Row],[HORAS NO AFINIDAD]]+Tabla1[[#This Row],[HORAS UNIDAD BASICA]]+Tabla1[[#This Row],[HORAS AFINIDAD]]</f>
        <v>0</v>
      </c>
      <c r="V598">
        <f>+Tabla1[[#This Row],[HORAS AFINIDAD]]+Tabla1[[#This Row],[HORAS ACTIVIDAD]]+Tabla1[[#This Row],[HORAS UNIDAD BASICA]]+Tabla1[[#This Row],[HORAS NO AFINIDAD]]</f>
        <v>0</v>
      </c>
    </row>
    <row r="599" spans="1:22" ht="18.75" customHeight="1">
      <c r="A599">
        <v>598</v>
      </c>
      <c r="C599" t="str">
        <f>_xlfn.XLOOKUP(Tabla1[[#This Row],[CARRERA]],MAE_CARRERA[NOMBRE_CARRERA],MAE_CARRERA[ID_CARRERA],"Seleccione Carrera")</f>
        <v>Seleccione Carrera</v>
      </c>
      <c r="F599" s="1"/>
      <c r="G599" t="str">
        <f>_xlfn.XLOOKUP(Tabla1[[#This Row],[ASIGNATURA]],MAE_ASIGNATURA[NOM_ASIG],MAE_ASIGNATURA[ID_ASIG],"Seleccione Asignatura")</f>
        <v>Seleccione Asignatura</v>
      </c>
      <c r="H599" s="1" t="str" cm="1">
        <f t="array" ref="H599">_xlfn.TEXTJOIN("; ",TRUE,TRANSPOSE(_xlfn.UNIQUE(_xlfn._xlws.FILTER(DET_ASIG[DETALLADO],(DET_ASIG[NIVEL]=ASIGNACION!$D599)*(DET_ASIG[ID_CARRERA]=ASIGNACION!$C599)*(DET_ASIG[ID_ASIG]=ASIGNACION!$G599),"No existe información"))))</f>
        <v>No existe información</v>
      </c>
      <c r="I599" s="1"/>
      <c r="J599">
        <f>_xlfn.XLOOKUP(Tabla1[[#This Row],[ID_ASIG_CAM_DET]],MAE_ASIGNATURA[ID_ASIG],MAE_ASIGNATURA[HORAS],0)</f>
        <v>0</v>
      </c>
      <c r="K599">
        <v>4</v>
      </c>
      <c r="L599" s="2">
        <f>+Tabla1[[#This Row],[CALCULAR HORA]]*Tabla1[[#This Row],[HORAS]]</f>
        <v>0</v>
      </c>
      <c r="N599" t="str">
        <f>_xlfn.XLOOKUP(Tabla1[[#This Row],[NOMBRE_DOCENT]],MDOCENTES[DATOS_DOCENTE],MDOCENTES[DEDICACION],"Seleccione Docente")</f>
        <v>Seleccione Docente</v>
      </c>
      <c r="O599" t="str">
        <f>_xlfn.XLOOKUP(Tabla1[[#This Row],[NOMBRE_DOCENT]],MDOCENTES[DATOS_DOCENTE],MDOCENTES[ESTUDIO],"Seleccione Docente")</f>
        <v>Seleccione Docente</v>
      </c>
      <c r="P599">
        <f t="shared" si="45"/>
        <v>0</v>
      </c>
      <c r="Q599">
        <f t="shared" si="46"/>
        <v>0</v>
      </c>
      <c r="R599">
        <f t="shared" si="47"/>
        <v>0</v>
      </c>
      <c r="S599">
        <f t="shared" si="48"/>
        <v>0</v>
      </c>
      <c r="T599">
        <f t="shared" si="49"/>
        <v>0</v>
      </c>
      <c r="U599">
        <f>Tabla1[[#This Row],[HORAS NO AFINIDAD]]+Tabla1[[#This Row],[HORAS UNIDAD BASICA]]+Tabla1[[#This Row],[HORAS AFINIDAD]]</f>
        <v>0</v>
      </c>
      <c r="V599">
        <f>+Tabla1[[#This Row],[HORAS AFINIDAD]]+Tabla1[[#This Row],[HORAS ACTIVIDAD]]+Tabla1[[#This Row],[HORAS UNIDAD BASICA]]+Tabla1[[#This Row],[HORAS NO AFINIDAD]]</f>
        <v>0</v>
      </c>
    </row>
    <row r="600" spans="1:22" ht="18.75" customHeight="1">
      <c r="A600">
        <v>599</v>
      </c>
      <c r="C600" t="str">
        <f>_xlfn.XLOOKUP(Tabla1[[#This Row],[CARRERA]],MAE_CARRERA[NOMBRE_CARRERA],MAE_CARRERA[ID_CARRERA],"Seleccione Carrera")</f>
        <v>Seleccione Carrera</v>
      </c>
      <c r="F600" s="1"/>
      <c r="G600" t="str">
        <f>_xlfn.XLOOKUP(Tabla1[[#This Row],[ASIGNATURA]],MAE_ASIGNATURA[NOM_ASIG],MAE_ASIGNATURA[ID_ASIG],"Seleccione Asignatura")</f>
        <v>Seleccione Asignatura</v>
      </c>
      <c r="H600" s="1" t="str" cm="1">
        <f t="array" ref="H600">_xlfn.TEXTJOIN("; ",TRUE,TRANSPOSE(_xlfn.UNIQUE(_xlfn._xlws.FILTER(DET_ASIG[DETALLADO],(DET_ASIG[NIVEL]=ASIGNACION!$D600)*(DET_ASIG[ID_CARRERA]=ASIGNACION!$C600)*(DET_ASIG[ID_ASIG]=ASIGNACION!$G600),"No existe información"))))</f>
        <v>No existe información</v>
      </c>
      <c r="I600" s="1"/>
      <c r="J600">
        <f>_xlfn.XLOOKUP(Tabla1[[#This Row],[ID_ASIG_CAM_DET]],MAE_ASIGNATURA[ID_ASIG],MAE_ASIGNATURA[HORAS],0)</f>
        <v>0</v>
      </c>
      <c r="K600">
        <v>4</v>
      </c>
      <c r="L600" s="2">
        <f>+Tabla1[[#This Row],[CALCULAR HORA]]*Tabla1[[#This Row],[HORAS]]</f>
        <v>0</v>
      </c>
      <c r="N600" t="str">
        <f>_xlfn.XLOOKUP(Tabla1[[#This Row],[NOMBRE_DOCENT]],MDOCENTES[DATOS_DOCENTE],MDOCENTES[DEDICACION],"Seleccione Docente")</f>
        <v>Seleccione Docente</v>
      </c>
      <c r="O600" t="str">
        <f>_xlfn.XLOOKUP(Tabla1[[#This Row],[NOMBRE_DOCENT]],MDOCENTES[DATOS_DOCENTE],MDOCENTES[ESTUDIO],"Seleccione Docente")</f>
        <v>Seleccione Docente</v>
      </c>
      <c r="P600">
        <f t="shared" si="45"/>
        <v>0</v>
      </c>
      <c r="Q600">
        <f t="shared" si="46"/>
        <v>0</v>
      </c>
      <c r="R600">
        <f t="shared" si="47"/>
        <v>0</v>
      </c>
      <c r="S600">
        <f t="shared" si="48"/>
        <v>0</v>
      </c>
      <c r="T600">
        <f t="shared" si="49"/>
        <v>0</v>
      </c>
      <c r="U600">
        <f>Tabla1[[#This Row],[HORAS NO AFINIDAD]]+Tabla1[[#This Row],[HORAS UNIDAD BASICA]]+Tabla1[[#This Row],[HORAS AFINIDAD]]</f>
        <v>0</v>
      </c>
      <c r="V600">
        <f>+Tabla1[[#This Row],[HORAS AFINIDAD]]+Tabla1[[#This Row],[HORAS ACTIVIDAD]]+Tabla1[[#This Row],[HORAS UNIDAD BASICA]]+Tabla1[[#This Row],[HORAS NO AFINIDAD]]</f>
        <v>0</v>
      </c>
    </row>
  </sheetData>
  <phoneticPr fontId="1" type="noConversion"/>
  <conditionalFormatting sqref="F1:G1048576">
    <cfRule type="duplicateValues" dxfId="49" priority="1"/>
  </conditionalFormatting>
  <dataValidations count="3">
    <dataValidation allowBlank="1" showInputMessage="1" showErrorMessage="1" sqref="H2:H600 C2:C600 Q2:V600" xr:uid="{6818673B-FC69-4392-8A2A-7190961ACFAD}"/>
    <dataValidation type="list" allowBlank="1" showInputMessage="1" showErrorMessage="1" sqref="I121:I600" xr:uid="{06CB4070-7916-4D1D-93FE-6AD494B01D99}">
      <formula1>"SI,NO"</formula1>
    </dataValidation>
    <dataValidation type="list" allowBlank="1" showInputMessage="1" showErrorMessage="1" sqref="I2:I120" xr:uid="{37E9F050-1690-4097-A12B-259C73DC07EF}">
      <formula1>"SI,NO,ACTIVIDAD"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1096DA3-9375-4295-BE5E-F7A8F31732E1}">
          <x14:formula1>
            <xm:f>_xlfn.ANCHORARRAY(INTERCAMBIO!$EA2)</xm:f>
          </x14:formula1>
          <xm:sqref>M2:M600</xm:sqref>
        </x14:dataValidation>
        <x14:dataValidation type="list" allowBlank="1" showInputMessage="1" showErrorMessage="1" xr:uid="{2AAADF57-3FB5-4B2E-BB86-B0370465505C}">
          <x14:formula1>
            <xm:f>_xlfn.ANCHORARRAY(INTERCAMBIO!$S2)</xm:f>
          </x14:formula1>
          <xm:sqref>F2:F600</xm:sqref>
        </x14:dataValidation>
        <x14:dataValidation type="list" allowBlank="1" showInputMessage="1" showErrorMessage="1" xr:uid="{502F0038-8A2A-4D58-BFB8-8307FFD9580E}">
          <x14:formula1>
            <xm:f>_xlfn.ANCHORARRAY(INTERCAMBIO!$A2)</xm:f>
          </x14:formula1>
          <xm:sqref>D2:D600</xm:sqref>
        </x14:dataValidation>
        <x14:dataValidation type="list" allowBlank="1" showInputMessage="1" showErrorMessage="1" xr:uid="{8D7706C9-1CFD-4A1F-B772-A7D616ED33D4}">
          <x14:formula1>
            <xm:f>MAE_CARRERA!$B$2:$B308</xm:f>
          </x14:formula1>
          <xm:sqref>B2:B600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0ABA-E70A-49AD-A31B-3346F39ADF60}">
  <dimension ref="A1:FN637"/>
  <sheetViews>
    <sheetView tabSelected="1" topLeftCell="AZ1" zoomScale="55" zoomScaleNormal="55" workbookViewId="0">
      <selection activeCell="BE10" sqref="BE10"/>
    </sheetView>
  </sheetViews>
  <sheetFormatPr defaultColWidth="4.5703125" defaultRowHeight="20.25" customHeight="1"/>
  <cols>
    <col min="1" max="1" width="4.5703125" style="4"/>
    <col min="19" max="19" width="12.42578125" style="4" customWidth="1"/>
    <col min="56" max="56" width="47.42578125" style="4" customWidth="1"/>
    <col min="57" max="58" width="47.42578125" customWidth="1"/>
    <col min="59" max="60" width="16.85546875" customWidth="1"/>
    <col min="61" max="68" width="4.140625" customWidth="1"/>
    <col min="69" max="69" width="50.140625" style="4" customWidth="1"/>
    <col min="70" max="78" width="4.28515625" customWidth="1"/>
    <col min="131" max="131" width="11.5703125" style="4" bestFit="1" customWidth="1"/>
    <col min="132" max="132" width="4.5703125" customWidth="1"/>
  </cols>
  <sheetData>
    <row r="1" spans="1:170" ht="20.25" customHeight="1">
      <c r="BQ1" s="4" t="s">
        <v>40</v>
      </c>
      <c r="EA1" s="4" t="s">
        <v>41</v>
      </c>
    </row>
    <row r="2" spans="1:170" ht="20.25" customHeight="1">
      <c r="A2" s="4" cm="1">
        <f t="array" ref="A2:H2">TRANSPOSE(_xlfn.UNIQUE(_xlfn._xlws.FILTER(MAE_ASIGNATURA[ID_NIVEL],MAE_ASIGNATURA[ID_CARRERA]=ASIGNACION!$C2,"No existe información")))</f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S2" s="4" t="str" cm="1">
        <f t="array" ref="S2:W2">TRANSPOSE(_xlfn.UNIQUE(_xlfn._xlws.FILTER(MAE_ASIGNATURA[NOM_ASIG],(MAE_ASIGNATURA[ID_NIVEL]=ASIGNACION!$D2)*(MAE_ASIGNATURA[ID_CARRERA]=ASIGNACION!$C2),"No existe información")))</f>
        <v>CONTABILIDAD BÁSICA</v>
      </c>
      <c r="T2" t="str">
        <v>MATEMÁTICA</v>
      </c>
      <c r="U2" t="str">
        <v>METODOLOGÍA DE LA INVESTIGACIÓN</v>
      </c>
      <c r="V2" t="str">
        <v>ADMINISTRACIÓN</v>
      </c>
      <c r="W2" t="str">
        <v>MACROECONOMÍA</v>
      </c>
      <c r="BD2" s="4" t="str" cm="1">
        <f t="array" ref="BD2">TRANSPOSE(_xlfn.UNIQUE(_xlfn._xlws.FILTER(DET_ASIG[DETALLADO],(DET_ASIG[ID_CARRERA]=ASIGNACION!$C2)*(DET_ASIG[NIVEL]=ASIGNACION!$D2)*(DET_ASIG[ID_ASIG]=ASIGNACION!$G2),"No existe información")))</f>
        <v>UNIDAD BASICA</v>
      </c>
      <c r="BQ2" s="5" t="str" cm="1">
        <f t="array" ref="BQ2">IFERROR(
    TRANSPOSE(
        _xlfn.UNIQUE(
            _xlfn._xlws.FILTER(MAESTRIA_DETALLADO[MAESTRIA],
                ISNUMBER(MATCH(MAESTRIA_DETALLADO[CAMPO_DETALLADO],
                BD2:BP2,0))
            )
        )
    ),IF(BD2="ACTIVIDAD","DOCENCIA",""))</f>
        <v/>
      </c>
      <c r="EA2" s="5" t="str" cm="1">
        <f t="array" ref="EA2:FN2">IF(
    ASIGNACION!I2="SI",
    IFERROR(
        TRANSPOSE(
            _xlfn.UNIQUE(
                _xlfn._xlws.FILTER(EDU_DOCENTE[NOMBRE_DOCENTE],
                    ISNUMBER(MATCH(EDU_DOCENTE[MAESTRIA],
                    BQ2:DY2,0))
                )
            )
        ),
        ""
    ),
    TRANSPOSE(
        _xlfn.UNIQUE(EDU_DOCENTE[NOMBRE_DOCENTE]
        )
    )
)</f>
        <v>ALCIVAR CEDEÑO BEATRIZ ISABEL</v>
      </c>
      <c r="EB2" t="str">
        <v>ALCIVAR VERA GEMA MICHELLE</v>
      </c>
      <c r="EC2" t="str">
        <v>ARAUZ CHAVEZ MARIO ROBERTO</v>
      </c>
      <c r="ED2" t="str">
        <v>BAILON LOURIDO WALTER ALBERTO</v>
      </c>
      <c r="EE2" t="str">
        <v>CALDERERO VILLAGOMEZ ERICK ANTONIO</v>
      </c>
      <c r="EF2" t="str">
        <v>CASTILLO GARCIA PAOLA GERMANIA</v>
      </c>
      <c r="EG2" t="str">
        <v>CEDEÑO CHOEZ PEDRO JAVIER</v>
      </c>
      <c r="EH2" t="str">
        <v>CEVALLOS HOPPE JUAN CARLOS</v>
      </c>
      <c r="EI2" t="str">
        <v>DELGADO CHAVEZ MARIA IRASEMA</v>
      </c>
      <c r="EJ2" t="str">
        <v>DUARTE VALENCIA CRISTHIAN DARIO</v>
      </c>
      <c r="EK2" t="str">
        <v>FORTTY BARBERAN DENNY ALEXANDER</v>
      </c>
      <c r="EL2" t="str">
        <v>GUTIERREZ ZAMBRANO CARMEN EBELINA</v>
      </c>
      <c r="EM2" t="str">
        <v>INTRIAGO MOLINA GEMA VALERIA</v>
      </c>
      <c r="EN2" t="str">
        <v>LINO VELEZ LEONEL LIVINGTON</v>
      </c>
      <c r="EO2" t="str">
        <v>LOOR ALCIVAR MARIA ILIANA</v>
      </c>
      <c r="EP2" t="str">
        <v>LOOR MIELES TANIA JACQUELINE</v>
      </c>
      <c r="EQ2" t="str">
        <v>LOOR SOLORZANO ROSA MARIA</v>
      </c>
      <c r="ER2" t="str">
        <v>LOPEZ DELGADO RONALD MAURICIO</v>
      </c>
      <c r="ES2" t="str">
        <v>MACIAS VALENCIA DAVID GABRIEL</v>
      </c>
      <c r="ET2" t="str">
        <v>MENDOZA ZAMORA WALTER MANUEL</v>
      </c>
      <c r="EU2" t="str">
        <v>MOLINA CEVALLOS MARIA LORENA</v>
      </c>
      <c r="EV2" t="str">
        <v>MURILLO DELGADO ISAAC GABRIEL</v>
      </c>
      <c r="EW2" t="str">
        <v>ANGULO MURILLO NAVIRA GISSELA</v>
      </c>
      <c r="EX2" t="str">
        <v>OCHOA SOLEDISPA NESTOR IVAN</v>
      </c>
      <c r="EY2" t="str">
        <v>PARRAGA FRANCO SILVANA MARIELA</v>
      </c>
      <c r="EZ2" t="str">
        <v>PINARGOTE VASQUEZ NANCY FABIOLA</v>
      </c>
      <c r="FA2" t="str">
        <v>REYES VELEZ PEDRO ENRIQUE</v>
      </c>
      <c r="FB2" t="str">
        <v>SAN ANDRES HORMAZA DALLAS CECILIA</v>
      </c>
      <c r="FC2" t="str">
        <v>SORNOZA ZAMORA JUAN CARLOS</v>
      </c>
      <c r="FD2" t="str">
        <v>TOMALA PINTO JESUS JACINTO</v>
      </c>
      <c r="FE2" t="str">
        <v>VALLE JARAMILLO SILVIA ARACELY</v>
      </c>
      <c r="FF2" t="str">
        <v>VELÁSQUEZ BRAVO IRMA KATHERINE</v>
      </c>
      <c r="FG2" t="str">
        <v>VELEZ MENDOZA LAYSY VALERIA</v>
      </c>
      <c r="FH2" t="str">
        <v>VINUEZA TELLO SHIRLEY ELIZABETH</v>
      </c>
      <c r="FI2" t="str">
        <v>ZAMBRANO ALCIVAR NILDA ISABEL</v>
      </c>
      <c r="FJ2" t="str">
        <v>ZAMBRANO LOOR RITA MAYDA</v>
      </c>
      <c r="FK2" t="str">
        <v>ZAMBRANO VERA MONICA JANETH</v>
      </c>
      <c r="FL2" t="str">
        <v>VERA DELGADO BRYAN ADRIÁN</v>
      </c>
      <c r="FM2" t="str">
        <v>MORAN GONZALES DAVID RENATO</v>
      </c>
      <c r="FN2">
        <v>0</v>
      </c>
    </row>
    <row r="3" spans="1:170" ht="20.25" customHeight="1">
      <c r="A3" s="4" cm="1">
        <f t="array" ref="A3:H3">TRANSPOSE(_xlfn.UNIQUE(_xlfn._xlws.FILTER(MAE_ASIGNATURA[ID_NIVEL],MAE_ASIGNATURA[ID_CARRERA]=ASIGNACION!$C3,"No existe información")))</f>
        <v>1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S3" s="4" t="str" cm="1">
        <f t="array" ref="S3:W3">TRANSPOSE(_xlfn.UNIQUE(_xlfn._xlws.FILTER(MAE_ASIGNATURA[NOM_ASIG],(MAE_ASIGNATURA[ID_NIVEL]=ASIGNACION!$D3)*(MAE_ASIGNATURA[ID_CARRERA]=ASIGNACION!$C3),"No existe información")))</f>
        <v>CONTABILIDAD BÁSICA</v>
      </c>
      <c r="T3" t="str">
        <v>MATEMÁTICA</v>
      </c>
      <c r="U3" t="str">
        <v>METODOLOGÍA DE LA INVESTIGACIÓN</v>
      </c>
      <c r="V3" t="str">
        <v>ADMINISTRACIÓN</v>
      </c>
      <c r="W3" t="str">
        <v>MACROECONOMÍA</v>
      </c>
      <c r="BD3" s="4" t="str" cm="1">
        <f t="array" ref="BD3">TRANSPOSE(_xlfn.UNIQUE(_xlfn._xlws.FILTER(DET_ASIG[DETALLADO],(DET_ASIG[ID_CARRERA]=ASIGNACION!$C3)*(DET_ASIG[NIVEL]=ASIGNACION!$D3)*(DET_ASIG[ID_ASIG]=ASIGNACION!$G3),"No existe información")))</f>
        <v>UNIDAD BASICA</v>
      </c>
      <c r="BQ3" s="5" t="str" cm="1">
        <f t="array" ref="BQ3">IFERROR(
    TRANSPOSE(
        _xlfn.UNIQUE(
            _xlfn._xlws.FILTER(MAESTRIA_DETALLADO[MAESTRIA],
                ISNUMBER(MATCH(MAESTRIA_DETALLADO[CAMPO_DETALLADO],
                BD3:BP3,0))
            )
        )
    ),IF(BD3="ACTIVIDAD","DOCENCIA",""))</f>
        <v/>
      </c>
      <c r="EA3" s="5" t="str" cm="1">
        <f t="array" ref="EA3:FN3">IF(
    ASIGNACION!I3="SI",
    IFERROR(
        TRANSPOSE(
            _xlfn.UNIQUE(
                _xlfn._xlws.FILTER(EDU_DOCENTE[NOMBRE_DOCENTE],
                    ISNUMBER(MATCH(EDU_DOCENTE[MAESTRIA],
                    BQ3:DY3,0))
                )
            )
        ),
        ""
    ),
    TRANSPOSE(
        _xlfn.UNIQUE(EDU_DOCENTE[NOMBRE_DOCENTE]
        )
    )
)</f>
        <v>ALCIVAR CEDEÑO BEATRIZ ISABEL</v>
      </c>
      <c r="EB3" t="str">
        <v>ALCIVAR VERA GEMA MICHELLE</v>
      </c>
      <c r="EC3" t="str">
        <v>ARAUZ CHAVEZ MARIO ROBERTO</v>
      </c>
      <c r="ED3" t="str">
        <v>BAILON LOURIDO WALTER ALBERTO</v>
      </c>
      <c r="EE3" t="str">
        <v>CALDERERO VILLAGOMEZ ERICK ANTONIO</v>
      </c>
      <c r="EF3" t="str">
        <v>CASTILLO GARCIA PAOLA GERMANIA</v>
      </c>
      <c r="EG3" t="str">
        <v>CEDEÑO CHOEZ PEDRO JAVIER</v>
      </c>
      <c r="EH3" t="str">
        <v>CEVALLOS HOPPE JUAN CARLOS</v>
      </c>
      <c r="EI3" t="str">
        <v>DELGADO CHAVEZ MARIA IRASEMA</v>
      </c>
      <c r="EJ3" t="str">
        <v>DUARTE VALENCIA CRISTHIAN DARIO</v>
      </c>
      <c r="EK3" t="str">
        <v>FORTTY BARBERAN DENNY ALEXANDER</v>
      </c>
      <c r="EL3" t="str">
        <v>GUTIERREZ ZAMBRANO CARMEN EBELINA</v>
      </c>
      <c r="EM3" t="str">
        <v>INTRIAGO MOLINA GEMA VALERIA</v>
      </c>
      <c r="EN3" t="str">
        <v>LINO VELEZ LEONEL LIVINGTON</v>
      </c>
      <c r="EO3" t="str">
        <v>LOOR ALCIVAR MARIA ILIANA</v>
      </c>
      <c r="EP3" t="str">
        <v>LOOR MIELES TANIA JACQUELINE</v>
      </c>
      <c r="EQ3" t="str">
        <v>LOOR SOLORZANO ROSA MARIA</v>
      </c>
      <c r="ER3" t="str">
        <v>LOPEZ DELGADO RONALD MAURICIO</v>
      </c>
      <c r="ES3" t="str">
        <v>MACIAS VALENCIA DAVID GABRIEL</v>
      </c>
      <c r="ET3" t="str">
        <v>MENDOZA ZAMORA WALTER MANUEL</v>
      </c>
      <c r="EU3" t="str">
        <v>MOLINA CEVALLOS MARIA LORENA</v>
      </c>
      <c r="EV3" t="str">
        <v>MURILLO DELGADO ISAAC GABRIEL</v>
      </c>
      <c r="EW3" t="str">
        <v>ANGULO MURILLO NAVIRA GISSELA</v>
      </c>
      <c r="EX3" t="str">
        <v>OCHOA SOLEDISPA NESTOR IVAN</v>
      </c>
      <c r="EY3" t="str">
        <v>PARRAGA FRANCO SILVANA MARIELA</v>
      </c>
      <c r="EZ3" t="str">
        <v>PINARGOTE VASQUEZ NANCY FABIOLA</v>
      </c>
      <c r="FA3" t="str">
        <v>REYES VELEZ PEDRO ENRIQUE</v>
      </c>
      <c r="FB3" t="str">
        <v>SAN ANDRES HORMAZA DALLAS CECILIA</v>
      </c>
      <c r="FC3" t="str">
        <v>SORNOZA ZAMORA JUAN CARLOS</v>
      </c>
      <c r="FD3" t="str">
        <v>TOMALA PINTO JESUS JACINTO</v>
      </c>
      <c r="FE3" t="str">
        <v>VALLE JARAMILLO SILVIA ARACELY</v>
      </c>
      <c r="FF3" t="str">
        <v>VELÁSQUEZ BRAVO IRMA KATHERINE</v>
      </c>
      <c r="FG3" t="str">
        <v>VELEZ MENDOZA LAYSY VALERIA</v>
      </c>
      <c r="FH3" t="str">
        <v>VINUEZA TELLO SHIRLEY ELIZABETH</v>
      </c>
      <c r="FI3" t="str">
        <v>ZAMBRANO ALCIVAR NILDA ISABEL</v>
      </c>
      <c r="FJ3" t="str">
        <v>ZAMBRANO LOOR RITA MAYDA</v>
      </c>
      <c r="FK3" t="str">
        <v>ZAMBRANO VERA MONICA JANETH</v>
      </c>
      <c r="FL3" t="str">
        <v>VERA DELGADO BRYAN ADRIÁN</v>
      </c>
      <c r="FM3" t="str">
        <v>MORAN GONZALES DAVID RENATO</v>
      </c>
      <c r="FN3">
        <v>0</v>
      </c>
    </row>
    <row r="4" spans="1:170" ht="20.25" customHeight="1">
      <c r="A4" s="4" cm="1">
        <f t="array" ref="A4:H4">TRANSPOSE(_xlfn.UNIQUE(_xlfn._xlws.FILTER(MAE_ASIGNATURA[ID_NIVEL],MAE_ASIGNATURA[ID_CARRERA]=ASIGNACION!$C4,"No existe información")))</f>
        <v>1</v>
      </c>
      <c r="B4">
        <v>2</v>
      </c>
      <c r="C4">
        <v>3</v>
      </c>
      <c r="D4">
        <v>4</v>
      </c>
      <c r="E4">
        <v>5</v>
      </c>
      <c r="F4">
        <v>6</v>
      </c>
      <c r="G4">
        <v>7</v>
      </c>
      <c r="H4">
        <v>8</v>
      </c>
      <c r="S4" s="4" t="str" cm="1">
        <f t="array" ref="S4:W4">TRANSPOSE(_xlfn.UNIQUE(_xlfn._xlws.FILTER(MAE_ASIGNATURA[NOM_ASIG],(MAE_ASIGNATURA[ID_NIVEL]=ASIGNACION!$D4)*(MAE_ASIGNATURA[ID_CARRERA]=ASIGNACION!$C4),"No existe información")))</f>
        <v>CONTABILIDAD BÁSICA</v>
      </c>
      <c r="T4" t="str">
        <v>MATEMÁTICA</v>
      </c>
      <c r="U4" t="str">
        <v>METODOLOGÍA DE LA INVESTIGACIÓN</v>
      </c>
      <c r="V4" t="str">
        <v>ADMINISTRACIÓN</v>
      </c>
      <c r="W4" t="str">
        <v>MACROECONOMÍA</v>
      </c>
      <c r="BD4" s="4" t="str" cm="1">
        <f t="array" ref="BD4">TRANSPOSE(_xlfn.UNIQUE(_xlfn._xlws.FILTER(DET_ASIG[DETALLADO],(DET_ASIG[ID_CARRERA]=ASIGNACION!$C4)*(DET_ASIG[NIVEL]=ASIGNACION!$D4)*(DET_ASIG[ID_ASIG]=ASIGNACION!$G4),"No existe información")))</f>
        <v>UNIDAD BASICA</v>
      </c>
      <c r="BQ4" s="5" t="str" cm="1">
        <f t="array" ref="BQ4">IFERROR(
    TRANSPOSE(
        _xlfn.UNIQUE(
            _xlfn._xlws.FILTER(MAESTRIA_DETALLADO[MAESTRIA],
                ISNUMBER(MATCH(MAESTRIA_DETALLADO[CAMPO_DETALLADO],
                BD4:BP4,0))
            )
        )
    ),IF(BD4="ACTIVIDAD","DOCENCIA",""))</f>
        <v/>
      </c>
      <c r="EA4" s="5" t="str" cm="1">
        <f t="array" ref="EA4:FN4">IF(
    ASIGNACION!I4="SI",
    IFERROR(
        TRANSPOSE(
            _xlfn.UNIQUE(
                _xlfn._xlws.FILTER(EDU_DOCENTE[NOMBRE_DOCENTE],
                    ISNUMBER(MATCH(EDU_DOCENTE[MAESTRIA],
                    BQ4:DY4,0))
                )
            )
        ),
        ""
    ),
    TRANSPOSE(
        _xlfn.UNIQUE(EDU_DOCENTE[NOMBRE_DOCENTE]
        )
    )
)</f>
        <v>ALCIVAR CEDEÑO BEATRIZ ISABEL</v>
      </c>
      <c r="EB4" t="str">
        <v>ALCIVAR VERA GEMA MICHELLE</v>
      </c>
      <c r="EC4" t="str">
        <v>ARAUZ CHAVEZ MARIO ROBERTO</v>
      </c>
      <c r="ED4" t="str">
        <v>BAILON LOURIDO WALTER ALBERTO</v>
      </c>
      <c r="EE4" t="str">
        <v>CALDERERO VILLAGOMEZ ERICK ANTONIO</v>
      </c>
      <c r="EF4" t="str">
        <v>CASTILLO GARCIA PAOLA GERMANIA</v>
      </c>
      <c r="EG4" t="str">
        <v>CEDEÑO CHOEZ PEDRO JAVIER</v>
      </c>
      <c r="EH4" t="str">
        <v>CEVALLOS HOPPE JUAN CARLOS</v>
      </c>
      <c r="EI4" t="str">
        <v>DELGADO CHAVEZ MARIA IRASEMA</v>
      </c>
      <c r="EJ4" t="str">
        <v>DUARTE VALENCIA CRISTHIAN DARIO</v>
      </c>
      <c r="EK4" t="str">
        <v>FORTTY BARBERAN DENNY ALEXANDER</v>
      </c>
      <c r="EL4" t="str">
        <v>GUTIERREZ ZAMBRANO CARMEN EBELINA</v>
      </c>
      <c r="EM4" t="str">
        <v>INTRIAGO MOLINA GEMA VALERIA</v>
      </c>
      <c r="EN4" t="str">
        <v>LINO VELEZ LEONEL LIVINGTON</v>
      </c>
      <c r="EO4" t="str">
        <v>LOOR ALCIVAR MARIA ILIANA</v>
      </c>
      <c r="EP4" t="str">
        <v>LOOR MIELES TANIA JACQUELINE</v>
      </c>
      <c r="EQ4" t="str">
        <v>LOOR SOLORZANO ROSA MARIA</v>
      </c>
      <c r="ER4" t="str">
        <v>LOPEZ DELGADO RONALD MAURICIO</v>
      </c>
      <c r="ES4" t="str">
        <v>MACIAS VALENCIA DAVID GABRIEL</v>
      </c>
      <c r="ET4" t="str">
        <v>MENDOZA ZAMORA WALTER MANUEL</v>
      </c>
      <c r="EU4" t="str">
        <v>MOLINA CEVALLOS MARIA LORENA</v>
      </c>
      <c r="EV4" t="str">
        <v>MURILLO DELGADO ISAAC GABRIEL</v>
      </c>
      <c r="EW4" t="str">
        <v>ANGULO MURILLO NAVIRA GISSELA</v>
      </c>
      <c r="EX4" t="str">
        <v>OCHOA SOLEDISPA NESTOR IVAN</v>
      </c>
      <c r="EY4" t="str">
        <v>PARRAGA FRANCO SILVANA MARIELA</v>
      </c>
      <c r="EZ4" t="str">
        <v>PINARGOTE VASQUEZ NANCY FABIOLA</v>
      </c>
      <c r="FA4" t="str">
        <v>REYES VELEZ PEDRO ENRIQUE</v>
      </c>
      <c r="FB4" t="str">
        <v>SAN ANDRES HORMAZA DALLAS CECILIA</v>
      </c>
      <c r="FC4" t="str">
        <v>SORNOZA ZAMORA JUAN CARLOS</v>
      </c>
      <c r="FD4" t="str">
        <v>TOMALA PINTO JESUS JACINTO</v>
      </c>
      <c r="FE4" t="str">
        <v>VALLE JARAMILLO SILVIA ARACELY</v>
      </c>
      <c r="FF4" t="str">
        <v>VELÁSQUEZ BRAVO IRMA KATHERINE</v>
      </c>
      <c r="FG4" t="str">
        <v>VELEZ MENDOZA LAYSY VALERIA</v>
      </c>
      <c r="FH4" t="str">
        <v>VINUEZA TELLO SHIRLEY ELIZABETH</v>
      </c>
      <c r="FI4" t="str">
        <v>ZAMBRANO ALCIVAR NILDA ISABEL</v>
      </c>
      <c r="FJ4" t="str">
        <v>ZAMBRANO LOOR RITA MAYDA</v>
      </c>
      <c r="FK4" t="str">
        <v>ZAMBRANO VERA MONICA JANETH</v>
      </c>
      <c r="FL4" t="str">
        <v>VERA DELGADO BRYAN ADRIÁN</v>
      </c>
      <c r="FM4" t="str">
        <v>MORAN GONZALES DAVID RENATO</v>
      </c>
      <c r="FN4">
        <v>0</v>
      </c>
    </row>
    <row r="5" spans="1:170" ht="20.25" customHeight="1">
      <c r="A5" s="4" cm="1">
        <f t="array" ref="A5:H5">TRANSPOSE(_xlfn.UNIQUE(_xlfn._xlws.FILTER(MAE_ASIGNATURA[ID_NIVEL],MAE_ASIGNATURA[ID_CARRERA]=ASIGNACION!$C5,"No existe información")))</f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S5" s="4" t="str" cm="1">
        <f t="array" ref="S5:W5">TRANSPOSE(_xlfn.UNIQUE(_xlfn._xlws.FILTER(MAE_ASIGNATURA[NOM_ASIG],(MAE_ASIGNATURA[ID_NIVEL]=ASIGNACION!$D5)*(MAE_ASIGNATURA[ID_CARRERA]=ASIGNACION!$C5),"No existe información")))</f>
        <v>CONTABILIDAD BÁSICA</v>
      </c>
      <c r="T5" t="str">
        <v>MATEMÁTICA</v>
      </c>
      <c r="U5" t="str">
        <v>METODOLOGÍA DE LA INVESTIGACIÓN</v>
      </c>
      <c r="V5" t="str">
        <v>ADMINISTRACIÓN</v>
      </c>
      <c r="W5" t="str">
        <v>MACROECONOMÍA</v>
      </c>
      <c r="BD5" s="4" t="str" cm="1">
        <f t="array" ref="BD5">TRANSPOSE(_xlfn.UNIQUE(_xlfn._xlws.FILTER(DET_ASIG[DETALLADO],(DET_ASIG[ID_CARRERA]=ASIGNACION!$C5)*(DET_ASIG[NIVEL]=ASIGNACION!$D5)*(DET_ASIG[ID_ASIG]=ASIGNACION!$G5),"No existe información")))</f>
        <v>UNIDAD BASICA</v>
      </c>
      <c r="BQ5" s="5" t="str" cm="1">
        <f t="array" ref="BQ5">IFERROR(
    TRANSPOSE(
        _xlfn.UNIQUE(
            _xlfn._xlws.FILTER(MAESTRIA_DETALLADO[MAESTRIA],
                ISNUMBER(MATCH(MAESTRIA_DETALLADO[CAMPO_DETALLADO],
                BD5:BP5,0))
            )
        )
    ),IF(BD5="ACTIVIDAD","DOCENCIA",""))</f>
        <v/>
      </c>
      <c r="EA5" s="5" t="str" cm="1">
        <f t="array" ref="EA5:FN5">IF(
    ASIGNACION!I5="SI",
    IFERROR(
        TRANSPOSE(
            _xlfn.UNIQUE(
                _xlfn._xlws.FILTER(EDU_DOCENTE[NOMBRE_DOCENTE],
                    ISNUMBER(MATCH(EDU_DOCENTE[MAESTRIA],
                    BQ5:DY5,0))
                )
            )
        ),
        ""
    ),
    TRANSPOSE(
        _xlfn.UNIQUE(EDU_DOCENTE[NOMBRE_DOCENTE]
        )
    )
)</f>
        <v>ALCIVAR CEDEÑO BEATRIZ ISABEL</v>
      </c>
      <c r="EB5" t="str">
        <v>ALCIVAR VERA GEMA MICHELLE</v>
      </c>
      <c r="EC5" t="str">
        <v>ARAUZ CHAVEZ MARIO ROBERTO</v>
      </c>
      <c r="ED5" t="str">
        <v>BAILON LOURIDO WALTER ALBERTO</v>
      </c>
      <c r="EE5" t="str">
        <v>CALDERERO VILLAGOMEZ ERICK ANTONIO</v>
      </c>
      <c r="EF5" t="str">
        <v>CASTILLO GARCIA PAOLA GERMANIA</v>
      </c>
      <c r="EG5" t="str">
        <v>CEDEÑO CHOEZ PEDRO JAVIER</v>
      </c>
      <c r="EH5" t="str">
        <v>CEVALLOS HOPPE JUAN CARLOS</v>
      </c>
      <c r="EI5" t="str">
        <v>DELGADO CHAVEZ MARIA IRASEMA</v>
      </c>
      <c r="EJ5" t="str">
        <v>DUARTE VALENCIA CRISTHIAN DARIO</v>
      </c>
      <c r="EK5" t="str">
        <v>FORTTY BARBERAN DENNY ALEXANDER</v>
      </c>
      <c r="EL5" t="str">
        <v>GUTIERREZ ZAMBRANO CARMEN EBELINA</v>
      </c>
      <c r="EM5" t="str">
        <v>INTRIAGO MOLINA GEMA VALERIA</v>
      </c>
      <c r="EN5" t="str">
        <v>LINO VELEZ LEONEL LIVINGTON</v>
      </c>
      <c r="EO5" t="str">
        <v>LOOR ALCIVAR MARIA ILIANA</v>
      </c>
      <c r="EP5" t="str">
        <v>LOOR MIELES TANIA JACQUELINE</v>
      </c>
      <c r="EQ5" t="str">
        <v>LOOR SOLORZANO ROSA MARIA</v>
      </c>
      <c r="ER5" t="str">
        <v>LOPEZ DELGADO RONALD MAURICIO</v>
      </c>
      <c r="ES5" t="str">
        <v>MACIAS VALENCIA DAVID GABRIEL</v>
      </c>
      <c r="ET5" t="str">
        <v>MENDOZA ZAMORA WALTER MANUEL</v>
      </c>
      <c r="EU5" t="str">
        <v>MOLINA CEVALLOS MARIA LORENA</v>
      </c>
      <c r="EV5" t="str">
        <v>MURILLO DELGADO ISAAC GABRIEL</v>
      </c>
      <c r="EW5" t="str">
        <v>ANGULO MURILLO NAVIRA GISSELA</v>
      </c>
      <c r="EX5" t="str">
        <v>OCHOA SOLEDISPA NESTOR IVAN</v>
      </c>
      <c r="EY5" t="str">
        <v>PARRAGA FRANCO SILVANA MARIELA</v>
      </c>
      <c r="EZ5" t="str">
        <v>PINARGOTE VASQUEZ NANCY FABIOLA</v>
      </c>
      <c r="FA5" t="str">
        <v>REYES VELEZ PEDRO ENRIQUE</v>
      </c>
      <c r="FB5" t="str">
        <v>SAN ANDRES HORMAZA DALLAS CECILIA</v>
      </c>
      <c r="FC5" t="str">
        <v>SORNOZA ZAMORA JUAN CARLOS</v>
      </c>
      <c r="FD5" t="str">
        <v>TOMALA PINTO JESUS JACINTO</v>
      </c>
      <c r="FE5" t="str">
        <v>VALLE JARAMILLO SILVIA ARACELY</v>
      </c>
      <c r="FF5" t="str">
        <v>VELÁSQUEZ BRAVO IRMA KATHERINE</v>
      </c>
      <c r="FG5" t="str">
        <v>VELEZ MENDOZA LAYSY VALERIA</v>
      </c>
      <c r="FH5" t="str">
        <v>VINUEZA TELLO SHIRLEY ELIZABETH</v>
      </c>
      <c r="FI5" t="str">
        <v>ZAMBRANO ALCIVAR NILDA ISABEL</v>
      </c>
      <c r="FJ5" t="str">
        <v>ZAMBRANO LOOR RITA MAYDA</v>
      </c>
      <c r="FK5" t="str">
        <v>ZAMBRANO VERA MONICA JANETH</v>
      </c>
      <c r="FL5" t="str">
        <v>VERA DELGADO BRYAN ADRIÁN</v>
      </c>
      <c r="FM5" t="str">
        <v>MORAN GONZALES DAVID RENATO</v>
      </c>
      <c r="FN5">
        <v>0</v>
      </c>
    </row>
    <row r="6" spans="1:170" ht="20.25" customHeight="1">
      <c r="A6" s="4" cm="1">
        <f t="array" ref="A6:H6">TRANSPOSE(_xlfn.UNIQUE(_xlfn._xlws.FILTER(MAE_ASIGNATURA[ID_NIVEL],MAE_ASIGNATURA[ID_CARRERA]=ASIGNACION!$C6,"No existe información")))</f>
        <v>1</v>
      </c>
      <c r="B6">
        <v>2</v>
      </c>
      <c r="C6">
        <v>3</v>
      </c>
      <c r="D6">
        <v>4</v>
      </c>
      <c r="E6">
        <v>5</v>
      </c>
      <c r="F6">
        <v>6</v>
      </c>
      <c r="G6">
        <v>7</v>
      </c>
      <c r="H6">
        <v>8</v>
      </c>
      <c r="S6" s="4" t="str" cm="1">
        <f t="array" ref="S6:W6">TRANSPOSE(_xlfn.UNIQUE(_xlfn._xlws.FILTER(MAE_ASIGNATURA[NOM_ASIG],(MAE_ASIGNATURA[ID_NIVEL]=ASIGNACION!$D6)*(MAE_ASIGNATURA[ID_CARRERA]=ASIGNACION!$C6),"No existe información")))</f>
        <v>CONTABILIDAD BÁSICA</v>
      </c>
      <c r="T6" t="str">
        <v>MATEMÁTICA</v>
      </c>
      <c r="U6" t="str">
        <v>METODOLOGÍA DE LA INVESTIGACIÓN</v>
      </c>
      <c r="V6" t="str">
        <v>ADMINISTRACIÓN</v>
      </c>
      <c r="W6" t="str">
        <v>MACROECONOMÍA</v>
      </c>
      <c r="BD6" s="4" t="str" cm="1">
        <f t="array" ref="BD6">TRANSPOSE(_xlfn.UNIQUE(_xlfn._xlws.FILTER(DET_ASIG[DETALLADO],(DET_ASIG[ID_CARRERA]=ASIGNACION!$C6)*(DET_ASIG[NIVEL]=ASIGNACION!$D6)*(DET_ASIG[ID_ASIG]=ASIGNACION!$G6),"No existe información")))</f>
        <v>UNIDAD BASICA</v>
      </c>
      <c r="BQ6" s="5" t="str" cm="1">
        <f t="array" ref="BQ6">IFERROR(
    TRANSPOSE(
        _xlfn.UNIQUE(
            _xlfn._xlws.FILTER(MAESTRIA_DETALLADO[MAESTRIA],
                ISNUMBER(MATCH(MAESTRIA_DETALLADO[CAMPO_DETALLADO],
                BD6:BP6,0))
            )
        )
    ),IF(BD6="ACTIVIDAD","DOCENCIA",""))</f>
        <v/>
      </c>
      <c r="EA6" s="5" t="str" cm="1">
        <f t="array" ref="EA6:FN6">IF(
    ASIGNACION!I6="SI",
    IFERROR(
        TRANSPOSE(
            _xlfn.UNIQUE(
                _xlfn._xlws.FILTER(EDU_DOCENTE[NOMBRE_DOCENTE],
                    ISNUMBER(MATCH(EDU_DOCENTE[MAESTRIA],
                    BQ6:DY6,0))
                )
            )
        ),
        ""
    ),
    TRANSPOSE(
        _xlfn.UNIQUE(EDU_DOCENTE[NOMBRE_DOCENTE]
        )
    )
)</f>
        <v>ALCIVAR CEDEÑO BEATRIZ ISABEL</v>
      </c>
      <c r="EB6" t="str">
        <v>ALCIVAR VERA GEMA MICHELLE</v>
      </c>
      <c r="EC6" t="str">
        <v>ARAUZ CHAVEZ MARIO ROBERTO</v>
      </c>
      <c r="ED6" t="str">
        <v>BAILON LOURIDO WALTER ALBERTO</v>
      </c>
      <c r="EE6" t="str">
        <v>CALDERERO VILLAGOMEZ ERICK ANTONIO</v>
      </c>
      <c r="EF6" t="str">
        <v>CASTILLO GARCIA PAOLA GERMANIA</v>
      </c>
      <c r="EG6" t="str">
        <v>CEDEÑO CHOEZ PEDRO JAVIER</v>
      </c>
      <c r="EH6" t="str">
        <v>CEVALLOS HOPPE JUAN CARLOS</v>
      </c>
      <c r="EI6" t="str">
        <v>DELGADO CHAVEZ MARIA IRASEMA</v>
      </c>
      <c r="EJ6" t="str">
        <v>DUARTE VALENCIA CRISTHIAN DARIO</v>
      </c>
      <c r="EK6" t="str">
        <v>FORTTY BARBERAN DENNY ALEXANDER</v>
      </c>
      <c r="EL6" t="str">
        <v>GUTIERREZ ZAMBRANO CARMEN EBELINA</v>
      </c>
      <c r="EM6" t="str">
        <v>INTRIAGO MOLINA GEMA VALERIA</v>
      </c>
      <c r="EN6" t="str">
        <v>LINO VELEZ LEONEL LIVINGTON</v>
      </c>
      <c r="EO6" t="str">
        <v>LOOR ALCIVAR MARIA ILIANA</v>
      </c>
      <c r="EP6" t="str">
        <v>LOOR MIELES TANIA JACQUELINE</v>
      </c>
      <c r="EQ6" t="str">
        <v>LOOR SOLORZANO ROSA MARIA</v>
      </c>
      <c r="ER6" t="str">
        <v>LOPEZ DELGADO RONALD MAURICIO</v>
      </c>
      <c r="ES6" t="str">
        <v>MACIAS VALENCIA DAVID GABRIEL</v>
      </c>
      <c r="ET6" t="str">
        <v>MENDOZA ZAMORA WALTER MANUEL</v>
      </c>
      <c r="EU6" t="str">
        <v>MOLINA CEVALLOS MARIA LORENA</v>
      </c>
      <c r="EV6" t="str">
        <v>MURILLO DELGADO ISAAC GABRIEL</v>
      </c>
      <c r="EW6" t="str">
        <v>ANGULO MURILLO NAVIRA GISSELA</v>
      </c>
      <c r="EX6" t="str">
        <v>OCHOA SOLEDISPA NESTOR IVAN</v>
      </c>
      <c r="EY6" t="str">
        <v>PARRAGA FRANCO SILVANA MARIELA</v>
      </c>
      <c r="EZ6" t="str">
        <v>PINARGOTE VASQUEZ NANCY FABIOLA</v>
      </c>
      <c r="FA6" t="str">
        <v>REYES VELEZ PEDRO ENRIQUE</v>
      </c>
      <c r="FB6" t="str">
        <v>SAN ANDRES HORMAZA DALLAS CECILIA</v>
      </c>
      <c r="FC6" t="str">
        <v>SORNOZA ZAMORA JUAN CARLOS</v>
      </c>
      <c r="FD6" t="str">
        <v>TOMALA PINTO JESUS JACINTO</v>
      </c>
      <c r="FE6" t="str">
        <v>VALLE JARAMILLO SILVIA ARACELY</v>
      </c>
      <c r="FF6" t="str">
        <v>VELÁSQUEZ BRAVO IRMA KATHERINE</v>
      </c>
      <c r="FG6" t="str">
        <v>VELEZ MENDOZA LAYSY VALERIA</v>
      </c>
      <c r="FH6" t="str">
        <v>VINUEZA TELLO SHIRLEY ELIZABETH</v>
      </c>
      <c r="FI6" t="str">
        <v>ZAMBRANO ALCIVAR NILDA ISABEL</v>
      </c>
      <c r="FJ6" t="str">
        <v>ZAMBRANO LOOR RITA MAYDA</v>
      </c>
      <c r="FK6" t="str">
        <v>ZAMBRANO VERA MONICA JANETH</v>
      </c>
      <c r="FL6" t="str">
        <v>VERA DELGADO BRYAN ADRIÁN</v>
      </c>
      <c r="FM6" t="str">
        <v>MORAN GONZALES DAVID RENATO</v>
      </c>
      <c r="FN6">
        <v>0</v>
      </c>
    </row>
    <row r="7" spans="1:170" ht="20.25" customHeight="1">
      <c r="A7" s="4" cm="1">
        <f t="array" ref="A7:H7">TRANSPOSE(_xlfn.UNIQUE(_xlfn._xlws.FILTER(MAE_ASIGNATURA[ID_NIVEL],MAE_ASIGNATURA[ID_CARRERA]=ASIGNACION!$C7,"No existe información")))</f>
        <v>1</v>
      </c>
      <c r="B7">
        <v>2</v>
      </c>
      <c r="C7">
        <v>3</v>
      </c>
      <c r="D7">
        <v>4</v>
      </c>
      <c r="E7">
        <v>5</v>
      </c>
      <c r="F7">
        <v>6</v>
      </c>
      <c r="G7">
        <v>7</v>
      </c>
      <c r="H7">
        <v>8</v>
      </c>
      <c r="S7" s="4" t="str" cm="1">
        <f t="array" ref="S7:W7">TRANSPOSE(_xlfn.UNIQUE(_xlfn._xlws.FILTER(MAE_ASIGNATURA[NOM_ASIG],(MAE_ASIGNATURA[ID_NIVEL]=ASIGNACION!$D7)*(MAE_ASIGNATURA[ID_CARRERA]=ASIGNACION!$C7),"No existe información")))</f>
        <v>CONTABILIDAD BÁSICA</v>
      </c>
      <c r="T7" t="str">
        <v>MATEMÁTICA</v>
      </c>
      <c r="U7" t="str">
        <v>METODOLOGÍA DE LA INVESTIGACIÓN</v>
      </c>
      <c r="V7" t="str">
        <v>ADMINISTRACIÓN</v>
      </c>
      <c r="W7" t="str">
        <v>MACROECONOMÍA</v>
      </c>
      <c r="BD7" s="4" t="str" cm="1">
        <f t="array" ref="BD7">TRANSPOSE(_xlfn.UNIQUE(_xlfn._xlws.FILTER(DET_ASIG[DETALLADO],(DET_ASIG[ID_CARRERA]=ASIGNACION!$C7)*(DET_ASIG[NIVEL]=ASIGNACION!$D7)*(DET_ASIG[ID_ASIG]=ASIGNACION!$G7),"No existe información")))</f>
        <v>UNIDAD BASICA</v>
      </c>
      <c r="BQ7" s="5" t="str" cm="1">
        <f t="array" ref="BQ7">IFERROR(
    TRANSPOSE(
        _xlfn.UNIQUE(
            _xlfn._xlws.FILTER(MAESTRIA_DETALLADO[MAESTRIA],
                ISNUMBER(MATCH(MAESTRIA_DETALLADO[CAMPO_DETALLADO],
                BD7:BP7,0))
            )
        )
    ),IF(BD7="ACTIVIDAD","DOCENCIA",""))</f>
        <v/>
      </c>
      <c r="EA7" s="5" t="str" cm="1">
        <f t="array" ref="EA7:FN7">IF(
    ASIGNACION!I7="SI",
    IFERROR(
        TRANSPOSE(
            _xlfn.UNIQUE(
                _xlfn._xlws.FILTER(EDU_DOCENTE[NOMBRE_DOCENTE],
                    ISNUMBER(MATCH(EDU_DOCENTE[MAESTRIA],
                    BQ7:DY7,0))
                )
            )
        ),
        ""
    ),
    TRANSPOSE(
        _xlfn.UNIQUE(EDU_DOCENTE[NOMBRE_DOCENTE]
        )
    )
)</f>
        <v>ALCIVAR CEDEÑO BEATRIZ ISABEL</v>
      </c>
      <c r="EB7" t="str">
        <v>ALCIVAR VERA GEMA MICHELLE</v>
      </c>
      <c r="EC7" t="str">
        <v>ARAUZ CHAVEZ MARIO ROBERTO</v>
      </c>
      <c r="ED7" t="str">
        <v>BAILON LOURIDO WALTER ALBERTO</v>
      </c>
      <c r="EE7" t="str">
        <v>CALDERERO VILLAGOMEZ ERICK ANTONIO</v>
      </c>
      <c r="EF7" t="str">
        <v>CASTILLO GARCIA PAOLA GERMANIA</v>
      </c>
      <c r="EG7" t="str">
        <v>CEDEÑO CHOEZ PEDRO JAVIER</v>
      </c>
      <c r="EH7" t="str">
        <v>CEVALLOS HOPPE JUAN CARLOS</v>
      </c>
      <c r="EI7" t="str">
        <v>DELGADO CHAVEZ MARIA IRASEMA</v>
      </c>
      <c r="EJ7" t="str">
        <v>DUARTE VALENCIA CRISTHIAN DARIO</v>
      </c>
      <c r="EK7" t="str">
        <v>FORTTY BARBERAN DENNY ALEXANDER</v>
      </c>
      <c r="EL7" t="str">
        <v>GUTIERREZ ZAMBRANO CARMEN EBELINA</v>
      </c>
      <c r="EM7" t="str">
        <v>INTRIAGO MOLINA GEMA VALERIA</v>
      </c>
      <c r="EN7" t="str">
        <v>LINO VELEZ LEONEL LIVINGTON</v>
      </c>
      <c r="EO7" t="str">
        <v>LOOR ALCIVAR MARIA ILIANA</v>
      </c>
      <c r="EP7" t="str">
        <v>LOOR MIELES TANIA JACQUELINE</v>
      </c>
      <c r="EQ7" t="str">
        <v>LOOR SOLORZANO ROSA MARIA</v>
      </c>
      <c r="ER7" t="str">
        <v>LOPEZ DELGADO RONALD MAURICIO</v>
      </c>
      <c r="ES7" t="str">
        <v>MACIAS VALENCIA DAVID GABRIEL</v>
      </c>
      <c r="ET7" t="str">
        <v>MENDOZA ZAMORA WALTER MANUEL</v>
      </c>
      <c r="EU7" t="str">
        <v>MOLINA CEVALLOS MARIA LORENA</v>
      </c>
      <c r="EV7" t="str">
        <v>MURILLO DELGADO ISAAC GABRIEL</v>
      </c>
      <c r="EW7" t="str">
        <v>ANGULO MURILLO NAVIRA GISSELA</v>
      </c>
      <c r="EX7" t="str">
        <v>OCHOA SOLEDISPA NESTOR IVAN</v>
      </c>
      <c r="EY7" t="str">
        <v>PARRAGA FRANCO SILVANA MARIELA</v>
      </c>
      <c r="EZ7" t="str">
        <v>PINARGOTE VASQUEZ NANCY FABIOLA</v>
      </c>
      <c r="FA7" t="str">
        <v>REYES VELEZ PEDRO ENRIQUE</v>
      </c>
      <c r="FB7" t="str">
        <v>SAN ANDRES HORMAZA DALLAS CECILIA</v>
      </c>
      <c r="FC7" t="str">
        <v>SORNOZA ZAMORA JUAN CARLOS</v>
      </c>
      <c r="FD7" t="str">
        <v>TOMALA PINTO JESUS JACINTO</v>
      </c>
      <c r="FE7" t="str">
        <v>VALLE JARAMILLO SILVIA ARACELY</v>
      </c>
      <c r="FF7" t="str">
        <v>VELÁSQUEZ BRAVO IRMA KATHERINE</v>
      </c>
      <c r="FG7" t="str">
        <v>VELEZ MENDOZA LAYSY VALERIA</v>
      </c>
      <c r="FH7" t="str">
        <v>VINUEZA TELLO SHIRLEY ELIZABETH</v>
      </c>
      <c r="FI7" t="str">
        <v>ZAMBRANO ALCIVAR NILDA ISABEL</v>
      </c>
      <c r="FJ7" t="str">
        <v>ZAMBRANO LOOR RITA MAYDA</v>
      </c>
      <c r="FK7" t="str">
        <v>ZAMBRANO VERA MONICA JANETH</v>
      </c>
      <c r="FL7" t="str">
        <v>VERA DELGADO BRYAN ADRIÁN</v>
      </c>
      <c r="FM7" t="str">
        <v>MORAN GONZALES DAVID RENATO</v>
      </c>
      <c r="FN7">
        <v>0</v>
      </c>
    </row>
    <row r="8" spans="1:170" ht="20.25" customHeight="1">
      <c r="A8" s="4" cm="1">
        <f t="array" ref="A8">TRANSPOSE(_xlfn.UNIQUE(_xlfn._xlws.FILTER(MAE_ASIGNATURA[ID_NIVEL],MAE_ASIGNATURA[ID_CARRERA]=ASIGNACION!$C8,"No existe información")))</f>
        <v>0</v>
      </c>
      <c r="S8" s="4" t="str" cm="1">
        <f t="array" ref="S8:V8">TRANSPOSE(_xlfn.UNIQUE(_xlfn._xlws.FILTER(MAE_ASIGNATURA[NOM_ASIG],(MAE_ASIGNATURA[ID_NIVEL]=ASIGNACION!$D8)*(MAE_ASIGNATURA[ID_CARRERA]=ASIGNACION!$C8),"No existe información")))</f>
        <v>AD5 Elaboración y calificación de evaluaciones</v>
      </c>
      <c r="T8" t="str">
        <v>AD4 Preparación de Clases</v>
      </c>
      <c r="U8" t="str">
        <v>AD6 Orientación a través de Tutorías</v>
      </c>
      <c r="V8" t="str">
        <v>AD8 Participación en colectivos académicos sobre docencia</v>
      </c>
      <c r="BD8" s="4" t="str" cm="1">
        <f t="array" ref="BD8">TRANSPOSE(_xlfn.UNIQUE(_xlfn._xlws.FILTER(DET_ASIG[DETALLADO],(DET_ASIG[ID_CARRERA]=ASIGNACION!$C8)*(DET_ASIG[NIVEL]=ASIGNACION!$D8)*(DET_ASIG[ID_ASIG]=ASIGNACION!$G8),"No existe información")))</f>
        <v>ACTIVIDAD</v>
      </c>
      <c r="BQ8" s="5" t="str" cm="1">
        <f t="array" ref="BQ8">IFERROR(
    TRANSPOSE(
        _xlfn.UNIQUE(
            _xlfn._xlws.FILTER(MAESTRIA_DETALLADO[MAESTRIA],
                ISNUMBER(MATCH(MAESTRIA_DETALLADO[CAMPO_DETALLADO],
                BD8:BP8,0))
            )
        )
    ),IF(BD8="ACTIVIDAD","DOCENCIA",""))</f>
        <v>DOCENCIA</v>
      </c>
      <c r="EA8" s="5" t="str" cm="1">
        <f t="array" ref="EA8:FN8">IF(
    ASIGNACION!I8="SI",
    IFERROR(
        TRANSPOSE(
            _xlfn.UNIQUE(
                _xlfn._xlws.FILTER(EDU_DOCENTE[NOMBRE_DOCENTE],
                    ISNUMBER(MATCH(EDU_DOCENTE[MAESTRIA],
                    BQ8:DY8,0))
                )
            )
        ),
        ""
    ),
    TRANSPOSE(
        _xlfn.UNIQUE(EDU_DOCENTE[NOMBRE_DOCENTE]
        )
    )
)</f>
        <v>ALCIVAR CEDEÑO BEATRIZ ISABEL</v>
      </c>
      <c r="EB8" t="str">
        <v>ALCIVAR VERA GEMA MICHELLE</v>
      </c>
      <c r="EC8" t="str">
        <v>ARAUZ CHAVEZ MARIO ROBERTO</v>
      </c>
      <c r="ED8" t="str">
        <v>BAILON LOURIDO WALTER ALBERTO</v>
      </c>
      <c r="EE8" t="str">
        <v>CALDERERO VILLAGOMEZ ERICK ANTONIO</v>
      </c>
      <c r="EF8" t="str">
        <v>CASTILLO GARCIA PAOLA GERMANIA</v>
      </c>
      <c r="EG8" t="str">
        <v>CEDEÑO CHOEZ PEDRO JAVIER</v>
      </c>
      <c r="EH8" t="str">
        <v>CEVALLOS HOPPE JUAN CARLOS</v>
      </c>
      <c r="EI8" t="str">
        <v>DELGADO CHAVEZ MARIA IRASEMA</v>
      </c>
      <c r="EJ8" t="str">
        <v>DUARTE VALENCIA CRISTHIAN DARIO</v>
      </c>
      <c r="EK8" t="str">
        <v>FORTTY BARBERAN DENNY ALEXANDER</v>
      </c>
      <c r="EL8" t="str">
        <v>GUTIERREZ ZAMBRANO CARMEN EBELINA</v>
      </c>
      <c r="EM8" t="str">
        <v>INTRIAGO MOLINA GEMA VALERIA</v>
      </c>
      <c r="EN8" t="str">
        <v>LINO VELEZ LEONEL LIVINGTON</v>
      </c>
      <c r="EO8" t="str">
        <v>LOOR ALCIVAR MARIA ILIANA</v>
      </c>
      <c r="EP8" t="str">
        <v>LOOR MIELES TANIA JACQUELINE</v>
      </c>
      <c r="EQ8" t="str">
        <v>LOOR SOLORZANO ROSA MARIA</v>
      </c>
      <c r="ER8" t="str">
        <v>LOPEZ DELGADO RONALD MAURICIO</v>
      </c>
      <c r="ES8" t="str">
        <v>MACIAS VALENCIA DAVID GABRIEL</v>
      </c>
      <c r="ET8" t="str">
        <v>MENDOZA ZAMORA WALTER MANUEL</v>
      </c>
      <c r="EU8" t="str">
        <v>MOLINA CEVALLOS MARIA LORENA</v>
      </c>
      <c r="EV8" t="str">
        <v>MURILLO DELGADO ISAAC GABRIEL</v>
      </c>
      <c r="EW8" t="str">
        <v>ANGULO MURILLO NAVIRA GISSELA</v>
      </c>
      <c r="EX8" t="str">
        <v>OCHOA SOLEDISPA NESTOR IVAN</v>
      </c>
      <c r="EY8" t="str">
        <v>PARRAGA FRANCO SILVANA MARIELA</v>
      </c>
      <c r="EZ8" t="str">
        <v>PINARGOTE VASQUEZ NANCY FABIOLA</v>
      </c>
      <c r="FA8" t="str">
        <v>REYES VELEZ PEDRO ENRIQUE</v>
      </c>
      <c r="FB8" t="str">
        <v>SAN ANDRES HORMAZA DALLAS CECILIA</v>
      </c>
      <c r="FC8" t="str">
        <v>SORNOZA ZAMORA JUAN CARLOS</v>
      </c>
      <c r="FD8" t="str">
        <v>TOMALA PINTO JESUS JACINTO</v>
      </c>
      <c r="FE8" t="str">
        <v>VALLE JARAMILLO SILVIA ARACELY</v>
      </c>
      <c r="FF8" t="str">
        <v>VELÁSQUEZ BRAVO IRMA KATHERINE</v>
      </c>
      <c r="FG8" t="str">
        <v>VELEZ MENDOZA LAYSY VALERIA</v>
      </c>
      <c r="FH8" t="str">
        <v>VINUEZA TELLO SHIRLEY ELIZABETH</v>
      </c>
      <c r="FI8" t="str">
        <v>ZAMBRANO ALCIVAR NILDA ISABEL</v>
      </c>
      <c r="FJ8" t="str">
        <v>ZAMBRANO LOOR RITA MAYDA</v>
      </c>
      <c r="FK8" t="str">
        <v>ZAMBRANO VERA MONICA JANETH</v>
      </c>
      <c r="FL8" t="str">
        <v>VERA DELGADO BRYAN ADRIÁN</v>
      </c>
      <c r="FM8" t="str">
        <v>MORAN GONZALES DAVID RENATO</v>
      </c>
      <c r="FN8">
        <v>0</v>
      </c>
    </row>
    <row r="9" spans="1:170" ht="20.25" customHeight="1">
      <c r="A9" s="4" cm="1">
        <f t="array" ref="A9">TRANSPOSE(_xlfn.UNIQUE(_xlfn._xlws.FILTER(MAE_ASIGNATURA[ID_NIVEL],MAE_ASIGNATURA[ID_CARRERA]=ASIGNACION!$C9,"No existe información")))</f>
        <v>0</v>
      </c>
      <c r="S9" s="4" t="str" cm="1">
        <f t="array" ref="S9:V9">TRANSPOSE(_xlfn.UNIQUE(_xlfn._xlws.FILTER(MAE_ASIGNATURA[NOM_ASIG],(MAE_ASIGNATURA[ID_NIVEL]=ASIGNACION!$D9)*(MAE_ASIGNATURA[ID_CARRERA]=ASIGNACION!$C9),"No existe información")))</f>
        <v>AD5 Elaboración y calificación de evaluaciones</v>
      </c>
      <c r="T9" t="str">
        <v>AD4 Preparación de Clases</v>
      </c>
      <c r="U9" t="str">
        <v>AD6 Orientación a través de Tutorías</v>
      </c>
      <c r="V9" t="str">
        <v>AD8 Participación en colectivos académicos sobre docencia</v>
      </c>
      <c r="BD9" s="4" t="str" cm="1">
        <f t="array" ref="BD9">TRANSPOSE(_xlfn.UNIQUE(_xlfn._xlws.FILTER(DET_ASIG[DETALLADO],(DET_ASIG[ID_CARRERA]=ASIGNACION!$C9)*(DET_ASIG[NIVEL]=ASIGNACION!$D9)*(DET_ASIG[ID_ASIG]=ASIGNACION!$G9),"No existe información")))</f>
        <v>ACTIVIDAD</v>
      </c>
      <c r="BQ9" s="5" t="str" cm="1">
        <f t="array" ref="BQ9">IFERROR(
    TRANSPOSE(
        _xlfn.UNIQUE(
            _xlfn._xlws.FILTER(MAESTRIA_DETALLADO[MAESTRIA],
                ISNUMBER(MATCH(MAESTRIA_DETALLADO[CAMPO_DETALLADO],
                BD9:BP9,0))
            )
        )
    ),IF(BD9="ACTIVIDAD","DOCENCIA",""))</f>
        <v>DOCENCIA</v>
      </c>
      <c r="EA9" s="5" t="str" cm="1">
        <f t="array" ref="EA9:FN9">IF(
    ASIGNACION!I9="SI",
    IFERROR(
        TRANSPOSE(
            _xlfn.UNIQUE(
                _xlfn._xlws.FILTER(EDU_DOCENTE[NOMBRE_DOCENTE],
                    ISNUMBER(MATCH(EDU_DOCENTE[MAESTRIA],
                    BQ9:DY9,0))
                )
            )
        ),
        ""
    ),
    TRANSPOSE(
        _xlfn.UNIQUE(EDU_DOCENTE[NOMBRE_DOCENTE]
        )
    )
)</f>
        <v>ALCIVAR CEDEÑO BEATRIZ ISABEL</v>
      </c>
      <c r="EB9" t="str">
        <v>ALCIVAR VERA GEMA MICHELLE</v>
      </c>
      <c r="EC9" t="str">
        <v>ARAUZ CHAVEZ MARIO ROBERTO</v>
      </c>
      <c r="ED9" t="str">
        <v>BAILON LOURIDO WALTER ALBERTO</v>
      </c>
      <c r="EE9" t="str">
        <v>CALDERERO VILLAGOMEZ ERICK ANTONIO</v>
      </c>
      <c r="EF9" t="str">
        <v>CASTILLO GARCIA PAOLA GERMANIA</v>
      </c>
      <c r="EG9" t="str">
        <v>CEDEÑO CHOEZ PEDRO JAVIER</v>
      </c>
      <c r="EH9" t="str">
        <v>CEVALLOS HOPPE JUAN CARLOS</v>
      </c>
      <c r="EI9" t="str">
        <v>DELGADO CHAVEZ MARIA IRASEMA</v>
      </c>
      <c r="EJ9" t="str">
        <v>DUARTE VALENCIA CRISTHIAN DARIO</v>
      </c>
      <c r="EK9" t="str">
        <v>FORTTY BARBERAN DENNY ALEXANDER</v>
      </c>
      <c r="EL9" t="str">
        <v>GUTIERREZ ZAMBRANO CARMEN EBELINA</v>
      </c>
      <c r="EM9" t="str">
        <v>INTRIAGO MOLINA GEMA VALERIA</v>
      </c>
      <c r="EN9" t="str">
        <v>LINO VELEZ LEONEL LIVINGTON</v>
      </c>
      <c r="EO9" t="str">
        <v>LOOR ALCIVAR MARIA ILIANA</v>
      </c>
      <c r="EP9" t="str">
        <v>LOOR MIELES TANIA JACQUELINE</v>
      </c>
      <c r="EQ9" t="str">
        <v>LOOR SOLORZANO ROSA MARIA</v>
      </c>
      <c r="ER9" t="str">
        <v>LOPEZ DELGADO RONALD MAURICIO</v>
      </c>
      <c r="ES9" t="str">
        <v>MACIAS VALENCIA DAVID GABRIEL</v>
      </c>
      <c r="ET9" t="str">
        <v>MENDOZA ZAMORA WALTER MANUEL</v>
      </c>
      <c r="EU9" t="str">
        <v>MOLINA CEVALLOS MARIA LORENA</v>
      </c>
      <c r="EV9" t="str">
        <v>MURILLO DELGADO ISAAC GABRIEL</v>
      </c>
      <c r="EW9" t="str">
        <v>ANGULO MURILLO NAVIRA GISSELA</v>
      </c>
      <c r="EX9" t="str">
        <v>OCHOA SOLEDISPA NESTOR IVAN</v>
      </c>
      <c r="EY9" t="str">
        <v>PARRAGA FRANCO SILVANA MARIELA</v>
      </c>
      <c r="EZ9" t="str">
        <v>PINARGOTE VASQUEZ NANCY FABIOLA</v>
      </c>
      <c r="FA9" t="str">
        <v>REYES VELEZ PEDRO ENRIQUE</v>
      </c>
      <c r="FB9" t="str">
        <v>SAN ANDRES HORMAZA DALLAS CECILIA</v>
      </c>
      <c r="FC9" t="str">
        <v>SORNOZA ZAMORA JUAN CARLOS</v>
      </c>
      <c r="FD9" t="str">
        <v>TOMALA PINTO JESUS JACINTO</v>
      </c>
      <c r="FE9" t="str">
        <v>VALLE JARAMILLO SILVIA ARACELY</v>
      </c>
      <c r="FF9" t="str">
        <v>VELÁSQUEZ BRAVO IRMA KATHERINE</v>
      </c>
      <c r="FG9" t="str">
        <v>VELEZ MENDOZA LAYSY VALERIA</v>
      </c>
      <c r="FH9" t="str">
        <v>VINUEZA TELLO SHIRLEY ELIZABETH</v>
      </c>
      <c r="FI9" t="str">
        <v>ZAMBRANO ALCIVAR NILDA ISABEL</v>
      </c>
      <c r="FJ9" t="str">
        <v>ZAMBRANO LOOR RITA MAYDA</v>
      </c>
      <c r="FK9" t="str">
        <v>ZAMBRANO VERA MONICA JANETH</v>
      </c>
      <c r="FL9" t="str">
        <v>VERA DELGADO BRYAN ADRIÁN</v>
      </c>
      <c r="FM9" t="str">
        <v>MORAN GONZALES DAVID RENATO</v>
      </c>
      <c r="FN9">
        <v>0</v>
      </c>
    </row>
    <row r="10" spans="1:170" ht="20.25" customHeight="1">
      <c r="A10" s="4" cm="1">
        <f t="array" ref="A10">TRANSPOSE(_xlfn.UNIQUE(_xlfn._xlws.FILTER(MAE_ASIGNATURA[ID_NIVEL],MAE_ASIGNATURA[ID_CARRERA]=ASIGNACION!$C10,"No existe información")))</f>
        <v>0</v>
      </c>
      <c r="S10" s="4" t="str" cm="1">
        <f t="array" ref="S10:V10">TRANSPOSE(_xlfn.UNIQUE(_xlfn._xlws.FILTER(MAE_ASIGNATURA[NOM_ASIG],(MAE_ASIGNATURA[ID_NIVEL]=ASIGNACION!$D10)*(MAE_ASIGNATURA[ID_CARRERA]=ASIGNACION!$C10),"No existe información")))</f>
        <v>AD5 Elaboración y calificación de evaluaciones</v>
      </c>
      <c r="T10" t="str">
        <v>AD4 Preparación de Clases</v>
      </c>
      <c r="U10" t="str">
        <v>AD6 Orientación a través de Tutorías</v>
      </c>
      <c r="V10" t="str">
        <v>AD8 Participación en colectivos académicos sobre docencia</v>
      </c>
      <c r="BD10" s="4" t="str" cm="1">
        <f t="array" ref="BD10">TRANSPOSE(_xlfn.UNIQUE(_xlfn._xlws.FILTER(DET_ASIG[DETALLADO],(DET_ASIG[ID_CARRERA]=ASIGNACION!$C10)*(DET_ASIG[NIVEL]=ASIGNACION!$D10)*(DET_ASIG[ID_ASIG]=ASIGNACION!$G10),"No existe información")))</f>
        <v>ACTIVIDAD</v>
      </c>
      <c r="BQ10" s="5" t="str" cm="1">
        <f t="array" ref="BQ10">IFERROR(
    TRANSPOSE(
        _xlfn.UNIQUE(
            _xlfn._xlws.FILTER(MAESTRIA_DETALLADO[MAESTRIA],
                ISNUMBER(MATCH(MAESTRIA_DETALLADO[CAMPO_DETALLADO],
                BD10:BP10,0))
            )
        )
    ),IF(BD10="ACTIVIDAD","DOCENCIA",""))</f>
        <v>DOCENCIA</v>
      </c>
      <c r="EA10" s="5" t="str" cm="1">
        <f t="array" ref="EA10:FN10">IF(
    ASIGNACION!I10="SI",
    IFERROR(
        TRANSPOSE(
            _xlfn.UNIQUE(
                _xlfn._xlws.FILTER(EDU_DOCENTE[NOMBRE_DOCENTE],
                    ISNUMBER(MATCH(EDU_DOCENTE[MAESTRIA],
                    BQ10:DY10,0))
                )
            )
        ),
        ""
    ),
    TRANSPOSE(
        _xlfn.UNIQUE(EDU_DOCENTE[NOMBRE_DOCENTE]
        )
    )
)</f>
        <v>ALCIVAR CEDEÑO BEATRIZ ISABEL</v>
      </c>
      <c r="EB10" t="str">
        <v>ALCIVAR VERA GEMA MICHELLE</v>
      </c>
      <c r="EC10" t="str">
        <v>ARAUZ CHAVEZ MARIO ROBERTO</v>
      </c>
      <c r="ED10" t="str">
        <v>BAILON LOURIDO WALTER ALBERTO</v>
      </c>
      <c r="EE10" t="str">
        <v>CALDERERO VILLAGOMEZ ERICK ANTONIO</v>
      </c>
      <c r="EF10" t="str">
        <v>CASTILLO GARCIA PAOLA GERMANIA</v>
      </c>
      <c r="EG10" t="str">
        <v>CEDEÑO CHOEZ PEDRO JAVIER</v>
      </c>
      <c r="EH10" t="str">
        <v>CEVALLOS HOPPE JUAN CARLOS</v>
      </c>
      <c r="EI10" t="str">
        <v>DELGADO CHAVEZ MARIA IRASEMA</v>
      </c>
      <c r="EJ10" t="str">
        <v>DUARTE VALENCIA CRISTHIAN DARIO</v>
      </c>
      <c r="EK10" t="str">
        <v>FORTTY BARBERAN DENNY ALEXANDER</v>
      </c>
      <c r="EL10" t="str">
        <v>GUTIERREZ ZAMBRANO CARMEN EBELINA</v>
      </c>
      <c r="EM10" t="str">
        <v>INTRIAGO MOLINA GEMA VALERIA</v>
      </c>
      <c r="EN10" t="str">
        <v>LINO VELEZ LEONEL LIVINGTON</v>
      </c>
      <c r="EO10" t="str">
        <v>LOOR ALCIVAR MARIA ILIANA</v>
      </c>
      <c r="EP10" t="str">
        <v>LOOR MIELES TANIA JACQUELINE</v>
      </c>
      <c r="EQ10" t="str">
        <v>LOOR SOLORZANO ROSA MARIA</v>
      </c>
      <c r="ER10" t="str">
        <v>LOPEZ DELGADO RONALD MAURICIO</v>
      </c>
      <c r="ES10" t="str">
        <v>MACIAS VALENCIA DAVID GABRIEL</v>
      </c>
      <c r="ET10" t="str">
        <v>MENDOZA ZAMORA WALTER MANUEL</v>
      </c>
      <c r="EU10" t="str">
        <v>MOLINA CEVALLOS MARIA LORENA</v>
      </c>
      <c r="EV10" t="str">
        <v>MURILLO DELGADO ISAAC GABRIEL</v>
      </c>
      <c r="EW10" t="str">
        <v>ANGULO MURILLO NAVIRA GISSELA</v>
      </c>
      <c r="EX10" t="str">
        <v>OCHOA SOLEDISPA NESTOR IVAN</v>
      </c>
      <c r="EY10" t="str">
        <v>PARRAGA FRANCO SILVANA MARIELA</v>
      </c>
      <c r="EZ10" t="str">
        <v>PINARGOTE VASQUEZ NANCY FABIOLA</v>
      </c>
      <c r="FA10" t="str">
        <v>REYES VELEZ PEDRO ENRIQUE</v>
      </c>
      <c r="FB10" t="str">
        <v>SAN ANDRES HORMAZA DALLAS CECILIA</v>
      </c>
      <c r="FC10" t="str">
        <v>SORNOZA ZAMORA JUAN CARLOS</v>
      </c>
      <c r="FD10" t="str">
        <v>TOMALA PINTO JESUS JACINTO</v>
      </c>
      <c r="FE10" t="str">
        <v>VALLE JARAMILLO SILVIA ARACELY</v>
      </c>
      <c r="FF10" t="str">
        <v>VELÁSQUEZ BRAVO IRMA KATHERINE</v>
      </c>
      <c r="FG10" t="str">
        <v>VELEZ MENDOZA LAYSY VALERIA</v>
      </c>
      <c r="FH10" t="str">
        <v>VINUEZA TELLO SHIRLEY ELIZABETH</v>
      </c>
      <c r="FI10" t="str">
        <v>ZAMBRANO ALCIVAR NILDA ISABEL</v>
      </c>
      <c r="FJ10" t="str">
        <v>ZAMBRANO LOOR RITA MAYDA</v>
      </c>
      <c r="FK10" t="str">
        <v>ZAMBRANO VERA MONICA JANETH</v>
      </c>
      <c r="FL10" t="str">
        <v>VERA DELGADO BRYAN ADRIÁN</v>
      </c>
      <c r="FM10" t="str">
        <v>MORAN GONZALES DAVID RENATO</v>
      </c>
      <c r="FN10">
        <v>0</v>
      </c>
    </row>
    <row r="11" spans="1:170" ht="20.25" customHeight="1">
      <c r="A11" s="4" cm="1">
        <f t="array" ref="A11:H11">TRANSPOSE(_xlfn.UNIQUE(_xlfn._xlws.FILTER(MAE_ASIGNATURA[ID_NIVEL],MAE_ASIGNATURA[ID_CARRERA]=ASIGNACION!$C11,"No existe información")))</f>
        <v>1</v>
      </c>
      <c r="B11">
        <v>2</v>
      </c>
      <c r="C11">
        <v>3</v>
      </c>
      <c r="D11">
        <v>4</v>
      </c>
      <c r="E11">
        <v>5</v>
      </c>
      <c r="F11">
        <v>6</v>
      </c>
      <c r="G11">
        <v>7</v>
      </c>
      <c r="H11">
        <v>8</v>
      </c>
      <c r="S11" s="4" t="str" cm="1">
        <f t="array" ref="S11:W11">TRANSPOSE(_xlfn.UNIQUE(_xlfn._xlws.FILTER(MAE_ASIGNATURA[NOM_ASIG],(MAE_ASIGNATURA[ID_NIVEL]=ASIGNACION!$D11)*(MAE_ASIGNATURA[ID_CARRERA]=ASIGNACION!$C11),"No existe información")))</f>
        <v>LEGISLACIÓN LABORAL</v>
      </c>
      <c r="T11" t="str">
        <v>CONTABILIDAD INTERMEDIA</v>
      </c>
      <c r="U11" t="str">
        <v>ESTADÍSTICA DESCRIPTIVA</v>
      </c>
      <c r="V11" t="str">
        <v>LEGISLACIÓN MERCANTIL Y SOCIETARIA</v>
      </c>
      <c r="W11" t="str">
        <v>MATEMÁTICA FINANCIERA</v>
      </c>
      <c r="BD11" s="4" t="str" cm="1">
        <f t="array" ref="BD11">TRANSPOSE(_xlfn.UNIQUE(_xlfn._xlws.FILTER(DET_ASIG[DETALLADO],(DET_ASIG[ID_CARRERA]=ASIGNACION!$C11)*(DET_ASIG[NIVEL]=ASIGNACION!$D11)*(DET_ASIG[ID_ASIG]=ASIGNACION!$G11),"No existe información")))</f>
        <v>UNIDAD BASICA</v>
      </c>
      <c r="BQ11" s="5" t="str" cm="1">
        <f t="array" ref="BQ11">IFERROR(
    TRANSPOSE(
        _xlfn.UNIQUE(
            _xlfn._xlws.FILTER(MAESTRIA_DETALLADO[MAESTRIA],
                ISNUMBER(MATCH(MAESTRIA_DETALLADO[CAMPO_DETALLADO],
                BD11:BP11,0))
            )
        )
    ),IF(BD11="ACTIVIDAD","DOCENCIA",""))</f>
        <v/>
      </c>
      <c r="EA11" s="5" t="str" cm="1">
        <f t="array" ref="EA11:FN11">IF(
    ASIGNACION!I11="SI",
    IFERROR(
        TRANSPOSE(
            _xlfn.UNIQUE(
                _xlfn._xlws.FILTER(EDU_DOCENTE[NOMBRE_DOCENTE],
                    ISNUMBER(MATCH(EDU_DOCENTE[MAESTRIA],
                    BQ11:DY11,0))
                )
            )
        ),
        ""
    ),
    TRANSPOSE(
        _xlfn.UNIQUE(EDU_DOCENTE[NOMBRE_DOCENTE]
        )
    )
)</f>
        <v>ALCIVAR CEDEÑO BEATRIZ ISABEL</v>
      </c>
      <c r="EB11" t="str">
        <v>ALCIVAR VERA GEMA MICHELLE</v>
      </c>
      <c r="EC11" t="str">
        <v>ARAUZ CHAVEZ MARIO ROBERTO</v>
      </c>
      <c r="ED11" t="str">
        <v>BAILON LOURIDO WALTER ALBERTO</v>
      </c>
      <c r="EE11" t="str">
        <v>CALDERERO VILLAGOMEZ ERICK ANTONIO</v>
      </c>
      <c r="EF11" t="str">
        <v>CASTILLO GARCIA PAOLA GERMANIA</v>
      </c>
      <c r="EG11" t="str">
        <v>CEDEÑO CHOEZ PEDRO JAVIER</v>
      </c>
      <c r="EH11" t="str">
        <v>CEVALLOS HOPPE JUAN CARLOS</v>
      </c>
      <c r="EI11" t="str">
        <v>DELGADO CHAVEZ MARIA IRASEMA</v>
      </c>
      <c r="EJ11" t="str">
        <v>DUARTE VALENCIA CRISTHIAN DARIO</v>
      </c>
      <c r="EK11" t="str">
        <v>FORTTY BARBERAN DENNY ALEXANDER</v>
      </c>
      <c r="EL11" t="str">
        <v>GUTIERREZ ZAMBRANO CARMEN EBELINA</v>
      </c>
      <c r="EM11" t="str">
        <v>INTRIAGO MOLINA GEMA VALERIA</v>
      </c>
      <c r="EN11" t="str">
        <v>LINO VELEZ LEONEL LIVINGTON</v>
      </c>
      <c r="EO11" t="str">
        <v>LOOR ALCIVAR MARIA ILIANA</v>
      </c>
      <c r="EP11" t="str">
        <v>LOOR MIELES TANIA JACQUELINE</v>
      </c>
      <c r="EQ11" t="str">
        <v>LOOR SOLORZANO ROSA MARIA</v>
      </c>
      <c r="ER11" t="str">
        <v>LOPEZ DELGADO RONALD MAURICIO</v>
      </c>
      <c r="ES11" t="str">
        <v>MACIAS VALENCIA DAVID GABRIEL</v>
      </c>
      <c r="ET11" t="str">
        <v>MENDOZA ZAMORA WALTER MANUEL</v>
      </c>
      <c r="EU11" t="str">
        <v>MOLINA CEVALLOS MARIA LORENA</v>
      </c>
      <c r="EV11" t="str">
        <v>MURILLO DELGADO ISAAC GABRIEL</v>
      </c>
      <c r="EW11" t="str">
        <v>ANGULO MURILLO NAVIRA GISSELA</v>
      </c>
      <c r="EX11" t="str">
        <v>OCHOA SOLEDISPA NESTOR IVAN</v>
      </c>
      <c r="EY11" t="str">
        <v>PARRAGA FRANCO SILVANA MARIELA</v>
      </c>
      <c r="EZ11" t="str">
        <v>PINARGOTE VASQUEZ NANCY FABIOLA</v>
      </c>
      <c r="FA11" t="str">
        <v>REYES VELEZ PEDRO ENRIQUE</v>
      </c>
      <c r="FB11" t="str">
        <v>SAN ANDRES HORMAZA DALLAS CECILIA</v>
      </c>
      <c r="FC11" t="str">
        <v>SORNOZA ZAMORA JUAN CARLOS</v>
      </c>
      <c r="FD11" t="str">
        <v>TOMALA PINTO JESUS JACINTO</v>
      </c>
      <c r="FE11" t="str">
        <v>VALLE JARAMILLO SILVIA ARACELY</v>
      </c>
      <c r="FF11" t="str">
        <v>VELÁSQUEZ BRAVO IRMA KATHERINE</v>
      </c>
      <c r="FG11" t="str">
        <v>VELEZ MENDOZA LAYSY VALERIA</v>
      </c>
      <c r="FH11" t="str">
        <v>VINUEZA TELLO SHIRLEY ELIZABETH</v>
      </c>
      <c r="FI11" t="str">
        <v>ZAMBRANO ALCIVAR NILDA ISABEL</v>
      </c>
      <c r="FJ11" t="str">
        <v>ZAMBRANO LOOR RITA MAYDA</v>
      </c>
      <c r="FK11" t="str">
        <v>ZAMBRANO VERA MONICA JANETH</v>
      </c>
      <c r="FL11" t="str">
        <v>VERA DELGADO BRYAN ADRIÁN</v>
      </c>
      <c r="FM11" t="str">
        <v>MORAN GONZALES DAVID RENATO</v>
      </c>
      <c r="FN11">
        <v>0</v>
      </c>
    </row>
    <row r="12" spans="1:170" ht="20.25" customHeight="1">
      <c r="A12" s="4" t="str" cm="1">
        <f t="array" ref="A12">TRANSPOSE(_xlfn.UNIQUE(_xlfn._xlws.FILTER(MAE_ASIGNATURA[ID_NIVEL],MAE_ASIGNATURA[ID_CARRERA]=ASIGNACION!$C12,"No existe información")))</f>
        <v>No existe información</v>
      </c>
      <c r="S12" s="4" t="str" cm="1">
        <f t="array" ref="S12">TRANSPOSE(_xlfn.UNIQUE(_xlfn._xlws.FILTER(MAE_ASIGNATURA[NOM_ASIG],(MAE_ASIGNATURA[ID_NIVEL]=ASIGNACION!$D12)*(MAE_ASIGNATURA[ID_CARRERA]=ASIGNACION!$C12),"No existe información")))</f>
        <v>No existe información</v>
      </c>
      <c r="BD12" s="4" t="str" cm="1">
        <f t="array" ref="BD12">TRANSPOSE(_xlfn.UNIQUE(_xlfn._xlws.FILTER(DET_ASIG[DETALLADO],(DET_ASIG[ID_CARRERA]=ASIGNACION!$C12)*(DET_ASIG[NIVEL]=ASIGNACION!$D12)*(DET_ASIG[ID_ASIG]=ASIGNACION!$G12),"No existe información")))</f>
        <v>No existe información</v>
      </c>
      <c r="BQ12" s="5" t="str" cm="1">
        <f t="array" ref="BQ12">IFERROR(
    TRANSPOSE(
        _xlfn.UNIQUE(
            _xlfn._xlws.FILTER(MAESTRIA_DETALLADO[MAESTRIA],
                ISNUMBER(MATCH(MAESTRIA_DETALLADO[CAMPO_DETALLADO],
                BD12:BP12,0))
            )
        )
    ),IF(BD12="ACTIVIDAD","DOCENCIA",""))</f>
        <v/>
      </c>
      <c r="EA12" s="5" t="str" cm="1">
        <f t="array" ref="EA12:FN12">IF(
    ASIGNACION!I12="SI",
    IFERROR(
        TRANSPOSE(
            _xlfn.UNIQUE(
                _xlfn._xlws.FILTER(EDU_DOCENTE[NOMBRE_DOCENTE],
                    ISNUMBER(MATCH(EDU_DOCENTE[MAESTRIA],
                    BQ12:DY12,0))
                )
            )
        ),
        ""
    ),
    TRANSPOSE(
        _xlfn.UNIQUE(EDU_DOCENTE[NOMBRE_DOCENTE]
        )
    )
)</f>
        <v>ALCIVAR CEDEÑO BEATRIZ ISABEL</v>
      </c>
      <c r="EB12" t="str">
        <v>ALCIVAR VERA GEMA MICHELLE</v>
      </c>
      <c r="EC12" t="str">
        <v>ARAUZ CHAVEZ MARIO ROBERTO</v>
      </c>
      <c r="ED12" t="str">
        <v>BAILON LOURIDO WALTER ALBERTO</v>
      </c>
      <c r="EE12" t="str">
        <v>CALDERERO VILLAGOMEZ ERICK ANTONIO</v>
      </c>
      <c r="EF12" t="str">
        <v>CASTILLO GARCIA PAOLA GERMANIA</v>
      </c>
      <c r="EG12" t="str">
        <v>CEDEÑO CHOEZ PEDRO JAVIER</v>
      </c>
      <c r="EH12" t="str">
        <v>CEVALLOS HOPPE JUAN CARLOS</v>
      </c>
      <c r="EI12" t="str">
        <v>DELGADO CHAVEZ MARIA IRASEMA</v>
      </c>
      <c r="EJ12" t="str">
        <v>DUARTE VALENCIA CRISTHIAN DARIO</v>
      </c>
      <c r="EK12" t="str">
        <v>FORTTY BARBERAN DENNY ALEXANDER</v>
      </c>
      <c r="EL12" t="str">
        <v>GUTIERREZ ZAMBRANO CARMEN EBELINA</v>
      </c>
      <c r="EM12" t="str">
        <v>INTRIAGO MOLINA GEMA VALERIA</v>
      </c>
      <c r="EN12" t="str">
        <v>LINO VELEZ LEONEL LIVINGTON</v>
      </c>
      <c r="EO12" t="str">
        <v>LOOR ALCIVAR MARIA ILIANA</v>
      </c>
      <c r="EP12" t="str">
        <v>LOOR MIELES TANIA JACQUELINE</v>
      </c>
      <c r="EQ12" t="str">
        <v>LOOR SOLORZANO ROSA MARIA</v>
      </c>
      <c r="ER12" t="str">
        <v>LOPEZ DELGADO RONALD MAURICIO</v>
      </c>
      <c r="ES12" t="str">
        <v>MACIAS VALENCIA DAVID GABRIEL</v>
      </c>
      <c r="ET12" t="str">
        <v>MENDOZA ZAMORA WALTER MANUEL</v>
      </c>
      <c r="EU12" t="str">
        <v>MOLINA CEVALLOS MARIA LORENA</v>
      </c>
      <c r="EV12" t="str">
        <v>MURILLO DELGADO ISAAC GABRIEL</v>
      </c>
      <c r="EW12" t="str">
        <v>ANGULO MURILLO NAVIRA GISSELA</v>
      </c>
      <c r="EX12" t="str">
        <v>OCHOA SOLEDISPA NESTOR IVAN</v>
      </c>
      <c r="EY12" t="str">
        <v>PARRAGA FRANCO SILVANA MARIELA</v>
      </c>
      <c r="EZ12" t="str">
        <v>PINARGOTE VASQUEZ NANCY FABIOLA</v>
      </c>
      <c r="FA12" t="str">
        <v>REYES VELEZ PEDRO ENRIQUE</v>
      </c>
      <c r="FB12" t="str">
        <v>SAN ANDRES HORMAZA DALLAS CECILIA</v>
      </c>
      <c r="FC12" t="str">
        <v>SORNOZA ZAMORA JUAN CARLOS</v>
      </c>
      <c r="FD12" t="str">
        <v>TOMALA PINTO JESUS JACINTO</v>
      </c>
      <c r="FE12" t="str">
        <v>VALLE JARAMILLO SILVIA ARACELY</v>
      </c>
      <c r="FF12" t="str">
        <v>VELÁSQUEZ BRAVO IRMA KATHERINE</v>
      </c>
      <c r="FG12" t="str">
        <v>VELEZ MENDOZA LAYSY VALERIA</v>
      </c>
      <c r="FH12" t="str">
        <v>VINUEZA TELLO SHIRLEY ELIZABETH</v>
      </c>
      <c r="FI12" t="str">
        <v>ZAMBRANO ALCIVAR NILDA ISABEL</v>
      </c>
      <c r="FJ12" t="str">
        <v>ZAMBRANO LOOR RITA MAYDA</v>
      </c>
      <c r="FK12" t="str">
        <v>ZAMBRANO VERA MONICA JANETH</v>
      </c>
      <c r="FL12" t="str">
        <v>VERA DELGADO BRYAN ADRIÁN</v>
      </c>
      <c r="FM12" t="str">
        <v>MORAN GONZALES DAVID RENATO</v>
      </c>
      <c r="FN12">
        <v>0</v>
      </c>
    </row>
    <row r="13" spans="1:170" ht="20.25" customHeight="1">
      <c r="A13" s="4" t="str" cm="1">
        <f t="array" ref="A13">TRANSPOSE(_xlfn.UNIQUE(_xlfn._xlws.FILTER(MAE_ASIGNATURA[ID_NIVEL],MAE_ASIGNATURA[ID_CARRERA]=ASIGNACION!$C13,"No existe información")))</f>
        <v>No existe información</v>
      </c>
      <c r="S13" s="4" t="str" cm="1">
        <f t="array" ref="S13">TRANSPOSE(_xlfn.UNIQUE(_xlfn._xlws.FILTER(MAE_ASIGNATURA[NOM_ASIG],(MAE_ASIGNATURA[ID_NIVEL]=ASIGNACION!$D13)*(MAE_ASIGNATURA[ID_CARRERA]=ASIGNACION!$C13),"No existe información")))</f>
        <v>No existe información</v>
      </c>
      <c r="BD13" s="4" t="str" cm="1">
        <f t="array" ref="BD13">TRANSPOSE(_xlfn.UNIQUE(_xlfn._xlws.FILTER(DET_ASIG[DETALLADO],(DET_ASIG[ID_CARRERA]=ASIGNACION!$C13)*(DET_ASIG[NIVEL]=ASIGNACION!$D13)*(DET_ASIG[ID_ASIG]=ASIGNACION!$G13),"No existe información")))</f>
        <v>No existe información</v>
      </c>
      <c r="BQ13" s="5" t="str" cm="1">
        <f t="array" ref="BQ13">IFERROR(
    TRANSPOSE(
        _xlfn.UNIQUE(
            _xlfn._xlws.FILTER(MAESTRIA_DETALLADO[MAESTRIA],
                ISNUMBER(MATCH(MAESTRIA_DETALLADO[CAMPO_DETALLADO],
                BD13:BP13,0))
            )
        )
    ),IF(BD13="ACTIVIDAD","DOCENCIA",""))</f>
        <v/>
      </c>
      <c r="EA13" s="5" t="str" cm="1">
        <f t="array" ref="EA13:FN13">IF(
    ASIGNACION!I13="SI",
    IFERROR(
        TRANSPOSE(
            _xlfn.UNIQUE(
                _xlfn._xlws.FILTER(EDU_DOCENTE[NOMBRE_DOCENTE],
                    ISNUMBER(MATCH(EDU_DOCENTE[MAESTRIA],
                    BQ13:DY13,0))
                )
            )
        ),
        ""
    ),
    TRANSPOSE(
        _xlfn.UNIQUE(EDU_DOCENTE[NOMBRE_DOCENTE]
        )
    )
)</f>
        <v>ALCIVAR CEDEÑO BEATRIZ ISABEL</v>
      </c>
      <c r="EB13" t="str">
        <v>ALCIVAR VERA GEMA MICHELLE</v>
      </c>
      <c r="EC13" t="str">
        <v>ARAUZ CHAVEZ MARIO ROBERTO</v>
      </c>
      <c r="ED13" t="str">
        <v>BAILON LOURIDO WALTER ALBERTO</v>
      </c>
      <c r="EE13" t="str">
        <v>CALDERERO VILLAGOMEZ ERICK ANTONIO</v>
      </c>
      <c r="EF13" t="str">
        <v>CASTILLO GARCIA PAOLA GERMANIA</v>
      </c>
      <c r="EG13" t="str">
        <v>CEDEÑO CHOEZ PEDRO JAVIER</v>
      </c>
      <c r="EH13" t="str">
        <v>CEVALLOS HOPPE JUAN CARLOS</v>
      </c>
      <c r="EI13" t="str">
        <v>DELGADO CHAVEZ MARIA IRASEMA</v>
      </c>
      <c r="EJ13" t="str">
        <v>DUARTE VALENCIA CRISTHIAN DARIO</v>
      </c>
      <c r="EK13" t="str">
        <v>FORTTY BARBERAN DENNY ALEXANDER</v>
      </c>
      <c r="EL13" t="str">
        <v>GUTIERREZ ZAMBRANO CARMEN EBELINA</v>
      </c>
      <c r="EM13" t="str">
        <v>INTRIAGO MOLINA GEMA VALERIA</v>
      </c>
      <c r="EN13" t="str">
        <v>LINO VELEZ LEONEL LIVINGTON</v>
      </c>
      <c r="EO13" t="str">
        <v>LOOR ALCIVAR MARIA ILIANA</v>
      </c>
      <c r="EP13" t="str">
        <v>LOOR MIELES TANIA JACQUELINE</v>
      </c>
      <c r="EQ13" t="str">
        <v>LOOR SOLORZANO ROSA MARIA</v>
      </c>
      <c r="ER13" t="str">
        <v>LOPEZ DELGADO RONALD MAURICIO</v>
      </c>
      <c r="ES13" t="str">
        <v>MACIAS VALENCIA DAVID GABRIEL</v>
      </c>
      <c r="ET13" t="str">
        <v>MENDOZA ZAMORA WALTER MANUEL</v>
      </c>
      <c r="EU13" t="str">
        <v>MOLINA CEVALLOS MARIA LORENA</v>
      </c>
      <c r="EV13" t="str">
        <v>MURILLO DELGADO ISAAC GABRIEL</v>
      </c>
      <c r="EW13" t="str">
        <v>ANGULO MURILLO NAVIRA GISSELA</v>
      </c>
      <c r="EX13" t="str">
        <v>OCHOA SOLEDISPA NESTOR IVAN</v>
      </c>
      <c r="EY13" t="str">
        <v>PARRAGA FRANCO SILVANA MARIELA</v>
      </c>
      <c r="EZ13" t="str">
        <v>PINARGOTE VASQUEZ NANCY FABIOLA</v>
      </c>
      <c r="FA13" t="str">
        <v>REYES VELEZ PEDRO ENRIQUE</v>
      </c>
      <c r="FB13" t="str">
        <v>SAN ANDRES HORMAZA DALLAS CECILIA</v>
      </c>
      <c r="FC13" t="str">
        <v>SORNOZA ZAMORA JUAN CARLOS</v>
      </c>
      <c r="FD13" t="str">
        <v>TOMALA PINTO JESUS JACINTO</v>
      </c>
      <c r="FE13" t="str">
        <v>VALLE JARAMILLO SILVIA ARACELY</v>
      </c>
      <c r="FF13" t="str">
        <v>VELÁSQUEZ BRAVO IRMA KATHERINE</v>
      </c>
      <c r="FG13" t="str">
        <v>VELEZ MENDOZA LAYSY VALERIA</v>
      </c>
      <c r="FH13" t="str">
        <v>VINUEZA TELLO SHIRLEY ELIZABETH</v>
      </c>
      <c r="FI13" t="str">
        <v>ZAMBRANO ALCIVAR NILDA ISABEL</v>
      </c>
      <c r="FJ13" t="str">
        <v>ZAMBRANO LOOR RITA MAYDA</v>
      </c>
      <c r="FK13" t="str">
        <v>ZAMBRANO VERA MONICA JANETH</v>
      </c>
      <c r="FL13" t="str">
        <v>VERA DELGADO BRYAN ADRIÁN</v>
      </c>
      <c r="FM13" t="str">
        <v>MORAN GONZALES DAVID RENATO</v>
      </c>
      <c r="FN13">
        <v>0</v>
      </c>
    </row>
    <row r="14" spans="1:170" ht="20.25" customHeight="1">
      <c r="A14" s="4" t="str" cm="1">
        <f t="array" ref="A14">TRANSPOSE(_xlfn.UNIQUE(_xlfn._xlws.FILTER(MAE_ASIGNATURA[ID_NIVEL],MAE_ASIGNATURA[ID_CARRERA]=ASIGNACION!$C14,"No existe información")))</f>
        <v>No existe información</v>
      </c>
      <c r="S14" s="4" t="str" cm="1">
        <f t="array" ref="S14">TRANSPOSE(_xlfn.UNIQUE(_xlfn._xlws.FILTER(MAE_ASIGNATURA[NOM_ASIG],(MAE_ASIGNATURA[ID_NIVEL]=ASIGNACION!$D14)*(MAE_ASIGNATURA[ID_CARRERA]=ASIGNACION!$C14),"No existe información")))</f>
        <v>No existe información</v>
      </c>
      <c r="BD14" s="4" t="str" cm="1">
        <f t="array" ref="BD14">TRANSPOSE(_xlfn.UNIQUE(_xlfn._xlws.FILTER(DET_ASIG[DETALLADO],(DET_ASIG[ID_CARRERA]=ASIGNACION!$C14)*(DET_ASIG[NIVEL]=ASIGNACION!$D14)*(DET_ASIG[ID_ASIG]=ASIGNACION!$G14),"No existe información")))</f>
        <v>No existe información</v>
      </c>
      <c r="BQ14" s="5" t="str" cm="1">
        <f t="array" ref="BQ14">IFERROR(
    TRANSPOSE(
        _xlfn.UNIQUE(
            _xlfn._xlws.FILTER(MAESTRIA_DETALLADO[MAESTRIA],
                ISNUMBER(MATCH(MAESTRIA_DETALLADO[CAMPO_DETALLADO],
                BD14:BP14,0))
            )
        )
    ),IF(BD14="ACTIVIDAD","DOCENCIA",""))</f>
        <v/>
      </c>
      <c r="EA14" s="5" t="str" cm="1">
        <f t="array" ref="EA14:FN14">IF(
    ASIGNACION!I14="SI",
    IFERROR(
        TRANSPOSE(
            _xlfn.UNIQUE(
                _xlfn._xlws.FILTER(EDU_DOCENTE[NOMBRE_DOCENTE],
                    ISNUMBER(MATCH(EDU_DOCENTE[MAESTRIA],
                    BQ14:DY14,0))
                )
            )
        ),
        ""
    ),
    TRANSPOSE(
        _xlfn.UNIQUE(EDU_DOCENTE[NOMBRE_DOCENTE]
        )
    )
)</f>
        <v>ALCIVAR CEDEÑO BEATRIZ ISABEL</v>
      </c>
      <c r="EB14" t="str">
        <v>ALCIVAR VERA GEMA MICHELLE</v>
      </c>
      <c r="EC14" t="str">
        <v>ARAUZ CHAVEZ MARIO ROBERTO</v>
      </c>
      <c r="ED14" t="str">
        <v>BAILON LOURIDO WALTER ALBERTO</v>
      </c>
      <c r="EE14" t="str">
        <v>CALDERERO VILLAGOMEZ ERICK ANTONIO</v>
      </c>
      <c r="EF14" t="str">
        <v>CASTILLO GARCIA PAOLA GERMANIA</v>
      </c>
      <c r="EG14" t="str">
        <v>CEDEÑO CHOEZ PEDRO JAVIER</v>
      </c>
      <c r="EH14" t="str">
        <v>CEVALLOS HOPPE JUAN CARLOS</v>
      </c>
      <c r="EI14" t="str">
        <v>DELGADO CHAVEZ MARIA IRASEMA</v>
      </c>
      <c r="EJ14" t="str">
        <v>DUARTE VALENCIA CRISTHIAN DARIO</v>
      </c>
      <c r="EK14" t="str">
        <v>FORTTY BARBERAN DENNY ALEXANDER</v>
      </c>
      <c r="EL14" t="str">
        <v>GUTIERREZ ZAMBRANO CARMEN EBELINA</v>
      </c>
      <c r="EM14" t="str">
        <v>INTRIAGO MOLINA GEMA VALERIA</v>
      </c>
      <c r="EN14" t="str">
        <v>LINO VELEZ LEONEL LIVINGTON</v>
      </c>
      <c r="EO14" t="str">
        <v>LOOR ALCIVAR MARIA ILIANA</v>
      </c>
      <c r="EP14" t="str">
        <v>LOOR MIELES TANIA JACQUELINE</v>
      </c>
      <c r="EQ14" t="str">
        <v>LOOR SOLORZANO ROSA MARIA</v>
      </c>
      <c r="ER14" t="str">
        <v>LOPEZ DELGADO RONALD MAURICIO</v>
      </c>
      <c r="ES14" t="str">
        <v>MACIAS VALENCIA DAVID GABRIEL</v>
      </c>
      <c r="ET14" t="str">
        <v>MENDOZA ZAMORA WALTER MANUEL</v>
      </c>
      <c r="EU14" t="str">
        <v>MOLINA CEVALLOS MARIA LORENA</v>
      </c>
      <c r="EV14" t="str">
        <v>MURILLO DELGADO ISAAC GABRIEL</v>
      </c>
      <c r="EW14" t="str">
        <v>ANGULO MURILLO NAVIRA GISSELA</v>
      </c>
      <c r="EX14" t="str">
        <v>OCHOA SOLEDISPA NESTOR IVAN</v>
      </c>
      <c r="EY14" t="str">
        <v>PARRAGA FRANCO SILVANA MARIELA</v>
      </c>
      <c r="EZ14" t="str">
        <v>PINARGOTE VASQUEZ NANCY FABIOLA</v>
      </c>
      <c r="FA14" t="str">
        <v>REYES VELEZ PEDRO ENRIQUE</v>
      </c>
      <c r="FB14" t="str">
        <v>SAN ANDRES HORMAZA DALLAS CECILIA</v>
      </c>
      <c r="FC14" t="str">
        <v>SORNOZA ZAMORA JUAN CARLOS</v>
      </c>
      <c r="FD14" t="str">
        <v>TOMALA PINTO JESUS JACINTO</v>
      </c>
      <c r="FE14" t="str">
        <v>VALLE JARAMILLO SILVIA ARACELY</v>
      </c>
      <c r="FF14" t="str">
        <v>VELÁSQUEZ BRAVO IRMA KATHERINE</v>
      </c>
      <c r="FG14" t="str">
        <v>VELEZ MENDOZA LAYSY VALERIA</v>
      </c>
      <c r="FH14" t="str">
        <v>VINUEZA TELLO SHIRLEY ELIZABETH</v>
      </c>
      <c r="FI14" t="str">
        <v>ZAMBRANO ALCIVAR NILDA ISABEL</v>
      </c>
      <c r="FJ14" t="str">
        <v>ZAMBRANO LOOR RITA MAYDA</v>
      </c>
      <c r="FK14" t="str">
        <v>ZAMBRANO VERA MONICA JANETH</v>
      </c>
      <c r="FL14" t="str">
        <v>VERA DELGADO BRYAN ADRIÁN</v>
      </c>
      <c r="FM14" t="str">
        <v>MORAN GONZALES DAVID RENATO</v>
      </c>
      <c r="FN14">
        <v>0</v>
      </c>
    </row>
    <row r="15" spans="1:170" ht="20.25" customHeight="1">
      <c r="A15" s="4" t="str" cm="1">
        <f t="array" ref="A15">TRANSPOSE(_xlfn.UNIQUE(_xlfn._xlws.FILTER(MAE_ASIGNATURA[ID_NIVEL],MAE_ASIGNATURA[ID_CARRERA]=ASIGNACION!$C15,"No existe información")))</f>
        <v>No existe información</v>
      </c>
      <c r="S15" s="4" t="str" cm="1">
        <f t="array" ref="S15">TRANSPOSE(_xlfn.UNIQUE(_xlfn._xlws.FILTER(MAE_ASIGNATURA[NOM_ASIG],(MAE_ASIGNATURA[ID_NIVEL]=ASIGNACION!$D15)*(MAE_ASIGNATURA[ID_CARRERA]=ASIGNACION!$C15),"No existe información")))</f>
        <v>No existe información</v>
      </c>
      <c r="BD15" s="4" t="str" cm="1">
        <f t="array" ref="BD15">TRANSPOSE(_xlfn.UNIQUE(_xlfn._xlws.FILTER(DET_ASIG[DETALLADO],(DET_ASIG[ID_CARRERA]=ASIGNACION!$C15)*(DET_ASIG[NIVEL]=ASIGNACION!$D15)*(DET_ASIG[ID_ASIG]=ASIGNACION!$G15),"No existe información")))</f>
        <v>No existe información</v>
      </c>
      <c r="BQ15" s="5" t="str" cm="1">
        <f t="array" ref="BQ15">IFERROR(
    TRANSPOSE(
        _xlfn.UNIQUE(
            _xlfn._xlws.FILTER(MAESTRIA_DETALLADO[MAESTRIA],
                ISNUMBER(MATCH(MAESTRIA_DETALLADO[CAMPO_DETALLADO],
                BD15:BP15,0))
            )
        )
    ),IF(BD15="ACTIVIDAD","DOCENCIA",""))</f>
        <v/>
      </c>
      <c r="EA15" s="5" t="str" cm="1">
        <f t="array" ref="EA15:FN15">IF(
    ASIGNACION!I15="SI",
    IFERROR(
        TRANSPOSE(
            _xlfn.UNIQUE(
                _xlfn._xlws.FILTER(EDU_DOCENTE[NOMBRE_DOCENTE],
                    ISNUMBER(MATCH(EDU_DOCENTE[MAESTRIA],
                    BQ15:DY15,0))
                )
            )
        ),
        ""
    ),
    TRANSPOSE(
        _xlfn.UNIQUE(EDU_DOCENTE[NOMBRE_DOCENTE]
        )
    )
)</f>
        <v>ALCIVAR CEDEÑO BEATRIZ ISABEL</v>
      </c>
      <c r="EB15" t="str">
        <v>ALCIVAR VERA GEMA MICHELLE</v>
      </c>
      <c r="EC15" t="str">
        <v>ARAUZ CHAVEZ MARIO ROBERTO</v>
      </c>
      <c r="ED15" t="str">
        <v>BAILON LOURIDO WALTER ALBERTO</v>
      </c>
      <c r="EE15" t="str">
        <v>CALDERERO VILLAGOMEZ ERICK ANTONIO</v>
      </c>
      <c r="EF15" t="str">
        <v>CASTILLO GARCIA PAOLA GERMANIA</v>
      </c>
      <c r="EG15" t="str">
        <v>CEDEÑO CHOEZ PEDRO JAVIER</v>
      </c>
      <c r="EH15" t="str">
        <v>CEVALLOS HOPPE JUAN CARLOS</v>
      </c>
      <c r="EI15" t="str">
        <v>DELGADO CHAVEZ MARIA IRASEMA</v>
      </c>
      <c r="EJ15" t="str">
        <v>DUARTE VALENCIA CRISTHIAN DARIO</v>
      </c>
      <c r="EK15" t="str">
        <v>FORTTY BARBERAN DENNY ALEXANDER</v>
      </c>
      <c r="EL15" t="str">
        <v>GUTIERREZ ZAMBRANO CARMEN EBELINA</v>
      </c>
      <c r="EM15" t="str">
        <v>INTRIAGO MOLINA GEMA VALERIA</v>
      </c>
      <c r="EN15" t="str">
        <v>LINO VELEZ LEONEL LIVINGTON</v>
      </c>
      <c r="EO15" t="str">
        <v>LOOR ALCIVAR MARIA ILIANA</v>
      </c>
      <c r="EP15" t="str">
        <v>LOOR MIELES TANIA JACQUELINE</v>
      </c>
      <c r="EQ15" t="str">
        <v>LOOR SOLORZANO ROSA MARIA</v>
      </c>
      <c r="ER15" t="str">
        <v>LOPEZ DELGADO RONALD MAURICIO</v>
      </c>
      <c r="ES15" t="str">
        <v>MACIAS VALENCIA DAVID GABRIEL</v>
      </c>
      <c r="ET15" t="str">
        <v>MENDOZA ZAMORA WALTER MANUEL</v>
      </c>
      <c r="EU15" t="str">
        <v>MOLINA CEVALLOS MARIA LORENA</v>
      </c>
      <c r="EV15" t="str">
        <v>MURILLO DELGADO ISAAC GABRIEL</v>
      </c>
      <c r="EW15" t="str">
        <v>ANGULO MURILLO NAVIRA GISSELA</v>
      </c>
      <c r="EX15" t="str">
        <v>OCHOA SOLEDISPA NESTOR IVAN</v>
      </c>
      <c r="EY15" t="str">
        <v>PARRAGA FRANCO SILVANA MARIELA</v>
      </c>
      <c r="EZ15" t="str">
        <v>PINARGOTE VASQUEZ NANCY FABIOLA</v>
      </c>
      <c r="FA15" t="str">
        <v>REYES VELEZ PEDRO ENRIQUE</v>
      </c>
      <c r="FB15" t="str">
        <v>SAN ANDRES HORMAZA DALLAS CECILIA</v>
      </c>
      <c r="FC15" t="str">
        <v>SORNOZA ZAMORA JUAN CARLOS</v>
      </c>
      <c r="FD15" t="str">
        <v>TOMALA PINTO JESUS JACINTO</v>
      </c>
      <c r="FE15" t="str">
        <v>VALLE JARAMILLO SILVIA ARACELY</v>
      </c>
      <c r="FF15" t="str">
        <v>VELÁSQUEZ BRAVO IRMA KATHERINE</v>
      </c>
      <c r="FG15" t="str">
        <v>VELEZ MENDOZA LAYSY VALERIA</v>
      </c>
      <c r="FH15" t="str">
        <v>VINUEZA TELLO SHIRLEY ELIZABETH</v>
      </c>
      <c r="FI15" t="str">
        <v>ZAMBRANO ALCIVAR NILDA ISABEL</v>
      </c>
      <c r="FJ15" t="str">
        <v>ZAMBRANO LOOR RITA MAYDA</v>
      </c>
      <c r="FK15" t="str">
        <v>ZAMBRANO VERA MONICA JANETH</v>
      </c>
      <c r="FL15" t="str">
        <v>VERA DELGADO BRYAN ADRIÁN</v>
      </c>
      <c r="FM15" t="str">
        <v>MORAN GONZALES DAVID RENATO</v>
      </c>
      <c r="FN15">
        <v>0</v>
      </c>
    </row>
    <row r="16" spans="1:170" ht="20.25" customHeight="1">
      <c r="A16" s="4" t="str" cm="1">
        <f t="array" ref="A16">TRANSPOSE(_xlfn.UNIQUE(_xlfn._xlws.FILTER(MAE_ASIGNATURA[ID_NIVEL],MAE_ASIGNATURA[ID_CARRERA]=ASIGNACION!$C16,"No existe información")))</f>
        <v>No existe información</v>
      </c>
      <c r="S16" s="4" t="str" cm="1">
        <f t="array" ref="S16">TRANSPOSE(_xlfn.UNIQUE(_xlfn._xlws.FILTER(MAE_ASIGNATURA[NOM_ASIG],(MAE_ASIGNATURA[ID_NIVEL]=ASIGNACION!$D16)*(MAE_ASIGNATURA[ID_CARRERA]=ASIGNACION!$C16),"No existe información")))</f>
        <v>No existe información</v>
      </c>
      <c r="BD16" s="4" t="str" cm="1">
        <f t="array" ref="BD16">TRANSPOSE(_xlfn.UNIQUE(_xlfn._xlws.FILTER(DET_ASIG[DETALLADO],(DET_ASIG[ID_CARRERA]=ASIGNACION!$C16)*(DET_ASIG[NIVEL]=ASIGNACION!$D16)*(DET_ASIG[ID_ASIG]=ASIGNACION!$G16),"No existe información")))</f>
        <v>No existe información</v>
      </c>
      <c r="BQ16" s="5" t="str" cm="1">
        <f t="array" ref="BQ16">IFERROR(
    TRANSPOSE(
        _xlfn.UNIQUE(
            _xlfn._xlws.FILTER(MAESTRIA_DETALLADO[MAESTRIA],
                ISNUMBER(MATCH(MAESTRIA_DETALLADO[CAMPO_DETALLADO],
                BD16:BP16,0))
            )
        )
    ),IF(BD16="ACTIVIDAD","DOCENCIA",""))</f>
        <v/>
      </c>
      <c r="EA16" s="5" t="str" cm="1">
        <f t="array" ref="EA16:FN16">IF(
    ASIGNACION!I16="SI",
    IFERROR(
        TRANSPOSE(
            _xlfn.UNIQUE(
                _xlfn._xlws.FILTER(EDU_DOCENTE[NOMBRE_DOCENTE],
                    ISNUMBER(MATCH(EDU_DOCENTE[MAESTRIA],
                    BQ16:DY16,0))
                )
            )
        ),
        ""
    ),
    TRANSPOSE(
        _xlfn.UNIQUE(EDU_DOCENTE[NOMBRE_DOCENTE]
        )
    )
)</f>
        <v>ALCIVAR CEDEÑO BEATRIZ ISABEL</v>
      </c>
      <c r="EB16" t="str">
        <v>ALCIVAR VERA GEMA MICHELLE</v>
      </c>
      <c r="EC16" t="str">
        <v>ARAUZ CHAVEZ MARIO ROBERTO</v>
      </c>
      <c r="ED16" t="str">
        <v>BAILON LOURIDO WALTER ALBERTO</v>
      </c>
      <c r="EE16" t="str">
        <v>CALDERERO VILLAGOMEZ ERICK ANTONIO</v>
      </c>
      <c r="EF16" t="str">
        <v>CASTILLO GARCIA PAOLA GERMANIA</v>
      </c>
      <c r="EG16" t="str">
        <v>CEDEÑO CHOEZ PEDRO JAVIER</v>
      </c>
      <c r="EH16" t="str">
        <v>CEVALLOS HOPPE JUAN CARLOS</v>
      </c>
      <c r="EI16" t="str">
        <v>DELGADO CHAVEZ MARIA IRASEMA</v>
      </c>
      <c r="EJ16" t="str">
        <v>DUARTE VALENCIA CRISTHIAN DARIO</v>
      </c>
      <c r="EK16" t="str">
        <v>FORTTY BARBERAN DENNY ALEXANDER</v>
      </c>
      <c r="EL16" t="str">
        <v>GUTIERREZ ZAMBRANO CARMEN EBELINA</v>
      </c>
      <c r="EM16" t="str">
        <v>INTRIAGO MOLINA GEMA VALERIA</v>
      </c>
      <c r="EN16" t="str">
        <v>LINO VELEZ LEONEL LIVINGTON</v>
      </c>
      <c r="EO16" t="str">
        <v>LOOR ALCIVAR MARIA ILIANA</v>
      </c>
      <c r="EP16" t="str">
        <v>LOOR MIELES TANIA JACQUELINE</v>
      </c>
      <c r="EQ16" t="str">
        <v>LOOR SOLORZANO ROSA MARIA</v>
      </c>
      <c r="ER16" t="str">
        <v>LOPEZ DELGADO RONALD MAURICIO</v>
      </c>
      <c r="ES16" t="str">
        <v>MACIAS VALENCIA DAVID GABRIEL</v>
      </c>
      <c r="ET16" t="str">
        <v>MENDOZA ZAMORA WALTER MANUEL</v>
      </c>
      <c r="EU16" t="str">
        <v>MOLINA CEVALLOS MARIA LORENA</v>
      </c>
      <c r="EV16" t="str">
        <v>MURILLO DELGADO ISAAC GABRIEL</v>
      </c>
      <c r="EW16" t="str">
        <v>ANGULO MURILLO NAVIRA GISSELA</v>
      </c>
      <c r="EX16" t="str">
        <v>OCHOA SOLEDISPA NESTOR IVAN</v>
      </c>
      <c r="EY16" t="str">
        <v>PARRAGA FRANCO SILVANA MARIELA</v>
      </c>
      <c r="EZ16" t="str">
        <v>PINARGOTE VASQUEZ NANCY FABIOLA</v>
      </c>
      <c r="FA16" t="str">
        <v>REYES VELEZ PEDRO ENRIQUE</v>
      </c>
      <c r="FB16" t="str">
        <v>SAN ANDRES HORMAZA DALLAS CECILIA</v>
      </c>
      <c r="FC16" t="str">
        <v>SORNOZA ZAMORA JUAN CARLOS</v>
      </c>
      <c r="FD16" t="str">
        <v>TOMALA PINTO JESUS JACINTO</v>
      </c>
      <c r="FE16" t="str">
        <v>VALLE JARAMILLO SILVIA ARACELY</v>
      </c>
      <c r="FF16" t="str">
        <v>VELÁSQUEZ BRAVO IRMA KATHERINE</v>
      </c>
      <c r="FG16" t="str">
        <v>VELEZ MENDOZA LAYSY VALERIA</v>
      </c>
      <c r="FH16" t="str">
        <v>VINUEZA TELLO SHIRLEY ELIZABETH</v>
      </c>
      <c r="FI16" t="str">
        <v>ZAMBRANO ALCIVAR NILDA ISABEL</v>
      </c>
      <c r="FJ16" t="str">
        <v>ZAMBRANO LOOR RITA MAYDA</v>
      </c>
      <c r="FK16" t="str">
        <v>ZAMBRANO VERA MONICA JANETH</v>
      </c>
      <c r="FL16" t="str">
        <v>VERA DELGADO BRYAN ADRIÁN</v>
      </c>
      <c r="FM16" t="str">
        <v>MORAN GONZALES DAVID RENATO</v>
      </c>
      <c r="FN16">
        <v>0</v>
      </c>
    </row>
    <row r="17" spans="1:170" ht="20.25" customHeight="1">
      <c r="A17" s="4" t="str" cm="1">
        <f t="array" ref="A17">TRANSPOSE(_xlfn.UNIQUE(_xlfn._xlws.FILTER(MAE_ASIGNATURA[ID_NIVEL],MAE_ASIGNATURA[ID_CARRERA]=ASIGNACION!$C17,"No existe información")))</f>
        <v>No existe información</v>
      </c>
      <c r="S17" s="4" t="str" cm="1">
        <f t="array" ref="S17">TRANSPOSE(_xlfn.UNIQUE(_xlfn._xlws.FILTER(MAE_ASIGNATURA[NOM_ASIG],(MAE_ASIGNATURA[ID_NIVEL]=ASIGNACION!$D17)*(MAE_ASIGNATURA[ID_CARRERA]=ASIGNACION!$C17),"No existe información")))</f>
        <v>No existe información</v>
      </c>
      <c r="BD17" s="4" t="str" cm="1">
        <f t="array" ref="BD17">TRANSPOSE(_xlfn.UNIQUE(_xlfn._xlws.FILTER(DET_ASIG[DETALLADO],(DET_ASIG[ID_CARRERA]=ASIGNACION!$C17)*(DET_ASIG[NIVEL]=ASIGNACION!$D17)*(DET_ASIG[ID_ASIG]=ASIGNACION!$G17),"No existe información")))</f>
        <v>No existe información</v>
      </c>
      <c r="BQ17" s="5" t="str" cm="1">
        <f t="array" ref="BQ17">IFERROR(
    TRANSPOSE(
        _xlfn.UNIQUE(
            _xlfn._xlws.FILTER(MAESTRIA_DETALLADO[MAESTRIA],
                ISNUMBER(MATCH(MAESTRIA_DETALLADO[CAMPO_DETALLADO],
                BD17:BP17,0))
            )
        )
    ),IF(BD17="ACTIVIDAD","DOCENCIA",""))</f>
        <v/>
      </c>
      <c r="EA17" s="5" t="str" cm="1">
        <f t="array" ref="EA17:FN17">IF(
    ASIGNACION!I17="SI",
    IFERROR(
        TRANSPOSE(
            _xlfn.UNIQUE(
                _xlfn._xlws.FILTER(EDU_DOCENTE[NOMBRE_DOCENTE],
                    ISNUMBER(MATCH(EDU_DOCENTE[MAESTRIA],
                    BQ17:DY17,0))
                )
            )
        ),
        ""
    ),
    TRANSPOSE(
        _xlfn.UNIQUE(EDU_DOCENTE[NOMBRE_DOCENTE]
        )
    )
)</f>
        <v>ALCIVAR CEDEÑO BEATRIZ ISABEL</v>
      </c>
      <c r="EB17" t="str">
        <v>ALCIVAR VERA GEMA MICHELLE</v>
      </c>
      <c r="EC17" t="str">
        <v>ARAUZ CHAVEZ MARIO ROBERTO</v>
      </c>
      <c r="ED17" t="str">
        <v>BAILON LOURIDO WALTER ALBERTO</v>
      </c>
      <c r="EE17" t="str">
        <v>CALDERERO VILLAGOMEZ ERICK ANTONIO</v>
      </c>
      <c r="EF17" t="str">
        <v>CASTILLO GARCIA PAOLA GERMANIA</v>
      </c>
      <c r="EG17" t="str">
        <v>CEDEÑO CHOEZ PEDRO JAVIER</v>
      </c>
      <c r="EH17" t="str">
        <v>CEVALLOS HOPPE JUAN CARLOS</v>
      </c>
      <c r="EI17" t="str">
        <v>DELGADO CHAVEZ MARIA IRASEMA</v>
      </c>
      <c r="EJ17" t="str">
        <v>DUARTE VALENCIA CRISTHIAN DARIO</v>
      </c>
      <c r="EK17" t="str">
        <v>FORTTY BARBERAN DENNY ALEXANDER</v>
      </c>
      <c r="EL17" t="str">
        <v>GUTIERREZ ZAMBRANO CARMEN EBELINA</v>
      </c>
      <c r="EM17" t="str">
        <v>INTRIAGO MOLINA GEMA VALERIA</v>
      </c>
      <c r="EN17" t="str">
        <v>LINO VELEZ LEONEL LIVINGTON</v>
      </c>
      <c r="EO17" t="str">
        <v>LOOR ALCIVAR MARIA ILIANA</v>
      </c>
      <c r="EP17" t="str">
        <v>LOOR MIELES TANIA JACQUELINE</v>
      </c>
      <c r="EQ17" t="str">
        <v>LOOR SOLORZANO ROSA MARIA</v>
      </c>
      <c r="ER17" t="str">
        <v>LOPEZ DELGADO RONALD MAURICIO</v>
      </c>
      <c r="ES17" t="str">
        <v>MACIAS VALENCIA DAVID GABRIEL</v>
      </c>
      <c r="ET17" t="str">
        <v>MENDOZA ZAMORA WALTER MANUEL</v>
      </c>
      <c r="EU17" t="str">
        <v>MOLINA CEVALLOS MARIA LORENA</v>
      </c>
      <c r="EV17" t="str">
        <v>MURILLO DELGADO ISAAC GABRIEL</v>
      </c>
      <c r="EW17" t="str">
        <v>ANGULO MURILLO NAVIRA GISSELA</v>
      </c>
      <c r="EX17" t="str">
        <v>OCHOA SOLEDISPA NESTOR IVAN</v>
      </c>
      <c r="EY17" t="str">
        <v>PARRAGA FRANCO SILVANA MARIELA</v>
      </c>
      <c r="EZ17" t="str">
        <v>PINARGOTE VASQUEZ NANCY FABIOLA</v>
      </c>
      <c r="FA17" t="str">
        <v>REYES VELEZ PEDRO ENRIQUE</v>
      </c>
      <c r="FB17" t="str">
        <v>SAN ANDRES HORMAZA DALLAS CECILIA</v>
      </c>
      <c r="FC17" t="str">
        <v>SORNOZA ZAMORA JUAN CARLOS</v>
      </c>
      <c r="FD17" t="str">
        <v>TOMALA PINTO JESUS JACINTO</v>
      </c>
      <c r="FE17" t="str">
        <v>VALLE JARAMILLO SILVIA ARACELY</v>
      </c>
      <c r="FF17" t="str">
        <v>VELÁSQUEZ BRAVO IRMA KATHERINE</v>
      </c>
      <c r="FG17" t="str">
        <v>VELEZ MENDOZA LAYSY VALERIA</v>
      </c>
      <c r="FH17" t="str">
        <v>VINUEZA TELLO SHIRLEY ELIZABETH</v>
      </c>
      <c r="FI17" t="str">
        <v>ZAMBRANO ALCIVAR NILDA ISABEL</v>
      </c>
      <c r="FJ17" t="str">
        <v>ZAMBRANO LOOR RITA MAYDA</v>
      </c>
      <c r="FK17" t="str">
        <v>ZAMBRANO VERA MONICA JANETH</v>
      </c>
      <c r="FL17" t="str">
        <v>VERA DELGADO BRYAN ADRIÁN</v>
      </c>
      <c r="FM17" t="str">
        <v>MORAN GONZALES DAVID RENATO</v>
      </c>
      <c r="FN17">
        <v>0</v>
      </c>
    </row>
    <row r="18" spans="1:170" ht="20.25" customHeight="1">
      <c r="A18" s="4" t="str" cm="1">
        <f t="array" ref="A18">TRANSPOSE(_xlfn.UNIQUE(_xlfn._xlws.FILTER(MAE_ASIGNATURA[ID_NIVEL],MAE_ASIGNATURA[ID_CARRERA]=ASIGNACION!$C18,"No existe información")))</f>
        <v>No existe información</v>
      </c>
      <c r="S18" s="4" t="str" cm="1">
        <f t="array" ref="S18">TRANSPOSE(_xlfn.UNIQUE(_xlfn._xlws.FILTER(MAE_ASIGNATURA[NOM_ASIG],(MAE_ASIGNATURA[ID_NIVEL]=ASIGNACION!$D18)*(MAE_ASIGNATURA[ID_CARRERA]=ASIGNACION!$C18),"No existe información")))</f>
        <v>No existe información</v>
      </c>
      <c r="BD18" s="4" t="str" cm="1">
        <f t="array" ref="BD18">TRANSPOSE(_xlfn.UNIQUE(_xlfn._xlws.FILTER(DET_ASIG[DETALLADO],(DET_ASIG[ID_CARRERA]=ASIGNACION!$C18)*(DET_ASIG[NIVEL]=ASIGNACION!$D18)*(DET_ASIG[ID_ASIG]=ASIGNACION!$G18),"No existe información")))</f>
        <v>No existe información</v>
      </c>
      <c r="BQ18" s="5" t="str" cm="1">
        <f t="array" ref="BQ18">IFERROR(
    TRANSPOSE(
        _xlfn.UNIQUE(
            _xlfn._xlws.FILTER(MAESTRIA_DETALLADO[MAESTRIA],
                ISNUMBER(MATCH(MAESTRIA_DETALLADO[CAMPO_DETALLADO],
                BD18:BP18,0))
            )
        )
    ),IF(BD18="ACTIVIDAD","DOCENCIA",""))</f>
        <v/>
      </c>
      <c r="EA18" s="5" t="str" cm="1">
        <f t="array" ref="EA18:FN18">IF(
    ASIGNACION!I18="SI",
    IFERROR(
        TRANSPOSE(
            _xlfn.UNIQUE(
                _xlfn._xlws.FILTER(EDU_DOCENTE[NOMBRE_DOCENTE],
                    ISNUMBER(MATCH(EDU_DOCENTE[MAESTRIA],
                    BQ18:DY18,0))
                )
            )
        ),
        ""
    ),
    TRANSPOSE(
        _xlfn.UNIQUE(EDU_DOCENTE[NOMBRE_DOCENTE]
        )
    )
)</f>
        <v>ALCIVAR CEDEÑO BEATRIZ ISABEL</v>
      </c>
      <c r="EB18" t="str">
        <v>ALCIVAR VERA GEMA MICHELLE</v>
      </c>
      <c r="EC18" t="str">
        <v>ARAUZ CHAVEZ MARIO ROBERTO</v>
      </c>
      <c r="ED18" t="str">
        <v>BAILON LOURIDO WALTER ALBERTO</v>
      </c>
      <c r="EE18" t="str">
        <v>CALDERERO VILLAGOMEZ ERICK ANTONIO</v>
      </c>
      <c r="EF18" t="str">
        <v>CASTILLO GARCIA PAOLA GERMANIA</v>
      </c>
      <c r="EG18" t="str">
        <v>CEDEÑO CHOEZ PEDRO JAVIER</v>
      </c>
      <c r="EH18" t="str">
        <v>CEVALLOS HOPPE JUAN CARLOS</v>
      </c>
      <c r="EI18" t="str">
        <v>DELGADO CHAVEZ MARIA IRASEMA</v>
      </c>
      <c r="EJ18" t="str">
        <v>DUARTE VALENCIA CRISTHIAN DARIO</v>
      </c>
      <c r="EK18" t="str">
        <v>FORTTY BARBERAN DENNY ALEXANDER</v>
      </c>
      <c r="EL18" t="str">
        <v>GUTIERREZ ZAMBRANO CARMEN EBELINA</v>
      </c>
      <c r="EM18" t="str">
        <v>INTRIAGO MOLINA GEMA VALERIA</v>
      </c>
      <c r="EN18" t="str">
        <v>LINO VELEZ LEONEL LIVINGTON</v>
      </c>
      <c r="EO18" t="str">
        <v>LOOR ALCIVAR MARIA ILIANA</v>
      </c>
      <c r="EP18" t="str">
        <v>LOOR MIELES TANIA JACQUELINE</v>
      </c>
      <c r="EQ18" t="str">
        <v>LOOR SOLORZANO ROSA MARIA</v>
      </c>
      <c r="ER18" t="str">
        <v>LOPEZ DELGADO RONALD MAURICIO</v>
      </c>
      <c r="ES18" t="str">
        <v>MACIAS VALENCIA DAVID GABRIEL</v>
      </c>
      <c r="ET18" t="str">
        <v>MENDOZA ZAMORA WALTER MANUEL</v>
      </c>
      <c r="EU18" t="str">
        <v>MOLINA CEVALLOS MARIA LORENA</v>
      </c>
      <c r="EV18" t="str">
        <v>MURILLO DELGADO ISAAC GABRIEL</v>
      </c>
      <c r="EW18" t="str">
        <v>ANGULO MURILLO NAVIRA GISSELA</v>
      </c>
      <c r="EX18" t="str">
        <v>OCHOA SOLEDISPA NESTOR IVAN</v>
      </c>
      <c r="EY18" t="str">
        <v>PARRAGA FRANCO SILVANA MARIELA</v>
      </c>
      <c r="EZ18" t="str">
        <v>PINARGOTE VASQUEZ NANCY FABIOLA</v>
      </c>
      <c r="FA18" t="str">
        <v>REYES VELEZ PEDRO ENRIQUE</v>
      </c>
      <c r="FB18" t="str">
        <v>SAN ANDRES HORMAZA DALLAS CECILIA</v>
      </c>
      <c r="FC18" t="str">
        <v>SORNOZA ZAMORA JUAN CARLOS</v>
      </c>
      <c r="FD18" t="str">
        <v>TOMALA PINTO JESUS JACINTO</v>
      </c>
      <c r="FE18" t="str">
        <v>VALLE JARAMILLO SILVIA ARACELY</v>
      </c>
      <c r="FF18" t="str">
        <v>VELÁSQUEZ BRAVO IRMA KATHERINE</v>
      </c>
      <c r="FG18" t="str">
        <v>VELEZ MENDOZA LAYSY VALERIA</v>
      </c>
      <c r="FH18" t="str">
        <v>VINUEZA TELLO SHIRLEY ELIZABETH</v>
      </c>
      <c r="FI18" t="str">
        <v>ZAMBRANO ALCIVAR NILDA ISABEL</v>
      </c>
      <c r="FJ18" t="str">
        <v>ZAMBRANO LOOR RITA MAYDA</v>
      </c>
      <c r="FK18" t="str">
        <v>ZAMBRANO VERA MONICA JANETH</v>
      </c>
      <c r="FL18" t="str">
        <v>VERA DELGADO BRYAN ADRIÁN</v>
      </c>
      <c r="FM18" t="str">
        <v>MORAN GONZALES DAVID RENATO</v>
      </c>
      <c r="FN18">
        <v>0</v>
      </c>
    </row>
    <row r="19" spans="1:170" ht="20.25" customHeight="1">
      <c r="A19" s="4" t="str" cm="1">
        <f t="array" ref="A19">TRANSPOSE(_xlfn.UNIQUE(_xlfn._xlws.FILTER(MAE_ASIGNATURA[ID_NIVEL],MAE_ASIGNATURA[ID_CARRERA]=ASIGNACION!$C19,"No existe información")))</f>
        <v>No existe información</v>
      </c>
      <c r="S19" s="4" t="str" cm="1">
        <f t="array" ref="S19">TRANSPOSE(_xlfn.UNIQUE(_xlfn._xlws.FILTER(MAE_ASIGNATURA[NOM_ASIG],(MAE_ASIGNATURA[ID_NIVEL]=ASIGNACION!$D19)*(MAE_ASIGNATURA[ID_CARRERA]=ASIGNACION!$C19),"No existe información")))</f>
        <v>No existe información</v>
      </c>
      <c r="BD19" s="4" t="str" cm="1">
        <f t="array" ref="BD19">TRANSPOSE(_xlfn.UNIQUE(_xlfn._xlws.FILTER(DET_ASIG[DETALLADO],(DET_ASIG[ID_CARRERA]=ASIGNACION!$C19)*(DET_ASIG[NIVEL]=ASIGNACION!$D19)*(DET_ASIG[ID_ASIG]=ASIGNACION!$G19),"No existe información")))</f>
        <v>No existe información</v>
      </c>
      <c r="BQ19" s="5" t="str" cm="1">
        <f t="array" ref="BQ19">IFERROR(
    TRANSPOSE(
        _xlfn.UNIQUE(
            _xlfn._xlws.FILTER(MAESTRIA_DETALLADO[MAESTRIA],
                ISNUMBER(MATCH(MAESTRIA_DETALLADO[CAMPO_DETALLADO],
                BD19:BP19,0))
            )
        )
    ),IF(BD19="ACTIVIDAD","DOCENCIA",""))</f>
        <v/>
      </c>
      <c r="EA19" s="5" t="str" cm="1">
        <f t="array" ref="EA19:FN19">IF(
    ASIGNACION!I19="SI",
    IFERROR(
        TRANSPOSE(
            _xlfn.UNIQUE(
                _xlfn._xlws.FILTER(EDU_DOCENTE[NOMBRE_DOCENTE],
                    ISNUMBER(MATCH(EDU_DOCENTE[MAESTRIA],
                    BQ19:DY19,0))
                )
            )
        ),
        ""
    ),
    TRANSPOSE(
        _xlfn.UNIQUE(EDU_DOCENTE[NOMBRE_DOCENTE]
        )
    )
)</f>
        <v>ALCIVAR CEDEÑO BEATRIZ ISABEL</v>
      </c>
      <c r="EB19" t="str">
        <v>ALCIVAR VERA GEMA MICHELLE</v>
      </c>
      <c r="EC19" t="str">
        <v>ARAUZ CHAVEZ MARIO ROBERTO</v>
      </c>
      <c r="ED19" t="str">
        <v>BAILON LOURIDO WALTER ALBERTO</v>
      </c>
      <c r="EE19" t="str">
        <v>CALDERERO VILLAGOMEZ ERICK ANTONIO</v>
      </c>
      <c r="EF19" t="str">
        <v>CASTILLO GARCIA PAOLA GERMANIA</v>
      </c>
      <c r="EG19" t="str">
        <v>CEDEÑO CHOEZ PEDRO JAVIER</v>
      </c>
      <c r="EH19" t="str">
        <v>CEVALLOS HOPPE JUAN CARLOS</v>
      </c>
      <c r="EI19" t="str">
        <v>DELGADO CHAVEZ MARIA IRASEMA</v>
      </c>
      <c r="EJ19" t="str">
        <v>DUARTE VALENCIA CRISTHIAN DARIO</v>
      </c>
      <c r="EK19" t="str">
        <v>FORTTY BARBERAN DENNY ALEXANDER</v>
      </c>
      <c r="EL19" t="str">
        <v>GUTIERREZ ZAMBRANO CARMEN EBELINA</v>
      </c>
      <c r="EM19" t="str">
        <v>INTRIAGO MOLINA GEMA VALERIA</v>
      </c>
      <c r="EN19" t="str">
        <v>LINO VELEZ LEONEL LIVINGTON</v>
      </c>
      <c r="EO19" t="str">
        <v>LOOR ALCIVAR MARIA ILIANA</v>
      </c>
      <c r="EP19" t="str">
        <v>LOOR MIELES TANIA JACQUELINE</v>
      </c>
      <c r="EQ19" t="str">
        <v>LOOR SOLORZANO ROSA MARIA</v>
      </c>
      <c r="ER19" t="str">
        <v>LOPEZ DELGADO RONALD MAURICIO</v>
      </c>
      <c r="ES19" t="str">
        <v>MACIAS VALENCIA DAVID GABRIEL</v>
      </c>
      <c r="ET19" t="str">
        <v>MENDOZA ZAMORA WALTER MANUEL</v>
      </c>
      <c r="EU19" t="str">
        <v>MOLINA CEVALLOS MARIA LORENA</v>
      </c>
      <c r="EV19" t="str">
        <v>MURILLO DELGADO ISAAC GABRIEL</v>
      </c>
      <c r="EW19" t="str">
        <v>ANGULO MURILLO NAVIRA GISSELA</v>
      </c>
      <c r="EX19" t="str">
        <v>OCHOA SOLEDISPA NESTOR IVAN</v>
      </c>
      <c r="EY19" t="str">
        <v>PARRAGA FRANCO SILVANA MARIELA</v>
      </c>
      <c r="EZ19" t="str">
        <v>PINARGOTE VASQUEZ NANCY FABIOLA</v>
      </c>
      <c r="FA19" t="str">
        <v>REYES VELEZ PEDRO ENRIQUE</v>
      </c>
      <c r="FB19" t="str">
        <v>SAN ANDRES HORMAZA DALLAS CECILIA</v>
      </c>
      <c r="FC19" t="str">
        <v>SORNOZA ZAMORA JUAN CARLOS</v>
      </c>
      <c r="FD19" t="str">
        <v>TOMALA PINTO JESUS JACINTO</v>
      </c>
      <c r="FE19" t="str">
        <v>VALLE JARAMILLO SILVIA ARACELY</v>
      </c>
      <c r="FF19" t="str">
        <v>VELÁSQUEZ BRAVO IRMA KATHERINE</v>
      </c>
      <c r="FG19" t="str">
        <v>VELEZ MENDOZA LAYSY VALERIA</v>
      </c>
      <c r="FH19" t="str">
        <v>VINUEZA TELLO SHIRLEY ELIZABETH</v>
      </c>
      <c r="FI19" t="str">
        <v>ZAMBRANO ALCIVAR NILDA ISABEL</v>
      </c>
      <c r="FJ19" t="str">
        <v>ZAMBRANO LOOR RITA MAYDA</v>
      </c>
      <c r="FK19" t="str">
        <v>ZAMBRANO VERA MONICA JANETH</v>
      </c>
      <c r="FL19" t="str">
        <v>VERA DELGADO BRYAN ADRIÁN</v>
      </c>
      <c r="FM19" t="str">
        <v>MORAN GONZALES DAVID RENATO</v>
      </c>
      <c r="FN19">
        <v>0</v>
      </c>
    </row>
    <row r="20" spans="1:170" ht="20.25" customHeight="1">
      <c r="A20" s="4" t="str" cm="1">
        <f t="array" ref="A20">TRANSPOSE(_xlfn.UNIQUE(_xlfn._xlws.FILTER(MAE_ASIGNATURA[ID_NIVEL],MAE_ASIGNATURA[ID_CARRERA]=ASIGNACION!$C20,"No existe información")))</f>
        <v>No existe información</v>
      </c>
      <c r="S20" s="4" t="str" cm="1">
        <f t="array" ref="S20">TRANSPOSE(_xlfn.UNIQUE(_xlfn._xlws.FILTER(MAE_ASIGNATURA[NOM_ASIG],(MAE_ASIGNATURA[ID_NIVEL]=ASIGNACION!$D20)*(MAE_ASIGNATURA[ID_CARRERA]=ASIGNACION!$C20),"No existe información")))</f>
        <v>No existe información</v>
      </c>
      <c r="BD20" s="4" t="str" cm="1">
        <f t="array" ref="BD20">TRANSPOSE(_xlfn.UNIQUE(_xlfn._xlws.FILTER(DET_ASIG[DETALLADO],(DET_ASIG[ID_CARRERA]=ASIGNACION!$C20)*(DET_ASIG[NIVEL]=ASIGNACION!$D20)*(DET_ASIG[ID_ASIG]=ASIGNACION!$G20),"No existe información")))</f>
        <v>No existe información</v>
      </c>
      <c r="BQ20" s="5" t="str" cm="1">
        <f t="array" ref="BQ20">IFERROR(
    TRANSPOSE(
        _xlfn.UNIQUE(
            _xlfn._xlws.FILTER(MAESTRIA_DETALLADO[MAESTRIA],
                ISNUMBER(MATCH(MAESTRIA_DETALLADO[CAMPO_DETALLADO],
                BD20:BP20,0))
            )
        )
    ),IF(BD20="ACTIVIDAD","DOCENCIA",""))</f>
        <v/>
      </c>
      <c r="EA20" s="5" t="str" cm="1">
        <f t="array" ref="EA20:FN20">IF(
    ASIGNACION!I20="SI",
    IFERROR(
        TRANSPOSE(
            _xlfn.UNIQUE(
                _xlfn._xlws.FILTER(EDU_DOCENTE[NOMBRE_DOCENTE],
                    ISNUMBER(MATCH(EDU_DOCENTE[MAESTRIA],
                    BQ20:DY20,0))
                )
            )
        ),
        ""
    ),
    TRANSPOSE(
        _xlfn.UNIQUE(EDU_DOCENTE[NOMBRE_DOCENTE]
        )
    )
)</f>
        <v>ALCIVAR CEDEÑO BEATRIZ ISABEL</v>
      </c>
      <c r="EB20" t="str">
        <v>ALCIVAR VERA GEMA MICHELLE</v>
      </c>
      <c r="EC20" t="str">
        <v>ARAUZ CHAVEZ MARIO ROBERTO</v>
      </c>
      <c r="ED20" t="str">
        <v>BAILON LOURIDO WALTER ALBERTO</v>
      </c>
      <c r="EE20" t="str">
        <v>CALDERERO VILLAGOMEZ ERICK ANTONIO</v>
      </c>
      <c r="EF20" t="str">
        <v>CASTILLO GARCIA PAOLA GERMANIA</v>
      </c>
      <c r="EG20" t="str">
        <v>CEDEÑO CHOEZ PEDRO JAVIER</v>
      </c>
      <c r="EH20" t="str">
        <v>CEVALLOS HOPPE JUAN CARLOS</v>
      </c>
      <c r="EI20" t="str">
        <v>DELGADO CHAVEZ MARIA IRASEMA</v>
      </c>
      <c r="EJ20" t="str">
        <v>DUARTE VALENCIA CRISTHIAN DARIO</v>
      </c>
      <c r="EK20" t="str">
        <v>FORTTY BARBERAN DENNY ALEXANDER</v>
      </c>
      <c r="EL20" t="str">
        <v>GUTIERREZ ZAMBRANO CARMEN EBELINA</v>
      </c>
      <c r="EM20" t="str">
        <v>INTRIAGO MOLINA GEMA VALERIA</v>
      </c>
      <c r="EN20" t="str">
        <v>LINO VELEZ LEONEL LIVINGTON</v>
      </c>
      <c r="EO20" t="str">
        <v>LOOR ALCIVAR MARIA ILIANA</v>
      </c>
      <c r="EP20" t="str">
        <v>LOOR MIELES TANIA JACQUELINE</v>
      </c>
      <c r="EQ20" t="str">
        <v>LOOR SOLORZANO ROSA MARIA</v>
      </c>
      <c r="ER20" t="str">
        <v>LOPEZ DELGADO RONALD MAURICIO</v>
      </c>
      <c r="ES20" t="str">
        <v>MACIAS VALENCIA DAVID GABRIEL</v>
      </c>
      <c r="ET20" t="str">
        <v>MENDOZA ZAMORA WALTER MANUEL</v>
      </c>
      <c r="EU20" t="str">
        <v>MOLINA CEVALLOS MARIA LORENA</v>
      </c>
      <c r="EV20" t="str">
        <v>MURILLO DELGADO ISAAC GABRIEL</v>
      </c>
      <c r="EW20" t="str">
        <v>ANGULO MURILLO NAVIRA GISSELA</v>
      </c>
      <c r="EX20" t="str">
        <v>OCHOA SOLEDISPA NESTOR IVAN</v>
      </c>
      <c r="EY20" t="str">
        <v>PARRAGA FRANCO SILVANA MARIELA</v>
      </c>
      <c r="EZ20" t="str">
        <v>PINARGOTE VASQUEZ NANCY FABIOLA</v>
      </c>
      <c r="FA20" t="str">
        <v>REYES VELEZ PEDRO ENRIQUE</v>
      </c>
      <c r="FB20" t="str">
        <v>SAN ANDRES HORMAZA DALLAS CECILIA</v>
      </c>
      <c r="FC20" t="str">
        <v>SORNOZA ZAMORA JUAN CARLOS</v>
      </c>
      <c r="FD20" t="str">
        <v>TOMALA PINTO JESUS JACINTO</v>
      </c>
      <c r="FE20" t="str">
        <v>VALLE JARAMILLO SILVIA ARACELY</v>
      </c>
      <c r="FF20" t="str">
        <v>VELÁSQUEZ BRAVO IRMA KATHERINE</v>
      </c>
      <c r="FG20" t="str">
        <v>VELEZ MENDOZA LAYSY VALERIA</v>
      </c>
      <c r="FH20" t="str">
        <v>VINUEZA TELLO SHIRLEY ELIZABETH</v>
      </c>
      <c r="FI20" t="str">
        <v>ZAMBRANO ALCIVAR NILDA ISABEL</v>
      </c>
      <c r="FJ20" t="str">
        <v>ZAMBRANO LOOR RITA MAYDA</v>
      </c>
      <c r="FK20" t="str">
        <v>ZAMBRANO VERA MONICA JANETH</v>
      </c>
      <c r="FL20" t="str">
        <v>VERA DELGADO BRYAN ADRIÁN</v>
      </c>
      <c r="FM20" t="str">
        <v>MORAN GONZALES DAVID RENATO</v>
      </c>
      <c r="FN20">
        <v>0</v>
      </c>
    </row>
    <row r="21" spans="1:170" ht="20.25" customHeight="1">
      <c r="A21" s="4" t="str" cm="1">
        <f t="array" ref="A21">TRANSPOSE(_xlfn.UNIQUE(_xlfn._xlws.FILTER(MAE_ASIGNATURA[ID_NIVEL],MAE_ASIGNATURA[ID_CARRERA]=ASIGNACION!$C21,"No existe información")))</f>
        <v>No existe información</v>
      </c>
      <c r="S21" s="4" t="str" cm="1">
        <f t="array" ref="S21">TRANSPOSE(_xlfn.UNIQUE(_xlfn._xlws.FILTER(MAE_ASIGNATURA[NOM_ASIG],(MAE_ASIGNATURA[ID_NIVEL]=ASIGNACION!$D21)*(MAE_ASIGNATURA[ID_CARRERA]=ASIGNACION!$C21),"No existe información")))</f>
        <v>No existe información</v>
      </c>
      <c r="BD21" s="4" t="str" cm="1">
        <f t="array" ref="BD21">TRANSPOSE(_xlfn.UNIQUE(_xlfn._xlws.FILTER(DET_ASIG[DETALLADO],(DET_ASIG[ID_CARRERA]=ASIGNACION!$C21)*(DET_ASIG[NIVEL]=ASIGNACION!$D21)*(DET_ASIG[ID_ASIG]=ASIGNACION!$G21),"No existe información")))</f>
        <v>No existe información</v>
      </c>
      <c r="BQ21" s="5" t="str" cm="1">
        <f t="array" ref="BQ21">IFERROR(
    TRANSPOSE(
        _xlfn.UNIQUE(
            _xlfn._xlws.FILTER(MAESTRIA_DETALLADO[MAESTRIA],
                ISNUMBER(MATCH(MAESTRIA_DETALLADO[CAMPO_DETALLADO],
                BD21:BP21,0))
            )
        )
    ),IF(BD21="ACTIVIDAD","DOCENCIA",""))</f>
        <v/>
      </c>
      <c r="EA21" s="5" t="str" cm="1">
        <f t="array" ref="EA21:FN21">IF(
    ASIGNACION!I21="SI",
    IFERROR(
        TRANSPOSE(
            _xlfn.UNIQUE(
                _xlfn._xlws.FILTER(EDU_DOCENTE[NOMBRE_DOCENTE],
                    ISNUMBER(MATCH(EDU_DOCENTE[MAESTRIA],
                    BQ21:DY21,0))
                )
            )
        ),
        ""
    ),
    TRANSPOSE(
        _xlfn.UNIQUE(EDU_DOCENTE[NOMBRE_DOCENTE]
        )
    )
)</f>
        <v>ALCIVAR CEDEÑO BEATRIZ ISABEL</v>
      </c>
      <c r="EB21" t="str">
        <v>ALCIVAR VERA GEMA MICHELLE</v>
      </c>
      <c r="EC21" t="str">
        <v>ARAUZ CHAVEZ MARIO ROBERTO</v>
      </c>
      <c r="ED21" t="str">
        <v>BAILON LOURIDO WALTER ALBERTO</v>
      </c>
      <c r="EE21" t="str">
        <v>CALDERERO VILLAGOMEZ ERICK ANTONIO</v>
      </c>
      <c r="EF21" t="str">
        <v>CASTILLO GARCIA PAOLA GERMANIA</v>
      </c>
      <c r="EG21" t="str">
        <v>CEDEÑO CHOEZ PEDRO JAVIER</v>
      </c>
      <c r="EH21" t="str">
        <v>CEVALLOS HOPPE JUAN CARLOS</v>
      </c>
      <c r="EI21" t="str">
        <v>DELGADO CHAVEZ MARIA IRASEMA</v>
      </c>
      <c r="EJ21" t="str">
        <v>DUARTE VALENCIA CRISTHIAN DARIO</v>
      </c>
      <c r="EK21" t="str">
        <v>FORTTY BARBERAN DENNY ALEXANDER</v>
      </c>
      <c r="EL21" t="str">
        <v>GUTIERREZ ZAMBRANO CARMEN EBELINA</v>
      </c>
      <c r="EM21" t="str">
        <v>INTRIAGO MOLINA GEMA VALERIA</v>
      </c>
      <c r="EN21" t="str">
        <v>LINO VELEZ LEONEL LIVINGTON</v>
      </c>
      <c r="EO21" t="str">
        <v>LOOR ALCIVAR MARIA ILIANA</v>
      </c>
      <c r="EP21" t="str">
        <v>LOOR MIELES TANIA JACQUELINE</v>
      </c>
      <c r="EQ21" t="str">
        <v>LOOR SOLORZANO ROSA MARIA</v>
      </c>
      <c r="ER21" t="str">
        <v>LOPEZ DELGADO RONALD MAURICIO</v>
      </c>
      <c r="ES21" t="str">
        <v>MACIAS VALENCIA DAVID GABRIEL</v>
      </c>
      <c r="ET21" t="str">
        <v>MENDOZA ZAMORA WALTER MANUEL</v>
      </c>
      <c r="EU21" t="str">
        <v>MOLINA CEVALLOS MARIA LORENA</v>
      </c>
      <c r="EV21" t="str">
        <v>MURILLO DELGADO ISAAC GABRIEL</v>
      </c>
      <c r="EW21" t="str">
        <v>ANGULO MURILLO NAVIRA GISSELA</v>
      </c>
      <c r="EX21" t="str">
        <v>OCHOA SOLEDISPA NESTOR IVAN</v>
      </c>
      <c r="EY21" t="str">
        <v>PARRAGA FRANCO SILVANA MARIELA</v>
      </c>
      <c r="EZ21" t="str">
        <v>PINARGOTE VASQUEZ NANCY FABIOLA</v>
      </c>
      <c r="FA21" t="str">
        <v>REYES VELEZ PEDRO ENRIQUE</v>
      </c>
      <c r="FB21" t="str">
        <v>SAN ANDRES HORMAZA DALLAS CECILIA</v>
      </c>
      <c r="FC21" t="str">
        <v>SORNOZA ZAMORA JUAN CARLOS</v>
      </c>
      <c r="FD21" t="str">
        <v>TOMALA PINTO JESUS JACINTO</v>
      </c>
      <c r="FE21" t="str">
        <v>VALLE JARAMILLO SILVIA ARACELY</v>
      </c>
      <c r="FF21" t="str">
        <v>VELÁSQUEZ BRAVO IRMA KATHERINE</v>
      </c>
      <c r="FG21" t="str">
        <v>VELEZ MENDOZA LAYSY VALERIA</v>
      </c>
      <c r="FH21" t="str">
        <v>VINUEZA TELLO SHIRLEY ELIZABETH</v>
      </c>
      <c r="FI21" t="str">
        <v>ZAMBRANO ALCIVAR NILDA ISABEL</v>
      </c>
      <c r="FJ21" t="str">
        <v>ZAMBRANO LOOR RITA MAYDA</v>
      </c>
      <c r="FK21" t="str">
        <v>ZAMBRANO VERA MONICA JANETH</v>
      </c>
      <c r="FL21" t="str">
        <v>VERA DELGADO BRYAN ADRIÁN</v>
      </c>
      <c r="FM21" t="str">
        <v>MORAN GONZALES DAVID RENATO</v>
      </c>
      <c r="FN21">
        <v>0</v>
      </c>
    </row>
    <row r="22" spans="1:170" ht="20.25" customHeight="1">
      <c r="A22" s="4" t="str" cm="1">
        <f t="array" ref="A22">TRANSPOSE(_xlfn.UNIQUE(_xlfn._xlws.FILTER(MAE_ASIGNATURA[ID_NIVEL],MAE_ASIGNATURA[ID_CARRERA]=ASIGNACION!$C22,"No existe información")))</f>
        <v>No existe información</v>
      </c>
      <c r="S22" s="4" t="str" cm="1">
        <f t="array" ref="S22">TRANSPOSE(_xlfn.UNIQUE(_xlfn._xlws.FILTER(MAE_ASIGNATURA[NOM_ASIG],(MAE_ASIGNATURA[ID_NIVEL]=ASIGNACION!$D22)*(MAE_ASIGNATURA[ID_CARRERA]=ASIGNACION!$C22),"No existe información")))</f>
        <v>No existe información</v>
      </c>
      <c r="BD22" s="4" t="str" cm="1">
        <f t="array" ref="BD22">TRANSPOSE(_xlfn.UNIQUE(_xlfn._xlws.FILTER(DET_ASIG[DETALLADO],(DET_ASIG[ID_CARRERA]=ASIGNACION!$C22)*(DET_ASIG[NIVEL]=ASIGNACION!$D22)*(DET_ASIG[ID_ASIG]=ASIGNACION!$G22),"No existe información")))</f>
        <v>No existe información</v>
      </c>
      <c r="BQ22" s="5" t="str" cm="1">
        <f t="array" ref="BQ22">IFERROR(
    TRANSPOSE(
        _xlfn.UNIQUE(
            _xlfn._xlws.FILTER(MAESTRIA_DETALLADO[MAESTRIA],
                ISNUMBER(MATCH(MAESTRIA_DETALLADO[CAMPO_DETALLADO],
                BD22:BP22,0))
            )
        )
    ),IF(BD22="ACTIVIDAD","DOCENCIA",""))</f>
        <v/>
      </c>
      <c r="EA22" s="5" t="str" cm="1">
        <f t="array" ref="EA22:FN22">IF(
    ASIGNACION!I22="SI",
    IFERROR(
        TRANSPOSE(
            _xlfn.UNIQUE(
                _xlfn._xlws.FILTER(EDU_DOCENTE[NOMBRE_DOCENTE],
                    ISNUMBER(MATCH(EDU_DOCENTE[MAESTRIA],
                    BQ22:DY22,0))
                )
            )
        ),
        ""
    ),
    TRANSPOSE(
        _xlfn.UNIQUE(EDU_DOCENTE[NOMBRE_DOCENTE]
        )
    )
)</f>
        <v>ALCIVAR CEDEÑO BEATRIZ ISABEL</v>
      </c>
      <c r="EB22" t="str">
        <v>ALCIVAR VERA GEMA MICHELLE</v>
      </c>
      <c r="EC22" t="str">
        <v>ARAUZ CHAVEZ MARIO ROBERTO</v>
      </c>
      <c r="ED22" t="str">
        <v>BAILON LOURIDO WALTER ALBERTO</v>
      </c>
      <c r="EE22" t="str">
        <v>CALDERERO VILLAGOMEZ ERICK ANTONIO</v>
      </c>
      <c r="EF22" t="str">
        <v>CASTILLO GARCIA PAOLA GERMANIA</v>
      </c>
      <c r="EG22" t="str">
        <v>CEDEÑO CHOEZ PEDRO JAVIER</v>
      </c>
      <c r="EH22" t="str">
        <v>CEVALLOS HOPPE JUAN CARLOS</v>
      </c>
      <c r="EI22" t="str">
        <v>DELGADO CHAVEZ MARIA IRASEMA</v>
      </c>
      <c r="EJ22" t="str">
        <v>DUARTE VALENCIA CRISTHIAN DARIO</v>
      </c>
      <c r="EK22" t="str">
        <v>FORTTY BARBERAN DENNY ALEXANDER</v>
      </c>
      <c r="EL22" t="str">
        <v>GUTIERREZ ZAMBRANO CARMEN EBELINA</v>
      </c>
      <c r="EM22" t="str">
        <v>INTRIAGO MOLINA GEMA VALERIA</v>
      </c>
      <c r="EN22" t="str">
        <v>LINO VELEZ LEONEL LIVINGTON</v>
      </c>
      <c r="EO22" t="str">
        <v>LOOR ALCIVAR MARIA ILIANA</v>
      </c>
      <c r="EP22" t="str">
        <v>LOOR MIELES TANIA JACQUELINE</v>
      </c>
      <c r="EQ22" t="str">
        <v>LOOR SOLORZANO ROSA MARIA</v>
      </c>
      <c r="ER22" t="str">
        <v>LOPEZ DELGADO RONALD MAURICIO</v>
      </c>
      <c r="ES22" t="str">
        <v>MACIAS VALENCIA DAVID GABRIEL</v>
      </c>
      <c r="ET22" t="str">
        <v>MENDOZA ZAMORA WALTER MANUEL</v>
      </c>
      <c r="EU22" t="str">
        <v>MOLINA CEVALLOS MARIA LORENA</v>
      </c>
      <c r="EV22" t="str">
        <v>MURILLO DELGADO ISAAC GABRIEL</v>
      </c>
      <c r="EW22" t="str">
        <v>ANGULO MURILLO NAVIRA GISSELA</v>
      </c>
      <c r="EX22" t="str">
        <v>OCHOA SOLEDISPA NESTOR IVAN</v>
      </c>
      <c r="EY22" t="str">
        <v>PARRAGA FRANCO SILVANA MARIELA</v>
      </c>
      <c r="EZ22" t="str">
        <v>PINARGOTE VASQUEZ NANCY FABIOLA</v>
      </c>
      <c r="FA22" t="str">
        <v>REYES VELEZ PEDRO ENRIQUE</v>
      </c>
      <c r="FB22" t="str">
        <v>SAN ANDRES HORMAZA DALLAS CECILIA</v>
      </c>
      <c r="FC22" t="str">
        <v>SORNOZA ZAMORA JUAN CARLOS</v>
      </c>
      <c r="FD22" t="str">
        <v>TOMALA PINTO JESUS JACINTO</v>
      </c>
      <c r="FE22" t="str">
        <v>VALLE JARAMILLO SILVIA ARACELY</v>
      </c>
      <c r="FF22" t="str">
        <v>VELÁSQUEZ BRAVO IRMA KATHERINE</v>
      </c>
      <c r="FG22" t="str">
        <v>VELEZ MENDOZA LAYSY VALERIA</v>
      </c>
      <c r="FH22" t="str">
        <v>VINUEZA TELLO SHIRLEY ELIZABETH</v>
      </c>
      <c r="FI22" t="str">
        <v>ZAMBRANO ALCIVAR NILDA ISABEL</v>
      </c>
      <c r="FJ22" t="str">
        <v>ZAMBRANO LOOR RITA MAYDA</v>
      </c>
      <c r="FK22" t="str">
        <v>ZAMBRANO VERA MONICA JANETH</v>
      </c>
      <c r="FL22" t="str">
        <v>VERA DELGADO BRYAN ADRIÁN</v>
      </c>
      <c r="FM22" t="str">
        <v>MORAN GONZALES DAVID RENATO</v>
      </c>
      <c r="FN22">
        <v>0</v>
      </c>
    </row>
    <row r="23" spans="1:170" ht="20.25" customHeight="1">
      <c r="A23" s="4" t="str" cm="1">
        <f t="array" ref="A23">TRANSPOSE(_xlfn.UNIQUE(_xlfn._xlws.FILTER(MAE_ASIGNATURA[ID_NIVEL],MAE_ASIGNATURA[ID_CARRERA]=ASIGNACION!$C23,"No existe información")))</f>
        <v>No existe información</v>
      </c>
      <c r="S23" s="4" t="str" cm="1">
        <f t="array" ref="S23">TRANSPOSE(_xlfn.UNIQUE(_xlfn._xlws.FILTER(MAE_ASIGNATURA[NOM_ASIG],(MAE_ASIGNATURA[ID_NIVEL]=ASIGNACION!$D23)*(MAE_ASIGNATURA[ID_CARRERA]=ASIGNACION!$C23),"No existe información")))</f>
        <v>No existe información</v>
      </c>
      <c r="BD23" s="4" t="str" cm="1">
        <f t="array" ref="BD23">TRANSPOSE(_xlfn.UNIQUE(_xlfn._xlws.FILTER(DET_ASIG[DETALLADO],(DET_ASIG[ID_CARRERA]=ASIGNACION!$C23)*(DET_ASIG[NIVEL]=ASIGNACION!$D23)*(DET_ASIG[ID_ASIG]=ASIGNACION!$G23),"No existe información")))</f>
        <v>No existe información</v>
      </c>
      <c r="BQ23" s="5" t="str" cm="1">
        <f t="array" ref="BQ23">IFERROR(
    TRANSPOSE(
        _xlfn.UNIQUE(
            _xlfn._xlws.FILTER(MAESTRIA_DETALLADO[MAESTRIA],
                ISNUMBER(MATCH(MAESTRIA_DETALLADO[CAMPO_DETALLADO],
                BD23:BP23,0))
            )
        )
    ),IF(BD23="ACTIVIDAD","DOCENCIA",""))</f>
        <v/>
      </c>
      <c r="EA23" s="5" t="str" cm="1">
        <f t="array" ref="EA23:FN23">IF(
    ASIGNACION!I23="SI",
    IFERROR(
        TRANSPOSE(
            _xlfn.UNIQUE(
                _xlfn._xlws.FILTER(EDU_DOCENTE[NOMBRE_DOCENTE],
                    ISNUMBER(MATCH(EDU_DOCENTE[MAESTRIA],
                    BQ23:DY23,0))
                )
            )
        ),
        ""
    ),
    TRANSPOSE(
        _xlfn.UNIQUE(EDU_DOCENTE[NOMBRE_DOCENTE]
        )
    )
)</f>
        <v>ALCIVAR CEDEÑO BEATRIZ ISABEL</v>
      </c>
      <c r="EB23" t="str">
        <v>ALCIVAR VERA GEMA MICHELLE</v>
      </c>
      <c r="EC23" t="str">
        <v>ARAUZ CHAVEZ MARIO ROBERTO</v>
      </c>
      <c r="ED23" t="str">
        <v>BAILON LOURIDO WALTER ALBERTO</v>
      </c>
      <c r="EE23" t="str">
        <v>CALDERERO VILLAGOMEZ ERICK ANTONIO</v>
      </c>
      <c r="EF23" t="str">
        <v>CASTILLO GARCIA PAOLA GERMANIA</v>
      </c>
      <c r="EG23" t="str">
        <v>CEDEÑO CHOEZ PEDRO JAVIER</v>
      </c>
      <c r="EH23" t="str">
        <v>CEVALLOS HOPPE JUAN CARLOS</v>
      </c>
      <c r="EI23" t="str">
        <v>DELGADO CHAVEZ MARIA IRASEMA</v>
      </c>
      <c r="EJ23" t="str">
        <v>DUARTE VALENCIA CRISTHIAN DARIO</v>
      </c>
      <c r="EK23" t="str">
        <v>FORTTY BARBERAN DENNY ALEXANDER</v>
      </c>
      <c r="EL23" t="str">
        <v>GUTIERREZ ZAMBRANO CARMEN EBELINA</v>
      </c>
      <c r="EM23" t="str">
        <v>INTRIAGO MOLINA GEMA VALERIA</v>
      </c>
      <c r="EN23" t="str">
        <v>LINO VELEZ LEONEL LIVINGTON</v>
      </c>
      <c r="EO23" t="str">
        <v>LOOR ALCIVAR MARIA ILIANA</v>
      </c>
      <c r="EP23" t="str">
        <v>LOOR MIELES TANIA JACQUELINE</v>
      </c>
      <c r="EQ23" t="str">
        <v>LOOR SOLORZANO ROSA MARIA</v>
      </c>
      <c r="ER23" t="str">
        <v>LOPEZ DELGADO RONALD MAURICIO</v>
      </c>
      <c r="ES23" t="str">
        <v>MACIAS VALENCIA DAVID GABRIEL</v>
      </c>
      <c r="ET23" t="str">
        <v>MENDOZA ZAMORA WALTER MANUEL</v>
      </c>
      <c r="EU23" t="str">
        <v>MOLINA CEVALLOS MARIA LORENA</v>
      </c>
      <c r="EV23" t="str">
        <v>MURILLO DELGADO ISAAC GABRIEL</v>
      </c>
      <c r="EW23" t="str">
        <v>ANGULO MURILLO NAVIRA GISSELA</v>
      </c>
      <c r="EX23" t="str">
        <v>OCHOA SOLEDISPA NESTOR IVAN</v>
      </c>
      <c r="EY23" t="str">
        <v>PARRAGA FRANCO SILVANA MARIELA</v>
      </c>
      <c r="EZ23" t="str">
        <v>PINARGOTE VASQUEZ NANCY FABIOLA</v>
      </c>
      <c r="FA23" t="str">
        <v>REYES VELEZ PEDRO ENRIQUE</v>
      </c>
      <c r="FB23" t="str">
        <v>SAN ANDRES HORMAZA DALLAS CECILIA</v>
      </c>
      <c r="FC23" t="str">
        <v>SORNOZA ZAMORA JUAN CARLOS</v>
      </c>
      <c r="FD23" t="str">
        <v>TOMALA PINTO JESUS JACINTO</v>
      </c>
      <c r="FE23" t="str">
        <v>VALLE JARAMILLO SILVIA ARACELY</v>
      </c>
      <c r="FF23" t="str">
        <v>VELÁSQUEZ BRAVO IRMA KATHERINE</v>
      </c>
      <c r="FG23" t="str">
        <v>VELEZ MENDOZA LAYSY VALERIA</v>
      </c>
      <c r="FH23" t="str">
        <v>VINUEZA TELLO SHIRLEY ELIZABETH</v>
      </c>
      <c r="FI23" t="str">
        <v>ZAMBRANO ALCIVAR NILDA ISABEL</v>
      </c>
      <c r="FJ23" t="str">
        <v>ZAMBRANO LOOR RITA MAYDA</v>
      </c>
      <c r="FK23" t="str">
        <v>ZAMBRANO VERA MONICA JANETH</v>
      </c>
      <c r="FL23" t="str">
        <v>VERA DELGADO BRYAN ADRIÁN</v>
      </c>
      <c r="FM23" t="str">
        <v>MORAN GONZALES DAVID RENATO</v>
      </c>
      <c r="FN23">
        <v>0</v>
      </c>
    </row>
    <row r="24" spans="1:170" ht="20.25" customHeight="1">
      <c r="A24" s="4" t="str" cm="1">
        <f t="array" ref="A24">TRANSPOSE(_xlfn.UNIQUE(_xlfn._xlws.FILTER(MAE_ASIGNATURA[ID_NIVEL],MAE_ASIGNATURA[ID_CARRERA]=ASIGNACION!$C24,"No existe información")))</f>
        <v>No existe información</v>
      </c>
      <c r="S24" s="4" t="str" cm="1">
        <f t="array" ref="S24">TRANSPOSE(_xlfn.UNIQUE(_xlfn._xlws.FILTER(MAE_ASIGNATURA[NOM_ASIG],(MAE_ASIGNATURA[ID_NIVEL]=ASIGNACION!$D24)*(MAE_ASIGNATURA[ID_CARRERA]=ASIGNACION!$C24),"No existe información")))</f>
        <v>No existe información</v>
      </c>
      <c r="BD24" s="4" t="str" cm="1">
        <f t="array" ref="BD24">TRANSPOSE(_xlfn.UNIQUE(_xlfn._xlws.FILTER(DET_ASIG[DETALLADO],(DET_ASIG[ID_CARRERA]=ASIGNACION!$C24)*(DET_ASIG[NIVEL]=ASIGNACION!$D24)*(DET_ASIG[ID_ASIG]=ASIGNACION!$G24),"No existe información")))</f>
        <v>No existe información</v>
      </c>
      <c r="BQ24" s="5" t="str" cm="1">
        <f t="array" ref="BQ24">IFERROR(
    TRANSPOSE(
        _xlfn.UNIQUE(
            _xlfn._xlws.FILTER(MAESTRIA_DETALLADO[MAESTRIA],
                ISNUMBER(MATCH(MAESTRIA_DETALLADO[CAMPO_DETALLADO],
                BD24:BP24,0))
            )
        )
    ),IF(BD24="ACTIVIDAD","DOCENCIA",""))</f>
        <v/>
      </c>
      <c r="EA24" s="5" t="str" cm="1">
        <f t="array" ref="EA24:FN24">IF(
    ASIGNACION!I24="SI",
    IFERROR(
        TRANSPOSE(
            _xlfn.UNIQUE(
                _xlfn._xlws.FILTER(EDU_DOCENTE[NOMBRE_DOCENTE],
                    ISNUMBER(MATCH(EDU_DOCENTE[MAESTRIA],
                    BQ24:DY24,0))
                )
            )
        ),
        ""
    ),
    TRANSPOSE(
        _xlfn.UNIQUE(EDU_DOCENTE[NOMBRE_DOCENTE]
        )
    )
)</f>
        <v>ALCIVAR CEDEÑO BEATRIZ ISABEL</v>
      </c>
      <c r="EB24" t="str">
        <v>ALCIVAR VERA GEMA MICHELLE</v>
      </c>
      <c r="EC24" t="str">
        <v>ARAUZ CHAVEZ MARIO ROBERTO</v>
      </c>
      <c r="ED24" t="str">
        <v>BAILON LOURIDO WALTER ALBERTO</v>
      </c>
      <c r="EE24" t="str">
        <v>CALDERERO VILLAGOMEZ ERICK ANTONIO</v>
      </c>
      <c r="EF24" t="str">
        <v>CASTILLO GARCIA PAOLA GERMANIA</v>
      </c>
      <c r="EG24" t="str">
        <v>CEDEÑO CHOEZ PEDRO JAVIER</v>
      </c>
      <c r="EH24" t="str">
        <v>CEVALLOS HOPPE JUAN CARLOS</v>
      </c>
      <c r="EI24" t="str">
        <v>DELGADO CHAVEZ MARIA IRASEMA</v>
      </c>
      <c r="EJ24" t="str">
        <v>DUARTE VALENCIA CRISTHIAN DARIO</v>
      </c>
      <c r="EK24" t="str">
        <v>FORTTY BARBERAN DENNY ALEXANDER</v>
      </c>
      <c r="EL24" t="str">
        <v>GUTIERREZ ZAMBRANO CARMEN EBELINA</v>
      </c>
      <c r="EM24" t="str">
        <v>INTRIAGO MOLINA GEMA VALERIA</v>
      </c>
      <c r="EN24" t="str">
        <v>LINO VELEZ LEONEL LIVINGTON</v>
      </c>
      <c r="EO24" t="str">
        <v>LOOR ALCIVAR MARIA ILIANA</v>
      </c>
      <c r="EP24" t="str">
        <v>LOOR MIELES TANIA JACQUELINE</v>
      </c>
      <c r="EQ24" t="str">
        <v>LOOR SOLORZANO ROSA MARIA</v>
      </c>
      <c r="ER24" t="str">
        <v>LOPEZ DELGADO RONALD MAURICIO</v>
      </c>
      <c r="ES24" t="str">
        <v>MACIAS VALENCIA DAVID GABRIEL</v>
      </c>
      <c r="ET24" t="str">
        <v>MENDOZA ZAMORA WALTER MANUEL</v>
      </c>
      <c r="EU24" t="str">
        <v>MOLINA CEVALLOS MARIA LORENA</v>
      </c>
      <c r="EV24" t="str">
        <v>MURILLO DELGADO ISAAC GABRIEL</v>
      </c>
      <c r="EW24" t="str">
        <v>ANGULO MURILLO NAVIRA GISSELA</v>
      </c>
      <c r="EX24" t="str">
        <v>OCHOA SOLEDISPA NESTOR IVAN</v>
      </c>
      <c r="EY24" t="str">
        <v>PARRAGA FRANCO SILVANA MARIELA</v>
      </c>
      <c r="EZ24" t="str">
        <v>PINARGOTE VASQUEZ NANCY FABIOLA</v>
      </c>
      <c r="FA24" t="str">
        <v>REYES VELEZ PEDRO ENRIQUE</v>
      </c>
      <c r="FB24" t="str">
        <v>SAN ANDRES HORMAZA DALLAS CECILIA</v>
      </c>
      <c r="FC24" t="str">
        <v>SORNOZA ZAMORA JUAN CARLOS</v>
      </c>
      <c r="FD24" t="str">
        <v>TOMALA PINTO JESUS JACINTO</v>
      </c>
      <c r="FE24" t="str">
        <v>VALLE JARAMILLO SILVIA ARACELY</v>
      </c>
      <c r="FF24" t="str">
        <v>VELÁSQUEZ BRAVO IRMA KATHERINE</v>
      </c>
      <c r="FG24" t="str">
        <v>VELEZ MENDOZA LAYSY VALERIA</v>
      </c>
      <c r="FH24" t="str">
        <v>VINUEZA TELLO SHIRLEY ELIZABETH</v>
      </c>
      <c r="FI24" t="str">
        <v>ZAMBRANO ALCIVAR NILDA ISABEL</v>
      </c>
      <c r="FJ24" t="str">
        <v>ZAMBRANO LOOR RITA MAYDA</v>
      </c>
      <c r="FK24" t="str">
        <v>ZAMBRANO VERA MONICA JANETH</v>
      </c>
      <c r="FL24" t="str">
        <v>VERA DELGADO BRYAN ADRIÁN</v>
      </c>
      <c r="FM24" t="str">
        <v>MORAN GONZALES DAVID RENATO</v>
      </c>
      <c r="FN24">
        <v>0</v>
      </c>
    </row>
    <row r="25" spans="1:170" ht="20.25" customHeight="1">
      <c r="A25" s="4" t="str" cm="1">
        <f t="array" ref="A25">TRANSPOSE(_xlfn.UNIQUE(_xlfn._xlws.FILTER(MAE_ASIGNATURA[ID_NIVEL],MAE_ASIGNATURA[ID_CARRERA]=ASIGNACION!$C25,"No existe información")))</f>
        <v>No existe información</v>
      </c>
      <c r="S25" s="4" t="str" cm="1">
        <f t="array" ref="S25">TRANSPOSE(_xlfn.UNIQUE(_xlfn._xlws.FILTER(MAE_ASIGNATURA[NOM_ASIG],(MAE_ASIGNATURA[ID_NIVEL]=ASIGNACION!$D25)*(MAE_ASIGNATURA[ID_CARRERA]=ASIGNACION!$C25),"No existe información")))</f>
        <v>No existe información</v>
      </c>
      <c r="BD25" s="4" t="str" cm="1">
        <f t="array" ref="BD25">TRANSPOSE(_xlfn.UNIQUE(_xlfn._xlws.FILTER(DET_ASIG[DETALLADO],(DET_ASIG[ID_CARRERA]=ASIGNACION!$C25)*(DET_ASIG[NIVEL]=ASIGNACION!$D25)*(DET_ASIG[ID_ASIG]=ASIGNACION!$G25),"No existe información")))</f>
        <v>No existe información</v>
      </c>
      <c r="BQ25" s="5" t="str" cm="1">
        <f t="array" ref="BQ25">IFERROR(
    TRANSPOSE(
        _xlfn.UNIQUE(
            _xlfn._xlws.FILTER(MAESTRIA_DETALLADO[MAESTRIA],
                ISNUMBER(MATCH(MAESTRIA_DETALLADO[CAMPO_DETALLADO],
                BD25:BP25,0))
            )
        )
    ),IF(BD25="ACTIVIDAD","DOCENCIA",""))</f>
        <v/>
      </c>
      <c r="EA25" s="5" t="str" cm="1">
        <f t="array" ref="EA25:FN25">IF(
    ASIGNACION!I25="SI",
    IFERROR(
        TRANSPOSE(
            _xlfn.UNIQUE(
                _xlfn._xlws.FILTER(EDU_DOCENTE[NOMBRE_DOCENTE],
                    ISNUMBER(MATCH(EDU_DOCENTE[MAESTRIA],
                    BQ25:DY25,0))
                )
            )
        ),
        ""
    ),
    TRANSPOSE(
        _xlfn.UNIQUE(EDU_DOCENTE[NOMBRE_DOCENTE]
        )
    )
)</f>
        <v>ALCIVAR CEDEÑO BEATRIZ ISABEL</v>
      </c>
      <c r="EB25" t="str">
        <v>ALCIVAR VERA GEMA MICHELLE</v>
      </c>
      <c r="EC25" t="str">
        <v>ARAUZ CHAVEZ MARIO ROBERTO</v>
      </c>
      <c r="ED25" t="str">
        <v>BAILON LOURIDO WALTER ALBERTO</v>
      </c>
      <c r="EE25" t="str">
        <v>CALDERERO VILLAGOMEZ ERICK ANTONIO</v>
      </c>
      <c r="EF25" t="str">
        <v>CASTILLO GARCIA PAOLA GERMANIA</v>
      </c>
      <c r="EG25" t="str">
        <v>CEDEÑO CHOEZ PEDRO JAVIER</v>
      </c>
      <c r="EH25" t="str">
        <v>CEVALLOS HOPPE JUAN CARLOS</v>
      </c>
      <c r="EI25" t="str">
        <v>DELGADO CHAVEZ MARIA IRASEMA</v>
      </c>
      <c r="EJ25" t="str">
        <v>DUARTE VALENCIA CRISTHIAN DARIO</v>
      </c>
      <c r="EK25" t="str">
        <v>FORTTY BARBERAN DENNY ALEXANDER</v>
      </c>
      <c r="EL25" t="str">
        <v>GUTIERREZ ZAMBRANO CARMEN EBELINA</v>
      </c>
      <c r="EM25" t="str">
        <v>INTRIAGO MOLINA GEMA VALERIA</v>
      </c>
      <c r="EN25" t="str">
        <v>LINO VELEZ LEONEL LIVINGTON</v>
      </c>
      <c r="EO25" t="str">
        <v>LOOR ALCIVAR MARIA ILIANA</v>
      </c>
      <c r="EP25" t="str">
        <v>LOOR MIELES TANIA JACQUELINE</v>
      </c>
      <c r="EQ25" t="str">
        <v>LOOR SOLORZANO ROSA MARIA</v>
      </c>
      <c r="ER25" t="str">
        <v>LOPEZ DELGADO RONALD MAURICIO</v>
      </c>
      <c r="ES25" t="str">
        <v>MACIAS VALENCIA DAVID GABRIEL</v>
      </c>
      <c r="ET25" t="str">
        <v>MENDOZA ZAMORA WALTER MANUEL</v>
      </c>
      <c r="EU25" t="str">
        <v>MOLINA CEVALLOS MARIA LORENA</v>
      </c>
      <c r="EV25" t="str">
        <v>MURILLO DELGADO ISAAC GABRIEL</v>
      </c>
      <c r="EW25" t="str">
        <v>ANGULO MURILLO NAVIRA GISSELA</v>
      </c>
      <c r="EX25" t="str">
        <v>OCHOA SOLEDISPA NESTOR IVAN</v>
      </c>
      <c r="EY25" t="str">
        <v>PARRAGA FRANCO SILVANA MARIELA</v>
      </c>
      <c r="EZ25" t="str">
        <v>PINARGOTE VASQUEZ NANCY FABIOLA</v>
      </c>
      <c r="FA25" t="str">
        <v>REYES VELEZ PEDRO ENRIQUE</v>
      </c>
      <c r="FB25" t="str">
        <v>SAN ANDRES HORMAZA DALLAS CECILIA</v>
      </c>
      <c r="FC25" t="str">
        <v>SORNOZA ZAMORA JUAN CARLOS</v>
      </c>
      <c r="FD25" t="str">
        <v>TOMALA PINTO JESUS JACINTO</v>
      </c>
      <c r="FE25" t="str">
        <v>VALLE JARAMILLO SILVIA ARACELY</v>
      </c>
      <c r="FF25" t="str">
        <v>VELÁSQUEZ BRAVO IRMA KATHERINE</v>
      </c>
      <c r="FG25" t="str">
        <v>VELEZ MENDOZA LAYSY VALERIA</v>
      </c>
      <c r="FH25" t="str">
        <v>VINUEZA TELLO SHIRLEY ELIZABETH</v>
      </c>
      <c r="FI25" t="str">
        <v>ZAMBRANO ALCIVAR NILDA ISABEL</v>
      </c>
      <c r="FJ25" t="str">
        <v>ZAMBRANO LOOR RITA MAYDA</v>
      </c>
      <c r="FK25" t="str">
        <v>ZAMBRANO VERA MONICA JANETH</v>
      </c>
      <c r="FL25" t="str">
        <v>VERA DELGADO BRYAN ADRIÁN</v>
      </c>
      <c r="FM25" t="str">
        <v>MORAN GONZALES DAVID RENATO</v>
      </c>
      <c r="FN25">
        <v>0</v>
      </c>
    </row>
    <row r="26" spans="1:170" ht="20.25" customHeight="1">
      <c r="A26" s="4" t="str" cm="1">
        <f t="array" ref="A26">TRANSPOSE(_xlfn.UNIQUE(_xlfn._xlws.FILTER(MAE_ASIGNATURA[ID_NIVEL],MAE_ASIGNATURA[ID_CARRERA]=ASIGNACION!$C26,"No existe información")))</f>
        <v>No existe información</v>
      </c>
      <c r="S26" s="4" t="str" cm="1">
        <f t="array" ref="S26">TRANSPOSE(_xlfn.UNIQUE(_xlfn._xlws.FILTER(MAE_ASIGNATURA[NOM_ASIG],(MAE_ASIGNATURA[ID_NIVEL]=ASIGNACION!$D26)*(MAE_ASIGNATURA[ID_CARRERA]=ASIGNACION!$C26),"No existe información")))</f>
        <v>No existe información</v>
      </c>
      <c r="BD26" s="4" t="str" cm="1">
        <f t="array" ref="BD26">TRANSPOSE(_xlfn.UNIQUE(_xlfn._xlws.FILTER(DET_ASIG[DETALLADO],(DET_ASIG[ID_CARRERA]=ASIGNACION!$C26)*(DET_ASIG[NIVEL]=ASIGNACION!$D26)*(DET_ASIG[ID_ASIG]=ASIGNACION!$G26),"No existe información")))</f>
        <v>No existe información</v>
      </c>
      <c r="BQ26" s="5" t="str" cm="1">
        <f t="array" ref="BQ26">IFERROR(
    TRANSPOSE(
        _xlfn.UNIQUE(
            _xlfn._xlws.FILTER(MAESTRIA_DETALLADO[MAESTRIA],
                ISNUMBER(MATCH(MAESTRIA_DETALLADO[CAMPO_DETALLADO],
                BD26:BP26,0))
            )
        )
    ),IF(BD26="ACTIVIDAD","DOCENCIA",""))</f>
        <v/>
      </c>
      <c r="EA26" s="5" t="str" cm="1">
        <f t="array" ref="EA26:FN26">IF(
    ASIGNACION!I26="SI",
    IFERROR(
        TRANSPOSE(
            _xlfn.UNIQUE(
                _xlfn._xlws.FILTER(EDU_DOCENTE[NOMBRE_DOCENTE],
                    ISNUMBER(MATCH(EDU_DOCENTE[MAESTRIA],
                    BQ26:DY26,0))
                )
            )
        ),
        ""
    ),
    TRANSPOSE(
        _xlfn.UNIQUE(EDU_DOCENTE[NOMBRE_DOCENTE]
        )
    )
)</f>
        <v>ALCIVAR CEDEÑO BEATRIZ ISABEL</v>
      </c>
      <c r="EB26" t="str">
        <v>ALCIVAR VERA GEMA MICHELLE</v>
      </c>
      <c r="EC26" t="str">
        <v>ARAUZ CHAVEZ MARIO ROBERTO</v>
      </c>
      <c r="ED26" t="str">
        <v>BAILON LOURIDO WALTER ALBERTO</v>
      </c>
      <c r="EE26" t="str">
        <v>CALDERERO VILLAGOMEZ ERICK ANTONIO</v>
      </c>
      <c r="EF26" t="str">
        <v>CASTILLO GARCIA PAOLA GERMANIA</v>
      </c>
      <c r="EG26" t="str">
        <v>CEDEÑO CHOEZ PEDRO JAVIER</v>
      </c>
      <c r="EH26" t="str">
        <v>CEVALLOS HOPPE JUAN CARLOS</v>
      </c>
      <c r="EI26" t="str">
        <v>DELGADO CHAVEZ MARIA IRASEMA</v>
      </c>
      <c r="EJ26" t="str">
        <v>DUARTE VALENCIA CRISTHIAN DARIO</v>
      </c>
      <c r="EK26" t="str">
        <v>FORTTY BARBERAN DENNY ALEXANDER</v>
      </c>
      <c r="EL26" t="str">
        <v>GUTIERREZ ZAMBRANO CARMEN EBELINA</v>
      </c>
      <c r="EM26" t="str">
        <v>INTRIAGO MOLINA GEMA VALERIA</v>
      </c>
      <c r="EN26" t="str">
        <v>LINO VELEZ LEONEL LIVINGTON</v>
      </c>
      <c r="EO26" t="str">
        <v>LOOR ALCIVAR MARIA ILIANA</v>
      </c>
      <c r="EP26" t="str">
        <v>LOOR MIELES TANIA JACQUELINE</v>
      </c>
      <c r="EQ26" t="str">
        <v>LOOR SOLORZANO ROSA MARIA</v>
      </c>
      <c r="ER26" t="str">
        <v>LOPEZ DELGADO RONALD MAURICIO</v>
      </c>
      <c r="ES26" t="str">
        <v>MACIAS VALENCIA DAVID GABRIEL</v>
      </c>
      <c r="ET26" t="str">
        <v>MENDOZA ZAMORA WALTER MANUEL</v>
      </c>
      <c r="EU26" t="str">
        <v>MOLINA CEVALLOS MARIA LORENA</v>
      </c>
      <c r="EV26" t="str">
        <v>MURILLO DELGADO ISAAC GABRIEL</v>
      </c>
      <c r="EW26" t="str">
        <v>ANGULO MURILLO NAVIRA GISSELA</v>
      </c>
      <c r="EX26" t="str">
        <v>OCHOA SOLEDISPA NESTOR IVAN</v>
      </c>
      <c r="EY26" t="str">
        <v>PARRAGA FRANCO SILVANA MARIELA</v>
      </c>
      <c r="EZ26" t="str">
        <v>PINARGOTE VASQUEZ NANCY FABIOLA</v>
      </c>
      <c r="FA26" t="str">
        <v>REYES VELEZ PEDRO ENRIQUE</v>
      </c>
      <c r="FB26" t="str">
        <v>SAN ANDRES HORMAZA DALLAS CECILIA</v>
      </c>
      <c r="FC26" t="str">
        <v>SORNOZA ZAMORA JUAN CARLOS</v>
      </c>
      <c r="FD26" t="str">
        <v>TOMALA PINTO JESUS JACINTO</v>
      </c>
      <c r="FE26" t="str">
        <v>VALLE JARAMILLO SILVIA ARACELY</v>
      </c>
      <c r="FF26" t="str">
        <v>VELÁSQUEZ BRAVO IRMA KATHERINE</v>
      </c>
      <c r="FG26" t="str">
        <v>VELEZ MENDOZA LAYSY VALERIA</v>
      </c>
      <c r="FH26" t="str">
        <v>VINUEZA TELLO SHIRLEY ELIZABETH</v>
      </c>
      <c r="FI26" t="str">
        <v>ZAMBRANO ALCIVAR NILDA ISABEL</v>
      </c>
      <c r="FJ26" t="str">
        <v>ZAMBRANO LOOR RITA MAYDA</v>
      </c>
      <c r="FK26" t="str">
        <v>ZAMBRANO VERA MONICA JANETH</v>
      </c>
      <c r="FL26" t="str">
        <v>VERA DELGADO BRYAN ADRIÁN</v>
      </c>
      <c r="FM26" t="str">
        <v>MORAN GONZALES DAVID RENATO</v>
      </c>
      <c r="FN26">
        <v>0</v>
      </c>
    </row>
    <row r="27" spans="1:170" ht="20.25" customHeight="1">
      <c r="A27" s="4" t="str" cm="1">
        <f t="array" ref="A27">TRANSPOSE(_xlfn.UNIQUE(_xlfn._xlws.FILTER(MAE_ASIGNATURA[ID_NIVEL],MAE_ASIGNATURA[ID_CARRERA]=ASIGNACION!$C27,"No existe información")))</f>
        <v>No existe información</v>
      </c>
      <c r="S27" s="4" t="str" cm="1">
        <f t="array" ref="S27">TRANSPOSE(_xlfn.UNIQUE(_xlfn._xlws.FILTER(MAE_ASIGNATURA[NOM_ASIG],(MAE_ASIGNATURA[ID_NIVEL]=ASIGNACION!$D27)*(MAE_ASIGNATURA[ID_CARRERA]=ASIGNACION!$C27),"No existe información")))</f>
        <v>No existe información</v>
      </c>
      <c r="BD27" s="4" t="str" cm="1">
        <f t="array" ref="BD27">TRANSPOSE(_xlfn.UNIQUE(_xlfn._xlws.FILTER(DET_ASIG[DETALLADO],(DET_ASIG[ID_CARRERA]=ASIGNACION!$C27)*(DET_ASIG[NIVEL]=ASIGNACION!$D27)*(DET_ASIG[ID_ASIG]=ASIGNACION!$G27),"No existe información")))</f>
        <v>No existe información</v>
      </c>
      <c r="BQ27" s="5" t="str" cm="1">
        <f t="array" ref="BQ27">IFERROR(
    TRANSPOSE(
        _xlfn.UNIQUE(
            _xlfn._xlws.FILTER(MAESTRIA_DETALLADO[MAESTRIA],
                ISNUMBER(MATCH(MAESTRIA_DETALLADO[CAMPO_DETALLADO],
                BD27:BP27,0))
            )
        )
    ),IF(BD27="ACTIVIDAD","DOCENCIA",""))</f>
        <v/>
      </c>
      <c r="EA27" s="5" t="str" cm="1">
        <f t="array" ref="EA27:FN27">IF(
    ASIGNACION!I27="SI",
    IFERROR(
        TRANSPOSE(
            _xlfn.UNIQUE(
                _xlfn._xlws.FILTER(EDU_DOCENTE[NOMBRE_DOCENTE],
                    ISNUMBER(MATCH(EDU_DOCENTE[MAESTRIA],
                    BQ27:DY27,0))
                )
            )
        ),
        ""
    ),
    TRANSPOSE(
        _xlfn.UNIQUE(EDU_DOCENTE[NOMBRE_DOCENTE]
        )
    )
)</f>
        <v>ALCIVAR CEDEÑO BEATRIZ ISABEL</v>
      </c>
      <c r="EB27" t="str">
        <v>ALCIVAR VERA GEMA MICHELLE</v>
      </c>
      <c r="EC27" t="str">
        <v>ARAUZ CHAVEZ MARIO ROBERTO</v>
      </c>
      <c r="ED27" t="str">
        <v>BAILON LOURIDO WALTER ALBERTO</v>
      </c>
      <c r="EE27" t="str">
        <v>CALDERERO VILLAGOMEZ ERICK ANTONIO</v>
      </c>
      <c r="EF27" t="str">
        <v>CASTILLO GARCIA PAOLA GERMANIA</v>
      </c>
      <c r="EG27" t="str">
        <v>CEDEÑO CHOEZ PEDRO JAVIER</v>
      </c>
      <c r="EH27" t="str">
        <v>CEVALLOS HOPPE JUAN CARLOS</v>
      </c>
      <c r="EI27" t="str">
        <v>DELGADO CHAVEZ MARIA IRASEMA</v>
      </c>
      <c r="EJ27" t="str">
        <v>DUARTE VALENCIA CRISTHIAN DARIO</v>
      </c>
      <c r="EK27" t="str">
        <v>FORTTY BARBERAN DENNY ALEXANDER</v>
      </c>
      <c r="EL27" t="str">
        <v>GUTIERREZ ZAMBRANO CARMEN EBELINA</v>
      </c>
      <c r="EM27" t="str">
        <v>INTRIAGO MOLINA GEMA VALERIA</v>
      </c>
      <c r="EN27" t="str">
        <v>LINO VELEZ LEONEL LIVINGTON</v>
      </c>
      <c r="EO27" t="str">
        <v>LOOR ALCIVAR MARIA ILIANA</v>
      </c>
      <c r="EP27" t="str">
        <v>LOOR MIELES TANIA JACQUELINE</v>
      </c>
      <c r="EQ27" t="str">
        <v>LOOR SOLORZANO ROSA MARIA</v>
      </c>
      <c r="ER27" t="str">
        <v>LOPEZ DELGADO RONALD MAURICIO</v>
      </c>
      <c r="ES27" t="str">
        <v>MACIAS VALENCIA DAVID GABRIEL</v>
      </c>
      <c r="ET27" t="str">
        <v>MENDOZA ZAMORA WALTER MANUEL</v>
      </c>
      <c r="EU27" t="str">
        <v>MOLINA CEVALLOS MARIA LORENA</v>
      </c>
      <c r="EV27" t="str">
        <v>MURILLO DELGADO ISAAC GABRIEL</v>
      </c>
      <c r="EW27" t="str">
        <v>ANGULO MURILLO NAVIRA GISSELA</v>
      </c>
      <c r="EX27" t="str">
        <v>OCHOA SOLEDISPA NESTOR IVAN</v>
      </c>
      <c r="EY27" t="str">
        <v>PARRAGA FRANCO SILVANA MARIELA</v>
      </c>
      <c r="EZ27" t="str">
        <v>PINARGOTE VASQUEZ NANCY FABIOLA</v>
      </c>
      <c r="FA27" t="str">
        <v>REYES VELEZ PEDRO ENRIQUE</v>
      </c>
      <c r="FB27" t="str">
        <v>SAN ANDRES HORMAZA DALLAS CECILIA</v>
      </c>
      <c r="FC27" t="str">
        <v>SORNOZA ZAMORA JUAN CARLOS</v>
      </c>
      <c r="FD27" t="str">
        <v>TOMALA PINTO JESUS JACINTO</v>
      </c>
      <c r="FE27" t="str">
        <v>VALLE JARAMILLO SILVIA ARACELY</v>
      </c>
      <c r="FF27" t="str">
        <v>VELÁSQUEZ BRAVO IRMA KATHERINE</v>
      </c>
      <c r="FG27" t="str">
        <v>VELEZ MENDOZA LAYSY VALERIA</v>
      </c>
      <c r="FH27" t="str">
        <v>VINUEZA TELLO SHIRLEY ELIZABETH</v>
      </c>
      <c r="FI27" t="str">
        <v>ZAMBRANO ALCIVAR NILDA ISABEL</v>
      </c>
      <c r="FJ27" t="str">
        <v>ZAMBRANO LOOR RITA MAYDA</v>
      </c>
      <c r="FK27" t="str">
        <v>ZAMBRANO VERA MONICA JANETH</v>
      </c>
      <c r="FL27" t="str">
        <v>VERA DELGADO BRYAN ADRIÁN</v>
      </c>
      <c r="FM27" t="str">
        <v>MORAN GONZALES DAVID RENATO</v>
      </c>
      <c r="FN27">
        <v>0</v>
      </c>
    </row>
    <row r="28" spans="1:170" ht="20.25" customHeight="1">
      <c r="A28" s="4" t="str" cm="1">
        <f t="array" ref="A28">TRANSPOSE(_xlfn.UNIQUE(_xlfn._xlws.FILTER(MAE_ASIGNATURA[ID_NIVEL],MAE_ASIGNATURA[ID_CARRERA]=ASIGNACION!$C28,"No existe información")))</f>
        <v>No existe información</v>
      </c>
      <c r="S28" s="4" t="str" cm="1">
        <f t="array" ref="S28">TRANSPOSE(_xlfn.UNIQUE(_xlfn._xlws.FILTER(MAE_ASIGNATURA[NOM_ASIG],(MAE_ASIGNATURA[ID_NIVEL]=ASIGNACION!$D28)*(MAE_ASIGNATURA[ID_CARRERA]=ASIGNACION!$C28),"No existe información")))</f>
        <v>No existe información</v>
      </c>
      <c r="BD28" s="4" t="str" cm="1">
        <f t="array" ref="BD28">TRANSPOSE(_xlfn.UNIQUE(_xlfn._xlws.FILTER(DET_ASIG[DETALLADO],(DET_ASIG[ID_CARRERA]=ASIGNACION!$C28)*(DET_ASIG[NIVEL]=ASIGNACION!$D28)*(DET_ASIG[ID_ASIG]=ASIGNACION!$G28),"No existe información")))</f>
        <v>No existe información</v>
      </c>
      <c r="BQ28" s="5" t="str" cm="1">
        <f t="array" ref="BQ28">IFERROR(
    TRANSPOSE(
        _xlfn.UNIQUE(
            _xlfn._xlws.FILTER(MAESTRIA_DETALLADO[MAESTRIA],
                ISNUMBER(MATCH(MAESTRIA_DETALLADO[CAMPO_DETALLADO],
                BD28:BP28,0))
            )
        )
    ),IF(BD28="ACTIVIDAD","DOCENCIA",""))</f>
        <v/>
      </c>
      <c r="EA28" s="5" t="str" cm="1">
        <f t="array" ref="EA28:FN28">IF(
    ASIGNACION!I28="SI",
    IFERROR(
        TRANSPOSE(
            _xlfn.UNIQUE(
                _xlfn._xlws.FILTER(EDU_DOCENTE[NOMBRE_DOCENTE],
                    ISNUMBER(MATCH(EDU_DOCENTE[MAESTRIA],
                    BQ28:DY28,0))
                )
            )
        ),
        ""
    ),
    TRANSPOSE(
        _xlfn.UNIQUE(EDU_DOCENTE[NOMBRE_DOCENTE]
        )
    )
)</f>
        <v>ALCIVAR CEDEÑO BEATRIZ ISABEL</v>
      </c>
      <c r="EB28" t="str">
        <v>ALCIVAR VERA GEMA MICHELLE</v>
      </c>
      <c r="EC28" t="str">
        <v>ARAUZ CHAVEZ MARIO ROBERTO</v>
      </c>
      <c r="ED28" t="str">
        <v>BAILON LOURIDO WALTER ALBERTO</v>
      </c>
      <c r="EE28" t="str">
        <v>CALDERERO VILLAGOMEZ ERICK ANTONIO</v>
      </c>
      <c r="EF28" t="str">
        <v>CASTILLO GARCIA PAOLA GERMANIA</v>
      </c>
      <c r="EG28" t="str">
        <v>CEDEÑO CHOEZ PEDRO JAVIER</v>
      </c>
      <c r="EH28" t="str">
        <v>CEVALLOS HOPPE JUAN CARLOS</v>
      </c>
      <c r="EI28" t="str">
        <v>DELGADO CHAVEZ MARIA IRASEMA</v>
      </c>
      <c r="EJ28" t="str">
        <v>DUARTE VALENCIA CRISTHIAN DARIO</v>
      </c>
      <c r="EK28" t="str">
        <v>FORTTY BARBERAN DENNY ALEXANDER</v>
      </c>
      <c r="EL28" t="str">
        <v>GUTIERREZ ZAMBRANO CARMEN EBELINA</v>
      </c>
      <c r="EM28" t="str">
        <v>INTRIAGO MOLINA GEMA VALERIA</v>
      </c>
      <c r="EN28" t="str">
        <v>LINO VELEZ LEONEL LIVINGTON</v>
      </c>
      <c r="EO28" t="str">
        <v>LOOR ALCIVAR MARIA ILIANA</v>
      </c>
      <c r="EP28" t="str">
        <v>LOOR MIELES TANIA JACQUELINE</v>
      </c>
      <c r="EQ28" t="str">
        <v>LOOR SOLORZANO ROSA MARIA</v>
      </c>
      <c r="ER28" t="str">
        <v>LOPEZ DELGADO RONALD MAURICIO</v>
      </c>
      <c r="ES28" t="str">
        <v>MACIAS VALENCIA DAVID GABRIEL</v>
      </c>
      <c r="ET28" t="str">
        <v>MENDOZA ZAMORA WALTER MANUEL</v>
      </c>
      <c r="EU28" t="str">
        <v>MOLINA CEVALLOS MARIA LORENA</v>
      </c>
      <c r="EV28" t="str">
        <v>MURILLO DELGADO ISAAC GABRIEL</v>
      </c>
      <c r="EW28" t="str">
        <v>ANGULO MURILLO NAVIRA GISSELA</v>
      </c>
      <c r="EX28" t="str">
        <v>OCHOA SOLEDISPA NESTOR IVAN</v>
      </c>
      <c r="EY28" t="str">
        <v>PARRAGA FRANCO SILVANA MARIELA</v>
      </c>
      <c r="EZ28" t="str">
        <v>PINARGOTE VASQUEZ NANCY FABIOLA</v>
      </c>
      <c r="FA28" t="str">
        <v>REYES VELEZ PEDRO ENRIQUE</v>
      </c>
      <c r="FB28" t="str">
        <v>SAN ANDRES HORMAZA DALLAS CECILIA</v>
      </c>
      <c r="FC28" t="str">
        <v>SORNOZA ZAMORA JUAN CARLOS</v>
      </c>
      <c r="FD28" t="str">
        <v>TOMALA PINTO JESUS JACINTO</v>
      </c>
      <c r="FE28" t="str">
        <v>VALLE JARAMILLO SILVIA ARACELY</v>
      </c>
      <c r="FF28" t="str">
        <v>VELÁSQUEZ BRAVO IRMA KATHERINE</v>
      </c>
      <c r="FG28" t="str">
        <v>VELEZ MENDOZA LAYSY VALERIA</v>
      </c>
      <c r="FH28" t="str">
        <v>VINUEZA TELLO SHIRLEY ELIZABETH</v>
      </c>
      <c r="FI28" t="str">
        <v>ZAMBRANO ALCIVAR NILDA ISABEL</v>
      </c>
      <c r="FJ28" t="str">
        <v>ZAMBRANO LOOR RITA MAYDA</v>
      </c>
      <c r="FK28" t="str">
        <v>ZAMBRANO VERA MONICA JANETH</v>
      </c>
      <c r="FL28" t="str">
        <v>VERA DELGADO BRYAN ADRIÁN</v>
      </c>
      <c r="FM28" t="str">
        <v>MORAN GONZALES DAVID RENATO</v>
      </c>
      <c r="FN28">
        <v>0</v>
      </c>
    </row>
    <row r="29" spans="1:170" ht="20.25" customHeight="1">
      <c r="A29" s="4" t="str" cm="1">
        <f t="array" ref="A29">TRANSPOSE(_xlfn.UNIQUE(_xlfn._xlws.FILTER(MAE_ASIGNATURA[ID_NIVEL],MAE_ASIGNATURA[ID_CARRERA]=ASIGNACION!$C29,"No existe información")))</f>
        <v>No existe información</v>
      </c>
      <c r="S29" s="4" t="str" cm="1">
        <f t="array" ref="S29">TRANSPOSE(_xlfn.UNIQUE(_xlfn._xlws.FILTER(MAE_ASIGNATURA[NOM_ASIG],(MAE_ASIGNATURA[ID_NIVEL]=ASIGNACION!$D29)*(MAE_ASIGNATURA[ID_CARRERA]=ASIGNACION!$C29),"No existe información")))</f>
        <v>No existe información</v>
      </c>
      <c r="BD29" s="4" t="str" cm="1">
        <f t="array" ref="BD29">TRANSPOSE(_xlfn.UNIQUE(_xlfn._xlws.FILTER(DET_ASIG[DETALLADO],(DET_ASIG[ID_CARRERA]=ASIGNACION!$C29)*(DET_ASIG[NIVEL]=ASIGNACION!$D29)*(DET_ASIG[ID_ASIG]=ASIGNACION!$G29),"No existe información")))</f>
        <v>No existe información</v>
      </c>
      <c r="BQ29" s="5" t="str" cm="1">
        <f t="array" ref="BQ29">IFERROR(
    TRANSPOSE(
        _xlfn.UNIQUE(
            _xlfn._xlws.FILTER(MAESTRIA_DETALLADO[MAESTRIA],
                ISNUMBER(MATCH(MAESTRIA_DETALLADO[CAMPO_DETALLADO],
                BD29:BP29,0))
            )
        )
    ),IF(BD29="ACTIVIDAD","DOCENCIA",""))</f>
        <v/>
      </c>
      <c r="EA29" s="5" t="str" cm="1">
        <f t="array" ref="EA29:FN29">IF(
    ASIGNACION!I29="SI",
    IFERROR(
        TRANSPOSE(
            _xlfn.UNIQUE(
                _xlfn._xlws.FILTER(EDU_DOCENTE[NOMBRE_DOCENTE],
                    ISNUMBER(MATCH(EDU_DOCENTE[MAESTRIA],
                    BQ29:DY29,0))
                )
            )
        ),
        ""
    ),
    TRANSPOSE(
        _xlfn.UNIQUE(EDU_DOCENTE[NOMBRE_DOCENTE]
        )
    )
)</f>
        <v>ALCIVAR CEDEÑO BEATRIZ ISABEL</v>
      </c>
      <c r="EB29" t="str">
        <v>ALCIVAR VERA GEMA MICHELLE</v>
      </c>
      <c r="EC29" t="str">
        <v>ARAUZ CHAVEZ MARIO ROBERTO</v>
      </c>
      <c r="ED29" t="str">
        <v>BAILON LOURIDO WALTER ALBERTO</v>
      </c>
      <c r="EE29" t="str">
        <v>CALDERERO VILLAGOMEZ ERICK ANTONIO</v>
      </c>
      <c r="EF29" t="str">
        <v>CASTILLO GARCIA PAOLA GERMANIA</v>
      </c>
      <c r="EG29" t="str">
        <v>CEDEÑO CHOEZ PEDRO JAVIER</v>
      </c>
      <c r="EH29" t="str">
        <v>CEVALLOS HOPPE JUAN CARLOS</v>
      </c>
      <c r="EI29" t="str">
        <v>DELGADO CHAVEZ MARIA IRASEMA</v>
      </c>
      <c r="EJ29" t="str">
        <v>DUARTE VALENCIA CRISTHIAN DARIO</v>
      </c>
      <c r="EK29" t="str">
        <v>FORTTY BARBERAN DENNY ALEXANDER</v>
      </c>
      <c r="EL29" t="str">
        <v>GUTIERREZ ZAMBRANO CARMEN EBELINA</v>
      </c>
      <c r="EM29" t="str">
        <v>INTRIAGO MOLINA GEMA VALERIA</v>
      </c>
      <c r="EN29" t="str">
        <v>LINO VELEZ LEONEL LIVINGTON</v>
      </c>
      <c r="EO29" t="str">
        <v>LOOR ALCIVAR MARIA ILIANA</v>
      </c>
      <c r="EP29" t="str">
        <v>LOOR MIELES TANIA JACQUELINE</v>
      </c>
      <c r="EQ29" t="str">
        <v>LOOR SOLORZANO ROSA MARIA</v>
      </c>
      <c r="ER29" t="str">
        <v>LOPEZ DELGADO RONALD MAURICIO</v>
      </c>
      <c r="ES29" t="str">
        <v>MACIAS VALENCIA DAVID GABRIEL</v>
      </c>
      <c r="ET29" t="str">
        <v>MENDOZA ZAMORA WALTER MANUEL</v>
      </c>
      <c r="EU29" t="str">
        <v>MOLINA CEVALLOS MARIA LORENA</v>
      </c>
      <c r="EV29" t="str">
        <v>MURILLO DELGADO ISAAC GABRIEL</v>
      </c>
      <c r="EW29" t="str">
        <v>ANGULO MURILLO NAVIRA GISSELA</v>
      </c>
      <c r="EX29" t="str">
        <v>OCHOA SOLEDISPA NESTOR IVAN</v>
      </c>
      <c r="EY29" t="str">
        <v>PARRAGA FRANCO SILVANA MARIELA</v>
      </c>
      <c r="EZ29" t="str">
        <v>PINARGOTE VASQUEZ NANCY FABIOLA</v>
      </c>
      <c r="FA29" t="str">
        <v>REYES VELEZ PEDRO ENRIQUE</v>
      </c>
      <c r="FB29" t="str">
        <v>SAN ANDRES HORMAZA DALLAS CECILIA</v>
      </c>
      <c r="FC29" t="str">
        <v>SORNOZA ZAMORA JUAN CARLOS</v>
      </c>
      <c r="FD29" t="str">
        <v>TOMALA PINTO JESUS JACINTO</v>
      </c>
      <c r="FE29" t="str">
        <v>VALLE JARAMILLO SILVIA ARACELY</v>
      </c>
      <c r="FF29" t="str">
        <v>VELÁSQUEZ BRAVO IRMA KATHERINE</v>
      </c>
      <c r="FG29" t="str">
        <v>VELEZ MENDOZA LAYSY VALERIA</v>
      </c>
      <c r="FH29" t="str">
        <v>VINUEZA TELLO SHIRLEY ELIZABETH</v>
      </c>
      <c r="FI29" t="str">
        <v>ZAMBRANO ALCIVAR NILDA ISABEL</v>
      </c>
      <c r="FJ29" t="str">
        <v>ZAMBRANO LOOR RITA MAYDA</v>
      </c>
      <c r="FK29" t="str">
        <v>ZAMBRANO VERA MONICA JANETH</v>
      </c>
      <c r="FL29" t="str">
        <v>VERA DELGADO BRYAN ADRIÁN</v>
      </c>
      <c r="FM29" t="str">
        <v>MORAN GONZALES DAVID RENATO</v>
      </c>
      <c r="FN29">
        <v>0</v>
      </c>
    </row>
    <row r="30" spans="1:170" ht="20.25" customHeight="1">
      <c r="A30" s="4" t="str" cm="1">
        <f t="array" ref="A30">TRANSPOSE(_xlfn.UNIQUE(_xlfn._xlws.FILTER(MAE_ASIGNATURA[ID_NIVEL],MAE_ASIGNATURA[ID_CARRERA]=ASIGNACION!$C30,"No existe información")))</f>
        <v>No existe información</v>
      </c>
      <c r="S30" s="4" t="str" cm="1">
        <f t="array" ref="S30">TRANSPOSE(_xlfn.UNIQUE(_xlfn._xlws.FILTER(MAE_ASIGNATURA[NOM_ASIG],(MAE_ASIGNATURA[ID_NIVEL]=ASIGNACION!$D30)*(MAE_ASIGNATURA[ID_CARRERA]=ASIGNACION!$C30),"No existe información")))</f>
        <v>No existe información</v>
      </c>
      <c r="BD30" s="4" t="str" cm="1">
        <f t="array" ref="BD30">TRANSPOSE(_xlfn.UNIQUE(_xlfn._xlws.FILTER(DET_ASIG[DETALLADO],(DET_ASIG[ID_CARRERA]=ASIGNACION!$C30)*(DET_ASIG[NIVEL]=ASIGNACION!$D30)*(DET_ASIG[ID_ASIG]=ASIGNACION!$G30),"No existe información")))</f>
        <v>No existe información</v>
      </c>
      <c r="BQ30" s="5" t="str" cm="1">
        <f t="array" ref="BQ30">IFERROR(
    TRANSPOSE(
        _xlfn.UNIQUE(
            _xlfn._xlws.FILTER(MAESTRIA_DETALLADO[MAESTRIA],
                ISNUMBER(MATCH(MAESTRIA_DETALLADO[CAMPO_DETALLADO],
                BD30:BP30,0))
            )
        )
    ),IF(BD30="ACTIVIDAD","DOCENCIA",""))</f>
        <v/>
      </c>
      <c r="EA30" s="5" t="str" cm="1">
        <f t="array" ref="EA30:FN30">IF(
    ASIGNACION!I30="SI",
    IFERROR(
        TRANSPOSE(
            _xlfn.UNIQUE(
                _xlfn._xlws.FILTER(EDU_DOCENTE[NOMBRE_DOCENTE],
                    ISNUMBER(MATCH(EDU_DOCENTE[MAESTRIA],
                    BQ30:DY30,0))
                )
            )
        ),
        ""
    ),
    TRANSPOSE(
        _xlfn.UNIQUE(EDU_DOCENTE[NOMBRE_DOCENTE]
        )
    )
)</f>
        <v>ALCIVAR CEDEÑO BEATRIZ ISABEL</v>
      </c>
      <c r="EB30" t="str">
        <v>ALCIVAR VERA GEMA MICHELLE</v>
      </c>
      <c r="EC30" t="str">
        <v>ARAUZ CHAVEZ MARIO ROBERTO</v>
      </c>
      <c r="ED30" t="str">
        <v>BAILON LOURIDO WALTER ALBERTO</v>
      </c>
      <c r="EE30" t="str">
        <v>CALDERERO VILLAGOMEZ ERICK ANTONIO</v>
      </c>
      <c r="EF30" t="str">
        <v>CASTILLO GARCIA PAOLA GERMANIA</v>
      </c>
      <c r="EG30" t="str">
        <v>CEDEÑO CHOEZ PEDRO JAVIER</v>
      </c>
      <c r="EH30" t="str">
        <v>CEVALLOS HOPPE JUAN CARLOS</v>
      </c>
      <c r="EI30" t="str">
        <v>DELGADO CHAVEZ MARIA IRASEMA</v>
      </c>
      <c r="EJ30" t="str">
        <v>DUARTE VALENCIA CRISTHIAN DARIO</v>
      </c>
      <c r="EK30" t="str">
        <v>FORTTY BARBERAN DENNY ALEXANDER</v>
      </c>
      <c r="EL30" t="str">
        <v>GUTIERREZ ZAMBRANO CARMEN EBELINA</v>
      </c>
      <c r="EM30" t="str">
        <v>INTRIAGO MOLINA GEMA VALERIA</v>
      </c>
      <c r="EN30" t="str">
        <v>LINO VELEZ LEONEL LIVINGTON</v>
      </c>
      <c r="EO30" t="str">
        <v>LOOR ALCIVAR MARIA ILIANA</v>
      </c>
      <c r="EP30" t="str">
        <v>LOOR MIELES TANIA JACQUELINE</v>
      </c>
      <c r="EQ30" t="str">
        <v>LOOR SOLORZANO ROSA MARIA</v>
      </c>
      <c r="ER30" t="str">
        <v>LOPEZ DELGADO RONALD MAURICIO</v>
      </c>
      <c r="ES30" t="str">
        <v>MACIAS VALENCIA DAVID GABRIEL</v>
      </c>
      <c r="ET30" t="str">
        <v>MENDOZA ZAMORA WALTER MANUEL</v>
      </c>
      <c r="EU30" t="str">
        <v>MOLINA CEVALLOS MARIA LORENA</v>
      </c>
      <c r="EV30" t="str">
        <v>MURILLO DELGADO ISAAC GABRIEL</v>
      </c>
      <c r="EW30" t="str">
        <v>ANGULO MURILLO NAVIRA GISSELA</v>
      </c>
      <c r="EX30" t="str">
        <v>OCHOA SOLEDISPA NESTOR IVAN</v>
      </c>
      <c r="EY30" t="str">
        <v>PARRAGA FRANCO SILVANA MARIELA</v>
      </c>
      <c r="EZ30" t="str">
        <v>PINARGOTE VASQUEZ NANCY FABIOLA</v>
      </c>
      <c r="FA30" t="str">
        <v>REYES VELEZ PEDRO ENRIQUE</v>
      </c>
      <c r="FB30" t="str">
        <v>SAN ANDRES HORMAZA DALLAS CECILIA</v>
      </c>
      <c r="FC30" t="str">
        <v>SORNOZA ZAMORA JUAN CARLOS</v>
      </c>
      <c r="FD30" t="str">
        <v>TOMALA PINTO JESUS JACINTO</v>
      </c>
      <c r="FE30" t="str">
        <v>VALLE JARAMILLO SILVIA ARACELY</v>
      </c>
      <c r="FF30" t="str">
        <v>VELÁSQUEZ BRAVO IRMA KATHERINE</v>
      </c>
      <c r="FG30" t="str">
        <v>VELEZ MENDOZA LAYSY VALERIA</v>
      </c>
      <c r="FH30" t="str">
        <v>VINUEZA TELLO SHIRLEY ELIZABETH</v>
      </c>
      <c r="FI30" t="str">
        <v>ZAMBRANO ALCIVAR NILDA ISABEL</v>
      </c>
      <c r="FJ30" t="str">
        <v>ZAMBRANO LOOR RITA MAYDA</v>
      </c>
      <c r="FK30" t="str">
        <v>ZAMBRANO VERA MONICA JANETH</v>
      </c>
      <c r="FL30" t="str">
        <v>VERA DELGADO BRYAN ADRIÁN</v>
      </c>
      <c r="FM30" t="str">
        <v>MORAN GONZALES DAVID RENATO</v>
      </c>
      <c r="FN30">
        <v>0</v>
      </c>
    </row>
    <row r="31" spans="1:170" ht="20.25" customHeight="1">
      <c r="A31" s="4" t="str" cm="1">
        <f t="array" ref="A31">TRANSPOSE(_xlfn.UNIQUE(_xlfn._xlws.FILTER(MAE_ASIGNATURA[ID_NIVEL],MAE_ASIGNATURA[ID_CARRERA]=ASIGNACION!$C31,"No existe información")))</f>
        <v>No existe información</v>
      </c>
      <c r="S31" s="4" t="str" cm="1">
        <f t="array" ref="S31">TRANSPOSE(_xlfn.UNIQUE(_xlfn._xlws.FILTER(MAE_ASIGNATURA[NOM_ASIG],(MAE_ASIGNATURA[ID_NIVEL]=ASIGNACION!$D31)*(MAE_ASIGNATURA[ID_CARRERA]=ASIGNACION!$C31),"No existe información")))</f>
        <v>No existe información</v>
      </c>
      <c r="BD31" s="4" t="str" cm="1">
        <f t="array" ref="BD31">TRANSPOSE(_xlfn.UNIQUE(_xlfn._xlws.FILTER(DET_ASIG[DETALLADO],(DET_ASIG[ID_CARRERA]=ASIGNACION!$C31)*(DET_ASIG[NIVEL]=ASIGNACION!$D31)*(DET_ASIG[ID_ASIG]=ASIGNACION!$G31),"No existe información")))</f>
        <v>No existe información</v>
      </c>
      <c r="BQ31" s="5" t="str" cm="1">
        <f t="array" ref="BQ31">IFERROR(
    TRANSPOSE(
        _xlfn.UNIQUE(
            _xlfn._xlws.FILTER(MAESTRIA_DETALLADO[MAESTRIA],
                ISNUMBER(MATCH(MAESTRIA_DETALLADO[CAMPO_DETALLADO],
                BD31:BP31,0))
            )
        )
    ),IF(BD31="ACTIVIDAD","DOCENCIA",""))</f>
        <v/>
      </c>
      <c r="EA31" s="5" t="str" cm="1">
        <f t="array" ref="EA31:FN31">IF(
    ASIGNACION!I31="SI",
    IFERROR(
        TRANSPOSE(
            _xlfn.UNIQUE(
                _xlfn._xlws.FILTER(EDU_DOCENTE[NOMBRE_DOCENTE],
                    ISNUMBER(MATCH(EDU_DOCENTE[MAESTRIA],
                    BQ31:DY31,0))
                )
            )
        ),
        ""
    ),
    TRANSPOSE(
        _xlfn.UNIQUE(EDU_DOCENTE[NOMBRE_DOCENTE]
        )
    )
)</f>
        <v>ALCIVAR CEDEÑO BEATRIZ ISABEL</v>
      </c>
      <c r="EB31" t="str">
        <v>ALCIVAR VERA GEMA MICHELLE</v>
      </c>
      <c r="EC31" t="str">
        <v>ARAUZ CHAVEZ MARIO ROBERTO</v>
      </c>
      <c r="ED31" t="str">
        <v>BAILON LOURIDO WALTER ALBERTO</v>
      </c>
      <c r="EE31" t="str">
        <v>CALDERERO VILLAGOMEZ ERICK ANTONIO</v>
      </c>
      <c r="EF31" t="str">
        <v>CASTILLO GARCIA PAOLA GERMANIA</v>
      </c>
      <c r="EG31" t="str">
        <v>CEDEÑO CHOEZ PEDRO JAVIER</v>
      </c>
      <c r="EH31" t="str">
        <v>CEVALLOS HOPPE JUAN CARLOS</v>
      </c>
      <c r="EI31" t="str">
        <v>DELGADO CHAVEZ MARIA IRASEMA</v>
      </c>
      <c r="EJ31" t="str">
        <v>DUARTE VALENCIA CRISTHIAN DARIO</v>
      </c>
      <c r="EK31" t="str">
        <v>FORTTY BARBERAN DENNY ALEXANDER</v>
      </c>
      <c r="EL31" t="str">
        <v>GUTIERREZ ZAMBRANO CARMEN EBELINA</v>
      </c>
      <c r="EM31" t="str">
        <v>INTRIAGO MOLINA GEMA VALERIA</v>
      </c>
      <c r="EN31" t="str">
        <v>LINO VELEZ LEONEL LIVINGTON</v>
      </c>
      <c r="EO31" t="str">
        <v>LOOR ALCIVAR MARIA ILIANA</v>
      </c>
      <c r="EP31" t="str">
        <v>LOOR MIELES TANIA JACQUELINE</v>
      </c>
      <c r="EQ31" t="str">
        <v>LOOR SOLORZANO ROSA MARIA</v>
      </c>
      <c r="ER31" t="str">
        <v>LOPEZ DELGADO RONALD MAURICIO</v>
      </c>
      <c r="ES31" t="str">
        <v>MACIAS VALENCIA DAVID GABRIEL</v>
      </c>
      <c r="ET31" t="str">
        <v>MENDOZA ZAMORA WALTER MANUEL</v>
      </c>
      <c r="EU31" t="str">
        <v>MOLINA CEVALLOS MARIA LORENA</v>
      </c>
      <c r="EV31" t="str">
        <v>MURILLO DELGADO ISAAC GABRIEL</v>
      </c>
      <c r="EW31" t="str">
        <v>ANGULO MURILLO NAVIRA GISSELA</v>
      </c>
      <c r="EX31" t="str">
        <v>OCHOA SOLEDISPA NESTOR IVAN</v>
      </c>
      <c r="EY31" t="str">
        <v>PARRAGA FRANCO SILVANA MARIELA</v>
      </c>
      <c r="EZ31" t="str">
        <v>PINARGOTE VASQUEZ NANCY FABIOLA</v>
      </c>
      <c r="FA31" t="str">
        <v>REYES VELEZ PEDRO ENRIQUE</v>
      </c>
      <c r="FB31" t="str">
        <v>SAN ANDRES HORMAZA DALLAS CECILIA</v>
      </c>
      <c r="FC31" t="str">
        <v>SORNOZA ZAMORA JUAN CARLOS</v>
      </c>
      <c r="FD31" t="str">
        <v>TOMALA PINTO JESUS JACINTO</v>
      </c>
      <c r="FE31" t="str">
        <v>VALLE JARAMILLO SILVIA ARACELY</v>
      </c>
      <c r="FF31" t="str">
        <v>VELÁSQUEZ BRAVO IRMA KATHERINE</v>
      </c>
      <c r="FG31" t="str">
        <v>VELEZ MENDOZA LAYSY VALERIA</v>
      </c>
      <c r="FH31" t="str">
        <v>VINUEZA TELLO SHIRLEY ELIZABETH</v>
      </c>
      <c r="FI31" t="str">
        <v>ZAMBRANO ALCIVAR NILDA ISABEL</v>
      </c>
      <c r="FJ31" t="str">
        <v>ZAMBRANO LOOR RITA MAYDA</v>
      </c>
      <c r="FK31" t="str">
        <v>ZAMBRANO VERA MONICA JANETH</v>
      </c>
      <c r="FL31" t="str">
        <v>VERA DELGADO BRYAN ADRIÁN</v>
      </c>
      <c r="FM31" t="str">
        <v>MORAN GONZALES DAVID RENATO</v>
      </c>
      <c r="FN31">
        <v>0</v>
      </c>
    </row>
    <row r="32" spans="1:170" ht="20.25" customHeight="1">
      <c r="A32" s="4" t="str" cm="1">
        <f t="array" ref="A32">TRANSPOSE(_xlfn.UNIQUE(_xlfn._xlws.FILTER(MAE_ASIGNATURA[ID_NIVEL],MAE_ASIGNATURA[ID_CARRERA]=ASIGNACION!$C32,"No existe información")))</f>
        <v>No existe información</v>
      </c>
      <c r="S32" s="4" t="str" cm="1">
        <f t="array" ref="S32">TRANSPOSE(_xlfn.UNIQUE(_xlfn._xlws.FILTER(MAE_ASIGNATURA[NOM_ASIG],(MAE_ASIGNATURA[ID_NIVEL]=ASIGNACION!$D32)*(MAE_ASIGNATURA[ID_CARRERA]=ASIGNACION!$C32),"No existe información")))</f>
        <v>No existe información</v>
      </c>
      <c r="BD32" s="4" t="str" cm="1">
        <f t="array" ref="BD32">TRANSPOSE(_xlfn.UNIQUE(_xlfn._xlws.FILTER(DET_ASIG[DETALLADO],(DET_ASIG[ID_CARRERA]=ASIGNACION!$C32)*(DET_ASIG[NIVEL]=ASIGNACION!$D32)*(DET_ASIG[ID_ASIG]=ASIGNACION!$G32),"No existe información")))</f>
        <v>No existe información</v>
      </c>
      <c r="BQ32" s="5" t="str" cm="1">
        <f t="array" ref="BQ32">IFERROR(
    TRANSPOSE(
        _xlfn.UNIQUE(
            _xlfn._xlws.FILTER(MAESTRIA_DETALLADO[MAESTRIA],
                ISNUMBER(MATCH(MAESTRIA_DETALLADO[CAMPO_DETALLADO],
                BD32:BP32,0))
            )
        )
    ),IF(BD32="ACTIVIDAD","DOCENCIA",""))</f>
        <v/>
      </c>
      <c r="EA32" s="5" t="str" cm="1">
        <f t="array" ref="EA32:FN32">IF(
    ASIGNACION!I32="SI",
    IFERROR(
        TRANSPOSE(
            _xlfn.UNIQUE(
                _xlfn._xlws.FILTER(EDU_DOCENTE[NOMBRE_DOCENTE],
                    ISNUMBER(MATCH(EDU_DOCENTE[MAESTRIA],
                    BQ32:DY32,0))
                )
            )
        ),
        ""
    ),
    TRANSPOSE(
        _xlfn.UNIQUE(EDU_DOCENTE[NOMBRE_DOCENTE]
        )
    )
)</f>
        <v>ALCIVAR CEDEÑO BEATRIZ ISABEL</v>
      </c>
      <c r="EB32" t="str">
        <v>ALCIVAR VERA GEMA MICHELLE</v>
      </c>
      <c r="EC32" t="str">
        <v>ARAUZ CHAVEZ MARIO ROBERTO</v>
      </c>
      <c r="ED32" t="str">
        <v>BAILON LOURIDO WALTER ALBERTO</v>
      </c>
      <c r="EE32" t="str">
        <v>CALDERERO VILLAGOMEZ ERICK ANTONIO</v>
      </c>
      <c r="EF32" t="str">
        <v>CASTILLO GARCIA PAOLA GERMANIA</v>
      </c>
      <c r="EG32" t="str">
        <v>CEDEÑO CHOEZ PEDRO JAVIER</v>
      </c>
      <c r="EH32" t="str">
        <v>CEVALLOS HOPPE JUAN CARLOS</v>
      </c>
      <c r="EI32" t="str">
        <v>DELGADO CHAVEZ MARIA IRASEMA</v>
      </c>
      <c r="EJ32" t="str">
        <v>DUARTE VALENCIA CRISTHIAN DARIO</v>
      </c>
      <c r="EK32" t="str">
        <v>FORTTY BARBERAN DENNY ALEXANDER</v>
      </c>
      <c r="EL32" t="str">
        <v>GUTIERREZ ZAMBRANO CARMEN EBELINA</v>
      </c>
      <c r="EM32" t="str">
        <v>INTRIAGO MOLINA GEMA VALERIA</v>
      </c>
      <c r="EN32" t="str">
        <v>LINO VELEZ LEONEL LIVINGTON</v>
      </c>
      <c r="EO32" t="str">
        <v>LOOR ALCIVAR MARIA ILIANA</v>
      </c>
      <c r="EP32" t="str">
        <v>LOOR MIELES TANIA JACQUELINE</v>
      </c>
      <c r="EQ32" t="str">
        <v>LOOR SOLORZANO ROSA MARIA</v>
      </c>
      <c r="ER32" t="str">
        <v>LOPEZ DELGADO RONALD MAURICIO</v>
      </c>
      <c r="ES32" t="str">
        <v>MACIAS VALENCIA DAVID GABRIEL</v>
      </c>
      <c r="ET32" t="str">
        <v>MENDOZA ZAMORA WALTER MANUEL</v>
      </c>
      <c r="EU32" t="str">
        <v>MOLINA CEVALLOS MARIA LORENA</v>
      </c>
      <c r="EV32" t="str">
        <v>MURILLO DELGADO ISAAC GABRIEL</v>
      </c>
      <c r="EW32" t="str">
        <v>ANGULO MURILLO NAVIRA GISSELA</v>
      </c>
      <c r="EX32" t="str">
        <v>OCHOA SOLEDISPA NESTOR IVAN</v>
      </c>
      <c r="EY32" t="str">
        <v>PARRAGA FRANCO SILVANA MARIELA</v>
      </c>
      <c r="EZ32" t="str">
        <v>PINARGOTE VASQUEZ NANCY FABIOLA</v>
      </c>
      <c r="FA32" t="str">
        <v>REYES VELEZ PEDRO ENRIQUE</v>
      </c>
      <c r="FB32" t="str">
        <v>SAN ANDRES HORMAZA DALLAS CECILIA</v>
      </c>
      <c r="FC32" t="str">
        <v>SORNOZA ZAMORA JUAN CARLOS</v>
      </c>
      <c r="FD32" t="str">
        <v>TOMALA PINTO JESUS JACINTO</v>
      </c>
      <c r="FE32" t="str">
        <v>VALLE JARAMILLO SILVIA ARACELY</v>
      </c>
      <c r="FF32" t="str">
        <v>VELÁSQUEZ BRAVO IRMA KATHERINE</v>
      </c>
      <c r="FG32" t="str">
        <v>VELEZ MENDOZA LAYSY VALERIA</v>
      </c>
      <c r="FH32" t="str">
        <v>VINUEZA TELLO SHIRLEY ELIZABETH</v>
      </c>
      <c r="FI32" t="str">
        <v>ZAMBRANO ALCIVAR NILDA ISABEL</v>
      </c>
      <c r="FJ32" t="str">
        <v>ZAMBRANO LOOR RITA MAYDA</v>
      </c>
      <c r="FK32" t="str">
        <v>ZAMBRANO VERA MONICA JANETH</v>
      </c>
      <c r="FL32" t="str">
        <v>VERA DELGADO BRYAN ADRIÁN</v>
      </c>
      <c r="FM32" t="str">
        <v>MORAN GONZALES DAVID RENATO</v>
      </c>
      <c r="FN32">
        <v>0</v>
      </c>
    </row>
    <row r="33" spans="1:170" ht="20.25" customHeight="1">
      <c r="A33" s="4" t="str" cm="1">
        <f t="array" ref="A33">TRANSPOSE(_xlfn.UNIQUE(_xlfn._xlws.FILTER(MAE_ASIGNATURA[ID_NIVEL],MAE_ASIGNATURA[ID_CARRERA]=ASIGNACION!$C33,"No existe información")))</f>
        <v>No existe información</v>
      </c>
      <c r="S33" s="4" t="str" cm="1">
        <f t="array" ref="S33">TRANSPOSE(_xlfn.UNIQUE(_xlfn._xlws.FILTER(MAE_ASIGNATURA[NOM_ASIG],(MAE_ASIGNATURA[ID_NIVEL]=ASIGNACION!$D33)*(MAE_ASIGNATURA[ID_CARRERA]=ASIGNACION!$C33),"No existe información")))</f>
        <v>No existe información</v>
      </c>
      <c r="BD33" s="4" t="str" cm="1">
        <f t="array" ref="BD33">TRANSPOSE(_xlfn.UNIQUE(_xlfn._xlws.FILTER(DET_ASIG[DETALLADO],(DET_ASIG[ID_CARRERA]=ASIGNACION!$C33)*(DET_ASIG[NIVEL]=ASIGNACION!$D33)*(DET_ASIG[ID_ASIG]=ASIGNACION!$G33),"No existe información")))</f>
        <v>No existe información</v>
      </c>
      <c r="BQ33" s="5" t="str" cm="1">
        <f t="array" ref="BQ33">IFERROR(
    TRANSPOSE(
        _xlfn.UNIQUE(
            _xlfn._xlws.FILTER(MAESTRIA_DETALLADO[MAESTRIA],
                ISNUMBER(MATCH(MAESTRIA_DETALLADO[CAMPO_DETALLADO],
                BD33:BP33,0))
            )
        )
    ),IF(BD33="ACTIVIDAD","DOCENCIA",""))</f>
        <v/>
      </c>
      <c r="EA33" s="5" t="str" cm="1">
        <f t="array" ref="EA33:FN33">IF(
    ASIGNACION!I33="SI",
    IFERROR(
        TRANSPOSE(
            _xlfn.UNIQUE(
                _xlfn._xlws.FILTER(EDU_DOCENTE[NOMBRE_DOCENTE],
                    ISNUMBER(MATCH(EDU_DOCENTE[MAESTRIA],
                    BQ33:DY33,0))
                )
            )
        ),
        ""
    ),
    TRANSPOSE(
        _xlfn.UNIQUE(EDU_DOCENTE[NOMBRE_DOCENTE]
        )
    )
)</f>
        <v>ALCIVAR CEDEÑO BEATRIZ ISABEL</v>
      </c>
      <c r="EB33" t="str">
        <v>ALCIVAR VERA GEMA MICHELLE</v>
      </c>
      <c r="EC33" t="str">
        <v>ARAUZ CHAVEZ MARIO ROBERTO</v>
      </c>
      <c r="ED33" t="str">
        <v>BAILON LOURIDO WALTER ALBERTO</v>
      </c>
      <c r="EE33" t="str">
        <v>CALDERERO VILLAGOMEZ ERICK ANTONIO</v>
      </c>
      <c r="EF33" t="str">
        <v>CASTILLO GARCIA PAOLA GERMANIA</v>
      </c>
      <c r="EG33" t="str">
        <v>CEDEÑO CHOEZ PEDRO JAVIER</v>
      </c>
      <c r="EH33" t="str">
        <v>CEVALLOS HOPPE JUAN CARLOS</v>
      </c>
      <c r="EI33" t="str">
        <v>DELGADO CHAVEZ MARIA IRASEMA</v>
      </c>
      <c r="EJ33" t="str">
        <v>DUARTE VALENCIA CRISTHIAN DARIO</v>
      </c>
      <c r="EK33" t="str">
        <v>FORTTY BARBERAN DENNY ALEXANDER</v>
      </c>
      <c r="EL33" t="str">
        <v>GUTIERREZ ZAMBRANO CARMEN EBELINA</v>
      </c>
      <c r="EM33" t="str">
        <v>INTRIAGO MOLINA GEMA VALERIA</v>
      </c>
      <c r="EN33" t="str">
        <v>LINO VELEZ LEONEL LIVINGTON</v>
      </c>
      <c r="EO33" t="str">
        <v>LOOR ALCIVAR MARIA ILIANA</v>
      </c>
      <c r="EP33" t="str">
        <v>LOOR MIELES TANIA JACQUELINE</v>
      </c>
      <c r="EQ33" t="str">
        <v>LOOR SOLORZANO ROSA MARIA</v>
      </c>
      <c r="ER33" t="str">
        <v>LOPEZ DELGADO RONALD MAURICIO</v>
      </c>
      <c r="ES33" t="str">
        <v>MACIAS VALENCIA DAVID GABRIEL</v>
      </c>
      <c r="ET33" t="str">
        <v>MENDOZA ZAMORA WALTER MANUEL</v>
      </c>
      <c r="EU33" t="str">
        <v>MOLINA CEVALLOS MARIA LORENA</v>
      </c>
      <c r="EV33" t="str">
        <v>MURILLO DELGADO ISAAC GABRIEL</v>
      </c>
      <c r="EW33" t="str">
        <v>ANGULO MURILLO NAVIRA GISSELA</v>
      </c>
      <c r="EX33" t="str">
        <v>OCHOA SOLEDISPA NESTOR IVAN</v>
      </c>
      <c r="EY33" t="str">
        <v>PARRAGA FRANCO SILVANA MARIELA</v>
      </c>
      <c r="EZ33" t="str">
        <v>PINARGOTE VASQUEZ NANCY FABIOLA</v>
      </c>
      <c r="FA33" t="str">
        <v>REYES VELEZ PEDRO ENRIQUE</v>
      </c>
      <c r="FB33" t="str">
        <v>SAN ANDRES HORMAZA DALLAS CECILIA</v>
      </c>
      <c r="FC33" t="str">
        <v>SORNOZA ZAMORA JUAN CARLOS</v>
      </c>
      <c r="FD33" t="str">
        <v>TOMALA PINTO JESUS JACINTO</v>
      </c>
      <c r="FE33" t="str">
        <v>VALLE JARAMILLO SILVIA ARACELY</v>
      </c>
      <c r="FF33" t="str">
        <v>VELÁSQUEZ BRAVO IRMA KATHERINE</v>
      </c>
      <c r="FG33" t="str">
        <v>VELEZ MENDOZA LAYSY VALERIA</v>
      </c>
      <c r="FH33" t="str">
        <v>VINUEZA TELLO SHIRLEY ELIZABETH</v>
      </c>
      <c r="FI33" t="str">
        <v>ZAMBRANO ALCIVAR NILDA ISABEL</v>
      </c>
      <c r="FJ33" t="str">
        <v>ZAMBRANO LOOR RITA MAYDA</v>
      </c>
      <c r="FK33" t="str">
        <v>ZAMBRANO VERA MONICA JANETH</v>
      </c>
      <c r="FL33" t="str">
        <v>VERA DELGADO BRYAN ADRIÁN</v>
      </c>
      <c r="FM33" t="str">
        <v>MORAN GONZALES DAVID RENATO</v>
      </c>
      <c r="FN33">
        <v>0</v>
      </c>
    </row>
    <row r="34" spans="1:170" ht="20.25" customHeight="1">
      <c r="A34" s="4" t="str" cm="1">
        <f t="array" ref="A34">TRANSPOSE(_xlfn.UNIQUE(_xlfn._xlws.FILTER(MAE_ASIGNATURA[ID_NIVEL],MAE_ASIGNATURA[ID_CARRERA]=ASIGNACION!$C34,"No existe información")))</f>
        <v>No existe información</v>
      </c>
      <c r="S34" s="4" t="str" cm="1">
        <f t="array" ref="S34">TRANSPOSE(_xlfn.UNIQUE(_xlfn._xlws.FILTER(MAE_ASIGNATURA[NOM_ASIG],(MAE_ASIGNATURA[ID_NIVEL]=ASIGNACION!$D34)*(MAE_ASIGNATURA[ID_CARRERA]=ASIGNACION!$C34),"No existe información")))</f>
        <v>No existe información</v>
      </c>
      <c r="BD34" s="4" t="str" cm="1">
        <f t="array" ref="BD34">TRANSPOSE(_xlfn.UNIQUE(_xlfn._xlws.FILTER(DET_ASIG[DETALLADO],(DET_ASIG[ID_CARRERA]=ASIGNACION!$C34)*(DET_ASIG[NIVEL]=ASIGNACION!$D34)*(DET_ASIG[ID_ASIG]=ASIGNACION!$G34),"No existe información")))</f>
        <v>No existe información</v>
      </c>
      <c r="BQ34" s="5" t="str" cm="1">
        <f t="array" ref="BQ34">IFERROR(
    TRANSPOSE(
        _xlfn.UNIQUE(
            _xlfn._xlws.FILTER(MAESTRIA_DETALLADO[MAESTRIA],
                ISNUMBER(MATCH(MAESTRIA_DETALLADO[CAMPO_DETALLADO],
                BD34:BP34,0))
            )
        )
    ),IF(BD34="ACTIVIDAD","DOCENCIA",""))</f>
        <v/>
      </c>
      <c r="EA34" s="5" t="str" cm="1">
        <f t="array" ref="EA34:FN34">IF(
    ASIGNACION!I34="SI",
    IFERROR(
        TRANSPOSE(
            _xlfn.UNIQUE(
                _xlfn._xlws.FILTER(EDU_DOCENTE[NOMBRE_DOCENTE],
                    ISNUMBER(MATCH(EDU_DOCENTE[MAESTRIA],
                    BQ34:DY34,0))
                )
            )
        ),
        ""
    ),
    TRANSPOSE(
        _xlfn.UNIQUE(EDU_DOCENTE[NOMBRE_DOCENTE]
        )
    )
)</f>
        <v>ALCIVAR CEDEÑO BEATRIZ ISABEL</v>
      </c>
      <c r="EB34" t="str">
        <v>ALCIVAR VERA GEMA MICHELLE</v>
      </c>
      <c r="EC34" t="str">
        <v>ARAUZ CHAVEZ MARIO ROBERTO</v>
      </c>
      <c r="ED34" t="str">
        <v>BAILON LOURIDO WALTER ALBERTO</v>
      </c>
      <c r="EE34" t="str">
        <v>CALDERERO VILLAGOMEZ ERICK ANTONIO</v>
      </c>
      <c r="EF34" t="str">
        <v>CASTILLO GARCIA PAOLA GERMANIA</v>
      </c>
      <c r="EG34" t="str">
        <v>CEDEÑO CHOEZ PEDRO JAVIER</v>
      </c>
      <c r="EH34" t="str">
        <v>CEVALLOS HOPPE JUAN CARLOS</v>
      </c>
      <c r="EI34" t="str">
        <v>DELGADO CHAVEZ MARIA IRASEMA</v>
      </c>
      <c r="EJ34" t="str">
        <v>DUARTE VALENCIA CRISTHIAN DARIO</v>
      </c>
      <c r="EK34" t="str">
        <v>FORTTY BARBERAN DENNY ALEXANDER</v>
      </c>
      <c r="EL34" t="str">
        <v>GUTIERREZ ZAMBRANO CARMEN EBELINA</v>
      </c>
      <c r="EM34" t="str">
        <v>INTRIAGO MOLINA GEMA VALERIA</v>
      </c>
      <c r="EN34" t="str">
        <v>LINO VELEZ LEONEL LIVINGTON</v>
      </c>
      <c r="EO34" t="str">
        <v>LOOR ALCIVAR MARIA ILIANA</v>
      </c>
      <c r="EP34" t="str">
        <v>LOOR MIELES TANIA JACQUELINE</v>
      </c>
      <c r="EQ34" t="str">
        <v>LOOR SOLORZANO ROSA MARIA</v>
      </c>
      <c r="ER34" t="str">
        <v>LOPEZ DELGADO RONALD MAURICIO</v>
      </c>
      <c r="ES34" t="str">
        <v>MACIAS VALENCIA DAVID GABRIEL</v>
      </c>
      <c r="ET34" t="str">
        <v>MENDOZA ZAMORA WALTER MANUEL</v>
      </c>
      <c r="EU34" t="str">
        <v>MOLINA CEVALLOS MARIA LORENA</v>
      </c>
      <c r="EV34" t="str">
        <v>MURILLO DELGADO ISAAC GABRIEL</v>
      </c>
      <c r="EW34" t="str">
        <v>ANGULO MURILLO NAVIRA GISSELA</v>
      </c>
      <c r="EX34" t="str">
        <v>OCHOA SOLEDISPA NESTOR IVAN</v>
      </c>
      <c r="EY34" t="str">
        <v>PARRAGA FRANCO SILVANA MARIELA</v>
      </c>
      <c r="EZ34" t="str">
        <v>PINARGOTE VASQUEZ NANCY FABIOLA</v>
      </c>
      <c r="FA34" t="str">
        <v>REYES VELEZ PEDRO ENRIQUE</v>
      </c>
      <c r="FB34" t="str">
        <v>SAN ANDRES HORMAZA DALLAS CECILIA</v>
      </c>
      <c r="FC34" t="str">
        <v>SORNOZA ZAMORA JUAN CARLOS</v>
      </c>
      <c r="FD34" t="str">
        <v>TOMALA PINTO JESUS JACINTO</v>
      </c>
      <c r="FE34" t="str">
        <v>VALLE JARAMILLO SILVIA ARACELY</v>
      </c>
      <c r="FF34" t="str">
        <v>VELÁSQUEZ BRAVO IRMA KATHERINE</v>
      </c>
      <c r="FG34" t="str">
        <v>VELEZ MENDOZA LAYSY VALERIA</v>
      </c>
      <c r="FH34" t="str">
        <v>VINUEZA TELLO SHIRLEY ELIZABETH</v>
      </c>
      <c r="FI34" t="str">
        <v>ZAMBRANO ALCIVAR NILDA ISABEL</v>
      </c>
      <c r="FJ34" t="str">
        <v>ZAMBRANO LOOR RITA MAYDA</v>
      </c>
      <c r="FK34" t="str">
        <v>ZAMBRANO VERA MONICA JANETH</v>
      </c>
      <c r="FL34" t="str">
        <v>VERA DELGADO BRYAN ADRIÁN</v>
      </c>
      <c r="FM34" t="str">
        <v>MORAN GONZALES DAVID RENATO</v>
      </c>
      <c r="FN34">
        <v>0</v>
      </c>
    </row>
    <row r="35" spans="1:170" ht="20.25" customHeight="1">
      <c r="A35" s="4" t="str" cm="1">
        <f t="array" ref="A35">TRANSPOSE(_xlfn.UNIQUE(_xlfn._xlws.FILTER(MAE_ASIGNATURA[ID_NIVEL],MAE_ASIGNATURA[ID_CARRERA]=ASIGNACION!$C35,"No existe información")))</f>
        <v>No existe información</v>
      </c>
      <c r="S35" s="4" t="str" cm="1">
        <f t="array" ref="S35">TRANSPOSE(_xlfn.UNIQUE(_xlfn._xlws.FILTER(MAE_ASIGNATURA[NOM_ASIG],(MAE_ASIGNATURA[ID_NIVEL]=ASIGNACION!$D35)*(MAE_ASIGNATURA[ID_CARRERA]=ASIGNACION!$C35),"No existe información")))</f>
        <v>No existe información</v>
      </c>
      <c r="BD35" s="4" t="str" cm="1">
        <f t="array" ref="BD35">TRANSPOSE(_xlfn.UNIQUE(_xlfn._xlws.FILTER(DET_ASIG[DETALLADO],(DET_ASIG[ID_CARRERA]=ASIGNACION!$C35)*(DET_ASIG[NIVEL]=ASIGNACION!$D35)*(DET_ASIG[ID_ASIG]=ASIGNACION!$G35),"No existe información")))</f>
        <v>No existe información</v>
      </c>
      <c r="BQ35" s="5" t="str" cm="1">
        <f t="array" ref="BQ35">IFERROR(
    TRANSPOSE(
        _xlfn.UNIQUE(
            _xlfn._xlws.FILTER(MAESTRIA_DETALLADO[MAESTRIA],
                ISNUMBER(MATCH(MAESTRIA_DETALLADO[CAMPO_DETALLADO],
                BD35:BP35,0))
            )
        )
    ),IF(BD35="ACTIVIDAD","DOCENCIA",""))</f>
        <v/>
      </c>
      <c r="EA35" s="5" t="str" cm="1">
        <f t="array" ref="EA35:FN35">IF(
    ASIGNACION!I35="SI",
    IFERROR(
        TRANSPOSE(
            _xlfn.UNIQUE(
                _xlfn._xlws.FILTER(EDU_DOCENTE[NOMBRE_DOCENTE],
                    ISNUMBER(MATCH(EDU_DOCENTE[MAESTRIA],
                    BQ35:DY35,0))
                )
            )
        ),
        ""
    ),
    TRANSPOSE(
        _xlfn.UNIQUE(EDU_DOCENTE[NOMBRE_DOCENTE]
        )
    )
)</f>
        <v>ALCIVAR CEDEÑO BEATRIZ ISABEL</v>
      </c>
      <c r="EB35" t="str">
        <v>ALCIVAR VERA GEMA MICHELLE</v>
      </c>
      <c r="EC35" t="str">
        <v>ARAUZ CHAVEZ MARIO ROBERTO</v>
      </c>
      <c r="ED35" t="str">
        <v>BAILON LOURIDO WALTER ALBERTO</v>
      </c>
      <c r="EE35" t="str">
        <v>CALDERERO VILLAGOMEZ ERICK ANTONIO</v>
      </c>
      <c r="EF35" t="str">
        <v>CASTILLO GARCIA PAOLA GERMANIA</v>
      </c>
      <c r="EG35" t="str">
        <v>CEDEÑO CHOEZ PEDRO JAVIER</v>
      </c>
      <c r="EH35" t="str">
        <v>CEVALLOS HOPPE JUAN CARLOS</v>
      </c>
      <c r="EI35" t="str">
        <v>DELGADO CHAVEZ MARIA IRASEMA</v>
      </c>
      <c r="EJ35" t="str">
        <v>DUARTE VALENCIA CRISTHIAN DARIO</v>
      </c>
      <c r="EK35" t="str">
        <v>FORTTY BARBERAN DENNY ALEXANDER</v>
      </c>
      <c r="EL35" t="str">
        <v>GUTIERREZ ZAMBRANO CARMEN EBELINA</v>
      </c>
      <c r="EM35" t="str">
        <v>INTRIAGO MOLINA GEMA VALERIA</v>
      </c>
      <c r="EN35" t="str">
        <v>LINO VELEZ LEONEL LIVINGTON</v>
      </c>
      <c r="EO35" t="str">
        <v>LOOR ALCIVAR MARIA ILIANA</v>
      </c>
      <c r="EP35" t="str">
        <v>LOOR MIELES TANIA JACQUELINE</v>
      </c>
      <c r="EQ35" t="str">
        <v>LOOR SOLORZANO ROSA MARIA</v>
      </c>
      <c r="ER35" t="str">
        <v>LOPEZ DELGADO RONALD MAURICIO</v>
      </c>
      <c r="ES35" t="str">
        <v>MACIAS VALENCIA DAVID GABRIEL</v>
      </c>
      <c r="ET35" t="str">
        <v>MENDOZA ZAMORA WALTER MANUEL</v>
      </c>
      <c r="EU35" t="str">
        <v>MOLINA CEVALLOS MARIA LORENA</v>
      </c>
      <c r="EV35" t="str">
        <v>MURILLO DELGADO ISAAC GABRIEL</v>
      </c>
      <c r="EW35" t="str">
        <v>ANGULO MURILLO NAVIRA GISSELA</v>
      </c>
      <c r="EX35" t="str">
        <v>OCHOA SOLEDISPA NESTOR IVAN</v>
      </c>
      <c r="EY35" t="str">
        <v>PARRAGA FRANCO SILVANA MARIELA</v>
      </c>
      <c r="EZ35" t="str">
        <v>PINARGOTE VASQUEZ NANCY FABIOLA</v>
      </c>
      <c r="FA35" t="str">
        <v>REYES VELEZ PEDRO ENRIQUE</v>
      </c>
      <c r="FB35" t="str">
        <v>SAN ANDRES HORMAZA DALLAS CECILIA</v>
      </c>
      <c r="FC35" t="str">
        <v>SORNOZA ZAMORA JUAN CARLOS</v>
      </c>
      <c r="FD35" t="str">
        <v>TOMALA PINTO JESUS JACINTO</v>
      </c>
      <c r="FE35" t="str">
        <v>VALLE JARAMILLO SILVIA ARACELY</v>
      </c>
      <c r="FF35" t="str">
        <v>VELÁSQUEZ BRAVO IRMA KATHERINE</v>
      </c>
      <c r="FG35" t="str">
        <v>VELEZ MENDOZA LAYSY VALERIA</v>
      </c>
      <c r="FH35" t="str">
        <v>VINUEZA TELLO SHIRLEY ELIZABETH</v>
      </c>
      <c r="FI35" t="str">
        <v>ZAMBRANO ALCIVAR NILDA ISABEL</v>
      </c>
      <c r="FJ35" t="str">
        <v>ZAMBRANO LOOR RITA MAYDA</v>
      </c>
      <c r="FK35" t="str">
        <v>ZAMBRANO VERA MONICA JANETH</v>
      </c>
      <c r="FL35" t="str">
        <v>VERA DELGADO BRYAN ADRIÁN</v>
      </c>
      <c r="FM35" t="str">
        <v>MORAN GONZALES DAVID RENATO</v>
      </c>
      <c r="FN35">
        <v>0</v>
      </c>
    </row>
    <row r="36" spans="1:170" ht="20.25" customHeight="1">
      <c r="A36" s="4" t="str" cm="1">
        <f t="array" ref="A36">TRANSPOSE(_xlfn.UNIQUE(_xlfn._xlws.FILTER(MAE_ASIGNATURA[ID_NIVEL],MAE_ASIGNATURA[ID_CARRERA]=ASIGNACION!$C36,"No existe información")))</f>
        <v>No existe información</v>
      </c>
      <c r="S36" s="4" t="str" cm="1">
        <f t="array" ref="S36">TRANSPOSE(_xlfn.UNIQUE(_xlfn._xlws.FILTER(MAE_ASIGNATURA[NOM_ASIG],(MAE_ASIGNATURA[ID_NIVEL]=ASIGNACION!$D36)*(MAE_ASIGNATURA[ID_CARRERA]=ASIGNACION!$C36),"No existe información")))</f>
        <v>No existe información</v>
      </c>
      <c r="BD36" s="4" t="str" cm="1">
        <f t="array" ref="BD36">TRANSPOSE(_xlfn.UNIQUE(_xlfn._xlws.FILTER(DET_ASIG[DETALLADO],(DET_ASIG[ID_CARRERA]=ASIGNACION!$C36)*(DET_ASIG[NIVEL]=ASIGNACION!$D36)*(DET_ASIG[ID_ASIG]=ASIGNACION!$G36),"No existe información")))</f>
        <v>No existe información</v>
      </c>
      <c r="BQ36" s="5" t="str" cm="1">
        <f t="array" ref="BQ36">IFERROR(
    TRANSPOSE(
        _xlfn.UNIQUE(
            _xlfn._xlws.FILTER(MAESTRIA_DETALLADO[MAESTRIA],
                ISNUMBER(MATCH(MAESTRIA_DETALLADO[CAMPO_DETALLADO],
                BD36:BP36,0))
            )
        )
    ),IF(BD36="ACTIVIDAD","DOCENCIA",""))</f>
        <v/>
      </c>
      <c r="EA36" s="5" t="str" cm="1">
        <f t="array" ref="EA36:FN36">IF(
    ASIGNACION!I36="SI",
    IFERROR(
        TRANSPOSE(
            _xlfn.UNIQUE(
                _xlfn._xlws.FILTER(EDU_DOCENTE[NOMBRE_DOCENTE],
                    ISNUMBER(MATCH(EDU_DOCENTE[MAESTRIA],
                    BQ36:DY36,0))
                )
            )
        ),
        ""
    ),
    TRANSPOSE(
        _xlfn.UNIQUE(EDU_DOCENTE[NOMBRE_DOCENTE]
        )
    )
)</f>
        <v>ALCIVAR CEDEÑO BEATRIZ ISABEL</v>
      </c>
      <c r="EB36" t="str">
        <v>ALCIVAR VERA GEMA MICHELLE</v>
      </c>
      <c r="EC36" t="str">
        <v>ARAUZ CHAVEZ MARIO ROBERTO</v>
      </c>
      <c r="ED36" t="str">
        <v>BAILON LOURIDO WALTER ALBERTO</v>
      </c>
      <c r="EE36" t="str">
        <v>CALDERERO VILLAGOMEZ ERICK ANTONIO</v>
      </c>
      <c r="EF36" t="str">
        <v>CASTILLO GARCIA PAOLA GERMANIA</v>
      </c>
      <c r="EG36" t="str">
        <v>CEDEÑO CHOEZ PEDRO JAVIER</v>
      </c>
      <c r="EH36" t="str">
        <v>CEVALLOS HOPPE JUAN CARLOS</v>
      </c>
      <c r="EI36" t="str">
        <v>DELGADO CHAVEZ MARIA IRASEMA</v>
      </c>
      <c r="EJ36" t="str">
        <v>DUARTE VALENCIA CRISTHIAN DARIO</v>
      </c>
      <c r="EK36" t="str">
        <v>FORTTY BARBERAN DENNY ALEXANDER</v>
      </c>
      <c r="EL36" t="str">
        <v>GUTIERREZ ZAMBRANO CARMEN EBELINA</v>
      </c>
      <c r="EM36" t="str">
        <v>INTRIAGO MOLINA GEMA VALERIA</v>
      </c>
      <c r="EN36" t="str">
        <v>LINO VELEZ LEONEL LIVINGTON</v>
      </c>
      <c r="EO36" t="str">
        <v>LOOR ALCIVAR MARIA ILIANA</v>
      </c>
      <c r="EP36" t="str">
        <v>LOOR MIELES TANIA JACQUELINE</v>
      </c>
      <c r="EQ36" t="str">
        <v>LOOR SOLORZANO ROSA MARIA</v>
      </c>
      <c r="ER36" t="str">
        <v>LOPEZ DELGADO RONALD MAURICIO</v>
      </c>
      <c r="ES36" t="str">
        <v>MACIAS VALENCIA DAVID GABRIEL</v>
      </c>
      <c r="ET36" t="str">
        <v>MENDOZA ZAMORA WALTER MANUEL</v>
      </c>
      <c r="EU36" t="str">
        <v>MOLINA CEVALLOS MARIA LORENA</v>
      </c>
      <c r="EV36" t="str">
        <v>MURILLO DELGADO ISAAC GABRIEL</v>
      </c>
      <c r="EW36" t="str">
        <v>ANGULO MURILLO NAVIRA GISSELA</v>
      </c>
      <c r="EX36" t="str">
        <v>OCHOA SOLEDISPA NESTOR IVAN</v>
      </c>
      <c r="EY36" t="str">
        <v>PARRAGA FRANCO SILVANA MARIELA</v>
      </c>
      <c r="EZ36" t="str">
        <v>PINARGOTE VASQUEZ NANCY FABIOLA</v>
      </c>
      <c r="FA36" t="str">
        <v>REYES VELEZ PEDRO ENRIQUE</v>
      </c>
      <c r="FB36" t="str">
        <v>SAN ANDRES HORMAZA DALLAS CECILIA</v>
      </c>
      <c r="FC36" t="str">
        <v>SORNOZA ZAMORA JUAN CARLOS</v>
      </c>
      <c r="FD36" t="str">
        <v>TOMALA PINTO JESUS JACINTO</v>
      </c>
      <c r="FE36" t="str">
        <v>VALLE JARAMILLO SILVIA ARACELY</v>
      </c>
      <c r="FF36" t="str">
        <v>VELÁSQUEZ BRAVO IRMA KATHERINE</v>
      </c>
      <c r="FG36" t="str">
        <v>VELEZ MENDOZA LAYSY VALERIA</v>
      </c>
      <c r="FH36" t="str">
        <v>VINUEZA TELLO SHIRLEY ELIZABETH</v>
      </c>
      <c r="FI36" t="str">
        <v>ZAMBRANO ALCIVAR NILDA ISABEL</v>
      </c>
      <c r="FJ36" t="str">
        <v>ZAMBRANO LOOR RITA MAYDA</v>
      </c>
      <c r="FK36" t="str">
        <v>ZAMBRANO VERA MONICA JANETH</v>
      </c>
      <c r="FL36" t="str">
        <v>VERA DELGADO BRYAN ADRIÁN</v>
      </c>
      <c r="FM36" t="str">
        <v>MORAN GONZALES DAVID RENATO</v>
      </c>
      <c r="FN36">
        <v>0</v>
      </c>
    </row>
    <row r="37" spans="1:170" ht="20.25" customHeight="1">
      <c r="A37" s="4" t="str" cm="1">
        <f t="array" ref="A37">TRANSPOSE(_xlfn.UNIQUE(_xlfn._xlws.FILTER(MAE_ASIGNATURA[ID_NIVEL],MAE_ASIGNATURA[ID_CARRERA]=ASIGNACION!$C37,"No existe información")))</f>
        <v>No existe información</v>
      </c>
      <c r="S37" s="4" t="str" cm="1">
        <f t="array" ref="S37">TRANSPOSE(_xlfn.UNIQUE(_xlfn._xlws.FILTER(MAE_ASIGNATURA[NOM_ASIG],(MAE_ASIGNATURA[ID_NIVEL]=ASIGNACION!$D37)*(MAE_ASIGNATURA[ID_CARRERA]=ASIGNACION!$C37),"No existe información")))</f>
        <v>No existe información</v>
      </c>
      <c r="BD37" s="4" t="str" cm="1">
        <f t="array" ref="BD37">TRANSPOSE(_xlfn.UNIQUE(_xlfn._xlws.FILTER(DET_ASIG[DETALLADO],(DET_ASIG[ID_CARRERA]=ASIGNACION!$C37)*(DET_ASIG[NIVEL]=ASIGNACION!$D37)*(DET_ASIG[ID_ASIG]=ASIGNACION!$G37),"No existe información")))</f>
        <v>No existe información</v>
      </c>
      <c r="BQ37" s="5" t="str" cm="1">
        <f t="array" ref="BQ37">IFERROR(
    TRANSPOSE(
        _xlfn.UNIQUE(
            _xlfn._xlws.FILTER(MAESTRIA_DETALLADO[MAESTRIA],
                ISNUMBER(MATCH(MAESTRIA_DETALLADO[CAMPO_DETALLADO],
                BD37:BP37,0))
            )
        )
    ),IF(BD37="ACTIVIDAD","DOCENCIA",""))</f>
        <v/>
      </c>
      <c r="EA37" s="5" t="str" cm="1">
        <f t="array" ref="EA37:FN37">IF(
    ASIGNACION!I37="SI",
    IFERROR(
        TRANSPOSE(
            _xlfn.UNIQUE(
                _xlfn._xlws.FILTER(EDU_DOCENTE[NOMBRE_DOCENTE],
                    ISNUMBER(MATCH(EDU_DOCENTE[MAESTRIA],
                    BQ37:DY37,0))
                )
            )
        ),
        ""
    ),
    TRANSPOSE(
        _xlfn.UNIQUE(EDU_DOCENTE[NOMBRE_DOCENTE]
        )
    )
)</f>
        <v>ALCIVAR CEDEÑO BEATRIZ ISABEL</v>
      </c>
      <c r="EB37" t="str">
        <v>ALCIVAR VERA GEMA MICHELLE</v>
      </c>
      <c r="EC37" t="str">
        <v>ARAUZ CHAVEZ MARIO ROBERTO</v>
      </c>
      <c r="ED37" t="str">
        <v>BAILON LOURIDO WALTER ALBERTO</v>
      </c>
      <c r="EE37" t="str">
        <v>CALDERERO VILLAGOMEZ ERICK ANTONIO</v>
      </c>
      <c r="EF37" t="str">
        <v>CASTILLO GARCIA PAOLA GERMANIA</v>
      </c>
      <c r="EG37" t="str">
        <v>CEDEÑO CHOEZ PEDRO JAVIER</v>
      </c>
      <c r="EH37" t="str">
        <v>CEVALLOS HOPPE JUAN CARLOS</v>
      </c>
      <c r="EI37" t="str">
        <v>DELGADO CHAVEZ MARIA IRASEMA</v>
      </c>
      <c r="EJ37" t="str">
        <v>DUARTE VALENCIA CRISTHIAN DARIO</v>
      </c>
      <c r="EK37" t="str">
        <v>FORTTY BARBERAN DENNY ALEXANDER</v>
      </c>
      <c r="EL37" t="str">
        <v>GUTIERREZ ZAMBRANO CARMEN EBELINA</v>
      </c>
      <c r="EM37" t="str">
        <v>INTRIAGO MOLINA GEMA VALERIA</v>
      </c>
      <c r="EN37" t="str">
        <v>LINO VELEZ LEONEL LIVINGTON</v>
      </c>
      <c r="EO37" t="str">
        <v>LOOR ALCIVAR MARIA ILIANA</v>
      </c>
      <c r="EP37" t="str">
        <v>LOOR MIELES TANIA JACQUELINE</v>
      </c>
      <c r="EQ37" t="str">
        <v>LOOR SOLORZANO ROSA MARIA</v>
      </c>
      <c r="ER37" t="str">
        <v>LOPEZ DELGADO RONALD MAURICIO</v>
      </c>
      <c r="ES37" t="str">
        <v>MACIAS VALENCIA DAVID GABRIEL</v>
      </c>
      <c r="ET37" t="str">
        <v>MENDOZA ZAMORA WALTER MANUEL</v>
      </c>
      <c r="EU37" t="str">
        <v>MOLINA CEVALLOS MARIA LORENA</v>
      </c>
      <c r="EV37" t="str">
        <v>MURILLO DELGADO ISAAC GABRIEL</v>
      </c>
      <c r="EW37" t="str">
        <v>ANGULO MURILLO NAVIRA GISSELA</v>
      </c>
      <c r="EX37" t="str">
        <v>OCHOA SOLEDISPA NESTOR IVAN</v>
      </c>
      <c r="EY37" t="str">
        <v>PARRAGA FRANCO SILVANA MARIELA</v>
      </c>
      <c r="EZ37" t="str">
        <v>PINARGOTE VASQUEZ NANCY FABIOLA</v>
      </c>
      <c r="FA37" t="str">
        <v>REYES VELEZ PEDRO ENRIQUE</v>
      </c>
      <c r="FB37" t="str">
        <v>SAN ANDRES HORMAZA DALLAS CECILIA</v>
      </c>
      <c r="FC37" t="str">
        <v>SORNOZA ZAMORA JUAN CARLOS</v>
      </c>
      <c r="FD37" t="str">
        <v>TOMALA PINTO JESUS JACINTO</v>
      </c>
      <c r="FE37" t="str">
        <v>VALLE JARAMILLO SILVIA ARACELY</v>
      </c>
      <c r="FF37" t="str">
        <v>VELÁSQUEZ BRAVO IRMA KATHERINE</v>
      </c>
      <c r="FG37" t="str">
        <v>VELEZ MENDOZA LAYSY VALERIA</v>
      </c>
      <c r="FH37" t="str">
        <v>VINUEZA TELLO SHIRLEY ELIZABETH</v>
      </c>
      <c r="FI37" t="str">
        <v>ZAMBRANO ALCIVAR NILDA ISABEL</v>
      </c>
      <c r="FJ37" t="str">
        <v>ZAMBRANO LOOR RITA MAYDA</v>
      </c>
      <c r="FK37" t="str">
        <v>ZAMBRANO VERA MONICA JANETH</v>
      </c>
      <c r="FL37" t="str">
        <v>VERA DELGADO BRYAN ADRIÁN</v>
      </c>
      <c r="FM37" t="str">
        <v>MORAN GONZALES DAVID RENATO</v>
      </c>
      <c r="FN37">
        <v>0</v>
      </c>
    </row>
    <row r="38" spans="1:170" ht="20.25" customHeight="1">
      <c r="A38" s="4" t="str" cm="1">
        <f t="array" ref="A38">TRANSPOSE(_xlfn.UNIQUE(_xlfn._xlws.FILTER(MAE_ASIGNATURA[ID_NIVEL],MAE_ASIGNATURA[ID_CARRERA]=ASIGNACION!$C38,"No existe información")))</f>
        <v>No existe información</v>
      </c>
      <c r="S38" s="4" t="str" cm="1">
        <f t="array" ref="S38">TRANSPOSE(_xlfn.UNIQUE(_xlfn._xlws.FILTER(MAE_ASIGNATURA[NOM_ASIG],(MAE_ASIGNATURA[ID_NIVEL]=ASIGNACION!$D38)*(MAE_ASIGNATURA[ID_CARRERA]=ASIGNACION!$C38),"No existe información")))</f>
        <v>No existe información</v>
      </c>
      <c r="BD38" s="4" t="str" cm="1">
        <f t="array" ref="BD38">TRANSPOSE(_xlfn.UNIQUE(_xlfn._xlws.FILTER(DET_ASIG[DETALLADO],(DET_ASIG[ID_CARRERA]=ASIGNACION!$C38)*(DET_ASIG[NIVEL]=ASIGNACION!$D38)*(DET_ASIG[ID_ASIG]=ASIGNACION!$G38),"No existe información")))</f>
        <v>No existe información</v>
      </c>
      <c r="BQ38" s="5" t="str" cm="1">
        <f t="array" ref="BQ38">IFERROR(
    TRANSPOSE(
        _xlfn.UNIQUE(
            _xlfn._xlws.FILTER(MAESTRIA_DETALLADO[MAESTRIA],
                ISNUMBER(MATCH(MAESTRIA_DETALLADO[CAMPO_DETALLADO],
                BD38:BP38,0))
            )
        )
    ),IF(BD38="ACTIVIDAD","DOCENCIA",""))</f>
        <v/>
      </c>
      <c r="EA38" s="5" t="str" cm="1">
        <f t="array" ref="EA38:FN38">IF(
    ASIGNACION!I38="SI",
    IFERROR(
        TRANSPOSE(
            _xlfn.UNIQUE(
                _xlfn._xlws.FILTER(EDU_DOCENTE[NOMBRE_DOCENTE],
                    ISNUMBER(MATCH(EDU_DOCENTE[MAESTRIA],
                    BQ38:DY38,0))
                )
            )
        ),
        ""
    ),
    TRANSPOSE(
        _xlfn.UNIQUE(EDU_DOCENTE[NOMBRE_DOCENTE]
        )
    )
)</f>
        <v>ALCIVAR CEDEÑO BEATRIZ ISABEL</v>
      </c>
      <c r="EB38" t="str">
        <v>ALCIVAR VERA GEMA MICHELLE</v>
      </c>
      <c r="EC38" t="str">
        <v>ARAUZ CHAVEZ MARIO ROBERTO</v>
      </c>
      <c r="ED38" t="str">
        <v>BAILON LOURIDO WALTER ALBERTO</v>
      </c>
      <c r="EE38" t="str">
        <v>CALDERERO VILLAGOMEZ ERICK ANTONIO</v>
      </c>
      <c r="EF38" t="str">
        <v>CASTILLO GARCIA PAOLA GERMANIA</v>
      </c>
      <c r="EG38" t="str">
        <v>CEDEÑO CHOEZ PEDRO JAVIER</v>
      </c>
      <c r="EH38" t="str">
        <v>CEVALLOS HOPPE JUAN CARLOS</v>
      </c>
      <c r="EI38" t="str">
        <v>DELGADO CHAVEZ MARIA IRASEMA</v>
      </c>
      <c r="EJ38" t="str">
        <v>DUARTE VALENCIA CRISTHIAN DARIO</v>
      </c>
      <c r="EK38" t="str">
        <v>FORTTY BARBERAN DENNY ALEXANDER</v>
      </c>
      <c r="EL38" t="str">
        <v>GUTIERREZ ZAMBRANO CARMEN EBELINA</v>
      </c>
      <c r="EM38" t="str">
        <v>INTRIAGO MOLINA GEMA VALERIA</v>
      </c>
      <c r="EN38" t="str">
        <v>LINO VELEZ LEONEL LIVINGTON</v>
      </c>
      <c r="EO38" t="str">
        <v>LOOR ALCIVAR MARIA ILIANA</v>
      </c>
      <c r="EP38" t="str">
        <v>LOOR MIELES TANIA JACQUELINE</v>
      </c>
      <c r="EQ38" t="str">
        <v>LOOR SOLORZANO ROSA MARIA</v>
      </c>
      <c r="ER38" t="str">
        <v>LOPEZ DELGADO RONALD MAURICIO</v>
      </c>
      <c r="ES38" t="str">
        <v>MACIAS VALENCIA DAVID GABRIEL</v>
      </c>
      <c r="ET38" t="str">
        <v>MENDOZA ZAMORA WALTER MANUEL</v>
      </c>
      <c r="EU38" t="str">
        <v>MOLINA CEVALLOS MARIA LORENA</v>
      </c>
      <c r="EV38" t="str">
        <v>MURILLO DELGADO ISAAC GABRIEL</v>
      </c>
      <c r="EW38" t="str">
        <v>ANGULO MURILLO NAVIRA GISSELA</v>
      </c>
      <c r="EX38" t="str">
        <v>OCHOA SOLEDISPA NESTOR IVAN</v>
      </c>
      <c r="EY38" t="str">
        <v>PARRAGA FRANCO SILVANA MARIELA</v>
      </c>
      <c r="EZ38" t="str">
        <v>PINARGOTE VASQUEZ NANCY FABIOLA</v>
      </c>
      <c r="FA38" t="str">
        <v>REYES VELEZ PEDRO ENRIQUE</v>
      </c>
      <c r="FB38" t="str">
        <v>SAN ANDRES HORMAZA DALLAS CECILIA</v>
      </c>
      <c r="FC38" t="str">
        <v>SORNOZA ZAMORA JUAN CARLOS</v>
      </c>
      <c r="FD38" t="str">
        <v>TOMALA PINTO JESUS JACINTO</v>
      </c>
      <c r="FE38" t="str">
        <v>VALLE JARAMILLO SILVIA ARACELY</v>
      </c>
      <c r="FF38" t="str">
        <v>VELÁSQUEZ BRAVO IRMA KATHERINE</v>
      </c>
      <c r="FG38" t="str">
        <v>VELEZ MENDOZA LAYSY VALERIA</v>
      </c>
      <c r="FH38" t="str">
        <v>VINUEZA TELLO SHIRLEY ELIZABETH</v>
      </c>
      <c r="FI38" t="str">
        <v>ZAMBRANO ALCIVAR NILDA ISABEL</v>
      </c>
      <c r="FJ38" t="str">
        <v>ZAMBRANO LOOR RITA MAYDA</v>
      </c>
      <c r="FK38" t="str">
        <v>ZAMBRANO VERA MONICA JANETH</v>
      </c>
      <c r="FL38" t="str">
        <v>VERA DELGADO BRYAN ADRIÁN</v>
      </c>
      <c r="FM38" t="str">
        <v>MORAN GONZALES DAVID RENATO</v>
      </c>
      <c r="FN38">
        <v>0</v>
      </c>
    </row>
    <row r="39" spans="1:170" ht="20.25" customHeight="1">
      <c r="A39" s="4" t="str" cm="1">
        <f t="array" ref="A39">TRANSPOSE(_xlfn.UNIQUE(_xlfn._xlws.FILTER(MAE_ASIGNATURA[ID_NIVEL],MAE_ASIGNATURA[ID_CARRERA]=ASIGNACION!$C39,"No existe información")))</f>
        <v>No existe información</v>
      </c>
      <c r="S39" s="4" t="str" cm="1">
        <f t="array" ref="S39">TRANSPOSE(_xlfn.UNIQUE(_xlfn._xlws.FILTER(MAE_ASIGNATURA[NOM_ASIG],(MAE_ASIGNATURA[ID_NIVEL]=ASIGNACION!$D39)*(MAE_ASIGNATURA[ID_CARRERA]=ASIGNACION!$C39),"No existe información")))</f>
        <v>No existe información</v>
      </c>
      <c r="BD39" s="4" t="str" cm="1">
        <f t="array" ref="BD39">TRANSPOSE(_xlfn.UNIQUE(_xlfn._xlws.FILTER(DET_ASIG[DETALLADO],(DET_ASIG[ID_CARRERA]=ASIGNACION!$C39)*(DET_ASIG[NIVEL]=ASIGNACION!$D39)*(DET_ASIG[ID_ASIG]=ASIGNACION!$G39),"No existe información")))</f>
        <v>No existe información</v>
      </c>
      <c r="BQ39" s="5" t="str" cm="1">
        <f t="array" ref="BQ39">IFERROR(
    TRANSPOSE(
        _xlfn.UNIQUE(
            _xlfn._xlws.FILTER(MAESTRIA_DETALLADO[MAESTRIA],
                ISNUMBER(MATCH(MAESTRIA_DETALLADO[CAMPO_DETALLADO],
                BD39:BP39,0))
            )
        )
    ),IF(BD39="ACTIVIDAD","DOCENCIA",""))</f>
        <v/>
      </c>
      <c r="EA39" s="5" t="str" cm="1">
        <f t="array" ref="EA39:FN39">IF(
    ASIGNACION!I39="SI",
    IFERROR(
        TRANSPOSE(
            _xlfn.UNIQUE(
                _xlfn._xlws.FILTER(EDU_DOCENTE[NOMBRE_DOCENTE],
                    ISNUMBER(MATCH(EDU_DOCENTE[MAESTRIA],
                    BQ39:DY39,0))
                )
            )
        ),
        ""
    ),
    TRANSPOSE(
        _xlfn.UNIQUE(EDU_DOCENTE[NOMBRE_DOCENTE]
        )
    )
)</f>
        <v>ALCIVAR CEDEÑO BEATRIZ ISABEL</v>
      </c>
      <c r="EB39" t="str">
        <v>ALCIVAR VERA GEMA MICHELLE</v>
      </c>
      <c r="EC39" t="str">
        <v>ARAUZ CHAVEZ MARIO ROBERTO</v>
      </c>
      <c r="ED39" t="str">
        <v>BAILON LOURIDO WALTER ALBERTO</v>
      </c>
      <c r="EE39" t="str">
        <v>CALDERERO VILLAGOMEZ ERICK ANTONIO</v>
      </c>
      <c r="EF39" t="str">
        <v>CASTILLO GARCIA PAOLA GERMANIA</v>
      </c>
      <c r="EG39" t="str">
        <v>CEDEÑO CHOEZ PEDRO JAVIER</v>
      </c>
      <c r="EH39" t="str">
        <v>CEVALLOS HOPPE JUAN CARLOS</v>
      </c>
      <c r="EI39" t="str">
        <v>DELGADO CHAVEZ MARIA IRASEMA</v>
      </c>
      <c r="EJ39" t="str">
        <v>DUARTE VALENCIA CRISTHIAN DARIO</v>
      </c>
      <c r="EK39" t="str">
        <v>FORTTY BARBERAN DENNY ALEXANDER</v>
      </c>
      <c r="EL39" t="str">
        <v>GUTIERREZ ZAMBRANO CARMEN EBELINA</v>
      </c>
      <c r="EM39" t="str">
        <v>INTRIAGO MOLINA GEMA VALERIA</v>
      </c>
      <c r="EN39" t="str">
        <v>LINO VELEZ LEONEL LIVINGTON</v>
      </c>
      <c r="EO39" t="str">
        <v>LOOR ALCIVAR MARIA ILIANA</v>
      </c>
      <c r="EP39" t="str">
        <v>LOOR MIELES TANIA JACQUELINE</v>
      </c>
      <c r="EQ39" t="str">
        <v>LOOR SOLORZANO ROSA MARIA</v>
      </c>
      <c r="ER39" t="str">
        <v>LOPEZ DELGADO RONALD MAURICIO</v>
      </c>
      <c r="ES39" t="str">
        <v>MACIAS VALENCIA DAVID GABRIEL</v>
      </c>
      <c r="ET39" t="str">
        <v>MENDOZA ZAMORA WALTER MANUEL</v>
      </c>
      <c r="EU39" t="str">
        <v>MOLINA CEVALLOS MARIA LORENA</v>
      </c>
      <c r="EV39" t="str">
        <v>MURILLO DELGADO ISAAC GABRIEL</v>
      </c>
      <c r="EW39" t="str">
        <v>ANGULO MURILLO NAVIRA GISSELA</v>
      </c>
      <c r="EX39" t="str">
        <v>OCHOA SOLEDISPA NESTOR IVAN</v>
      </c>
      <c r="EY39" t="str">
        <v>PARRAGA FRANCO SILVANA MARIELA</v>
      </c>
      <c r="EZ39" t="str">
        <v>PINARGOTE VASQUEZ NANCY FABIOLA</v>
      </c>
      <c r="FA39" t="str">
        <v>REYES VELEZ PEDRO ENRIQUE</v>
      </c>
      <c r="FB39" t="str">
        <v>SAN ANDRES HORMAZA DALLAS CECILIA</v>
      </c>
      <c r="FC39" t="str">
        <v>SORNOZA ZAMORA JUAN CARLOS</v>
      </c>
      <c r="FD39" t="str">
        <v>TOMALA PINTO JESUS JACINTO</v>
      </c>
      <c r="FE39" t="str">
        <v>VALLE JARAMILLO SILVIA ARACELY</v>
      </c>
      <c r="FF39" t="str">
        <v>VELÁSQUEZ BRAVO IRMA KATHERINE</v>
      </c>
      <c r="FG39" t="str">
        <v>VELEZ MENDOZA LAYSY VALERIA</v>
      </c>
      <c r="FH39" t="str">
        <v>VINUEZA TELLO SHIRLEY ELIZABETH</v>
      </c>
      <c r="FI39" t="str">
        <v>ZAMBRANO ALCIVAR NILDA ISABEL</v>
      </c>
      <c r="FJ39" t="str">
        <v>ZAMBRANO LOOR RITA MAYDA</v>
      </c>
      <c r="FK39" t="str">
        <v>ZAMBRANO VERA MONICA JANETH</v>
      </c>
      <c r="FL39" t="str">
        <v>VERA DELGADO BRYAN ADRIÁN</v>
      </c>
      <c r="FM39" t="str">
        <v>MORAN GONZALES DAVID RENATO</v>
      </c>
      <c r="FN39">
        <v>0</v>
      </c>
    </row>
    <row r="40" spans="1:170" ht="20.25" customHeight="1">
      <c r="A40" s="4" t="str" cm="1">
        <f t="array" ref="A40">TRANSPOSE(_xlfn.UNIQUE(_xlfn._xlws.FILTER(MAE_ASIGNATURA[ID_NIVEL],MAE_ASIGNATURA[ID_CARRERA]=ASIGNACION!$C40,"No existe información")))</f>
        <v>No existe información</v>
      </c>
      <c r="S40" s="4" t="str" cm="1">
        <f t="array" ref="S40">TRANSPOSE(_xlfn.UNIQUE(_xlfn._xlws.FILTER(MAE_ASIGNATURA[NOM_ASIG],(MAE_ASIGNATURA[ID_NIVEL]=ASIGNACION!$D40)*(MAE_ASIGNATURA[ID_CARRERA]=ASIGNACION!$C40),"No existe información")))</f>
        <v>No existe información</v>
      </c>
      <c r="BD40" s="4" t="str" cm="1">
        <f t="array" ref="BD40">TRANSPOSE(_xlfn.UNIQUE(_xlfn._xlws.FILTER(DET_ASIG[DETALLADO],(DET_ASIG[ID_CARRERA]=ASIGNACION!$C40)*(DET_ASIG[NIVEL]=ASIGNACION!$D40)*(DET_ASIG[ID_ASIG]=ASIGNACION!$G40),"No existe información")))</f>
        <v>No existe información</v>
      </c>
      <c r="BQ40" s="5" t="str" cm="1">
        <f t="array" ref="BQ40">IFERROR(
    TRANSPOSE(
        _xlfn.UNIQUE(
            _xlfn._xlws.FILTER(MAESTRIA_DETALLADO[MAESTRIA],
                ISNUMBER(MATCH(MAESTRIA_DETALLADO[CAMPO_DETALLADO],
                BD40:BP40,0))
            )
        )
    ),IF(BD40="ACTIVIDAD","DOCENCIA",""))</f>
        <v/>
      </c>
      <c r="EA40" s="5" t="str" cm="1">
        <f t="array" ref="EA40:FN40">IF(
    ASIGNACION!I40="SI",
    IFERROR(
        TRANSPOSE(
            _xlfn.UNIQUE(
                _xlfn._xlws.FILTER(EDU_DOCENTE[NOMBRE_DOCENTE],
                    ISNUMBER(MATCH(EDU_DOCENTE[MAESTRIA],
                    BQ40:DY40,0))
                )
            )
        ),
        ""
    ),
    TRANSPOSE(
        _xlfn.UNIQUE(EDU_DOCENTE[NOMBRE_DOCENTE]
        )
    )
)</f>
        <v>ALCIVAR CEDEÑO BEATRIZ ISABEL</v>
      </c>
      <c r="EB40" t="str">
        <v>ALCIVAR VERA GEMA MICHELLE</v>
      </c>
      <c r="EC40" t="str">
        <v>ARAUZ CHAVEZ MARIO ROBERTO</v>
      </c>
      <c r="ED40" t="str">
        <v>BAILON LOURIDO WALTER ALBERTO</v>
      </c>
      <c r="EE40" t="str">
        <v>CALDERERO VILLAGOMEZ ERICK ANTONIO</v>
      </c>
      <c r="EF40" t="str">
        <v>CASTILLO GARCIA PAOLA GERMANIA</v>
      </c>
      <c r="EG40" t="str">
        <v>CEDEÑO CHOEZ PEDRO JAVIER</v>
      </c>
      <c r="EH40" t="str">
        <v>CEVALLOS HOPPE JUAN CARLOS</v>
      </c>
      <c r="EI40" t="str">
        <v>DELGADO CHAVEZ MARIA IRASEMA</v>
      </c>
      <c r="EJ40" t="str">
        <v>DUARTE VALENCIA CRISTHIAN DARIO</v>
      </c>
      <c r="EK40" t="str">
        <v>FORTTY BARBERAN DENNY ALEXANDER</v>
      </c>
      <c r="EL40" t="str">
        <v>GUTIERREZ ZAMBRANO CARMEN EBELINA</v>
      </c>
      <c r="EM40" t="str">
        <v>INTRIAGO MOLINA GEMA VALERIA</v>
      </c>
      <c r="EN40" t="str">
        <v>LINO VELEZ LEONEL LIVINGTON</v>
      </c>
      <c r="EO40" t="str">
        <v>LOOR ALCIVAR MARIA ILIANA</v>
      </c>
      <c r="EP40" t="str">
        <v>LOOR MIELES TANIA JACQUELINE</v>
      </c>
      <c r="EQ40" t="str">
        <v>LOOR SOLORZANO ROSA MARIA</v>
      </c>
      <c r="ER40" t="str">
        <v>LOPEZ DELGADO RONALD MAURICIO</v>
      </c>
      <c r="ES40" t="str">
        <v>MACIAS VALENCIA DAVID GABRIEL</v>
      </c>
      <c r="ET40" t="str">
        <v>MENDOZA ZAMORA WALTER MANUEL</v>
      </c>
      <c r="EU40" t="str">
        <v>MOLINA CEVALLOS MARIA LORENA</v>
      </c>
      <c r="EV40" t="str">
        <v>MURILLO DELGADO ISAAC GABRIEL</v>
      </c>
      <c r="EW40" t="str">
        <v>ANGULO MURILLO NAVIRA GISSELA</v>
      </c>
      <c r="EX40" t="str">
        <v>OCHOA SOLEDISPA NESTOR IVAN</v>
      </c>
      <c r="EY40" t="str">
        <v>PARRAGA FRANCO SILVANA MARIELA</v>
      </c>
      <c r="EZ40" t="str">
        <v>PINARGOTE VASQUEZ NANCY FABIOLA</v>
      </c>
      <c r="FA40" t="str">
        <v>REYES VELEZ PEDRO ENRIQUE</v>
      </c>
      <c r="FB40" t="str">
        <v>SAN ANDRES HORMAZA DALLAS CECILIA</v>
      </c>
      <c r="FC40" t="str">
        <v>SORNOZA ZAMORA JUAN CARLOS</v>
      </c>
      <c r="FD40" t="str">
        <v>TOMALA PINTO JESUS JACINTO</v>
      </c>
      <c r="FE40" t="str">
        <v>VALLE JARAMILLO SILVIA ARACELY</v>
      </c>
      <c r="FF40" t="str">
        <v>VELÁSQUEZ BRAVO IRMA KATHERINE</v>
      </c>
      <c r="FG40" t="str">
        <v>VELEZ MENDOZA LAYSY VALERIA</v>
      </c>
      <c r="FH40" t="str">
        <v>VINUEZA TELLO SHIRLEY ELIZABETH</v>
      </c>
      <c r="FI40" t="str">
        <v>ZAMBRANO ALCIVAR NILDA ISABEL</v>
      </c>
      <c r="FJ40" t="str">
        <v>ZAMBRANO LOOR RITA MAYDA</v>
      </c>
      <c r="FK40" t="str">
        <v>ZAMBRANO VERA MONICA JANETH</v>
      </c>
      <c r="FL40" t="str">
        <v>VERA DELGADO BRYAN ADRIÁN</v>
      </c>
      <c r="FM40" t="str">
        <v>MORAN GONZALES DAVID RENATO</v>
      </c>
      <c r="FN40">
        <v>0</v>
      </c>
    </row>
    <row r="41" spans="1:170" ht="20.25" customHeight="1">
      <c r="A41" s="4" t="str" cm="1">
        <f t="array" ref="A41">TRANSPOSE(_xlfn.UNIQUE(_xlfn._xlws.FILTER(MAE_ASIGNATURA[ID_NIVEL],MAE_ASIGNATURA[ID_CARRERA]=ASIGNACION!$C41,"No existe información")))</f>
        <v>No existe información</v>
      </c>
      <c r="S41" s="4" t="str" cm="1">
        <f t="array" ref="S41">TRANSPOSE(_xlfn.UNIQUE(_xlfn._xlws.FILTER(MAE_ASIGNATURA[NOM_ASIG],(MAE_ASIGNATURA[ID_NIVEL]=ASIGNACION!$D41)*(MAE_ASIGNATURA[ID_CARRERA]=ASIGNACION!$C41),"No existe información")))</f>
        <v>No existe información</v>
      </c>
      <c r="BD41" s="4" t="str" cm="1">
        <f t="array" ref="BD41">TRANSPOSE(_xlfn.UNIQUE(_xlfn._xlws.FILTER(DET_ASIG[DETALLADO],(DET_ASIG[ID_CARRERA]=ASIGNACION!$C41)*(DET_ASIG[NIVEL]=ASIGNACION!$D41)*(DET_ASIG[ID_ASIG]=ASIGNACION!$G41),"No existe información")))</f>
        <v>No existe información</v>
      </c>
      <c r="BQ41" s="5" t="str" cm="1">
        <f t="array" ref="BQ41">IFERROR(
    TRANSPOSE(
        _xlfn.UNIQUE(
            _xlfn._xlws.FILTER(MAESTRIA_DETALLADO[MAESTRIA],
                ISNUMBER(MATCH(MAESTRIA_DETALLADO[CAMPO_DETALLADO],
                BD41:BP41,0))
            )
        )
    ),IF(BD41="ACTIVIDAD","DOCENCIA",""))</f>
        <v/>
      </c>
      <c r="EA41" s="5" t="str" cm="1">
        <f t="array" ref="EA41:FN41">IF(
    ASIGNACION!I41="SI",
    IFERROR(
        TRANSPOSE(
            _xlfn.UNIQUE(
                _xlfn._xlws.FILTER(EDU_DOCENTE[NOMBRE_DOCENTE],
                    ISNUMBER(MATCH(EDU_DOCENTE[MAESTRIA],
                    BQ41:DY41,0))
                )
            )
        ),
        ""
    ),
    TRANSPOSE(
        _xlfn.UNIQUE(EDU_DOCENTE[NOMBRE_DOCENTE]
        )
    )
)</f>
        <v>ALCIVAR CEDEÑO BEATRIZ ISABEL</v>
      </c>
      <c r="EB41" t="str">
        <v>ALCIVAR VERA GEMA MICHELLE</v>
      </c>
      <c r="EC41" t="str">
        <v>ARAUZ CHAVEZ MARIO ROBERTO</v>
      </c>
      <c r="ED41" t="str">
        <v>BAILON LOURIDO WALTER ALBERTO</v>
      </c>
      <c r="EE41" t="str">
        <v>CALDERERO VILLAGOMEZ ERICK ANTONIO</v>
      </c>
      <c r="EF41" t="str">
        <v>CASTILLO GARCIA PAOLA GERMANIA</v>
      </c>
      <c r="EG41" t="str">
        <v>CEDEÑO CHOEZ PEDRO JAVIER</v>
      </c>
      <c r="EH41" t="str">
        <v>CEVALLOS HOPPE JUAN CARLOS</v>
      </c>
      <c r="EI41" t="str">
        <v>DELGADO CHAVEZ MARIA IRASEMA</v>
      </c>
      <c r="EJ41" t="str">
        <v>DUARTE VALENCIA CRISTHIAN DARIO</v>
      </c>
      <c r="EK41" t="str">
        <v>FORTTY BARBERAN DENNY ALEXANDER</v>
      </c>
      <c r="EL41" t="str">
        <v>GUTIERREZ ZAMBRANO CARMEN EBELINA</v>
      </c>
      <c r="EM41" t="str">
        <v>INTRIAGO MOLINA GEMA VALERIA</v>
      </c>
      <c r="EN41" t="str">
        <v>LINO VELEZ LEONEL LIVINGTON</v>
      </c>
      <c r="EO41" t="str">
        <v>LOOR ALCIVAR MARIA ILIANA</v>
      </c>
      <c r="EP41" t="str">
        <v>LOOR MIELES TANIA JACQUELINE</v>
      </c>
      <c r="EQ41" t="str">
        <v>LOOR SOLORZANO ROSA MARIA</v>
      </c>
      <c r="ER41" t="str">
        <v>LOPEZ DELGADO RONALD MAURICIO</v>
      </c>
      <c r="ES41" t="str">
        <v>MACIAS VALENCIA DAVID GABRIEL</v>
      </c>
      <c r="ET41" t="str">
        <v>MENDOZA ZAMORA WALTER MANUEL</v>
      </c>
      <c r="EU41" t="str">
        <v>MOLINA CEVALLOS MARIA LORENA</v>
      </c>
      <c r="EV41" t="str">
        <v>MURILLO DELGADO ISAAC GABRIEL</v>
      </c>
      <c r="EW41" t="str">
        <v>ANGULO MURILLO NAVIRA GISSELA</v>
      </c>
      <c r="EX41" t="str">
        <v>OCHOA SOLEDISPA NESTOR IVAN</v>
      </c>
      <c r="EY41" t="str">
        <v>PARRAGA FRANCO SILVANA MARIELA</v>
      </c>
      <c r="EZ41" t="str">
        <v>PINARGOTE VASQUEZ NANCY FABIOLA</v>
      </c>
      <c r="FA41" t="str">
        <v>REYES VELEZ PEDRO ENRIQUE</v>
      </c>
      <c r="FB41" t="str">
        <v>SAN ANDRES HORMAZA DALLAS CECILIA</v>
      </c>
      <c r="FC41" t="str">
        <v>SORNOZA ZAMORA JUAN CARLOS</v>
      </c>
      <c r="FD41" t="str">
        <v>TOMALA PINTO JESUS JACINTO</v>
      </c>
      <c r="FE41" t="str">
        <v>VALLE JARAMILLO SILVIA ARACELY</v>
      </c>
      <c r="FF41" t="str">
        <v>VELÁSQUEZ BRAVO IRMA KATHERINE</v>
      </c>
      <c r="FG41" t="str">
        <v>VELEZ MENDOZA LAYSY VALERIA</v>
      </c>
      <c r="FH41" t="str">
        <v>VINUEZA TELLO SHIRLEY ELIZABETH</v>
      </c>
      <c r="FI41" t="str">
        <v>ZAMBRANO ALCIVAR NILDA ISABEL</v>
      </c>
      <c r="FJ41" t="str">
        <v>ZAMBRANO LOOR RITA MAYDA</v>
      </c>
      <c r="FK41" t="str">
        <v>ZAMBRANO VERA MONICA JANETH</v>
      </c>
      <c r="FL41" t="str">
        <v>VERA DELGADO BRYAN ADRIÁN</v>
      </c>
      <c r="FM41" t="str">
        <v>MORAN GONZALES DAVID RENATO</v>
      </c>
      <c r="FN41">
        <v>0</v>
      </c>
    </row>
    <row r="42" spans="1:170" ht="20.25" customHeight="1">
      <c r="A42" s="4" t="str" cm="1">
        <f t="array" ref="A42">TRANSPOSE(_xlfn.UNIQUE(_xlfn._xlws.FILTER(MAE_ASIGNATURA[ID_NIVEL],MAE_ASIGNATURA[ID_CARRERA]=ASIGNACION!$C42,"No existe información")))</f>
        <v>No existe información</v>
      </c>
      <c r="S42" s="4" t="str" cm="1">
        <f t="array" ref="S42">TRANSPOSE(_xlfn.UNIQUE(_xlfn._xlws.FILTER(MAE_ASIGNATURA[NOM_ASIG],(MAE_ASIGNATURA[ID_NIVEL]=ASIGNACION!$D42)*(MAE_ASIGNATURA[ID_CARRERA]=ASIGNACION!$C42),"No existe información")))</f>
        <v>No existe información</v>
      </c>
      <c r="BD42" s="4" t="str" cm="1">
        <f t="array" ref="BD42">TRANSPOSE(_xlfn.UNIQUE(_xlfn._xlws.FILTER(DET_ASIG[DETALLADO],(DET_ASIG[ID_CARRERA]=ASIGNACION!$C42)*(DET_ASIG[NIVEL]=ASIGNACION!$D42)*(DET_ASIG[ID_ASIG]=ASIGNACION!$G42),"No existe información")))</f>
        <v>No existe información</v>
      </c>
      <c r="BQ42" s="5" t="str" cm="1">
        <f t="array" ref="BQ42">IFERROR(
    TRANSPOSE(
        _xlfn.UNIQUE(
            _xlfn._xlws.FILTER(MAESTRIA_DETALLADO[MAESTRIA],
                ISNUMBER(MATCH(MAESTRIA_DETALLADO[CAMPO_DETALLADO],
                BD42:BP42,0))
            )
        )
    ),IF(BD42="ACTIVIDAD","DOCENCIA",""))</f>
        <v/>
      </c>
      <c r="EA42" s="5" t="str" cm="1">
        <f t="array" ref="EA42:FN42">IF(
    ASIGNACION!I42="SI",
    IFERROR(
        TRANSPOSE(
            _xlfn.UNIQUE(
                _xlfn._xlws.FILTER(EDU_DOCENTE[NOMBRE_DOCENTE],
                    ISNUMBER(MATCH(EDU_DOCENTE[MAESTRIA],
                    BQ42:DY42,0))
                )
            )
        ),
        ""
    ),
    TRANSPOSE(
        _xlfn.UNIQUE(EDU_DOCENTE[NOMBRE_DOCENTE]
        )
    )
)</f>
        <v>ALCIVAR CEDEÑO BEATRIZ ISABEL</v>
      </c>
      <c r="EB42" t="str">
        <v>ALCIVAR VERA GEMA MICHELLE</v>
      </c>
      <c r="EC42" t="str">
        <v>ARAUZ CHAVEZ MARIO ROBERTO</v>
      </c>
      <c r="ED42" t="str">
        <v>BAILON LOURIDO WALTER ALBERTO</v>
      </c>
      <c r="EE42" t="str">
        <v>CALDERERO VILLAGOMEZ ERICK ANTONIO</v>
      </c>
      <c r="EF42" t="str">
        <v>CASTILLO GARCIA PAOLA GERMANIA</v>
      </c>
      <c r="EG42" t="str">
        <v>CEDEÑO CHOEZ PEDRO JAVIER</v>
      </c>
      <c r="EH42" t="str">
        <v>CEVALLOS HOPPE JUAN CARLOS</v>
      </c>
      <c r="EI42" t="str">
        <v>DELGADO CHAVEZ MARIA IRASEMA</v>
      </c>
      <c r="EJ42" t="str">
        <v>DUARTE VALENCIA CRISTHIAN DARIO</v>
      </c>
      <c r="EK42" t="str">
        <v>FORTTY BARBERAN DENNY ALEXANDER</v>
      </c>
      <c r="EL42" t="str">
        <v>GUTIERREZ ZAMBRANO CARMEN EBELINA</v>
      </c>
      <c r="EM42" t="str">
        <v>INTRIAGO MOLINA GEMA VALERIA</v>
      </c>
      <c r="EN42" t="str">
        <v>LINO VELEZ LEONEL LIVINGTON</v>
      </c>
      <c r="EO42" t="str">
        <v>LOOR ALCIVAR MARIA ILIANA</v>
      </c>
      <c r="EP42" t="str">
        <v>LOOR MIELES TANIA JACQUELINE</v>
      </c>
      <c r="EQ42" t="str">
        <v>LOOR SOLORZANO ROSA MARIA</v>
      </c>
      <c r="ER42" t="str">
        <v>LOPEZ DELGADO RONALD MAURICIO</v>
      </c>
      <c r="ES42" t="str">
        <v>MACIAS VALENCIA DAVID GABRIEL</v>
      </c>
      <c r="ET42" t="str">
        <v>MENDOZA ZAMORA WALTER MANUEL</v>
      </c>
      <c r="EU42" t="str">
        <v>MOLINA CEVALLOS MARIA LORENA</v>
      </c>
      <c r="EV42" t="str">
        <v>MURILLO DELGADO ISAAC GABRIEL</v>
      </c>
      <c r="EW42" t="str">
        <v>ANGULO MURILLO NAVIRA GISSELA</v>
      </c>
      <c r="EX42" t="str">
        <v>OCHOA SOLEDISPA NESTOR IVAN</v>
      </c>
      <c r="EY42" t="str">
        <v>PARRAGA FRANCO SILVANA MARIELA</v>
      </c>
      <c r="EZ42" t="str">
        <v>PINARGOTE VASQUEZ NANCY FABIOLA</v>
      </c>
      <c r="FA42" t="str">
        <v>REYES VELEZ PEDRO ENRIQUE</v>
      </c>
      <c r="FB42" t="str">
        <v>SAN ANDRES HORMAZA DALLAS CECILIA</v>
      </c>
      <c r="FC42" t="str">
        <v>SORNOZA ZAMORA JUAN CARLOS</v>
      </c>
      <c r="FD42" t="str">
        <v>TOMALA PINTO JESUS JACINTO</v>
      </c>
      <c r="FE42" t="str">
        <v>VALLE JARAMILLO SILVIA ARACELY</v>
      </c>
      <c r="FF42" t="str">
        <v>VELÁSQUEZ BRAVO IRMA KATHERINE</v>
      </c>
      <c r="FG42" t="str">
        <v>VELEZ MENDOZA LAYSY VALERIA</v>
      </c>
      <c r="FH42" t="str">
        <v>VINUEZA TELLO SHIRLEY ELIZABETH</v>
      </c>
      <c r="FI42" t="str">
        <v>ZAMBRANO ALCIVAR NILDA ISABEL</v>
      </c>
      <c r="FJ42" t="str">
        <v>ZAMBRANO LOOR RITA MAYDA</v>
      </c>
      <c r="FK42" t="str">
        <v>ZAMBRANO VERA MONICA JANETH</v>
      </c>
      <c r="FL42" t="str">
        <v>VERA DELGADO BRYAN ADRIÁN</v>
      </c>
      <c r="FM42" t="str">
        <v>MORAN GONZALES DAVID RENATO</v>
      </c>
      <c r="FN42">
        <v>0</v>
      </c>
    </row>
    <row r="43" spans="1:170" ht="20.25" customHeight="1">
      <c r="A43" s="4" t="str" cm="1">
        <f t="array" ref="A43">TRANSPOSE(_xlfn.UNIQUE(_xlfn._xlws.FILTER(MAE_ASIGNATURA[ID_NIVEL],MAE_ASIGNATURA[ID_CARRERA]=ASIGNACION!$C43,"No existe información")))</f>
        <v>No existe información</v>
      </c>
      <c r="S43" s="4" t="str" cm="1">
        <f t="array" ref="S43">TRANSPOSE(_xlfn.UNIQUE(_xlfn._xlws.FILTER(MAE_ASIGNATURA[NOM_ASIG],(MAE_ASIGNATURA[ID_NIVEL]=ASIGNACION!$D43)*(MAE_ASIGNATURA[ID_CARRERA]=ASIGNACION!$C43),"No existe información")))</f>
        <v>No existe información</v>
      </c>
      <c r="BD43" s="4" t="str" cm="1">
        <f t="array" ref="BD43">TRANSPOSE(_xlfn.UNIQUE(_xlfn._xlws.FILTER(DET_ASIG[DETALLADO],(DET_ASIG[ID_CARRERA]=ASIGNACION!$C43)*(DET_ASIG[NIVEL]=ASIGNACION!$D43)*(DET_ASIG[ID_ASIG]=ASIGNACION!$G43),"No existe información")))</f>
        <v>No existe información</v>
      </c>
      <c r="BQ43" s="5" t="str" cm="1">
        <f t="array" ref="BQ43">IFERROR(
    TRANSPOSE(
        _xlfn.UNIQUE(
            _xlfn._xlws.FILTER(MAESTRIA_DETALLADO[MAESTRIA],
                ISNUMBER(MATCH(MAESTRIA_DETALLADO[CAMPO_DETALLADO],
                BD43:BP43,0))
            )
        )
    ),IF(BD43="ACTIVIDAD","DOCENCIA",""))</f>
        <v/>
      </c>
      <c r="EA43" s="5" t="str" cm="1">
        <f t="array" ref="EA43:FN43">IF(
    ASIGNACION!I43="SI",
    IFERROR(
        TRANSPOSE(
            _xlfn.UNIQUE(
                _xlfn._xlws.FILTER(EDU_DOCENTE[NOMBRE_DOCENTE],
                    ISNUMBER(MATCH(EDU_DOCENTE[MAESTRIA],
                    BQ43:DY43,0))
                )
            )
        ),
        ""
    ),
    TRANSPOSE(
        _xlfn.UNIQUE(EDU_DOCENTE[NOMBRE_DOCENTE]
        )
    )
)</f>
        <v>ALCIVAR CEDEÑO BEATRIZ ISABEL</v>
      </c>
      <c r="EB43" t="str">
        <v>ALCIVAR VERA GEMA MICHELLE</v>
      </c>
      <c r="EC43" t="str">
        <v>ARAUZ CHAVEZ MARIO ROBERTO</v>
      </c>
      <c r="ED43" t="str">
        <v>BAILON LOURIDO WALTER ALBERTO</v>
      </c>
      <c r="EE43" t="str">
        <v>CALDERERO VILLAGOMEZ ERICK ANTONIO</v>
      </c>
      <c r="EF43" t="str">
        <v>CASTILLO GARCIA PAOLA GERMANIA</v>
      </c>
      <c r="EG43" t="str">
        <v>CEDEÑO CHOEZ PEDRO JAVIER</v>
      </c>
      <c r="EH43" t="str">
        <v>CEVALLOS HOPPE JUAN CARLOS</v>
      </c>
      <c r="EI43" t="str">
        <v>DELGADO CHAVEZ MARIA IRASEMA</v>
      </c>
      <c r="EJ43" t="str">
        <v>DUARTE VALENCIA CRISTHIAN DARIO</v>
      </c>
      <c r="EK43" t="str">
        <v>FORTTY BARBERAN DENNY ALEXANDER</v>
      </c>
      <c r="EL43" t="str">
        <v>GUTIERREZ ZAMBRANO CARMEN EBELINA</v>
      </c>
      <c r="EM43" t="str">
        <v>INTRIAGO MOLINA GEMA VALERIA</v>
      </c>
      <c r="EN43" t="str">
        <v>LINO VELEZ LEONEL LIVINGTON</v>
      </c>
      <c r="EO43" t="str">
        <v>LOOR ALCIVAR MARIA ILIANA</v>
      </c>
      <c r="EP43" t="str">
        <v>LOOR MIELES TANIA JACQUELINE</v>
      </c>
      <c r="EQ43" t="str">
        <v>LOOR SOLORZANO ROSA MARIA</v>
      </c>
      <c r="ER43" t="str">
        <v>LOPEZ DELGADO RONALD MAURICIO</v>
      </c>
      <c r="ES43" t="str">
        <v>MACIAS VALENCIA DAVID GABRIEL</v>
      </c>
      <c r="ET43" t="str">
        <v>MENDOZA ZAMORA WALTER MANUEL</v>
      </c>
      <c r="EU43" t="str">
        <v>MOLINA CEVALLOS MARIA LORENA</v>
      </c>
      <c r="EV43" t="str">
        <v>MURILLO DELGADO ISAAC GABRIEL</v>
      </c>
      <c r="EW43" t="str">
        <v>ANGULO MURILLO NAVIRA GISSELA</v>
      </c>
      <c r="EX43" t="str">
        <v>OCHOA SOLEDISPA NESTOR IVAN</v>
      </c>
      <c r="EY43" t="str">
        <v>PARRAGA FRANCO SILVANA MARIELA</v>
      </c>
      <c r="EZ43" t="str">
        <v>PINARGOTE VASQUEZ NANCY FABIOLA</v>
      </c>
      <c r="FA43" t="str">
        <v>REYES VELEZ PEDRO ENRIQUE</v>
      </c>
      <c r="FB43" t="str">
        <v>SAN ANDRES HORMAZA DALLAS CECILIA</v>
      </c>
      <c r="FC43" t="str">
        <v>SORNOZA ZAMORA JUAN CARLOS</v>
      </c>
      <c r="FD43" t="str">
        <v>TOMALA PINTO JESUS JACINTO</v>
      </c>
      <c r="FE43" t="str">
        <v>VALLE JARAMILLO SILVIA ARACELY</v>
      </c>
      <c r="FF43" t="str">
        <v>VELÁSQUEZ BRAVO IRMA KATHERINE</v>
      </c>
      <c r="FG43" t="str">
        <v>VELEZ MENDOZA LAYSY VALERIA</v>
      </c>
      <c r="FH43" t="str">
        <v>VINUEZA TELLO SHIRLEY ELIZABETH</v>
      </c>
      <c r="FI43" t="str">
        <v>ZAMBRANO ALCIVAR NILDA ISABEL</v>
      </c>
      <c r="FJ43" t="str">
        <v>ZAMBRANO LOOR RITA MAYDA</v>
      </c>
      <c r="FK43" t="str">
        <v>ZAMBRANO VERA MONICA JANETH</v>
      </c>
      <c r="FL43" t="str">
        <v>VERA DELGADO BRYAN ADRIÁN</v>
      </c>
      <c r="FM43" t="str">
        <v>MORAN GONZALES DAVID RENATO</v>
      </c>
      <c r="FN43">
        <v>0</v>
      </c>
    </row>
    <row r="44" spans="1:170" ht="20.25" customHeight="1">
      <c r="A44" s="4" t="str" cm="1">
        <f t="array" ref="A44">TRANSPOSE(_xlfn.UNIQUE(_xlfn._xlws.FILTER(MAE_ASIGNATURA[ID_NIVEL],MAE_ASIGNATURA[ID_CARRERA]=ASIGNACION!$C44,"No existe información")))</f>
        <v>No existe información</v>
      </c>
      <c r="S44" s="4" t="str" cm="1">
        <f t="array" ref="S44">TRANSPOSE(_xlfn.UNIQUE(_xlfn._xlws.FILTER(MAE_ASIGNATURA[NOM_ASIG],(MAE_ASIGNATURA[ID_NIVEL]=ASIGNACION!$D44)*(MAE_ASIGNATURA[ID_CARRERA]=ASIGNACION!$C44),"No existe información")))</f>
        <v>No existe información</v>
      </c>
      <c r="BD44" s="4" t="str" cm="1">
        <f t="array" ref="BD44">TRANSPOSE(_xlfn.UNIQUE(_xlfn._xlws.FILTER(DET_ASIG[DETALLADO],(DET_ASIG[ID_CARRERA]=ASIGNACION!$C44)*(DET_ASIG[NIVEL]=ASIGNACION!$D44)*(DET_ASIG[ID_ASIG]=ASIGNACION!$G44),"No existe información")))</f>
        <v>No existe información</v>
      </c>
      <c r="BQ44" s="5" t="str" cm="1">
        <f t="array" ref="BQ44">IFERROR(
    TRANSPOSE(
        _xlfn.UNIQUE(
            _xlfn._xlws.FILTER(MAESTRIA_DETALLADO[MAESTRIA],
                ISNUMBER(MATCH(MAESTRIA_DETALLADO[CAMPO_DETALLADO],
                BD44:BP44,0))
            )
        )
    ),IF(BD44="ACTIVIDAD","DOCENCIA",""))</f>
        <v/>
      </c>
      <c r="EA44" s="5" t="str" cm="1">
        <f t="array" ref="EA44:FN44">IF(
    ASIGNACION!I44="SI",
    IFERROR(
        TRANSPOSE(
            _xlfn.UNIQUE(
                _xlfn._xlws.FILTER(EDU_DOCENTE[NOMBRE_DOCENTE],
                    ISNUMBER(MATCH(EDU_DOCENTE[MAESTRIA],
                    BQ44:DY44,0))
                )
            )
        ),
        ""
    ),
    TRANSPOSE(
        _xlfn.UNIQUE(EDU_DOCENTE[NOMBRE_DOCENTE]
        )
    )
)</f>
        <v>ALCIVAR CEDEÑO BEATRIZ ISABEL</v>
      </c>
      <c r="EB44" t="str">
        <v>ALCIVAR VERA GEMA MICHELLE</v>
      </c>
      <c r="EC44" t="str">
        <v>ARAUZ CHAVEZ MARIO ROBERTO</v>
      </c>
      <c r="ED44" t="str">
        <v>BAILON LOURIDO WALTER ALBERTO</v>
      </c>
      <c r="EE44" t="str">
        <v>CALDERERO VILLAGOMEZ ERICK ANTONIO</v>
      </c>
      <c r="EF44" t="str">
        <v>CASTILLO GARCIA PAOLA GERMANIA</v>
      </c>
      <c r="EG44" t="str">
        <v>CEDEÑO CHOEZ PEDRO JAVIER</v>
      </c>
      <c r="EH44" t="str">
        <v>CEVALLOS HOPPE JUAN CARLOS</v>
      </c>
      <c r="EI44" t="str">
        <v>DELGADO CHAVEZ MARIA IRASEMA</v>
      </c>
      <c r="EJ44" t="str">
        <v>DUARTE VALENCIA CRISTHIAN DARIO</v>
      </c>
      <c r="EK44" t="str">
        <v>FORTTY BARBERAN DENNY ALEXANDER</v>
      </c>
      <c r="EL44" t="str">
        <v>GUTIERREZ ZAMBRANO CARMEN EBELINA</v>
      </c>
      <c r="EM44" t="str">
        <v>INTRIAGO MOLINA GEMA VALERIA</v>
      </c>
      <c r="EN44" t="str">
        <v>LINO VELEZ LEONEL LIVINGTON</v>
      </c>
      <c r="EO44" t="str">
        <v>LOOR ALCIVAR MARIA ILIANA</v>
      </c>
      <c r="EP44" t="str">
        <v>LOOR MIELES TANIA JACQUELINE</v>
      </c>
      <c r="EQ44" t="str">
        <v>LOOR SOLORZANO ROSA MARIA</v>
      </c>
      <c r="ER44" t="str">
        <v>LOPEZ DELGADO RONALD MAURICIO</v>
      </c>
      <c r="ES44" t="str">
        <v>MACIAS VALENCIA DAVID GABRIEL</v>
      </c>
      <c r="ET44" t="str">
        <v>MENDOZA ZAMORA WALTER MANUEL</v>
      </c>
      <c r="EU44" t="str">
        <v>MOLINA CEVALLOS MARIA LORENA</v>
      </c>
      <c r="EV44" t="str">
        <v>MURILLO DELGADO ISAAC GABRIEL</v>
      </c>
      <c r="EW44" t="str">
        <v>ANGULO MURILLO NAVIRA GISSELA</v>
      </c>
      <c r="EX44" t="str">
        <v>OCHOA SOLEDISPA NESTOR IVAN</v>
      </c>
      <c r="EY44" t="str">
        <v>PARRAGA FRANCO SILVANA MARIELA</v>
      </c>
      <c r="EZ44" t="str">
        <v>PINARGOTE VASQUEZ NANCY FABIOLA</v>
      </c>
      <c r="FA44" t="str">
        <v>REYES VELEZ PEDRO ENRIQUE</v>
      </c>
      <c r="FB44" t="str">
        <v>SAN ANDRES HORMAZA DALLAS CECILIA</v>
      </c>
      <c r="FC44" t="str">
        <v>SORNOZA ZAMORA JUAN CARLOS</v>
      </c>
      <c r="FD44" t="str">
        <v>TOMALA PINTO JESUS JACINTO</v>
      </c>
      <c r="FE44" t="str">
        <v>VALLE JARAMILLO SILVIA ARACELY</v>
      </c>
      <c r="FF44" t="str">
        <v>VELÁSQUEZ BRAVO IRMA KATHERINE</v>
      </c>
      <c r="FG44" t="str">
        <v>VELEZ MENDOZA LAYSY VALERIA</v>
      </c>
      <c r="FH44" t="str">
        <v>VINUEZA TELLO SHIRLEY ELIZABETH</v>
      </c>
      <c r="FI44" t="str">
        <v>ZAMBRANO ALCIVAR NILDA ISABEL</v>
      </c>
      <c r="FJ44" t="str">
        <v>ZAMBRANO LOOR RITA MAYDA</v>
      </c>
      <c r="FK44" t="str">
        <v>ZAMBRANO VERA MONICA JANETH</v>
      </c>
      <c r="FL44" t="str">
        <v>VERA DELGADO BRYAN ADRIÁN</v>
      </c>
      <c r="FM44" t="str">
        <v>MORAN GONZALES DAVID RENATO</v>
      </c>
      <c r="FN44">
        <v>0</v>
      </c>
    </row>
    <row r="45" spans="1:170" ht="20.25" customHeight="1">
      <c r="A45" s="4" t="str" cm="1">
        <f t="array" ref="A45">TRANSPOSE(_xlfn.UNIQUE(_xlfn._xlws.FILTER(MAE_ASIGNATURA[ID_NIVEL],MAE_ASIGNATURA[ID_CARRERA]=ASIGNACION!$C45,"No existe información")))</f>
        <v>No existe información</v>
      </c>
      <c r="S45" s="4" t="str" cm="1">
        <f t="array" ref="S45">TRANSPOSE(_xlfn.UNIQUE(_xlfn._xlws.FILTER(MAE_ASIGNATURA[NOM_ASIG],(MAE_ASIGNATURA[ID_NIVEL]=ASIGNACION!$D45)*(MAE_ASIGNATURA[ID_CARRERA]=ASIGNACION!$C45),"No existe información")))</f>
        <v>No existe información</v>
      </c>
      <c r="BD45" s="4" t="str" cm="1">
        <f t="array" ref="BD45">TRANSPOSE(_xlfn.UNIQUE(_xlfn._xlws.FILTER(DET_ASIG[DETALLADO],(DET_ASIG[ID_CARRERA]=ASIGNACION!$C45)*(DET_ASIG[NIVEL]=ASIGNACION!$D45)*(DET_ASIG[ID_ASIG]=ASIGNACION!$G45),"No existe información")))</f>
        <v>No existe información</v>
      </c>
      <c r="BQ45" s="5" t="str" cm="1">
        <f t="array" ref="BQ45">IFERROR(
    TRANSPOSE(
        _xlfn.UNIQUE(
            _xlfn._xlws.FILTER(MAESTRIA_DETALLADO[MAESTRIA],
                ISNUMBER(MATCH(MAESTRIA_DETALLADO[CAMPO_DETALLADO],
                BD45:BP45,0))
            )
        )
    ),IF(BD45="ACTIVIDAD","DOCENCIA",""))</f>
        <v/>
      </c>
      <c r="EA45" s="5" t="str" cm="1">
        <f t="array" ref="EA45:FN45">IF(
    ASIGNACION!I45="SI",
    IFERROR(
        TRANSPOSE(
            _xlfn.UNIQUE(
                _xlfn._xlws.FILTER(EDU_DOCENTE[NOMBRE_DOCENTE],
                    ISNUMBER(MATCH(EDU_DOCENTE[MAESTRIA],
                    BQ45:DY45,0))
                )
            )
        ),
        ""
    ),
    TRANSPOSE(
        _xlfn.UNIQUE(EDU_DOCENTE[NOMBRE_DOCENTE]
        )
    )
)</f>
        <v>ALCIVAR CEDEÑO BEATRIZ ISABEL</v>
      </c>
      <c r="EB45" t="str">
        <v>ALCIVAR VERA GEMA MICHELLE</v>
      </c>
      <c r="EC45" t="str">
        <v>ARAUZ CHAVEZ MARIO ROBERTO</v>
      </c>
      <c r="ED45" t="str">
        <v>BAILON LOURIDO WALTER ALBERTO</v>
      </c>
      <c r="EE45" t="str">
        <v>CALDERERO VILLAGOMEZ ERICK ANTONIO</v>
      </c>
      <c r="EF45" t="str">
        <v>CASTILLO GARCIA PAOLA GERMANIA</v>
      </c>
      <c r="EG45" t="str">
        <v>CEDEÑO CHOEZ PEDRO JAVIER</v>
      </c>
      <c r="EH45" t="str">
        <v>CEVALLOS HOPPE JUAN CARLOS</v>
      </c>
      <c r="EI45" t="str">
        <v>DELGADO CHAVEZ MARIA IRASEMA</v>
      </c>
      <c r="EJ45" t="str">
        <v>DUARTE VALENCIA CRISTHIAN DARIO</v>
      </c>
      <c r="EK45" t="str">
        <v>FORTTY BARBERAN DENNY ALEXANDER</v>
      </c>
      <c r="EL45" t="str">
        <v>GUTIERREZ ZAMBRANO CARMEN EBELINA</v>
      </c>
      <c r="EM45" t="str">
        <v>INTRIAGO MOLINA GEMA VALERIA</v>
      </c>
      <c r="EN45" t="str">
        <v>LINO VELEZ LEONEL LIVINGTON</v>
      </c>
      <c r="EO45" t="str">
        <v>LOOR ALCIVAR MARIA ILIANA</v>
      </c>
      <c r="EP45" t="str">
        <v>LOOR MIELES TANIA JACQUELINE</v>
      </c>
      <c r="EQ45" t="str">
        <v>LOOR SOLORZANO ROSA MARIA</v>
      </c>
      <c r="ER45" t="str">
        <v>LOPEZ DELGADO RONALD MAURICIO</v>
      </c>
      <c r="ES45" t="str">
        <v>MACIAS VALENCIA DAVID GABRIEL</v>
      </c>
      <c r="ET45" t="str">
        <v>MENDOZA ZAMORA WALTER MANUEL</v>
      </c>
      <c r="EU45" t="str">
        <v>MOLINA CEVALLOS MARIA LORENA</v>
      </c>
      <c r="EV45" t="str">
        <v>MURILLO DELGADO ISAAC GABRIEL</v>
      </c>
      <c r="EW45" t="str">
        <v>ANGULO MURILLO NAVIRA GISSELA</v>
      </c>
      <c r="EX45" t="str">
        <v>OCHOA SOLEDISPA NESTOR IVAN</v>
      </c>
      <c r="EY45" t="str">
        <v>PARRAGA FRANCO SILVANA MARIELA</v>
      </c>
      <c r="EZ45" t="str">
        <v>PINARGOTE VASQUEZ NANCY FABIOLA</v>
      </c>
      <c r="FA45" t="str">
        <v>REYES VELEZ PEDRO ENRIQUE</v>
      </c>
      <c r="FB45" t="str">
        <v>SAN ANDRES HORMAZA DALLAS CECILIA</v>
      </c>
      <c r="FC45" t="str">
        <v>SORNOZA ZAMORA JUAN CARLOS</v>
      </c>
      <c r="FD45" t="str">
        <v>TOMALA PINTO JESUS JACINTO</v>
      </c>
      <c r="FE45" t="str">
        <v>VALLE JARAMILLO SILVIA ARACELY</v>
      </c>
      <c r="FF45" t="str">
        <v>VELÁSQUEZ BRAVO IRMA KATHERINE</v>
      </c>
      <c r="FG45" t="str">
        <v>VELEZ MENDOZA LAYSY VALERIA</v>
      </c>
      <c r="FH45" t="str">
        <v>VINUEZA TELLO SHIRLEY ELIZABETH</v>
      </c>
      <c r="FI45" t="str">
        <v>ZAMBRANO ALCIVAR NILDA ISABEL</v>
      </c>
      <c r="FJ45" t="str">
        <v>ZAMBRANO LOOR RITA MAYDA</v>
      </c>
      <c r="FK45" t="str">
        <v>ZAMBRANO VERA MONICA JANETH</v>
      </c>
      <c r="FL45" t="str">
        <v>VERA DELGADO BRYAN ADRIÁN</v>
      </c>
      <c r="FM45" t="str">
        <v>MORAN GONZALES DAVID RENATO</v>
      </c>
      <c r="FN45">
        <v>0</v>
      </c>
    </row>
    <row r="46" spans="1:170" ht="20.25" customHeight="1">
      <c r="A46" s="4" t="str" cm="1">
        <f t="array" ref="A46">TRANSPOSE(_xlfn.UNIQUE(_xlfn._xlws.FILTER(MAE_ASIGNATURA[ID_NIVEL],MAE_ASIGNATURA[ID_CARRERA]=ASIGNACION!$C46,"No existe información")))</f>
        <v>No existe información</v>
      </c>
      <c r="S46" s="4" t="str" cm="1">
        <f t="array" ref="S46">TRANSPOSE(_xlfn.UNIQUE(_xlfn._xlws.FILTER(MAE_ASIGNATURA[NOM_ASIG],(MAE_ASIGNATURA[ID_NIVEL]=ASIGNACION!$D46)*(MAE_ASIGNATURA[ID_CARRERA]=ASIGNACION!$C46),"No existe información")))</f>
        <v>No existe información</v>
      </c>
      <c r="BD46" s="4" t="str" cm="1">
        <f t="array" ref="BD46">TRANSPOSE(_xlfn.UNIQUE(_xlfn._xlws.FILTER(DET_ASIG[DETALLADO],(DET_ASIG[ID_CARRERA]=ASIGNACION!$C46)*(DET_ASIG[NIVEL]=ASIGNACION!$D46)*(DET_ASIG[ID_ASIG]=ASIGNACION!$G46),"No existe información")))</f>
        <v>No existe información</v>
      </c>
      <c r="BQ46" s="5" t="str" cm="1">
        <f t="array" ref="BQ46">IFERROR(
    TRANSPOSE(
        _xlfn.UNIQUE(
            _xlfn._xlws.FILTER(MAESTRIA_DETALLADO[MAESTRIA],
                ISNUMBER(MATCH(MAESTRIA_DETALLADO[CAMPO_DETALLADO],
                BD46:BP46,0))
            )
        )
    ),IF(BD46="ACTIVIDAD","DOCENCIA",""))</f>
        <v/>
      </c>
      <c r="EA46" s="5" t="str" cm="1">
        <f t="array" ref="EA46:FN46">IF(
    ASIGNACION!I46="SI",
    IFERROR(
        TRANSPOSE(
            _xlfn.UNIQUE(
                _xlfn._xlws.FILTER(EDU_DOCENTE[NOMBRE_DOCENTE],
                    ISNUMBER(MATCH(EDU_DOCENTE[MAESTRIA],
                    BQ46:DY46,0))
                )
            )
        ),
        ""
    ),
    TRANSPOSE(
        _xlfn.UNIQUE(EDU_DOCENTE[NOMBRE_DOCENTE]
        )
    )
)</f>
        <v>ALCIVAR CEDEÑO BEATRIZ ISABEL</v>
      </c>
      <c r="EB46" t="str">
        <v>ALCIVAR VERA GEMA MICHELLE</v>
      </c>
      <c r="EC46" t="str">
        <v>ARAUZ CHAVEZ MARIO ROBERTO</v>
      </c>
      <c r="ED46" t="str">
        <v>BAILON LOURIDO WALTER ALBERTO</v>
      </c>
      <c r="EE46" t="str">
        <v>CALDERERO VILLAGOMEZ ERICK ANTONIO</v>
      </c>
      <c r="EF46" t="str">
        <v>CASTILLO GARCIA PAOLA GERMANIA</v>
      </c>
      <c r="EG46" t="str">
        <v>CEDEÑO CHOEZ PEDRO JAVIER</v>
      </c>
      <c r="EH46" t="str">
        <v>CEVALLOS HOPPE JUAN CARLOS</v>
      </c>
      <c r="EI46" t="str">
        <v>DELGADO CHAVEZ MARIA IRASEMA</v>
      </c>
      <c r="EJ46" t="str">
        <v>DUARTE VALENCIA CRISTHIAN DARIO</v>
      </c>
      <c r="EK46" t="str">
        <v>FORTTY BARBERAN DENNY ALEXANDER</v>
      </c>
      <c r="EL46" t="str">
        <v>GUTIERREZ ZAMBRANO CARMEN EBELINA</v>
      </c>
      <c r="EM46" t="str">
        <v>INTRIAGO MOLINA GEMA VALERIA</v>
      </c>
      <c r="EN46" t="str">
        <v>LINO VELEZ LEONEL LIVINGTON</v>
      </c>
      <c r="EO46" t="str">
        <v>LOOR ALCIVAR MARIA ILIANA</v>
      </c>
      <c r="EP46" t="str">
        <v>LOOR MIELES TANIA JACQUELINE</v>
      </c>
      <c r="EQ46" t="str">
        <v>LOOR SOLORZANO ROSA MARIA</v>
      </c>
      <c r="ER46" t="str">
        <v>LOPEZ DELGADO RONALD MAURICIO</v>
      </c>
      <c r="ES46" t="str">
        <v>MACIAS VALENCIA DAVID GABRIEL</v>
      </c>
      <c r="ET46" t="str">
        <v>MENDOZA ZAMORA WALTER MANUEL</v>
      </c>
      <c r="EU46" t="str">
        <v>MOLINA CEVALLOS MARIA LORENA</v>
      </c>
      <c r="EV46" t="str">
        <v>MURILLO DELGADO ISAAC GABRIEL</v>
      </c>
      <c r="EW46" t="str">
        <v>ANGULO MURILLO NAVIRA GISSELA</v>
      </c>
      <c r="EX46" t="str">
        <v>OCHOA SOLEDISPA NESTOR IVAN</v>
      </c>
      <c r="EY46" t="str">
        <v>PARRAGA FRANCO SILVANA MARIELA</v>
      </c>
      <c r="EZ46" t="str">
        <v>PINARGOTE VASQUEZ NANCY FABIOLA</v>
      </c>
      <c r="FA46" t="str">
        <v>REYES VELEZ PEDRO ENRIQUE</v>
      </c>
      <c r="FB46" t="str">
        <v>SAN ANDRES HORMAZA DALLAS CECILIA</v>
      </c>
      <c r="FC46" t="str">
        <v>SORNOZA ZAMORA JUAN CARLOS</v>
      </c>
      <c r="FD46" t="str">
        <v>TOMALA PINTO JESUS JACINTO</v>
      </c>
      <c r="FE46" t="str">
        <v>VALLE JARAMILLO SILVIA ARACELY</v>
      </c>
      <c r="FF46" t="str">
        <v>VELÁSQUEZ BRAVO IRMA KATHERINE</v>
      </c>
      <c r="FG46" t="str">
        <v>VELEZ MENDOZA LAYSY VALERIA</v>
      </c>
      <c r="FH46" t="str">
        <v>VINUEZA TELLO SHIRLEY ELIZABETH</v>
      </c>
      <c r="FI46" t="str">
        <v>ZAMBRANO ALCIVAR NILDA ISABEL</v>
      </c>
      <c r="FJ46" t="str">
        <v>ZAMBRANO LOOR RITA MAYDA</v>
      </c>
      <c r="FK46" t="str">
        <v>ZAMBRANO VERA MONICA JANETH</v>
      </c>
      <c r="FL46" t="str">
        <v>VERA DELGADO BRYAN ADRIÁN</v>
      </c>
      <c r="FM46" t="str">
        <v>MORAN GONZALES DAVID RENATO</v>
      </c>
      <c r="FN46">
        <v>0</v>
      </c>
    </row>
    <row r="47" spans="1:170" ht="20.25" customHeight="1">
      <c r="A47" s="4" t="str" cm="1">
        <f t="array" ref="A47">TRANSPOSE(_xlfn.UNIQUE(_xlfn._xlws.FILTER(MAE_ASIGNATURA[ID_NIVEL],MAE_ASIGNATURA[ID_CARRERA]=ASIGNACION!$C47,"No existe información")))</f>
        <v>No existe información</v>
      </c>
      <c r="S47" s="4" t="str" cm="1">
        <f t="array" ref="S47">TRANSPOSE(_xlfn.UNIQUE(_xlfn._xlws.FILTER(MAE_ASIGNATURA[NOM_ASIG],(MAE_ASIGNATURA[ID_NIVEL]=ASIGNACION!$D47)*(MAE_ASIGNATURA[ID_CARRERA]=ASIGNACION!$C47),"No existe información")))</f>
        <v>No existe información</v>
      </c>
      <c r="BD47" s="4" t="str" cm="1">
        <f t="array" ref="BD47">TRANSPOSE(_xlfn.UNIQUE(_xlfn._xlws.FILTER(DET_ASIG[DETALLADO],(DET_ASIG[ID_CARRERA]=ASIGNACION!$C47)*(DET_ASIG[NIVEL]=ASIGNACION!$D47)*(DET_ASIG[ID_ASIG]=ASIGNACION!$G47),"No existe información")))</f>
        <v>No existe información</v>
      </c>
      <c r="BQ47" s="5" t="str" cm="1">
        <f t="array" ref="BQ47">IFERROR(
    TRANSPOSE(
        _xlfn.UNIQUE(
            _xlfn._xlws.FILTER(MAESTRIA_DETALLADO[MAESTRIA],
                ISNUMBER(MATCH(MAESTRIA_DETALLADO[CAMPO_DETALLADO],
                BD47:BP47,0))
            )
        )
    ),IF(BD47="ACTIVIDAD","DOCENCIA",""))</f>
        <v/>
      </c>
      <c r="EA47" s="5" t="str" cm="1">
        <f t="array" ref="EA47:FN47">IF(
    ASIGNACION!I47="SI",
    IFERROR(
        TRANSPOSE(
            _xlfn.UNIQUE(
                _xlfn._xlws.FILTER(EDU_DOCENTE[NOMBRE_DOCENTE],
                    ISNUMBER(MATCH(EDU_DOCENTE[MAESTRIA],
                    BQ47:DY47,0))
                )
            )
        ),
        ""
    ),
    TRANSPOSE(
        _xlfn.UNIQUE(EDU_DOCENTE[NOMBRE_DOCENTE]
        )
    )
)</f>
        <v>ALCIVAR CEDEÑO BEATRIZ ISABEL</v>
      </c>
      <c r="EB47" t="str">
        <v>ALCIVAR VERA GEMA MICHELLE</v>
      </c>
      <c r="EC47" t="str">
        <v>ARAUZ CHAVEZ MARIO ROBERTO</v>
      </c>
      <c r="ED47" t="str">
        <v>BAILON LOURIDO WALTER ALBERTO</v>
      </c>
      <c r="EE47" t="str">
        <v>CALDERERO VILLAGOMEZ ERICK ANTONIO</v>
      </c>
      <c r="EF47" t="str">
        <v>CASTILLO GARCIA PAOLA GERMANIA</v>
      </c>
      <c r="EG47" t="str">
        <v>CEDEÑO CHOEZ PEDRO JAVIER</v>
      </c>
      <c r="EH47" t="str">
        <v>CEVALLOS HOPPE JUAN CARLOS</v>
      </c>
      <c r="EI47" t="str">
        <v>DELGADO CHAVEZ MARIA IRASEMA</v>
      </c>
      <c r="EJ47" t="str">
        <v>DUARTE VALENCIA CRISTHIAN DARIO</v>
      </c>
      <c r="EK47" t="str">
        <v>FORTTY BARBERAN DENNY ALEXANDER</v>
      </c>
      <c r="EL47" t="str">
        <v>GUTIERREZ ZAMBRANO CARMEN EBELINA</v>
      </c>
      <c r="EM47" t="str">
        <v>INTRIAGO MOLINA GEMA VALERIA</v>
      </c>
      <c r="EN47" t="str">
        <v>LINO VELEZ LEONEL LIVINGTON</v>
      </c>
      <c r="EO47" t="str">
        <v>LOOR ALCIVAR MARIA ILIANA</v>
      </c>
      <c r="EP47" t="str">
        <v>LOOR MIELES TANIA JACQUELINE</v>
      </c>
      <c r="EQ47" t="str">
        <v>LOOR SOLORZANO ROSA MARIA</v>
      </c>
      <c r="ER47" t="str">
        <v>LOPEZ DELGADO RONALD MAURICIO</v>
      </c>
      <c r="ES47" t="str">
        <v>MACIAS VALENCIA DAVID GABRIEL</v>
      </c>
      <c r="ET47" t="str">
        <v>MENDOZA ZAMORA WALTER MANUEL</v>
      </c>
      <c r="EU47" t="str">
        <v>MOLINA CEVALLOS MARIA LORENA</v>
      </c>
      <c r="EV47" t="str">
        <v>MURILLO DELGADO ISAAC GABRIEL</v>
      </c>
      <c r="EW47" t="str">
        <v>ANGULO MURILLO NAVIRA GISSELA</v>
      </c>
      <c r="EX47" t="str">
        <v>OCHOA SOLEDISPA NESTOR IVAN</v>
      </c>
      <c r="EY47" t="str">
        <v>PARRAGA FRANCO SILVANA MARIELA</v>
      </c>
      <c r="EZ47" t="str">
        <v>PINARGOTE VASQUEZ NANCY FABIOLA</v>
      </c>
      <c r="FA47" t="str">
        <v>REYES VELEZ PEDRO ENRIQUE</v>
      </c>
      <c r="FB47" t="str">
        <v>SAN ANDRES HORMAZA DALLAS CECILIA</v>
      </c>
      <c r="FC47" t="str">
        <v>SORNOZA ZAMORA JUAN CARLOS</v>
      </c>
      <c r="FD47" t="str">
        <v>TOMALA PINTO JESUS JACINTO</v>
      </c>
      <c r="FE47" t="str">
        <v>VALLE JARAMILLO SILVIA ARACELY</v>
      </c>
      <c r="FF47" t="str">
        <v>VELÁSQUEZ BRAVO IRMA KATHERINE</v>
      </c>
      <c r="FG47" t="str">
        <v>VELEZ MENDOZA LAYSY VALERIA</v>
      </c>
      <c r="FH47" t="str">
        <v>VINUEZA TELLO SHIRLEY ELIZABETH</v>
      </c>
      <c r="FI47" t="str">
        <v>ZAMBRANO ALCIVAR NILDA ISABEL</v>
      </c>
      <c r="FJ47" t="str">
        <v>ZAMBRANO LOOR RITA MAYDA</v>
      </c>
      <c r="FK47" t="str">
        <v>ZAMBRANO VERA MONICA JANETH</v>
      </c>
      <c r="FL47" t="str">
        <v>VERA DELGADO BRYAN ADRIÁN</v>
      </c>
      <c r="FM47" t="str">
        <v>MORAN GONZALES DAVID RENATO</v>
      </c>
      <c r="FN47">
        <v>0</v>
      </c>
    </row>
    <row r="48" spans="1:170" ht="20.25" customHeight="1">
      <c r="A48" s="4" t="str" cm="1">
        <f t="array" ref="A48">TRANSPOSE(_xlfn.UNIQUE(_xlfn._xlws.FILTER(MAE_ASIGNATURA[ID_NIVEL],MAE_ASIGNATURA[ID_CARRERA]=ASIGNACION!$C48,"No existe información")))</f>
        <v>No existe información</v>
      </c>
      <c r="S48" s="4" t="str" cm="1">
        <f t="array" ref="S48">TRANSPOSE(_xlfn.UNIQUE(_xlfn._xlws.FILTER(MAE_ASIGNATURA[NOM_ASIG],(MAE_ASIGNATURA[ID_NIVEL]=ASIGNACION!$D48)*(MAE_ASIGNATURA[ID_CARRERA]=ASIGNACION!$C48),"No existe información")))</f>
        <v>No existe información</v>
      </c>
      <c r="BD48" s="4" t="str" cm="1">
        <f t="array" ref="BD48">TRANSPOSE(_xlfn.UNIQUE(_xlfn._xlws.FILTER(DET_ASIG[DETALLADO],(DET_ASIG[ID_CARRERA]=ASIGNACION!$C48)*(DET_ASIG[NIVEL]=ASIGNACION!$D48)*(DET_ASIG[ID_ASIG]=ASIGNACION!$G48),"No existe información")))</f>
        <v>No existe información</v>
      </c>
      <c r="BQ48" s="5" t="str" cm="1">
        <f t="array" ref="BQ48">IFERROR(
    TRANSPOSE(
        _xlfn.UNIQUE(
            _xlfn._xlws.FILTER(MAESTRIA_DETALLADO[MAESTRIA],
                ISNUMBER(MATCH(MAESTRIA_DETALLADO[CAMPO_DETALLADO],
                BD48:BP48,0))
            )
        )
    ),IF(BD48="ACTIVIDAD","DOCENCIA",""))</f>
        <v/>
      </c>
      <c r="EA48" s="5" t="str" cm="1">
        <f t="array" ref="EA48:FN48">IF(
    ASIGNACION!I48="SI",
    IFERROR(
        TRANSPOSE(
            _xlfn.UNIQUE(
                _xlfn._xlws.FILTER(EDU_DOCENTE[NOMBRE_DOCENTE],
                    ISNUMBER(MATCH(EDU_DOCENTE[MAESTRIA],
                    BQ48:DY48,0))
                )
            )
        ),
        ""
    ),
    TRANSPOSE(
        _xlfn.UNIQUE(EDU_DOCENTE[NOMBRE_DOCENTE]
        )
    )
)</f>
        <v>ALCIVAR CEDEÑO BEATRIZ ISABEL</v>
      </c>
      <c r="EB48" t="str">
        <v>ALCIVAR VERA GEMA MICHELLE</v>
      </c>
      <c r="EC48" t="str">
        <v>ARAUZ CHAVEZ MARIO ROBERTO</v>
      </c>
      <c r="ED48" t="str">
        <v>BAILON LOURIDO WALTER ALBERTO</v>
      </c>
      <c r="EE48" t="str">
        <v>CALDERERO VILLAGOMEZ ERICK ANTONIO</v>
      </c>
      <c r="EF48" t="str">
        <v>CASTILLO GARCIA PAOLA GERMANIA</v>
      </c>
      <c r="EG48" t="str">
        <v>CEDEÑO CHOEZ PEDRO JAVIER</v>
      </c>
      <c r="EH48" t="str">
        <v>CEVALLOS HOPPE JUAN CARLOS</v>
      </c>
      <c r="EI48" t="str">
        <v>DELGADO CHAVEZ MARIA IRASEMA</v>
      </c>
      <c r="EJ48" t="str">
        <v>DUARTE VALENCIA CRISTHIAN DARIO</v>
      </c>
      <c r="EK48" t="str">
        <v>FORTTY BARBERAN DENNY ALEXANDER</v>
      </c>
      <c r="EL48" t="str">
        <v>GUTIERREZ ZAMBRANO CARMEN EBELINA</v>
      </c>
      <c r="EM48" t="str">
        <v>INTRIAGO MOLINA GEMA VALERIA</v>
      </c>
      <c r="EN48" t="str">
        <v>LINO VELEZ LEONEL LIVINGTON</v>
      </c>
      <c r="EO48" t="str">
        <v>LOOR ALCIVAR MARIA ILIANA</v>
      </c>
      <c r="EP48" t="str">
        <v>LOOR MIELES TANIA JACQUELINE</v>
      </c>
      <c r="EQ48" t="str">
        <v>LOOR SOLORZANO ROSA MARIA</v>
      </c>
      <c r="ER48" t="str">
        <v>LOPEZ DELGADO RONALD MAURICIO</v>
      </c>
      <c r="ES48" t="str">
        <v>MACIAS VALENCIA DAVID GABRIEL</v>
      </c>
      <c r="ET48" t="str">
        <v>MENDOZA ZAMORA WALTER MANUEL</v>
      </c>
      <c r="EU48" t="str">
        <v>MOLINA CEVALLOS MARIA LORENA</v>
      </c>
      <c r="EV48" t="str">
        <v>MURILLO DELGADO ISAAC GABRIEL</v>
      </c>
      <c r="EW48" t="str">
        <v>ANGULO MURILLO NAVIRA GISSELA</v>
      </c>
      <c r="EX48" t="str">
        <v>OCHOA SOLEDISPA NESTOR IVAN</v>
      </c>
      <c r="EY48" t="str">
        <v>PARRAGA FRANCO SILVANA MARIELA</v>
      </c>
      <c r="EZ48" t="str">
        <v>PINARGOTE VASQUEZ NANCY FABIOLA</v>
      </c>
      <c r="FA48" t="str">
        <v>REYES VELEZ PEDRO ENRIQUE</v>
      </c>
      <c r="FB48" t="str">
        <v>SAN ANDRES HORMAZA DALLAS CECILIA</v>
      </c>
      <c r="FC48" t="str">
        <v>SORNOZA ZAMORA JUAN CARLOS</v>
      </c>
      <c r="FD48" t="str">
        <v>TOMALA PINTO JESUS JACINTO</v>
      </c>
      <c r="FE48" t="str">
        <v>VALLE JARAMILLO SILVIA ARACELY</v>
      </c>
      <c r="FF48" t="str">
        <v>VELÁSQUEZ BRAVO IRMA KATHERINE</v>
      </c>
      <c r="FG48" t="str">
        <v>VELEZ MENDOZA LAYSY VALERIA</v>
      </c>
      <c r="FH48" t="str">
        <v>VINUEZA TELLO SHIRLEY ELIZABETH</v>
      </c>
      <c r="FI48" t="str">
        <v>ZAMBRANO ALCIVAR NILDA ISABEL</v>
      </c>
      <c r="FJ48" t="str">
        <v>ZAMBRANO LOOR RITA MAYDA</v>
      </c>
      <c r="FK48" t="str">
        <v>ZAMBRANO VERA MONICA JANETH</v>
      </c>
      <c r="FL48" t="str">
        <v>VERA DELGADO BRYAN ADRIÁN</v>
      </c>
      <c r="FM48" t="str">
        <v>MORAN GONZALES DAVID RENATO</v>
      </c>
      <c r="FN48">
        <v>0</v>
      </c>
    </row>
    <row r="49" spans="1:170" ht="20.25" customHeight="1">
      <c r="A49" s="4" t="str" cm="1">
        <f t="array" ref="A49">TRANSPOSE(_xlfn.UNIQUE(_xlfn._xlws.FILTER(MAE_ASIGNATURA[ID_NIVEL],MAE_ASIGNATURA[ID_CARRERA]=ASIGNACION!$C49,"No existe información")))</f>
        <v>No existe información</v>
      </c>
      <c r="S49" s="4" t="str" cm="1">
        <f t="array" ref="S49">TRANSPOSE(_xlfn.UNIQUE(_xlfn._xlws.FILTER(MAE_ASIGNATURA[NOM_ASIG],(MAE_ASIGNATURA[ID_NIVEL]=ASIGNACION!$D49)*(MAE_ASIGNATURA[ID_CARRERA]=ASIGNACION!$C49),"No existe información")))</f>
        <v>No existe información</v>
      </c>
      <c r="BD49" s="4" t="str" cm="1">
        <f t="array" ref="BD49">TRANSPOSE(_xlfn.UNIQUE(_xlfn._xlws.FILTER(DET_ASIG[DETALLADO],(DET_ASIG[ID_CARRERA]=ASIGNACION!$C49)*(DET_ASIG[NIVEL]=ASIGNACION!$D49)*(DET_ASIG[ID_ASIG]=ASIGNACION!$G49),"No existe información")))</f>
        <v>No existe información</v>
      </c>
      <c r="BQ49" s="5" t="str" cm="1">
        <f t="array" ref="BQ49">IFERROR(
    TRANSPOSE(
        _xlfn.UNIQUE(
            _xlfn._xlws.FILTER(MAESTRIA_DETALLADO[MAESTRIA],
                ISNUMBER(MATCH(MAESTRIA_DETALLADO[CAMPO_DETALLADO],
                BD49:BP49,0))
            )
        )
    ),IF(BD49="ACTIVIDAD","DOCENCIA",""))</f>
        <v/>
      </c>
      <c r="EA49" s="5" t="str" cm="1">
        <f t="array" ref="EA49:FN49">IF(
    ASIGNACION!I49="SI",
    IFERROR(
        TRANSPOSE(
            _xlfn.UNIQUE(
                _xlfn._xlws.FILTER(EDU_DOCENTE[NOMBRE_DOCENTE],
                    ISNUMBER(MATCH(EDU_DOCENTE[MAESTRIA],
                    BQ49:DY49,0))
                )
            )
        ),
        ""
    ),
    TRANSPOSE(
        _xlfn.UNIQUE(EDU_DOCENTE[NOMBRE_DOCENTE]
        )
    )
)</f>
        <v>ALCIVAR CEDEÑO BEATRIZ ISABEL</v>
      </c>
      <c r="EB49" t="str">
        <v>ALCIVAR VERA GEMA MICHELLE</v>
      </c>
      <c r="EC49" t="str">
        <v>ARAUZ CHAVEZ MARIO ROBERTO</v>
      </c>
      <c r="ED49" t="str">
        <v>BAILON LOURIDO WALTER ALBERTO</v>
      </c>
      <c r="EE49" t="str">
        <v>CALDERERO VILLAGOMEZ ERICK ANTONIO</v>
      </c>
      <c r="EF49" t="str">
        <v>CASTILLO GARCIA PAOLA GERMANIA</v>
      </c>
      <c r="EG49" t="str">
        <v>CEDEÑO CHOEZ PEDRO JAVIER</v>
      </c>
      <c r="EH49" t="str">
        <v>CEVALLOS HOPPE JUAN CARLOS</v>
      </c>
      <c r="EI49" t="str">
        <v>DELGADO CHAVEZ MARIA IRASEMA</v>
      </c>
      <c r="EJ49" t="str">
        <v>DUARTE VALENCIA CRISTHIAN DARIO</v>
      </c>
      <c r="EK49" t="str">
        <v>FORTTY BARBERAN DENNY ALEXANDER</v>
      </c>
      <c r="EL49" t="str">
        <v>GUTIERREZ ZAMBRANO CARMEN EBELINA</v>
      </c>
      <c r="EM49" t="str">
        <v>INTRIAGO MOLINA GEMA VALERIA</v>
      </c>
      <c r="EN49" t="str">
        <v>LINO VELEZ LEONEL LIVINGTON</v>
      </c>
      <c r="EO49" t="str">
        <v>LOOR ALCIVAR MARIA ILIANA</v>
      </c>
      <c r="EP49" t="str">
        <v>LOOR MIELES TANIA JACQUELINE</v>
      </c>
      <c r="EQ49" t="str">
        <v>LOOR SOLORZANO ROSA MARIA</v>
      </c>
      <c r="ER49" t="str">
        <v>LOPEZ DELGADO RONALD MAURICIO</v>
      </c>
      <c r="ES49" t="str">
        <v>MACIAS VALENCIA DAVID GABRIEL</v>
      </c>
      <c r="ET49" t="str">
        <v>MENDOZA ZAMORA WALTER MANUEL</v>
      </c>
      <c r="EU49" t="str">
        <v>MOLINA CEVALLOS MARIA LORENA</v>
      </c>
      <c r="EV49" t="str">
        <v>MURILLO DELGADO ISAAC GABRIEL</v>
      </c>
      <c r="EW49" t="str">
        <v>ANGULO MURILLO NAVIRA GISSELA</v>
      </c>
      <c r="EX49" t="str">
        <v>OCHOA SOLEDISPA NESTOR IVAN</v>
      </c>
      <c r="EY49" t="str">
        <v>PARRAGA FRANCO SILVANA MARIELA</v>
      </c>
      <c r="EZ49" t="str">
        <v>PINARGOTE VASQUEZ NANCY FABIOLA</v>
      </c>
      <c r="FA49" t="str">
        <v>REYES VELEZ PEDRO ENRIQUE</v>
      </c>
      <c r="FB49" t="str">
        <v>SAN ANDRES HORMAZA DALLAS CECILIA</v>
      </c>
      <c r="FC49" t="str">
        <v>SORNOZA ZAMORA JUAN CARLOS</v>
      </c>
      <c r="FD49" t="str">
        <v>TOMALA PINTO JESUS JACINTO</v>
      </c>
      <c r="FE49" t="str">
        <v>VALLE JARAMILLO SILVIA ARACELY</v>
      </c>
      <c r="FF49" t="str">
        <v>VELÁSQUEZ BRAVO IRMA KATHERINE</v>
      </c>
      <c r="FG49" t="str">
        <v>VELEZ MENDOZA LAYSY VALERIA</v>
      </c>
      <c r="FH49" t="str">
        <v>VINUEZA TELLO SHIRLEY ELIZABETH</v>
      </c>
      <c r="FI49" t="str">
        <v>ZAMBRANO ALCIVAR NILDA ISABEL</v>
      </c>
      <c r="FJ49" t="str">
        <v>ZAMBRANO LOOR RITA MAYDA</v>
      </c>
      <c r="FK49" t="str">
        <v>ZAMBRANO VERA MONICA JANETH</v>
      </c>
      <c r="FL49" t="str">
        <v>VERA DELGADO BRYAN ADRIÁN</v>
      </c>
      <c r="FM49" t="str">
        <v>MORAN GONZALES DAVID RENATO</v>
      </c>
      <c r="FN49">
        <v>0</v>
      </c>
    </row>
    <row r="50" spans="1:170" ht="20.25" customHeight="1">
      <c r="A50" s="4" t="str" cm="1">
        <f t="array" ref="A50">TRANSPOSE(_xlfn.UNIQUE(_xlfn._xlws.FILTER(MAE_ASIGNATURA[ID_NIVEL],MAE_ASIGNATURA[ID_CARRERA]=ASIGNACION!$C50,"No existe información")))</f>
        <v>No existe información</v>
      </c>
      <c r="S50" s="4" t="str" cm="1">
        <f t="array" ref="S50">TRANSPOSE(_xlfn.UNIQUE(_xlfn._xlws.FILTER(MAE_ASIGNATURA[NOM_ASIG],(MAE_ASIGNATURA[ID_NIVEL]=ASIGNACION!$D50)*(MAE_ASIGNATURA[ID_CARRERA]=ASIGNACION!$C50),"No existe información")))</f>
        <v>No existe información</v>
      </c>
      <c r="BD50" s="4" t="str" cm="1">
        <f t="array" ref="BD50">TRANSPOSE(_xlfn.UNIQUE(_xlfn._xlws.FILTER(DET_ASIG[DETALLADO],(DET_ASIG[ID_CARRERA]=ASIGNACION!$C50)*(DET_ASIG[NIVEL]=ASIGNACION!$D50)*(DET_ASIG[ID_ASIG]=ASIGNACION!$G50),"No existe información")))</f>
        <v>No existe información</v>
      </c>
      <c r="BQ50" s="5" t="str" cm="1">
        <f t="array" ref="BQ50">IFERROR(
    TRANSPOSE(
        _xlfn.UNIQUE(
            _xlfn._xlws.FILTER(MAESTRIA_DETALLADO[MAESTRIA],
                ISNUMBER(MATCH(MAESTRIA_DETALLADO[CAMPO_DETALLADO],
                BD50:BP50,0))
            )
        )
    ),IF(BD50="ACTIVIDAD","DOCENCIA",""))</f>
        <v/>
      </c>
      <c r="EA50" s="5" t="str" cm="1">
        <f t="array" ref="EA50:FN50">IF(
    ASIGNACION!I50="SI",
    IFERROR(
        TRANSPOSE(
            _xlfn.UNIQUE(
                _xlfn._xlws.FILTER(EDU_DOCENTE[NOMBRE_DOCENTE],
                    ISNUMBER(MATCH(EDU_DOCENTE[MAESTRIA],
                    BQ50:DY50,0))
                )
            )
        ),
        ""
    ),
    TRANSPOSE(
        _xlfn.UNIQUE(EDU_DOCENTE[NOMBRE_DOCENTE]
        )
    )
)</f>
        <v>ALCIVAR CEDEÑO BEATRIZ ISABEL</v>
      </c>
      <c r="EB50" t="str">
        <v>ALCIVAR VERA GEMA MICHELLE</v>
      </c>
      <c r="EC50" t="str">
        <v>ARAUZ CHAVEZ MARIO ROBERTO</v>
      </c>
      <c r="ED50" t="str">
        <v>BAILON LOURIDO WALTER ALBERTO</v>
      </c>
      <c r="EE50" t="str">
        <v>CALDERERO VILLAGOMEZ ERICK ANTONIO</v>
      </c>
      <c r="EF50" t="str">
        <v>CASTILLO GARCIA PAOLA GERMANIA</v>
      </c>
      <c r="EG50" t="str">
        <v>CEDEÑO CHOEZ PEDRO JAVIER</v>
      </c>
      <c r="EH50" t="str">
        <v>CEVALLOS HOPPE JUAN CARLOS</v>
      </c>
      <c r="EI50" t="str">
        <v>DELGADO CHAVEZ MARIA IRASEMA</v>
      </c>
      <c r="EJ50" t="str">
        <v>DUARTE VALENCIA CRISTHIAN DARIO</v>
      </c>
      <c r="EK50" t="str">
        <v>FORTTY BARBERAN DENNY ALEXANDER</v>
      </c>
      <c r="EL50" t="str">
        <v>GUTIERREZ ZAMBRANO CARMEN EBELINA</v>
      </c>
      <c r="EM50" t="str">
        <v>INTRIAGO MOLINA GEMA VALERIA</v>
      </c>
      <c r="EN50" t="str">
        <v>LINO VELEZ LEONEL LIVINGTON</v>
      </c>
      <c r="EO50" t="str">
        <v>LOOR ALCIVAR MARIA ILIANA</v>
      </c>
      <c r="EP50" t="str">
        <v>LOOR MIELES TANIA JACQUELINE</v>
      </c>
      <c r="EQ50" t="str">
        <v>LOOR SOLORZANO ROSA MARIA</v>
      </c>
      <c r="ER50" t="str">
        <v>LOPEZ DELGADO RONALD MAURICIO</v>
      </c>
      <c r="ES50" t="str">
        <v>MACIAS VALENCIA DAVID GABRIEL</v>
      </c>
      <c r="ET50" t="str">
        <v>MENDOZA ZAMORA WALTER MANUEL</v>
      </c>
      <c r="EU50" t="str">
        <v>MOLINA CEVALLOS MARIA LORENA</v>
      </c>
      <c r="EV50" t="str">
        <v>MURILLO DELGADO ISAAC GABRIEL</v>
      </c>
      <c r="EW50" t="str">
        <v>ANGULO MURILLO NAVIRA GISSELA</v>
      </c>
      <c r="EX50" t="str">
        <v>OCHOA SOLEDISPA NESTOR IVAN</v>
      </c>
      <c r="EY50" t="str">
        <v>PARRAGA FRANCO SILVANA MARIELA</v>
      </c>
      <c r="EZ50" t="str">
        <v>PINARGOTE VASQUEZ NANCY FABIOLA</v>
      </c>
      <c r="FA50" t="str">
        <v>REYES VELEZ PEDRO ENRIQUE</v>
      </c>
      <c r="FB50" t="str">
        <v>SAN ANDRES HORMAZA DALLAS CECILIA</v>
      </c>
      <c r="FC50" t="str">
        <v>SORNOZA ZAMORA JUAN CARLOS</v>
      </c>
      <c r="FD50" t="str">
        <v>TOMALA PINTO JESUS JACINTO</v>
      </c>
      <c r="FE50" t="str">
        <v>VALLE JARAMILLO SILVIA ARACELY</v>
      </c>
      <c r="FF50" t="str">
        <v>VELÁSQUEZ BRAVO IRMA KATHERINE</v>
      </c>
      <c r="FG50" t="str">
        <v>VELEZ MENDOZA LAYSY VALERIA</v>
      </c>
      <c r="FH50" t="str">
        <v>VINUEZA TELLO SHIRLEY ELIZABETH</v>
      </c>
      <c r="FI50" t="str">
        <v>ZAMBRANO ALCIVAR NILDA ISABEL</v>
      </c>
      <c r="FJ50" t="str">
        <v>ZAMBRANO LOOR RITA MAYDA</v>
      </c>
      <c r="FK50" t="str">
        <v>ZAMBRANO VERA MONICA JANETH</v>
      </c>
      <c r="FL50" t="str">
        <v>VERA DELGADO BRYAN ADRIÁN</v>
      </c>
      <c r="FM50" t="str">
        <v>MORAN GONZALES DAVID RENATO</v>
      </c>
      <c r="FN50">
        <v>0</v>
      </c>
    </row>
    <row r="51" spans="1:170" ht="20.25" customHeight="1">
      <c r="A51" s="4" t="str" cm="1">
        <f t="array" ref="A51">TRANSPOSE(_xlfn.UNIQUE(_xlfn._xlws.FILTER(MAE_ASIGNATURA[ID_NIVEL],MAE_ASIGNATURA[ID_CARRERA]=ASIGNACION!$C51,"No existe información")))</f>
        <v>No existe información</v>
      </c>
      <c r="S51" s="4" t="str" cm="1">
        <f t="array" ref="S51">TRANSPOSE(_xlfn.UNIQUE(_xlfn._xlws.FILTER(MAE_ASIGNATURA[NOM_ASIG],(MAE_ASIGNATURA[ID_NIVEL]=ASIGNACION!$D51)*(MAE_ASIGNATURA[ID_CARRERA]=ASIGNACION!$C51),"No existe información")))</f>
        <v>No existe información</v>
      </c>
      <c r="BD51" s="4" t="str" cm="1">
        <f t="array" ref="BD51">TRANSPOSE(_xlfn.UNIQUE(_xlfn._xlws.FILTER(DET_ASIG[DETALLADO],(DET_ASIG[ID_CARRERA]=ASIGNACION!$C51)*(DET_ASIG[NIVEL]=ASIGNACION!$D51)*(DET_ASIG[ID_ASIG]=ASIGNACION!$G51),"No existe información")))</f>
        <v>No existe información</v>
      </c>
      <c r="BQ51" s="5" t="str" cm="1">
        <f t="array" ref="BQ51">IFERROR(
    TRANSPOSE(
        _xlfn.UNIQUE(
            _xlfn._xlws.FILTER(MAESTRIA_DETALLADO[MAESTRIA],
                ISNUMBER(MATCH(MAESTRIA_DETALLADO[CAMPO_DETALLADO],
                BD51:BP51,0))
            )
        )
    ),IF(BD51="ACTIVIDAD","DOCENCIA",""))</f>
        <v/>
      </c>
      <c r="EA51" s="5" t="str" cm="1">
        <f t="array" ref="EA51:FN51">IF(
    ASIGNACION!I51="SI",
    IFERROR(
        TRANSPOSE(
            _xlfn.UNIQUE(
                _xlfn._xlws.FILTER(EDU_DOCENTE[NOMBRE_DOCENTE],
                    ISNUMBER(MATCH(EDU_DOCENTE[MAESTRIA],
                    BQ51:DY51,0))
                )
            )
        ),
        ""
    ),
    TRANSPOSE(
        _xlfn.UNIQUE(EDU_DOCENTE[NOMBRE_DOCENTE]
        )
    )
)</f>
        <v>ALCIVAR CEDEÑO BEATRIZ ISABEL</v>
      </c>
      <c r="EB51" t="str">
        <v>ALCIVAR VERA GEMA MICHELLE</v>
      </c>
      <c r="EC51" t="str">
        <v>ARAUZ CHAVEZ MARIO ROBERTO</v>
      </c>
      <c r="ED51" t="str">
        <v>BAILON LOURIDO WALTER ALBERTO</v>
      </c>
      <c r="EE51" t="str">
        <v>CALDERERO VILLAGOMEZ ERICK ANTONIO</v>
      </c>
      <c r="EF51" t="str">
        <v>CASTILLO GARCIA PAOLA GERMANIA</v>
      </c>
      <c r="EG51" t="str">
        <v>CEDEÑO CHOEZ PEDRO JAVIER</v>
      </c>
      <c r="EH51" t="str">
        <v>CEVALLOS HOPPE JUAN CARLOS</v>
      </c>
      <c r="EI51" t="str">
        <v>DELGADO CHAVEZ MARIA IRASEMA</v>
      </c>
      <c r="EJ51" t="str">
        <v>DUARTE VALENCIA CRISTHIAN DARIO</v>
      </c>
      <c r="EK51" t="str">
        <v>FORTTY BARBERAN DENNY ALEXANDER</v>
      </c>
      <c r="EL51" t="str">
        <v>GUTIERREZ ZAMBRANO CARMEN EBELINA</v>
      </c>
      <c r="EM51" t="str">
        <v>INTRIAGO MOLINA GEMA VALERIA</v>
      </c>
      <c r="EN51" t="str">
        <v>LINO VELEZ LEONEL LIVINGTON</v>
      </c>
      <c r="EO51" t="str">
        <v>LOOR ALCIVAR MARIA ILIANA</v>
      </c>
      <c r="EP51" t="str">
        <v>LOOR MIELES TANIA JACQUELINE</v>
      </c>
      <c r="EQ51" t="str">
        <v>LOOR SOLORZANO ROSA MARIA</v>
      </c>
      <c r="ER51" t="str">
        <v>LOPEZ DELGADO RONALD MAURICIO</v>
      </c>
      <c r="ES51" t="str">
        <v>MACIAS VALENCIA DAVID GABRIEL</v>
      </c>
      <c r="ET51" t="str">
        <v>MENDOZA ZAMORA WALTER MANUEL</v>
      </c>
      <c r="EU51" t="str">
        <v>MOLINA CEVALLOS MARIA LORENA</v>
      </c>
      <c r="EV51" t="str">
        <v>MURILLO DELGADO ISAAC GABRIEL</v>
      </c>
      <c r="EW51" t="str">
        <v>ANGULO MURILLO NAVIRA GISSELA</v>
      </c>
      <c r="EX51" t="str">
        <v>OCHOA SOLEDISPA NESTOR IVAN</v>
      </c>
      <c r="EY51" t="str">
        <v>PARRAGA FRANCO SILVANA MARIELA</v>
      </c>
      <c r="EZ51" t="str">
        <v>PINARGOTE VASQUEZ NANCY FABIOLA</v>
      </c>
      <c r="FA51" t="str">
        <v>REYES VELEZ PEDRO ENRIQUE</v>
      </c>
      <c r="FB51" t="str">
        <v>SAN ANDRES HORMAZA DALLAS CECILIA</v>
      </c>
      <c r="FC51" t="str">
        <v>SORNOZA ZAMORA JUAN CARLOS</v>
      </c>
      <c r="FD51" t="str">
        <v>TOMALA PINTO JESUS JACINTO</v>
      </c>
      <c r="FE51" t="str">
        <v>VALLE JARAMILLO SILVIA ARACELY</v>
      </c>
      <c r="FF51" t="str">
        <v>VELÁSQUEZ BRAVO IRMA KATHERINE</v>
      </c>
      <c r="FG51" t="str">
        <v>VELEZ MENDOZA LAYSY VALERIA</v>
      </c>
      <c r="FH51" t="str">
        <v>VINUEZA TELLO SHIRLEY ELIZABETH</v>
      </c>
      <c r="FI51" t="str">
        <v>ZAMBRANO ALCIVAR NILDA ISABEL</v>
      </c>
      <c r="FJ51" t="str">
        <v>ZAMBRANO LOOR RITA MAYDA</v>
      </c>
      <c r="FK51" t="str">
        <v>ZAMBRANO VERA MONICA JANETH</v>
      </c>
      <c r="FL51" t="str">
        <v>VERA DELGADO BRYAN ADRIÁN</v>
      </c>
      <c r="FM51" t="str">
        <v>MORAN GONZALES DAVID RENATO</v>
      </c>
      <c r="FN51">
        <v>0</v>
      </c>
    </row>
    <row r="52" spans="1:170" ht="20.25" customHeight="1">
      <c r="A52" s="4" t="str" cm="1">
        <f t="array" ref="A52">TRANSPOSE(_xlfn.UNIQUE(_xlfn._xlws.FILTER(MAE_ASIGNATURA[ID_NIVEL],MAE_ASIGNATURA[ID_CARRERA]=ASIGNACION!$C52,"No existe información")))</f>
        <v>No existe información</v>
      </c>
      <c r="S52" s="4" t="str" cm="1">
        <f t="array" ref="S52">TRANSPOSE(_xlfn.UNIQUE(_xlfn._xlws.FILTER(MAE_ASIGNATURA[NOM_ASIG],(MAE_ASIGNATURA[ID_NIVEL]=ASIGNACION!$D52)*(MAE_ASIGNATURA[ID_CARRERA]=ASIGNACION!$C52),"No existe información")))</f>
        <v>No existe información</v>
      </c>
      <c r="BD52" s="4" t="str" cm="1">
        <f t="array" ref="BD52">TRANSPOSE(_xlfn.UNIQUE(_xlfn._xlws.FILTER(DET_ASIG[DETALLADO],(DET_ASIG[ID_CARRERA]=ASIGNACION!$C52)*(DET_ASIG[NIVEL]=ASIGNACION!$D52)*(DET_ASIG[ID_ASIG]=ASIGNACION!$G52),"No existe información")))</f>
        <v>No existe información</v>
      </c>
      <c r="BQ52" s="5" t="str" cm="1">
        <f t="array" ref="BQ52">IFERROR(
    TRANSPOSE(
        _xlfn.UNIQUE(
            _xlfn._xlws.FILTER(MAESTRIA_DETALLADO[MAESTRIA],
                ISNUMBER(MATCH(MAESTRIA_DETALLADO[CAMPO_DETALLADO],
                BD52:BP52,0))
            )
        )
    ),IF(BD52="ACTIVIDAD","DOCENCIA",""))</f>
        <v/>
      </c>
      <c r="EA52" s="5" t="str" cm="1">
        <f t="array" ref="EA52:FN52">IF(
    ASIGNACION!I52="SI",
    IFERROR(
        TRANSPOSE(
            _xlfn.UNIQUE(
                _xlfn._xlws.FILTER(EDU_DOCENTE[NOMBRE_DOCENTE],
                    ISNUMBER(MATCH(EDU_DOCENTE[MAESTRIA],
                    BQ52:DY52,0))
                )
            )
        ),
        ""
    ),
    TRANSPOSE(
        _xlfn.UNIQUE(EDU_DOCENTE[NOMBRE_DOCENTE]
        )
    )
)</f>
        <v>ALCIVAR CEDEÑO BEATRIZ ISABEL</v>
      </c>
      <c r="EB52" t="str">
        <v>ALCIVAR VERA GEMA MICHELLE</v>
      </c>
      <c r="EC52" t="str">
        <v>ARAUZ CHAVEZ MARIO ROBERTO</v>
      </c>
      <c r="ED52" t="str">
        <v>BAILON LOURIDO WALTER ALBERTO</v>
      </c>
      <c r="EE52" t="str">
        <v>CALDERERO VILLAGOMEZ ERICK ANTONIO</v>
      </c>
      <c r="EF52" t="str">
        <v>CASTILLO GARCIA PAOLA GERMANIA</v>
      </c>
      <c r="EG52" t="str">
        <v>CEDEÑO CHOEZ PEDRO JAVIER</v>
      </c>
      <c r="EH52" t="str">
        <v>CEVALLOS HOPPE JUAN CARLOS</v>
      </c>
      <c r="EI52" t="str">
        <v>DELGADO CHAVEZ MARIA IRASEMA</v>
      </c>
      <c r="EJ52" t="str">
        <v>DUARTE VALENCIA CRISTHIAN DARIO</v>
      </c>
      <c r="EK52" t="str">
        <v>FORTTY BARBERAN DENNY ALEXANDER</v>
      </c>
      <c r="EL52" t="str">
        <v>GUTIERREZ ZAMBRANO CARMEN EBELINA</v>
      </c>
      <c r="EM52" t="str">
        <v>INTRIAGO MOLINA GEMA VALERIA</v>
      </c>
      <c r="EN52" t="str">
        <v>LINO VELEZ LEONEL LIVINGTON</v>
      </c>
      <c r="EO52" t="str">
        <v>LOOR ALCIVAR MARIA ILIANA</v>
      </c>
      <c r="EP52" t="str">
        <v>LOOR MIELES TANIA JACQUELINE</v>
      </c>
      <c r="EQ52" t="str">
        <v>LOOR SOLORZANO ROSA MARIA</v>
      </c>
      <c r="ER52" t="str">
        <v>LOPEZ DELGADO RONALD MAURICIO</v>
      </c>
      <c r="ES52" t="str">
        <v>MACIAS VALENCIA DAVID GABRIEL</v>
      </c>
      <c r="ET52" t="str">
        <v>MENDOZA ZAMORA WALTER MANUEL</v>
      </c>
      <c r="EU52" t="str">
        <v>MOLINA CEVALLOS MARIA LORENA</v>
      </c>
      <c r="EV52" t="str">
        <v>MURILLO DELGADO ISAAC GABRIEL</v>
      </c>
      <c r="EW52" t="str">
        <v>ANGULO MURILLO NAVIRA GISSELA</v>
      </c>
      <c r="EX52" t="str">
        <v>OCHOA SOLEDISPA NESTOR IVAN</v>
      </c>
      <c r="EY52" t="str">
        <v>PARRAGA FRANCO SILVANA MARIELA</v>
      </c>
      <c r="EZ52" t="str">
        <v>PINARGOTE VASQUEZ NANCY FABIOLA</v>
      </c>
      <c r="FA52" t="str">
        <v>REYES VELEZ PEDRO ENRIQUE</v>
      </c>
      <c r="FB52" t="str">
        <v>SAN ANDRES HORMAZA DALLAS CECILIA</v>
      </c>
      <c r="FC52" t="str">
        <v>SORNOZA ZAMORA JUAN CARLOS</v>
      </c>
      <c r="FD52" t="str">
        <v>TOMALA PINTO JESUS JACINTO</v>
      </c>
      <c r="FE52" t="str">
        <v>VALLE JARAMILLO SILVIA ARACELY</v>
      </c>
      <c r="FF52" t="str">
        <v>VELÁSQUEZ BRAVO IRMA KATHERINE</v>
      </c>
      <c r="FG52" t="str">
        <v>VELEZ MENDOZA LAYSY VALERIA</v>
      </c>
      <c r="FH52" t="str">
        <v>VINUEZA TELLO SHIRLEY ELIZABETH</v>
      </c>
      <c r="FI52" t="str">
        <v>ZAMBRANO ALCIVAR NILDA ISABEL</v>
      </c>
      <c r="FJ52" t="str">
        <v>ZAMBRANO LOOR RITA MAYDA</v>
      </c>
      <c r="FK52" t="str">
        <v>ZAMBRANO VERA MONICA JANETH</v>
      </c>
      <c r="FL52" t="str">
        <v>VERA DELGADO BRYAN ADRIÁN</v>
      </c>
      <c r="FM52" t="str">
        <v>MORAN GONZALES DAVID RENATO</v>
      </c>
      <c r="FN52">
        <v>0</v>
      </c>
    </row>
    <row r="53" spans="1:170" ht="20.25" customHeight="1">
      <c r="A53" s="4" t="str" cm="1">
        <f t="array" ref="A53">TRANSPOSE(_xlfn.UNIQUE(_xlfn._xlws.FILTER(MAE_ASIGNATURA[ID_NIVEL],MAE_ASIGNATURA[ID_CARRERA]=ASIGNACION!$C53,"No existe información")))</f>
        <v>No existe información</v>
      </c>
      <c r="S53" s="4" t="str" cm="1">
        <f t="array" ref="S53">TRANSPOSE(_xlfn.UNIQUE(_xlfn._xlws.FILTER(MAE_ASIGNATURA[NOM_ASIG],(MAE_ASIGNATURA[ID_NIVEL]=ASIGNACION!$D53)*(MAE_ASIGNATURA[ID_CARRERA]=ASIGNACION!$C53),"No existe información")))</f>
        <v>No existe información</v>
      </c>
      <c r="BD53" s="4" t="str" cm="1">
        <f t="array" ref="BD53">TRANSPOSE(_xlfn.UNIQUE(_xlfn._xlws.FILTER(DET_ASIG[DETALLADO],(DET_ASIG[ID_CARRERA]=ASIGNACION!$C53)*(DET_ASIG[NIVEL]=ASIGNACION!$D53)*(DET_ASIG[ID_ASIG]=ASIGNACION!$G53),"No existe información")))</f>
        <v>No existe información</v>
      </c>
      <c r="BQ53" s="5" t="str" cm="1">
        <f t="array" ref="BQ53">IFERROR(
    TRANSPOSE(
        _xlfn.UNIQUE(
            _xlfn._xlws.FILTER(MAESTRIA_DETALLADO[MAESTRIA],
                ISNUMBER(MATCH(MAESTRIA_DETALLADO[CAMPO_DETALLADO],
                BD53:BP53,0))
            )
        )
    ),IF(BD53="ACTIVIDAD","DOCENCIA",""))</f>
        <v/>
      </c>
      <c r="EA53" s="5" t="str" cm="1">
        <f t="array" ref="EA53:FN53">IF(
    ASIGNACION!I53="SI",
    IFERROR(
        TRANSPOSE(
            _xlfn.UNIQUE(
                _xlfn._xlws.FILTER(EDU_DOCENTE[NOMBRE_DOCENTE],
                    ISNUMBER(MATCH(EDU_DOCENTE[MAESTRIA],
                    BQ53:DY53,0))
                )
            )
        ),
        ""
    ),
    TRANSPOSE(
        _xlfn.UNIQUE(EDU_DOCENTE[NOMBRE_DOCENTE]
        )
    )
)</f>
        <v>ALCIVAR CEDEÑO BEATRIZ ISABEL</v>
      </c>
      <c r="EB53" t="str">
        <v>ALCIVAR VERA GEMA MICHELLE</v>
      </c>
      <c r="EC53" t="str">
        <v>ARAUZ CHAVEZ MARIO ROBERTO</v>
      </c>
      <c r="ED53" t="str">
        <v>BAILON LOURIDO WALTER ALBERTO</v>
      </c>
      <c r="EE53" t="str">
        <v>CALDERERO VILLAGOMEZ ERICK ANTONIO</v>
      </c>
      <c r="EF53" t="str">
        <v>CASTILLO GARCIA PAOLA GERMANIA</v>
      </c>
      <c r="EG53" t="str">
        <v>CEDEÑO CHOEZ PEDRO JAVIER</v>
      </c>
      <c r="EH53" t="str">
        <v>CEVALLOS HOPPE JUAN CARLOS</v>
      </c>
      <c r="EI53" t="str">
        <v>DELGADO CHAVEZ MARIA IRASEMA</v>
      </c>
      <c r="EJ53" t="str">
        <v>DUARTE VALENCIA CRISTHIAN DARIO</v>
      </c>
      <c r="EK53" t="str">
        <v>FORTTY BARBERAN DENNY ALEXANDER</v>
      </c>
      <c r="EL53" t="str">
        <v>GUTIERREZ ZAMBRANO CARMEN EBELINA</v>
      </c>
      <c r="EM53" t="str">
        <v>INTRIAGO MOLINA GEMA VALERIA</v>
      </c>
      <c r="EN53" t="str">
        <v>LINO VELEZ LEONEL LIVINGTON</v>
      </c>
      <c r="EO53" t="str">
        <v>LOOR ALCIVAR MARIA ILIANA</v>
      </c>
      <c r="EP53" t="str">
        <v>LOOR MIELES TANIA JACQUELINE</v>
      </c>
      <c r="EQ53" t="str">
        <v>LOOR SOLORZANO ROSA MARIA</v>
      </c>
      <c r="ER53" t="str">
        <v>LOPEZ DELGADO RONALD MAURICIO</v>
      </c>
      <c r="ES53" t="str">
        <v>MACIAS VALENCIA DAVID GABRIEL</v>
      </c>
      <c r="ET53" t="str">
        <v>MENDOZA ZAMORA WALTER MANUEL</v>
      </c>
      <c r="EU53" t="str">
        <v>MOLINA CEVALLOS MARIA LORENA</v>
      </c>
      <c r="EV53" t="str">
        <v>MURILLO DELGADO ISAAC GABRIEL</v>
      </c>
      <c r="EW53" t="str">
        <v>ANGULO MURILLO NAVIRA GISSELA</v>
      </c>
      <c r="EX53" t="str">
        <v>OCHOA SOLEDISPA NESTOR IVAN</v>
      </c>
      <c r="EY53" t="str">
        <v>PARRAGA FRANCO SILVANA MARIELA</v>
      </c>
      <c r="EZ53" t="str">
        <v>PINARGOTE VASQUEZ NANCY FABIOLA</v>
      </c>
      <c r="FA53" t="str">
        <v>REYES VELEZ PEDRO ENRIQUE</v>
      </c>
      <c r="FB53" t="str">
        <v>SAN ANDRES HORMAZA DALLAS CECILIA</v>
      </c>
      <c r="FC53" t="str">
        <v>SORNOZA ZAMORA JUAN CARLOS</v>
      </c>
      <c r="FD53" t="str">
        <v>TOMALA PINTO JESUS JACINTO</v>
      </c>
      <c r="FE53" t="str">
        <v>VALLE JARAMILLO SILVIA ARACELY</v>
      </c>
      <c r="FF53" t="str">
        <v>VELÁSQUEZ BRAVO IRMA KATHERINE</v>
      </c>
      <c r="FG53" t="str">
        <v>VELEZ MENDOZA LAYSY VALERIA</v>
      </c>
      <c r="FH53" t="str">
        <v>VINUEZA TELLO SHIRLEY ELIZABETH</v>
      </c>
      <c r="FI53" t="str">
        <v>ZAMBRANO ALCIVAR NILDA ISABEL</v>
      </c>
      <c r="FJ53" t="str">
        <v>ZAMBRANO LOOR RITA MAYDA</v>
      </c>
      <c r="FK53" t="str">
        <v>ZAMBRANO VERA MONICA JANETH</v>
      </c>
      <c r="FL53" t="str">
        <v>VERA DELGADO BRYAN ADRIÁN</v>
      </c>
      <c r="FM53" t="str">
        <v>MORAN GONZALES DAVID RENATO</v>
      </c>
      <c r="FN53">
        <v>0</v>
      </c>
    </row>
    <row r="54" spans="1:170" ht="20.25" customHeight="1">
      <c r="A54" s="4" t="str" cm="1">
        <f t="array" ref="A54">TRANSPOSE(_xlfn.UNIQUE(_xlfn._xlws.FILTER(MAE_ASIGNATURA[ID_NIVEL],MAE_ASIGNATURA[ID_CARRERA]=ASIGNACION!$C54,"No existe información")))</f>
        <v>No existe información</v>
      </c>
      <c r="S54" s="4" t="str" cm="1">
        <f t="array" ref="S54">TRANSPOSE(_xlfn.UNIQUE(_xlfn._xlws.FILTER(MAE_ASIGNATURA[NOM_ASIG],(MAE_ASIGNATURA[ID_NIVEL]=ASIGNACION!$D54)*(MAE_ASIGNATURA[ID_CARRERA]=ASIGNACION!$C54),"No existe información")))</f>
        <v>No existe información</v>
      </c>
      <c r="BD54" s="4" t="str" cm="1">
        <f t="array" ref="BD54">TRANSPOSE(_xlfn.UNIQUE(_xlfn._xlws.FILTER(DET_ASIG[DETALLADO],(DET_ASIG[ID_CARRERA]=ASIGNACION!$C54)*(DET_ASIG[NIVEL]=ASIGNACION!$D54)*(DET_ASIG[ID_ASIG]=ASIGNACION!$G54),"No existe información")))</f>
        <v>No existe información</v>
      </c>
      <c r="BQ54" s="5" t="str" cm="1">
        <f t="array" ref="BQ54">IFERROR(
    TRANSPOSE(
        _xlfn.UNIQUE(
            _xlfn._xlws.FILTER(MAESTRIA_DETALLADO[MAESTRIA],
                ISNUMBER(MATCH(MAESTRIA_DETALLADO[CAMPO_DETALLADO],
                BD54:BP54,0))
            )
        )
    ),IF(BD54="ACTIVIDAD","DOCENCIA",""))</f>
        <v/>
      </c>
      <c r="EA54" s="5" t="str" cm="1">
        <f t="array" ref="EA54:FN54">IF(
    ASIGNACION!I54="SI",
    IFERROR(
        TRANSPOSE(
            _xlfn.UNIQUE(
                _xlfn._xlws.FILTER(EDU_DOCENTE[NOMBRE_DOCENTE],
                    ISNUMBER(MATCH(EDU_DOCENTE[MAESTRIA],
                    BQ54:DY54,0))
                )
            )
        ),
        ""
    ),
    TRANSPOSE(
        _xlfn.UNIQUE(EDU_DOCENTE[NOMBRE_DOCENTE]
        )
    )
)</f>
        <v>ALCIVAR CEDEÑO BEATRIZ ISABEL</v>
      </c>
      <c r="EB54" t="str">
        <v>ALCIVAR VERA GEMA MICHELLE</v>
      </c>
      <c r="EC54" t="str">
        <v>ARAUZ CHAVEZ MARIO ROBERTO</v>
      </c>
      <c r="ED54" t="str">
        <v>BAILON LOURIDO WALTER ALBERTO</v>
      </c>
      <c r="EE54" t="str">
        <v>CALDERERO VILLAGOMEZ ERICK ANTONIO</v>
      </c>
      <c r="EF54" t="str">
        <v>CASTILLO GARCIA PAOLA GERMANIA</v>
      </c>
      <c r="EG54" t="str">
        <v>CEDEÑO CHOEZ PEDRO JAVIER</v>
      </c>
      <c r="EH54" t="str">
        <v>CEVALLOS HOPPE JUAN CARLOS</v>
      </c>
      <c r="EI54" t="str">
        <v>DELGADO CHAVEZ MARIA IRASEMA</v>
      </c>
      <c r="EJ54" t="str">
        <v>DUARTE VALENCIA CRISTHIAN DARIO</v>
      </c>
      <c r="EK54" t="str">
        <v>FORTTY BARBERAN DENNY ALEXANDER</v>
      </c>
      <c r="EL54" t="str">
        <v>GUTIERREZ ZAMBRANO CARMEN EBELINA</v>
      </c>
      <c r="EM54" t="str">
        <v>INTRIAGO MOLINA GEMA VALERIA</v>
      </c>
      <c r="EN54" t="str">
        <v>LINO VELEZ LEONEL LIVINGTON</v>
      </c>
      <c r="EO54" t="str">
        <v>LOOR ALCIVAR MARIA ILIANA</v>
      </c>
      <c r="EP54" t="str">
        <v>LOOR MIELES TANIA JACQUELINE</v>
      </c>
      <c r="EQ54" t="str">
        <v>LOOR SOLORZANO ROSA MARIA</v>
      </c>
      <c r="ER54" t="str">
        <v>LOPEZ DELGADO RONALD MAURICIO</v>
      </c>
      <c r="ES54" t="str">
        <v>MACIAS VALENCIA DAVID GABRIEL</v>
      </c>
      <c r="ET54" t="str">
        <v>MENDOZA ZAMORA WALTER MANUEL</v>
      </c>
      <c r="EU54" t="str">
        <v>MOLINA CEVALLOS MARIA LORENA</v>
      </c>
      <c r="EV54" t="str">
        <v>MURILLO DELGADO ISAAC GABRIEL</v>
      </c>
      <c r="EW54" t="str">
        <v>ANGULO MURILLO NAVIRA GISSELA</v>
      </c>
      <c r="EX54" t="str">
        <v>OCHOA SOLEDISPA NESTOR IVAN</v>
      </c>
      <c r="EY54" t="str">
        <v>PARRAGA FRANCO SILVANA MARIELA</v>
      </c>
      <c r="EZ54" t="str">
        <v>PINARGOTE VASQUEZ NANCY FABIOLA</v>
      </c>
      <c r="FA54" t="str">
        <v>REYES VELEZ PEDRO ENRIQUE</v>
      </c>
      <c r="FB54" t="str">
        <v>SAN ANDRES HORMAZA DALLAS CECILIA</v>
      </c>
      <c r="FC54" t="str">
        <v>SORNOZA ZAMORA JUAN CARLOS</v>
      </c>
      <c r="FD54" t="str">
        <v>TOMALA PINTO JESUS JACINTO</v>
      </c>
      <c r="FE54" t="str">
        <v>VALLE JARAMILLO SILVIA ARACELY</v>
      </c>
      <c r="FF54" t="str">
        <v>VELÁSQUEZ BRAVO IRMA KATHERINE</v>
      </c>
      <c r="FG54" t="str">
        <v>VELEZ MENDOZA LAYSY VALERIA</v>
      </c>
      <c r="FH54" t="str">
        <v>VINUEZA TELLO SHIRLEY ELIZABETH</v>
      </c>
      <c r="FI54" t="str">
        <v>ZAMBRANO ALCIVAR NILDA ISABEL</v>
      </c>
      <c r="FJ54" t="str">
        <v>ZAMBRANO LOOR RITA MAYDA</v>
      </c>
      <c r="FK54" t="str">
        <v>ZAMBRANO VERA MONICA JANETH</v>
      </c>
      <c r="FL54" t="str">
        <v>VERA DELGADO BRYAN ADRIÁN</v>
      </c>
      <c r="FM54" t="str">
        <v>MORAN GONZALES DAVID RENATO</v>
      </c>
      <c r="FN54">
        <v>0</v>
      </c>
    </row>
    <row r="55" spans="1:170" ht="20.25" customHeight="1">
      <c r="A55" s="4" t="str" cm="1">
        <f t="array" ref="A55">TRANSPOSE(_xlfn.UNIQUE(_xlfn._xlws.FILTER(MAE_ASIGNATURA[ID_NIVEL],MAE_ASIGNATURA[ID_CARRERA]=ASIGNACION!$C55,"No existe información")))</f>
        <v>No existe información</v>
      </c>
      <c r="S55" s="4" t="str" cm="1">
        <f t="array" ref="S55">TRANSPOSE(_xlfn.UNIQUE(_xlfn._xlws.FILTER(MAE_ASIGNATURA[NOM_ASIG],(MAE_ASIGNATURA[ID_NIVEL]=ASIGNACION!$D55)*(MAE_ASIGNATURA[ID_CARRERA]=ASIGNACION!$C55),"No existe información")))</f>
        <v>No existe información</v>
      </c>
      <c r="BD55" s="4" t="str" cm="1">
        <f t="array" ref="BD55">TRANSPOSE(_xlfn.UNIQUE(_xlfn._xlws.FILTER(DET_ASIG[DETALLADO],(DET_ASIG[ID_CARRERA]=ASIGNACION!$C55)*(DET_ASIG[NIVEL]=ASIGNACION!$D55)*(DET_ASIG[ID_ASIG]=ASIGNACION!$G55),"No existe información")))</f>
        <v>No existe información</v>
      </c>
      <c r="BQ55" s="5" t="str" cm="1">
        <f t="array" ref="BQ55">IFERROR(
    TRANSPOSE(
        _xlfn.UNIQUE(
            _xlfn._xlws.FILTER(MAESTRIA_DETALLADO[MAESTRIA],
                ISNUMBER(MATCH(MAESTRIA_DETALLADO[CAMPO_DETALLADO],
                BD55:BP55,0))
            )
        )
    ),IF(BD55="ACTIVIDAD","DOCENCIA",""))</f>
        <v/>
      </c>
      <c r="EA55" s="5" t="str" cm="1">
        <f t="array" ref="EA55:FN55">IF(
    ASIGNACION!I55="SI",
    IFERROR(
        TRANSPOSE(
            _xlfn.UNIQUE(
                _xlfn._xlws.FILTER(EDU_DOCENTE[NOMBRE_DOCENTE],
                    ISNUMBER(MATCH(EDU_DOCENTE[MAESTRIA],
                    BQ55:DY55,0))
                )
            )
        ),
        ""
    ),
    TRANSPOSE(
        _xlfn.UNIQUE(EDU_DOCENTE[NOMBRE_DOCENTE]
        )
    )
)</f>
        <v>ALCIVAR CEDEÑO BEATRIZ ISABEL</v>
      </c>
      <c r="EB55" t="str">
        <v>ALCIVAR VERA GEMA MICHELLE</v>
      </c>
      <c r="EC55" t="str">
        <v>ARAUZ CHAVEZ MARIO ROBERTO</v>
      </c>
      <c r="ED55" t="str">
        <v>BAILON LOURIDO WALTER ALBERTO</v>
      </c>
      <c r="EE55" t="str">
        <v>CALDERERO VILLAGOMEZ ERICK ANTONIO</v>
      </c>
      <c r="EF55" t="str">
        <v>CASTILLO GARCIA PAOLA GERMANIA</v>
      </c>
      <c r="EG55" t="str">
        <v>CEDEÑO CHOEZ PEDRO JAVIER</v>
      </c>
      <c r="EH55" t="str">
        <v>CEVALLOS HOPPE JUAN CARLOS</v>
      </c>
      <c r="EI55" t="str">
        <v>DELGADO CHAVEZ MARIA IRASEMA</v>
      </c>
      <c r="EJ55" t="str">
        <v>DUARTE VALENCIA CRISTHIAN DARIO</v>
      </c>
      <c r="EK55" t="str">
        <v>FORTTY BARBERAN DENNY ALEXANDER</v>
      </c>
      <c r="EL55" t="str">
        <v>GUTIERREZ ZAMBRANO CARMEN EBELINA</v>
      </c>
      <c r="EM55" t="str">
        <v>INTRIAGO MOLINA GEMA VALERIA</v>
      </c>
      <c r="EN55" t="str">
        <v>LINO VELEZ LEONEL LIVINGTON</v>
      </c>
      <c r="EO55" t="str">
        <v>LOOR ALCIVAR MARIA ILIANA</v>
      </c>
      <c r="EP55" t="str">
        <v>LOOR MIELES TANIA JACQUELINE</v>
      </c>
      <c r="EQ55" t="str">
        <v>LOOR SOLORZANO ROSA MARIA</v>
      </c>
      <c r="ER55" t="str">
        <v>LOPEZ DELGADO RONALD MAURICIO</v>
      </c>
      <c r="ES55" t="str">
        <v>MACIAS VALENCIA DAVID GABRIEL</v>
      </c>
      <c r="ET55" t="str">
        <v>MENDOZA ZAMORA WALTER MANUEL</v>
      </c>
      <c r="EU55" t="str">
        <v>MOLINA CEVALLOS MARIA LORENA</v>
      </c>
      <c r="EV55" t="str">
        <v>MURILLO DELGADO ISAAC GABRIEL</v>
      </c>
      <c r="EW55" t="str">
        <v>ANGULO MURILLO NAVIRA GISSELA</v>
      </c>
      <c r="EX55" t="str">
        <v>OCHOA SOLEDISPA NESTOR IVAN</v>
      </c>
      <c r="EY55" t="str">
        <v>PARRAGA FRANCO SILVANA MARIELA</v>
      </c>
      <c r="EZ55" t="str">
        <v>PINARGOTE VASQUEZ NANCY FABIOLA</v>
      </c>
      <c r="FA55" t="str">
        <v>REYES VELEZ PEDRO ENRIQUE</v>
      </c>
      <c r="FB55" t="str">
        <v>SAN ANDRES HORMAZA DALLAS CECILIA</v>
      </c>
      <c r="FC55" t="str">
        <v>SORNOZA ZAMORA JUAN CARLOS</v>
      </c>
      <c r="FD55" t="str">
        <v>TOMALA PINTO JESUS JACINTO</v>
      </c>
      <c r="FE55" t="str">
        <v>VALLE JARAMILLO SILVIA ARACELY</v>
      </c>
      <c r="FF55" t="str">
        <v>VELÁSQUEZ BRAVO IRMA KATHERINE</v>
      </c>
      <c r="FG55" t="str">
        <v>VELEZ MENDOZA LAYSY VALERIA</v>
      </c>
      <c r="FH55" t="str">
        <v>VINUEZA TELLO SHIRLEY ELIZABETH</v>
      </c>
      <c r="FI55" t="str">
        <v>ZAMBRANO ALCIVAR NILDA ISABEL</v>
      </c>
      <c r="FJ55" t="str">
        <v>ZAMBRANO LOOR RITA MAYDA</v>
      </c>
      <c r="FK55" t="str">
        <v>ZAMBRANO VERA MONICA JANETH</v>
      </c>
      <c r="FL55" t="str">
        <v>VERA DELGADO BRYAN ADRIÁN</v>
      </c>
      <c r="FM55" t="str">
        <v>MORAN GONZALES DAVID RENATO</v>
      </c>
      <c r="FN55">
        <v>0</v>
      </c>
    </row>
    <row r="56" spans="1:170" ht="20.25" customHeight="1">
      <c r="A56" s="4" t="str" cm="1">
        <f t="array" ref="A56">TRANSPOSE(_xlfn.UNIQUE(_xlfn._xlws.FILTER(MAE_ASIGNATURA[ID_NIVEL],MAE_ASIGNATURA[ID_CARRERA]=ASIGNACION!$C56,"No existe información")))</f>
        <v>No existe información</v>
      </c>
      <c r="S56" s="4" t="str" cm="1">
        <f t="array" ref="S56">TRANSPOSE(_xlfn.UNIQUE(_xlfn._xlws.FILTER(MAE_ASIGNATURA[NOM_ASIG],(MAE_ASIGNATURA[ID_NIVEL]=ASIGNACION!$D56)*(MAE_ASIGNATURA[ID_CARRERA]=ASIGNACION!$C56),"No existe información")))</f>
        <v>No existe información</v>
      </c>
      <c r="BD56" s="4" t="str" cm="1">
        <f t="array" ref="BD56">TRANSPOSE(_xlfn.UNIQUE(_xlfn._xlws.FILTER(DET_ASIG[DETALLADO],(DET_ASIG[ID_CARRERA]=ASIGNACION!$C56)*(DET_ASIG[NIVEL]=ASIGNACION!$D56)*(DET_ASIG[ID_ASIG]=ASIGNACION!$G56),"No existe información")))</f>
        <v>No existe información</v>
      </c>
      <c r="BQ56" s="5" t="str" cm="1">
        <f t="array" ref="BQ56">IFERROR(
    TRANSPOSE(
        _xlfn.UNIQUE(
            _xlfn._xlws.FILTER(MAESTRIA_DETALLADO[MAESTRIA],
                ISNUMBER(MATCH(MAESTRIA_DETALLADO[CAMPO_DETALLADO],
                BD56:BP56,0))
            )
        )
    ),IF(BD56="ACTIVIDAD","DOCENCIA",""))</f>
        <v/>
      </c>
      <c r="EA56" s="5" t="str" cm="1">
        <f t="array" ref="EA56:FN56">IF(
    ASIGNACION!I56="SI",
    IFERROR(
        TRANSPOSE(
            _xlfn.UNIQUE(
                _xlfn._xlws.FILTER(EDU_DOCENTE[NOMBRE_DOCENTE],
                    ISNUMBER(MATCH(EDU_DOCENTE[MAESTRIA],
                    BQ56:DY56,0))
                )
            )
        ),
        ""
    ),
    TRANSPOSE(
        _xlfn.UNIQUE(EDU_DOCENTE[NOMBRE_DOCENTE]
        )
    )
)</f>
        <v>ALCIVAR CEDEÑO BEATRIZ ISABEL</v>
      </c>
      <c r="EB56" t="str">
        <v>ALCIVAR VERA GEMA MICHELLE</v>
      </c>
      <c r="EC56" t="str">
        <v>ARAUZ CHAVEZ MARIO ROBERTO</v>
      </c>
      <c r="ED56" t="str">
        <v>BAILON LOURIDO WALTER ALBERTO</v>
      </c>
      <c r="EE56" t="str">
        <v>CALDERERO VILLAGOMEZ ERICK ANTONIO</v>
      </c>
      <c r="EF56" t="str">
        <v>CASTILLO GARCIA PAOLA GERMANIA</v>
      </c>
      <c r="EG56" t="str">
        <v>CEDEÑO CHOEZ PEDRO JAVIER</v>
      </c>
      <c r="EH56" t="str">
        <v>CEVALLOS HOPPE JUAN CARLOS</v>
      </c>
      <c r="EI56" t="str">
        <v>DELGADO CHAVEZ MARIA IRASEMA</v>
      </c>
      <c r="EJ56" t="str">
        <v>DUARTE VALENCIA CRISTHIAN DARIO</v>
      </c>
      <c r="EK56" t="str">
        <v>FORTTY BARBERAN DENNY ALEXANDER</v>
      </c>
      <c r="EL56" t="str">
        <v>GUTIERREZ ZAMBRANO CARMEN EBELINA</v>
      </c>
      <c r="EM56" t="str">
        <v>INTRIAGO MOLINA GEMA VALERIA</v>
      </c>
      <c r="EN56" t="str">
        <v>LINO VELEZ LEONEL LIVINGTON</v>
      </c>
      <c r="EO56" t="str">
        <v>LOOR ALCIVAR MARIA ILIANA</v>
      </c>
      <c r="EP56" t="str">
        <v>LOOR MIELES TANIA JACQUELINE</v>
      </c>
      <c r="EQ56" t="str">
        <v>LOOR SOLORZANO ROSA MARIA</v>
      </c>
      <c r="ER56" t="str">
        <v>LOPEZ DELGADO RONALD MAURICIO</v>
      </c>
      <c r="ES56" t="str">
        <v>MACIAS VALENCIA DAVID GABRIEL</v>
      </c>
      <c r="ET56" t="str">
        <v>MENDOZA ZAMORA WALTER MANUEL</v>
      </c>
      <c r="EU56" t="str">
        <v>MOLINA CEVALLOS MARIA LORENA</v>
      </c>
      <c r="EV56" t="str">
        <v>MURILLO DELGADO ISAAC GABRIEL</v>
      </c>
      <c r="EW56" t="str">
        <v>ANGULO MURILLO NAVIRA GISSELA</v>
      </c>
      <c r="EX56" t="str">
        <v>OCHOA SOLEDISPA NESTOR IVAN</v>
      </c>
      <c r="EY56" t="str">
        <v>PARRAGA FRANCO SILVANA MARIELA</v>
      </c>
      <c r="EZ56" t="str">
        <v>PINARGOTE VASQUEZ NANCY FABIOLA</v>
      </c>
      <c r="FA56" t="str">
        <v>REYES VELEZ PEDRO ENRIQUE</v>
      </c>
      <c r="FB56" t="str">
        <v>SAN ANDRES HORMAZA DALLAS CECILIA</v>
      </c>
      <c r="FC56" t="str">
        <v>SORNOZA ZAMORA JUAN CARLOS</v>
      </c>
      <c r="FD56" t="str">
        <v>TOMALA PINTO JESUS JACINTO</v>
      </c>
      <c r="FE56" t="str">
        <v>VALLE JARAMILLO SILVIA ARACELY</v>
      </c>
      <c r="FF56" t="str">
        <v>VELÁSQUEZ BRAVO IRMA KATHERINE</v>
      </c>
      <c r="FG56" t="str">
        <v>VELEZ MENDOZA LAYSY VALERIA</v>
      </c>
      <c r="FH56" t="str">
        <v>VINUEZA TELLO SHIRLEY ELIZABETH</v>
      </c>
      <c r="FI56" t="str">
        <v>ZAMBRANO ALCIVAR NILDA ISABEL</v>
      </c>
      <c r="FJ56" t="str">
        <v>ZAMBRANO LOOR RITA MAYDA</v>
      </c>
      <c r="FK56" t="str">
        <v>ZAMBRANO VERA MONICA JANETH</v>
      </c>
      <c r="FL56" t="str">
        <v>VERA DELGADO BRYAN ADRIÁN</v>
      </c>
      <c r="FM56" t="str">
        <v>MORAN GONZALES DAVID RENATO</v>
      </c>
      <c r="FN56">
        <v>0</v>
      </c>
    </row>
    <row r="57" spans="1:170" ht="20.25" customHeight="1">
      <c r="A57" s="4" t="str" cm="1">
        <f t="array" ref="A57">TRANSPOSE(_xlfn.UNIQUE(_xlfn._xlws.FILTER(MAE_ASIGNATURA[ID_NIVEL],MAE_ASIGNATURA[ID_CARRERA]=ASIGNACION!$C57,"No existe información")))</f>
        <v>No existe información</v>
      </c>
      <c r="S57" s="4" t="str" cm="1">
        <f t="array" ref="S57">TRANSPOSE(_xlfn.UNIQUE(_xlfn._xlws.FILTER(MAE_ASIGNATURA[NOM_ASIG],(MAE_ASIGNATURA[ID_NIVEL]=ASIGNACION!$D57)*(MAE_ASIGNATURA[ID_CARRERA]=ASIGNACION!$C57),"No existe información")))</f>
        <v>No existe información</v>
      </c>
      <c r="BD57" s="4" t="str" cm="1">
        <f t="array" ref="BD57">TRANSPOSE(_xlfn.UNIQUE(_xlfn._xlws.FILTER(DET_ASIG[DETALLADO],(DET_ASIG[ID_CARRERA]=ASIGNACION!$C57)*(DET_ASIG[NIVEL]=ASIGNACION!$D57)*(DET_ASIG[ID_ASIG]=ASIGNACION!$G57),"No existe información")))</f>
        <v>No existe información</v>
      </c>
      <c r="BQ57" s="5" t="str" cm="1">
        <f t="array" ref="BQ57">IFERROR(
    TRANSPOSE(
        _xlfn.UNIQUE(
            _xlfn._xlws.FILTER(MAESTRIA_DETALLADO[MAESTRIA],
                ISNUMBER(MATCH(MAESTRIA_DETALLADO[CAMPO_DETALLADO],
                BD57:BP57,0))
            )
        )
    ),IF(BD57="ACTIVIDAD","DOCENCIA",""))</f>
        <v/>
      </c>
      <c r="EA57" s="5" t="str" cm="1">
        <f t="array" ref="EA57:FN57">IF(
    ASIGNACION!I57="SI",
    IFERROR(
        TRANSPOSE(
            _xlfn.UNIQUE(
                _xlfn._xlws.FILTER(EDU_DOCENTE[NOMBRE_DOCENTE],
                    ISNUMBER(MATCH(EDU_DOCENTE[MAESTRIA],
                    BQ57:DY57,0))
                )
            )
        ),
        ""
    ),
    TRANSPOSE(
        _xlfn.UNIQUE(EDU_DOCENTE[NOMBRE_DOCENTE]
        )
    )
)</f>
        <v>ALCIVAR CEDEÑO BEATRIZ ISABEL</v>
      </c>
      <c r="EB57" t="str">
        <v>ALCIVAR VERA GEMA MICHELLE</v>
      </c>
      <c r="EC57" t="str">
        <v>ARAUZ CHAVEZ MARIO ROBERTO</v>
      </c>
      <c r="ED57" t="str">
        <v>BAILON LOURIDO WALTER ALBERTO</v>
      </c>
      <c r="EE57" t="str">
        <v>CALDERERO VILLAGOMEZ ERICK ANTONIO</v>
      </c>
      <c r="EF57" t="str">
        <v>CASTILLO GARCIA PAOLA GERMANIA</v>
      </c>
      <c r="EG57" t="str">
        <v>CEDEÑO CHOEZ PEDRO JAVIER</v>
      </c>
      <c r="EH57" t="str">
        <v>CEVALLOS HOPPE JUAN CARLOS</v>
      </c>
      <c r="EI57" t="str">
        <v>DELGADO CHAVEZ MARIA IRASEMA</v>
      </c>
      <c r="EJ57" t="str">
        <v>DUARTE VALENCIA CRISTHIAN DARIO</v>
      </c>
      <c r="EK57" t="str">
        <v>FORTTY BARBERAN DENNY ALEXANDER</v>
      </c>
      <c r="EL57" t="str">
        <v>GUTIERREZ ZAMBRANO CARMEN EBELINA</v>
      </c>
      <c r="EM57" t="str">
        <v>INTRIAGO MOLINA GEMA VALERIA</v>
      </c>
      <c r="EN57" t="str">
        <v>LINO VELEZ LEONEL LIVINGTON</v>
      </c>
      <c r="EO57" t="str">
        <v>LOOR ALCIVAR MARIA ILIANA</v>
      </c>
      <c r="EP57" t="str">
        <v>LOOR MIELES TANIA JACQUELINE</v>
      </c>
      <c r="EQ57" t="str">
        <v>LOOR SOLORZANO ROSA MARIA</v>
      </c>
      <c r="ER57" t="str">
        <v>LOPEZ DELGADO RONALD MAURICIO</v>
      </c>
      <c r="ES57" t="str">
        <v>MACIAS VALENCIA DAVID GABRIEL</v>
      </c>
      <c r="ET57" t="str">
        <v>MENDOZA ZAMORA WALTER MANUEL</v>
      </c>
      <c r="EU57" t="str">
        <v>MOLINA CEVALLOS MARIA LORENA</v>
      </c>
      <c r="EV57" t="str">
        <v>MURILLO DELGADO ISAAC GABRIEL</v>
      </c>
      <c r="EW57" t="str">
        <v>ANGULO MURILLO NAVIRA GISSELA</v>
      </c>
      <c r="EX57" t="str">
        <v>OCHOA SOLEDISPA NESTOR IVAN</v>
      </c>
      <c r="EY57" t="str">
        <v>PARRAGA FRANCO SILVANA MARIELA</v>
      </c>
      <c r="EZ57" t="str">
        <v>PINARGOTE VASQUEZ NANCY FABIOLA</v>
      </c>
      <c r="FA57" t="str">
        <v>REYES VELEZ PEDRO ENRIQUE</v>
      </c>
      <c r="FB57" t="str">
        <v>SAN ANDRES HORMAZA DALLAS CECILIA</v>
      </c>
      <c r="FC57" t="str">
        <v>SORNOZA ZAMORA JUAN CARLOS</v>
      </c>
      <c r="FD57" t="str">
        <v>TOMALA PINTO JESUS JACINTO</v>
      </c>
      <c r="FE57" t="str">
        <v>VALLE JARAMILLO SILVIA ARACELY</v>
      </c>
      <c r="FF57" t="str">
        <v>VELÁSQUEZ BRAVO IRMA KATHERINE</v>
      </c>
      <c r="FG57" t="str">
        <v>VELEZ MENDOZA LAYSY VALERIA</v>
      </c>
      <c r="FH57" t="str">
        <v>VINUEZA TELLO SHIRLEY ELIZABETH</v>
      </c>
      <c r="FI57" t="str">
        <v>ZAMBRANO ALCIVAR NILDA ISABEL</v>
      </c>
      <c r="FJ57" t="str">
        <v>ZAMBRANO LOOR RITA MAYDA</v>
      </c>
      <c r="FK57" t="str">
        <v>ZAMBRANO VERA MONICA JANETH</v>
      </c>
      <c r="FL57" t="str">
        <v>VERA DELGADO BRYAN ADRIÁN</v>
      </c>
      <c r="FM57" t="str">
        <v>MORAN GONZALES DAVID RENATO</v>
      </c>
      <c r="FN57">
        <v>0</v>
      </c>
    </row>
    <row r="58" spans="1:170" ht="20.25" customHeight="1">
      <c r="A58" s="4" t="str" cm="1">
        <f t="array" ref="A58">TRANSPOSE(_xlfn.UNIQUE(_xlfn._xlws.FILTER(MAE_ASIGNATURA[ID_NIVEL],MAE_ASIGNATURA[ID_CARRERA]=ASIGNACION!$C58,"No existe información")))</f>
        <v>No existe información</v>
      </c>
      <c r="S58" s="4" t="str" cm="1">
        <f t="array" ref="S58">TRANSPOSE(_xlfn.UNIQUE(_xlfn._xlws.FILTER(MAE_ASIGNATURA[NOM_ASIG],(MAE_ASIGNATURA[ID_NIVEL]=ASIGNACION!$D58)*(MAE_ASIGNATURA[ID_CARRERA]=ASIGNACION!$C58),"No existe información")))</f>
        <v>No existe información</v>
      </c>
      <c r="BD58" s="4" t="str" cm="1">
        <f t="array" ref="BD58">TRANSPOSE(_xlfn.UNIQUE(_xlfn._xlws.FILTER(DET_ASIG[DETALLADO],(DET_ASIG[ID_CARRERA]=ASIGNACION!$C58)*(DET_ASIG[NIVEL]=ASIGNACION!$D58)*(DET_ASIG[ID_ASIG]=ASIGNACION!$G58),"No existe información")))</f>
        <v>No existe información</v>
      </c>
      <c r="BQ58" s="5" t="str" cm="1">
        <f t="array" ref="BQ58">IFERROR(
    TRANSPOSE(
        _xlfn.UNIQUE(
            _xlfn._xlws.FILTER(MAESTRIA_DETALLADO[MAESTRIA],
                ISNUMBER(MATCH(MAESTRIA_DETALLADO[CAMPO_DETALLADO],
                BD58:BP58,0))
            )
        )
    ),IF(BD58="ACTIVIDAD","DOCENCIA",""))</f>
        <v/>
      </c>
      <c r="EA58" s="5" t="str" cm="1">
        <f t="array" ref="EA58:FN58">IF(
    ASIGNACION!I58="SI",
    IFERROR(
        TRANSPOSE(
            _xlfn.UNIQUE(
                _xlfn._xlws.FILTER(EDU_DOCENTE[NOMBRE_DOCENTE],
                    ISNUMBER(MATCH(EDU_DOCENTE[MAESTRIA],
                    BQ58:DY58,0))
                )
            )
        ),
        ""
    ),
    TRANSPOSE(
        _xlfn.UNIQUE(EDU_DOCENTE[NOMBRE_DOCENTE]
        )
    )
)</f>
        <v>ALCIVAR CEDEÑO BEATRIZ ISABEL</v>
      </c>
      <c r="EB58" t="str">
        <v>ALCIVAR VERA GEMA MICHELLE</v>
      </c>
      <c r="EC58" t="str">
        <v>ARAUZ CHAVEZ MARIO ROBERTO</v>
      </c>
      <c r="ED58" t="str">
        <v>BAILON LOURIDO WALTER ALBERTO</v>
      </c>
      <c r="EE58" t="str">
        <v>CALDERERO VILLAGOMEZ ERICK ANTONIO</v>
      </c>
      <c r="EF58" t="str">
        <v>CASTILLO GARCIA PAOLA GERMANIA</v>
      </c>
      <c r="EG58" t="str">
        <v>CEDEÑO CHOEZ PEDRO JAVIER</v>
      </c>
      <c r="EH58" t="str">
        <v>CEVALLOS HOPPE JUAN CARLOS</v>
      </c>
      <c r="EI58" t="str">
        <v>DELGADO CHAVEZ MARIA IRASEMA</v>
      </c>
      <c r="EJ58" t="str">
        <v>DUARTE VALENCIA CRISTHIAN DARIO</v>
      </c>
      <c r="EK58" t="str">
        <v>FORTTY BARBERAN DENNY ALEXANDER</v>
      </c>
      <c r="EL58" t="str">
        <v>GUTIERREZ ZAMBRANO CARMEN EBELINA</v>
      </c>
      <c r="EM58" t="str">
        <v>INTRIAGO MOLINA GEMA VALERIA</v>
      </c>
      <c r="EN58" t="str">
        <v>LINO VELEZ LEONEL LIVINGTON</v>
      </c>
      <c r="EO58" t="str">
        <v>LOOR ALCIVAR MARIA ILIANA</v>
      </c>
      <c r="EP58" t="str">
        <v>LOOR MIELES TANIA JACQUELINE</v>
      </c>
      <c r="EQ58" t="str">
        <v>LOOR SOLORZANO ROSA MARIA</v>
      </c>
      <c r="ER58" t="str">
        <v>LOPEZ DELGADO RONALD MAURICIO</v>
      </c>
      <c r="ES58" t="str">
        <v>MACIAS VALENCIA DAVID GABRIEL</v>
      </c>
      <c r="ET58" t="str">
        <v>MENDOZA ZAMORA WALTER MANUEL</v>
      </c>
      <c r="EU58" t="str">
        <v>MOLINA CEVALLOS MARIA LORENA</v>
      </c>
      <c r="EV58" t="str">
        <v>MURILLO DELGADO ISAAC GABRIEL</v>
      </c>
      <c r="EW58" t="str">
        <v>ANGULO MURILLO NAVIRA GISSELA</v>
      </c>
      <c r="EX58" t="str">
        <v>OCHOA SOLEDISPA NESTOR IVAN</v>
      </c>
      <c r="EY58" t="str">
        <v>PARRAGA FRANCO SILVANA MARIELA</v>
      </c>
      <c r="EZ58" t="str">
        <v>PINARGOTE VASQUEZ NANCY FABIOLA</v>
      </c>
      <c r="FA58" t="str">
        <v>REYES VELEZ PEDRO ENRIQUE</v>
      </c>
      <c r="FB58" t="str">
        <v>SAN ANDRES HORMAZA DALLAS CECILIA</v>
      </c>
      <c r="FC58" t="str">
        <v>SORNOZA ZAMORA JUAN CARLOS</v>
      </c>
      <c r="FD58" t="str">
        <v>TOMALA PINTO JESUS JACINTO</v>
      </c>
      <c r="FE58" t="str">
        <v>VALLE JARAMILLO SILVIA ARACELY</v>
      </c>
      <c r="FF58" t="str">
        <v>VELÁSQUEZ BRAVO IRMA KATHERINE</v>
      </c>
      <c r="FG58" t="str">
        <v>VELEZ MENDOZA LAYSY VALERIA</v>
      </c>
      <c r="FH58" t="str">
        <v>VINUEZA TELLO SHIRLEY ELIZABETH</v>
      </c>
      <c r="FI58" t="str">
        <v>ZAMBRANO ALCIVAR NILDA ISABEL</v>
      </c>
      <c r="FJ58" t="str">
        <v>ZAMBRANO LOOR RITA MAYDA</v>
      </c>
      <c r="FK58" t="str">
        <v>ZAMBRANO VERA MONICA JANETH</v>
      </c>
      <c r="FL58" t="str">
        <v>VERA DELGADO BRYAN ADRIÁN</v>
      </c>
      <c r="FM58" t="str">
        <v>MORAN GONZALES DAVID RENATO</v>
      </c>
      <c r="FN58">
        <v>0</v>
      </c>
    </row>
    <row r="59" spans="1:170" ht="20.25" customHeight="1">
      <c r="A59" s="4" t="str" cm="1">
        <f t="array" ref="A59">TRANSPOSE(_xlfn.UNIQUE(_xlfn._xlws.FILTER(MAE_ASIGNATURA[ID_NIVEL],MAE_ASIGNATURA[ID_CARRERA]=ASIGNACION!$C59,"No existe información")))</f>
        <v>No existe información</v>
      </c>
      <c r="S59" s="4" t="str" cm="1">
        <f t="array" ref="S59">TRANSPOSE(_xlfn.UNIQUE(_xlfn._xlws.FILTER(MAE_ASIGNATURA[NOM_ASIG],(MAE_ASIGNATURA[ID_NIVEL]=ASIGNACION!$D59)*(MAE_ASIGNATURA[ID_CARRERA]=ASIGNACION!$C59),"No existe información")))</f>
        <v>No existe información</v>
      </c>
      <c r="BD59" s="4" t="str" cm="1">
        <f t="array" ref="BD59">TRANSPOSE(_xlfn.UNIQUE(_xlfn._xlws.FILTER(DET_ASIG[DETALLADO],(DET_ASIG[ID_CARRERA]=ASIGNACION!$C59)*(DET_ASIG[NIVEL]=ASIGNACION!$D59)*(DET_ASIG[ID_ASIG]=ASIGNACION!$G59),"No existe información")))</f>
        <v>No existe información</v>
      </c>
      <c r="BQ59" s="5" t="str" cm="1">
        <f t="array" ref="BQ59">IFERROR(
    TRANSPOSE(
        _xlfn.UNIQUE(
            _xlfn._xlws.FILTER(MAESTRIA_DETALLADO[MAESTRIA],
                ISNUMBER(MATCH(MAESTRIA_DETALLADO[CAMPO_DETALLADO],
                BD59:BP59,0))
            )
        )
    ),IF(BD59="ACTIVIDAD","DOCENCIA",""))</f>
        <v/>
      </c>
      <c r="EA59" s="5" t="str" cm="1">
        <f t="array" ref="EA59:FN59">IF(
    ASIGNACION!I59="SI",
    IFERROR(
        TRANSPOSE(
            _xlfn.UNIQUE(
                _xlfn._xlws.FILTER(EDU_DOCENTE[NOMBRE_DOCENTE],
                    ISNUMBER(MATCH(EDU_DOCENTE[MAESTRIA],
                    BQ59:DY59,0))
                )
            )
        ),
        ""
    ),
    TRANSPOSE(
        _xlfn.UNIQUE(EDU_DOCENTE[NOMBRE_DOCENTE]
        )
    )
)</f>
        <v>ALCIVAR CEDEÑO BEATRIZ ISABEL</v>
      </c>
      <c r="EB59" t="str">
        <v>ALCIVAR VERA GEMA MICHELLE</v>
      </c>
      <c r="EC59" t="str">
        <v>ARAUZ CHAVEZ MARIO ROBERTO</v>
      </c>
      <c r="ED59" t="str">
        <v>BAILON LOURIDO WALTER ALBERTO</v>
      </c>
      <c r="EE59" t="str">
        <v>CALDERERO VILLAGOMEZ ERICK ANTONIO</v>
      </c>
      <c r="EF59" t="str">
        <v>CASTILLO GARCIA PAOLA GERMANIA</v>
      </c>
      <c r="EG59" t="str">
        <v>CEDEÑO CHOEZ PEDRO JAVIER</v>
      </c>
      <c r="EH59" t="str">
        <v>CEVALLOS HOPPE JUAN CARLOS</v>
      </c>
      <c r="EI59" t="str">
        <v>DELGADO CHAVEZ MARIA IRASEMA</v>
      </c>
      <c r="EJ59" t="str">
        <v>DUARTE VALENCIA CRISTHIAN DARIO</v>
      </c>
      <c r="EK59" t="str">
        <v>FORTTY BARBERAN DENNY ALEXANDER</v>
      </c>
      <c r="EL59" t="str">
        <v>GUTIERREZ ZAMBRANO CARMEN EBELINA</v>
      </c>
      <c r="EM59" t="str">
        <v>INTRIAGO MOLINA GEMA VALERIA</v>
      </c>
      <c r="EN59" t="str">
        <v>LINO VELEZ LEONEL LIVINGTON</v>
      </c>
      <c r="EO59" t="str">
        <v>LOOR ALCIVAR MARIA ILIANA</v>
      </c>
      <c r="EP59" t="str">
        <v>LOOR MIELES TANIA JACQUELINE</v>
      </c>
      <c r="EQ59" t="str">
        <v>LOOR SOLORZANO ROSA MARIA</v>
      </c>
      <c r="ER59" t="str">
        <v>LOPEZ DELGADO RONALD MAURICIO</v>
      </c>
      <c r="ES59" t="str">
        <v>MACIAS VALENCIA DAVID GABRIEL</v>
      </c>
      <c r="ET59" t="str">
        <v>MENDOZA ZAMORA WALTER MANUEL</v>
      </c>
      <c r="EU59" t="str">
        <v>MOLINA CEVALLOS MARIA LORENA</v>
      </c>
      <c r="EV59" t="str">
        <v>MURILLO DELGADO ISAAC GABRIEL</v>
      </c>
      <c r="EW59" t="str">
        <v>ANGULO MURILLO NAVIRA GISSELA</v>
      </c>
      <c r="EX59" t="str">
        <v>OCHOA SOLEDISPA NESTOR IVAN</v>
      </c>
      <c r="EY59" t="str">
        <v>PARRAGA FRANCO SILVANA MARIELA</v>
      </c>
      <c r="EZ59" t="str">
        <v>PINARGOTE VASQUEZ NANCY FABIOLA</v>
      </c>
      <c r="FA59" t="str">
        <v>REYES VELEZ PEDRO ENRIQUE</v>
      </c>
      <c r="FB59" t="str">
        <v>SAN ANDRES HORMAZA DALLAS CECILIA</v>
      </c>
      <c r="FC59" t="str">
        <v>SORNOZA ZAMORA JUAN CARLOS</v>
      </c>
      <c r="FD59" t="str">
        <v>TOMALA PINTO JESUS JACINTO</v>
      </c>
      <c r="FE59" t="str">
        <v>VALLE JARAMILLO SILVIA ARACELY</v>
      </c>
      <c r="FF59" t="str">
        <v>VELÁSQUEZ BRAVO IRMA KATHERINE</v>
      </c>
      <c r="FG59" t="str">
        <v>VELEZ MENDOZA LAYSY VALERIA</v>
      </c>
      <c r="FH59" t="str">
        <v>VINUEZA TELLO SHIRLEY ELIZABETH</v>
      </c>
      <c r="FI59" t="str">
        <v>ZAMBRANO ALCIVAR NILDA ISABEL</v>
      </c>
      <c r="FJ59" t="str">
        <v>ZAMBRANO LOOR RITA MAYDA</v>
      </c>
      <c r="FK59" t="str">
        <v>ZAMBRANO VERA MONICA JANETH</v>
      </c>
      <c r="FL59" t="str">
        <v>VERA DELGADO BRYAN ADRIÁN</v>
      </c>
      <c r="FM59" t="str">
        <v>MORAN GONZALES DAVID RENATO</v>
      </c>
      <c r="FN59">
        <v>0</v>
      </c>
    </row>
    <row r="60" spans="1:170" ht="20.25" customHeight="1">
      <c r="A60" s="4" t="str" cm="1">
        <f t="array" ref="A60">TRANSPOSE(_xlfn.UNIQUE(_xlfn._xlws.FILTER(MAE_ASIGNATURA[ID_NIVEL],MAE_ASIGNATURA[ID_CARRERA]=ASIGNACION!$C60,"No existe información")))</f>
        <v>No existe información</v>
      </c>
      <c r="S60" s="4" t="str" cm="1">
        <f t="array" ref="S60">TRANSPOSE(_xlfn.UNIQUE(_xlfn._xlws.FILTER(MAE_ASIGNATURA[NOM_ASIG],(MAE_ASIGNATURA[ID_NIVEL]=ASIGNACION!$D60)*(MAE_ASIGNATURA[ID_CARRERA]=ASIGNACION!$C60),"No existe información")))</f>
        <v>No existe información</v>
      </c>
      <c r="BD60" s="4" t="str" cm="1">
        <f t="array" ref="BD60">TRANSPOSE(_xlfn.UNIQUE(_xlfn._xlws.FILTER(DET_ASIG[DETALLADO],(DET_ASIG[ID_CARRERA]=ASIGNACION!$C60)*(DET_ASIG[NIVEL]=ASIGNACION!$D60)*(DET_ASIG[ID_ASIG]=ASIGNACION!$G60),"No existe información")))</f>
        <v>No existe información</v>
      </c>
      <c r="BQ60" s="5" t="str" cm="1">
        <f t="array" ref="BQ60">IFERROR(
    TRANSPOSE(
        _xlfn.UNIQUE(
            _xlfn._xlws.FILTER(MAESTRIA_DETALLADO[MAESTRIA],
                ISNUMBER(MATCH(MAESTRIA_DETALLADO[CAMPO_DETALLADO],
                BD60:BP60,0))
            )
        )
    ),IF(BD60="ACTIVIDAD","DOCENCIA",""))</f>
        <v/>
      </c>
      <c r="EA60" s="5" t="str" cm="1">
        <f t="array" ref="EA60:FN60">IF(
    ASIGNACION!I60="SI",
    IFERROR(
        TRANSPOSE(
            _xlfn.UNIQUE(
                _xlfn._xlws.FILTER(EDU_DOCENTE[NOMBRE_DOCENTE],
                    ISNUMBER(MATCH(EDU_DOCENTE[MAESTRIA],
                    BQ60:DY60,0))
                )
            )
        ),
        ""
    ),
    TRANSPOSE(
        _xlfn.UNIQUE(EDU_DOCENTE[NOMBRE_DOCENTE]
        )
    )
)</f>
        <v>ALCIVAR CEDEÑO BEATRIZ ISABEL</v>
      </c>
      <c r="EB60" t="str">
        <v>ALCIVAR VERA GEMA MICHELLE</v>
      </c>
      <c r="EC60" t="str">
        <v>ARAUZ CHAVEZ MARIO ROBERTO</v>
      </c>
      <c r="ED60" t="str">
        <v>BAILON LOURIDO WALTER ALBERTO</v>
      </c>
      <c r="EE60" t="str">
        <v>CALDERERO VILLAGOMEZ ERICK ANTONIO</v>
      </c>
      <c r="EF60" t="str">
        <v>CASTILLO GARCIA PAOLA GERMANIA</v>
      </c>
      <c r="EG60" t="str">
        <v>CEDEÑO CHOEZ PEDRO JAVIER</v>
      </c>
      <c r="EH60" t="str">
        <v>CEVALLOS HOPPE JUAN CARLOS</v>
      </c>
      <c r="EI60" t="str">
        <v>DELGADO CHAVEZ MARIA IRASEMA</v>
      </c>
      <c r="EJ60" t="str">
        <v>DUARTE VALENCIA CRISTHIAN DARIO</v>
      </c>
      <c r="EK60" t="str">
        <v>FORTTY BARBERAN DENNY ALEXANDER</v>
      </c>
      <c r="EL60" t="str">
        <v>GUTIERREZ ZAMBRANO CARMEN EBELINA</v>
      </c>
      <c r="EM60" t="str">
        <v>INTRIAGO MOLINA GEMA VALERIA</v>
      </c>
      <c r="EN60" t="str">
        <v>LINO VELEZ LEONEL LIVINGTON</v>
      </c>
      <c r="EO60" t="str">
        <v>LOOR ALCIVAR MARIA ILIANA</v>
      </c>
      <c r="EP60" t="str">
        <v>LOOR MIELES TANIA JACQUELINE</v>
      </c>
      <c r="EQ60" t="str">
        <v>LOOR SOLORZANO ROSA MARIA</v>
      </c>
      <c r="ER60" t="str">
        <v>LOPEZ DELGADO RONALD MAURICIO</v>
      </c>
      <c r="ES60" t="str">
        <v>MACIAS VALENCIA DAVID GABRIEL</v>
      </c>
      <c r="ET60" t="str">
        <v>MENDOZA ZAMORA WALTER MANUEL</v>
      </c>
      <c r="EU60" t="str">
        <v>MOLINA CEVALLOS MARIA LORENA</v>
      </c>
      <c r="EV60" t="str">
        <v>MURILLO DELGADO ISAAC GABRIEL</v>
      </c>
      <c r="EW60" t="str">
        <v>ANGULO MURILLO NAVIRA GISSELA</v>
      </c>
      <c r="EX60" t="str">
        <v>OCHOA SOLEDISPA NESTOR IVAN</v>
      </c>
      <c r="EY60" t="str">
        <v>PARRAGA FRANCO SILVANA MARIELA</v>
      </c>
      <c r="EZ60" t="str">
        <v>PINARGOTE VASQUEZ NANCY FABIOLA</v>
      </c>
      <c r="FA60" t="str">
        <v>REYES VELEZ PEDRO ENRIQUE</v>
      </c>
      <c r="FB60" t="str">
        <v>SAN ANDRES HORMAZA DALLAS CECILIA</v>
      </c>
      <c r="FC60" t="str">
        <v>SORNOZA ZAMORA JUAN CARLOS</v>
      </c>
      <c r="FD60" t="str">
        <v>TOMALA PINTO JESUS JACINTO</v>
      </c>
      <c r="FE60" t="str">
        <v>VALLE JARAMILLO SILVIA ARACELY</v>
      </c>
      <c r="FF60" t="str">
        <v>VELÁSQUEZ BRAVO IRMA KATHERINE</v>
      </c>
      <c r="FG60" t="str">
        <v>VELEZ MENDOZA LAYSY VALERIA</v>
      </c>
      <c r="FH60" t="str">
        <v>VINUEZA TELLO SHIRLEY ELIZABETH</v>
      </c>
      <c r="FI60" t="str">
        <v>ZAMBRANO ALCIVAR NILDA ISABEL</v>
      </c>
      <c r="FJ60" t="str">
        <v>ZAMBRANO LOOR RITA MAYDA</v>
      </c>
      <c r="FK60" t="str">
        <v>ZAMBRANO VERA MONICA JANETH</v>
      </c>
      <c r="FL60" t="str">
        <v>VERA DELGADO BRYAN ADRIÁN</v>
      </c>
      <c r="FM60" t="str">
        <v>MORAN GONZALES DAVID RENATO</v>
      </c>
      <c r="FN60">
        <v>0</v>
      </c>
    </row>
    <row r="61" spans="1:170" ht="20.25" customHeight="1">
      <c r="A61" s="4" t="str" cm="1">
        <f t="array" ref="A61">TRANSPOSE(_xlfn.UNIQUE(_xlfn._xlws.FILTER(MAE_ASIGNATURA[ID_NIVEL],MAE_ASIGNATURA[ID_CARRERA]=ASIGNACION!$C61,"No existe información")))</f>
        <v>No existe información</v>
      </c>
      <c r="S61" s="4" t="str" cm="1">
        <f t="array" ref="S61">TRANSPOSE(_xlfn.UNIQUE(_xlfn._xlws.FILTER(MAE_ASIGNATURA[NOM_ASIG],(MAE_ASIGNATURA[ID_NIVEL]=ASIGNACION!$D61)*(MAE_ASIGNATURA[ID_CARRERA]=ASIGNACION!$C61),"No existe información")))</f>
        <v>No existe información</v>
      </c>
      <c r="BD61" s="4" t="str" cm="1">
        <f t="array" ref="BD61">TRANSPOSE(_xlfn.UNIQUE(_xlfn._xlws.FILTER(DET_ASIG[DETALLADO],(DET_ASIG[ID_CARRERA]=ASIGNACION!$C61)*(DET_ASIG[NIVEL]=ASIGNACION!$D61)*(DET_ASIG[ID_ASIG]=ASIGNACION!$G61),"No existe información")))</f>
        <v>No existe información</v>
      </c>
      <c r="BQ61" s="5" t="str" cm="1">
        <f t="array" ref="BQ61">IFERROR(
    TRANSPOSE(
        _xlfn.UNIQUE(
            _xlfn._xlws.FILTER(MAESTRIA_DETALLADO[MAESTRIA],
                ISNUMBER(MATCH(MAESTRIA_DETALLADO[CAMPO_DETALLADO],
                BD61:BP61,0))
            )
        )
    ),IF(BD61="ACTIVIDAD","DOCENCIA",""))</f>
        <v/>
      </c>
      <c r="EA61" s="5" t="str" cm="1">
        <f t="array" ref="EA61:FN61">IF(
    ASIGNACION!I61="SI",
    IFERROR(
        TRANSPOSE(
            _xlfn.UNIQUE(
                _xlfn._xlws.FILTER(EDU_DOCENTE[NOMBRE_DOCENTE],
                    ISNUMBER(MATCH(EDU_DOCENTE[MAESTRIA],
                    BQ61:DY61,0))
                )
            )
        ),
        ""
    ),
    TRANSPOSE(
        _xlfn.UNIQUE(EDU_DOCENTE[NOMBRE_DOCENTE]
        )
    )
)</f>
        <v>ALCIVAR CEDEÑO BEATRIZ ISABEL</v>
      </c>
      <c r="EB61" t="str">
        <v>ALCIVAR VERA GEMA MICHELLE</v>
      </c>
      <c r="EC61" t="str">
        <v>ARAUZ CHAVEZ MARIO ROBERTO</v>
      </c>
      <c r="ED61" t="str">
        <v>BAILON LOURIDO WALTER ALBERTO</v>
      </c>
      <c r="EE61" t="str">
        <v>CALDERERO VILLAGOMEZ ERICK ANTONIO</v>
      </c>
      <c r="EF61" t="str">
        <v>CASTILLO GARCIA PAOLA GERMANIA</v>
      </c>
      <c r="EG61" t="str">
        <v>CEDEÑO CHOEZ PEDRO JAVIER</v>
      </c>
      <c r="EH61" t="str">
        <v>CEVALLOS HOPPE JUAN CARLOS</v>
      </c>
      <c r="EI61" t="str">
        <v>DELGADO CHAVEZ MARIA IRASEMA</v>
      </c>
      <c r="EJ61" t="str">
        <v>DUARTE VALENCIA CRISTHIAN DARIO</v>
      </c>
      <c r="EK61" t="str">
        <v>FORTTY BARBERAN DENNY ALEXANDER</v>
      </c>
      <c r="EL61" t="str">
        <v>GUTIERREZ ZAMBRANO CARMEN EBELINA</v>
      </c>
      <c r="EM61" t="str">
        <v>INTRIAGO MOLINA GEMA VALERIA</v>
      </c>
      <c r="EN61" t="str">
        <v>LINO VELEZ LEONEL LIVINGTON</v>
      </c>
      <c r="EO61" t="str">
        <v>LOOR ALCIVAR MARIA ILIANA</v>
      </c>
      <c r="EP61" t="str">
        <v>LOOR MIELES TANIA JACQUELINE</v>
      </c>
      <c r="EQ61" t="str">
        <v>LOOR SOLORZANO ROSA MARIA</v>
      </c>
      <c r="ER61" t="str">
        <v>LOPEZ DELGADO RONALD MAURICIO</v>
      </c>
      <c r="ES61" t="str">
        <v>MACIAS VALENCIA DAVID GABRIEL</v>
      </c>
      <c r="ET61" t="str">
        <v>MENDOZA ZAMORA WALTER MANUEL</v>
      </c>
      <c r="EU61" t="str">
        <v>MOLINA CEVALLOS MARIA LORENA</v>
      </c>
      <c r="EV61" t="str">
        <v>MURILLO DELGADO ISAAC GABRIEL</v>
      </c>
      <c r="EW61" t="str">
        <v>ANGULO MURILLO NAVIRA GISSELA</v>
      </c>
      <c r="EX61" t="str">
        <v>OCHOA SOLEDISPA NESTOR IVAN</v>
      </c>
      <c r="EY61" t="str">
        <v>PARRAGA FRANCO SILVANA MARIELA</v>
      </c>
      <c r="EZ61" t="str">
        <v>PINARGOTE VASQUEZ NANCY FABIOLA</v>
      </c>
      <c r="FA61" t="str">
        <v>REYES VELEZ PEDRO ENRIQUE</v>
      </c>
      <c r="FB61" t="str">
        <v>SAN ANDRES HORMAZA DALLAS CECILIA</v>
      </c>
      <c r="FC61" t="str">
        <v>SORNOZA ZAMORA JUAN CARLOS</v>
      </c>
      <c r="FD61" t="str">
        <v>TOMALA PINTO JESUS JACINTO</v>
      </c>
      <c r="FE61" t="str">
        <v>VALLE JARAMILLO SILVIA ARACELY</v>
      </c>
      <c r="FF61" t="str">
        <v>VELÁSQUEZ BRAVO IRMA KATHERINE</v>
      </c>
      <c r="FG61" t="str">
        <v>VELEZ MENDOZA LAYSY VALERIA</v>
      </c>
      <c r="FH61" t="str">
        <v>VINUEZA TELLO SHIRLEY ELIZABETH</v>
      </c>
      <c r="FI61" t="str">
        <v>ZAMBRANO ALCIVAR NILDA ISABEL</v>
      </c>
      <c r="FJ61" t="str">
        <v>ZAMBRANO LOOR RITA MAYDA</v>
      </c>
      <c r="FK61" t="str">
        <v>ZAMBRANO VERA MONICA JANETH</v>
      </c>
      <c r="FL61" t="str">
        <v>VERA DELGADO BRYAN ADRIÁN</v>
      </c>
      <c r="FM61" t="str">
        <v>MORAN GONZALES DAVID RENATO</v>
      </c>
      <c r="FN61">
        <v>0</v>
      </c>
    </row>
    <row r="62" spans="1:170" ht="20.25" customHeight="1">
      <c r="A62" s="4" t="str" cm="1">
        <f t="array" ref="A62">TRANSPOSE(_xlfn.UNIQUE(_xlfn._xlws.FILTER(MAE_ASIGNATURA[ID_NIVEL],MAE_ASIGNATURA[ID_CARRERA]=ASIGNACION!$C62,"No existe información")))</f>
        <v>No existe información</v>
      </c>
      <c r="S62" s="4" t="str" cm="1">
        <f t="array" ref="S62">TRANSPOSE(_xlfn.UNIQUE(_xlfn._xlws.FILTER(MAE_ASIGNATURA[NOM_ASIG],(MAE_ASIGNATURA[ID_NIVEL]=ASIGNACION!$D62)*(MAE_ASIGNATURA[ID_CARRERA]=ASIGNACION!$C62),"No existe información")))</f>
        <v>No existe información</v>
      </c>
      <c r="BD62" s="4" t="str" cm="1">
        <f t="array" ref="BD62">TRANSPOSE(_xlfn.UNIQUE(_xlfn._xlws.FILTER(DET_ASIG[DETALLADO],(DET_ASIG[ID_CARRERA]=ASIGNACION!$C62)*(DET_ASIG[NIVEL]=ASIGNACION!$D62)*(DET_ASIG[ID_ASIG]=ASIGNACION!$G62),"No existe información")))</f>
        <v>No existe información</v>
      </c>
      <c r="BQ62" s="5" t="str" cm="1">
        <f t="array" ref="BQ62">IFERROR(
    TRANSPOSE(
        _xlfn.UNIQUE(
            _xlfn._xlws.FILTER(MAESTRIA_DETALLADO[MAESTRIA],
                ISNUMBER(MATCH(MAESTRIA_DETALLADO[CAMPO_DETALLADO],
                BD62:BP62,0))
            )
        )
    ),IF(BD62="ACTIVIDAD","DOCENCIA",""))</f>
        <v/>
      </c>
      <c r="EA62" s="5" t="str" cm="1">
        <f t="array" ref="EA62:FN62">IF(
    ASIGNACION!I62="SI",
    IFERROR(
        TRANSPOSE(
            _xlfn.UNIQUE(
                _xlfn._xlws.FILTER(EDU_DOCENTE[NOMBRE_DOCENTE],
                    ISNUMBER(MATCH(EDU_DOCENTE[MAESTRIA],
                    BQ62:DY62,0))
                )
            )
        ),
        ""
    ),
    TRANSPOSE(
        _xlfn.UNIQUE(EDU_DOCENTE[NOMBRE_DOCENTE]
        )
    )
)</f>
        <v>ALCIVAR CEDEÑO BEATRIZ ISABEL</v>
      </c>
      <c r="EB62" t="str">
        <v>ALCIVAR VERA GEMA MICHELLE</v>
      </c>
      <c r="EC62" t="str">
        <v>ARAUZ CHAVEZ MARIO ROBERTO</v>
      </c>
      <c r="ED62" t="str">
        <v>BAILON LOURIDO WALTER ALBERTO</v>
      </c>
      <c r="EE62" t="str">
        <v>CALDERERO VILLAGOMEZ ERICK ANTONIO</v>
      </c>
      <c r="EF62" t="str">
        <v>CASTILLO GARCIA PAOLA GERMANIA</v>
      </c>
      <c r="EG62" t="str">
        <v>CEDEÑO CHOEZ PEDRO JAVIER</v>
      </c>
      <c r="EH62" t="str">
        <v>CEVALLOS HOPPE JUAN CARLOS</v>
      </c>
      <c r="EI62" t="str">
        <v>DELGADO CHAVEZ MARIA IRASEMA</v>
      </c>
      <c r="EJ62" t="str">
        <v>DUARTE VALENCIA CRISTHIAN DARIO</v>
      </c>
      <c r="EK62" t="str">
        <v>FORTTY BARBERAN DENNY ALEXANDER</v>
      </c>
      <c r="EL62" t="str">
        <v>GUTIERREZ ZAMBRANO CARMEN EBELINA</v>
      </c>
      <c r="EM62" t="str">
        <v>INTRIAGO MOLINA GEMA VALERIA</v>
      </c>
      <c r="EN62" t="str">
        <v>LINO VELEZ LEONEL LIVINGTON</v>
      </c>
      <c r="EO62" t="str">
        <v>LOOR ALCIVAR MARIA ILIANA</v>
      </c>
      <c r="EP62" t="str">
        <v>LOOR MIELES TANIA JACQUELINE</v>
      </c>
      <c r="EQ62" t="str">
        <v>LOOR SOLORZANO ROSA MARIA</v>
      </c>
      <c r="ER62" t="str">
        <v>LOPEZ DELGADO RONALD MAURICIO</v>
      </c>
      <c r="ES62" t="str">
        <v>MACIAS VALENCIA DAVID GABRIEL</v>
      </c>
      <c r="ET62" t="str">
        <v>MENDOZA ZAMORA WALTER MANUEL</v>
      </c>
      <c r="EU62" t="str">
        <v>MOLINA CEVALLOS MARIA LORENA</v>
      </c>
      <c r="EV62" t="str">
        <v>MURILLO DELGADO ISAAC GABRIEL</v>
      </c>
      <c r="EW62" t="str">
        <v>ANGULO MURILLO NAVIRA GISSELA</v>
      </c>
      <c r="EX62" t="str">
        <v>OCHOA SOLEDISPA NESTOR IVAN</v>
      </c>
      <c r="EY62" t="str">
        <v>PARRAGA FRANCO SILVANA MARIELA</v>
      </c>
      <c r="EZ62" t="str">
        <v>PINARGOTE VASQUEZ NANCY FABIOLA</v>
      </c>
      <c r="FA62" t="str">
        <v>REYES VELEZ PEDRO ENRIQUE</v>
      </c>
      <c r="FB62" t="str">
        <v>SAN ANDRES HORMAZA DALLAS CECILIA</v>
      </c>
      <c r="FC62" t="str">
        <v>SORNOZA ZAMORA JUAN CARLOS</v>
      </c>
      <c r="FD62" t="str">
        <v>TOMALA PINTO JESUS JACINTO</v>
      </c>
      <c r="FE62" t="str">
        <v>VALLE JARAMILLO SILVIA ARACELY</v>
      </c>
      <c r="FF62" t="str">
        <v>VELÁSQUEZ BRAVO IRMA KATHERINE</v>
      </c>
      <c r="FG62" t="str">
        <v>VELEZ MENDOZA LAYSY VALERIA</v>
      </c>
      <c r="FH62" t="str">
        <v>VINUEZA TELLO SHIRLEY ELIZABETH</v>
      </c>
      <c r="FI62" t="str">
        <v>ZAMBRANO ALCIVAR NILDA ISABEL</v>
      </c>
      <c r="FJ62" t="str">
        <v>ZAMBRANO LOOR RITA MAYDA</v>
      </c>
      <c r="FK62" t="str">
        <v>ZAMBRANO VERA MONICA JANETH</v>
      </c>
      <c r="FL62" t="str">
        <v>VERA DELGADO BRYAN ADRIÁN</v>
      </c>
      <c r="FM62" t="str">
        <v>MORAN GONZALES DAVID RENATO</v>
      </c>
      <c r="FN62">
        <v>0</v>
      </c>
    </row>
    <row r="63" spans="1:170" ht="20.25" customHeight="1">
      <c r="A63" s="4" t="str" cm="1">
        <f t="array" ref="A63">TRANSPOSE(_xlfn.UNIQUE(_xlfn._xlws.FILTER(MAE_ASIGNATURA[ID_NIVEL],MAE_ASIGNATURA[ID_CARRERA]=ASIGNACION!$C63,"No existe información")))</f>
        <v>No existe información</v>
      </c>
      <c r="S63" s="4" t="str" cm="1">
        <f t="array" ref="S63">TRANSPOSE(_xlfn.UNIQUE(_xlfn._xlws.FILTER(MAE_ASIGNATURA[NOM_ASIG],(MAE_ASIGNATURA[ID_NIVEL]=ASIGNACION!$D63)*(MAE_ASIGNATURA[ID_CARRERA]=ASIGNACION!$C63),"No existe información")))</f>
        <v>No existe información</v>
      </c>
      <c r="BD63" s="4" t="str" cm="1">
        <f t="array" ref="BD63">TRANSPOSE(_xlfn.UNIQUE(_xlfn._xlws.FILTER(DET_ASIG[DETALLADO],(DET_ASIG[ID_CARRERA]=ASIGNACION!$C63)*(DET_ASIG[NIVEL]=ASIGNACION!$D63)*(DET_ASIG[ID_ASIG]=ASIGNACION!$G63),"No existe información")))</f>
        <v>No existe información</v>
      </c>
      <c r="BQ63" s="5" t="str" cm="1">
        <f t="array" ref="BQ63">IFERROR(
    TRANSPOSE(
        _xlfn.UNIQUE(
            _xlfn._xlws.FILTER(MAESTRIA_DETALLADO[MAESTRIA],
                ISNUMBER(MATCH(MAESTRIA_DETALLADO[CAMPO_DETALLADO],
                BD63:BP63,0))
            )
        )
    ),IF(BD63="ACTIVIDAD","DOCENCIA",""))</f>
        <v/>
      </c>
      <c r="EA63" s="5" t="str" cm="1">
        <f t="array" ref="EA63:FN63">IF(
    ASIGNACION!I63="SI",
    IFERROR(
        TRANSPOSE(
            _xlfn.UNIQUE(
                _xlfn._xlws.FILTER(EDU_DOCENTE[NOMBRE_DOCENTE],
                    ISNUMBER(MATCH(EDU_DOCENTE[MAESTRIA],
                    BQ63:DY63,0))
                )
            )
        ),
        ""
    ),
    TRANSPOSE(
        _xlfn.UNIQUE(EDU_DOCENTE[NOMBRE_DOCENTE]
        )
    )
)</f>
        <v>ALCIVAR CEDEÑO BEATRIZ ISABEL</v>
      </c>
      <c r="EB63" t="str">
        <v>ALCIVAR VERA GEMA MICHELLE</v>
      </c>
      <c r="EC63" t="str">
        <v>ARAUZ CHAVEZ MARIO ROBERTO</v>
      </c>
      <c r="ED63" t="str">
        <v>BAILON LOURIDO WALTER ALBERTO</v>
      </c>
      <c r="EE63" t="str">
        <v>CALDERERO VILLAGOMEZ ERICK ANTONIO</v>
      </c>
      <c r="EF63" t="str">
        <v>CASTILLO GARCIA PAOLA GERMANIA</v>
      </c>
      <c r="EG63" t="str">
        <v>CEDEÑO CHOEZ PEDRO JAVIER</v>
      </c>
      <c r="EH63" t="str">
        <v>CEVALLOS HOPPE JUAN CARLOS</v>
      </c>
      <c r="EI63" t="str">
        <v>DELGADO CHAVEZ MARIA IRASEMA</v>
      </c>
      <c r="EJ63" t="str">
        <v>DUARTE VALENCIA CRISTHIAN DARIO</v>
      </c>
      <c r="EK63" t="str">
        <v>FORTTY BARBERAN DENNY ALEXANDER</v>
      </c>
      <c r="EL63" t="str">
        <v>GUTIERREZ ZAMBRANO CARMEN EBELINA</v>
      </c>
      <c r="EM63" t="str">
        <v>INTRIAGO MOLINA GEMA VALERIA</v>
      </c>
      <c r="EN63" t="str">
        <v>LINO VELEZ LEONEL LIVINGTON</v>
      </c>
      <c r="EO63" t="str">
        <v>LOOR ALCIVAR MARIA ILIANA</v>
      </c>
      <c r="EP63" t="str">
        <v>LOOR MIELES TANIA JACQUELINE</v>
      </c>
      <c r="EQ63" t="str">
        <v>LOOR SOLORZANO ROSA MARIA</v>
      </c>
      <c r="ER63" t="str">
        <v>LOPEZ DELGADO RONALD MAURICIO</v>
      </c>
      <c r="ES63" t="str">
        <v>MACIAS VALENCIA DAVID GABRIEL</v>
      </c>
      <c r="ET63" t="str">
        <v>MENDOZA ZAMORA WALTER MANUEL</v>
      </c>
      <c r="EU63" t="str">
        <v>MOLINA CEVALLOS MARIA LORENA</v>
      </c>
      <c r="EV63" t="str">
        <v>MURILLO DELGADO ISAAC GABRIEL</v>
      </c>
      <c r="EW63" t="str">
        <v>ANGULO MURILLO NAVIRA GISSELA</v>
      </c>
      <c r="EX63" t="str">
        <v>OCHOA SOLEDISPA NESTOR IVAN</v>
      </c>
      <c r="EY63" t="str">
        <v>PARRAGA FRANCO SILVANA MARIELA</v>
      </c>
      <c r="EZ63" t="str">
        <v>PINARGOTE VASQUEZ NANCY FABIOLA</v>
      </c>
      <c r="FA63" t="str">
        <v>REYES VELEZ PEDRO ENRIQUE</v>
      </c>
      <c r="FB63" t="str">
        <v>SAN ANDRES HORMAZA DALLAS CECILIA</v>
      </c>
      <c r="FC63" t="str">
        <v>SORNOZA ZAMORA JUAN CARLOS</v>
      </c>
      <c r="FD63" t="str">
        <v>TOMALA PINTO JESUS JACINTO</v>
      </c>
      <c r="FE63" t="str">
        <v>VALLE JARAMILLO SILVIA ARACELY</v>
      </c>
      <c r="FF63" t="str">
        <v>VELÁSQUEZ BRAVO IRMA KATHERINE</v>
      </c>
      <c r="FG63" t="str">
        <v>VELEZ MENDOZA LAYSY VALERIA</v>
      </c>
      <c r="FH63" t="str">
        <v>VINUEZA TELLO SHIRLEY ELIZABETH</v>
      </c>
      <c r="FI63" t="str">
        <v>ZAMBRANO ALCIVAR NILDA ISABEL</v>
      </c>
      <c r="FJ63" t="str">
        <v>ZAMBRANO LOOR RITA MAYDA</v>
      </c>
      <c r="FK63" t="str">
        <v>ZAMBRANO VERA MONICA JANETH</v>
      </c>
      <c r="FL63" t="str">
        <v>VERA DELGADO BRYAN ADRIÁN</v>
      </c>
      <c r="FM63" t="str">
        <v>MORAN GONZALES DAVID RENATO</v>
      </c>
      <c r="FN63">
        <v>0</v>
      </c>
    </row>
    <row r="64" spans="1:170" ht="20.25" customHeight="1">
      <c r="A64" s="4" t="str" cm="1">
        <f t="array" ref="A64">TRANSPOSE(_xlfn.UNIQUE(_xlfn._xlws.FILTER(MAE_ASIGNATURA[ID_NIVEL],MAE_ASIGNATURA[ID_CARRERA]=ASIGNACION!$C64,"No existe información")))</f>
        <v>No existe información</v>
      </c>
      <c r="S64" s="4" t="str" cm="1">
        <f t="array" ref="S64">TRANSPOSE(_xlfn.UNIQUE(_xlfn._xlws.FILTER(MAE_ASIGNATURA[NOM_ASIG],(MAE_ASIGNATURA[ID_NIVEL]=ASIGNACION!$D64)*(MAE_ASIGNATURA[ID_CARRERA]=ASIGNACION!$C64),"No existe información")))</f>
        <v>No existe información</v>
      </c>
      <c r="BD64" s="4" t="str" cm="1">
        <f t="array" ref="BD64">TRANSPOSE(_xlfn.UNIQUE(_xlfn._xlws.FILTER(DET_ASIG[DETALLADO],(DET_ASIG[ID_CARRERA]=ASIGNACION!$C64)*(DET_ASIG[NIVEL]=ASIGNACION!$D64)*(DET_ASIG[ID_ASIG]=ASIGNACION!$G64),"No existe información")))</f>
        <v>No existe información</v>
      </c>
      <c r="BQ64" s="5" t="str" cm="1">
        <f t="array" ref="BQ64">IFERROR(
    TRANSPOSE(
        _xlfn.UNIQUE(
            _xlfn._xlws.FILTER(MAESTRIA_DETALLADO[MAESTRIA],
                ISNUMBER(MATCH(MAESTRIA_DETALLADO[CAMPO_DETALLADO],
                BD64:BP64,0))
            )
        )
    ),IF(BD64="ACTIVIDAD","DOCENCIA",""))</f>
        <v/>
      </c>
      <c r="EA64" s="5" t="str" cm="1">
        <f t="array" ref="EA64:FN64">IF(
    ASIGNACION!I64="SI",
    IFERROR(
        TRANSPOSE(
            _xlfn.UNIQUE(
                _xlfn._xlws.FILTER(EDU_DOCENTE[NOMBRE_DOCENTE],
                    ISNUMBER(MATCH(EDU_DOCENTE[MAESTRIA],
                    BQ64:DY64,0))
                )
            )
        ),
        ""
    ),
    TRANSPOSE(
        _xlfn.UNIQUE(EDU_DOCENTE[NOMBRE_DOCENTE]
        )
    )
)</f>
        <v>ALCIVAR CEDEÑO BEATRIZ ISABEL</v>
      </c>
      <c r="EB64" t="str">
        <v>ALCIVAR VERA GEMA MICHELLE</v>
      </c>
      <c r="EC64" t="str">
        <v>ARAUZ CHAVEZ MARIO ROBERTO</v>
      </c>
      <c r="ED64" t="str">
        <v>BAILON LOURIDO WALTER ALBERTO</v>
      </c>
      <c r="EE64" t="str">
        <v>CALDERERO VILLAGOMEZ ERICK ANTONIO</v>
      </c>
      <c r="EF64" t="str">
        <v>CASTILLO GARCIA PAOLA GERMANIA</v>
      </c>
      <c r="EG64" t="str">
        <v>CEDEÑO CHOEZ PEDRO JAVIER</v>
      </c>
      <c r="EH64" t="str">
        <v>CEVALLOS HOPPE JUAN CARLOS</v>
      </c>
      <c r="EI64" t="str">
        <v>DELGADO CHAVEZ MARIA IRASEMA</v>
      </c>
      <c r="EJ64" t="str">
        <v>DUARTE VALENCIA CRISTHIAN DARIO</v>
      </c>
      <c r="EK64" t="str">
        <v>FORTTY BARBERAN DENNY ALEXANDER</v>
      </c>
      <c r="EL64" t="str">
        <v>GUTIERREZ ZAMBRANO CARMEN EBELINA</v>
      </c>
      <c r="EM64" t="str">
        <v>INTRIAGO MOLINA GEMA VALERIA</v>
      </c>
      <c r="EN64" t="str">
        <v>LINO VELEZ LEONEL LIVINGTON</v>
      </c>
      <c r="EO64" t="str">
        <v>LOOR ALCIVAR MARIA ILIANA</v>
      </c>
      <c r="EP64" t="str">
        <v>LOOR MIELES TANIA JACQUELINE</v>
      </c>
      <c r="EQ64" t="str">
        <v>LOOR SOLORZANO ROSA MARIA</v>
      </c>
      <c r="ER64" t="str">
        <v>LOPEZ DELGADO RONALD MAURICIO</v>
      </c>
      <c r="ES64" t="str">
        <v>MACIAS VALENCIA DAVID GABRIEL</v>
      </c>
      <c r="ET64" t="str">
        <v>MENDOZA ZAMORA WALTER MANUEL</v>
      </c>
      <c r="EU64" t="str">
        <v>MOLINA CEVALLOS MARIA LORENA</v>
      </c>
      <c r="EV64" t="str">
        <v>MURILLO DELGADO ISAAC GABRIEL</v>
      </c>
      <c r="EW64" t="str">
        <v>ANGULO MURILLO NAVIRA GISSELA</v>
      </c>
      <c r="EX64" t="str">
        <v>OCHOA SOLEDISPA NESTOR IVAN</v>
      </c>
      <c r="EY64" t="str">
        <v>PARRAGA FRANCO SILVANA MARIELA</v>
      </c>
      <c r="EZ64" t="str">
        <v>PINARGOTE VASQUEZ NANCY FABIOLA</v>
      </c>
      <c r="FA64" t="str">
        <v>REYES VELEZ PEDRO ENRIQUE</v>
      </c>
      <c r="FB64" t="str">
        <v>SAN ANDRES HORMAZA DALLAS CECILIA</v>
      </c>
      <c r="FC64" t="str">
        <v>SORNOZA ZAMORA JUAN CARLOS</v>
      </c>
      <c r="FD64" t="str">
        <v>TOMALA PINTO JESUS JACINTO</v>
      </c>
      <c r="FE64" t="str">
        <v>VALLE JARAMILLO SILVIA ARACELY</v>
      </c>
      <c r="FF64" t="str">
        <v>VELÁSQUEZ BRAVO IRMA KATHERINE</v>
      </c>
      <c r="FG64" t="str">
        <v>VELEZ MENDOZA LAYSY VALERIA</v>
      </c>
      <c r="FH64" t="str">
        <v>VINUEZA TELLO SHIRLEY ELIZABETH</v>
      </c>
      <c r="FI64" t="str">
        <v>ZAMBRANO ALCIVAR NILDA ISABEL</v>
      </c>
      <c r="FJ64" t="str">
        <v>ZAMBRANO LOOR RITA MAYDA</v>
      </c>
      <c r="FK64" t="str">
        <v>ZAMBRANO VERA MONICA JANETH</v>
      </c>
      <c r="FL64" t="str">
        <v>VERA DELGADO BRYAN ADRIÁN</v>
      </c>
      <c r="FM64" t="str">
        <v>MORAN GONZALES DAVID RENATO</v>
      </c>
      <c r="FN64">
        <v>0</v>
      </c>
    </row>
    <row r="65" spans="1:170" ht="20.25" customHeight="1">
      <c r="A65" s="4" t="str" cm="1">
        <f t="array" ref="A65">TRANSPOSE(_xlfn.UNIQUE(_xlfn._xlws.FILTER(MAE_ASIGNATURA[ID_NIVEL],MAE_ASIGNATURA[ID_CARRERA]=ASIGNACION!$C65,"No existe información")))</f>
        <v>No existe información</v>
      </c>
      <c r="S65" s="4" t="str" cm="1">
        <f t="array" ref="S65">TRANSPOSE(_xlfn.UNIQUE(_xlfn._xlws.FILTER(MAE_ASIGNATURA[NOM_ASIG],(MAE_ASIGNATURA[ID_NIVEL]=ASIGNACION!$D65)*(MAE_ASIGNATURA[ID_CARRERA]=ASIGNACION!$C65),"No existe información")))</f>
        <v>No existe información</v>
      </c>
      <c r="BD65" s="4" t="str" cm="1">
        <f t="array" ref="BD65">TRANSPOSE(_xlfn.UNIQUE(_xlfn._xlws.FILTER(DET_ASIG[DETALLADO],(DET_ASIG[ID_CARRERA]=ASIGNACION!$C65)*(DET_ASIG[NIVEL]=ASIGNACION!$D65)*(DET_ASIG[ID_ASIG]=ASIGNACION!$G65),"No existe información")))</f>
        <v>No existe información</v>
      </c>
      <c r="BQ65" s="5" t="str" cm="1">
        <f t="array" ref="BQ65">IFERROR(
    TRANSPOSE(
        _xlfn.UNIQUE(
            _xlfn._xlws.FILTER(MAESTRIA_DETALLADO[MAESTRIA],
                ISNUMBER(MATCH(MAESTRIA_DETALLADO[CAMPO_DETALLADO],
                BD65:BP65,0))
            )
        )
    ),IF(BD65="ACTIVIDAD","DOCENCIA",""))</f>
        <v/>
      </c>
      <c r="EA65" s="5" t="str" cm="1">
        <f t="array" ref="EA65:FN65">IF(
    ASIGNACION!I65="SI",
    IFERROR(
        TRANSPOSE(
            _xlfn.UNIQUE(
                _xlfn._xlws.FILTER(EDU_DOCENTE[NOMBRE_DOCENTE],
                    ISNUMBER(MATCH(EDU_DOCENTE[MAESTRIA],
                    BQ65:DY65,0))
                )
            )
        ),
        ""
    ),
    TRANSPOSE(
        _xlfn.UNIQUE(EDU_DOCENTE[NOMBRE_DOCENTE]
        )
    )
)</f>
        <v>ALCIVAR CEDEÑO BEATRIZ ISABEL</v>
      </c>
      <c r="EB65" t="str">
        <v>ALCIVAR VERA GEMA MICHELLE</v>
      </c>
      <c r="EC65" t="str">
        <v>ARAUZ CHAVEZ MARIO ROBERTO</v>
      </c>
      <c r="ED65" t="str">
        <v>BAILON LOURIDO WALTER ALBERTO</v>
      </c>
      <c r="EE65" t="str">
        <v>CALDERERO VILLAGOMEZ ERICK ANTONIO</v>
      </c>
      <c r="EF65" t="str">
        <v>CASTILLO GARCIA PAOLA GERMANIA</v>
      </c>
      <c r="EG65" t="str">
        <v>CEDEÑO CHOEZ PEDRO JAVIER</v>
      </c>
      <c r="EH65" t="str">
        <v>CEVALLOS HOPPE JUAN CARLOS</v>
      </c>
      <c r="EI65" t="str">
        <v>DELGADO CHAVEZ MARIA IRASEMA</v>
      </c>
      <c r="EJ65" t="str">
        <v>DUARTE VALENCIA CRISTHIAN DARIO</v>
      </c>
      <c r="EK65" t="str">
        <v>FORTTY BARBERAN DENNY ALEXANDER</v>
      </c>
      <c r="EL65" t="str">
        <v>GUTIERREZ ZAMBRANO CARMEN EBELINA</v>
      </c>
      <c r="EM65" t="str">
        <v>INTRIAGO MOLINA GEMA VALERIA</v>
      </c>
      <c r="EN65" t="str">
        <v>LINO VELEZ LEONEL LIVINGTON</v>
      </c>
      <c r="EO65" t="str">
        <v>LOOR ALCIVAR MARIA ILIANA</v>
      </c>
      <c r="EP65" t="str">
        <v>LOOR MIELES TANIA JACQUELINE</v>
      </c>
      <c r="EQ65" t="str">
        <v>LOOR SOLORZANO ROSA MARIA</v>
      </c>
      <c r="ER65" t="str">
        <v>LOPEZ DELGADO RONALD MAURICIO</v>
      </c>
      <c r="ES65" t="str">
        <v>MACIAS VALENCIA DAVID GABRIEL</v>
      </c>
      <c r="ET65" t="str">
        <v>MENDOZA ZAMORA WALTER MANUEL</v>
      </c>
      <c r="EU65" t="str">
        <v>MOLINA CEVALLOS MARIA LORENA</v>
      </c>
      <c r="EV65" t="str">
        <v>MURILLO DELGADO ISAAC GABRIEL</v>
      </c>
      <c r="EW65" t="str">
        <v>ANGULO MURILLO NAVIRA GISSELA</v>
      </c>
      <c r="EX65" t="str">
        <v>OCHOA SOLEDISPA NESTOR IVAN</v>
      </c>
      <c r="EY65" t="str">
        <v>PARRAGA FRANCO SILVANA MARIELA</v>
      </c>
      <c r="EZ65" t="str">
        <v>PINARGOTE VASQUEZ NANCY FABIOLA</v>
      </c>
      <c r="FA65" t="str">
        <v>REYES VELEZ PEDRO ENRIQUE</v>
      </c>
      <c r="FB65" t="str">
        <v>SAN ANDRES HORMAZA DALLAS CECILIA</v>
      </c>
      <c r="FC65" t="str">
        <v>SORNOZA ZAMORA JUAN CARLOS</v>
      </c>
      <c r="FD65" t="str">
        <v>TOMALA PINTO JESUS JACINTO</v>
      </c>
      <c r="FE65" t="str">
        <v>VALLE JARAMILLO SILVIA ARACELY</v>
      </c>
      <c r="FF65" t="str">
        <v>VELÁSQUEZ BRAVO IRMA KATHERINE</v>
      </c>
      <c r="FG65" t="str">
        <v>VELEZ MENDOZA LAYSY VALERIA</v>
      </c>
      <c r="FH65" t="str">
        <v>VINUEZA TELLO SHIRLEY ELIZABETH</v>
      </c>
      <c r="FI65" t="str">
        <v>ZAMBRANO ALCIVAR NILDA ISABEL</v>
      </c>
      <c r="FJ65" t="str">
        <v>ZAMBRANO LOOR RITA MAYDA</v>
      </c>
      <c r="FK65" t="str">
        <v>ZAMBRANO VERA MONICA JANETH</v>
      </c>
      <c r="FL65" t="str">
        <v>VERA DELGADO BRYAN ADRIÁN</v>
      </c>
      <c r="FM65" t="str">
        <v>MORAN GONZALES DAVID RENATO</v>
      </c>
      <c r="FN65">
        <v>0</v>
      </c>
    </row>
    <row r="66" spans="1:170" ht="20.25" customHeight="1">
      <c r="A66" s="4" t="str" cm="1">
        <f t="array" ref="A66">TRANSPOSE(_xlfn.UNIQUE(_xlfn._xlws.FILTER(MAE_ASIGNATURA[ID_NIVEL],MAE_ASIGNATURA[ID_CARRERA]=ASIGNACION!$C66,"No existe información")))</f>
        <v>No existe información</v>
      </c>
      <c r="S66" s="4" t="str" cm="1">
        <f t="array" ref="S66">TRANSPOSE(_xlfn.UNIQUE(_xlfn._xlws.FILTER(MAE_ASIGNATURA[NOM_ASIG],(MAE_ASIGNATURA[ID_NIVEL]=ASIGNACION!$D66)*(MAE_ASIGNATURA[ID_CARRERA]=ASIGNACION!$C66),"No existe información")))</f>
        <v>No existe información</v>
      </c>
      <c r="BD66" s="4" t="str" cm="1">
        <f t="array" ref="BD66">TRANSPOSE(_xlfn.UNIQUE(_xlfn._xlws.FILTER(DET_ASIG[DETALLADO],(DET_ASIG[ID_CARRERA]=ASIGNACION!$C66)*(DET_ASIG[NIVEL]=ASIGNACION!$D66)*(DET_ASIG[ID_ASIG]=ASIGNACION!$G66),"No existe información")))</f>
        <v>No existe información</v>
      </c>
      <c r="BQ66" s="5" t="str" cm="1">
        <f t="array" ref="BQ66">IFERROR(
    TRANSPOSE(
        _xlfn.UNIQUE(
            _xlfn._xlws.FILTER(MAESTRIA_DETALLADO[MAESTRIA],
                ISNUMBER(MATCH(MAESTRIA_DETALLADO[CAMPO_DETALLADO],
                BD66:BP66,0))
            )
        )
    ),IF(BD66="ACTIVIDAD","DOCENCIA",""))</f>
        <v/>
      </c>
      <c r="EA66" s="5" t="str" cm="1">
        <f t="array" ref="EA66:FN66">IF(
    ASIGNACION!I66="SI",
    IFERROR(
        TRANSPOSE(
            _xlfn.UNIQUE(
                _xlfn._xlws.FILTER(EDU_DOCENTE[NOMBRE_DOCENTE],
                    ISNUMBER(MATCH(EDU_DOCENTE[MAESTRIA],
                    BQ66:DY66,0))
                )
            )
        ),
        ""
    ),
    TRANSPOSE(
        _xlfn.UNIQUE(EDU_DOCENTE[NOMBRE_DOCENTE]
        )
    )
)</f>
        <v>ALCIVAR CEDEÑO BEATRIZ ISABEL</v>
      </c>
      <c r="EB66" t="str">
        <v>ALCIVAR VERA GEMA MICHELLE</v>
      </c>
      <c r="EC66" t="str">
        <v>ARAUZ CHAVEZ MARIO ROBERTO</v>
      </c>
      <c r="ED66" t="str">
        <v>BAILON LOURIDO WALTER ALBERTO</v>
      </c>
      <c r="EE66" t="str">
        <v>CALDERERO VILLAGOMEZ ERICK ANTONIO</v>
      </c>
      <c r="EF66" t="str">
        <v>CASTILLO GARCIA PAOLA GERMANIA</v>
      </c>
      <c r="EG66" t="str">
        <v>CEDEÑO CHOEZ PEDRO JAVIER</v>
      </c>
      <c r="EH66" t="str">
        <v>CEVALLOS HOPPE JUAN CARLOS</v>
      </c>
      <c r="EI66" t="str">
        <v>DELGADO CHAVEZ MARIA IRASEMA</v>
      </c>
      <c r="EJ66" t="str">
        <v>DUARTE VALENCIA CRISTHIAN DARIO</v>
      </c>
      <c r="EK66" t="str">
        <v>FORTTY BARBERAN DENNY ALEXANDER</v>
      </c>
      <c r="EL66" t="str">
        <v>GUTIERREZ ZAMBRANO CARMEN EBELINA</v>
      </c>
      <c r="EM66" t="str">
        <v>INTRIAGO MOLINA GEMA VALERIA</v>
      </c>
      <c r="EN66" t="str">
        <v>LINO VELEZ LEONEL LIVINGTON</v>
      </c>
      <c r="EO66" t="str">
        <v>LOOR ALCIVAR MARIA ILIANA</v>
      </c>
      <c r="EP66" t="str">
        <v>LOOR MIELES TANIA JACQUELINE</v>
      </c>
      <c r="EQ66" t="str">
        <v>LOOR SOLORZANO ROSA MARIA</v>
      </c>
      <c r="ER66" t="str">
        <v>LOPEZ DELGADO RONALD MAURICIO</v>
      </c>
      <c r="ES66" t="str">
        <v>MACIAS VALENCIA DAVID GABRIEL</v>
      </c>
      <c r="ET66" t="str">
        <v>MENDOZA ZAMORA WALTER MANUEL</v>
      </c>
      <c r="EU66" t="str">
        <v>MOLINA CEVALLOS MARIA LORENA</v>
      </c>
      <c r="EV66" t="str">
        <v>MURILLO DELGADO ISAAC GABRIEL</v>
      </c>
      <c r="EW66" t="str">
        <v>ANGULO MURILLO NAVIRA GISSELA</v>
      </c>
      <c r="EX66" t="str">
        <v>OCHOA SOLEDISPA NESTOR IVAN</v>
      </c>
      <c r="EY66" t="str">
        <v>PARRAGA FRANCO SILVANA MARIELA</v>
      </c>
      <c r="EZ66" t="str">
        <v>PINARGOTE VASQUEZ NANCY FABIOLA</v>
      </c>
      <c r="FA66" t="str">
        <v>REYES VELEZ PEDRO ENRIQUE</v>
      </c>
      <c r="FB66" t="str">
        <v>SAN ANDRES HORMAZA DALLAS CECILIA</v>
      </c>
      <c r="FC66" t="str">
        <v>SORNOZA ZAMORA JUAN CARLOS</v>
      </c>
      <c r="FD66" t="str">
        <v>TOMALA PINTO JESUS JACINTO</v>
      </c>
      <c r="FE66" t="str">
        <v>VALLE JARAMILLO SILVIA ARACELY</v>
      </c>
      <c r="FF66" t="str">
        <v>VELÁSQUEZ BRAVO IRMA KATHERINE</v>
      </c>
      <c r="FG66" t="str">
        <v>VELEZ MENDOZA LAYSY VALERIA</v>
      </c>
      <c r="FH66" t="str">
        <v>VINUEZA TELLO SHIRLEY ELIZABETH</v>
      </c>
      <c r="FI66" t="str">
        <v>ZAMBRANO ALCIVAR NILDA ISABEL</v>
      </c>
      <c r="FJ66" t="str">
        <v>ZAMBRANO LOOR RITA MAYDA</v>
      </c>
      <c r="FK66" t="str">
        <v>ZAMBRANO VERA MONICA JANETH</v>
      </c>
      <c r="FL66" t="str">
        <v>VERA DELGADO BRYAN ADRIÁN</v>
      </c>
      <c r="FM66" t="str">
        <v>MORAN GONZALES DAVID RENATO</v>
      </c>
      <c r="FN66">
        <v>0</v>
      </c>
    </row>
    <row r="67" spans="1:170" ht="20.25" customHeight="1">
      <c r="A67" s="4" t="str" cm="1">
        <f t="array" ref="A67">TRANSPOSE(_xlfn.UNIQUE(_xlfn._xlws.FILTER(MAE_ASIGNATURA[ID_NIVEL],MAE_ASIGNATURA[ID_CARRERA]=ASIGNACION!$C67,"No existe información")))</f>
        <v>No existe información</v>
      </c>
      <c r="S67" s="4" t="str" cm="1">
        <f t="array" ref="S67">TRANSPOSE(_xlfn.UNIQUE(_xlfn._xlws.FILTER(MAE_ASIGNATURA[NOM_ASIG],(MAE_ASIGNATURA[ID_NIVEL]=ASIGNACION!$D67)*(MAE_ASIGNATURA[ID_CARRERA]=ASIGNACION!$C67),"No existe información")))</f>
        <v>No existe información</v>
      </c>
      <c r="BD67" s="4" t="str" cm="1">
        <f t="array" ref="BD67">TRANSPOSE(_xlfn.UNIQUE(_xlfn._xlws.FILTER(DET_ASIG[DETALLADO],(DET_ASIG[ID_CARRERA]=ASIGNACION!$C67)*(DET_ASIG[NIVEL]=ASIGNACION!$D67)*(DET_ASIG[ID_ASIG]=ASIGNACION!$G67),"No existe información")))</f>
        <v>No existe información</v>
      </c>
      <c r="BQ67" s="5" t="str" cm="1">
        <f t="array" ref="BQ67">IFERROR(
    TRANSPOSE(
        _xlfn.UNIQUE(
            _xlfn._xlws.FILTER(MAESTRIA_DETALLADO[MAESTRIA],
                ISNUMBER(MATCH(MAESTRIA_DETALLADO[CAMPO_DETALLADO],
                BD67:BP67,0))
            )
        )
    ),IF(BD67="ACTIVIDAD","DOCENCIA",""))</f>
        <v/>
      </c>
      <c r="EA67" s="5" t="str" cm="1">
        <f t="array" ref="EA67:FN67">IF(
    ASIGNACION!I67="SI",
    IFERROR(
        TRANSPOSE(
            _xlfn.UNIQUE(
                _xlfn._xlws.FILTER(EDU_DOCENTE[NOMBRE_DOCENTE],
                    ISNUMBER(MATCH(EDU_DOCENTE[MAESTRIA],
                    BQ67:DY67,0))
                )
            )
        ),
        ""
    ),
    TRANSPOSE(
        _xlfn.UNIQUE(EDU_DOCENTE[NOMBRE_DOCENTE]
        )
    )
)</f>
        <v>ALCIVAR CEDEÑO BEATRIZ ISABEL</v>
      </c>
      <c r="EB67" t="str">
        <v>ALCIVAR VERA GEMA MICHELLE</v>
      </c>
      <c r="EC67" t="str">
        <v>ARAUZ CHAVEZ MARIO ROBERTO</v>
      </c>
      <c r="ED67" t="str">
        <v>BAILON LOURIDO WALTER ALBERTO</v>
      </c>
      <c r="EE67" t="str">
        <v>CALDERERO VILLAGOMEZ ERICK ANTONIO</v>
      </c>
      <c r="EF67" t="str">
        <v>CASTILLO GARCIA PAOLA GERMANIA</v>
      </c>
      <c r="EG67" t="str">
        <v>CEDEÑO CHOEZ PEDRO JAVIER</v>
      </c>
      <c r="EH67" t="str">
        <v>CEVALLOS HOPPE JUAN CARLOS</v>
      </c>
      <c r="EI67" t="str">
        <v>DELGADO CHAVEZ MARIA IRASEMA</v>
      </c>
      <c r="EJ67" t="str">
        <v>DUARTE VALENCIA CRISTHIAN DARIO</v>
      </c>
      <c r="EK67" t="str">
        <v>FORTTY BARBERAN DENNY ALEXANDER</v>
      </c>
      <c r="EL67" t="str">
        <v>GUTIERREZ ZAMBRANO CARMEN EBELINA</v>
      </c>
      <c r="EM67" t="str">
        <v>INTRIAGO MOLINA GEMA VALERIA</v>
      </c>
      <c r="EN67" t="str">
        <v>LINO VELEZ LEONEL LIVINGTON</v>
      </c>
      <c r="EO67" t="str">
        <v>LOOR ALCIVAR MARIA ILIANA</v>
      </c>
      <c r="EP67" t="str">
        <v>LOOR MIELES TANIA JACQUELINE</v>
      </c>
      <c r="EQ67" t="str">
        <v>LOOR SOLORZANO ROSA MARIA</v>
      </c>
      <c r="ER67" t="str">
        <v>LOPEZ DELGADO RONALD MAURICIO</v>
      </c>
      <c r="ES67" t="str">
        <v>MACIAS VALENCIA DAVID GABRIEL</v>
      </c>
      <c r="ET67" t="str">
        <v>MENDOZA ZAMORA WALTER MANUEL</v>
      </c>
      <c r="EU67" t="str">
        <v>MOLINA CEVALLOS MARIA LORENA</v>
      </c>
      <c r="EV67" t="str">
        <v>MURILLO DELGADO ISAAC GABRIEL</v>
      </c>
      <c r="EW67" t="str">
        <v>ANGULO MURILLO NAVIRA GISSELA</v>
      </c>
      <c r="EX67" t="str">
        <v>OCHOA SOLEDISPA NESTOR IVAN</v>
      </c>
      <c r="EY67" t="str">
        <v>PARRAGA FRANCO SILVANA MARIELA</v>
      </c>
      <c r="EZ67" t="str">
        <v>PINARGOTE VASQUEZ NANCY FABIOLA</v>
      </c>
      <c r="FA67" t="str">
        <v>REYES VELEZ PEDRO ENRIQUE</v>
      </c>
      <c r="FB67" t="str">
        <v>SAN ANDRES HORMAZA DALLAS CECILIA</v>
      </c>
      <c r="FC67" t="str">
        <v>SORNOZA ZAMORA JUAN CARLOS</v>
      </c>
      <c r="FD67" t="str">
        <v>TOMALA PINTO JESUS JACINTO</v>
      </c>
      <c r="FE67" t="str">
        <v>VALLE JARAMILLO SILVIA ARACELY</v>
      </c>
      <c r="FF67" t="str">
        <v>VELÁSQUEZ BRAVO IRMA KATHERINE</v>
      </c>
      <c r="FG67" t="str">
        <v>VELEZ MENDOZA LAYSY VALERIA</v>
      </c>
      <c r="FH67" t="str">
        <v>VINUEZA TELLO SHIRLEY ELIZABETH</v>
      </c>
      <c r="FI67" t="str">
        <v>ZAMBRANO ALCIVAR NILDA ISABEL</v>
      </c>
      <c r="FJ67" t="str">
        <v>ZAMBRANO LOOR RITA MAYDA</v>
      </c>
      <c r="FK67" t="str">
        <v>ZAMBRANO VERA MONICA JANETH</v>
      </c>
      <c r="FL67" t="str">
        <v>VERA DELGADO BRYAN ADRIÁN</v>
      </c>
      <c r="FM67" t="str">
        <v>MORAN GONZALES DAVID RENATO</v>
      </c>
      <c r="FN67">
        <v>0</v>
      </c>
    </row>
    <row r="68" spans="1:170" ht="20.25" customHeight="1">
      <c r="A68" s="4" t="str" cm="1">
        <f t="array" ref="A68">TRANSPOSE(_xlfn.UNIQUE(_xlfn._xlws.FILTER(MAE_ASIGNATURA[ID_NIVEL],MAE_ASIGNATURA[ID_CARRERA]=ASIGNACION!$C68,"No existe información")))</f>
        <v>No existe información</v>
      </c>
      <c r="S68" s="4" t="str" cm="1">
        <f t="array" ref="S68">TRANSPOSE(_xlfn.UNIQUE(_xlfn._xlws.FILTER(MAE_ASIGNATURA[NOM_ASIG],(MAE_ASIGNATURA[ID_NIVEL]=ASIGNACION!$D68)*(MAE_ASIGNATURA[ID_CARRERA]=ASIGNACION!$C68),"No existe información")))</f>
        <v>No existe información</v>
      </c>
      <c r="BD68" s="4" t="str" cm="1">
        <f t="array" ref="BD68">TRANSPOSE(_xlfn.UNIQUE(_xlfn._xlws.FILTER(DET_ASIG[DETALLADO],(DET_ASIG[ID_CARRERA]=ASIGNACION!$C68)*(DET_ASIG[NIVEL]=ASIGNACION!$D68)*(DET_ASIG[ID_ASIG]=ASIGNACION!$G68),"No existe información")))</f>
        <v>No existe información</v>
      </c>
      <c r="BQ68" s="5" t="str" cm="1">
        <f t="array" ref="BQ68">IFERROR(
    TRANSPOSE(
        _xlfn.UNIQUE(
            _xlfn._xlws.FILTER(MAESTRIA_DETALLADO[MAESTRIA],
                ISNUMBER(MATCH(MAESTRIA_DETALLADO[CAMPO_DETALLADO],
                BD68:BP68,0))
            )
        )
    ),IF(BD68="ACTIVIDAD","DOCENCIA",""))</f>
        <v/>
      </c>
      <c r="EA68" s="5" t="str" cm="1">
        <f t="array" ref="EA68:FN68">IF(
    ASIGNACION!I68="SI",
    IFERROR(
        TRANSPOSE(
            _xlfn.UNIQUE(
                _xlfn._xlws.FILTER(EDU_DOCENTE[NOMBRE_DOCENTE],
                    ISNUMBER(MATCH(EDU_DOCENTE[MAESTRIA],
                    BQ68:DY68,0))
                )
            )
        ),
        ""
    ),
    TRANSPOSE(
        _xlfn.UNIQUE(EDU_DOCENTE[NOMBRE_DOCENTE]
        )
    )
)</f>
        <v>ALCIVAR CEDEÑO BEATRIZ ISABEL</v>
      </c>
      <c r="EB68" t="str">
        <v>ALCIVAR VERA GEMA MICHELLE</v>
      </c>
      <c r="EC68" t="str">
        <v>ARAUZ CHAVEZ MARIO ROBERTO</v>
      </c>
      <c r="ED68" t="str">
        <v>BAILON LOURIDO WALTER ALBERTO</v>
      </c>
      <c r="EE68" t="str">
        <v>CALDERERO VILLAGOMEZ ERICK ANTONIO</v>
      </c>
      <c r="EF68" t="str">
        <v>CASTILLO GARCIA PAOLA GERMANIA</v>
      </c>
      <c r="EG68" t="str">
        <v>CEDEÑO CHOEZ PEDRO JAVIER</v>
      </c>
      <c r="EH68" t="str">
        <v>CEVALLOS HOPPE JUAN CARLOS</v>
      </c>
      <c r="EI68" t="str">
        <v>DELGADO CHAVEZ MARIA IRASEMA</v>
      </c>
      <c r="EJ68" t="str">
        <v>DUARTE VALENCIA CRISTHIAN DARIO</v>
      </c>
      <c r="EK68" t="str">
        <v>FORTTY BARBERAN DENNY ALEXANDER</v>
      </c>
      <c r="EL68" t="str">
        <v>GUTIERREZ ZAMBRANO CARMEN EBELINA</v>
      </c>
      <c r="EM68" t="str">
        <v>INTRIAGO MOLINA GEMA VALERIA</v>
      </c>
      <c r="EN68" t="str">
        <v>LINO VELEZ LEONEL LIVINGTON</v>
      </c>
      <c r="EO68" t="str">
        <v>LOOR ALCIVAR MARIA ILIANA</v>
      </c>
      <c r="EP68" t="str">
        <v>LOOR MIELES TANIA JACQUELINE</v>
      </c>
      <c r="EQ68" t="str">
        <v>LOOR SOLORZANO ROSA MARIA</v>
      </c>
      <c r="ER68" t="str">
        <v>LOPEZ DELGADO RONALD MAURICIO</v>
      </c>
      <c r="ES68" t="str">
        <v>MACIAS VALENCIA DAVID GABRIEL</v>
      </c>
      <c r="ET68" t="str">
        <v>MENDOZA ZAMORA WALTER MANUEL</v>
      </c>
      <c r="EU68" t="str">
        <v>MOLINA CEVALLOS MARIA LORENA</v>
      </c>
      <c r="EV68" t="str">
        <v>MURILLO DELGADO ISAAC GABRIEL</v>
      </c>
      <c r="EW68" t="str">
        <v>ANGULO MURILLO NAVIRA GISSELA</v>
      </c>
      <c r="EX68" t="str">
        <v>OCHOA SOLEDISPA NESTOR IVAN</v>
      </c>
      <c r="EY68" t="str">
        <v>PARRAGA FRANCO SILVANA MARIELA</v>
      </c>
      <c r="EZ68" t="str">
        <v>PINARGOTE VASQUEZ NANCY FABIOLA</v>
      </c>
      <c r="FA68" t="str">
        <v>REYES VELEZ PEDRO ENRIQUE</v>
      </c>
      <c r="FB68" t="str">
        <v>SAN ANDRES HORMAZA DALLAS CECILIA</v>
      </c>
      <c r="FC68" t="str">
        <v>SORNOZA ZAMORA JUAN CARLOS</v>
      </c>
      <c r="FD68" t="str">
        <v>TOMALA PINTO JESUS JACINTO</v>
      </c>
      <c r="FE68" t="str">
        <v>VALLE JARAMILLO SILVIA ARACELY</v>
      </c>
      <c r="FF68" t="str">
        <v>VELÁSQUEZ BRAVO IRMA KATHERINE</v>
      </c>
      <c r="FG68" t="str">
        <v>VELEZ MENDOZA LAYSY VALERIA</v>
      </c>
      <c r="FH68" t="str">
        <v>VINUEZA TELLO SHIRLEY ELIZABETH</v>
      </c>
      <c r="FI68" t="str">
        <v>ZAMBRANO ALCIVAR NILDA ISABEL</v>
      </c>
      <c r="FJ68" t="str">
        <v>ZAMBRANO LOOR RITA MAYDA</v>
      </c>
      <c r="FK68" t="str">
        <v>ZAMBRANO VERA MONICA JANETH</v>
      </c>
      <c r="FL68" t="str">
        <v>VERA DELGADO BRYAN ADRIÁN</v>
      </c>
      <c r="FM68" t="str">
        <v>MORAN GONZALES DAVID RENATO</v>
      </c>
      <c r="FN68">
        <v>0</v>
      </c>
    </row>
    <row r="69" spans="1:170" ht="20.25" customHeight="1">
      <c r="A69" s="4" t="str" cm="1">
        <f t="array" ref="A69">TRANSPOSE(_xlfn.UNIQUE(_xlfn._xlws.FILTER(MAE_ASIGNATURA[ID_NIVEL],MAE_ASIGNATURA[ID_CARRERA]=ASIGNACION!$C69,"No existe información")))</f>
        <v>No existe información</v>
      </c>
      <c r="S69" s="4" t="str" cm="1">
        <f t="array" ref="S69">TRANSPOSE(_xlfn.UNIQUE(_xlfn._xlws.FILTER(MAE_ASIGNATURA[NOM_ASIG],(MAE_ASIGNATURA[ID_NIVEL]=ASIGNACION!$D69)*(MAE_ASIGNATURA[ID_CARRERA]=ASIGNACION!$C69),"No existe información")))</f>
        <v>No existe información</v>
      </c>
      <c r="BD69" s="4" t="str" cm="1">
        <f t="array" ref="BD69">TRANSPOSE(_xlfn.UNIQUE(_xlfn._xlws.FILTER(DET_ASIG[DETALLADO],(DET_ASIG[ID_CARRERA]=ASIGNACION!$C69)*(DET_ASIG[NIVEL]=ASIGNACION!$D69)*(DET_ASIG[ID_ASIG]=ASIGNACION!$G69),"No existe información")))</f>
        <v>No existe información</v>
      </c>
      <c r="BQ69" s="5" t="str" cm="1">
        <f t="array" ref="BQ69">IFERROR(
    TRANSPOSE(
        _xlfn.UNIQUE(
            _xlfn._xlws.FILTER(MAESTRIA_DETALLADO[MAESTRIA],
                ISNUMBER(MATCH(MAESTRIA_DETALLADO[CAMPO_DETALLADO],
                BD69:BP69,0))
            )
        )
    ),IF(BD69="ACTIVIDAD","DOCENCIA",""))</f>
        <v/>
      </c>
      <c r="EA69" s="5" t="str" cm="1">
        <f t="array" ref="EA69:FN69">IF(
    ASIGNACION!I69="SI",
    IFERROR(
        TRANSPOSE(
            _xlfn.UNIQUE(
                _xlfn._xlws.FILTER(EDU_DOCENTE[NOMBRE_DOCENTE],
                    ISNUMBER(MATCH(EDU_DOCENTE[MAESTRIA],
                    BQ69:DY69,0))
                )
            )
        ),
        ""
    ),
    TRANSPOSE(
        _xlfn.UNIQUE(EDU_DOCENTE[NOMBRE_DOCENTE]
        )
    )
)</f>
        <v>ALCIVAR CEDEÑO BEATRIZ ISABEL</v>
      </c>
      <c r="EB69" t="str">
        <v>ALCIVAR VERA GEMA MICHELLE</v>
      </c>
      <c r="EC69" t="str">
        <v>ARAUZ CHAVEZ MARIO ROBERTO</v>
      </c>
      <c r="ED69" t="str">
        <v>BAILON LOURIDO WALTER ALBERTO</v>
      </c>
      <c r="EE69" t="str">
        <v>CALDERERO VILLAGOMEZ ERICK ANTONIO</v>
      </c>
      <c r="EF69" t="str">
        <v>CASTILLO GARCIA PAOLA GERMANIA</v>
      </c>
      <c r="EG69" t="str">
        <v>CEDEÑO CHOEZ PEDRO JAVIER</v>
      </c>
      <c r="EH69" t="str">
        <v>CEVALLOS HOPPE JUAN CARLOS</v>
      </c>
      <c r="EI69" t="str">
        <v>DELGADO CHAVEZ MARIA IRASEMA</v>
      </c>
      <c r="EJ69" t="str">
        <v>DUARTE VALENCIA CRISTHIAN DARIO</v>
      </c>
      <c r="EK69" t="str">
        <v>FORTTY BARBERAN DENNY ALEXANDER</v>
      </c>
      <c r="EL69" t="str">
        <v>GUTIERREZ ZAMBRANO CARMEN EBELINA</v>
      </c>
      <c r="EM69" t="str">
        <v>INTRIAGO MOLINA GEMA VALERIA</v>
      </c>
      <c r="EN69" t="str">
        <v>LINO VELEZ LEONEL LIVINGTON</v>
      </c>
      <c r="EO69" t="str">
        <v>LOOR ALCIVAR MARIA ILIANA</v>
      </c>
      <c r="EP69" t="str">
        <v>LOOR MIELES TANIA JACQUELINE</v>
      </c>
      <c r="EQ69" t="str">
        <v>LOOR SOLORZANO ROSA MARIA</v>
      </c>
      <c r="ER69" t="str">
        <v>LOPEZ DELGADO RONALD MAURICIO</v>
      </c>
      <c r="ES69" t="str">
        <v>MACIAS VALENCIA DAVID GABRIEL</v>
      </c>
      <c r="ET69" t="str">
        <v>MENDOZA ZAMORA WALTER MANUEL</v>
      </c>
      <c r="EU69" t="str">
        <v>MOLINA CEVALLOS MARIA LORENA</v>
      </c>
      <c r="EV69" t="str">
        <v>MURILLO DELGADO ISAAC GABRIEL</v>
      </c>
      <c r="EW69" t="str">
        <v>ANGULO MURILLO NAVIRA GISSELA</v>
      </c>
      <c r="EX69" t="str">
        <v>OCHOA SOLEDISPA NESTOR IVAN</v>
      </c>
      <c r="EY69" t="str">
        <v>PARRAGA FRANCO SILVANA MARIELA</v>
      </c>
      <c r="EZ69" t="str">
        <v>PINARGOTE VASQUEZ NANCY FABIOLA</v>
      </c>
      <c r="FA69" t="str">
        <v>REYES VELEZ PEDRO ENRIQUE</v>
      </c>
      <c r="FB69" t="str">
        <v>SAN ANDRES HORMAZA DALLAS CECILIA</v>
      </c>
      <c r="FC69" t="str">
        <v>SORNOZA ZAMORA JUAN CARLOS</v>
      </c>
      <c r="FD69" t="str">
        <v>TOMALA PINTO JESUS JACINTO</v>
      </c>
      <c r="FE69" t="str">
        <v>VALLE JARAMILLO SILVIA ARACELY</v>
      </c>
      <c r="FF69" t="str">
        <v>VELÁSQUEZ BRAVO IRMA KATHERINE</v>
      </c>
      <c r="FG69" t="str">
        <v>VELEZ MENDOZA LAYSY VALERIA</v>
      </c>
      <c r="FH69" t="str">
        <v>VINUEZA TELLO SHIRLEY ELIZABETH</v>
      </c>
      <c r="FI69" t="str">
        <v>ZAMBRANO ALCIVAR NILDA ISABEL</v>
      </c>
      <c r="FJ69" t="str">
        <v>ZAMBRANO LOOR RITA MAYDA</v>
      </c>
      <c r="FK69" t="str">
        <v>ZAMBRANO VERA MONICA JANETH</v>
      </c>
      <c r="FL69" t="str">
        <v>VERA DELGADO BRYAN ADRIÁN</v>
      </c>
      <c r="FM69" t="str">
        <v>MORAN GONZALES DAVID RENATO</v>
      </c>
      <c r="FN69">
        <v>0</v>
      </c>
    </row>
    <row r="70" spans="1:170" ht="20.25" customHeight="1">
      <c r="A70" s="4" t="str" cm="1">
        <f t="array" ref="A70">TRANSPOSE(_xlfn.UNIQUE(_xlfn._xlws.FILTER(MAE_ASIGNATURA[ID_NIVEL],MAE_ASIGNATURA[ID_CARRERA]=ASIGNACION!$C70,"No existe información")))</f>
        <v>No existe información</v>
      </c>
      <c r="S70" s="4" t="str" cm="1">
        <f t="array" ref="S70">TRANSPOSE(_xlfn.UNIQUE(_xlfn._xlws.FILTER(MAE_ASIGNATURA[NOM_ASIG],(MAE_ASIGNATURA[ID_NIVEL]=ASIGNACION!$D70)*(MAE_ASIGNATURA[ID_CARRERA]=ASIGNACION!$C70),"No existe información")))</f>
        <v>No existe información</v>
      </c>
      <c r="BD70" s="4" t="str" cm="1">
        <f t="array" ref="BD70">TRANSPOSE(_xlfn.UNIQUE(_xlfn._xlws.FILTER(DET_ASIG[DETALLADO],(DET_ASIG[ID_CARRERA]=ASIGNACION!$C70)*(DET_ASIG[NIVEL]=ASIGNACION!$D70)*(DET_ASIG[ID_ASIG]=ASIGNACION!$G70),"No existe información")))</f>
        <v>No existe información</v>
      </c>
      <c r="BQ70" s="5" t="str" cm="1">
        <f t="array" ref="BQ70">IFERROR(
    TRANSPOSE(
        _xlfn.UNIQUE(
            _xlfn._xlws.FILTER(MAESTRIA_DETALLADO[MAESTRIA],
                ISNUMBER(MATCH(MAESTRIA_DETALLADO[CAMPO_DETALLADO],
                BD70:BP70,0))
            )
        )
    ),IF(BD70="ACTIVIDAD","DOCENCIA",""))</f>
        <v/>
      </c>
      <c r="EA70" s="5" t="str" cm="1">
        <f t="array" ref="EA70:FN70">IF(
    ASIGNACION!I70="SI",
    IFERROR(
        TRANSPOSE(
            _xlfn.UNIQUE(
                _xlfn._xlws.FILTER(EDU_DOCENTE[NOMBRE_DOCENTE],
                    ISNUMBER(MATCH(EDU_DOCENTE[MAESTRIA],
                    BQ70:DY70,0))
                )
            )
        ),
        ""
    ),
    TRANSPOSE(
        _xlfn.UNIQUE(EDU_DOCENTE[NOMBRE_DOCENTE]
        )
    )
)</f>
        <v>ALCIVAR CEDEÑO BEATRIZ ISABEL</v>
      </c>
      <c r="EB70" t="str">
        <v>ALCIVAR VERA GEMA MICHELLE</v>
      </c>
      <c r="EC70" t="str">
        <v>ARAUZ CHAVEZ MARIO ROBERTO</v>
      </c>
      <c r="ED70" t="str">
        <v>BAILON LOURIDO WALTER ALBERTO</v>
      </c>
      <c r="EE70" t="str">
        <v>CALDERERO VILLAGOMEZ ERICK ANTONIO</v>
      </c>
      <c r="EF70" t="str">
        <v>CASTILLO GARCIA PAOLA GERMANIA</v>
      </c>
      <c r="EG70" t="str">
        <v>CEDEÑO CHOEZ PEDRO JAVIER</v>
      </c>
      <c r="EH70" t="str">
        <v>CEVALLOS HOPPE JUAN CARLOS</v>
      </c>
      <c r="EI70" t="str">
        <v>DELGADO CHAVEZ MARIA IRASEMA</v>
      </c>
      <c r="EJ70" t="str">
        <v>DUARTE VALENCIA CRISTHIAN DARIO</v>
      </c>
      <c r="EK70" t="str">
        <v>FORTTY BARBERAN DENNY ALEXANDER</v>
      </c>
      <c r="EL70" t="str">
        <v>GUTIERREZ ZAMBRANO CARMEN EBELINA</v>
      </c>
      <c r="EM70" t="str">
        <v>INTRIAGO MOLINA GEMA VALERIA</v>
      </c>
      <c r="EN70" t="str">
        <v>LINO VELEZ LEONEL LIVINGTON</v>
      </c>
      <c r="EO70" t="str">
        <v>LOOR ALCIVAR MARIA ILIANA</v>
      </c>
      <c r="EP70" t="str">
        <v>LOOR MIELES TANIA JACQUELINE</v>
      </c>
      <c r="EQ70" t="str">
        <v>LOOR SOLORZANO ROSA MARIA</v>
      </c>
      <c r="ER70" t="str">
        <v>LOPEZ DELGADO RONALD MAURICIO</v>
      </c>
      <c r="ES70" t="str">
        <v>MACIAS VALENCIA DAVID GABRIEL</v>
      </c>
      <c r="ET70" t="str">
        <v>MENDOZA ZAMORA WALTER MANUEL</v>
      </c>
      <c r="EU70" t="str">
        <v>MOLINA CEVALLOS MARIA LORENA</v>
      </c>
      <c r="EV70" t="str">
        <v>MURILLO DELGADO ISAAC GABRIEL</v>
      </c>
      <c r="EW70" t="str">
        <v>ANGULO MURILLO NAVIRA GISSELA</v>
      </c>
      <c r="EX70" t="str">
        <v>OCHOA SOLEDISPA NESTOR IVAN</v>
      </c>
      <c r="EY70" t="str">
        <v>PARRAGA FRANCO SILVANA MARIELA</v>
      </c>
      <c r="EZ70" t="str">
        <v>PINARGOTE VASQUEZ NANCY FABIOLA</v>
      </c>
      <c r="FA70" t="str">
        <v>REYES VELEZ PEDRO ENRIQUE</v>
      </c>
      <c r="FB70" t="str">
        <v>SAN ANDRES HORMAZA DALLAS CECILIA</v>
      </c>
      <c r="FC70" t="str">
        <v>SORNOZA ZAMORA JUAN CARLOS</v>
      </c>
      <c r="FD70" t="str">
        <v>TOMALA PINTO JESUS JACINTO</v>
      </c>
      <c r="FE70" t="str">
        <v>VALLE JARAMILLO SILVIA ARACELY</v>
      </c>
      <c r="FF70" t="str">
        <v>VELÁSQUEZ BRAVO IRMA KATHERINE</v>
      </c>
      <c r="FG70" t="str">
        <v>VELEZ MENDOZA LAYSY VALERIA</v>
      </c>
      <c r="FH70" t="str">
        <v>VINUEZA TELLO SHIRLEY ELIZABETH</v>
      </c>
      <c r="FI70" t="str">
        <v>ZAMBRANO ALCIVAR NILDA ISABEL</v>
      </c>
      <c r="FJ70" t="str">
        <v>ZAMBRANO LOOR RITA MAYDA</v>
      </c>
      <c r="FK70" t="str">
        <v>ZAMBRANO VERA MONICA JANETH</v>
      </c>
      <c r="FL70" t="str">
        <v>VERA DELGADO BRYAN ADRIÁN</v>
      </c>
      <c r="FM70" t="str">
        <v>MORAN GONZALES DAVID RENATO</v>
      </c>
      <c r="FN70">
        <v>0</v>
      </c>
    </row>
    <row r="71" spans="1:170" ht="20.25" customHeight="1">
      <c r="A71" s="4" t="str" cm="1">
        <f t="array" ref="A71">TRANSPOSE(_xlfn.UNIQUE(_xlfn._xlws.FILTER(MAE_ASIGNATURA[ID_NIVEL],MAE_ASIGNATURA[ID_CARRERA]=ASIGNACION!$C71,"No existe información")))</f>
        <v>No existe información</v>
      </c>
      <c r="S71" s="4" t="str" cm="1">
        <f t="array" ref="S71">TRANSPOSE(_xlfn.UNIQUE(_xlfn._xlws.FILTER(MAE_ASIGNATURA[NOM_ASIG],(MAE_ASIGNATURA[ID_NIVEL]=ASIGNACION!$D71)*(MAE_ASIGNATURA[ID_CARRERA]=ASIGNACION!$C71),"No existe información")))</f>
        <v>No existe información</v>
      </c>
      <c r="BD71" s="4" t="str" cm="1">
        <f t="array" ref="BD71">TRANSPOSE(_xlfn.UNIQUE(_xlfn._xlws.FILTER(DET_ASIG[DETALLADO],(DET_ASIG[ID_CARRERA]=ASIGNACION!$C71)*(DET_ASIG[NIVEL]=ASIGNACION!$D71)*(DET_ASIG[ID_ASIG]=ASIGNACION!$G71),"No existe información")))</f>
        <v>No existe información</v>
      </c>
      <c r="BQ71" s="5" t="str" cm="1">
        <f t="array" ref="BQ71">IFERROR(
    TRANSPOSE(
        _xlfn.UNIQUE(
            _xlfn._xlws.FILTER(MAESTRIA_DETALLADO[MAESTRIA],
                ISNUMBER(MATCH(MAESTRIA_DETALLADO[CAMPO_DETALLADO],
                BD71:BP71,0))
            )
        )
    ),IF(BD71="ACTIVIDAD","DOCENCIA",""))</f>
        <v/>
      </c>
      <c r="EA71" s="5" t="str" cm="1">
        <f t="array" ref="EA71:FN71">IF(
    ASIGNACION!I71="SI",
    IFERROR(
        TRANSPOSE(
            _xlfn.UNIQUE(
                _xlfn._xlws.FILTER(EDU_DOCENTE[NOMBRE_DOCENTE],
                    ISNUMBER(MATCH(EDU_DOCENTE[MAESTRIA],
                    BQ71:DY71,0))
                )
            )
        ),
        ""
    ),
    TRANSPOSE(
        _xlfn.UNIQUE(EDU_DOCENTE[NOMBRE_DOCENTE]
        )
    )
)</f>
        <v>ALCIVAR CEDEÑO BEATRIZ ISABEL</v>
      </c>
      <c r="EB71" t="str">
        <v>ALCIVAR VERA GEMA MICHELLE</v>
      </c>
      <c r="EC71" t="str">
        <v>ARAUZ CHAVEZ MARIO ROBERTO</v>
      </c>
      <c r="ED71" t="str">
        <v>BAILON LOURIDO WALTER ALBERTO</v>
      </c>
      <c r="EE71" t="str">
        <v>CALDERERO VILLAGOMEZ ERICK ANTONIO</v>
      </c>
      <c r="EF71" t="str">
        <v>CASTILLO GARCIA PAOLA GERMANIA</v>
      </c>
      <c r="EG71" t="str">
        <v>CEDEÑO CHOEZ PEDRO JAVIER</v>
      </c>
      <c r="EH71" t="str">
        <v>CEVALLOS HOPPE JUAN CARLOS</v>
      </c>
      <c r="EI71" t="str">
        <v>DELGADO CHAVEZ MARIA IRASEMA</v>
      </c>
      <c r="EJ71" t="str">
        <v>DUARTE VALENCIA CRISTHIAN DARIO</v>
      </c>
      <c r="EK71" t="str">
        <v>FORTTY BARBERAN DENNY ALEXANDER</v>
      </c>
      <c r="EL71" t="str">
        <v>GUTIERREZ ZAMBRANO CARMEN EBELINA</v>
      </c>
      <c r="EM71" t="str">
        <v>INTRIAGO MOLINA GEMA VALERIA</v>
      </c>
      <c r="EN71" t="str">
        <v>LINO VELEZ LEONEL LIVINGTON</v>
      </c>
      <c r="EO71" t="str">
        <v>LOOR ALCIVAR MARIA ILIANA</v>
      </c>
      <c r="EP71" t="str">
        <v>LOOR MIELES TANIA JACQUELINE</v>
      </c>
      <c r="EQ71" t="str">
        <v>LOOR SOLORZANO ROSA MARIA</v>
      </c>
      <c r="ER71" t="str">
        <v>LOPEZ DELGADO RONALD MAURICIO</v>
      </c>
      <c r="ES71" t="str">
        <v>MACIAS VALENCIA DAVID GABRIEL</v>
      </c>
      <c r="ET71" t="str">
        <v>MENDOZA ZAMORA WALTER MANUEL</v>
      </c>
      <c r="EU71" t="str">
        <v>MOLINA CEVALLOS MARIA LORENA</v>
      </c>
      <c r="EV71" t="str">
        <v>MURILLO DELGADO ISAAC GABRIEL</v>
      </c>
      <c r="EW71" t="str">
        <v>ANGULO MURILLO NAVIRA GISSELA</v>
      </c>
      <c r="EX71" t="str">
        <v>OCHOA SOLEDISPA NESTOR IVAN</v>
      </c>
      <c r="EY71" t="str">
        <v>PARRAGA FRANCO SILVANA MARIELA</v>
      </c>
      <c r="EZ71" t="str">
        <v>PINARGOTE VASQUEZ NANCY FABIOLA</v>
      </c>
      <c r="FA71" t="str">
        <v>REYES VELEZ PEDRO ENRIQUE</v>
      </c>
      <c r="FB71" t="str">
        <v>SAN ANDRES HORMAZA DALLAS CECILIA</v>
      </c>
      <c r="FC71" t="str">
        <v>SORNOZA ZAMORA JUAN CARLOS</v>
      </c>
      <c r="FD71" t="str">
        <v>TOMALA PINTO JESUS JACINTO</v>
      </c>
      <c r="FE71" t="str">
        <v>VALLE JARAMILLO SILVIA ARACELY</v>
      </c>
      <c r="FF71" t="str">
        <v>VELÁSQUEZ BRAVO IRMA KATHERINE</v>
      </c>
      <c r="FG71" t="str">
        <v>VELEZ MENDOZA LAYSY VALERIA</v>
      </c>
      <c r="FH71" t="str">
        <v>VINUEZA TELLO SHIRLEY ELIZABETH</v>
      </c>
      <c r="FI71" t="str">
        <v>ZAMBRANO ALCIVAR NILDA ISABEL</v>
      </c>
      <c r="FJ71" t="str">
        <v>ZAMBRANO LOOR RITA MAYDA</v>
      </c>
      <c r="FK71" t="str">
        <v>ZAMBRANO VERA MONICA JANETH</v>
      </c>
      <c r="FL71" t="str">
        <v>VERA DELGADO BRYAN ADRIÁN</v>
      </c>
      <c r="FM71" t="str">
        <v>MORAN GONZALES DAVID RENATO</v>
      </c>
      <c r="FN71">
        <v>0</v>
      </c>
    </row>
    <row r="72" spans="1:170" ht="20.25" customHeight="1">
      <c r="A72" s="4" t="str" cm="1">
        <f t="array" ref="A72">TRANSPOSE(_xlfn.UNIQUE(_xlfn._xlws.FILTER(MAE_ASIGNATURA[ID_NIVEL],MAE_ASIGNATURA[ID_CARRERA]=ASIGNACION!$C72,"No existe información")))</f>
        <v>No existe información</v>
      </c>
      <c r="S72" s="4" t="str" cm="1">
        <f t="array" ref="S72">TRANSPOSE(_xlfn.UNIQUE(_xlfn._xlws.FILTER(MAE_ASIGNATURA[NOM_ASIG],(MAE_ASIGNATURA[ID_NIVEL]=ASIGNACION!$D72)*(MAE_ASIGNATURA[ID_CARRERA]=ASIGNACION!$C72),"No existe información")))</f>
        <v>No existe información</v>
      </c>
      <c r="BD72" s="4" t="str" cm="1">
        <f t="array" ref="BD72">TRANSPOSE(_xlfn.UNIQUE(_xlfn._xlws.FILTER(DET_ASIG[DETALLADO],(DET_ASIG[ID_CARRERA]=ASIGNACION!$C72)*(DET_ASIG[NIVEL]=ASIGNACION!$D72)*(DET_ASIG[ID_ASIG]=ASIGNACION!$G72),"No existe información")))</f>
        <v>No existe información</v>
      </c>
      <c r="BQ72" s="5" t="str" cm="1">
        <f t="array" ref="BQ72">IFERROR(
    TRANSPOSE(
        _xlfn.UNIQUE(
            _xlfn._xlws.FILTER(MAESTRIA_DETALLADO[MAESTRIA],
                ISNUMBER(MATCH(MAESTRIA_DETALLADO[CAMPO_DETALLADO],
                BD72:BP72,0))
            )
        )
    ),IF(BD72="ACTIVIDAD","DOCENCIA",""))</f>
        <v/>
      </c>
      <c r="EA72" s="5" t="str" cm="1">
        <f t="array" ref="EA72:FN72">IF(
    ASIGNACION!I72="SI",
    IFERROR(
        TRANSPOSE(
            _xlfn.UNIQUE(
                _xlfn._xlws.FILTER(EDU_DOCENTE[NOMBRE_DOCENTE],
                    ISNUMBER(MATCH(EDU_DOCENTE[MAESTRIA],
                    BQ72:DY72,0))
                )
            )
        ),
        ""
    ),
    TRANSPOSE(
        _xlfn.UNIQUE(EDU_DOCENTE[NOMBRE_DOCENTE]
        )
    )
)</f>
        <v>ALCIVAR CEDEÑO BEATRIZ ISABEL</v>
      </c>
      <c r="EB72" t="str">
        <v>ALCIVAR VERA GEMA MICHELLE</v>
      </c>
      <c r="EC72" t="str">
        <v>ARAUZ CHAVEZ MARIO ROBERTO</v>
      </c>
      <c r="ED72" t="str">
        <v>BAILON LOURIDO WALTER ALBERTO</v>
      </c>
      <c r="EE72" t="str">
        <v>CALDERERO VILLAGOMEZ ERICK ANTONIO</v>
      </c>
      <c r="EF72" t="str">
        <v>CASTILLO GARCIA PAOLA GERMANIA</v>
      </c>
      <c r="EG72" t="str">
        <v>CEDEÑO CHOEZ PEDRO JAVIER</v>
      </c>
      <c r="EH72" t="str">
        <v>CEVALLOS HOPPE JUAN CARLOS</v>
      </c>
      <c r="EI72" t="str">
        <v>DELGADO CHAVEZ MARIA IRASEMA</v>
      </c>
      <c r="EJ72" t="str">
        <v>DUARTE VALENCIA CRISTHIAN DARIO</v>
      </c>
      <c r="EK72" t="str">
        <v>FORTTY BARBERAN DENNY ALEXANDER</v>
      </c>
      <c r="EL72" t="str">
        <v>GUTIERREZ ZAMBRANO CARMEN EBELINA</v>
      </c>
      <c r="EM72" t="str">
        <v>INTRIAGO MOLINA GEMA VALERIA</v>
      </c>
      <c r="EN72" t="str">
        <v>LINO VELEZ LEONEL LIVINGTON</v>
      </c>
      <c r="EO72" t="str">
        <v>LOOR ALCIVAR MARIA ILIANA</v>
      </c>
      <c r="EP72" t="str">
        <v>LOOR MIELES TANIA JACQUELINE</v>
      </c>
      <c r="EQ72" t="str">
        <v>LOOR SOLORZANO ROSA MARIA</v>
      </c>
      <c r="ER72" t="str">
        <v>LOPEZ DELGADO RONALD MAURICIO</v>
      </c>
      <c r="ES72" t="str">
        <v>MACIAS VALENCIA DAVID GABRIEL</v>
      </c>
      <c r="ET72" t="str">
        <v>MENDOZA ZAMORA WALTER MANUEL</v>
      </c>
      <c r="EU72" t="str">
        <v>MOLINA CEVALLOS MARIA LORENA</v>
      </c>
      <c r="EV72" t="str">
        <v>MURILLO DELGADO ISAAC GABRIEL</v>
      </c>
      <c r="EW72" t="str">
        <v>ANGULO MURILLO NAVIRA GISSELA</v>
      </c>
      <c r="EX72" t="str">
        <v>OCHOA SOLEDISPA NESTOR IVAN</v>
      </c>
      <c r="EY72" t="str">
        <v>PARRAGA FRANCO SILVANA MARIELA</v>
      </c>
      <c r="EZ72" t="str">
        <v>PINARGOTE VASQUEZ NANCY FABIOLA</v>
      </c>
      <c r="FA72" t="str">
        <v>REYES VELEZ PEDRO ENRIQUE</v>
      </c>
      <c r="FB72" t="str">
        <v>SAN ANDRES HORMAZA DALLAS CECILIA</v>
      </c>
      <c r="FC72" t="str">
        <v>SORNOZA ZAMORA JUAN CARLOS</v>
      </c>
      <c r="FD72" t="str">
        <v>TOMALA PINTO JESUS JACINTO</v>
      </c>
      <c r="FE72" t="str">
        <v>VALLE JARAMILLO SILVIA ARACELY</v>
      </c>
      <c r="FF72" t="str">
        <v>VELÁSQUEZ BRAVO IRMA KATHERINE</v>
      </c>
      <c r="FG72" t="str">
        <v>VELEZ MENDOZA LAYSY VALERIA</v>
      </c>
      <c r="FH72" t="str">
        <v>VINUEZA TELLO SHIRLEY ELIZABETH</v>
      </c>
      <c r="FI72" t="str">
        <v>ZAMBRANO ALCIVAR NILDA ISABEL</v>
      </c>
      <c r="FJ72" t="str">
        <v>ZAMBRANO LOOR RITA MAYDA</v>
      </c>
      <c r="FK72" t="str">
        <v>ZAMBRANO VERA MONICA JANETH</v>
      </c>
      <c r="FL72" t="str">
        <v>VERA DELGADO BRYAN ADRIÁN</v>
      </c>
      <c r="FM72" t="str">
        <v>MORAN GONZALES DAVID RENATO</v>
      </c>
      <c r="FN72">
        <v>0</v>
      </c>
    </row>
    <row r="73" spans="1:170" ht="20.25" customHeight="1">
      <c r="A73" s="4" t="str" cm="1">
        <f t="array" ref="A73">TRANSPOSE(_xlfn.UNIQUE(_xlfn._xlws.FILTER(MAE_ASIGNATURA[ID_NIVEL],MAE_ASIGNATURA[ID_CARRERA]=ASIGNACION!$C73,"No existe información")))</f>
        <v>No existe información</v>
      </c>
      <c r="S73" s="4" t="str" cm="1">
        <f t="array" ref="S73">TRANSPOSE(_xlfn.UNIQUE(_xlfn._xlws.FILTER(MAE_ASIGNATURA[NOM_ASIG],(MAE_ASIGNATURA[ID_NIVEL]=ASIGNACION!$D73)*(MAE_ASIGNATURA[ID_CARRERA]=ASIGNACION!$C73),"No existe información")))</f>
        <v>No existe información</v>
      </c>
      <c r="BD73" s="4" t="str" cm="1">
        <f t="array" ref="BD73">TRANSPOSE(_xlfn.UNIQUE(_xlfn._xlws.FILTER(DET_ASIG[DETALLADO],(DET_ASIG[ID_CARRERA]=ASIGNACION!$C73)*(DET_ASIG[NIVEL]=ASIGNACION!$D73)*(DET_ASIG[ID_ASIG]=ASIGNACION!$G73),"No existe información")))</f>
        <v>No existe información</v>
      </c>
      <c r="BQ73" s="5" t="str" cm="1">
        <f t="array" ref="BQ73">IFERROR(
    TRANSPOSE(
        _xlfn.UNIQUE(
            _xlfn._xlws.FILTER(MAESTRIA_DETALLADO[MAESTRIA],
                ISNUMBER(MATCH(MAESTRIA_DETALLADO[CAMPO_DETALLADO],
                BD73:BP73,0))
            )
        )
    ),IF(BD73="ACTIVIDAD","DOCENCIA",""))</f>
        <v/>
      </c>
      <c r="EA73" s="5" t="str" cm="1">
        <f t="array" ref="EA73:FN73">IF(
    ASIGNACION!I73="SI",
    IFERROR(
        TRANSPOSE(
            _xlfn.UNIQUE(
                _xlfn._xlws.FILTER(EDU_DOCENTE[NOMBRE_DOCENTE],
                    ISNUMBER(MATCH(EDU_DOCENTE[MAESTRIA],
                    BQ73:DY73,0))
                )
            )
        ),
        ""
    ),
    TRANSPOSE(
        _xlfn.UNIQUE(EDU_DOCENTE[NOMBRE_DOCENTE]
        )
    )
)</f>
        <v>ALCIVAR CEDEÑO BEATRIZ ISABEL</v>
      </c>
      <c r="EB73" t="str">
        <v>ALCIVAR VERA GEMA MICHELLE</v>
      </c>
      <c r="EC73" t="str">
        <v>ARAUZ CHAVEZ MARIO ROBERTO</v>
      </c>
      <c r="ED73" t="str">
        <v>BAILON LOURIDO WALTER ALBERTO</v>
      </c>
      <c r="EE73" t="str">
        <v>CALDERERO VILLAGOMEZ ERICK ANTONIO</v>
      </c>
      <c r="EF73" t="str">
        <v>CASTILLO GARCIA PAOLA GERMANIA</v>
      </c>
      <c r="EG73" t="str">
        <v>CEDEÑO CHOEZ PEDRO JAVIER</v>
      </c>
      <c r="EH73" t="str">
        <v>CEVALLOS HOPPE JUAN CARLOS</v>
      </c>
      <c r="EI73" t="str">
        <v>DELGADO CHAVEZ MARIA IRASEMA</v>
      </c>
      <c r="EJ73" t="str">
        <v>DUARTE VALENCIA CRISTHIAN DARIO</v>
      </c>
      <c r="EK73" t="str">
        <v>FORTTY BARBERAN DENNY ALEXANDER</v>
      </c>
      <c r="EL73" t="str">
        <v>GUTIERREZ ZAMBRANO CARMEN EBELINA</v>
      </c>
      <c r="EM73" t="str">
        <v>INTRIAGO MOLINA GEMA VALERIA</v>
      </c>
      <c r="EN73" t="str">
        <v>LINO VELEZ LEONEL LIVINGTON</v>
      </c>
      <c r="EO73" t="str">
        <v>LOOR ALCIVAR MARIA ILIANA</v>
      </c>
      <c r="EP73" t="str">
        <v>LOOR MIELES TANIA JACQUELINE</v>
      </c>
      <c r="EQ73" t="str">
        <v>LOOR SOLORZANO ROSA MARIA</v>
      </c>
      <c r="ER73" t="str">
        <v>LOPEZ DELGADO RONALD MAURICIO</v>
      </c>
      <c r="ES73" t="str">
        <v>MACIAS VALENCIA DAVID GABRIEL</v>
      </c>
      <c r="ET73" t="str">
        <v>MENDOZA ZAMORA WALTER MANUEL</v>
      </c>
      <c r="EU73" t="str">
        <v>MOLINA CEVALLOS MARIA LORENA</v>
      </c>
      <c r="EV73" t="str">
        <v>MURILLO DELGADO ISAAC GABRIEL</v>
      </c>
      <c r="EW73" t="str">
        <v>ANGULO MURILLO NAVIRA GISSELA</v>
      </c>
      <c r="EX73" t="str">
        <v>OCHOA SOLEDISPA NESTOR IVAN</v>
      </c>
      <c r="EY73" t="str">
        <v>PARRAGA FRANCO SILVANA MARIELA</v>
      </c>
      <c r="EZ73" t="str">
        <v>PINARGOTE VASQUEZ NANCY FABIOLA</v>
      </c>
      <c r="FA73" t="str">
        <v>REYES VELEZ PEDRO ENRIQUE</v>
      </c>
      <c r="FB73" t="str">
        <v>SAN ANDRES HORMAZA DALLAS CECILIA</v>
      </c>
      <c r="FC73" t="str">
        <v>SORNOZA ZAMORA JUAN CARLOS</v>
      </c>
      <c r="FD73" t="str">
        <v>TOMALA PINTO JESUS JACINTO</v>
      </c>
      <c r="FE73" t="str">
        <v>VALLE JARAMILLO SILVIA ARACELY</v>
      </c>
      <c r="FF73" t="str">
        <v>VELÁSQUEZ BRAVO IRMA KATHERINE</v>
      </c>
      <c r="FG73" t="str">
        <v>VELEZ MENDOZA LAYSY VALERIA</v>
      </c>
      <c r="FH73" t="str">
        <v>VINUEZA TELLO SHIRLEY ELIZABETH</v>
      </c>
      <c r="FI73" t="str">
        <v>ZAMBRANO ALCIVAR NILDA ISABEL</v>
      </c>
      <c r="FJ73" t="str">
        <v>ZAMBRANO LOOR RITA MAYDA</v>
      </c>
      <c r="FK73" t="str">
        <v>ZAMBRANO VERA MONICA JANETH</v>
      </c>
      <c r="FL73" t="str">
        <v>VERA DELGADO BRYAN ADRIÁN</v>
      </c>
      <c r="FM73" t="str">
        <v>MORAN GONZALES DAVID RENATO</v>
      </c>
      <c r="FN73">
        <v>0</v>
      </c>
    </row>
    <row r="74" spans="1:170" ht="20.25" customHeight="1">
      <c r="A74" s="4" t="str" cm="1">
        <f t="array" ref="A74">TRANSPOSE(_xlfn.UNIQUE(_xlfn._xlws.FILTER(MAE_ASIGNATURA[ID_NIVEL],MAE_ASIGNATURA[ID_CARRERA]=ASIGNACION!$C74,"No existe información")))</f>
        <v>No existe información</v>
      </c>
      <c r="S74" s="4" t="str" cm="1">
        <f t="array" ref="S74">TRANSPOSE(_xlfn.UNIQUE(_xlfn._xlws.FILTER(MAE_ASIGNATURA[NOM_ASIG],(MAE_ASIGNATURA[ID_NIVEL]=ASIGNACION!$D74)*(MAE_ASIGNATURA[ID_CARRERA]=ASIGNACION!$C74),"No existe información")))</f>
        <v>No existe información</v>
      </c>
      <c r="BD74" s="4" t="str" cm="1">
        <f t="array" ref="BD74">TRANSPOSE(_xlfn.UNIQUE(_xlfn._xlws.FILTER(DET_ASIG[DETALLADO],(DET_ASIG[ID_CARRERA]=ASIGNACION!$C74)*(DET_ASIG[NIVEL]=ASIGNACION!$D74)*(DET_ASIG[ID_ASIG]=ASIGNACION!$G74),"No existe información")))</f>
        <v>No existe información</v>
      </c>
      <c r="BQ74" s="5" t="str" cm="1">
        <f t="array" ref="BQ74">IFERROR(
    TRANSPOSE(
        _xlfn.UNIQUE(
            _xlfn._xlws.FILTER(MAESTRIA_DETALLADO[MAESTRIA],
                ISNUMBER(MATCH(MAESTRIA_DETALLADO[CAMPO_DETALLADO],
                BD74:BP74,0))
            )
        )
    ),IF(BD74="ACTIVIDAD","DOCENCIA",""))</f>
        <v/>
      </c>
      <c r="EA74" s="5" t="str" cm="1">
        <f t="array" ref="EA74:FN74">IF(
    ASIGNACION!I74="SI",
    IFERROR(
        TRANSPOSE(
            _xlfn.UNIQUE(
                _xlfn._xlws.FILTER(EDU_DOCENTE[NOMBRE_DOCENTE],
                    ISNUMBER(MATCH(EDU_DOCENTE[MAESTRIA],
                    BQ74:DY74,0))
                )
            )
        ),
        ""
    ),
    TRANSPOSE(
        _xlfn.UNIQUE(EDU_DOCENTE[NOMBRE_DOCENTE]
        )
    )
)</f>
        <v>ALCIVAR CEDEÑO BEATRIZ ISABEL</v>
      </c>
      <c r="EB74" t="str">
        <v>ALCIVAR VERA GEMA MICHELLE</v>
      </c>
      <c r="EC74" t="str">
        <v>ARAUZ CHAVEZ MARIO ROBERTO</v>
      </c>
      <c r="ED74" t="str">
        <v>BAILON LOURIDO WALTER ALBERTO</v>
      </c>
      <c r="EE74" t="str">
        <v>CALDERERO VILLAGOMEZ ERICK ANTONIO</v>
      </c>
      <c r="EF74" t="str">
        <v>CASTILLO GARCIA PAOLA GERMANIA</v>
      </c>
      <c r="EG74" t="str">
        <v>CEDEÑO CHOEZ PEDRO JAVIER</v>
      </c>
      <c r="EH74" t="str">
        <v>CEVALLOS HOPPE JUAN CARLOS</v>
      </c>
      <c r="EI74" t="str">
        <v>DELGADO CHAVEZ MARIA IRASEMA</v>
      </c>
      <c r="EJ74" t="str">
        <v>DUARTE VALENCIA CRISTHIAN DARIO</v>
      </c>
      <c r="EK74" t="str">
        <v>FORTTY BARBERAN DENNY ALEXANDER</v>
      </c>
      <c r="EL74" t="str">
        <v>GUTIERREZ ZAMBRANO CARMEN EBELINA</v>
      </c>
      <c r="EM74" t="str">
        <v>INTRIAGO MOLINA GEMA VALERIA</v>
      </c>
      <c r="EN74" t="str">
        <v>LINO VELEZ LEONEL LIVINGTON</v>
      </c>
      <c r="EO74" t="str">
        <v>LOOR ALCIVAR MARIA ILIANA</v>
      </c>
      <c r="EP74" t="str">
        <v>LOOR MIELES TANIA JACQUELINE</v>
      </c>
      <c r="EQ74" t="str">
        <v>LOOR SOLORZANO ROSA MARIA</v>
      </c>
      <c r="ER74" t="str">
        <v>LOPEZ DELGADO RONALD MAURICIO</v>
      </c>
      <c r="ES74" t="str">
        <v>MACIAS VALENCIA DAVID GABRIEL</v>
      </c>
      <c r="ET74" t="str">
        <v>MENDOZA ZAMORA WALTER MANUEL</v>
      </c>
      <c r="EU74" t="str">
        <v>MOLINA CEVALLOS MARIA LORENA</v>
      </c>
      <c r="EV74" t="str">
        <v>MURILLO DELGADO ISAAC GABRIEL</v>
      </c>
      <c r="EW74" t="str">
        <v>ANGULO MURILLO NAVIRA GISSELA</v>
      </c>
      <c r="EX74" t="str">
        <v>OCHOA SOLEDISPA NESTOR IVAN</v>
      </c>
      <c r="EY74" t="str">
        <v>PARRAGA FRANCO SILVANA MARIELA</v>
      </c>
      <c r="EZ74" t="str">
        <v>PINARGOTE VASQUEZ NANCY FABIOLA</v>
      </c>
      <c r="FA74" t="str">
        <v>REYES VELEZ PEDRO ENRIQUE</v>
      </c>
      <c r="FB74" t="str">
        <v>SAN ANDRES HORMAZA DALLAS CECILIA</v>
      </c>
      <c r="FC74" t="str">
        <v>SORNOZA ZAMORA JUAN CARLOS</v>
      </c>
      <c r="FD74" t="str">
        <v>TOMALA PINTO JESUS JACINTO</v>
      </c>
      <c r="FE74" t="str">
        <v>VALLE JARAMILLO SILVIA ARACELY</v>
      </c>
      <c r="FF74" t="str">
        <v>VELÁSQUEZ BRAVO IRMA KATHERINE</v>
      </c>
      <c r="FG74" t="str">
        <v>VELEZ MENDOZA LAYSY VALERIA</v>
      </c>
      <c r="FH74" t="str">
        <v>VINUEZA TELLO SHIRLEY ELIZABETH</v>
      </c>
      <c r="FI74" t="str">
        <v>ZAMBRANO ALCIVAR NILDA ISABEL</v>
      </c>
      <c r="FJ74" t="str">
        <v>ZAMBRANO LOOR RITA MAYDA</v>
      </c>
      <c r="FK74" t="str">
        <v>ZAMBRANO VERA MONICA JANETH</v>
      </c>
      <c r="FL74" t="str">
        <v>VERA DELGADO BRYAN ADRIÁN</v>
      </c>
      <c r="FM74" t="str">
        <v>MORAN GONZALES DAVID RENATO</v>
      </c>
      <c r="FN74">
        <v>0</v>
      </c>
    </row>
    <row r="75" spans="1:170" ht="20.25" customHeight="1">
      <c r="A75" s="4" t="str" cm="1">
        <f t="array" ref="A75">TRANSPOSE(_xlfn.UNIQUE(_xlfn._xlws.FILTER(MAE_ASIGNATURA[ID_NIVEL],MAE_ASIGNATURA[ID_CARRERA]=ASIGNACION!$C75,"No existe información")))</f>
        <v>No existe información</v>
      </c>
      <c r="S75" s="4" t="str" cm="1">
        <f t="array" ref="S75">TRANSPOSE(_xlfn.UNIQUE(_xlfn._xlws.FILTER(MAE_ASIGNATURA[NOM_ASIG],(MAE_ASIGNATURA[ID_NIVEL]=ASIGNACION!$D75)*(MAE_ASIGNATURA[ID_CARRERA]=ASIGNACION!$C75),"No existe información")))</f>
        <v>No existe información</v>
      </c>
      <c r="BD75" s="4" t="str" cm="1">
        <f t="array" ref="BD75">TRANSPOSE(_xlfn.UNIQUE(_xlfn._xlws.FILTER(DET_ASIG[DETALLADO],(DET_ASIG[ID_CARRERA]=ASIGNACION!$C75)*(DET_ASIG[NIVEL]=ASIGNACION!$D75)*(DET_ASIG[ID_ASIG]=ASIGNACION!$G75),"No existe información")))</f>
        <v>No existe información</v>
      </c>
      <c r="BQ75" s="5" t="str" cm="1">
        <f t="array" ref="BQ75">IFERROR(
    TRANSPOSE(
        _xlfn.UNIQUE(
            _xlfn._xlws.FILTER(MAESTRIA_DETALLADO[MAESTRIA],
                ISNUMBER(MATCH(MAESTRIA_DETALLADO[CAMPO_DETALLADO],
                BD75:BP75,0))
            )
        )
    ),IF(BD75="ACTIVIDAD","DOCENCIA",""))</f>
        <v/>
      </c>
      <c r="EA75" s="5" t="str" cm="1">
        <f t="array" ref="EA75:FN75">IF(
    ASIGNACION!I75="SI",
    IFERROR(
        TRANSPOSE(
            _xlfn.UNIQUE(
                _xlfn._xlws.FILTER(EDU_DOCENTE[NOMBRE_DOCENTE],
                    ISNUMBER(MATCH(EDU_DOCENTE[MAESTRIA],
                    BQ75:DY75,0))
                )
            )
        ),
        ""
    ),
    TRANSPOSE(
        _xlfn.UNIQUE(EDU_DOCENTE[NOMBRE_DOCENTE]
        )
    )
)</f>
        <v>ALCIVAR CEDEÑO BEATRIZ ISABEL</v>
      </c>
      <c r="EB75" t="str">
        <v>ALCIVAR VERA GEMA MICHELLE</v>
      </c>
      <c r="EC75" t="str">
        <v>ARAUZ CHAVEZ MARIO ROBERTO</v>
      </c>
      <c r="ED75" t="str">
        <v>BAILON LOURIDO WALTER ALBERTO</v>
      </c>
      <c r="EE75" t="str">
        <v>CALDERERO VILLAGOMEZ ERICK ANTONIO</v>
      </c>
      <c r="EF75" t="str">
        <v>CASTILLO GARCIA PAOLA GERMANIA</v>
      </c>
      <c r="EG75" t="str">
        <v>CEDEÑO CHOEZ PEDRO JAVIER</v>
      </c>
      <c r="EH75" t="str">
        <v>CEVALLOS HOPPE JUAN CARLOS</v>
      </c>
      <c r="EI75" t="str">
        <v>DELGADO CHAVEZ MARIA IRASEMA</v>
      </c>
      <c r="EJ75" t="str">
        <v>DUARTE VALENCIA CRISTHIAN DARIO</v>
      </c>
      <c r="EK75" t="str">
        <v>FORTTY BARBERAN DENNY ALEXANDER</v>
      </c>
      <c r="EL75" t="str">
        <v>GUTIERREZ ZAMBRANO CARMEN EBELINA</v>
      </c>
      <c r="EM75" t="str">
        <v>INTRIAGO MOLINA GEMA VALERIA</v>
      </c>
      <c r="EN75" t="str">
        <v>LINO VELEZ LEONEL LIVINGTON</v>
      </c>
      <c r="EO75" t="str">
        <v>LOOR ALCIVAR MARIA ILIANA</v>
      </c>
      <c r="EP75" t="str">
        <v>LOOR MIELES TANIA JACQUELINE</v>
      </c>
      <c r="EQ75" t="str">
        <v>LOOR SOLORZANO ROSA MARIA</v>
      </c>
      <c r="ER75" t="str">
        <v>LOPEZ DELGADO RONALD MAURICIO</v>
      </c>
      <c r="ES75" t="str">
        <v>MACIAS VALENCIA DAVID GABRIEL</v>
      </c>
      <c r="ET75" t="str">
        <v>MENDOZA ZAMORA WALTER MANUEL</v>
      </c>
      <c r="EU75" t="str">
        <v>MOLINA CEVALLOS MARIA LORENA</v>
      </c>
      <c r="EV75" t="str">
        <v>MURILLO DELGADO ISAAC GABRIEL</v>
      </c>
      <c r="EW75" t="str">
        <v>ANGULO MURILLO NAVIRA GISSELA</v>
      </c>
      <c r="EX75" t="str">
        <v>OCHOA SOLEDISPA NESTOR IVAN</v>
      </c>
      <c r="EY75" t="str">
        <v>PARRAGA FRANCO SILVANA MARIELA</v>
      </c>
      <c r="EZ75" t="str">
        <v>PINARGOTE VASQUEZ NANCY FABIOLA</v>
      </c>
      <c r="FA75" t="str">
        <v>REYES VELEZ PEDRO ENRIQUE</v>
      </c>
      <c r="FB75" t="str">
        <v>SAN ANDRES HORMAZA DALLAS CECILIA</v>
      </c>
      <c r="FC75" t="str">
        <v>SORNOZA ZAMORA JUAN CARLOS</v>
      </c>
      <c r="FD75" t="str">
        <v>TOMALA PINTO JESUS JACINTO</v>
      </c>
      <c r="FE75" t="str">
        <v>VALLE JARAMILLO SILVIA ARACELY</v>
      </c>
      <c r="FF75" t="str">
        <v>VELÁSQUEZ BRAVO IRMA KATHERINE</v>
      </c>
      <c r="FG75" t="str">
        <v>VELEZ MENDOZA LAYSY VALERIA</v>
      </c>
      <c r="FH75" t="str">
        <v>VINUEZA TELLO SHIRLEY ELIZABETH</v>
      </c>
      <c r="FI75" t="str">
        <v>ZAMBRANO ALCIVAR NILDA ISABEL</v>
      </c>
      <c r="FJ75" t="str">
        <v>ZAMBRANO LOOR RITA MAYDA</v>
      </c>
      <c r="FK75" t="str">
        <v>ZAMBRANO VERA MONICA JANETH</v>
      </c>
      <c r="FL75" t="str">
        <v>VERA DELGADO BRYAN ADRIÁN</v>
      </c>
      <c r="FM75" t="str">
        <v>MORAN GONZALES DAVID RENATO</v>
      </c>
      <c r="FN75">
        <v>0</v>
      </c>
    </row>
    <row r="76" spans="1:170" ht="20.25" customHeight="1">
      <c r="A76" s="4" t="str" cm="1">
        <f t="array" ref="A76">TRANSPOSE(_xlfn.UNIQUE(_xlfn._xlws.FILTER(MAE_ASIGNATURA[ID_NIVEL],MAE_ASIGNATURA[ID_CARRERA]=ASIGNACION!$C76,"No existe información")))</f>
        <v>No existe información</v>
      </c>
      <c r="S76" s="4" t="str" cm="1">
        <f t="array" ref="S76">TRANSPOSE(_xlfn.UNIQUE(_xlfn._xlws.FILTER(MAE_ASIGNATURA[NOM_ASIG],(MAE_ASIGNATURA[ID_NIVEL]=ASIGNACION!$D76)*(MAE_ASIGNATURA[ID_CARRERA]=ASIGNACION!$C76),"No existe información")))</f>
        <v>No existe información</v>
      </c>
      <c r="BD76" s="4" t="str" cm="1">
        <f t="array" ref="BD76">TRANSPOSE(_xlfn.UNIQUE(_xlfn._xlws.FILTER(DET_ASIG[DETALLADO],(DET_ASIG[ID_CARRERA]=ASIGNACION!$C76)*(DET_ASIG[NIVEL]=ASIGNACION!$D76)*(DET_ASIG[ID_ASIG]=ASIGNACION!$G76),"No existe información")))</f>
        <v>No existe información</v>
      </c>
      <c r="BQ76" s="5" t="str" cm="1">
        <f t="array" ref="BQ76">IFERROR(
    TRANSPOSE(
        _xlfn.UNIQUE(
            _xlfn._xlws.FILTER(MAESTRIA_DETALLADO[MAESTRIA],
                ISNUMBER(MATCH(MAESTRIA_DETALLADO[CAMPO_DETALLADO],
                BD76:BP76,0))
            )
        )
    ),IF(BD76="ACTIVIDAD","DOCENCIA",""))</f>
        <v/>
      </c>
      <c r="EA76" s="5" t="str" cm="1">
        <f t="array" ref="EA76:FN76">IF(
    ASIGNACION!I76="SI",
    IFERROR(
        TRANSPOSE(
            _xlfn.UNIQUE(
                _xlfn._xlws.FILTER(EDU_DOCENTE[NOMBRE_DOCENTE],
                    ISNUMBER(MATCH(EDU_DOCENTE[MAESTRIA],
                    BQ76:DY76,0))
                )
            )
        ),
        ""
    ),
    TRANSPOSE(
        _xlfn.UNIQUE(EDU_DOCENTE[NOMBRE_DOCENTE]
        )
    )
)</f>
        <v>ALCIVAR CEDEÑO BEATRIZ ISABEL</v>
      </c>
      <c r="EB76" t="str">
        <v>ALCIVAR VERA GEMA MICHELLE</v>
      </c>
      <c r="EC76" t="str">
        <v>ARAUZ CHAVEZ MARIO ROBERTO</v>
      </c>
      <c r="ED76" t="str">
        <v>BAILON LOURIDO WALTER ALBERTO</v>
      </c>
      <c r="EE76" t="str">
        <v>CALDERERO VILLAGOMEZ ERICK ANTONIO</v>
      </c>
      <c r="EF76" t="str">
        <v>CASTILLO GARCIA PAOLA GERMANIA</v>
      </c>
      <c r="EG76" t="str">
        <v>CEDEÑO CHOEZ PEDRO JAVIER</v>
      </c>
      <c r="EH76" t="str">
        <v>CEVALLOS HOPPE JUAN CARLOS</v>
      </c>
      <c r="EI76" t="str">
        <v>DELGADO CHAVEZ MARIA IRASEMA</v>
      </c>
      <c r="EJ76" t="str">
        <v>DUARTE VALENCIA CRISTHIAN DARIO</v>
      </c>
      <c r="EK76" t="str">
        <v>FORTTY BARBERAN DENNY ALEXANDER</v>
      </c>
      <c r="EL76" t="str">
        <v>GUTIERREZ ZAMBRANO CARMEN EBELINA</v>
      </c>
      <c r="EM76" t="str">
        <v>INTRIAGO MOLINA GEMA VALERIA</v>
      </c>
      <c r="EN76" t="str">
        <v>LINO VELEZ LEONEL LIVINGTON</v>
      </c>
      <c r="EO76" t="str">
        <v>LOOR ALCIVAR MARIA ILIANA</v>
      </c>
      <c r="EP76" t="str">
        <v>LOOR MIELES TANIA JACQUELINE</v>
      </c>
      <c r="EQ76" t="str">
        <v>LOOR SOLORZANO ROSA MARIA</v>
      </c>
      <c r="ER76" t="str">
        <v>LOPEZ DELGADO RONALD MAURICIO</v>
      </c>
      <c r="ES76" t="str">
        <v>MACIAS VALENCIA DAVID GABRIEL</v>
      </c>
      <c r="ET76" t="str">
        <v>MENDOZA ZAMORA WALTER MANUEL</v>
      </c>
      <c r="EU76" t="str">
        <v>MOLINA CEVALLOS MARIA LORENA</v>
      </c>
      <c r="EV76" t="str">
        <v>MURILLO DELGADO ISAAC GABRIEL</v>
      </c>
      <c r="EW76" t="str">
        <v>ANGULO MURILLO NAVIRA GISSELA</v>
      </c>
      <c r="EX76" t="str">
        <v>OCHOA SOLEDISPA NESTOR IVAN</v>
      </c>
      <c r="EY76" t="str">
        <v>PARRAGA FRANCO SILVANA MARIELA</v>
      </c>
      <c r="EZ76" t="str">
        <v>PINARGOTE VASQUEZ NANCY FABIOLA</v>
      </c>
      <c r="FA76" t="str">
        <v>REYES VELEZ PEDRO ENRIQUE</v>
      </c>
      <c r="FB76" t="str">
        <v>SAN ANDRES HORMAZA DALLAS CECILIA</v>
      </c>
      <c r="FC76" t="str">
        <v>SORNOZA ZAMORA JUAN CARLOS</v>
      </c>
      <c r="FD76" t="str">
        <v>TOMALA PINTO JESUS JACINTO</v>
      </c>
      <c r="FE76" t="str">
        <v>VALLE JARAMILLO SILVIA ARACELY</v>
      </c>
      <c r="FF76" t="str">
        <v>VELÁSQUEZ BRAVO IRMA KATHERINE</v>
      </c>
      <c r="FG76" t="str">
        <v>VELEZ MENDOZA LAYSY VALERIA</v>
      </c>
      <c r="FH76" t="str">
        <v>VINUEZA TELLO SHIRLEY ELIZABETH</v>
      </c>
      <c r="FI76" t="str">
        <v>ZAMBRANO ALCIVAR NILDA ISABEL</v>
      </c>
      <c r="FJ76" t="str">
        <v>ZAMBRANO LOOR RITA MAYDA</v>
      </c>
      <c r="FK76" t="str">
        <v>ZAMBRANO VERA MONICA JANETH</v>
      </c>
      <c r="FL76" t="str">
        <v>VERA DELGADO BRYAN ADRIÁN</v>
      </c>
      <c r="FM76" t="str">
        <v>MORAN GONZALES DAVID RENATO</v>
      </c>
      <c r="FN76">
        <v>0</v>
      </c>
    </row>
    <row r="77" spans="1:170" ht="20.25" customHeight="1">
      <c r="A77" s="4" t="str" cm="1">
        <f t="array" ref="A77">TRANSPOSE(_xlfn.UNIQUE(_xlfn._xlws.FILTER(MAE_ASIGNATURA[ID_NIVEL],MAE_ASIGNATURA[ID_CARRERA]=ASIGNACION!$C77,"No existe información")))</f>
        <v>No existe información</v>
      </c>
      <c r="S77" s="4" t="str" cm="1">
        <f t="array" ref="S77">TRANSPOSE(_xlfn.UNIQUE(_xlfn._xlws.FILTER(MAE_ASIGNATURA[NOM_ASIG],(MAE_ASIGNATURA[ID_NIVEL]=ASIGNACION!$D77)*(MAE_ASIGNATURA[ID_CARRERA]=ASIGNACION!$C77),"No existe información")))</f>
        <v>No existe información</v>
      </c>
      <c r="BD77" s="4" t="str" cm="1">
        <f t="array" ref="BD77">TRANSPOSE(_xlfn.UNIQUE(_xlfn._xlws.FILTER(DET_ASIG[DETALLADO],(DET_ASIG[ID_CARRERA]=ASIGNACION!$C77)*(DET_ASIG[NIVEL]=ASIGNACION!$D77)*(DET_ASIG[ID_ASIG]=ASIGNACION!$G77),"No existe información")))</f>
        <v>No existe información</v>
      </c>
      <c r="BQ77" s="5" t="str" cm="1">
        <f t="array" ref="BQ77">IFERROR(
    TRANSPOSE(
        _xlfn.UNIQUE(
            _xlfn._xlws.FILTER(MAESTRIA_DETALLADO[MAESTRIA],
                ISNUMBER(MATCH(MAESTRIA_DETALLADO[CAMPO_DETALLADO],
                BD77:BP77,0))
            )
        )
    ),IF(BD77="ACTIVIDAD","DOCENCIA",""))</f>
        <v/>
      </c>
      <c r="EA77" s="5" t="str" cm="1">
        <f t="array" ref="EA77:FN77">IF(
    ASIGNACION!I77="SI",
    IFERROR(
        TRANSPOSE(
            _xlfn.UNIQUE(
                _xlfn._xlws.FILTER(EDU_DOCENTE[NOMBRE_DOCENTE],
                    ISNUMBER(MATCH(EDU_DOCENTE[MAESTRIA],
                    BQ77:DY77,0))
                )
            )
        ),
        ""
    ),
    TRANSPOSE(
        _xlfn.UNIQUE(EDU_DOCENTE[NOMBRE_DOCENTE]
        )
    )
)</f>
        <v>ALCIVAR CEDEÑO BEATRIZ ISABEL</v>
      </c>
      <c r="EB77" t="str">
        <v>ALCIVAR VERA GEMA MICHELLE</v>
      </c>
      <c r="EC77" t="str">
        <v>ARAUZ CHAVEZ MARIO ROBERTO</v>
      </c>
      <c r="ED77" t="str">
        <v>BAILON LOURIDO WALTER ALBERTO</v>
      </c>
      <c r="EE77" t="str">
        <v>CALDERERO VILLAGOMEZ ERICK ANTONIO</v>
      </c>
      <c r="EF77" t="str">
        <v>CASTILLO GARCIA PAOLA GERMANIA</v>
      </c>
      <c r="EG77" t="str">
        <v>CEDEÑO CHOEZ PEDRO JAVIER</v>
      </c>
      <c r="EH77" t="str">
        <v>CEVALLOS HOPPE JUAN CARLOS</v>
      </c>
      <c r="EI77" t="str">
        <v>DELGADO CHAVEZ MARIA IRASEMA</v>
      </c>
      <c r="EJ77" t="str">
        <v>DUARTE VALENCIA CRISTHIAN DARIO</v>
      </c>
      <c r="EK77" t="str">
        <v>FORTTY BARBERAN DENNY ALEXANDER</v>
      </c>
      <c r="EL77" t="str">
        <v>GUTIERREZ ZAMBRANO CARMEN EBELINA</v>
      </c>
      <c r="EM77" t="str">
        <v>INTRIAGO MOLINA GEMA VALERIA</v>
      </c>
      <c r="EN77" t="str">
        <v>LINO VELEZ LEONEL LIVINGTON</v>
      </c>
      <c r="EO77" t="str">
        <v>LOOR ALCIVAR MARIA ILIANA</v>
      </c>
      <c r="EP77" t="str">
        <v>LOOR MIELES TANIA JACQUELINE</v>
      </c>
      <c r="EQ77" t="str">
        <v>LOOR SOLORZANO ROSA MARIA</v>
      </c>
      <c r="ER77" t="str">
        <v>LOPEZ DELGADO RONALD MAURICIO</v>
      </c>
      <c r="ES77" t="str">
        <v>MACIAS VALENCIA DAVID GABRIEL</v>
      </c>
      <c r="ET77" t="str">
        <v>MENDOZA ZAMORA WALTER MANUEL</v>
      </c>
      <c r="EU77" t="str">
        <v>MOLINA CEVALLOS MARIA LORENA</v>
      </c>
      <c r="EV77" t="str">
        <v>MURILLO DELGADO ISAAC GABRIEL</v>
      </c>
      <c r="EW77" t="str">
        <v>ANGULO MURILLO NAVIRA GISSELA</v>
      </c>
      <c r="EX77" t="str">
        <v>OCHOA SOLEDISPA NESTOR IVAN</v>
      </c>
      <c r="EY77" t="str">
        <v>PARRAGA FRANCO SILVANA MARIELA</v>
      </c>
      <c r="EZ77" t="str">
        <v>PINARGOTE VASQUEZ NANCY FABIOLA</v>
      </c>
      <c r="FA77" t="str">
        <v>REYES VELEZ PEDRO ENRIQUE</v>
      </c>
      <c r="FB77" t="str">
        <v>SAN ANDRES HORMAZA DALLAS CECILIA</v>
      </c>
      <c r="FC77" t="str">
        <v>SORNOZA ZAMORA JUAN CARLOS</v>
      </c>
      <c r="FD77" t="str">
        <v>TOMALA PINTO JESUS JACINTO</v>
      </c>
      <c r="FE77" t="str">
        <v>VALLE JARAMILLO SILVIA ARACELY</v>
      </c>
      <c r="FF77" t="str">
        <v>VELÁSQUEZ BRAVO IRMA KATHERINE</v>
      </c>
      <c r="FG77" t="str">
        <v>VELEZ MENDOZA LAYSY VALERIA</v>
      </c>
      <c r="FH77" t="str">
        <v>VINUEZA TELLO SHIRLEY ELIZABETH</v>
      </c>
      <c r="FI77" t="str">
        <v>ZAMBRANO ALCIVAR NILDA ISABEL</v>
      </c>
      <c r="FJ77" t="str">
        <v>ZAMBRANO LOOR RITA MAYDA</v>
      </c>
      <c r="FK77" t="str">
        <v>ZAMBRANO VERA MONICA JANETH</v>
      </c>
      <c r="FL77" t="str">
        <v>VERA DELGADO BRYAN ADRIÁN</v>
      </c>
      <c r="FM77" t="str">
        <v>MORAN GONZALES DAVID RENATO</v>
      </c>
      <c r="FN77">
        <v>0</v>
      </c>
    </row>
    <row r="78" spans="1:170" ht="20.25" customHeight="1">
      <c r="A78" s="4" t="str" cm="1">
        <f t="array" ref="A78">TRANSPOSE(_xlfn.UNIQUE(_xlfn._xlws.FILTER(MAE_ASIGNATURA[ID_NIVEL],MAE_ASIGNATURA[ID_CARRERA]=ASIGNACION!$C78,"No existe información")))</f>
        <v>No existe información</v>
      </c>
      <c r="S78" s="4" t="str" cm="1">
        <f t="array" ref="S78">TRANSPOSE(_xlfn.UNIQUE(_xlfn._xlws.FILTER(MAE_ASIGNATURA[NOM_ASIG],(MAE_ASIGNATURA[ID_NIVEL]=ASIGNACION!$D78)*(MAE_ASIGNATURA[ID_CARRERA]=ASIGNACION!$C78),"No existe información")))</f>
        <v>No existe información</v>
      </c>
      <c r="BD78" s="4" t="str" cm="1">
        <f t="array" ref="BD78">TRANSPOSE(_xlfn.UNIQUE(_xlfn._xlws.FILTER(DET_ASIG[DETALLADO],(DET_ASIG[ID_CARRERA]=ASIGNACION!$C78)*(DET_ASIG[NIVEL]=ASIGNACION!$D78)*(DET_ASIG[ID_ASIG]=ASIGNACION!$G78),"No existe información")))</f>
        <v>No existe información</v>
      </c>
      <c r="BQ78" s="5" t="str" cm="1">
        <f t="array" ref="BQ78">IFERROR(
    TRANSPOSE(
        _xlfn.UNIQUE(
            _xlfn._xlws.FILTER(MAESTRIA_DETALLADO[MAESTRIA],
                ISNUMBER(MATCH(MAESTRIA_DETALLADO[CAMPO_DETALLADO],
                BD78:BP78,0))
            )
        )
    ),IF(BD78="ACTIVIDAD","DOCENCIA",""))</f>
        <v/>
      </c>
      <c r="EA78" s="5" t="str" cm="1">
        <f t="array" ref="EA78:FN78">IF(
    ASIGNACION!I78="SI",
    IFERROR(
        TRANSPOSE(
            _xlfn.UNIQUE(
                _xlfn._xlws.FILTER(EDU_DOCENTE[NOMBRE_DOCENTE],
                    ISNUMBER(MATCH(EDU_DOCENTE[MAESTRIA],
                    BQ78:DY78,0))
                )
            )
        ),
        ""
    ),
    TRANSPOSE(
        _xlfn.UNIQUE(EDU_DOCENTE[NOMBRE_DOCENTE]
        )
    )
)</f>
        <v>ALCIVAR CEDEÑO BEATRIZ ISABEL</v>
      </c>
      <c r="EB78" t="str">
        <v>ALCIVAR VERA GEMA MICHELLE</v>
      </c>
      <c r="EC78" t="str">
        <v>ARAUZ CHAVEZ MARIO ROBERTO</v>
      </c>
      <c r="ED78" t="str">
        <v>BAILON LOURIDO WALTER ALBERTO</v>
      </c>
      <c r="EE78" t="str">
        <v>CALDERERO VILLAGOMEZ ERICK ANTONIO</v>
      </c>
      <c r="EF78" t="str">
        <v>CASTILLO GARCIA PAOLA GERMANIA</v>
      </c>
      <c r="EG78" t="str">
        <v>CEDEÑO CHOEZ PEDRO JAVIER</v>
      </c>
      <c r="EH78" t="str">
        <v>CEVALLOS HOPPE JUAN CARLOS</v>
      </c>
      <c r="EI78" t="str">
        <v>DELGADO CHAVEZ MARIA IRASEMA</v>
      </c>
      <c r="EJ78" t="str">
        <v>DUARTE VALENCIA CRISTHIAN DARIO</v>
      </c>
      <c r="EK78" t="str">
        <v>FORTTY BARBERAN DENNY ALEXANDER</v>
      </c>
      <c r="EL78" t="str">
        <v>GUTIERREZ ZAMBRANO CARMEN EBELINA</v>
      </c>
      <c r="EM78" t="str">
        <v>INTRIAGO MOLINA GEMA VALERIA</v>
      </c>
      <c r="EN78" t="str">
        <v>LINO VELEZ LEONEL LIVINGTON</v>
      </c>
      <c r="EO78" t="str">
        <v>LOOR ALCIVAR MARIA ILIANA</v>
      </c>
      <c r="EP78" t="str">
        <v>LOOR MIELES TANIA JACQUELINE</v>
      </c>
      <c r="EQ78" t="str">
        <v>LOOR SOLORZANO ROSA MARIA</v>
      </c>
      <c r="ER78" t="str">
        <v>LOPEZ DELGADO RONALD MAURICIO</v>
      </c>
      <c r="ES78" t="str">
        <v>MACIAS VALENCIA DAVID GABRIEL</v>
      </c>
      <c r="ET78" t="str">
        <v>MENDOZA ZAMORA WALTER MANUEL</v>
      </c>
      <c r="EU78" t="str">
        <v>MOLINA CEVALLOS MARIA LORENA</v>
      </c>
      <c r="EV78" t="str">
        <v>MURILLO DELGADO ISAAC GABRIEL</v>
      </c>
      <c r="EW78" t="str">
        <v>ANGULO MURILLO NAVIRA GISSELA</v>
      </c>
      <c r="EX78" t="str">
        <v>OCHOA SOLEDISPA NESTOR IVAN</v>
      </c>
      <c r="EY78" t="str">
        <v>PARRAGA FRANCO SILVANA MARIELA</v>
      </c>
      <c r="EZ78" t="str">
        <v>PINARGOTE VASQUEZ NANCY FABIOLA</v>
      </c>
      <c r="FA78" t="str">
        <v>REYES VELEZ PEDRO ENRIQUE</v>
      </c>
      <c r="FB78" t="str">
        <v>SAN ANDRES HORMAZA DALLAS CECILIA</v>
      </c>
      <c r="FC78" t="str">
        <v>SORNOZA ZAMORA JUAN CARLOS</v>
      </c>
      <c r="FD78" t="str">
        <v>TOMALA PINTO JESUS JACINTO</v>
      </c>
      <c r="FE78" t="str">
        <v>VALLE JARAMILLO SILVIA ARACELY</v>
      </c>
      <c r="FF78" t="str">
        <v>VELÁSQUEZ BRAVO IRMA KATHERINE</v>
      </c>
      <c r="FG78" t="str">
        <v>VELEZ MENDOZA LAYSY VALERIA</v>
      </c>
      <c r="FH78" t="str">
        <v>VINUEZA TELLO SHIRLEY ELIZABETH</v>
      </c>
      <c r="FI78" t="str">
        <v>ZAMBRANO ALCIVAR NILDA ISABEL</v>
      </c>
      <c r="FJ78" t="str">
        <v>ZAMBRANO LOOR RITA MAYDA</v>
      </c>
      <c r="FK78" t="str">
        <v>ZAMBRANO VERA MONICA JANETH</v>
      </c>
      <c r="FL78" t="str">
        <v>VERA DELGADO BRYAN ADRIÁN</v>
      </c>
      <c r="FM78" t="str">
        <v>MORAN GONZALES DAVID RENATO</v>
      </c>
      <c r="FN78">
        <v>0</v>
      </c>
    </row>
    <row r="79" spans="1:170" ht="20.25" customHeight="1">
      <c r="A79" s="4" t="str" cm="1">
        <f t="array" ref="A79">TRANSPOSE(_xlfn.UNIQUE(_xlfn._xlws.FILTER(MAE_ASIGNATURA[ID_NIVEL],MAE_ASIGNATURA[ID_CARRERA]=ASIGNACION!$C79,"No existe información")))</f>
        <v>No existe información</v>
      </c>
      <c r="S79" s="4" t="str" cm="1">
        <f t="array" ref="S79">TRANSPOSE(_xlfn.UNIQUE(_xlfn._xlws.FILTER(MAE_ASIGNATURA[NOM_ASIG],(MAE_ASIGNATURA[ID_NIVEL]=ASIGNACION!$D79)*(MAE_ASIGNATURA[ID_CARRERA]=ASIGNACION!$C79),"No existe información")))</f>
        <v>No existe información</v>
      </c>
      <c r="BD79" s="4" t="str" cm="1">
        <f t="array" ref="BD79">TRANSPOSE(_xlfn.UNIQUE(_xlfn._xlws.FILTER(DET_ASIG[DETALLADO],(DET_ASIG[ID_CARRERA]=ASIGNACION!$C79)*(DET_ASIG[NIVEL]=ASIGNACION!$D79)*(DET_ASIG[ID_ASIG]=ASIGNACION!$G79),"No existe información")))</f>
        <v>No existe información</v>
      </c>
      <c r="BQ79" s="5" t="str" cm="1">
        <f t="array" ref="BQ79">IFERROR(
    TRANSPOSE(
        _xlfn.UNIQUE(
            _xlfn._xlws.FILTER(MAESTRIA_DETALLADO[MAESTRIA],
                ISNUMBER(MATCH(MAESTRIA_DETALLADO[CAMPO_DETALLADO],
                BD79:BP79,0))
            )
        )
    ),IF(BD79="ACTIVIDAD","DOCENCIA",""))</f>
        <v/>
      </c>
      <c r="EA79" s="5" t="str" cm="1">
        <f t="array" ref="EA79:FN79">IF(
    ASIGNACION!I79="SI",
    IFERROR(
        TRANSPOSE(
            _xlfn.UNIQUE(
                _xlfn._xlws.FILTER(EDU_DOCENTE[NOMBRE_DOCENTE],
                    ISNUMBER(MATCH(EDU_DOCENTE[MAESTRIA],
                    BQ79:DY79,0))
                )
            )
        ),
        ""
    ),
    TRANSPOSE(
        _xlfn.UNIQUE(EDU_DOCENTE[NOMBRE_DOCENTE]
        )
    )
)</f>
        <v>ALCIVAR CEDEÑO BEATRIZ ISABEL</v>
      </c>
      <c r="EB79" t="str">
        <v>ALCIVAR VERA GEMA MICHELLE</v>
      </c>
      <c r="EC79" t="str">
        <v>ARAUZ CHAVEZ MARIO ROBERTO</v>
      </c>
      <c r="ED79" t="str">
        <v>BAILON LOURIDO WALTER ALBERTO</v>
      </c>
      <c r="EE79" t="str">
        <v>CALDERERO VILLAGOMEZ ERICK ANTONIO</v>
      </c>
      <c r="EF79" t="str">
        <v>CASTILLO GARCIA PAOLA GERMANIA</v>
      </c>
      <c r="EG79" t="str">
        <v>CEDEÑO CHOEZ PEDRO JAVIER</v>
      </c>
      <c r="EH79" t="str">
        <v>CEVALLOS HOPPE JUAN CARLOS</v>
      </c>
      <c r="EI79" t="str">
        <v>DELGADO CHAVEZ MARIA IRASEMA</v>
      </c>
      <c r="EJ79" t="str">
        <v>DUARTE VALENCIA CRISTHIAN DARIO</v>
      </c>
      <c r="EK79" t="str">
        <v>FORTTY BARBERAN DENNY ALEXANDER</v>
      </c>
      <c r="EL79" t="str">
        <v>GUTIERREZ ZAMBRANO CARMEN EBELINA</v>
      </c>
      <c r="EM79" t="str">
        <v>INTRIAGO MOLINA GEMA VALERIA</v>
      </c>
      <c r="EN79" t="str">
        <v>LINO VELEZ LEONEL LIVINGTON</v>
      </c>
      <c r="EO79" t="str">
        <v>LOOR ALCIVAR MARIA ILIANA</v>
      </c>
      <c r="EP79" t="str">
        <v>LOOR MIELES TANIA JACQUELINE</v>
      </c>
      <c r="EQ79" t="str">
        <v>LOOR SOLORZANO ROSA MARIA</v>
      </c>
      <c r="ER79" t="str">
        <v>LOPEZ DELGADO RONALD MAURICIO</v>
      </c>
      <c r="ES79" t="str">
        <v>MACIAS VALENCIA DAVID GABRIEL</v>
      </c>
      <c r="ET79" t="str">
        <v>MENDOZA ZAMORA WALTER MANUEL</v>
      </c>
      <c r="EU79" t="str">
        <v>MOLINA CEVALLOS MARIA LORENA</v>
      </c>
      <c r="EV79" t="str">
        <v>MURILLO DELGADO ISAAC GABRIEL</v>
      </c>
      <c r="EW79" t="str">
        <v>ANGULO MURILLO NAVIRA GISSELA</v>
      </c>
      <c r="EX79" t="str">
        <v>OCHOA SOLEDISPA NESTOR IVAN</v>
      </c>
      <c r="EY79" t="str">
        <v>PARRAGA FRANCO SILVANA MARIELA</v>
      </c>
      <c r="EZ79" t="str">
        <v>PINARGOTE VASQUEZ NANCY FABIOLA</v>
      </c>
      <c r="FA79" t="str">
        <v>REYES VELEZ PEDRO ENRIQUE</v>
      </c>
      <c r="FB79" t="str">
        <v>SAN ANDRES HORMAZA DALLAS CECILIA</v>
      </c>
      <c r="FC79" t="str">
        <v>SORNOZA ZAMORA JUAN CARLOS</v>
      </c>
      <c r="FD79" t="str">
        <v>TOMALA PINTO JESUS JACINTO</v>
      </c>
      <c r="FE79" t="str">
        <v>VALLE JARAMILLO SILVIA ARACELY</v>
      </c>
      <c r="FF79" t="str">
        <v>VELÁSQUEZ BRAVO IRMA KATHERINE</v>
      </c>
      <c r="FG79" t="str">
        <v>VELEZ MENDOZA LAYSY VALERIA</v>
      </c>
      <c r="FH79" t="str">
        <v>VINUEZA TELLO SHIRLEY ELIZABETH</v>
      </c>
      <c r="FI79" t="str">
        <v>ZAMBRANO ALCIVAR NILDA ISABEL</v>
      </c>
      <c r="FJ79" t="str">
        <v>ZAMBRANO LOOR RITA MAYDA</v>
      </c>
      <c r="FK79" t="str">
        <v>ZAMBRANO VERA MONICA JANETH</v>
      </c>
      <c r="FL79" t="str">
        <v>VERA DELGADO BRYAN ADRIÁN</v>
      </c>
      <c r="FM79" t="str">
        <v>MORAN GONZALES DAVID RENATO</v>
      </c>
      <c r="FN79">
        <v>0</v>
      </c>
    </row>
    <row r="80" spans="1:170" ht="20.25" customHeight="1">
      <c r="A80" s="4" t="str" cm="1">
        <f t="array" ref="A80">TRANSPOSE(_xlfn.UNIQUE(_xlfn._xlws.FILTER(MAE_ASIGNATURA[ID_NIVEL],MAE_ASIGNATURA[ID_CARRERA]=ASIGNACION!$C80,"No existe información")))</f>
        <v>No existe información</v>
      </c>
      <c r="S80" s="4" t="str" cm="1">
        <f t="array" ref="S80">TRANSPOSE(_xlfn.UNIQUE(_xlfn._xlws.FILTER(MAE_ASIGNATURA[NOM_ASIG],(MAE_ASIGNATURA[ID_NIVEL]=ASIGNACION!$D80)*(MAE_ASIGNATURA[ID_CARRERA]=ASIGNACION!$C80),"No existe información")))</f>
        <v>No existe información</v>
      </c>
      <c r="BD80" s="4" t="str" cm="1">
        <f t="array" ref="BD80">TRANSPOSE(_xlfn.UNIQUE(_xlfn._xlws.FILTER(DET_ASIG[DETALLADO],(DET_ASIG[ID_CARRERA]=ASIGNACION!$C80)*(DET_ASIG[NIVEL]=ASIGNACION!$D80)*(DET_ASIG[ID_ASIG]=ASIGNACION!$G80),"No existe información")))</f>
        <v>No existe información</v>
      </c>
      <c r="BQ80" s="5" t="str" cm="1">
        <f t="array" ref="BQ80">IFERROR(
    TRANSPOSE(
        _xlfn.UNIQUE(
            _xlfn._xlws.FILTER(MAESTRIA_DETALLADO[MAESTRIA],
                ISNUMBER(MATCH(MAESTRIA_DETALLADO[CAMPO_DETALLADO],
                BD80:BP80,0))
            )
        )
    ),IF(BD80="ACTIVIDAD","DOCENCIA",""))</f>
        <v/>
      </c>
      <c r="EA80" s="5" t="str" cm="1">
        <f t="array" ref="EA80:FN80">IF(
    ASIGNACION!I80="SI",
    IFERROR(
        TRANSPOSE(
            _xlfn.UNIQUE(
                _xlfn._xlws.FILTER(EDU_DOCENTE[NOMBRE_DOCENTE],
                    ISNUMBER(MATCH(EDU_DOCENTE[MAESTRIA],
                    BQ80:DY80,0))
                )
            )
        ),
        ""
    ),
    TRANSPOSE(
        _xlfn.UNIQUE(EDU_DOCENTE[NOMBRE_DOCENTE]
        )
    )
)</f>
        <v>ALCIVAR CEDEÑO BEATRIZ ISABEL</v>
      </c>
      <c r="EB80" t="str">
        <v>ALCIVAR VERA GEMA MICHELLE</v>
      </c>
      <c r="EC80" t="str">
        <v>ARAUZ CHAVEZ MARIO ROBERTO</v>
      </c>
      <c r="ED80" t="str">
        <v>BAILON LOURIDO WALTER ALBERTO</v>
      </c>
      <c r="EE80" t="str">
        <v>CALDERERO VILLAGOMEZ ERICK ANTONIO</v>
      </c>
      <c r="EF80" t="str">
        <v>CASTILLO GARCIA PAOLA GERMANIA</v>
      </c>
      <c r="EG80" t="str">
        <v>CEDEÑO CHOEZ PEDRO JAVIER</v>
      </c>
      <c r="EH80" t="str">
        <v>CEVALLOS HOPPE JUAN CARLOS</v>
      </c>
      <c r="EI80" t="str">
        <v>DELGADO CHAVEZ MARIA IRASEMA</v>
      </c>
      <c r="EJ80" t="str">
        <v>DUARTE VALENCIA CRISTHIAN DARIO</v>
      </c>
      <c r="EK80" t="str">
        <v>FORTTY BARBERAN DENNY ALEXANDER</v>
      </c>
      <c r="EL80" t="str">
        <v>GUTIERREZ ZAMBRANO CARMEN EBELINA</v>
      </c>
      <c r="EM80" t="str">
        <v>INTRIAGO MOLINA GEMA VALERIA</v>
      </c>
      <c r="EN80" t="str">
        <v>LINO VELEZ LEONEL LIVINGTON</v>
      </c>
      <c r="EO80" t="str">
        <v>LOOR ALCIVAR MARIA ILIANA</v>
      </c>
      <c r="EP80" t="str">
        <v>LOOR MIELES TANIA JACQUELINE</v>
      </c>
      <c r="EQ80" t="str">
        <v>LOOR SOLORZANO ROSA MARIA</v>
      </c>
      <c r="ER80" t="str">
        <v>LOPEZ DELGADO RONALD MAURICIO</v>
      </c>
      <c r="ES80" t="str">
        <v>MACIAS VALENCIA DAVID GABRIEL</v>
      </c>
      <c r="ET80" t="str">
        <v>MENDOZA ZAMORA WALTER MANUEL</v>
      </c>
      <c r="EU80" t="str">
        <v>MOLINA CEVALLOS MARIA LORENA</v>
      </c>
      <c r="EV80" t="str">
        <v>MURILLO DELGADO ISAAC GABRIEL</v>
      </c>
      <c r="EW80" t="str">
        <v>ANGULO MURILLO NAVIRA GISSELA</v>
      </c>
      <c r="EX80" t="str">
        <v>OCHOA SOLEDISPA NESTOR IVAN</v>
      </c>
      <c r="EY80" t="str">
        <v>PARRAGA FRANCO SILVANA MARIELA</v>
      </c>
      <c r="EZ80" t="str">
        <v>PINARGOTE VASQUEZ NANCY FABIOLA</v>
      </c>
      <c r="FA80" t="str">
        <v>REYES VELEZ PEDRO ENRIQUE</v>
      </c>
      <c r="FB80" t="str">
        <v>SAN ANDRES HORMAZA DALLAS CECILIA</v>
      </c>
      <c r="FC80" t="str">
        <v>SORNOZA ZAMORA JUAN CARLOS</v>
      </c>
      <c r="FD80" t="str">
        <v>TOMALA PINTO JESUS JACINTO</v>
      </c>
      <c r="FE80" t="str">
        <v>VALLE JARAMILLO SILVIA ARACELY</v>
      </c>
      <c r="FF80" t="str">
        <v>VELÁSQUEZ BRAVO IRMA KATHERINE</v>
      </c>
      <c r="FG80" t="str">
        <v>VELEZ MENDOZA LAYSY VALERIA</v>
      </c>
      <c r="FH80" t="str">
        <v>VINUEZA TELLO SHIRLEY ELIZABETH</v>
      </c>
      <c r="FI80" t="str">
        <v>ZAMBRANO ALCIVAR NILDA ISABEL</v>
      </c>
      <c r="FJ80" t="str">
        <v>ZAMBRANO LOOR RITA MAYDA</v>
      </c>
      <c r="FK80" t="str">
        <v>ZAMBRANO VERA MONICA JANETH</v>
      </c>
      <c r="FL80" t="str">
        <v>VERA DELGADO BRYAN ADRIÁN</v>
      </c>
      <c r="FM80" t="str">
        <v>MORAN GONZALES DAVID RENATO</v>
      </c>
      <c r="FN80">
        <v>0</v>
      </c>
    </row>
    <row r="81" spans="1:170" ht="20.25" customHeight="1">
      <c r="A81" s="4" t="str" cm="1">
        <f t="array" ref="A81">TRANSPOSE(_xlfn.UNIQUE(_xlfn._xlws.FILTER(MAE_ASIGNATURA[ID_NIVEL],MAE_ASIGNATURA[ID_CARRERA]=ASIGNACION!$C81,"No existe información")))</f>
        <v>No existe información</v>
      </c>
      <c r="S81" s="4" t="str" cm="1">
        <f t="array" ref="S81">TRANSPOSE(_xlfn.UNIQUE(_xlfn._xlws.FILTER(MAE_ASIGNATURA[NOM_ASIG],(MAE_ASIGNATURA[ID_NIVEL]=ASIGNACION!$D81)*(MAE_ASIGNATURA[ID_CARRERA]=ASIGNACION!$C81),"No existe información")))</f>
        <v>No existe información</v>
      </c>
      <c r="BD81" s="4" t="str" cm="1">
        <f t="array" ref="BD81">TRANSPOSE(_xlfn.UNIQUE(_xlfn._xlws.FILTER(DET_ASIG[DETALLADO],(DET_ASIG[ID_CARRERA]=ASIGNACION!$C81)*(DET_ASIG[NIVEL]=ASIGNACION!$D81)*(DET_ASIG[ID_ASIG]=ASIGNACION!$G81),"No existe información")))</f>
        <v>No existe información</v>
      </c>
      <c r="BQ81" s="5" t="str" cm="1">
        <f t="array" ref="BQ81">IFERROR(
    TRANSPOSE(
        _xlfn.UNIQUE(
            _xlfn._xlws.FILTER(MAESTRIA_DETALLADO[MAESTRIA],
                ISNUMBER(MATCH(MAESTRIA_DETALLADO[CAMPO_DETALLADO],
                BD81:BP81,0))
            )
        )
    ),IF(BD81="ACTIVIDAD","DOCENCIA",""))</f>
        <v/>
      </c>
      <c r="EA81" s="5" t="str" cm="1">
        <f t="array" ref="EA81:FN81">IF(
    ASIGNACION!I81="SI",
    IFERROR(
        TRANSPOSE(
            _xlfn.UNIQUE(
                _xlfn._xlws.FILTER(EDU_DOCENTE[NOMBRE_DOCENTE],
                    ISNUMBER(MATCH(EDU_DOCENTE[MAESTRIA],
                    BQ81:DY81,0))
                )
            )
        ),
        ""
    ),
    TRANSPOSE(
        _xlfn.UNIQUE(EDU_DOCENTE[NOMBRE_DOCENTE]
        )
    )
)</f>
        <v>ALCIVAR CEDEÑO BEATRIZ ISABEL</v>
      </c>
      <c r="EB81" t="str">
        <v>ALCIVAR VERA GEMA MICHELLE</v>
      </c>
      <c r="EC81" t="str">
        <v>ARAUZ CHAVEZ MARIO ROBERTO</v>
      </c>
      <c r="ED81" t="str">
        <v>BAILON LOURIDO WALTER ALBERTO</v>
      </c>
      <c r="EE81" t="str">
        <v>CALDERERO VILLAGOMEZ ERICK ANTONIO</v>
      </c>
      <c r="EF81" t="str">
        <v>CASTILLO GARCIA PAOLA GERMANIA</v>
      </c>
      <c r="EG81" t="str">
        <v>CEDEÑO CHOEZ PEDRO JAVIER</v>
      </c>
      <c r="EH81" t="str">
        <v>CEVALLOS HOPPE JUAN CARLOS</v>
      </c>
      <c r="EI81" t="str">
        <v>DELGADO CHAVEZ MARIA IRASEMA</v>
      </c>
      <c r="EJ81" t="str">
        <v>DUARTE VALENCIA CRISTHIAN DARIO</v>
      </c>
      <c r="EK81" t="str">
        <v>FORTTY BARBERAN DENNY ALEXANDER</v>
      </c>
      <c r="EL81" t="str">
        <v>GUTIERREZ ZAMBRANO CARMEN EBELINA</v>
      </c>
      <c r="EM81" t="str">
        <v>INTRIAGO MOLINA GEMA VALERIA</v>
      </c>
      <c r="EN81" t="str">
        <v>LINO VELEZ LEONEL LIVINGTON</v>
      </c>
      <c r="EO81" t="str">
        <v>LOOR ALCIVAR MARIA ILIANA</v>
      </c>
      <c r="EP81" t="str">
        <v>LOOR MIELES TANIA JACQUELINE</v>
      </c>
      <c r="EQ81" t="str">
        <v>LOOR SOLORZANO ROSA MARIA</v>
      </c>
      <c r="ER81" t="str">
        <v>LOPEZ DELGADO RONALD MAURICIO</v>
      </c>
      <c r="ES81" t="str">
        <v>MACIAS VALENCIA DAVID GABRIEL</v>
      </c>
      <c r="ET81" t="str">
        <v>MENDOZA ZAMORA WALTER MANUEL</v>
      </c>
      <c r="EU81" t="str">
        <v>MOLINA CEVALLOS MARIA LORENA</v>
      </c>
      <c r="EV81" t="str">
        <v>MURILLO DELGADO ISAAC GABRIEL</v>
      </c>
      <c r="EW81" t="str">
        <v>ANGULO MURILLO NAVIRA GISSELA</v>
      </c>
      <c r="EX81" t="str">
        <v>OCHOA SOLEDISPA NESTOR IVAN</v>
      </c>
      <c r="EY81" t="str">
        <v>PARRAGA FRANCO SILVANA MARIELA</v>
      </c>
      <c r="EZ81" t="str">
        <v>PINARGOTE VASQUEZ NANCY FABIOLA</v>
      </c>
      <c r="FA81" t="str">
        <v>REYES VELEZ PEDRO ENRIQUE</v>
      </c>
      <c r="FB81" t="str">
        <v>SAN ANDRES HORMAZA DALLAS CECILIA</v>
      </c>
      <c r="FC81" t="str">
        <v>SORNOZA ZAMORA JUAN CARLOS</v>
      </c>
      <c r="FD81" t="str">
        <v>TOMALA PINTO JESUS JACINTO</v>
      </c>
      <c r="FE81" t="str">
        <v>VALLE JARAMILLO SILVIA ARACELY</v>
      </c>
      <c r="FF81" t="str">
        <v>VELÁSQUEZ BRAVO IRMA KATHERINE</v>
      </c>
      <c r="FG81" t="str">
        <v>VELEZ MENDOZA LAYSY VALERIA</v>
      </c>
      <c r="FH81" t="str">
        <v>VINUEZA TELLO SHIRLEY ELIZABETH</v>
      </c>
      <c r="FI81" t="str">
        <v>ZAMBRANO ALCIVAR NILDA ISABEL</v>
      </c>
      <c r="FJ81" t="str">
        <v>ZAMBRANO LOOR RITA MAYDA</v>
      </c>
      <c r="FK81" t="str">
        <v>ZAMBRANO VERA MONICA JANETH</v>
      </c>
      <c r="FL81" t="str">
        <v>VERA DELGADO BRYAN ADRIÁN</v>
      </c>
      <c r="FM81" t="str">
        <v>MORAN GONZALES DAVID RENATO</v>
      </c>
      <c r="FN81">
        <v>0</v>
      </c>
    </row>
    <row r="82" spans="1:170" ht="20.25" customHeight="1">
      <c r="A82" s="4" t="str" cm="1">
        <f t="array" ref="A82">TRANSPOSE(_xlfn.UNIQUE(_xlfn._xlws.FILTER(MAE_ASIGNATURA[ID_NIVEL],MAE_ASIGNATURA[ID_CARRERA]=ASIGNACION!$C82,"No existe información")))</f>
        <v>No existe información</v>
      </c>
      <c r="S82" s="4" t="str" cm="1">
        <f t="array" ref="S82">TRANSPOSE(_xlfn.UNIQUE(_xlfn._xlws.FILTER(MAE_ASIGNATURA[NOM_ASIG],(MAE_ASIGNATURA[ID_NIVEL]=ASIGNACION!$D82)*(MAE_ASIGNATURA[ID_CARRERA]=ASIGNACION!$C82),"No existe información")))</f>
        <v>No existe información</v>
      </c>
      <c r="BD82" s="4" t="str" cm="1">
        <f t="array" ref="BD82">TRANSPOSE(_xlfn.UNIQUE(_xlfn._xlws.FILTER(DET_ASIG[DETALLADO],(DET_ASIG[ID_CARRERA]=ASIGNACION!$C82)*(DET_ASIG[NIVEL]=ASIGNACION!$D82)*(DET_ASIG[ID_ASIG]=ASIGNACION!$G82),"No existe información")))</f>
        <v>No existe información</v>
      </c>
      <c r="BQ82" s="5" t="str" cm="1">
        <f t="array" ref="BQ82">IFERROR(
    TRANSPOSE(
        _xlfn.UNIQUE(
            _xlfn._xlws.FILTER(MAESTRIA_DETALLADO[MAESTRIA],
                ISNUMBER(MATCH(MAESTRIA_DETALLADO[CAMPO_DETALLADO],
                BD82:BP82,0))
            )
        )
    ),IF(BD82="ACTIVIDAD","DOCENCIA",""))</f>
        <v/>
      </c>
      <c r="EA82" s="5" t="str" cm="1">
        <f t="array" ref="EA82:FN82">IF(
    ASIGNACION!I82="SI",
    IFERROR(
        TRANSPOSE(
            _xlfn.UNIQUE(
                _xlfn._xlws.FILTER(EDU_DOCENTE[NOMBRE_DOCENTE],
                    ISNUMBER(MATCH(EDU_DOCENTE[MAESTRIA],
                    BQ82:DY82,0))
                )
            )
        ),
        ""
    ),
    TRANSPOSE(
        _xlfn.UNIQUE(EDU_DOCENTE[NOMBRE_DOCENTE]
        )
    )
)</f>
        <v>ALCIVAR CEDEÑO BEATRIZ ISABEL</v>
      </c>
      <c r="EB82" t="str">
        <v>ALCIVAR VERA GEMA MICHELLE</v>
      </c>
      <c r="EC82" t="str">
        <v>ARAUZ CHAVEZ MARIO ROBERTO</v>
      </c>
      <c r="ED82" t="str">
        <v>BAILON LOURIDO WALTER ALBERTO</v>
      </c>
      <c r="EE82" t="str">
        <v>CALDERERO VILLAGOMEZ ERICK ANTONIO</v>
      </c>
      <c r="EF82" t="str">
        <v>CASTILLO GARCIA PAOLA GERMANIA</v>
      </c>
      <c r="EG82" t="str">
        <v>CEDEÑO CHOEZ PEDRO JAVIER</v>
      </c>
      <c r="EH82" t="str">
        <v>CEVALLOS HOPPE JUAN CARLOS</v>
      </c>
      <c r="EI82" t="str">
        <v>DELGADO CHAVEZ MARIA IRASEMA</v>
      </c>
      <c r="EJ82" t="str">
        <v>DUARTE VALENCIA CRISTHIAN DARIO</v>
      </c>
      <c r="EK82" t="str">
        <v>FORTTY BARBERAN DENNY ALEXANDER</v>
      </c>
      <c r="EL82" t="str">
        <v>GUTIERREZ ZAMBRANO CARMEN EBELINA</v>
      </c>
      <c r="EM82" t="str">
        <v>INTRIAGO MOLINA GEMA VALERIA</v>
      </c>
      <c r="EN82" t="str">
        <v>LINO VELEZ LEONEL LIVINGTON</v>
      </c>
      <c r="EO82" t="str">
        <v>LOOR ALCIVAR MARIA ILIANA</v>
      </c>
      <c r="EP82" t="str">
        <v>LOOR MIELES TANIA JACQUELINE</v>
      </c>
      <c r="EQ82" t="str">
        <v>LOOR SOLORZANO ROSA MARIA</v>
      </c>
      <c r="ER82" t="str">
        <v>LOPEZ DELGADO RONALD MAURICIO</v>
      </c>
      <c r="ES82" t="str">
        <v>MACIAS VALENCIA DAVID GABRIEL</v>
      </c>
      <c r="ET82" t="str">
        <v>MENDOZA ZAMORA WALTER MANUEL</v>
      </c>
      <c r="EU82" t="str">
        <v>MOLINA CEVALLOS MARIA LORENA</v>
      </c>
      <c r="EV82" t="str">
        <v>MURILLO DELGADO ISAAC GABRIEL</v>
      </c>
      <c r="EW82" t="str">
        <v>ANGULO MURILLO NAVIRA GISSELA</v>
      </c>
      <c r="EX82" t="str">
        <v>OCHOA SOLEDISPA NESTOR IVAN</v>
      </c>
      <c r="EY82" t="str">
        <v>PARRAGA FRANCO SILVANA MARIELA</v>
      </c>
      <c r="EZ82" t="str">
        <v>PINARGOTE VASQUEZ NANCY FABIOLA</v>
      </c>
      <c r="FA82" t="str">
        <v>REYES VELEZ PEDRO ENRIQUE</v>
      </c>
      <c r="FB82" t="str">
        <v>SAN ANDRES HORMAZA DALLAS CECILIA</v>
      </c>
      <c r="FC82" t="str">
        <v>SORNOZA ZAMORA JUAN CARLOS</v>
      </c>
      <c r="FD82" t="str">
        <v>TOMALA PINTO JESUS JACINTO</v>
      </c>
      <c r="FE82" t="str">
        <v>VALLE JARAMILLO SILVIA ARACELY</v>
      </c>
      <c r="FF82" t="str">
        <v>VELÁSQUEZ BRAVO IRMA KATHERINE</v>
      </c>
      <c r="FG82" t="str">
        <v>VELEZ MENDOZA LAYSY VALERIA</v>
      </c>
      <c r="FH82" t="str">
        <v>VINUEZA TELLO SHIRLEY ELIZABETH</v>
      </c>
      <c r="FI82" t="str">
        <v>ZAMBRANO ALCIVAR NILDA ISABEL</v>
      </c>
      <c r="FJ82" t="str">
        <v>ZAMBRANO LOOR RITA MAYDA</v>
      </c>
      <c r="FK82" t="str">
        <v>ZAMBRANO VERA MONICA JANETH</v>
      </c>
      <c r="FL82" t="str">
        <v>VERA DELGADO BRYAN ADRIÁN</v>
      </c>
      <c r="FM82" t="str">
        <v>MORAN GONZALES DAVID RENATO</v>
      </c>
      <c r="FN82">
        <v>0</v>
      </c>
    </row>
    <row r="83" spans="1:170" ht="20.25" customHeight="1">
      <c r="A83" s="4" t="str" cm="1">
        <f t="array" ref="A83">TRANSPOSE(_xlfn.UNIQUE(_xlfn._xlws.FILTER(MAE_ASIGNATURA[ID_NIVEL],MAE_ASIGNATURA[ID_CARRERA]=ASIGNACION!$C83,"No existe información")))</f>
        <v>No existe información</v>
      </c>
      <c r="S83" s="4" t="str" cm="1">
        <f t="array" ref="S83">TRANSPOSE(_xlfn.UNIQUE(_xlfn._xlws.FILTER(MAE_ASIGNATURA[NOM_ASIG],(MAE_ASIGNATURA[ID_NIVEL]=ASIGNACION!$D83)*(MAE_ASIGNATURA[ID_CARRERA]=ASIGNACION!$C83),"No existe información")))</f>
        <v>No existe información</v>
      </c>
      <c r="BD83" s="4" t="str" cm="1">
        <f t="array" ref="BD83">TRANSPOSE(_xlfn.UNIQUE(_xlfn._xlws.FILTER(DET_ASIG[DETALLADO],(DET_ASIG[ID_CARRERA]=ASIGNACION!$C83)*(DET_ASIG[NIVEL]=ASIGNACION!$D83)*(DET_ASIG[ID_ASIG]=ASIGNACION!$G83),"No existe información")))</f>
        <v>No existe información</v>
      </c>
      <c r="BQ83" s="5" t="str" cm="1">
        <f t="array" ref="BQ83">IFERROR(
    TRANSPOSE(
        _xlfn.UNIQUE(
            _xlfn._xlws.FILTER(MAESTRIA_DETALLADO[MAESTRIA],
                ISNUMBER(MATCH(MAESTRIA_DETALLADO[CAMPO_DETALLADO],
                BD83:BP83,0))
            )
        )
    ),IF(BD83="ACTIVIDAD","DOCENCIA",""))</f>
        <v/>
      </c>
      <c r="EA83" s="5" t="str" cm="1">
        <f t="array" ref="EA83:FN83">IF(
    ASIGNACION!I83="SI",
    IFERROR(
        TRANSPOSE(
            _xlfn.UNIQUE(
                _xlfn._xlws.FILTER(EDU_DOCENTE[NOMBRE_DOCENTE],
                    ISNUMBER(MATCH(EDU_DOCENTE[MAESTRIA],
                    BQ83:DY83,0))
                )
            )
        ),
        ""
    ),
    TRANSPOSE(
        _xlfn.UNIQUE(EDU_DOCENTE[NOMBRE_DOCENTE]
        )
    )
)</f>
        <v>ALCIVAR CEDEÑO BEATRIZ ISABEL</v>
      </c>
      <c r="EB83" t="str">
        <v>ALCIVAR VERA GEMA MICHELLE</v>
      </c>
      <c r="EC83" t="str">
        <v>ARAUZ CHAVEZ MARIO ROBERTO</v>
      </c>
      <c r="ED83" t="str">
        <v>BAILON LOURIDO WALTER ALBERTO</v>
      </c>
      <c r="EE83" t="str">
        <v>CALDERERO VILLAGOMEZ ERICK ANTONIO</v>
      </c>
      <c r="EF83" t="str">
        <v>CASTILLO GARCIA PAOLA GERMANIA</v>
      </c>
      <c r="EG83" t="str">
        <v>CEDEÑO CHOEZ PEDRO JAVIER</v>
      </c>
      <c r="EH83" t="str">
        <v>CEVALLOS HOPPE JUAN CARLOS</v>
      </c>
      <c r="EI83" t="str">
        <v>DELGADO CHAVEZ MARIA IRASEMA</v>
      </c>
      <c r="EJ83" t="str">
        <v>DUARTE VALENCIA CRISTHIAN DARIO</v>
      </c>
      <c r="EK83" t="str">
        <v>FORTTY BARBERAN DENNY ALEXANDER</v>
      </c>
      <c r="EL83" t="str">
        <v>GUTIERREZ ZAMBRANO CARMEN EBELINA</v>
      </c>
      <c r="EM83" t="str">
        <v>INTRIAGO MOLINA GEMA VALERIA</v>
      </c>
      <c r="EN83" t="str">
        <v>LINO VELEZ LEONEL LIVINGTON</v>
      </c>
      <c r="EO83" t="str">
        <v>LOOR ALCIVAR MARIA ILIANA</v>
      </c>
      <c r="EP83" t="str">
        <v>LOOR MIELES TANIA JACQUELINE</v>
      </c>
      <c r="EQ83" t="str">
        <v>LOOR SOLORZANO ROSA MARIA</v>
      </c>
      <c r="ER83" t="str">
        <v>LOPEZ DELGADO RONALD MAURICIO</v>
      </c>
      <c r="ES83" t="str">
        <v>MACIAS VALENCIA DAVID GABRIEL</v>
      </c>
      <c r="ET83" t="str">
        <v>MENDOZA ZAMORA WALTER MANUEL</v>
      </c>
      <c r="EU83" t="str">
        <v>MOLINA CEVALLOS MARIA LORENA</v>
      </c>
      <c r="EV83" t="str">
        <v>MURILLO DELGADO ISAAC GABRIEL</v>
      </c>
      <c r="EW83" t="str">
        <v>ANGULO MURILLO NAVIRA GISSELA</v>
      </c>
      <c r="EX83" t="str">
        <v>OCHOA SOLEDISPA NESTOR IVAN</v>
      </c>
      <c r="EY83" t="str">
        <v>PARRAGA FRANCO SILVANA MARIELA</v>
      </c>
      <c r="EZ83" t="str">
        <v>PINARGOTE VASQUEZ NANCY FABIOLA</v>
      </c>
      <c r="FA83" t="str">
        <v>REYES VELEZ PEDRO ENRIQUE</v>
      </c>
      <c r="FB83" t="str">
        <v>SAN ANDRES HORMAZA DALLAS CECILIA</v>
      </c>
      <c r="FC83" t="str">
        <v>SORNOZA ZAMORA JUAN CARLOS</v>
      </c>
      <c r="FD83" t="str">
        <v>TOMALA PINTO JESUS JACINTO</v>
      </c>
      <c r="FE83" t="str">
        <v>VALLE JARAMILLO SILVIA ARACELY</v>
      </c>
      <c r="FF83" t="str">
        <v>VELÁSQUEZ BRAVO IRMA KATHERINE</v>
      </c>
      <c r="FG83" t="str">
        <v>VELEZ MENDOZA LAYSY VALERIA</v>
      </c>
      <c r="FH83" t="str">
        <v>VINUEZA TELLO SHIRLEY ELIZABETH</v>
      </c>
      <c r="FI83" t="str">
        <v>ZAMBRANO ALCIVAR NILDA ISABEL</v>
      </c>
      <c r="FJ83" t="str">
        <v>ZAMBRANO LOOR RITA MAYDA</v>
      </c>
      <c r="FK83" t="str">
        <v>ZAMBRANO VERA MONICA JANETH</v>
      </c>
      <c r="FL83" t="str">
        <v>VERA DELGADO BRYAN ADRIÁN</v>
      </c>
      <c r="FM83" t="str">
        <v>MORAN GONZALES DAVID RENATO</v>
      </c>
      <c r="FN83">
        <v>0</v>
      </c>
    </row>
    <row r="84" spans="1:170" ht="20.25" customHeight="1">
      <c r="A84" s="4" t="str" cm="1">
        <f t="array" ref="A84">TRANSPOSE(_xlfn.UNIQUE(_xlfn._xlws.FILTER(MAE_ASIGNATURA[ID_NIVEL],MAE_ASIGNATURA[ID_CARRERA]=ASIGNACION!$C84,"No existe información")))</f>
        <v>No existe información</v>
      </c>
      <c r="S84" s="4" t="str" cm="1">
        <f t="array" ref="S84">TRANSPOSE(_xlfn.UNIQUE(_xlfn._xlws.FILTER(MAE_ASIGNATURA[NOM_ASIG],(MAE_ASIGNATURA[ID_NIVEL]=ASIGNACION!$D84)*(MAE_ASIGNATURA[ID_CARRERA]=ASIGNACION!$C84),"No existe información")))</f>
        <v>No existe información</v>
      </c>
      <c r="BD84" s="4" t="str" cm="1">
        <f t="array" ref="BD84">TRANSPOSE(_xlfn.UNIQUE(_xlfn._xlws.FILTER(DET_ASIG[DETALLADO],(DET_ASIG[ID_CARRERA]=ASIGNACION!$C84)*(DET_ASIG[NIVEL]=ASIGNACION!$D84)*(DET_ASIG[ID_ASIG]=ASIGNACION!$G84),"No existe información")))</f>
        <v>No existe información</v>
      </c>
      <c r="BQ84" s="5" t="str" cm="1">
        <f t="array" ref="BQ84">IFERROR(
    TRANSPOSE(
        _xlfn.UNIQUE(
            _xlfn._xlws.FILTER(MAESTRIA_DETALLADO[MAESTRIA],
                ISNUMBER(MATCH(MAESTRIA_DETALLADO[CAMPO_DETALLADO],
                BD84:BP84,0))
            )
        )
    ),IF(BD84="ACTIVIDAD","DOCENCIA",""))</f>
        <v/>
      </c>
      <c r="EA84" s="5" t="str" cm="1">
        <f t="array" ref="EA84:FN84">IF(
    ASIGNACION!I84="SI",
    IFERROR(
        TRANSPOSE(
            _xlfn.UNIQUE(
                _xlfn._xlws.FILTER(EDU_DOCENTE[NOMBRE_DOCENTE],
                    ISNUMBER(MATCH(EDU_DOCENTE[MAESTRIA],
                    BQ84:DY84,0))
                )
            )
        ),
        ""
    ),
    TRANSPOSE(
        _xlfn.UNIQUE(EDU_DOCENTE[NOMBRE_DOCENTE]
        )
    )
)</f>
        <v>ALCIVAR CEDEÑO BEATRIZ ISABEL</v>
      </c>
      <c r="EB84" t="str">
        <v>ALCIVAR VERA GEMA MICHELLE</v>
      </c>
      <c r="EC84" t="str">
        <v>ARAUZ CHAVEZ MARIO ROBERTO</v>
      </c>
      <c r="ED84" t="str">
        <v>BAILON LOURIDO WALTER ALBERTO</v>
      </c>
      <c r="EE84" t="str">
        <v>CALDERERO VILLAGOMEZ ERICK ANTONIO</v>
      </c>
      <c r="EF84" t="str">
        <v>CASTILLO GARCIA PAOLA GERMANIA</v>
      </c>
      <c r="EG84" t="str">
        <v>CEDEÑO CHOEZ PEDRO JAVIER</v>
      </c>
      <c r="EH84" t="str">
        <v>CEVALLOS HOPPE JUAN CARLOS</v>
      </c>
      <c r="EI84" t="str">
        <v>DELGADO CHAVEZ MARIA IRASEMA</v>
      </c>
      <c r="EJ84" t="str">
        <v>DUARTE VALENCIA CRISTHIAN DARIO</v>
      </c>
      <c r="EK84" t="str">
        <v>FORTTY BARBERAN DENNY ALEXANDER</v>
      </c>
      <c r="EL84" t="str">
        <v>GUTIERREZ ZAMBRANO CARMEN EBELINA</v>
      </c>
      <c r="EM84" t="str">
        <v>INTRIAGO MOLINA GEMA VALERIA</v>
      </c>
      <c r="EN84" t="str">
        <v>LINO VELEZ LEONEL LIVINGTON</v>
      </c>
      <c r="EO84" t="str">
        <v>LOOR ALCIVAR MARIA ILIANA</v>
      </c>
      <c r="EP84" t="str">
        <v>LOOR MIELES TANIA JACQUELINE</v>
      </c>
      <c r="EQ84" t="str">
        <v>LOOR SOLORZANO ROSA MARIA</v>
      </c>
      <c r="ER84" t="str">
        <v>LOPEZ DELGADO RONALD MAURICIO</v>
      </c>
      <c r="ES84" t="str">
        <v>MACIAS VALENCIA DAVID GABRIEL</v>
      </c>
      <c r="ET84" t="str">
        <v>MENDOZA ZAMORA WALTER MANUEL</v>
      </c>
      <c r="EU84" t="str">
        <v>MOLINA CEVALLOS MARIA LORENA</v>
      </c>
      <c r="EV84" t="str">
        <v>MURILLO DELGADO ISAAC GABRIEL</v>
      </c>
      <c r="EW84" t="str">
        <v>ANGULO MURILLO NAVIRA GISSELA</v>
      </c>
      <c r="EX84" t="str">
        <v>OCHOA SOLEDISPA NESTOR IVAN</v>
      </c>
      <c r="EY84" t="str">
        <v>PARRAGA FRANCO SILVANA MARIELA</v>
      </c>
      <c r="EZ84" t="str">
        <v>PINARGOTE VASQUEZ NANCY FABIOLA</v>
      </c>
      <c r="FA84" t="str">
        <v>REYES VELEZ PEDRO ENRIQUE</v>
      </c>
      <c r="FB84" t="str">
        <v>SAN ANDRES HORMAZA DALLAS CECILIA</v>
      </c>
      <c r="FC84" t="str">
        <v>SORNOZA ZAMORA JUAN CARLOS</v>
      </c>
      <c r="FD84" t="str">
        <v>TOMALA PINTO JESUS JACINTO</v>
      </c>
      <c r="FE84" t="str">
        <v>VALLE JARAMILLO SILVIA ARACELY</v>
      </c>
      <c r="FF84" t="str">
        <v>VELÁSQUEZ BRAVO IRMA KATHERINE</v>
      </c>
      <c r="FG84" t="str">
        <v>VELEZ MENDOZA LAYSY VALERIA</v>
      </c>
      <c r="FH84" t="str">
        <v>VINUEZA TELLO SHIRLEY ELIZABETH</v>
      </c>
      <c r="FI84" t="str">
        <v>ZAMBRANO ALCIVAR NILDA ISABEL</v>
      </c>
      <c r="FJ84" t="str">
        <v>ZAMBRANO LOOR RITA MAYDA</v>
      </c>
      <c r="FK84" t="str">
        <v>ZAMBRANO VERA MONICA JANETH</v>
      </c>
      <c r="FL84" t="str">
        <v>VERA DELGADO BRYAN ADRIÁN</v>
      </c>
      <c r="FM84" t="str">
        <v>MORAN GONZALES DAVID RENATO</v>
      </c>
      <c r="FN84">
        <v>0</v>
      </c>
    </row>
    <row r="85" spans="1:170" ht="20.25" customHeight="1">
      <c r="A85" s="4" t="str" cm="1">
        <f t="array" ref="A85">TRANSPOSE(_xlfn.UNIQUE(_xlfn._xlws.FILTER(MAE_ASIGNATURA[ID_NIVEL],MAE_ASIGNATURA[ID_CARRERA]=ASIGNACION!$C85,"No existe información")))</f>
        <v>No existe información</v>
      </c>
      <c r="S85" s="4" t="str" cm="1">
        <f t="array" ref="S85">TRANSPOSE(_xlfn.UNIQUE(_xlfn._xlws.FILTER(MAE_ASIGNATURA[NOM_ASIG],(MAE_ASIGNATURA[ID_NIVEL]=ASIGNACION!$D85)*(MAE_ASIGNATURA[ID_CARRERA]=ASIGNACION!$C85),"No existe información")))</f>
        <v>No existe información</v>
      </c>
      <c r="BD85" s="4" t="str" cm="1">
        <f t="array" ref="BD85">TRANSPOSE(_xlfn.UNIQUE(_xlfn._xlws.FILTER(DET_ASIG[DETALLADO],(DET_ASIG[ID_CARRERA]=ASIGNACION!$C85)*(DET_ASIG[NIVEL]=ASIGNACION!$D85)*(DET_ASIG[ID_ASIG]=ASIGNACION!$G85),"No existe información")))</f>
        <v>No existe información</v>
      </c>
      <c r="BQ85" s="5" t="str" cm="1">
        <f t="array" ref="BQ85">IFERROR(
    TRANSPOSE(
        _xlfn.UNIQUE(
            _xlfn._xlws.FILTER(MAESTRIA_DETALLADO[MAESTRIA],
                ISNUMBER(MATCH(MAESTRIA_DETALLADO[CAMPO_DETALLADO],
                BD85:BP85,0))
            )
        )
    ),IF(BD85="ACTIVIDAD","DOCENCIA",""))</f>
        <v/>
      </c>
      <c r="EA85" s="5" t="str" cm="1">
        <f t="array" ref="EA85:FN85">IF(
    ASIGNACION!I85="SI",
    IFERROR(
        TRANSPOSE(
            _xlfn.UNIQUE(
                _xlfn._xlws.FILTER(EDU_DOCENTE[NOMBRE_DOCENTE],
                    ISNUMBER(MATCH(EDU_DOCENTE[MAESTRIA],
                    BQ85:DY85,0))
                )
            )
        ),
        ""
    ),
    TRANSPOSE(
        _xlfn.UNIQUE(EDU_DOCENTE[NOMBRE_DOCENTE]
        )
    )
)</f>
        <v>ALCIVAR CEDEÑO BEATRIZ ISABEL</v>
      </c>
      <c r="EB85" t="str">
        <v>ALCIVAR VERA GEMA MICHELLE</v>
      </c>
      <c r="EC85" t="str">
        <v>ARAUZ CHAVEZ MARIO ROBERTO</v>
      </c>
      <c r="ED85" t="str">
        <v>BAILON LOURIDO WALTER ALBERTO</v>
      </c>
      <c r="EE85" t="str">
        <v>CALDERERO VILLAGOMEZ ERICK ANTONIO</v>
      </c>
      <c r="EF85" t="str">
        <v>CASTILLO GARCIA PAOLA GERMANIA</v>
      </c>
      <c r="EG85" t="str">
        <v>CEDEÑO CHOEZ PEDRO JAVIER</v>
      </c>
      <c r="EH85" t="str">
        <v>CEVALLOS HOPPE JUAN CARLOS</v>
      </c>
      <c r="EI85" t="str">
        <v>DELGADO CHAVEZ MARIA IRASEMA</v>
      </c>
      <c r="EJ85" t="str">
        <v>DUARTE VALENCIA CRISTHIAN DARIO</v>
      </c>
      <c r="EK85" t="str">
        <v>FORTTY BARBERAN DENNY ALEXANDER</v>
      </c>
      <c r="EL85" t="str">
        <v>GUTIERREZ ZAMBRANO CARMEN EBELINA</v>
      </c>
      <c r="EM85" t="str">
        <v>INTRIAGO MOLINA GEMA VALERIA</v>
      </c>
      <c r="EN85" t="str">
        <v>LINO VELEZ LEONEL LIVINGTON</v>
      </c>
      <c r="EO85" t="str">
        <v>LOOR ALCIVAR MARIA ILIANA</v>
      </c>
      <c r="EP85" t="str">
        <v>LOOR MIELES TANIA JACQUELINE</v>
      </c>
      <c r="EQ85" t="str">
        <v>LOOR SOLORZANO ROSA MARIA</v>
      </c>
      <c r="ER85" t="str">
        <v>LOPEZ DELGADO RONALD MAURICIO</v>
      </c>
      <c r="ES85" t="str">
        <v>MACIAS VALENCIA DAVID GABRIEL</v>
      </c>
      <c r="ET85" t="str">
        <v>MENDOZA ZAMORA WALTER MANUEL</v>
      </c>
      <c r="EU85" t="str">
        <v>MOLINA CEVALLOS MARIA LORENA</v>
      </c>
      <c r="EV85" t="str">
        <v>MURILLO DELGADO ISAAC GABRIEL</v>
      </c>
      <c r="EW85" t="str">
        <v>ANGULO MURILLO NAVIRA GISSELA</v>
      </c>
      <c r="EX85" t="str">
        <v>OCHOA SOLEDISPA NESTOR IVAN</v>
      </c>
      <c r="EY85" t="str">
        <v>PARRAGA FRANCO SILVANA MARIELA</v>
      </c>
      <c r="EZ85" t="str">
        <v>PINARGOTE VASQUEZ NANCY FABIOLA</v>
      </c>
      <c r="FA85" t="str">
        <v>REYES VELEZ PEDRO ENRIQUE</v>
      </c>
      <c r="FB85" t="str">
        <v>SAN ANDRES HORMAZA DALLAS CECILIA</v>
      </c>
      <c r="FC85" t="str">
        <v>SORNOZA ZAMORA JUAN CARLOS</v>
      </c>
      <c r="FD85" t="str">
        <v>TOMALA PINTO JESUS JACINTO</v>
      </c>
      <c r="FE85" t="str">
        <v>VALLE JARAMILLO SILVIA ARACELY</v>
      </c>
      <c r="FF85" t="str">
        <v>VELÁSQUEZ BRAVO IRMA KATHERINE</v>
      </c>
      <c r="FG85" t="str">
        <v>VELEZ MENDOZA LAYSY VALERIA</v>
      </c>
      <c r="FH85" t="str">
        <v>VINUEZA TELLO SHIRLEY ELIZABETH</v>
      </c>
      <c r="FI85" t="str">
        <v>ZAMBRANO ALCIVAR NILDA ISABEL</v>
      </c>
      <c r="FJ85" t="str">
        <v>ZAMBRANO LOOR RITA MAYDA</v>
      </c>
      <c r="FK85" t="str">
        <v>ZAMBRANO VERA MONICA JANETH</v>
      </c>
      <c r="FL85" t="str">
        <v>VERA DELGADO BRYAN ADRIÁN</v>
      </c>
      <c r="FM85" t="str">
        <v>MORAN GONZALES DAVID RENATO</v>
      </c>
      <c r="FN85">
        <v>0</v>
      </c>
    </row>
    <row r="86" spans="1:170" ht="20.25" customHeight="1">
      <c r="A86" s="4" t="str" cm="1">
        <f t="array" ref="A86">TRANSPOSE(_xlfn.UNIQUE(_xlfn._xlws.FILTER(MAE_ASIGNATURA[ID_NIVEL],MAE_ASIGNATURA[ID_CARRERA]=ASIGNACION!$C86,"No existe información")))</f>
        <v>No existe información</v>
      </c>
      <c r="S86" s="4" t="str" cm="1">
        <f t="array" ref="S86">TRANSPOSE(_xlfn.UNIQUE(_xlfn._xlws.FILTER(MAE_ASIGNATURA[NOM_ASIG],(MAE_ASIGNATURA[ID_NIVEL]=ASIGNACION!$D86)*(MAE_ASIGNATURA[ID_CARRERA]=ASIGNACION!$C86),"No existe información")))</f>
        <v>No existe información</v>
      </c>
      <c r="BD86" s="4" t="str" cm="1">
        <f t="array" ref="BD86">TRANSPOSE(_xlfn.UNIQUE(_xlfn._xlws.FILTER(DET_ASIG[DETALLADO],(DET_ASIG[ID_CARRERA]=ASIGNACION!$C86)*(DET_ASIG[NIVEL]=ASIGNACION!$D86)*(DET_ASIG[ID_ASIG]=ASIGNACION!$G86),"No existe información")))</f>
        <v>No existe información</v>
      </c>
      <c r="BQ86" s="5" t="str" cm="1">
        <f t="array" ref="BQ86">IFERROR(
    TRANSPOSE(
        _xlfn.UNIQUE(
            _xlfn._xlws.FILTER(MAESTRIA_DETALLADO[MAESTRIA],
                ISNUMBER(MATCH(MAESTRIA_DETALLADO[CAMPO_DETALLADO],
                BD86:BP86,0))
            )
        )
    ),IF(BD86="ACTIVIDAD","DOCENCIA",""))</f>
        <v/>
      </c>
      <c r="EA86" s="5" t="str" cm="1">
        <f t="array" ref="EA86:FN86">IF(
    ASIGNACION!I86="SI",
    IFERROR(
        TRANSPOSE(
            _xlfn.UNIQUE(
                _xlfn._xlws.FILTER(EDU_DOCENTE[NOMBRE_DOCENTE],
                    ISNUMBER(MATCH(EDU_DOCENTE[MAESTRIA],
                    BQ86:DY86,0))
                )
            )
        ),
        ""
    ),
    TRANSPOSE(
        _xlfn.UNIQUE(EDU_DOCENTE[NOMBRE_DOCENTE]
        )
    )
)</f>
        <v>ALCIVAR CEDEÑO BEATRIZ ISABEL</v>
      </c>
      <c r="EB86" t="str">
        <v>ALCIVAR VERA GEMA MICHELLE</v>
      </c>
      <c r="EC86" t="str">
        <v>ARAUZ CHAVEZ MARIO ROBERTO</v>
      </c>
      <c r="ED86" t="str">
        <v>BAILON LOURIDO WALTER ALBERTO</v>
      </c>
      <c r="EE86" t="str">
        <v>CALDERERO VILLAGOMEZ ERICK ANTONIO</v>
      </c>
      <c r="EF86" t="str">
        <v>CASTILLO GARCIA PAOLA GERMANIA</v>
      </c>
      <c r="EG86" t="str">
        <v>CEDEÑO CHOEZ PEDRO JAVIER</v>
      </c>
      <c r="EH86" t="str">
        <v>CEVALLOS HOPPE JUAN CARLOS</v>
      </c>
      <c r="EI86" t="str">
        <v>DELGADO CHAVEZ MARIA IRASEMA</v>
      </c>
      <c r="EJ86" t="str">
        <v>DUARTE VALENCIA CRISTHIAN DARIO</v>
      </c>
      <c r="EK86" t="str">
        <v>FORTTY BARBERAN DENNY ALEXANDER</v>
      </c>
      <c r="EL86" t="str">
        <v>GUTIERREZ ZAMBRANO CARMEN EBELINA</v>
      </c>
      <c r="EM86" t="str">
        <v>INTRIAGO MOLINA GEMA VALERIA</v>
      </c>
      <c r="EN86" t="str">
        <v>LINO VELEZ LEONEL LIVINGTON</v>
      </c>
      <c r="EO86" t="str">
        <v>LOOR ALCIVAR MARIA ILIANA</v>
      </c>
      <c r="EP86" t="str">
        <v>LOOR MIELES TANIA JACQUELINE</v>
      </c>
      <c r="EQ86" t="str">
        <v>LOOR SOLORZANO ROSA MARIA</v>
      </c>
      <c r="ER86" t="str">
        <v>LOPEZ DELGADO RONALD MAURICIO</v>
      </c>
      <c r="ES86" t="str">
        <v>MACIAS VALENCIA DAVID GABRIEL</v>
      </c>
      <c r="ET86" t="str">
        <v>MENDOZA ZAMORA WALTER MANUEL</v>
      </c>
      <c r="EU86" t="str">
        <v>MOLINA CEVALLOS MARIA LORENA</v>
      </c>
      <c r="EV86" t="str">
        <v>MURILLO DELGADO ISAAC GABRIEL</v>
      </c>
      <c r="EW86" t="str">
        <v>ANGULO MURILLO NAVIRA GISSELA</v>
      </c>
      <c r="EX86" t="str">
        <v>OCHOA SOLEDISPA NESTOR IVAN</v>
      </c>
      <c r="EY86" t="str">
        <v>PARRAGA FRANCO SILVANA MARIELA</v>
      </c>
      <c r="EZ86" t="str">
        <v>PINARGOTE VASQUEZ NANCY FABIOLA</v>
      </c>
      <c r="FA86" t="str">
        <v>REYES VELEZ PEDRO ENRIQUE</v>
      </c>
      <c r="FB86" t="str">
        <v>SAN ANDRES HORMAZA DALLAS CECILIA</v>
      </c>
      <c r="FC86" t="str">
        <v>SORNOZA ZAMORA JUAN CARLOS</v>
      </c>
      <c r="FD86" t="str">
        <v>TOMALA PINTO JESUS JACINTO</v>
      </c>
      <c r="FE86" t="str">
        <v>VALLE JARAMILLO SILVIA ARACELY</v>
      </c>
      <c r="FF86" t="str">
        <v>VELÁSQUEZ BRAVO IRMA KATHERINE</v>
      </c>
      <c r="FG86" t="str">
        <v>VELEZ MENDOZA LAYSY VALERIA</v>
      </c>
      <c r="FH86" t="str">
        <v>VINUEZA TELLO SHIRLEY ELIZABETH</v>
      </c>
      <c r="FI86" t="str">
        <v>ZAMBRANO ALCIVAR NILDA ISABEL</v>
      </c>
      <c r="FJ86" t="str">
        <v>ZAMBRANO LOOR RITA MAYDA</v>
      </c>
      <c r="FK86" t="str">
        <v>ZAMBRANO VERA MONICA JANETH</v>
      </c>
      <c r="FL86" t="str">
        <v>VERA DELGADO BRYAN ADRIÁN</v>
      </c>
      <c r="FM86" t="str">
        <v>MORAN GONZALES DAVID RENATO</v>
      </c>
      <c r="FN86">
        <v>0</v>
      </c>
    </row>
    <row r="87" spans="1:170" ht="20.25" customHeight="1">
      <c r="A87" s="4" t="str" cm="1">
        <f t="array" ref="A87">TRANSPOSE(_xlfn.UNIQUE(_xlfn._xlws.FILTER(MAE_ASIGNATURA[ID_NIVEL],MAE_ASIGNATURA[ID_CARRERA]=ASIGNACION!$C87,"No existe información")))</f>
        <v>No existe información</v>
      </c>
      <c r="S87" s="4" t="str" cm="1">
        <f t="array" ref="S87">TRANSPOSE(_xlfn.UNIQUE(_xlfn._xlws.FILTER(MAE_ASIGNATURA[NOM_ASIG],(MAE_ASIGNATURA[ID_NIVEL]=ASIGNACION!$D87)*(MAE_ASIGNATURA[ID_CARRERA]=ASIGNACION!$C87),"No existe información")))</f>
        <v>No existe información</v>
      </c>
      <c r="BD87" s="4" t="str" cm="1">
        <f t="array" ref="BD87">TRANSPOSE(_xlfn.UNIQUE(_xlfn._xlws.FILTER(DET_ASIG[DETALLADO],(DET_ASIG[ID_CARRERA]=ASIGNACION!$C87)*(DET_ASIG[NIVEL]=ASIGNACION!$D87)*(DET_ASIG[ID_ASIG]=ASIGNACION!$G87),"No existe información")))</f>
        <v>No existe información</v>
      </c>
      <c r="BQ87" s="5" t="str" cm="1">
        <f t="array" ref="BQ87">IFERROR(
    TRANSPOSE(
        _xlfn.UNIQUE(
            _xlfn._xlws.FILTER(MAESTRIA_DETALLADO[MAESTRIA],
                ISNUMBER(MATCH(MAESTRIA_DETALLADO[CAMPO_DETALLADO],
                BD87:BP87,0))
            )
        )
    ),IF(BD87="ACTIVIDAD","DOCENCIA",""))</f>
        <v/>
      </c>
      <c r="EA87" s="5" t="str" cm="1">
        <f t="array" ref="EA87:FN87">IF(
    ASIGNACION!I87="SI",
    IFERROR(
        TRANSPOSE(
            _xlfn.UNIQUE(
                _xlfn._xlws.FILTER(EDU_DOCENTE[NOMBRE_DOCENTE],
                    ISNUMBER(MATCH(EDU_DOCENTE[MAESTRIA],
                    BQ87:DY87,0))
                )
            )
        ),
        ""
    ),
    TRANSPOSE(
        _xlfn.UNIQUE(EDU_DOCENTE[NOMBRE_DOCENTE]
        )
    )
)</f>
        <v>ALCIVAR CEDEÑO BEATRIZ ISABEL</v>
      </c>
      <c r="EB87" t="str">
        <v>ALCIVAR VERA GEMA MICHELLE</v>
      </c>
      <c r="EC87" t="str">
        <v>ARAUZ CHAVEZ MARIO ROBERTO</v>
      </c>
      <c r="ED87" t="str">
        <v>BAILON LOURIDO WALTER ALBERTO</v>
      </c>
      <c r="EE87" t="str">
        <v>CALDERERO VILLAGOMEZ ERICK ANTONIO</v>
      </c>
      <c r="EF87" t="str">
        <v>CASTILLO GARCIA PAOLA GERMANIA</v>
      </c>
      <c r="EG87" t="str">
        <v>CEDEÑO CHOEZ PEDRO JAVIER</v>
      </c>
      <c r="EH87" t="str">
        <v>CEVALLOS HOPPE JUAN CARLOS</v>
      </c>
      <c r="EI87" t="str">
        <v>DELGADO CHAVEZ MARIA IRASEMA</v>
      </c>
      <c r="EJ87" t="str">
        <v>DUARTE VALENCIA CRISTHIAN DARIO</v>
      </c>
      <c r="EK87" t="str">
        <v>FORTTY BARBERAN DENNY ALEXANDER</v>
      </c>
      <c r="EL87" t="str">
        <v>GUTIERREZ ZAMBRANO CARMEN EBELINA</v>
      </c>
      <c r="EM87" t="str">
        <v>INTRIAGO MOLINA GEMA VALERIA</v>
      </c>
      <c r="EN87" t="str">
        <v>LINO VELEZ LEONEL LIVINGTON</v>
      </c>
      <c r="EO87" t="str">
        <v>LOOR ALCIVAR MARIA ILIANA</v>
      </c>
      <c r="EP87" t="str">
        <v>LOOR MIELES TANIA JACQUELINE</v>
      </c>
      <c r="EQ87" t="str">
        <v>LOOR SOLORZANO ROSA MARIA</v>
      </c>
      <c r="ER87" t="str">
        <v>LOPEZ DELGADO RONALD MAURICIO</v>
      </c>
      <c r="ES87" t="str">
        <v>MACIAS VALENCIA DAVID GABRIEL</v>
      </c>
      <c r="ET87" t="str">
        <v>MENDOZA ZAMORA WALTER MANUEL</v>
      </c>
      <c r="EU87" t="str">
        <v>MOLINA CEVALLOS MARIA LORENA</v>
      </c>
      <c r="EV87" t="str">
        <v>MURILLO DELGADO ISAAC GABRIEL</v>
      </c>
      <c r="EW87" t="str">
        <v>ANGULO MURILLO NAVIRA GISSELA</v>
      </c>
      <c r="EX87" t="str">
        <v>OCHOA SOLEDISPA NESTOR IVAN</v>
      </c>
      <c r="EY87" t="str">
        <v>PARRAGA FRANCO SILVANA MARIELA</v>
      </c>
      <c r="EZ87" t="str">
        <v>PINARGOTE VASQUEZ NANCY FABIOLA</v>
      </c>
      <c r="FA87" t="str">
        <v>REYES VELEZ PEDRO ENRIQUE</v>
      </c>
      <c r="FB87" t="str">
        <v>SAN ANDRES HORMAZA DALLAS CECILIA</v>
      </c>
      <c r="FC87" t="str">
        <v>SORNOZA ZAMORA JUAN CARLOS</v>
      </c>
      <c r="FD87" t="str">
        <v>TOMALA PINTO JESUS JACINTO</v>
      </c>
      <c r="FE87" t="str">
        <v>VALLE JARAMILLO SILVIA ARACELY</v>
      </c>
      <c r="FF87" t="str">
        <v>VELÁSQUEZ BRAVO IRMA KATHERINE</v>
      </c>
      <c r="FG87" t="str">
        <v>VELEZ MENDOZA LAYSY VALERIA</v>
      </c>
      <c r="FH87" t="str">
        <v>VINUEZA TELLO SHIRLEY ELIZABETH</v>
      </c>
      <c r="FI87" t="str">
        <v>ZAMBRANO ALCIVAR NILDA ISABEL</v>
      </c>
      <c r="FJ87" t="str">
        <v>ZAMBRANO LOOR RITA MAYDA</v>
      </c>
      <c r="FK87" t="str">
        <v>ZAMBRANO VERA MONICA JANETH</v>
      </c>
      <c r="FL87" t="str">
        <v>VERA DELGADO BRYAN ADRIÁN</v>
      </c>
      <c r="FM87" t="str">
        <v>MORAN GONZALES DAVID RENATO</v>
      </c>
      <c r="FN87">
        <v>0</v>
      </c>
    </row>
    <row r="88" spans="1:170" ht="20.25" customHeight="1">
      <c r="A88" s="4" t="str" cm="1">
        <f t="array" ref="A88">TRANSPOSE(_xlfn.UNIQUE(_xlfn._xlws.FILTER(MAE_ASIGNATURA[ID_NIVEL],MAE_ASIGNATURA[ID_CARRERA]=ASIGNACION!$C88,"No existe información")))</f>
        <v>No existe información</v>
      </c>
      <c r="S88" s="4" t="str" cm="1">
        <f t="array" ref="S88">TRANSPOSE(_xlfn.UNIQUE(_xlfn._xlws.FILTER(MAE_ASIGNATURA[NOM_ASIG],(MAE_ASIGNATURA[ID_NIVEL]=ASIGNACION!$D88)*(MAE_ASIGNATURA[ID_CARRERA]=ASIGNACION!$C88),"No existe información")))</f>
        <v>No existe información</v>
      </c>
      <c r="BD88" s="4" t="str" cm="1">
        <f t="array" ref="BD88">TRANSPOSE(_xlfn.UNIQUE(_xlfn._xlws.FILTER(DET_ASIG[DETALLADO],(DET_ASIG[ID_CARRERA]=ASIGNACION!$C88)*(DET_ASIG[NIVEL]=ASIGNACION!$D88)*(DET_ASIG[ID_ASIG]=ASIGNACION!$G88),"No existe información")))</f>
        <v>No existe información</v>
      </c>
      <c r="BQ88" s="5" t="str" cm="1">
        <f t="array" ref="BQ88">IFERROR(
    TRANSPOSE(
        _xlfn.UNIQUE(
            _xlfn._xlws.FILTER(MAESTRIA_DETALLADO[MAESTRIA],
                ISNUMBER(MATCH(MAESTRIA_DETALLADO[CAMPO_DETALLADO],
                BD88:BP88,0))
            )
        )
    ),IF(BD88="ACTIVIDAD","DOCENCIA",""))</f>
        <v/>
      </c>
      <c r="EA88" s="5" t="str" cm="1">
        <f t="array" ref="EA88:FN88">IF(
    ASIGNACION!I88="SI",
    IFERROR(
        TRANSPOSE(
            _xlfn.UNIQUE(
                _xlfn._xlws.FILTER(EDU_DOCENTE[NOMBRE_DOCENTE],
                    ISNUMBER(MATCH(EDU_DOCENTE[MAESTRIA],
                    BQ88:DY88,0))
                )
            )
        ),
        ""
    ),
    TRANSPOSE(
        _xlfn.UNIQUE(EDU_DOCENTE[NOMBRE_DOCENTE]
        )
    )
)</f>
        <v>ALCIVAR CEDEÑO BEATRIZ ISABEL</v>
      </c>
      <c r="EB88" t="str">
        <v>ALCIVAR VERA GEMA MICHELLE</v>
      </c>
      <c r="EC88" t="str">
        <v>ARAUZ CHAVEZ MARIO ROBERTO</v>
      </c>
      <c r="ED88" t="str">
        <v>BAILON LOURIDO WALTER ALBERTO</v>
      </c>
      <c r="EE88" t="str">
        <v>CALDERERO VILLAGOMEZ ERICK ANTONIO</v>
      </c>
      <c r="EF88" t="str">
        <v>CASTILLO GARCIA PAOLA GERMANIA</v>
      </c>
      <c r="EG88" t="str">
        <v>CEDEÑO CHOEZ PEDRO JAVIER</v>
      </c>
      <c r="EH88" t="str">
        <v>CEVALLOS HOPPE JUAN CARLOS</v>
      </c>
      <c r="EI88" t="str">
        <v>DELGADO CHAVEZ MARIA IRASEMA</v>
      </c>
      <c r="EJ88" t="str">
        <v>DUARTE VALENCIA CRISTHIAN DARIO</v>
      </c>
      <c r="EK88" t="str">
        <v>FORTTY BARBERAN DENNY ALEXANDER</v>
      </c>
      <c r="EL88" t="str">
        <v>GUTIERREZ ZAMBRANO CARMEN EBELINA</v>
      </c>
      <c r="EM88" t="str">
        <v>INTRIAGO MOLINA GEMA VALERIA</v>
      </c>
      <c r="EN88" t="str">
        <v>LINO VELEZ LEONEL LIVINGTON</v>
      </c>
      <c r="EO88" t="str">
        <v>LOOR ALCIVAR MARIA ILIANA</v>
      </c>
      <c r="EP88" t="str">
        <v>LOOR MIELES TANIA JACQUELINE</v>
      </c>
      <c r="EQ88" t="str">
        <v>LOOR SOLORZANO ROSA MARIA</v>
      </c>
      <c r="ER88" t="str">
        <v>LOPEZ DELGADO RONALD MAURICIO</v>
      </c>
      <c r="ES88" t="str">
        <v>MACIAS VALENCIA DAVID GABRIEL</v>
      </c>
      <c r="ET88" t="str">
        <v>MENDOZA ZAMORA WALTER MANUEL</v>
      </c>
      <c r="EU88" t="str">
        <v>MOLINA CEVALLOS MARIA LORENA</v>
      </c>
      <c r="EV88" t="str">
        <v>MURILLO DELGADO ISAAC GABRIEL</v>
      </c>
      <c r="EW88" t="str">
        <v>ANGULO MURILLO NAVIRA GISSELA</v>
      </c>
      <c r="EX88" t="str">
        <v>OCHOA SOLEDISPA NESTOR IVAN</v>
      </c>
      <c r="EY88" t="str">
        <v>PARRAGA FRANCO SILVANA MARIELA</v>
      </c>
      <c r="EZ88" t="str">
        <v>PINARGOTE VASQUEZ NANCY FABIOLA</v>
      </c>
      <c r="FA88" t="str">
        <v>REYES VELEZ PEDRO ENRIQUE</v>
      </c>
      <c r="FB88" t="str">
        <v>SAN ANDRES HORMAZA DALLAS CECILIA</v>
      </c>
      <c r="FC88" t="str">
        <v>SORNOZA ZAMORA JUAN CARLOS</v>
      </c>
      <c r="FD88" t="str">
        <v>TOMALA PINTO JESUS JACINTO</v>
      </c>
      <c r="FE88" t="str">
        <v>VALLE JARAMILLO SILVIA ARACELY</v>
      </c>
      <c r="FF88" t="str">
        <v>VELÁSQUEZ BRAVO IRMA KATHERINE</v>
      </c>
      <c r="FG88" t="str">
        <v>VELEZ MENDOZA LAYSY VALERIA</v>
      </c>
      <c r="FH88" t="str">
        <v>VINUEZA TELLO SHIRLEY ELIZABETH</v>
      </c>
      <c r="FI88" t="str">
        <v>ZAMBRANO ALCIVAR NILDA ISABEL</v>
      </c>
      <c r="FJ88" t="str">
        <v>ZAMBRANO LOOR RITA MAYDA</v>
      </c>
      <c r="FK88" t="str">
        <v>ZAMBRANO VERA MONICA JANETH</v>
      </c>
      <c r="FL88" t="str">
        <v>VERA DELGADO BRYAN ADRIÁN</v>
      </c>
      <c r="FM88" t="str">
        <v>MORAN GONZALES DAVID RENATO</v>
      </c>
      <c r="FN88">
        <v>0</v>
      </c>
    </row>
    <row r="89" spans="1:170" ht="20.25" customHeight="1">
      <c r="A89" s="4" t="str" cm="1">
        <f t="array" ref="A89">TRANSPOSE(_xlfn.UNIQUE(_xlfn._xlws.FILTER(MAE_ASIGNATURA[ID_NIVEL],MAE_ASIGNATURA[ID_CARRERA]=ASIGNACION!$C89,"No existe información")))</f>
        <v>No existe información</v>
      </c>
      <c r="S89" s="4" t="str" cm="1">
        <f t="array" ref="S89">TRANSPOSE(_xlfn.UNIQUE(_xlfn._xlws.FILTER(MAE_ASIGNATURA[NOM_ASIG],(MAE_ASIGNATURA[ID_NIVEL]=ASIGNACION!$D89)*(MAE_ASIGNATURA[ID_CARRERA]=ASIGNACION!$C89),"No existe información")))</f>
        <v>No existe información</v>
      </c>
      <c r="BD89" s="4" t="str" cm="1">
        <f t="array" ref="BD89">TRANSPOSE(_xlfn.UNIQUE(_xlfn._xlws.FILTER(DET_ASIG[DETALLADO],(DET_ASIG[ID_CARRERA]=ASIGNACION!$C89)*(DET_ASIG[NIVEL]=ASIGNACION!$D89)*(DET_ASIG[ID_ASIG]=ASIGNACION!$G89),"No existe información")))</f>
        <v>No existe información</v>
      </c>
      <c r="BQ89" s="5" t="str" cm="1">
        <f t="array" ref="BQ89">IFERROR(
    TRANSPOSE(
        _xlfn.UNIQUE(
            _xlfn._xlws.FILTER(MAESTRIA_DETALLADO[MAESTRIA],
                ISNUMBER(MATCH(MAESTRIA_DETALLADO[CAMPO_DETALLADO],
                BD89:BP89,0))
            )
        )
    ),IF(BD89="ACTIVIDAD","DOCENCIA",""))</f>
        <v/>
      </c>
      <c r="EA89" s="5" t="str" cm="1">
        <f t="array" ref="EA89:FN89">IF(
    ASIGNACION!I89="SI",
    IFERROR(
        TRANSPOSE(
            _xlfn.UNIQUE(
                _xlfn._xlws.FILTER(EDU_DOCENTE[NOMBRE_DOCENTE],
                    ISNUMBER(MATCH(EDU_DOCENTE[MAESTRIA],
                    BQ89:DY89,0))
                )
            )
        ),
        ""
    ),
    TRANSPOSE(
        _xlfn.UNIQUE(EDU_DOCENTE[NOMBRE_DOCENTE]
        )
    )
)</f>
        <v>ALCIVAR CEDEÑO BEATRIZ ISABEL</v>
      </c>
      <c r="EB89" t="str">
        <v>ALCIVAR VERA GEMA MICHELLE</v>
      </c>
      <c r="EC89" t="str">
        <v>ARAUZ CHAVEZ MARIO ROBERTO</v>
      </c>
      <c r="ED89" t="str">
        <v>BAILON LOURIDO WALTER ALBERTO</v>
      </c>
      <c r="EE89" t="str">
        <v>CALDERERO VILLAGOMEZ ERICK ANTONIO</v>
      </c>
      <c r="EF89" t="str">
        <v>CASTILLO GARCIA PAOLA GERMANIA</v>
      </c>
      <c r="EG89" t="str">
        <v>CEDEÑO CHOEZ PEDRO JAVIER</v>
      </c>
      <c r="EH89" t="str">
        <v>CEVALLOS HOPPE JUAN CARLOS</v>
      </c>
      <c r="EI89" t="str">
        <v>DELGADO CHAVEZ MARIA IRASEMA</v>
      </c>
      <c r="EJ89" t="str">
        <v>DUARTE VALENCIA CRISTHIAN DARIO</v>
      </c>
      <c r="EK89" t="str">
        <v>FORTTY BARBERAN DENNY ALEXANDER</v>
      </c>
      <c r="EL89" t="str">
        <v>GUTIERREZ ZAMBRANO CARMEN EBELINA</v>
      </c>
      <c r="EM89" t="str">
        <v>INTRIAGO MOLINA GEMA VALERIA</v>
      </c>
      <c r="EN89" t="str">
        <v>LINO VELEZ LEONEL LIVINGTON</v>
      </c>
      <c r="EO89" t="str">
        <v>LOOR ALCIVAR MARIA ILIANA</v>
      </c>
      <c r="EP89" t="str">
        <v>LOOR MIELES TANIA JACQUELINE</v>
      </c>
      <c r="EQ89" t="str">
        <v>LOOR SOLORZANO ROSA MARIA</v>
      </c>
      <c r="ER89" t="str">
        <v>LOPEZ DELGADO RONALD MAURICIO</v>
      </c>
      <c r="ES89" t="str">
        <v>MACIAS VALENCIA DAVID GABRIEL</v>
      </c>
      <c r="ET89" t="str">
        <v>MENDOZA ZAMORA WALTER MANUEL</v>
      </c>
      <c r="EU89" t="str">
        <v>MOLINA CEVALLOS MARIA LORENA</v>
      </c>
      <c r="EV89" t="str">
        <v>MURILLO DELGADO ISAAC GABRIEL</v>
      </c>
      <c r="EW89" t="str">
        <v>ANGULO MURILLO NAVIRA GISSELA</v>
      </c>
      <c r="EX89" t="str">
        <v>OCHOA SOLEDISPA NESTOR IVAN</v>
      </c>
      <c r="EY89" t="str">
        <v>PARRAGA FRANCO SILVANA MARIELA</v>
      </c>
      <c r="EZ89" t="str">
        <v>PINARGOTE VASQUEZ NANCY FABIOLA</v>
      </c>
      <c r="FA89" t="str">
        <v>REYES VELEZ PEDRO ENRIQUE</v>
      </c>
      <c r="FB89" t="str">
        <v>SAN ANDRES HORMAZA DALLAS CECILIA</v>
      </c>
      <c r="FC89" t="str">
        <v>SORNOZA ZAMORA JUAN CARLOS</v>
      </c>
      <c r="FD89" t="str">
        <v>TOMALA PINTO JESUS JACINTO</v>
      </c>
      <c r="FE89" t="str">
        <v>VALLE JARAMILLO SILVIA ARACELY</v>
      </c>
      <c r="FF89" t="str">
        <v>VELÁSQUEZ BRAVO IRMA KATHERINE</v>
      </c>
      <c r="FG89" t="str">
        <v>VELEZ MENDOZA LAYSY VALERIA</v>
      </c>
      <c r="FH89" t="str">
        <v>VINUEZA TELLO SHIRLEY ELIZABETH</v>
      </c>
      <c r="FI89" t="str">
        <v>ZAMBRANO ALCIVAR NILDA ISABEL</v>
      </c>
      <c r="FJ89" t="str">
        <v>ZAMBRANO LOOR RITA MAYDA</v>
      </c>
      <c r="FK89" t="str">
        <v>ZAMBRANO VERA MONICA JANETH</v>
      </c>
      <c r="FL89" t="str">
        <v>VERA DELGADO BRYAN ADRIÁN</v>
      </c>
      <c r="FM89" t="str">
        <v>MORAN GONZALES DAVID RENATO</v>
      </c>
      <c r="FN89">
        <v>0</v>
      </c>
    </row>
    <row r="90" spans="1:170" ht="20.25" customHeight="1">
      <c r="A90" s="4" t="str" cm="1">
        <f t="array" ref="A90">TRANSPOSE(_xlfn.UNIQUE(_xlfn._xlws.FILTER(MAE_ASIGNATURA[ID_NIVEL],MAE_ASIGNATURA[ID_CARRERA]=ASIGNACION!$C90,"No existe información")))</f>
        <v>No existe información</v>
      </c>
      <c r="S90" s="4" t="str" cm="1">
        <f t="array" ref="S90">TRANSPOSE(_xlfn.UNIQUE(_xlfn._xlws.FILTER(MAE_ASIGNATURA[NOM_ASIG],(MAE_ASIGNATURA[ID_NIVEL]=ASIGNACION!$D90)*(MAE_ASIGNATURA[ID_CARRERA]=ASIGNACION!$C90),"No existe información")))</f>
        <v>No existe información</v>
      </c>
      <c r="BD90" s="4" t="str" cm="1">
        <f t="array" ref="BD90">TRANSPOSE(_xlfn.UNIQUE(_xlfn._xlws.FILTER(DET_ASIG[DETALLADO],(DET_ASIG[ID_CARRERA]=ASIGNACION!$C90)*(DET_ASIG[NIVEL]=ASIGNACION!$D90)*(DET_ASIG[ID_ASIG]=ASIGNACION!$G90),"No existe información")))</f>
        <v>No existe información</v>
      </c>
      <c r="BQ90" s="5" t="str" cm="1">
        <f t="array" ref="BQ90">IFERROR(
    TRANSPOSE(
        _xlfn.UNIQUE(
            _xlfn._xlws.FILTER(MAESTRIA_DETALLADO[MAESTRIA],
                ISNUMBER(MATCH(MAESTRIA_DETALLADO[CAMPO_DETALLADO],
                BD90:BP90,0))
            )
        )
    ),IF(BD90="ACTIVIDAD","DOCENCIA",""))</f>
        <v/>
      </c>
      <c r="EA90" s="5" t="str" cm="1">
        <f t="array" ref="EA90:FN90">IF(
    ASIGNACION!I90="SI",
    IFERROR(
        TRANSPOSE(
            _xlfn.UNIQUE(
                _xlfn._xlws.FILTER(EDU_DOCENTE[NOMBRE_DOCENTE],
                    ISNUMBER(MATCH(EDU_DOCENTE[MAESTRIA],
                    BQ90:DY90,0))
                )
            )
        ),
        ""
    ),
    TRANSPOSE(
        _xlfn.UNIQUE(EDU_DOCENTE[NOMBRE_DOCENTE]
        )
    )
)</f>
        <v>ALCIVAR CEDEÑO BEATRIZ ISABEL</v>
      </c>
      <c r="EB90" t="str">
        <v>ALCIVAR VERA GEMA MICHELLE</v>
      </c>
      <c r="EC90" t="str">
        <v>ARAUZ CHAVEZ MARIO ROBERTO</v>
      </c>
      <c r="ED90" t="str">
        <v>BAILON LOURIDO WALTER ALBERTO</v>
      </c>
      <c r="EE90" t="str">
        <v>CALDERERO VILLAGOMEZ ERICK ANTONIO</v>
      </c>
      <c r="EF90" t="str">
        <v>CASTILLO GARCIA PAOLA GERMANIA</v>
      </c>
      <c r="EG90" t="str">
        <v>CEDEÑO CHOEZ PEDRO JAVIER</v>
      </c>
      <c r="EH90" t="str">
        <v>CEVALLOS HOPPE JUAN CARLOS</v>
      </c>
      <c r="EI90" t="str">
        <v>DELGADO CHAVEZ MARIA IRASEMA</v>
      </c>
      <c r="EJ90" t="str">
        <v>DUARTE VALENCIA CRISTHIAN DARIO</v>
      </c>
      <c r="EK90" t="str">
        <v>FORTTY BARBERAN DENNY ALEXANDER</v>
      </c>
      <c r="EL90" t="str">
        <v>GUTIERREZ ZAMBRANO CARMEN EBELINA</v>
      </c>
      <c r="EM90" t="str">
        <v>INTRIAGO MOLINA GEMA VALERIA</v>
      </c>
      <c r="EN90" t="str">
        <v>LINO VELEZ LEONEL LIVINGTON</v>
      </c>
      <c r="EO90" t="str">
        <v>LOOR ALCIVAR MARIA ILIANA</v>
      </c>
      <c r="EP90" t="str">
        <v>LOOR MIELES TANIA JACQUELINE</v>
      </c>
      <c r="EQ90" t="str">
        <v>LOOR SOLORZANO ROSA MARIA</v>
      </c>
      <c r="ER90" t="str">
        <v>LOPEZ DELGADO RONALD MAURICIO</v>
      </c>
      <c r="ES90" t="str">
        <v>MACIAS VALENCIA DAVID GABRIEL</v>
      </c>
      <c r="ET90" t="str">
        <v>MENDOZA ZAMORA WALTER MANUEL</v>
      </c>
      <c r="EU90" t="str">
        <v>MOLINA CEVALLOS MARIA LORENA</v>
      </c>
      <c r="EV90" t="str">
        <v>MURILLO DELGADO ISAAC GABRIEL</v>
      </c>
      <c r="EW90" t="str">
        <v>ANGULO MURILLO NAVIRA GISSELA</v>
      </c>
      <c r="EX90" t="str">
        <v>OCHOA SOLEDISPA NESTOR IVAN</v>
      </c>
      <c r="EY90" t="str">
        <v>PARRAGA FRANCO SILVANA MARIELA</v>
      </c>
      <c r="EZ90" t="str">
        <v>PINARGOTE VASQUEZ NANCY FABIOLA</v>
      </c>
      <c r="FA90" t="str">
        <v>REYES VELEZ PEDRO ENRIQUE</v>
      </c>
      <c r="FB90" t="str">
        <v>SAN ANDRES HORMAZA DALLAS CECILIA</v>
      </c>
      <c r="FC90" t="str">
        <v>SORNOZA ZAMORA JUAN CARLOS</v>
      </c>
      <c r="FD90" t="str">
        <v>TOMALA PINTO JESUS JACINTO</v>
      </c>
      <c r="FE90" t="str">
        <v>VALLE JARAMILLO SILVIA ARACELY</v>
      </c>
      <c r="FF90" t="str">
        <v>VELÁSQUEZ BRAVO IRMA KATHERINE</v>
      </c>
      <c r="FG90" t="str">
        <v>VELEZ MENDOZA LAYSY VALERIA</v>
      </c>
      <c r="FH90" t="str">
        <v>VINUEZA TELLO SHIRLEY ELIZABETH</v>
      </c>
      <c r="FI90" t="str">
        <v>ZAMBRANO ALCIVAR NILDA ISABEL</v>
      </c>
      <c r="FJ90" t="str">
        <v>ZAMBRANO LOOR RITA MAYDA</v>
      </c>
      <c r="FK90" t="str">
        <v>ZAMBRANO VERA MONICA JANETH</v>
      </c>
      <c r="FL90" t="str">
        <v>VERA DELGADO BRYAN ADRIÁN</v>
      </c>
      <c r="FM90" t="str">
        <v>MORAN GONZALES DAVID RENATO</v>
      </c>
      <c r="FN90">
        <v>0</v>
      </c>
    </row>
    <row r="91" spans="1:170" ht="20.25" customHeight="1">
      <c r="A91" s="4" t="str" cm="1">
        <f t="array" ref="A91">TRANSPOSE(_xlfn.UNIQUE(_xlfn._xlws.FILTER(MAE_ASIGNATURA[ID_NIVEL],MAE_ASIGNATURA[ID_CARRERA]=ASIGNACION!$C91,"No existe información")))</f>
        <v>No existe información</v>
      </c>
      <c r="S91" s="4" t="str" cm="1">
        <f t="array" ref="S91">TRANSPOSE(_xlfn.UNIQUE(_xlfn._xlws.FILTER(MAE_ASIGNATURA[NOM_ASIG],(MAE_ASIGNATURA[ID_NIVEL]=ASIGNACION!$D91)*(MAE_ASIGNATURA[ID_CARRERA]=ASIGNACION!$C91),"No existe información")))</f>
        <v>No existe información</v>
      </c>
      <c r="BD91" s="4" t="str" cm="1">
        <f t="array" ref="BD91">TRANSPOSE(_xlfn.UNIQUE(_xlfn._xlws.FILTER(DET_ASIG[DETALLADO],(DET_ASIG[ID_CARRERA]=ASIGNACION!$C91)*(DET_ASIG[NIVEL]=ASIGNACION!$D91)*(DET_ASIG[ID_ASIG]=ASIGNACION!$G91),"No existe información")))</f>
        <v>No existe información</v>
      </c>
      <c r="BQ91" s="5" t="str" cm="1">
        <f t="array" ref="BQ91">IFERROR(
    TRANSPOSE(
        _xlfn.UNIQUE(
            _xlfn._xlws.FILTER(MAESTRIA_DETALLADO[MAESTRIA],
                ISNUMBER(MATCH(MAESTRIA_DETALLADO[CAMPO_DETALLADO],
                BD91:BP91,0))
            )
        )
    ),IF(BD91="ACTIVIDAD","DOCENCIA",""))</f>
        <v/>
      </c>
      <c r="EA91" s="5" t="str" cm="1">
        <f t="array" ref="EA91:FN91">IF(
    ASIGNACION!I91="SI",
    IFERROR(
        TRANSPOSE(
            _xlfn.UNIQUE(
                _xlfn._xlws.FILTER(EDU_DOCENTE[NOMBRE_DOCENTE],
                    ISNUMBER(MATCH(EDU_DOCENTE[MAESTRIA],
                    BQ91:DY91,0))
                )
            )
        ),
        ""
    ),
    TRANSPOSE(
        _xlfn.UNIQUE(EDU_DOCENTE[NOMBRE_DOCENTE]
        )
    )
)</f>
        <v>ALCIVAR CEDEÑO BEATRIZ ISABEL</v>
      </c>
      <c r="EB91" t="str">
        <v>ALCIVAR VERA GEMA MICHELLE</v>
      </c>
      <c r="EC91" t="str">
        <v>ARAUZ CHAVEZ MARIO ROBERTO</v>
      </c>
      <c r="ED91" t="str">
        <v>BAILON LOURIDO WALTER ALBERTO</v>
      </c>
      <c r="EE91" t="str">
        <v>CALDERERO VILLAGOMEZ ERICK ANTONIO</v>
      </c>
      <c r="EF91" t="str">
        <v>CASTILLO GARCIA PAOLA GERMANIA</v>
      </c>
      <c r="EG91" t="str">
        <v>CEDEÑO CHOEZ PEDRO JAVIER</v>
      </c>
      <c r="EH91" t="str">
        <v>CEVALLOS HOPPE JUAN CARLOS</v>
      </c>
      <c r="EI91" t="str">
        <v>DELGADO CHAVEZ MARIA IRASEMA</v>
      </c>
      <c r="EJ91" t="str">
        <v>DUARTE VALENCIA CRISTHIAN DARIO</v>
      </c>
      <c r="EK91" t="str">
        <v>FORTTY BARBERAN DENNY ALEXANDER</v>
      </c>
      <c r="EL91" t="str">
        <v>GUTIERREZ ZAMBRANO CARMEN EBELINA</v>
      </c>
      <c r="EM91" t="str">
        <v>INTRIAGO MOLINA GEMA VALERIA</v>
      </c>
      <c r="EN91" t="str">
        <v>LINO VELEZ LEONEL LIVINGTON</v>
      </c>
      <c r="EO91" t="str">
        <v>LOOR ALCIVAR MARIA ILIANA</v>
      </c>
      <c r="EP91" t="str">
        <v>LOOR MIELES TANIA JACQUELINE</v>
      </c>
      <c r="EQ91" t="str">
        <v>LOOR SOLORZANO ROSA MARIA</v>
      </c>
      <c r="ER91" t="str">
        <v>LOPEZ DELGADO RONALD MAURICIO</v>
      </c>
      <c r="ES91" t="str">
        <v>MACIAS VALENCIA DAVID GABRIEL</v>
      </c>
      <c r="ET91" t="str">
        <v>MENDOZA ZAMORA WALTER MANUEL</v>
      </c>
      <c r="EU91" t="str">
        <v>MOLINA CEVALLOS MARIA LORENA</v>
      </c>
      <c r="EV91" t="str">
        <v>MURILLO DELGADO ISAAC GABRIEL</v>
      </c>
      <c r="EW91" t="str">
        <v>ANGULO MURILLO NAVIRA GISSELA</v>
      </c>
      <c r="EX91" t="str">
        <v>OCHOA SOLEDISPA NESTOR IVAN</v>
      </c>
      <c r="EY91" t="str">
        <v>PARRAGA FRANCO SILVANA MARIELA</v>
      </c>
      <c r="EZ91" t="str">
        <v>PINARGOTE VASQUEZ NANCY FABIOLA</v>
      </c>
      <c r="FA91" t="str">
        <v>REYES VELEZ PEDRO ENRIQUE</v>
      </c>
      <c r="FB91" t="str">
        <v>SAN ANDRES HORMAZA DALLAS CECILIA</v>
      </c>
      <c r="FC91" t="str">
        <v>SORNOZA ZAMORA JUAN CARLOS</v>
      </c>
      <c r="FD91" t="str">
        <v>TOMALA PINTO JESUS JACINTO</v>
      </c>
      <c r="FE91" t="str">
        <v>VALLE JARAMILLO SILVIA ARACELY</v>
      </c>
      <c r="FF91" t="str">
        <v>VELÁSQUEZ BRAVO IRMA KATHERINE</v>
      </c>
      <c r="FG91" t="str">
        <v>VELEZ MENDOZA LAYSY VALERIA</v>
      </c>
      <c r="FH91" t="str">
        <v>VINUEZA TELLO SHIRLEY ELIZABETH</v>
      </c>
      <c r="FI91" t="str">
        <v>ZAMBRANO ALCIVAR NILDA ISABEL</v>
      </c>
      <c r="FJ91" t="str">
        <v>ZAMBRANO LOOR RITA MAYDA</v>
      </c>
      <c r="FK91" t="str">
        <v>ZAMBRANO VERA MONICA JANETH</v>
      </c>
      <c r="FL91" t="str">
        <v>VERA DELGADO BRYAN ADRIÁN</v>
      </c>
      <c r="FM91" t="str">
        <v>MORAN GONZALES DAVID RENATO</v>
      </c>
      <c r="FN91">
        <v>0</v>
      </c>
    </row>
    <row r="92" spans="1:170" ht="20.25" customHeight="1">
      <c r="A92" s="4" t="str" cm="1">
        <f t="array" ref="A92">TRANSPOSE(_xlfn.UNIQUE(_xlfn._xlws.FILTER(MAE_ASIGNATURA[ID_NIVEL],MAE_ASIGNATURA[ID_CARRERA]=ASIGNACION!$C92,"No existe información")))</f>
        <v>No existe información</v>
      </c>
      <c r="S92" s="4" t="str" cm="1">
        <f t="array" ref="S92">TRANSPOSE(_xlfn.UNIQUE(_xlfn._xlws.FILTER(MAE_ASIGNATURA[NOM_ASIG],(MAE_ASIGNATURA[ID_NIVEL]=ASIGNACION!$D92)*(MAE_ASIGNATURA[ID_CARRERA]=ASIGNACION!$C92),"No existe información")))</f>
        <v>No existe información</v>
      </c>
      <c r="BD92" s="4" t="str" cm="1">
        <f t="array" ref="BD92">TRANSPOSE(_xlfn.UNIQUE(_xlfn._xlws.FILTER(DET_ASIG[DETALLADO],(DET_ASIG[ID_CARRERA]=ASIGNACION!$C92)*(DET_ASIG[NIVEL]=ASIGNACION!$D92)*(DET_ASIG[ID_ASIG]=ASIGNACION!$G92),"No existe información")))</f>
        <v>No existe información</v>
      </c>
      <c r="BQ92" s="5" t="str" cm="1">
        <f t="array" ref="BQ92">IFERROR(
    TRANSPOSE(
        _xlfn.UNIQUE(
            _xlfn._xlws.FILTER(MAESTRIA_DETALLADO[MAESTRIA],
                ISNUMBER(MATCH(MAESTRIA_DETALLADO[CAMPO_DETALLADO],
                BD92:BP92,0))
            )
        )
    ),IF(BD92="ACTIVIDAD","DOCENCIA",""))</f>
        <v/>
      </c>
      <c r="EA92" s="5" t="str" cm="1">
        <f t="array" ref="EA92:FN92">IF(
    ASIGNACION!I92="SI",
    IFERROR(
        TRANSPOSE(
            _xlfn.UNIQUE(
                _xlfn._xlws.FILTER(EDU_DOCENTE[NOMBRE_DOCENTE],
                    ISNUMBER(MATCH(EDU_DOCENTE[MAESTRIA],
                    BQ92:DY92,0))
                )
            )
        ),
        ""
    ),
    TRANSPOSE(
        _xlfn.UNIQUE(EDU_DOCENTE[NOMBRE_DOCENTE]
        )
    )
)</f>
        <v>ALCIVAR CEDEÑO BEATRIZ ISABEL</v>
      </c>
      <c r="EB92" t="str">
        <v>ALCIVAR VERA GEMA MICHELLE</v>
      </c>
      <c r="EC92" t="str">
        <v>ARAUZ CHAVEZ MARIO ROBERTO</v>
      </c>
      <c r="ED92" t="str">
        <v>BAILON LOURIDO WALTER ALBERTO</v>
      </c>
      <c r="EE92" t="str">
        <v>CALDERERO VILLAGOMEZ ERICK ANTONIO</v>
      </c>
      <c r="EF92" t="str">
        <v>CASTILLO GARCIA PAOLA GERMANIA</v>
      </c>
      <c r="EG92" t="str">
        <v>CEDEÑO CHOEZ PEDRO JAVIER</v>
      </c>
      <c r="EH92" t="str">
        <v>CEVALLOS HOPPE JUAN CARLOS</v>
      </c>
      <c r="EI92" t="str">
        <v>DELGADO CHAVEZ MARIA IRASEMA</v>
      </c>
      <c r="EJ92" t="str">
        <v>DUARTE VALENCIA CRISTHIAN DARIO</v>
      </c>
      <c r="EK92" t="str">
        <v>FORTTY BARBERAN DENNY ALEXANDER</v>
      </c>
      <c r="EL92" t="str">
        <v>GUTIERREZ ZAMBRANO CARMEN EBELINA</v>
      </c>
      <c r="EM92" t="str">
        <v>INTRIAGO MOLINA GEMA VALERIA</v>
      </c>
      <c r="EN92" t="str">
        <v>LINO VELEZ LEONEL LIVINGTON</v>
      </c>
      <c r="EO92" t="str">
        <v>LOOR ALCIVAR MARIA ILIANA</v>
      </c>
      <c r="EP92" t="str">
        <v>LOOR MIELES TANIA JACQUELINE</v>
      </c>
      <c r="EQ92" t="str">
        <v>LOOR SOLORZANO ROSA MARIA</v>
      </c>
      <c r="ER92" t="str">
        <v>LOPEZ DELGADO RONALD MAURICIO</v>
      </c>
      <c r="ES92" t="str">
        <v>MACIAS VALENCIA DAVID GABRIEL</v>
      </c>
      <c r="ET92" t="str">
        <v>MENDOZA ZAMORA WALTER MANUEL</v>
      </c>
      <c r="EU92" t="str">
        <v>MOLINA CEVALLOS MARIA LORENA</v>
      </c>
      <c r="EV92" t="str">
        <v>MURILLO DELGADO ISAAC GABRIEL</v>
      </c>
      <c r="EW92" t="str">
        <v>ANGULO MURILLO NAVIRA GISSELA</v>
      </c>
      <c r="EX92" t="str">
        <v>OCHOA SOLEDISPA NESTOR IVAN</v>
      </c>
      <c r="EY92" t="str">
        <v>PARRAGA FRANCO SILVANA MARIELA</v>
      </c>
      <c r="EZ92" t="str">
        <v>PINARGOTE VASQUEZ NANCY FABIOLA</v>
      </c>
      <c r="FA92" t="str">
        <v>REYES VELEZ PEDRO ENRIQUE</v>
      </c>
      <c r="FB92" t="str">
        <v>SAN ANDRES HORMAZA DALLAS CECILIA</v>
      </c>
      <c r="FC92" t="str">
        <v>SORNOZA ZAMORA JUAN CARLOS</v>
      </c>
      <c r="FD92" t="str">
        <v>TOMALA PINTO JESUS JACINTO</v>
      </c>
      <c r="FE92" t="str">
        <v>VALLE JARAMILLO SILVIA ARACELY</v>
      </c>
      <c r="FF92" t="str">
        <v>VELÁSQUEZ BRAVO IRMA KATHERINE</v>
      </c>
      <c r="FG92" t="str">
        <v>VELEZ MENDOZA LAYSY VALERIA</v>
      </c>
      <c r="FH92" t="str">
        <v>VINUEZA TELLO SHIRLEY ELIZABETH</v>
      </c>
      <c r="FI92" t="str">
        <v>ZAMBRANO ALCIVAR NILDA ISABEL</v>
      </c>
      <c r="FJ92" t="str">
        <v>ZAMBRANO LOOR RITA MAYDA</v>
      </c>
      <c r="FK92" t="str">
        <v>ZAMBRANO VERA MONICA JANETH</v>
      </c>
      <c r="FL92" t="str">
        <v>VERA DELGADO BRYAN ADRIÁN</v>
      </c>
      <c r="FM92" t="str">
        <v>MORAN GONZALES DAVID RENATO</v>
      </c>
      <c r="FN92">
        <v>0</v>
      </c>
    </row>
    <row r="93" spans="1:170" ht="20.25" customHeight="1">
      <c r="A93" s="4" t="str" cm="1">
        <f t="array" ref="A93">TRANSPOSE(_xlfn.UNIQUE(_xlfn._xlws.FILTER(MAE_ASIGNATURA[ID_NIVEL],MAE_ASIGNATURA[ID_CARRERA]=ASIGNACION!$C93,"No existe información")))</f>
        <v>No existe información</v>
      </c>
      <c r="S93" s="4" t="str" cm="1">
        <f t="array" ref="S93">TRANSPOSE(_xlfn.UNIQUE(_xlfn._xlws.FILTER(MAE_ASIGNATURA[NOM_ASIG],(MAE_ASIGNATURA[ID_NIVEL]=ASIGNACION!$D93)*(MAE_ASIGNATURA[ID_CARRERA]=ASIGNACION!$C93),"No existe información")))</f>
        <v>No existe información</v>
      </c>
      <c r="BD93" s="4" t="str" cm="1">
        <f t="array" ref="BD93">TRANSPOSE(_xlfn.UNIQUE(_xlfn._xlws.FILTER(DET_ASIG[DETALLADO],(DET_ASIG[ID_CARRERA]=ASIGNACION!$C93)*(DET_ASIG[NIVEL]=ASIGNACION!$D93)*(DET_ASIG[ID_ASIG]=ASIGNACION!$G93),"No existe información")))</f>
        <v>No existe información</v>
      </c>
      <c r="BQ93" s="5" t="str" cm="1">
        <f t="array" ref="BQ93">IFERROR(
    TRANSPOSE(
        _xlfn.UNIQUE(
            _xlfn._xlws.FILTER(MAESTRIA_DETALLADO[MAESTRIA],
                ISNUMBER(MATCH(MAESTRIA_DETALLADO[CAMPO_DETALLADO],
                BD93:BP93,0))
            )
        )
    ),IF(BD93="ACTIVIDAD","DOCENCIA",""))</f>
        <v/>
      </c>
      <c r="EA93" s="5" t="str" cm="1">
        <f t="array" ref="EA93:FN93">IF(
    ASIGNACION!I93="SI",
    IFERROR(
        TRANSPOSE(
            _xlfn.UNIQUE(
                _xlfn._xlws.FILTER(EDU_DOCENTE[NOMBRE_DOCENTE],
                    ISNUMBER(MATCH(EDU_DOCENTE[MAESTRIA],
                    BQ93:DY93,0))
                )
            )
        ),
        ""
    ),
    TRANSPOSE(
        _xlfn.UNIQUE(EDU_DOCENTE[NOMBRE_DOCENTE]
        )
    )
)</f>
        <v>ALCIVAR CEDEÑO BEATRIZ ISABEL</v>
      </c>
      <c r="EB93" t="str">
        <v>ALCIVAR VERA GEMA MICHELLE</v>
      </c>
      <c r="EC93" t="str">
        <v>ARAUZ CHAVEZ MARIO ROBERTO</v>
      </c>
      <c r="ED93" t="str">
        <v>BAILON LOURIDO WALTER ALBERTO</v>
      </c>
      <c r="EE93" t="str">
        <v>CALDERERO VILLAGOMEZ ERICK ANTONIO</v>
      </c>
      <c r="EF93" t="str">
        <v>CASTILLO GARCIA PAOLA GERMANIA</v>
      </c>
      <c r="EG93" t="str">
        <v>CEDEÑO CHOEZ PEDRO JAVIER</v>
      </c>
      <c r="EH93" t="str">
        <v>CEVALLOS HOPPE JUAN CARLOS</v>
      </c>
      <c r="EI93" t="str">
        <v>DELGADO CHAVEZ MARIA IRASEMA</v>
      </c>
      <c r="EJ93" t="str">
        <v>DUARTE VALENCIA CRISTHIAN DARIO</v>
      </c>
      <c r="EK93" t="str">
        <v>FORTTY BARBERAN DENNY ALEXANDER</v>
      </c>
      <c r="EL93" t="str">
        <v>GUTIERREZ ZAMBRANO CARMEN EBELINA</v>
      </c>
      <c r="EM93" t="str">
        <v>INTRIAGO MOLINA GEMA VALERIA</v>
      </c>
      <c r="EN93" t="str">
        <v>LINO VELEZ LEONEL LIVINGTON</v>
      </c>
      <c r="EO93" t="str">
        <v>LOOR ALCIVAR MARIA ILIANA</v>
      </c>
      <c r="EP93" t="str">
        <v>LOOR MIELES TANIA JACQUELINE</v>
      </c>
      <c r="EQ93" t="str">
        <v>LOOR SOLORZANO ROSA MARIA</v>
      </c>
      <c r="ER93" t="str">
        <v>LOPEZ DELGADO RONALD MAURICIO</v>
      </c>
      <c r="ES93" t="str">
        <v>MACIAS VALENCIA DAVID GABRIEL</v>
      </c>
      <c r="ET93" t="str">
        <v>MENDOZA ZAMORA WALTER MANUEL</v>
      </c>
      <c r="EU93" t="str">
        <v>MOLINA CEVALLOS MARIA LORENA</v>
      </c>
      <c r="EV93" t="str">
        <v>MURILLO DELGADO ISAAC GABRIEL</v>
      </c>
      <c r="EW93" t="str">
        <v>ANGULO MURILLO NAVIRA GISSELA</v>
      </c>
      <c r="EX93" t="str">
        <v>OCHOA SOLEDISPA NESTOR IVAN</v>
      </c>
      <c r="EY93" t="str">
        <v>PARRAGA FRANCO SILVANA MARIELA</v>
      </c>
      <c r="EZ93" t="str">
        <v>PINARGOTE VASQUEZ NANCY FABIOLA</v>
      </c>
      <c r="FA93" t="str">
        <v>REYES VELEZ PEDRO ENRIQUE</v>
      </c>
      <c r="FB93" t="str">
        <v>SAN ANDRES HORMAZA DALLAS CECILIA</v>
      </c>
      <c r="FC93" t="str">
        <v>SORNOZA ZAMORA JUAN CARLOS</v>
      </c>
      <c r="FD93" t="str">
        <v>TOMALA PINTO JESUS JACINTO</v>
      </c>
      <c r="FE93" t="str">
        <v>VALLE JARAMILLO SILVIA ARACELY</v>
      </c>
      <c r="FF93" t="str">
        <v>VELÁSQUEZ BRAVO IRMA KATHERINE</v>
      </c>
      <c r="FG93" t="str">
        <v>VELEZ MENDOZA LAYSY VALERIA</v>
      </c>
      <c r="FH93" t="str">
        <v>VINUEZA TELLO SHIRLEY ELIZABETH</v>
      </c>
      <c r="FI93" t="str">
        <v>ZAMBRANO ALCIVAR NILDA ISABEL</v>
      </c>
      <c r="FJ93" t="str">
        <v>ZAMBRANO LOOR RITA MAYDA</v>
      </c>
      <c r="FK93" t="str">
        <v>ZAMBRANO VERA MONICA JANETH</v>
      </c>
      <c r="FL93" t="str">
        <v>VERA DELGADO BRYAN ADRIÁN</v>
      </c>
      <c r="FM93" t="str">
        <v>MORAN GONZALES DAVID RENATO</v>
      </c>
      <c r="FN93">
        <v>0</v>
      </c>
    </row>
    <row r="94" spans="1:170" ht="20.25" customHeight="1">
      <c r="A94" s="4" t="str" cm="1">
        <f t="array" ref="A94">TRANSPOSE(_xlfn.UNIQUE(_xlfn._xlws.FILTER(MAE_ASIGNATURA[ID_NIVEL],MAE_ASIGNATURA[ID_CARRERA]=ASIGNACION!$C94,"No existe información")))</f>
        <v>No existe información</v>
      </c>
      <c r="S94" s="4" t="str" cm="1">
        <f t="array" ref="S94">TRANSPOSE(_xlfn.UNIQUE(_xlfn._xlws.FILTER(MAE_ASIGNATURA[NOM_ASIG],(MAE_ASIGNATURA[ID_NIVEL]=ASIGNACION!$D94)*(MAE_ASIGNATURA[ID_CARRERA]=ASIGNACION!$C94),"No existe información")))</f>
        <v>No existe información</v>
      </c>
      <c r="BD94" s="4" t="str" cm="1">
        <f t="array" ref="BD94">TRANSPOSE(_xlfn.UNIQUE(_xlfn._xlws.FILTER(DET_ASIG[DETALLADO],(DET_ASIG[ID_CARRERA]=ASIGNACION!$C94)*(DET_ASIG[NIVEL]=ASIGNACION!$D94)*(DET_ASIG[ID_ASIG]=ASIGNACION!$G94),"No existe información")))</f>
        <v>No existe información</v>
      </c>
      <c r="BQ94" s="5" t="str" cm="1">
        <f t="array" ref="BQ94">IFERROR(
    TRANSPOSE(
        _xlfn.UNIQUE(
            _xlfn._xlws.FILTER(MAESTRIA_DETALLADO[MAESTRIA],
                ISNUMBER(MATCH(MAESTRIA_DETALLADO[CAMPO_DETALLADO],
                BD94:BP94,0))
            )
        )
    ),IF(BD94="ACTIVIDAD","DOCENCIA",""))</f>
        <v/>
      </c>
      <c r="EA94" s="5" t="str" cm="1">
        <f t="array" ref="EA94:FN94">IF(
    ASIGNACION!I94="SI",
    IFERROR(
        TRANSPOSE(
            _xlfn.UNIQUE(
                _xlfn._xlws.FILTER(EDU_DOCENTE[NOMBRE_DOCENTE],
                    ISNUMBER(MATCH(EDU_DOCENTE[MAESTRIA],
                    BQ94:DY94,0))
                )
            )
        ),
        ""
    ),
    TRANSPOSE(
        _xlfn.UNIQUE(EDU_DOCENTE[NOMBRE_DOCENTE]
        )
    )
)</f>
        <v>ALCIVAR CEDEÑO BEATRIZ ISABEL</v>
      </c>
      <c r="EB94" t="str">
        <v>ALCIVAR VERA GEMA MICHELLE</v>
      </c>
      <c r="EC94" t="str">
        <v>ARAUZ CHAVEZ MARIO ROBERTO</v>
      </c>
      <c r="ED94" t="str">
        <v>BAILON LOURIDO WALTER ALBERTO</v>
      </c>
      <c r="EE94" t="str">
        <v>CALDERERO VILLAGOMEZ ERICK ANTONIO</v>
      </c>
      <c r="EF94" t="str">
        <v>CASTILLO GARCIA PAOLA GERMANIA</v>
      </c>
      <c r="EG94" t="str">
        <v>CEDEÑO CHOEZ PEDRO JAVIER</v>
      </c>
      <c r="EH94" t="str">
        <v>CEVALLOS HOPPE JUAN CARLOS</v>
      </c>
      <c r="EI94" t="str">
        <v>DELGADO CHAVEZ MARIA IRASEMA</v>
      </c>
      <c r="EJ94" t="str">
        <v>DUARTE VALENCIA CRISTHIAN DARIO</v>
      </c>
      <c r="EK94" t="str">
        <v>FORTTY BARBERAN DENNY ALEXANDER</v>
      </c>
      <c r="EL94" t="str">
        <v>GUTIERREZ ZAMBRANO CARMEN EBELINA</v>
      </c>
      <c r="EM94" t="str">
        <v>INTRIAGO MOLINA GEMA VALERIA</v>
      </c>
      <c r="EN94" t="str">
        <v>LINO VELEZ LEONEL LIVINGTON</v>
      </c>
      <c r="EO94" t="str">
        <v>LOOR ALCIVAR MARIA ILIANA</v>
      </c>
      <c r="EP94" t="str">
        <v>LOOR MIELES TANIA JACQUELINE</v>
      </c>
      <c r="EQ94" t="str">
        <v>LOOR SOLORZANO ROSA MARIA</v>
      </c>
      <c r="ER94" t="str">
        <v>LOPEZ DELGADO RONALD MAURICIO</v>
      </c>
      <c r="ES94" t="str">
        <v>MACIAS VALENCIA DAVID GABRIEL</v>
      </c>
      <c r="ET94" t="str">
        <v>MENDOZA ZAMORA WALTER MANUEL</v>
      </c>
      <c r="EU94" t="str">
        <v>MOLINA CEVALLOS MARIA LORENA</v>
      </c>
      <c r="EV94" t="str">
        <v>MURILLO DELGADO ISAAC GABRIEL</v>
      </c>
      <c r="EW94" t="str">
        <v>ANGULO MURILLO NAVIRA GISSELA</v>
      </c>
      <c r="EX94" t="str">
        <v>OCHOA SOLEDISPA NESTOR IVAN</v>
      </c>
      <c r="EY94" t="str">
        <v>PARRAGA FRANCO SILVANA MARIELA</v>
      </c>
      <c r="EZ94" t="str">
        <v>PINARGOTE VASQUEZ NANCY FABIOLA</v>
      </c>
      <c r="FA94" t="str">
        <v>REYES VELEZ PEDRO ENRIQUE</v>
      </c>
      <c r="FB94" t="str">
        <v>SAN ANDRES HORMAZA DALLAS CECILIA</v>
      </c>
      <c r="FC94" t="str">
        <v>SORNOZA ZAMORA JUAN CARLOS</v>
      </c>
      <c r="FD94" t="str">
        <v>TOMALA PINTO JESUS JACINTO</v>
      </c>
      <c r="FE94" t="str">
        <v>VALLE JARAMILLO SILVIA ARACELY</v>
      </c>
      <c r="FF94" t="str">
        <v>VELÁSQUEZ BRAVO IRMA KATHERINE</v>
      </c>
      <c r="FG94" t="str">
        <v>VELEZ MENDOZA LAYSY VALERIA</v>
      </c>
      <c r="FH94" t="str">
        <v>VINUEZA TELLO SHIRLEY ELIZABETH</v>
      </c>
      <c r="FI94" t="str">
        <v>ZAMBRANO ALCIVAR NILDA ISABEL</v>
      </c>
      <c r="FJ94" t="str">
        <v>ZAMBRANO LOOR RITA MAYDA</v>
      </c>
      <c r="FK94" t="str">
        <v>ZAMBRANO VERA MONICA JANETH</v>
      </c>
      <c r="FL94" t="str">
        <v>VERA DELGADO BRYAN ADRIÁN</v>
      </c>
      <c r="FM94" t="str">
        <v>MORAN GONZALES DAVID RENATO</v>
      </c>
      <c r="FN94">
        <v>0</v>
      </c>
    </row>
    <row r="95" spans="1:170" ht="20.25" customHeight="1">
      <c r="A95" s="4" t="str" cm="1">
        <f t="array" ref="A95">TRANSPOSE(_xlfn.UNIQUE(_xlfn._xlws.FILTER(MAE_ASIGNATURA[ID_NIVEL],MAE_ASIGNATURA[ID_CARRERA]=ASIGNACION!$C95,"No existe información")))</f>
        <v>No existe información</v>
      </c>
      <c r="S95" s="4" t="str" cm="1">
        <f t="array" ref="S95">TRANSPOSE(_xlfn.UNIQUE(_xlfn._xlws.FILTER(MAE_ASIGNATURA[NOM_ASIG],(MAE_ASIGNATURA[ID_NIVEL]=ASIGNACION!$D95)*(MAE_ASIGNATURA[ID_CARRERA]=ASIGNACION!$C95),"No existe información")))</f>
        <v>No existe información</v>
      </c>
      <c r="BD95" s="4" t="str" cm="1">
        <f t="array" ref="BD95">TRANSPOSE(_xlfn.UNIQUE(_xlfn._xlws.FILTER(DET_ASIG[DETALLADO],(DET_ASIG[ID_CARRERA]=ASIGNACION!$C95)*(DET_ASIG[NIVEL]=ASIGNACION!$D95)*(DET_ASIG[ID_ASIG]=ASIGNACION!$G95),"No existe información")))</f>
        <v>No existe información</v>
      </c>
      <c r="BQ95" s="5" t="str" cm="1">
        <f t="array" ref="BQ95">IFERROR(
    TRANSPOSE(
        _xlfn.UNIQUE(
            _xlfn._xlws.FILTER(MAESTRIA_DETALLADO[MAESTRIA],
                ISNUMBER(MATCH(MAESTRIA_DETALLADO[CAMPO_DETALLADO],
                BD95:BP95,0))
            )
        )
    ),IF(BD95="ACTIVIDAD","DOCENCIA",""))</f>
        <v/>
      </c>
      <c r="EA95" s="5" t="str" cm="1">
        <f t="array" ref="EA95:FN95">IF(
    ASIGNACION!I95="SI",
    IFERROR(
        TRANSPOSE(
            _xlfn.UNIQUE(
                _xlfn._xlws.FILTER(EDU_DOCENTE[NOMBRE_DOCENTE],
                    ISNUMBER(MATCH(EDU_DOCENTE[MAESTRIA],
                    BQ95:DY95,0))
                )
            )
        ),
        ""
    ),
    TRANSPOSE(
        _xlfn.UNIQUE(EDU_DOCENTE[NOMBRE_DOCENTE]
        )
    )
)</f>
        <v>ALCIVAR CEDEÑO BEATRIZ ISABEL</v>
      </c>
      <c r="EB95" t="str">
        <v>ALCIVAR VERA GEMA MICHELLE</v>
      </c>
      <c r="EC95" t="str">
        <v>ARAUZ CHAVEZ MARIO ROBERTO</v>
      </c>
      <c r="ED95" t="str">
        <v>BAILON LOURIDO WALTER ALBERTO</v>
      </c>
      <c r="EE95" t="str">
        <v>CALDERERO VILLAGOMEZ ERICK ANTONIO</v>
      </c>
      <c r="EF95" t="str">
        <v>CASTILLO GARCIA PAOLA GERMANIA</v>
      </c>
      <c r="EG95" t="str">
        <v>CEDEÑO CHOEZ PEDRO JAVIER</v>
      </c>
      <c r="EH95" t="str">
        <v>CEVALLOS HOPPE JUAN CARLOS</v>
      </c>
      <c r="EI95" t="str">
        <v>DELGADO CHAVEZ MARIA IRASEMA</v>
      </c>
      <c r="EJ95" t="str">
        <v>DUARTE VALENCIA CRISTHIAN DARIO</v>
      </c>
      <c r="EK95" t="str">
        <v>FORTTY BARBERAN DENNY ALEXANDER</v>
      </c>
      <c r="EL95" t="str">
        <v>GUTIERREZ ZAMBRANO CARMEN EBELINA</v>
      </c>
      <c r="EM95" t="str">
        <v>INTRIAGO MOLINA GEMA VALERIA</v>
      </c>
      <c r="EN95" t="str">
        <v>LINO VELEZ LEONEL LIVINGTON</v>
      </c>
      <c r="EO95" t="str">
        <v>LOOR ALCIVAR MARIA ILIANA</v>
      </c>
      <c r="EP95" t="str">
        <v>LOOR MIELES TANIA JACQUELINE</v>
      </c>
      <c r="EQ95" t="str">
        <v>LOOR SOLORZANO ROSA MARIA</v>
      </c>
      <c r="ER95" t="str">
        <v>LOPEZ DELGADO RONALD MAURICIO</v>
      </c>
      <c r="ES95" t="str">
        <v>MACIAS VALENCIA DAVID GABRIEL</v>
      </c>
      <c r="ET95" t="str">
        <v>MENDOZA ZAMORA WALTER MANUEL</v>
      </c>
      <c r="EU95" t="str">
        <v>MOLINA CEVALLOS MARIA LORENA</v>
      </c>
      <c r="EV95" t="str">
        <v>MURILLO DELGADO ISAAC GABRIEL</v>
      </c>
      <c r="EW95" t="str">
        <v>ANGULO MURILLO NAVIRA GISSELA</v>
      </c>
      <c r="EX95" t="str">
        <v>OCHOA SOLEDISPA NESTOR IVAN</v>
      </c>
      <c r="EY95" t="str">
        <v>PARRAGA FRANCO SILVANA MARIELA</v>
      </c>
      <c r="EZ95" t="str">
        <v>PINARGOTE VASQUEZ NANCY FABIOLA</v>
      </c>
      <c r="FA95" t="str">
        <v>REYES VELEZ PEDRO ENRIQUE</v>
      </c>
      <c r="FB95" t="str">
        <v>SAN ANDRES HORMAZA DALLAS CECILIA</v>
      </c>
      <c r="FC95" t="str">
        <v>SORNOZA ZAMORA JUAN CARLOS</v>
      </c>
      <c r="FD95" t="str">
        <v>TOMALA PINTO JESUS JACINTO</v>
      </c>
      <c r="FE95" t="str">
        <v>VALLE JARAMILLO SILVIA ARACELY</v>
      </c>
      <c r="FF95" t="str">
        <v>VELÁSQUEZ BRAVO IRMA KATHERINE</v>
      </c>
      <c r="FG95" t="str">
        <v>VELEZ MENDOZA LAYSY VALERIA</v>
      </c>
      <c r="FH95" t="str">
        <v>VINUEZA TELLO SHIRLEY ELIZABETH</v>
      </c>
      <c r="FI95" t="str">
        <v>ZAMBRANO ALCIVAR NILDA ISABEL</v>
      </c>
      <c r="FJ95" t="str">
        <v>ZAMBRANO LOOR RITA MAYDA</v>
      </c>
      <c r="FK95" t="str">
        <v>ZAMBRANO VERA MONICA JANETH</v>
      </c>
      <c r="FL95" t="str">
        <v>VERA DELGADO BRYAN ADRIÁN</v>
      </c>
      <c r="FM95" t="str">
        <v>MORAN GONZALES DAVID RENATO</v>
      </c>
      <c r="FN95">
        <v>0</v>
      </c>
    </row>
    <row r="96" spans="1:170" ht="20.25" customHeight="1">
      <c r="A96" s="4" t="str" cm="1">
        <f t="array" ref="A96">TRANSPOSE(_xlfn.UNIQUE(_xlfn._xlws.FILTER(MAE_ASIGNATURA[ID_NIVEL],MAE_ASIGNATURA[ID_CARRERA]=ASIGNACION!$C96,"No existe información")))</f>
        <v>No existe información</v>
      </c>
      <c r="S96" s="4" t="str" cm="1">
        <f t="array" ref="S96">TRANSPOSE(_xlfn.UNIQUE(_xlfn._xlws.FILTER(MAE_ASIGNATURA[NOM_ASIG],(MAE_ASIGNATURA[ID_NIVEL]=ASIGNACION!$D96)*(MAE_ASIGNATURA[ID_CARRERA]=ASIGNACION!$C96),"No existe información")))</f>
        <v>No existe información</v>
      </c>
      <c r="BD96" s="4" t="str" cm="1">
        <f t="array" ref="BD96">TRANSPOSE(_xlfn.UNIQUE(_xlfn._xlws.FILTER(DET_ASIG[DETALLADO],(DET_ASIG[ID_CARRERA]=ASIGNACION!$C96)*(DET_ASIG[NIVEL]=ASIGNACION!$D96)*(DET_ASIG[ID_ASIG]=ASIGNACION!$G96),"No existe información")))</f>
        <v>No existe información</v>
      </c>
      <c r="BQ96" s="5" t="str" cm="1">
        <f t="array" ref="BQ96">IFERROR(
    TRANSPOSE(
        _xlfn.UNIQUE(
            _xlfn._xlws.FILTER(MAESTRIA_DETALLADO[MAESTRIA],
                ISNUMBER(MATCH(MAESTRIA_DETALLADO[CAMPO_DETALLADO],
                BD96:BP96,0))
            )
        )
    ),IF(BD96="ACTIVIDAD","DOCENCIA",""))</f>
        <v/>
      </c>
      <c r="EA96" s="5" t="str" cm="1">
        <f t="array" ref="EA96:FN96">IF(
    ASIGNACION!I96="SI",
    IFERROR(
        TRANSPOSE(
            _xlfn.UNIQUE(
                _xlfn._xlws.FILTER(EDU_DOCENTE[NOMBRE_DOCENTE],
                    ISNUMBER(MATCH(EDU_DOCENTE[MAESTRIA],
                    BQ96:DY96,0))
                )
            )
        ),
        ""
    ),
    TRANSPOSE(
        _xlfn.UNIQUE(EDU_DOCENTE[NOMBRE_DOCENTE]
        )
    )
)</f>
        <v>ALCIVAR CEDEÑO BEATRIZ ISABEL</v>
      </c>
      <c r="EB96" t="str">
        <v>ALCIVAR VERA GEMA MICHELLE</v>
      </c>
      <c r="EC96" t="str">
        <v>ARAUZ CHAVEZ MARIO ROBERTO</v>
      </c>
      <c r="ED96" t="str">
        <v>BAILON LOURIDO WALTER ALBERTO</v>
      </c>
      <c r="EE96" t="str">
        <v>CALDERERO VILLAGOMEZ ERICK ANTONIO</v>
      </c>
      <c r="EF96" t="str">
        <v>CASTILLO GARCIA PAOLA GERMANIA</v>
      </c>
      <c r="EG96" t="str">
        <v>CEDEÑO CHOEZ PEDRO JAVIER</v>
      </c>
      <c r="EH96" t="str">
        <v>CEVALLOS HOPPE JUAN CARLOS</v>
      </c>
      <c r="EI96" t="str">
        <v>DELGADO CHAVEZ MARIA IRASEMA</v>
      </c>
      <c r="EJ96" t="str">
        <v>DUARTE VALENCIA CRISTHIAN DARIO</v>
      </c>
      <c r="EK96" t="str">
        <v>FORTTY BARBERAN DENNY ALEXANDER</v>
      </c>
      <c r="EL96" t="str">
        <v>GUTIERREZ ZAMBRANO CARMEN EBELINA</v>
      </c>
      <c r="EM96" t="str">
        <v>INTRIAGO MOLINA GEMA VALERIA</v>
      </c>
      <c r="EN96" t="str">
        <v>LINO VELEZ LEONEL LIVINGTON</v>
      </c>
      <c r="EO96" t="str">
        <v>LOOR ALCIVAR MARIA ILIANA</v>
      </c>
      <c r="EP96" t="str">
        <v>LOOR MIELES TANIA JACQUELINE</v>
      </c>
      <c r="EQ96" t="str">
        <v>LOOR SOLORZANO ROSA MARIA</v>
      </c>
      <c r="ER96" t="str">
        <v>LOPEZ DELGADO RONALD MAURICIO</v>
      </c>
      <c r="ES96" t="str">
        <v>MACIAS VALENCIA DAVID GABRIEL</v>
      </c>
      <c r="ET96" t="str">
        <v>MENDOZA ZAMORA WALTER MANUEL</v>
      </c>
      <c r="EU96" t="str">
        <v>MOLINA CEVALLOS MARIA LORENA</v>
      </c>
      <c r="EV96" t="str">
        <v>MURILLO DELGADO ISAAC GABRIEL</v>
      </c>
      <c r="EW96" t="str">
        <v>ANGULO MURILLO NAVIRA GISSELA</v>
      </c>
      <c r="EX96" t="str">
        <v>OCHOA SOLEDISPA NESTOR IVAN</v>
      </c>
      <c r="EY96" t="str">
        <v>PARRAGA FRANCO SILVANA MARIELA</v>
      </c>
      <c r="EZ96" t="str">
        <v>PINARGOTE VASQUEZ NANCY FABIOLA</v>
      </c>
      <c r="FA96" t="str">
        <v>REYES VELEZ PEDRO ENRIQUE</v>
      </c>
      <c r="FB96" t="str">
        <v>SAN ANDRES HORMAZA DALLAS CECILIA</v>
      </c>
      <c r="FC96" t="str">
        <v>SORNOZA ZAMORA JUAN CARLOS</v>
      </c>
      <c r="FD96" t="str">
        <v>TOMALA PINTO JESUS JACINTO</v>
      </c>
      <c r="FE96" t="str">
        <v>VALLE JARAMILLO SILVIA ARACELY</v>
      </c>
      <c r="FF96" t="str">
        <v>VELÁSQUEZ BRAVO IRMA KATHERINE</v>
      </c>
      <c r="FG96" t="str">
        <v>VELEZ MENDOZA LAYSY VALERIA</v>
      </c>
      <c r="FH96" t="str">
        <v>VINUEZA TELLO SHIRLEY ELIZABETH</v>
      </c>
      <c r="FI96" t="str">
        <v>ZAMBRANO ALCIVAR NILDA ISABEL</v>
      </c>
      <c r="FJ96" t="str">
        <v>ZAMBRANO LOOR RITA MAYDA</v>
      </c>
      <c r="FK96" t="str">
        <v>ZAMBRANO VERA MONICA JANETH</v>
      </c>
      <c r="FL96" t="str">
        <v>VERA DELGADO BRYAN ADRIÁN</v>
      </c>
      <c r="FM96" t="str">
        <v>MORAN GONZALES DAVID RENATO</v>
      </c>
      <c r="FN96">
        <v>0</v>
      </c>
    </row>
    <row r="97" spans="1:170" ht="20.25" customHeight="1">
      <c r="A97" s="4" t="str" cm="1">
        <f t="array" ref="A97">TRANSPOSE(_xlfn.UNIQUE(_xlfn._xlws.FILTER(MAE_ASIGNATURA[ID_NIVEL],MAE_ASIGNATURA[ID_CARRERA]=ASIGNACION!$C97,"No existe información")))</f>
        <v>No existe información</v>
      </c>
      <c r="S97" s="4" t="str" cm="1">
        <f t="array" ref="S97">TRANSPOSE(_xlfn.UNIQUE(_xlfn._xlws.FILTER(MAE_ASIGNATURA[NOM_ASIG],(MAE_ASIGNATURA[ID_NIVEL]=ASIGNACION!$D97)*(MAE_ASIGNATURA[ID_CARRERA]=ASIGNACION!$C97),"No existe información")))</f>
        <v>No existe información</v>
      </c>
      <c r="BD97" s="4" t="str" cm="1">
        <f t="array" ref="BD97">TRANSPOSE(_xlfn.UNIQUE(_xlfn._xlws.FILTER(DET_ASIG[DETALLADO],(DET_ASIG[ID_CARRERA]=ASIGNACION!$C97)*(DET_ASIG[NIVEL]=ASIGNACION!$D97)*(DET_ASIG[ID_ASIG]=ASIGNACION!$G97),"No existe información")))</f>
        <v>No existe información</v>
      </c>
      <c r="BQ97" s="5" t="str" cm="1">
        <f t="array" ref="BQ97">IFERROR(
    TRANSPOSE(
        _xlfn.UNIQUE(
            _xlfn._xlws.FILTER(MAESTRIA_DETALLADO[MAESTRIA],
                ISNUMBER(MATCH(MAESTRIA_DETALLADO[CAMPO_DETALLADO],
                BD97:BP97,0))
            )
        )
    ),IF(BD97="ACTIVIDAD","DOCENCIA",""))</f>
        <v/>
      </c>
      <c r="EA97" s="5" t="str" cm="1">
        <f t="array" ref="EA97:FN97">IF(
    ASIGNACION!I97="SI",
    IFERROR(
        TRANSPOSE(
            _xlfn.UNIQUE(
                _xlfn._xlws.FILTER(EDU_DOCENTE[NOMBRE_DOCENTE],
                    ISNUMBER(MATCH(EDU_DOCENTE[MAESTRIA],
                    BQ97:DY97,0))
                )
            )
        ),
        ""
    ),
    TRANSPOSE(
        _xlfn.UNIQUE(EDU_DOCENTE[NOMBRE_DOCENTE]
        )
    )
)</f>
        <v>ALCIVAR CEDEÑO BEATRIZ ISABEL</v>
      </c>
      <c r="EB97" t="str">
        <v>ALCIVAR VERA GEMA MICHELLE</v>
      </c>
      <c r="EC97" t="str">
        <v>ARAUZ CHAVEZ MARIO ROBERTO</v>
      </c>
      <c r="ED97" t="str">
        <v>BAILON LOURIDO WALTER ALBERTO</v>
      </c>
      <c r="EE97" t="str">
        <v>CALDERERO VILLAGOMEZ ERICK ANTONIO</v>
      </c>
      <c r="EF97" t="str">
        <v>CASTILLO GARCIA PAOLA GERMANIA</v>
      </c>
      <c r="EG97" t="str">
        <v>CEDEÑO CHOEZ PEDRO JAVIER</v>
      </c>
      <c r="EH97" t="str">
        <v>CEVALLOS HOPPE JUAN CARLOS</v>
      </c>
      <c r="EI97" t="str">
        <v>DELGADO CHAVEZ MARIA IRASEMA</v>
      </c>
      <c r="EJ97" t="str">
        <v>DUARTE VALENCIA CRISTHIAN DARIO</v>
      </c>
      <c r="EK97" t="str">
        <v>FORTTY BARBERAN DENNY ALEXANDER</v>
      </c>
      <c r="EL97" t="str">
        <v>GUTIERREZ ZAMBRANO CARMEN EBELINA</v>
      </c>
      <c r="EM97" t="str">
        <v>INTRIAGO MOLINA GEMA VALERIA</v>
      </c>
      <c r="EN97" t="str">
        <v>LINO VELEZ LEONEL LIVINGTON</v>
      </c>
      <c r="EO97" t="str">
        <v>LOOR ALCIVAR MARIA ILIANA</v>
      </c>
      <c r="EP97" t="str">
        <v>LOOR MIELES TANIA JACQUELINE</v>
      </c>
      <c r="EQ97" t="str">
        <v>LOOR SOLORZANO ROSA MARIA</v>
      </c>
      <c r="ER97" t="str">
        <v>LOPEZ DELGADO RONALD MAURICIO</v>
      </c>
      <c r="ES97" t="str">
        <v>MACIAS VALENCIA DAVID GABRIEL</v>
      </c>
      <c r="ET97" t="str">
        <v>MENDOZA ZAMORA WALTER MANUEL</v>
      </c>
      <c r="EU97" t="str">
        <v>MOLINA CEVALLOS MARIA LORENA</v>
      </c>
      <c r="EV97" t="str">
        <v>MURILLO DELGADO ISAAC GABRIEL</v>
      </c>
      <c r="EW97" t="str">
        <v>ANGULO MURILLO NAVIRA GISSELA</v>
      </c>
      <c r="EX97" t="str">
        <v>OCHOA SOLEDISPA NESTOR IVAN</v>
      </c>
      <c r="EY97" t="str">
        <v>PARRAGA FRANCO SILVANA MARIELA</v>
      </c>
      <c r="EZ97" t="str">
        <v>PINARGOTE VASQUEZ NANCY FABIOLA</v>
      </c>
      <c r="FA97" t="str">
        <v>REYES VELEZ PEDRO ENRIQUE</v>
      </c>
      <c r="FB97" t="str">
        <v>SAN ANDRES HORMAZA DALLAS CECILIA</v>
      </c>
      <c r="FC97" t="str">
        <v>SORNOZA ZAMORA JUAN CARLOS</v>
      </c>
      <c r="FD97" t="str">
        <v>TOMALA PINTO JESUS JACINTO</v>
      </c>
      <c r="FE97" t="str">
        <v>VALLE JARAMILLO SILVIA ARACELY</v>
      </c>
      <c r="FF97" t="str">
        <v>VELÁSQUEZ BRAVO IRMA KATHERINE</v>
      </c>
      <c r="FG97" t="str">
        <v>VELEZ MENDOZA LAYSY VALERIA</v>
      </c>
      <c r="FH97" t="str">
        <v>VINUEZA TELLO SHIRLEY ELIZABETH</v>
      </c>
      <c r="FI97" t="str">
        <v>ZAMBRANO ALCIVAR NILDA ISABEL</v>
      </c>
      <c r="FJ97" t="str">
        <v>ZAMBRANO LOOR RITA MAYDA</v>
      </c>
      <c r="FK97" t="str">
        <v>ZAMBRANO VERA MONICA JANETH</v>
      </c>
      <c r="FL97" t="str">
        <v>VERA DELGADO BRYAN ADRIÁN</v>
      </c>
      <c r="FM97" t="str">
        <v>MORAN GONZALES DAVID RENATO</v>
      </c>
      <c r="FN97">
        <v>0</v>
      </c>
    </row>
    <row r="98" spans="1:170" ht="20.25" customHeight="1">
      <c r="A98" s="4" t="str" cm="1">
        <f t="array" ref="A98">TRANSPOSE(_xlfn.UNIQUE(_xlfn._xlws.FILTER(MAE_ASIGNATURA[ID_NIVEL],MAE_ASIGNATURA[ID_CARRERA]=ASIGNACION!$C98,"No existe información")))</f>
        <v>No existe información</v>
      </c>
      <c r="S98" s="4" t="str" cm="1">
        <f t="array" ref="S98">TRANSPOSE(_xlfn.UNIQUE(_xlfn._xlws.FILTER(MAE_ASIGNATURA[NOM_ASIG],(MAE_ASIGNATURA[ID_NIVEL]=ASIGNACION!$D98)*(MAE_ASIGNATURA[ID_CARRERA]=ASIGNACION!$C98),"No existe información")))</f>
        <v>No existe información</v>
      </c>
      <c r="BD98" s="4" t="str" cm="1">
        <f t="array" ref="BD98">TRANSPOSE(_xlfn.UNIQUE(_xlfn._xlws.FILTER(DET_ASIG[DETALLADO],(DET_ASIG[ID_CARRERA]=ASIGNACION!$C98)*(DET_ASIG[NIVEL]=ASIGNACION!$D98)*(DET_ASIG[ID_ASIG]=ASIGNACION!$G98),"No existe información")))</f>
        <v>No existe información</v>
      </c>
      <c r="BQ98" s="5" t="str" cm="1">
        <f t="array" ref="BQ98">IFERROR(
    TRANSPOSE(
        _xlfn.UNIQUE(
            _xlfn._xlws.FILTER(MAESTRIA_DETALLADO[MAESTRIA],
                ISNUMBER(MATCH(MAESTRIA_DETALLADO[CAMPO_DETALLADO],
                BD98:BP98,0))
            )
        )
    ),IF(BD98="ACTIVIDAD","DOCENCIA",""))</f>
        <v/>
      </c>
      <c r="EA98" s="5" t="str" cm="1">
        <f t="array" ref="EA98:FN98">IF(
    ASIGNACION!I98="SI",
    IFERROR(
        TRANSPOSE(
            _xlfn.UNIQUE(
                _xlfn._xlws.FILTER(EDU_DOCENTE[NOMBRE_DOCENTE],
                    ISNUMBER(MATCH(EDU_DOCENTE[MAESTRIA],
                    BQ98:DY98,0))
                )
            )
        ),
        ""
    ),
    TRANSPOSE(
        _xlfn.UNIQUE(EDU_DOCENTE[NOMBRE_DOCENTE]
        )
    )
)</f>
        <v>ALCIVAR CEDEÑO BEATRIZ ISABEL</v>
      </c>
      <c r="EB98" t="str">
        <v>ALCIVAR VERA GEMA MICHELLE</v>
      </c>
      <c r="EC98" t="str">
        <v>ARAUZ CHAVEZ MARIO ROBERTO</v>
      </c>
      <c r="ED98" t="str">
        <v>BAILON LOURIDO WALTER ALBERTO</v>
      </c>
      <c r="EE98" t="str">
        <v>CALDERERO VILLAGOMEZ ERICK ANTONIO</v>
      </c>
      <c r="EF98" t="str">
        <v>CASTILLO GARCIA PAOLA GERMANIA</v>
      </c>
      <c r="EG98" t="str">
        <v>CEDEÑO CHOEZ PEDRO JAVIER</v>
      </c>
      <c r="EH98" t="str">
        <v>CEVALLOS HOPPE JUAN CARLOS</v>
      </c>
      <c r="EI98" t="str">
        <v>DELGADO CHAVEZ MARIA IRASEMA</v>
      </c>
      <c r="EJ98" t="str">
        <v>DUARTE VALENCIA CRISTHIAN DARIO</v>
      </c>
      <c r="EK98" t="str">
        <v>FORTTY BARBERAN DENNY ALEXANDER</v>
      </c>
      <c r="EL98" t="str">
        <v>GUTIERREZ ZAMBRANO CARMEN EBELINA</v>
      </c>
      <c r="EM98" t="str">
        <v>INTRIAGO MOLINA GEMA VALERIA</v>
      </c>
      <c r="EN98" t="str">
        <v>LINO VELEZ LEONEL LIVINGTON</v>
      </c>
      <c r="EO98" t="str">
        <v>LOOR ALCIVAR MARIA ILIANA</v>
      </c>
      <c r="EP98" t="str">
        <v>LOOR MIELES TANIA JACQUELINE</v>
      </c>
      <c r="EQ98" t="str">
        <v>LOOR SOLORZANO ROSA MARIA</v>
      </c>
      <c r="ER98" t="str">
        <v>LOPEZ DELGADO RONALD MAURICIO</v>
      </c>
      <c r="ES98" t="str">
        <v>MACIAS VALENCIA DAVID GABRIEL</v>
      </c>
      <c r="ET98" t="str">
        <v>MENDOZA ZAMORA WALTER MANUEL</v>
      </c>
      <c r="EU98" t="str">
        <v>MOLINA CEVALLOS MARIA LORENA</v>
      </c>
      <c r="EV98" t="str">
        <v>MURILLO DELGADO ISAAC GABRIEL</v>
      </c>
      <c r="EW98" t="str">
        <v>ANGULO MURILLO NAVIRA GISSELA</v>
      </c>
      <c r="EX98" t="str">
        <v>OCHOA SOLEDISPA NESTOR IVAN</v>
      </c>
      <c r="EY98" t="str">
        <v>PARRAGA FRANCO SILVANA MARIELA</v>
      </c>
      <c r="EZ98" t="str">
        <v>PINARGOTE VASQUEZ NANCY FABIOLA</v>
      </c>
      <c r="FA98" t="str">
        <v>REYES VELEZ PEDRO ENRIQUE</v>
      </c>
      <c r="FB98" t="str">
        <v>SAN ANDRES HORMAZA DALLAS CECILIA</v>
      </c>
      <c r="FC98" t="str">
        <v>SORNOZA ZAMORA JUAN CARLOS</v>
      </c>
      <c r="FD98" t="str">
        <v>TOMALA PINTO JESUS JACINTO</v>
      </c>
      <c r="FE98" t="str">
        <v>VALLE JARAMILLO SILVIA ARACELY</v>
      </c>
      <c r="FF98" t="str">
        <v>VELÁSQUEZ BRAVO IRMA KATHERINE</v>
      </c>
      <c r="FG98" t="str">
        <v>VELEZ MENDOZA LAYSY VALERIA</v>
      </c>
      <c r="FH98" t="str">
        <v>VINUEZA TELLO SHIRLEY ELIZABETH</v>
      </c>
      <c r="FI98" t="str">
        <v>ZAMBRANO ALCIVAR NILDA ISABEL</v>
      </c>
      <c r="FJ98" t="str">
        <v>ZAMBRANO LOOR RITA MAYDA</v>
      </c>
      <c r="FK98" t="str">
        <v>ZAMBRANO VERA MONICA JANETH</v>
      </c>
      <c r="FL98" t="str">
        <v>VERA DELGADO BRYAN ADRIÁN</v>
      </c>
      <c r="FM98" t="str">
        <v>MORAN GONZALES DAVID RENATO</v>
      </c>
      <c r="FN98">
        <v>0</v>
      </c>
    </row>
    <row r="99" spans="1:170" ht="20.25" customHeight="1">
      <c r="A99" s="4" t="str" cm="1">
        <f t="array" ref="A99">TRANSPOSE(_xlfn.UNIQUE(_xlfn._xlws.FILTER(MAE_ASIGNATURA[ID_NIVEL],MAE_ASIGNATURA[ID_CARRERA]=ASIGNACION!$C99,"No existe información")))</f>
        <v>No existe información</v>
      </c>
      <c r="S99" s="4" t="str" cm="1">
        <f t="array" ref="S99">TRANSPOSE(_xlfn.UNIQUE(_xlfn._xlws.FILTER(MAE_ASIGNATURA[NOM_ASIG],(MAE_ASIGNATURA[ID_NIVEL]=ASIGNACION!$D99)*(MAE_ASIGNATURA[ID_CARRERA]=ASIGNACION!$C99),"No existe información")))</f>
        <v>No existe información</v>
      </c>
      <c r="BD99" s="4" t="str" cm="1">
        <f t="array" ref="BD99">TRANSPOSE(_xlfn.UNIQUE(_xlfn._xlws.FILTER(DET_ASIG[DETALLADO],(DET_ASIG[ID_CARRERA]=ASIGNACION!$C99)*(DET_ASIG[NIVEL]=ASIGNACION!$D99)*(DET_ASIG[ID_ASIG]=ASIGNACION!$G99),"No existe información")))</f>
        <v>No existe información</v>
      </c>
      <c r="BQ99" s="5" t="str" cm="1">
        <f t="array" ref="BQ99">IFERROR(
    TRANSPOSE(
        _xlfn.UNIQUE(
            _xlfn._xlws.FILTER(MAESTRIA_DETALLADO[MAESTRIA],
                ISNUMBER(MATCH(MAESTRIA_DETALLADO[CAMPO_DETALLADO],
                BD99:BP99,0))
            )
        )
    ),IF(BD99="ACTIVIDAD","DOCENCIA",""))</f>
        <v/>
      </c>
      <c r="EA99" s="5" t="str" cm="1">
        <f t="array" ref="EA99:FN99">IF(
    ASIGNACION!I99="SI",
    IFERROR(
        TRANSPOSE(
            _xlfn.UNIQUE(
                _xlfn._xlws.FILTER(EDU_DOCENTE[NOMBRE_DOCENTE],
                    ISNUMBER(MATCH(EDU_DOCENTE[MAESTRIA],
                    BQ99:DY99,0))
                )
            )
        ),
        ""
    ),
    TRANSPOSE(
        _xlfn.UNIQUE(EDU_DOCENTE[NOMBRE_DOCENTE]
        )
    )
)</f>
        <v>ALCIVAR CEDEÑO BEATRIZ ISABEL</v>
      </c>
      <c r="EB99" t="str">
        <v>ALCIVAR VERA GEMA MICHELLE</v>
      </c>
      <c r="EC99" t="str">
        <v>ARAUZ CHAVEZ MARIO ROBERTO</v>
      </c>
      <c r="ED99" t="str">
        <v>BAILON LOURIDO WALTER ALBERTO</v>
      </c>
      <c r="EE99" t="str">
        <v>CALDERERO VILLAGOMEZ ERICK ANTONIO</v>
      </c>
      <c r="EF99" t="str">
        <v>CASTILLO GARCIA PAOLA GERMANIA</v>
      </c>
      <c r="EG99" t="str">
        <v>CEDEÑO CHOEZ PEDRO JAVIER</v>
      </c>
      <c r="EH99" t="str">
        <v>CEVALLOS HOPPE JUAN CARLOS</v>
      </c>
      <c r="EI99" t="str">
        <v>DELGADO CHAVEZ MARIA IRASEMA</v>
      </c>
      <c r="EJ99" t="str">
        <v>DUARTE VALENCIA CRISTHIAN DARIO</v>
      </c>
      <c r="EK99" t="str">
        <v>FORTTY BARBERAN DENNY ALEXANDER</v>
      </c>
      <c r="EL99" t="str">
        <v>GUTIERREZ ZAMBRANO CARMEN EBELINA</v>
      </c>
      <c r="EM99" t="str">
        <v>INTRIAGO MOLINA GEMA VALERIA</v>
      </c>
      <c r="EN99" t="str">
        <v>LINO VELEZ LEONEL LIVINGTON</v>
      </c>
      <c r="EO99" t="str">
        <v>LOOR ALCIVAR MARIA ILIANA</v>
      </c>
      <c r="EP99" t="str">
        <v>LOOR MIELES TANIA JACQUELINE</v>
      </c>
      <c r="EQ99" t="str">
        <v>LOOR SOLORZANO ROSA MARIA</v>
      </c>
      <c r="ER99" t="str">
        <v>LOPEZ DELGADO RONALD MAURICIO</v>
      </c>
      <c r="ES99" t="str">
        <v>MACIAS VALENCIA DAVID GABRIEL</v>
      </c>
      <c r="ET99" t="str">
        <v>MENDOZA ZAMORA WALTER MANUEL</v>
      </c>
      <c r="EU99" t="str">
        <v>MOLINA CEVALLOS MARIA LORENA</v>
      </c>
      <c r="EV99" t="str">
        <v>MURILLO DELGADO ISAAC GABRIEL</v>
      </c>
      <c r="EW99" t="str">
        <v>ANGULO MURILLO NAVIRA GISSELA</v>
      </c>
      <c r="EX99" t="str">
        <v>OCHOA SOLEDISPA NESTOR IVAN</v>
      </c>
      <c r="EY99" t="str">
        <v>PARRAGA FRANCO SILVANA MARIELA</v>
      </c>
      <c r="EZ99" t="str">
        <v>PINARGOTE VASQUEZ NANCY FABIOLA</v>
      </c>
      <c r="FA99" t="str">
        <v>REYES VELEZ PEDRO ENRIQUE</v>
      </c>
      <c r="FB99" t="str">
        <v>SAN ANDRES HORMAZA DALLAS CECILIA</v>
      </c>
      <c r="FC99" t="str">
        <v>SORNOZA ZAMORA JUAN CARLOS</v>
      </c>
      <c r="FD99" t="str">
        <v>TOMALA PINTO JESUS JACINTO</v>
      </c>
      <c r="FE99" t="str">
        <v>VALLE JARAMILLO SILVIA ARACELY</v>
      </c>
      <c r="FF99" t="str">
        <v>VELÁSQUEZ BRAVO IRMA KATHERINE</v>
      </c>
      <c r="FG99" t="str">
        <v>VELEZ MENDOZA LAYSY VALERIA</v>
      </c>
      <c r="FH99" t="str">
        <v>VINUEZA TELLO SHIRLEY ELIZABETH</v>
      </c>
      <c r="FI99" t="str">
        <v>ZAMBRANO ALCIVAR NILDA ISABEL</v>
      </c>
      <c r="FJ99" t="str">
        <v>ZAMBRANO LOOR RITA MAYDA</v>
      </c>
      <c r="FK99" t="str">
        <v>ZAMBRANO VERA MONICA JANETH</v>
      </c>
      <c r="FL99" t="str">
        <v>VERA DELGADO BRYAN ADRIÁN</v>
      </c>
      <c r="FM99" t="str">
        <v>MORAN GONZALES DAVID RENATO</v>
      </c>
      <c r="FN99">
        <v>0</v>
      </c>
    </row>
    <row r="100" spans="1:170" ht="20.25" customHeight="1">
      <c r="A100" s="4" t="str" cm="1">
        <f t="array" ref="A100">TRANSPOSE(_xlfn.UNIQUE(_xlfn._xlws.FILTER(MAE_ASIGNATURA[ID_NIVEL],MAE_ASIGNATURA[ID_CARRERA]=ASIGNACION!$C100,"No existe información")))</f>
        <v>No existe información</v>
      </c>
      <c r="S100" s="4" t="str" cm="1">
        <f t="array" ref="S100">TRANSPOSE(_xlfn.UNIQUE(_xlfn._xlws.FILTER(MAE_ASIGNATURA[NOM_ASIG],(MAE_ASIGNATURA[ID_NIVEL]=ASIGNACION!$D100)*(MAE_ASIGNATURA[ID_CARRERA]=ASIGNACION!$C100),"No existe información")))</f>
        <v>No existe información</v>
      </c>
      <c r="BD100" s="4" t="str" cm="1">
        <f t="array" ref="BD100">TRANSPOSE(_xlfn.UNIQUE(_xlfn._xlws.FILTER(DET_ASIG[DETALLADO],(DET_ASIG[ID_CARRERA]=ASIGNACION!$C100)*(DET_ASIG[NIVEL]=ASIGNACION!$D100)*(DET_ASIG[ID_ASIG]=ASIGNACION!$G100),"No existe información")))</f>
        <v>No existe información</v>
      </c>
      <c r="BQ100" s="5" t="str" cm="1">
        <f t="array" ref="BQ100">IFERROR(
    TRANSPOSE(
        _xlfn.UNIQUE(
            _xlfn._xlws.FILTER(MAESTRIA_DETALLADO[MAESTRIA],
                ISNUMBER(MATCH(MAESTRIA_DETALLADO[CAMPO_DETALLADO],
                BD100:BP100,0))
            )
        )
    ),IF(BD100="ACTIVIDAD","DOCENCIA",""))</f>
        <v/>
      </c>
      <c r="EA100" s="5" t="str" cm="1">
        <f t="array" ref="EA100:FN100">IF(
    ASIGNACION!I100="SI",
    IFERROR(
        TRANSPOSE(
            _xlfn.UNIQUE(
                _xlfn._xlws.FILTER(EDU_DOCENTE[NOMBRE_DOCENTE],
                    ISNUMBER(MATCH(EDU_DOCENTE[MAESTRIA],
                    BQ100:DY100,0))
                )
            )
        ),
        ""
    ),
    TRANSPOSE(
        _xlfn.UNIQUE(EDU_DOCENTE[NOMBRE_DOCENTE]
        )
    )
)</f>
        <v>ALCIVAR CEDEÑO BEATRIZ ISABEL</v>
      </c>
      <c r="EB100" t="str">
        <v>ALCIVAR VERA GEMA MICHELLE</v>
      </c>
      <c r="EC100" t="str">
        <v>ARAUZ CHAVEZ MARIO ROBERTO</v>
      </c>
      <c r="ED100" t="str">
        <v>BAILON LOURIDO WALTER ALBERTO</v>
      </c>
      <c r="EE100" t="str">
        <v>CALDERERO VILLAGOMEZ ERICK ANTONIO</v>
      </c>
      <c r="EF100" t="str">
        <v>CASTILLO GARCIA PAOLA GERMANIA</v>
      </c>
      <c r="EG100" t="str">
        <v>CEDEÑO CHOEZ PEDRO JAVIER</v>
      </c>
      <c r="EH100" t="str">
        <v>CEVALLOS HOPPE JUAN CARLOS</v>
      </c>
      <c r="EI100" t="str">
        <v>DELGADO CHAVEZ MARIA IRASEMA</v>
      </c>
      <c r="EJ100" t="str">
        <v>DUARTE VALENCIA CRISTHIAN DARIO</v>
      </c>
      <c r="EK100" t="str">
        <v>FORTTY BARBERAN DENNY ALEXANDER</v>
      </c>
      <c r="EL100" t="str">
        <v>GUTIERREZ ZAMBRANO CARMEN EBELINA</v>
      </c>
      <c r="EM100" t="str">
        <v>INTRIAGO MOLINA GEMA VALERIA</v>
      </c>
      <c r="EN100" t="str">
        <v>LINO VELEZ LEONEL LIVINGTON</v>
      </c>
      <c r="EO100" t="str">
        <v>LOOR ALCIVAR MARIA ILIANA</v>
      </c>
      <c r="EP100" t="str">
        <v>LOOR MIELES TANIA JACQUELINE</v>
      </c>
      <c r="EQ100" t="str">
        <v>LOOR SOLORZANO ROSA MARIA</v>
      </c>
      <c r="ER100" t="str">
        <v>LOPEZ DELGADO RONALD MAURICIO</v>
      </c>
      <c r="ES100" t="str">
        <v>MACIAS VALENCIA DAVID GABRIEL</v>
      </c>
      <c r="ET100" t="str">
        <v>MENDOZA ZAMORA WALTER MANUEL</v>
      </c>
      <c r="EU100" t="str">
        <v>MOLINA CEVALLOS MARIA LORENA</v>
      </c>
      <c r="EV100" t="str">
        <v>MURILLO DELGADO ISAAC GABRIEL</v>
      </c>
      <c r="EW100" t="str">
        <v>ANGULO MURILLO NAVIRA GISSELA</v>
      </c>
      <c r="EX100" t="str">
        <v>OCHOA SOLEDISPA NESTOR IVAN</v>
      </c>
      <c r="EY100" t="str">
        <v>PARRAGA FRANCO SILVANA MARIELA</v>
      </c>
      <c r="EZ100" t="str">
        <v>PINARGOTE VASQUEZ NANCY FABIOLA</v>
      </c>
      <c r="FA100" t="str">
        <v>REYES VELEZ PEDRO ENRIQUE</v>
      </c>
      <c r="FB100" t="str">
        <v>SAN ANDRES HORMAZA DALLAS CECILIA</v>
      </c>
      <c r="FC100" t="str">
        <v>SORNOZA ZAMORA JUAN CARLOS</v>
      </c>
      <c r="FD100" t="str">
        <v>TOMALA PINTO JESUS JACINTO</v>
      </c>
      <c r="FE100" t="str">
        <v>VALLE JARAMILLO SILVIA ARACELY</v>
      </c>
      <c r="FF100" t="str">
        <v>VELÁSQUEZ BRAVO IRMA KATHERINE</v>
      </c>
      <c r="FG100" t="str">
        <v>VELEZ MENDOZA LAYSY VALERIA</v>
      </c>
      <c r="FH100" t="str">
        <v>VINUEZA TELLO SHIRLEY ELIZABETH</v>
      </c>
      <c r="FI100" t="str">
        <v>ZAMBRANO ALCIVAR NILDA ISABEL</v>
      </c>
      <c r="FJ100" t="str">
        <v>ZAMBRANO LOOR RITA MAYDA</v>
      </c>
      <c r="FK100" t="str">
        <v>ZAMBRANO VERA MONICA JANETH</v>
      </c>
      <c r="FL100" t="str">
        <v>VERA DELGADO BRYAN ADRIÁN</v>
      </c>
      <c r="FM100" t="str">
        <v>MORAN GONZALES DAVID RENATO</v>
      </c>
      <c r="FN100">
        <v>0</v>
      </c>
    </row>
    <row r="101" spans="1:170" ht="20.25" customHeight="1">
      <c r="A101" s="4" t="str" cm="1">
        <f t="array" ref="A101">TRANSPOSE(_xlfn.UNIQUE(_xlfn._xlws.FILTER(MAE_ASIGNATURA[ID_NIVEL],MAE_ASIGNATURA[ID_CARRERA]=ASIGNACION!$C101,"No existe información")))</f>
        <v>No existe información</v>
      </c>
      <c r="S101" s="4" t="str" cm="1">
        <f t="array" ref="S101">TRANSPOSE(_xlfn.UNIQUE(_xlfn._xlws.FILTER(MAE_ASIGNATURA[NOM_ASIG],(MAE_ASIGNATURA[ID_NIVEL]=ASIGNACION!$D101)*(MAE_ASIGNATURA[ID_CARRERA]=ASIGNACION!$C101),"No existe información")))</f>
        <v>No existe información</v>
      </c>
      <c r="BD101" s="4" t="str" cm="1">
        <f t="array" ref="BD101">TRANSPOSE(_xlfn.UNIQUE(_xlfn._xlws.FILTER(DET_ASIG[DETALLADO],(DET_ASIG[ID_CARRERA]=ASIGNACION!$C101)*(DET_ASIG[NIVEL]=ASIGNACION!$D101)*(DET_ASIG[ID_ASIG]=ASIGNACION!$G101),"No existe información")))</f>
        <v>No existe información</v>
      </c>
      <c r="BQ101" s="5" t="str" cm="1">
        <f t="array" ref="BQ101">IFERROR(
    TRANSPOSE(
        _xlfn.UNIQUE(
            _xlfn._xlws.FILTER(MAESTRIA_DETALLADO[MAESTRIA],
                ISNUMBER(MATCH(MAESTRIA_DETALLADO[CAMPO_DETALLADO],
                BD101:BP101,0))
            )
        )
    ),IF(BD101="ACTIVIDAD","DOCENCIA",""))</f>
        <v/>
      </c>
      <c r="EA101" s="5" t="str" cm="1">
        <f t="array" ref="EA101:FN101">IF(
    ASIGNACION!I101="SI",
    IFERROR(
        TRANSPOSE(
            _xlfn.UNIQUE(
                _xlfn._xlws.FILTER(EDU_DOCENTE[NOMBRE_DOCENTE],
                    ISNUMBER(MATCH(EDU_DOCENTE[MAESTRIA],
                    BQ101:DY101,0))
                )
            )
        ),
        ""
    ),
    TRANSPOSE(
        _xlfn.UNIQUE(EDU_DOCENTE[NOMBRE_DOCENTE]
        )
    )
)</f>
        <v>ALCIVAR CEDEÑO BEATRIZ ISABEL</v>
      </c>
      <c r="EB101" t="str">
        <v>ALCIVAR VERA GEMA MICHELLE</v>
      </c>
      <c r="EC101" t="str">
        <v>ARAUZ CHAVEZ MARIO ROBERTO</v>
      </c>
      <c r="ED101" t="str">
        <v>BAILON LOURIDO WALTER ALBERTO</v>
      </c>
      <c r="EE101" t="str">
        <v>CALDERERO VILLAGOMEZ ERICK ANTONIO</v>
      </c>
      <c r="EF101" t="str">
        <v>CASTILLO GARCIA PAOLA GERMANIA</v>
      </c>
      <c r="EG101" t="str">
        <v>CEDEÑO CHOEZ PEDRO JAVIER</v>
      </c>
      <c r="EH101" t="str">
        <v>CEVALLOS HOPPE JUAN CARLOS</v>
      </c>
      <c r="EI101" t="str">
        <v>DELGADO CHAVEZ MARIA IRASEMA</v>
      </c>
      <c r="EJ101" t="str">
        <v>DUARTE VALENCIA CRISTHIAN DARIO</v>
      </c>
      <c r="EK101" t="str">
        <v>FORTTY BARBERAN DENNY ALEXANDER</v>
      </c>
      <c r="EL101" t="str">
        <v>GUTIERREZ ZAMBRANO CARMEN EBELINA</v>
      </c>
      <c r="EM101" t="str">
        <v>INTRIAGO MOLINA GEMA VALERIA</v>
      </c>
      <c r="EN101" t="str">
        <v>LINO VELEZ LEONEL LIVINGTON</v>
      </c>
      <c r="EO101" t="str">
        <v>LOOR ALCIVAR MARIA ILIANA</v>
      </c>
      <c r="EP101" t="str">
        <v>LOOR MIELES TANIA JACQUELINE</v>
      </c>
      <c r="EQ101" t="str">
        <v>LOOR SOLORZANO ROSA MARIA</v>
      </c>
      <c r="ER101" t="str">
        <v>LOPEZ DELGADO RONALD MAURICIO</v>
      </c>
      <c r="ES101" t="str">
        <v>MACIAS VALENCIA DAVID GABRIEL</v>
      </c>
      <c r="ET101" t="str">
        <v>MENDOZA ZAMORA WALTER MANUEL</v>
      </c>
      <c r="EU101" t="str">
        <v>MOLINA CEVALLOS MARIA LORENA</v>
      </c>
      <c r="EV101" t="str">
        <v>MURILLO DELGADO ISAAC GABRIEL</v>
      </c>
      <c r="EW101" t="str">
        <v>ANGULO MURILLO NAVIRA GISSELA</v>
      </c>
      <c r="EX101" t="str">
        <v>OCHOA SOLEDISPA NESTOR IVAN</v>
      </c>
      <c r="EY101" t="str">
        <v>PARRAGA FRANCO SILVANA MARIELA</v>
      </c>
      <c r="EZ101" t="str">
        <v>PINARGOTE VASQUEZ NANCY FABIOLA</v>
      </c>
      <c r="FA101" t="str">
        <v>REYES VELEZ PEDRO ENRIQUE</v>
      </c>
      <c r="FB101" t="str">
        <v>SAN ANDRES HORMAZA DALLAS CECILIA</v>
      </c>
      <c r="FC101" t="str">
        <v>SORNOZA ZAMORA JUAN CARLOS</v>
      </c>
      <c r="FD101" t="str">
        <v>TOMALA PINTO JESUS JACINTO</v>
      </c>
      <c r="FE101" t="str">
        <v>VALLE JARAMILLO SILVIA ARACELY</v>
      </c>
      <c r="FF101" t="str">
        <v>VELÁSQUEZ BRAVO IRMA KATHERINE</v>
      </c>
      <c r="FG101" t="str">
        <v>VELEZ MENDOZA LAYSY VALERIA</v>
      </c>
      <c r="FH101" t="str">
        <v>VINUEZA TELLO SHIRLEY ELIZABETH</v>
      </c>
      <c r="FI101" t="str">
        <v>ZAMBRANO ALCIVAR NILDA ISABEL</v>
      </c>
      <c r="FJ101" t="str">
        <v>ZAMBRANO LOOR RITA MAYDA</v>
      </c>
      <c r="FK101" t="str">
        <v>ZAMBRANO VERA MONICA JANETH</v>
      </c>
      <c r="FL101" t="str">
        <v>VERA DELGADO BRYAN ADRIÁN</v>
      </c>
      <c r="FM101" t="str">
        <v>MORAN GONZALES DAVID RENATO</v>
      </c>
      <c r="FN101">
        <v>0</v>
      </c>
    </row>
    <row r="102" spans="1:170" ht="20.25" customHeight="1">
      <c r="A102" s="4" t="str" cm="1">
        <f t="array" ref="A102">TRANSPOSE(_xlfn.UNIQUE(_xlfn._xlws.FILTER(MAE_ASIGNATURA[ID_NIVEL],MAE_ASIGNATURA[ID_CARRERA]=ASIGNACION!$C102,"No existe información")))</f>
        <v>No existe información</v>
      </c>
      <c r="S102" s="4" t="str" cm="1">
        <f t="array" ref="S102">TRANSPOSE(_xlfn.UNIQUE(_xlfn._xlws.FILTER(MAE_ASIGNATURA[NOM_ASIG],(MAE_ASIGNATURA[ID_NIVEL]=ASIGNACION!$D102)*(MAE_ASIGNATURA[ID_CARRERA]=ASIGNACION!$C102),"No existe información")))</f>
        <v>No existe información</v>
      </c>
      <c r="BD102" s="4" t="str" cm="1">
        <f t="array" ref="BD102">TRANSPOSE(_xlfn.UNIQUE(_xlfn._xlws.FILTER(DET_ASIG[DETALLADO],(DET_ASIG[ID_CARRERA]=ASIGNACION!$C102)*(DET_ASIG[NIVEL]=ASIGNACION!$D102)*(DET_ASIG[ID_ASIG]=ASIGNACION!$G102),"No existe información")))</f>
        <v>No existe información</v>
      </c>
      <c r="BQ102" s="5" t="str" cm="1">
        <f t="array" ref="BQ102">IFERROR(
    TRANSPOSE(
        _xlfn.UNIQUE(
            _xlfn._xlws.FILTER(MAESTRIA_DETALLADO[MAESTRIA],
                ISNUMBER(MATCH(MAESTRIA_DETALLADO[CAMPO_DETALLADO],
                BD102:BP102,0))
            )
        )
    ),IF(BD102="ACTIVIDAD","DOCENCIA",""))</f>
        <v/>
      </c>
      <c r="EA102" s="5" t="str" cm="1">
        <f t="array" ref="EA102:FN102">IF(
    ASIGNACION!I102="SI",
    IFERROR(
        TRANSPOSE(
            _xlfn.UNIQUE(
                _xlfn._xlws.FILTER(EDU_DOCENTE[NOMBRE_DOCENTE],
                    ISNUMBER(MATCH(EDU_DOCENTE[MAESTRIA],
                    BQ102:DY102,0))
                )
            )
        ),
        ""
    ),
    TRANSPOSE(
        _xlfn.UNIQUE(EDU_DOCENTE[NOMBRE_DOCENTE]
        )
    )
)</f>
        <v>ALCIVAR CEDEÑO BEATRIZ ISABEL</v>
      </c>
      <c r="EB102" t="str">
        <v>ALCIVAR VERA GEMA MICHELLE</v>
      </c>
      <c r="EC102" t="str">
        <v>ARAUZ CHAVEZ MARIO ROBERTO</v>
      </c>
      <c r="ED102" t="str">
        <v>BAILON LOURIDO WALTER ALBERTO</v>
      </c>
      <c r="EE102" t="str">
        <v>CALDERERO VILLAGOMEZ ERICK ANTONIO</v>
      </c>
      <c r="EF102" t="str">
        <v>CASTILLO GARCIA PAOLA GERMANIA</v>
      </c>
      <c r="EG102" t="str">
        <v>CEDEÑO CHOEZ PEDRO JAVIER</v>
      </c>
      <c r="EH102" t="str">
        <v>CEVALLOS HOPPE JUAN CARLOS</v>
      </c>
      <c r="EI102" t="str">
        <v>DELGADO CHAVEZ MARIA IRASEMA</v>
      </c>
      <c r="EJ102" t="str">
        <v>DUARTE VALENCIA CRISTHIAN DARIO</v>
      </c>
      <c r="EK102" t="str">
        <v>FORTTY BARBERAN DENNY ALEXANDER</v>
      </c>
      <c r="EL102" t="str">
        <v>GUTIERREZ ZAMBRANO CARMEN EBELINA</v>
      </c>
      <c r="EM102" t="str">
        <v>INTRIAGO MOLINA GEMA VALERIA</v>
      </c>
      <c r="EN102" t="str">
        <v>LINO VELEZ LEONEL LIVINGTON</v>
      </c>
      <c r="EO102" t="str">
        <v>LOOR ALCIVAR MARIA ILIANA</v>
      </c>
      <c r="EP102" t="str">
        <v>LOOR MIELES TANIA JACQUELINE</v>
      </c>
      <c r="EQ102" t="str">
        <v>LOOR SOLORZANO ROSA MARIA</v>
      </c>
      <c r="ER102" t="str">
        <v>LOPEZ DELGADO RONALD MAURICIO</v>
      </c>
      <c r="ES102" t="str">
        <v>MACIAS VALENCIA DAVID GABRIEL</v>
      </c>
      <c r="ET102" t="str">
        <v>MENDOZA ZAMORA WALTER MANUEL</v>
      </c>
      <c r="EU102" t="str">
        <v>MOLINA CEVALLOS MARIA LORENA</v>
      </c>
      <c r="EV102" t="str">
        <v>MURILLO DELGADO ISAAC GABRIEL</v>
      </c>
      <c r="EW102" t="str">
        <v>ANGULO MURILLO NAVIRA GISSELA</v>
      </c>
      <c r="EX102" t="str">
        <v>OCHOA SOLEDISPA NESTOR IVAN</v>
      </c>
      <c r="EY102" t="str">
        <v>PARRAGA FRANCO SILVANA MARIELA</v>
      </c>
      <c r="EZ102" t="str">
        <v>PINARGOTE VASQUEZ NANCY FABIOLA</v>
      </c>
      <c r="FA102" t="str">
        <v>REYES VELEZ PEDRO ENRIQUE</v>
      </c>
      <c r="FB102" t="str">
        <v>SAN ANDRES HORMAZA DALLAS CECILIA</v>
      </c>
      <c r="FC102" t="str">
        <v>SORNOZA ZAMORA JUAN CARLOS</v>
      </c>
      <c r="FD102" t="str">
        <v>TOMALA PINTO JESUS JACINTO</v>
      </c>
      <c r="FE102" t="str">
        <v>VALLE JARAMILLO SILVIA ARACELY</v>
      </c>
      <c r="FF102" t="str">
        <v>VELÁSQUEZ BRAVO IRMA KATHERINE</v>
      </c>
      <c r="FG102" t="str">
        <v>VELEZ MENDOZA LAYSY VALERIA</v>
      </c>
      <c r="FH102" t="str">
        <v>VINUEZA TELLO SHIRLEY ELIZABETH</v>
      </c>
      <c r="FI102" t="str">
        <v>ZAMBRANO ALCIVAR NILDA ISABEL</v>
      </c>
      <c r="FJ102" t="str">
        <v>ZAMBRANO LOOR RITA MAYDA</v>
      </c>
      <c r="FK102" t="str">
        <v>ZAMBRANO VERA MONICA JANETH</v>
      </c>
      <c r="FL102" t="str">
        <v>VERA DELGADO BRYAN ADRIÁN</v>
      </c>
      <c r="FM102" t="str">
        <v>MORAN GONZALES DAVID RENATO</v>
      </c>
      <c r="FN102">
        <v>0</v>
      </c>
    </row>
    <row r="103" spans="1:170" ht="20.25" customHeight="1">
      <c r="A103" s="4" t="str" cm="1">
        <f t="array" ref="A103">TRANSPOSE(_xlfn.UNIQUE(_xlfn._xlws.FILTER(MAE_ASIGNATURA[ID_NIVEL],MAE_ASIGNATURA[ID_CARRERA]=ASIGNACION!$C103,"No existe información")))</f>
        <v>No existe información</v>
      </c>
      <c r="S103" s="4" t="str" cm="1">
        <f t="array" ref="S103">TRANSPOSE(_xlfn.UNIQUE(_xlfn._xlws.FILTER(MAE_ASIGNATURA[NOM_ASIG],(MAE_ASIGNATURA[ID_NIVEL]=ASIGNACION!$D103)*(MAE_ASIGNATURA[ID_CARRERA]=ASIGNACION!$C103),"No existe información")))</f>
        <v>No existe información</v>
      </c>
      <c r="BD103" s="4" t="str" cm="1">
        <f t="array" ref="BD103">TRANSPOSE(_xlfn.UNIQUE(_xlfn._xlws.FILTER(DET_ASIG[DETALLADO],(DET_ASIG[ID_CARRERA]=ASIGNACION!$C103)*(DET_ASIG[NIVEL]=ASIGNACION!$D103)*(DET_ASIG[ID_ASIG]=ASIGNACION!$G103),"No existe información")))</f>
        <v>No existe información</v>
      </c>
      <c r="BQ103" s="5" t="str" cm="1">
        <f t="array" ref="BQ103">IFERROR(
    TRANSPOSE(
        _xlfn.UNIQUE(
            _xlfn._xlws.FILTER(MAESTRIA_DETALLADO[MAESTRIA],
                ISNUMBER(MATCH(MAESTRIA_DETALLADO[CAMPO_DETALLADO],
                BD103:BP103,0))
            )
        )
    ),IF(BD103="ACTIVIDAD","DOCENCIA",""))</f>
        <v/>
      </c>
      <c r="EA103" s="5" t="str" cm="1">
        <f t="array" ref="EA103:FN103">IF(
    ASIGNACION!I103="SI",
    IFERROR(
        TRANSPOSE(
            _xlfn.UNIQUE(
                _xlfn._xlws.FILTER(EDU_DOCENTE[NOMBRE_DOCENTE],
                    ISNUMBER(MATCH(EDU_DOCENTE[MAESTRIA],
                    BQ103:DY103,0))
                )
            )
        ),
        ""
    ),
    TRANSPOSE(
        _xlfn.UNIQUE(EDU_DOCENTE[NOMBRE_DOCENTE]
        )
    )
)</f>
        <v>ALCIVAR CEDEÑO BEATRIZ ISABEL</v>
      </c>
      <c r="EB103" t="str">
        <v>ALCIVAR VERA GEMA MICHELLE</v>
      </c>
      <c r="EC103" t="str">
        <v>ARAUZ CHAVEZ MARIO ROBERTO</v>
      </c>
      <c r="ED103" t="str">
        <v>BAILON LOURIDO WALTER ALBERTO</v>
      </c>
      <c r="EE103" t="str">
        <v>CALDERERO VILLAGOMEZ ERICK ANTONIO</v>
      </c>
      <c r="EF103" t="str">
        <v>CASTILLO GARCIA PAOLA GERMANIA</v>
      </c>
      <c r="EG103" t="str">
        <v>CEDEÑO CHOEZ PEDRO JAVIER</v>
      </c>
      <c r="EH103" t="str">
        <v>CEVALLOS HOPPE JUAN CARLOS</v>
      </c>
      <c r="EI103" t="str">
        <v>DELGADO CHAVEZ MARIA IRASEMA</v>
      </c>
      <c r="EJ103" t="str">
        <v>DUARTE VALENCIA CRISTHIAN DARIO</v>
      </c>
      <c r="EK103" t="str">
        <v>FORTTY BARBERAN DENNY ALEXANDER</v>
      </c>
      <c r="EL103" t="str">
        <v>GUTIERREZ ZAMBRANO CARMEN EBELINA</v>
      </c>
      <c r="EM103" t="str">
        <v>INTRIAGO MOLINA GEMA VALERIA</v>
      </c>
      <c r="EN103" t="str">
        <v>LINO VELEZ LEONEL LIVINGTON</v>
      </c>
      <c r="EO103" t="str">
        <v>LOOR ALCIVAR MARIA ILIANA</v>
      </c>
      <c r="EP103" t="str">
        <v>LOOR MIELES TANIA JACQUELINE</v>
      </c>
      <c r="EQ103" t="str">
        <v>LOOR SOLORZANO ROSA MARIA</v>
      </c>
      <c r="ER103" t="str">
        <v>LOPEZ DELGADO RONALD MAURICIO</v>
      </c>
      <c r="ES103" t="str">
        <v>MACIAS VALENCIA DAVID GABRIEL</v>
      </c>
      <c r="ET103" t="str">
        <v>MENDOZA ZAMORA WALTER MANUEL</v>
      </c>
      <c r="EU103" t="str">
        <v>MOLINA CEVALLOS MARIA LORENA</v>
      </c>
      <c r="EV103" t="str">
        <v>MURILLO DELGADO ISAAC GABRIEL</v>
      </c>
      <c r="EW103" t="str">
        <v>ANGULO MURILLO NAVIRA GISSELA</v>
      </c>
      <c r="EX103" t="str">
        <v>OCHOA SOLEDISPA NESTOR IVAN</v>
      </c>
      <c r="EY103" t="str">
        <v>PARRAGA FRANCO SILVANA MARIELA</v>
      </c>
      <c r="EZ103" t="str">
        <v>PINARGOTE VASQUEZ NANCY FABIOLA</v>
      </c>
      <c r="FA103" t="str">
        <v>REYES VELEZ PEDRO ENRIQUE</v>
      </c>
      <c r="FB103" t="str">
        <v>SAN ANDRES HORMAZA DALLAS CECILIA</v>
      </c>
      <c r="FC103" t="str">
        <v>SORNOZA ZAMORA JUAN CARLOS</v>
      </c>
      <c r="FD103" t="str">
        <v>TOMALA PINTO JESUS JACINTO</v>
      </c>
      <c r="FE103" t="str">
        <v>VALLE JARAMILLO SILVIA ARACELY</v>
      </c>
      <c r="FF103" t="str">
        <v>VELÁSQUEZ BRAVO IRMA KATHERINE</v>
      </c>
      <c r="FG103" t="str">
        <v>VELEZ MENDOZA LAYSY VALERIA</v>
      </c>
      <c r="FH103" t="str">
        <v>VINUEZA TELLO SHIRLEY ELIZABETH</v>
      </c>
      <c r="FI103" t="str">
        <v>ZAMBRANO ALCIVAR NILDA ISABEL</v>
      </c>
      <c r="FJ103" t="str">
        <v>ZAMBRANO LOOR RITA MAYDA</v>
      </c>
      <c r="FK103" t="str">
        <v>ZAMBRANO VERA MONICA JANETH</v>
      </c>
      <c r="FL103" t="str">
        <v>VERA DELGADO BRYAN ADRIÁN</v>
      </c>
      <c r="FM103" t="str">
        <v>MORAN GONZALES DAVID RENATO</v>
      </c>
      <c r="FN103">
        <v>0</v>
      </c>
    </row>
    <row r="104" spans="1:170" ht="20.25" customHeight="1">
      <c r="A104" s="4" t="str" cm="1">
        <f t="array" ref="A104">TRANSPOSE(_xlfn.UNIQUE(_xlfn._xlws.FILTER(MAE_ASIGNATURA[ID_NIVEL],MAE_ASIGNATURA[ID_CARRERA]=ASIGNACION!$C104,"No existe información")))</f>
        <v>No existe información</v>
      </c>
      <c r="S104" s="4" t="str" cm="1">
        <f t="array" ref="S104">TRANSPOSE(_xlfn.UNIQUE(_xlfn._xlws.FILTER(MAE_ASIGNATURA[NOM_ASIG],(MAE_ASIGNATURA[ID_NIVEL]=ASIGNACION!$D104)*(MAE_ASIGNATURA[ID_CARRERA]=ASIGNACION!$C104),"No existe información")))</f>
        <v>No existe información</v>
      </c>
      <c r="BD104" s="4" t="str" cm="1">
        <f t="array" ref="BD104">TRANSPOSE(_xlfn.UNIQUE(_xlfn._xlws.FILTER(DET_ASIG[DETALLADO],(DET_ASIG[ID_CARRERA]=ASIGNACION!$C104)*(DET_ASIG[NIVEL]=ASIGNACION!$D104)*(DET_ASIG[ID_ASIG]=ASIGNACION!$G104),"No existe información")))</f>
        <v>No existe información</v>
      </c>
      <c r="BQ104" s="5" t="str" cm="1">
        <f t="array" ref="BQ104">IFERROR(
    TRANSPOSE(
        _xlfn.UNIQUE(
            _xlfn._xlws.FILTER(MAESTRIA_DETALLADO[MAESTRIA],
                ISNUMBER(MATCH(MAESTRIA_DETALLADO[CAMPO_DETALLADO],
                BD104:BP104,0))
            )
        )
    ),IF(BD104="ACTIVIDAD","DOCENCIA",""))</f>
        <v/>
      </c>
      <c r="EA104" s="5" t="str" cm="1">
        <f t="array" ref="EA104:FN104">IF(
    ASIGNACION!I104="SI",
    IFERROR(
        TRANSPOSE(
            _xlfn.UNIQUE(
                _xlfn._xlws.FILTER(EDU_DOCENTE[NOMBRE_DOCENTE],
                    ISNUMBER(MATCH(EDU_DOCENTE[MAESTRIA],
                    BQ104:DY104,0))
                )
            )
        ),
        ""
    ),
    TRANSPOSE(
        _xlfn.UNIQUE(EDU_DOCENTE[NOMBRE_DOCENTE]
        )
    )
)</f>
        <v>ALCIVAR CEDEÑO BEATRIZ ISABEL</v>
      </c>
      <c r="EB104" t="str">
        <v>ALCIVAR VERA GEMA MICHELLE</v>
      </c>
      <c r="EC104" t="str">
        <v>ARAUZ CHAVEZ MARIO ROBERTO</v>
      </c>
      <c r="ED104" t="str">
        <v>BAILON LOURIDO WALTER ALBERTO</v>
      </c>
      <c r="EE104" t="str">
        <v>CALDERERO VILLAGOMEZ ERICK ANTONIO</v>
      </c>
      <c r="EF104" t="str">
        <v>CASTILLO GARCIA PAOLA GERMANIA</v>
      </c>
      <c r="EG104" t="str">
        <v>CEDEÑO CHOEZ PEDRO JAVIER</v>
      </c>
      <c r="EH104" t="str">
        <v>CEVALLOS HOPPE JUAN CARLOS</v>
      </c>
      <c r="EI104" t="str">
        <v>DELGADO CHAVEZ MARIA IRASEMA</v>
      </c>
      <c r="EJ104" t="str">
        <v>DUARTE VALENCIA CRISTHIAN DARIO</v>
      </c>
      <c r="EK104" t="str">
        <v>FORTTY BARBERAN DENNY ALEXANDER</v>
      </c>
      <c r="EL104" t="str">
        <v>GUTIERREZ ZAMBRANO CARMEN EBELINA</v>
      </c>
      <c r="EM104" t="str">
        <v>INTRIAGO MOLINA GEMA VALERIA</v>
      </c>
      <c r="EN104" t="str">
        <v>LINO VELEZ LEONEL LIVINGTON</v>
      </c>
      <c r="EO104" t="str">
        <v>LOOR ALCIVAR MARIA ILIANA</v>
      </c>
      <c r="EP104" t="str">
        <v>LOOR MIELES TANIA JACQUELINE</v>
      </c>
      <c r="EQ104" t="str">
        <v>LOOR SOLORZANO ROSA MARIA</v>
      </c>
      <c r="ER104" t="str">
        <v>LOPEZ DELGADO RONALD MAURICIO</v>
      </c>
      <c r="ES104" t="str">
        <v>MACIAS VALENCIA DAVID GABRIEL</v>
      </c>
      <c r="ET104" t="str">
        <v>MENDOZA ZAMORA WALTER MANUEL</v>
      </c>
      <c r="EU104" t="str">
        <v>MOLINA CEVALLOS MARIA LORENA</v>
      </c>
      <c r="EV104" t="str">
        <v>MURILLO DELGADO ISAAC GABRIEL</v>
      </c>
      <c r="EW104" t="str">
        <v>ANGULO MURILLO NAVIRA GISSELA</v>
      </c>
      <c r="EX104" t="str">
        <v>OCHOA SOLEDISPA NESTOR IVAN</v>
      </c>
      <c r="EY104" t="str">
        <v>PARRAGA FRANCO SILVANA MARIELA</v>
      </c>
      <c r="EZ104" t="str">
        <v>PINARGOTE VASQUEZ NANCY FABIOLA</v>
      </c>
      <c r="FA104" t="str">
        <v>REYES VELEZ PEDRO ENRIQUE</v>
      </c>
      <c r="FB104" t="str">
        <v>SAN ANDRES HORMAZA DALLAS CECILIA</v>
      </c>
      <c r="FC104" t="str">
        <v>SORNOZA ZAMORA JUAN CARLOS</v>
      </c>
      <c r="FD104" t="str">
        <v>TOMALA PINTO JESUS JACINTO</v>
      </c>
      <c r="FE104" t="str">
        <v>VALLE JARAMILLO SILVIA ARACELY</v>
      </c>
      <c r="FF104" t="str">
        <v>VELÁSQUEZ BRAVO IRMA KATHERINE</v>
      </c>
      <c r="FG104" t="str">
        <v>VELEZ MENDOZA LAYSY VALERIA</v>
      </c>
      <c r="FH104" t="str">
        <v>VINUEZA TELLO SHIRLEY ELIZABETH</v>
      </c>
      <c r="FI104" t="str">
        <v>ZAMBRANO ALCIVAR NILDA ISABEL</v>
      </c>
      <c r="FJ104" t="str">
        <v>ZAMBRANO LOOR RITA MAYDA</v>
      </c>
      <c r="FK104" t="str">
        <v>ZAMBRANO VERA MONICA JANETH</v>
      </c>
      <c r="FL104" t="str">
        <v>VERA DELGADO BRYAN ADRIÁN</v>
      </c>
      <c r="FM104" t="str">
        <v>MORAN GONZALES DAVID RENATO</v>
      </c>
      <c r="FN104">
        <v>0</v>
      </c>
    </row>
    <row r="105" spans="1:170" ht="20.25" customHeight="1">
      <c r="A105" s="4" t="str" cm="1">
        <f t="array" ref="A105">TRANSPOSE(_xlfn.UNIQUE(_xlfn._xlws.FILTER(MAE_ASIGNATURA[ID_NIVEL],MAE_ASIGNATURA[ID_CARRERA]=ASIGNACION!$C105,"No existe información")))</f>
        <v>No existe información</v>
      </c>
      <c r="S105" s="4" t="str" cm="1">
        <f t="array" ref="S105">TRANSPOSE(_xlfn.UNIQUE(_xlfn._xlws.FILTER(MAE_ASIGNATURA[NOM_ASIG],(MAE_ASIGNATURA[ID_NIVEL]=ASIGNACION!$D105)*(MAE_ASIGNATURA[ID_CARRERA]=ASIGNACION!$C105),"No existe información")))</f>
        <v>No existe información</v>
      </c>
      <c r="BD105" s="4" t="str" cm="1">
        <f t="array" ref="BD105">TRANSPOSE(_xlfn.UNIQUE(_xlfn._xlws.FILTER(DET_ASIG[DETALLADO],(DET_ASIG[ID_CARRERA]=ASIGNACION!$C105)*(DET_ASIG[NIVEL]=ASIGNACION!$D105)*(DET_ASIG[ID_ASIG]=ASIGNACION!$G105),"No existe información")))</f>
        <v>No existe información</v>
      </c>
      <c r="BQ105" s="5" t="str" cm="1">
        <f t="array" ref="BQ105">IFERROR(
    TRANSPOSE(
        _xlfn.UNIQUE(
            _xlfn._xlws.FILTER(MAESTRIA_DETALLADO[MAESTRIA],
                ISNUMBER(MATCH(MAESTRIA_DETALLADO[CAMPO_DETALLADO],
                BD105:BP105,0))
            )
        )
    ),IF(BD105="ACTIVIDAD","DOCENCIA",""))</f>
        <v/>
      </c>
      <c r="EA105" s="5" t="str" cm="1">
        <f t="array" ref="EA105:FN105">IF(
    ASIGNACION!I105="SI",
    IFERROR(
        TRANSPOSE(
            _xlfn.UNIQUE(
                _xlfn._xlws.FILTER(EDU_DOCENTE[NOMBRE_DOCENTE],
                    ISNUMBER(MATCH(EDU_DOCENTE[MAESTRIA],
                    BQ105:DY105,0))
                )
            )
        ),
        ""
    ),
    TRANSPOSE(
        _xlfn.UNIQUE(EDU_DOCENTE[NOMBRE_DOCENTE]
        )
    )
)</f>
        <v>ALCIVAR CEDEÑO BEATRIZ ISABEL</v>
      </c>
      <c r="EB105" t="str">
        <v>ALCIVAR VERA GEMA MICHELLE</v>
      </c>
      <c r="EC105" t="str">
        <v>ARAUZ CHAVEZ MARIO ROBERTO</v>
      </c>
      <c r="ED105" t="str">
        <v>BAILON LOURIDO WALTER ALBERTO</v>
      </c>
      <c r="EE105" t="str">
        <v>CALDERERO VILLAGOMEZ ERICK ANTONIO</v>
      </c>
      <c r="EF105" t="str">
        <v>CASTILLO GARCIA PAOLA GERMANIA</v>
      </c>
      <c r="EG105" t="str">
        <v>CEDEÑO CHOEZ PEDRO JAVIER</v>
      </c>
      <c r="EH105" t="str">
        <v>CEVALLOS HOPPE JUAN CARLOS</v>
      </c>
      <c r="EI105" t="str">
        <v>DELGADO CHAVEZ MARIA IRASEMA</v>
      </c>
      <c r="EJ105" t="str">
        <v>DUARTE VALENCIA CRISTHIAN DARIO</v>
      </c>
      <c r="EK105" t="str">
        <v>FORTTY BARBERAN DENNY ALEXANDER</v>
      </c>
      <c r="EL105" t="str">
        <v>GUTIERREZ ZAMBRANO CARMEN EBELINA</v>
      </c>
      <c r="EM105" t="str">
        <v>INTRIAGO MOLINA GEMA VALERIA</v>
      </c>
      <c r="EN105" t="str">
        <v>LINO VELEZ LEONEL LIVINGTON</v>
      </c>
      <c r="EO105" t="str">
        <v>LOOR ALCIVAR MARIA ILIANA</v>
      </c>
      <c r="EP105" t="str">
        <v>LOOR MIELES TANIA JACQUELINE</v>
      </c>
      <c r="EQ105" t="str">
        <v>LOOR SOLORZANO ROSA MARIA</v>
      </c>
      <c r="ER105" t="str">
        <v>LOPEZ DELGADO RONALD MAURICIO</v>
      </c>
      <c r="ES105" t="str">
        <v>MACIAS VALENCIA DAVID GABRIEL</v>
      </c>
      <c r="ET105" t="str">
        <v>MENDOZA ZAMORA WALTER MANUEL</v>
      </c>
      <c r="EU105" t="str">
        <v>MOLINA CEVALLOS MARIA LORENA</v>
      </c>
      <c r="EV105" t="str">
        <v>MURILLO DELGADO ISAAC GABRIEL</v>
      </c>
      <c r="EW105" t="str">
        <v>ANGULO MURILLO NAVIRA GISSELA</v>
      </c>
      <c r="EX105" t="str">
        <v>OCHOA SOLEDISPA NESTOR IVAN</v>
      </c>
      <c r="EY105" t="str">
        <v>PARRAGA FRANCO SILVANA MARIELA</v>
      </c>
      <c r="EZ105" t="str">
        <v>PINARGOTE VASQUEZ NANCY FABIOLA</v>
      </c>
      <c r="FA105" t="str">
        <v>REYES VELEZ PEDRO ENRIQUE</v>
      </c>
      <c r="FB105" t="str">
        <v>SAN ANDRES HORMAZA DALLAS CECILIA</v>
      </c>
      <c r="FC105" t="str">
        <v>SORNOZA ZAMORA JUAN CARLOS</v>
      </c>
      <c r="FD105" t="str">
        <v>TOMALA PINTO JESUS JACINTO</v>
      </c>
      <c r="FE105" t="str">
        <v>VALLE JARAMILLO SILVIA ARACELY</v>
      </c>
      <c r="FF105" t="str">
        <v>VELÁSQUEZ BRAVO IRMA KATHERINE</v>
      </c>
      <c r="FG105" t="str">
        <v>VELEZ MENDOZA LAYSY VALERIA</v>
      </c>
      <c r="FH105" t="str">
        <v>VINUEZA TELLO SHIRLEY ELIZABETH</v>
      </c>
      <c r="FI105" t="str">
        <v>ZAMBRANO ALCIVAR NILDA ISABEL</v>
      </c>
      <c r="FJ105" t="str">
        <v>ZAMBRANO LOOR RITA MAYDA</v>
      </c>
      <c r="FK105" t="str">
        <v>ZAMBRANO VERA MONICA JANETH</v>
      </c>
      <c r="FL105" t="str">
        <v>VERA DELGADO BRYAN ADRIÁN</v>
      </c>
      <c r="FM105" t="str">
        <v>MORAN GONZALES DAVID RENATO</v>
      </c>
      <c r="FN105">
        <v>0</v>
      </c>
    </row>
    <row r="106" spans="1:170" ht="20.25" customHeight="1">
      <c r="A106" s="4" t="str" cm="1">
        <f t="array" ref="A106">TRANSPOSE(_xlfn.UNIQUE(_xlfn._xlws.FILTER(MAE_ASIGNATURA[ID_NIVEL],MAE_ASIGNATURA[ID_CARRERA]=ASIGNACION!$C106,"No existe información")))</f>
        <v>No existe información</v>
      </c>
      <c r="S106" s="4" t="str" cm="1">
        <f t="array" ref="S106">TRANSPOSE(_xlfn.UNIQUE(_xlfn._xlws.FILTER(MAE_ASIGNATURA[NOM_ASIG],(MAE_ASIGNATURA[ID_NIVEL]=ASIGNACION!$D106)*(MAE_ASIGNATURA[ID_CARRERA]=ASIGNACION!$C106),"No existe información")))</f>
        <v>No existe información</v>
      </c>
      <c r="BD106" s="4" t="str" cm="1">
        <f t="array" ref="BD106">TRANSPOSE(_xlfn.UNIQUE(_xlfn._xlws.FILTER(DET_ASIG[DETALLADO],(DET_ASIG[ID_CARRERA]=ASIGNACION!$C106)*(DET_ASIG[NIVEL]=ASIGNACION!$D106)*(DET_ASIG[ID_ASIG]=ASIGNACION!$G106),"No existe información")))</f>
        <v>No existe información</v>
      </c>
      <c r="BQ106" s="5" t="str" cm="1">
        <f t="array" ref="BQ106">IFERROR(
    TRANSPOSE(
        _xlfn.UNIQUE(
            _xlfn._xlws.FILTER(MAESTRIA_DETALLADO[MAESTRIA],
                ISNUMBER(MATCH(MAESTRIA_DETALLADO[CAMPO_DETALLADO],
                BD106:BP106,0))
            )
        )
    ),IF(BD106="ACTIVIDAD","DOCENCIA",""))</f>
        <v/>
      </c>
      <c r="EA106" s="5" t="str" cm="1">
        <f t="array" ref="EA106:FN106">IF(
    ASIGNACION!I106="SI",
    IFERROR(
        TRANSPOSE(
            _xlfn.UNIQUE(
                _xlfn._xlws.FILTER(EDU_DOCENTE[NOMBRE_DOCENTE],
                    ISNUMBER(MATCH(EDU_DOCENTE[MAESTRIA],
                    BQ106:DY106,0))
                )
            )
        ),
        ""
    ),
    TRANSPOSE(
        _xlfn.UNIQUE(EDU_DOCENTE[NOMBRE_DOCENTE]
        )
    )
)</f>
        <v>ALCIVAR CEDEÑO BEATRIZ ISABEL</v>
      </c>
      <c r="EB106" t="str">
        <v>ALCIVAR VERA GEMA MICHELLE</v>
      </c>
      <c r="EC106" t="str">
        <v>ARAUZ CHAVEZ MARIO ROBERTO</v>
      </c>
      <c r="ED106" t="str">
        <v>BAILON LOURIDO WALTER ALBERTO</v>
      </c>
      <c r="EE106" t="str">
        <v>CALDERERO VILLAGOMEZ ERICK ANTONIO</v>
      </c>
      <c r="EF106" t="str">
        <v>CASTILLO GARCIA PAOLA GERMANIA</v>
      </c>
      <c r="EG106" t="str">
        <v>CEDEÑO CHOEZ PEDRO JAVIER</v>
      </c>
      <c r="EH106" t="str">
        <v>CEVALLOS HOPPE JUAN CARLOS</v>
      </c>
      <c r="EI106" t="str">
        <v>DELGADO CHAVEZ MARIA IRASEMA</v>
      </c>
      <c r="EJ106" t="str">
        <v>DUARTE VALENCIA CRISTHIAN DARIO</v>
      </c>
      <c r="EK106" t="str">
        <v>FORTTY BARBERAN DENNY ALEXANDER</v>
      </c>
      <c r="EL106" t="str">
        <v>GUTIERREZ ZAMBRANO CARMEN EBELINA</v>
      </c>
      <c r="EM106" t="str">
        <v>INTRIAGO MOLINA GEMA VALERIA</v>
      </c>
      <c r="EN106" t="str">
        <v>LINO VELEZ LEONEL LIVINGTON</v>
      </c>
      <c r="EO106" t="str">
        <v>LOOR ALCIVAR MARIA ILIANA</v>
      </c>
      <c r="EP106" t="str">
        <v>LOOR MIELES TANIA JACQUELINE</v>
      </c>
      <c r="EQ106" t="str">
        <v>LOOR SOLORZANO ROSA MARIA</v>
      </c>
      <c r="ER106" t="str">
        <v>LOPEZ DELGADO RONALD MAURICIO</v>
      </c>
      <c r="ES106" t="str">
        <v>MACIAS VALENCIA DAVID GABRIEL</v>
      </c>
      <c r="ET106" t="str">
        <v>MENDOZA ZAMORA WALTER MANUEL</v>
      </c>
      <c r="EU106" t="str">
        <v>MOLINA CEVALLOS MARIA LORENA</v>
      </c>
      <c r="EV106" t="str">
        <v>MURILLO DELGADO ISAAC GABRIEL</v>
      </c>
      <c r="EW106" t="str">
        <v>ANGULO MURILLO NAVIRA GISSELA</v>
      </c>
      <c r="EX106" t="str">
        <v>OCHOA SOLEDISPA NESTOR IVAN</v>
      </c>
      <c r="EY106" t="str">
        <v>PARRAGA FRANCO SILVANA MARIELA</v>
      </c>
      <c r="EZ106" t="str">
        <v>PINARGOTE VASQUEZ NANCY FABIOLA</v>
      </c>
      <c r="FA106" t="str">
        <v>REYES VELEZ PEDRO ENRIQUE</v>
      </c>
      <c r="FB106" t="str">
        <v>SAN ANDRES HORMAZA DALLAS CECILIA</v>
      </c>
      <c r="FC106" t="str">
        <v>SORNOZA ZAMORA JUAN CARLOS</v>
      </c>
      <c r="FD106" t="str">
        <v>TOMALA PINTO JESUS JACINTO</v>
      </c>
      <c r="FE106" t="str">
        <v>VALLE JARAMILLO SILVIA ARACELY</v>
      </c>
      <c r="FF106" t="str">
        <v>VELÁSQUEZ BRAVO IRMA KATHERINE</v>
      </c>
      <c r="FG106" t="str">
        <v>VELEZ MENDOZA LAYSY VALERIA</v>
      </c>
      <c r="FH106" t="str">
        <v>VINUEZA TELLO SHIRLEY ELIZABETH</v>
      </c>
      <c r="FI106" t="str">
        <v>ZAMBRANO ALCIVAR NILDA ISABEL</v>
      </c>
      <c r="FJ106" t="str">
        <v>ZAMBRANO LOOR RITA MAYDA</v>
      </c>
      <c r="FK106" t="str">
        <v>ZAMBRANO VERA MONICA JANETH</v>
      </c>
      <c r="FL106" t="str">
        <v>VERA DELGADO BRYAN ADRIÁN</v>
      </c>
      <c r="FM106" t="str">
        <v>MORAN GONZALES DAVID RENATO</v>
      </c>
      <c r="FN106">
        <v>0</v>
      </c>
    </row>
    <row r="107" spans="1:170" ht="20.25" customHeight="1">
      <c r="A107" s="4" t="str" cm="1">
        <f t="array" ref="A107">TRANSPOSE(_xlfn.UNIQUE(_xlfn._xlws.FILTER(MAE_ASIGNATURA[ID_NIVEL],MAE_ASIGNATURA[ID_CARRERA]=ASIGNACION!$C107,"No existe información")))</f>
        <v>No existe información</v>
      </c>
      <c r="S107" s="4" t="str" cm="1">
        <f t="array" ref="S107">TRANSPOSE(_xlfn.UNIQUE(_xlfn._xlws.FILTER(MAE_ASIGNATURA[NOM_ASIG],(MAE_ASIGNATURA[ID_NIVEL]=ASIGNACION!$D107)*(MAE_ASIGNATURA[ID_CARRERA]=ASIGNACION!$C107),"No existe información")))</f>
        <v>No existe información</v>
      </c>
      <c r="BD107" s="4" t="str" cm="1">
        <f t="array" ref="BD107">TRANSPOSE(_xlfn.UNIQUE(_xlfn._xlws.FILTER(DET_ASIG[DETALLADO],(DET_ASIG[ID_CARRERA]=ASIGNACION!$C107)*(DET_ASIG[NIVEL]=ASIGNACION!$D107)*(DET_ASIG[ID_ASIG]=ASIGNACION!$G107),"No existe información")))</f>
        <v>No existe información</v>
      </c>
      <c r="BQ107" s="5" t="str" cm="1">
        <f t="array" ref="BQ107">IFERROR(
    TRANSPOSE(
        _xlfn.UNIQUE(
            _xlfn._xlws.FILTER(MAESTRIA_DETALLADO[MAESTRIA],
                ISNUMBER(MATCH(MAESTRIA_DETALLADO[CAMPO_DETALLADO],
                BD107:BP107,0))
            )
        )
    ),IF(BD107="ACTIVIDAD","DOCENCIA",""))</f>
        <v/>
      </c>
      <c r="EA107" s="5" t="str" cm="1">
        <f t="array" ref="EA107:FN107">IF(
    ASIGNACION!I107="SI",
    IFERROR(
        TRANSPOSE(
            _xlfn.UNIQUE(
                _xlfn._xlws.FILTER(EDU_DOCENTE[NOMBRE_DOCENTE],
                    ISNUMBER(MATCH(EDU_DOCENTE[MAESTRIA],
                    BQ107:DY107,0))
                )
            )
        ),
        ""
    ),
    TRANSPOSE(
        _xlfn.UNIQUE(EDU_DOCENTE[NOMBRE_DOCENTE]
        )
    )
)</f>
        <v>ALCIVAR CEDEÑO BEATRIZ ISABEL</v>
      </c>
      <c r="EB107" t="str">
        <v>ALCIVAR VERA GEMA MICHELLE</v>
      </c>
      <c r="EC107" t="str">
        <v>ARAUZ CHAVEZ MARIO ROBERTO</v>
      </c>
      <c r="ED107" t="str">
        <v>BAILON LOURIDO WALTER ALBERTO</v>
      </c>
      <c r="EE107" t="str">
        <v>CALDERERO VILLAGOMEZ ERICK ANTONIO</v>
      </c>
      <c r="EF107" t="str">
        <v>CASTILLO GARCIA PAOLA GERMANIA</v>
      </c>
      <c r="EG107" t="str">
        <v>CEDEÑO CHOEZ PEDRO JAVIER</v>
      </c>
      <c r="EH107" t="str">
        <v>CEVALLOS HOPPE JUAN CARLOS</v>
      </c>
      <c r="EI107" t="str">
        <v>DELGADO CHAVEZ MARIA IRASEMA</v>
      </c>
      <c r="EJ107" t="str">
        <v>DUARTE VALENCIA CRISTHIAN DARIO</v>
      </c>
      <c r="EK107" t="str">
        <v>FORTTY BARBERAN DENNY ALEXANDER</v>
      </c>
      <c r="EL107" t="str">
        <v>GUTIERREZ ZAMBRANO CARMEN EBELINA</v>
      </c>
      <c r="EM107" t="str">
        <v>INTRIAGO MOLINA GEMA VALERIA</v>
      </c>
      <c r="EN107" t="str">
        <v>LINO VELEZ LEONEL LIVINGTON</v>
      </c>
      <c r="EO107" t="str">
        <v>LOOR ALCIVAR MARIA ILIANA</v>
      </c>
      <c r="EP107" t="str">
        <v>LOOR MIELES TANIA JACQUELINE</v>
      </c>
      <c r="EQ107" t="str">
        <v>LOOR SOLORZANO ROSA MARIA</v>
      </c>
      <c r="ER107" t="str">
        <v>LOPEZ DELGADO RONALD MAURICIO</v>
      </c>
      <c r="ES107" t="str">
        <v>MACIAS VALENCIA DAVID GABRIEL</v>
      </c>
      <c r="ET107" t="str">
        <v>MENDOZA ZAMORA WALTER MANUEL</v>
      </c>
      <c r="EU107" t="str">
        <v>MOLINA CEVALLOS MARIA LORENA</v>
      </c>
      <c r="EV107" t="str">
        <v>MURILLO DELGADO ISAAC GABRIEL</v>
      </c>
      <c r="EW107" t="str">
        <v>ANGULO MURILLO NAVIRA GISSELA</v>
      </c>
      <c r="EX107" t="str">
        <v>OCHOA SOLEDISPA NESTOR IVAN</v>
      </c>
      <c r="EY107" t="str">
        <v>PARRAGA FRANCO SILVANA MARIELA</v>
      </c>
      <c r="EZ107" t="str">
        <v>PINARGOTE VASQUEZ NANCY FABIOLA</v>
      </c>
      <c r="FA107" t="str">
        <v>REYES VELEZ PEDRO ENRIQUE</v>
      </c>
      <c r="FB107" t="str">
        <v>SAN ANDRES HORMAZA DALLAS CECILIA</v>
      </c>
      <c r="FC107" t="str">
        <v>SORNOZA ZAMORA JUAN CARLOS</v>
      </c>
      <c r="FD107" t="str">
        <v>TOMALA PINTO JESUS JACINTO</v>
      </c>
      <c r="FE107" t="str">
        <v>VALLE JARAMILLO SILVIA ARACELY</v>
      </c>
      <c r="FF107" t="str">
        <v>VELÁSQUEZ BRAVO IRMA KATHERINE</v>
      </c>
      <c r="FG107" t="str">
        <v>VELEZ MENDOZA LAYSY VALERIA</v>
      </c>
      <c r="FH107" t="str">
        <v>VINUEZA TELLO SHIRLEY ELIZABETH</v>
      </c>
      <c r="FI107" t="str">
        <v>ZAMBRANO ALCIVAR NILDA ISABEL</v>
      </c>
      <c r="FJ107" t="str">
        <v>ZAMBRANO LOOR RITA MAYDA</v>
      </c>
      <c r="FK107" t="str">
        <v>ZAMBRANO VERA MONICA JANETH</v>
      </c>
      <c r="FL107" t="str">
        <v>VERA DELGADO BRYAN ADRIÁN</v>
      </c>
      <c r="FM107" t="str">
        <v>MORAN GONZALES DAVID RENATO</v>
      </c>
      <c r="FN107">
        <v>0</v>
      </c>
    </row>
    <row r="108" spans="1:170" ht="20.25" customHeight="1">
      <c r="A108" s="4" t="str" cm="1">
        <f t="array" ref="A108">TRANSPOSE(_xlfn.UNIQUE(_xlfn._xlws.FILTER(MAE_ASIGNATURA[ID_NIVEL],MAE_ASIGNATURA[ID_CARRERA]=ASIGNACION!$C108,"No existe información")))</f>
        <v>No existe información</v>
      </c>
      <c r="S108" s="4" t="str" cm="1">
        <f t="array" ref="S108">TRANSPOSE(_xlfn.UNIQUE(_xlfn._xlws.FILTER(MAE_ASIGNATURA[NOM_ASIG],(MAE_ASIGNATURA[ID_NIVEL]=ASIGNACION!$D108)*(MAE_ASIGNATURA[ID_CARRERA]=ASIGNACION!$C108),"No existe información")))</f>
        <v>No existe información</v>
      </c>
      <c r="BD108" s="4" t="str" cm="1">
        <f t="array" ref="BD108">TRANSPOSE(_xlfn.UNIQUE(_xlfn._xlws.FILTER(DET_ASIG[DETALLADO],(DET_ASIG[ID_CARRERA]=ASIGNACION!$C108)*(DET_ASIG[NIVEL]=ASIGNACION!$D108)*(DET_ASIG[ID_ASIG]=ASIGNACION!$G108),"No existe información")))</f>
        <v>No existe información</v>
      </c>
      <c r="BQ108" s="5" t="str" cm="1">
        <f t="array" ref="BQ108">IFERROR(
    TRANSPOSE(
        _xlfn.UNIQUE(
            _xlfn._xlws.FILTER(MAESTRIA_DETALLADO[MAESTRIA],
                ISNUMBER(MATCH(MAESTRIA_DETALLADO[CAMPO_DETALLADO],
                BD108:BP108,0))
            )
        )
    ),IF(BD108="ACTIVIDAD","DOCENCIA",""))</f>
        <v/>
      </c>
      <c r="EA108" s="5" t="str" cm="1">
        <f t="array" ref="EA108:FN108">IF(
    ASIGNACION!I108="SI",
    IFERROR(
        TRANSPOSE(
            _xlfn.UNIQUE(
                _xlfn._xlws.FILTER(EDU_DOCENTE[NOMBRE_DOCENTE],
                    ISNUMBER(MATCH(EDU_DOCENTE[MAESTRIA],
                    BQ108:DY108,0))
                )
            )
        ),
        ""
    ),
    TRANSPOSE(
        _xlfn.UNIQUE(EDU_DOCENTE[NOMBRE_DOCENTE]
        )
    )
)</f>
        <v>ALCIVAR CEDEÑO BEATRIZ ISABEL</v>
      </c>
      <c r="EB108" t="str">
        <v>ALCIVAR VERA GEMA MICHELLE</v>
      </c>
      <c r="EC108" t="str">
        <v>ARAUZ CHAVEZ MARIO ROBERTO</v>
      </c>
      <c r="ED108" t="str">
        <v>BAILON LOURIDO WALTER ALBERTO</v>
      </c>
      <c r="EE108" t="str">
        <v>CALDERERO VILLAGOMEZ ERICK ANTONIO</v>
      </c>
      <c r="EF108" t="str">
        <v>CASTILLO GARCIA PAOLA GERMANIA</v>
      </c>
      <c r="EG108" t="str">
        <v>CEDEÑO CHOEZ PEDRO JAVIER</v>
      </c>
      <c r="EH108" t="str">
        <v>CEVALLOS HOPPE JUAN CARLOS</v>
      </c>
      <c r="EI108" t="str">
        <v>DELGADO CHAVEZ MARIA IRASEMA</v>
      </c>
      <c r="EJ108" t="str">
        <v>DUARTE VALENCIA CRISTHIAN DARIO</v>
      </c>
      <c r="EK108" t="str">
        <v>FORTTY BARBERAN DENNY ALEXANDER</v>
      </c>
      <c r="EL108" t="str">
        <v>GUTIERREZ ZAMBRANO CARMEN EBELINA</v>
      </c>
      <c r="EM108" t="str">
        <v>INTRIAGO MOLINA GEMA VALERIA</v>
      </c>
      <c r="EN108" t="str">
        <v>LINO VELEZ LEONEL LIVINGTON</v>
      </c>
      <c r="EO108" t="str">
        <v>LOOR ALCIVAR MARIA ILIANA</v>
      </c>
      <c r="EP108" t="str">
        <v>LOOR MIELES TANIA JACQUELINE</v>
      </c>
      <c r="EQ108" t="str">
        <v>LOOR SOLORZANO ROSA MARIA</v>
      </c>
      <c r="ER108" t="str">
        <v>LOPEZ DELGADO RONALD MAURICIO</v>
      </c>
      <c r="ES108" t="str">
        <v>MACIAS VALENCIA DAVID GABRIEL</v>
      </c>
      <c r="ET108" t="str">
        <v>MENDOZA ZAMORA WALTER MANUEL</v>
      </c>
      <c r="EU108" t="str">
        <v>MOLINA CEVALLOS MARIA LORENA</v>
      </c>
      <c r="EV108" t="str">
        <v>MURILLO DELGADO ISAAC GABRIEL</v>
      </c>
      <c r="EW108" t="str">
        <v>ANGULO MURILLO NAVIRA GISSELA</v>
      </c>
      <c r="EX108" t="str">
        <v>OCHOA SOLEDISPA NESTOR IVAN</v>
      </c>
      <c r="EY108" t="str">
        <v>PARRAGA FRANCO SILVANA MARIELA</v>
      </c>
      <c r="EZ108" t="str">
        <v>PINARGOTE VASQUEZ NANCY FABIOLA</v>
      </c>
      <c r="FA108" t="str">
        <v>REYES VELEZ PEDRO ENRIQUE</v>
      </c>
      <c r="FB108" t="str">
        <v>SAN ANDRES HORMAZA DALLAS CECILIA</v>
      </c>
      <c r="FC108" t="str">
        <v>SORNOZA ZAMORA JUAN CARLOS</v>
      </c>
      <c r="FD108" t="str">
        <v>TOMALA PINTO JESUS JACINTO</v>
      </c>
      <c r="FE108" t="str">
        <v>VALLE JARAMILLO SILVIA ARACELY</v>
      </c>
      <c r="FF108" t="str">
        <v>VELÁSQUEZ BRAVO IRMA KATHERINE</v>
      </c>
      <c r="FG108" t="str">
        <v>VELEZ MENDOZA LAYSY VALERIA</v>
      </c>
      <c r="FH108" t="str">
        <v>VINUEZA TELLO SHIRLEY ELIZABETH</v>
      </c>
      <c r="FI108" t="str">
        <v>ZAMBRANO ALCIVAR NILDA ISABEL</v>
      </c>
      <c r="FJ108" t="str">
        <v>ZAMBRANO LOOR RITA MAYDA</v>
      </c>
      <c r="FK108" t="str">
        <v>ZAMBRANO VERA MONICA JANETH</v>
      </c>
      <c r="FL108" t="str">
        <v>VERA DELGADO BRYAN ADRIÁN</v>
      </c>
      <c r="FM108" t="str">
        <v>MORAN GONZALES DAVID RENATO</v>
      </c>
      <c r="FN108">
        <v>0</v>
      </c>
    </row>
    <row r="109" spans="1:170" ht="20.25" customHeight="1">
      <c r="A109" s="4" t="str" cm="1">
        <f t="array" ref="A109">TRANSPOSE(_xlfn.UNIQUE(_xlfn._xlws.FILTER(MAE_ASIGNATURA[ID_NIVEL],MAE_ASIGNATURA[ID_CARRERA]=ASIGNACION!$C109,"No existe información")))</f>
        <v>No existe información</v>
      </c>
      <c r="S109" s="4" t="str" cm="1">
        <f t="array" ref="S109">TRANSPOSE(_xlfn.UNIQUE(_xlfn._xlws.FILTER(MAE_ASIGNATURA[NOM_ASIG],(MAE_ASIGNATURA[ID_NIVEL]=ASIGNACION!$D109)*(MAE_ASIGNATURA[ID_CARRERA]=ASIGNACION!$C109),"No existe información")))</f>
        <v>No existe información</v>
      </c>
      <c r="BD109" s="4" t="str" cm="1">
        <f t="array" ref="BD109">TRANSPOSE(_xlfn.UNIQUE(_xlfn._xlws.FILTER(DET_ASIG[DETALLADO],(DET_ASIG[ID_CARRERA]=ASIGNACION!$C109)*(DET_ASIG[NIVEL]=ASIGNACION!$D109)*(DET_ASIG[ID_ASIG]=ASIGNACION!$G109),"No existe información")))</f>
        <v>No existe información</v>
      </c>
      <c r="BQ109" s="5" t="str" cm="1">
        <f t="array" ref="BQ109">IFERROR(
    TRANSPOSE(
        _xlfn.UNIQUE(
            _xlfn._xlws.FILTER(MAESTRIA_DETALLADO[MAESTRIA],
                ISNUMBER(MATCH(MAESTRIA_DETALLADO[CAMPO_DETALLADO],
                BD109:BP109,0))
            )
        )
    ),IF(BD109="ACTIVIDAD","DOCENCIA",""))</f>
        <v/>
      </c>
      <c r="EA109" s="5" t="str" cm="1">
        <f t="array" ref="EA109:FN109">IF(
    ASIGNACION!I109="SI",
    IFERROR(
        TRANSPOSE(
            _xlfn.UNIQUE(
                _xlfn._xlws.FILTER(EDU_DOCENTE[NOMBRE_DOCENTE],
                    ISNUMBER(MATCH(EDU_DOCENTE[MAESTRIA],
                    BQ109:DY109,0))
                )
            )
        ),
        ""
    ),
    TRANSPOSE(
        _xlfn.UNIQUE(EDU_DOCENTE[NOMBRE_DOCENTE]
        )
    )
)</f>
        <v>ALCIVAR CEDEÑO BEATRIZ ISABEL</v>
      </c>
      <c r="EB109" t="str">
        <v>ALCIVAR VERA GEMA MICHELLE</v>
      </c>
      <c r="EC109" t="str">
        <v>ARAUZ CHAVEZ MARIO ROBERTO</v>
      </c>
      <c r="ED109" t="str">
        <v>BAILON LOURIDO WALTER ALBERTO</v>
      </c>
      <c r="EE109" t="str">
        <v>CALDERERO VILLAGOMEZ ERICK ANTONIO</v>
      </c>
      <c r="EF109" t="str">
        <v>CASTILLO GARCIA PAOLA GERMANIA</v>
      </c>
      <c r="EG109" t="str">
        <v>CEDEÑO CHOEZ PEDRO JAVIER</v>
      </c>
      <c r="EH109" t="str">
        <v>CEVALLOS HOPPE JUAN CARLOS</v>
      </c>
      <c r="EI109" t="str">
        <v>DELGADO CHAVEZ MARIA IRASEMA</v>
      </c>
      <c r="EJ109" t="str">
        <v>DUARTE VALENCIA CRISTHIAN DARIO</v>
      </c>
      <c r="EK109" t="str">
        <v>FORTTY BARBERAN DENNY ALEXANDER</v>
      </c>
      <c r="EL109" t="str">
        <v>GUTIERREZ ZAMBRANO CARMEN EBELINA</v>
      </c>
      <c r="EM109" t="str">
        <v>INTRIAGO MOLINA GEMA VALERIA</v>
      </c>
      <c r="EN109" t="str">
        <v>LINO VELEZ LEONEL LIVINGTON</v>
      </c>
      <c r="EO109" t="str">
        <v>LOOR ALCIVAR MARIA ILIANA</v>
      </c>
      <c r="EP109" t="str">
        <v>LOOR MIELES TANIA JACQUELINE</v>
      </c>
      <c r="EQ109" t="str">
        <v>LOOR SOLORZANO ROSA MARIA</v>
      </c>
      <c r="ER109" t="str">
        <v>LOPEZ DELGADO RONALD MAURICIO</v>
      </c>
      <c r="ES109" t="str">
        <v>MACIAS VALENCIA DAVID GABRIEL</v>
      </c>
      <c r="ET109" t="str">
        <v>MENDOZA ZAMORA WALTER MANUEL</v>
      </c>
      <c r="EU109" t="str">
        <v>MOLINA CEVALLOS MARIA LORENA</v>
      </c>
      <c r="EV109" t="str">
        <v>MURILLO DELGADO ISAAC GABRIEL</v>
      </c>
      <c r="EW109" t="str">
        <v>ANGULO MURILLO NAVIRA GISSELA</v>
      </c>
      <c r="EX109" t="str">
        <v>OCHOA SOLEDISPA NESTOR IVAN</v>
      </c>
      <c r="EY109" t="str">
        <v>PARRAGA FRANCO SILVANA MARIELA</v>
      </c>
      <c r="EZ109" t="str">
        <v>PINARGOTE VASQUEZ NANCY FABIOLA</v>
      </c>
      <c r="FA109" t="str">
        <v>REYES VELEZ PEDRO ENRIQUE</v>
      </c>
      <c r="FB109" t="str">
        <v>SAN ANDRES HORMAZA DALLAS CECILIA</v>
      </c>
      <c r="FC109" t="str">
        <v>SORNOZA ZAMORA JUAN CARLOS</v>
      </c>
      <c r="FD109" t="str">
        <v>TOMALA PINTO JESUS JACINTO</v>
      </c>
      <c r="FE109" t="str">
        <v>VALLE JARAMILLO SILVIA ARACELY</v>
      </c>
      <c r="FF109" t="str">
        <v>VELÁSQUEZ BRAVO IRMA KATHERINE</v>
      </c>
      <c r="FG109" t="str">
        <v>VELEZ MENDOZA LAYSY VALERIA</v>
      </c>
      <c r="FH109" t="str">
        <v>VINUEZA TELLO SHIRLEY ELIZABETH</v>
      </c>
      <c r="FI109" t="str">
        <v>ZAMBRANO ALCIVAR NILDA ISABEL</v>
      </c>
      <c r="FJ109" t="str">
        <v>ZAMBRANO LOOR RITA MAYDA</v>
      </c>
      <c r="FK109" t="str">
        <v>ZAMBRANO VERA MONICA JANETH</v>
      </c>
      <c r="FL109" t="str">
        <v>VERA DELGADO BRYAN ADRIÁN</v>
      </c>
      <c r="FM109" t="str">
        <v>MORAN GONZALES DAVID RENATO</v>
      </c>
      <c r="FN109">
        <v>0</v>
      </c>
    </row>
    <row r="110" spans="1:170" ht="20.25" customHeight="1">
      <c r="A110" s="4" t="str" cm="1">
        <f t="array" ref="A110">TRANSPOSE(_xlfn.UNIQUE(_xlfn._xlws.FILTER(MAE_ASIGNATURA[ID_NIVEL],MAE_ASIGNATURA[ID_CARRERA]=ASIGNACION!$C110,"No existe información")))</f>
        <v>No existe información</v>
      </c>
      <c r="S110" s="4" t="str" cm="1">
        <f t="array" ref="S110">TRANSPOSE(_xlfn.UNIQUE(_xlfn._xlws.FILTER(MAE_ASIGNATURA[NOM_ASIG],(MAE_ASIGNATURA[ID_NIVEL]=ASIGNACION!$D110)*(MAE_ASIGNATURA[ID_CARRERA]=ASIGNACION!$C110),"No existe información")))</f>
        <v>No existe información</v>
      </c>
      <c r="BD110" s="4" t="str" cm="1">
        <f t="array" ref="BD110">TRANSPOSE(_xlfn.UNIQUE(_xlfn._xlws.FILTER(DET_ASIG[DETALLADO],(DET_ASIG[ID_CARRERA]=ASIGNACION!$C110)*(DET_ASIG[NIVEL]=ASIGNACION!$D110)*(DET_ASIG[ID_ASIG]=ASIGNACION!$G110),"No existe información")))</f>
        <v>No existe información</v>
      </c>
      <c r="BQ110" s="5" t="str" cm="1">
        <f t="array" ref="BQ110">IFERROR(
    TRANSPOSE(
        _xlfn.UNIQUE(
            _xlfn._xlws.FILTER(MAESTRIA_DETALLADO[MAESTRIA],
                ISNUMBER(MATCH(MAESTRIA_DETALLADO[CAMPO_DETALLADO],
                BD110:BP110,0))
            )
        )
    ),IF(BD110="ACTIVIDAD","DOCENCIA",""))</f>
        <v/>
      </c>
      <c r="EA110" s="5" t="str" cm="1">
        <f t="array" ref="EA110:FN110">IF(
    ASIGNACION!I110="SI",
    IFERROR(
        TRANSPOSE(
            _xlfn.UNIQUE(
                _xlfn._xlws.FILTER(EDU_DOCENTE[NOMBRE_DOCENTE],
                    ISNUMBER(MATCH(EDU_DOCENTE[MAESTRIA],
                    BQ110:DY110,0))
                )
            )
        ),
        ""
    ),
    TRANSPOSE(
        _xlfn.UNIQUE(EDU_DOCENTE[NOMBRE_DOCENTE]
        )
    )
)</f>
        <v>ALCIVAR CEDEÑO BEATRIZ ISABEL</v>
      </c>
      <c r="EB110" t="str">
        <v>ALCIVAR VERA GEMA MICHELLE</v>
      </c>
      <c r="EC110" t="str">
        <v>ARAUZ CHAVEZ MARIO ROBERTO</v>
      </c>
      <c r="ED110" t="str">
        <v>BAILON LOURIDO WALTER ALBERTO</v>
      </c>
      <c r="EE110" t="str">
        <v>CALDERERO VILLAGOMEZ ERICK ANTONIO</v>
      </c>
      <c r="EF110" t="str">
        <v>CASTILLO GARCIA PAOLA GERMANIA</v>
      </c>
      <c r="EG110" t="str">
        <v>CEDEÑO CHOEZ PEDRO JAVIER</v>
      </c>
      <c r="EH110" t="str">
        <v>CEVALLOS HOPPE JUAN CARLOS</v>
      </c>
      <c r="EI110" t="str">
        <v>DELGADO CHAVEZ MARIA IRASEMA</v>
      </c>
      <c r="EJ110" t="str">
        <v>DUARTE VALENCIA CRISTHIAN DARIO</v>
      </c>
      <c r="EK110" t="str">
        <v>FORTTY BARBERAN DENNY ALEXANDER</v>
      </c>
      <c r="EL110" t="str">
        <v>GUTIERREZ ZAMBRANO CARMEN EBELINA</v>
      </c>
      <c r="EM110" t="str">
        <v>INTRIAGO MOLINA GEMA VALERIA</v>
      </c>
      <c r="EN110" t="str">
        <v>LINO VELEZ LEONEL LIVINGTON</v>
      </c>
      <c r="EO110" t="str">
        <v>LOOR ALCIVAR MARIA ILIANA</v>
      </c>
      <c r="EP110" t="str">
        <v>LOOR MIELES TANIA JACQUELINE</v>
      </c>
      <c r="EQ110" t="str">
        <v>LOOR SOLORZANO ROSA MARIA</v>
      </c>
      <c r="ER110" t="str">
        <v>LOPEZ DELGADO RONALD MAURICIO</v>
      </c>
      <c r="ES110" t="str">
        <v>MACIAS VALENCIA DAVID GABRIEL</v>
      </c>
      <c r="ET110" t="str">
        <v>MENDOZA ZAMORA WALTER MANUEL</v>
      </c>
      <c r="EU110" t="str">
        <v>MOLINA CEVALLOS MARIA LORENA</v>
      </c>
      <c r="EV110" t="str">
        <v>MURILLO DELGADO ISAAC GABRIEL</v>
      </c>
      <c r="EW110" t="str">
        <v>ANGULO MURILLO NAVIRA GISSELA</v>
      </c>
      <c r="EX110" t="str">
        <v>OCHOA SOLEDISPA NESTOR IVAN</v>
      </c>
      <c r="EY110" t="str">
        <v>PARRAGA FRANCO SILVANA MARIELA</v>
      </c>
      <c r="EZ110" t="str">
        <v>PINARGOTE VASQUEZ NANCY FABIOLA</v>
      </c>
      <c r="FA110" t="str">
        <v>REYES VELEZ PEDRO ENRIQUE</v>
      </c>
      <c r="FB110" t="str">
        <v>SAN ANDRES HORMAZA DALLAS CECILIA</v>
      </c>
      <c r="FC110" t="str">
        <v>SORNOZA ZAMORA JUAN CARLOS</v>
      </c>
      <c r="FD110" t="str">
        <v>TOMALA PINTO JESUS JACINTO</v>
      </c>
      <c r="FE110" t="str">
        <v>VALLE JARAMILLO SILVIA ARACELY</v>
      </c>
      <c r="FF110" t="str">
        <v>VELÁSQUEZ BRAVO IRMA KATHERINE</v>
      </c>
      <c r="FG110" t="str">
        <v>VELEZ MENDOZA LAYSY VALERIA</v>
      </c>
      <c r="FH110" t="str">
        <v>VINUEZA TELLO SHIRLEY ELIZABETH</v>
      </c>
      <c r="FI110" t="str">
        <v>ZAMBRANO ALCIVAR NILDA ISABEL</v>
      </c>
      <c r="FJ110" t="str">
        <v>ZAMBRANO LOOR RITA MAYDA</v>
      </c>
      <c r="FK110" t="str">
        <v>ZAMBRANO VERA MONICA JANETH</v>
      </c>
      <c r="FL110" t="str">
        <v>VERA DELGADO BRYAN ADRIÁN</v>
      </c>
      <c r="FM110" t="str">
        <v>MORAN GONZALES DAVID RENATO</v>
      </c>
      <c r="FN110">
        <v>0</v>
      </c>
    </row>
    <row r="111" spans="1:170" ht="20.25" customHeight="1">
      <c r="A111" s="4" t="str" cm="1">
        <f t="array" ref="A111">TRANSPOSE(_xlfn.UNIQUE(_xlfn._xlws.FILTER(MAE_ASIGNATURA[ID_NIVEL],MAE_ASIGNATURA[ID_CARRERA]=ASIGNACION!$C111,"No existe información")))</f>
        <v>No existe información</v>
      </c>
      <c r="S111" s="4" t="str" cm="1">
        <f t="array" ref="S111">TRANSPOSE(_xlfn.UNIQUE(_xlfn._xlws.FILTER(MAE_ASIGNATURA[NOM_ASIG],(MAE_ASIGNATURA[ID_NIVEL]=ASIGNACION!$D111)*(MAE_ASIGNATURA[ID_CARRERA]=ASIGNACION!$C111),"No existe información")))</f>
        <v>No existe información</v>
      </c>
      <c r="BD111" s="4" t="str" cm="1">
        <f t="array" ref="BD111">TRANSPOSE(_xlfn.UNIQUE(_xlfn._xlws.FILTER(DET_ASIG[DETALLADO],(DET_ASIG[ID_CARRERA]=ASIGNACION!$C111)*(DET_ASIG[NIVEL]=ASIGNACION!$D111)*(DET_ASIG[ID_ASIG]=ASIGNACION!$G111),"No existe información")))</f>
        <v>No existe información</v>
      </c>
      <c r="BQ111" s="5" t="str" cm="1">
        <f t="array" ref="BQ111">IFERROR(
    TRANSPOSE(
        _xlfn.UNIQUE(
            _xlfn._xlws.FILTER(MAESTRIA_DETALLADO[MAESTRIA],
                ISNUMBER(MATCH(MAESTRIA_DETALLADO[CAMPO_DETALLADO],
                BD111:BP111,0))
            )
        )
    ),IF(BD111="ACTIVIDAD","DOCENCIA",""))</f>
        <v/>
      </c>
      <c r="EA111" s="5" t="str" cm="1">
        <f t="array" ref="EA111:FN111">IF(
    ASIGNACION!I111="SI",
    IFERROR(
        TRANSPOSE(
            _xlfn.UNIQUE(
                _xlfn._xlws.FILTER(EDU_DOCENTE[NOMBRE_DOCENTE],
                    ISNUMBER(MATCH(EDU_DOCENTE[MAESTRIA],
                    BQ111:DY111,0))
                )
            )
        ),
        ""
    ),
    TRANSPOSE(
        _xlfn.UNIQUE(EDU_DOCENTE[NOMBRE_DOCENTE]
        )
    )
)</f>
        <v>ALCIVAR CEDEÑO BEATRIZ ISABEL</v>
      </c>
      <c r="EB111" t="str">
        <v>ALCIVAR VERA GEMA MICHELLE</v>
      </c>
      <c r="EC111" t="str">
        <v>ARAUZ CHAVEZ MARIO ROBERTO</v>
      </c>
      <c r="ED111" t="str">
        <v>BAILON LOURIDO WALTER ALBERTO</v>
      </c>
      <c r="EE111" t="str">
        <v>CALDERERO VILLAGOMEZ ERICK ANTONIO</v>
      </c>
      <c r="EF111" t="str">
        <v>CASTILLO GARCIA PAOLA GERMANIA</v>
      </c>
      <c r="EG111" t="str">
        <v>CEDEÑO CHOEZ PEDRO JAVIER</v>
      </c>
      <c r="EH111" t="str">
        <v>CEVALLOS HOPPE JUAN CARLOS</v>
      </c>
      <c r="EI111" t="str">
        <v>DELGADO CHAVEZ MARIA IRASEMA</v>
      </c>
      <c r="EJ111" t="str">
        <v>DUARTE VALENCIA CRISTHIAN DARIO</v>
      </c>
      <c r="EK111" t="str">
        <v>FORTTY BARBERAN DENNY ALEXANDER</v>
      </c>
      <c r="EL111" t="str">
        <v>GUTIERREZ ZAMBRANO CARMEN EBELINA</v>
      </c>
      <c r="EM111" t="str">
        <v>INTRIAGO MOLINA GEMA VALERIA</v>
      </c>
      <c r="EN111" t="str">
        <v>LINO VELEZ LEONEL LIVINGTON</v>
      </c>
      <c r="EO111" t="str">
        <v>LOOR ALCIVAR MARIA ILIANA</v>
      </c>
      <c r="EP111" t="str">
        <v>LOOR MIELES TANIA JACQUELINE</v>
      </c>
      <c r="EQ111" t="str">
        <v>LOOR SOLORZANO ROSA MARIA</v>
      </c>
      <c r="ER111" t="str">
        <v>LOPEZ DELGADO RONALD MAURICIO</v>
      </c>
      <c r="ES111" t="str">
        <v>MACIAS VALENCIA DAVID GABRIEL</v>
      </c>
      <c r="ET111" t="str">
        <v>MENDOZA ZAMORA WALTER MANUEL</v>
      </c>
      <c r="EU111" t="str">
        <v>MOLINA CEVALLOS MARIA LORENA</v>
      </c>
      <c r="EV111" t="str">
        <v>MURILLO DELGADO ISAAC GABRIEL</v>
      </c>
      <c r="EW111" t="str">
        <v>ANGULO MURILLO NAVIRA GISSELA</v>
      </c>
      <c r="EX111" t="str">
        <v>OCHOA SOLEDISPA NESTOR IVAN</v>
      </c>
      <c r="EY111" t="str">
        <v>PARRAGA FRANCO SILVANA MARIELA</v>
      </c>
      <c r="EZ111" t="str">
        <v>PINARGOTE VASQUEZ NANCY FABIOLA</v>
      </c>
      <c r="FA111" t="str">
        <v>REYES VELEZ PEDRO ENRIQUE</v>
      </c>
      <c r="FB111" t="str">
        <v>SAN ANDRES HORMAZA DALLAS CECILIA</v>
      </c>
      <c r="FC111" t="str">
        <v>SORNOZA ZAMORA JUAN CARLOS</v>
      </c>
      <c r="FD111" t="str">
        <v>TOMALA PINTO JESUS JACINTO</v>
      </c>
      <c r="FE111" t="str">
        <v>VALLE JARAMILLO SILVIA ARACELY</v>
      </c>
      <c r="FF111" t="str">
        <v>VELÁSQUEZ BRAVO IRMA KATHERINE</v>
      </c>
      <c r="FG111" t="str">
        <v>VELEZ MENDOZA LAYSY VALERIA</v>
      </c>
      <c r="FH111" t="str">
        <v>VINUEZA TELLO SHIRLEY ELIZABETH</v>
      </c>
      <c r="FI111" t="str">
        <v>ZAMBRANO ALCIVAR NILDA ISABEL</v>
      </c>
      <c r="FJ111" t="str">
        <v>ZAMBRANO LOOR RITA MAYDA</v>
      </c>
      <c r="FK111" t="str">
        <v>ZAMBRANO VERA MONICA JANETH</v>
      </c>
      <c r="FL111" t="str">
        <v>VERA DELGADO BRYAN ADRIÁN</v>
      </c>
      <c r="FM111" t="str">
        <v>MORAN GONZALES DAVID RENATO</v>
      </c>
      <c r="FN111">
        <v>0</v>
      </c>
    </row>
    <row r="112" spans="1:170" ht="20.25" customHeight="1">
      <c r="A112" s="4" t="str" cm="1">
        <f t="array" ref="A112">TRANSPOSE(_xlfn.UNIQUE(_xlfn._xlws.FILTER(MAE_ASIGNATURA[ID_NIVEL],MAE_ASIGNATURA[ID_CARRERA]=ASIGNACION!$C112,"No existe información")))</f>
        <v>No existe información</v>
      </c>
      <c r="S112" s="4" t="str" cm="1">
        <f t="array" ref="S112">TRANSPOSE(_xlfn.UNIQUE(_xlfn._xlws.FILTER(MAE_ASIGNATURA[NOM_ASIG],(MAE_ASIGNATURA[ID_NIVEL]=ASIGNACION!$D112)*(MAE_ASIGNATURA[ID_CARRERA]=ASIGNACION!$C112),"No existe información")))</f>
        <v>No existe información</v>
      </c>
      <c r="BD112" s="4" t="str" cm="1">
        <f t="array" ref="BD112">TRANSPOSE(_xlfn.UNIQUE(_xlfn._xlws.FILTER(DET_ASIG[DETALLADO],(DET_ASIG[ID_CARRERA]=ASIGNACION!$C112)*(DET_ASIG[NIVEL]=ASIGNACION!$D112)*(DET_ASIG[ID_ASIG]=ASIGNACION!$G112),"No existe información")))</f>
        <v>No existe información</v>
      </c>
      <c r="BQ112" s="5" t="str" cm="1">
        <f t="array" ref="BQ112">IFERROR(
    TRANSPOSE(
        _xlfn.UNIQUE(
            _xlfn._xlws.FILTER(MAESTRIA_DETALLADO[MAESTRIA],
                ISNUMBER(MATCH(MAESTRIA_DETALLADO[CAMPO_DETALLADO],
                BD112:BP112,0))
            )
        )
    ),IF(BD112="ACTIVIDAD","DOCENCIA",""))</f>
        <v/>
      </c>
      <c r="EA112" s="5" t="str" cm="1">
        <f t="array" ref="EA112:FN112">IF(
    ASIGNACION!I112="SI",
    IFERROR(
        TRANSPOSE(
            _xlfn.UNIQUE(
                _xlfn._xlws.FILTER(EDU_DOCENTE[NOMBRE_DOCENTE],
                    ISNUMBER(MATCH(EDU_DOCENTE[MAESTRIA],
                    BQ112:DY112,0))
                )
            )
        ),
        ""
    ),
    TRANSPOSE(
        _xlfn.UNIQUE(EDU_DOCENTE[NOMBRE_DOCENTE]
        )
    )
)</f>
        <v>ALCIVAR CEDEÑO BEATRIZ ISABEL</v>
      </c>
      <c r="EB112" t="str">
        <v>ALCIVAR VERA GEMA MICHELLE</v>
      </c>
      <c r="EC112" t="str">
        <v>ARAUZ CHAVEZ MARIO ROBERTO</v>
      </c>
      <c r="ED112" t="str">
        <v>BAILON LOURIDO WALTER ALBERTO</v>
      </c>
      <c r="EE112" t="str">
        <v>CALDERERO VILLAGOMEZ ERICK ANTONIO</v>
      </c>
      <c r="EF112" t="str">
        <v>CASTILLO GARCIA PAOLA GERMANIA</v>
      </c>
      <c r="EG112" t="str">
        <v>CEDEÑO CHOEZ PEDRO JAVIER</v>
      </c>
      <c r="EH112" t="str">
        <v>CEVALLOS HOPPE JUAN CARLOS</v>
      </c>
      <c r="EI112" t="str">
        <v>DELGADO CHAVEZ MARIA IRASEMA</v>
      </c>
      <c r="EJ112" t="str">
        <v>DUARTE VALENCIA CRISTHIAN DARIO</v>
      </c>
      <c r="EK112" t="str">
        <v>FORTTY BARBERAN DENNY ALEXANDER</v>
      </c>
      <c r="EL112" t="str">
        <v>GUTIERREZ ZAMBRANO CARMEN EBELINA</v>
      </c>
      <c r="EM112" t="str">
        <v>INTRIAGO MOLINA GEMA VALERIA</v>
      </c>
      <c r="EN112" t="str">
        <v>LINO VELEZ LEONEL LIVINGTON</v>
      </c>
      <c r="EO112" t="str">
        <v>LOOR ALCIVAR MARIA ILIANA</v>
      </c>
      <c r="EP112" t="str">
        <v>LOOR MIELES TANIA JACQUELINE</v>
      </c>
      <c r="EQ112" t="str">
        <v>LOOR SOLORZANO ROSA MARIA</v>
      </c>
      <c r="ER112" t="str">
        <v>LOPEZ DELGADO RONALD MAURICIO</v>
      </c>
      <c r="ES112" t="str">
        <v>MACIAS VALENCIA DAVID GABRIEL</v>
      </c>
      <c r="ET112" t="str">
        <v>MENDOZA ZAMORA WALTER MANUEL</v>
      </c>
      <c r="EU112" t="str">
        <v>MOLINA CEVALLOS MARIA LORENA</v>
      </c>
      <c r="EV112" t="str">
        <v>MURILLO DELGADO ISAAC GABRIEL</v>
      </c>
      <c r="EW112" t="str">
        <v>ANGULO MURILLO NAVIRA GISSELA</v>
      </c>
      <c r="EX112" t="str">
        <v>OCHOA SOLEDISPA NESTOR IVAN</v>
      </c>
      <c r="EY112" t="str">
        <v>PARRAGA FRANCO SILVANA MARIELA</v>
      </c>
      <c r="EZ112" t="str">
        <v>PINARGOTE VASQUEZ NANCY FABIOLA</v>
      </c>
      <c r="FA112" t="str">
        <v>REYES VELEZ PEDRO ENRIQUE</v>
      </c>
      <c r="FB112" t="str">
        <v>SAN ANDRES HORMAZA DALLAS CECILIA</v>
      </c>
      <c r="FC112" t="str">
        <v>SORNOZA ZAMORA JUAN CARLOS</v>
      </c>
      <c r="FD112" t="str">
        <v>TOMALA PINTO JESUS JACINTO</v>
      </c>
      <c r="FE112" t="str">
        <v>VALLE JARAMILLO SILVIA ARACELY</v>
      </c>
      <c r="FF112" t="str">
        <v>VELÁSQUEZ BRAVO IRMA KATHERINE</v>
      </c>
      <c r="FG112" t="str">
        <v>VELEZ MENDOZA LAYSY VALERIA</v>
      </c>
      <c r="FH112" t="str">
        <v>VINUEZA TELLO SHIRLEY ELIZABETH</v>
      </c>
      <c r="FI112" t="str">
        <v>ZAMBRANO ALCIVAR NILDA ISABEL</v>
      </c>
      <c r="FJ112" t="str">
        <v>ZAMBRANO LOOR RITA MAYDA</v>
      </c>
      <c r="FK112" t="str">
        <v>ZAMBRANO VERA MONICA JANETH</v>
      </c>
      <c r="FL112" t="str">
        <v>VERA DELGADO BRYAN ADRIÁN</v>
      </c>
      <c r="FM112" t="str">
        <v>MORAN GONZALES DAVID RENATO</v>
      </c>
      <c r="FN112">
        <v>0</v>
      </c>
    </row>
    <row r="113" spans="1:170" ht="20.25" customHeight="1">
      <c r="A113" s="4" t="str" cm="1">
        <f t="array" ref="A113">TRANSPOSE(_xlfn.UNIQUE(_xlfn._xlws.FILTER(MAE_ASIGNATURA[ID_NIVEL],MAE_ASIGNATURA[ID_CARRERA]=ASIGNACION!$C113,"No existe información")))</f>
        <v>No existe información</v>
      </c>
      <c r="S113" s="4" t="str" cm="1">
        <f t="array" ref="S113">TRANSPOSE(_xlfn.UNIQUE(_xlfn._xlws.FILTER(MAE_ASIGNATURA[NOM_ASIG],(MAE_ASIGNATURA[ID_NIVEL]=ASIGNACION!$D113)*(MAE_ASIGNATURA[ID_CARRERA]=ASIGNACION!$C113),"No existe información")))</f>
        <v>No existe información</v>
      </c>
      <c r="BD113" s="4" t="str" cm="1">
        <f t="array" ref="BD113">TRANSPOSE(_xlfn.UNIQUE(_xlfn._xlws.FILTER(DET_ASIG[DETALLADO],(DET_ASIG[ID_CARRERA]=ASIGNACION!$C113)*(DET_ASIG[NIVEL]=ASIGNACION!$D113)*(DET_ASIG[ID_ASIG]=ASIGNACION!$G113),"No existe información")))</f>
        <v>No existe información</v>
      </c>
      <c r="BQ113" s="5" t="str" cm="1">
        <f t="array" ref="BQ113">IFERROR(
    TRANSPOSE(
        _xlfn.UNIQUE(
            _xlfn._xlws.FILTER(MAESTRIA_DETALLADO[MAESTRIA],
                ISNUMBER(MATCH(MAESTRIA_DETALLADO[CAMPO_DETALLADO],
                BD113:BP113,0))
            )
        )
    ),IF(BD113="ACTIVIDAD","DOCENCIA",""))</f>
        <v/>
      </c>
      <c r="EA113" s="5" t="str" cm="1">
        <f t="array" ref="EA113:FN113">IF(
    ASIGNACION!I113="SI",
    IFERROR(
        TRANSPOSE(
            _xlfn.UNIQUE(
                _xlfn._xlws.FILTER(EDU_DOCENTE[NOMBRE_DOCENTE],
                    ISNUMBER(MATCH(EDU_DOCENTE[MAESTRIA],
                    BQ113:DY113,0))
                )
            )
        ),
        ""
    ),
    TRANSPOSE(
        _xlfn.UNIQUE(EDU_DOCENTE[NOMBRE_DOCENTE]
        )
    )
)</f>
        <v>ALCIVAR CEDEÑO BEATRIZ ISABEL</v>
      </c>
      <c r="EB113" t="str">
        <v>ALCIVAR VERA GEMA MICHELLE</v>
      </c>
      <c r="EC113" t="str">
        <v>ARAUZ CHAVEZ MARIO ROBERTO</v>
      </c>
      <c r="ED113" t="str">
        <v>BAILON LOURIDO WALTER ALBERTO</v>
      </c>
      <c r="EE113" t="str">
        <v>CALDERERO VILLAGOMEZ ERICK ANTONIO</v>
      </c>
      <c r="EF113" t="str">
        <v>CASTILLO GARCIA PAOLA GERMANIA</v>
      </c>
      <c r="EG113" t="str">
        <v>CEDEÑO CHOEZ PEDRO JAVIER</v>
      </c>
      <c r="EH113" t="str">
        <v>CEVALLOS HOPPE JUAN CARLOS</v>
      </c>
      <c r="EI113" t="str">
        <v>DELGADO CHAVEZ MARIA IRASEMA</v>
      </c>
      <c r="EJ113" t="str">
        <v>DUARTE VALENCIA CRISTHIAN DARIO</v>
      </c>
      <c r="EK113" t="str">
        <v>FORTTY BARBERAN DENNY ALEXANDER</v>
      </c>
      <c r="EL113" t="str">
        <v>GUTIERREZ ZAMBRANO CARMEN EBELINA</v>
      </c>
      <c r="EM113" t="str">
        <v>INTRIAGO MOLINA GEMA VALERIA</v>
      </c>
      <c r="EN113" t="str">
        <v>LINO VELEZ LEONEL LIVINGTON</v>
      </c>
      <c r="EO113" t="str">
        <v>LOOR ALCIVAR MARIA ILIANA</v>
      </c>
      <c r="EP113" t="str">
        <v>LOOR MIELES TANIA JACQUELINE</v>
      </c>
      <c r="EQ113" t="str">
        <v>LOOR SOLORZANO ROSA MARIA</v>
      </c>
      <c r="ER113" t="str">
        <v>LOPEZ DELGADO RONALD MAURICIO</v>
      </c>
      <c r="ES113" t="str">
        <v>MACIAS VALENCIA DAVID GABRIEL</v>
      </c>
      <c r="ET113" t="str">
        <v>MENDOZA ZAMORA WALTER MANUEL</v>
      </c>
      <c r="EU113" t="str">
        <v>MOLINA CEVALLOS MARIA LORENA</v>
      </c>
      <c r="EV113" t="str">
        <v>MURILLO DELGADO ISAAC GABRIEL</v>
      </c>
      <c r="EW113" t="str">
        <v>ANGULO MURILLO NAVIRA GISSELA</v>
      </c>
      <c r="EX113" t="str">
        <v>OCHOA SOLEDISPA NESTOR IVAN</v>
      </c>
      <c r="EY113" t="str">
        <v>PARRAGA FRANCO SILVANA MARIELA</v>
      </c>
      <c r="EZ113" t="str">
        <v>PINARGOTE VASQUEZ NANCY FABIOLA</v>
      </c>
      <c r="FA113" t="str">
        <v>REYES VELEZ PEDRO ENRIQUE</v>
      </c>
      <c r="FB113" t="str">
        <v>SAN ANDRES HORMAZA DALLAS CECILIA</v>
      </c>
      <c r="FC113" t="str">
        <v>SORNOZA ZAMORA JUAN CARLOS</v>
      </c>
      <c r="FD113" t="str">
        <v>TOMALA PINTO JESUS JACINTO</v>
      </c>
      <c r="FE113" t="str">
        <v>VALLE JARAMILLO SILVIA ARACELY</v>
      </c>
      <c r="FF113" t="str">
        <v>VELÁSQUEZ BRAVO IRMA KATHERINE</v>
      </c>
      <c r="FG113" t="str">
        <v>VELEZ MENDOZA LAYSY VALERIA</v>
      </c>
      <c r="FH113" t="str">
        <v>VINUEZA TELLO SHIRLEY ELIZABETH</v>
      </c>
      <c r="FI113" t="str">
        <v>ZAMBRANO ALCIVAR NILDA ISABEL</v>
      </c>
      <c r="FJ113" t="str">
        <v>ZAMBRANO LOOR RITA MAYDA</v>
      </c>
      <c r="FK113" t="str">
        <v>ZAMBRANO VERA MONICA JANETH</v>
      </c>
      <c r="FL113" t="str">
        <v>VERA DELGADO BRYAN ADRIÁN</v>
      </c>
      <c r="FM113" t="str">
        <v>MORAN GONZALES DAVID RENATO</v>
      </c>
      <c r="FN113">
        <v>0</v>
      </c>
    </row>
    <row r="114" spans="1:170" ht="20.25" customHeight="1">
      <c r="A114" s="4" t="str" cm="1">
        <f t="array" ref="A114">TRANSPOSE(_xlfn.UNIQUE(_xlfn._xlws.FILTER(MAE_ASIGNATURA[ID_NIVEL],MAE_ASIGNATURA[ID_CARRERA]=ASIGNACION!$C114,"No existe información")))</f>
        <v>No existe información</v>
      </c>
      <c r="S114" s="4" t="str" cm="1">
        <f t="array" ref="S114">TRANSPOSE(_xlfn.UNIQUE(_xlfn._xlws.FILTER(MAE_ASIGNATURA[NOM_ASIG],(MAE_ASIGNATURA[ID_NIVEL]=ASIGNACION!$D114)*(MAE_ASIGNATURA[ID_CARRERA]=ASIGNACION!$C114),"No existe información")))</f>
        <v>No existe información</v>
      </c>
      <c r="BD114" s="4" t="str" cm="1">
        <f t="array" ref="BD114">TRANSPOSE(_xlfn.UNIQUE(_xlfn._xlws.FILTER(DET_ASIG[DETALLADO],(DET_ASIG[ID_CARRERA]=ASIGNACION!$C114)*(DET_ASIG[NIVEL]=ASIGNACION!$D114)*(DET_ASIG[ID_ASIG]=ASIGNACION!$G114),"No existe información")))</f>
        <v>No existe información</v>
      </c>
      <c r="BQ114" s="5" t="str" cm="1">
        <f t="array" ref="BQ114">IFERROR(
    TRANSPOSE(
        _xlfn.UNIQUE(
            _xlfn._xlws.FILTER(MAESTRIA_DETALLADO[MAESTRIA],
                ISNUMBER(MATCH(MAESTRIA_DETALLADO[CAMPO_DETALLADO],
                BD114:BP114,0))
            )
        )
    ),IF(BD114="ACTIVIDAD","DOCENCIA",""))</f>
        <v/>
      </c>
      <c r="EA114" s="5" t="str" cm="1">
        <f t="array" ref="EA114:FN114">IF(
    ASIGNACION!I114="SI",
    IFERROR(
        TRANSPOSE(
            _xlfn.UNIQUE(
                _xlfn._xlws.FILTER(EDU_DOCENTE[NOMBRE_DOCENTE],
                    ISNUMBER(MATCH(EDU_DOCENTE[MAESTRIA],
                    BQ114:DY114,0))
                )
            )
        ),
        ""
    ),
    TRANSPOSE(
        _xlfn.UNIQUE(EDU_DOCENTE[NOMBRE_DOCENTE]
        )
    )
)</f>
        <v>ALCIVAR CEDEÑO BEATRIZ ISABEL</v>
      </c>
      <c r="EB114" t="str">
        <v>ALCIVAR VERA GEMA MICHELLE</v>
      </c>
      <c r="EC114" t="str">
        <v>ARAUZ CHAVEZ MARIO ROBERTO</v>
      </c>
      <c r="ED114" t="str">
        <v>BAILON LOURIDO WALTER ALBERTO</v>
      </c>
      <c r="EE114" t="str">
        <v>CALDERERO VILLAGOMEZ ERICK ANTONIO</v>
      </c>
      <c r="EF114" t="str">
        <v>CASTILLO GARCIA PAOLA GERMANIA</v>
      </c>
      <c r="EG114" t="str">
        <v>CEDEÑO CHOEZ PEDRO JAVIER</v>
      </c>
      <c r="EH114" t="str">
        <v>CEVALLOS HOPPE JUAN CARLOS</v>
      </c>
      <c r="EI114" t="str">
        <v>DELGADO CHAVEZ MARIA IRASEMA</v>
      </c>
      <c r="EJ114" t="str">
        <v>DUARTE VALENCIA CRISTHIAN DARIO</v>
      </c>
      <c r="EK114" t="str">
        <v>FORTTY BARBERAN DENNY ALEXANDER</v>
      </c>
      <c r="EL114" t="str">
        <v>GUTIERREZ ZAMBRANO CARMEN EBELINA</v>
      </c>
      <c r="EM114" t="str">
        <v>INTRIAGO MOLINA GEMA VALERIA</v>
      </c>
      <c r="EN114" t="str">
        <v>LINO VELEZ LEONEL LIVINGTON</v>
      </c>
      <c r="EO114" t="str">
        <v>LOOR ALCIVAR MARIA ILIANA</v>
      </c>
      <c r="EP114" t="str">
        <v>LOOR MIELES TANIA JACQUELINE</v>
      </c>
      <c r="EQ114" t="str">
        <v>LOOR SOLORZANO ROSA MARIA</v>
      </c>
      <c r="ER114" t="str">
        <v>LOPEZ DELGADO RONALD MAURICIO</v>
      </c>
      <c r="ES114" t="str">
        <v>MACIAS VALENCIA DAVID GABRIEL</v>
      </c>
      <c r="ET114" t="str">
        <v>MENDOZA ZAMORA WALTER MANUEL</v>
      </c>
      <c r="EU114" t="str">
        <v>MOLINA CEVALLOS MARIA LORENA</v>
      </c>
      <c r="EV114" t="str">
        <v>MURILLO DELGADO ISAAC GABRIEL</v>
      </c>
      <c r="EW114" t="str">
        <v>ANGULO MURILLO NAVIRA GISSELA</v>
      </c>
      <c r="EX114" t="str">
        <v>OCHOA SOLEDISPA NESTOR IVAN</v>
      </c>
      <c r="EY114" t="str">
        <v>PARRAGA FRANCO SILVANA MARIELA</v>
      </c>
      <c r="EZ114" t="str">
        <v>PINARGOTE VASQUEZ NANCY FABIOLA</v>
      </c>
      <c r="FA114" t="str">
        <v>REYES VELEZ PEDRO ENRIQUE</v>
      </c>
      <c r="FB114" t="str">
        <v>SAN ANDRES HORMAZA DALLAS CECILIA</v>
      </c>
      <c r="FC114" t="str">
        <v>SORNOZA ZAMORA JUAN CARLOS</v>
      </c>
      <c r="FD114" t="str">
        <v>TOMALA PINTO JESUS JACINTO</v>
      </c>
      <c r="FE114" t="str">
        <v>VALLE JARAMILLO SILVIA ARACELY</v>
      </c>
      <c r="FF114" t="str">
        <v>VELÁSQUEZ BRAVO IRMA KATHERINE</v>
      </c>
      <c r="FG114" t="str">
        <v>VELEZ MENDOZA LAYSY VALERIA</v>
      </c>
      <c r="FH114" t="str">
        <v>VINUEZA TELLO SHIRLEY ELIZABETH</v>
      </c>
      <c r="FI114" t="str">
        <v>ZAMBRANO ALCIVAR NILDA ISABEL</v>
      </c>
      <c r="FJ114" t="str">
        <v>ZAMBRANO LOOR RITA MAYDA</v>
      </c>
      <c r="FK114" t="str">
        <v>ZAMBRANO VERA MONICA JANETH</v>
      </c>
      <c r="FL114" t="str">
        <v>VERA DELGADO BRYAN ADRIÁN</v>
      </c>
      <c r="FM114" t="str">
        <v>MORAN GONZALES DAVID RENATO</v>
      </c>
      <c r="FN114">
        <v>0</v>
      </c>
    </row>
    <row r="115" spans="1:170" ht="20.25" customHeight="1">
      <c r="A115" s="4" t="str" cm="1">
        <f t="array" ref="A115">TRANSPOSE(_xlfn.UNIQUE(_xlfn._xlws.FILTER(MAE_ASIGNATURA[ID_NIVEL],MAE_ASIGNATURA[ID_CARRERA]=ASIGNACION!$C115,"No existe información")))</f>
        <v>No existe información</v>
      </c>
      <c r="S115" s="4" t="str" cm="1">
        <f t="array" ref="S115">TRANSPOSE(_xlfn.UNIQUE(_xlfn._xlws.FILTER(MAE_ASIGNATURA[NOM_ASIG],(MAE_ASIGNATURA[ID_NIVEL]=ASIGNACION!$D115)*(MAE_ASIGNATURA[ID_CARRERA]=ASIGNACION!$C115),"No existe información")))</f>
        <v>No existe información</v>
      </c>
      <c r="BD115" s="4" t="str" cm="1">
        <f t="array" ref="BD115">TRANSPOSE(_xlfn.UNIQUE(_xlfn._xlws.FILTER(DET_ASIG[DETALLADO],(DET_ASIG[ID_CARRERA]=ASIGNACION!$C115)*(DET_ASIG[NIVEL]=ASIGNACION!$D115)*(DET_ASIG[ID_ASIG]=ASIGNACION!$G115),"No existe información")))</f>
        <v>No existe información</v>
      </c>
      <c r="BQ115" s="5" t="str" cm="1">
        <f t="array" ref="BQ115">IFERROR(
    TRANSPOSE(
        _xlfn.UNIQUE(
            _xlfn._xlws.FILTER(MAESTRIA_DETALLADO[MAESTRIA],
                ISNUMBER(MATCH(MAESTRIA_DETALLADO[CAMPO_DETALLADO],
                BD115:BP115,0))
            )
        )
    ),IF(BD115="ACTIVIDAD","DOCENCIA",""))</f>
        <v/>
      </c>
      <c r="EA115" s="5" t="str" cm="1">
        <f t="array" ref="EA115:FN115">IF(
    ASIGNACION!I115="SI",
    IFERROR(
        TRANSPOSE(
            _xlfn.UNIQUE(
                _xlfn._xlws.FILTER(EDU_DOCENTE[NOMBRE_DOCENTE],
                    ISNUMBER(MATCH(EDU_DOCENTE[MAESTRIA],
                    BQ115:DY115,0))
                )
            )
        ),
        ""
    ),
    TRANSPOSE(
        _xlfn.UNIQUE(EDU_DOCENTE[NOMBRE_DOCENTE]
        )
    )
)</f>
        <v>ALCIVAR CEDEÑO BEATRIZ ISABEL</v>
      </c>
      <c r="EB115" t="str">
        <v>ALCIVAR VERA GEMA MICHELLE</v>
      </c>
      <c r="EC115" t="str">
        <v>ARAUZ CHAVEZ MARIO ROBERTO</v>
      </c>
      <c r="ED115" t="str">
        <v>BAILON LOURIDO WALTER ALBERTO</v>
      </c>
      <c r="EE115" t="str">
        <v>CALDERERO VILLAGOMEZ ERICK ANTONIO</v>
      </c>
      <c r="EF115" t="str">
        <v>CASTILLO GARCIA PAOLA GERMANIA</v>
      </c>
      <c r="EG115" t="str">
        <v>CEDEÑO CHOEZ PEDRO JAVIER</v>
      </c>
      <c r="EH115" t="str">
        <v>CEVALLOS HOPPE JUAN CARLOS</v>
      </c>
      <c r="EI115" t="str">
        <v>DELGADO CHAVEZ MARIA IRASEMA</v>
      </c>
      <c r="EJ115" t="str">
        <v>DUARTE VALENCIA CRISTHIAN DARIO</v>
      </c>
      <c r="EK115" t="str">
        <v>FORTTY BARBERAN DENNY ALEXANDER</v>
      </c>
      <c r="EL115" t="str">
        <v>GUTIERREZ ZAMBRANO CARMEN EBELINA</v>
      </c>
      <c r="EM115" t="str">
        <v>INTRIAGO MOLINA GEMA VALERIA</v>
      </c>
      <c r="EN115" t="str">
        <v>LINO VELEZ LEONEL LIVINGTON</v>
      </c>
      <c r="EO115" t="str">
        <v>LOOR ALCIVAR MARIA ILIANA</v>
      </c>
      <c r="EP115" t="str">
        <v>LOOR MIELES TANIA JACQUELINE</v>
      </c>
      <c r="EQ115" t="str">
        <v>LOOR SOLORZANO ROSA MARIA</v>
      </c>
      <c r="ER115" t="str">
        <v>LOPEZ DELGADO RONALD MAURICIO</v>
      </c>
      <c r="ES115" t="str">
        <v>MACIAS VALENCIA DAVID GABRIEL</v>
      </c>
      <c r="ET115" t="str">
        <v>MENDOZA ZAMORA WALTER MANUEL</v>
      </c>
      <c r="EU115" t="str">
        <v>MOLINA CEVALLOS MARIA LORENA</v>
      </c>
      <c r="EV115" t="str">
        <v>MURILLO DELGADO ISAAC GABRIEL</v>
      </c>
      <c r="EW115" t="str">
        <v>ANGULO MURILLO NAVIRA GISSELA</v>
      </c>
      <c r="EX115" t="str">
        <v>OCHOA SOLEDISPA NESTOR IVAN</v>
      </c>
      <c r="EY115" t="str">
        <v>PARRAGA FRANCO SILVANA MARIELA</v>
      </c>
      <c r="EZ115" t="str">
        <v>PINARGOTE VASQUEZ NANCY FABIOLA</v>
      </c>
      <c r="FA115" t="str">
        <v>REYES VELEZ PEDRO ENRIQUE</v>
      </c>
      <c r="FB115" t="str">
        <v>SAN ANDRES HORMAZA DALLAS CECILIA</v>
      </c>
      <c r="FC115" t="str">
        <v>SORNOZA ZAMORA JUAN CARLOS</v>
      </c>
      <c r="FD115" t="str">
        <v>TOMALA PINTO JESUS JACINTO</v>
      </c>
      <c r="FE115" t="str">
        <v>VALLE JARAMILLO SILVIA ARACELY</v>
      </c>
      <c r="FF115" t="str">
        <v>VELÁSQUEZ BRAVO IRMA KATHERINE</v>
      </c>
      <c r="FG115" t="str">
        <v>VELEZ MENDOZA LAYSY VALERIA</v>
      </c>
      <c r="FH115" t="str">
        <v>VINUEZA TELLO SHIRLEY ELIZABETH</v>
      </c>
      <c r="FI115" t="str">
        <v>ZAMBRANO ALCIVAR NILDA ISABEL</v>
      </c>
      <c r="FJ115" t="str">
        <v>ZAMBRANO LOOR RITA MAYDA</v>
      </c>
      <c r="FK115" t="str">
        <v>ZAMBRANO VERA MONICA JANETH</v>
      </c>
      <c r="FL115" t="str">
        <v>VERA DELGADO BRYAN ADRIÁN</v>
      </c>
      <c r="FM115" t="str">
        <v>MORAN GONZALES DAVID RENATO</v>
      </c>
      <c r="FN115">
        <v>0</v>
      </c>
    </row>
    <row r="116" spans="1:170" ht="20.25" customHeight="1">
      <c r="A116" s="4" t="str" cm="1">
        <f t="array" ref="A116">TRANSPOSE(_xlfn.UNIQUE(_xlfn._xlws.FILTER(MAE_ASIGNATURA[ID_NIVEL],MAE_ASIGNATURA[ID_CARRERA]=ASIGNACION!$C116,"No existe información")))</f>
        <v>No existe información</v>
      </c>
      <c r="S116" s="4" t="str" cm="1">
        <f t="array" ref="S116">TRANSPOSE(_xlfn.UNIQUE(_xlfn._xlws.FILTER(MAE_ASIGNATURA[NOM_ASIG],(MAE_ASIGNATURA[ID_NIVEL]=ASIGNACION!$D116)*(MAE_ASIGNATURA[ID_CARRERA]=ASIGNACION!$C116),"No existe información")))</f>
        <v>No existe información</v>
      </c>
      <c r="BD116" s="4" t="str" cm="1">
        <f t="array" ref="BD116">TRANSPOSE(_xlfn.UNIQUE(_xlfn._xlws.FILTER(DET_ASIG[DETALLADO],(DET_ASIG[ID_CARRERA]=ASIGNACION!$C116)*(DET_ASIG[NIVEL]=ASIGNACION!$D116)*(DET_ASIG[ID_ASIG]=ASIGNACION!$G116),"No existe información")))</f>
        <v>No existe información</v>
      </c>
      <c r="BQ116" s="5" t="str" cm="1">
        <f t="array" ref="BQ116">IFERROR(
    TRANSPOSE(
        _xlfn.UNIQUE(
            _xlfn._xlws.FILTER(MAESTRIA_DETALLADO[MAESTRIA],
                ISNUMBER(MATCH(MAESTRIA_DETALLADO[CAMPO_DETALLADO],
                BD116:BP116,0))
            )
        )
    ),IF(BD116="ACTIVIDAD","DOCENCIA",""))</f>
        <v/>
      </c>
      <c r="EA116" s="5" t="str" cm="1">
        <f t="array" ref="EA116:FN116">IF(
    ASIGNACION!I116="SI",
    IFERROR(
        TRANSPOSE(
            _xlfn.UNIQUE(
                _xlfn._xlws.FILTER(EDU_DOCENTE[NOMBRE_DOCENTE],
                    ISNUMBER(MATCH(EDU_DOCENTE[MAESTRIA],
                    BQ116:DY116,0))
                )
            )
        ),
        ""
    ),
    TRANSPOSE(
        _xlfn.UNIQUE(EDU_DOCENTE[NOMBRE_DOCENTE]
        )
    )
)</f>
        <v>ALCIVAR CEDEÑO BEATRIZ ISABEL</v>
      </c>
      <c r="EB116" t="str">
        <v>ALCIVAR VERA GEMA MICHELLE</v>
      </c>
      <c r="EC116" t="str">
        <v>ARAUZ CHAVEZ MARIO ROBERTO</v>
      </c>
      <c r="ED116" t="str">
        <v>BAILON LOURIDO WALTER ALBERTO</v>
      </c>
      <c r="EE116" t="str">
        <v>CALDERERO VILLAGOMEZ ERICK ANTONIO</v>
      </c>
      <c r="EF116" t="str">
        <v>CASTILLO GARCIA PAOLA GERMANIA</v>
      </c>
      <c r="EG116" t="str">
        <v>CEDEÑO CHOEZ PEDRO JAVIER</v>
      </c>
      <c r="EH116" t="str">
        <v>CEVALLOS HOPPE JUAN CARLOS</v>
      </c>
      <c r="EI116" t="str">
        <v>DELGADO CHAVEZ MARIA IRASEMA</v>
      </c>
      <c r="EJ116" t="str">
        <v>DUARTE VALENCIA CRISTHIAN DARIO</v>
      </c>
      <c r="EK116" t="str">
        <v>FORTTY BARBERAN DENNY ALEXANDER</v>
      </c>
      <c r="EL116" t="str">
        <v>GUTIERREZ ZAMBRANO CARMEN EBELINA</v>
      </c>
      <c r="EM116" t="str">
        <v>INTRIAGO MOLINA GEMA VALERIA</v>
      </c>
      <c r="EN116" t="str">
        <v>LINO VELEZ LEONEL LIVINGTON</v>
      </c>
      <c r="EO116" t="str">
        <v>LOOR ALCIVAR MARIA ILIANA</v>
      </c>
      <c r="EP116" t="str">
        <v>LOOR MIELES TANIA JACQUELINE</v>
      </c>
      <c r="EQ116" t="str">
        <v>LOOR SOLORZANO ROSA MARIA</v>
      </c>
      <c r="ER116" t="str">
        <v>LOPEZ DELGADO RONALD MAURICIO</v>
      </c>
      <c r="ES116" t="str">
        <v>MACIAS VALENCIA DAVID GABRIEL</v>
      </c>
      <c r="ET116" t="str">
        <v>MENDOZA ZAMORA WALTER MANUEL</v>
      </c>
      <c r="EU116" t="str">
        <v>MOLINA CEVALLOS MARIA LORENA</v>
      </c>
      <c r="EV116" t="str">
        <v>MURILLO DELGADO ISAAC GABRIEL</v>
      </c>
      <c r="EW116" t="str">
        <v>ANGULO MURILLO NAVIRA GISSELA</v>
      </c>
      <c r="EX116" t="str">
        <v>OCHOA SOLEDISPA NESTOR IVAN</v>
      </c>
      <c r="EY116" t="str">
        <v>PARRAGA FRANCO SILVANA MARIELA</v>
      </c>
      <c r="EZ116" t="str">
        <v>PINARGOTE VASQUEZ NANCY FABIOLA</v>
      </c>
      <c r="FA116" t="str">
        <v>REYES VELEZ PEDRO ENRIQUE</v>
      </c>
      <c r="FB116" t="str">
        <v>SAN ANDRES HORMAZA DALLAS CECILIA</v>
      </c>
      <c r="FC116" t="str">
        <v>SORNOZA ZAMORA JUAN CARLOS</v>
      </c>
      <c r="FD116" t="str">
        <v>TOMALA PINTO JESUS JACINTO</v>
      </c>
      <c r="FE116" t="str">
        <v>VALLE JARAMILLO SILVIA ARACELY</v>
      </c>
      <c r="FF116" t="str">
        <v>VELÁSQUEZ BRAVO IRMA KATHERINE</v>
      </c>
      <c r="FG116" t="str">
        <v>VELEZ MENDOZA LAYSY VALERIA</v>
      </c>
      <c r="FH116" t="str">
        <v>VINUEZA TELLO SHIRLEY ELIZABETH</v>
      </c>
      <c r="FI116" t="str">
        <v>ZAMBRANO ALCIVAR NILDA ISABEL</v>
      </c>
      <c r="FJ116" t="str">
        <v>ZAMBRANO LOOR RITA MAYDA</v>
      </c>
      <c r="FK116" t="str">
        <v>ZAMBRANO VERA MONICA JANETH</v>
      </c>
      <c r="FL116" t="str">
        <v>VERA DELGADO BRYAN ADRIÁN</v>
      </c>
      <c r="FM116" t="str">
        <v>MORAN GONZALES DAVID RENATO</v>
      </c>
      <c r="FN116">
        <v>0</v>
      </c>
    </row>
    <row r="117" spans="1:170" ht="20.25" customHeight="1">
      <c r="A117" s="4" t="str" cm="1">
        <f t="array" ref="A117">TRANSPOSE(_xlfn.UNIQUE(_xlfn._xlws.FILTER(MAE_ASIGNATURA[ID_NIVEL],MAE_ASIGNATURA[ID_CARRERA]=ASIGNACION!$C117,"No existe información")))</f>
        <v>No existe información</v>
      </c>
      <c r="S117" s="4" t="str" cm="1">
        <f t="array" ref="S117">TRANSPOSE(_xlfn.UNIQUE(_xlfn._xlws.FILTER(MAE_ASIGNATURA[NOM_ASIG],(MAE_ASIGNATURA[ID_NIVEL]=ASIGNACION!$D117)*(MAE_ASIGNATURA[ID_CARRERA]=ASIGNACION!$C117),"No existe información")))</f>
        <v>No existe información</v>
      </c>
      <c r="BD117" s="4" t="str" cm="1">
        <f t="array" ref="BD117">TRANSPOSE(_xlfn.UNIQUE(_xlfn._xlws.FILTER(DET_ASIG[DETALLADO],(DET_ASIG[ID_CARRERA]=ASIGNACION!$C117)*(DET_ASIG[NIVEL]=ASIGNACION!$D117)*(DET_ASIG[ID_ASIG]=ASIGNACION!$G117),"No existe información")))</f>
        <v>No existe información</v>
      </c>
      <c r="BQ117" s="5" t="str" cm="1">
        <f t="array" ref="BQ117">IFERROR(
    TRANSPOSE(
        _xlfn.UNIQUE(
            _xlfn._xlws.FILTER(MAESTRIA_DETALLADO[MAESTRIA],
                ISNUMBER(MATCH(MAESTRIA_DETALLADO[CAMPO_DETALLADO],
                BD117:BP117,0))
            )
        )
    ),IF(BD117="ACTIVIDAD","DOCENCIA",""))</f>
        <v/>
      </c>
      <c r="EA117" s="5" t="str" cm="1">
        <f t="array" ref="EA117:FN117">IF(
    ASIGNACION!I117="SI",
    IFERROR(
        TRANSPOSE(
            _xlfn.UNIQUE(
                _xlfn._xlws.FILTER(EDU_DOCENTE[NOMBRE_DOCENTE],
                    ISNUMBER(MATCH(EDU_DOCENTE[MAESTRIA],
                    BQ117:DY117,0))
                )
            )
        ),
        ""
    ),
    TRANSPOSE(
        _xlfn.UNIQUE(EDU_DOCENTE[NOMBRE_DOCENTE]
        )
    )
)</f>
        <v>ALCIVAR CEDEÑO BEATRIZ ISABEL</v>
      </c>
      <c r="EB117" t="str">
        <v>ALCIVAR VERA GEMA MICHELLE</v>
      </c>
      <c r="EC117" t="str">
        <v>ARAUZ CHAVEZ MARIO ROBERTO</v>
      </c>
      <c r="ED117" t="str">
        <v>BAILON LOURIDO WALTER ALBERTO</v>
      </c>
      <c r="EE117" t="str">
        <v>CALDERERO VILLAGOMEZ ERICK ANTONIO</v>
      </c>
      <c r="EF117" t="str">
        <v>CASTILLO GARCIA PAOLA GERMANIA</v>
      </c>
      <c r="EG117" t="str">
        <v>CEDEÑO CHOEZ PEDRO JAVIER</v>
      </c>
      <c r="EH117" t="str">
        <v>CEVALLOS HOPPE JUAN CARLOS</v>
      </c>
      <c r="EI117" t="str">
        <v>DELGADO CHAVEZ MARIA IRASEMA</v>
      </c>
      <c r="EJ117" t="str">
        <v>DUARTE VALENCIA CRISTHIAN DARIO</v>
      </c>
      <c r="EK117" t="str">
        <v>FORTTY BARBERAN DENNY ALEXANDER</v>
      </c>
      <c r="EL117" t="str">
        <v>GUTIERREZ ZAMBRANO CARMEN EBELINA</v>
      </c>
      <c r="EM117" t="str">
        <v>INTRIAGO MOLINA GEMA VALERIA</v>
      </c>
      <c r="EN117" t="str">
        <v>LINO VELEZ LEONEL LIVINGTON</v>
      </c>
      <c r="EO117" t="str">
        <v>LOOR ALCIVAR MARIA ILIANA</v>
      </c>
      <c r="EP117" t="str">
        <v>LOOR MIELES TANIA JACQUELINE</v>
      </c>
      <c r="EQ117" t="str">
        <v>LOOR SOLORZANO ROSA MARIA</v>
      </c>
      <c r="ER117" t="str">
        <v>LOPEZ DELGADO RONALD MAURICIO</v>
      </c>
      <c r="ES117" t="str">
        <v>MACIAS VALENCIA DAVID GABRIEL</v>
      </c>
      <c r="ET117" t="str">
        <v>MENDOZA ZAMORA WALTER MANUEL</v>
      </c>
      <c r="EU117" t="str">
        <v>MOLINA CEVALLOS MARIA LORENA</v>
      </c>
      <c r="EV117" t="str">
        <v>MURILLO DELGADO ISAAC GABRIEL</v>
      </c>
      <c r="EW117" t="str">
        <v>ANGULO MURILLO NAVIRA GISSELA</v>
      </c>
      <c r="EX117" t="str">
        <v>OCHOA SOLEDISPA NESTOR IVAN</v>
      </c>
      <c r="EY117" t="str">
        <v>PARRAGA FRANCO SILVANA MARIELA</v>
      </c>
      <c r="EZ117" t="str">
        <v>PINARGOTE VASQUEZ NANCY FABIOLA</v>
      </c>
      <c r="FA117" t="str">
        <v>REYES VELEZ PEDRO ENRIQUE</v>
      </c>
      <c r="FB117" t="str">
        <v>SAN ANDRES HORMAZA DALLAS CECILIA</v>
      </c>
      <c r="FC117" t="str">
        <v>SORNOZA ZAMORA JUAN CARLOS</v>
      </c>
      <c r="FD117" t="str">
        <v>TOMALA PINTO JESUS JACINTO</v>
      </c>
      <c r="FE117" t="str">
        <v>VALLE JARAMILLO SILVIA ARACELY</v>
      </c>
      <c r="FF117" t="str">
        <v>VELÁSQUEZ BRAVO IRMA KATHERINE</v>
      </c>
      <c r="FG117" t="str">
        <v>VELEZ MENDOZA LAYSY VALERIA</v>
      </c>
      <c r="FH117" t="str">
        <v>VINUEZA TELLO SHIRLEY ELIZABETH</v>
      </c>
      <c r="FI117" t="str">
        <v>ZAMBRANO ALCIVAR NILDA ISABEL</v>
      </c>
      <c r="FJ117" t="str">
        <v>ZAMBRANO LOOR RITA MAYDA</v>
      </c>
      <c r="FK117" t="str">
        <v>ZAMBRANO VERA MONICA JANETH</v>
      </c>
      <c r="FL117" t="str">
        <v>VERA DELGADO BRYAN ADRIÁN</v>
      </c>
      <c r="FM117" t="str">
        <v>MORAN GONZALES DAVID RENATO</v>
      </c>
      <c r="FN117">
        <v>0</v>
      </c>
    </row>
    <row r="118" spans="1:170" ht="20.25" customHeight="1">
      <c r="A118" s="4" t="str" cm="1">
        <f t="array" ref="A118">TRANSPOSE(_xlfn.UNIQUE(_xlfn._xlws.FILTER(MAE_ASIGNATURA[ID_NIVEL],MAE_ASIGNATURA[ID_CARRERA]=ASIGNACION!$C118,"No existe información")))</f>
        <v>No existe información</v>
      </c>
      <c r="S118" s="4" t="str" cm="1">
        <f t="array" ref="S118">TRANSPOSE(_xlfn.UNIQUE(_xlfn._xlws.FILTER(MAE_ASIGNATURA[NOM_ASIG],(MAE_ASIGNATURA[ID_NIVEL]=ASIGNACION!$D118)*(MAE_ASIGNATURA[ID_CARRERA]=ASIGNACION!$C118),"No existe información")))</f>
        <v>No existe información</v>
      </c>
      <c r="BD118" s="4" t="str" cm="1">
        <f t="array" ref="BD118">TRANSPOSE(_xlfn.UNIQUE(_xlfn._xlws.FILTER(DET_ASIG[DETALLADO],(DET_ASIG[ID_CARRERA]=ASIGNACION!$C118)*(DET_ASIG[NIVEL]=ASIGNACION!$D118)*(DET_ASIG[ID_ASIG]=ASIGNACION!$G118),"No existe información")))</f>
        <v>No existe información</v>
      </c>
      <c r="BQ118" s="5" t="str" cm="1">
        <f t="array" ref="BQ118">IFERROR(
    TRANSPOSE(
        _xlfn.UNIQUE(
            _xlfn._xlws.FILTER(MAESTRIA_DETALLADO[MAESTRIA],
                ISNUMBER(MATCH(MAESTRIA_DETALLADO[CAMPO_DETALLADO],
                BD118:BP118,0))
            )
        )
    ),IF(BD118="ACTIVIDAD","DOCENCIA",""))</f>
        <v/>
      </c>
      <c r="EA118" s="5" t="str" cm="1">
        <f t="array" ref="EA118:FN118">IF(
    ASIGNACION!I118="SI",
    IFERROR(
        TRANSPOSE(
            _xlfn.UNIQUE(
                _xlfn._xlws.FILTER(EDU_DOCENTE[NOMBRE_DOCENTE],
                    ISNUMBER(MATCH(EDU_DOCENTE[MAESTRIA],
                    BQ118:DY118,0))
                )
            )
        ),
        ""
    ),
    TRANSPOSE(
        _xlfn.UNIQUE(EDU_DOCENTE[NOMBRE_DOCENTE]
        )
    )
)</f>
        <v>ALCIVAR CEDEÑO BEATRIZ ISABEL</v>
      </c>
      <c r="EB118" t="str">
        <v>ALCIVAR VERA GEMA MICHELLE</v>
      </c>
      <c r="EC118" t="str">
        <v>ARAUZ CHAVEZ MARIO ROBERTO</v>
      </c>
      <c r="ED118" t="str">
        <v>BAILON LOURIDO WALTER ALBERTO</v>
      </c>
      <c r="EE118" t="str">
        <v>CALDERERO VILLAGOMEZ ERICK ANTONIO</v>
      </c>
      <c r="EF118" t="str">
        <v>CASTILLO GARCIA PAOLA GERMANIA</v>
      </c>
      <c r="EG118" t="str">
        <v>CEDEÑO CHOEZ PEDRO JAVIER</v>
      </c>
      <c r="EH118" t="str">
        <v>CEVALLOS HOPPE JUAN CARLOS</v>
      </c>
      <c r="EI118" t="str">
        <v>DELGADO CHAVEZ MARIA IRASEMA</v>
      </c>
      <c r="EJ118" t="str">
        <v>DUARTE VALENCIA CRISTHIAN DARIO</v>
      </c>
      <c r="EK118" t="str">
        <v>FORTTY BARBERAN DENNY ALEXANDER</v>
      </c>
      <c r="EL118" t="str">
        <v>GUTIERREZ ZAMBRANO CARMEN EBELINA</v>
      </c>
      <c r="EM118" t="str">
        <v>INTRIAGO MOLINA GEMA VALERIA</v>
      </c>
      <c r="EN118" t="str">
        <v>LINO VELEZ LEONEL LIVINGTON</v>
      </c>
      <c r="EO118" t="str">
        <v>LOOR ALCIVAR MARIA ILIANA</v>
      </c>
      <c r="EP118" t="str">
        <v>LOOR MIELES TANIA JACQUELINE</v>
      </c>
      <c r="EQ118" t="str">
        <v>LOOR SOLORZANO ROSA MARIA</v>
      </c>
      <c r="ER118" t="str">
        <v>LOPEZ DELGADO RONALD MAURICIO</v>
      </c>
      <c r="ES118" t="str">
        <v>MACIAS VALENCIA DAVID GABRIEL</v>
      </c>
      <c r="ET118" t="str">
        <v>MENDOZA ZAMORA WALTER MANUEL</v>
      </c>
      <c r="EU118" t="str">
        <v>MOLINA CEVALLOS MARIA LORENA</v>
      </c>
      <c r="EV118" t="str">
        <v>MURILLO DELGADO ISAAC GABRIEL</v>
      </c>
      <c r="EW118" t="str">
        <v>ANGULO MURILLO NAVIRA GISSELA</v>
      </c>
      <c r="EX118" t="str">
        <v>OCHOA SOLEDISPA NESTOR IVAN</v>
      </c>
      <c r="EY118" t="str">
        <v>PARRAGA FRANCO SILVANA MARIELA</v>
      </c>
      <c r="EZ118" t="str">
        <v>PINARGOTE VASQUEZ NANCY FABIOLA</v>
      </c>
      <c r="FA118" t="str">
        <v>REYES VELEZ PEDRO ENRIQUE</v>
      </c>
      <c r="FB118" t="str">
        <v>SAN ANDRES HORMAZA DALLAS CECILIA</v>
      </c>
      <c r="FC118" t="str">
        <v>SORNOZA ZAMORA JUAN CARLOS</v>
      </c>
      <c r="FD118" t="str">
        <v>TOMALA PINTO JESUS JACINTO</v>
      </c>
      <c r="FE118" t="str">
        <v>VALLE JARAMILLO SILVIA ARACELY</v>
      </c>
      <c r="FF118" t="str">
        <v>VELÁSQUEZ BRAVO IRMA KATHERINE</v>
      </c>
      <c r="FG118" t="str">
        <v>VELEZ MENDOZA LAYSY VALERIA</v>
      </c>
      <c r="FH118" t="str">
        <v>VINUEZA TELLO SHIRLEY ELIZABETH</v>
      </c>
      <c r="FI118" t="str">
        <v>ZAMBRANO ALCIVAR NILDA ISABEL</v>
      </c>
      <c r="FJ118" t="str">
        <v>ZAMBRANO LOOR RITA MAYDA</v>
      </c>
      <c r="FK118" t="str">
        <v>ZAMBRANO VERA MONICA JANETH</v>
      </c>
      <c r="FL118" t="str">
        <v>VERA DELGADO BRYAN ADRIÁN</v>
      </c>
      <c r="FM118" t="str">
        <v>MORAN GONZALES DAVID RENATO</v>
      </c>
      <c r="FN118">
        <v>0</v>
      </c>
    </row>
    <row r="119" spans="1:170" ht="20.25" customHeight="1">
      <c r="A119" s="4" t="str" cm="1">
        <f t="array" ref="A119">TRANSPOSE(_xlfn.UNIQUE(_xlfn._xlws.FILTER(MAE_ASIGNATURA[ID_NIVEL],MAE_ASIGNATURA[ID_CARRERA]=ASIGNACION!$C119,"No existe información")))</f>
        <v>No existe información</v>
      </c>
      <c r="S119" s="4" t="str" cm="1">
        <f t="array" ref="S119">TRANSPOSE(_xlfn.UNIQUE(_xlfn._xlws.FILTER(MAE_ASIGNATURA[NOM_ASIG],(MAE_ASIGNATURA[ID_NIVEL]=ASIGNACION!$D119)*(MAE_ASIGNATURA[ID_CARRERA]=ASIGNACION!$C119),"No existe información")))</f>
        <v>No existe información</v>
      </c>
      <c r="BD119" s="4" t="str" cm="1">
        <f t="array" ref="BD119">TRANSPOSE(_xlfn.UNIQUE(_xlfn._xlws.FILTER(DET_ASIG[DETALLADO],(DET_ASIG[ID_CARRERA]=ASIGNACION!$C119)*(DET_ASIG[NIVEL]=ASIGNACION!$D119)*(DET_ASIG[ID_ASIG]=ASIGNACION!$G119),"No existe información")))</f>
        <v>No existe información</v>
      </c>
      <c r="BQ119" s="5" t="str" cm="1">
        <f t="array" ref="BQ119">IFERROR(
    TRANSPOSE(
        _xlfn.UNIQUE(
            _xlfn._xlws.FILTER(MAESTRIA_DETALLADO[MAESTRIA],
                ISNUMBER(MATCH(MAESTRIA_DETALLADO[CAMPO_DETALLADO],
                BD119:BP119,0))
            )
        )
    ),IF(BD119="ACTIVIDAD","DOCENCIA",""))</f>
        <v/>
      </c>
      <c r="EA119" s="5" t="str" cm="1">
        <f t="array" ref="EA119:FN119">IF(
    ASIGNACION!I119="SI",
    IFERROR(
        TRANSPOSE(
            _xlfn.UNIQUE(
                _xlfn._xlws.FILTER(EDU_DOCENTE[NOMBRE_DOCENTE],
                    ISNUMBER(MATCH(EDU_DOCENTE[MAESTRIA],
                    BQ119:DY119,0))
                )
            )
        ),
        ""
    ),
    TRANSPOSE(
        _xlfn.UNIQUE(EDU_DOCENTE[NOMBRE_DOCENTE]
        )
    )
)</f>
        <v>ALCIVAR CEDEÑO BEATRIZ ISABEL</v>
      </c>
      <c r="EB119" t="str">
        <v>ALCIVAR VERA GEMA MICHELLE</v>
      </c>
      <c r="EC119" t="str">
        <v>ARAUZ CHAVEZ MARIO ROBERTO</v>
      </c>
      <c r="ED119" t="str">
        <v>BAILON LOURIDO WALTER ALBERTO</v>
      </c>
      <c r="EE119" t="str">
        <v>CALDERERO VILLAGOMEZ ERICK ANTONIO</v>
      </c>
      <c r="EF119" t="str">
        <v>CASTILLO GARCIA PAOLA GERMANIA</v>
      </c>
      <c r="EG119" t="str">
        <v>CEDEÑO CHOEZ PEDRO JAVIER</v>
      </c>
      <c r="EH119" t="str">
        <v>CEVALLOS HOPPE JUAN CARLOS</v>
      </c>
      <c r="EI119" t="str">
        <v>DELGADO CHAVEZ MARIA IRASEMA</v>
      </c>
      <c r="EJ119" t="str">
        <v>DUARTE VALENCIA CRISTHIAN DARIO</v>
      </c>
      <c r="EK119" t="str">
        <v>FORTTY BARBERAN DENNY ALEXANDER</v>
      </c>
      <c r="EL119" t="str">
        <v>GUTIERREZ ZAMBRANO CARMEN EBELINA</v>
      </c>
      <c r="EM119" t="str">
        <v>INTRIAGO MOLINA GEMA VALERIA</v>
      </c>
      <c r="EN119" t="str">
        <v>LINO VELEZ LEONEL LIVINGTON</v>
      </c>
      <c r="EO119" t="str">
        <v>LOOR ALCIVAR MARIA ILIANA</v>
      </c>
      <c r="EP119" t="str">
        <v>LOOR MIELES TANIA JACQUELINE</v>
      </c>
      <c r="EQ119" t="str">
        <v>LOOR SOLORZANO ROSA MARIA</v>
      </c>
      <c r="ER119" t="str">
        <v>LOPEZ DELGADO RONALD MAURICIO</v>
      </c>
      <c r="ES119" t="str">
        <v>MACIAS VALENCIA DAVID GABRIEL</v>
      </c>
      <c r="ET119" t="str">
        <v>MENDOZA ZAMORA WALTER MANUEL</v>
      </c>
      <c r="EU119" t="str">
        <v>MOLINA CEVALLOS MARIA LORENA</v>
      </c>
      <c r="EV119" t="str">
        <v>MURILLO DELGADO ISAAC GABRIEL</v>
      </c>
      <c r="EW119" t="str">
        <v>ANGULO MURILLO NAVIRA GISSELA</v>
      </c>
      <c r="EX119" t="str">
        <v>OCHOA SOLEDISPA NESTOR IVAN</v>
      </c>
      <c r="EY119" t="str">
        <v>PARRAGA FRANCO SILVANA MARIELA</v>
      </c>
      <c r="EZ119" t="str">
        <v>PINARGOTE VASQUEZ NANCY FABIOLA</v>
      </c>
      <c r="FA119" t="str">
        <v>REYES VELEZ PEDRO ENRIQUE</v>
      </c>
      <c r="FB119" t="str">
        <v>SAN ANDRES HORMAZA DALLAS CECILIA</v>
      </c>
      <c r="FC119" t="str">
        <v>SORNOZA ZAMORA JUAN CARLOS</v>
      </c>
      <c r="FD119" t="str">
        <v>TOMALA PINTO JESUS JACINTO</v>
      </c>
      <c r="FE119" t="str">
        <v>VALLE JARAMILLO SILVIA ARACELY</v>
      </c>
      <c r="FF119" t="str">
        <v>VELÁSQUEZ BRAVO IRMA KATHERINE</v>
      </c>
      <c r="FG119" t="str">
        <v>VELEZ MENDOZA LAYSY VALERIA</v>
      </c>
      <c r="FH119" t="str">
        <v>VINUEZA TELLO SHIRLEY ELIZABETH</v>
      </c>
      <c r="FI119" t="str">
        <v>ZAMBRANO ALCIVAR NILDA ISABEL</v>
      </c>
      <c r="FJ119" t="str">
        <v>ZAMBRANO LOOR RITA MAYDA</v>
      </c>
      <c r="FK119" t="str">
        <v>ZAMBRANO VERA MONICA JANETH</v>
      </c>
      <c r="FL119" t="str">
        <v>VERA DELGADO BRYAN ADRIÁN</v>
      </c>
      <c r="FM119" t="str">
        <v>MORAN GONZALES DAVID RENATO</v>
      </c>
      <c r="FN119">
        <v>0</v>
      </c>
    </row>
    <row r="120" spans="1:170" ht="20.25" customHeight="1">
      <c r="A120" s="4" t="str" cm="1">
        <f t="array" ref="A120">TRANSPOSE(_xlfn.UNIQUE(_xlfn._xlws.FILTER(MAE_ASIGNATURA[ID_NIVEL],MAE_ASIGNATURA[ID_CARRERA]=ASIGNACION!$C120,"No existe información")))</f>
        <v>No existe información</v>
      </c>
      <c r="S120" s="4" t="str" cm="1">
        <f t="array" ref="S120">TRANSPOSE(_xlfn.UNIQUE(_xlfn._xlws.FILTER(MAE_ASIGNATURA[NOM_ASIG],(MAE_ASIGNATURA[ID_NIVEL]=ASIGNACION!$D120)*(MAE_ASIGNATURA[ID_CARRERA]=ASIGNACION!$C120),"No existe información")))</f>
        <v>No existe información</v>
      </c>
      <c r="BD120" s="4" t="str" cm="1">
        <f t="array" ref="BD120">TRANSPOSE(_xlfn.UNIQUE(_xlfn._xlws.FILTER(DET_ASIG[DETALLADO],(DET_ASIG[ID_CARRERA]=ASIGNACION!$C120)*(DET_ASIG[NIVEL]=ASIGNACION!$D120)*(DET_ASIG[ID_ASIG]=ASIGNACION!$G120),"No existe información")))</f>
        <v>No existe información</v>
      </c>
      <c r="BQ120" s="5" t="str" cm="1">
        <f t="array" ref="BQ120">IFERROR(
    TRANSPOSE(
        _xlfn.UNIQUE(
            _xlfn._xlws.FILTER(MAESTRIA_DETALLADO[MAESTRIA],
                ISNUMBER(MATCH(MAESTRIA_DETALLADO[CAMPO_DETALLADO],
                BD120:BP120,0))
            )
        )
    ),IF(BD120="ACTIVIDAD","DOCENCIA",""))</f>
        <v/>
      </c>
      <c r="EA120" s="5" t="str" cm="1">
        <f t="array" ref="EA120:FN120">IF(
    ASIGNACION!I120="SI",
    IFERROR(
        TRANSPOSE(
            _xlfn.UNIQUE(
                _xlfn._xlws.FILTER(EDU_DOCENTE[NOMBRE_DOCENTE],
                    ISNUMBER(MATCH(EDU_DOCENTE[MAESTRIA],
                    BQ120:DY120,0))
                )
            )
        ),
        ""
    ),
    TRANSPOSE(
        _xlfn.UNIQUE(EDU_DOCENTE[NOMBRE_DOCENTE]
        )
    )
)</f>
        <v>ALCIVAR CEDEÑO BEATRIZ ISABEL</v>
      </c>
      <c r="EB120" t="str">
        <v>ALCIVAR VERA GEMA MICHELLE</v>
      </c>
      <c r="EC120" t="str">
        <v>ARAUZ CHAVEZ MARIO ROBERTO</v>
      </c>
      <c r="ED120" t="str">
        <v>BAILON LOURIDO WALTER ALBERTO</v>
      </c>
      <c r="EE120" t="str">
        <v>CALDERERO VILLAGOMEZ ERICK ANTONIO</v>
      </c>
      <c r="EF120" t="str">
        <v>CASTILLO GARCIA PAOLA GERMANIA</v>
      </c>
      <c r="EG120" t="str">
        <v>CEDEÑO CHOEZ PEDRO JAVIER</v>
      </c>
      <c r="EH120" t="str">
        <v>CEVALLOS HOPPE JUAN CARLOS</v>
      </c>
      <c r="EI120" t="str">
        <v>DELGADO CHAVEZ MARIA IRASEMA</v>
      </c>
      <c r="EJ120" t="str">
        <v>DUARTE VALENCIA CRISTHIAN DARIO</v>
      </c>
      <c r="EK120" t="str">
        <v>FORTTY BARBERAN DENNY ALEXANDER</v>
      </c>
      <c r="EL120" t="str">
        <v>GUTIERREZ ZAMBRANO CARMEN EBELINA</v>
      </c>
      <c r="EM120" t="str">
        <v>INTRIAGO MOLINA GEMA VALERIA</v>
      </c>
      <c r="EN120" t="str">
        <v>LINO VELEZ LEONEL LIVINGTON</v>
      </c>
      <c r="EO120" t="str">
        <v>LOOR ALCIVAR MARIA ILIANA</v>
      </c>
      <c r="EP120" t="str">
        <v>LOOR MIELES TANIA JACQUELINE</v>
      </c>
      <c r="EQ120" t="str">
        <v>LOOR SOLORZANO ROSA MARIA</v>
      </c>
      <c r="ER120" t="str">
        <v>LOPEZ DELGADO RONALD MAURICIO</v>
      </c>
      <c r="ES120" t="str">
        <v>MACIAS VALENCIA DAVID GABRIEL</v>
      </c>
      <c r="ET120" t="str">
        <v>MENDOZA ZAMORA WALTER MANUEL</v>
      </c>
      <c r="EU120" t="str">
        <v>MOLINA CEVALLOS MARIA LORENA</v>
      </c>
      <c r="EV120" t="str">
        <v>MURILLO DELGADO ISAAC GABRIEL</v>
      </c>
      <c r="EW120" t="str">
        <v>ANGULO MURILLO NAVIRA GISSELA</v>
      </c>
      <c r="EX120" t="str">
        <v>OCHOA SOLEDISPA NESTOR IVAN</v>
      </c>
      <c r="EY120" t="str">
        <v>PARRAGA FRANCO SILVANA MARIELA</v>
      </c>
      <c r="EZ120" t="str">
        <v>PINARGOTE VASQUEZ NANCY FABIOLA</v>
      </c>
      <c r="FA120" t="str">
        <v>REYES VELEZ PEDRO ENRIQUE</v>
      </c>
      <c r="FB120" t="str">
        <v>SAN ANDRES HORMAZA DALLAS CECILIA</v>
      </c>
      <c r="FC120" t="str">
        <v>SORNOZA ZAMORA JUAN CARLOS</v>
      </c>
      <c r="FD120" t="str">
        <v>TOMALA PINTO JESUS JACINTO</v>
      </c>
      <c r="FE120" t="str">
        <v>VALLE JARAMILLO SILVIA ARACELY</v>
      </c>
      <c r="FF120" t="str">
        <v>VELÁSQUEZ BRAVO IRMA KATHERINE</v>
      </c>
      <c r="FG120" t="str">
        <v>VELEZ MENDOZA LAYSY VALERIA</v>
      </c>
      <c r="FH120" t="str">
        <v>VINUEZA TELLO SHIRLEY ELIZABETH</v>
      </c>
      <c r="FI120" t="str">
        <v>ZAMBRANO ALCIVAR NILDA ISABEL</v>
      </c>
      <c r="FJ120" t="str">
        <v>ZAMBRANO LOOR RITA MAYDA</v>
      </c>
      <c r="FK120" t="str">
        <v>ZAMBRANO VERA MONICA JANETH</v>
      </c>
      <c r="FL120" t="str">
        <v>VERA DELGADO BRYAN ADRIÁN</v>
      </c>
      <c r="FM120" t="str">
        <v>MORAN GONZALES DAVID RENATO</v>
      </c>
      <c r="FN120">
        <v>0</v>
      </c>
    </row>
    <row r="121" spans="1:170" ht="20.25" customHeight="1">
      <c r="A121" s="4" t="str" cm="1">
        <f t="array" ref="A121">TRANSPOSE(_xlfn.UNIQUE(_xlfn._xlws.FILTER(MAE_ASIGNATURA[ID_NIVEL],MAE_ASIGNATURA[ID_CARRERA]=ASIGNACION!$C121,"No existe información")))</f>
        <v>No existe información</v>
      </c>
      <c r="S121" s="4" t="str" cm="1">
        <f t="array" ref="S121">TRANSPOSE(_xlfn.UNIQUE(_xlfn._xlws.FILTER(MAE_ASIGNATURA[NOM_ASIG],(MAE_ASIGNATURA[ID_NIVEL]=ASIGNACION!$D121)*(MAE_ASIGNATURA[ID_CARRERA]=ASIGNACION!$C121),"No existe información")))</f>
        <v>No existe información</v>
      </c>
      <c r="BD121" s="4" t="str" cm="1">
        <f t="array" ref="BD121">TRANSPOSE(_xlfn.UNIQUE(_xlfn._xlws.FILTER(DET_ASIG[DETALLADO],(DET_ASIG[ID_CARRERA]=ASIGNACION!$C121)*(DET_ASIG[NIVEL]=ASIGNACION!$D121)*(DET_ASIG[ID_ASIG]=ASIGNACION!$G121),"No existe información")))</f>
        <v>No existe información</v>
      </c>
      <c r="BQ121" s="5" t="str" cm="1">
        <f t="array" ref="BQ121">IFERROR(
    TRANSPOSE(
        _xlfn.UNIQUE(
            _xlfn._xlws.FILTER(MAESTRIA_DETALLADO[MAESTRIA],
                ISNUMBER(MATCH(MAESTRIA_DETALLADO[CAMPO_DETALLADO],
                BD121:BP121,0))
            )
        )
    ),IF(BD121="ACTIVIDAD","DOCENCIA",""))</f>
        <v/>
      </c>
      <c r="EA121" s="5" t="str" cm="1">
        <f t="array" ref="EA121:FN121">IF(
    ASIGNACION!I121="SI",
    IFERROR(
        TRANSPOSE(
            _xlfn.UNIQUE(
                _xlfn._xlws.FILTER(EDU_DOCENTE[NOMBRE_DOCENTE],
                    ISNUMBER(MATCH(EDU_DOCENTE[MAESTRIA],
                    BQ121:DY121,0))
                )
            )
        ),
        ""
    ),
    TRANSPOSE(
        _xlfn.UNIQUE(EDU_DOCENTE[NOMBRE_DOCENTE]
        )
    )
)</f>
        <v>ALCIVAR CEDEÑO BEATRIZ ISABEL</v>
      </c>
      <c r="EB121" t="str">
        <v>ALCIVAR VERA GEMA MICHELLE</v>
      </c>
      <c r="EC121" t="str">
        <v>ARAUZ CHAVEZ MARIO ROBERTO</v>
      </c>
      <c r="ED121" t="str">
        <v>BAILON LOURIDO WALTER ALBERTO</v>
      </c>
      <c r="EE121" t="str">
        <v>CALDERERO VILLAGOMEZ ERICK ANTONIO</v>
      </c>
      <c r="EF121" t="str">
        <v>CASTILLO GARCIA PAOLA GERMANIA</v>
      </c>
      <c r="EG121" t="str">
        <v>CEDEÑO CHOEZ PEDRO JAVIER</v>
      </c>
      <c r="EH121" t="str">
        <v>CEVALLOS HOPPE JUAN CARLOS</v>
      </c>
      <c r="EI121" t="str">
        <v>DELGADO CHAVEZ MARIA IRASEMA</v>
      </c>
      <c r="EJ121" t="str">
        <v>DUARTE VALENCIA CRISTHIAN DARIO</v>
      </c>
      <c r="EK121" t="str">
        <v>FORTTY BARBERAN DENNY ALEXANDER</v>
      </c>
      <c r="EL121" t="str">
        <v>GUTIERREZ ZAMBRANO CARMEN EBELINA</v>
      </c>
      <c r="EM121" t="str">
        <v>INTRIAGO MOLINA GEMA VALERIA</v>
      </c>
      <c r="EN121" t="str">
        <v>LINO VELEZ LEONEL LIVINGTON</v>
      </c>
      <c r="EO121" t="str">
        <v>LOOR ALCIVAR MARIA ILIANA</v>
      </c>
      <c r="EP121" t="str">
        <v>LOOR MIELES TANIA JACQUELINE</v>
      </c>
      <c r="EQ121" t="str">
        <v>LOOR SOLORZANO ROSA MARIA</v>
      </c>
      <c r="ER121" t="str">
        <v>LOPEZ DELGADO RONALD MAURICIO</v>
      </c>
      <c r="ES121" t="str">
        <v>MACIAS VALENCIA DAVID GABRIEL</v>
      </c>
      <c r="ET121" t="str">
        <v>MENDOZA ZAMORA WALTER MANUEL</v>
      </c>
      <c r="EU121" t="str">
        <v>MOLINA CEVALLOS MARIA LORENA</v>
      </c>
      <c r="EV121" t="str">
        <v>MURILLO DELGADO ISAAC GABRIEL</v>
      </c>
      <c r="EW121" t="str">
        <v>ANGULO MURILLO NAVIRA GISSELA</v>
      </c>
      <c r="EX121" t="str">
        <v>OCHOA SOLEDISPA NESTOR IVAN</v>
      </c>
      <c r="EY121" t="str">
        <v>PARRAGA FRANCO SILVANA MARIELA</v>
      </c>
      <c r="EZ121" t="str">
        <v>PINARGOTE VASQUEZ NANCY FABIOLA</v>
      </c>
      <c r="FA121" t="str">
        <v>REYES VELEZ PEDRO ENRIQUE</v>
      </c>
      <c r="FB121" t="str">
        <v>SAN ANDRES HORMAZA DALLAS CECILIA</v>
      </c>
      <c r="FC121" t="str">
        <v>SORNOZA ZAMORA JUAN CARLOS</v>
      </c>
      <c r="FD121" t="str">
        <v>TOMALA PINTO JESUS JACINTO</v>
      </c>
      <c r="FE121" t="str">
        <v>VALLE JARAMILLO SILVIA ARACELY</v>
      </c>
      <c r="FF121" t="str">
        <v>VELÁSQUEZ BRAVO IRMA KATHERINE</v>
      </c>
      <c r="FG121" t="str">
        <v>VELEZ MENDOZA LAYSY VALERIA</v>
      </c>
      <c r="FH121" t="str">
        <v>VINUEZA TELLO SHIRLEY ELIZABETH</v>
      </c>
      <c r="FI121" t="str">
        <v>ZAMBRANO ALCIVAR NILDA ISABEL</v>
      </c>
      <c r="FJ121" t="str">
        <v>ZAMBRANO LOOR RITA MAYDA</v>
      </c>
      <c r="FK121" t="str">
        <v>ZAMBRANO VERA MONICA JANETH</v>
      </c>
      <c r="FL121" t="str">
        <v>VERA DELGADO BRYAN ADRIÁN</v>
      </c>
      <c r="FM121" t="str">
        <v>MORAN GONZALES DAVID RENATO</v>
      </c>
      <c r="FN121">
        <v>0</v>
      </c>
    </row>
    <row r="122" spans="1:170" ht="20.25" customHeight="1">
      <c r="A122" s="4" t="str" cm="1">
        <f t="array" ref="A122">TRANSPOSE(_xlfn.UNIQUE(_xlfn._xlws.FILTER(MAE_ASIGNATURA[ID_NIVEL],MAE_ASIGNATURA[ID_CARRERA]=ASIGNACION!$C122,"No existe información")))</f>
        <v>No existe información</v>
      </c>
      <c r="S122" s="4" t="str" cm="1">
        <f t="array" ref="S122">TRANSPOSE(_xlfn.UNIQUE(_xlfn._xlws.FILTER(MAE_ASIGNATURA[NOM_ASIG],(MAE_ASIGNATURA[ID_NIVEL]=ASIGNACION!$D122)*(MAE_ASIGNATURA[ID_CARRERA]=ASIGNACION!$C122),"No existe información")))</f>
        <v>No existe información</v>
      </c>
      <c r="BD122" s="4" t="str" cm="1">
        <f t="array" ref="BD122">TRANSPOSE(_xlfn.UNIQUE(_xlfn._xlws.FILTER(DET_ASIG[DETALLADO],(DET_ASIG[ID_CARRERA]=ASIGNACION!$C122)*(DET_ASIG[NIVEL]=ASIGNACION!$D122)*(DET_ASIG[ID_ASIG]=ASIGNACION!$G122),"No existe información")))</f>
        <v>No existe información</v>
      </c>
      <c r="BQ122" s="5" t="str" cm="1">
        <f t="array" ref="BQ122">IFERROR(
    TRANSPOSE(
        _xlfn.UNIQUE(
            _xlfn._xlws.FILTER(MAESTRIA_DETALLADO[MAESTRIA],
                ISNUMBER(MATCH(MAESTRIA_DETALLADO[CAMPO_DETALLADO],
                BD122:BP122,0))
            )
        )
    ),IF(BD122="ACTIVIDAD","DOCENCIA",""))</f>
        <v/>
      </c>
      <c r="EA122" s="5" t="str" cm="1">
        <f t="array" ref="EA122:FN122">IF(
    ASIGNACION!I122="SI",
    IFERROR(
        TRANSPOSE(
            _xlfn.UNIQUE(
                _xlfn._xlws.FILTER(EDU_DOCENTE[NOMBRE_DOCENTE],
                    ISNUMBER(MATCH(EDU_DOCENTE[MAESTRIA],
                    BQ122:DY122,0))
                )
            )
        ),
        ""
    ),
    TRANSPOSE(
        _xlfn.UNIQUE(EDU_DOCENTE[NOMBRE_DOCENTE]
        )
    )
)</f>
        <v>ALCIVAR CEDEÑO BEATRIZ ISABEL</v>
      </c>
      <c r="EB122" t="str">
        <v>ALCIVAR VERA GEMA MICHELLE</v>
      </c>
      <c r="EC122" t="str">
        <v>ARAUZ CHAVEZ MARIO ROBERTO</v>
      </c>
      <c r="ED122" t="str">
        <v>BAILON LOURIDO WALTER ALBERTO</v>
      </c>
      <c r="EE122" t="str">
        <v>CALDERERO VILLAGOMEZ ERICK ANTONIO</v>
      </c>
      <c r="EF122" t="str">
        <v>CASTILLO GARCIA PAOLA GERMANIA</v>
      </c>
      <c r="EG122" t="str">
        <v>CEDEÑO CHOEZ PEDRO JAVIER</v>
      </c>
      <c r="EH122" t="str">
        <v>CEVALLOS HOPPE JUAN CARLOS</v>
      </c>
      <c r="EI122" t="str">
        <v>DELGADO CHAVEZ MARIA IRASEMA</v>
      </c>
      <c r="EJ122" t="str">
        <v>DUARTE VALENCIA CRISTHIAN DARIO</v>
      </c>
      <c r="EK122" t="str">
        <v>FORTTY BARBERAN DENNY ALEXANDER</v>
      </c>
      <c r="EL122" t="str">
        <v>GUTIERREZ ZAMBRANO CARMEN EBELINA</v>
      </c>
      <c r="EM122" t="str">
        <v>INTRIAGO MOLINA GEMA VALERIA</v>
      </c>
      <c r="EN122" t="str">
        <v>LINO VELEZ LEONEL LIVINGTON</v>
      </c>
      <c r="EO122" t="str">
        <v>LOOR ALCIVAR MARIA ILIANA</v>
      </c>
      <c r="EP122" t="str">
        <v>LOOR MIELES TANIA JACQUELINE</v>
      </c>
      <c r="EQ122" t="str">
        <v>LOOR SOLORZANO ROSA MARIA</v>
      </c>
      <c r="ER122" t="str">
        <v>LOPEZ DELGADO RONALD MAURICIO</v>
      </c>
      <c r="ES122" t="str">
        <v>MACIAS VALENCIA DAVID GABRIEL</v>
      </c>
      <c r="ET122" t="str">
        <v>MENDOZA ZAMORA WALTER MANUEL</v>
      </c>
      <c r="EU122" t="str">
        <v>MOLINA CEVALLOS MARIA LORENA</v>
      </c>
      <c r="EV122" t="str">
        <v>MURILLO DELGADO ISAAC GABRIEL</v>
      </c>
      <c r="EW122" t="str">
        <v>ANGULO MURILLO NAVIRA GISSELA</v>
      </c>
      <c r="EX122" t="str">
        <v>OCHOA SOLEDISPA NESTOR IVAN</v>
      </c>
      <c r="EY122" t="str">
        <v>PARRAGA FRANCO SILVANA MARIELA</v>
      </c>
      <c r="EZ122" t="str">
        <v>PINARGOTE VASQUEZ NANCY FABIOLA</v>
      </c>
      <c r="FA122" t="str">
        <v>REYES VELEZ PEDRO ENRIQUE</v>
      </c>
      <c r="FB122" t="str">
        <v>SAN ANDRES HORMAZA DALLAS CECILIA</v>
      </c>
      <c r="FC122" t="str">
        <v>SORNOZA ZAMORA JUAN CARLOS</v>
      </c>
      <c r="FD122" t="str">
        <v>TOMALA PINTO JESUS JACINTO</v>
      </c>
      <c r="FE122" t="str">
        <v>VALLE JARAMILLO SILVIA ARACELY</v>
      </c>
      <c r="FF122" t="str">
        <v>VELÁSQUEZ BRAVO IRMA KATHERINE</v>
      </c>
      <c r="FG122" t="str">
        <v>VELEZ MENDOZA LAYSY VALERIA</v>
      </c>
      <c r="FH122" t="str">
        <v>VINUEZA TELLO SHIRLEY ELIZABETH</v>
      </c>
      <c r="FI122" t="str">
        <v>ZAMBRANO ALCIVAR NILDA ISABEL</v>
      </c>
      <c r="FJ122" t="str">
        <v>ZAMBRANO LOOR RITA MAYDA</v>
      </c>
      <c r="FK122" t="str">
        <v>ZAMBRANO VERA MONICA JANETH</v>
      </c>
      <c r="FL122" t="str">
        <v>VERA DELGADO BRYAN ADRIÁN</v>
      </c>
      <c r="FM122" t="str">
        <v>MORAN GONZALES DAVID RENATO</v>
      </c>
      <c r="FN122">
        <v>0</v>
      </c>
    </row>
    <row r="123" spans="1:170" ht="20.25" customHeight="1">
      <c r="A123" s="4" t="str" cm="1">
        <f t="array" ref="A123">TRANSPOSE(_xlfn.UNIQUE(_xlfn._xlws.FILTER(MAE_ASIGNATURA[ID_NIVEL],MAE_ASIGNATURA[ID_CARRERA]=ASIGNACION!$C123,"No existe información")))</f>
        <v>No existe información</v>
      </c>
      <c r="S123" s="4" t="str" cm="1">
        <f t="array" ref="S123">TRANSPOSE(_xlfn.UNIQUE(_xlfn._xlws.FILTER(MAE_ASIGNATURA[NOM_ASIG],(MAE_ASIGNATURA[ID_NIVEL]=ASIGNACION!$D123)*(MAE_ASIGNATURA[ID_CARRERA]=ASIGNACION!$C123),"No existe información")))</f>
        <v>No existe información</v>
      </c>
      <c r="BD123" s="4" t="str" cm="1">
        <f t="array" ref="BD123">TRANSPOSE(_xlfn.UNIQUE(_xlfn._xlws.FILTER(DET_ASIG[DETALLADO],(DET_ASIG[ID_CARRERA]=ASIGNACION!$C123)*(DET_ASIG[NIVEL]=ASIGNACION!$D123)*(DET_ASIG[ID_ASIG]=ASIGNACION!$G123),"No existe información")))</f>
        <v>No existe información</v>
      </c>
      <c r="BQ123" s="5" t="str" cm="1">
        <f t="array" ref="BQ123">IFERROR(
    TRANSPOSE(
        _xlfn.UNIQUE(
            _xlfn._xlws.FILTER(MAESTRIA_DETALLADO[MAESTRIA],
                ISNUMBER(MATCH(MAESTRIA_DETALLADO[CAMPO_DETALLADO],
                BD123:BP123,0))
            )
        )
    ),IF(BD123="ACTIVIDAD","DOCENCIA",""))</f>
        <v/>
      </c>
      <c r="EA123" s="5" t="str" cm="1">
        <f t="array" ref="EA123:FN123">IF(
    ASIGNACION!I123="SI",
    IFERROR(
        TRANSPOSE(
            _xlfn.UNIQUE(
                _xlfn._xlws.FILTER(EDU_DOCENTE[NOMBRE_DOCENTE],
                    ISNUMBER(MATCH(EDU_DOCENTE[MAESTRIA],
                    BQ123:DY123,0))
                )
            )
        ),
        ""
    ),
    TRANSPOSE(
        _xlfn.UNIQUE(EDU_DOCENTE[NOMBRE_DOCENTE]
        )
    )
)</f>
        <v>ALCIVAR CEDEÑO BEATRIZ ISABEL</v>
      </c>
      <c r="EB123" t="str">
        <v>ALCIVAR VERA GEMA MICHELLE</v>
      </c>
      <c r="EC123" t="str">
        <v>ARAUZ CHAVEZ MARIO ROBERTO</v>
      </c>
      <c r="ED123" t="str">
        <v>BAILON LOURIDO WALTER ALBERTO</v>
      </c>
      <c r="EE123" t="str">
        <v>CALDERERO VILLAGOMEZ ERICK ANTONIO</v>
      </c>
      <c r="EF123" t="str">
        <v>CASTILLO GARCIA PAOLA GERMANIA</v>
      </c>
      <c r="EG123" t="str">
        <v>CEDEÑO CHOEZ PEDRO JAVIER</v>
      </c>
      <c r="EH123" t="str">
        <v>CEVALLOS HOPPE JUAN CARLOS</v>
      </c>
      <c r="EI123" t="str">
        <v>DELGADO CHAVEZ MARIA IRASEMA</v>
      </c>
      <c r="EJ123" t="str">
        <v>DUARTE VALENCIA CRISTHIAN DARIO</v>
      </c>
      <c r="EK123" t="str">
        <v>FORTTY BARBERAN DENNY ALEXANDER</v>
      </c>
      <c r="EL123" t="str">
        <v>GUTIERREZ ZAMBRANO CARMEN EBELINA</v>
      </c>
      <c r="EM123" t="str">
        <v>INTRIAGO MOLINA GEMA VALERIA</v>
      </c>
      <c r="EN123" t="str">
        <v>LINO VELEZ LEONEL LIVINGTON</v>
      </c>
      <c r="EO123" t="str">
        <v>LOOR ALCIVAR MARIA ILIANA</v>
      </c>
      <c r="EP123" t="str">
        <v>LOOR MIELES TANIA JACQUELINE</v>
      </c>
      <c r="EQ123" t="str">
        <v>LOOR SOLORZANO ROSA MARIA</v>
      </c>
      <c r="ER123" t="str">
        <v>LOPEZ DELGADO RONALD MAURICIO</v>
      </c>
      <c r="ES123" t="str">
        <v>MACIAS VALENCIA DAVID GABRIEL</v>
      </c>
      <c r="ET123" t="str">
        <v>MENDOZA ZAMORA WALTER MANUEL</v>
      </c>
      <c r="EU123" t="str">
        <v>MOLINA CEVALLOS MARIA LORENA</v>
      </c>
      <c r="EV123" t="str">
        <v>MURILLO DELGADO ISAAC GABRIEL</v>
      </c>
      <c r="EW123" t="str">
        <v>ANGULO MURILLO NAVIRA GISSELA</v>
      </c>
      <c r="EX123" t="str">
        <v>OCHOA SOLEDISPA NESTOR IVAN</v>
      </c>
      <c r="EY123" t="str">
        <v>PARRAGA FRANCO SILVANA MARIELA</v>
      </c>
      <c r="EZ123" t="str">
        <v>PINARGOTE VASQUEZ NANCY FABIOLA</v>
      </c>
      <c r="FA123" t="str">
        <v>REYES VELEZ PEDRO ENRIQUE</v>
      </c>
      <c r="FB123" t="str">
        <v>SAN ANDRES HORMAZA DALLAS CECILIA</v>
      </c>
      <c r="FC123" t="str">
        <v>SORNOZA ZAMORA JUAN CARLOS</v>
      </c>
      <c r="FD123" t="str">
        <v>TOMALA PINTO JESUS JACINTO</v>
      </c>
      <c r="FE123" t="str">
        <v>VALLE JARAMILLO SILVIA ARACELY</v>
      </c>
      <c r="FF123" t="str">
        <v>VELÁSQUEZ BRAVO IRMA KATHERINE</v>
      </c>
      <c r="FG123" t="str">
        <v>VELEZ MENDOZA LAYSY VALERIA</v>
      </c>
      <c r="FH123" t="str">
        <v>VINUEZA TELLO SHIRLEY ELIZABETH</v>
      </c>
      <c r="FI123" t="str">
        <v>ZAMBRANO ALCIVAR NILDA ISABEL</v>
      </c>
      <c r="FJ123" t="str">
        <v>ZAMBRANO LOOR RITA MAYDA</v>
      </c>
      <c r="FK123" t="str">
        <v>ZAMBRANO VERA MONICA JANETH</v>
      </c>
      <c r="FL123" t="str">
        <v>VERA DELGADO BRYAN ADRIÁN</v>
      </c>
      <c r="FM123" t="str">
        <v>MORAN GONZALES DAVID RENATO</v>
      </c>
      <c r="FN123">
        <v>0</v>
      </c>
    </row>
    <row r="124" spans="1:170" ht="20.25" customHeight="1">
      <c r="A124" s="4" t="str" cm="1">
        <f t="array" ref="A124">TRANSPOSE(_xlfn.UNIQUE(_xlfn._xlws.FILTER(MAE_ASIGNATURA[ID_NIVEL],MAE_ASIGNATURA[ID_CARRERA]=ASIGNACION!$C124,"No existe información")))</f>
        <v>No existe información</v>
      </c>
      <c r="S124" s="4" t="str" cm="1">
        <f t="array" ref="S124">TRANSPOSE(_xlfn.UNIQUE(_xlfn._xlws.FILTER(MAE_ASIGNATURA[NOM_ASIG],(MAE_ASIGNATURA[ID_NIVEL]=ASIGNACION!$D124)*(MAE_ASIGNATURA[ID_CARRERA]=ASIGNACION!$C124),"No existe información")))</f>
        <v>No existe información</v>
      </c>
      <c r="BD124" s="4" t="str" cm="1">
        <f t="array" ref="BD124">TRANSPOSE(_xlfn.UNIQUE(_xlfn._xlws.FILTER(DET_ASIG[DETALLADO],(DET_ASIG[ID_CARRERA]=ASIGNACION!$C124)*(DET_ASIG[NIVEL]=ASIGNACION!$D124)*(DET_ASIG[ID_ASIG]=ASIGNACION!$G124),"No existe información")))</f>
        <v>No existe información</v>
      </c>
      <c r="BQ124" s="5" t="str" cm="1">
        <f t="array" ref="BQ124">IFERROR(
    TRANSPOSE(
        _xlfn.UNIQUE(
            _xlfn._xlws.FILTER(MAESTRIA_DETALLADO[MAESTRIA],
                ISNUMBER(MATCH(MAESTRIA_DETALLADO[CAMPO_DETALLADO],
                BD124:BP124,0))
            )
        )
    ),IF(BD124="ACTIVIDAD","DOCENCIA",""))</f>
        <v/>
      </c>
      <c r="EA124" s="5" t="str" cm="1">
        <f t="array" ref="EA124:FN124">IF(
    ASIGNACION!I124="SI",
    IFERROR(
        TRANSPOSE(
            _xlfn.UNIQUE(
                _xlfn._xlws.FILTER(EDU_DOCENTE[NOMBRE_DOCENTE],
                    ISNUMBER(MATCH(EDU_DOCENTE[MAESTRIA],
                    BQ124:DY124,0))
                )
            )
        ),
        ""
    ),
    TRANSPOSE(
        _xlfn.UNIQUE(EDU_DOCENTE[NOMBRE_DOCENTE]
        )
    )
)</f>
        <v>ALCIVAR CEDEÑO BEATRIZ ISABEL</v>
      </c>
      <c r="EB124" t="str">
        <v>ALCIVAR VERA GEMA MICHELLE</v>
      </c>
      <c r="EC124" t="str">
        <v>ARAUZ CHAVEZ MARIO ROBERTO</v>
      </c>
      <c r="ED124" t="str">
        <v>BAILON LOURIDO WALTER ALBERTO</v>
      </c>
      <c r="EE124" t="str">
        <v>CALDERERO VILLAGOMEZ ERICK ANTONIO</v>
      </c>
      <c r="EF124" t="str">
        <v>CASTILLO GARCIA PAOLA GERMANIA</v>
      </c>
      <c r="EG124" t="str">
        <v>CEDEÑO CHOEZ PEDRO JAVIER</v>
      </c>
      <c r="EH124" t="str">
        <v>CEVALLOS HOPPE JUAN CARLOS</v>
      </c>
      <c r="EI124" t="str">
        <v>DELGADO CHAVEZ MARIA IRASEMA</v>
      </c>
      <c r="EJ124" t="str">
        <v>DUARTE VALENCIA CRISTHIAN DARIO</v>
      </c>
      <c r="EK124" t="str">
        <v>FORTTY BARBERAN DENNY ALEXANDER</v>
      </c>
      <c r="EL124" t="str">
        <v>GUTIERREZ ZAMBRANO CARMEN EBELINA</v>
      </c>
      <c r="EM124" t="str">
        <v>INTRIAGO MOLINA GEMA VALERIA</v>
      </c>
      <c r="EN124" t="str">
        <v>LINO VELEZ LEONEL LIVINGTON</v>
      </c>
      <c r="EO124" t="str">
        <v>LOOR ALCIVAR MARIA ILIANA</v>
      </c>
      <c r="EP124" t="str">
        <v>LOOR MIELES TANIA JACQUELINE</v>
      </c>
      <c r="EQ124" t="str">
        <v>LOOR SOLORZANO ROSA MARIA</v>
      </c>
      <c r="ER124" t="str">
        <v>LOPEZ DELGADO RONALD MAURICIO</v>
      </c>
      <c r="ES124" t="str">
        <v>MACIAS VALENCIA DAVID GABRIEL</v>
      </c>
      <c r="ET124" t="str">
        <v>MENDOZA ZAMORA WALTER MANUEL</v>
      </c>
      <c r="EU124" t="str">
        <v>MOLINA CEVALLOS MARIA LORENA</v>
      </c>
      <c r="EV124" t="str">
        <v>MURILLO DELGADO ISAAC GABRIEL</v>
      </c>
      <c r="EW124" t="str">
        <v>ANGULO MURILLO NAVIRA GISSELA</v>
      </c>
      <c r="EX124" t="str">
        <v>OCHOA SOLEDISPA NESTOR IVAN</v>
      </c>
      <c r="EY124" t="str">
        <v>PARRAGA FRANCO SILVANA MARIELA</v>
      </c>
      <c r="EZ124" t="str">
        <v>PINARGOTE VASQUEZ NANCY FABIOLA</v>
      </c>
      <c r="FA124" t="str">
        <v>REYES VELEZ PEDRO ENRIQUE</v>
      </c>
      <c r="FB124" t="str">
        <v>SAN ANDRES HORMAZA DALLAS CECILIA</v>
      </c>
      <c r="FC124" t="str">
        <v>SORNOZA ZAMORA JUAN CARLOS</v>
      </c>
      <c r="FD124" t="str">
        <v>TOMALA PINTO JESUS JACINTO</v>
      </c>
      <c r="FE124" t="str">
        <v>VALLE JARAMILLO SILVIA ARACELY</v>
      </c>
      <c r="FF124" t="str">
        <v>VELÁSQUEZ BRAVO IRMA KATHERINE</v>
      </c>
      <c r="FG124" t="str">
        <v>VELEZ MENDOZA LAYSY VALERIA</v>
      </c>
      <c r="FH124" t="str">
        <v>VINUEZA TELLO SHIRLEY ELIZABETH</v>
      </c>
      <c r="FI124" t="str">
        <v>ZAMBRANO ALCIVAR NILDA ISABEL</v>
      </c>
      <c r="FJ124" t="str">
        <v>ZAMBRANO LOOR RITA MAYDA</v>
      </c>
      <c r="FK124" t="str">
        <v>ZAMBRANO VERA MONICA JANETH</v>
      </c>
      <c r="FL124" t="str">
        <v>VERA DELGADO BRYAN ADRIÁN</v>
      </c>
      <c r="FM124" t="str">
        <v>MORAN GONZALES DAVID RENATO</v>
      </c>
      <c r="FN124">
        <v>0</v>
      </c>
    </row>
    <row r="125" spans="1:170" ht="20.25" customHeight="1">
      <c r="A125" s="4" t="str" cm="1">
        <f t="array" ref="A125">TRANSPOSE(_xlfn.UNIQUE(_xlfn._xlws.FILTER(MAE_ASIGNATURA[ID_NIVEL],MAE_ASIGNATURA[ID_CARRERA]=ASIGNACION!$C125,"No existe información")))</f>
        <v>No existe información</v>
      </c>
      <c r="S125" s="4" t="str" cm="1">
        <f t="array" ref="S125">TRANSPOSE(_xlfn.UNIQUE(_xlfn._xlws.FILTER(MAE_ASIGNATURA[NOM_ASIG],(MAE_ASIGNATURA[ID_NIVEL]=ASIGNACION!$D125)*(MAE_ASIGNATURA[ID_CARRERA]=ASIGNACION!$C125),"No existe información")))</f>
        <v>No existe información</v>
      </c>
      <c r="BD125" s="4" t="str" cm="1">
        <f t="array" ref="BD125">TRANSPOSE(_xlfn.UNIQUE(_xlfn._xlws.FILTER(DET_ASIG[DETALLADO],(DET_ASIG[ID_CARRERA]=ASIGNACION!$C125)*(DET_ASIG[NIVEL]=ASIGNACION!$D125)*(DET_ASIG[ID_ASIG]=ASIGNACION!$G125),"No existe información")))</f>
        <v>No existe información</v>
      </c>
      <c r="BQ125" s="5" t="str" cm="1">
        <f t="array" ref="BQ125">IFERROR(
    TRANSPOSE(
        _xlfn.UNIQUE(
            _xlfn._xlws.FILTER(MAESTRIA_DETALLADO[MAESTRIA],
                ISNUMBER(MATCH(MAESTRIA_DETALLADO[CAMPO_DETALLADO],
                BD125:BP125,0))
            )
        )
    ),IF(BD125="ACTIVIDAD","DOCENCIA",""))</f>
        <v/>
      </c>
      <c r="EA125" s="5" t="str" cm="1">
        <f t="array" ref="EA125:FN125">IF(
    ASIGNACION!I125="SI",
    IFERROR(
        TRANSPOSE(
            _xlfn.UNIQUE(
                _xlfn._xlws.FILTER(EDU_DOCENTE[NOMBRE_DOCENTE],
                    ISNUMBER(MATCH(EDU_DOCENTE[MAESTRIA],
                    BQ125:DY125,0))
                )
            )
        ),
        ""
    ),
    TRANSPOSE(
        _xlfn.UNIQUE(EDU_DOCENTE[NOMBRE_DOCENTE]
        )
    )
)</f>
        <v>ALCIVAR CEDEÑO BEATRIZ ISABEL</v>
      </c>
      <c r="EB125" t="str">
        <v>ALCIVAR VERA GEMA MICHELLE</v>
      </c>
      <c r="EC125" t="str">
        <v>ARAUZ CHAVEZ MARIO ROBERTO</v>
      </c>
      <c r="ED125" t="str">
        <v>BAILON LOURIDO WALTER ALBERTO</v>
      </c>
      <c r="EE125" t="str">
        <v>CALDERERO VILLAGOMEZ ERICK ANTONIO</v>
      </c>
      <c r="EF125" t="str">
        <v>CASTILLO GARCIA PAOLA GERMANIA</v>
      </c>
      <c r="EG125" t="str">
        <v>CEDEÑO CHOEZ PEDRO JAVIER</v>
      </c>
      <c r="EH125" t="str">
        <v>CEVALLOS HOPPE JUAN CARLOS</v>
      </c>
      <c r="EI125" t="str">
        <v>DELGADO CHAVEZ MARIA IRASEMA</v>
      </c>
      <c r="EJ125" t="str">
        <v>DUARTE VALENCIA CRISTHIAN DARIO</v>
      </c>
      <c r="EK125" t="str">
        <v>FORTTY BARBERAN DENNY ALEXANDER</v>
      </c>
      <c r="EL125" t="str">
        <v>GUTIERREZ ZAMBRANO CARMEN EBELINA</v>
      </c>
      <c r="EM125" t="str">
        <v>INTRIAGO MOLINA GEMA VALERIA</v>
      </c>
      <c r="EN125" t="str">
        <v>LINO VELEZ LEONEL LIVINGTON</v>
      </c>
      <c r="EO125" t="str">
        <v>LOOR ALCIVAR MARIA ILIANA</v>
      </c>
      <c r="EP125" t="str">
        <v>LOOR MIELES TANIA JACQUELINE</v>
      </c>
      <c r="EQ125" t="str">
        <v>LOOR SOLORZANO ROSA MARIA</v>
      </c>
      <c r="ER125" t="str">
        <v>LOPEZ DELGADO RONALD MAURICIO</v>
      </c>
      <c r="ES125" t="str">
        <v>MACIAS VALENCIA DAVID GABRIEL</v>
      </c>
      <c r="ET125" t="str">
        <v>MENDOZA ZAMORA WALTER MANUEL</v>
      </c>
      <c r="EU125" t="str">
        <v>MOLINA CEVALLOS MARIA LORENA</v>
      </c>
      <c r="EV125" t="str">
        <v>MURILLO DELGADO ISAAC GABRIEL</v>
      </c>
      <c r="EW125" t="str">
        <v>ANGULO MURILLO NAVIRA GISSELA</v>
      </c>
      <c r="EX125" t="str">
        <v>OCHOA SOLEDISPA NESTOR IVAN</v>
      </c>
      <c r="EY125" t="str">
        <v>PARRAGA FRANCO SILVANA MARIELA</v>
      </c>
      <c r="EZ125" t="str">
        <v>PINARGOTE VASQUEZ NANCY FABIOLA</v>
      </c>
      <c r="FA125" t="str">
        <v>REYES VELEZ PEDRO ENRIQUE</v>
      </c>
      <c r="FB125" t="str">
        <v>SAN ANDRES HORMAZA DALLAS CECILIA</v>
      </c>
      <c r="FC125" t="str">
        <v>SORNOZA ZAMORA JUAN CARLOS</v>
      </c>
      <c r="FD125" t="str">
        <v>TOMALA PINTO JESUS JACINTO</v>
      </c>
      <c r="FE125" t="str">
        <v>VALLE JARAMILLO SILVIA ARACELY</v>
      </c>
      <c r="FF125" t="str">
        <v>VELÁSQUEZ BRAVO IRMA KATHERINE</v>
      </c>
      <c r="FG125" t="str">
        <v>VELEZ MENDOZA LAYSY VALERIA</v>
      </c>
      <c r="FH125" t="str">
        <v>VINUEZA TELLO SHIRLEY ELIZABETH</v>
      </c>
      <c r="FI125" t="str">
        <v>ZAMBRANO ALCIVAR NILDA ISABEL</v>
      </c>
      <c r="FJ125" t="str">
        <v>ZAMBRANO LOOR RITA MAYDA</v>
      </c>
      <c r="FK125" t="str">
        <v>ZAMBRANO VERA MONICA JANETH</v>
      </c>
      <c r="FL125" t="str">
        <v>VERA DELGADO BRYAN ADRIÁN</v>
      </c>
      <c r="FM125" t="str">
        <v>MORAN GONZALES DAVID RENATO</v>
      </c>
      <c r="FN125">
        <v>0</v>
      </c>
    </row>
    <row r="126" spans="1:170" ht="20.25" customHeight="1">
      <c r="A126" s="4" t="str" cm="1">
        <f t="array" ref="A126">TRANSPOSE(_xlfn.UNIQUE(_xlfn._xlws.FILTER(MAE_ASIGNATURA[ID_NIVEL],MAE_ASIGNATURA[ID_CARRERA]=ASIGNACION!$C126,"No existe información")))</f>
        <v>No existe información</v>
      </c>
      <c r="S126" s="4" t="str" cm="1">
        <f t="array" ref="S126">TRANSPOSE(_xlfn.UNIQUE(_xlfn._xlws.FILTER(MAE_ASIGNATURA[NOM_ASIG],(MAE_ASIGNATURA[ID_NIVEL]=ASIGNACION!$D126)*(MAE_ASIGNATURA[ID_CARRERA]=ASIGNACION!$C126),"No existe información")))</f>
        <v>No existe información</v>
      </c>
      <c r="BD126" s="4" t="str" cm="1">
        <f t="array" ref="BD126">TRANSPOSE(_xlfn.UNIQUE(_xlfn._xlws.FILTER(DET_ASIG[DETALLADO],(DET_ASIG[ID_CARRERA]=ASIGNACION!$C126)*(DET_ASIG[NIVEL]=ASIGNACION!$D126)*(DET_ASIG[ID_ASIG]=ASIGNACION!$G126),"No existe información")))</f>
        <v>No existe información</v>
      </c>
      <c r="BQ126" s="5" t="str" cm="1">
        <f t="array" ref="BQ126">IFERROR(
    TRANSPOSE(
        _xlfn.UNIQUE(
            _xlfn._xlws.FILTER(MAESTRIA_DETALLADO[MAESTRIA],
                ISNUMBER(MATCH(MAESTRIA_DETALLADO[CAMPO_DETALLADO],
                BD126:BP126,0))
            )
        )
    ),IF(BD126="ACTIVIDAD","DOCENCIA",""))</f>
        <v/>
      </c>
      <c r="EA126" s="5" t="str" cm="1">
        <f t="array" ref="EA126:FN126">IF(
    ASIGNACION!I126="SI",
    IFERROR(
        TRANSPOSE(
            _xlfn.UNIQUE(
                _xlfn._xlws.FILTER(EDU_DOCENTE[NOMBRE_DOCENTE],
                    ISNUMBER(MATCH(EDU_DOCENTE[MAESTRIA],
                    BQ126:DY126,0))
                )
            )
        ),
        ""
    ),
    TRANSPOSE(
        _xlfn.UNIQUE(EDU_DOCENTE[NOMBRE_DOCENTE]
        )
    )
)</f>
        <v>ALCIVAR CEDEÑO BEATRIZ ISABEL</v>
      </c>
      <c r="EB126" t="str">
        <v>ALCIVAR VERA GEMA MICHELLE</v>
      </c>
      <c r="EC126" t="str">
        <v>ARAUZ CHAVEZ MARIO ROBERTO</v>
      </c>
      <c r="ED126" t="str">
        <v>BAILON LOURIDO WALTER ALBERTO</v>
      </c>
      <c r="EE126" t="str">
        <v>CALDERERO VILLAGOMEZ ERICK ANTONIO</v>
      </c>
      <c r="EF126" t="str">
        <v>CASTILLO GARCIA PAOLA GERMANIA</v>
      </c>
      <c r="EG126" t="str">
        <v>CEDEÑO CHOEZ PEDRO JAVIER</v>
      </c>
      <c r="EH126" t="str">
        <v>CEVALLOS HOPPE JUAN CARLOS</v>
      </c>
      <c r="EI126" t="str">
        <v>DELGADO CHAVEZ MARIA IRASEMA</v>
      </c>
      <c r="EJ126" t="str">
        <v>DUARTE VALENCIA CRISTHIAN DARIO</v>
      </c>
      <c r="EK126" t="str">
        <v>FORTTY BARBERAN DENNY ALEXANDER</v>
      </c>
      <c r="EL126" t="str">
        <v>GUTIERREZ ZAMBRANO CARMEN EBELINA</v>
      </c>
      <c r="EM126" t="str">
        <v>INTRIAGO MOLINA GEMA VALERIA</v>
      </c>
      <c r="EN126" t="str">
        <v>LINO VELEZ LEONEL LIVINGTON</v>
      </c>
      <c r="EO126" t="str">
        <v>LOOR ALCIVAR MARIA ILIANA</v>
      </c>
      <c r="EP126" t="str">
        <v>LOOR MIELES TANIA JACQUELINE</v>
      </c>
      <c r="EQ126" t="str">
        <v>LOOR SOLORZANO ROSA MARIA</v>
      </c>
      <c r="ER126" t="str">
        <v>LOPEZ DELGADO RONALD MAURICIO</v>
      </c>
      <c r="ES126" t="str">
        <v>MACIAS VALENCIA DAVID GABRIEL</v>
      </c>
      <c r="ET126" t="str">
        <v>MENDOZA ZAMORA WALTER MANUEL</v>
      </c>
      <c r="EU126" t="str">
        <v>MOLINA CEVALLOS MARIA LORENA</v>
      </c>
      <c r="EV126" t="str">
        <v>MURILLO DELGADO ISAAC GABRIEL</v>
      </c>
      <c r="EW126" t="str">
        <v>ANGULO MURILLO NAVIRA GISSELA</v>
      </c>
      <c r="EX126" t="str">
        <v>OCHOA SOLEDISPA NESTOR IVAN</v>
      </c>
      <c r="EY126" t="str">
        <v>PARRAGA FRANCO SILVANA MARIELA</v>
      </c>
      <c r="EZ126" t="str">
        <v>PINARGOTE VASQUEZ NANCY FABIOLA</v>
      </c>
      <c r="FA126" t="str">
        <v>REYES VELEZ PEDRO ENRIQUE</v>
      </c>
      <c r="FB126" t="str">
        <v>SAN ANDRES HORMAZA DALLAS CECILIA</v>
      </c>
      <c r="FC126" t="str">
        <v>SORNOZA ZAMORA JUAN CARLOS</v>
      </c>
      <c r="FD126" t="str">
        <v>TOMALA PINTO JESUS JACINTO</v>
      </c>
      <c r="FE126" t="str">
        <v>VALLE JARAMILLO SILVIA ARACELY</v>
      </c>
      <c r="FF126" t="str">
        <v>VELÁSQUEZ BRAVO IRMA KATHERINE</v>
      </c>
      <c r="FG126" t="str">
        <v>VELEZ MENDOZA LAYSY VALERIA</v>
      </c>
      <c r="FH126" t="str">
        <v>VINUEZA TELLO SHIRLEY ELIZABETH</v>
      </c>
      <c r="FI126" t="str">
        <v>ZAMBRANO ALCIVAR NILDA ISABEL</v>
      </c>
      <c r="FJ126" t="str">
        <v>ZAMBRANO LOOR RITA MAYDA</v>
      </c>
      <c r="FK126" t="str">
        <v>ZAMBRANO VERA MONICA JANETH</v>
      </c>
      <c r="FL126" t="str">
        <v>VERA DELGADO BRYAN ADRIÁN</v>
      </c>
      <c r="FM126" t="str">
        <v>MORAN GONZALES DAVID RENATO</v>
      </c>
      <c r="FN126">
        <v>0</v>
      </c>
    </row>
    <row r="127" spans="1:170" ht="20.25" customHeight="1">
      <c r="A127" s="4" t="str" cm="1">
        <f t="array" ref="A127">TRANSPOSE(_xlfn.UNIQUE(_xlfn._xlws.FILTER(MAE_ASIGNATURA[ID_NIVEL],MAE_ASIGNATURA[ID_CARRERA]=ASIGNACION!$C127,"No existe información")))</f>
        <v>No existe información</v>
      </c>
      <c r="S127" s="4" t="str" cm="1">
        <f t="array" ref="S127">TRANSPOSE(_xlfn.UNIQUE(_xlfn._xlws.FILTER(MAE_ASIGNATURA[NOM_ASIG],(MAE_ASIGNATURA[ID_NIVEL]=ASIGNACION!$D127)*(MAE_ASIGNATURA[ID_CARRERA]=ASIGNACION!$C127),"No existe información")))</f>
        <v>No existe información</v>
      </c>
      <c r="BD127" s="4" t="str" cm="1">
        <f t="array" ref="BD127">TRANSPOSE(_xlfn.UNIQUE(_xlfn._xlws.FILTER(DET_ASIG[DETALLADO],(DET_ASIG[ID_CARRERA]=ASIGNACION!$C127)*(DET_ASIG[NIVEL]=ASIGNACION!$D127)*(DET_ASIG[ID_ASIG]=ASIGNACION!$G127),"No existe información")))</f>
        <v>No existe información</v>
      </c>
      <c r="BQ127" s="5" t="str" cm="1">
        <f t="array" ref="BQ127">IFERROR(
    TRANSPOSE(
        _xlfn.UNIQUE(
            _xlfn._xlws.FILTER(MAESTRIA_DETALLADO[MAESTRIA],
                ISNUMBER(MATCH(MAESTRIA_DETALLADO[CAMPO_DETALLADO],
                BD127:BP127,0))
            )
        )
    ),IF(BD127="ACTIVIDAD","DOCENCIA",""))</f>
        <v/>
      </c>
      <c r="EA127" s="5" t="str" cm="1">
        <f t="array" ref="EA127:FN127">IF(
    ASIGNACION!I127="SI",
    IFERROR(
        TRANSPOSE(
            _xlfn.UNIQUE(
                _xlfn._xlws.FILTER(EDU_DOCENTE[NOMBRE_DOCENTE],
                    ISNUMBER(MATCH(EDU_DOCENTE[MAESTRIA],
                    BQ127:DY127,0))
                )
            )
        ),
        ""
    ),
    TRANSPOSE(
        _xlfn.UNIQUE(EDU_DOCENTE[NOMBRE_DOCENTE]
        )
    )
)</f>
        <v>ALCIVAR CEDEÑO BEATRIZ ISABEL</v>
      </c>
      <c r="EB127" t="str">
        <v>ALCIVAR VERA GEMA MICHELLE</v>
      </c>
      <c r="EC127" t="str">
        <v>ARAUZ CHAVEZ MARIO ROBERTO</v>
      </c>
      <c r="ED127" t="str">
        <v>BAILON LOURIDO WALTER ALBERTO</v>
      </c>
      <c r="EE127" t="str">
        <v>CALDERERO VILLAGOMEZ ERICK ANTONIO</v>
      </c>
      <c r="EF127" t="str">
        <v>CASTILLO GARCIA PAOLA GERMANIA</v>
      </c>
      <c r="EG127" t="str">
        <v>CEDEÑO CHOEZ PEDRO JAVIER</v>
      </c>
      <c r="EH127" t="str">
        <v>CEVALLOS HOPPE JUAN CARLOS</v>
      </c>
      <c r="EI127" t="str">
        <v>DELGADO CHAVEZ MARIA IRASEMA</v>
      </c>
      <c r="EJ127" t="str">
        <v>DUARTE VALENCIA CRISTHIAN DARIO</v>
      </c>
      <c r="EK127" t="str">
        <v>FORTTY BARBERAN DENNY ALEXANDER</v>
      </c>
      <c r="EL127" t="str">
        <v>GUTIERREZ ZAMBRANO CARMEN EBELINA</v>
      </c>
      <c r="EM127" t="str">
        <v>INTRIAGO MOLINA GEMA VALERIA</v>
      </c>
      <c r="EN127" t="str">
        <v>LINO VELEZ LEONEL LIVINGTON</v>
      </c>
      <c r="EO127" t="str">
        <v>LOOR ALCIVAR MARIA ILIANA</v>
      </c>
      <c r="EP127" t="str">
        <v>LOOR MIELES TANIA JACQUELINE</v>
      </c>
      <c r="EQ127" t="str">
        <v>LOOR SOLORZANO ROSA MARIA</v>
      </c>
      <c r="ER127" t="str">
        <v>LOPEZ DELGADO RONALD MAURICIO</v>
      </c>
      <c r="ES127" t="str">
        <v>MACIAS VALENCIA DAVID GABRIEL</v>
      </c>
      <c r="ET127" t="str">
        <v>MENDOZA ZAMORA WALTER MANUEL</v>
      </c>
      <c r="EU127" t="str">
        <v>MOLINA CEVALLOS MARIA LORENA</v>
      </c>
      <c r="EV127" t="str">
        <v>MURILLO DELGADO ISAAC GABRIEL</v>
      </c>
      <c r="EW127" t="str">
        <v>ANGULO MURILLO NAVIRA GISSELA</v>
      </c>
      <c r="EX127" t="str">
        <v>OCHOA SOLEDISPA NESTOR IVAN</v>
      </c>
      <c r="EY127" t="str">
        <v>PARRAGA FRANCO SILVANA MARIELA</v>
      </c>
      <c r="EZ127" t="str">
        <v>PINARGOTE VASQUEZ NANCY FABIOLA</v>
      </c>
      <c r="FA127" t="str">
        <v>REYES VELEZ PEDRO ENRIQUE</v>
      </c>
      <c r="FB127" t="str">
        <v>SAN ANDRES HORMAZA DALLAS CECILIA</v>
      </c>
      <c r="FC127" t="str">
        <v>SORNOZA ZAMORA JUAN CARLOS</v>
      </c>
      <c r="FD127" t="str">
        <v>TOMALA PINTO JESUS JACINTO</v>
      </c>
      <c r="FE127" t="str">
        <v>VALLE JARAMILLO SILVIA ARACELY</v>
      </c>
      <c r="FF127" t="str">
        <v>VELÁSQUEZ BRAVO IRMA KATHERINE</v>
      </c>
      <c r="FG127" t="str">
        <v>VELEZ MENDOZA LAYSY VALERIA</v>
      </c>
      <c r="FH127" t="str">
        <v>VINUEZA TELLO SHIRLEY ELIZABETH</v>
      </c>
      <c r="FI127" t="str">
        <v>ZAMBRANO ALCIVAR NILDA ISABEL</v>
      </c>
      <c r="FJ127" t="str">
        <v>ZAMBRANO LOOR RITA MAYDA</v>
      </c>
      <c r="FK127" t="str">
        <v>ZAMBRANO VERA MONICA JANETH</v>
      </c>
      <c r="FL127" t="str">
        <v>VERA DELGADO BRYAN ADRIÁN</v>
      </c>
      <c r="FM127" t="str">
        <v>MORAN GONZALES DAVID RENATO</v>
      </c>
      <c r="FN127">
        <v>0</v>
      </c>
    </row>
    <row r="128" spans="1:170" ht="20.25" customHeight="1">
      <c r="A128" s="4" t="str" cm="1">
        <f t="array" ref="A128">TRANSPOSE(_xlfn.UNIQUE(_xlfn._xlws.FILTER(MAE_ASIGNATURA[ID_NIVEL],MAE_ASIGNATURA[ID_CARRERA]=ASIGNACION!$C128,"No existe información")))</f>
        <v>No existe información</v>
      </c>
      <c r="S128" s="4" t="str" cm="1">
        <f t="array" ref="S128">TRANSPOSE(_xlfn.UNIQUE(_xlfn._xlws.FILTER(MAE_ASIGNATURA[NOM_ASIG],(MAE_ASIGNATURA[ID_NIVEL]=ASIGNACION!$D128)*(MAE_ASIGNATURA[ID_CARRERA]=ASIGNACION!$C128),"No existe información")))</f>
        <v>No existe información</v>
      </c>
      <c r="BD128" s="4" t="str" cm="1">
        <f t="array" ref="BD128">TRANSPOSE(_xlfn.UNIQUE(_xlfn._xlws.FILTER(DET_ASIG[DETALLADO],(DET_ASIG[ID_CARRERA]=ASIGNACION!$C128)*(DET_ASIG[NIVEL]=ASIGNACION!$D128)*(DET_ASIG[ID_ASIG]=ASIGNACION!$G128),"No existe información")))</f>
        <v>No existe información</v>
      </c>
      <c r="BQ128" s="5" t="str" cm="1">
        <f t="array" ref="BQ128">IFERROR(
    TRANSPOSE(
        _xlfn.UNIQUE(
            _xlfn._xlws.FILTER(MAESTRIA_DETALLADO[MAESTRIA],
                ISNUMBER(MATCH(MAESTRIA_DETALLADO[CAMPO_DETALLADO],
                BD128:BP128,0))
            )
        )
    ),IF(BD128="ACTIVIDAD","DOCENCIA",""))</f>
        <v/>
      </c>
      <c r="EA128" s="5" t="str" cm="1">
        <f t="array" ref="EA128:FN128">IF(
    ASIGNACION!I128="SI",
    IFERROR(
        TRANSPOSE(
            _xlfn.UNIQUE(
                _xlfn._xlws.FILTER(EDU_DOCENTE[NOMBRE_DOCENTE],
                    ISNUMBER(MATCH(EDU_DOCENTE[MAESTRIA],
                    BQ128:DY128,0))
                )
            )
        ),
        ""
    ),
    TRANSPOSE(
        _xlfn.UNIQUE(EDU_DOCENTE[NOMBRE_DOCENTE]
        )
    )
)</f>
        <v>ALCIVAR CEDEÑO BEATRIZ ISABEL</v>
      </c>
      <c r="EB128" t="str">
        <v>ALCIVAR VERA GEMA MICHELLE</v>
      </c>
      <c r="EC128" t="str">
        <v>ARAUZ CHAVEZ MARIO ROBERTO</v>
      </c>
      <c r="ED128" t="str">
        <v>BAILON LOURIDO WALTER ALBERTO</v>
      </c>
      <c r="EE128" t="str">
        <v>CALDERERO VILLAGOMEZ ERICK ANTONIO</v>
      </c>
      <c r="EF128" t="str">
        <v>CASTILLO GARCIA PAOLA GERMANIA</v>
      </c>
      <c r="EG128" t="str">
        <v>CEDEÑO CHOEZ PEDRO JAVIER</v>
      </c>
      <c r="EH128" t="str">
        <v>CEVALLOS HOPPE JUAN CARLOS</v>
      </c>
      <c r="EI128" t="str">
        <v>DELGADO CHAVEZ MARIA IRASEMA</v>
      </c>
      <c r="EJ128" t="str">
        <v>DUARTE VALENCIA CRISTHIAN DARIO</v>
      </c>
      <c r="EK128" t="str">
        <v>FORTTY BARBERAN DENNY ALEXANDER</v>
      </c>
      <c r="EL128" t="str">
        <v>GUTIERREZ ZAMBRANO CARMEN EBELINA</v>
      </c>
      <c r="EM128" t="str">
        <v>INTRIAGO MOLINA GEMA VALERIA</v>
      </c>
      <c r="EN128" t="str">
        <v>LINO VELEZ LEONEL LIVINGTON</v>
      </c>
      <c r="EO128" t="str">
        <v>LOOR ALCIVAR MARIA ILIANA</v>
      </c>
      <c r="EP128" t="str">
        <v>LOOR MIELES TANIA JACQUELINE</v>
      </c>
      <c r="EQ128" t="str">
        <v>LOOR SOLORZANO ROSA MARIA</v>
      </c>
      <c r="ER128" t="str">
        <v>LOPEZ DELGADO RONALD MAURICIO</v>
      </c>
      <c r="ES128" t="str">
        <v>MACIAS VALENCIA DAVID GABRIEL</v>
      </c>
      <c r="ET128" t="str">
        <v>MENDOZA ZAMORA WALTER MANUEL</v>
      </c>
      <c r="EU128" t="str">
        <v>MOLINA CEVALLOS MARIA LORENA</v>
      </c>
      <c r="EV128" t="str">
        <v>MURILLO DELGADO ISAAC GABRIEL</v>
      </c>
      <c r="EW128" t="str">
        <v>ANGULO MURILLO NAVIRA GISSELA</v>
      </c>
      <c r="EX128" t="str">
        <v>OCHOA SOLEDISPA NESTOR IVAN</v>
      </c>
      <c r="EY128" t="str">
        <v>PARRAGA FRANCO SILVANA MARIELA</v>
      </c>
      <c r="EZ128" t="str">
        <v>PINARGOTE VASQUEZ NANCY FABIOLA</v>
      </c>
      <c r="FA128" t="str">
        <v>REYES VELEZ PEDRO ENRIQUE</v>
      </c>
      <c r="FB128" t="str">
        <v>SAN ANDRES HORMAZA DALLAS CECILIA</v>
      </c>
      <c r="FC128" t="str">
        <v>SORNOZA ZAMORA JUAN CARLOS</v>
      </c>
      <c r="FD128" t="str">
        <v>TOMALA PINTO JESUS JACINTO</v>
      </c>
      <c r="FE128" t="str">
        <v>VALLE JARAMILLO SILVIA ARACELY</v>
      </c>
      <c r="FF128" t="str">
        <v>VELÁSQUEZ BRAVO IRMA KATHERINE</v>
      </c>
      <c r="FG128" t="str">
        <v>VELEZ MENDOZA LAYSY VALERIA</v>
      </c>
      <c r="FH128" t="str">
        <v>VINUEZA TELLO SHIRLEY ELIZABETH</v>
      </c>
      <c r="FI128" t="str">
        <v>ZAMBRANO ALCIVAR NILDA ISABEL</v>
      </c>
      <c r="FJ128" t="str">
        <v>ZAMBRANO LOOR RITA MAYDA</v>
      </c>
      <c r="FK128" t="str">
        <v>ZAMBRANO VERA MONICA JANETH</v>
      </c>
      <c r="FL128" t="str">
        <v>VERA DELGADO BRYAN ADRIÁN</v>
      </c>
      <c r="FM128" t="str">
        <v>MORAN GONZALES DAVID RENATO</v>
      </c>
      <c r="FN128">
        <v>0</v>
      </c>
    </row>
    <row r="129" spans="1:170" ht="20.25" customHeight="1">
      <c r="A129" s="4" t="str" cm="1">
        <f t="array" ref="A129">TRANSPOSE(_xlfn.UNIQUE(_xlfn._xlws.FILTER(MAE_ASIGNATURA[ID_NIVEL],MAE_ASIGNATURA[ID_CARRERA]=ASIGNACION!$C129,"No existe información")))</f>
        <v>No existe información</v>
      </c>
      <c r="S129" s="4" t="str" cm="1">
        <f t="array" ref="S129">TRANSPOSE(_xlfn.UNIQUE(_xlfn._xlws.FILTER(MAE_ASIGNATURA[NOM_ASIG],(MAE_ASIGNATURA[ID_NIVEL]=ASIGNACION!$D129)*(MAE_ASIGNATURA[ID_CARRERA]=ASIGNACION!$C129),"No existe información")))</f>
        <v>No existe información</v>
      </c>
      <c r="BD129" s="4" t="str" cm="1">
        <f t="array" ref="BD129">TRANSPOSE(_xlfn.UNIQUE(_xlfn._xlws.FILTER(DET_ASIG[DETALLADO],(DET_ASIG[ID_CARRERA]=ASIGNACION!$C129)*(DET_ASIG[NIVEL]=ASIGNACION!$D129)*(DET_ASIG[ID_ASIG]=ASIGNACION!$G129),"No existe información")))</f>
        <v>No existe información</v>
      </c>
      <c r="BQ129" s="5" t="str" cm="1">
        <f t="array" ref="BQ129">IFERROR(
    TRANSPOSE(
        _xlfn.UNIQUE(
            _xlfn._xlws.FILTER(MAESTRIA_DETALLADO[MAESTRIA],
                ISNUMBER(MATCH(MAESTRIA_DETALLADO[CAMPO_DETALLADO],
                BD129:BP129,0))
            )
        )
    ),IF(BD129="ACTIVIDAD","DOCENCIA",""))</f>
        <v/>
      </c>
      <c r="EA129" s="5" t="str" cm="1">
        <f t="array" ref="EA129:FN129">IF(
    ASIGNACION!I129="SI",
    IFERROR(
        TRANSPOSE(
            _xlfn.UNIQUE(
                _xlfn._xlws.FILTER(EDU_DOCENTE[NOMBRE_DOCENTE],
                    ISNUMBER(MATCH(EDU_DOCENTE[MAESTRIA],
                    BQ129:DY129,0))
                )
            )
        ),
        ""
    ),
    TRANSPOSE(
        _xlfn.UNIQUE(EDU_DOCENTE[NOMBRE_DOCENTE]
        )
    )
)</f>
        <v>ALCIVAR CEDEÑO BEATRIZ ISABEL</v>
      </c>
      <c r="EB129" t="str">
        <v>ALCIVAR VERA GEMA MICHELLE</v>
      </c>
      <c r="EC129" t="str">
        <v>ARAUZ CHAVEZ MARIO ROBERTO</v>
      </c>
      <c r="ED129" t="str">
        <v>BAILON LOURIDO WALTER ALBERTO</v>
      </c>
      <c r="EE129" t="str">
        <v>CALDERERO VILLAGOMEZ ERICK ANTONIO</v>
      </c>
      <c r="EF129" t="str">
        <v>CASTILLO GARCIA PAOLA GERMANIA</v>
      </c>
      <c r="EG129" t="str">
        <v>CEDEÑO CHOEZ PEDRO JAVIER</v>
      </c>
      <c r="EH129" t="str">
        <v>CEVALLOS HOPPE JUAN CARLOS</v>
      </c>
      <c r="EI129" t="str">
        <v>DELGADO CHAVEZ MARIA IRASEMA</v>
      </c>
      <c r="EJ129" t="str">
        <v>DUARTE VALENCIA CRISTHIAN DARIO</v>
      </c>
      <c r="EK129" t="str">
        <v>FORTTY BARBERAN DENNY ALEXANDER</v>
      </c>
      <c r="EL129" t="str">
        <v>GUTIERREZ ZAMBRANO CARMEN EBELINA</v>
      </c>
      <c r="EM129" t="str">
        <v>INTRIAGO MOLINA GEMA VALERIA</v>
      </c>
      <c r="EN129" t="str">
        <v>LINO VELEZ LEONEL LIVINGTON</v>
      </c>
      <c r="EO129" t="str">
        <v>LOOR ALCIVAR MARIA ILIANA</v>
      </c>
      <c r="EP129" t="str">
        <v>LOOR MIELES TANIA JACQUELINE</v>
      </c>
      <c r="EQ129" t="str">
        <v>LOOR SOLORZANO ROSA MARIA</v>
      </c>
      <c r="ER129" t="str">
        <v>LOPEZ DELGADO RONALD MAURICIO</v>
      </c>
      <c r="ES129" t="str">
        <v>MACIAS VALENCIA DAVID GABRIEL</v>
      </c>
      <c r="ET129" t="str">
        <v>MENDOZA ZAMORA WALTER MANUEL</v>
      </c>
      <c r="EU129" t="str">
        <v>MOLINA CEVALLOS MARIA LORENA</v>
      </c>
      <c r="EV129" t="str">
        <v>MURILLO DELGADO ISAAC GABRIEL</v>
      </c>
      <c r="EW129" t="str">
        <v>ANGULO MURILLO NAVIRA GISSELA</v>
      </c>
      <c r="EX129" t="str">
        <v>OCHOA SOLEDISPA NESTOR IVAN</v>
      </c>
      <c r="EY129" t="str">
        <v>PARRAGA FRANCO SILVANA MARIELA</v>
      </c>
      <c r="EZ129" t="str">
        <v>PINARGOTE VASQUEZ NANCY FABIOLA</v>
      </c>
      <c r="FA129" t="str">
        <v>REYES VELEZ PEDRO ENRIQUE</v>
      </c>
      <c r="FB129" t="str">
        <v>SAN ANDRES HORMAZA DALLAS CECILIA</v>
      </c>
      <c r="FC129" t="str">
        <v>SORNOZA ZAMORA JUAN CARLOS</v>
      </c>
      <c r="FD129" t="str">
        <v>TOMALA PINTO JESUS JACINTO</v>
      </c>
      <c r="FE129" t="str">
        <v>VALLE JARAMILLO SILVIA ARACELY</v>
      </c>
      <c r="FF129" t="str">
        <v>VELÁSQUEZ BRAVO IRMA KATHERINE</v>
      </c>
      <c r="FG129" t="str">
        <v>VELEZ MENDOZA LAYSY VALERIA</v>
      </c>
      <c r="FH129" t="str">
        <v>VINUEZA TELLO SHIRLEY ELIZABETH</v>
      </c>
      <c r="FI129" t="str">
        <v>ZAMBRANO ALCIVAR NILDA ISABEL</v>
      </c>
      <c r="FJ129" t="str">
        <v>ZAMBRANO LOOR RITA MAYDA</v>
      </c>
      <c r="FK129" t="str">
        <v>ZAMBRANO VERA MONICA JANETH</v>
      </c>
      <c r="FL129" t="str">
        <v>VERA DELGADO BRYAN ADRIÁN</v>
      </c>
      <c r="FM129" t="str">
        <v>MORAN GONZALES DAVID RENATO</v>
      </c>
      <c r="FN129">
        <v>0</v>
      </c>
    </row>
    <row r="130" spans="1:170" ht="20.25" customHeight="1">
      <c r="A130" s="4" t="str" cm="1">
        <f t="array" ref="A130">TRANSPOSE(_xlfn.UNIQUE(_xlfn._xlws.FILTER(MAE_ASIGNATURA[ID_NIVEL],MAE_ASIGNATURA[ID_CARRERA]=ASIGNACION!$C130,"No existe información")))</f>
        <v>No existe información</v>
      </c>
      <c r="S130" s="4" t="str" cm="1">
        <f t="array" ref="S130">TRANSPOSE(_xlfn.UNIQUE(_xlfn._xlws.FILTER(MAE_ASIGNATURA[NOM_ASIG],(MAE_ASIGNATURA[ID_NIVEL]=ASIGNACION!$D130)*(MAE_ASIGNATURA[ID_CARRERA]=ASIGNACION!$C130),"No existe información")))</f>
        <v>No existe información</v>
      </c>
      <c r="BD130" s="4" t="str" cm="1">
        <f t="array" ref="BD130">TRANSPOSE(_xlfn.UNIQUE(_xlfn._xlws.FILTER(DET_ASIG[DETALLADO],(DET_ASIG[ID_CARRERA]=ASIGNACION!$C130)*(DET_ASIG[NIVEL]=ASIGNACION!$D130)*(DET_ASIG[ID_ASIG]=ASIGNACION!$G130),"No existe información")))</f>
        <v>No existe información</v>
      </c>
      <c r="BQ130" s="5" t="str" cm="1">
        <f t="array" ref="BQ130">IFERROR(
    TRANSPOSE(
        _xlfn.UNIQUE(
            _xlfn._xlws.FILTER(MAESTRIA_DETALLADO[MAESTRIA],
                ISNUMBER(MATCH(MAESTRIA_DETALLADO[CAMPO_DETALLADO],
                BD130:BP130,0))
            )
        )
    ),IF(BD130="ACTIVIDAD","DOCENCIA",""))</f>
        <v/>
      </c>
      <c r="EA130" s="5" t="str" cm="1">
        <f t="array" ref="EA130:FN130">IF(
    ASIGNACION!I130="SI",
    IFERROR(
        TRANSPOSE(
            _xlfn.UNIQUE(
                _xlfn._xlws.FILTER(EDU_DOCENTE[NOMBRE_DOCENTE],
                    ISNUMBER(MATCH(EDU_DOCENTE[MAESTRIA],
                    BQ130:DY130,0))
                )
            )
        ),
        ""
    ),
    TRANSPOSE(
        _xlfn.UNIQUE(EDU_DOCENTE[NOMBRE_DOCENTE]
        )
    )
)</f>
        <v>ALCIVAR CEDEÑO BEATRIZ ISABEL</v>
      </c>
      <c r="EB130" t="str">
        <v>ALCIVAR VERA GEMA MICHELLE</v>
      </c>
      <c r="EC130" t="str">
        <v>ARAUZ CHAVEZ MARIO ROBERTO</v>
      </c>
      <c r="ED130" t="str">
        <v>BAILON LOURIDO WALTER ALBERTO</v>
      </c>
      <c r="EE130" t="str">
        <v>CALDERERO VILLAGOMEZ ERICK ANTONIO</v>
      </c>
      <c r="EF130" t="str">
        <v>CASTILLO GARCIA PAOLA GERMANIA</v>
      </c>
      <c r="EG130" t="str">
        <v>CEDEÑO CHOEZ PEDRO JAVIER</v>
      </c>
      <c r="EH130" t="str">
        <v>CEVALLOS HOPPE JUAN CARLOS</v>
      </c>
      <c r="EI130" t="str">
        <v>DELGADO CHAVEZ MARIA IRASEMA</v>
      </c>
      <c r="EJ130" t="str">
        <v>DUARTE VALENCIA CRISTHIAN DARIO</v>
      </c>
      <c r="EK130" t="str">
        <v>FORTTY BARBERAN DENNY ALEXANDER</v>
      </c>
      <c r="EL130" t="str">
        <v>GUTIERREZ ZAMBRANO CARMEN EBELINA</v>
      </c>
      <c r="EM130" t="str">
        <v>INTRIAGO MOLINA GEMA VALERIA</v>
      </c>
      <c r="EN130" t="str">
        <v>LINO VELEZ LEONEL LIVINGTON</v>
      </c>
      <c r="EO130" t="str">
        <v>LOOR ALCIVAR MARIA ILIANA</v>
      </c>
      <c r="EP130" t="str">
        <v>LOOR MIELES TANIA JACQUELINE</v>
      </c>
      <c r="EQ130" t="str">
        <v>LOOR SOLORZANO ROSA MARIA</v>
      </c>
      <c r="ER130" t="str">
        <v>LOPEZ DELGADO RONALD MAURICIO</v>
      </c>
      <c r="ES130" t="str">
        <v>MACIAS VALENCIA DAVID GABRIEL</v>
      </c>
      <c r="ET130" t="str">
        <v>MENDOZA ZAMORA WALTER MANUEL</v>
      </c>
      <c r="EU130" t="str">
        <v>MOLINA CEVALLOS MARIA LORENA</v>
      </c>
      <c r="EV130" t="str">
        <v>MURILLO DELGADO ISAAC GABRIEL</v>
      </c>
      <c r="EW130" t="str">
        <v>ANGULO MURILLO NAVIRA GISSELA</v>
      </c>
      <c r="EX130" t="str">
        <v>OCHOA SOLEDISPA NESTOR IVAN</v>
      </c>
      <c r="EY130" t="str">
        <v>PARRAGA FRANCO SILVANA MARIELA</v>
      </c>
      <c r="EZ130" t="str">
        <v>PINARGOTE VASQUEZ NANCY FABIOLA</v>
      </c>
      <c r="FA130" t="str">
        <v>REYES VELEZ PEDRO ENRIQUE</v>
      </c>
      <c r="FB130" t="str">
        <v>SAN ANDRES HORMAZA DALLAS CECILIA</v>
      </c>
      <c r="FC130" t="str">
        <v>SORNOZA ZAMORA JUAN CARLOS</v>
      </c>
      <c r="FD130" t="str">
        <v>TOMALA PINTO JESUS JACINTO</v>
      </c>
      <c r="FE130" t="str">
        <v>VALLE JARAMILLO SILVIA ARACELY</v>
      </c>
      <c r="FF130" t="str">
        <v>VELÁSQUEZ BRAVO IRMA KATHERINE</v>
      </c>
      <c r="FG130" t="str">
        <v>VELEZ MENDOZA LAYSY VALERIA</v>
      </c>
      <c r="FH130" t="str">
        <v>VINUEZA TELLO SHIRLEY ELIZABETH</v>
      </c>
      <c r="FI130" t="str">
        <v>ZAMBRANO ALCIVAR NILDA ISABEL</v>
      </c>
      <c r="FJ130" t="str">
        <v>ZAMBRANO LOOR RITA MAYDA</v>
      </c>
      <c r="FK130" t="str">
        <v>ZAMBRANO VERA MONICA JANETH</v>
      </c>
      <c r="FL130" t="str">
        <v>VERA DELGADO BRYAN ADRIÁN</v>
      </c>
      <c r="FM130" t="str">
        <v>MORAN GONZALES DAVID RENATO</v>
      </c>
      <c r="FN130">
        <v>0</v>
      </c>
    </row>
    <row r="131" spans="1:170" ht="20.25" customHeight="1">
      <c r="A131" s="4" t="str" cm="1">
        <f t="array" ref="A131">TRANSPOSE(_xlfn.UNIQUE(_xlfn._xlws.FILTER(MAE_ASIGNATURA[ID_NIVEL],MAE_ASIGNATURA[ID_CARRERA]=ASIGNACION!$C131,"No existe información")))</f>
        <v>No existe información</v>
      </c>
      <c r="S131" s="4" t="str" cm="1">
        <f t="array" ref="S131">TRANSPOSE(_xlfn.UNIQUE(_xlfn._xlws.FILTER(MAE_ASIGNATURA[NOM_ASIG],(MAE_ASIGNATURA[ID_NIVEL]=ASIGNACION!$D131)*(MAE_ASIGNATURA[ID_CARRERA]=ASIGNACION!$C131),"No existe información")))</f>
        <v>No existe información</v>
      </c>
      <c r="BD131" s="4" t="str" cm="1">
        <f t="array" ref="BD131">TRANSPOSE(_xlfn.UNIQUE(_xlfn._xlws.FILTER(DET_ASIG[DETALLADO],(DET_ASIG[ID_CARRERA]=ASIGNACION!$C131)*(DET_ASIG[NIVEL]=ASIGNACION!$D131)*(DET_ASIG[ID_ASIG]=ASIGNACION!$G131),"No existe información")))</f>
        <v>No existe información</v>
      </c>
      <c r="BQ131" s="5" t="str" cm="1">
        <f t="array" ref="BQ131">IFERROR(
    TRANSPOSE(
        _xlfn.UNIQUE(
            _xlfn._xlws.FILTER(MAESTRIA_DETALLADO[MAESTRIA],
                ISNUMBER(MATCH(MAESTRIA_DETALLADO[CAMPO_DETALLADO],
                BD131:BP131,0))
            )
        )
    ),IF(BD131="ACTIVIDAD","DOCENCIA",""))</f>
        <v/>
      </c>
      <c r="EA131" s="5" t="str" cm="1">
        <f t="array" ref="EA131:FN131">IF(
    ASIGNACION!I131="SI",
    IFERROR(
        TRANSPOSE(
            _xlfn.UNIQUE(
                _xlfn._xlws.FILTER(EDU_DOCENTE[NOMBRE_DOCENTE],
                    ISNUMBER(MATCH(EDU_DOCENTE[MAESTRIA],
                    BQ131:DY131,0))
                )
            )
        ),
        ""
    ),
    TRANSPOSE(
        _xlfn.UNIQUE(EDU_DOCENTE[NOMBRE_DOCENTE]
        )
    )
)</f>
        <v>ALCIVAR CEDEÑO BEATRIZ ISABEL</v>
      </c>
      <c r="EB131" t="str">
        <v>ALCIVAR VERA GEMA MICHELLE</v>
      </c>
      <c r="EC131" t="str">
        <v>ARAUZ CHAVEZ MARIO ROBERTO</v>
      </c>
      <c r="ED131" t="str">
        <v>BAILON LOURIDO WALTER ALBERTO</v>
      </c>
      <c r="EE131" t="str">
        <v>CALDERERO VILLAGOMEZ ERICK ANTONIO</v>
      </c>
      <c r="EF131" t="str">
        <v>CASTILLO GARCIA PAOLA GERMANIA</v>
      </c>
      <c r="EG131" t="str">
        <v>CEDEÑO CHOEZ PEDRO JAVIER</v>
      </c>
      <c r="EH131" t="str">
        <v>CEVALLOS HOPPE JUAN CARLOS</v>
      </c>
      <c r="EI131" t="str">
        <v>DELGADO CHAVEZ MARIA IRASEMA</v>
      </c>
      <c r="EJ131" t="str">
        <v>DUARTE VALENCIA CRISTHIAN DARIO</v>
      </c>
      <c r="EK131" t="str">
        <v>FORTTY BARBERAN DENNY ALEXANDER</v>
      </c>
      <c r="EL131" t="str">
        <v>GUTIERREZ ZAMBRANO CARMEN EBELINA</v>
      </c>
      <c r="EM131" t="str">
        <v>INTRIAGO MOLINA GEMA VALERIA</v>
      </c>
      <c r="EN131" t="str">
        <v>LINO VELEZ LEONEL LIVINGTON</v>
      </c>
      <c r="EO131" t="str">
        <v>LOOR ALCIVAR MARIA ILIANA</v>
      </c>
      <c r="EP131" t="str">
        <v>LOOR MIELES TANIA JACQUELINE</v>
      </c>
      <c r="EQ131" t="str">
        <v>LOOR SOLORZANO ROSA MARIA</v>
      </c>
      <c r="ER131" t="str">
        <v>LOPEZ DELGADO RONALD MAURICIO</v>
      </c>
      <c r="ES131" t="str">
        <v>MACIAS VALENCIA DAVID GABRIEL</v>
      </c>
      <c r="ET131" t="str">
        <v>MENDOZA ZAMORA WALTER MANUEL</v>
      </c>
      <c r="EU131" t="str">
        <v>MOLINA CEVALLOS MARIA LORENA</v>
      </c>
      <c r="EV131" t="str">
        <v>MURILLO DELGADO ISAAC GABRIEL</v>
      </c>
      <c r="EW131" t="str">
        <v>ANGULO MURILLO NAVIRA GISSELA</v>
      </c>
      <c r="EX131" t="str">
        <v>OCHOA SOLEDISPA NESTOR IVAN</v>
      </c>
      <c r="EY131" t="str">
        <v>PARRAGA FRANCO SILVANA MARIELA</v>
      </c>
      <c r="EZ131" t="str">
        <v>PINARGOTE VASQUEZ NANCY FABIOLA</v>
      </c>
      <c r="FA131" t="str">
        <v>REYES VELEZ PEDRO ENRIQUE</v>
      </c>
      <c r="FB131" t="str">
        <v>SAN ANDRES HORMAZA DALLAS CECILIA</v>
      </c>
      <c r="FC131" t="str">
        <v>SORNOZA ZAMORA JUAN CARLOS</v>
      </c>
      <c r="FD131" t="str">
        <v>TOMALA PINTO JESUS JACINTO</v>
      </c>
      <c r="FE131" t="str">
        <v>VALLE JARAMILLO SILVIA ARACELY</v>
      </c>
      <c r="FF131" t="str">
        <v>VELÁSQUEZ BRAVO IRMA KATHERINE</v>
      </c>
      <c r="FG131" t="str">
        <v>VELEZ MENDOZA LAYSY VALERIA</v>
      </c>
      <c r="FH131" t="str">
        <v>VINUEZA TELLO SHIRLEY ELIZABETH</v>
      </c>
      <c r="FI131" t="str">
        <v>ZAMBRANO ALCIVAR NILDA ISABEL</v>
      </c>
      <c r="FJ131" t="str">
        <v>ZAMBRANO LOOR RITA MAYDA</v>
      </c>
      <c r="FK131" t="str">
        <v>ZAMBRANO VERA MONICA JANETH</v>
      </c>
      <c r="FL131" t="str">
        <v>VERA DELGADO BRYAN ADRIÁN</v>
      </c>
      <c r="FM131" t="str">
        <v>MORAN GONZALES DAVID RENATO</v>
      </c>
      <c r="FN131">
        <v>0</v>
      </c>
    </row>
    <row r="132" spans="1:170" ht="20.25" customHeight="1">
      <c r="A132" s="4" t="str" cm="1">
        <f t="array" ref="A132">TRANSPOSE(_xlfn.UNIQUE(_xlfn._xlws.FILTER(MAE_ASIGNATURA[ID_NIVEL],MAE_ASIGNATURA[ID_CARRERA]=ASIGNACION!$C132,"No existe información")))</f>
        <v>No existe información</v>
      </c>
      <c r="S132" s="4" t="str" cm="1">
        <f t="array" ref="S132">TRANSPOSE(_xlfn.UNIQUE(_xlfn._xlws.FILTER(MAE_ASIGNATURA[NOM_ASIG],(MAE_ASIGNATURA[ID_NIVEL]=ASIGNACION!$D132)*(MAE_ASIGNATURA[ID_CARRERA]=ASIGNACION!$C132),"No existe información")))</f>
        <v>No existe información</v>
      </c>
      <c r="BD132" s="4" t="str" cm="1">
        <f t="array" ref="BD132">TRANSPOSE(_xlfn.UNIQUE(_xlfn._xlws.FILTER(DET_ASIG[DETALLADO],(DET_ASIG[ID_CARRERA]=ASIGNACION!$C132)*(DET_ASIG[NIVEL]=ASIGNACION!$D132)*(DET_ASIG[ID_ASIG]=ASIGNACION!$G132),"No existe información")))</f>
        <v>No existe información</v>
      </c>
      <c r="BQ132" s="5" t="str" cm="1">
        <f t="array" ref="BQ132">IFERROR(
    TRANSPOSE(
        _xlfn.UNIQUE(
            _xlfn._xlws.FILTER(MAESTRIA_DETALLADO[MAESTRIA],
                ISNUMBER(MATCH(MAESTRIA_DETALLADO[CAMPO_DETALLADO],
                BD132:BP132,0))
            )
        )
    ),IF(BD132="ACTIVIDAD","DOCENCIA",""))</f>
        <v/>
      </c>
      <c r="EA132" s="5" t="str" cm="1">
        <f t="array" ref="EA132:FN132">IF(
    ASIGNACION!I132="SI",
    IFERROR(
        TRANSPOSE(
            _xlfn.UNIQUE(
                _xlfn._xlws.FILTER(EDU_DOCENTE[NOMBRE_DOCENTE],
                    ISNUMBER(MATCH(EDU_DOCENTE[MAESTRIA],
                    BQ132:DY132,0))
                )
            )
        ),
        ""
    ),
    TRANSPOSE(
        _xlfn.UNIQUE(EDU_DOCENTE[NOMBRE_DOCENTE]
        )
    )
)</f>
        <v>ALCIVAR CEDEÑO BEATRIZ ISABEL</v>
      </c>
      <c r="EB132" t="str">
        <v>ALCIVAR VERA GEMA MICHELLE</v>
      </c>
      <c r="EC132" t="str">
        <v>ARAUZ CHAVEZ MARIO ROBERTO</v>
      </c>
      <c r="ED132" t="str">
        <v>BAILON LOURIDO WALTER ALBERTO</v>
      </c>
      <c r="EE132" t="str">
        <v>CALDERERO VILLAGOMEZ ERICK ANTONIO</v>
      </c>
      <c r="EF132" t="str">
        <v>CASTILLO GARCIA PAOLA GERMANIA</v>
      </c>
      <c r="EG132" t="str">
        <v>CEDEÑO CHOEZ PEDRO JAVIER</v>
      </c>
      <c r="EH132" t="str">
        <v>CEVALLOS HOPPE JUAN CARLOS</v>
      </c>
      <c r="EI132" t="str">
        <v>DELGADO CHAVEZ MARIA IRASEMA</v>
      </c>
      <c r="EJ132" t="str">
        <v>DUARTE VALENCIA CRISTHIAN DARIO</v>
      </c>
      <c r="EK132" t="str">
        <v>FORTTY BARBERAN DENNY ALEXANDER</v>
      </c>
      <c r="EL132" t="str">
        <v>GUTIERREZ ZAMBRANO CARMEN EBELINA</v>
      </c>
      <c r="EM132" t="str">
        <v>INTRIAGO MOLINA GEMA VALERIA</v>
      </c>
      <c r="EN132" t="str">
        <v>LINO VELEZ LEONEL LIVINGTON</v>
      </c>
      <c r="EO132" t="str">
        <v>LOOR ALCIVAR MARIA ILIANA</v>
      </c>
      <c r="EP132" t="str">
        <v>LOOR MIELES TANIA JACQUELINE</v>
      </c>
      <c r="EQ132" t="str">
        <v>LOOR SOLORZANO ROSA MARIA</v>
      </c>
      <c r="ER132" t="str">
        <v>LOPEZ DELGADO RONALD MAURICIO</v>
      </c>
      <c r="ES132" t="str">
        <v>MACIAS VALENCIA DAVID GABRIEL</v>
      </c>
      <c r="ET132" t="str">
        <v>MENDOZA ZAMORA WALTER MANUEL</v>
      </c>
      <c r="EU132" t="str">
        <v>MOLINA CEVALLOS MARIA LORENA</v>
      </c>
      <c r="EV132" t="str">
        <v>MURILLO DELGADO ISAAC GABRIEL</v>
      </c>
      <c r="EW132" t="str">
        <v>ANGULO MURILLO NAVIRA GISSELA</v>
      </c>
      <c r="EX132" t="str">
        <v>OCHOA SOLEDISPA NESTOR IVAN</v>
      </c>
      <c r="EY132" t="str">
        <v>PARRAGA FRANCO SILVANA MARIELA</v>
      </c>
      <c r="EZ132" t="str">
        <v>PINARGOTE VASQUEZ NANCY FABIOLA</v>
      </c>
      <c r="FA132" t="str">
        <v>REYES VELEZ PEDRO ENRIQUE</v>
      </c>
      <c r="FB132" t="str">
        <v>SAN ANDRES HORMAZA DALLAS CECILIA</v>
      </c>
      <c r="FC132" t="str">
        <v>SORNOZA ZAMORA JUAN CARLOS</v>
      </c>
      <c r="FD132" t="str">
        <v>TOMALA PINTO JESUS JACINTO</v>
      </c>
      <c r="FE132" t="str">
        <v>VALLE JARAMILLO SILVIA ARACELY</v>
      </c>
      <c r="FF132" t="str">
        <v>VELÁSQUEZ BRAVO IRMA KATHERINE</v>
      </c>
      <c r="FG132" t="str">
        <v>VELEZ MENDOZA LAYSY VALERIA</v>
      </c>
      <c r="FH132" t="str">
        <v>VINUEZA TELLO SHIRLEY ELIZABETH</v>
      </c>
      <c r="FI132" t="str">
        <v>ZAMBRANO ALCIVAR NILDA ISABEL</v>
      </c>
      <c r="FJ132" t="str">
        <v>ZAMBRANO LOOR RITA MAYDA</v>
      </c>
      <c r="FK132" t="str">
        <v>ZAMBRANO VERA MONICA JANETH</v>
      </c>
      <c r="FL132" t="str">
        <v>VERA DELGADO BRYAN ADRIÁN</v>
      </c>
      <c r="FM132" t="str">
        <v>MORAN GONZALES DAVID RENATO</v>
      </c>
      <c r="FN132">
        <v>0</v>
      </c>
    </row>
    <row r="133" spans="1:170" ht="20.25" customHeight="1">
      <c r="A133" s="4" t="str" cm="1">
        <f t="array" ref="A133">TRANSPOSE(_xlfn.UNIQUE(_xlfn._xlws.FILTER(MAE_ASIGNATURA[ID_NIVEL],MAE_ASIGNATURA[ID_CARRERA]=ASIGNACION!$C133,"No existe información")))</f>
        <v>No existe información</v>
      </c>
      <c r="S133" s="4" t="str" cm="1">
        <f t="array" ref="S133">TRANSPOSE(_xlfn.UNIQUE(_xlfn._xlws.FILTER(MAE_ASIGNATURA[NOM_ASIG],(MAE_ASIGNATURA[ID_NIVEL]=ASIGNACION!$D133)*(MAE_ASIGNATURA[ID_CARRERA]=ASIGNACION!$C133),"No existe información")))</f>
        <v>No existe información</v>
      </c>
      <c r="BD133" s="4" t="str" cm="1">
        <f t="array" ref="BD133">TRANSPOSE(_xlfn.UNIQUE(_xlfn._xlws.FILTER(DET_ASIG[DETALLADO],(DET_ASIG[ID_CARRERA]=ASIGNACION!$C133)*(DET_ASIG[NIVEL]=ASIGNACION!$D133)*(DET_ASIG[ID_ASIG]=ASIGNACION!$G133),"No existe información")))</f>
        <v>No existe información</v>
      </c>
      <c r="BQ133" s="5" t="str" cm="1">
        <f t="array" ref="BQ133">IFERROR(
    TRANSPOSE(
        _xlfn.UNIQUE(
            _xlfn._xlws.FILTER(MAESTRIA_DETALLADO[MAESTRIA],
                ISNUMBER(MATCH(MAESTRIA_DETALLADO[CAMPO_DETALLADO],
                BD133:BP133,0))
            )
        )
    ),IF(BD133="ACTIVIDAD","DOCENCIA",""))</f>
        <v/>
      </c>
      <c r="EA133" s="5" t="str" cm="1">
        <f t="array" ref="EA133:FN133">IF(
    ASIGNACION!I133="SI",
    IFERROR(
        TRANSPOSE(
            _xlfn.UNIQUE(
                _xlfn._xlws.FILTER(EDU_DOCENTE[NOMBRE_DOCENTE],
                    ISNUMBER(MATCH(EDU_DOCENTE[MAESTRIA],
                    BQ133:DY133,0))
                )
            )
        ),
        ""
    ),
    TRANSPOSE(
        _xlfn.UNIQUE(EDU_DOCENTE[NOMBRE_DOCENTE]
        )
    )
)</f>
        <v>ALCIVAR CEDEÑO BEATRIZ ISABEL</v>
      </c>
      <c r="EB133" t="str">
        <v>ALCIVAR VERA GEMA MICHELLE</v>
      </c>
      <c r="EC133" t="str">
        <v>ARAUZ CHAVEZ MARIO ROBERTO</v>
      </c>
      <c r="ED133" t="str">
        <v>BAILON LOURIDO WALTER ALBERTO</v>
      </c>
      <c r="EE133" t="str">
        <v>CALDERERO VILLAGOMEZ ERICK ANTONIO</v>
      </c>
      <c r="EF133" t="str">
        <v>CASTILLO GARCIA PAOLA GERMANIA</v>
      </c>
      <c r="EG133" t="str">
        <v>CEDEÑO CHOEZ PEDRO JAVIER</v>
      </c>
      <c r="EH133" t="str">
        <v>CEVALLOS HOPPE JUAN CARLOS</v>
      </c>
      <c r="EI133" t="str">
        <v>DELGADO CHAVEZ MARIA IRASEMA</v>
      </c>
      <c r="EJ133" t="str">
        <v>DUARTE VALENCIA CRISTHIAN DARIO</v>
      </c>
      <c r="EK133" t="str">
        <v>FORTTY BARBERAN DENNY ALEXANDER</v>
      </c>
      <c r="EL133" t="str">
        <v>GUTIERREZ ZAMBRANO CARMEN EBELINA</v>
      </c>
      <c r="EM133" t="str">
        <v>INTRIAGO MOLINA GEMA VALERIA</v>
      </c>
      <c r="EN133" t="str">
        <v>LINO VELEZ LEONEL LIVINGTON</v>
      </c>
      <c r="EO133" t="str">
        <v>LOOR ALCIVAR MARIA ILIANA</v>
      </c>
      <c r="EP133" t="str">
        <v>LOOR MIELES TANIA JACQUELINE</v>
      </c>
      <c r="EQ133" t="str">
        <v>LOOR SOLORZANO ROSA MARIA</v>
      </c>
      <c r="ER133" t="str">
        <v>LOPEZ DELGADO RONALD MAURICIO</v>
      </c>
      <c r="ES133" t="str">
        <v>MACIAS VALENCIA DAVID GABRIEL</v>
      </c>
      <c r="ET133" t="str">
        <v>MENDOZA ZAMORA WALTER MANUEL</v>
      </c>
      <c r="EU133" t="str">
        <v>MOLINA CEVALLOS MARIA LORENA</v>
      </c>
      <c r="EV133" t="str">
        <v>MURILLO DELGADO ISAAC GABRIEL</v>
      </c>
      <c r="EW133" t="str">
        <v>ANGULO MURILLO NAVIRA GISSELA</v>
      </c>
      <c r="EX133" t="str">
        <v>OCHOA SOLEDISPA NESTOR IVAN</v>
      </c>
      <c r="EY133" t="str">
        <v>PARRAGA FRANCO SILVANA MARIELA</v>
      </c>
      <c r="EZ133" t="str">
        <v>PINARGOTE VASQUEZ NANCY FABIOLA</v>
      </c>
      <c r="FA133" t="str">
        <v>REYES VELEZ PEDRO ENRIQUE</v>
      </c>
      <c r="FB133" t="str">
        <v>SAN ANDRES HORMAZA DALLAS CECILIA</v>
      </c>
      <c r="FC133" t="str">
        <v>SORNOZA ZAMORA JUAN CARLOS</v>
      </c>
      <c r="FD133" t="str">
        <v>TOMALA PINTO JESUS JACINTO</v>
      </c>
      <c r="FE133" t="str">
        <v>VALLE JARAMILLO SILVIA ARACELY</v>
      </c>
      <c r="FF133" t="str">
        <v>VELÁSQUEZ BRAVO IRMA KATHERINE</v>
      </c>
      <c r="FG133" t="str">
        <v>VELEZ MENDOZA LAYSY VALERIA</v>
      </c>
      <c r="FH133" t="str">
        <v>VINUEZA TELLO SHIRLEY ELIZABETH</v>
      </c>
      <c r="FI133" t="str">
        <v>ZAMBRANO ALCIVAR NILDA ISABEL</v>
      </c>
      <c r="FJ133" t="str">
        <v>ZAMBRANO LOOR RITA MAYDA</v>
      </c>
      <c r="FK133" t="str">
        <v>ZAMBRANO VERA MONICA JANETH</v>
      </c>
      <c r="FL133" t="str">
        <v>VERA DELGADO BRYAN ADRIÁN</v>
      </c>
      <c r="FM133" t="str">
        <v>MORAN GONZALES DAVID RENATO</v>
      </c>
      <c r="FN133">
        <v>0</v>
      </c>
    </row>
    <row r="134" spans="1:170" ht="20.25" customHeight="1">
      <c r="A134" s="4" t="str" cm="1">
        <f t="array" ref="A134">TRANSPOSE(_xlfn.UNIQUE(_xlfn._xlws.FILTER(MAE_ASIGNATURA[ID_NIVEL],MAE_ASIGNATURA[ID_CARRERA]=ASIGNACION!$C134,"No existe información")))</f>
        <v>No existe información</v>
      </c>
      <c r="S134" s="4" t="str" cm="1">
        <f t="array" ref="S134">TRANSPOSE(_xlfn.UNIQUE(_xlfn._xlws.FILTER(MAE_ASIGNATURA[NOM_ASIG],(MAE_ASIGNATURA[ID_NIVEL]=ASIGNACION!$D134)*(MAE_ASIGNATURA[ID_CARRERA]=ASIGNACION!$C134),"No existe información")))</f>
        <v>No existe información</v>
      </c>
      <c r="BD134" s="4" t="str" cm="1">
        <f t="array" ref="BD134">TRANSPOSE(_xlfn.UNIQUE(_xlfn._xlws.FILTER(DET_ASIG[DETALLADO],(DET_ASIG[ID_CARRERA]=ASIGNACION!$C134)*(DET_ASIG[NIVEL]=ASIGNACION!$D134)*(DET_ASIG[ID_ASIG]=ASIGNACION!$G134),"No existe información")))</f>
        <v>No existe información</v>
      </c>
      <c r="BQ134" s="5" t="str" cm="1">
        <f t="array" ref="BQ134">IFERROR(
    TRANSPOSE(
        _xlfn.UNIQUE(
            _xlfn._xlws.FILTER(MAESTRIA_DETALLADO[MAESTRIA],
                ISNUMBER(MATCH(MAESTRIA_DETALLADO[CAMPO_DETALLADO],
                BD134:BP134,0))
            )
        )
    ),IF(BD134="ACTIVIDAD","DOCENCIA",""))</f>
        <v/>
      </c>
      <c r="EA134" s="5" t="str" cm="1">
        <f t="array" ref="EA134:FN134">IF(
    ASIGNACION!I134="SI",
    IFERROR(
        TRANSPOSE(
            _xlfn.UNIQUE(
                _xlfn._xlws.FILTER(EDU_DOCENTE[NOMBRE_DOCENTE],
                    ISNUMBER(MATCH(EDU_DOCENTE[MAESTRIA],
                    BQ134:DY134,0))
                )
            )
        ),
        ""
    ),
    TRANSPOSE(
        _xlfn.UNIQUE(EDU_DOCENTE[NOMBRE_DOCENTE]
        )
    )
)</f>
        <v>ALCIVAR CEDEÑO BEATRIZ ISABEL</v>
      </c>
      <c r="EB134" t="str">
        <v>ALCIVAR VERA GEMA MICHELLE</v>
      </c>
      <c r="EC134" t="str">
        <v>ARAUZ CHAVEZ MARIO ROBERTO</v>
      </c>
      <c r="ED134" t="str">
        <v>BAILON LOURIDO WALTER ALBERTO</v>
      </c>
      <c r="EE134" t="str">
        <v>CALDERERO VILLAGOMEZ ERICK ANTONIO</v>
      </c>
      <c r="EF134" t="str">
        <v>CASTILLO GARCIA PAOLA GERMANIA</v>
      </c>
      <c r="EG134" t="str">
        <v>CEDEÑO CHOEZ PEDRO JAVIER</v>
      </c>
      <c r="EH134" t="str">
        <v>CEVALLOS HOPPE JUAN CARLOS</v>
      </c>
      <c r="EI134" t="str">
        <v>DELGADO CHAVEZ MARIA IRASEMA</v>
      </c>
      <c r="EJ134" t="str">
        <v>DUARTE VALENCIA CRISTHIAN DARIO</v>
      </c>
      <c r="EK134" t="str">
        <v>FORTTY BARBERAN DENNY ALEXANDER</v>
      </c>
      <c r="EL134" t="str">
        <v>GUTIERREZ ZAMBRANO CARMEN EBELINA</v>
      </c>
      <c r="EM134" t="str">
        <v>INTRIAGO MOLINA GEMA VALERIA</v>
      </c>
      <c r="EN134" t="str">
        <v>LINO VELEZ LEONEL LIVINGTON</v>
      </c>
      <c r="EO134" t="str">
        <v>LOOR ALCIVAR MARIA ILIANA</v>
      </c>
      <c r="EP134" t="str">
        <v>LOOR MIELES TANIA JACQUELINE</v>
      </c>
      <c r="EQ134" t="str">
        <v>LOOR SOLORZANO ROSA MARIA</v>
      </c>
      <c r="ER134" t="str">
        <v>LOPEZ DELGADO RONALD MAURICIO</v>
      </c>
      <c r="ES134" t="str">
        <v>MACIAS VALENCIA DAVID GABRIEL</v>
      </c>
      <c r="ET134" t="str">
        <v>MENDOZA ZAMORA WALTER MANUEL</v>
      </c>
      <c r="EU134" t="str">
        <v>MOLINA CEVALLOS MARIA LORENA</v>
      </c>
      <c r="EV134" t="str">
        <v>MURILLO DELGADO ISAAC GABRIEL</v>
      </c>
      <c r="EW134" t="str">
        <v>ANGULO MURILLO NAVIRA GISSELA</v>
      </c>
      <c r="EX134" t="str">
        <v>OCHOA SOLEDISPA NESTOR IVAN</v>
      </c>
      <c r="EY134" t="str">
        <v>PARRAGA FRANCO SILVANA MARIELA</v>
      </c>
      <c r="EZ134" t="str">
        <v>PINARGOTE VASQUEZ NANCY FABIOLA</v>
      </c>
      <c r="FA134" t="str">
        <v>REYES VELEZ PEDRO ENRIQUE</v>
      </c>
      <c r="FB134" t="str">
        <v>SAN ANDRES HORMAZA DALLAS CECILIA</v>
      </c>
      <c r="FC134" t="str">
        <v>SORNOZA ZAMORA JUAN CARLOS</v>
      </c>
      <c r="FD134" t="str">
        <v>TOMALA PINTO JESUS JACINTO</v>
      </c>
      <c r="FE134" t="str">
        <v>VALLE JARAMILLO SILVIA ARACELY</v>
      </c>
      <c r="FF134" t="str">
        <v>VELÁSQUEZ BRAVO IRMA KATHERINE</v>
      </c>
      <c r="FG134" t="str">
        <v>VELEZ MENDOZA LAYSY VALERIA</v>
      </c>
      <c r="FH134" t="str">
        <v>VINUEZA TELLO SHIRLEY ELIZABETH</v>
      </c>
      <c r="FI134" t="str">
        <v>ZAMBRANO ALCIVAR NILDA ISABEL</v>
      </c>
      <c r="FJ134" t="str">
        <v>ZAMBRANO LOOR RITA MAYDA</v>
      </c>
      <c r="FK134" t="str">
        <v>ZAMBRANO VERA MONICA JANETH</v>
      </c>
      <c r="FL134" t="str">
        <v>VERA DELGADO BRYAN ADRIÁN</v>
      </c>
      <c r="FM134" t="str">
        <v>MORAN GONZALES DAVID RENATO</v>
      </c>
      <c r="FN134">
        <v>0</v>
      </c>
    </row>
    <row r="135" spans="1:170" ht="20.25" customHeight="1">
      <c r="A135" s="4" t="str" cm="1">
        <f t="array" ref="A135">TRANSPOSE(_xlfn.UNIQUE(_xlfn._xlws.FILTER(MAE_ASIGNATURA[ID_NIVEL],MAE_ASIGNATURA[ID_CARRERA]=ASIGNACION!$C135,"No existe información")))</f>
        <v>No existe información</v>
      </c>
      <c r="S135" s="4" t="str" cm="1">
        <f t="array" ref="S135">TRANSPOSE(_xlfn.UNIQUE(_xlfn._xlws.FILTER(MAE_ASIGNATURA[NOM_ASIG],(MAE_ASIGNATURA[ID_NIVEL]=ASIGNACION!$D135)*(MAE_ASIGNATURA[ID_CARRERA]=ASIGNACION!$C135),"No existe información")))</f>
        <v>No existe información</v>
      </c>
      <c r="BD135" s="4" t="str" cm="1">
        <f t="array" ref="BD135">TRANSPOSE(_xlfn.UNIQUE(_xlfn._xlws.FILTER(DET_ASIG[DETALLADO],(DET_ASIG[ID_CARRERA]=ASIGNACION!$C135)*(DET_ASIG[NIVEL]=ASIGNACION!$D135)*(DET_ASIG[ID_ASIG]=ASIGNACION!$G135),"No existe información")))</f>
        <v>No existe información</v>
      </c>
      <c r="BQ135" s="5" t="str" cm="1">
        <f t="array" ref="BQ135">IFERROR(
    TRANSPOSE(
        _xlfn.UNIQUE(
            _xlfn._xlws.FILTER(MAESTRIA_DETALLADO[MAESTRIA],
                ISNUMBER(MATCH(MAESTRIA_DETALLADO[CAMPO_DETALLADO],
                BD135:BP135,0))
            )
        )
    ),IF(BD135="ACTIVIDAD","DOCENCIA",""))</f>
        <v/>
      </c>
      <c r="EA135" s="5" t="str" cm="1">
        <f t="array" ref="EA135:FN135">IF(
    ASIGNACION!I135="SI",
    IFERROR(
        TRANSPOSE(
            _xlfn.UNIQUE(
                _xlfn._xlws.FILTER(EDU_DOCENTE[NOMBRE_DOCENTE],
                    ISNUMBER(MATCH(EDU_DOCENTE[MAESTRIA],
                    BQ135:DY135,0))
                )
            )
        ),
        ""
    ),
    TRANSPOSE(
        _xlfn.UNIQUE(EDU_DOCENTE[NOMBRE_DOCENTE]
        )
    )
)</f>
        <v>ALCIVAR CEDEÑO BEATRIZ ISABEL</v>
      </c>
      <c r="EB135" t="str">
        <v>ALCIVAR VERA GEMA MICHELLE</v>
      </c>
      <c r="EC135" t="str">
        <v>ARAUZ CHAVEZ MARIO ROBERTO</v>
      </c>
      <c r="ED135" t="str">
        <v>BAILON LOURIDO WALTER ALBERTO</v>
      </c>
      <c r="EE135" t="str">
        <v>CALDERERO VILLAGOMEZ ERICK ANTONIO</v>
      </c>
      <c r="EF135" t="str">
        <v>CASTILLO GARCIA PAOLA GERMANIA</v>
      </c>
      <c r="EG135" t="str">
        <v>CEDEÑO CHOEZ PEDRO JAVIER</v>
      </c>
      <c r="EH135" t="str">
        <v>CEVALLOS HOPPE JUAN CARLOS</v>
      </c>
      <c r="EI135" t="str">
        <v>DELGADO CHAVEZ MARIA IRASEMA</v>
      </c>
      <c r="EJ135" t="str">
        <v>DUARTE VALENCIA CRISTHIAN DARIO</v>
      </c>
      <c r="EK135" t="str">
        <v>FORTTY BARBERAN DENNY ALEXANDER</v>
      </c>
      <c r="EL135" t="str">
        <v>GUTIERREZ ZAMBRANO CARMEN EBELINA</v>
      </c>
      <c r="EM135" t="str">
        <v>INTRIAGO MOLINA GEMA VALERIA</v>
      </c>
      <c r="EN135" t="str">
        <v>LINO VELEZ LEONEL LIVINGTON</v>
      </c>
      <c r="EO135" t="str">
        <v>LOOR ALCIVAR MARIA ILIANA</v>
      </c>
      <c r="EP135" t="str">
        <v>LOOR MIELES TANIA JACQUELINE</v>
      </c>
      <c r="EQ135" t="str">
        <v>LOOR SOLORZANO ROSA MARIA</v>
      </c>
      <c r="ER135" t="str">
        <v>LOPEZ DELGADO RONALD MAURICIO</v>
      </c>
      <c r="ES135" t="str">
        <v>MACIAS VALENCIA DAVID GABRIEL</v>
      </c>
      <c r="ET135" t="str">
        <v>MENDOZA ZAMORA WALTER MANUEL</v>
      </c>
      <c r="EU135" t="str">
        <v>MOLINA CEVALLOS MARIA LORENA</v>
      </c>
      <c r="EV135" t="str">
        <v>MURILLO DELGADO ISAAC GABRIEL</v>
      </c>
      <c r="EW135" t="str">
        <v>ANGULO MURILLO NAVIRA GISSELA</v>
      </c>
      <c r="EX135" t="str">
        <v>OCHOA SOLEDISPA NESTOR IVAN</v>
      </c>
      <c r="EY135" t="str">
        <v>PARRAGA FRANCO SILVANA MARIELA</v>
      </c>
      <c r="EZ135" t="str">
        <v>PINARGOTE VASQUEZ NANCY FABIOLA</v>
      </c>
      <c r="FA135" t="str">
        <v>REYES VELEZ PEDRO ENRIQUE</v>
      </c>
      <c r="FB135" t="str">
        <v>SAN ANDRES HORMAZA DALLAS CECILIA</v>
      </c>
      <c r="FC135" t="str">
        <v>SORNOZA ZAMORA JUAN CARLOS</v>
      </c>
      <c r="FD135" t="str">
        <v>TOMALA PINTO JESUS JACINTO</v>
      </c>
      <c r="FE135" t="str">
        <v>VALLE JARAMILLO SILVIA ARACELY</v>
      </c>
      <c r="FF135" t="str">
        <v>VELÁSQUEZ BRAVO IRMA KATHERINE</v>
      </c>
      <c r="FG135" t="str">
        <v>VELEZ MENDOZA LAYSY VALERIA</v>
      </c>
      <c r="FH135" t="str">
        <v>VINUEZA TELLO SHIRLEY ELIZABETH</v>
      </c>
      <c r="FI135" t="str">
        <v>ZAMBRANO ALCIVAR NILDA ISABEL</v>
      </c>
      <c r="FJ135" t="str">
        <v>ZAMBRANO LOOR RITA MAYDA</v>
      </c>
      <c r="FK135" t="str">
        <v>ZAMBRANO VERA MONICA JANETH</v>
      </c>
      <c r="FL135" t="str">
        <v>VERA DELGADO BRYAN ADRIÁN</v>
      </c>
      <c r="FM135" t="str">
        <v>MORAN GONZALES DAVID RENATO</v>
      </c>
      <c r="FN135">
        <v>0</v>
      </c>
    </row>
    <row r="136" spans="1:170" ht="20.25" customHeight="1">
      <c r="A136" s="4" t="str" cm="1">
        <f t="array" ref="A136">TRANSPOSE(_xlfn.UNIQUE(_xlfn._xlws.FILTER(MAE_ASIGNATURA[ID_NIVEL],MAE_ASIGNATURA[ID_CARRERA]=ASIGNACION!$C136,"No existe información")))</f>
        <v>No existe información</v>
      </c>
      <c r="S136" s="4" t="str" cm="1">
        <f t="array" ref="S136">TRANSPOSE(_xlfn.UNIQUE(_xlfn._xlws.FILTER(MAE_ASIGNATURA[NOM_ASIG],(MAE_ASIGNATURA[ID_NIVEL]=ASIGNACION!$D136)*(MAE_ASIGNATURA[ID_CARRERA]=ASIGNACION!$C136),"No existe información")))</f>
        <v>No existe información</v>
      </c>
      <c r="BD136" s="4" t="str" cm="1">
        <f t="array" ref="BD136">TRANSPOSE(_xlfn.UNIQUE(_xlfn._xlws.FILTER(DET_ASIG[DETALLADO],(DET_ASIG[ID_CARRERA]=ASIGNACION!$C136)*(DET_ASIG[NIVEL]=ASIGNACION!$D136)*(DET_ASIG[ID_ASIG]=ASIGNACION!$G136),"No existe información")))</f>
        <v>No existe información</v>
      </c>
      <c r="BQ136" s="5" t="str" cm="1">
        <f t="array" ref="BQ136">IFERROR(
    TRANSPOSE(
        _xlfn.UNIQUE(
            _xlfn._xlws.FILTER(MAESTRIA_DETALLADO[MAESTRIA],
                ISNUMBER(MATCH(MAESTRIA_DETALLADO[CAMPO_DETALLADO],
                BD136:BP136,0))
            )
        )
    ),IF(BD136="ACTIVIDAD","DOCENCIA",""))</f>
        <v/>
      </c>
      <c r="EA136" s="5" t="str" cm="1">
        <f t="array" ref="EA136:FN136">IF(
    ASIGNACION!I136="SI",
    IFERROR(
        TRANSPOSE(
            _xlfn.UNIQUE(
                _xlfn._xlws.FILTER(EDU_DOCENTE[NOMBRE_DOCENTE],
                    ISNUMBER(MATCH(EDU_DOCENTE[MAESTRIA],
                    BQ136:DY136,0))
                )
            )
        ),
        ""
    ),
    TRANSPOSE(
        _xlfn.UNIQUE(EDU_DOCENTE[NOMBRE_DOCENTE]
        )
    )
)</f>
        <v>ALCIVAR CEDEÑO BEATRIZ ISABEL</v>
      </c>
      <c r="EB136" t="str">
        <v>ALCIVAR VERA GEMA MICHELLE</v>
      </c>
      <c r="EC136" t="str">
        <v>ARAUZ CHAVEZ MARIO ROBERTO</v>
      </c>
      <c r="ED136" t="str">
        <v>BAILON LOURIDO WALTER ALBERTO</v>
      </c>
      <c r="EE136" t="str">
        <v>CALDERERO VILLAGOMEZ ERICK ANTONIO</v>
      </c>
      <c r="EF136" t="str">
        <v>CASTILLO GARCIA PAOLA GERMANIA</v>
      </c>
      <c r="EG136" t="str">
        <v>CEDEÑO CHOEZ PEDRO JAVIER</v>
      </c>
      <c r="EH136" t="str">
        <v>CEVALLOS HOPPE JUAN CARLOS</v>
      </c>
      <c r="EI136" t="str">
        <v>DELGADO CHAVEZ MARIA IRASEMA</v>
      </c>
      <c r="EJ136" t="str">
        <v>DUARTE VALENCIA CRISTHIAN DARIO</v>
      </c>
      <c r="EK136" t="str">
        <v>FORTTY BARBERAN DENNY ALEXANDER</v>
      </c>
      <c r="EL136" t="str">
        <v>GUTIERREZ ZAMBRANO CARMEN EBELINA</v>
      </c>
      <c r="EM136" t="str">
        <v>INTRIAGO MOLINA GEMA VALERIA</v>
      </c>
      <c r="EN136" t="str">
        <v>LINO VELEZ LEONEL LIVINGTON</v>
      </c>
      <c r="EO136" t="str">
        <v>LOOR ALCIVAR MARIA ILIANA</v>
      </c>
      <c r="EP136" t="str">
        <v>LOOR MIELES TANIA JACQUELINE</v>
      </c>
      <c r="EQ136" t="str">
        <v>LOOR SOLORZANO ROSA MARIA</v>
      </c>
      <c r="ER136" t="str">
        <v>LOPEZ DELGADO RONALD MAURICIO</v>
      </c>
      <c r="ES136" t="str">
        <v>MACIAS VALENCIA DAVID GABRIEL</v>
      </c>
      <c r="ET136" t="str">
        <v>MENDOZA ZAMORA WALTER MANUEL</v>
      </c>
      <c r="EU136" t="str">
        <v>MOLINA CEVALLOS MARIA LORENA</v>
      </c>
      <c r="EV136" t="str">
        <v>MURILLO DELGADO ISAAC GABRIEL</v>
      </c>
      <c r="EW136" t="str">
        <v>ANGULO MURILLO NAVIRA GISSELA</v>
      </c>
      <c r="EX136" t="str">
        <v>OCHOA SOLEDISPA NESTOR IVAN</v>
      </c>
      <c r="EY136" t="str">
        <v>PARRAGA FRANCO SILVANA MARIELA</v>
      </c>
      <c r="EZ136" t="str">
        <v>PINARGOTE VASQUEZ NANCY FABIOLA</v>
      </c>
      <c r="FA136" t="str">
        <v>REYES VELEZ PEDRO ENRIQUE</v>
      </c>
      <c r="FB136" t="str">
        <v>SAN ANDRES HORMAZA DALLAS CECILIA</v>
      </c>
      <c r="FC136" t="str">
        <v>SORNOZA ZAMORA JUAN CARLOS</v>
      </c>
      <c r="FD136" t="str">
        <v>TOMALA PINTO JESUS JACINTO</v>
      </c>
      <c r="FE136" t="str">
        <v>VALLE JARAMILLO SILVIA ARACELY</v>
      </c>
      <c r="FF136" t="str">
        <v>VELÁSQUEZ BRAVO IRMA KATHERINE</v>
      </c>
      <c r="FG136" t="str">
        <v>VELEZ MENDOZA LAYSY VALERIA</v>
      </c>
      <c r="FH136" t="str">
        <v>VINUEZA TELLO SHIRLEY ELIZABETH</v>
      </c>
      <c r="FI136" t="str">
        <v>ZAMBRANO ALCIVAR NILDA ISABEL</v>
      </c>
      <c r="FJ136" t="str">
        <v>ZAMBRANO LOOR RITA MAYDA</v>
      </c>
      <c r="FK136" t="str">
        <v>ZAMBRANO VERA MONICA JANETH</v>
      </c>
      <c r="FL136" t="str">
        <v>VERA DELGADO BRYAN ADRIÁN</v>
      </c>
      <c r="FM136" t="str">
        <v>MORAN GONZALES DAVID RENATO</v>
      </c>
      <c r="FN136">
        <v>0</v>
      </c>
    </row>
    <row r="137" spans="1:170" ht="20.25" customHeight="1">
      <c r="A137" s="4" t="str" cm="1">
        <f t="array" ref="A137">TRANSPOSE(_xlfn.UNIQUE(_xlfn._xlws.FILTER(MAE_ASIGNATURA[ID_NIVEL],MAE_ASIGNATURA[ID_CARRERA]=ASIGNACION!$C137,"No existe información")))</f>
        <v>No existe información</v>
      </c>
      <c r="S137" s="4" t="str" cm="1">
        <f t="array" ref="S137">TRANSPOSE(_xlfn.UNIQUE(_xlfn._xlws.FILTER(MAE_ASIGNATURA[NOM_ASIG],(MAE_ASIGNATURA[ID_NIVEL]=ASIGNACION!$D137)*(MAE_ASIGNATURA[ID_CARRERA]=ASIGNACION!$C137),"No existe información")))</f>
        <v>No existe información</v>
      </c>
      <c r="BD137" s="4" t="str" cm="1">
        <f t="array" ref="BD137">TRANSPOSE(_xlfn.UNIQUE(_xlfn._xlws.FILTER(DET_ASIG[DETALLADO],(DET_ASIG[ID_CARRERA]=ASIGNACION!$C137)*(DET_ASIG[NIVEL]=ASIGNACION!$D137)*(DET_ASIG[ID_ASIG]=ASIGNACION!$G137),"No existe información")))</f>
        <v>No existe información</v>
      </c>
      <c r="BQ137" s="5" t="str" cm="1">
        <f t="array" ref="BQ137">IFERROR(
    TRANSPOSE(
        _xlfn.UNIQUE(
            _xlfn._xlws.FILTER(MAESTRIA_DETALLADO[MAESTRIA],
                ISNUMBER(MATCH(MAESTRIA_DETALLADO[CAMPO_DETALLADO],
                BD137:BP137,0))
            )
        )
    ),IF(BD137="ACTIVIDAD","DOCENCIA",""))</f>
        <v/>
      </c>
      <c r="EA137" s="5" t="str" cm="1">
        <f t="array" ref="EA137:FN137">IF(
    ASIGNACION!I137="SI",
    IFERROR(
        TRANSPOSE(
            _xlfn.UNIQUE(
                _xlfn._xlws.FILTER(EDU_DOCENTE[NOMBRE_DOCENTE],
                    ISNUMBER(MATCH(EDU_DOCENTE[MAESTRIA],
                    BQ137:DY137,0))
                )
            )
        ),
        ""
    ),
    TRANSPOSE(
        _xlfn.UNIQUE(EDU_DOCENTE[NOMBRE_DOCENTE]
        )
    )
)</f>
        <v>ALCIVAR CEDEÑO BEATRIZ ISABEL</v>
      </c>
      <c r="EB137" t="str">
        <v>ALCIVAR VERA GEMA MICHELLE</v>
      </c>
      <c r="EC137" t="str">
        <v>ARAUZ CHAVEZ MARIO ROBERTO</v>
      </c>
      <c r="ED137" t="str">
        <v>BAILON LOURIDO WALTER ALBERTO</v>
      </c>
      <c r="EE137" t="str">
        <v>CALDERERO VILLAGOMEZ ERICK ANTONIO</v>
      </c>
      <c r="EF137" t="str">
        <v>CASTILLO GARCIA PAOLA GERMANIA</v>
      </c>
      <c r="EG137" t="str">
        <v>CEDEÑO CHOEZ PEDRO JAVIER</v>
      </c>
      <c r="EH137" t="str">
        <v>CEVALLOS HOPPE JUAN CARLOS</v>
      </c>
      <c r="EI137" t="str">
        <v>DELGADO CHAVEZ MARIA IRASEMA</v>
      </c>
      <c r="EJ137" t="str">
        <v>DUARTE VALENCIA CRISTHIAN DARIO</v>
      </c>
      <c r="EK137" t="str">
        <v>FORTTY BARBERAN DENNY ALEXANDER</v>
      </c>
      <c r="EL137" t="str">
        <v>GUTIERREZ ZAMBRANO CARMEN EBELINA</v>
      </c>
      <c r="EM137" t="str">
        <v>INTRIAGO MOLINA GEMA VALERIA</v>
      </c>
      <c r="EN137" t="str">
        <v>LINO VELEZ LEONEL LIVINGTON</v>
      </c>
      <c r="EO137" t="str">
        <v>LOOR ALCIVAR MARIA ILIANA</v>
      </c>
      <c r="EP137" t="str">
        <v>LOOR MIELES TANIA JACQUELINE</v>
      </c>
      <c r="EQ137" t="str">
        <v>LOOR SOLORZANO ROSA MARIA</v>
      </c>
      <c r="ER137" t="str">
        <v>LOPEZ DELGADO RONALD MAURICIO</v>
      </c>
      <c r="ES137" t="str">
        <v>MACIAS VALENCIA DAVID GABRIEL</v>
      </c>
      <c r="ET137" t="str">
        <v>MENDOZA ZAMORA WALTER MANUEL</v>
      </c>
      <c r="EU137" t="str">
        <v>MOLINA CEVALLOS MARIA LORENA</v>
      </c>
      <c r="EV137" t="str">
        <v>MURILLO DELGADO ISAAC GABRIEL</v>
      </c>
      <c r="EW137" t="str">
        <v>ANGULO MURILLO NAVIRA GISSELA</v>
      </c>
      <c r="EX137" t="str">
        <v>OCHOA SOLEDISPA NESTOR IVAN</v>
      </c>
      <c r="EY137" t="str">
        <v>PARRAGA FRANCO SILVANA MARIELA</v>
      </c>
      <c r="EZ137" t="str">
        <v>PINARGOTE VASQUEZ NANCY FABIOLA</v>
      </c>
      <c r="FA137" t="str">
        <v>REYES VELEZ PEDRO ENRIQUE</v>
      </c>
      <c r="FB137" t="str">
        <v>SAN ANDRES HORMAZA DALLAS CECILIA</v>
      </c>
      <c r="FC137" t="str">
        <v>SORNOZA ZAMORA JUAN CARLOS</v>
      </c>
      <c r="FD137" t="str">
        <v>TOMALA PINTO JESUS JACINTO</v>
      </c>
      <c r="FE137" t="str">
        <v>VALLE JARAMILLO SILVIA ARACELY</v>
      </c>
      <c r="FF137" t="str">
        <v>VELÁSQUEZ BRAVO IRMA KATHERINE</v>
      </c>
      <c r="FG137" t="str">
        <v>VELEZ MENDOZA LAYSY VALERIA</v>
      </c>
      <c r="FH137" t="str">
        <v>VINUEZA TELLO SHIRLEY ELIZABETH</v>
      </c>
      <c r="FI137" t="str">
        <v>ZAMBRANO ALCIVAR NILDA ISABEL</v>
      </c>
      <c r="FJ137" t="str">
        <v>ZAMBRANO LOOR RITA MAYDA</v>
      </c>
      <c r="FK137" t="str">
        <v>ZAMBRANO VERA MONICA JANETH</v>
      </c>
      <c r="FL137" t="str">
        <v>VERA DELGADO BRYAN ADRIÁN</v>
      </c>
      <c r="FM137" t="str">
        <v>MORAN GONZALES DAVID RENATO</v>
      </c>
      <c r="FN137">
        <v>0</v>
      </c>
    </row>
    <row r="138" spans="1:170" ht="20.25" customHeight="1">
      <c r="A138" s="4" t="str" cm="1">
        <f t="array" ref="A138">TRANSPOSE(_xlfn.UNIQUE(_xlfn._xlws.FILTER(MAE_ASIGNATURA[ID_NIVEL],MAE_ASIGNATURA[ID_CARRERA]=ASIGNACION!$C138,"No existe información")))</f>
        <v>No existe información</v>
      </c>
      <c r="S138" s="4" t="str" cm="1">
        <f t="array" ref="S138">TRANSPOSE(_xlfn.UNIQUE(_xlfn._xlws.FILTER(MAE_ASIGNATURA[NOM_ASIG],(MAE_ASIGNATURA[ID_NIVEL]=ASIGNACION!$D138)*(MAE_ASIGNATURA[ID_CARRERA]=ASIGNACION!$C138),"No existe información")))</f>
        <v>No existe información</v>
      </c>
      <c r="BD138" s="4" t="str" cm="1">
        <f t="array" ref="BD138">TRANSPOSE(_xlfn.UNIQUE(_xlfn._xlws.FILTER(DET_ASIG[DETALLADO],(DET_ASIG[ID_CARRERA]=ASIGNACION!$C138)*(DET_ASIG[NIVEL]=ASIGNACION!$D138)*(DET_ASIG[ID_ASIG]=ASIGNACION!$G138),"No existe información")))</f>
        <v>No existe información</v>
      </c>
      <c r="BQ138" s="5" t="str" cm="1">
        <f t="array" ref="BQ138">IFERROR(
    TRANSPOSE(
        _xlfn.UNIQUE(
            _xlfn._xlws.FILTER(MAESTRIA_DETALLADO[MAESTRIA],
                ISNUMBER(MATCH(MAESTRIA_DETALLADO[CAMPO_DETALLADO],
                BD138:BP138,0))
            )
        )
    ),IF(BD138="ACTIVIDAD","DOCENCIA",""))</f>
        <v/>
      </c>
      <c r="EA138" s="5" t="str" cm="1">
        <f t="array" ref="EA138:FN138">IF(
    ASIGNACION!I138="SI",
    IFERROR(
        TRANSPOSE(
            _xlfn.UNIQUE(
                _xlfn._xlws.FILTER(EDU_DOCENTE[NOMBRE_DOCENTE],
                    ISNUMBER(MATCH(EDU_DOCENTE[MAESTRIA],
                    BQ138:DY138,0))
                )
            )
        ),
        ""
    ),
    TRANSPOSE(
        _xlfn.UNIQUE(EDU_DOCENTE[NOMBRE_DOCENTE]
        )
    )
)</f>
        <v>ALCIVAR CEDEÑO BEATRIZ ISABEL</v>
      </c>
      <c r="EB138" t="str">
        <v>ALCIVAR VERA GEMA MICHELLE</v>
      </c>
      <c r="EC138" t="str">
        <v>ARAUZ CHAVEZ MARIO ROBERTO</v>
      </c>
      <c r="ED138" t="str">
        <v>BAILON LOURIDO WALTER ALBERTO</v>
      </c>
      <c r="EE138" t="str">
        <v>CALDERERO VILLAGOMEZ ERICK ANTONIO</v>
      </c>
      <c r="EF138" t="str">
        <v>CASTILLO GARCIA PAOLA GERMANIA</v>
      </c>
      <c r="EG138" t="str">
        <v>CEDEÑO CHOEZ PEDRO JAVIER</v>
      </c>
      <c r="EH138" t="str">
        <v>CEVALLOS HOPPE JUAN CARLOS</v>
      </c>
      <c r="EI138" t="str">
        <v>DELGADO CHAVEZ MARIA IRASEMA</v>
      </c>
      <c r="EJ138" t="str">
        <v>DUARTE VALENCIA CRISTHIAN DARIO</v>
      </c>
      <c r="EK138" t="str">
        <v>FORTTY BARBERAN DENNY ALEXANDER</v>
      </c>
      <c r="EL138" t="str">
        <v>GUTIERREZ ZAMBRANO CARMEN EBELINA</v>
      </c>
      <c r="EM138" t="str">
        <v>INTRIAGO MOLINA GEMA VALERIA</v>
      </c>
      <c r="EN138" t="str">
        <v>LINO VELEZ LEONEL LIVINGTON</v>
      </c>
      <c r="EO138" t="str">
        <v>LOOR ALCIVAR MARIA ILIANA</v>
      </c>
      <c r="EP138" t="str">
        <v>LOOR MIELES TANIA JACQUELINE</v>
      </c>
      <c r="EQ138" t="str">
        <v>LOOR SOLORZANO ROSA MARIA</v>
      </c>
      <c r="ER138" t="str">
        <v>LOPEZ DELGADO RONALD MAURICIO</v>
      </c>
      <c r="ES138" t="str">
        <v>MACIAS VALENCIA DAVID GABRIEL</v>
      </c>
      <c r="ET138" t="str">
        <v>MENDOZA ZAMORA WALTER MANUEL</v>
      </c>
      <c r="EU138" t="str">
        <v>MOLINA CEVALLOS MARIA LORENA</v>
      </c>
      <c r="EV138" t="str">
        <v>MURILLO DELGADO ISAAC GABRIEL</v>
      </c>
      <c r="EW138" t="str">
        <v>ANGULO MURILLO NAVIRA GISSELA</v>
      </c>
      <c r="EX138" t="str">
        <v>OCHOA SOLEDISPA NESTOR IVAN</v>
      </c>
      <c r="EY138" t="str">
        <v>PARRAGA FRANCO SILVANA MARIELA</v>
      </c>
      <c r="EZ138" t="str">
        <v>PINARGOTE VASQUEZ NANCY FABIOLA</v>
      </c>
      <c r="FA138" t="str">
        <v>REYES VELEZ PEDRO ENRIQUE</v>
      </c>
      <c r="FB138" t="str">
        <v>SAN ANDRES HORMAZA DALLAS CECILIA</v>
      </c>
      <c r="FC138" t="str">
        <v>SORNOZA ZAMORA JUAN CARLOS</v>
      </c>
      <c r="FD138" t="str">
        <v>TOMALA PINTO JESUS JACINTO</v>
      </c>
      <c r="FE138" t="str">
        <v>VALLE JARAMILLO SILVIA ARACELY</v>
      </c>
      <c r="FF138" t="str">
        <v>VELÁSQUEZ BRAVO IRMA KATHERINE</v>
      </c>
      <c r="FG138" t="str">
        <v>VELEZ MENDOZA LAYSY VALERIA</v>
      </c>
      <c r="FH138" t="str">
        <v>VINUEZA TELLO SHIRLEY ELIZABETH</v>
      </c>
      <c r="FI138" t="str">
        <v>ZAMBRANO ALCIVAR NILDA ISABEL</v>
      </c>
      <c r="FJ138" t="str">
        <v>ZAMBRANO LOOR RITA MAYDA</v>
      </c>
      <c r="FK138" t="str">
        <v>ZAMBRANO VERA MONICA JANETH</v>
      </c>
      <c r="FL138" t="str">
        <v>VERA DELGADO BRYAN ADRIÁN</v>
      </c>
      <c r="FM138" t="str">
        <v>MORAN GONZALES DAVID RENATO</v>
      </c>
      <c r="FN138">
        <v>0</v>
      </c>
    </row>
    <row r="139" spans="1:170" ht="20.25" customHeight="1">
      <c r="A139" s="4" t="str" cm="1">
        <f t="array" ref="A139">TRANSPOSE(_xlfn.UNIQUE(_xlfn._xlws.FILTER(MAE_ASIGNATURA[ID_NIVEL],MAE_ASIGNATURA[ID_CARRERA]=ASIGNACION!$C139,"No existe información")))</f>
        <v>No existe información</v>
      </c>
      <c r="S139" s="4" t="str" cm="1">
        <f t="array" ref="S139">TRANSPOSE(_xlfn.UNIQUE(_xlfn._xlws.FILTER(MAE_ASIGNATURA[NOM_ASIG],(MAE_ASIGNATURA[ID_NIVEL]=ASIGNACION!$D139)*(MAE_ASIGNATURA[ID_CARRERA]=ASIGNACION!$C139),"No existe información")))</f>
        <v>No existe información</v>
      </c>
      <c r="BD139" s="4" t="str" cm="1">
        <f t="array" ref="BD139">TRANSPOSE(_xlfn.UNIQUE(_xlfn._xlws.FILTER(DET_ASIG[DETALLADO],(DET_ASIG[ID_CARRERA]=ASIGNACION!$C139)*(DET_ASIG[NIVEL]=ASIGNACION!$D139)*(DET_ASIG[ID_ASIG]=ASIGNACION!$G139),"No existe información")))</f>
        <v>No existe información</v>
      </c>
      <c r="BQ139" s="5" t="str" cm="1">
        <f t="array" ref="BQ139">IFERROR(
    TRANSPOSE(
        _xlfn.UNIQUE(
            _xlfn._xlws.FILTER(MAESTRIA_DETALLADO[MAESTRIA],
                ISNUMBER(MATCH(MAESTRIA_DETALLADO[CAMPO_DETALLADO],
                BD139:BP139,0))
            )
        )
    ),IF(BD139="ACTIVIDAD","DOCENCIA",""))</f>
        <v/>
      </c>
      <c r="EA139" s="5" t="str" cm="1">
        <f t="array" ref="EA139:FN139">IF(
    ASIGNACION!I139="SI",
    IFERROR(
        TRANSPOSE(
            _xlfn.UNIQUE(
                _xlfn._xlws.FILTER(EDU_DOCENTE[NOMBRE_DOCENTE],
                    ISNUMBER(MATCH(EDU_DOCENTE[MAESTRIA],
                    BQ139:DY139,0))
                )
            )
        ),
        ""
    ),
    TRANSPOSE(
        _xlfn.UNIQUE(EDU_DOCENTE[NOMBRE_DOCENTE]
        )
    )
)</f>
        <v>ALCIVAR CEDEÑO BEATRIZ ISABEL</v>
      </c>
      <c r="EB139" t="str">
        <v>ALCIVAR VERA GEMA MICHELLE</v>
      </c>
      <c r="EC139" t="str">
        <v>ARAUZ CHAVEZ MARIO ROBERTO</v>
      </c>
      <c r="ED139" t="str">
        <v>BAILON LOURIDO WALTER ALBERTO</v>
      </c>
      <c r="EE139" t="str">
        <v>CALDERERO VILLAGOMEZ ERICK ANTONIO</v>
      </c>
      <c r="EF139" t="str">
        <v>CASTILLO GARCIA PAOLA GERMANIA</v>
      </c>
      <c r="EG139" t="str">
        <v>CEDEÑO CHOEZ PEDRO JAVIER</v>
      </c>
      <c r="EH139" t="str">
        <v>CEVALLOS HOPPE JUAN CARLOS</v>
      </c>
      <c r="EI139" t="str">
        <v>DELGADO CHAVEZ MARIA IRASEMA</v>
      </c>
      <c r="EJ139" t="str">
        <v>DUARTE VALENCIA CRISTHIAN DARIO</v>
      </c>
      <c r="EK139" t="str">
        <v>FORTTY BARBERAN DENNY ALEXANDER</v>
      </c>
      <c r="EL139" t="str">
        <v>GUTIERREZ ZAMBRANO CARMEN EBELINA</v>
      </c>
      <c r="EM139" t="str">
        <v>INTRIAGO MOLINA GEMA VALERIA</v>
      </c>
      <c r="EN139" t="str">
        <v>LINO VELEZ LEONEL LIVINGTON</v>
      </c>
      <c r="EO139" t="str">
        <v>LOOR ALCIVAR MARIA ILIANA</v>
      </c>
      <c r="EP139" t="str">
        <v>LOOR MIELES TANIA JACQUELINE</v>
      </c>
      <c r="EQ139" t="str">
        <v>LOOR SOLORZANO ROSA MARIA</v>
      </c>
      <c r="ER139" t="str">
        <v>LOPEZ DELGADO RONALD MAURICIO</v>
      </c>
      <c r="ES139" t="str">
        <v>MACIAS VALENCIA DAVID GABRIEL</v>
      </c>
      <c r="ET139" t="str">
        <v>MENDOZA ZAMORA WALTER MANUEL</v>
      </c>
      <c r="EU139" t="str">
        <v>MOLINA CEVALLOS MARIA LORENA</v>
      </c>
      <c r="EV139" t="str">
        <v>MURILLO DELGADO ISAAC GABRIEL</v>
      </c>
      <c r="EW139" t="str">
        <v>ANGULO MURILLO NAVIRA GISSELA</v>
      </c>
      <c r="EX139" t="str">
        <v>OCHOA SOLEDISPA NESTOR IVAN</v>
      </c>
      <c r="EY139" t="str">
        <v>PARRAGA FRANCO SILVANA MARIELA</v>
      </c>
      <c r="EZ139" t="str">
        <v>PINARGOTE VASQUEZ NANCY FABIOLA</v>
      </c>
      <c r="FA139" t="str">
        <v>REYES VELEZ PEDRO ENRIQUE</v>
      </c>
      <c r="FB139" t="str">
        <v>SAN ANDRES HORMAZA DALLAS CECILIA</v>
      </c>
      <c r="FC139" t="str">
        <v>SORNOZA ZAMORA JUAN CARLOS</v>
      </c>
      <c r="FD139" t="str">
        <v>TOMALA PINTO JESUS JACINTO</v>
      </c>
      <c r="FE139" t="str">
        <v>VALLE JARAMILLO SILVIA ARACELY</v>
      </c>
      <c r="FF139" t="str">
        <v>VELÁSQUEZ BRAVO IRMA KATHERINE</v>
      </c>
      <c r="FG139" t="str">
        <v>VELEZ MENDOZA LAYSY VALERIA</v>
      </c>
      <c r="FH139" t="str">
        <v>VINUEZA TELLO SHIRLEY ELIZABETH</v>
      </c>
      <c r="FI139" t="str">
        <v>ZAMBRANO ALCIVAR NILDA ISABEL</v>
      </c>
      <c r="FJ139" t="str">
        <v>ZAMBRANO LOOR RITA MAYDA</v>
      </c>
      <c r="FK139" t="str">
        <v>ZAMBRANO VERA MONICA JANETH</v>
      </c>
      <c r="FL139" t="str">
        <v>VERA DELGADO BRYAN ADRIÁN</v>
      </c>
      <c r="FM139" t="str">
        <v>MORAN GONZALES DAVID RENATO</v>
      </c>
      <c r="FN139">
        <v>0</v>
      </c>
    </row>
    <row r="140" spans="1:170" ht="20.25" customHeight="1">
      <c r="A140" s="4" t="str" cm="1">
        <f t="array" ref="A140">TRANSPOSE(_xlfn.UNIQUE(_xlfn._xlws.FILTER(MAE_ASIGNATURA[ID_NIVEL],MAE_ASIGNATURA[ID_CARRERA]=ASIGNACION!$C140,"No existe información")))</f>
        <v>No existe información</v>
      </c>
      <c r="S140" s="4" t="str" cm="1">
        <f t="array" ref="S140">TRANSPOSE(_xlfn.UNIQUE(_xlfn._xlws.FILTER(MAE_ASIGNATURA[NOM_ASIG],(MAE_ASIGNATURA[ID_NIVEL]=ASIGNACION!$D140)*(MAE_ASIGNATURA[ID_CARRERA]=ASIGNACION!$C140),"No existe información")))</f>
        <v>No existe información</v>
      </c>
      <c r="BD140" s="4" t="str" cm="1">
        <f t="array" ref="BD140">TRANSPOSE(_xlfn.UNIQUE(_xlfn._xlws.FILTER(DET_ASIG[DETALLADO],(DET_ASIG[ID_CARRERA]=ASIGNACION!$C140)*(DET_ASIG[NIVEL]=ASIGNACION!$D140)*(DET_ASIG[ID_ASIG]=ASIGNACION!$G140),"No existe información")))</f>
        <v>No existe información</v>
      </c>
      <c r="BQ140" s="5" t="str" cm="1">
        <f t="array" ref="BQ140">IFERROR(
    TRANSPOSE(
        _xlfn.UNIQUE(
            _xlfn._xlws.FILTER(MAESTRIA_DETALLADO[MAESTRIA],
                ISNUMBER(MATCH(MAESTRIA_DETALLADO[CAMPO_DETALLADO],
                BD140:BP140,0))
            )
        )
    ),IF(BD140="ACTIVIDAD","DOCENCIA",""))</f>
        <v/>
      </c>
      <c r="EA140" s="5" t="str" cm="1">
        <f t="array" ref="EA140:FN140">IF(
    ASIGNACION!I140="SI",
    IFERROR(
        TRANSPOSE(
            _xlfn.UNIQUE(
                _xlfn._xlws.FILTER(EDU_DOCENTE[NOMBRE_DOCENTE],
                    ISNUMBER(MATCH(EDU_DOCENTE[MAESTRIA],
                    BQ140:DY140,0))
                )
            )
        ),
        ""
    ),
    TRANSPOSE(
        _xlfn.UNIQUE(EDU_DOCENTE[NOMBRE_DOCENTE]
        )
    )
)</f>
        <v>ALCIVAR CEDEÑO BEATRIZ ISABEL</v>
      </c>
      <c r="EB140" t="str">
        <v>ALCIVAR VERA GEMA MICHELLE</v>
      </c>
      <c r="EC140" t="str">
        <v>ARAUZ CHAVEZ MARIO ROBERTO</v>
      </c>
      <c r="ED140" t="str">
        <v>BAILON LOURIDO WALTER ALBERTO</v>
      </c>
      <c r="EE140" t="str">
        <v>CALDERERO VILLAGOMEZ ERICK ANTONIO</v>
      </c>
      <c r="EF140" t="str">
        <v>CASTILLO GARCIA PAOLA GERMANIA</v>
      </c>
      <c r="EG140" t="str">
        <v>CEDEÑO CHOEZ PEDRO JAVIER</v>
      </c>
      <c r="EH140" t="str">
        <v>CEVALLOS HOPPE JUAN CARLOS</v>
      </c>
      <c r="EI140" t="str">
        <v>DELGADO CHAVEZ MARIA IRASEMA</v>
      </c>
      <c r="EJ140" t="str">
        <v>DUARTE VALENCIA CRISTHIAN DARIO</v>
      </c>
      <c r="EK140" t="str">
        <v>FORTTY BARBERAN DENNY ALEXANDER</v>
      </c>
      <c r="EL140" t="str">
        <v>GUTIERREZ ZAMBRANO CARMEN EBELINA</v>
      </c>
      <c r="EM140" t="str">
        <v>INTRIAGO MOLINA GEMA VALERIA</v>
      </c>
      <c r="EN140" t="str">
        <v>LINO VELEZ LEONEL LIVINGTON</v>
      </c>
      <c r="EO140" t="str">
        <v>LOOR ALCIVAR MARIA ILIANA</v>
      </c>
      <c r="EP140" t="str">
        <v>LOOR MIELES TANIA JACQUELINE</v>
      </c>
      <c r="EQ140" t="str">
        <v>LOOR SOLORZANO ROSA MARIA</v>
      </c>
      <c r="ER140" t="str">
        <v>LOPEZ DELGADO RONALD MAURICIO</v>
      </c>
      <c r="ES140" t="str">
        <v>MACIAS VALENCIA DAVID GABRIEL</v>
      </c>
      <c r="ET140" t="str">
        <v>MENDOZA ZAMORA WALTER MANUEL</v>
      </c>
      <c r="EU140" t="str">
        <v>MOLINA CEVALLOS MARIA LORENA</v>
      </c>
      <c r="EV140" t="str">
        <v>MURILLO DELGADO ISAAC GABRIEL</v>
      </c>
      <c r="EW140" t="str">
        <v>ANGULO MURILLO NAVIRA GISSELA</v>
      </c>
      <c r="EX140" t="str">
        <v>OCHOA SOLEDISPA NESTOR IVAN</v>
      </c>
      <c r="EY140" t="str">
        <v>PARRAGA FRANCO SILVANA MARIELA</v>
      </c>
      <c r="EZ140" t="str">
        <v>PINARGOTE VASQUEZ NANCY FABIOLA</v>
      </c>
      <c r="FA140" t="str">
        <v>REYES VELEZ PEDRO ENRIQUE</v>
      </c>
      <c r="FB140" t="str">
        <v>SAN ANDRES HORMAZA DALLAS CECILIA</v>
      </c>
      <c r="FC140" t="str">
        <v>SORNOZA ZAMORA JUAN CARLOS</v>
      </c>
      <c r="FD140" t="str">
        <v>TOMALA PINTO JESUS JACINTO</v>
      </c>
      <c r="FE140" t="str">
        <v>VALLE JARAMILLO SILVIA ARACELY</v>
      </c>
      <c r="FF140" t="str">
        <v>VELÁSQUEZ BRAVO IRMA KATHERINE</v>
      </c>
      <c r="FG140" t="str">
        <v>VELEZ MENDOZA LAYSY VALERIA</v>
      </c>
      <c r="FH140" t="str">
        <v>VINUEZA TELLO SHIRLEY ELIZABETH</v>
      </c>
      <c r="FI140" t="str">
        <v>ZAMBRANO ALCIVAR NILDA ISABEL</v>
      </c>
      <c r="FJ140" t="str">
        <v>ZAMBRANO LOOR RITA MAYDA</v>
      </c>
      <c r="FK140" t="str">
        <v>ZAMBRANO VERA MONICA JANETH</v>
      </c>
      <c r="FL140" t="str">
        <v>VERA DELGADO BRYAN ADRIÁN</v>
      </c>
      <c r="FM140" t="str">
        <v>MORAN GONZALES DAVID RENATO</v>
      </c>
      <c r="FN140">
        <v>0</v>
      </c>
    </row>
    <row r="141" spans="1:170" ht="20.25" customHeight="1">
      <c r="A141" s="4" t="str" cm="1">
        <f t="array" ref="A141">TRANSPOSE(_xlfn.UNIQUE(_xlfn._xlws.FILTER(MAE_ASIGNATURA[ID_NIVEL],MAE_ASIGNATURA[ID_CARRERA]=ASIGNACION!$C141,"No existe información")))</f>
        <v>No existe información</v>
      </c>
      <c r="S141" s="4" t="str" cm="1">
        <f t="array" ref="S141">TRANSPOSE(_xlfn.UNIQUE(_xlfn._xlws.FILTER(MAE_ASIGNATURA[NOM_ASIG],(MAE_ASIGNATURA[ID_NIVEL]=ASIGNACION!$D141)*(MAE_ASIGNATURA[ID_CARRERA]=ASIGNACION!$C141),"No existe información")))</f>
        <v>No existe información</v>
      </c>
      <c r="BD141" s="4" t="str" cm="1">
        <f t="array" ref="BD141">TRANSPOSE(_xlfn.UNIQUE(_xlfn._xlws.FILTER(DET_ASIG[DETALLADO],(DET_ASIG[ID_CARRERA]=ASIGNACION!$C141)*(DET_ASIG[NIVEL]=ASIGNACION!$D141)*(DET_ASIG[ID_ASIG]=ASIGNACION!$G141),"No existe información")))</f>
        <v>No existe información</v>
      </c>
      <c r="BQ141" s="5" t="str" cm="1">
        <f t="array" ref="BQ141">IFERROR(
    TRANSPOSE(
        _xlfn.UNIQUE(
            _xlfn._xlws.FILTER(MAESTRIA_DETALLADO[MAESTRIA],
                ISNUMBER(MATCH(MAESTRIA_DETALLADO[CAMPO_DETALLADO],
                BD141:BP141,0))
            )
        )
    ),IF(BD141="ACTIVIDAD","DOCENCIA",""))</f>
        <v/>
      </c>
      <c r="EA141" s="5" t="str" cm="1">
        <f t="array" ref="EA141:FN141">IF(
    ASIGNACION!I141="SI",
    IFERROR(
        TRANSPOSE(
            _xlfn.UNIQUE(
                _xlfn._xlws.FILTER(EDU_DOCENTE[NOMBRE_DOCENTE],
                    ISNUMBER(MATCH(EDU_DOCENTE[MAESTRIA],
                    BQ141:DY141,0))
                )
            )
        ),
        ""
    ),
    TRANSPOSE(
        _xlfn.UNIQUE(EDU_DOCENTE[NOMBRE_DOCENTE]
        )
    )
)</f>
        <v>ALCIVAR CEDEÑO BEATRIZ ISABEL</v>
      </c>
      <c r="EB141" t="str">
        <v>ALCIVAR VERA GEMA MICHELLE</v>
      </c>
      <c r="EC141" t="str">
        <v>ARAUZ CHAVEZ MARIO ROBERTO</v>
      </c>
      <c r="ED141" t="str">
        <v>BAILON LOURIDO WALTER ALBERTO</v>
      </c>
      <c r="EE141" t="str">
        <v>CALDERERO VILLAGOMEZ ERICK ANTONIO</v>
      </c>
      <c r="EF141" t="str">
        <v>CASTILLO GARCIA PAOLA GERMANIA</v>
      </c>
      <c r="EG141" t="str">
        <v>CEDEÑO CHOEZ PEDRO JAVIER</v>
      </c>
      <c r="EH141" t="str">
        <v>CEVALLOS HOPPE JUAN CARLOS</v>
      </c>
      <c r="EI141" t="str">
        <v>DELGADO CHAVEZ MARIA IRASEMA</v>
      </c>
      <c r="EJ141" t="str">
        <v>DUARTE VALENCIA CRISTHIAN DARIO</v>
      </c>
      <c r="EK141" t="str">
        <v>FORTTY BARBERAN DENNY ALEXANDER</v>
      </c>
      <c r="EL141" t="str">
        <v>GUTIERREZ ZAMBRANO CARMEN EBELINA</v>
      </c>
      <c r="EM141" t="str">
        <v>INTRIAGO MOLINA GEMA VALERIA</v>
      </c>
      <c r="EN141" t="str">
        <v>LINO VELEZ LEONEL LIVINGTON</v>
      </c>
      <c r="EO141" t="str">
        <v>LOOR ALCIVAR MARIA ILIANA</v>
      </c>
      <c r="EP141" t="str">
        <v>LOOR MIELES TANIA JACQUELINE</v>
      </c>
      <c r="EQ141" t="str">
        <v>LOOR SOLORZANO ROSA MARIA</v>
      </c>
      <c r="ER141" t="str">
        <v>LOPEZ DELGADO RONALD MAURICIO</v>
      </c>
      <c r="ES141" t="str">
        <v>MACIAS VALENCIA DAVID GABRIEL</v>
      </c>
      <c r="ET141" t="str">
        <v>MENDOZA ZAMORA WALTER MANUEL</v>
      </c>
      <c r="EU141" t="str">
        <v>MOLINA CEVALLOS MARIA LORENA</v>
      </c>
      <c r="EV141" t="str">
        <v>MURILLO DELGADO ISAAC GABRIEL</v>
      </c>
      <c r="EW141" t="str">
        <v>ANGULO MURILLO NAVIRA GISSELA</v>
      </c>
      <c r="EX141" t="str">
        <v>OCHOA SOLEDISPA NESTOR IVAN</v>
      </c>
      <c r="EY141" t="str">
        <v>PARRAGA FRANCO SILVANA MARIELA</v>
      </c>
      <c r="EZ141" t="str">
        <v>PINARGOTE VASQUEZ NANCY FABIOLA</v>
      </c>
      <c r="FA141" t="str">
        <v>REYES VELEZ PEDRO ENRIQUE</v>
      </c>
      <c r="FB141" t="str">
        <v>SAN ANDRES HORMAZA DALLAS CECILIA</v>
      </c>
      <c r="FC141" t="str">
        <v>SORNOZA ZAMORA JUAN CARLOS</v>
      </c>
      <c r="FD141" t="str">
        <v>TOMALA PINTO JESUS JACINTO</v>
      </c>
      <c r="FE141" t="str">
        <v>VALLE JARAMILLO SILVIA ARACELY</v>
      </c>
      <c r="FF141" t="str">
        <v>VELÁSQUEZ BRAVO IRMA KATHERINE</v>
      </c>
      <c r="FG141" t="str">
        <v>VELEZ MENDOZA LAYSY VALERIA</v>
      </c>
      <c r="FH141" t="str">
        <v>VINUEZA TELLO SHIRLEY ELIZABETH</v>
      </c>
      <c r="FI141" t="str">
        <v>ZAMBRANO ALCIVAR NILDA ISABEL</v>
      </c>
      <c r="FJ141" t="str">
        <v>ZAMBRANO LOOR RITA MAYDA</v>
      </c>
      <c r="FK141" t="str">
        <v>ZAMBRANO VERA MONICA JANETH</v>
      </c>
      <c r="FL141" t="str">
        <v>VERA DELGADO BRYAN ADRIÁN</v>
      </c>
      <c r="FM141" t="str">
        <v>MORAN GONZALES DAVID RENATO</v>
      </c>
      <c r="FN141">
        <v>0</v>
      </c>
    </row>
    <row r="142" spans="1:170" ht="20.25" customHeight="1">
      <c r="A142" s="4" t="str" cm="1">
        <f t="array" ref="A142">TRANSPOSE(_xlfn.UNIQUE(_xlfn._xlws.FILTER(MAE_ASIGNATURA[ID_NIVEL],MAE_ASIGNATURA[ID_CARRERA]=ASIGNACION!$C142,"No existe información")))</f>
        <v>No existe información</v>
      </c>
      <c r="S142" s="4" t="str" cm="1">
        <f t="array" ref="S142">TRANSPOSE(_xlfn.UNIQUE(_xlfn._xlws.FILTER(MAE_ASIGNATURA[NOM_ASIG],(MAE_ASIGNATURA[ID_NIVEL]=ASIGNACION!$D142)*(MAE_ASIGNATURA[ID_CARRERA]=ASIGNACION!$C142),"No existe información")))</f>
        <v>No existe información</v>
      </c>
      <c r="BD142" s="4" t="str" cm="1">
        <f t="array" ref="BD142">TRANSPOSE(_xlfn.UNIQUE(_xlfn._xlws.FILTER(DET_ASIG[DETALLADO],(DET_ASIG[ID_CARRERA]=ASIGNACION!$C142)*(DET_ASIG[NIVEL]=ASIGNACION!$D142)*(DET_ASIG[ID_ASIG]=ASIGNACION!$G142),"No existe información")))</f>
        <v>No existe información</v>
      </c>
      <c r="BQ142" s="5" t="str" cm="1">
        <f t="array" ref="BQ142">IFERROR(
    TRANSPOSE(
        _xlfn.UNIQUE(
            _xlfn._xlws.FILTER(MAESTRIA_DETALLADO[MAESTRIA],
                ISNUMBER(MATCH(MAESTRIA_DETALLADO[CAMPO_DETALLADO],
                BD142:BP142,0))
            )
        )
    ),IF(BD142="ACTIVIDAD","DOCENCIA",""))</f>
        <v/>
      </c>
      <c r="EA142" s="5" t="str" cm="1">
        <f t="array" ref="EA142:FN142">IF(
    ASIGNACION!I142="SI",
    IFERROR(
        TRANSPOSE(
            _xlfn.UNIQUE(
                _xlfn._xlws.FILTER(EDU_DOCENTE[NOMBRE_DOCENTE],
                    ISNUMBER(MATCH(EDU_DOCENTE[MAESTRIA],
                    BQ142:DY142,0))
                )
            )
        ),
        ""
    ),
    TRANSPOSE(
        _xlfn.UNIQUE(EDU_DOCENTE[NOMBRE_DOCENTE]
        )
    )
)</f>
        <v>ALCIVAR CEDEÑO BEATRIZ ISABEL</v>
      </c>
      <c r="EB142" t="str">
        <v>ALCIVAR VERA GEMA MICHELLE</v>
      </c>
      <c r="EC142" t="str">
        <v>ARAUZ CHAVEZ MARIO ROBERTO</v>
      </c>
      <c r="ED142" t="str">
        <v>BAILON LOURIDO WALTER ALBERTO</v>
      </c>
      <c r="EE142" t="str">
        <v>CALDERERO VILLAGOMEZ ERICK ANTONIO</v>
      </c>
      <c r="EF142" t="str">
        <v>CASTILLO GARCIA PAOLA GERMANIA</v>
      </c>
      <c r="EG142" t="str">
        <v>CEDEÑO CHOEZ PEDRO JAVIER</v>
      </c>
      <c r="EH142" t="str">
        <v>CEVALLOS HOPPE JUAN CARLOS</v>
      </c>
      <c r="EI142" t="str">
        <v>DELGADO CHAVEZ MARIA IRASEMA</v>
      </c>
      <c r="EJ142" t="str">
        <v>DUARTE VALENCIA CRISTHIAN DARIO</v>
      </c>
      <c r="EK142" t="str">
        <v>FORTTY BARBERAN DENNY ALEXANDER</v>
      </c>
      <c r="EL142" t="str">
        <v>GUTIERREZ ZAMBRANO CARMEN EBELINA</v>
      </c>
      <c r="EM142" t="str">
        <v>INTRIAGO MOLINA GEMA VALERIA</v>
      </c>
      <c r="EN142" t="str">
        <v>LINO VELEZ LEONEL LIVINGTON</v>
      </c>
      <c r="EO142" t="str">
        <v>LOOR ALCIVAR MARIA ILIANA</v>
      </c>
      <c r="EP142" t="str">
        <v>LOOR MIELES TANIA JACQUELINE</v>
      </c>
      <c r="EQ142" t="str">
        <v>LOOR SOLORZANO ROSA MARIA</v>
      </c>
      <c r="ER142" t="str">
        <v>LOPEZ DELGADO RONALD MAURICIO</v>
      </c>
      <c r="ES142" t="str">
        <v>MACIAS VALENCIA DAVID GABRIEL</v>
      </c>
      <c r="ET142" t="str">
        <v>MENDOZA ZAMORA WALTER MANUEL</v>
      </c>
      <c r="EU142" t="str">
        <v>MOLINA CEVALLOS MARIA LORENA</v>
      </c>
      <c r="EV142" t="str">
        <v>MURILLO DELGADO ISAAC GABRIEL</v>
      </c>
      <c r="EW142" t="str">
        <v>ANGULO MURILLO NAVIRA GISSELA</v>
      </c>
      <c r="EX142" t="str">
        <v>OCHOA SOLEDISPA NESTOR IVAN</v>
      </c>
      <c r="EY142" t="str">
        <v>PARRAGA FRANCO SILVANA MARIELA</v>
      </c>
      <c r="EZ142" t="str">
        <v>PINARGOTE VASQUEZ NANCY FABIOLA</v>
      </c>
      <c r="FA142" t="str">
        <v>REYES VELEZ PEDRO ENRIQUE</v>
      </c>
      <c r="FB142" t="str">
        <v>SAN ANDRES HORMAZA DALLAS CECILIA</v>
      </c>
      <c r="FC142" t="str">
        <v>SORNOZA ZAMORA JUAN CARLOS</v>
      </c>
      <c r="FD142" t="str">
        <v>TOMALA PINTO JESUS JACINTO</v>
      </c>
      <c r="FE142" t="str">
        <v>VALLE JARAMILLO SILVIA ARACELY</v>
      </c>
      <c r="FF142" t="str">
        <v>VELÁSQUEZ BRAVO IRMA KATHERINE</v>
      </c>
      <c r="FG142" t="str">
        <v>VELEZ MENDOZA LAYSY VALERIA</v>
      </c>
      <c r="FH142" t="str">
        <v>VINUEZA TELLO SHIRLEY ELIZABETH</v>
      </c>
      <c r="FI142" t="str">
        <v>ZAMBRANO ALCIVAR NILDA ISABEL</v>
      </c>
      <c r="FJ142" t="str">
        <v>ZAMBRANO LOOR RITA MAYDA</v>
      </c>
      <c r="FK142" t="str">
        <v>ZAMBRANO VERA MONICA JANETH</v>
      </c>
      <c r="FL142" t="str">
        <v>VERA DELGADO BRYAN ADRIÁN</v>
      </c>
      <c r="FM142" t="str">
        <v>MORAN GONZALES DAVID RENATO</v>
      </c>
      <c r="FN142">
        <v>0</v>
      </c>
    </row>
    <row r="143" spans="1:170" ht="20.25" customHeight="1">
      <c r="A143" s="4" t="str" cm="1">
        <f t="array" ref="A143">TRANSPOSE(_xlfn.UNIQUE(_xlfn._xlws.FILTER(MAE_ASIGNATURA[ID_NIVEL],MAE_ASIGNATURA[ID_CARRERA]=ASIGNACION!$C143,"No existe información")))</f>
        <v>No existe información</v>
      </c>
      <c r="S143" s="4" t="str" cm="1">
        <f t="array" ref="S143">TRANSPOSE(_xlfn.UNIQUE(_xlfn._xlws.FILTER(MAE_ASIGNATURA[NOM_ASIG],(MAE_ASIGNATURA[ID_NIVEL]=ASIGNACION!$D143)*(MAE_ASIGNATURA[ID_CARRERA]=ASIGNACION!$C143),"No existe información")))</f>
        <v>No existe información</v>
      </c>
      <c r="BD143" s="4" t="str" cm="1">
        <f t="array" ref="BD143">TRANSPOSE(_xlfn.UNIQUE(_xlfn._xlws.FILTER(DET_ASIG[DETALLADO],(DET_ASIG[ID_CARRERA]=ASIGNACION!$C143)*(DET_ASIG[NIVEL]=ASIGNACION!$D143)*(DET_ASIG[ID_ASIG]=ASIGNACION!$G143),"No existe información")))</f>
        <v>No existe información</v>
      </c>
      <c r="BQ143" s="5" t="str" cm="1">
        <f t="array" ref="BQ143">IFERROR(
    TRANSPOSE(
        _xlfn.UNIQUE(
            _xlfn._xlws.FILTER(MAESTRIA_DETALLADO[MAESTRIA],
                ISNUMBER(MATCH(MAESTRIA_DETALLADO[CAMPO_DETALLADO],
                BD143:BP143,0))
            )
        )
    ),IF(BD143="ACTIVIDAD","DOCENCIA",""))</f>
        <v/>
      </c>
      <c r="EA143" s="5" t="str" cm="1">
        <f t="array" ref="EA143:FN143">IF(
    ASIGNACION!I143="SI",
    IFERROR(
        TRANSPOSE(
            _xlfn.UNIQUE(
                _xlfn._xlws.FILTER(EDU_DOCENTE[NOMBRE_DOCENTE],
                    ISNUMBER(MATCH(EDU_DOCENTE[MAESTRIA],
                    BQ143:DY143,0))
                )
            )
        ),
        ""
    ),
    TRANSPOSE(
        _xlfn.UNIQUE(EDU_DOCENTE[NOMBRE_DOCENTE]
        )
    )
)</f>
        <v>ALCIVAR CEDEÑO BEATRIZ ISABEL</v>
      </c>
      <c r="EB143" t="str">
        <v>ALCIVAR VERA GEMA MICHELLE</v>
      </c>
      <c r="EC143" t="str">
        <v>ARAUZ CHAVEZ MARIO ROBERTO</v>
      </c>
      <c r="ED143" t="str">
        <v>BAILON LOURIDO WALTER ALBERTO</v>
      </c>
      <c r="EE143" t="str">
        <v>CALDERERO VILLAGOMEZ ERICK ANTONIO</v>
      </c>
      <c r="EF143" t="str">
        <v>CASTILLO GARCIA PAOLA GERMANIA</v>
      </c>
      <c r="EG143" t="str">
        <v>CEDEÑO CHOEZ PEDRO JAVIER</v>
      </c>
      <c r="EH143" t="str">
        <v>CEVALLOS HOPPE JUAN CARLOS</v>
      </c>
      <c r="EI143" t="str">
        <v>DELGADO CHAVEZ MARIA IRASEMA</v>
      </c>
      <c r="EJ143" t="str">
        <v>DUARTE VALENCIA CRISTHIAN DARIO</v>
      </c>
      <c r="EK143" t="str">
        <v>FORTTY BARBERAN DENNY ALEXANDER</v>
      </c>
      <c r="EL143" t="str">
        <v>GUTIERREZ ZAMBRANO CARMEN EBELINA</v>
      </c>
      <c r="EM143" t="str">
        <v>INTRIAGO MOLINA GEMA VALERIA</v>
      </c>
      <c r="EN143" t="str">
        <v>LINO VELEZ LEONEL LIVINGTON</v>
      </c>
      <c r="EO143" t="str">
        <v>LOOR ALCIVAR MARIA ILIANA</v>
      </c>
      <c r="EP143" t="str">
        <v>LOOR MIELES TANIA JACQUELINE</v>
      </c>
      <c r="EQ143" t="str">
        <v>LOOR SOLORZANO ROSA MARIA</v>
      </c>
      <c r="ER143" t="str">
        <v>LOPEZ DELGADO RONALD MAURICIO</v>
      </c>
      <c r="ES143" t="str">
        <v>MACIAS VALENCIA DAVID GABRIEL</v>
      </c>
      <c r="ET143" t="str">
        <v>MENDOZA ZAMORA WALTER MANUEL</v>
      </c>
      <c r="EU143" t="str">
        <v>MOLINA CEVALLOS MARIA LORENA</v>
      </c>
      <c r="EV143" t="str">
        <v>MURILLO DELGADO ISAAC GABRIEL</v>
      </c>
      <c r="EW143" t="str">
        <v>ANGULO MURILLO NAVIRA GISSELA</v>
      </c>
      <c r="EX143" t="str">
        <v>OCHOA SOLEDISPA NESTOR IVAN</v>
      </c>
      <c r="EY143" t="str">
        <v>PARRAGA FRANCO SILVANA MARIELA</v>
      </c>
      <c r="EZ143" t="str">
        <v>PINARGOTE VASQUEZ NANCY FABIOLA</v>
      </c>
      <c r="FA143" t="str">
        <v>REYES VELEZ PEDRO ENRIQUE</v>
      </c>
      <c r="FB143" t="str">
        <v>SAN ANDRES HORMAZA DALLAS CECILIA</v>
      </c>
      <c r="FC143" t="str">
        <v>SORNOZA ZAMORA JUAN CARLOS</v>
      </c>
      <c r="FD143" t="str">
        <v>TOMALA PINTO JESUS JACINTO</v>
      </c>
      <c r="FE143" t="str">
        <v>VALLE JARAMILLO SILVIA ARACELY</v>
      </c>
      <c r="FF143" t="str">
        <v>VELÁSQUEZ BRAVO IRMA KATHERINE</v>
      </c>
      <c r="FG143" t="str">
        <v>VELEZ MENDOZA LAYSY VALERIA</v>
      </c>
      <c r="FH143" t="str">
        <v>VINUEZA TELLO SHIRLEY ELIZABETH</v>
      </c>
      <c r="FI143" t="str">
        <v>ZAMBRANO ALCIVAR NILDA ISABEL</v>
      </c>
      <c r="FJ143" t="str">
        <v>ZAMBRANO LOOR RITA MAYDA</v>
      </c>
      <c r="FK143" t="str">
        <v>ZAMBRANO VERA MONICA JANETH</v>
      </c>
      <c r="FL143" t="str">
        <v>VERA DELGADO BRYAN ADRIÁN</v>
      </c>
      <c r="FM143" t="str">
        <v>MORAN GONZALES DAVID RENATO</v>
      </c>
      <c r="FN143">
        <v>0</v>
      </c>
    </row>
    <row r="144" spans="1:170" ht="20.25" customHeight="1">
      <c r="A144" s="4" t="str" cm="1">
        <f t="array" ref="A144">TRANSPOSE(_xlfn.UNIQUE(_xlfn._xlws.FILTER(MAE_ASIGNATURA[ID_NIVEL],MAE_ASIGNATURA[ID_CARRERA]=ASIGNACION!$C144,"No existe información")))</f>
        <v>No existe información</v>
      </c>
      <c r="S144" s="4" t="str" cm="1">
        <f t="array" ref="S144">TRANSPOSE(_xlfn.UNIQUE(_xlfn._xlws.FILTER(MAE_ASIGNATURA[NOM_ASIG],(MAE_ASIGNATURA[ID_NIVEL]=ASIGNACION!$D144)*(MAE_ASIGNATURA[ID_CARRERA]=ASIGNACION!$C144),"No existe información")))</f>
        <v>No existe información</v>
      </c>
      <c r="BD144" s="4" t="str" cm="1">
        <f t="array" ref="BD144">TRANSPOSE(_xlfn.UNIQUE(_xlfn._xlws.FILTER(DET_ASIG[DETALLADO],(DET_ASIG[ID_CARRERA]=ASIGNACION!$C144)*(DET_ASIG[NIVEL]=ASIGNACION!$D144)*(DET_ASIG[ID_ASIG]=ASIGNACION!$G144),"No existe información")))</f>
        <v>No existe información</v>
      </c>
      <c r="BQ144" s="5" t="str" cm="1">
        <f t="array" ref="BQ144">IFERROR(
    TRANSPOSE(
        _xlfn.UNIQUE(
            _xlfn._xlws.FILTER(MAESTRIA_DETALLADO[MAESTRIA],
                ISNUMBER(MATCH(MAESTRIA_DETALLADO[CAMPO_DETALLADO],
                BD144:BP144,0))
            )
        )
    ),IF(BD144="ACTIVIDAD","DOCENCIA",""))</f>
        <v/>
      </c>
      <c r="EA144" s="5" t="str" cm="1">
        <f t="array" ref="EA144:FN144">IF(
    ASIGNACION!I144="SI",
    IFERROR(
        TRANSPOSE(
            _xlfn.UNIQUE(
                _xlfn._xlws.FILTER(EDU_DOCENTE[NOMBRE_DOCENTE],
                    ISNUMBER(MATCH(EDU_DOCENTE[MAESTRIA],
                    BQ144:DY144,0))
                )
            )
        ),
        ""
    ),
    TRANSPOSE(
        _xlfn.UNIQUE(EDU_DOCENTE[NOMBRE_DOCENTE]
        )
    )
)</f>
        <v>ALCIVAR CEDEÑO BEATRIZ ISABEL</v>
      </c>
      <c r="EB144" t="str">
        <v>ALCIVAR VERA GEMA MICHELLE</v>
      </c>
      <c r="EC144" t="str">
        <v>ARAUZ CHAVEZ MARIO ROBERTO</v>
      </c>
      <c r="ED144" t="str">
        <v>BAILON LOURIDO WALTER ALBERTO</v>
      </c>
      <c r="EE144" t="str">
        <v>CALDERERO VILLAGOMEZ ERICK ANTONIO</v>
      </c>
      <c r="EF144" t="str">
        <v>CASTILLO GARCIA PAOLA GERMANIA</v>
      </c>
      <c r="EG144" t="str">
        <v>CEDEÑO CHOEZ PEDRO JAVIER</v>
      </c>
      <c r="EH144" t="str">
        <v>CEVALLOS HOPPE JUAN CARLOS</v>
      </c>
      <c r="EI144" t="str">
        <v>DELGADO CHAVEZ MARIA IRASEMA</v>
      </c>
      <c r="EJ144" t="str">
        <v>DUARTE VALENCIA CRISTHIAN DARIO</v>
      </c>
      <c r="EK144" t="str">
        <v>FORTTY BARBERAN DENNY ALEXANDER</v>
      </c>
      <c r="EL144" t="str">
        <v>GUTIERREZ ZAMBRANO CARMEN EBELINA</v>
      </c>
      <c r="EM144" t="str">
        <v>INTRIAGO MOLINA GEMA VALERIA</v>
      </c>
      <c r="EN144" t="str">
        <v>LINO VELEZ LEONEL LIVINGTON</v>
      </c>
      <c r="EO144" t="str">
        <v>LOOR ALCIVAR MARIA ILIANA</v>
      </c>
      <c r="EP144" t="str">
        <v>LOOR MIELES TANIA JACQUELINE</v>
      </c>
      <c r="EQ144" t="str">
        <v>LOOR SOLORZANO ROSA MARIA</v>
      </c>
      <c r="ER144" t="str">
        <v>LOPEZ DELGADO RONALD MAURICIO</v>
      </c>
      <c r="ES144" t="str">
        <v>MACIAS VALENCIA DAVID GABRIEL</v>
      </c>
      <c r="ET144" t="str">
        <v>MENDOZA ZAMORA WALTER MANUEL</v>
      </c>
      <c r="EU144" t="str">
        <v>MOLINA CEVALLOS MARIA LORENA</v>
      </c>
      <c r="EV144" t="str">
        <v>MURILLO DELGADO ISAAC GABRIEL</v>
      </c>
      <c r="EW144" t="str">
        <v>ANGULO MURILLO NAVIRA GISSELA</v>
      </c>
      <c r="EX144" t="str">
        <v>OCHOA SOLEDISPA NESTOR IVAN</v>
      </c>
      <c r="EY144" t="str">
        <v>PARRAGA FRANCO SILVANA MARIELA</v>
      </c>
      <c r="EZ144" t="str">
        <v>PINARGOTE VASQUEZ NANCY FABIOLA</v>
      </c>
      <c r="FA144" t="str">
        <v>REYES VELEZ PEDRO ENRIQUE</v>
      </c>
      <c r="FB144" t="str">
        <v>SAN ANDRES HORMAZA DALLAS CECILIA</v>
      </c>
      <c r="FC144" t="str">
        <v>SORNOZA ZAMORA JUAN CARLOS</v>
      </c>
      <c r="FD144" t="str">
        <v>TOMALA PINTO JESUS JACINTO</v>
      </c>
      <c r="FE144" t="str">
        <v>VALLE JARAMILLO SILVIA ARACELY</v>
      </c>
      <c r="FF144" t="str">
        <v>VELÁSQUEZ BRAVO IRMA KATHERINE</v>
      </c>
      <c r="FG144" t="str">
        <v>VELEZ MENDOZA LAYSY VALERIA</v>
      </c>
      <c r="FH144" t="str">
        <v>VINUEZA TELLO SHIRLEY ELIZABETH</v>
      </c>
      <c r="FI144" t="str">
        <v>ZAMBRANO ALCIVAR NILDA ISABEL</v>
      </c>
      <c r="FJ144" t="str">
        <v>ZAMBRANO LOOR RITA MAYDA</v>
      </c>
      <c r="FK144" t="str">
        <v>ZAMBRANO VERA MONICA JANETH</v>
      </c>
      <c r="FL144" t="str">
        <v>VERA DELGADO BRYAN ADRIÁN</v>
      </c>
      <c r="FM144" t="str">
        <v>MORAN GONZALES DAVID RENATO</v>
      </c>
      <c r="FN144">
        <v>0</v>
      </c>
    </row>
    <row r="145" spans="1:170" ht="20.25" customHeight="1">
      <c r="A145" s="4" t="str" cm="1">
        <f t="array" ref="A145">TRANSPOSE(_xlfn.UNIQUE(_xlfn._xlws.FILTER(MAE_ASIGNATURA[ID_NIVEL],MAE_ASIGNATURA[ID_CARRERA]=ASIGNACION!$C145,"No existe información")))</f>
        <v>No existe información</v>
      </c>
      <c r="S145" s="4" t="str" cm="1">
        <f t="array" ref="S145">TRANSPOSE(_xlfn.UNIQUE(_xlfn._xlws.FILTER(MAE_ASIGNATURA[NOM_ASIG],(MAE_ASIGNATURA[ID_NIVEL]=ASIGNACION!$D145)*(MAE_ASIGNATURA[ID_CARRERA]=ASIGNACION!$C145),"No existe información")))</f>
        <v>No existe información</v>
      </c>
      <c r="BD145" s="4" t="str" cm="1">
        <f t="array" ref="BD145">TRANSPOSE(_xlfn.UNIQUE(_xlfn._xlws.FILTER(DET_ASIG[DETALLADO],(DET_ASIG[ID_CARRERA]=ASIGNACION!$C145)*(DET_ASIG[NIVEL]=ASIGNACION!$D145)*(DET_ASIG[ID_ASIG]=ASIGNACION!$G145),"No existe información")))</f>
        <v>No existe información</v>
      </c>
      <c r="BQ145" s="5" t="str" cm="1">
        <f t="array" ref="BQ145">IFERROR(
    TRANSPOSE(
        _xlfn.UNIQUE(
            _xlfn._xlws.FILTER(MAESTRIA_DETALLADO[MAESTRIA],
                ISNUMBER(MATCH(MAESTRIA_DETALLADO[CAMPO_DETALLADO],
                BD145:BP145,0))
            )
        )
    ),IF(BD145="ACTIVIDAD","DOCENCIA",""))</f>
        <v/>
      </c>
      <c r="EA145" s="5" t="str" cm="1">
        <f t="array" ref="EA145:FN145">IF(
    ASIGNACION!I145="SI",
    IFERROR(
        TRANSPOSE(
            _xlfn.UNIQUE(
                _xlfn._xlws.FILTER(EDU_DOCENTE[NOMBRE_DOCENTE],
                    ISNUMBER(MATCH(EDU_DOCENTE[MAESTRIA],
                    BQ145:DY145,0))
                )
            )
        ),
        ""
    ),
    TRANSPOSE(
        _xlfn.UNIQUE(EDU_DOCENTE[NOMBRE_DOCENTE]
        )
    )
)</f>
        <v>ALCIVAR CEDEÑO BEATRIZ ISABEL</v>
      </c>
      <c r="EB145" t="str">
        <v>ALCIVAR VERA GEMA MICHELLE</v>
      </c>
      <c r="EC145" t="str">
        <v>ARAUZ CHAVEZ MARIO ROBERTO</v>
      </c>
      <c r="ED145" t="str">
        <v>BAILON LOURIDO WALTER ALBERTO</v>
      </c>
      <c r="EE145" t="str">
        <v>CALDERERO VILLAGOMEZ ERICK ANTONIO</v>
      </c>
      <c r="EF145" t="str">
        <v>CASTILLO GARCIA PAOLA GERMANIA</v>
      </c>
      <c r="EG145" t="str">
        <v>CEDEÑO CHOEZ PEDRO JAVIER</v>
      </c>
      <c r="EH145" t="str">
        <v>CEVALLOS HOPPE JUAN CARLOS</v>
      </c>
      <c r="EI145" t="str">
        <v>DELGADO CHAVEZ MARIA IRASEMA</v>
      </c>
      <c r="EJ145" t="str">
        <v>DUARTE VALENCIA CRISTHIAN DARIO</v>
      </c>
      <c r="EK145" t="str">
        <v>FORTTY BARBERAN DENNY ALEXANDER</v>
      </c>
      <c r="EL145" t="str">
        <v>GUTIERREZ ZAMBRANO CARMEN EBELINA</v>
      </c>
      <c r="EM145" t="str">
        <v>INTRIAGO MOLINA GEMA VALERIA</v>
      </c>
      <c r="EN145" t="str">
        <v>LINO VELEZ LEONEL LIVINGTON</v>
      </c>
      <c r="EO145" t="str">
        <v>LOOR ALCIVAR MARIA ILIANA</v>
      </c>
      <c r="EP145" t="str">
        <v>LOOR MIELES TANIA JACQUELINE</v>
      </c>
      <c r="EQ145" t="str">
        <v>LOOR SOLORZANO ROSA MARIA</v>
      </c>
      <c r="ER145" t="str">
        <v>LOPEZ DELGADO RONALD MAURICIO</v>
      </c>
      <c r="ES145" t="str">
        <v>MACIAS VALENCIA DAVID GABRIEL</v>
      </c>
      <c r="ET145" t="str">
        <v>MENDOZA ZAMORA WALTER MANUEL</v>
      </c>
      <c r="EU145" t="str">
        <v>MOLINA CEVALLOS MARIA LORENA</v>
      </c>
      <c r="EV145" t="str">
        <v>MURILLO DELGADO ISAAC GABRIEL</v>
      </c>
      <c r="EW145" t="str">
        <v>ANGULO MURILLO NAVIRA GISSELA</v>
      </c>
      <c r="EX145" t="str">
        <v>OCHOA SOLEDISPA NESTOR IVAN</v>
      </c>
      <c r="EY145" t="str">
        <v>PARRAGA FRANCO SILVANA MARIELA</v>
      </c>
      <c r="EZ145" t="str">
        <v>PINARGOTE VASQUEZ NANCY FABIOLA</v>
      </c>
      <c r="FA145" t="str">
        <v>REYES VELEZ PEDRO ENRIQUE</v>
      </c>
      <c r="FB145" t="str">
        <v>SAN ANDRES HORMAZA DALLAS CECILIA</v>
      </c>
      <c r="FC145" t="str">
        <v>SORNOZA ZAMORA JUAN CARLOS</v>
      </c>
      <c r="FD145" t="str">
        <v>TOMALA PINTO JESUS JACINTO</v>
      </c>
      <c r="FE145" t="str">
        <v>VALLE JARAMILLO SILVIA ARACELY</v>
      </c>
      <c r="FF145" t="str">
        <v>VELÁSQUEZ BRAVO IRMA KATHERINE</v>
      </c>
      <c r="FG145" t="str">
        <v>VELEZ MENDOZA LAYSY VALERIA</v>
      </c>
      <c r="FH145" t="str">
        <v>VINUEZA TELLO SHIRLEY ELIZABETH</v>
      </c>
      <c r="FI145" t="str">
        <v>ZAMBRANO ALCIVAR NILDA ISABEL</v>
      </c>
      <c r="FJ145" t="str">
        <v>ZAMBRANO LOOR RITA MAYDA</v>
      </c>
      <c r="FK145" t="str">
        <v>ZAMBRANO VERA MONICA JANETH</v>
      </c>
      <c r="FL145" t="str">
        <v>VERA DELGADO BRYAN ADRIÁN</v>
      </c>
      <c r="FM145" t="str">
        <v>MORAN GONZALES DAVID RENATO</v>
      </c>
      <c r="FN145">
        <v>0</v>
      </c>
    </row>
    <row r="146" spans="1:170" ht="20.25" customHeight="1">
      <c r="A146" s="4" t="str" cm="1">
        <f t="array" ref="A146">TRANSPOSE(_xlfn.UNIQUE(_xlfn._xlws.FILTER(MAE_ASIGNATURA[ID_NIVEL],MAE_ASIGNATURA[ID_CARRERA]=ASIGNACION!$C146,"No existe información")))</f>
        <v>No existe información</v>
      </c>
      <c r="S146" s="4" t="str" cm="1">
        <f t="array" ref="S146">TRANSPOSE(_xlfn.UNIQUE(_xlfn._xlws.FILTER(MAE_ASIGNATURA[NOM_ASIG],(MAE_ASIGNATURA[ID_NIVEL]=ASIGNACION!$D146)*(MAE_ASIGNATURA[ID_CARRERA]=ASIGNACION!$C146),"No existe información")))</f>
        <v>No existe información</v>
      </c>
      <c r="BD146" s="4" t="str" cm="1">
        <f t="array" ref="BD146">TRANSPOSE(_xlfn.UNIQUE(_xlfn._xlws.FILTER(DET_ASIG[DETALLADO],(DET_ASIG[ID_CARRERA]=ASIGNACION!$C146)*(DET_ASIG[NIVEL]=ASIGNACION!$D146)*(DET_ASIG[ID_ASIG]=ASIGNACION!$G146),"No existe información")))</f>
        <v>No existe información</v>
      </c>
      <c r="BQ146" s="5" t="str" cm="1">
        <f t="array" ref="BQ146">IFERROR(
    TRANSPOSE(
        _xlfn.UNIQUE(
            _xlfn._xlws.FILTER(MAESTRIA_DETALLADO[MAESTRIA],
                ISNUMBER(MATCH(MAESTRIA_DETALLADO[CAMPO_DETALLADO],
                BD146:BP146,0))
            )
        )
    ),IF(BD146="ACTIVIDAD","DOCENCIA",""))</f>
        <v/>
      </c>
      <c r="EA146" s="5" t="str" cm="1">
        <f t="array" ref="EA146:FN146">IF(
    ASIGNACION!I146="SI",
    IFERROR(
        TRANSPOSE(
            _xlfn.UNIQUE(
                _xlfn._xlws.FILTER(EDU_DOCENTE[NOMBRE_DOCENTE],
                    ISNUMBER(MATCH(EDU_DOCENTE[MAESTRIA],
                    BQ146:DY146,0))
                )
            )
        ),
        ""
    ),
    TRANSPOSE(
        _xlfn.UNIQUE(EDU_DOCENTE[NOMBRE_DOCENTE]
        )
    )
)</f>
        <v>ALCIVAR CEDEÑO BEATRIZ ISABEL</v>
      </c>
      <c r="EB146" t="str">
        <v>ALCIVAR VERA GEMA MICHELLE</v>
      </c>
      <c r="EC146" t="str">
        <v>ARAUZ CHAVEZ MARIO ROBERTO</v>
      </c>
      <c r="ED146" t="str">
        <v>BAILON LOURIDO WALTER ALBERTO</v>
      </c>
      <c r="EE146" t="str">
        <v>CALDERERO VILLAGOMEZ ERICK ANTONIO</v>
      </c>
      <c r="EF146" t="str">
        <v>CASTILLO GARCIA PAOLA GERMANIA</v>
      </c>
      <c r="EG146" t="str">
        <v>CEDEÑO CHOEZ PEDRO JAVIER</v>
      </c>
      <c r="EH146" t="str">
        <v>CEVALLOS HOPPE JUAN CARLOS</v>
      </c>
      <c r="EI146" t="str">
        <v>DELGADO CHAVEZ MARIA IRASEMA</v>
      </c>
      <c r="EJ146" t="str">
        <v>DUARTE VALENCIA CRISTHIAN DARIO</v>
      </c>
      <c r="EK146" t="str">
        <v>FORTTY BARBERAN DENNY ALEXANDER</v>
      </c>
      <c r="EL146" t="str">
        <v>GUTIERREZ ZAMBRANO CARMEN EBELINA</v>
      </c>
      <c r="EM146" t="str">
        <v>INTRIAGO MOLINA GEMA VALERIA</v>
      </c>
      <c r="EN146" t="str">
        <v>LINO VELEZ LEONEL LIVINGTON</v>
      </c>
      <c r="EO146" t="str">
        <v>LOOR ALCIVAR MARIA ILIANA</v>
      </c>
      <c r="EP146" t="str">
        <v>LOOR MIELES TANIA JACQUELINE</v>
      </c>
      <c r="EQ146" t="str">
        <v>LOOR SOLORZANO ROSA MARIA</v>
      </c>
      <c r="ER146" t="str">
        <v>LOPEZ DELGADO RONALD MAURICIO</v>
      </c>
      <c r="ES146" t="str">
        <v>MACIAS VALENCIA DAVID GABRIEL</v>
      </c>
      <c r="ET146" t="str">
        <v>MENDOZA ZAMORA WALTER MANUEL</v>
      </c>
      <c r="EU146" t="str">
        <v>MOLINA CEVALLOS MARIA LORENA</v>
      </c>
      <c r="EV146" t="str">
        <v>MURILLO DELGADO ISAAC GABRIEL</v>
      </c>
      <c r="EW146" t="str">
        <v>ANGULO MURILLO NAVIRA GISSELA</v>
      </c>
      <c r="EX146" t="str">
        <v>OCHOA SOLEDISPA NESTOR IVAN</v>
      </c>
      <c r="EY146" t="str">
        <v>PARRAGA FRANCO SILVANA MARIELA</v>
      </c>
      <c r="EZ146" t="str">
        <v>PINARGOTE VASQUEZ NANCY FABIOLA</v>
      </c>
      <c r="FA146" t="str">
        <v>REYES VELEZ PEDRO ENRIQUE</v>
      </c>
      <c r="FB146" t="str">
        <v>SAN ANDRES HORMAZA DALLAS CECILIA</v>
      </c>
      <c r="FC146" t="str">
        <v>SORNOZA ZAMORA JUAN CARLOS</v>
      </c>
      <c r="FD146" t="str">
        <v>TOMALA PINTO JESUS JACINTO</v>
      </c>
      <c r="FE146" t="str">
        <v>VALLE JARAMILLO SILVIA ARACELY</v>
      </c>
      <c r="FF146" t="str">
        <v>VELÁSQUEZ BRAVO IRMA KATHERINE</v>
      </c>
      <c r="FG146" t="str">
        <v>VELEZ MENDOZA LAYSY VALERIA</v>
      </c>
      <c r="FH146" t="str">
        <v>VINUEZA TELLO SHIRLEY ELIZABETH</v>
      </c>
      <c r="FI146" t="str">
        <v>ZAMBRANO ALCIVAR NILDA ISABEL</v>
      </c>
      <c r="FJ146" t="str">
        <v>ZAMBRANO LOOR RITA MAYDA</v>
      </c>
      <c r="FK146" t="str">
        <v>ZAMBRANO VERA MONICA JANETH</v>
      </c>
      <c r="FL146" t="str">
        <v>VERA DELGADO BRYAN ADRIÁN</v>
      </c>
      <c r="FM146" t="str">
        <v>MORAN GONZALES DAVID RENATO</v>
      </c>
      <c r="FN146">
        <v>0</v>
      </c>
    </row>
    <row r="147" spans="1:170" ht="20.25" customHeight="1">
      <c r="A147" s="4" t="str" cm="1">
        <f t="array" ref="A147">TRANSPOSE(_xlfn.UNIQUE(_xlfn._xlws.FILTER(MAE_ASIGNATURA[ID_NIVEL],MAE_ASIGNATURA[ID_CARRERA]=ASIGNACION!$C147,"No existe información")))</f>
        <v>No existe información</v>
      </c>
      <c r="S147" s="4" t="str" cm="1">
        <f t="array" ref="S147">TRANSPOSE(_xlfn.UNIQUE(_xlfn._xlws.FILTER(MAE_ASIGNATURA[NOM_ASIG],(MAE_ASIGNATURA[ID_NIVEL]=ASIGNACION!$D147)*(MAE_ASIGNATURA[ID_CARRERA]=ASIGNACION!$C147),"No existe información")))</f>
        <v>No existe información</v>
      </c>
      <c r="BD147" s="4" t="str" cm="1">
        <f t="array" ref="BD147">TRANSPOSE(_xlfn.UNIQUE(_xlfn._xlws.FILTER(DET_ASIG[DETALLADO],(DET_ASIG[ID_CARRERA]=ASIGNACION!$C147)*(DET_ASIG[NIVEL]=ASIGNACION!$D147)*(DET_ASIG[ID_ASIG]=ASIGNACION!$G147),"No existe información")))</f>
        <v>No existe información</v>
      </c>
      <c r="BQ147" s="5" t="str" cm="1">
        <f t="array" ref="BQ147">IFERROR(
    TRANSPOSE(
        _xlfn.UNIQUE(
            _xlfn._xlws.FILTER(MAESTRIA_DETALLADO[MAESTRIA],
                ISNUMBER(MATCH(MAESTRIA_DETALLADO[CAMPO_DETALLADO],
                BD147:BP147,0))
            )
        )
    ),IF(BD147="ACTIVIDAD","DOCENCIA",""))</f>
        <v/>
      </c>
      <c r="EA147" s="5" t="str" cm="1">
        <f t="array" ref="EA147:FN147">IF(
    ASIGNACION!I147="SI",
    IFERROR(
        TRANSPOSE(
            _xlfn.UNIQUE(
                _xlfn._xlws.FILTER(EDU_DOCENTE[NOMBRE_DOCENTE],
                    ISNUMBER(MATCH(EDU_DOCENTE[MAESTRIA],
                    BQ147:DY147,0))
                )
            )
        ),
        ""
    ),
    TRANSPOSE(
        _xlfn.UNIQUE(EDU_DOCENTE[NOMBRE_DOCENTE]
        )
    )
)</f>
        <v>ALCIVAR CEDEÑO BEATRIZ ISABEL</v>
      </c>
      <c r="EB147" t="str">
        <v>ALCIVAR VERA GEMA MICHELLE</v>
      </c>
      <c r="EC147" t="str">
        <v>ARAUZ CHAVEZ MARIO ROBERTO</v>
      </c>
      <c r="ED147" t="str">
        <v>BAILON LOURIDO WALTER ALBERTO</v>
      </c>
      <c r="EE147" t="str">
        <v>CALDERERO VILLAGOMEZ ERICK ANTONIO</v>
      </c>
      <c r="EF147" t="str">
        <v>CASTILLO GARCIA PAOLA GERMANIA</v>
      </c>
      <c r="EG147" t="str">
        <v>CEDEÑO CHOEZ PEDRO JAVIER</v>
      </c>
      <c r="EH147" t="str">
        <v>CEVALLOS HOPPE JUAN CARLOS</v>
      </c>
      <c r="EI147" t="str">
        <v>DELGADO CHAVEZ MARIA IRASEMA</v>
      </c>
      <c r="EJ147" t="str">
        <v>DUARTE VALENCIA CRISTHIAN DARIO</v>
      </c>
      <c r="EK147" t="str">
        <v>FORTTY BARBERAN DENNY ALEXANDER</v>
      </c>
      <c r="EL147" t="str">
        <v>GUTIERREZ ZAMBRANO CARMEN EBELINA</v>
      </c>
      <c r="EM147" t="str">
        <v>INTRIAGO MOLINA GEMA VALERIA</v>
      </c>
      <c r="EN147" t="str">
        <v>LINO VELEZ LEONEL LIVINGTON</v>
      </c>
      <c r="EO147" t="str">
        <v>LOOR ALCIVAR MARIA ILIANA</v>
      </c>
      <c r="EP147" t="str">
        <v>LOOR MIELES TANIA JACQUELINE</v>
      </c>
      <c r="EQ147" t="str">
        <v>LOOR SOLORZANO ROSA MARIA</v>
      </c>
      <c r="ER147" t="str">
        <v>LOPEZ DELGADO RONALD MAURICIO</v>
      </c>
      <c r="ES147" t="str">
        <v>MACIAS VALENCIA DAVID GABRIEL</v>
      </c>
      <c r="ET147" t="str">
        <v>MENDOZA ZAMORA WALTER MANUEL</v>
      </c>
      <c r="EU147" t="str">
        <v>MOLINA CEVALLOS MARIA LORENA</v>
      </c>
      <c r="EV147" t="str">
        <v>MURILLO DELGADO ISAAC GABRIEL</v>
      </c>
      <c r="EW147" t="str">
        <v>ANGULO MURILLO NAVIRA GISSELA</v>
      </c>
      <c r="EX147" t="str">
        <v>OCHOA SOLEDISPA NESTOR IVAN</v>
      </c>
      <c r="EY147" t="str">
        <v>PARRAGA FRANCO SILVANA MARIELA</v>
      </c>
      <c r="EZ147" t="str">
        <v>PINARGOTE VASQUEZ NANCY FABIOLA</v>
      </c>
      <c r="FA147" t="str">
        <v>REYES VELEZ PEDRO ENRIQUE</v>
      </c>
      <c r="FB147" t="str">
        <v>SAN ANDRES HORMAZA DALLAS CECILIA</v>
      </c>
      <c r="FC147" t="str">
        <v>SORNOZA ZAMORA JUAN CARLOS</v>
      </c>
      <c r="FD147" t="str">
        <v>TOMALA PINTO JESUS JACINTO</v>
      </c>
      <c r="FE147" t="str">
        <v>VALLE JARAMILLO SILVIA ARACELY</v>
      </c>
      <c r="FF147" t="str">
        <v>VELÁSQUEZ BRAVO IRMA KATHERINE</v>
      </c>
      <c r="FG147" t="str">
        <v>VELEZ MENDOZA LAYSY VALERIA</v>
      </c>
      <c r="FH147" t="str">
        <v>VINUEZA TELLO SHIRLEY ELIZABETH</v>
      </c>
      <c r="FI147" t="str">
        <v>ZAMBRANO ALCIVAR NILDA ISABEL</v>
      </c>
      <c r="FJ147" t="str">
        <v>ZAMBRANO LOOR RITA MAYDA</v>
      </c>
      <c r="FK147" t="str">
        <v>ZAMBRANO VERA MONICA JANETH</v>
      </c>
      <c r="FL147" t="str">
        <v>VERA DELGADO BRYAN ADRIÁN</v>
      </c>
      <c r="FM147" t="str">
        <v>MORAN GONZALES DAVID RENATO</v>
      </c>
      <c r="FN147">
        <v>0</v>
      </c>
    </row>
    <row r="148" spans="1:170" ht="20.25" customHeight="1">
      <c r="A148" s="4" t="str" cm="1">
        <f t="array" ref="A148">TRANSPOSE(_xlfn.UNIQUE(_xlfn._xlws.FILTER(MAE_ASIGNATURA[ID_NIVEL],MAE_ASIGNATURA[ID_CARRERA]=ASIGNACION!$C148,"No existe información")))</f>
        <v>No existe información</v>
      </c>
      <c r="S148" s="4" t="str" cm="1">
        <f t="array" ref="S148">TRANSPOSE(_xlfn.UNIQUE(_xlfn._xlws.FILTER(MAE_ASIGNATURA[NOM_ASIG],(MAE_ASIGNATURA[ID_NIVEL]=ASIGNACION!$D148)*(MAE_ASIGNATURA[ID_CARRERA]=ASIGNACION!$C148),"No existe información")))</f>
        <v>No existe información</v>
      </c>
      <c r="BD148" s="4" t="str" cm="1">
        <f t="array" ref="BD148">TRANSPOSE(_xlfn.UNIQUE(_xlfn._xlws.FILTER(DET_ASIG[DETALLADO],(DET_ASIG[ID_CARRERA]=ASIGNACION!$C148)*(DET_ASIG[NIVEL]=ASIGNACION!$D148)*(DET_ASIG[ID_ASIG]=ASIGNACION!$G148),"No existe información")))</f>
        <v>No existe información</v>
      </c>
      <c r="BQ148" s="5" t="str" cm="1">
        <f t="array" ref="BQ148">IFERROR(
    TRANSPOSE(
        _xlfn.UNIQUE(
            _xlfn._xlws.FILTER(MAESTRIA_DETALLADO[MAESTRIA],
                ISNUMBER(MATCH(MAESTRIA_DETALLADO[CAMPO_DETALLADO],
                BD148:BP148,0))
            )
        )
    ),IF(BD148="ACTIVIDAD","DOCENCIA",""))</f>
        <v/>
      </c>
      <c r="EA148" s="5" t="str" cm="1">
        <f t="array" ref="EA148:FN148">IF(
    ASIGNACION!I148="SI",
    IFERROR(
        TRANSPOSE(
            _xlfn.UNIQUE(
                _xlfn._xlws.FILTER(EDU_DOCENTE[NOMBRE_DOCENTE],
                    ISNUMBER(MATCH(EDU_DOCENTE[MAESTRIA],
                    BQ148:DY148,0))
                )
            )
        ),
        ""
    ),
    TRANSPOSE(
        _xlfn.UNIQUE(EDU_DOCENTE[NOMBRE_DOCENTE]
        )
    )
)</f>
        <v>ALCIVAR CEDEÑO BEATRIZ ISABEL</v>
      </c>
      <c r="EB148" t="str">
        <v>ALCIVAR VERA GEMA MICHELLE</v>
      </c>
      <c r="EC148" t="str">
        <v>ARAUZ CHAVEZ MARIO ROBERTO</v>
      </c>
      <c r="ED148" t="str">
        <v>BAILON LOURIDO WALTER ALBERTO</v>
      </c>
      <c r="EE148" t="str">
        <v>CALDERERO VILLAGOMEZ ERICK ANTONIO</v>
      </c>
      <c r="EF148" t="str">
        <v>CASTILLO GARCIA PAOLA GERMANIA</v>
      </c>
      <c r="EG148" t="str">
        <v>CEDEÑO CHOEZ PEDRO JAVIER</v>
      </c>
      <c r="EH148" t="str">
        <v>CEVALLOS HOPPE JUAN CARLOS</v>
      </c>
      <c r="EI148" t="str">
        <v>DELGADO CHAVEZ MARIA IRASEMA</v>
      </c>
      <c r="EJ148" t="str">
        <v>DUARTE VALENCIA CRISTHIAN DARIO</v>
      </c>
      <c r="EK148" t="str">
        <v>FORTTY BARBERAN DENNY ALEXANDER</v>
      </c>
      <c r="EL148" t="str">
        <v>GUTIERREZ ZAMBRANO CARMEN EBELINA</v>
      </c>
      <c r="EM148" t="str">
        <v>INTRIAGO MOLINA GEMA VALERIA</v>
      </c>
      <c r="EN148" t="str">
        <v>LINO VELEZ LEONEL LIVINGTON</v>
      </c>
      <c r="EO148" t="str">
        <v>LOOR ALCIVAR MARIA ILIANA</v>
      </c>
      <c r="EP148" t="str">
        <v>LOOR MIELES TANIA JACQUELINE</v>
      </c>
      <c r="EQ148" t="str">
        <v>LOOR SOLORZANO ROSA MARIA</v>
      </c>
      <c r="ER148" t="str">
        <v>LOPEZ DELGADO RONALD MAURICIO</v>
      </c>
      <c r="ES148" t="str">
        <v>MACIAS VALENCIA DAVID GABRIEL</v>
      </c>
      <c r="ET148" t="str">
        <v>MENDOZA ZAMORA WALTER MANUEL</v>
      </c>
      <c r="EU148" t="str">
        <v>MOLINA CEVALLOS MARIA LORENA</v>
      </c>
      <c r="EV148" t="str">
        <v>MURILLO DELGADO ISAAC GABRIEL</v>
      </c>
      <c r="EW148" t="str">
        <v>ANGULO MURILLO NAVIRA GISSELA</v>
      </c>
      <c r="EX148" t="str">
        <v>OCHOA SOLEDISPA NESTOR IVAN</v>
      </c>
      <c r="EY148" t="str">
        <v>PARRAGA FRANCO SILVANA MARIELA</v>
      </c>
      <c r="EZ148" t="str">
        <v>PINARGOTE VASQUEZ NANCY FABIOLA</v>
      </c>
      <c r="FA148" t="str">
        <v>REYES VELEZ PEDRO ENRIQUE</v>
      </c>
      <c r="FB148" t="str">
        <v>SAN ANDRES HORMAZA DALLAS CECILIA</v>
      </c>
      <c r="FC148" t="str">
        <v>SORNOZA ZAMORA JUAN CARLOS</v>
      </c>
      <c r="FD148" t="str">
        <v>TOMALA PINTO JESUS JACINTO</v>
      </c>
      <c r="FE148" t="str">
        <v>VALLE JARAMILLO SILVIA ARACELY</v>
      </c>
      <c r="FF148" t="str">
        <v>VELÁSQUEZ BRAVO IRMA KATHERINE</v>
      </c>
      <c r="FG148" t="str">
        <v>VELEZ MENDOZA LAYSY VALERIA</v>
      </c>
      <c r="FH148" t="str">
        <v>VINUEZA TELLO SHIRLEY ELIZABETH</v>
      </c>
      <c r="FI148" t="str">
        <v>ZAMBRANO ALCIVAR NILDA ISABEL</v>
      </c>
      <c r="FJ148" t="str">
        <v>ZAMBRANO LOOR RITA MAYDA</v>
      </c>
      <c r="FK148" t="str">
        <v>ZAMBRANO VERA MONICA JANETH</v>
      </c>
      <c r="FL148" t="str">
        <v>VERA DELGADO BRYAN ADRIÁN</v>
      </c>
      <c r="FM148" t="str">
        <v>MORAN GONZALES DAVID RENATO</v>
      </c>
      <c r="FN148">
        <v>0</v>
      </c>
    </row>
    <row r="149" spans="1:170" ht="20.25" customHeight="1">
      <c r="A149" s="4" t="str" cm="1">
        <f t="array" ref="A149">TRANSPOSE(_xlfn.UNIQUE(_xlfn._xlws.FILTER(MAE_ASIGNATURA[ID_NIVEL],MAE_ASIGNATURA[ID_CARRERA]=ASIGNACION!$C149,"No existe información")))</f>
        <v>No existe información</v>
      </c>
      <c r="S149" s="4" t="str" cm="1">
        <f t="array" ref="S149">TRANSPOSE(_xlfn.UNIQUE(_xlfn._xlws.FILTER(MAE_ASIGNATURA[NOM_ASIG],(MAE_ASIGNATURA[ID_NIVEL]=ASIGNACION!$D149)*(MAE_ASIGNATURA[ID_CARRERA]=ASIGNACION!$C149),"No existe información")))</f>
        <v>No existe información</v>
      </c>
      <c r="BD149" s="4" t="str" cm="1">
        <f t="array" ref="BD149">TRANSPOSE(_xlfn.UNIQUE(_xlfn._xlws.FILTER(DET_ASIG[DETALLADO],(DET_ASIG[ID_CARRERA]=ASIGNACION!$C149)*(DET_ASIG[NIVEL]=ASIGNACION!$D149)*(DET_ASIG[ID_ASIG]=ASIGNACION!$G149),"No existe información")))</f>
        <v>No existe información</v>
      </c>
      <c r="BQ149" s="5" t="str" cm="1">
        <f t="array" ref="BQ149">IFERROR(
    TRANSPOSE(
        _xlfn.UNIQUE(
            _xlfn._xlws.FILTER(MAESTRIA_DETALLADO[MAESTRIA],
                ISNUMBER(MATCH(MAESTRIA_DETALLADO[CAMPO_DETALLADO],
                BD149:BP149,0))
            )
        )
    ),IF(BD149="ACTIVIDAD","DOCENCIA",""))</f>
        <v/>
      </c>
      <c r="EA149" s="5" t="str" cm="1">
        <f t="array" ref="EA149:FN149">IF(
    ASIGNACION!I149="SI",
    IFERROR(
        TRANSPOSE(
            _xlfn.UNIQUE(
                _xlfn._xlws.FILTER(EDU_DOCENTE[NOMBRE_DOCENTE],
                    ISNUMBER(MATCH(EDU_DOCENTE[MAESTRIA],
                    BQ149:DY149,0))
                )
            )
        ),
        ""
    ),
    TRANSPOSE(
        _xlfn.UNIQUE(EDU_DOCENTE[NOMBRE_DOCENTE]
        )
    )
)</f>
        <v>ALCIVAR CEDEÑO BEATRIZ ISABEL</v>
      </c>
      <c r="EB149" t="str">
        <v>ALCIVAR VERA GEMA MICHELLE</v>
      </c>
      <c r="EC149" t="str">
        <v>ARAUZ CHAVEZ MARIO ROBERTO</v>
      </c>
      <c r="ED149" t="str">
        <v>BAILON LOURIDO WALTER ALBERTO</v>
      </c>
      <c r="EE149" t="str">
        <v>CALDERERO VILLAGOMEZ ERICK ANTONIO</v>
      </c>
      <c r="EF149" t="str">
        <v>CASTILLO GARCIA PAOLA GERMANIA</v>
      </c>
      <c r="EG149" t="str">
        <v>CEDEÑO CHOEZ PEDRO JAVIER</v>
      </c>
      <c r="EH149" t="str">
        <v>CEVALLOS HOPPE JUAN CARLOS</v>
      </c>
      <c r="EI149" t="str">
        <v>DELGADO CHAVEZ MARIA IRASEMA</v>
      </c>
      <c r="EJ149" t="str">
        <v>DUARTE VALENCIA CRISTHIAN DARIO</v>
      </c>
      <c r="EK149" t="str">
        <v>FORTTY BARBERAN DENNY ALEXANDER</v>
      </c>
      <c r="EL149" t="str">
        <v>GUTIERREZ ZAMBRANO CARMEN EBELINA</v>
      </c>
      <c r="EM149" t="str">
        <v>INTRIAGO MOLINA GEMA VALERIA</v>
      </c>
      <c r="EN149" t="str">
        <v>LINO VELEZ LEONEL LIVINGTON</v>
      </c>
      <c r="EO149" t="str">
        <v>LOOR ALCIVAR MARIA ILIANA</v>
      </c>
      <c r="EP149" t="str">
        <v>LOOR MIELES TANIA JACQUELINE</v>
      </c>
      <c r="EQ149" t="str">
        <v>LOOR SOLORZANO ROSA MARIA</v>
      </c>
      <c r="ER149" t="str">
        <v>LOPEZ DELGADO RONALD MAURICIO</v>
      </c>
      <c r="ES149" t="str">
        <v>MACIAS VALENCIA DAVID GABRIEL</v>
      </c>
      <c r="ET149" t="str">
        <v>MENDOZA ZAMORA WALTER MANUEL</v>
      </c>
      <c r="EU149" t="str">
        <v>MOLINA CEVALLOS MARIA LORENA</v>
      </c>
      <c r="EV149" t="str">
        <v>MURILLO DELGADO ISAAC GABRIEL</v>
      </c>
      <c r="EW149" t="str">
        <v>ANGULO MURILLO NAVIRA GISSELA</v>
      </c>
      <c r="EX149" t="str">
        <v>OCHOA SOLEDISPA NESTOR IVAN</v>
      </c>
      <c r="EY149" t="str">
        <v>PARRAGA FRANCO SILVANA MARIELA</v>
      </c>
      <c r="EZ149" t="str">
        <v>PINARGOTE VASQUEZ NANCY FABIOLA</v>
      </c>
      <c r="FA149" t="str">
        <v>REYES VELEZ PEDRO ENRIQUE</v>
      </c>
      <c r="FB149" t="str">
        <v>SAN ANDRES HORMAZA DALLAS CECILIA</v>
      </c>
      <c r="FC149" t="str">
        <v>SORNOZA ZAMORA JUAN CARLOS</v>
      </c>
      <c r="FD149" t="str">
        <v>TOMALA PINTO JESUS JACINTO</v>
      </c>
      <c r="FE149" t="str">
        <v>VALLE JARAMILLO SILVIA ARACELY</v>
      </c>
      <c r="FF149" t="str">
        <v>VELÁSQUEZ BRAVO IRMA KATHERINE</v>
      </c>
      <c r="FG149" t="str">
        <v>VELEZ MENDOZA LAYSY VALERIA</v>
      </c>
      <c r="FH149" t="str">
        <v>VINUEZA TELLO SHIRLEY ELIZABETH</v>
      </c>
      <c r="FI149" t="str">
        <v>ZAMBRANO ALCIVAR NILDA ISABEL</v>
      </c>
      <c r="FJ149" t="str">
        <v>ZAMBRANO LOOR RITA MAYDA</v>
      </c>
      <c r="FK149" t="str">
        <v>ZAMBRANO VERA MONICA JANETH</v>
      </c>
      <c r="FL149" t="str">
        <v>VERA DELGADO BRYAN ADRIÁN</v>
      </c>
      <c r="FM149" t="str">
        <v>MORAN GONZALES DAVID RENATO</v>
      </c>
      <c r="FN149">
        <v>0</v>
      </c>
    </row>
    <row r="150" spans="1:170" ht="20.25" customHeight="1">
      <c r="A150" s="4" t="str" cm="1">
        <f t="array" ref="A150">TRANSPOSE(_xlfn.UNIQUE(_xlfn._xlws.FILTER(MAE_ASIGNATURA[ID_NIVEL],MAE_ASIGNATURA[ID_CARRERA]=ASIGNACION!$C150,"No existe información")))</f>
        <v>No existe información</v>
      </c>
      <c r="S150" s="4" t="str" cm="1">
        <f t="array" ref="S150">TRANSPOSE(_xlfn.UNIQUE(_xlfn._xlws.FILTER(MAE_ASIGNATURA[NOM_ASIG],(MAE_ASIGNATURA[ID_NIVEL]=ASIGNACION!$D150)*(MAE_ASIGNATURA[ID_CARRERA]=ASIGNACION!$C150),"No existe información")))</f>
        <v>No existe información</v>
      </c>
      <c r="BD150" s="4" t="str" cm="1">
        <f t="array" ref="BD150">TRANSPOSE(_xlfn.UNIQUE(_xlfn._xlws.FILTER(DET_ASIG[DETALLADO],(DET_ASIG[ID_CARRERA]=ASIGNACION!$C150)*(DET_ASIG[NIVEL]=ASIGNACION!$D150)*(DET_ASIG[ID_ASIG]=ASIGNACION!$G150),"No existe información")))</f>
        <v>No existe información</v>
      </c>
      <c r="BQ150" s="5" t="str" cm="1">
        <f t="array" ref="BQ150">IFERROR(
    TRANSPOSE(
        _xlfn.UNIQUE(
            _xlfn._xlws.FILTER(MAESTRIA_DETALLADO[MAESTRIA],
                ISNUMBER(MATCH(MAESTRIA_DETALLADO[CAMPO_DETALLADO],
                BD150:BP150,0))
            )
        )
    ),IF(BD150="ACTIVIDAD","DOCENCIA",""))</f>
        <v/>
      </c>
      <c r="EA150" s="5" t="str" cm="1">
        <f t="array" ref="EA150:FN150">IF(
    ASIGNACION!I150="SI",
    IFERROR(
        TRANSPOSE(
            _xlfn.UNIQUE(
                _xlfn._xlws.FILTER(EDU_DOCENTE[NOMBRE_DOCENTE],
                    ISNUMBER(MATCH(EDU_DOCENTE[MAESTRIA],
                    BQ150:DY150,0))
                )
            )
        ),
        ""
    ),
    TRANSPOSE(
        _xlfn.UNIQUE(EDU_DOCENTE[NOMBRE_DOCENTE]
        )
    )
)</f>
        <v>ALCIVAR CEDEÑO BEATRIZ ISABEL</v>
      </c>
      <c r="EB150" t="str">
        <v>ALCIVAR VERA GEMA MICHELLE</v>
      </c>
      <c r="EC150" t="str">
        <v>ARAUZ CHAVEZ MARIO ROBERTO</v>
      </c>
      <c r="ED150" t="str">
        <v>BAILON LOURIDO WALTER ALBERTO</v>
      </c>
      <c r="EE150" t="str">
        <v>CALDERERO VILLAGOMEZ ERICK ANTONIO</v>
      </c>
      <c r="EF150" t="str">
        <v>CASTILLO GARCIA PAOLA GERMANIA</v>
      </c>
      <c r="EG150" t="str">
        <v>CEDEÑO CHOEZ PEDRO JAVIER</v>
      </c>
      <c r="EH150" t="str">
        <v>CEVALLOS HOPPE JUAN CARLOS</v>
      </c>
      <c r="EI150" t="str">
        <v>DELGADO CHAVEZ MARIA IRASEMA</v>
      </c>
      <c r="EJ150" t="str">
        <v>DUARTE VALENCIA CRISTHIAN DARIO</v>
      </c>
      <c r="EK150" t="str">
        <v>FORTTY BARBERAN DENNY ALEXANDER</v>
      </c>
      <c r="EL150" t="str">
        <v>GUTIERREZ ZAMBRANO CARMEN EBELINA</v>
      </c>
      <c r="EM150" t="str">
        <v>INTRIAGO MOLINA GEMA VALERIA</v>
      </c>
      <c r="EN150" t="str">
        <v>LINO VELEZ LEONEL LIVINGTON</v>
      </c>
      <c r="EO150" t="str">
        <v>LOOR ALCIVAR MARIA ILIANA</v>
      </c>
      <c r="EP150" t="str">
        <v>LOOR MIELES TANIA JACQUELINE</v>
      </c>
      <c r="EQ150" t="str">
        <v>LOOR SOLORZANO ROSA MARIA</v>
      </c>
      <c r="ER150" t="str">
        <v>LOPEZ DELGADO RONALD MAURICIO</v>
      </c>
      <c r="ES150" t="str">
        <v>MACIAS VALENCIA DAVID GABRIEL</v>
      </c>
      <c r="ET150" t="str">
        <v>MENDOZA ZAMORA WALTER MANUEL</v>
      </c>
      <c r="EU150" t="str">
        <v>MOLINA CEVALLOS MARIA LORENA</v>
      </c>
      <c r="EV150" t="str">
        <v>MURILLO DELGADO ISAAC GABRIEL</v>
      </c>
      <c r="EW150" t="str">
        <v>ANGULO MURILLO NAVIRA GISSELA</v>
      </c>
      <c r="EX150" t="str">
        <v>OCHOA SOLEDISPA NESTOR IVAN</v>
      </c>
      <c r="EY150" t="str">
        <v>PARRAGA FRANCO SILVANA MARIELA</v>
      </c>
      <c r="EZ150" t="str">
        <v>PINARGOTE VASQUEZ NANCY FABIOLA</v>
      </c>
      <c r="FA150" t="str">
        <v>REYES VELEZ PEDRO ENRIQUE</v>
      </c>
      <c r="FB150" t="str">
        <v>SAN ANDRES HORMAZA DALLAS CECILIA</v>
      </c>
      <c r="FC150" t="str">
        <v>SORNOZA ZAMORA JUAN CARLOS</v>
      </c>
      <c r="FD150" t="str">
        <v>TOMALA PINTO JESUS JACINTO</v>
      </c>
      <c r="FE150" t="str">
        <v>VALLE JARAMILLO SILVIA ARACELY</v>
      </c>
      <c r="FF150" t="str">
        <v>VELÁSQUEZ BRAVO IRMA KATHERINE</v>
      </c>
      <c r="FG150" t="str">
        <v>VELEZ MENDOZA LAYSY VALERIA</v>
      </c>
      <c r="FH150" t="str">
        <v>VINUEZA TELLO SHIRLEY ELIZABETH</v>
      </c>
      <c r="FI150" t="str">
        <v>ZAMBRANO ALCIVAR NILDA ISABEL</v>
      </c>
      <c r="FJ150" t="str">
        <v>ZAMBRANO LOOR RITA MAYDA</v>
      </c>
      <c r="FK150" t="str">
        <v>ZAMBRANO VERA MONICA JANETH</v>
      </c>
      <c r="FL150" t="str">
        <v>VERA DELGADO BRYAN ADRIÁN</v>
      </c>
      <c r="FM150" t="str">
        <v>MORAN GONZALES DAVID RENATO</v>
      </c>
      <c r="FN150">
        <v>0</v>
      </c>
    </row>
    <row r="151" spans="1:170" ht="20.25" customHeight="1">
      <c r="A151" s="4" t="str" cm="1">
        <f t="array" ref="A151">TRANSPOSE(_xlfn.UNIQUE(_xlfn._xlws.FILTER(MAE_ASIGNATURA[ID_NIVEL],MAE_ASIGNATURA[ID_CARRERA]=ASIGNACION!$C151,"No existe información")))</f>
        <v>No existe información</v>
      </c>
      <c r="S151" s="4" t="str" cm="1">
        <f t="array" ref="S151">TRANSPOSE(_xlfn.UNIQUE(_xlfn._xlws.FILTER(MAE_ASIGNATURA[NOM_ASIG],(MAE_ASIGNATURA[ID_NIVEL]=ASIGNACION!$D151)*(MAE_ASIGNATURA[ID_CARRERA]=ASIGNACION!$C151),"No existe información")))</f>
        <v>No existe información</v>
      </c>
      <c r="BD151" s="4" t="str" cm="1">
        <f t="array" ref="BD151">TRANSPOSE(_xlfn.UNIQUE(_xlfn._xlws.FILTER(DET_ASIG[DETALLADO],(DET_ASIG[ID_CARRERA]=ASIGNACION!$C151)*(DET_ASIG[NIVEL]=ASIGNACION!$D151)*(DET_ASIG[ID_ASIG]=ASIGNACION!$G151),"No existe información")))</f>
        <v>No existe información</v>
      </c>
      <c r="BQ151" s="5" t="str" cm="1">
        <f t="array" ref="BQ151">IFERROR(
    TRANSPOSE(
        _xlfn.UNIQUE(
            _xlfn._xlws.FILTER(MAESTRIA_DETALLADO[MAESTRIA],
                ISNUMBER(MATCH(MAESTRIA_DETALLADO[CAMPO_DETALLADO],
                BD151:BP151,0))
            )
        )
    ),IF(BD151="ACTIVIDAD","DOCENCIA",""))</f>
        <v/>
      </c>
      <c r="EA151" s="5" t="str" cm="1">
        <f t="array" ref="EA151:FN151">IF(
    ASIGNACION!I151="SI",
    IFERROR(
        TRANSPOSE(
            _xlfn.UNIQUE(
                _xlfn._xlws.FILTER(EDU_DOCENTE[NOMBRE_DOCENTE],
                    ISNUMBER(MATCH(EDU_DOCENTE[MAESTRIA],
                    BQ151:DY151,0))
                )
            )
        ),
        ""
    ),
    TRANSPOSE(
        _xlfn.UNIQUE(EDU_DOCENTE[NOMBRE_DOCENTE]
        )
    )
)</f>
        <v>ALCIVAR CEDEÑO BEATRIZ ISABEL</v>
      </c>
      <c r="EB151" t="str">
        <v>ALCIVAR VERA GEMA MICHELLE</v>
      </c>
      <c r="EC151" t="str">
        <v>ARAUZ CHAVEZ MARIO ROBERTO</v>
      </c>
      <c r="ED151" t="str">
        <v>BAILON LOURIDO WALTER ALBERTO</v>
      </c>
      <c r="EE151" t="str">
        <v>CALDERERO VILLAGOMEZ ERICK ANTONIO</v>
      </c>
      <c r="EF151" t="str">
        <v>CASTILLO GARCIA PAOLA GERMANIA</v>
      </c>
      <c r="EG151" t="str">
        <v>CEDEÑO CHOEZ PEDRO JAVIER</v>
      </c>
      <c r="EH151" t="str">
        <v>CEVALLOS HOPPE JUAN CARLOS</v>
      </c>
      <c r="EI151" t="str">
        <v>DELGADO CHAVEZ MARIA IRASEMA</v>
      </c>
      <c r="EJ151" t="str">
        <v>DUARTE VALENCIA CRISTHIAN DARIO</v>
      </c>
      <c r="EK151" t="str">
        <v>FORTTY BARBERAN DENNY ALEXANDER</v>
      </c>
      <c r="EL151" t="str">
        <v>GUTIERREZ ZAMBRANO CARMEN EBELINA</v>
      </c>
      <c r="EM151" t="str">
        <v>INTRIAGO MOLINA GEMA VALERIA</v>
      </c>
      <c r="EN151" t="str">
        <v>LINO VELEZ LEONEL LIVINGTON</v>
      </c>
      <c r="EO151" t="str">
        <v>LOOR ALCIVAR MARIA ILIANA</v>
      </c>
      <c r="EP151" t="str">
        <v>LOOR MIELES TANIA JACQUELINE</v>
      </c>
      <c r="EQ151" t="str">
        <v>LOOR SOLORZANO ROSA MARIA</v>
      </c>
      <c r="ER151" t="str">
        <v>LOPEZ DELGADO RONALD MAURICIO</v>
      </c>
      <c r="ES151" t="str">
        <v>MACIAS VALENCIA DAVID GABRIEL</v>
      </c>
      <c r="ET151" t="str">
        <v>MENDOZA ZAMORA WALTER MANUEL</v>
      </c>
      <c r="EU151" t="str">
        <v>MOLINA CEVALLOS MARIA LORENA</v>
      </c>
      <c r="EV151" t="str">
        <v>MURILLO DELGADO ISAAC GABRIEL</v>
      </c>
      <c r="EW151" t="str">
        <v>ANGULO MURILLO NAVIRA GISSELA</v>
      </c>
      <c r="EX151" t="str">
        <v>OCHOA SOLEDISPA NESTOR IVAN</v>
      </c>
      <c r="EY151" t="str">
        <v>PARRAGA FRANCO SILVANA MARIELA</v>
      </c>
      <c r="EZ151" t="str">
        <v>PINARGOTE VASQUEZ NANCY FABIOLA</v>
      </c>
      <c r="FA151" t="str">
        <v>REYES VELEZ PEDRO ENRIQUE</v>
      </c>
      <c r="FB151" t="str">
        <v>SAN ANDRES HORMAZA DALLAS CECILIA</v>
      </c>
      <c r="FC151" t="str">
        <v>SORNOZA ZAMORA JUAN CARLOS</v>
      </c>
      <c r="FD151" t="str">
        <v>TOMALA PINTO JESUS JACINTO</v>
      </c>
      <c r="FE151" t="str">
        <v>VALLE JARAMILLO SILVIA ARACELY</v>
      </c>
      <c r="FF151" t="str">
        <v>VELÁSQUEZ BRAVO IRMA KATHERINE</v>
      </c>
      <c r="FG151" t="str">
        <v>VELEZ MENDOZA LAYSY VALERIA</v>
      </c>
      <c r="FH151" t="str">
        <v>VINUEZA TELLO SHIRLEY ELIZABETH</v>
      </c>
      <c r="FI151" t="str">
        <v>ZAMBRANO ALCIVAR NILDA ISABEL</v>
      </c>
      <c r="FJ151" t="str">
        <v>ZAMBRANO LOOR RITA MAYDA</v>
      </c>
      <c r="FK151" t="str">
        <v>ZAMBRANO VERA MONICA JANETH</v>
      </c>
      <c r="FL151" t="str">
        <v>VERA DELGADO BRYAN ADRIÁN</v>
      </c>
      <c r="FM151" t="str">
        <v>MORAN GONZALES DAVID RENATO</v>
      </c>
      <c r="FN151">
        <v>0</v>
      </c>
    </row>
    <row r="152" spans="1:170" ht="20.25" customHeight="1">
      <c r="A152" s="4" t="str" cm="1">
        <f t="array" ref="A152">TRANSPOSE(_xlfn.UNIQUE(_xlfn._xlws.FILTER(MAE_ASIGNATURA[ID_NIVEL],MAE_ASIGNATURA[ID_CARRERA]=ASIGNACION!$C152,"No existe información")))</f>
        <v>No existe información</v>
      </c>
      <c r="S152" s="4" t="str" cm="1">
        <f t="array" ref="S152">TRANSPOSE(_xlfn.UNIQUE(_xlfn._xlws.FILTER(MAE_ASIGNATURA[NOM_ASIG],(MAE_ASIGNATURA[ID_NIVEL]=ASIGNACION!$D152)*(MAE_ASIGNATURA[ID_CARRERA]=ASIGNACION!$C152),"No existe información")))</f>
        <v>No existe información</v>
      </c>
      <c r="BD152" s="4" t="str" cm="1">
        <f t="array" ref="BD152">TRANSPOSE(_xlfn.UNIQUE(_xlfn._xlws.FILTER(DET_ASIG[DETALLADO],(DET_ASIG[ID_CARRERA]=ASIGNACION!$C152)*(DET_ASIG[NIVEL]=ASIGNACION!$D152)*(DET_ASIG[ID_ASIG]=ASIGNACION!$G152),"No existe información")))</f>
        <v>No existe información</v>
      </c>
      <c r="BQ152" s="5" t="str" cm="1">
        <f t="array" ref="BQ152">IFERROR(
    TRANSPOSE(
        _xlfn.UNIQUE(
            _xlfn._xlws.FILTER(MAESTRIA_DETALLADO[MAESTRIA],
                ISNUMBER(MATCH(MAESTRIA_DETALLADO[CAMPO_DETALLADO],
                BD152:BP152,0))
            )
        )
    ),IF(BD152="ACTIVIDAD","DOCENCIA",""))</f>
        <v/>
      </c>
      <c r="EA152" s="5" t="str" cm="1">
        <f t="array" ref="EA152:FN152">IF(
    ASIGNACION!I152="SI",
    IFERROR(
        TRANSPOSE(
            _xlfn.UNIQUE(
                _xlfn._xlws.FILTER(EDU_DOCENTE[NOMBRE_DOCENTE],
                    ISNUMBER(MATCH(EDU_DOCENTE[MAESTRIA],
                    BQ152:DY152,0))
                )
            )
        ),
        ""
    ),
    TRANSPOSE(
        _xlfn.UNIQUE(EDU_DOCENTE[NOMBRE_DOCENTE]
        )
    )
)</f>
        <v>ALCIVAR CEDEÑO BEATRIZ ISABEL</v>
      </c>
      <c r="EB152" t="str">
        <v>ALCIVAR VERA GEMA MICHELLE</v>
      </c>
      <c r="EC152" t="str">
        <v>ARAUZ CHAVEZ MARIO ROBERTO</v>
      </c>
      <c r="ED152" t="str">
        <v>BAILON LOURIDO WALTER ALBERTO</v>
      </c>
      <c r="EE152" t="str">
        <v>CALDERERO VILLAGOMEZ ERICK ANTONIO</v>
      </c>
      <c r="EF152" t="str">
        <v>CASTILLO GARCIA PAOLA GERMANIA</v>
      </c>
      <c r="EG152" t="str">
        <v>CEDEÑO CHOEZ PEDRO JAVIER</v>
      </c>
      <c r="EH152" t="str">
        <v>CEVALLOS HOPPE JUAN CARLOS</v>
      </c>
      <c r="EI152" t="str">
        <v>DELGADO CHAVEZ MARIA IRASEMA</v>
      </c>
      <c r="EJ152" t="str">
        <v>DUARTE VALENCIA CRISTHIAN DARIO</v>
      </c>
      <c r="EK152" t="str">
        <v>FORTTY BARBERAN DENNY ALEXANDER</v>
      </c>
      <c r="EL152" t="str">
        <v>GUTIERREZ ZAMBRANO CARMEN EBELINA</v>
      </c>
      <c r="EM152" t="str">
        <v>INTRIAGO MOLINA GEMA VALERIA</v>
      </c>
      <c r="EN152" t="str">
        <v>LINO VELEZ LEONEL LIVINGTON</v>
      </c>
      <c r="EO152" t="str">
        <v>LOOR ALCIVAR MARIA ILIANA</v>
      </c>
      <c r="EP152" t="str">
        <v>LOOR MIELES TANIA JACQUELINE</v>
      </c>
      <c r="EQ152" t="str">
        <v>LOOR SOLORZANO ROSA MARIA</v>
      </c>
      <c r="ER152" t="str">
        <v>LOPEZ DELGADO RONALD MAURICIO</v>
      </c>
      <c r="ES152" t="str">
        <v>MACIAS VALENCIA DAVID GABRIEL</v>
      </c>
      <c r="ET152" t="str">
        <v>MENDOZA ZAMORA WALTER MANUEL</v>
      </c>
      <c r="EU152" t="str">
        <v>MOLINA CEVALLOS MARIA LORENA</v>
      </c>
      <c r="EV152" t="str">
        <v>MURILLO DELGADO ISAAC GABRIEL</v>
      </c>
      <c r="EW152" t="str">
        <v>ANGULO MURILLO NAVIRA GISSELA</v>
      </c>
      <c r="EX152" t="str">
        <v>OCHOA SOLEDISPA NESTOR IVAN</v>
      </c>
      <c r="EY152" t="str">
        <v>PARRAGA FRANCO SILVANA MARIELA</v>
      </c>
      <c r="EZ152" t="str">
        <v>PINARGOTE VASQUEZ NANCY FABIOLA</v>
      </c>
      <c r="FA152" t="str">
        <v>REYES VELEZ PEDRO ENRIQUE</v>
      </c>
      <c r="FB152" t="str">
        <v>SAN ANDRES HORMAZA DALLAS CECILIA</v>
      </c>
      <c r="FC152" t="str">
        <v>SORNOZA ZAMORA JUAN CARLOS</v>
      </c>
      <c r="FD152" t="str">
        <v>TOMALA PINTO JESUS JACINTO</v>
      </c>
      <c r="FE152" t="str">
        <v>VALLE JARAMILLO SILVIA ARACELY</v>
      </c>
      <c r="FF152" t="str">
        <v>VELÁSQUEZ BRAVO IRMA KATHERINE</v>
      </c>
      <c r="FG152" t="str">
        <v>VELEZ MENDOZA LAYSY VALERIA</v>
      </c>
      <c r="FH152" t="str">
        <v>VINUEZA TELLO SHIRLEY ELIZABETH</v>
      </c>
      <c r="FI152" t="str">
        <v>ZAMBRANO ALCIVAR NILDA ISABEL</v>
      </c>
      <c r="FJ152" t="str">
        <v>ZAMBRANO LOOR RITA MAYDA</v>
      </c>
      <c r="FK152" t="str">
        <v>ZAMBRANO VERA MONICA JANETH</v>
      </c>
      <c r="FL152" t="str">
        <v>VERA DELGADO BRYAN ADRIÁN</v>
      </c>
      <c r="FM152" t="str">
        <v>MORAN GONZALES DAVID RENATO</v>
      </c>
      <c r="FN152">
        <v>0</v>
      </c>
    </row>
    <row r="153" spans="1:170" ht="20.25" customHeight="1">
      <c r="A153" s="4" t="str" cm="1">
        <f t="array" ref="A153">TRANSPOSE(_xlfn.UNIQUE(_xlfn._xlws.FILTER(MAE_ASIGNATURA[ID_NIVEL],MAE_ASIGNATURA[ID_CARRERA]=ASIGNACION!$C153,"No existe información")))</f>
        <v>No existe información</v>
      </c>
      <c r="S153" s="4" t="str" cm="1">
        <f t="array" ref="S153">TRANSPOSE(_xlfn.UNIQUE(_xlfn._xlws.FILTER(MAE_ASIGNATURA[NOM_ASIG],(MAE_ASIGNATURA[ID_NIVEL]=ASIGNACION!$D153)*(MAE_ASIGNATURA[ID_CARRERA]=ASIGNACION!$C153),"No existe información")))</f>
        <v>No existe información</v>
      </c>
      <c r="BD153" s="4" t="str" cm="1">
        <f t="array" ref="BD153">TRANSPOSE(_xlfn.UNIQUE(_xlfn._xlws.FILTER(DET_ASIG[DETALLADO],(DET_ASIG[ID_CARRERA]=ASIGNACION!$C153)*(DET_ASIG[NIVEL]=ASIGNACION!$D153)*(DET_ASIG[ID_ASIG]=ASIGNACION!$G153),"No existe información")))</f>
        <v>No existe información</v>
      </c>
      <c r="BQ153" s="5" t="str" cm="1">
        <f t="array" ref="BQ153">IFERROR(
    TRANSPOSE(
        _xlfn.UNIQUE(
            _xlfn._xlws.FILTER(MAESTRIA_DETALLADO[MAESTRIA],
                ISNUMBER(MATCH(MAESTRIA_DETALLADO[CAMPO_DETALLADO],
                BD153:BP153,0))
            )
        )
    ),IF(BD153="ACTIVIDAD","DOCENCIA",""))</f>
        <v/>
      </c>
      <c r="EA153" s="5" t="str" cm="1">
        <f t="array" ref="EA153:FN153">IF(
    ASIGNACION!I153="SI",
    IFERROR(
        TRANSPOSE(
            _xlfn.UNIQUE(
                _xlfn._xlws.FILTER(EDU_DOCENTE[NOMBRE_DOCENTE],
                    ISNUMBER(MATCH(EDU_DOCENTE[MAESTRIA],
                    BQ153:DY153,0))
                )
            )
        ),
        ""
    ),
    TRANSPOSE(
        _xlfn.UNIQUE(EDU_DOCENTE[NOMBRE_DOCENTE]
        )
    )
)</f>
        <v>ALCIVAR CEDEÑO BEATRIZ ISABEL</v>
      </c>
      <c r="EB153" t="str">
        <v>ALCIVAR VERA GEMA MICHELLE</v>
      </c>
      <c r="EC153" t="str">
        <v>ARAUZ CHAVEZ MARIO ROBERTO</v>
      </c>
      <c r="ED153" t="str">
        <v>BAILON LOURIDO WALTER ALBERTO</v>
      </c>
      <c r="EE153" t="str">
        <v>CALDERERO VILLAGOMEZ ERICK ANTONIO</v>
      </c>
      <c r="EF153" t="str">
        <v>CASTILLO GARCIA PAOLA GERMANIA</v>
      </c>
      <c r="EG153" t="str">
        <v>CEDEÑO CHOEZ PEDRO JAVIER</v>
      </c>
      <c r="EH153" t="str">
        <v>CEVALLOS HOPPE JUAN CARLOS</v>
      </c>
      <c r="EI153" t="str">
        <v>DELGADO CHAVEZ MARIA IRASEMA</v>
      </c>
      <c r="EJ153" t="str">
        <v>DUARTE VALENCIA CRISTHIAN DARIO</v>
      </c>
      <c r="EK153" t="str">
        <v>FORTTY BARBERAN DENNY ALEXANDER</v>
      </c>
      <c r="EL153" t="str">
        <v>GUTIERREZ ZAMBRANO CARMEN EBELINA</v>
      </c>
      <c r="EM153" t="str">
        <v>INTRIAGO MOLINA GEMA VALERIA</v>
      </c>
      <c r="EN153" t="str">
        <v>LINO VELEZ LEONEL LIVINGTON</v>
      </c>
      <c r="EO153" t="str">
        <v>LOOR ALCIVAR MARIA ILIANA</v>
      </c>
      <c r="EP153" t="str">
        <v>LOOR MIELES TANIA JACQUELINE</v>
      </c>
      <c r="EQ153" t="str">
        <v>LOOR SOLORZANO ROSA MARIA</v>
      </c>
      <c r="ER153" t="str">
        <v>LOPEZ DELGADO RONALD MAURICIO</v>
      </c>
      <c r="ES153" t="str">
        <v>MACIAS VALENCIA DAVID GABRIEL</v>
      </c>
      <c r="ET153" t="str">
        <v>MENDOZA ZAMORA WALTER MANUEL</v>
      </c>
      <c r="EU153" t="str">
        <v>MOLINA CEVALLOS MARIA LORENA</v>
      </c>
      <c r="EV153" t="str">
        <v>MURILLO DELGADO ISAAC GABRIEL</v>
      </c>
      <c r="EW153" t="str">
        <v>ANGULO MURILLO NAVIRA GISSELA</v>
      </c>
      <c r="EX153" t="str">
        <v>OCHOA SOLEDISPA NESTOR IVAN</v>
      </c>
      <c r="EY153" t="str">
        <v>PARRAGA FRANCO SILVANA MARIELA</v>
      </c>
      <c r="EZ153" t="str">
        <v>PINARGOTE VASQUEZ NANCY FABIOLA</v>
      </c>
      <c r="FA153" t="str">
        <v>REYES VELEZ PEDRO ENRIQUE</v>
      </c>
      <c r="FB153" t="str">
        <v>SAN ANDRES HORMAZA DALLAS CECILIA</v>
      </c>
      <c r="FC153" t="str">
        <v>SORNOZA ZAMORA JUAN CARLOS</v>
      </c>
      <c r="FD153" t="str">
        <v>TOMALA PINTO JESUS JACINTO</v>
      </c>
      <c r="FE153" t="str">
        <v>VALLE JARAMILLO SILVIA ARACELY</v>
      </c>
      <c r="FF153" t="str">
        <v>VELÁSQUEZ BRAVO IRMA KATHERINE</v>
      </c>
      <c r="FG153" t="str">
        <v>VELEZ MENDOZA LAYSY VALERIA</v>
      </c>
      <c r="FH153" t="str">
        <v>VINUEZA TELLO SHIRLEY ELIZABETH</v>
      </c>
      <c r="FI153" t="str">
        <v>ZAMBRANO ALCIVAR NILDA ISABEL</v>
      </c>
      <c r="FJ153" t="str">
        <v>ZAMBRANO LOOR RITA MAYDA</v>
      </c>
      <c r="FK153" t="str">
        <v>ZAMBRANO VERA MONICA JANETH</v>
      </c>
      <c r="FL153" t="str">
        <v>VERA DELGADO BRYAN ADRIÁN</v>
      </c>
      <c r="FM153" t="str">
        <v>MORAN GONZALES DAVID RENATO</v>
      </c>
      <c r="FN153">
        <v>0</v>
      </c>
    </row>
    <row r="154" spans="1:170" ht="20.25" customHeight="1">
      <c r="A154" s="4" t="str" cm="1">
        <f t="array" ref="A154">TRANSPOSE(_xlfn.UNIQUE(_xlfn._xlws.FILTER(MAE_ASIGNATURA[ID_NIVEL],MAE_ASIGNATURA[ID_CARRERA]=ASIGNACION!$C154,"No existe información")))</f>
        <v>No existe información</v>
      </c>
      <c r="S154" s="4" t="str" cm="1">
        <f t="array" ref="S154">TRANSPOSE(_xlfn.UNIQUE(_xlfn._xlws.FILTER(MAE_ASIGNATURA[NOM_ASIG],(MAE_ASIGNATURA[ID_NIVEL]=ASIGNACION!$D154)*(MAE_ASIGNATURA[ID_CARRERA]=ASIGNACION!$C154),"No existe información")))</f>
        <v>No existe información</v>
      </c>
      <c r="BD154" s="4" t="str" cm="1">
        <f t="array" ref="BD154">TRANSPOSE(_xlfn.UNIQUE(_xlfn._xlws.FILTER(DET_ASIG[DETALLADO],(DET_ASIG[ID_CARRERA]=ASIGNACION!$C154)*(DET_ASIG[NIVEL]=ASIGNACION!$D154)*(DET_ASIG[ID_ASIG]=ASIGNACION!$G154),"No existe información")))</f>
        <v>No existe información</v>
      </c>
      <c r="BQ154" s="5" t="str" cm="1">
        <f t="array" ref="BQ154">IFERROR(
    TRANSPOSE(
        _xlfn.UNIQUE(
            _xlfn._xlws.FILTER(MAESTRIA_DETALLADO[MAESTRIA],
                ISNUMBER(MATCH(MAESTRIA_DETALLADO[CAMPO_DETALLADO],
                BD154:BP154,0))
            )
        )
    ),IF(BD154="ACTIVIDAD","DOCENCIA",""))</f>
        <v/>
      </c>
      <c r="EA154" s="5" t="str" cm="1">
        <f t="array" ref="EA154:FN154">IF(
    ASIGNACION!I154="SI",
    IFERROR(
        TRANSPOSE(
            _xlfn.UNIQUE(
                _xlfn._xlws.FILTER(EDU_DOCENTE[NOMBRE_DOCENTE],
                    ISNUMBER(MATCH(EDU_DOCENTE[MAESTRIA],
                    BQ154:DY154,0))
                )
            )
        ),
        ""
    ),
    TRANSPOSE(
        _xlfn.UNIQUE(EDU_DOCENTE[NOMBRE_DOCENTE]
        )
    )
)</f>
        <v>ALCIVAR CEDEÑO BEATRIZ ISABEL</v>
      </c>
      <c r="EB154" t="str">
        <v>ALCIVAR VERA GEMA MICHELLE</v>
      </c>
      <c r="EC154" t="str">
        <v>ARAUZ CHAVEZ MARIO ROBERTO</v>
      </c>
      <c r="ED154" t="str">
        <v>BAILON LOURIDO WALTER ALBERTO</v>
      </c>
      <c r="EE154" t="str">
        <v>CALDERERO VILLAGOMEZ ERICK ANTONIO</v>
      </c>
      <c r="EF154" t="str">
        <v>CASTILLO GARCIA PAOLA GERMANIA</v>
      </c>
      <c r="EG154" t="str">
        <v>CEDEÑO CHOEZ PEDRO JAVIER</v>
      </c>
      <c r="EH154" t="str">
        <v>CEVALLOS HOPPE JUAN CARLOS</v>
      </c>
      <c r="EI154" t="str">
        <v>DELGADO CHAVEZ MARIA IRASEMA</v>
      </c>
      <c r="EJ154" t="str">
        <v>DUARTE VALENCIA CRISTHIAN DARIO</v>
      </c>
      <c r="EK154" t="str">
        <v>FORTTY BARBERAN DENNY ALEXANDER</v>
      </c>
      <c r="EL154" t="str">
        <v>GUTIERREZ ZAMBRANO CARMEN EBELINA</v>
      </c>
      <c r="EM154" t="str">
        <v>INTRIAGO MOLINA GEMA VALERIA</v>
      </c>
      <c r="EN154" t="str">
        <v>LINO VELEZ LEONEL LIVINGTON</v>
      </c>
      <c r="EO154" t="str">
        <v>LOOR ALCIVAR MARIA ILIANA</v>
      </c>
      <c r="EP154" t="str">
        <v>LOOR MIELES TANIA JACQUELINE</v>
      </c>
      <c r="EQ154" t="str">
        <v>LOOR SOLORZANO ROSA MARIA</v>
      </c>
      <c r="ER154" t="str">
        <v>LOPEZ DELGADO RONALD MAURICIO</v>
      </c>
      <c r="ES154" t="str">
        <v>MACIAS VALENCIA DAVID GABRIEL</v>
      </c>
      <c r="ET154" t="str">
        <v>MENDOZA ZAMORA WALTER MANUEL</v>
      </c>
      <c r="EU154" t="str">
        <v>MOLINA CEVALLOS MARIA LORENA</v>
      </c>
      <c r="EV154" t="str">
        <v>MURILLO DELGADO ISAAC GABRIEL</v>
      </c>
      <c r="EW154" t="str">
        <v>ANGULO MURILLO NAVIRA GISSELA</v>
      </c>
      <c r="EX154" t="str">
        <v>OCHOA SOLEDISPA NESTOR IVAN</v>
      </c>
      <c r="EY154" t="str">
        <v>PARRAGA FRANCO SILVANA MARIELA</v>
      </c>
      <c r="EZ154" t="str">
        <v>PINARGOTE VASQUEZ NANCY FABIOLA</v>
      </c>
      <c r="FA154" t="str">
        <v>REYES VELEZ PEDRO ENRIQUE</v>
      </c>
      <c r="FB154" t="str">
        <v>SAN ANDRES HORMAZA DALLAS CECILIA</v>
      </c>
      <c r="FC154" t="str">
        <v>SORNOZA ZAMORA JUAN CARLOS</v>
      </c>
      <c r="FD154" t="str">
        <v>TOMALA PINTO JESUS JACINTO</v>
      </c>
      <c r="FE154" t="str">
        <v>VALLE JARAMILLO SILVIA ARACELY</v>
      </c>
      <c r="FF154" t="str">
        <v>VELÁSQUEZ BRAVO IRMA KATHERINE</v>
      </c>
      <c r="FG154" t="str">
        <v>VELEZ MENDOZA LAYSY VALERIA</v>
      </c>
      <c r="FH154" t="str">
        <v>VINUEZA TELLO SHIRLEY ELIZABETH</v>
      </c>
      <c r="FI154" t="str">
        <v>ZAMBRANO ALCIVAR NILDA ISABEL</v>
      </c>
      <c r="FJ154" t="str">
        <v>ZAMBRANO LOOR RITA MAYDA</v>
      </c>
      <c r="FK154" t="str">
        <v>ZAMBRANO VERA MONICA JANETH</v>
      </c>
      <c r="FL154" t="str">
        <v>VERA DELGADO BRYAN ADRIÁN</v>
      </c>
      <c r="FM154" t="str">
        <v>MORAN GONZALES DAVID RENATO</v>
      </c>
      <c r="FN154">
        <v>0</v>
      </c>
    </row>
    <row r="155" spans="1:170" ht="20.25" customHeight="1">
      <c r="A155" s="4" t="str" cm="1">
        <f t="array" ref="A155">TRANSPOSE(_xlfn.UNIQUE(_xlfn._xlws.FILTER(MAE_ASIGNATURA[ID_NIVEL],MAE_ASIGNATURA[ID_CARRERA]=ASIGNACION!$C155,"No existe información")))</f>
        <v>No existe información</v>
      </c>
      <c r="S155" s="4" t="str" cm="1">
        <f t="array" ref="S155">TRANSPOSE(_xlfn.UNIQUE(_xlfn._xlws.FILTER(MAE_ASIGNATURA[NOM_ASIG],(MAE_ASIGNATURA[ID_NIVEL]=ASIGNACION!$D155)*(MAE_ASIGNATURA[ID_CARRERA]=ASIGNACION!$C155),"No existe información")))</f>
        <v>No existe información</v>
      </c>
      <c r="BD155" s="4" t="str" cm="1">
        <f t="array" ref="BD155">TRANSPOSE(_xlfn.UNIQUE(_xlfn._xlws.FILTER(DET_ASIG[DETALLADO],(DET_ASIG[ID_CARRERA]=ASIGNACION!$C155)*(DET_ASIG[NIVEL]=ASIGNACION!$D155)*(DET_ASIG[ID_ASIG]=ASIGNACION!$G155),"No existe información")))</f>
        <v>No existe información</v>
      </c>
      <c r="BQ155" s="5" t="str" cm="1">
        <f t="array" ref="BQ155">IFERROR(
    TRANSPOSE(
        _xlfn.UNIQUE(
            _xlfn._xlws.FILTER(MAESTRIA_DETALLADO[MAESTRIA],
                ISNUMBER(MATCH(MAESTRIA_DETALLADO[CAMPO_DETALLADO],
                BD155:BP155,0))
            )
        )
    ),IF(BD155="ACTIVIDAD","DOCENCIA",""))</f>
        <v/>
      </c>
      <c r="EA155" s="5" t="str" cm="1">
        <f t="array" ref="EA155:FN155">IF(
    ASIGNACION!I155="SI",
    IFERROR(
        TRANSPOSE(
            _xlfn.UNIQUE(
                _xlfn._xlws.FILTER(EDU_DOCENTE[NOMBRE_DOCENTE],
                    ISNUMBER(MATCH(EDU_DOCENTE[MAESTRIA],
                    BQ155:DY155,0))
                )
            )
        ),
        ""
    ),
    TRANSPOSE(
        _xlfn.UNIQUE(EDU_DOCENTE[NOMBRE_DOCENTE]
        )
    )
)</f>
        <v>ALCIVAR CEDEÑO BEATRIZ ISABEL</v>
      </c>
      <c r="EB155" t="str">
        <v>ALCIVAR VERA GEMA MICHELLE</v>
      </c>
      <c r="EC155" t="str">
        <v>ARAUZ CHAVEZ MARIO ROBERTO</v>
      </c>
      <c r="ED155" t="str">
        <v>BAILON LOURIDO WALTER ALBERTO</v>
      </c>
      <c r="EE155" t="str">
        <v>CALDERERO VILLAGOMEZ ERICK ANTONIO</v>
      </c>
      <c r="EF155" t="str">
        <v>CASTILLO GARCIA PAOLA GERMANIA</v>
      </c>
      <c r="EG155" t="str">
        <v>CEDEÑO CHOEZ PEDRO JAVIER</v>
      </c>
      <c r="EH155" t="str">
        <v>CEVALLOS HOPPE JUAN CARLOS</v>
      </c>
      <c r="EI155" t="str">
        <v>DELGADO CHAVEZ MARIA IRASEMA</v>
      </c>
      <c r="EJ155" t="str">
        <v>DUARTE VALENCIA CRISTHIAN DARIO</v>
      </c>
      <c r="EK155" t="str">
        <v>FORTTY BARBERAN DENNY ALEXANDER</v>
      </c>
      <c r="EL155" t="str">
        <v>GUTIERREZ ZAMBRANO CARMEN EBELINA</v>
      </c>
      <c r="EM155" t="str">
        <v>INTRIAGO MOLINA GEMA VALERIA</v>
      </c>
      <c r="EN155" t="str">
        <v>LINO VELEZ LEONEL LIVINGTON</v>
      </c>
      <c r="EO155" t="str">
        <v>LOOR ALCIVAR MARIA ILIANA</v>
      </c>
      <c r="EP155" t="str">
        <v>LOOR MIELES TANIA JACQUELINE</v>
      </c>
      <c r="EQ155" t="str">
        <v>LOOR SOLORZANO ROSA MARIA</v>
      </c>
      <c r="ER155" t="str">
        <v>LOPEZ DELGADO RONALD MAURICIO</v>
      </c>
      <c r="ES155" t="str">
        <v>MACIAS VALENCIA DAVID GABRIEL</v>
      </c>
      <c r="ET155" t="str">
        <v>MENDOZA ZAMORA WALTER MANUEL</v>
      </c>
      <c r="EU155" t="str">
        <v>MOLINA CEVALLOS MARIA LORENA</v>
      </c>
      <c r="EV155" t="str">
        <v>MURILLO DELGADO ISAAC GABRIEL</v>
      </c>
      <c r="EW155" t="str">
        <v>ANGULO MURILLO NAVIRA GISSELA</v>
      </c>
      <c r="EX155" t="str">
        <v>OCHOA SOLEDISPA NESTOR IVAN</v>
      </c>
      <c r="EY155" t="str">
        <v>PARRAGA FRANCO SILVANA MARIELA</v>
      </c>
      <c r="EZ155" t="str">
        <v>PINARGOTE VASQUEZ NANCY FABIOLA</v>
      </c>
      <c r="FA155" t="str">
        <v>REYES VELEZ PEDRO ENRIQUE</v>
      </c>
      <c r="FB155" t="str">
        <v>SAN ANDRES HORMAZA DALLAS CECILIA</v>
      </c>
      <c r="FC155" t="str">
        <v>SORNOZA ZAMORA JUAN CARLOS</v>
      </c>
      <c r="FD155" t="str">
        <v>TOMALA PINTO JESUS JACINTO</v>
      </c>
      <c r="FE155" t="str">
        <v>VALLE JARAMILLO SILVIA ARACELY</v>
      </c>
      <c r="FF155" t="str">
        <v>VELÁSQUEZ BRAVO IRMA KATHERINE</v>
      </c>
      <c r="FG155" t="str">
        <v>VELEZ MENDOZA LAYSY VALERIA</v>
      </c>
      <c r="FH155" t="str">
        <v>VINUEZA TELLO SHIRLEY ELIZABETH</v>
      </c>
      <c r="FI155" t="str">
        <v>ZAMBRANO ALCIVAR NILDA ISABEL</v>
      </c>
      <c r="FJ155" t="str">
        <v>ZAMBRANO LOOR RITA MAYDA</v>
      </c>
      <c r="FK155" t="str">
        <v>ZAMBRANO VERA MONICA JANETH</v>
      </c>
      <c r="FL155" t="str">
        <v>VERA DELGADO BRYAN ADRIÁN</v>
      </c>
      <c r="FM155" t="str">
        <v>MORAN GONZALES DAVID RENATO</v>
      </c>
      <c r="FN155">
        <v>0</v>
      </c>
    </row>
    <row r="156" spans="1:170" ht="20.25" customHeight="1">
      <c r="A156" s="4" t="str" cm="1">
        <f t="array" ref="A156">TRANSPOSE(_xlfn.UNIQUE(_xlfn._xlws.FILTER(MAE_ASIGNATURA[ID_NIVEL],MAE_ASIGNATURA[ID_CARRERA]=ASIGNACION!$C156,"No existe información")))</f>
        <v>No existe información</v>
      </c>
      <c r="S156" s="4" t="str" cm="1">
        <f t="array" ref="S156">TRANSPOSE(_xlfn.UNIQUE(_xlfn._xlws.FILTER(MAE_ASIGNATURA[NOM_ASIG],(MAE_ASIGNATURA[ID_NIVEL]=ASIGNACION!$D156)*(MAE_ASIGNATURA[ID_CARRERA]=ASIGNACION!$C156),"No existe información")))</f>
        <v>No existe información</v>
      </c>
      <c r="BD156" s="4" t="str" cm="1">
        <f t="array" ref="BD156">TRANSPOSE(_xlfn.UNIQUE(_xlfn._xlws.FILTER(DET_ASIG[DETALLADO],(DET_ASIG[ID_CARRERA]=ASIGNACION!$C156)*(DET_ASIG[NIVEL]=ASIGNACION!$D156)*(DET_ASIG[ID_ASIG]=ASIGNACION!$G156),"No existe información")))</f>
        <v>No existe información</v>
      </c>
      <c r="BQ156" s="5" t="str" cm="1">
        <f t="array" ref="BQ156">IFERROR(
    TRANSPOSE(
        _xlfn.UNIQUE(
            _xlfn._xlws.FILTER(MAESTRIA_DETALLADO[MAESTRIA],
                ISNUMBER(MATCH(MAESTRIA_DETALLADO[CAMPO_DETALLADO],
                BD156:BP156,0))
            )
        )
    ),IF(BD156="ACTIVIDAD","DOCENCIA",""))</f>
        <v/>
      </c>
      <c r="EA156" s="5" t="str" cm="1">
        <f t="array" ref="EA156:FN156">IF(
    ASIGNACION!I156="SI",
    IFERROR(
        TRANSPOSE(
            _xlfn.UNIQUE(
                _xlfn._xlws.FILTER(EDU_DOCENTE[NOMBRE_DOCENTE],
                    ISNUMBER(MATCH(EDU_DOCENTE[MAESTRIA],
                    BQ156:DY156,0))
                )
            )
        ),
        ""
    ),
    TRANSPOSE(
        _xlfn.UNIQUE(EDU_DOCENTE[NOMBRE_DOCENTE]
        )
    )
)</f>
        <v>ALCIVAR CEDEÑO BEATRIZ ISABEL</v>
      </c>
      <c r="EB156" t="str">
        <v>ALCIVAR VERA GEMA MICHELLE</v>
      </c>
      <c r="EC156" t="str">
        <v>ARAUZ CHAVEZ MARIO ROBERTO</v>
      </c>
      <c r="ED156" t="str">
        <v>BAILON LOURIDO WALTER ALBERTO</v>
      </c>
      <c r="EE156" t="str">
        <v>CALDERERO VILLAGOMEZ ERICK ANTONIO</v>
      </c>
      <c r="EF156" t="str">
        <v>CASTILLO GARCIA PAOLA GERMANIA</v>
      </c>
      <c r="EG156" t="str">
        <v>CEDEÑO CHOEZ PEDRO JAVIER</v>
      </c>
      <c r="EH156" t="str">
        <v>CEVALLOS HOPPE JUAN CARLOS</v>
      </c>
      <c r="EI156" t="str">
        <v>DELGADO CHAVEZ MARIA IRASEMA</v>
      </c>
      <c r="EJ156" t="str">
        <v>DUARTE VALENCIA CRISTHIAN DARIO</v>
      </c>
      <c r="EK156" t="str">
        <v>FORTTY BARBERAN DENNY ALEXANDER</v>
      </c>
      <c r="EL156" t="str">
        <v>GUTIERREZ ZAMBRANO CARMEN EBELINA</v>
      </c>
      <c r="EM156" t="str">
        <v>INTRIAGO MOLINA GEMA VALERIA</v>
      </c>
      <c r="EN156" t="str">
        <v>LINO VELEZ LEONEL LIVINGTON</v>
      </c>
      <c r="EO156" t="str">
        <v>LOOR ALCIVAR MARIA ILIANA</v>
      </c>
      <c r="EP156" t="str">
        <v>LOOR MIELES TANIA JACQUELINE</v>
      </c>
      <c r="EQ156" t="str">
        <v>LOOR SOLORZANO ROSA MARIA</v>
      </c>
      <c r="ER156" t="str">
        <v>LOPEZ DELGADO RONALD MAURICIO</v>
      </c>
      <c r="ES156" t="str">
        <v>MACIAS VALENCIA DAVID GABRIEL</v>
      </c>
      <c r="ET156" t="str">
        <v>MENDOZA ZAMORA WALTER MANUEL</v>
      </c>
      <c r="EU156" t="str">
        <v>MOLINA CEVALLOS MARIA LORENA</v>
      </c>
      <c r="EV156" t="str">
        <v>MURILLO DELGADO ISAAC GABRIEL</v>
      </c>
      <c r="EW156" t="str">
        <v>ANGULO MURILLO NAVIRA GISSELA</v>
      </c>
      <c r="EX156" t="str">
        <v>OCHOA SOLEDISPA NESTOR IVAN</v>
      </c>
      <c r="EY156" t="str">
        <v>PARRAGA FRANCO SILVANA MARIELA</v>
      </c>
      <c r="EZ156" t="str">
        <v>PINARGOTE VASQUEZ NANCY FABIOLA</v>
      </c>
      <c r="FA156" t="str">
        <v>REYES VELEZ PEDRO ENRIQUE</v>
      </c>
      <c r="FB156" t="str">
        <v>SAN ANDRES HORMAZA DALLAS CECILIA</v>
      </c>
      <c r="FC156" t="str">
        <v>SORNOZA ZAMORA JUAN CARLOS</v>
      </c>
      <c r="FD156" t="str">
        <v>TOMALA PINTO JESUS JACINTO</v>
      </c>
      <c r="FE156" t="str">
        <v>VALLE JARAMILLO SILVIA ARACELY</v>
      </c>
      <c r="FF156" t="str">
        <v>VELÁSQUEZ BRAVO IRMA KATHERINE</v>
      </c>
      <c r="FG156" t="str">
        <v>VELEZ MENDOZA LAYSY VALERIA</v>
      </c>
      <c r="FH156" t="str">
        <v>VINUEZA TELLO SHIRLEY ELIZABETH</v>
      </c>
      <c r="FI156" t="str">
        <v>ZAMBRANO ALCIVAR NILDA ISABEL</v>
      </c>
      <c r="FJ156" t="str">
        <v>ZAMBRANO LOOR RITA MAYDA</v>
      </c>
      <c r="FK156" t="str">
        <v>ZAMBRANO VERA MONICA JANETH</v>
      </c>
      <c r="FL156" t="str">
        <v>VERA DELGADO BRYAN ADRIÁN</v>
      </c>
      <c r="FM156" t="str">
        <v>MORAN GONZALES DAVID RENATO</v>
      </c>
      <c r="FN156">
        <v>0</v>
      </c>
    </row>
    <row r="157" spans="1:170" ht="20.25" customHeight="1">
      <c r="A157" s="4" t="str" cm="1">
        <f t="array" ref="A157">TRANSPOSE(_xlfn.UNIQUE(_xlfn._xlws.FILTER(MAE_ASIGNATURA[ID_NIVEL],MAE_ASIGNATURA[ID_CARRERA]=ASIGNACION!$C157,"No existe información")))</f>
        <v>No existe información</v>
      </c>
      <c r="S157" s="4" t="str" cm="1">
        <f t="array" ref="S157">TRANSPOSE(_xlfn.UNIQUE(_xlfn._xlws.FILTER(MAE_ASIGNATURA[NOM_ASIG],(MAE_ASIGNATURA[ID_NIVEL]=ASIGNACION!$D157)*(MAE_ASIGNATURA[ID_CARRERA]=ASIGNACION!$C157),"No existe información")))</f>
        <v>No existe información</v>
      </c>
      <c r="BD157" s="4" t="str" cm="1">
        <f t="array" ref="BD157">TRANSPOSE(_xlfn.UNIQUE(_xlfn._xlws.FILTER(DET_ASIG[DETALLADO],(DET_ASIG[ID_CARRERA]=ASIGNACION!$C157)*(DET_ASIG[NIVEL]=ASIGNACION!$D157)*(DET_ASIG[ID_ASIG]=ASIGNACION!$G157),"No existe información")))</f>
        <v>No existe información</v>
      </c>
      <c r="BQ157" s="5" t="str" cm="1">
        <f t="array" ref="BQ157">IFERROR(
    TRANSPOSE(
        _xlfn.UNIQUE(
            _xlfn._xlws.FILTER(MAESTRIA_DETALLADO[MAESTRIA],
                ISNUMBER(MATCH(MAESTRIA_DETALLADO[CAMPO_DETALLADO],
                BD157:BP157,0))
            )
        )
    ),IF(BD157="ACTIVIDAD","DOCENCIA",""))</f>
        <v/>
      </c>
      <c r="EA157" s="5" t="str" cm="1">
        <f t="array" ref="EA157:FN157">IF(
    ASIGNACION!I157="SI",
    IFERROR(
        TRANSPOSE(
            _xlfn.UNIQUE(
                _xlfn._xlws.FILTER(EDU_DOCENTE[NOMBRE_DOCENTE],
                    ISNUMBER(MATCH(EDU_DOCENTE[MAESTRIA],
                    BQ157:DY157,0))
                )
            )
        ),
        ""
    ),
    TRANSPOSE(
        _xlfn.UNIQUE(EDU_DOCENTE[NOMBRE_DOCENTE]
        )
    )
)</f>
        <v>ALCIVAR CEDEÑO BEATRIZ ISABEL</v>
      </c>
      <c r="EB157" t="str">
        <v>ALCIVAR VERA GEMA MICHELLE</v>
      </c>
      <c r="EC157" t="str">
        <v>ARAUZ CHAVEZ MARIO ROBERTO</v>
      </c>
      <c r="ED157" t="str">
        <v>BAILON LOURIDO WALTER ALBERTO</v>
      </c>
      <c r="EE157" t="str">
        <v>CALDERERO VILLAGOMEZ ERICK ANTONIO</v>
      </c>
      <c r="EF157" t="str">
        <v>CASTILLO GARCIA PAOLA GERMANIA</v>
      </c>
      <c r="EG157" t="str">
        <v>CEDEÑO CHOEZ PEDRO JAVIER</v>
      </c>
      <c r="EH157" t="str">
        <v>CEVALLOS HOPPE JUAN CARLOS</v>
      </c>
      <c r="EI157" t="str">
        <v>DELGADO CHAVEZ MARIA IRASEMA</v>
      </c>
      <c r="EJ157" t="str">
        <v>DUARTE VALENCIA CRISTHIAN DARIO</v>
      </c>
      <c r="EK157" t="str">
        <v>FORTTY BARBERAN DENNY ALEXANDER</v>
      </c>
      <c r="EL157" t="str">
        <v>GUTIERREZ ZAMBRANO CARMEN EBELINA</v>
      </c>
      <c r="EM157" t="str">
        <v>INTRIAGO MOLINA GEMA VALERIA</v>
      </c>
      <c r="EN157" t="str">
        <v>LINO VELEZ LEONEL LIVINGTON</v>
      </c>
      <c r="EO157" t="str">
        <v>LOOR ALCIVAR MARIA ILIANA</v>
      </c>
      <c r="EP157" t="str">
        <v>LOOR MIELES TANIA JACQUELINE</v>
      </c>
      <c r="EQ157" t="str">
        <v>LOOR SOLORZANO ROSA MARIA</v>
      </c>
      <c r="ER157" t="str">
        <v>LOPEZ DELGADO RONALD MAURICIO</v>
      </c>
      <c r="ES157" t="str">
        <v>MACIAS VALENCIA DAVID GABRIEL</v>
      </c>
      <c r="ET157" t="str">
        <v>MENDOZA ZAMORA WALTER MANUEL</v>
      </c>
      <c r="EU157" t="str">
        <v>MOLINA CEVALLOS MARIA LORENA</v>
      </c>
      <c r="EV157" t="str">
        <v>MURILLO DELGADO ISAAC GABRIEL</v>
      </c>
      <c r="EW157" t="str">
        <v>ANGULO MURILLO NAVIRA GISSELA</v>
      </c>
      <c r="EX157" t="str">
        <v>OCHOA SOLEDISPA NESTOR IVAN</v>
      </c>
      <c r="EY157" t="str">
        <v>PARRAGA FRANCO SILVANA MARIELA</v>
      </c>
      <c r="EZ157" t="str">
        <v>PINARGOTE VASQUEZ NANCY FABIOLA</v>
      </c>
      <c r="FA157" t="str">
        <v>REYES VELEZ PEDRO ENRIQUE</v>
      </c>
      <c r="FB157" t="str">
        <v>SAN ANDRES HORMAZA DALLAS CECILIA</v>
      </c>
      <c r="FC157" t="str">
        <v>SORNOZA ZAMORA JUAN CARLOS</v>
      </c>
      <c r="FD157" t="str">
        <v>TOMALA PINTO JESUS JACINTO</v>
      </c>
      <c r="FE157" t="str">
        <v>VALLE JARAMILLO SILVIA ARACELY</v>
      </c>
      <c r="FF157" t="str">
        <v>VELÁSQUEZ BRAVO IRMA KATHERINE</v>
      </c>
      <c r="FG157" t="str">
        <v>VELEZ MENDOZA LAYSY VALERIA</v>
      </c>
      <c r="FH157" t="str">
        <v>VINUEZA TELLO SHIRLEY ELIZABETH</v>
      </c>
      <c r="FI157" t="str">
        <v>ZAMBRANO ALCIVAR NILDA ISABEL</v>
      </c>
      <c r="FJ157" t="str">
        <v>ZAMBRANO LOOR RITA MAYDA</v>
      </c>
      <c r="FK157" t="str">
        <v>ZAMBRANO VERA MONICA JANETH</v>
      </c>
      <c r="FL157" t="str">
        <v>VERA DELGADO BRYAN ADRIÁN</v>
      </c>
      <c r="FM157" t="str">
        <v>MORAN GONZALES DAVID RENATO</v>
      </c>
      <c r="FN157">
        <v>0</v>
      </c>
    </row>
    <row r="158" spans="1:170" ht="20.25" customHeight="1">
      <c r="A158" s="4" t="str" cm="1">
        <f t="array" ref="A158">TRANSPOSE(_xlfn.UNIQUE(_xlfn._xlws.FILTER(MAE_ASIGNATURA[ID_NIVEL],MAE_ASIGNATURA[ID_CARRERA]=ASIGNACION!$C158,"No existe información")))</f>
        <v>No existe información</v>
      </c>
      <c r="S158" s="4" t="str" cm="1">
        <f t="array" ref="S158">TRANSPOSE(_xlfn.UNIQUE(_xlfn._xlws.FILTER(MAE_ASIGNATURA[NOM_ASIG],(MAE_ASIGNATURA[ID_NIVEL]=ASIGNACION!$D158)*(MAE_ASIGNATURA[ID_CARRERA]=ASIGNACION!$C158),"No existe información")))</f>
        <v>No existe información</v>
      </c>
      <c r="BD158" s="4" t="str" cm="1">
        <f t="array" ref="BD158">TRANSPOSE(_xlfn.UNIQUE(_xlfn._xlws.FILTER(DET_ASIG[DETALLADO],(DET_ASIG[ID_CARRERA]=ASIGNACION!$C158)*(DET_ASIG[NIVEL]=ASIGNACION!$D158)*(DET_ASIG[ID_ASIG]=ASIGNACION!$G158),"No existe información")))</f>
        <v>No existe información</v>
      </c>
      <c r="BQ158" s="5" t="str" cm="1">
        <f t="array" ref="BQ158">IFERROR(
    TRANSPOSE(
        _xlfn.UNIQUE(
            _xlfn._xlws.FILTER(MAESTRIA_DETALLADO[MAESTRIA],
                ISNUMBER(MATCH(MAESTRIA_DETALLADO[CAMPO_DETALLADO],
                BD158:BP158,0))
            )
        )
    ),IF(BD158="ACTIVIDAD","DOCENCIA",""))</f>
        <v/>
      </c>
      <c r="EA158" s="5" t="str" cm="1">
        <f t="array" ref="EA158:FN158">IF(
    ASIGNACION!I158="SI",
    IFERROR(
        TRANSPOSE(
            _xlfn.UNIQUE(
                _xlfn._xlws.FILTER(EDU_DOCENTE[NOMBRE_DOCENTE],
                    ISNUMBER(MATCH(EDU_DOCENTE[MAESTRIA],
                    BQ158:DY158,0))
                )
            )
        ),
        ""
    ),
    TRANSPOSE(
        _xlfn.UNIQUE(EDU_DOCENTE[NOMBRE_DOCENTE]
        )
    )
)</f>
        <v>ALCIVAR CEDEÑO BEATRIZ ISABEL</v>
      </c>
      <c r="EB158" t="str">
        <v>ALCIVAR VERA GEMA MICHELLE</v>
      </c>
      <c r="EC158" t="str">
        <v>ARAUZ CHAVEZ MARIO ROBERTO</v>
      </c>
      <c r="ED158" t="str">
        <v>BAILON LOURIDO WALTER ALBERTO</v>
      </c>
      <c r="EE158" t="str">
        <v>CALDERERO VILLAGOMEZ ERICK ANTONIO</v>
      </c>
      <c r="EF158" t="str">
        <v>CASTILLO GARCIA PAOLA GERMANIA</v>
      </c>
      <c r="EG158" t="str">
        <v>CEDEÑO CHOEZ PEDRO JAVIER</v>
      </c>
      <c r="EH158" t="str">
        <v>CEVALLOS HOPPE JUAN CARLOS</v>
      </c>
      <c r="EI158" t="str">
        <v>DELGADO CHAVEZ MARIA IRASEMA</v>
      </c>
      <c r="EJ158" t="str">
        <v>DUARTE VALENCIA CRISTHIAN DARIO</v>
      </c>
      <c r="EK158" t="str">
        <v>FORTTY BARBERAN DENNY ALEXANDER</v>
      </c>
      <c r="EL158" t="str">
        <v>GUTIERREZ ZAMBRANO CARMEN EBELINA</v>
      </c>
      <c r="EM158" t="str">
        <v>INTRIAGO MOLINA GEMA VALERIA</v>
      </c>
      <c r="EN158" t="str">
        <v>LINO VELEZ LEONEL LIVINGTON</v>
      </c>
      <c r="EO158" t="str">
        <v>LOOR ALCIVAR MARIA ILIANA</v>
      </c>
      <c r="EP158" t="str">
        <v>LOOR MIELES TANIA JACQUELINE</v>
      </c>
      <c r="EQ158" t="str">
        <v>LOOR SOLORZANO ROSA MARIA</v>
      </c>
      <c r="ER158" t="str">
        <v>LOPEZ DELGADO RONALD MAURICIO</v>
      </c>
      <c r="ES158" t="str">
        <v>MACIAS VALENCIA DAVID GABRIEL</v>
      </c>
      <c r="ET158" t="str">
        <v>MENDOZA ZAMORA WALTER MANUEL</v>
      </c>
      <c r="EU158" t="str">
        <v>MOLINA CEVALLOS MARIA LORENA</v>
      </c>
      <c r="EV158" t="str">
        <v>MURILLO DELGADO ISAAC GABRIEL</v>
      </c>
      <c r="EW158" t="str">
        <v>ANGULO MURILLO NAVIRA GISSELA</v>
      </c>
      <c r="EX158" t="str">
        <v>OCHOA SOLEDISPA NESTOR IVAN</v>
      </c>
      <c r="EY158" t="str">
        <v>PARRAGA FRANCO SILVANA MARIELA</v>
      </c>
      <c r="EZ158" t="str">
        <v>PINARGOTE VASQUEZ NANCY FABIOLA</v>
      </c>
      <c r="FA158" t="str">
        <v>REYES VELEZ PEDRO ENRIQUE</v>
      </c>
      <c r="FB158" t="str">
        <v>SAN ANDRES HORMAZA DALLAS CECILIA</v>
      </c>
      <c r="FC158" t="str">
        <v>SORNOZA ZAMORA JUAN CARLOS</v>
      </c>
      <c r="FD158" t="str">
        <v>TOMALA PINTO JESUS JACINTO</v>
      </c>
      <c r="FE158" t="str">
        <v>VALLE JARAMILLO SILVIA ARACELY</v>
      </c>
      <c r="FF158" t="str">
        <v>VELÁSQUEZ BRAVO IRMA KATHERINE</v>
      </c>
      <c r="FG158" t="str">
        <v>VELEZ MENDOZA LAYSY VALERIA</v>
      </c>
      <c r="FH158" t="str">
        <v>VINUEZA TELLO SHIRLEY ELIZABETH</v>
      </c>
      <c r="FI158" t="str">
        <v>ZAMBRANO ALCIVAR NILDA ISABEL</v>
      </c>
      <c r="FJ158" t="str">
        <v>ZAMBRANO LOOR RITA MAYDA</v>
      </c>
      <c r="FK158" t="str">
        <v>ZAMBRANO VERA MONICA JANETH</v>
      </c>
      <c r="FL158" t="str">
        <v>VERA DELGADO BRYAN ADRIÁN</v>
      </c>
      <c r="FM158" t="str">
        <v>MORAN GONZALES DAVID RENATO</v>
      </c>
      <c r="FN158">
        <v>0</v>
      </c>
    </row>
    <row r="159" spans="1:170" ht="20.25" customHeight="1">
      <c r="A159" s="4" t="str" cm="1">
        <f t="array" ref="A159">TRANSPOSE(_xlfn.UNIQUE(_xlfn._xlws.FILTER(MAE_ASIGNATURA[ID_NIVEL],MAE_ASIGNATURA[ID_CARRERA]=ASIGNACION!$C159,"No existe información")))</f>
        <v>No existe información</v>
      </c>
      <c r="S159" s="4" t="str" cm="1">
        <f t="array" ref="S159">TRANSPOSE(_xlfn.UNIQUE(_xlfn._xlws.FILTER(MAE_ASIGNATURA[NOM_ASIG],(MAE_ASIGNATURA[ID_NIVEL]=ASIGNACION!$D159)*(MAE_ASIGNATURA[ID_CARRERA]=ASIGNACION!$C159),"No existe información")))</f>
        <v>No existe información</v>
      </c>
      <c r="BD159" s="4" t="str" cm="1">
        <f t="array" ref="BD159">TRANSPOSE(_xlfn.UNIQUE(_xlfn._xlws.FILTER(DET_ASIG[DETALLADO],(DET_ASIG[ID_CARRERA]=ASIGNACION!$C159)*(DET_ASIG[NIVEL]=ASIGNACION!$D159)*(DET_ASIG[ID_ASIG]=ASIGNACION!$G159),"No existe información")))</f>
        <v>No existe información</v>
      </c>
      <c r="BQ159" s="5" t="str" cm="1">
        <f t="array" ref="BQ159">IFERROR(
    TRANSPOSE(
        _xlfn.UNIQUE(
            _xlfn._xlws.FILTER(MAESTRIA_DETALLADO[MAESTRIA],
                ISNUMBER(MATCH(MAESTRIA_DETALLADO[CAMPO_DETALLADO],
                BD159:BP159,0))
            )
        )
    ),IF(BD159="ACTIVIDAD","DOCENCIA",""))</f>
        <v/>
      </c>
      <c r="EA159" s="5" t="str" cm="1">
        <f t="array" ref="EA159:FN159">IF(
    ASIGNACION!I159="SI",
    IFERROR(
        TRANSPOSE(
            _xlfn.UNIQUE(
                _xlfn._xlws.FILTER(EDU_DOCENTE[NOMBRE_DOCENTE],
                    ISNUMBER(MATCH(EDU_DOCENTE[MAESTRIA],
                    BQ159:DY159,0))
                )
            )
        ),
        ""
    ),
    TRANSPOSE(
        _xlfn.UNIQUE(EDU_DOCENTE[NOMBRE_DOCENTE]
        )
    )
)</f>
        <v>ALCIVAR CEDEÑO BEATRIZ ISABEL</v>
      </c>
      <c r="EB159" t="str">
        <v>ALCIVAR VERA GEMA MICHELLE</v>
      </c>
      <c r="EC159" t="str">
        <v>ARAUZ CHAVEZ MARIO ROBERTO</v>
      </c>
      <c r="ED159" t="str">
        <v>BAILON LOURIDO WALTER ALBERTO</v>
      </c>
      <c r="EE159" t="str">
        <v>CALDERERO VILLAGOMEZ ERICK ANTONIO</v>
      </c>
      <c r="EF159" t="str">
        <v>CASTILLO GARCIA PAOLA GERMANIA</v>
      </c>
      <c r="EG159" t="str">
        <v>CEDEÑO CHOEZ PEDRO JAVIER</v>
      </c>
      <c r="EH159" t="str">
        <v>CEVALLOS HOPPE JUAN CARLOS</v>
      </c>
      <c r="EI159" t="str">
        <v>DELGADO CHAVEZ MARIA IRASEMA</v>
      </c>
      <c r="EJ159" t="str">
        <v>DUARTE VALENCIA CRISTHIAN DARIO</v>
      </c>
      <c r="EK159" t="str">
        <v>FORTTY BARBERAN DENNY ALEXANDER</v>
      </c>
      <c r="EL159" t="str">
        <v>GUTIERREZ ZAMBRANO CARMEN EBELINA</v>
      </c>
      <c r="EM159" t="str">
        <v>INTRIAGO MOLINA GEMA VALERIA</v>
      </c>
      <c r="EN159" t="str">
        <v>LINO VELEZ LEONEL LIVINGTON</v>
      </c>
      <c r="EO159" t="str">
        <v>LOOR ALCIVAR MARIA ILIANA</v>
      </c>
      <c r="EP159" t="str">
        <v>LOOR MIELES TANIA JACQUELINE</v>
      </c>
      <c r="EQ159" t="str">
        <v>LOOR SOLORZANO ROSA MARIA</v>
      </c>
      <c r="ER159" t="str">
        <v>LOPEZ DELGADO RONALD MAURICIO</v>
      </c>
      <c r="ES159" t="str">
        <v>MACIAS VALENCIA DAVID GABRIEL</v>
      </c>
      <c r="ET159" t="str">
        <v>MENDOZA ZAMORA WALTER MANUEL</v>
      </c>
      <c r="EU159" t="str">
        <v>MOLINA CEVALLOS MARIA LORENA</v>
      </c>
      <c r="EV159" t="str">
        <v>MURILLO DELGADO ISAAC GABRIEL</v>
      </c>
      <c r="EW159" t="str">
        <v>ANGULO MURILLO NAVIRA GISSELA</v>
      </c>
      <c r="EX159" t="str">
        <v>OCHOA SOLEDISPA NESTOR IVAN</v>
      </c>
      <c r="EY159" t="str">
        <v>PARRAGA FRANCO SILVANA MARIELA</v>
      </c>
      <c r="EZ159" t="str">
        <v>PINARGOTE VASQUEZ NANCY FABIOLA</v>
      </c>
      <c r="FA159" t="str">
        <v>REYES VELEZ PEDRO ENRIQUE</v>
      </c>
      <c r="FB159" t="str">
        <v>SAN ANDRES HORMAZA DALLAS CECILIA</v>
      </c>
      <c r="FC159" t="str">
        <v>SORNOZA ZAMORA JUAN CARLOS</v>
      </c>
      <c r="FD159" t="str">
        <v>TOMALA PINTO JESUS JACINTO</v>
      </c>
      <c r="FE159" t="str">
        <v>VALLE JARAMILLO SILVIA ARACELY</v>
      </c>
      <c r="FF159" t="str">
        <v>VELÁSQUEZ BRAVO IRMA KATHERINE</v>
      </c>
      <c r="FG159" t="str">
        <v>VELEZ MENDOZA LAYSY VALERIA</v>
      </c>
      <c r="FH159" t="str">
        <v>VINUEZA TELLO SHIRLEY ELIZABETH</v>
      </c>
      <c r="FI159" t="str">
        <v>ZAMBRANO ALCIVAR NILDA ISABEL</v>
      </c>
      <c r="FJ159" t="str">
        <v>ZAMBRANO LOOR RITA MAYDA</v>
      </c>
      <c r="FK159" t="str">
        <v>ZAMBRANO VERA MONICA JANETH</v>
      </c>
      <c r="FL159" t="str">
        <v>VERA DELGADO BRYAN ADRIÁN</v>
      </c>
      <c r="FM159" t="str">
        <v>MORAN GONZALES DAVID RENATO</v>
      </c>
      <c r="FN159">
        <v>0</v>
      </c>
    </row>
    <row r="160" spans="1:170" ht="20.25" customHeight="1">
      <c r="A160" s="4" t="str" cm="1">
        <f t="array" ref="A160">TRANSPOSE(_xlfn.UNIQUE(_xlfn._xlws.FILTER(MAE_ASIGNATURA[ID_NIVEL],MAE_ASIGNATURA[ID_CARRERA]=ASIGNACION!$C160,"No existe información")))</f>
        <v>No existe información</v>
      </c>
      <c r="S160" s="4" t="str" cm="1">
        <f t="array" ref="S160">TRANSPOSE(_xlfn.UNIQUE(_xlfn._xlws.FILTER(MAE_ASIGNATURA[NOM_ASIG],(MAE_ASIGNATURA[ID_NIVEL]=ASIGNACION!$D160)*(MAE_ASIGNATURA[ID_CARRERA]=ASIGNACION!$C160),"No existe información")))</f>
        <v>No existe información</v>
      </c>
      <c r="BD160" s="4" t="str" cm="1">
        <f t="array" ref="BD160">TRANSPOSE(_xlfn.UNIQUE(_xlfn._xlws.FILTER(DET_ASIG[DETALLADO],(DET_ASIG[ID_CARRERA]=ASIGNACION!$C160)*(DET_ASIG[NIVEL]=ASIGNACION!$D160)*(DET_ASIG[ID_ASIG]=ASIGNACION!$G160),"No existe información")))</f>
        <v>No existe información</v>
      </c>
      <c r="BQ160" s="5" t="str" cm="1">
        <f t="array" ref="BQ160">IFERROR(
    TRANSPOSE(
        _xlfn.UNIQUE(
            _xlfn._xlws.FILTER(MAESTRIA_DETALLADO[MAESTRIA],
                ISNUMBER(MATCH(MAESTRIA_DETALLADO[CAMPO_DETALLADO],
                BD160:BP160,0))
            )
        )
    ),IF(BD160="ACTIVIDAD","DOCENCIA",""))</f>
        <v/>
      </c>
      <c r="EA160" s="5" t="str" cm="1">
        <f t="array" ref="EA160:FN160">IF(
    ASIGNACION!I160="SI",
    IFERROR(
        TRANSPOSE(
            _xlfn.UNIQUE(
                _xlfn._xlws.FILTER(EDU_DOCENTE[NOMBRE_DOCENTE],
                    ISNUMBER(MATCH(EDU_DOCENTE[MAESTRIA],
                    BQ160:DY160,0))
                )
            )
        ),
        ""
    ),
    TRANSPOSE(
        _xlfn.UNIQUE(EDU_DOCENTE[NOMBRE_DOCENTE]
        )
    )
)</f>
        <v>ALCIVAR CEDEÑO BEATRIZ ISABEL</v>
      </c>
      <c r="EB160" t="str">
        <v>ALCIVAR VERA GEMA MICHELLE</v>
      </c>
      <c r="EC160" t="str">
        <v>ARAUZ CHAVEZ MARIO ROBERTO</v>
      </c>
      <c r="ED160" t="str">
        <v>BAILON LOURIDO WALTER ALBERTO</v>
      </c>
      <c r="EE160" t="str">
        <v>CALDERERO VILLAGOMEZ ERICK ANTONIO</v>
      </c>
      <c r="EF160" t="str">
        <v>CASTILLO GARCIA PAOLA GERMANIA</v>
      </c>
      <c r="EG160" t="str">
        <v>CEDEÑO CHOEZ PEDRO JAVIER</v>
      </c>
      <c r="EH160" t="str">
        <v>CEVALLOS HOPPE JUAN CARLOS</v>
      </c>
      <c r="EI160" t="str">
        <v>DELGADO CHAVEZ MARIA IRASEMA</v>
      </c>
      <c r="EJ160" t="str">
        <v>DUARTE VALENCIA CRISTHIAN DARIO</v>
      </c>
      <c r="EK160" t="str">
        <v>FORTTY BARBERAN DENNY ALEXANDER</v>
      </c>
      <c r="EL160" t="str">
        <v>GUTIERREZ ZAMBRANO CARMEN EBELINA</v>
      </c>
      <c r="EM160" t="str">
        <v>INTRIAGO MOLINA GEMA VALERIA</v>
      </c>
      <c r="EN160" t="str">
        <v>LINO VELEZ LEONEL LIVINGTON</v>
      </c>
      <c r="EO160" t="str">
        <v>LOOR ALCIVAR MARIA ILIANA</v>
      </c>
      <c r="EP160" t="str">
        <v>LOOR MIELES TANIA JACQUELINE</v>
      </c>
      <c r="EQ160" t="str">
        <v>LOOR SOLORZANO ROSA MARIA</v>
      </c>
      <c r="ER160" t="str">
        <v>LOPEZ DELGADO RONALD MAURICIO</v>
      </c>
      <c r="ES160" t="str">
        <v>MACIAS VALENCIA DAVID GABRIEL</v>
      </c>
      <c r="ET160" t="str">
        <v>MENDOZA ZAMORA WALTER MANUEL</v>
      </c>
      <c r="EU160" t="str">
        <v>MOLINA CEVALLOS MARIA LORENA</v>
      </c>
      <c r="EV160" t="str">
        <v>MURILLO DELGADO ISAAC GABRIEL</v>
      </c>
      <c r="EW160" t="str">
        <v>ANGULO MURILLO NAVIRA GISSELA</v>
      </c>
      <c r="EX160" t="str">
        <v>OCHOA SOLEDISPA NESTOR IVAN</v>
      </c>
      <c r="EY160" t="str">
        <v>PARRAGA FRANCO SILVANA MARIELA</v>
      </c>
      <c r="EZ160" t="str">
        <v>PINARGOTE VASQUEZ NANCY FABIOLA</v>
      </c>
      <c r="FA160" t="str">
        <v>REYES VELEZ PEDRO ENRIQUE</v>
      </c>
      <c r="FB160" t="str">
        <v>SAN ANDRES HORMAZA DALLAS CECILIA</v>
      </c>
      <c r="FC160" t="str">
        <v>SORNOZA ZAMORA JUAN CARLOS</v>
      </c>
      <c r="FD160" t="str">
        <v>TOMALA PINTO JESUS JACINTO</v>
      </c>
      <c r="FE160" t="str">
        <v>VALLE JARAMILLO SILVIA ARACELY</v>
      </c>
      <c r="FF160" t="str">
        <v>VELÁSQUEZ BRAVO IRMA KATHERINE</v>
      </c>
      <c r="FG160" t="str">
        <v>VELEZ MENDOZA LAYSY VALERIA</v>
      </c>
      <c r="FH160" t="str">
        <v>VINUEZA TELLO SHIRLEY ELIZABETH</v>
      </c>
      <c r="FI160" t="str">
        <v>ZAMBRANO ALCIVAR NILDA ISABEL</v>
      </c>
      <c r="FJ160" t="str">
        <v>ZAMBRANO LOOR RITA MAYDA</v>
      </c>
      <c r="FK160" t="str">
        <v>ZAMBRANO VERA MONICA JANETH</v>
      </c>
      <c r="FL160" t="str">
        <v>VERA DELGADO BRYAN ADRIÁN</v>
      </c>
      <c r="FM160" t="str">
        <v>MORAN GONZALES DAVID RENATO</v>
      </c>
      <c r="FN160">
        <v>0</v>
      </c>
    </row>
    <row r="161" spans="1:170" ht="20.25" customHeight="1">
      <c r="A161" s="4" t="str" cm="1">
        <f t="array" ref="A161">TRANSPOSE(_xlfn.UNIQUE(_xlfn._xlws.FILTER(MAE_ASIGNATURA[ID_NIVEL],MAE_ASIGNATURA[ID_CARRERA]=ASIGNACION!$C161,"No existe información")))</f>
        <v>No existe información</v>
      </c>
      <c r="S161" s="4" t="str" cm="1">
        <f t="array" ref="S161">TRANSPOSE(_xlfn.UNIQUE(_xlfn._xlws.FILTER(MAE_ASIGNATURA[NOM_ASIG],(MAE_ASIGNATURA[ID_NIVEL]=ASIGNACION!$D161)*(MAE_ASIGNATURA[ID_CARRERA]=ASIGNACION!$C161),"No existe información")))</f>
        <v>No existe información</v>
      </c>
      <c r="BD161" s="4" t="str" cm="1">
        <f t="array" ref="BD161">TRANSPOSE(_xlfn.UNIQUE(_xlfn._xlws.FILTER(DET_ASIG[DETALLADO],(DET_ASIG[ID_CARRERA]=ASIGNACION!$C161)*(DET_ASIG[NIVEL]=ASIGNACION!$D161)*(DET_ASIG[ID_ASIG]=ASIGNACION!$G161),"No existe información")))</f>
        <v>No existe información</v>
      </c>
      <c r="BQ161" s="5" t="str" cm="1">
        <f t="array" ref="BQ161">IFERROR(
    TRANSPOSE(
        _xlfn.UNIQUE(
            _xlfn._xlws.FILTER(MAESTRIA_DETALLADO[MAESTRIA],
                ISNUMBER(MATCH(MAESTRIA_DETALLADO[CAMPO_DETALLADO],
                BD161:BP161,0))
            )
        )
    ),IF(BD161="ACTIVIDAD","DOCENCIA",""))</f>
        <v/>
      </c>
      <c r="EA161" s="5" t="str" cm="1">
        <f t="array" ref="EA161:FN161">IF(
    ASIGNACION!I161="SI",
    IFERROR(
        TRANSPOSE(
            _xlfn.UNIQUE(
                _xlfn._xlws.FILTER(EDU_DOCENTE[NOMBRE_DOCENTE],
                    ISNUMBER(MATCH(EDU_DOCENTE[MAESTRIA],
                    BQ161:DY161,0))
                )
            )
        ),
        ""
    ),
    TRANSPOSE(
        _xlfn.UNIQUE(EDU_DOCENTE[NOMBRE_DOCENTE]
        )
    )
)</f>
        <v>ALCIVAR CEDEÑO BEATRIZ ISABEL</v>
      </c>
      <c r="EB161" t="str">
        <v>ALCIVAR VERA GEMA MICHELLE</v>
      </c>
      <c r="EC161" t="str">
        <v>ARAUZ CHAVEZ MARIO ROBERTO</v>
      </c>
      <c r="ED161" t="str">
        <v>BAILON LOURIDO WALTER ALBERTO</v>
      </c>
      <c r="EE161" t="str">
        <v>CALDERERO VILLAGOMEZ ERICK ANTONIO</v>
      </c>
      <c r="EF161" t="str">
        <v>CASTILLO GARCIA PAOLA GERMANIA</v>
      </c>
      <c r="EG161" t="str">
        <v>CEDEÑO CHOEZ PEDRO JAVIER</v>
      </c>
      <c r="EH161" t="str">
        <v>CEVALLOS HOPPE JUAN CARLOS</v>
      </c>
      <c r="EI161" t="str">
        <v>DELGADO CHAVEZ MARIA IRASEMA</v>
      </c>
      <c r="EJ161" t="str">
        <v>DUARTE VALENCIA CRISTHIAN DARIO</v>
      </c>
      <c r="EK161" t="str">
        <v>FORTTY BARBERAN DENNY ALEXANDER</v>
      </c>
      <c r="EL161" t="str">
        <v>GUTIERREZ ZAMBRANO CARMEN EBELINA</v>
      </c>
      <c r="EM161" t="str">
        <v>INTRIAGO MOLINA GEMA VALERIA</v>
      </c>
      <c r="EN161" t="str">
        <v>LINO VELEZ LEONEL LIVINGTON</v>
      </c>
      <c r="EO161" t="str">
        <v>LOOR ALCIVAR MARIA ILIANA</v>
      </c>
      <c r="EP161" t="str">
        <v>LOOR MIELES TANIA JACQUELINE</v>
      </c>
      <c r="EQ161" t="str">
        <v>LOOR SOLORZANO ROSA MARIA</v>
      </c>
      <c r="ER161" t="str">
        <v>LOPEZ DELGADO RONALD MAURICIO</v>
      </c>
      <c r="ES161" t="str">
        <v>MACIAS VALENCIA DAVID GABRIEL</v>
      </c>
      <c r="ET161" t="str">
        <v>MENDOZA ZAMORA WALTER MANUEL</v>
      </c>
      <c r="EU161" t="str">
        <v>MOLINA CEVALLOS MARIA LORENA</v>
      </c>
      <c r="EV161" t="str">
        <v>MURILLO DELGADO ISAAC GABRIEL</v>
      </c>
      <c r="EW161" t="str">
        <v>ANGULO MURILLO NAVIRA GISSELA</v>
      </c>
      <c r="EX161" t="str">
        <v>OCHOA SOLEDISPA NESTOR IVAN</v>
      </c>
      <c r="EY161" t="str">
        <v>PARRAGA FRANCO SILVANA MARIELA</v>
      </c>
      <c r="EZ161" t="str">
        <v>PINARGOTE VASQUEZ NANCY FABIOLA</v>
      </c>
      <c r="FA161" t="str">
        <v>REYES VELEZ PEDRO ENRIQUE</v>
      </c>
      <c r="FB161" t="str">
        <v>SAN ANDRES HORMAZA DALLAS CECILIA</v>
      </c>
      <c r="FC161" t="str">
        <v>SORNOZA ZAMORA JUAN CARLOS</v>
      </c>
      <c r="FD161" t="str">
        <v>TOMALA PINTO JESUS JACINTO</v>
      </c>
      <c r="FE161" t="str">
        <v>VALLE JARAMILLO SILVIA ARACELY</v>
      </c>
      <c r="FF161" t="str">
        <v>VELÁSQUEZ BRAVO IRMA KATHERINE</v>
      </c>
      <c r="FG161" t="str">
        <v>VELEZ MENDOZA LAYSY VALERIA</v>
      </c>
      <c r="FH161" t="str">
        <v>VINUEZA TELLO SHIRLEY ELIZABETH</v>
      </c>
      <c r="FI161" t="str">
        <v>ZAMBRANO ALCIVAR NILDA ISABEL</v>
      </c>
      <c r="FJ161" t="str">
        <v>ZAMBRANO LOOR RITA MAYDA</v>
      </c>
      <c r="FK161" t="str">
        <v>ZAMBRANO VERA MONICA JANETH</v>
      </c>
      <c r="FL161" t="str">
        <v>VERA DELGADO BRYAN ADRIÁN</v>
      </c>
      <c r="FM161" t="str">
        <v>MORAN GONZALES DAVID RENATO</v>
      </c>
      <c r="FN161">
        <v>0</v>
      </c>
    </row>
    <row r="162" spans="1:170" ht="20.25" customHeight="1">
      <c r="A162" s="4" t="str" cm="1">
        <f t="array" ref="A162">TRANSPOSE(_xlfn.UNIQUE(_xlfn._xlws.FILTER(MAE_ASIGNATURA[ID_NIVEL],MAE_ASIGNATURA[ID_CARRERA]=ASIGNACION!$C162,"No existe información")))</f>
        <v>No existe información</v>
      </c>
      <c r="S162" s="4" t="str" cm="1">
        <f t="array" ref="S162">TRANSPOSE(_xlfn.UNIQUE(_xlfn._xlws.FILTER(MAE_ASIGNATURA[NOM_ASIG],(MAE_ASIGNATURA[ID_NIVEL]=ASIGNACION!$D162)*(MAE_ASIGNATURA[ID_CARRERA]=ASIGNACION!$C162),"No existe información")))</f>
        <v>No existe información</v>
      </c>
      <c r="BD162" s="4" t="str" cm="1">
        <f t="array" ref="BD162">TRANSPOSE(_xlfn.UNIQUE(_xlfn._xlws.FILTER(DET_ASIG[DETALLADO],(DET_ASIG[ID_CARRERA]=ASIGNACION!$C162)*(DET_ASIG[NIVEL]=ASIGNACION!$D162)*(DET_ASIG[ID_ASIG]=ASIGNACION!$G162),"No existe información")))</f>
        <v>No existe información</v>
      </c>
      <c r="BQ162" s="5" t="str" cm="1">
        <f t="array" ref="BQ162">IFERROR(
    TRANSPOSE(
        _xlfn.UNIQUE(
            _xlfn._xlws.FILTER(MAESTRIA_DETALLADO[MAESTRIA],
                ISNUMBER(MATCH(MAESTRIA_DETALLADO[CAMPO_DETALLADO],
                BD162:BP162,0))
            )
        )
    ),IF(BD162="ACTIVIDAD","DOCENCIA",""))</f>
        <v/>
      </c>
      <c r="EA162" s="5" t="str" cm="1">
        <f t="array" ref="EA162:FN162">IF(
    ASIGNACION!I162="SI",
    IFERROR(
        TRANSPOSE(
            _xlfn.UNIQUE(
                _xlfn._xlws.FILTER(EDU_DOCENTE[NOMBRE_DOCENTE],
                    ISNUMBER(MATCH(EDU_DOCENTE[MAESTRIA],
                    BQ162:DY162,0))
                )
            )
        ),
        ""
    ),
    TRANSPOSE(
        _xlfn.UNIQUE(EDU_DOCENTE[NOMBRE_DOCENTE]
        )
    )
)</f>
        <v>ALCIVAR CEDEÑO BEATRIZ ISABEL</v>
      </c>
      <c r="EB162" t="str">
        <v>ALCIVAR VERA GEMA MICHELLE</v>
      </c>
      <c r="EC162" t="str">
        <v>ARAUZ CHAVEZ MARIO ROBERTO</v>
      </c>
      <c r="ED162" t="str">
        <v>BAILON LOURIDO WALTER ALBERTO</v>
      </c>
      <c r="EE162" t="str">
        <v>CALDERERO VILLAGOMEZ ERICK ANTONIO</v>
      </c>
      <c r="EF162" t="str">
        <v>CASTILLO GARCIA PAOLA GERMANIA</v>
      </c>
      <c r="EG162" t="str">
        <v>CEDEÑO CHOEZ PEDRO JAVIER</v>
      </c>
      <c r="EH162" t="str">
        <v>CEVALLOS HOPPE JUAN CARLOS</v>
      </c>
      <c r="EI162" t="str">
        <v>DELGADO CHAVEZ MARIA IRASEMA</v>
      </c>
      <c r="EJ162" t="str">
        <v>DUARTE VALENCIA CRISTHIAN DARIO</v>
      </c>
      <c r="EK162" t="str">
        <v>FORTTY BARBERAN DENNY ALEXANDER</v>
      </c>
      <c r="EL162" t="str">
        <v>GUTIERREZ ZAMBRANO CARMEN EBELINA</v>
      </c>
      <c r="EM162" t="str">
        <v>INTRIAGO MOLINA GEMA VALERIA</v>
      </c>
      <c r="EN162" t="str">
        <v>LINO VELEZ LEONEL LIVINGTON</v>
      </c>
      <c r="EO162" t="str">
        <v>LOOR ALCIVAR MARIA ILIANA</v>
      </c>
      <c r="EP162" t="str">
        <v>LOOR MIELES TANIA JACQUELINE</v>
      </c>
      <c r="EQ162" t="str">
        <v>LOOR SOLORZANO ROSA MARIA</v>
      </c>
      <c r="ER162" t="str">
        <v>LOPEZ DELGADO RONALD MAURICIO</v>
      </c>
      <c r="ES162" t="str">
        <v>MACIAS VALENCIA DAVID GABRIEL</v>
      </c>
      <c r="ET162" t="str">
        <v>MENDOZA ZAMORA WALTER MANUEL</v>
      </c>
      <c r="EU162" t="str">
        <v>MOLINA CEVALLOS MARIA LORENA</v>
      </c>
      <c r="EV162" t="str">
        <v>MURILLO DELGADO ISAAC GABRIEL</v>
      </c>
      <c r="EW162" t="str">
        <v>ANGULO MURILLO NAVIRA GISSELA</v>
      </c>
      <c r="EX162" t="str">
        <v>OCHOA SOLEDISPA NESTOR IVAN</v>
      </c>
      <c r="EY162" t="str">
        <v>PARRAGA FRANCO SILVANA MARIELA</v>
      </c>
      <c r="EZ162" t="str">
        <v>PINARGOTE VASQUEZ NANCY FABIOLA</v>
      </c>
      <c r="FA162" t="str">
        <v>REYES VELEZ PEDRO ENRIQUE</v>
      </c>
      <c r="FB162" t="str">
        <v>SAN ANDRES HORMAZA DALLAS CECILIA</v>
      </c>
      <c r="FC162" t="str">
        <v>SORNOZA ZAMORA JUAN CARLOS</v>
      </c>
      <c r="FD162" t="str">
        <v>TOMALA PINTO JESUS JACINTO</v>
      </c>
      <c r="FE162" t="str">
        <v>VALLE JARAMILLO SILVIA ARACELY</v>
      </c>
      <c r="FF162" t="str">
        <v>VELÁSQUEZ BRAVO IRMA KATHERINE</v>
      </c>
      <c r="FG162" t="str">
        <v>VELEZ MENDOZA LAYSY VALERIA</v>
      </c>
      <c r="FH162" t="str">
        <v>VINUEZA TELLO SHIRLEY ELIZABETH</v>
      </c>
      <c r="FI162" t="str">
        <v>ZAMBRANO ALCIVAR NILDA ISABEL</v>
      </c>
      <c r="FJ162" t="str">
        <v>ZAMBRANO LOOR RITA MAYDA</v>
      </c>
      <c r="FK162" t="str">
        <v>ZAMBRANO VERA MONICA JANETH</v>
      </c>
      <c r="FL162" t="str">
        <v>VERA DELGADO BRYAN ADRIÁN</v>
      </c>
      <c r="FM162" t="str">
        <v>MORAN GONZALES DAVID RENATO</v>
      </c>
      <c r="FN162">
        <v>0</v>
      </c>
    </row>
    <row r="163" spans="1:170" ht="20.25" customHeight="1">
      <c r="A163" s="4" t="str" cm="1">
        <f t="array" ref="A163">TRANSPOSE(_xlfn.UNIQUE(_xlfn._xlws.FILTER(MAE_ASIGNATURA[ID_NIVEL],MAE_ASIGNATURA[ID_CARRERA]=ASIGNACION!$C163,"No existe información")))</f>
        <v>No existe información</v>
      </c>
      <c r="S163" s="4" t="str" cm="1">
        <f t="array" ref="S163">TRANSPOSE(_xlfn.UNIQUE(_xlfn._xlws.FILTER(MAE_ASIGNATURA[NOM_ASIG],(MAE_ASIGNATURA[ID_NIVEL]=ASIGNACION!$D163)*(MAE_ASIGNATURA[ID_CARRERA]=ASIGNACION!$C163),"No existe información")))</f>
        <v>No existe información</v>
      </c>
      <c r="BD163" s="4" t="str" cm="1">
        <f t="array" ref="BD163">TRANSPOSE(_xlfn.UNIQUE(_xlfn._xlws.FILTER(DET_ASIG[DETALLADO],(DET_ASIG[ID_CARRERA]=ASIGNACION!$C163)*(DET_ASIG[NIVEL]=ASIGNACION!$D163)*(DET_ASIG[ID_ASIG]=ASIGNACION!$G163),"No existe información")))</f>
        <v>No existe información</v>
      </c>
      <c r="BQ163" s="5" t="str" cm="1">
        <f t="array" ref="BQ163">IFERROR(
    TRANSPOSE(
        _xlfn.UNIQUE(
            _xlfn._xlws.FILTER(MAESTRIA_DETALLADO[MAESTRIA],
                ISNUMBER(MATCH(MAESTRIA_DETALLADO[CAMPO_DETALLADO],
                BD163:BP163,0))
            )
        )
    ),IF(BD163="ACTIVIDAD","DOCENCIA",""))</f>
        <v/>
      </c>
      <c r="EA163" s="5" t="str" cm="1">
        <f t="array" ref="EA163:FN163">IF(
    ASIGNACION!I163="SI",
    IFERROR(
        TRANSPOSE(
            _xlfn.UNIQUE(
                _xlfn._xlws.FILTER(EDU_DOCENTE[NOMBRE_DOCENTE],
                    ISNUMBER(MATCH(EDU_DOCENTE[MAESTRIA],
                    BQ163:DY163,0))
                )
            )
        ),
        ""
    ),
    TRANSPOSE(
        _xlfn.UNIQUE(EDU_DOCENTE[NOMBRE_DOCENTE]
        )
    )
)</f>
        <v>ALCIVAR CEDEÑO BEATRIZ ISABEL</v>
      </c>
      <c r="EB163" t="str">
        <v>ALCIVAR VERA GEMA MICHELLE</v>
      </c>
      <c r="EC163" t="str">
        <v>ARAUZ CHAVEZ MARIO ROBERTO</v>
      </c>
      <c r="ED163" t="str">
        <v>BAILON LOURIDO WALTER ALBERTO</v>
      </c>
      <c r="EE163" t="str">
        <v>CALDERERO VILLAGOMEZ ERICK ANTONIO</v>
      </c>
      <c r="EF163" t="str">
        <v>CASTILLO GARCIA PAOLA GERMANIA</v>
      </c>
      <c r="EG163" t="str">
        <v>CEDEÑO CHOEZ PEDRO JAVIER</v>
      </c>
      <c r="EH163" t="str">
        <v>CEVALLOS HOPPE JUAN CARLOS</v>
      </c>
      <c r="EI163" t="str">
        <v>DELGADO CHAVEZ MARIA IRASEMA</v>
      </c>
      <c r="EJ163" t="str">
        <v>DUARTE VALENCIA CRISTHIAN DARIO</v>
      </c>
      <c r="EK163" t="str">
        <v>FORTTY BARBERAN DENNY ALEXANDER</v>
      </c>
      <c r="EL163" t="str">
        <v>GUTIERREZ ZAMBRANO CARMEN EBELINA</v>
      </c>
      <c r="EM163" t="str">
        <v>INTRIAGO MOLINA GEMA VALERIA</v>
      </c>
      <c r="EN163" t="str">
        <v>LINO VELEZ LEONEL LIVINGTON</v>
      </c>
      <c r="EO163" t="str">
        <v>LOOR ALCIVAR MARIA ILIANA</v>
      </c>
      <c r="EP163" t="str">
        <v>LOOR MIELES TANIA JACQUELINE</v>
      </c>
      <c r="EQ163" t="str">
        <v>LOOR SOLORZANO ROSA MARIA</v>
      </c>
      <c r="ER163" t="str">
        <v>LOPEZ DELGADO RONALD MAURICIO</v>
      </c>
      <c r="ES163" t="str">
        <v>MACIAS VALENCIA DAVID GABRIEL</v>
      </c>
      <c r="ET163" t="str">
        <v>MENDOZA ZAMORA WALTER MANUEL</v>
      </c>
      <c r="EU163" t="str">
        <v>MOLINA CEVALLOS MARIA LORENA</v>
      </c>
      <c r="EV163" t="str">
        <v>MURILLO DELGADO ISAAC GABRIEL</v>
      </c>
      <c r="EW163" t="str">
        <v>ANGULO MURILLO NAVIRA GISSELA</v>
      </c>
      <c r="EX163" t="str">
        <v>OCHOA SOLEDISPA NESTOR IVAN</v>
      </c>
      <c r="EY163" t="str">
        <v>PARRAGA FRANCO SILVANA MARIELA</v>
      </c>
      <c r="EZ163" t="str">
        <v>PINARGOTE VASQUEZ NANCY FABIOLA</v>
      </c>
      <c r="FA163" t="str">
        <v>REYES VELEZ PEDRO ENRIQUE</v>
      </c>
      <c r="FB163" t="str">
        <v>SAN ANDRES HORMAZA DALLAS CECILIA</v>
      </c>
      <c r="FC163" t="str">
        <v>SORNOZA ZAMORA JUAN CARLOS</v>
      </c>
      <c r="FD163" t="str">
        <v>TOMALA PINTO JESUS JACINTO</v>
      </c>
      <c r="FE163" t="str">
        <v>VALLE JARAMILLO SILVIA ARACELY</v>
      </c>
      <c r="FF163" t="str">
        <v>VELÁSQUEZ BRAVO IRMA KATHERINE</v>
      </c>
      <c r="FG163" t="str">
        <v>VELEZ MENDOZA LAYSY VALERIA</v>
      </c>
      <c r="FH163" t="str">
        <v>VINUEZA TELLO SHIRLEY ELIZABETH</v>
      </c>
      <c r="FI163" t="str">
        <v>ZAMBRANO ALCIVAR NILDA ISABEL</v>
      </c>
      <c r="FJ163" t="str">
        <v>ZAMBRANO LOOR RITA MAYDA</v>
      </c>
      <c r="FK163" t="str">
        <v>ZAMBRANO VERA MONICA JANETH</v>
      </c>
      <c r="FL163" t="str">
        <v>VERA DELGADO BRYAN ADRIÁN</v>
      </c>
      <c r="FM163" t="str">
        <v>MORAN GONZALES DAVID RENATO</v>
      </c>
      <c r="FN163">
        <v>0</v>
      </c>
    </row>
    <row r="164" spans="1:170" ht="20.25" customHeight="1">
      <c r="A164" s="4" t="str" cm="1">
        <f t="array" ref="A164">TRANSPOSE(_xlfn.UNIQUE(_xlfn._xlws.FILTER(MAE_ASIGNATURA[ID_NIVEL],MAE_ASIGNATURA[ID_CARRERA]=ASIGNACION!$C164,"No existe información")))</f>
        <v>No existe información</v>
      </c>
      <c r="S164" s="4" t="str" cm="1">
        <f t="array" ref="S164">TRANSPOSE(_xlfn.UNIQUE(_xlfn._xlws.FILTER(MAE_ASIGNATURA[NOM_ASIG],(MAE_ASIGNATURA[ID_NIVEL]=ASIGNACION!$D164)*(MAE_ASIGNATURA[ID_CARRERA]=ASIGNACION!$C164),"No existe información")))</f>
        <v>No existe información</v>
      </c>
      <c r="BD164" s="4" t="str" cm="1">
        <f t="array" ref="BD164">TRANSPOSE(_xlfn.UNIQUE(_xlfn._xlws.FILTER(DET_ASIG[DETALLADO],(DET_ASIG[ID_CARRERA]=ASIGNACION!$C164)*(DET_ASIG[NIVEL]=ASIGNACION!$D164)*(DET_ASIG[ID_ASIG]=ASIGNACION!$G164),"No existe información")))</f>
        <v>No existe información</v>
      </c>
      <c r="BQ164" s="5" t="str" cm="1">
        <f t="array" ref="BQ164">IFERROR(
    TRANSPOSE(
        _xlfn.UNIQUE(
            _xlfn._xlws.FILTER(MAESTRIA_DETALLADO[MAESTRIA],
                ISNUMBER(MATCH(MAESTRIA_DETALLADO[CAMPO_DETALLADO],
                BD164:BP164,0))
            )
        )
    ),IF(BD164="ACTIVIDAD","DOCENCIA",""))</f>
        <v/>
      </c>
      <c r="EA164" s="5" t="str" cm="1">
        <f t="array" ref="EA164:FN164">IF(
    ASIGNACION!I164="SI",
    IFERROR(
        TRANSPOSE(
            _xlfn.UNIQUE(
                _xlfn._xlws.FILTER(EDU_DOCENTE[NOMBRE_DOCENTE],
                    ISNUMBER(MATCH(EDU_DOCENTE[MAESTRIA],
                    BQ164:DY164,0))
                )
            )
        ),
        ""
    ),
    TRANSPOSE(
        _xlfn.UNIQUE(EDU_DOCENTE[NOMBRE_DOCENTE]
        )
    )
)</f>
        <v>ALCIVAR CEDEÑO BEATRIZ ISABEL</v>
      </c>
      <c r="EB164" t="str">
        <v>ALCIVAR VERA GEMA MICHELLE</v>
      </c>
      <c r="EC164" t="str">
        <v>ARAUZ CHAVEZ MARIO ROBERTO</v>
      </c>
      <c r="ED164" t="str">
        <v>BAILON LOURIDO WALTER ALBERTO</v>
      </c>
      <c r="EE164" t="str">
        <v>CALDERERO VILLAGOMEZ ERICK ANTONIO</v>
      </c>
      <c r="EF164" t="str">
        <v>CASTILLO GARCIA PAOLA GERMANIA</v>
      </c>
      <c r="EG164" t="str">
        <v>CEDEÑO CHOEZ PEDRO JAVIER</v>
      </c>
      <c r="EH164" t="str">
        <v>CEVALLOS HOPPE JUAN CARLOS</v>
      </c>
      <c r="EI164" t="str">
        <v>DELGADO CHAVEZ MARIA IRASEMA</v>
      </c>
      <c r="EJ164" t="str">
        <v>DUARTE VALENCIA CRISTHIAN DARIO</v>
      </c>
      <c r="EK164" t="str">
        <v>FORTTY BARBERAN DENNY ALEXANDER</v>
      </c>
      <c r="EL164" t="str">
        <v>GUTIERREZ ZAMBRANO CARMEN EBELINA</v>
      </c>
      <c r="EM164" t="str">
        <v>INTRIAGO MOLINA GEMA VALERIA</v>
      </c>
      <c r="EN164" t="str">
        <v>LINO VELEZ LEONEL LIVINGTON</v>
      </c>
      <c r="EO164" t="str">
        <v>LOOR ALCIVAR MARIA ILIANA</v>
      </c>
      <c r="EP164" t="str">
        <v>LOOR MIELES TANIA JACQUELINE</v>
      </c>
      <c r="EQ164" t="str">
        <v>LOOR SOLORZANO ROSA MARIA</v>
      </c>
      <c r="ER164" t="str">
        <v>LOPEZ DELGADO RONALD MAURICIO</v>
      </c>
      <c r="ES164" t="str">
        <v>MACIAS VALENCIA DAVID GABRIEL</v>
      </c>
      <c r="ET164" t="str">
        <v>MENDOZA ZAMORA WALTER MANUEL</v>
      </c>
      <c r="EU164" t="str">
        <v>MOLINA CEVALLOS MARIA LORENA</v>
      </c>
      <c r="EV164" t="str">
        <v>MURILLO DELGADO ISAAC GABRIEL</v>
      </c>
      <c r="EW164" t="str">
        <v>ANGULO MURILLO NAVIRA GISSELA</v>
      </c>
      <c r="EX164" t="str">
        <v>OCHOA SOLEDISPA NESTOR IVAN</v>
      </c>
      <c r="EY164" t="str">
        <v>PARRAGA FRANCO SILVANA MARIELA</v>
      </c>
      <c r="EZ164" t="str">
        <v>PINARGOTE VASQUEZ NANCY FABIOLA</v>
      </c>
      <c r="FA164" t="str">
        <v>REYES VELEZ PEDRO ENRIQUE</v>
      </c>
      <c r="FB164" t="str">
        <v>SAN ANDRES HORMAZA DALLAS CECILIA</v>
      </c>
      <c r="FC164" t="str">
        <v>SORNOZA ZAMORA JUAN CARLOS</v>
      </c>
      <c r="FD164" t="str">
        <v>TOMALA PINTO JESUS JACINTO</v>
      </c>
      <c r="FE164" t="str">
        <v>VALLE JARAMILLO SILVIA ARACELY</v>
      </c>
      <c r="FF164" t="str">
        <v>VELÁSQUEZ BRAVO IRMA KATHERINE</v>
      </c>
      <c r="FG164" t="str">
        <v>VELEZ MENDOZA LAYSY VALERIA</v>
      </c>
      <c r="FH164" t="str">
        <v>VINUEZA TELLO SHIRLEY ELIZABETH</v>
      </c>
      <c r="FI164" t="str">
        <v>ZAMBRANO ALCIVAR NILDA ISABEL</v>
      </c>
      <c r="FJ164" t="str">
        <v>ZAMBRANO LOOR RITA MAYDA</v>
      </c>
      <c r="FK164" t="str">
        <v>ZAMBRANO VERA MONICA JANETH</v>
      </c>
      <c r="FL164" t="str">
        <v>VERA DELGADO BRYAN ADRIÁN</v>
      </c>
      <c r="FM164" t="str">
        <v>MORAN GONZALES DAVID RENATO</v>
      </c>
      <c r="FN164">
        <v>0</v>
      </c>
    </row>
    <row r="165" spans="1:170" ht="20.25" customHeight="1">
      <c r="A165" s="4" t="str" cm="1">
        <f t="array" ref="A165">TRANSPOSE(_xlfn.UNIQUE(_xlfn._xlws.FILTER(MAE_ASIGNATURA[ID_NIVEL],MAE_ASIGNATURA[ID_CARRERA]=ASIGNACION!$C165,"No existe información")))</f>
        <v>No existe información</v>
      </c>
      <c r="S165" s="4" t="str" cm="1">
        <f t="array" ref="S165">TRANSPOSE(_xlfn.UNIQUE(_xlfn._xlws.FILTER(MAE_ASIGNATURA[NOM_ASIG],(MAE_ASIGNATURA[ID_NIVEL]=ASIGNACION!$D165)*(MAE_ASIGNATURA[ID_CARRERA]=ASIGNACION!$C165),"No existe información")))</f>
        <v>No existe información</v>
      </c>
      <c r="BD165" s="4" t="str" cm="1">
        <f t="array" ref="BD165">TRANSPOSE(_xlfn.UNIQUE(_xlfn._xlws.FILTER(DET_ASIG[DETALLADO],(DET_ASIG[ID_CARRERA]=ASIGNACION!$C165)*(DET_ASIG[NIVEL]=ASIGNACION!$D165)*(DET_ASIG[ID_ASIG]=ASIGNACION!$G165),"No existe información")))</f>
        <v>No existe información</v>
      </c>
      <c r="BQ165" s="5" t="str" cm="1">
        <f t="array" ref="BQ165">IFERROR(
    TRANSPOSE(
        _xlfn.UNIQUE(
            _xlfn._xlws.FILTER(MAESTRIA_DETALLADO[MAESTRIA],
                ISNUMBER(MATCH(MAESTRIA_DETALLADO[CAMPO_DETALLADO],
                BD165:BP165,0))
            )
        )
    ),IF(BD165="ACTIVIDAD","DOCENCIA",""))</f>
        <v/>
      </c>
      <c r="EA165" s="5" t="str" cm="1">
        <f t="array" ref="EA165:FN165">IF(
    ASIGNACION!I165="SI",
    IFERROR(
        TRANSPOSE(
            _xlfn.UNIQUE(
                _xlfn._xlws.FILTER(EDU_DOCENTE[NOMBRE_DOCENTE],
                    ISNUMBER(MATCH(EDU_DOCENTE[MAESTRIA],
                    BQ165:DY165,0))
                )
            )
        ),
        ""
    ),
    TRANSPOSE(
        _xlfn.UNIQUE(EDU_DOCENTE[NOMBRE_DOCENTE]
        )
    )
)</f>
        <v>ALCIVAR CEDEÑO BEATRIZ ISABEL</v>
      </c>
      <c r="EB165" t="str">
        <v>ALCIVAR VERA GEMA MICHELLE</v>
      </c>
      <c r="EC165" t="str">
        <v>ARAUZ CHAVEZ MARIO ROBERTO</v>
      </c>
      <c r="ED165" t="str">
        <v>BAILON LOURIDO WALTER ALBERTO</v>
      </c>
      <c r="EE165" t="str">
        <v>CALDERERO VILLAGOMEZ ERICK ANTONIO</v>
      </c>
      <c r="EF165" t="str">
        <v>CASTILLO GARCIA PAOLA GERMANIA</v>
      </c>
      <c r="EG165" t="str">
        <v>CEDEÑO CHOEZ PEDRO JAVIER</v>
      </c>
      <c r="EH165" t="str">
        <v>CEVALLOS HOPPE JUAN CARLOS</v>
      </c>
      <c r="EI165" t="str">
        <v>DELGADO CHAVEZ MARIA IRASEMA</v>
      </c>
      <c r="EJ165" t="str">
        <v>DUARTE VALENCIA CRISTHIAN DARIO</v>
      </c>
      <c r="EK165" t="str">
        <v>FORTTY BARBERAN DENNY ALEXANDER</v>
      </c>
      <c r="EL165" t="str">
        <v>GUTIERREZ ZAMBRANO CARMEN EBELINA</v>
      </c>
      <c r="EM165" t="str">
        <v>INTRIAGO MOLINA GEMA VALERIA</v>
      </c>
      <c r="EN165" t="str">
        <v>LINO VELEZ LEONEL LIVINGTON</v>
      </c>
      <c r="EO165" t="str">
        <v>LOOR ALCIVAR MARIA ILIANA</v>
      </c>
      <c r="EP165" t="str">
        <v>LOOR MIELES TANIA JACQUELINE</v>
      </c>
      <c r="EQ165" t="str">
        <v>LOOR SOLORZANO ROSA MARIA</v>
      </c>
      <c r="ER165" t="str">
        <v>LOPEZ DELGADO RONALD MAURICIO</v>
      </c>
      <c r="ES165" t="str">
        <v>MACIAS VALENCIA DAVID GABRIEL</v>
      </c>
      <c r="ET165" t="str">
        <v>MENDOZA ZAMORA WALTER MANUEL</v>
      </c>
      <c r="EU165" t="str">
        <v>MOLINA CEVALLOS MARIA LORENA</v>
      </c>
      <c r="EV165" t="str">
        <v>MURILLO DELGADO ISAAC GABRIEL</v>
      </c>
      <c r="EW165" t="str">
        <v>ANGULO MURILLO NAVIRA GISSELA</v>
      </c>
      <c r="EX165" t="str">
        <v>OCHOA SOLEDISPA NESTOR IVAN</v>
      </c>
      <c r="EY165" t="str">
        <v>PARRAGA FRANCO SILVANA MARIELA</v>
      </c>
      <c r="EZ165" t="str">
        <v>PINARGOTE VASQUEZ NANCY FABIOLA</v>
      </c>
      <c r="FA165" t="str">
        <v>REYES VELEZ PEDRO ENRIQUE</v>
      </c>
      <c r="FB165" t="str">
        <v>SAN ANDRES HORMAZA DALLAS CECILIA</v>
      </c>
      <c r="FC165" t="str">
        <v>SORNOZA ZAMORA JUAN CARLOS</v>
      </c>
      <c r="FD165" t="str">
        <v>TOMALA PINTO JESUS JACINTO</v>
      </c>
      <c r="FE165" t="str">
        <v>VALLE JARAMILLO SILVIA ARACELY</v>
      </c>
      <c r="FF165" t="str">
        <v>VELÁSQUEZ BRAVO IRMA KATHERINE</v>
      </c>
      <c r="FG165" t="str">
        <v>VELEZ MENDOZA LAYSY VALERIA</v>
      </c>
      <c r="FH165" t="str">
        <v>VINUEZA TELLO SHIRLEY ELIZABETH</v>
      </c>
      <c r="FI165" t="str">
        <v>ZAMBRANO ALCIVAR NILDA ISABEL</v>
      </c>
      <c r="FJ165" t="str">
        <v>ZAMBRANO LOOR RITA MAYDA</v>
      </c>
      <c r="FK165" t="str">
        <v>ZAMBRANO VERA MONICA JANETH</v>
      </c>
      <c r="FL165" t="str">
        <v>VERA DELGADO BRYAN ADRIÁN</v>
      </c>
      <c r="FM165" t="str">
        <v>MORAN GONZALES DAVID RENATO</v>
      </c>
      <c r="FN165">
        <v>0</v>
      </c>
    </row>
    <row r="166" spans="1:170" ht="20.25" customHeight="1">
      <c r="A166" s="4" t="str" cm="1">
        <f t="array" ref="A166">TRANSPOSE(_xlfn.UNIQUE(_xlfn._xlws.FILTER(MAE_ASIGNATURA[ID_NIVEL],MAE_ASIGNATURA[ID_CARRERA]=ASIGNACION!$C166,"No existe información")))</f>
        <v>No existe información</v>
      </c>
      <c r="S166" s="4" t="str" cm="1">
        <f t="array" ref="S166">TRANSPOSE(_xlfn.UNIQUE(_xlfn._xlws.FILTER(MAE_ASIGNATURA[NOM_ASIG],(MAE_ASIGNATURA[ID_NIVEL]=ASIGNACION!$D166)*(MAE_ASIGNATURA[ID_CARRERA]=ASIGNACION!$C166),"No existe información")))</f>
        <v>No existe información</v>
      </c>
      <c r="BD166" s="4" t="str" cm="1">
        <f t="array" ref="BD166">TRANSPOSE(_xlfn.UNIQUE(_xlfn._xlws.FILTER(DET_ASIG[DETALLADO],(DET_ASIG[ID_CARRERA]=ASIGNACION!$C166)*(DET_ASIG[NIVEL]=ASIGNACION!$D166)*(DET_ASIG[ID_ASIG]=ASIGNACION!$G166),"No existe información")))</f>
        <v>No existe información</v>
      </c>
      <c r="BQ166" s="5" t="str" cm="1">
        <f t="array" ref="BQ166">IFERROR(
    TRANSPOSE(
        _xlfn.UNIQUE(
            _xlfn._xlws.FILTER(MAESTRIA_DETALLADO[MAESTRIA],
                ISNUMBER(MATCH(MAESTRIA_DETALLADO[CAMPO_DETALLADO],
                BD166:BP166,0))
            )
        )
    ),IF(BD166="ACTIVIDAD","DOCENCIA",""))</f>
        <v/>
      </c>
      <c r="EA166" s="5" t="str" cm="1">
        <f t="array" ref="EA166:FN166">IF(
    ASIGNACION!I166="SI",
    IFERROR(
        TRANSPOSE(
            _xlfn.UNIQUE(
                _xlfn._xlws.FILTER(EDU_DOCENTE[NOMBRE_DOCENTE],
                    ISNUMBER(MATCH(EDU_DOCENTE[MAESTRIA],
                    BQ166:DY166,0))
                )
            )
        ),
        ""
    ),
    TRANSPOSE(
        _xlfn.UNIQUE(EDU_DOCENTE[NOMBRE_DOCENTE]
        )
    )
)</f>
        <v>ALCIVAR CEDEÑO BEATRIZ ISABEL</v>
      </c>
      <c r="EB166" t="str">
        <v>ALCIVAR VERA GEMA MICHELLE</v>
      </c>
      <c r="EC166" t="str">
        <v>ARAUZ CHAVEZ MARIO ROBERTO</v>
      </c>
      <c r="ED166" t="str">
        <v>BAILON LOURIDO WALTER ALBERTO</v>
      </c>
      <c r="EE166" t="str">
        <v>CALDERERO VILLAGOMEZ ERICK ANTONIO</v>
      </c>
      <c r="EF166" t="str">
        <v>CASTILLO GARCIA PAOLA GERMANIA</v>
      </c>
      <c r="EG166" t="str">
        <v>CEDEÑO CHOEZ PEDRO JAVIER</v>
      </c>
      <c r="EH166" t="str">
        <v>CEVALLOS HOPPE JUAN CARLOS</v>
      </c>
      <c r="EI166" t="str">
        <v>DELGADO CHAVEZ MARIA IRASEMA</v>
      </c>
      <c r="EJ166" t="str">
        <v>DUARTE VALENCIA CRISTHIAN DARIO</v>
      </c>
      <c r="EK166" t="str">
        <v>FORTTY BARBERAN DENNY ALEXANDER</v>
      </c>
      <c r="EL166" t="str">
        <v>GUTIERREZ ZAMBRANO CARMEN EBELINA</v>
      </c>
      <c r="EM166" t="str">
        <v>INTRIAGO MOLINA GEMA VALERIA</v>
      </c>
      <c r="EN166" t="str">
        <v>LINO VELEZ LEONEL LIVINGTON</v>
      </c>
      <c r="EO166" t="str">
        <v>LOOR ALCIVAR MARIA ILIANA</v>
      </c>
      <c r="EP166" t="str">
        <v>LOOR MIELES TANIA JACQUELINE</v>
      </c>
      <c r="EQ166" t="str">
        <v>LOOR SOLORZANO ROSA MARIA</v>
      </c>
      <c r="ER166" t="str">
        <v>LOPEZ DELGADO RONALD MAURICIO</v>
      </c>
      <c r="ES166" t="str">
        <v>MACIAS VALENCIA DAVID GABRIEL</v>
      </c>
      <c r="ET166" t="str">
        <v>MENDOZA ZAMORA WALTER MANUEL</v>
      </c>
      <c r="EU166" t="str">
        <v>MOLINA CEVALLOS MARIA LORENA</v>
      </c>
      <c r="EV166" t="str">
        <v>MURILLO DELGADO ISAAC GABRIEL</v>
      </c>
      <c r="EW166" t="str">
        <v>ANGULO MURILLO NAVIRA GISSELA</v>
      </c>
      <c r="EX166" t="str">
        <v>OCHOA SOLEDISPA NESTOR IVAN</v>
      </c>
      <c r="EY166" t="str">
        <v>PARRAGA FRANCO SILVANA MARIELA</v>
      </c>
      <c r="EZ166" t="str">
        <v>PINARGOTE VASQUEZ NANCY FABIOLA</v>
      </c>
      <c r="FA166" t="str">
        <v>REYES VELEZ PEDRO ENRIQUE</v>
      </c>
      <c r="FB166" t="str">
        <v>SAN ANDRES HORMAZA DALLAS CECILIA</v>
      </c>
      <c r="FC166" t="str">
        <v>SORNOZA ZAMORA JUAN CARLOS</v>
      </c>
      <c r="FD166" t="str">
        <v>TOMALA PINTO JESUS JACINTO</v>
      </c>
      <c r="FE166" t="str">
        <v>VALLE JARAMILLO SILVIA ARACELY</v>
      </c>
      <c r="FF166" t="str">
        <v>VELÁSQUEZ BRAVO IRMA KATHERINE</v>
      </c>
      <c r="FG166" t="str">
        <v>VELEZ MENDOZA LAYSY VALERIA</v>
      </c>
      <c r="FH166" t="str">
        <v>VINUEZA TELLO SHIRLEY ELIZABETH</v>
      </c>
      <c r="FI166" t="str">
        <v>ZAMBRANO ALCIVAR NILDA ISABEL</v>
      </c>
      <c r="FJ166" t="str">
        <v>ZAMBRANO LOOR RITA MAYDA</v>
      </c>
      <c r="FK166" t="str">
        <v>ZAMBRANO VERA MONICA JANETH</v>
      </c>
      <c r="FL166" t="str">
        <v>VERA DELGADO BRYAN ADRIÁN</v>
      </c>
      <c r="FM166" t="str">
        <v>MORAN GONZALES DAVID RENATO</v>
      </c>
      <c r="FN166">
        <v>0</v>
      </c>
    </row>
    <row r="167" spans="1:170" ht="20.25" customHeight="1">
      <c r="A167" s="4" t="str" cm="1">
        <f t="array" ref="A167">TRANSPOSE(_xlfn.UNIQUE(_xlfn._xlws.FILTER(MAE_ASIGNATURA[ID_NIVEL],MAE_ASIGNATURA[ID_CARRERA]=ASIGNACION!$C167,"No existe información")))</f>
        <v>No existe información</v>
      </c>
      <c r="S167" s="4" t="str" cm="1">
        <f t="array" ref="S167">TRANSPOSE(_xlfn.UNIQUE(_xlfn._xlws.FILTER(MAE_ASIGNATURA[NOM_ASIG],(MAE_ASIGNATURA[ID_NIVEL]=ASIGNACION!$D167)*(MAE_ASIGNATURA[ID_CARRERA]=ASIGNACION!$C167),"No existe información")))</f>
        <v>No existe información</v>
      </c>
      <c r="BD167" s="4" t="str" cm="1">
        <f t="array" ref="BD167">TRANSPOSE(_xlfn.UNIQUE(_xlfn._xlws.FILTER(DET_ASIG[DETALLADO],(DET_ASIG[ID_CARRERA]=ASIGNACION!$C167)*(DET_ASIG[NIVEL]=ASIGNACION!$D167)*(DET_ASIG[ID_ASIG]=ASIGNACION!$G167),"No existe información")))</f>
        <v>No existe información</v>
      </c>
      <c r="BQ167" s="5" t="str" cm="1">
        <f t="array" ref="BQ167">IFERROR(
    TRANSPOSE(
        _xlfn.UNIQUE(
            _xlfn._xlws.FILTER(MAESTRIA_DETALLADO[MAESTRIA],
                ISNUMBER(MATCH(MAESTRIA_DETALLADO[CAMPO_DETALLADO],
                BD167:BP167,0))
            )
        )
    ),IF(BD167="ACTIVIDAD","DOCENCIA",""))</f>
        <v/>
      </c>
      <c r="EA167" s="5" t="str" cm="1">
        <f t="array" ref="EA167:FN167">IF(
    ASIGNACION!I167="SI",
    IFERROR(
        TRANSPOSE(
            _xlfn.UNIQUE(
                _xlfn._xlws.FILTER(EDU_DOCENTE[NOMBRE_DOCENTE],
                    ISNUMBER(MATCH(EDU_DOCENTE[MAESTRIA],
                    BQ167:DY167,0))
                )
            )
        ),
        ""
    ),
    TRANSPOSE(
        _xlfn.UNIQUE(EDU_DOCENTE[NOMBRE_DOCENTE]
        )
    )
)</f>
        <v>ALCIVAR CEDEÑO BEATRIZ ISABEL</v>
      </c>
      <c r="EB167" t="str">
        <v>ALCIVAR VERA GEMA MICHELLE</v>
      </c>
      <c r="EC167" t="str">
        <v>ARAUZ CHAVEZ MARIO ROBERTO</v>
      </c>
      <c r="ED167" t="str">
        <v>BAILON LOURIDO WALTER ALBERTO</v>
      </c>
      <c r="EE167" t="str">
        <v>CALDERERO VILLAGOMEZ ERICK ANTONIO</v>
      </c>
      <c r="EF167" t="str">
        <v>CASTILLO GARCIA PAOLA GERMANIA</v>
      </c>
      <c r="EG167" t="str">
        <v>CEDEÑO CHOEZ PEDRO JAVIER</v>
      </c>
      <c r="EH167" t="str">
        <v>CEVALLOS HOPPE JUAN CARLOS</v>
      </c>
      <c r="EI167" t="str">
        <v>DELGADO CHAVEZ MARIA IRASEMA</v>
      </c>
      <c r="EJ167" t="str">
        <v>DUARTE VALENCIA CRISTHIAN DARIO</v>
      </c>
      <c r="EK167" t="str">
        <v>FORTTY BARBERAN DENNY ALEXANDER</v>
      </c>
      <c r="EL167" t="str">
        <v>GUTIERREZ ZAMBRANO CARMEN EBELINA</v>
      </c>
      <c r="EM167" t="str">
        <v>INTRIAGO MOLINA GEMA VALERIA</v>
      </c>
      <c r="EN167" t="str">
        <v>LINO VELEZ LEONEL LIVINGTON</v>
      </c>
      <c r="EO167" t="str">
        <v>LOOR ALCIVAR MARIA ILIANA</v>
      </c>
      <c r="EP167" t="str">
        <v>LOOR MIELES TANIA JACQUELINE</v>
      </c>
      <c r="EQ167" t="str">
        <v>LOOR SOLORZANO ROSA MARIA</v>
      </c>
      <c r="ER167" t="str">
        <v>LOPEZ DELGADO RONALD MAURICIO</v>
      </c>
      <c r="ES167" t="str">
        <v>MACIAS VALENCIA DAVID GABRIEL</v>
      </c>
      <c r="ET167" t="str">
        <v>MENDOZA ZAMORA WALTER MANUEL</v>
      </c>
      <c r="EU167" t="str">
        <v>MOLINA CEVALLOS MARIA LORENA</v>
      </c>
      <c r="EV167" t="str">
        <v>MURILLO DELGADO ISAAC GABRIEL</v>
      </c>
      <c r="EW167" t="str">
        <v>ANGULO MURILLO NAVIRA GISSELA</v>
      </c>
      <c r="EX167" t="str">
        <v>OCHOA SOLEDISPA NESTOR IVAN</v>
      </c>
      <c r="EY167" t="str">
        <v>PARRAGA FRANCO SILVANA MARIELA</v>
      </c>
      <c r="EZ167" t="str">
        <v>PINARGOTE VASQUEZ NANCY FABIOLA</v>
      </c>
      <c r="FA167" t="str">
        <v>REYES VELEZ PEDRO ENRIQUE</v>
      </c>
      <c r="FB167" t="str">
        <v>SAN ANDRES HORMAZA DALLAS CECILIA</v>
      </c>
      <c r="FC167" t="str">
        <v>SORNOZA ZAMORA JUAN CARLOS</v>
      </c>
      <c r="FD167" t="str">
        <v>TOMALA PINTO JESUS JACINTO</v>
      </c>
      <c r="FE167" t="str">
        <v>VALLE JARAMILLO SILVIA ARACELY</v>
      </c>
      <c r="FF167" t="str">
        <v>VELÁSQUEZ BRAVO IRMA KATHERINE</v>
      </c>
      <c r="FG167" t="str">
        <v>VELEZ MENDOZA LAYSY VALERIA</v>
      </c>
      <c r="FH167" t="str">
        <v>VINUEZA TELLO SHIRLEY ELIZABETH</v>
      </c>
      <c r="FI167" t="str">
        <v>ZAMBRANO ALCIVAR NILDA ISABEL</v>
      </c>
      <c r="FJ167" t="str">
        <v>ZAMBRANO LOOR RITA MAYDA</v>
      </c>
      <c r="FK167" t="str">
        <v>ZAMBRANO VERA MONICA JANETH</v>
      </c>
      <c r="FL167" t="str">
        <v>VERA DELGADO BRYAN ADRIÁN</v>
      </c>
      <c r="FM167" t="str">
        <v>MORAN GONZALES DAVID RENATO</v>
      </c>
      <c r="FN167">
        <v>0</v>
      </c>
    </row>
    <row r="168" spans="1:170" ht="20.25" customHeight="1">
      <c r="A168" s="4" t="str" cm="1">
        <f t="array" ref="A168">TRANSPOSE(_xlfn.UNIQUE(_xlfn._xlws.FILTER(MAE_ASIGNATURA[ID_NIVEL],MAE_ASIGNATURA[ID_CARRERA]=ASIGNACION!$C168,"No existe información")))</f>
        <v>No existe información</v>
      </c>
      <c r="S168" s="4" t="str" cm="1">
        <f t="array" ref="S168">TRANSPOSE(_xlfn.UNIQUE(_xlfn._xlws.FILTER(MAE_ASIGNATURA[NOM_ASIG],(MAE_ASIGNATURA[ID_NIVEL]=ASIGNACION!$D168)*(MAE_ASIGNATURA[ID_CARRERA]=ASIGNACION!$C168),"No existe información")))</f>
        <v>No existe información</v>
      </c>
      <c r="BD168" s="4" t="str" cm="1">
        <f t="array" ref="BD168">TRANSPOSE(_xlfn.UNIQUE(_xlfn._xlws.FILTER(DET_ASIG[DETALLADO],(DET_ASIG[ID_CARRERA]=ASIGNACION!$C168)*(DET_ASIG[NIVEL]=ASIGNACION!$D168)*(DET_ASIG[ID_ASIG]=ASIGNACION!$G168),"No existe información")))</f>
        <v>No existe información</v>
      </c>
      <c r="BQ168" s="5" t="str" cm="1">
        <f t="array" ref="BQ168">IFERROR(
    TRANSPOSE(
        _xlfn.UNIQUE(
            _xlfn._xlws.FILTER(MAESTRIA_DETALLADO[MAESTRIA],
                ISNUMBER(MATCH(MAESTRIA_DETALLADO[CAMPO_DETALLADO],
                BD168:BP168,0))
            )
        )
    ),IF(BD168="ACTIVIDAD","DOCENCIA",""))</f>
        <v/>
      </c>
      <c r="EA168" s="5" t="str" cm="1">
        <f t="array" ref="EA168:FN168">IF(
    ASIGNACION!I168="SI",
    IFERROR(
        TRANSPOSE(
            _xlfn.UNIQUE(
                _xlfn._xlws.FILTER(EDU_DOCENTE[NOMBRE_DOCENTE],
                    ISNUMBER(MATCH(EDU_DOCENTE[MAESTRIA],
                    BQ168:DY168,0))
                )
            )
        ),
        ""
    ),
    TRANSPOSE(
        _xlfn.UNIQUE(EDU_DOCENTE[NOMBRE_DOCENTE]
        )
    )
)</f>
        <v>ALCIVAR CEDEÑO BEATRIZ ISABEL</v>
      </c>
      <c r="EB168" t="str">
        <v>ALCIVAR VERA GEMA MICHELLE</v>
      </c>
      <c r="EC168" t="str">
        <v>ARAUZ CHAVEZ MARIO ROBERTO</v>
      </c>
      <c r="ED168" t="str">
        <v>BAILON LOURIDO WALTER ALBERTO</v>
      </c>
      <c r="EE168" t="str">
        <v>CALDERERO VILLAGOMEZ ERICK ANTONIO</v>
      </c>
      <c r="EF168" t="str">
        <v>CASTILLO GARCIA PAOLA GERMANIA</v>
      </c>
      <c r="EG168" t="str">
        <v>CEDEÑO CHOEZ PEDRO JAVIER</v>
      </c>
      <c r="EH168" t="str">
        <v>CEVALLOS HOPPE JUAN CARLOS</v>
      </c>
      <c r="EI168" t="str">
        <v>DELGADO CHAVEZ MARIA IRASEMA</v>
      </c>
      <c r="EJ168" t="str">
        <v>DUARTE VALENCIA CRISTHIAN DARIO</v>
      </c>
      <c r="EK168" t="str">
        <v>FORTTY BARBERAN DENNY ALEXANDER</v>
      </c>
      <c r="EL168" t="str">
        <v>GUTIERREZ ZAMBRANO CARMEN EBELINA</v>
      </c>
      <c r="EM168" t="str">
        <v>INTRIAGO MOLINA GEMA VALERIA</v>
      </c>
      <c r="EN168" t="str">
        <v>LINO VELEZ LEONEL LIVINGTON</v>
      </c>
      <c r="EO168" t="str">
        <v>LOOR ALCIVAR MARIA ILIANA</v>
      </c>
      <c r="EP168" t="str">
        <v>LOOR MIELES TANIA JACQUELINE</v>
      </c>
      <c r="EQ168" t="str">
        <v>LOOR SOLORZANO ROSA MARIA</v>
      </c>
      <c r="ER168" t="str">
        <v>LOPEZ DELGADO RONALD MAURICIO</v>
      </c>
      <c r="ES168" t="str">
        <v>MACIAS VALENCIA DAVID GABRIEL</v>
      </c>
      <c r="ET168" t="str">
        <v>MENDOZA ZAMORA WALTER MANUEL</v>
      </c>
      <c r="EU168" t="str">
        <v>MOLINA CEVALLOS MARIA LORENA</v>
      </c>
      <c r="EV168" t="str">
        <v>MURILLO DELGADO ISAAC GABRIEL</v>
      </c>
      <c r="EW168" t="str">
        <v>ANGULO MURILLO NAVIRA GISSELA</v>
      </c>
      <c r="EX168" t="str">
        <v>OCHOA SOLEDISPA NESTOR IVAN</v>
      </c>
      <c r="EY168" t="str">
        <v>PARRAGA FRANCO SILVANA MARIELA</v>
      </c>
      <c r="EZ168" t="str">
        <v>PINARGOTE VASQUEZ NANCY FABIOLA</v>
      </c>
      <c r="FA168" t="str">
        <v>REYES VELEZ PEDRO ENRIQUE</v>
      </c>
      <c r="FB168" t="str">
        <v>SAN ANDRES HORMAZA DALLAS CECILIA</v>
      </c>
      <c r="FC168" t="str">
        <v>SORNOZA ZAMORA JUAN CARLOS</v>
      </c>
      <c r="FD168" t="str">
        <v>TOMALA PINTO JESUS JACINTO</v>
      </c>
      <c r="FE168" t="str">
        <v>VALLE JARAMILLO SILVIA ARACELY</v>
      </c>
      <c r="FF168" t="str">
        <v>VELÁSQUEZ BRAVO IRMA KATHERINE</v>
      </c>
      <c r="FG168" t="str">
        <v>VELEZ MENDOZA LAYSY VALERIA</v>
      </c>
      <c r="FH168" t="str">
        <v>VINUEZA TELLO SHIRLEY ELIZABETH</v>
      </c>
      <c r="FI168" t="str">
        <v>ZAMBRANO ALCIVAR NILDA ISABEL</v>
      </c>
      <c r="FJ168" t="str">
        <v>ZAMBRANO LOOR RITA MAYDA</v>
      </c>
      <c r="FK168" t="str">
        <v>ZAMBRANO VERA MONICA JANETH</v>
      </c>
      <c r="FL168" t="str">
        <v>VERA DELGADO BRYAN ADRIÁN</v>
      </c>
      <c r="FM168" t="str">
        <v>MORAN GONZALES DAVID RENATO</v>
      </c>
      <c r="FN168">
        <v>0</v>
      </c>
    </row>
    <row r="169" spans="1:170" ht="20.25" customHeight="1">
      <c r="A169" s="4" t="str" cm="1">
        <f t="array" ref="A169">TRANSPOSE(_xlfn.UNIQUE(_xlfn._xlws.FILTER(MAE_ASIGNATURA[ID_NIVEL],MAE_ASIGNATURA[ID_CARRERA]=ASIGNACION!$C169,"No existe información")))</f>
        <v>No existe información</v>
      </c>
      <c r="S169" s="4" t="str" cm="1">
        <f t="array" ref="S169">TRANSPOSE(_xlfn.UNIQUE(_xlfn._xlws.FILTER(MAE_ASIGNATURA[NOM_ASIG],(MAE_ASIGNATURA[ID_NIVEL]=ASIGNACION!$D169)*(MAE_ASIGNATURA[ID_CARRERA]=ASIGNACION!$C169),"No existe información")))</f>
        <v>No existe información</v>
      </c>
      <c r="BD169" s="4" t="str" cm="1">
        <f t="array" ref="BD169">TRANSPOSE(_xlfn.UNIQUE(_xlfn._xlws.FILTER(DET_ASIG[DETALLADO],(DET_ASIG[ID_CARRERA]=ASIGNACION!$C169)*(DET_ASIG[NIVEL]=ASIGNACION!$D169)*(DET_ASIG[ID_ASIG]=ASIGNACION!$G169),"No existe información")))</f>
        <v>No existe información</v>
      </c>
      <c r="BQ169" s="5" t="str" cm="1">
        <f t="array" ref="BQ169">IFERROR(
    TRANSPOSE(
        _xlfn.UNIQUE(
            _xlfn._xlws.FILTER(MAESTRIA_DETALLADO[MAESTRIA],
                ISNUMBER(MATCH(MAESTRIA_DETALLADO[CAMPO_DETALLADO],
                BD169:BP169,0))
            )
        )
    ),IF(BD169="ACTIVIDAD","DOCENCIA",""))</f>
        <v/>
      </c>
      <c r="EA169" s="5" t="str" cm="1">
        <f t="array" ref="EA169:FN169">IF(
    ASIGNACION!I169="SI",
    IFERROR(
        TRANSPOSE(
            _xlfn.UNIQUE(
                _xlfn._xlws.FILTER(EDU_DOCENTE[NOMBRE_DOCENTE],
                    ISNUMBER(MATCH(EDU_DOCENTE[MAESTRIA],
                    BQ169:DY169,0))
                )
            )
        ),
        ""
    ),
    TRANSPOSE(
        _xlfn.UNIQUE(EDU_DOCENTE[NOMBRE_DOCENTE]
        )
    )
)</f>
        <v>ALCIVAR CEDEÑO BEATRIZ ISABEL</v>
      </c>
      <c r="EB169" t="str">
        <v>ALCIVAR VERA GEMA MICHELLE</v>
      </c>
      <c r="EC169" t="str">
        <v>ARAUZ CHAVEZ MARIO ROBERTO</v>
      </c>
      <c r="ED169" t="str">
        <v>BAILON LOURIDO WALTER ALBERTO</v>
      </c>
      <c r="EE169" t="str">
        <v>CALDERERO VILLAGOMEZ ERICK ANTONIO</v>
      </c>
      <c r="EF169" t="str">
        <v>CASTILLO GARCIA PAOLA GERMANIA</v>
      </c>
      <c r="EG169" t="str">
        <v>CEDEÑO CHOEZ PEDRO JAVIER</v>
      </c>
      <c r="EH169" t="str">
        <v>CEVALLOS HOPPE JUAN CARLOS</v>
      </c>
      <c r="EI169" t="str">
        <v>DELGADO CHAVEZ MARIA IRASEMA</v>
      </c>
      <c r="EJ169" t="str">
        <v>DUARTE VALENCIA CRISTHIAN DARIO</v>
      </c>
      <c r="EK169" t="str">
        <v>FORTTY BARBERAN DENNY ALEXANDER</v>
      </c>
      <c r="EL169" t="str">
        <v>GUTIERREZ ZAMBRANO CARMEN EBELINA</v>
      </c>
      <c r="EM169" t="str">
        <v>INTRIAGO MOLINA GEMA VALERIA</v>
      </c>
      <c r="EN169" t="str">
        <v>LINO VELEZ LEONEL LIVINGTON</v>
      </c>
      <c r="EO169" t="str">
        <v>LOOR ALCIVAR MARIA ILIANA</v>
      </c>
      <c r="EP169" t="str">
        <v>LOOR MIELES TANIA JACQUELINE</v>
      </c>
      <c r="EQ169" t="str">
        <v>LOOR SOLORZANO ROSA MARIA</v>
      </c>
      <c r="ER169" t="str">
        <v>LOPEZ DELGADO RONALD MAURICIO</v>
      </c>
      <c r="ES169" t="str">
        <v>MACIAS VALENCIA DAVID GABRIEL</v>
      </c>
      <c r="ET169" t="str">
        <v>MENDOZA ZAMORA WALTER MANUEL</v>
      </c>
      <c r="EU169" t="str">
        <v>MOLINA CEVALLOS MARIA LORENA</v>
      </c>
      <c r="EV169" t="str">
        <v>MURILLO DELGADO ISAAC GABRIEL</v>
      </c>
      <c r="EW169" t="str">
        <v>ANGULO MURILLO NAVIRA GISSELA</v>
      </c>
      <c r="EX169" t="str">
        <v>OCHOA SOLEDISPA NESTOR IVAN</v>
      </c>
      <c r="EY169" t="str">
        <v>PARRAGA FRANCO SILVANA MARIELA</v>
      </c>
      <c r="EZ169" t="str">
        <v>PINARGOTE VASQUEZ NANCY FABIOLA</v>
      </c>
      <c r="FA169" t="str">
        <v>REYES VELEZ PEDRO ENRIQUE</v>
      </c>
      <c r="FB169" t="str">
        <v>SAN ANDRES HORMAZA DALLAS CECILIA</v>
      </c>
      <c r="FC169" t="str">
        <v>SORNOZA ZAMORA JUAN CARLOS</v>
      </c>
      <c r="FD169" t="str">
        <v>TOMALA PINTO JESUS JACINTO</v>
      </c>
      <c r="FE169" t="str">
        <v>VALLE JARAMILLO SILVIA ARACELY</v>
      </c>
      <c r="FF169" t="str">
        <v>VELÁSQUEZ BRAVO IRMA KATHERINE</v>
      </c>
      <c r="FG169" t="str">
        <v>VELEZ MENDOZA LAYSY VALERIA</v>
      </c>
      <c r="FH169" t="str">
        <v>VINUEZA TELLO SHIRLEY ELIZABETH</v>
      </c>
      <c r="FI169" t="str">
        <v>ZAMBRANO ALCIVAR NILDA ISABEL</v>
      </c>
      <c r="FJ169" t="str">
        <v>ZAMBRANO LOOR RITA MAYDA</v>
      </c>
      <c r="FK169" t="str">
        <v>ZAMBRANO VERA MONICA JANETH</v>
      </c>
      <c r="FL169" t="str">
        <v>VERA DELGADO BRYAN ADRIÁN</v>
      </c>
      <c r="FM169" t="str">
        <v>MORAN GONZALES DAVID RENATO</v>
      </c>
      <c r="FN169">
        <v>0</v>
      </c>
    </row>
    <row r="170" spans="1:170" ht="20.25" customHeight="1">
      <c r="A170" s="4" t="str" cm="1">
        <f t="array" ref="A170">TRANSPOSE(_xlfn.UNIQUE(_xlfn._xlws.FILTER(MAE_ASIGNATURA[ID_NIVEL],MAE_ASIGNATURA[ID_CARRERA]=ASIGNACION!$C170,"No existe información")))</f>
        <v>No existe información</v>
      </c>
      <c r="S170" s="4" t="str" cm="1">
        <f t="array" ref="S170">TRANSPOSE(_xlfn.UNIQUE(_xlfn._xlws.FILTER(MAE_ASIGNATURA[NOM_ASIG],(MAE_ASIGNATURA[ID_NIVEL]=ASIGNACION!$D170)*(MAE_ASIGNATURA[ID_CARRERA]=ASIGNACION!$C170),"No existe información")))</f>
        <v>No existe información</v>
      </c>
      <c r="BD170" s="4" t="str" cm="1">
        <f t="array" ref="BD170">TRANSPOSE(_xlfn.UNIQUE(_xlfn._xlws.FILTER(DET_ASIG[DETALLADO],(DET_ASIG[ID_CARRERA]=ASIGNACION!$C170)*(DET_ASIG[NIVEL]=ASIGNACION!$D170)*(DET_ASIG[ID_ASIG]=ASIGNACION!$G170),"No existe información")))</f>
        <v>No existe información</v>
      </c>
      <c r="BQ170" s="5" t="str" cm="1">
        <f t="array" ref="BQ170">IFERROR(
    TRANSPOSE(
        _xlfn.UNIQUE(
            _xlfn._xlws.FILTER(MAESTRIA_DETALLADO[MAESTRIA],
                ISNUMBER(MATCH(MAESTRIA_DETALLADO[CAMPO_DETALLADO],
                BD170:BP170,0))
            )
        )
    ),IF(BD170="ACTIVIDAD","DOCENCIA",""))</f>
        <v/>
      </c>
      <c r="EA170" s="5" t="str" cm="1">
        <f t="array" ref="EA170:FN170">IF(
    ASIGNACION!I170="SI",
    IFERROR(
        TRANSPOSE(
            _xlfn.UNIQUE(
                _xlfn._xlws.FILTER(EDU_DOCENTE[NOMBRE_DOCENTE],
                    ISNUMBER(MATCH(EDU_DOCENTE[MAESTRIA],
                    BQ170:DY170,0))
                )
            )
        ),
        ""
    ),
    TRANSPOSE(
        _xlfn.UNIQUE(EDU_DOCENTE[NOMBRE_DOCENTE]
        )
    )
)</f>
        <v>ALCIVAR CEDEÑO BEATRIZ ISABEL</v>
      </c>
      <c r="EB170" t="str">
        <v>ALCIVAR VERA GEMA MICHELLE</v>
      </c>
      <c r="EC170" t="str">
        <v>ARAUZ CHAVEZ MARIO ROBERTO</v>
      </c>
      <c r="ED170" t="str">
        <v>BAILON LOURIDO WALTER ALBERTO</v>
      </c>
      <c r="EE170" t="str">
        <v>CALDERERO VILLAGOMEZ ERICK ANTONIO</v>
      </c>
      <c r="EF170" t="str">
        <v>CASTILLO GARCIA PAOLA GERMANIA</v>
      </c>
      <c r="EG170" t="str">
        <v>CEDEÑO CHOEZ PEDRO JAVIER</v>
      </c>
      <c r="EH170" t="str">
        <v>CEVALLOS HOPPE JUAN CARLOS</v>
      </c>
      <c r="EI170" t="str">
        <v>DELGADO CHAVEZ MARIA IRASEMA</v>
      </c>
      <c r="EJ170" t="str">
        <v>DUARTE VALENCIA CRISTHIAN DARIO</v>
      </c>
      <c r="EK170" t="str">
        <v>FORTTY BARBERAN DENNY ALEXANDER</v>
      </c>
      <c r="EL170" t="str">
        <v>GUTIERREZ ZAMBRANO CARMEN EBELINA</v>
      </c>
      <c r="EM170" t="str">
        <v>INTRIAGO MOLINA GEMA VALERIA</v>
      </c>
      <c r="EN170" t="str">
        <v>LINO VELEZ LEONEL LIVINGTON</v>
      </c>
      <c r="EO170" t="str">
        <v>LOOR ALCIVAR MARIA ILIANA</v>
      </c>
      <c r="EP170" t="str">
        <v>LOOR MIELES TANIA JACQUELINE</v>
      </c>
      <c r="EQ170" t="str">
        <v>LOOR SOLORZANO ROSA MARIA</v>
      </c>
      <c r="ER170" t="str">
        <v>LOPEZ DELGADO RONALD MAURICIO</v>
      </c>
      <c r="ES170" t="str">
        <v>MACIAS VALENCIA DAVID GABRIEL</v>
      </c>
      <c r="ET170" t="str">
        <v>MENDOZA ZAMORA WALTER MANUEL</v>
      </c>
      <c r="EU170" t="str">
        <v>MOLINA CEVALLOS MARIA LORENA</v>
      </c>
      <c r="EV170" t="str">
        <v>MURILLO DELGADO ISAAC GABRIEL</v>
      </c>
      <c r="EW170" t="str">
        <v>ANGULO MURILLO NAVIRA GISSELA</v>
      </c>
      <c r="EX170" t="str">
        <v>OCHOA SOLEDISPA NESTOR IVAN</v>
      </c>
      <c r="EY170" t="str">
        <v>PARRAGA FRANCO SILVANA MARIELA</v>
      </c>
      <c r="EZ170" t="str">
        <v>PINARGOTE VASQUEZ NANCY FABIOLA</v>
      </c>
      <c r="FA170" t="str">
        <v>REYES VELEZ PEDRO ENRIQUE</v>
      </c>
      <c r="FB170" t="str">
        <v>SAN ANDRES HORMAZA DALLAS CECILIA</v>
      </c>
      <c r="FC170" t="str">
        <v>SORNOZA ZAMORA JUAN CARLOS</v>
      </c>
      <c r="FD170" t="str">
        <v>TOMALA PINTO JESUS JACINTO</v>
      </c>
      <c r="FE170" t="str">
        <v>VALLE JARAMILLO SILVIA ARACELY</v>
      </c>
      <c r="FF170" t="str">
        <v>VELÁSQUEZ BRAVO IRMA KATHERINE</v>
      </c>
      <c r="FG170" t="str">
        <v>VELEZ MENDOZA LAYSY VALERIA</v>
      </c>
      <c r="FH170" t="str">
        <v>VINUEZA TELLO SHIRLEY ELIZABETH</v>
      </c>
      <c r="FI170" t="str">
        <v>ZAMBRANO ALCIVAR NILDA ISABEL</v>
      </c>
      <c r="FJ170" t="str">
        <v>ZAMBRANO LOOR RITA MAYDA</v>
      </c>
      <c r="FK170" t="str">
        <v>ZAMBRANO VERA MONICA JANETH</v>
      </c>
      <c r="FL170" t="str">
        <v>VERA DELGADO BRYAN ADRIÁN</v>
      </c>
      <c r="FM170" t="str">
        <v>MORAN GONZALES DAVID RENATO</v>
      </c>
      <c r="FN170">
        <v>0</v>
      </c>
    </row>
    <row r="171" spans="1:170" ht="20.25" customHeight="1">
      <c r="A171" s="4" t="str" cm="1">
        <f t="array" ref="A171">TRANSPOSE(_xlfn.UNIQUE(_xlfn._xlws.FILTER(MAE_ASIGNATURA[ID_NIVEL],MAE_ASIGNATURA[ID_CARRERA]=ASIGNACION!$C171,"No existe información")))</f>
        <v>No existe información</v>
      </c>
      <c r="S171" s="4" t="str" cm="1">
        <f t="array" ref="S171">TRANSPOSE(_xlfn.UNIQUE(_xlfn._xlws.FILTER(MAE_ASIGNATURA[NOM_ASIG],(MAE_ASIGNATURA[ID_NIVEL]=ASIGNACION!$D171)*(MAE_ASIGNATURA[ID_CARRERA]=ASIGNACION!$C171),"No existe información")))</f>
        <v>No existe información</v>
      </c>
      <c r="BD171" s="4" t="str" cm="1">
        <f t="array" ref="BD171">TRANSPOSE(_xlfn.UNIQUE(_xlfn._xlws.FILTER(DET_ASIG[DETALLADO],(DET_ASIG[ID_CARRERA]=ASIGNACION!$C171)*(DET_ASIG[NIVEL]=ASIGNACION!$D171)*(DET_ASIG[ID_ASIG]=ASIGNACION!$G171),"No existe información")))</f>
        <v>No existe información</v>
      </c>
      <c r="BQ171" s="5" t="str" cm="1">
        <f t="array" ref="BQ171">IFERROR(
    TRANSPOSE(
        _xlfn.UNIQUE(
            _xlfn._xlws.FILTER(MAESTRIA_DETALLADO[MAESTRIA],
                ISNUMBER(MATCH(MAESTRIA_DETALLADO[CAMPO_DETALLADO],
                BD171:BP171,0))
            )
        )
    ),IF(BD171="ACTIVIDAD","DOCENCIA",""))</f>
        <v/>
      </c>
      <c r="EA171" s="5" t="str" cm="1">
        <f t="array" ref="EA171:FN171">IF(
    ASIGNACION!I171="SI",
    IFERROR(
        TRANSPOSE(
            _xlfn.UNIQUE(
                _xlfn._xlws.FILTER(EDU_DOCENTE[NOMBRE_DOCENTE],
                    ISNUMBER(MATCH(EDU_DOCENTE[MAESTRIA],
                    BQ171:DY171,0))
                )
            )
        ),
        ""
    ),
    TRANSPOSE(
        _xlfn.UNIQUE(EDU_DOCENTE[NOMBRE_DOCENTE]
        )
    )
)</f>
        <v>ALCIVAR CEDEÑO BEATRIZ ISABEL</v>
      </c>
      <c r="EB171" t="str">
        <v>ALCIVAR VERA GEMA MICHELLE</v>
      </c>
      <c r="EC171" t="str">
        <v>ARAUZ CHAVEZ MARIO ROBERTO</v>
      </c>
      <c r="ED171" t="str">
        <v>BAILON LOURIDO WALTER ALBERTO</v>
      </c>
      <c r="EE171" t="str">
        <v>CALDERERO VILLAGOMEZ ERICK ANTONIO</v>
      </c>
      <c r="EF171" t="str">
        <v>CASTILLO GARCIA PAOLA GERMANIA</v>
      </c>
      <c r="EG171" t="str">
        <v>CEDEÑO CHOEZ PEDRO JAVIER</v>
      </c>
      <c r="EH171" t="str">
        <v>CEVALLOS HOPPE JUAN CARLOS</v>
      </c>
      <c r="EI171" t="str">
        <v>DELGADO CHAVEZ MARIA IRASEMA</v>
      </c>
      <c r="EJ171" t="str">
        <v>DUARTE VALENCIA CRISTHIAN DARIO</v>
      </c>
      <c r="EK171" t="str">
        <v>FORTTY BARBERAN DENNY ALEXANDER</v>
      </c>
      <c r="EL171" t="str">
        <v>GUTIERREZ ZAMBRANO CARMEN EBELINA</v>
      </c>
      <c r="EM171" t="str">
        <v>INTRIAGO MOLINA GEMA VALERIA</v>
      </c>
      <c r="EN171" t="str">
        <v>LINO VELEZ LEONEL LIVINGTON</v>
      </c>
      <c r="EO171" t="str">
        <v>LOOR ALCIVAR MARIA ILIANA</v>
      </c>
      <c r="EP171" t="str">
        <v>LOOR MIELES TANIA JACQUELINE</v>
      </c>
      <c r="EQ171" t="str">
        <v>LOOR SOLORZANO ROSA MARIA</v>
      </c>
      <c r="ER171" t="str">
        <v>LOPEZ DELGADO RONALD MAURICIO</v>
      </c>
      <c r="ES171" t="str">
        <v>MACIAS VALENCIA DAVID GABRIEL</v>
      </c>
      <c r="ET171" t="str">
        <v>MENDOZA ZAMORA WALTER MANUEL</v>
      </c>
      <c r="EU171" t="str">
        <v>MOLINA CEVALLOS MARIA LORENA</v>
      </c>
      <c r="EV171" t="str">
        <v>MURILLO DELGADO ISAAC GABRIEL</v>
      </c>
      <c r="EW171" t="str">
        <v>ANGULO MURILLO NAVIRA GISSELA</v>
      </c>
      <c r="EX171" t="str">
        <v>OCHOA SOLEDISPA NESTOR IVAN</v>
      </c>
      <c r="EY171" t="str">
        <v>PARRAGA FRANCO SILVANA MARIELA</v>
      </c>
      <c r="EZ171" t="str">
        <v>PINARGOTE VASQUEZ NANCY FABIOLA</v>
      </c>
      <c r="FA171" t="str">
        <v>REYES VELEZ PEDRO ENRIQUE</v>
      </c>
      <c r="FB171" t="str">
        <v>SAN ANDRES HORMAZA DALLAS CECILIA</v>
      </c>
      <c r="FC171" t="str">
        <v>SORNOZA ZAMORA JUAN CARLOS</v>
      </c>
      <c r="FD171" t="str">
        <v>TOMALA PINTO JESUS JACINTO</v>
      </c>
      <c r="FE171" t="str">
        <v>VALLE JARAMILLO SILVIA ARACELY</v>
      </c>
      <c r="FF171" t="str">
        <v>VELÁSQUEZ BRAVO IRMA KATHERINE</v>
      </c>
      <c r="FG171" t="str">
        <v>VELEZ MENDOZA LAYSY VALERIA</v>
      </c>
      <c r="FH171" t="str">
        <v>VINUEZA TELLO SHIRLEY ELIZABETH</v>
      </c>
      <c r="FI171" t="str">
        <v>ZAMBRANO ALCIVAR NILDA ISABEL</v>
      </c>
      <c r="FJ171" t="str">
        <v>ZAMBRANO LOOR RITA MAYDA</v>
      </c>
      <c r="FK171" t="str">
        <v>ZAMBRANO VERA MONICA JANETH</v>
      </c>
      <c r="FL171" t="str">
        <v>VERA DELGADO BRYAN ADRIÁN</v>
      </c>
      <c r="FM171" t="str">
        <v>MORAN GONZALES DAVID RENATO</v>
      </c>
      <c r="FN171">
        <v>0</v>
      </c>
    </row>
    <row r="172" spans="1:170" ht="20.25" customHeight="1">
      <c r="A172" s="4" t="str" cm="1">
        <f t="array" ref="A172">TRANSPOSE(_xlfn.UNIQUE(_xlfn._xlws.FILTER(MAE_ASIGNATURA[ID_NIVEL],MAE_ASIGNATURA[ID_CARRERA]=ASIGNACION!$C172,"No existe información")))</f>
        <v>No existe información</v>
      </c>
      <c r="S172" s="4" t="str" cm="1">
        <f t="array" ref="S172">TRANSPOSE(_xlfn.UNIQUE(_xlfn._xlws.FILTER(MAE_ASIGNATURA[NOM_ASIG],(MAE_ASIGNATURA[ID_NIVEL]=ASIGNACION!$D172)*(MAE_ASIGNATURA[ID_CARRERA]=ASIGNACION!$C172),"No existe información")))</f>
        <v>No existe información</v>
      </c>
      <c r="BD172" s="4" t="str" cm="1">
        <f t="array" ref="BD172">TRANSPOSE(_xlfn.UNIQUE(_xlfn._xlws.FILTER(DET_ASIG[DETALLADO],(DET_ASIG[ID_CARRERA]=ASIGNACION!$C172)*(DET_ASIG[NIVEL]=ASIGNACION!$D172)*(DET_ASIG[ID_ASIG]=ASIGNACION!$G172),"No existe información")))</f>
        <v>No existe información</v>
      </c>
      <c r="BQ172" s="5" t="str" cm="1">
        <f t="array" ref="BQ172">IFERROR(
    TRANSPOSE(
        _xlfn.UNIQUE(
            _xlfn._xlws.FILTER(MAESTRIA_DETALLADO[MAESTRIA],
                ISNUMBER(MATCH(MAESTRIA_DETALLADO[CAMPO_DETALLADO],
                BD172:BP172,0))
            )
        )
    ),IF(BD172="ACTIVIDAD","DOCENCIA",""))</f>
        <v/>
      </c>
      <c r="EA172" s="5" t="str" cm="1">
        <f t="array" ref="EA172:FN172">IF(
    ASIGNACION!I172="SI",
    IFERROR(
        TRANSPOSE(
            _xlfn.UNIQUE(
                _xlfn._xlws.FILTER(EDU_DOCENTE[NOMBRE_DOCENTE],
                    ISNUMBER(MATCH(EDU_DOCENTE[MAESTRIA],
                    BQ172:DY172,0))
                )
            )
        ),
        ""
    ),
    TRANSPOSE(
        _xlfn.UNIQUE(EDU_DOCENTE[NOMBRE_DOCENTE]
        )
    )
)</f>
        <v>ALCIVAR CEDEÑO BEATRIZ ISABEL</v>
      </c>
      <c r="EB172" t="str">
        <v>ALCIVAR VERA GEMA MICHELLE</v>
      </c>
      <c r="EC172" t="str">
        <v>ARAUZ CHAVEZ MARIO ROBERTO</v>
      </c>
      <c r="ED172" t="str">
        <v>BAILON LOURIDO WALTER ALBERTO</v>
      </c>
      <c r="EE172" t="str">
        <v>CALDERERO VILLAGOMEZ ERICK ANTONIO</v>
      </c>
      <c r="EF172" t="str">
        <v>CASTILLO GARCIA PAOLA GERMANIA</v>
      </c>
      <c r="EG172" t="str">
        <v>CEDEÑO CHOEZ PEDRO JAVIER</v>
      </c>
      <c r="EH172" t="str">
        <v>CEVALLOS HOPPE JUAN CARLOS</v>
      </c>
      <c r="EI172" t="str">
        <v>DELGADO CHAVEZ MARIA IRASEMA</v>
      </c>
      <c r="EJ172" t="str">
        <v>DUARTE VALENCIA CRISTHIAN DARIO</v>
      </c>
      <c r="EK172" t="str">
        <v>FORTTY BARBERAN DENNY ALEXANDER</v>
      </c>
      <c r="EL172" t="str">
        <v>GUTIERREZ ZAMBRANO CARMEN EBELINA</v>
      </c>
      <c r="EM172" t="str">
        <v>INTRIAGO MOLINA GEMA VALERIA</v>
      </c>
      <c r="EN172" t="str">
        <v>LINO VELEZ LEONEL LIVINGTON</v>
      </c>
      <c r="EO172" t="str">
        <v>LOOR ALCIVAR MARIA ILIANA</v>
      </c>
      <c r="EP172" t="str">
        <v>LOOR MIELES TANIA JACQUELINE</v>
      </c>
      <c r="EQ172" t="str">
        <v>LOOR SOLORZANO ROSA MARIA</v>
      </c>
      <c r="ER172" t="str">
        <v>LOPEZ DELGADO RONALD MAURICIO</v>
      </c>
      <c r="ES172" t="str">
        <v>MACIAS VALENCIA DAVID GABRIEL</v>
      </c>
      <c r="ET172" t="str">
        <v>MENDOZA ZAMORA WALTER MANUEL</v>
      </c>
      <c r="EU172" t="str">
        <v>MOLINA CEVALLOS MARIA LORENA</v>
      </c>
      <c r="EV172" t="str">
        <v>MURILLO DELGADO ISAAC GABRIEL</v>
      </c>
      <c r="EW172" t="str">
        <v>ANGULO MURILLO NAVIRA GISSELA</v>
      </c>
      <c r="EX172" t="str">
        <v>OCHOA SOLEDISPA NESTOR IVAN</v>
      </c>
      <c r="EY172" t="str">
        <v>PARRAGA FRANCO SILVANA MARIELA</v>
      </c>
      <c r="EZ172" t="str">
        <v>PINARGOTE VASQUEZ NANCY FABIOLA</v>
      </c>
      <c r="FA172" t="str">
        <v>REYES VELEZ PEDRO ENRIQUE</v>
      </c>
      <c r="FB172" t="str">
        <v>SAN ANDRES HORMAZA DALLAS CECILIA</v>
      </c>
      <c r="FC172" t="str">
        <v>SORNOZA ZAMORA JUAN CARLOS</v>
      </c>
      <c r="FD172" t="str">
        <v>TOMALA PINTO JESUS JACINTO</v>
      </c>
      <c r="FE172" t="str">
        <v>VALLE JARAMILLO SILVIA ARACELY</v>
      </c>
      <c r="FF172" t="str">
        <v>VELÁSQUEZ BRAVO IRMA KATHERINE</v>
      </c>
      <c r="FG172" t="str">
        <v>VELEZ MENDOZA LAYSY VALERIA</v>
      </c>
      <c r="FH172" t="str">
        <v>VINUEZA TELLO SHIRLEY ELIZABETH</v>
      </c>
      <c r="FI172" t="str">
        <v>ZAMBRANO ALCIVAR NILDA ISABEL</v>
      </c>
      <c r="FJ172" t="str">
        <v>ZAMBRANO LOOR RITA MAYDA</v>
      </c>
      <c r="FK172" t="str">
        <v>ZAMBRANO VERA MONICA JANETH</v>
      </c>
      <c r="FL172" t="str">
        <v>VERA DELGADO BRYAN ADRIÁN</v>
      </c>
      <c r="FM172" t="str">
        <v>MORAN GONZALES DAVID RENATO</v>
      </c>
      <c r="FN172">
        <v>0</v>
      </c>
    </row>
    <row r="173" spans="1:170" ht="20.25" customHeight="1">
      <c r="A173" s="4" t="str" cm="1">
        <f t="array" ref="A173">TRANSPOSE(_xlfn.UNIQUE(_xlfn._xlws.FILTER(MAE_ASIGNATURA[ID_NIVEL],MAE_ASIGNATURA[ID_CARRERA]=ASIGNACION!$C173,"No existe información")))</f>
        <v>No existe información</v>
      </c>
      <c r="S173" s="4" t="str" cm="1">
        <f t="array" ref="S173">TRANSPOSE(_xlfn.UNIQUE(_xlfn._xlws.FILTER(MAE_ASIGNATURA[NOM_ASIG],(MAE_ASIGNATURA[ID_NIVEL]=ASIGNACION!$D173)*(MAE_ASIGNATURA[ID_CARRERA]=ASIGNACION!$C173),"No existe información")))</f>
        <v>No existe información</v>
      </c>
      <c r="BD173" s="4" t="str" cm="1">
        <f t="array" ref="BD173">TRANSPOSE(_xlfn.UNIQUE(_xlfn._xlws.FILTER(DET_ASIG[DETALLADO],(DET_ASIG[ID_CARRERA]=ASIGNACION!$C173)*(DET_ASIG[NIVEL]=ASIGNACION!$D173)*(DET_ASIG[ID_ASIG]=ASIGNACION!$G173),"No existe información")))</f>
        <v>No existe información</v>
      </c>
      <c r="BQ173" s="5" t="str" cm="1">
        <f t="array" ref="BQ173">IFERROR(
    TRANSPOSE(
        _xlfn.UNIQUE(
            _xlfn._xlws.FILTER(MAESTRIA_DETALLADO[MAESTRIA],
                ISNUMBER(MATCH(MAESTRIA_DETALLADO[CAMPO_DETALLADO],
                BD173:BP173,0))
            )
        )
    ),IF(BD173="ACTIVIDAD","DOCENCIA",""))</f>
        <v/>
      </c>
      <c r="EA173" s="5" t="str" cm="1">
        <f t="array" ref="EA173:FN173">IF(
    ASIGNACION!I173="SI",
    IFERROR(
        TRANSPOSE(
            _xlfn.UNIQUE(
                _xlfn._xlws.FILTER(EDU_DOCENTE[NOMBRE_DOCENTE],
                    ISNUMBER(MATCH(EDU_DOCENTE[MAESTRIA],
                    BQ173:DY173,0))
                )
            )
        ),
        ""
    ),
    TRANSPOSE(
        _xlfn.UNIQUE(EDU_DOCENTE[NOMBRE_DOCENTE]
        )
    )
)</f>
        <v>ALCIVAR CEDEÑO BEATRIZ ISABEL</v>
      </c>
      <c r="EB173" t="str">
        <v>ALCIVAR VERA GEMA MICHELLE</v>
      </c>
      <c r="EC173" t="str">
        <v>ARAUZ CHAVEZ MARIO ROBERTO</v>
      </c>
      <c r="ED173" t="str">
        <v>BAILON LOURIDO WALTER ALBERTO</v>
      </c>
      <c r="EE173" t="str">
        <v>CALDERERO VILLAGOMEZ ERICK ANTONIO</v>
      </c>
      <c r="EF173" t="str">
        <v>CASTILLO GARCIA PAOLA GERMANIA</v>
      </c>
      <c r="EG173" t="str">
        <v>CEDEÑO CHOEZ PEDRO JAVIER</v>
      </c>
      <c r="EH173" t="str">
        <v>CEVALLOS HOPPE JUAN CARLOS</v>
      </c>
      <c r="EI173" t="str">
        <v>DELGADO CHAVEZ MARIA IRASEMA</v>
      </c>
      <c r="EJ173" t="str">
        <v>DUARTE VALENCIA CRISTHIAN DARIO</v>
      </c>
      <c r="EK173" t="str">
        <v>FORTTY BARBERAN DENNY ALEXANDER</v>
      </c>
      <c r="EL173" t="str">
        <v>GUTIERREZ ZAMBRANO CARMEN EBELINA</v>
      </c>
      <c r="EM173" t="str">
        <v>INTRIAGO MOLINA GEMA VALERIA</v>
      </c>
      <c r="EN173" t="str">
        <v>LINO VELEZ LEONEL LIVINGTON</v>
      </c>
      <c r="EO173" t="str">
        <v>LOOR ALCIVAR MARIA ILIANA</v>
      </c>
      <c r="EP173" t="str">
        <v>LOOR MIELES TANIA JACQUELINE</v>
      </c>
      <c r="EQ173" t="str">
        <v>LOOR SOLORZANO ROSA MARIA</v>
      </c>
      <c r="ER173" t="str">
        <v>LOPEZ DELGADO RONALD MAURICIO</v>
      </c>
      <c r="ES173" t="str">
        <v>MACIAS VALENCIA DAVID GABRIEL</v>
      </c>
      <c r="ET173" t="str">
        <v>MENDOZA ZAMORA WALTER MANUEL</v>
      </c>
      <c r="EU173" t="str">
        <v>MOLINA CEVALLOS MARIA LORENA</v>
      </c>
      <c r="EV173" t="str">
        <v>MURILLO DELGADO ISAAC GABRIEL</v>
      </c>
      <c r="EW173" t="str">
        <v>ANGULO MURILLO NAVIRA GISSELA</v>
      </c>
      <c r="EX173" t="str">
        <v>OCHOA SOLEDISPA NESTOR IVAN</v>
      </c>
      <c r="EY173" t="str">
        <v>PARRAGA FRANCO SILVANA MARIELA</v>
      </c>
      <c r="EZ173" t="str">
        <v>PINARGOTE VASQUEZ NANCY FABIOLA</v>
      </c>
      <c r="FA173" t="str">
        <v>REYES VELEZ PEDRO ENRIQUE</v>
      </c>
      <c r="FB173" t="str">
        <v>SAN ANDRES HORMAZA DALLAS CECILIA</v>
      </c>
      <c r="FC173" t="str">
        <v>SORNOZA ZAMORA JUAN CARLOS</v>
      </c>
      <c r="FD173" t="str">
        <v>TOMALA PINTO JESUS JACINTO</v>
      </c>
      <c r="FE173" t="str">
        <v>VALLE JARAMILLO SILVIA ARACELY</v>
      </c>
      <c r="FF173" t="str">
        <v>VELÁSQUEZ BRAVO IRMA KATHERINE</v>
      </c>
      <c r="FG173" t="str">
        <v>VELEZ MENDOZA LAYSY VALERIA</v>
      </c>
      <c r="FH173" t="str">
        <v>VINUEZA TELLO SHIRLEY ELIZABETH</v>
      </c>
      <c r="FI173" t="str">
        <v>ZAMBRANO ALCIVAR NILDA ISABEL</v>
      </c>
      <c r="FJ173" t="str">
        <v>ZAMBRANO LOOR RITA MAYDA</v>
      </c>
      <c r="FK173" t="str">
        <v>ZAMBRANO VERA MONICA JANETH</v>
      </c>
      <c r="FL173" t="str">
        <v>VERA DELGADO BRYAN ADRIÁN</v>
      </c>
      <c r="FM173" t="str">
        <v>MORAN GONZALES DAVID RENATO</v>
      </c>
      <c r="FN173">
        <v>0</v>
      </c>
    </row>
    <row r="174" spans="1:170" ht="20.25" customHeight="1">
      <c r="A174" s="4" t="str" cm="1">
        <f t="array" ref="A174">TRANSPOSE(_xlfn.UNIQUE(_xlfn._xlws.FILTER(MAE_ASIGNATURA[ID_NIVEL],MAE_ASIGNATURA[ID_CARRERA]=ASIGNACION!$C174,"No existe información")))</f>
        <v>No existe información</v>
      </c>
      <c r="S174" s="4" t="str" cm="1">
        <f t="array" ref="S174">TRANSPOSE(_xlfn.UNIQUE(_xlfn._xlws.FILTER(MAE_ASIGNATURA[NOM_ASIG],(MAE_ASIGNATURA[ID_NIVEL]=ASIGNACION!$D174)*(MAE_ASIGNATURA[ID_CARRERA]=ASIGNACION!$C174),"No existe información")))</f>
        <v>No existe información</v>
      </c>
      <c r="BD174" s="4" t="str" cm="1">
        <f t="array" ref="BD174">TRANSPOSE(_xlfn.UNIQUE(_xlfn._xlws.FILTER(DET_ASIG[DETALLADO],(DET_ASIG[ID_CARRERA]=ASIGNACION!$C174)*(DET_ASIG[NIVEL]=ASIGNACION!$D174)*(DET_ASIG[ID_ASIG]=ASIGNACION!$G174),"No existe información")))</f>
        <v>No existe información</v>
      </c>
      <c r="BQ174" s="5" t="str" cm="1">
        <f t="array" ref="BQ174">IFERROR(
    TRANSPOSE(
        _xlfn.UNIQUE(
            _xlfn._xlws.FILTER(MAESTRIA_DETALLADO[MAESTRIA],
                ISNUMBER(MATCH(MAESTRIA_DETALLADO[CAMPO_DETALLADO],
                BD174:BP174,0))
            )
        )
    ),IF(BD174="ACTIVIDAD","DOCENCIA",""))</f>
        <v/>
      </c>
      <c r="EA174" s="5" t="str" cm="1">
        <f t="array" ref="EA174:FN174">IF(
    ASIGNACION!I174="SI",
    IFERROR(
        TRANSPOSE(
            _xlfn.UNIQUE(
                _xlfn._xlws.FILTER(EDU_DOCENTE[NOMBRE_DOCENTE],
                    ISNUMBER(MATCH(EDU_DOCENTE[MAESTRIA],
                    BQ174:DY174,0))
                )
            )
        ),
        ""
    ),
    TRANSPOSE(
        _xlfn.UNIQUE(EDU_DOCENTE[NOMBRE_DOCENTE]
        )
    )
)</f>
        <v>ALCIVAR CEDEÑO BEATRIZ ISABEL</v>
      </c>
      <c r="EB174" t="str">
        <v>ALCIVAR VERA GEMA MICHELLE</v>
      </c>
      <c r="EC174" t="str">
        <v>ARAUZ CHAVEZ MARIO ROBERTO</v>
      </c>
      <c r="ED174" t="str">
        <v>BAILON LOURIDO WALTER ALBERTO</v>
      </c>
      <c r="EE174" t="str">
        <v>CALDERERO VILLAGOMEZ ERICK ANTONIO</v>
      </c>
      <c r="EF174" t="str">
        <v>CASTILLO GARCIA PAOLA GERMANIA</v>
      </c>
      <c r="EG174" t="str">
        <v>CEDEÑO CHOEZ PEDRO JAVIER</v>
      </c>
      <c r="EH174" t="str">
        <v>CEVALLOS HOPPE JUAN CARLOS</v>
      </c>
      <c r="EI174" t="str">
        <v>DELGADO CHAVEZ MARIA IRASEMA</v>
      </c>
      <c r="EJ174" t="str">
        <v>DUARTE VALENCIA CRISTHIAN DARIO</v>
      </c>
      <c r="EK174" t="str">
        <v>FORTTY BARBERAN DENNY ALEXANDER</v>
      </c>
      <c r="EL174" t="str">
        <v>GUTIERREZ ZAMBRANO CARMEN EBELINA</v>
      </c>
      <c r="EM174" t="str">
        <v>INTRIAGO MOLINA GEMA VALERIA</v>
      </c>
      <c r="EN174" t="str">
        <v>LINO VELEZ LEONEL LIVINGTON</v>
      </c>
      <c r="EO174" t="str">
        <v>LOOR ALCIVAR MARIA ILIANA</v>
      </c>
      <c r="EP174" t="str">
        <v>LOOR MIELES TANIA JACQUELINE</v>
      </c>
      <c r="EQ174" t="str">
        <v>LOOR SOLORZANO ROSA MARIA</v>
      </c>
      <c r="ER174" t="str">
        <v>LOPEZ DELGADO RONALD MAURICIO</v>
      </c>
      <c r="ES174" t="str">
        <v>MACIAS VALENCIA DAVID GABRIEL</v>
      </c>
      <c r="ET174" t="str">
        <v>MENDOZA ZAMORA WALTER MANUEL</v>
      </c>
      <c r="EU174" t="str">
        <v>MOLINA CEVALLOS MARIA LORENA</v>
      </c>
      <c r="EV174" t="str">
        <v>MURILLO DELGADO ISAAC GABRIEL</v>
      </c>
      <c r="EW174" t="str">
        <v>ANGULO MURILLO NAVIRA GISSELA</v>
      </c>
      <c r="EX174" t="str">
        <v>OCHOA SOLEDISPA NESTOR IVAN</v>
      </c>
      <c r="EY174" t="str">
        <v>PARRAGA FRANCO SILVANA MARIELA</v>
      </c>
      <c r="EZ174" t="str">
        <v>PINARGOTE VASQUEZ NANCY FABIOLA</v>
      </c>
      <c r="FA174" t="str">
        <v>REYES VELEZ PEDRO ENRIQUE</v>
      </c>
      <c r="FB174" t="str">
        <v>SAN ANDRES HORMAZA DALLAS CECILIA</v>
      </c>
      <c r="FC174" t="str">
        <v>SORNOZA ZAMORA JUAN CARLOS</v>
      </c>
      <c r="FD174" t="str">
        <v>TOMALA PINTO JESUS JACINTO</v>
      </c>
      <c r="FE174" t="str">
        <v>VALLE JARAMILLO SILVIA ARACELY</v>
      </c>
      <c r="FF174" t="str">
        <v>VELÁSQUEZ BRAVO IRMA KATHERINE</v>
      </c>
      <c r="FG174" t="str">
        <v>VELEZ MENDOZA LAYSY VALERIA</v>
      </c>
      <c r="FH174" t="str">
        <v>VINUEZA TELLO SHIRLEY ELIZABETH</v>
      </c>
      <c r="FI174" t="str">
        <v>ZAMBRANO ALCIVAR NILDA ISABEL</v>
      </c>
      <c r="FJ174" t="str">
        <v>ZAMBRANO LOOR RITA MAYDA</v>
      </c>
      <c r="FK174" t="str">
        <v>ZAMBRANO VERA MONICA JANETH</v>
      </c>
      <c r="FL174" t="str">
        <v>VERA DELGADO BRYAN ADRIÁN</v>
      </c>
      <c r="FM174" t="str">
        <v>MORAN GONZALES DAVID RENATO</v>
      </c>
      <c r="FN174">
        <v>0</v>
      </c>
    </row>
    <row r="175" spans="1:170" ht="20.25" customHeight="1">
      <c r="A175" s="4" t="str" cm="1">
        <f t="array" ref="A175">TRANSPOSE(_xlfn.UNIQUE(_xlfn._xlws.FILTER(MAE_ASIGNATURA[ID_NIVEL],MAE_ASIGNATURA[ID_CARRERA]=ASIGNACION!$C175,"No existe información")))</f>
        <v>No existe información</v>
      </c>
      <c r="S175" s="4" t="str" cm="1">
        <f t="array" ref="S175">TRANSPOSE(_xlfn.UNIQUE(_xlfn._xlws.FILTER(MAE_ASIGNATURA[NOM_ASIG],(MAE_ASIGNATURA[ID_NIVEL]=ASIGNACION!$D175)*(MAE_ASIGNATURA[ID_CARRERA]=ASIGNACION!$C175),"No existe información")))</f>
        <v>No existe información</v>
      </c>
      <c r="BD175" s="4" t="str" cm="1">
        <f t="array" ref="BD175">TRANSPOSE(_xlfn.UNIQUE(_xlfn._xlws.FILTER(DET_ASIG[DETALLADO],(DET_ASIG[ID_CARRERA]=ASIGNACION!$C175)*(DET_ASIG[NIVEL]=ASIGNACION!$D175)*(DET_ASIG[ID_ASIG]=ASIGNACION!$G175),"No existe información")))</f>
        <v>No existe información</v>
      </c>
      <c r="BQ175" s="5" t="str" cm="1">
        <f t="array" ref="BQ175">IFERROR(
    TRANSPOSE(
        _xlfn.UNIQUE(
            _xlfn._xlws.FILTER(MAESTRIA_DETALLADO[MAESTRIA],
                ISNUMBER(MATCH(MAESTRIA_DETALLADO[CAMPO_DETALLADO],
                BD175:BP175,0))
            )
        )
    ),IF(BD175="ACTIVIDAD","DOCENCIA",""))</f>
        <v/>
      </c>
      <c r="EA175" s="5" t="str" cm="1">
        <f t="array" ref="EA175:FN175">IF(
    ASIGNACION!I175="SI",
    IFERROR(
        TRANSPOSE(
            _xlfn.UNIQUE(
                _xlfn._xlws.FILTER(EDU_DOCENTE[NOMBRE_DOCENTE],
                    ISNUMBER(MATCH(EDU_DOCENTE[MAESTRIA],
                    BQ175:DY175,0))
                )
            )
        ),
        ""
    ),
    TRANSPOSE(
        _xlfn.UNIQUE(EDU_DOCENTE[NOMBRE_DOCENTE]
        )
    )
)</f>
        <v>ALCIVAR CEDEÑO BEATRIZ ISABEL</v>
      </c>
      <c r="EB175" t="str">
        <v>ALCIVAR VERA GEMA MICHELLE</v>
      </c>
      <c r="EC175" t="str">
        <v>ARAUZ CHAVEZ MARIO ROBERTO</v>
      </c>
      <c r="ED175" t="str">
        <v>BAILON LOURIDO WALTER ALBERTO</v>
      </c>
      <c r="EE175" t="str">
        <v>CALDERERO VILLAGOMEZ ERICK ANTONIO</v>
      </c>
      <c r="EF175" t="str">
        <v>CASTILLO GARCIA PAOLA GERMANIA</v>
      </c>
      <c r="EG175" t="str">
        <v>CEDEÑO CHOEZ PEDRO JAVIER</v>
      </c>
      <c r="EH175" t="str">
        <v>CEVALLOS HOPPE JUAN CARLOS</v>
      </c>
      <c r="EI175" t="str">
        <v>DELGADO CHAVEZ MARIA IRASEMA</v>
      </c>
      <c r="EJ175" t="str">
        <v>DUARTE VALENCIA CRISTHIAN DARIO</v>
      </c>
      <c r="EK175" t="str">
        <v>FORTTY BARBERAN DENNY ALEXANDER</v>
      </c>
      <c r="EL175" t="str">
        <v>GUTIERREZ ZAMBRANO CARMEN EBELINA</v>
      </c>
      <c r="EM175" t="str">
        <v>INTRIAGO MOLINA GEMA VALERIA</v>
      </c>
      <c r="EN175" t="str">
        <v>LINO VELEZ LEONEL LIVINGTON</v>
      </c>
      <c r="EO175" t="str">
        <v>LOOR ALCIVAR MARIA ILIANA</v>
      </c>
      <c r="EP175" t="str">
        <v>LOOR MIELES TANIA JACQUELINE</v>
      </c>
      <c r="EQ175" t="str">
        <v>LOOR SOLORZANO ROSA MARIA</v>
      </c>
      <c r="ER175" t="str">
        <v>LOPEZ DELGADO RONALD MAURICIO</v>
      </c>
      <c r="ES175" t="str">
        <v>MACIAS VALENCIA DAVID GABRIEL</v>
      </c>
      <c r="ET175" t="str">
        <v>MENDOZA ZAMORA WALTER MANUEL</v>
      </c>
      <c r="EU175" t="str">
        <v>MOLINA CEVALLOS MARIA LORENA</v>
      </c>
      <c r="EV175" t="str">
        <v>MURILLO DELGADO ISAAC GABRIEL</v>
      </c>
      <c r="EW175" t="str">
        <v>ANGULO MURILLO NAVIRA GISSELA</v>
      </c>
      <c r="EX175" t="str">
        <v>OCHOA SOLEDISPA NESTOR IVAN</v>
      </c>
      <c r="EY175" t="str">
        <v>PARRAGA FRANCO SILVANA MARIELA</v>
      </c>
      <c r="EZ175" t="str">
        <v>PINARGOTE VASQUEZ NANCY FABIOLA</v>
      </c>
      <c r="FA175" t="str">
        <v>REYES VELEZ PEDRO ENRIQUE</v>
      </c>
      <c r="FB175" t="str">
        <v>SAN ANDRES HORMAZA DALLAS CECILIA</v>
      </c>
      <c r="FC175" t="str">
        <v>SORNOZA ZAMORA JUAN CARLOS</v>
      </c>
      <c r="FD175" t="str">
        <v>TOMALA PINTO JESUS JACINTO</v>
      </c>
      <c r="FE175" t="str">
        <v>VALLE JARAMILLO SILVIA ARACELY</v>
      </c>
      <c r="FF175" t="str">
        <v>VELÁSQUEZ BRAVO IRMA KATHERINE</v>
      </c>
      <c r="FG175" t="str">
        <v>VELEZ MENDOZA LAYSY VALERIA</v>
      </c>
      <c r="FH175" t="str">
        <v>VINUEZA TELLO SHIRLEY ELIZABETH</v>
      </c>
      <c r="FI175" t="str">
        <v>ZAMBRANO ALCIVAR NILDA ISABEL</v>
      </c>
      <c r="FJ175" t="str">
        <v>ZAMBRANO LOOR RITA MAYDA</v>
      </c>
      <c r="FK175" t="str">
        <v>ZAMBRANO VERA MONICA JANETH</v>
      </c>
      <c r="FL175" t="str">
        <v>VERA DELGADO BRYAN ADRIÁN</v>
      </c>
      <c r="FM175" t="str">
        <v>MORAN GONZALES DAVID RENATO</v>
      </c>
      <c r="FN175">
        <v>0</v>
      </c>
    </row>
    <row r="176" spans="1:170" ht="20.25" customHeight="1">
      <c r="A176" s="4" t="str" cm="1">
        <f t="array" ref="A176">TRANSPOSE(_xlfn.UNIQUE(_xlfn._xlws.FILTER(MAE_ASIGNATURA[ID_NIVEL],MAE_ASIGNATURA[ID_CARRERA]=ASIGNACION!$C176,"No existe información")))</f>
        <v>No existe información</v>
      </c>
      <c r="S176" s="4" t="str" cm="1">
        <f t="array" ref="S176">TRANSPOSE(_xlfn.UNIQUE(_xlfn._xlws.FILTER(MAE_ASIGNATURA[NOM_ASIG],(MAE_ASIGNATURA[ID_NIVEL]=ASIGNACION!$D176)*(MAE_ASIGNATURA[ID_CARRERA]=ASIGNACION!$C176),"No existe información")))</f>
        <v>No existe información</v>
      </c>
      <c r="BD176" s="4" t="str" cm="1">
        <f t="array" ref="BD176">TRANSPOSE(_xlfn.UNIQUE(_xlfn._xlws.FILTER(DET_ASIG[DETALLADO],(DET_ASIG[ID_CARRERA]=ASIGNACION!$C176)*(DET_ASIG[NIVEL]=ASIGNACION!$D176)*(DET_ASIG[ID_ASIG]=ASIGNACION!$G176),"No existe información")))</f>
        <v>No existe información</v>
      </c>
      <c r="BQ176" s="5" t="str" cm="1">
        <f t="array" ref="BQ176">IFERROR(
    TRANSPOSE(
        _xlfn.UNIQUE(
            _xlfn._xlws.FILTER(MAESTRIA_DETALLADO[MAESTRIA],
                ISNUMBER(MATCH(MAESTRIA_DETALLADO[CAMPO_DETALLADO],
                BD176:BP176,0))
            )
        )
    ),IF(BD176="ACTIVIDAD","DOCENCIA",""))</f>
        <v/>
      </c>
      <c r="EA176" s="5" t="str" cm="1">
        <f t="array" ref="EA176:FN176">IF(
    ASIGNACION!I176="SI",
    IFERROR(
        TRANSPOSE(
            _xlfn.UNIQUE(
                _xlfn._xlws.FILTER(EDU_DOCENTE[NOMBRE_DOCENTE],
                    ISNUMBER(MATCH(EDU_DOCENTE[MAESTRIA],
                    BQ176:DY176,0))
                )
            )
        ),
        ""
    ),
    TRANSPOSE(
        _xlfn.UNIQUE(EDU_DOCENTE[NOMBRE_DOCENTE]
        )
    )
)</f>
        <v>ALCIVAR CEDEÑO BEATRIZ ISABEL</v>
      </c>
      <c r="EB176" t="str">
        <v>ALCIVAR VERA GEMA MICHELLE</v>
      </c>
      <c r="EC176" t="str">
        <v>ARAUZ CHAVEZ MARIO ROBERTO</v>
      </c>
      <c r="ED176" t="str">
        <v>BAILON LOURIDO WALTER ALBERTO</v>
      </c>
      <c r="EE176" t="str">
        <v>CALDERERO VILLAGOMEZ ERICK ANTONIO</v>
      </c>
      <c r="EF176" t="str">
        <v>CASTILLO GARCIA PAOLA GERMANIA</v>
      </c>
      <c r="EG176" t="str">
        <v>CEDEÑO CHOEZ PEDRO JAVIER</v>
      </c>
      <c r="EH176" t="str">
        <v>CEVALLOS HOPPE JUAN CARLOS</v>
      </c>
      <c r="EI176" t="str">
        <v>DELGADO CHAVEZ MARIA IRASEMA</v>
      </c>
      <c r="EJ176" t="str">
        <v>DUARTE VALENCIA CRISTHIAN DARIO</v>
      </c>
      <c r="EK176" t="str">
        <v>FORTTY BARBERAN DENNY ALEXANDER</v>
      </c>
      <c r="EL176" t="str">
        <v>GUTIERREZ ZAMBRANO CARMEN EBELINA</v>
      </c>
      <c r="EM176" t="str">
        <v>INTRIAGO MOLINA GEMA VALERIA</v>
      </c>
      <c r="EN176" t="str">
        <v>LINO VELEZ LEONEL LIVINGTON</v>
      </c>
      <c r="EO176" t="str">
        <v>LOOR ALCIVAR MARIA ILIANA</v>
      </c>
      <c r="EP176" t="str">
        <v>LOOR MIELES TANIA JACQUELINE</v>
      </c>
      <c r="EQ176" t="str">
        <v>LOOR SOLORZANO ROSA MARIA</v>
      </c>
      <c r="ER176" t="str">
        <v>LOPEZ DELGADO RONALD MAURICIO</v>
      </c>
      <c r="ES176" t="str">
        <v>MACIAS VALENCIA DAVID GABRIEL</v>
      </c>
      <c r="ET176" t="str">
        <v>MENDOZA ZAMORA WALTER MANUEL</v>
      </c>
      <c r="EU176" t="str">
        <v>MOLINA CEVALLOS MARIA LORENA</v>
      </c>
      <c r="EV176" t="str">
        <v>MURILLO DELGADO ISAAC GABRIEL</v>
      </c>
      <c r="EW176" t="str">
        <v>ANGULO MURILLO NAVIRA GISSELA</v>
      </c>
      <c r="EX176" t="str">
        <v>OCHOA SOLEDISPA NESTOR IVAN</v>
      </c>
      <c r="EY176" t="str">
        <v>PARRAGA FRANCO SILVANA MARIELA</v>
      </c>
      <c r="EZ176" t="str">
        <v>PINARGOTE VASQUEZ NANCY FABIOLA</v>
      </c>
      <c r="FA176" t="str">
        <v>REYES VELEZ PEDRO ENRIQUE</v>
      </c>
      <c r="FB176" t="str">
        <v>SAN ANDRES HORMAZA DALLAS CECILIA</v>
      </c>
      <c r="FC176" t="str">
        <v>SORNOZA ZAMORA JUAN CARLOS</v>
      </c>
      <c r="FD176" t="str">
        <v>TOMALA PINTO JESUS JACINTO</v>
      </c>
      <c r="FE176" t="str">
        <v>VALLE JARAMILLO SILVIA ARACELY</v>
      </c>
      <c r="FF176" t="str">
        <v>VELÁSQUEZ BRAVO IRMA KATHERINE</v>
      </c>
      <c r="FG176" t="str">
        <v>VELEZ MENDOZA LAYSY VALERIA</v>
      </c>
      <c r="FH176" t="str">
        <v>VINUEZA TELLO SHIRLEY ELIZABETH</v>
      </c>
      <c r="FI176" t="str">
        <v>ZAMBRANO ALCIVAR NILDA ISABEL</v>
      </c>
      <c r="FJ176" t="str">
        <v>ZAMBRANO LOOR RITA MAYDA</v>
      </c>
      <c r="FK176" t="str">
        <v>ZAMBRANO VERA MONICA JANETH</v>
      </c>
      <c r="FL176" t="str">
        <v>VERA DELGADO BRYAN ADRIÁN</v>
      </c>
      <c r="FM176" t="str">
        <v>MORAN GONZALES DAVID RENATO</v>
      </c>
      <c r="FN176">
        <v>0</v>
      </c>
    </row>
    <row r="177" spans="1:170" ht="20.25" customHeight="1">
      <c r="A177" s="4" t="str" cm="1">
        <f t="array" ref="A177">TRANSPOSE(_xlfn.UNIQUE(_xlfn._xlws.FILTER(MAE_ASIGNATURA[ID_NIVEL],MAE_ASIGNATURA[ID_CARRERA]=ASIGNACION!$C177,"No existe información")))</f>
        <v>No existe información</v>
      </c>
      <c r="S177" s="4" t="str" cm="1">
        <f t="array" ref="S177">TRANSPOSE(_xlfn.UNIQUE(_xlfn._xlws.FILTER(MAE_ASIGNATURA[NOM_ASIG],(MAE_ASIGNATURA[ID_NIVEL]=ASIGNACION!$D177)*(MAE_ASIGNATURA[ID_CARRERA]=ASIGNACION!$C177),"No existe información")))</f>
        <v>No existe información</v>
      </c>
      <c r="BD177" s="4" t="str" cm="1">
        <f t="array" ref="BD177">TRANSPOSE(_xlfn.UNIQUE(_xlfn._xlws.FILTER(DET_ASIG[DETALLADO],(DET_ASIG[ID_CARRERA]=ASIGNACION!$C177)*(DET_ASIG[NIVEL]=ASIGNACION!$D177)*(DET_ASIG[ID_ASIG]=ASIGNACION!$G177),"No existe información")))</f>
        <v>No existe información</v>
      </c>
      <c r="BQ177" s="5" t="str" cm="1">
        <f t="array" ref="BQ177">IFERROR(
    TRANSPOSE(
        _xlfn.UNIQUE(
            _xlfn._xlws.FILTER(MAESTRIA_DETALLADO[MAESTRIA],
                ISNUMBER(MATCH(MAESTRIA_DETALLADO[CAMPO_DETALLADO],
                BD177:BP177,0))
            )
        )
    ),IF(BD177="ACTIVIDAD","DOCENCIA",""))</f>
        <v/>
      </c>
      <c r="EA177" s="5" t="str" cm="1">
        <f t="array" ref="EA177:FN177">IF(
    ASIGNACION!I177="SI",
    IFERROR(
        TRANSPOSE(
            _xlfn.UNIQUE(
                _xlfn._xlws.FILTER(EDU_DOCENTE[NOMBRE_DOCENTE],
                    ISNUMBER(MATCH(EDU_DOCENTE[MAESTRIA],
                    BQ177:DY177,0))
                )
            )
        ),
        ""
    ),
    TRANSPOSE(
        _xlfn.UNIQUE(EDU_DOCENTE[NOMBRE_DOCENTE]
        )
    )
)</f>
        <v>ALCIVAR CEDEÑO BEATRIZ ISABEL</v>
      </c>
      <c r="EB177" t="str">
        <v>ALCIVAR VERA GEMA MICHELLE</v>
      </c>
      <c r="EC177" t="str">
        <v>ARAUZ CHAVEZ MARIO ROBERTO</v>
      </c>
      <c r="ED177" t="str">
        <v>BAILON LOURIDO WALTER ALBERTO</v>
      </c>
      <c r="EE177" t="str">
        <v>CALDERERO VILLAGOMEZ ERICK ANTONIO</v>
      </c>
      <c r="EF177" t="str">
        <v>CASTILLO GARCIA PAOLA GERMANIA</v>
      </c>
      <c r="EG177" t="str">
        <v>CEDEÑO CHOEZ PEDRO JAVIER</v>
      </c>
      <c r="EH177" t="str">
        <v>CEVALLOS HOPPE JUAN CARLOS</v>
      </c>
      <c r="EI177" t="str">
        <v>DELGADO CHAVEZ MARIA IRASEMA</v>
      </c>
      <c r="EJ177" t="str">
        <v>DUARTE VALENCIA CRISTHIAN DARIO</v>
      </c>
      <c r="EK177" t="str">
        <v>FORTTY BARBERAN DENNY ALEXANDER</v>
      </c>
      <c r="EL177" t="str">
        <v>GUTIERREZ ZAMBRANO CARMEN EBELINA</v>
      </c>
      <c r="EM177" t="str">
        <v>INTRIAGO MOLINA GEMA VALERIA</v>
      </c>
      <c r="EN177" t="str">
        <v>LINO VELEZ LEONEL LIVINGTON</v>
      </c>
      <c r="EO177" t="str">
        <v>LOOR ALCIVAR MARIA ILIANA</v>
      </c>
      <c r="EP177" t="str">
        <v>LOOR MIELES TANIA JACQUELINE</v>
      </c>
      <c r="EQ177" t="str">
        <v>LOOR SOLORZANO ROSA MARIA</v>
      </c>
      <c r="ER177" t="str">
        <v>LOPEZ DELGADO RONALD MAURICIO</v>
      </c>
      <c r="ES177" t="str">
        <v>MACIAS VALENCIA DAVID GABRIEL</v>
      </c>
      <c r="ET177" t="str">
        <v>MENDOZA ZAMORA WALTER MANUEL</v>
      </c>
      <c r="EU177" t="str">
        <v>MOLINA CEVALLOS MARIA LORENA</v>
      </c>
      <c r="EV177" t="str">
        <v>MURILLO DELGADO ISAAC GABRIEL</v>
      </c>
      <c r="EW177" t="str">
        <v>ANGULO MURILLO NAVIRA GISSELA</v>
      </c>
      <c r="EX177" t="str">
        <v>OCHOA SOLEDISPA NESTOR IVAN</v>
      </c>
      <c r="EY177" t="str">
        <v>PARRAGA FRANCO SILVANA MARIELA</v>
      </c>
      <c r="EZ177" t="str">
        <v>PINARGOTE VASQUEZ NANCY FABIOLA</v>
      </c>
      <c r="FA177" t="str">
        <v>REYES VELEZ PEDRO ENRIQUE</v>
      </c>
      <c r="FB177" t="str">
        <v>SAN ANDRES HORMAZA DALLAS CECILIA</v>
      </c>
      <c r="FC177" t="str">
        <v>SORNOZA ZAMORA JUAN CARLOS</v>
      </c>
      <c r="FD177" t="str">
        <v>TOMALA PINTO JESUS JACINTO</v>
      </c>
      <c r="FE177" t="str">
        <v>VALLE JARAMILLO SILVIA ARACELY</v>
      </c>
      <c r="FF177" t="str">
        <v>VELÁSQUEZ BRAVO IRMA KATHERINE</v>
      </c>
      <c r="FG177" t="str">
        <v>VELEZ MENDOZA LAYSY VALERIA</v>
      </c>
      <c r="FH177" t="str">
        <v>VINUEZA TELLO SHIRLEY ELIZABETH</v>
      </c>
      <c r="FI177" t="str">
        <v>ZAMBRANO ALCIVAR NILDA ISABEL</v>
      </c>
      <c r="FJ177" t="str">
        <v>ZAMBRANO LOOR RITA MAYDA</v>
      </c>
      <c r="FK177" t="str">
        <v>ZAMBRANO VERA MONICA JANETH</v>
      </c>
      <c r="FL177" t="str">
        <v>VERA DELGADO BRYAN ADRIÁN</v>
      </c>
      <c r="FM177" t="str">
        <v>MORAN GONZALES DAVID RENATO</v>
      </c>
      <c r="FN177">
        <v>0</v>
      </c>
    </row>
    <row r="178" spans="1:170" ht="20.25" customHeight="1">
      <c r="A178" s="4" t="str" cm="1">
        <f t="array" ref="A178">TRANSPOSE(_xlfn.UNIQUE(_xlfn._xlws.FILTER(MAE_ASIGNATURA[ID_NIVEL],MAE_ASIGNATURA[ID_CARRERA]=ASIGNACION!$C178,"No existe información")))</f>
        <v>No existe información</v>
      </c>
      <c r="S178" s="4" t="str" cm="1">
        <f t="array" ref="S178">TRANSPOSE(_xlfn.UNIQUE(_xlfn._xlws.FILTER(MAE_ASIGNATURA[NOM_ASIG],(MAE_ASIGNATURA[ID_NIVEL]=ASIGNACION!$D178)*(MAE_ASIGNATURA[ID_CARRERA]=ASIGNACION!$C178),"No existe información")))</f>
        <v>No existe información</v>
      </c>
      <c r="BD178" s="4" t="str" cm="1">
        <f t="array" ref="BD178">TRANSPOSE(_xlfn.UNIQUE(_xlfn._xlws.FILTER(DET_ASIG[DETALLADO],(DET_ASIG[ID_CARRERA]=ASIGNACION!$C178)*(DET_ASIG[NIVEL]=ASIGNACION!$D178)*(DET_ASIG[ID_ASIG]=ASIGNACION!$G178),"No existe información")))</f>
        <v>No existe información</v>
      </c>
      <c r="BQ178" s="5" t="str" cm="1">
        <f t="array" ref="BQ178">IFERROR(
    TRANSPOSE(
        _xlfn.UNIQUE(
            _xlfn._xlws.FILTER(MAESTRIA_DETALLADO[MAESTRIA],
                ISNUMBER(MATCH(MAESTRIA_DETALLADO[CAMPO_DETALLADO],
                BD178:BP178,0))
            )
        )
    ),IF(BD178="ACTIVIDAD","DOCENCIA",""))</f>
        <v/>
      </c>
      <c r="EA178" s="5" t="str" cm="1">
        <f t="array" ref="EA178:FN178">IF(
    ASIGNACION!I178="SI",
    IFERROR(
        TRANSPOSE(
            _xlfn.UNIQUE(
                _xlfn._xlws.FILTER(EDU_DOCENTE[NOMBRE_DOCENTE],
                    ISNUMBER(MATCH(EDU_DOCENTE[MAESTRIA],
                    BQ178:DY178,0))
                )
            )
        ),
        ""
    ),
    TRANSPOSE(
        _xlfn.UNIQUE(EDU_DOCENTE[NOMBRE_DOCENTE]
        )
    )
)</f>
        <v>ALCIVAR CEDEÑO BEATRIZ ISABEL</v>
      </c>
      <c r="EB178" t="str">
        <v>ALCIVAR VERA GEMA MICHELLE</v>
      </c>
      <c r="EC178" t="str">
        <v>ARAUZ CHAVEZ MARIO ROBERTO</v>
      </c>
      <c r="ED178" t="str">
        <v>BAILON LOURIDO WALTER ALBERTO</v>
      </c>
      <c r="EE178" t="str">
        <v>CALDERERO VILLAGOMEZ ERICK ANTONIO</v>
      </c>
      <c r="EF178" t="str">
        <v>CASTILLO GARCIA PAOLA GERMANIA</v>
      </c>
      <c r="EG178" t="str">
        <v>CEDEÑO CHOEZ PEDRO JAVIER</v>
      </c>
      <c r="EH178" t="str">
        <v>CEVALLOS HOPPE JUAN CARLOS</v>
      </c>
      <c r="EI178" t="str">
        <v>DELGADO CHAVEZ MARIA IRASEMA</v>
      </c>
      <c r="EJ178" t="str">
        <v>DUARTE VALENCIA CRISTHIAN DARIO</v>
      </c>
      <c r="EK178" t="str">
        <v>FORTTY BARBERAN DENNY ALEXANDER</v>
      </c>
      <c r="EL178" t="str">
        <v>GUTIERREZ ZAMBRANO CARMEN EBELINA</v>
      </c>
      <c r="EM178" t="str">
        <v>INTRIAGO MOLINA GEMA VALERIA</v>
      </c>
      <c r="EN178" t="str">
        <v>LINO VELEZ LEONEL LIVINGTON</v>
      </c>
      <c r="EO178" t="str">
        <v>LOOR ALCIVAR MARIA ILIANA</v>
      </c>
      <c r="EP178" t="str">
        <v>LOOR MIELES TANIA JACQUELINE</v>
      </c>
      <c r="EQ178" t="str">
        <v>LOOR SOLORZANO ROSA MARIA</v>
      </c>
      <c r="ER178" t="str">
        <v>LOPEZ DELGADO RONALD MAURICIO</v>
      </c>
      <c r="ES178" t="str">
        <v>MACIAS VALENCIA DAVID GABRIEL</v>
      </c>
      <c r="ET178" t="str">
        <v>MENDOZA ZAMORA WALTER MANUEL</v>
      </c>
      <c r="EU178" t="str">
        <v>MOLINA CEVALLOS MARIA LORENA</v>
      </c>
      <c r="EV178" t="str">
        <v>MURILLO DELGADO ISAAC GABRIEL</v>
      </c>
      <c r="EW178" t="str">
        <v>ANGULO MURILLO NAVIRA GISSELA</v>
      </c>
      <c r="EX178" t="str">
        <v>OCHOA SOLEDISPA NESTOR IVAN</v>
      </c>
      <c r="EY178" t="str">
        <v>PARRAGA FRANCO SILVANA MARIELA</v>
      </c>
      <c r="EZ178" t="str">
        <v>PINARGOTE VASQUEZ NANCY FABIOLA</v>
      </c>
      <c r="FA178" t="str">
        <v>REYES VELEZ PEDRO ENRIQUE</v>
      </c>
      <c r="FB178" t="str">
        <v>SAN ANDRES HORMAZA DALLAS CECILIA</v>
      </c>
      <c r="FC178" t="str">
        <v>SORNOZA ZAMORA JUAN CARLOS</v>
      </c>
      <c r="FD178" t="str">
        <v>TOMALA PINTO JESUS JACINTO</v>
      </c>
      <c r="FE178" t="str">
        <v>VALLE JARAMILLO SILVIA ARACELY</v>
      </c>
      <c r="FF178" t="str">
        <v>VELÁSQUEZ BRAVO IRMA KATHERINE</v>
      </c>
      <c r="FG178" t="str">
        <v>VELEZ MENDOZA LAYSY VALERIA</v>
      </c>
      <c r="FH178" t="str">
        <v>VINUEZA TELLO SHIRLEY ELIZABETH</v>
      </c>
      <c r="FI178" t="str">
        <v>ZAMBRANO ALCIVAR NILDA ISABEL</v>
      </c>
      <c r="FJ178" t="str">
        <v>ZAMBRANO LOOR RITA MAYDA</v>
      </c>
      <c r="FK178" t="str">
        <v>ZAMBRANO VERA MONICA JANETH</v>
      </c>
      <c r="FL178" t="str">
        <v>VERA DELGADO BRYAN ADRIÁN</v>
      </c>
      <c r="FM178" t="str">
        <v>MORAN GONZALES DAVID RENATO</v>
      </c>
      <c r="FN178">
        <v>0</v>
      </c>
    </row>
    <row r="179" spans="1:170" ht="20.25" customHeight="1">
      <c r="A179" s="4" t="str" cm="1">
        <f t="array" ref="A179">TRANSPOSE(_xlfn.UNIQUE(_xlfn._xlws.FILTER(MAE_ASIGNATURA[ID_NIVEL],MAE_ASIGNATURA[ID_CARRERA]=ASIGNACION!$C179,"No existe información")))</f>
        <v>No existe información</v>
      </c>
      <c r="S179" s="4" t="str" cm="1">
        <f t="array" ref="S179">TRANSPOSE(_xlfn.UNIQUE(_xlfn._xlws.FILTER(MAE_ASIGNATURA[NOM_ASIG],(MAE_ASIGNATURA[ID_NIVEL]=ASIGNACION!$D179)*(MAE_ASIGNATURA[ID_CARRERA]=ASIGNACION!$C179),"No existe información")))</f>
        <v>No existe información</v>
      </c>
      <c r="BD179" s="4" t="str" cm="1">
        <f t="array" ref="BD179">TRANSPOSE(_xlfn.UNIQUE(_xlfn._xlws.FILTER(DET_ASIG[DETALLADO],(DET_ASIG[ID_CARRERA]=ASIGNACION!$C179)*(DET_ASIG[NIVEL]=ASIGNACION!$D179)*(DET_ASIG[ID_ASIG]=ASIGNACION!$G179),"No existe información")))</f>
        <v>No existe información</v>
      </c>
      <c r="BQ179" s="5" t="str" cm="1">
        <f t="array" ref="BQ179">IFERROR(
    TRANSPOSE(
        _xlfn.UNIQUE(
            _xlfn._xlws.FILTER(MAESTRIA_DETALLADO[MAESTRIA],
                ISNUMBER(MATCH(MAESTRIA_DETALLADO[CAMPO_DETALLADO],
                BD179:BP179,0))
            )
        )
    ),IF(BD179="ACTIVIDAD","DOCENCIA",""))</f>
        <v/>
      </c>
      <c r="EA179" s="5" t="str" cm="1">
        <f t="array" ref="EA179:FN179">IF(
    ASIGNACION!I179="SI",
    IFERROR(
        TRANSPOSE(
            _xlfn.UNIQUE(
                _xlfn._xlws.FILTER(EDU_DOCENTE[NOMBRE_DOCENTE],
                    ISNUMBER(MATCH(EDU_DOCENTE[MAESTRIA],
                    BQ179:DY179,0))
                )
            )
        ),
        ""
    ),
    TRANSPOSE(
        _xlfn.UNIQUE(EDU_DOCENTE[NOMBRE_DOCENTE]
        )
    )
)</f>
        <v>ALCIVAR CEDEÑO BEATRIZ ISABEL</v>
      </c>
      <c r="EB179" t="str">
        <v>ALCIVAR VERA GEMA MICHELLE</v>
      </c>
      <c r="EC179" t="str">
        <v>ARAUZ CHAVEZ MARIO ROBERTO</v>
      </c>
      <c r="ED179" t="str">
        <v>BAILON LOURIDO WALTER ALBERTO</v>
      </c>
      <c r="EE179" t="str">
        <v>CALDERERO VILLAGOMEZ ERICK ANTONIO</v>
      </c>
      <c r="EF179" t="str">
        <v>CASTILLO GARCIA PAOLA GERMANIA</v>
      </c>
      <c r="EG179" t="str">
        <v>CEDEÑO CHOEZ PEDRO JAVIER</v>
      </c>
      <c r="EH179" t="str">
        <v>CEVALLOS HOPPE JUAN CARLOS</v>
      </c>
      <c r="EI179" t="str">
        <v>DELGADO CHAVEZ MARIA IRASEMA</v>
      </c>
      <c r="EJ179" t="str">
        <v>DUARTE VALENCIA CRISTHIAN DARIO</v>
      </c>
      <c r="EK179" t="str">
        <v>FORTTY BARBERAN DENNY ALEXANDER</v>
      </c>
      <c r="EL179" t="str">
        <v>GUTIERREZ ZAMBRANO CARMEN EBELINA</v>
      </c>
      <c r="EM179" t="str">
        <v>INTRIAGO MOLINA GEMA VALERIA</v>
      </c>
      <c r="EN179" t="str">
        <v>LINO VELEZ LEONEL LIVINGTON</v>
      </c>
      <c r="EO179" t="str">
        <v>LOOR ALCIVAR MARIA ILIANA</v>
      </c>
      <c r="EP179" t="str">
        <v>LOOR MIELES TANIA JACQUELINE</v>
      </c>
      <c r="EQ179" t="str">
        <v>LOOR SOLORZANO ROSA MARIA</v>
      </c>
      <c r="ER179" t="str">
        <v>LOPEZ DELGADO RONALD MAURICIO</v>
      </c>
      <c r="ES179" t="str">
        <v>MACIAS VALENCIA DAVID GABRIEL</v>
      </c>
      <c r="ET179" t="str">
        <v>MENDOZA ZAMORA WALTER MANUEL</v>
      </c>
      <c r="EU179" t="str">
        <v>MOLINA CEVALLOS MARIA LORENA</v>
      </c>
      <c r="EV179" t="str">
        <v>MURILLO DELGADO ISAAC GABRIEL</v>
      </c>
      <c r="EW179" t="str">
        <v>ANGULO MURILLO NAVIRA GISSELA</v>
      </c>
      <c r="EX179" t="str">
        <v>OCHOA SOLEDISPA NESTOR IVAN</v>
      </c>
      <c r="EY179" t="str">
        <v>PARRAGA FRANCO SILVANA MARIELA</v>
      </c>
      <c r="EZ179" t="str">
        <v>PINARGOTE VASQUEZ NANCY FABIOLA</v>
      </c>
      <c r="FA179" t="str">
        <v>REYES VELEZ PEDRO ENRIQUE</v>
      </c>
      <c r="FB179" t="str">
        <v>SAN ANDRES HORMAZA DALLAS CECILIA</v>
      </c>
      <c r="FC179" t="str">
        <v>SORNOZA ZAMORA JUAN CARLOS</v>
      </c>
      <c r="FD179" t="str">
        <v>TOMALA PINTO JESUS JACINTO</v>
      </c>
      <c r="FE179" t="str">
        <v>VALLE JARAMILLO SILVIA ARACELY</v>
      </c>
      <c r="FF179" t="str">
        <v>VELÁSQUEZ BRAVO IRMA KATHERINE</v>
      </c>
      <c r="FG179" t="str">
        <v>VELEZ MENDOZA LAYSY VALERIA</v>
      </c>
      <c r="FH179" t="str">
        <v>VINUEZA TELLO SHIRLEY ELIZABETH</v>
      </c>
      <c r="FI179" t="str">
        <v>ZAMBRANO ALCIVAR NILDA ISABEL</v>
      </c>
      <c r="FJ179" t="str">
        <v>ZAMBRANO LOOR RITA MAYDA</v>
      </c>
      <c r="FK179" t="str">
        <v>ZAMBRANO VERA MONICA JANETH</v>
      </c>
      <c r="FL179" t="str">
        <v>VERA DELGADO BRYAN ADRIÁN</v>
      </c>
      <c r="FM179" t="str">
        <v>MORAN GONZALES DAVID RENATO</v>
      </c>
      <c r="FN179">
        <v>0</v>
      </c>
    </row>
    <row r="180" spans="1:170" ht="20.25" customHeight="1">
      <c r="A180" s="4" t="str" cm="1">
        <f t="array" ref="A180">TRANSPOSE(_xlfn.UNIQUE(_xlfn._xlws.FILTER(MAE_ASIGNATURA[ID_NIVEL],MAE_ASIGNATURA[ID_CARRERA]=ASIGNACION!$C180,"No existe información")))</f>
        <v>No existe información</v>
      </c>
      <c r="S180" s="4" t="str" cm="1">
        <f t="array" ref="S180">TRANSPOSE(_xlfn.UNIQUE(_xlfn._xlws.FILTER(MAE_ASIGNATURA[NOM_ASIG],(MAE_ASIGNATURA[ID_NIVEL]=ASIGNACION!$D180)*(MAE_ASIGNATURA[ID_CARRERA]=ASIGNACION!$C180),"No existe información")))</f>
        <v>No existe información</v>
      </c>
      <c r="BD180" s="4" t="str" cm="1">
        <f t="array" ref="BD180">TRANSPOSE(_xlfn.UNIQUE(_xlfn._xlws.FILTER(DET_ASIG[DETALLADO],(DET_ASIG[ID_CARRERA]=ASIGNACION!$C180)*(DET_ASIG[NIVEL]=ASIGNACION!$D180)*(DET_ASIG[ID_ASIG]=ASIGNACION!$G180),"No existe información")))</f>
        <v>No existe información</v>
      </c>
      <c r="BQ180" s="5" t="str" cm="1">
        <f t="array" ref="BQ180">IFERROR(
    TRANSPOSE(
        _xlfn.UNIQUE(
            _xlfn._xlws.FILTER(MAESTRIA_DETALLADO[MAESTRIA],
                ISNUMBER(MATCH(MAESTRIA_DETALLADO[CAMPO_DETALLADO],
                BD180:BP180,0))
            )
        )
    ),IF(BD180="ACTIVIDAD","DOCENCIA",""))</f>
        <v/>
      </c>
      <c r="EA180" s="5" t="str" cm="1">
        <f t="array" ref="EA180:FN180">IF(
    ASIGNACION!I180="SI",
    IFERROR(
        TRANSPOSE(
            _xlfn.UNIQUE(
                _xlfn._xlws.FILTER(EDU_DOCENTE[NOMBRE_DOCENTE],
                    ISNUMBER(MATCH(EDU_DOCENTE[MAESTRIA],
                    BQ180:DY180,0))
                )
            )
        ),
        ""
    ),
    TRANSPOSE(
        _xlfn.UNIQUE(EDU_DOCENTE[NOMBRE_DOCENTE]
        )
    )
)</f>
        <v>ALCIVAR CEDEÑO BEATRIZ ISABEL</v>
      </c>
      <c r="EB180" t="str">
        <v>ALCIVAR VERA GEMA MICHELLE</v>
      </c>
      <c r="EC180" t="str">
        <v>ARAUZ CHAVEZ MARIO ROBERTO</v>
      </c>
      <c r="ED180" t="str">
        <v>BAILON LOURIDO WALTER ALBERTO</v>
      </c>
      <c r="EE180" t="str">
        <v>CALDERERO VILLAGOMEZ ERICK ANTONIO</v>
      </c>
      <c r="EF180" t="str">
        <v>CASTILLO GARCIA PAOLA GERMANIA</v>
      </c>
      <c r="EG180" t="str">
        <v>CEDEÑO CHOEZ PEDRO JAVIER</v>
      </c>
      <c r="EH180" t="str">
        <v>CEVALLOS HOPPE JUAN CARLOS</v>
      </c>
      <c r="EI180" t="str">
        <v>DELGADO CHAVEZ MARIA IRASEMA</v>
      </c>
      <c r="EJ180" t="str">
        <v>DUARTE VALENCIA CRISTHIAN DARIO</v>
      </c>
      <c r="EK180" t="str">
        <v>FORTTY BARBERAN DENNY ALEXANDER</v>
      </c>
      <c r="EL180" t="str">
        <v>GUTIERREZ ZAMBRANO CARMEN EBELINA</v>
      </c>
      <c r="EM180" t="str">
        <v>INTRIAGO MOLINA GEMA VALERIA</v>
      </c>
      <c r="EN180" t="str">
        <v>LINO VELEZ LEONEL LIVINGTON</v>
      </c>
      <c r="EO180" t="str">
        <v>LOOR ALCIVAR MARIA ILIANA</v>
      </c>
      <c r="EP180" t="str">
        <v>LOOR MIELES TANIA JACQUELINE</v>
      </c>
      <c r="EQ180" t="str">
        <v>LOOR SOLORZANO ROSA MARIA</v>
      </c>
      <c r="ER180" t="str">
        <v>LOPEZ DELGADO RONALD MAURICIO</v>
      </c>
      <c r="ES180" t="str">
        <v>MACIAS VALENCIA DAVID GABRIEL</v>
      </c>
      <c r="ET180" t="str">
        <v>MENDOZA ZAMORA WALTER MANUEL</v>
      </c>
      <c r="EU180" t="str">
        <v>MOLINA CEVALLOS MARIA LORENA</v>
      </c>
      <c r="EV180" t="str">
        <v>MURILLO DELGADO ISAAC GABRIEL</v>
      </c>
      <c r="EW180" t="str">
        <v>ANGULO MURILLO NAVIRA GISSELA</v>
      </c>
      <c r="EX180" t="str">
        <v>OCHOA SOLEDISPA NESTOR IVAN</v>
      </c>
      <c r="EY180" t="str">
        <v>PARRAGA FRANCO SILVANA MARIELA</v>
      </c>
      <c r="EZ180" t="str">
        <v>PINARGOTE VASQUEZ NANCY FABIOLA</v>
      </c>
      <c r="FA180" t="str">
        <v>REYES VELEZ PEDRO ENRIQUE</v>
      </c>
      <c r="FB180" t="str">
        <v>SAN ANDRES HORMAZA DALLAS CECILIA</v>
      </c>
      <c r="FC180" t="str">
        <v>SORNOZA ZAMORA JUAN CARLOS</v>
      </c>
      <c r="FD180" t="str">
        <v>TOMALA PINTO JESUS JACINTO</v>
      </c>
      <c r="FE180" t="str">
        <v>VALLE JARAMILLO SILVIA ARACELY</v>
      </c>
      <c r="FF180" t="str">
        <v>VELÁSQUEZ BRAVO IRMA KATHERINE</v>
      </c>
      <c r="FG180" t="str">
        <v>VELEZ MENDOZA LAYSY VALERIA</v>
      </c>
      <c r="FH180" t="str">
        <v>VINUEZA TELLO SHIRLEY ELIZABETH</v>
      </c>
      <c r="FI180" t="str">
        <v>ZAMBRANO ALCIVAR NILDA ISABEL</v>
      </c>
      <c r="FJ180" t="str">
        <v>ZAMBRANO LOOR RITA MAYDA</v>
      </c>
      <c r="FK180" t="str">
        <v>ZAMBRANO VERA MONICA JANETH</v>
      </c>
      <c r="FL180" t="str">
        <v>VERA DELGADO BRYAN ADRIÁN</v>
      </c>
      <c r="FM180" t="str">
        <v>MORAN GONZALES DAVID RENATO</v>
      </c>
      <c r="FN180">
        <v>0</v>
      </c>
    </row>
    <row r="181" spans="1:170" ht="20.25" customHeight="1">
      <c r="A181" s="4" t="str" cm="1">
        <f t="array" ref="A181">TRANSPOSE(_xlfn.UNIQUE(_xlfn._xlws.FILTER(MAE_ASIGNATURA[ID_NIVEL],MAE_ASIGNATURA[ID_CARRERA]=ASIGNACION!$C181,"No existe información")))</f>
        <v>No existe información</v>
      </c>
      <c r="S181" s="4" t="str" cm="1">
        <f t="array" ref="S181">TRANSPOSE(_xlfn.UNIQUE(_xlfn._xlws.FILTER(MAE_ASIGNATURA[NOM_ASIG],(MAE_ASIGNATURA[ID_NIVEL]=ASIGNACION!$D181)*(MAE_ASIGNATURA[ID_CARRERA]=ASIGNACION!$C181),"No existe información")))</f>
        <v>No existe información</v>
      </c>
      <c r="BD181" s="4" t="str" cm="1">
        <f t="array" ref="BD181">TRANSPOSE(_xlfn.UNIQUE(_xlfn._xlws.FILTER(DET_ASIG[DETALLADO],(DET_ASIG[ID_CARRERA]=ASIGNACION!$C181)*(DET_ASIG[NIVEL]=ASIGNACION!$D181)*(DET_ASIG[ID_ASIG]=ASIGNACION!$G181),"No existe información")))</f>
        <v>No existe información</v>
      </c>
      <c r="BQ181" s="5" t="str" cm="1">
        <f t="array" ref="BQ181">IFERROR(
    TRANSPOSE(
        _xlfn.UNIQUE(
            _xlfn._xlws.FILTER(MAESTRIA_DETALLADO[MAESTRIA],
                ISNUMBER(MATCH(MAESTRIA_DETALLADO[CAMPO_DETALLADO],
                BD181:BP181,0))
            )
        )
    ),IF(BD181="ACTIVIDAD","DOCENCIA",""))</f>
        <v/>
      </c>
      <c r="EA181" s="5" t="str" cm="1">
        <f t="array" ref="EA181:FN181">IF(
    ASIGNACION!I181="SI",
    IFERROR(
        TRANSPOSE(
            _xlfn.UNIQUE(
                _xlfn._xlws.FILTER(EDU_DOCENTE[NOMBRE_DOCENTE],
                    ISNUMBER(MATCH(EDU_DOCENTE[MAESTRIA],
                    BQ181:DY181,0))
                )
            )
        ),
        ""
    ),
    TRANSPOSE(
        _xlfn.UNIQUE(EDU_DOCENTE[NOMBRE_DOCENTE]
        )
    )
)</f>
        <v>ALCIVAR CEDEÑO BEATRIZ ISABEL</v>
      </c>
      <c r="EB181" t="str">
        <v>ALCIVAR VERA GEMA MICHELLE</v>
      </c>
      <c r="EC181" t="str">
        <v>ARAUZ CHAVEZ MARIO ROBERTO</v>
      </c>
      <c r="ED181" t="str">
        <v>BAILON LOURIDO WALTER ALBERTO</v>
      </c>
      <c r="EE181" t="str">
        <v>CALDERERO VILLAGOMEZ ERICK ANTONIO</v>
      </c>
      <c r="EF181" t="str">
        <v>CASTILLO GARCIA PAOLA GERMANIA</v>
      </c>
      <c r="EG181" t="str">
        <v>CEDEÑO CHOEZ PEDRO JAVIER</v>
      </c>
      <c r="EH181" t="str">
        <v>CEVALLOS HOPPE JUAN CARLOS</v>
      </c>
      <c r="EI181" t="str">
        <v>DELGADO CHAVEZ MARIA IRASEMA</v>
      </c>
      <c r="EJ181" t="str">
        <v>DUARTE VALENCIA CRISTHIAN DARIO</v>
      </c>
      <c r="EK181" t="str">
        <v>FORTTY BARBERAN DENNY ALEXANDER</v>
      </c>
      <c r="EL181" t="str">
        <v>GUTIERREZ ZAMBRANO CARMEN EBELINA</v>
      </c>
      <c r="EM181" t="str">
        <v>INTRIAGO MOLINA GEMA VALERIA</v>
      </c>
      <c r="EN181" t="str">
        <v>LINO VELEZ LEONEL LIVINGTON</v>
      </c>
      <c r="EO181" t="str">
        <v>LOOR ALCIVAR MARIA ILIANA</v>
      </c>
      <c r="EP181" t="str">
        <v>LOOR MIELES TANIA JACQUELINE</v>
      </c>
      <c r="EQ181" t="str">
        <v>LOOR SOLORZANO ROSA MARIA</v>
      </c>
      <c r="ER181" t="str">
        <v>LOPEZ DELGADO RONALD MAURICIO</v>
      </c>
      <c r="ES181" t="str">
        <v>MACIAS VALENCIA DAVID GABRIEL</v>
      </c>
      <c r="ET181" t="str">
        <v>MENDOZA ZAMORA WALTER MANUEL</v>
      </c>
      <c r="EU181" t="str">
        <v>MOLINA CEVALLOS MARIA LORENA</v>
      </c>
      <c r="EV181" t="str">
        <v>MURILLO DELGADO ISAAC GABRIEL</v>
      </c>
      <c r="EW181" t="str">
        <v>ANGULO MURILLO NAVIRA GISSELA</v>
      </c>
      <c r="EX181" t="str">
        <v>OCHOA SOLEDISPA NESTOR IVAN</v>
      </c>
      <c r="EY181" t="str">
        <v>PARRAGA FRANCO SILVANA MARIELA</v>
      </c>
      <c r="EZ181" t="str">
        <v>PINARGOTE VASQUEZ NANCY FABIOLA</v>
      </c>
      <c r="FA181" t="str">
        <v>REYES VELEZ PEDRO ENRIQUE</v>
      </c>
      <c r="FB181" t="str">
        <v>SAN ANDRES HORMAZA DALLAS CECILIA</v>
      </c>
      <c r="FC181" t="str">
        <v>SORNOZA ZAMORA JUAN CARLOS</v>
      </c>
      <c r="FD181" t="str">
        <v>TOMALA PINTO JESUS JACINTO</v>
      </c>
      <c r="FE181" t="str">
        <v>VALLE JARAMILLO SILVIA ARACELY</v>
      </c>
      <c r="FF181" t="str">
        <v>VELÁSQUEZ BRAVO IRMA KATHERINE</v>
      </c>
      <c r="FG181" t="str">
        <v>VELEZ MENDOZA LAYSY VALERIA</v>
      </c>
      <c r="FH181" t="str">
        <v>VINUEZA TELLO SHIRLEY ELIZABETH</v>
      </c>
      <c r="FI181" t="str">
        <v>ZAMBRANO ALCIVAR NILDA ISABEL</v>
      </c>
      <c r="FJ181" t="str">
        <v>ZAMBRANO LOOR RITA MAYDA</v>
      </c>
      <c r="FK181" t="str">
        <v>ZAMBRANO VERA MONICA JANETH</v>
      </c>
      <c r="FL181" t="str">
        <v>VERA DELGADO BRYAN ADRIÁN</v>
      </c>
      <c r="FM181" t="str">
        <v>MORAN GONZALES DAVID RENATO</v>
      </c>
      <c r="FN181">
        <v>0</v>
      </c>
    </row>
    <row r="182" spans="1:170" ht="20.25" customHeight="1">
      <c r="A182" s="4" t="str" cm="1">
        <f t="array" ref="A182">TRANSPOSE(_xlfn.UNIQUE(_xlfn._xlws.FILTER(MAE_ASIGNATURA[ID_NIVEL],MAE_ASIGNATURA[ID_CARRERA]=ASIGNACION!$C182,"No existe información")))</f>
        <v>No existe información</v>
      </c>
      <c r="S182" s="4" t="str" cm="1">
        <f t="array" ref="S182">TRANSPOSE(_xlfn.UNIQUE(_xlfn._xlws.FILTER(MAE_ASIGNATURA[NOM_ASIG],(MAE_ASIGNATURA[ID_NIVEL]=ASIGNACION!$D182)*(MAE_ASIGNATURA[ID_CARRERA]=ASIGNACION!$C182),"No existe información")))</f>
        <v>No existe información</v>
      </c>
      <c r="BD182" s="4" t="str" cm="1">
        <f t="array" ref="BD182">TRANSPOSE(_xlfn.UNIQUE(_xlfn._xlws.FILTER(DET_ASIG[DETALLADO],(DET_ASIG[ID_CARRERA]=ASIGNACION!$C182)*(DET_ASIG[NIVEL]=ASIGNACION!$D182)*(DET_ASIG[ID_ASIG]=ASIGNACION!$G182),"No existe información")))</f>
        <v>No existe información</v>
      </c>
      <c r="BQ182" s="5" t="str" cm="1">
        <f t="array" ref="BQ182">IFERROR(
    TRANSPOSE(
        _xlfn.UNIQUE(
            _xlfn._xlws.FILTER(MAESTRIA_DETALLADO[MAESTRIA],
                ISNUMBER(MATCH(MAESTRIA_DETALLADO[CAMPO_DETALLADO],
                BD182:BP182,0))
            )
        )
    ),IF(BD182="ACTIVIDAD","DOCENCIA",""))</f>
        <v/>
      </c>
      <c r="EA182" s="5" t="str" cm="1">
        <f t="array" ref="EA182:FN182">IF(
    ASIGNACION!I182="SI",
    IFERROR(
        TRANSPOSE(
            _xlfn.UNIQUE(
                _xlfn._xlws.FILTER(EDU_DOCENTE[NOMBRE_DOCENTE],
                    ISNUMBER(MATCH(EDU_DOCENTE[MAESTRIA],
                    BQ182:DY182,0))
                )
            )
        ),
        ""
    ),
    TRANSPOSE(
        _xlfn.UNIQUE(EDU_DOCENTE[NOMBRE_DOCENTE]
        )
    )
)</f>
        <v>ALCIVAR CEDEÑO BEATRIZ ISABEL</v>
      </c>
      <c r="EB182" t="str">
        <v>ALCIVAR VERA GEMA MICHELLE</v>
      </c>
      <c r="EC182" t="str">
        <v>ARAUZ CHAVEZ MARIO ROBERTO</v>
      </c>
      <c r="ED182" t="str">
        <v>BAILON LOURIDO WALTER ALBERTO</v>
      </c>
      <c r="EE182" t="str">
        <v>CALDERERO VILLAGOMEZ ERICK ANTONIO</v>
      </c>
      <c r="EF182" t="str">
        <v>CASTILLO GARCIA PAOLA GERMANIA</v>
      </c>
      <c r="EG182" t="str">
        <v>CEDEÑO CHOEZ PEDRO JAVIER</v>
      </c>
      <c r="EH182" t="str">
        <v>CEVALLOS HOPPE JUAN CARLOS</v>
      </c>
      <c r="EI182" t="str">
        <v>DELGADO CHAVEZ MARIA IRASEMA</v>
      </c>
      <c r="EJ182" t="str">
        <v>DUARTE VALENCIA CRISTHIAN DARIO</v>
      </c>
      <c r="EK182" t="str">
        <v>FORTTY BARBERAN DENNY ALEXANDER</v>
      </c>
      <c r="EL182" t="str">
        <v>GUTIERREZ ZAMBRANO CARMEN EBELINA</v>
      </c>
      <c r="EM182" t="str">
        <v>INTRIAGO MOLINA GEMA VALERIA</v>
      </c>
      <c r="EN182" t="str">
        <v>LINO VELEZ LEONEL LIVINGTON</v>
      </c>
      <c r="EO182" t="str">
        <v>LOOR ALCIVAR MARIA ILIANA</v>
      </c>
      <c r="EP182" t="str">
        <v>LOOR MIELES TANIA JACQUELINE</v>
      </c>
      <c r="EQ182" t="str">
        <v>LOOR SOLORZANO ROSA MARIA</v>
      </c>
      <c r="ER182" t="str">
        <v>LOPEZ DELGADO RONALD MAURICIO</v>
      </c>
      <c r="ES182" t="str">
        <v>MACIAS VALENCIA DAVID GABRIEL</v>
      </c>
      <c r="ET182" t="str">
        <v>MENDOZA ZAMORA WALTER MANUEL</v>
      </c>
      <c r="EU182" t="str">
        <v>MOLINA CEVALLOS MARIA LORENA</v>
      </c>
      <c r="EV182" t="str">
        <v>MURILLO DELGADO ISAAC GABRIEL</v>
      </c>
      <c r="EW182" t="str">
        <v>ANGULO MURILLO NAVIRA GISSELA</v>
      </c>
      <c r="EX182" t="str">
        <v>OCHOA SOLEDISPA NESTOR IVAN</v>
      </c>
      <c r="EY182" t="str">
        <v>PARRAGA FRANCO SILVANA MARIELA</v>
      </c>
      <c r="EZ182" t="str">
        <v>PINARGOTE VASQUEZ NANCY FABIOLA</v>
      </c>
      <c r="FA182" t="str">
        <v>REYES VELEZ PEDRO ENRIQUE</v>
      </c>
      <c r="FB182" t="str">
        <v>SAN ANDRES HORMAZA DALLAS CECILIA</v>
      </c>
      <c r="FC182" t="str">
        <v>SORNOZA ZAMORA JUAN CARLOS</v>
      </c>
      <c r="FD182" t="str">
        <v>TOMALA PINTO JESUS JACINTO</v>
      </c>
      <c r="FE182" t="str">
        <v>VALLE JARAMILLO SILVIA ARACELY</v>
      </c>
      <c r="FF182" t="str">
        <v>VELÁSQUEZ BRAVO IRMA KATHERINE</v>
      </c>
      <c r="FG182" t="str">
        <v>VELEZ MENDOZA LAYSY VALERIA</v>
      </c>
      <c r="FH182" t="str">
        <v>VINUEZA TELLO SHIRLEY ELIZABETH</v>
      </c>
      <c r="FI182" t="str">
        <v>ZAMBRANO ALCIVAR NILDA ISABEL</v>
      </c>
      <c r="FJ182" t="str">
        <v>ZAMBRANO LOOR RITA MAYDA</v>
      </c>
      <c r="FK182" t="str">
        <v>ZAMBRANO VERA MONICA JANETH</v>
      </c>
      <c r="FL182" t="str">
        <v>VERA DELGADO BRYAN ADRIÁN</v>
      </c>
      <c r="FM182" t="str">
        <v>MORAN GONZALES DAVID RENATO</v>
      </c>
      <c r="FN182">
        <v>0</v>
      </c>
    </row>
    <row r="183" spans="1:170" ht="20.25" customHeight="1">
      <c r="A183" s="4" t="str" cm="1">
        <f t="array" ref="A183">TRANSPOSE(_xlfn.UNIQUE(_xlfn._xlws.FILTER(MAE_ASIGNATURA[ID_NIVEL],MAE_ASIGNATURA[ID_CARRERA]=ASIGNACION!$C183,"No existe información")))</f>
        <v>No existe información</v>
      </c>
      <c r="S183" s="4" t="str" cm="1">
        <f t="array" ref="S183">TRANSPOSE(_xlfn.UNIQUE(_xlfn._xlws.FILTER(MAE_ASIGNATURA[NOM_ASIG],(MAE_ASIGNATURA[ID_NIVEL]=ASIGNACION!$D183)*(MAE_ASIGNATURA[ID_CARRERA]=ASIGNACION!$C183),"No existe información")))</f>
        <v>No existe información</v>
      </c>
      <c r="BD183" s="4" t="str" cm="1">
        <f t="array" ref="BD183">TRANSPOSE(_xlfn.UNIQUE(_xlfn._xlws.FILTER(DET_ASIG[DETALLADO],(DET_ASIG[ID_CARRERA]=ASIGNACION!$C183)*(DET_ASIG[NIVEL]=ASIGNACION!$D183)*(DET_ASIG[ID_ASIG]=ASIGNACION!$G183),"No existe información")))</f>
        <v>No existe información</v>
      </c>
      <c r="BQ183" s="5" t="str" cm="1">
        <f t="array" ref="BQ183">IFERROR(
    TRANSPOSE(
        _xlfn.UNIQUE(
            _xlfn._xlws.FILTER(MAESTRIA_DETALLADO[MAESTRIA],
                ISNUMBER(MATCH(MAESTRIA_DETALLADO[CAMPO_DETALLADO],
                BD183:BP183,0))
            )
        )
    ),IF(BD183="ACTIVIDAD","DOCENCIA",""))</f>
        <v/>
      </c>
      <c r="EA183" s="5" t="str" cm="1">
        <f t="array" ref="EA183:FN183">IF(
    ASIGNACION!I183="SI",
    IFERROR(
        TRANSPOSE(
            _xlfn.UNIQUE(
                _xlfn._xlws.FILTER(EDU_DOCENTE[NOMBRE_DOCENTE],
                    ISNUMBER(MATCH(EDU_DOCENTE[MAESTRIA],
                    BQ183:DY183,0))
                )
            )
        ),
        ""
    ),
    TRANSPOSE(
        _xlfn.UNIQUE(EDU_DOCENTE[NOMBRE_DOCENTE]
        )
    )
)</f>
        <v>ALCIVAR CEDEÑO BEATRIZ ISABEL</v>
      </c>
      <c r="EB183" t="str">
        <v>ALCIVAR VERA GEMA MICHELLE</v>
      </c>
      <c r="EC183" t="str">
        <v>ARAUZ CHAVEZ MARIO ROBERTO</v>
      </c>
      <c r="ED183" t="str">
        <v>BAILON LOURIDO WALTER ALBERTO</v>
      </c>
      <c r="EE183" t="str">
        <v>CALDERERO VILLAGOMEZ ERICK ANTONIO</v>
      </c>
      <c r="EF183" t="str">
        <v>CASTILLO GARCIA PAOLA GERMANIA</v>
      </c>
      <c r="EG183" t="str">
        <v>CEDEÑO CHOEZ PEDRO JAVIER</v>
      </c>
      <c r="EH183" t="str">
        <v>CEVALLOS HOPPE JUAN CARLOS</v>
      </c>
      <c r="EI183" t="str">
        <v>DELGADO CHAVEZ MARIA IRASEMA</v>
      </c>
      <c r="EJ183" t="str">
        <v>DUARTE VALENCIA CRISTHIAN DARIO</v>
      </c>
      <c r="EK183" t="str">
        <v>FORTTY BARBERAN DENNY ALEXANDER</v>
      </c>
      <c r="EL183" t="str">
        <v>GUTIERREZ ZAMBRANO CARMEN EBELINA</v>
      </c>
      <c r="EM183" t="str">
        <v>INTRIAGO MOLINA GEMA VALERIA</v>
      </c>
      <c r="EN183" t="str">
        <v>LINO VELEZ LEONEL LIVINGTON</v>
      </c>
      <c r="EO183" t="str">
        <v>LOOR ALCIVAR MARIA ILIANA</v>
      </c>
      <c r="EP183" t="str">
        <v>LOOR MIELES TANIA JACQUELINE</v>
      </c>
      <c r="EQ183" t="str">
        <v>LOOR SOLORZANO ROSA MARIA</v>
      </c>
      <c r="ER183" t="str">
        <v>LOPEZ DELGADO RONALD MAURICIO</v>
      </c>
      <c r="ES183" t="str">
        <v>MACIAS VALENCIA DAVID GABRIEL</v>
      </c>
      <c r="ET183" t="str">
        <v>MENDOZA ZAMORA WALTER MANUEL</v>
      </c>
      <c r="EU183" t="str">
        <v>MOLINA CEVALLOS MARIA LORENA</v>
      </c>
      <c r="EV183" t="str">
        <v>MURILLO DELGADO ISAAC GABRIEL</v>
      </c>
      <c r="EW183" t="str">
        <v>ANGULO MURILLO NAVIRA GISSELA</v>
      </c>
      <c r="EX183" t="str">
        <v>OCHOA SOLEDISPA NESTOR IVAN</v>
      </c>
      <c r="EY183" t="str">
        <v>PARRAGA FRANCO SILVANA MARIELA</v>
      </c>
      <c r="EZ183" t="str">
        <v>PINARGOTE VASQUEZ NANCY FABIOLA</v>
      </c>
      <c r="FA183" t="str">
        <v>REYES VELEZ PEDRO ENRIQUE</v>
      </c>
      <c r="FB183" t="str">
        <v>SAN ANDRES HORMAZA DALLAS CECILIA</v>
      </c>
      <c r="FC183" t="str">
        <v>SORNOZA ZAMORA JUAN CARLOS</v>
      </c>
      <c r="FD183" t="str">
        <v>TOMALA PINTO JESUS JACINTO</v>
      </c>
      <c r="FE183" t="str">
        <v>VALLE JARAMILLO SILVIA ARACELY</v>
      </c>
      <c r="FF183" t="str">
        <v>VELÁSQUEZ BRAVO IRMA KATHERINE</v>
      </c>
      <c r="FG183" t="str">
        <v>VELEZ MENDOZA LAYSY VALERIA</v>
      </c>
      <c r="FH183" t="str">
        <v>VINUEZA TELLO SHIRLEY ELIZABETH</v>
      </c>
      <c r="FI183" t="str">
        <v>ZAMBRANO ALCIVAR NILDA ISABEL</v>
      </c>
      <c r="FJ183" t="str">
        <v>ZAMBRANO LOOR RITA MAYDA</v>
      </c>
      <c r="FK183" t="str">
        <v>ZAMBRANO VERA MONICA JANETH</v>
      </c>
      <c r="FL183" t="str">
        <v>VERA DELGADO BRYAN ADRIÁN</v>
      </c>
      <c r="FM183" t="str">
        <v>MORAN GONZALES DAVID RENATO</v>
      </c>
      <c r="FN183">
        <v>0</v>
      </c>
    </row>
    <row r="184" spans="1:170" ht="20.25" customHeight="1">
      <c r="A184" s="4" t="str" cm="1">
        <f t="array" ref="A184">TRANSPOSE(_xlfn.UNIQUE(_xlfn._xlws.FILTER(MAE_ASIGNATURA[ID_NIVEL],MAE_ASIGNATURA[ID_CARRERA]=ASIGNACION!$C184,"No existe información")))</f>
        <v>No existe información</v>
      </c>
      <c r="S184" s="4" t="str" cm="1">
        <f t="array" ref="S184">TRANSPOSE(_xlfn.UNIQUE(_xlfn._xlws.FILTER(MAE_ASIGNATURA[NOM_ASIG],(MAE_ASIGNATURA[ID_NIVEL]=ASIGNACION!$D184)*(MAE_ASIGNATURA[ID_CARRERA]=ASIGNACION!$C184),"No existe información")))</f>
        <v>No existe información</v>
      </c>
      <c r="BD184" s="4" t="str" cm="1">
        <f t="array" ref="BD184">TRANSPOSE(_xlfn.UNIQUE(_xlfn._xlws.FILTER(DET_ASIG[DETALLADO],(DET_ASIG[ID_CARRERA]=ASIGNACION!$C184)*(DET_ASIG[NIVEL]=ASIGNACION!$D184)*(DET_ASIG[ID_ASIG]=ASIGNACION!$G184),"No existe información")))</f>
        <v>No existe información</v>
      </c>
      <c r="BQ184" s="5" t="str" cm="1">
        <f t="array" ref="BQ184">IFERROR(
    TRANSPOSE(
        _xlfn.UNIQUE(
            _xlfn._xlws.FILTER(MAESTRIA_DETALLADO[MAESTRIA],
                ISNUMBER(MATCH(MAESTRIA_DETALLADO[CAMPO_DETALLADO],
                BD184:BP184,0))
            )
        )
    ),IF(BD184="ACTIVIDAD","DOCENCIA",""))</f>
        <v/>
      </c>
      <c r="EA184" s="5" t="str" cm="1">
        <f t="array" ref="EA184:FN184">IF(
    ASIGNACION!I184="SI",
    IFERROR(
        TRANSPOSE(
            _xlfn.UNIQUE(
                _xlfn._xlws.FILTER(EDU_DOCENTE[NOMBRE_DOCENTE],
                    ISNUMBER(MATCH(EDU_DOCENTE[MAESTRIA],
                    BQ184:DY184,0))
                )
            )
        ),
        ""
    ),
    TRANSPOSE(
        _xlfn.UNIQUE(EDU_DOCENTE[NOMBRE_DOCENTE]
        )
    )
)</f>
        <v>ALCIVAR CEDEÑO BEATRIZ ISABEL</v>
      </c>
      <c r="EB184" t="str">
        <v>ALCIVAR VERA GEMA MICHELLE</v>
      </c>
      <c r="EC184" t="str">
        <v>ARAUZ CHAVEZ MARIO ROBERTO</v>
      </c>
      <c r="ED184" t="str">
        <v>BAILON LOURIDO WALTER ALBERTO</v>
      </c>
      <c r="EE184" t="str">
        <v>CALDERERO VILLAGOMEZ ERICK ANTONIO</v>
      </c>
      <c r="EF184" t="str">
        <v>CASTILLO GARCIA PAOLA GERMANIA</v>
      </c>
      <c r="EG184" t="str">
        <v>CEDEÑO CHOEZ PEDRO JAVIER</v>
      </c>
      <c r="EH184" t="str">
        <v>CEVALLOS HOPPE JUAN CARLOS</v>
      </c>
      <c r="EI184" t="str">
        <v>DELGADO CHAVEZ MARIA IRASEMA</v>
      </c>
      <c r="EJ184" t="str">
        <v>DUARTE VALENCIA CRISTHIAN DARIO</v>
      </c>
      <c r="EK184" t="str">
        <v>FORTTY BARBERAN DENNY ALEXANDER</v>
      </c>
      <c r="EL184" t="str">
        <v>GUTIERREZ ZAMBRANO CARMEN EBELINA</v>
      </c>
      <c r="EM184" t="str">
        <v>INTRIAGO MOLINA GEMA VALERIA</v>
      </c>
      <c r="EN184" t="str">
        <v>LINO VELEZ LEONEL LIVINGTON</v>
      </c>
      <c r="EO184" t="str">
        <v>LOOR ALCIVAR MARIA ILIANA</v>
      </c>
      <c r="EP184" t="str">
        <v>LOOR MIELES TANIA JACQUELINE</v>
      </c>
      <c r="EQ184" t="str">
        <v>LOOR SOLORZANO ROSA MARIA</v>
      </c>
      <c r="ER184" t="str">
        <v>LOPEZ DELGADO RONALD MAURICIO</v>
      </c>
      <c r="ES184" t="str">
        <v>MACIAS VALENCIA DAVID GABRIEL</v>
      </c>
      <c r="ET184" t="str">
        <v>MENDOZA ZAMORA WALTER MANUEL</v>
      </c>
      <c r="EU184" t="str">
        <v>MOLINA CEVALLOS MARIA LORENA</v>
      </c>
      <c r="EV184" t="str">
        <v>MURILLO DELGADO ISAAC GABRIEL</v>
      </c>
      <c r="EW184" t="str">
        <v>ANGULO MURILLO NAVIRA GISSELA</v>
      </c>
      <c r="EX184" t="str">
        <v>OCHOA SOLEDISPA NESTOR IVAN</v>
      </c>
      <c r="EY184" t="str">
        <v>PARRAGA FRANCO SILVANA MARIELA</v>
      </c>
      <c r="EZ184" t="str">
        <v>PINARGOTE VASQUEZ NANCY FABIOLA</v>
      </c>
      <c r="FA184" t="str">
        <v>REYES VELEZ PEDRO ENRIQUE</v>
      </c>
      <c r="FB184" t="str">
        <v>SAN ANDRES HORMAZA DALLAS CECILIA</v>
      </c>
      <c r="FC184" t="str">
        <v>SORNOZA ZAMORA JUAN CARLOS</v>
      </c>
      <c r="FD184" t="str">
        <v>TOMALA PINTO JESUS JACINTO</v>
      </c>
      <c r="FE184" t="str">
        <v>VALLE JARAMILLO SILVIA ARACELY</v>
      </c>
      <c r="FF184" t="str">
        <v>VELÁSQUEZ BRAVO IRMA KATHERINE</v>
      </c>
      <c r="FG184" t="str">
        <v>VELEZ MENDOZA LAYSY VALERIA</v>
      </c>
      <c r="FH184" t="str">
        <v>VINUEZA TELLO SHIRLEY ELIZABETH</v>
      </c>
      <c r="FI184" t="str">
        <v>ZAMBRANO ALCIVAR NILDA ISABEL</v>
      </c>
      <c r="FJ184" t="str">
        <v>ZAMBRANO LOOR RITA MAYDA</v>
      </c>
      <c r="FK184" t="str">
        <v>ZAMBRANO VERA MONICA JANETH</v>
      </c>
      <c r="FL184" t="str">
        <v>VERA DELGADO BRYAN ADRIÁN</v>
      </c>
      <c r="FM184" t="str">
        <v>MORAN GONZALES DAVID RENATO</v>
      </c>
      <c r="FN184">
        <v>0</v>
      </c>
    </row>
    <row r="185" spans="1:170" ht="20.25" customHeight="1">
      <c r="A185" s="4" t="str" cm="1">
        <f t="array" ref="A185">TRANSPOSE(_xlfn.UNIQUE(_xlfn._xlws.FILTER(MAE_ASIGNATURA[ID_NIVEL],MAE_ASIGNATURA[ID_CARRERA]=ASIGNACION!$C185,"No existe información")))</f>
        <v>No existe información</v>
      </c>
      <c r="S185" s="4" t="str" cm="1">
        <f t="array" ref="S185">TRANSPOSE(_xlfn.UNIQUE(_xlfn._xlws.FILTER(MAE_ASIGNATURA[NOM_ASIG],(MAE_ASIGNATURA[ID_NIVEL]=ASIGNACION!$D185)*(MAE_ASIGNATURA[ID_CARRERA]=ASIGNACION!$C185),"No existe información")))</f>
        <v>No existe información</v>
      </c>
      <c r="BD185" s="4" t="str" cm="1">
        <f t="array" ref="BD185">TRANSPOSE(_xlfn.UNIQUE(_xlfn._xlws.FILTER(DET_ASIG[DETALLADO],(DET_ASIG[ID_CARRERA]=ASIGNACION!$C185)*(DET_ASIG[NIVEL]=ASIGNACION!$D185)*(DET_ASIG[ID_ASIG]=ASIGNACION!$G185),"No existe información")))</f>
        <v>No existe información</v>
      </c>
      <c r="BQ185" s="5" t="str" cm="1">
        <f t="array" ref="BQ185">IFERROR(
    TRANSPOSE(
        _xlfn.UNIQUE(
            _xlfn._xlws.FILTER(MAESTRIA_DETALLADO[MAESTRIA],
                ISNUMBER(MATCH(MAESTRIA_DETALLADO[CAMPO_DETALLADO],
                BD185:BP185,0))
            )
        )
    ),IF(BD185="ACTIVIDAD","DOCENCIA",""))</f>
        <v/>
      </c>
      <c r="EA185" s="5" t="str" cm="1">
        <f t="array" ref="EA185:FN185">IF(
    ASIGNACION!I185="SI",
    IFERROR(
        TRANSPOSE(
            _xlfn.UNIQUE(
                _xlfn._xlws.FILTER(EDU_DOCENTE[NOMBRE_DOCENTE],
                    ISNUMBER(MATCH(EDU_DOCENTE[MAESTRIA],
                    BQ185:DY185,0))
                )
            )
        ),
        ""
    ),
    TRANSPOSE(
        _xlfn.UNIQUE(EDU_DOCENTE[NOMBRE_DOCENTE]
        )
    )
)</f>
        <v>ALCIVAR CEDEÑO BEATRIZ ISABEL</v>
      </c>
      <c r="EB185" t="str">
        <v>ALCIVAR VERA GEMA MICHELLE</v>
      </c>
      <c r="EC185" t="str">
        <v>ARAUZ CHAVEZ MARIO ROBERTO</v>
      </c>
      <c r="ED185" t="str">
        <v>BAILON LOURIDO WALTER ALBERTO</v>
      </c>
      <c r="EE185" t="str">
        <v>CALDERERO VILLAGOMEZ ERICK ANTONIO</v>
      </c>
      <c r="EF185" t="str">
        <v>CASTILLO GARCIA PAOLA GERMANIA</v>
      </c>
      <c r="EG185" t="str">
        <v>CEDEÑO CHOEZ PEDRO JAVIER</v>
      </c>
      <c r="EH185" t="str">
        <v>CEVALLOS HOPPE JUAN CARLOS</v>
      </c>
      <c r="EI185" t="str">
        <v>DELGADO CHAVEZ MARIA IRASEMA</v>
      </c>
      <c r="EJ185" t="str">
        <v>DUARTE VALENCIA CRISTHIAN DARIO</v>
      </c>
      <c r="EK185" t="str">
        <v>FORTTY BARBERAN DENNY ALEXANDER</v>
      </c>
      <c r="EL185" t="str">
        <v>GUTIERREZ ZAMBRANO CARMEN EBELINA</v>
      </c>
      <c r="EM185" t="str">
        <v>INTRIAGO MOLINA GEMA VALERIA</v>
      </c>
      <c r="EN185" t="str">
        <v>LINO VELEZ LEONEL LIVINGTON</v>
      </c>
      <c r="EO185" t="str">
        <v>LOOR ALCIVAR MARIA ILIANA</v>
      </c>
      <c r="EP185" t="str">
        <v>LOOR MIELES TANIA JACQUELINE</v>
      </c>
      <c r="EQ185" t="str">
        <v>LOOR SOLORZANO ROSA MARIA</v>
      </c>
      <c r="ER185" t="str">
        <v>LOPEZ DELGADO RONALD MAURICIO</v>
      </c>
      <c r="ES185" t="str">
        <v>MACIAS VALENCIA DAVID GABRIEL</v>
      </c>
      <c r="ET185" t="str">
        <v>MENDOZA ZAMORA WALTER MANUEL</v>
      </c>
      <c r="EU185" t="str">
        <v>MOLINA CEVALLOS MARIA LORENA</v>
      </c>
      <c r="EV185" t="str">
        <v>MURILLO DELGADO ISAAC GABRIEL</v>
      </c>
      <c r="EW185" t="str">
        <v>ANGULO MURILLO NAVIRA GISSELA</v>
      </c>
      <c r="EX185" t="str">
        <v>OCHOA SOLEDISPA NESTOR IVAN</v>
      </c>
      <c r="EY185" t="str">
        <v>PARRAGA FRANCO SILVANA MARIELA</v>
      </c>
      <c r="EZ185" t="str">
        <v>PINARGOTE VASQUEZ NANCY FABIOLA</v>
      </c>
      <c r="FA185" t="str">
        <v>REYES VELEZ PEDRO ENRIQUE</v>
      </c>
      <c r="FB185" t="str">
        <v>SAN ANDRES HORMAZA DALLAS CECILIA</v>
      </c>
      <c r="FC185" t="str">
        <v>SORNOZA ZAMORA JUAN CARLOS</v>
      </c>
      <c r="FD185" t="str">
        <v>TOMALA PINTO JESUS JACINTO</v>
      </c>
      <c r="FE185" t="str">
        <v>VALLE JARAMILLO SILVIA ARACELY</v>
      </c>
      <c r="FF185" t="str">
        <v>VELÁSQUEZ BRAVO IRMA KATHERINE</v>
      </c>
      <c r="FG185" t="str">
        <v>VELEZ MENDOZA LAYSY VALERIA</v>
      </c>
      <c r="FH185" t="str">
        <v>VINUEZA TELLO SHIRLEY ELIZABETH</v>
      </c>
      <c r="FI185" t="str">
        <v>ZAMBRANO ALCIVAR NILDA ISABEL</v>
      </c>
      <c r="FJ185" t="str">
        <v>ZAMBRANO LOOR RITA MAYDA</v>
      </c>
      <c r="FK185" t="str">
        <v>ZAMBRANO VERA MONICA JANETH</v>
      </c>
      <c r="FL185" t="str">
        <v>VERA DELGADO BRYAN ADRIÁN</v>
      </c>
      <c r="FM185" t="str">
        <v>MORAN GONZALES DAVID RENATO</v>
      </c>
      <c r="FN185">
        <v>0</v>
      </c>
    </row>
    <row r="186" spans="1:170" ht="20.25" customHeight="1">
      <c r="A186" s="4" t="str" cm="1">
        <f t="array" ref="A186">TRANSPOSE(_xlfn.UNIQUE(_xlfn._xlws.FILTER(MAE_ASIGNATURA[ID_NIVEL],MAE_ASIGNATURA[ID_CARRERA]=ASIGNACION!$C186,"No existe información")))</f>
        <v>No existe información</v>
      </c>
      <c r="S186" s="4" t="str" cm="1">
        <f t="array" ref="S186">TRANSPOSE(_xlfn.UNIQUE(_xlfn._xlws.FILTER(MAE_ASIGNATURA[NOM_ASIG],(MAE_ASIGNATURA[ID_NIVEL]=ASIGNACION!$D186)*(MAE_ASIGNATURA[ID_CARRERA]=ASIGNACION!$C186),"No existe información")))</f>
        <v>No existe información</v>
      </c>
      <c r="BD186" s="4" t="str" cm="1">
        <f t="array" ref="BD186">TRANSPOSE(_xlfn.UNIQUE(_xlfn._xlws.FILTER(DET_ASIG[DETALLADO],(DET_ASIG[ID_CARRERA]=ASIGNACION!$C186)*(DET_ASIG[NIVEL]=ASIGNACION!$D186)*(DET_ASIG[ID_ASIG]=ASIGNACION!$G186),"No existe información")))</f>
        <v>No existe información</v>
      </c>
      <c r="BQ186" s="5" t="str" cm="1">
        <f t="array" ref="BQ186">IFERROR(
    TRANSPOSE(
        _xlfn.UNIQUE(
            _xlfn._xlws.FILTER(MAESTRIA_DETALLADO[MAESTRIA],
                ISNUMBER(MATCH(MAESTRIA_DETALLADO[CAMPO_DETALLADO],
                BD186:BP186,0))
            )
        )
    ),IF(BD186="ACTIVIDAD","DOCENCIA",""))</f>
        <v/>
      </c>
      <c r="EA186" s="5" t="str" cm="1">
        <f t="array" ref="EA186:FN186">IF(
    ASIGNACION!I186="SI",
    IFERROR(
        TRANSPOSE(
            _xlfn.UNIQUE(
                _xlfn._xlws.FILTER(EDU_DOCENTE[NOMBRE_DOCENTE],
                    ISNUMBER(MATCH(EDU_DOCENTE[MAESTRIA],
                    BQ186:DY186,0))
                )
            )
        ),
        ""
    ),
    TRANSPOSE(
        _xlfn.UNIQUE(EDU_DOCENTE[NOMBRE_DOCENTE]
        )
    )
)</f>
        <v>ALCIVAR CEDEÑO BEATRIZ ISABEL</v>
      </c>
      <c r="EB186" t="str">
        <v>ALCIVAR VERA GEMA MICHELLE</v>
      </c>
      <c r="EC186" t="str">
        <v>ARAUZ CHAVEZ MARIO ROBERTO</v>
      </c>
      <c r="ED186" t="str">
        <v>BAILON LOURIDO WALTER ALBERTO</v>
      </c>
      <c r="EE186" t="str">
        <v>CALDERERO VILLAGOMEZ ERICK ANTONIO</v>
      </c>
      <c r="EF186" t="str">
        <v>CASTILLO GARCIA PAOLA GERMANIA</v>
      </c>
      <c r="EG186" t="str">
        <v>CEDEÑO CHOEZ PEDRO JAVIER</v>
      </c>
      <c r="EH186" t="str">
        <v>CEVALLOS HOPPE JUAN CARLOS</v>
      </c>
      <c r="EI186" t="str">
        <v>DELGADO CHAVEZ MARIA IRASEMA</v>
      </c>
      <c r="EJ186" t="str">
        <v>DUARTE VALENCIA CRISTHIAN DARIO</v>
      </c>
      <c r="EK186" t="str">
        <v>FORTTY BARBERAN DENNY ALEXANDER</v>
      </c>
      <c r="EL186" t="str">
        <v>GUTIERREZ ZAMBRANO CARMEN EBELINA</v>
      </c>
      <c r="EM186" t="str">
        <v>INTRIAGO MOLINA GEMA VALERIA</v>
      </c>
      <c r="EN186" t="str">
        <v>LINO VELEZ LEONEL LIVINGTON</v>
      </c>
      <c r="EO186" t="str">
        <v>LOOR ALCIVAR MARIA ILIANA</v>
      </c>
      <c r="EP186" t="str">
        <v>LOOR MIELES TANIA JACQUELINE</v>
      </c>
      <c r="EQ186" t="str">
        <v>LOOR SOLORZANO ROSA MARIA</v>
      </c>
      <c r="ER186" t="str">
        <v>LOPEZ DELGADO RONALD MAURICIO</v>
      </c>
      <c r="ES186" t="str">
        <v>MACIAS VALENCIA DAVID GABRIEL</v>
      </c>
      <c r="ET186" t="str">
        <v>MENDOZA ZAMORA WALTER MANUEL</v>
      </c>
      <c r="EU186" t="str">
        <v>MOLINA CEVALLOS MARIA LORENA</v>
      </c>
      <c r="EV186" t="str">
        <v>MURILLO DELGADO ISAAC GABRIEL</v>
      </c>
      <c r="EW186" t="str">
        <v>ANGULO MURILLO NAVIRA GISSELA</v>
      </c>
      <c r="EX186" t="str">
        <v>OCHOA SOLEDISPA NESTOR IVAN</v>
      </c>
      <c r="EY186" t="str">
        <v>PARRAGA FRANCO SILVANA MARIELA</v>
      </c>
      <c r="EZ186" t="str">
        <v>PINARGOTE VASQUEZ NANCY FABIOLA</v>
      </c>
      <c r="FA186" t="str">
        <v>REYES VELEZ PEDRO ENRIQUE</v>
      </c>
      <c r="FB186" t="str">
        <v>SAN ANDRES HORMAZA DALLAS CECILIA</v>
      </c>
      <c r="FC186" t="str">
        <v>SORNOZA ZAMORA JUAN CARLOS</v>
      </c>
      <c r="FD186" t="str">
        <v>TOMALA PINTO JESUS JACINTO</v>
      </c>
      <c r="FE186" t="str">
        <v>VALLE JARAMILLO SILVIA ARACELY</v>
      </c>
      <c r="FF186" t="str">
        <v>VELÁSQUEZ BRAVO IRMA KATHERINE</v>
      </c>
      <c r="FG186" t="str">
        <v>VELEZ MENDOZA LAYSY VALERIA</v>
      </c>
      <c r="FH186" t="str">
        <v>VINUEZA TELLO SHIRLEY ELIZABETH</v>
      </c>
      <c r="FI186" t="str">
        <v>ZAMBRANO ALCIVAR NILDA ISABEL</v>
      </c>
      <c r="FJ186" t="str">
        <v>ZAMBRANO LOOR RITA MAYDA</v>
      </c>
      <c r="FK186" t="str">
        <v>ZAMBRANO VERA MONICA JANETH</v>
      </c>
      <c r="FL186" t="str">
        <v>VERA DELGADO BRYAN ADRIÁN</v>
      </c>
      <c r="FM186" t="str">
        <v>MORAN GONZALES DAVID RENATO</v>
      </c>
      <c r="FN186">
        <v>0</v>
      </c>
    </row>
    <row r="187" spans="1:170" ht="20.25" customHeight="1">
      <c r="A187" s="4" t="str" cm="1">
        <f t="array" ref="A187">TRANSPOSE(_xlfn.UNIQUE(_xlfn._xlws.FILTER(MAE_ASIGNATURA[ID_NIVEL],MAE_ASIGNATURA[ID_CARRERA]=ASIGNACION!$C187,"No existe información")))</f>
        <v>No existe información</v>
      </c>
      <c r="S187" s="4" t="str" cm="1">
        <f t="array" ref="S187">TRANSPOSE(_xlfn.UNIQUE(_xlfn._xlws.FILTER(MAE_ASIGNATURA[NOM_ASIG],(MAE_ASIGNATURA[ID_NIVEL]=ASIGNACION!$D187)*(MAE_ASIGNATURA[ID_CARRERA]=ASIGNACION!$C187),"No existe información")))</f>
        <v>No existe información</v>
      </c>
      <c r="BD187" s="4" t="str" cm="1">
        <f t="array" ref="BD187">TRANSPOSE(_xlfn.UNIQUE(_xlfn._xlws.FILTER(DET_ASIG[DETALLADO],(DET_ASIG[ID_CARRERA]=ASIGNACION!$C187)*(DET_ASIG[NIVEL]=ASIGNACION!$D187)*(DET_ASIG[ID_ASIG]=ASIGNACION!$G187),"No existe información")))</f>
        <v>No existe información</v>
      </c>
      <c r="BQ187" s="5" t="str" cm="1">
        <f t="array" ref="BQ187">IFERROR(
    TRANSPOSE(
        _xlfn.UNIQUE(
            _xlfn._xlws.FILTER(MAESTRIA_DETALLADO[MAESTRIA],
                ISNUMBER(MATCH(MAESTRIA_DETALLADO[CAMPO_DETALLADO],
                BD187:BP187,0))
            )
        )
    ),IF(BD187="ACTIVIDAD","DOCENCIA",""))</f>
        <v/>
      </c>
      <c r="EA187" s="5" t="str" cm="1">
        <f t="array" ref="EA187:FN187">IF(
    ASIGNACION!I187="SI",
    IFERROR(
        TRANSPOSE(
            _xlfn.UNIQUE(
                _xlfn._xlws.FILTER(EDU_DOCENTE[NOMBRE_DOCENTE],
                    ISNUMBER(MATCH(EDU_DOCENTE[MAESTRIA],
                    BQ187:DY187,0))
                )
            )
        ),
        ""
    ),
    TRANSPOSE(
        _xlfn.UNIQUE(EDU_DOCENTE[NOMBRE_DOCENTE]
        )
    )
)</f>
        <v>ALCIVAR CEDEÑO BEATRIZ ISABEL</v>
      </c>
      <c r="EB187" t="str">
        <v>ALCIVAR VERA GEMA MICHELLE</v>
      </c>
      <c r="EC187" t="str">
        <v>ARAUZ CHAVEZ MARIO ROBERTO</v>
      </c>
      <c r="ED187" t="str">
        <v>BAILON LOURIDO WALTER ALBERTO</v>
      </c>
      <c r="EE187" t="str">
        <v>CALDERERO VILLAGOMEZ ERICK ANTONIO</v>
      </c>
      <c r="EF187" t="str">
        <v>CASTILLO GARCIA PAOLA GERMANIA</v>
      </c>
      <c r="EG187" t="str">
        <v>CEDEÑO CHOEZ PEDRO JAVIER</v>
      </c>
      <c r="EH187" t="str">
        <v>CEVALLOS HOPPE JUAN CARLOS</v>
      </c>
      <c r="EI187" t="str">
        <v>DELGADO CHAVEZ MARIA IRASEMA</v>
      </c>
      <c r="EJ187" t="str">
        <v>DUARTE VALENCIA CRISTHIAN DARIO</v>
      </c>
      <c r="EK187" t="str">
        <v>FORTTY BARBERAN DENNY ALEXANDER</v>
      </c>
      <c r="EL187" t="str">
        <v>GUTIERREZ ZAMBRANO CARMEN EBELINA</v>
      </c>
      <c r="EM187" t="str">
        <v>INTRIAGO MOLINA GEMA VALERIA</v>
      </c>
      <c r="EN187" t="str">
        <v>LINO VELEZ LEONEL LIVINGTON</v>
      </c>
      <c r="EO187" t="str">
        <v>LOOR ALCIVAR MARIA ILIANA</v>
      </c>
      <c r="EP187" t="str">
        <v>LOOR MIELES TANIA JACQUELINE</v>
      </c>
      <c r="EQ187" t="str">
        <v>LOOR SOLORZANO ROSA MARIA</v>
      </c>
      <c r="ER187" t="str">
        <v>LOPEZ DELGADO RONALD MAURICIO</v>
      </c>
      <c r="ES187" t="str">
        <v>MACIAS VALENCIA DAVID GABRIEL</v>
      </c>
      <c r="ET187" t="str">
        <v>MENDOZA ZAMORA WALTER MANUEL</v>
      </c>
      <c r="EU187" t="str">
        <v>MOLINA CEVALLOS MARIA LORENA</v>
      </c>
      <c r="EV187" t="str">
        <v>MURILLO DELGADO ISAAC GABRIEL</v>
      </c>
      <c r="EW187" t="str">
        <v>ANGULO MURILLO NAVIRA GISSELA</v>
      </c>
      <c r="EX187" t="str">
        <v>OCHOA SOLEDISPA NESTOR IVAN</v>
      </c>
      <c r="EY187" t="str">
        <v>PARRAGA FRANCO SILVANA MARIELA</v>
      </c>
      <c r="EZ187" t="str">
        <v>PINARGOTE VASQUEZ NANCY FABIOLA</v>
      </c>
      <c r="FA187" t="str">
        <v>REYES VELEZ PEDRO ENRIQUE</v>
      </c>
      <c r="FB187" t="str">
        <v>SAN ANDRES HORMAZA DALLAS CECILIA</v>
      </c>
      <c r="FC187" t="str">
        <v>SORNOZA ZAMORA JUAN CARLOS</v>
      </c>
      <c r="FD187" t="str">
        <v>TOMALA PINTO JESUS JACINTO</v>
      </c>
      <c r="FE187" t="str">
        <v>VALLE JARAMILLO SILVIA ARACELY</v>
      </c>
      <c r="FF187" t="str">
        <v>VELÁSQUEZ BRAVO IRMA KATHERINE</v>
      </c>
      <c r="FG187" t="str">
        <v>VELEZ MENDOZA LAYSY VALERIA</v>
      </c>
      <c r="FH187" t="str">
        <v>VINUEZA TELLO SHIRLEY ELIZABETH</v>
      </c>
      <c r="FI187" t="str">
        <v>ZAMBRANO ALCIVAR NILDA ISABEL</v>
      </c>
      <c r="FJ187" t="str">
        <v>ZAMBRANO LOOR RITA MAYDA</v>
      </c>
      <c r="FK187" t="str">
        <v>ZAMBRANO VERA MONICA JANETH</v>
      </c>
      <c r="FL187" t="str">
        <v>VERA DELGADO BRYAN ADRIÁN</v>
      </c>
      <c r="FM187" t="str">
        <v>MORAN GONZALES DAVID RENATO</v>
      </c>
      <c r="FN187">
        <v>0</v>
      </c>
    </row>
    <row r="188" spans="1:170" ht="20.25" customHeight="1">
      <c r="A188" s="4" t="str" cm="1">
        <f t="array" ref="A188">TRANSPOSE(_xlfn.UNIQUE(_xlfn._xlws.FILTER(MAE_ASIGNATURA[ID_NIVEL],MAE_ASIGNATURA[ID_CARRERA]=ASIGNACION!$C188,"No existe información")))</f>
        <v>No existe información</v>
      </c>
      <c r="S188" s="4" t="str" cm="1">
        <f t="array" ref="S188">TRANSPOSE(_xlfn.UNIQUE(_xlfn._xlws.FILTER(MAE_ASIGNATURA[NOM_ASIG],(MAE_ASIGNATURA[ID_NIVEL]=ASIGNACION!$D188)*(MAE_ASIGNATURA[ID_CARRERA]=ASIGNACION!$C188),"No existe información")))</f>
        <v>No existe información</v>
      </c>
      <c r="BD188" s="4" t="str" cm="1">
        <f t="array" ref="BD188">TRANSPOSE(_xlfn.UNIQUE(_xlfn._xlws.FILTER(DET_ASIG[DETALLADO],(DET_ASIG[ID_CARRERA]=ASIGNACION!$C188)*(DET_ASIG[NIVEL]=ASIGNACION!$D188)*(DET_ASIG[ID_ASIG]=ASIGNACION!$G188),"No existe información")))</f>
        <v>No existe información</v>
      </c>
      <c r="BQ188" s="5" t="str" cm="1">
        <f t="array" ref="BQ188">IFERROR(
    TRANSPOSE(
        _xlfn.UNIQUE(
            _xlfn._xlws.FILTER(MAESTRIA_DETALLADO[MAESTRIA],
                ISNUMBER(MATCH(MAESTRIA_DETALLADO[CAMPO_DETALLADO],
                BD188:BP188,0))
            )
        )
    ),IF(BD188="ACTIVIDAD","DOCENCIA",""))</f>
        <v/>
      </c>
      <c r="EA188" s="5" t="str" cm="1">
        <f t="array" ref="EA188:FN188">IF(
    ASIGNACION!I188="SI",
    IFERROR(
        TRANSPOSE(
            _xlfn.UNIQUE(
                _xlfn._xlws.FILTER(EDU_DOCENTE[NOMBRE_DOCENTE],
                    ISNUMBER(MATCH(EDU_DOCENTE[MAESTRIA],
                    BQ188:DY188,0))
                )
            )
        ),
        ""
    ),
    TRANSPOSE(
        _xlfn.UNIQUE(EDU_DOCENTE[NOMBRE_DOCENTE]
        )
    )
)</f>
        <v>ALCIVAR CEDEÑO BEATRIZ ISABEL</v>
      </c>
      <c r="EB188" t="str">
        <v>ALCIVAR VERA GEMA MICHELLE</v>
      </c>
      <c r="EC188" t="str">
        <v>ARAUZ CHAVEZ MARIO ROBERTO</v>
      </c>
      <c r="ED188" t="str">
        <v>BAILON LOURIDO WALTER ALBERTO</v>
      </c>
      <c r="EE188" t="str">
        <v>CALDERERO VILLAGOMEZ ERICK ANTONIO</v>
      </c>
      <c r="EF188" t="str">
        <v>CASTILLO GARCIA PAOLA GERMANIA</v>
      </c>
      <c r="EG188" t="str">
        <v>CEDEÑO CHOEZ PEDRO JAVIER</v>
      </c>
      <c r="EH188" t="str">
        <v>CEVALLOS HOPPE JUAN CARLOS</v>
      </c>
      <c r="EI188" t="str">
        <v>DELGADO CHAVEZ MARIA IRASEMA</v>
      </c>
      <c r="EJ188" t="str">
        <v>DUARTE VALENCIA CRISTHIAN DARIO</v>
      </c>
      <c r="EK188" t="str">
        <v>FORTTY BARBERAN DENNY ALEXANDER</v>
      </c>
      <c r="EL188" t="str">
        <v>GUTIERREZ ZAMBRANO CARMEN EBELINA</v>
      </c>
      <c r="EM188" t="str">
        <v>INTRIAGO MOLINA GEMA VALERIA</v>
      </c>
      <c r="EN188" t="str">
        <v>LINO VELEZ LEONEL LIVINGTON</v>
      </c>
      <c r="EO188" t="str">
        <v>LOOR ALCIVAR MARIA ILIANA</v>
      </c>
      <c r="EP188" t="str">
        <v>LOOR MIELES TANIA JACQUELINE</v>
      </c>
      <c r="EQ188" t="str">
        <v>LOOR SOLORZANO ROSA MARIA</v>
      </c>
      <c r="ER188" t="str">
        <v>LOPEZ DELGADO RONALD MAURICIO</v>
      </c>
      <c r="ES188" t="str">
        <v>MACIAS VALENCIA DAVID GABRIEL</v>
      </c>
      <c r="ET188" t="str">
        <v>MENDOZA ZAMORA WALTER MANUEL</v>
      </c>
      <c r="EU188" t="str">
        <v>MOLINA CEVALLOS MARIA LORENA</v>
      </c>
      <c r="EV188" t="str">
        <v>MURILLO DELGADO ISAAC GABRIEL</v>
      </c>
      <c r="EW188" t="str">
        <v>ANGULO MURILLO NAVIRA GISSELA</v>
      </c>
      <c r="EX188" t="str">
        <v>OCHOA SOLEDISPA NESTOR IVAN</v>
      </c>
      <c r="EY188" t="str">
        <v>PARRAGA FRANCO SILVANA MARIELA</v>
      </c>
      <c r="EZ188" t="str">
        <v>PINARGOTE VASQUEZ NANCY FABIOLA</v>
      </c>
      <c r="FA188" t="str">
        <v>REYES VELEZ PEDRO ENRIQUE</v>
      </c>
      <c r="FB188" t="str">
        <v>SAN ANDRES HORMAZA DALLAS CECILIA</v>
      </c>
      <c r="FC188" t="str">
        <v>SORNOZA ZAMORA JUAN CARLOS</v>
      </c>
      <c r="FD188" t="str">
        <v>TOMALA PINTO JESUS JACINTO</v>
      </c>
      <c r="FE188" t="str">
        <v>VALLE JARAMILLO SILVIA ARACELY</v>
      </c>
      <c r="FF188" t="str">
        <v>VELÁSQUEZ BRAVO IRMA KATHERINE</v>
      </c>
      <c r="FG188" t="str">
        <v>VELEZ MENDOZA LAYSY VALERIA</v>
      </c>
      <c r="FH188" t="str">
        <v>VINUEZA TELLO SHIRLEY ELIZABETH</v>
      </c>
      <c r="FI188" t="str">
        <v>ZAMBRANO ALCIVAR NILDA ISABEL</v>
      </c>
      <c r="FJ188" t="str">
        <v>ZAMBRANO LOOR RITA MAYDA</v>
      </c>
      <c r="FK188" t="str">
        <v>ZAMBRANO VERA MONICA JANETH</v>
      </c>
      <c r="FL188" t="str">
        <v>VERA DELGADO BRYAN ADRIÁN</v>
      </c>
      <c r="FM188" t="str">
        <v>MORAN GONZALES DAVID RENATO</v>
      </c>
      <c r="FN188">
        <v>0</v>
      </c>
    </row>
    <row r="189" spans="1:170" ht="20.25" customHeight="1">
      <c r="A189" s="4" t="str" cm="1">
        <f t="array" ref="A189">TRANSPOSE(_xlfn.UNIQUE(_xlfn._xlws.FILTER(MAE_ASIGNATURA[ID_NIVEL],MAE_ASIGNATURA[ID_CARRERA]=ASIGNACION!$C189,"No existe información")))</f>
        <v>No existe información</v>
      </c>
      <c r="S189" s="4" t="str" cm="1">
        <f t="array" ref="S189">TRANSPOSE(_xlfn.UNIQUE(_xlfn._xlws.FILTER(MAE_ASIGNATURA[NOM_ASIG],(MAE_ASIGNATURA[ID_NIVEL]=ASIGNACION!$D189)*(MAE_ASIGNATURA[ID_CARRERA]=ASIGNACION!$C189),"No existe información")))</f>
        <v>No existe información</v>
      </c>
      <c r="BD189" s="4" t="str" cm="1">
        <f t="array" ref="BD189">TRANSPOSE(_xlfn.UNIQUE(_xlfn._xlws.FILTER(DET_ASIG[DETALLADO],(DET_ASIG[ID_CARRERA]=ASIGNACION!$C189)*(DET_ASIG[NIVEL]=ASIGNACION!$D189)*(DET_ASIG[ID_ASIG]=ASIGNACION!$G189),"No existe información")))</f>
        <v>No existe información</v>
      </c>
      <c r="BQ189" s="5" t="str" cm="1">
        <f t="array" ref="BQ189">IFERROR(
    TRANSPOSE(
        _xlfn.UNIQUE(
            _xlfn._xlws.FILTER(MAESTRIA_DETALLADO[MAESTRIA],
                ISNUMBER(MATCH(MAESTRIA_DETALLADO[CAMPO_DETALLADO],
                BD189:BP189,0))
            )
        )
    ),IF(BD189="ACTIVIDAD","DOCENCIA",""))</f>
        <v/>
      </c>
      <c r="EA189" s="5" t="str" cm="1">
        <f t="array" ref="EA189:FN189">IF(
    ASIGNACION!I189="SI",
    IFERROR(
        TRANSPOSE(
            _xlfn.UNIQUE(
                _xlfn._xlws.FILTER(EDU_DOCENTE[NOMBRE_DOCENTE],
                    ISNUMBER(MATCH(EDU_DOCENTE[MAESTRIA],
                    BQ189:DY189,0))
                )
            )
        ),
        ""
    ),
    TRANSPOSE(
        _xlfn.UNIQUE(EDU_DOCENTE[NOMBRE_DOCENTE]
        )
    )
)</f>
        <v>ALCIVAR CEDEÑO BEATRIZ ISABEL</v>
      </c>
      <c r="EB189" t="str">
        <v>ALCIVAR VERA GEMA MICHELLE</v>
      </c>
      <c r="EC189" t="str">
        <v>ARAUZ CHAVEZ MARIO ROBERTO</v>
      </c>
      <c r="ED189" t="str">
        <v>BAILON LOURIDO WALTER ALBERTO</v>
      </c>
      <c r="EE189" t="str">
        <v>CALDERERO VILLAGOMEZ ERICK ANTONIO</v>
      </c>
      <c r="EF189" t="str">
        <v>CASTILLO GARCIA PAOLA GERMANIA</v>
      </c>
      <c r="EG189" t="str">
        <v>CEDEÑO CHOEZ PEDRO JAVIER</v>
      </c>
      <c r="EH189" t="str">
        <v>CEVALLOS HOPPE JUAN CARLOS</v>
      </c>
      <c r="EI189" t="str">
        <v>DELGADO CHAVEZ MARIA IRASEMA</v>
      </c>
      <c r="EJ189" t="str">
        <v>DUARTE VALENCIA CRISTHIAN DARIO</v>
      </c>
      <c r="EK189" t="str">
        <v>FORTTY BARBERAN DENNY ALEXANDER</v>
      </c>
      <c r="EL189" t="str">
        <v>GUTIERREZ ZAMBRANO CARMEN EBELINA</v>
      </c>
      <c r="EM189" t="str">
        <v>INTRIAGO MOLINA GEMA VALERIA</v>
      </c>
      <c r="EN189" t="str">
        <v>LINO VELEZ LEONEL LIVINGTON</v>
      </c>
      <c r="EO189" t="str">
        <v>LOOR ALCIVAR MARIA ILIANA</v>
      </c>
      <c r="EP189" t="str">
        <v>LOOR MIELES TANIA JACQUELINE</v>
      </c>
      <c r="EQ189" t="str">
        <v>LOOR SOLORZANO ROSA MARIA</v>
      </c>
      <c r="ER189" t="str">
        <v>LOPEZ DELGADO RONALD MAURICIO</v>
      </c>
      <c r="ES189" t="str">
        <v>MACIAS VALENCIA DAVID GABRIEL</v>
      </c>
      <c r="ET189" t="str">
        <v>MENDOZA ZAMORA WALTER MANUEL</v>
      </c>
      <c r="EU189" t="str">
        <v>MOLINA CEVALLOS MARIA LORENA</v>
      </c>
      <c r="EV189" t="str">
        <v>MURILLO DELGADO ISAAC GABRIEL</v>
      </c>
      <c r="EW189" t="str">
        <v>ANGULO MURILLO NAVIRA GISSELA</v>
      </c>
      <c r="EX189" t="str">
        <v>OCHOA SOLEDISPA NESTOR IVAN</v>
      </c>
      <c r="EY189" t="str">
        <v>PARRAGA FRANCO SILVANA MARIELA</v>
      </c>
      <c r="EZ189" t="str">
        <v>PINARGOTE VASQUEZ NANCY FABIOLA</v>
      </c>
      <c r="FA189" t="str">
        <v>REYES VELEZ PEDRO ENRIQUE</v>
      </c>
      <c r="FB189" t="str">
        <v>SAN ANDRES HORMAZA DALLAS CECILIA</v>
      </c>
      <c r="FC189" t="str">
        <v>SORNOZA ZAMORA JUAN CARLOS</v>
      </c>
      <c r="FD189" t="str">
        <v>TOMALA PINTO JESUS JACINTO</v>
      </c>
      <c r="FE189" t="str">
        <v>VALLE JARAMILLO SILVIA ARACELY</v>
      </c>
      <c r="FF189" t="str">
        <v>VELÁSQUEZ BRAVO IRMA KATHERINE</v>
      </c>
      <c r="FG189" t="str">
        <v>VELEZ MENDOZA LAYSY VALERIA</v>
      </c>
      <c r="FH189" t="str">
        <v>VINUEZA TELLO SHIRLEY ELIZABETH</v>
      </c>
      <c r="FI189" t="str">
        <v>ZAMBRANO ALCIVAR NILDA ISABEL</v>
      </c>
      <c r="FJ189" t="str">
        <v>ZAMBRANO LOOR RITA MAYDA</v>
      </c>
      <c r="FK189" t="str">
        <v>ZAMBRANO VERA MONICA JANETH</v>
      </c>
      <c r="FL189" t="str">
        <v>VERA DELGADO BRYAN ADRIÁN</v>
      </c>
      <c r="FM189" t="str">
        <v>MORAN GONZALES DAVID RENATO</v>
      </c>
      <c r="FN189">
        <v>0</v>
      </c>
    </row>
    <row r="190" spans="1:170" ht="20.25" customHeight="1">
      <c r="A190" s="4" t="str" cm="1">
        <f t="array" ref="A190">TRANSPOSE(_xlfn.UNIQUE(_xlfn._xlws.FILTER(MAE_ASIGNATURA[ID_NIVEL],MAE_ASIGNATURA[ID_CARRERA]=ASIGNACION!$C190,"No existe información")))</f>
        <v>No existe información</v>
      </c>
      <c r="S190" s="4" t="str" cm="1">
        <f t="array" ref="S190">TRANSPOSE(_xlfn.UNIQUE(_xlfn._xlws.FILTER(MAE_ASIGNATURA[NOM_ASIG],(MAE_ASIGNATURA[ID_NIVEL]=ASIGNACION!$D190)*(MAE_ASIGNATURA[ID_CARRERA]=ASIGNACION!$C190),"No existe información")))</f>
        <v>No existe información</v>
      </c>
      <c r="BD190" s="4" t="str" cm="1">
        <f t="array" ref="BD190">TRANSPOSE(_xlfn.UNIQUE(_xlfn._xlws.FILTER(DET_ASIG[DETALLADO],(DET_ASIG[ID_CARRERA]=ASIGNACION!$C190)*(DET_ASIG[NIVEL]=ASIGNACION!$D190)*(DET_ASIG[ID_ASIG]=ASIGNACION!$G190),"No existe información")))</f>
        <v>No existe información</v>
      </c>
      <c r="BQ190" s="5" t="str" cm="1">
        <f t="array" ref="BQ190">IFERROR(
    TRANSPOSE(
        _xlfn.UNIQUE(
            _xlfn._xlws.FILTER(MAESTRIA_DETALLADO[MAESTRIA],
                ISNUMBER(MATCH(MAESTRIA_DETALLADO[CAMPO_DETALLADO],
                BD190:BP190,0))
            )
        )
    ),IF(BD190="ACTIVIDAD","DOCENCIA",""))</f>
        <v/>
      </c>
      <c r="EA190" s="5" t="str" cm="1">
        <f t="array" ref="EA190:FN190">IF(
    ASIGNACION!I190="SI",
    IFERROR(
        TRANSPOSE(
            _xlfn.UNIQUE(
                _xlfn._xlws.FILTER(EDU_DOCENTE[NOMBRE_DOCENTE],
                    ISNUMBER(MATCH(EDU_DOCENTE[MAESTRIA],
                    BQ190:DY190,0))
                )
            )
        ),
        ""
    ),
    TRANSPOSE(
        _xlfn.UNIQUE(EDU_DOCENTE[NOMBRE_DOCENTE]
        )
    )
)</f>
        <v>ALCIVAR CEDEÑO BEATRIZ ISABEL</v>
      </c>
      <c r="EB190" t="str">
        <v>ALCIVAR VERA GEMA MICHELLE</v>
      </c>
      <c r="EC190" t="str">
        <v>ARAUZ CHAVEZ MARIO ROBERTO</v>
      </c>
      <c r="ED190" t="str">
        <v>BAILON LOURIDO WALTER ALBERTO</v>
      </c>
      <c r="EE190" t="str">
        <v>CALDERERO VILLAGOMEZ ERICK ANTONIO</v>
      </c>
      <c r="EF190" t="str">
        <v>CASTILLO GARCIA PAOLA GERMANIA</v>
      </c>
      <c r="EG190" t="str">
        <v>CEDEÑO CHOEZ PEDRO JAVIER</v>
      </c>
      <c r="EH190" t="str">
        <v>CEVALLOS HOPPE JUAN CARLOS</v>
      </c>
      <c r="EI190" t="str">
        <v>DELGADO CHAVEZ MARIA IRASEMA</v>
      </c>
      <c r="EJ190" t="str">
        <v>DUARTE VALENCIA CRISTHIAN DARIO</v>
      </c>
      <c r="EK190" t="str">
        <v>FORTTY BARBERAN DENNY ALEXANDER</v>
      </c>
      <c r="EL190" t="str">
        <v>GUTIERREZ ZAMBRANO CARMEN EBELINA</v>
      </c>
      <c r="EM190" t="str">
        <v>INTRIAGO MOLINA GEMA VALERIA</v>
      </c>
      <c r="EN190" t="str">
        <v>LINO VELEZ LEONEL LIVINGTON</v>
      </c>
      <c r="EO190" t="str">
        <v>LOOR ALCIVAR MARIA ILIANA</v>
      </c>
      <c r="EP190" t="str">
        <v>LOOR MIELES TANIA JACQUELINE</v>
      </c>
      <c r="EQ190" t="str">
        <v>LOOR SOLORZANO ROSA MARIA</v>
      </c>
      <c r="ER190" t="str">
        <v>LOPEZ DELGADO RONALD MAURICIO</v>
      </c>
      <c r="ES190" t="str">
        <v>MACIAS VALENCIA DAVID GABRIEL</v>
      </c>
      <c r="ET190" t="str">
        <v>MENDOZA ZAMORA WALTER MANUEL</v>
      </c>
      <c r="EU190" t="str">
        <v>MOLINA CEVALLOS MARIA LORENA</v>
      </c>
      <c r="EV190" t="str">
        <v>MURILLO DELGADO ISAAC GABRIEL</v>
      </c>
      <c r="EW190" t="str">
        <v>ANGULO MURILLO NAVIRA GISSELA</v>
      </c>
      <c r="EX190" t="str">
        <v>OCHOA SOLEDISPA NESTOR IVAN</v>
      </c>
      <c r="EY190" t="str">
        <v>PARRAGA FRANCO SILVANA MARIELA</v>
      </c>
      <c r="EZ190" t="str">
        <v>PINARGOTE VASQUEZ NANCY FABIOLA</v>
      </c>
      <c r="FA190" t="str">
        <v>REYES VELEZ PEDRO ENRIQUE</v>
      </c>
      <c r="FB190" t="str">
        <v>SAN ANDRES HORMAZA DALLAS CECILIA</v>
      </c>
      <c r="FC190" t="str">
        <v>SORNOZA ZAMORA JUAN CARLOS</v>
      </c>
      <c r="FD190" t="str">
        <v>TOMALA PINTO JESUS JACINTO</v>
      </c>
      <c r="FE190" t="str">
        <v>VALLE JARAMILLO SILVIA ARACELY</v>
      </c>
      <c r="FF190" t="str">
        <v>VELÁSQUEZ BRAVO IRMA KATHERINE</v>
      </c>
      <c r="FG190" t="str">
        <v>VELEZ MENDOZA LAYSY VALERIA</v>
      </c>
      <c r="FH190" t="str">
        <v>VINUEZA TELLO SHIRLEY ELIZABETH</v>
      </c>
      <c r="FI190" t="str">
        <v>ZAMBRANO ALCIVAR NILDA ISABEL</v>
      </c>
      <c r="FJ190" t="str">
        <v>ZAMBRANO LOOR RITA MAYDA</v>
      </c>
      <c r="FK190" t="str">
        <v>ZAMBRANO VERA MONICA JANETH</v>
      </c>
      <c r="FL190" t="str">
        <v>VERA DELGADO BRYAN ADRIÁN</v>
      </c>
      <c r="FM190" t="str">
        <v>MORAN GONZALES DAVID RENATO</v>
      </c>
      <c r="FN190">
        <v>0</v>
      </c>
    </row>
    <row r="191" spans="1:170" ht="20.25" customHeight="1">
      <c r="A191" s="4" t="str" cm="1">
        <f t="array" ref="A191">TRANSPOSE(_xlfn.UNIQUE(_xlfn._xlws.FILTER(MAE_ASIGNATURA[ID_NIVEL],MAE_ASIGNATURA[ID_CARRERA]=ASIGNACION!$C191,"No existe información")))</f>
        <v>No existe información</v>
      </c>
      <c r="S191" s="4" t="str" cm="1">
        <f t="array" ref="S191">TRANSPOSE(_xlfn.UNIQUE(_xlfn._xlws.FILTER(MAE_ASIGNATURA[NOM_ASIG],(MAE_ASIGNATURA[ID_NIVEL]=ASIGNACION!$D191)*(MAE_ASIGNATURA[ID_CARRERA]=ASIGNACION!$C191),"No existe información")))</f>
        <v>No existe información</v>
      </c>
      <c r="BD191" s="4" t="str" cm="1">
        <f t="array" ref="BD191">TRANSPOSE(_xlfn.UNIQUE(_xlfn._xlws.FILTER(DET_ASIG[DETALLADO],(DET_ASIG[ID_CARRERA]=ASIGNACION!$C191)*(DET_ASIG[NIVEL]=ASIGNACION!$D191)*(DET_ASIG[ID_ASIG]=ASIGNACION!$G191),"No existe información")))</f>
        <v>No existe información</v>
      </c>
      <c r="BQ191" s="5" t="str" cm="1">
        <f t="array" ref="BQ191">IFERROR(
    TRANSPOSE(
        _xlfn.UNIQUE(
            _xlfn._xlws.FILTER(MAESTRIA_DETALLADO[MAESTRIA],
                ISNUMBER(MATCH(MAESTRIA_DETALLADO[CAMPO_DETALLADO],
                BD191:BP191,0))
            )
        )
    ),IF(BD191="ACTIVIDAD","DOCENCIA",""))</f>
        <v/>
      </c>
      <c r="EA191" s="5" t="str" cm="1">
        <f t="array" ref="EA191:FN191">IF(
    ASIGNACION!I191="SI",
    IFERROR(
        TRANSPOSE(
            _xlfn.UNIQUE(
                _xlfn._xlws.FILTER(EDU_DOCENTE[NOMBRE_DOCENTE],
                    ISNUMBER(MATCH(EDU_DOCENTE[MAESTRIA],
                    BQ191:DY191,0))
                )
            )
        ),
        ""
    ),
    TRANSPOSE(
        _xlfn.UNIQUE(EDU_DOCENTE[NOMBRE_DOCENTE]
        )
    )
)</f>
        <v>ALCIVAR CEDEÑO BEATRIZ ISABEL</v>
      </c>
      <c r="EB191" t="str">
        <v>ALCIVAR VERA GEMA MICHELLE</v>
      </c>
      <c r="EC191" t="str">
        <v>ARAUZ CHAVEZ MARIO ROBERTO</v>
      </c>
      <c r="ED191" t="str">
        <v>BAILON LOURIDO WALTER ALBERTO</v>
      </c>
      <c r="EE191" t="str">
        <v>CALDERERO VILLAGOMEZ ERICK ANTONIO</v>
      </c>
      <c r="EF191" t="str">
        <v>CASTILLO GARCIA PAOLA GERMANIA</v>
      </c>
      <c r="EG191" t="str">
        <v>CEDEÑO CHOEZ PEDRO JAVIER</v>
      </c>
      <c r="EH191" t="str">
        <v>CEVALLOS HOPPE JUAN CARLOS</v>
      </c>
      <c r="EI191" t="str">
        <v>DELGADO CHAVEZ MARIA IRASEMA</v>
      </c>
      <c r="EJ191" t="str">
        <v>DUARTE VALENCIA CRISTHIAN DARIO</v>
      </c>
      <c r="EK191" t="str">
        <v>FORTTY BARBERAN DENNY ALEXANDER</v>
      </c>
      <c r="EL191" t="str">
        <v>GUTIERREZ ZAMBRANO CARMEN EBELINA</v>
      </c>
      <c r="EM191" t="str">
        <v>INTRIAGO MOLINA GEMA VALERIA</v>
      </c>
      <c r="EN191" t="str">
        <v>LINO VELEZ LEONEL LIVINGTON</v>
      </c>
      <c r="EO191" t="str">
        <v>LOOR ALCIVAR MARIA ILIANA</v>
      </c>
      <c r="EP191" t="str">
        <v>LOOR MIELES TANIA JACQUELINE</v>
      </c>
      <c r="EQ191" t="str">
        <v>LOOR SOLORZANO ROSA MARIA</v>
      </c>
      <c r="ER191" t="str">
        <v>LOPEZ DELGADO RONALD MAURICIO</v>
      </c>
      <c r="ES191" t="str">
        <v>MACIAS VALENCIA DAVID GABRIEL</v>
      </c>
      <c r="ET191" t="str">
        <v>MENDOZA ZAMORA WALTER MANUEL</v>
      </c>
      <c r="EU191" t="str">
        <v>MOLINA CEVALLOS MARIA LORENA</v>
      </c>
      <c r="EV191" t="str">
        <v>MURILLO DELGADO ISAAC GABRIEL</v>
      </c>
      <c r="EW191" t="str">
        <v>ANGULO MURILLO NAVIRA GISSELA</v>
      </c>
      <c r="EX191" t="str">
        <v>OCHOA SOLEDISPA NESTOR IVAN</v>
      </c>
      <c r="EY191" t="str">
        <v>PARRAGA FRANCO SILVANA MARIELA</v>
      </c>
      <c r="EZ191" t="str">
        <v>PINARGOTE VASQUEZ NANCY FABIOLA</v>
      </c>
      <c r="FA191" t="str">
        <v>REYES VELEZ PEDRO ENRIQUE</v>
      </c>
      <c r="FB191" t="str">
        <v>SAN ANDRES HORMAZA DALLAS CECILIA</v>
      </c>
      <c r="FC191" t="str">
        <v>SORNOZA ZAMORA JUAN CARLOS</v>
      </c>
      <c r="FD191" t="str">
        <v>TOMALA PINTO JESUS JACINTO</v>
      </c>
      <c r="FE191" t="str">
        <v>VALLE JARAMILLO SILVIA ARACELY</v>
      </c>
      <c r="FF191" t="str">
        <v>VELÁSQUEZ BRAVO IRMA KATHERINE</v>
      </c>
      <c r="FG191" t="str">
        <v>VELEZ MENDOZA LAYSY VALERIA</v>
      </c>
      <c r="FH191" t="str">
        <v>VINUEZA TELLO SHIRLEY ELIZABETH</v>
      </c>
      <c r="FI191" t="str">
        <v>ZAMBRANO ALCIVAR NILDA ISABEL</v>
      </c>
      <c r="FJ191" t="str">
        <v>ZAMBRANO LOOR RITA MAYDA</v>
      </c>
      <c r="FK191" t="str">
        <v>ZAMBRANO VERA MONICA JANETH</v>
      </c>
      <c r="FL191" t="str">
        <v>VERA DELGADO BRYAN ADRIÁN</v>
      </c>
      <c r="FM191" t="str">
        <v>MORAN GONZALES DAVID RENATO</v>
      </c>
      <c r="FN191">
        <v>0</v>
      </c>
    </row>
    <row r="192" spans="1:170" ht="20.25" customHeight="1">
      <c r="A192" s="4" t="str" cm="1">
        <f t="array" ref="A192">TRANSPOSE(_xlfn.UNIQUE(_xlfn._xlws.FILTER(MAE_ASIGNATURA[ID_NIVEL],MAE_ASIGNATURA[ID_CARRERA]=ASIGNACION!$C192,"No existe información")))</f>
        <v>No existe información</v>
      </c>
      <c r="S192" s="4" t="str" cm="1">
        <f t="array" ref="S192">TRANSPOSE(_xlfn.UNIQUE(_xlfn._xlws.FILTER(MAE_ASIGNATURA[NOM_ASIG],(MAE_ASIGNATURA[ID_NIVEL]=ASIGNACION!$D192)*(MAE_ASIGNATURA[ID_CARRERA]=ASIGNACION!$C192),"No existe información")))</f>
        <v>No existe información</v>
      </c>
      <c r="BD192" s="4" t="str" cm="1">
        <f t="array" ref="BD192">TRANSPOSE(_xlfn.UNIQUE(_xlfn._xlws.FILTER(DET_ASIG[DETALLADO],(DET_ASIG[ID_CARRERA]=ASIGNACION!$C192)*(DET_ASIG[NIVEL]=ASIGNACION!$D192)*(DET_ASIG[ID_ASIG]=ASIGNACION!$G192),"No existe información")))</f>
        <v>No existe información</v>
      </c>
      <c r="BQ192" s="5" t="str" cm="1">
        <f t="array" ref="BQ192">IFERROR(
    TRANSPOSE(
        _xlfn.UNIQUE(
            _xlfn._xlws.FILTER(MAESTRIA_DETALLADO[MAESTRIA],
                ISNUMBER(MATCH(MAESTRIA_DETALLADO[CAMPO_DETALLADO],
                BD192:BP192,0))
            )
        )
    ),IF(BD192="ACTIVIDAD","DOCENCIA",""))</f>
        <v/>
      </c>
      <c r="EA192" s="5" t="str" cm="1">
        <f t="array" ref="EA192:FN192">IF(
    ASIGNACION!I192="SI",
    IFERROR(
        TRANSPOSE(
            _xlfn.UNIQUE(
                _xlfn._xlws.FILTER(EDU_DOCENTE[NOMBRE_DOCENTE],
                    ISNUMBER(MATCH(EDU_DOCENTE[MAESTRIA],
                    BQ192:DY192,0))
                )
            )
        ),
        ""
    ),
    TRANSPOSE(
        _xlfn.UNIQUE(EDU_DOCENTE[NOMBRE_DOCENTE]
        )
    )
)</f>
        <v>ALCIVAR CEDEÑO BEATRIZ ISABEL</v>
      </c>
      <c r="EB192" t="str">
        <v>ALCIVAR VERA GEMA MICHELLE</v>
      </c>
      <c r="EC192" t="str">
        <v>ARAUZ CHAVEZ MARIO ROBERTO</v>
      </c>
      <c r="ED192" t="str">
        <v>BAILON LOURIDO WALTER ALBERTO</v>
      </c>
      <c r="EE192" t="str">
        <v>CALDERERO VILLAGOMEZ ERICK ANTONIO</v>
      </c>
      <c r="EF192" t="str">
        <v>CASTILLO GARCIA PAOLA GERMANIA</v>
      </c>
      <c r="EG192" t="str">
        <v>CEDEÑO CHOEZ PEDRO JAVIER</v>
      </c>
      <c r="EH192" t="str">
        <v>CEVALLOS HOPPE JUAN CARLOS</v>
      </c>
      <c r="EI192" t="str">
        <v>DELGADO CHAVEZ MARIA IRASEMA</v>
      </c>
      <c r="EJ192" t="str">
        <v>DUARTE VALENCIA CRISTHIAN DARIO</v>
      </c>
      <c r="EK192" t="str">
        <v>FORTTY BARBERAN DENNY ALEXANDER</v>
      </c>
      <c r="EL192" t="str">
        <v>GUTIERREZ ZAMBRANO CARMEN EBELINA</v>
      </c>
      <c r="EM192" t="str">
        <v>INTRIAGO MOLINA GEMA VALERIA</v>
      </c>
      <c r="EN192" t="str">
        <v>LINO VELEZ LEONEL LIVINGTON</v>
      </c>
      <c r="EO192" t="str">
        <v>LOOR ALCIVAR MARIA ILIANA</v>
      </c>
      <c r="EP192" t="str">
        <v>LOOR MIELES TANIA JACQUELINE</v>
      </c>
      <c r="EQ192" t="str">
        <v>LOOR SOLORZANO ROSA MARIA</v>
      </c>
      <c r="ER192" t="str">
        <v>LOPEZ DELGADO RONALD MAURICIO</v>
      </c>
      <c r="ES192" t="str">
        <v>MACIAS VALENCIA DAVID GABRIEL</v>
      </c>
      <c r="ET192" t="str">
        <v>MENDOZA ZAMORA WALTER MANUEL</v>
      </c>
      <c r="EU192" t="str">
        <v>MOLINA CEVALLOS MARIA LORENA</v>
      </c>
      <c r="EV192" t="str">
        <v>MURILLO DELGADO ISAAC GABRIEL</v>
      </c>
      <c r="EW192" t="str">
        <v>ANGULO MURILLO NAVIRA GISSELA</v>
      </c>
      <c r="EX192" t="str">
        <v>OCHOA SOLEDISPA NESTOR IVAN</v>
      </c>
      <c r="EY192" t="str">
        <v>PARRAGA FRANCO SILVANA MARIELA</v>
      </c>
      <c r="EZ192" t="str">
        <v>PINARGOTE VASQUEZ NANCY FABIOLA</v>
      </c>
      <c r="FA192" t="str">
        <v>REYES VELEZ PEDRO ENRIQUE</v>
      </c>
      <c r="FB192" t="str">
        <v>SAN ANDRES HORMAZA DALLAS CECILIA</v>
      </c>
      <c r="FC192" t="str">
        <v>SORNOZA ZAMORA JUAN CARLOS</v>
      </c>
      <c r="FD192" t="str">
        <v>TOMALA PINTO JESUS JACINTO</v>
      </c>
      <c r="FE192" t="str">
        <v>VALLE JARAMILLO SILVIA ARACELY</v>
      </c>
      <c r="FF192" t="str">
        <v>VELÁSQUEZ BRAVO IRMA KATHERINE</v>
      </c>
      <c r="FG192" t="str">
        <v>VELEZ MENDOZA LAYSY VALERIA</v>
      </c>
      <c r="FH192" t="str">
        <v>VINUEZA TELLO SHIRLEY ELIZABETH</v>
      </c>
      <c r="FI192" t="str">
        <v>ZAMBRANO ALCIVAR NILDA ISABEL</v>
      </c>
      <c r="FJ192" t="str">
        <v>ZAMBRANO LOOR RITA MAYDA</v>
      </c>
      <c r="FK192" t="str">
        <v>ZAMBRANO VERA MONICA JANETH</v>
      </c>
      <c r="FL192" t="str">
        <v>VERA DELGADO BRYAN ADRIÁN</v>
      </c>
      <c r="FM192" t="str">
        <v>MORAN GONZALES DAVID RENATO</v>
      </c>
      <c r="FN192">
        <v>0</v>
      </c>
    </row>
    <row r="193" spans="1:170" ht="20.25" customHeight="1">
      <c r="A193" s="4" t="str" cm="1">
        <f t="array" ref="A193">TRANSPOSE(_xlfn.UNIQUE(_xlfn._xlws.FILTER(MAE_ASIGNATURA[ID_NIVEL],MAE_ASIGNATURA[ID_CARRERA]=ASIGNACION!$C193,"No existe información")))</f>
        <v>No existe información</v>
      </c>
      <c r="S193" s="4" t="str" cm="1">
        <f t="array" ref="S193">TRANSPOSE(_xlfn.UNIQUE(_xlfn._xlws.FILTER(MAE_ASIGNATURA[NOM_ASIG],(MAE_ASIGNATURA[ID_NIVEL]=ASIGNACION!$D193)*(MAE_ASIGNATURA[ID_CARRERA]=ASIGNACION!$C193),"No existe información")))</f>
        <v>No existe información</v>
      </c>
      <c r="BD193" s="4" t="str" cm="1">
        <f t="array" ref="BD193">TRANSPOSE(_xlfn.UNIQUE(_xlfn._xlws.FILTER(DET_ASIG[DETALLADO],(DET_ASIG[ID_CARRERA]=ASIGNACION!$C193)*(DET_ASIG[NIVEL]=ASIGNACION!$D193)*(DET_ASIG[ID_ASIG]=ASIGNACION!$G193),"No existe información")))</f>
        <v>No existe información</v>
      </c>
      <c r="BQ193" s="5" t="str" cm="1">
        <f t="array" ref="BQ193">IFERROR(
    TRANSPOSE(
        _xlfn.UNIQUE(
            _xlfn._xlws.FILTER(MAESTRIA_DETALLADO[MAESTRIA],
                ISNUMBER(MATCH(MAESTRIA_DETALLADO[CAMPO_DETALLADO],
                BD193:BP193,0))
            )
        )
    ),IF(BD193="ACTIVIDAD","DOCENCIA",""))</f>
        <v/>
      </c>
      <c r="EA193" s="5" t="str" cm="1">
        <f t="array" ref="EA193:FN193">IF(
    ASIGNACION!I193="SI",
    IFERROR(
        TRANSPOSE(
            _xlfn.UNIQUE(
                _xlfn._xlws.FILTER(EDU_DOCENTE[NOMBRE_DOCENTE],
                    ISNUMBER(MATCH(EDU_DOCENTE[MAESTRIA],
                    BQ193:DY193,0))
                )
            )
        ),
        ""
    ),
    TRANSPOSE(
        _xlfn.UNIQUE(EDU_DOCENTE[NOMBRE_DOCENTE]
        )
    )
)</f>
        <v>ALCIVAR CEDEÑO BEATRIZ ISABEL</v>
      </c>
      <c r="EB193" t="str">
        <v>ALCIVAR VERA GEMA MICHELLE</v>
      </c>
      <c r="EC193" t="str">
        <v>ARAUZ CHAVEZ MARIO ROBERTO</v>
      </c>
      <c r="ED193" t="str">
        <v>BAILON LOURIDO WALTER ALBERTO</v>
      </c>
      <c r="EE193" t="str">
        <v>CALDERERO VILLAGOMEZ ERICK ANTONIO</v>
      </c>
      <c r="EF193" t="str">
        <v>CASTILLO GARCIA PAOLA GERMANIA</v>
      </c>
      <c r="EG193" t="str">
        <v>CEDEÑO CHOEZ PEDRO JAVIER</v>
      </c>
      <c r="EH193" t="str">
        <v>CEVALLOS HOPPE JUAN CARLOS</v>
      </c>
      <c r="EI193" t="str">
        <v>DELGADO CHAVEZ MARIA IRASEMA</v>
      </c>
      <c r="EJ193" t="str">
        <v>DUARTE VALENCIA CRISTHIAN DARIO</v>
      </c>
      <c r="EK193" t="str">
        <v>FORTTY BARBERAN DENNY ALEXANDER</v>
      </c>
      <c r="EL193" t="str">
        <v>GUTIERREZ ZAMBRANO CARMEN EBELINA</v>
      </c>
      <c r="EM193" t="str">
        <v>INTRIAGO MOLINA GEMA VALERIA</v>
      </c>
      <c r="EN193" t="str">
        <v>LINO VELEZ LEONEL LIVINGTON</v>
      </c>
      <c r="EO193" t="str">
        <v>LOOR ALCIVAR MARIA ILIANA</v>
      </c>
      <c r="EP193" t="str">
        <v>LOOR MIELES TANIA JACQUELINE</v>
      </c>
      <c r="EQ193" t="str">
        <v>LOOR SOLORZANO ROSA MARIA</v>
      </c>
      <c r="ER193" t="str">
        <v>LOPEZ DELGADO RONALD MAURICIO</v>
      </c>
      <c r="ES193" t="str">
        <v>MACIAS VALENCIA DAVID GABRIEL</v>
      </c>
      <c r="ET193" t="str">
        <v>MENDOZA ZAMORA WALTER MANUEL</v>
      </c>
      <c r="EU193" t="str">
        <v>MOLINA CEVALLOS MARIA LORENA</v>
      </c>
      <c r="EV193" t="str">
        <v>MURILLO DELGADO ISAAC GABRIEL</v>
      </c>
      <c r="EW193" t="str">
        <v>ANGULO MURILLO NAVIRA GISSELA</v>
      </c>
      <c r="EX193" t="str">
        <v>OCHOA SOLEDISPA NESTOR IVAN</v>
      </c>
      <c r="EY193" t="str">
        <v>PARRAGA FRANCO SILVANA MARIELA</v>
      </c>
      <c r="EZ193" t="str">
        <v>PINARGOTE VASQUEZ NANCY FABIOLA</v>
      </c>
      <c r="FA193" t="str">
        <v>REYES VELEZ PEDRO ENRIQUE</v>
      </c>
      <c r="FB193" t="str">
        <v>SAN ANDRES HORMAZA DALLAS CECILIA</v>
      </c>
      <c r="FC193" t="str">
        <v>SORNOZA ZAMORA JUAN CARLOS</v>
      </c>
      <c r="FD193" t="str">
        <v>TOMALA PINTO JESUS JACINTO</v>
      </c>
      <c r="FE193" t="str">
        <v>VALLE JARAMILLO SILVIA ARACELY</v>
      </c>
      <c r="FF193" t="str">
        <v>VELÁSQUEZ BRAVO IRMA KATHERINE</v>
      </c>
      <c r="FG193" t="str">
        <v>VELEZ MENDOZA LAYSY VALERIA</v>
      </c>
      <c r="FH193" t="str">
        <v>VINUEZA TELLO SHIRLEY ELIZABETH</v>
      </c>
      <c r="FI193" t="str">
        <v>ZAMBRANO ALCIVAR NILDA ISABEL</v>
      </c>
      <c r="FJ193" t="str">
        <v>ZAMBRANO LOOR RITA MAYDA</v>
      </c>
      <c r="FK193" t="str">
        <v>ZAMBRANO VERA MONICA JANETH</v>
      </c>
      <c r="FL193" t="str">
        <v>VERA DELGADO BRYAN ADRIÁN</v>
      </c>
      <c r="FM193" t="str">
        <v>MORAN GONZALES DAVID RENATO</v>
      </c>
      <c r="FN193">
        <v>0</v>
      </c>
    </row>
    <row r="194" spans="1:170" ht="20.25" customHeight="1">
      <c r="A194" s="4" t="str" cm="1">
        <f t="array" ref="A194">TRANSPOSE(_xlfn.UNIQUE(_xlfn._xlws.FILTER(MAE_ASIGNATURA[ID_NIVEL],MAE_ASIGNATURA[ID_CARRERA]=ASIGNACION!$C194,"No existe información")))</f>
        <v>No existe información</v>
      </c>
      <c r="S194" s="4" t="str" cm="1">
        <f t="array" ref="S194">TRANSPOSE(_xlfn.UNIQUE(_xlfn._xlws.FILTER(MAE_ASIGNATURA[NOM_ASIG],(MAE_ASIGNATURA[ID_NIVEL]=ASIGNACION!$D194)*(MAE_ASIGNATURA[ID_CARRERA]=ASIGNACION!$C194),"No existe información")))</f>
        <v>No existe información</v>
      </c>
      <c r="BD194" s="4" t="str" cm="1">
        <f t="array" ref="BD194">TRANSPOSE(_xlfn.UNIQUE(_xlfn._xlws.FILTER(DET_ASIG[DETALLADO],(DET_ASIG[ID_CARRERA]=ASIGNACION!$C194)*(DET_ASIG[NIVEL]=ASIGNACION!$D194)*(DET_ASIG[ID_ASIG]=ASIGNACION!$G194),"No existe información")))</f>
        <v>No existe información</v>
      </c>
      <c r="BQ194" s="5" t="str" cm="1">
        <f t="array" ref="BQ194">IFERROR(
    TRANSPOSE(
        _xlfn.UNIQUE(
            _xlfn._xlws.FILTER(MAESTRIA_DETALLADO[MAESTRIA],
                ISNUMBER(MATCH(MAESTRIA_DETALLADO[CAMPO_DETALLADO],
                BD194:BP194,0))
            )
        )
    ),IF(BD194="ACTIVIDAD","DOCENCIA",""))</f>
        <v/>
      </c>
      <c r="EA194" s="5" t="str" cm="1">
        <f t="array" ref="EA194:FN194">IF(
    ASIGNACION!I194="SI",
    IFERROR(
        TRANSPOSE(
            _xlfn.UNIQUE(
                _xlfn._xlws.FILTER(EDU_DOCENTE[NOMBRE_DOCENTE],
                    ISNUMBER(MATCH(EDU_DOCENTE[MAESTRIA],
                    BQ194:DY194,0))
                )
            )
        ),
        ""
    ),
    TRANSPOSE(
        _xlfn.UNIQUE(EDU_DOCENTE[NOMBRE_DOCENTE]
        )
    )
)</f>
        <v>ALCIVAR CEDEÑO BEATRIZ ISABEL</v>
      </c>
      <c r="EB194" t="str">
        <v>ALCIVAR VERA GEMA MICHELLE</v>
      </c>
      <c r="EC194" t="str">
        <v>ARAUZ CHAVEZ MARIO ROBERTO</v>
      </c>
      <c r="ED194" t="str">
        <v>BAILON LOURIDO WALTER ALBERTO</v>
      </c>
      <c r="EE194" t="str">
        <v>CALDERERO VILLAGOMEZ ERICK ANTONIO</v>
      </c>
      <c r="EF194" t="str">
        <v>CASTILLO GARCIA PAOLA GERMANIA</v>
      </c>
      <c r="EG194" t="str">
        <v>CEDEÑO CHOEZ PEDRO JAVIER</v>
      </c>
      <c r="EH194" t="str">
        <v>CEVALLOS HOPPE JUAN CARLOS</v>
      </c>
      <c r="EI194" t="str">
        <v>DELGADO CHAVEZ MARIA IRASEMA</v>
      </c>
      <c r="EJ194" t="str">
        <v>DUARTE VALENCIA CRISTHIAN DARIO</v>
      </c>
      <c r="EK194" t="str">
        <v>FORTTY BARBERAN DENNY ALEXANDER</v>
      </c>
      <c r="EL194" t="str">
        <v>GUTIERREZ ZAMBRANO CARMEN EBELINA</v>
      </c>
      <c r="EM194" t="str">
        <v>INTRIAGO MOLINA GEMA VALERIA</v>
      </c>
      <c r="EN194" t="str">
        <v>LINO VELEZ LEONEL LIVINGTON</v>
      </c>
      <c r="EO194" t="str">
        <v>LOOR ALCIVAR MARIA ILIANA</v>
      </c>
      <c r="EP194" t="str">
        <v>LOOR MIELES TANIA JACQUELINE</v>
      </c>
      <c r="EQ194" t="str">
        <v>LOOR SOLORZANO ROSA MARIA</v>
      </c>
      <c r="ER194" t="str">
        <v>LOPEZ DELGADO RONALD MAURICIO</v>
      </c>
      <c r="ES194" t="str">
        <v>MACIAS VALENCIA DAVID GABRIEL</v>
      </c>
      <c r="ET194" t="str">
        <v>MENDOZA ZAMORA WALTER MANUEL</v>
      </c>
      <c r="EU194" t="str">
        <v>MOLINA CEVALLOS MARIA LORENA</v>
      </c>
      <c r="EV194" t="str">
        <v>MURILLO DELGADO ISAAC GABRIEL</v>
      </c>
      <c r="EW194" t="str">
        <v>ANGULO MURILLO NAVIRA GISSELA</v>
      </c>
      <c r="EX194" t="str">
        <v>OCHOA SOLEDISPA NESTOR IVAN</v>
      </c>
      <c r="EY194" t="str">
        <v>PARRAGA FRANCO SILVANA MARIELA</v>
      </c>
      <c r="EZ194" t="str">
        <v>PINARGOTE VASQUEZ NANCY FABIOLA</v>
      </c>
      <c r="FA194" t="str">
        <v>REYES VELEZ PEDRO ENRIQUE</v>
      </c>
      <c r="FB194" t="str">
        <v>SAN ANDRES HORMAZA DALLAS CECILIA</v>
      </c>
      <c r="FC194" t="str">
        <v>SORNOZA ZAMORA JUAN CARLOS</v>
      </c>
      <c r="FD194" t="str">
        <v>TOMALA PINTO JESUS JACINTO</v>
      </c>
      <c r="FE194" t="str">
        <v>VALLE JARAMILLO SILVIA ARACELY</v>
      </c>
      <c r="FF194" t="str">
        <v>VELÁSQUEZ BRAVO IRMA KATHERINE</v>
      </c>
      <c r="FG194" t="str">
        <v>VELEZ MENDOZA LAYSY VALERIA</v>
      </c>
      <c r="FH194" t="str">
        <v>VINUEZA TELLO SHIRLEY ELIZABETH</v>
      </c>
      <c r="FI194" t="str">
        <v>ZAMBRANO ALCIVAR NILDA ISABEL</v>
      </c>
      <c r="FJ194" t="str">
        <v>ZAMBRANO LOOR RITA MAYDA</v>
      </c>
      <c r="FK194" t="str">
        <v>ZAMBRANO VERA MONICA JANETH</v>
      </c>
      <c r="FL194" t="str">
        <v>VERA DELGADO BRYAN ADRIÁN</v>
      </c>
      <c r="FM194" t="str">
        <v>MORAN GONZALES DAVID RENATO</v>
      </c>
      <c r="FN194">
        <v>0</v>
      </c>
    </row>
    <row r="195" spans="1:170" ht="20.25" customHeight="1">
      <c r="A195" s="4" t="str" cm="1">
        <f t="array" ref="A195">TRANSPOSE(_xlfn.UNIQUE(_xlfn._xlws.FILTER(MAE_ASIGNATURA[ID_NIVEL],MAE_ASIGNATURA[ID_CARRERA]=ASIGNACION!$C195,"No existe información")))</f>
        <v>No existe información</v>
      </c>
      <c r="S195" s="4" t="str" cm="1">
        <f t="array" ref="S195">TRANSPOSE(_xlfn.UNIQUE(_xlfn._xlws.FILTER(MAE_ASIGNATURA[NOM_ASIG],(MAE_ASIGNATURA[ID_NIVEL]=ASIGNACION!$D195)*(MAE_ASIGNATURA[ID_CARRERA]=ASIGNACION!$C195),"No existe información")))</f>
        <v>No existe información</v>
      </c>
      <c r="BD195" s="4" t="str" cm="1">
        <f t="array" ref="BD195">TRANSPOSE(_xlfn.UNIQUE(_xlfn._xlws.FILTER(DET_ASIG[DETALLADO],(DET_ASIG[ID_CARRERA]=ASIGNACION!$C195)*(DET_ASIG[NIVEL]=ASIGNACION!$D195)*(DET_ASIG[ID_ASIG]=ASIGNACION!$G195),"No existe información")))</f>
        <v>No existe información</v>
      </c>
      <c r="BQ195" s="5" t="str" cm="1">
        <f t="array" ref="BQ195">IFERROR(
    TRANSPOSE(
        _xlfn.UNIQUE(
            _xlfn._xlws.FILTER(MAESTRIA_DETALLADO[MAESTRIA],
                ISNUMBER(MATCH(MAESTRIA_DETALLADO[CAMPO_DETALLADO],
                BD195:BP195,0))
            )
        )
    ),IF(BD195="ACTIVIDAD","DOCENCIA",""))</f>
        <v/>
      </c>
      <c r="EA195" s="5" t="str" cm="1">
        <f t="array" ref="EA195:FN195">IF(
    ASIGNACION!I195="SI",
    IFERROR(
        TRANSPOSE(
            _xlfn.UNIQUE(
                _xlfn._xlws.FILTER(EDU_DOCENTE[NOMBRE_DOCENTE],
                    ISNUMBER(MATCH(EDU_DOCENTE[MAESTRIA],
                    BQ195:DY195,0))
                )
            )
        ),
        ""
    ),
    TRANSPOSE(
        _xlfn.UNIQUE(EDU_DOCENTE[NOMBRE_DOCENTE]
        )
    )
)</f>
        <v>ALCIVAR CEDEÑO BEATRIZ ISABEL</v>
      </c>
      <c r="EB195" t="str">
        <v>ALCIVAR VERA GEMA MICHELLE</v>
      </c>
      <c r="EC195" t="str">
        <v>ARAUZ CHAVEZ MARIO ROBERTO</v>
      </c>
      <c r="ED195" t="str">
        <v>BAILON LOURIDO WALTER ALBERTO</v>
      </c>
      <c r="EE195" t="str">
        <v>CALDERERO VILLAGOMEZ ERICK ANTONIO</v>
      </c>
      <c r="EF195" t="str">
        <v>CASTILLO GARCIA PAOLA GERMANIA</v>
      </c>
      <c r="EG195" t="str">
        <v>CEDEÑO CHOEZ PEDRO JAVIER</v>
      </c>
      <c r="EH195" t="str">
        <v>CEVALLOS HOPPE JUAN CARLOS</v>
      </c>
      <c r="EI195" t="str">
        <v>DELGADO CHAVEZ MARIA IRASEMA</v>
      </c>
      <c r="EJ195" t="str">
        <v>DUARTE VALENCIA CRISTHIAN DARIO</v>
      </c>
      <c r="EK195" t="str">
        <v>FORTTY BARBERAN DENNY ALEXANDER</v>
      </c>
      <c r="EL195" t="str">
        <v>GUTIERREZ ZAMBRANO CARMEN EBELINA</v>
      </c>
      <c r="EM195" t="str">
        <v>INTRIAGO MOLINA GEMA VALERIA</v>
      </c>
      <c r="EN195" t="str">
        <v>LINO VELEZ LEONEL LIVINGTON</v>
      </c>
      <c r="EO195" t="str">
        <v>LOOR ALCIVAR MARIA ILIANA</v>
      </c>
      <c r="EP195" t="str">
        <v>LOOR MIELES TANIA JACQUELINE</v>
      </c>
      <c r="EQ195" t="str">
        <v>LOOR SOLORZANO ROSA MARIA</v>
      </c>
      <c r="ER195" t="str">
        <v>LOPEZ DELGADO RONALD MAURICIO</v>
      </c>
      <c r="ES195" t="str">
        <v>MACIAS VALENCIA DAVID GABRIEL</v>
      </c>
      <c r="ET195" t="str">
        <v>MENDOZA ZAMORA WALTER MANUEL</v>
      </c>
      <c r="EU195" t="str">
        <v>MOLINA CEVALLOS MARIA LORENA</v>
      </c>
      <c r="EV195" t="str">
        <v>MURILLO DELGADO ISAAC GABRIEL</v>
      </c>
      <c r="EW195" t="str">
        <v>ANGULO MURILLO NAVIRA GISSELA</v>
      </c>
      <c r="EX195" t="str">
        <v>OCHOA SOLEDISPA NESTOR IVAN</v>
      </c>
      <c r="EY195" t="str">
        <v>PARRAGA FRANCO SILVANA MARIELA</v>
      </c>
      <c r="EZ195" t="str">
        <v>PINARGOTE VASQUEZ NANCY FABIOLA</v>
      </c>
      <c r="FA195" t="str">
        <v>REYES VELEZ PEDRO ENRIQUE</v>
      </c>
      <c r="FB195" t="str">
        <v>SAN ANDRES HORMAZA DALLAS CECILIA</v>
      </c>
      <c r="FC195" t="str">
        <v>SORNOZA ZAMORA JUAN CARLOS</v>
      </c>
      <c r="FD195" t="str">
        <v>TOMALA PINTO JESUS JACINTO</v>
      </c>
      <c r="FE195" t="str">
        <v>VALLE JARAMILLO SILVIA ARACELY</v>
      </c>
      <c r="FF195" t="str">
        <v>VELÁSQUEZ BRAVO IRMA KATHERINE</v>
      </c>
      <c r="FG195" t="str">
        <v>VELEZ MENDOZA LAYSY VALERIA</v>
      </c>
      <c r="FH195" t="str">
        <v>VINUEZA TELLO SHIRLEY ELIZABETH</v>
      </c>
      <c r="FI195" t="str">
        <v>ZAMBRANO ALCIVAR NILDA ISABEL</v>
      </c>
      <c r="FJ195" t="str">
        <v>ZAMBRANO LOOR RITA MAYDA</v>
      </c>
      <c r="FK195" t="str">
        <v>ZAMBRANO VERA MONICA JANETH</v>
      </c>
      <c r="FL195" t="str">
        <v>VERA DELGADO BRYAN ADRIÁN</v>
      </c>
      <c r="FM195" t="str">
        <v>MORAN GONZALES DAVID RENATO</v>
      </c>
      <c r="FN195">
        <v>0</v>
      </c>
    </row>
    <row r="196" spans="1:170" ht="20.25" customHeight="1">
      <c r="A196" s="4" t="str" cm="1">
        <f t="array" ref="A196">TRANSPOSE(_xlfn.UNIQUE(_xlfn._xlws.FILTER(MAE_ASIGNATURA[ID_NIVEL],MAE_ASIGNATURA[ID_CARRERA]=ASIGNACION!$C196,"No existe información")))</f>
        <v>No existe información</v>
      </c>
      <c r="S196" s="4" t="str" cm="1">
        <f t="array" ref="S196">TRANSPOSE(_xlfn.UNIQUE(_xlfn._xlws.FILTER(MAE_ASIGNATURA[NOM_ASIG],(MAE_ASIGNATURA[ID_NIVEL]=ASIGNACION!$D196)*(MAE_ASIGNATURA[ID_CARRERA]=ASIGNACION!$C196),"No existe información")))</f>
        <v>No existe información</v>
      </c>
      <c r="BD196" s="4" t="str" cm="1">
        <f t="array" ref="BD196">TRANSPOSE(_xlfn.UNIQUE(_xlfn._xlws.FILTER(DET_ASIG[DETALLADO],(DET_ASIG[ID_CARRERA]=ASIGNACION!$C196)*(DET_ASIG[NIVEL]=ASIGNACION!$D196)*(DET_ASIG[ID_ASIG]=ASIGNACION!$G196),"No existe información")))</f>
        <v>No existe información</v>
      </c>
      <c r="BQ196" s="5" t="str" cm="1">
        <f t="array" ref="BQ196">IFERROR(
    TRANSPOSE(
        _xlfn.UNIQUE(
            _xlfn._xlws.FILTER(MAESTRIA_DETALLADO[MAESTRIA],
                ISNUMBER(MATCH(MAESTRIA_DETALLADO[CAMPO_DETALLADO],
                BD196:BP196,0))
            )
        )
    ),IF(BD196="ACTIVIDAD","DOCENCIA",""))</f>
        <v/>
      </c>
      <c r="EA196" s="5" t="str" cm="1">
        <f t="array" ref="EA196:FN196">IF(
    ASIGNACION!I196="SI",
    IFERROR(
        TRANSPOSE(
            _xlfn.UNIQUE(
                _xlfn._xlws.FILTER(EDU_DOCENTE[NOMBRE_DOCENTE],
                    ISNUMBER(MATCH(EDU_DOCENTE[MAESTRIA],
                    BQ196:DY196,0))
                )
            )
        ),
        ""
    ),
    TRANSPOSE(
        _xlfn.UNIQUE(EDU_DOCENTE[NOMBRE_DOCENTE]
        )
    )
)</f>
        <v>ALCIVAR CEDEÑO BEATRIZ ISABEL</v>
      </c>
      <c r="EB196" t="str">
        <v>ALCIVAR VERA GEMA MICHELLE</v>
      </c>
      <c r="EC196" t="str">
        <v>ARAUZ CHAVEZ MARIO ROBERTO</v>
      </c>
      <c r="ED196" t="str">
        <v>BAILON LOURIDO WALTER ALBERTO</v>
      </c>
      <c r="EE196" t="str">
        <v>CALDERERO VILLAGOMEZ ERICK ANTONIO</v>
      </c>
      <c r="EF196" t="str">
        <v>CASTILLO GARCIA PAOLA GERMANIA</v>
      </c>
      <c r="EG196" t="str">
        <v>CEDEÑO CHOEZ PEDRO JAVIER</v>
      </c>
      <c r="EH196" t="str">
        <v>CEVALLOS HOPPE JUAN CARLOS</v>
      </c>
      <c r="EI196" t="str">
        <v>DELGADO CHAVEZ MARIA IRASEMA</v>
      </c>
      <c r="EJ196" t="str">
        <v>DUARTE VALENCIA CRISTHIAN DARIO</v>
      </c>
      <c r="EK196" t="str">
        <v>FORTTY BARBERAN DENNY ALEXANDER</v>
      </c>
      <c r="EL196" t="str">
        <v>GUTIERREZ ZAMBRANO CARMEN EBELINA</v>
      </c>
      <c r="EM196" t="str">
        <v>INTRIAGO MOLINA GEMA VALERIA</v>
      </c>
      <c r="EN196" t="str">
        <v>LINO VELEZ LEONEL LIVINGTON</v>
      </c>
      <c r="EO196" t="str">
        <v>LOOR ALCIVAR MARIA ILIANA</v>
      </c>
      <c r="EP196" t="str">
        <v>LOOR MIELES TANIA JACQUELINE</v>
      </c>
      <c r="EQ196" t="str">
        <v>LOOR SOLORZANO ROSA MARIA</v>
      </c>
      <c r="ER196" t="str">
        <v>LOPEZ DELGADO RONALD MAURICIO</v>
      </c>
      <c r="ES196" t="str">
        <v>MACIAS VALENCIA DAVID GABRIEL</v>
      </c>
      <c r="ET196" t="str">
        <v>MENDOZA ZAMORA WALTER MANUEL</v>
      </c>
      <c r="EU196" t="str">
        <v>MOLINA CEVALLOS MARIA LORENA</v>
      </c>
      <c r="EV196" t="str">
        <v>MURILLO DELGADO ISAAC GABRIEL</v>
      </c>
      <c r="EW196" t="str">
        <v>ANGULO MURILLO NAVIRA GISSELA</v>
      </c>
      <c r="EX196" t="str">
        <v>OCHOA SOLEDISPA NESTOR IVAN</v>
      </c>
      <c r="EY196" t="str">
        <v>PARRAGA FRANCO SILVANA MARIELA</v>
      </c>
      <c r="EZ196" t="str">
        <v>PINARGOTE VASQUEZ NANCY FABIOLA</v>
      </c>
      <c r="FA196" t="str">
        <v>REYES VELEZ PEDRO ENRIQUE</v>
      </c>
      <c r="FB196" t="str">
        <v>SAN ANDRES HORMAZA DALLAS CECILIA</v>
      </c>
      <c r="FC196" t="str">
        <v>SORNOZA ZAMORA JUAN CARLOS</v>
      </c>
      <c r="FD196" t="str">
        <v>TOMALA PINTO JESUS JACINTO</v>
      </c>
      <c r="FE196" t="str">
        <v>VALLE JARAMILLO SILVIA ARACELY</v>
      </c>
      <c r="FF196" t="str">
        <v>VELÁSQUEZ BRAVO IRMA KATHERINE</v>
      </c>
      <c r="FG196" t="str">
        <v>VELEZ MENDOZA LAYSY VALERIA</v>
      </c>
      <c r="FH196" t="str">
        <v>VINUEZA TELLO SHIRLEY ELIZABETH</v>
      </c>
      <c r="FI196" t="str">
        <v>ZAMBRANO ALCIVAR NILDA ISABEL</v>
      </c>
      <c r="FJ196" t="str">
        <v>ZAMBRANO LOOR RITA MAYDA</v>
      </c>
      <c r="FK196" t="str">
        <v>ZAMBRANO VERA MONICA JANETH</v>
      </c>
      <c r="FL196" t="str">
        <v>VERA DELGADO BRYAN ADRIÁN</v>
      </c>
      <c r="FM196" t="str">
        <v>MORAN GONZALES DAVID RENATO</v>
      </c>
      <c r="FN196">
        <v>0</v>
      </c>
    </row>
    <row r="197" spans="1:170" ht="20.25" customHeight="1">
      <c r="A197" s="4" t="str" cm="1">
        <f t="array" ref="A197">TRANSPOSE(_xlfn.UNIQUE(_xlfn._xlws.FILTER(MAE_ASIGNATURA[ID_NIVEL],MAE_ASIGNATURA[ID_CARRERA]=ASIGNACION!$C197,"No existe información")))</f>
        <v>No existe información</v>
      </c>
      <c r="S197" s="4" t="str" cm="1">
        <f t="array" ref="S197">TRANSPOSE(_xlfn.UNIQUE(_xlfn._xlws.FILTER(MAE_ASIGNATURA[NOM_ASIG],(MAE_ASIGNATURA[ID_NIVEL]=ASIGNACION!$D197)*(MAE_ASIGNATURA[ID_CARRERA]=ASIGNACION!$C197),"No existe información")))</f>
        <v>No existe información</v>
      </c>
      <c r="BD197" s="4" t="str" cm="1">
        <f t="array" ref="BD197">TRANSPOSE(_xlfn.UNIQUE(_xlfn._xlws.FILTER(DET_ASIG[DETALLADO],(DET_ASIG[ID_CARRERA]=ASIGNACION!$C197)*(DET_ASIG[NIVEL]=ASIGNACION!$D197)*(DET_ASIG[ID_ASIG]=ASIGNACION!$G197),"No existe información")))</f>
        <v>No existe información</v>
      </c>
      <c r="BQ197" s="5" t="str" cm="1">
        <f t="array" ref="BQ197">IFERROR(
    TRANSPOSE(
        _xlfn.UNIQUE(
            _xlfn._xlws.FILTER(MAESTRIA_DETALLADO[MAESTRIA],
                ISNUMBER(MATCH(MAESTRIA_DETALLADO[CAMPO_DETALLADO],
                BD197:BP197,0))
            )
        )
    ),IF(BD197="ACTIVIDAD","DOCENCIA",""))</f>
        <v/>
      </c>
      <c r="EA197" s="5" t="str" cm="1">
        <f t="array" ref="EA197:FN197">IF(
    ASIGNACION!I197="SI",
    IFERROR(
        TRANSPOSE(
            _xlfn.UNIQUE(
                _xlfn._xlws.FILTER(EDU_DOCENTE[NOMBRE_DOCENTE],
                    ISNUMBER(MATCH(EDU_DOCENTE[MAESTRIA],
                    BQ197:DY197,0))
                )
            )
        ),
        ""
    ),
    TRANSPOSE(
        _xlfn.UNIQUE(EDU_DOCENTE[NOMBRE_DOCENTE]
        )
    )
)</f>
        <v>ALCIVAR CEDEÑO BEATRIZ ISABEL</v>
      </c>
      <c r="EB197" t="str">
        <v>ALCIVAR VERA GEMA MICHELLE</v>
      </c>
      <c r="EC197" t="str">
        <v>ARAUZ CHAVEZ MARIO ROBERTO</v>
      </c>
      <c r="ED197" t="str">
        <v>BAILON LOURIDO WALTER ALBERTO</v>
      </c>
      <c r="EE197" t="str">
        <v>CALDERERO VILLAGOMEZ ERICK ANTONIO</v>
      </c>
      <c r="EF197" t="str">
        <v>CASTILLO GARCIA PAOLA GERMANIA</v>
      </c>
      <c r="EG197" t="str">
        <v>CEDEÑO CHOEZ PEDRO JAVIER</v>
      </c>
      <c r="EH197" t="str">
        <v>CEVALLOS HOPPE JUAN CARLOS</v>
      </c>
      <c r="EI197" t="str">
        <v>DELGADO CHAVEZ MARIA IRASEMA</v>
      </c>
      <c r="EJ197" t="str">
        <v>DUARTE VALENCIA CRISTHIAN DARIO</v>
      </c>
      <c r="EK197" t="str">
        <v>FORTTY BARBERAN DENNY ALEXANDER</v>
      </c>
      <c r="EL197" t="str">
        <v>GUTIERREZ ZAMBRANO CARMEN EBELINA</v>
      </c>
      <c r="EM197" t="str">
        <v>INTRIAGO MOLINA GEMA VALERIA</v>
      </c>
      <c r="EN197" t="str">
        <v>LINO VELEZ LEONEL LIVINGTON</v>
      </c>
      <c r="EO197" t="str">
        <v>LOOR ALCIVAR MARIA ILIANA</v>
      </c>
      <c r="EP197" t="str">
        <v>LOOR MIELES TANIA JACQUELINE</v>
      </c>
      <c r="EQ197" t="str">
        <v>LOOR SOLORZANO ROSA MARIA</v>
      </c>
      <c r="ER197" t="str">
        <v>LOPEZ DELGADO RONALD MAURICIO</v>
      </c>
      <c r="ES197" t="str">
        <v>MACIAS VALENCIA DAVID GABRIEL</v>
      </c>
      <c r="ET197" t="str">
        <v>MENDOZA ZAMORA WALTER MANUEL</v>
      </c>
      <c r="EU197" t="str">
        <v>MOLINA CEVALLOS MARIA LORENA</v>
      </c>
      <c r="EV197" t="str">
        <v>MURILLO DELGADO ISAAC GABRIEL</v>
      </c>
      <c r="EW197" t="str">
        <v>ANGULO MURILLO NAVIRA GISSELA</v>
      </c>
      <c r="EX197" t="str">
        <v>OCHOA SOLEDISPA NESTOR IVAN</v>
      </c>
      <c r="EY197" t="str">
        <v>PARRAGA FRANCO SILVANA MARIELA</v>
      </c>
      <c r="EZ197" t="str">
        <v>PINARGOTE VASQUEZ NANCY FABIOLA</v>
      </c>
      <c r="FA197" t="str">
        <v>REYES VELEZ PEDRO ENRIQUE</v>
      </c>
      <c r="FB197" t="str">
        <v>SAN ANDRES HORMAZA DALLAS CECILIA</v>
      </c>
      <c r="FC197" t="str">
        <v>SORNOZA ZAMORA JUAN CARLOS</v>
      </c>
      <c r="FD197" t="str">
        <v>TOMALA PINTO JESUS JACINTO</v>
      </c>
      <c r="FE197" t="str">
        <v>VALLE JARAMILLO SILVIA ARACELY</v>
      </c>
      <c r="FF197" t="str">
        <v>VELÁSQUEZ BRAVO IRMA KATHERINE</v>
      </c>
      <c r="FG197" t="str">
        <v>VELEZ MENDOZA LAYSY VALERIA</v>
      </c>
      <c r="FH197" t="str">
        <v>VINUEZA TELLO SHIRLEY ELIZABETH</v>
      </c>
      <c r="FI197" t="str">
        <v>ZAMBRANO ALCIVAR NILDA ISABEL</v>
      </c>
      <c r="FJ197" t="str">
        <v>ZAMBRANO LOOR RITA MAYDA</v>
      </c>
      <c r="FK197" t="str">
        <v>ZAMBRANO VERA MONICA JANETH</v>
      </c>
      <c r="FL197" t="str">
        <v>VERA DELGADO BRYAN ADRIÁN</v>
      </c>
      <c r="FM197" t="str">
        <v>MORAN GONZALES DAVID RENATO</v>
      </c>
      <c r="FN197">
        <v>0</v>
      </c>
    </row>
    <row r="198" spans="1:170" ht="20.25" customHeight="1">
      <c r="A198" s="4" t="str" cm="1">
        <f t="array" ref="A198">TRANSPOSE(_xlfn.UNIQUE(_xlfn._xlws.FILTER(MAE_ASIGNATURA[ID_NIVEL],MAE_ASIGNATURA[ID_CARRERA]=ASIGNACION!$C198,"No existe información")))</f>
        <v>No existe información</v>
      </c>
      <c r="S198" s="4" t="str" cm="1">
        <f t="array" ref="S198">TRANSPOSE(_xlfn.UNIQUE(_xlfn._xlws.FILTER(MAE_ASIGNATURA[NOM_ASIG],(MAE_ASIGNATURA[ID_NIVEL]=ASIGNACION!$D198)*(MAE_ASIGNATURA[ID_CARRERA]=ASIGNACION!$C198),"No existe información")))</f>
        <v>No existe información</v>
      </c>
      <c r="BD198" s="4" t="str" cm="1">
        <f t="array" ref="BD198">TRANSPOSE(_xlfn.UNIQUE(_xlfn._xlws.FILTER(DET_ASIG[DETALLADO],(DET_ASIG[ID_CARRERA]=ASIGNACION!$C198)*(DET_ASIG[NIVEL]=ASIGNACION!$D198)*(DET_ASIG[ID_ASIG]=ASIGNACION!$G198),"No existe información")))</f>
        <v>No existe información</v>
      </c>
      <c r="BQ198" s="5" t="str" cm="1">
        <f t="array" ref="BQ198">IFERROR(
    TRANSPOSE(
        _xlfn.UNIQUE(
            _xlfn._xlws.FILTER(MAESTRIA_DETALLADO[MAESTRIA],
                ISNUMBER(MATCH(MAESTRIA_DETALLADO[CAMPO_DETALLADO],
                BD198:BP198,0))
            )
        )
    ),IF(BD198="ACTIVIDAD","DOCENCIA",""))</f>
        <v/>
      </c>
      <c r="EA198" s="5" t="str" cm="1">
        <f t="array" ref="EA198:FN198">IF(
    ASIGNACION!I198="SI",
    IFERROR(
        TRANSPOSE(
            _xlfn.UNIQUE(
                _xlfn._xlws.FILTER(EDU_DOCENTE[NOMBRE_DOCENTE],
                    ISNUMBER(MATCH(EDU_DOCENTE[MAESTRIA],
                    BQ198:DY198,0))
                )
            )
        ),
        ""
    ),
    TRANSPOSE(
        _xlfn.UNIQUE(EDU_DOCENTE[NOMBRE_DOCENTE]
        )
    )
)</f>
        <v>ALCIVAR CEDEÑO BEATRIZ ISABEL</v>
      </c>
      <c r="EB198" t="str">
        <v>ALCIVAR VERA GEMA MICHELLE</v>
      </c>
      <c r="EC198" t="str">
        <v>ARAUZ CHAVEZ MARIO ROBERTO</v>
      </c>
      <c r="ED198" t="str">
        <v>BAILON LOURIDO WALTER ALBERTO</v>
      </c>
      <c r="EE198" t="str">
        <v>CALDERERO VILLAGOMEZ ERICK ANTONIO</v>
      </c>
      <c r="EF198" t="str">
        <v>CASTILLO GARCIA PAOLA GERMANIA</v>
      </c>
      <c r="EG198" t="str">
        <v>CEDEÑO CHOEZ PEDRO JAVIER</v>
      </c>
      <c r="EH198" t="str">
        <v>CEVALLOS HOPPE JUAN CARLOS</v>
      </c>
      <c r="EI198" t="str">
        <v>DELGADO CHAVEZ MARIA IRASEMA</v>
      </c>
      <c r="EJ198" t="str">
        <v>DUARTE VALENCIA CRISTHIAN DARIO</v>
      </c>
      <c r="EK198" t="str">
        <v>FORTTY BARBERAN DENNY ALEXANDER</v>
      </c>
      <c r="EL198" t="str">
        <v>GUTIERREZ ZAMBRANO CARMEN EBELINA</v>
      </c>
      <c r="EM198" t="str">
        <v>INTRIAGO MOLINA GEMA VALERIA</v>
      </c>
      <c r="EN198" t="str">
        <v>LINO VELEZ LEONEL LIVINGTON</v>
      </c>
      <c r="EO198" t="str">
        <v>LOOR ALCIVAR MARIA ILIANA</v>
      </c>
      <c r="EP198" t="str">
        <v>LOOR MIELES TANIA JACQUELINE</v>
      </c>
      <c r="EQ198" t="str">
        <v>LOOR SOLORZANO ROSA MARIA</v>
      </c>
      <c r="ER198" t="str">
        <v>LOPEZ DELGADO RONALD MAURICIO</v>
      </c>
      <c r="ES198" t="str">
        <v>MACIAS VALENCIA DAVID GABRIEL</v>
      </c>
      <c r="ET198" t="str">
        <v>MENDOZA ZAMORA WALTER MANUEL</v>
      </c>
      <c r="EU198" t="str">
        <v>MOLINA CEVALLOS MARIA LORENA</v>
      </c>
      <c r="EV198" t="str">
        <v>MURILLO DELGADO ISAAC GABRIEL</v>
      </c>
      <c r="EW198" t="str">
        <v>ANGULO MURILLO NAVIRA GISSELA</v>
      </c>
      <c r="EX198" t="str">
        <v>OCHOA SOLEDISPA NESTOR IVAN</v>
      </c>
      <c r="EY198" t="str">
        <v>PARRAGA FRANCO SILVANA MARIELA</v>
      </c>
      <c r="EZ198" t="str">
        <v>PINARGOTE VASQUEZ NANCY FABIOLA</v>
      </c>
      <c r="FA198" t="str">
        <v>REYES VELEZ PEDRO ENRIQUE</v>
      </c>
      <c r="FB198" t="str">
        <v>SAN ANDRES HORMAZA DALLAS CECILIA</v>
      </c>
      <c r="FC198" t="str">
        <v>SORNOZA ZAMORA JUAN CARLOS</v>
      </c>
      <c r="FD198" t="str">
        <v>TOMALA PINTO JESUS JACINTO</v>
      </c>
      <c r="FE198" t="str">
        <v>VALLE JARAMILLO SILVIA ARACELY</v>
      </c>
      <c r="FF198" t="str">
        <v>VELÁSQUEZ BRAVO IRMA KATHERINE</v>
      </c>
      <c r="FG198" t="str">
        <v>VELEZ MENDOZA LAYSY VALERIA</v>
      </c>
      <c r="FH198" t="str">
        <v>VINUEZA TELLO SHIRLEY ELIZABETH</v>
      </c>
      <c r="FI198" t="str">
        <v>ZAMBRANO ALCIVAR NILDA ISABEL</v>
      </c>
      <c r="FJ198" t="str">
        <v>ZAMBRANO LOOR RITA MAYDA</v>
      </c>
      <c r="FK198" t="str">
        <v>ZAMBRANO VERA MONICA JANETH</v>
      </c>
      <c r="FL198" t="str">
        <v>VERA DELGADO BRYAN ADRIÁN</v>
      </c>
      <c r="FM198" t="str">
        <v>MORAN GONZALES DAVID RENATO</v>
      </c>
      <c r="FN198">
        <v>0</v>
      </c>
    </row>
    <row r="199" spans="1:170" ht="20.25" customHeight="1">
      <c r="A199" s="4" t="str" cm="1">
        <f t="array" ref="A199">TRANSPOSE(_xlfn.UNIQUE(_xlfn._xlws.FILTER(MAE_ASIGNATURA[ID_NIVEL],MAE_ASIGNATURA[ID_CARRERA]=ASIGNACION!$C199,"No existe información")))</f>
        <v>No existe información</v>
      </c>
      <c r="S199" s="4" t="str" cm="1">
        <f t="array" ref="S199">TRANSPOSE(_xlfn.UNIQUE(_xlfn._xlws.FILTER(MAE_ASIGNATURA[NOM_ASIG],(MAE_ASIGNATURA[ID_NIVEL]=ASIGNACION!$D199)*(MAE_ASIGNATURA[ID_CARRERA]=ASIGNACION!$C199),"No existe información")))</f>
        <v>No existe información</v>
      </c>
      <c r="BD199" s="4" t="str" cm="1">
        <f t="array" ref="BD199">TRANSPOSE(_xlfn.UNIQUE(_xlfn._xlws.FILTER(DET_ASIG[DETALLADO],(DET_ASIG[ID_CARRERA]=ASIGNACION!$C199)*(DET_ASIG[NIVEL]=ASIGNACION!$D199)*(DET_ASIG[ID_ASIG]=ASIGNACION!$G199),"No existe información")))</f>
        <v>No existe información</v>
      </c>
      <c r="BQ199" s="5" t="str" cm="1">
        <f t="array" ref="BQ199">IFERROR(
    TRANSPOSE(
        _xlfn.UNIQUE(
            _xlfn._xlws.FILTER(MAESTRIA_DETALLADO[MAESTRIA],
                ISNUMBER(MATCH(MAESTRIA_DETALLADO[CAMPO_DETALLADO],
                BD199:BP199,0))
            )
        )
    ),IF(BD199="ACTIVIDAD","DOCENCIA",""))</f>
        <v/>
      </c>
      <c r="EA199" s="5" t="str" cm="1">
        <f t="array" ref="EA199:FN199">IF(
    ASIGNACION!I199="SI",
    IFERROR(
        TRANSPOSE(
            _xlfn.UNIQUE(
                _xlfn._xlws.FILTER(EDU_DOCENTE[NOMBRE_DOCENTE],
                    ISNUMBER(MATCH(EDU_DOCENTE[MAESTRIA],
                    BQ199:DY199,0))
                )
            )
        ),
        ""
    ),
    TRANSPOSE(
        _xlfn.UNIQUE(EDU_DOCENTE[NOMBRE_DOCENTE]
        )
    )
)</f>
        <v>ALCIVAR CEDEÑO BEATRIZ ISABEL</v>
      </c>
      <c r="EB199" t="str">
        <v>ALCIVAR VERA GEMA MICHELLE</v>
      </c>
      <c r="EC199" t="str">
        <v>ARAUZ CHAVEZ MARIO ROBERTO</v>
      </c>
      <c r="ED199" t="str">
        <v>BAILON LOURIDO WALTER ALBERTO</v>
      </c>
      <c r="EE199" t="str">
        <v>CALDERERO VILLAGOMEZ ERICK ANTONIO</v>
      </c>
      <c r="EF199" t="str">
        <v>CASTILLO GARCIA PAOLA GERMANIA</v>
      </c>
      <c r="EG199" t="str">
        <v>CEDEÑO CHOEZ PEDRO JAVIER</v>
      </c>
      <c r="EH199" t="str">
        <v>CEVALLOS HOPPE JUAN CARLOS</v>
      </c>
      <c r="EI199" t="str">
        <v>DELGADO CHAVEZ MARIA IRASEMA</v>
      </c>
      <c r="EJ199" t="str">
        <v>DUARTE VALENCIA CRISTHIAN DARIO</v>
      </c>
      <c r="EK199" t="str">
        <v>FORTTY BARBERAN DENNY ALEXANDER</v>
      </c>
      <c r="EL199" t="str">
        <v>GUTIERREZ ZAMBRANO CARMEN EBELINA</v>
      </c>
      <c r="EM199" t="str">
        <v>INTRIAGO MOLINA GEMA VALERIA</v>
      </c>
      <c r="EN199" t="str">
        <v>LINO VELEZ LEONEL LIVINGTON</v>
      </c>
      <c r="EO199" t="str">
        <v>LOOR ALCIVAR MARIA ILIANA</v>
      </c>
      <c r="EP199" t="str">
        <v>LOOR MIELES TANIA JACQUELINE</v>
      </c>
      <c r="EQ199" t="str">
        <v>LOOR SOLORZANO ROSA MARIA</v>
      </c>
      <c r="ER199" t="str">
        <v>LOPEZ DELGADO RONALD MAURICIO</v>
      </c>
      <c r="ES199" t="str">
        <v>MACIAS VALENCIA DAVID GABRIEL</v>
      </c>
      <c r="ET199" t="str">
        <v>MENDOZA ZAMORA WALTER MANUEL</v>
      </c>
      <c r="EU199" t="str">
        <v>MOLINA CEVALLOS MARIA LORENA</v>
      </c>
      <c r="EV199" t="str">
        <v>MURILLO DELGADO ISAAC GABRIEL</v>
      </c>
      <c r="EW199" t="str">
        <v>ANGULO MURILLO NAVIRA GISSELA</v>
      </c>
      <c r="EX199" t="str">
        <v>OCHOA SOLEDISPA NESTOR IVAN</v>
      </c>
      <c r="EY199" t="str">
        <v>PARRAGA FRANCO SILVANA MARIELA</v>
      </c>
      <c r="EZ199" t="str">
        <v>PINARGOTE VASQUEZ NANCY FABIOLA</v>
      </c>
      <c r="FA199" t="str">
        <v>REYES VELEZ PEDRO ENRIQUE</v>
      </c>
      <c r="FB199" t="str">
        <v>SAN ANDRES HORMAZA DALLAS CECILIA</v>
      </c>
      <c r="FC199" t="str">
        <v>SORNOZA ZAMORA JUAN CARLOS</v>
      </c>
      <c r="FD199" t="str">
        <v>TOMALA PINTO JESUS JACINTO</v>
      </c>
      <c r="FE199" t="str">
        <v>VALLE JARAMILLO SILVIA ARACELY</v>
      </c>
      <c r="FF199" t="str">
        <v>VELÁSQUEZ BRAVO IRMA KATHERINE</v>
      </c>
      <c r="FG199" t="str">
        <v>VELEZ MENDOZA LAYSY VALERIA</v>
      </c>
      <c r="FH199" t="str">
        <v>VINUEZA TELLO SHIRLEY ELIZABETH</v>
      </c>
      <c r="FI199" t="str">
        <v>ZAMBRANO ALCIVAR NILDA ISABEL</v>
      </c>
      <c r="FJ199" t="str">
        <v>ZAMBRANO LOOR RITA MAYDA</v>
      </c>
      <c r="FK199" t="str">
        <v>ZAMBRANO VERA MONICA JANETH</v>
      </c>
      <c r="FL199" t="str">
        <v>VERA DELGADO BRYAN ADRIÁN</v>
      </c>
      <c r="FM199" t="str">
        <v>MORAN GONZALES DAVID RENATO</v>
      </c>
      <c r="FN199">
        <v>0</v>
      </c>
    </row>
    <row r="200" spans="1:170" ht="20.25" customHeight="1">
      <c r="A200" s="4" t="str" cm="1">
        <f t="array" ref="A200">TRANSPOSE(_xlfn.UNIQUE(_xlfn._xlws.FILTER(MAE_ASIGNATURA[ID_NIVEL],MAE_ASIGNATURA[ID_CARRERA]=ASIGNACION!$C200,"No existe información")))</f>
        <v>No existe información</v>
      </c>
      <c r="S200" s="4" t="str" cm="1">
        <f t="array" ref="S200">TRANSPOSE(_xlfn.UNIQUE(_xlfn._xlws.FILTER(MAE_ASIGNATURA[NOM_ASIG],(MAE_ASIGNATURA[ID_NIVEL]=ASIGNACION!$D200)*(MAE_ASIGNATURA[ID_CARRERA]=ASIGNACION!$C200),"No existe información")))</f>
        <v>No existe información</v>
      </c>
      <c r="BD200" s="4" t="str" cm="1">
        <f t="array" ref="BD200">TRANSPOSE(_xlfn.UNIQUE(_xlfn._xlws.FILTER(DET_ASIG[DETALLADO],(DET_ASIG[ID_CARRERA]=ASIGNACION!$C200)*(DET_ASIG[NIVEL]=ASIGNACION!$D200)*(DET_ASIG[ID_ASIG]=ASIGNACION!$G200),"No existe información")))</f>
        <v>No existe información</v>
      </c>
      <c r="BQ200" s="5" t="str" cm="1">
        <f t="array" ref="BQ200">IFERROR(
    TRANSPOSE(
        _xlfn.UNIQUE(
            _xlfn._xlws.FILTER(MAESTRIA_DETALLADO[MAESTRIA],
                ISNUMBER(MATCH(MAESTRIA_DETALLADO[CAMPO_DETALLADO],
                BD200:BP200,0))
            )
        )
    ),IF(BD200="ACTIVIDAD","DOCENCIA",""))</f>
        <v/>
      </c>
      <c r="EA200" s="5" t="str" cm="1">
        <f t="array" ref="EA200:FN200">IF(
    ASIGNACION!I200="SI",
    IFERROR(
        TRANSPOSE(
            _xlfn.UNIQUE(
                _xlfn._xlws.FILTER(EDU_DOCENTE[NOMBRE_DOCENTE],
                    ISNUMBER(MATCH(EDU_DOCENTE[MAESTRIA],
                    BQ200:DY200,0))
                )
            )
        ),
        ""
    ),
    TRANSPOSE(
        _xlfn.UNIQUE(EDU_DOCENTE[NOMBRE_DOCENTE]
        )
    )
)</f>
        <v>ALCIVAR CEDEÑO BEATRIZ ISABEL</v>
      </c>
      <c r="EB200" t="str">
        <v>ALCIVAR VERA GEMA MICHELLE</v>
      </c>
      <c r="EC200" t="str">
        <v>ARAUZ CHAVEZ MARIO ROBERTO</v>
      </c>
      <c r="ED200" t="str">
        <v>BAILON LOURIDO WALTER ALBERTO</v>
      </c>
      <c r="EE200" t="str">
        <v>CALDERERO VILLAGOMEZ ERICK ANTONIO</v>
      </c>
      <c r="EF200" t="str">
        <v>CASTILLO GARCIA PAOLA GERMANIA</v>
      </c>
      <c r="EG200" t="str">
        <v>CEDEÑO CHOEZ PEDRO JAVIER</v>
      </c>
      <c r="EH200" t="str">
        <v>CEVALLOS HOPPE JUAN CARLOS</v>
      </c>
      <c r="EI200" t="str">
        <v>DELGADO CHAVEZ MARIA IRASEMA</v>
      </c>
      <c r="EJ200" t="str">
        <v>DUARTE VALENCIA CRISTHIAN DARIO</v>
      </c>
      <c r="EK200" t="str">
        <v>FORTTY BARBERAN DENNY ALEXANDER</v>
      </c>
      <c r="EL200" t="str">
        <v>GUTIERREZ ZAMBRANO CARMEN EBELINA</v>
      </c>
      <c r="EM200" t="str">
        <v>INTRIAGO MOLINA GEMA VALERIA</v>
      </c>
      <c r="EN200" t="str">
        <v>LINO VELEZ LEONEL LIVINGTON</v>
      </c>
      <c r="EO200" t="str">
        <v>LOOR ALCIVAR MARIA ILIANA</v>
      </c>
      <c r="EP200" t="str">
        <v>LOOR MIELES TANIA JACQUELINE</v>
      </c>
      <c r="EQ200" t="str">
        <v>LOOR SOLORZANO ROSA MARIA</v>
      </c>
      <c r="ER200" t="str">
        <v>LOPEZ DELGADO RONALD MAURICIO</v>
      </c>
      <c r="ES200" t="str">
        <v>MACIAS VALENCIA DAVID GABRIEL</v>
      </c>
      <c r="ET200" t="str">
        <v>MENDOZA ZAMORA WALTER MANUEL</v>
      </c>
      <c r="EU200" t="str">
        <v>MOLINA CEVALLOS MARIA LORENA</v>
      </c>
      <c r="EV200" t="str">
        <v>MURILLO DELGADO ISAAC GABRIEL</v>
      </c>
      <c r="EW200" t="str">
        <v>ANGULO MURILLO NAVIRA GISSELA</v>
      </c>
      <c r="EX200" t="str">
        <v>OCHOA SOLEDISPA NESTOR IVAN</v>
      </c>
      <c r="EY200" t="str">
        <v>PARRAGA FRANCO SILVANA MARIELA</v>
      </c>
      <c r="EZ200" t="str">
        <v>PINARGOTE VASQUEZ NANCY FABIOLA</v>
      </c>
      <c r="FA200" t="str">
        <v>REYES VELEZ PEDRO ENRIQUE</v>
      </c>
      <c r="FB200" t="str">
        <v>SAN ANDRES HORMAZA DALLAS CECILIA</v>
      </c>
      <c r="FC200" t="str">
        <v>SORNOZA ZAMORA JUAN CARLOS</v>
      </c>
      <c r="FD200" t="str">
        <v>TOMALA PINTO JESUS JACINTO</v>
      </c>
      <c r="FE200" t="str">
        <v>VALLE JARAMILLO SILVIA ARACELY</v>
      </c>
      <c r="FF200" t="str">
        <v>VELÁSQUEZ BRAVO IRMA KATHERINE</v>
      </c>
      <c r="FG200" t="str">
        <v>VELEZ MENDOZA LAYSY VALERIA</v>
      </c>
      <c r="FH200" t="str">
        <v>VINUEZA TELLO SHIRLEY ELIZABETH</v>
      </c>
      <c r="FI200" t="str">
        <v>ZAMBRANO ALCIVAR NILDA ISABEL</v>
      </c>
      <c r="FJ200" t="str">
        <v>ZAMBRANO LOOR RITA MAYDA</v>
      </c>
      <c r="FK200" t="str">
        <v>ZAMBRANO VERA MONICA JANETH</v>
      </c>
      <c r="FL200" t="str">
        <v>VERA DELGADO BRYAN ADRIÁN</v>
      </c>
      <c r="FM200" t="str">
        <v>MORAN GONZALES DAVID RENATO</v>
      </c>
      <c r="FN200">
        <v>0</v>
      </c>
    </row>
    <row r="201" spans="1:170" ht="20.25" customHeight="1">
      <c r="A201" s="4" t="str" cm="1">
        <f t="array" ref="A201">TRANSPOSE(_xlfn.UNIQUE(_xlfn._xlws.FILTER(MAE_ASIGNATURA[ID_NIVEL],MAE_ASIGNATURA[ID_CARRERA]=ASIGNACION!$C201,"No existe información")))</f>
        <v>No existe información</v>
      </c>
      <c r="S201" s="4" t="str" cm="1">
        <f t="array" ref="S201">TRANSPOSE(_xlfn.UNIQUE(_xlfn._xlws.FILTER(MAE_ASIGNATURA[NOM_ASIG],(MAE_ASIGNATURA[ID_NIVEL]=ASIGNACION!$D201)*(MAE_ASIGNATURA[ID_CARRERA]=ASIGNACION!$C201),"No existe información")))</f>
        <v>No existe información</v>
      </c>
      <c r="BD201" s="4" t="str" cm="1">
        <f t="array" ref="BD201">TRANSPOSE(_xlfn.UNIQUE(_xlfn._xlws.FILTER(DET_ASIG[DETALLADO],(DET_ASIG[ID_CARRERA]=ASIGNACION!$C201)*(DET_ASIG[NIVEL]=ASIGNACION!$D201)*(DET_ASIG[ID_ASIG]=ASIGNACION!$G201),"No existe información")))</f>
        <v>No existe información</v>
      </c>
      <c r="BQ201" s="5" t="str" cm="1">
        <f t="array" ref="BQ201">IFERROR(
    TRANSPOSE(
        _xlfn.UNIQUE(
            _xlfn._xlws.FILTER(MAESTRIA_DETALLADO[MAESTRIA],
                ISNUMBER(MATCH(MAESTRIA_DETALLADO[CAMPO_DETALLADO],
                BD201:BP201,0))
            )
        )
    ),IF(BD201="ACTIVIDAD","DOCENCIA",""))</f>
        <v/>
      </c>
      <c r="EA201" s="5" t="str" cm="1">
        <f t="array" ref="EA201:FN201">IF(
    ASIGNACION!I201="SI",
    IFERROR(
        TRANSPOSE(
            _xlfn.UNIQUE(
                _xlfn._xlws.FILTER(EDU_DOCENTE[NOMBRE_DOCENTE],
                    ISNUMBER(MATCH(EDU_DOCENTE[MAESTRIA],
                    BQ201:DY201,0))
                )
            )
        ),
        ""
    ),
    TRANSPOSE(
        _xlfn.UNIQUE(EDU_DOCENTE[NOMBRE_DOCENTE]
        )
    )
)</f>
        <v>ALCIVAR CEDEÑO BEATRIZ ISABEL</v>
      </c>
      <c r="EB201" t="str">
        <v>ALCIVAR VERA GEMA MICHELLE</v>
      </c>
      <c r="EC201" t="str">
        <v>ARAUZ CHAVEZ MARIO ROBERTO</v>
      </c>
      <c r="ED201" t="str">
        <v>BAILON LOURIDO WALTER ALBERTO</v>
      </c>
      <c r="EE201" t="str">
        <v>CALDERERO VILLAGOMEZ ERICK ANTONIO</v>
      </c>
      <c r="EF201" t="str">
        <v>CASTILLO GARCIA PAOLA GERMANIA</v>
      </c>
      <c r="EG201" t="str">
        <v>CEDEÑO CHOEZ PEDRO JAVIER</v>
      </c>
      <c r="EH201" t="str">
        <v>CEVALLOS HOPPE JUAN CARLOS</v>
      </c>
      <c r="EI201" t="str">
        <v>DELGADO CHAVEZ MARIA IRASEMA</v>
      </c>
      <c r="EJ201" t="str">
        <v>DUARTE VALENCIA CRISTHIAN DARIO</v>
      </c>
      <c r="EK201" t="str">
        <v>FORTTY BARBERAN DENNY ALEXANDER</v>
      </c>
      <c r="EL201" t="str">
        <v>GUTIERREZ ZAMBRANO CARMEN EBELINA</v>
      </c>
      <c r="EM201" t="str">
        <v>INTRIAGO MOLINA GEMA VALERIA</v>
      </c>
      <c r="EN201" t="str">
        <v>LINO VELEZ LEONEL LIVINGTON</v>
      </c>
      <c r="EO201" t="str">
        <v>LOOR ALCIVAR MARIA ILIANA</v>
      </c>
      <c r="EP201" t="str">
        <v>LOOR MIELES TANIA JACQUELINE</v>
      </c>
      <c r="EQ201" t="str">
        <v>LOOR SOLORZANO ROSA MARIA</v>
      </c>
      <c r="ER201" t="str">
        <v>LOPEZ DELGADO RONALD MAURICIO</v>
      </c>
      <c r="ES201" t="str">
        <v>MACIAS VALENCIA DAVID GABRIEL</v>
      </c>
      <c r="ET201" t="str">
        <v>MENDOZA ZAMORA WALTER MANUEL</v>
      </c>
      <c r="EU201" t="str">
        <v>MOLINA CEVALLOS MARIA LORENA</v>
      </c>
      <c r="EV201" t="str">
        <v>MURILLO DELGADO ISAAC GABRIEL</v>
      </c>
      <c r="EW201" t="str">
        <v>ANGULO MURILLO NAVIRA GISSELA</v>
      </c>
      <c r="EX201" t="str">
        <v>OCHOA SOLEDISPA NESTOR IVAN</v>
      </c>
      <c r="EY201" t="str">
        <v>PARRAGA FRANCO SILVANA MARIELA</v>
      </c>
      <c r="EZ201" t="str">
        <v>PINARGOTE VASQUEZ NANCY FABIOLA</v>
      </c>
      <c r="FA201" t="str">
        <v>REYES VELEZ PEDRO ENRIQUE</v>
      </c>
      <c r="FB201" t="str">
        <v>SAN ANDRES HORMAZA DALLAS CECILIA</v>
      </c>
      <c r="FC201" t="str">
        <v>SORNOZA ZAMORA JUAN CARLOS</v>
      </c>
      <c r="FD201" t="str">
        <v>TOMALA PINTO JESUS JACINTO</v>
      </c>
      <c r="FE201" t="str">
        <v>VALLE JARAMILLO SILVIA ARACELY</v>
      </c>
      <c r="FF201" t="str">
        <v>VELÁSQUEZ BRAVO IRMA KATHERINE</v>
      </c>
      <c r="FG201" t="str">
        <v>VELEZ MENDOZA LAYSY VALERIA</v>
      </c>
      <c r="FH201" t="str">
        <v>VINUEZA TELLO SHIRLEY ELIZABETH</v>
      </c>
      <c r="FI201" t="str">
        <v>ZAMBRANO ALCIVAR NILDA ISABEL</v>
      </c>
      <c r="FJ201" t="str">
        <v>ZAMBRANO LOOR RITA MAYDA</v>
      </c>
      <c r="FK201" t="str">
        <v>ZAMBRANO VERA MONICA JANETH</v>
      </c>
      <c r="FL201" t="str">
        <v>VERA DELGADO BRYAN ADRIÁN</v>
      </c>
      <c r="FM201" t="str">
        <v>MORAN GONZALES DAVID RENATO</v>
      </c>
      <c r="FN201">
        <v>0</v>
      </c>
    </row>
    <row r="202" spans="1:170" ht="20.25" customHeight="1">
      <c r="A202" s="4" t="str" cm="1">
        <f t="array" ref="A202">TRANSPOSE(_xlfn.UNIQUE(_xlfn._xlws.FILTER(MAE_ASIGNATURA[ID_NIVEL],MAE_ASIGNATURA[ID_CARRERA]=ASIGNACION!$C202,"No existe información")))</f>
        <v>No existe información</v>
      </c>
      <c r="S202" s="4" t="str" cm="1">
        <f t="array" ref="S202">TRANSPOSE(_xlfn.UNIQUE(_xlfn._xlws.FILTER(MAE_ASIGNATURA[NOM_ASIG],(MAE_ASIGNATURA[ID_NIVEL]=ASIGNACION!$D202)*(MAE_ASIGNATURA[ID_CARRERA]=ASIGNACION!$C202),"No existe información")))</f>
        <v>No existe información</v>
      </c>
      <c r="BD202" s="4" t="str" cm="1">
        <f t="array" ref="BD202">TRANSPOSE(_xlfn.UNIQUE(_xlfn._xlws.FILTER(DET_ASIG[DETALLADO],(DET_ASIG[ID_CARRERA]=ASIGNACION!$C202)*(DET_ASIG[NIVEL]=ASIGNACION!$D202)*(DET_ASIG[ID_ASIG]=ASIGNACION!$G202),"No existe información")))</f>
        <v>No existe información</v>
      </c>
      <c r="BQ202" s="5" t="str" cm="1">
        <f t="array" ref="BQ202">IFERROR(
    TRANSPOSE(
        _xlfn.UNIQUE(
            _xlfn._xlws.FILTER(MAESTRIA_DETALLADO[MAESTRIA],
                ISNUMBER(MATCH(MAESTRIA_DETALLADO[CAMPO_DETALLADO],
                BD202:BP202,0))
            )
        )
    ),IF(BD202="ACTIVIDAD","DOCENCIA",""))</f>
        <v/>
      </c>
      <c r="EA202" s="5" t="str" cm="1">
        <f t="array" ref="EA202:FN202">IF(
    ASIGNACION!I202="SI",
    IFERROR(
        TRANSPOSE(
            _xlfn.UNIQUE(
                _xlfn._xlws.FILTER(EDU_DOCENTE[NOMBRE_DOCENTE],
                    ISNUMBER(MATCH(EDU_DOCENTE[MAESTRIA],
                    BQ202:DY202,0))
                )
            )
        ),
        ""
    ),
    TRANSPOSE(
        _xlfn.UNIQUE(EDU_DOCENTE[NOMBRE_DOCENTE]
        )
    )
)</f>
        <v>ALCIVAR CEDEÑO BEATRIZ ISABEL</v>
      </c>
      <c r="EB202" t="str">
        <v>ALCIVAR VERA GEMA MICHELLE</v>
      </c>
      <c r="EC202" t="str">
        <v>ARAUZ CHAVEZ MARIO ROBERTO</v>
      </c>
      <c r="ED202" t="str">
        <v>BAILON LOURIDO WALTER ALBERTO</v>
      </c>
      <c r="EE202" t="str">
        <v>CALDERERO VILLAGOMEZ ERICK ANTONIO</v>
      </c>
      <c r="EF202" t="str">
        <v>CASTILLO GARCIA PAOLA GERMANIA</v>
      </c>
      <c r="EG202" t="str">
        <v>CEDEÑO CHOEZ PEDRO JAVIER</v>
      </c>
      <c r="EH202" t="str">
        <v>CEVALLOS HOPPE JUAN CARLOS</v>
      </c>
      <c r="EI202" t="str">
        <v>DELGADO CHAVEZ MARIA IRASEMA</v>
      </c>
      <c r="EJ202" t="str">
        <v>DUARTE VALENCIA CRISTHIAN DARIO</v>
      </c>
      <c r="EK202" t="str">
        <v>FORTTY BARBERAN DENNY ALEXANDER</v>
      </c>
      <c r="EL202" t="str">
        <v>GUTIERREZ ZAMBRANO CARMEN EBELINA</v>
      </c>
      <c r="EM202" t="str">
        <v>INTRIAGO MOLINA GEMA VALERIA</v>
      </c>
      <c r="EN202" t="str">
        <v>LINO VELEZ LEONEL LIVINGTON</v>
      </c>
      <c r="EO202" t="str">
        <v>LOOR ALCIVAR MARIA ILIANA</v>
      </c>
      <c r="EP202" t="str">
        <v>LOOR MIELES TANIA JACQUELINE</v>
      </c>
      <c r="EQ202" t="str">
        <v>LOOR SOLORZANO ROSA MARIA</v>
      </c>
      <c r="ER202" t="str">
        <v>LOPEZ DELGADO RONALD MAURICIO</v>
      </c>
      <c r="ES202" t="str">
        <v>MACIAS VALENCIA DAVID GABRIEL</v>
      </c>
      <c r="ET202" t="str">
        <v>MENDOZA ZAMORA WALTER MANUEL</v>
      </c>
      <c r="EU202" t="str">
        <v>MOLINA CEVALLOS MARIA LORENA</v>
      </c>
      <c r="EV202" t="str">
        <v>MURILLO DELGADO ISAAC GABRIEL</v>
      </c>
      <c r="EW202" t="str">
        <v>ANGULO MURILLO NAVIRA GISSELA</v>
      </c>
      <c r="EX202" t="str">
        <v>OCHOA SOLEDISPA NESTOR IVAN</v>
      </c>
      <c r="EY202" t="str">
        <v>PARRAGA FRANCO SILVANA MARIELA</v>
      </c>
      <c r="EZ202" t="str">
        <v>PINARGOTE VASQUEZ NANCY FABIOLA</v>
      </c>
      <c r="FA202" t="str">
        <v>REYES VELEZ PEDRO ENRIQUE</v>
      </c>
      <c r="FB202" t="str">
        <v>SAN ANDRES HORMAZA DALLAS CECILIA</v>
      </c>
      <c r="FC202" t="str">
        <v>SORNOZA ZAMORA JUAN CARLOS</v>
      </c>
      <c r="FD202" t="str">
        <v>TOMALA PINTO JESUS JACINTO</v>
      </c>
      <c r="FE202" t="str">
        <v>VALLE JARAMILLO SILVIA ARACELY</v>
      </c>
      <c r="FF202" t="str">
        <v>VELÁSQUEZ BRAVO IRMA KATHERINE</v>
      </c>
      <c r="FG202" t="str">
        <v>VELEZ MENDOZA LAYSY VALERIA</v>
      </c>
      <c r="FH202" t="str">
        <v>VINUEZA TELLO SHIRLEY ELIZABETH</v>
      </c>
      <c r="FI202" t="str">
        <v>ZAMBRANO ALCIVAR NILDA ISABEL</v>
      </c>
      <c r="FJ202" t="str">
        <v>ZAMBRANO LOOR RITA MAYDA</v>
      </c>
      <c r="FK202" t="str">
        <v>ZAMBRANO VERA MONICA JANETH</v>
      </c>
      <c r="FL202" t="str">
        <v>VERA DELGADO BRYAN ADRIÁN</v>
      </c>
      <c r="FM202" t="str">
        <v>MORAN GONZALES DAVID RENATO</v>
      </c>
      <c r="FN202">
        <v>0</v>
      </c>
    </row>
    <row r="203" spans="1:170" ht="20.25" customHeight="1">
      <c r="A203" s="4" t="str" cm="1">
        <f t="array" ref="A203">TRANSPOSE(_xlfn.UNIQUE(_xlfn._xlws.FILTER(MAE_ASIGNATURA[ID_NIVEL],MAE_ASIGNATURA[ID_CARRERA]=ASIGNACION!$C203,"No existe información")))</f>
        <v>No existe información</v>
      </c>
      <c r="S203" s="4" t="str" cm="1">
        <f t="array" ref="S203">TRANSPOSE(_xlfn.UNIQUE(_xlfn._xlws.FILTER(MAE_ASIGNATURA[NOM_ASIG],(MAE_ASIGNATURA[ID_NIVEL]=ASIGNACION!$D203)*(MAE_ASIGNATURA[ID_CARRERA]=ASIGNACION!$C203),"No existe información")))</f>
        <v>No existe información</v>
      </c>
      <c r="BD203" s="4" t="str" cm="1">
        <f t="array" ref="BD203">TRANSPOSE(_xlfn.UNIQUE(_xlfn._xlws.FILTER(DET_ASIG[DETALLADO],(DET_ASIG[ID_CARRERA]=ASIGNACION!$C203)*(DET_ASIG[NIVEL]=ASIGNACION!$D203)*(DET_ASIG[ID_ASIG]=ASIGNACION!$G203),"No existe información")))</f>
        <v>No existe información</v>
      </c>
      <c r="BQ203" s="5" t="str" cm="1">
        <f t="array" ref="BQ203">IFERROR(
    TRANSPOSE(
        _xlfn.UNIQUE(
            _xlfn._xlws.FILTER(MAESTRIA_DETALLADO[MAESTRIA],
                ISNUMBER(MATCH(MAESTRIA_DETALLADO[CAMPO_DETALLADO],
                BD203:BP203,0))
            )
        )
    ),IF(BD203="ACTIVIDAD","DOCENCIA",""))</f>
        <v/>
      </c>
      <c r="EA203" s="5" t="str" cm="1">
        <f t="array" ref="EA203:FN203">IF(
    ASIGNACION!I203="SI",
    IFERROR(
        TRANSPOSE(
            _xlfn.UNIQUE(
                _xlfn._xlws.FILTER(EDU_DOCENTE[NOMBRE_DOCENTE],
                    ISNUMBER(MATCH(EDU_DOCENTE[MAESTRIA],
                    BQ203:DY203,0))
                )
            )
        ),
        ""
    ),
    TRANSPOSE(
        _xlfn.UNIQUE(EDU_DOCENTE[NOMBRE_DOCENTE]
        )
    )
)</f>
        <v>ALCIVAR CEDEÑO BEATRIZ ISABEL</v>
      </c>
      <c r="EB203" t="str">
        <v>ALCIVAR VERA GEMA MICHELLE</v>
      </c>
      <c r="EC203" t="str">
        <v>ARAUZ CHAVEZ MARIO ROBERTO</v>
      </c>
      <c r="ED203" t="str">
        <v>BAILON LOURIDO WALTER ALBERTO</v>
      </c>
      <c r="EE203" t="str">
        <v>CALDERERO VILLAGOMEZ ERICK ANTONIO</v>
      </c>
      <c r="EF203" t="str">
        <v>CASTILLO GARCIA PAOLA GERMANIA</v>
      </c>
      <c r="EG203" t="str">
        <v>CEDEÑO CHOEZ PEDRO JAVIER</v>
      </c>
      <c r="EH203" t="str">
        <v>CEVALLOS HOPPE JUAN CARLOS</v>
      </c>
      <c r="EI203" t="str">
        <v>DELGADO CHAVEZ MARIA IRASEMA</v>
      </c>
      <c r="EJ203" t="str">
        <v>DUARTE VALENCIA CRISTHIAN DARIO</v>
      </c>
      <c r="EK203" t="str">
        <v>FORTTY BARBERAN DENNY ALEXANDER</v>
      </c>
      <c r="EL203" t="str">
        <v>GUTIERREZ ZAMBRANO CARMEN EBELINA</v>
      </c>
      <c r="EM203" t="str">
        <v>INTRIAGO MOLINA GEMA VALERIA</v>
      </c>
      <c r="EN203" t="str">
        <v>LINO VELEZ LEONEL LIVINGTON</v>
      </c>
      <c r="EO203" t="str">
        <v>LOOR ALCIVAR MARIA ILIANA</v>
      </c>
      <c r="EP203" t="str">
        <v>LOOR MIELES TANIA JACQUELINE</v>
      </c>
      <c r="EQ203" t="str">
        <v>LOOR SOLORZANO ROSA MARIA</v>
      </c>
      <c r="ER203" t="str">
        <v>LOPEZ DELGADO RONALD MAURICIO</v>
      </c>
      <c r="ES203" t="str">
        <v>MACIAS VALENCIA DAVID GABRIEL</v>
      </c>
      <c r="ET203" t="str">
        <v>MENDOZA ZAMORA WALTER MANUEL</v>
      </c>
      <c r="EU203" t="str">
        <v>MOLINA CEVALLOS MARIA LORENA</v>
      </c>
      <c r="EV203" t="str">
        <v>MURILLO DELGADO ISAAC GABRIEL</v>
      </c>
      <c r="EW203" t="str">
        <v>ANGULO MURILLO NAVIRA GISSELA</v>
      </c>
      <c r="EX203" t="str">
        <v>OCHOA SOLEDISPA NESTOR IVAN</v>
      </c>
      <c r="EY203" t="str">
        <v>PARRAGA FRANCO SILVANA MARIELA</v>
      </c>
      <c r="EZ203" t="str">
        <v>PINARGOTE VASQUEZ NANCY FABIOLA</v>
      </c>
      <c r="FA203" t="str">
        <v>REYES VELEZ PEDRO ENRIQUE</v>
      </c>
      <c r="FB203" t="str">
        <v>SAN ANDRES HORMAZA DALLAS CECILIA</v>
      </c>
      <c r="FC203" t="str">
        <v>SORNOZA ZAMORA JUAN CARLOS</v>
      </c>
      <c r="FD203" t="str">
        <v>TOMALA PINTO JESUS JACINTO</v>
      </c>
      <c r="FE203" t="str">
        <v>VALLE JARAMILLO SILVIA ARACELY</v>
      </c>
      <c r="FF203" t="str">
        <v>VELÁSQUEZ BRAVO IRMA KATHERINE</v>
      </c>
      <c r="FG203" t="str">
        <v>VELEZ MENDOZA LAYSY VALERIA</v>
      </c>
      <c r="FH203" t="str">
        <v>VINUEZA TELLO SHIRLEY ELIZABETH</v>
      </c>
      <c r="FI203" t="str">
        <v>ZAMBRANO ALCIVAR NILDA ISABEL</v>
      </c>
      <c r="FJ203" t="str">
        <v>ZAMBRANO LOOR RITA MAYDA</v>
      </c>
      <c r="FK203" t="str">
        <v>ZAMBRANO VERA MONICA JANETH</v>
      </c>
      <c r="FL203" t="str">
        <v>VERA DELGADO BRYAN ADRIÁN</v>
      </c>
      <c r="FM203" t="str">
        <v>MORAN GONZALES DAVID RENATO</v>
      </c>
      <c r="FN203">
        <v>0</v>
      </c>
    </row>
    <row r="204" spans="1:170" ht="20.25" customHeight="1">
      <c r="A204" s="4" t="str" cm="1">
        <f t="array" ref="A204">TRANSPOSE(_xlfn.UNIQUE(_xlfn._xlws.FILTER(MAE_ASIGNATURA[ID_NIVEL],MAE_ASIGNATURA[ID_CARRERA]=ASIGNACION!$C204,"No existe información")))</f>
        <v>No existe información</v>
      </c>
      <c r="S204" s="4" t="str" cm="1">
        <f t="array" ref="S204">TRANSPOSE(_xlfn.UNIQUE(_xlfn._xlws.FILTER(MAE_ASIGNATURA[NOM_ASIG],(MAE_ASIGNATURA[ID_NIVEL]=ASIGNACION!$D204)*(MAE_ASIGNATURA[ID_CARRERA]=ASIGNACION!$C204),"No existe información")))</f>
        <v>No existe información</v>
      </c>
      <c r="BD204" s="4" t="str" cm="1">
        <f t="array" ref="BD204">TRANSPOSE(_xlfn.UNIQUE(_xlfn._xlws.FILTER(DET_ASIG[DETALLADO],(DET_ASIG[ID_CARRERA]=ASIGNACION!$C204)*(DET_ASIG[NIVEL]=ASIGNACION!$D204)*(DET_ASIG[ID_ASIG]=ASIGNACION!$G204),"No existe información")))</f>
        <v>No existe información</v>
      </c>
      <c r="BQ204" s="5" t="str" cm="1">
        <f t="array" ref="BQ204">IFERROR(
    TRANSPOSE(
        _xlfn.UNIQUE(
            _xlfn._xlws.FILTER(MAESTRIA_DETALLADO[MAESTRIA],
                ISNUMBER(MATCH(MAESTRIA_DETALLADO[CAMPO_DETALLADO],
                BD204:BP204,0))
            )
        )
    ),IF(BD204="ACTIVIDAD","DOCENCIA",""))</f>
        <v/>
      </c>
      <c r="EA204" s="5" t="str" cm="1">
        <f t="array" ref="EA204:FN204">IF(
    ASIGNACION!I204="SI",
    IFERROR(
        TRANSPOSE(
            _xlfn.UNIQUE(
                _xlfn._xlws.FILTER(EDU_DOCENTE[NOMBRE_DOCENTE],
                    ISNUMBER(MATCH(EDU_DOCENTE[MAESTRIA],
                    BQ204:DY204,0))
                )
            )
        ),
        ""
    ),
    TRANSPOSE(
        _xlfn.UNIQUE(EDU_DOCENTE[NOMBRE_DOCENTE]
        )
    )
)</f>
        <v>ALCIVAR CEDEÑO BEATRIZ ISABEL</v>
      </c>
      <c r="EB204" t="str">
        <v>ALCIVAR VERA GEMA MICHELLE</v>
      </c>
      <c r="EC204" t="str">
        <v>ARAUZ CHAVEZ MARIO ROBERTO</v>
      </c>
      <c r="ED204" t="str">
        <v>BAILON LOURIDO WALTER ALBERTO</v>
      </c>
      <c r="EE204" t="str">
        <v>CALDERERO VILLAGOMEZ ERICK ANTONIO</v>
      </c>
      <c r="EF204" t="str">
        <v>CASTILLO GARCIA PAOLA GERMANIA</v>
      </c>
      <c r="EG204" t="str">
        <v>CEDEÑO CHOEZ PEDRO JAVIER</v>
      </c>
      <c r="EH204" t="str">
        <v>CEVALLOS HOPPE JUAN CARLOS</v>
      </c>
      <c r="EI204" t="str">
        <v>DELGADO CHAVEZ MARIA IRASEMA</v>
      </c>
      <c r="EJ204" t="str">
        <v>DUARTE VALENCIA CRISTHIAN DARIO</v>
      </c>
      <c r="EK204" t="str">
        <v>FORTTY BARBERAN DENNY ALEXANDER</v>
      </c>
      <c r="EL204" t="str">
        <v>GUTIERREZ ZAMBRANO CARMEN EBELINA</v>
      </c>
      <c r="EM204" t="str">
        <v>INTRIAGO MOLINA GEMA VALERIA</v>
      </c>
      <c r="EN204" t="str">
        <v>LINO VELEZ LEONEL LIVINGTON</v>
      </c>
      <c r="EO204" t="str">
        <v>LOOR ALCIVAR MARIA ILIANA</v>
      </c>
      <c r="EP204" t="str">
        <v>LOOR MIELES TANIA JACQUELINE</v>
      </c>
      <c r="EQ204" t="str">
        <v>LOOR SOLORZANO ROSA MARIA</v>
      </c>
      <c r="ER204" t="str">
        <v>LOPEZ DELGADO RONALD MAURICIO</v>
      </c>
      <c r="ES204" t="str">
        <v>MACIAS VALENCIA DAVID GABRIEL</v>
      </c>
      <c r="ET204" t="str">
        <v>MENDOZA ZAMORA WALTER MANUEL</v>
      </c>
      <c r="EU204" t="str">
        <v>MOLINA CEVALLOS MARIA LORENA</v>
      </c>
      <c r="EV204" t="str">
        <v>MURILLO DELGADO ISAAC GABRIEL</v>
      </c>
      <c r="EW204" t="str">
        <v>ANGULO MURILLO NAVIRA GISSELA</v>
      </c>
      <c r="EX204" t="str">
        <v>OCHOA SOLEDISPA NESTOR IVAN</v>
      </c>
      <c r="EY204" t="str">
        <v>PARRAGA FRANCO SILVANA MARIELA</v>
      </c>
      <c r="EZ204" t="str">
        <v>PINARGOTE VASQUEZ NANCY FABIOLA</v>
      </c>
      <c r="FA204" t="str">
        <v>REYES VELEZ PEDRO ENRIQUE</v>
      </c>
      <c r="FB204" t="str">
        <v>SAN ANDRES HORMAZA DALLAS CECILIA</v>
      </c>
      <c r="FC204" t="str">
        <v>SORNOZA ZAMORA JUAN CARLOS</v>
      </c>
      <c r="FD204" t="str">
        <v>TOMALA PINTO JESUS JACINTO</v>
      </c>
      <c r="FE204" t="str">
        <v>VALLE JARAMILLO SILVIA ARACELY</v>
      </c>
      <c r="FF204" t="str">
        <v>VELÁSQUEZ BRAVO IRMA KATHERINE</v>
      </c>
      <c r="FG204" t="str">
        <v>VELEZ MENDOZA LAYSY VALERIA</v>
      </c>
      <c r="FH204" t="str">
        <v>VINUEZA TELLO SHIRLEY ELIZABETH</v>
      </c>
      <c r="FI204" t="str">
        <v>ZAMBRANO ALCIVAR NILDA ISABEL</v>
      </c>
      <c r="FJ204" t="str">
        <v>ZAMBRANO LOOR RITA MAYDA</v>
      </c>
      <c r="FK204" t="str">
        <v>ZAMBRANO VERA MONICA JANETH</v>
      </c>
      <c r="FL204" t="str">
        <v>VERA DELGADO BRYAN ADRIÁN</v>
      </c>
      <c r="FM204" t="str">
        <v>MORAN GONZALES DAVID RENATO</v>
      </c>
      <c r="FN204">
        <v>0</v>
      </c>
    </row>
    <row r="205" spans="1:170" ht="20.25" customHeight="1">
      <c r="A205" s="4" t="str" cm="1">
        <f t="array" ref="A205">TRANSPOSE(_xlfn.UNIQUE(_xlfn._xlws.FILTER(MAE_ASIGNATURA[ID_NIVEL],MAE_ASIGNATURA[ID_CARRERA]=ASIGNACION!$C205,"No existe información")))</f>
        <v>No existe información</v>
      </c>
      <c r="S205" s="4" t="str" cm="1">
        <f t="array" ref="S205">TRANSPOSE(_xlfn.UNIQUE(_xlfn._xlws.FILTER(MAE_ASIGNATURA[NOM_ASIG],(MAE_ASIGNATURA[ID_NIVEL]=ASIGNACION!$D205)*(MAE_ASIGNATURA[ID_CARRERA]=ASIGNACION!$C205),"No existe información")))</f>
        <v>No existe información</v>
      </c>
      <c r="BD205" s="4" t="str" cm="1">
        <f t="array" ref="BD205">TRANSPOSE(_xlfn.UNIQUE(_xlfn._xlws.FILTER(DET_ASIG[DETALLADO],(DET_ASIG[ID_CARRERA]=ASIGNACION!$C205)*(DET_ASIG[NIVEL]=ASIGNACION!$D205)*(DET_ASIG[ID_ASIG]=ASIGNACION!$G205),"No existe información")))</f>
        <v>No existe información</v>
      </c>
      <c r="BQ205" s="5" t="str" cm="1">
        <f t="array" ref="BQ205">IFERROR(
    TRANSPOSE(
        _xlfn.UNIQUE(
            _xlfn._xlws.FILTER(MAESTRIA_DETALLADO[MAESTRIA],
                ISNUMBER(MATCH(MAESTRIA_DETALLADO[CAMPO_DETALLADO],
                BD205:BP205,0))
            )
        )
    ),IF(BD205="ACTIVIDAD","DOCENCIA",""))</f>
        <v/>
      </c>
      <c r="EA205" s="5" t="str" cm="1">
        <f t="array" ref="EA205:FN205">IF(
    ASIGNACION!I205="SI",
    IFERROR(
        TRANSPOSE(
            _xlfn.UNIQUE(
                _xlfn._xlws.FILTER(EDU_DOCENTE[NOMBRE_DOCENTE],
                    ISNUMBER(MATCH(EDU_DOCENTE[MAESTRIA],
                    BQ205:DY205,0))
                )
            )
        ),
        ""
    ),
    TRANSPOSE(
        _xlfn.UNIQUE(EDU_DOCENTE[NOMBRE_DOCENTE]
        )
    )
)</f>
        <v>ALCIVAR CEDEÑO BEATRIZ ISABEL</v>
      </c>
      <c r="EB205" t="str">
        <v>ALCIVAR VERA GEMA MICHELLE</v>
      </c>
      <c r="EC205" t="str">
        <v>ARAUZ CHAVEZ MARIO ROBERTO</v>
      </c>
      <c r="ED205" t="str">
        <v>BAILON LOURIDO WALTER ALBERTO</v>
      </c>
      <c r="EE205" t="str">
        <v>CALDERERO VILLAGOMEZ ERICK ANTONIO</v>
      </c>
      <c r="EF205" t="str">
        <v>CASTILLO GARCIA PAOLA GERMANIA</v>
      </c>
      <c r="EG205" t="str">
        <v>CEDEÑO CHOEZ PEDRO JAVIER</v>
      </c>
      <c r="EH205" t="str">
        <v>CEVALLOS HOPPE JUAN CARLOS</v>
      </c>
      <c r="EI205" t="str">
        <v>DELGADO CHAVEZ MARIA IRASEMA</v>
      </c>
      <c r="EJ205" t="str">
        <v>DUARTE VALENCIA CRISTHIAN DARIO</v>
      </c>
      <c r="EK205" t="str">
        <v>FORTTY BARBERAN DENNY ALEXANDER</v>
      </c>
      <c r="EL205" t="str">
        <v>GUTIERREZ ZAMBRANO CARMEN EBELINA</v>
      </c>
      <c r="EM205" t="str">
        <v>INTRIAGO MOLINA GEMA VALERIA</v>
      </c>
      <c r="EN205" t="str">
        <v>LINO VELEZ LEONEL LIVINGTON</v>
      </c>
      <c r="EO205" t="str">
        <v>LOOR ALCIVAR MARIA ILIANA</v>
      </c>
      <c r="EP205" t="str">
        <v>LOOR MIELES TANIA JACQUELINE</v>
      </c>
      <c r="EQ205" t="str">
        <v>LOOR SOLORZANO ROSA MARIA</v>
      </c>
      <c r="ER205" t="str">
        <v>LOPEZ DELGADO RONALD MAURICIO</v>
      </c>
      <c r="ES205" t="str">
        <v>MACIAS VALENCIA DAVID GABRIEL</v>
      </c>
      <c r="ET205" t="str">
        <v>MENDOZA ZAMORA WALTER MANUEL</v>
      </c>
      <c r="EU205" t="str">
        <v>MOLINA CEVALLOS MARIA LORENA</v>
      </c>
      <c r="EV205" t="str">
        <v>MURILLO DELGADO ISAAC GABRIEL</v>
      </c>
      <c r="EW205" t="str">
        <v>ANGULO MURILLO NAVIRA GISSELA</v>
      </c>
      <c r="EX205" t="str">
        <v>OCHOA SOLEDISPA NESTOR IVAN</v>
      </c>
      <c r="EY205" t="str">
        <v>PARRAGA FRANCO SILVANA MARIELA</v>
      </c>
      <c r="EZ205" t="str">
        <v>PINARGOTE VASQUEZ NANCY FABIOLA</v>
      </c>
      <c r="FA205" t="str">
        <v>REYES VELEZ PEDRO ENRIQUE</v>
      </c>
      <c r="FB205" t="str">
        <v>SAN ANDRES HORMAZA DALLAS CECILIA</v>
      </c>
      <c r="FC205" t="str">
        <v>SORNOZA ZAMORA JUAN CARLOS</v>
      </c>
      <c r="FD205" t="str">
        <v>TOMALA PINTO JESUS JACINTO</v>
      </c>
      <c r="FE205" t="str">
        <v>VALLE JARAMILLO SILVIA ARACELY</v>
      </c>
      <c r="FF205" t="str">
        <v>VELÁSQUEZ BRAVO IRMA KATHERINE</v>
      </c>
      <c r="FG205" t="str">
        <v>VELEZ MENDOZA LAYSY VALERIA</v>
      </c>
      <c r="FH205" t="str">
        <v>VINUEZA TELLO SHIRLEY ELIZABETH</v>
      </c>
      <c r="FI205" t="str">
        <v>ZAMBRANO ALCIVAR NILDA ISABEL</v>
      </c>
      <c r="FJ205" t="str">
        <v>ZAMBRANO LOOR RITA MAYDA</v>
      </c>
      <c r="FK205" t="str">
        <v>ZAMBRANO VERA MONICA JANETH</v>
      </c>
      <c r="FL205" t="str">
        <v>VERA DELGADO BRYAN ADRIÁN</v>
      </c>
      <c r="FM205" t="str">
        <v>MORAN GONZALES DAVID RENATO</v>
      </c>
      <c r="FN205">
        <v>0</v>
      </c>
    </row>
    <row r="206" spans="1:170" ht="20.25" customHeight="1">
      <c r="A206" s="4" t="str" cm="1">
        <f t="array" ref="A206">TRANSPOSE(_xlfn.UNIQUE(_xlfn._xlws.FILTER(MAE_ASIGNATURA[ID_NIVEL],MAE_ASIGNATURA[ID_CARRERA]=ASIGNACION!$C206,"No existe información")))</f>
        <v>No existe información</v>
      </c>
      <c r="S206" s="4" t="str" cm="1">
        <f t="array" ref="S206">TRANSPOSE(_xlfn.UNIQUE(_xlfn._xlws.FILTER(MAE_ASIGNATURA[NOM_ASIG],(MAE_ASIGNATURA[ID_NIVEL]=ASIGNACION!$D206)*(MAE_ASIGNATURA[ID_CARRERA]=ASIGNACION!$C206),"No existe información")))</f>
        <v>No existe información</v>
      </c>
      <c r="BD206" s="4" t="str" cm="1">
        <f t="array" ref="BD206">TRANSPOSE(_xlfn.UNIQUE(_xlfn._xlws.FILTER(DET_ASIG[DETALLADO],(DET_ASIG[ID_CARRERA]=ASIGNACION!$C206)*(DET_ASIG[NIVEL]=ASIGNACION!$D206)*(DET_ASIG[ID_ASIG]=ASIGNACION!$G206),"No existe información")))</f>
        <v>No existe información</v>
      </c>
      <c r="BQ206" s="5" t="str" cm="1">
        <f t="array" ref="BQ206">IFERROR(
    TRANSPOSE(
        _xlfn.UNIQUE(
            _xlfn._xlws.FILTER(MAESTRIA_DETALLADO[MAESTRIA],
                ISNUMBER(MATCH(MAESTRIA_DETALLADO[CAMPO_DETALLADO],
                BD206:BP206,0))
            )
        )
    ),IF(BD206="ACTIVIDAD","DOCENCIA",""))</f>
        <v/>
      </c>
      <c r="EA206" s="5" t="str" cm="1">
        <f t="array" ref="EA206:FN206">IF(
    ASIGNACION!I206="SI",
    IFERROR(
        TRANSPOSE(
            _xlfn.UNIQUE(
                _xlfn._xlws.FILTER(EDU_DOCENTE[NOMBRE_DOCENTE],
                    ISNUMBER(MATCH(EDU_DOCENTE[MAESTRIA],
                    BQ206:DY206,0))
                )
            )
        ),
        ""
    ),
    TRANSPOSE(
        _xlfn.UNIQUE(EDU_DOCENTE[NOMBRE_DOCENTE]
        )
    )
)</f>
        <v>ALCIVAR CEDEÑO BEATRIZ ISABEL</v>
      </c>
      <c r="EB206" t="str">
        <v>ALCIVAR VERA GEMA MICHELLE</v>
      </c>
      <c r="EC206" t="str">
        <v>ARAUZ CHAVEZ MARIO ROBERTO</v>
      </c>
      <c r="ED206" t="str">
        <v>BAILON LOURIDO WALTER ALBERTO</v>
      </c>
      <c r="EE206" t="str">
        <v>CALDERERO VILLAGOMEZ ERICK ANTONIO</v>
      </c>
      <c r="EF206" t="str">
        <v>CASTILLO GARCIA PAOLA GERMANIA</v>
      </c>
      <c r="EG206" t="str">
        <v>CEDEÑO CHOEZ PEDRO JAVIER</v>
      </c>
      <c r="EH206" t="str">
        <v>CEVALLOS HOPPE JUAN CARLOS</v>
      </c>
      <c r="EI206" t="str">
        <v>DELGADO CHAVEZ MARIA IRASEMA</v>
      </c>
      <c r="EJ206" t="str">
        <v>DUARTE VALENCIA CRISTHIAN DARIO</v>
      </c>
      <c r="EK206" t="str">
        <v>FORTTY BARBERAN DENNY ALEXANDER</v>
      </c>
      <c r="EL206" t="str">
        <v>GUTIERREZ ZAMBRANO CARMEN EBELINA</v>
      </c>
      <c r="EM206" t="str">
        <v>INTRIAGO MOLINA GEMA VALERIA</v>
      </c>
      <c r="EN206" t="str">
        <v>LINO VELEZ LEONEL LIVINGTON</v>
      </c>
      <c r="EO206" t="str">
        <v>LOOR ALCIVAR MARIA ILIANA</v>
      </c>
      <c r="EP206" t="str">
        <v>LOOR MIELES TANIA JACQUELINE</v>
      </c>
      <c r="EQ206" t="str">
        <v>LOOR SOLORZANO ROSA MARIA</v>
      </c>
      <c r="ER206" t="str">
        <v>LOPEZ DELGADO RONALD MAURICIO</v>
      </c>
      <c r="ES206" t="str">
        <v>MACIAS VALENCIA DAVID GABRIEL</v>
      </c>
      <c r="ET206" t="str">
        <v>MENDOZA ZAMORA WALTER MANUEL</v>
      </c>
      <c r="EU206" t="str">
        <v>MOLINA CEVALLOS MARIA LORENA</v>
      </c>
      <c r="EV206" t="str">
        <v>MURILLO DELGADO ISAAC GABRIEL</v>
      </c>
      <c r="EW206" t="str">
        <v>ANGULO MURILLO NAVIRA GISSELA</v>
      </c>
      <c r="EX206" t="str">
        <v>OCHOA SOLEDISPA NESTOR IVAN</v>
      </c>
      <c r="EY206" t="str">
        <v>PARRAGA FRANCO SILVANA MARIELA</v>
      </c>
      <c r="EZ206" t="str">
        <v>PINARGOTE VASQUEZ NANCY FABIOLA</v>
      </c>
      <c r="FA206" t="str">
        <v>REYES VELEZ PEDRO ENRIQUE</v>
      </c>
      <c r="FB206" t="str">
        <v>SAN ANDRES HORMAZA DALLAS CECILIA</v>
      </c>
      <c r="FC206" t="str">
        <v>SORNOZA ZAMORA JUAN CARLOS</v>
      </c>
      <c r="FD206" t="str">
        <v>TOMALA PINTO JESUS JACINTO</v>
      </c>
      <c r="FE206" t="str">
        <v>VALLE JARAMILLO SILVIA ARACELY</v>
      </c>
      <c r="FF206" t="str">
        <v>VELÁSQUEZ BRAVO IRMA KATHERINE</v>
      </c>
      <c r="FG206" t="str">
        <v>VELEZ MENDOZA LAYSY VALERIA</v>
      </c>
      <c r="FH206" t="str">
        <v>VINUEZA TELLO SHIRLEY ELIZABETH</v>
      </c>
      <c r="FI206" t="str">
        <v>ZAMBRANO ALCIVAR NILDA ISABEL</v>
      </c>
      <c r="FJ206" t="str">
        <v>ZAMBRANO LOOR RITA MAYDA</v>
      </c>
      <c r="FK206" t="str">
        <v>ZAMBRANO VERA MONICA JANETH</v>
      </c>
      <c r="FL206" t="str">
        <v>VERA DELGADO BRYAN ADRIÁN</v>
      </c>
      <c r="FM206" t="str">
        <v>MORAN GONZALES DAVID RENATO</v>
      </c>
      <c r="FN206">
        <v>0</v>
      </c>
    </row>
    <row r="207" spans="1:170" ht="20.25" customHeight="1">
      <c r="A207" s="4" t="str" cm="1">
        <f t="array" ref="A207">TRANSPOSE(_xlfn.UNIQUE(_xlfn._xlws.FILTER(MAE_ASIGNATURA[ID_NIVEL],MAE_ASIGNATURA[ID_CARRERA]=ASIGNACION!$C207,"No existe información")))</f>
        <v>No existe información</v>
      </c>
      <c r="S207" s="4" t="str" cm="1">
        <f t="array" ref="S207">TRANSPOSE(_xlfn.UNIQUE(_xlfn._xlws.FILTER(MAE_ASIGNATURA[NOM_ASIG],(MAE_ASIGNATURA[ID_NIVEL]=ASIGNACION!$D207)*(MAE_ASIGNATURA[ID_CARRERA]=ASIGNACION!$C207),"No existe información")))</f>
        <v>No existe información</v>
      </c>
      <c r="BD207" s="4" t="str" cm="1">
        <f t="array" ref="BD207">TRANSPOSE(_xlfn.UNIQUE(_xlfn._xlws.FILTER(DET_ASIG[DETALLADO],(DET_ASIG[ID_CARRERA]=ASIGNACION!$C207)*(DET_ASIG[NIVEL]=ASIGNACION!$D207)*(DET_ASIG[ID_ASIG]=ASIGNACION!$G207),"No existe información")))</f>
        <v>No existe información</v>
      </c>
      <c r="BQ207" s="5" t="str" cm="1">
        <f t="array" ref="BQ207">IFERROR(
    TRANSPOSE(
        _xlfn.UNIQUE(
            _xlfn._xlws.FILTER(MAESTRIA_DETALLADO[MAESTRIA],
                ISNUMBER(MATCH(MAESTRIA_DETALLADO[CAMPO_DETALLADO],
                BD207:BP207,0))
            )
        )
    ),IF(BD207="ACTIVIDAD","DOCENCIA",""))</f>
        <v/>
      </c>
      <c r="EA207" s="5" t="str" cm="1">
        <f t="array" ref="EA207:FN207">IF(
    ASIGNACION!I207="SI",
    IFERROR(
        TRANSPOSE(
            _xlfn.UNIQUE(
                _xlfn._xlws.FILTER(EDU_DOCENTE[NOMBRE_DOCENTE],
                    ISNUMBER(MATCH(EDU_DOCENTE[MAESTRIA],
                    BQ207:DY207,0))
                )
            )
        ),
        ""
    ),
    TRANSPOSE(
        _xlfn.UNIQUE(EDU_DOCENTE[NOMBRE_DOCENTE]
        )
    )
)</f>
        <v>ALCIVAR CEDEÑO BEATRIZ ISABEL</v>
      </c>
      <c r="EB207" t="str">
        <v>ALCIVAR VERA GEMA MICHELLE</v>
      </c>
      <c r="EC207" t="str">
        <v>ARAUZ CHAVEZ MARIO ROBERTO</v>
      </c>
      <c r="ED207" t="str">
        <v>BAILON LOURIDO WALTER ALBERTO</v>
      </c>
      <c r="EE207" t="str">
        <v>CALDERERO VILLAGOMEZ ERICK ANTONIO</v>
      </c>
      <c r="EF207" t="str">
        <v>CASTILLO GARCIA PAOLA GERMANIA</v>
      </c>
      <c r="EG207" t="str">
        <v>CEDEÑO CHOEZ PEDRO JAVIER</v>
      </c>
      <c r="EH207" t="str">
        <v>CEVALLOS HOPPE JUAN CARLOS</v>
      </c>
      <c r="EI207" t="str">
        <v>DELGADO CHAVEZ MARIA IRASEMA</v>
      </c>
      <c r="EJ207" t="str">
        <v>DUARTE VALENCIA CRISTHIAN DARIO</v>
      </c>
      <c r="EK207" t="str">
        <v>FORTTY BARBERAN DENNY ALEXANDER</v>
      </c>
      <c r="EL207" t="str">
        <v>GUTIERREZ ZAMBRANO CARMEN EBELINA</v>
      </c>
      <c r="EM207" t="str">
        <v>INTRIAGO MOLINA GEMA VALERIA</v>
      </c>
      <c r="EN207" t="str">
        <v>LINO VELEZ LEONEL LIVINGTON</v>
      </c>
      <c r="EO207" t="str">
        <v>LOOR ALCIVAR MARIA ILIANA</v>
      </c>
      <c r="EP207" t="str">
        <v>LOOR MIELES TANIA JACQUELINE</v>
      </c>
      <c r="EQ207" t="str">
        <v>LOOR SOLORZANO ROSA MARIA</v>
      </c>
      <c r="ER207" t="str">
        <v>LOPEZ DELGADO RONALD MAURICIO</v>
      </c>
      <c r="ES207" t="str">
        <v>MACIAS VALENCIA DAVID GABRIEL</v>
      </c>
      <c r="ET207" t="str">
        <v>MENDOZA ZAMORA WALTER MANUEL</v>
      </c>
      <c r="EU207" t="str">
        <v>MOLINA CEVALLOS MARIA LORENA</v>
      </c>
      <c r="EV207" t="str">
        <v>MURILLO DELGADO ISAAC GABRIEL</v>
      </c>
      <c r="EW207" t="str">
        <v>ANGULO MURILLO NAVIRA GISSELA</v>
      </c>
      <c r="EX207" t="str">
        <v>OCHOA SOLEDISPA NESTOR IVAN</v>
      </c>
      <c r="EY207" t="str">
        <v>PARRAGA FRANCO SILVANA MARIELA</v>
      </c>
      <c r="EZ207" t="str">
        <v>PINARGOTE VASQUEZ NANCY FABIOLA</v>
      </c>
      <c r="FA207" t="str">
        <v>REYES VELEZ PEDRO ENRIQUE</v>
      </c>
      <c r="FB207" t="str">
        <v>SAN ANDRES HORMAZA DALLAS CECILIA</v>
      </c>
      <c r="FC207" t="str">
        <v>SORNOZA ZAMORA JUAN CARLOS</v>
      </c>
      <c r="FD207" t="str">
        <v>TOMALA PINTO JESUS JACINTO</v>
      </c>
      <c r="FE207" t="str">
        <v>VALLE JARAMILLO SILVIA ARACELY</v>
      </c>
      <c r="FF207" t="str">
        <v>VELÁSQUEZ BRAVO IRMA KATHERINE</v>
      </c>
      <c r="FG207" t="str">
        <v>VELEZ MENDOZA LAYSY VALERIA</v>
      </c>
      <c r="FH207" t="str">
        <v>VINUEZA TELLO SHIRLEY ELIZABETH</v>
      </c>
      <c r="FI207" t="str">
        <v>ZAMBRANO ALCIVAR NILDA ISABEL</v>
      </c>
      <c r="FJ207" t="str">
        <v>ZAMBRANO LOOR RITA MAYDA</v>
      </c>
      <c r="FK207" t="str">
        <v>ZAMBRANO VERA MONICA JANETH</v>
      </c>
      <c r="FL207" t="str">
        <v>VERA DELGADO BRYAN ADRIÁN</v>
      </c>
      <c r="FM207" t="str">
        <v>MORAN GONZALES DAVID RENATO</v>
      </c>
      <c r="FN207">
        <v>0</v>
      </c>
    </row>
    <row r="208" spans="1:170" ht="20.25" customHeight="1">
      <c r="A208" s="4" t="str" cm="1">
        <f t="array" ref="A208">TRANSPOSE(_xlfn.UNIQUE(_xlfn._xlws.FILTER(MAE_ASIGNATURA[ID_NIVEL],MAE_ASIGNATURA[ID_CARRERA]=ASIGNACION!$C208,"No existe información")))</f>
        <v>No existe información</v>
      </c>
      <c r="S208" s="4" t="str" cm="1">
        <f t="array" ref="S208">TRANSPOSE(_xlfn.UNIQUE(_xlfn._xlws.FILTER(MAE_ASIGNATURA[NOM_ASIG],(MAE_ASIGNATURA[ID_NIVEL]=ASIGNACION!$D208)*(MAE_ASIGNATURA[ID_CARRERA]=ASIGNACION!$C208),"No existe información")))</f>
        <v>No existe información</v>
      </c>
      <c r="BD208" s="4" t="str" cm="1">
        <f t="array" ref="BD208">TRANSPOSE(_xlfn.UNIQUE(_xlfn._xlws.FILTER(DET_ASIG[DETALLADO],(DET_ASIG[ID_CARRERA]=ASIGNACION!$C208)*(DET_ASIG[NIVEL]=ASIGNACION!$D208)*(DET_ASIG[ID_ASIG]=ASIGNACION!$G208),"No existe información")))</f>
        <v>No existe información</v>
      </c>
      <c r="BQ208" s="5" t="str" cm="1">
        <f t="array" ref="BQ208">IFERROR(
    TRANSPOSE(
        _xlfn.UNIQUE(
            _xlfn._xlws.FILTER(MAESTRIA_DETALLADO[MAESTRIA],
                ISNUMBER(MATCH(MAESTRIA_DETALLADO[CAMPO_DETALLADO],
                BD208:BP208,0))
            )
        )
    ),IF(BD208="ACTIVIDAD","DOCENCIA",""))</f>
        <v/>
      </c>
      <c r="EA208" s="5" t="str" cm="1">
        <f t="array" ref="EA208:FN208">IF(
    ASIGNACION!I208="SI",
    IFERROR(
        TRANSPOSE(
            _xlfn.UNIQUE(
                _xlfn._xlws.FILTER(EDU_DOCENTE[NOMBRE_DOCENTE],
                    ISNUMBER(MATCH(EDU_DOCENTE[MAESTRIA],
                    BQ208:DY208,0))
                )
            )
        ),
        ""
    ),
    TRANSPOSE(
        _xlfn.UNIQUE(EDU_DOCENTE[NOMBRE_DOCENTE]
        )
    )
)</f>
        <v>ALCIVAR CEDEÑO BEATRIZ ISABEL</v>
      </c>
      <c r="EB208" t="str">
        <v>ALCIVAR VERA GEMA MICHELLE</v>
      </c>
      <c r="EC208" t="str">
        <v>ARAUZ CHAVEZ MARIO ROBERTO</v>
      </c>
      <c r="ED208" t="str">
        <v>BAILON LOURIDO WALTER ALBERTO</v>
      </c>
      <c r="EE208" t="str">
        <v>CALDERERO VILLAGOMEZ ERICK ANTONIO</v>
      </c>
      <c r="EF208" t="str">
        <v>CASTILLO GARCIA PAOLA GERMANIA</v>
      </c>
      <c r="EG208" t="str">
        <v>CEDEÑO CHOEZ PEDRO JAVIER</v>
      </c>
      <c r="EH208" t="str">
        <v>CEVALLOS HOPPE JUAN CARLOS</v>
      </c>
      <c r="EI208" t="str">
        <v>DELGADO CHAVEZ MARIA IRASEMA</v>
      </c>
      <c r="EJ208" t="str">
        <v>DUARTE VALENCIA CRISTHIAN DARIO</v>
      </c>
      <c r="EK208" t="str">
        <v>FORTTY BARBERAN DENNY ALEXANDER</v>
      </c>
      <c r="EL208" t="str">
        <v>GUTIERREZ ZAMBRANO CARMEN EBELINA</v>
      </c>
      <c r="EM208" t="str">
        <v>INTRIAGO MOLINA GEMA VALERIA</v>
      </c>
      <c r="EN208" t="str">
        <v>LINO VELEZ LEONEL LIVINGTON</v>
      </c>
      <c r="EO208" t="str">
        <v>LOOR ALCIVAR MARIA ILIANA</v>
      </c>
      <c r="EP208" t="str">
        <v>LOOR MIELES TANIA JACQUELINE</v>
      </c>
      <c r="EQ208" t="str">
        <v>LOOR SOLORZANO ROSA MARIA</v>
      </c>
      <c r="ER208" t="str">
        <v>LOPEZ DELGADO RONALD MAURICIO</v>
      </c>
      <c r="ES208" t="str">
        <v>MACIAS VALENCIA DAVID GABRIEL</v>
      </c>
      <c r="ET208" t="str">
        <v>MENDOZA ZAMORA WALTER MANUEL</v>
      </c>
      <c r="EU208" t="str">
        <v>MOLINA CEVALLOS MARIA LORENA</v>
      </c>
      <c r="EV208" t="str">
        <v>MURILLO DELGADO ISAAC GABRIEL</v>
      </c>
      <c r="EW208" t="str">
        <v>ANGULO MURILLO NAVIRA GISSELA</v>
      </c>
      <c r="EX208" t="str">
        <v>OCHOA SOLEDISPA NESTOR IVAN</v>
      </c>
      <c r="EY208" t="str">
        <v>PARRAGA FRANCO SILVANA MARIELA</v>
      </c>
      <c r="EZ208" t="str">
        <v>PINARGOTE VASQUEZ NANCY FABIOLA</v>
      </c>
      <c r="FA208" t="str">
        <v>REYES VELEZ PEDRO ENRIQUE</v>
      </c>
      <c r="FB208" t="str">
        <v>SAN ANDRES HORMAZA DALLAS CECILIA</v>
      </c>
      <c r="FC208" t="str">
        <v>SORNOZA ZAMORA JUAN CARLOS</v>
      </c>
      <c r="FD208" t="str">
        <v>TOMALA PINTO JESUS JACINTO</v>
      </c>
      <c r="FE208" t="str">
        <v>VALLE JARAMILLO SILVIA ARACELY</v>
      </c>
      <c r="FF208" t="str">
        <v>VELÁSQUEZ BRAVO IRMA KATHERINE</v>
      </c>
      <c r="FG208" t="str">
        <v>VELEZ MENDOZA LAYSY VALERIA</v>
      </c>
      <c r="FH208" t="str">
        <v>VINUEZA TELLO SHIRLEY ELIZABETH</v>
      </c>
      <c r="FI208" t="str">
        <v>ZAMBRANO ALCIVAR NILDA ISABEL</v>
      </c>
      <c r="FJ208" t="str">
        <v>ZAMBRANO LOOR RITA MAYDA</v>
      </c>
      <c r="FK208" t="str">
        <v>ZAMBRANO VERA MONICA JANETH</v>
      </c>
      <c r="FL208" t="str">
        <v>VERA DELGADO BRYAN ADRIÁN</v>
      </c>
      <c r="FM208" t="str">
        <v>MORAN GONZALES DAVID RENATO</v>
      </c>
      <c r="FN208">
        <v>0</v>
      </c>
    </row>
    <row r="209" spans="1:170" ht="20.25" customHeight="1">
      <c r="A209" s="4" t="str" cm="1">
        <f t="array" ref="A209">TRANSPOSE(_xlfn.UNIQUE(_xlfn._xlws.FILTER(MAE_ASIGNATURA[ID_NIVEL],MAE_ASIGNATURA[ID_CARRERA]=ASIGNACION!$C209,"No existe información")))</f>
        <v>No existe información</v>
      </c>
      <c r="S209" s="4" t="str" cm="1">
        <f t="array" ref="S209">TRANSPOSE(_xlfn.UNIQUE(_xlfn._xlws.FILTER(MAE_ASIGNATURA[NOM_ASIG],(MAE_ASIGNATURA[ID_NIVEL]=ASIGNACION!$D209)*(MAE_ASIGNATURA[ID_CARRERA]=ASIGNACION!$C209),"No existe información")))</f>
        <v>No existe información</v>
      </c>
      <c r="BD209" s="4" t="str" cm="1">
        <f t="array" ref="BD209">TRANSPOSE(_xlfn.UNIQUE(_xlfn._xlws.FILTER(DET_ASIG[DETALLADO],(DET_ASIG[ID_CARRERA]=ASIGNACION!$C209)*(DET_ASIG[NIVEL]=ASIGNACION!$D209)*(DET_ASIG[ID_ASIG]=ASIGNACION!$G209),"No existe información")))</f>
        <v>No existe información</v>
      </c>
      <c r="BQ209" s="5" t="str" cm="1">
        <f t="array" ref="BQ209">IFERROR(
    TRANSPOSE(
        _xlfn.UNIQUE(
            _xlfn._xlws.FILTER(MAESTRIA_DETALLADO[MAESTRIA],
                ISNUMBER(MATCH(MAESTRIA_DETALLADO[CAMPO_DETALLADO],
                BD209:BP209,0))
            )
        )
    ),IF(BD209="ACTIVIDAD","DOCENCIA",""))</f>
        <v/>
      </c>
      <c r="EA209" s="5" t="str" cm="1">
        <f t="array" ref="EA209:FN209">IF(
    ASIGNACION!I209="SI",
    IFERROR(
        TRANSPOSE(
            _xlfn.UNIQUE(
                _xlfn._xlws.FILTER(EDU_DOCENTE[NOMBRE_DOCENTE],
                    ISNUMBER(MATCH(EDU_DOCENTE[MAESTRIA],
                    BQ209:DY209,0))
                )
            )
        ),
        ""
    ),
    TRANSPOSE(
        _xlfn.UNIQUE(EDU_DOCENTE[NOMBRE_DOCENTE]
        )
    )
)</f>
        <v>ALCIVAR CEDEÑO BEATRIZ ISABEL</v>
      </c>
      <c r="EB209" t="str">
        <v>ALCIVAR VERA GEMA MICHELLE</v>
      </c>
      <c r="EC209" t="str">
        <v>ARAUZ CHAVEZ MARIO ROBERTO</v>
      </c>
      <c r="ED209" t="str">
        <v>BAILON LOURIDO WALTER ALBERTO</v>
      </c>
      <c r="EE209" t="str">
        <v>CALDERERO VILLAGOMEZ ERICK ANTONIO</v>
      </c>
      <c r="EF209" t="str">
        <v>CASTILLO GARCIA PAOLA GERMANIA</v>
      </c>
      <c r="EG209" t="str">
        <v>CEDEÑO CHOEZ PEDRO JAVIER</v>
      </c>
      <c r="EH209" t="str">
        <v>CEVALLOS HOPPE JUAN CARLOS</v>
      </c>
      <c r="EI209" t="str">
        <v>DELGADO CHAVEZ MARIA IRASEMA</v>
      </c>
      <c r="EJ209" t="str">
        <v>DUARTE VALENCIA CRISTHIAN DARIO</v>
      </c>
      <c r="EK209" t="str">
        <v>FORTTY BARBERAN DENNY ALEXANDER</v>
      </c>
      <c r="EL209" t="str">
        <v>GUTIERREZ ZAMBRANO CARMEN EBELINA</v>
      </c>
      <c r="EM209" t="str">
        <v>INTRIAGO MOLINA GEMA VALERIA</v>
      </c>
      <c r="EN209" t="str">
        <v>LINO VELEZ LEONEL LIVINGTON</v>
      </c>
      <c r="EO209" t="str">
        <v>LOOR ALCIVAR MARIA ILIANA</v>
      </c>
      <c r="EP209" t="str">
        <v>LOOR MIELES TANIA JACQUELINE</v>
      </c>
      <c r="EQ209" t="str">
        <v>LOOR SOLORZANO ROSA MARIA</v>
      </c>
      <c r="ER209" t="str">
        <v>LOPEZ DELGADO RONALD MAURICIO</v>
      </c>
      <c r="ES209" t="str">
        <v>MACIAS VALENCIA DAVID GABRIEL</v>
      </c>
      <c r="ET209" t="str">
        <v>MENDOZA ZAMORA WALTER MANUEL</v>
      </c>
      <c r="EU209" t="str">
        <v>MOLINA CEVALLOS MARIA LORENA</v>
      </c>
      <c r="EV209" t="str">
        <v>MURILLO DELGADO ISAAC GABRIEL</v>
      </c>
      <c r="EW209" t="str">
        <v>ANGULO MURILLO NAVIRA GISSELA</v>
      </c>
      <c r="EX209" t="str">
        <v>OCHOA SOLEDISPA NESTOR IVAN</v>
      </c>
      <c r="EY209" t="str">
        <v>PARRAGA FRANCO SILVANA MARIELA</v>
      </c>
      <c r="EZ209" t="str">
        <v>PINARGOTE VASQUEZ NANCY FABIOLA</v>
      </c>
      <c r="FA209" t="str">
        <v>REYES VELEZ PEDRO ENRIQUE</v>
      </c>
      <c r="FB209" t="str">
        <v>SAN ANDRES HORMAZA DALLAS CECILIA</v>
      </c>
      <c r="FC209" t="str">
        <v>SORNOZA ZAMORA JUAN CARLOS</v>
      </c>
      <c r="FD209" t="str">
        <v>TOMALA PINTO JESUS JACINTO</v>
      </c>
      <c r="FE209" t="str">
        <v>VALLE JARAMILLO SILVIA ARACELY</v>
      </c>
      <c r="FF209" t="str">
        <v>VELÁSQUEZ BRAVO IRMA KATHERINE</v>
      </c>
      <c r="FG209" t="str">
        <v>VELEZ MENDOZA LAYSY VALERIA</v>
      </c>
      <c r="FH209" t="str">
        <v>VINUEZA TELLO SHIRLEY ELIZABETH</v>
      </c>
      <c r="FI209" t="str">
        <v>ZAMBRANO ALCIVAR NILDA ISABEL</v>
      </c>
      <c r="FJ209" t="str">
        <v>ZAMBRANO LOOR RITA MAYDA</v>
      </c>
      <c r="FK209" t="str">
        <v>ZAMBRANO VERA MONICA JANETH</v>
      </c>
      <c r="FL209" t="str">
        <v>VERA DELGADO BRYAN ADRIÁN</v>
      </c>
      <c r="FM209" t="str">
        <v>MORAN GONZALES DAVID RENATO</v>
      </c>
      <c r="FN209">
        <v>0</v>
      </c>
    </row>
    <row r="210" spans="1:170" ht="20.25" customHeight="1">
      <c r="A210" s="4" t="str" cm="1">
        <f t="array" ref="A210">TRANSPOSE(_xlfn.UNIQUE(_xlfn._xlws.FILTER(MAE_ASIGNATURA[ID_NIVEL],MAE_ASIGNATURA[ID_CARRERA]=ASIGNACION!$C210,"No existe información")))</f>
        <v>No existe información</v>
      </c>
      <c r="S210" s="4" t="str" cm="1">
        <f t="array" ref="S210">TRANSPOSE(_xlfn.UNIQUE(_xlfn._xlws.FILTER(MAE_ASIGNATURA[NOM_ASIG],(MAE_ASIGNATURA[ID_NIVEL]=ASIGNACION!$D210)*(MAE_ASIGNATURA[ID_CARRERA]=ASIGNACION!$C210),"No existe información")))</f>
        <v>No existe información</v>
      </c>
      <c r="BD210" s="4" t="str" cm="1">
        <f t="array" ref="BD210">TRANSPOSE(_xlfn.UNIQUE(_xlfn._xlws.FILTER(DET_ASIG[DETALLADO],(DET_ASIG[ID_CARRERA]=ASIGNACION!$C210)*(DET_ASIG[NIVEL]=ASIGNACION!$D210)*(DET_ASIG[ID_ASIG]=ASIGNACION!$G210),"No existe información")))</f>
        <v>No existe información</v>
      </c>
      <c r="BQ210" s="5" t="str" cm="1">
        <f t="array" ref="BQ210">IFERROR(
    TRANSPOSE(
        _xlfn.UNIQUE(
            _xlfn._xlws.FILTER(MAESTRIA_DETALLADO[MAESTRIA],
                ISNUMBER(MATCH(MAESTRIA_DETALLADO[CAMPO_DETALLADO],
                BD210:BP210,0))
            )
        )
    ),IF(BD210="ACTIVIDAD","DOCENCIA",""))</f>
        <v/>
      </c>
      <c r="EA210" s="5" t="str" cm="1">
        <f t="array" ref="EA210:FN210">IF(
    ASIGNACION!I210="SI",
    IFERROR(
        TRANSPOSE(
            _xlfn.UNIQUE(
                _xlfn._xlws.FILTER(EDU_DOCENTE[NOMBRE_DOCENTE],
                    ISNUMBER(MATCH(EDU_DOCENTE[MAESTRIA],
                    BQ210:DY210,0))
                )
            )
        ),
        ""
    ),
    TRANSPOSE(
        _xlfn.UNIQUE(EDU_DOCENTE[NOMBRE_DOCENTE]
        )
    )
)</f>
        <v>ALCIVAR CEDEÑO BEATRIZ ISABEL</v>
      </c>
      <c r="EB210" t="str">
        <v>ALCIVAR VERA GEMA MICHELLE</v>
      </c>
      <c r="EC210" t="str">
        <v>ARAUZ CHAVEZ MARIO ROBERTO</v>
      </c>
      <c r="ED210" t="str">
        <v>BAILON LOURIDO WALTER ALBERTO</v>
      </c>
      <c r="EE210" t="str">
        <v>CALDERERO VILLAGOMEZ ERICK ANTONIO</v>
      </c>
      <c r="EF210" t="str">
        <v>CASTILLO GARCIA PAOLA GERMANIA</v>
      </c>
      <c r="EG210" t="str">
        <v>CEDEÑO CHOEZ PEDRO JAVIER</v>
      </c>
      <c r="EH210" t="str">
        <v>CEVALLOS HOPPE JUAN CARLOS</v>
      </c>
      <c r="EI210" t="str">
        <v>DELGADO CHAVEZ MARIA IRASEMA</v>
      </c>
      <c r="EJ210" t="str">
        <v>DUARTE VALENCIA CRISTHIAN DARIO</v>
      </c>
      <c r="EK210" t="str">
        <v>FORTTY BARBERAN DENNY ALEXANDER</v>
      </c>
      <c r="EL210" t="str">
        <v>GUTIERREZ ZAMBRANO CARMEN EBELINA</v>
      </c>
      <c r="EM210" t="str">
        <v>INTRIAGO MOLINA GEMA VALERIA</v>
      </c>
      <c r="EN210" t="str">
        <v>LINO VELEZ LEONEL LIVINGTON</v>
      </c>
      <c r="EO210" t="str">
        <v>LOOR ALCIVAR MARIA ILIANA</v>
      </c>
      <c r="EP210" t="str">
        <v>LOOR MIELES TANIA JACQUELINE</v>
      </c>
      <c r="EQ210" t="str">
        <v>LOOR SOLORZANO ROSA MARIA</v>
      </c>
      <c r="ER210" t="str">
        <v>LOPEZ DELGADO RONALD MAURICIO</v>
      </c>
      <c r="ES210" t="str">
        <v>MACIAS VALENCIA DAVID GABRIEL</v>
      </c>
      <c r="ET210" t="str">
        <v>MENDOZA ZAMORA WALTER MANUEL</v>
      </c>
      <c r="EU210" t="str">
        <v>MOLINA CEVALLOS MARIA LORENA</v>
      </c>
      <c r="EV210" t="str">
        <v>MURILLO DELGADO ISAAC GABRIEL</v>
      </c>
      <c r="EW210" t="str">
        <v>ANGULO MURILLO NAVIRA GISSELA</v>
      </c>
      <c r="EX210" t="str">
        <v>OCHOA SOLEDISPA NESTOR IVAN</v>
      </c>
      <c r="EY210" t="str">
        <v>PARRAGA FRANCO SILVANA MARIELA</v>
      </c>
      <c r="EZ210" t="str">
        <v>PINARGOTE VASQUEZ NANCY FABIOLA</v>
      </c>
      <c r="FA210" t="str">
        <v>REYES VELEZ PEDRO ENRIQUE</v>
      </c>
      <c r="FB210" t="str">
        <v>SAN ANDRES HORMAZA DALLAS CECILIA</v>
      </c>
      <c r="FC210" t="str">
        <v>SORNOZA ZAMORA JUAN CARLOS</v>
      </c>
      <c r="FD210" t="str">
        <v>TOMALA PINTO JESUS JACINTO</v>
      </c>
      <c r="FE210" t="str">
        <v>VALLE JARAMILLO SILVIA ARACELY</v>
      </c>
      <c r="FF210" t="str">
        <v>VELÁSQUEZ BRAVO IRMA KATHERINE</v>
      </c>
      <c r="FG210" t="str">
        <v>VELEZ MENDOZA LAYSY VALERIA</v>
      </c>
      <c r="FH210" t="str">
        <v>VINUEZA TELLO SHIRLEY ELIZABETH</v>
      </c>
      <c r="FI210" t="str">
        <v>ZAMBRANO ALCIVAR NILDA ISABEL</v>
      </c>
      <c r="FJ210" t="str">
        <v>ZAMBRANO LOOR RITA MAYDA</v>
      </c>
      <c r="FK210" t="str">
        <v>ZAMBRANO VERA MONICA JANETH</v>
      </c>
      <c r="FL210" t="str">
        <v>VERA DELGADO BRYAN ADRIÁN</v>
      </c>
      <c r="FM210" t="str">
        <v>MORAN GONZALES DAVID RENATO</v>
      </c>
      <c r="FN210">
        <v>0</v>
      </c>
    </row>
    <row r="211" spans="1:170" ht="20.25" customHeight="1">
      <c r="A211" s="4" t="str" cm="1">
        <f t="array" ref="A211">TRANSPOSE(_xlfn.UNIQUE(_xlfn._xlws.FILTER(MAE_ASIGNATURA[ID_NIVEL],MAE_ASIGNATURA[ID_CARRERA]=ASIGNACION!$C211,"No existe información")))</f>
        <v>No existe información</v>
      </c>
      <c r="S211" s="4" t="str" cm="1">
        <f t="array" ref="S211">TRANSPOSE(_xlfn.UNIQUE(_xlfn._xlws.FILTER(MAE_ASIGNATURA[NOM_ASIG],(MAE_ASIGNATURA[ID_NIVEL]=ASIGNACION!$D211)*(MAE_ASIGNATURA[ID_CARRERA]=ASIGNACION!$C211),"No existe información")))</f>
        <v>No existe información</v>
      </c>
      <c r="BD211" s="4" t="str" cm="1">
        <f t="array" ref="BD211">TRANSPOSE(_xlfn.UNIQUE(_xlfn._xlws.FILTER(DET_ASIG[DETALLADO],(DET_ASIG[ID_CARRERA]=ASIGNACION!$C211)*(DET_ASIG[NIVEL]=ASIGNACION!$D211)*(DET_ASIG[ID_ASIG]=ASIGNACION!$G211),"No existe información")))</f>
        <v>No existe información</v>
      </c>
      <c r="BQ211" s="5" t="str" cm="1">
        <f t="array" ref="BQ211">IFERROR(
    TRANSPOSE(
        _xlfn.UNIQUE(
            _xlfn._xlws.FILTER(MAESTRIA_DETALLADO[MAESTRIA],
                ISNUMBER(MATCH(MAESTRIA_DETALLADO[CAMPO_DETALLADO],
                BD211:BP211,0))
            )
        )
    ),IF(BD211="ACTIVIDAD","DOCENCIA",""))</f>
        <v/>
      </c>
      <c r="EA211" s="5" t="str" cm="1">
        <f t="array" ref="EA211:FN211">IF(
    ASIGNACION!I211="SI",
    IFERROR(
        TRANSPOSE(
            _xlfn.UNIQUE(
                _xlfn._xlws.FILTER(EDU_DOCENTE[NOMBRE_DOCENTE],
                    ISNUMBER(MATCH(EDU_DOCENTE[MAESTRIA],
                    BQ211:DY211,0))
                )
            )
        ),
        ""
    ),
    TRANSPOSE(
        _xlfn.UNIQUE(EDU_DOCENTE[NOMBRE_DOCENTE]
        )
    )
)</f>
        <v>ALCIVAR CEDEÑO BEATRIZ ISABEL</v>
      </c>
      <c r="EB211" t="str">
        <v>ALCIVAR VERA GEMA MICHELLE</v>
      </c>
      <c r="EC211" t="str">
        <v>ARAUZ CHAVEZ MARIO ROBERTO</v>
      </c>
      <c r="ED211" t="str">
        <v>BAILON LOURIDO WALTER ALBERTO</v>
      </c>
      <c r="EE211" t="str">
        <v>CALDERERO VILLAGOMEZ ERICK ANTONIO</v>
      </c>
      <c r="EF211" t="str">
        <v>CASTILLO GARCIA PAOLA GERMANIA</v>
      </c>
      <c r="EG211" t="str">
        <v>CEDEÑO CHOEZ PEDRO JAVIER</v>
      </c>
      <c r="EH211" t="str">
        <v>CEVALLOS HOPPE JUAN CARLOS</v>
      </c>
      <c r="EI211" t="str">
        <v>DELGADO CHAVEZ MARIA IRASEMA</v>
      </c>
      <c r="EJ211" t="str">
        <v>DUARTE VALENCIA CRISTHIAN DARIO</v>
      </c>
      <c r="EK211" t="str">
        <v>FORTTY BARBERAN DENNY ALEXANDER</v>
      </c>
      <c r="EL211" t="str">
        <v>GUTIERREZ ZAMBRANO CARMEN EBELINA</v>
      </c>
      <c r="EM211" t="str">
        <v>INTRIAGO MOLINA GEMA VALERIA</v>
      </c>
      <c r="EN211" t="str">
        <v>LINO VELEZ LEONEL LIVINGTON</v>
      </c>
      <c r="EO211" t="str">
        <v>LOOR ALCIVAR MARIA ILIANA</v>
      </c>
      <c r="EP211" t="str">
        <v>LOOR MIELES TANIA JACQUELINE</v>
      </c>
      <c r="EQ211" t="str">
        <v>LOOR SOLORZANO ROSA MARIA</v>
      </c>
      <c r="ER211" t="str">
        <v>LOPEZ DELGADO RONALD MAURICIO</v>
      </c>
      <c r="ES211" t="str">
        <v>MACIAS VALENCIA DAVID GABRIEL</v>
      </c>
      <c r="ET211" t="str">
        <v>MENDOZA ZAMORA WALTER MANUEL</v>
      </c>
      <c r="EU211" t="str">
        <v>MOLINA CEVALLOS MARIA LORENA</v>
      </c>
      <c r="EV211" t="str">
        <v>MURILLO DELGADO ISAAC GABRIEL</v>
      </c>
      <c r="EW211" t="str">
        <v>ANGULO MURILLO NAVIRA GISSELA</v>
      </c>
      <c r="EX211" t="str">
        <v>OCHOA SOLEDISPA NESTOR IVAN</v>
      </c>
      <c r="EY211" t="str">
        <v>PARRAGA FRANCO SILVANA MARIELA</v>
      </c>
      <c r="EZ211" t="str">
        <v>PINARGOTE VASQUEZ NANCY FABIOLA</v>
      </c>
      <c r="FA211" t="str">
        <v>REYES VELEZ PEDRO ENRIQUE</v>
      </c>
      <c r="FB211" t="str">
        <v>SAN ANDRES HORMAZA DALLAS CECILIA</v>
      </c>
      <c r="FC211" t="str">
        <v>SORNOZA ZAMORA JUAN CARLOS</v>
      </c>
      <c r="FD211" t="str">
        <v>TOMALA PINTO JESUS JACINTO</v>
      </c>
      <c r="FE211" t="str">
        <v>VALLE JARAMILLO SILVIA ARACELY</v>
      </c>
      <c r="FF211" t="str">
        <v>VELÁSQUEZ BRAVO IRMA KATHERINE</v>
      </c>
      <c r="FG211" t="str">
        <v>VELEZ MENDOZA LAYSY VALERIA</v>
      </c>
      <c r="FH211" t="str">
        <v>VINUEZA TELLO SHIRLEY ELIZABETH</v>
      </c>
      <c r="FI211" t="str">
        <v>ZAMBRANO ALCIVAR NILDA ISABEL</v>
      </c>
      <c r="FJ211" t="str">
        <v>ZAMBRANO LOOR RITA MAYDA</v>
      </c>
      <c r="FK211" t="str">
        <v>ZAMBRANO VERA MONICA JANETH</v>
      </c>
      <c r="FL211" t="str">
        <v>VERA DELGADO BRYAN ADRIÁN</v>
      </c>
      <c r="FM211" t="str">
        <v>MORAN GONZALES DAVID RENATO</v>
      </c>
      <c r="FN211">
        <v>0</v>
      </c>
    </row>
    <row r="212" spans="1:170" ht="20.25" customHeight="1">
      <c r="A212" s="4" t="str" cm="1">
        <f t="array" ref="A212">TRANSPOSE(_xlfn.UNIQUE(_xlfn._xlws.FILTER(MAE_ASIGNATURA[ID_NIVEL],MAE_ASIGNATURA[ID_CARRERA]=ASIGNACION!$C212,"No existe información")))</f>
        <v>No existe información</v>
      </c>
      <c r="S212" s="4" t="str" cm="1">
        <f t="array" ref="S212">TRANSPOSE(_xlfn.UNIQUE(_xlfn._xlws.FILTER(MAE_ASIGNATURA[NOM_ASIG],(MAE_ASIGNATURA[ID_NIVEL]=ASIGNACION!$D212)*(MAE_ASIGNATURA[ID_CARRERA]=ASIGNACION!$C212),"No existe información")))</f>
        <v>No existe información</v>
      </c>
      <c r="BD212" s="4" t="str" cm="1">
        <f t="array" ref="BD212">TRANSPOSE(_xlfn.UNIQUE(_xlfn._xlws.FILTER(DET_ASIG[DETALLADO],(DET_ASIG[ID_CARRERA]=ASIGNACION!$C212)*(DET_ASIG[NIVEL]=ASIGNACION!$D212)*(DET_ASIG[ID_ASIG]=ASIGNACION!$G212),"No existe información")))</f>
        <v>No existe información</v>
      </c>
      <c r="BQ212" s="5" t="str" cm="1">
        <f t="array" ref="BQ212">IFERROR(
    TRANSPOSE(
        _xlfn.UNIQUE(
            _xlfn._xlws.FILTER(MAESTRIA_DETALLADO[MAESTRIA],
                ISNUMBER(MATCH(MAESTRIA_DETALLADO[CAMPO_DETALLADO],
                BD212:BP212,0))
            )
        )
    ),IF(BD212="ACTIVIDAD","DOCENCIA",""))</f>
        <v/>
      </c>
      <c r="EA212" s="5" t="str" cm="1">
        <f t="array" ref="EA212:FN212">IF(
    ASIGNACION!I212="SI",
    IFERROR(
        TRANSPOSE(
            _xlfn.UNIQUE(
                _xlfn._xlws.FILTER(EDU_DOCENTE[NOMBRE_DOCENTE],
                    ISNUMBER(MATCH(EDU_DOCENTE[MAESTRIA],
                    BQ212:DY212,0))
                )
            )
        ),
        ""
    ),
    TRANSPOSE(
        _xlfn.UNIQUE(EDU_DOCENTE[NOMBRE_DOCENTE]
        )
    )
)</f>
        <v>ALCIVAR CEDEÑO BEATRIZ ISABEL</v>
      </c>
      <c r="EB212" t="str">
        <v>ALCIVAR VERA GEMA MICHELLE</v>
      </c>
      <c r="EC212" t="str">
        <v>ARAUZ CHAVEZ MARIO ROBERTO</v>
      </c>
      <c r="ED212" t="str">
        <v>BAILON LOURIDO WALTER ALBERTO</v>
      </c>
      <c r="EE212" t="str">
        <v>CALDERERO VILLAGOMEZ ERICK ANTONIO</v>
      </c>
      <c r="EF212" t="str">
        <v>CASTILLO GARCIA PAOLA GERMANIA</v>
      </c>
      <c r="EG212" t="str">
        <v>CEDEÑO CHOEZ PEDRO JAVIER</v>
      </c>
      <c r="EH212" t="str">
        <v>CEVALLOS HOPPE JUAN CARLOS</v>
      </c>
      <c r="EI212" t="str">
        <v>DELGADO CHAVEZ MARIA IRASEMA</v>
      </c>
      <c r="EJ212" t="str">
        <v>DUARTE VALENCIA CRISTHIAN DARIO</v>
      </c>
      <c r="EK212" t="str">
        <v>FORTTY BARBERAN DENNY ALEXANDER</v>
      </c>
      <c r="EL212" t="str">
        <v>GUTIERREZ ZAMBRANO CARMEN EBELINA</v>
      </c>
      <c r="EM212" t="str">
        <v>INTRIAGO MOLINA GEMA VALERIA</v>
      </c>
      <c r="EN212" t="str">
        <v>LINO VELEZ LEONEL LIVINGTON</v>
      </c>
      <c r="EO212" t="str">
        <v>LOOR ALCIVAR MARIA ILIANA</v>
      </c>
      <c r="EP212" t="str">
        <v>LOOR MIELES TANIA JACQUELINE</v>
      </c>
      <c r="EQ212" t="str">
        <v>LOOR SOLORZANO ROSA MARIA</v>
      </c>
      <c r="ER212" t="str">
        <v>LOPEZ DELGADO RONALD MAURICIO</v>
      </c>
      <c r="ES212" t="str">
        <v>MACIAS VALENCIA DAVID GABRIEL</v>
      </c>
      <c r="ET212" t="str">
        <v>MENDOZA ZAMORA WALTER MANUEL</v>
      </c>
      <c r="EU212" t="str">
        <v>MOLINA CEVALLOS MARIA LORENA</v>
      </c>
      <c r="EV212" t="str">
        <v>MURILLO DELGADO ISAAC GABRIEL</v>
      </c>
      <c r="EW212" t="str">
        <v>ANGULO MURILLO NAVIRA GISSELA</v>
      </c>
      <c r="EX212" t="str">
        <v>OCHOA SOLEDISPA NESTOR IVAN</v>
      </c>
      <c r="EY212" t="str">
        <v>PARRAGA FRANCO SILVANA MARIELA</v>
      </c>
      <c r="EZ212" t="str">
        <v>PINARGOTE VASQUEZ NANCY FABIOLA</v>
      </c>
      <c r="FA212" t="str">
        <v>REYES VELEZ PEDRO ENRIQUE</v>
      </c>
      <c r="FB212" t="str">
        <v>SAN ANDRES HORMAZA DALLAS CECILIA</v>
      </c>
      <c r="FC212" t="str">
        <v>SORNOZA ZAMORA JUAN CARLOS</v>
      </c>
      <c r="FD212" t="str">
        <v>TOMALA PINTO JESUS JACINTO</v>
      </c>
      <c r="FE212" t="str">
        <v>VALLE JARAMILLO SILVIA ARACELY</v>
      </c>
      <c r="FF212" t="str">
        <v>VELÁSQUEZ BRAVO IRMA KATHERINE</v>
      </c>
      <c r="FG212" t="str">
        <v>VELEZ MENDOZA LAYSY VALERIA</v>
      </c>
      <c r="FH212" t="str">
        <v>VINUEZA TELLO SHIRLEY ELIZABETH</v>
      </c>
      <c r="FI212" t="str">
        <v>ZAMBRANO ALCIVAR NILDA ISABEL</v>
      </c>
      <c r="FJ212" t="str">
        <v>ZAMBRANO LOOR RITA MAYDA</v>
      </c>
      <c r="FK212" t="str">
        <v>ZAMBRANO VERA MONICA JANETH</v>
      </c>
      <c r="FL212" t="str">
        <v>VERA DELGADO BRYAN ADRIÁN</v>
      </c>
      <c r="FM212" t="str">
        <v>MORAN GONZALES DAVID RENATO</v>
      </c>
      <c r="FN212">
        <v>0</v>
      </c>
    </row>
    <row r="213" spans="1:170" ht="20.25" customHeight="1">
      <c r="A213" s="4" t="str" cm="1">
        <f t="array" ref="A213">TRANSPOSE(_xlfn.UNIQUE(_xlfn._xlws.FILTER(MAE_ASIGNATURA[ID_NIVEL],MAE_ASIGNATURA[ID_CARRERA]=ASIGNACION!$C213,"No existe información")))</f>
        <v>No existe información</v>
      </c>
      <c r="S213" s="4" t="str" cm="1">
        <f t="array" ref="S213">TRANSPOSE(_xlfn.UNIQUE(_xlfn._xlws.FILTER(MAE_ASIGNATURA[NOM_ASIG],(MAE_ASIGNATURA[ID_NIVEL]=ASIGNACION!$D213)*(MAE_ASIGNATURA[ID_CARRERA]=ASIGNACION!$C213),"No existe información")))</f>
        <v>No existe información</v>
      </c>
      <c r="BD213" s="4" t="str" cm="1">
        <f t="array" ref="BD213">TRANSPOSE(_xlfn.UNIQUE(_xlfn._xlws.FILTER(DET_ASIG[DETALLADO],(DET_ASIG[ID_CARRERA]=ASIGNACION!$C213)*(DET_ASIG[NIVEL]=ASIGNACION!$D213)*(DET_ASIG[ID_ASIG]=ASIGNACION!$G213),"No existe información")))</f>
        <v>No existe información</v>
      </c>
      <c r="BQ213" s="5" t="str" cm="1">
        <f t="array" ref="BQ213">IFERROR(
    TRANSPOSE(
        _xlfn.UNIQUE(
            _xlfn._xlws.FILTER(MAESTRIA_DETALLADO[MAESTRIA],
                ISNUMBER(MATCH(MAESTRIA_DETALLADO[CAMPO_DETALLADO],
                BD213:BP213,0))
            )
        )
    ),IF(BD213="ACTIVIDAD","DOCENCIA",""))</f>
        <v/>
      </c>
      <c r="EA213" s="5" t="str" cm="1">
        <f t="array" ref="EA213:FN213">IF(
    ASIGNACION!I213="SI",
    IFERROR(
        TRANSPOSE(
            _xlfn.UNIQUE(
                _xlfn._xlws.FILTER(EDU_DOCENTE[NOMBRE_DOCENTE],
                    ISNUMBER(MATCH(EDU_DOCENTE[MAESTRIA],
                    BQ213:DY213,0))
                )
            )
        ),
        ""
    ),
    TRANSPOSE(
        _xlfn.UNIQUE(EDU_DOCENTE[NOMBRE_DOCENTE]
        )
    )
)</f>
        <v>ALCIVAR CEDEÑO BEATRIZ ISABEL</v>
      </c>
      <c r="EB213" t="str">
        <v>ALCIVAR VERA GEMA MICHELLE</v>
      </c>
      <c r="EC213" t="str">
        <v>ARAUZ CHAVEZ MARIO ROBERTO</v>
      </c>
      <c r="ED213" t="str">
        <v>BAILON LOURIDO WALTER ALBERTO</v>
      </c>
      <c r="EE213" t="str">
        <v>CALDERERO VILLAGOMEZ ERICK ANTONIO</v>
      </c>
      <c r="EF213" t="str">
        <v>CASTILLO GARCIA PAOLA GERMANIA</v>
      </c>
      <c r="EG213" t="str">
        <v>CEDEÑO CHOEZ PEDRO JAVIER</v>
      </c>
      <c r="EH213" t="str">
        <v>CEVALLOS HOPPE JUAN CARLOS</v>
      </c>
      <c r="EI213" t="str">
        <v>DELGADO CHAVEZ MARIA IRASEMA</v>
      </c>
      <c r="EJ213" t="str">
        <v>DUARTE VALENCIA CRISTHIAN DARIO</v>
      </c>
      <c r="EK213" t="str">
        <v>FORTTY BARBERAN DENNY ALEXANDER</v>
      </c>
      <c r="EL213" t="str">
        <v>GUTIERREZ ZAMBRANO CARMEN EBELINA</v>
      </c>
      <c r="EM213" t="str">
        <v>INTRIAGO MOLINA GEMA VALERIA</v>
      </c>
      <c r="EN213" t="str">
        <v>LINO VELEZ LEONEL LIVINGTON</v>
      </c>
      <c r="EO213" t="str">
        <v>LOOR ALCIVAR MARIA ILIANA</v>
      </c>
      <c r="EP213" t="str">
        <v>LOOR MIELES TANIA JACQUELINE</v>
      </c>
      <c r="EQ213" t="str">
        <v>LOOR SOLORZANO ROSA MARIA</v>
      </c>
      <c r="ER213" t="str">
        <v>LOPEZ DELGADO RONALD MAURICIO</v>
      </c>
      <c r="ES213" t="str">
        <v>MACIAS VALENCIA DAVID GABRIEL</v>
      </c>
      <c r="ET213" t="str">
        <v>MENDOZA ZAMORA WALTER MANUEL</v>
      </c>
      <c r="EU213" t="str">
        <v>MOLINA CEVALLOS MARIA LORENA</v>
      </c>
      <c r="EV213" t="str">
        <v>MURILLO DELGADO ISAAC GABRIEL</v>
      </c>
      <c r="EW213" t="str">
        <v>ANGULO MURILLO NAVIRA GISSELA</v>
      </c>
      <c r="EX213" t="str">
        <v>OCHOA SOLEDISPA NESTOR IVAN</v>
      </c>
      <c r="EY213" t="str">
        <v>PARRAGA FRANCO SILVANA MARIELA</v>
      </c>
      <c r="EZ213" t="str">
        <v>PINARGOTE VASQUEZ NANCY FABIOLA</v>
      </c>
      <c r="FA213" t="str">
        <v>REYES VELEZ PEDRO ENRIQUE</v>
      </c>
      <c r="FB213" t="str">
        <v>SAN ANDRES HORMAZA DALLAS CECILIA</v>
      </c>
      <c r="FC213" t="str">
        <v>SORNOZA ZAMORA JUAN CARLOS</v>
      </c>
      <c r="FD213" t="str">
        <v>TOMALA PINTO JESUS JACINTO</v>
      </c>
      <c r="FE213" t="str">
        <v>VALLE JARAMILLO SILVIA ARACELY</v>
      </c>
      <c r="FF213" t="str">
        <v>VELÁSQUEZ BRAVO IRMA KATHERINE</v>
      </c>
      <c r="FG213" t="str">
        <v>VELEZ MENDOZA LAYSY VALERIA</v>
      </c>
      <c r="FH213" t="str">
        <v>VINUEZA TELLO SHIRLEY ELIZABETH</v>
      </c>
      <c r="FI213" t="str">
        <v>ZAMBRANO ALCIVAR NILDA ISABEL</v>
      </c>
      <c r="FJ213" t="str">
        <v>ZAMBRANO LOOR RITA MAYDA</v>
      </c>
      <c r="FK213" t="str">
        <v>ZAMBRANO VERA MONICA JANETH</v>
      </c>
      <c r="FL213" t="str">
        <v>VERA DELGADO BRYAN ADRIÁN</v>
      </c>
      <c r="FM213" t="str">
        <v>MORAN GONZALES DAVID RENATO</v>
      </c>
      <c r="FN213">
        <v>0</v>
      </c>
    </row>
    <row r="214" spans="1:170" ht="20.25" customHeight="1">
      <c r="A214" s="4" t="str" cm="1">
        <f t="array" ref="A214">TRANSPOSE(_xlfn.UNIQUE(_xlfn._xlws.FILTER(MAE_ASIGNATURA[ID_NIVEL],MAE_ASIGNATURA[ID_CARRERA]=ASIGNACION!$C214,"No existe información")))</f>
        <v>No existe información</v>
      </c>
      <c r="S214" s="4" t="str" cm="1">
        <f t="array" ref="S214">TRANSPOSE(_xlfn.UNIQUE(_xlfn._xlws.FILTER(MAE_ASIGNATURA[NOM_ASIG],(MAE_ASIGNATURA[ID_NIVEL]=ASIGNACION!$D214)*(MAE_ASIGNATURA[ID_CARRERA]=ASIGNACION!$C214),"No existe información")))</f>
        <v>No existe información</v>
      </c>
      <c r="BD214" s="4" t="str" cm="1">
        <f t="array" ref="BD214">TRANSPOSE(_xlfn.UNIQUE(_xlfn._xlws.FILTER(DET_ASIG[DETALLADO],(DET_ASIG[ID_CARRERA]=ASIGNACION!$C214)*(DET_ASIG[NIVEL]=ASIGNACION!$D214)*(DET_ASIG[ID_ASIG]=ASIGNACION!$G214),"No existe información")))</f>
        <v>No existe información</v>
      </c>
      <c r="BQ214" s="5" t="str" cm="1">
        <f t="array" ref="BQ214">IFERROR(
    TRANSPOSE(
        _xlfn.UNIQUE(
            _xlfn._xlws.FILTER(MAESTRIA_DETALLADO[MAESTRIA],
                ISNUMBER(MATCH(MAESTRIA_DETALLADO[CAMPO_DETALLADO],
                BD214:BP214,0))
            )
        )
    ),IF(BD214="ACTIVIDAD","DOCENCIA",""))</f>
        <v/>
      </c>
      <c r="EA214" s="5" t="str" cm="1">
        <f t="array" ref="EA214:FN214">IF(
    ASIGNACION!I214="SI",
    IFERROR(
        TRANSPOSE(
            _xlfn.UNIQUE(
                _xlfn._xlws.FILTER(EDU_DOCENTE[NOMBRE_DOCENTE],
                    ISNUMBER(MATCH(EDU_DOCENTE[MAESTRIA],
                    BQ214:DY214,0))
                )
            )
        ),
        ""
    ),
    TRANSPOSE(
        _xlfn.UNIQUE(EDU_DOCENTE[NOMBRE_DOCENTE]
        )
    )
)</f>
        <v>ALCIVAR CEDEÑO BEATRIZ ISABEL</v>
      </c>
      <c r="EB214" t="str">
        <v>ALCIVAR VERA GEMA MICHELLE</v>
      </c>
      <c r="EC214" t="str">
        <v>ARAUZ CHAVEZ MARIO ROBERTO</v>
      </c>
      <c r="ED214" t="str">
        <v>BAILON LOURIDO WALTER ALBERTO</v>
      </c>
      <c r="EE214" t="str">
        <v>CALDERERO VILLAGOMEZ ERICK ANTONIO</v>
      </c>
      <c r="EF214" t="str">
        <v>CASTILLO GARCIA PAOLA GERMANIA</v>
      </c>
      <c r="EG214" t="str">
        <v>CEDEÑO CHOEZ PEDRO JAVIER</v>
      </c>
      <c r="EH214" t="str">
        <v>CEVALLOS HOPPE JUAN CARLOS</v>
      </c>
      <c r="EI214" t="str">
        <v>DELGADO CHAVEZ MARIA IRASEMA</v>
      </c>
      <c r="EJ214" t="str">
        <v>DUARTE VALENCIA CRISTHIAN DARIO</v>
      </c>
      <c r="EK214" t="str">
        <v>FORTTY BARBERAN DENNY ALEXANDER</v>
      </c>
      <c r="EL214" t="str">
        <v>GUTIERREZ ZAMBRANO CARMEN EBELINA</v>
      </c>
      <c r="EM214" t="str">
        <v>INTRIAGO MOLINA GEMA VALERIA</v>
      </c>
      <c r="EN214" t="str">
        <v>LINO VELEZ LEONEL LIVINGTON</v>
      </c>
      <c r="EO214" t="str">
        <v>LOOR ALCIVAR MARIA ILIANA</v>
      </c>
      <c r="EP214" t="str">
        <v>LOOR MIELES TANIA JACQUELINE</v>
      </c>
      <c r="EQ214" t="str">
        <v>LOOR SOLORZANO ROSA MARIA</v>
      </c>
      <c r="ER214" t="str">
        <v>LOPEZ DELGADO RONALD MAURICIO</v>
      </c>
      <c r="ES214" t="str">
        <v>MACIAS VALENCIA DAVID GABRIEL</v>
      </c>
      <c r="ET214" t="str">
        <v>MENDOZA ZAMORA WALTER MANUEL</v>
      </c>
      <c r="EU214" t="str">
        <v>MOLINA CEVALLOS MARIA LORENA</v>
      </c>
      <c r="EV214" t="str">
        <v>MURILLO DELGADO ISAAC GABRIEL</v>
      </c>
      <c r="EW214" t="str">
        <v>ANGULO MURILLO NAVIRA GISSELA</v>
      </c>
      <c r="EX214" t="str">
        <v>OCHOA SOLEDISPA NESTOR IVAN</v>
      </c>
      <c r="EY214" t="str">
        <v>PARRAGA FRANCO SILVANA MARIELA</v>
      </c>
      <c r="EZ214" t="str">
        <v>PINARGOTE VASQUEZ NANCY FABIOLA</v>
      </c>
      <c r="FA214" t="str">
        <v>REYES VELEZ PEDRO ENRIQUE</v>
      </c>
      <c r="FB214" t="str">
        <v>SAN ANDRES HORMAZA DALLAS CECILIA</v>
      </c>
      <c r="FC214" t="str">
        <v>SORNOZA ZAMORA JUAN CARLOS</v>
      </c>
      <c r="FD214" t="str">
        <v>TOMALA PINTO JESUS JACINTO</v>
      </c>
      <c r="FE214" t="str">
        <v>VALLE JARAMILLO SILVIA ARACELY</v>
      </c>
      <c r="FF214" t="str">
        <v>VELÁSQUEZ BRAVO IRMA KATHERINE</v>
      </c>
      <c r="FG214" t="str">
        <v>VELEZ MENDOZA LAYSY VALERIA</v>
      </c>
      <c r="FH214" t="str">
        <v>VINUEZA TELLO SHIRLEY ELIZABETH</v>
      </c>
      <c r="FI214" t="str">
        <v>ZAMBRANO ALCIVAR NILDA ISABEL</v>
      </c>
      <c r="FJ214" t="str">
        <v>ZAMBRANO LOOR RITA MAYDA</v>
      </c>
      <c r="FK214" t="str">
        <v>ZAMBRANO VERA MONICA JANETH</v>
      </c>
      <c r="FL214" t="str">
        <v>VERA DELGADO BRYAN ADRIÁN</v>
      </c>
      <c r="FM214" t="str">
        <v>MORAN GONZALES DAVID RENATO</v>
      </c>
      <c r="FN214">
        <v>0</v>
      </c>
    </row>
    <row r="215" spans="1:170" ht="20.25" customHeight="1">
      <c r="A215" s="4" t="str" cm="1">
        <f t="array" ref="A215">TRANSPOSE(_xlfn.UNIQUE(_xlfn._xlws.FILTER(MAE_ASIGNATURA[ID_NIVEL],MAE_ASIGNATURA[ID_CARRERA]=ASIGNACION!$C215,"No existe información")))</f>
        <v>No existe información</v>
      </c>
      <c r="S215" s="4" t="str" cm="1">
        <f t="array" ref="S215">TRANSPOSE(_xlfn.UNIQUE(_xlfn._xlws.FILTER(MAE_ASIGNATURA[NOM_ASIG],(MAE_ASIGNATURA[ID_NIVEL]=ASIGNACION!$D215)*(MAE_ASIGNATURA[ID_CARRERA]=ASIGNACION!$C215),"No existe información")))</f>
        <v>No existe información</v>
      </c>
      <c r="BD215" s="4" t="str" cm="1">
        <f t="array" ref="BD215">TRANSPOSE(_xlfn.UNIQUE(_xlfn._xlws.FILTER(DET_ASIG[DETALLADO],(DET_ASIG[ID_CARRERA]=ASIGNACION!$C215)*(DET_ASIG[NIVEL]=ASIGNACION!$D215)*(DET_ASIG[ID_ASIG]=ASIGNACION!$G215),"No existe información")))</f>
        <v>No existe información</v>
      </c>
      <c r="BQ215" s="5" t="str" cm="1">
        <f t="array" ref="BQ215">IFERROR(
    TRANSPOSE(
        _xlfn.UNIQUE(
            _xlfn._xlws.FILTER(MAESTRIA_DETALLADO[MAESTRIA],
                ISNUMBER(MATCH(MAESTRIA_DETALLADO[CAMPO_DETALLADO],
                BD215:BP215,0))
            )
        )
    ),IF(BD215="ACTIVIDAD","DOCENCIA",""))</f>
        <v/>
      </c>
      <c r="EA215" s="5" t="str" cm="1">
        <f t="array" ref="EA215:FN215">IF(
    ASIGNACION!I215="SI",
    IFERROR(
        TRANSPOSE(
            _xlfn.UNIQUE(
                _xlfn._xlws.FILTER(EDU_DOCENTE[NOMBRE_DOCENTE],
                    ISNUMBER(MATCH(EDU_DOCENTE[MAESTRIA],
                    BQ215:DY215,0))
                )
            )
        ),
        ""
    ),
    TRANSPOSE(
        _xlfn.UNIQUE(EDU_DOCENTE[NOMBRE_DOCENTE]
        )
    )
)</f>
        <v>ALCIVAR CEDEÑO BEATRIZ ISABEL</v>
      </c>
      <c r="EB215" t="str">
        <v>ALCIVAR VERA GEMA MICHELLE</v>
      </c>
      <c r="EC215" t="str">
        <v>ARAUZ CHAVEZ MARIO ROBERTO</v>
      </c>
      <c r="ED215" t="str">
        <v>BAILON LOURIDO WALTER ALBERTO</v>
      </c>
      <c r="EE215" t="str">
        <v>CALDERERO VILLAGOMEZ ERICK ANTONIO</v>
      </c>
      <c r="EF215" t="str">
        <v>CASTILLO GARCIA PAOLA GERMANIA</v>
      </c>
      <c r="EG215" t="str">
        <v>CEDEÑO CHOEZ PEDRO JAVIER</v>
      </c>
      <c r="EH215" t="str">
        <v>CEVALLOS HOPPE JUAN CARLOS</v>
      </c>
      <c r="EI215" t="str">
        <v>DELGADO CHAVEZ MARIA IRASEMA</v>
      </c>
      <c r="EJ215" t="str">
        <v>DUARTE VALENCIA CRISTHIAN DARIO</v>
      </c>
      <c r="EK215" t="str">
        <v>FORTTY BARBERAN DENNY ALEXANDER</v>
      </c>
      <c r="EL215" t="str">
        <v>GUTIERREZ ZAMBRANO CARMEN EBELINA</v>
      </c>
      <c r="EM215" t="str">
        <v>INTRIAGO MOLINA GEMA VALERIA</v>
      </c>
      <c r="EN215" t="str">
        <v>LINO VELEZ LEONEL LIVINGTON</v>
      </c>
      <c r="EO215" t="str">
        <v>LOOR ALCIVAR MARIA ILIANA</v>
      </c>
      <c r="EP215" t="str">
        <v>LOOR MIELES TANIA JACQUELINE</v>
      </c>
      <c r="EQ215" t="str">
        <v>LOOR SOLORZANO ROSA MARIA</v>
      </c>
      <c r="ER215" t="str">
        <v>LOPEZ DELGADO RONALD MAURICIO</v>
      </c>
      <c r="ES215" t="str">
        <v>MACIAS VALENCIA DAVID GABRIEL</v>
      </c>
      <c r="ET215" t="str">
        <v>MENDOZA ZAMORA WALTER MANUEL</v>
      </c>
      <c r="EU215" t="str">
        <v>MOLINA CEVALLOS MARIA LORENA</v>
      </c>
      <c r="EV215" t="str">
        <v>MURILLO DELGADO ISAAC GABRIEL</v>
      </c>
      <c r="EW215" t="str">
        <v>ANGULO MURILLO NAVIRA GISSELA</v>
      </c>
      <c r="EX215" t="str">
        <v>OCHOA SOLEDISPA NESTOR IVAN</v>
      </c>
      <c r="EY215" t="str">
        <v>PARRAGA FRANCO SILVANA MARIELA</v>
      </c>
      <c r="EZ215" t="str">
        <v>PINARGOTE VASQUEZ NANCY FABIOLA</v>
      </c>
      <c r="FA215" t="str">
        <v>REYES VELEZ PEDRO ENRIQUE</v>
      </c>
      <c r="FB215" t="str">
        <v>SAN ANDRES HORMAZA DALLAS CECILIA</v>
      </c>
      <c r="FC215" t="str">
        <v>SORNOZA ZAMORA JUAN CARLOS</v>
      </c>
      <c r="FD215" t="str">
        <v>TOMALA PINTO JESUS JACINTO</v>
      </c>
      <c r="FE215" t="str">
        <v>VALLE JARAMILLO SILVIA ARACELY</v>
      </c>
      <c r="FF215" t="str">
        <v>VELÁSQUEZ BRAVO IRMA KATHERINE</v>
      </c>
      <c r="FG215" t="str">
        <v>VELEZ MENDOZA LAYSY VALERIA</v>
      </c>
      <c r="FH215" t="str">
        <v>VINUEZA TELLO SHIRLEY ELIZABETH</v>
      </c>
      <c r="FI215" t="str">
        <v>ZAMBRANO ALCIVAR NILDA ISABEL</v>
      </c>
      <c r="FJ215" t="str">
        <v>ZAMBRANO LOOR RITA MAYDA</v>
      </c>
      <c r="FK215" t="str">
        <v>ZAMBRANO VERA MONICA JANETH</v>
      </c>
      <c r="FL215" t="str">
        <v>VERA DELGADO BRYAN ADRIÁN</v>
      </c>
      <c r="FM215" t="str">
        <v>MORAN GONZALES DAVID RENATO</v>
      </c>
      <c r="FN215">
        <v>0</v>
      </c>
    </row>
    <row r="216" spans="1:170" ht="20.25" customHeight="1">
      <c r="A216" s="4" t="str" cm="1">
        <f t="array" ref="A216">TRANSPOSE(_xlfn.UNIQUE(_xlfn._xlws.FILTER(MAE_ASIGNATURA[ID_NIVEL],MAE_ASIGNATURA[ID_CARRERA]=ASIGNACION!$C216,"No existe información")))</f>
        <v>No existe información</v>
      </c>
      <c r="S216" s="4" t="str" cm="1">
        <f t="array" ref="S216">TRANSPOSE(_xlfn.UNIQUE(_xlfn._xlws.FILTER(MAE_ASIGNATURA[NOM_ASIG],(MAE_ASIGNATURA[ID_NIVEL]=ASIGNACION!$D216)*(MAE_ASIGNATURA[ID_CARRERA]=ASIGNACION!$C216),"No existe información")))</f>
        <v>No existe información</v>
      </c>
      <c r="BD216" s="4" t="str" cm="1">
        <f t="array" ref="BD216">TRANSPOSE(_xlfn.UNIQUE(_xlfn._xlws.FILTER(DET_ASIG[DETALLADO],(DET_ASIG[ID_CARRERA]=ASIGNACION!$C216)*(DET_ASIG[NIVEL]=ASIGNACION!$D216)*(DET_ASIG[ID_ASIG]=ASIGNACION!$G216),"No existe información")))</f>
        <v>No existe información</v>
      </c>
      <c r="BQ216" s="5" t="str" cm="1">
        <f t="array" ref="BQ216">IFERROR(
    TRANSPOSE(
        _xlfn.UNIQUE(
            _xlfn._xlws.FILTER(MAESTRIA_DETALLADO[MAESTRIA],
                ISNUMBER(MATCH(MAESTRIA_DETALLADO[CAMPO_DETALLADO],
                BD216:BP216,0))
            )
        )
    ),IF(BD216="ACTIVIDAD","DOCENCIA",""))</f>
        <v/>
      </c>
      <c r="EA216" s="5" t="str" cm="1">
        <f t="array" ref="EA216:FN216">IF(
    ASIGNACION!I216="SI",
    IFERROR(
        TRANSPOSE(
            _xlfn.UNIQUE(
                _xlfn._xlws.FILTER(EDU_DOCENTE[NOMBRE_DOCENTE],
                    ISNUMBER(MATCH(EDU_DOCENTE[MAESTRIA],
                    BQ216:DY216,0))
                )
            )
        ),
        ""
    ),
    TRANSPOSE(
        _xlfn.UNIQUE(EDU_DOCENTE[NOMBRE_DOCENTE]
        )
    )
)</f>
        <v>ALCIVAR CEDEÑO BEATRIZ ISABEL</v>
      </c>
      <c r="EB216" t="str">
        <v>ALCIVAR VERA GEMA MICHELLE</v>
      </c>
      <c r="EC216" t="str">
        <v>ARAUZ CHAVEZ MARIO ROBERTO</v>
      </c>
      <c r="ED216" t="str">
        <v>BAILON LOURIDO WALTER ALBERTO</v>
      </c>
      <c r="EE216" t="str">
        <v>CALDERERO VILLAGOMEZ ERICK ANTONIO</v>
      </c>
      <c r="EF216" t="str">
        <v>CASTILLO GARCIA PAOLA GERMANIA</v>
      </c>
      <c r="EG216" t="str">
        <v>CEDEÑO CHOEZ PEDRO JAVIER</v>
      </c>
      <c r="EH216" t="str">
        <v>CEVALLOS HOPPE JUAN CARLOS</v>
      </c>
      <c r="EI216" t="str">
        <v>DELGADO CHAVEZ MARIA IRASEMA</v>
      </c>
      <c r="EJ216" t="str">
        <v>DUARTE VALENCIA CRISTHIAN DARIO</v>
      </c>
      <c r="EK216" t="str">
        <v>FORTTY BARBERAN DENNY ALEXANDER</v>
      </c>
      <c r="EL216" t="str">
        <v>GUTIERREZ ZAMBRANO CARMEN EBELINA</v>
      </c>
      <c r="EM216" t="str">
        <v>INTRIAGO MOLINA GEMA VALERIA</v>
      </c>
      <c r="EN216" t="str">
        <v>LINO VELEZ LEONEL LIVINGTON</v>
      </c>
      <c r="EO216" t="str">
        <v>LOOR ALCIVAR MARIA ILIANA</v>
      </c>
      <c r="EP216" t="str">
        <v>LOOR MIELES TANIA JACQUELINE</v>
      </c>
      <c r="EQ216" t="str">
        <v>LOOR SOLORZANO ROSA MARIA</v>
      </c>
      <c r="ER216" t="str">
        <v>LOPEZ DELGADO RONALD MAURICIO</v>
      </c>
      <c r="ES216" t="str">
        <v>MACIAS VALENCIA DAVID GABRIEL</v>
      </c>
      <c r="ET216" t="str">
        <v>MENDOZA ZAMORA WALTER MANUEL</v>
      </c>
      <c r="EU216" t="str">
        <v>MOLINA CEVALLOS MARIA LORENA</v>
      </c>
      <c r="EV216" t="str">
        <v>MURILLO DELGADO ISAAC GABRIEL</v>
      </c>
      <c r="EW216" t="str">
        <v>ANGULO MURILLO NAVIRA GISSELA</v>
      </c>
      <c r="EX216" t="str">
        <v>OCHOA SOLEDISPA NESTOR IVAN</v>
      </c>
      <c r="EY216" t="str">
        <v>PARRAGA FRANCO SILVANA MARIELA</v>
      </c>
      <c r="EZ216" t="str">
        <v>PINARGOTE VASQUEZ NANCY FABIOLA</v>
      </c>
      <c r="FA216" t="str">
        <v>REYES VELEZ PEDRO ENRIQUE</v>
      </c>
      <c r="FB216" t="str">
        <v>SAN ANDRES HORMAZA DALLAS CECILIA</v>
      </c>
      <c r="FC216" t="str">
        <v>SORNOZA ZAMORA JUAN CARLOS</v>
      </c>
      <c r="FD216" t="str">
        <v>TOMALA PINTO JESUS JACINTO</v>
      </c>
      <c r="FE216" t="str">
        <v>VALLE JARAMILLO SILVIA ARACELY</v>
      </c>
      <c r="FF216" t="str">
        <v>VELÁSQUEZ BRAVO IRMA KATHERINE</v>
      </c>
      <c r="FG216" t="str">
        <v>VELEZ MENDOZA LAYSY VALERIA</v>
      </c>
      <c r="FH216" t="str">
        <v>VINUEZA TELLO SHIRLEY ELIZABETH</v>
      </c>
      <c r="FI216" t="str">
        <v>ZAMBRANO ALCIVAR NILDA ISABEL</v>
      </c>
      <c r="FJ216" t="str">
        <v>ZAMBRANO LOOR RITA MAYDA</v>
      </c>
      <c r="FK216" t="str">
        <v>ZAMBRANO VERA MONICA JANETH</v>
      </c>
      <c r="FL216" t="str">
        <v>VERA DELGADO BRYAN ADRIÁN</v>
      </c>
      <c r="FM216" t="str">
        <v>MORAN GONZALES DAVID RENATO</v>
      </c>
      <c r="FN216">
        <v>0</v>
      </c>
    </row>
    <row r="217" spans="1:170" ht="20.25" customHeight="1">
      <c r="A217" s="4" t="str" cm="1">
        <f t="array" ref="A217">TRANSPOSE(_xlfn.UNIQUE(_xlfn._xlws.FILTER(MAE_ASIGNATURA[ID_NIVEL],MAE_ASIGNATURA[ID_CARRERA]=ASIGNACION!$C217,"No existe información")))</f>
        <v>No existe información</v>
      </c>
      <c r="S217" s="4" t="str" cm="1">
        <f t="array" ref="S217">TRANSPOSE(_xlfn.UNIQUE(_xlfn._xlws.FILTER(MAE_ASIGNATURA[NOM_ASIG],(MAE_ASIGNATURA[ID_NIVEL]=ASIGNACION!$D217)*(MAE_ASIGNATURA[ID_CARRERA]=ASIGNACION!$C217),"No existe información")))</f>
        <v>No existe información</v>
      </c>
      <c r="BD217" s="4" t="str" cm="1">
        <f t="array" ref="BD217">TRANSPOSE(_xlfn.UNIQUE(_xlfn._xlws.FILTER(DET_ASIG[DETALLADO],(DET_ASIG[ID_CARRERA]=ASIGNACION!$C217)*(DET_ASIG[NIVEL]=ASIGNACION!$D217)*(DET_ASIG[ID_ASIG]=ASIGNACION!$G217),"No existe información")))</f>
        <v>No existe información</v>
      </c>
      <c r="BQ217" s="5" t="str" cm="1">
        <f t="array" ref="BQ217">IFERROR(
    TRANSPOSE(
        _xlfn.UNIQUE(
            _xlfn._xlws.FILTER(MAESTRIA_DETALLADO[MAESTRIA],
                ISNUMBER(MATCH(MAESTRIA_DETALLADO[CAMPO_DETALLADO],
                BD217:BP217,0))
            )
        )
    ),IF(BD217="ACTIVIDAD","DOCENCIA",""))</f>
        <v/>
      </c>
      <c r="EA217" s="5" t="str" cm="1">
        <f t="array" ref="EA217:FN217">IF(
    ASIGNACION!I217="SI",
    IFERROR(
        TRANSPOSE(
            _xlfn.UNIQUE(
                _xlfn._xlws.FILTER(EDU_DOCENTE[NOMBRE_DOCENTE],
                    ISNUMBER(MATCH(EDU_DOCENTE[MAESTRIA],
                    BQ217:DY217,0))
                )
            )
        ),
        ""
    ),
    TRANSPOSE(
        _xlfn.UNIQUE(EDU_DOCENTE[NOMBRE_DOCENTE]
        )
    )
)</f>
        <v>ALCIVAR CEDEÑO BEATRIZ ISABEL</v>
      </c>
      <c r="EB217" t="str">
        <v>ALCIVAR VERA GEMA MICHELLE</v>
      </c>
      <c r="EC217" t="str">
        <v>ARAUZ CHAVEZ MARIO ROBERTO</v>
      </c>
      <c r="ED217" t="str">
        <v>BAILON LOURIDO WALTER ALBERTO</v>
      </c>
      <c r="EE217" t="str">
        <v>CALDERERO VILLAGOMEZ ERICK ANTONIO</v>
      </c>
      <c r="EF217" t="str">
        <v>CASTILLO GARCIA PAOLA GERMANIA</v>
      </c>
      <c r="EG217" t="str">
        <v>CEDEÑO CHOEZ PEDRO JAVIER</v>
      </c>
      <c r="EH217" t="str">
        <v>CEVALLOS HOPPE JUAN CARLOS</v>
      </c>
      <c r="EI217" t="str">
        <v>DELGADO CHAVEZ MARIA IRASEMA</v>
      </c>
      <c r="EJ217" t="str">
        <v>DUARTE VALENCIA CRISTHIAN DARIO</v>
      </c>
      <c r="EK217" t="str">
        <v>FORTTY BARBERAN DENNY ALEXANDER</v>
      </c>
      <c r="EL217" t="str">
        <v>GUTIERREZ ZAMBRANO CARMEN EBELINA</v>
      </c>
      <c r="EM217" t="str">
        <v>INTRIAGO MOLINA GEMA VALERIA</v>
      </c>
      <c r="EN217" t="str">
        <v>LINO VELEZ LEONEL LIVINGTON</v>
      </c>
      <c r="EO217" t="str">
        <v>LOOR ALCIVAR MARIA ILIANA</v>
      </c>
      <c r="EP217" t="str">
        <v>LOOR MIELES TANIA JACQUELINE</v>
      </c>
      <c r="EQ217" t="str">
        <v>LOOR SOLORZANO ROSA MARIA</v>
      </c>
      <c r="ER217" t="str">
        <v>LOPEZ DELGADO RONALD MAURICIO</v>
      </c>
      <c r="ES217" t="str">
        <v>MACIAS VALENCIA DAVID GABRIEL</v>
      </c>
      <c r="ET217" t="str">
        <v>MENDOZA ZAMORA WALTER MANUEL</v>
      </c>
      <c r="EU217" t="str">
        <v>MOLINA CEVALLOS MARIA LORENA</v>
      </c>
      <c r="EV217" t="str">
        <v>MURILLO DELGADO ISAAC GABRIEL</v>
      </c>
      <c r="EW217" t="str">
        <v>ANGULO MURILLO NAVIRA GISSELA</v>
      </c>
      <c r="EX217" t="str">
        <v>OCHOA SOLEDISPA NESTOR IVAN</v>
      </c>
      <c r="EY217" t="str">
        <v>PARRAGA FRANCO SILVANA MARIELA</v>
      </c>
      <c r="EZ217" t="str">
        <v>PINARGOTE VASQUEZ NANCY FABIOLA</v>
      </c>
      <c r="FA217" t="str">
        <v>REYES VELEZ PEDRO ENRIQUE</v>
      </c>
      <c r="FB217" t="str">
        <v>SAN ANDRES HORMAZA DALLAS CECILIA</v>
      </c>
      <c r="FC217" t="str">
        <v>SORNOZA ZAMORA JUAN CARLOS</v>
      </c>
      <c r="FD217" t="str">
        <v>TOMALA PINTO JESUS JACINTO</v>
      </c>
      <c r="FE217" t="str">
        <v>VALLE JARAMILLO SILVIA ARACELY</v>
      </c>
      <c r="FF217" t="str">
        <v>VELÁSQUEZ BRAVO IRMA KATHERINE</v>
      </c>
      <c r="FG217" t="str">
        <v>VELEZ MENDOZA LAYSY VALERIA</v>
      </c>
      <c r="FH217" t="str">
        <v>VINUEZA TELLO SHIRLEY ELIZABETH</v>
      </c>
      <c r="FI217" t="str">
        <v>ZAMBRANO ALCIVAR NILDA ISABEL</v>
      </c>
      <c r="FJ217" t="str">
        <v>ZAMBRANO LOOR RITA MAYDA</v>
      </c>
      <c r="FK217" t="str">
        <v>ZAMBRANO VERA MONICA JANETH</v>
      </c>
      <c r="FL217" t="str">
        <v>VERA DELGADO BRYAN ADRIÁN</v>
      </c>
      <c r="FM217" t="str">
        <v>MORAN GONZALES DAVID RENATO</v>
      </c>
      <c r="FN217">
        <v>0</v>
      </c>
    </row>
    <row r="218" spans="1:170" ht="20.25" customHeight="1">
      <c r="A218" s="4" t="str" cm="1">
        <f t="array" ref="A218">TRANSPOSE(_xlfn.UNIQUE(_xlfn._xlws.FILTER(MAE_ASIGNATURA[ID_NIVEL],MAE_ASIGNATURA[ID_CARRERA]=ASIGNACION!$C218,"No existe información")))</f>
        <v>No existe información</v>
      </c>
      <c r="S218" s="4" t="str" cm="1">
        <f t="array" ref="S218">TRANSPOSE(_xlfn.UNIQUE(_xlfn._xlws.FILTER(MAE_ASIGNATURA[NOM_ASIG],(MAE_ASIGNATURA[ID_NIVEL]=ASIGNACION!$D218)*(MAE_ASIGNATURA[ID_CARRERA]=ASIGNACION!$C218),"No existe información")))</f>
        <v>No existe información</v>
      </c>
      <c r="BD218" s="4" t="str" cm="1">
        <f t="array" ref="BD218">TRANSPOSE(_xlfn.UNIQUE(_xlfn._xlws.FILTER(DET_ASIG[DETALLADO],(DET_ASIG[ID_CARRERA]=ASIGNACION!$C218)*(DET_ASIG[NIVEL]=ASIGNACION!$D218)*(DET_ASIG[ID_ASIG]=ASIGNACION!$G218),"No existe información")))</f>
        <v>No existe información</v>
      </c>
      <c r="BQ218" s="5" t="str" cm="1">
        <f t="array" ref="BQ218">IFERROR(
    TRANSPOSE(
        _xlfn.UNIQUE(
            _xlfn._xlws.FILTER(MAESTRIA_DETALLADO[MAESTRIA],
                ISNUMBER(MATCH(MAESTRIA_DETALLADO[CAMPO_DETALLADO],
                BD218:BP218,0))
            )
        )
    ),IF(BD218="ACTIVIDAD","DOCENCIA",""))</f>
        <v/>
      </c>
      <c r="EA218" s="5" t="str" cm="1">
        <f t="array" ref="EA218:FN218">IF(
    ASIGNACION!I218="SI",
    IFERROR(
        TRANSPOSE(
            _xlfn.UNIQUE(
                _xlfn._xlws.FILTER(EDU_DOCENTE[NOMBRE_DOCENTE],
                    ISNUMBER(MATCH(EDU_DOCENTE[MAESTRIA],
                    BQ218:DY218,0))
                )
            )
        ),
        ""
    ),
    TRANSPOSE(
        _xlfn.UNIQUE(EDU_DOCENTE[NOMBRE_DOCENTE]
        )
    )
)</f>
        <v>ALCIVAR CEDEÑO BEATRIZ ISABEL</v>
      </c>
      <c r="EB218" t="str">
        <v>ALCIVAR VERA GEMA MICHELLE</v>
      </c>
      <c r="EC218" t="str">
        <v>ARAUZ CHAVEZ MARIO ROBERTO</v>
      </c>
      <c r="ED218" t="str">
        <v>BAILON LOURIDO WALTER ALBERTO</v>
      </c>
      <c r="EE218" t="str">
        <v>CALDERERO VILLAGOMEZ ERICK ANTONIO</v>
      </c>
      <c r="EF218" t="str">
        <v>CASTILLO GARCIA PAOLA GERMANIA</v>
      </c>
      <c r="EG218" t="str">
        <v>CEDEÑO CHOEZ PEDRO JAVIER</v>
      </c>
      <c r="EH218" t="str">
        <v>CEVALLOS HOPPE JUAN CARLOS</v>
      </c>
      <c r="EI218" t="str">
        <v>DELGADO CHAVEZ MARIA IRASEMA</v>
      </c>
      <c r="EJ218" t="str">
        <v>DUARTE VALENCIA CRISTHIAN DARIO</v>
      </c>
      <c r="EK218" t="str">
        <v>FORTTY BARBERAN DENNY ALEXANDER</v>
      </c>
      <c r="EL218" t="str">
        <v>GUTIERREZ ZAMBRANO CARMEN EBELINA</v>
      </c>
      <c r="EM218" t="str">
        <v>INTRIAGO MOLINA GEMA VALERIA</v>
      </c>
      <c r="EN218" t="str">
        <v>LINO VELEZ LEONEL LIVINGTON</v>
      </c>
      <c r="EO218" t="str">
        <v>LOOR ALCIVAR MARIA ILIANA</v>
      </c>
      <c r="EP218" t="str">
        <v>LOOR MIELES TANIA JACQUELINE</v>
      </c>
      <c r="EQ218" t="str">
        <v>LOOR SOLORZANO ROSA MARIA</v>
      </c>
      <c r="ER218" t="str">
        <v>LOPEZ DELGADO RONALD MAURICIO</v>
      </c>
      <c r="ES218" t="str">
        <v>MACIAS VALENCIA DAVID GABRIEL</v>
      </c>
      <c r="ET218" t="str">
        <v>MENDOZA ZAMORA WALTER MANUEL</v>
      </c>
      <c r="EU218" t="str">
        <v>MOLINA CEVALLOS MARIA LORENA</v>
      </c>
      <c r="EV218" t="str">
        <v>MURILLO DELGADO ISAAC GABRIEL</v>
      </c>
      <c r="EW218" t="str">
        <v>ANGULO MURILLO NAVIRA GISSELA</v>
      </c>
      <c r="EX218" t="str">
        <v>OCHOA SOLEDISPA NESTOR IVAN</v>
      </c>
      <c r="EY218" t="str">
        <v>PARRAGA FRANCO SILVANA MARIELA</v>
      </c>
      <c r="EZ218" t="str">
        <v>PINARGOTE VASQUEZ NANCY FABIOLA</v>
      </c>
      <c r="FA218" t="str">
        <v>REYES VELEZ PEDRO ENRIQUE</v>
      </c>
      <c r="FB218" t="str">
        <v>SAN ANDRES HORMAZA DALLAS CECILIA</v>
      </c>
      <c r="FC218" t="str">
        <v>SORNOZA ZAMORA JUAN CARLOS</v>
      </c>
      <c r="FD218" t="str">
        <v>TOMALA PINTO JESUS JACINTO</v>
      </c>
      <c r="FE218" t="str">
        <v>VALLE JARAMILLO SILVIA ARACELY</v>
      </c>
      <c r="FF218" t="str">
        <v>VELÁSQUEZ BRAVO IRMA KATHERINE</v>
      </c>
      <c r="FG218" t="str">
        <v>VELEZ MENDOZA LAYSY VALERIA</v>
      </c>
      <c r="FH218" t="str">
        <v>VINUEZA TELLO SHIRLEY ELIZABETH</v>
      </c>
      <c r="FI218" t="str">
        <v>ZAMBRANO ALCIVAR NILDA ISABEL</v>
      </c>
      <c r="FJ218" t="str">
        <v>ZAMBRANO LOOR RITA MAYDA</v>
      </c>
      <c r="FK218" t="str">
        <v>ZAMBRANO VERA MONICA JANETH</v>
      </c>
      <c r="FL218" t="str">
        <v>VERA DELGADO BRYAN ADRIÁN</v>
      </c>
      <c r="FM218" t="str">
        <v>MORAN GONZALES DAVID RENATO</v>
      </c>
      <c r="FN218">
        <v>0</v>
      </c>
    </row>
    <row r="219" spans="1:170" ht="20.25" customHeight="1">
      <c r="A219" s="4" t="str" cm="1">
        <f t="array" ref="A219">TRANSPOSE(_xlfn.UNIQUE(_xlfn._xlws.FILTER(MAE_ASIGNATURA[ID_NIVEL],MAE_ASIGNATURA[ID_CARRERA]=ASIGNACION!$C219,"No existe información")))</f>
        <v>No existe información</v>
      </c>
      <c r="S219" s="4" t="str" cm="1">
        <f t="array" ref="S219">TRANSPOSE(_xlfn.UNIQUE(_xlfn._xlws.FILTER(MAE_ASIGNATURA[NOM_ASIG],(MAE_ASIGNATURA[ID_NIVEL]=ASIGNACION!$D219)*(MAE_ASIGNATURA[ID_CARRERA]=ASIGNACION!$C219),"No existe información")))</f>
        <v>No existe información</v>
      </c>
      <c r="BD219" s="4" t="str" cm="1">
        <f t="array" ref="BD219">TRANSPOSE(_xlfn.UNIQUE(_xlfn._xlws.FILTER(DET_ASIG[DETALLADO],(DET_ASIG[ID_CARRERA]=ASIGNACION!$C219)*(DET_ASIG[NIVEL]=ASIGNACION!$D219)*(DET_ASIG[ID_ASIG]=ASIGNACION!$G219),"No existe información")))</f>
        <v>No existe información</v>
      </c>
      <c r="BQ219" s="5" t="str" cm="1">
        <f t="array" ref="BQ219">IFERROR(
    TRANSPOSE(
        _xlfn.UNIQUE(
            _xlfn._xlws.FILTER(MAESTRIA_DETALLADO[MAESTRIA],
                ISNUMBER(MATCH(MAESTRIA_DETALLADO[CAMPO_DETALLADO],
                BD219:BP219,0))
            )
        )
    ),IF(BD219="ACTIVIDAD","DOCENCIA",""))</f>
        <v/>
      </c>
      <c r="EA219" s="5" t="str" cm="1">
        <f t="array" ref="EA219:FN219">IF(
    ASIGNACION!I219="SI",
    IFERROR(
        TRANSPOSE(
            _xlfn.UNIQUE(
                _xlfn._xlws.FILTER(EDU_DOCENTE[NOMBRE_DOCENTE],
                    ISNUMBER(MATCH(EDU_DOCENTE[MAESTRIA],
                    BQ219:DY219,0))
                )
            )
        ),
        ""
    ),
    TRANSPOSE(
        _xlfn.UNIQUE(EDU_DOCENTE[NOMBRE_DOCENTE]
        )
    )
)</f>
        <v>ALCIVAR CEDEÑO BEATRIZ ISABEL</v>
      </c>
      <c r="EB219" t="str">
        <v>ALCIVAR VERA GEMA MICHELLE</v>
      </c>
      <c r="EC219" t="str">
        <v>ARAUZ CHAVEZ MARIO ROBERTO</v>
      </c>
      <c r="ED219" t="str">
        <v>BAILON LOURIDO WALTER ALBERTO</v>
      </c>
      <c r="EE219" t="str">
        <v>CALDERERO VILLAGOMEZ ERICK ANTONIO</v>
      </c>
      <c r="EF219" t="str">
        <v>CASTILLO GARCIA PAOLA GERMANIA</v>
      </c>
      <c r="EG219" t="str">
        <v>CEDEÑO CHOEZ PEDRO JAVIER</v>
      </c>
      <c r="EH219" t="str">
        <v>CEVALLOS HOPPE JUAN CARLOS</v>
      </c>
      <c r="EI219" t="str">
        <v>DELGADO CHAVEZ MARIA IRASEMA</v>
      </c>
      <c r="EJ219" t="str">
        <v>DUARTE VALENCIA CRISTHIAN DARIO</v>
      </c>
      <c r="EK219" t="str">
        <v>FORTTY BARBERAN DENNY ALEXANDER</v>
      </c>
      <c r="EL219" t="str">
        <v>GUTIERREZ ZAMBRANO CARMEN EBELINA</v>
      </c>
      <c r="EM219" t="str">
        <v>INTRIAGO MOLINA GEMA VALERIA</v>
      </c>
      <c r="EN219" t="str">
        <v>LINO VELEZ LEONEL LIVINGTON</v>
      </c>
      <c r="EO219" t="str">
        <v>LOOR ALCIVAR MARIA ILIANA</v>
      </c>
      <c r="EP219" t="str">
        <v>LOOR MIELES TANIA JACQUELINE</v>
      </c>
      <c r="EQ219" t="str">
        <v>LOOR SOLORZANO ROSA MARIA</v>
      </c>
      <c r="ER219" t="str">
        <v>LOPEZ DELGADO RONALD MAURICIO</v>
      </c>
      <c r="ES219" t="str">
        <v>MACIAS VALENCIA DAVID GABRIEL</v>
      </c>
      <c r="ET219" t="str">
        <v>MENDOZA ZAMORA WALTER MANUEL</v>
      </c>
      <c r="EU219" t="str">
        <v>MOLINA CEVALLOS MARIA LORENA</v>
      </c>
      <c r="EV219" t="str">
        <v>MURILLO DELGADO ISAAC GABRIEL</v>
      </c>
      <c r="EW219" t="str">
        <v>ANGULO MURILLO NAVIRA GISSELA</v>
      </c>
      <c r="EX219" t="str">
        <v>OCHOA SOLEDISPA NESTOR IVAN</v>
      </c>
      <c r="EY219" t="str">
        <v>PARRAGA FRANCO SILVANA MARIELA</v>
      </c>
      <c r="EZ219" t="str">
        <v>PINARGOTE VASQUEZ NANCY FABIOLA</v>
      </c>
      <c r="FA219" t="str">
        <v>REYES VELEZ PEDRO ENRIQUE</v>
      </c>
      <c r="FB219" t="str">
        <v>SAN ANDRES HORMAZA DALLAS CECILIA</v>
      </c>
      <c r="FC219" t="str">
        <v>SORNOZA ZAMORA JUAN CARLOS</v>
      </c>
      <c r="FD219" t="str">
        <v>TOMALA PINTO JESUS JACINTO</v>
      </c>
      <c r="FE219" t="str">
        <v>VALLE JARAMILLO SILVIA ARACELY</v>
      </c>
      <c r="FF219" t="str">
        <v>VELÁSQUEZ BRAVO IRMA KATHERINE</v>
      </c>
      <c r="FG219" t="str">
        <v>VELEZ MENDOZA LAYSY VALERIA</v>
      </c>
      <c r="FH219" t="str">
        <v>VINUEZA TELLO SHIRLEY ELIZABETH</v>
      </c>
      <c r="FI219" t="str">
        <v>ZAMBRANO ALCIVAR NILDA ISABEL</v>
      </c>
      <c r="FJ219" t="str">
        <v>ZAMBRANO LOOR RITA MAYDA</v>
      </c>
      <c r="FK219" t="str">
        <v>ZAMBRANO VERA MONICA JANETH</v>
      </c>
      <c r="FL219" t="str">
        <v>VERA DELGADO BRYAN ADRIÁN</v>
      </c>
      <c r="FM219" t="str">
        <v>MORAN GONZALES DAVID RENATO</v>
      </c>
      <c r="FN219">
        <v>0</v>
      </c>
    </row>
    <row r="220" spans="1:170" ht="20.25" customHeight="1">
      <c r="A220" s="4" t="str" cm="1">
        <f t="array" ref="A220">TRANSPOSE(_xlfn.UNIQUE(_xlfn._xlws.FILTER(MAE_ASIGNATURA[ID_NIVEL],MAE_ASIGNATURA[ID_CARRERA]=ASIGNACION!$C220,"No existe información")))</f>
        <v>No existe información</v>
      </c>
      <c r="S220" s="4" t="str" cm="1">
        <f t="array" ref="S220">TRANSPOSE(_xlfn.UNIQUE(_xlfn._xlws.FILTER(MAE_ASIGNATURA[NOM_ASIG],(MAE_ASIGNATURA[ID_NIVEL]=ASIGNACION!$D220)*(MAE_ASIGNATURA[ID_CARRERA]=ASIGNACION!$C220),"No existe información")))</f>
        <v>No existe información</v>
      </c>
      <c r="BD220" s="4" t="str" cm="1">
        <f t="array" ref="BD220">TRANSPOSE(_xlfn.UNIQUE(_xlfn._xlws.FILTER(DET_ASIG[DETALLADO],(DET_ASIG[ID_CARRERA]=ASIGNACION!$C220)*(DET_ASIG[NIVEL]=ASIGNACION!$D220)*(DET_ASIG[ID_ASIG]=ASIGNACION!$G220),"No existe información")))</f>
        <v>No existe información</v>
      </c>
      <c r="BQ220" s="5" t="str" cm="1">
        <f t="array" ref="BQ220">IFERROR(
    TRANSPOSE(
        _xlfn.UNIQUE(
            _xlfn._xlws.FILTER(MAESTRIA_DETALLADO[MAESTRIA],
                ISNUMBER(MATCH(MAESTRIA_DETALLADO[CAMPO_DETALLADO],
                BD220:BP220,0))
            )
        )
    ),IF(BD220="ACTIVIDAD","DOCENCIA",""))</f>
        <v/>
      </c>
      <c r="EA220" s="5" t="str" cm="1">
        <f t="array" ref="EA220:FN220">IF(
    ASIGNACION!I220="SI",
    IFERROR(
        TRANSPOSE(
            _xlfn.UNIQUE(
                _xlfn._xlws.FILTER(EDU_DOCENTE[NOMBRE_DOCENTE],
                    ISNUMBER(MATCH(EDU_DOCENTE[MAESTRIA],
                    BQ220:DY220,0))
                )
            )
        ),
        ""
    ),
    TRANSPOSE(
        _xlfn.UNIQUE(EDU_DOCENTE[NOMBRE_DOCENTE]
        )
    )
)</f>
        <v>ALCIVAR CEDEÑO BEATRIZ ISABEL</v>
      </c>
      <c r="EB220" t="str">
        <v>ALCIVAR VERA GEMA MICHELLE</v>
      </c>
      <c r="EC220" t="str">
        <v>ARAUZ CHAVEZ MARIO ROBERTO</v>
      </c>
      <c r="ED220" t="str">
        <v>BAILON LOURIDO WALTER ALBERTO</v>
      </c>
      <c r="EE220" t="str">
        <v>CALDERERO VILLAGOMEZ ERICK ANTONIO</v>
      </c>
      <c r="EF220" t="str">
        <v>CASTILLO GARCIA PAOLA GERMANIA</v>
      </c>
      <c r="EG220" t="str">
        <v>CEDEÑO CHOEZ PEDRO JAVIER</v>
      </c>
      <c r="EH220" t="str">
        <v>CEVALLOS HOPPE JUAN CARLOS</v>
      </c>
      <c r="EI220" t="str">
        <v>DELGADO CHAVEZ MARIA IRASEMA</v>
      </c>
      <c r="EJ220" t="str">
        <v>DUARTE VALENCIA CRISTHIAN DARIO</v>
      </c>
      <c r="EK220" t="str">
        <v>FORTTY BARBERAN DENNY ALEXANDER</v>
      </c>
      <c r="EL220" t="str">
        <v>GUTIERREZ ZAMBRANO CARMEN EBELINA</v>
      </c>
      <c r="EM220" t="str">
        <v>INTRIAGO MOLINA GEMA VALERIA</v>
      </c>
      <c r="EN220" t="str">
        <v>LINO VELEZ LEONEL LIVINGTON</v>
      </c>
      <c r="EO220" t="str">
        <v>LOOR ALCIVAR MARIA ILIANA</v>
      </c>
      <c r="EP220" t="str">
        <v>LOOR MIELES TANIA JACQUELINE</v>
      </c>
      <c r="EQ220" t="str">
        <v>LOOR SOLORZANO ROSA MARIA</v>
      </c>
      <c r="ER220" t="str">
        <v>LOPEZ DELGADO RONALD MAURICIO</v>
      </c>
      <c r="ES220" t="str">
        <v>MACIAS VALENCIA DAVID GABRIEL</v>
      </c>
      <c r="ET220" t="str">
        <v>MENDOZA ZAMORA WALTER MANUEL</v>
      </c>
      <c r="EU220" t="str">
        <v>MOLINA CEVALLOS MARIA LORENA</v>
      </c>
      <c r="EV220" t="str">
        <v>MURILLO DELGADO ISAAC GABRIEL</v>
      </c>
      <c r="EW220" t="str">
        <v>ANGULO MURILLO NAVIRA GISSELA</v>
      </c>
      <c r="EX220" t="str">
        <v>OCHOA SOLEDISPA NESTOR IVAN</v>
      </c>
      <c r="EY220" t="str">
        <v>PARRAGA FRANCO SILVANA MARIELA</v>
      </c>
      <c r="EZ220" t="str">
        <v>PINARGOTE VASQUEZ NANCY FABIOLA</v>
      </c>
      <c r="FA220" t="str">
        <v>REYES VELEZ PEDRO ENRIQUE</v>
      </c>
      <c r="FB220" t="str">
        <v>SAN ANDRES HORMAZA DALLAS CECILIA</v>
      </c>
      <c r="FC220" t="str">
        <v>SORNOZA ZAMORA JUAN CARLOS</v>
      </c>
      <c r="FD220" t="str">
        <v>TOMALA PINTO JESUS JACINTO</v>
      </c>
      <c r="FE220" t="str">
        <v>VALLE JARAMILLO SILVIA ARACELY</v>
      </c>
      <c r="FF220" t="str">
        <v>VELÁSQUEZ BRAVO IRMA KATHERINE</v>
      </c>
      <c r="FG220" t="str">
        <v>VELEZ MENDOZA LAYSY VALERIA</v>
      </c>
      <c r="FH220" t="str">
        <v>VINUEZA TELLO SHIRLEY ELIZABETH</v>
      </c>
      <c r="FI220" t="str">
        <v>ZAMBRANO ALCIVAR NILDA ISABEL</v>
      </c>
      <c r="FJ220" t="str">
        <v>ZAMBRANO LOOR RITA MAYDA</v>
      </c>
      <c r="FK220" t="str">
        <v>ZAMBRANO VERA MONICA JANETH</v>
      </c>
      <c r="FL220" t="str">
        <v>VERA DELGADO BRYAN ADRIÁN</v>
      </c>
      <c r="FM220" t="str">
        <v>MORAN GONZALES DAVID RENATO</v>
      </c>
      <c r="FN220">
        <v>0</v>
      </c>
    </row>
    <row r="221" spans="1:170" ht="20.25" customHeight="1">
      <c r="A221" s="4" t="str" cm="1">
        <f t="array" ref="A221">TRANSPOSE(_xlfn.UNIQUE(_xlfn._xlws.FILTER(MAE_ASIGNATURA[ID_NIVEL],MAE_ASIGNATURA[ID_CARRERA]=ASIGNACION!$C221,"No existe información")))</f>
        <v>No existe información</v>
      </c>
      <c r="S221" s="4" t="str" cm="1">
        <f t="array" ref="S221">TRANSPOSE(_xlfn.UNIQUE(_xlfn._xlws.FILTER(MAE_ASIGNATURA[NOM_ASIG],(MAE_ASIGNATURA[ID_NIVEL]=ASIGNACION!$D221)*(MAE_ASIGNATURA[ID_CARRERA]=ASIGNACION!$C221),"No existe información")))</f>
        <v>No existe información</v>
      </c>
      <c r="BD221" s="4" t="str" cm="1">
        <f t="array" ref="BD221">TRANSPOSE(_xlfn.UNIQUE(_xlfn._xlws.FILTER(DET_ASIG[DETALLADO],(DET_ASIG[ID_CARRERA]=ASIGNACION!$C221)*(DET_ASIG[NIVEL]=ASIGNACION!$D221)*(DET_ASIG[ID_ASIG]=ASIGNACION!$G221),"No existe información")))</f>
        <v>No existe información</v>
      </c>
      <c r="BQ221" s="5" t="str" cm="1">
        <f t="array" ref="BQ221">IFERROR(
    TRANSPOSE(
        _xlfn.UNIQUE(
            _xlfn._xlws.FILTER(MAESTRIA_DETALLADO[MAESTRIA],
                ISNUMBER(MATCH(MAESTRIA_DETALLADO[CAMPO_DETALLADO],
                BD221:BP221,0))
            )
        )
    ),IF(BD221="ACTIVIDAD","DOCENCIA",""))</f>
        <v/>
      </c>
      <c r="EA221" s="5" t="str" cm="1">
        <f t="array" ref="EA221:FN221">IF(
    ASIGNACION!I221="SI",
    IFERROR(
        TRANSPOSE(
            _xlfn.UNIQUE(
                _xlfn._xlws.FILTER(EDU_DOCENTE[NOMBRE_DOCENTE],
                    ISNUMBER(MATCH(EDU_DOCENTE[MAESTRIA],
                    BQ221:DY221,0))
                )
            )
        ),
        ""
    ),
    TRANSPOSE(
        _xlfn.UNIQUE(EDU_DOCENTE[NOMBRE_DOCENTE]
        )
    )
)</f>
        <v>ALCIVAR CEDEÑO BEATRIZ ISABEL</v>
      </c>
      <c r="EB221" t="str">
        <v>ALCIVAR VERA GEMA MICHELLE</v>
      </c>
      <c r="EC221" t="str">
        <v>ARAUZ CHAVEZ MARIO ROBERTO</v>
      </c>
      <c r="ED221" t="str">
        <v>BAILON LOURIDO WALTER ALBERTO</v>
      </c>
      <c r="EE221" t="str">
        <v>CALDERERO VILLAGOMEZ ERICK ANTONIO</v>
      </c>
      <c r="EF221" t="str">
        <v>CASTILLO GARCIA PAOLA GERMANIA</v>
      </c>
      <c r="EG221" t="str">
        <v>CEDEÑO CHOEZ PEDRO JAVIER</v>
      </c>
      <c r="EH221" t="str">
        <v>CEVALLOS HOPPE JUAN CARLOS</v>
      </c>
      <c r="EI221" t="str">
        <v>DELGADO CHAVEZ MARIA IRASEMA</v>
      </c>
      <c r="EJ221" t="str">
        <v>DUARTE VALENCIA CRISTHIAN DARIO</v>
      </c>
      <c r="EK221" t="str">
        <v>FORTTY BARBERAN DENNY ALEXANDER</v>
      </c>
      <c r="EL221" t="str">
        <v>GUTIERREZ ZAMBRANO CARMEN EBELINA</v>
      </c>
      <c r="EM221" t="str">
        <v>INTRIAGO MOLINA GEMA VALERIA</v>
      </c>
      <c r="EN221" t="str">
        <v>LINO VELEZ LEONEL LIVINGTON</v>
      </c>
      <c r="EO221" t="str">
        <v>LOOR ALCIVAR MARIA ILIANA</v>
      </c>
      <c r="EP221" t="str">
        <v>LOOR MIELES TANIA JACQUELINE</v>
      </c>
      <c r="EQ221" t="str">
        <v>LOOR SOLORZANO ROSA MARIA</v>
      </c>
      <c r="ER221" t="str">
        <v>LOPEZ DELGADO RONALD MAURICIO</v>
      </c>
      <c r="ES221" t="str">
        <v>MACIAS VALENCIA DAVID GABRIEL</v>
      </c>
      <c r="ET221" t="str">
        <v>MENDOZA ZAMORA WALTER MANUEL</v>
      </c>
      <c r="EU221" t="str">
        <v>MOLINA CEVALLOS MARIA LORENA</v>
      </c>
      <c r="EV221" t="str">
        <v>MURILLO DELGADO ISAAC GABRIEL</v>
      </c>
      <c r="EW221" t="str">
        <v>ANGULO MURILLO NAVIRA GISSELA</v>
      </c>
      <c r="EX221" t="str">
        <v>OCHOA SOLEDISPA NESTOR IVAN</v>
      </c>
      <c r="EY221" t="str">
        <v>PARRAGA FRANCO SILVANA MARIELA</v>
      </c>
      <c r="EZ221" t="str">
        <v>PINARGOTE VASQUEZ NANCY FABIOLA</v>
      </c>
      <c r="FA221" t="str">
        <v>REYES VELEZ PEDRO ENRIQUE</v>
      </c>
      <c r="FB221" t="str">
        <v>SAN ANDRES HORMAZA DALLAS CECILIA</v>
      </c>
      <c r="FC221" t="str">
        <v>SORNOZA ZAMORA JUAN CARLOS</v>
      </c>
      <c r="FD221" t="str">
        <v>TOMALA PINTO JESUS JACINTO</v>
      </c>
      <c r="FE221" t="str">
        <v>VALLE JARAMILLO SILVIA ARACELY</v>
      </c>
      <c r="FF221" t="str">
        <v>VELÁSQUEZ BRAVO IRMA KATHERINE</v>
      </c>
      <c r="FG221" t="str">
        <v>VELEZ MENDOZA LAYSY VALERIA</v>
      </c>
      <c r="FH221" t="str">
        <v>VINUEZA TELLO SHIRLEY ELIZABETH</v>
      </c>
      <c r="FI221" t="str">
        <v>ZAMBRANO ALCIVAR NILDA ISABEL</v>
      </c>
      <c r="FJ221" t="str">
        <v>ZAMBRANO LOOR RITA MAYDA</v>
      </c>
      <c r="FK221" t="str">
        <v>ZAMBRANO VERA MONICA JANETH</v>
      </c>
      <c r="FL221" t="str">
        <v>VERA DELGADO BRYAN ADRIÁN</v>
      </c>
      <c r="FM221" t="str">
        <v>MORAN GONZALES DAVID RENATO</v>
      </c>
      <c r="FN221">
        <v>0</v>
      </c>
    </row>
    <row r="222" spans="1:170" ht="20.25" customHeight="1">
      <c r="A222" s="4" t="str" cm="1">
        <f t="array" ref="A222">TRANSPOSE(_xlfn.UNIQUE(_xlfn._xlws.FILTER(MAE_ASIGNATURA[ID_NIVEL],MAE_ASIGNATURA[ID_CARRERA]=ASIGNACION!$C222,"No existe información")))</f>
        <v>No existe información</v>
      </c>
      <c r="S222" s="4" t="str" cm="1">
        <f t="array" ref="S222">TRANSPOSE(_xlfn.UNIQUE(_xlfn._xlws.FILTER(MAE_ASIGNATURA[NOM_ASIG],(MAE_ASIGNATURA[ID_NIVEL]=ASIGNACION!$D222)*(MAE_ASIGNATURA[ID_CARRERA]=ASIGNACION!$C222),"No existe información")))</f>
        <v>No existe información</v>
      </c>
      <c r="BD222" s="4" t="str" cm="1">
        <f t="array" ref="BD222">TRANSPOSE(_xlfn.UNIQUE(_xlfn._xlws.FILTER(DET_ASIG[DETALLADO],(DET_ASIG[ID_CARRERA]=ASIGNACION!$C222)*(DET_ASIG[NIVEL]=ASIGNACION!$D222)*(DET_ASIG[ID_ASIG]=ASIGNACION!$G222),"No existe información")))</f>
        <v>No existe información</v>
      </c>
      <c r="BQ222" s="5" t="str" cm="1">
        <f t="array" ref="BQ222">IFERROR(
    TRANSPOSE(
        _xlfn.UNIQUE(
            _xlfn._xlws.FILTER(MAESTRIA_DETALLADO[MAESTRIA],
                ISNUMBER(MATCH(MAESTRIA_DETALLADO[CAMPO_DETALLADO],
                BD222:BP222,0))
            )
        )
    ),IF(BD222="ACTIVIDAD","DOCENCIA",""))</f>
        <v/>
      </c>
      <c r="EA222" s="5" t="str" cm="1">
        <f t="array" ref="EA222:FN222">IF(
    ASIGNACION!I222="SI",
    IFERROR(
        TRANSPOSE(
            _xlfn.UNIQUE(
                _xlfn._xlws.FILTER(EDU_DOCENTE[NOMBRE_DOCENTE],
                    ISNUMBER(MATCH(EDU_DOCENTE[MAESTRIA],
                    BQ222:DY222,0))
                )
            )
        ),
        ""
    ),
    TRANSPOSE(
        _xlfn.UNIQUE(EDU_DOCENTE[NOMBRE_DOCENTE]
        )
    )
)</f>
        <v>ALCIVAR CEDEÑO BEATRIZ ISABEL</v>
      </c>
      <c r="EB222" t="str">
        <v>ALCIVAR VERA GEMA MICHELLE</v>
      </c>
      <c r="EC222" t="str">
        <v>ARAUZ CHAVEZ MARIO ROBERTO</v>
      </c>
      <c r="ED222" t="str">
        <v>BAILON LOURIDO WALTER ALBERTO</v>
      </c>
      <c r="EE222" t="str">
        <v>CALDERERO VILLAGOMEZ ERICK ANTONIO</v>
      </c>
      <c r="EF222" t="str">
        <v>CASTILLO GARCIA PAOLA GERMANIA</v>
      </c>
      <c r="EG222" t="str">
        <v>CEDEÑO CHOEZ PEDRO JAVIER</v>
      </c>
      <c r="EH222" t="str">
        <v>CEVALLOS HOPPE JUAN CARLOS</v>
      </c>
      <c r="EI222" t="str">
        <v>DELGADO CHAVEZ MARIA IRASEMA</v>
      </c>
      <c r="EJ222" t="str">
        <v>DUARTE VALENCIA CRISTHIAN DARIO</v>
      </c>
      <c r="EK222" t="str">
        <v>FORTTY BARBERAN DENNY ALEXANDER</v>
      </c>
      <c r="EL222" t="str">
        <v>GUTIERREZ ZAMBRANO CARMEN EBELINA</v>
      </c>
      <c r="EM222" t="str">
        <v>INTRIAGO MOLINA GEMA VALERIA</v>
      </c>
      <c r="EN222" t="str">
        <v>LINO VELEZ LEONEL LIVINGTON</v>
      </c>
      <c r="EO222" t="str">
        <v>LOOR ALCIVAR MARIA ILIANA</v>
      </c>
      <c r="EP222" t="str">
        <v>LOOR MIELES TANIA JACQUELINE</v>
      </c>
      <c r="EQ222" t="str">
        <v>LOOR SOLORZANO ROSA MARIA</v>
      </c>
      <c r="ER222" t="str">
        <v>LOPEZ DELGADO RONALD MAURICIO</v>
      </c>
      <c r="ES222" t="str">
        <v>MACIAS VALENCIA DAVID GABRIEL</v>
      </c>
      <c r="ET222" t="str">
        <v>MENDOZA ZAMORA WALTER MANUEL</v>
      </c>
      <c r="EU222" t="str">
        <v>MOLINA CEVALLOS MARIA LORENA</v>
      </c>
      <c r="EV222" t="str">
        <v>MURILLO DELGADO ISAAC GABRIEL</v>
      </c>
      <c r="EW222" t="str">
        <v>ANGULO MURILLO NAVIRA GISSELA</v>
      </c>
      <c r="EX222" t="str">
        <v>OCHOA SOLEDISPA NESTOR IVAN</v>
      </c>
      <c r="EY222" t="str">
        <v>PARRAGA FRANCO SILVANA MARIELA</v>
      </c>
      <c r="EZ222" t="str">
        <v>PINARGOTE VASQUEZ NANCY FABIOLA</v>
      </c>
      <c r="FA222" t="str">
        <v>REYES VELEZ PEDRO ENRIQUE</v>
      </c>
      <c r="FB222" t="str">
        <v>SAN ANDRES HORMAZA DALLAS CECILIA</v>
      </c>
      <c r="FC222" t="str">
        <v>SORNOZA ZAMORA JUAN CARLOS</v>
      </c>
      <c r="FD222" t="str">
        <v>TOMALA PINTO JESUS JACINTO</v>
      </c>
      <c r="FE222" t="str">
        <v>VALLE JARAMILLO SILVIA ARACELY</v>
      </c>
      <c r="FF222" t="str">
        <v>VELÁSQUEZ BRAVO IRMA KATHERINE</v>
      </c>
      <c r="FG222" t="str">
        <v>VELEZ MENDOZA LAYSY VALERIA</v>
      </c>
      <c r="FH222" t="str">
        <v>VINUEZA TELLO SHIRLEY ELIZABETH</v>
      </c>
      <c r="FI222" t="str">
        <v>ZAMBRANO ALCIVAR NILDA ISABEL</v>
      </c>
      <c r="FJ222" t="str">
        <v>ZAMBRANO LOOR RITA MAYDA</v>
      </c>
      <c r="FK222" t="str">
        <v>ZAMBRANO VERA MONICA JANETH</v>
      </c>
      <c r="FL222" t="str">
        <v>VERA DELGADO BRYAN ADRIÁN</v>
      </c>
      <c r="FM222" t="str">
        <v>MORAN GONZALES DAVID RENATO</v>
      </c>
      <c r="FN222">
        <v>0</v>
      </c>
    </row>
    <row r="223" spans="1:170" ht="20.25" customHeight="1">
      <c r="A223" s="4" t="str" cm="1">
        <f t="array" ref="A223">TRANSPOSE(_xlfn.UNIQUE(_xlfn._xlws.FILTER(MAE_ASIGNATURA[ID_NIVEL],MAE_ASIGNATURA[ID_CARRERA]=ASIGNACION!$C223,"No existe información")))</f>
        <v>No existe información</v>
      </c>
      <c r="S223" s="4" t="str" cm="1">
        <f t="array" ref="S223">TRANSPOSE(_xlfn.UNIQUE(_xlfn._xlws.FILTER(MAE_ASIGNATURA[NOM_ASIG],(MAE_ASIGNATURA[ID_NIVEL]=ASIGNACION!$D223)*(MAE_ASIGNATURA[ID_CARRERA]=ASIGNACION!$C223),"No existe información")))</f>
        <v>No existe información</v>
      </c>
      <c r="BD223" s="4" t="str" cm="1">
        <f t="array" ref="BD223">TRANSPOSE(_xlfn.UNIQUE(_xlfn._xlws.FILTER(DET_ASIG[DETALLADO],(DET_ASIG[ID_CARRERA]=ASIGNACION!$C223)*(DET_ASIG[NIVEL]=ASIGNACION!$D223)*(DET_ASIG[ID_ASIG]=ASIGNACION!$G223),"No existe información")))</f>
        <v>No existe información</v>
      </c>
      <c r="BQ223" s="5" t="str" cm="1">
        <f t="array" ref="BQ223">IFERROR(
    TRANSPOSE(
        _xlfn.UNIQUE(
            _xlfn._xlws.FILTER(MAESTRIA_DETALLADO[MAESTRIA],
                ISNUMBER(MATCH(MAESTRIA_DETALLADO[CAMPO_DETALLADO],
                BD223:BP223,0))
            )
        )
    ),IF(BD223="ACTIVIDAD","DOCENCIA",""))</f>
        <v/>
      </c>
      <c r="EA223" s="5" t="str" cm="1">
        <f t="array" ref="EA223:FN223">IF(
    ASIGNACION!I223="SI",
    IFERROR(
        TRANSPOSE(
            _xlfn.UNIQUE(
                _xlfn._xlws.FILTER(EDU_DOCENTE[NOMBRE_DOCENTE],
                    ISNUMBER(MATCH(EDU_DOCENTE[MAESTRIA],
                    BQ223:DY223,0))
                )
            )
        ),
        ""
    ),
    TRANSPOSE(
        _xlfn.UNIQUE(EDU_DOCENTE[NOMBRE_DOCENTE]
        )
    )
)</f>
        <v>ALCIVAR CEDEÑO BEATRIZ ISABEL</v>
      </c>
      <c r="EB223" t="str">
        <v>ALCIVAR VERA GEMA MICHELLE</v>
      </c>
      <c r="EC223" t="str">
        <v>ARAUZ CHAVEZ MARIO ROBERTO</v>
      </c>
      <c r="ED223" t="str">
        <v>BAILON LOURIDO WALTER ALBERTO</v>
      </c>
      <c r="EE223" t="str">
        <v>CALDERERO VILLAGOMEZ ERICK ANTONIO</v>
      </c>
      <c r="EF223" t="str">
        <v>CASTILLO GARCIA PAOLA GERMANIA</v>
      </c>
      <c r="EG223" t="str">
        <v>CEDEÑO CHOEZ PEDRO JAVIER</v>
      </c>
      <c r="EH223" t="str">
        <v>CEVALLOS HOPPE JUAN CARLOS</v>
      </c>
      <c r="EI223" t="str">
        <v>DELGADO CHAVEZ MARIA IRASEMA</v>
      </c>
      <c r="EJ223" t="str">
        <v>DUARTE VALENCIA CRISTHIAN DARIO</v>
      </c>
      <c r="EK223" t="str">
        <v>FORTTY BARBERAN DENNY ALEXANDER</v>
      </c>
      <c r="EL223" t="str">
        <v>GUTIERREZ ZAMBRANO CARMEN EBELINA</v>
      </c>
      <c r="EM223" t="str">
        <v>INTRIAGO MOLINA GEMA VALERIA</v>
      </c>
      <c r="EN223" t="str">
        <v>LINO VELEZ LEONEL LIVINGTON</v>
      </c>
      <c r="EO223" t="str">
        <v>LOOR ALCIVAR MARIA ILIANA</v>
      </c>
      <c r="EP223" t="str">
        <v>LOOR MIELES TANIA JACQUELINE</v>
      </c>
      <c r="EQ223" t="str">
        <v>LOOR SOLORZANO ROSA MARIA</v>
      </c>
      <c r="ER223" t="str">
        <v>LOPEZ DELGADO RONALD MAURICIO</v>
      </c>
      <c r="ES223" t="str">
        <v>MACIAS VALENCIA DAVID GABRIEL</v>
      </c>
      <c r="ET223" t="str">
        <v>MENDOZA ZAMORA WALTER MANUEL</v>
      </c>
      <c r="EU223" t="str">
        <v>MOLINA CEVALLOS MARIA LORENA</v>
      </c>
      <c r="EV223" t="str">
        <v>MURILLO DELGADO ISAAC GABRIEL</v>
      </c>
      <c r="EW223" t="str">
        <v>ANGULO MURILLO NAVIRA GISSELA</v>
      </c>
      <c r="EX223" t="str">
        <v>OCHOA SOLEDISPA NESTOR IVAN</v>
      </c>
      <c r="EY223" t="str">
        <v>PARRAGA FRANCO SILVANA MARIELA</v>
      </c>
      <c r="EZ223" t="str">
        <v>PINARGOTE VASQUEZ NANCY FABIOLA</v>
      </c>
      <c r="FA223" t="str">
        <v>REYES VELEZ PEDRO ENRIQUE</v>
      </c>
      <c r="FB223" t="str">
        <v>SAN ANDRES HORMAZA DALLAS CECILIA</v>
      </c>
      <c r="FC223" t="str">
        <v>SORNOZA ZAMORA JUAN CARLOS</v>
      </c>
      <c r="FD223" t="str">
        <v>TOMALA PINTO JESUS JACINTO</v>
      </c>
      <c r="FE223" t="str">
        <v>VALLE JARAMILLO SILVIA ARACELY</v>
      </c>
      <c r="FF223" t="str">
        <v>VELÁSQUEZ BRAVO IRMA KATHERINE</v>
      </c>
      <c r="FG223" t="str">
        <v>VELEZ MENDOZA LAYSY VALERIA</v>
      </c>
      <c r="FH223" t="str">
        <v>VINUEZA TELLO SHIRLEY ELIZABETH</v>
      </c>
      <c r="FI223" t="str">
        <v>ZAMBRANO ALCIVAR NILDA ISABEL</v>
      </c>
      <c r="FJ223" t="str">
        <v>ZAMBRANO LOOR RITA MAYDA</v>
      </c>
      <c r="FK223" t="str">
        <v>ZAMBRANO VERA MONICA JANETH</v>
      </c>
      <c r="FL223" t="str">
        <v>VERA DELGADO BRYAN ADRIÁN</v>
      </c>
      <c r="FM223" t="str">
        <v>MORAN GONZALES DAVID RENATO</v>
      </c>
      <c r="FN223">
        <v>0</v>
      </c>
    </row>
    <row r="224" spans="1:170" ht="20.25" customHeight="1">
      <c r="A224" s="4" t="str" cm="1">
        <f t="array" ref="A224">TRANSPOSE(_xlfn.UNIQUE(_xlfn._xlws.FILTER(MAE_ASIGNATURA[ID_NIVEL],MAE_ASIGNATURA[ID_CARRERA]=ASIGNACION!$C224,"No existe información")))</f>
        <v>No existe información</v>
      </c>
      <c r="S224" s="4" t="str" cm="1">
        <f t="array" ref="S224">TRANSPOSE(_xlfn.UNIQUE(_xlfn._xlws.FILTER(MAE_ASIGNATURA[NOM_ASIG],(MAE_ASIGNATURA[ID_NIVEL]=ASIGNACION!$D224)*(MAE_ASIGNATURA[ID_CARRERA]=ASIGNACION!$C224),"No existe información")))</f>
        <v>No existe información</v>
      </c>
      <c r="BD224" s="4" t="str" cm="1">
        <f t="array" ref="BD224">TRANSPOSE(_xlfn.UNIQUE(_xlfn._xlws.FILTER(DET_ASIG[DETALLADO],(DET_ASIG[ID_CARRERA]=ASIGNACION!$C224)*(DET_ASIG[NIVEL]=ASIGNACION!$D224)*(DET_ASIG[ID_ASIG]=ASIGNACION!$G224),"No existe información")))</f>
        <v>No existe información</v>
      </c>
      <c r="BQ224" s="5" t="str" cm="1">
        <f t="array" ref="BQ224">IFERROR(
    TRANSPOSE(
        _xlfn.UNIQUE(
            _xlfn._xlws.FILTER(MAESTRIA_DETALLADO[MAESTRIA],
                ISNUMBER(MATCH(MAESTRIA_DETALLADO[CAMPO_DETALLADO],
                BD224:BP224,0))
            )
        )
    ),IF(BD224="ACTIVIDAD","DOCENCIA",""))</f>
        <v/>
      </c>
      <c r="EA224" s="5" t="str" cm="1">
        <f t="array" ref="EA224:FN224">IF(
    ASIGNACION!I224="SI",
    IFERROR(
        TRANSPOSE(
            _xlfn.UNIQUE(
                _xlfn._xlws.FILTER(EDU_DOCENTE[NOMBRE_DOCENTE],
                    ISNUMBER(MATCH(EDU_DOCENTE[MAESTRIA],
                    BQ224:DY224,0))
                )
            )
        ),
        ""
    ),
    TRANSPOSE(
        _xlfn.UNIQUE(EDU_DOCENTE[NOMBRE_DOCENTE]
        )
    )
)</f>
        <v>ALCIVAR CEDEÑO BEATRIZ ISABEL</v>
      </c>
      <c r="EB224" t="str">
        <v>ALCIVAR VERA GEMA MICHELLE</v>
      </c>
      <c r="EC224" t="str">
        <v>ARAUZ CHAVEZ MARIO ROBERTO</v>
      </c>
      <c r="ED224" t="str">
        <v>BAILON LOURIDO WALTER ALBERTO</v>
      </c>
      <c r="EE224" t="str">
        <v>CALDERERO VILLAGOMEZ ERICK ANTONIO</v>
      </c>
      <c r="EF224" t="str">
        <v>CASTILLO GARCIA PAOLA GERMANIA</v>
      </c>
      <c r="EG224" t="str">
        <v>CEDEÑO CHOEZ PEDRO JAVIER</v>
      </c>
      <c r="EH224" t="str">
        <v>CEVALLOS HOPPE JUAN CARLOS</v>
      </c>
      <c r="EI224" t="str">
        <v>DELGADO CHAVEZ MARIA IRASEMA</v>
      </c>
      <c r="EJ224" t="str">
        <v>DUARTE VALENCIA CRISTHIAN DARIO</v>
      </c>
      <c r="EK224" t="str">
        <v>FORTTY BARBERAN DENNY ALEXANDER</v>
      </c>
      <c r="EL224" t="str">
        <v>GUTIERREZ ZAMBRANO CARMEN EBELINA</v>
      </c>
      <c r="EM224" t="str">
        <v>INTRIAGO MOLINA GEMA VALERIA</v>
      </c>
      <c r="EN224" t="str">
        <v>LINO VELEZ LEONEL LIVINGTON</v>
      </c>
      <c r="EO224" t="str">
        <v>LOOR ALCIVAR MARIA ILIANA</v>
      </c>
      <c r="EP224" t="str">
        <v>LOOR MIELES TANIA JACQUELINE</v>
      </c>
      <c r="EQ224" t="str">
        <v>LOOR SOLORZANO ROSA MARIA</v>
      </c>
      <c r="ER224" t="str">
        <v>LOPEZ DELGADO RONALD MAURICIO</v>
      </c>
      <c r="ES224" t="str">
        <v>MACIAS VALENCIA DAVID GABRIEL</v>
      </c>
      <c r="ET224" t="str">
        <v>MENDOZA ZAMORA WALTER MANUEL</v>
      </c>
      <c r="EU224" t="str">
        <v>MOLINA CEVALLOS MARIA LORENA</v>
      </c>
      <c r="EV224" t="str">
        <v>MURILLO DELGADO ISAAC GABRIEL</v>
      </c>
      <c r="EW224" t="str">
        <v>ANGULO MURILLO NAVIRA GISSELA</v>
      </c>
      <c r="EX224" t="str">
        <v>OCHOA SOLEDISPA NESTOR IVAN</v>
      </c>
      <c r="EY224" t="str">
        <v>PARRAGA FRANCO SILVANA MARIELA</v>
      </c>
      <c r="EZ224" t="str">
        <v>PINARGOTE VASQUEZ NANCY FABIOLA</v>
      </c>
      <c r="FA224" t="str">
        <v>REYES VELEZ PEDRO ENRIQUE</v>
      </c>
      <c r="FB224" t="str">
        <v>SAN ANDRES HORMAZA DALLAS CECILIA</v>
      </c>
      <c r="FC224" t="str">
        <v>SORNOZA ZAMORA JUAN CARLOS</v>
      </c>
      <c r="FD224" t="str">
        <v>TOMALA PINTO JESUS JACINTO</v>
      </c>
      <c r="FE224" t="str">
        <v>VALLE JARAMILLO SILVIA ARACELY</v>
      </c>
      <c r="FF224" t="str">
        <v>VELÁSQUEZ BRAVO IRMA KATHERINE</v>
      </c>
      <c r="FG224" t="str">
        <v>VELEZ MENDOZA LAYSY VALERIA</v>
      </c>
      <c r="FH224" t="str">
        <v>VINUEZA TELLO SHIRLEY ELIZABETH</v>
      </c>
      <c r="FI224" t="str">
        <v>ZAMBRANO ALCIVAR NILDA ISABEL</v>
      </c>
      <c r="FJ224" t="str">
        <v>ZAMBRANO LOOR RITA MAYDA</v>
      </c>
      <c r="FK224" t="str">
        <v>ZAMBRANO VERA MONICA JANETH</v>
      </c>
      <c r="FL224" t="str">
        <v>VERA DELGADO BRYAN ADRIÁN</v>
      </c>
      <c r="FM224" t="str">
        <v>MORAN GONZALES DAVID RENATO</v>
      </c>
      <c r="FN224">
        <v>0</v>
      </c>
    </row>
    <row r="225" spans="1:170" ht="20.25" customHeight="1">
      <c r="A225" s="4" t="str" cm="1">
        <f t="array" ref="A225">TRANSPOSE(_xlfn.UNIQUE(_xlfn._xlws.FILTER(MAE_ASIGNATURA[ID_NIVEL],MAE_ASIGNATURA[ID_CARRERA]=ASIGNACION!$C225,"No existe información")))</f>
        <v>No existe información</v>
      </c>
      <c r="S225" s="4" t="str" cm="1">
        <f t="array" ref="S225">TRANSPOSE(_xlfn.UNIQUE(_xlfn._xlws.FILTER(MAE_ASIGNATURA[NOM_ASIG],(MAE_ASIGNATURA[ID_NIVEL]=ASIGNACION!$D225)*(MAE_ASIGNATURA[ID_CARRERA]=ASIGNACION!$C225),"No existe información")))</f>
        <v>No existe información</v>
      </c>
      <c r="BD225" s="4" t="str" cm="1">
        <f t="array" ref="BD225">TRANSPOSE(_xlfn.UNIQUE(_xlfn._xlws.FILTER(DET_ASIG[DETALLADO],(DET_ASIG[ID_CARRERA]=ASIGNACION!$C225)*(DET_ASIG[NIVEL]=ASIGNACION!$D225)*(DET_ASIG[ID_ASIG]=ASIGNACION!$G225),"No existe información")))</f>
        <v>No existe información</v>
      </c>
      <c r="BQ225" s="5" t="str" cm="1">
        <f t="array" ref="BQ225">IFERROR(
    TRANSPOSE(
        _xlfn.UNIQUE(
            _xlfn._xlws.FILTER(MAESTRIA_DETALLADO[MAESTRIA],
                ISNUMBER(MATCH(MAESTRIA_DETALLADO[CAMPO_DETALLADO],
                BD225:BP225,0))
            )
        )
    ),IF(BD225="ACTIVIDAD","DOCENCIA",""))</f>
        <v/>
      </c>
      <c r="EA225" s="5" t="str" cm="1">
        <f t="array" ref="EA225:FN225">IF(
    ASIGNACION!I225="SI",
    IFERROR(
        TRANSPOSE(
            _xlfn.UNIQUE(
                _xlfn._xlws.FILTER(EDU_DOCENTE[NOMBRE_DOCENTE],
                    ISNUMBER(MATCH(EDU_DOCENTE[MAESTRIA],
                    BQ225:DY225,0))
                )
            )
        ),
        ""
    ),
    TRANSPOSE(
        _xlfn.UNIQUE(EDU_DOCENTE[NOMBRE_DOCENTE]
        )
    )
)</f>
        <v>ALCIVAR CEDEÑO BEATRIZ ISABEL</v>
      </c>
      <c r="EB225" t="str">
        <v>ALCIVAR VERA GEMA MICHELLE</v>
      </c>
      <c r="EC225" t="str">
        <v>ARAUZ CHAVEZ MARIO ROBERTO</v>
      </c>
      <c r="ED225" t="str">
        <v>BAILON LOURIDO WALTER ALBERTO</v>
      </c>
      <c r="EE225" t="str">
        <v>CALDERERO VILLAGOMEZ ERICK ANTONIO</v>
      </c>
      <c r="EF225" t="str">
        <v>CASTILLO GARCIA PAOLA GERMANIA</v>
      </c>
      <c r="EG225" t="str">
        <v>CEDEÑO CHOEZ PEDRO JAVIER</v>
      </c>
      <c r="EH225" t="str">
        <v>CEVALLOS HOPPE JUAN CARLOS</v>
      </c>
      <c r="EI225" t="str">
        <v>DELGADO CHAVEZ MARIA IRASEMA</v>
      </c>
      <c r="EJ225" t="str">
        <v>DUARTE VALENCIA CRISTHIAN DARIO</v>
      </c>
      <c r="EK225" t="str">
        <v>FORTTY BARBERAN DENNY ALEXANDER</v>
      </c>
      <c r="EL225" t="str">
        <v>GUTIERREZ ZAMBRANO CARMEN EBELINA</v>
      </c>
      <c r="EM225" t="str">
        <v>INTRIAGO MOLINA GEMA VALERIA</v>
      </c>
      <c r="EN225" t="str">
        <v>LINO VELEZ LEONEL LIVINGTON</v>
      </c>
      <c r="EO225" t="str">
        <v>LOOR ALCIVAR MARIA ILIANA</v>
      </c>
      <c r="EP225" t="str">
        <v>LOOR MIELES TANIA JACQUELINE</v>
      </c>
      <c r="EQ225" t="str">
        <v>LOOR SOLORZANO ROSA MARIA</v>
      </c>
      <c r="ER225" t="str">
        <v>LOPEZ DELGADO RONALD MAURICIO</v>
      </c>
      <c r="ES225" t="str">
        <v>MACIAS VALENCIA DAVID GABRIEL</v>
      </c>
      <c r="ET225" t="str">
        <v>MENDOZA ZAMORA WALTER MANUEL</v>
      </c>
      <c r="EU225" t="str">
        <v>MOLINA CEVALLOS MARIA LORENA</v>
      </c>
      <c r="EV225" t="str">
        <v>MURILLO DELGADO ISAAC GABRIEL</v>
      </c>
      <c r="EW225" t="str">
        <v>ANGULO MURILLO NAVIRA GISSELA</v>
      </c>
      <c r="EX225" t="str">
        <v>OCHOA SOLEDISPA NESTOR IVAN</v>
      </c>
      <c r="EY225" t="str">
        <v>PARRAGA FRANCO SILVANA MARIELA</v>
      </c>
      <c r="EZ225" t="str">
        <v>PINARGOTE VASQUEZ NANCY FABIOLA</v>
      </c>
      <c r="FA225" t="str">
        <v>REYES VELEZ PEDRO ENRIQUE</v>
      </c>
      <c r="FB225" t="str">
        <v>SAN ANDRES HORMAZA DALLAS CECILIA</v>
      </c>
      <c r="FC225" t="str">
        <v>SORNOZA ZAMORA JUAN CARLOS</v>
      </c>
      <c r="FD225" t="str">
        <v>TOMALA PINTO JESUS JACINTO</v>
      </c>
      <c r="FE225" t="str">
        <v>VALLE JARAMILLO SILVIA ARACELY</v>
      </c>
      <c r="FF225" t="str">
        <v>VELÁSQUEZ BRAVO IRMA KATHERINE</v>
      </c>
      <c r="FG225" t="str">
        <v>VELEZ MENDOZA LAYSY VALERIA</v>
      </c>
      <c r="FH225" t="str">
        <v>VINUEZA TELLO SHIRLEY ELIZABETH</v>
      </c>
      <c r="FI225" t="str">
        <v>ZAMBRANO ALCIVAR NILDA ISABEL</v>
      </c>
      <c r="FJ225" t="str">
        <v>ZAMBRANO LOOR RITA MAYDA</v>
      </c>
      <c r="FK225" t="str">
        <v>ZAMBRANO VERA MONICA JANETH</v>
      </c>
      <c r="FL225" t="str">
        <v>VERA DELGADO BRYAN ADRIÁN</v>
      </c>
      <c r="FM225" t="str">
        <v>MORAN GONZALES DAVID RENATO</v>
      </c>
      <c r="FN225">
        <v>0</v>
      </c>
    </row>
    <row r="226" spans="1:170" ht="20.25" customHeight="1">
      <c r="A226" s="4" t="str" cm="1">
        <f t="array" ref="A226">TRANSPOSE(_xlfn.UNIQUE(_xlfn._xlws.FILTER(MAE_ASIGNATURA[ID_NIVEL],MAE_ASIGNATURA[ID_CARRERA]=ASIGNACION!$C226,"No existe información")))</f>
        <v>No existe información</v>
      </c>
      <c r="S226" s="4" t="str" cm="1">
        <f t="array" ref="S226">TRANSPOSE(_xlfn.UNIQUE(_xlfn._xlws.FILTER(MAE_ASIGNATURA[NOM_ASIG],(MAE_ASIGNATURA[ID_NIVEL]=ASIGNACION!$D226)*(MAE_ASIGNATURA[ID_CARRERA]=ASIGNACION!$C226),"No existe información")))</f>
        <v>No existe información</v>
      </c>
      <c r="BD226" s="4" t="str" cm="1">
        <f t="array" ref="BD226">TRANSPOSE(_xlfn.UNIQUE(_xlfn._xlws.FILTER(DET_ASIG[DETALLADO],(DET_ASIG[ID_CARRERA]=ASIGNACION!$C226)*(DET_ASIG[NIVEL]=ASIGNACION!$D226)*(DET_ASIG[ID_ASIG]=ASIGNACION!$G226),"No existe información")))</f>
        <v>No existe información</v>
      </c>
      <c r="BQ226" s="5" t="str" cm="1">
        <f t="array" ref="BQ226">IFERROR(
    TRANSPOSE(
        _xlfn.UNIQUE(
            _xlfn._xlws.FILTER(MAESTRIA_DETALLADO[MAESTRIA],
                ISNUMBER(MATCH(MAESTRIA_DETALLADO[CAMPO_DETALLADO],
                BD226:BP226,0))
            )
        )
    ),IF(BD226="ACTIVIDAD","DOCENCIA",""))</f>
        <v/>
      </c>
      <c r="EA226" s="5" t="str" cm="1">
        <f t="array" ref="EA226:FN226">IF(
    ASIGNACION!I226="SI",
    IFERROR(
        TRANSPOSE(
            _xlfn.UNIQUE(
                _xlfn._xlws.FILTER(EDU_DOCENTE[NOMBRE_DOCENTE],
                    ISNUMBER(MATCH(EDU_DOCENTE[MAESTRIA],
                    BQ226:DY226,0))
                )
            )
        ),
        ""
    ),
    TRANSPOSE(
        _xlfn.UNIQUE(EDU_DOCENTE[NOMBRE_DOCENTE]
        )
    )
)</f>
        <v>ALCIVAR CEDEÑO BEATRIZ ISABEL</v>
      </c>
      <c r="EB226" t="str">
        <v>ALCIVAR VERA GEMA MICHELLE</v>
      </c>
      <c r="EC226" t="str">
        <v>ARAUZ CHAVEZ MARIO ROBERTO</v>
      </c>
      <c r="ED226" t="str">
        <v>BAILON LOURIDO WALTER ALBERTO</v>
      </c>
      <c r="EE226" t="str">
        <v>CALDERERO VILLAGOMEZ ERICK ANTONIO</v>
      </c>
      <c r="EF226" t="str">
        <v>CASTILLO GARCIA PAOLA GERMANIA</v>
      </c>
      <c r="EG226" t="str">
        <v>CEDEÑO CHOEZ PEDRO JAVIER</v>
      </c>
      <c r="EH226" t="str">
        <v>CEVALLOS HOPPE JUAN CARLOS</v>
      </c>
      <c r="EI226" t="str">
        <v>DELGADO CHAVEZ MARIA IRASEMA</v>
      </c>
      <c r="EJ226" t="str">
        <v>DUARTE VALENCIA CRISTHIAN DARIO</v>
      </c>
      <c r="EK226" t="str">
        <v>FORTTY BARBERAN DENNY ALEXANDER</v>
      </c>
      <c r="EL226" t="str">
        <v>GUTIERREZ ZAMBRANO CARMEN EBELINA</v>
      </c>
      <c r="EM226" t="str">
        <v>INTRIAGO MOLINA GEMA VALERIA</v>
      </c>
      <c r="EN226" t="str">
        <v>LINO VELEZ LEONEL LIVINGTON</v>
      </c>
      <c r="EO226" t="str">
        <v>LOOR ALCIVAR MARIA ILIANA</v>
      </c>
      <c r="EP226" t="str">
        <v>LOOR MIELES TANIA JACQUELINE</v>
      </c>
      <c r="EQ226" t="str">
        <v>LOOR SOLORZANO ROSA MARIA</v>
      </c>
      <c r="ER226" t="str">
        <v>LOPEZ DELGADO RONALD MAURICIO</v>
      </c>
      <c r="ES226" t="str">
        <v>MACIAS VALENCIA DAVID GABRIEL</v>
      </c>
      <c r="ET226" t="str">
        <v>MENDOZA ZAMORA WALTER MANUEL</v>
      </c>
      <c r="EU226" t="str">
        <v>MOLINA CEVALLOS MARIA LORENA</v>
      </c>
      <c r="EV226" t="str">
        <v>MURILLO DELGADO ISAAC GABRIEL</v>
      </c>
      <c r="EW226" t="str">
        <v>ANGULO MURILLO NAVIRA GISSELA</v>
      </c>
      <c r="EX226" t="str">
        <v>OCHOA SOLEDISPA NESTOR IVAN</v>
      </c>
      <c r="EY226" t="str">
        <v>PARRAGA FRANCO SILVANA MARIELA</v>
      </c>
      <c r="EZ226" t="str">
        <v>PINARGOTE VASQUEZ NANCY FABIOLA</v>
      </c>
      <c r="FA226" t="str">
        <v>REYES VELEZ PEDRO ENRIQUE</v>
      </c>
      <c r="FB226" t="str">
        <v>SAN ANDRES HORMAZA DALLAS CECILIA</v>
      </c>
      <c r="FC226" t="str">
        <v>SORNOZA ZAMORA JUAN CARLOS</v>
      </c>
      <c r="FD226" t="str">
        <v>TOMALA PINTO JESUS JACINTO</v>
      </c>
      <c r="FE226" t="str">
        <v>VALLE JARAMILLO SILVIA ARACELY</v>
      </c>
      <c r="FF226" t="str">
        <v>VELÁSQUEZ BRAVO IRMA KATHERINE</v>
      </c>
      <c r="FG226" t="str">
        <v>VELEZ MENDOZA LAYSY VALERIA</v>
      </c>
      <c r="FH226" t="str">
        <v>VINUEZA TELLO SHIRLEY ELIZABETH</v>
      </c>
      <c r="FI226" t="str">
        <v>ZAMBRANO ALCIVAR NILDA ISABEL</v>
      </c>
      <c r="FJ226" t="str">
        <v>ZAMBRANO LOOR RITA MAYDA</v>
      </c>
      <c r="FK226" t="str">
        <v>ZAMBRANO VERA MONICA JANETH</v>
      </c>
      <c r="FL226" t="str">
        <v>VERA DELGADO BRYAN ADRIÁN</v>
      </c>
      <c r="FM226" t="str">
        <v>MORAN GONZALES DAVID RENATO</v>
      </c>
      <c r="FN226">
        <v>0</v>
      </c>
    </row>
    <row r="227" spans="1:170" ht="20.25" customHeight="1">
      <c r="A227" s="4" t="str" cm="1">
        <f t="array" ref="A227">TRANSPOSE(_xlfn.UNIQUE(_xlfn._xlws.FILTER(MAE_ASIGNATURA[ID_NIVEL],MAE_ASIGNATURA[ID_CARRERA]=ASIGNACION!$C227,"No existe información")))</f>
        <v>No existe información</v>
      </c>
      <c r="S227" s="4" t="str" cm="1">
        <f t="array" ref="S227">TRANSPOSE(_xlfn.UNIQUE(_xlfn._xlws.FILTER(MAE_ASIGNATURA[NOM_ASIG],(MAE_ASIGNATURA[ID_NIVEL]=ASIGNACION!$D227)*(MAE_ASIGNATURA[ID_CARRERA]=ASIGNACION!$C227),"No existe información")))</f>
        <v>No existe información</v>
      </c>
      <c r="BD227" s="4" t="str" cm="1">
        <f t="array" ref="BD227">TRANSPOSE(_xlfn.UNIQUE(_xlfn._xlws.FILTER(DET_ASIG[DETALLADO],(DET_ASIG[ID_CARRERA]=ASIGNACION!$C227)*(DET_ASIG[NIVEL]=ASIGNACION!$D227)*(DET_ASIG[ID_ASIG]=ASIGNACION!$G227),"No existe información")))</f>
        <v>No existe información</v>
      </c>
      <c r="BQ227" s="5" t="str" cm="1">
        <f t="array" ref="BQ227">IFERROR(
    TRANSPOSE(
        _xlfn.UNIQUE(
            _xlfn._xlws.FILTER(MAESTRIA_DETALLADO[MAESTRIA],
                ISNUMBER(MATCH(MAESTRIA_DETALLADO[CAMPO_DETALLADO],
                BD227:BP227,0))
            )
        )
    ),IF(BD227="ACTIVIDAD","DOCENCIA",""))</f>
        <v/>
      </c>
      <c r="EA227" s="5" t="str" cm="1">
        <f t="array" ref="EA227:FN227">IF(
    ASIGNACION!I227="SI",
    IFERROR(
        TRANSPOSE(
            _xlfn.UNIQUE(
                _xlfn._xlws.FILTER(EDU_DOCENTE[NOMBRE_DOCENTE],
                    ISNUMBER(MATCH(EDU_DOCENTE[MAESTRIA],
                    BQ227:DY227,0))
                )
            )
        ),
        ""
    ),
    TRANSPOSE(
        _xlfn.UNIQUE(EDU_DOCENTE[NOMBRE_DOCENTE]
        )
    )
)</f>
        <v>ALCIVAR CEDEÑO BEATRIZ ISABEL</v>
      </c>
      <c r="EB227" t="str">
        <v>ALCIVAR VERA GEMA MICHELLE</v>
      </c>
      <c r="EC227" t="str">
        <v>ARAUZ CHAVEZ MARIO ROBERTO</v>
      </c>
      <c r="ED227" t="str">
        <v>BAILON LOURIDO WALTER ALBERTO</v>
      </c>
      <c r="EE227" t="str">
        <v>CALDERERO VILLAGOMEZ ERICK ANTONIO</v>
      </c>
      <c r="EF227" t="str">
        <v>CASTILLO GARCIA PAOLA GERMANIA</v>
      </c>
      <c r="EG227" t="str">
        <v>CEDEÑO CHOEZ PEDRO JAVIER</v>
      </c>
      <c r="EH227" t="str">
        <v>CEVALLOS HOPPE JUAN CARLOS</v>
      </c>
      <c r="EI227" t="str">
        <v>DELGADO CHAVEZ MARIA IRASEMA</v>
      </c>
      <c r="EJ227" t="str">
        <v>DUARTE VALENCIA CRISTHIAN DARIO</v>
      </c>
      <c r="EK227" t="str">
        <v>FORTTY BARBERAN DENNY ALEXANDER</v>
      </c>
      <c r="EL227" t="str">
        <v>GUTIERREZ ZAMBRANO CARMEN EBELINA</v>
      </c>
      <c r="EM227" t="str">
        <v>INTRIAGO MOLINA GEMA VALERIA</v>
      </c>
      <c r="EN227" t="str">
        <v>LINO VELEZ LEONEL LIVINGTON</v>
      </c>
      <c r="EO227" t="str">
        <v>LOOR ALCIVAR MARIA ILIANA</v>
      </c>
      <c r="EP227" t="str">
        <v>LOOR MIELES TANIA JACQUELINE</v>
      </c>
      <c r="EQ227" t="str">
        <v>LOOR SOLORZANO ROSA MARIA</v>
      </c>
      <c r="ER227" t="str">
        <v>LOPEZ DELGADO RONALD MAURICIO</v>
      </c>
      <c r="ES227" t="str">
        <v>MACIAS VALENCIA DAVID GABRIEL</v>
      </c>
      <c r="ET227" t="str">
        <v>MENDOZA ZAMORA WALTER MANUEL</v>
      </c>
      <c r="EU227" t="str">
        <v>MOLINA CEVALLOS MARIA LORENA</v>
      </c>
      <c r="EV227" t="str">
        <v>MURILLO DELGADO ISAAC GABRIEL</v>
      </c>
      <c r="EW227" t="str">
        <v>ANGULO MURILLO NAVIRA GISSELA</v>
      </c>
      <c r="EX227" t="str">
        <v>OCHOA SOLEDISPA NESTOR IVAN</v>
      </c>
      <c r="EY227" t="str">
        <v>PARRAGA FRANCO SILVANA MARIELA</v>
      </c>
      <c r="EZ227" t="str">
        <v>PINARGOTE VASQUEZ NANCY FABIOLA</v>
      </c>
      <c r="FA227" t="str">
        <v>REYES VELEZ PEDRO ENRIQUE</v>
      </c>
      <c r="FB227" t="str">
        <v>SAN ANDRES HORMAZA DALLAS CECILIA</v>
      </c>
      <c r="FC227" t="str">
        <v>SORNOZA ZAMORA JUAN CARLOS</v>
      </c>
      <c r="FD227" t="str">
        <v>TOMALA PINTO JESUS JACINTO</v>
      </c>
      <c r="FE227" t="str">
        <v>VALLE JARAMILLO SILVIA ARACELY</v>
      </c>
      <c r="FF227" t="str">
        <v>VELÁSQUEZ BRAVO IRMA KATHERINE</v>
      </c>
      <c r="FG227" t="str">
        <v>VELEZ MENDOZA LAYSY VALERIA</v>
      </c>
      <c r="FH227" t="str">
        <v>VINUEZA TELLO SHIRLEY ELIZABETH</v>
      </c>
      <c r="FI227" t="str">
        <v>ZAMBRANO ALCIVAR NILDA ISABEL</v>
      </c>
      <c r="FJ227" t="str">
        <v>ZAMBRANO LOOR RITA MAYDA</v>
      </c>
      <c r="FK227" t="str">
        <v>ZAMBRANO VERA MONICA JANETH</v>
      </c>
      <c r="FL227" t="str">
        <v>VERA DELGADO BRYAN ADRIÁN</v>
      </c>
      <c r="FM227" t="str">
        <v>MORAN GONZALES DAVID RENATO</v>
      </c>
      <c r="FN227">
        <v>0</v>
      </c>
    </row>
    <row r="228" spans="1:170" ht="20.25" customHeight="1">
      <c r="A228" s="4" t="str" cm="1">
        <f t="array" ref="A228">TRANSPOSE(_xlfn.UNIQUE(_xlfn._xlws.FILTER(MAE_ASIGNATURA[ID_NIVEL],MAE_ASIGNATURA[ID_CARRERA]=ASIGNACION!$C228,"No existe información")))</f>
        <v>No existe información</v>
      </c>
      <c r="S228" s="4" t="str" cm="1">
        <f t="array" ref="S228">TRANSPOSE(_xlfn.UNIQUE(_xlfn._xlws.FILTER(MAE_ASIGNATURA[NOM_ASIG],(MAE_ASIGNATURA[ID_NIVEL]=ASIGNACION!$D228)*(MAE_ASIGNATURA[ID_CARRERA]=ASIGNACION!$C228),"No existe información")))</f>
        <v>No existe información</v>
      </c>
      <c r="BD228" s="4" t="str" cm="1">
        <f t="array" ref="BD228">TRANSPOSE(_xlfn.UNIQUE(_xlfn._xlws.FILTER(DET_ASIG[DETALLADO],(DET_ASIG[ID_CARRERA]=ASIGNACION!$C228)*(DET_ASIG[NIVEL]=ASIGNACION!$D228)*(DET_ASIG[ID_ASIG]=ASIGNACION!$G228),"No existe información")))</f>
        <v>No existe información</v>
      </c>
      <c r="BQ228" s="5" t="str" cm="1">
        <f t="array" ref="BQ228">IFERROR(
    TRANSPOSE(
        _xlfn.UNIQUE(
            _xlfn._xlws.FILTER(MAESTRIA_DETALLADO[MAESTRIA],
                ISNUMBER(MATCH(MAESTRIA_DETALLADO[CAMPO_DETALLADO],
                BD228:BP228,0))
            )
        )
    ),IF(BD228="ACTIVIDAD","DOCENCIA",""))</f>
        <v/>
      </c>
      <c r="EA228" s="5" t="str" cm="1">
        <f t="array" ref="EA228:FN228">IF(
    ASIGNACION!I228="SI",
    IFERROR(
        TRANSPOSE(
            _xlfn.UNIQUE(
                _xlfn._xlws.FILTER(EDU_DOCENTE[NOMBRE_DOCENTE],
                    ISNUMBER(MATCH(EDU_DOCENTE[MAESTRIA],
                    BQ228:DY228,0))
                )
            )
        ),
        ""
    ),
    TRANSPOSE(
        _xlfn.UNIQUE(EDU_DOCENTE[NOMBRE_DOCENTE]
        )
    )
)</f>
        <v>ALCIVAR CEDEÑO BEATRIZ ISABEL</v>
      </c>
      <c r="EB228" t="str">
        <v>ALCIVAR VERA GEMA MICHELLE</v>
      </c>
      <c r="EC228" t="str">
        <v>ARAUZ CHAVEZ MARIO ROBERTO</v>
      </c>
      <c r="ED228" t="str">
        <v>BAILON LOURIDO WALTER ALBERTO</v>
      </c>
      <c r="EE228" t="str">
        <v>CALDERERO VILLAGOMEZ ERICK ANTONIO</v>
      </c>
      <c r="EF228" t="str">
        <v>CASTILLO GARCIA PAOLA GERMANIA</v>
      </c>
      <c r="EG228" t="str">
        <v>CEDEÑO CHOEZ PEDRO JAVIER</v>
      </c>
      <c r="EH228" t="str">
        <v>CEVALLOS HOPPE JUAN CARLOS</v>
      </c>
      <c r="EI228" t="str">
        <v>DELGADO CHAVEZ MARIA IRASEMA</v>
      </c>
      <c r="EJ228" t="str">
        <v>DUARTE VALENCIA CRISTHIAN DARIO</v>
      </c>
      <c r="EK228" t="str">
        <v>FORTTY BARBERAN DENNY ALEXANDER</v>
      </c>
      <c r="EL228" t="str">
        <v>GUTIERREZ ZAMBRANO CARMEN EBELINA</v>
      </c>
      <c r="EM228" t="str">
        <v>INTRIAGO MOLINA GEMA VALERIA</v>
      </c>
      <c r="EN228" t="str">
        <v>LINO VELEZ LEONEL LIVINGTON</v>
      </c>
      <c r="EO228" t="str">
        <v>LOOR ALCIVAR MARIA ILIANA</v>
      </c>
      <c r="EP228" t="str">
        <v>LOOR MIELES TANIA JACQUELINE</v>
      </c>
      <c r="EQ228" t="str">
        <v>LOOR SOLORZANO ROSA MARIA</v>
      </c>
      <c r="ER228" t="str">
        <v>LOPEZ DELGADO RONALD MAURICIO</v>
      </c>
      <c r="ES228" t="str">
        <v>MACIAS VALENCIA DAVID GABRIEL</v>
      </c>
      <c r="ET228" t="str">
        <v>MENDOZA ZAMORA WALTER MANUEL</v>
      </c>
      <c r="EU228" t="str">
        <v>MOLINA CEVALLOS MARIA LORENA</v>
      </c>
      <c r="EV228" t="str">
        <v>MURILLO DELGADO ISAAC GABRIEL</v>
      </c>
      <c r="EW228" t="str">
        <v>ANGULO MURILLO NAVIRA GISSELA</v>
      </c>
      <c r="EX228" t="str">
        <v>OCHOA SOLEDISPA NESTOR IVAN</v>
      </c>
      <c r="EY228" t="str">
        <v>PARRAGA FRANCO SILVANA MARIELA</v>
      </c>
      <c r="EZ228" t="str">
        <v>PINARGOTE VASQUEZ NANCY FABIOLA</v>
      </c>
      <c r="FA228" t="str">
        <v>REYES VELEZ PEDRO ENRIQUE</v>
      </c>
      <c r="FB228" t="str">
        <v>SAN ANDRES HORMAZA DALLAS CECILIA</v>
      </c>
      <c r="FC228" t="str">
        <v>SORNOZA ZAMORA JUAN CARLOS</v>
      </c>
      <c r="FD228" t="str">
        <v>TOMALA PINTO JESUS JACINTO</v>
      </c>
      <c r="FE228" t="str">
        <v>VALLE JARAMILLO SILVIA ARACELY</v>
      </c>
      <c r="FF228" t="str">
        <v>VELÁSQUEZ BRAVO IRMA KATHERINE</v>
      </c>
      <c r="FG228" t="str">
        <v>VELEZ MENDOZA LAYSY VALERIA</v>
      </c>
      <c r="FH228" t="str">
        <v>VINUEZA TELLO SHIRLEY ELIZABETH</v>
      </c>
      <c r="FI228" t="str">
        <v>ZAMBRANO ALCIVAR NILDA ISABEL</v>
      </c>
      <c r="FJ228" t="str">
        <v>ZAMBRANO LOOR RITA MAYDA</v>
      </c>
      <c r="FK228" t="str">
        <v>ZAMBRANO VERA MONICA JANETH</v>
      </c>
      <c r="FL228" t="str">
        <v>VERA DELGADO BRYAN ADRIÁN</v>
      </c>
      <c r="FM228" t="str">
        <v>MORAN GONZALES DAVID RENATO</v>
      </c>
      <c r="FN228">
        <v>0</v>
      </c>
    </row>
    <row r="229" spans="1:170" ht="20.25" customHeight="1">
      <c r="A229" s="4" t="str" cm="1">
        <f t="array" ref="A229">TRANSPOSE(_xlfn.UNIQUE(_xlfn._xlws.FILTER(MAE_ASIGNATURA[ID_NIVEL],MAE_ASIGNATURA[ID_CARRERA]=ASIGNACION!$C229,"No existe información")))</f>
        <v>No existe información</v>
      </c>
      <c r="S229" s="4" t="str" cm="1">
        <f t="array" ref="S229">TRANSPOSE(_xlfn.UNIQUE(_xlfn._xlws.FILTER(MAE_ASIGNATURA[NOM_ASIG],(MAE_ASIGNATURA[ID_NIVEL]=ASIGNACION!$D229)*(MAE_ASIGNATURA[ID_CARRERA]=ASIGNACION!$C229),"No existe información")))</f>
        <v>No existe información</v>
      </c>
      <c r="BD229" s="4" t="str" cm="1">
        <f t="array" ref="BD229">TRANSPOSE(_xlfn.UNIQUE(_xlfn._xlws.FILTER(DET_ASIG[DETALLADO],(DET_ASIG[ID_CARRERA]=ASIGNACION!$C229)*(DET_ASIG[NIVEL]=ASIGNACION!$D229)*(DET_ASIG[ID_ASIG]=ASIGNACION!$G229),"No existe información")))</f>
        <v>No existe información</v>
      </c>
      <c r="BQ229" s="5" t="str" cm="1">
        <f t="array" ref="BQ229">IFERROR(
    TRANSPOSE(
        _xlfn.UNIQUE(
            _xlfn._xlws.FILTER(MAESTRIA_DETALLADO[MAESTRIA],
                ISNUMBER(MATCH(MAESTRIA_DETALLADO[CAMPO_DETALLADO],
                BD229:BP229,0))
            )
        )
    ),IF(BD229="ACTIVIDAD","DOCENCIA",""))</f>
        <v/>
      </c>
      <c r="EA229" s="5" t="str" cm="1">
        <f t="array" ref="EA229:FN229">IF(
    ASIGNACION!I229="SI",
    IFERROR(
        TRANSPOSE(
            _xlfn.UNIQUE(
                _xlfn._xlws.FILTER(EDU_DOCENTE[NOMBRE_DOCENTE],
                    ISNUMBER(MATCH(EDU_DOCENTE[MAESTRIA],
                    BQ229:DY229,0))
                )
            )
        ),
        ""
    ),
    TRANSPOSE(
        _xlfn.UNIQUE(EDU_DOCENTE[NOMBRE_DOCENTE]
        )
    )
)</f>
        <v>ALCIVAR CEDEÑO BEATRIZ ISABEL</v>
      </c>
      <c r="EB229" t="str">
        <v>ALCIVAR VERA GEMA MICHELLE</v>
      </c>
      <c r="EC229" t="str">
        <v>ARAUZ CHAVEZ MARIO ROBERTO</v>
      </c>
      <c r="ED229" t="str">
        <v>BAILON LOURIDO WALTER ALBERTO</v>
      </c>
      <c r="EE229" t="str">
        <v>CALDERERO VILLAGOMEZ ERICK ANTONIO</v>
      </c>
      <c r="EF229" t="str">
        <v>CASTILLO GARCIA PAOLA GERMANIA</v>
      </c>
      <c r="EG229" t="str">
        <v>CEDEÑO CHOEZ PEDRO JAVIER</v>
      </c>
      <c r="EH229" t="str">
        <v>CEVALLOS HOPPE JUAN CARLOS</v>
      </c>
      <c r="EI229" t="str">
        <v>DELGADO CHAVEZ MARIA IRASEMA</v>
      </c>
      <c r="EJ229" t="str">
        <v>DUARTE VALENCIA CRISTHIAN DARIO</v>
      </c>
      <c r="EK229" t="str">
        <v>FORTTY BARBERAN DENNY ALEXANDER</v>
      </c>
      <c r="EL229" t="str">
        <v>GUTIERREZ ZAMBRANO CARMEN EBELINA</v>
      </c>
      <c r="EM229" t="str">
        <v>INTRIAGO MOLINA GEMA VALERIA</v>
      </c>
      <c r="EN229" t="str">
        <v>LINO VELEZ LEONEL LIVINGTON</v>
      </c>
      <c r="EO229" t="str">
        <v>LOOR ALCIVAR MARIA ILIANA</v>
      </c>
      <c r="EP229" t="str">
        <v>LOOR MIELES TANIA JACQUELINE</v>
      </c>
      <c r="EQ229" t="str">
        <v>LOOR SOLORZANO ROSA MARIA</v>
      </c>
      <c r="ER229" t="str">
        <v>LOPEZ DELGADO RONALD MAURICIO</v>
      </c>
      <c r="ES229" t="str">
        <v>MACIAS VALENCIA DAVID GABRIEL</v>
      </c>
      <c r="ET229" t="str">
        <v>MENDOZA ZAMORA WALTER MANUEL</v>
      </c>
      <c r="EU229" t="str">
        <v>MOLINA CEVALLOS MARIA LORENA</v>
      </c>
      <c r="EV229" t="str">
        <v>MURILLO DELGADO ISAAC GABRIEL</v>
      </c>
      <c r="EW229" t="str">
        <v>ANGULO MURILLO NAVIRA GISSELA</v>
      </c>
      <c r="EX229" t="str">
        <v>OCHOA SOLEDISPA NESTOR IVAN</v>
      </c>
      <c r="EY229" t="str">
        <v>PARRAGA FRANCO SILVANA MARIELA</v>
      </c>
      <c r="EZ229" t="str">
        <v>PINARGOTE VASQUEZ NANCY FABIOLA</v>
      </c>
      <c r="FA229" t="str">
        <v>REYES VELEZ PEDRO ENRIQUE</v>
      </c>
      <c r="FB229" t="str">
        <v>SAN ANDRES HORMAZA DALLAS CECILIA</v>
      </c>
      <c r="FC229" t="str">
        <v>SORNOZA ZAMORA JUAN CARLOS</v>
      </c>
      <c r="FD229" t="str">
        <v>TOMALA PINTO JESUS JACINTO</v>
      </c>
      <c r="FE229" t="str">
        <v>VALLE JARAMILLO SILVIA ARACELY</v>
      </c>
      <c r="FF229" t="str">
        <v>VELÁSQUEZ BRAVO IRMA KATHERINE</v>
      </c>
      <c r="FG229" t="str">
        <v>VELEZ MENDOZA LAYSY VALERIA</v>
      </c>
      <c r="FH229" t="str">
        <v>VINUEZA TELLO SHIRLEY ELIZABETH</v>
      </c>
      <c r="FI229" t="str">
        <v>ZAMBRANO ALCIVAR NILDA ISABEL</v>
      </c>
      <c r="FJ229" t="str">
        <v>ZAMBRANO LOOR RITA MAYDA</v>
      </c>
      <c r="FK229" t="str">
        <v>ZAMBRANO VERA MONICA JANETH</v>
      </c>
      <c r="FL229" t="str">
        <v>VERA DELGADO BRYAN ADRIÁN</v>
      </c>
      <c r="FM229" t="str">
        <v>MORAN GONZALES DAVID RENATO</v>
      </c>
      <c r="FN229">
        <v>0</v>
      </c>
    </row>
    <row r="230" spans="1:170" ht="20.25" customHeight="1">
      <c r="A230" s="4" t="str" cm="1">
        <f t="array" ref="A230">TRANSPOSE(_xlfn.UNIQUE(_xlfn._xlws.FILTER(MAE_ASIGNATURA[ID_NIVEL],MAE_ASIGNATURA[ID_CARRERA]=ASIGNACION!$C230,"No existe información")))</f>
        <v>No existe información</v>
      </c>
      <c r="S230" s="4" t="str" cm="1">
        <f t="array" ref="S230">TRANSPOSE(_xlfn.UNIQUE(_xlfn._xlws.FILTER(MAE_ASIGNATURA[NOM_ASIG],(MAE_ASIGNATURA[ID_NIVEL]=ASIGNACION!$D230)*(MAE_ASIGNATURA[ID_CARRERA]=ASIGNACION!$C230),"No existe información")))</f>
        <v>No existe información</v>
      </c>
      <c r="BD230" s="4" t="str" cm="1">
        <f t="array" ref="BD230">TRANSPOSE(_xlfn.UNIQUE(_xlfn._xlws.FILTER(DET_ASIG[DETALLADO],(DET_ASIG[ID_CARRERA]=ASIGNACION!$C230)*(DET_ASIG[NIVEL]=ASIGNACION!$D230)*(DET_ASIG[ID_ASIG]=ASIGNACION!$G230),"No existe información")))</f>
        <v>No existe información</v>
      </c>
      <c r="BQ230" s="5" t="str" cm="1">
        <f t="array" ref="BQ230">IFERROR(
    TRANSPOSE(
        _xlfn.UNIQUE(
            _xlfn._xlws.FILTER(MAESTRIA_DETALLADO[MAESTRIA],
                ISNUMBER(MATCH(MAESTRIA_DETALLADO[CAMPO_DETALLADO],
                BD230:BP230,0))
            )
        )
    ),IF(BD230="ACTIVIDAD","DOCENCIA",""))</f>
        <v/>
      </c>
      <c r="EA230" s="5" t="str" cm="1">
        <f t="array" ref="EA230:FN230">IF(
    ASIGNACION!I230="SI",
    IFERROR(
        TRANSPOSE(
            _xlfn.UNIQUE(
                _xlfn._xlws.FILTER(EDU_DOCENTE[NOMBRE_DOCENTE],
                    ISNUMBER(MATCH(EDU_DOCENTE[MAESTRIA],
                    BQ230:DY230,0))
                )
            )
        ),
        ""
    ),
    TRANSPOSE(
        _xlfn.UNIQUE(EDU_DOCENTE[NOMBRE_DOCENTE]
        )
    )
)</f>
        <v>ALCIVAR CEDEÑO BEATRIZ ISABEL</v>
      </c>
      <c r="EB230" t="str">
        <v>ALCIVAR VERA GEMA MICHELLE</v>
      </c>
      <c r="EC230" t="str">
        <v>ARAUZ CHAVEZ MARIO ROBERTO</v>
      </c>
      <c r="ED230" t="str">
        <v>BAILON LOURIDO WALTER ALBERTO</v>
      </c>
      <c r="EE230" t="str">
        <v>CALDERERO VILLAGOMEZ ERICK ANTONIO</v>
      </c>
      <c r="EF230" t="str">
        <v>CASTILLO GARCIA PAOLA GERMANIA</v>
      </c>
      <c r="EG230" t="str">
        <v>CEDEÑO CHOEZ PEDRO JAVIER</v>
      </c>
      <c r="EH230" t="str">
        <v>CEVALLOS HOPPE JUAN CARLOS</v>
      </c>
      <c r="EI230" t="str">
        <v>DELGADO CHAVEZ MARIA IRASEMA</v>
      </c>
      <c r="EJ230" t="str">
        <v>DUARTE VALENCIA CRISTHIAN DARIO</v>
      </c>
      <c r="EK230" t="str">
        <v>FORTTY BARBERAN DENNY ALEXANDER</v>
      </c>
      <c r="EL230" t="str">
        <v>GUTIERREZ ZAMBRANO CARMEN EBELINA</v>
      </c>
      <c r="EM230" t="str">
        <v>INTRIAGO MOLINA GEMA VALERIA</v>
      </c>
      <c r="EN230" t="str">
        <v>LINO VELEZ LEONEL LIVINGTON</v>
      </c>
      <c r="EO230" t="str">
        <v>LOOR ALCIVAR MARIA ILIANA</v>
      </c>
      <c r="EP230" t="str">
        <v>LOOR MIELES TANIA JACQUELINE</v>
      </c>
      <c r="EQ230" t="str">
        <v>LOOR SOLORZANO ROSA MARIA</v>
      </c>
      <c r="ER230" t="str">
        <v>LOPEZ DELGADO RONALD MAURICIO</v>
      </c>
      <c r="ES230" t="str">
        <v>MACIAS VALENCIA DAVID GABRIEL</v>
      </c>
      <c r="ET230" t="str">
        <v>MENDOZA ZAMORA WALTER MANUEL</v>
      </c>
      <c r="EU230" t="str">
        <v>MOLINA CEVALLOS MARIA LORENA</v>
      </c>
      <c r="EV230" t="str">
        <v>MURILLO DELGADO ISAAC GABRIEL</v>
      </c>
      <c r="EW230" t="str">
        <v>ANGULO MURILLO NAVIRA GISSELA</v>
      </c>
      <c r="EX230" t="str">
        <v>OCHOA SOLEDISPA NESTOR IVAN</v>
      </c>
      <c r="EY230" t="str">
        <v>PARRAGA FRANCO SILVANA MARIELA</v>
      </c>
      <c r="EZ230" t="str">
        <v>PINARGOTE VASQUEZ NANCY FABIOLA</v>
      </c>
      <c r="FA230" t="str">
        <v>REYES VELEZ PEDRO ENRIQUE</v>
      </c>
      <c r="FB230" t="str">
        <v>SAN ANDRES HORMAZA DALLAS CECILIA</v>
      </c>
      <c r="FC230" t="str">
        <v>SORNOZA ZAMORA JUAN CARLOS</v>
      </c>
      <c r="FD230" t="str">
        <v>TOMALA PINTO JESUS JACINTO</v>
      </c>
      <c r="FE230" t="str">
        <v>VALLE JARAMILLO SILVIA ARACELY</v>
      </c>
      <c r="FF230" t="str">
        <v>VELÁSQUEZ BRAVO IRMA KATHERINE</v>
      </c>
      <c r="FG230" t="str">
        <v>VELEZ MENDOZA LAYSY VALERIA</v>
      </c>
      <c r="FH230" t="str">
        <v>VINUEZA TELLO SHIRLEY ELIZABETH</v>
      </c>
      <c r="FI230" t="str">
        <v>ZAMBRANO ALCIVAR NILDA ISABEL</v>
      </c>
      <c r="FJ230" t="str">
        <v>ZAMBRANO LOOR RITA MAYDA</v>
      </c>
      <c r="FK230" t="str">
        <v>ZAMBRANO VERA MONICA JANETH</v>
      </c>
      <c r="FL230" t="str">
        <v>VERA DELGADO BRYAN ADRIÁN</v>
      </c>
      <c r="FM230" t="str">
        <v>MORAN GONZALES DAVID RENATO</v>
      </c>
      <c r="FN230">
        <v>0</v>
      </c>
    </row>
    <row r="231" spans="1:170" ht="20.25" customHeight="1">
      <c r="A231" s="4" t="str" cm="1">
        <f t="array" ref="A231">TRANSPOSE(_xlfn.UNIQUE(_xlfn._xlws.FILTER(MAE_ASIGNATURA[ID_NIVEL],MAE_ASIGNATURA[ID_CARRERA]=ASIGNACION!$C231,"No existe información")))</f>
        <v>No existe información</v>
      </c>
      <c r="S231" s="4" t="str" cm="1">
        <f t="array" ref="S231">TRANSPOSE(_xlfn.UNIQUE(_xlfn._xlws.FILTER(MAE_ASIGNATURA[NOM_ASIG],(MAE_ASIGNATURA[ID_NIVEL]=ASIGNACION!$D231)*(MAE_ASIGNATURA[ID_CARRERA]=ASIGNACION!$C231),"No existe información")))</f>
        <v>No existe información</v>
      </c>
      <c r="BD231" s="4" t="str" cm="1">
        <f t="array" ref="BD231">TRANSPOSE(_xlfn.UNIQUE(_xlfn._xlws.FILTER(DET_ASIG[DETALLADO],(DET_ASIG[ID_CARRERA]=ASIGNACION!$C231)*(DET_ASIG[NIVEL]=ASIGNACION!$D231)*(DET_ASIG[ID_ASIG]=ASIGNACION!$G231),"No existe información")))</f>
        <v>No existe información</v>
      </c>
      <c r="BQ231" s="5" t="str" cm="1">
        <f t="array" ref="BQ231">IFERROR(
    TRANSPOSE(
        _xlfn.UNIQUE(
            _xlfn._xlws.FILTER(MAESTRIA_DETALLADO[MAESTRIA],
                ISNUMBER(MATCH(MAESTRIA_DETALLADO[CAMPO_DETALLADO],
                BD231:BP231,0))
            )
        )
    ),IF(BD231="ACTIVIDAD","DOCENCIA",""))</f>
        <v/>
      </c>
      <c r="EA231" s="5" t="str" cm="1">
        <f t="array" ref="EA231:FN231">IF(
    ASIGNACION!I231="SI",
    IFERROR(
        TRANSPOSE(
            _xlfn.UNIQUE(
                _xlfn._xlws.FILTER(EDU_DOCENTE[NOMBRE_DOCENTE],
                    ISNUMBER(MATCH(EDU_DOCENTE[MAESTRIA],
                    BQ231:DY231,0))
                )
            )
        ),
        ""
    ),
    TRANSPOSE(
        _xlfn.UNIQUE(EDU_DOCENTE[NOMBRE_DOCENTE]
        )
    )
)</f>
        <v>ALCIVAR CEDEÑO BEATRIZ ISABEL</v>
      </c>
      <c r="EB231" t="str">
        <v>ALCIVAR VERA GEMA MICHELLE</v>
      </c>
      <c r="EC231" t="str">
        <v>ARAUZ CHAVEZ MARIO ROBERTO</v>
      </c>
      <c r="ED231" t="str">
        <v>BAILON LOURIDO WALTER ALBERTO</v>
      </c>
      <c r="EE231" t="str">
        <v>CALDERERO VILLAGOMEZ ERICK ANTONIO</v>
      </c>
      <c r="EF231" t="str">
        <v>CASTILLO GARCIA PAOLA GERMANIA</v>
      </c>
      <c r="EG231" t="str">
        <v>CEDEÑO CHOEZ PEDRO JAVIER</v>
      </c>
      <c r="EH231" t="str">
        <v>CEVALLOS HOPPE JUAN CARLOS</v>
      </c>
      <c r="EI231" t="str">
        <v>DELGADO CHAVEZ MARIA IRASEMA</v>
      </c>
      <c r="EJ231" t="str">
        <v>DUARTE VALENCIA CRISTHIAN DARIO</v>
      </c>
      <c r="EK231" t="str">
        <v>FORTTY BARBERAN DENNY ALEXANDER</v>
      </c>
      <c r="EL231" t="str">
        <v>GUTIERREZ ZAMBRANO CARMEN EBELINA</v>
      </c>
      <c r="EM231" t="str">
        <v>INTRIAGO MOLINA GEMA VALERIA</v>
      </c>
      <c r="EN231" t="str">
        <v>LINO VELEZ LEONEL LIVINGTON</v>
      </c>
      <c r="EO231" t="str">
        <v>LOOR ALCIVAR MARIA ILIANA</v>
      </c>
      <c r="EP231" t="str">
        <v>LOOR MIELES TANIA JACQUELINE</v>
      </c>
      <c r="EQ231" t="str">
        <v>LOOR SOLORZANO ROSA MARIA</v>
      </c>
      <c r="ER231" t="str">
        <v>LOPEZ DELGADO RONALD MAURICIO</v>
      </c>
      <c r="ES231" t="str">
        <v>MACIAS VALENCIA DAVID GABRIEL</v>
      </c>
      <c r="ET231" t="str">
        <v>MENDOZA ZAMORA WALTER MANUEL</v>
      </c>
      <c r="EU231" t="str">
        <v>MOLINA CEVALLOS MARIA LORENA</v>
      </c>
      <c r="EV231" t="str">
        <v>MURILLO DELGADO ISAAC GABRIEL</v>
      </c>
      <c r="EW231" t="str">
        <v>ANGULO MURILLO NAVIRA GISSELA</v>
      </c>
      <c r="EX231" t="str">
        <v>OCHOA SOLEDISPA NESTOR IVAN</v>
      </c>
      <c r="EY231" t="str">
        <v>PARRAGA FRANCO SILVANA MARIELA</v>
      </c>
      <c r="EZ231" t="str">
        <v>PINARGOTE VASQUEZ NANCY FABIOLA</v>
      </c>
      <c r="FA231" t="str">
        <v>REYES VELEZ PEDRO ENRIQUE</v>
      </c>
      <c r="FB231" t="str">
        <v>SAN ANDRES HORMAZA DALLAS CECILIA</v>
      </c>
      <c r="FC231" t="str">
        <v>SORNOZA ZAMORA JUAN CARLOS</v>
      </c>
      <c r="FD231" t="str">
        <v>TOMALA PINTO JESUS JACINTO</v>
      </c>
      <c r="FE231" t="str">
        <v>VALLE JARAMILLO SILVIA ARACELY</v>
      </c>
      <c r="FF231" t="str">
        <v>VELÁSQUEZ BRAVO IRMA KATHERINE</v>
      </c>
      <c r="FG231" t="str">
        <v>VELEZ MENDOZA LAYSY VALERIA</v>
      </c>
      <c r="FH231" t="str">
        <v>VINUEZA TELLO SHIRLEY ELIZABETH</v>
      </c>
      <c r="FI231" t="str">
        <v>ZAMBRANO ALCIVAR NILDA ISABEL</v>
      </c>
      <c r="FJ231" t="str">
        <v>ZAMBRANO LOOR RITA MAYDA</v>
      </c>
      <c r="FK231" t="str">
        <v>ZAMBRANO VERA MONICA JANETH</v>
      </c>
      <c r="FL231" t="str">
        <v>VERA DELGADO BRYAN ADRIÁN</v>
      </c>
      <c r="FM231" t="str">
        <v>MORAN GONZALES DAVID RENATO</v>
      </c>
      <c r="FN231">
        <v>0</v>
      </c>
    </row>
    <row r="232" spans="1:170" ht="20.25" customHeight="1">
      <c r="A232" s="4" t="str" cm="1">
        <f t="array" ref="A232">TRANSPOSE(_xlfn.UNIQUE(_xlfn._xlws.FILTER(MAE_ASIGNATURA[ID_NIVEL],MAE_ASIGNATURA[ID_CARRERA]=ASIGNACION!$C232,"No existe información")))</f>
        <v>No existe información</v>
      </c>
      <c r="S232" s="4" t="str" cm="1">
        <f t="array" ref="S232">TRANSPOSE(_xlfn.UNIQUE(_xlfn._xlws.FILTER(MAE_ASIGNATURA[NOM_ASIG],(MAE_ASIGNATURA[ID_NIVEL]=ASIGNACION!$D232)*(MAE_ASIGNATURA[ID_CARRERA]=ASIGNACION!$C232),"No existe información")))</f>
        <v>No existe información</v>
      </c>
      <c r="BD232" s="4" t="str" cm="1">
        <f t="array" ref="BD232">TRANSPOSE(_xlfn.UNIQUE(_xlfn._xlws.FILTER(DET_ASIG[DETALLADO],(DET_ASIG[ID_CARRERA]=ASIGNACION!$C232)*(DET_ASIG[NIVEL]=ASIGNACION!$D232)*(DET_ASIG[ID_ASIG]=ASIGNACION!$G232),"No existe información")))</f>
        <v>No existe información</v>
      </c>
      <c r="BQ232" s="5" t="str" cm="1">
        <f t="array" ref="BQ232">IFERROR(
    TRANSPOSE(
        _xlfn.UNIQUE(
            _xlfn._xlws.FILTER(MAESTRIA_DETALLADO[MAESTRIA],
                ISNUMBER(MATCH(MAESTRIA_DETALLADO[CAMPO_DETALLADO],
                BD232:BP232,0))
            )
        )
    ),IF(BD232="ACTIVIDAD","DOCENCIA",""))</f>
        <v/>
      </c>
      <c r="EA232" s="5" t="str" cm="1">
        <f t="array" ref="EA232:FN232">IF(
    ASIGNACION!I232="SI",
    IFERROR(
        TRANSPOSE(
            _xlfn.UNIQUE(
                _xlfn._xlws.FILTER(EDU_DOCENTE[NOMBRE_DOCENTE],
                    ISNUMBER(MATCH(EDU_DOCENTE[MAESTRIA],
                    BQ232:DY232,0))
                )
            )
        ),
        ""
    ),
    TRANSPOSE(
        _xlfn.UNIQUE(EDU_DOCENTE[NOMBRE_DOCENTE]
        )
    )
)</f>
        <v>ALCIVAR CEDEÑO BEATRIZ ISABEL</v>
      </c>
      <c r="EB232" t="str">
        <v>ALCIVAR VERA GEMA MICHELLE</v>
      </c>
      <c r="EC232" t="str">
        <v>ARAUZ CHAVEZ MARIO ROBERTO</v>
      </c>
      <c r="ED232" t="str">
        <v>BAILON LOURIDO WALTER ALBERTO</v>
      </c>
      <c r="EE232" t="str">
        <v>CALDERERO VILLAGOMEZ ERICK ANTONIO</v>
      </c>
      <c r="EF232" t="str">
        <v>CASTILLO GARCIA PAOLA GERMANIA</v>
      </c>
      <c r="EG232" t="str">
        <v>CEDEÑO CHOEZ PEDRO JAVIER</v>
      </c>
      <c r="EH232" t="str">
        <v>CEVALLOS HOPPE JUAN CARLOS</v>
      </c>
      <c r="EI232" t="str">
        <v>DELGADO CHAVEZ MARIA IRASEMA</v>
      </c>
      <c r="EJ232" t="str">
        <v>DUARTE VALENCIA CRISTHIAN DARIO</v>
      </c>
      <c r="EK232" t="str">
        <v>FORTTY BARBERAN DENNY ALEXANDER</v>
      </c>
      <c r="EL232" t="str">
        <v>GUTIERREZ ZAMBRANO CARMEN EBELINA</v>
      </c>
      <c r="EM232" t="str">
        <v>INTRIAGO MOLINA GEMA VALERIA</v>
      </c>
      <c r="EN232" t="str">
        <v>LINO VELEZ LEONEL LIVINGTON</v>
      </c>
      <c r="EO232" t="str">
        <v>LOOR ALCIVAR MARIA ILIANA</v>
      </c>
      <c r="EP232" t="str">
        <v>LOOR MIELES TANIA JACQUELINE</v>
      </c>
      <c r="EQ232" t="str">
        <v>LOOR SOLORZANO ROSA MARIA</v>
      </c>
      <c r="ER232" t="str">
        <v>LOPEZ DELGADO RONALD MAURICIO</v>
      </c>
      <c r="ES232" t="str">
        <v>MACIAS VALENCIA DAVID GABRIEL</v>
      </c>
      <c r="ET232" t="str">
        <v>MENDOZA ZAMORA WALTER MANUEL</v>
      </c>
      <c r="EU232" t="str">
        <v>MOLINA CEVALLOS MARIA LORENA</v>
      </c>
      <c r="EV232" t="str">
        <v>MURILLO DELGADO ISAAC GABRIEL</v>
      </c>
      <c r="EW232" t="str">
        <v>ANGULO MURILLO NAVIRA GISSELA</v>
      </c>
      <c r="EX232" t="str">
        <v>OCHOA SOLEDISPA NESTOR IVAN</v>
      </c>
      <c r="EY232" t="str">
        <v>PARRAGA FRANCO SILVANA MARIELA</v>
      </c>
      <c r="EZ232" t="str">
        <v>PINARGOTE VASQUEZ NANCY FABIOLA</v>
      </c>
      <c r="FA232" t="str">
        <v>REYES VELEZ PEDRO ENRIQUE</v>
      </c>
      <c r="FB232" t="str">
        <v>SAN ANDRES HORMAZA DALLAS CECILIA</v>
      </c>
      <c r="FC232" t="str">
        <v>SORNOZA ZAMORA JUAN CARLOS</v>
      </c>
      <c r="FD232" t="str">
        <v>TOMALA PINTO JESUS JACINTO</v>
      </c>
      <c r="FE232" t="str">
        <v>VALLE JARAMILLO SILVIA ARACELY</v>
      </c>
      <c r="FF232" t="str">
        <v>VELÁSQUEZ BRAVO IRMA KATHERINE</v>
      </c>
      <c r="FG232" t="str">
        <v>VELEZ MENDOZA LAYSY VALERIA</v>
      </c>
      <c r="FH232" t="str">
        <v>VINUEZA TELLO SHIRLEY ELIZABETH</v>
      </c>
      <c r="FI232" t="str">
        <v>ZAMBRANO ALCIVAR NILDA ISABEL</v>
      </c>
      <c r="FJ232" t="str">
        <v>ZAMBRANO LOOR RITA MAYDA</v>
      </c>
      <c r="FK232" t="str">
        <v>ZAMBRANO VERA MONICA JANETH</v>
      </c>
      <c r="FL232" t="str">
        <v>VERA DELGADO BRYAN ADRIÁN</v>
      </c>
      <c r="FM232" t="str">
        <v>MORAN GONZALES DAVID RENATO</v>
      </c>
      <c r="FN232">
        <v>0</v>
      </c>
    </row>
    <row r="233" spans="1:170" ht="20.25" customHeight="1">
      <c r="A233" s="4" t="str" cm="1">
        <f t="array" ref="A233">TRANSPOSE(_xlfn.UNIQUE(_xlfn._xlws.FILTER(MAE_ASIGNATURA[ID_NIVEL],MAE_ASIGNATURA[ID_CARRERA]=ASIGNACION!$C233,"No existe información")))</f>
        <v>No existe información</v>
      </c>
      <c r="S233" s="4" t="str" cm="1">
        <f t="array" ref="S233">TRANSPOSE(_xlfn.UNIQUE(_xlfn._xlws.FILTER(MAE_ASIGNATURA[NOM_ASIG],(MAE_ASIGNATURA[ID_NIVEL]=ASIGNACION!$D233)*(MAE_ASIGNATURA[ID_CARRERA]=ASIGNACION!$C233),"No existe información")))</f>
        <v>No existe información</v>
      </c>
      <c r="BD233" s="4" t="str" cm="1">
        <f t="array" ref="BD233">TRANSPOSE(_xlfn.UNIQUE(_xlfn._xlws.FILTER(DET_ASIG[DETALLADO],(DET_ASIG[ID_CARRERA]=ASIGNACION!$C233)*(DET_ASIG[NIVEL]=ASIGNACION!$D233)*(DET_ASIG[ID_ASIG]=ASIGNACION!$G233),"No existe información")))</f>
        <v>No existe información</v>
      </c>
      <c r="BQ233" s="5" t="str" cm="1">
        <f t="array" ref="BQ233">IFERROR(
    TRANSPOSE(
        _xlfn.UNIQUE(
            _xlfn._xlws.FILTER(MAESTRIA_DETALLADO[MAESTRIA],
                ISNUMBER(MATCH(MAESTRIA_DETALLADO[CAMPO_DETALLADO],
                BD233:BP233,0))
            )
        )
    ),IF(BD233="ACTIVIDAD","DOCENCIA",""))</f>
        <v/>
      </c>
      <c r="EA233" s="5" t="str" cm="1">
        <f t="array" ref="EA233:FN233">IF(
    ASIGNACION!I233="SI",
    IFERROR(
        TRANSPOSE(
            _xlfn.UNIQUE(
                _xlfn._xlws.FILTER(EDU_DOCENTE[NOMBRE_DOCENTE],
                    ISNUMBER(MATCH(EDU_DOCENTE[MAESTRIA],
                    BQ233:DY233,0))
                )
            )
        ),
        ""
    ),
    TRANSPOSE(
        _xlfn.UNIQUE(EDU_DOCENTE[NOMBRE_DOCENTE]
        )
    )
)</f>
        <v>ALCIVAR CEDEÑO BEATRIZ ISABEL</v>
      </c>
      <c r="EB233" t="str">
        <v>ALCIVAR VERA GEMA MICHELLE</v>
      </c>
      <c r="EC233" t="str">
        <v>ARAUZ CHAVEZ MARIO ROBERTO</v>
      </c>
      <c r="ED233" t="str">
        <v>BAILON LOURIDO WALTER ALBERTO</v>
      </c>
      <c r="EE233" t="str">
        <v>CALDERERO VILLAGOMEZ ERICK ANTONIO</v>
      </c>
      <c r="EF233" t="str">
        <v>CASTILLO GARCIA PAOLA GERMANIA</v>
      </c>
      <c r="EG233" t="str">
        <v>CEDEÑO CHOEZ PEDRO JAVIER</v>
      </c>
      <c r="EH233" t="str">
        <v>CEVALLOS HOPPE JUAN CARLOS</v>
      </c>
      <c r="EI233" t="str">
        <v>DELGADO CHAVEZ MARIA IRASEMA</v>
      </c>
      <c r="EJ233" t="str">
        <v>DUARTE VALENCIA CRISTHIAN DARIO</v>
      </c>
      <c r="EK233" t="str">
        <v>FORTTY BARBERAN DENNY ALEXANDER</v>
      </c>
      <c r="EL233" t="str">
        <v>GUTIERREZ ZAMBRANO CARMEN EBELINA</v>
      </c>
      <c r="EM233" t="str">
        <v>INTRIAGO MOLINA GEMA VALERIA</v>
      </c>
      <c r="EN233" t="str">
        <v>LINO VELEZ LEONEL LIVINGTON</v>
      </c>
      <c r="EO233" t="str">
        <v>LOOR ALCIVAR MARIA ILIANA</v>
      </c>
      <c r="EP233" t="str">
        <v>LOOR MIELES TANIA JACQUELINE</v>
      </c>
      <c r="EQ233" t="str">
        <v>LOOR SOLORZANO ROSA MARIA</v>
      </c>
      <c r="ER233" t="str">
        <v>LOPEZ DELGADO RONALD MAURICIO</v>
      </c>
      <c r="ES233" t="str">
        <v>MACIAS VALENCIA DAVID GABRIEL</v>
      </c>
      <c r="ET233" t="str">
        <v>MENDOZA ZAMORA WALTER MANUEL</v>
      </c>
      <c r="EU233" t="str">
        <v>MOLINA CEVALLOS MARIA LORENA</v>
      </c>
      <c r="EV233" t="str">
        <v>MURILLO DELGADO ISAAC GABRIEL</v>
      </c>
      <c r="EW233" t="str">
        <v>ANGULO MURILLO NAVIRA GISSELA</v>
      </c>
      <c r="EX233" t="str">
        <v>OCHOA SOLEDISPA NESTOR IVAN</v>
      </c>
      <c r="EY233" t="str">
        <v>PARRAGA FRANCO SILVANA MARIELA</v>
      </c>
      <c r="EZ233" t="str">
        <v>PINARGOTE VASQUEZ NANCY FABIOLA</v>
      </c>
      <c r="FA233" t="str">
        <v>REYES VELEZ PEDRO ENRIQUE</v>
      </c>
      <c r="FB233" t="str">
        <v>SAN ANDRES HORMAZA DALLAS CECILIA</v>
      </c>
      <c r="FC233" t="str">
        <v>SORNOZA ZAMORA JUAN CARLOS</v>
      </c>
      <c r="FD233" t="str">
        <v>TOMALA PINTO JESUS JACINTO</v>
      </c>
      <c r="FE233" t="str">
        <v>VALLE JARAMILLO SILVIA ARACELY</v>
      </c>
      <c r="FF233" t="str">
        <v>VELÁSQUEZ BRAVO IRMA KATHERINE</v>
      </c>
      <c r="FG233" t="str">
        <v>VELEZ MENDOZA LAYSY VALERIA</v>
      </c>
      <c r="FH233" t="str">
        <v>VINUEZA TELLO SHIRLEY ELIZABETH</v>
      </c>
      <c r="FI233" t="str">
        <v>ZAMBRANO ALCIVAR NILDA ISABEL</v>
      </c>
      <c r="FJ233" t="str">
        <v>ZAMBRANO LOOR RITA MAYDA</v>
      </c>
      <c r="FK233" t="str">
        <v>ZAMBRANO VERA MONICA JANETH</v>
      </c>
      <c r="FL233" t="str">
        <v>VERA DELGADO BRYAN ADRIÁN</v>
      </c>
      <c r="FM233" t="str">
        <v>MORAN GONZALES DAVID RENATO</v>
      </c>
      <c r="FN233">
        <v>0</v>
      </c>
    </row>
    <row r="234" spans="1:170" ht="20.25" customHeight="1">
      <c r="A234" s="4" t="str" cm="1">
        <f t="array" ref="A234">TRANSPOSE(_xlfn.UNIQUE(_xlfn._xlws.FILTER(MAE_ASIGNATURA[ID_NIVEL],MAE_ASIGNATURA[ID_CARRERA]=ASIGNACION!$C234,"No existe información")))</f>
        <v>No existe información</v>
      </c>
      <c r="S234" s="4" t="str" cm="1">
        <f t="array" ref="S234">TRANSPOSE(_xlfn.UNIQUE(_xlfn._xlws.FILTER(MAE_ASIGNATURA[NOM_ASIG],(MAE_ASIGNATURA[ID_NIVEL]=ASIGNACION!$D234)*(MAE_ASIGNATURA[ID_CARRERA]=ASIGNACION!$C234),"No existe información")))</f>
        <v>No existe información</v>
      </c>
      <c r="BD234" s="4" t="str" cm="1">
        <f t="array" ref="BD234">TRANSPOSE(_xlfn.UNIQUE(_xlfn._xlws.FILTER(DET_ASIG[DETALLADO],(DET_ASIG[ID_CARRERA]=ASIGNACION!$C234)*(DET_ASIG[NIVEL]=ASIGNACION!$D234)*(DET_ASIG[ID_ASIG]=ASIGNACION!$G234),"No existe información")))</f>
        <v>No existe información</v>
      </c>
      <c r="BQ234" s="5" t="str" cm="1">
        <f t="array" ref="BQ234">IFERROR(
    TRANSPOSE(
        _xlfn.UNIQUE(
            _xlfn._xlws.FILTER(MAESTRIA_DETALLADO[MAESTRIA],
                ISNUMBER(MATCH(MAESTRIA_DETALLADO[CAMPO_DETALLADO],
                BD234:BP234,0))
            )
        )
    ),IF(BD234="ACTIVIDAD","DOCENCIA",""))</f>
        <v/>
      </c>
      <c r="EA234" s="5" t="str" cm="1">
        <f t="array" ref="EA234:FN234">IF(
    ASIGNACION!I234="SI",
    IFERROR(
        TRANSPOSE(
            _xlfn.UNIQUE(
                _xlfn._xlws.FILTER(EDU_DOCENTE[NOMBRE_DOCENTE],
                    ISNUMBER(MATCH(EDU_DOCENTE[MAESTRIA],
                    BQ234:DY234,0))
                )
            )
        ),
        ""
    ),
    TRANSPOSE(
        _xlfn.UNIQUE(EDU_DOCENTE[NOMBRE_DOCENTE]
        )
    )
)</f>
        <v>ALCIVAR CEDEÑO BEATRIZ ISABEL</v>
      </c>
      <c r="EB234" t="str">
        <v>ALCIVAR VERA GEMA MICHELLE</v>
      </c>
      <c r="EC234" t="str">
        <v>ARAUZ CHAVEZ MARIO ROBERTO</v>
      </c>
      <c r="ED234" t="str">
        <v>BAILON LOURIDO WALTER ALBERTO</v>
      </c>
      <c r="EE234" t="str">
        <v>CALDERERO VILLAGOMEZ ERICK ANTONIO</v>
      </c>
      <c r="EF234" t="str">
        <v>CASTILLO GARCIA PAOLA GERMANIA</v>
      </c>
      <c r="EG234" t="str">
        <v>CEDEÑO CHOEZ PEDRO JAVIER</v>
      </c>
      <c r="EH234" t="str">
        <v>CEVALLOS HOPPE JUAN CARLOS</v>
      </c>
      <c r="EI234" t="str">
        <v>DELGADO CHAVEZ MARIA IRASEMA</v>
      </c>
      <c r="EJ234" t="str">
        <v>DUARTE VALENCIA CRISTHIAN DARIO</v>
      </c>
      <c r="EK234" t="str">
        <v>FORTTY BARBERAN DENNY ALEXANDER</v>
      </c>
      <c r="EL234" t="str">
        <v>GUTIERREZ ZAMBRANO CARMEN EBELINA</v>
      </c>
      <c r="EM234" t="str">
        <v>INTRIAGO MOLINA GEMA VALERIA</v>
      </c>
      <c r="EN234" t="str">
        <v>LINO VELEZ LEONEL LIVINGTON</v>
      </c>
      <c r="EO234" t="str">
        <v>LOOR ALCIVAR MARIA ILIANA</v>
      </c>
      <c r="EP234" t="str">
        <v>LOOR MIELES TANIA JACQUELINE</v>
      </c>
      <c r="EQ234" t="str">
        <v>LOOR SOLORZANO ROSA MARIA</v>
      </c>
      <c r="ER234" t="str">
        <v>LOPEZ DELGADO RONALD MAURICIO</v>
      </c>
      <c r="ES234" t="str">
        <v>MACIAS VALENCIA DAVID GABRIEL</v>
      </c>
      <c r="ET234" t="str">
        <v>MENDOZA ZAMORA WALTER MANUEL</v>
      </c>
      <c r="EU234" t="str">
        <v>MOLINA CEVALLOS MARIA LORENA</v>
      </c>
      <c r="EV234" t="str">
        <v>MURILLO DELGADO ISAAC GABRIEL</v>
      </c>
      <c r="EW234" t="str">
        <v>ANGULO MURILLO NAVIRA GISSELA</v>
      </c>
      <c r="EX234" t="str">
        <v>OCHOA SOLEDISPA NESTOR IVAN</v>
      </c>
      <c r="EY234" t="str">
        <v>PARRAGA FRANCO SILVANA MARIELA</v>
      </c>
      <c r="EZ234" t="str">
        <v>PINARGOTE VASQUEZ NANCY FABIOLA</v>
      </c>
      <c r="FA234" t="str">
        <v>REYES VELEZ PEDRO ENRIQUE</v>
      </c>
      <c r="FB234" t="str">
        <v>SAN ANDRES HORMAZA DALLAS CECILIA</v>
      </c>
      <c r="FC234" t="str">
        <v>SORNOZA ZAMORA JUAN CARLOS</v>
      </c>
      <c r="FD234" t="str">
        <v>TOMALA PINTO JESUS JACINTO</v>
      </c>
      <c r="FE234" t="str">
        <v>VALLE JARAMILLO SILVIA ARACELY</v>
      </c>
      <c r="FF234" t="str">
        <v>VELÁSQUEZ BRAVO IRMA KATHERINE</v>
      </c>
      <c r="FG234" t="str">
        <v>VELEZ MENDOZA LAYSY VALERIA</v>
      </c>
      <c r="FH234" t="str">
        <v>VINUEZA TELLO SHIRLEY ELIZABETH</v>
      </c>
      <c r="FI234" t="str">
        <v>ZAMBRANO ALCIVAR NILDA ISABEL</v>
      </c>
      <c r="FJ234" t="str">
        <v>ZAMBRANO LOOR RITA MAYDA</v>
      </c>
      <c r="FK234" t="str">
        <v>ZAMBRANO VERA MONICA JANETH</v>
      </c>
      <c r="FL234" t="str">
        <v>VERA DELGADO BRYAN ADRIÁN</v>
      </c>
      <c r="FM234" t="str">
        <v>MORAN GONZALES DAVID RENATO</v>
      </c>
      <c r="FN234">
        <v>0</v>
      </c>
    </row>
    <row r="235" spans="1:170" ht="20.25" customHeight="1">
      <c r="A235" s="4" t="str" cm="1">
        <f t="array" ref="A235">TRANSPOSE(_xlfn.UNIQUE(_xlfn._xlws.FILTER(MAE_ASIGNATURA[ID_NIVEL],MAE_ASIGNATURA[ID_CARRERA]=ASIGNACION!$C235,"No existe información")))</f>
        <v>No existe información</v>
      </c>
      <c r="S235" s="4" t="str" cm="1">
        <f t="array" ref="S235">TRANSPOSE(_xlfn.UNIQUE(_xlfn._xlws.FILTER(MAE_ASIGNATURA[NOM_ASIG],(MAE_ASIGNATURA[ID_NIVEL]=ASIGNACION!$D235)*(MAE_ASIGNATURA[ID_CARRERA]=ASIGNACION!$C235),"No existe información")))</f>
        <v>No existe información</v>
      </c>
      <c r="BD235" s="4" t="str" cm="1">
        <f t="array" ref="BD235">TRANSPOSE(_xlfn.UNIQUE(_xlfn._xlws.FILTER(DET_ASIG[DETALLADO],(DET_ASIG[ID_CARRERA]=ASIGNACION!$C235)*(DET_ASIG[NIVEL]=ASIGNACION!$D235)*(DET_ASIG[ID_ASIG]=ASIGNACION!$G235),"No existe información")))</f>
        <v>No existe información</v>
      </c>
      <c r="BQ235" s="5" t="str" cm="1">
        <f t="array" ref="BQ235">IFERROR(
    TRANSPOSE(
        _xlfn.UNIQUE(
            _xlfn._xlws.FILTER(MAESTRIA_DETALLADO[MAESTRIA],
                ISNUMBER(MATCH(MAESTRIA_DETALLADO[CAMPO_DETALLADO],
                BD235:BP235,0))
            )
        )
    ),IF(BD235="ACTIVIDAD","DOCENCIA",""))</f>
        <v/>
      </c>
      <c r="EA235" s="5" t="str" cm="1">
        <f t="array" ref="EA235:FN235">IF(
    ASIGNACION!I235="SI",
    IFERROR(
        TRANSPOSE(
            _xlfn.UNIQUE(
                _xlfn._xlws.FILTER(EDU_DOCENTE[NOMBRE_DOCENTE],
                    ISNUMBER(MATCH(EDU_DOCENTE[MAESTRIA],
                    BQ235:DY235,0))
                )
            )
        ),
        ""
    ),
    TRANSPOSE(
        _xlfn.UNIQUE(EDU_DOCENTE[NOMBRE_DOCENTE]
        )
    )
)</f>
        <v>ALCIVAR CEDEÑO BEATRIZ ISABEL</v>
      </c>
      <c r="EB235" t="str">
        <v>ALCIVAR VERA GEMA MICHELLE</v>
      </c>
      <c r="EC235" t="str">
        <v>ARAUZ CHAVEZ MARIO ROBERTO</v>
      </c>
      <c r="ED235" t="str">
        <v>BAILON LOURIDO WALTER ALBERTO</v>
      </c>
      <c r="EE235" t="str">
        <v>CALDERERO VILLAGOMEZ ERICK ANTONIO</v>
      </c>
      <c r="EF235" t="str">
        <v>CASTILLO GARCIA PAOLA GERMANIA</v>
      </c>
      <c r="EG235" t="str">
        <v>CEDEÑO CHOEZ PEDRO JAVIER</v>
      </c>
      <c r="EH235" t="str">
        <v>CEVALLOS HOPPE JUAN CARLOS</v>
      </c>
      <c r="EI235" t="str">
        <v>DELGADO CHAVEZ MARIA IRASEMA</v>
      </c>
      <c r="EJ235" t="str">
        <v>DUARTE VALENCIA CRISTHIAN DARIO</v>
      </c>
      <c r="EK235" t="str">
        <v>FORTTY BARBERAN DENNY ALEXANDER</v>
      </c>
      <c r="EL235" t="str">
        <v>GUTIERREZ ZAMBRANO CARMEN EBELINA</v>
      </c>
      <c r="EM235" t="str">
        <v>INTRIAGO MOLINA GEMA VALERIA</v>
      </c>
      <c r="EN235" t="str">
        <v>LINO VELEZ LEONEL LIVINGTON</v>
      </c>
      <c r="EO235" t="str">
        <v>LOOR ALCIVAR MARIA ILIANA</v>
      </c>
      <c r="EP235" t="str">
        <v>LOOR MIELES TANIA JACQUELINE</v>
      </c>
      <c r="EQ235" t="str">
        <v>LOOR SOLORZANO ROSA MARIA</v>
      </c>
      <c r="ER235" t="str">
        <v>LOPEZ DELGADO RONALD MAURICIO</v>
      </c>
      <c r="ES235" t="str">
        <v>MACIAS VALENCIA DAVID GABRIEL</v>
      </c>
      <c r="ET235" t="str">
        <v>MENDOZA ZAMORA WALTER MANUEL</v>
      </c>
      <c r="EU235" t="str">
        <v>MOLINA CEVALLOS MARIA LORENA</v>
      </c>
      <c r="EV235" t="str">
        <v>MURILLO DELGADO ISAAC GABRIEL</v>
      </c>
      <c r="EW235" t="str">
        <v>ANGULO MURILLO NAVIRA GISSELA</v>
      </c>
      <c r="EX235" t="str">
        <v>OCHOA SOLEDISPA NESTOR IVAN</v>
      </c>
      <c r="EY235" t="str">
        <v>PARRAGA FRANCO SILVANA MARIELA</v>
      </c>
      <c r="EZ235" t="str">
        <v>PINARGOTE VASQUEZ NANCY FABIOLA</v>
      </c>
      <c r="FA235" t="str">
        <v>REYES VELEZ PEDRO ENRIQUE</v>
      </c>
      <c r="FB235" t="str">
        <v>SAN ANDRES HORMAZA DALLAS CECILIA</v>
      </c>
      <c r="FC235" t="str">
        <v>SORNOZA ZAMORA JUAN CARLOS</v>
      </c>
      <c r="FD235" t="str">
        <v>TOMALA PINTO JESUS JACINTO</v>
      </c>
      <c r="FE235" t="str">
        <v>VALLE JARAMILLO SILVIA ARACELY</v>
      </c>
      <c r="FF235" t="str">
        <v>VELÁSQUEZ BRAVO IRMA KATHERINE</v>
      </c>
      <c r="FG235" t="str">
        <v>VELEZ MENDOZA LAYSY VALERIA</v>
      </c>
      <c r="FH235" t="str">
        <v>VINUEZA TELLO SHIRLEY ELIZABETH</v>
      </c>
      <c r="FI235" t="str">
        <v>ZAMBRANO ALCIVAR NILDA ISABEL</v>
      </c>
      <c r="FJ235" t="str">
        <v>ZAMBRANO LOOR RITA MAYDA</v>
      </c>
      <c r="FK235" t="str">
        <v>ZAMBRANO VERA MONICA JANETH</v>
      </c>
      <c r="FL235" t="str">
        <v>VERA DELGADO BRYAN ADRIÁN</v>
      </c>
      <c r="FM235" t="str">
        <v>MORAN GONZALES DAVID RENATO</v>
      </c>
      <c r="FN235">
        <v>0</v>
      </c>
    </row>
    <row r="236" spans="1:170" ht="20.25" customHeight="1">
      <c r="A236" s="4" t="str" cm="1">
        <f t="array" ref="A236">TRANSPOSE(_xlfn.UNIQUE(_xlfn._xlws.FILTER(MAE_ASIGNATURA[ID_NIVEL],MAE_ASIGNATURA[ID_CARRERA]=ASIGNACION!$C236,"No existe información")))</f>
        <v>No existe información</v>
      </c>
      <c r="S236" s="4" t="str" cm="1">
        <f t="array" ref="S236">TRANSPOSE(_xlfn.UNIQUE(_xlfn._xlws.FILTER(MAE_ASIGNATURA[NOM_ASIG],(MAE_ASIGNATURA[ID_NIVEL]=ASIGNACION!$D236)*(MAE_ASIGNATURA[ID_CARRERA]=ASIGNACION!$C236),"No existe información")))</f>
        <v>No existe información</v>
      </c>
      <c r="BD236" s="4" t="str" cm="1">
        <f t="array" ref="BD236">TRANSPOSE(_xlfn.UNIQUE(_xlfn._xlws.FILTER(DET_ASIG[DETALLADO],(DET_ASIG[ID_CARRERA]=ASIGNACION!$C236)*(DET_ASIG[NIVEL]=ASIGNACION!$D236)*(DET_ASIG[ID_ASIG]=ASIGNACION!$G236),"No existe información")))</f>
        <v>No existe información</v>
      </c>
      <c r="BQ236" s="5" t="str" cm="1">
        <f t="array" ref="BQ236">IFERROR(
    TRANSPOSE(
        _xlfn.UNIQUE(
            _xlfn._xlws.FILTER(MAESTRIA_DETALLADO[MAESTRIA],
                ISNUMBER(MATCH(MAESTRIA_DETALLADO[CAMPO_DETALLADO],
                BD236:BP236,0))
            )
        )
    ),IF(BD236="ACTIVIDAD","DOCENCIA",""))</f>
        <v/>
      </c>
      <c r="EA236" s="5" t="str" cm="1">
        <f t="array" ref="EA236:FN236">IF(
    ASIGNACION!I236="SI",
    IFERROR(
        TRANSPOSE(
            _xlfn.UNIQUE(
                _xlfn._xlws.FILTER(EDU_DOCENTE[NOMBRE_DOCENTE],
                    ISNUMBER(MATCH(EDU_DOCENTE[MAESTRIA],
                    BQ236:DY236,0))
                )
            )
        ),
        ""
    ),
    TRANSPOSE(
        _xlfn.UNIQUE(EDU_DOCENTE[NOMBRE_DOCENTE]
        )
    )
)</f>
        <v>ALCIVAR CEDEÑO BEATRIZ ISABEL</v>
      </c>
      <c r="EB236" t="str">
        <v>ALCIVAR VERA GEMA MICHELLE</v>
      </c>
      <c r="EC236" t="str">
        <v>ARAUZ CHAVEZ MARIO ROBERTO</v>
      </c>
      <c r="ED236" t="str">
        <v>BAILON LOURIDO WALTER ALBERTO</v>
      </c>
      <c r="EE236" t="str">
        <v>CALDERERO VILLAGOMEZ ERICK ANTONIO</v>
      </c>
      <c r="EF236" t="str">
        <v>CASTILLO GARCIA PAOLA GERMANIA</v>
      </c>
      <c r="EG236" t="str">
        <v>CEDEÑO CHOEZ PEDRO JAVIER</v>
      </c>
      <c r="EH236" t="str">
        <v>CEVALLOS HOPPE JUAN CARLOS</v>
      </c>
      <c r="EI236" t="str">
        <v>DELGADO CHAVEZ MARIA IRASEMA</v>
      </c>
      <c r="EJ236" t="str">
        <v>DUARTE VALENCIA CRISTHIAN DARIO</v>
      </c>
      <c r="EK236" t="str">
        <v>FORTTY BARBERAN DENNY ALEXANDER</v>
      </c>
      <c r="EL236" t="str">
        <v>GUTIERREZ ZAMBRANO CARMEN EBELINA</v>
      </c>
      <c r="EM236" t="str">
        <v>INTRIAGO MOLINA GEMA VALERIA</v>
      </c>
      <c r="EN236" t="str">
        <v>LINO VELEZ LEONEL LIVINGTON</v>
      </c>
      <c r="EO236" t="str">
        <v>LOOR ALCIVAR MARIA ILIANA</v>
      </c>
      <c r="EP236" t="str">
        <v>LOOR MIELES TANIA JACQUELINE</v>
      </c>
      <c r="EQ236" t="str">
        <v>LOOR SOLORZANO ROSA MARIA</v>
      </c>
      <c r="ER236" t="str">
        <v>LOPEZ DELGADO RONALD MAURICIO</v>
      </c>
      <c r="ES236" t="str">
        <v>MACIAS VALENCIA DAVID GABRIEL</v>
      </c>
      <c r="ET236" t="str">
        <v>MENDOZA ZAMORA WALTER MANUEL</v>
      </c>
      <c r="EU236" t="str">
        <v>MOLINA CEVALLOS MARIA LORENA</v>
      </c>
      <c r="EV236" t="str">
        <v>MURILLO DELGADO ISAAC GABRIEL</v>
      </c>
      <c r="EW236" t="str">
        <v>ANGULO MURILLO NAVIRA GISSELA</v>
      </c>
      <c r="EX236" t="str">
        <v>OCHOA SOLEDISPA NESTOR IVAN</v>
      </c>
      <c r="EY236" t="str">
        <v>PARRAGA FRANCO SILVANA MARIELA</v>
      </c>
      <c r="EZ236" t="str">
        <v>PINARGOTE VASQUEZ NANCY FABIOLA</v>
      </c>
      <c r="FA236" t="str">
        <v>REYES VELEZ PEDRO ENRIQUE</v>
      </c>
      <c r="FB236" t="str">
        <v>SAN ANDRES HORMAZA DALLAS CECILIA</v>
      </c>
      <c r="FC236" t="str">
        <v>SORNOZA ZAMORA JUAN CARLOS</v>
      </c>
      <c r="FD236" t="str">
        <v>TOMALA PINTO JESUS JACINTO</v>
      </c>
      <c r="FE236" t="str">
        <v>VALLE JARAMILLO SILVIA ARACELY</v>
      </c>
      <c r="FF236" t="str">
        <v>VELÁSQUEZ BRAVO IRMA KATHERINE</v>
      </c>
      <c r="FG236" t="str">
        <v>VELEZ MENDOZA LAYSY VALERIA</v>
      </c>
      <c r="FH236" t="str">
        <v>VINUEZA TELLO SHIRLEY ELIZABETH</v>
      </c>
      <c r="FI236" t="str">
        <v>ZAMBRANO ALCIVAR NILDA ISABEL</v>
      </c>
      <c r="FJ236" t="str">
        <v>ZAMBRANO LOOR RITA MAYDA</v>
      </c>
      <c r="FK236" t="str">
        <v>ZAMBRANO VERA MONICA JANETH</v>
      </c>
      <c r="FL236" t="str">
        <v>VERA DELGADO BRYAN ADRIÁN</v>
      </c>
      <c r="FM236" t="str">
        <v>MORAN GONZALES DAVID RENATO</v>
      </c>
      <c r="FN236">
        <v>0</v>
      </c>
    </row>
    <row r="237" spans="1:170" ht="20.25" customHeight="1">
      <c r="A237" s="4" t="str" cm="1">
        <f t="array" ref="A237">TRANSPOSE(_xlfn.UNIQUE(_xlfn._xlws.FILTER(MAE_ASIGNATURA[ID_NIVEL],MAE_ASIGNATURA[ID_CARRERA]=ASIGNACION!$C237,"No existe información")))</f>
        <v>No existe información</v>
      </c>
      <c r="S237" s="4" t="str" cm="1">
        <f t="array" ref="S237">TRANSPOSE(_xlfn.UNIQUE(_xlfn._xlws.FILTER(MAE_ASIGNATURA[NOM_ASIG],(MAE_ASIGNATURA[ID_NIVEL]=ASIGNACION!$D237)*(MAE_ASIGNATURA[ID_CARRERA]=ASIGNACION!$C237),"No existe información")))</f>
        <v>No existe información</v>
      </c>
      <c r="BD237" s="4" t="str" cm="1">
        <f t="array" ref="BD237">TRANSPOSE(_xlfn.UNIQUE(_xlfn._xlws.FILTER(DET_ASIG[DETALLADO],(DET_ASIG[ID_CARRERA]=ASIGNACION!$C237)*(DET_ASIG[NIVEL]=ASIGNACION!$D237)*(DET_ASIG[ID_ASIG]=ASIGNACION!$G237),"No existe información")))</f>
        <v>No existe información</v>
      </c>
      <c r="BQ237" s="5" t="str" cm="1">
        <f t="array" ref="BQ237">IFERROR(
    TRANSPOSE(
        _xlfn.UNIQUE(
            _xlfn._xlws.FILTER(MAESTRIA_DETALLADO[MAESTRIA],
                ISNUMBER(MATCH(MAESTRIA_DETALLADO[CAMPO_DETALLADO],
                BD237:BP237,0))
            )
        )
    ),IF(BD237="ACTIVIDAD","DOCENCIA",""))</f>
        <v/>
      </c>
      <c r="EA237" s="5" t="str" cm="1">
        <f t="array" ref="EA237:FN237">IF(
    ASIGNACION!I237="SI",
    IFERROR(
        TRANSPOSE(
            _xlfn.UNIQUE(
                _xlfn._xlws.FILTER(EDU_DOCENTE[NOMBRE_DOCENTE],
                    ISNUMBER(MATCH(EDU_DOCENTE[MAESTRIA],
                    BQ237:DY237,0))
                )
            )
        ),
        ""
    ),
    TRANSPOSE(
        _xlfn.UNIQUE(EDU_DOCENTE[NOMBRE_DOCENTE]
        )
    )
)</f>
        <v>ALCIVAR CEDEÑO BEATRIZ ISABEL</v>
      </c>
      <c r="EB237" t="str">
        <v>ALCIVAR VERA GEMA MICHELLE</v>
      </c>
      <c r="EC237" t="str">
        <v>ARAUZ CHAVEZ MARIO ROBERTO</v>
      </c>
      <c r="ED237" t="str">
        <v>BAILON LOURIDO WALTER ALBERTO</v>
      </c>
      <c r="EE237" t="str">
        <v>CALDERERO VILLAGOMEZ ERICK ANTONIO</v>
      </c>
      <c r="EF237" t="str">
        <v>CASTILLO GARCIA PAOLA GERMANIA</v>
      </c>
      <c r="EG237" t="str">
        <v>CEDEÑO CHOEZ PEDRO JAVIER</v>
      </c>
      <c r="EH237" t="str">
        <v>CEVALLOS HOPPE JUAN CARLOS</v>
      </c>
      <c r="EI237" t="str">
        <v>DELGADO CHAVEZ MARIA IRASEMA</v>
      </c>
      <c r="EJ237" t="str">
        <v>DUARTE VALENCIA CRISTHIAN DARIO</v>
      </c>
      <c r="EK237" t="str">
        <v>FORTTY BARBERAN DENNY ALEXANDER</v>
      </c>
      <c r="EL237" t="str">
        <v>GUTIERREZ ZAMBRANO CARMEN EBELINA</v>
      </c>
      <c r="EM237" t="str">
        <v>INTRIAGO MOLINA GEMA VALERIA</v>
      </c>
      <c r="EN237" t="str">
        <v>LINO VELEZ LEONEL LIVINGTON</v>
      </c>
      <c r="EO237" t="str">
        <v>LOOR ALCIVAR MARIA ILIANA</v>
      </c>
      <c r="EP237" t="str">
        <v>LOOR MIELES TANIA JACQUELINE</v>
      </c>
      <c r="EQ237" t="str">
        <v>LOOR SOLORZANO ROSA MARIA</v>
      </c>
      <c r="ER237" t="str">
        <v>LOPEZ DELGADO RONALD MAURICIO</v>
      </c>
      <c r="ES237" t="str">
        <v>MACIAS VALENCIA DAVID GABRIEL</v>
      </c>
      <c r="ET237" t="str">
        <v>MENDOZA ZAMORA WALTER MANUEL</v>
      </c>
      <c r="EU237" t="str">
        <v>MOLINA CEVALLOS MARIA LORENA</v>
      </c>
      <c r="EV237" t="str">
        <v>MURILLO DELGADO ISAAC GABRIEL</v>
      </c>
      <c r="EW237" t="str">
        <v>ANGULO MURILLO NAVIRA GISSELA</v>
      </c>
      <c r="EX237" t="str">
        <v>OCHOA SOLEDISPA NESTOR IVAN</v>
      </c>
      <c r="EY237" t="str">
        <v>PARRAGA FRANCO SILVANA MARIELA</v>
      </c>
      <c r="EZ237" t="str">
        <v>PINARGOTE VASQUEZ NANCY FABIOLA</v>
      </c>
      <c r="FA237" t="str">
        <v>REYES VELEZ PEDRO ENRIQUE</v>
      </c>
      <c r="FB237" t="str">
        <v>SAN ANDRES HORMAZA DALLAS CECILIA</v>
      </c>
      <c r="FC237" t="str">
        <v>SORNOZA ZAMORA JUAN CARLOS</v>
      </c>
      <c r="FD237" t="str">
        <v>TOMALA PINTO JESUS JACINTO</v>
      </c>
      <c r="FE237" t="str">
        <v>VALLE JARAMILLO SILVIA ARACELY</v>
      </c>
      <c r="FF237" t="str">
        <v>VELÁSQUEZ BRAVO IRMA KATHERINE</v>
      </c>
      <c r="FG237" t="str">
        <v>VELEZ MENDOZA LAYSY VALERIA</v>
      </c>
      <c r="FH237" t="str">
        <v>VINUEZA TELLO SHIRLEY ELIZABETH</v>
      </c>
      <c r="FI237" t="str">
        <v>ZAMBRANO ALCIVAR NILDA ISABEL</v>
      </c>
      <c r="FJ237" t="str">
        <v>ZAMBRANO LOOR RITA MAYDA</v>
      </c>
      <c r="FK237" t="str">
        <v>ZAMBRANO VERA MONICA JANETH</v>
      </c>
      <c r="FL237" t="str">
        <v>VERA DELGADO BRYAN ADRIÁN</v>
      </c>
      <c r="FM237" t="str">
        <v>MORAN GONZALES DAVID RENATO</v>
      </c>
      <c r="FN237">
        <v>0</v>
      </c>
    </row>
    <row r="238" spans="1:170" ht="20.25" customHeight="1">
      <c r="A238" s="4" t="str" cm="1">
        <f t="array" ref="A238">TRANSPOSE(_xlfn.UNIQUE(_xlfn._xlws.FILTER(MAE_ASIGNATURA[ID_NIVEL],MAE_ASIGNATURA[ID_CARRERA]=ASIGNACION!$C238,"No existe información")))</f>
        <v>No existe información</v>
      </c>
      <c r="S238" s="4" t="str" cm="1">
        <f t="array" ref="S238">TRANSPOSE(_xlfn.UNIQUE(_xlfn._xlws.FILTER(MAE_ASIGNATURA[NOM_ASIG],(MAE_ASIGNATURA[ID_NIVEL]=ASIGNACION!$D238)*(MAE_ASIGNATURA[ID_CARRERA]=ASIGNACION!$C238),"No existe información")))</f>
        <v>No existe información</v>
      </c>
      <c r="BD238" s="4" t="str" cm="1">
        <f t="array" ref="BD238">TRANSPOSE(_xlfn.UNIQUE(_xlfn._xlws.FILTER(DET_ASIG[DETALLADO],(DET_ASIG[ID_CARRERA]=ASIGNACION!$C238)*(DET_ASIG[NIVEL]=ASIGNACION!$D238)*(DET_ASIG[ID_ASIG]=ASIGNACION!$G238),"No existe información")))</f>
        <v>No existe información</v>
      </c>
      <c r="BQ238" s="5" t="str" cm="1">
        <f t="array" ref="BQ238">IFERROR(
    TRANSPOSE(
        _xlfn.UNIQUE(
            _xlfn._xlws.FILTER(MAESTRIA_DETALLADO[MAESTRIA],
                ISNUMBER(MATCH(MAESTRIA_DETALLADO[CAMPO_DETALLADO],
                BD238:BP238,0))
            )
        )
    ),IF(BD238="ACTIVIDAD","DOCENCIA",""))</f>
        <v/>
      </c>
      <c r="EA238" s="5" t="str" cm="1">
        <f t="array" ref="EA238:FN238">IF(
    ASIGNACION!I238="SI",
    IFERROR(
        TRANSPOSE(
            _xlfn.UNIQUE(
                _xlfn._xlws.FILTER(EDU_DOCENTE[NOMBRE_DOCENTE],
                    ISNUMBER(MATCH(EDU_DOCENTE[MAESTRIA],
                    BQ238:DY238,0))
                )
            )
        ),
        ""
    ),
    TRANSPOSE(
        _xlfn.UNIQUE(EDU_DOCENTE[NOMBRE_DOCENTE]
        )
    )
)</f>
        <v>ALCIVAR CEDEÑO BEATRIZ ISABEL</v>
      </c>
      <c r="EB238" t="str">
        <v>ALCIVAR VERA GEMA MICHELLE</v>
      </c>
      <c r="EC238" t="str">
        <v>ARAUZ CHAVEZ MARIO ROBERTO</v>
      </c>
      <c r="ED238" t="str">
        <v>BAILON LOURIDO WALTER ALBERTO</v>
      </c>
      <c r="EE238" t="str">
        <v>CALDERERO VILLAGOMEZ ERICK ANTONIO</v>
      </c>
      <c r="EF238" t="str">
        <v>CASTILLO GARCIA PAOLA GERMANIA</v>
      </c>
      <c r="EG238" t="str">
        <v>CEDEÑO CHOEZ PEDRO JAVIER</v>
      </c>
      <c r="EH238" t="str">
        <v>CEVALLOS HOPPE JUAN CARLOS</v>
      </c>
      <c r="EI238" t="str">
        <v>DELGADO CHAVEZ MARIA IRASEMA</v>
      </c>
      <c r="EJ238" t="str">
        <v>DUARTE VALENCIA CRISTHIAN DARIO</v>
      </c>
      <c r="EK238" t="str">
        <v>FORTTY BARBERAN DENNY ALEXANDER</v>
      </c>
      <c r="EL238" t="str">
        <v>GUTIERREZ ZAMBRANO CARMEN EBELINA</v>
      </c>
      <c r="EM238" t="str">
        <v>INTRIAGO MOLINA GEMA VALERIA</v>
      </c>
      <c r="EN238" t="str">
        <v>LINO VELEZ LEONEL LIVINGTON</v>
      </c>
      <c r="EO238" t="str">
        <v>LOOR ALCIVAR MARIA ILIANA</v>
      </c>
      <c r="EP238" t="str">
        <v>LOOR MIELES TANIA JACQUELINE</v>
      </c>
      <c r="EQ238" t="str">
        <v>LOOR SOLORZANO ROSA MARIA</v>
      </c>
      <c r="ER238" t="str">
        <v>LOPEZ DELGADO RONALD MAURICIO</v>
      </c>
      <c r="ES238" t="str">
        <v>MACIAS VALENCIA DAVID GABRIEL</v>
      </c>
      <c r="ET238" t="str">
        <v>MENDOZA ZAMORA WALTER MANUEL</v>
      </c>
      <c r="EU238" t="str">
        <v>MOLINA CEVALLOS MARIA LORENA</v>
      </c>
      <c r="EV238" t="str">
        <v>MURILLO DELGADO ISAAC GABRIEL</v>
      </c>
      <c r="EW238" t="str">
        <v>ANGULO MURILLO NAVIRA GISSELA</v>
      </c>
      <c r="EX238" t="str">
        <v>OCHOA SOLEDISPA NESTOR IVAN</v>
      </c>
      <c r="EY238" t="str">
        <v>PARRAGA FRANCO SILVANA MARIELA</v>
      </c>
      <c r="EZ238" t="str">
        <v>PINARGOTE VASQUEZ NANCY FABIOLA</v>
      </c>
      <c r="FA238" t="str">
        <v>REYES VELEZ PEDRO ENRIQUE</v>
      </c>
      <c r="FB238" t="str">
        <v>SAN ANDRES HORMAZA DALLAS CECILIA</v>
      </c>
      <c r="FC238" t="str">
        <v>SORNOZA ZAMORA JUAN CARLOS</v>
      </c>
      <c r="FD238" t="str">
        <v>TOMALA PINTO JESUS JACINTO</v>
      </c>
      <c r="FE238" t="str">
        <v>VALLE JARAMILLO SILVIA ARACELY</v>
      </c>
      <c r="FF238" t="str">
        <v>VELÁSQUEZ BRAVO IRMA KATHERINE</v>
      </c>
      <c r="FG238" t="str">
        <v>VELEZ MENDOZA LAYSY VALERIA</v>
      </c>
      <c r="FH238" t="str">
        <v>VINUEZA TELLO SHIRLEY ELIZABETH</v>
      </c>
      <c r="FI238" t="str">
        <v>ZAMBRANO ALCIVAR NILDA ISABEL</v>
      </c>
      <c r="FJ238" t="str">
        <v>ZAMBRANO LOOR RITA MAYDA</v>
      </c>
      <c r="FK238" t="str">
        <v>ZAMBRANO VERA MONICA JANETH</v>
      </c>
      <c r="FL238" t="str">
        <v>VERA DELGADO BRYAN ADRIÁN</v>
      </c>
      <c r="FM238" t="str">
        <v>MORAN GONZALES DAVID RENATO</v>
      </c>
      <c r="FN238">
        <v>0</v>
      </c>
    </row>
    <row r="239" spans="1:170" ht="20.25" customHeight="1">
      <c r="A239" s="4" t="str" cm="1">
        <f t="array" ref="A239">TRANSPOSE(_xlfn.UNIQUE(_xlfn._xlws.FILTER(MAE_ASIGNATURA[ID_NIVEL],MAE_ASIGNATURA[ID_CARRERA]=ASIGNACION!$C239,"No existe información")))</f>
        <v>No existe información</v>
      </c>
      <c r="S239" s="4" t="str" cm="1">
        <f t="array" ref="S239">TRANSPOSE(_xlfn.UNIQUE(_xlfn._xlws.FILTER(MAE_ASIGNATURA[NOM_ASIG],(MAE_ASIGNATURA[ID_NIVEL]=ASIGNACION!$D239)*(MAE_ASIGNATURA[ID_CARRERA]=ASIGNACION!$C239),"No existe información")))</f>
        <v>No existe información</v>
      </c>
      <c r="BD239" s="4" t="str" cm="1">
        <f t="array" ref="BD239">TRANSPOSE(_xlfn.UNIQUE(_xlfn._xlws.FILTER(DET_ASIG[DETALLADO],(DET_ASIG[ID_CARRERA]=ASIGNACION!$C239)*(DET_ASIG[NIVEL]=ASIGNACION!$D239)*(DET_ASIG[ID_ASIG]=ASIGNACION!$G239),"No existe información")))</f>
        <v>No existe información</v>
      </c>
      <c r="BQ239" s="5" t="str" cm="1">
        <f t="array" ref="BQ239">IFERROR(
    TRANSPOSE(
        _xlfn.UNIQUE(
            _xlfn._xlws.FILTER(MAESTRIA_DETALLADO[MAESTRIA],
                ISNUMBER(MATCH(MAESTRIA_DETALLADO[CAMPO_DETALLADO],
                BD239:BP239,0))
            )
        )
    ),IF(BD239="ACTIVIDAD","DOCENCIA",""))</f>
        <v/>
      </c>
      <c r="EA239" s="5" t="str" cm="1">
        <f t="array" ref="EA239:FN239">IF(
    ASIGNACION!I239="SI",
    IFERROR(
        TRANSPOSE(
            _xlfn.UNIQUE(
                _xlfn._xlws.FILTER(EDU_DOCENTE[NOMBRE_DOCENTE],
                    ISNUMBER(MATCH(EDU_DOCENTE[MAESTRIA],
                    BQ239:DY239,0))
                )
            )
        ),
        ""
    ),
    TRANSPOSE(
        _xlfn.UNIQUE(EDU_DOCENTE[NOMBRE_DOCENTE]
        )
    )
)</f>
        <v>ALCIVAR CEDEÑO BEATRIZ ISABEL</v>
      </c>
      <c r="EB239" t="str">
        <v>ALCIVAR VERA GEMA MICHELLE</v>
      </c>
      <c r="EC239" t="str">
        <v>ARAUZ CHAVEZ MARIO ROBERTO</v>
      </c>
      <c r="ED239" t="str">
        <v>BAILON LOURIDO WALTER ALBERTO</v>
      </c>
      <c r="EE239" t="str">
        <v>CALDERERO VILLAGOMEZ ERICK ANTONIO</v>
      </c>
      <c r="EF239" t="str">
        <v>CASTILLO GARCIA PAOLA GERMANIA</v>
      </c>
      <c r="EG239" t="str">
        <v>CEDEÑO CHOEZ PEDRO JAVIER</v>
      </c>
      <c r="EH239" t="str">
        <v>CEVALLOS HOPPE JUAN CARLOS</v>
      </c>
      <c r="EI239" t="str">
        <v>DELGADO CHAVEZ MARIA IRASEMA</v>
      </c>
      <c r="EJ239" t="str">
        <v>DUARTE VALENCIA CRISTHIAN DARIO</v>
      </c>
      <c r="EK239" t="str">
        <v>FORTTY BARBERAN DENNY ALEXANDER</v>
      </c>
      <c r="EL239" t="str">
        <v>GUTIERREZ ZAMBRANO CARMEN EBELINA</v>
      </c>
      <c r="EM239" t="str">
        <v>INTRIAGO MOLINA GEMA VALERIA</v>
      </c>
      <c r="EN239" t="str">
        <v>LINO VELEZ LEONEL LIVINGTON</v>
      </c>
      <c r="EO239" t="str">
        <v>LOOR ALCIVAR MARIA ILIANA</v>
      </c>
      <c r="EP239" t="str">
        <v>LOOR MIELES TANIA JACQUELINE</v>
      </c>
      <c r="EQ239" t="str">
        <v>LOOR SOLORZANO ROSA MARIA</v>
      </c>
      <c r="ER239" t="str">
        <v>LOPEZ DELGADO RONALD MAURICIO</v>
      </c>
      <c r="ES239" t="str">
        <v>MACIAS VALENCIA DAVID GABRIEL</v>
      </c>
      <c r="ET239" t="str">
        <v>MENDOZA ZAMORA WALTER MANUEL</v>
      </c>
      <c r="EU239" t="str">
        <v>MOLINA CEVALLOS MARIA LORENA</v>
      </c>
      <c r="EV239" t="str">
        <v>MURILLO DELGADO ISAAC GABRIEL</v>
      </c>
      <c r="EW239" t="str">
        <v>ANGULO MURILLO NAVIRA GISSELA</v>
      </c>
      <c r="EX239" t="str">
        <v>OCHOA SOLEDISPA NESTOR IVAN</v>
      </c>
      <c r="EY239" t="str">
        <v>PARRAGA FRANCO SILVANA MARIELA</v>
      </c>
      <c r="EZ239" t="str">
        <v>PINARGOTE VASQUEZ NANCY FABIOLA</v>
      </c>
      <c r="FA239" t="str">
        <v>REYES VELEZ PEDRO ENRIQUE</v>
      </c>
      <c r="FB239" t="str">
        <v>SAN ANDRES HORMAZA DALLAS CECILIA</v>
      </c>
      <c r="FC239" t="str">
        <v>SORNOZA ZAMORA JUAN CARLOS</v>
      </c>
      <c r="FD239" t="str">
        <v>TOMALA PINTO JESUS JACINTO</v>
      </c>
      <c r="FE239" t="str">
        <v>VALLE JARAMILLO SILVIA ARACELY</v>
      </c>
      <c r="FF239" t="str">
        <v>VELÁSQUEZ BRAVO IRMA KATHERINE</v>
      </c>
      <c r="FG239" t="str">
        <v>VELEZ MENDOZA LAYSY VALERIA</v>
      </c>
      <c r="FH239" t="str">
        <v>VINUEZA TELLO SHIRLEY ELIZABETH</v>
      </c>
      <c r="FI239" t="str">
        <v>ZAMBRANO ALCIVAR NILDA ISABEL</v>
      </c>
      <c r="FJ239" t="str">
        <v>ZAMBRANO LOOR RITA MAYDA</v>
      </c>
      <c r="FK239" t="str">
        <v>ZAMBRANO VERA MONICA JANETH</v>
      </c>
      <c r="FL239" t="str">
        <v>VERA DELGADO BRYAN ADRIÁN</v>
      </c>
      <c r="FM239" t="str">
        <v>MORAN GONZALES DAVID RENATO</v>
      </c>
      <c r="FN239">
        <v>0</v>
      </c>
    </row>
    <row r="240" spans="1:170" ht="20.25" customHeight="1">
      <c r="A240" s="4" t="str" cm="1">
        <f t="array" ref="A240">TRANSPOSE(_xlfn.UNIQUE(_xlfn._xlws.FILTER(MAE_ASIGNATURA[ID_NIVEL],MAE_ASIGNATURA[ID_CARRERA]=ASIGNACION!$C240,"No existe información")))</f>
        <v>No existe información</v>
      </c>
      <c r="S240" s="4" t="str" cm="1">
        <f t="array" ref="S240">TRANSPOSE(_xlfn.UNIQUE(_xlfn._xlws.FILTER(MAE_ASIGNATURA[NOM_ASIG],(MAE_ASIGNATURA[ID_NIVEL]=ASIGNACION!$D240)*(MAE_ASIGNATURA[ID_CARRERA]=ASIGNACION!$C240),"No existe información")))</f>
        <v>No existe información</v>
      </c>
      <c r="BD240" s="4" t="str" cm="1">
        <f t="array" ref="BD240">TRANSPOSE(_xlfn.UNIQUE(_xlfn._xlws.FILTER(DET_ASIG[DETALLADO],(DET_ASIG[ID_CARRERA]=ASIGNACION!$C240)*(DET_ASIG[NIVEL]=ASIGNACION!$D240)*(DET_ASIG[ID_ASIG]=ASIGNACION!$G240),"No existe información")))</f>
        <v>No existe información</v>
      </c>
      <c r="BQ240" s="5" t="str" cm="1">
        <f t="array" ref="BQ240">IFERROR(
    TRANSPOSE(
        _xlfn.UNIQUE(
            _xlfn._xlws.FILTER(MAESTRIA_DETALLADO[MAESTRIA],
                ISNUMBER(MATCH(MAESTRIA_DETALLADO[CAMPO_DETALLADO],
                BD240:BP240,0))
            )
        )
    ),IF(BD240="ACTIVIDAD","DOCENCIA",""))</f>
        <v/>
      </c>
      <c r="EA240" s="5" t="str" cm="1">
        <f t="array" ref="EA240:FN240">IF(
    ASIGNACION!I240="SI",
    IFERROR(
        TRANSPOSE(
            _xlfn.UNIQUE(
                _xlfn._xlws.FILTER(EDU_DOCENTE[NOMBRE_DOCENTE],
                    ISNUMBER(MATCH(EDU_DOCENTE[MAESTRIA],
                    BQ240:DY240,0))
                )
            )
        ),
        ""
    ),
    TRANSPOSE(
        _xlfn.UNIQUE(EDU_DOCENTE[NOMBRE_DOCENTE]
        )
    )
)</f>
        <v>ALCIVAR CEDEÑO BEATRIZ ISABEL</v>
      </c>
      <c r="EB240" t="str">
        <v>ALCIVAR VERA GEMA MICHELLE</v>
      </c>
      <c r="EC240" t="str">
        <v>ARAUZ CHAVEZ MARIO ROBERTO</v>
      </c>
      <c r="ED240" t="str">
        <v>BAILON LOURIDO WALTER ALBERTO</v>
      </c>
      <c r="EE240" t="str">
        <v>CALDERERO VILLAGOMEZ ERICK ANTONIO</v>
      </c>
      <c r="EF240" t="str">
        <v>CASTILLO GARCIA PAOLA GERMANIA</v>
      </c>
      <c r="EG240" t="str">
        <v>CEDEÑO CHOEZ PEDRO JAVIER</v>
      </c>
      <c r="EH240" t="str">
        <v>CEVALLOS HOPPE JUAN CARLOS</v>
      </c>
      <c r="EI240" t="str">
        <v>DELGADO CHAVEZ MARIA IRASEMA</v>
      </c>
      <c r="EJ240" t="str">
        <v>DUARTE VALENCIA CRISTHIAN DARIO</v>
      </c>
      <c r="EK240" t="str">
        <v>FORTTY BARBERAN DENNY ALEXANDER</v>
      </c>
      <c r="EL240" t="str">
        <v>GUTIERREZ ZAMBRANO CARMEN EBELINA</v>
      </c>
      <c r="EM240" t="str">
        <v>INTRIAGO MOLINA GEMA VALERIA</v>
      </c>
      <c r="EN240" t="str">
        <v>LINO VELEZ LEONEL LIVINGTON</v>
      </c>
      <c r="EO240" t="str">
        <v>LOOR ALCIVAR MARIA ILIANA</v>
      </c>
      <c r="EP240" t="str">
        <v>LOOR MIELES TANIA JACQUELINE</v>
      </c>
      <c r="EQ240" t="str">
        <v>LOOR SOLORZANO ROSA MARIA</v>
      </c>
      <c r="ER240" t="str">
        <v>LOPEZ DELGADO RONALD MAURICIO</v>
      </c>
      <c r="ES240" t="str">
        <v>MACIAS VALENCIA DAVID GABRIEL</v>
      </c>
      <c r="ET240" t="str">
        <v>MENDOZA ZAMORA WALTER MANUEL</v>
      </c>
      <c r="EU240" t="str">
        <v>MOLINA CEVALLOS MARIA LORENA</v>
      </c>
      <c r="EV240" t="str">
        <v>MURILLO DELGADO ISAAC GABRIEL</v>
      </c>
      <c r="EW240" t="str">
        <v>ANGULO MURILLO NAVIRA GISSELA</v>
      </c>
      <c r="EX240" t="str">
        <v>OCHOA SOLEDISPA NESTOR IVAN</v>
      </c>
      <c r="EY240" t="str">
        <v>PARRAGA FRANCO SILVANA MARIELA</v>
      </c>
      <c r="EZ240" t="str">
        <v>PINARGOTE VASQUEZ NANCY FABIOLA</v>
      </c>
      <c r="FA240" t="str">
        <v>REYES VELEZ PEDRO ENRIQUE</v>
      </c>
      <c r="FB240" t="str">
        <v>SAN ANDRES HORMAZA DALLAS CECILIA</v>
      </c>
      <c r="FC240" t="str">
        <v>SORNOZA ZAMORA JUAN CARLOS</v>
      </c>
      <c r="FD240" t="str">
        <v>TOMALA PINTO JESUS JACINTO</v>
      </c>
      <c r="FE240" t="str">
        <v>VALLE JARAMILLO SILVIA ARACELY</v>
      </c>
      <c r="FF240" t="str">
        <v>VELÁSQUEZ BRAVO IRMA KATHERINE</v>
      </c>
      <c r="FG240" t="str">
        <v>VELEZ MENDOZA LAYSY VALERIA</v>
      </c>
      <c r="FH240" t="str">
        <v>VINUEZA TELLO SHIRLEY ELIZABETH</v>
      </c>
      <c r="FI240" t="str">
        <v>ZAMBRANO ALCIVAR NILDA ISABEL</v>
      </c>
      <c r="FJ240" t="str">
        <v>ZAMBRANO LOOR RITA MAYDA</v>
      </c>
      <c r="FK240" t="str">
        <v>ZAMBRANO VERA MONICA JANETH</v>
      </c>
      <c r="FL240" t="str">
        <v>VERA DELGADO BRYAN ADRIÁN</v>
      </c>
      <c r="FM240" t="str">
        <v>MORAN GONZALES DAVID RENATO</v>
      </c>
      <c r="FN240">
        <v>0</v>
      </c>
    </row>
    <row r="241" spans="1:170" ht="20.25" customHeight="1">
      <c r="A241" s="4" t="str" cm="1">
        <f t="array" ref="A241">TRANSPOSE(_xlfn.UNIQUE(_xlfn._xlws.FILTER(MAE_ASIGNATURA[ID_NIVEL],MAE_ASIGNATURA[ID_CARRERA]=ASIGNACION!$C241,"No existe información")))</f>
        <v>No existe información</v>
      </c>
      <c r="S241" s="4" t="str" cm="1">
        <f t="array" ref="S241">TRANSPOSE(_xlfn.UNIQUE(_xlfn._xlws.FILTER(MAE_ASIGNATURA[NOM_ASIG],(MAE_ASIGNATURA[ID_NIVEL]=ASIGNACION!$D241)*(MAE_ASIGNATURA[ID_CARRERA]=ASIGNACION!$C241),"No existe información")))</f>
        <v>No existe información</v>
      </c>
      <c r="BD241" s="4" t="str" cm="1">
        <f t="array" ref="BD241">TRANSPOSE(_xlfn.UNIQUE(_xlfn._xlws.FILTER(DET_ASIG[DETALLADO],(DET_ASIG[ID_CARRERA]=ASIGNACION!$C241)*(DET_ASIG[NIVEL]=ASIGNACION!$D241)*(DET_ASIG[ID_ASIG]=ASIGNACION!$G241),"No existe información")))</f>
        <v>No existe información</v>
      </c>
      <c r="BQ241" s="5" t="str" cm="1">
        <f t="array" ref="BQ241">IFERROR(
    TRANSPOSE(
        _xlfn.UNIQUE(
            _xlfn._xlws.FILTER(MAESTRIA_DETALLADO[MAESTRIA],
                ISNUMBER(MATCH(MAESTRIA_DETALLADO[CAMPO_DETALLADO],
                BD241:BP241,0))
            )
        )
    ),IF(BD241="ACTIVIDAD","DOCENCIA",""))</f>
        <v/>
      </c>
      <c r="EA241" s="5" t="str" cm="1">
        <f t="array" ref="EA241:FN241">IF(
    ASIGNACION!I241="SI",
    IFERROR(
        TRANSPOSE(
            _xlfn.UNIQUE(
                _xlfn._xlws.FILTER(EDU_DOCENTE[NOMBRE_DOCENTE],
                    ISNUMBER(MATCH(EDU_DOCENTE[MAESTRIA],
                    BQ241:DY241,0))
                )
            )
        ),
        ""
    ),
    TRANSPOSE(
        _xlfn.UNIQUE(EDU_DOCENTE[NOMBRE_DOCENTE]
        )
    )
)</f>
        <v>ALCIVAR CEDEÑO BEATRIZ ISABEL</v>
      </c>
      <c r="EB241" t="str">
        <v>ALCIVAR VERA GEMA MICHELLE</v>
      </c>
      <c r="EC241" t="str">
        <v>ARAUZ CHAVEZ MARIO ROBERTO</v>
      </c>
      <c r="ED241" t="str">
        <v>BAILON LOURIDO WALTER ALBERTO</v>
      </c>
      <c r="EE241" t="str">
        <v>CALDERERO VILLAGOMEZ ERICK ANTONIO</v>
      </c>
      <c r="EF241" t="str">
        <v>CASTILLO GARCIA PAOLA GERMANIA</v>
      </c>
      <c r="EG241" t="str">
        <v>CEDEÑO CHOEZ PEDRO JAVIER</v>
      </c>
      <c r="EH241" t="str">
        <v>CEVALLOS HOPPE JUAN CARLOS</v>
      </c>
      <c r="EI241" t="str">
        <v>DELGADO CHAVEZ MARIA IRASEMA</v>
      </c>
      <c r="EJ241" t="str">
        <v>DUARTE VALENCIA CRISTHIAN DARIO</v>
      </c>
      <c r="EK241" t="str">
        <v>FORTTY BARBERAN DENNY ALEXANDER</v>
      </c>
      <c r="EL241" t="str">
        <v>GUTIERREZ ZAMBRANO CARMEN EBELINA</v>
      </c>
      <c r="EM241" t="str">
        <v>INTRIAGO MOLINA GEMA VALERIA</v>
      </c>
      <c r="EN241" t="str">
        <v>LINO VELEZ LEONEL LIVINGTON</v>
      </c>
      <c r="EO241" t="str">
        <v>LOOR ALCIVAR MARIA ILIANA</v>
      </c>
      <c r="EP241" t="str">
        <v>LOOR MIELES TANIA JACQUELINE</v>
      </c>
      <c r="EQ241" t="str">
        <v>LOOR SOLORZANO ROSA MARIA</v>
      </c>
      <c r="ER241" t="str">
        <v>LOPEZ DELGADO RONALD MAURICIO</v>
      </c>
      <c r="ES241" t="str">
        <v>MACIAS VALENCIA DAVID GABRIEL</v>
      </c>
      <c r="ET241" t="str">
        <v>MENDOZA ZAMORA WALTER MANUEL</v>
      </c>
      <c r="EU241" t="str">
        <v>MOLINA CEVALLOS MARIA LORENA</v>
      </c>
      <c r="EV241" t="str">
        <v>MURILLO DELGADO ISAAC GABRIEL</v>
      </c>
      <c r="EW241" t="str">
        <v>ANGULO MURILLO NAVIRA GISSELA</v>
      </c>
      <c r="EX241" t="str">
        <v>OCHOA SOLEDISPA NESTOR IVAN</v>
      </c>
      <c r="EY241" t="str">
        <v>PARRAGA FRANCO SILVANA MARIELA</v>
      </c>
      <c r="EZ241" t="str">
        <v>PINARGOTE VASQUEZ NANCY FABIOLA</v>
      </c>
      <c r="FA241" t="str">
        <v>REYES VELEZ PEDRO ENRIQUE</v>
      </c>
      <c r="FB241" t="str">
        <v>SAN ANDRES HORMAZA DALLAS CECILIA</v>
      </c>
      <c r="FC241" t="str">
        <v>SORNOZA ZAMORA JUAN CARLOS</v>
      </c>
      <c r="FD241" t="str">
        <v>TOMALA PINTO JESUS JACINTO</v>
      </c>
      <c r="FE241" t="str">
        <v>VALLE JARAMILLO SILVIA ARACELY</v>
      </c>
      <c r="FF241" t="str">
        <v>VELÁSQUEZ BRAVO IRMA KATHERINE</v>
      </c>
      <c r="FG241" t="str">
        <v>VELEZ MENDOZA LAYSY VALERIA</v>
      </c>
      <c r="FH241" t="str">
        <v>VINUEZA TELLO SHIRLEY ELIZABETH</v>
      </c>
      <c r="FI241" t="str">
        <v>ZAMBRANO ALCIVAR NILDA ISABEL</v>
      </c>
      <c r="FJ241" t="str">
        <v>ZAMBRANO LOOR RITA MAYDA</v>
      </c>
      <c r="FK241" t="str">
        <v>ZAMBRANO VERA MONICA JANETH</v>
      </c>
      <c r="FL241" t="str">
        <v>VERA DELGADO BRYAN ADRIÁN</v>
      </c>
      <c r="FM241" t="str">
        <v>MORAN GONZALES DAVID RENATO</v>
      </c>
      <c r="FN241">
        <v>0</v>
      </c>
    </row>
    <row r="242" spans="1:170" ht="20.25" customHeight="1">
      <c r="A242" s="4" t="str" cm="1">
        <f t="array" ref="A242">TRANSPOSE(_xlfn.UNIQUE(_xlfn._xlws.FILTER(MAE_ASIGNATURA[ID_NIVEL],MAE_ASIGNATURA[ID_CARRERA]=ASIGNACION!$C242,"No existe información")))</f>
        <v>No existe información</v>
      </c>
      <c r="S242" s="4" t="str" cm="1">
        <f t="array" ref="S242">TRANSPOSE(_xlfn.UNIQUE(_xlfn._xlws.FILTER(MAE_ASIGNATURA[NOM_ASIG],(MAE_ASIGNATURA[ID_NIVEL]=ASIGNACION!$D242)*(MAE_ASIGNATURA[ID_CARRERA]=ASIGNACION!$C242),"No existe información")))</f>
        <v>No existe información</v>
      </c>
      <c r="BD242" s="4" t="str" cm="1">
        <f t="array" ref="BD242">TRANSPOSE(_xlfn.UNIQUE(_xlfn._xlws.FILTER(DET_ASIG[DETALLADO],(DET_ASIG[ID_CARRERA]=ASIGNACION!$C242)*(DET_ASIG[NIVEL]=ASIGNACION!$D242)*(DET_ASIG[ID_ASIG]=ASIGNACION!$G242),"No existe información")))</f>
        <v>No existe información</v>
      </c>
      <c r="BQ242" s="5" t="str" cm="1">
        <f t="array" ref="BQ242">IFERROR(
    TRANSPOSE(
        _xlfn.UNIQUE(
            _xlfn._xlws.FILTER(MAESTRIA_DETALLADO[MAESTRIA],
                ISNUMBER(MATCH(MAESTRIA_DETALLADO[CAMPO_DETALLADO],
                BD242:BP242,0))
            )
        )
    ),IF(BD242="ACTIVIDAD","DOCENCIA",""))</f>
        <v/>
      </c>
      <c r="EA242" s="5" t="str" cm="1">
        <f t="array" ref="EA242:FN242">IF(
    ASIGNACION!I242="SI",
    IFERROR(
        TRANSPOSE(
            _xlfn.UNIQUE(
                _xlfn._xlws.FILTER(EDU_DOCENTE[NOMBRE_DOCENTE],
                    ISNUMBER(MATCH(EDU_DOCENTE[MAESTRIA],
                    BQ242:DY242,0))
                )
            )
        ),
        ""
    ),
    TRANSPOSE(
        _xlfn.UNIQUE(EDU_DOCENTE[NOMBRE_DOCENTE]
        )
    )
)</f>
        <v>ALCIVAR CEDEÑO BEATRIZ ISABEL</v>
      </c>
      <c r="EB242" t="str">
        <v>ALCIVAR VERA GEMA MICHELLE</v>
      </c>
      <c r="EC242" t="str">
        <v>ARAUZ CHAVEZ MARIO ROBERTO</v>
      </c>
      <c r="ED242" t="str">
        <v>BAILON LOURIDO WALTER ALBERTO</v>
      </c>
      <c r="EE242" t="str">
        <v>CALDERERO VILLAGOMEZ ERICK ANTONIO</v>
      </c>
      <c r="EF242" t="str">
        <v>CASTILLO GARCIA PAOLA GERMANIA</v>
      </c>
      <c r="EG242" t="str">
        <v>CEDEÑO CHOEZ PEDRO JAVIER</v>
      </c>
      <c r="EH242" t="str">
        <v>CEVALLOS HOPPE JUAN CARLOS</v>
      </c>
      <c r="EI242" t="str">
        <v>DELGADO CHAVEZ MARIA IRASEMA</v>
      </c>
      <c r="EJ242" t="str">
        <v>DUARTE VALENCIA CRISTHIAN DARIO</v>
      </c>
      <c r="EK242" t="str">
        <v>FORTTY BARBERAN DENNY ALEXANDER</v>
      </c>
      <c r="EL242" t="str">
        <v>GUTIERREZ ZAMBRANO CARMEN EBELINA</v>
      </c>
      <c r="EM242" t="str">
        <v>INTRIAGO MOLINA GEMA VALERIA</v>
      </c>
      <c r="EN242" t="str">
        <v>LINO VELEZ LEONEL LIVINGTON</v>
      </c>
      <c r="EO242" t="str">
        <v>LOOR ALCIVAR MARIA ILIANA</v>
      </c>
      <c r="EP242" t="str">
        <v>LOOR MIELES TANIA JACQUELINE</v>
      </c>
      <c r="EQ242" t="str">
        <v>LOOR SOLORZANO ROSA MARIA</v>
      </c>
      <c r="ER242" t="str">
        <v>LOPEZ DELGADO RONALD MAURICIO</v>
      </c>
      <c r="ES242" t="str">
        <v>MACIAS VALENCIA DAVID GABRIEL</v>
      </c>
      <c r="ET242" t="str">
        <v>MENDOZA ZAMORA WALTER MANUEL</v>
      </c>
      <c r="EU242" t="str">
        <v>MOLINA CEVALLOS MARIA LORENA</v>
      </c>
      <c r="EV242" t="str">
        <v>MURILLO DELGADO ISAAC GABRIEL</v>
      </c>
      <c r="EW242" t="str">
        <v>ANGULO MURILLO NAVIRA GISSELA</v>
      </c>
      <c r="EX242" t="str">
        <v>OCHOA SOLEDISPA NESTOR IVAN</v>
      </c>
      <c r="EY242" t="str">
        <v>PARRAGA FRANCO SILVANA MARIELA</v>
      </c>
      <c r="EZ242" t="str">
        <v>PINARGOTE VASQUEZ NANCY FABIOLA</v>
      </c>
      <c r="FA242" t="str">
        <v>REYES VELEZ PEDRO ENRIQUE</v>
      </c>
      <c r="FB242" t="str">
        <v>SAN ANDRES HORMAZA DALLAS CECILIA</v>
      </c>
      <c r="FC242" t="str">
        <v>SORNOZA ZAMORA JUAN CARLOS</v>
      </c>
      <c r="FD242" t="str">
        <v>TOMALA PINTO JESUS JACINTO</v>
      </c>
      <c r="FE242" t="str">
        <v>VALLE JARAMILLO SILVIA ARACELY</v>
      </c>
      <c r="FF242" t="str">
        <v>VELÁSQUEZ BRAVO IRMA KATHERINE</v>
      </c>
      <c r="FG242" t="str">
        <v>VELEZ MENDOZA LAYSY VALERIA</v>
      </c>
      <c r="FH242" t="str">
        <v>VINUEZA TELLO SHIRLEY ELIZABETH</v>
      </c>
      <c r="FI242" t="str">
        <v>ZAMBRANO ALCIVAR NILDA ISABEL</v>
      </c>
      <c r="FJ242" t="str">
        <v>ZAMBRANO LOOR RITA MAYDA</v>
      </c>
      <c r="FK242" t="str">
        <v>ZAMBRANO VERA MONICA JANETH</v>
      </c>
      <c r="FL242" t="str">
        <v>VERA DELGADO BRYAN ADRIÁN</v>
      </c>
      <c r="FM242" t="str">
        <v>MORAN GONZALES DAVID RENATO</v>
      </c>
      <c r="FN242">
        <v>0</v>
      </c>
    </row>
    <row r="243" spans="1:170" ht="20.25" customHeight="1">
      <c r="A243" s="4" t="str" cm="1">
        <f t="array" ref="A243">TRANSPOSE(_xlfn.UNIQUE(_xlfn._xlws.FILTER(MAE_ASIGNATURA[ID_NIVEL],MAE_ASIGNATURA[ID_CARRERA]=ASIGNACION!$C243,"No existe información")))</f>
        <v>No existe información</v>
      </c>
      <c r="S243" s="4" t="str" cm="1">
        <f t="array" ref="S243">TRANSPOSE(_xlfn.UNIQUE(_xlfn._xlws.FILTER(MAE_ASIGNATURA[NOM_ASIG],(MAE_ASIGNATURA[ID_NIVEL]=ASIGNACION!$D243)*(MAE_ASIGNATURA[ID_CARRERA]=ASIGNACION!$C243),"No existe información")))</f>
        <v>No existe información</v>
      </c>
      <c r="BD243" s="4" t="str" cm="1">
        <f t="array" ref="BD243">TRANSPOSE(_xlfn.UNIQUE(_xlfn._xlws.FILTER(DET_ASIG[DETALLADO],(DET_ASIG[ID_CARRERA]=ASIGNACION!$C243)*(DET_ASIG[NIVEL]=ASIGNACION!$D243)*(DET_ASIG[ID_ASIG]=ASIGNACION!$G243),"No existe información")))</f>
        <v>No existe información</v>
      </c>
      <c r="BQ243" s="5" t="str" cm="1">
        <f t="array" ref="BQ243">IFERROR(
    TRANSPOSE(
        _xlfn.UNIQUE(
            _xlfn._xlws.FILTER(MAESTRIA_DETALLADO[MAESTRIA],
                ISNUMBER(MATCH(MAESTRIA_DETALLADO[CAMPO_DETALLADO],
                BD243:BP243,0))
            )
        )
    ),IF(BD243="ACTIVIDAD","DOCENCIA",""))</f>
        <v/>
      </c>
      <c r="EA243" s="5" t="str" cm="1">
        <f t="array" ref="EA243:FN243">IF(
    ASIGNACION!I243="SI",
    IFERROR(
        TRANSPOSE(
            _xlfn.UNIQUE(
                _xlfn._xlws.FILTER(EDU_DOCENTE[NOMBRE_DOCENTE],
                    ISNUMBER(MATCH(EDU_DOCENTE[MAESTRIA],
                    BQ243:DY243,0))
                )
            )
        ),
        ""
    ),
    TRANSPOSE(
        _xlfn.UNIQUE(EDU_DOCENTE[NOMBRE_DOCENTE]
        )
    )
)</f>
        <v>ALCIVAR CEDEÑO BEATRIZ ISABEL</v>
      </c>
      <c r="EB243" t="str">
        <v>ALCIVAR VERA GEMA MICHELLE</v>
      </c>
      <c r="EC243" t="str">
        <v>ARAUZ CHAVEZ MARIO ROBERTO</v>
      </c>
      <c r="ED243" t="str">
        <v>BAILON LOURIDO WALTER ALBERTO</v>
      </c>
      <c r="EE243" t="str">
        <v>CALDERERO VILLAGOMEZ ERICK ANTONIO</v>
      </c>
      <c r="EF243" t="str">
        <v>CASTILLO GARCIA PAOLA GERMANIA</v>
      </c>
      <c r="EG243" t="str">
        <v>CEDEÑO CHOEZ PEDRO JAVIER</v>
      </c>
      <c r="EH243" t="str">
        <v>CEVALLOS HOPPE JUAN CARLOS</v>
      </c>
      <c r="EI243" t="str">
        <v>DELGADO CHAVEZ MARIA IRASEMA</v>
      </c>
      <c r="EJ243" t="str">
        <v>DUARTE VALENCIA CRISTHIAN DARIO</v>
      </c>
      <c r="EK243" t="str">
        <v>FORTTY BARBERAN DENNY ALEXANDER</v>
      </c>
      <c r="EL243" t="str">
        <v>GUTIERREZ ZAMBRANO CARMEN EBELINA</v>
      </c>
      <c r="EM243" t="str">
        <v>INTRIAGO MOLINA GEMA VALERIA</v>
      </c>
      <c r="EN243" t="str">
        <v>LINO VELEZ LEONEL LIVINGTON</v>
      </c>
      <c r="EO243" t="str">
        <v>LOOR ALCIVAR MARIA ILIANA</v>
      </c>
      <c r="EP243" t="str">
        <v>LOOR MIELES TANIA JACQUELINE</v>
      </c>
      <c r="EQ243" t="str">
        <v>LOOR SOLORZANO ROSA MARIA</v>
      </c>
      <c r="ER243" t="str">
        <v>LOPEZ DELGADO RONALD MAURICIO</v>
      </c>
      <c r="ES243" t="str">
        <v>MACIAS VALENCIA DAVID GABRIEL</v>
      </c>
      <c r="ET243" t="str">
        <v>MENDOZA ZAMORA WALTER MANUEL</v>
      </c>
      <c r="EU243" t="str">
        <v>MOLINA CEVALLOS MARIA LORENA</v>
      </c>
      <c r="EV243" t="str">
        <v>MURILLO DELGADO ISAAC GABRIEL</v>
      </c>
      <c r="EW243" t="str">
        <v>ANGULO MURILLO NAVIRA GISSELA</v>
      </c>
      <c r="EX243" t="str">
        <v>OCHOA SOLEDISPA NESTOR IVAN</v>
      </c>
      <c r="EY243" t="str">
        <v>PARRAGA FRANCO SILVANA MARIELA</v>
      </c>
      <c r="EZ243" t="str">
        <v>PINARGOTE VASQUEZ NANCY FABIOLA</v>
      </c>
      <c r="FA243" t="str">
        <v>REYES VELEZ PEDRO ENRIQUE</v>
      </c>
      <c r="FB243" t="str">
        <v>SAN ANDRES HORMAZA DALLAS CECILIA</v>
      </c>
      <c r="FC243" t="str">
        <v>SORNOZA ZAMORA JUAN CARLOS</v>
      </c>
      <c r="FD243" t="str">
        <v>TOMALA PINTO JESUS JACINTO</v>
      </c>
      <c r="FE243" t="str">
        <v>VALLE JARAMILLO SILVIA ARACELY</v>
      </c>
      <c r="FF243" t="str">
        <v>VELÁSQUEZ BRAVO IRMA KATHERINE</v>
      </c>
      <c r="FG243" t="str">
        <v>VELEZ MENDOZA LAYSY VALERIA</v>
      </c>
      <c r="FH243" t="str">
        <v>VINUEZA TELLO SHIRLEY ELIZABETH</v>
      </c>
      <c r="FI243" t="str">
        <v>ZAMBRANO ALCIVAR NILDA ISABEL</v>
      </c>
      <c r="FJ243" t="str">
        <v>ZAMBRANO LOOR RITA MAYDA</v>
      </c>
      <c r="FK243" t="str">
        <v>ZAMBRANO VERA MONICA JANETH</v>
      </c>
      <c r="FL243" t="str">
        <v>VERA DELGADO BRYAN ADRIÁN</v>
      </c>
      <c r="FM243" t="str">
        <v>MORAN GONZALES DAVID RENATO</v>
      </c>
      <c r="FN243">
        <v>0</v>
      </c>
    </row>
    <row r="244" spans="1:170" ht="20.25" customHeight="1">
      <c r="A244" s="4" t="str" cm="1">
        <f t="array" ref="A244">TRANSPOSE(_xlfn.UNIQUE(_xlfn._xlws.FILTER(MAE_ASIGNATURA[ID_NIVEL],MAE_ASIGNATURA[ID_CARRERA]=ASIGNACION!$C244,"No existe información")))</f>
        <v>No existe información</v>
      </c>
      <c r="S244" s="4" t="str" cm="1">
        <f t="array" ref="S244">TRANSPOSE(_xlfn.UNIQUE(_xlfn._xlws.FILTER(MAE_ASIGNATURA[NOM_ASIG],(MAE_ASIGNATURA[ID_NIVEL]=ASIGNACION!$D244)*(MAE_ASIGNATURA[ID_CARRERA]=ASIGNACION!$C244),"No existe información")))</f>
        <v>No existe información</v>
      </c>
      <c r="BD244" s="4" t="str" cm="1">
        <f t="array" ref="BD244">TRANSPOSE(_xlfn.UNIQUE(_xlfn._xlws.FILTER(DET_ASIG[DETALLADO],(DET_ASIG[ID_CARRERA]=ASIGNACION!$C244)*(DET_ASIG[NIVEL]=ASIGNACION!$D244)*(DET_ASIG[ID_ASIG]=ASIGNACION!$G244),"No existe información")))</f>
        <v>No existe información</v>
      </c>
      <c r="BQ244" s="5" t="str" cm="1">
        <f t="array" ref="BQ244">IFERROR(
    TRANSPOSE(
        _xlfn.UNIQUE(
            _xlfn._xlws.FILTER(MAESTRIA_DETALLADO[MAESTRIA],
                ISNUMBER(MATCH(MAESTRIA_DETALLADO[CAMPO_DETALLADO],
                BD244:BP244,0))
            )
        )
    ),IF(BD244="ACTIVIDAD","DOCENCIA",""))</f>
        <v/>
      </c>
      <c r="EA244" s="5" t="str" cm="1">
        <f t="array" ref="EA244:FN244">IF(
    ASIGNACION!I244="SI",
    IFERROR(
        TRANSPOSE(
            _xlfn.UNIQUE(
                _xlfn._xlws.FILTER(EDU_DOCENTE[NOMBRE_DOCENTE],
                    ISNUMBER(MATCH(EDU_DOCENTE[MAESTRIA],
                    BQ244:DY244,0))
                )
            )
        ),
        ""
    ),
    TRANSPOSE(
        _xlfn.UNIQUE(EDU_DOCENTE[NOMBRE_DOCENTE]
        )
    )
)</f>
        <v>ALCIVAR CEDEÑO BEATRIZ ISABEL</v>
      </c>
      <c r="EB244" t="str">
        <v>ALCIVAR VERA GEMA MICHELLE</v>
      </c>
      <c r="EC244" t="str">
        <v>ARAUZ CHAVEZ MARIO ROBERTO</v>
      </c>
      <c r="ED244" t="str">
        <v>BAILON LOURIDO WALTER ALBERTO</v>
      </c>
      <c r="EE244" t="str">
        <v>CALDERERO VILLAGOMEZ ERICK ANTONIO</v>
      </c>
      <c r="EF244" t="str">
        <v>CASTILLO GARCIA PAOLA GERMANIA</v>
      </c>
      <c r="EG244" t="str">
        <v>CEDEÑO CHOEZ PEDRO JAVIER</v>
      </c>
      <c r="EH244" t="str">
        <v>CEVALLOS HOPPE JUAN CARLOS</v>
      </c>
      <c r="EI244" t="str">
        <v>DELGADO CHAVEZ MARIA IRASEMA</v>
      </c>
      <c r="EJ244" t="str">
        <v>DUARTE VALENCIA CRISTHIAN DARIO</v>
      </c>
      <c r="EK244" t="str">
        <v>FORTTY BARBERAN DENNY ALEXANDER</v>
      </c>
      <c r="EL244" t="str">
        <v>GUTIERREZ ZAMBRANO CARMEN EBELINA</v>
      </c>
      <c r="EM244" t="str">
        <v>INTRIAGO MOLINA GEMA VALERIA</v>
      </c>
      <c r="EN244" t="str">
        <v>LINO VELEZ LEONEL LIVINGTON</v>
      </c>
      <c r="EO244" t="str">
        <v>LOOR ALCIVAR MARIA ILIANA</v>
      </c>
      <c r="EP244" t="str">
        <v>LOOR MIELES TANIA JACQUELINE</v>
      </c>
      <c r="EQ244" t="str">
        <v>LOOR SOLORZANO ROSA MARIA</v>
      </c>
      <c r="ER244" t="str">
        <v>LOPEZ DELGADO RONALD MAURICIO</v>
      </c>
      <c r="ES244" t="str">
        <v>MACIAS VALENCIA DAVID GABRIEL</v>
      </c>
      <c r="ET244" t="str">
        <v>MENDOZA ZAMORA WALTER MANUEL</v>
      </c>
      <c r="EU244" t="str">
        <v>MOLINA CEVALLOS MARIA LORENA</v>
      </c>
      <c r="EV244" t="str">
        <v>MURILLO DELGADO ISAAC GABRIEL</v>
      </c>
      <c r="EW244" t="str">
        <v>ANGULO MURILLO NAVIRA GISSELA</v>
      </c>
      <c r="EX244" t="str">
        <v>OCHOA SOLEDISPA NESTOR IVAN</v>
      </c>
      <c r="EY244" t="str">
        <v>PARRAGA FRANCO SILVANA MARIELA</v>
      </c>
      <c r="EZ244" t="str">
        <v>PINARGOTE VASQUEZ NANCY FABIOLA</v>
      </c>
      <c r="FA244" t="str">
        <v>REYES VELEZ PEDRO ENRIQUE</v>
      </c>
      <c r="FB244" t="str">
        <v>SAN ANDRES HORMAZA DALLAS CECILIA</v>
      </c>
      <c r="FC244" t="str">
        <v>SORNOZA ZAMORA JUAN CARLOS</v>
      </c>
      <c r="FD244" t="str">
        <v>TOMALA PINTO JESUS JACINTO</v>
      </c>
      <c r="FE244" t="str">
        <v>VALLE JARAMILLO SILVIA ARACELY</v>
      </c>
      <c r="FF244" t="str">
        <v>VELÁSQUEZ BRAVO IRMA KATHERINE</v>
      </c>
      <c r="FG244" t="str">
        <v>VELEZ MENDOZA LAYSY VALERIA</v>
      </c>
      <c r="FH244" t="str">
        <v>VINUEZA TELLO SHIRLEY ELIZABETH</v>
      </c>
      <c r="FI244" t="str">
        <v>ZAMBRANO ALCIVAR NILDA ISABEL</v>
      </c>
      <c r="FJ244" t="str">
        <v>ZAMBRANO LOOR RITA MAYDA</v>
      </c>
      <c r="FK244" t="str">
        <v>ZAMBRANO VERA MONICA JANETH</v>
      </c>
      <c r="FL244" t="str">
        <v>VERA DELGADO BRYAN ADRIÁN</v>
      </c>
      <c r="FM244" t="str">
        <v>MORAN GONZALES DAVID RENATO</v>
      </c>
      <c r="FN244">
        <v>0</v>
      </c>
    </row>
    <row r="245" spans="1:170" ht="20.25" customHeight="1">
      <c r="A245" s="4" t="str" cm="1">
        <f t="array" ref="A245">TRANSPOSE(_xlfn.UNIQUE(_xlfn._xlws.FILTER(MAE_ASIGNATURA[ID_NIVEL],MAE_ASIGNATURA[ID_CARRERA]=ASIGNACION!$C245,"No existe información")))</f>
        <v>No existe información</v>
      </c>
      <c r="S245" s="4" t="str" cm="1">
        <f t="array" ref="S245">TRANSPOSE(_xlfn.UNIQUE(_xlfn._xlws.FILTER(MAE_ASIGNATURA[NOM_ASIG],(MAE_ASIGNATURA[ID_NIVEL]=ASIGNACION!$D245)*(MAE_ASIGNATURA[ID_CARRERA]=ASIGNACION!$C245),"No existe información")))</f>
        <v>No existe información</v>
      </c>
      <c r="BD245" s="4" t="str" cm="1">
        <f t="array" ref="BD245">TRANSPOSE(_xlfn.UNIQUE(_xlfn._xlws.FILTER(DET_ASIG[DETALLADO],(DET_ASIG[ID_CARRERA]=ASIGNACION!$C245)*(DET_ASIG[NIVEL]=ASIGNACION!$D245)*(DET_ASIG[ID_ASIG]=ASIGNACION!$G245),"No existe información")))</f>
        <v>No existe información</v>
      </c>
      <c r="BQ245" s="5" t="str" cm="1">
        <f t="array" ref="BQ245">IFERROR(
    TRANSPOSE(
        _xlfn.UNIQUE(
            _xlfn._xlws.FILTER(MAESTRIA_DETALLADO[MAESTRIA],
                ISNUMBER(MATCH(MAESTRIA_DETALLADO[CAMPO_DETALLADO],
                BD245:BP245,0))
            )
        )
    ),IF(BD245="ACTIVIDAD","DOCENCIA",""))</f>
        <v/>
      </c>
      <c r="EA245" s="5" t="str" cm="1">
        <f t="array" ref="EA245:FN245">IF(
    ASIGNACION!I245="SI",
    IFERROR(
        TRANSPOSE(
            _xlfn.UNIQUE(
                _xlfn._xlws.FILTER(EDU_DOCENTE[NOMBRE_DOCENTE],
                    ISNUMBER(MATCH(EDU_DOCENTE[MAESTRIA],
                    BQ245:DY245,0))
                )
            )
        ),
        ""
    ),
    TRANSPOSE(
        _xlfn.UNIQUE(EDU_DOCENTE[NOMBRE_DOCENTE]
        )
    )
)</f>
        <v>ALCIVAR CEDEÑO BEATRIZ ISABEL</v>
      </c>
      <c r="EB245" t="str">
        <v>ALCIVAR VERA GEMA MICHELLE</v>
      </c>
      <c r="EC245" t="str">
        <v>ARAUZ CHAVEZ MARIO ROBERTO</v>
      </c>
      <c r="ED245" t="str">
        <v>BAILON LOURIDO WALTER ALBERTO</v>
      </c>
      <c r="EE245" t="str">
        <v>CALDERERO VILLAGOMEZ ERICK ANTONIO</v>
      </c>
      <c r="EF245" t="str">
        <v>CASTILLO GARCIA PAOLA GERMANIA</v>
      </c>
      <c r="EG245" t="str">
        <v>CEDEÑO CHOEZ PEDRO JAVIER</v>
      </c>
      <c r="EH245" t="str">
        <v>CEVALLOS HOPPE JUAN CARLOS</v>
      </c>
      <c r="EI245" t="str">
        <v>DELGADO CHAVEZ MARIA IRASEMA</v>
      </c>
      <c r="EJ245" t="str">
        <v>DUARTE VALENCIA CRISTHIAN DARIO</v>
      </c>
      <c r="EK245" t="str">
        <v>FORTTY BARBERAN DENNY ALEXANDER</v>
      </c>
      <c r="EL245" t="str">
        <v>GUTIERREZ ZAMBRANO CARMEN EBELINA</v>
      </c>
      <c r="EM245" t="str">
        <v>INTRIAGO MOLINA GEMA VALERIA</v>
      </c>
      <c r="EN245" t="str">
        <v>LINO VELEZ LEONEL LIVINGTON</v>
      </c>
      <c r="EO245" t="str">
        <v>LOOR ALCIVAR MARIA ILIANA</v>
      </c>
      <c r="EP245" t="str">
        <v>LOOR MIELES TANIA JACQUELINE</v>
      </c>
      <c r="EQ245" t="str">
        <v>LOOR SOLORZANO ROSA MARIA</v>
      </c>
      <c r="ER245" t="str">
        <v>LOPEZ DELGADO RONALD MAURICIO</v>
      </c>
      <c r="ES245" t="str">
        <v>MACIAS VALENCIA DAVID GABRIEL</v>
      </c>
      <c r="ET245" t="str">
        <v>MENDOZA ZAMORA WALTER MANUEL</v>
      </c>
      <c r="EU245" t="str">
        <v>MOLINA CEVALLOS MARIA LORENA</v>
      </c>
      <c r="EV245" t="str">
        <v>MURILLO DELGADO ISAAC GABRIEL</v>
      </c>
      <c r="EW245" t="str">
        <v>ANGULO MURILLO NAVIRA GISSELA</v>
      </c>
      <c r="EX245" t="str">
        <v>OCHOA SOLEDISPA NESTOR IVAN</v>
      </c>
      <c r="EY245" t="str">
        <v>PARRAGA FRANCO SILVANA MARIELA</v>
      </c>
      <c r="EZ245" t="str">
        <v>PINARGOTE VASQUEZ NANCY FABIOLA</v>
      </c>
      <c r="FA245" t="str">
        <v>REYES VELEZ PEDRO ENRIQUE</v>
      </c>
      <c r="FB245" t="str">
        <v>SAN ANDRES HORMAZA DALLAS CECILIA</v>
      </c>
      <c r="FC245" t="str">
        <v>SORNOZA ZAMORA JUAN CARLOS</v>
      </c>
      <c r="FD245" t="str">
        <v>TOMALA PINTO JESUS JACINTO</v>
      </c>
      <c r="FE245" t="str">
        <v>VALLE JARAMILLO SILVIA ARACELY</v>
      </c>
      <c r="FF245" t="str">
        <v>VELÁSQUEZ BRAVO IRMA KATHERINE</v>
      </c>
      <c r="FG245" t="str">
        <v>VELEZ MENDOZA LAYSY VALERIA</v>
      </c>
      <c r="FH245" t="str">
        <v>VINUEZA TELLO SHIRLEY ELIZABETH</v>
      </c>
      <c r="FI245" t="str">
        <v>ZAMBRANO ALCIVAR NILDA ISABEL</v>
      </c>
      <c r="FJ245" t="str">
        <v>ZAMBRANO LOOR RITA MAYDA</v>
      </c>
      <c r="FK245" t="str">
        <v>ZAMBRANO VERA MONICA JANETH</v>
      </c>
      <c r="FL245" t="str">
        <v>VERA DELGADO BRYAN ADRIÁN</v>
      </c>
      <c r="FM245" t="str">
        <v>MORAN GONZALES DAVID RENATO</v>
      </c>
      <c r="FN245">
        <v>0</v>
      </c>
    </row>
    <row r="246" spans="1:170" ht="20.25" customHeight="1">
      <c r="A246" s="4" t="str" cm="1">
        <f t="array" ref="A246">TRANSPOSE(_xlfn.UNIQUE(_xlfn._xlws.FILTER(MAE_ASIGNATURA[ID_NIVEL],MAE_ASIGNATURA[ID_CARRERA]=ASIGNACION!$C246,"No existe información")))</f>
        <v>No existe información</v>
      </c>
      <c r="S246" s="4" t="str" cm="1">
        <f t="array" ref="S246">TRANSPOSE(_xlfn.UNIQUE(_xlfn._xlws.FILTER(MAE_ASIGNATURA[NOM_ASIG],(MAE_ASIGNATURA[ID_NIVEL]=ASIGNACION!$D246)*(MAE_ASIGNATURA[ID_CARRERA]=ASIGNACION!$C246),"No existe información")))</f>
        <v>No existe información</v>
      </c>
      <c r="BD246" s="4" t="str" cm="1">
        <f t="array" ref="BD246">TRANSPOSE(_xlfn.UNIQUE(_xlfn._xlws.FILTER(DET_ASIG[DETALLADO],(DET_ASIG[ID_CARRERA]=ASIGNACION!$C246)*(DET_ASIG[NIVEL]=ASIGNACION!$D246)*(DET_ASIG[ID_ASIG]=ASIGNACION!$G246),"No existe información")))</f>
        <v>No existe información</v>
      </c>
      <c r="BQ246" s="5" t="str" cm="1">
        <f t="array" ref="BQ246">IFERROR(
    TRANSPOSE(
        _xlfn.UNIQUE(
            _xlfn._xlws.FILTER(MAESTRIA_DETALLADO[MAESTRIA],
                ISNUMBER(MATCH(MAESTRIA_DETALLADO[CAMPO_DETALLADO],
                BD246:BP246,0))
            )
        )
    ),IF(BD246="ACTIVIDAD","DOCENCIA",""))</f>
        <v/>
      </c>
      <c r="EA246" s="5" t="str" cm="1">
        <f t="array" ref="EA246:FN246">IF(
    ASIGNACION!I246="SI",
    IFERROR(
        TRANSPOSE(
            _xlfn.UNIQUE(
                _xlfn._xlws.FILTER(EDU_DOCENTE[NOMBRE_DOCENTE],
                    ISNUMBER(MATCH(EDU_DOCENTE[MAESTRIA],
                    BQ246:DY246,0))
                )
            )
        ),
        ""
    ),
    TRANSPOSE(
        _xlfn.UNIQUE(EDU_DOCENTE[NOMBRE_DOCENTE]
        )
    )
)</f>
        <v>ALCIVAR CEDEÑO BEATRIZ ISABEL</v>
      </c>
      <c r="EB246" t="str">
        <v>ALCIVAR VERA GEMA MICHELLE</v>
      </c>
      <c r="EC246" t="str">
        <v>ARAUZ CHAVEZ MARIO ROBERTO</v>
      </c>
      <c r="ED246" t="str">
        <v>BAILON LOURIDO WALTER ALBERTO</v>
      </c>
      <c r="EE246" t="str">
        <v>CALDERERO VILLAGOMEZ ERICK ANTONIO</v>
      </c>
      <c r="EF246" t="str">
        <v>CASTILLO GARCIA PAOLA GERMANIA</v>
      </c>
      <c r="EG246" t="str">
        <v>CEDEÑO CHOEZ PEDRO JAVIER</v>
      </c>
      <c r="EH246" t="str">
        <v>CEVALLOS HOPPE JUAN CARLOS</v>
      </c>
      <c r="EI246" t="str">
        <v>DELGADO CHAVEZ MARIA IRASEMA</v>
      </c>
      <c r="EJ246" t="str">
        <v>DUARTE VALENCIA CRISTHIAN DARIO</v>
      </c>
      <c r="EK246" t="str">
        <v>FORTTY BARBERAN DENNY ALEXANDER</v>
      </c>
      <c r="EL246" t="str">
        <v>GUTIERREZ ZAMBRANO CARMEN EBELINA</v>
      </c>
      <c r="EM246" t="str">
        <v>INTRIAGO MOLINA GEMA VALERIA</v>
      </c>
      <c r="EN246" t="str">
        <v>LINO VELEZ LEONEL LIVINGTON</v>
      </c>
      <c r="EO246" t="str">
        <v>LOOR ALCIVAR MARIA ILIANA</v>
      </c>
      <c r="EP246" t="str">
        <v>LOOR MIELES TANIA JACQUELINE</v>
      </c>
      <c r="EQ246" t="str">
        <v>LOOR SOLORZANO ROSA MARIA</v>
      </c>
      <c r="ER246" t="str">
        <v>LOPEZ DELGADO RONALD MAURICIO</v>
      </c>
      <c r="ES246" t="str">
        <v>MACIAS VALENCIA DAVID GABRIEL</v>
      </c>
      <c r="ET246" t="str">
        <v>MENDOZA ZAMORA WALTER MANUEL</v>
      </c>
      <c r="EU246" t="str">
        <v>MOLINA CEVALLOS MARIA LORENA</v>
      </c>
      <c r="EV246" t="str">
        <v>MURILLO DELGADO ISAAC GABRIEL</v>
      </c>
      <c r="EW246" t="str">
        <v>ANGULO MURILLO NAVIRA GISSELA</v>
      </c>
      <c r="EX246" t="str">
        <v>OCHOA SOLEDISPA NESTOR IVAN</v>
      </c>
      <c r="EY246" t="str">
        <v>PARRAGA FRANCO SILVANA MARIELA</v>
      </c>
      <c r="EZ246" t="str">
        <v>PINARGOTE VASQUEZ NANCY FABIOLA</v>
      </c>
      <c r="FA246" t="str">
        <v>REYES VELEZ PEDRO ENRIQUE</v>
      </c>
      <c r="FB246" t="str">
        <v>SAN ANDRES HORMAZA DALLAS CECILIA</v>
      </c>
      <c r="FC246" t="str">
        <v>SORNOZA ZAMORA JUAN CARLOS</v>
      </c>
      <c r="FD246" t="str">
        <v>TOMALA PINTO JESUS JACINTO</v>
      </c>
      <c r="FE246" t="str">
        <v>VALLE JARAMILLO SILVIA ARACELY</v>
      </c>
      <c r="FF246" t="str">
        <v>VELÁSQUEZ BRAVO IRMA KATHERINE</v>
      </c>
      <c r="FG246" t="str">
        <v>VELEZ MENDOZA LAYSY VALERIA</v>
      </c>
      <c r="FH246" t="str">
        <v>VINUEZA TELLO SHIRLEY ELIZABETH</v>
      </c>
      <c r="FI246" t="str">
        <v>ZAMBRANO ALCIVAR NILDA ISABEL</v>
      </c>
      <c r="FJ246" t="str">
        <v>ZAMBRANO LOOR RITA MAYDA</v>
      </c>
      <c r="FK246" t="str">
        <v>ZAMBRANO VERA MONICA JANETH</v>
      </c>
      <c r="FL246" t="str">
        <v>VERA DELGADO BRYAN ADRIÁN</v>
      </c>
      <c r="FM246" t="str">
        <v>MORAN GONZALES DAVID RENATO</v>
      </c>
      <c r="FN246">
        <v>0</v>
      </c>
    </row>
    <row r="247" spans="1:170" ht="20.25" customHeight="1">
      <c r="A247" s="4" t="str" cm="1">
        <f t="array" ref="A247">TRANSPOSE(_xlfn.UNIQUE(_xlfn._xlws.FILTER(MAE_ASIGNATURA[ID_NIVEL],MAE_ASIGNATURA[ID_CARRERA]=ASIGNACION!$C247,"No existe información")))</f>
        <v>No existe información</v>
      </c>
      <c r="S247" s="4" t="str" cm="1">
        <f t="array" ref="S247">TRANSPOSE(_xlfn.UNIQUE(_xlfn._xlws.FILTER(MAE_ASIGNATURA[NOM_ASIG],(MAE_ASIGNATURA[ID_NIVEL]=ASIGNACION!$D247)*(MAE_ASIGNATURA[ID_CARRERA]=ASIGNACION!$C247),"No existe información")))</f>
        <v>No existe información</v>
      </c>
      <c r="BD247" s="4" t="str" cm="1">
        <f t="array" ref="BD247">TRANSPOSE(_xlfn.UNIQUE(_xlfn._xlws.FILTER(DET_ASIG[DETALLADO],(DET_ASIG[ID_CARRERA]=ASIGNACION!$C247)*(DET_ASIG[NIVEL]=ASIGNACION!$D247)*(DET_ASIG[ID_ASIG]=ASIGNACION!$G247),"No existe información")))</f>
        <v>No existe información</v>
      </c>
      <c r="BQ247" s="5" t="str" cm="1">
        <f t="array" ref="BQ247">IFERROR(
    TRANSPOSE(
        _xlfn.UNIQUE(
            _xlfn._xlws.FILTER(MAESTRIA_DETALLADO[MAESTRIA],
                ISNUMBER(MATCH(MAESTRIA_DETALLADO[CAMPO_DETALLADO],
                BD247:BP247,0))
            )
        )
    ),IF(BD247="ACTIVIDAD","DOCENCIA",""))</f>
        <v/>
      </c>
      <c r="EA247" s="5" t="str" cm="1">
        <f t="array" ref="EA247:FN247">IF(
    ASIGNACION!I247="SI",
    IFERROR(
        TRANSPOSE(
            _xlfn.UNIQUE(
                _xlfn._xlws.FILTER(EDU_DOCENTE[NOMBRE_DOCENTE],
                    ISNUMBER(MATCH(EDU_DOCENTE[MAESTRIA],
                    BQ247:DY247,0))
                )
            )
        ),
        ""
    ),
    TRANSPOSE(
        _xlfn.UNIQUE(EDU_DOCENTE[NOMBRE_DOCENTE]
        )
    )
)</f>
        <v>ALCIVAR CEDEÑO BEATRIZ ISABEL</v>
      </c>
      <c r="EB247" t="str">
        <v>ALCIVAR VERA GEMA MICHELLE</v>
      </c>
      <c r="EC247" t="str">
        <v>ARAUZ CHAVEZ MARIO ROBERTO</v>
      </c>
      <c r="ED247" t="str">
        <v>BAILON LOURIDO WALTER ALBERTO</v>
      </c>
      <c r="EE247" t="str">
        <v>CALDERERO VILLAGOMEZ ERICK ANTONIO</v>
      </c>
      <c r="EF247" t="str">
        <v>CASTILLO GARCIA PAOLA GERMANIA</v>
      </c>
      <c r="EG247" t="str">
        <v>CEDEÑO CHOEZ PEDRO JAVIER</v>
      </c>
      <c r="EH247" t="str">
        <v>CEVALLOS HOPPE JUAN CARLOS</v>
      </c>
      <c r="EI247" t="str">
        <v>DELGADO CHAVEZ MARIA IRASEMA</v>
      </c>
      <c r="EJ247" t="str">
        <v>DUARTE VALENCIA CRISTHIAN DARIO</v>
      </c>
      <c r="EK247" t="str">
        <v>FORTTY BARBERAN DENNY ALEXANDER</v>
      </c>
      <c r="EL247" t="str">
        <v>GUTIERREZ ZAMBRANO CARMEN EBELINA</v>
      </c>
      <c r="EM247" t="str">
        <v>INTRIAGO MOLINA GEMA VALERIA</v>
      </c>
      <c r="EN247" t="str">
        <v>LINO VELEZ LEONEL LIVINGTON</v>
      </c>
      <c r="EO247" t="str">
        <v>LOOR ALCIVAR MARIA ILIANA</v>
      </c>
      <c r="EP247" t="str">
        <v>LOOR MIELES TANIA JACQUELINE</v>
      </c>
      <c r="EQ247" t="str">
        <v>LOOR SOLORZANO ROSA MARIA</v>
      </c>
      <c r="ER247" t="str">
        <v>LOPEZ DELGADO RONALD MAURICIO</v>
      </c>
      <c r="ES247" t="str">
        <v>MACIAS VALENCIA DAVID GABRIEL</v>
      </c>
      <c r="ET247" t="str">
        <v>MENDOZA ZAMORA WALTER MANUEL</v>
      </c>
      <c r="EU247" t="str">
        <v>MOLINA CEVALLOS MARIA LORENA</v>
      </c>
      <c r="EV247" t="str">
        <v>MURILLO DELGADO ISAAC GABRIEL</v>
      </c>
      <c r="EW247" t="str">
        <v>ANGULO MURILLO NAVIRA GISSELA</v>
      </c>
      <c r="EX247" t="str">
        <v>OCHOA SOLEDISPA NESTOR IVAN</v>
      </c>
      <c r="EY247" t="str">
        <v>PARRAGA FRANCO SILVANA MARIELA</v>
      </c>
      <c r="EZ247" t="str">
        <v>PINARGOTE VASQUEZ NANCY FABIOLA</v>
      </c>
      <c r="FA247" t="str">
        <v>REYES VELEZ PEDRO ENRIQUE</v>
      </c>
      <c r="FB247" t="str">
        <v>SAN ANDRES HORMAZA DALLAS CECILIA</v>
      </c>
      <c r="FC247" t="str">
        <v>SORNOZA ZAMORA JUAN CARLOS</v>
      </c>
      <c r="FD247" t="str">
        <v>TOMALA PINTO JESUS JACINTO</v>
      </c>
      <c r="FE247" t="str">
        <v>VALLE JARAMILLO SILVIA ARACELY</v>
      </c>
      <c r="FF247" t="str">
        <v>VELÁSQUEZ BRAVO IRMA KATHERINE</v>
      </c>
      <c r="FG247" t="str">
        <v>VELEZ MENDOZA LAYSY VALERIA</v>
      </c>
      <c r="FH247" t="str">
        <v>VINUEZA TELLO SHIRLEY ELIZABETH</v>
      </c>
      <c r="FI247" t="str">
        <v>ZAMBRANO ALCIVAR NILDA ISABEL</v>
      </c>
      <c r="FJ247" t="str">
        <v>ZAMBRANO LOOR RITA MAYDA</v>
      </c>
      <c r="FK247" t="str">
        <v>ZAMBRANO VERA MONICA JANETH</v>
      </c>
      <c r="FL247" t="str">
        <v>VERA DELGADO BRYAN ADRIÁN</v>
      </c>
      <c r="FM247" t="str">
        <v>MORAN GONZALES DAVID RENATO</v>
      </c>
      <c r="FN247">
        <v>0</v>
      </c>
    </row>
    <row r="248" spans="1:170" ht="20.25" customHeight="1">
      <c r="A248" s="4" t="str" cm="1">
        <f t="array" ref="A248">TRANSPOSE(_xlfn.UNIQUE(_xlfn._xlws.FILTER(MAE_ASIGNATURA[ID_NIVEL],MAE_ASIGNATURA[ID_CARRERA]=ASIGNACION!$C248,"No existe información")))</f>
        <v>No existe información</v>
      </c>
      <c r="S248" s="4" t="str" cm="1">
        <f t="array" ref="S248">TRANSPOSE(_xlfn.UNIQUE(_xlfn._xlws.FILTER(MAE_ASIGNATURA[NOM_ASIG],(MAE_ASIGNATURA[ID_NIVEL]=ASIGNACION!$D248)*(MAE_ASIGNATURA[ID_CARRERA]=ASIGNACION!$C248),"No existe información")))</f>
        <v>No existe información</v>
      </c>
      <c r="BD248" s="4" t="str" cm="1">
        <f t="array" ref="BD248">TRANSPOSE(_xlfn.UNIQUE(_xlfn._xlws.FILTER(DET_ASIG[DETALLADO],(DET_ASIG[ID_CARRERA]=ASIGNACION!$C248)*(DET_ASIG[NIVEL]=ASIGNACION!$D248)*(DET_ASIG[ID_ASIG]=ASIGNACION!$G248),"No existe información")))</f>
        <v>No existe información</v>
      </c>
      <c r="BQ248" s="5" t="str" cm="1">
        <f t="array" ref="BQ248">IFERROR(
    TRANSPOSE(
        _xlfn.UNIQUE(
            _xlfn._xlws.FILTER(MAESTRIA_DETALLADO[MAESTRIA],
                ISNUMBER(MATCH(MAESTRIA_DETALLADO[CAMPO_DETALLADO],
                BD248:BP248,0))
            )
        )
    ),IF(BD248="ACTIVIDAD","DOCENCIA",""))</f>
        <v/>
      </c>
      <c r="EA248" s="5" t="str" cm="1">
        <f t="array" ref="EA248:FN248">IF(
    ASIGNACION!I248="SI",
    IFERROR(
        TRANSPOSE(
            _xlfn.UNIQUE(
                _xlfn._xlws.FILTER(EDU_DOCENTE[NOMBRE_DOCENTE],
                    ISNUMBER(MATCH(EDU_DOCENTE[MAESTRIA],
                    BQ248:DY248,0))
                )
            )
        ),
        ""
    ),
    TRANSPOSE(
        _xlfn.UNIQUE(EDU_DOCENTE[NOMBRE_DOCENTE]
        )
    )
)</f>
        <v>ALCIVAR CEDEÑO BEATRIZ ISABEL</v>
      </c>
      <c r="EB248" t="str">
        <v>ALCIVAR VERA GEMA MICHELLE</v>
      </c>
      <c r="EC248" t="str">
        <v>ARAUZ CHAVEZ MARIO ROBERTO</v>
      </c>
      <c r="ED248" t="str">
        <v>BAILON LOURIDO WALTER ALBERTO</v>
      </c>
      <c r="EE248" t="str">
        <v>CALDERERO VILLAGOMEZ ERICK ANTONIO</v>
      </c>
      <c r="EF248" t="str">
        <v>CASTILLO GARCIA PAOLA GERMANIA</v>
      </c>
      <c r="EG248" t="str">
        <v>CEDEÑO CHOEZ PEDRO JAVIER</v>
      </c>
      <c r="EH248" t="str">
        <v>CEVALLOS HOPPE JUAN CARLOS</v>
      </c>
      <c r="EI248" t="str">
        <v>DELGADO CHAVEZ MARIA IRASEMA</v>
      </c>
      <c r="EJ248" t="str">
        <v>DUARTE VALENCIA CRISTHIAN DARIO</v>
      </c>
      <c r="EK248" t="str">
        <v>FORTTY BARBERAN DENNY ALEXANDER</v>
      </c>
      <c r="EL248" t="str">
        <v>GUTIERREZ ZAMBRANO CARMEN EBELINA</v>
      </c>
      <c r="EM248" t="str">
        <v>INTRIAGO MOLINA GEMA VALERIA</v>
      </c>
      <c r="EN248" t="str">
        <v>LINO VELEZ LEONEL LIVINGTON</v>
      </c>
      <c r="EO248" t="str">
        <v>LOOR ALCIVAR MARIA ILIANA</v>
      </c>
      <c r="EP248" t="str">
        <v>LOOR MIELES TANIA JACQUELINE</v>
      </c>
      <c r="EQ248" t="str">
        <v>LOOR SOLORZANO ROSA MARIA</v>
      </c>
      <c r="ER248" t="str">
        <v>LOPEZ DELGADO RONALD MAURICIO</v>
      </c>
      <c r="ES248" t="str">
        <v>MACIAS VALENCIA DAVID GABRIEL</v>
      </c>
      <c r="ET248" t="str">
        <v>MENDOZA ZAMORA WALTER MANUEL</v>
      </c>
      <c r="EU248" t="str">
        <v>MOLINA CEVALLOS MARIA LORENA</v>
      </c>
      <c r="EV248" t="str">
        <v>MURILLO DELGADO ISAAC GABRIEL</v>
      </c>
      <c r="EW248" t="str">
        <v>ANGULO MURILLO NAVIRA GISSELA</v>
      </c>
      <c r="EX248" t="str">
        <v>OCHOA SOLEDISPA NESTOR IVAN</v>
      </c>
      <c r="EY248" t="str">
        <v>PARRAGA FRANCO SILVANA MARIELA</v>
      </c>
      <c r="EZ248" t="str">
        <v>PINARGOTE VASQUEZ NANCY FABIOLA</v>
      </c>
      <c r="FA248" t="str">
        <v>REYES VELEZ PEDRO ENRIQUE</v>
      </c>
      <c r="FB248" t="str">
        <v>SAN ANDRES HORMAZA DALLAS CECILIA</v>
      </c>
      <c r="FC248" t="str">
        <v>SORNOZA ZAMORA JUAN CARLOS</v>
      </c>
      <c r="FD248" t="str">
        <v>TOMALA PINTO JESUS JACINTO</v>
      </c>
      <c r="FE248" t="str">
        <v>VALLE JARAMILLO SILVIA ARACELY</v>
      </c>
      <c r="FF248" t="str">
        <v>VELÁSQUEZ BRAVO IRMA KATHERINE</v>
      </c>
      <c r="FG248" t="str">
        <v>VELEZ MENDOZA LAYSY VALERIA</v>
      </c>
      <c r="FH248" t="str">
        <v>VINUEZA TELLO SHIRLEY ELIZABETH</v>
      </c>
      <c r="FI248" t="str">
        <v>ZAMBRANO ALCIVAR NILDA ISABEL</v>
      </c>
      <c r="FJ248" t="str">
        <v>ZAMBRANO LOOR RITA MAYDA</v>
      </c>
      <c r="FK248" t="str">
        <v>ZAMBRANO VERA MONICA JANETH</v>
      </c>
      <c r="FL248" t="str">
        <v>VERA DELGADO BRYAN ADRIÁN</v>
      </c>
      <c r="FM248" t="str">
        <v>MORAN GONZALES DAVID RENATO</v>
      </c>
      <c r="FN248">
        <v>0</v>
      </c>
    </row>
    <row r="249" spans="1:170" ht="20.25" customHeight="1">
      <c r="A249" s="4" t="str" cm="1">
        <f t="array" ref="A249">TRANSPOSE(_xlfn.UNIQUE(_xlfn._xlws.FILTER(MAE_ASIGNATURA[ID_NIVEL],MAE_ASIGNATURA[ID_CARRERA]=ASIGNACION!$C249,"No existe información")))</f>
        <v>No existe información</v>
      </c>
      <c r="S249" s="4" t="str" cm="1">
        <f t="array" ref="S249">TRANSPOSE(_xlfn.UNIQUE(_xlfn._xlws.FILTER(MAE_ASIGNATURA[NOM_ASIG],(MAE_ASIGNATURA[ID_NIVEL]=ASIGNACION!$D249)*(MAE_ASIGNATURA[ID_CARRERA]=ASIGNACION!$C249),"No existe información")))</f>
        <v>No existe información</v>
      </c>
      <c r="BD249" s="4" t="str" cm="1">
        <f t="array" ref="BD249">TRANSPOSE(_xlfn.UNIQUE(_xlfn._xlws.FILTER(DET_ASIG[DETALLADO],(DET_ASIG[ID_CARRERA]=ASIGNACION!$C249)*(DET_ASIG[NIVEL]=ASIGNACION!$D249)*(DET_ASIG[ID_ASIG]=ASIGNACION!$G249),"No existe información")))</f>
        <v>No existe información</v>
      </c>
      <c r="BQ249" s="5" t="str" cm="1">
        <f t="array" ref="BQ249">IFERROR(
    TRANSPOSE(
        _xlfn.UNIQUE(
            _xlfn._xlws.FILTER(MAESTRIA_DETALLADO[MAESTRIA],
                ISNUMBER(MATCH(MAESTRIA_DETALLADO[CAMPO_DETALLADO],
                BD249:BP249,0))
            )
        )
    ),IF(BD249="ACTIVIDAD","DOCENCIA",""))</f>
        <v/>
      </c>
      <c r="EA249" s="5" t="str" cm="1">
        <f t="array" ref="EA249:FN249">IF(
    ASIGNACION!I249="SI",
    IFERROR(
        TRANSPOSE(
            _xlfn.UNIQUE(
                _xlfn._xlws.FILTER(EDU_DOCENTE[NOMBRE_DOCENTE],
                    ISNUMBER(MATCH(EDU_DOCENTE[MAESTRIA],
                    BQ249:DY249,0))
                )
            )
        ),
        ""
    ),
    TRANSPOSE(
        _xlfn.UNIQUE(EDU_DOCENTE[NOMBRE_DOCENTE]
        )
    )
)</f>
        <v>ALCIVAR CEDEÑO BEATRIZ ISABEL</v>
      </c>
      <c r="EB249" t="str">
        <v>ALCIVAR VERA GEMA MICHELLE</v>
      </c>
      <c r="EC249" t="str">
        <v>ARAUZ CHAVEZ MARIO ROBERTO</v>
      </c>
      <c r="ED249" t="str">
        <v>BAILON LOURIDO WALTER ALBERTO</v>
      </c>
      <c r="EE249" t="str">
        <v>CALDERERO VILLAGOMEZ ERICK ANTONIO</v>
      </c>
      <c r="EF249" t="str">
        <v>CASTILLO GARCIA PAOLA GERMANIA</v>
      </c>
      <c r="EG249" t="str">
        <v>CEDEÑO CHOEZ PEDRO JAVIER</v>
      </c>
      <c r="EH249" t="str">
        <v>CEVALLOS HOPPE JUAN CARLOS</v>
      </c>
      <c r="EI249" t="str">
        <v>DELGADO CHAVEZ MARIA IRASEMA</v>
      </c>
      <c r="EJ249" t="str">
        <v>DUARTE VALENCIA CRISTHIAN DARIO</v>
      </c>
      <c r="EK249" t="str">
        <v>FORTTY BARBERAN DENNY ALEXANDER</v>
      </c>
      <c r="EL249" t="str">
        <v>GUTIERREZ ZAMBRANO CARMEN EBELINA</v>
      </c>
      <c r="EM249" t="str">
        <v>INTRIAGO MOLINA GEMA VALERIA</v>
      </c>
      <c r="EN249" t="str">
        <v>LINO VELEZ LEONEL LIVINGTON</v>
      </c>
      <c r="EO249" t="str">
        <v>LOOR ALCIVAR MARIA ILIANA</v>
      </c>
      <c r="EP249" t="str">
        <v>LOOR MIELES TANIA JACQUELINE</v>
      </c>
      <c r="EQ249" t="str">
        <v>LOOR SOLORZANO ROSA MARIA</v>
      </c>
      <c r="ER249" t="str">
        <v>LOPEZ DELGADO RONALD MAURICIO</v>
      </c>
      <c r="ES249" t="str">
        <v>MACIAS VALENCIA DAVID GABRIEL</v>
      </c>
      <c r="ET249" t="str">
        <v>MENDOZA ZAMORA WALTER MANUEL</v>
      </c>
      <c r="EU249" t="str">
        <v>MOLINA CEVALLOS MARIA LORENA</v>
      </c>
      <c r="EV249" t="str">
        <v>MURILLO DELGADO ISAAC GABRIEL</v>
      </c>
      <c r="EW249" t="str">
        <v>ANGULO MURILLO NAVIRA GISSELA</v>
      </c>
      <c r="EX249" t="str">
        <v>OCHOA SOLEDISPA NESTOR IVAN</v>
      </c>
      <c r="EY249" t="str">
        <v>PARRAGA FRANCO SILVANA MARIELA</v>
      </c>
      <c r="EZ249" t="str">
        <v>PINARGOTE VASQUEZ NANCY FABIOLA</v>
      </c>
      <c r="FA249" t="str">
        <v>REYES VELEZ PEDRO ENRIQUE</v>
      </c>
      <c r="FB249" t="str">
        <v>SAN ANDRES HORMAZA DALLAS CECILIA</v>
      </c>
      <c r="FC249" t="str">
        <v>SORNOZA ZAMORA JUAN CARLOS</v>
      </c>
      <c r="FD249" t="str">
        <v>TOMALA PINTO JESUS JACINTO</v>
      </c>
      <c r="FE249" t="str">
        <v>VALLE JARAMILLO SILVIA ARACELY</v>
      </c>
      <c r="FF249" t="str">
        <v>VELÁSQUEZ BRAVO IRMA KATHERINE</v>
      </c>
      <c r="FG249" t="str">
        <v>VELEZ MENDOZA LAYSY VALERIA</v>
      </c>
      <c r="FH249" t="str">
        <v>VINUEZA TELLO SHIRLEY ELIZABETH</v>
      </c>
      <c r="FI249" t="str">
        <v>ZAMBRANO ALCIVAR NILDA ISABEL</v>
      </c>
      <c r="FJ249" t="str">
        <v>ZAMBRANO LOOR RITA MAYDA</v>
      </c>
      <c r="FK249" t="str">
        <v>ZAMBRANO VERA MONICA JANETH</v>
      </c>
      <c r="FL249" t="str">
        <v>VERA DELGADO BRYAN ADRIÁN</v>
      </c>
      <c r="FM249" t="str">
        <v>MORAN GONZALES DAVID RENATO</v>
      </c>
      <c r="FN249">
        <v>0</v>
      </c>
    </row>
    <row r="250" spans="1:170" ht="20.25" customHeight="1">
      <c r="A250" s="4" t="str" cm="1">
        <f t="array" ref="A250">TRANSPOSE(_xlfn.UNIQUE(_xlfn._xlws.FILTER(MAE_ASIGNATURA[ID_NIVEL],MAE_ASIGNATURA[ID_CARRERA]=ASIGNACION!$C250,"No existe información")))</f>
        <v>No existe información</v>
      </c>
      <c r="S250" s="4" t="str" cm="1">
        <f t="array" ref="S250">TRANSPOSE(_xlfn.UNIQUE(_xlfn._xlws.FILTER(MAE_ASIGNATURA[NOM_ASIG],(MAE_ASIGNATURA[ID_NIVEL]=ASIGNACION!$D250)*(MAE_ASIGNATURA[ID_CARRERA]=ASIGNACION!$C250),"No existe información")))</f>
        <v>No existe información</v>
      </c>
      <c r="BD250" s="4" t="str" cm="1">
        <f t="array" ref="BD250">TRANSPOSE(_xlfn.UNIQUE(_xlfn._xlws.FILTER(DET_ASIG[DETALLADO],(DET_ASIG[ID_CARRERA]=ASIGNACION!$C250)*(DET_ASIG[NIVEL]=ASIGNACION!$D250)*(DET_ASIG[ID_ASIG]=ASIGNACION!$G250),"No existe información")))</f>
        <v>No existe información</v>
      </c>
      <c r="BQ250" s="5" t="str" cm="1">
        <f t="array" ref="BQ250">IFERROR(
    TRANSPOSE(
        _xlfn.UNIQUE(
            _xlfn._xlws.FILTER(MAESTRIA_DETALLADO[MAESTRIA],
                ISNUMBER(MATCH(MAESTRIA_DETALLADO[CAMPO_DETALLADO],
                BD250:BP250,0))
            )
        )
    ),IF(BD250="ACTIVIDAD","DOCENCIA",""))</f>
        <v/>
      </c>
      <c r="EA250" s="5" t="str" cm="1">
        <f t="array" ref="EA250:FN250">IF(
    ASIGNACION!I250="SI",
    IFERROR(
        TRANSPOSE(
            _xlfn.UNIQUE(
                _xlfn._xlws.FILTER(EDU_DOCENTE[NOMBRE_DOCENTE],
                    ISNUMBER(MATCH(EDU_DOCENTE[MAESTRIA],
                    BQ250:DY250,0))
                )
            )
        ),
        ""
    ),
    TRANSPOSE(
        _xlfn.UNIQUE(EDU_DOCENTE[NOMBRE_DOCENTE]
        )
    )
)</f>
        <v>ALCIVAR CEDEÑO BEATRIZ ISABEL</v>
      </c>
      <c r="EB250" t="str">
        <v>ALCIVAR VERA GEMA MICHELLE</v>
      </c>
      <c r="EC250" t="str">
        <v>ARAUZ CHAVEZ MARIO ROBERTO</v>
      </c>
      <c r="ED250" t="str">
        <v>BAILON LOURIDO WALTER ALBERTO</v>
      </c>
      <c r="EE250" t="str">
        <v>CALDERERO VILLAGOMEZ ERICK ANTONIO</v>
      </c>
      <c r="EF250" t="str">
        <v>CASTILLO GARCIA PAOLA GERMANIA</v>
      </c>
      <c r="EG250" t="str">
        <v>CEDEÑO CHOEZ PEDRO JAVIER</v>
      </c>
      <c r="EH250" t="str">
        <v>CEVALLOS HOPPE JUAN CARLOS</v>
      </c>
      <c r="EI250" t="str">
        <v>DELGADO CHAVEZ MARIA IRASEMA</v>
      </c>
      <c r="EJ250" t="str">
        <v>DUARTE VALENCIA CRISTHIAN DARIO</v>
      </c>
      <c r="EK250" t="str">
        <v>FORTTY BARBERAN DENNY ALEXANDER</v>
      </c>
      <c r="EL250" t="str">
        <v>GUTIERREZ ZAMBRANO CARMEN EBELINA</v>
      </c>
      <c r="EM250" t="str">
        <v>INTRIAGO MOLINA GEMA VALERIA</v>
      </c>
      <c r="EN250" t="str">
        <v>LINO VELEZ LEONEL LIVINGTON</v>
      </c>
      <c r="EO250" t="str">
        <v>LOOR ALCIVAR MARIA ILIANA</v>
      </c>
      <c r="EP250" t="str">
        <v>LOOR MIELES TANIA JACQUELINE</v>
      </c>
      <c r="EQ250" t="str">
        <v>LOOR SOLORZANO ROSA MARIA</v>
      </c>
      <c r="ER250" t="str">
        <v>LOPEZ DELGADO RONALD MAURICIO</v>
      </c>
      <c r="ES250" t="str">
        <v>MACIAS VALENCIA DAVID GABRIEL</v>
      </c>
      <c r="ET250" t="str">
        <v>MENDOZA ZAMORA WALTER MANUEL</v>
      </c>
      <c r="EU250" t="str">
        <v>MOLINA CEVALLOS MARIA LORENA</v>
      </c>
      <c r="EV250" t="str">
        <v>MURILLO DELGADO ISAAC GABRIEL</v>
      </c>
      <c r="EW250" t="str">
        <v>ANGULO MURILLO NAVIRA GISSELA</v>
      </c>
      <c r="EX250" t="str">
        <v>OCHOA SOLEDISPA NESTOR IVAN</v>
      </c>
      <c r="EY250" t="str">
        <v>PARRAGA FRANCO SILVANA MARIELA</v>
      </c>
      <c r="EZ250" t="str">
        <v>PINARGOTE VASQUEZ NANCY FABIOLA</v>
      </c>
      <c r="FA250" t="str">
        <v>REYES VELEZ PEDRO ENRIQUE</v>
      </c>
      <c r="FB250" t="str">
        <v>SAN ANDRES HORMAZA DALLAS CECILIA</v>
      </c>
      <c r="FC250" t="str">
        <v>SORNOZA ZAMORA JUAN CARLOS</v>
      </c>
      <c r="FD250" t="str">
        <v>TOMALA PINTO JESUS JACINTO</v>
      </c>
      <c r="FE250" t="str">
        <v>VALLE JARAMILLO SILVIA ARACELY</v>
      </c>
      <c r="FF250" t="str">
        <v>VELÁSQUEZ BRAVO IRMA KATHERINE</v>
      </c>
      <c r="FG250" t="str">
        <v>VELEZ MENDOZA LAYSY VALERIA</v>
      </c>
      <c r="FH250" t="str">
        <v>VINUEZA TELLO SHIRLEY ELIZABETH</v>
      </c>
      <c r="FI250" t="str">
        <v>ZAMBRANO ALCIVAR NILDA ISABEL</v>
      </c>
      <c r="FJ250" t="str">
        <v>ZAMBRANO LOOR RITA MAYDA</v>
      </c>
      <c r="FK250" t="str">
        <v>ZAMBRANO VERA MONICA JANETH</v>
      </c>
      <c r="FL250" t="str">
        <v>VERA DELGADO BRYAN ADRIÁN</v>
      </c>
      <c r="FM250" t="str">
        <v>MORAN GONZALES DAVID RENATO</v>
      </c>
      <c r="FN250">
        <v>0</v>
      </c>
    </row>
    <row r="251" spans="1:170" ht="20.25" customHeight="1">
      <c r="A251" s="4" t="str" cm="1">
        <f t="array" ref="A251">TRANSPOSE(_xlfn.UNIQUE(_xlfn._xlws.FILTER(MAE_ASIGNATURA[ID_NIVEL],MAE_ASIGNATURA[ID_CARRERA]=ASIGNACION!$C251,"No existe información")))</f>
        <v>No existe información</v>
      </c>
      <c r="S251" s="4" t="str" cm="1">
        <f t="array" ref="S251">TRANSPOSE(_xlfn.UNIQUE(_xlfn._xlws.FILTER(MAE_ASIGNATURA[NOM_ASIG],(MAE_ASIGNATURA[ID_NIVEL]=ASIGNACION!$D251)*(MAE_ASIGNATURA[ID_CARRERA]=ASIGNACION!$C251),"No existe información")))</f>
        <v>No existe información</v>
      </c>
      <c r="BD251" s="4" t="str" cm="1">
        <f t="array" ref="BD251">TRANSPOSE(_xlfn.UNIQUE(_xlfn._xlws.FILTER(DET_ASIG[DETALLADO],(DET_ASIG[ID_CARRERA]=ASIGNACION!$C251)*(DET_ASIG[NIVEL]=ASIGNACION!$D251)*(DET_ASIG[ID_ASIG]=ASIGNACION!$G251),"No existe información")))</f>
        <v>No existe información</v>
      </c>
      <c r="BQ251" s="5" t="str" cm="1">
        <f t="array" ref="BQ251">IFERROR(
    TRANSPOSE(
        _xlfn.UNIQUE(
            _xlfn._xlws.FILTER(MAESTRIA_DETALLADO[MAESTRIA],
                ISNUMBER(MATCH(MAESTRIA_DETALLADO[CAMPO_DETALLADO],
                BD251:BP251,0))
            )
        )
    ),IF(BD251="ACTIVIDAD","DOCENCIA",""))</f>
        <v/>
      </c>
      <c r="EA251" s="5" t="str" cm="1">
        <f t="array" ref="EA251:FN251">IF(
    ASIGNACION!I251="SI",
    IFERROR(
        TRANSPOSE(
            _xlfn.UNIQUE(
                _xlfn._xlws.FILTER(EDU_DOCENTE[NOMBRE_DOCENTE],
                    ISNUMBER(MATCH(EDU_DOCENTE[MAESTRIA],
                    BQ251:DY251,0))
                )
            )
        ),
        ""
    ),
    TRANSPOSE(
        _xlfn.UNIQUE(EDU_DOCENTE[NOMBRE_DOCENTE]
        )
    )
)</f>
        <v>ALCIVAR CEDEÑO BEATRIZ ISABEL</v>
      </c>
      <c r="EB251" t="str">
        <v>ALCIVAR VERA GEMA MICHELLE</v>
      </c>
      <c r="EC251" t="str">
        <v>ARAUZ CHAVEZ MARIO ROBERTO</v>
      </c>
      <c r="ED251" t="str">
        <v>BAILON LOURIDO WALTER ALBERTO</v>
      </c>
      <c r="EE251" t="str">
        <v>CALDERERO VILLAGOMEZ ERICK ANTONIO</v>
      </c>
      <c r="EF251" t="str">
        <v>CASTILLO GARCIA PAOLA GERMANIA</v>
      </c>
      <c r="EG251" t="str">
        <v>CEDEÑO CHOEZ PEDRO JAVIER</v>
      </c>
      <c r="EH251" t="str">
        <v>CEVALLOS HOPPE JUAN CARLOS</v>
      </c>
      <c r="EI251" t="str">
        <v>DELGADO CHAVEZ MARIA IRASEMA</v>
      </c>
      <c r="EJ251" t="str">
        <v>DUARTE VALENCIA CRISTHIAN DARIO</v>
      </c>
      <c r="EK251" t="str">
        <v>FORTTY BARBERAN DENNY ALEXANDER</v>
      </c>
      <c r="EL251" t="str">
        <v>GUTIERREZ ZAMBRANO CARMEN EBELINA</v>
      </c>
      <c r="EM251" t="str">
        <v>INTRIAGO MOLINA GEMA VALERIA</v>
      </c>
      <c r="EN251" t="str">
        <v>LINO VELEZ LEONEL LIVINGTON</v>
      </c>
      <c r="EO251" t="str">
        <v>LOOR ALCIVAR MARIA ILIANA</v>
      </c>
      <c r="EP251" t="str">
        <v>LOOR MIELES TANIA JACQUELINE</v>
      </c>
      <c r="EQ251" t="str">
        <v>LOOR SOLORZANO ROSA MARIA</v>
      </c>
      <c r="ER251" t="str">
        <v>LOPEZ DELGADO RONALD MAURICIO</v>
      </c>
      <c r="ES251" t="str">
        <v>MACIAS VALENCIA DAVID GABRIEL</v>
      </c>
      <c r="ET251" t="str">
        <v>MENDOZA ZAMORA WALTER MANUEL</v>
      </c>
      <c r="EU251" t="str">
        <v>MOLINA CEVALLOS MARIA LORENA</v>
      </c>
      <c r="EV251" t="str">
        <v>MURILLO DELGADO ISAAC GABRIEL</v>
      </c>
      <c r="EW251" t="str">
        <v>ANGULO MURILLO NAVIRA GISSELA</v>
      </c>
      <c r="EX251" t="str">
        <v>OCHOA SOLEDISPA NESTOR IVAN</v>
      </c>
      <c r="EY251" t="str">
        <v>PARRAGA FRANCO SILVANA MARIELA</v>
      </c>
      <c r="EZ251" t="str">
        <v>PINARGOTE VASQUEZ NANCY FABIOLA</v>
      </c>
      <c r="FA251" t="str">
        <v>REYES VELEZ PEDRO ENRIQUE</v>
      </c>
      <c r="FB251" t="str">
        <v>SAN ANDRES HORMAZA DALLAS CECILIA</v>
      </c>
      <c r="FC251" t="str">
        <v>SORNOZA ZAMORA JUAN CARLOS</v>
      </c>
      <c r="FD251" t="str">
        <v>TOMALA PINTO JESUS JACINTO</v>
      </c>
      <c r="FE251" t="str">
        <v>VALLE JARAMILLO SILVIA ARACELY</v>
      </c>
      <c r="FF251" t="str">
        <v>VELÁSQUEZ BRAVO IRMA KATHERINE</v>
      </c>
      <c r="FG251" t="str">
        <v>VELEZ MENDOZA LAYSY VALERIA</v>
      </c>
      <c r="FH251" t="str">
        <v>VINUEZA TELLO SHIRLEY ELIZABETH</v>
      </c>
      <c r="FI251" t="str">
        <v>ZAMBRANO ALCIVAR NILDA ISABEL</v>
      </c>
      <c r="FJ251" t="str">
        <v>ZAMBRANO LOOR RITA MAYDA</v>
      </c>
      <c r="FK251" t="str">
        <v>ZAMBRANO VERA MONICA JANETH</v>
      </c>
      <c r="FL251" t="str">
        <v>VERA DELGADO BRYAN ADRIÁN</v>
      </c>
      <c r="FM251" t="str">
        <v>MORAN GONZALES DAVID RENATO</v>
      </c>
      <c r="FN251">
        <v>0</v>
      </c>
    </row>
    <row r="252" spans="1:170" ht="20.25" customHeight="1">
      <c r="A252" s="4" t="str" cm="1">
        <f t="array" ref="A252">TRANSPOSE(_xlfn.UNIQUE(_xlfn._xlws.FILTER(MAE_ASIGNATURA[ID_NIVEL],MAE_ASIGNATURA[ID_CARRERA]=ASIGNACION!$C252,"No existe información")))</f>
        <v>No existe información</v>
      </c>
      <c r="S252" s="4" t="str" cm="1">
        <f t="array" ref="S252">TRANSPOSE(_xlfn.UNIQUE(_xlfn._xlws.FILTER(MAE_ASIGNATURA[NOM_ASIG],(MAE_ASIGNATURA[ID_NIVEL]=ASIGNACION!$D252)*(MAE_ASIGNATURA[ID_CARRERA]=ASIGNACION!$C252),"No existe información")))</f>
        <v>No existe información</v>
      </c>
      <c r="BD252" s="4" t="str" cm="1">
        <f t="array" ref="BD252">TRANSPOSE(_xlfn.UNIQUE(_xlfn._xlws.FILTER(DET_ASIG[DETALLADO],(DET_ASIG[ID_CARRERA]=ASIGNACION!$C252)*(DET_ASIG[NIVEL]=ASIGNACION!$D252)*(DET_ASIG[ID_ASIG]=ASIGNACION!$G252),"No existe información")))</f>
        <v>No existe información</v>
      </c>
      <c r="BQ252" s="5" t="str" cm="1">
        <f t="array" ref="BQ252">IFERROR(
    TRANSPOSE(
        _xlfn.UNIQUE(
            _xlfn._xlws.FILTER(MAESTRIA_DETALLADO[MAESTRIA],
                ISNUMBER(MATCH(MAESTRIA_DETALLADO[CAMPO_DETALLADO],
                BD252:BP252,0))
            )
        )
    ),IF(BD252="ACTIVIDAD","DOCENCIA",""))</f>
        <v/>
      </c>
      <c r="EA252" s="5" t="str" cm="1">
        <f t="array" ref="EA252:FN252">IF(
    ASIGNACION!I252="SI",
    IFERROR(
        TRANSPOSE(
            _xlfn.UNIQUE(
                _xlfn._xlws.FILTER(EDU_DOCENTE[NOMBRE_DOCENTE],
                    ISNUMBER(MATCH(EDU_DOCENTE[MAESTRIA],
                    BQ252:DY252,0))
                )
            )
        ),
        ""
    ),
    TRANSPOSE(
        _xlfn.UNIQUE(EDU_DOCENTE[NOMBRE_DOCENTE]
        )
    )
)</f>
        <v>ALCIVAR CEDEÑO BEATRIZ ISABEL</v>
      </c>
      <c r="EB252" t="str">
        <v>ALCIVAR VERA GEMA MICHELLE</v>
      </c>
      <c r="EC252" t="str">
        <v>ARAUZ CHAVEZ MARIO ROBERTO</v>
      </c>
      <c r="ED252" t="str">
        <v>BAILON LOURIDO WALTER ALBERTO</v>
      </c>
      <c r="EE252" t="str">
        <v>CALDERERO VILLAGOMEZ ERICK ANTONIO</v>
      </c>
      <c r="EF252" t="str">
        <v>CASTILLO GARCIA PAOLA GERMANIA</v>
      </c>
      <c r="EG252" t="str">
        <v>CEDEÑO CHOEZ PEDRO JAVIER</v>
      </c>
      <c r="EH252" t="str">
        <v>CEVALLOS HOPPE JUAN CARLOS</v>
      </c>
      <c r="EI252" t="str">
        <v>DELGADO CHAVEZ MARIA IRASEMA</v>
      </c>
      <c r="EJ252" t="str">
        <v>DUARTE VALENCIA CRISTHIAN DARIO</v>
      </c>
      <c r="EK252" t="str">
        <v>FORTTY BARBERAN DENNY ALEXANDER</v>
      </c>
      <c r="EL252" t="str">
        <v>GUTIERREZ ZAMBRANO CARMEN EBELINA</v>
      </c>
      <c r="EM252" t="str">
        <v>INTRIAGO MOLINA GEMA VALERIA</v>
      </c>
      <c r="EN252" t="str">
        <v>LINO VELEZ LEONEL LIVINGTON</v>
      </c>
      <c r="EO252" t="str">
        <v>LOOR ALCIVAR MARIA ILIANA</v>
      </c>
      <c r="EP252" t="str">
        <v>LOOR MIELES TANIA JACQUELINE</v>
      </c>
      <c r="EQ252" t="str">
        <v>LOOR SOLORZANO ROSA MARIA</v>
      </c>
      <c r="ER252" t="str">
        <v>LOPEZ DELGADO RONALD MAURICIO</v>
      </c>
      <c r="ES252" t="str">
        <v>MACIAS VALENCIA DAVID GABRIEL</v>
      </c>
      <c r="ET252" t="str">
        <v>MENDOZA ZAMORA WALTER MANUEL</v>
      </c>
      <c r="EU252" t="str">
        <v>MOLINA CEVALLOS MARIA LORENA</v>
      </c>
      <c r="EV252" t="str">
        <v>MURILLO DELGADO ISAAC GABRIEL</v>
      </c>
      <c r="EW252" t="str">
        <v>ANGULO MURILLO NAVIRA GISSELA</v>
      </c>
      <c r="EX252" t="str">
        <v>OCHOA SOLEDISPA NESTOR IVAN</v>
      </c>
      <c r="EY252" t="str">
        <v>PARRAGA FRANCO SILVANA MARIELA</v>
      </c>
      <c r="EZ252" t="str">
        <v>PINARGOTE VASQUEZ NANCY FABIOLA</v>
      </c>
      <c r="FA252" t="str">
        <v>REYES VELEZ PEDRO ENRIQUE</v>
      </c>
      <c r="FB252" t="str">
        <v>SAN ANDRES HORMAZA DALLAS CECILIA</v>
      </c>
      <c r="FC252" t="str">
        <v>SORNOZA ZAMORA JUAN CARLOS</v>
      </c>
      <c r="FD252" t="str">
        <v>TOMALA PINTO JESUS JACINTO</v>
      </c>
      <c r="FE252" t="str">
        <v>VALLE JARAMILLO SILVIA ARACELY</v>
      </c>
      <c r="FF252" t="str">
        <v>VELÁSQUEZ BRAVO IRMA KATHERINE</v>
      </c>
      <c r="FG252" t="str">
        <v>VELEZ MENDOZA LAYSY VALERIA</v>
      </c>
      <c r="FH252" t="str">
        <v>VINUEZA TELLO SHIRLEY ELIZABETH</v>
      </c>
      <c r="FI252" t="str">
        <v>ZAMBRANO ALCIVAR NILDA ISABEL</v>
      </c>
      <c r="FJ252" t="str">
        <v>ZAMBRANO LOOR RITA MAYDA</v>
      </c>
      <c r="FK252" t="str">
        <v>ZAMBRANO VERA MONICA JANETH</v>
      </c>
      <c r="FL252" t="str">
        <v>VERA DELGADO BRYAN ADRIÁN</v>
      </c>
      <c r="FM252" t="str">
        <v>MORAN GONZALES DAVID RENATO</v>
      </c>
      <c r="FN252">
        <v>0</v>
      </c>
    </row>
    <row r="253" spans="1:170" ht="20.25" customHeight="1">
      <c r="A253" s="4" t="str" cm="1">
        <f t="array" ref="A253">TRANSPOSE(_xlfn.UNIQUE(_xlfn._xlws.FILTER(MAE_ASIGNATURA[ID_NIVEL],MAE_ASIGNATURA[ID_CARRERA]=ASIGNACION!$C253,"No existe información")))</f>
        <v>No existe información</v>
      </c>
      <c r="S253" s="4" t="str" cm="1">
        <f t="array" ref="S253">TRANSPOSE(_xlfn.UNIQUE(_xlfn._xlws.FILTER(MAE_ASIGNATURA[NOM_ASIG],(MAE_ASIGNATURA[ID_NIVEL]=ASIGNACION!$D253)*(MAE_ASIGNATURA[ID_CARRERA]=ASIGNACION!$C253),"No existe información")))</f>
        <v>No existe información</v>
      </c>
      <c r="BD253" s="4" t="str" cm="1">
        <f t="array" ref="BD253">TRANSPOSE(_xlfn.UNIQUE(_xlfn._xlws.FILTER(DET_ASIG[DETALLADO],(DET_ASIG[ID_CARRERA]=ASIGNACION!$C253)*(DET_ASIG[NIVEL]=ASIGNACION!$D253)*(DET_ASIG[ID_ASIG]=ASIGNACION!$G253),"No existe información")))</f>
        <v>No existe información</v>
      </c>
      <c r="BQ253" s="5" t="str" cm="1">
        <f t="array" ref="BQ253">IFERROR(
    TRANSPOSE(
        _xlfn.UNIQUE(
            _xlfn._xlws.FILTER(MAESTRIA_DETALLADO[MAESTRIA],
                ISNUMBER(MATCH(MAESTRIA_DETALLADO[CAMPO_DETALLADO],
                BD253:BP253,0))
            )
        )
    ),IF(BD253="ACTIVIDAD","DOCENCIA",""))</f>
        <v/>
      </c>
      <c r="EA253" s="5" t="str" cm="1">
        <f t="array" ref="EA253:FN253">IF(
    ASIGNACION!I253="SI",
    IFERROR(
        TRANSPOSE(
            _xlfn.UNIQUE(
                _xlfn._xlws.FILTER(EDU_DOCENTE[NOMBRE_DOCENTE],
                    ISNUMBER(MATCH(EDU_DOCENTE[MAESTRIA],
                    BQ253:DY253,0))
                )
            )
        ),
        ""
    ),
    TRANSPOSE(
        _xlfn.UNIQUE(EDU_DOCENTE[NOMBRE_DOCENTE]
        )
    )
)</f>
        <v>ALCIVAR CEDEÑO BEATRIZ ISABEL</v>
      </c>
      <c r="EB253" t="str">
        <v>ALCIVAR VERA GEMA MICHELLE</v>
      </c>
      <c r="EC253" t="str">
        <v>ARAUZ CHAVEZ MARIO ROBERTO</v>
      </c>
      <c r="ED253" t="str">
        <v>BAILON LOURIDO WALTER ALBERTO</v>
      </c>
      <c r="EE253" t="str">
        <v>CALDERERO VILLAGOMEZ ERICK ANTONIO</v>
      </c>
      <c r="EF253" t="str">
        <v>CASTILLO GARCIA PAOLA GERMANIA</v>
      </c>
      <c r="EG253" t="str">
        <v>CEDEÑO CHOEZ PEDRO JAVIER</v>
      </c>
      <c r="EH253" t="str">
        <v>CEVALLOS HOPPE JUAN CARLOS</v>
      </c>
      <c r="EI253" t="str">
        <v>DELGADO CHAVEZ MARIA IRASEMA</v>
      </c>
      <c r="EJ253" t="str">
        <v>DUARTE VALENCIA CRISTHIAN DARIO</v>
      </c>
      <c r="EK253" t="str">
        <v>FORTTY BARBERAN DENNY ALEXANDER</v>
      </c>
      <c r="EL253" t="str">
        <v>GUTIERREZ ZAMBRANO CARMEN EBELINA</v>
      </c>
      <c r="EM253" t="str">
        <v>INTRIAGO MOLINA GEMA VALERIA</v>
      </c>
      <c r="EN253" t="str">
        <v>LINO VELEZ LEONEL LIVINGTON</v>
      </c>
      <c r="EO253" t="str">
        <v>LOOR ALCIVAR MARIA ILIANA</v>
      </c>
      <c r="EP253" t="str">
        <v>LOOR MIELES TANIA JACQUELINE</v>
      </c>
      <c r="EQ253" t="str">
        <v>LOOR SOLORZANO ROSA MARIA</v>
      </c>
      <c r="ER253" t="str">
        <v>LOPEZ DELGADO RONALD MAURICIO</v>
      </c>
      <c r="ES253" t="str">
        <v>MACIAS VALENCIA DAVID GABRIEL</v>
      </c>
      <c r="ET253" t="str">
        <v>MENDOZA ZAMORA WALTER MANUEL</v>
      </c>
      <c r="EU253" t="str">
        <v>MOLINA CEVALLOS MARIA LORENA</v>
      </c>
      <c r="EV253" t="str">
        <v>MURILLO DELGADO ISAAC GABRIEL</v>
      </c>
      <c r="EW253" t="str">
        <v>ANGULO MURILLO NAVIRA GISSELA</v>
      </c>
      <c r="EX253" t="str">
        <v>OCHOA SOLEDISPA NESTOR IVAN</v>
      </c>
      <c r="EY253" t="str">
        <v>PARRAGA FRANCO SILVANA MARIELA</v>
      </c>
      <c r="EZ253" t="str">
        <v>PINARGOTE VASQUEZ NANCY FABIOLA</v>
      </c>
      <c r="FA253" t="str">
        <v>REYES VELEZ PEDRO ENRIQUE</v>
      </c>
      <c r="FB253" t="str">
        <v>SAN ANDRES HORMAZA DALLAS CECILIA</v>
      </c>
      <c r="FC253" t="str">
        <v>SORNOZA ZAMORA JUAN CARLOS</v>
      </c>
      <c r="FD253" t="str">
        <v>TOMALA PINTO JESUS JACINTO</v>
      </c>
      <c r="FE253" t="str">
        <v>VALLE JARAMILLO SILVIA ARACELY</v>
      </c>
      <c r="FF253" t="str">
        <v>VELÁSQUEZ BRAVO IRMA KATHERINE</v>
      </c>
      <c r="FG253" t="str">
        <v>VELEZ MENDOZA LAYSY VALERIA</v>
      </c>
      <c r="FH253" t="str">
        <v>VINUEZA TELLO SHIRLEY ELIZABETH</v>
      </c>
      <c r="FI253" t="str">
        <v>ZAMBRANO ALCIVAR NILDA ISABEL</v>
      </c>
      <c r="FJ253" t="str">
        <v>ZAMBRANO LOOR RITA MAYDA</v>
      </c>
      <c r="FK253" t="str">
        <v>ZAMBRANO VERA MONICA JANETH</v>
      </c>
      <c r="FL253" t="str">
        <v>VERA DELGADO BRYAN ADRIÁN</v>
      </c>
      <c r="FM253" t="str">
        <v>MORAN GONZALES DAVID RENATO</v>
      </c>
      <c r="FN253">
        <v>0</v>
      </c>
    </row>
    <row r="254" spans="1:170" ht="20.25" customHeight="1">
      <c r="A254" s="4" t="str" cm="1">
        <f t="array" ref="A254">TRANSPOSE(_xlfn.UNIQUE(_xlfn._xlws.FILTER(MAE_ASIGNATURA[ID_NIVEL],MAE_ASIGNATURA[ID_CARRERA]=ASIGNACION!$C254,"No existe información")))</f>
        <v>No existe información</v>
      </c>
      <c r="S254" s="4" t="str" cm="1">
        <f t="array" ref="S254">TRANSPOSE(_xlfn.UNIQUE(_xlfn._xlws.FILTER(MAE_ASIGNATURA[NOM_ASIG],(MAE_ASIGNATURA[ID_NIVEL]=ASIGNACION!$D254)*(MAE_ASIGNATURA[ID_CARRERA]=ASIGNACION!$C254),"No existe información")))</f>
        <v>No existe información</v>
      </c>
      <c r="BD254" s="4" t="str" cm="1">
        <f t="array" ref="BD254">TRANSPOSE(_xlfn.UNIQUE(_xlfn._xlws.FILTER(DET_ASIG[DETALLADO],(DET_ASIG[ID_CARRERA]=ASIGNACION!$C254)*(DET_ASIG[NIVEL]=ASIGNACION!$D254)*(DET_ASIG[ID_ASIG]=ASIGNACION!$G254),"No existe información")))</f>
        <v>No existe información</v>
      </c>
      <c r="BQ254" s="5" t="str" cm="1">
        <f t="array" ref="BQ254">IFERROR(
    TRANSPOSE(
        _xlfn.UNIQUE(
            _xlfn._xlws.FILTER(MAESTRIA_DETALLADO[MAESTRIA],
                ISNUMBER(MATCH(MAESTRIA_DETALLADO[CAMPO_DETALLADO],
                BD254:BP254,0))
            )
        )
    ),IF(BD254="ACTIVIDAD","DOCENCIA",""))</f>
        <v/>
      </c>
      <c r="EA254" s="5" t="str" cm="1">
        <f t="array" ref="EA254:FN254">IF(
    ASIGNACION!I254="SI",
    IFERROR(
        TRANSPOSE(
            _xlfn.UNIQUE(
                _xlfn._xlws.FILTER(EDU_DOCENTE[NOMBRE_DOCENTE],
                    ISNUMBER(MATCH(EDU_DOCENTE[MAESTRIA],
                    BQ254:DY254,0))
                )
            )
        ),
        ""
    ),
    TRANSPOSE(
        _xlfn.UNIQUE(EDU_DOCENTE[NOMBRE_DOCENTE]
        )
    )
)</f>
        <v>ALCIVAR CEDEÑO BEATRIZ ISABEL</v>
      </c>
      <c r="EB254" t="str">
        <v>ALCIVAR VERA GEMA MICHELLE</v>
      </c>
      <c r="EC254" t="str">
        <v>ARAUZ CHAVEZ MARIO ROBERTO</v>
      </c>
      <c r="ED254" t="str">
        <v>BAILON LOURIDO WALTER ALBERTO</v>
      </c>
      <c r="EE254" t="str">
        <v>CALDERERO VILLAGOMEZ ERICK ANTONIO</v>
      </c>
      <c r="EF254" t="str">
        <v>CASTILLO GARCIA PAOLA GERMANIA</v>
      </c>
      <c r="EG254" t="str">
        <v>CEDEÑO CHOEZ PEDRO JAVIER</v>
      </c>
      <c r="EH254" t="str">
        <v>CEVALLOS HOPPE JUAN CARLOS</v>
      </c>
      <c r="EI254" t="str">
        <v>DELGADO CHAVEZ MARIA IRASEMA</v>
      </c>
      <c r="EJ254" t="str">
        <v>DUARTE VALENCIA CRISTHIAN DARIO</v>
      </c>
      <c r="EK254" t="str">
        <v>FORTTY BARBERAN DENNY ALEXANDER</v>
      </c>
      <c r="EL254" t="str">
        <v>GUTIERREZ ZAMBRANO CARMEN EBELINA</v>
      </c>
      <c r="EM254" t="str">
        <v>INTRIAGO MOLINA GEMA VALERIA</v>
      </c>
      <c r="EN254" t="str">
        <v>LINO VELEZ LEONEL LIVINGTON</v>
      </c>
      <c r="EO254" t="str">
        <v>LOOR ALCIVAR MARIA ILIANA</v>
      </c>
      <c r="EP254" t="str">
        <v>LOOR MIELES TANIA JACQUELINE</v>
      </c>
      <c r="EQ254" t="str">
        <v>LOOR SOLORZANO ROSA MARIA</v>
      </c>
      <c r="ER254" t="str">
        <v>LOPEZ DELGADO RONALD MAURICIO</v>
      </c>
      <c r="ES254" t="str">
        <v>MACIAS VALENCIA DAVID GABRIEL</v>
      </c>
      <c r="ET254" t="str">
        <v>MENDOZA ZAMORA WALTER MANUEL</v>
      </c>
      <c r="EU254" t="str">
        <v>MOLINA CEVALLOS MARIA LORENA</v>
      </c>
      <c r="EV254" t="str">
        <v>MURILLO DELGADO ISAAC GABRIEL</v>
      </c>
      <c r="EW254" t="str">
        <v>ANGULO MURILLO NAVIRA GISSELA</v>
      </c>
      <c r="EX254" t="str">
        <v>OCHOA SOLEDISPA NESTOR IVAN</v>
      </c>
      <c r="EY254" t="str">
        <v>PARRAGA FRANCO SILVANA MARIELA</v>
      </c>
      <c r="EZ254" t="str">
        <v>PINARGOTE VASQUEZ NANCY FABIOLA</v>
      </c>
      <c r="FA254" t="str">
        <v>REYES VELEZ PEDRO ENRIQUE</v>
      </c>
      <c r="FB254" t="str">
        <v>SAN ANDRES HORMAZA DALLAS CECILIA</v>
      </c>
      <c r="FC254" t="str">
        <v>SORNOZA ZAMORA JUAN CARLOS</v>
      </c>
      <c r="FD254" t="str">
        <v>TOMALA PINTO JESUS JACINTO</v>
      </c>
      <c r="FE254" t="str">
        <v>VALLE JARAMILLO SILVIA ARACELY</v>
      </c>
      <c r="FF254" t="str">
        <v>VELÁSQUEZ BRAVO IRMA KATHERINE</v>
      </c>
      <c r="FG254" t="str">
        <v>VELEZ MENDOZA LAYSY VALERIA</v>
      </c>
      <c r="FH254" t="str">
        <v>VINUEZA TELLO SHIRLEY ELIZABETH</v>
      </c>
      <c r="FI254" t="str">
        <v>ZAMBRANO ALCIVAR NILDA ISABEL</v>
      </c>
      <c r="FJ254" t="str">
        <v>ZAMBRANO LOOR RITA MAYDA</v>
      </c>
      <c r="FK254" t="str">
        <v>ZAMBRANO VERA MONICA JANETH</v>
      </c>
      <c r="FL254" t="str">
        <v>VERA DELGADO BRYAN ADRIÁN</v>
      </c>
      <c r="FM254" t="str">
        <v>MORAN GONZALES DAVID RENATO</v>
      </c>
      <c r="FN254">
        <v>0</v>
      </c>
    </row>
    <row r="255" spans="1:170" ht="20.25" customHeight="1">
      <c r="A255" s="4" t="str" cm="1">
        <f t="array" ref="A255">TRANSPOSE(_xlfn.UNIQUE(_xlfn._xlws.FILTER(MAE_ASIGNATURA[ID_NIVEL],MAE_ASIGNATURA[ID_CARRERA]=ASIGNACION!$C255,"No existe información")))</f>
        <v>No existe información</v>
      </c>
      <c r="S255" s="4" t="str" cm="1">
        <f t="array" ref="S255">TRANSPOSE(_xlfn.UNIQUE(_xlfn._xlws.FILTER(MAE_ASIGNATURA[NOM_ASIG],(MAE_ASIGNATURA[ID_NIVEL]=ASIGNACION!$D255)*(MAE_ASIGNATURA[ID_CARRERA]=ASIGNACION!$C255),"No existe información")))</f>
        <v>No existe información</v>
      </c>
      <c r="BD255" s="4" t="str" cm="1">
        <f t="array" ref="BD255">TRANSPOSE(_xlfn.UNIQUE(_xlfn._xlws.FILTER(DET_ASIG[DETALLADO],(DET_ASIG[ID_CARRERA]=ASIGNACION!$C255)*(DET_ASIG[NIVEL]=ASIGNACION!$D255)*(DET_ASIG[ID_ASIG]=ASIGNACION!$G255),"No existe información")))</f>
        <v>No existe información</v>
      </c>
      <c r="BQ255" s="5" t="str" cm="1">
        <f t="array" ref="BQ255">IFERROR(
    TRANSPOSE(
        _xlfn.UNIQUE(
            _xlfn._xlws.FILTER(MAESTRIA_DETALLADO[MAESTRIA],
                ISNUMBER(MATCH(MAESTRIA_DETALLADO[CAMPO_DETALLADO],
                BD255:BP255,0))
            )
        )
    ),IF(BD255="ACTIVIDAD","DOCENCIA",""))</f>
        <v/>
      </c>
      <c r="EA255" s="5" t="str" cm="1">
        <f t="array" ref="EA255:FN255">IF(
    ASIGNACION!I255="SI",
    IFERROR(
        TRANSPOSE(
            _xlfn.UNIQUE(
                _xlfn._xlws.FILTER(EDU_DOCENTE[NOMBRE_DOCENTE],
                    ISNUMBER(MATCH(EDU_DOCENTE[MAESTRIA],
                    BQ255:DY255,0))
                )
            )
        ),
        ""
    ),
    TRANSPOSE(
        _xlfn.UNIQUE(EDU_DOCENTE[NOMBRE_DOCENTE]
        )
    )
)</f>
        <v>ALCIVAR CEDEÑO BEATRIZ ISABEL</v>
      </c>
      <c r="EB255" t="str">
        <v>ALCIVAR VERA GEMA MICHELLE</v>
      </c>
      <c r="EC255" t="str">
        <v>ARAUZ CHAVEZ MARIO ROBERTO</v>
      </c>
      <c r="ED255" t="str">
        <v>BAILON LOURIDO WALTER ALBERTO</v>
      </c>
      <c r="EE255" t="str">
        <v>CALDERERO VILLAGOMEZ ERICK ANTONIO</v>
      </c>
      <c r="EF255" t="str">
        <v>CASTILLO GARCIA PAOLA GERMANIA</v>
      </c>
      <c r="EG255" t="str">
        <v>CEDEÑO CHOEZ PEDRO JAVIER</v>
      </c>
      <c r="EH255" t="str">
        <v>CEVALLOS HOPPE JUAN CARLOS</v>
      </c>
      <c r="EI255" t="str">
        <v>DELGADO CHAVEZ MARIA IRASEMA</v>
      </c>
      <c r="EJ255" t="str">
        <v>DUARTE VALENCIA CRISTHIAN DARIO</v>
      </c>
      <c r="EK255" t="str">
        <v>FORTTY BARBERAN DENNY ALEXANDER</v>
      </c>
      <c r="EL255" t="str">
        <v>GUTIERREZ ZAMBRANO CARMEN EBELINA</v>
      </c>
      <c r="EM255" t="str">
        <v>INTRIAGO MOLINA GEMA VALERIA</v>
      </c>
      <c r="EN255" t="str">
        <v>LINO VELEZ LEONEL LIVINGTON</v>
      </c>
      <c r="EO255" t="str">
        <v>LOOR ALCIVAR MARIA ILIANA</v>
      </c>
      <c r="EP255" t="str">
        <v>LOOR MIELES TANIA JACQUELINE</v>
      </c>
      <c r="EQ255" t="str">
        <v>LOOR SOLORZANO ROSA MARIA</v>
      </c>
      <c r="ER255" t="str">
        <v>LOPEZ DELGADO RONALD MAURICIO</v>
      </c>
      <c r="ES255" t="str">
        <v>MACIAS VALENCIA DAVID GABRIEL</v>
      </c>
      <c r="ET255" t="str">
        <v>MENDOZA ZAMORA WALTER MANUEL</v>
      </c>
      <c r="EU255" t="str">
        <v>MOLINA CEVALLOS MARIA LORENA</v>
      </c>
      <c r="EV255" t="str">
        <v>MURILLO DELGADO ISAAC GABRIEL</v>
      </c>
      <c r="EW255" t="str">
        <v>ANGULO MURILLO NAVIRA GISSELA</v>
      </c>
      <c r="EX255" t="str">
        <v>OCHOA SOLEDISPA NESTOR IVAN</v>
      </c>
      <c r="EY255" t="str">
        <v>PARRAGA FRANCO SILVANA MARIELA</v>
      </c>
      <c r="EZ255" t="str">
        <v>PINARGOTE VASQUEZ NANCY FABIOLA</v>
      </c>
      <c r="FA255" t="str">
        <v>REYES VELEZ PEDRO ENRIQUE</v>
      </c>
      <c r="FB255" t="str">
        <v>SAN ANDRES HORMAZA DALLAS CECILIA</v>
      </c>
      <c r="FC255" t="str">
        <v>SORNOZA ZAMORA JUAN CARLOS</v>
      </c>
      <c r="FD255" t="str">
        <v>TOMALA PINTO JESUS JACINTO</v>
      </c>
      <c r="FE255" t="str">
        <v>VALLE JARAMILLO SILVIA ARACELY</v>
      </c>
      <c r="FF255" t="str">
        <v>VELÁSQUEZ BRAVO IRMA KATHERINE</v>
      </c>
      <c r="FG255" t="str">
        <v>VELEZ MENDOZA LAYSY VALERIA</v>
      </c>
      <c r="FH255" t="str">
        <v>VINUEZA TELLO SHIRLEY ELIZABETH</v>
      </c>
      <c r="FI255" t="str">
        <v>ZAMBRANO ALCIVAR NILDA ISABEL</v>
      </c>
      <c r="FJ255" t="str">
        <v>ZAMBRANO LOOR RITA MAYDA</v>
      </c>
      <c r="FK255" t="str">
        <v>ZAMBRANO VERA MONICA JANETH</v>
      </c>
      <c r="FL255" t="str">
        <v>VERA DELGADO BRYAN ADRIÁN</v>
      </c>
      <c r="FM255" t="str">
        <v>MORAN GONZALES DAVID RENATO</v>
      </c>
      <c r="FN255">
        <v>0</v>
      </c>
    </row>
    <row r="256" spans="1:170" ht="20.25" customHeight="1">
      <c r="A256" s="4" t="str" cm="1">
        <f t="array" ref="A256">TRANSPOSE(_xlfn.UNIQUE(_xlfn._xlws.FILTER(MAE_ASIGNATURA[ID_NIVEL],MAE_ASIGNATURA[ID_CARRERA]=ASIGNACION!$C256,"No existe información")))</f>
        <v>No existe información</v>
      </c>
      <c r="S256" s="4" t="str" cm="1">
        <f t="array" ref="S256">TRANSPOSE(_xlfn.UNIQUE(_xlfn._xlws.FILTER(MAE_ASIGNATURA[NOM_ASIG],(MAE_ASIGNATURA[ID_NIVEL]=ASIGNACION!$D256)*(MAE_ASIGNATURA[ID_CARRERA]=ASIGNACION!$C256),"No existe información")))</f>
        <v>No existe información</v>
      </c>
      <c r="BD256" s="4" t="str" cm="1">
        <f t="array" ref="BD256">TRANSPOSE(_xlfn.UNIQUE(_xlfn._xlws.FILTER(DET_ASIG[DETALLADO],(DET_ASIG[ID_CARRERA]=ASIGNACION!$C256)*(DET_ASIG[NIVEL]=ASIGNACION!$D256)*(DET_ASIG[ID_ASIG]=ASIGNACION!$G256),"No existe información")))</f>
        <v>No existe información</v>
      </c>
      <c r="BQ256" s="5" t="str" cm="1">
        <f t="array" ref="BQ256">IFERROR(
    TRANSPOSE(
        _xlfn.UNIQUE(
            _xlfn._xlws.FILTER(MAESTRIA_DETALLADO[MAESTRIA],
                ISNUMBER(MATCH(MAESTRIA_DETALLADO[CAMPO_DETALLADO],
                BD256:BP256,0))
            )
        )
    ),IF(BD256="ACTIVIDAD","DOCENCIA",""))</f>
        <v/>
      </c>
      <c r="EA256" s="5" t="str" cm="1">
        <f t="array" ref="EA256:FN256">IF(
    ASIGNACION!I256="SI",
    IFERROR(
        TRANSPOSE(
            _xlfn.UNIQUE(
                _xlfn._xlws.FILTER(EDU_DOCENTE[NOMBRE_DOCENTE],
                    ISNUMBER(MATCH(EDU_DOCENTE[MAESTRIA],
                    BQ256:DY256,0))
                )
            )
        ),
        ""
    ),
    TRANSPOSE(
        _xlfn.UNIQUE(EDU_DOCENTE[NOMBRE_DOCENTE]
        )
    )
)</f>
        <v>ALCIVAR CEDEÑO BEATRIZ ISABEL</v>
      </c>
      <c r="EB256" t="str">
        <v>ALCIVAR VERA GEMA MICHELLE</v>
      </c>
      <c r="EC256" t="str">
        <v>ARAUZ CHAVEZ MARIO ROBERTO</v>
      </c>
      <c r="ED256" t="str">
        <v>BAILON LOURIDO WALTER ALBERTO</v>
      </c>
      <c r="EE256" t="str">
        <v>CALDERERO VILLAGOMEZ ERICK ANTONIO</v>
      </c>
      <c r="EF256" t="str">
        <v>CASTILLO GARCIA PAOLA GERMANIA</v>
      </c>
      <c r="EG256" t="str">
        <v>CEDEÑO CHOEZ PEDRO JAVIER</v>
      </c>
      <c r="EH256" t="str">
        <v>CEVALLOS HOPPE JUAN CARLOS</v>
      </c>
      <c r="EI256" t="str">
        <v>DELGADO CHAVEZ MARIA IRASEMA</v>
      </c>
      <c r="EJ256" t="str">
        <v>DUARTE VALENCIA CRISTHIAN DARIO</v>
      </c>
      <c r="EK256" t="str">
        <v>FORTTY BARBERAN DENNY ALEXANDER</v>
      </c>
      <c r="EL256" t="str">
        <v>GUTIERREZ ZAMBRANO CARMEN EBELINA</v>
      </c>
      <c r="EM256" t="str">
        <v>INTRIAGO MOLINA GEMA VALERIA</v>
      </c>
      <c r="EN256" t="str">
        <v>LINO VELEZ LEONEL LIVINGTON</v>
      </c>
      <c r="EO256" t="str">
        <v>LOOR ALCIVAR MARIA ILIANA</v>
      </c>
      <c r="EP256" t="str">
        <v>LOOR MIELES TANIA JACQUELINE</v>
      </c>
      <c r="EQ256" t="str">
        <v>LOOR SOLORZANO ROSA MARIA</v>
      </c>
      <c r="ER256" t="str">
        <v>LOPEZ DELGADO RONALD MAURICIO</v>
      </c>
      <c r="ES256" t="str">
        <v>MACIAS VALENCIA DAVID GABRIEL</v>
      </c>
      <c r="ET256" t="str">
        <v>MENDOZA ZAMORA WALTER MANUEL</v>
      </c>
      <c r="EU256" t="str">
        <v>MOLINA CEVALLOS MARIA LORENA</v>
      </c>
      <c r="EV256" t="str">
        <v>MURILLO DELGADO ISAAC GABRIEL</v>
      </c>
      <c r="EW256" t="str">
        <v>ANGULO MURILLO NAVIRA GISSELA</v>
      </c>
      <c r="EX256" t="str">
        <v>OCHOA SOLEDISPA NESTOR IVAN</v>
      </c>
      <c r="EY256" t="str">
        <v>PARRAGA FRANCO SILVANA MARIELA</v>
      </c>
      <c r="EZ256" t="str">
        <v>PINARGOTE VASQUEZ NANCY FABIOLA</v>
      </c>
      <c r="FA256" t="str">
        <v>REYES VELEZ PEDRO ENRIQUE</v>
      </c>
      <c r="FB256" t="str">
        <v>SAN ANDRES HORMAZA DALLAS CECILIA</v>
      </c>
      <c r="FC256" t="str">
        <v>SORNOZA ZAMORA JUAN CARLOS</v>
      </c>
      <c r="FD256" t="str">
        <v>TOMALA PINTO JESUS JACINTO</v>
      </c>
      <c r="FE256" t="str">
        <v>VALLE JARAMILLO SILVIA ARACELY</v>
      </c>
      <c r="FF256" t="str">
        <v>VELÁSQUEZ BRAVO IRMA KATHERINE</v>
      </c>
      <c r="FG256" t="str">
        <v>VELEZ MENDOZA LAYSY VALERIA</v>
      </c>
      <c r="FH256" t="str">
        <v>VINUEZA TELLO SHIRLEY ELIZABETH</v>
      </c>
      <c r="FI256" t="str">
        <v>ZAMBRANO ALCIVAR NILDA ISABEL</v>
      </c>
      <c r="FJ256" t="str">
        <v>ZAMBRANO LOOR RITA MAYDA</v>
      </c>
      <c r="FK256" t="str">
        <v>ZAMBRANO VERA MONICA JANETH</v>
      </c>
      <c r="FL256" t="str">
        <v>VERA DELGADO BRYAN ADRIÁN</v>
      </c>
      <c r="FM256" t="str">
        <v>MORAN GONZALES DAVID RENATO</v>
      </c>
      <c r="FN256">
        <v>0</v>
      </c>
    </row>
    <row r="257" spans="1:170" ht="20.25" customHeight="1">
      <c r="A257" s="4" t="str" cm="1">
        <f t="array" ref="A257">TRANSPOSE(_xlfn.UNIQUE(_xlfn._xlws.FILTER(MAE_ASIGNATURA[ID_NIVEL],MAE_ASIGNATURA[ID_CARRERA]=ASIGNACION!$C257,"No existe información")))</f>
        <v>No existe información</v>
      </c>
      <c r="S257" s="4" t="str" cm="1">
        <f t="array" ref="S257">TRANSPOSE(_xlfn.UNIQUE(_xlfn._xlws.FILTER(MAE_ASIGNATURA[NOM_ASIG],(MAE_ASIGNATURA[ID_NIVEL]=ASIGNACION!$D257)*(MAE_ASIGNATURA[ID_CARRERA]=ASIGNACION!$C257),"No existe información")))</f>
        <v>No existe información</v>
      </c>
      <c r="BD257" s="4" t="str" cm="1">
        <f t="array" ref="BD257">TRANSPOSE(_xlfn.UNIQUE(_xlfn._xlws.FILTER(DET_ASIG[DETALLADO],(DET_ASIG[ID_CARRERA]=ASIGNACION!$C257)*(DET_ASIG[NIVEL]=ASIGNACION!$D257)*(DET_ASIG[ID_ASIG]=ASIGNACION!$G257),"No existe información")))</f>
        <v>No existe información</v>
      </c>
      <c r="BQ257" s="5" t="str" cm="1">
        <f t="array" ref="BQ257">IFERROR(
    TRANSPOSE(
        _xlfn.UNIQUE(
            _xlfn._xlws.FILTER(MAESTRIA_DETALLADO[MAESTRIA],
                ISNUMBER(MATCH(MAESTRIA_DETALLADO[CAMPO_DETALLADO],
                BD257:BP257,0))
            )
        )
    ),IF(BD257="ACTIVIDAD","DOCENCIA",""))</f>
        <v/>
      </c>
      <c r="EA257" s="5" t="str" cm="1">
        <f t="array" ref="EA257:FN257">IF(
    ASIGNACION!I257="SI",
    IFERROR(
        TRANSPOSE(
            _xlfn.UNIQUE(
                _xlfn._xlws.FILTER(EDU_DOCENTE[NOMBRE_DOCENTE],
                    ISNUMBER(MATCH(EDU_DOCENTE[MAESTRIA],
                    BQ257:DY257,0))
                )
            )
        ),
        ""
    ),
    TRANSPOSE(
        _xlfn.UNIQUE(EDU_DOCENTE[NOMBRE_DOCENTE]
        )
    )
)</f>
        <v>ALCIVAR CEDEÑO BEATRIZ ISABEL</v>
      </c>
      <c r="EB257" t="str">
        <v>ALCIVAR VERA GEMA MICHELLE</v>
      </c>
      <c r="EC257" t="str">
        <v>ARAUZ CHAVEZ MARIO ROBERTO</v>
      </c>
      <c r="ED257" t="str">
        <v>BAILON LOURIDO WALTER ALBERTO</v>
      </c>
      <c r="EE257" t="str">
        <v>CALDERERO VILLAGOMEZ ERICK ANTONIO</v>
      </c>
      <c r="EF257" t="str">
        <v>CASTILLO GARCIA PAOLA GERMANIA</v>
      </c>
      <c r="EG257" t="str">
        <v>CEDEÑO CHOEZ PEDRO JAVIER</v>
      </c>
      <c r="EH257" t="str">
        <v>CEVALLOS HOPPE JUAN CARLOS</v>
      </c>
      <c r="EI257" t="str">
        <v>DELGADO CHAVEZ MARIA IRASEMA</v>
      </c>
      <c r="EJ257" t="str">
        <v>DUARTE VALENCIA CRISTHIAN DARIO</v>
      </c>
      <c r="EK257" t="str">
        <v>FORTTY BARBERAN DENNY ALEXANDER</v>
      </c>
      <c r="EL257" t="str">
        <v>GUTIERREZ ZAMBRANO CARMEN EBELINA</v>
      </c>
      <c r="EM257" t="str">
        <v>INTRIAGO MOLINA GEMA VALERIA</v>
      </c>
      <c r="EN257" t="str">
        <v>LINO VELEZ LEONEL LIVINGTON</v>
      </c>
      <c r="EO257" t="str">
        <v>LOOR ALCIVAR MARIA ILIANA</v>
      </c>
      <c r="EP257" t="str">
        <v>LOOR MIELES TANIA JACQUELINE</v>
      </c>
      <c r="EQ257" t="str">
        <v>LOOR SOLORZANO ROSA MARIA</v>
      </c>
      <c r="ER257" t="str">
        <v>LOPEZ DELGADO RONALD MAURICIO</v>
      </c>
      <c r="ES257" t="str">
        <v>MACIAS VALENCIA DAVID GABRIEL</v>
      </c>
      <c r="ET257" t="str">
        <v>MENDOZA ZAMORA WALTER MANUEL</v>
      </c>
      <c r="EU257" t="str">
        <v>MOLINA CEVALLOS MARIA LORENA</v>
      </c>
      <c r="EV257" t="str">
        <v>MURILLO DELGADO ISAAC GABRIEL</v>
      </c>
      <c r="EW257" t="str">
        <v>ANGULO MURILLO NAVIRA GISSELA</v>
      </c>
      <c r="EX257" t="str">
        <v>OCHOA SOLEDISPA NESTOR IVAN</v>
      </c>
      <c r="EY257" t="str">
        <v>PARRAGA FRANCO SILVANA MARIELA</v>
      </c>
      <c r="EZ257" t="str">
        <v>PINARGOTE VASQUEZ NANCY FABIOLA</v>
      </c>
      <c r="FA257" t="str">
        <v>REYES VELEZ PEDRO ENRIQUE</v>
      </c>
      <c r="FB257" t="str">
        <v>SAN ANDRES HORMAZA DALLAS CECILIA</v>
      </c>
      <c r="FC257" t="str">
        <v>SORNOZA ZAMORA JUAN CARLOS</v>
      </c>
      <c r="FD257" t="str">
        <v>TOMALA PINTO JESUS JACINTO</v>
      </c>
      <c r="FE257" t="str">
        <v>VALLE JARAMILLO SILVIA ARACELY</v>
      </c>
      <c r="FF257" t="str">
        <v>VELÁSQUEZ BRAVO IRMA KATHERINE</v>
      </c>
      <c r="FG257" t="str">
        <v>VELEZ MENDOZA LAYSY VALERIA</v>
      </c>
      <c r="FH257" t="str">
        <v>VINUEZA TELLO SHIRLEY ELIZABETH</v>
      </c>
      <c r="FI257" t="str">
        <v>ZAMBRANO ALCIVAR NILDA ISABEL</v>
      </c>
      <c r="FJ257" t="str">
        <v>ZAMBRANO LOOR RITA MAYDA</v>
      </c>
      <c r="FK257" t="str">
        <v>ZAMBRANO VERA MONICA JANETH</v>
      </c>
      <c r="FL257" t="str">
        <v>VERA DELGADO BRYAN ADRIÁN</v>
      </c>
      <c r="FM257" t="str">
        <v>MORAN GONZALES DAVID RENATO</v>
      </c>
      <c r="FN257">
        <v>0</v>
      </c>
    </row>
    <row r="258" spans="1:170" ht="20.25" customHeight="1">
      <c r="A258" s="4" t="str" cm="1">
        <f t="array" ref="A258">TRANSPOSE(_xlfn.UNIQUE(_xlfn._xlws.FILTER(MAE_ASIGNATURA[ID_NIVEL],MAE_ASIGNATURA[ID_CARRERA]=ASIGNACION!$C258,"No existe información")))</f>
        <v>No existe información</v>
      </c>
      <c r="S258" s="4" t="str" cm="1">
        <f t="array" ref="S258">TRANSPOSE(_xlfn.UNIQUE(_xlfn._xlws.FILTER(MAE_ASIGNATURA[NOM_ASIG],(MAE_ASIGNATURA[ID_NIVEL]=ASIGNACION!$D258)*(MAE_ASIGNATURA[ID_CARRERA]=ASIGNACION!$C258),"No existe información")))</f>
        <v>No existe información</v>
      </c>
      <c r="BD258" s="4" t="str" cm="1">
        <f t="array" ref="BD258">TRANSPOSE(_xlfn.UNIQUE(_xlfn._xlws.FILTER(DET_ASIG[DETALLADO],(DET_ASIG[ID_CARRERA]=ASIGNACION!$C258)*(DET_ASIG[NIVEL]=ASIGNACION!$D258)*(DET_ASIG[ID_ASIG]=ASIGNACION!$G258),"No existe información")))</f>
        <v>No existe información</v>
      </c>
      <c r="BQ258" s="5" t="str" cm="1">
        <f t="array" ref="BQ258">IFERROR(
    TRANSPOSE(
        _xlfn.UNIQUE(
            _xlfn._xlws.FILTER(MAESTRIA_DETALLADO[MAESTRIA],
                ISNUMBER(MATCH(MAESTRIA_DETALLADO[CAMPO_DETALLADO],
                BD258:BP258,0))
            )
        )
    ),IF(BD258="ACTIVIDAD","DOCENCIA",""))</f>
        <v/>
      </c>
      <c r="EA258" s="5" t="str" cm="1">
        <f t="array" ref="EA258:FN258">IF(
    ASIGNACION!I258="SI",
    IFERROR(
        TRANSPOSE(
            _xlfn.UNIQUE(
                _xlfn._xlws.FILTER(EDU_DOCENTE[NOMBRE_DOCENTE],
                    ISNUMBER(MATCH(EDU_DOCENTE[MAESTRIA],
                    BQ258:DY258,0))
                )
            )
        ),
        ""
    ),
    TRANSPOSE(
        _xlfn.UNIQUE(EDU_DOCENTE[NOMBRE_DOCENTE]
        )
    )
)</f>
        <v>ALCIVAR CEDEÑO BEATRIZ ISABEL</v>
      </c>
      <c r="EB258" t="str">
        <v>ALCIVAR VERA GEMA MICHELLE</v>
      </c>
      <c r="EC258" t="str">
        <v>ARAUZ CHAVEZ MARIO ROBERTO</v>
      </c>
      <c r="ED258" t="str">
        <v>BAILON LOURIDO WALTER ALBERTO</v>
      </c>
      <c r="EE258" t="str">
        <v>CALDERERO VILLAGOMEZ ERICK ANTONIO</v>
      </c>
      <c r="EF258" t="str">
        <v>CASTILLO GARCIA PAOLA GERMANIA</v>
      </c>
      <c r="EG258" t="str">
        <v>CEDEÑO CHOEZ PEDRO JAVIER</v>
      </c>
      <c r="EH258" t="str">
        <v>CEVALLOS HOPPE JUAN CARLOS</v>
      </c>
      <c r="EI258" t="str">
        <v>DELGADO CHAVEZ MARIA IRASEMA</v>
      </c>
      <c r="EJ258" t="str">
        <v>DUARTE VALENCIA CRISTHIAN DARIO</v>
      </c>
      <c r="EK258" t="str">
        <v>FORTTY BARBERAN DENNY ALEXANDER</v>
      </c>
      <c r="EL258" t="str">
        <v>GUTIERREZ ZAMBRANO CARMEN EBELINA</v>
      </c>
      <c r="EM258" t="str">
        <v>INTRIAGO MOLINA GEMA VALERIA</v>
      </c>
      <c r="EN258" t="str">
        <v>LINO VELEZ LEONEL LIVINGTON</v>
      </c>
      <c r="EO258" t="str">
        <v>LOOR ALCIVAR MARIA ILIANA</v>
      </c>
      <c r="EP258" t="str">
        <v>LOOR MIELES TANIA JACQUELINE</v>
      </c>
      <c r="EQ258" t="str">
        <v>LOOR SOLORZANO ROSA MARIA</v>
      </c>
      <c r="ER258" t="str">
        <v>LOPEZ DELGADO RONALD MAURICIO</v>
      </c>
      <c r="ES258" t="str">
        <v>MACIAS VALENCIA DAVID GABRIEL</v>
      </c>
      <c r="ET258" t="str">
        <v>MENDOZA ZAMORA WALTER MANUEL</v>
      </c>
      <c r="EU258" t="str">
        <v>MOLINA CEVALLOS MARIA LORENA</v>
      </c>
      <c r="EV258" t="str">
        <v>MURILLO DELGADO ISAAC GABRIEL</v>
      </c>
      <c r="EW258" t="str">
        <v>ANGULO MURILLO NAVIRA GISSELA</v>
      </c>
      <c r="EX258" t="str">
        <v>OCHOA SOLEDISPA NESTOR IVAN</v>
      </c>
      <c r="EY258" t="str">
        <v>PARRAGA FRANCO SILVANA MARIELA</v>
      </c>
      <c r="EZ258" t="str">
        <v>PINARGOTE VASQUEZ NANCY FABIOLA</v>
      </c>
      <c r="FA258" t="str">
        <v>REYES VELEZ PEDRO ENRIQUE</v>
      </c>
      <c r="FB258" t="str">
        <v>SAN ANDRES HORMAZA DALLAS CECILIA</v>
      </c>
      <c r="FC258" t="str">
        <v>SORNOZA ZAMORA JUAN CARLOS</v>
      </c>
      <c r="FD258" t="str">
        <v>TOMALA PINTO JESUS JACINTO</v>
      </c>
      <c r="FE258" t="str">
        <v>VALLE JARAMILLO SILVIA ARACELY</v>
      </c>
      <c r="FF258" t="str">
        <v>VELÁSQUEZ BRAVO IRMA KATHERINE</v>
      </c>
      <c r="FG258" t="str">
        <v>VELEZ MENDOZA LAYSY VALERIA</v>
      </c>
      <c r="FH258" t="str">
        <v>VINUEZA TELLO SHIRLEY ELIZABETH</v>
      </c>
      <c r="FI258" t="str">
        <v>ZAMBRANO ALCIVAR NILDA ISABEL</v>
      </c>
      <c r="FJ258" t="str">
        <v>ZAMBRANO LOOR RITA MAYDA</v>
      </c>
      <c r="FK258" t="str">
        <v>ZAMBRANO VERA MONICA JANETH</v>
      </c>
      <c r="FL258" t="str">
        <v>VERA DELGADO BRYAN ADRIÁN</v>
      </c>
      <c r="FM258" t="str">
        <v>MORAN GONZALES DAVID RENATO</v>
      </c>
      <c r="FN258">
        <v>0</v>
      </c>
    </row>
    <row r="259" spans="1:170" ht="20.25" customHeight="1">
      <c r="A259" s="4" t="str" cm="1">
        <f t="array" ref="A259">TRANSPOSE(_xlfn.UNIQUE(_xlfn._xlws.FILTER(MAE_ASIGNATURA[ID_NIVEL],MAE_ASIGNATURA[ID_CARRERA]=ASIGNACION!$C259,"No existe información")))</f>
        <v>No existe información</v>
      </c>
      <c r="S259" s="4" t="str" cm="1">
        <f t="array" ref="S259">TRANSPOSE(_xlfn.UNIQUE(_xlfn._xlws.FILTER(MAE_ASIGNATURA[NOM_ASIG],(MAE_ASIGNATURA[ID_NIVEL]=ASIGNACION!$D259)*(MAE_ASIGNATURA[ID_CARRERA]=ASIGNACION!$C259),"No existe información")))</f>
        <v>No existe información</v>
      </c>
      <c r="BD259" s="4" t="str" cm="1">
        <f t="array" ref="BD259">TRANSPOSE(_xlfn.UNIQUE(_xlfn._xlws.FILTER(DET_ASIG[DETALLADO],(DET_ASIG[ID_CARRERA]=ASIGNACION!$C259)*(DET_ASIG[NIVEL]=ASIGNACION!$D259)*(DET_ASIG[ID_ASIG]=ASIGNACION!$G259),"No existe información")))</f>
        <v>No existe información</v>
      </c>
      <c r="BQ259" s="5" t="str" cm="1">
        <f t="array" ref="BQ259">IFERROR(
    TRANSPOSE(
        _xlfn.UNIQUE(
            _xlfn._xlws.FILTER(MAESTRIA_DETALLADO[MAESTRIA],
                ISNUMBER(MATCH(MAESTRIA_DETALLADO[CAMPO_DETALLADO],
                BD259:BP259,0))
            )
        )
    ),IF(BD259="ACTIVIDAD","DOCENCIA",""))</f>
        <v/>
      </c>
      <c r="EA259" s="5" t="str" cm="1">
        <f t="array" ref="EA259:FN259">IF(
    ASIGNACION!I259="SI",
    IFERROR(
        TRANSPOSE(
            _xlfn.UNIQUE(
                _xlfn._xlws.FILTER(EDU_DOCENTE[NOMBRE_DOCENTE],
                    ISNUMBER(MATCH(EDU_DOCENTE[MAESTRIA],
                    BQ259:DY259,0))
                )
            )
        ),
        ""
    ),
    TRANSPOSE(
        _xlfn.UNIQUE(EDU_DOCENTE[NOMBRE_DOCENTE]
        )
    )
)</f>
        <v>ALCIVAR CEDEÑO BEATRIZ ISABEL</v>
      </c>
      <c r="EB259" t="str">
        <v>ALCIVAR VERA GEMA MICHELLE</v>
      </c>
      <c r="EC259" t="str">
        <v>ARAUZ CHAVEZ MARIO ROBERTO</v>
      </c>
      <c r="ED259" t="str">
        <v>BAILON LOURIDO WALTER ALBERTO</v>
      </c>
      <c r="EE259" t="str">
        <v>CALDERERO VILLAGOMEZ ERICK ANTONIO</v>
      </c>
      <c r="EF259" t="str">
        <v>CASTILLO GARCIA PAOLA GERMANIA</v>
      </c>
      <c r="EG259" t="str">
        <v>CEDEÑO CHOEZ PEDRO JAVIER</v>
      </c>
      <c r="EH259" t="str">
        <v>CEVALLOS HOPPE JUAN CARLOS</v>
      </c>
      <c r="EI259" t="str">
        <v>DELGADO CHAVEZ MARIA IRASEMA</v>
      </c>
      <c r="EJ259" t="str">
        <v>DUARTE VALENCIA CRISTHIAN DARIO</v>
      </c>
      <c r="EK259" t="str">
        <v>FORTTY BARBERAN DENNY ALEXANDER</v>
      </c>
      <c r="EL259" t="str">
        <v>GUTIERREZ ZAMBRANO CARMEN EBELINA</v>
      </c>
      <c r="EM259" t="str">
        <v>INTRIAGO MOLINA GEMA VALERIA</v>
      </c>
      <c r="EN259" t="str">
        <v>LINO VELEZ LEONEL LIVINGTON</v>
      </c>
      <c r="EO259" t="str">
        <v>LOOR ALCIVAR MARIA ILIANA</v>
      </c>
      <c r="EP259" t="str">
        <v>LOOR MIELES TANIA JACQUELINE</v>
      </c>
      <c r="EQ259" t="str">
        <v>LOOR SOLORZANO ROSA MARIA</v>
      </c>
      <c r="ER259" t="str">
        <v>LOPEZ DELGADO RONALD MAURICIO</v>
      </c>
      <c r="ES259" t="str">
        <v>MACIAS VALENCIA DAVID GABRIEL</v>
      </c>
      <c r="ET259" t="str">
        <v>MENDOZA ZAMORA WALTER MANUEL</v>
      </c>
      <c r="EU259" t="str">
        <v>MOLINA CEVALLOS MARIA LORENA</v>
      </c>
      <c r="EV259" t="str">
        <v>MURILLO DELGADO ISAAC GABRIEL</v>
      </c>
      <c r="EW259" t="str">
        <v>ANGULO MURILLO NAVIRA GISSELA</v>
      </c>
      <c r="EX259" t="str">
        <v>OCHOA SOLEDISPA NESTOR IVAN</v>
      </c>
      <c r="EY259" t="str">
        <v>PARRAGA FRANCO SILVANA MARIELA</v>
      </c>
      <c r="EZ259" t="str">
        <v>PINARGOTE VASQUEZ NANCY FABIOLA</v>
      </c>
      <c r="FA259" t="str">
        <v>REYES VELEZ PEDRO ENRIQUE</v>
      </c>
      <c r="FB259" t="str">
        <v>SAN ANDRES HORMAZA DALLAS CECILIA</v>
      </c>
      <c r="FC259" t="str">
        <v>SORNOZA ZAMORA JUAN CARLOS</v>
      </c>
      <c r="FD259" t="str">
        <v>TOMALA PINTO JESUS JACINTO</v>
      </c>
      <c r="FE259" t="str">
        <v>VALLE JARAMILLO SILVIA ARACELY</v>
      </c>
      <c r="FF259" t="str">
        <v>VELÁSQUEZ BRAVO IRMA KATHERINE</v>
      </c>
      <c r="FG259" t="str">
        <v>VELEZ MENDOZA LAYSY VALERIA</v>
      </c>
      <c r="FH259" t="str">
        <v>VINUEZA TELLO SHIRLEY ELIZABETH</v>
      </c>
      <c r="FI259" t="str">
        <v>ZAMBRANO ALCIVAR NILDA ISABEL</v>
      </c>
      <c r="FJ259" t="str">
        <v>ZAMBRANO LOOR RITA MAYDA</v>
      </c>
      <c r="FK259" t="str">
        <v>ZAMBRANO VERA MONICA JANETH</v>
      </c>
      <c r="FL259" t="str">
        <v>VERA DELGADO BRYAN ADRIÁN</v>
      </c>
      <c r="FM259" t="str">
        <v>MORAN GONZALES DAVID RENATO</v>
      </c>
      <c r="FN259">
        <v>0</v>
      </c>
    </row>
    <row r="260" spans="1:170" ht="20.25" customHeight="1">
      <c r="A260" s="4" t="str" cm="1">
        <f t="array" ref="A260">TRANSPOSE(_xlfn.UNIQUE(_xlfn._xlws.FILTER(MAE_ASIGNATURA[ID_NIVEL],MAE_ASIGNATURA[ID_CARRERA]=ASIGNACION!$C260,"No existe información")))</f>
        <v>No existe información</v>
      </c>
      <c r="S260" s="4" t="str" cm="1">
        <f t="array" ref="S260">TRANSPOSE(_xlfn.UNIQUE(_xlfn._xlws.FILTER(MAE_ASIGNATURA[NOM_ASIG],(MAE_ASIGNATURA[ID_NIVEL]=ASIGNACION!$D260)*(MAE_ASIGNATURA[ID_CARRERA]=ASIGNACION!$C260),"No existe información")))</f>
        <v>No existe información</v>
      </c>
      <c r="BD260" s="4" t="str" cm="1">
        <f t="array" ref="BD260">TRANSPOSE(_xlfn.UNIQUE(_xlfn._xlws.FILTER(DET_ASIG[DETALLADO],(DET_ASIG[ID_CARRERA]=ASIGNACION!$C260)*(DET_ASIG[NIVEL]=ASIGNACION!$D260)*(DET_ASIG[ID_ASIG]=ASIGNACION!$G260),"No existe información")))</f>
        <v>No existe información</v>
      </c>
      <c r="BQ260" s="5" t="str" cm="1">
        <f t="array" ref="BQ260">IFERROR(
    TRANSPOSE(
        _xlfn.UNIQUE(
            _xlfn._xlws.FILTER(MAESTRIA_DETALLADO[MAESTRIA],
                ISNUMBER(MATCH(MAESTRIA_DETALLADO[CAMPO_DETALLADO],
                BD260:BP260,0))
            )
        )
    ),IF(BD260="ACTIVIDAD","DOCENCIA",""))</f>
        <v/>
      </c>
      <c r="EA260" s="5" t="str" cm="1">
        <f t="array" ref="EA260:FN260">IF(
    ASIGNACION!I260="SI",
    IFERROR(
        TRANSPOSE(
            _xlfn.UNIQUE(
                _xlfn._xlws.FILTER(EDU_DOCENTE[NOMBRE_DOCENTE],
                    ISNUMBER(MATCH(EDU_DOCENTE[MAESTRIA],
                    BQ260:DY260,0))
                )
            )
        ),
        ""
    ),
    TRANSPOSE(
        _xlfn.UNIQUE(EDU_DOCENTE[NOMBRE_DOCENTE]
        )
    )
)</f>
        <v>ALCIVAR CEDEÑO BEATRIZ ISABEL</v>
      </c>
      <c r="EB260" t="str">
        <v>ALCIVAR VERA GEMA MICHELLE</v>
      </c>
      <c r="EC260" t="str">
        <v>ARAUZ CHAVEZ MARIO ROBERTO</v>
      </c>
      <c r="ED260" t="str">
        <v>BAILON LOURIDO WALTER ALBERTO</v>
      </c>
      <c r="EE260" t="str">
        <v>CALDERERO VILLAGOMEZ ERICK ANTONIO</v>
      </c>
      <c r="EF260" t="str">
        <v>CASTILLO GARCIA PAOLA GERMANIA</v>
      </c>
      <c r="EG260" t="str">
        <v>CEDEÑO CHOEZ PEDRO JAVIER</v>
      </c>
      <c r="EH260" t="str">
        <v>CEVALLOS HOPPE JUAN CARLOS</v>
      </c>
      <c r="EI260" t="str">
        <v>DELGADO CHAVEZ MARIA IRASEMA</v>
      </c>
      <c r="EJ260" t="str">
        <v>DUARTE VALENCIA CRISTHIAN DARIO</v>
      </c>
      <c r="EK260" t="str">
        <v>FORTTY BARBERAN DENNY ALEXANDER</v>
      </c>
      <c r="EL260" t="str">
        <v>GUTIERREZ ZAMBRANO CARMEN EBELINA</v>
      </c>
      <c r="EM260" t="str">
        <v>INTRIAGO MOLINA GEMA VALERIA</v>
      </c>
      <c r="EN260" t="str">
        <v>LINO VELEZ LEONEL LIVINGTON</v>
      </c>
      <c r="EO260" t="str">
        <v>LOOR ALCIVAR MARIA ILIANA</v>
      </c>
      <c r="EP260" t="str">
        <v>LOOR MIELES TANIA JACQUELINE</v>
      </c>
      <c r="EQ260" t="str">
        <v>LOOR SOLORZANO ROSA MARIA</v>
      </c>
      <c r="ER260" t="str">
        <v>LOPEZ DELGADO RONALD MAURICIO</v>
      </c>
      <c r="ES260" t="str">
        <v>MACIAS VALENCIA DAVID GABRIEL</v>
      </c>
      <c r="ET260" t="str">
        <v>MENDOZA ZAMORA WALTER MANUEL</v>
      </c>
      <c r="EU260" t="str">
        <v>MOLINA CEVALLOS MARIA LORENA</v>
      </c>
      <c r="EV260" t="str">
        <v>MURILLO DELGADO ISAAC GABRIEL</v>
      </c>
      <c r="EW260" t="str">
        <v>ANGULO MURILLO NAVIRA GISSELA</v>
      </c>
      <c r="EX260" t="str">
        <v>OCHOA SOLEDISPA NESTOR IVAN</v>
      </c>
      <c r="EY260" t="str">
        <v>PARRAGA FRANCO SILVANA MARIELA</v>
      </c>
      <c r="EZ260" t="str">
        <v>PINARGOTE VASQUEZ NANCY FABIOLA</v>
      </c>
      <c r="FA260" t="str">
        <v>REYES VELEZ PEDRO ENRIQUE</v>
      </c>
      <c r="FB260" t="str">
        <v>SAN ANDRES HORMAZA DALLAS CECILIA</v>
      </c>
      <c r="FC260" t="str">
        <v>SORNOZA ZAMORA JUAN CARLOS</v>
      </c>
      <c r="FD260" t="str">
        <v>TOMALA PINTO JESUS JACINTO</v>
      </c>
      <c r="FE260" t="str">
        <v>VALLE JARAMILLO SILVIA ARACELY</v>
      </c>
      <c r="FF260" t="str">
        <v>VELÁSQUEZ BRAVO IRMA KATHERINE</v>
      </c>
      <c r="FG260" t="str">
        <v>VELEZ MENDOZA LAYSY VALERIA</v>
      </c>
      <c r="FH260" t="str">
        <v>VINUEZA TELLO SHIRLEY ELIZABETH</v>
      </c>
      <c r="FI260" t="str">
        <v>ZAMBRANO ALCIVAR NILDA ISABEL</v>
      </c>
      <c r="FJ260" t="str">
        <v>ZAMBRANO LOOR RITA MAYDA</v>
      </c>
      <c r="FK260" t="str">
        <v>ZAMBRANO VERA MONICA JANETH</v>
      </c>
      <c r="FL260" t="str">
        <v>VERA DELGADO BRYAN ADRIÁN</v>
      </c>
      <c r="FM260" t="str">
        <v>MORAN GONZALES DAVID RENATO</v>
      </c>
      <c r="FN260">
        <v>0</v>
      </c>
    </row>
    <row r="261" spans="1:170" ht="20.25" customHeight="1">
      <c r="A261" s="4" t="str" cm="1">
        <f t="array" ref="A261">TRANSPOSE(_xlfn.UNIQUE(_xlfn._xlws.FILTER(MAE_ASIGNATURA[ID_NIVEL],MAE_ASIGNATURA[ID_CARRERA]=ASIGNACION!$C261,"No existe información")))</f>
        <v>No existe información</v>
      </c>
      <c r="S261" s="4" t="str" cm="1">
        <f t="array" ref="S261">TRANSPOSE(_xlfn.UNIQUE(_xlfn._xlws.FILTER(MAE_ASIGNATURA[NOM_ASIG],(MAE_ASIGNATURA[ID_NIVEL]=ASIGNACION!$D261)*(MAE_ASIGNATURA[ID_CARRERA]=ASIGNACION!$C261),"No existe información")))</f>
        <v>No existe información</v>
      </c>
      <c r="BD261" s="4" t="str" cm="1">
        <f t="array" ref="BD261">TRANSPOSE(_xlfn.UNIQUE(_xlfn._xlws.FILTER(DET_ASIG[DETALLADO],(DET_ASIG[ID_CARRERA]=ASIGNACION!$C261)*(DET_ASIG[NIVEL]=ASIGNACION!$D261)*(DET_ASIG[ID_ASIG]=ASIGNACION!$G261),"No existe información")))</f>
        <v>No existe información</v>
      </c>
      <c r="BQ261" s="5" t="str" cm="1">
        <f t="array" ref="BQ261">IFERROR(
    TRANSPOSE(
        _xlfn.UNIQUE(
            _xlfn._xlws.FILTER(MAESTRIA_DETALLADO[MAESTRIA],
                ISNUMBER(MATCH(MAESTRIA_DETALLADO[CAMPO_DETALLADO],
                BD261:BP261,0))
            )
        )
    ),IF(BD261="ACTIVIDAD","DOCENCIA",""))</f>
        <v/>
      </c>
      <c r="EA261" s="5" t="str" cm="1">
        <f t="array" ref="EA261:FN261">IF(
    ASIGNACION!I261="SI",
    IFERROR(
        TRANSPOSE(
            _xlfn.UNIQUE(
                _xlfn._xlws.FILTER(EDU_DOCENTE[NOMBRE_DOCENTE],
                    ISNUMBER(MATCH(EDU_DOCENTE[MAESTRIA],
                    BQ261:DY261,0))
                )
            )
        ),
        ""
    ),
    TRANSPOSE(
        _xlfn.UNIQUE(EDU_DOCENTE[NOMBRE_DOCENTE]
        )
    )
)</f>
        <v>ALCIVAR CEDEÑO BEATRIZ ISABEL</v>
      </c>
      <c r="EB261" t="str">
        <v>ALCIVAR VERA GEMA MICHELLE</v>
      </c>
      <c r="EC261" t="str">
        <v>ARAUZ CHAVEZ MARIO ROBERTO</v>
      </c>
      <c r="ED261" t="str">
        <v>BAILON LOURIDO WALTER ALBERTO</v>
      </c>
      <c r="EE261" t="str">
        <v>CALDERERO VILLAGOMEZ ERICK ANTONIO</v>
      </c>
      <c r="EF261" t="str">
        <v>CASTILLO GARCIA PAOLA GERMANIA</v>
      </c>
      <c r="EG261" t="str">
        <v>CEDEÑO CHOEZ PEDRO JAVIER</v>
      </c>
      <c r="EH261" t="str">
        <v>CEVALLOS HOPPE JUAN CARLOS</v>
      </c>
      <c r="EI261" t="str">
        <v>DELGADO CHAVEZ MARIA IRASEMA</v>
      </c>
      <c r="EJ261" t="str">
        <v>DUARTE VALENCIA CRISTHIAN DARIO</v>
      </c>
      <c r="EK261" t="str">
        <v>FORTTY BARBERAN DENNY ALEXANDER</v>
      </c>
      <c r="EL261" t="str">
        <v>GUTIERREZ ZAMBRANO CARMEN EBELINA</v>
      </c>
      <c r="EM261" t="str">
        <v>INTRIAGO MOLINA GEMA VALERIA</v>
      </c>
      <c r="EN261" t="str">
        <v>LINO VELEZ LEONEL LIVINGTON</v>
      </c>
      <c r="EO261" t="str">
        <v>LOOR ALCIVAR MARIA ILIANA</v>
      </c>
      <c r="EP261" t="str">
        <v>LOOR MIELES TANIA JACQUELINE</v>
      </c>
      <c r="EQ261" t="str">
        <v>LOOR SOLORZANO ROSA MARIA</v>
      </c>
      <c r="ER261" t="str">
        <v>LOPEZ DELGADO RONALD MAURICIO</v>
      </c>
      <c r="ES261" t="str">
        <v>MACIAS VALENCIA DAVID GABRIEL</v>
      </c>
      <c r="ET261" t="str">
        <v>MENDOZA ZAMORA WALTER MANUEL</v>
      </c>
      <c r="EU261" t="str">
        <v>MOLINA CEVALLOS MARIA LORENA</v>
      </c>
      <c r="EV261" t="str">
        <v>MURILLO DELGADO ISAAC GABRIEL</v>
      </c>
      <c r="EW261" t="str">
        <v>ANGULO MURILLO NAVIRA GISSELA</v>
      </c>
      <c r="EX261" t="str">
        <v>OCHOA SOLEDISPA NESTOR IVAN</v>
      </c>
      <c r="EY261" t="str">
        <v>PARRAGA FRANCO SILVANA MARIELA</v>
      </c>
      <c r="EZ261" t="str">
        <v>PINARGOTE VASQUEZ NANCY FABIOLA</v>
      </c>
      <c r="FA261" t="str">
        <v>REYES VELEZ PEDRO ENRIQUE</v>
      </c>
      <c r="FB261" t="str">
        <v>SAN ANDRES HORMAZA DALLAS CECILIA</v>
      </c>
      <c r="FC261" t="str">
        <v>SORNOZA ZAMORA JUAN CARLOS</v>
      </c>
      <c r="FD261" t="str">
        <v>TOMALA PINTO JESUS JACINTO</v>
      </c>
      <c r="FE261" t="str">
        <v>VALLE JARAMILLO SILVIA ARACELY</v>
      </c>
      <c r="FF261" t="str">
        <v>VELÁSQUEZ BRAVO IRMA KATHERINE</v>
      </c>
      <c r="FG261" t="str">
        <v>VELEZ MENDOZA LAYSY VALERIA</v>
      </c>
      <c r="FH261" t="str">
        <v>VINUEZA TELLO SHIRLEY ELIZABETH</v>
      </c>
      <c r="FI261" t="str">
        <v>ZAMBRANO ALCIVAR NILDA ISABEL</v>
      </c>
      <c r="FJ261" t="str">
        <v>ZAMBRANO LOOR RITA MAYDA</v>
      </c>
      <c r="FK261" t="str">
        <v>ZAMBRANO VERA MONICA JANETH</v>
      </c>
      <c r="FL261" t="str">
        <v>VERA DELGADO BRYAN ADRIÁN</v>
      </c>
      <c r="FM261" t="str">
        <v>MORAN GONZALES DAVID RENATO</v>
      </c>
      <c r="FN261">
        <v>0</v>
      </c>
    </row>
    <row r="262" spans="1:170" ht="20.25" customHeight="1">
      <c r="A262" s="4" t="str" cm="1">
        <f t="array" ref="A262">TRANSPOSE(_xlfn.UNIQUE(_xlfn._xlws.FILTER(MAE_ASIGNATURA[ID_NIVEL],MAE_ASIGNATURA[ID_CARRERA]=ASIGNACION!$C262,"No existe información")))</f>
        <v>No existe información</v>
      </c>
      <c r="S262" s="4" t="str" cm="1">
        <f t="array" ref="S262">TRANSPOSE(_xlfn.UNIQUE(_xlfn._xlws.FILTER(MAE_ASIGNATURA[NOM_ASIG],(MAE_ASIGNATURA[ID_NIVEL]=ASIGNACION!$D262)*(MAE_ASIGNATURA[ID_CARRERA]=ASIGNACION!$C262),"No existe información")))</f>
        <v>No existe información</v>
      </c>
      <c r="BD262" s="4" t="str" cm="1">
        <f t="array" ref="BD262">TRANSPOSE(_xlfn.UNIQUE(_xlfn._xlws.FILTER(DET_ASIG[DETALLADO],(DET_ASIG[ID_CARRERA]=ASIGNACION!$C262)*(DET_ASIG[NIVEL]=ASIGNACION!$D262)*(DET_ASIG[ID_ASIG]=ASIGNACION!$G262),"No existe información")))</f>
        <v>No existe información</v>
      </c>
      <c r="BQ262" s="5" t="str" cm="1">
        <f t="array" ref="BQ262">IFERROR(
    TRANSPOSE(
        _xlfn.UNIQUE(
            _xlfn._xlws.FILTER(MAESTRIA_DETALLADO[MAESTRIA],
                ISNUMBER(MATCH(MAESTRIA_DETALLADO[CAMPO_DETALLADO],
                BD262:BP262,0))
            )
        )
    ),IF(BD262="ACTIVIDAD","DOCENCIA",""))</f>
        <v/>
      </c>
      <c r="EA262" s="5" t="str" cm="1">
        <f t="array" ref="EA262:FN262">IF(
    ASIGNACION!I262="SI",
    IFERROR(
        TRANSPOSE(
            _xlfn.UNIQUE(
                _xlfn._xlws.FILTER(EDU_DOCENTE[NOMBRE_DOCENTE],
                    ISNUMBER(MATCH(EDU_DOCENTE[MAESTRIA],
                    BQ262:DY262,0))
                )
            )
        ),
        ""
    ),
    TRANSPOSE(
        _xlfn.UNIQUE(EDU_DOCENTE[NOMBRE_DOCENTE]
        )
    )
)</f>
        <v>ALCIVAR CEDEÑO BEATRIZ ISABEL</v>
      </c>
      <c r="EB262" t="str">
        <v>ALCIVAR VERA GEMA MICHELLE</v>
      </c>
      <c r="EC262" t="str">
        <v>ARAUZ CHAVEZ MARIO ROBERTO</v>
      </c>
      <c r="ED262" t="str">
        <v>BAILON LOURIDO WALTER ALBERTO</v>
      </c>
      <c r="EE262" t="str">
        <v>CALDERERO VILLAGOMEZ ERICK ANTONIO</v>
      </c>
      <c r="EF262" t="str">
        <v>CASTILLO GARCIA PAOLA GERMANIA</v>
      </c>
      <c r="EG262" t="str">
        <v>CEDEÑO CHOEZ PEDRO JAVIER</v>
      </c>
      <c r="EH262" t="str">
        <v>CEVALLOS HOPPE JUAN CARLOS</v>
      </c>
      <c r="EI262" t="str">
        <v>DELGADO CHAVEZ MARIA IRASEMA</v>
      </c>
      <c r="EJ262" t="str">
        <v>DUARTE VALENCIA CRISTHIAN DARIO</v>
      </c>
      <c r="EK262" t="str">
        <v>FORTTY BARBERAN DENNY ALEXANDER</v>
      </c>
      <c r="EL262" t="str">
        <v>GUTIERREZ ZAMBRANO CARMEN EBELINA</v>
      </c>
      <c r="EM262" t="str">
        <v>INTRIAGO MOLINA GEMA VALERIA</v>
      </c>
      <c r="EN262" t="str">
        <v>LINO VELEZ LEONEL LIVINGTON</v>
      </c>
      <c r="EO262" t="str">
        <v>LOOR ALCIVAR MARIA ILIANA</v>
      </c>
      <c r="EP262" t="str">
        <v>LOOR MIELES TANIA JACQUELINE</v>
      </c>
      <c r="EQ262" t="str">
        <v>LOOR SOLORZANO ROSA MARIA</v>
      </c>
      <c r="ER262" t="str">
        <v>LOPEZ DELGADO RONALD MAURICIO</v>
      </c>
      <c r="ES262" t="str">
        <v>MACIAS VALENCIA DAVID GABRIEL</v>
      </c>
      <c r="ET262" t="str">
        <v>MENDOZA ZAMORA WALTER MANUEL</v>
      </c>
      <c r="EU262" t="str">
        <v>MOLINA CEVALLOS MARIA LORENA</v>
      </c>
      <c r="EV262" t="str">
        <v>MURILLO DELGADO ISAAC GABRIEL</v>
      </c>
      <c r="EW262" t="str">
        <v>ANGULO MURILLO NAVIRA GISSELA</v>
      </c>
      <c r="EX262" t="str">
        <v>OCHOA SOLEDISPA NESTOR IVAN</v>
      </c>
      <c r="EY262" t="str">
        <v>PARRAGA FRANCO SILVANA MARIELA</v>
      </c>
      <c r="EZ262" t="str">
        <v>PINARGOTE VASQUEZ NANCY FABIOLA</v>
      </c>
      <c r="FA262" t="str">
        <v>REYES VELEZ PEDRO ENRIQUE</v>
      </c>
      <c r="FB262" t="str">
        <v>SAN ANDRES HORMAZA DALLAS CECILIA</v>
      </c>
      <c r="FC262" t="str">
        <v>SORNOZA ZAMORA JUAN CARLOS</v>
      </c>
      <c r="FD262" t="str">
        <v>TOMALA PINTO JESUS JACINTO</v>
      </c>
      <c r="FE262" t="str">
        <v>VALLE JARAMILLO SILVIA ARACELY</v>
      </c>
      <c r="FF262" t="str">
        <v>VELÁSQUEZ BRAVO IRMA KATHERINE</v>
      </c>
      <c r="FG262" t="str">
        <v>VELEZ MENDOZA LAYSY VALERIA</v>
      </c>
      <c r="FH262" t="str">
        <v>VINUEZA TELLO SHIRLEY ELIZABETH</v>
      </c>
      <c r="FI262" t="str">
        <v>ZAMBRANO ALCIVAR NILDA ISABEL</v>
      </c>
      <c r="FJ262" t="str">
        <v>ZAMBRANO LOOR RITA MAYDA</v>
      </c>
      <c r="FK262" t="str">
        <v>ZAMBRANO VERA MONICA JANETH</v>
      </c>
      <c r="FL262" t="str">
        <v>VERA DELGADO BRYAN ADRIÁN</v>
      </c>
      <c r="FM262" t="str">
        <v>MORAN GONZALES DAVID RENATO</v>
      </c>
      <c r="FN262">
        <v>0</v>
      </c>
    </row>
    <row r="263" spans="1:170" ht="20.25" customHeight="1">
      <c r="A263" s="4" t="str" cm="1">
        <f t="array" ref="A263">TRANSPOSE(_xlfn.UNIQUE(_xlfn._xlws.FILTER(MAE_ASIGNATURA[ID_NIVEL],MAE_ASIGNATURA[ID_CARRERA]=ASIGNACION!$C263,"No existe información")))</f>
        <v>No existe información</v>
      </c>
      <c r="S263" s="4" t="str" cm="1">
        <f t="array" ref="S263">TRANSPOSE(_xlfn.UNIQUE(_xlfn._xlws.FILTER(MAE_ASIGNATURA[NOM_ASIG],(MAE_ASIGNATURA[ID_NIVEL]=ASIGNACION!$D263)*(MAE_ASIGNATURA[ID_CARRERA]=ASIGNACION!$C263),"No existe información")))</f>
        <v>No existe información</v>
      </c>
      <c r="BD263" s="4" t="str" cm="1">
        <f t="array" ref="BD263">TRANSPOSE(_xlfn.UNIQUE(_xlfn._xlws.FILTER(DET_ASIG[DETALLADO],(DET_ASIG[ID_CARRERA]=ASIGNACION!$C263)*(DET_ASIG[NIVEL]=ASIGNACION!$D263)*(DET_ASIG[ID_ASIG]=ASIGNACION!$G263),"No existe información")))</f>
        <v>No existe información</v>
      </c>
      <c r="BQ263" s="5" t="str" cm="1">
        <f t="array" ref="BQ263">IFERROR(
    TRANSPOSE(
        _xlfn.UNIQUE(
            _xlfn._xlws.FILTER(MAESTRIA_DETALLADO[MAESTRIA],
                ISNUMBER(MATCH(MAESTRIA_DETALLADO[CAMPO_DETALLADO],
                BD263:BP263,0))
            )
        )
    ),IF(BD263="ACTIVIDAD","DOCENCIA",""))</f>
        <v/>
      </c>
      <c r="EA263" s="5" t="str" cm="1">
        <f t="array" ref="EA263:FN263">IF(
    ASIGNACION!I263="SI",
    IFERROR(
        TRANSPOSE(
            _xlfn.UNIQUE(
                _xlfn._xlws.FILTER(EDU_DOCENTE[NOMBRE_DOCENTE],
                    ISNUMBER(MATCH(EDU_DOCENTE[MAESTRIA],
                    BQ263:DY263,0))
                )
            )
        ),
        ""
    ),
    TRANSPOSE(
        _xlfn.UNIQUE(EDU_DOCENTE[NOMBRE_DOCENTE]
        )
    )
)</f>
        <v>ALCIVAR CEDEÑO BEATRIZ ISABEL</v>
      </c>
      <c r="EB263" t="str">
        <v>ALCIVAR VERA GEMA MICHELLE</v>
      </c>
      <c r="EC263" t="str">
        <v>ARAUZ CHAVEZ MARIO ROBERTO</v>
      </c>
      <c r="ED263" t="str">
        <v>BAILON LOURIDO WALTER ALBERTO</v>
      </c>
      <c r="EE263" t="str">
        <v>CALDERERO VILLAGOMEZ ERICK ANTONIO</v>
      </c>
      <c r="EF263" t="str">
        <v>CASTILLO GARCIA PAOLA GERMANIA</v>
      </c>
      <c r="EG263" t="str">
        <v>CEDEÑO CHOEZ PEDRO JAVIER</v>
      </c>
      <c r="EH263" t="str">
        <v>CEVALLOS HOPPE JUAN CARLOS</v>
      </c>
      <c r="EI263" t="str">
        <v>DELGADO CHAVEZ MARIA IRASEMA</v>
      </c>
      <c r="EJ263" t="str">
        <v>DUARTE VALENCIA CRISTHIAN DARIO</v>
      </c>
      <c r="EK263" t="str">
        <v>FORTTY BARBERAN DENNY ALEXANDER</v>
      </c>
      <c r="EL263" t="str">
        <v>GUTIERREZ ZAMBRANO CARMEN EBELINA</v>
      </c>
      <c r="EM263" t="str">
        <v>INTRIAGO MOLINA GEMA VALERIA</v>
      </c>
      <c r="EN263" t="str">
        <v>LINO VELEZ LEONEL LIVINGTON</v>
      </c>
      <c r="EO263" t="str">
        <v>LOOR ALCIVAR MARIA ILIANA</v>
      </c>
      <c r="EP263" t="str">
        <v>LOOR MIELES TANIA JACQUELINE</v>
      </c>
      <c r="EQ263" t="str">
        <v>LOOR SOLORZANO ROSA MARIA</v>
      </c>
      <c r="ER263" t="str">
        <v>LOPEZ DELGADO RONALD MAURICIO</v>
      </c>
      <c r="ES263" t="str">
        <v>MACIAS VALENCIA DAVID GABRIEL</v>
      </c>
      <c r="ET263" t="str">
        <v>MENDOZA ZAMORA WALTER MANUEL</v>
      </c>
      <c r="EU263" t="str">
        <v>MOLINA CEVALLOS MARIA LORENA</v>
      </c>
      <c r="EV263" t="str">
        <v>MURILLO DELGADO ISAAC GABRIEL</v>
      </c>
      <c r="EW263" t="str">
        <v>ANGULO MURILLO NAVIRA GISSELA</v>
      </c>
      <c r="EX263" t="str">
        <v>OCHOA SOLEDISPA NESTOR IVAN</v>
      </c>
      <c r="EY263" t="str">
        <v>PARRAGA FRANCO SILVANA MARIELA</v>
      </c>
      <c r="EZ263" t="str">
        <v>PINARGOTE VASQUEZ NANCY FABIOLA</v>
      </c>
      <c r="FA263" t="str">
        <v>REYES VELEZ PEDRO ENRIQUE</v>
      </c>
      <c r="FB263" t="str">
        <v>SAN ANDRES HORMAZA DALLAS CECILIA</v>
      </c>
      <c r="FC263" t="str">
        <v>SORNOZA ZAMORA JUAN CARLOS</v>
      </c>
      <c r="FD263" t="str">
        <v>TOMALA PINTO JESUS JACINTO</v>
      </c>
      <c r="FE263" t="str">
        <v>VALLE JARAMILLO SILVIA ARACELY</v>
      </c>
      <c r="FF263" t="str">
        <v>VELÁSQUEZ BRAVO IRMA KATHERINE</v>
      </c>
      <c r="FG263" t="str">
        <v>VELEZ MENDOZA LAYSY VALERIA</v>
      </c>
      <c r="FH263" t="str">
        <v>VINUEZA TELLO SHIRLEY ELIZABETH</v>
      </c>
      <c r="FI263" t="str">
        <v>ZAMBRANO ALCIVAR NILDA ISABEL</v>
      </c>
      <c r="FJ263" t="str">
        <v>ZAMBRANO LOOR RITA MAYDA</v>
      </c>
      <c r="FK263" t="str">
        <v>ZAMBRANO VERA MONICA JANETH</v>
      </c>
      <c r="FL263" t="str">
        <v>VERA DELGADO BRYAN ADRIÁN</v>
      </c>
      <c r="FM263" t="str">
        <v>MORAN GONZALES DAVID RENATO</v>
      </c>
      <c r="FN263">
        <v>0</v>
      </c>
    </row>
    <row r="264" spans="1:170" ht="20.25" customHeight="1">
      <c r="A264" s="4" t="str" cm="1">
        <f t="array" ref="A264">TRANSPOSE(_xlfn.UNIQUE(_xlfn._xlws.FILTER(MAE_ASIGNATURA[ID_NIVEL],MAE_ASIGNATURA[ID_CARRERA]=ASIGNACION!$C264,"No existe información")))</f>
        <v>No existe información</v>
      </c>
      <c r="S264" s="4" t="str" cm="1">
        <f t="array" ref="S264">TRANSPOSE(_xlfn.UNIQUE(_xlfn._xlws.FILTER(MAE_ASIGNATURA[NOM_ASIG],(MAE_ASIGNATURA[ID_NIVEL]=ASIGNACION!$D264)*(MAE_ASIGNATURA[ID_CARRERA]=ASIGNACION!$C264),"No existe información")))</f>
        <v>No existe información</v>
      </c>
      <c r="BD264" s="4" t="str" cm="1">
        <f t="array" ref="BD264">TRANSPOSE(_xlfn.UNIQUE(_xlfn._xlws.FILTER(DET_ASIG[DETALLADO],(DET_ASIG[ID_CARRERA]=ASIGNACION!$C264)*(DET_ASIG[NIVEL]=ASIGNACION!$D264)*(DET_ASIG[ID_ASIG]=ASIGNACION!$G264),"No existe información")))</f>
        <v>No existe información</v>
      </c>
      <c r="BQ264" s="5" t="str" cm="1">
        <f t="array" ref="BQ264">IFERROR(
    TRANSPOSE(
        _xlfn.UNIQUE(
            _xlfn._xlws.FILTER(MAESTRIA_DETALLADO[MAESTRIA],
                ISNUMBER(MATCH(MAESTRIA_DETALLADO[CAMPO_DETALLADO],
                BD264:BP264,0))
            )
        )
    ),IF(BD264="ACTIVIDAD","DOCENCIA",""))</f>
        <v/>
      </c>
      <c r="EA264" s="5" t="str" cm="1">
        <f t="array" ref="EA264:FN264">IF(
    ASIGNACION!I264="SI",
    IFERROR(
        TRANSPOSE(
            _xlfn.UNIQUE(
                _xlfn._xlws.FILTER(EDU_DOCENTE[NOMBRE_DOCENTE],
                    ISNUMBER(MATCH(EDU_DOCENTE[MAESTRIA],
                    BQ264:DY264,0))
                )
            )
        ),
        ""
    ),
    TRANSPOSE(
        _xlfn.UNIQUE(EDU_DOCENTE[NOMBRE_DOCENTE]
        )
    )
)</f>
        <v>ALCIVAR CEDEÑO BEATRIZ ISABEL</v>
      </c>
      <c r="EB264" t="str">
        <v>ALCIVAR VERA GEMA MICHELLE</v>
      </c>
      <c r="EC264" t="str">
        <v>ARAUZ CHAVEZ MARIO ROBERTO</v>
      </c>
      <c r="ED264" t="str">
        <v>BAILON LOURIDO WALTER ALBERTO</v>
      </c>
      <c r="EE264" t="str">
        <v>CALDERERO VILLAGOMEZ ERICK ANTONIO</v>
      </c>
      <c r="EF264" t="str">
        <v>CASTILLO GARCIA PAOLA GERMANIA</v>
      </c>
      <c r="EG264" t="str">
        <v>CEDEÑO CHOEZ PEDRO JAVIER</v>
      </c>
      <c r="EH264" t="str">
        <v>CEVALLOS HOPPE JUAN CARLOS</v>
      </c>
      <c r="EI264" t="str">
        <v>DELGADO CHAVEZ MARIA IRASEMA</v>
      </c>
      <c r="EJ264" t="str">
        <v>DUARTE VALENCIA CRISTHIAN DARIO</v>
      </c>
      <c r="EK264" t="str">
        <v>FORTTY BARBERAN DENNY ALEXANDER</v>
      </c>
      <c r="EL264" t="str">
        <v>GUTIERREZ ZAMBRANO CARMEN EBELINA</v>
      </c>
      <c r="EM264" t="str">
        <v>INTRIAGO MOLINA GEMA VALERIA</v>
      </c>
      <c r="EN264" t="str">
        <v>LINO VELEZ LEONEL LIVINGTON</v>
      </c>
      <c r="EO264" t="str">
        <v>LOOR ALCIVAR MARIA ILIANA</v>
      </c>
      <c r="EP264" t="str">
        <v>LOOR MIELES TANIA JACQUELINE</v>
      </c>
      <c r="EQ264" t="str">
        <v>LOOR SOLORZANO ROSA MARIA</v>
      </c>
      <c r="ER264" t="str">
        <v>LOPEZ DELGADO RONALD MAURICIO</v>
      </c>
      <c r="ES264" t="str">
        <v>MACIAS VALENCIA DAVID GABRIEL</v>
      </c>
      <c r="ET264" t="str">
        <v>MENDOZA ZAMORA WALTER MANUEL</v>
      </c>
      <c r="EU264" t="str">
        <v>MOLINA CEVALLOS MARIA LORENA</v>
      </c>
      <c r="EV264" t="str">
        <v>MURILLO DELGADO ISAAC GABRIEL</v>
      </c>
      <c r="EW264" t="str">
        <v>ANGULO MURILLO NAVIRA GISSELA</v>
      </c>
      <c r="EX264" t="str">
        <v>OCHOA SOLEDISPA NESTOR IVAN</v>
      </c>
      <c r="EY264" t="str">
        <v>PARRAGA FRANCO SILVANA MARIELA</v>
      </c>
      <c r="EZ264" t="str">
        <v>PINARGOTE VASQUEZ NANCY FABIOLA</v>
      </c>
      <c r="FA264" t="str">
        <v>REYES VELEZ PEDRO ENRIQUE</v>
      </c>
      <c r="FB264" t="str">
        <v>SAN ANDRES HORMAZA DALLAS CECILIA</v>
      </c>
      <c r="FC264" t="str">
        <v>SORNOZA ZAMORA JUAN CARLOS</v>
      </c>
      <c r="FD264" t="str">
        <v>TOMALA PINTO JESUS JACINTO</v>
      </c>
      <c r="FE264" t="str">
        <v>VALLE JARAMILLO SILVIA ARACELY</v>
      </c>
      <c r="FF264" t="str">
        <v>VELÁSQUEZ BRAVO IRMA KATHERINE</v>
      </c>
      <c r="FG264" t="str">
        <v>VELEZ MENDOZA LAYSY VALERIA</v>
      </c>
      <c r="FH264" t="str">
        <v>VINUEZA TELLO SHIRLEY ELIZABETH</v>
      </c>
      <c r="FI264" t="str">
        <v>ZAMBRANO ALCIVAR NILDA ISABEL</v>
      </c>
      <c r="FJ264" t="str">
        <v>ZAMBRANO LOOR RITA MAYDA</v>
      </c>
      <c r="FK264" t="str">
        <v>ZAMBRANO VERA MONICA JANETH</v>
      </c>
      <c r="FL264" t="str">
        <v>VERA DELGADO BRYAN ADRIÁN</v>
      </c>
      <c r="FM264" t="str">
        <v>MORAN GONZALES DAVID RENATO</v>
      </c>
      <c r="FN264">
        <v>0</v>
      </c>
    </row>
    <row r="265" spans="1:170" ht="20.25" customHeight="1">
      <c r="A265" s="4" t="str" cm="1">
        <f t="array" ref="A265">TRANSPOSE(_xlfn.UNIQUE(_xlfn._xlws.FILTER(MAE_ASIGNATURA[ID_NIVEL],MAE_ASIGNATURA[ID_CARRERA]=ASIGNACION!$C265,"No existe información")))</f>
        <v>No existe información</v>
      </c>
      <c r="S265" s="4" t="str" cm="1">
        <f t="array" ref="S265">TRANSPOSE(_xlfn.UNIQUE(_xlfn._xlws.FILTER(MAE_ASIGNATURA[NOM_ASIG],(MAE_ASIGNATURA[ID_NIVEL]=ASIGNACION!$D265)*(MAE_ASIGNATURA[ID_CARRERA]=ASIGNACION!$C265),"No existe información")))</f>
        <v>No existe información</v>
      </c>
      <c r="BD265" s="4" t="str" cm="1">
        <f t="array" ref="BD265">TRANSPOSE(_xlfn.UNIQUE(_xlfn._xlws.FILTER(DET_ASIG[DETALLADO],(DET_ASIG[ID_CARRERA]=ASIGNACION!$C265)*(DET_ASIG[NIVEL]=ASIGNACION!$D265)*(DET_ASIG[ID_ASIG]=ASIGNACION!$G265),"No existe información")))</f>
        <v>No existe información</v>
      </c>
      <c r="BQ265" s="5" t="str" cm="1">
        <f t="array" ref="BQ265">IFERROR(
    TRANSPOSE(
        _xlfn.UNIQUE(
            _xlfn._xlws.FILTER(MAESTRIA_DETALLADO[MAESTRIA],
                ISNUMBER(MATCH(MAESTRIA_DETALLADO[CAMPO_DETALLADO],
                BD265:BP265,0))
            )
        )
    ),IF(BD265="ACTIVIDAD","DOCENCIA",""))</f>
        <v/>
      </c>
      <c r="EA265" s="5" t="str" cm="1">
        <f t="array" ref="EA265:FN265">IF(
    ASIGNACION!I265="SI",
    IFERROR(
        TRANSPOSE(
            _xlfn.UNIQUE(
                _xlfn._xlws.FILTER(EDU_DOCENTE[NOMBRE_DOCENTE],
                    ISNUMBER(MATCH(EDU_DOCENTE[MAESTRIA],
                    BQ265:DY265,0))
                )
            )
        ),
        ""
    ),
    TRANSPOSE(
        _xlfn.UNIQUE(EDU_DOCENTE[NOMBRE_DOCENTE]
        )
    )
)</f>
        <v>ALCIVAR CEDEÑO BEATRIZ ISABEL</v>
      </c>
      <c r="EB265" t="str">
        <v>ALCIVAR VERA GEMA MICHELLE</v>
      </c>
      <c r="EC265" t="str">
        <v>ARAUZ CHAVEZ MARIO ROBERTO</v>
      </c>
      <c r="ED265" t="str">
        <v>BAILON LOURIDO WALTER ALBERTO</v>
      </c>
      <c r="EE265" t="str">
        <v>CALDERERO VILLAGOMEZ ERICK ANTONIO</v>
      </c>
      <c r="EF265" t="str">
        <v>CASTILLO GARCIA PAOLA GERMANIA</v>
      </c>
      <c r="EG265" t="str">
        <v>CEDEÑO CHOEZ PEDRO JAVIER</v>
      </c>
      <c r="EH265" t="str">
        <v>CEVALLOS HOPPE JUAN CARLOS</v>
      </c>
      <c r="EI265" t="str">
        <v>DELGADO CHAVEZ MARIA IRASEMA</v>
      </c>
      <c r="EJ265" t="str">
        <v>DUARTE VALENCIA CRISTHIAN DARIO</v>
      </c>
      <c r="EK265" t="str">
        <v>FORTTY BARBERAN DENNY ALEXANDER</v>
      </c>
      <c r="EL265" t="str">
        <v>GUTIERREZ ZAMBRANO CARMEN EBELINA</v>
      </c>
      <c r="EM265" t="str">
        <v>INTRIAGO MOLINA GEMA VALERIA</v>
      </c>
      <c r="EN265" t="str">
        <v>LINO VELEZ LEONEL LIVINGTON</v>
      </c>
      <c r="EO265" t="str">
        <v>LOOR ALCIVAR MARIA ILIANA</v>
      </c>
      <c r="EP265" t="str">
        <v>LOOR MIELES TANIA JACQUELINE</v>
      </c>
      <c r="EQ265" t="str">
        <v>LOOR SOLORZANO ROSA MARIA</v>
      </c>
      <c r="ER265" t="str">
        <v>LOPEZ DELGADO RONALD MAURICIO</v>
      </c>
      <c r="ES265" t="str">
        <v>MACIAS VALENCIA DAVID GABRIEL</v>
      </c>
      <c r="ET265" t="str">
        <v>MENDOZA ZAMORA WALTER MANUEL</v>
      </c>
      <c r="EU265" t="str">
        <v>MOLINA CEVALLOS MARIA LORENA</v>
      </c>
      <c r="EV265" t="str">
        <v>MURILLO DELGADO ISAAC GABRIEL</v>
      </c>
      <c r="EW265" t="str">
        <v>ANGULO MURILLO NAVIRA GISSELA</v>
      </c>
      <c r="EX265" t="str">
        <v>OCHOA SOLEDISPA NESTOR IVAN</v>
      </c>
      <c r="EY265" t="str">
        <v>PARRAGA FRANCO SILVANA MARIELA</v>
      </c>
      <c r="EZ265" t="str">
        <v>PINARGOTE VASQUEZ NANCY FABIOLA</v>
      </c>
      <c r="FA265" t="str">
        <v>REYES VELEZ PEDRO ENRIQUE</v>
      </c>
      <c r="FB265" t="str">
        <v>SAN ANDRES HORMAZA DALLAS CECILIA</v>
      </c>
      <c r="FC265" t="str">
        <v>SORNOZA ZAMORA JUAN CARLOS</v>
      </c>
      <c r="FD265" t="str">
        <v>TOMALA PINTO JESUS JACINTO</v>
      </c>
      <c r="FE265" t="str">
        <v>VALLE JARAMILLO SILVIA ARACELY</v>
      </c>
      <c r="FF265" t="str">
        <v>VELÁSQUEZ BRAVO IRMA KATHERINE</v>
      </c>
      <c r="FG265" t="str">
        <v>VELEZ MENDOZA LAYSY VALERIA</v>
      </c>
      <c r="FH265" t="str">
        <v>VINUEZA TELLO SHIRLEY ELIZABETH</v>
      </c>
      <c r="FI265" t="str">
        <v>ZAMBRANO ALCIVAR NILDA ISABEL</v>
      </c>
      <c r="FJ265" t="str">
        <v>ZAMBRANO LOOR RITA MAYDA</v>
      </c>
      <c r="FK265" t="str">
        <v>ZAMBRANO VERA MONICA JANETH</v>
      </c>
      <c r="FL265" t="str">
        <v>VERA DELGADO BRYAN ADRIÁN</v>
      </c>
      <c r="FM265" t="str">
        <v>MORAN GONZALES DAVID RENATO</v>
      </c>
      <c r="FN265">
        <v>0</v>
      </c>
    </row>
    <row r="266" spans="1:170" ht="20.25" customHeight="1">
      <c r="A266" s="4" t="str" cm="1">
        <f t="array" ref="A266">TRANSPOSE(_xlfn.UNIQUE(_xlfn._xlws.FILTER(MAE_ASIGNATURA[ID_NIVEL],MAE_ASIGNATURA[ID_CARRERA]=ASIGNACION!$C266,"No existe información")))</f>
        <v>No existe información</v>
      </c>
      <c r="S266" s="4" t="str" cm="1">
        <f t="array" ref="S266">TRANSPOSE(_xlfn.UNIQUE(_xlfn._xlws.FILTER(MAE_ASIGNATURA[NOM_ASIG],(MAE_ASIGNATURA[ID_NIVEL]=ASIGNACION!$D266)*(MAE_ASIGNATURA[ID_CARRERA]=ASIGNACION!$C266),"No existe información")))</f>
        <v>No existe información</v>
      </c>
      <c r="BD266" s="4" t="str" cm="1">
        <f t="array" ref="BD266">TRANSPOSE(_xlfn.UNIQUE(_xlfn._xlws.FILTER(DET_ASIG[DETALLADO],(DET_ASIG[ID_CARRERA]=ASIGNACION!$C266)*(DET_ASIG[NIVEL]=ASIGNACION!$D266)*(DET_ASIG[ID_ASIG]=ASIGNACION!$G266),"No existe información")))</f>
        <v>No existe información</v>
      </c>
      <c r="BQ266" s="5" t="str" cm="1">
        <f t="array" ref="BQ266">IFERROR(
    TRANSPOSE(
        _xlfn.UNIQUE(
            _xlfn._xlws.FILTER(MAESTRIA_DETALLADO[MAESTRIA],
                ISNUMBER(MATCH(MAESTRIA_DETALLADO[CAMPO_DETALLADO],
                BD266:BP266,0))
            )
        )
    ),IF(BD266="ACTIVIDAD","DOCENCIA",""))</f>
        <v/>
      </c>
      <c r="EA266" s="5" t="str" cm="1">
        <f t="array" ref="EA266:FN266">IF(
    ASIGNACION!I266="SI",
    IFERROR(
        TRANSPOSE(
            _xlfn.UNIQUE(
                _xlfn._xlws.FILTER(EDU_DOCENTE[NOMBRE_DOCENTE],
                    ISNUMBER(MATCH(EDU_DOCENTE[MAESTRIA],
                    BQ266:DY266,0))
                )
            )
        ),
        ""
    ),
    TRANSPOSE(
        _xlfn.UNIQUE(EDU_DOCENTE[NOMBRE_DOCENTE]
        )
    )
)</f>
        <v>ALCIVAR CEDEÑO BEATRIZ ISABEL</v>
      </c>
      <c r="EB266" t="str">
        <v>ALCIVAR VERA GEMA MICHELLE</v>
      </c>
      <c r="EC266" t="str">
        <v>ARAUZ CHAVEZ MARIO ROBERTO</v>
      </c>
      <c r="ED266" t="str">
        <v>BAILON LOURIDO WALTER ALBERTO</v>
      </c>
      <c r="EE266" t="str">
        <v>CALDERERO VILLAGOMEZ ERICK ANTONIO</v>
      </c>
      <c r="EF266" t="str">
        <v>CASTILLO GARCIA PAOLA GERMANIA</v>
      </c>
      <c r="EG266" t="str">
        <v>CEDEÑO CHOEZ PEDRO JAVIER</v>
      </c>
      <c r="EH266" t="str">
        <v>CEVALLOS HOPPE JUAN CARLOS</v>
      </c>
      <c r="EI266" t="str">
        <v>DELGADO CHAVEZ MARIA IRASEMA</v>
      </c>
      <c r="EJ266" t="str">
        <v>DUARTE VALENCIA CRISTHIAN DARIO</v>
      </c>
      <c r="EK266" t="str">
        <v>FORTTY BARBERAN DENNY ALEXANDER</v>
      </c>
      <c r="EL266" t="str">
        <v>GUTIERREZ ZAMBRANO CARMEN EBELINA</v>
      </c>
      <c r="EM266" t="str">
        <v>INTRIAGO MOLINA GEMA VALERIA</v>
      </c>
      <c r="EN266" t="str">
        <v>LINO VELEZ LEONEL LIVINGTON</v>
      </c>
      <c r="EO266" t="str">
        <v>LOOR ALCIVAR MARIA ILIANA</v>
      </c>
      <c r="EP266" t="str">
        <v>LOOR MIELES TANIA JACQUELINE</v>
      </c>
      <c r="EQ266" t="str">
        <v>LOOR SOLORZANO ROSA MARIA</v>
      </c>
      <c r="ER266" t="str">
        <v>LOPEZ DELGADO RONALD MAURICIO</v>
      </c>
      <c r="ES266" t="str">
        <v>MACIAS VALENCIA DAVID GABRIEL</v>
      </c>
      <c r="ET266" t="str">
        <v>MENDOZA ZAMORA WALTER MANUEL</v>
      </c>
      <c r="EU266" t="str">
        <v>MOLINA CEVALLOS MARIA LORENA</v>
      </c>
      <c r="EV266" t="str">
        <v>MURILLO DELGADO ISAAC GABRIEL</v>
      </c>
      <c r="EW266" t="str">
        <v>ANGULO MURILLO NAVIRA GISSELA</v>
      </c>
      <c r="EX266" t="str">
        <v>OCHOA SOLEDISPA NESTOR IVAN</v>
      </c>
      <c r="EY266" t="str">
        <v>PARRAGA FRANCO SILVANA MARIELA</v>
      </c>
      <c r="EZ266" t="str">
        <v>PINARGOTE VASQUEZ NANCY FABIOLA</v>
      </c>
      <c r="FA266" t="str">
        <v>REYES VELEZ PEDRO ENRIQUE</v>
      </c>
      <c r="FB266" t="str">
        <v>SAN ANDRES HORMAZA DALLAS CECILIA</v>
      </c>
      <c r="FC266" t="str">
        <v>SORNOZA ZAMORA JUAN CARLOS</v>
      </c>
      <c r="FD266" t="str">
        <v>TOMALA PINTO JESUS JACINTO</v>
      </c>
      <c r="FE266" t="str">
        <v>VALLE JARAMILLO SILVIA ARACELY</v>
      </c>
      <c r="FF266" t="str">
        <v>VELÁSQUEZ BRAVO IRMA KATHERINE</v>
      </c>
      <c r="FG266" t="str">
        <v>VELEZ MENDOZA LAYSY VALERIA</v>
      </c>
      <c r="FH266" t="str">
        <v>VINUEZA TELLO SHIRLEY ELIZABETH</v>
      </c>
      <c r="FI266" t="str">
        <v>ZAMBRANO ALCIVAR NILDA ISABEL</v>
      </c>
      <c r="FJ266" t="str">
        <v>ZAMBRANO LOOR RITA MAYDA</v>
      </c>
      <c r="FK266" t="str">
        <v>ZAMBRANO VERA MONICA JANETH</v>
      </c>
      <c r="FL266" t="str">
        <v>VERA DELGADO BRYAN ADRIÁN</v>
      </c>
      <c r="FM266" t="str">
        <v>MORAN GONZALES DAVID RENATO</v>
      </c>
      <c r="FN266">
        <v>0</v>
      </c>
    </row>
    <row r="267" spans="1:170" ht="20.25" customHeight="1">
      <c r="A267" s="4" t="str" cm="1">
        <f t="array" ref="A267">TRANSPOSE(_xlfn.UNIQUE(_xlfn._xlws.FILTER(MAE_ASIGNATURA[ID_NIVEL],MAE_ASIGNATURA[ID_CARRERA]=ASIGNACION!$C267,"No existe información")))</f>
        <v>No existe información</v>
      </c>
      <c r="S267" s="4" t="str" cm="1">
        <f t="array" ref="S267">TRANSPOSE(_xlfn.UNIQUE(_xlfn._xlws.FILTER(MAE_ASIGNATURA[NOM_ASIG],(MAE_ASIGNATURA[ID_NIVEL]=ASIGNACION!$D267)*(MAE_ASIGNATURA[ID_CARRERA]=ASIGNACION!$C267),"No existe información")))</f>
        <v>No existe información</v>
      </c>
      <c r="BD267" s="4" t="str" cm="1">
        <f t="array" ref="BD267">TRANSPOSE(_xlfn.UNIQUE(_xlfn._xlws.FILTER(DET_ASIG[DETALLADO],(DET_ASIG[ID_CARRERA]=ASIGNACION!$C267)*(DET_ASIG[NIVEL]=ASIGNACION!$D267)*(DET_ASIG[ID_ASIG]=ASIGNACION!$G267),"No existe información")))</f>
        <v>No existe información</v>
      </c>
      <c r="BQ267" s="5" t="str" cm="1">
        <f t="array" ref="BQ267">IFERROR(
    TRANSPOSE(
        _xlfn.UNIQUE(
            _xlfn._xlws.FILTER(MAESTRIA_DETALLADO[MAESTRIA],
                ISNUMBER(MATCH(MAESTRIA_DETALLADO[CAMPO_DETALLADO],
                BD267:BP267,0))
            )
        )
    ),IF(BD267="ACTIVIDAD","DOCENCIA",""))</f>
        <v/>
      </c>
      <c r="EA267" s="5" t="str" cm="1">
        <f t="array" ref="EA267:FN267">IF(
    ASIGNACION!I267="SI",
    IFERROR(
        TRANSPOSE(
            _xlfn.UNIQUE(
                _xlfn._xlws.FILTER(EDU_DOCENTE[NOMBRE_DOCENTE],
                    ISNUMBER(MATCH(EDU_DOCENTE[MAESTRIA],
                    BQ267:DY267,0))
                )
            )
        ),
        ""
    ),
    TRANSPOSE(
        _xlfn.UNIQUE(EDU_DOCENTE[NOMBRE_DOCENTE]
        )
    )
)</f>
        <v>ALCIVAR CEDEÑO BEATRIZ ISABEL</v>
      </c>
      <c r="EB267" t="str">
        <v>ALCIVAR VERA GEMA MICHELLE</v>
      </c>
      <c r="EC267" t="str">
        <v>ARAUZ CHAVEZ MARIO ROBERTO</v>
      </c>
      <c r="ED267" t="str">
        <v>BAILON LOURIDO WALTER ALBERTO</v>
      </c>
      <c r="EE267" t="str">
        <v>CALDERERO VILLAGOMEZ ERICK ANTONIO</v>
      </c>
      <c r="EF267" t="str">
        <v>CASTILLO GARCIA PAOLA GERMANIA</v>
      </c>
      <c r="EG267" t="str">
        <v>CEDEÑO CHOEZ PEDRO JAVIER</v>
      </c>
      <c r="EH267" t="str">
        <v>CEVALLOS HOPPE JUAN CARLOS</v>
      </c>
      <c r="EI267" t="str">
        <v>DELGADO CHAVEZ MARIA IRASEMA</v>
      </c>
      <c r="EJ267" t="str">
        <v>DUARTE VALENCIA CRISTHIAN DARIO</v>
      </c>
      <c r="EK267" t="str">
        <v>FORTTY BARBERAN DENNY ALEXANDER</v>
      </c>
      <c r="EL267" t="str">
        <v>GUTIERREZ ZAMBRANO CARMEN EBELINA</v>
      </c>
      <c r="EM267" t="str">
        <v>INTRIAGO MOLINA GEMA VALERIA</v>
      </c>
      <c r="EN267" t="str">
        <v>LINO VELEZ LEONEL LIVINGTON</v>
      </c>
      <c r="EO267" t="str">
        <v>LOOR ALCIVAR MARIA ILIANA</v>
      </c>
      <c r="EP267" t="str">
        <v>LOOR MIELES TANIA JACQUELINE</v>
      </c>
      <c r="EQ267" t="str">
        <v>LOOR SOLORZANO ROSA MARIA</v>
      </c>
      <c r="ER267" t="str">
        <v>LOPEZ DELGADO RONALD MAURICIO</v>
      </c>
      <c r="ES267" t="str">
        <v>MACIAS VALENCIA DAVID GABRIEL</v>
      </c>
      <c r="ET267" t="str">
        <v>MENDOZA ZAMORA WALTER MANUEL</v>
      </c>
      <c r="EU267" t="str">
        <v>MOLINA CEVALLOS MARIA LORENA</v>
      </c>
      <c r="EV267" t="str">
        <v>MURILLO DELGADO ISAAC GABRIEL</v>
      </c>
      <c r="EW267" t="str">
        <v>ANGULO MURILLO NAVIRA GISSELA</v>
      </c>
      <c r="EX267" t="str">
        <v>OCHOA SOLEDISPA NESTOR IVAN</v>
      </c>
      <c r="EY267" t="str">
        <v>PARRAGA FRANCO SILVANA MARIELA</v>
      </c>
      <c r="EZ267" t="str">
        <v>PINARGOTE VASQUEZ NANCY FABIOLA</v>
      </c>
      <c r="FA267" t="str">
        <v>REYES VELEZ PEDRO ENRIQUE</v>
      </c>
      <c r="FB267" t="str">
        <v>SAN ANDRES HORMAZA DALLAS CECILIA</v>
      </c>
      <c r="FC267" t="str">
        <v>SORNOZA ZAMORA JUAN CARLOS</v>
      </c>
      <c r="FD267" t="str">
        <v>TOMALA PINTO JESUS JACINTO</v>
      </c>
      <c r="FE267" t="str">
        <v>VALLE JARAMILLO SILVIA ARACELY</v>
      </c>
      <c r="FF267" t="str">
        <v>VELÁSQUEZ BRAVO IRMA KATHERINE</v>
      </c>
      <c r="FG267" t="str">
        <v>VELEZ MENDOZA LAYSY VALERIA</v>
      </c>
      <c r="FH267" t="str">
        <v>VINUEZA TELLO SHIRLEY ELIZABETH</v>
      </c>
      <c r="FI267" t="str">
        <v>ZAMBRANO ALCIVAR NILDA ISABEL</v>
      </c>
      <c r="FJ267" t="str">
        <v>ZAMBRANO LOOR RITA MAYDA</v>
      </c>
      <c r="FK267" t="str">
        <v>ZAMBRANO VERA MONICA JANETH</v>
      </c>
      <c r="FL267" t="str">
        <v>VERA DELGADO BRYAN ADRIÁN</v>
      </c>
      <c r="FM267" t="str">
        <v>MORAN GONZALES DAVID RENATO</v>
      </c>
      <c r="FN267">
        <v>0</v>
      </c>
    </row>
    <row r="268" spans="1:170" ht="20.25" customHeight="1">
      <c r="A268" s="4" t="str" cm="1">
        <f t="array" ref="A268">TRANSPOSE(_xlfn.UNIQUE(_xlfn._xlws.FILTER(MAE_ASIGNATURA[ID_NIVEL],MAE_ASIGNATURA[ID_CARRERA]=ASIGNACION!$C268,"No existe información")))</f>
        <v>No existe información</v>
      </c>
      <c r="S268" s="4" t="str" cm="1">
        <f t="array" ref="S268">TRANSPOSE(_xlfn.UNIQUE(_xlfn._xlws.FILTER(MAE_ASIGNATURA[NOM_ASIG],(MAE_ASIGNATURA[ID_NIVEL]=ASIGNACION!$D268)*(MAE_ASIGNATURA[ID_CARRERA]=ASIGNACION!$C268),"No existe información")))</f>
        <v>No existe información</v>
      </c>
      <c r="BD268" s="4" t="str" cm="1">
        <f t="array" ref="BD268">TRANSPOSE(_xlfn.UNIQUE(_xlfn._xlws.FILTER(DET_ASIG[DETALLADO],(DET_ASIG[ID_CARRERA]=ASIGNACION!$C268)*(DET_ASIG[NIVEL]=ASIGNACION!$D268)*(DET_ASIG[ID_ASIG]=ASIGNACION!$G268),"No existe información")))</f>
        <v>No existe información</v>
      </c>
      <c r="BQ268" s="5" t="str" cm="1">
        <f t="array" ref="BQ268">IFERROR(
    TRANSPOSE(
        _xlfn.UNIQUE(
            _xlfn._xlws.FILTER(MAESTRIA_DETALLADO[MAESTRIA],
                ISNUMBER(MATCH(MAESTRIA_DETALLADO[CAMPO_DETALLADO],
                BD268:BP268,0))
            )
        )
    ),IF(BD268="ACTIVIDAD","DOCENCIA",""))</f>
        <v/>
      </c>
      <c r="EA268" s="5" t="str" cm="1">
        <f t="array" ref="EA268:FN268">IF(
    ASIGNACION!I268="SI",
    IFERROR(
        TRANSPOSE(
            _xlfn.UNIQUE(
                _xlfn._xlws.FILTER(EDU_DOCENTE[NOMBRE_DOCENTE],
                    ISNUMBER(MATCH(EDU_DOCENTE[MAESTRIA],
                    BQ268:DY268,0))
                )
            )
        ),
        ""
    ),
    TRANSPOSE(
        _xlfn.UNIQUE(EDU_DOCENTE[NOMBRE_DOCENTE]
        )
    )
)</f>
        <v>ALCIVAR CEDEÑO BEATRIZ ISABEL</v>
      </c>
      <c r="EB268" t="str">
        <v>ALCIVAR VERA GEMA MICHELLE</v>
      </c>
      <c r="EC268" t="str">
        <v>ARAUZ CHAVEZ MARIO ROBERTO</v>
      </c>
      <c r="ED268" t="str">
        <v>BAILON LOURIDO WALTER ALBERTO</v>
      </c>
      <c r="EE268" t="str">
        <v>CALDERERO VILLAGOMEZ ERICK ANTONIO</v>
      </c>
      <c r="EF268" t="str">
        <v>CASTILLO GARCIA PAOLA GERMANIA</v>
      </c>
      <c r="EG268" t="str">
        <v>CEDEÑO CHOEZ PEDRO JAVIER</v>
      </c>
      <c r="EH268" t="str">
        <v>CEVALLOS HOPPE JUAN CARLOS</v>
      </c>
      <c r="EI268" t="str">
        <v>DELGADO CHAVEZ MARIA IRASEMA</v>
      </c>
      <c r="EJ268" t="str">
        <v>DUARTE VALENCIA CRISTHIAN DARIO</v>
      </c>
      <c r="EK268" t="str">
        <v>FORTTY BARBERAN DENNY ALEXANDER</v>
      </c>
      <c r="EL268" t="str">
        <v>GUTIERREZ ZAMBRANO CARMEN EBELINA</v>
      </c>
      <c r="EM268" t="str">
        <v>INTRIAGO MOLINA GEMA VALERIA</v>
      </c>
      <c r="EN268" t="str">
        <v>LINO VELEZ LEONEL LIVINGTON</v>
      </c>
      <c r="EO268" t="str">
        <v>LOOR ALCIVAR MARIA ILIANA</v>
      </c>
      <c r="EP268" t="str">
        <v>LOOR MIELES TANIA JACQUELINE</v>
      </c>
      <c r="EQ268" t="str">
        <v>LOOR SOLORZANO ROSA MARIA</v>
      </c>
      <c r="ER268" t="str">
        <v>LOPEZ DELGADO RONALD MAURICIO</v>
      </c>
      <c r="ES268" t="str">
        <v>MACIAS VALENCIA DAVID GABRIEL</v>
      </c>
      <c r="ET268" t="str">
        <v>MENDOZA ZAMORA WALTER MANUEL</v>
      </c>
      <c r="EU268" t="str">
        <v>MOLINA CEVALLOS MARIA LORENA</v>
      </c>
      <c r="EV268" t="str">
        <v>MURILLO DELGADO ISAAC GABRIEL</v>
      </c>
      <c r="EW268" t="str">
        <v>ANGULO MURILLO NAVIRA GISSELA</v>
      </c>
      <c r="EX268" t="str">
        <v>OCHOA SOLEDISPA NESTOR IVAN</v>
      </c>
      <c r="EY268" t="str">
        <v>PARRAGA FRANCO SILVANA MARIELA</v>
      </c>
      <c r="EZ268" t="str">
        <v>PINARGOTE VASQUEZ NANCY FABIOLA</v>
      </c>
      <c r="FA268" t="str">
        <v>REYES VELEZ PEDRO ENRIQUE</v>
      </c>
      <c r="FB268" t="str">
        <v>SAN ANDRES HORMAZA DALLAS CECILIA</v>
      </c>
      <c r="FC268" t="str">
        <v>SORNOZA ZAMORA JUAN CARLOS</v>
      </c>
      <c r="FD268" t="str">
        <v>TOMALA PINTO JESUS JACINTO</v>
      </c>
      <c r="FE268" t="str">
        <v>VALLE JARAMILLO SILVIA ARACELY</v>
      </c>
      <c r="FF268" t="str">
        <v>VELÁSQUEZ BRAVO IRMA KATHERINE</v>
      </c>
      <c r="FG268" t="str">
        <v>VELEZ MENDOZA LAYSY VALERIA</v>
      </c>
      <c r="FH268" t="str">
        <v>VINUEZA TELLO SHIRLEY ELIZABETH</v>
      </c>
      <c r="FI268" t="str">
        <v>ZAMBRANO ALCIVAR NILDA ISABEL</v>
      </c>
      <c r="FJ268" t="str">
        <v>ZAMBRANO LOOR RITA MAYDA</v>
      </c>
      <c r="FK268" t="str">
        <v>ZAMBRANO VERA MONICA JANETH</v>
      </c>
      <c r="FL268" t="str">
        <v>VERA DELGADO BRYAN ADRIÁN</v>
      </c>
      <c r="FM268" t="str">
        <v>MORAN GONZALES DAVID RENATO</v>
      </c>
      <c r="FN268">
        <v>0</v>
      </c>
    </row>
    <row r="269" spans="1:170" ht="20.25" customHeight="1">
      <c r="A269" s="4" t="str" cm="1">
        <f t="array" ref="A269">TRANSPOSE(_xlfn.UNIQUE(_xlfn._xlws.FILTER(MAE_ASIGNATURA[ID_NIVEL],MAE_ASIGNATURA[ID_CARRERA]=ASIGNACION!$C269,"No existe información")))</f>
        <v>No existe información</v>
      </c>
      <c r="S269" s="4" t="str" cm="1">
        <f t="array" ref="S269">TRANSPOSE(_xlfn.UNIQUE(_xlfn._xlws.FILTER(MAE_ASIGNATURA[NOM_ASIG],(MAE_ASIGNATURA[ID_NIVEL]=ASIGNACION!$D269)*(MAE_ASIGNATURA[ID_CARRERA]=ASIGNACION!$C269),"No existe información")))</f>
        <v>No existe información</v>
      </c>
      <c r="BD269" s="4" t="str" cm="1">
        <f t="array" ref="BD269">TRANSPOSE(_xlfn.UNIQUE(_xlfn._xlws.FILTER(DET_ASIG[DETALLADO],(DET_ASIG[ID_CARRERA]=ASIGNACION!$C269)*(DET_ASIG[NIVEL]=ASIGNACION!$D269)*(DET_ASIG[ID_ASIG]=ASIGNACION!$G269),"No existe información")))</f>
        <v>No existe información</v>
      </c>
      <c r="BQ269" s="5" t="str" cm="1">
        <f t="array" ref="BQ269">IFERROR(
    TRANSPOSE(
        _xlfn.UNIQUE(
            _xlfn._xlws.FILTER(MAESTRIA_DETALLADO[MAESTRIA],
                ISNUMBER(MATCH(MAESTRIA_DETALLADO[CAMPO_DETALLADO],
                BD269:BP269,0))
            )
        )
    ),IF(BD269="ACTIVIDAD","DOCENCIA",""))</f>
        <v/>
      </c>
      <c r="EA269" s="5" t="str" cm="1">
        <f t="array" ref="EA269:FN269">IF(
    ASIGNACION!I269="SI",
    IFERROR(
        TRANSPOSE(
            _xlfn.UNIQUE(
                _xlfn._xlws.FILTER(EDU_DOCENTE[NOMBRE_DOCENTE],
                    ISNUMBER(MATCH(EDU_DOCENTE[MAESTRIA],
                    BQ269:DY269,0))
                )
            )
        ),
        ""
    ),
    TRANSPOSE(
        _xlfn.UNIQUE(EDU_DOCENTE[NOMBRE_DOCENTE]
        )
    )
)</f>
        <v>ALCIVAR CEDEÑO BEATRIZ ISABEL</v>
      </c>
      <c r="EB269" t="str">
        <v>ALCIVAR VERA GEMA MICHELLE</v>
      </c>
      <c r="EC269" t="str">
        <v>ARAUZ CHAVEZ MARIO ROBERTO</v>
      </c>
      <c r="ED269" t="str">
        <v>BAILON LOURIDO WALTER ALBERTO</v>
      </c>
      <c r="EE269" t="str">
        <v>CALDERERO VILLAGOMEZ ERICK ANTONIO</v>
      </c>
      <c r="EF269" t="str">
        <v>CASTILLO GARCIA PAOLA GERMANIA</v>
      </c>
      <c r="EG269" t="str">
        <v>CEDEÑO CHOEZ PEDRO JAVIER</v>
      </c>
      <c r="EH269" t="str">
        <v>CEVALLOS HOPPE JUAN CARLOS</v>
      </c>
      <c r="EI269" t="str">
        <v>DELGADO CHAVEZ MARIA IRASEMA</v>
      </c>
      <c r="EJ269" t="str">
        <v>DUARTE VALENCIA CRISTHIAN DARIO</v>
      </c>
      <c r="EK269" t="str">
        <v>FORTTY BARBERAN DENNY ALEXANDER</v>
      </c>
      <c r="EL269" t="str">
        <v>GUTIERREZ ZAMBRANO CARMEN EBELINA</v>
      </c>
      <c r="EM269" t="str">
        <v>INTRIAGO MOLINA GEMA VALERIA</v>
      </c>
      <c r="EN269" t="str">
        <v>LINO VELEZ LEONEL LIVINGTON</v>
      </c>
      <c r="EO269" t="str">
        <v>LOOR ALCIVAR MARIA ILIANA</v>
      </c>
      <c r="EP269" t="str">
        <v>LOOR MIELES TANIA JACQUELINE</v>
      </c>
      <c r="EQ269" t="str">
        <v>LOOR SOLORZANO ROSA MARIA</v>
      </c>
      <c r="ER269" t="str">
        <v>LOPEZ DELGADO RONALD MAURICIO</v>
      </c>
      <c r="ES269" t="str">
        <v>MACIAS VALENCIA DAVID GABRIEL</v>
      </c>
      <c r="ET269" t="str">
        <v>MENDOZA ZAMORA WALTER MANUEL</v>
      </c>
      <c r="EU269" t="str">
        <v>MOLINA CEVALLOS MARIA LORENA</v>
      </c>
      <c r="EV269" t="str">
        <v>MURILLO DELGADO ISAAC GABRIEL</v>
      </c>
      <c r="EW269" t="str">
        <v>ANGULO MURILLO NAVIRA GISSELA</v>
      </c>
      <c r="EX269" t="str">
        <v>OCHOA SOLEDISPA NESTOR IVAN</v>
      </c>
      <c r="EY269" t="str">
        <v>PARRAGA FRANCO SILVANA MARIELA</v>
      </c>
      <c r="EZ269" t="str">
        <v>PINARGOTE VASQUEZ NANCY FABIOLA</v>
      </c>
      <c r="FA269" t="str">
        <v>REYES VELEZ PEDRO ENRIQUE</v>
      </c>
      <c r="FB269" t="str">
        <v>SAN ANDRES HORMAZA DALLAS CECILIA</v>
      </c>
      <c r="FC269" t="str">
        <v>SORNOZA ZAMORA JUAN CARLOS</v>
      </c>
      <c r="FD269" t="str">
        <v>TOMALA PINTO JESUS JACINTO</v>
      </c>
      <c r="FE269" t="str">
        <v>VALLE JARAMILLO SILVIA ARACELY</v>
      </c>
      <c r="FF269" t="str">
        <v>VELÁSQUEZ BRAVO IRMA KATHERINE</v>
      </c>
      <c r="FG269" t="str">
        <v>VELEZ MENDOZA LAYSY VALERIA</v>
      </c>
      <c r="FH269" t="str">
        <v>VINUEZA TELLO SHIRLEY ELIZABETH</v>
      </c>
      <c r="FI269" t="str">
        <v>ZAMBRANO ALCIVAR NILDA ISABEL</v>
      </c>
      <c r="FJ269" t="str">
        <v>ZAMBRANO LOOR RITA MAYDA</v>
      </c>
      <c r="FK269" t="str">
        <v>ZAMBRANO VERA MONICA JANETH</v>
      </c>
      <c r="FL269" t="str">
        <v>VERA DELGADO BRYAN ADRIÁN</v>
      </c>
      <c r="FM269" t="str">
        <v>MORAN GONZALES DAVID RENATO</v>
      </c>
      <c r="FN269">
        <v>0</v>
      </c>
    </row>
    <row r="270" spans="1:170" ht="20.25" customHeight="1">
      <c r="A270" s="4" t="str" cm="1">
        <f t="array" ref="A270">TRANSPOSE(_xlfn.UNIQUE(_xlfn._xlws.FILTER(MAE_ASIGNATURA[ID_NIVEL],MAE_ASIGNATURA[ID_CARRERA]=ASIGNACION!$C270,"No existe información")))</f>
        <v>No existe información</v>
      </c>
      <c r="S270" s="4" t="str" cm="1">
        <f t="array" ref="S270">TRANSPOSE(_xlfn.UNIQUE(_xlfn._xlws.FILTER(MAE_ASIGNATURA[NOM_ASIG],(MAE_ASIGNATURA[ID_NIVEL]=ASIGNACION!$D270)*(MAE_ASIGNATURA[ID_CARRERA]=ASIGNACION!$C270),"No existe información")))</f>
        <v>No existe información</v>
      </c>
      <c r="BD270" s="4" t="str" cm="1">
        <f t="array" ref="BD270">TRANSPOSE(_xlfn.UNIQUE(_xlfn._xlws.FILTER(DET_ASIG[DETALLADO],(DET_ASIG[ID_CARRERA]=ASIGNACION!$C270)*(DET_ASIG[NIVEL]=ASIGNACION!$D270)*(DET_ASIG[ID_ASIG]=ASIGNACION!$G270),"No existe información")))</f>
        <v>No existe información</v>
      </c>
      <c r="BQ270" s="5" t="str" cm="1">
        <f t="array" ref="BQ270">IFERROR(
    TRANSPOSE(
        _xlfn.UNIQUE(
            _xlfn._xlws.FILTER(MAESTRIA_DETALLADO[MAESTRIA],
                ISNUMBER(MATCH(MAESTRIA_DETALLADO[CAMPO_DETALLADO],
                BD270:BP270,0))
            )
        )
    ),IF(BD270="ACTIVIDAD","DOCENCIA",""))</f>
        <v/>
      </c>
      <c r="EA270" s="5" t="str" cm="1">
        <f t="array" ref="EA270:FN270">IF(
    ASIGNACION!I270="SI",
    IFERROR(
        TRANSPOSE(
            _xlfn.UNIQUE(
                _xlfn._xlws.FILTER(EDU_DOCENTE[NOMBRE_DOCENTE],
                    ISNUMBER(MATCH(EDU_DOCENTE[MAESTRIA],
                    BQ270:DY270,0))
                )
            )
        ),
        ""
    ),
    TRANSPOSE(
        _xlfn.UNIQUE(EDU_DOCENTE[NOMBRE_DOCENTE]
        )
    )
)</f>
        <v>ALCIVAR CEDEÑO BEATRIZ ISABEL</v>
      </c>
      <c r="EB270" t="str">
        <v>ALCIVAR VERA GEMA MICHELLE</v>
      </c>
      <c r="EC270" t="str">
        <v>ARAUZ CHAVEZ MARIO ROBERTO</v>
      </c>
      <c r="ED270" t="str">
        <v>BAILON LOURIDO WALTER ALBERTO</v>
      </c>
      <c r="EE270" t="str">
        <v>CALDERERO VILLAGOMEZ ERICK ANTONIO</v>
      </c>
      <c r="EF270" t="str">
        <v>CASTILLO GARCIA PAOLA GERMANIA</v>
      </c>
      <c r="EG270" t="str">
        <v>CEDEÑO CHOEZ PEDRO JAVIER</v>
      </c>
      <c r="EH270" t="str">
        <v>CEVALLOS HOPPE JUAN CARLOS</v>
      </c>
      <c r="EI270" t="str">
        <v>DELGADO CHAVEZ MARIA IRASEMA</v>
      </c>
      <c r="EJ270" t="str">
        <v>DUARTE VALENCIA CRISTHIAN DARIO</v>
      </c>
      <c r="EK270" t="str">
        <v>FORTTY BARBERAN DENNY ALEXANDER</v>
      </c>
      <c r="EL270" t="str">
        <v>GUTIERREZ ZAMBRANO CARMEN EBELINA</v>
      </c>
      <c r="EM270" t="str">
        <v>INTRIAGO MOLINA GEMA VALERIA</v>
      </c>
      <c r="EN270" t="str">
        <v>LINO VELEZ LEONEL LIVINGTON</v>
      </c>
      <c r="EO270" t="str">
        <v>LOOR ALCIVAR MARIA ILIANA</v>
      </c>
      <c r="EP270" t="str">
        <v>LOOR MIELES TANIA JACQUELINE</v>
      </c>
      <c r="EQ270" t="str">
        <v>LOOR SOLORZANO ROSA MARIA</v>
      </c>
      <c r="ER270" t="str">
        <v>LOPEZ DELGADO RONALD MAURICIO</v>
      </c>
      <c r="ES270" t="str">
        <v>MACIAS VALENCIA DAVID GABRIEL</v>
      </c>
      <c r="ET270" t="str">
        <v>MENDOZA ZAMORA WALTER MANUEL</v>
      </c>
      <c r="EU270" t="str">
        <v>MOLINA CEVALLOS MARIA LORENA</v>
      </c>
      <c r="EV270" t="str">
        <v>MURILLO DELGADO ISAAC GABRIEL</v>
      </c>
      <c r="EW270" t="str">
        <v>ANGULO MURILLO NAVIRA GISSELA</v>
      </c>
      <c r="EX270" t="str">
        <v>OCHOA SOLEDISPA NESTOR IVAN</v>
      </c>
      <c r="EY270" t="str">
        <v>PARRAGA FRANCO SILVANA MARIELA</v>
      </c>
      <c r="EZ270" t="str">
        <v>PINARGOTE VASQUEZ NANCY FABIOLA</v>
      </c>
      <c r="FA270" t="str">
        <v>REYES VELEZ PEDRO ENRIQUE</v>
      </c>
      <c r="FB270" t="str">
        <v>SAN ANDRES HORMAZA DALLAS CECILIA</v>
      </c>
      <c r="FC270" t="str">
        <v>SORNOZA ZAMORA JUAN CARLOS</v>
      </c>
      <c r="FD270" t="str">
        <v>TOMALA PINTO JESUS JACINTO</v>
      </c>
      <c r="FE270" t="str">
        <v>VALLE JARAMILLO SILVIA ARACELY</v>
      </c>
      <c r="FF270" t="str">
        <v>VELÁSQUEZ BRAVO IRMA KATHERINE</v>
      </c>
      <c r="FG270" t="str">
        <v>VELEZ MENDOZA LAYSY VALERIA</v>
      </c>
      <c r="FH270" t="str">
        <v>VINUEZA TELLO SHIRLEY ELIZABETH</v>
      </c>
      <c r="FI270" t="str">
        <v>ZAMBRANO ALCIVAR NILDA ISABEL</v>
      </c>
      <c r="FJ270" t="str">
        <v>ZAMBRANO LOOR RITA MAYDA</v>
      </c>
      <c r="FK270" t="str">
        <v>ZAMBRANO VERA MONICA JANETH</v>
      </c>
      <c r="FL270" t="str">
        <v>VERA DELGADO BRYAN ADRIÁN</v>
      </c>
      <c r="FM270" t="str">
        <v>MORAN GONZALES DAVID RENATO</v>
      </c>
      <c r="FN270">
        <v>0</v>
      </c>
    </row>
    <row r="271" spans="1:170" ht="20.25" customHeight="1">
      <c r="A271" s="4" t="str" cm="1">
        <f t="array" ref="A271">TRANSPOSE(_xlfn.UNIQUE(_xlfn._xlws.FILTER(MAE_ASIGNATURA[ID_NIVEL],MAE_ASIGNATURA[ID_CARRERA]=ASIGNACION!$C271,"No existe información")))</f>
        <v>No existe información</v>
      </c>
      <c r="S271" s="4" t="str" cm="1">
        <f t="array" ref="S271">TRANSPOSE(_xlfn.UNIQUE(_xlfn._xlws.FILTER(MAE_ASIGNATURA[NOM_ASIG],(MAE_ASIGNATURA[ID_NIVEL]=ASIGNACION!$D271)*(MAE_ASIGNATURA[ID_CARRERA]=ASIGNACION!$C271),"No existe información")))</f>
        <v>No existe información</v>
      </c>
      <c r="BD271" s="4" t="str" cm="1">
        <f t="array" ref="BD271">TRANSPOSE(_xlfn.UNIQUE(_xlfn._xlws.FILTER(DET_ASIG[DETALLADO],(DET_ASIG[ID_CARRERA]=ASIGNACION!$C271)*(DET_ASIG[NIVEL]=ASIGNACION!$D271)*(DET_ASIG[ID_ASIG]=ASIGNACION!$G271),"No existe información")))</f>
        <v>No existe información</v>
      </c>
      <c r="BQ271" s="5" t="str" cm="1">
        <f t="array" ref="BQ271">IFERROR(
    TRANSPOSE(
        _xlfn.UNIQUE(
            _xlfn._xlws.FILTER(MAESTRIA_DETALLADO[MAESTRIA],
                ISNUMBER(MATCH(MAESTRIA_DETALLADO[CAMPO_DETALLADO],
                BD271:BP271,0))
            )
        )
    ),IF(BD271="ACTIVIDAD","DOCENCIA",""))</f>
        <v/>
      </c>
      <c r="EA271" s="5" t="str" cm="1">
        <f t="array" ref="EA271:FN271">IF(
    ASIGNACION!I271="SI",
    IFERROR(
        TRANSPOSE(
            _xlfn.UNIQUE(
                _xlfn._xlws.FILTER(EDU_DOCENTE[NOMBRE_DOCENTE],
                    ISNUMBER(MATCH(EDU_DOCENTE[MAESTRIA],
                    BQ271:DY271,0))
                )
            )
        ),
        ""
    ),
    TRANSPOSE(
        _xlfn.UNIQUE(EDU_DOCENTE[NOMBRE_DOCENTE]
        )
    )
)</f>
        <v>ALCIVAR CEDEÑO BEATRIZ ISABEL</v>
      </c>
      <c r="EB271" t="str">
        <v>ALCIVAR VERA GEMA MICHELLE</v>
      </c>
      <c r="EC271" t="str">
        <v>ARAUZ CHAVEZ MARIO ROBERTO</v>
      </c>
      <c r="ED271" t="str">
        <v>BAILON LOURIDO WALTER ALBERTO</v>
      </c>
      <c r="EE271" t="str">
        <v>CALDERERO VILLAGOMEZ ERICK ANTONIO</v>
      </c>
      <c r="EF271" t="str">
        <v>CASTILLO GARCIA PAOLA GERMANIA</v>
      </c>
      <c r="EG271" t="str">
        <v>CEDEÑO CHOEZ PEDRO JAVIER</v>
      </c>
      <c r="EH271" t="str">
        <v>CEVALLOS HOPPE JUAN CARLOS</v>
      </c>
      <c r="EI271" t="str">
        <v>DELGADO CHAVEZ MARIA IRASEMA</v>
      </c>
      <c r="EJ271" t="str">
        <v>DUARTE VALENCIA CRISTHIAN DARIO</v>
      </c>
      <c r="EK271" t="str">
        <v>FORTTY BARBERAN DENNY ALEXANDER</v>
      </c>
      <c r="EL271" t="str">
        <v>GUTIERREZ ZAMBRANO CARMEN EBELINA</v>
      </c>
      <c r="EM271" t="str">
        <v>INTRIAGO MOLINA GEMA VALERIA</v>
      </c>
      <c r="EN271" t="str">
        <v>LINO VELEZ LEONEL LIVINGTON</v>
      </c>
      <c r="EO271" t="str">
        <v>LOOR ALCIVAR MARIA ILIANA</v>
      </c>
      <c r="EP271" t="str">
        <v>LOOR MIELES TANIA JACQUELINE</v>
      </c>
      <c r="EQ271" t="str">
        <v>LOOR SOLORZANO ROSA MARIA</v>
      </c>
      <c r="ER271" t="str">
        <v>LOPEZ DELGADO RONALD MAURICIO</v>
      </c>
      <c r="ES271" t="str">
        <v>MACIAS VALENCIA DAVID GABRIEL</v>
      </c>
      <c r="ET271" t="str">
        <v>MENDOZA ZAMORA WALTER MANUEL</v>
      </c>
      <c r="EU271" t="str">
        <v>MOLINA CEVALLOS MARIA LORENA</v>
      </c>
      <c r="EV271" t="str">
        <v>MURILLO DELGADO ISAAC GABRIEL</v>
      </c>
      <c r="EW271" t="str">
        <v>ANGULO MURILLO NAVIRA GISSELA</v>
      </c>
      <c r="EX271" t="str">
        <v>OCHOA SOLEDISPA NESTOR IVAN</v>
      </c>
      <c r="EY271" t="str">
        <v>PARRAGA FRANCO SILVANA MARIELA</v>
      </c>
      <c r="EZ271" t="str">
        <v>PINARGOTE VASQUEZ NANCY FABIOLA</v>
      </c>
      <c r="FA271" t="str">
        <v>REYES VELEZ PEDRO ENRIQUE</v>
      </c>
      <c r="FB271" t="str">
        <v>SAN ANDRES HORMAZA DALLAS CECILIA</v>
      </c>
      <c r="FC271" t="str">
        <v>SORNOZA ZAMORA JUAN CARLOS</v>
      </c>
      <c r="FD271" t="str">
        <v>TOMALA PINTO JESUS JACINTO</v>
      </c>
      <c r="FE271" t="str">
        <v>VALLE JARAMILLO SILVIA ARACELY</v>
      </c>
      <c r="FF271" t="str">
        <v>VELÁSQUEZ BRAVO IRMA KATHERINE</v>
      </c>
      <c r="FG271" t="str">
        <v>VELEZ MENDOZA LAYSY VALERIA</v>
      </c>
      <c r="FH271" t="str">
        <v>VINUEZA TELLO SHIRLEY ELIZABETH</v>
      </c>
      <c r="FI271" t="str">
        <v>ZAMBRANO ALCIVAR NILDA ISABEL</v>
      </c>
      <c r="FJ271" t="str">
        <v>ZAMBRANO LOOR RITA MAYDA</v>
      </c>
      <c r="FK271" t="str">
        <v>ZAMBRANO VERA MONICA JANETH</v>
      </c>
      <c r="FL271" t="str">
        <v>VERA DELGADO BRYAN ADRIÁN</v>
      </c>
      <c r="FM271" t="str">
        <v>MORAN GONZALES DAVID RENATO</v>
      </c>
      <c r="FN271">
        <v>0</v>
      </c>
    </row>
    <row r="272" spans="1:170" ht="20.25" customHeight="1">
      <c r="A272" s="4" t="str" cm="1">
        <f t="array" ref="A272">TRANSPOSE(_xlfn.UNIQUE(_xlfn._xlws.FILTER(MAE_ASIGNATURA[ID_NIVEL],MAE_ASIGNATURA[ID_CARRERA]=ASIGNACION!$C272,"No existe información")))</f>
        <v>No existe información</v>
      </c>
      <c r="S272" s="4" t="str" cm="1">
        <f t="array" ref="S272">TRANSPOSE(_xlfn.UNIQUE(_xlfn._xlws.FILTER(MAE_ASIGNATURA[NOM_ASIG],(MAE_ASIGNATURA[ID_NIVEL]=ASIGNACION!$D272)*(MAE_ASIGNATURA[ID_CARRERA]=ASIGNACION!$C272),"No existe información")))</f>
        <v>No existe información</v>
      </c>
      <c r="BD272" s="4" t="str" cm="1">
        <f t="array" ref="BD272">TRANSPOSE(_xlfn.UNIQUE(_xlfn._xlws.FILTER(DET_ASIG[DETALLADO],(DET_ASIG[ID_CARRERA]=ASIGNACION!$C272)*(DET_ASIG[NIVEL]=ASIGNACION!$D272)*(DET_ASIG[ID_ASIG]=ASIGNACION!$G272),"No existe información")))</f>
        <v>No existe información</v>
      </c>
      <c r="BQ272" s="5" t="str" cm="1">
        <f t="array" ref="BQ272">IFERROR(
    TRANSPOSE(
        _xlfn.UNIQUE(
            _xlfn._xlws.FILTER(MAESTRIA_DETALLADO[MAESTRIA],
                ISNUMBER(MATCH(MAESTRIA_DETALLADO[CAMPO_DETALLADO],
                BD272:BP272,0))
            )
        )
    ),IF(BD272="ACTIVIDAD","DOCENCIA",""))</f>
        <v/>
      </c>
      <c r="EA272" s="5" t="str" cm="1">
        <f t="array" ref="EA272:FN272">IF(
    ASIGNACION!I272="SI",
    IFERROR(
        TRANSPOSE(
            _xlfn.UNIQUE(
                _xlfn._xlws.FILTER(EDU_DOCENTE[NOMBRE_DOCENTE],
                    ISNUMBER(MATCH(EDU_DOCENTE[MAESTRIA],
                    BQ272:DY272,0))
                )
            )
        ),
        ""
    ),
    TRANSPOSE(
        _xlfn.UNIQUE(EDU_DOCENTE[NOMBRE_DOCENTE]
        )
    )
)</f>
        <v>ALCIVAR CEDEÑO BEATRIZ ISABEL</v>
      </c>
      <c r="EB272" t="str">
        <v>ALCIVAR VERA GEMA MICHELLE</v>
      </c>
      <c r="EC272" t="str">
        <v>ARAUZ CHAVEZ MARIO ROBERTO</v>
      </c>
      <c r="ED272" t="str">
        <v>BAILON LOURIDO WALTER ALBERTO</v>
      </c>
      <c r="EE272" t="str">
        <v>CALDERERO VILLAGOMEZ ERICK ANTONIO</v>
      </c>
      <c r="EF272" t="str">
        <v>CASTILLO GARCIA PAOLA GERMANIA</v>
      </c>
      <c r="EG272" t="str">
        <v>CEDEÑO CHOEZ PEDRO JAVIER</v>
      </c>
      <c r="EH272" t="str">
        <v>CEVALLOS HOPPE JUAN CARLOS</v>
      </c>
      <c r="EI272" t="str">
        <v>DELGADO CHAVEZ MARIA IRASEMA</v>
      </c>
      <c r="EJ272" t="str">
        <v>DUARTE VALENCIA CRISTHIAN DARIO</v>
      </c>
      <c r="EK272" t="str">
        <v>FORTTY BARBERAN DENNY ALEXANDER</v>
      </c>
      <c r="EL272" t="str">
        <v>GUTIERREZ ZAMBRANO CARMEN EBELINA</v>
      </c>
      <c r="EM272" t="str">
        <v>INTRIAGO MOLINA GEMA VALERIA</v>
      </c>
      <c r="EN272" t="str">
        <v>LINO VELEZ LEONEL LIVINGTON</v>
      </c>
      <c r="EO272" t="str">
        <v>LOOR ALCIVAR MARIA ILIANA</v>
      </c>
      <c r="EP272" t="str">
        <v>LOOR MIELES TANIA JACQUELINE</v>
      </c>
      <c r="EQ272" t="str">
        <v>LOOR SOLORZANO ROSA MARIA</v>
      </c>
      <c r="ER272" t="str">
        <v>LOPEZ DELGADO RONALD MAURICIO</v>
      </c>
      <c r="ES272" t="str">
        <v>MACIAS VALENCIA DAVID GABRIEL</v>
      </c>
      <c r="ET272" t="str">
        <v>MENDOZA ZAMORA WALTER MANUEL</v>
      </c>
      <c r="EU272" t="str">
        <v>MOLINA CEVALLOS MARIA LORENA</v>
      </c>
      <c r="EV272" t="str">
        <v>MURILLO DELGADO ISAAC GABRIEL</v>
      </c>
      <c r="EW272" t="str">
        <v>ANGULO MURILLO NAVIRA GISSELA</v>
      </c>
      <c r="EX272" t="str">
        <v>OCHOA SOLEDISPA NESTOR IVAN</v>
      </c>
      <c r="EY272" t="str">
        <v>PARRAGA FRANCO SILVANA MARIELA</v>
      </c>
      <c r="EZ272" t="str">
        <v>PINARGOTE VASQUEZ NANCY FABIOLA</v>
      </c>
      <c r="FA272" t="str">
        <v>REYES VELEZ PEDRO ENRIQUE</v>
      </c>
      <c r="FB272" t="str">
        <v>SAN ANDRES HORMAZA DALLAS CECILIA</v>
      </c>
      <c r="FC272" t="str">
        <v>SORNOZA ZAMORA JUAN CARLOS</v>
      </c>
      <c r="FD272" t="str">
        <v>TOMALA PINTO JESUS JACINTO</v>
      </c>
      <c r="FE272" t="str">
        <v>VALLE JARAMILLO SILVIA ARACELY</v>
      </c>
      <c r="FF272" t="str">
        <v>VELÁSQUEZ BRAVO IRMA KATHERINE</v>
      </c>
      <c r="FG272" t="str">
        <v>VELEZ MENDOZA LAYSY VALERIA</v>
      </c>
      <c r="FH272" t="str">
        <v>VINUEZA TELLO SHIRLEY ELIZABETH</v>
      </c>
      <c r="FI272" t="str">
        <v>ZAMBRANO ALCIVAR NILDA ISABEL</v>
      </c>
      <c r="FJ272" t="str">
        <v>ZAMBRANO LOOR RITA MAYDA</v>
      </c>
      <c r="FK272" t="str">
        <v>ZAMBRANO VERA MONICA JANETH</v>
      </c>
      <c r="FL272" t="str">
        <v>VERA DELGADO BRYAN ADRIÁN</v>
      </c>
      <c r="FM272" t="str">
        <v>MORAN GONZALES DAVID RENATO</v>
      </c>
      <c r="FN272">
        <v>0</v>
      </c>
    </row>
    <row r="273" spans="1:170" ht="20.25" customHeight="1">
      <c r="A273" s="4" t="str" cm="1">
        <f t="array" ref="A273">TRANSPOSE(_xlfn.UNIQUE(_xlfn._xlws.FILTER(MAE_ASIGNATURA[ID_NIVEL],MAE_ASIGNATURA[ID_CARRERA]=ASIGNACION!$C273,"No existe información")))</f>
        <v>No existe información</v>
      </c>
      <c r="S273" s="4" t="str" cm="1">
        <f t="array" ref="S273">TRANSPOSE(_xlfn.UNIQUE(_xlfn._xlws.FILTER(MAE_ASIGNATURA[NOM_ASIG],(MAE_ASIGNATURA[ID_NIVEL]=ASIGNACION!$D273)*(MAE_ASIGNATURA[ID_CARRERA]=ASIGNACION!$C273),"No existe información")))</f>
        <v>No existe información</v>
      </c>
      <c r="BD273" s="4" t="str" cm="1">
        <f t="array" ref="BD273">TRANSPOSE(_xlfn.UNIQUE(_xlfn._xlws.FILTER(DET_ASIG[DETALLADO],(DET_ASIG[ID_CARRERA]=ASIGNACION!$C273)*(DET_ASIG[NIVEL]=ASIGNACION!$D273)*(DET_ASIG[ID_ASIG]=ASIGNACION!$G273),"No existe información")))</f>
        <v>No existe información</v>
      </c>
      <c r="BQ273" s="5" t="str" cm="1">
        <f t="array" ref="BQ273">IFERROR(
    TRANSPOSE(
        _xlfn.UNIQUE(
            _xlfn._xlws.FILTER(MAESTRIA_DETALLADO[MAESTRIA],
                ISNUMBER(MATCH(MAESTRIA_DETALLADO[CAMPO_DETALLADO],
                BD273:BP273,0))
            )
        )
    ),IF(BD273="ACTIVIDAD","DOCENCIA",""))</f>
        <v/>
      </c>
      <c r="EA273" s="5" t="str" cm="1">
        <f t="array" ref="EA273:FN273">IF(
    ASIGNACION!I273="SI",
    IFERROR(
        TRANSPOSE(
            _xlfn.UNIQUE(
                _xlfn._xlws.FILTER(EDU_DOCENTE[NOMBRE_DOCENTE],
                    ISNUMBER(MATCH(EDU_DOCENTE[MAESTRIA],
                    BQ273:DY273,0))
                )
            )
        ),
        ""
    ),
    TRANSPOSE(
        _xlfn.UNIQUE(EDU_DOCENTE[NOMBRE_DOCENTE]
        )
    )
)</f>
        <v>ALCIVAR CEDEÑO BEATRIZ ISABEL</v>
      </c>
      <c r="EB273" t="str">
        <v>ALCIVAR VERA GEMA MICHELLE</v>
      </c>
      <c r="EC273" t="str">
        <v>ARAUZ CHAVEZ MARIO ROBERTO</v>
      </c>
      <c r="ED273" t="str">
        <v>BAILON LOURIDO WALTER ALBERTO</v>
      </c>
      <c r="EE273" t="str">
        <v>CALDERERO VILLAGOMEZ ERICK ANTONIO</v>
      </c>
      <c r="EF273" t="str">
        <v>CASTILLO GARCIA PAOLA GERMANIA</v>
      </c>
      <c r="EG273" t="str">
        <v>CEDEÑO CHOEZ PEDRO JAVIER</v>
      </c>
      <c r="EH273" t="str">
        <v>CEVALLOS HOPPE JUAN CARLOS</v>
      </c>
      <c r="EI273" t="str">
        <v>DELGADO CHAVEZ MARIA IRASEMA</v>
      </c>
      <c r="EJ273" t="str">
        <v>DUARTE VALENCIA CRISTHIAN DARIO</v>
      </c>
      <c r="EK273" t="str">
        <v>FORTTY BARBERAN DENNY ALEXANDER</v>
      </c>
      <c r="EL273" t="str">
        <v>GUTIERREZ ZAMBRANO CARMEN EBELINA</v>
      </c>
      <c r="EM273" t="str">
        <v>INTRIAGO MOLINA GEMA VALERIA</v>
      </c>
      <c r="EN273" t="str">
        <v>LINO VELEZ LEONEL LIVINGTON</v>
      </c>
      <c r="EO273" t="str">
        <v>LOOR ALCIVAR MARIA ILIANA</v>
      </c>
      <c r="EP273" t="str">
        <v>LOOR MIELES TANIA JACQUELINE</v>
      </c>
      <c r="EQ273" t="str">
        <v>LOOR SOLORZANO ROSA MARIA</v>
      </c>
      <c r="ER273" t="str">
        <v>LOPEZ DELGADO RONALD MAURICIO</v>
      </c>
      <c r="ES273" t="str">
        <v>MACIAS VALENCIA DAVID GABRIEL</v>
      </c>
      <c r="ET273" t="str">
        <v>MENDOZA ZAMORA WALTER MANUEL</v>
      </c>
      <c r="EU273" t="str">
        <v>MOLINA CEVALLOS MARIA LORENA</v>
      </c>
      <c r="EV273" t="str">
        <v>MURILLO DELGADO ISAAC GABRIEL</v>
      </c>
      <c r="EW273" t="str">
        <v>ANGULO MURILLO NAVIRA GISSELA</v>
      </c>
      <c r="EX273" t="str">
        <v>OCHOA SOLEDISPA NESTOR IVAN</v>
      </c>
      <c r="EY273" t="str">
        <v>PARRAGA FRANCO SILVANA MARIELA</v>
      </c>
      <c r="EZ273" t="str">
        <v>PINARGOTE VASQUEZ NANCY FABIOLA</v>
      </c>
      <c r="FA273" t="str">
        <v>REYES VELEZ PEDRO ENRIQUE</v>
      </c>
      <c r="FB273" t="str">
        <v>SAN ANDRES HORMAZA DALLAS CECILIA</v>
      </c>
      <c r="FC273" t="str">
        <v>SORNOZA ZAMORA JUAN CARLOS</v>
      </c>
      <c r="FD273" t="str">
        <v>TOMALA PINTO JESUS JACINTO</v>
      </c>
      <c r="FE273" t="str">
        <v>VALLE JARAMILLO SILVIA ARACELY</v>
      </c>
      <c r="FF273" t="str">
        <v>VELÁSQUEZ BRAVO IRMA KATHERINE</v>
      </c>
      <c r="FG273" t="str">
        <v>VELEZ MENDOZA LAYSY VALERIA</v>
      </c>
      <c r="FH273" t="str">
        <v>VINUEZA TELLO SHIRLEY ELIZABETH</v>
      </c>
      <c r="FI273" t="str">
        <v>ZAMBRANO ALCIVAR NILDA ISABEL</v>
      </c>
      <c r="FJ273" t="str">
        <v>ZAMBRANO LOOR RITA MAYDA</v>
      </c>
      <c r="FK273" t="str">
        <v>ZAMBRANO VERA MONICA JANETH</v>
      </c>
      <c r="FL273" t="str">
        <v>VERA DELGADO BRYAN ADRIÁN</v>
      </c>
      <c r="FM273" t="str">
        <v>MORAN GONZALES DAVID RENATO</v>
      </c>
      <c r="FN273">
        <v>0</v>
      </c>
    </row>
    <row r="274" spans="1:170" ht="20.25" customHeight="1">
      <c r="A274" s="4" t="str" cm="1">
        <f t="array" ref="A274">TRANSPOSE(_xlfn.UNIQUE(_xlfn._xlws.FILTER(MAE_ASIGNATURA[ID_NIVEL],MAE_ASIGNATURA[ID_CARRERA]=ASIGNACION!$C274,"No existe información")))</f>
        <v>No existe información</v>
      </c>
      <c r="S274" s="4" t="str" cm="1">
        <f t="array" ref="S274">TRANSPOSE(_xlfn.UNIQUE(_xlfn._xlws.FILTER(MAE_ASIGNATURA[NOM_ASIG],(MAE_ASIGNATURA[ID_NIVEL]=ASIGNACION!$D274)*(MAE_ASIGNATURA[ID_CARRERA]=ASIGNACION!$C274),"No existe información")))</f>
        <v>No existe información</v>
      </c>
      <c r="BD274" s="4" t="str" cm="1">
        <f t="array" ref="BD274">TRANSPOSE(_xlfn.UNIQUE(_xlfn._xlws.FILTER(DET_ASIG[DETALLADO],(DET_ASIG[ID_CARRERA]=ASIGNACION!$C274)*(DET_ASIG[NIVEL]=ASIGNACION!$D274)*(DET_ASIG[ID_ASIG]=ASIGNACION!$G274),"No existe información")))</f>
        <v>No existe información</v>
      </c>
      <c r="BQ274" s="5" t="str" cm="1">
        <f t="array" ref="BQ274">IFERROR(
    TRANSPOSE(
        _xlfn.UNIQUE(
            _xlfn._xlws.FILTER(MAESTRIA_DETALLADO[MAESTRIA],
                ISNUMBER(MATCH(MAESTRIA_DETALLADO[CAMPO_DETALLADO],
                BD274:BP274,0))
            )
        )
    ),IF(BD274="ACTIVIDAD","DOCENCIA",""))</f>
        <v/>
      </c>
      <c r="EA274" s="5" t="str" cm="1">
        <f t="array" ref="EA274:FN274">IF(
    ASIGNACION!I274="SI",
    IFERROR(
        TRANSPOSE(
            _xlfn.UNIQUE(
                _xlfn._xlws.FILTER(EDU_DOCENTE[NOMBRE_DOCENTE],
                    ISNUMBER(MATCH(EDU_DOCENTE[MAESTRIA],
                    BQ274:DY274,0))
                )
            )
        ),
        ""
    ),
    TRANSPOSE(
        _xlfn.UNIQUE(EDU_DOCENTE[NOMBRE_DOCENTE]
        )
    )
)</f>
        <v>ALCIVAR CEDEÑO BEATRIZ ISABEL</v>
      </c>
      <c r="EB274" t="str">
        <v>ALCIVAR VERA GEMA MICHELLE</v>
      </c>
      <c r="EC274" t="str">
        <v>ARAUZ CHAVEZ MARIO ROBERTO</v>
      </c>
      <c r="ED274" t="str">
        <v>BAILON LOURIDO WALTER ALBERTO</v>
      </c>
      <c r="EE274" t="str">
        <v>CALDERERO VILLAGOMEZ ERICK ANTONIO</v>
      </c>
      <c r="EF274" t="str">
        <v>CASTILLO GARCIA PAOLA GERMANIA</v>
      </c>
      <c r="EG274" t="str">
        <v>CEDEÑO CHOEZ PEDRO JAVIER</v>
      </c>
      <c r="EH274" t="str">
        <v>CEVALLOS HOPPE JUAN CARLOS</v>
      </c>
      <c r="EI274" t="str">
        <v>DELGADO CHAVEZ MARIA IRASEMA</v>
      </c>
      <c r="EJ274" t="str">
        <v>DUARTE VALENCIA CRISTHIAN DARIO</v>
      </c>
      <c r="EK274" t="str">
        <v>FORTTY BARBERAN DENNY ALEXANDER</v>
      </c>
      <c r="EL274" t="str">
        <v>GUTIERREZ ZAMBRANO CARMEN EBELINA</v>
      </c>
      <c r="EM274" t="str">
        <v>INTRIAGO MOLINA GEMA VALERIA</v>
      </c>
      <c r="EN274" t="str">
        <v>LINO VELEZ LEONEL LIVINGTON</v>
      </c>
      <c r="EO274" t="str">
        <v>LOOR ALCIVAR MARIA ILIANA</v>
      </c>
      <c r="EP274" t="str">
        <v>LOOR MIELES TANIA JACQUELINE</v>
      </c>
      <c r="EQ274" t="str">
        <v>LOOR SOLORZANO ROSA MARIA</v>
      </c>
      <c r="ER274" t="str">
        <v>LOPEZ DELGADO RONALD MAURICIO</v>
      </c>
      <c r="ES274" t="str">
        <v>MACIAS VALENCIA DAVID GABRIEL</v>
      </c>
      <c r="ET274" t="str">
        <v>MENDOZA ZAMORA WALTER MANUEL</v>
      </c>
      <c r="EU274" t="str">
        <v>MOLINA CEVALLOS MARIA LORENA</v>
      </c>
      <c r="EV274" t="str">
        <v>MURILLO DELGADO ISAAC GABRIEL</v>
      </c>
      <c r="EW274" t="str">
        <v>ANGULO MURILLO NAVIRA GISSELA</v>
      </c>
      <c r="EX274" t="str">
        <v>OCHOA SOLEDISPA NESTOR IVAN</v>
      </c>
      <c r="EY274" t="str">
        <v>PARRAGA FRANCO SILVANA MARIELA</v>
      </c>
      <c r="EZ274" t="str">
        <v>PINARGOTE VASQUEZ NANCY FABIOLA</v>
      </c>
      <c r="FA274" t="str">
        <v>REYES VELEZ PEDRO ENRIQUE</v>
      </c>
      <c r="FB274" t="str">
        <v>SAN ANDRES HORMAZA DALLAS CECILIA</v>
      </c>
      <c r="FC274" t="str">
        <v>SORNOZA ZAMORA JUAN CARLOS</v>
      </c>
      <c r="FD274" t="str">
        <v>TOMALA PINTO JESUS JACINTO</v>
      </c>
      <c r="FE274" t="str">
        <v>VALLE JARAMILLO SILVIA ARACELY</v>
      </c>
      <c r="FF274" t="str">
        <v>VELÁSQUEZ BRAVO IRMA KATHERINE</v>
      </c>
      <c r="FG274" t="str">
        <v>VELEZ MENDOZA LAYSY VALERIA</v>
      </c>
      <c r="FH274" t="str">
        <v>VINUEZA TELLO SHIRLEY ELIZABETH</v>
      </c>
      <c r="FI274" t="str">
        <v>ZAMBRANO ALCIVAR NILDA ISABEL</v>
      </c>
      <c r="FJ274" t="str">
        <v>ZAMBRANO LOOR RITA MAYDA</v>
      </c>
      <c r="FK274" t="str">
        <v>ZAMBRANO VERA MONICA JANETH</v>
      </c>
      <c r="FL274" t="str">
        <v>VERA DELGADO BRYAN ADRIÁN</v>
      </c>
      <c r="FM274" t="str">
        <v>MORAN GONZALES DAVID RENATO</v>
      </c>
      <c r="FN274">
        <v>0</v>
      </c>
    </row>
    <row r="275" spans="1:170" ht="20.25" customHeight="1">
      <c r="A275" s="4" t="str" cm="1">
        <f t="array" ref="A275">TRANSPOSE(_xlfn.UNIQUE(_xlfn._xlws.FILTER(MAE_ASIGNATURA[ID_NIVEL],MAE_ASIGNATURA[ID_CARRERA]=ASIGNACION!$C275,"No existe información")))</f>
        <v>No existe información</v>
      </c>
      <c r="S275" s="4" t="str" cm="1">
        <f t="array" ref="S275">TRANSPOSE(_xlfn.UNIQUE(_xlfn._xlws.FILTER(MAE_ASIGNATURA[NOM_ASIG],(MAE_ASIGNATURA[ID_NIVEL]=ASIGNACION!$D275)*(MAE_ASIGNATURA[ID_CARRERA]=ASIGNACION!$C275),"No existe información")))</f>
        <v>No existe información</v>
      </c>
      <c r="BD275" s="4" t="str" cm="1">
        <f t="array" ref="BD275">TRANSPOSE(_xlfn.UNIQUE(_xlfn._xlws.FILTER(DET_ASIG[DETALLADO],(DET_ASIG[ID_CARRERA]=ASIGNACION!$C275)*(DET_ASIG[NIVEL]=ASIGNACION!$D275)*(DET_ASIG[ID_ASIG]=ASIGNACION!$G275),"No existe información")))</f>
        <v>No existe información</v>
      </c>
      <c r="BQ275" s="5" t="str" cm="1">
        <f t="array" ref="BQ275">IFERROR(
    TRANSPOSE(
        _xlfn.UNIQUE(
            _xlfn._xlws.FILTER(MAESTRIA_DETALLADO[MAESTRIA],
                ISNUMBER(MATCH(MAESTRIA_DETALLADO[CAMPO_DETALLADO],
                BD275:BP275,0))
            )
        )
    ),IF(BD275="ACTIVIDAD","DOCENCIA",""))</f>
        <v/>
      </c>
      <c r="EA275" s="5" t="str" cm="1">
        <f t="array" ref="EA275:FN275">IF(
    ASIGNACION!I275="SI",
    IFERROR(
        TRANSPOSE(
            _xlfn.UNIQUE(
                _xlfn._xlws.FILTER(EDU_DOCENTE[NOMBRE_DOCENTE],
                    ISNUMBER(MATCH(EDU_DOCENTE[MAESTRIA],
                    BQ275:DY275,0))
                )
            )
        ),
        ""
    ),
    TRANSPOSE(
        _xlfn.UNIQUE(EDU_DOCENTE[NOMBRE_DOCENTE]
        )
    )
)</f>
        <v>ALCIVAR CEDEÑO BEATRIZ ISABEL</v>
      </c>
      <c r="EB275" t="str">
        <v>ALCIVAR VERA GEMA MICHELLE</v>
      </c>
      <c r="EC275" t="str">
        <v>ARAUZ CHAVEZ MARIO ROBERTO</v>
      </c>
      <c r="ED275" t="str">
        <v>BAILON LOURIDO WALTER ALBERTO</v>
      </c>
      <c r="EE275" t="str">
        <v>CALDERERO VILLAGOMEZ ERICK ANTONIO</v>
      </c>
      <c r="EF275" t="str">
        <v>CASTILLO GARCIA PAOLA GERMANIA</v>
      </c>
      <c r="EG275" t="str">
        <v>CEDEÑO CHOEZ PEDRO JAVIER</v>
      </c>
      <c r="EH275" t="str">
        <v>CEVALLOS HOPPE JUAN CARLOS</v>
      </c>
      <c r="EI275" t="str">
        <v>DELGADO CHAVEZ MARIA IRASEMA</v>
      </c>
      <c r="EJ275" t="str">
        <v>DUARTE VALENCIA CRISTHIAN DARIO</v>
      </c>
      <c r="EK275" t="str">
        <v>FORTTY BARBERAN DENNY ALEXANDER</v>
      </c>
      <c r="EL275" t="str">
        <v>GUTIERREZ ZAMBRANO CARMEN EBELINA</v>
      </c>
      <c r="EM275" t="str">
        <v>INTRIAGO MOLINA GEMA VALERIA</v>
      </c>
      <c r="EN275" t="str">
        <v>LINO VELEZ LEONEL LIVINGTON</v>
      </c>
      <c r="EO275" t="str">
        <v>LOOR ALCIVAR MARIA ILIANA</v>
      </c>
      <c r="EP275" t="str">
        <v>LOOR MIELES TANIA JACQUELINE</v>
      </c>
      <c r="EQ275" t="str">
        <v>LOOR SOLORZANO ROSA MARIA</v>
      </c>
      <c r="ER275" t="str">
        <v>LOPEZ DELGADO RONALD MAURICIO</v>
      </c>
      <c r="ES275" t="str">
        <v>MACIAS VALENCIA DAVID GABRIEL</v>
      </c>
      <c r="ET275" t="str">
        <v>MENDOZA ZAMORA WALTER MANUEL</v>
      </c>
      <c r="EU275" t="str">
        <v>MOLINA CEVALLOS MARIA LORENA</v>
      </c>
      <c r="EV275" t="str">
        <v>MURILLO DELGADO ISAAC GABRIEL</v>
      </c>
      <c r="EW275" t="str">
        <v>ANGULO MURILLO NAVIRA GISSELA</v>
      </c>
      <c r="EX275" t="str">
        <v>OCHOA SOLEDISPA NESTOR IVAN</v>
      </c>
      <c r="EY275" t="str">
        <v>PARRAGA FRANCO SILVANA MARIELA</v>
      </c>
      <c r="EZ275" t="str">
        <v>PINARGOTE VASQUEZ NANCY FABIOLA</v>
      </c>
      <c r="FA275" t="str">
        <v>REYES VELEZ PEDRO ENRIQUE</v>
      </c>
      <c r="FB275" t="str">
        <v>SAN ANDRES HORMAZA DALLAS CECILIA</v>
      </c>
      <c r="FC275" t="str">
        <v>SORNOZA ZAMORA JUAN CARLOS</v>
      </c>
      <c r="FD275" t="str">
        <v>TOMALA PINTO JESUS JACINTO</v>
      </c>
      <c r="FE275" t="str">
        <v>VALLE JARAMILLO SILVIA ARACELY</v>
      </c>
      <c r="FF275" t="str">
        <v>VELÁSQUEZ BRAVO IRMA KATHERINE</v>
      </c>
      <c r="FG275" t="str">
        <v>VELEZ MENDOZA LAYSY VALERIA</v>
      </c>
      <c r="FH275" t="str">
        <v>VINUEZA TELLO SHIRLEY ELIZABETH</v>
      </c>
      <c r="FI275" t="str">
        <v>ZAMBRANO ALCIVAR NILDA ISABEL</v>
      </c>
      <c r="FJ275" t="str">
        <v>ZAMBRANO LOOR RITA MAYDA</v>
      </c>
      <c r="FK275" t="str">
        <v>ZAMBRANO VERA MONICA JANETH</v>
      </c>
      <c r="FL275" t="str">
        <v>VERA DELGADO BRYAN ADRIÁN</v>
      </c>
      <c r="FM275" t="str">
        <v>MORAN GONZALES DAVID RENATO</v>
      </c>
      <c r="FN275">
        <v>0</v>
      </c>
    </row>
    <row r="276" spans="1:170" ht="20.25" customHeight="1">
      <c r="A276" s="4" t="str" cm="1">
        <f t="array" ref="A276">TRANSPOSE(_xlfn.UNIQUE(_xlfn._xlws.FILTER(MAE_ASIGNATURA[ID_NIVEL],MAE_ASIGNATURA[ID_CARRERA]=ASIGNACION!$C276,"No existe información")))</f>
        <v>No existe información</v>
      </c>
      <c r="S276" s="4" t="str" cm="1">
        <f t="array" ref="S276">TRANSPOSE(_xlfn.UNIQUE(_xlfn._xlws.FILTER(MAE_ASIGNATURA[NOM_ASIG],(MAE_ASIGNATURA[ID_NIVEL]=ASIGNACION!$D276)*(MAE_ASIGNATURA[ID_CARRERA]=ASIGNACION!$C276),"No existe información")))</f>
        <v>No existe información</v>
      </c>
      <c r="BD276" s="4" t="str" cm="1">
        <f t="array" ref="BD276">TRANSPOSE(_xlfn.UNIQUE(_xlfn._xlws.FILTER(DET_ASIG[DETALLADO],(DET_ASIG[ID_CARRERA]=ASIGNACION!$C276)*(DET_ASIG[NIVEL]=ASIGNACION!$D276)*(DET_ASIG[ID_ASIG]=ASIGNACION!$G276),"No existe información")))</f>
        <v>No existe información</v>
      </c>
      <c r="BQ276" s="5" t="str" cm="1">
        <f t="array" ref="BQ276">IFERROR(
    TRANSPOSE(
        _xlfn.UNIQUE(
            _xlfn._xlws.FILTER(MAESTRIA_DETALLADO[MAESTRIA],
                ISNUMBER(MATCH(MAESTRIA_DETALLADO[CAMPO_DETALLADO],
                BD276:BP276,0))
            )
        )
    ),IF(BD276="ACTIVIDAD","DOCENCIA",""))</f>
        <v/>
      </c>
      <c r="EA276" s="5" t="str" cm="1">
        <f t="array" ref="EA276:FN276">IF(
    ASIGNACION!I276="SI",
    IFERROR(
        TRANSPOSE(
            _xlfn.UNIQUE(
                _xlfn._xlws.FILTER(EDU_DOCENTE[NOMBRE_DOCENTE],
                    ISNUMBER(MATCH(EDU_DOCENTE[MAESTRIA],
                    BQ276:DY276,0))
                )
            )
        ),
        ""
    ),
    TRANSPOSE(
        _xlfn.UNIQUE(EDU_DOCENTE[NOMBRE_DOCENTE]
        )
    )
)</f>
        <v>ALCIVAR CEDEÑO BEATRIZ ISABEL</v>
      </c>
      <c r="EB276" t="str">
        <v>ALCIVAR VERA GEMA MICHELLE</v>
      </c>
      <c r="EC276" t="str">
        <v>ARAUZ CHAVEZ MARIO ROBERTO</v>
      </c>
      <c r="ED276" t="str">
        <v>BAILON LOURIDO WALTER ALBERTO</v>
      </c>
      <c r="EE276" t="str">
        <v>CALDERERO VILLAGOMEZ ERICK ANTONIO</v>
      </c>
      <c r="EF276" t="str">
        <v>CASTILLO GARCIA PAOLA GERMANIA</v>
      </c>
      <c r="EG276" t="str">
        <v>CEDEÑO CHOEZ PEDRO JAVIER</v>
      </c>
      <c r="EH276" t="str">
        <v>CEVALLOS HOPPE JUAN CARLOS</v>
      </c>
      <c r="EI276" t="str">
        <v>DELGADO CHAVEZ MARIA IRASEMA</v>
      </c>
      <c r="EJ276" t="str">
        <v>DUARTE VALENCIA CRISTHIAN DARIO</v>
      </c>
      <c r="EK276" t="str">
        <v>FORTTY BARBERAN DENNY ALEXANDER</v>
      </c>
      <c r="EL276" t="str">
        <v>GUTIERREZ ZAMBRANO CARMEN EBELINA</v>
      </c>
      <c r="EM276" t="str">
        <v>INTRIAGO MOLINA GEMA VALERIA</v>
      </c>
      <c r="EN276" t="str">
        <v>LINO VELEZ LEONEL LIVINGTON</v>
      </c>
      <c r="EO276" t="str">
        <v>LOOR ALCIVAR MARIA ILIANA</v>
      </c>
      <c r="EP276" t="str">
        <v>LOOR MIELES TANIA JACQUELINE</v>
      </c>
      <c r="EQ276" t="str">
        <v>LOOR SOLORZANO ROSA MARIA</v>
      </c>
      <c r="ER276" t="str">
        <v>LOPEZ DELGADO RONALD MAURICIO</v>
      </c>
      <c r="ES276" t="str">
        <v>MACIAS VALENCIA DAVID GABRIEL</v>
      </c>
      <c r="ET276" t="str">
        <v>MENDOZA ZAMORA WALTER MANUEL</v>
      </c>
      <c r="EU276" t="str">
        <v>MOLINA CEVALLOS MARIA LORENA</v>
      </c>
      <c r="EV276" t="str">
        <v>MURILLO DELGADO ISAAC GABRIEL</v>
      </c>
      <c r="EW276" t="str">
        <v>ANGULO MURILLO NAVIRA GISSELA</v>
      </c>
      <c r="EX276" t="str">
        <v>OCHOA SOLEDISPA NESTOR IVAN</v>
      </c>
      <c r="EY276" t="str">
        <v>PARRAGA FRANCO SILVANA MARIELA</v>
      </c>
      <c r="EZ276" t="str">
        <v>PINARGOTE VASQUEZ NANCY FABIOLA</v>
      </c>
      <c r="FA276" t="str">
        <v>REYES VELEZ PEDRO ENRIQUE</v>
      </c>
      <c r="FB276" t="str">
        <v>SAN ANDRES HORMAZA DALLAS CECILIA</v>
      </c>
      <c r="FC276" t="str">
        <v>SORNOZA ZAMORA JUAN CARLOS</v>
      </c>
      <c r="FD276" t="str">
        <v>TOMALA PINTO JESUS JACINTO</v>
      </c>
      <c r="FE276" t="str">
        <v>VALLE JARAMILLO SILVIA ARACELY</v>
      </c>
      <c r="FF276" t="str">
        <v>VELÁSQUEZ BRAVO IRMA KATHERINE</v>
      </c>
      <c r="FG276" t="str">
        <v>VELEZ MENDOZA LAYSY VALERIA</v>
      </c>
      <c r="FH276" t="str">
        <v>VINUEZA TELLO SHIRLEY ELIZABETH</v>
      </c>
      <c r="FI276" t="str">
        <v>ZAMBRANO ALCIVAR NILDA ISABEL</v>
      </c>
      <c r="FJ276" t="str">
        <v>ZAMBRANO LOOR RITA MAYDA</v>
      </c>
      <c r="FK276" t="str">
        <v>ZAMBRANO VERA MONICA JANETH</v>
      </c>
      <c r="FL276" t="str">
        <v>VERA DELGADO BRYAN ADRIÁN</v>
      </c>
      <c r="FM276" t="str">
        <v>MORAN GONZALES DAVID RENATO</v>
      </c>
      <c r="FN276">
        <v>0</v>
      </c>
    </row>
    <row r="277" spans="1:170" ht="20.25" customHeight="1">
      <c r="A277" s="4" t="str" cm="1">
        <f t="array" ref="A277">TRANSPOSE(_xlfn.UNIQUE(_xlfn._xlws.FILTER(MAE_ASIGNATURA[ID_NIVEL],MAE_ASIGNATURA[ID_CARRERA]=ASIGNACION!$C277,"No existe información")))</f>
        <v>No existe información</v>
      </c>
      <c r="S277" s="4" t="str" cm="1">
        <f t="array" ref="S277">TRANSPOSE(_xlfn.UNIQUE(_xlfn._xlws.FILTER(MAE_ASIGNATURA[NOM_ASIG],(MAE_ASIGNATURA[ID_NIVEL]=ASIGNACION!$D277)*(MAE_ASIGNATURA[ID_CARRERA]=ASIGNACION!$C277),"No existe información")))</f>
        <v>No existe información</v>
      </c>
      <c r="BD277" s="4" t="str" cm="1">
        <f t="array" ref="BD277">TRANSPOSE(_xlfn.UNIQUE(_xlfn._xlws.FILTER(DET_ASIG[DETALLADO],(DET_ASIG[ID_CARRERA]=ASIGNACION!$C277)*(DET_ASIG[NIVEL]=ASIGNACION!$D277)*(DET_ASIG[ID_ASIG]=ASIGNACION!$G277),"No existe información")))</f>
        <v>No existe información</v>
      </c>
      <c r="BQ277" s="5" t="str" cm="1">
        <f t="array" ref="BQ277">IFERROR(
    TRANSPOSE(
        _xlfn.UNIQUE(
            _xlfn._xlws.FILTER(MAESTRIA_DETALLADO[MAESTRIA],
                ISNUMBER(MATCH(MAESTRIA_DETALLADO[CAMPO_DETALLADO],
                BD277:BP277,0))
            )
        )
    ),IF(BD277="ACTIVIDAD","DOCENCIA",""))</f>
        <v/>
      </c>
      <c r="EA277" s="5" t="str" cm="1">
        <f t="array" ref="EA277:FN277">IF(
    ASIGNACION!I277="SI",
    IFERROR(
        TRANSPOSE(
            _xlfn.UNIQUE(
                _xlfn._xlws.FILTER(EDU_DOCENTE[NOMBRE_DOCENTE],
                    ISNUMBER(MATCH(EDU_DOCENTE[MAESTRIA],
                    BQ277:DY277,0))
                )
            )
        ),
        ""
    ),
    TRANSPOSE(
        _xlfn.UNIQUE(EDU_DOCENTE[NOMBRE_DOCENTE]
        )
    )
)</f>
        <v>ALCIVAR CEDEÑO BEATRIZ ISABEL</v>
      </c>
      <c r="EB277" t="str">
        <v>ALCIVAR VERA GEMA MICHELLE</v>
      </c>
      <c r="EC277" t="str">
        <v>ARAUZ CHAVEZ MARIO ROBERTO</v>
      </c>
      <c r="ED277" t="str">
        <v>BAILON LOURIDO WALTER ALBERTO</v>
      </c>
      <c r="EE277" t="str">
        <v>CALDERERO VILLAGOMEZ ERICK ANTONIO</v>
      </c>
      <c r="EF277" t="str">
        <v>CASTILLO GARCIA PAOLA GERMANIA</v>
      </c>
      <c r="EG277" t="str">
        <v>CEDEÑO CHOEZ PEDRO JAVIER</v>
      </c>
      <c r="EH277" t="str">
        <v>CEVALLOS HOPPE JUAN CARLOS</v>
      </c>
      <c r="EI277" t="str">
        <v>DELGADO CHAVEZ MARIA IRASEMA</v>
      </c>
      <c r="EJ277" t="str">
        <v>DUARTE VALENCIA CRISTHIAN DARIO</v>
      </c>
      <c r="EK277" t="str">
        <v>FORTTY BARBERAN DENNY ALEXANDER</v>
      </c>
      <c r="EL277" t="str">
        <v>GUTIERREZ ZAMBRANO CARMEN EBELINA</v>
      </c>
      <c r="EM277" t="str">
        <v>INTRIAGO MOLINA GEMA VALERIA</v>
      </c>
      <c r="EN277" t="str">
        <v>LINO VELEZ LEONEL LIVINGTON</v>
      </c>
      <c r="EO277" t="str">
        <v>LOOR ALCIVAR MARIA ILIANA</v>
      </c>
      <c r="EP277" t="str">
        <v>LOOR MIELES TANIA JACQUELINE</v>
      </c>
      <c r="EQ277" t="str">
        <v>LOOR SOLORZANO ROSA MARIA</v>
      </c>
      <c r="ER277" t="str">
        <v>LOPEZ DELGADO RONALD MAURICIO</v>
      </c>
      <c r="ES277" t="str">
        <v>MACIAS VALENCIA DAVID GABRIEL</v>
      </c>
      <c r="ET277" t="str">
        <v>MENDOZA ZAMORA WALTER MANUEL</v>
      </c>
      <c r="EU277" t="str">
        <v>MOLINA CEVALLOS MARIA LORENA</v>
      </c>
      <c r="EV277" t="str">
        <v>MURILLO DELGADO ISAAC GABRIEL</v>
      </c>
      <c r="EW277" t="str">
        <v>ANGULO MURILLO NAVIRA GISSELA</v>
      </c>
      <c r="EX277" t="str">
        <v>OCHOA SOLEDISPA NESTOR IVAN</v>
      </c>
      <c r="EY277" t="str">
        <v>PARRAGA FRANCO SILVANA MARIELA</v>
      </c>
      <c r="EZ277" t="str">
        <v>PINARGOTE VASQUEZ NANCY FABIOLA</v>
      </c>
      <c r="FA277" t="str">
        <v>REYES VELEZ PEDRO ENRIQUE</v>
      </c>
      <c r="FB277" t="str">
        <v>SAN ANDRES HORMAZA DALLAS CECILIA</v>
      </c>
      <c r="FC277" t="str">
        <v>SORNOZA ZAMORA JUAN CARLOS</v>
      </c>
      <c r="FD277" t="str">
        <v>TOMALA PINTO JESUS JACINTO</v>
      </c>
      <c r="FE277" t="str">
        <v>VALLE JARAMILLO SILVIA ARACELY</v>
      </c>
      <c r="FF277" t="str">
        <v>VELÁSQUEZ BRAVO IRMA KATHERINE</v>
      </c>
      <c r="FG277" t="str">
        <v>VELEZ MENDOZA LAYSY VALERIA</v>
      </c>
      <c r="FH277" t="str">
        <v>VINUEZA TELLO SHIRLEY ELIZABETH</v>
      </c>
      <c r="FI277" t="str">
        <v>ZAMBRANO ALCIVAR NILDA ISABEL</v>
      </c>
      <c r="FJ277" t="str">
        <v>ZAMBRANO LOOR RITA MAYDA</v>
      </c>
      <c r="FK277" t="str">
        <v>ZAMBRANO VERA MONICA JANETH</v>
      </c>
      <c r="FL277" t="str">
        <v>VERA DELGADO BRYAN ADRIÁN</v>
      </c>
      <c r="FM277" t="str">
        <v>MORAN GONZALES DAVID RENATO</v>
      </c>
      <c r="FN277">
        <v>0</v>
      </c>
    </row>
    <row r="278" spans="1:170" ht="20.25" customHeight="1">
      <c r="A278" s="4" t="str" cm="1">
        <f t="array" ref="A278">TRANSPOSE(_xlfn.UNIQUE(_xlfn._xlws.FILTER(MAE_ASIGNATURA[ID_NIVEL],MAE_ASIGNATURA[ID_CARRERA]=ASIGNACION!$C278,"No existe información")))</f>
        <v>No existe información</v>
      </c>
      <c r="S278" s="4" t="str" cm="1">
        <f t="array" ref="S278">TRANSPOSE(_xlfn.UNIQUE(_xlfn._xlws.FILTER(MAE_ASIGNATURA[NOM_ASIG],(MAE_ASIGNATURA[ID_NIVEL]=ASIGNACION!$D278)*(MAE_ASIGNATURA[ID_CARRERA]=ASIGNACION!$C278),"No existe información")))</f>
        <v>No existe información</v>
      </c>
      <c r="BD278" s="4" t="str" cm="1">
        <f t="array" ref="BD278">TRANSPOSE(_xlfn.UNIQUE(_xlfn._xlws.FILTER(DET_ASIG[DETALLADO],(DET_ASIG[ID_CARRERA]=ASIGNACION!$C278)*(DET_ASIG[NIVEL]=ASIGNACION!$D278)*(DET_ASIG[ID_ASIG]=ASIGNACION!$G278),"No existe información")))</f>
        <v>No existe información</v>
      </c>
      <c r="BQ278" s="5" t="str" cm="1">
        <f t="array" ref="BQ278">IFERROR(
    TRANSPOSE(
        _xlfn.UNIQUE(
            _xlfn._xlws.FILTER(MAESTRIA_DETALLADO[MAESTRIA],
                ISNUMBER(MATCH(MAESTRIA_DETALLADO[CAMPO_DETALLADO],
                BD278:BP278,0))
            )
        )
    ),IF(BD278="ACTIVIDAD","DOCENCIA",""))</f>
        <v/>
      </c>
      <c r="EA278" s="5" t="str" cm="1">
        <f t="array" ref="EA278:FN278">IF(
    ASIGNACION!I278="SI",
    IFERROR(
        TRANSPOSE(
            _xlfn.UNIQUE(
                _xlfn._xlws.FILTER(EDU_DOCENTE[NOMBRE_DOCENTE],
                    ISNUMBER(MATCH(EDU_DOCENTE[MAESTRIA],
                    BQ278:DY278,0))
                )
            )
        ),
        ""
    ),
    TRANSPOSE(
        _xlfn.UNIQUE(EDU_DOCENTE[NOMBRE_DOCENTE]
        )
    )
)</f>
        <v>ALCIVAR CEDEÑO BEATRIZ ISABEL</v>
      </c>
      <c r="EB278" t="str">
        <v>ALCIVAR VERA GEMA MICHELLE</v>
      </c>
      <c r="EC278" t="str">
        <v>ARAUZ CHAVEZ MARIO ROBERTO</v>
      </c>
      <c r="ED278" t="str">
        <v>BAILON LOURIDO WALTER ALBERTO</v>
      </c>
      <c r="EE278" t="str">
        <v>CALDERERO VILLAGOMEZ ERICK ANTONIO</v>
      </c>
      <c r="EF278" t="str">
        <v>CASTILLO GARCIA PAOLA GERMANIA</v>
      </c>
      <c r="EG278" t="str">
        <v>CEDEÑO CHOEZ PEDRO JAVIER</v>
      </c>
      <c r="EH278" t="str">
        <v>CEVALLOS HOPPE JUAN CARLOS</v>
      </c>
      <c r="EI278" t="str">
        <v>DELGADO CHAVEZ MARIA IRASEMA</v>
      </c>
      <c r="EJ278" t="str">
        <v>DUARTE VALENCIA CRISTHIAN DARIO</v>
      </c>
      <c r="EK278" t="str">
        <v>FORTTY BARBERAN DENNY ALEXANDER</v>
      </c>
      <c r="EL278" t="str">
        <v>GUTIERREZ ZAMBRANO CARMEN EBELINA</v>
      </c>
      <c r="EM278" t="str">
        <v>INTRIAGO MOLINA GEMA VALERIA</v>
      </c>
      <c r="EN278" t="str">
        <v>LINO VELEZ LEONEL LIVINGTON</v>
      </c>
      <c r="EO278" t="str">
        <v>LOOR ALCIVAR MARIA ILIANA</v>
      </c>
      <c r="EP278" t="str">
        <v>LOOR MIELES TANIA JACQUELINE</v>
      </c>
      <c r="EQ278" t="str">
        <v>LOOR SOLORZANO ROSA MARIA</v>
      </c>
      <c r="ER278" t="str">
        <v>LOPEZ DELGADO RONALD MAURICIO</v>
      </c>
      <c r="ES278" t="str">
        <v>MACIAS VALENCIA DAVID GABRIEL</v>
      </c>
      <c r="ET278" t="str">
        <v>MENDOZA ZAMORA WALTER MANUEL</v>
      </c>
      <c r="EU278" t="str">
        <v>MOLINA CEVALLOS MARIA LORENA</v>
      </c>
      <c r="EV278" t="str">
        <v>MURILLO DELGADO ISAAC GABRIEL</v>
      </c>
      <c r="EW278" t="str">
        <v>ANGULO MURILLO NAVIRA GISSELA</v>
      </c>
      <c r="EX278" t="str">
        <v>OCHOA SOLEDISPA NESTOR IVAN</v>
      </c>
      <c r="EY278" t="str">
        <v>PARRAGA FRANCO SILVANA MARIELA</v>
      </c>
      <c r="EZ278" t="str">
        <v>PINARGOTE VASQUEZ NANCY FABIOLA</v>
      </c>
      <c r="FA278" t="str">
        <v>REYES VELEZ PEDRO ENRIQUE</v>
      </c>
      <c r="FB278" t="str">
        <v>SAN ANDRES HORMAZA DALLAS CECILIA</v>
      </c>
      <c r="FC278" t="str">
        <v>SORNOZA ZAMORA JUAN CARLOS</v>
      </c>
      <c r="FD278" t="str">
        <v>TOMALA PINTO JESUS JACINTO</v>
      </c>
      <c r="FE278" t="str">
        <v>VALLE JARAMILLO SILVIA ARACELY</v>
      </c>
      <c r="FF278" t="str">
        <v>VELÁSQUEZ BRAVO IRMA KATHERINE</v>
      </c>
      <c r="FG278" t="str">
        <v>VELEZ MENDOZA LAYSY VALERIA</v>
      </c>
      <c r="FH278" t="str">
        <v>VINUEZA TELLO SHIRLEY ELIZABETH</v>
      </c>
      <c r="FI278" t="str">
        <v>ZAMBRANO ALCIVAR NILDA ISABEL</v>
      </c>
      <c r="FJ278" t="str">
        <v>ZAMBRANO LOOR RITA MAYDA</v>
      </c>
      <c r="FK278" t="str">
        <v>ZAMBRANO VERA MONICA JANETH</v>
      </c>
      <c r="FL278" t="str">
        <v>VERA DELGADO BRYAN ADRIÁN</v>
      </c>
      <c r="FM278" t="str">
        <v>MORAN GONZALES DAVID RENATO</v>
      </c>
      <c r="FN278">
        <v>0</v>
      </c>
    </row>
    <row r="279" spans="1:170" ht="20.25" customHeight="1">
      <c r="A279" s="4" t="str" cm="1">
        <f t="array" ref="A279">TRANSPOSE(_xlfn.UNIQUE(_xlfn._xlws.FILTER(MAE_ASIGNATURA[ID_NIVEL],MAE_ASIGNATURA[ID_CARRERA]=ASIGNACION!$C279,"No existe información")))</f>
        <v>No existe información</v>
      </c>
      <c r="S279" s="4" t="str" cm="1">
        <f t="array" ref="S279">TRANSPOSE(_xlfn.UNIQUE(_xlfn._xlws.FILTER(MAE_ASIGNATURA[NOM_ASIG],(MAE_ASIGNATURA[ID_NIVEL]=ASIGNACION!$D279)*(MAE_ASIGNATURA[ID_CARRERA]=ASIGNACION!$C279),"No existe información")))</f>
        <v>No existe información</v>
      </c>
      <c r="BD279" s="4" t="str" cm="1">
        <f t="array" ref="BD279">TRANSPOSE(_xlfn.UNIQUE(_xlfn._xlws.FILTER(DET_ASIG[DETALLADO],(DET_ASIG[ID_CARRERA]=ASIGNACION!$C279)*(DET_ASIG[NIVEL]=ASIGNACION!$D279)*(DET_ASIG[ID_ASIG]=ASIGNACION!$G279),"No existe información")))</f>
        <v>No existe información</v>
      </c>
      <c r="BQ279" s="5" t="str" cm="1">
        <f t="array" ref="BQ279">IFERROR(
    TRANSPOSE(
        _xlfn.UNIQUE(
            _xlfn._xlws.FILTER(MAESTRIA_DETALLADO[MAESTRIA],
                ISNUMBER(MATCH(MAESTRIA_DETALLADO[CAMPO_DETALLADO],
                BD279:BP279,0))
            )
        )
    ),IF(BD279="ACTIVIDAD","DOCENCIA",""))</f>
        <v/>
      </c>
      <c r="EA279" s="5" t="str" cm="1">
        <f t="array" ref="EA279:FN279">IF(
    ASIGNACION!I279="SI",
    IFERROR(
        TRANSPOSE(
            _xlfn.UNIQUE(
                _xlfn._xlws.FILTER(EDU_DOCENTE[NOMBRE_DOCENTE],
                    ISNUMBER(MATCH(EDU_DOCENTE[MAESTRIA],
                    BQ279:DY279,0))
                )
            )
        ),
        ""
    ),
    TRANSPOSE(
        _xlfn.UNIQUE(EDU_DOCENTE[NOMBRE_DOCENTE]
        )
    )
)</f>
        <v>ALCIVAR CEDEÑO BEATRIZ ISABEL</v>
      </c>
      <c r="EB279" t="str">
        <v>ALCIVAR VERA GEMA MICHELLE</v>
      </c>
      <c r="EC279" t="str">
        <v>ARAUZ CHAVEZ MARIO ROBERTO</v>
      </c>
      <c r="ED279" t="str">
        <v>BAILON LOURIDO WALTER ALBERTO</v>
      </c>
      <c r="EE279" t="str">
        <v>CALDERERO VILLAGOMEZ ERICK ANTONIO</v>
      </c>
      <c r="EF279" t="str">
        <v>CASTILLO GARCIA PAOLA GERMANIA</v>
      </c>
      <c r="EG279" t="str">
        <v>CEDEÑO CHOEZ PEDRO JAVIER</v>
      </c>
      <c r="EH279" t="str">
        <v>CEVALLOS HOPPE JUAN CARLOS</v>
      </c>
      <c r="EI279" t="str">
        <v>DELGADO CHAVEZ MARIA IRASEMA</v>
      </c>
      <c r="EJ279" t="str">
        <v>DUARTE VALENCIA CRISTHIAN DARIO</v>
      </c>
      <c r="EK279" t="str">
        <v>FORTTY BARBERAN DENNY ALEXANDER</v>
      </c>
      <c r="EL279" t="str">
        <v>GUTIERREZ ZAMBRANO CARMEN EBELINA</v>
      </c>
      <c r="EM279" t="str">
        <v>INTRIAGO MOLINA GEMA VALERIA</v>
      </c>
      <c r="EN279" t="str">
        <v>LINO VELEZ LEONEL LIVINGTON</v>
      </c>
      <c r="EO279" t="str">
        <v>LOOR ALCIVAR MARIA ILIANA</v>
      </c>
      <c r="EP279" t="str">
        <v>LOOR MIELES TANIA JACQUELINE</v>
      </c>
      <c r="EQ279" t="str">
        <v>LOOR SOLORZANO ROSA MARIA</v>
      </c>
      <c r="ER279" t="str">
        <v>LOPEZ DELGADO RONALD MAURICIO</v>
      </c>
      <c r="ES279" t="str">
        <v>MACIAS VALENCIA DAVID GABRIEL</v>
      </c>
      <c r="ET279" t="str">
        <v>MENDOZA ZAMORA WALTER MANUEL</v>
      </c>
      <c r="EU279" t="str">
        <v>MOLINA CEVALLOS MARIA LORENA</v>
      </c>
      <c r="EV279" t="str">
        <v>MURILLO DELGADO ISAAC GABRIEL</v>
      </c>
      <c r="EW279" t="str">
        <v>ANGULO MURILLO NAVIRA GISSELA</v>
      </c>
      <c r="EX279" t="str">
        <v>OCHOA SOLEDISPA NESTOR IVAN</v>
      </c>
      <c r="EY279" t="str">
        <v>PARRAGA FRANCO SILVANA MARIELA</v>
      </c>
      <c r="EZ279" t="str">
        <v>PINARGOTE VASQUEZ NANCY FABIOLA</v>
      </c>
      <c r="FA279" t="str">
        <v>REYES VELEZ PEDRO ENRIQUE</v>
      </c>
      <c r="FB279" t="str">
        <v>SAN ANDRES HORMAZA DALLAS CECILIA</v>
      </c>
      <c r="FC279" t="str">
        <v>SORNOZA ZAMORA JUAN CARLOS</v>
      </c>
      <c r="FD279" t="str">
        <v>TOMALA PINTO JESUS JACINTO</v>
      </c>
      <c r="FE279" t="str">
        <v>VALLE JARAMILLO SILVIA ARACELY</v>
      </c>
      <c r="FF279" t="str">
        <v>VELÁSQUEZ BRAVO IRMA KATHERINE</v>
      </c>
      <c r="FG279" t="str">
        <v>VELEZ MENDOZA LAYSY VALERIA</v>
      </c>
      <c r="FH279" t="str">
        <v>VINUEZA TELLO SHIRLEY ELIZABETH</v>
      </c>
      <c r="FI279" t="str">
        <v>ZAMBRANO ALCIVAR NILDA ISABEL</v>
      </c>
      <c r="FJ279" t="str">
        <v>ZAMBRANO LOOR RITA MAYDA</v>
      </c>
      <c r="FK279" t="str">
        <v>ZAMBRANO VERA MONICA JANETH</v>
      </c>
      <c r="FL279" t="str">
        <v>VERA DELGADO BRYAN ADRIÁN</v>
      </c>
      <c r="FM279" t="str">
        <v>MORAN GONZALES DAVID RENATO</v>
      </c>
      <c r="FN279">
        <v>0</v>
      </c>
    </row>
    <row r="280" spans="1:170" ht="20.25" customHeight="1">
      <c r="A280" s="4" t="str" cm="1">
        <f t="array" ref="A280">TRANSPOSE(_xlfn.UNIQUE(_xlfn._xlws.FILTER(MAE_ASIGNATURA[ID_NIVEL],MAE_ASIGNATURA[ID_CARRERA]=ASIGNACION!$C280,"No existe información")))</f>
        <v>No existe información</v>
      </c>
      <c r="S280" s="4" t="str" cm="1">
        <f t="array" ref="S280">TRANSPOSE(_xlfn.UNIQUE(_xlfn._xlws.FILTER(MAE_ASIGNATURA[NOM_ASIG],(MAE_ASIGNATURA[ID_NIVEL]=ASIGNACION!$D280)*(MAE_ASIGNATURA[ID_CARRERA]=ASIGNACION!$C280),"No existe información")))</f>
        <v>No existe información</v>
      </c>
      <c r="BD280" s="4" t="str" cm="1">
        <f t="array" ref="BD280">TRANSPOSE(_xlfn.UNIQUE(_xlfn._xlws.FILTER(DET_ASIG[DETALLADO],(DET_ASIG[ID_CARRERA]=ASIGNACION!$C280)*(DET_ASIG[NIVEL]=ASIGNACION!$D280)*(DET_ASIG[ID_ASIG]=ASIGNACION!$G280),"No existe información")))</f>
        <v>No existe información</v>
      </c>
      <c r="BQ280" s="5" t="str" cm="1">
        <f t="array" ref="BQ280">IFERROR(
    TRANSPOSE(
        _xlfn.UNIQUE(
            _xlfn._xlws.FILTER(MAESTRIA_DETALLADO[MAESTRIA],
                ISNUMBER(MATCH(MAESTRIA_DETALLADO[CAMPO_DETALLADO],
                BD280:BP280,0))
            )
        )
    ),IF(BD280="ACTIVIDAD","DOCENCIA",""))</f>
        <v/>
      </c>
      <c r="EA280" s="5" t="str" cm="1">
        <f t="array" ref="EA280:FN280">IF(
    ASIGNACION!I280="SI",
    IFERROR(
        TRANSPOSE(
            _xlfn.UNIQUE(
                _xlfn._xlws.FILTER(EDU_DOCENTE[NOMBRE_DOCENTE],
                    ISNUMBER(MATCH(EDU_DOCENTE[MAESTRIA],
                    BQ280:DY280,0))
                )
            )
        ),
        ""
    ),
    TRANSPOSE(
        _xlfn.UNIQUE(EDU_DOCENTE[NOMBRE_DOCENTE]
        )
    )
)</f>
        <v>ALCIVAR CEDEÑO BEATRIZ ISABEL</v>
      </c>
      <c r="EB280" t="str">
        <v>ALCIVAR VERA GEMA MICHELLE</v>
      </c>
      <c r="EC280" t="str">
        <v>ARAUZ CHAVEZ MARIO ROBERTO</v>
      </c>
      <c r="ED280" t="str">
        <v>BAILON LOURIDO WALTER ALBERTO</v>
      </c>
      <c r="EE280" t="str">
        <v>CALDERERO VILLAGOMEZ ERICK ANTONIO</v>
      </c>
      <c r="EF280" t="str">
        <v>CASTILLO GARCIA PAOLA GERMANIA</v>
      </c>
      <c r="EG280" t="str">
        <v>CEDEÑO CHOEZ PEDRO JAVIER</v>
      </c>
      <c r="EH280" t="str">
        <v>CEVALLOS HOPPE JUAN CARLOS</v>
      </c>
      <c r="EI280" t="str">
        <v>DELGADO CHAVEZ MARIA IRASEMA</v>
      </c>
      <c r="EJ280" t="str">
        <v>DUARTE VALENCIA CRISTHIAN DARIO</v>
      </c>
      <c r="EK280" t="str">
        <v>FORTTY BARBERAN DENNY ALEXANDER</v>
      </c>
      <c r="EL280" t="str">
        <v>GUTIERREZ ZAMBRANO CARMEN EBELINA</v>
      </c>
      <c r="EM280" t="str">
        <v>INTRIAGO MOLINA GEMA VALERIA</v>
      </c>
      <c r="EN280" t="str">
        <v>LINO VELEZ LEONEL LIVINGTON</v>
      </c>
      <c r="EO280" t="str">
        <v>LOOR ALCIVAR MARIA ILIANA</v>
      </c>
      <c r="EP280" t="str">
        <v>LOOR MIELES TANIA JACQUELINE</v>
      </c>
      <c r="EQ280" t="str">
        <v>LOOR SOLORZANO ROSA MARIA</v>
      </c>
      <c r="ER280" t="str">
        <v>LOPEZ DELGADO RONALD MAURICIO</v>
      </c>
      <c r="ES280" t="str">
        <v>MACIAS VALENCIA DAVID GABRIEL</v>
      </c>
      <c r="ET280" t="str">
        <v>MENDOZA ZAMORA WALTER MANUEL</v>
      </c>
      <c r="EU280" t="str">
        <v>MOLINA CEVALLOS MARIA LORENA</v>
      </c>
      <c r="EV280" t="str">
        <v>MURILLO DELGADO ISAAC GABRIEL</v>
      </c>
      <c r="EW280" t="str">
        <v>ANGULO MURILLO NAVIRA GISSELA</v>
      </c>
      <c r="EX280" t="str">
        <v>OCHOA SOLEDISPA NESTOR IVAN</v>
      </c>
      <c r="EY280" t="str">
        <v>PARRAGA FRANCO SILVANA MARIELA</v>
      </c>
      <c r="EZ280" t="str">
        <v>PINARGOTE VASQUEZ NANCY FABIOLA</v>
      </c>
      <c r="FA280" t="str">
        <v>REYES VELEZ PEDRO ENRIQUE</v>
      </c>
      <c r="FB280" t="str">
        <v>SAN ANDRES HORMAZA DALLAS CECILIA</v>
      </c>
      <c r="FC280" t="str">
        <v>SORNOZA ZAMORA JUAN CARLOS</v>
      </c>
      <c r="FD280" t="str">
        <v>TOMALA PINTO JESUS JACINTO</v>
      </c>
      <c r="FE280" t="str">
        <v>VALLE JARAMILLO SILVIA ARACELY</v>
      </c>
      <c r="FF280" t="str">
        <v>VELÁSQUEZ BRAVO IRMA KATHERINE</v>
      </c>
      <c r="FG280" t="str">
        <v>VELEZ MENDOZA LAYSY VALERIA</v>
      </c>
      <c r="FH280" t="str">
        <v>VINUEZA TELLO SHIRLEY ELIZABETH</v>
      </c>
      <c r="FI280" t="str">
        <v>ZAMBRANO ALCIVAR NILDA ISABEL</v>
      </c>
      <c r="FJ280" t="str">
        <v>ZAMBRANO LOOR RITA MAYDA</v>
      </c>
      <c r="FK280" t="str">
        <v>ZAMBRANO VERA MONICA JANETH</v>
      </c>
      <c r="FL280" t="str">
        <v>VERA DELGADO BRYAN ADRIÁN</v>
      </c>
      <c r="FM280" t="str">
        <v>MORAN GONZALES DAVID RENATO</v>
      </c>
      <c r="FN280">
        <v>0</v>
      </c>
    </row>
    <row r="281" spans="1:170" ht="20.25" customHeight="1">
      <c r="A281" s="4" t="str" cm="1">
        <f t="array" ref="A281">TRANSPOSE(_xlfn.UNIQUE(_xlfn._xlws.FILTER(MAE_ASIGNATURA[ID_NIVEL],MAE_ASIGNATURA[ID_CARRERA]=ASIGNACION!$C281,"No existe información")))</f>
        <v>No existe información</v>
      </c>
      <c r="S281" s="4" t="str" cm="1">
        <f t="array" ref="S281">TRANSPOSE(_xlfn.UNIQUE(_xlfn._xlws.FILTER(MAE_ASIGNATURA[NOM_ASIG],(MAE_ASIGNATURA[ID_NIVEL]=ASIGNACION!$D281)*(MAE_ASIGNATURA[ID_CARRERA]=ASIGNACION!$C281),"No existe información")))</f>
        <v>No existe información</v>
      </c>
      <c r="BD281" s="4" t="str" cm="1">
        <f t="array" ref="BD281">TRANSPOSE(_xlfn.UNIQUE(_xlfn._xlws.FILTER(DET_ASIG[DETALLADO],(DET_ASIG[ID_CARRERA]=ASIGNACION!$C281)*(DET_ASIG[NIVEL]=ASIGNACION!$D281)*(DET_ASIG[ID_ASIG]=ASIGNACION!$G281),"No existe información")))</f>
        <v>No existe información</v>
      </c>
      <c r="BQ281" s="5" t="str" cm="1">
        <f t="array" ref="BQ281">IFERROR(
    TRANSPOSE(
        _xlfn.UNIQUE(
            _xlfn._xlws.FILTER(MAESTRIA_DETALLADO[MAESTRIA],
                ISNUMBER(MATCH(MAESTRIA_DETALLADO[CAMPO_DETALLADO],
                BD281:BP281,0))
            )
        )
    ),IF(BD281="ACTIVIDAD","DOCENCIA",""))</f>
        <v/>
      </c>
      <c r="EA281" s="5" t="str" cm="1">
        <f t="array" ref="EA281:FN281">IF(
    ASIGNACION!I281="SI",
    IFERROR(
        TRANSPOSE(
            _xlfn.UNIQUE(
                _xlfn._xlws.FILTER(EDU_DOCENTE[NOMBRE_DOCENTE],
                    ISNUMBER(MATCH(EDU_DOCENTE[MAESTRIA],
                    BQ281:DY281,0))
                )
            )
        ),
        ""
    ),
    TRANSPOSE(
        _xlfn.UNIQUE(EDU_DOCENTE[NOMBRE_DOCENTE]
        )
    )
)</f>
        <v>ALCIVAR CEDEÑO BEATRIZ ISABEL</v>
      </c>
      <c r="EB281" t="str">
        <v>ALCIVAR VERA GEMA MICHELLE</v>
      </c>
      <c r="EC281" t="str">
        <v>ARAUZ CHAVEZ MARIO ROBERTO</v>
      </c>
      <c r="ED281" t="str">
        <v>BAILON LOURIDO WALTER ALBERTO</v>
      </c>
      <c r="EE281" t="str">
        <v>CALDERERO VILLAGOMEZ ERICK ANTONIO</v>
      </c>
      <c r="EF281" t="str">
        <v>CASTILLO GARCIA PAOLA GERMANIA</v>
      </c>
      <c r="EG281" t="str">
        <v>CEDEÑO CHOEZ PEDRO JAVIER</v>
      </c>
      <c r="EH281" t="str">
        <v>CEVALLOS HOPPE JUAN CARLOS</v>
      </c>
      <c r="EI281" t="str">
        <v>DELGADO CHAVEZ MARIA IRASEMA</v>
      </c>
      <c r="EJ281" t="str">
        <v>DUARTE VALENCIA CRISTHIAN DARIO</v>
      </c>
      <c r="EK281" t="str">
        <v>FORTTY BARBERAN DENNY ALEXANDER</v>
      </c>
      <c r="EL281" t="str">
        <v>GUTIERREZ ZAMBRANO CARMEN EBELINA</v>
      </c>
      <c r="EM281" t="str">
        <v>INTRIAGO MOLINA GEMA VALERIA</v>
      </c>
      <c r="EN281" t="str">
        <v>LINO VELEZ LEONEL LIVINGTON</v>
      </c>
      <c r="EO281" t="str">
        <v>LOOR ALCIVAR MARIA ILIANA</v>
      </c>
      <c r="EP281" t="str">
        <v>LOOR MIELES TANIA JACQUELINE</v>
      </c>
      <c r="EQ281" t="str">
        <v>LOOR SOLORZANO ROSA MARIA</v>
      </c>
      <c r="ER281" t="str">
        <v>LOPEZ DELGADO RONALD MAURICIO</v>
      </c>
      <c r="ES281" t="str">
        <v>MACIAS VALENCIA DAVID GABRIEL</v>
      </c>
      <c r="ET281" t="str">
        <v>MENDOZA ZAMORA WALTER MANUEL</v>
      </c>
      <c r="EU281" t="str">
        <v>MOLINA CEVALLOS MARIA LORENA</v>
      </c>
      <c r="EV281" t="str">
        <v>MURILLO DELGADO ISAAC GABRIEL</v>
      </c>
      <c r="EW281" t="str">
        <v>ANGULO MURILLO NAVIRA GISSELA</v>
      </c>
      <c r="EX281" t="str">
        <v>OCHOA SOLEDISPA NESTOR IVAN</v>
      </c>
      <c r="EY281" t="str">
        <v>PARRAGA FRANCO SILVANA MARIELA</v>
      </c>
      <c r="EZ281" t="str">
        <v>PINARGOTE VASQUEZ NANCY FABIOLA</v>
      </c>
      <c r="FA281" t="str">
        <v>REYES VELEZ PEDRO ENRIQUE</v>
      </c>
      <c r="FB281" t="str">
        <v>SAN ANDRES HORMAZA DALLAS CECILIA</v>
      </c>
      <c r="FC281" t="str">
        <v>SORNOZA ZAMORA JUAN CARLOS</v>
      </c>
      <c r="FD281" t="str">
        <v>TOMALA PINTO JESUS JACINTO</v>
      </c>
      <c r="FE281" t="str">
        <v>VALLE JARAMILLO SILVIA ARACELY</v>
      </c>
      <c r="FF281" t="str">
        <v>VELÁSQUEZ BRAVO IRMA KATHERINE</v>
      </c>
      <c r="FG281" t="str">
        <v>VELEZ MENDOZA LAYSY VALERIA</v>
      </c>
      <c r="FH281" t="str">
        <v>VINUEZA TELLO SHIRLEY ELIZABETH</v>
      </c>
      <c r="FI281" t="str">
        <v>ZAMBRANO ALCIVAR NILDA ISABEL</v>
      </c>
      <c r="FJ281" t="str">
        <v>ZAMBRANO LOOR RITA MAYDA</v>
      </c>
      <c r="FK281" t="str">
        <v>ZAMBRANO VERA MONICA JANETH</v>
      </c>
      <c r="FL281" t="str">
        <v>VERA DELGADO BRYAN ADRIÁN</v>
      </c>
      <c r="FM281" t="str">
        <v>MORAN GONZALES DAVID RENATO</v>
      </c>
      <c r="FN281">
        <v>0</v>
      </c>
    </row>
    <row r="282" spans="1:170" ht="20.25" customHeight="1">
      <c r="A282" s="4" t="str" cm="1">
        <f t="array" ref="A282">TRANSPOSE(_xlfn.UNIQUE(_xlfn._xlws.FILTER(MAE_ASIGNATURA[ID_NIVEL],MAE_ASIGNATURA[ID_CARRERA]=ASIGNACION!$C282,"No existe información")))</f>
        <v>No existe información</v>
      </c>
      <c r="S282" s="4" t="str" cm="1">
        <f t="array" ref="S282">TRANSPOSE(_xlfn.UNIQUE(_xlfn._xlws.FILTER(MAE_ASIGNATURA[NOM_ASIG],(MAE_ASIGNATURA[ID_NIVEL]=ASIGNACION!$D282)*(MAE_ASIGNATURA[ID_CARRERA]=ASIGNACION!$C282),"No existe información")))</f>
        <v>No existe información</v>
      </c>
      <c r="BD282" s="4" t="str" cm="1">
        <f t="array" ref="BD282">TRANSPOSE(_xlfn.UNIQUE(_xlfn._xlws.FILTER(DET_ASIG[DETALLADO],(DET_ASIG[ID_CARRERA]=ASIGNACION!$C282)*(DET_ASIG[NIVEL]=ASIGNACION!$D282)*(DET_ASIG[ID_ASIG]=ASIGNACION!$G282),"No existe información")))</f>
        <v>No existe información</v>
      </c>
      <c r="BQ282" s="5" t="str" cm="1">
        <f t="array" ref="BQ282">IFERROR(
    TRANSPOSE(
        _xlfn.UNIQUE(
            _xlfn._xlws.FILTER(MAESTRIA_DETALLADO[MAESTRIA],
                ISNUMBER(MATCH(MAESTRIA_DETALLADO[CAMPO_DETALLADO],
                BD282:BP282,0))
            )
        )
    ),IF(BD282="ACTIVIDAD","DOCENCIA",""))</f>
        <v/>
      </c>
      <c r="EA282" s="5" t="str" cm="1">
        <f t="array" ref="EA282:FN282">IF(
    ASIGNACION!I282="SI",
    IFERROR(
        TRANSPOSE(
            _xlfn.UNIQUE(
                _xlfn._xlws.FILTER(EDU_DOCENTE[NOMBRE_DOCENTE],
                    ISNUMBER(MATCH(EDU_DOCENTE[MAESTRIA],
                    BQ282:DY282,0))
                )
            )
        ),
        ""
    ),
    TRANSPOSE(
        _xlfn.UNIQUE(EDU_DOCENTE[NOMBRE_DOCENTE]
        )
    )
)</f>
        <v>ALCIVAR CEDEÑO BEATRIZ ISABEL</v>
      </c>
      <c r="EB282" t="str">
        <v>ALCIVAR VERA GEMA MICHELLE</v>
      </c>
      <c r="EC282" t="str">
        <v>ARAUZ CHAVEZ MARIO ROBERTO</v>
      </c>
      <c r="ED282" t="str">
        <v>BAILON LOURIDO WALTER ALBERTO</v>
      </c>
      <c r="EE282" t="str">
        <v>CALDERERO VILLAGOMEZ ERICK ANTONIO</v>
      </c>
      <c r="EF282" t="str">
        <v>CASTILLO GARCIA PAOLA GERMANIA</v>
      </c>
      <c r="EG282" t="str">
        <v>CEDEÑO CHOEZ PEDRO JAVIER</v>
      </c>
      <c r="EH282" t="str">
        <v>CEVALLOS HOPPE JUAN CARLOS</v>
      </c>
      <c r="EI282" t="str">
        <v>DELGADO CHAVEZ MARIA IRASEMA</v>
      </c>
      <c r="EJ282" t="str">
        <v>DUARTE VALENCIA CRISTHIAN DARIO</v>
      </c>
      <c r="EK282" t="str">
        <v>FORTTY BARBERAN DENNY ALEXANDER</v>
      </c>
      <c r="EL282" t="str">
        <v>GUTIERREZ ZAMBRANO CARMEN EBELINA</v>
      </c>
      <c r="EM282" t="str">
        <v>INTRIAGO MOLINA GEMA VALERIA</v>
      </c>
      <c r="EN282" t="str">
        <v>LINO VELEZ LEONEL LIVINGTON</v>
      </c>
      <c r="EO282" t="str">
        <v>LOOR ALCIVAR MARIA ILIANA</v>
      </c>
      <c r="EP282" t="str">
        <v>LOOR MIELES TANIA JACQUELINE</v>
      </c>
      <c r="EQ282" t="str">
        <v>LOOR SOLORZANO ROSA MARIA</v>
      </c>
      <c r="ER282" t="str">
        <v>LOPEZ DELGADO RONALD MAURICIO</v>
      </c>
      <c r="ES282" t="str">
        <v>MACIAS VALENCIA DAVID GABRIEL</v>
      </c>
      <c r="ET282" t="str">
        <v>MENDOZA ZAMORA WALTER MANUEL</v>
      </c>
      <c r="EU282" t="str">
        <v>MOLINA CEVALLOS MARIA LORENA</v>
      </c>
      <c r="EV282" t="str">
        <v>MURILLO DELGADO ISAAC GABRIEL</v>
      </c>
      <c r="EW282" t="str">
        <v>ANGULO MURILLO NAVIRA GISSELA</v>
      </c>
      <c r="EX282" t="str">
        <v>OCHOA SOLEDISPA NESTOR IVAN</v>
      </c>
      <c r="EY282" t="str">
        <v>PARRAGA FRANCO SILVANA MARIELA</v>
      </c>
      <c r="EZ282" t="str">
        <v>PINARGOTE VASQUEZ NANCY FABIOLA</v>
      </c>
      <c r="FA282" t="str">
        <v>REYES VELEZ PEDRO ENRIQUE</v>
      </c>
      <c r="FB282" t="str">
        <v>SAN ANDRES HORMAZA DALLAS CECILIA</v>
      </c>
      <c r="FC282" t="str">
        <v>SORNOZA ZAMORA JUAN CARLOS</v>
      </c>
      <c r="FD282" t="str">
        <v>TOMALA PINTO JESUS JACINTO</v>
      </c>
      <c r="FE282" t="str">
        <v>VALLE JARAMILLO SILVIA ARACELY</v>
      </c>
      <c r="FF282" t="str">
        <v>VELÁSQUEZ BRAVO IRMA KATHERINE</v>
      </c>
      <c r="FG282" t="str">
        <v>VELEZ MENDOZA LAYSY VALERIA</v>
      </c>
      <c r="FH282" t="str">
        <v>VINUEZA TELLO SHIRLEY ELIZABETH</v>
      </c>
      <c r="FI282" t="str">
        <v>ZAMBRANO ALCIVAR NILDA ISABEL</v>
      </c>
      <c r="FJ282" t="str">
        <v>ZAMBRANO LOOR RITA MAYDA</v>
      </c>
      <c r="FK282" t="str">
        <v>ZAMBRANO VERA MONICA JANETH</v>
      </c>
      <c r="FL282" t="str">
        <v>VERA DELGADO BRYAN ADRIÁN</v>
      </c>
      <c r="FM282" t="str">
        <v>MORAN GONZALES DAVID RENATO</v>
      </c>
      <c r="FN282">
        <v>0</v>
      </c>
    </row>
    <row r="283" spans="1:170" ht="20.25" customHeight="1">
      <c r="A283" s="4" t="str" cm="1">
        <f t="array" ref="A283">TRANSPOSE(_xlfn.UNIQUE(_xlfn._xlws.FILTER(MAE_ASIGNATURA[ID_NIVEL],MAE_ASIGNATURA[ID_CARRERA]=ASIGNACION!$C283,"No existe información")))</f>
        <v>No existe información</v>
      </c>
      <c r="S283" s="4" t="str" cm="1">
        <f t="array" ref="S283">TRANSPOSE(_xlfn.UNIQUE(_xlfn._xlws.FILTER(MAE_ASIGNATURA[NOM_ASIG],(MAE_ASIGNATURA[ID_NIVEL]=ASIGNACION!$D283)*(MAE_ASIGNATURA[ID_CARRERA]=ASIGNACION!$C283),"No existe información")))</f>
        <v>No existe información</v>
      </c>
      <c r="BD283" s="4" t="str" cm="1">
        <f t="array" ref="BD283">TRANSPOSE(_xlfn.UNIQUE(_xlfn._xlws.FILTER(DET_ASIG[DETALLADO],(DET_ASIG[ID_CARRERA]=ASIGNACION!$C283)*(DET_ASIG[NIVEL]=ASIGNACION!$D283)*(DET_ASIG[ID_ASIG]=ASIGNACION!$G283),"No existe información")))</f>
        <v>No existe información</v>
      </c>
      <c r="BQ283" s="5" t="str" cm="1">
        <f t="array" ref="BQ283">IFERROR(
    TRANSPOSE(
        _xlfn.UNIQUE(
            _xlfn._xlws.FILTER(MAESTRIA_DETALLADO[MAESTRIA],
                ISNUMBER(MATCH(MAESTRIA_DETALLADO[CAMPO_DETALLADO],
                BD283:BP283,0))
            )
        )
    ),IF(BD283="ACTIVIDAD","DOCENCIA",""))</f>
        <v/>
      </c>
      <c r="EA283" s="5" t="str" cm="1">
        <f t="array" ref="EA283:FN283">IF(
    ASIGNACION!I283="SI",
    IFERROR(
        TRANSPOSE(
            _xlfn.UNIQUE(
                _xlfn._xlws.FILTER(EDU_DOCENTE[NOMBRE_DOCENTE],
                    ISNUMBER(MATCH(EDU_DOCENTE[MAESTRIA],
                    BQ283:DY283,0))
                )
            )
        ),
        ""
    ),
    TRANSPOSE(
        _xlfn.UNIQUE(EDU_DOCENTE[NOMBRE_DOCENTE]
        )
    )
)</f>
        <v>ALCIVAR CEDEÑO BEATRIZ ISABEL</v>
      </c>
      <c r="EB283" t="str">
        <v>ALCIVAR VERA GEMA MICHELLE</v>
      </c>
      <c r="EC283" t="str">
        <v>ARAUZ CHAVEZ MARIO ROBERTO</v>
      </c>
      <c r="ED283" t="str">
        <v>BAILON LOURIDO WALTER ALBERTO</v>
      </c>
      <c r="EE283" t="str">
        <v>CALDERERO VILLAGOMEZ ERICK ANTONIO</v>
      </c>
      <c r="EF283" t="str">
        <v>CASTILLO GARCIA PAOLA GERMANIA</v>
      </c>
      <c r="EG283" t="str">
        <v>CEDEÑO CHOEZ PEDRO JAVIER</v>
      </c>
      <c r="EH283" t="str">
        <v>CEVALLOS HOPPE JUAN CARLOS</v>
      </c>
      <c r="EI283" t="str">
        <v>DELGADO CHAVEZ MARIA IRASEMA</v>
      </c>
      <c r="EJ283" t="str">
        <v>DUARTE VALENCIA CRISTHIAN DARIO</v>
      </c>
      <c r="EK283" t="str">
        <v>FORTTY BARBERAN DENNY ALEXANDER</v>
      </c>
      <c r="EL283" t="str">
        <v>GUTIERREZ ZAMBRANO CARMEN EBELINA</v>
      </c>
      <c r="EM283" t="str">
        <v>INTRIAGO MOLINA GEMA VALERIA</v>
      </c>
      <c r="EN283" t="str">
        <v>LINO VELEZ LEONEL LIVINGTON</v>
      </c>
      <c r="EO283" t="str">
        <v>LOOR ALCIVAR MARIA ILIANA</v>
      </c>
      <c r="EP283" t="str">
        <v>LOOR MIELES TANIA JACQUELINE</v>
      </c>
      <c r="EQ283" t="str">
        <v>LOOR SOLORZANO ROSA MARIA</v>
      </c>
      <c r="ER283" t="str">
        <v>LOPEZ DELGADO RONALD MAURICIO</v>
      </c>
      <c r="ES283" t="str">
        <v>MACIAS VALENCIA DAVID GABRIEL</v>
      </c>
      <c r="ET283" t="str">
        <v>MENDOZA ZAMORA WALTER MANUEL</v>
      </c>
      <c r="EU283" t="str">
        <v>MOLINA CEVALLOS MARIA LORENA</v>
      </c>
      <c r="EV283" t="str">
        <v>MURILLO DELGADO ISAAC GABRIEL</v>
      </c>
      <c r="EW283" t="str">
        <v>ANGULO MURILLO NAVIRA GISSELA</v>
      </c>
      <c r="EX283" t="str">
        <v>OCHOA SOLEDISPA NESTOR IVAN</v>
      </c>
      <c r="EY283" t="str">
        <v>PARRAGA FRANCO SILVANA MARIELA</v>
      </c>
      <c r="EZ283" t="str">
        <v>PINARGOTE VASQUEZ NANCY FABIOLA</v>
      </c>
      <c r="FA283" t="str">
        <v>REYES VELEZ PEDRO ENRIQUE</v>
      </c>
      <c r="FB283" t="str">
        <v>SAN ANDRES HORMAZA DALLAS CECILIA</v>
      </c>
      <c r="FC283" t="str">
        <v>SORNOZA ZAMORA JUAN CARLOS</v>
      </c>
      <c r="FD283" t="str">
        <v>TOMALA PINTO JESUS JACINTO</v>
      </c>
      <c r="FE283" t="str">
        <v>VALLE JARAMILLO SILVIA ARACELY</v>
      </c>
      <c r="FF283" t="str">
        <v>VELÁSQUEZ BRAVO IRMA KATHERINE</v>
      </c>
      <c r="FG283" t="str">
        <v>VELEZ MENDOZA LAYSY VALERIA</v>
      </c>
      <c r="FH283" t="str">
        <v>VINUEZA TELLO SHIRLEY ELIZABETH</v>
      </c>
      <c r="FI283" t="str">
        <v>ZAMBRANO ALCIVAR NILDA ISABEL</v>
      </c>
      <c r="FJ283" t="str">
        <v>ZAMBRANO LOOR RITA MAYDA</v>
      </c>
      <c r="FK283" t="str">
        <v>ZAMBRANO VERA MONICA JANETH</v>
      </c>
      <c r="FL283" t="str">
        <v>VERA DELGADO BRYAN ADRIÁN</v>
      </c>
      <c r="FM283" t="str">
        <v>MORAN GONZALES DAVID RENATO</v>
      </c>
      <c r="FN283">
        <v>0</v>
      </c>
    </row>
    <row r="284" spans="1:170" ht="20.25" customHeight="1">
      <c r="A284" s="4" t="str" cm="1">
        <f t="array" ref="A284">TRANSPOSE(_xlfn.UNIQUE(_xlfn._xlws.FILTER(MAE_ASIGNATURA[ID_NIVEL],MAE_ASIGNATURA[ID_CARRERA]=ASIGNACION!$C284,"No existe información")))</f>
        <v>No existe información</v>
      </c>
      <c r="S284" s="4" t="str" cm="1">
        <f t="array" ref="S284">TRANSPOSE(_xlfn.UNIQUE(_xlfn._xlws.FILTER(MAE_ASIGNATURA[NOM_ASIG],(MAE_ASIGNATURA[ID_NIVEL]=ASIGNACION!$D284)*(MAE_ASIGNATURA[ID_CARRERA]=ASIGNACION!$C284),"No existe información")))</f>
        <v>No existe información</v>
      </c>
      <c r="BD284" s="4" t="str" cm="1">
        <f t="array" ref="BD284">TRANSPOSE(_xlfn.UNIQUE(_xlfn._xlws.FILTER(DET_ASIG[DETALLADO],(DET_ASIG[ID_CARRERA]=ASIGNACION!$C284)*(DET_ASIG[NIVEL]=ASIGNACION!$D284)*(DET_ASIG[ID_ASIG]=ASIGNACION!$G284),"No existe información")))</f>
        <v>No existe información</v>
      </c>
      <c r="BQ284" s="5" t="str" cm="1">
        <f t="array" ref="BQ284">IFERROR(
    TRANSPOSE(
        _xlfn.UNIQUE(
            _xlfn._xlws.FILTER(MAESTRIA_DETALLADO[MAESTRIA],
                ISNUMBER(MATCH(MAESTRIA_DETALLADO[CAMPO_DETALLADO],
                BD284:BP284,0))
            )
        )
    ),IF(BD284="ACTIVIDAD","DOCENCIA",""))</f>
        <v/>
      </c>
      <c r="EA284" s="5" t="str" cm="1">
        <f t="array" ref="EA284:FN284">IF(
    ASIGNACION!I284="SI",
    IFERROR(
        TRANSPOSE(
            _xlfn.UNIQUE(
                _xlfn._xlws.FILTER(EDU_DOCENTE[NOMBRE_DOCENTE],
                    ISNUMBER(MATCH(EDU_DOCENTE[MAESTRIA],
                    BQ284:DY284,0))
                )
            )
        ),
        ""
    ),
    TRANSPOSE(
        _xlfn.UNIQUE(EDU_DOCENTE[NOMBRE_DOCENTE]
        )
    )
)</f>
        <v>ALCIVAR CEDEÑO BEATRIZ ISABEL</v>
      </c>
      <c r="EB284" t="str">
        <v>ALCIVAR VERA GEMA MICHELLE</v>
      </c>
      <c r="EC284" t="str">
        <v>ARAUZ CHAVEZ MARIO ROBERTO</v>
      </c>
      <c r="ED284" t="str">
        <v>BAILON LOURIDO WALTER ALBERTO</v>
      </c>
      <c r="EE284" t="str">
        <v>CALDERERO VILLAGOMEZ ERICK ANTONIO</v>
      </c>
      <c r="EF284" t="str">
        <v>CASTILLO GARCIA PAOLA GERMANIA</v>
      </c>
      <c r="EG284" t="str">
        <v>CEDEÑO CHOEZ PEDRO JAVIER</v>
      </c>
      <c r="EH284" t="str">
        <v>CEVALLOS HOPPE JUAN CARLOS</v>
      </c>
      <c r="EI284" t="str">
        <v>DELGADO CHAVEZ MARIA IRASEMA</v>
      </c>
      <c r="EJ284" t="str">
        <v>DUARTE VALENCIA CRISTHIAN DARIO</v>
      </c>
      <c r="EK284" t="str">
        <v>FORTTY BARBERAN DENNY ALEXANDER</v>
      </c>
      <c r="EL284" t="str">
        <v>GUTIERREZ ZAMBRANO CARMEN EBELINA</v>
      </c>
      <c r="EM284" t="str">
        <v>INTRIAGO MOLINA GEMA VALERIA</v>
      </c>
      <c r="EN284" t="str">
        <v>LINO VELEZ LEONEL LIVINGTON</v>
      </c>
      <c r="EO284" t="str">
        <v>LOOR ALCIVAR MARIA ILIANA</v>
      </c>
      <c r="EP284" t="str">
        <v>LOOR MIELES TANIA JACQUELINE</v>
      </c>
      <c r="EQ284" t="str">
        <v>LOOR SOLORZANO ROSA MARIA</v>
      </c>
      <c r="ER284" t="str">
        <v>LOPEZ DELGADO RONALD MAURICIO</v>
      </c>
      <c r="ES284" t="str">
        <v>MACIAS VALENCIA DAVID GABRIEL</v>
      </c>
      <c r="ET284" t="str">
        <v>MENDOZA ZAMORA WALTER MANUEL</v>
      </c>
      <c r="EU284" t="str">
        <v>MOLINA CEVALLOS MARIA LORENA</v>
      </c>
      <c r="EV284" t="str">
        <v>MURILLO DELGADO ISAAC GABRIEL</v>
      </c>
      <c r="EW284" t="str">
        <v>ANGULO MURILLO NAVIRA GISSELA</v>
      </c>
      <c r="EX284" t="str">
        <v>OCHOA SOLEDISPA NESTOR IVAN</v>
      </c>
      <c r="EY284" t="str">
        <v>PARRAGA FRANCO SILVANA MARIELA</v>
      </c>
      <c r="EZ284" t="str">
        <v>PINARGOTE VASQUEZ NANCY FABIOLA</v>
      </c>
      <c r="FA284" t="str">
        <v>REYES VELEZ PEDRO ENRIQUE</v>
      </c>
      <c r="FB284" t="str">
        <v>SAN ANDRES HORMAZA DALLAS CECILIA</v>
      </c>
      <c r="FC284" t="str">
        <v>SORNOZA ZAMORA JUAN CARLOS</v>
      </c>
      <c r="FD284" t="str">
        <v>TOMALA PINTO JESUS JACINTO</v>
      </c>
      <c r="FE284" t="str">
        <v>VALLE JARAMILLO SILVIA ARACELY</v>
      </c>
      <c r="FF284" t="str">
        <v>VELÁSQUEZ BRAVO IRMA KATHERINE</v>
      </c>
      <c r="FG284" t="str">
        <v>VELEZ MENDOZA LAYSY VALERIA</v>
      </c>
      <c r="FH284" t="str">
        <v>VINUEZA TELLO SHIRLEY ELIZABETH</v>
      </c>
      <c r="FI284" t="str">
        <v>ZAMBRANO ALCIVAR NILDA ISABEL</v>
      </c>
      <c r="FJ284" t="str">
        <v>ZAMBRANO LOOR RITA MAYDA</v>
      </c>
      <c r="FK284" t="str">
        <v>ZAMBRANO VERA MONICA JANETH</v>
      </c>
      <c r="FL284" t="str">
        <v>VERA DELGADO BRYAN ADRIÁN</v>
      </c>
      <c r="FM284" t="str">
        <v>MORAN GONZALES DAVID RENATO</v>
      </c>
      <c r="FN284">
        <v>0</v>
      </c>
    </row>
    <row r="285" spans="1:170" ht="20.25" customHeight="1">
      <c r="A285" s="4" t="str" cm="1">
        <f t="array" ref="A285">TRANSPOSE(_xlfn.UNIQUE(_xlfn._xlws.FILTER(MAE_ASIGNATURA[ID_NIVEL],MAE_ASIGNATURA[ID_CARRERA]=ASIGNACION!$C285,"No existe información")))</f>
        <v>No existe información</v>
      </c>
      <c r="S285" s="4" t="str" cm="1">
        <f t="array" ref="S285">TRANSPOSE(_xlfn.UNIQUE(_xlfn._xlws.FILTER(MAE_ASIGNATURA[NOM_ASIG],(MAE_ASIGNATURA[ID_NIVEL]=ASIGNACION!$D285)*(MAE_ASIGNATURA[ID_CARRERA]=ASIGNACION!$C285),"No existe información")))</f>
        <v>No existe información</v>
      </c>
      <c r="BD285" s="4" t="str" cm="1">
        <f t="array" ref="BD285">TRANSPOSE(_xlfn.UNIQUE(_xlfn._xlws.FILTER(DET_ASIG[DETALLADO],(DET_ASIG[ID_CARRERA]=ASIGNACION!$C285)*(DET_ASIG[NIVEL]=ASIGNACION!$D285)*(DET_ASIG[ID_ASIG]=ASIGNACION!$G285),"No existe información")))</f>
        <v>No existe información</v>
      </c>
      <c r="BQ285" s="5" t="str" cm="1">
        <f t="array" ref="BQ285">IFERROR(
    TRANSPOSE(
        _xlfn.UNIQUE(
            _xlfn._xlws.FILTER(MAESTRIA_DETALLADO[MAESTRIA],
                ISNUMBER(MATCH(MAESTRIA_DETALLADO[CAMPO_DETALLADO],
                BD285:BP285,0))
            )
        )
    ),IF(BD285="ACTIVIDAD","DOCENCIA",""))</f>
        <v/>
      </c>
      <c r="EA285" s="5" t="str" cm="1">
        <f t="array" ref="EA285:FN285">IF(
    ASIGNACION!I285="SI",
    IFERROR(
        TRANSPOSE(
            _xlfn.UNIQUE(
                _xlfn._xlws.FILTER(EDU_DOCENTE[NOMBRE_DOCENTE],
                    ISNUMBER(MATCH(EDU_DOCENTE[MAESTRIA],
                    BQ285:DY285,0))
                )
            )
        ),
        ""
    ),
    TRANSPOSE(
        _xlfn.UNIQUE(EDU_DOCENTE[NOMBRE_DOCENTE]
        )
    )
)</f>
        <v>ALCIVAR CEDEÑO BEATRIZ ISABEL</v>
      </c>
      <c r="EB285" t="str">
        <v>ALCIVAR VERA GEMA MICHELLE</v>
      </c>
      <c r="EC285" t="str">
        <v>ARAUZ CHAVEZ MARIO ROBERTO</v>
      </c>
      <c r="ED285" t="str">
        <v>BAILON LOURIDO WALTER ALBERTO</v>
      </c>
      <c r="EE285" t="str">
        <v>CALDERERO VILLAGOMEZ ERICK ANTONIO</v>
      </c>
      <c r="EF285" t="str">
        <v>CASTILLO GARCIA PAOLA GERMANIA</v>
      </c>
      <c r="EG285" t="str">
        <v>CEDEÑO CHOEZ PEDRO JAVIER</v>
      </c>
      <c r="EH285" t="str">
        <v>CEVALLOS HOPPE JUAN CARLOS</v>
      </c>
      <c r="EI285" t="str">
        <v>DELGADO CHAVEZ MARIA IRASEMA</v>
      </c>
      <c r="EJ285" t="str">
        <v>DUARTE VALENCIA CRISTHIAN DARIO</v>
      </c>
      <c r="EK285" t="str">
        <v>FORTTY BARBERAN DENNY ALEXANDER</v>
      </c>
      <c r="EL285" t="str">
        <v>GUTIERREZ ZAMBRANO CARMEN EBELINA</v>
      </c>
      <c r="EM285" t="str">
        <v>INTRIAGO MOLINA GEMA VALERIA</v>
      </c>
      <c r="EN285" t="str">
        <v>LINO VELEZ LEONEL LIVINGTON</v>
      </c>
      <c r="EO285" t="str">
        <v>LOOR ALCIVAR MARIA ILIANA</v>
      </c>
      <c r="EP285" t="str">
        <v>LOOR MIELES TANIA JACQUELINE</v>
      </c>
      <c r="EQ285" t="str">
        <v>LOOR SOLORZANO ROSA MARIA</v>
      </c>
      <c r="ER285" t="str">
        <v>LOPEZ DELGADO RONALD MAURICIO</v>
      </c>
      <c r="ES285" t="str">
        <v>MACIAS VALENCIA DAVID GABRIEL</v>
      </c>
      <c r="ET285" t="str">
        <v>MENDOZA ZAMORA WALTER MANUEL</v>
      </c>
      <c r="EU285" t="str">
        <v>MOLINA CEVALLOS MARIA LORENA</v>
      </c>
      <c r="EV285" t="str">
        <v>MURILLO DELGADO ISAAC GABRIEL</v>
      </c>
      <c r="EW285" t="str">
        <v>ANGULO MURILLO NAVIRA GISSELA</v>
      </c>
      <c r="EX285" t="str">
        <v>OCHOA SOLEDISPA NESTOR IVAN</v>
      </c>
      <c r="EY285" t="str">
        <v>PARRAGA FRANCO SILVANA MARIELA</v>
      </c>
      <c r="EZ285" t="str">
        <v>PINARGOTE VASQUEZ NANCY FABIOLA</v>
      </c>
      <c r="FA285" t="str">
        <v>REYES VELEZ PEDRO ENRIQUE</v>
      </c>
      <c r="FB285" t="str">
        <v>SAN ANDRES HORMAZA DALLAS CECILIA</v>
      </c>
      <c r="FC285" t="str">
        <v>SORNOZA ZAMORA JUAN CARLOS</v>
      </c>
      <c r="FD285" t="str">
        <v>TOMALA PINTO JESUS JACINTO</v>
      </c>
      <c r="FE285" t="str">
        <v>VALLE JARAMILLO SILVIA ARACELY</v>
      </c>
      <c r="FF285" t="str">
        <v>VELÁSQUEZ BRAVO IRMA KATHERINE</v>
      </c>
      <c r="FG285" t="str">
        <v>VELEZ MENDOZA LAYSY VALERIA</v>
      </c>
      <c r="FH285" t="str">
        <v>VINUEZA TELLO SHIRLEY ELIZABETH</v>
      </c>
      <c r="FI285" t="str">
        <v>ZAMBRANO ALCIVAR NILDA ISABEL</v>
      </c>
      <c r="FJ285" t="str">
        <v>ZAMBRANO LOOR RITA MAYDA</v>
      </c>
      <c r="FK285" t="str">
        <v>ZAMBRANO VERA MONICA JANETH</v>
      </c>
      <c r="FL285" t="str">
        <v>VERA DELGADO BRYAN ADRIÁN</v>
      </c>
      <c r="FM285" t="str">
        <v>MORAN GONZALES DAVID RENATO</v>
      </c>
      <c r="FN285">
        <v>0</v>
      </c>
    </row>
    <row r="286" spans="1:170" ht="20.25" customHeight="1">
      <c r="A286" s="4" t="str" cm="1">
        <f t="array" ref="A286">TRANSPOSE(_xlfn.UNIQUE(_xlfn._xlws.FILTER(MAE_ASIGNATURA[ID_NIVEL],MAE_ASIGNATURA[ID_CARRERA]=ASIGNACION!$C286,"No existe información")))</f>
        <v>No existe información</v>
      </c>
      <c r="S286" s="4" t="str" cm="1">
        <f t="array" ref="S286">TRANSPOSE(_xlfn.UNIQUE(_xlfn._xlws.FILTER(MAE_ASIGNATURA[NOM_ASIG],(MAE_ASIGNATURA[ID_NIVEL]=ASIGNACION!$D286)*(MAE_ASIGNATURA[ID_CARRERA]=ASIGNACION!$C286),"No existe información")))</f>
        <v>No existe información</v>
      </c>
      <c r="BD286" s="4" t="str" cm="1">
        <f t="array" ref="BD286">TRANSPOSE(_xlfn.UNIQUE(_xlfn._xlws.FILTER(DET_ASIG[DETALLADO],(DET_ASIG[ID_CARRERA]=ASIGNACION!$C286)*(DET_ASIG[NIVEL]=ASIGNACION!$D286)*(DET_ASIG[ID_ASIG]=ASIGNACION!$G286),"No existe información")))</f>
        <v>No existe información</v>
      </c>
      <c r="BQ286" s="5" t="str" cm="1">
        <f t="array" ref="BQ286">IFERROR(
    TRANSPOSE(
        _xlfn.UNIQUE(
            _xlfn._xlws.FILTER(MAESTRIA_DETALLADO[MAESTRIA],
                ISNUMBER(MATCH(MAESTRIA_DETALLADO[CAMPO_DETALLADO],
                BD286:BP286,0))
            )
        )
    ),IF(BD286="ACTIVIDAD","DOCENCIA",""))</f>
        <v/>
      </c>
      <c r="EA286" s="5" t="str" cm="1">
        <f t="array" ref="EA286:FN286">IF(
    ASIGNACION!I286="SI",
    IFERROR(
        TRANSPOSE(
            _xlfn.UNIQUE(
                _xlfn._xlws.FILTER(EDU_DOCENTE[NOMBRE_DOCENTE],
                    ISNUMBER(MATCH(EDU_DOCENTE[MAESTRIA],
                    BQ286:DY286,0))
                )
            )
        ),
        ""
    ),
    TRANSPOSE(
        _xlfn.UNIQUE(EDU_DOCENTE[NOMBRE_DOCENTE]
        )
    )
)</f>
        <v>ALCIVAR CEDEÑO BEATRIZ ISABEL</v>
      </c>
      <c r="EB286" t="str">
        <v>ALCIVAR VERA GEMA MICHELLE</v>
      </c>
      <c r="EC286" t="str">
        <v>ARAUZ CHAVEZ MARIO ROBERTO</v>
      </c>
      <c r="ED286" t="str">
        <v>BAILON LOURIDO WALTER ALBERTO</v>
      </c>
      <c r="EE286" t="str">
        <v>CALDERERO VILLAGOMEZ ERICK ANTONIO</v>
      </c>
      <c r="EF286" t="str">
        <v>CASTILLO GARCIA PAOLA GERMANIA</v>
      </c>
      <c r="EG286" t="str">
        <v>CEDEÑO CHOEZ PEDRO JAVIER</v>
      </c>
      <c r="EH286" t="str">
        <v>CEVALLOS HOPPE JUAN CARLOS</v>
      </c>
      <c r="EI286" t="str">
        <v>DELGADO CHAVEZ MARIA IRASEMA</v>
      </c>
      <c r="EJ286" t="str">
        <v>DUARTE VALENCIA CRISTHIAN DARIO</v>
      </c>
      <c r="EK286" t="str">
        <v>FORTTY BARBERAN DENNY ALEXANDER</v>
      </c>
      <c r="EL286" t="str">
        <v>GUTIERREZ ZAMBRANO CARMEN EBELINA</v>
      </c>
      <c r="EM286" t="str">
        <v>INTRIAGO MOLINA GEMA VALERIA</v>
      </c>
      <c r="EN286" t="str">
        <v>LINO VELEZ LEONEL LIVINGTON</v>
      </c>
      <c r="EO286" t="str">
        <v>LOOR ALCIVAR MARIA ILIANA</v>
      </c>
      <c r="EP286" t="str">
        <v>LOOR MIELES TANIA JACQUELINE</v>
      </c>
      <c r="EQ286" t="str">
        <v>LOOR SOLORZANO ROSA MARIA</v>
      </c>
      <c r="ER286" t="str">
        <v>LOPEZ DELGADO RONALD MAURICIO</v>
      </c>
      <c r="ES286" t="str">
        <v>MACIAS VALENCIA DAVID GABRIEL</v>
      </c>
      <c r="ET286" t="str">
        <v>MENDOZA ZAMORA WALTER MANUEL</v>
      </c>
      <c r="EU286" t="str">
        <v>MOLINA CEVALLOS MARIA LORENA</v>
      </c>
      <c r="EV286" t="str">
        <v>MURILLO DELGADO ISAAC GABRIEL</v>
      </c>
      <c r="EW286" t="str">
        <v>ANGULO MURILLO NAVIRA GISSELA</v>
      </c>
      <c r="EX286" t="str">
        <v>OCHOA SOLEDISPA NESTOR IVAN</v>
      </c>
      <c r="EY286" t="str">
        <v>PARRAGA FRANCO SILVANA MARIELA</v>
      </c>
      <c r="EZ286" t="str">
        <v>PINARGOTE VASQUEZ NANCY FABIOLA</v>
      </c>
      <c r="FA286" t="str">
        <v>REYES VELEZ PEDRO ENRIQUE</v>
      </c>
      <c r="FB286" t="str">
        <v>SAN ANDRES HORMAZA DALLAS CECILIA</v>
      </c>
      <c r="FC286" t="str">
        <v>SORNOZA ZAMORA JUAN CARLOS</v>
      </c>
      <c r="FD286" t="str">
        <v>TOMALA PINTO JESUS JACINTO</v>
      </c>
      <c r="FE286" t="str">
        <v>VALLE JARAMILLO SILVIA ARACELY</v>
      </c>
      <c r="FF286" t="str">
        <v>VELÁSQUEZ BRAVO IRMA KATHERINE</v>
      </c>
      <c r="FG286" t="str">
        <v>VELEZ MENDOZA LAYSY VALERIA</v>
      </c>
      <c r="FH286" t="str">
        <v>VINUEZA TELLO SHIRLEY ELIZABETH</v>
      </c>
      <c r="FI286" t="str">
        <v>ZAMBRANO ALCIVAR NILDA ISABEL</v>
      </c>
      <c r="FJ286" t="str">
        <v>ZAMBRANO LOOR RITA MAYDA</v>
      </c>
      <c r="FK286" t="str">
        <v>ZAMBRANO VERA MONICA JANETH</v>
      </c>
      <c r="FL286" t="str">
        <v>VERA DELGADO BRYAN ADRIÁN</v>
      </c>
      <c r="FM286" t="str">
        <v>MORAN GONZALES DAVID RENATO</v>
      </c>
      <c r="FN286">
        <v>0</v>
      </c>
    </row>
    <row r="287" spans="1:170" ht="20.25" customHeight="1">
      <c r="A287" s="4" t="str" cm="1">
        <f t="array" ref="A287">TRANSPOSE(_xlfn.UNIQUE(_xlfn._xlws.FILTER(MAE_ASIGNATURA[ID_NIVEL],MAE_ASIGNATURA[ID_CARRERA]=ASIGNACION!$C287,"No existe información")))</f>
        <v>No existe información</v>
      </c>
      <c r="S287" s="4" t="str" cm="1">
        <f t="array" ref="S287">TRANSPOSE(_xlfn.UNIQUE(_xlfn._xlws.FILTER(MAE_ASIGNATURA[NOM_ASIG],(MAE_ASIGNATURA[ID_NIVEL]=ASIGNACION!$D287)*(MAE_ASIGNATURA[ID_CARRERA]=ASIGNACION!$C287),"No existe información")))</f>
        <v>No existe información</v>
      </c>
      <c r="BD287" s="4" t="str" cm="1">
        <f t="array" ref="BD287">TRANSPOSE(_xlfn.UNIQUE(_xlfn._xlws.FILTER(DET_ASIG[DETALLADO],(DET_ASIG[ID_CARRERA]=ASIGNACION!$C287)*(DET_ASIG[NIVEL]=ASIGNACION!$D287)*(DET_ASIG[ID_ASIG]=ASIGNACION!$G287),"No existe información")))</f>
        <v>No existe información</v>
      </c>
      <c r="BQ287" s="5" t="str" cm="1">
        <f t="array" ref="BQ287">IFERROR(
    TRANSPOSE(
        _xlfn.UNIQUE(
            _xlfn._xlws.FILTER(MAESTRIA_DETALLADO[MAESTRIA],
                ISNUMBER(MATCH(MAESTRIA_DETALLADO[CAMPO_DETALLADO],
                BD287:BP287,0))
            )
        )
    ),IF(BD287="ACTIVIDAD","DOCENCIA",""))</f>
        <v/>
      </c>
      <c r="EA287" s="5" t="str" cm="1">
        <f t="array" ref="EA287:FN287">IF(
    ASIGNACION!I287="SI",
    IFERROR(
        TRANSPOSE(
            _xlfn.UNIQUE(
                _xlfn._xlws.FILTER(EDU_DOCENTE[NOMBRE_DOCENTE],
                    ISNUMBER(MATCH(EDU_DOCENTE[MAESTRIA],
                    BQ287:DY287,0))
                )
            )
        ),
        ""
    ),
    TRANSPOSE(
        _xlfn.UNIQUE(EDU_DOCENTE[NOMBRE_DOCENTE]
        )
    )
)</f>
        <v>ALCIVAR CEDEÑO BEATRIZ ISABEL</v>
      </c>
      <c r="EB287" t="str">
        <v>ALCIVAR VERA GEMA MICHELLE</v>
      </c>
      <c r="EC287" t="str">
        <v>ARAUZ CHAVEZ MARIO ROBERTO</v>
      </c>
      <c r="ED287" t="str">
        <v>BAILON LOURIDO WALTER ALBERTO</v>
      </c>
      <c r="EE287" t="str">
        <v>CALDERERO VILLAGOMEZ ERICK ANTONIO</v>
      </c>
      <c r="EF287" t="str">
        <v>CASTILLO GARCIA PAOLA GERMANIA</v>
      </c>
      <c r="EG287" t="str">
        <v>CEDEÑO CHOEZ PEDRO JAVIER</v>
      </c>
      <c r="EH287" t="str">
        <v>CEVALLOS HOPPE JUAN CARLOS</v>
      </c>
      <c r="EI287" t="str">
        <v>DELGADO CHAVEZ MARIA IRASEMA</v>
      </c>
      <c r="EJ287" t="str">
        <v>DUARTE VALENCIA CRISTHIAN DARIO</v>
      </c>
      <c r="EK287" t="str">
        <v>FORTTY BARBERAN DENNY ALEXANDER</v>
      </c>
      <c r="EL287" t="str">
        <v>GUTIERREZ ZAMBRANO CARMEN EBELINA</v>
      </c>
      <c r="EM287" t="str">
        <v>INTRIAGO MOLINA GEMA VALERIA</v>
      </c>
      <c r="EN287" t="str">
        <v>LINO VELEZ LEONEL LIVINGTON</v>
      </c>
      <c r="EO287" t="str">
        <v>LOOR ALCIVAR MARIA ILIANA</v>
      </c>
      <c r="EP287" t="str">
        <v>LOOR MIELES TANIA JACQUELINE</v>
      </c>
      <c r="EQ287" t="str">
        <v>LOOR SOLORZANO ROSA MARIA</v>
      </c>
      <c r="ER287" t="str">
        <v>LOPEZ DELGADO RONALD MAURICIO</v>
      </c>
      <c r="ES287" t="str">
        <v>MACIAS VALENCIA DAVID GABRIEL</v>
      </c>
      <c r="ET287" t="str">
        <v>MENDOZA ZAMORA WALTER MANUEL</v>
      </c>
      <c r="EU287" t="str">
        <v>MOLINA CEVALLOS MARIA LORENA</v>
      </c>
      <c r="EV287" t="str">
        <v>MURILLO DELGADO ISAAC GABRIEL</v>
      </c>
      <c r="EW287" t="str">
        <v>ANGULO MURILLO NAVIRA GISSELA</v>
      </c>
      <c r="EX287" t="str">
        <v>OCHOA SOLEDISPA NESTOR IVAN</v>
      </c>
      <c r="EY287" t="str">
        <v>PARRAGA FRANCO SILVANA MARIELA</v>
      </c>
      <c r="EZ287" t="str">
        <v>PINARGOTE VASQUEZ NANCY FABIOLA</v>
      </c>
      <c r="FA287" t="str">
        <v>REYES VELEZ PEDRO ENRIQUE</v>
      </c>
      <c r="FB287" t="str">
        <v>SAN ANDRES HORMAZA DALLAS CECILIA</v>
      </c>
      <c r="FC287" t="str">
        <v>SORNOZA ZAMORA JUAN CARLOS</v>
      </c>
      <c r="FD287" t="str">
        <v>TOMALA PINTO JESUS JACINTO</v>
      </c>
      <c r="FE287" t="str">
        <v>VALLE JARAMILLO SILVIA ARACELY</v>
      </c>
      <c r="FF287" t="str">
        <v>VELÁSQUEZ BRAVO IRMA KATHERINE</v>
      </c>
      <c r="FG287" t="str">
        <v>VELEZ MENDOZA LAYSY VALERIA</v>
      </c>
      <c r="FH287" t="str">
        <v>VINUEZA TELLO SHIRLEY ELIZABETH</v>
      </c>
      <c r="FI287" t="str">
        <v>ZAMBRANO ALCIVAR NILDA ISABEL</v>
      </c>
      <c r="FJ287" t="str">
        <v>ZAMBRANO LOOR RITA MAYDA</v>
      </c>
      <c r="FK287" t="str">
        <v>ZAMBRANO VERA MONICA JANETH</v>
      </c>
      <c r="FL287" t="str">
        <v>VERA DELGADO BRYAN ADRIÁN</v>
      </c>
      <c r="FM287" t="str">
        <v>MORAN GONZALES DAVID RENATO</v>
      </c>
      <c r="FN287">
        <v>0</v>
      </c>
    </row>
    <row r="288" spans="1:170" ht="20.25" customHeight="1">
      <c r="A288" s="4" t="str" cm="1">
        <f t="array" ref="A288">TRANSPOSE(_xlfn.UNIQUE(_xlfn._xlws.FILTER(MAE_ASIGNATURA[ID_NIVEL],MAE_ASIGNATURA[ID_CARRERA]=ASIGNACION!$C288,"No existe información")))</f>
        <v>No existe información</v>
      </c>
      <c r="S288" s="4" t="str" cm="1">
        <f t="array" ref="S288">TRANSPOSE(_xlfn.UNIQUE(_xlfn._xlws.FILTER(MAE_ASIGNATURA[NOM_ASIG],(MAE_ASIGNATURA[ID_NIVEL]=ASIGNACION!$D288)*(MAE_ASIGNATURA[ID_CARRERA]=ASIGNACION!$C288),"No existe información")))</f>
        <v>No existe información</v>
      </c>
      <c r="BD288" s="4" t="str" cm="1">
        <f t="array" ref="BD288">TRANSPOSE(_xlfn.UNIQUE(_xlfn._xlws.FILTER(DET_ASIG[DETALLADO],(DET_ASIG[ID_CARRERA]=ASIGNACION!$C288)*(DET_ASIG[NIVEL]=ASIGNACION!$D288)*(DET_ASIG[ID_ASIG]=ASIGNACION!$G288),"No existe información")))</f>
        <v>No existe información</v>
      </c>
      <c r="BQ288" s="5" t="str" cm="1">
        <f t="array" ref="BQ288">IFERROR(
    TRANSPOSE(
        _xlfn.UNIQUE(
            _xlfn._xlws.FILTER(MAESTRIA_DETALLADO[MAESTRIA],
                ISNUMBER(MATCH(MAESTRIA_DETALLADO[CAMPO_DETALLADO],
                BD288:BP288,0))
            )
        )
    ),IF(BD288="ACTIVIDAD","DOCENCIA",""))</f>
        <v/>
      </c>
      <c r="EA288" s="5" t="str" cm="1">
        <f t="array" ref="EA288:FN288">IF(
    ASIGNACION!I288="SI",
    IFERROR(
        TRANSPOSE(
            _xlfn.UNIQUE(
                _xlfn._xlws.FILTER(EDU_DOCENTE[NOMBRE_DOCENTE],
                    ISNUMBER(MATCH(EDU_DOCENTE[MAESTRIA],
                    BQ288:DY288,0))
                )
            )
        ),
        ""
    ),
    TRANSPOSE(
        _xlfn.UNIQUE(EDU_DOCENTE[NOMBRE_DOCENTE]
        )
    )
)</f>
        <v>ALCIVAR CEDEÑO BEATRIZ ISABEL</v>
      </c>
      <c r="EB288" t="str">
        <v>ALCIVAR VERA GEMA MICHELLE</v>
      </c>
      <c r="EC288" t="str">
        <v>ARAUZ CHAVEZ MARIO ROBERTO</v>
      </c>
      <c r="ED288" t="str">
        <v>BAILON LOURIDO WALTER ALBERTO</v>
      </c>
      <c r="EE288" t="str">
        <v>CALDERERO VILLAGOMEZ ERICK ANTONIO</v>
      </c>
      <c r="EF288" t="str">
        <v>CASTILLO GARCIA PAOLA GERMANIA</v>
      </c>
      <c r="EG288" t="str">
        <v>CEDEÑO CHOEZ PEDRO JAVIER</v>
      </c>
      <c r="EH288" t="str">
        <v>CEVALLOS HOPPE JUAN CARLOS</v>
      </c>
      <c r="EI288" t="str">
        <v>DELGADO CHAVEZ MARIA IRASEMA</v>
      </c>
      <c r="EJ288" t="str">
        <v>DUARTE VALENCIA CRISTHIAN DARIO</v>
      </c>
      <c r="EK288" t="str">
        <v>FORTTY BARBERAN DENNY ALEXANDER</v>
      </c>
      <c r="EL288" t="str">
        <v>GUTIERREZ ZAMBRANO CARMEN EBELINA</v>
      </c>
      <c r="EM288" t="str">
        <v>INTRIAGO MOLINA GEMA VALERIA</v>
      </c>
      <c r="EN288" t="str">
        <v>LINO VELEZ LEONEL LIVINGTON</v>
      </c>
      <c r="EO288" t="str">
        <v>LOOR ALCIVAR MARIA ILIANA</v>
      </c>
      <c r="EP288" t="str">
        <v>LOOR MIELES TANIA JACQUELINE</v>
      </c>
      <c r="EQ288" t="str">
        <v>LOOR SOLORZANO ROSA MARIA</v>
      </c>
      <c r="ER288" t="str">
        <v>LOPEZ DELGADO RONALD MAURICIO</v>
      </c>
      <c r="ES288" t="str">
        <v>MACIAS VALENCIA DAVID GABRIEL</v>
      </c>
      <c r="ET288" t="str">
        <v>MENDOZA ZAMORA WALTER MANUEL</v>
      </c>
      <c r="EU288" t="str">
        <v>MOLINA CEVALLOS MARIA LORENA</v>
      </c>
      <c r="EV288" t="str">
        <v>MURILLO DELGADO ISAAC GABRIEL</v>
      </c>
      <c r="EW288" t="str">
        <v>ANGULO MURILLO NAVIRA GISSELA</v>
      </c>
      <c r="EX288" t="str">
        <v>OCHOA SOLEDISPA NESTOR IVAN</v>
      </c>
      <c r="EY288" t="str">
        <v>PARRAGA FRANCO SILVANA MARIELA</v>
      </c>
      <c r="EZ288" t="str">
        <v>PINARGOTE VASQUEZ NANCY FABIOLA</v>
      </c>
      <c r="FA288" t="str">
        <v>REYES VELEZ PEDRO ENRIQUE</v>
      </c>
      <c r="FB288" t="str">
        <v>SAN ANDRES HORMAZA DALLAS CECILIA</v>
      </c>
      <c r="FC288" t="str">
        <v>SORNOZA ZAMORA JUAN CARLOS</v>
      </c>
      <c r="FD288" t="str">
        <v>TOMALA PINTO JESUS JACINTO</v>
      </c>
      <c r="FE288" t="str">
        <v>VALLE JARAMILLO SILVIA ARACELY</v>
      </c>
      <c r="FF288" t="str">
        <v>VELÁSQUEZ BRAVO IRMA KATHERINE</v>
      </c>
      <c r="FG288" t="str">
        <v>VELEZ MENDOZA LAYSY VALERIA</v>
      </c>
      <c r="FH288" t="str">
        <v>VINUEZA TELLO SHIRLEY ELIZABETH</v>
      </c>
      <c r="FI288" t="str">
        <v>ZAMBRANO ALCIVAR NILDA ISABEL</v>
      </c>
      <c r="FJ288" t="str">
        <v>ZAMBRANO LOOR RITA MAYDA</v>
      </c>
      <c r="FK288" t="str">
        <v>ZAMBRANO VERA MONICA JANETH</v>
      </c>
      <c r="FL288" t="str">
        <v>VERA DELGADO BRYAN ADRIÁN</v>
      </c>
      <c r="FM288" t="str">
        <v>MORAN GONZALES DAVID RENATO</v>
      </c>
      <c r="FN288">
        <v>0</v>
      </c>
    </row>
    <row r="289" spans="1:170" ht="20.25" customHeight="1">
      <c r="A289" s="4" t="str" cm="1">
        <f t="array" ref="A289">TRANSPOSE(_xlfn.UNIQUE(_xlfn._xlws.FILTER(MAE_ASIGNATURA[ID_NIVEL],MAE_ASIGNATURA[ID_CARRERA]=ASIGNACION!$C289,"No existe información")))</f>
        <v>No existe información</v>
      </c>
      <c r="S289" s="4" t="str" cm="1">
        <f t="array" ref="S289">TRANSPOSE(_xlfn.UNIQUE(_xlfn._xlws.FILTER(MAE_ASIGNATURA[NOM_ASIG],(MAE_ASIGNATURA[ID_NIVEL]=ASIGNACION!$D289)*(MAE_ASIGNATURA[ID_CARRERA]=ASIGNACION!$C289),"No existe información")))</f>
        <v>No existe información</v>
      </c>
      <c r="BD289" s="4" t="str" cm="1">
        <f t="array" ref="BD289">TRANSPOSE(_xlfn.UNIQUE(_xlfn._xlws.FILTER(DET_ASIG[DETALLADO],(DET_ASIG[ID_CARRERA]=ASIGNACION!$C289)*(DET_ASIG[NIVEL]=ASIGNACION!$D289)*(DET_ASIG[ID_ASIG]=ASIGNACION!$G289),"No existe información")))</f>
        <v>No existe información</v>
      </c>
      <c r="BQ289" s="5" t="str" cm="1">
        <f t="array" ref="BQ289">IFERROR(
    TRANSPOSE(
        _xlfn.UNIQUE(
            _xlfn._xlws.FILTER(MAESTRIA_DETALLADO[MAESTRIA],
                ISNUMBER(MATCH(MAESTRIA_DETALLADO[CAMPO_DETALLADO],
                BD289:BP289,0))
            )
        )
    ),IF(BD289="ACTIVIDAD","DOCENCIA",""))</f>
        <v/>
      </c>
      <c r="EA289" s="5" t="str" cm="1">
        <f t="array" ref="EA289:FN289">IF(
    ASIGNACION!I289="SI",
    IFERROR(
        TRANSPOSE(
            _xlfn.UNIQUE(
                _xlfn._xlws.FILTER(EDU_DOCENTE[NOMBRE_DOCENTE],
                    ISNUMBER(MATCH(EDU_DOCENTE[MAESTRIA],
                    BQ289:DY289,0))
                )
            )
        ),
        ""
    ),
    TRANSPOSE(
        _xlfn.UNIQUE(EDU_DOCENTE[NOMBRE_DOCENTE]
        )
    )
)</f>
        <v>ALCIVAR CEDEÑO BEATRIZ ISABEL</v>
      </c>
      <c r="EB289" t="str">
        <v>ALCIVAR VERA GEMA MICHELLE</v>
      </c>
      <c r="EC289" t="str">
        <v>ARAUZ CHAVEZ MARIO ROBERTO</v>
      </c>
      <c r="ED289" t="str">
        <v>BAILON LOURIDO WALTER ALBERTO</v>
      </c>
      <c r="EE289" t="str">
        <v>CALDERERO VILLAGOMEZ ERICK ANTONIO</v>
      </c>
      <c r="EF289" t="str">
        <v>CASTILLO GARCIA PAOLA GERMANIA</v>
      </c>
      <c r="EG289" t="str">
        <v>CEDEÑO CHOEZ PEDRO JAVIER</v>
      </c>
      <c r="EH289" t="str">
        <v>CEVALLOS HOPPE JUAN CARLOS</v>
      </c>
      <c r="EI289" t="str">
        <v>DELGADO CHAVEZ MARIA IRASEMA</v>
      </c>
      <c r="EJ289" t="str">
        <v>DUARTE VALENCIA CRISTHIAN DARIO</v>
      </c>
      <c r="EK289" t="str">
        <v>FORTTY BARBERAN DENNY ALEXANDER</v>
      </c>
      <c r="EL289" t="str">
        <v>GUTIERREZ ZAMBRANO CARMEN EBELINA</v>
      </c>
      <c r="EM289" t="str">
        <v>INTRIAGO MOLINA GEMA VALERIA</v>
      </c>
      <c r="EN289" t="str">
        <v>LINO VELEZ LEONEL LIVINGTON</v>
      </c>
      <c r="EO289" t="str">
        <v>LOOR ALCIVAR MARIA ILIANA</v>
      </c>
      <c r="EP289" t="str">
        <v>LOOR MIELES TANIA JACQUELINE</v>
      </c>
      <c r="EQ289" t="str">
        <v>LOOR SOLORZANO ROSA MARIA</v>
      </c>
      <c r="ER289" t="str">
        <v>LOPEZ DELGADO RONALD MAURICIO</v>
      </c>
      <c r="ES289" t="str">
        <v>MACIAS VALENCIA DAVID GABRIEL</v>
      </c>
      <c r="ET289" t="str">
        <v>MENDOZA ZAMORA WALTER MANUEL</v>
      </c>
      <c r="EU289" t="str">
        <v>MOLINA CEVALLOS MARIA LORENA</v>
      </c>
      <c r="EV289" t="str">
        <v>MURILLO DELGADO ISAAC GABRIEL</v>
      </c>
      <c r="EW289" t="str">
        <v>ANGULO MURILLO NAVIRA GISSELA</v>
      </c>
      <c r="EX289" t="str">
        <v>OCHOA SOLEDISPA NESTOR IVAN</v>
      </c>
      <c r="EY289" t="str">
        <v>PARRAGA FRANCO SILVANA MARIELA</v>
      </c>
      <c r="EZ289" t="str">
        <v>PINARGOTE VASQUEZ NANCY FABIOLA</v>
      </c>
      <c r="FA289" t="str">
        <v>REYES VELEZ PEDRO ENRIQUE</v>
      </c>
      <c r="FB289" t="str">
        <v>SAN ANDRES HORMAZA DALLAS CECILIA</v>
      </c>
      <c r="FC289" t="str">
        <v>SORNOZA ZAMORA JUAN CARLOS</v>
      </c>
      <c r="FD289" t="str">
        <v>TOMALA PINTO JESUS JACINTO</v>
      </c>
      <c r="FE289" t="str">
        <v>VALLE JARAMILLO SILVIA ARACELY</v>
      </c>
      <c r="FF289" t="str">
        <v>VELÁSQUEZ BRAVO IRMA KATHERINE</v>
      </c>
      <c r="FG289" t="str">
        <v>VELEZ MENDOZA LAYSY VALERIA</v>
      </c>
      <c r="FH289" t="str">
        <v>VINUEZA TELLO SHIRLEY ELIZABETH</v>
      </c>
      <c r="FI289" t="str">
        <v>ZAMBRANO ALCIVAR NILDA ISABEL</v>
      </c>
      <c r="FJ289" t="str">
        <v>ZAMBRANO LOOR RITA MAYDA</v>
      </c>
      <c r="FK289" t="str">
        <v>ZAMBRANO VERA MONICA JANETH</v>
      </c>
      <c r="FL289" t="str">
        <v>VERA DELGADO BRYAN ADRIÁN</v>
      </c>
      <c r="FM289" t="str">
        <v>MORAN GONZALES DAVID RENATO</v>
      </c>
      <c r="FN289">
        <v>0</v>
      </c>
    </row>
    <row r="290" spans="1:170" ht="20.25" customHeight="1">
      <c r="A290" s="4" t="str" cm="1">
        <f t="array" ref="A290">TRANSPOSE(_xlfn.UNIQUE(_xlfn._xlws.FILTER(MAE_ASIGNATURA[ID_NIVEL],MAE_ASIGNATURA[ID_CARRERA]=ASIGNACION!$C290,"No existe información")))</f>
        <v>No existe información</v>
      </c>
      <c r="S290" s="4" t="str" cm="1">
        <f t="array" ref="S290">TRANSPOSE(_xlfn.UNIQUE(_xlfn._xlws.FILTER(MAE_ASIGNATURA[NOM_ASIG],(MAE_ASIGNATURA[ID_NIVEL]=ASIGNACION!$D290)*(MAE_ASIGNATURA[ID_CARRERA]=ASIGNACION!$C290),"No existe información")))</f>
        <v>No existe información</v>
      </c>
      <c r="BD290" s="4" t="str" cm="1">
        <f t="array" ref="BD290">TRANSPOSE(_xlfn.UNIQUE(_xlfn._xlws.FILTER(DET_ASIG[DETALLADO],(DET_ASIG[ID_CARRERA]=ASIGNACION!$C290)*(DET_ASIG[NIVEL]=ASIGNACION!$D290)*(DET_ASIG[ID_ASIG]=ASIGNACION!$G290),"No existe información")))</f>
        <v>No existe información</v>
      </c>
      <c r="BQ290" s="5" t="str" cm="1">
        <f t="array" ref="BQ290">IFERROR(
    TRANSPOSE(
        _xlfn.UNIQUE(
            _xlfn._xlws.FILTER(MAESTRIA_DETALLADO[MAESTRIA],
                ISNUMBER(MATCH(MAESTRIA_DETALLADO[CAMPO_DETALLADO],
                BD290:BP290,0))
            )
        )
    ),IF(BD290="ACTIVIDAD","DOCENCIA",""))</f>
        <v/>
      </c>
      <c r="EA290" s="5" t="str" cm="1">
        <f t="array" ref="EA290:FN290">IF(
    ASIGNACION!I290="SI",
    IFERROR(
        TRANSPOSE(
            _xlfn.UNIQUE(
                _xlfn._xlws.FILTER(EDU_DOCENTE[NOMBRE_DOCENTE],
                    ISNUMBER(MATCH(EDU_DOCENTE[MAESTRIA],
                    BQ290:DY290,0))
                )
            )
        ),
        ""
    ),
    TRANSPOSE(
        _xlfn.UNIQUE(EDU_DOCENTE[NOMBRE_DOCENTE]
        )
    )
)</f>
        <v>ALCIVAR CEDEÑO BEATRIZ ISABEL</v>
      </c>
      <c r="EB290" t="str">
        <v>ALCIVAR VERA GEMA MICHELLE</v>
      </c>
      <c r="EC290" t="str">
        <v>ARAUZ CHAVEZ MARIO ROBERTO</v>
      </c>
      <c r="ED290" t="str">
        <v>BAILON LOURIDO WALTER ALBERTO</v>
      </c>
      <c r="EE290" t="str">
        <v>CALDERERO VILLAGOMEZ ERICK ANTONIO</v>
      </c>
      <c r="EF290" t="str">
        <v>CASTILLO GARCIA PAOLA GERMANIA</v>
      </c>
      <c r="EG290" t="str">
        <v>CEDEÑO CHOEZ PEDRO JAVIER</v>
      </c>
      <c r="EH290" t="str">
        <v>CEVALLOS HOPPE JUAN CARLOS</v>
      </c>
      <c r="EI290" t="str">
        <v>DELGADO CHAVEZ MARIA IRASEMA</v>
      </c>
      <c r="EJ290" t="str">
        <v>DUARTE VALENCIA CRISTHIAN DARIO</v>
      </c>
      <c r="EK290" t="str">
        <v>FORTTY BARBERAN DENNY ALEXANDER</v>
      </c>
      <c r="EL290" t="str">
        <v>GUTIERREZ ZAMBRANO CARMEN EBELINA</v>
      </c>
      <c r="EM290" t="str">
        <v>INTRIAGO MOLINA GEMA VALERIA</v>
      </c>
      <c r="EN290" t="str">
        <v>LINO VELEZ LEONEL LIVINGTON</v>
      </c>
      <c r="EO290" t="str">
        <v>LOOR ALCIVAR MARIA ILIANA</v>
      </c>
      <c r="EP290" t="str">
        <v>LOOR MIELES TANIA JACQUELINE</v>
      </c>
      <c r="EQ290" t="str">
        <v>LOOR SOLORZANO ROSA MARIA</v>
      </c>
      <c r="ER290" t="str">
        <v>LOPEZ DELGADO RONALD MAURICIO</v>
      </c>
      <c r="ES290" t="str">
        <v>MACIAS VALENCIA DAVID GABRIEL</v>
      </c>
      <c r="ET290" t="str">
        <v>MENDOZA ZAMORA WALTER MANUEL</v>
      </c>
      <c r="EU290" t="str">
        <v>MOLINA CEVALLOS MARIA LORENA</v>
      </c>
      <c r="EV290" t="str">
        <v>MURILLO DELGADO ISAAC GABRIEL</v>
      </c>
      <c r="EW290" t="str">
        <v>ANGULO MURILLO NAVIRA GISSELA</v>
      </c>
      <c r="EX290" t="str">
        <v>OCHOA SOLEDISPA NESTOR IVAN</v>
      </c>
      <c r="EY290" t="str">
        <v>PARRAGA FRANCO SILVANA MARIELA</v>
      </c>
      <c r="EZ290" t="str">
        <v>PINARGOTE VASQUEZ NANCY FABIOLA</v>
      </c>
      <c r="FA290" t="str">
        <v>REYES VELEZ PEDRO ENRIQUE</v>
      </c>
      <c r="FB290" t="str">
        <v>SAN ANDRES HORMAZA DALLAS CECILIA</v>
      </c>
      <c r="FC290" t="str">
        <v>SORNOZA ZAMORA JUAN CARLOS</v>
      </c>
      <c r="FD290" t="str">
        <v>TOMALA PINTO JESUS JACINTO</v>
      </c>
      <c r="FE290" t="str">
        <v>VALLE JARAMILLO SILVIA ARACELY</v>
      </c>
      <c r="FF290" t="str">
        <v>VELÁSQUEZ BRAVO IRMA KATHERINE</v>
      </c>
      <c r="FG290" t="str">
        <v>VELEZ MENDOZA LAYSY VALERIA</v>
      </c>
      <c r="FH290" t="str">
        <v>VINUEZA TELLO SHIRLEY ELIZABETH</v>
      </c>
      <c r="FI290" t="str">
        <v>ZAMBRANO ALCIVAR NILDA ISABEL</v>
      </c>
      <c r="FJ290" t="str">
        <v>ZAMBRANO LOOR RITA MAYDA</v>
      </c>
      <c r="FK290" t="str">
        <v>ZAMBRANO VERA MONICA JANETH</v>
      </c>
      <c r="FL290" t="str">
        <v>VERA DELGADO BRYAN ADRIÁN</v>
      </c>
      <c r="FM290" t="str">
        <v>MORAN GONZALES DAVID RENATO</v>
      </c>
      <c r="FN290">
        <v>0</v>
      </c>
    </row>
    <row r="291" spans="1:170" ht="20.25" customHeight="1">
      <c r="A291" s="4" t="str" cm="1">
        <f t="array" ref="A291">TRANSPOSE(_xlfn.UNIQUE(_xlfn._xlws.FILTER(MAE_ASIGNATURA[ID_NIVEL],MAE_ASIGNATURA[ID_CARRERA]=ASIGNACION!$C291,"No existe información")))</f>
        <v>No existe información</v>
      </c>
      <c r="S291" s="4" t="str" cm="1">
        <f t="array" ref="S291">TRANSPOSE(_xlfn.UNIQUE(_xlfn._xlws.FILTER(MAE_ASIGNATURA[NOM_ASIG],(MAE_ASIGNATURA[ID_NIVEL]=ASIGNACION!$D291)*(MAE_ASIGNATURA[ID_CARRERA]=ASIGNACION!$C291),"No existe información")))</f>
        <v>No existe información</v>
      </c>
      <c r="BD291" s="4" t="str" cm="1">
        <f t="array" ref="BD291">TRANSPOSE(_xlfn.UNIQUE(_xlfn._xlws.FILTER(DET_ASIG[DETALLADO],(DET_ASIG[ID_CARRERA]=ASIGNACION!$C291)*(DET_ASIG[NIVEL]=ASIGNACION!$D291)*(DET_ASIG[ID_ASIG]=ASIGNACION!$G291),"No existe información")))</f>
        <v>No existe información</v>
      </c>
      <c r="BQ291" s="5" t="str" cm="1">
        <f t="array" ref="BQ291">IFERROR(
    TRANSPOSE(
        _xlfn.UNIQUE(
            _xlfn._xlws.FILTER(MAESTRIA_DETALLADO[MAESTRIA],
                ISNUMBER(MATCH(MAESTRIA_DETALLADO[CAMPO_DETALLADO],
                BD291:BP291,0))
            )
        )
    ),IF(BD291="ACTIVIDAD","DOCENCIA",""))</f>
        <v/>
      </c>
      <c r="EA291" s="5" t="str" cm="1">
        <f t="array" ref="EA291:FN291">IF(
    ASIGNACION!I291="SI",
    IFERROR(
        TRANSPOSE(
            _xlfn.UNIQUE(
                _xlfn._xlws.FILTER(EDU_DOCENTE[NOMBRE_DOCENTE],
                    ISNUMBER(MATCH(EDU_DOCENTE[MAESTRIA],
                    BQ291:DY291,0))
                )
            )
        ),
        ""
    ),
    TRANSPOSE(
        _xlfn.UNIQUE(EDU_DOCENTE[NOMBRE_DOCENTE]
        )
    )
)</f>
        <v>ALCIVAR CEDEÑO BEATRIZ ISABEL</v>
      </c>
      <c r="EB291" t="str">
        <v>ALCIVAR VERA GEMA MICHELLE</v>
      </c>
      <c r="EC291" t="str">
        <v>ARAUZ CHAVEZ MARIO ROBERTO</v>
      </c>
      <c r="ED291" t="str">
        <v>BAILON LOURIDO WALTER ALBERTO</v>
      </c>
      <c r="EE291" t="str">
        <v>CALDERERO VILLAGOMEZ ERICK ANTONIO</v>
      </c>
      <c r="EF291" t="str">
        <v>CASTILLO GARCIA PAOLA GERMANIA</v>
      </c>
      <c r="EG291" t="str">
        <v>CEDEÑO CHOEZ PEDRO JAVIER</v>
      </c>
      <c r="EH291" t="str">
        <v>CEVALLOS HOPPE JUAN CARLOS</v>
      </c>
      <c r="EI291" t="str">
        <v>DELGADO CHAVEZ MARIA IRASEMA</v>
      </c>
      <c r="EJ291" t="str">
        <v>DUARTE VALENCIA CRISTHIAN DARIO</v>
      </c>
      <c r="EK291" t="str">
        <v>FORTTY BARBERAN DENNY ALEXANDER</v>
      </c>
      <c r="EL291" t="str">
        <v>GUTIERREZ ZAMBRANO CARMEN EBELINA</v>
      </c>
      <c r="EM291" t="str">
        <v>INTRIAGO MOLINA GEMA VALERIA</v>
      </c>
      <c r="EN291" t="str">
        <v>LINO VELEZ LEONEL LIVINGTON</v>
      </c>
      <c r="EO291" t="str">
        <v>LOOR ALCIVAR MARIA ILIANA</v>
      </c>
      <c r="EP291" t="str">
        <v>LOOR MIELES TANIA JACQUELINE</v>
      </c>
      <c r="EQ291" t="str">
        <v>LOOR SOLORZANO ROSA MARIA</v>
      </c>
      <c r="ER291" t="str">
        <v>LOPEZ DELGADO RONALD MAURICIO</v>
      </c>
      <c r="ES291" t="str">
        <v>MACIAS VALENCIA DAVID GABRIEL</v>
      </c>
      <c r="ET291" t="str">
        <v>MENDOZA ZAMORA WALTER MANUEL</v>
      </c>
      <c r="EU291" t="str">
        <v>MOLINA CEVALLOS MARIA LORENA</v>
      </c>
      <c r="EV291" t="str">
        <v>MURILLO DELGADO ISAAC GABRIEL</v>
      </c>
      <c r="EW291" t="str">
        <v>ANGULO MURILLO NAVIRA GISSELA</v>
      </c>
      <c r="EX291" t="str">
        <v>OCHOA SOLEDISPA NESTOR IVAN</v>
      </c>
      <c r="EY291" t="str">
        <v>PARRAGA FRANCO SILVANA MARIELA</v>
      </c>
      <c r="EZ291" t="str">
        <v>PINARGOTE VASQUEZ NANCY FABIOLA</v>
      </c>
      <c r="FA291" t="str">
        <v>REYES VELEZ PEDRO ENRIQUE</v>
      </c>
      <c r="FB291" t="str">
        <v>SAN ANDRES HORMAZA DALLAS CECILIA</v>
      </c>
      <c r="FC291" t="str">
        <v>SORNOZA ZAMORA JUAN CARLOS</v>
      </c>
      <c r="FD291" t="str">
        <v>TOMALA PINTO JESUS JACINTO</v>
      </c>
      <c r="FE291" t="str">
        <v>VALLE JARAMILLO SILVIA ARACELY</v>
      </c>
      <c r="FF291" t="str">
        <v>VELÁSQUEZ BRAVO IRMA KATHERINE</v>
      </c>
      <c r="FG291" t="str">
        <v>VELEZ MENDOZA LAYSY VALERIA</v>
      </c>
      <c r="FH291" t="str">
        <v>VINUEZA TELLO SHIRLEY ELIZABETH</v>
      </c>
      <c r="FI291" t="str">
        <v>ZAMBRANO ALCIVAR NILDA ISABEL</v>
      </c>
      <c r="FJ291" t="str">
        <v>ZAMBRANO LOOR RITA MAYDA</v>
      </c>
      <c r="FK291" t="str">
        <v>ZAMBRANO VERA MONICA JANETH</v>
      </c>
      <c r="FL291" t="str">
        <v>VERA DELGADO BRYAN ADRIÁN</v>
      </c>
      <c r="FM291" t="str">
        <v>MORAN GONZALES DAVID RENATO</v>
      </c>
      <c r="FN291">
        <v>0</v>
      </c>
    </row>
    <row r="292" spans="1:170" ht="20.25" customHeight="1">
      <c r="A292" s="4" t="str" cm="1">
        <f t="array" ref="A292">TRANSPOSE(_xlfn.UNIQUE(_xlfn._xlws.FILTER(MAE_ASIGNATURA[ID_NIVEL],MAE_ASIGNATURA[ID_CARRERA]=ASIGNACION!$C292,"No existe información")))</f>
        <v>No existe información</v>
      </c>
      <c r="S292" s="4" t="str" cm="1">
        <f t="array" ref="S292">TRANSPOSE(_xlfn.UNIQUE(_xlfn._xlws.FILTER(MAE_ASIGNATURA[NOM_ASIG],(MAE_ASIGNATURA[ID_NIVEL]=ASIGNACION!$D292)*(MAE_ASIGNATURA[ID_CARRERA]=ASIGNACION!$C292),"No existe información")))</f>
        <v>No existe información</v>
      </c>
      <c r="BD292" s="4" t="str" cm="1">
        <f t="array" ref="BD292">TRANSPOSE(_xlfn.UNIQUE(_xlfn._xlws.FILTER(DET_ASIG[DETALLADO],(DET_ASIG[ID_CARRERA]=ASIGNACION!$C292)*(DET_ASIG[NIVEL]=ASIGNACION!$D292)*(DET_ASIG[ID_ASIG]=ASIGNACION!$G292),"No existe información")))</f>
        <v>No existe información</v>
      </c>
      <c r="BQ292" s="5" t="str" cm="1">
        <f t="array" ref="BQ292">IFERROR(
    TRANSPOSE(
        _xlfn.UNIQUE(
            _xlfn._xlws.FILTER(MAESTRIA_DETALLADO[MAESTRIA],
                ISNUMBER(MATCH(MAESTRIA_DETALLADO[CAMPO_DETALLADO],
                BD292:BP292,0))
            )
        )
    ),IF(BD292="ACTIVIDAD","DOCENCIA",""))</f>
        <v/>
      </c>
      <c r="EA292" s="5" t="str" cm="1">
        <f t="array" ref="EA292:FN292">IF(
    ASIGNACION!I292="SI",
    IFERROR(
        TRANSPOSE(
            _xlfn.UNIQUE(
                _xlfn._xlws.FILTER(EDU_DOCENTE[NOMBRE_DOCENTE],
                    ISNUMBER(MATCH(EDU_DOCENTE[MAESTRIA],
                    BQ292:DY292,0))
                )
            )
        ),
        ""
    ),
    TRANSPOSE(
        _xlfn.UNIQUE(EDU_DOCENTE[NOMBRE_DOCENTE]
        )
    )
)</f>
        <v>ALCIVAR CEDEÑO BEATRIZ ISABEL</v>
      </c>
      <c r="EB292" t="str">
        <v>ALCIVAR VERA GEMA MICHELLE</v>
      </c>
      <c r="EC292" t="str">
        <v>ARAUZ CHAVEZ MARIO ROBERTO</v>
      </c>
      <c r="ED292" t="str">
        <v>BAILON LOURIDO WALTER ALBERTO</v>
      </c>
      <c r="EE292" t="str">
        <v>CALDERERO VILLAGOMEZ ERICK ANTONIO</v>
      </c>
      <c r="EF292" t="str">
        <v>CASTILLO GARCIA PAOLA GERMANIA</v>
      </c>
      <c r="EG292" t="str">
        <v>CEDEÑO CHOEZ PEDRO JAVIER</v>
      </c>
      <c r="EH292" t="str">
        <v>CEVALLOS HOPPE JUAN CARLOS</v>
      </c>
      <c r="EI292" t="str">
        <v>DELGADO CHAVEZ MARIA IRASEMA</v>
      </c>
      <c r="EJ292" t="str">
        <v>DUARTE VALENCIA CRISTHIAN DARIO</v>
      </c>
      <c r="EK292" t="str">
        <v>FORTTY BARBERAN DENNY ALEXANDER</v>
      </c>
      <c r="EL292" t="str">
        <v>GUTIERREZ ZAMBRANO CARMEN EBELINA</v>
      </c>
      <c r="EM292" t="str">
        <v>INTRIAGO MOLINA GEMA VALERIA</v>
      </c>
      <c r="EN292" t="str">
        <v>LINO VELEZ LEONEL LIVINGTON</v>
      </c>
      <c r="EO292" t="str">
        <v>LOOR ALCIVAR MARIA ILIANA</v>
      </c>
      <c r="EP292" t="str">
        <v>LOOR MIELES TANIA JACQUELINE</v>
      </c>
      <c r="EQ292" t="str">
        <v>LOOR SOLORZANO ROSA MARIA</v>
      </c>
      <c r="ER292" t="str">
        <v>LOPEZ DELGADO RONALD MAURICIO</v>
      </c>
      <c r="ES292" t="str">
        <v>MACIAS VALENCIA DAVID GABRIEL</v>
      </c>
      <c r="ET292" t="str">
        <v>MENDOZA ZAMORA WALTER MANUEL</v>
      </c>
      <c r="EU292" t="str">
        <v>MOLINA CEVALLOS MARIA LORENA</v>
      </c>
      <c r="EV292" t="str">
        <v>MURILLO DELGADO ISAAC GABRIEL</v>
      </c>
      <c r="EW292" t="str">
        <v>ANGULO MURILLO NAVIRA GISSELA</v>
      </c>
      <c r="EX292" t="str">
        <v>OCHOA SOLEDISPA NESTOR IVAN</v>
      </c>
      <c r="EY292" t="str">
        <v>PARRAGA FRANCO SILVANA MARIELA</v>
      </c>
      <c r="EZ292" t="str">
        <v>PINARGOTE VASQUEZ NANCY FABIOLA</v>
      </c>
      <c r="FA292" t="str">
        <v>REYES VELEZ PEDRO ENRIQUE</v>
      </c>
      <c r="FB292" t="str">
        <v>SAN ANDRES HORMAZA DALLAS CECILIA</v>
      </c>
      <c r="FC292" t="str">
        <v>SORNOZA ZAMORA JUAN CARLOS</v>
      </c>
      <c r="FD292" t="str">
        <v>TOMALA PINTO JESUS JACINTO</v>
      </c>
      <c r="FE292" t="str">
        <v>VALLE JARAMILLO SILVIA ARACELY</v>
      </c>
      <c r="FF292" t="str">
        <v>VELÁSQUEZ BRAVO IRMA KATHERINE</v>
      </c>
      <c r="FG292" t="str">
        <v>VELEZ MENDOZA LAYSY VALERIA</v>
      </c>
      <c r="FH292" t="str">
        <v>VINUEZA TELLO SHIRLEY ELIZABETH</v>
      </c>
      <c r="FI292" t="str">
        <v>ZAMBRANO ALCIVAR NILDA ISABEL</v>
      </c>
      <c r="FJ292" t="str">
        <v>ZAMBRANO LOOR RITA MAYDA</v>
      </c>
      <c r="FK292" t="str">
        <v>ZAMBRANO VERA MONICA JANETH</v>
      </c>
      <c r="FL292" t="str">
        <v>VERA DELGADO BRYAN ADRIÁN</v>
      </c>
      <c r="FM292" t="str">
        <v>MORAN GONZALES DAVID RENATO</v>
      </c>
      <c r="FN292">
        <v>0</v>
      </c>
    </row>
    <row r="293" spans="1:170" ht="20.25" customHeight="1">
      <c r="A293" s="4" t="str" cm="1">
        <f t="array" ref="A293">TRANSPOSE(_xlfn.UNIQUE(_xlfn._xlws.FILTER(MAE_ASIGNATURA[ID_NIVEL],MAE_ASIGNATURA[ID_CARRERA]=ASIGNACION!$C293,"No existe información")))</f>
        <v>No existe información</v>
      </c>
      <c r="S293" s="4" t="str" cm="1">
        <f t="array" ref="S293">TRANSPOSE(_xlfn.UNIQUE(_xlfn._xlws.FILTER(MAE_ASIGNATURA[NOM_ASIG],(MAE_ASIGNATURA[ID_NIVEL]=ASIGNACION!$D293)*(MAE_ASIGNATURA[ID_CARRERA]=ASIGNACION!$C293),"No existe información")))</f>
        <v>No existe información</v>
      </c>
      <c r="BD293" s="4" t="str" cm="1">
        <f t="array" ref="BD293">TRANSPOSE(_xlfn.UNIQUE(_xlfn._xlws.FILTER(DET_ASIG[DETALLADO],(DET_ASIG[ID_CARRERA]=ASIGNACION!$C293)*(DET_ASIG[NIVEL]=ASIGNACION!$D293)*(DET_ASIG[ID_ASIG]=ASIGNACION!$G293),"No existe información")))</f>
        <v>No existe información</v>
      </c>
      <c r="BQ293" s="5" t="str" cm="1">
        <f t="array" ref="BQ293">IFERROR(
    TRANSPOSE(
        _xlfn.UNIQUE(
            _xlfn._xlws.FILTER(MAESTRIA_DETALLADO[MAESTRIA],
                ISNUMBER(MATCH(MAESTRIA_DETALLADO[CAMPO_DETALLADO],
                BD293:BP293,0))
            )
        )
    ),IF(BD293="ACTIVIDAD","DOCENCIA",""))</f>
        <v/>
      </c>
      <c r="EA293" s="5" t="str" cm="1">
        <f t="array" ref="EA293:FN293">IF(
    ASIGNACION!I293="SI",
    IFERROR(
        TRANSPOSE(
            _xlfn.UNIQUE(
                _xlfn._xlws.FILTER(EDU_DOCENTE[NOMBRE_DOCENTE],
                    ISNUMBER(MATCH(EDU_DOCENTE[MAESTRIA],
                    BQ293:DY293,0))
                )
            )
        ),
        ""
    ),
    TRANSPOSE(
        _xlfn.UNIQUE(EDU_DOCENTE[NOMBRE_DOCENTE]
        )
    )
)</f>
        <v>ALCIVAR CEDEÑO BEATRIZ ISABEL</v>
      </c>
      <c r="EB293" t="str">
        <v>ALCIVAR VERA GEMA MICHELLE</v>
      </c>
      <c r="EC293" t="str">
        <v>ARAUZ CHAVEZ MARIO ROBERTO</v>
      </c>
      <c r="ED293" t="str">
        <v>BAILON LOURIDO WALTER ALBERTO</v>
      </c>
      <c r="EE293" t="str">
        <v>CALDERERO VILLAGOMEZ ERICK ANTONIO</v>
      </c>
      <c r="EF293" t="str">
        <v>CASTILLO GARCIA PAOLA GERMANIA</v>
      </c>
      <c r="EG293" t="str">
        <v>CEDEÑO CHOEZ PEDRO JAVIER</v>
      </c>
      <c r="EH293" t="str">
        <v>CEVALLOS HOPPE JUAN CARLOS</v>
      </c>
      <c r="EI293" t="str">
        <v>DELGADO CHAVEZ MARIA IRASEMA</v>
      </c>
      <c r="EJ293" t="str">
        <v>DUARTE VALENCIA CRISTHIAN DARIO</v>
      </c>
      <c r="EK293" t="str">
        <v>FORTTY BARBERAN DENNY ALEXANDER</v>
      </c>
      <c r="EL293" t="str">
        <v>GUTIERREZ ZAMBRANO CARMEN EBELINA</v>
      </c>
      <c r="EM293" t="str">
        <v>INTRIAGO MOLINA GEMA VALERIA</v>
      </c>
      <c r="EN293" t="str">
        <v>LINO VELEZ LEONEL LIVINGTON</v>
      </c>
      <c r="EO293" t="str">
        <v>LOOR ALCIVAR MARIA ILIANA</v>
      </c>
      <c r="EP293" t="str">
        <v>LOOR MIELES TANIA JACQUELINE</v>
      </c>
      <c r="EQ293" t="str">
        <v>LOOR SOLORZANO ROSA MARIA</v>
      </c>
      <c r="ER293" t="str">
        <v>LOPEZ DELGADO RONALD MAURICIO</v>
      </c>
      <c r="ES293" t="str">
        <v>MACIAS VALENCIA DAVID GABRIEL</v>
      </c>
      <c r="ET293" t="str">
        <v>MENDOZA ZAMORA WALTER MANUEL</v>
      </c>
      <c r="EU293" t="str">
        <v>MOLINA CEVALLOS MARIA LORENA</v>
      </c>
      <c r="EV293" t="str">
        <v>MURILLO DELGADO ISAAC GABRIEL</v>
      </c>
      <c r="EW293" t="str">
        <v>ANGULO MURILLO NAVIRA GISSELA</v>
      </c>
      <c r="EX293" t="str">
        <v>OCHOA SOLEDISPA NESTOR IVAN</v>
      </c>
      <c r="EY293" t="str">
        <v>PARRAGA FRANCO SILVANA MARIELA</v>
      </c>
      <c r="EZ293" t="str">
        <v>PINARGOTE VASQUEZ NANCY FABIOLA</v>
      </c>
      <c r="FA293" t="str">
        <v>REYES VELEZ PEDRO ENRIQUE</v>
      </c>
      <c r="FB293" t="str">
        <v>SAN ANDRES HORMAZA DALLAS CECILIA</v>
      </c>
      <c r="FC293" t="str">
        <v>SORNOZA ZAMORA JUAN CARLOS</v>
      </c>
      <c r="FD293" t="str">
        <v>TOMALA PINTO JESUS JACINTO</v>
      </c>
      <c r="FE293" t="str">
        <v>VALLE JARAMILLO SILVIA ARACELY</v>
      </c>
      <c r="FF293" t="str">
        <v>VELÁSQUEZ BRAVO IRMA KATHERINE</v>
      </c>
      <c r="FG293" t="str">
        <v>VELEZ MENDOZA LAYSY VALERIA</v>
      </c>
      <c r="FH293" t="str">
        <v>VINUEZA TELLO SHIRLEY ELIZABETH</v>
      </c>
      <c r="FI293" t="str">
        <v>ZAMBRANO ALCIVAR NILDA ISABEL</v>
      </c>
      <c r="FJ293" t="str">
        <v>ZAMBRANO LOOR RITA MAYDA</v>
      </c>
      <c r="FK293" t="str">
        <v>ZAMBRANO VERA MONICA JANETH</v>
      </c>
      <c r="FL293" t="str">
        <v>VERA DELGADO BRYAN ADRIÁN</v>
      </c>
      <c r="FM293" t="str">
        <v>MORAN GONZALES DAVID RENATO</v>
      </c>
      <c r="FN293">
        <v>0</v>
      </c>
    </row>
    <row r="294" spans="1:170" ht="20.25" customHeight="1">
      <c r="A294" s="4" t="str" cm="1">
        <f t="array" ref="A294">TRANSPOSE(_xlfn.UNIQUE(_xlfn._xlws.FILTER(MAE_ASIGNATURA[ID_NIVEL],MAE_ASIGNATURA[ID_CARRERA]=ASIGNACION!$C294,"No existe información")))</f>
        <v>No existe información</v>
      </c>
      <c r="S294" s="4" t="str" cm="1">
        <f t="array" ref="S294">TRANSPOSE(_xlfn.UNIQUE(_xlfn._xlws.FILTER(MAE_ASIGNATURA[NOM_ASIG],(MAE_ASIGNATURA[ID_NIVEL]=ASIGNACION!$D294)*(MAE_ASIGNATURA[ID_CARRERA]=ASIGNACION!$C294),"No existe información")))</f>
        <v>No existe información</v>
      </c>
      <c r="BD294" s="4" t="str" cm="1">
        <f t="array" ref="BD294">TRANSPOSE(_xlfn.UNIQUE(_xlfn._xlws.FILTER(DET_ASIG[DETALLADO],(DET_ASIG[ID_CARRERA]=ASIGNACION!$C294)*(DET_ASIG[NIVEL]=ASIGNACION!$D294)*(DET_ASIG[ID_ASIG]=ASIGNACION!$G294),"No existe información")))</f>
        <v>No existe información</v>
      </c>
      <c r="BQ294" s="5" t="str" cm="1">
        <f t="array" ref="BQ294">IFERROR(
    TRANSPOSE(
        _xlfn.UNIQUE(
            _xlfn._xlws.FILTER(MAESTRIA_DETALLADO[MAESTRIA],
                ISNUMBER(MATCH(MAESTRIA_DETALLADO[CAMPO_DETALLADO],
                BD294:BP294,0))
            )
        )
    ),IF(BD294="ACTIVIDAD","DOCENCIA",""))</f>
        <v/>
      </c>
      <c r="EA294" s="5" t="str" cm="1">
        <f t="array" ref="EA294:FN294">IF(
    ASIGNACION!I294="SI",
    IFERROR(
        TRANSPOSE(
            _xlfn.UNIQUE(
                _xlfn._xlws.FILTER(EDU_DOCENTE[NOMBRE_DOCENTE],
                    ISNUMBER(MATCH(EDU_DOCENTE[MAESTRIA],
                    BQ294:DY294,0))
                )
            )
        ),
        ""
    ),
    TRANSPOSE(
        _xlfn.UNIQUE(EDU_DOCENTE[NOMBRE_DOCENTE]
        )
    )
)</f>
        <v>ALCIVAR CEDEÑO BEATRIZ ISABEL</v>
      </c>
      <c r="EB294" t="str">
        <v>ALCIVAR VERA GEMA MICHELLE</v>
      </c>
      <c r="EC294" t="str">
        <v>ARAUZ CHAVEZ MARIO ROBERTO</v>
      </c>
      <c r="ED294" t="str">
        <v>BAILON LOURIDO WALTER ALBERTO</v>
      </c>
      <c r="EE294" t="str">
        <v>CALDERERO VILLAGOMEZ ERICK ANTONIO</v>
      </c>
      <c r="EF294" t="str">
        <v>CASTILLO GARCIA PAOLA GERMANIA</v>
      </c>
      <c r="EG294" t="str">
        <v>CEDEÑO CHOEZ PEDRO JAVIER</v>
      </c>
      <c r="EH294" t="str">
        <v>CEVALLOS HOPPE JUAN CARLOS</v>
      </c>
      <c r="EI294" t="str">
        <v>DELGADO CHAVEZ MARIA IRASEMA</v>
      </c>
      <c r="EJ294" t="str">
        <v>DUARTE VALENCIA CRISTHIAN DARIO</v>
      </c>
      <c r="EK294" t="str">
        <v>FORTTY BARBERAN DENNY ALEXANDER</v>
      </c>
      <c r="EL294" t="str">
        <v>GUTIERREZ ZAMBRANO CARMEN EBELINA</v>
      </c>
      <c r="EM294" t="str">
        <v>INTRIAGO MOLINA GEMA VALERIA</v>
      </c>
      <c r="EN294" t="str">
        <v>LINO VELEZ LEONEL LIVINGTON</v>
      </c>
      <c r="EO294" t="str">
        <v>LOOR ALCIVAR MARIA ILIANA</v>
      </c>
      <c r="EP294" t="str">
        <v>LOOR MIELES TANIA JACQUELINE</v>
      </c>
      <c r="EQ294" t="str">
        <v>LOOR SOLORZANO ROSA MARIA</v>
      </c>
      <c r="ER294" t="str">
        <v>LOPEZ DELGADO RONALD MAURICIO</v>
      </c>
      <c r="ES294" t="str">
        <v>MACIAS VALENCIA DAVID GABRIEL</v>
      </c>
      <c r="ET294" t="str">
        <v>MENDOZA ZAMORA WALTER MANUEL</v>
      </c>
      <c r="EU294" t="str">
        <v>MOLINA CEVALLOS MARIA LORENA</v>
      </c>
      <c r="EV294" t="str">
        <v>MURILLO DELGADO ISAAC GABRIEL</v>
      </c>
      <c r="EW294" t="str">
        <v>ANGULO MURILLO NAVIRA GISSELA</v>
      </c>
      <c r="EX294" t="str">
        <v>OCHOA SOLEDISPA NESTOR IVAN</v>
      </c>
      <c r="EY294" t="str">
        <v>PARRAGA FRANCO SILVANA MARIELA</v>
      </c>
      <c r="EZ294" t="str">
        <v>PINARGOTE VASQUEZ NANCY FABIOLA</v>
      </c>
      <c r="FA294" t="str">
        <v>REYES VELEZ PEDRO ENRIQUE</v>
      </c>
      <c r="FB294" t="str">
        <v>SAN ANDRES HORMAZA DALLAS CECILIA</v>
      </c>
      <c r="FC294" t="str">
        <v>SORNOZA ZAMORA JUAN CARLOS</v>
      </c>
      <c r="FD294" t="str">
        <v>TOMALA PINTO JESUS JACINTO</v>
      </c>
      <c r="FE294" t="str">
        <v>VALLE JARAMILLO SILVIA ARACELY</v>
      </c>
      <c r="FF294" t="str">
        <v>VELÁSQUEZ BRAVO IRMA KATHERINE</v>
      </c>
      <c r="FG294" t="str">
        <v>VELEZ MENDOZA LAYSY VALERIA</v>
      </c>
      <c r="FH294" t="str">
        <v>VINUEZA TELLO SHIRLEY ELIZABETH</v>
      </c>
      <c r="FI294" t="str">
        <v>ZAMBRANO ALCIVAR NILDA ISABEL</v>
      </c>
      <c r="FJ294" t="str">
        <v>ZAMBRANO LOOR RITA MAYDA</v>
      </c>
      <c r="FK294" t="str">
        <v>ZAMBRANO VERA MONICA JANETH</v>
      </c>
      <c r="FL294" t="str">
        <v>VERA DELGADO BRYAN ADRIÁN</v>
      </c>
      <c r="FM294" t="str">
        <v>MORAN GONZALES DAVID RENATO</v>
      </c>
      <c r="FN294">
        <v>0</v>
      </c>
    </row>
    <row r="295" spans="1:170" ht="20.25" customHeight="1">
      <c r="A295" s="4" t="str" cm="1">
        <f t="array" ref="A295">TRANSPOSE(_xlfn.UNIQUE(_xlfn._xlws.FILTER(MAE_ASIGNATURA[ID_NIVEL],MAE_ASIGNATURA[ID_CARRERA]=ASIGNACION!$C295,"No existe información")))</f>
        <v>No existe información</v>
      </c>
      <c r="S295" s="4" t="str" cm="1">
        <f t="array" ref="S295">TRANSPOSE(_xlfn.UNIQUE(_xlfn._xlws.FILTER(MAE_ASIGNATURA[NOM_ASIG],(MAE_ASIGNATURA[ID_NIVEL]=ASIGNACION!$D295)*(MAE_ASIGNATURA[ID_CARRERA]=ASIGNACION!$C295),"No existe información")))</f>
        <v>No existe información</v>
      </c>
      <c r="BD295" s="4" t="str" cm="1">
        <f t="array" ref="BD295">TRANSPOSE(_xlfn.UNIQUE(_xlfn._xlws.FILTER(DET_ASIG[DETALLADO],(DET_ASIG[ID_CARRERA]=ASIGNACION!$C295)*(DET_ASIG[NIVEL]=ASIGNACION!$D295)*(DET_ASIG[ID_ASIG]=ASIGNACION!$G295),"No existe información")))</f>
        <v>No existe información</v>
      </c>
      <c r="BQ295" s="5" t="str" cm="1">
        <f t="array" ref="BQ295">IFERROR(
    TRANSPOSE(
        _xlfn.UNIQUE(
            _xlfn._xlws.FILTER(MAESTRIA_DETALLADO[MAESTRIA],
                ISNUMBER(MATCH(MAESTRIA_DETALLADO[CAMPO_DETALLADO],
                BD295:BP295,0))
            )
        )
    ),IF(BD295="ACTIVIDAD","DOCENCIA",""))</f>
        <v/>
      </c>
      <c r="EA295" s="5" t="str" cm="1">
        <f t="array" ref="EA295:FN295">IF(
    ASIGNACION!I295="SI",
    IFERROR(
        TRANSPOSE(
            _xlfn.UNIQUE(
                _xlfn._xlws.FILTER(EDU_DOCENTE[NOMBRE_DOCENTE],
                    ISNUMBER(MATCH(EDU_DOCENTE[MAESTRIA],
                    BQ295:DY295,0))
                )
            )
        ),
        ""
    ),
    TRANSPOSE(
        _xlfn.UNIQUE(EDU_DOCENTE[NOMBRE_DOCENTE]
        )
    )
)</f>
        <v>ALCIVAR CEDEÑO BEATRIZ ISABEL</v>
      </c>
      <c r="EB295" t="str">
        <v>ALCIVAR VERA GEMA MICHELLE</v>
      </c>
      <c r="EC295" t="str">
        <v>ARAUZ CHAVEZ MARIO ROBERTO</v>
      </c>
      <c r="ED295" t="str">
        <v>BAILON LOURIDO WALTER ALBERTO</v>
      </c>
      <c r="EE295" t="str">
        <v>CALDERERO VILLAGOMEZ ERICK ANTONIO</v>
      </c>
      <c r="EF295" t="str">
        <v>CASTILLO GARCIA PAOLA GERMANIA</v>
      </c>
      <c r="EG295" t="str">
        <v>CEDEÑO CHOEZ PEDRO JAVIER</v>
      </c>
      <c r="EH295" t="str">
        <v>CEVALLOS HOPPE JUAN CARLOS</v>
      </c>
      <c r="EI295" t="str">
        <v>DELGADO CHAVEZ MARIA IRASEMA</v>
      </c>
      <c r="EJ295" t="str">
        <v>DUARTE VALENCIA CRISTHIAN DARIO</v>
      </c>
      <c r="EK295" t="str">
        <v>FORTTY BARBERAN DENNY ALEXANDER</v>
      </c>
      <c r="EL295" t="str">
        <v>GUTIERREZ ZAMBRANO CARMEN EBELINA</v>
      </c>
      <c r="EM295" t="str">
        <v>INTRIAGO MOLINA GEMA VALERIA</v>
      </c>
      <c r="EN295" t="str">
        <v>LINO VELEZ LEONEL LIVINGTON</v>
      </c>
      <c r="EO295" t="str">
        <v>LOOR ALCIVAR MARIA ILIANA</v>
      </c>
      <c r="EP295" t="str">
        <v>LOOR MIELES TANIA JACQUELINE</v>
      </c>
      <c r="EQ295" t="str">
        <v>LOOR SOLORZANO ROSA MARIA</v>
      </c>
      <c r="ER295" t="str">
        <v>LOPEZ DELGADO RONALD MAURICIO</v>
      </c>
      <c r="ES295" t="str">
        <v>MACIAS VALENCIA DAVID GABRIEL</v>
      </c>
      <c r="ET295" t="str">
        <v>MENDOZA ZAMORA WALTER MANUEL</v>
      </c>
      <c r="EU295" t="str">
        <v>MOLINA CEVALLOS MARIA LORENA</v>
      </c>
      <c r="EV295" t="str">
        <v>MURILLO DELGADO ISAAC GABRIEL</v>
      </c>
      <c r="EW295" t="str">
        <v>ANGULO MURILLO NAVIRA GISSELA</v>
      </c>
      <c r="EX295" t="str">
        <v>OCHOA SOLEDISPA NESTOR IVAN</v>
      </c>
      <c r="EY295" t="str">
        <v>PARRAGA FRANCO SILVANA MARIELA</v>
      </c>
      <c r="EZ295" t="str">
        <v>PINARGOTE VASQUEZ NANCY FABIOLA</v>
      </c>
      <c r="FA295" t="str">
        <v>REYES VELEZ PEDRO ENRIQUE</v>
      </c>
      <c r="FB295" t="str">
        <v>SAN ANDRES HORMAZA DALLAS CECILIA</v>
      </c>
      <c r="FC295" t="str">
        <v>SORNOZA ZAMORA JUAN CARLOS</v>
      </c>
      <c r="FD295" t="str">
        <v>TOMALA PINTO JESUS JACINTO</v>
      </c>
      <c r="FE295" t="str">
        <v>VALLE JARAMILLO SILVIA ARACELY</v>
      </c>
      <c r="FF295" t="str">
        <v>VELÁSQUEZ BRAVO IRMA KATHERINE</v>
      </c>
      <c r="FG295" t="str">
        <v>VELEZ MENDOZA LAYSY VALERIA</v>
      </c>
      <c r="FH295" t="str">
        <v>VINUEZA TELLO SHIRLEY ELIZABETH</v>
      </c>
      <c r="FI295" t="str">
        <v>ZAMBRANO ALCIVAR NILDA ISABEL</v>
      </c>
      <c r="FJ295" t="str">
        <v>ZAMBRANO LOOR RITA MAYDA</v>
      </c>
      <c r="FK295" t="str">
        <v>ZAMBRANO VERA MONICA JANETH</v>
      </c>
      <c r="FL295" t="str">
        <v>VERA DELGADO BRYAN ADRIÁN</v>
      </c>
      <c r="FM295" t="str">
        <v>MORAN GONZALES DAVID RENATO</v>
      </c>
      <c r="FN295">
        <v>0</v>
      </c>
    </row>
    <row r="296" spans="1:170" ht="20.25" customHeight="1">
      <c r="A296" s="4" t="str" cm="1">
        <f t="array" ref="A296">TRANSPOSE(_xlfn.UNIQUE(_xlfn._xlws.FILTER(MAE_ASIGNATURA[ID_NIVEL],MAE_ASIGNATURA[ID_CARRERA]=ASIGNACION!$C296,"No existe información")))</f>
        <v>No existe información</v>
      </c>
      <c r="S296" s="4" t="str" cm="1">
        <f t="array" ref="S296">TRANSPOSE(_xlfn.UNIQUE(_xlfn._xlws.FILTER(MAE_ASIGNATURA[NOM_ASIG],(MAE_ASIGNATURA[ID_NIVEL]=ASIGNACION!$D296)*(MAE_ASIGNATURA[ID_CARRERA]=ASIGNACION!$C296),"No existe información")))</f>
        <v>No existe información</v>
      </c>
      <c r="BD296" s="4" t="str" cm="1">
        <f t="array" ref="BD296">TRANSPOSE(_xlfn.UNIQUE(_xlfn._xlws.FILTER(DET_ASIG[DETALLADO],(DET_ASIG[ID_CARRERA]=ASIGNACION!$C296)*(DET_ASIG[NIVEL]=ASIGNACION!$D296)*(DET_ASIG[ID_ASIG]=ASIGNACION!$G296),"No existe información")))</f>
        <v>No existe información</v>
      </c>
      <c r="BQ296" s="5" t="str" cm="1">
        <f t="array" ref="BQ296">IFERROR(
    TRANSPOSE(
        _xlfn.UNIQUE(
            _xlfn._xlws.FILTER(MAESTRIA_DETALLADO[MAESTRIA],
                ISNUMBER(MATCH(MAESTRIA_DETALLADO[CAMPO_DETALLADO],
                BD296:BP296,0))
            )
        )
    ),IF(BD296="ACTIVIDAD","DOCENCIA",""))</f>
        <v/>
      </c>
      <c r="EA296" s="5" t="str" cm="1">
        <f t="array" ref="EA296:FN296">IF(
    ASIGNACION!I296="SI",
    IFERROR(
        TRANSPOSE(
            _xlfn.UNIQUE(
                _xlfn._xlws.FILTER(EDU_DOCENTE[NOMBRE_DOCENTE],
                    ISNUMBER(MATCH(EDU_DOCENTE[MAESTRIA],
                    BQ296:DY296,0))
                )
            )
        ),
        ""
    ),
    TRANSPOSE(
        _xlfn.UNIQUE(EDU_DOCENTE[NOMBRE_DOCENTE]
        )
    )
)</f>
        <v>ALCIVAR CEDEÑO BEATRIZ ISABEL</v>
      </c>
      <c r="EB296" t="str">
        <v>ALCIVAR VERA GEMA MICHELLE</v>
      </c>
      <c r="EC296" t="str">
        <v>ARAUZ CHAVEZ MARIO ROBERTO</v>
      </c>
      <c r="ED296" t="str">
        <v>BAILON LOURIDO WALTER ALBERTO</v>
      </c>
      <c r="EE296" t="str">
        <v>CALDERERO VILLAGOMEZ ERICK ANTONIO</v>
      </c>
      <c r="EF296" t="str">
        <v>CASTILLO GARCIA PAOLA GERMANIA</v>
      </c>
      <c r="EG296" t="str">
        <v>CEDEÑO CHOEZ PEDRO JAVIER</v>
      </c>
      <c r="EH296" t="str">
        <v>CEVALLOS HOPPE JUAN CARLOS</v>
      </c>
      <c r="EI296" t="str">
        <v>DELGADO CHAVEZ MARIA IRASEMA</v>
      </c>
      <c r="EJ296" t="str">
        <v>DUARTE VALENCIA CRISTHIAN DARIO</v>
      </c>
      <c r="EK296" t="str">
        <v>FORTTY BARBERAN DENNY ALEXANDER</v>
      </c>
      <c r="EL296" t="str">
        <v>GUTIERREZ ZAMBRANO CARMEN EBELINA</v>
      </c>
      <c r="EM296" t="str">
        <v>INTRIAGO MOLINA GEMA VALERIA</v>
      </c>
      <c r="EN296" t="str">
        <v>LINO VELEZ LEONEL LIVINGTON</v>
      </c>
      <c r="EO296" t="str">
        <v>LOOR ALCIVAR MARIA ILIANA</v>
      </c>
      <c r="EP296" t="str">
        <v>LOOR MIELES TANIA JACQUELINE</v>
      </c>
      <c r="EQ296" t="str">
        <v>LOOR SOLORZANO ROSA MARIA</v>
      </c>
      <c r="ER296" t="str">
        <v>LOPEZ DELGADO RONALD MAURICIO</v>
      </c>
      <c r="ES296" t="str">
        <v>MACIAS VALENCIA DAVID GABRIEL</v>
      </c>
      <c r="ET296" t="str">
        <v>MENDOZA ZAMORA WALTER MANUEL</v>
      </c>
      <c r="EU296" t="str">
        <v>MOLINA CEVALLOS MARIA LORENA</v>
      </c>
      <c r="EV296" t="str">
        <v>MURILLO DELGADO ISAAC GABRIEL</v>
      </c>
      <c r="EW296" t="str">
        <v>ANGULO MURILLO NAVIRA GISSELA</v>
      </c>
      <c r="EX296" t="str">
        <v>OCHOA SOLEDISPA NESTOR IVAN</v>
      </c>
      <c r="EY296" t="str">
        <v>PARRAGA FRANCO SILVANA MARIELA</v>
      </c>
      <c r="EZ296" t="str">
        <v>PINARGOTE VASQUEZ NANCY FABIOLA</v>
      </c>
      <c r="FA296" t="str">
        <v>REYES VELEZ PEDRO ENRIQUE</v>
      </c>
      <c r="FB296" t="str">
        <v>SAN ANDRES HORMAZA DALLAS CECILIA</v>
      </c>
      <c r="FC296" t="str">
        <v>SORNOZA ZAMORA JUAN CARLOS</v>
      </c>
      <c r="FD296" t="str">
        <v>TOMALA PINTO JESUS JACINTO</v>
      </c>
      <c r="FE296" t="str">
        <v>VALLE JARAMILLO SILVIA ARACELY</v>
      </c>
      <c r="FF296" t="str">
        <v>VELÁSQUEZ BRAVO IRMA KATHERINE</v>
      </c>
      <c r="FG296" t="str">
        <v>VELEZ MENDOZA LAYSY VALERIA</v>
      </c>
      <c r="FH296" t="str">
        <v>VINUEZA TELLO SHIRLEY ELIZABETH</v>
      </c>
      <c r="FI296" t="str">
        <v>ZAMBRANO ALCIVAR NILDA ISABEL</v>
      </c>
      <c r="FJ296" t="str">
        <v>ZAMBRANO LOOR RITA MAYDA</v>
      </c>
      <c r="FK296" t="str">
        <v>ZAMBRANO VERA MONICA JANETH</v>
      </c>
      <c r="FL296" t="str">
        <v>VERA DELGADO BRYAN ADRIÁN</v>
      </c>
      <c r="FM296" t="str">
        <v>MORAN GONZALES DAVID RENATO</v>
      </c>
      <c r="FN296">
        <v>0</v>
      </c>
    </row>
    <row r="297" spans="1:170" ht="20.25" customHeight="1">
      <c r="A297" s="4" t="str" cm="1">
        <f t="array" ref="A297">TRANSPOSE(_xlfn.UNIQUE(_xlfn._xlws.FILTER(MAE_ASIGNATURA[ID_NIVEL],MAE_ASIGNATURA[ID_CARRERA]=ASIGNACION!$C297,"No existe información")))</f>
        <v>No existe información</v>
      </c>
      <c r="S297" s="4" t="str" cm="1">
        <f t="array" ref="S297">TRANSPOSE(_xlfn.UNIQUE(_xlfn._xlws.FILTER(MAE_ASIGNATURA[NOM_ASIG],(MAE_ASIGNATURA[ID_NIVEL]=ASIGNACION!$D297)*(MAE_ASIGNATURA[ID_CARRERA]=ASIGNACION!$C297),"No existe información")))</f>
        <v>No existe información</v>
      </c>
      <c r="BD297" s="4" t="str" cm="1">
        <f t="array" ref="BD297">TRANSPOSE(_xlfn.UNIQUE(_xlfn._xlws.FILTER(DET_ASIG[DETALLADO],(DET_ASIG[ID_CARRERA]=ASIGNACION!$C297)*(DET_ASIG[NIVEL]=ASIGNACION!$D297)*(DET_ASIG[ID_ASIG]=ASIGNACION!$G297),"No existe información")))</f>
        <v>No existe información</v>
      </c>
      <c r="BQ297" s="5" t="str" cm="1">
        <f t="array" ref="BQ297">IFERROR(
    TRANSPOSE(
        _xlfn.UNIQUE(
            _xlfn._xlws.FILTER(MAESTRIA_DETALLADO[MAESTRIA],
                ISNUMBER(MATCH(MAESTRIA_DETALLADO[CAMPO_DETALLADO],
                BD297:BP297,0))
            )
        )
    ),IF(BD297="ACTIVIDAD","DOCENCIA",""))</f>
        <v/>
      </c>
      <c r="EA297" s="5" t="str" cm="1">
        <f t="array" ref="EA297:FN297">IF(
    ASIGNACION!I297="SI",
    IFERROR(
        TRANSPOSE(
            _xlfn.UNIQUE(
                _xlfn._xlws.FILTER(EDU_DOCENTE[NOMBRE_DOCENTE],
                    ISNUMBER(MATCH(EDU_DOCENTE[MAESTRIA],
                    BQ297:DY297,0))
                )
            )
        ),
        ""
    ),
    TRANSPOSE(
        _xlfn.UNIQUE(EDU_DOCENTE[NOMBRE_DOCENTE]
        )
    )
)</f>
        <v>ALCIVAR CEDEÑO BEATRIZ ISABEL</v>
      </c>
      <c r="EB297" t="str">
        <v>ALCIVAR VERA GEMA MICHELLE</v>
      </c>
      <c r="EC297" t="str">
        <v>ARAUZ CHAVEZ MARIO ROBERTO</v>
      </c>
      <c r="ED297" t="str">
        <v>BAILON LOURIDO WALTER ALBERTO</v>
      </c>
      <c r="EE297" t="str">
        <v>CALDERERO VILLAGOMEZ ERICK ANTONIO</v>
      </c>
      <c r="EF297" t="str">
        <v>CASTILLO GARCIA PAOLA GERMANIA</v>
      </c>
      <c r="EG297" t="str">
        <v>CEDEÑO CHOEZ PEDRO JAVIER</v>
      </c>
      <c r="EH297" t="str">
        <v>CEVALLOS HOPPE JUAN CARLOS</v>
      </c>
      <c r="EI297" t="str">
        <v>DELGADO CHAVEZ MARIA IRASEMA</v>
      </c>
      <c r="EJ297" t="str">
        <v>DUARTE VALENCIA CRISTHIAN DARIO</v>
      </c>
      <c r="EK297" t="str">
        <v>FORTTY BARBERAN DENNY ALEXANDER</v>
      </c>
      <c r="EL297" t="str">
        <v>GUTIERREZ ZAMBRANO CARMEN EBELINA</v>
      </c>
      <c r="EM297" t="str">
        <v>INTRIAGO MOLINA GEMA VALERIA</v>
      </c>
      <c r="EN297" t="str">
        <v>LINO VELEZ LEONEL LIVINGTON</v>
      </c>
      <c r="EO297" t="str">
        <v>LOOR ALCIVAR MARIA ILIANA</v>
      </c>
      <c r="EP297" t="str">
        <v>LOOR MIELES TANIA JACQUELINE</v>
      </c>
      <c r="EQ297" t="str">
        <v>LOOR SOLORZANO ROSA MARIA</v>
      </c>
      <c r="ER297" t="str">
        <v>LOPEZ DELGADO RONALD MAURICIO</v>
      </c>
      <c r="ES297" t="str">
        <v>MACIAS VALENCIA DAVID GABRIEL</v>
      </c>
      <c r="ET297" t="str">
        <v>MENDOZA ZAMORA WALTER MANUEL</v>
      </c>
      <c r="EU297" t="str">
        <v>MOLINA CEVALLOS MARIA LORENA</v>
      </c>
      <c r="EV297" t="str">
        <v>MURILLO DELGADO ISAAC GABRIEL</v>
      </c>
      <c r="EW297" t="str">
        <v>ANGULO MURILLO NAVIRA GISSELA</v>
      </c>
      <c r="EX297" t="str">
        <v>OCHOA SOLEDISPA NESTOR IVAN</v>
      </c>
      <c r="EY297" t="str">
        <v>PARRAGA FRANCO SILVANA MARIELA</v>
      </c>
      <c r="EZ297" t="str">
        <v>PINARGOTE VASQUEZ NANCY FABIOLA</v>
      </c>
      <c r="FA297" t="str">
        <v>REYES VELEZ PEDRO ENRIQUE</v>
      </c>
      <c r="FB297" t="str">
        <v>SAN ANDRES HORMAZA DALLAS CECILIA</v>
      </c>
      <c r="FC297" t="str">
        <v>SORNOZA ZAMORA JUAN CARLOS</v>
      </c>
      <c r="FD297" t="str">
        <v>TOMALA PINTO JESUS JACINTO</v>
      </c>
      <c r="FE297" t="str">
        <v>VALLE JARAMILLO SILVIA ARACELY</v>
      </c>
      <c r="FF297" t="str">
        <v>VELÁSQUEZ BRAVO IRMA KATHERINE</v>
      </c>
      <c r="FG297" t="str">
        <v>VELEZ MENDOZA LAYSY VALERIA</v>
      </c>
      <c r="FH297" t="str">
        <v>VINUEZA TELLO SHIRLEY ELIZABETH</v>
      </c>
      <c r="FI297" t="str">
        <v>ZAMBRANO ALCIVAR NILDA ISABEL</v>
      </c>
      <c r="FJ297" t="str">
        <v>ZAMBRANO LOOR RITA MAYDA</v>
      </c>
      <c r="FK297" t="str">
        <v>ZAMBRANO VERA MONICA JANETH</v>
      </c>
      <c r="FL297" t="str">
        <v>VERA DELGADO BRYAN ADRIÁN</v>
      </c>
      <c r="FM297" t="str">
        <v>MORAN GONZALES DAVID RENATO</v>
      </c>
      <c r="FN297">
        <v>0</v>
      </c>
    </row>
    <row r="298" spans="1:170" ht="20.25" customHeight="1">
      <c r="A298" s="4" t="str" cm="1">
        <f t="array" ref="A298">TRANSPOSE(_xlfn.UNIQUE(_xlfn._xlws.FILTER(MAE_ASIGNATURA[ID_NIVEL],MAE_ASIGNATURA[ID_CARRERA]=ASIGNACION!$C298,"No existe información")))</f>
        <v>No existe información</v>
      </c>
      <c r="S298" s="4" t="str" cm="1">
        <f t="array" ref="S298">TRANSPOSE(_xlfn.UNIQUE(_xlfn._xlws.FILTER(MAE_ASIGNATURA[NOM_ASIG],(MAE_ASIGNATURA[ID_NIVEL]=ASIGNACION!$D298)*(MAE_ASIGNATURA[ID_CARRERA]=ASIGNACION!$C298),"No existe información")))</f>
        <v>No existe información</v>
      </c>
      <c r="BD298" s="4" t="str" cm="1">
        <f t="array" ref="BD298">TRANSPOSE(_xlfn.UNIQUE(_xlfn._xlws.FILTER(DET_ASIG[DETALLADO],(DET_ASIG[ID_CARRERA]=ASIGNACION!$C298)*(DET_ASIG[NIVEL]=ASIGNACION!$D298)*(DET_ASIG[ID_ASIG]=ASIGNACION!$G298),"No existe información")))</f>
        <v>No existe información</v>
      </c>
      <c r="BQ298" s="5" t="str" cm="1">
        <f t="array" ref="BQ298">IFERROR(
    TRANSPOSE(
        _xlfn.UNIQUE(
            _xlfn._xlws.FILTER(MAESTRIA_DETALLADO[MAESTRIA],
                ISNUMBER(MATCH(MAESTRIA_DETALLADO[CAMPO_DETALLADO],
                BD298:BP298,0))
            )
        )
    ),IF(BD298="ACTIVIDAD","DOCENCIA",""))</f>
        <v/>
      </c>
      <c r="EA298" s="5" t="str" cm="1">
        <f t="array" ref="EA298:FN298">IF(
    ASIGNACION!I298="SI",
    IFERROR(
        TRANSPOSE(
            _xlfn.UNIQUE(
                _xlfn._xlws.FILTER(EDU_DOCENTE[NOMBRE_DOCENTE],
                    ISNUMBER(MATCH(EDU_DOCENTE[MAESTRIA],
                    BQ298:DY298,0))
                )
            )
        ),
        ""
    ),
    TRANSPOSE(
        _xlfn.UNIQUE(EDU_DOCENTE[NOMBRE_DOCENTE]
        )
    )
)</f>
        <v>ALCIVAR CEDEÑO BEATRIZ ISABEL</v>
      </c>
      <c r="EB298" t="str">
        <v>ALCIVAR VERA GEMA MICHELLE</v>
      </c>
      <c r="EC298" t="str">
        <v>ARAUZ CHAVEZ MARIO ROBERTO</v>
      </c>
      <c r="ED298" t="str">
        <v>BAILON LOURIDO WALTER ALBERTO</v>
      </c>
      <c r="EE298" t="str">
        <v>CALDERERO VILLAGOMEZ ERICK ANTONIO</v>
      </c>
      <c r="EF298" t="str">
        <v>CASTILLO GARCIA PAOLA GERMANIA</v>
      </c>
      <c r="EG298" t="str">
        <v>CEDEÑO CHOEZ PEDRO JAVIER</v>
      </c>
      <c r="EH298" t="str">
        <v>CEVALLOS HOPPE JUAN CARLOS</v>
      </c>
      <c r="EI298" t="str">
        <v>DELGADO CHAVEZ MARIA IRASEMA</v>
      </c>
      <c r="EJ298" t="str">
        <v>DUARTE VALENCIA CRISTHIAN DARIO</v>
      </c>
      <c r="EK298" t="str">
        <v>FORTTY BARBERAN DENNY ALEXANDER</v>
      </c>
      <c r="EL298" t="str">
        <v>GUTIERREZ ZAMBRANO CARMEN EBELINA</v>
      </c>
      <c r="EM298" t="str">
        <v>INTRIAGO MOLINA GEMA VALERIA</v>
      </c>
      <c r="EN298" t="str">
        <v>LINO VELEZ LEONEL LIVINGTON</v>
      </c>
      <c r="EO298" t="str">
        <v>LOOR ALCIVAR MARIA ILIANA</v>
      </c>
      <c r="EP298" t="str">
        <v>LOOR MIELES TANIA JACQUELINE</v>
      </c>
      <c r="EQ298" t="str">
        <v>LOOR SOLORZANO ROSA MARIA</v>
      </c>
      <c r="ER298" t="str">
        <v>LOPEZ DELGADO RONALD MAURICIO</v>
      </c>
      <c r="ES298" t="str">
        <v>MACIAS VALENCIA DAVID GABRIEL</v>
      </c>
      <c r="ET298" t="str">
        <v>MENDOZA ZAMORA WALTER MANUEL</v>
      </c>
      <c r="EU298" t="str">
        <v>MOLINA CEVALLOS MARIA LORENA</v>
      </c>
      <c r="EV298" t="str">
        <v>MURILLO DELGADO ISAAC GABRIEL</v>
      </c>
      <c r="EW298" t="str">
        <v>ANGULO MURILLO NAVIRA GISSELA</v>
      </c>
      <c r="EX298" t="str">
        <v>OCHOA SOLEDISPA NESTOR IVAN</v>
      </c>
      <c r="EY298" t="str">
        <v>PARRAGA FRANCO SILVANA MARIELA</v>
      </c>
      <c r="EZ298" t="str">
        <v>PINARGOTE VASQUEZ NANCY FABIOLA</v>
      </c>
      <c r="FA298" t="str">
        <v>REYES VELEZ PEDRO ENRIQUE</v>
      </c>
      <c r="FB298" t="str">
        <v>SAN ANDRES HORMAZA DALLAS CECILIA</v>
      </c>
      <c r="FC298" t="str">
        <v>SORNOZA ZAMORA JUAN CARLOS</v>
      </c>
      <c r="FD298" t="str">
        <v>TOMALA PINTO JESUS JACINTO</v>
      </c>
      <c r="FE298" t="str">
        <v>VALLE JARAMILLO SILVIA ARACELY</v>
      </c>
      <c r="FF298" t="str">
        <v>VELÁSQUEZ BRAVO IRMA KATHERINE</v>
      </c>
      <c r="FG298" t="str">
        <v>VELEZ MENDOZA LAYSY VALERIA</v>
      </c>
      <c r="FH298" t="str">
        <v>VINUEZA TELLO SHIRLEY ELIZABETH</v>
      </c>
      <c r="FI298" t="str">
        <v>ZAMBRANO ALCIVAR NILDA ISABEL</v>
      </c>
      <c r="FJ298" t="str">
        <v>ZAMBRANO LOOR RITA MAYDA</v>
      </c>
      <c r="FK298" t="str">
        <v>ZAMBRANO VERA MONICA JANETH</v>
      </c>
      <c r="FL298" t="str">
        <v>VERA DELGADO BRYAN ADRIÁN</v>
      </c>
      <c r="FM298" t="str">
        <v>MORAN GONZALES DAVID RENATO</v>
      </c>
      <c r="FN298">
        <v>0</v>
      </c>
    </row>
    <row r="299" spans="1:170" ht="20.25" customHeight="1">
      <c r="A299" s="4" t="str" cm="1">
        <f t="array" ref="A299">TRANSPOSE(_xlfn.UNIQUE(_xlfn._xlws.FILTER(MAE_ASIGNATURA[ID_NIVEL],MAE_ASIGNATURA[ID_CARRERA]=ASIGNACION!$C299,"No existe información")))</f>
        <v>No existe información</v>
      </c>
      <c r="S299" s="4" t="str" cm="1">
        <f t="array" ref="S299">TRANSPOSE(_xlfn.UNIQUE(_xlfn._xlws.FILTER(MAE_ASIGNATURA[NOM_ASIG],(MAE_ASIGNATURA[ID_NIVEL]=ASIGNACION!$D299)*(MAE_ASIGNATURA[ID_CARRERA]=ASIGNACION!$C299),"No existe información")))</f>
        <v>No existe información</v>
      </c>
      <c r="BD299" s="4" t="str" cm="1">
        <f t="array" ref="BD299">TRANSPOSE(_xlfn.UNIQUE(_xlfn._xlws.FILTER(DET_ASIG[DETALLADO],(DET_ASIG[ID_CARRERA]=ASIGNACION!$C299)*(DET_ASIG[NIVEL]=ASIGNACION!$D299)*(DET_ASIG[ID_ASIG]=ASIGNACION!$G299),"No existe información")))</f>
        <v>No existe información</v>
      </c>
      <c r="BQ299" s="5" t="str" cm="1">
        <f t="array" ref="BQ299">IFERROR(
    TRANSPOSE(
        _xlfn.UNIQUE(
            _xlfn._xlws.FILTER(MAESTRIA_DETALLADO[MAESTRIA],
                ISNUMBER(MATCH(MAESTRIA_DETALLADO[CAMPO_DETALLADO],
                BD299:BP299,0))
            )
        )
    ),IF(BD299="ACTIVIDAD","DOCENCIA",""))</f>
        <v/>
      </c>
      <c r="EA299" s="5" t="str" cm="1">
        <f t="array" ref="EA299:FN299">IF(
    ASIGNACION!I299="SI",
    IFERROR(
        TRANSPOSE(
            _xlfn.UNIQUE(
                _xlfn._xlws.FILTER(EDU_DOCENTE[NOMBRE_DOCENTE],
                    ISNUMBER(MATCH(EDU_DOCENTE[MAESTRIA],
                    BQ299:DY299,0))
                )
            )
        ),
        ""
    ),
    TRANSPOSE(
        _xlfn.UNIQUE(EDU_DOCENTE[NOMBRE_DOCENTE]
        )
    )
)</f>
        <v>ALCIVAR CEDEÑO BEATRIZ ISABEL</v>
      </c>
      <c r="EB299" t="str">
        <v>ALCIVAR VERA GEMA MICHELLE</v>
      </c>
      <c r="EC299" t="str">
        <v>ARAUZ CHAVEZ MARIO ROBERTO</v>
      </c>
      <c r="ED299" t="str">
        <v>BAILON LOURIDO WALTER ALBERTO</v>
      </c>
      <c r="EE299" t="str">
        <v>CALDERERO VILLAGOMEZ ERICK ANTONIO</v>
      </c>
      <c r="EF299" t="str">
        <v>CASTILLO GARCIA PAOLA GERMANIA</v>
      </c>
      <c r="EG299" t="str">
        <v>CEDEÑO CHOEZ PEDRO JAVIER</v>
      </c>
      <c r="EH299" t="str">
        <v>CEVALLOS HOPPE JUAN CARLOS</v>
      </c>
      <c r="EI299" t="str">
        <v>DELGADO CHAVEZ MARIA IRASEMA</v>
      </c>
      <c r="EJ299" t="str">
        <v>DUARTE VALENCIA CRISTHIAN DARIO</v>
      </c>
      <c r="EK299" t="str">
        <v>FORTTY BARBERAN DENNY ALEXANDER</v>
      </c>
      <c r="EL299" t="str">
        <v>GUTIERREZ ZAMBRANO CARMEN EBELINA</v>
      </c>
      <c r="EM299" t="str">
        <v>INTRIAGO MOLINA GEMA VALERIA</v>
      </c>
      <c r="EN299" t="str">
        <v>LINO VELEZ LEONEL LIVINGTON</v>
      </c>
      <c r="EO299" t="str">
        <v>LOOR ALCIVAR MARIA ILIANA</v>
      </c>
      <c r="EP299" t="str">
        <v>LOOR MIELES TANIA JACQUELINE</v>
      </c>
      <c r="EQ299" t="str">
        <v>LOOR SOLORZANO ROSA MARIA</v>
      </c>
      <c r="ER299" t="str">
        <v>LOPEZ DELGADO RONALD MAURICIO</v>
      </c>
      <c r="ES299" t="str">
        <v>MACIAS VALENCIA DAVID GABRIEL</v>
      </c>
      <c r="ET299" t="str">
        <v>MENDOZA ZAMORA WALTER MANUEL</v>
      </c>
      <c r="EU299" t="str">
        <v>MOLINA CEVALLOS MARIA LORENA</v>
      </c>
      <c r="EV299" t="str">
        <v>MURILLO DELGADO ISAAC GABRIEL</v>
      </c>
      <c r="EW299" t="str">
        <v>ANGULO MURILLO NAVIRA GISSELA</v>
      </c>
      <c r="EX299" t="str">
        <v>OCHOA SOLEDISPA NESTOR IVAN</v>
      </c>
      <c r="EY299" t="str">
        <v>PARRAGA FRANCO SILVANA MARIELA</v>
      </c>
      <c r="EZ299" t="str">
        <v>PINARGOTE VASQUEZ NANCY FABIOLA</v>
      </c>
      <c r="FA299" t="str">
        <v>REYES VELEZ PEDRO ENRIQUE</v>
      </c>
      <c r="FB299" t="str">
        <v>SAN ANDRES HORMAZA DALLAS CECILIA</v>
      </c>
      <c r="FC299" t="str">
        <v>SORNOZA ZAMORA JUAN CARLOS</v>
      </c>
      <c r="FD299" t="str">
        <v>TOMALA PINTO JESUS JACINTO</v>
      </c>
      <c r="FE299" t="str">
        <v>VALLE JARAMILLO SILVIA ARACELY</v>
      </c>
      <c r="FF299" t="str">
        <v>VELÁSQUEZ BRAVO IRMA KATHERINE</v>
      </c>
      <c r="FG299" t="str">
        <v>VELEZ MENDOZA LAYSY VALERIA</v>
      </c>
      <c r="FH299" t="str">
        <v>VINUEZA TELLO SHIRLEY ELIZABETH</v>
      </c>
      <c r="FI299" t="str">
        <v>ZAMBRANO ALCIVAR NILDA ISABEL</v>
      </c>
      <c r="FJ299" t="str">
        <v>ZAMBRANO LOOR RITA MAYDA</v>
      </c>
      <c r="FK299" t="str">
        <v>ZAMBRANO VERA MONICA JANETH</v>
      </c>
      <c r="FL299" t="str">
        <v>VERA DELGADO BRYAN ADRIÁN</v>
      </c>
      <c r="FM299" t="str">
        <v>MORAN GONZALES DAVID RENATO</v>
      </c>
      <c r="FN299">
        <v>0</v>
      </c>
    </row>
    <row r="300" spans="1:170" ht="20.25" customHeight="1">
      <c r="A300" s="4" t="str" cm="1">
        <f t="array" ref="A300">TRANSPOSE(_xlfn.UNIQUE(_xlfn._xlws.FILTER(MAE_ASIGNATURA[ID_NIVEL],MAE_ASIGNATURA[ID_CARRERA]=ASIGNACION!$C300,"No existe información")))</f>
        <v>No existe información</v>
      </c>
      <c r="S300" s="4" t="str" cm="1">
        <f t="array" ref="S300">TRANSPOSE(_xlfn.UNIQUE(_xlfn._xlws.FILTER(MAE_ASIGNATURA[NOM_ASIG],(MAE_ASIGNATURA[ID_NIVEL]=ASIGNACION!$D300)*(MAE_ASIGNATURA[ID_CARRERA]=ASIGNACION!$C300),"No existe información")))</f>
        <v>No existe información</v>
      </c>
      <c r="BD300" s="4" t="str" cm="1">
        <f t="array" ref="BD300">TRANSPOSE(_xlfn.UNIQUE(_xlfn._xlws.FILTER(DET_ASIG[DETALLADO],(DET_ASIG[ID_CARRERA]=ASIGNACION!$C300)*(DET_ASIG[NIVEL]=ASIGNACION!$D300)*(DET_ASIG[ID_ASIG]=ASIGNACION!$G300),"No existe información")))</f>
        <v>No existe información</v>
      </c>
      <c r="BQ300" s="5" t="str" cm="1">
        <f t="array" ref="BQ300">IFERROR(
    TRANSPOSE(
        _xlfn.UNIQUE(
            _xlfn._xlws.FILTER(MAESTRIA_DETALLADO[MAESTRIA],
                ISNUMBER(MATCH(MAESTRIA_DETALLADO[CAMPO_DETALLADO],
                BD300:BP300,0))
            )
        )
    ),IF(BD300="ACTIVIDAD","DOCENCIA",""))</f>
        <v/>
      </c>
      <c r="EA300" s="5" t="str" cm="1">
        <f t="array" ref="EA300:FN300">IF(
    ASIGNACION!I300="SI",
    IFERROR(
        TRANSPOSE(
            _xlfn.UNIQUE(
                _xlfn._xlws.FILTER(EDU_DOCENTE[NOMBRE_DOCENTE],
                    ISNUMBER(MATCH(EDU_DOCENTE[MAESTRIA],
                    BQ300:DY300,0))
                )
            )
        ),
        ""
    ),
    TRANSPOSE(
        _xlfn.UNIQUE(EDU_DOCENTE[NOMBRE_DOCENTE]
        )
    )
)</f>
        <v>ALCIVAR CEDEÑO BEATRIZ ISABEL</v>
      </c>
      <c r="EB300" t="str">
        <v>ALCIVAR VERA GEMA MICHELLE</v>
      </c>
      <c r="EC300" t="str">
        <v>ARAUZ CHAVEZ MARIO ROBERTO</v>
      </c>
      <c r="ED300" t="str">
        <v>BAILON LOURIDO WALTER ALBERTO</v>
      </c>
      <c r="EE300" t="str">
        <v>CALDERERO VILLAGOMEZ ERICK ANTONIO</v>
      </c>
      <c r="EF300" t="str">
        <v>CASTILLO GARCIA PAOLA GERMANIA</v>
      </c>
      <c r="EG300" t="str">
        <v>CEDEÑO CHOEZ PEDRO JAVIER</v>
      </c>
      <c r="EH300" t="str">
        <v>CEVALLOS HOPPE JUAN CARLOS</v>
      </c>
      <c r="EI300" t="str">
        <v>DELGADO CHAVEZ MARIA IRASEMA</v>
      </c>
      <c r="EJ300" t="str">
        <v>DUARTE VALENCIA CRISTHIAN DARIO</v>
      </c>
      <c r="EK300" t="str">
        <v>FORTTY BARBERAN DENNY ALEXANDER</v>
      </c>
      <c r="EL300" t="str">
        <v>GUTIERREZ ZAMBRANO CARMEN EBELINA</v>
      </c>
      <c r="EM300" t="str">
        <v>INTRIAGO MOLINA GEMA VALERIA</v>
      </c>
      <c r="EN300" t="str">
        <v>LINO VELEZ LEONEL LIVINGTON</v>
      </c>
      <c r="EO300" t="str">
        <v>LOOR ALCIVAR MARIA ILIANA</v>
      </c>
      <c r="EP300" t="str">
        <v>LOOR MIELES TANIA JACQUELINE</v>
      </c>
      <c r="EQ300" t="str">
        <v>LOOR SOLORZANO ROSA MARIA</v>
      </c>
      <c r="ER300" t="str">
        <v>LOPEZ DELGADO RONALD MAURICIO</v>
      </c>
      <c r="ES300" t="str">
        <v>MACIAS VALENCIA DAVID GABRIEL</v>
      </c>
      <c r="ET300" t="str">
        <v>MENDOZA ZAMORA WALTER MANUEL</v>
      </c>
      <c r="EU300" t="str">
        <v>MOLINA CEVALLOS MARIA LORENA</v>
      </c>
      <c r="EV300" t="str">
        <v>MURILLO DELGADO ISAAC GABRIEL</v>
      </c>
      <c r="EW300" t="str">
        <v>ANGULO MURILLO NAVIRA GISSELA</v>
      </c>
      <c r="EX300" t="str">
        <v>OCHOA SOLEDISPA NESTOR IVAN</v>
      </c>
      <c r="EY300" t="str">
        <v>PARRAGA FRANCO SILVANA MARIELA</v>
      </c>
      <c r="EZ300" t="str">
        <v>PINARGOTE VASQUEZ NANCY FABIOLA</v>
      </c>
      <c r="FA300" t="str">
        <v>REYES VELEZ PEDRO ENRIQUE</v>
      </c>
      <c r="FB300" t="str">
        <v>SAN ANDRES HORMAZA DALLAS CECILIA</v>
      </c>
      <c r="FC300" t="str">
        <v>SORNOZA ZAMORA JUAN CARLOS</v>
      </c>
      <c r="FD300" t="str">
        <v>TOMALA PINTO JESUS JACINTO</v>
      </c>
      <c r="FE300" t="str">
        <v>VALLE JARAMILLO SILVIA ARACELY</v>
      </c>
      <c r="FF300" t="str">
        <v>VELÁSQUEZ BRAVO IRMA KATHERINE</v>
      </c>
      <c r="FG300" t="str">
        <v>VELEZ MENDOZA LAYSY VALERIA</v>
      </c>
      <c r="FH300" t="str">
        <v>VINUEZA TELLO SHIRLEY ELIZABETH</v>
      </c>
      <c r="FI300" t="str">
        <v>ZAMBRANO ALCIVAR NILDA ISABEL</v>
      </c>
      <c r="FJ300" t="str">
        <v>ZAMBRANO LOOR RITA MAYDA</v>
      </c>
      <c r="FK300" t="str">
        <v>ZAMBRANO VERA MONICA JANETH</v>
      </c>
      <c r="FL300" t="str">
        <v>VERA DELGADO BRYAN ADRIÁN</v>
      </c>
      <c r="FM300" t="str">
        <v>MORAN GONZALES DAVID RENATO</v>
      </c>
      <c r="FN300">
        <v>0</v>
      </c>
    </row>
    <row r="301" spans="1:170" ht="20.25" customHeight="1">
      <c r="A301" s="4" t="str" cm="1">
        <f t="array" ref="A301">TRANSPOSE(_xlfn.UNIQUE(_xlfn._xlws.FILTER(MAE_ASIGNATURA[ID_NIVEL],MAE_ASIGNATURA[ID_CARRERA]=ASIGNACION!$C301,"No existe información")))</f>
        <v>No existe información</v>
      </c>
      <c r="S301" s="4" t="str" cm="1">
        <f t="array" ref="S301">TRANSPOSE(_xlfn.UNIQUE(_xlfn._xlws.FILTER(MAE_ASIGNATURA[NOM_ASIG],(MAE_ASIGNATURA[ID_NIVEL]=ASIGNACION!$D301)*(MAE_ASIGNATURA[ID_CARRERA]=ASIGNACION!$C301),"No existe información")))</f>
        <v>No existe información</v>
      </c>
      <c r="BD301" s="4" t="str" cm="1">
        <f t="array" ref="BD301">TRANSPOSE(_xlfn.UNIQUE(_xlfn._xlws.FILTER(DET_ASIG[DETALLADO],(DET_ASIG[ID_CARRERA]=ASIGNACION!$C301)*(DET_ASIG[NIVEL]=ASIGNACION!$D301)*(DET_ASIG[ID_ASIG]=ASIGNACION!$G301),"No existe información")))</f>
        <v>No existe información</v>
      </c>
      <c r="BQ301" s="5" t="str" cm="1">
        <f t="array" ref="BQ301">IFERROR(
    TRANSPOSE(
        _xlfn.UNIQUE(
            _xlfn._xlws.FILTER(MAESTRIA_DETALLADO[MAESTRIA],
                ISNUMBER(MATCH(MAESTRIA_DETALLADO[CAMPO_DETALLADO],
                BD301:BP301,0))
            )
        )
    ),IF(BD301="ACTIVIDAD","DOCENCIA",""))</f>
        <v/>
      </c>
      <c r="EA301" s="5" t="str" cm="1">
        <f t="array" ref="EA301:FN301">IF(
    ASIGNACION!I301="SI",
    IFERROR(
        TRANSPOSE(
            _xlfn.UNIQUE(
                _xlfn._xlws.FILTER(EDU_DOCENTE[NOMBRE_DOCENTE],
                    ISNUMBER(MATCH(EDU_DOCENTE[MAESTRIA],
                    BQ301:DY301,0))
                )
            )
        ),
        ""
    ),
    TRANSPOSE(
        _xlfn.UNIQUE(EDU_DOCENTE[NOMBRE_DOCENTE]
        )
    )
)</f>
        <v>ALCIVAR CEDEÑO BEATRIZ ISABEL</v>
      </c>
      <c r="EB301" t="str">
        <v>ALCIVAR VERA GEMA MICHELLE</v>
      </c>
      <c r="EC301" t="str">
        <v>ARAUZ CHAVEZ MARIO ROBERTO</v>
      </c>
      <c r="ED301" t="str">
        <v>BAILON LOURIDO WALTER ALBERTO</v>
      </c>
      <c r="EE301" t="str">
        <v>CALDERERO VILLAGOMEZ ERICK ANTONIO</v>
      </c>
      <c r="EF301" t="str">
        <v>CASTILLO GARCIA PAOLA GERMANIA</v>
      </c>
      <c r="EG301" t="str">
        <v>CEDEÑO CHOEZ PEDRO JAVIER</v>
      </c>
      <c r="EH301" t="str">
        <v>CEVALLOS HOPPE JUAN CARLOS</v>
      </c>
      <c r="EI301" t="str">
        <v>DELGADO CHAVEZ MARIA IRASEMA</v>
      </c>
      <c r="EJ301" t="str">
        <v>DUARTE VALENCIA CRISTHIAN DARIO</v>
      </c>
      <c r="EK301" t="str">
        <v>FORTTY BARBERAN DENNY ALEXANDER</v>
      </c>
      <c r="EL301" t="str">
        <v>GUTIERREZ ZAMBRANO CARMEN EBELINA</v>
      </c>
      <c r="EM301" t="str">
        <v>INTRIAGO MOLINA GEMA VALERIA</v>
      </c>
      <c r="EN301" t="str">
        <v>LINO VELEZ LEONEL LIVINGTON</v>
      </c>
      <c r="EO301" t="str">
        <v>LOOR ALCIVAR MARIA ILIANA</v>
      </c>
      <c r="EP301" t="str">
        <v>LOOR MIELES TANIA JACQUELINE</v>
      </c>
      <c r="EQ301" t="str">
        <v>LOOR SOLORZANO ROSA MARIA</v>
      </c>
      <c r="ER301" t="str">
        <v>LOPEZ DELGADO RONALD MAURICIO</v>
      </c>
      <c r="ES301" t="str">
        <v>MACIAS VALENCIA DAVID GABRIEL</v>
      </c>
      <c r="ET301" t="str">
        <v>MENDOZA ZAMORA WALTER MANUEL</v>
      </c>
      <c r="EU301" t="str">
        <v>MOLINA CEVALLOS MARIA LORENA</v>
      </c>
      <c r="EV301" t="str">
        <v>MURILLO DELGADO ISAAC GABRIEL</v>
      </c>
      <c r="EW301" t="str">
        <v>ANGULO MURILLO NAVIRA GISSELA</v>
      </c>
      <c r="EX301" t="str">
        <v>OCHOA SOLEDISPA NESTOR IVAN</v>
      </c>
      <c r="EY301" t="str">
        <v>PARRAGA FRANCO SILVANA MARIELA</v>
      </c>
      <c r="EZ301" t="str">
        <v>PINARGOTE VASQUEZ NANCY FABIOLA</v>
      </c>
      <c r="FA301" t="str">
        <v>REYES VELEZ PEDRO ENRIQUE</v>
      </c>
      <c r="FB301" t="str">
        <v>SAN ANDRES HORMAZA DALLAS CECILIA</v>
      </c>
      <c r="FC301" t="str">
        <v>SORNOZA ZAMORA JUAN CARLOS</v>
      </c>
      <c r="FD301" t="str">
        <v>TOMALA PINTO JESUS JACINTO</v>
      </c>
      <c r="FE301" t="str">
        <v>VALLE JARAMILLO SILVIA ARACELY</v>
      </c>
      <c r="FF301" t="str">
        <v>VELÁSQUEZ BRAVO IRMA KATHERINE</v>
      </c>
      <c r="FG301" t="str">
        <v>VELEZ MENDOZA LAYSY VALERIA</v>
      </c>
      <c r="FH301" t="str">
        <v>VINUEZA TELLO SHIRLEY ELIZABETH</v>
      </c>
      <c r="FI301" t="str">
        <v>ZAMBRANO ALCIVAR NILDA ISABEL</v>
      </c>
      <c r="FJ301" t="str">
        <v>ZAMBRANO LOOR RITA MAYDA</v>
      </c>
      <c r="FK301" t="str">
        <v>ZAMBRANO VERA MONICA JANETH</v>
      </c>
      <c r="FL301" t="str">
        <v>VERA DELGADO BRYAN ADRIÁN</v>
      </c>
      <c r="FM301" t="str">
        <v>MORAN GONZALES DAVID RENATO</v>
      </c>
      <c r="FN301">
        <v>0</v>
      </c>
    </row>
    <row r="302" spans="1:170" ht="20.25" customHeight="1">
      <c r="A302" s="4" t="str" cm="1">
        <f t="array" ref="A302">TRANSPOSE(_xlfn.UNIQUE(_xlfn._xlws.FILTER(MAE_ASIGNATURA[ID_NIVEL],MAE_ASIGNATURA[ID_CARRERA]=ASIGNACION!$C302,"No existe información")))</f>
        <v>No existe información</v>
      </c>
      <c r="S302" s="4" t="str" cm="1">
        <f t="array" ref="S302">TRANSPOSE(_xlfn.UNIQUE(_xlfn._xlws.FILTER(MAE_ASIGNATURA[NOM_ASIG],(MAE_ASIGNATURA[ID_NIVEL]=ASIGNACION!$D302)*(MAE_ASIGNATURA[ID_CARRERA]=ASIGNACION!$C302),"No existe información")))</f>
        <v>No existe información</v>
      </c>
      <c r="BD302" s="4" t="str" cm="1">
        <f t="array" ref="BD302">TRANSPOSE(_xlfn.UNIQUE(_xlfn._xlws.FILTER(DET_ASIG[DETALLADO],(DET_ASIG[ID_CARRERA]=ASIGNACION!$C302)*(DET_ASIG[NIVEL]=ASIGNACION!$D302)*(DET_ASIG[ID_ASIG]=ASIGNACION!$G302),"No existe información")))</f>
        <v>No existe información</v>
      </c>
      <c r="BQ302" s="5" t="str" cm="1">
        <f t="array" ref="BQ302">IFERROR(
    TRANSPOSE(
        _xlfn.UNIQUE(
            _xlfn._xlws.FILTER(MAESTRIA_DETALLADO[MAESTRIA],
                ISNUMBER(MATCH(MAESTRIA_DETALLADO[CAMPO_DETALLADO],
                BD302:BP302,0))
            )
        )
    ),IF(BD302="ACTIVIDAD","DOCENCIA",""))</f>
        <v/>
      </c>
      <c r="EA302" s="5" t="str" cm="1">
        <f t="array" ref="EA302:FN302">IF(
    ASIGNACION!I302="SI",
    IFERROR(
        TRANSPOSE(
            _xlfn.UNIQUE(
                _xlfn._xlws.FILTER(EDU_DOCENTE[NOMBRE_DOCENTE],
                    ISNUMBER(MATCH(EDU_DOCENTE[MAESTRIA],
                    BQ302:DY302,0))
                )
            )
        ),
        ""
    ),
    TRANSPOSE(
        _xlfn.UNIQUE(EDU_DOCENTE[NOMBRE_DOCENTE]
        )
    )
)</f>
        <v>ALCIVAR CEDEÑO BEATRIZ ISABEL</v>
      </c>
      <c r="EB302" t="str">
        <v>ALCIVAR VERA GEMA MICHELLE</v>
      </c>
      <c r="EC302" t="str">
        <v>ARAUZ CHAVEZ MARIO ROBERTO</v>
      </c>
      <c r="ED302" t="str">
        <v>BAILON LOURIDO WALTER ALBERTO</v>
      </c>
      <c r="EE302" t="str">
        <v>CALDERERO VILLAGOMEZ ERICK ANTONIO</v>
      </c>
      <c r="EF302" t="str">
        <v>CASTILLO GARCIA PAOLA GERMANIA</v>
      </c>
      <c r="EG302" t="str">
        <v>CEDEÑO CHOEZ PEDRO JAVIER</v>
      </c>
      <c r="EH302" t="str">
        <v>CEVALLOS HOPPE JUAN CARLOS</v>
      </c>
      <c r="EI302" t="str">
        <v>DELGADO CHAVEZ MARIA IRASEMA</v>
      </c>
      <c r="EJ302" t="str">
        <v>DUARTE VALENCIA CRISTHIAN DARIO</v>
      </c>
      <c r="EK302" t="str">
        <v>FORTTY BARBERAN DENNY ALEXANDER</v>
      </c>
      <c r="EL302" t="str">
        <v>GUTIERREZ ZAMBRANO CARMEN EBELINA</v>
      </c>
      <c r="EM302" t="str">
        <v>INTRIAGO MOLINA GEMA VALERIA</v>
      </c>
      <c r="EN302" t="str">
        <v>LINO VELEZ LEONEL LIVINGTON</v>
      </c>
      <c r="EO302" t="str">
        <v>LOOR ALCIVAR MARIA ILIANA</v>
      </c>
      <c r="EP302" t="str">
        <v>LOOR MIELES TANIA JACQUELINE</v>
      </c>
      <c r="EQ302" t="str">
        <v>LOOR SOLORZANO ROSA MARIA</v>
      </c>
      <c r="ER302" t="str">
        <v>LOPEZ DELGADO RONALD MAURICIO</v>
      </c>
      <c r="ES302" t="str">
        <v>MACIAS VALENCIA DAVID GABRIEL</v>
      </c>
      <c r="ET302" t="str">
        <v>MENDOZA ZAMORA WALTER MANUEL</v>
      </c>
      <c r="EU302" t="str">
        <v>MOLINA CEVALLOS MARIA LORENA</v>
      </c>
      <c r="EV302" t="str">
        <v>MURILLO DELGADO ISAAC GABRIEL</v>
      </c>
      <c r="EW302" t="str">
        <v>ANGULO MURILLO NAVIRA GISSELA</v>
      </c>
      <c r="EX302" t="str">
        <v>OCHOA SOLEDISPA NESTOR IVAN</v>
      </c>
      <c r="EY302" t="str">
        <v>PARRAGA FRANCO SILVANA MARIELA</v>
      </c>
      <c r="EZ302" t="str">
        <v>PINARGOTE VASQUEZ NANCY FABIOLA</v>
      </c>
      <c r="FA302" t="str">
        <v>REYES VELEZ PEDRO ENRIQUE</v>
      </c>
      <c r="FB302" t="str">
        <v>SAN ANDRES HORMAZA DALLAS CECILIA</v>
      </c>
      <c r="FC302" t="str">
        <v>SORNOZA ZAMORA JUAN CARLOS</v>
      </c>
      <c r="FD302" t="str">
        <v>TOMALA PINTO JESUS JACINTO</v>
      </c>
      <c r="FE302" t="str">
        <v>VALLE JARAMILLO SILVIA ARACELY</v>
      </c>
      <c r="FF302" t="str">
        <v>VELÁSQUEZ BRAVO IRMA KATHERINE</v>
      </c>
      <c r="FG302" t="str">
        <v>VELEZ MENDOZA LAYSY VALERIA</v>
      </c>
      <c r="FH302" t="str">
        <v>VINUEZA TELLO SHIRLEY ELIZABETH</v>
      </c>
      <c r="FI302" t="str">
        <v>ZAMBRANO ALCIVAR NILDA ISABEL</v>
      </c>
      <c r="FJ302" t="str">
        <v>ZAMBRANO LOOR RITA MAYDA</v>
      </c>
      <c r="FK302" t="str">
        <v>ZAMBRANO VERA MONICA JANETH</v>
      </c>
      <c r="FL302" t="str">
        <v>VERA DELGADO BRYAN ADRIÁN</v>
      </c>
      <c r="FM302" t="str">
        <v>MORAN GONZALES DAVID RENATO</v>
      </c>
      <c r="FN302">
        <v>0</v>
      </c>
    </row>
    <row r="303" spans="1:170" ht="20.25" customHeight="1">
      <c r="A303" s="4" t="str" cm="1">
        <f t="array" ref="A303">TRANSPOSE(_xlfn.UNIQUE(_xlfn._xlws.FILTER(MAE_ASIGNATURA[ID_NIVEL],MAE_ASIGNATURA[ID_CARRERA]=ASIGNACION!$C303,"No existe información")))</f>
        <v>No existe información</v>
      </c>
      <c r="S303" s="4" t="str" cm="1">
        <f t="array" ref="S303">TRANSPOSE(_xlfn.UNIQUE(_xlfn._xlws.FILTER(MAE_ASIGNATURA[NOM_ASIG],(MAE_ASIGNATURA[ID_NIVEL]=ASIGNACION!$D303)*(MAE_ASIGNATURA[ID_CARRERA]=ASIGNACION!$C303),"No existe información")))</f>
        <v>No existe información</v>
      </c>
      <c r="BD303" s="4" t="str" cm="1">
        <f t="array" ref="BD303">TRANSPOSE(_xlfn.UNIQUE(_xlfn._xlws.FILTER(DET_ASIG[DETALLADO],(DET_ASIG[ID_CARRERA]=ASIGNACION!$C303)*(DET_ASIG[NIVEL]=ASIGNACION!$D303)*(DET_ASIG[ID_ASIG]=ASIGNACION!$G303),"No existe información")))</f>
        <v>No existe información</v>
      </c>
      <c r="BQ303" s="5" t="str" cm="1">
        <f t="array" ref="BQ303">IFERROR(
    TRANSPOSE(
        _xlfn.UNIQUE(
            _xlfn._xlws.FILTER(MAESTRIA_DETALLADO[MAESTRIA],
                ISNUMBER(MATCH(MAESTRIA_DETALLADO[CAMPO_DETALLADO],
                BD303:BP303,0))
            )
        )
    ),IF(BD303="ACTIVIDAD","DOCENCIA",""))</f>
        <v/>
      </c>
      <c r="EA303" s="5" t="str" cm="1">
        <f t="array" ref="EA303:FN303">IF(
    ASIGNACION!I303="SI",
    IFERROR(
        TRANSPOSE(
            _xlfn.UNIQUE(
                _xlfn._xlws.FILTER(EDU_DOCENTE[NOMBRE_DOCENTE],
                    ISNUMBER(MATCH(EDU_DOCENTE[MAESTRIA],
                    BQ303:DY303,0))
                )
            )
        ),
        ""
    ),
    TRANSPOSE(
        _xlfn.UNIQUE(EDU_DOCENTE[NOMBRE_DOCENTE]
        )
    )
)</f>
        <v>ALCIVAR CEDEÑO BEATRIZ ISABEL</v>
      </c>
      <c r="EB303" t="str">
        <v>ALCIVAR VERA GEMA MICHELLE</v>
      </c>
      <c r="EC303" t="str">
        <v>ARAUZ CHAVEZ MARIO ROBERTO</v>
      </c>
      <c r="ED303" t="str">
        <v>BAILON LOURIDO WALTER ALBERTO</v>
      </c>
      <c r="EE303" t="str">
        <v>CALDERERO VILLAGOMEZ ERICK ANTONIO</v>
      </c>
      <c r="EF303" t="str">
        <v>CASTILLO GARCIA PAOLA GERMANIA</v>
      </c>
      <c r="EG303" t="str">
        <v>CEDEÑO CHOEZ PEDRO JAVIER</v>
      </c>
      <c r="EH303" t="str">
        <v>CEVALLOS HOPPE JUAN CARLOS</v>
      </c>
      <c r="EI303" t="str">
        <v>DELGADO CHAVEZ MARIA IRASEMA</v>
      </c>
      <c r="EJ303" t="str">
        <v>DUARTE VALENCIA CRISTHIAN DARIO</v>
      </c>
      <c r="EK303" t="str">
        <v>FORTTY BARBERAN DENNY ALEXANDER</v>
      </c>
      <c r="EL303" t="str">
        <v>GUTIERREZ ZAMBRANO CARMEN EBELINA</v>
      </c>
      <c r="EM303" t="str">
        <v>INTRIAGO MOLINA GEMA VALERIA</v>
      </c>
      <c r="EN303" t="str">
        <v>LINO VELEZ LEONEL LIVINGTON</v>
      </c>
      <c r="EO303" t="str">
        <v>LOOR ALCIVAR MARIA ILIANA</v>
      </c>
      <c r="EP303" t="str">
        <v>LOOR MIELES TANIA JACQUELINE</v>
      </c>
      <c r="EQ303" t="str">
        <v>LOOR SOLORZANO ROSA MARIA</v>
      </c>
      <c r="ER303" t="str">
        <v>LOPEZ DELGADO RONALD MAURICIO</v>
      </c>
      <c r="ES303" t="str">
        <v>MACIAS VALENCIA DAVID GABRIEL</v>
      </c>
      <c r="ET303" t="str">
        <v>MENDOZA ZAMORA WALTER MANUEL</v>
      </c>
      <c r="EU303" t="str">
        <v>MOLINA CEVALLOS MARIA LORENA</v>
      </c>
      <c r="EV303" t="str">
        <v>MURILLO DELGADO ISAAC GABRIEL</v>
      </c>
      <c r="EW303" t="str">
        <v>ANGULO MURILLO NAVIRA GISSELA</v>
      </c>
      <c r="EX303" t="str">
        <v>OCHOA SOLEDISPA NESTOR IVAN</v>
      </c>
      <c r="EY303" t="str">
        <v>PARRAGA FRANCO SILVANA MARIELA</v>
      </c>
      <c r="EZ303" t="str">
        <v>PINARGOTE VASQUEZ NANCY FABIOLA</v>
      </c>
      <c r="FA303" t="str">
        <v>REYES VELEZ PEDRO ENRIQUE</v>
      </c>
      <c r="FB303" t="str">
        <v>SAN ANDRES HORMAZA DALLAS CECILIA</v>
      </c>
      <c r="FC303" t="str">
        <v>SORNOZA ZAMORA JUAN CARLOS</v>
      </c>
      <c r="FD303" t="str">
        <v>TOMALA PINTO JESUS JACINTO</v>
      </c>
      <c r="FE303" t="str">
        <v>VALLE JARAMILLO SILVIA ARACELY</v>
      </c>
      <c r="FF303" t="str">
        <v>VELÁSQUEZ BRAVO IRMA KATHERINE</v>
      </c>
      <c r="FG303" t="str">
        <v>VELEZ MENDOZA LAYSY VALERIA</v>
      </c>
      <c r="FH303" t="str">
        <v>VINUEZA TELLO SHIRLEY ELIZABETH</v>
      </c>
      <c r="FI303" t="str">
        <v>ZAMBRANO ALCIVAR NILDA ISABEL</v>
      </c>
      <c r="FJ303" t="str">
        <v>ZAMBRANO LOOR RITA MAYDA</v>
      </c>
      <c r="FK303" t="str">
        <v>ZAMBRANO VERA MONICA JANETH</v>
      </c>
      <c r="FL303" t="str">
        <v>VERA DELGADO BRYAN ADRIÁN</v>
      </c>
      <c r="FM303" t="str">
        <v>MORAN GONZALES DAVID RENATO</v>
      </c>
      <c r="FN303">
        <v>0</v>
      </c>
    </row>
    <row r="304" spans="1:170" ht="20.25" customHeight="1">
      <c r="A304" s="4" t="str" cm="1">
        <f t="array" ref="A304">TRANSPOSE(_xlfn.UNIQUE(_xlfn._xlws.FILTER(MAE_ASIGNATURA[ID_NIVEL],MAE_ASIGNATURA[ID_CARRERA]=ASIGNACION!$C304,"No existe información")))</f>
        <v>No existe información</v>
      </c>
      <c r="S304" s="4" t="str" cm="1">
        <f t="array" ref="S304">TRANSPOSE(_xlfn.UNIQUE(_xlfn._xlws.FILTER(MAE_ASIGNATURA[NOM_ASIG],(MAE_ASIGNATURA[ID_NIVEL]=ASIGNACION!$D304)*(MAE_ASIGNATURA[ID_CARRERA]=ASIGNACION!$C304),"No existe información")))</f>
        <v>No existe información</v>
      </c>
      <c r="BD304" s="4" t="str" cm="1">
        <f t="array" ref="BD304">TRANSPOSE(_xlfn.UNIQUE(_xlfn._xlws.FILTER(DET_ASIG[DETALLADO],(DET_ASIG[ID_CARRERA]=ASIGNACION!$C304)*(DET_ASIG[NIVEL]=ASIGNACION!$D304)*(DET_ASIG[ID_ASIG]=ASIGNACION!$G304),"No existe información")))</f>
        <v>No existe información</v>
      </c>
      <c r="BQ304" s="5" t="str" cm="1">
        <f t="array" ref="BQ304">IFERROR(
    TRANSPOSE(
        _xlfn.UNIQUE(
            _xlfn._xlws.FILTER(MAESTRIA_DETALLADO[MAESTRIA],
                ISNUMBER(MATCH(MAESTRIA_DETALLADO[CAMPO_DETALLADO],
                BD304:BP304,0))
            )
        )
    ),IF(BD304="ACTIVIDAD","DOCENCIA",""))</f>
        <v/>
      </c>
      <c r="EA304" s="5" t="str" cm="1">
        <f t="array" ref="EA304:FN304">IF(
    ASIGNACION!I304="SI",
    IFERROR(
        TRANSPOSE(
            _xlfn.UNIQUE(
                _xlfn._xlws.FILTER(EDU_DOCENTE[NOMBRE_DOCENTE],
                    ISNUMBER(MATCH(EDU_DOCENTE[MAESTRIA],
                    BQ304:DY304,0))
                )
            )
        ),
        ""
    ),
    TRANSPOSE(
        _xlfn.UNIQUE(EDU_DOCENTE[NOMBRE_DOCENTE]
        )
    )
)</f>
        <v>ALCIVAR CEDEÑO BEATRIZ ISABEL</v>
      </c>
      <c r="EB304" t="str">
        <v>ALCIVAR VERA GEMA MICHELLE</v>
      </c>
      <c r="EC304" t="str">
        <v>ARAUZ CHAVEZ MARIO ROBERTO</v>
      </c>
      <c r="ED304" t="str">
        <v>BAILON LOURIDO WALTER ALBERTO</v>
      </c>
      <c r="EE304" t="str">
        <v>CALDERERO VILLAGOMEZ ERICK ANTONIO</v>
      </c>
      <c r="EF304" t="str">
        <v>CASTILLO GARCIA PAOLA GERMANIA</v>
      </c>
      <c r="EG304" t="str">
        <v>CEDEÑO CHOEZ PEDRO JAVIER</v>
      </c>
      <c r="EH304" t="str">
        <v>CEVALLOS HOPPE JUAN CARLOS</v>
      </c>
      <c r="EI304" t="str">
        <v>DELGADO CHAVEZ MARIA IRASEMA</v>
      </c>
      <c r="EJ304" t="str">
        <v>DUARTE VALENCIA CRISTHIAN DARIO</v>
      </c>
      <c r="EK304" t="str">
        <v>FORTTY BARBERAN DENNY ALEXANDER</v>
      </c>
      <c r="EL304" t="str">
        <v>GUTIERREZ ZAMBRANO CARMEN EBELINA</v>
      </c>
      <c r="EM304" t="str">
        <v>INTRIAGO MOLINA GEMA VALERIA</v>
      </c>
      <c r="EN304" t="str">
        <v>LINO VELEZ LEONEL LIVINGTON</v>
      </c>
      <c r="EO304" t="str">
        <v>LOOR ALCIVAR MARIA ILIANA</v>
      </c>
      <c r="EP304" t="str">
        <v>LOOR MIELES TANIA JACQUELINE</v>
      </c>
      <c r="EQ304" t="str">
        <v>LOOR SOLORZANO ROSA MARIA</v>
      </c>
      <c r="ER304" t="str">
        <v>LOPEZ DELGADO RONALD MAURICIO</v>
      </c>
      <c r="ES304" t="str">
        <v>MACIAS VALENCIA DAVID GABRIEL</v>
      </c>
      <c r="ET304" t="str">
        <v>MENDOZA ZAMORA WALTER MANUEL</v>
      </c>
      <c r="EU304" t="str">
        <v>MOLINA CEVALLOS MARIA LORENA</v>
      </c>
      <c r="EV304" t="str">
        <v>MURILLO DELGADO ISAAC GABRIEL</v>
      </c>
      <c r="EW304" t="str">
        <v>ANGULO MURILLO NAVIRA GISSELA</v>
      </c>
      <c r="EX304" t="str">
        <v>OCHOA SOLEDISPA NESTOR IVAN</v>
      </c>
      <c r="EY304" t="str">
        <v>PARRAGA FRANCO SILVANA MARIELA</v>
      </c>
      <c r="EZ304" t="str">
        <v>PINARGOTE VASQUEZ NANCY FABIOLA</v>
      </c>
      <c r="FA304" t="str">
        <v>REYES VELEZ PEDRO ENRIQUE</v>
      </c>
      <c r="FB304" t="str">
        <v>SAN ANDRES HORMAZA DALLAS CECILIA</v>
      </c>
      <c r="FC304" t="str">
        <v>SORNOZA ZAMORA JUAN CARLOS</v>
      </c>
      <c r="FD304" t="str">
        <v>TOMALA PINTO JESUS JACINTO</v>
      </c>
      <c r="FE304" t="str">
        <v>VALLE JARAMILLO SILVIA ARACELY</v>
      </c>
      <c r="FF304" t="str">
        <v>VELÁSQUEZ BRAVO IRMA KATHERINE</v>
      </c>
      <c r="FG304" t="str">
        <v>VELEZ MENDOZA LAYSY VALERIA</v>
      </c>
      <c r="FH304" t="str">
        <v>VINUEZA TELLO SHIRLEY ELIZABETH</v>
      </c>
      <c r="FI304" t="str">
        <v>ZAMBRANO ALCIVAR NILDA ISABEL</v>
      </c>
      <c r="FJ304" t="str">
        <v>ZAMBRANO LOOR RITA MAYDA</v>
      </c>
      <c r="FK304" t="str">
        <v>ZAMBRANO VERA MONICA JANETH</v>
      </c>
      <c r="FL304" t="str">
        <v>VERA DELGADO BRYAN ADRIÁN</v>
      </c>
      <c r="FM304" t="str">
        <v>MORAN GONZALES DAVID RENATO</v>
      </c>
      <c r="FN304">
        <v>0</v>
      </c>
    </row>
    <row r="305" spans="1:170" ht="20.25" customHeight="1">
      <c r="A305" s="4" t="str" cm="1">
        <f t="array" ref="A305">TRANSPOSE(_xlfn.UNIQUE(_xlfn._xlws.FILTER(MAE_ASIGNATURA[ID_NIVEL],MAE_ASIGNATURA[ID_CARRERA]=ASIGNACION!$C305,"No existe información")))</f>
        <v>No existe información</v>
      </c>
      <c r="S305" s="4" t="str" cm="1">
        <f t="array" ref="S305">TRANSPOSE(_xlfn.UNIQUE(_xlfn._xlws.FILTER(MAE_ASIGNATURA[NOM_ASIG],(MAE_ASIGNATURA[ID_NIVEL]=ASIGNACION!$D305)*(MAE_ASIGNATURA[ID_CARRERA]=ASIGNACION!$C305),"No existe información")))</f>
        <v>No existe información</v>
      </c>
      <c r="BD305" s="4" t="str" cm="1">
        <f t="array" ref="BD305">TRANSPOSE(_xlfn.UNIQUE(_xlfn._xlws.FILTER(DET_ASIG[DETALLADO],(DET_ASIG[ID_CARRERA]=ASIGNACION!$C305)*(DET_ASIG[NIVEL]=ASIGNACION!$D305)*(DET_ASIG[ID_ASIG]=ASIGNACION!$G305),"No existe información")))</f>
        <v>No existe información</v>
      </c>
      <c r="BQ305" s="5" t="str" cm="1">
        <f t="array" ref="BQ305">IFERROR(
    TRANSPOSE(
        _xlfn.UNIQUE(
            _xlfn._xlws.FILTER(MAESTRIA_DETALLADO[MAESTRIA],
                ISNUMBER(MATCH(MAESTRIA_DETALLADO[CAMPO_DETALLADO],
                BD305:BP305,0))
            )
        )
    ),IF(BD305="ACTIVIDAD","DOCENCIA",""))</f>
        <v/>
      </c>
      <c r="EA305" s="5" t="str" cm="1">
        <f t="array" ref="EA305:FN305">IF(
    ASIGNACION!I305="SI",
    IFERROR(
        TRANSPOSE(
            _xlfn.UNIQUE(
                _xlfn._xlws.FILTER(EDU_DOCENTE[NOMBRE_DOCENTE],
                    ISNUMBER(MATCH(EDU_DOCENTE[MAESTRIA],
                    BQ305:DY305,0))
                )
            )
        ),
        ""
    ),
    TRANSPOSE(
        _xlfn.UNIQUE(EDU_DOCENTE[NOMBRE_DOCENTE]
        )
    )
)</f>
        <v>ALCIVAR CEDEÑO BEATRIZ ISABEL</v>
      </c>
      <c r="EB305" t="str">
        <v>ALCIVAR VERA GEMA MICHELLE</v>
      </c>
      <c r="EC305" t="str">
        <v>ARAUZ CHAVEZ MARIO ROBERTO</v>
      </c>
      <c r="ED305" t="str">
        <v>BAILON LOURIDO WALTER ALBERTO</v>
      </c>
      <c r="EE305" t="str">
        <v>CALDERERO VILLAGOMEZ ERICK ANTONIO</v>
      </c>
      <c r="EF305" t="str">
        <v>CASTILLO GARCIA PAOLA GERMANIA</v>
      </c>
      <c r="EG305" t="str">
        <v>CEDEÑO CHOEZ PEDRO JAVIER</v>
      </c>
      <c r="EH305" t="str">
        <v>CEVALLOS HOPPE JUAN CARLOS</v>
      </c>
      <c r="EI305" t="str">
        <v>DELGADO CHAVEZ MARIA IRASEMA</v>
      </c>
      <c r="EJ305" t="str">
        <v>DUARTE VALENCIA CRISTHIAN DARIO</v>
      </c>
      <c r="EK305" t="str">
        <v>FORTTY BARBERAN DENNY ALEXANDER</v>
      </c>
      <c r="EL305" t="str">
        <v>GUTIERREZ ZAMBRANO CARMEN EBELINA</v>
      </c>
      <c r="EM305" t="str">
        <v>INTRIAGO MOLINA GEMA VALERIA</v>
      </c>
      <c r="EN305" t="str">
        <v>LINO VELEZ LEONEL LIVINGTON</v>
      </c>
      <c r="EO305" t="str">
        <v>LOOR ALCIVAR MARIA ILIANA</v>
      </c>
      <c r="EP305" t="str">
        <v>LOOR MIELES TANIA JACQUELINE</v>
      </c>
      <c r="EQ305" t="str">
        <v>LOOR SOLORZANO ROSA MARIA</v>
      </c>
      <c r="ER305" t="str">
        <v>LOPEZ DELGADO RONALD MAURICIO</v>
      </c>
      <c r="ES305" t="str">
        <v>MACIAS VALENCIA DAVID GABRIEL</v>
      </c>
      <c r="ET305" t="str">
        <v>MENDOZA ZAMORA WALTER MANUEL</v>
      </c>
      <c r="EU305" t="str">
        <v>MOLINA CEVALLOS MARIA LORENA</v>
      </c>
      <c r="EV305" t="str">
        <v>MURILLO DELGADO ISAAC GABRIEL</v>
      </c>
      <c r="EW305" t="str">
        <v>ANGULO MURILLO NAVIRA GISSELA</v>
      </c>
      <c r="EX305" t="str">
        <v>OCHOA SOLEDISPA NESTOR IVAN</v>
      </c>
      <c r="EY305" t="str">
        <v>PARRAGA FRANCO SILVANA MARIELA</v>
      </c>
      <c r="EZ305" t="str">
        <v>PINARGOTE VASQUEZ NANCY FABIOLA</v>
      </c>
      <c r="FA305" t="str">
        <v>REYES VELEZ PEDRO ENRIQUE</v>
      </c>
      <c r="FB305" t="str">
        <v>SAN ANDRES HORMAZA DALLAS CECILIA</v>
      </c>
      <c r="FC305" t="str">
        <v>SORNOZA ZAMORA JUAN CARLOS</v>
      </c>
      <c r="FD305" t="str">
        <v>TOMALA PINTO JESUS JACINTO</v>
      </c>
      <c r="FE305" t="str">
        <v>VALLE JARAMILLO SILVIA ARACELY</v>
      </c>
      <c r="FF305" t="str">
        <v>VELÁSQUEZ BRAVO IRMA KATHERINE</v>
      </c>
      <c r="FG305" t="str">
        <v>VELEZ MENDOZA LAYSY VALERIA</v>
      </c>
      <c r="FH305" t="str">
        <v>VINUEZA TELLO SHIRLEY ELIZABETH</v>
      </c>
      <c r="FI305" t="str">
        <v>ZAMBRANO ALCIVAR NILDA ISABEL</v>
      </c>
      <c r="FJ305" t="str">
        <v>ZAMBRANO LOOR RITA MAYDA</v>
      </c>
      <c r="FK305" t="str">
        <v>ZAMBRANO VERA MONICA JANETH</v>
      </c>
      <c r="FL305" t="str">
        <v>VERA DELGADO BRYAN ADRIÁN</v>
      </c>
      <c r="FM305" t="str">
        <v>MORAN GONZALES DAVID RENATO</v>
      </c>
      <c r="FN305">
        <v>0</v>
      </c>
    </row>
    <row r="306" spans="1:170" ht="20.25" customHeight="1">
      <c r="A306" s="4" t="str" cm="1">
        <f t="array" ref="A306">TRANSPOSE(_xlfn.UNIQUE(_xlfn._xlws.FILTER(MAE_ASIGNATURA[ID_NIVEL],MAE_ASIGNATURA[ID_CARRERA]=ASIGNACION!$C306,"No existe información")))</f>
        <v>No existe información</v>
      </c>
      <c r="S306" s="4" t="str" cm="1">
        <f t="array" ref="S306">TRANSPOSE(_xlfn.UNIQUE(_xlfn._xlws.FILTER(MAE_ASIGNATURA[NOM_ASIG],(MAE_ASIGNATURA[ID_NIVEL]=ASIGNACION!$D306)*(MAE_ASIGNATURA[ID_CARRERA]=ASIGNACION!$C306),"No existe información")))</f>
        <v>No existe información</v>
      </c>
      <c r="BD306" s="4" t="str" cm="1">
        <f t="array" ref="BD306">TRANSPOSE(_xlfn.UNIQUE(_xlfn._xlws.FILTER(DET_ASIG[DETALLADO],(DET_ASIG[ID_CARRERA]=ASIGNACION!$C306)*(DET_ASIG[NIVEL]=ASIGNACION!$D306)*(DET_ASIG[ID_ASIG]=ASIGNACION!$G306),"No existe información")))</f>
        <v>No existe información</v>
      </c>
      <c r="BQ306" s="5" t="str" cm="1">
        <f t="array" ref="BQ306">IFERROR(
    TRANSPOSE(
        _xlfn.UNIQUE(
            _xlfn._xlws.FILTER(MAESTRIA_DETALLADO[MAESTRIA],
                ISNUMBER(MATCH(MAESTRIA_DETALLADO[CAMPO_DETALLADO],
                BD306:BP306,0))
            )
        )
    ),IF(BD306="ACTIVIDAD","DOCENCIA",""))</f>
        <v/>
      </c>
      <c r="EA306" s="5" t="str" cm="1">
        <f t="array" ref="EA306:FN306">IF(
    ASIGNACION!I306="SI",
    IFERROR(
        TRANSPOSE(
            _xlfn.UNIQUE(
                _xlfn._xlws.FILTER(EDU_DOCENTE[NOMBRE_DOCENTE],
                    ISNUMBER(MATCH(EDU_DOCENTE[MAESTRIA],
                    BQ306:DY306,0))
                )
            )
        ),
        ""
    ),
    TRANSPOSE(
        _xlfn.UNIQUE(EDU_DOCENTE[NOMBRE_DOCENTE]
        )
    )
)</f>
        <v>ALCIVAR CEDEÑO BEATRIZ ISABEL</v>
      </c>
      <c r="EB306" t="str">
        <v>ALCIVAR VERA GEMA MICHELLE</v>
      </c>
      <c r="EC306" t="str">
        <v>ARAUZ CHAVEZ MARIO ROBERTO</v>
      </c>
      <c r="ED306" t="str">
        <v>BAILON LOURIDO WALTER ALBERTO</v>
      </c>
      <c r="EE306" t="str">
        <v>CALDERERO VILLAGOMEZ ERICK ANTONIO</v>
      </c>
      <c r="EF306" t="str">
        <v>CASTILLO GARCIA PAOLA GERMANIA</v>
      </c>
      <c r="EG306" t="str">
        <v>CEDEÑO CHOEZ PEDRO JAVIER</v>
      </c>
      <c r="EH306" t="str">
        <v>CEVALLOS HOPPE JUAN CARLOS</v>
      </c>
      <c r="EI306" t="str">
        <v>DELGADO CHAVEZ MARIA IRASEMA</v>
      </c>
      <c r="EJ306" t="str">
        <v>DUARTE VALENCIA CRISTHIAN DARIO</v>
      </c>
      <c r="EK306" t="str">
        <v>FORTTY BARBERAN DENNY ALEXANDER</v>
      </c>
      <c r="EL306" t="str">
        <v>GUTIERREZ ZAMBRANO CARMEN EBELINA</v>
      </c>
      <c r="EM306" t="str">
        <v>INTRIAGO MOLINA GEMA VALERIA</v>
      </c>
      <c r="EN306" t="str">
        <v>LINO VELEZ LEONEL LIVINGTON</v>
      </c>
      <c r="EO306" t="str">
        <v>LOOR ALCIVAR MARIA ILIANA</v>
      </c>
      <c r="EP306" t="str">
        <v>LOOR MIELES TANIA JACQUELINE</v>
      </c>
      <c r="EQ306" t="str">
        <v>LOOR SOLORZANO ROSA MARIA</v>
      </c>
      <c r="ER306" t="str">
        <v>LOPEZ DELGADO RONALD MAURICIO</v>
      </c>
      <c r="ES306" t="str">
        <v>MACIAS VALENCIA DAVID GABRIEL</v>
      </c>
      <c r="ET306" t="str">
        <v>MENDOZA ZAMORA WALTER MANUEL</v>
      </c>
      <c r="EU306" t="str">
        <v>MOLINA CEVALLOS MARIA LORENA</v>
      </c>
      <c r="EV306" t="str">
        <v>MURILLO DELGADO ISAAC GABRIEL</v>
      </c>
      <c r="EW306" t="str">
        <v>ANGULO MURILLO NAVIRA GISSELA</v>
      </c>
      <c r="EX306" t="str">
        <v>OCHOA SOLEDISPA NESTOR IVAN</v>
      </c>
      <c r="EY306" t="str">
        <v>PARRAGA FRANCO SILVANA MARIELA</v>
      </c>
      <c r="EZ306" t="str">
        <v>PINARGOTE VASQUEZ NANCY FABIOLA</v>
      </c>
      <c r="FA306" t="str">
        <v>REYES VELEZ PEDRO ENRIQUE</v>
      </c>
      <c r="FB306" t="str">
        <v>SAN ANDRES HORMAZA DALLAS CECILIA</v>
      </c>
      <c r="FC306" t="str">
        <v>SORNOZA ZAMORA JUAN CARLOS</v>
      </c>
      <c r="FD306" t="str">
        <v>TOMALA PINTO JESUS JACINTO</v>
      </c>
      <c r="FE306" t="str">
        <v>VALLE JARAMILLO SILVIA ARACELY</v>
      </c>
      <c r="FF306" t="str">
        <v>VELÁSQUEZ BRAVO IRMA KATHERINE</v>
      </c>
      <c r="FG306" t="str">
        <v>VELEZ MENDOZA LAYSY VALERIA</v>
      </c>
      <c r="FH306" t="str">
        <v>VINUEZA TELLO SHIRLEY ELIZABETH</v>
      </c>
      <c r="FI306" t="str">
        <v>ZAMBRANO ALCIVAR NILDA ISABEL</v>
      </c>
      <c r="FJ306" t="str">
        <v>ZAMBRANO LOOR RITA MAYDA</v>
      </c>
      <c r="FK306" t="str">
        <v>ZAMBRANO VERA MONICA JANETH</v>
      </c>
      <c r="FL306" t="str">
        <v>VERA DELGADO BRYAN ADRIÁN</v>
      </c>
      <c r="FM306" t="str">
        <v>MORAN GONZALES DAVID RENATO</v>
      </c>
      <c r="FN306">
        <v>0</v>
      </c>
    </row>
    <row r="307" spans="1:170" ht="20.25" customHeight="1">
      <c r="A307" s="4" t="str" cm="1">
        <f t="array" ref="A307">TRANSPOSE(_xlfn.UNIQUE(_xlfn._xlws.FILTER(MAE_ASIGNATURA[ID_NIVEL],MAE_ASIGNATURA[ID_CARRERA]=ASIGNACION!$C307,"No existe información")))</f>
        <v>No existe información</v>
      </c>
      <c r="S307" s="4" t="str" cm="1">
        <f t="array" ref="S307">TRANSPOSE(_xlfn.UNIQUE(_xlfn._xlws.FILTER(MAE_ASIGNATURA[NOM_ASIG],(MAE_ASIGNATURA[ID_NIVEL]=ASIGNACION!$D307)*(MAE_ASIGNATURA[ID_CARRERA]=ASIGNACION!$C307),"No existe información")))</f>
        <v>No existe información</v>
      </c>
      <c r="BD307" s="4" t="str" cm="1">
        <f t="array" ref="BD307">TRANSPOSE(_xlfn.UNIQUE(_xlfn._xlws.FILTER(DET_ASIG[DETALLADO],(DET_ASIG[ID_CARRERA]=ASIGNACION!$C307)*(DET_ASIG[NIVEL]=ASIGNACION!$D307)*(DET_ASIG[ID_ASIG]=ASIGNACION!$G307),"No existe información")))</f>
        <v>No existe información</v>
      </c>
      <c r="BQ307" s="5" t="str" cm="1">
        <f t="array" ref="BQ307">IFERROR(
    TRANSPOSE(
        _xlfn.UNIQUE(
            _xlfn._xlws.FILTER(MAESTRIA_DETALLADO[MAESTRIA],
                ISNUMBER(MATCH(MAESTRIA_DETALLADO[CAMPO_DETALLADO],
                BD307:BP307,0))
            )
        )
    ),IF(BD307="ACTIVIDAD","DOCENCIA",""))</f>
        <v/>
      </c>
      <c r="EA307" s="5" t="str" cm="1">
        <f t="array" ref="EA307:FN307">IF(
    ASIGNACION!I307="SI",
    IFERROR(
        TRANSPOSE(
            _xlfn.UNIQUE(
                _xlfn._xlws.FILTER(EDU_DOCENTE[NOMBRE_DOCENTE],
                    ISNUMBER(MATCH(EDU_DOCENTE[MAESTRIA],
                    BQ307:DY307,0))
                )
            )
        ),
        ""
    ),
    TRANSPOSE(
        _xlfn.UNIQUE(EDU_DOCENTE[NOMBRE_DOCENTE]
        )
    )
)</f>
        <v>ALCIVAR CEDEÑO BEATRIZ ISABEL</v>
      </c>
      <c r="EB307" t="str">
        <v>ALCIVAR VERA GEMA MICHELLE</v>
      </c>
      <c r="EC307" t="str">
        <v>ARAUZ CHAVEZ MARIO ROBERTO</v>
      </c>
      <c r="ED307" t="str">
        <v>BAILON LOURIDO WALTER ALBERTO</v>
      </c>
      <c r="EE307" t="str">
        <v>CALDERERO VILLAGOMEZ ERICK ANTONIO</v>
      </c>
      <c r="EF307" t="str">
        <v>CASTILLO GARCIA PAOLA GERMANIA</v>
      </c>
      <c r="EG307" t="str">
        <v>CEDEÑO CHOEZ PEDRO JAVIER</v>
      </c>
      <c r="EH307" t="str">
        <v>CEVALLOS HOPPE JUAN CARLOS</v>
      </c>
      <c r="EI307" t="str">
        <v>DELGADO CHAVEZ MARIA IRASEMA</v>
      </c>
      <c r="EJ307" t="str">
        <v>DUARTE VALENCIA CRISTHIAN DARIO</v>
      </c>
      <c r="EK307" t="str">
        <v>FORTTY BARBERAN DENNY ALEXANDER</v>
      </c>
      <c r="EL307" t="str">
        <v>GUTIERREZ ZAMBRANO CARMEN EBELINA</v>
      </c>
      <c r="EM307" t="str">
        <v>INTRIAGO MOLINA GEMA VALERIA</v>
      </c>
      <c r="EN307" t="str">
        <v>LINO VELEZ LEONEL LIVINGTON</v>
      </c>
      <c r="EO307" t="str">
        <v>LOOR ALCIVAR MARIA ILIANA</v>
      </c>
      <c r="EP307" t="str">
        <v>LOOR MIELES TANIA JACQUELINE</v>
      </c>
      <c r="EQ307" t="str">
        <v>LOOR SOLORZANO ROSA MARIA</v>
      </c>
      <c r="ER307" t="str">
        <v>LOPEZ DELGADO RONALD MAURICIO</v>
      </c>
      <c r="ES307" t="str">
        <v>MACIAS VALENCIA DAVID GABRIEL</v>
      </c>
      <c r="ET307" t="str">
        <v>MENDOZA ZAMORA WALTER MANUEL</v>
      </c>
      <c r="EU307" t="str">
        <v>MOLINA CEVALLOS MARIA LORENA</v>
      </c>
      <c r="EV307" t="str">
        <v>MURILLO DELGADO ISAAC GABRIEL</v>
      </c>
      <c r="EW307" t="str">
        <v>ANGULO MURILLO NAVIRA GISSELA</v>
      </c>
      <c r="EX307" t="str">
        <v>OCHOA SOLEDISPA NESTOR IVAN</v>
      </c>
      <c r="EY307" t="str">
        <v>PARRAGA FRANCO SILVANA MARIELA</v>
      </c>
      <c r="EZ307" t="str">
        <v>PINARGOTE VASQUEZ NANCY FABIOLA</v>
      </c>
      <c r="FA307" t="str">
        <v>REYES VELEZ PEDRO ENRIQUE</v>
      </c>
      <c r="FB307" t="str">
        <v>SAN ANDRES HORMAZA DALLAS CECILIA</v>
      </c>
      <c r="FC307" t="str">
        <v>SORNOZA ZAMORA JUAN CARLOS</v>
      </c>
      <c r="FD307" t="str">
        <v>TOMALA PINTO JESUS JACINTO</v>
      </c>
      <c r="FE307" t="str">
        <v>VALLE JARAMILLO SILVIA ARACELY</v>
      </c>
      <c r="FF307" t="str">
        <v>VELÁSQUEZ BRAVO IRMA KATHERINE</v>
      </c>
      <c r="FG307" t="str">
        <v>VELEZ MENDOZA LAYSY VALERIA</v>
      </c>
      <c r="FH307" t="str">
        <v>VINUEZA TELLO SHIRLEY ELIZABETH</v>
      </c>
      <c r="FI307" t="str">
        <v>ZAMBRANO ALCIVAR NILDA ISABEL</v>
      </c>
      <c r="FJ307" t="str">
        <v>ZAMBRANO LOOR RITA MAYDA</v>
      </c>
      <c r="FK307" t="str">
        <v>ZAMBRANO VERA MONICA JANETH</v>
      </c>
      <c r="FL307" t="str">
        <v>VERA DELGADO BRYAN ADRIÁN</v>
      </c>
      <c r="FM307" t="str">
        <v>MORAN GONZALES DAVID RENATO</v>
      </c>
      <c r="FN307">
        <v>0</v>
      </c>
    </row>
    <row r="308" spans="1:170" ht="20.25" customHeight="1">
      <c r="A308" s="4" t="str" cm="1">
        <f t="array" ref="A308">TRANSPOSE(_xlfn.UNIQUE(_xlfn._xlws.FILTER(MAE_ASIGNATURA[ID_NIVEL],MAE_ASIGNATURA[ID_CARRERA]=ASIGNACION!$C308,"No existe información")))</f>
        <v>No existe información</v>
      </c>
      <c r="S308" s="4" t="str" cm="1">
        <f t="array" ref="S308">TRANSPOSE(_xlfn.UNIQUE(_xlfn._xlws.FILTER(MAE_ASIGNATURA[NOM_ASIG],(MAE_ASIGNATURA[ID_NIVEL]=ASIGNACION!$D308)*(MAE_ASIGNATURA[ID_CARRERA]=ASIGNACION!$C308),"No existe información")))</f>
        <v>No existe información</v>
      </c>
      <c r="BD308" s="4" t="str" cm="1">
        <f t="array" ref="BD308">TRANSPOSE(_xlfn.UNIQUE(_xlfn._xlws.FILTER(DET_ASIG[DETALLADO],(DET_ASIG[ID_CARRERA]=ASIGNACION!$C308)*(DET_ASIG[NIVEL]=ASIGNACION!$D308)*(DET_ASIG[ID_ASIG]=ASIGNACION!$G308),"No existe información")))</f>
        <v>No existe información</v>
      </c>
      <c r="BQ308" s="5" t="str" cm="1">
        <f t="array" ref="BQ308">IFERROR(
    TRANSPOSE(
        _xlfn.UNIQUE(
            _xlfn._xlws.FILTER(MAESTRIA_DETALLADO[MAESTRIA],
                ISNUMBER(MATCH(MAESTRIA_DETALLADO[CAMPO_DETALLADO],
                BD308:BP308,0))
            )
        )
    ),IF(BD308="ACTIVIDAD","DOCENCIA",""))</f>
        <v/>
      </c>
      <c r="EA308" s="5" t="str" cm="1">
        <f t="array" ref="EA308:FN308">IF(
    ASIGNACION!I308="SI",
    IFERROR(
        TRANSPOSE(
            _xlfn.UNIQUE(
                _xlfn._xlws.FILTER(EDU_DOCENTE[NOMBRE_DOCENTE],
                    ISNUMBER(MATCH(EDU_DOCENTE[MAESTRIA],
                    BQ308:DY308,0))
                )
            )
        ),
        ""
    ),
    TRANSPOSE(
        _xlfn.UNIQUE(EDU_DOCENTE[NOMBRE_DOCENTE]
        )
    )
)</f>
        <v>ALCIVAR CEDEÑO BEATRIZ ISABEL</v>
      </c>
      <c r="EB308" t="str">
        <v>ALCIVAR VERA GEMA MICHELLE</v>
      </c>
      <c r="EC308" t="str">
        <v>ARAUZ CHAVEZ MARIO ROBERTO</v>
      </c>
      <c r="ED308" t="str">
        <v>BAILON LOURIDO WALTER ALBERTO</v>
      </c>
      <c r="EE308" t="str">
        <v>CALDERERO VILLAGOMEZ ERICK ANTONIO</v>
      </c>
      <c r="EF308" t="str">
        <v>CASTILLO GARCIA PAOLA GERMANIA</v>
      </c>
      <c r="EG308" t="str">
        <v>CEDEÑO CHOEZ PEDRO JAVIER</v>
      </c>
      <c r="EH308" t="str">
        <v>CEVALLOS HOPPE JUAN CARLOS</v>
      </c>
      <c r="EI308" t="str">
        <v>DELGADO CHAVEZ MARIA IRASEMA</v>
      </c>
      <c r="EJ308" t="str">
        <v>DUARTE VALENCIA CRISTHIAN DARIO</v>
      </c>
      <c r="EK308" t="str">
        <v>FORTTY BARBERAN DENNY ALEXANDER</v>
      </c>
      <c r="EL308" t="str">
        <v>GUTIERREZ ZAMBRANO CARMEN EBELINA</v>
      </c>
      <c r="EM308" t="str">
        <v>INTRIAGO MOLINA GEMA VALERIA</v>
      </c>
      <c r="EN308" t="str">
        <v>LINO VELEZ LEONEL LIVINGTON</v>
      </c>
      <c r="EO308" t="str">
        <v>LOOR ALCIVAR MARIA ILIANA</v>
      </c>
      <c r="EP308" t="str">
        <v>LOOR MIELES TANIA JACQUELINE</v>
      </c>
      <c r="EQ308" t="str">
        <v>LOOR SOLORZANO ROSA MARIA</v>
      </c>
      <c r="ER308" t="str">
        <v>LOPEZ DELGADO RONALD MAURICIO</v>
      </c>
      <c r="ES308" t="str">
        <v>MACIAS VALENCIA DAVID GABRIEL</v>
      </c>
      <c r="ET308" t="str">
        <v>MENDOZA ZAMORA WALTER MANUEL</v>
      </c>
      <c r="EU308" t="str">
        <v>MOLINA CEVALLOS MARIA LORENA</v>
      </c>
      <c r="EV308" t="str">
        <v>MURILLO DELGADO ISAAC GABRIEL</v>
      </c>
      <c r="EW308" t="str">
        <v>ANGULO MURILLO NAVIRA GISSELA</v>
      </c>
      <c r="EX308" t="str">
        <v>OCHOA SOLEDISPA NESTOR IVAN</v>
      </c>
      <c r="EY308" t="str">
        <v>PARRAGA FRANCO SILVANA MARIELA</v>
      </c>
      <c r="EZ308" t="str">
        <v>PINARGOTE VASQUEZ NANCY FABIOLA</v>
      </c>
      <c r="FA308" t="str">
        <v>REYES VELEZ PEDRO ENRIQUE</v>
      </c>
      <c r="FB308" t="str">
        <v>SAN ANDRES HORMAZA DALLAS CECILIA</v>
      </c>
      <c r="FC308" t="str">
        <v>SORNOZA ZAMORA JUAN CARLOS</v>
      </c>
      <c r="FD308" t="str">
        <v>TOMALA PINTO JESUS JACINTO</v>
      </c>
      <c r="FE308" t="str">
        <v>VALLE JARAMILLO SILVIA ARACELY</v>
      </c>
      <c r="FF308" t="str">
        <v>VELÁSQUEZ BRAVO IRMA KATHERINE</v>
      </c>
      <c r="FG308" t="str">
        <v>VELEZ MENDOZA LAYSY VALERIA</v>
      </c>
      <c r="FH308" t="str">
        <v>VINUEZA TELLO SHIRLEY ELIZABETH</v>
      </c>
      <c r="FI308" t="str">
        <v>ZAMBRANO ALCIVAR NILDA ISABEL</v>
      </c>
      <c r="FJ308" t="str">
        <v>ZAMBRANO LOOR RITA MAYDA</v>
      </c>
      <c r="FK308" t="str">
        <v>ZAMBRANO VERA MONICA JANETH</v>
      </c>
      <c r="FL308" t="str">
        <v>VERA DELGADO BRYAN ADRIÁN</v>
      </c>
      <c r="FM308" t="str">
        <v>MORAN GONZALES DAVID RENATO</v>
      </c>
      <c r="FN308">
        <v>0</v>
      </c>
    </row>
    <row r="309" spans="1:170" ht="20.25" customHeight="1">
      <c r="A309" s="4" t="str" cm="1">
        <f t="array" ref="A309">TRANSPOSE(_xlfn.UNIQUE(_xlfn._xlws.FILTER(MAE_ASIGNATURA[ID_NIVEL],MAE_ASIGNATURA[ID_CARRERA]=ASIGNACION!$C309,"No existe información")))</f>
        <v>No existe información</v>
      </c>
      <c r="S309" s="4" t="str" cm="1">
        <f t="array" ref="S309">TRANSPOSE(_xlfn.UNIQUE(_xlfn._xlws.FILTER(MAE_ASIGNATURA[NOM_ASIG],(MAE_ASIGNATURA[ID_NIVEL]=ASIGNACION!$D309)*(MAE_ASIGNATURA[ID_CARRERA]=ASIGNACION!$C309),"No existe información")))</f>
        <v>No existe información</v>
      </c>
      <c r="BD309" s="4" t="str" cm="1">
        <f t="array" ref="BD309">TRANSPOSE(_xlfn.UNIQUE(_xlfn._xlws.FILTER(DET_ASIG[DETALLADO],(DET_ASIG[ID_CARRERA]=ASIGNACION!$C309)*(DET_ASIG[NIVEL]=ASIGNACION!$D309)*(DET_ASIG[ID_ASIG]=ASIGNACION!$G309),"No existe información")))</f>
        <v>No existe información</v>
      </c>
      <c r="BQ309" s="5" t="str" cm="1">
        <f t="array" ref="BQ309">IFERROR(
    TRANSPOSE(
        _xlfn.UNIQUE(
            _xlfn._xlws.FILTER(MAESTRIA_DETALLADO[MAESTRIA],
                ISNUMBER(MATCH(MAESTRIA_DETALLADO[CAMPO_DETALLADO],
                BD309:BP309,0))
            )
        )
    ),IF(BD309="ACTIVIDAD","DOCENCIA",""))</f>
        <v/>
      </c>
      <c r="EA309" s="5" t="str" cm="1">
        <f t="array" ref="EA309:FN309">IF(
    ASIGNACION!I309="SI",
    IFERROR(
        TRANSPOSE(
            _xlfn.UNIQUE(
                _xlfn._xlws.FILTER(EDU_DOCENTE[NOMBRE_DOCENTE],
                    ISNUMBER(MATCH(EDU_DOCENTE[MAESTRIA],
                    BQ309:DY309,0))
                )
            )
        ),
        ""
    ),
    TRANSPOSE(
        _xlfn.UNIQUE(EDU_DOCENTE[NOMBRE_DOCENTE]
        )
    )
)</f>
        <v>ALCIVAR CEDEÑO BEATRIZ ISABEL</v>
      </c>
      <c r="EB309" t="str">
        <v>ALCIVAR VERA GEMA MICHELLE</v>
      </c>
      <c r="EC309" t="str">
        <v>ARAUZ CHAVEZ MARIO ROBERTO</v>
      </c>
      <c r="ED309" t="str">
        <v>BAILON LOURIDO WALTER ALBERTO</v>
      </c>
      <c r="EE309" t="str">
        <v>CALDERERO VILLAGOMEZ ERICK ANTONIO</v>
      </c>
      <c r="EF309" t="str">
        <v>CASTILLO GARCIA PAOLA GERMANIA</v>
      </c>
      <c r="EG309" t="str">
        <v>CEDEÑO CHOEZ PEDRO JAVIER</v>
      </c>
      <c r="EH309" t="str">
        <v>CEVALLOS HOPPE JUAN CARLOS</v>
      </c>
      <c r="EI309" t="str">
        <v>DELGADO CHAVEZ MARIA IRASEMA</v>
      </c>
      <c r="EJ309" t="str">
        <v>DUARTE VALENCIA CRISTHIAN DARIO</v>
      </c>
      <c r="EK309" t="str">
        <v>FORTTY BARBERAN DENNY ALEXANDER</v>
      </c>
      <c r="EL309" t="str">
        <v>GUTIERREZ ZAMBRANO CARMEN EBELINA</v>
      </c>
      <c r="EM309" t="str">
        <v>INTRIAGO MOLINA GEMA VALERIA</v>
      </c>
      <c r="EN309" t="str">
        <v>LINO VELEZ LEONEL LIVINGTON</v>
      </c>
      <c r="EO309" t="str">
        <v>LOOR ALCIVAR MARIA ILIANA</v>
      </c>
      <c r="EP309" t="str">
        <v>LOOR MIELES TANIA JACQUELINE</v>
      </c>
      <c r="EQ309" t="str">
        <v>LOOR SOLORZANO ROSA MARIA</v>
      </c>
      <c r="ER309" t="str">
        <v>LOPEZ DELGADO RONALD MAURICIO</v>
      </c>
      <c r="ES309" t="str">
        <v>MACIAS VALENCIA DAVID GABRIEL</v>
      </c>
      <c r="ET309" t="str">
        <v>MENDOZA ZAMORA WALTER MANUEL</v>
      </c>
      <c r="EU309" t="str">
        <v>MOLINA CEVALLOS MARIA LORENA</v>
      </c>
      <c r="EV309" t="str">
        <v>MURILLO DELGADO ISAAC GABRIEL</v>
      </c>
      <c r="EW309" t="str">
        <v>ANGULO MURILLO NAVIRA GISSELA</v>
      </c>
      <c r="EX309" t="str">
        <v>OCHOA SOLEDISPA NESTOR IVAN</v>
      </c>
      <c r="EY309" t="str">
        <v>PARRAGA FRANCO SILVANA MARIELA</v>
      </c>
      <c r="EZ309" t="str">
        <v>PINARGOTE VASQUEZ NANCY FABIOLA</v>
      </c>
      <c r="FA309" t="str">
        <v>REYES VELEZ PEDRO ENRIQUE</v>
      </c>
      <c r="FB309" t="str">
        <v>SAN ANDRES HORMAZA DALLAS CECILIA</v>
      </c>
      <c r="FC309" t="str">
        <v>SORNOZA ZAMORA JUAN CARLOS</v>
      </c>
      <c r="FD309" t="str">
        <v>TOMALA PINTO JESUS JACINTO</v>
      </c>
      <c r="FE309" t="str">
        <v>VALLE JARAMILLO SILVIA ARACELY</v>
      </c>
      <c r="FF309" t="str">
        <v>VELÁSQUEZ BRAVO IRMA KATHERINE</v>
      </c>
      <c r="FG309" t="str">
        <v>VELEZ MENDOZA LAYSY VALERIA</v>
      </c>
      <c r="FH309" t="str">
        <v>VINUEZA TELLO SHIRLEY ELIZABETH</v>
      </c>
      <c r="FI309" t="str">
        <v>ZAMBRANO ALCIVAR NILDA ISABEL</v>
      </c>
      <c r="FJ309" t="str">
        <v>ZAMBRANO LOOR RITA MAYDA</v>
      </c>
      <c r="FK309" t="str">
        <v>ZAMBRANO VERA MONICA JANETH</v>
      </c>
      <c r="FL309" t="str">
        <v>VERA DELGADO BRYAN ADRIÁN</v>
      </c>
      <c r="FM309" t="str">
        <v>MORAN GONZALES DAVID RENATO</v>
      </c>
      <c r="FN309">
        <v>0</v>
      </c>
    </row>
    <row r="310" spans="1:170" ht="20.25" customHeight="1">
      <c r="A310" s="4" t="str" cm="1">
        <f t="array" ref="A310">TRANSPOSE(_xlfn.UNIQUE(_xlfn._xlws.FILTER(MAE_ASIGNATURA[ID_NIVEL],MAE_ASIGNATURA[ID_CARRERA]=ASIGNACION!$C310,"No existe información")))</f>
        <v>No existe información</v>
      </c>
      <c r="S310" s="4" t="str" cm="1">
        <f t="array" ref="S310">TRANSPOSE(_xlfn.UNIQUE(_xlfn._xlws.FILTER(MAE_ASIGNATURA[NOM_ASIG],(MAE_ASIGNATURA[ID_NIVEL]=ASIGNACION!$D310)*(MAE_ASIGNATURA[ID_CARRERA]=ASIGNACION!$C310),"No existe información")))</f>
        <v>No existe información</v>
      </c>
      <c r="BD310" s="4" t="str" cm="1">
        <f t="array" ref="BD310">TRANSPOSE(_xlfn.UNIQUE(_xlfn._xlws.FILTER(DET_ASIG[DETALLADO],(DET_ASIG[ID_CARRERA]=ASIGNACION!$C310)*(DET_ASIG[NIVEL]=ASIGNACION!$D310)*(DET_ASIG[ID_ASIG]=ASIGNACION!$G310),"No existe información")))</f>
        <v>No existe información</v>
      </c>
      <c r="BQ310" s="5" t="str" cm="1">
        <f t="array" ref="BQ310">IFERROR(
    TRANSPOSE(
        _xlfn.UNIQUE(
            _xlfn._xlws.FILTER(MAESTRIA_DETALLADO[MAESTRIA],
                ISNUMBER(MATCH(MAESTRIA_DETALLADO[CAMPO_DETALLADO],
                BD310:BP310,0))
            )
        )
    ),IF(BD310="ACTIVIDAD","DOCENCIA",""))</f>
        <v/>
      </c>
      <c r="EA310" s="5" t="str" cm="1">
        <f t="array" ref="EA310:FN310">IF(
    ASIGNACION!I310="SI",
    IFERROR(
        TRANSPOSE(
            _xlfn.UNIQUE(
                _xlfn._xlws.FILTER(EDU_DOCENTE[NOMBRE_DOCENTE],
                    ISNUMBER(MATCH(EDU_DOCENTE[MAESTRIA],
                    BQ310:DY310,0))
                )
            )
        ),
        ""
    ),
    TRANSPOSE(
        _xlfn.UNIQUE(EDU_DOCENTE[NOMBRE_DOCENTE]
        )
    )
)</f>
        <v>ALCIVAR CEDEÑO BEATRIZ ISABEL</v>
      </c>
      <c r="EB310" t="str">
        <v>ALCIVAR VERA GEMA MICHELLE</v>
      </c>
      <c r="EC310" t="str">
        <v>ARAUZ CHAVEZ MARIO ROBERTO</v>
      </c>
      <c r="ED310" t="str">
        <v>BAILON LOURIDO WALTER ALBERTO</v>
      </c>
      <c r="EE310" t="str">
        <v>CALDERERO VILLAGOMEZ ERICK ANTONIO</v>
      </c>
      <c r="EF310" t="str">
        <v>CASTILLO GARCIA PAOLA GERMANIA</v>
      </c>
      <c r="EG310" t="str">
        <v>CEDEÑO CHOEZ PEDRO JAVIER</v>
      </c>
      <c r="EH310" t="str">
        <v>CEVALLOS HOPPE JUAN CARLOS</v>
      </c>
      <c r="EI310" t="str">
        <v>DELGADO CHAVEZ MARIA IRASEMA</v>
      </c>
      <c r="EJ310" t="str">
        <v>DUARTE VALENCIA CRISTHIAN DARIO</v>
      </c>
      <c r="EK310" t="str">
        <v>FORTTY BARBERAN DENNY ALEXANDER</v>
      </c>
      <c r="EL310" t="str">
        <v>GUTIERREZ ZAMBRANO CARMEN EBELINA</v>
      </c>
      <c r="EM310" t="str">
        <v>INTRIAGO MOLINA GEMA VALERIA</v>
      </c>
      <c r="EN310" t="str">
        <v>LINO VELEZ LEONEL LIVINGTON</v>
      </c>
      <c r="EO310" t="str">
        <v>LOOR ALCIVAR MARIA ILIANA</v>
      </c>
      <c r="EP310" t="str">
        <v>LOOR MIELES TANIA JACQUELINE</v>
      </c>
      <c r="EQ310" t="str">
        <v>LOOR SOLORZANO ROSA MARIA</v>
      </c>
      <c r="ER310" t="str">
        <v>LOPEZ DELGADO RONALD MAURICIO</v>
      </c>
      <c r="ES310" t="str">
        <v>MACIAS VALENCIA DAVID GABRIEL</v>
      </c>
      <c r="ET310" t="str">
        <v>MENDOZA ZAMORA WALTER MANUEL</v>
      </c>
      <c r="EU310" t="str">
        <v>MOLINA CEVALLOS MARIA LORENA</v>
      </c>
      <c r="EV310" t="str">
        <v>MURILLO DELGADO ISAAC GABRIEL</v>
      </c>
      <c r="EW310" t="str">
        <v>ANGULO MURILLO NAVIRA GISSELA</v>
      </c>
      <c r="EX310" t="str">
        <v>OCHOA SOLEDISPA NESTOR IVAN</v>
      </c>
      <c r="EY310" t="str">
        <v>PARRAGA FRANCO SILVANA MARIELA</v>
      </c>
      <c r="EZ310" t="str">
        <v>PINARGOTE VASQUEZ NANCY FABIOLA</v>
      </c>
      <c r="FA310" t="str">
        <v>REYES VELEZ PEDRO ENRIQUE</v>
      </c>
      <c r="FB310" t="str">
        <v>SAN ANDRES HORMAZA DALLAS CECILIA</v>
      </c>
      <c r="FC310" t="str">
        <v>SORNOZA ZAMORA JUAN CARLOS</v>
      </c>
      <c r="FD310" t="str">
        <v>TOMALA PINTO JESUS JACINTO</v>
      </c>
      <c r="FE310" t="str">
        <v>VALLE JARAMILLO SILVIA ARACELY</v>
      </c>
      <c r="FF310" t="str">
        <v>VELÁSQUEZ BRAVO IRMA KATHERINE</v>
      </c>
      <c r="FG310" t="str">
        <v>VELEZ MENDOZA LAYSY VALERIA</v>
      </c>
      <c r="FH310" t="str">
        <v>VINUEZA TELLO SHIRLEY ELIZABETH</v>
      </c>
      <c r="FI310" t="str">
        <v>ZAMBRANO ALCIVAR NILDA ISABEL</v>
      </c>
      <c r="FJ310" t="str">
        <v>ZAMBRANO LOOR RITA MAYDA</v>
      </c>
      <c r="FK310" t="str">
        <v>ZAMBRANO VERA MONICA JANETH</v>
      </c>
      <c r="FL310" t="str">
        <v>VERA DELGADO BRYAN ADRIÁN</v>
      </c>
      <c r="FM310" t="str">
        <v>MORAN GONZALES DAVID RENATO</v>
      </c>
      <c r="FN310">
        <v>0</v>
      </c>
    </row>
    <row r="311" spans="1:170" ht="20.25" customHeight="1">
      <c r="A311" s="4" t="str" cm="1">
        <f t="array" ref="A311">TRANSPOSE(_xlfn.UNIQUE(_xlfn._xlws.FILTER(MAE_ASIGNATURA[ID_NIVEL],MAE_ASIGNATURA[ID_CARRERA]=ASIGNACION!$C311,"No existe información")))</f>
        <v>No existe información</v>
      </c>
      <c r="S311" s="4" t="str" cm="1">
        <f t="array" ref="S311">TRANSPOSE(_xlfn.UNIQUE(_xlfn._xlws.FILTER(MAE_ASIGNATURA[NOM_ASIG],(MAE_ASIGNATURA[ID_NIVEL]=ASIGNACION!$D311)*(MAE_ASIGNATURA[ID_CARRERA]=ASIGNACION!$C311),"No existe información")))</f>
        <v>No existe información</v>
      </c>
      <c r="BD311" s="4" t="str" cm="1">
        <f t="array" ref="BD311">TRANSPOSE(_xlfn.UNIQUE(_xlfn._xlws.FILTER(DET_ASIG[DETALLADO],(DET_ASIG[ID_CARRERA]=ASIGNACION!$C311)*(DET_ASIG[NIVEL]=ASIGNACION!$D311)*(DET_ASIG[ID_ASIG]=ASIGNACION!$G311),"No existe información")))</f>
        <v>No existe información</v>
      </c>
      <c r="BQ311" s="5" t="str" cm="1">
        <f t="array" ref="BQ311">IFERROR(
    TRANSPOSE(
        _xlfn.UNIQUE(
            _xlfn._xlws.FILTER(MAESTRIA_DETALLADO[MAESTRIA],
                ISNUMBER(MATCH(MAESTRIA_DETALLADO[CAMPO_DETALLADO],
                BD311:BP311,0))
            )
        )
    ),IF(BD311="ACTIVIDAD","DOCENCIA",""))</f>
        <v/>
      </c>
      <c r="EA311" s="5" t="str" cm="1">
        <f t="array" ref="EA311:FN311">IF(
    ASIGNACION!I311="SI",
    IFERROR(
        TRANSPOSE(
            _xlfn.UNIQUE(
                _xlfn._xlws.FILTER(EDU_DOCENTE[NOMBRE_DOCENTE],
                    ISNUMBER(MATCH(EDU_DOCENTE[MAESTRIA],
                    BQ311:DY311,0))
                )
            )
        ),
        ""
    ),
    TRANSPOSE(
        _xlfn.UNIQUE(EDU_DOCENTE[NOMBRE_DOCENTE]
        )
    )
)</f>
        <v>ALCIVAR CEDEÑO BEATRIZ ISABEL</v>
      </c>
      <c r="EB311" t="str">
        <v>ALCIVAR VERA GEMA MICHELLE</v>
      </c>
      <c r="EC311" t="str">
        <v>ARAUZ CHAVEZ MARIO ROBERTO</v>
      </c>
      <c r="ED311" t="str">
        <v>BAILON LOURIDO WALTER ALBERTO</v>
      </c>
      <c r="EE311" t="str">
        <v>CALDERERO VILLAGOMEZ ERICK ANTONIO</v>
      </c>
      <c r="EF311" t="str">
        <v>CASTILLO GARCIA PAOLA GERMANIA</v>
      </c>
      <c r="EG311" t="str">
        <v>CEDEÑO CHOEZ PEDRO JAVIER</v>
      </c>
      <c r="EH311" t="str">
        <v>CEVALLOS HOPPE JUAN CARLOS</v>
      </c>
      <c r="EI311" t="str">
        <v>DELGADO CHAVEZ MARIA IRASEMA</v>
      </c>
      <c r="EJ311" t="str">
        <v>DUARTE VALENCIA CRISTHIAN DARIO</v>
      </c>
      <c r="EK311" t="str">
        <v>FORTTY BARBERAN DENNY ALEXANDER</v>
      </c>
      <c r="EL311" t="str">
        <v>GUTIERREZ ZAMBRANO CARMEN EBELINA</v>
      </c>
      <c r="EM311" t="str">
        <v>INTRIAGO MOLINA GEMA VALERIA</v>
      </c>
      <c r="EN311" t="str">
        <v>LINO VELEZ LEONEL LIVINGTON</v>
      </c>
      <c r="EO311" t="str">
        <v>LOOR ALCIVAR MARIA ILIANA</v>
      </c>
      <c r="EP311" t="str">
        <v>LOOR MIELES TANIA JACQUELINE</v>
      </c>
      <c r="EQ311" t="str">
        <v>LOOR SOLORZANO ROSA MARIA</v>
      </c>
      <c r="ER311" t="str">
        <v>LOPEZ DELGADO RONALD MAURICIO</v>
      </c>
      <c r="ES311" t="str">
        <v>MACIAS VALENCIA DAVID GABRIEL</v>
      </c>
      <c r="ET311" t="str">
        <v>MENDOZA ZAMORA WALTER MANUEL</v>
      </c>
      <c r="EU311" t="str">
        <v>MOLINA CEVALLOS MARIA LORENA</v>
      </c>
      <c r="EV311" t="str">
        <v>MURILLO DELGADO ISAAC GABRIEL</v>
      </c>
      <c r="EW311" t="str">
        <v>ANGULO MURILLO NAVIRA GISSELA</v>
      </c>
      <c r="EX311" t="str">
        <v>OCHOA SOLEDISPA NESTOR IVAN</v>
      </c>
      <c r="EY311" t="str">
        <v>PARRAGA FRANCO SILVANA MARIELA</v>
      </c>
      <c r="EZ311" t="str">
        <v>PINARGOTE VASQUEZ NANCY FABIOLA</v>
      </c>
      <c r="FA311" t="str">
        <v>REYES VELEZ PEDRO ENRIQUE</v>
      </c>
      <c r="FB311" t="str">
        <v>SAN ANDRES HORMAZA DALLAS CECILIA</v>
      </c>
      <c r="FC311" t="str">
        <v>SORNOZA ZAMORA JUAN CARLOS</v>
      </c>
      <c r="FD311" t="str">
        <v>TOMALA PINTO JESUS JACINTO</v>
      </c>
      <c r="FE311" t="str">
        <v>VALLE JARAMILLO SILVIA ARACELY</v>
      </c>
      <c r="FF311" t="str">
        <v>VELÁSQUEZ BRAVO IRMA KATHERINE</v>
      </c>
      <c r="FG311" t="str">
        <v>VELEZ MENDOZA LAYSY VALERIA</v>
      </c>
      <c r="FH311" t="str">
        <v>VINUEZA TELLO SHIRLEY ELIZABETH</v>
      </c>
      <c r="FI311" t="str">
        <v>ZAMBRANO ALCIVAR NILDA ISABEL</v>
      </c>
      <c r="FJ311" t="str">
        <v>ZAMBRANO LOOR RITA MAYDA</v>
      </c>
      <c r="FK311" t="str">
        <v>ZAMBRANO VERA MONICA JANETH</v>
      </c>
      <c r="FL311" t="str">
        <v>VERA DELGADO BRYAN ADRIÁN</v>
      </c>
      <c r="FM311" t="str">
        <v>MORAN GONZALES DAVID RENATO</v>
      </c>
      <c r="FN311">
        <v>0</v>
      </c>
    </row>
    <row r="312" spans="1:170" ht="20.25" customHeight="1">
      <c r="A312" s="4" t="str" cm="1">
        <f t="array" ref="A312">TRANSPOSE(_xlfn.UNIQUE(_xlfn._xlws.FILTER(MAE_ASIGNATURA[ID_NIVEL],MAE_ASIGNATURA[ID_CARRERA]=ASIGNACION!$C312,"No existe información")))</f>
        <v>No existe información</v>
      </c>
      <c r="S312" s="4" t="str" cm="1">
        <f t="array" ref="S312">TRANSPOSE(_xlfn.UNIQUE(_xlfn._xlws.FILTER(MAE_ASIGNATURA[NOM_ASIG],(MAE_ASIGNATURA[ID_NIVEL]=ASIGNACION!$D312)*(MAE_ASIGNATURA[ID_CARRERA]=ASIGNACION!$C312),"No existe información")))</f>
        <v>No existe información</v>
      </c>
      <c r="BD312" s="4" t="str" cm="1">
        <f t="array" ref="BD312">TRANSPOSE(_xlfn.UNIQUE(_xlfn._xlws.FILTER(DET_ASIG[DETALLADO],(DET_ASIG[ID_CARRERA]=ASIGNACION!$C312)*(DET_ASIG[NIVEL]=ASIGNACION!$D312)*(DET_ASIG[ID_ASIG]=ASIGNACION!$G312),"No existe información")))</f>
        <v>No existe información</v>
      </c>
      <c r="BQ312" s="5" t="str" cm="1">
        <f t="array" ref="BQ312">IFERROR(
    TRANSPOSE(
        _xlfn.UNIQUE(
            _xlfn._xlws.FILTER(MAESTRIA_DETALLADO[MAESTRIA],
                ISNUMBER(MATCH(MAESTRIA_DETALLADO[CAMPO_DETALLADO],
                BD312:BP312,0))
            )
        )
    ),IF(BD312="ACTIVIDAD","DOCENCIA",""))</f>
        <v/>
      </c>
      <c r="EA312" s="5" t="str" cm="1">
        <f t="array" ref="EA312:FN312">IF(
    ASIGNACION!I312="SI",
    IFERROR(
        TRANSPOSE(
            _xlfn.UNIQUE(
                _xlfn._xlws.FILTER(EDU_DOCENTE[NOMBRE_DOCENTE],
                    ISNUMBER(MATCH(EDU_DOCENTE[MAESTRIA],
                    BQ312:DY312,0))
                )
            )
        ),
        ""
    ),
    TRANSPOSE(
        _xlfn.UNIQUE(EDU_DOCENTE[NOMBRE_DOCENTE]
        )
    )
)</f>
        <v>ALCIVAR CEDEÑO BEATRIZ ISABEL</v>
      </c>
      <c r="EB312" t="str">
        <v>ALCIVAR VERA GEMA MICHELLE</v>
      </c>
      <c r="EC312" t="str">
        <v>ARAUZ CHAVEZ MARIO ROBERTO</v>
      </c>
      <c r="ED312" t="str">
        <v>BAILON LOURIDO WALTER ALBERTO</v>
      </c>
      <c r="EE312" t="str">
        <v>CALDERERO VILLAGOMEZ ERICK ANTONIO</v>
      </c>
      <c r="EF312" t="str">
        <v>CASTILLO GARCIA PAOLA GERMANIA</v>
      </c>
      <c r="EG312" t="str">
        <v>CEDEÑO CHOEZ PEDRO JAVIER</v>
      </c>
      <c r="EH312" t="str">
        <v>CEVALLOS HOPPE JUAN CARLOS</v>
      </c>
      <c r="EI312" t="str">
        <v>DELGADO CHAVEZ MARIA IRASEMA</v>
      </c>
      <c r="EJ312" t="str">
        <v>DUARTE VALENCIA CRISTHIAN DARIO</v>
      </c>
      <c r="EK312" t="str">
        <v>FORTTY BARBERAN DENNY ALEXANDER</v>
      </c>
      <c r="EL312" t="str">
        <v>GUTIERREZ ZAMBRANO CARMEN EBELINA</v>
      </c>
      <c r="EM312" t="str">
        <v>INTRIAGO MOLINA GEMA VALERIA</v>
      </c>
      <c r="EN312" t="str">
        <v>LINO VELEZ LEONEL LIVINGTON</v>
      </c>
      <c r="EO312" t="str">
        <v>LOOR ALCIVAR MARIA ILIANA</v>
      </c>
      <c r="EP312" t="str">
        <v>LOOR MIELES TANIA JACQUELINE</v>
      </c>
      <c r="EQ312" t="str">
        <v>LOOR SOLORZANO ROSA MARIA</v>
      </c>
      <c r="ER312" t="str">
        <v>LOPEZ DELGADO RONALD MAURICIO</v>
      </c>
      <c r="ES312" t="str">
        <v>MACIAS VALENCIA DAVID GABRIEL</v>
      </c>
      <c r="ET312" t="str">
        <v>MENDOZA ZAMORA WALTER MANUEL</v>
      </c>
      <c r="EU312" t="str">
        <v>MOLINA CEVALLOS MARIA LORENA</v>
      </c>
      <c r="EV312" t="str">
        <v>MURILLO DELGADO ISAAC GABRIEL</v>
      </c>
      <c r="EW312" t="str">
        <v>ANGULO MURILLO NAVIRA GISSELA</v>
      </c>
      <c r="EX312" t="str">
        <v>OCHOA SOLEDISPA NESTOR IVAN</v>
      </c>
      <c r="EY312" t="str">
        <v>PARRAGA FRANCO SILVANA MARIELA</v>
      </c>
      <c r="EZ312" t="str">
        <v>PINARGOTE VASQUEZ NANCY FABIOLA</v>
      </c>
      <c r="FA312" t="str">
        <v>REYES VELEZ PEDRO ENRIQUE</v>
      </c>
      <c r="FB312" t="str">
        <v>SAN ANDRES HORMAZA DALLAS CECILIA</v>
      </c>
      <c r="FC312" t="str">
        <v>SORNOZA ZAMORA JUAN CARLOS</v>
      </c>
      <c r="FD312" t="str">
        <v>TOMALA PINTO JESUS JACINTO</v>
      </c>
      <c r="FE312" t="str">
        <v>VALLE JARAMILLO SILVIA ARACELY</v>
      </c>
      <c r="FF312" t="str">
        <v>VELÁSQUEZ BRAVO IRMA KATHERINE</v>
      </c>
      <c r="FG312" t="str">
        <v>VELEZ MENDOZA LAYSY VALERIA</v>
      </c>
      <c r="FH312" t="str">
        <v>VINUEZA TELLO SHIRLEY ELIZABETH</v>
      </c>
      <c r="FI312" t="str">
        <v>ZAMBRANO ALCIVAR NILDA ISABEL</v>
      </c>
      <c r="FJ312" t="str">
        <v>ZAMBRANO LOOR RITA MAYDA</v>
      </c>
      <c r="FK312" t="str">
        <v>ZAMBRANO VERA MONICA JANETH</v>
      </c>
      <c r="FL312" t="str">
        <v>VERA DELGADO BRYAN ADRIÁN</v>
      </c>
      <c r="FM312" t="str">
        <v>MORAN GONZALES DAVID RENATO</v>
      </c>
      <c r="FN312">
        <v>0</v>
      </c>
    </row>
    <row r="313" spans="1:170" ht="20.25" customHeight="1">
      <c r="A313" s="4" t="str" cm="1">
        <f t="array" ref="A313">TRANSPOSE(_xlfn.UNIQUE(_xlfn._xlws.FILTER(MAE_ASIGNATURA[ID_NIVEL],MAE_ASIGNATURA[ID_CARRERA]=ASIGNACION!$C313,"No existe información")))</f>
        <v>No existe información</v>
      </c>
      <c r="S313" s="4" t="str" cm="1">
        <f t="array" ref="S313">TRANSPOSE(_xlfn.UNIQUE(_xlfn._xlws.FILTER(MAE_ASIGNATURA[NOM_ASIG],(MAE_ASIGNATURA[ID_NIVEL]=ASIGNACION!$D313)*(MAE_ASIGNATURA[ID_CARRERA]=ASIGNACION!$C313),"No existe información")))</f>
        <v>No existe información</v>
      </c>
      <c r="BD313" s="4" t="str" cm="1">
        <f t="array" ref="BD313">TRANSPOSE(_xlfn.UNIQUE(_xlfn._xlws.FILTER(DET_ASIG[DETALLADO],(DET_ASIG[ID_CARRERA]=ASIGNACION!$C313)*(DET_ASIG[NIVEL]=ASIGNACION!$D313)*(DET_ASIG[ID_ASIG]=ASIGNACION!$G313),"No existe información")))</f>
        <v>No existe información</v>
      </c>
      <c r="BQ313" s="5" t="str" cm="1">
        <f t="array" ref="BQ313">IFERROR(
    TRANSPOSE(
        _xlfn.UNIQUE(
            _xlfn._xlws.FILTER(MAESTRIA_DETALLADO[MAESTRIA],
                ISNUMBER(MATCH(MAESTRIA_DETALLADO[CAMPO_DETALLADO],
                BD313:BP313,0))
            )
        )
    ),IF(BD313="ACTIVIDAD","DOCENCIA",""))</f>
        <v/>
      </c>
      <c r="EA313" s="5" t="str" cm="1">
        <f t="array" ref="EA313:FN313">IF(
    ASIGNACION!I313="SI",
    IFERROR(
        TRANSPOSE(
            _xlfn.UNIQUE(
                _xlfn._xlws.FILTER(EDU_DOCENTE[NOMBRE_DOCENTE],
                    ISNUMBER(MATCH(EDU_DOCENTE[MAESTRIA],
                    BQ313:DY313,0))
                )
            )
        ),
        ""
    ),
    TRANSPOSE(
        _xlfn.UNIQUE(EDU_DOCENTE[NOMBRE_DOCENTE]
        )
    )
)</f>
        <v>ALCIVAR CEDEÑO BEATRIZ ISABEL</v>
      </c>
      <c r="EB313" t="str">
        <v>ALCIVAR VERA GEMA MICHELLE</v>
      </c>
      <c r="EC313" t="str">
        <v>ARAUZ CHAVEZ MARIO ROBERTO</v>
      </c>
      <c r="ED313" t="str">
        <v>BAILON LOURIDO WALTER ALBERTO</v>
      </c>
      <c r="EE313" t="str">
        <v>CALDERERO VILLAGOMEZ ERICK ANTONIO</v>
      </c>
      <c r="EF313" t="str">
        <v>CASTILLO GARCIA PAOLA GERMANIA</v>
      </c>
      <c r="EG313" t="str">
        <v>CEDEÑO CHOEZ PEDRO JAVIER</v>
      </c>
      <c r="EH313" t="str">
        <v>CEVALLOS HOPPE JUAN CARLOS</v>
      </c>
      <c r="EI313" t="str">
        <v>DELGADO CHAVEZ MARIA IRASEMA</v>
      </c>
      <c r="EJ313" t="str">
        <v>DUARTE VALENCIA CRISTHIAN DARIO</v>
      </c>
      <c r="EK313" t="str">
        <v>FORTTY BARBERAN DENNY ALEXANDER</v>
      </c>
      <c r="EL313" t="str">
        <v>GUTIERREZ ZAMBRANO CARMEN EBELINA</v>
      </c>
      <c r="EM313" t="str">
        <v>INTRIAGO MOLINA GEMA VALERIA</v>
      </c>
      <c r="EN313" t="str">
        <v>LINO VELEZ LEONEL LIVINGTON</v>
      </c>
      <c r="EO313" t="str">
        <v>LOOR ALCIVAR MARIA ILIANA</v>
      </c>
      <c r="EP313" t="str">
        <v>LOOR MIELES TANIA JACQUELINE</v>
      </c>
      <c r="EQ313" t="str">
        <v>LOOR SOLORZANO ROSA MARIA</v>
      </c>
      <c r="ER313" t="str">
        <v>LOPEZ DELGADO RONALD MAURICIO</v>
      </c>
      <c r="ES313" t="str">
        <v>MACIAS VALENCIA DAVID GABRIEL</v>
      </c>
      <c r="ET313" t="str">
        <v>MENDOZA ZAMORA WALTER MANUEL</v>
      </c>
      <c r="EU313" t="str">
        <v>MOLINA CEVALLOS MARIA LORENA</v>
      </c>
      <c r="EV313" t="str">
        <v>MURILLO DELGADO ISAAC GABRIEL</v>
      </c>
      <c r="EW313" t="str">
        <v>ANGULO MURILLO NAVIRA GISSELA</v>
      </c>
      <c r="EX313" t="str">
        <v>OCHOA SOLEDISPA NESTOR IVAN</v>
      </c>
      <c r="EY313" t="str">
        <v>PARRAGA FRANCO SILVANA MARIELA</v>
      </c>
      <c r="EZ313" t="str">
        <v>PINARGOTE VASQUEZ NANCY FABIOLA</v>
      </c>
      <c r="FA313" t="str">
        <v>REYES VELEZ PEDRO ENRIQUE</v>
      </c>
      <c r="FB313" t="str">
        <v>SAN ANDRES HORMAZA DALLAS CECILIA</v>
      </c>
      <c r="FC313" t="str">
        <v>SORNOZA ZAMORA JUAN CARLOS</v>
      </c>
      <c r="FD313" t="str">
        <v>TOMALA PINTO JESUS JACINTO</v>
      </c>
      <c r="FE313" t="str">
        <v>VALLE JARAMILLO SILVIA ARACELY</v>
      </c>
      <c r="FF313" t="str">
        <v>VELÁSQUEZ BRAVO IRMA KATHERINE</v>
      </c>
      <c r="FG313" t="str">
        <v>VELEZ MENDOZA LAYSY VALERIA</v>
      </c>
      <c r="FH313" t="str">
        <v>VINUEZA TELLO SHIRLEY ELIZABETH</v>
      </c>
      <c r="FI313" t="str">
        <v>ZAMBRANO ALCIVAR NILDA ISABEL</v>
      </c>
      <c r="FJ313" t="str">
        <v>ZAMBRANO LOOR RITA MAYDA</v>
      </c>
      <c r="FK313" t="str">
        <v>ZAMBRANO VERA MONICA JANETH</v>
      </c>
      <c r="FL313" t="str">
        <v>VERA DELGADO BRYAN ADRIÁN</v>
      </c>
      <c r="FM313" t="str">
        <v>MORAN GONZALES DAVID RENATO</v>
      </c>
      <c r="FN313">
        <v>0</v>
      </c>
    </row>
    <row r="314" spans="1:170" ht="20.25" customHeight="1">
      <c r="A314" s="4" t="str" cm="1">
        <f t="array" ref="A314">TRANSPOSE(_xlfn.UNIQUE(_xlfn._xlws.FILTER(MAE_ASIGNATURA[ID_NIVEL],MAE_ASIGNATURA[ID_CARRERA]=ASIGNACION!$C314,"No existe información")))</f>
        <v>No existe información</v>
      </c>
      <c r="S314" s="4" t="str" cm="1">
        <f t="array" ref="S314">TRANSPOSE(_xlfn.UNIQUE(_xlfn._xlws.FILTER(MAE_ASIGNATURA[NOM_ASIG],(MAE_ASIGNATURA[ID_NIVEL]=ASIGNACION!$D314)*(MAE_ASIGNATURA[ID_CARRERA]=ASIGNACION!$C314),"No existe información")))</f>
        <v>No existe información</v>
      </c>
      <c r="BD314" s="4" t="str" cm="1">
        <f t="array" ref="BD314">TRANSPOSE(_xlfn.UNIQUE(_xlfn._xlws.FILTER(DET_ASIG[DETALLADO],(DET_ASIG[ID_CARRERA]=ASIGNACION!$C314)*(DET_ASIG[NIVEL]=ASIGNACION!$D314)*(DET_ASIG[ID_ASIG]=ASIGNACION!$G314),"No existe información")))</f>
        <v>No existe información</v>
      </c>
      <c r="BQ314" s="5" t="str" cm="1">
        <f t="array" ref="BQ314">IFERROR(
    TRANSPOSE(
        _xlfn.UNIQUE(
            _xlfn._xlws.FILTER(MAESTRIA_DETALLADO[MAESTRIA],
                ISNUMBER(MATCH(MAESTRIA_DETALLADO[CAMPO_DETALLADO],
                BD314:BP314,0))
            )
        )
    ),IF(BD314="ACTIVIDAD","DOCENCIA",""))</f>
        <v/>
      </c>
      <c r="EA314" s="5" t="str" cm="1">
        <f t="array" ref="EA314:FN314">IF(
    ASIGNACION!I314="SI",
    IFERROR(
        TRANSPOSE(
            _xlfn.UNIQUE(
                _xlfn._xlws.FILTER(EDU_DOCENTE[NOMBRE_DOCENTE],
                    ISNUMBER(MATCH(EDU_DOCENTE[MAESTRIA],
                    BQ314:DY314,0))
                )
            )
        ),
        ""
    ),
    TRANSPOSE(
        _xlfn.UNIQUE(EDU_DOCENTE[NOMBRE_DOCENTE]
        )
    )
)</f>
        <v>ALCIVAR CEDEÑO BEATRIZ ISABEL</v>
      </c>
      <c r="EB314" t="str">
        <v>ALCIVAR VERA GEMA MICHELLE</v>
      </c>
      <c r="EC314" t="str">
        <v>ARAUZ CHAVEZ MARIO ROBERTO</v>
      </c>
      <c r="ED314" t="str">
        <v>BAILON LOURIDO WALTER ALBERTO</v>
      </c>
      <c r="EE314" t="str">
        <v>CALDERERO VILLAGOMEZ ERICK ANTONIO</v>
      </c>
      <c r="EF314" t="str">
        <v>CASTILLO GARCIA PAOLA GERMANIA</v>
      </c>
      <c r="EG314" t="str">
        <v>CEDEÑO CHOEZ PEDRO JAVIER</v>
      </c>
      <c r="EH314" t="str">
        <v>CEVALLOS HOPPE JUAN CARLOS</v>
      </c>
      <c r="EI314" t="str">
        <v>DELGADO CHAVEZ MARIA IRASEMA</v>
      </c>
      <c r="EJ314" t="str">
        <v>DUARTE VALENCIA CRISTHIAN DARIO</v>
      </c>
      <c r="EK314" t="str">
        <v>FORTTY BARBERAN DENNY ALEXANDER</v>
      </c>
      <c r="EL314" t="str">
        <v>GUTIERREZ ZAMBRANO CARMEN EBELINA</v>
      </c>
      <c r="EM314" t="str">
        <v>INTRIAGO MOLINA GEMA VALERIA</v>
      </c>
      <c r="EN314" t="str">
        <v>LINO VELEZ LEONEL LIVINGTON</v>
      </c>
      <c r="EO314" t="str">
        <v>LOOR ALCIVAR MARIA ILIANA</v>
      </c>
      <c r="EP314" t="str">
        <v>LOOR MIELES TANIA JACQUELINE</v>
      </c>
      <c r="EQ314" t="str">
        <v>LOOR SOLORZANO ROSA MARIA</v>
      </c>
      <c r="ER314" t="str">
        <v>LOPEZ DELGADO RONALD MAURICIO</v>
      </c>
      <c r="ES314" t="str">
        <v>MACIAS VALENCIA DAVID GABRIEL</v>
      </c>
      <c r="ET314" t="str">
        <v>MENDOZA ZAMORA WALTER MANUEL</v>
      </c>
      <c r="EU314" t="str">
        <v>MOLINA CEVALLOS MARIA LORENA</v>
      </c>
      <c r="EV314" t="str">
        <v>MURILLO DELGADO ISAAC GABRIEL</v>
      </c>
      <c r="EW314" t="str">
        <v>ANGULO MURILLO NAVIRA GISSELA</v>
      </c>
      <c r="EX314" t="str">
        <v>OCHOA SOLEDISPA NESTOR IVAN</v>
      </c>
      <c r="EY314" t="str">
        <v>PARRAGA FRANCO SILVANA MARIELA</v>
      </c>
      <c r="EZ314" t="str">
        <v>PINARGOTE VASQUEZ NANCY FABIOLA</v>
      </c>
      <c r="FA314" t="str">
        <v>REYES VELEZ PEDRO ENRIQUE</v>
      </c>
      <c r="FB314" t="str">
        <v>SAN ANDRES HORMAZA DALLAS CECILIA</v>
      </c>
      <c r="FC314" t="str">
        <v>SORNOZA ZAMORA JUAN CARLOS</v>
      </c>
      <c r="FD314" t="str">
        <v>TOMALA PINTO JESUS JACINTO</v>
      </c>
      <c r="FE314" t="str">
        <v>VALLE JARAMILLO SILVIA ARACELY</v>
      </c>
      <c r="FF314" t="str">
        <v>VELÁSQUEZ BRAVO IRMA KATHERINE</v>
      </c>
      <c r="FG314" t="str">
        <v>VELEZ MENDOZA LAYSY VALERIA</v>
      </c>
      <c r="FH314" t="str">
        <v>VINUEZA TELLO SHIRLEY ELIZABETH</v>
      </c>
      <c r="FI314" t="str">
        <v>ZAMBRANO ALCIVAR NILDA ISABEL</v>
      </c>
      <c r="FJ314" t="str">
        <v>ZAMBRANO LOOR RITA MAYDA</v>
      </c>
      <c r="FK314" t="str">
        <v>ZAMBRANO VERA MONICA JANETH</v>
      </c>
      <c r="FL314" t="str">
        <v>VERA DELGADO BRYAN ADRIÁN</v>
      </c>
      <c r="FM314" t="str">
        <v>MORAN GONZALES DAVID RENATO</v>
      </c>
      <c r="FN314">
        <v>0</v>
      </c>
    </row>
    <row r="315" spans="1:170" ht="20.25" customHeight="1">
      <c r="A315" s="4" t="str" cm="1">
        <f t="array" ref="A315">TRANSPOSE(_xlfn.UNIQUE(_xlfn._xlws.FILTER(MAE_ASIGNATURA[ID_NIVEL],MAE_ASIGNATURA[ID_CARRERA]=ASIGNACION!$C315,"No existe información")))</f>
        <v>No existe información</v>
      </c>
      <c r="S315" s="4" t="str" cm="1">
        <f t="array" ref="S315">TRANSPOSE(_xlfn.UNIQUE(_xlfn._xlws.FILTER(MAE_ASIGNATURA[NOM_ASIG],(MAE_ASIGNATURA[ID_NIVEL]=ASIGNACION!$D315)*(MAE_ASIGNATURA[ID_CARRERA]=ASIGNACION!$C315),"No existe información")))</f>
        <v>No existe información</v>
      </c>
      <c r="BD315" s="4" t="str" cm="1">
        <f t="array" ref="BD315">TRANSPOSE(_xlfn.UNIQUE(_xlfn._xlws.FILTER(DET_ASIG[DETALLADO],(DET_ASIG[ID_CARRERA]=ASIGNACION!$C315)*(DET_ASIG[NIVEL]=ASIGNACION!$D315)*(DET_ASIG[ID_ASIG]=ASIGNACION!$G315),"No existe información")))</f>
        <v>No existe información</v>
      </c>
      <c r="BQ315" s="5" t="str" cm="1">
        <f t="array" ref="BQ315">IFERROR(
    TRANSPOSE(
        _xlfn.UNIQUE(
            _xlfn._xlws.FILTER(MAESTRIA_DETALLADO[MAESTRIA],
                ISNUMBER(MATCH(MAESTRIA_DETALLADO[CAMPO_DETALLADO],
                BD315:BP315,0))
            )
        )
    ),IF(BD315="ACTIVIDAD","DOCENCIA",""))</f>
        <v/>
      </c>
      <c r="EA315" s="5" t="str" cm="1">
        <f t="array" ref="EA315:FN315">IF(
    ASIGNACION!I315="SI",
    IFERROR(
        TRANSPOSE(
            _xlfn.UNIQUE(
                _xlfn._xlws.FILTER(EDU_DOCENTE[NOMBRE_DOCENTE],
                    ISNUMBER(MATCH(EDU_DOCENTE[MAESTRIA],
                    BQ315:DY315,0))
                )
            )
        ),
        ""
    ),
    TRANSPOSE(
        _xlfn.UNIQUE(EDU_DOCENTE[NOMBRE_DOCENTE]
        )
    )
)</f>
        <v>ALCIVAR CEDEÑO BEATRIZ ISABEL</v>
      </c>
      <c r="EB315" t="str">
        <v>ALCIVAR VERA GEMA MICHELLE</v>
      </c>
      <c r="EC315" t="str">
        <v>ARAUZ CHAVEZ MARIO ROBERTO</v>
      </c>
      <c r="ED315" t="str">
        <v>BAILON LOURIDO WALTER ALBERTO</v>
      </c>
      <c r="EE315" t="str">
        <v>CALDERERO VILLAGOMEZ ERICK ANTONIO</v>
      </c>
      <c r="EF315" t="str">
        <v>CASTILLO GARCIA PAOLA GERMANIA</v>
      </c>
      <c r="EG315" t="str">
        <v>CEDEÑO CHOEZ PEDRO JAVIER</v>
      </c>
      <c r="EH315" t="str">
        <v>CEVALLOS HOPPE JUAN CARLOS</v>
      </c>
      <c r="EI315" t="str">
        <v>DELGADO CHAVEZ MARIA IRASEMA</v>
      </c>
      <c r="EJ315" t="str">
        <v>DUARTE VALENCIA CRISTHIAN DARIO</v>
      </c>
      <c r="EK315" t="str">
        <v>FORTTY BARBERAN DENNY ALEXANDER</v>
      </c>
      <c r="EL315" t="str">
        <v>GUTIERREZ ZAMBRANO CARMEN EBELINA</v>
      </c>
      <c r="EM315" t="str">
        <v>INTRIAGO MOLINA GEMA VALERIA</v>
      </c>
      <c r="EN315" t="str">
        <v>LINO VELEZ LEONEL LIVINGTON</v>
      </c>
      <c r="EO315" t="str">
        <v>LOOR ALCIVAR MARIA ILIANA</v>
      </c>
      <c r="EP315" t="str">
        <v>LOOR MIELES TANIA JACQUELINE</v>
      </c>
      <c r="EQ315" t="str">
        <v>LOOR SOLORZANO ROSA MARIA</v>
      </c>
      <c r="ER315" t="str">
        <v>LOPEZ DELGADO RONALD MAURICIO</v>
      </c>
      <c r="ES315" t="str">
        <v>MACIAS VALENCIA DAVID GABRIEL</v>
      </c>
      <c r="ET315" t="str">
        <v>MENDOZA ZAMORA WALTER MANUEL</v>
      </c>
      <c r="EU315" t="str">
        <v>MOLINA CEVALLOS MARIA LORENA</v>
      </c>
      <c r="EV315" t="str">
        <v>MURILLO DELGADO ISAAC GABRIEL</v>
      </c>
      <c r="EW315" t="str">
        <v>ANGULO MURILLO NAVIRA GISSELA</v>
      </c>
      <c r="EX315" t="str">
        <v>OCHOA SOLEDISPA NESTOR IVAN</v>
      </c>
      <c r="EY315" t="str">
        <v>PARRAGA FRANCO SILVANA MARIELA</v>
      </c>
      <c r="EZ315" t="str">
        <v>PINARGOTE VASQUEZ NANCY FABIOLA</v>
      </c>
      <c r="FA315" t="str">
        <v>REYES VELEZ PEDRO ENRIQUE</v>
      </c>
      <c r="FB315" t="str">
        <v>SAN ANDRES HORMAZA DALLAS CECILIA</v>
      </c>
      <c r="FC315" t="str">
        <v>SORNOZA ZAMORA JUAN CARLOS</v>
      </c>
      <c r="FD315" t="str">
        <v>TOMALA PINTO JESUS JACINTO</v>
      </c>
      <c r="FE315" t="str">
        <v>VALLE JARAMILLO SILVIA ARACELY</v>
      </c>
      <c r="FF315" t="str">
        <v>VELÁSQUEZ BRAVO IRMA KATHERINE</v>
      </c>
      <c r="FG315" t="str">
        <v>VELEZ MENDOZA LAYSY VALERIA</v>
      </c>
      <c r="FH315" t="str">
        <v>VINUEZA TELLO SHIRLEY ELIZABETH</v>
      </c>
      <c r="FI315" t="str">
        <v>ZAMBRANO ALCIVAR NILDA ISABEL</v>
      </c>
      <c r="FJ315" t="str">
        <v>ZAMBRANO LOOR RITA MAYDA</v>
      </c>
      <c r="FK315" t="str">
        <v>ZAMBRANO VERA MONICA JANETH</v>
      </c>
      <c r="FL315" t="str">
        <v>VERA DELGADO BRYAN ADRIÁN</v>
      </c>
      <c r="FM315" t="str">
        <v>MORAN GONZALES DAVID RENATO</v>
      </c>
      <c r="FN315">
        <v>0</v>
      </c>
    </row>
    <row r="316" spans="1:170" ht="20.25" customHeight="1">
      <c r="A316" s="4" t="str" cm="1">
        <f t="array" ref="A316">TRANSPOSE(_xlfn.UNIQUE(_xlfn._xlws.FILTER(MAE_ASIGNATURA[ID_NIVEL],MAE_ASIGNATURA[ID_CARRERA]=ASIGNACION!$C316,"No existe información")))</f>
        <v>No existe información</v>
      </c>
      <c r="S316" s="4" t="str" cm="1">
        <f t="array" ref="S316">TRANSPOSE(_xlfn.UNIQUE(_xlfn._xlws.FILTER(MAE_ASIGNATURA[NOM_ASIG],(MAE_ASIGNATURA[ID_NIVEL]=ASIGNACION!$D316)*(MAE_ASIGNATURA[ID_CARRERA]=ASIGNACION!$C316),"No existe información")))</f>
        <v>No existe información</v>
      </c>
      <c r="BD316" s="4" t="str" cm="1">
        <f t="array" ref="BD316">TRANSPOSE(_xlfn.UNIQUE(_xlfn._xlws.FILTER(DET_ASIG[DETALLADO],(DET_ASIG[ID_CARRERA]=ASIGNACION!$C316)*(DET_ASIG[NIVEL]=ASIGNACION!$D316)*(DET_ASIG[ID_ASIG]=ASIGNACION!$G316),"No existe información")))</f>
        <v>No existe información</v>
      </c>
      <c r="BQ316" s="5" t="str" cm="1">
        <f t="array" ref="BQ316">IFERROR(
    TRANSPOSE(
        _xlfn.UNIQUE(
            _xlfn._xlws.FILTER(MAESTRIA_DETALLADO[MAESTRIA],
                ISNUMBER(MATCH(MAESTRIA_DETALLADO[CAMPO_DETALLADO],
                BD316:BP316,0))
            )
        )
    ),IF(BD316="ACTIVIDAD","DOCENCIA",""))</f>
        <v/>
      </c>
      <c r="EA316" s="5" t="str" cm="1">
        <f t="array" ref="EA316:FN316">IF(
    ASIGNACION!I316="SI",
    IFERROR(
        TRANSPOSE(
            _xlfn.UNIQUE(
                _xlfn._xlws.FILTER(EDU_DOCENTE[NOMBRE_DOCENTE],
                    ISNUMBER(MATCH(EDU_DOCENTE[MAESTRIA],
                    BQ316:DY316,0))
                )
            )
        ),
        ""
    ),
    TRANSPOSE(
        _xlfn.UNIQUE(EDU_DOCENTE[NOMBRE_DOCENTE]
        )
    )
)</f>
        <v>ALCIVAR CEDEÑO BEATRIZ ISABEL</v>
      </c>
      <c r="EB316" t="str">
        <v>ALCIVAR VERA GEMA MICHELLE</v>
      </c>
      <c r="EC316" t="str">
        <v>ARAUZ CHAVEZ MARIO ROBERTO</v>
      </c>
      <c r="ED316" t="str">
        <v>BAILON LOURIDO WALTER ALBERTO</v>
      </c>
      <c r="EE316" t="str">
        <v>CALDERERO VILLAGOMEZ ERICK ANTONIO</v>
      </c>
      <c r="EF316" t="str">
        <v>CASTILLO GARCIA PAOLA GERMANIA</v>
      </c>
      <c r="EG316" t="str">
        <v>CEDEÑO CHOEZ PEDRO JAVIER</v>
      </c>
      <c r="EH316" t="str">
        <v>CEVALLOS HOPPE JUAN CARLOS</v>
      </c>
      <c r="EI316" t="str">
        <v>DELGADO CHAVEZ MARIA IRASEMA</v>
      </c>
      <c r="EJ316" t="str">
        <v>DUARTE VALENCIA CRISTHIAN DARIO</v>
      </c>
      <c r="EK316" t="str">
        <v>FORTTY BARBERAN DENNY ALEXANDER</v>
      </c>
      <c r="EL316" t="str">
        <v>GUTIERREZ ZAMBRANO CARMEN EBELINA</v>
      </c>
      <c r="EM316" t="str">
        <v>INTRIAGO MOLINA GEMA VALERIA</v>
      </c>
      <c r="EN316" t="str">
        <v>LINO VELEZ LEONEL LIVINGTON</v>
      </c>
      <c r="EO316" t="str">
        <v>LOOR ALCIVAR MARIA ILIANA</v>
      </c>
      <c r="EP316" t="str">
        <v>LOOR MIELES TANIA JACQUELINE</v>
      </c>
      <c r="EQ316" t="str">
        <v>LOOR SOLORZANO ROSA MARIA</v>
      </c>
      <c r="ER316" t="str">
        <v>LOPEZ DELGADO RONALD MAURICIO</v>
      </c>
      <c r="ES316" t="str">
        <v>MACIAS VALENCIA DAVID GABRIEL</v>
      </c>
      <c r="ET316" t="str">
        <v>MENDOZA ZAMORA WALTER MANUEL</v>
      </c>
      <c r="EU316" t="str">
        <v>MOLINA CEVALLOS MARIA LORENA</v>
      </c>
      <c r="EV316" t="str">
        <v>MURILLO DELGADO ISAAC GABRIEL</v>
      </c>
      <c r="EW316" t="str">
        <v>ANGULO MURILLO NAVIRA GISSELA</v>
      </c>
      <c r="EX316" t="str">
        <v>OCHOA SOLEDISPA NESTOR IVAN</v>
      </c>
      <c r="EY316" t="str">
        <v>PARRAGA FRANCO SILVANA MARIELA</v>
      </c>
      <c r="EZ316" t="str">
        <v>PINARGOTE VASQUEZ NANCY FABIOLA</v>
      </c>
      <c r="FA316" t="str">
        <v>REYES VELEZ PEDRO ENRIQUE</v>
      </c>
      <c r="FB316" t="str">
        <v>SAN ANDRES HORMAZA DALLAS CECILIA</v>
      </c>
      <c r="FC316" t="str">
        <v>SORNOZA ZAMORA JUAN CARLOS</v>
      </c>
      <c r="FD316" t="str">
        <v>TOMALA PINTO JESUS JACINTO</v>
      </c>
      <c r="FE316" t="str">
        <v>VALLE JARAMILLO SILVIA ARACELY</v>
      </c>
      <c r="FF316" t="str">
        <v>VELÁSQUEZ BRAVO IRMA KATHERINE</v>
      </c>
      <c r="FG316" t="str">
        <v>VELEZ MENDOZA LAYSY VALERIA</v>
      </c>
      <c r="FH316" t="str">
        <v>VINUEZA TELLO SHIRLEY ELIZABETH</v>
      </c>
      <c r="FI316" t="str">
        <v>ZAMBRANO ALCIVAR NILDA ISABEL</v>
      </c>
      <c r="FJ316" t="str">
        <v>ZAMBRANO LOOR RITA MAYDA</v>
      </c>
      <c r="FK316" t="str">
        <v>ZAMBRANO VERA MONICA JANETH</v>
      </c>
      <c r="FL316" t="str">
        <v>VERA DELGADO BRYAN ADRIÁN</v>
      </c>
      <c r="FM316" t="str">
        <v>MORAN GONZALES DAVID RENATO</v>
      </c>
      <c r="FN316">
        <v>0</v>
      </c>
    </row>
    <row r="317" spans="1:170" ht="20.25" customHeight="1">
      <c r="A317" s="4" t="str" cm="1">
        <f t="array" ref="A317">TRANSPOSE(_xlfn.UNIQUE(_xlfn._xlws.FILTER(MAE_ASIGNATURA[ID_NIVEL],MAE_ASIGNATURA[ID_CARRERA]=ASIGNACION!$C317,"No existe información")))</f>
        <v>No existe información</v>
      </c>
      <c r="S317" s="4" t="str" cm="1">
        <f t="array" ref="S317">TRANSPOSE(_xlfn.UNIQUE(_xlfn._xlws.FILTER(MAE_ASIGNATURA[NOM_ASIG],(MAE_ASIGNATURA[ID_NIVEL]=ASIGNACION!$D317)*(MAE_ASIGNATURA[ID_CARRERA]=ASIGNACION!$C317),"No existe información")))</f>
        <v>No existe información</v>
      </c>
      <c r="BD317" s="4" t="str" cm="1">
        <f t="array" ref="BD317">TRANSPOSE(_xlfn.UNIQUE(_xlfn._xlws.FILTER(DET_ASIG[DETALLADO],(DET_ASIG[ID_CARRERA]=ASIGNACION!$C317)*(DET_ASIG[NIVEL]=ASIGNACION!$D317)*(DET_ASIG[ID_ASIG]=ASIGNACION!$G317),"No existe información")))</f>
        <v>No existe información</v>
      </c>
      <c r="BQ317" s="5" t="str" cm="1">
        <f t="array" ref="BQ317">IFERROR(
    TRANSPOSE(
        _xlfn.UNIQUE(
            _xlfn._xlws.FILTER(MAESTRIA_DETALLADO[MAESTRIA],
                ISNUMBER(MATCH(MAESTRIA_DETALLADO[CAMPO_DETALLADO],
                BD317:BP317,0))
            )
        )
    ),IF(BD317="ACTIVIDAD","DOCENCIA",""))</f>
        <v/>
      </c>
      <c r="EA317" s="5" t="str" cm="1">
        <f t="array" ref="EA317:FN317">IF(
    ASIGNACION!I317="SI",
    IFERROR(
        TRANSPOSE(
            _xlfn.UNIQUE(
                _xlfn._xlws.FILTER(EDU_DOCENTE[NOMBRE_DOCENTE],
                    ISNUMBER(MATCH(EDU_DOCENTE[MAESTRIA],
                    BQ317:DY317,0))
                )
            )
        ),
        ""
    ),
    TRANSPOSE(
        _xlfn.UNIQUE(EDU_DOCENTE[NOMBRE_DOCENTE]
        )
    )
)</f>
        <v>ALCIVAR CEDEÑO BEATRIZ ISABEL</v>
      </c>
      <c r="EB317" t="str">
        <v>ALCIVAR VERA GEMA MICHELLE</v>
      </c>
      <c r="EC317" t="str">
        <v>ARAUZ CHAVEZ MARIO ROBERTO</v>
      </c>
      <c r="ED317" t="str">
        <v>BAILON LOURIDO WALTER ALBERTO</v>
      </c>
      <c r="EE317" t="str">
        <v>CALDERERO VILLAGOMEZ ERICK ANTONIO</v>
      </c>
      <c r="EF317" t="str">
        <v>CASTILLO GARCIA PAOLA GERMANIA</v>
      </c>
      <c r="EG317" t="str">
        <v>CEDEÑO CHOEZ PEDRO JAVIER</v>
      </c>
      <c r="EH317" t="str">
        <v>CEVALLOS HOPPE JUAN CARLOS</v>
      </c>
      <c r="EI317" t="str">
        <v>DELGADO CHAVEZ MARIA IRASEMA</v>
      </c>
      <c r="EJ317" t="str">
        <v>DUARTE VALENCIA CRISTHIAN DARIO</v>
      </c>
      <c r="EK317" t="str">
        <v>FORTTY BARBERAN DENNY ALEXANDER</v>
      </c>
      <c r="EL317" t="str">
        <v>GUTIERREZ ZAMBRANO CARMEN EBELINA</v>
      </c>
      <c r="EM317" t="str">
        <v>INTRIAGO MOLINA GEMA VALERIA</v>
      </c>
      <c r="EN317" t="str">
        <v>LINO VELEZ LEONEL LIVINGTON</v>
      </c>
      <c r="EO317" t="str">
        <v>LOOR ALCIVAR MARIA ILIANA</v>
      </c>
      <c r="EP317" t="str">
        <v>LOOR MIELES TANIA JACQUELINE</v>
      </c>
      <c r="EQ317" t="str">
        <v>LOOR SOLORZANO ROSA MARIA</v>
      </c>
      <c r="ER317" t="str">
        <v>LOPEZ DELGADO RONALD MAURICIO</v>
      </c>
      <c r="ES317" t="str">
        <v>MACIAS VALENCIA DAVID GABRIEL</v>
      </c>
      <c r="ET317" t="str">
        <v>MENDOZA ZAMORA WALTER MANUEL</v>
      </c>
      <c r="EU317" t="str">
        <v>MOLINA CEVALLOS MARIA LORENA</v>
      </c>
      <c r="EV317" t="str">
        <v>MURILLO DELGADO ISAAC GABRIEL</v>
      </c>
      <c r="EW317" t="str">
        <v>ANGULO MURILLO NAVIRA GISSELA</v>
      </c>
      <c r="EX317" t="str">
        <v>OCHOA SOLEDISPA NESTOR IVAN</v>
      </c>
      <c r="EY317" t="str">
        <v>PARRAGA FRANCO SILVANA MARIELA</v>
      </c>
      <c r="EZ317" t="str">
        <v>PINARGOTE VASQUEZ NANCY FABIOLA</v>
      </c>
      <c r="FA317" t="str">
        <v>REYES VELEZ PEDRO ENRIQUE</v>
      </c>
      <c r="FB317" t="str">
        <v>SAN ANDRES HORMAZA DALLAS CECILIA</v>
      </c>
      <c r="FC317" t="str">
        <v>SORNOZA ZAMORA JUAN CARLOS</v>
      </c>
      <c r="FD317" t="str">
        <v>TOMALA PINTO JESUS JACINTO</v>
      </c>
      <c r="FE317" t="str">
        <v>VALLE JARAMILLO SILVIA ARACELY</v>
      </c>
      <c r="FF317" t="str">
        <v>VELÁSQUEZ BRAVO IRMA KATHERINE</v>
      </c>
      <c r="FG317" t="str">
        <v>VELEZ MENDOZA LAYSY VALERIA</v>
      </c>
      <c r="FH317" t="str">
        <v>VINUEZA TELLO SHIRLEY ELIZABETH</v>
      </c>
      <c r="FI317" t="str">
        <v>ZAMBRANO ALCIVAR NILDA ISABEL</v>
      </c>
      <c r="FJ317" t="str">
        <v>ZAMBRANO LOOR RITA MAYDA</v>
      </c>
      <c r="FK317" t="str">
        <v>ZAMBRANO VERA MONICA JANETH</v>
      </c>
      <c r="FL317" t="str">
        <v>VERA DELGADO BRYAN ADRIÁN</v>
      </c>
      <c r="FM317" t="str">
        <v>MORAN GONZALES DAVID RENATO</v>
      </c>
      <c r="FN317">
        <v>0</v>
      </c>
    </row>
    <row r="318" spans="1:170" ht="20.25" customHeight="1">
      <c r="A318" s="4" t="str" cm="1">
        <f t="array" ref="A318">TRANSPOSE(_xlfn.UNIQUE(_xlfn._xlws.FILTER(MAE_ASIGNATURA[ID_NIVEL],MAE_ASIGNATURA[ID_CARRERA]=ASIGNACION!$C318,"No existe información")))</f>
        <v>No existe información</v>
      </c>
      <c r="S318" s="4" t="str" cm="1">
        <f t="array" ref="S318">TRANSPOSE(_xlfn.UNIQUE(_xlfn._xlws.FILTER(MAE_ASIGNATURA[NOM_ASIG],(MAE_ASIGNATURA[ID_NIVEL]=ASIGNACION!$D318)*(MAE_ASIGNATURA[ID_CARRERA]=ASIGNACION!$C318),"No existe información")))</f>
        <v>No existe información</v>
      </c>
      <c r="BD318" s="4" t="str" cm="1">
        <f t="array" ref="BD318">TRANSPOSE(_xlfn.UNIQUE(_xlfn._xlws.FILTER(DET_ASIG[DETALLADO],(DET_ASIG[ID_CARRERA]=ASIGNACION!$C318)*(DET_ASIG[NIVEL]=ASIGNACION!$D318)*(DET_ASIG[ID_ASIG]=ASIGNACION!$G318),"No existe información")))</f>
        <v>No existe información</v>
      </c>
      <c r="BQ318" s="5" t="str" cm="1">
        <f t="array" ref="BQ318">IFERROR(
    TRANSPOSE(
        _xlfn.UNIQUE(
            _xlfn._xlws.FILTER(MAESTRIA_DETALLADO[MAESTRIA],
                ISNUMBER(MATCH(MAESTRIA_DETALLADO[CAMPO_DETALLADO],
                BD318:BP318,0))
            )
        )
    ),IF(BD318="ACTIVIDAD","DOCENCIA",""))</f>
        <v/>
      </c>
      <c r="EA318" s="5" t="str" cm="1">
        <f t="array" ref="EA318:FN318">IF(
    ASIGNACION!I318="SI",
    IFERROR(
        TRANSPOSE(
            _xlfn.UNIQUE(
                _xlfn._xlws.FILTER(EDU_DOCENTE[NOMBRE_DOCENTE],
                    ISNUMBER(MATCH(EDU_DOCENTE[MAESTRIA],
                    BQ318:DY318,0))
                )
            )
        ),
        ""
    ),
    TRANSPOSE(
        _xlfn.UNIQUE(EDU_DOCENTE[NOMBRE_DOCENTE]
        )
    )
)</f>
        <v>ALCIVAR CEDEÑO BEATRIZ ISABEL</v>
      </c>
      <c r="EB318" t="str">
        <v>ALCIVAR VERA GEMA MICHELLE</v>
      </c>
      <c r="EC318" t="str">
        <v>ARAUZ CHAVEZ MARIO ROBERTO</v>
      </c>
      <c r="ED318" t="str">
        <v>BAILON LOURIDO WALTER ALBERTO</v>
      </c>
      <c r="EE318" t="str">
        <v>CALDERERO VILLAGOMEZ ERICK ANTONIO</v>
      </c>
      <c r="EF318" t="str">
        <v>CASTILLO GARCIA PAOLA GERMANIA</v>
      </c>
      <c r="EG318" t="str">
        <v>CEDEÑO CHOEZ PEDRO JAVIER</v>
      </c>
      <c r="EH318" t="str">
        <v>CEVALLOS HOPPE JUAN CARLOS</v>
      </c>
      <c r="EI318" t="str">
        <v>DELGADO CHAVEZ MARIA IRASEMA</v>
      </c>
      <c r="EJ318" t="str">
        <v>DUARTE VALENCIA CRISTHIAN DARIO</v>
      </c>
      <c r="EK318" t="str">
        <v>FORTTY BARBERAN DENNY ALEXANDER</v>
      </c>
      <c r="EL318" t="str">
        <v>GUTIERREZ ZAMBRANO CARMEN EBELINA</v>
      </c>
      <c r="EM318" t="str">
        <v>INTRIAGO MOLINA GEMA VALERIA</v>
      </c>
      <c r="EN318" t="str">
        <v>LINO VELEZ LEONEL LIVINGTON</v>
      </c>
      <c r="EO318" t="str">
        <v>LOOR ALCIVAR MARIA ILIANA</v>
      </c>
      <c r="EP318" t="str">
        <v>LOOR MIELES TANIA JACQUELINE</v>
      </c>
      <c r="EQ318" t="str">
        <v>LOOR SOLORZANO ROSA MARIA</v>
      </c>
      <c r="ER318" t="str">
        <v>LOPEZ DELGADO RONALD MAURICIO</v>
      </c>
      <c r="ES318" t="str">
        <v>MACIAS VALENCIA DAVID GABRIEL</v>
      </c>
      <c r="ET318" t="str">
        <v>MENDOZA ZAMORA WALTER MANUEL</v>
      </c>
      <c r="EU318" t="str">
        <v>MOLINA CEVALLOS MARIA LORENA</v>
      </c>
      <c r="EV318" t="str">
        <v>MURILLO DELGADO ISAAC GABRIEL</v>
      </c>
      <c r="EW318" t="str">
        <v>ANGULO MURILLO NAVIRA GISSELA</v>
      </c>
      <c r="EX318" t="str">
        <v>OCHOA SOLEDISPA NESTOR IVAN</v>
      </c>
      <c r="EY318" t="str">
        <v>PARRAGA FRANCO SILVANA MARIELA</v>
      </c>
      <c r="EZ318" t="str">
        <v>PINARGOTE VASQUEZ NANCY FABIOLA</v>
      </c>
      <c r="FA318" t="str">
        <v>REYES VELEZ PEDRO ENRIQUE</v>
      </c>
      <c r="FB318" t="str">
        <v>SAN ANDRES HORMAZA DALLAS CECILIA</v>
      </c>
      <c r="FC318" t="str">
        <v>SORNOZA ZAMORA JUAN CARLOS</v>
      </c>
      <c r="FD318" t="str">
        <v>TOMALA PINTO JESUS JACINTO</v>
      </c>
      <c r="FE318" t="str">
        <v>VALLE JARAMILLO SILVIA ARACELY</v>
      </c>
      <c r="FF318" t="str">
        <v>VELÁSQUEZ BRAVO IRMA KATHERINE</v>
      </c>
      <c r="FG318" t="str">
        <v>VELEZ MENDOZA LAYSY VALERIA</v>
      </c>
      <c r="FH318" t="str">
        <v>VINUEZA TELLO SHIRLEY ELIZABETH</v>
      </c>
      <c r="FI318" t="str">
        <v>ZAMBRANO ALCIVAR NILDA ISABEL</v>
      </c>
      <c r="FJ318" t="str">
        <v>ZAMBRANO LOOR RITA MAYDA</v>
      </c>
      <c r="FK318" t="str">
        <v>ZAMBRANO VERA MONICA JANETH</v>
      </c>
      <c r="FL318" t="str">
        <v>VERA DELGADO BRYAN ADRIÁN</v>
      </c>
      <c r="FM318" t="str">
        <v>MORAN GONZALES DAVID RENATO</v>
      </c>
      <c r="FN318">
        <v>0</v>
      </c>
    </row>
    <row r="319" spans="1:170" ht="20.25" customHeight="1">
      <c r="A319" s="4" t="str" cm="1">
        <f t="array" ref="A319">TRANSPOSE(_xlfn.UNIQUE(_xlfn._xlws.FILTER(MAE_ASIGNATURA[ID_NIVEL],MAE_ASIGNATURA[ID_CARRERA]=ASIGNACION!$C319,"No existe información")))</f>
        <v>No existe información</v>
      </c>
      <c r="S319" s="4" t="str" cm="1">
        <f t="array" ref="S319">TRANSPOSE(_xlfn.UNIQUE(_xlfn._xlws.FILTER(MAE_ASIGNATURA[NOM_ASIG],(MAE_ASIGNATURA[ID_NIVEL]=ASIGNACION!$D319)*(MAE_ASIGNATURA[ID_CARRERA]=ASIGNACION!$C319),"No existe información")))</f>
        <v>No existe información</v>
      </c>
      <c r="BD319" s="4" t="str" cm="1">
        <f t="array" ref="BD319">TRANSPOSE(_xlfn.UNIQUE(_xlfn._xlws.FILTER(DET_ASIG[DETALLADO],(DET_ASIG[ID_CARRERA]=ASIGNACION!$C319)*(DET_ASIG[NIVEL]=ASIGNACION!$D319)*(DET_ASIG[ID_ASIG]=ASIGNACION!$G319),"No existe información")))</f>
        <v>No existe información</v>
      </c>
      <c r="BQ319" s="5" t="str" cm="1">
        <f t="array" ref="BQ319">IFERROR(
    TRANSPOSE(
        _xlfn.UNIQUE(
            _xlfn._xlws.FILTER(MAESTRIA_DETALLADO[MAESTRIA],
                ISNUMBER(MATCH(MAESTRIA_DETALLADO[CAMPO_DETALLADO],
                BD319:BP319,0))
            )
        )
    ),IF(BD319="ACTIVIDAD","DOCENCIA",""))</f>
        <v/>
      </c>
      <c r="EA319" s="5" t="str" cm="1">
        <f t="array" ref="EA319:FN319">IF(
    ASIGNACION!I319="SI",
    IFERROR(
        TRANSPOSE(
            _xlfn.UNIQUE(
                _xlfn._xlws.FILTER(EDU_DOCENTE[NOMBRE_DOCENTE],
                    ISNUMBER(MATCH(EDU_DOCENTE[MAESTRIA],
                    BQ319:DY319,0))
                )
            )
        ),
        ""
    ),
    TRANSPOSE(
        _xlfn.UNIQUE(EDU_DOCENTE[NOMBRE_DOCENTE]
        )
    )
)</f>
        <v>ALCIVAR CEDEÑO BEATRIZ ISABEL</v>
      </c>
      <c r="EB319" t="str">
        <v>ALCIVAR VERA GEMA MICHELLE</v>
      </c>
      <c r="EC319" t="str">
        <v>ARAUZ CHAVEZ MARIO ROBERTO</v>
      </c>
      <c r="ED319" t="str">
        <v>BAILON LOURIDO WALTER ALBERTO</v>
      </c>
      <c r="EE319" t="str">
        <v>CALDERERO VILLAGOMEZ ERICK ANTONIO</v>
      </c>
      <c r="EF319" t="str">
        <v>CASTILLO GARCIA PAOLA GERMANIA</v>
      </c>
      <c r="EG319" t="str">
        <v>CEDEÑO CHOEZ PEDRO JAVIER</v>
      </c>
      <c r="EH319" t="str">
        <v>CEVALLOS HOPPE JUAN CARLOS</v>
      </c>
      <c r="EI319" t="str">
        <v>DELGADO CHAVEZ MARIA IRASEMA</v>
      </c>
      <c r="EJ319" t="str">
        <v>DUARTE VALENCIA CRISTHIAN DARIO</v>
      </c>
      <c r="EK319" t="str">
        <v>FORTTY BARBERAN DENNY ALEXANDER</v>
      </c>
      <c r="EL319" t="str">
        <v>GUTIERREZ ZAMBRANO CARMEN EBELINA</v>
      </c>
      <c r="EM319" t="str">
        <v>INTRIAGO MOLINA GEMA VALERIA</v>
      </c>
      <c r="EN319" t="str">
        <v>LINO VELEZ LEONEL LIVINGTON</v>
      </c>
      <c r="EO319" t="str">
        <v>LOOR ALCIVAR MARIA ILIANA</v>
      </c>
      <c r="EP319" t="str">
        <v>LOOR MIELES TANIA JACQUELINE</v>
      </c>
      <c r="EQ319" t="str">
        <v>LOOR SOLORZANO ROSA MARIA</v>
      </c>
      <c r="ER319" t="str">
        <v>LOPEZ DELGADO RONALD MAURICIO</v>
      </c>
      <c r="ES319" t="str">
        <v>MACIAS VALENCIA DAVID GABRIEL</v>
      </c>
      <c r="ET319" t="str">
        <v>MENDOZA ZAMORA WALTER MANUEL</v>
      </c>
      <c r="EU319" t="str">
        <v>MOLINA CEVALLOS MARIA LORENA</v>
      </c>
      <c r="EV319" t="str">
        <v>MURILLO DELGADO ISAAC GABRIEL</v>
      </c>
      <c r="EW319" t="str">
        <v>ANGULO MURILLO NAVIRA GISSELA</v>
      </c>
      <c r="EX319" t="str">
        <v>OCHOA SOLEDISPA NESTOR IVAN</v>
      </c>
      <c r="EY319" t="str">
        <v>PARRAGA FRANCO SILVANA MARIELA</v>
      </c>
      <c r="EZ319" t="str">
        <v>PINARGOTE VASQUEZ NANCY FABIOLA</v>
      </c>
      <c r="FA319" t="str">
        <v>REYES VELEZ PEDRO ENRIQUE</v>
      </c>
      <c r="FB319" t="str">
        <v>SAN ANDRES HORMAZA DALLAS CECILIA</v>
      </c>
      <c r="FC319" t="str">
        <v>SORNOZA ZAMORA JUAN CARLOS</v>
      </c>
      <c r="FD319" t="str">
        <v>TOMALA PINTO JESUS JACINTO</v>
      </c>
      <c r="FE319" t="str">
        <v>VALLE JARAMILLO SILVIA ARACELY</v>
      </c>
      <c r="FF319" t="str">
        <v>VELÁSQUEZ BRAVO IRMA KATHERINE</v>
      </c>
      <c r="FG319" t="str">
        <v>VELEZ MENDOZA LAYSY VALERIA</v>
      </c>
      <c r="FH319" t="str">
        <v>VINUEZA TELLO SHIRLEY ELIZABETH</v>
      </c>
      <c r="FI319" t="str">
        <v>ZAMBRANO ALCIVAR NILDA ISABEL</v>
      </c>
      <c r="FJ319" t="str">
        <v>ZAMBRANO LOOR RITA MAYDA</v>
      </c>
      <c r="FK319" t="str">
        <v>ZAMBRANO VERA MONICA JANETH</v>
      </c>
      <c r="FL319" t="str">
        <v>VERA DELGADO BRYAN ADRIÁN</v>
      </c>
      <c r="FM319" t="str">
        <v>MORAN GONZALES DAVID RENATO</v>
      </c>
      <c r="FN319">
        <v>0</v>
      </c>
    </row>
    <row r="320" spans="1:170" ht="20.25" customHeight="1">
      <c r="A320" s="4" t="str" cm="1">
        <f t="array" ref="A320">TRANSPOSE(_xlfn.UNIQUE(_xlfn._xlws.FILTER(MAE_ASIGNATURA[ID_NIVEL],MAE_ASIGNATURA[ID_CARRERA]=ASIGNACION!$C320,"No existe información")))</f>
        <v>No existe información</v>
      </c>
      <c r="S320" s="4" t="str" cm="1">
        <f t="array" ref="S320">TRANSPOSE(_xlfn.UNIQUE(_xlfn._xlws.FILTER(MAE_ASIGNATURA[NOM_ASIG],(MAE_ASIGNATURA[ID_NIVEL]=ASIGNACION!$D320)*(MAE_ASIGNATURA[ID_CARRERA]=ASIGNACION!$C320),"No existe información")))</f>
        <v>No existe información</v>
      </c>
      <c r="BD320" s="4" t="str" cm="1">
        <f t="array" ref="BD320">TRANSPOSE(_xlfn.UNIQUE(_xlfn._xlws.FILTER(DET_ASIG[DETALLADO],(DET_ASIG[ID_CARRERA]=ASIGNACION!$C320)*(DET_ASIG[NIVEL]=ASIGNACION!$D320)*(DET_ASIG[ID_ASIG]=ASIGNACION!$G320),"No existe información")))</f>
        <v>No existe información</v>
      </c>
      <c r="BQ320" s="5" t="str" cm="1">
        <f t="array" ref="BQ320">IFERROR(
    TRANSPOSE(
        _xlfn.UNIQUE(
            _xlfn._xlws.FILTER(MAESTRIA_DETALLADO[MAESTRIA],
                ISNUMBER(MATCH(MAESTRIA_DETALLADO[CAMPO_DETALLADO],
                BD320:BP320,0))
            )
        )
    ),IF(BD320="ACTIVIDAD","DOCENCIA",""))</f>
        <v/>
      </c>
      <c r="EA320" s="5" t="str" cm="1">
        <f t="array" ref="EA320:FN320">IF(
    ASIGNACION!I320="SI",
    IFERROR(
        TRANSPOSE(
            _xlfn.UNIQUE(
                _xlfn._xlws.FILTER(EDU_DOCENTE[NOMBRE_DOCENTE],
                    ISNUMBER(MATCH(EDU_DOCENTE[MAESTRIA],
                    BQ320:DY320,0))
                )
            )
        ),
        ""
    ),
    TRANSPOSE(
        _xlfn.UNIQUE(EDU_DOCENTE[NOMBRE_DOCENTE]
        )
    )
)</f>
        <v>ALCIVAR CEDEÑO BEATRIZ ISABEL</v>
      </c>
      <c r="EB320" t="str">
        <v>ALCIVAR VERA GEMA MICHELLE</v>
      </c>
      <c r="EC320" t="str">
        <v>ARAUZ CHAVEZ MARIO ROBERTO</v>
      </c>
      <c r="ED320" t="str">
        <v>BAILON LOURIDO WALTER ALBERTO</v>
      </c>
      <c r="EE320" t="str">
        <v>CALDERERO VILLAGOMEZ ERICK ANTONIO</v>
      </c>
      <c r="EF320" t="str">
        <v>CASTILLO GARCIA PAOLA GERMANIA</v>
      </c>
      <c r="EG320" t="str">
        <v>CEDEÑO CHOEZ PEDRO JAVIER</v>
      </c>
      <c r="EH320" t="str">
        <v>CEVALLOS HOPPE JUAN CARLOS</v>
      </c>
      <c r="EI320" t="str">
        <v>DELGADO CHAVEZ MARIA IRASEMA</v>
      </c>
      <c r="EJ320" t="str">
        <v>DUARTE VALENCIA CRISTHIAN DARIO</v>
      </c>
      <c r="EK320" t="str">
        <v>FORTTY BARBERAN DENNY ALEXANDER</v>
      </c>
      <c r="EL320" t="str">
        <v>GUTIERREZ ZAMBRANO CARMEN EBELINA</v>
      </c>
      <c r="EM320" t="str">
        <v>INTRIAGO MOLINA GEMA VALERIA</v>
      </c>
      <c r="EN320" t="str">
        <v>LINO VELEZ LEONEL LIVINGTON</v>
      </c>
      <c r="EO320" t="str">
        <v>LOOR ALCIVAR MARIA ILIANA</v>
      </c>
      <c r="EP320" t="str">
        <v>LOOR MIELES TANIA JACQUELINE</v>
      </c>
      <c r="EQ320" t="str">
        <v>LOOR SOLORZANO ROSA MARIA</v>
      </c>
      <c r="ER320" t="str">
        <v>LOPEZ DELGADO RONALD MAURICIO</v>
      </c>
      <c r="ES320" t="str">
        <v>MACIAS VALENCIA DAVID GABRIEL</v>
      </c>
      <c r="ET320" t="str">
        <v>MENDOZA ZAMORA WALTER MANUEL</v>
      </c>
      <c r="EU320" t="str">
        <v>MOLINA CEVALLOS MARIA LORENA</v>
      </c>
      <c r="EV320" t="str">
        <v>MURILLO DELGADO ISAAC GABRIEL</v>
      </c>
      <c r="EW320" t="str">
        <v>ANGULO MURILLO NAVIRA GISSELA</v>
      </c>
      <c r="EX320" t="str">
        <v>OCHOA SOLEDISPA NESTOR IVAN</v>
      </c>
      <c r="EY320" t="str">
        <v>PARRAGA FRANCO SILVANA MARIELA</v>
      </c>
      <c r="EZ320" t="str">
        <v>PINARGOTE VASQUEZ NANCY FABIOLA</v>
      </c>
      <c r="FA320" t="str">
        <v>REYES VELEZ PEDRO ENRIQUE</v>
      </c>
      <c r="FB320" t="str">
        <v>SAN ANDRES HORMAZA DALLAS CECILIA</v>
      </c>
      <c r="FC320" t="str">
        <v>SORNOZA ZAMORA JUAN CARLOS</v>
      </c>
      <c r="FD320" t="str">
        <v>TOMALA PINTO JESUS JACINTO</v>
      </c>
      <c r="FE320" t="str">
        <v>VALLE JARAMILLO SILVIA ARACELY</v>
      </c>
      <c r="FF320" t="str">
        <v>VELÁSQUEZ BRAVO IRMA KATHERINE</v>
      </c>
      <c r="FG320" t="str">
        <v>VELEZ MENDOZA LAYSY VALERIA</v>
      </c>
      <c r="FH320" t="str">
        <v>VINUEZA TELLO SHIRLEY ELIZABETH</v>
      </c>
      <c r="FI320" t="str">
        <v>ZAMBRANO ALCIVAR NILDA ISABEL</v>
      </c>
      <c r="FJ320" t="str">
        <v>ZAMBRANO LOOR RITA MAYDA</v>
      </c>
      <c r="FK320" t="str">
        <v>ZAMBRANO VERA MONICA JANETH</v>
      </c>
      <c r="FL320" t="str">
        <v>VERA DELGADO BRYAN ADRIÁN</v>
      </c>
      <c r="FM320" t="str">
        <v>MORAN GONZALES DAVID RENATO</v>
      </c>
      <c r="FN320">
        <v>0</v>
      </c>
    </row>
    <row r="321" spans="1:170" ht="20.25" customHeight="1">
      <c r="A321" s="4" t="str" cm="1">
        <f t="array" ref="A321">TRANSPOSE(_xlfn.UNIQUE(_xlfn._xlws.FILTER(MAE_ASIGNATURA[ID_NIVEL],MAE_ASIGNATURA[ID_CARRERA]=ASIGNACION!$C321,"No existe información")))</f>
        <v>No existe información</v>
      </c>
      <c r="S321" s="4" t="str" cm="1">
        <f t="array" ref="S321">TRANSPOSE(_xlfn.UNIQUE(_xlfn._xlws.FILTER(MAE_ASIGNATURA[NOM_ASIG],(MAE_ASIGNATURA[ID_NIVEL]=ASIGNACION!$D321)*(MAE_ASIGNATURA[ID_CARRERA]=ASIGNACION!$C321),"No existe información")))</f>
        <v>No existe información</v>
      </c>
      <c r="BD321" s="4" t="str" cm="1">
        <f t="array" ref="BD321">TRANSPOSE(_xlfn.UNIQUE(_xlfn._xlws.FILTER(DET_ASIG[DETALLADO],(DET_ASIG[ID_CARRERA]=ASIGNACION!$C321)*(DET_ASIG[NIVEL]=ASIGNACION!$D321)*(DET_ASIG[ID_ASIG]=ASIGNACION!$G321),"No existe información")))</f>
        <v>No existe información</v>
      </c>
      <c r="BQ321" s="5" t="str" cm="1">
        <f t="array" ref="BQ321">IFERROR(
    TRANSPOSE(
        _xlfn.UNIQUE(
            _xlfn._xlws.FILTER(MAESTRIA_DETALLADO[MAESTRIA],
                ISNUMBER(MATCH(MAESTRIA_DETALLADO[CAMPO_DETALLADO],
                BD321:BP321,0))
            )
        )
    ),IF(BD321="ACTIVIDAD","DOCENCIA",""))</f>
        <v/>
      </c>
      <c r="EA321" s="5" t="str" cm="1">
        <f t="array" ref="EA321:FN321">IF(
    ASIGNACION!I321="SI",
    IFERROR(
        TRANSPOSE(
            _xlfn.UNIQUE(
                _xlfn._xlws.FILTER(EDU_DOCENTE[NOMBRE_DOCENTE],
                    ISNUMBER(MATCH(EDU_DOCENTE[MAESTRIA],
                    BQ321:DY321,0))
                )
            )
        ),
        ""
    ),
    TRANSPOSE(
        _xlfn.UNIQUE(EDU_DOCENTE[NOMBRE_DOCENTE]
        )
    )
)</f>
        <v>ALCIVAR CEDEÑO BEATRIZ ISABEL</v>
      </c>
      <c r="EB321" t="str">
        <v>ALCIVAR VERA GEMA MICHELLE</v>
      </c>
      <c r="EC321" t="str">
        <v>ARAUZ CHAVEZ MARIO ROBERTO</v>
      </c>
      <c r="ED321" t="str">
        <v>BAILON LOURIDO WALTER ALBERTO</v>
      </c>
      <c r="EE321" t="str">
        <v>CALDERERO VILLAGOMEZ ERICK ANTONIO</v>
      </c>
      <c r="EF321" t="str">
        <v>CASTILLO GARCIA PAOLA GERMANIA</v>
      </c>
      <c r="EG321" t="str">
        <v>CEDEÑO CHOEZ PEDRO JAVIER</v>
      </c>
      <c r="EH321" t="str">
        <v>CEVALLOS HOPPE JUAN CARLOS</v>
      </c>
      <c r="EI321" t="str">
        <v>DELGADO CHAVEZ MARIA IRASEMA</v>
      </c>
      <c r="EJ321" t="str">
        <v>DUARTE VALENCIA CRISTHIAN DARIO</v>
      </c>
      <c r="EK321" t="str">
        <v>FORTTY BARBERAN DENNY ALEXANDER</v>
      </c>
      <c r="EL321" t="str">
        <v>GUTIERREZ ZAMBRANO CARMEN EBELINA</v>
      </c>
      <c r="EM321" t="str">
        <v>INTRIAGO MOLINA GEMA VALERIA</v>
      </c>
      <c r="EN321" t="str">
        <v>LINO VELEZ LEONEL LIVINGTON</v>
      </c>
      <c r="EO321" t="str">
        <v>LOOR ALCIVAR MARIA ILIANA</v>
      </c>
      <c r="EP321" t="str">
        <v>LOOR MIELES TANIA JACQUELINE</v>
      </c>
      <c r="EQ321" t="str">
        <v>LOOR SOLORZANO ROSA MARIA</v>
      </c>
      <c r="ER321" t="str">
        <v>LOPEZ DELGADO RONALD MAURICIO</v>
      </c>
      <c r="ES321" t="str">
        <v>MACIAS VALENCIA DAVID GABRIEL</v>
      </c>
      <c r="ET321" t="str">
        <v>MENDOZA ZAMORA WALTER MANUEL</v>
      </c>
      <c r="EU321" t="str">
        <v>MOLINA CEVALLOS MARIA LORENA</v>
      </c>
      <c r="EV321" t="str">
        <v>MURILLO DELGADO ISAAC GABRIEL</v>
      </c>
      <c r="EW321" t="str">
        <v>ANGULO MURILLO NAVIRA GISSELA</v>
      </c>
      <c r="EX321" t="str">
        <v>OCHOA SOLEDISPA NESTOR IVAN</v>
      </c>
      <c r="EY321" t="str">
        <v>PARRAGA FRANCO SILVANA MARIELA</v>
      </c>
      <c r="EZ321" t="str">
        <v>PINARGOTE VASQUEZ NANCY FABIOLA</v>
      </c>
      <c r="FA321" t="str">
        <v>REYES VELEZ PEDRO ENRIQUE</v>
      </c>
      <c r="FB321" t="str">
        <v>SAN ANDRES HORMAZA DALLAS CECILIA</v>
      </c>
      <c r="FC321" t="str">
        <v>SORNOZA ZAMORA JUAN CARLOS</v>
      </c>
      <c r="FD321" t="str">
        <v>TOMALA PINTO JESUS JACINTO</v>
      </c>
      <c r="FE321" t="str">
        <v>VALLE JARAMILLO SILVIA ARACELY</v>
      </c>
      <c r="FF321" t="str">
        <v>VELÁSQUEZ BRAVO IRMA KATHERINE</v>
      </c>
      <c r="FG321" t="str">
        <v>VELEZ MENDOZA LAYSY VALERIA</v>
      </c>
      <c r="FH321" t="str">
        <v>VINUEZA TELLO SHIRLEY ELIZABETH</v>
      </c>
      <c r="FI321" t="str">
        <v>ZAMBRANO ALCIVAR NILDA ISABEL</v>
      </c>
      <c r="FJ321" t="str">
        <v>ZAMBRANO LOOR RITA MAYDA</v>
      </c>
      <c r="FK321" t="str">
        <v>ZAMBRANO VERA MONICA JANETH</v>
      </c>
      <c r="FL321" t="str">
        <v>VERA DELGADO BRYAN ADRIÁN</v>
      </c>
      <c r="FM321" t="str">
        <v>MORAN GONZALES DAVID RENATO</v>
      </c>
      <c r="FN321">
        <v>0</v>
      </c>
    </row>
    <row r="322" spans="1:170" ht="20.25" customHeight="1">
      <c r="A322" s="4" t="str" cm="1">
        <f t="array" ref="A322">TRANSPOSE(_xlfn.UNIQUE(_xlfn._xlws.FILTER(MAE_ASIGNATURA[ID_NIVEL],MAE_ASIGNATURA[ID_CARRERA]=ASIGNACION!$C322,"No existe información")))</f>
        <v>No existe información</v>
      </c>
      <c r="S322" s="4" t="str" cm="1">
        <f t="array" ref="S322">TRANSPOSE(_xlfn.UNIQUE(_xlfn._xlws.FILTER(MAE_ASIGNATURA[NOM_ASIG],(MAE_ASIGNATURA[ID_NIVEL]=ASIGNACION!$D322)*(MAE_ASIGNATURA[ID_CARRERA]=ASIGNACION!$C322),"No existe información")))</f>
        <v>No existe información</v>
      </c>
      <c r="BD322" s="4" t="str" cm="1">
        <f t="array" ref="BD322">TRANSPOSE(_xlfn.UNIQUE(_xlfn._xlws.FILTER(DET_ASIG[DETALLADO],(DET_ASIG[ID_CARRERA]=ASIGNACION!$C322)*(DET_ASIG[NIVEL]=ASIGNACION!$D322)*(DET_ASIG[ID_ASIG]=ASIGNACION!$G322),"No existe información")))</f>
        <v>No existe información</v>
      </c>
      <c r="BQ322" s="5" t="str" cm="1">
        <f t="array" ref="BQ322">IFERROR(
    TRANSPOSE(
        _xlfn.UNIQUE(
            _xlfn._xlws.FILTER(MAESTRIA_DETALLADO[MAESTRIA],
                ISNUMBER(MATCH(MAESTRIA_DETALLADO[CAMPO_DETALLADO],
                BD322:BP322,0))
            )
        )
    ),IF(BD322="ACTIVIDAD","DOCENCIA",""))</f>
        <v/>
      </c>
      <c r="EA322" s="5" t="str" cm="1">
        <f t="array" ref="EA322:FN322">IF(
    ASIGNACION!I322="SI",
    IFERROR(
        TRANSPOSE(
            _xlfn.UNIQUE(
                _xlfn._xlws.FILTER(EDU_DOCENTE[NOMBRE_DOCENTE],
                    ISNUMBER(MATCH(EDU_DOCENTE[MAESTRIA],
                    BQ322:DY322,0))
                )
            )
        ),
        ""
    ),
    TRANSPOSE(
        _xlfn.UNIQUE(EDU_DOCENTE[NOMBRE_DOCENTE]
        )
    )
)</f>
        <v>ALCIVAR CEDEÑO BEATRIZ ISABEL</v>
      </c>
      <c r="EB322" t="str">
        <v>ALCIVAR VERA GEMA MICHELLE</v>
      </c>
      <c r="EC322" t="str">
        <v>ARAUZ CHAVEZ MARIO ROBERTO</v>
      </c>
      <c r="ED322" t="str">
        <v>BAILON LOURIDO WALTER ALBERTO</v>
      </c>
      <c r="EE322" t="str">
        <v>CALDERERO VILLAGOMEZ ERICK ANTONIO</v>
      </c>
      <c r="EF322" t="str">
        <v>CASTILLO GARCIA PAOLA GERMANIA</v>
      </c>
      <c r="EG322" t="str">
        <v>CEDEÑO CHOEZ PEDRO JAVIER</v>
      </c>
      <c r="EH322" t="str">
        <v>CEVALLOS HOPPE JUAN CARLOS</v>
      </c>
      <c r="EI322" t="str">
        <v>DELGADO CHAVEZ MARIA IRASEMA</v>
      </c>
      <c r="EJ322" t="str">
        <v>DUARTE VALENCIA CRISTHIAN DARIO</v>
      </c>
      <c r="EK322" t="str">
        <v>FORTTY BARBERAN DENNY ALEXANDER</v>
      </c>
      <c r="EL322" t="str">
        <v>GUTIERREZ ZAMBRANO CARMEN EBELINA</v>
      </c>
      <c r="EM322" t="str">
        <v>INTRIAGO MOLINA GEMA VALERIA</v>
      </c>
      <c r="EN322" t="str">
        <v>LINO VELEZ LEONEL LIVINGTON</v>
      </c>
      <c r="EO322" t="str">
        <v>LOOR ALCIVAR MARIA ILIANA</v>
      </c>
      <c r="EP322" t="str">
        <v>LOOR MIELES TANIA JACQUELINE</v>
      </c>
      <c r="EQ322" t="str">
        <v>LOOR SOLORZANO ROSA MARIA</v>
      </c>
      <c r="ER322" t="str">
        <v>LOPEZ DELGADO RONALD MAURICIO</v>
      </c>
      <c r="ES322" t="str">
        <v>MACIAS VALENCIA DAVID GABRIEL</v>
      </c>
      <c r="ET322" t="str">
        <v>MENDOZA ZAMORA WALTER MANUEL</v>
      </c>
      <c r="EU322" t="str">
        <v>MOLINA CEVALLOS MARIA LORENA</v>
      </c>
      <c r="EV322" t="str">
        <v>MURILLO DELGADO ISAAC GABRIEL</v>
      </c>
      <c r="EW322" t="str">
        <v>ANGULO MURILLO NAVIRA GISSELA</v>
      </c>
      <c r="EX322" t="str">
        <v>OCHOA SOLEDISPA NESTOR IVAN</v>
      </c>
      <c r="EY322" t="str">
        <v>PARRAGA FRANCO SILVANA MARIELA</v>
      </c>
      <c r="EZ322" t="str">
        <v>PINARGOTE VASQUEZ NANCY FABIOLA</v>
      </c>
      <c r="FA322" t="str">
        <v>REYES VELEZ PEDRO ENRIQUE</v>
      </c>
      <c r="FB322" t="str">
        <v>SAN ANDRES HORMAZA DALLAS CECILIA</v>
      </c>
      <c r="FC322" t="str">
        <v>SORNOZA ZAMORA JUAN CARLOS</v>
      </c>
      <c r="FD322" t="str">
        <v>TOMALA PINTO JESUS JACINTO</v>
      </c>
      <c r="FE322" t="str">
        <v>VALLE JARAMILLO SILVIA ARACELY</v>
      </c>
      <c r="FF322" t="str">
        <v>VELÁSQUEZ BRAVO IRMA KATHERINE</v>
      </c>
      <c r="FG322" t="str">
        <v>VELEZ MENDOZA LAYSY VALERIA</v>
      </c>
      <c r="FH322" t="str">
        <v>VINUEZA TELLO SHIRLEY ELIZABETH</v>
      </c>
      <c r="FI322" t="str">
        <v>ZAMBRANO ALCIVAR NILDA ISABEL</v>
      </c>
      <c r="FJ322" t="str">
        <v>ZAMBRANO LOOR RITA MAYDA</v>
      </c>
      <c r="FK322" t="str">
        <v>ZAMBRANO VERA MONICA JANETH</v>
      </c>
      <c r="FL322" t="str">
        <v>VERA DELGADO BRYAN ADRIÁN</v>
      </c>
      <c r="FM322" t="str">
        <v>MORAN GONZALES DAVID RENATO</v>
      </c>
      <c r="FN322">
        <v>0</v>
      </c>
    </row>
    <row r="323" spans="1:170" ht="20.25" customHeight="1">
      <c r="A323" s="4" t="str" cm="1">
        <f t="array" ref="A323">TRANSPOSE(_xlfn.UNIQUE(_xlfn._xlws.FILTER(MAE_ASIGNATURA[ID_NIVEL],MAE_ASIGNATURA[ID_CARRERA]=ASIGNACION!$C323,"No existe información")))</f>
        <v>No existe información</v>
      </c>
      <c r="S323" s="4" t="str" cm="1">
        <f t="array" ref="S323">TRANSPOSE(_xlfn.UNIQUE(_xlfn._xlws.FILTER(MAE_ASIGNATURA[NOM_ASIG],(MAE_ASIGNATURA[ID_NIVEL]=ASIGNACION!$D323)*(MAE_ASIGNATURA[ID_CARRERA]=ASIGNACION!$C323),"No existe información")))</f>
        <v>No existe información</v>
      </c>
      <c r="BD323" s="4" t="str" cm="1">
        <f t="array" ref="BD323">TRANSPOSE(_xlfn.UNIQUE(_xlfn._xlws.FILTER(DET_ASIG[DETALLADO],(DET_ASIG[ID_CARRERA]=ASIGNACION!$C323)*(DET_ASIG[NIVEL]=ASIGNACION!$D323)*(DET_ASIG[ID_ASIG]=ASIGNACION!$G323),"No existe información")))</f>
        <v>No existe información</v>
      </c>
      <c r="BQ323" s="5" t="str" cm="1">
        <f t="array" ref="BQ323">IFERROR(
    TRANSPOSE(
        _xlfn.UNIQUE(
            _xlfn._xlws.FILTER(MAESTRIA_DETALLADO[MAESTRIA],
                ISNUMBER(MATCH(MAESTRIA_DETALLADO[CAMPO_DETALLADO],
                BD323:BP323,0))
            )
        )
    ),IF(BD323="ACTIVIDAD","DOCENCIA",""))</f>
        <v/>
      </c>
      <c r="EA323" s="5" t="str" cm="1">
        <f t="array" ref="EA323:FN323">IF(
    ASIGNACION!I323="SI",
    IFERROR(
        TRANSPOSE(
            _xlfn.UNIQUE(
                _xlfn._xlws.FILTER(EDU_DOCENTE[NOMBRE_DOCENTE],
                    ISNUMBER(MATCH(EDU_DOCENTE[MAESTRIA],
                    BQ323:DY323,0))
                )
            )
        ),
        ""
    ),
    TRANSPOSE(
        _xlfn.UNIQUE(EDU_DOCENTE[NOMBRE_DOCENTE]
        )
    )
)</f>
        <v>ALCIVAR CEDEÑO BEATRIZ ISABEL</v>
      </c>
      <c r="EB323" t="str">
        <v>ALCIVAR VERA GEMA MICHELLE</v>
      </c>
      <c r="EC323" t="str">
        <v>ARAUZ CHAVEZ MARIO ROBERTO</v>
      </c>
      <c r="ED323" t="str">
        <v>BAILON LOURIDO WALTER ALBERTO</v>
      </c>
      <c r="EE323" t="str">
        <v>CALDERERO VILLAGOMEZ ERICK ANTONIO</v>
      </c>
      <c r="EF323" t="str">
        <v>CASTILLO GARCIA PAOLA GERMANIA</v>
      </c>
      <c r="EG323" t="str">
        <v>CEDEÑO CHOEZ PEDRO JAVIER</v>
      </c>
      <c r="EH323" t="str">
        <v>CEVALLOS HOPPE JUAN CARLOS</v>
      </c>
      <c r="EI323" t="str">
        <v>DELGADO CHAVEZ MARIA IRASEMA</v>
      </c>
      <c r="EJ323" t="str">
        <v>DUARTE VALENCIA CRISTHIAN DARIO</v>
      </c>
      <c r="EK323" t="str">
        <v>FORTTY BARBERAN DENNY ALEXANDER</v>
      </c>
      <c r="EL323" t="str">
        <v>GUTIERREZ ZAMBRANO CARMEN EBELINA</v>
      </c>
      <c r="EM323" t="str">
        <v>INTRIAGO MOLINA GEMA VALERIA</v>
      </c>
      <c r="EN323" t="str">
        <v>LINO VELEZ LEONEL LIVINGTON</v>
      </c>
      <c r="EO323" t="str">
        <v>LOOR ALCIVAR MARIA ILIANA</v>
      </c>
      <c r="EP323" t="str">
        <v>LOOR MIELES TANIA JACQUELINE</v>
      </c>
      <c r="EQ323" t="str">
        <v>LOOR SOLORZANO ROSA MARIA</v>
      </c>
      <c r="ER323" t="str">
        <v>LOPEZ DELGADO RONALD MAURICIO</v>
      </c>
      <c r="ES323" t="str">
        <v>MACIAS VALENCIA DAVID GABRIEL</v>
      </c>
      <c r="ET323" t="str">
        <v>MENDOZA ZAMORA WALTER MANUEL</v>
      </c>
      <c r="EU323" t="str">
        <v>MOLINA CEVALLOS MARIA LORENA</v>
      </c>
      <c r="EV323" t="str">
        <v>MURILLO DELGADO ISAAC GABRIEL</v>
      </c>
      <c r="EW323" t="str">
        <v>ANGULO MURILLO NAVIRA GISSELA</v>
      </c>
      <c r="EX323" t="str">
        <v>OCHOA SOLEDISPA NESTOR IVAN</v>
      </c>
      <c r="EY323" t="str">
        <v>PARRAGA FRANCO SILVANA MARIELA</v>
      </c>
      <c r="EZ323" t="str">
        <v>PINARGOTE VASQUEZ NANCY FABIOLA</v>
      </c>
      <c r="FA323" t="str">
        <v>REYES VELEZ PEDRO ENRIQUE</v>
      </c>
      <c r="FB323" t="str">
        <v>SAN ANDRES HORMAZA DALLAS CECILIA</v>
      </c>
      <c r="FC323" t="str">
        <v>SORNOZA ZAMORA JUAN CARLOS</v>
      </c>
      <c r="FD323" t="str">
        <v>TOMALA PINTO JESUS JACINTO</v>
      </c>
      <c r="FE323" t="str">
        <v>VALLE JARAMILLO SILVIA ARACELY</v>
      </c>
      <c r="FF323" t="str">
        <v>VELÁSQUEZ BRAVO IRMA KATHERINE</v>
      </c>
      <c r="FG323" t="str">
        <v>VELEZ MENDOZA LAYSY VALERIA</v>
      </c>
      <c r="FH323" t="str">
        <v>VINUEZA TELLO SHIRLEY ELIZABETH</v>
      </c>
      <c r="FI323" t="str">
        <v>ZAMBRANO ALCIVAR NILDA ISABEL</v>
      </c>
      <c r="FJ323" t="str">
        <v>ZAMBRANO LOOR RITA MAYDA</v>
      </c>
      <c r="FK323" t="str">
        <v>ZAMBRANO VERA MONICA JANETH</v>
      </c>
      <c r="FL323" t="str">
        <v>VERA DELGADO BRYAN ADRIÁN</v>
      </c>
      <c r="FM323" t="str">
        <v>MORAN GONZALES DAVID RENATO</v>
      </c>
      <c r="FN323">
        <v>0</v>
      </c>
    </row>
    <row r="324" spans="1:170" ht="20.25" customHeight="1">
      <c r="A324" s="4" t="str" cm="1">
        <f t="array" ref="A324">TRANSPOSE(_xlfn.UNIQUE(_xlfn._xlws.FILTER(MAE_ASIGNATURA[ID_NIVEL],MAE_ASIGNATURA[ID_CARRERA]=ASIGNACION!$C324,"No existe información")))</f>
        <v>No existe información</v>
      </c>
      <c r="S324" s="4" t="str" cm="1">
        <f t="array" ref="S324">TRANSPOSE(_xlfn.UNIQUE(_xlfn._xlws.FILTER(MAE_ASIGNATURA[NOM_ASIG],(MAE_ASIGNATURA[ID_NIVEL]=ASIGNACION!$D324)*(MAE_ASIGNATURA[ID_CARRERA]=ASIGNACION!$C324),"No existe información")))</f>
        <v>No existe información</v>
      </c>
      <c r="BD324" s="4" t="str" cm="1">
        <f t="array" ref="BD324">TRANSPOSE(_xlfn.UNIQUE(_xlfn._xlws.FILTER(DET_ASIG[DETALLADO],(DET_ASIG[ID_CARRERA]=ASIGNACION!$C324)*(DET_ASIG[NIVEL]=ASIGNACION!$D324)*(DET_ASIG[ID_ASIG]=ASIGNACION!$G324),"No existe información")))</f>
        <v>No existe información</v>
      </c>
      <c r="BQ324" s="5" t="str" cm="1">
        <f t="array" ref="BQ324">IFERROR(
    TRANSPOSE(
        _xlfn.UNIQUE(
            _xlfn._xlws.FILTER(MAESTRIA_DETALLADO[MAESTRIA],
                ISNUMBER(MATCH(MAESTRIA_DETALLADO[CAMPO_DETALLADO],
                BD324:BP324,0))
            )
        )
    ),IF(BD324="ACTIVIDAD","DOCENCIA",""))</f>
        <v/>
      </c>
      <c r="EA324" s="5" t="str" cm="1">
        <f t="array" ref="EA324:FN324">IF(
    ASIGNACION!I324="SI",
    IFERROR(
        TRANSPOSE(
            _xlfn.UNIQUE(
                _xlfn._xlws.FILTER(EDU_DOCENTE[NOMBRE_DOCENTE],
                    ISNUMBER(MATCH(EDU_DOCENTE[MAESTRIA],
                    BQ324:DY324,0))
                )
            )
        ),
        ""
    ),
    TRANSPOSE(
        _xlfn.UNIQUE(EDU_DOCENTE[NOMBRE_DOCENTE]
        )
    )
)</f>
        <v>ALCIVAR CEDEÑO BEATRIZ ISABEL</v>
      </c>
      <c r="EB324" t="str">
        <v>ALCIVAR VERA GEMA MICHELLE</v>
      </c>
      <c r="EC324" t="str">
        <v>ARAUZ CHAVEZ MARIO ROBERTO</v>
      </c>
      <c r="ED324" t="str">
        <v>BAILON LOURIDO WALTER ALBERTO</v>
      </c>
      <c r="EE324" t="str">
        <v>CALDERERO VILLAGOMEZ ERICK ANTONIO</v>
      </c>
      <c r="EF324" t="str">
        <v>CASTILLO GARCIA PAOLA GERMANIA</v>
      </c>
      <c r="EG324" t="str">
        <v>CEDEÑO CHOEZ PEDRO JAVIER</v>
      </c>
      <c r="EH324" t="str">
        <v>CEVALLOS HOPPE JUAN CARLOS</v>
      </c>
      <c r="EI324" t="str">
        <v>DELGADO CHAVEZ MARIA IRASEMA</v>
      </c>
      <c r="EJ324" t="str">
        <v>DUARTE VALENCIA CRISTHIAN DARIO</v>
      </c>
      <c r="EK324" t="str">
        <v>FORTTY BARBERAN DENNY ALEXANDER</v>
      </c>
      <c r="EL324" t="str">
        <v>GUTIERREZ ZAMBRANO CARMEN EBELINA</v>
      </c>
      <c r="EM324" t="str">
        <v>INTRIAGO MOLINA GEMA VALERIA</v>
      </c>
      <c r="EN324" t="str">
        <v>LINO VELEZ LEONEL LIVINGTON</v>
      </c>
      <c r="EO324" t="str">
        <v>LOOR ALCIVAR MARIA ILIANA</v>
      </c>
      <c r="EP324" t="str">
        <v>LOOR MIELES TANIA JACQUELINE</v>
      </c>
      <c r="EQ324" t="str">
        <v>LOOR SOLORZANO ROSA MARIA</v>
      </c>
      <c r="ER324" t="str">
        <v>LOPEZ DELGADO RONALD MAURICIO</v>
      </c>
      <c r="ES324" t="str">
        <v>MACIAS VALENCIA DAVID GABRIEL</v>
      </c>
      <c r="ET324" t="str">
        <v>MENDOZA ZAMORA WALTER MANUEL</v>
      </c>
      <c r="EU324" t="str">
        <v>MOLINA CEVALLOS MARIA LORENA</v>
      </c>
      <c r="EV324" t="str">
        <v>MURILLO DELGADO ISAAC GABRIEL</v>
      </c>
      <c r="EW324" t="str">
        <v>ANGULO MURILLO NAVIRA GISSELA</v>
      </c>
      <c r="EX324" t="str">
        <v>OCHOA SOLEDISPA NESTOR IVAN</v>
      </c>
      <c r="EY324" t="str">
        <v>PARRAGA FRANCO SILVANA MARIELA</v>
      </c>
      <c r="EZ324" t="str">
        <v>PINARGOTE VASQUEZ NANCY FABIOLA</v>
      </c>
      <c r="FA324" t="str">
        <v>REYES VELEZ PEDRO ENRIQUE</v>
      </c>
      <c r="FB324" t="str">
        <v>SAN ANDRES HORMAZA DALLAS CECILIA</v>
      </c>
      <c r="FC324" t="str">
        <v>SORNOZA ZAMORA JUAN CARLOS</v>
      </c>
      <c r="FD324" t="str">
        <v>TOMALA PINTO JESUS JACINTO</v>
      </c>
      <c r="FE324" t="str">
        <v>VALLE JARAMILLO SILVIA ARACELY</v>
      </c>
      <c r="FF324" t="str">
        <v>VELÁSQUEZ BRAVO IRMA KATHERINE</v>
      </c>
      <c r="FG324" t="str">
        <v>VELEZ MENDOZA LAYSY VALERIA</v>
      </c>
      <c r="FH324" t="str">
        <v>VINUEZA TELLO SHIRLEY ELIZABETH</v>
      </c>
      <c r="FI324" t="str">
        <v>ZAMBRANO ALCIVAR NILDA ISABEL</v>
      </c>
      <c r="FJ324" t="str">
        <v>ZAMBRANO LOOR RITA MAYDA</v>
      </c>
      <c r="FK324" t="str">
        <v>ZAMBRANO VERA MONICA JANETH</v>
      </c>
      <c r="FL324" t="str">
        <v>VERA DELGADO BRYAN ADRIÁN</v>
      </c>
      <c r="FM324" t="str">
        <v>MORAN GONZALES DAVID RENATO</v>
      </c>
      <c r="FN324">
        <v>0</v>
      </c>
    </row>
    <row r="325" spans="1:170" ht="20.25" customHeight="1">
      <c r="A325" s="4" t="str" cm="1">
        <f t="array" ref="A325">TRANSPOSE(_xlfn.UNIQUE(_xlfn._xlws.FILTER(MAE_ASIGNATURA[ID_NIVEL],MAE_ASIGNATURA[ID_CARRERA]=ASIGNACION!$C325,"No existe información")))</f>
        <v>No existe información</v>
      </c>
      <c r="S325" s="4" t="str" cm="1">
        <f t="array" ref="S325">TRANSPOSE(_xlfn.UNIQUE(_xlfn._xlws.FILTER(MAE_ASIGNATURA[NOM_ASIG],(MAE_ASIGNATURA[ID_NIVEL]=ASIGNACION!$D325)*(MAE_ASIGNATURA[ID_CARRERA]=ASIGNACION!$C325),"No existe información")))</f>
        <v>No existe información</v>
      </c>
      <c r="BD325" s="4" t="str" cm="1">
        <f t="array" ref="BD325">TRANSPOSE(_xlfn.UNIQUE(_xlfn._xlws.FILTER(DET_ASIG[DETALLADO],(DET_ASIG[ID_CARRERA]=ASIGNACION!$C325)*(DET_ASIG[NIVEL]=ASIGNACION!$D325)*(DET_ASIG[ID_ASIG]=ASIGNACION!$G325),"No existe información")))</f>
        <v>No existe información</v>
      </c>
      <c r="BQ325" s="5" t="str" cm="1">
        <f t="array" ref="BQ325">IFERROR(
    TRANSPOSE(
        _xlfn.UNIQUE(
            _xlfn._xlws.FILTER(MAESTRIA_DETALLADO[MAESTRIA],
                ISNUMBER(MATCH(MAESTRIA_DETALLADO[CAMPO_DETALLADO],
                BD325:BP325,0))
            )
        )
    ),IF(BD325="ACTIVIDAD","DOCENCIA",""))</f>
        <v/>
      </c>
      <c r="EA325" s="5" t="str" cm="1">
        <f t="array" ref="EA325:FN325">IF(
    ASIGNACION!I325="SI",
    IFERROR(
        TRANSPOSE(
            _xlfn.UNIQUE(
                _xlfn._xlws.FILTER(EDU_DOCENTE[NOMBRE_DOCENTE],
                    ISNUMBER(MATCH(EDU_DOCENTE[MAESTRIA],
                    BQ325:DY325,0))
                )
            )
        ),
        ""
    ),
    TRANSPOSE(
        _xlfn.UNIQUE(EDU_DOCENTE[NOMBRE_DOCENTE]
        )
    )
)</f>
        <v>ALCIVAR CEDEÑO BEATRIZ ISABEL</v>
      </c>
      <c r="EB325" t="str">
        <v>ALCIVAR VERA GEMA MICHELLE</v>
      </c>
      <c r="EC325" t="str">
        <v>ARAUZ CHAVEZ MARIO ROBERTO</v>
      </c>
      <c r="ED325" t="str">
        <v>BAILON LOURIDO WALTER ALBERTO</v>
      </c>
      <c r="EE325" t="str">
        <v>CALDERERO VILLAGOMEZ ERICK ANTONIO</v>
      </c>
      <c r="EF325" t="str">
        <v>CASTILLO GARCIA PAOLA GERMANIA</v>
      </c>
      <c r="EG325" t="str">
        <v>CEDEÑO CHOEZ PEDRO JAVIER</v>
      </c>
      <c r="EH325" t="str">
        <v>CEVALLOS HOPPE JUAN CARLOS</v>
      </c>
      <c r="EI325" t="str">
        <v>DELGADO CHAVEZ MARIA IRASEMA</v>
      </c>
      <c r="EJ325" t="str">
        <v>DUARTE VALENCIA CRISTHIAN DARIO</v>
      </c>
      <c r="EK325" t="str">
        <v>FORTTY BARBERAN DENNY ALEXANDER</v>
      </c>
      <c r="EL325" t="str">
        <v>GUTIERREZ ZAMBRANO CARMEN EBELINA</v>
      </c>
      <c r="EM325" t="str">
        <v>INTRIAGO MOLINA GEMA VALERIA</v>
      </c>
      <c r="EN325" t="str">
        <v>LINO VELEZ LEONEL LIVINGTON</v>
      </c>
      <c r="EO325" t="str">
        <v>LOOR ALCIVAR MARIA ILIANA</v>
      </c>
      <c r="EP325" t="str">
        <v>LOOR MIELES TANIA JACQUELINE</v>
      </c>
      <c r="EQ325" t="str">
        <v>LOOR SOLORZANO ROSA MARIA</v>
      </c>
      <c r="ER325" t="str">
        <v>LOPEZ DELGADO RONALD MAURICIO</v>
      </c>
      <c r="ES325" t="str">
        <v>MACIAS VALENCIA DAVID GABRIEL</v>
      </c>
      <c r="ET325" t="str">
        <v>MENDOZA ZAMORA WALTER MANUEL</v>
      </c>
      <c r="EU325" t="str">
        <v>MOLINA CEVALLOS MARIA LORENA</v>
      </c>
      <c r="EV325" t="str">
        <v>MURILLO DELGADO ISAAC GABRIEL</v>
      </c>
      <c r="EW325" t="str">
        <v>ANGULO MURILLO NAVIRA GISSELA</v>
      </c>
      <c r="EX325" t="str">
        <v>OCHOA SOLEDISPA NESTOR IVAN</v>
      </c>
      <c r="EY325" t="str">
        <v>PARRAGA FRANCO SILVANA MARIELA</v>
      </c>
      <c r="EZ325" t="str">
        <v>PINARGOTE VASQUEZ NANCY FABIOLA</v>
      </c>
      <c r="FA325" t="str">
        <v>REYES VELEZ PEDRO ENRIQUE</v>
      </c>
      <c r="FB325" t="str">
        <v>SAN ANDRES HORMAZA DALLAS CECILIA</v>
      </c>
      <c r="FC325" t="str">
        <v>SORNOZA ZAMORA JUAN CARLOS</v>
      </c>
      <c r="FD325" t="str">
        <v>TOMALA PINTO JESUS JACINTO</v>
      </c>
      <c r="FE325" t="str">
        <v>VALLE JARAMILLO SILVIA ARACELY</v>
      </c>
      <c r="FF325" t="str">
        <v>VELÁSQUEZ BRAVO IRMA KATHERINE</v>
      </c>
      <c r="FG325" t="str">
        <v>VELEZ MENDOZA LAYSY VALERIA</v>
      </c>
      <c r="FH325" t="str">
        <v>VINUEZA TELLO SHIRLEY ELIZABETH</v>
      </c>
      <c r="FI325" t="str">
        <v>ZAMBRANO ALCIVAR NILDA ISABEL</v>
      </c>
      <c r="FJ325" t="str">
        <v>ZAMBRANO LOOR RITA MAYDA</v>
      </c>
      <c r="FK325" t="str">
        <v>ZAMBRANO VERA MONICA JANETH</v>
      </c>
      <c r="FL325" t="str">
        <v>VERA DELGADO BRYAN ADRIÁN</v>
      </c>
      <c r="FM325" t="str">
        <v>MORAN GONZALES DAVID RENATO</v>
      </c>
      <c r="FN325">
        <v>0</v>
      </c>
    </row>
    <row r="326" spans="1:170" ht="20.25" customHeight="1">
      <c r="A326" s="4" t="str" cm="1">
        <f t="array" ref="A326">TRANSPOSE(_xlfn.UNIQUE(_xlfn._xlws.FILTER(MAE_ASIGNATURA[ID_NIVEL],MAE_ASIGNATURA[ID_CARRERA]=ASIGNACION!$C326,"No existe información")))</f>
        <v>No existe información</v>
      </c>
      <c r="S326" s="4" t="str" cm="1">
        <f t="array" ref="S326">TRANSPOSE(_xlfn.UNIQUE(_xlfn._xlws.FILTER(MAE_ASIGNATURA[NOM_ASIG],(MAE_ASIGNATURA[ID_NIVEL]=ASIGNACION!$D326)*(MAE_ASIGNATURA[ID_CARRERA]=ASIGNACION!$C326),"No existe información")))</f>
        <v>No existe información</v>
      </c>
      <c r="BD326" s="4" t="str" cm="1">
        <f t="array" ref="BD326">TRANSPOSE(_xlfn.UNIQUE(_xlfn._xlws.FILTER(DET_ASIG[DETALLADO],(DET_ASIG[ID_CARRERA]=ASIGNACION!$C326)*(DET_ASIG[NIVEL]=ASIGNACION!$D326)*(DET_ASIG[ID_ASIG]=ASIGNACION!$G326),"No existe información")))</f>
        <v>No existe información</v>
      </c>
      <c r="BQ326" s="5" t="str" cm="1">
        <f t="array" ref="BQ326">IFERROR(
    TRANSPOSE(
        _xlfn.UNIQUE(
            _xlfn._xlws.FILTER(MAESTRIA_DETALLADO[MAESTRIA],
                ISNUMBER(MATCH(MAESTRIA_DETALLADO[CAMPO_DETALLADO],
                BD326:BP326,0))
            )
        )
    ),IF(BD326="ACTIVIDAD","DOCENCIA",""))</f>
        <v/>
      </c>
      <c r="EA326" s="5" t="str" cm="1">
        <f t="array" ref="EA326:FN326">IF(
    ASIGNACION!I326="SI",
    IFERROR(
        TRANSPOSE(
            _xlfn.UNIQUE(
                _xlfn._xlws.FILTER(EDU_DOCENTE[NOMBRE_DOCENTE],
                    ISNUMBER(MATCH(EDU_DOCENTE[MAESTRIA],
                    BQ326:DY326,0))
                )
            )
        ),
        ""
    ),
    TRANSPOSE(
        _xlfn.UNIQUE(EDU_DOCENTE[NOMBRE_DOCENTE]
        )
    )
)</f>
        <v>ALCIVAR CEDEÑO BEATRIZ ISABEL</v>
      </c>
      <c r="EB326" t="str">
        <v>ALCIVAR VERA GEMA MICHELLE</v>
      </c>
      <c r="EC326" t="str">
        <v>ARAUZ CHAVEZ MARIO ROBERTO</v>
      </c>
      <c r="ED326" t="str">
        <v>BAILON LOURIDO WALTER ALBERTO</v>
      </c>
      <c r="EE326" t="str">
        <v>CALDERERO VILLAGOMEZ ERICK ANTONIO</v>
      </c>
      <c r="EF326" t="str">
        <v>CASTILLO GARCIA PAOLA GERMANIA</v>
      </c>
      <c r="EG326" t="str">
        <v>CEDEÑO CHOEZ PEDRO JAVIER</v>
      </c>
      <c r="EH326" t="str">
        <v>CEVALLOS HOPPE JUAN CARLOS</v>
      </c>
      <c r="EI326" t="str">
        <v>DELGADO CHAVEZ MARIA IRASEMA</v>
      </c>
      <c r="EJ326" t="str">
        <v>DUARTE VALENCIA CRISTHIAN DARIO</v>
      </c>
      <c r="EK326" t="str">
        <v>FORTTY BARBERAN DENNY ALEXANDER</v>
      </c>
      <c r="EL326" t="str">
        <v>GUTIERREZ ZAMBRANO CARMEN EBELINA</v>
      </c>
      <c r="EM326" t="str">
        <v>INTRIAGO MOLINA GEMA VALERIA</v>
      </c>
      <c r="EN326" t="str">
        <v>LINO VELEZ LEONEL LIVINGTON</v>
      </c>
      <c r="EO326" t="str">
        <v>LOOR ALCIVAR MARIA ILIANA</v>
      </c>
      <c r="EP326" t="str">
        <v>LOOR MIELES TANIA JACQUELINE</v>
      </c>
      <c r="EQ326" t="str">
        <v>LOOR SOLORZANO ROSA MARIA</v>
      </c>
      <c r="ER326" t="str">
        <v>LOPEZ DELGADO RONALD MAURICIO</v>
      </c>
      <c r="ES326" t="str">
        <v>MACIAS VALENCIA DAVID GABRIEL</v>
      </c>
      <c r="ET326" t="str">
        <v>MENDOZA ZAMORA WALTER MANUEL</v>
      </c>
      <c r="EU326" t="str">
        <v>MOLINA CEVALLOS MARIA LORENA</v>
      </c>
      <c r="EV326" t="str">
        <v>MURILLO DELGADO ISAAC GABRIEL</v>
      </c>
      <c r="EW326" t="str">
        <v>ANGULO MURILLO NAVIRA GISSELA</v>
      </c>
      <c r="EX326" t="str">
        <v>OCHOA SOLEDISPA NESTOR IVAN</v>
      </c>
      <c r="EY326" t="str">
        <v>PARRAGA FRANCO SILVANA MARIELA</v>
      </c>
      <c r="EZ326" t="str">
        <v>PINARGOTE VASQUEZ NANCY FABIOLA</v>
      </c>
      <c r="FA326" t="str">
        <v>REYES VELEZ PEDRO ENRIQUE</v>
      </c>
      <c r="FB326" t="str">
        <v>SAN ANDRES HORMAZA DALLAS CECILIA</v>
      </c>
      <c r="FC326" t="str">
        <v>SORNOZA ZAMORA JUAN CARLOS</v>
      </c>
      <c r="FD326" t="str">
        <v>TOMALA PINTO JESUS JACINTO</v>
      </c>
      <c r="FE326" t="str">
        <v>VALLE JARAMILLO SILVIA ARACELY</v>
      </c>
      <c r="FF326" t="str">
        <v>VELÁSQUEZ BRAVO IRMA KATHERINE</v>
      </c>
      <c r="FG326" t="str">
        <v>VELEZ MENDOZA LAYSY VALERIA</v>
      </c>
      <c r="FH326" t="str">
        <v>VINUEZA TELLO SHIRLEY ELIZABETH</v>
      </c>
      <c r="FI326" t="str">
        <v>ZAMBRANO ALCIVAR NILDA ISABEL</v>
      </c>
      <c r="FJ326" t="str">
        <v>ZAMBRANO LOOR RITA MAYDA</v>
      </c>
      <c r="FK326" t="str">
        <v>ZAMBRANO VERA MONICA JANETH</v>
      </c>
      <c r="FL326" t="str">
        <v>VERA DELGADO BRYAN ADRIÁN</v>
      </c>
      <c r="FM326" t="str">
        <v>MORAN GONZALES DAVID RENATO</v>
      </c>
      <c r="FN326">
        <v>0</v>
      </c>
    </row>
    <row r="327" spans="1:170" ht="20.25" customHeight="1">
      <c r="A327" s="4" t="str" cm="1">
        <f t="array" ref="A327">TRANSPOSE(_xlfn.UNIQUE(_xlfn._xlws.FILTER(MAE_ASIGNATURA[ID_NIVEL],MAE_ASIGNATURA[ID_CARRERA]=ASIGNACION!$C327,"No existe información")))</f>
        <v>No existe información</v>
      </c>
      <c r="S327" s="4" t="str" cm="1">
        <f t="array" ref="S327">TRANSPOSE(_xlfn.UNIQUE(_xlfn._xlws.FILTER(MAE_ASIGNATURA[NOM_ASIG],(MAE_ASIGNATURA[ID_NIVEL]=ASIGNACION!$D327)*(MAE_ASIGNATURA[ID_CARRERA]=ASIGNACION!$C327),"No existe información")))</f>
        <v>No existe información</v>
      </c>
      <c r="BD327" s="4" t="str" cm="1">
        <f t="array" ref="BD327">TRANSPOSE(_xlfn.UNIQUE(_xlfn._xlws.FILTER(DET_ASIG[DETALLADO],(DET_ASIG[ID_CARRERA]=ASIGNACION!$C327)*(DET_ASIG[NIVEL]=ASIGNACION!$D327)*(DET_ASIG[ID_ASIG]=ASIGNACION!$G327),"No existe información")))</f>
        <v>No existe información</v>
      </c>
      <c r="BQ327" s="5" t="str" cm="1">
        <f t="array" ref="BQ327">IFERROR(
    TRANSPOSE(
        _xlfn.UNIQUE(
            _xlfn._xlws.FILTER(MAESTRIA_DETALLADO[MAESTRIA],
                ISNUMBER(MATCH(MAESTRIA_DETALLADO[CAMPO_DETALLADO],
                BD327:BP327,0))
            )
        )
    ),IF(BD327="ACTIVIDAD","DOCENCIA",""))</f>
        <v/>
      </c>
      <c r="EA327" s="5" t="str" cm="1">
        <f t="array" ref="EA327:FN327">IF(
    ASIGNACION!I327="SI",
    IFERROR(
        TRANSPOSE(
            _xlfn.UNIQUE(
                _xlfn._xlws.FILTER(EDU_DOCENTE[NOMBRE_DOCENTE],
                    ISNUMBER(MATCH(EDU_DOCENTE[MAESTRIA],
                    BQ327:DY327,0))
                )
            )
        ),
        ""
    ),
    TRANSPOSE(
        _xlfn.UNIQUE(EDU_DOCENTE[NOMBRE_DOCENTE]
        )
    )
)</f>
        <v>ALCIVAR CEDEÑO BEATRIZ ISABEL</v>
      </c>
      <c r="EB327" t="str">
        <v>ALCIVAR VERA GEMA MICHELLE</v>
      </c>
      <c r="EC327" t="str">
        <v>ARAUZ CHAVEZ MARIO ROBERTO</v>
      </c>
      <c r="ED327" t="str">
        <v>BAILON LOURIDO WALTER ALBERTO</v>
      </c>
      <c r="EE327" t="str">
        <v>CALDERERO VILLAGOMEZ ERICK ANTONIO</v>
      </c>
      <c r="EF327" t="str">
        <v>CASTILLO GARCIA PAOLA GERMANIA</v>
      </c>
      <c r="EG327" t="str">
        <v>CEDEÑO CHOEZ PEDRO JAVIER</v>
      </c>
      <c r="EH327" t="str">
        <v>CEVALLOS HOPPE JUAN CARLOS</v>
      </c>
      <c r="EI327" t="str">
        <v>DELGADO CHAVEZ MARIA IRASEMA</v>
      </c>
      <c r="EJ327" t="str">
        <v>DUARTE VALENCIA CRISTHIAN DARIO</v>
      </c>
      <c r="EK327" t="str">
        <v>FORTTY BARBERAN DENNY ALEXANDER</v>
      </c>
      <c r="EL327" t="str">
        <v>GUTIERREZ ZAMBRANO CARMEN EBELINA</v>
      </c>
      <c r="EM327" t="str">
        <v>INTRIAGO MOLINA GEMA VALERIA</v>
      </c>
      <c r="EN327" t="str">
        <v>LINO VELEZ LEONEL LIVINGTON</v>
      </c>
      <c r="EO327" t="str">
        <v>LOOR ALCIVAR MARIA ILIANA</v>
      </c>
      <c r="EP327" t="str">
        <v>LOOR MIELES TANIA JACQUELINE</v>
      </c>
      <c r="EQ327" t="str">
        <v>LOOR SOLORZANO ROSA MARIA</v>
      </c>
      <c r="ER327" t="str">
        <v>LOPEZ DELGADO RONALD MAURICIO</v>
      </c>
      <c r="ES327" t="str">
        <v>MACIAS VALENCIA DAVID GABRIEL</v>
      </c>
      <c r="ET327" t="str">
        <v>MENDOZA ZAMORA WALTER MANUEL</v>
      </c>
      <c r="EU327" t="str">
        <v>MOLINA CEVALLOS MARIA LORENA</v>
      </c>
      <c r="EV327" t="str">
        <v>MURILLO DELGADO ISAAC GABRIEL</v>
      </c>
      <c r="EW327" t="str">
        <v>ANGULO MURILLO NAVIRA GISSELA</v>
      </c>
      <c r="EX327" t="str">
        <v>OCHOA SOLEDISPA NESTOR IVAN</v>
      </c>
      <c r="EY327" t="str">
        <v>PARRAGA FRANCO SILVANA MARIELA</v>
      </c>
      <c r="EZ327" t="str">
        <v>PINARGOTE VASQUEZ NANCY FABIOLA</v>
      </c>
      <c r="FA327" t="str">
        <v>REYES VELEZ PEDRO ENRIQUE</v>
      </c>
      <c r="FB327" t="str">
        <v>SAN ANDRES HORMAZA DALLAS CECILIA</v>
      </c>
      <c r="FC327" t="str">
        <v>SORNOZA ZAMORA JUAN CARLOS</v>
      </c>
      <c r="FD327" t="str">
        <v>TOMALA PINTO JESUS JACINTO</v>
      </c>
      <c r="FE327" t="str">
        <v>VALLE JARAMILLO SILVIA ARACELY</v>
      </c>
      <c r="FF327" t="str">
        <v>VELÁSQUEZ BRAVO IRMA KATHERINE</v>
      </c>
      <c r="FG327" t="str">
        <v>VELEZ MENDOZA LAYSY VALERIA</v>
      </c>
      <c r="FH327" t="str">
        <v>VINUEZA TELLO SHIRLEY ELIZABETH</v>
      </c>
      <c r="FI327" t="str">
        <v>ZAMBRANO ALCIVAR NILDA ISABEL</v>
      </c>
      <c r="FJ327" t="str">
        <v>ZAMBRANO LOOR RITA MAYDA</v>
      </c>
      <c r="FK327" t="str">
        <v>ZAMBRANO VERA MONICA JANETH</v>
      </c>
      <c r="FL327" t="str">
        <v>VERA DELGADO BRYAN ADRIÁN</v>
      </c>
      <c r="FM327" t="str">
        <v>MORAN GONZALES DAVID RENATO</v>
      </c>
      <c r="FN327">
        <v>0</v>
      </c>
    </row>
    <row r="328" spans="1:170" ht="20.25" customHeight="1">
      <c r="A328" s="4" t="str" cm="1">
        <f t="array" ref="A328">TRANSPOSE(_xlfn.UNIQUE(_xlfn._xlws.FILTER(MAE_ASIGNATURA[ID_NIVEL],MAE_ASIGNATURA[ID_CARRERA]=ASIGNACION!$C328,"No existe información")))</f>
        <v>No existe información</v>
      </c>
      <c r="S328" s="4" t="str" cm="1">
        <f t="array" ref="S328">TRANSPOSE(_xlfn.UNIQUE(_xlfn._xlws.FILTER(MAE_ASIGNATURA[NOM_ASIG],(MAE_ASIGNATURA[ID_NIVEL]=ASIGNACION!$D328)*(MAE_ASIGNATURA[ID_CARRERA]=ASIGNACION!$C328),"No existe información")))</f>
        <v>No existe información</v>
      </c>
      <c r="BD328" s="4" t="str" cm="1">
        <f t="array" ref="BD328">TRANSPOSE(_xlfn.UNIQUE(_xlfn._xlws.FILTER(DET_ASIG[DETALLADO],(DET_ASIG[ID_CARRERA]=ASIGNACION!$C328)*(DET_ASIG[NIVEL]=ASIGNACION!$D328)*(DET_ASIG[ID_ASIG]=ASIGNACION!$G328),"No existe información")))</f>
        <v>No existe información</v>
      </c>
      <c r="BQ328" s="5" t="str" cm="1">
        <f t="array" ref="BQ328">IFERROR(
    TRANSPOSE(
        _xlfn.UNIQUE(
            _xlfn._xlws.FILTER(MAESTRIA_DETALLADO[MAESTRIA],
                ISNUMBER(MATCH(MAESTRIA_DETALLADO[CAMPO_DETALLADO],
                BD328:BP328,0))
            )
        )
    ),IF(BD328="ACTIVIDAD","DOCENCIA",""))</f>
        <v/>
      </c>
      <c r="EA328" s="5" t="str" cm="1">
        <f t="array" ref="EA328:FN328">IF(
    ASIGNACION!I328="SI",
    IFERROR(
        TRANSPOSE(
            _xlfn.UNIQUE(
                _xlfn._xlws.FILTER(EDU_DOCENTE[NOMBRE_DOCENTE],
                    ISNUMBER(MATCH(EDU_DOCENTE[MAESTRIA],
                    BQ328:DY328,0))
                )
            )
        ),
        ""
    ),
    TRANSPOSE(
        _xlfn.UNIQUE(EDU_DOCENTE[NOMBRE_DOCENTE]
        )
    )
)</f>
        <v>ALCIVAR CEDEÑO BEATRIZ ISABEL</v>
      </c>
      <c r="EB328" t="str">
        <v>ALCIVAR VERA GEMA MICHELLE</v>
      </c>
      <c r="EC328" t="str">
        <v>ARAUZ CHAVEZ MARIO ROBERTO</v>
      </c>
      <c r="ED328" t="str">
        <v>BAILON LOURIDO WALTER ALBERTO</v>
      </c>
      <c r="EE328" t="str">
        <v>CALDERERO VILLAGOMEZ ERICK ANTONIO</v>
      </c>
      <c r="EF328" t="str">
        <v>CASTILLO GARCIA PAOLA GERMANIA</v>
      </c>
      <c r="EG328" t="str">
        <v>CEDEÑO CHOEZ PEDRO JAVIER</v>
      </c>
      <c r="EH328" t="str">
        <v>CEVALLOS HOPPE JUAN CARLOS</v>
      </c>
      <c r="EI328" t="str">
        <v>DELGADO CHAVEZ MARIA IRASEMA</v>
      </c>
      <c r="EJ328" t="str">
        <v>DUARTE VALENCIA CRISTHIAN DARIO</v>
      </c>
      <c r="EK328" t="str">
        <v>FORTTY BARBERAN DENNY ALEXANDER</v>
      </c>
      <c r="EL328" t="str">
        <v>GUTIERREZ ZAMBRANO CARMEN EBELINA</v>
      </c>
      <c r="EM328" t="str">
        <v>INTRIAGO MOLINA GEMA VALERIA</v>
      </c>
      <c r="EN328" t="str">
        <v>LINO VELEZ LEONEL LIVINGTON</v>
      </c>
      <c r="EO328" t="str">
        <v>LOOR ALCIVAR MARIA ILIANA</v>
      </c>
      <c r="EP328" t="str">
        <v>LOOR MIELES TANIA JACQUELINE</v>
      </c>
      <c r="EQ328" t="str">
        <v>LOOR SOLORZANO ROSA MARIA</v>
      </c>
      <c r="ER328" t="str">
        <v>LOPEZ DELGADO RONALD MAURICIO</v>
      </c>
      <c r="ES328" t="str">
        <v>MACIAS VALENCIA DAVID GABRIEL</v>
      </c>
      <c r="ET328" t="str">
        <v>MENDOZA ZAMORA WALTER MANUEL</v>
      </c>
      <c r="EU328" t="str">
        <v>MOLINA CEVALLOS MARIA LORENA</v>
      </c>
      <c r="EV328" t="str">
        <v>MURILLO DELGADO ISAAC GABRIEL</v>
      </c>
      <c r="EW328" t="str">
        <v>ANGULO MURILLO NAVIRA GISSELA</v>
      </c>
      <c r="EX328" t="str">
        <v>OCHOA SOLEDISPA NESTOR IVAN</v>
      </c>
      <c r="EY328" t="str">
        <v>PARRAGA FRANCO SILVANA MARIELA</v>
      </c>
      <c r="EZ328" t="str">
        <v>PINARGOTE VASQUEZ NANCY FABIOLA</v>
      </c>
      <c r="FA328" t="str">
        <v>REYES VELEZ PEDRO ENRIQUE</v>
      </c>
      <c r="FB328" t="str">
        <v>SAN ANDRES HORMAZA DALLAS CECILIA</v>
      </c>
      <c r="FC328" t="str">
        <v>SORNOZA ZAMORA JUAN CARLOS</v>
      </c>
      <c r="FD328" t="str">
        <v>TOMALA PINTO JESUS JACINTO</v>
      </c>
      <c r="FE328" t="str">
        <v>VALLE JARAMILLO SILVIA ARACELY</v>
      </c>
      <c r="FF328" t="str">
        <v>VELÁSQUEZ BRAVO IRMA KATHERINE</v>
      </c>
      <c r="FG328" t="str">
        <v>VELEZ MENDOZA LAYSY VALERIA</v>
      </c>
      <c r="FH328" t="str">
        <v>VINUEZA TELLO SHIRLEY ELIZABETH</v>
      </c>
      <c r="FI328" t="str">
        <v>ZAMBRANO ALCIVAR NILDA ISABEL</v>
      </c>
      <c r="FJ328" t="str">
        <v>ZAMBRANO LOOR RITA MAYDA</v>
      </c>
      <c r="FK328" t="str">
        <v>ZAMBRANO VERA MONICA JANETH</v>
      </c>
      <c r="FL328" t="str">
        <v>VERA DELGADO BRYAN ADRIÁN</v>
      </c>
      <c r="FM328" t="str">
        <v>MORAN GONZALES DAVID RENATO</v>
      </c>
      <c r="FN328">
        <v>0</v>
      </c>
    </row>
    <row r="329" spans="1:170" ht="20.25" customHeight="1">
      <c r="A329" s="4" t="str" cm="1">
        <f t="array" ref="A329">TRANSPOSE(_xlfn.UNIQUE(_xlfn._xlws.FILTER(MAE_ASIGNATURA[ID_NIVEL],MAE_ASIGNATURA[ID_CARRERA]=ASIGNACION!$C329,"No existe información")))</f>
        <v>No existe información</v>
      </c>
      <c r="S329" s="4" t="str" cm="1">
        <f t="array" ref="S329">TRANSPOSE(_xlfn.UNIQUE(_xlfn._xlws.FILTER(MAE_ASIGNATURA[NOM_ASIG],(MAE_ASIGNATURA[ID_NIVEL]=ASIGNACION!$D329)*(MAE_ASIGNATURA[ID_CARRERA]=ASIGNACION!$C329),"No existe información")))</f>
        <v>No existe información</v>
      </c>
      <c r="BD329" s="4" t="str" cm="1">
        <f t="array" ref="BD329">TRANSPOSE(_xlfn.UNIQUE(_xlfn._xlws.FILTER(DET_ASIG[DETALLADO],(DET_ASIG[ID_CARRERA]=ASIGNACION!$C329)*(DET_ASIG[NIVEL]=ASIGNACION!$D329)*(DET_ASIG[ID_ASIG]=ASIGNACION!$G329),"No existe información")))</f>
        <v>No existe información</v>
      </c>
      <c r="BQ329" s="5" t="str" cm="1">
        <f t="array" ref="BQ329">IFERROR(
    TRANSPOSE(
        _xlfn.UNIQUE(
            _xlfn._xlws.FILTER(MAESTRIA_DETALLADO[MAESTRIA],
                ISNUMBER(MATCH(MAESTRIA_DETALLADO[CAMPO_DETALLADO],
                BD329:BP329,0))
            )
        )
    ),IF(BD329="ACTIVIDAD","DOCENCIA",""))</f>
        <v/>
      </c>
      <c r="EA329" s="5" t="str" cm="1">
        <f t="array" ref="EA329:FN329">IF(
    ASIGNACION!I329="SI",
    IFERROR(
        TRANSPOSE(
            _xlfn.UNIQUE(
                _xlfn._xlws.FILTER(EDU_DOCENTE[NOMBRE_DOCENTE],
                    ISNUMBER(MATCH(EDU_DOCENTE[MAESTRIA],
                    BQ329:DY329,0))
                )
            )
        ),
        ""
    ),
    TRANSPOSE(
        _xlfn.UNIQUE(EDU_DOCENTE[NOMBRE_DOCENTE]
        )
    )
)</f>
        <v>ALCIVAR CEDEÑO BEATRIZ ISABEL</v>
      </c>
      <c r="EB329" t="str">
        <v>ALCIVAR VERA GEMA MICHELLE</v>
      </c>
      <c r="EC329" t="str">
        <v>ARAUZ CHAVEZ MARIO ROBERTO</v>
      </c>
      <c r="ED329" t="str">
        <v>BAILON LOURIDO WALTER ALBERTO</v>
      </c>
      <c r="EE329" t="str">
        <v>CALDERERO VILLAGOMEZ ERICK ANTONIO</v>
      </c>
      <c r="EF329" t="str">
        <v>CASTILLO GARCIA PAOLA GERMANIA</v>
      </c>
      <c r="EG329" t="str">
        <v>CEDEÑO CHOEZ PEDRO JAVIER</v>
      </c>
      <c r="EH329" t="str">
        <v>CEVALLOS HOPPE JUAN CARLOS</v>
      </c>
      <c r="EI329" t="str">
        <v>DELGADO CHAVEZ MARIA IRASEMA</v>
      </c>
      <c r="EJ329" t="str">
        <v>DUARTE VALENCIA CRISTHIAN DARIO</v>
      </c>
      <c r="EK329" t="str">
        <v>FORTTY BARBERAN DENNY ALEXANDER</v>
      </c>
      <c r="EL329" t="str">
        <v>GUTIERREZ ZAMBRANO CARMEN EBELINA</v>
      </c>
      <c r="EM329" t="str">
        <v>INTRIAGO MOLINA GEMA VALERIA</v>
      </c>
      <c r="EN329" t="str">
        <v>LINO VELEZ LEONEL LIVINGTON</v>
      </c>
      <c r="EO329" t="str">
        <v>LOOR ALCIVAR MARIA ILIANA</v>
      </c>
      <c r="EP329" t="str">
        <v>LOOR MIELES TANIA JACQUELINE</v>
      </c>
      <c r="EQ329" t="str">
        <v>LOOR SOLORZANO ROSA MARIA</v>
      </c>
      <c r="ER329" t="str">
        <v>LOPEZ DELGADO RONALD MAURICIO</v>
      </c>
      <c r="ES329" t="str">
        <v>MACIAS VALENCIA DAVID GABRIEL</v>
      </c>
      <c r="ET329" t="str">
        <v>MENDOZA ZAMORA WALTER MANUEL</v>
      </c>
      <c r="EU329" t="str">
        <v>MOLINA CEVALLOS MARIA LORENA</v>
      </c>
      <c r="EV329" t="str">
        <v>MURILLO DELGADO ISAAC GABRIEL</v>
      </c>
      <c r="EW329" t="str">
        <v>ANGULO MURILLO NAVIRA GISSELA</v>
      </c>
      <c r="EX329" t="str">
        <v>OCHOA SOLEDISPA NESTOR IVAN</v>
      </c>
      <c r="EY329" t="str">
        <v>PARRAGA FRANCO SILVANA MARIELA</v>
      </c>
      <c r="EZ329" t="str">
        <v>PINARGOTE VASQUEZ NANCY FABIOLA</v>
      </c>
      <c r="FA329" t="str">
        <v>REYES VELEZ PEDRO ENRIQUE</v>
      </c>
      <c r="FB329" t="str">
        <v>SAN ANDRES HORMAZA DALLAS CECILIA</v>
      </c>
      <c r="FC329" t="str">
        <v>SORNOZA ZAMORA JUAN CARLOS</v>
      </c>
      <c r="FD329" t="str">
        <v>TOMALA PINTO JESUS JACINTO</v>
      </c>
      <c r="FE329" t="str">
        <v>VALLE JARAMILLO SILVIA ARACELY</v>
      </c>
      <c r="FF329" t="str">
        <v>VELÁSQUEZ BRAVO IRMA KATHERINE</v>
      </c>
      <c r="FG329" t="str">
        <v>VELEZ MENDOZA LAYSY VALERIA</v>
      </c>
      <c r="FH329" t="str">
        <v>VINUEZA TELLO SHIRLEY ELIZABETH</v>
      </c>
      <c r="FI329" t="str">
        <v>ZAMBRANO ALCIVAR NILDA ISABEL</v>
      </c>
      <c r="FJ329" t="str">
        <v>ZAMBRANO LOOR RITA MAYDA</v>
      </c>
      <c r="FK329" t="str">
        <v>ZAMBRANO VERA MONICA JANETH</v>
      </c>
      <c r="FL329" t="str">
        <v>VERA DELGADO BRYAN ADRIÁN</v>
      </c>
      <c r="FM329" t="str">
        <v>MORAN GONZALES DAVID RENATO</v>
      </c>
      <c r="FN329">
        <v>0</v>
      </c>
    </row>
    <row r="330" spans="1:170" ht="20.25" customHeight="1">
      <c r="A330" s="4" t="str" cm="1">
        <f t="array" ref="A330">TRANSPOSE(_xlfn.UNIQUE(_xlfn._xlws.FILTER(MAE_ASIGNATURA[ID_NIVEL],MAE_ASIGNATURA[ID_CARRERA]=ASIGNACION!$C330,"No existe información")))</f>
        <v>No existe información</v>
      </c>
      <c r="S330" s="4" t="str" cm="1">
        <f t="array" ref="S330">TRANSPOSE(_xlfn.UNIQUE(_xlfn._xlws.FILTER(MAE_ASIGNATURA[NOM_ASIG],(MAE_ASIGNATURA[ID_NIVEL]=ASIGNACION!$D330)*(MAE_ASIGNATURA[ID_CARRERA]=ASIGNACION!$C330),"No existe información")))</f>
        <v>No existe información</v>
      </c>
      <c r="BD330" s="4" t="str" cm="1">
        <f t="array" ref="BD330">TRANSPOSE(_xlfn.UNIQUE(_xlfn._xlws.FILTER(DET_ASIG[DETALLADO],(DET_ASIG[ID_CARRERA]=ASIGNACION!$C330)*(DET_ASIG[NIVEL]=ASIGNACION!$D330)*(DET_ASIG[ID_ASIG]=ASIGNACION!$G330),"No existe información")))</f>
        <v>No existe información</v>
      </c>
      <c r="BQ330" s="5" t="str" cm="1">
        <f t="array" ref="BQ330">IFERROR(
    TRANSPOSE(
        _xlfn.UNIQUE(
            _xlfn._xlws.FILTER(MAESTRIA_DETALLADO[MAESTRIA],
                ISNUMBER(MATCH(MAESTRIA_DETALLADO[CAMPO_DETALLADO],
                BD330:BP330,0))
            )
        )
    ),IF(BD330="ACTIVIDAD","DOCENCIA",""))</f>
        <v/>
      </c>
      <c r="EA330" s="5" t="str" cm="1">
        <f t="array" ref="EA330:FN330">IF(
    ASIGNACION!I330="SI",
    IFERROR(
        TRANSPOSE(
            _xlfn.UNIQUE(
                _xlfn._xlws.FILTER(EDU_DOCENTE[NOMBRE_DOCENTE],
                    ISNUMBER(MATCH(EDU_DOCENTE[MAESTRIA],
                    BQ330:DY330,0))
                )
            )
        ),
        ""
    ),
    TRANSPOSE(
        _xlfn.UNIQUE(EDU_DOCENTE[NOMBRE_DOCENTE]
        )
    )
)</f>
        <v>ALCIVAR CEDEÑO BEATRIZ ISABEL</v>
      </c>
      <c r="EB330" t="str">
        <v>ALCIVAR VERA GEMA MICHELLE</v>
      </c>
      <c r="EC330" t="str">
        <v>ARAUZ CHAVEZ MARIO ROBERTO</v>
      </c>
      <c r="ED330" t="str">
        <v>BAILON LOURIDO WALTER ALBERTO</v>
      </c>
      <c r="EE330" t="str">
        <v>CALDERERO VILLAGOMEZ ERICK ANTONIO</v>
      </c>
      <c r="EF330" t="str">
        <v>CASTILLO GARCIA PAOLA GERMANIA</v>
      </c>
      <c r="EG330" t="str">
        <v>CEDEÑO CHOEZ PEDRO JAVIER</v>
      </c>
      <c r="EH330" t="str">
        <v>CEVALLOS HOPPE JUAN CARLOS</v>
      </c>
      <c r="EI330" t="str">
        <v>DELGADO CHAVEZ MARIA IRASEMA</v>
      </c>
      <c r="EJ330" t="str">
        <v>DUARTE VALENCIA CRISTHIAN DARIO</v>
      </c>
      <c r="EK330" t="str">
        <v>FORTTY BARBERAN DENNY ALEXANDER</v>
      </c>
      <c r="EL330" t="str">
        <v>GUTIERREZ ZAMBRANO CARMEN EBELINA</v>
      </c>
      <c r="EM330" t="str">
        <v>INTRIAGO MOLINA GEMA VALERIA</v>
      </c>
      <c r="EN330" t="str">
        <v>LINO VELEZ LEONEL LIVINGTON</v>
      </c>
      <c r="EO330" t="str">
        <v>LOOR ALCIVAR MARIA ILIANA</v>
      </c>
      <c r="EP330" t="str">
        <v>LOOR MIELES TANIA JACQUELINE</v>
      </c>
      <c r="EQ330" t="str">
        <v>LOOR SOLORZANO ROSA MARIA</v>
      </c>
      <c r="ER330" t="str">
        <v>LOPEZ DELGADO RONALD MAURICIO</v>
      </c>
      <c r="ES330" t="str">
        <v>MACIAS VALENCIA DAVID GABRIEL</v>
      </c>
      <c r="ET330" t="str">
        <v>MENDOZA ZAMORA WALTER MANUEL</v>
      </c>
      <c r="EU330" t="str">
        <v>MOLINA CEVALLOS MARIA LORENA</v>
      </c>
      <c r="EV330" t="str">
        <v>MURILLO DELGADO ISAAC GABRIEL</v>
      </c>
      <c r="EW330" t="str">
        <v>ANGULO MURILLO NAVIRA GISSELA</v>
      </c>
      <c r="EX330" t="str">
        <v>OCHOA SOLEDISPA NESTOR IVAN</v>
      </c>
      <c r="EY330" t="str">
        <v>PARRAGA FRANCO SILVANA MARIELA</v>
      </c>
      <c r="EZ330" t="str">
        <v>PINARGOTE VASQUEZ NANCY FABIOLA</v>
      </c>
      <c r="FA330" t="str">
        <v>REYES VELEZ PEDRO ENRIQUE</v>
      </c>
      <c r="FB330" t="str">
        <v>SAN ANDRES HORMAZA DALLAS CECILIA</v>
      </c>
      <c r="FC330" t="str">
        <v>SORNOZA ZAMORA JUAN CARLOS</v>
      </c>
      <c r="FD330" t="str">
        <v>TOMALA PINTO JESUS JACINTO</v>
      </c>
      <c r="FE330" t="str">
        <v>VALLE JARAMILLO SILVIA ARACELY</v>
      </c>
      <c r="FF330" t="str">
        <v>VELÁSQUEZ BRAVO IRMA KATHERINE</v>
      </c>
      <c r="FG330" t="str">
        <v>VELEZ MENDOZA LAYSY VALERIA</v>
      </c>
      <c r="FH330" t="str">
        <v>VINUEZA TELLO SHIRLEY ELIZABETH</v>
      </c>
      <c r="FI330" t="str">
        <v>ZAMBRANO ALCIVAR NILDA ISABEL</v>
      </c>
      <c r="FJ330" t="str">
        <v>ZAMBRANO LOOR RITA MAYDA</v>
      </c>
      <c r="FK330" t="str">
        <v>ZAMBRANO VERA MONICA JANETH</v>
      </c>
      <c r="FL330" t="str">
        <v>VERA DELGADO BRYAN ADRIÁN</v>
      </c>
      <c r="FM330" t="str">
        <v>MORAN GONZALES DAVID RENATO</v>
      </c>
      <c r="FN330">
        <v>0</v>
      </c>
    </row>
    <row r="331" spans="1:170" ht="20.25" customHeight="1">
      <c r="A331" s="4" t="str" cm="1">
        <f t="array" ref="A331">TRANSPOSE(_xlfn.UNIQUE(_xlfn._xlws.FILTER(MAE_ASIGNATURA[ID_NIVEL],MAE_ASIGNATURA[ID_CARRERA]=ASIGNACION!$C331,"No existe información")))</f>
        <v>No existe información</v>
      </c>
      <c r="S331" s="4" t="str" cm="1">
        <f t="array" ref="S331">TRANSPOSE(_xlfn.UNIQUE(_xlfn._xlws.FILTER(MAE_ASIGNATURA[NOM_ASIG],(MAE_ASIGNATURA[ID_NIVEL]=ASIGNACION!$D331)*(MAE_ASIGNATURA[ID_CARRERA]=ASIGNACION!$C331),"No existe información")))</f>
        <v>No existe información</v>
      </c>
      <c r="BD331" s="4" t="str" cm="1">
        <f t="array" ref="BD331">TRANSPOSE(_xlfn.UNIQUE(_xlfn._xlws.FILTER(DET_ASIG[DETALLADO],(DET_ASIG[ID_CARRERA]=ASIGNACION!$C331)*(DET_ASIG[NIVEL]=ASIGNACION!$D331)*(DET_ASIG[ID_ASIG]=ASIGNACION!$G331),"No existe información")))</f>
        <v>No existe información</v>
      </c>
      <c r="BQ331" s="5" t="str" cm="1">
        <f t="array" ref="BQ331">IFERROR(
    TRANSPOSE(
        _xlfn.UNIQUE(
            _xlfn._xlws.FILTER(MAESTRIA_DETALLADO[MAESTRIA],
                ISNUMBER(MATCH(MAESTRIA_DETALLADO[CAMPO_DETALLADO],
                BD331:BP331,0))
            )
        )
    ),IF(BD331="ACTIVIDAD","DOCENCIA",""))</f>
        <v/>
      </c>
      <c r="EA331" s="5" t="str" cm="1">
        <f t="array" ref="EA331:FN331">IF(
    ASIGNACION!I331="SI",
    IFERROR(
        TRANSPOSE(
            _xlfn.UNIQUE(
                _xlfn._xlws.FILTER(EDU_DOCENTE[NOMBRE_DOCENTE],
                    ISNUMBER(MATCH(EDU_DOCENTE[MAESTRIA],
                    BQ331:DY331,0))
                )
            )
        ),
        ""
    ),
    TRANSPOSE(
        _xlfn.UNIQUE(EDU_DOCENTE[NOMBRE_DOCENTE]
        )
    )
)</f>
        <v>ALCIVAR CEDEÑO BEATRIZ ISABEL</v>
      </c>
      <c r="EB331" t="str">
        <v>ALCIVAR VERA GEMA MICHELLE</v>
      </c>
      <c r="EC331" t="str">
        <v>ARAUZ CHAVEZ MARIO ROBERTO</v>
      </c>
      <c r="ED331" t="str">
        <v>BAILON LOURIDO WALTER ALBERTO</v>
      </c>
      <c r="EE331" t="str">
        <v>CALDERERO VILLAGOMEZ ERICK ANTONIO</v>
      </c>
      <c r="EF331" t="str">
        <v>CASTILLO GARCIA PAOLA GERMANIA</v>
      </c>
      <c r="EG331" t="str">
        <v>CEDEÑO CHOEZ PEDRO JAVIER</v>
      </c>
      <c r="EH331" t="str">
        <v>CEVALLOS HOPPE JUAN CARLOS</v>
      </c>
      <c r="EI331" t="str">
        <v>DELGADO CHAVEZ MARIA IRASEMA</v>
      </c>
      <c r="EJ331" t="str">
        <v>DUARTE VALENCIA CRISTHIAN DARIO</v>
      </c>
      <c r="EK331" t="str">
        <v>FORTTY BARBERAN DENNY ALEXANDER</v>
      </c>
      <c r="EL331" t="str">
        <v>GUTIERREZ ZAMBRANO CARMEN EBELINA</v>
      </c>
      <c r="EM331" t="str">
        <v>INTRIAGO MOLINA GEMA VALERIA</v>
      </c>
      <c r="EN331" t="str">
        <v>LINO VELEZ LEONEL LIVINGTON</v>
      </c>
      <c r="EO331" t="str">
        <v>LOOR ALCIVAR MARIA ILIANA</v>
      </c>
      <c r="EP331" t="str">
        <v>LOOR MIELES TANIA JACQUELINE</v>
      </c>
      <c r="EQ331" t="str">
        <v>LOOR SOLORZANO ROSA MARIA</v>
      </c>
      <c r="ER331" t="str">
        <v>LOPEZ DELGADO RONALD MAURICIO</v>
      </c>
      <c r="ES331" t="str">
        <v>MACIAS VALENCIA DAVID GABRIEL</v>
      </c>
      <c r="ET331" t="str">
        <v>MENDOZA ZAMORA WALTER MANUEL</v>
      </c>
      <c r="EU331" t="str">
        <v>MOLINA CEVALLOS MARIA LORENA</v>
      </c>
      <c r="EV331" t="str">
        <v>MURILLO DELGADO ISAAC GABRIEL</v>
      </c>
      <c r="EW331" t="str">
        <v>ANGULO MURILLO NAVIRA GISSELA</v>
      </c>
      <c r="EX331" t="str">
        <v>OCHOA SOLEDISPA NESTOR IVAN</v>
      </c>
      <c r="EY331" t="str">
        <v>PARRAGA FRANCO SILVANA MARIELA</v>
      </c>
      <c r="EZ331" t="str">
        <v>PINARGOTE VASQUEZ NANCY FABIOLA</v>
      </c>
      <c r="FA331" t="str">
        <v>REYES VELEZ PEDRO ENRIQUE</v>
      </c>
      <c r="FB331" t="str">
        <v>SAN ANDRES HORMAZA DALLAS CECILIA</v>
      </c>
      <c r="FC331" t="str">
        <v>SORNOZA ZAMORA JUAN CARLOS</v>
      </c>
      <c r="FD331" t="str">
        <v>TOMALA PINTO JESUS JACINTO</v>
      </c>
      <c r="FE331" t="str">
        <v>VALLE JARAMILLO SILVIA ARACELY</v>
      </c>
      <c r="FF331" t="str">
        <v>VELÁSQUEZ BRAVO IRMA KATHERINE</v>
      </c>
      <c r="FG331" t="str">
        <v>VELEZ MENDOZA LAYSY VALERIA</v>
      </c>
      <c r="FH331" t="str">
        <v>VINUEZA TELLO SHIRLEY ELIZABETH</v>
      </c>
      <c r="FI331" t="str">
        <v>ZAMBRANO ALCIVAR NILDA ISABEL</v>
      </c>
      <c r="FJ331" t="str">
        <v>ZAMBRANO LOOR RITA MAYDA</v>
      </c>
      <c r="FK331" t="str">
        <v>ZAMBRANO VERA MONICA JANETH</v>
      </c>
      <c r="FL331" t="str">
        <v>VERA DELGADO BRYAN ADRIÁN</v>
      </c>
      <c r="FM331" t="str">
        <v>MORAN GONZALES DAVID RENATO</v>
      </c>
      <c r="FN331">
        <v>0</v>
      </c>
    </row>
    <row r="332" spans="1:170" ht="20.25" customHeight="1">
      <c r="A332" s="4" t="str" cm="1">
        <f t="array" ref="A332">TRANSPOSE(_xlfn.UNIQUE(_xlfn._xlws.FILTER(MAE_ASIGNATURA[ID_NIVEL],MAE_ASIGNATURA[ID_CARRERA]=ASIGNACION!$C332,"No existe información")))</f>
        <v>No existe información</v>
      </c>
      <c r="S332" s="4" t="str" cm="1">
        <f t="array" ref="S332">TRANSPOSE(_xlfn.UNIQUE(_xlfn._xlws.FILTER(MAE_ASIGNATURA[NOM_ASIG],(MAE_ASIGNATURA[ID_NIVEL]=ASIGNACION!$D332)*(MAE_ASIGNATURA[ID_CARRERA]=ASIGNACION!$C332),"No existe información")))</f>
        <v>No existe información</v>
      </c>
      <c r="BD332" s="4" t="str" cm="1">
        <f t="array" ref="BD332">TRANSPOSE(_xlfn.UNIQUE(_xlfn._xlws.FILTER(DET_ASIG[DETALLADO],(DET_ASIG[ID_CARRERA]=ASIGNACION!$C332)*(DET_ASIG[NIVEL]=ASIGNACION!$D332)*(DET_ASIG[ID_ASIG]=ASIGNACION!$G332),"No existe información")))</f>
        <v>No existe información</v>
      </c>
      <c r="BQ332" s="5" t="str" cm="1">
        <f t="array" ref="BQ332">IFERROR(
    TRANSPOSE(
        _xlfn.UNIQUE(
            _xlfn._xlws.FILTER(MAESTRIA_DETALLADO[MAESTRIA],
                ISNUMBER(MATCH(MAESTRIA_DETALLADO[CAMPO_DETALLADO],
                BD332:BP332,0))
            )
        )
    ),IF(BD332="ACTIVIDAD","DOCENCIA",""))</f>
        <v/>
      </c>
      <c r="EA332" s="5" t="str" cm="1">
        <f t="array" ref="EA332:FN332">IF(
    ASIGNACION!I332="SI",
    IFERROR(
        TRANSPOSE(
            _xlfn.UNIQUE(
                _xlfn._xlws.FILTER(EDU_DOCENTE[NOMBRE_DOCENTE],
                    ISNUMBER(MATCH(EDU_DOCENTE[MAESTRIA],
                    BQ332:DY332,0))
                )
            )
        ),
        ""
    ),
    TRANSPOSE(
        _xlfn.UNIQUE(EDU_DOCENTE[NOMBRE_DOCENTE]
        )
    )
)</f>
        <v>ALCIVAR CEDEÑO BEATRIZ ISABEL</v>
      </c>
      <c r="EB332" t="str">
        <v>ALCIVAR VERA GEMA MICHELLE</v>
      </c>
      <c r="EC332" t="str">
        <v>ARAUZ CHAVEZ MARIO ROBERTO</v>
      </c>
      <c r="ED332" t="str">
        <v>BAILON LOURIDO WALTER ALBERTO</v>
      </c>
      <c r="EE332" t="str">
        <v>CALDERERO VILLAGOMEZ ERICK ANTONIO</v>
      </c>
      <c r="EF332" t="str">
        <v>CASTILLO GARCIA PAOLA GERMANIA</v>
      </c>
      <c r="EG332" t="str">
        <v>CEDEÑO CHOEZ PEDRO JAVIER</v>
      </c>
      <c r="EH332" t="str">
        <v>CEVALLOS HOPPE JUAN CARLOS</v>
      </c>
      <c r="EI332" t="str">
        <v>DELGADO CHAVEZ MARIA IRASEMA</v>
      </c>
      <c r="EJ332" t="str">
        <v>DUARTE VALENCIA CRISTHIAN DARIO</v>
      </c>
      <c r="EK332" t="str">
        <v>FORTTY BARBERAN DENNY ALEXANDER</v>
      </c>
      <c r="EL332" t="str">
        <v>GUTIERREZ ZAMBRANO CARMEN EBELINA</v>
      </c>
      <c r="EM332" t="str">
        <v>INTRIAGO MOLINA GEMA VALERIA</v>
      </c>
      <c r="EN332" t="str">
        <v>LINO VELEZ LEONEL LIVINGTON</v>
      </c>
      <c r="EO332" t="str">
        <v>LOOR ALCIVAR MARIA ILIANA</v>
      </c>
      <c r="EP332" t="str">
        <v>LOOR MIELES TANIA JACQUELINE</v>
      </c>
      <c r="EQ332" t="str">
        <v>LOOR SOLORZANO ROSA MARIA</v>
      </c>
      <c r="ER332" t="str">
        <v>LOPEZ DELGADO RONALD MAURICIO</v>
      </c>
      <c r="ES332" t="str">
        <v>MACIAS VALENCIA DAVID GABRIEL</v>
      </c>
      <c r="ET332" t="str">
        <v>MENDOZA ZAMORA WALTER MANUEL</v>
      </c>
      <c r="EU332" t="str">
        <v>MOLINA CEVALLOS MARIA LORENA</v>
      </c>
      <c r="EV332" t="str">
        <v>MURILLO DELGADO ISAAC GABRIEL</v>
      </c>
      <c r="EW332" t="str">
        <v>ANGULO MURILLO NAVIRA GISSELA</v>
      </c>
      <c r="EX332" t="str">
        <v>OCHOA SOLEDISPA NESTOR IVAN</v>
      </c>
      <c r="EY332" t="str">
        <v>PARRAGA FRANCO SILVANA MARIELA</v>
      </c>
      <c r="EZ332" t="str">
        <v>PINARGOTE VASQUEZ NANCY FABIOLA</v>
      </c>
      <c r="FA332" t="str">
        <v>REYES VELEZ PEDRO ENRIQUE</v>
      </c>
      <c r="FB332" t="str">
        <v>SAN ANDRES HORMAZA DALLAS CECILIA</v>
      </c>
      <c r="FC332" t="str">
        <v>SORNOZA ZAMORA JUAN CARLOS</v>
      </c>
      <c r="FD332" t="str">
        <v>TOMALA PINTO JESUS JACINTO</v>
      </c>
      <c r="FE332" t="str">
        <v>VALLE JARAMILLO SILVIA ARACELY</v>
      </c>
      <c r="FF332" t="str">
        <v>VELÁSQUEZ BRAVO IRMA KATHERINE</v>
      </c>
      <c r="FG332" t="str">
        <v>VELEZ MENDOZA LAYSY VALERIA</v>
      </c>
      <c r="FH332" t="str">
        <v>VINUEZA TELLO SHIRLEY ELIZABETH</v>
      </c>
      <c r="FI332" t="str">
        <v>ZAMBRANO ALCIVAR NILDA ISABEL</v>
      </c>
      <c r="FJ332" t="str">
        <v>ZAMBRANO LOOR RITA MAYDA</v>
      </c>
      <c r="FK332" t="str">
        <v>ZAMBRANO VERA MONICA JANETH</v>
      </c>
      <c r="FL332" t="str">
        <v>VERA DELGADO BRYAN ADRIÁN</v>
      </c>
      <c r="FM332" t="str">
        <v>MORAN GONZALES DAVID RENATO</v>
      </c>
      <c r="FN332">
        <v>0</v>
      </c>
    </row>
    <row r="333" spans="1:170" ht="20.25" customHeight="1">
      <c r="A333" s="4" t="str" cm="1">
        <f t="array" ref="A333">TRANSPOSE(_xlfn.UNIQUE(_xlfn._xlws.FILTER(MAE_ASIGNATURA[ID_NIVEL],MAE_ASIGNATURA[ID_CARRERA]=ASIGNACION!$C333,"No existe información")))</f>
        <v>No existe información</v>
      </c>
      <c r="S333" s="4" t="str" cm="1">
        <f t="array" ref="S333">TRANSPOSE(_xlfn.UNIQUE(_xlfn._xlws.FILTER(MAE_ASIGNATURA[NOM_ASIG],(MAE_ASIGNATURA[ID_NIVEL]=ASIGNACION!$D333)*(MAE_ASIGNATURA[ID_CARRERA]=ASIGNACION!$C333),"No existe información")))</f>
        <v>No existe información</v>
      </c>
      <c r="BD333" s="4" t="str" cm="1">
        <f t="array" ref="BD333">TRANSPOSE(_xlfn.UNIQUE(_xlfn._xlws.FILTER(DET_ASIG[DETALLADO],(DET_ASIG[ID_CARRERA]=ASIGNACION!$C333)*(DET_ASIG[NIVEL]=ASIGNACION!$D333)*(DET_ASIG[ID_ASIG]=ASIGNACION!$G333),"No existe información")))</f>
        <v>No existe información</v>
      </c>
      <c r="BQ333" s="5" t="str" cm="1">
        <f t="array" ref="BQ333">IFERROR(
    TRANSPOSE(
        _xlfn.UNIQUE(
            _xlfn._xlws.FILTER(MAESTRIA_DETALLADO[MAESTRIA],
                ISNUMBER(MATCH(MAESTRIA_DETALLADO[CAMPO_DETALLADO],
                BD333:BP333,0))
            )
        )
    ),IF(BD333="ACTIVIDAD","DOCENCIA",""))</f>
        <v/>
      </c>
      <c r="EA333" s="5" t="str" cm="1">
        <f t="array" ref="EA333:FN333">IF(
    ASIGNACION!I333="SI",
    IFERROR(
        TRANSPOSE(
            _xlfn.UNIQUE(
                _xlfn._xlws.FILTER(EDU_DOCENTE[NOMBRE_DOCENTE],
                    ISNUMBER(MATCH(EDU_DOCENTE[MAESTRIA],
                    BQ333:DY333,0))
                )
            )
        ),
        ""
    ),
    TRANSPOSE(
        _xlfn.UNIQUE(EDU_DOCENTE[NOMBRE_DOCENTE]
        )
    )
)</f>
        <v>ALCIVAR CEDEÑO BEATRIZ ISABEL</v>
      </c>
      <c r="EB333" t="str">
        <v>ALCIVAR VERA GEMA MICHELLE</v>
      </c>
      <c r="EC333" t="str">
        <v>ARAUZ CHAVEZ MARIO ROBERTO</v>
      </c>
      <c r="ED333" t="str">
        <v>BAILON LOURIDO WALTER ALBERTO</v>
      </c>
      <c r="EE333" t="str">
        <v>CALDERERO VILLAGOMEZ ERICK ANTONIO</v>
      </c>
      <c r="EF333" t="str">
        <v>CASTILLO GARCIA PAOLA GERMANIA</v>
      </c>
      <c r="EG333" t="str">
        <v>CEDEÑO CHOEZ PEDRO JAVIER</v>
      </c>
      <c r="EH333" t="str">
        <v>CEVALLOS HOPPE JUAN CARLOS</v>
      </c>
      <c r="EI333" t="str">
        <v>DELGADO CHAVEZ MARIA IRASEMA</v>
      </c>
      <c r="EJ333" t="str">
        <v>DUARTE VALENCIA CRISTHIAN DARIO</v>
      </c>
      <c r="EK333" t="str">
        <v>FORTTY BARBERAN DENNY ALEXANDER</v>
      </c>
      <c r="EL333" t="str">
        <v>GUTIERREZ ZAMBRANO CARMEN EBELINA</v>
      </c>
      <c r="EM333" t="str">
        <v>INTRIAGO MOLINA GEMA VALERIA</v>
      </c>
      <c r="EN333" t="str">
        <v>LINO VELEZ LEONEL LIVINGTON</v>
      </c>
      <c r="EO333" t="str">
        <v>LOOR ALCIVAR MARIA ILIANA</v>
      </c>
      <c r="EP333" t="str">
        <v>LOOR MIELES TANIA JACQUELINE</v>
      </c>
      <c r="EQ333" t="str">
        <v>LOOR SOLORZANO ROSA MARIA</v>
      </c>
      <c r="ER333" t="str">
        <v>LOPEZ DELGADO RONALD MAURICIO</v>
      </c>
      <c r="ES333" t="str">
        <v>MACIAS VALENCIA DAVID GABRIEL</v>
      </c>
      <c r="ET333" t="str">
        <v>MENDOZA ZAMORA WALTER MANUEL</v>
      </c>
      <c r="EU333" t="str">
        <v>MOLINA CEVALLOS MARIA LORENA</v>
      </c>
      <c r="EV333" t="str">
        <v>MURILLO DELGADO ISAAC GABRIEL</v>
      </c>
      <c r="EW333" t="str">
        <v>ANGULO MURILLO NAVIRA GISSELA</v>
      </c>
      <c r="EX333" t="str">
        <v>OCHOA SOLEDISPA NESTOR IVAN</v>
      </c>
      <c r="EY333" t="str">
        <v>PARRAGA FRANCO SILVANA MARIELA</v>
      </c>
      <c r="EZ333" t="str">
        <v>PINARGOTE VASQUEZ NANCY FABIOLA</v>
      </c>
      <c r="FA333" t="str">
        <v>REYES VELEZ PEDRO ENRIQUE</v>
      </c>
      <c r="FB333" t="str">
        <v>SAN ANDRES HORMAZA DALLAS CECILIA</v>
      </c>
      <c r="FC333" t="str">
        <v>SORNOZA ZAMORA JUAN CARLOS</v>
      </c>
      <c r="FD333" t="str">
        <v>TOMALA PINTO JESUS JACINTO</v>
      </c>
      <c r="FE333" t="str">
        <v>VALLE JARAMILLO SILVIA ARACELY</v>
      </c>
      <c r="FF333" t="str">
        <v>VELÁSQUEZ BRAVO IRMA KATHERINE</v>
      </c>
      <c r="FG333" t="str">
        <v>VELEZ MENDOZA LAYSY VALERIA</v>
      </c>
      <c r="FH333" t="str">
        <v>VINUEZA TELLO SHIRLEY ELIZABETH</v>
      </c>
      <c r="FI333" t="str">
        <v>ZAMBRANO ALCIVAR NILDA ISABEL</v>
      </c>
      <c r="FJ333" t="str">
        <v>ZAMBRANO LOOR RITA MAYDA</v>
      </c>
      <c r="FK333" t="str">
        <v>ZAMBRANO VERA MONICA JANETH</v>
      </c>
      <c r="FL333" t="str">
        <v>VERA DELGADO BRYAN ADRIÁN</v>
      </c>
      <c r="FM333" t="str">
        <v>MORAN GONZALES DAVID RENATO</v>
      </c>
      <c r="FN333">
        <v>0</v>
      </c>
    </row>
    <row r="334" spans="1:170" ht="20.25" customHeight="1">
      <c r="A334" s="4" t="str" cm="1">
        <f t="array" ref="A334">TRANSPOSE(_xlfn.UNIQUE(_xlfn._xlws.FILTER(MAE_ASIGNATURA[ID_NIVEL],MAE_ASIGNATURA[ID_CARRERA]=ASIGNACION!$C334,"No existe información")))</f>
        <v>No existe información</v>
      </c>
      <c r="S334" s="4" t="str" cm="1">
        <f t="array" ref="S334">TRANSPOSE(_xlfn.UNIQUE(_xlfn._xlws.FILTER(MAE_ASIGNATURA[NOM_ASIG],(MAE_ASIGNATURA[ID_NIVEL]=ASIGNACION!$D334)*(MAE_ASIGNATURA[ID_CARRERA]=ASIGNACION!$C334),"No existe información")))</f>
        <v>No existe información</v>
      </c>
      <c r="BD334" s="4" t="str" cm="1">
        <f t="array" ref="BD334">TRANSPOSE(_xlfn.UNIQUE(_xlfn._xlws.FILTER(DET_ASIG[DETALLADO],(DET_ASIG[ID_CARRERA]=ASIGNACION!$C334)*(DET_ASIG[NIVEL]=ASIGNACION!$D334)*(DET_ASIG[ID_ASIG]=ASIGNACION!$G334),"No existe información")))</f>
        <v>No existe información</v>
      </c>
      <c r="BQ334" s="5" t="str" cm="1">
        <f t="array" ref="BQ334">IFERROR(
    TRANSPOSE(
        _xlfn.UNIQUE(
            _xlfn._xlws.FILTER(MAESTRIA_DETALLADO[MAESTRIA],
                ISNUMBER(MATCH(MAESTRIA_DETALLADO[CAMPO_DETALLADO],
                BD334:BP334,0))
            )
        )
    ),IF(BD334="ACTIVIDAD","DOCENCIA",""))</f>
        <v/>
      </c>
      <c r="EA334" s="5" t="str" cm="1">
        <f t="array" ref="EA334:FN334">IF(
    ASIGNACION!I334="SI",
    IFERROR(
        TRANSPOSE(
            _xlfn.UNIQUE(
                _xlfn._xlws.FILTER(EDU_DOCENTE[NOMBRE_DOCENTE],
                    ISNUMBER(MATCH(EDU_DOCENTE[MAESTRIA],
                    BQ334:DY334,0))
                )
            )
        ),
        ""
    ),
    TRANSPOSE(
        _xlfn.UNIQUE(EDU_DOCENTE[NOMBRE_DOCENTE]
        )
    )
)</f>
        <v>ALCIVAR CEDEÑO BEATRIZ ISABEL</v>
      </c>
      <c r="EB334" t="str">
        <v>ALCIVAR VERA GEMA MICHELLE</v>
      </c>
      <c r="EC334" t="str">
        <v>ARAUZ CHAVEZ MARIO ROBERTO</v>
      </c>
      <c r="ED334" t="str">
        <v>BAILON LOURIDO WALTER ALBERTO</v>
      </c>
      <c r="EE334" t="str">
        <v>CALDERERO VILLAGOMEZ ERICK ANTONIO</v>
      </c>
      <c r="EF334" t="str">
        <v>CASTILLO GARCIA PAOLA GERMANIA</v>
      </c>
      <c r="EG334" t="str">
        <v>CEDEÑO CHOEZ PEDRO JAVIER</v>
      </c>
      <c r="EH334" t="str">
        <v>CEVALLOS HOPPE JUAN CARLOS</v>
      </c>
      <c r="EI334" t="str">
        <v>DELGADO CHAVEZ MARIA IRASEMA</v>
      </c>
      <c r="EJ334" t="str">
        <v>DUARTE VALENCIA CRISTHIAN DARIO</v>
      </c>
      <c r="EK334" t="str">
        <v>FORTTY BARBERAN DENNY ALEXANDER</v>
      </c>
      <c r="EL334" t="str">
        <v>GUTIERREZ ZAMBRANO CARMEN EBELINA</v>
      </c>
      <c r="EM334" t="str">
        <v>INTRIAGO MOLINA GEMA VALERIA</v>
      </c>
      <c r="EN334" t="str">
        <v>LINO VELEZ LEONEL LIVINGTON</v>
      </c>
      <c r="EO334" t="str">
        <v>LOOR ALCIVAR MARIA ILIANA</v>
      </c>
      <c r="EP334" t="str">
        <v>LOOR MIELES TANIA JACQUELINE</v>
      </c>
      <c r="EQ334" t="str">
        <v>LOOR SOLORZANO ROSA MARIA</v>
      </c>
      <c r="ER334" t="str">
        <v>LOPEZ DELGADO RONALD MAURICIO</v>
      </c>
      <c r="ES334" t="str">
        <v>MACIAS VALENCIA DAVID GABRIEL</v>
      </c>
      <c r="ET334" t="str">
        <v>MENDOZA ZAMORA WALTER MANUEL</v>
      </c>
      <c r="EU334" t="str">
        <v>MOLINA CEVALLOS MARIA LORENA</v>
      </c>
      <c r="EV334" t="str">
        <v>MURILLO DELGADO ISAAC GABRIEL</v>
      </c>
      <c r="EW334" t="str">
        <v>ANGULO MURILLO NAVIRA GISSELA</v>
      </c>
      <c r="EX334" t="str">
        <v>OCHOA SOLEDISPA NESTOR IVAN</v>
      </c>
      <c r="EY334" t="str">
        <v>PARRAGA FRANCO SILVANA MARIELA</v>
      </c>
      <c r="EZ334" t="str">
        <v>PINARGOTE VASQUEZ NANCY FABIOLA</v>
      </c>
      <c r="FA334" t="str">
        <v>REYES VELEZ PEDRO ENRIQUE</v>
      </c>
      <c r="FB334" t="str">
        <v>SAN ANDRES HORMAZA DALLAS CECILIA</v>
      </c>
      <c r="FC334" t="str">
        <v>SORNOZA ZAMORA JUAN CARLOS</v>
      </c>
      <c r="FD334" t="str">
        <v>TOMALA PINTO JESUS JACINTO</v>
      </c>
      <c r="FE334" t="str">
        <v>VALLE JARAMILLO SILVIA ARACELY</v>
      </c>
      <c r="FF334" t="str">
        <v>VELÁSQUEZ BRAVO IRMA KATHERINE</v>
      </c>
      <c r="FG334" t="str">
        <v>VELEZ MENDOZA LAYSY VALERIA</v>
      </c>
      <c r="FH334" t="str">
        <v>VINUEZA TELLO SHIRLEY ELIZABETH</v>
      </c>
      <c r="FI334" t="str">
        <v>ZAMBRANO ALCIVAR NILDA ISABEL</v>
      </c>
      <c r="FJ334" t="str">
        <v>ZAMBRANO LOOR RITA MAYDA</v>
      </c>
      <c r="FK334" t="str">
        <v>ZAMBRANO VERA MONICA JANETH</v>
      </c>
      <c r="FL334" t="str">
        <v>VERA DELGADO BRYAN ADRIÁN</v>
      </c>
      <c r="FM334" t="str">
        <v>MORAN GONZALES DAVID RENATO</v>
      </c>
      <c r="FN334">
        <v>0</v>
      </c>
    </row>
    <row r="335" spans="1:170" ht="20.25" customHeight="1">
      <c r="A335" s="4" t="str" cm="1">
        <f t="array" ref="A335">TRANSPOSE(_xlfn.UNIQUE(_xlfn._xlws.FILTER(MAE_ASIGNATURA[ID_NIVEL],MAE_ASIGNATURA[ID_CARRERA]=ASIGNACION!$C335,"No existe información")))</f>
        <v>No existe información</v>
      </c>
      <c r="S335" s="4" t="str" cm="1">
        <f t="array" ref="S335">TRANSPOSE(_xlfn.UNIQUE(_xlfn._xlws.FILTER(MAE_ASIGNATURA[NOM_ASIG],(MAE_ASIGNATURA[ID_NIVEL]=ASIGNACION!$D335)*(MAE_ASIGNATURA[ID_CARRERA]=ASIGNACION!$C335),"No existe información")))</f>
        <v>No existe información</v>
      </c>
      <c r="BD335" s="4" t="str" cm="1">
        <f t="array" ref="BD335">TRANSPOSE(_xlfn.UNIQUE(_xlfn._xlws.FILTER(DET_ASIG[DETALLADO],(DET_ASIG[ID_CARRERA]=ASIGNACION!$C335)*(DET_ASIG[NIVEL]=ASIGNACION!$D335)*(DET_ASIG[ID_ASIG]=ASIGNACION!$G335),"No existe información")))</f>
        <v>No existe información</v>
      </c>
      <c r="BQ335" s="5" t="str" cm="1">
        <f t="array" ref="BQ335">IFERROR(
    TRANSPOSE(
        _xlfn.UNIQUE(
            _xlfn._xlws.FILTER(MAESTRIA_DETALLADO[MAESTRIA],
                ISNUMBER(MATCH(MAESTRIA_DETALLADO[CAMPO_DETALLADO],
                BD335:BP335,0))
            )
        )
    ),IF(BD335="ACTIVIDAD","DOCENCIA",""))</f>
        <v/>
      </c>
      <c r="EA335" s="5" t="str" cm="1">
        <f t="array" ref="EA335:FN335">IF(
    ASIGNACION!I335="SI",
    IFERROR(
        TRANSPOSE(
            _xlfn.UNIQUE(
                _xlfn._xlws.FILTER(EDU_DOCENTE[NOMBRE_DOCENTE],
                    ISNUMBER(MATCH(EDU_DOCENTE[MAESTRIA],
                    BQ335:DY335,0))
                )
            )
        ),
        ""
    ),
    TRANSPOSE(
        _xlfn.UNIQUE(EDU_DOCENTE[NOMBRE_DOCENTE]
        )
    )
)</f>
        <v>ALCIVAR CEDEÑO BEATRIZ ISABEL</v>
      </c>
      <c r="EB335" t="str">
        <v>ALCIVAR VERA GEMA MICHELLE</v>
      </c>
      <c r="EC335" t="str">
        <v>ARAUZ CHAVEZ MARIO ROBERTO</v>
      </c>
      <c r="ED335" t="str">
        <v>BAILON LOURIDO WALTER ALBERTO</v>
      </c>
      <c r="EE335" t="str">
        <v>CALDERERO VILLAGOMEZ ERICK ANTONIO</v>
      </c>
      <c r="EF335" t="str">
        <v>CASTILLO GARCIA PAOLA GERMANIA</v>
      </c>
      <c r="EG335" t="str">
        <v>CEDEÑO CHOEZ PEDRO JAVIER</v>
      </c>
      <c r="EH335" t="str">
        <v>CEVALLOS HOPPE JUAN CARLOS</v>
      </c>
      <c r="EI335" t="str">
        <v>DELGADO CHAVEZ MARIA IRASEMA</v>
      </c>
      <c r="EJ335" t="str">
        <v>DUARTE VALENCIA CRISTHIAN DARIO</v>
      </c>
      <c r="EK335" t="str">
        <v>FORTTY BARBERAN DENNY ALEXANDER</v>
      </c>
      <c r="EL335" t="str">
        <v>GUTIERREZ ZAMBRANO CARMEN EBELINA</v>
      </c>
      <c r="EM335" t="str">
        <v>INTRIAGO MOLINA GEMA VALERIA</v>
      </c>
      <c r="EN335" t="str">
        <v>LINO VELEZ LEONEL LIVINGTON</v>
      </c>
      <c r="EO335" t="str">
        <v>LOOR ALCIVAR MARIA ILIANA</v>
      </c>
      <c r="EP335" t="str">
        <v>LOOR MIELES TANIA JACQUELINE</v>
      </c>
      <c r="EQ335" t="str">
        <v>LOOR SOLORZANO ROSA MARIA</v>
      </c>
      <c r="ER335" t="str">
        <v>LOPEZ DELGADO RONALD MAURICIO</v>
      </c>
      <c r="ES335" t="str">
        <v>MACIAS VALENCIA DAVID GABRIEL</v>
      </c>
      <c r="ET335" t="str">
        <v>MENDOZA ZAMORA WALTER MANUEL</v>
      </c>
      <c r="EU335" t="str">
        <v>MOLINA CEVALLOS MARIA LORENA</v>
      </c>
      <c r="EV335" t="str">
        <v>MURILLO DELGADO ISAAC GABRIEL</v>
      </c>
      <c r="EW335" t="str">
        <v>ANGULO MURILLO NAVIRA GISSELA</v>
      </c>
      <c r="EX335" t="str">
        <v>OCHOA SOLEDISPA NESTOR IVAN</v>
      </c>
      <c r="EY335" t="str">
        <v>PARRAGA FRANCO SILVANA MARIELA</v>
      </c>
      <c r="EZ335" t="str">
        <v>PINARGOTE VASQUEZ NANCY FABIOLA</v>
      </c>
      <c r="FA335" t="str">
        <v>REYES VELEZ PEDRO ENRIQUE</v>
      </c>
      <c r="FB335" t="str">
        <v>SAN ANDRES HORMAZA DALLAS CECILIA</v>
      </c>
      <c r="FC335" t="str">
        <v>SORNOZA ZAMORA JUAN CARLOS</v>
      </c>
      <c r="FD335" t="str">
        <v>TOMALA PINTO JESUS JACINTO</v>
      </c>
      <c r="FE335" t="str">
        <v>VALLE JARAMILLO SILVIA ARACELY</v>
      </c>
      <c r="FF335" t="str">
        <v>VELÁSQUEZ BRAVO IRMA KATHERINE</v>
      </c>
      <c r="FG335" t="str">
        <v>VELEZ MENDOZA LAYSY VALERIA</v>
      </c>
      <c r="FH335" t="str">
        <v>VINUEZA TELLO SHIRLEY ELIZABETH</v>
      </c>
      <c r="FI335" t="str">
        <v>ZAMBRANO ALCIVAR NILDA ISABEL</v>
      </c>
      <c r="FJ335" t="str">
        <v>ZAMBRANO LOOR RITA MAYDA</v>
      </c>
      <c r="FK335" t="str">
        <v>ZAMBRANO VERA MONICA JANETH</v>
      </c>
      <c r="FL335" t="str">
        <v>VERA DELGADO BRYAN ADRIÁN</v>
      </c>
      <c r="FM335" t="str">
        <v>MORAN GONZALES DAVID RENATO</v>
      </c>
      <c r="FN335">
        <v>0</v>
      </c>
    </row>
    <row r="336" spans="1:170" ht="20.25" customHeight="1">
      <c r="A336" s="4" t="str" cm="1">
        <f t="array" ref="A336">TRANSPOSE(_xlfn.UNIQUE(_xlfn._xlws.FILTER(MAE_ASIGNATURA[ID_NIVEL],MAE_ASIGNATURA[ID_CARRERA]=ASIGNACION!$C336,"No existe información")))</f>
        <v>No existe información</v>
      </c>
      <c r="S336" s="4" t="str" cm="1">
        <f t="array" ref="S336">TRANSPOSE(_xlfn.UNIQUE(_xlfn._xlws.FILTER(MAE_ASIGNATURA[NOM_ASIG],(MAE_ASIGNATURA[ID_NIVEL]=ASIGNACION!$D336)*(MAE_ASIGNATURA[ID_CARRERA]=ASIGNACION!$C336),"No existe información")))</f>
        <v>No existe información</v>
      </c>
      <c r="BD336" s="4" t="str" cm="1">
        <f t="array" ref="BD336">TRANSPOSE(_xlfn.UNIQUE(_xlfn._xlws.FILTER(DET_ASIG[DETALLADO],(DET_ASIG[ID_CARRERA]=ASIGNACION!$C336)*(DET_ASIG[NIVEL]=ASIGNACION!$D336)*(DET_ASIG[ID_ASIG]=ASIGNACION!$G336),"No existe información")))</f>
        <v>No existe información</v>
      </c>
      <c r="BQ336" s="5" t="str" cm="1">
        <f t="array" ref="BQ336">IFERROR(
    TRANSPOSE(
        _xlfn.UNIQUE(
            _xlfn._xlws.FILTER(MAESTRIA_DETALLADO[MAESTRIA],
                ISNUMBER(MATCH(MAESTRIA_DETALLADO[CAMPO_DETALLADO],
                BD336:BP336,0))
            )
        )
    ),IF(BD336="ACTIVIDAD","DOCENCIA",""))</f>
        <v/>
      </c>
      <c r="EA336" s="5" t="str" cm="1">
        <f t="array" ref="EA336:FN336">IF(
    ASIGNACION!I336="SI",
    IFERROR(
        TRANSPOSE(
            _xlfn.UNIQUE(
                _xlfn._xlws.FILTER(EDU_DOCENTE[NOMBRE_DOCENTE],
                    ISNUMBER(MATCH(EDU_DOCENTE[MAESTRIA],
                    BQ336:DY336,0))
                )
            )
        ),
        ""
    ),
    TRANSPOSE(
        _xlfn.UNIQUE(EDU_DOCENTE[NOMBRE_DOCENTE]
        )
    )
)</f>
        <v>ALCIVAR CEDEÑO BEATRIZ ISABEL</v>
      </c>
      <c r="EB336" t="str">
        <v>ALCIVAR VERA GEMA MICHELLE</v>
      </c>
      <c r="EC336" t="str">
        <v>ARAUZ CHAVEZ MARIO ROBERTO</v>
      </c>
      <c r="ED336" t="str">
        <v>BAILON LOURIDO WALTER ALBERTO</v>
      </c>
      <c r="EE336" t="str">
        <v>CALDERERO VILLAGOMEZ ERICK ANTONIO</v>
      </c>
      <c r="EF336" t="str">
        <v>CASTILLO GARCIA PAOLA GERMANIA</v>
      </c>
      <c r="EG336" t="str">
        <v>CEDEÑO CHOEZ PEDRO JAVIER</v>
      </c>
      <c r="EH336" t="str">
        <v>CEVALLOS HOPPE JUAN CARLOS</v>
      </c>
      <c r="EI336" t="str">
        <v>DELGADO CHAVEZ MARIA IRASEMA</v>
      </c>
      <c r="EJ336" t="str">
        <v>DUARTE VALENCIA CRISTHIAN DARIO</v>
      </c>
      <c r="EK336" t="str">
        <v>FORTTY BARBERAN DENNY ALEXANDER</v>
      </c>
      <c r="EL336" t="str">
        <v>GUTIERREZ ZAMBRANO CARMEN EBELINA</v>
      </c>
      <c r="EM336" t="str">
        <v>INTRIAGO MOLINA GEMA VALERIA</v>
      </c>
      <c r="EN336" t="str">
        <v>LINO VELEZ LEONEL LIVINGTON</v>
      </c>
      <c r="EO336" t="str">
        <v>LOOR ALCIVAR MARIA ILIANA</v>
      </c>
      <c r="EP336" t="str">
        <v>LOOR MIELES TANIA JACQUELINE</v>
      </c>
      <c r="EQ336" t="str">
        <v>LOOR SOLORZANO ROSA MARIA</v>
      </c>
      <c r="ER336" t="str">
        <v>LOPEZ DELGADO RONALD MAURICIO</v>
      </c>
      <c r="ES336" t="str">
        <v>MACIAS VALENCIA DAVID GABRIEL</v>
      </c>
      <c r="ET336" t="str">
        <v>MENDOZA ZAMORA WALTER MANUEL</v>
      </c>
      <c r="EU336" t="str">
        <v>MOLINA CEVALLOS MARIA LORENA</v>
      </c>
      <c r="EV336" t="str">
        <v>MURILLO DELGADO ISAAC GABRIEL</v>
      </c>
      <c r="EW336" t="str">
        <v>ANGULO MURILLO NAVIRA GISSELA</v>
      </c>
      <c r="EX336" t="str">
        <v>OCHOA SOLEDISPA NESTOR IVAN</v>
      </c>
      <c r="EY336" t="str">
        <v>PARRAGA FRANCO SILVANA MARIELA</v>
      </c>
      <c r="EZ336" t="str">
        <v>PINARGOTE VASQUEZ NANCY FABIOLA</v>
      </c>
      <c r="FA336" t="str">
        <v>REYES VELEZ PEDRO ENRIQUE</v>
      </c>
      <c r="FB336" t="str">
        <v>SAN ANDRES HORMAZA DALLAS CECILIA</v>
      </c>
      <c r="FC336" t="str">
        <v>SORNOZA ZAMORA JUAN CARLOS</v>
      </c>
      <c r="FD336" t="str">
        <v>TOMALA PINTO JESUS JACINTO</v>
      </c>
      <c r="FE336" t="str">
        <v>VALLE JARAMILLO SILVIA ARACELY</v>
      </c>
      <c r="FF336" t="str">
        <v>VELÁSQUEZ BRAVO IRMA KATHERINE</v>
      </c>
      <c r="FG336" t="str">
        <v>VELEZ MENDOZA LAYSY VALERIA</v>
      </c>
      <c r="FH336" t="str">
        <v>VINUEZA TELLO SHIRLEY ELIZABETH</v>
      </c>
      <c r="FI336" t="str">
        <v>ZAMBRANO ALCIVAR NILDA ISABEL</v>
      </c>
      <c r="FJ336" t="str">
        <v>ZAMBRANO LOOR RITA MAYDA</v>
      </c>
      <c r="FK336" t="str">
        <v>ZAMBRANO VERA MONICA JANETH</v>
      </c>
      <c r="FL336" t="str">
        <v>VERA DELGADO BRYAN ADRIÁN</v>
      </c>
      <c r="FM336" t="str">
        <v>MORAN GONZALES DAVID RENATO</v>
      </c>
      <c r="FN336">
        <v>0</v>
      </c>
    </row>
    <row r="337" spans="1:170" ht="20.25" customHeight="1">
      <c r="A337" s="4" t="str" cm="1">
        <f t="array" ref="A337">TRANSPOSE(_xlfn.UNIQUE(_xlfn._xlws.FILTER(MAE_ASIGNATURA[ID_NIVEL],MAE_ASIGNATURA[ID_CARRERA]=ASIGNACION!$C337,"No existe información")))</f>
        <v>No existe información</v>
      </c>
      <c r="S337" s="4" t="str" cm="1">
        <f t="array" ref="S337">TRANSPOSE(_xlfn.UNIQUE(_xlfn._xlws.FILTER(MAE_ASIGNATURA[NOM_ASIG],(MAE_ASIGNATURA[ID_NIVEL]=ASIGNACION!$D337)*(MAE_ASIGNATURA[ID_CARRERA]=ASIGNACION!$C337),"No existe información")))</f>
        <v>No existe información</v>
      </c>
      <c r="BD337" s="4" t="str" cm="1">
        <f t="array" ref="BD337">TRANSPOSE(_xlfn.UNIQUE(_xlfn._xlws.FILTER(DET_ASIG[DETALLADO],(DET_ASIG[ID_CARRERA]=ASIGNACION!$C337)*(DET_ASIG[NIVEL]=ASIGNACION!$D337)*(DET_ASIG[ID_ASIG]=ASIGNACION!$G337),"No existe información")))</f>
        <v>No existe información</v>
      </c>
      <c r="BQ337" s="5" t="str" cm="1">
        <f t="array" ref="BQ337">IFERROR(
    TRANSPOSE(
        _xlfn.UNIQUE(
            _xlfn._xlws.FILTER(MAESTRIA_DETALLADO[MAESTRIA],
                ISNUMBER(MATCH(MAESTRIA_DETALLADO[CAMPO_DETALLADO],
                BD337:BP337,0))
            )
        )
    ),IF(BD337="ACTIVIDAD","DOCENCIA",""))</f>
        <v/>
      </c>
      <c r="EA337" s="5" t="str" cm="1">
        <f t="array" ref="EA337:FN337">IF(
    ASIGNACION!I337="SI",
    IFERROR(
        TRANSPOSE(
            _xlfn.UNIQUE(
                _xlfn._xlws.FILTER(EDU_DOCENTE[NOMBRE_DOCENTE],
                    ISNUMBER(MATCH(EDU_DOCENTE[MAESTRIA],
                    BQ337:DY337,0))
                )
            )
        ),
        ""
    ),
    TRANSPOSE(
        _xlfn.UNIQUE(EDU_DOCENTE[NOMBRE_DOCENTE]
        )
    )
)</f>
        <v>ALCIVAR CEDEÑO BEATRIZ ISABEL</v>
      </c>
      <c r="EB337" t="str">
        <v>ALCIVAR VERA GEMA MICHELLE</v>
      </c>
      <c r="EC337" t="str">
        <v>ARAUZ CHAVEZ MARIO ROBERTO</v>
      </c>
      <c r="ED337" t="str">
        <v>BAILON LOURIDO WALTER ALBERTO</v>
      </c>
      <c r="EE337" t="str">
        <v>CALDERERO VILLAGOMEZ ERICK ANTONIO</v>
      </c>
      <c r="EF337" t="str">
        <v>CASTILLO GARCIA PAOLA GERMANIA</v>
      </c>
      <c r="EG337" t="str">
        <v>CEDEÑO CHOEZ PEDRO JAVIER</v>
      </c>
      <c r="EH337" t="str">
        <v>CEVALLOS HOPPE JUAN CARLOS</v>
      </c>
      <c r="EI337" t="str">
        <v>DELGADO CHAVEZ MARIA IRASEMA</v>
      </c>
      <c r="EJ337" t="str">
        <v>DUARTE VALENCIA CRISTHIAN DARIO</v>
      </c>
      <c r="EK337" t="str">
        <v>FORTTY BARBERAN DENNY ALEXANDER</v>
      </c>
      <c r="EL337" t="str">
        <v>GUTIERREZ ZAMBRANO CARMEN EBELINA</v>
      </c>
      <c r="EM337" t="str">
        <v>INTRIAGO MOLINA GEMA VALERIA</v>
      </c>
      <c r="EN337" t="str">
        <v>LINO VELEZ LEONEL LIVINGTON</v>
      </c>
      <c r="EO337" t="str">
        <v>LOOR ALCIVAR MARIA ILIANA</v>
      </c>
      <c r="EP337" t="str">
        <v>LOOR MIELES TANIA JACQUELINE</v>
      </c>
      <c r="EQ337" t="str">
        <v>LOOR SOLORZANO ROSA MARIA</v>
      </c>
      <c r="ER337" t="str">
        <v>LOPEZ DELGADO RONALD MAURICIO</v>
      </c>
      <c r="ES337" t="str">
        <v>MACIAS VALENCIA DAVID GABRIEL</v>
      </c>
      <c r="ET337" t="str">
        <v>MENDOZA ZAMORA WALTER MANUEL</v>
      </c>
      <c r="EU337" t="str">
        <v>MOLINA CEVALLOS MARIA LORENA</v>
      </c>
      <c r="EV337" t="str">
        <v>MURILLO DELGADO ISAAC GABRIEL</v>
      </c>
      <c r="EW337" t="str">
        <v>ANGULO MURILLO NAVIRA GISSELA</v>
      </c>
      <c r="EX337" t="str">
        <v>OCHOA SOLEDISPA NESTOR IVAN</v>
      </c>
      <c r="EY337" t="str">
        <v>PARRAGA FRANCO SILVANA MARIELA</v>
      </c>
      <c r="EZ337" t="str">
        <v>PINARGOTE VASQUEZ NANCY FABIOLA</v>
      </c>
      <c r="FA337" t="str">
        <v>REYES VELEZ PEDRO ENRIQUE</v>
      </c>
      <c r="FB337" t="str">
        <v>SAN ANDRES HORMAZA DALLAS CECILIA</v>
      </c>
      <c r="FC337" t="str">
        <v>SORNOZA ZAMORA JUAN CARLOS</v>
      </c>
      <c r="FD337" t="str">
        <v>TOMALA PINTO JESUS JACINTO</v>
      </c>
      <c r="FE337" t="str">
        <v>VALLE JARAMILLO SILVIA ARACELY</v>
      </c>
      <c r="FF337" t="str">
        <v>VELÁSQUEZ BRAVO IRMA KATHERINE</v>
      </c>
      <c r="FG337" t="str">
        <v>VELEZ MENDOZA LAYSY VALERIA</v>
      </c>
      <c r="FH337" t="str">
        <v>VINUEZA TELLO SHIRLEY ELIZABETH</v>
      </c>
      <c r="FI337" t="str">
        <v>ZAMBRANO ALCIVAR NILDA ISABEL</v>
      </c>
      <c r="FJ337" t="str">
        <v>ZAMBRANO LOOR RITA MAYDA</v>
      </c>
      <c r="FK337" t="str">
        <v>ZAMBRANO VERA MONICA JANETH</v>
      </c>
      <c r="FL337" t="str">
        <v>VERA DELGADO BRYAN ADRIÁN</v>
      </c>
      <c r="FM337" t="str">
        <v>MORAN GONZALES DAVID RENATO</v>
      </c>
      <c r="FN337">
        <v>0</v>
      </c>
    </row>
    <row r="338" spans="1:170" ht="20.25" customHeight="1">
      <c r="A338" s="4" t="str" cm="1">
        <f t="array" ref="A338">TRANSPOSE(_xlfn.UNIQUE(_xlfn._xlws.FILTER(MAE_ASIGNATURA[ID_NIVEL],MAE_ASIGNATURA[ID_CARRERA]=ASIGNACION!$C338,"No existe información")))</f>
        <v>No existe información</v>
      </c>
      <c r="S338" s="4" t="str" cm="1">
        <f t="array" ref="S338">TRANSPOSE(_xlfn.UNIQUE(_xlfn._xlws.FILTER(MAE_ASIGNATURA[NOM_ASIG],(MAE_ASIGNATURA[ID_NIVEL]=ASIGNACION!$D338)*(MAE_ASIGNATURA[ID_CARRERA]=ASIGNACION!$C338),"No existe información")))</f>
        <v>No existe información</v>
      </c>
      <c r="BD338" s="4" t="str" cm="1">
        <f t="array" ref="BD338">TRANSPOSE(_xlfn.UNIQUE(_xlfn._xlws.FILTER(DET_ASIG[DETALLADO],(DET_ASIG[ID_CARRERA]=ASIGNACION!$C338)*(DET_ASIG[NIVEL]=ASIGNACION!$D338)*(DET_ASIG[ID_ASIG]=ASIGNACION!$G338),"No existe información")))</f>
        <v>No existe información</v>
      </c>
      <c r="BQ338" s="5" t="str" cm="1">
        <f t="array" ref="BQ338">IFERROR(
    TRANSPOSE(
        _xlfn.UNIQUE(
            _xlfn._xlws.FILTER(MAESTRIA_DETALLADO[MAESTRIA],
                ISNUMBER(MATCH(MAESTRIA_DETALLADO[CAMPO_DETALLADO],
                BD338:BP338,0))
            )
        )
    ),IF(BD338="ACTIVIDAD","DOCENCIA",""))</f>
        <v/>
      </c>
      <c r="EA338" s="5" t="str" cm="1">
        <f t="array" ref="EA338:FN338">IF(
    ASIGNACION!I338="SI",
    IFERROR(
        TRANSPOSE(
            _xlfn.UNIQUE(
                _xlfn._xlws.FILTER(EDU_DOCENTE[NOMBRE_DOCENTE],
                    ISNUMBER(MATCH(EDU_DOCENTE[MAESTRIA],
                    BQ338:DY338,0))
                )
            )
        ),
        ""
    ),
    TRANSPOSE(
        _xlfn.UNIQUE(EDU_DOCENTE[NOMBRE_DOCENTE]
        )
    )
)</f>
        <v>ALCIVAR CEDEÑO BEATRIZ ISABEL</v>
      </c>
      <c r="EB338" t="str">
        <v>ALCIVAR VERA GEMA MICHELLE</v>
      </c>
      <c r="EC338" t="str">
        <v>ARAUZ CHAVEZ MARIO ROBERTO</v>
      </c>
      <c r="ED338" t="str">
        <v>BAILON LOURIDO WALTER ALBERTO</v>
      </c>
      <c r="EE338" t="str">
        <v>CALDERERO VILLAGOMEZ ERICK ANTONIO</v>
      </c>
      <c r="EF338" t="str">
        <v>CASTILLO GARCIA PAOLA GERMANIA</v>
      </c>
      <c r="EG338" t="str">
        <v>CEDEÑO CHOEZ PEDRO JAVIER</v>
      </c>
      <c r="EH338" t="str">
        <v>CEVALLOS HOPPE JUAN CARLOS</v>
      </c>
      <c r="EI338" t="str">
        <v>DELGADO CHAVEZ MARIA IRASEMA</v>
      </c>
      <c r="EJ338" t="str">
        <v>DUARTE VALENCIA CRISTHIAN DARIO</v>
      </c>
      <c r="EK338" t="str">
        <v>FORTTY BARBERAN DENNY ALEXANDER</v>
      </c>
      <c r="EL338" t="str">
        <v>GUTIERREZ ZAMBRANO CARMEN EBELINA</v>
      </c>
      <c r="EM338" t="str">
        <v>INTRIAGO MOLINA GEMA VALERIA</v>
      </c>
      <c r="EN338" t="str">
        <v>LINO VELEZ LEONEL LIVINGTON</v>
      </c>
      <c r="EO338" t="str">
        <v>LOOR ALCIVAR MARIA ILIANA</v>
      </c>
      <c r="EP338" t="str">
        <v>LOOR MIELES TANIA JACQUELINE</v>
      </c>
      <c r="EQ338" t="str">
        <v>LOOR SOLORZANO ROSA MARIA</v>
      </c>
      <c r="ER338" t="str">
        <v>LOPEZ DELGADO RONALD MAURICIO</v>
      </c>
      <c r="ES338" t="str">
        <v>MACIAS VALENCIA DAVID GABRIEL</v>
      </c>
      <c r="ET338" t="str">
        <v>MENDOZA ZAMORA WALTER MANUEL</v>
      </c>
      <c r="EU338" t="str">
        <v>MOLINA CEVALLOS MARIA LORENA</v>
      </c>
      <c r="EV338" t="str">
        <v>MURILLO DELGADO ISAAC GABRIEL</v>
      </c>
      <c r="EW338" t="str">
        <v>ANGULO MURILLO NAVIRA GISSELA</v>
      </c>
      <c r="EX338" t="str">
        <v>OCHOA SOLEDISPA NESTOR IVAN</v>
      </c>
      <c r="EY338" t="str">
        <v>PARRAGA FRANCO SILVANA MARIELA</v>
      </c>
      <c r="EZ338" t="str">
        <v>PINARGOTE VASQUEZ NANCY FABIOLA</v>
      </c>
      <c r="FA338" t="str">
        <v>REYES VELEZ PEDRO ENRIQUE</v>
      </c>
      <c r="FB338" t="str">
        <v>SAN ANDRES HORMAZA DALLAS CECILIA</v>
      </c>
      <c r="FC338" t="str">
        <v>SORNOZA ZAMORA JUAN CARLOS</v>
      </c>
      <c r="FD338" t="str">
        <v>TOMALA PINTO JESUS JACINTO</v>
      </c>
      <c r="FE338" t="str">
        <v>VALLE JARAMILLO SILVIA ARACELY</v>
      </c>
      <c r="FF338" t="str">
        <v>VELÁSQUEZ BRAVO IRMA KATHERINE</v>
      </c>
      <c r="FG338" t="str">
        <v>VELEZ MENDOZA LAYSY VALERIA</v>
      </c>
      <c r="FH338" t="str">
        <v>VINUEZA TELLO SHIRLEY ELIZABETH</v>
      </c>
      <c r="FI338" t="str">
        <v>ZAMBRANO ALCIVAR NILDA ISABEL</v>
      </c>
      <c r="FJ338" t="str">
        <v>ZAMBRANO LOOR RITA MAYDA</v>
      </c>
      <c r="FK338" t="str">
        <v>ZAMBRANO VERA MONICA JANETH</v>
      </c>
      <c r="FL338" t="str">
        <v>VERA DELGADO BRYAN ADRIÁN</v>
      </c>
      <c r="FM338" t="str">
        <v>MORAN GONZALES DAVID RENATO</v>
      </c>
      <c r="FN338">
        <v>0</v>
      </c>
    </row>
    <row r="339" spans="1:170" ht="20.25" customHeight="1">
      <c r="A339" s="4" t="str" cm="1">
        <f t="array" ref="A339">TRANSPOSE(_xlfn.UNIQUE(_xlfn._xlws.FILTER(MAE_ASIGNATURA[ID_NIVEL],MAE_ASIGNATURA[ID_CARRERA]=ASIGNACION!$C339,"No existe información")))</f>
        <v>No existe información</v>
      </c>
      <c r="S339" s="4" t="str" cm="1">
        <f t="array" ref="S339">TRANSPOSE(_xlfn.UNIQUE(_xlfn._xlws.FILTER(MAE_ASIGNATURA[NOM_ASIG],(MAE_ASIGNATURA[ID_NIVEL]=ASIGNACION!$D339)*(MAE_ASIGNATURA[ID_CARRERA]=ASIGNACION!$C339),"No existe información")))</f>
        <v>No existe información</v>
      </c>
      <c r="BD339" s="4" t="str" cm="1">
        <f t="array" ref="BD339">TRANSPOSE(_xlfn.UNIQUE(_xlfn._xlws.FILTER(DET_ASIG[DETALLADO],(DET_ASIG[ID_CARRERA]=ASIGNACION!$C339)*(DET_ASIG[NIVEL]=ASIGNACION!$D339)*(DET_ASIG[ID_ASIG]=ASIGNACION!$G339),"No existe información")))</f>
        <v>No existe información</v>
      </c>
      <c r="BQ339" s="5" t="str" cm="1">
        <f t="array" ref="BQ339">IFERROR(
    TRANSPOSE(
        _xlfn.UNIQUE(
            _xlfn._xlws.FILTER(MAESTRIA_DETALLADO[MAESTRIA],
                ISNUMBER(MATCH(MAESTRIA_DETALLADO[CAMPO_DETALLADO],
                BD339:BP339,0))
            )
        )
    ),IF(BD339="ACTIVIDAD","DOCENCIA",""))</f>
        <v/>
      </c>
      <c r="EA339" s="5" t="str" cm="1">
        <f t="array" ref="EA339:FN339">IF(
    ASIGNACION!I339="SI",
    IFERROR(
        TRANSPOSE(
            _xlfn.UNIQUE(
                _xlfn._xlws.FILTER(EDU_DOCENTE[NOMBRE_DOCENTE],
                    ISNUMBER(MATCH(EDU_DOCENTE[MAESTRIA],
                    BQ339:DY339,0))
                )
            )
        ),
        ""
    ),
    TRANSPOSE(
        _xlfn.UNIQUE(EDU_DOCENTE[NOMBRE_DOCENTE]
        )
    )
)</f>
        <v>ALCIVAR CEDEÑO BEATRIZ ISABEL</v>
      </c>
      <c r="EB339" t="str">
        <v>ALCIVAR VERA GEMA MICHELLE</v>
      </c>
      <c r="EC339" t="str">
        <v>ARAUZ CHAVEZ MARIO ROBERTO</v>
      </c>
      <c r="ED339" t="str">
        <v>BAILON LOURIDO WALTER ALBERTO</v>
      </c>
      <c r="EE339" t="str">
        <v>CALDERERO VILLAGOMEZ ERICK ANTONIO</v>
      </c>
      <c r="EF339" t="str">
        <v>CASTILLO GARCIA PAOLA GERMANIA</v>
      </c>
      <c r="EG339" t="str">
        <v>CEDEÑO CHOEZ PEDRO JAVIER</v>
      </c>
      <c r="EH339" t="str">
        <v>CEVALLOS HOPPE JUAN CARLOS</v>
      </c>
      <c r="EI339" t="str">
        <v>DELGADO CHAVEZ MARIA IRASEMA</v>
      </c>
      <c r="EJ339" t="str">
        <v>DUARTE VALENCIA CRISTHIAN DARIO</v>
      </c>
      <c r="EK339" t="str">
        <v>FORTTY BARBERAN DENNY ALEXANDER</v>
      </c>
      <c r="EL339" t="str">
        <v>GUTIERREZ ZAMBRANO CARMEN EBELINA</v>
      </c>
      <c r="EM339" t="str">
        <v>INTRIAGO MOLINA GEMA VALERIA</v>
      </c>
      <c r="EN339" t="str">
        <v>LINO VELEZ LEONEL LIVINGTON</v>
      </c>
      <c r="EO339" t="str">
        <v>LOOR ALCIVAR MARIA ILIANA</v>
      </c>
      <c r="EP339" t="str">
        <v>LOOR MIELES TANIA JACQUELINE</v>
      </c>
      <c r="EQ339" t="str">
        <v>LOOR SOLORZANO ROSA MARIA</v>
      </c>
      <c r="ER339" t="str">
        <v>LOPEZ DELGADO RONALD MAURICIO</v>
      </c>
      <c r="ES339" t="str">
        <v>MACIAS VALENCIA DAVID GABRIEL</v>
      </c>
      <c r="ET339" t="str">
        <v>MENDOZA ZAMORA WALTER MANUEL</v>
      </c>
      <c r="EU339" t="str">
        <v>MOLINA CEVALLOS MARIA LORENA</v>
      </c>
      <c r="EV339" t="str">
        <v>MURILLO DELGADO ISAAC GABRIEL</v>
      </c>
      <c r="EW339" t="str">
        <v>ANGULO MURILLO NAVIRA GISSELA</v>
      </c>
      <c r="EX339" t="str">
        <v>OCHOA SOLEDISPA NESTOR IVAN</v>
      </c>
      <c r="EY339" t="str">
        <v>PARRAGA FRANCO SILVANA MARIELA</v>
      </c>
      <c r="EZ339" t="str">
        <v>PINARGOTE VASQUEZ NANCY FABIOLA</v>
      </c>
      <c r="FA339" t="str">
        <v>REYES VELEZ PEDRO ENRIQUE</v>
      </c>
      <c r="FB339" t="str">
        <v>SAN ANDRES HORMAZA DALLAS CECILIA</v>
      </c>
      <c r="FC339" t="str">
        <v>SORNOZA ZAMORA JUAN CARLOS</v>
      </c>
      <c r="FD339" t="str">
        <v>TOMALA PINTO JESUS JACINTO</v>
      </c>
      <c r="FE339" t="str">
        <v>VALLE JARAMILLO SILVIA ARACELY</v>
      </c>
      <c r="FF339" t="str">
        <v>VELÁSQUEZ BRAVO IRMA KATHERINE</v>
      </c>
      <c r="FG339" t="str">
        <v>VELEZ MENDOZA LAYSY VALERIA</v>
      </c>
      <c r="FH339" t="str">
        <v>VINUEZA TELLO SHIRLEY ELIZABETH</v>
      </c>
      <c r="FI339" t="str">
        <v>ZAMBRANO ALCIVAR NILDA ISABEL</v>
      </c>
      <c r="FJ339" t="str">
        <v>ZAMBRANO LOOR RITA MAYDA</v>
      </c>
      <c r="FK339" t="str">
        <v>ZAMBRANO VERA MONICA JANETH</v>
      </c>
      <c r="FL339" t="str">
        <v>VERA DELGADO BRYAN ADRIÁN</v>
      </c>
      <c r="FM339" t="str">
        <v>MORAN GONZALES DAVID RENATO</v>
      </c>
      <c r="FN339">
        <v>0</v>
      </c>
    </row>
    <row r="340" spans="1:170" ht="20.25" customHeight="1">
      <c r="A340" s="4" t="str" cm="1">
        <f t="array" ref="A340">TRANSPOSE(_xlfn.UNIQUE(_xlfn._xlws.FILTER(MAE_ASIGNATURA[ID_NIVEL],MAE_ASIGNATURA[ID_CARRERA]=ASIGNACION!$C340,"No existe información")))</f>
        <v>No existe información</v>
      </c>
      <c r="S340" s="4" t="str" cm="1">
        <f t="array" ref="S340">TRANSPOSE(_xlfn.UNIQUE(_xlfn._xlws.FILTER(MAE_ASIGNATURA[NOM_ASIG],(MAE_ASIGNATURA[ID_NIVEL]=ASIGNACION!$D340)*(MAE_ASIGNATURA[ID_CARRERA]=ASIGNACION!$C340),"No existe información")))</f>
        <v>No existe información</v>
      </c>
      <c r="BD340" s="4" t="str" cm="1">
        <f t="array" ref="BD340">TRANSPOSE(_xlfn.UNIQUE(_xlfn._xlws.FILTER(DET_ASIG[DETALLADO],(DET_ASIG[ID_CARRERA]=ASIGNACION!$C340)*(DET_ASIG[NIVEL]=ASIGNACION!$D340)*(DET_ASIG[ID_ASIG]=ASIGNACION!$G340),"No existe información")))</f>
        <v>No existe información</v>
      </c>
      <c r="BQ340" s="5" t="str" cm="1">
        <f t="array" ref="BQ340">IFERROR(
    TRANSPOSE(
        _xlfn.UNIQUE(
            _xlfn._xlws.FILTER(MAESTRIA_DETALLADO[MAESTRIA],
                ISNUMBER(MATCH(MAESTRIA_DETALLADO[CAMPO_DETALLADO],
                BD340:BP340,0))
            )
        )
    ),IF(BD340="ACTIVIDAD","DOCENCIA",""))</f>
        <v/>
      </c>
      <c r="EA340" s="5" t="str" cm="1">
        <f t="array" ref="EA340:FN340">IF(
    ASIGNACION!I340="SI",
    IFERROR(
        TRANSPOSE(
            _xlfn.UNIQUE(
                _xlfn._xlws.FILTER(EDU_DOCENTE[NOMBRE_DOCENTE],
                    ISNUMBER(MATCH(EDU_DOCENTE[MAESTRIA],
                    BQ340:DY340,0))
                )
            )
        ),
        ""
    ),
    TRANSPOSE(
        _xlfn.UNIQUE(EDU_DOCENTE[NOMBRE_DOCENTE]
        )
    )
)</f>
        <v>ALCIVAR CEDEÑO BEATRIZ ISABEL</v>
      </c>
      <c r="EB340" t="str">
        <v>ALCIVAR VERA GEMA MICHELLE</v>
      </c>
      <c r="EC340" t="str">
        <v>ARAUZ CHAVEZ MARIO ROBERTO</v>
      </c>
      <c r="ED340" t="str">
        <v>BAILON LOURIDO WALTER ALBERTO</v>
      </c>
      <c r="EE340" t="str">
        <v>CALDERERO VILLAGOMEZ ERICK ANTONIO</v>
      </c>
      <c r="EF340" t="str">
        <v>CASTILLO GARCIA PAOLA GERMANIA</v>
      </c>
      <c r="EG340" t="str">
        <v>CEDEÑO CHOEZ PEDRO JAVIER</v>
      </c>
      <c r="EH340" t="str">
        <v>CEVALLOS HOPPE JUAN CARLOS</v>
      </c>
      <c r="EI340" t="str">
        <v>DELGADO CHAVEZ MARIA IRASEMA</v>
      </c>
      <c r="EJ340" t="str">
        <v>DUARTE VALENCIA CRISTHIAN DARIO</v>
      </c>
      <c r="EK340" t="str">
        <v>FORTTY BARBERAN DENNY ALEXANDER</v>
      </c>
      <c r="EL340" t="str">
        <v>GUTIERREZ ZAMBRANO CARMEN EBELINA</v>
      </c>
      <c r="EM340" t="str">
        <v>INTRIAGO MOLINA GEMA VALERIA</v>
      </c>
      <c r="EN340" t="str">
        <v>LINO VELEZ LEONEL LIVINGTON</v>
      </c>
      <c r="EO340" t="str">
        <v>LOOR ALCIVAR MARIA ILIANA</v>
      </c>
      <c r="EP340" t="str">
        <v>LOOR MIELES TANIA JACQUELINE</v>
      </c>
      <c r="EQ340" t="str">
        <v>LOOR SOLORZANO ROSA MARIA</v>
      </c>
      <c r="ER340" t="str">
        <v>LOPEZ DELGADO RONALD MAURICIO</v>
      </c>
      <c r="ES340" t="str">
        <v>MACIAS VALENCIA DAVID GABRIEL</v>
      </c>
      <c r="ET340" t="str">
        <v>MENDOZA ZAMORA WALTER MANUEL</v>
      </c>
      <c r="EU340" t="str">
        <v>MOLINA CEVALLOS MARIA LORENA</v>
      </c>
      <c r="EV340" t="str">
        <v>MURILLO DELGADO ISAAC GABRIEL</v>
      </c>
      <c r="EW340" t="str">
        <v>ANGULO MURILLO NAVIRA GISSELA</v>
      </c>
      <c r="EX340" t="str">
        <v>OCHOA SOLEDISPA NESTOR IVAN</v>
      </c>
      <c r="EY340" t="str">
        <v>PARRAGA FRANCO SILVANA MARIELA</v>
      </c>
      <c r="EZ340" t="str">
        <v>PINARGOTE VASQUEZ NANCY FABIOLA</v>
      </c>
      <c r="FA340" t="str">
        <v>REYES VELEZ PEDRO ENRIQUE</v>
      </c>
      <c r="FB340" t="str">
        <v>SAN ANDRES HORMAZA DALLAS CECILIA</v>
      </c>
      <c r="FC340" t="str">
        <v>SORNOZA ZAMORA JUAN CARLOS</v>
      </c>
      <c r="FD340" t="str">
        <v>TOMALA PINTO JESUS JACINTO</v>
      </c>
      <c r="FE340" t="str">
        <v>VALLE JARAMILLO SILVIA ARACELY</v>
      </c>
      <c r="FF340" t="str">
        <v>VELÁSQUEZ BRAVO IRMA KATHERINE</v>
      </c>
      <c r="FG340" t="str">
        <v>VELEZ MENDOZA LAYSY VALERIA</v>
      </c>
      <c r="FH340" t="str">
        <v>VINUEZA TELLO SHIRLEY ELIZABETH</v>
      </c>
      <c r="FI340" t="str">
        <v>ZAMBRANO ALCIVAR NILDA ISABEL</v>
      </c>
      <c r="FJ340" t="str">
        <v>ZAMBRANO LOOR RITA MAYDA</v>
      </c>
      <c r="FK340" t="str">
        <v>ZAMBRANO VERA MONICA JANETH</v>
      </c>
      <c r="FL340" t="str">
        <v>VERA DELGADO BRYAN ADRIÁN</v>
      </c>
      <c r="FM340" t="str">
        <v>MORAN GONZALES DAVID RENATO</v>
      </c>
      <c r="FN340">
        <v>0</v>
      </c>
    </row>
    <row r="341" spans="1:170" ht="20.25" customHeight="1">
      <c r="A341" s="4" t="str" cm="1">
        <f t="array" ref="A341">TRANSPOSE(_xlfn.UNIQUE(_xlfn._xlws.FILTER(MAE_ASIGNATURA[ID_NIVEL],MAE_ASIGNATURA[ID_CARRERA]=ASIGNACION!$C341,"No existe información")))</f>
        <v>No existe información</v>
      </c>
      <c r="S341" s="4" t="str" cm="1">
        <f t="array" ref="S341">TRANSPOSE(_xlfn.UNIQUE(_xlfn._xlws.FILTER(MAE_ASIGNATURA[NOM_ASIG],(MAE_ASIGNATURA[ID_NIVEL]=ASIGNACION!$D341)*(MAE_ASIGNATURA[ID_CARRERA]=ASIGNACION!$C341),"No existe información")))</f>
        <v>No existe información</v>
      </c>
      <c r="BD341" s="4" t="str" cm="1">
        <f t="array" ref="BD341">TRANSPOSE(_xlfn.UNIQUE(_xlfn._xlws.FILTER(DET_ASIG[DETALLADO],(DET_ASIG[ID_CARRERA]=ASIGNACION!$C341)*(DET_ASIG[NIVEL]=ASIGNACION!$D341)*(DET_ASIG[ID_ASIG]=ASIGNACION!$G341),"No existe información")))</f>
        <v>No existe información</v>
      </c>
      <c r="BQ341" s="5" t="str" cm="1">
        <f t="array" ref="BQ341">IFERROR(
    TRANSPOSE(
        _xlfn.UNIQUE(
            _xlfn._xlws.FILTER(MAESTRIA_DETALLADO[MAESTRIA],
                ISNUMBER(MATCH(MAESTRIA_DETALLADO[CAMPO_DETALLADO],
                BD341:BP341,0))
            )
        )
    ),IF(BD341="ACTIVIDAD","DOCENCIA",""))</f>
        <v/>
      </c>
      <c r="EA341" s="5" t="str" cm="1">
        <f t="array" ref="EA341:FN341">IF(
    ASIGNACION!I341="SI",
    IFERROR(
        TRANSPOSE(
            _xlfn.UNIQUE(
                _xlfn._xlws.FILTER(EDU_DOCENTE[NOMBRE_DOCENTE],
                    ISNUMBER(MATCH(EDU_DOCENTE[MAESTRIA],
                    BQ341:DY341,0))
                )
            )
        ),
        ""
    ),
    TRANSPOSE(
        _xlfn.UNIQUE(EDU_DOCENTE[NOMBRE_DOCENTE]
        )
    )
)</f>
        <v>ALCIVAR CEDEÑO BEATRIZ ISABEL</v>
      </c>
      <c r="EB341" t="str">
        <v>ALCIVAR VERA GEMA MICHELLE</v>
      </c>
      <c r="EC341" t="str">
        <v>ARAUZ CHAVEZ MARIO ROBERTO</v>
      </c>
      <c r="ED341" t="str">
        <v>BAILON LOURIDO WALTER ALBERTO</v>
      </c>
      <c r="EE341" t="str">
        <v>CALDERERO VILLAGOMEZ ERICK ANTONIO</v>
      </c>
      <c r="EF341" t="str">
        <v>CASTILLO GARCIA PAOLA GERMANIA</v>
      </c>
      <c r="EG341" t="str">
        <v>CEDEÑO CHOEZ PEDRO JAVIER</v>
      </c>
      <c r="EH341" t="str">
        <v>CEVALLOS HOPPE JUAN CARLOS</v>
      </c>
      <c r="EI341" t="str">
        <v>DELGADO CHAVEZ MARIA IRASEMA</v>
      </c>
      <c r="EJ341" t="str">
        <v>DUARTE VALENCIA CRISTHIAN DARIO</v>
      </c>
      <c r="EK341" t="str">
        <v>FORTTY BARBERAN DENNY ALEXANDER</v>
      </c>
      <c r="EL341" t="str">
        <v>GUTIERREZ ZAMBRANO CARMEN EBELINA</v>
      </c>
      <c r="EM341" t="str">
        <v>INTRIAGO MOLINA GEMA VALERIA</v>
      </c>
      <c r="EN341" t="str">
        <v>LINO VELEZ LEONEL LIVINGTON</v>
      </c>
      <c r="EO341" t="str">
        <v>LOOR ALCIVAR MARIA ILIANA</v>
      </c>
      <c r="EP341" t="str">
        <v>LOOR MIELES TANIA JACQUELINE</v>
      </c>
      <c r="EQ341" t="str">
        <v>LOOR SOLORZANO ROSA MARIA</v>
      </c>
      <c r="ER341" t="str">
        <v>LOPEZ DELGADO RONALD MAURICIO</v>
      </c>
      <c r="ES341" t="str">
        <v>MACIAS VALENCIA DAVID GABRIEL</v>
      </c>
      <c r="ET341" t="str">
        <v>MENDOZA ZAMORA WALTER MANUEL</v>
      </c>
      <c r="EU341" t="str">
        <v>MOLINA CEVALLOS MARIA LORENA</v>
      </c>
      <c r="EV341" t="str">
        <v>MURILLO DELGADO ISAAC GABRIEL</v>
      </c>
      <c r="EW341" t="str">
        <v>ANGULO MURILLO NAVIRA GISSELA</v>
      </c>
      <c r="EX341" t="str">
        <v>OCHOA SOLEDISPA NESTOR IVAN</v>
      </c>
      <c r="EY341" t="str">
        <v>PARRAGA FRANCO SILVANA MARIELA</v>
      </c>
      <c r="EZ341" t="str">
        <v>PINARGOTE VASQUEZ NANCY FABIOLA</v>
      </c>
      <c r="FA341" t="str">
        <v>REYES VELEZ PEDRO ENRIQUE</v>
      </c>
      <c r="FB341" t="str">
        <v>SAN ANDRES HORMAZA DALLAS CECILIA</v>
      </c>
      <c r="FC341" t="str">
        <v>SORNOZA ZAMORA JUAN CARLOS</v>
      </c>
      <c r="FD341" t="str">
        <v>TOMALA PINTO JESUS JACINTO</v>
      </c>
      <c r="FE341" t="str">
        <v>VALLE JARAMILLO SILVIA ARACELY</v>
      </c>
      <c r="FF341" t="str">
        <v>VELÁSQUEZ BRAVO IRMA KATHERINE</v>
      </c>
      <c r="FG341" t="str">
        <v>VELEZ MENDOZA LAYSY VALERIA</v>
      </c>
      <c r="FH341" t="str">
        <v>VINUEZA TELLO SHIRLEY ELIZABETH</v>
      </c>
      <c r="FI341" t="str">
        <v>ZAMBRANO ALCIVAR NILDA ISABEL</v>
      </c>
      <c r="FJ341" t="str">
        <v>ZAMBRANO LOOR RITA MAYDA</v>
      </c>
      <c r="FK341" t="str">
        <v>ZAMBRANO VERA MONICA JANETH</v>
      </c>
      <c r="FL341" t="str">
        <v>VERA DELGADO BRYAN ADRIÁN</v>
      </c>
      <c r="FM341" t="str">
        <v>MORAN GONZALES DAVID RENATO</v>
      </c>
      <c r="FN341">
        <v>0</v>
      </c>
    </row>
    <row r="342" spans="1:170" ht="20.25" customHeight="1">
      <c r="A342" s="4" t="str" cm="1">
        <f t="array" ref="A342">TRANSPOSE(_xlfn.UNIQUE(_xlfn._xlws.FILTER(MAE_ASIGNATURA[ID_NIVEL],MAE_ASIGNATURA[ID_CARRERA]=ASIGNACION!$C342,"No existe información")))</f>
        <v>No existe información</v>
      </c>
      <c r="S342" s="4" t="str" cm="1">
        <f t="array" ref="S342">TRANSPOSE(_xlfn.UNIQUE(_xlfn._xlws.FILTER(MAE_ASIGNATURA[NOM_ASIG],(MAE_ASIGNATURA[ID_NIVEL]=ASIGNACION!$D342)*(MAE_ASIGNATURA[ID_CARRERA]=ASIGNACION!$C342),"No existe información")))</f>
        <v>No existe información</v>
      </c>
      <c r="BD342" s="4" t="str" cm="1">
        <f t="array" ref="BD342">TRANSPOSE(_xlfn.UNIQUE(_xlfn._xlws.FILTER(DET_ASIG[DETALLADO],(DET_ASIG[ID_CARRERA]=ASIGNACION!$C342)*(DET_ASIG[NIVEL]=ASIGNACION!$D342)*(DET_ASIG[ID_ASIG]=ASIGNACION!$G342),"No existe información")))</f>
        <v>No existe información</v>
      </c>
      <c r="BQ342" s="5" t="str" cm="1">
        <f t="array" ref="BQ342">IFERROR(
    TRANSPOSE(
        _xlfn.UNIQUE(
            _xlfn._xlws.FILTER(MAESTRIA_DETALLADO[MAESTRIA],
                ISNUMBER(MATCH(MAESTRIA_DETALLADO[CAMPO_DETALLADO],
                BD342:BP342,0))
            )
        )
    ),IF(BD342="ACTIVIDAD","DOCENCIA",""))</f>
        <v/>
      </c>
      <c r="EA342" s="5" t="str" cm="1">
        <f t="array" ref="EA342:FN342">IF(
    ASIGNACION!I342="SI",
    IFERROR(
        TRANSPOSE(
            _xlfn.UNIQUE(
                _xlfn._xlws.FILTER(EDU_DOCENTE[NOMBRE_DOCENTE],
                    ISNUMBER(MATCH(EDU_DOCENTE[MAESTRIA],
                    BQ342:DY342,0))
                )
            )
        ),
        ""
    ),
    TRANSPOSE(
        _xlfn.UNIQUE(EDU_DOCENTE[NOMBRE_DOCENTE]
        )
    )
)</f>
        <v>ALCIVAR CEDEÑO BEATRIZ ISABEL</v>
      </c>
      <c r="EB342" t="str">
        <v>ALCIVAR VERA GEMA MICHELLE</v>
      </c>
      <c r="EC342" t="str">
        <v>ARAUZ CHAVEZ MARIO ROBERTO</v>
      </c>
      <c r="ED342" t="str">
        <v>BAILON LOURIDO WALTER ALBERTO</v>
      </c>
      <c r="EE342" t="str">
        <v>CALDERERO VILLAGOMEZ ERICK ANTONIO</v>
      </c>
      <c r="EF342" t="str">
        <v>CASTILLO GARCIA PAOLA GERMANIA</v>
      </c>
      <c r="EG342" t="str">
        <v>CEDEÑO CHOEZ PEDRO JAVIER</v>
      </c>
      <c r="EH342" t="str">
        <v>CEVALLOS HOPPE JUAN CARLOS</v>
      </c>
      <c r="EI342" t="str">
        <v>DELGADO CHAVEZ MARIA IRASEMA</v>
      </c>
      <c r="EJ342" t="str">
        <v>DUARTE VALENCIA CRISTHIAN DARIO</v>
      </c>
      <c r="EK342" t="str">
        <v>FORTTY BARBERAN DENNY ALEXANDER</v>
      </c>
      <c r="EL342" t="str">
        <v>GUTIERREZ ZAMBRANO CARMEN EBELINA</v>
      </c>
      <c r="EM342" t="str">
        <v>INTRIAGO MOLINA GEMA VALERIA</v>
      </c>
      <c r="EN342" t="str">
        <v>LINO VELEZ LEONEL LIVINGTON</v>
      </c>
      <c r="EO342" t="str">
        <v>LOOR ALCIVAR MARIA ILIANA</v>
      </c>
      <c r="EP342" t="str">
        <v>LOOR MIELES TANIA JACQUELINE</v>
      </c>
      <c r="EQ342" t="str">
        <v>LOOR SOLORZANO ROSA MARIA</v>
      </c>
      <c r="ER342" t="str">
        <v>LOPEZ DELGADO RONALD MAURICIO</v>
      </c>
      <c r="ES342" t="str">
        <v>MACIAS VALENCIA DAVID GABRIEL</v>
      </c>
      <c r="ET342" t="str">
        <v>MENDOZA ZAMORA WALTER MANUEL</v>
      </c>
      <c r="EU342" t="str">
        <v>MOLINA CEVALLOS MARIA LORENA</v>
      </c>
      <c r="EV342" t="str">
        <v>MURILLO DELGADO ISAAC GABRIEL</v>
      </c>
      <c r="EW342" t="str">
        <v>ANGULO MURILLO NAVIRA GISSELA</v>
      </c>
      <c r="EX342" t="str">
        <v>OCHOA SOLEDISPA NESTOR IVAN</v>
      </c>
      <c r="EY342" t="str">
        <v>PARRAGA FRANCO SILVANA MARIELA</v>
      </c>
      <c r="EZ342" t="str">
        <v>PINARGOTE VASQUEZ NANCY FABIOLA</v>
      </c>
      <c r="FA342" t="str">
        <v>REYES VELEZ PEDRO ENRIQUE</v>
      </c>
      <c r="FB342" t="str">
        <v>SAN ANDRES HORMAZA DALLAS CECILIA</v>
      </c>
      <c r="FC342" t="str">
        <v>SORNOZA ZAMORA JUAN CARLOS</v>
      </c>
      <c r="FD342" t="str">
        <v>TOMALA PINTO JESUS JACINTO</v>
      </c>
      <c r="FE342" t="str">
        <v>VALLE JARAMILLO SILVIA ARACELY</v>
      </c>
      <c r="FF342" t="str">
        <v>VELÁSQUEZ BRAVO IRMA KATHERINE</v>
      </c>
      <c r="FG342" t="str">
        <v>VELEZ MENDOZA LAYSY VALERIA</v>
      </c>
      <c r="FH342" t="str">
        <v>VINUEZA TELLO SHIRLEY ELIZABETH</v>
      </c>
      <c r="FI342" t="str">
        <v>ZAMBRANO ALCIVAR NILDA ISABEL</v>
      </c>
      <c r="FJ342" t="str">
        <v>ZAMBRANO LOOR RITA MAYDA</v>
      </c>
      <c r="FK342" t="str">
        <v>ZAMBRANO VERA MONICA JANETH</v>
      </c>
      <c r="FL342" t="str">
        <v>VERA DELGADO BRYAN ADRIÁN</v>
      </c>
      <c r="FM342" t="str">
        <v>MORAN GONZALES DAVID RENATO</v>
      </c>
      <c r="FN342">
        <v>0</v>
      </c>
    </row>
    <row r="343" spans="1:170" ht="20.25" customHeight="1">
      <c r="A343" s="4" t="str" cm="1">
        <f t="array" ref="A343">TRANSPOSE(_xlfn.UNIQUE(_xlfn._xlws.FILTER(MAE_ASIGNATURA[ID_NIVEL],MAE_ASIGNATURA[ID_CARRERA]=ASIGNACION!$C343,"No existe información")))</f>
        <v>No existe información</v>
      </c>
      <c r="S343" s="4" t="str" cm="1">
        <f t="array" ref="S343">TRANSPOSE(_xlfn.UNIQUE(_xlfn._xlws.FILTER(MAE_ASIGNATURA[NOM_ASIG],(MAE_ASIGNATURA[ID_NIVEL]=ASIGNACION!$D343)*(MAE_ASIGNATURA[ID_CARRERA]=ASIGNACION!$C343),"No existe información")))</f>
        <v>No existe información</v>
      </c>
      <c r="BD343" s="4" t="str" cm="1">
        <f t="array" ref="BD343">TRANSPOSE(_xlfn.UNIQUE(_xlfn._xlws.FILTER(DET_ASIG[DETALLADO],(DET_ASIG[ID_CARRERA]=ASIGNACION!$C343)*(DET_ASIG[NIVEL]=ASIGNACION!$D343)*(DET_ASIG[ID_ASIG]=ASIGNACION!$G343),"No existe información")))</f>
        <v>No existe información</v>
      </c>
      <c r="BQ343" s="5" t="str" cm="1">
        <f t="array" ref="BQ343">IFERROR(
    TRANSPOSE(
        _xlfn.UNIQUE(
            _xlfn._xlws.FILTER(MAESTRIA_DETALLADO[MAESTRIA],
                ISNUMBER(MATCH(MAESTRIA_DETALLADO[CAMPO_DETALLADO],
                BD343:BP343,0))
            )
        )
    ),IF(BD343="ACTIVIDAD","DOCENCIA",""))</f>
        <v/>
      </c>
      <c r="EA343" s="5" t="str" cm="1">
        <f t="array" ref="EA343:FN343">IF(
    ASIGNACION!I343="SI",
    IFERROR(
        TRANSPOSE(
            _xlfn.UNIQUE(
                _xlfn._xlws.FILTER(EDU_DOCENTE[NOMBRE_DOCENTE],
                    ISNUMBER(MATCH(EDU_DOCENTE[MAESTRIA],
                    BQ343:DY343,0))
                )
            )
        ),
        ""
    ),
    TRANSPOSE(
        _xlfn.UNIQUE(EDU_DOCENTE[NOMBRE_DOCENTE]
        )
    )
)</f>
        <v>ALCIVAR CEDEÑO BEATRIZ ISABEL</v>
      </c>
      <c r="EB343" t="str">
        <v>ALCIVAR VERA GEMA MICHELLE</v>
      </c>
      <c r="EC343" t="str">
        <v>ARAUZ CHAVEZ MARIO ROBERTO</v>
      </c>
      <c r="ED343" t="str">
        <v>BAILON LOURIDO WALTER ALBERTO</v>
      </c>
      <c r="EE343" t="str">
        <v>CALDERERO VILLAGOMEZ ERICK ANTONIO</v>
      </c>
      <c r="EF343" t="str">
        <v>CASTILLO GARCIA PAOLA GERMANIA</v>
      </c>
      <c r="EG343" t="str">
        <v>CEDEÑO CHOEZ PEDRO JAVIER</v>
      </c>
      <c r="EH343" t="str">
        <v>CEVALLOS HOPPE JUAN CARLOS</v>
      </c>
      <c r="EI343" t="str">
        <v>DELGADO CHAVEZ MARIA IRASEMA</v>
      </c>
      <c r="EJ343" t="str">
        <v>DUARTE VALENCIA CRISTHIAN DARIO</v>
      </c>
      <c r="EK343" t="str">
        <v>FORTTY BARBERAN DENNY ALEXANDER</v>
      </c>
      <c r="EL343" t="str">
        <v>GUTIERREZ ZAMBRANO CARMEN EBELINA</v>
      </c>
      <c r="EM343" t="str">
        <v>INTRIAGO MOLINA GEMA VALERIA</v>
      </c>
      <c r="EN343" t="str">
        <v>LINO VELEZ LEONEL LIVINGTON</v>
      </c>
      <c r="EO343" t="str">
        <v>LOOR ALCIVAR MARIA ILIANA</v>
      </c>
      <c r="EP343" t="str">
        <v>LOOR MIELES TANIA JACQUELINE</v>
      </c>
      <c r="EQ343" t="str">
        <v>LOOR SOLORZANO ROSA MARIA</v>
      </c>
      <c r="ER343" t="str">
        <v>LOPEZ DELGADO RONALD MAURICIO</v>
      </c>
      <c r="ES343" t="str">
        <v>MACIAS VALENCIA DAVID GABRIEL</v>
      </c>
      <c r="ET343" t="str">
        <v>MENDOZA ZAMORA WALTER MANUEL</v>
      </c>
      <c r="EU343" t="str">
        <v>MOLINA CEVALLOS MARIA LORENA</v>
      </c>
      <c r="EV343" t="str">
        <v>MURILLO DELGADO ISAAC GABRIEL</v>
      </c>
      <c r="EW343" t="str">
        <v>ANGULO MURILLO NAVIRA GISSELA</v>
      </c>
      <c r="EX343" t="str">
        <v>OCHOA SOLEDISPA NESTOR IVAN</v>
      </c>
      <c r="EY343" t="str">
        <v>PARRAGA FRANCO SILVANA MARIELA</v>
      </c>
      <c r="EZ343" t="str">
        <v>PINARGOTE VASQUEZ NANCY FABIOLA</v>
      </c>
      <c r="FA343" t="str">
        <v>REYES VELEZ PEDRO ENRIQUE</v>
      </c>
      <c r="FB343" t="str">
        <v>SAN ANDRES HORMAZA DALLAS CECILIA</v>
      </c>
      <c r="FC343" t="str">
        <v>SORNOZA ZAMORA JUAN CARLOS</v>
      </c>
      <c r="FD343" t="str">
        <v>TOMALA PINTO JESUS JACINTO</v>
      </c>
      <c r="FE343" t="str">
        <v>VALLE JARAMILLO SILVIA ARACELY</v>
      </c>
      <c r="FF343" t="str">
        <v>VELÁSQUEZ BRAVO IRMA KATHERINE</v>
      </c>
      <c r="FG343" t="str">
        <v>VELEZ MENDOZA LAYSY VALERIA</v>
      </c>
      <c r="FH343" t="str">
        <v>VINUEZA TELLO SHIRLEY ELIZABETH</v>
      </c>
      <c r="FI343" t="str">
        <v>ZAMBRANO ALCIVAR NILDA ISABEL</v>
      </c>
      <c r="FJ343" t="str">
        <v>ZAMBRANO LOOR RITA MAYDA</v>
      </c>
      <c r="FK343" t="str">
        <v>ZAMBRANO VERA MONICA JANETH</v>
      </c>
      <c r="FL343" t="str">
        <v>VERA DELGADO BRYAN ADRIÁN</v>
      </c>
      <c r="FM343" t="str">
        <v>MORAN GONZALES DAVID RENATO</v>
      </c>
      <c r="FN343">
        <v>0</v>
      </c>
    </row>
    <row r="344" spans="1:170" ht="20.25" customHeight="1">
      <c r="A344" s="4" t="str" cm="1">
        <f t="array" ref="A344">TRANSPOSE(_xlfn.UNIQUE(_xlfn._xlws.FILTER(MAE_ASIGNATURA[ID_NIVEL],MAE_ASIGNATURA[ID_CARRERA]=ASIGNACION!$C344,"No existe información")))</f>
        <v>No existe información</v>
      </c>
      <c r="S344" s="4" t="str" cm="1">
        <f t="array" ref="S344">TRANSPOSE(_xlfn.UNIQUE(_xlfn._xlws.FILTER(MAE_ASIGNATURA[NOM_ASIG],(MAE_ASIGNATURA[ID_NIVEL]=ASIGNACION!$D344)*(MAE_ASIGNATURA[ID_CARRERA]=ASIGNACION!$C344),"No existe información")))</f>
        <v>No existe información</v>
      </c>
      <c r="BD344" s="4" t="str" cm="1">
        <f t="array" ref="BD344">TRANSPOSE(_xlfn.UNIQUE(_xlfn._xlws.FILTER(DET_ASIG[DETALLADO],(DET_ASIG[ID_CARRERA]=ASIGNACION!$C344)*(DET_ASIG[NIVEL]=ASIGNACION!$D344)*(DET_ASIG[ID_ASIG]=ASIGNACION!$G344),"No existe información")))</f>
        <v>No existe información</v>
      </c>
      <c r="BQ344" s="5" t="str" cm="1">
        <f t="array" ref="BQ344">IFERROR(
    TRANSPOSE(
        _xlfn.UNIQUE(
            _xlfn._xlws.FILTER(MAESTRIA_DETALLADO[MAESTRIA],
                ISNUMBER(MATCH(MAESTRIA_DETALLADO[CAMPO_DETALLADO],
                BD344:BP344,0))
            )
        )
    ),IF(BD344="ACTIVIDAD","DOCENCIA",""))</f>
        <v/>
      </c>
      <c r="EA344" s="5" t="str" cm="1">
        <f t="array" ref="EA344:FN344">IF(
    ASIGNACION!I344="SI",
    IFERROR(
        TRANSPOSE(
            _xlfn.UNIQUE(
                _xlfn._xlws.FILTER(EDU_DOCENTE[NOMBRE_DOCENTE],
                    ISNUMBER(MATCH(EDU_DOCENTE[MAESTRIA],
                    BQ344:DY344,0))
                )
            )
        ),
        ""
    ),
    TRANSPOSE(
        _xlfn.UNIQUE(EDU_DOCENTE[NOMBRE_DOCENTE]
        )
    )
)</f>
        <v>ALCIVAR CEDEÑO BEATRIZ ISABEL</v>
      </c>
      <c r="EB344" t="str">
        <v>ALCIVAR VERA GEMA MICHELLE</v>
      </c>
      <c r="EC344" t="str">
        <v>ARAUZ CHAVEZ MARIO ROBERTO</v>
      </c>
      <c r="ED344" t="str">
        <v>BAILON LOURIDO WALTER ALBERTO</v>
      </c>
      <c r="EE344" t="str">
        <v>CALDERERO VILLAGOMEZ ERICK ANTONIO</v>
      </c>
      <c r="EF344" t="str">
        <v>CASTILLO GARCIA PAOLA GERMANIA</v>
      </c>
      <c r="EG344" t="str">
        <v>CEDEÑO CHOEZ PEDRO JAVIER</v>
      </c>
      <c r="EH344" t="str">
        <v>CEVALLOS HOPPE JUAN CARLOS</v>
      </c>
      <c r="EI344" t="str">
        <v>DELGADO CHAVEZ MARIA IRASEMA</v>
      </c>
      <c r="EJ344" t="str">
        <v>DUARTE VALENCIA CRISTHIAN DARIO</v>
      </c>
      <c r="EK344" t="str">
        <v>FORTTY BARBERAN DENNY ALEXANDER</v>
      </c>
      <c r="EL344" t="str">
        <v>GUTIERREZ ZAMBRANO CARMEN EBELINA</v>
      </c>
      <c r="EM344" t="str">
        <v>INTRIAGO MOLINA GEMA VALERIA</v>
      </c>
      <c r="EN344" t="str">
        <v>LINO VELEZ LEONEL LIVINGTON</v>
      </c>
      <c r="EO344" t="str">
        <v>LOOR ALCIVAR MARIA ILIANA</v>
      </c>
      <c r="EP344" t="str">
        <v>LOOR MIELES TANIA JACQUELINE</v>
      </c>
      <c r="EQ344" t="str">
        <v>LOOR SOLORZANO ROSA MARIA</v>
      </c>
      <c r="ER344" t="str">
        <v>LOPEZ DELGADO RONALD MAURICIO</v>
      </c>
      <c r="ES344" t="str">
        <v>MACIAS VALENCIA DAVID GABRIEL</v>
      </c>
      <c r="ET344" t="str">
        <v>MENDOZA ZAMORA WALTER MANUEL</v>
      </c>
      <c r="EU344" t="str">
        <v>MOLINA CEVALLOS MARIA LORENA</v>
      </c>
      <c r="EV344" t="str">
        <v>MURILLO DELGADO ISAAC GABRIEL</v>
      </c>
      <c r="EW344" t="str">
        <v>ANGULO MURILLO NAVIRA GISSELA</v>
      </c>
      <c r="EX344" t="str">
        <v>OCHOA SOLEDISPA NESTOR IVAN</v>
      </c>
      <c r="EY344" t="str">
        <v>PARRAGA FRANCO SILVANA MARIELA</v>
      </c>
      <c r="EZ344" t="str">
        <v>PINARGOTE VASQUEZ NANCY FABIOLA</v>
      </c>
      <c r="FA344" t="str">
        <v>REYES VELEZ PEDRO ENRIQUE</v>
      </c>
      <c r="FB344" t="str">
        <v>SAN ANDRES HORMAZA DALLAS CECILIA</v>
      </c>
      <c r="FC344" t="str">
        <v>SORNOZA ZAMORA JUAN CARLOS</v>
      </c>
      <c r="FD344" t="str">
        <v>TOMALA PINTO JESUS JACINTO</v>
      </c>
      <c r="FE344" t="str">
        <v>VALLE JARAMILLO SILVIA ARACELY</v>
      </c>
      <c r="FF344" t="str">
        <v>VELÁSQUEZ BRAVO IRMA KATHERINE</v>
      </c>
      <c r="FG344" t="str">
        <v>VELEZ MENDOZA LAYSY VALERIA</v>
      </c>
      <c r="FH344" t="str">
        <v>VINUEZA TELLO SHIRLEY ELIZABETH</v>
      </c>
      <c r="FI344" t="str">
        <v>ZAMBRANO ALCIVAR NILDA ISABEL</v>
      </c>
      <c r="FJ344" t="str">
        <v>ZAMBRANO LOOR RITA MAYDA</v>
      </c>
      <c r="FK344" t="str">
        <v>ZAMBRANO VERA MONICA JANETH</v>
      </c>
      <c r="FL344" t="str">
        <v>VERA DELGADO BRYAN ADRIÁN</v>
      </c>
      <c r="FM344" t="str">
        <v>MORAN GONZALES DAVID RENATO</v>
      </c>
      <c r="FN344">
        <v>0</v>
      </c>
    </row>
    <row r="345" spans="1:170" ht="20.25" customHeight="1">
      <c r="A345" s="4" t="str" cm="1">
        <f t="array" ref="A345">TRANSPOSE(_xlfn.UNIQUE(_xlfn._xlws.FILTER(MAE_ASIGNATURA[ID_NIVEL],MAE_ASIGNATURA[ID_CARRERA]=ASIGNACION!$C345,"No existe información")))</f>
        <v>No existe información</v>
      </c>
      <c r="S345" s="4" t="str" cm="1">
        <f t="array" ref="S345">TRANSPOSE(_xlfn.UNIQUE(_xlfn._xlws.FILTER(MAE_ASIGNATURA[NOM_ASIG],(MAE_ASIGNATURA[ID_NIVEL]=ASIGNACION!$D345)*(MAE_ASIGNATURA[ID_CARRERA]=ASIGNACION!$C345),"No existe información")))</f>
        <v>No existe información</v>
      </c>
      <c r="BD345" s="4" t="str" cm="1">
        <f t="array" ref="BD345">TRANSPOSE(_xlfn.UNIQUE(_xlfn._xlws.FILTER(DET_ASIG[DETALLADO],(DET_ASIG[ID_CARRERA]=ASIGNACION!$C345)*(DET_ASIG[NIVEL]=ASIGNACION!$D345)*(DET_ASIG[ID_ASIG]=ASIGNACION!$G345),"No existe información")))</f>
        <v>No existe información</v>
      </c>
      <c r="BQ345" s="5" t="str" cm="1">
        <f t="array" ref="BQ345">IFERROR(
    TRANSPOSE(
        _xlfn.UNIQUE(
            _xlfn._xlws.FILTER(MAESTRIA_DETALLADO[MAESTRIA],
                ISNUMBER(MATCH(MAESTRIA_DETALLADO[CAMPO_DETALLADO],
                BD345:BP345,0))
            )
        )
    ),IF(BD345="ACTIVIDAD","DOCENCIA",""))</f>
        <v/>
      </c>
      <c r="EA345" s="5" t="str" cm="1">
        <f t="array" ref="EA345:FN345">IF(
    ASIGNACION!I345="SI",
    IFERROR(
        TRANSPOSE(
            _xlfn.UNIQUE(
                _xlfn._xlws.FILTER(EDU_DOCENTE[NOMBRE_DOCENTE],
                    ISNUMBER(MATCH(EDU_DOCENTE[MAESTRIA],
                    BQ345:DY345,0))
                )
            )
        ),
        ""
    ),
    TRANSPOSE(
        _xlfn.UNIQUE(EDU_DOCENTE[NOMBRE_DOCENTE]
        )
    )
)</f>
        <v>ALCIVAR CEDEÑO BEATRIZ ISABEL</v>
      </c>
      <c r="EB345" t="str">
        <v>ALCIVAR VERA GEMA MICHELLE</v>
      </c>
      <c r="EC345" t="str">
        <v>ARAUZ CHAVEZ MARIO ROBERTO</v>
      </c>
      <c r="ED345" t="str">
        <v>BAILON LOURIDO WALTER ALBERTO</v>
      </c>
      <c r="EE345" t="str">
        <v>CALDERERO VILLAGOMEZ ERICK ANTONIO</v>
      </c>
      <c r="EF345" t="str">
        <v>CASTILLO GARCIA PAOLA GERMANIA</v>
      </c>
      <c r="EG345" t="str">
        <v>CEDEÑO CHOEZ PEDRO JAVIER</v>
      </c>
      <c r="EH345" t="str">
        <v>CEVALLOS HOPPE JUAN CARLOS</v>
      </c>
      <c r="EI345" t="str">
        <v>DELGADO CHAVEZ MARIA IRASEMA</v>
      </c>
      <c r="EJ345" t="str">
        <v>DUARTE VALENCIA CRISTHIAN DARIO</v>
      </c>
      <c r="EK345" t="str">
        <v>FORTTY BARBERAN DENNY ALEXANDER</v>
      </c>
      <c r="EL345" t="str">
        <v>GUTIERREZ ZAMBRANO CARMEN EBELINA</v>
      </c>
      <c r="EM345" t="str">
        <v>INTRIAGO MOLINA GEMA VALERIA</v>
      </c>
      <c r="EN345" t="str">
        <v>LINO VELEZ LEONEL LIVINGTON</v>
      </c>
      <c r="EO345" t="str">
        <v>LOOR ALCIVAR MARIA ILIANA</v>
      </c>
      <c r="EP345" t="str">
        <v>LOOR MIELES TANIA JACQUELINE</v>
      </c>
      <c r="EQ345" t="str">
        <v>LOOR SOLORZANO ROSA MARIA</v>
      </c>
      <c r="ER345" t="str">
        <v>LOPEZ DELGADO RONALD MAURICIO</v>
      </c>
      <c r="ES345" t="str">
        <v>MACIAS VALENCIA DAVID GABRIEL</v>
      </c>
      <c r="ET345" t="str">
        <v>MENDOZA ZAMORA WALTER MANUEL</v>
      </c>
      <c r="EU345" t="str">
        <v>MOLINA CEVALLOS MARIA LORENA</v>
      </c>
      <c r="EV345" t="str">
        <v>MURILLO DELGADO ISAAC GABRIEL</v>
      </c>
      <c r="EW345" t="str">
        <v>ANGULO MURILLO NAVIRA GISSELA</v>
      </c>
      <c r="EX345" t="str">
        <v>OCHOA SOLEDISPA NESTOR IVAN</v>
      </c>
      <c r="EY345" t="str">
        <v>PARRAGA FRANCO SILVANA MARIELA</v>
      </c>
      <c r="EZ345" t="str">
        <v>PINARGOTE VASQUEZ NANCY FABIOLA</v>
      </c>
      <c r="FA345" t="str">
        <v>REYES VELEZ PEDRO ENRIQUE</v>
      </c>
      <c r="FB345" t="str">
        <v>SAN ANDRES HORMAZA DALLAS CECILIA</v>
      </c>
      <c r="FC345" t="str">
        <v>SORNOZA ZAMORA JUAN CARLOS</v>
      </c>
      <c r="FD345" t="str">
        <v>TOMALA PINTO JESUS JACINTO</v>
      </c>
      <c r="FE345" t="str">
        <v>VALLE JARAMILLO SILVIA ARACELY</v>
      </c>
      <c r="FF345" t="str">
        <v>VELÁSQUEZ BRAVO IRMA KATHERINE</v>
      </c>
      <c r="FG345" t="str">
        <v>VELEZ MENDOZA LAYSY VALERIA</v>
      </c>
      <c r="FH345" t="str">
        <v>VINUEZA TELLO SHIRLEY ELIZABETH</v>
      </c>
      <c r="FI345" t="str">
        <v>ZAMBRANO ALCIVAR NILDA ISABEL</v>
      </c>
      <c r="FJ345" t="str">
        <v>ZAMBRANO LOOR RITA MAYDA</v>
      </c>
      <c r="FK345" t="str">
        <v>ZAMBRANO VERA MONICA JANETH</v>
      </c>
      <c r="FL345" t="str">
        <v>VERA DELGADO BRYAN ADRIÁN</v>
      </c>
      <c r="FM345" t="str">
        <v>MORAN GONZALES DAVID RENATO</v>
      </c>
      <c r="FN345">
        <v>0</v>
      </c>
    </row>
    <row r="346" spans="1:170" ht="20.25" customHeight="1">
      <c r="A346" s="4" t="str" cm="1">
        <f t="array" ref="A346">TRANSPOSE(_xlfn.UNIQUE(_xlfn._xlws.FILTER(MAE_ASIGNATURA[ID_NIVEL],MAE_ASIGNATURA[ID_CARRERA]=ASIGNACION!$C346,"No existe información")))</f>
        <v>No existe información</v>
      </c>
      <c r="S346" s="4" t="str" cm="1">
        <f t="array" ref="S346">TRANSPOSE(_xlfn.UNIQUE(_xlfn._xlws.FILTER(MAE_ASIGNATURA[NOM_ASIG],(MAE_ASIGNATURA[ID_NIVEL]=ASIGNACION!$D346)*(MAE_ASIGNATURA[ID_CARRERA]=ASIGNACION!$C346),"No existe información")))</f>
        <v>No existe información</v>
      </c>
      <c r="BD346" s="4" t="str" cm="1">
        <f t="array" ref="BD346">TRANSPOSE(_xlfn.UNIQUE(_xlfn._xlws.FILTER(DET_ASIG[DETALLADO],(DET_ASIG[ID_CARRERA]=ASIGNACION!$C346)*(DET_ASIG[NIVEL]=ASIGNACION!$D346)*(DET_ASIG[ID_ASIG]=ASIGNACION!$G346),"No existe información")))</f>
        <v>No existe información</v>
      </c>
      <c r="BQ346" s="5" t="str" cm="1">
        <f t="array" ref="BQ346">IFERROR(
    TRANSPOSE(
        _xlfn.UNIQUE(
            _xlfn._xlws.FILTER(MAESTRIA_DETALLADO[MAESTRIA],
                ISNUMBER(MATCH(MAESTRIA_DETALLADO[CAMPO_DETALLADO],
                BD346:BP346,0))
            )
        )
    ),IF(BD346="ACTIVIDAD","DOCENCIA",""))</f>
        <v/>
      </c>
      <c r="EA346" s="5" t="str" cm="1">
        <f t="array" ref="EA346:FN346">IF(
    ASIGNACION!I346="SI",
    IFERROR(
        TRANSPOSE(
            _xlfn.UNIQUE(
                _xlfn._xlws.FILTER(EDU_DOCENTE[NOMBRE_DOCENTE],
                    ISNUMBER(MATCH(EDU_DOCENTE[MAESTRIA],
                    BQ346:DY346,0))
                )
            )
        ),
        ""
    ),
    TRANSPOSE(
        _xlfn.UNIQUE(EDU_DOCENTE[NOMBRE_DOCENTE]
        )
    )
)</f>
        <v>ALCIVAR CEDEÑO BEATRIZ ISABEL</v>
      </c>
      <c r="EB346" t="str">
        <v>ALCIVAR VERA GEMA MICHELLE</v>
      </c>
      <c r="EC346" t="str">
        <v>ARAUZ CHAVEZ MARIO ROBERTO</v>
      </c>
      <c r="ED346" t="str">
        <v>BAILON LOURIDO WALTER ALBERTO</v>
      </c>
      <c r="EE346" t="str">
        <v>CALDERERO VILLAGOMEZ ERICK ANTONIO</v>
      </c>
      <c r="EF346" t="str">
        <v>CASTILLO GARCIA PAOLA GERMANIA</v>
      </c>
      <c r="EG346" t="str">
        <v>CEDEÑO CHOEZ PEDRO JAVIER</v>
      </c>
      <c r="EH346" t="str">
        <v>CEVALLOS HOPPE JUAN CARLOS</v>
      </c>
      <c r="EI346" t="str">
        <v>DELGADO CHAVEZ MARIA IRASEMA</v>
      </c>
      <c r="EJ346" t="str">
        <v>DUARTE VALENCIA CRISTHIAN DARIO</v>
      </c>
      <c r="EK346" t="str">
        <v>FORTTY BARBERAN DENNY ALEXANDER</v>
      </c>
      <c r="EL346" t="str">
        <v>GUTIERREZ ZAMBRANO CARMEN EBELINA</v>
      </c>
      <c r="EM346" t="str">
        <v>INTRIAGO MOLINA GEMA VALERIA</v>
      </c>
      <c r="EN346" t="str">
        <v>LINO VELEZ LEONEL LIVINGTON</v>
      </c>
      <c r="EO346" t="str">
        <v>LOOR ALCIVAR MARIA ILIANA</v>
      </c>
      <c r="EP346" t="str">
        <v>LOOR MIELES TANIA JACQUELINE</v>
      </c>
      <c r="EQ346" t="str">
        <v>LOOR SOLORZANO ROSA MARIA</v>
      </c>
      <c r="ER346" t="str">
        <v>LOPEZ DELGADO RONALD MAURICIO</v>
      </c>
      <c r="ES346" t="str">
        <v>MACIAS VALENCIA DAVID GABRIEL</v>
      </c>
      <c r="ET346" t="str">
        <v>MENDOZA ZAMORA WALTER MANUEL</v>
      </c>
      <c r="EU346" t="str">
        <v>MOLINA CEVALLOS MARIA LORENA</v>
      </c>
      <c r="EV346" t="str">
        <v>MURILLO DELGADO ISAAC GABRIEL</v>
      </c>
      <c r="EW346" t="str">
        <v>ANGULO MURILLO NAVIRA GISSELA</v>
      </c>
      <c r="EX346" t="str">
        <v>OCHOA SOLEDISPA NESTOR IVAN</v>
      </c>
      <c r="EY346" t="str">
        <v>PARRAGA FRANCO SILVANA MARIELA</v>
      </c>
      <c r="EZ346" t="str">
        <v>PINARGOTE VASQUEZ NANCY FABIOLA</v>
      </c>
      <c r="FA346" t="str">
        <v>REYES VELEZ PEDRO ENRIQUE</v>
      </c>
      <c r="FB346" t="str">
        <v>SAN ANDRES HORMAZA DALLAS CECILIA</v>
      </c>
      <c r="FC346" t="str">
        <v>SORNOZA ZAMORA JUAN CARLOS</v>
      </c>
      <c r="FD346" t="str">
        <v>TOMALA PINTO JESUS JACINTO</v>
      </c>
      <c r="FE346" t="str">
        <v>VALLE JARAMILLO SILVIA ARACELY</v>
      </c>
      <c r="FF346" t="str">
        <v>VELÁSQUEZ BRAVO IRMA KATHERINE</v>
      </c>
      <c r="FG346" t="str">
        <v>VELEZ MENDOZA LAYSY VALERIA</v>
      </c>
      <c r="FH346" t="str">
        <v>VINUEZA TELLO SHIRLEY ELIZABETH</v>
      </c>
      <c r="FI346" t="str">
        <v>ZAMBRANO ALCIVAR NILDA ISABEL</v>
      </c>
      <c r="FJ346" t="str">
        <v>ZAMBRANO LOOR RITA MAYDA</v>
      </c>
      <c r="FK346" t="str">
        <v>ZAMBRANO VERA MONICA JANETH</v>
      </c>
      <c r="FL346" t="str">
        <v>VERA DELGADO BRYAN ADRIÁN</v>
      </c>
      <c r="FM346" t="str">
        <v>MORAN GONZALES DAVID RENATO</v>
      </c>
      <c r="FN346">
        <v>0</v>
      </c>
    </row>
    <row r="347" spans="1:170" ht="20.25" customHeight="1">
      <c r="A347" s="4" t="str" cm="1">
        <f t="array" ref="A347">TRANSPOSE(_xlfn.UNIQUE(_xlfn._xlws.FILTER(MAE_ASIGNATURA[ID_NIVEL],MAE_ASIGNATURA[ID_CARRERA]=ASIGNACION!$C347,"No existe información")))</f>
        <v>No existe información</v>
      </c>
      <c r="S347" s="4" t="str" cm="1">
        <f t="array" ref="S347">TRANSPOSE(_xlfn.UNIQUE(_xlfn._xlws.FILTER(MAE_ASIGNATURA[NOM_ASIG],(MAE_ASIGNATURA[ID_NIVEL]=ASIGNACION!$D347)*(MAE_ASIGNATURA[ID_CARRERA]=ASIGNACION!$C347),"No existe información")))</f>
        <v>No existe información</v>
      </c>
      <c r="BD347" s="4" t="str" cm="1">
        <f t="array" ref="BD347">TRANSPOSE(_xlfn.UNIQUE(_xlfn._xlws.FILTER(DET_ASIG[DETALLADO],(DET_ASIG[ID_CARRERA]=ASIGNACION!$C347)*(DET_ASIG[NIVEL]=ASIGNACION!$D347)*(DET_ASIG[ID_ASIG]=ASIGNACION!$G347),"No existe información")))</f>
        <v>No existe información</v>
      </c>
      <c r="BQ347" s="5" t="str" cm="1">
        <f t="array" ref="BQ347">IFERROR(
    TRANSPOSE(
        _xlfn.UNIQUE(
            _xlfn._xlws.FILTER(MAESTRIA_DETALLADO[MAESTRIA],
                ISNUMBER(MATCH(MAESTRIA_DETALLADO[CAMPO_DETALLADO],
                BD347:BP347,0))
            )
        )
    ),IF(BD347="ACTIVIDAD","DOCENCIA",""))</f>
        <v/>
      </c>
      <c r="EA347" s="5" t="str" cm="1">
        <f t="array" ref="EA347:FN347">IF(
    ASIGNACION!I347="SI",
    IFERROR(
        TRANSPOSE(
            _xlfn.UNIQUE(
                _xlfn._xlws.FILTER(EDU_DOCENTE[NOMBRE_DOCENTE],
                    ISNUMBER(MATCH(EDU_DOCENTE[MAESTRIA],
                    BQ347:DY347,0))
                )
            )
        ),
        ""
    ),
    TRANSPOSE(
        _xlfn.UNIQUE(EDU_DOCENTE[NOMBRE_DOCENTE]
        )
    )
)</f>
        <v>ALCIVAR CEDEÑO BEATRIZ ISABEL</v>
      </c>
      <c r="EB347" t="str">
        <v>ALCIVAR VERA GEMA MICHELLE</v>
      </c>
      <c r="EC347" t="str">
        <v>ARAUZ CHAVEZ MARIO ROBERTO</v>
      </c>
      <c r="ED347" t="str">
        <v>BAILON LOURIDO WALTER ALBERTO</v>
      </c>
      <c r="EE347" t="str">
        <v>CALDERERO VILLAGOMEZ ERICK ANTONIO</v>
      </c>
      <c r="EF347" t="str">
        <v>CASTILLO GARCIA PAOLA GERMANIA</v>
      </c>
      <c r="EG347" t="str">
        <v>CEDEÑO CHOEZ PEDRO JAVIER</v>
      </c>
      <c r="EH347" t="str">
        <v>CEVALLOS HOPPE JUAN CARLOS</v>
      </c>
      <c r="EI347" t="str">
        <v>DELGADO CHAVEZ MARIA IRASEMA</v>
      </c>
      <c r="EJ347" t="str">
        <v>DUARTE VALENCIA CRISTHIAN DARIO</v>
      </c>
      <c r="EK347" t="str">
        <v>FORTTY BARBERAN DENNY ALEXANDER</v>
      </c>
      <c r="EL347" t="str">
        <v>GUTIERREZ ZAMBRANO CARMEN EBELINA</v>
      </c>
      <c r="EM347" t="str">
        <v>INTRIAGO MOLINA GEMA VALERIA</v>
      </c>
      <c r="EN347" t="str">
        <v>LINO VELEZ LEONEL LIVINGTON</v>
      </c>
      <c r="EO347" t="str">
        <v>LOOR ALCIVAR MARIA ILIANA</v>
      </c>
      <c r="EP347" t="str">
        <v>LOOR MIELES TANIA JACQUELINE</v>
      </c>
      <c r="EQ347" t="str">
        <v>LOOR SOLORZANO ROSA MARIA</v>
      </c>
      <c r="ER347" t="str">
        <v>LOPEZ DELGADO RONALD MAURICIO</v>
      </c>
      <c r="ES347" t="str">
        <v>MACIAS VALENCIA DAVID GABRIEL</v>
      </c>
      <c r="ET347" t="str">
        <v>MENDOZA ZAMORA WALTER MANUEL</v>
      </c>
      <c r="EU347" t="str">
        <v>MOLINA CEVALLOS MARIA LORENA</v>
      </c>
      <c r="EV347" t="str">
        <v>MURILLO DELGADO ISAAC GABRIEL</v>
      </c>
      <c r="EW347" t="str">
        <v>ANGULO MURILLO NAVIRA GISSELA</v>
      </c>
      <c r="EX347" t="str">
        <v>OCHOA SOLEDISPA NESTOR IVAN</v>
      </c>
      <c r="EY347" t="str">
        <v>PARRAGA FRANCO SILVANA MARIELA</v>
      </c>
      <c r="EZ347" t="str">
        <v>PINARGOTE VASQUEZ NANCY FABIOLA</v>
      </c>
      <c r="FA347" t="str">
        <v>REYES VELEZ PEDRO ENRIQUE</v>
      </c>
      <c r="FB347" t="str">
        <v>SAN ANDRES HORMAZA DALLAS CECILIA</v>
      </c>
      <c r="FC347" t="str">
        <v>SORNOZA ZAMORA JUAN CARLOS</v>
      </c>
      <c r="FD347" t="str">
        <v>TOMALA PINTO JESUS JACINTO</v>
      </c>
      <c r="FE347" t="str">
        <v>VALLE JARAMILLO SILVIA ARACELY</v>
      </c>
      <c r="FF347" t="str">
        <v>VELÁSQUEZ BRAVO IRMA KATHERINE</v>
      </c>
      <c r="FG347" t="str">
        <v>VELEZ MENDOZA LAYSY VALERIA</v>
      </c>
      <c r="FH347" t="str">
        <v>VINUEZA TELLO SHIRLEY ELIZABETH</v>
      </c>
      <c r="FI347" t="str">
        <v>ZAMBRANO ALCIVAR NILDA ISABEL</v>
      </c>
      <c r="FJ347" t="str">
        <v>ZAMBRANO LOOR RITA MAYDA</v>
      </c>
      <c r="FK347" t="str">
        <v>ZAMBRANO VERA MONICA JANETH</v>
      </c>
      <c r="FL347" t="str">
        <v>VERA DELGADO BRYAN ADRIÁN</v>
      </c>
      <c r="FM347" t="str">
        <v>MORAN GONZALES DAVID RENATO</v>
      </c>
      <c r="FN347">
        <v>0</v>
      </c>
    </row>
    <row r="348" spans="1:170" ht="20.25" customHeight="1">
      <c r="A348" s="4" t="str" cm="1">
        <f t="array" ref="A348">TRANSPOSE(_xlfn.UNIQUE(_xlfn._xlws.FILTER(MAE_ASIGNATURA[ID_NIVEL],MAE_ASIGNATURA[ID_CARRERA]=ASIGNACION!$C348,"No existe información")))</f>
        <v>No existe información</v>
      </c>
      <c r="S348" s="4" t="str" cm="1">
        <f t="array" ref="S348">TRANSPOSE(_xlfn.UNIQUE(_xlfn._xlws.FILTER(MAE_ASIGNATURA[NOM_ASIG],(MAE_ASIGNATURA[ID_NIVEL]=ASIGNACION!$D348)*(MAE_ASIGNATURA[ID_CARRERA]=ASIGNACION!$C348),"No existe información")))</f>
        <v>No existe información</v>
      </c>
      <c r="BD348" s="4" t="str" cm="1">
        <f t="array" ref="BD348">TRANSPOSE(_xlfn.UNIQUE(_xlfn._xlws.FILTER(DET_ASIG[DETALLADO],(DET_ASIG[ID_CARRERA]=ASIGNACION!$C348)*(DET_ASIG[NIVEL]=ASIGNACION!$D348)*(DET_ASIG[ID_ASIG]=ASIGNACION!$G348),"No existe información")))</f>
        <v>No existe información</v>
      </c>
      <c r="BQ348" s="5" t="str" cm="1">
        <f t="array" ref="BQ348">IFERROR(
    TRANSPOSE(
        _xlfn.UNIQUE(
            _xlfn._xlws.FILTER(MAESTRIA_DETALLADO[MAESTRIA],
                ISNUMBER(MATCH(MAESTRIA_DETALLADO[CAMPO_DETALLADO],
                BD348:BP348,0))
            )
        )
    ),IF(BD348="ACTIVIDAD","DOCENCIA",""))</f>
        <v/>
      </c>
      <c r="EA348" s="5" t="str" cm="1">
        <f t="array" ref="EA348:FN348">IF(
    ASIGNACION!I348="SI",
    IFERROR(
        TRANSPOSE(
            _xlfn.UNIQUE(
                _xlfn._xlws.FILTER(EDU_DOCENTE[NOMBRE_DOCENTE],
                    ISNUMBER(MATCH(EDU_DOCENTE[MAESTRIA],
                    BQ348:DY348,0))
                )
            )
        ),
        ""
    ),
    TRANSPOSE(
        _xlfn.UNIQUE(EDU_DOCENTE[NOMBRE_DOCENTE]
        )
    )
)</f>
        <v>ALCIVAR CEDEÑO BEATRIZ ISABEL</v>
      </c>
      <c r="EB348" t="str">
        <v>ALCIVAR VERA GEMA MICHELLE</v>
      </c>
      <c r="EC348" t="str">
        <v>ARAUZ CHAVEZ MARIO ROBERTO</v>
      </c>
      <c r="ED348" t="str">
        <v>BAILON LOURIDO WALTER ALBERTO</v>
      </c>
      <c r="EE348" t="str">
        <v>CALDERERO VILLAGOMEZ ERICK ANTONIO</v>
      </c>
      <c r="EF348" t="str">
        <v>CASTILLO GARCIA PAOLA GERMANIA</v>
      </c>
      <c r="EG348" t="str">
        <v>CEDEÑO CHOEZ PEDRO JAVIER</v>
      </c>
      <c r="EH348" t="str">
        <v>CEVALLOS HOPPE JUAN CARLOS</v>
      </c>
      <c r="EI348" t="str">
        <v>DELGADO CHAVEZ MARIA IRASEMA</v>
      </c>
      <c r="EJ348" t="str">
        <v>DUARTE VALENCIA CRISTHIAN DARIO</v>
      </c>
      <c r="EK348" t="str">
        <v>FORTTY BARBERAN DENNY ALEXANDER</v>
      </c>
      <c r="EL348" t="str">
        <v>GUTIERREZ ZAMBRANO CARMEN EBELINA</v>
      </c>
      <c r="EM348" t="str">
        <v>INTRIAGO MOLINA GEMA VALERIA</v>
      </c>
      <c r="EN348" t="str">
        <v>LINO VELEZ LEONEL LIVINGTON</v>
      </c>
      <c r="EO348" t="str">
        <v>LOOR ALCIVAR MARIA ILIANA</v>
      </c>
      <c r="EP348" t="str">
        <v>LOOR MIELES TANIA JACQUELINE</v>
      </c>
      <c r="EQ348" t="str">
        <v>LOOR SOLORZANO ROSA MARIA</v>
      </c>
      <c r="ER348" t="str">
        <v>LOPEZ DELGADO RONALD MAURICIO</v>
      </c>
      <c r="ES348" t="str">
        <v>MACIAS VALENCIA DAVID GABRIEL</v>
      </c>
      <c r="ET348" t="str">
        <v>MENDOZA ZAMORA WALTER MANUEL</v>
      </c>
      <c r="EU348" t="str">
        <v>MOLINA CEVALLOS MARIA LORENA</v>
      </c>
      <c r="EV348" t="str">
        <v>MURILLO DELGADO ISAAC GABRIEL</v>
      </c>
      <c r="EW348" t="str">
        <v>ANGULO MURILLO NAVIRA GISSELA</v>
      </c>
      <c r="EX348" t="str">
        <v>OCHOA SOLEDISPA NESTOR IVAN</v>
      </c>
      <c r="EY348" t="str">
        <v>PARRAGA FRANCO SILVANA MARIELA</v>
      </c>
      <c r="EZ348" t="str">
        <v>PINARGOTE VASQUEZ NANCY FABIOLA</v>
      </c>
      <c r="FA348" t="str">
        <v>REYES VELEZ PEDRO ENRIQUE</v>
      </c>
      <c r="FB348" t="str">
        <v>SAN ANDRES HORMAZA DALLAS CECILIA</v>
      </c>
      <c r="FC348" t="str">
        <v>SORNOZA ZAMORA JUAN CARLOS</v>
      </c>
      <c r="FD348" t="str">
        <v>TOMALA PINTO JESUS JACINTO</v>
      </c>
      <c r="FE348" t="str">
        <v>VALLE JARAMILLO SILVIA ARACELY</v>
      </c>
      <c r="FF348" t="str">
        <v>VELÁSQUEZ BRAVO IRMA KATHERINE</v>
      </c>
      <c r="FG348" t="str">
        <v>VELEZ MENDOZA LAYSY VALERIA</v>
      </c>
      <c r="FH348" t="str">
        <v>VINUEZA TELLO SHIRLEY ELIZABETH</v>
      </c>
      <c r="FI348" t="str">
        <v>ZAMBRANO ALCIVAR NILDA ISABEL</v>
      </c>
      <c r="FJ348" t="str">
        <v>ZAMBRANO LOOR RITA MAYDA</v>
      </c>
      <c r="FK348" t="str">
        <v>ZAMBRANO VERA MONICA JANETH</v>
      </c>
      <c r="FL348" t="str">
        <v>VERA DELGADO BRYAN ADRIÁN</v>
      </c>
      <c r="FM348" t="str">
        <v>MORAN GONZALES DAVID RENATO</v>
      </c>
      <c r="FN348">
        <v>0</v>
      </c>
    </row>
    <row r="349" spans="1:170" ht="20.25" customHeight="1">
      <c r="A349" s="4" t="str" cm="1">
        <f t="array" ref="A349">TRANSPOSE(_xlfn.UNIQUE(_xlfn._xlws.FILTER(MAE_ASIGNATURA[ID_NIVEL],MAE_ASIGNATURA[ID_CARRERA]=ASIGNACION!$C349,"No existe información")))</f>
        <v>No existe información</v>
      </c>
      <c r="S349" s="4" t="str" cm="1">
        <f t="array" ref="S349">TRANSPOSE(_xlfn.UNIQUE(_xlfn._xlws.FILTER(MAE_ASIGNATURA[NOM_ASIG],(MAE_ASIGNATURA[ID_NIVEL]=ASIGNACION!$D349)*(MAE_ASIGNATURA[ID_CARRERA]=ASIGNACION!$C349),"No existe información")))</f>
        <v>No existe información</v>
      </c>
      <c r="BD349" s="4" t="str" cm="1">
        <f t="array" ref="BD349">TRANSPOSE(_xlfn.UNIQUE(_xlfn._xlws.FILTER(DET_ASIG[DETALLADO],(DET_ASIG[ID_CARRERA]=ASIGNACION!$C349)*(DET_ASIG[NIVEL]=ASIGNACION!$D349)*(DET_ASIG[ID_ASIG]=ASIGNACION!$G349),"No existe información")))</f>
        <v>No existe información</v>
      </c>
      <c r="BQ349" s="5" t="str" cm="1">
        <f t="array" ref="BQ349">IFERROR(
    TRANSPOSE(
        _xlfn.UNIQUE(
            _xlfn._xlws.FILTER(MAESTRIA_DETALLADO[MAESTRIA],
                ISNUMBER(MATCH(MAESTRIA_DETALLADO[CAMPO_DETALLADO],
                BD349:BP349,0))
            )
        )
    ),IF(BD349="ACTIVIDAD","DOCENCIA",""))</f>
        <v/>
      </c>
      <c r="EA349" s="5" t="str" cm="1">
        <f t="array" ref="EA349:FN349">IF(
    ASIGNACION!I349="SI",
    IFERROR(
        TRANSPOSE(
            _xlfn.UNIQUE(
                _xlfn._xlws.FILTER(EDU_DOCENTE[NOMBRE_DOCENTE],
                    ISNUMBER(MATCH(EDU_DOCENTE[MAESTRIA],
                    BQ349:DY349,0))
                )
            )
        ),
        ""
    ),
    TRANSPOSE(
        _xlfn.UNIQUE(EDU_DOCENTE[NOMBRE_DOCENTE]
        )
    )
)</f>
        <v>ALCIVAR CEDEÑO BEATRIZ ISABEL</v>
      </c>
      <c r="EB349" t="str">
        <v>ALCIVAR VERA GEMA MICHELLE</v>
      </c>
      <c r="EC349" t="str">
        <v>ARAUZ CHAVEZ MARIO ROBERTO</v>
      </c>
      <c r="ED349" t="str">
        <v>BAILON LOURIDO WALTER ALBERTO</v>
      </c>
      <c r="EE349" t="str">
        <v>CALDERERO VILLAGOMEZ ERICK ANTONIO</v>
      </c>
      <c r="EF349" t="str">
        <v>CASTILLO GARCIA PAOLA GERMANIA</v>
      </c>
      <c r="EG349" t="str">
        <v>CEDEÑO CHOEZ PEDRO JAVIER</v>
      </c>
      <c r="EH349" t="str">
        <v>CEVALLOS HOPPE JUAN CARLOS</v>
      </c>
      <c r="EI349" t="str">
        <v>DELGADO CHAVEZ MARIA IRASEMA</v>
      </c>
      <c r="EJ349" t="str">
        <v>DUARTE VALENCIA CRISTHIAN DARIO</v>
      </c>
      <c r="EK349" t="str">
        <v>FORTTY BARBERAN DENNY ALEXANDER</v>
      </c>
      <c r="EL349" t="str">
        <v>GUTIERREZ ZAMBRANO CARMEN EBELINA</v>
      </c>
      <c r="EM349" t="str">
        <v>INTRIAGO MOLINA GEMA VALERIA</v>
      </c>
      <c r="EN349" t="str">
        <v>LINO VELEZ LEONEL LIVINGTON</v>
      </c>
      <c r="EO349" t="str">
        <v>LOOR ALCIVAR MARIA ILIANA</v>
      </c>
      <c r="EP349" t="str">
        <v>LOOR MIELES TANIA JACQUELINE</v>
      </c>
      <c r="EQ349" t="str">
        <v>LOOR SOLORZANO ROSA MARIA</v>
      </c>
      <c r="ER349" t="str">
        <v>LOPEZ DELGADO RONALD MAURICIO</v>
      </c>
      <c r="ES349" t="str">
        <v>MACIAS VALENCIA DAVID GABRIEL</v>
      </c>
      <c r="ET349" t="str">
        <v>MENDOZA ZAMORA WALTER MANUEL</v>
      </c>
      <c r="EU349" t="str">
        <v>MOLINA CEVALLOS MARIA LORENA</v>
      </c>
      <c r="EV349" t="str">
        <v>MURILLO DELGADO ISAAC GABRIEL</v>
      </c>
      <c r="EW349" t="str">
        <v>ANGULO MURILLO NAVIRA GISSELA</v>
      </c>
      <c r="EX349" t="str">
        <v>OCHOA SOLEDISPA NESTOR IVAN</v>
      </c>
      <c r="EY349" t="str">
        <v>PARRAGA FRANCO SILVANA MARIELA</v>
      </c>
      <c r="EZ349" t="str">
        <v>PINARGOTE VASQUEZ NANCY FABIOLA</v>
      </c>
      <c r="FA349" t="str">
        <v>REYES VELEZ PEDRO ENRIQUE</v>
      </c>
      <c r="FB349" t="str">
        <v>SAN ANDRES HORMAZA DALLAS CECILIA</v>
      </c>
      <c r="FC349" t="str">
        <v>SORNOZA ZAMORA JUAN CARLOS</v>
      </c>
      <c r="FD349" t="str">
        <v>TOMALA PINTO JESUS JACINTO</v>
      </c>
      <c r="FE349" t="str">
        <v>VALLE JARAMILLO SILVIA ARACELY</v>
      </c>
      <c r="FF349" t="str">
        <v>VELÁSQUEZ BRAVO IRMA KATHERINE</v>
      </c>
      <c r="FG349" t="str">
        <v>VELEZ MENDOZA LAYSY VALERIA</v>
      </c>
      <c r="FH349" t="str">
        <v>VINUEZA TELLO SHIRLEY ELIZABETH</v>
      </c>
      <c r="FI349" t="str">
        <v>ZAMBRANO ALCIVAR NILDA ISABEL</v>
      </c>
      <c r="FJ349" t="str">
        <v>ZAMBRANO LOOR RITA MAYDA</v>
      </c>
      <c r="FK349" t="str">
        <v>ZAMBRANO VERA MONICA JANETH</v>
      </c>
      <c r="FL349" t="str">
        <v>VERA DELGADO BRYAN ADRIÁN</v>
      </c>
      <c r="FM349" t="str">
        <v>MORAN GONZALES DAVID RENATO</v>
      </c>
      <c r="FN349">
        <v>0</v>
      </c>
    </row>
    <row r="350" spans="1:170" ht="20.25" customHeight="1">
      <c r="A350" s="4" t="str" cm="1">
        <f t="array" ref="A350">TRANSPOSE(_xlfn.UNIQUE(_xlfn._xlws.FILTER(MAE_ASIGNATURA[ID_NIVEL],MAE_ASIGNATURA[ID_CARRERA]=ASIGNACION!$C350,"No existe información")))</f>
        <v>No existe información</v>
      </c>
      <c r="S350" s="4" t="str" cm="1">
        <f t="array" ref="S350">TRANSPOSE(_xlfn.UNIQUE(_xlfn._xlws.FILTER(MAE_ASIGNATURA[NOM_ASIG],(MAE_ASIGNATURA[ID_NIVEL]=ASIGNACION!$D350)*(MAE_ASIGNATURA[ID_CARRERA]=ASIGNACION!$C350),"No existe información")))</f>
        <v>No existe información</v>
      </c>
      <c r="BD350" s="4" t="str" cm="1">
        <f t="array" ref="BD350">TRANSPOSE(_xlfn.UNIQUE(_xlfn._xlws.FILTER(DET_ASIG[DETALLADO],(DET_ASIG[ID_CARRERA]=ASIGNACION!$C350)*(DET_ASIG[NIVEL]=ASIGNACION!$D350)*(DET_ASIG[ID_ASIG]=ASIGNACION!$G350),"No existe información")))</f>
        <v>No existe información</v>
      </c>
      <c r="BQ350" s="5" t="str" cm="1">
        <f t="array" ref="BQ350">IFERROR(
    TRANSPOSE(
        _xlfn.UNIQUE(
            _xlfn._xlws.FILTER(MAESTRIA_DETALLADO[MAESTRIA],
                ISNUMBER(MATCH(MAESTRIA_DETALLADO[CAMPO_DETALLADO],
                BD350:BP350,0))
            )
        )
    ),IF(BD350="ACTIVIDAD","DOCENCIA",""))</f>
        <v/>
      </c>
      <c r="EA350" s="5" t="str" cm="1">
        <f t="array" ref="EA350:FN350">IF(
    ASIGNACION!I350="SI",
    IFERROR(
        TRANSPOSE(
            _xlfn.UNIQUE(
                _xlfn._xlws.FILTER(EDU_DOCENTE[NOMBRE_DOCENTE],
                    ISNUMBER(MATCH(EDU_DOCENTE[MAESTRIA],
                    BQ350:DY350,0))
                )
            )
        ),
        ""
    ),
    TRANSPOSE(
        _xlfn.UNIQUE(EDU_DOCENTE[NOMBRE_DOCENTE]
        )
    )
)</f>
        <v>ALCIVAR CEDEÑO BEATRIZ ISABEL</v>
      </c>
      <c r="EB350" t="str">
        <v>ALCIVAR VERA GEMA MICHELLE</v>
      </c>
      <c r="EC350" t="str">
        <v>ARAUZ CHAVEZ MARIO ROBERTO</v>
      </c>
      <c r="ED350" t="str">
        <v>BAILON LOURIDO WALTER ALBERTO</v>
      </c>
      <c r="EE350" t="str">
        <v>CALDERERO VILLAGOMEZ ERICK ANTONIO</v>
      </c>
      <c r="EF350" t="str">
        <v>CASTILLO GARCIA PAOLA GERMANIA</v>
      </c>
      <c r="EG350" t="str">
        <v>CEDEÑO CHOEZ PEDRO JAVIER</v>
      </c>
      <c r="EH350" t="str">
        <v>CEVALLOS HOPPE JUAN CARLOS</v>
      </c>
      <c r="EI350" t="str">
        <v>DELGADO CHAVEZ MARIA IRASEMA</v>
      </c>
      <c r="EJ350" t="str">
        <v>DUARTE VALENCIA CRISTHIAN DARIO</v>
      </c>
      <c r="EK350" t="str">
        <v>FORTTY BARBERAN DENNY ALEXANDER</v>
      </c>
      <c r="EL350" t="str">
        <v>GUTIERREZ ZAMBRANO CARMEN EBELINA</v>
      </c>
      <c r="EM350" t="str">
        <v>INTRIAGO MOLINA GEMA VALERIA</v>
      </c>
      <c r="EN350" t="str">
        <v>LINO VELEZ LEONEL LIVINGTON</v>
      </c>
      <c r="EO350" t="str">
        <v>LOOR ALCIVAR MARIA ILIANA</v>
      </c>
      <c r="EP350" t="str">
        <v>LOOR MIELES TANIA JACQUELINE</v>
      </c>
      <c r="EQ350" t="str">
        <v>LOOR SOLORZANO ROSA MARIA</v>
      </c>
      <c r="ER350" t="str">
        <v>LOPEZ DELGADO RONALD MAURICIO</v>
      </c>
      <c r="ES350" t="str">
        <v>MACIAS VALENCIA DAVID GABRIEL</v>
      </c>
      <c r="ET350" t="str">
        <v>MENDOZA ZAMORA WALTER MANUEL</v>
      </c>
      <c r="EU350" t="str">
        <v>MOLINA CEVALLOS MARIA LORENA</v>
      </c>
      <c r="EV350" t="str">
        <v>MURILLO DELGADO ISAAC GABRIEL</v>
      </c>
      <c r="EW350" t="str">
        <v>ANGULO MURILLO NAVIRA GISSELA</v>
      </c>
      <c r="EX350" t="str">
        <v>OCHOA SOLEDISPA NESTOR IVAN</v>
      </c>
      <c r="EY350" t="str">
        <v>PARRAGA FRANCO SILVANA MARIELA</v>
      </c>
      <c r="EZ350" t="str">
        <v>PINARGOTE VASQUEZ NANCY FABIOLA</v>
      </c>
      <c r="FA350" t="str">
        <v>REYES VELEZ PEDRO ENRIQUE</v>
      </c>
      <c r="FB350" t="str">
        <v>SAN ANDRES HORMAZA DALLAS CECILIA</v>
      </c>
      <c r="FC350" t="str">
        <v>SORNOZA ZAMORA JUAN CARLOS</v>
      </c>
      <c r="FD350" t="str">
        <v>TOMALA PINTO JESUS JACINTO</v>
      </c>
      <c r="FE350" t="str">
        <v>VALLE JARAMILLO SILVIA ARACELY</v>
      </c>
      <c r="FF350" t="str">
        <v>VELÁSQUEZ BRAVO IRMA KATHERINE</v>
      </c>
      <c r="FG350" t="str">
        <v>VELEZ MENDOZA LAYSY VALERIA</v>
      </c>
      <c r="FH350" t="str">
        <v>VINUEZA TELLO SHIRLEY ELIZABETH</v>
      </c>
      <c r="FI350" t="str">
        <v>ZAMBRANO ALCIVAR NILDA ISABEL</v>
      </c>
      <c r="FJ350" t="str">
        <v>ZAMBRANO LOOR RITA MAYDA</v>
      </c>
      <c r="FK350" t="str">
        <v>ZAMBRANO VERA MONICA JANETH</v>
      </c>
      <c r="FL350" t="str">
        <v>VERA DELGADO BRYAN ADRIÁN</v>
      </c>
      <c r="FM350" t="str">
        <v>MORAN GONZALES DAVID RENATO</v>
      </c>
      <c r="FN350">
        <v>0</v>
      </c>
    </row>
    <row r="351" spans="1:170" ht="20.25" customHeight="1">
      <c r="A351" s="4" t="str" cm="1">
        <f t="array" ref="A351">TRANSPOSE(_xlfn.UNIQUE(_xlfn._xlws.FILTER(MAE_ASIGNATURA[ID_NIVEL],MAE_ASIGNATURA[ID_CARRERA]=ASIGNACION!$C351,"No existe información")))</f>
        <v>No existe información</v>
      </c>
      <c r="S351" s="4" t="str" cm="1">
        <f t="array" ref="S351">TRANSPOSE(_xlfn.UNIQUE(_xlfn._xlws.FILTER(MAE_ASIGNATURA[NOM_ASIG],(MAE_ASIGNATURA[ID_NIVEL]=ASIGNACION!$D351)*(MAE_ASIGNATURA[ID_CARRERA]=ASIGNACION!$C351),"No existe información")))</f>
        <v>No existe información</v>
      </c>
      <c r="BD351" s="4" t="str" cm="1">
        <f t="array" ref="BD351">TRANSPOSE(_xlfn.UNIQUE(_xlfn._xlws.FILTER(DET_ASIG[DETALLADO],(DET_ASIG[ID_CARRERA]=ASIGNACION!$C351)*(DET_ASIG[NIVEL]=ASIGNACION!$D351)*(DET_ASIG[ID_ASIG]=ASIGNACION!$G351),"No existe información")))</f>
        <v>No existe información</v>
      </c>
      <c r="BQ351" s="5" t="str" cm="1">
        <f t="array" ref="BQ351">IFERROR(
    TRANSPOSE(
        _xlfn.UNIQUE(
            _xlfn._xlws.FILTER(MAESTRIA_DETALLADO[MAESTRIA],
                ISNUMBER(MATCH(MAESTRIA_DETALLADO[CAMPO_DETALLADO],
                BD351:BP351,0))
            )
        )
    ),IF(BD351="ACTIVIDAD","DOCENCIA",""))</f>
        <v/>
      </c>
      <c r="EA351" s="5" t="str" cm="1">
        <f t="array" ref="EA351:FN351">IF(
    ASIGNACION!I351="SI",
    IFERROR(
        TRANSPOSE(
            _xlfn.UNIQUE(
                _xlfn._xlws.FILTER(EDU_DOCENTE[NOMBRE_DOCENTE],
                    ISNUMBER(MATCH(EDU_DOCENTE[MAESTRIA],
                    BQ351:DY351,0))
                )
            )
        ),
        ""
    ),
    TRANSPOSE(
        _xlfn.UNIQUE(EDU_DOCENTE[NOMBRE_DOCENTE]
        )
    )
)</f>
        <v>ALCIVAR CEDEÑO BEATRIZ ISABEL</v>
      </c>
      <c r="EB351" t="str">
        <v>ALCIVAR VERA GEMA MICHELLE</v>
      </c>
      <c r="EC351" t="str">
        <v>ARAUZ CHAVEZ MARIO ROBERTO</v>
      </c>
      <c r="ED351" t="str">
        <v>BAILON LOURIDO WALTER ALBERTO</v>
      </c>
      <c r="EE351" t="str">
        <v>CALDERERO VILLAGOMEZ ERICK ANTONIO</v>
      </c>
      <c r="EF351" t="str">
        <v>CASTILLO GARCIA PAOLA GERMANIA</v>
      </c>
      <c r="EG351" t="str">
        <v>CEDEÑO CHOEZ PEDRO JAVIER</v>
      </c>
      <c r="EH351" t="str">
        <v>CEVALLOS HOPPE JUAN CARLOS</v>
      </c>
      <c r="EI351" t="str">
        <v>DELGADO CHAVEZ MARIA IRASEMA</v>
      </c>
      <c r="EJ351" t="str">
        <v>DUARTE VALENCIA CRISTHIAN DARIO</v>
      </c>
      <c r="EK351" t="str">
        <v>FORTTY BARBERAN DENNY ALEXANDER</v>
      </c>
      <c r="EL351" t="str">
        <v>GUTIERREZ ZAMBRANO CARMEN EBELINA</v>
      </c>
      <c r="EM351" t="str">
        <v>INTRIAGO MOLINA GEMA VALERIA</v>
      </c>
      <c r="EN351" t="str">
        <v>LINO VELEZ LEONEL LIVINGTON</v>
      </c>
      <c r="EO351" t="str">
        <v>LOOR ALCIVAR MARIA ILIANA</v>
      </c>
      <c r="EP351" t="str">
        <v>LOOR MIELES TANIA JACQUELINE</v>
      </c>
      <c r="EQ351" t="str">
        <v>LOOR SOLORZANO ROSA MARIA</v>
      </c>
      <c r="ER351" t="str">
        <v>LOPEZ DELGADO RONALD MAURICIO</v>
      </c>
      <c r="ES351" t="str">
        <v>MACIAS VALENCIA DAVID GABRIEL</v>
      </c>
      <c r="ET351" t="str">
        <v>MENDOZA ZAMORA WALTER MANUEL</v>
      </c>
      <c r="EU351" t="str">
        <v>MOLINA CEVALLOS MARIA LORENA</v>
      </c>
      <c r="EV351" t="str">
        <v>MURILLO DELGADO ISAAC GABRIEL</v>
      </c>
      <c r="EW351" t="str">
        <v>ANGULO MURILLO NAVIRA GISSELA</v>
      </c>
      <c r="EX351" t="str">
        <v>OCHOA SOLEDISPA NESTOR IVAN</v>
      </c>
      <c r="EY351" t="str">
        <v>PARRAGA FRANCO SILVANA MARIELA</v>
      </c>
      <c r="EZ351" t="str">
        <v>PINARGOTE VASQUEZ NANCY FABIOLA</v>
      </c>
      <c r="FA351" t="str">
        <v>REYES VELEZ PEDRO ENRIQUE</v>
      </c>
      <c r="FB351" t="str">
        <v>SAN ANDRES HORMAZA DALLAS CECILIA</v>
      </c>
      <c r="FC351" t="str">
        <v>SORNOZA ZAMORA JUAN CARLOS</v>
      </c>
      <c r="FD351" t="str">
        <v>TOMALA PINTO JESUS JACINTO</v>
      </c>
      <c r="FE351" t="str">
        <v>VALLE JARAMILLO SILVIA ARACELY</v>
      </c>
      <c r="FF351" t="str">
        <v>VELÁSQUEZ BRAVO IRMA KATHERINE</v>
      </c>
      <c r="FG351" t="str">
        <v>VELEZ MENDOZA LAYSY VALERIA</v>
      </c>
      <c r="FH351" t="str">
        <v>VINUEZA TELLO SHIRLEY ELIZABETH</v>
      </c>
      <c r="FI351" t="str">
        <v>ZAMBRANO ALCIVAR NILDA ISABEL</v>
      </c>
      <c r="FJ351" t="str">
        <v>ZAMBRANO LOOR RITA MAYDA</v>
      </c>
      <c r="FK351" t="str">
        <v>ZAMBRANO VERA MONICA JANETH</v>
      </c>
      <c r="FL351" t="str">
        <v>VERA DELGADO BRYAN ADRIÁN</v>
      </c>
      <c r="FM351" t="str">
        <v>MORAN GONZALES DAVID RENATO</v>
      </c>
      <c r="FN351">
        <v>0</v>
      </c>
    </row>
    <row r="352" spans="1:170" ht="20.25" customHeight="1">
      <c r="A352" s="4" t="str" cm="1">
        <f t="array" ref="A352">TRANSPOSE(_xlfn.UNIQUE(_xlfn._xlws.FILTER(MAE_ASIGNATURA[ID_NIVEL],MAE_ASIGNATURA[ID_CARRERA]=ASIGNACION!$C352,"No existe información")))</f>
        <v>No existe información</v>
      </c>
      <c r="S352" s="4" t="str" cm="1">
        <f t="array" ref="S352">TRANSPOSE(_xlfn.UNIQUE(_xlfn._xlws.FILTER(MAE_ASIGNATURA[NOM_ASIG],(MAE_ASIGNATURA[ID_NIVEL]=ASIGNACION!$D352)*(MAE_ASIGNATURA[ID_CARRERA]=ASIGNACION!$C352),"No existe información")))</f>
        <v>No existe información</v>
      </c>
      <c r="BD352" s="4" t="str" cm="1">
        <f t="array" ref="BD352">TRANSPOSE(_xlfn.UNIQUE(_xlfn._xlws.FILTER(DET_ASIG[DETALLADO],(DET_ASIG[ID_CARRERA]=ASIGNACION!$C352)*(DET_ASIG[NIVEL]=ASIGNACION!$D352)*(DET_ASIG[ID_ASIG]=ASIGNACION!$G352),"No existe información")))</f>
        <v>No existe información</v>
      </c>
      <c r="BQ352" s="5" t="str" cm="1">
        <f t="array" ref="BQ352">IFERROR(
    TRANSPOSE(
        _xlfn.UNIQUE(
            _xlfn._xlws.FILTER(MAESTRIA_DETALLADO[MAESTRIA],
                ISNUMBER(MATCH(MAESTRIA_DETALLADO[CAMPO_DETALLADO],
                BD352:BP352,0))
            )
        )
    ),IF(BD352="ACTIVIDAD","DOCENCIA",""))</f>
        <v/>
      </c>
      <c r="EA352" s="5" t="str" cm="1">
        <f t="array" ref="EA352:FN352">IF(
    ASIGNACION!I352="SI",
    IFERROR(
        TRANSPOSE(
            _xlfn.UNIQUE(
                _xlfn._xlws.FILTER(EDU_DOCENTE[NOMBRE_DOCENTE],
                    ISNUMBER(MATCH(EDU_DOCENTE[MAESTRIA],
                    BQ352:DY352,0))
                )
            )
        ),
        ""
    ),
    TRANSPOSE(
        _xlfn.UNIQUE(EDU_DOCENTE[NOMBRE_DOCENTE]
        )
    )
)</f>
        <v>ALCIVAR CEDEÑO BEATRIZ ISABEL</v>
      </c>
      <c r="EB352" t="str">
        <v>ALCIVAR VERA GEMA MICHELLE</v>
      </c>
      <c r="EC352" t="str">
        <v>ARAUZ CHAVEZ MARIO ROBERTO</v>
      </c>
      <c r="ED352" t="str">
        <v>BAILON LOURIDO WALTER ALBERTO</v>
      </c>
      <c r="EE352" t="str">
        <v>CALDERERO VILLAGOMEZ ERICK ANTONIO</v>
      </c>
      <c r="EF352" t="str">
        <v>CASTILLO GARCIA PAOLA GERMANIA</v>
      </c>
      <c r="EG352" t="str">
        <v>CEDEÑO CHOEZ PEDRO JAVIER</v>
      </c>
      <c r="EH352" t="str">
        <v>CEVALLOS HOPPE JUAN CARLOS</v>
      </c>
      <c r="EI352" t="str">
        <v>DELGADO CHAVEZ MARIA IRASEMA</v>
      </c>
      <c r="EJ352" t="str">
        <v>DUARTE VALENCIA CRISTHIAN DARIO</v>
      </c>
      <c r="EK352" t="str">
        <v>FORTTY BARBERAN DENNY ALEXANDER</v>
      </c>
      <c r="EL352" t="str">
        <v>GUTIERREZ ZAMBRANO CARMEN EBELINA</v>
      </c>
      <c r="EM352" t="str">
        <v>INTRIAGO MOLINA GEMA VALERIA</v>
      </c>
      <c r="EN352" t="str">
        <v>LINO VELEZ LEONEL LIVINGTON</v>
      </c>
      <c r="EO352" t="str">
        <v>LOOR ALCIVAR MARIA ILIANA</v>
      </c>
      <c r="EP352" t="str">
        <v>LOOR MIELES TANIA JACQUELINE</v>
      </c>
      <c r="EQ352" t="str">
        <v>LOOR SOLORZANO ROSA MARIA</v>
      </c>
      <c r="ER352" t="str">
        <v>LOPEZ DELGADO RONALD MAURICIO</v>
      </c>
      <c r="ES352" t="str">
        <v>MACIAS VALENCIA DAVID GABRIEL</v>
      </c>
      <c r="ET352" t="str">
        <v>MENDOZA ZAMORA WALTER MANUEL</v>
      </c>
      <c r="EU352" t="str">
        <v>MOLINA CEVALLOS MARIA LORENA</v>
      </c>
      <c r="EV352" t="str">
        <v>MURILLO DELGADO ISAAC GABRIEL</v>
      </c>
      <c r="EW352" t="str">
        <v>ANGULO MURILLO NAVIRA GISSELA</v>
      </c>
      <c r="EX352" t="str">
        <v>OCHOA SOLEDISPA NESTOR IVAN</v>
      </c>
      <c r="EY352" t="str">
        <v>PARRAGA FRANCO SILVANA MARIELA</v>
      </c>
      <c r="EZ352" t="str">
        <v>PINARGOTE VASQUEZ NANCY FABIOLA</v>
      </c>
      <c r="FA352" t="str">
        <v>REYES VELEZ PEDRO ENRIQUE</v>
      </c>
      <c r="FB352" t="str">
        <v>SAN ANDRES HORMAZA DALLAS CECILIA</v>
      </c>
      <c r="FC352" t="str">
        <v>SORNOZA ZAMORA JUAN CARLOS</v>
      </c>
      <c r="FD352" t="str">
        <v>TOMALA PINTO JESUS JACINTO</v>
      </c>
      <c r="FE352" t="str">
        <v>VALLE JARAMILLO SILVIA ARACELY</v>
      </c>
      <c r="FF352" t="str">
        <v>VELÁSQUEZ BRAVO IRMA KATHERINE</v>
      </c>
      <c r="FG352" t="str">
        <v>VELEZ MENDOZA LAYSY VALERIA</v>
      </c>
      <c r="FH352" t="str">
        <v>VINUEZA TELLO SHIRLEY ELIZABETH</v>
      </c>
      <c r="FI352" t="str">
        <v>ZAMBRANO ALCIVAR NILDA ISABEL</v>
      </c>
      <c r="FJ352" t="str">
        <v>ZAMBRANO LOOR RITA MAYDA</v>
      </c>
      <c r="FK352" t="str">
        <v>ZAMBRANO VERA MONICA JANETH</v>
      </c>
      <c r="FL352" t="str">
        <v>VERA DELGADO BRYAN ADRIÁN</v>
      </c>
      <c r="FM352" t="str">
        <v>MORAN GONZALES DAVID RENATO</v>
      </c>
      <c r="FN352">
        <v>0</v>
      </c>
    </row>
    <row r="353" spans="1:170" ht="20.25" customHeight="1">
      <c r="A353" s="4" t="str" cm="1">
        <f t="array" ref="A353">TRANSPOSE(_xlfn.UNIQUE(_xlfn._xlws.FILTER(MAE_ASIGNATURA[ID_NIVEL],MAE_ASIGNATURA[ID_CARRERA]=ASIGNACION!$C353,"No existe información")))</f>
        <v>No existe información</v>
      </c>
      <c r="S353" s="4" t="str" cm="1">
        <f t="array" ref="S353">TRANSPOSE(_xlfn.UNIQUE(_xlfn._xlws.FILTER(MAE_ASIGNATURA[NOM_ASIG],(MAE_ASIGNATURA[ID_NIVEL]=ASIGNACION!$D353)*(MAE_ASIGNATURA[ID_CARRERA]=ASIGNACION!$C353),"No existe información")))</f>
        <v>No existe información</v>
      </c>
      <c r="BD353" s="4" t="str" cm="1">
        <f t="array" ref="BD353">TRANSPOSE(_xlfn.UNIQUE(_xlfn._xlws.FILTER(DET_ASIG[DETALLADO],(DET_ASIG[ID_CARRERA]=ASIGNACION!$C353)*(DET_ASIG[NIVEL]=ASIGNACION!$D353)*(DET_ASIG[ID_ASIG]=ASIGNACION!$G353),"No existe información")))</f>
        <v>No existe información</v>
      </c>
      <c r="BQ353" s="5" t="str" cm="1">
        <f t="array" ref="BQ353">IFERROR(
    TRANSPOSE(
        _xlfn.UNIQUE(
            _xlfn._xlws.FILTER(MAESTRIA_DETALLADO[MAESTRIA],
                ISNUMBER(MATCH(MAESTRIA_DETALLADO[CAMPO_DETALLADO],
                BD353:BP353,0))
            )
        )
    ),IF(BD353="ACTIVIDAD","DOCENCIA",""))</f>
        <v/>
      </c>
      <c r="EA353" s="5" t="str" cm="1">
        <f t="array" ref="EA353:FN353">IF(
    ASIGNACION!I353="SI",
    IFERROR(
        TRANSPOSE(
            _xlfn.UNIQUE(
                _xlfn._xlws.FILTER(EDU_DOCENTE[NOMBRE_DOCENTE],
                    ISNUMBER(MATCH(EDU_DOCENTE[MAESTRIA],
                    BQ353:DY353,0))
                )
            )
        ),
        ""
    ),
    TRANSPOSE(
        _xlfn.UNIQUE(EDU_DOCENTE[NOMBRE_DOCENTE]
        )
    )
)</f>
        <v>ALCIVAR CEDEÑO BEATRIZ ISABEL</v>
      </c>
      <c r="EB353" t="str">
        <v>ALCIVAR VERA GEMA MICHELLE</v>
      </c>
      <c r="EC353" t="str">
        <v>ARAUZ CHAVEZ MARIO ROBERTO</v>
      </c>
      <c r="ED353" t="str">
        <v>BAILON LOURIDO WALTER ALBERTO</v>
      </c>
      <c r="EE353" t="str">
        <v>CALDERERO VILLAGOMEZ ERICK ANTONIO</v>
      </c>
      <c r="EF353" t="str">
        <v>CASTILLO GARCIA PAOLA GERMANIA</v>
      </c>
      <c r="EG353" t="str">
        <v>CEDEÑO CHOEZ PEDRO JAVIER</v>
      </c>
      <c r="EH353" t="str">
        <v>CEVALLOS HOPPE JUAN CARLOS</v>
      </c>
      <c r="EI353" t="str">
        <v>DELGADO CHAVEZ MARIA IRASEMA</v>
      </c>
      <c r="EJ353" t="str">
        <v>DUARTE VALENCIA CRISTHIAN DARIO</v>
      </c>
      <c r="EK353" t="str">
        <v>FORTTY BARBERAN DENNY ALEXANDER</v>
      </c>
      <c r="EL353" t="str">
        <v>GUTIERREZ ZAMBRANO CARMEN EBELINA</v>
      </c>
      <c r="EM353" t="str">
        <v>INTRIAGO MOLINA GEMA VALERIA</v>
      </c>
      <c r="EN353" t="str">
        <v>LINO VELEZ LEONEL LIVINGTON</v>
      </c>
      <c r="EO353" t="str">
        <v>LOOR ALCIVAR MARIA ILIANA</v>
      </c>
      <c r="EP353" t="str">
        <v>LOOR MIELES TANIA JACQUELINE</v>
      </c>
      <c r="EQ353" t="str">
        <v>LOOR SOLORZANO ROSA MARIA</v>
      </c>
      <c r="ER353" t="str">
        <v>LOPEZ DELGADO RONALD MAURICIO</v>
      </c>
      <c r="ES353" t="str">
        <v>MACIAS VALENCIA DAVID GABRIEL</v>
      </c>
      <c r="ET353" t="str">
        <v>MENDOZA ZAMORA WALTER MANUEL</v>
      </c>
      <c r="EU353" t="str">
        <v>MOLINA CEVALLOS MARIA LORENA</v>
      </c>
      <c r="EV353" t="str">
        <v>MURILLO DELGADO ISAAC GABRIEL</v>
      </c>
      <c r="EW353" t="str">
        <v>ANGULO MURILLO NAVIRA GISSELA</v>
      </c>
      <c r="EX353" t="str">
        <v>OCHOA SOLEDISPA NESTOR IVAN</v>
      </c>
      <c r="EY353" t="str">
        <v>PARRAGA FRANCO SILVANA MARIELA</v>
      </c>
      <c r="EZ353" t="str">
        <v>PINARGOTE VASQUEZ NANCY FABIOLA</v>
      </c>
      <c r="FA353" t="str">
        <v>REYES VELEZ PEDRO ENRIQUE</v>
      </c>
      <c r="FB353" t="str">
        <v>SAN ANDRES HORMAZA DALLAS CECILIA</v>
      </c>
      <c r="FC353" t="str">
        <v>SORNOZA ZAMORA JUAN CARLOS</v>
      </c>
      <c r="FD353" t="str">
        <v>TOMALA PINTO JESUS JACINTO</v>
      </c>
      <c r="FE353" t="str">
        <v>VALLE JARAMILLO SILVIA ARACELY</v>
      </c>
      <c r="FF353" t="str">
        <v>VELÁSQUEZ BRAVO IRMA KATHERINE</v>
      </c>
      <c r="FG353" t="str">
        <v>VELEZ MENDOZA LAYSY VALERIA</v>
      </c>
      <c r="FH353" t="str">
        <v>VINUEZA TELLO SHIRLEY ELIZABETH</v>
      </c>
      <c r="FI353" t="str">
        <v>ZAMBRANO ALCIVAR NILDA ISABEL</v>
      </c>
      <c r="FJ353" t="str">
        <v>ZAMBRANO LOOR RITA MAYDA</v>
      </c>
      <c r="FK353" t="str">
        <v>ZAMBRANO VERA MONICA JANETH</v>
      </c>
      <c r="FL353" t="str">
        <v>VERA DELGADO BRYAN ADRIÁN</v>
      </c>
      <c r="FM353" t="str">
        <v>MORAN GONZALES DAVID RENATO</v>
      </c>
      <c r="FN353">
        <v>0</v>
      </c>
    </row>
    <row r="354" spans="1:170" ht="20.25" customHeight="1">
      <c r="A354" s="4" t="str" cm="1">
        <f t="array" ref="A354">TRANSPOSE(_xlfn.UNIQUE(_xlfn._xlws.FILTER(MAE_ASIGNATURA[ID_NIVEL],MAE_ASIGNATURA[ID_CARRERA]=ASIGNACION!$C354,"No existe información")))</f>
        <v>No existe información</v>
      </c>
      <c r="S354" s="4" t="str" cm="1">
        <f t="array" ref="S354">TRANSPOSE(_xlfn.UNIQUE(_xlfn._xlws.FILTER(MAE_ASIGNATURA[NOM_ASIG],(MAE_ASIGNATURA[ID_NIVEL]=ASIGNACION!$D354)*(MAE_ASIGNATURA[ID_CARRERA]=ASIGNACION!$C354),"No existe información")))</f>
        <v>No existe información</v>
      </c>
      <c r="BD354" s="4" t="str" cm="1">
        <f t="array" ref="BD354">TRANSPOSE(_xlfn.UNIQUE(_xlfn._xlws.FILTER(DET_ASIG[DETALLADO],(DET_ASIG[ID_CARRERA]=ASIGNACION!$C354)*(DET_ASIG[NIVEL]=ASIGNACION!$D354)*(DET_ASIG[ID_ASIG]=ASIGNACION!$G354),"No existe información")))</f>
        <v>No existe información</v>
      </c>
      <c r="BQ354" s="5" t="str" cm="1">
        <f t="array" ref="BQ354">IFERROR(
    TRANSPOSE(
        _xlfn.UNIQUE(
            _xlfn._xlws.FILTER(MAESTRIA_DETALLADO[MAESTRIA],
                ISNUMBER(MATCH(MAESTRIA_DETALLADO[CAMPO_DETALLADO],
                BD354:BP354,0))
            )
        )
    ),IF(BD354="ACTIVIDAD","DOCENCIA",""))</f>
        <v/>
      </c>
      <c r="EA354" s="5" t="str" cm="1">
        <f t="array" ref="EA354:FN354">IF(
    ASIGNACION!I354="SI",
    IFERROR(
        TRANSPOSE(
            _xlfn.UNIQUE(
                _xlfn._xlws.FILTER(EDU_DOCENTE[NOMBRE_DOCENTE],
                    ISNUMBER(MATCH(EDU_DOCENTE[MAESTRIA],
                    BQ354:DY354,0))
                )
            )
        ),
        ""
    ),
    TRANSPOSE(
        _xlfn.UNIQUE(EDU_DOCENTE[NOMBRE_DOCENTE]
        )
    )
)</f>
        <v>ALCIVAR CEDEÑO BEATRIZ ISABEL</v>
      </c>
      <c r="EB354" t="str">
        <v>ALCIVAR VERA GEMA MICHELLE</v>
      </c>
      <c r="EC354" t="str">
        <v>ARAUZ CHAVEZ MARIO ROBERTO</v>
      </c>
      <c r="ED354" t="str">
        <v>BAILON LOURIDO WALTER ALBERTO</v>
      </c>
      <c r="EE354" t="str">
        <v>CALDERERO VILLAGOMEZ ERICK ANTONIO</v>
      </c>
      <c r="EF354" t="str">
        <v>CASTILLO GARCIA PAOLA GERMANIA</v>
      </c>
      <c r="EG354" t="str">
        <v>CEDEÑO CHOEZ PEDRO JAVIER</v>
      </c>
      <c r="EH354" t="str">
        <v>CEVALLOS HOPPE JUAN CARLOS</v>
      </c>
      <c r="EI354" t="str">
        <v>DELGADO CHAVEZ MARIA IRASEMA</v>
      </c>
      <c r="EJ354" t="str">
        <v>DUARTE VALENCIA CRISTHIAN DARIO</v>
      </c>
      <c r="EK354" t="str">
        <v>FORTTY BARBERAN DENNY ALEXANDER</v>
      </c>
      <c r="EL354" t="str">
        <v>GUTIERREZ ZAMBRANO CARMEN EBELINA</v>
      </c>
      <c r="EM354" t="str">
        <v>INTRIAGO MOLINA GEMA VALERIA</v>
      </c>
      <c r="EN354" t="str">
        <v>LINO VELEZ LEONEL LIVINGTON</v>
      </c>
      <c r="EO354" t="str">
        <v>LOOR ALCIVAR MARIA ILIANA</v>
      </c>
      <c r="EP354" t="str">
        <v>LOOR MIELES TANIA JACQUELINE</v>
      </c>
      <c r="EQ354" t="str">
        <v>LOOR SOLORZANO ROSA MARIA</v>
      </c>
      <c r="ER354" t="str">
        <v>LOPEZ DELGADO RONALD MAURICIO</v>
      </c>
      <c r="ES354" t="str">
        <v>MACIAS VALENCIA DAVID GABRIEL</v>
      </c>
      <c r="ET354" t="str">
        <v>MENDOZA ZAMORA WALTER MANUEL</v>
      </c>
      <c r="EU354" t="str">
        <v>MOLINA CEVALLOS MARIA LORENA</v>
      </c>
      <c r="EV354" t="str">
        <v>MURILLO DELGADO ISAAC GABRIEL</v>
      </c>
      <c r="EW354" t="str">
        <v>ANGULO MURILLO NAVIRA GISSELA</v>
      </c>
      <c r="EX354" t="str">
        <v>OCHOA SOLEDISPA NESTOR IVAN</v>
      </c>
      <c r="EY354" t="str">
        <v>PARRAGA FRANCO SILVANA MARIELA</v>
      </c>
      <c r="EZ354" t="str">
        <v>PINARGOTE VASQUEZ NANCY FABIOLA</v>
      </c>
      <c r="FA354" t="str">
        <v>REYES VELEZ PEDRO ENRIQUE</v>
      </c>
      <c r="FB354" t="str">
        <v>SAN ANDRES HORMAZA DALLAS CECILIA</v>
      </c>
      <c r="FC354" t="str">
        <v>SORNOZA ZAMORA JUAN CARLOS</v>
      </c>
      <c r="FD354" t="str">
        <v>TOMALA PINTO JESUS JACINTO</v>
      </c>
      <c r="FE354" t="str">
        <v>VALLE JARAMILLO SILVIA ARACELY</v>
      </c>
      <c r="FF354" t="str">
        <v>VELÁSQUEZ BRAVO IRMA KATHERINE</v>
      </c>
      <c r="FG354" t="str">
        <v>VELEZ MENDOZA LAYSY VALERIA</v>
      </c>
      <c r="FH354" t="str">
        <v>VINUEZA TELLO SHIRLEY ELIZABETH</v>
      </c>
      <c r="FI354" t="str">
        <v>ZAMBRANO ALCIVAR NILDA ISABEL</v>
      </c>
      <c r="FJ354" t="str">
        <v>ZAMBRANO LOOR RITA MAYDA</v>
      </c>
      <c r="FK354" t="str">
        <v>ZAMBRANO VERA MONICA JANETH</v>
      </c>
      <c r="FL354" t="str">
        <v>VERA DELGADO BRYAN ADRIÁN</v>
      </c>
      <c r="FM354" t="str">
        <v>MORAN GONZALES DAVID RENATO</v>
      </c>
      <c r="FN354">
        <v>0</v>
      </c>
    </row>
    <row r="355" spans="1:170" ht="20.25" customHeight="1">
      <c r="A355" s="4" t="str" cm="1">
        <f t="array" ref="A355">TRANSPOSE(_xlfn.UNIQUE(_xlfn._xlws.FILTER(MAE_ASIGNATURA[ID_NIVEL],MAE_ASIGNATURA[ID_CARRERA]=ASIGNACION!$C355,"No existe información")))</f>
        <v>No existe información</v>
      </c>
      <c r="S355" s="4" t="str" cm="1">
        <f t="array" ref="S355">TRANSPOSE(_xlfn.UNIQUE(_xlfn._xlws.FILTER(MAE_ASIGNATURA[NOM_ASIG],(MAE_ASIGNATURA[ID_NIVEL]=ASIGNACION!$D355)*(MAE_ASIGNATURA[ID_CARRERA]=ASIGNACION!$C355),"No existe información")))</f>
        <v>No existe información</v>
      </c>
      <c r="BD355" s="4" t="str" cm="1">
        <f t="array" ref="BD355">TRANSPOSE(_xlfn.UNIQUE(_xlfn._xlws.FILTER(DET_ASIG[DETALLADO],(DET_ASIG[ID_CARRERA]=ASIGNACION!$C355)*(DET_ASIG[NIVEL]=ASIGNACION!$D355)*(DET_ASIG[ID_ASIG]=ASIGNACION!$G355),"No existe información")))</f>
        <v>No existe información</v>
      </c>
      <c r="BQ355" s="5" t="str" cm="1">
        <f t="array" ref="BQ355">IFERROR(
    TRANSPOSE(
        _xlfn.UNIQUE(
            _xlfn._xlws.FILTER(MAESTRIA_DETALLADO[MAESTRIA],
                ISNUMBER(MATCH(MAESTRIA_DETALLADO[CAMPO_DETALLADO],
                BD355:BP355,0))
            )
        )
    ),IF(BD355="ACTIVIDAD","DOCENCIA",""))</f>
        <v/>
      </c>
      <c r="EA355" s="5" t="str" cm="1">
        <f t="array" ref="EA355:FN355">IF(
    ASIGNACION!I355="SI",
    IFERROR(
        TRANSPOSE(
            _xlfn.UNIQUE(
                _xlfn._xlws.FILTER(EDU_DOCENTE[NOMBRE_DOCENTE],
                    ISNUMBER(MATCH(EDU_DOCENTE[MAESTRIA],
                    BQ355:DY355,0))
                )
            )
        ),
        ""
    ),
    TRANSPOSE(
        _xlfn.UNIQUE(EDU_DOCENTE[NOMBRE_DOCENTE]
        )
    )
)</f>
        <v>ALCIVAR CEDEÑO BEATRIZ ISABEL</v>
      </c>
      <c r="EB355" t="str">
        <v>ALCIVAR VERA GEMA MICHELLE</v>
      </c>
      <c r="EC355" t="str">
        <v>ARAUZ CHAVEZ MARIO ROBERTO</v>
      </c>
      <c r="ED355" t="str">
        <v>BAILON LOURIDO WALTER ALBERTO</v>
      </c>
      <c r="EE355" t="str">
        <v>CALDERERO VILLAGOMEZ ERICK ANTONIO</v>
      </c>
      <c r="EF355" t="str">
        <v>CASTILLO GARCIA PAOLA GERMANIA</v>
      </c>
      <c r="EG355" t="str">
        <v>CEDEÑO CHOEZ PEDRO JAVIER</v>
      </c>
      <c r="EH355" t="str">
        <v>CEVALLOS HOPPE JUAN CARLOS</v>
      </c>
      <c r="EI355" t="str">
        <v>DELGADO CHAVEZ MARIA IRASEMA</v>
      </c>
      <c r="EJ355" t="str">
        <v>DUARTE VALENCIA CRISTHIAN DARIO</v>
      </c>
      <c r="EK355" t="str">
        <v>FORTTY BARBERAN DENNY ALEXANDER</v>
      </c>
      <c r="EL355" t="str">
        <v>GUTIERREZ ZAMBRANO CARMEN EBELINA</v>
      </c>
      <c r="EM355" t="str">
        <v>INTRIAGO MOLINA GEMA VALERIA</v>
      </c>
      <c r="EN355" t="str">
        <v>LINO VELEZ LEONEL LIVINGTON</v>
      </c>
      <c r="EO355" t="str">
        <v>LOOR ALCIVAR MARIA ILIANA</v>
      </c>
      <c r="EP355" t="str">
        <v>LOOR MIELES TANIA JACQUELINE</v>
      </c>
      <c r="EQ355" t="str">
        <v>LOOR SOLORZANO ROSA MARIA</v>
      </c>
      <c r="ER355" t="str">
        <v>LOPEZ DELGADO RONALD MAURICIO</v>
      </c>
      <c r="ES355" t="str">
        <v>MACIAS VALENCIA DAVID GABRIEL</v>
      </c>
      <c r="ET355" t="str">
        <v>MENDOZA ZAMORA WALTER MANUEL</v>
      </c>
      <c r="EU355" t="str">
        <v>MOLINA CEVALLOS MARIA LORENA</v>
      </c>
      <c r="EV355" t="str">
        <v>MURILLO DELGADO ISAAC GABRIEL</v>
      </c>
      <c r="EW355" t="str">
        <v>ANGULO MURILLO NAVIRA GISSELA</v>
      </c>
      <c r="EX355" t="str">
        <v>OCHOA SOLEDISPA NESTOR IVAN</v>
      </c>
      <c r="EY355" t="str">
        <v>PARRAGA FRANCO SILVANA MARIELA</v>
      </c>
      <c r="EZ355" t="str">
        <v>PINARGOTE VASQUEZ NANCY FABIOLA</v>
      </c>
      <c r="FA355" t="str">
        <v>REYES VELEZ PEDRO ENRIQUE</v>
      </c>
      <c r="FB355" t="str">
        <v>SAN ANDRES HORMAZA DALLAS CECILIA</v>
      </c>
      <c r="FC355" t="str">
        <v>SORNOZA ZAMORA JUAN CARLOS</v>
      </c>
      <c r="FD355" t="str">
        <v>TOMALA PINTO JESUS JACINTO</v>
      </c>
      <c r="FE355" t="str">
        <v>VALLE JARAMILLO SILVIA ARACELY</v>
      </c>
      <c r="FF355" t="str">
        <v>VELÁSQUEZ BRAVO IRMA KATHERINE</v>
      </c>
      <c r="FG355" t="str">
        <v>VELEZ MENDOZA LAYSY VALERIA</v>
      </c>
      <c r="FH355" t="str">
        <v>VINUEZA TELLO SHIRLEY ELIZABETH</v>
      </c>
      <c r="FI355" t="str">
        <v>ZAMBRANO ALCIVAR NILDA ISABEL</v>
      </c>
      <c r="FJ355" t="str">
        <v>ZAMBRANO LOOR RITA MAYDA</v>
      </c>
      <c r="FK355" t="str">
        <v>ZAMBRANO VERA MONICA JANETH</v>
      </c>
      <c r="FL355" t="str">
        <v>VERA DELGADO BRYAN ADRIÁN</v>
      </c>
      <c r="FM355" t="str">
        <v>MORAN GONZALES DAVID RENATO</v>
      </c>
      <c r="FN355">
        <v>0</v>
      </c>
    </row>
    <row r="356" spans="1:170" ht="20.25" customHeight="1">
      <c r="A356" s="4" t="str" cm="1">
        <f t="array" ref="A356">TRANSPOSE(_xlfn.UNIQUE(_xlfn._xlws.FILTER(MAE_ASIGNATURA[ID_NIVEL],MAE_ASIGNATURA[ID_CARRERA]=ASIGNACION!$C356,"No existe información")))</f>
        <v>No existe información</v>
      </c>
      <c r="S356" s="4" t="str" cm="1">
        <f t="array" ref="S356">TRANSPOSE(_xlfn.UNIQUE(_xlfn._xlws.FILTER(MAE_ASIGNATURA[NOM_ASIG],(MAE_ASIGNATURA[ID_NIVEL]=ASIGNACION!$D356)*(MAE_ASIGNATURA[ID_CARRERA]=ASIGNACION!$C356),"No existe información")))</f>
        <v>No existe información</v>
      </c>
      <c r="BD356" s="4" t="str" cm="1">
        <f t="array" ref="BD356">TRANSPOSE(_xlfn.UNIQUE(_xlfn._xlws.FILTER(DET_ASIG[DETALLADO],(DET_ASIG[ID_CARRERA]=ASIGNACION!$C356)*(DET_ASIG[NIVEL]=ASIGNACION!$D356)*(DET_ASIG[ID_ASIG]=ASIGNACION!$G356),"No existe información")))</f>
        <v>No existe información</v>
      </c>
      <c r="BQ356" s="5" t="str" cm="1">
        <f t="array" ref="BQ356">IFERROR(
    TRANSPOSE(
        _xlfn.UNIQUE(
            _xlfn._xlws.FILTER(MAESTRIA_DETALLADO[MAESTRIA],
                ISNUMBER(MATCH(MAESTRIA_DETALLADO[CAMPO_DETALLADO],
                BD356:BP356,0))
            )
        )
    ),IF(BD356="ACTIVIDAD","DOCENCIA",""))</f>
        <v/>
      </c>
      <c r="EA356" s="5" t="str" cm="1">
        <f t="array" ref="EA356:FN356">IF(
    ASIGNACION!I356="SI",
    IFERROR(
        TRANSPOSE(
            _xlfn.UNIQUE(
                _xlfn._xlws.FILTER(EDU_DOCENTE[NOMBRE_DOCENTE],
                    ISNUMBER(MATCH(EDU_DOCENTE[MAESTRIA],
                    BQ356:DY356,0))
                )
            )
        ),
        ""
    ),
    TRANSPOSE(
        _xlfn.UNIQUE(EDU_DOCENTE[NOMBRE_DOCENTE]
        )
    )
)</f>
        <v>ALCIVAR CEDEÑO BEATRIZ ISABEL</v>
      </c>
      <c r="EB356" t="str">
        <v>ALCIVAR VERA GEMA MICHELLE</v>
      </c>
      <c r="EC356" t="str">
        <v>ARAUZ CHAVEZ MARIO ROBERTO</v>
      </c>
      <c r="ED356" t="str">
        <v>BAILON LOURIDO WALTER ALBERTO</v>
      </c>
      <c r="EE356" t="str">
        <v>CALDERERO VILLAGOMEZ ERICK ANTONIO</v>
      </c>
      <c r="EF356" t="str">
        <v>CASTILLO GARCIA PAOLA GERMANIA</v>
      </c>
      <c r="EG356" t="str">
        <v>CEDEÑO CHOEZ PEDRO JAVIER</v>
      </c>
      <c r="EH356" t="str">
        <v>CEVALLOS HOPPE JUAN CARLOS</v>
      </c>
      <c r="EI356" t="str">
        <v>DELGADO CHAVEZ MARIA IRASEMA</v>
      </c>
      <c r="EJ356" t="str">
        <v>DUARTE VALENCIA CRISTHIAN DARIO</v>
      </c>
      <c r="EK356" t="str">
        <v>FORTTY BARBERAN DENNY ALEXANDER</v>
      </c>
      <c r="EL356" t="str">
        <v>GUTIERREZ ZAMBRANO CARMEN EBELINA</v>
      </c>
      <c r="EM356" t="str">
        <v>INTRIAGO MOLINA GEMA VALERIA</v>
      </c>
      <c r="EN356" t="str">
        <v>LINO VELEZ LEONEL LIVINGTON</v>
      </c>
      <c r="EO356" t="str">
        <v>LOOR ALCIVAR MARIA ILIANA</v>
      </c>
      <c r="EP356" t="str">
        <v>LOOR MIELES TANIA JACQUELINE</v>
      </c>
      <c r="EQ356" t="str">
        <v>LOOR SOLORZANO ROSA MARIA</v>
      </c>
      <c r="ER356" t="str">
        <v>LOPEZ DELGADO RONALD MAURICIO</v>
      </c>
      <c r="ES356" t="str">
        <v>MACIAS VALENCIA DAVID GABRIEL</v>
      </c>
      <c r="ET356" t="str">
        <v>MENDOZA ZAMORA WALTER MANUEL</v>
      </c>
      <c r="EU356" t="str">
        <v>MOLINA CEVALLOS MARIA LORENA</v>
      </c>
      <c r="EV356" t="str">
        <v>MURILLO DELGADO ISAAC GABRIEL</v>
      </c>
      <c r="EW356" t="str">
        <v>ANGULO MURILLO NAVIRA GISSELA</v>
      </c>
      <c r="EX356" t="str">
        <v>OCHOA SOLEDISPA NESTOR IVAN</v>
      </c>
      <c r="EY356" t="str">
        <v>PARRAGA FRANCO SILVANA MARIELA</v>
      </c>
      <c r="EZ356" t="str">
        <v>PINARGOTE VASQUEZ NANCY FABIOLA</v>
      </c>
      <c r="FA356" t="str">
        <v>REYES VELEZ PEDRO ENRIQUE</v>
      </c>
      <c r="FB356" t="str">
        <v>SAN ANDRES HORMAZA DALLAS CECILIA</v>
      </c>
      <c r="FC356" t="str">
        <v>SORNOZA ZAMORA JUAN CARLOS</v>
      </c>
      <c r="FD356" t="str">
        <v>TOMALA PINTO JESUS JACINTO</v>
      </c>
      <c r="FE356" t="str">
        <v>VALLE JARAMILLO SILVIA ARACELY</v>
      </c>
      <c r="FF356" t="str">
        <v>VELÁSQUEZ BRAVO IRMA KATHERINE</v>
      </c>
      <c r="FG356" t="str">
        <v>VELEZ MENDOZA LAYSY VALERIA</v>
      </c>
      <c r="FH356" t="str">
        <v>VINUEZA TELLO SHIRLEY ELIZABETH</v>
      </c>
      <c r="FI356" t="str">
        <v>ZAMBRANO ALCIVAR NILDA ISABEL</v>
      </c>
      <c r="FJ356" t="str">
        <v>ZAMBRANO LOOR RITA MAYDA</v>
      </c>
      <c r="FK356" t="str">
        <v>ZAMBRANO VERA MONICA JANETH</v>
      </c>
      <c r="FL356" t="str">
        <v>VERA DELGADO BRYAN ADRIÁN</v>
      </c>
      <c r="FM356" t="str">
        <v>MORAN GONZALES DAVID RENATO</v>
      </c>
      <c r="FN356">
        <v>0</v>
      </c>
    </row>
    <row r="357" spans="1:170" ht="20.25" customHeight="1">
      <c r="A357" s="4" t="str" cm="1">
        <f t="array" ref="A357">TRANSPOSE(_xlfn.UNIQUE(_xlfn._xlws.FILTER(MAE_ASIGNATURA[ID_NIVEL],MAE_ASIGNATURA[ID_CARRERA]=ASIGNACION!$C357,"No existe información")))</f>
        <v>No existe información</v>
      </c>
      <c r="S357" s="4" t="str" cm="1">
        <f t="array" ref="S357">TRANSPOSE(_xlfn.UNIQUE(_xlfn._xlws.FILTER(MAE_ASIGNATURA[NOM_ASIG],(MAE_ASIGNATURA[ID_NIVEL]=ASIGNACION!$D357)*(MAE_ASIGNATURA[ID_CARRERA]=ASIGNACION!$C357),"No existe información")))</f>
        <v>No existe información</v>
      </c>
      <c r="BD357" s="4" t="str" cm="1">
        <f t="array" ref="BD357">TRANSPOSE(_xlfn.UNIQUE(_xlfn._xlws.FILTER(DET_ASIG[DETALLADO],(DET_ASIG[ID_CARRERA]=ASIGNACION!$C357)*(DET_ASIG[NIVEL]=ASIGNACION!$D357)*(DET_ASIG[ID_ASIG]=ASIGNACION!$G357),"No existe información")))</f>
        <v>No existe información</v>
      </c>
      <c r="BQ357" s="5" t="str" cm="1">
        <f t="array" ref="BQ357">IFERROR(
    TRANSPOSE(
        _xlfn.UNIQUE(
            _xlfn._xlws.FILTER(MAESTRIA_DETALLADO[MAESTRIA],
                ISNUMBER(MATCH(MAESTRIA_DETALLADO[CAMPO_DETALLADO],
                BD357:BP357,0))
            )
        )
    ),IF(BD357="ACTIVIDAD","DOCENCIA",""))</f>
        <v/>
      </c>
      <c r="EA357" s="5" t="str" cm="1">
        <f t="array" ref="EA357:FN357">IF(
    ASIGNACION!I357="SI",
    IFERROR(
        TRANSPOSE(
            _xlfn.UNIQUE(
                _xlfn._xlws.FILTER(EDU_DOCENTE[NOMBRE_DOCENTE],
                    ISNUMBER(MATCH(EDU_DOCENTE[MAESTRIA],
                    BQ357:DY357,0))
                )
            )
        ),
        ""
    ),
    TRANSPOSE(
        _xlfn.UNIQUE(EDU_DOCENTE[NOMBRE_DOCENTE]
        )
    )
)</f>
        <v>ALCIVAR CEDEÑO BEATRIZ ISABEL</v>
      </c>
      <c r="EB357" t="str">
        <v>ALCIVAR VERA GEMA MICHELLE</v>
      </c>
      <c r="EC357" t="str">
        <v>ARAUZ CHAVEZ MARIO ROBERTO</v>
      </c>
      <c r="ED357" t="str">
        <v>BAILON LOURIDO WALTER ALBERTO</v>
      </c>
      <c r="EE357" t="str">
        <v>CALDERERO VILLAGOMEZ ERICK ANTONIO</v>
      </c>
      <c r="EF357" t="str">
        <v>CASTILLO GARCIA PAOLA GERMANIA</v>
      </c>
      <c r="EG357" t="str">
        <v>CEDEÑO CHOEZ PEDRO JAVIER</v>
      </c>
      <c r="EH357" t="str">
        <v>CEVALLOS HOPPE JUAN CARLOS</v>
      </c>
      <c r="EI357" t="str">
        <v>DELGADO CHAVEZ MARIA IRASEMA</v>
      </c>
      <c r="EJ357" t="str">
        <v>DUARTE VALENCIA CRISTHIAN DARIO</v>
      </c>
      <c r="EK357" t="str">
        <v>FORTTY BARBERAN DENNY ALEXANDER</v>
      </c>
      <c r="EL357" t="str">
        <v>GUTIERREZ ZAMBRANO CARMEN EBELINA</v>
      </c>
      <c r="EM357" t="str">
        <v>INTRIAGO MOLINA GEMA VALERIA</v>
      </c>
      <c r="EN357" t="str">
        <v>LINO VELEZ LEONEL LIVINGTON</v>
      </c>
      <c r="EO357" t="str">
        <v>LOOR ALCIVAR MARIA ILIANA</v>
      </c>
      <c r="EP357" t="str">
        <v>LOOR MIELES TANIA JACQUELINE</v>
      </c>
      <c r="EQ357" t="str">
        <v>LOOR SOLORZANO ROSA MARIA</v>
      </c>
      <c r="ER357" t="str">
        <v>LOPEZ DELGADO RONALD MAURICIO</v>
      </c>
      <c r="ES357" t="str">
        <v>MACIAS VALENCIA DAVID GABRIEL</v>
      </c>
      <c r="ET357" t="str">
        <v>MENDOZA ZAMORA WALTER MANUEL</v>
      </c>
      <c r="EU357" t="str">
        <v>MOLINA CEVALLOS MARIA LORENA</v>
      </c>
      <c r="EV357" t="str">
        <v>MURILLO DELGADO ISAAC GABRIEL</v>
      </c>
      <c r="EW357" t="str">
        <v>ANGULO MURILLO NAVIRA GISSELA</v>
      </c>
      <c r="EX357" t="str">
        <v>OCHOA SOLEDISPA NESTOR IVAN</v>
      </c>
      <c r="EY357" t="str">
        <v>PARRAGA FRANCO SILVANA MARIELA</v>
      </c>
      <c r="EZ357" t="str">
        <v>PINARGOTE VASQUEZ NANCY FABIOLA</v>
      </c>
      <c r="FA357" t="str">
        <v>REYES VELEZ PEDRO ENRIQUE</v>
      </c>
      <c r="FB357" t="str">
        <v>SAN ANDRES HORMAZA DALLAS CECILIA</v>
      </c>
      <c r="FC357" t="str">
        <v>SORNOZA ZAMORA JUAN CARLOS</v>
      </c>
      <c r="FD357" t="str">
        <v>TOMALA PINTO JESUS JACINTO</v>
      </c>
      <c r="FE357" t="str">
        <v>VALLE JARAMILLO SILVIA ARACELY</v>
      </c>
      <c r="FF357" t="str">
        <v>VELÁSQUEZ BRAVO IRMA KATHERINE</v>
      </c>
      <c r="FG357" t="str">
        <v>VELEZ MENDOZA LAYSY VALERIA</v>
      </c>
      <c r="FH357" t="str">
        <v>VINUEZA TELLO SHIRLEY ELIZABETH</v>
      </c>
      <c r="FI357" t="str">
        <v>ZAMBRANO ALCIVAR NILDA ISABEL</v>
      </c>
      <c r="FJ357" t="str">
        <v>ZAMBRANO LOOR RITA MAYDA</v>
      </c>
      <c r="FK357" t="str">
        <v>ZAMBRANO VERA MONICA JANETH</v>
      </c>
      <c r="FL357" t="str">
        <v>VERA DELGADO BRYAN ADRIÁN</v>
      </c>
      <c r="FM357" t="str">
        <v>MORAN GONZALES DAVID RENATO</v>
      </c>
      <c r="FN357">
        <v>0</v>
      </c>
    </row>
    <row r="358" spans="1:170" ht="20.25" customHeight="1">
      <c r="A358" s="4" t="str" cm="1">
        <f t="array" ref="A358">TRANSPOSE(_xlfn.UNIQUE(_xlfn._xlws.FILTER(MAE_ASIGNATURA[ID_NIVEL],MAE_ASIGNATURA[ID_CARRERA]=ASIGNACION!$C358,"No existe información")))</f>
        <v>No existe información</v>
      </c>
      <c r="S358" s="4" t="str" cm="1">
        <f t="array" ref="S358">TRANSPOSE(_xlfn.UNIQUE(_xlfn._xlws.FILTER(MAE_ASIGNATURA[NOM_ASIG],(MAE_ASIGNATURA[ID_NIVEL]=ASIGNACION!$D358)*(MAE_ASIGNATURA[ID_CARRERA]=ASIGNACION!$C358),"No existe información")))</f>
        <v>No existe información</v>
      </c>
      <c r="BD358" s="4" t="str" cm="1">
        <f t="array" ref="BD358">TRANSPOSE(_xlfn.UNIQUE(_xlfn._xlws.FILTER(DET_ASIG[DETALLADO],(DET_ASIG[ID_CARRERA]=ASIGNACION!$C358)*(DET_ASIG[NIVEL]=ASIGNACION!$D358)*(DET_ASIG[ID_ASIG]=ASIGNACION!$G358),"No existe información")))</f>
        <v>No existe información</v>
      </c>
      <c r="BQ358" s="5" t="str" cm="1">
        <f t="array" ref="BQ358">IFERROR(
    TRANSPOSE(
        _xlfn.UNIQUE(
            _xlfn._xlws.FILTER(MAESTRIA_DETALLADO[MAESTRIA],
                ISNUMBER(MATCH(MAESTRIA_DETALLADO[CAMPO_DETALLADO],
                BD358:BP358,0))
            )
        )
    ),IF(BD358="ACTIVIDAD","DOCENCIA",""))</f>
        <v/>
      </c>
      <c r="EA358" s="5" t="str" cm="1">
        <f t="array" ref="EA358:FN358">IF(
    ASIGNACION!I358="SI",
    IFERROR(
        TRANSPOSE(
            _xlfn.UNIQUE(
                _xlfn._xlws.FILTER(EDU_DOCENTE[NOMBRE_DOCENTE],
                    ISNUMBER(MATCH(EDU_DOCENTE[MAESTRIA],
                    BQ358:DY358,0))
                )
            )
        ),
        ""
    ),
    TRANSPOSE(
        _xlfn.UNIQUE(EDU_DOCENTE[NOMBRE_DOCENTE]
        )
    )
)</f>
        <v>ALCIVAR CEDEÑO BEATRIZ ISABEL</v>
      </c>
      <c r="EB358" t="str">
        <v>ALCIVAR VERA GEMA MICHELLE</v>
      </c>
      <c r="EC358" t="str">
        <v>ARAUZ CHAVEZ MARIO ROBERTO</v>
      </c>
      <c r="ED358" t="str">
        <v>BAILON LOURIDO WALTER ALBERTO</v>
      </c>
      <c r="EE358" t="str">
        <v>CALDERERO VILLAGOMEZ ERICK ANTONIO</v>
      </c>
      <c r="EF358" t="str">
        <v>CASTILLO GARCIA PAOLA GERMANIA</v>
      </c>
      <c r="EG358" t="str">
        <v>CEDEÑO CHOEZ PEDRO JAVIER</v>
      </c>
      <c r="EH358" t="str">
        <v>CEVALLOS HOPPE JUAN CARLOS</v>
      </c>
      <c r="EI358" t="str">
        <v>DELGADO CHAVEZ MARIA IRASEMA</v>
      </c>
      <c r="EJ358" t="str">
        <v>DUARTE VALENCIA CRISTHIAN DARIO</v>
      </c>
      <c r="EK358" t="str">
        <v>FORTTY BARBERAN DENNY ALEXANDER</v>
      </c>
      <c r="EL358" t="str">
        <v>GUTIERREZ ZAMBRANO CARMEN EBELINA</v>
      </c>
      <c r="EM358" t="str">
        <v>INTRIAGO MOLINA GEMA VALERIA</v>
      </c>
      <c r="EN358" t="str">
        <v>LINO VELEZ LEONEL LIVINGTON</v>
      </c>
      <c r="EO358" t="str">
        <v>LOOR ALCIVAR MARIA ILIANA</v>
      </c>
      <c r="EP358" t="str">
        <v>LOOR MIELES TANIA JACQUELINE</v>
      </c>
      <c r="EQ358" t="str">
        <v>LOOR SOLORZANO ROSA MARIA</v>
      </c>
      <c r="ER358" t="str">
        <v>LOPEZ DELGADO RONALD MAURICIO</v>
      </c>
      <c r="ES358" t="str">
        <v>MACIAS VALENCIA DAVID GABRIEL</v>
      </c>
      <c r="ET358" t="str">
        <v>MENDOZA ZAMORA WALTER MANUEL</v>
      </c>
      <c r="EU358" t="str">
        <v>MOLINA CEVALLOS MARIA LORENA</v>
      </c>
      <c r="EV358" t="str">
        <v>MURILLO DELGADO ISAAC GABRIEL</v>
      </c>
      <c r="EW358" t="str">
        <v>ANGULO MURILLO NAVIRA GISSELA</v>
      </c>
      <c r="EX358" t="str">
        <v>OCHOA SOLEDISPA NESTOR IVAN</v>
      </c>
      <c r="EY358" t="str">
        <v>PARRAGA FRANCO SILVANA MARIELA</v>
      </c>
      <c r="EZ358" t="str">
        <v>PINARGOTE VASQUEZ NANCY FABIOLA</v>
      </c>
      <c r="FA358" t="str">
        <v>REYES VELEZ PEDRO ENRIQUE</v>
      </c>
      <c r="FB358" t="str">
        <v>SAN ANDRES HORMAZA DALLAS CECILIA</v>
      </c>
      <c r="FC358" t="str">
        <v>SORNOZA ZAMORA JUAN CARLOS</v>
      </c>
      <c r="FD358" t="str">
        <v>TOMALA PINTO JESUS JACINTO</v>
      </c>
      <c r="FE358" t="str">
        <v>VALLE JARAMILLO SILVIA ARACELY</v>
      </c>
      <c r="FF358" t="str">
        <v>VELÁSQUEZ BRAVO IRMA KATHERINE</v>
      </c>
      <c r="FG358" t="str">
        <v>VELEZ MENDOZA LAYSY VALERIA</v>
      </c>
      <c r="FH358" t="str">
        <v>VINUEZA TELLO SHIRLEY ELIZABETH</v>
      </c>
      <c r="FI358" t="str">
        <v>ZAMBRANO ALCIVAR NILDA ISABEL</v>
      </c>
      <c r="FJ358" t="str">
        <v>ZAMBRANO LOOR RITA MAYDA</v>
      </c>
      <c r="FK358" t="str">
        <v>ZAMBRANO VERA MONICA JANETH</v>
      </c>
      <c r="FL358" t="str">
        <v>VERA DELGADO BRYAN ADRIÁN</v>
      </c>
      <c r="FM358" t="str">
        <v>MORAN GONZALES DAVID RENATO</v>
      </c>
      <c r="FN358">
        <v>0</v>
      </c>
    </row>
    <row r="359" spans="1:170" ht="20.25" customHeight="1">
      <c r="A359" s="4" t="str" cm="1">
        <f t="array" ref="A359">TRANSPOSE(_xlfn.UNIQUE(_xlfn._xlws.FILTER(MAE_ASIGNATURA[ID_NIVEL],MAE_ASIGNATURA[ID_CARRERA]=ASIGNACION!$C359,"No existe información")))</f>
        <v>No existe información</v>
      </c>
      <c r="S359" s="4" t="str" cm="1">
        <f t="array" ref="S359">TRANSPOSE(_xlfn.UNIQUE(_xlfn._xlws.FILTER(MAE_ASIGNATURA[NOM_ASIG],(MAE_ASIGNATURA[ID_NIVEL]=ASIGNACION!$D359)*(MAE_ASIGNATURA[ID_CARRERA]=ASIGNACION!$C359),"No existe información")))</f>
        <v>No existe información</v>
      </c>
      <c r="BD359" s="4" t="str" cm="1">
        <f t="array" ref="BD359">TRANSPOSE(_xlfn.UNIQUE(_xlfn._xlws.FILTER(DET_ASIG[DETALLADO],(DET_ASIG[ID_CARRERA]=ASIGNACION!$C359)*(DET_ASIG[NIVEL]=ASIGNACION!$D359)*(DET_ASIG[ID_ASIG]=ASIGNACION!$G359),"No existe información")))</f>
        <v>No existe información</v>
      </c>
      <c r="BQ359" s="5" t="str" cm="1">
        <f t="array" ref="BQ359">IFERROR(
    TRANSPOSE(
        _xlfn.UNIQUE(
            _xlfn._xlws.FILTER(MAESTRIA_DETALLADO[MAESTRIA],
                ISNUMBER(MATCH(MAESTRIA_DETALLADO[CAMPO_DETALLADO],
                BD359:BP359,0))
            )
        )
    ),IF(BD359="ACTIVIDAD","DOCENCIA",""))</f>
        <v/>
      </c>
      <c r="EA359" s="5" t="str" cm="1">
        <f t="array" ref="EA359:FN359">IF(
    ASIGNACION!I359="SI",
    IFERROR(
        TRANSPOSE(
            _xlfn.UNIQUE(
                _xlfn._xlws.FILTER(EDU_DOCENTE[NOMBRE_DOCENTE],
                    ISNUMBER(MATCH(EDU_DOCENTE[MAESTRIA],
                    BQ359:DY359,0))
                )
            )
        ),
        ""
    ),
    TRANSPOSE(
        _xlfn.UNIQUE(EDU_DOCENTE[NOMBRE_DOCENTE]
        )
    )
)</f>
        <v>ALCIVAR CEDEÑO BEATRIZ ISABEL</v>
      </c>
      <c r="EB359" t="str">
        <v>ALCIVAR VERA GEMA MICHELLE</v>
      </c>
      <c r="EC359" t="str">
        <v>ARAUZ CHAVEZ MARIO ROBERTO</v>
      </c>
      <c r="ED359" t="str">
        <v>BAILON LOURIDO WALTER ALBERTO</v>
      </c>
      <c r="EE359" t="str">
        <v>CALDERERO VILLAGOMEZ ERICK ANTONIO</v>
      </c>
      <c r="EF359" t="str">
        <v>CASTILLO GARCIA PAOLA GERMANIA</v>
      </c>
      <c r="EG359" t="str">
        <v>CEDEÑO CHOEZ PEDRO JAVIER</v>
      </c>
      <c r="EH359" t="str">
        <v>CEVALLOS HOPPE JUAN CARLOS</v>
      </c>
      <c r="EI359" t="str">
        <v>DELGADO CHAVEZ MARIA IRASEMA</v>
      </c>
      <c r="EJ359" t="str">
        <v>DUARTE VALENCIA CRISTHIAN DARIO</v>
      </c>
      <c r="EK359" t="str">
        <v>FORTTY BARBERAN DENNY ALEXANDER</v>
      </c>
      <c r="EL359" t="str">
        <v>GUTIERREZ ZAMBRANO CARMEN EBELINA</v>
      </c>
      <c r="EM359" t="str">
        <v>INTRIAGO MOLINA GEMA VALERIA</v>
      </c>
      <c r="EN359" t="str">
        <v>LINO VELEZ LEONEL LIVINGTON</v>
      </c>
      <c r="EO359" t="str">
        <v>LOOR ALCIVAR MARIA ILIANA</v>
      </c>
      <c r="EP359" t="str">
        <v>LOOR MIELES TANIA JACQUELINE</v>
      </c>
      <c r="EQ359" t="str">
        <v>LOOR SOLORZANO ROSA MARIA</v>
      </c>
      <c r="ER359" t="str">
        <v>LOPEZ DELGADO RONALD MAURICIO</v>
      </c>
      <c r="ES359" t="str">
        <v>MACIAS VALENCIA DAVID GABRIEL</v>
      </c>
      <c r="ET359" t="str">
        <v>MENDOZA ZAMORA WALTER MANUEL</v>
      </c>
      <c r="EU359" t="str">
        <v>MOLINA CEVALLOS MARIA LORENA</v>
      </c>
      <c r="EV359" t="str">
        <v>MURILLO DELGADO ISAAC GABRIEL</v>
      </c>
      <c r="EW359" t="str">
        <v>ANGULO MURILLO NAVIRA GISSELA</v>
      </c>
      <c r="EX359" t="str">
        <v>OCHOA SOLEDISPA NESTOR IVAN</v>
      </c>
      <c r="EY359" t="str">
        <v>PARRAGA FRANCO SILVANA MARIELA</v>
      </c>
      <c r="EZ359" t="str">
        <v>PINARGOTE VASQUEZ NANCY FABIOLA</v>
      </c>
      <c r="FA359" t="str">
        <v>REYES VELEZ PEDRO ENRIQUE</v>
      </c>
      <c r="FB359" t="str">
        <v>SAN ANDRES HORMAZA DALLAS CECILIA</v>
      </c>
      <c r="FC359" t="str">
        <v>SORNOZA ZAMORA JUAN CARLOS</v>
      </c>
      <c r="FD359" t="str">
        <v>TOMALA PINTO JESUS JACINTO</v>
      </c>
      <c r="FE359" t="str">
        <v>VALLE JARAMILLO SILVIA ARACELY</v>
      </c>
      <c r="FF359" t="str">
        <v>VELÁSQUEZ BRAVO IRMA KATHERINE</v>
      </c>
      <c r="FG359" t="str">
        <v>VELEZ MENDOZA LAYSY VALERIA</v>
      </c>
      <c r="FH359" t="str">
        <v>VINUEZA TELLO SHIRLEY ELIZABETH</v>
      </c>
      <c r="FI359" t="str">
        <v>ZAMBRANO ALCIVAR NILDA ISABEL</v>
      </c>
      <c r="FJ359" t="str">
        <v>ZAMBRANO LOOR RITA MAYDA</v>
      </c>
      <c r="FK359" t="str">
        <v>ZAMBRANO VERA MONICA JANETH</v>
      </c>
      <c r="FL359" t="str">
        <v>VERA DELGADO BRYAN ADRIÁN</v>
      </c>
      <c r="FM359" t="str">
        <v>MORAN GONZALES DAVID RENATO</v>
      </c>
      <c r="FN359">
        <v>0</v>
      </c>
    </row>
    <row r="360" spans="1:170" ht="20.25" customHeight="1">
      <c r="A360" s="4" t="str" cm="1">
        <f t="array" ref="A360">TRANSPOSE(_xlfn.UNIQUE(_xlfn._xlws.FILTER(MAE_ASIGNATURA[ID_NIVEL],MAE_ASIGNATURA[ID_CARRERA]=ASIGNACION!$C360,"No existe información")))</f>
        <v>No existe información</v>
      </c>
      <c r="S360" s="4" t="str" cm="1">
        <f t="array" ref="S360">TRANSPOSE(_xlfn.UNIQUE(_xlfn._xlws.FILTER(MAE_ASIGNATURA[NOM_ASIG],(MAE_ASIGNATURA[ID_NIVEL]=ASIGNACION!$D360)*(MAE_ASIGNATURA[ID_CARRERA]=ASIGNACION!$C360),"No existe información")))</f>
        <v>No existe información</v>
      </c>
      <c r="BD360" s="4" t="str" cm="1">
        <f t="array" ref="BD360">TRANSPOSE(_xlfn.UNIQUE(_xlfn._xlws.FILTER(DET_ASIG[DETALLADO],(DET_ASIG[ID_CARRERA]=ASIGNACION!$C360)*(DET_ASIG[NIVEL]=ASIGNACION!$D360)*(DET_ASIG[ID_ASIG]=ASIGNACION!$G360),"No existe información")))</f>
        <v>No existe información</v>
      </c>
      <c r="BQ360" s="5" t="str" cm="1">
        <f t="array" ref="BQ360">IFERROR(
    TRANSPOSE(
        _xlfn.UNIQUE(
            _xlfn._xlws.FILTER(MAESTRIA_DETALLADO[MAESTRIA],
                ISNUMBER(MATCH(MAESTRIA_DETALLADO[CAMPO_DETALLADO],
                BD360:BP360,0))
            )
        )
    ),IF(BD360="ACTIVIDAD","DOCENCIA",""))</f>
        <v/>
      </c>
      <c r="EA360" s="5" t="str" cm="1">
        <f t="array" ref="EA360:FN360">IF(
    ASIGNACION!I360="SI",
    IFERROR(
        TRANSPOSE(
            _xlfn.UNIQUE(
                _xlfn._xlws.FILTER(EDU_DOCENTE[NOMBRE_DOCENTE],
                    ISNUMBER(MATCH(EDU_DOCENTE[MAESTRIA],
                    BQ360:DY360,0))
                )
            )
        ),
        ""
    ),
    TRANSPOSE(
        _xlfn.UNIQUE(EDU_DOCENTE[NOMBRE_DOCENTE]
        )
    )
)</f>
        <v>ALCIVAR CEDEÑO BEATRIZ ISABEL</v>
      </c>
      <c r="EB360" t="str">
        <v>ALCIVAR VERA GEMA MICHELLE</v>
      </c>
      <c r="EC360" t="str">
        <v>ARAUZ CHAVEZ MARIO ROBERTO</v>
      </c>
      <c r="ED360" t="str">
        <v>BAILON LOURIDO WALTER ALBERTO</v>
      </c>
      <c r="EE360" t="str">
        <v>CALDERERO VILLAGOMEZ ERICK ANTONIO</v>
      </c>
      <c r="EF360" t="str">
        <v>CASTILLO GARCIA PAOLA GERMANIA</v>
      </c>
      <c r="EG360" t="str">
        <v>CEDEÑO CHOEZ PEDRO JAVIER</v>
      </c>
      <c r="EH360" t="str">
        <v>CEVALLOS HOPPE JUAN CARLOS</v>
      </c>
      <c r="EI360" t="str">
        <v>DELGADO CHAVEZ MARIA IRASEMA</v>
      </c>
      <c r="EJ360" t="str">
        <v>DUARTE VALENCIA CRISTHIAN DARIO</v>
      </c>
      <c r="EK360" t="str">
        <v>FORTTY BARBERAN DENNY ALEXANDER</v>
      </c>
      <c r="EL360" t="str">
        <v>GUTIERREZ ZAMBRANO CARMEN EBELINA</v>
      </c>
      <c r="EM360" t="str">
        <v>INTRIAGO MOLINA GEMA VALERIA</v>
      </c>
      <c r="EN360" t="str">
        <v>LINO VELEZ LEONEL LIVINGTON</v>
      </c>
      <c r="EO360" t="str">
        <v>LOOR ALCIVAR MARIA ILIANA</v>
      </c>
      <c r="EP360" t="str">
        <v>LOOR MIELES TANIA JACQUELINE</v>
      </c>
      <c r="EQ360" t="str">
        <v>LOOR SOLORZANO ROSA MARIA</v>
      </c>
      <c r="ER360" t="str">
        <v>LOPEZ DELGADO RONALD MAURICIO</v>
      </c>
      <c r="ES360" t="str">
        <v>MACIAS VALENCIA DAVID GABRIEL</v>
      </c>
      <c r="ET360" t="str">
        <v>MENDOZA ZAMORA WALTER MANUEL</v>
      </c>
      <c r="EU360" t="str">
        <v>MOLINA CEVALLOS MARIA LORENA</v>
      </c>
      <c r="EV360" t="str">
        <v>MURILLO DELGADO ISAAC GABRIEL</v>
      </c>
      <c r="EW360" t="str">
        <v>ANGULO MURILLO NAVIRA GISSELA</v>
      </c>
      <c r="EX360" t="str">
        <v>OCHOA SOLEDISPA NESTOR IVAN</v>
      </c>
      <c r="EY360" t="str">
        <v>PARRAGA FRANCO SILVANA MARIELA</v>
      </c>
      <c r="EZ360" t="str">
        <v>PINARGOTE VASQUEZ NANCY FABIOLA</v>
      </c>
      <c r="FA360" t="str">
        <v>REYES VELEZ PEDRO ENRIQUE</v>
      </c>
      <c r="FB360" t="str">
        <v>SAN ANDRES HORMAZA DALLAS CECILIA</v>
      </c>
      <c r="FC360" t="str">
        <v>SORNOZA ZAMORA JUAN CARLOS</v>
      </c>
      <c r="FD360" t="str">
        <v>TOMALA PINTO JESUS JACINTO</v>
      </c>
      <c r="FE360" t="str">
        <v>VALLE JARAMILLO SILVIA ARACELY</v>
      </c>
      <c r="FF360" t="str">
        <v>VELÁSQUEZ BRAVO IRMA KATHERINE</v>
      </c>
      <c r="FG360" t="str">
        <v>VELEZ MENDOZA LAYSY VALERIA</v>
      </c>
      <c r="FH360" t="str">
        <v>VINUEZA TELLO SHIRLEY ELIZABETH</v>
      </c>
      <c r="FI360" t="str">
        <v>ZAMBRANO ALCIVAR NILDA ISABEL</v>
      </c>
      <c r="FJ360" t="str">
        <v>ZAMBRANO LOOR RITA MAYDA</v>
      </c>
      <c r="FK360" t="str">
        <v>ZAMBRANO VERA MONICA JANETH</v>
      </c>
      <c r="FL360" t="str">
        <v>VERA DELGADO BRYAN ADRIÁN</v>
      </c>
      <c r="FM360" t="str">
        <v>MORAN GONZALES DAVID RENATO</v>
      </c>
      <c r="FN360">
        <v>0</v>
      </c>
    </row>
    <row r="361" spans="1:170" ht="20.25" customHeight="1">
      <c r="A361" s="4" t="str" cm="1">
        <f t="array" ref="A361">TRANSPOSE(_xlfn.UNIQUE(_xlfn._xlws.FILTER(MAE_ASIGNATURA[ID_NIVEL],MAE_ASIGNATURA[ID_CARRERA]=ASIGNACION!$C361,"No existe información")))</f>
        <v>No existe información</v>
      </c>
      <c r="S361" s="4" t="str" cm="1">
        <f t="array" ref="S361">TRANSPOSE(_xlfn.UNIQUE(_xlfn._xlws.FILTER(MAE_ASIGNATURA[NOM_ASIG],(MAE_ASIGNATURA[ID_NIVEL]=ASIGNACION!$D361)*(MAE_ASIGNATURA[ID_CARRERA]=ASIGNACION!$C361),"No existe información")))</f>
        <v>No existe información</v>
      </c>
      <c r="BD361" s="4" t="str" cm="1">
        <f t="array" ref="BD361">TRANSPOSE(_xlfn.UNIQUE(_xlfn._xlws.FILTER(DET_ASIG[DETALLADO],(DET_ASIG[ID_CARRERA]=ASIGNACION!$C361)*(DET_ASIG[NIVEL]=ASIGNACION!$D361)*(DET_ASIG[ID_ASIG]=ASIGNACION!$G361),"No existe información")))</f>
        <v>No existe información</v>
      </c>
      <c r="BQ361" s="5" t="str" cm="1">
        <f t="array" ref="BQ361">IFERROR(
    TRANSPOSE(
        _xlfn.UNIQUE(
            _xlfn._xlws.FILTER(MAESTRIA_DETALLADO[MAESTRIA],
                ISNUMBER(MATCH(MAESTRIA_DETALLADO[CAMPO_DETALLADO],
                BD361:BP361,0))
            )
        )
    ),IF(BD361="ACTIVIDAD","DOCENCIA",""))</f>
        <v/>
      </c>
      <c r="EA361" s="5" t="str" cm="1">
        <f t="array" ref="EA361:FN361">IF(
    ASIGNACION!I361="SI",
    IFERROR(
        TRANSPOSE(
            _xlfn.UNIQUE(
                _xlfn._xlws.FILTER(EDU_DOCENTE[NOMBRE_DOCENTE],
                    ISNUMBER(MATCH(EDU_DOCENTE[MAESTRIA],
                    BQ361:DY361,0))
                )
            )
        ),
        ""
    ),
    TRANSPOSE(
        _xlfn.UNIQUE(EDU_DOCENTE[NOMBRE_DOCENTE]
        )
    )
)</f>
        <v>ALCIVAR CEDEÑO BEATRIZ ISABEL</v>
      </c>
      <c r="EB361" t="str">
        <v>ALCIVAR VERA GEMA MICHELLE</v>
      </c>
      <c r="EC361" t="str">
        <v>ARAUZ CHAVEZ MARIO ROBERTO</v>
      </c>
      <c r="ED361" t="str">
        <v>BAILON LOURIDO WALTER ALBERTO</v>
      </c>
      <c r="EE361" t="str">
        <v>CALDERERO VILLAGOMEZ ERICK ANTONIO</v>
      </c>
      <c r="EF361" t="str">
        <v>CASTILLO GARCIA PAOLA GERMANIA</v>
      </c>
      <c r="EG361" t="str">
        <v>CEDEÑO CHOEZ PEDRO JAVIER</v>
      </c>
      <c r="EH361" t="str">
        <v>CEVALLOS HOPPE JUAN CARLOS</v>
      </c>
      <c r="EI361" t="str">
        <v>DELGADO CHAVEZ MARIA IRASEMA</v>
      </c>
      <c r="EJ361" t="str">
        <v>DUARTE VALENCIA CRISTHIAN DARIO</v>
      </c>
      <c r="EK361" t="str">
        <v>FORTTY BARBERAN DENNY ALEXANDER</v>
      </c>
      <c r="EL361" t="str">
        <v>GUTIERREZ ZAMBRANO CARMEN EBELINA</v>
      </c>
      <c r="EM361" t="str">
        <v>INTRIAGO MOLINA GEMA VALERIA</v>
      </c>
      <c r="EN361" t="str">
        <v>LINO VELEZ LEONEL LIVINGTON</v>
      </c>
      <c r="EO361" t="str">
        <v>LOOR ALCIVAR MARIA ILIANA</v>
      </c>
      <c r="EP361" t="str">
        <v>LOOR MIELES TANIA JACQUELINE</v>
      </c>
      <c r="EQ361" t="str">
        <v>LOOR SOLORZANO ROSA MARIA</v>
      </c>
      <c r="ER361" t="str">
        <v>LOPEZ DELGADO RONALD MAURICIO</v>
      </c>
      <c r="ES361" t="str">
        <v>MACIAS VALENCIA DAVID GABRIEL</v>
      </c>
      <c r="ET361" t="str">
        <v>MENDOZA ZAMORA WALTER MANUEL</v>
      </c>
      <c r="EU361" t="str">
        <v>MOLINA CEVALLOS MARIA LORENA</v>
      </c>
      <c r="EV361" t="str">
        <v>MURILLO DELGADO ISAAC GABRIEL</v>
      </c>
      <c r="EW361" t="str">
        <v>ANGULO MURILLO NAVIRA GISSELA</v>
      </c>
      <c r="EX361" t="str">
        <v>OCHOA SOLEDISPA NESTOR IVAN</v>
      </c>
      <c r="EY361" t="str">
        <v>PARRAGA FRANCO SILVANA MARIELA</v>
      </c>
      <c r="EZ361" t="str">
        <v>PINARGOTE VASQUEZ NANCY FABIOLA</v>
      </c>
      <c r="FA361" t="str">
        <v>REYES VELEZ PEDRO ENRIQUE</v>
      </c>
      <c r="FB361" t="str">
        <v>SAN ANDRES HORMAZA DALLAS CECILIA</v>
      </c>
      <c r="FC361" t="str">
        <v>SORNOZA ZAMORA JUAN CARLOS</v>
      </c>
      <c r="FD361" t="str">
        <v>TOMALA PINTO JESUS JACINTO</v>
      </c>
      <c r="FE361" t="str">
        <v>VALLE JARAMILLO SILVIA ARACELY</v>
      </c>
      <c r="FF361" t="str">
        <v>VELÁSQUEZ BRAVO IRMA KATHERINE</v>
      </c>
      <c r="FG361" t="str">
        <v>VELEZ MENDOZA LAYSY VALERIA</v>
      </c>
      <c r="FH361" t="str">
        <v>VINUEZA TELLO SHIRLEY ELIZABETH</v>
      </c>
      <c r="FI361" t="str">
        <v>ZAMBRANO ALCIVAR NILDA ISABEL</v>
      </c>
      <c r="FJ361" t="str">
        <v>ZAMBRANO LOOR RITA MAYDA</v>
      </c>
      <c r="FK361" t="str">
        <v>ZAMBRANO VERA MONICA JANETH</v>
      </c>
      <c r="FL361" t="str">
        <v>VERA DELGADO BRYAN ADRIÁN</v>
      </c>
      <c r="FM361" t="str">
        <v>MORAN GONZALES DAVID RENATO</v>
      </c>
      <c r="FN361">
        <v>0</v>
      </c>
    </row>
    <row r="362" spans="1:170" ht="20.25" customHeight="1">
      <c r="A362" s="4" t="str" cm="1">
        <f t="array" ref="A362">TRANSPOSE(_xlfn.UNIQUE(_xlfn._xlws.FILTER(MAE_ASIGNATURA[ID_NIVEL],MAE_ASIGNATURA[ID_CARRERA]=ASIGNACION!$C362,"No existe información")))</f>
        <v>No existe información</v>
      </c>
      <c r="S362" s="4" t="str" cm="1">
        <f t="array" ref="S362">TRANSPOSE(_xlfn.UNIQUE(_xlfn._xlws.FILTER(MAE_ASIGNATURA[NOM_ASIG],(MAE_ASIGNATURA[ID_NIVEL]=ASIGNACION!$D362)*(MAE_ASIGNATURA[ID_CARRERA]=ASIGNACION!$C362),"No existe información")))</f>
        <v>No existe información</v>
      </c>
      <c r="BD362" s="4" t="str" cm="1">
        <f t="array" ref="BD362">TRANSPOSE(_xlfn.UNIQUE(_xlfn._xlws.FILTER(DET_ASIG[DETALLADO],(DET_ASIG[ID_CARRERA]=ASIGNACION!$C362)*(DET_ASIG[NIVEL]=ASIGNACION!$D362)*(DET_ASIG[ID_ASIG]=ASIGNACION!$G362),"No existe información")))</f>
        <v>No existe información</v>
      </c>
      <c r="BQ362" s="5" t="str" cm="1">
        <f t="array" ref="BQ362">IFERROR(
    TRANSPOSE(
        _xlfn.UNIQUE(
            _xlfn._xlws.FILTER(MAESTRIA_DETALLADO[MAESTRIA],
                ISNUMBER(MATCH(MAESTRIA_DETALLADO[CAMPO_DETALLADO],
                BD362:BP362,0))
            )
        )
    ),IF(BD362="ACTIVIDAD","DOCENCIA",""))</f>
        <v/>
      </c>
      <c r="EA362" s="5" t="str" cm="1">
        <f t="array" ref="EA362:FN362">IF(
    ASIGNACION!I362="SI",
    IFERROR(
        TRANSPOSE(
            _xlfn.UNIQUE(
                _xlfn._xlws.FILTER(EDU_DOCENTE[NOMBRE_DOCENTE],
                    ISNUMBER(MATCH(EDU_DOCENTE[MAESTRIA],
                    BQ362:DY362,0))
                )
            )
        ),
        ""
    ),
    TRANSPOSE(
        _xlfn.UNIQUE(EDU_DOCENTE[NOMBRE_DOCENTE]
        )
    )
)</f>
        <v>ALCIVAR CEDEÑO BEATRIZ ISABEL</v>
      </c>
      <c r="EB362" t="str">
        <v>ALCIVAR VERA GEMA MICHELLE</v>
      </c>
      <c r="EC362" t="str">
        <v>ARAUZ CHAVEZ MARIO ROBERTO</v>
      </c>
      <c r="ED362" t="str">
        <v>BAILON LOURIDO WALTER ALBERTO</v>
      </c>
      <c r="EE362" t="str">
        <v>CALDERERO VILLAGOMEZ ERICK ANTONIO</v>
      </c>
      <c r="EF362" t="str">
        <v>CASTILLO GARCIA PAOLA GERMANIA</v>
      </c>
      <c r="EG362" t="str">
        <v>CEDEÑO CHOEZ PEDRO JAVIER</v>
      </c>
      <c r="EH362" t="str">
        <v>CEVALLOS HOPPE JUAN CARLOS</v>
      </c>
      <c r="EI362" t="str">
        <v>DELGADO CHAVEZ MARIA IRASEMA</v>
      </c>
      <c r="EJ362" t="str">
        <v>DUARTE VALENCIA CRISTHIAN DARIO</v>
      </c>
      <c r="EK362" t="str">
        <v>FORTTY BARBERAN DENNY ALEXANDER</v>
      </c>
      <c r="EL362" t="str">
        <v>GUTIERREZ ZAMBRANO CARMEN EBELINA</v>
      </c>
      <c r="EM362" t="str">
        <v>INTRIAGO MOLINA GEMA VALERIA</v>
      </c>
      <c r="EN362" t="str">
        <v>LINO VELEZ LEONEL LIVINGTON</v>
      </c>
      <c r="EO362" t="str">
        <v>LOOR ALCIVAR MARIA ILIANA</v>
      </c>
      <c r="EP362" t="str">
        <v>LOOR MIELES TANIA JACQUELINE</v>
      </c>
      <c r="EQ362" t="str">
        <v>LOOR SOLORZANO ROSA MARIA</v>
      </c>
      <c r="ER362" t="str">
        <v>LOPEZ DELGADO RONALD MAURICIO</v>
      </c>
      <c r="ES362" t="str">
        <v>MACIAS VALENCIA DAVID GABRIEL</v>
      </c>
      <c r="ET362" t="str">
        <v>MENDOZA ZAMORA WALTER MANUEL</v>
      </c>
      <c r="EU362" t="str">
        <v>MOLINA CEVALLOS MARIA LORENA</v>
      </c>
      <c r="EV362" t="str">
        <v>MURILLO DELGADO ISAAC GABRIEL</v>
      </c>
      <c r="EW362" t="str">
        <v>ANGULO MURILLO NAVIRA GISSELA</v>
      </c>
      <c r="EX362" t="str">
        <v>OCHOA SOLEDISPA NESTOR IVAN</v>
      </c>
      <c r="EY362" t="str">
        <v>PARRAGA FRANCO SILVANA MARIELA</v>
      </c>
      <c r="EZ362" t="str">
        <v>PINARGOTE VASQUEZ NANCY FABIOLA</v>
      </c>
      <c r="FA362" t="str">
        <v>REYES VELEZ PEDRO ENRIQUE</v>
      </c>
      <c r="FB362" t="str">
        <v>SAN ANDRES HORMAZA DALLAS CECILIA</v>
      </c>
      <c r="FC362" t="str">
        <v>SORNOZA ZAMORA JUAN CARLOS</v>
      </c>
      <c r="FD362" t="str">
        <v>TOMALA PINTO JESUS JACINTO</v>
      </c>
      <c r="FE362" t="str">
        <v>VALLE JARAMILLO SILVIA ARACELY</v>
      </c>
      <c r="FF362" t="str">
        <v>VELÁSQUEZ BRAVO IRMA KATHERINE</v>
      </c>
      <c r="FG362" t="str">
        <v>VELEZ MENDOZA LAYSY VALERIA</v>
      </c>
      <c r="FH362" t="str">
        <v>VINUEZA TELLO SHIRLEY ELIZABETH</v>
      </c>
      <c r="FI362" t="str">
        <v>ZAMBRANO ALCIVAR NILDA ISABEL</v>
      </c>
      <c r="FJ362" t="str">
        <v>ZAMBRANO LOOR RITA MAYDA</v>
      </c>
      <c r="FK362" t="str">
        <v>ZAMBRANO VERA MONICA JANETH</v>
      </c>
      <c r="FL362" t="str">
        <v>VERA DELGADO BRYAN ADRIÁN</v>
      </c>
      <c r="FM362" t="str">
        <v>MORAN GONZALES DAVID RENATO</v>
      </c>
      <c r="FN362">
        <v>0</v>
      </c>
    </row>
    <row r="363" spans="1:170" ht="20.25" customHeight="1">
      <c r="A363" s="4" t="str" cm="1">
        <f t="array" ref="A363">TRANSPOSE(_xlfn.UNIQUE(_xlfn._xlws.FILTER(MAE_ASIGNATURA[ID_NIVEL],MAE_ASIGNATURA[ID_CARRERA]=ASIGNACION!$C363,"No existe información")))</f>
        <v>No existe información</v>
      </c>
      <c r="S363" s="4" t="str" cm="1">
        <f t="array" ref="S363">TRANSPOSE(_xlfn.UNIQUE(_xlfn._xlws.FILTER(MAE_ASIGNATURA[NOM_ASIG],(MAE_ASIGNATURA[ID_NIVEL]=ASIGNACION!$D363)*(MAE_ASIGNATURA[ID_CARRERA]=ASIGNACION!$C363),"No existe información")))</f>
        <v>No existe información</v>
      </c>
      <c r="BD363" s="4" t="str" cm="1">
        <f t="array" ref="BD363">TRANSPOSE(_xlfn.UNIQUE(_xlfn._xlws.FILTER(DET_ASIG[DETALLADO],(DET_ASIG[ID_CARRERA]=ASIGNACION!$C363)*(DET_ASIG[NIVEL]=ASIGNACION!$D363)*(DET_ASIG[ID_ASIG]=ASIGNACION!$G363),"No existe información")))</f>
        <v>No existe información</v>
      </c>
      <c r="BQ363" s="5" t="str" cm="1">
        <f t="array" ref="BQ363">IFERROR(
    TRANSPOSE(
        _xlfn.UNIQUE(
            _xlfn._xlws.FILTER(MAESTRIA_DETALLADO[MAESTRIA],
                ISNUMBER(MATCH(MAESTRIA_DETALLADO[CAMPO_DETALLADO],
                BD363:BP363,0))
            )
        )
    ),IF(BD363="ACTIVIDAD","DOCENCIA",""))</f>
        <v/>
      </c>
      <c r="EA363" s="5" t="str" cm="1">
        <f t="array" ref="EA363:FN363">IF(
    ASIGNACION!I363="SI",
    IFERROR(
        TRANSPOSE(
            _xlfn.UNIQUE(
                _xlfn._xlws.FILTER(EDU_DOCENTE[NOMBRE_DOCENTE],
                    ISNUMBER(MATCH(EDU_DOCENTE[MAESTRIA],
                    BQ363:DY363,0))
                )
            )
        ),
        ""
    ),
    TRANSPOSE(
        _xlfn.UNIQUE(EDU_DOCENTE[NOMBRE_DOCENTE]
        )
    )
)</f>
        <v>ALCIVAR CEDEÑO BEATRIZ ISABEL</v>
      </c>
      <c r="EB363" t="str">
        <v>ALCIVAR VERA GEMA MICHELLE</v>
      </c>
      <c r="EC363" t="str">
        <v>ARAUZ CHAVEZ MARIO ROBERTO</v>
      </c>
      <c r="ED363" t="str">
        <v>BAILON LOURIDO WALTER ALBERTO</v>
      </c>
      <c r="EE363" t="str">
        <v>CALDERERO VILLAGOMEZ ERICK ANTONIO</v>
      </c>
      <c r="EF363" t="str">
        <v>CASTILLO GARCIA PAOLA GERMANIA</v>
      </c>
      <c r="EG363" t="str">
        <v>CEDEÑO CHOEZ PEDRO JAVIER</v>
      </c>
      <c r="EH363" t="str">
        <v>CEVALLOS HOPPE JUAN CARLOS</v>
      </c>
      <c r="EI363" t="str">
        <v>DELGADO CHAVEZ MARIA IRASEMA</v>
      </c>
      <c r="EJ363" t="str">
        <v>DUARTE VALENCIA CRISTHIAN DARIO</v>
      </c>
      <c r="EK363" t="str">
        <v>FORTTY BARBERAN DENNY ALEXANDER</v>
      </c>
      <c r="EL363" t="str">
        <v>GUTIERREZ ZAMBRANO CARMEN EBELINA</v>
      </c>
      <c r="EM363" t="str">
        <v>INTRIAGO MOLINA GEMA VALERIA</v>
      </c>
      <c r="EN363" t="str">
        <v>LINO VELEZ LEONEL LIVINGTON</v>
      </c>
      <c r="EO363" t="str">
        <v>LOOR ALCIVAR MARIA ILIANA</v>
      </c>
      <c r="EP363" t="str">
        <v>LOOR MIELES TANIA JACQUELINE</v>
      </c>
      <c r="EQ363" t="str">
        <v>LOOR SOLORZANO ROSA MARIA</v>
      </c>
      <c r="ER363" t="str">
        <v>LOPEZ DELGADO RONALD MAURICIO</v>
      </c>
      <c r="ES363" t="str">
        <v>MACIAS VALENCIA DAVID GABRIEL</v>
      </c>
      <c r="ET363" t="str">
        <v>MENDOZA ZAMORA WALTER MANUEL</v>
      </c>
      <c r="EU363" t="str">
        <v>MOLINA CEVALLOS MARIA LORENA</v>
      </c>
      <c r="EV363" t="str">
        <v>MURILLO DELGADO ISAAC GABRIEL</v>
      </c>
      <c r="EW363" t="str">
        <v>ANGULO MURILLO NAVIRA GISSELA</v>
      </c>
      <c r="EX363" t="str">
        <v>OCHOA SOLEDISPA NESTOR IVAN</v>
      </c>
      <c r="EY363" t="str">
        <v>PARRAGA FRANCO SILVANA MARIELA</v>
      </c>
      <c r="EZ363" t="str">
        <v>PINARGOTE VASQUEZ NANCY FABIOLA</v>
      </c>
      <c r="FA363" t="str">
        <v>REYES VELEZ PEDRO ENRIQUE</v>
      </c>
      <c r="FB363" t="str">
        <v>SAN ANDRES HORMAZA DALLAS CECILIA</v>
      </c>
      <c r="FC363" t="str">
        <v>SORNOZA ZAMORA JUAN CARLOS</v>
      </c>
      <c r="FD363" t="str">
        <v>TOMALA PINTO JESUS JACINTO</v>
      </c>
      <c r="FE363" t="str">
        <v>VALLE JARAMILLO SILVIA ARACELY</v>
      </c>
      <c r="FF363" t="str">
        <v>VELÁSQUEZ BRAVO IRMA KATHERINE</v>
      </c>
      <c r="FG363" t="str">
        <v>VELEZ MENDOZA LAYSY VALERIA</v>
      </c>
      <c r="FH363" t="str">
        <v>VINUEZA TELLO SHIRLEY ELIZABETH</v>
      </c>
      <c r="FI363" t="str">
        <v>ZAMBRANO ALCIVAR NILDA ISABEL</v>
      </c>
      <c r="FJ363" t="str">
        <v>ZAMBRANO LOOR RITA MAYDA</v>
      </c>
      <c r="FK363" t="str">
        <v>ZAMBRANO VERA MONICA JANETH</v>
      </c>
      <c r="FL363" t="str">
        <v>VERA DELGADO BRYAN ADRIÁN</v>
      </c>
      <c r="FM363" t="str">
        <v>MORAN GONZALES DAVID RENATO</v>
      </c>
      <c r="FN363">
        <v>0</v>
      </c>
    </row>
    <row r="364" spans="1:170" ht="20.25" customHeight="1">
      <c r="A364" s="4" t="str" cm="1">
        <f t="array" ref="A364">TRANSPOSE(_xlfn.UNIQUE(_xlfn._xlws.FILTER(MAE_ASIGNATURA[ID_NIVEL],MAE_ASIGNATURA[ID_CARRERA]=ASIGNACION!$C364,"No existe información")))</f>
        <v>No existe información</v>
      </c>
      <c r="S364" s="4" t="str" cm="1">
        <f t="array" ref="S364">TRANSPOSE(_xlfn.UNIQUE(_xlfn._xlws.FILTER(MAE_ASIGNATURA[NOM_ASIG],(MAE_ASIGNATURA[ID_NIVEL]=ASIGNACION!$D364)*(MAE_ASIGNATURA[ID_CARRERA]=ASIGNACION!$C364),"No existe información")))</f>
        <v>No existe información</v>
      </c>
      <c r="BD364" s="4" t="str" cm="1">
        <f t="array" ref="BD364">TRANSPOSE(_xlfn.UNIQUE(_xlfn._xlws.FILTER(DET_ASIG[DETALLADO],(DET_ASIG[ID_CARRERA]=ASIGNACION!$C364)*(DET_ASIG[NIVEL]=ASIGNACION!$D364)*(DET_ASIG[ID_ASIG]=ASIGNACION!$G364),"No existe información")))</f>
        <v>No existe información</v>
      </c>
      <c r="BQ364" s="5" t="str" cm="1">
        <f t="array" ref="BQ364">IFERROR(
    TRANSPOSE(
        _xlfn.UNIQUE(
            _xlfn._xlws.FILTER(MAESTRIA_DETALLADO[MAESTRIA],
                ISNUMBER(MATCH(MAESTRIA_DETALLADO[CAMPO_DETALLADO],
                BD364:BP364,0))
            )
        )
    ),IF(BD364="ACTIVIDAD","DOCENCIA",""))</f>
        <v/>
      </c>
      <c r="EA364" s="5" t="str" cm="1">
        <f t="array" ref="EA364:FN364">IF(
    ASIGNACION!I364="SI",
    IFERROR(
        TRANSPOSE(
            _xlfn.UNIQUE(
                _xlfn._xlws.FILTER(EDU_DOCENTE[NOMBRE_DOCENTE],
                    ISNUMBER(MATCH(EDU_DOCENTE[MAESTRIA],
                    BQ364:DY364,0))
                )
            )
        ),
        ""
    ),
    TRANSPOSE(
        _xlfn.UNIQUE(EDU_DOCENTE[NOMBRE_DOCENTE]
        )
    )
)</f>
        <v>ALCIVAR CEDEÑO BEATRIZ ISABEL</v>
      </c>
      <c r="EB364" t="str">
        <v>ALCIVAR VERA GEMA MICHELLE</v>
      </c>
      <c r="EC364" t="str">
        <v>ARAUZ CHAVEZ MARIO ROBERTO</v>
      </c>
      <c r="ED364" t="str">
        <v>BAILON LOURIDO WALTER ALBERTO</v>
      </c>
      <c r="EE364" t="str">
        <v>CALDERERO VILLAGOMEZ ERICK ANTONIO</v>
      </c>
      <c r="EF364" t="str">
        <v>CASTILLO GARCIA PAOLA GERMANIA</v>
      </c>
      <c r="EG364" t="str">
        <v>CEDEÑO CHOEZ PEDRO JAVIER</v>
      </c>
      <c r="EH364" t="str">
        <v>CEVALLOS HOPPE JUAN CARLOS</v>
      </c>
      <c r="EI364" t="str">
        <v>DELGADO CHAVEZ MARIA IRASEMA</v>
      </c>
      <c r="EJ364" t="str">
        <v>DUARTE VALENCIA CRISTHIAN DARIO</v>
      </c>
      <c r="EK364" t="str">
        <v>FORTTY BARBERAN DENNY ALEXANDER</v>
      </c>
      <c r="EL364" t="str">
        <v>GUTIERREZ ZAMBRANO CARMEN EBELINA</v>
      </c>
      <c r="EM364" t="str">
        <v>INTRIAGO MOLINA GEMA VALERIA</v>
      </c>
      <c r="EN364" t="str">
        <v>LINO VELEZ LEONEL LIVINGTON</v>
      </c>
      <c r="EO364" t="str">
        <v>LOOR ALCIVAR MARIA ILIANA</v>
      </c>
      <c r="EP364" t="str">
        <v>LOOR MIELES TANIA JACQUELINE</v>
      </c>
      <c r="EQ364" t="str">
        <v>LOOR SOLORZANO ROSA MARIA</v>
      </c>
      <c r="ER364" t="str">
        <v>LOPEZ DELGADO RONALD MAURICIO</v>
      </c>
      <c r="ES364" t="str">
        <v>MACIAS VALENCIA DAVID GABRIEL</v>
      </c>
      <c r="ET364" t="str">
        <v>MENDOZA ZAMORA WALTER MANUEL</v>
      </c>
      <c r="EU364" t="str">
        <v>MOLINA CEVALLOS MARIA LORENA</v>
      </c>
      <c r="EV364" t="str">
        <v>MURILLO DELGADO ISAAC GABRIEL</v>
      </c>
      <c r="EW364" t="str">
        <v>ANGULO MURILLO NAVIRA GISSELA</v>
      </c>
      <c r="EX364" t="str">
        <v>OCHOA SOLEDISPA NESTOR IVAN</v>
      </c>
      <c r="EY364" t="str">
        <v>PARRAGA FRANCO SILVANA MARIELA</v>
      </c>
      <c r="EZ364" t="str">
        <v>PINARGOTE VASQUEZ NANCY FABIOLA</v>
      </c>
      <c r="FA364" t="str">
        <v>REYES VELEZ PEDRO ENRIQUE</v>
      </c>
      <c r="FB364" t="str">
        <v>SAN ANDRES HORMAZA DALLAS CECILIA</v>
      </c>
      <c r="FC364" t="str">
        <v>SORNOZA ZAMORA JUAN CARLOS</v>
      </c>
      <c r="FD364" t="str">
        <v>TOMALA PINTO JESUS JACINTO</v>
      </c>
      <c r="FE364" t="str">
        <v>VALLE JARAMILLO SILVIA ARACELY</v>
      </c>
      <c r="FF364" t="str">
        <v>VELÁSQUEZ BRAVO IRMA KATHERINE</v>
      </c>
      <c r="FG364" t="str">
        <v>VELEZ MENDOZA LAYSY VALERIA</v>
      </c>
      <c r="FH364" t="str">
        <v>VINUEZA TELLO SHIRLEY ELIZABETH</v>
      </c>
      <c r="FI364" t="str">
        <v>ZAMBRANO ALCIVAR NILDA ISABEL</v>
      </c>
      <c r="FJ364" t="str">
        <v>ZAMBRANO LOOR RITA MAYDA</v>
      </c>
      <c r="FK364" t="str">
        <v>ZAMBRANO VERA MONICA JANETH</v>
      </c>
      <c r="FL364" t="str">
        <v>VERA DELGADO BRYAN ADRIÁN</v>
      </c>
      <c r="FM364" t="str">
        <v>MORAN GONZALES DAVID RENATO</v>
      </c>
      <c r="FN364">
        <v>0</v>
      </c>
    </row>
    <row r="365" spans="1:170" ht="20.25" customHeight="1">
      <c r="A365" s="4" t="str" cm="1">
        <f t="array" ref="A365">TRANSPOSE(_xlfn.UNIQUE(_xlfn._xlws.FILTER(MAE_ASIGNATURA[ID_NIVEL],MAE_ASIGNATURA[ID_CARRERA]=ASIGNACION!$C365,"No existe información")))</f>
        <v>No existe información</v>
      </c>
      <c r="S365" s="4" t="str" cm="1">
        <f t="array" ref="S365">TRANSPOSE(_xlfn.UNIQUE(_xlfn._xlws.FILTER(MAE_ASIGNATURA[NOM_ASIG],(MAE_ASIGNATURA[ID_NIVEL]=ASIGNACION!$D365)*(MAE_ASIGNATURA[ID_CARRERA]=ASIGNACION!$C365),"No existe información")))</f>
        <v>No existe información</v>
      </c>
      <c r="BD365" s="4" t="str" cm="1">
        <f t="array" ref="BD365">TRANSPOSE(_xlfn.UNIQUE(_xlfn._xlws.FILTER(DET_ASIG[DETALLADO],(DET_ASIG[ID_CARRERA]=ASIGNACION!$C365)*(DET_ASIG[NIVEL]=ASIGNACION!$D365)*(DET_ASIG[ID_ASIG]=ASIGNACION!$G365),"No existe información")))</f>
        <v>No existe información</v>
      </c>
      <c r="BQ365" s="5" t="str" cm="1">
        <f t="array" ref="BQ365">IFERROR(
    TRANSPOSE(
        _xlfn.UNIQUE(
            _xlfn._xlws.FILTER(MAESTRIA_DETALLADO[MAESTRIA],
                ISNUMBER(MATCH(MAESTRIA_DETALLADO[CAMPO_DETALLADO],
                BD365:BP365,0))
            )
        )
    ),IF(BD365="ACTIVIDAD","DOCENCIA",""))</f>
        <v/>
      </c>
      <c r="EA365" s="5" t="str" cm="1">
        <f t="array" ref="EA365:FN365">IF(
    ASIGNACION!I365="SI",
    IFERROR(
        TRANSPOSE(
            _xlfn.UNIQUE(
                _xlfn._xlws.FILTER(EDU_DOCENTE[NOMBRE_DOCENTE],
                    ISNUMBER(MATCH(EDU_DOCENTE[MAESTRIA],
                    BQ365:DY365,0))
                )
            )
        ),
        ""
    ),
    TRANSPOSE(
        _xlfn.UNIQUE(EDU_DOCENTE[NOMBRE_DOCENTE]
        )
    )
)</f>
        <v>ALCIVAR CEDEÑO BEATRIZ ISABEL</v>
      </c>
      <c r="EB365" t="str">
        <v>ALCIVAR VERA GEMA MICHELLE</v>
      </c>
      <c r="EC365" t="str">
        <v>ARAUZ CHAVEZ MARIO ROBERTO</v>
      </c>
      <c r="ED365" t="str">
        <v>BAILON LOURIDO WALTER ALBERTO</v>
      </c>
      <c r="EE365" t="str">
        <v>CALDERERO VILLAGOMEZ ERICK ANTONIO</v>
      </c>
      <c r="EF365" t="str">
        <v>CASTILLO GARCIA PAOLA GERMANIA</v>
      </c>
      <c r="EG365" t="str">
        <v>CEDEÑO CHOEZ PEDRO JAVIER</v>
      </c>
      <c r="EH365" t="str">
        <v>CEVALLOS HOPPE JUAN CARLOS</v>
      </c>
      <c r="EI365" t="str">
        <v>DELGADO CHAVEZ MARIA IRASEMA</v>
      </c>
      <c r="EJ365" t="str">
        <v>DUARTE VALENCIA CRISTHIAN DARIO</v>
      </c>
      <c r="EK365" t="str">
        <v>FORTTY BARBERAN DENNY ALEXANDER</v>
      </c>
      <c r="EL365" t="str">
        <v>GUTIERREZ ZAMBRANO CARMEN EBELINA</v>
      </c>
      <c r="EM365" t="str">
        <v>INTRIAGO MOLINA GEMA VALERIA</v>
      </c>
      <c r="EN365" t="str">
        <v>LINO VELEZ LEONEL LIVINGTON</v>
      </c>
      <c r="EO365" t="str">
        <v>LOOR ALCIVAR MARIA ILIANA</v>
      </c>
      <c r="EP365" t="str">
        <v>LOOR MIELES TANIA JACQUELINE</v>
      </c>
      <c r="EQ365" t="str">
        <v>LOOR SOLORZANO ROSA MARIA</v>
      </c>
      <c r="ER365" t="str">
        <v>LOPEZ DELGADO RONALD MAURICIO</v>
      </c>
      <c r="ES365" t="str">
        <v>MACIAS VALENCIA DAVID GABRIEL</v>
      </c>
      <c r="ET365" t="str">
        <v>MENDOZA ZAMORA WALTER MANUEL</v>
      </c>
      <c r="EU365" t="str">
        <v>MOLINA CEVALLOS MARIA LORENA</v>
      </c>
      <c r="EV365" t="str">
        <v>MURILLO DELGADO ISAAC GABRIEL</v>
      </c>
      <c r="EW365" t="str">
        <v>ANGULO MURILLO NAVIRA GISSELA</v>
      </c>
      <c r="EX365" t="str">
        <v>OCHOA SOLEDISPA NESTOR IVAN</v>
      </c>
      <c r="EY365" t="str">
        <v>PARRAGA FRANCO SILVANA MARIELA</v>
      </c>
      <c r="EZ365" t="str">
        <v>PINARGOTE VASQUEZ NANCY FABIOLA</v>
      </c>
      <c r="FA365" t="str">
        <v>REYES VELEZ PEDRO ENRIQUE</v>
      </c>
      <c r="FB365" t="str">
        <v>SAN ANDRES HORMAZA DALLAS CECILIA</v>
      </c>
      <c r="FC365" t="str">
        <v>SORNOZA ZAMORA JUAN CARLOS</v>
      </c>
      <c r="FD365" t="str">
        <v>TOMALA PINTO JESUS JACINTO</v>
      </c>
      <c r="FE365" t="str">
        <v>VALLE JARAMILLO SILVIA ARACELY</v>
      </c>
      <c r="FF365" t="str">
        <v>VELÁSQUEZ BRAVO IRMA KATHERINE</v>
      </c>
      <c r="FG365" t="str">
        <v>VELEZ MENDOZA LAYSY VALERIA</v>
      </c>
      <c r="FH365" t="str">
        <v>VINUEZA TELLO SHIRLEY ELIZABETH</v>
      </c>
      <c r="FI365" t="str">
        <v>ZAMBRANO ALCIVAR NILDA ISABEL</v>
      </c>
      <c r="FJ365" t="str">
        <v>ZAMBRANO LOOR RITA MAYDA</v>
      </c>
      <c r="FK365" t="str">
        <v>ZAMBRANO VERA MONICA JANETH</v>
      </c>
      <c r="FL365" t="str">
        <v>VERA DELGADO BRYAN ADRIÁN</v>
      </c>
      <c r="FM365" t="str">
        <v>MORAN GONZALES DAVID RENATO</v>
      </c>
      <c r="FN365">
        <v>0</v>
      </c>
    </row>
    <row r="366" spans="1:170" ht="20.25" customHeight="1">
      <c r="A366" s="4" t="str" cm="1">
        <f t="array" ref="A366">TRANSPOSE(_xlfn.UNIQUE(_xlfn._xlws.FILTER(MAE_ASIGNATURA[ID_NIVEL],MAE_ASIGNATURA[ID_CARRERA]=ASIGNACION!$C366,"No existe información")))</f>
        <v>No existe información</v>
      </c>
      <c r="S366" s="4" t="str" cm="1">
        <f t="array" ref="S366">TRANSPOSE(_xlfn.UNIQUE(_xlfn._xlws.FILTER(MAE_ASIGNATURA[NOM_ASIG],(MAE_ASIGNATURA[ID_NIVEL]=ASIGNACION!$D366)*(MAE_ASIGNATURA[ID_CARRERA]=ASIGNACION!$C366),"No existe información")))</f>
        <v>No existe información</v>
      </c>
      <c r="BD366" s="4" t="str" cm="1">
        <f t="array" ref="BD366">TRANSPOSE(_xlfn.UNIQUE(_xlfn._xlws.FILTER(DET_ASIG[DETALLADO],(DET_ASIG[ID_CARRERA]=ASIGNACION!$C366)*(DET_ASIG[NIVEL]=ASIGNACION!$D366)*(DET_ASIG[ID_ASIG]=ASIGNACION!$G366),"No existe información")))</f>
        <v>No existe información</v>
      </c>
      <c r="BQ366" s="5" t="str" cm="1">
        <f t="array" ref="BQ366">IFERROR(
    TRANSPOSE(
        _xlfn.UNIQUE(
            _xlfn._xlws.FILTER(MAESTRIA_DETALLADO[MAESTRIA],
                ISNUMBER(MATCH(MAESTRIA_DETALLADO[CAMPO_DETALLADO],
                BD366:BP366,0))
            )
        )
    ),IF(BD366="ACTIVIDAD","DOCENCIA",""))</f>
        <v/>
      </c>
      <c r="EA366" s="5" t="str" cm="1">
        <f t="array" ref="EA366:FN366">IF(
    ASIGNACION!I366="SI",
    IFERROR(
        TRANSPOSE(
            _xlfn.UNIQUE(
                _xlfn._xlws.FILTER(EDU_DOCENTE[NOMBRE_DOCENTE],
                    ISNUMBER(MATCH(EDU_DOCENTE[MAESTRIA],
                    BQ366:DY366,0))
                )
            )
        ),
        ""
    ),
    TRANSPOSE(
        _xlfn.UNIQUE(EDU_DOCENTE[NOMBRE_DOCENTE]
        )
    )
)</f>
        <v>ALCIVAR CEDEÑO BEATRIZ ISABEL</v>
      </c>
      <c r="EB366" t="str">
        <v>ALCIVAR VERA GEMA MICHELLE</v>
      </c>
      <c r="EC366" t="str">
        <v>ARAUZ CHAVEZ MARIO ROBERTO</v>
      </c>
      <c r="ED366" t="str">
        <v>BAILON LOURIDO WALTER ALBERTO</v>
      </c>
      <c r="EE366" t="str">
        <v>CALDERERO VILLAGOMEZ ERICK ANTONIO</v>
      </c>
      <c r="EF366" t="str">
        <v>CASTILLO GARCIA PAOLA GERMANIA</v>
      </c>
      <c r="EG366" t="str">
        <v>CEDEÑO CHOEZ PEDRO JAVIER</v>
      </c>
      <c r="EH366" t="str">
        <v>CEVALLOS HOPPE JUAN CARLOS</v>
      </c>
      <c r="EI366" t="str">
        <v>DELGADO CHAVEZ MARIA IRASEMA</v>
      </c>
      <c r="EJ366" t="str">
        <v>DUARTE VALENCIA CRISTHIAN DARIO</v>
      </c>
      <c r="EK366" t="str">
        <v>FORTTY BARBERAN DENNY ALEXANDER</v>
      </c>
      <c r="EL366" t="str">
        <v>GUTIERREZ ZAMBRANO CARMEN EBELINA</v>
      </c>
      <c r="EM366" t="str">
        <v>INTRIAGO MOLINA GEMA VALERIA</v>
      </c>
      <c r="EN366" t="str">
        <v>LINO VELEZ LEONEL LIVINGTON</v>
      </c>
      <c r="EO366" t="str">
        <v>LOOR ALCIVAR MARIA ILIANA</v>
      </c>
      <c r="EP366" t="str">
        <v>LOOR MIELES TANIA JACQUELINE</v>
      </c>
      <c r="EQ366" t="str">
        <v>LOOR SOLORZANO ROSA MARIA</v>
      </c>
      <c r="ER366" t="str">
        <v>LOPEZ DELGADO RONALD MAURICIO</v>
      </c>
      <c r="ES366" t="str">
        <v>MACIAS VALENCIA DAVID GABRIEL</v>
      </c>
      <c r="ET366" t="str">
        <v>MENDOZA ZAMORA WALTER MANUEL</v>
      </c>
      <c r="EU366" t="str">
        <v>MOLINA CEVALLOS MARIA LORENA</v>
      </c>
      <c r="EV366" t="str">
        <v>MURILLO DELGADO ISAAC GABRIEL</v>
      </c>
      <c r="EW366" t="str">
        <v>ANGULO MURILLO NAVIRA GISSELA</v>
      </c>
      <c r="EX366" t="str">
        <v>OCHOA SOLEDISPA NESTOR IVAN</v>
      </c>
      <c r="EY366" t="str">
        <v>PARRAGA FRANCO SILVANA MARIELA</v>
      </c>
      <c r="EZ366" t="str">
        <v>PINARGOTE VASQUEZ NANCY FABIOLA</v>
      </c>
      <c r="FA366" t="str">
        <v>REYES VELEZ PEDRO ENRIQUE</v>
      </c>
      <c r="FB366" t="str">
        <v>SAN ANDRES HORMAZA DALLAS CECILIA</v>
      </c>
      <c r="FC366" t="str">
        <v>SORNOZA ZAMORA JUAN CARLOS</v>
      </c>
      <c r="FD366" t="str">
        <v>TOMALA PINTO JESUS JACINTO</v>
      </c>
      <c r="FE366" t="str">
        <v>VALLE JARAMILLO SILVIA ARACELY</v>
      </c>
      <c r="FF366" t="str">
        <v>VELÁSQUEZ BRAVO IRMA KATHERINE</v>
      </c>
      <c r="FG366" t="str">
        <v>VELEZ MENDOZA LAYSY VALERIA</v>
      </c>
      <c r="FH366" t="str">
        <v>VINUEZA TELLO SHIRLEY ELIZABETH</v>
      </c>
      <c r="FI366" t="str">
        <v>ZAMBRANO ALCIVAR NILDA ISABEL</v>
      </c>
      <c r="FJ366" t="str">
        <v>ZAMBRANO LOOR RITA MAYDA</v>
      </c>
      <c r="FK366" t="str">
        <v>ZAMBRANO VERA MONICA JANETH</v>
      </c>
      <c r="FL366" t="str">
        <v>VERA DELGADO BRYAN ADRIÁN</v>
      </c>
      <c r="FM366" t="str">
        <v>MORAN GONZALES DAVID RENATO</v>
      </c>
      <c r="FN366">
        <v>0</v>
      </c>
    </row>
    <row r="367" spans="1:170" ht="20.25" customHeight="1">
      <c r="A367" s="4" t="str" cm="1">
        <f t="array" ref="A367">TRANSPOSE(_xlfn.UNIQUE(_xlfn._xlws.FILTER(MAE_ASIGNATURA[ID_NIVEL],MAE_ASIGNATURA[ID_CARRERA]=ASIGNACION!$C367,"No existe información")))</f>
        <v>No existe información</v>
      </c>
      <c r="S367" s="4" t="str" cm="1">
        <f t="array" ref="S367">TRANSPOSE(_xlfn.UNIQUE(_xlfn._xlws.FILTER(MAE_ASIGNATURA[NOM_ASIG],(MAE_ASIGNATURA[ID_NIVEL]=ASIGNACION!$D367)*(MAE_ASIGNATURA[ID_CARRERA]=ASIGNACION!$C367),"No existe información")))</f>
        <v>No existe información</v>
      </c>
      <c r="BD367" s="4" t="str" cm="1">
        <f t="array" ref="BD367">TRANSPOSE(_xlfn.UNIQUE(_xlfn._xlws.FILTER(DET_ASIG[DETALLADO],(DET_ASIG[ID_CARRERA]=ASIGNACION!$C367)*(DET_ASIG[NIVEL]=ASIGNACION!$D367)*(DET_ASIG[ID_ASIG]=ASIGNACION!$G367),"No existe información")))</f>
        <v>No existe información</v>
      </c>
      <c r="BQ367" s="5" t="str" cm="1">
        <f t="array" ref="BQ367">IFERROR(
    TRANSPOSE(
        _xlfn.UNIQUE(
            _xlfn._xlws.FILTER(MAESTRIA_DETALLADO[MAESTRIA],
                ISNUMBER(MATCH(MAESTRIA_DETALLADO[CAMPO_DETALLADO],
                BD367:BP367,0))
            )
        )
    ),IF(BD367="ACTIVIDAD","DOCENCIA",""))</f>
        <v/>
      </c>
      <c r="EA367" s="5" t="str" cm="1">
        <f t="array" ref="EA367:FN367">IF(
    ASIGNACION!I367="SI",
    IFERROR(
        TRANSPOSE(
            _xlfn.UNIQUE(
                _xlfn._xlws.FILTER(EDU_DOCENTE[NOMBRE_DOCENTE],
                    ISNUMBER(MATCH(EDU_DOCENTE[MAESTRIA],
                    BQ367:DY367,0))
                )
            )
        ),
        ""
    ),
    TRANSPOSE(
        _xlfn.UNIQUE(EDU_DOCENTE[NOMBRE_DOCENTE]
        )
    )
)</f>
        <v>ALCIVAR CEDEÑO BEATRIZ ISABEL</v>
      </c>
      <c r="EB367" t="str">
        <v>ALCIVAR VERA GEMA MICHELLE</v>
      </c>
      <c r="EC367" t="str">
        <v>ARAUZ CHAVEZ MARIO ROBERTO</v>
      </c>
      <c r="ED367" t="str">
        <v>BAILON LOURIDO WALTER ALBERTO</v>
      </c>
      <c r="EE367" t="str">
        <v>CALDERERO VILLAGOMEZ ERICK ANTONIO</v>
      </c>
      <c r="EF367" t="str">
        <v>CASTILLO GARCIA PAOLA GERMANIA</v>
      </c>
      <c r="EG367" t="str">
        <v>CEDEÑO CHOEZ PEDRO JAVIER</v>
      </c>
      <c r="EH367" t="str">
        <v>CEVALLOS HOPPE JUAN CARLOS</v>
      </c>
      <c r="EI367" t="str">
        <v>DELGADO CHAVEZ MARIA IRASEMA</v>
      </c>
      <c r="EJ367" t="str">
        <v>DUARTE VALENCIA CRISTHIAN DARIO</v>
      </c>
      <c r="EK367" t="str">
        <v>FORTTY BARBERAN DENNY ALEXANDER</v>
      </c>
      <c r="EL367" t="str">
        <v>GUTIERREZ ZAMBRANO CARMEN EBELINA</v>
      </c>
      <c r="EM367" t="str">
        <v>INTRIAGO MOLINA GEMA VALERIA</v>
      </c>
      <c r="EN367" t="str">
        <v>LINO VELEZ LEONEL LIVINGTON</v>
      </c>
      <c r="EO367" t="str">
        <v>LOOR ALCIVAR MARIA ILIANA</v>
      </c>
      <c r="EP367" t="str">
        <v>LOOR MIELES TANIA JACQUELINE</v>
      </c>
      <c r="EQ367" t="str">
        <v>LOOR SOLORZANO ROSA MARIA</v>
      </c>
      <c r="ER367" t="str">
        <v>LOPEZ DELGADO RONALD MAURICIO</v>
      </c>
      <c r="ES367" t="str">
        <v>MACIAS VALENCIA DAVID GABRIEL</v>
      </c>
      <c r="ET367" t="str">
        <v>MENDOZA ZAMORA WALTER MANUEL</v>
      </c>
      <c r="EU367" t="str">
        <v>MOLINA CEVALLOS MARIA LORENA</v>
      </c>
      <c r="EV367" t="str">
        <v>MURILLO DELGADO ISAAC GABRIEL</v>
      </c>
      <c r="EW367" t="str">
        <v>ANGULO MURILLO NAVIRA GISSELA</v>
      </c>
      <c r="EX367" t="str">
        <v>OCHOA SOLEDISPA NESTOR IVAN</v>
      </c>
      <c r="EY367" t="str">
        <v>PARRAGA FRANCO SILVANA MARIELA</v>
      </c>
      <c r="EZ367" t="str">
        <v>PINARGOTE VASQUEZ NANCY FABIOLA</v>
      </c>
      <c r="FA367" t="str">
        <v>REYES VELEZ PEDRO ENRIQUE</v>
      </c>
      <c r="FB367" t="str">
        <v>SAN ANDRES HORMAZA DALLAS CECILIA</v>
      </c>
      <c r="FC367" t="str">
        <v>SORNOZA ZAMORA JUAN CARLOS</v>
      </c>
      <c r="FD367" t="str">
        <v>TOMALA PINTO JESUS JACINTO</v>
      </c>
      <c r="FE367" t="str">
        <v>VALLE JARAMILLO SILVIA ARACELY</v>
      </c>
      <c r="FF367" t="str">
        <v>VELÁSQUEZ BRAVO IRMA KATHERINE</v>
      </c>
      <c r="FG367" t="str">
        <v>VELEZ MENDOZA LAYSY VALERIA</v>
      </c>
      <c r="FH367" t="str">
        <v>VINUEZA TELLO SHIRLEY ELIZABETH</v>
      </c>
      <c r="FI367" t="str">
        <v>ZAMBRANO ALCIVAR NILDA ISABEL</v>
      </c>
      <c r="FJ367" t="str">
        <v>ZAMBRANO LOOR RITA MAYDA</v>
      </c>
      <c r="FK367" t="str">
        <v>ZAMBRANO VERA MONICA JANETH</v>
      </c>
      <c r="FL367" t="str">
        <v>VERA DELGADO BRYAN ADRIÁN</v>
      </c>
      <c r="FM367" t="str">
        <v>MORAN GONZALES DAVID RENATO</v>
      </c>
      <c r="FN367">
        <v>0</v>
      </c>
    </row>
    <row r="368" spans="1:170" ht="20.25" customHeight="1">
      <c r="A368" s="4" t="str" cm="1">
        <f t="array" ref="A368">TRANSPOSE(_xlfn.UNIQUE(_xlfn._xlws.FILTER(MAE_ASIGNATURA[ID_NIVEL],MAE_ASIGNATURA[ID_CARRERA]=ASIGNACION!$C368,"No existe información")))</f>
        <v>No existe información</v>
      </c>
      <c r="S368" s="4" t="str" cm="1">
        <f t="array" ref="S368">TRANSPOSE(_xlfn.UNIQUE(_xlfn._xlws.FILTER(MAE_ASIGNATURA[NOM_ASIG],(MAE_ASIGNATURA[ID_NIVEL]=ASIGNACION!$D368)*(MAE_ASIGNATURA[ID_CARRERA]=ASIGNACION!$C368),"No existe información")))</f>
        <v>No existe información</v>
      </c>
      <c r="BD368" s="4" t="str" cm="1">
        <f t="array" ref="BD368">TRANSPOSE(_xlfn.UNIQUE(_xlfn._xlws.FILTER(DET_ASIG[DETALLADO],(DET_ASIG[ID_CARRERA]=ASIGNACION!$C368)*(DET_ASIG[NIVEL]=ASIGNACION!$D368)*(DET_ASIG[ID_ASIG]=ASIGNACION!$G368),"No existe información")))</f>
        <v>No existe información</v>
      </c>
      <c r="BQ368" s="5" t="str" cm="1">
        <f t="array" ref="BQ368">IFERROR(
    TRANSPOSE(
        _xlfn.UNIQUE(
            _xlfn._xlws.FILTER(MAESTRIA_DETALLADO[MAESTRIA],
                ISNUMBER(MATCH(MAESTRIA_DETALLADO[CAMPO_DETALLADO],
                BD368:BP368,0))
            )
        )
    ),IF(BD368="ACTIVIDAD","DOCENCIA",""))</f>
        <v/>
      </c>
      <c r="EA368" s="5" t="str" cm="1">
        <f t="array" ref="EA368:FN368">IF(
    ASIGNACION!I368="SI",
    IFERROR(
        TRANSPOSE(
            _xlfn.UNIQUE(
                _xlfn._xlws.FILTER(EDU_DOCENTE[NOMBRE_DOCENTE],
                    ISNUMBER(MATCH(EDU_DOCENTE[MAESTRIA],
                    BQ368:DY368,0))
                )
            )
        ),
        ""
    ),
    TRANSPOSE(
        _xlfn.UNIQUE(EDU_DOCENTE[NOMBRE_DOCENTE]
        )
    )
)</f>
        <v>ALCIVAR CEDEÑO BEATRIZ ISABEL</v>
      </c>
      <c r="EB368" t="str">
        <v>ALCIVAR VERA GEMA MICHELLE</v>
      </c>
      <c r="EC368" t="str">
        <v>ARAUZ CHAVEZ MARIO ROBERTO</v>
      </c>
      <c r="ED368" t="str">
        <v>BAILON LOURIDO WALTER ALBERTO</v>
      </c>
      <c r="EE368" t="str">
        <v>CALDERERO VILLAGOMEZ ERICK ANTONIO</v>
      </c>
      <c r="EF368" t="str">
        <v>CASTILLO GARCIA PAOLA GERMANIA</v>
      </c>
      <c r="EG368" t="str">
        <v>CEDEÑO CHOEZ PEDRO JAVIER</v>
      </c>
      <c r="EH368" t="str">
        <v>CEVALLOS HOPPE JUAN CARLOS</v>
      </c>
      <c r="EI368" t="str">
        <v>DELGADO CHAVEZ MARIA IRASEMA</v>
      </c>
      <c r="EJ368" t="str">
        <v>DUARTE VALENCIA CRISTHIAN DARIO</v>
      </c>
      <c r="EK368" t="str">
        <v>FORTTY BARBERAN DENNY ALEXANDER</v>
      </c>
      <c r="EL368" t="str">
        <v>GUTIERREZ ZAMBRANO CARMEN EBELINA</v>
      </c>
      <c r="EM368" t="str">
        <v>INTRIAGO MOLINA GEMA VALERIA</v>
      </c>
      <c r="EN368" t="str">
        <v>LINO VELEZ LEONEL LIVINGTON</v>
      </c>
      <c r="EO368" t="str">
        <v>LOOR ALCIVAR MARIA ILIANA</v>
      </c>
      <c r="EP368" t="str">
        <v>LOOR MIELES TANIA JACQUELINE</v>
      </c>
      <c r="EQ368" t="str">
        <v>LOOR SOLORZANO ROSA MARIA</v>
      </c>
      <c r="ER368" t="str">
        <v>LOPEZ DELGADO RONALD MAURICIO</v>
      </c>
      <c r="ES368" t="str">
        <v>MACIAS VALENCIA DAVID GABRIEL</v>
      </c>
      <c r="ET368" t="str">
        <v>MENDOZA ZAMORA WALTER MANUEL</v>
      </c>
      <c r="EU368" t="str">
        <v>MOLINA CEVALLOS MARIA LORENA</v>
      </c>
      <c r="EV368" t="str">
        <v>MURILLO DELGADO ISAAC GABRIEL</v>
      </c>
      <c r="EW368" t="str">
        <v>ANGULO MURILLO NAVIRA GISSELA</v>
      </c>
      <c r="EX368" t="str">
        <v>OCHOA SOLEDISPA NESTOR IVAN</v>
      </c>
      <c r="EY368" t="str">
        <v>PARRAGA FRANCO SILVANA MARIELA</v>
      </c>
      <c r="EZ368" t="str">
        <v>PINARGOTE VASQUEZ NANCY FABIOLA</v>
      </c>
      <c r="FA368" t="str">
        <v>REYES VELEZ PEDRO ENRIQUE</v>
      </c>
      <c r="FB368" t="str">
        <v>SAN ANDRES HORMAZA DALLAS CECILIA</v>
      </c>
      <c r="FC368" t="str">
        <v>SORNOZA ZAMORA JUAN CARLOS</v>
      </c>
      <c r="FD368" t="str">
        <v>TOMALA PINTO JESUS JACINTO</v>
      </c>
      <c r="FE368" t="str">
        <v>VALLE JARAMILLO SILVIA ARACELY</v>
      </c>
      <c r="FF368" t="str">
        <v>VELÁSQUEZ BRAVO IRMA KATHERINE</v>
      </c>
      <c r="FG368" t="str">
        <v>VELEZ MENDOZA LAYSY VALERIA</v>
      </c>
      <c r="FH368" t="str">
        <v>VINUEZA TELLO SHIRLEY ELIZABETH</v>
      </c>
      <c r="FI368" t="str">
        <v>ZAMBRANO ALCIVAR NILDA ISABEL</v>
      </c>
      <c r="FJ368" t="str">
        <v>ZAMBRANO LOOR RITA MAYDA</v>
      </c>
      <c r="FK368" t="str">
        <v>ZAMBRANO VERA MONICA JANETH</v>
      </c>
      <c r="FL368" t="str">
        <v>VERA DELGADO BRYAN ADRIÁN</v>
      </c>
      <c r="FM368" t="str">
        <v>MORAN GONZALES DAVID RENATO</v>
      </c>
      <c r="FN368">
        <v>0</v>
      </c>
    </row>
    <row r="369" spans="1:170" ht="20.25" customHeight="1">
      <c r="A369" s="4" t="str" cm="1">
        <f t="array" ref="A369">TRANSPOSE(_xlfn.UNIQUE(_xlfn._xlws.FILTER(MAE_ASIGNATURA[ID_NIVEL],MAE_ASIGNATURA[ID_CARRERA]=ASIGNACION!$C369,"No existe información")))</f>
        <v>No existe información</v>
      </c>
      <c r="S369" s="4" t="str" cm="1">
        <f t="array" ref="S369">TRANSPOSE(_xlfn.UNIQUE(_xlfn._xlws.FILTER(MAE_ASIGNATURA[NOM_ASIG],(MAE_ASIGNATURA[ID_NIVEL]=ASIGNACION!$D369)*(MAE_ASIGNATURA[ID_CARRERA]=ASIGNACION!$C369),"No existe información")))</f>
        <v>No existe información</v>
      </c>
      <c r="BD369" s="4" t="str" cm="1">
        <f t="array" ref="BD369">TRANSPOSE(_xlfn.UNIQUE(_xlfn._xlws.FILTER(DET_ASIG[DETALLADO],(DET_ASIG[ID_CARRERA]=ASIGNACION!$C369)*(DET_ASIG[NIVEL]=ASIGNACION!$D369)*(DET_ASIG[ID_ASIG]=ASIGNACION!$G369),"No existe información")))</f>
        <v>No existe información</v>
      </c>
      <c r="BQ369" s="5" t="str" cm="1">
        <f t="array" ref="BQ369">IFERROR(
    TRANSPOSE(
        _xlfn.UNIQUE(
            _xlfn._xlws.FILTER(MAESTRIA_DETALLADO[MAESTRIA],
                ISNUMBER(MATCH(MAESTRIA_DETALLADO[CAMPO_DETALLADO],
                BD369:BP369,0))
            )
        )
    ),IF(BD369="ACTIVIDAD","DOCENCIA",""))</f>
        <v/>
      </c>
      <c r="EA369" s="5" t="str" cm="1">
        <f t="array" ref="EA369:FN369">IF(
    ASIGNACION!I369="SI",
    IFERROR(
        TRANSPOSE(
            _xlfn.UNIQUE(
                _xlfn._xlws.FILTER(EDU_DOCENTE[NOMBRE_DOCENTE],
                    ISNUMBER(MATCH(EDU_DOCENTE[MAESTRIA],
                    BQ369:DY369,0))
                )
            )
        ),
        ""
    ),
    TRANSPOSE(
        _xlfn.UNIQUE(EDU_DOCENTE[NOMBRE_DOCENTE]
        )
    )
)</f>
        <v>ALCIVAR CEDEÑO BEATRIZ ISABEL</v>
      </c>
      <c r="EB369" t="str">
        <v>ALCIVAR VERA GEMA MICHELLE</v>
      </c>
      <c r="EC369" t="str">
        <v>ARAUZ CHAVEZ MARIO ROBERTO</v>
      </c>
      <c r="ED369" t="str">
        <v>BAILON LOURIDO WALTER ALBERTO</v>
      </c>
      <c r="EE369" t="str">
        <v>CALDERERO VILLAGOMEZ ERICK ANTONIO</v>
      </c>
      <c r="EF369" t="str">
        <v>CASTILLO GARCIA PAOLA GERMANIA</v>
      </c>
      <c r="EG369" t="str">
        <v>CEDEÑO CHOEZ PEDRO JAVIER</v>
      </c>
      <c r="EH369" t="str">
        <v>CEVALLOS HOPPE JUAN CARLOS</v>
      </c>
      <c r="EI369" t="str">
        <v>DELGADO CHAVEZ MARIA IRASEMA</v>
      </c>
      <c r="EJ369" t="str">
        <v>DUARTE VALENCIA CRISTHIAN DARIO</v>
      </c>
      <c r="EK369" t="str">
        <v>FORTTY BARBERAN DENNY ALEXANDER</v>
      </c>
      <c r="EL369" t="str">
        <v>GUTIERREZ ZAMBRANO CARMEN EBELINA</v>
      </c>
      <c r="EM369" t="str">
        <v>INTRIAGO MOLINA GEMA VALERIA</v>
      </c>
      <c r="EN369" t="str">
        <v>LINO VELEZ LEONEL LIVINGTON</v>
      </c>
      <c r="EO369" t="str">
        <v>LOOR ALCIVAR MARIA ILIANA</v>
      </c>
      <c r="EP369" t="str">
        <v>LOOR MIELES TANIA JACQUELINE</v>
      </c>
      <c r="EQ369" t="str">
        <v>LOOR SOLORZANO ROSA MARIA</v>
      </c>
      <c r="ER369" t="str">
        <v>LOPEZ DELGADO RONALD MAURICIO</v>
      </c>
      <c r="ES369" t="str">
        <v>MACIAS VALENCIA DAVID GABRIEL</v>
      </c>
      <c r="ET369" t="str">
        <v>MENDOZA ZAMORA WALTER MANUEL</v>
      </c>
      <c r="EU369" t="str">
        <v>MOLINA CEVALLOS MARIA LORENA</v>
      </c>
      <c r="EV369" t="str">
        <v>MURILLO DELGADO ISAAC GABRIEL</v>
      </c>
      <c r="EW369" t="str">
        <v>ANGULO MURILLO NAVIRA GISSELA</v>
      </c>
      <c r="EX369" t="str">
        <v>OCHOA SOLEDISPA NESTOR IVAN</v>
      </c>
      <c r="EY369" t="str">
        <v>PARRAGA FRANCO SILVANA MARIELA</v>
      </c>
      <c r="EZ369" t="str">
        <v>PINARGOTE VASQUEZ NANCY FABIOLA</v>
      </c>
      <c r="FA369" t="str">
        <v>REYES VELEZ PEDRO ENRIQUE</v>
      </c>
      <c r="FB369" t="str">
        <v>SAN ANDRES HORMAZA DALLAS CECILIA</v>
      </c>
      <c r="FC369" t="str">
        <v>SORNOZA ZAMORA JUAN CARLOS</v>
      </c>
      <c r="FD369" t="str">
        <v>TOMALA PINTO JESUS JACINTO</v>
      </c>
      <c r="FE369" t="str">
        <v>VALLE JARAMILLO SILVIA ARACELY</v>
      </c>
      <c r="FF369" t="str">
        <v>VELÁSQUEZ BRAVO IRMA KATHERINE</v>
      </c>
      <c r="FG369" t="str">
        <v>VELEZ MENDOZA LAYSY VALERIA</v>
      </c>
      <c r="FH369" t="str">
        <v>VINUEZA TELLO SHIRLEY ELIZABETH</v>
      </c>
      <c r="FI369" t="str">
        <v>ZAMBRANO ALCIVAR NILDA ISABEL</v>
      </c>
      <c r="FJ369" t="str">
        <v>ZAMBRANO LOOR RITA MAYDA</v>
      </c>
      <c r="FK369" t="str">
        <v>ZAMBRANO VERA MONICA JANETH</v>
      </c>
      <c r="FL369" t="str">
        <v>VERA DELGADO BRYAN ADRIÁN</v>
      </c>
      <c r="FM369" t="str">
        <v>MORAN GONZALES DAVID RENATO</v>
      </c>
      <c r="FN369">
        <v>0</v>
      </c>
    </row>
    <row r="370" spans="1:170" ht="20.25" customHeight="1">
      <c r="A370" s="4" t="str" cm="1">
        <f t="array" ref="A370">TRANSPOSE(_xlfn.UNIQUE(_xlfn._xlws.FILTER(MAE_ASIGNATURA[ID_NIVEL],MAE_ASIGNATURA[ID_CARRERA]=ASIGNACION!$C370,"No existe información")))</f>
        <v>No existe información</v>
      </c>
      <c r="S370" s="4" t="str" cm="1">
        <f t="array" ref="S370">TRANSPOSE(_xlfn.UNIQUE(_xlfn._xlws.FILTER(MAE_ASIGNATURA[NOM_ASIG],(MAE_ASIGNATURA[ID_NIVEL]=ASIGNACION!$D370)*(MAE_ASIGNATURA[ID_CARRERA]=ASIGNACION!$C370),"No existe información")))</f>
        <v>No existe información</v>
      </c>
      <c r="BD370" s="4" t="str" cm="1">
        <f t="array" ref="BD370">TRANSPOSE(_xlfn.UNIQUE(_xlfn._xlws.FILTER(DET_ASIG[DETALLADO],(DET_ASIG[ID_CARRERA]=ASIGNACION!$C370)*(DET_ASIG[NIVEL]=ASIGNACION!$D370)*(DET_ASIG[ID_ASIG]=ASIGNACION!$G370),"No existe información")))</f>
        <v>No existe información</v>
      </c>
      <c r="BQ370" s="5" t="str" cm="1">
        <f t="array" ref="BQ370">IFERROR(
    TRANSPOSE(
        _xlfn.UNIQUE(
            _xlfn._xlws.FILTER(MAESTRIA_DETALLADO[MAESTRIA],
                ISNUMBER(MATCH(MAESTRIA_DETALLADO[CAMPO_DETALLADO],
                BD370:BP370,0))
            )
        )
    ),IF(BD370="ACTIVIDAD","DOCENCIA",""))</f>
        <v/>
      </c>
      <c r="EA370" s="5" t="str" cm="1">
        <f t="array" ref="EA370:FN370">IF(
    ASIGNACION!I370="SI",
    IFERROR(
        TRANSPOSE(
            _xlfn.UNIQUE(
                _xlfn._xlws.FILTER(EDU_DOCENTE[NOMBRE_DOCENTE],
                    ISNUMBER(MATCH(EDU_DOCENTE[MAESTRIA],
                    BQ370:DY370,0))
                )
            )
        ),
        ""
    ),
    TRANSPOSE(
        _xlfn.UNIQUE(EDU_DOCENTE[NOMBRE_DOCENTE]
        )
    )
)</f>
        <v>ALCIVAR CEDEÑO BEATRIZ ISABEL</v>
      </c>
      <c r="EB370" t="str">
        <v>ALCIVAR VERA GEMA MICHELLE</v>
      </c>
      <c r="EC370" t="str">
        <v>ARAUZ CHAVEZ MARIO ROBERTO</v>
      </c>
      <c r="ED370" t="str">
        <v>BAILON LOURIDO WALTER ALBERTO</v>
      </c>
      <c r="EE370" t="str">
        <v>CALDERERO VILLAGOMEZ ERICK ANTONIO</v>
      </c>
      <c r="EF370" t="str">
        <v>CASTILLO GARCIA PAOLA GERMANIA</v>
      </c>
      <c r="EG370" t="str">
        <v>CEDEÑO CHOEZ PEDRO JAVIER</v>
      </c>
      <c r="EH370" t="str">
        <v>CEVALLOS HOPPE JUAN CARLOS</v>
      </c>
      <c r="EI370" t="str">
        <v>DELGADO CHAVEZ MARIA IRASEMA</v>
      </c>
      <c r="EJ370" t="str">
        <v>DUARTE VALENCIA CRISTHIAN DARIO</v>
      </c>
      <c r="EK370" t="str">
        <v>FORTTY BARBERAN DENNY ALEXANDER</v>
      </c>
      <c r="EL370" t="str">
        <v>GUTIERREZ ZAMBRANO CARMEN EBELINA</v>
      </c>
      <c r="EM370" t="str">
        <v>INTRIAGO MOLINA GEMA VALERIA</v>
      </c>
      <c r="EN370" t="str">
        <v>LINO VELEZ LEONEL LIVINGTON</v>
      </c>
      <c r="EO370" t="str">
        <v>LOOR ALCIVAR MARIA ILIANA</v>
      </c>
      <c r="EP370" t="str">
        <v>LOOR MIELES TANIA JACQUELINE</v>
      </c>
      <c r="EQ370" t="str">
        <v>LOOR SOLORZANO ROSA MARIA</v>
      </c>
      <c r="ER370" t="str">
        <v>LOPEZ DELGADO RONALD MAURICIO</v>
      </c>
      <c r="ES370" t="str">
        <v>MACIAS VALENCIA DAVID GABRIEL</v>
      </c>
      <c r="ET370" t="str">
        <v>MENDOZA ZAMORA WALTER MANUEL</v>
      </c>
      <c r="EU370" t="str">
        <v>MOLINA CEVALLOS MARIA LORENA</v>
      </c>
      <c r="EV370" t="str">
        <v>MURILLO DELGADO ISAAC GABRIEL</v>
      </c>
      <c r="EW370" t="str">
        <v>ANGULO MURILLO NAVIRA GISSELA</v>
      </c>
      <c r="EX370" t="str">
        <v>OCHOA SOLEDISPA NESTOR IVAN</v>
      </c>
      <c r="EY370" t="str">
        <v>PARRAGA FRANCO SILVANA MARIELA</v>
      </c>
      <c r="EZ370" t="str">
        <v>PINARGOTE VASQUEZ NANCY FABIOLA</v>
      </c>
      <c r="FA370" t="str">
        <v>REYES VELEZ PEDRO ENRIQUE</v>
      </c>
      <c r="FB370" t="str">
        <v>SAN ANDRES HORMAZA DALLAS CECILIA</v>
      </c>
      <c r="FC370" t="str">
        <v>SORNOZA ZAMORA JUAN CARLOS</v>
      </c>
      <c r="FD370" t="str">
        <v>TOMALA PINTO JESUS JACINTO</v>
      </c>
      <c r="FE370" t="str">
        <v>VALLE JARAMILLO SILVIA ARACELY</v>
      </c>
      <c r="FF370" t="str">
        <v>VELÁSQUEZ BRAVO IRMA KATHERINE</v>
      </c>
      <c r="FG370" t="str">
        <v>VELEZ MENDOZA LAYSY VALERIA</v>
      </c>
      <c r="FH370" t="str">
        <v>VINUEZA TELLO SHIRLEY ELIZABETH</v>
      </c>
      <c r="FI370" t="str">
        <v>ZAMBRANO ALCIVAR NILDA ISABEL</v>
      </c>
      <c r="FJ370" t="str">
        <v>ZAMBRANO LOOR RITA MAYDA</v>
      </c>
      <c r="FK370" t="str">
        <v>ZAMBRANO VERA MONICA JANETH</v>
      </c>
      <c r="FL370" t="str">
        <v>VERA DELGADO BRYAN ADRIÁN</v>
      </c>
      <c r="FM370" t="str">
        <v>MORAN GONZALES DAVID RENATO</v>
      </c>
      <c r="FN370">
        <v>0</v>
      </c>
    </row>
    <row r="371" spans="1:170" ht="20.25" customHeight="1">
      <c r="A371" s="4" t="str" cm="1">
        <f t="array" ref="A371">TRANSPOSE(_xlfn.UNIQUE(_xlfn._xlws.FILTER(MAE_ASIGNATURA[ID_NIVEL],MAE_ASIGNATURA[ID_CARRERA]=ASIGNACION!$C371,"No existe información")))</f>
        <v>No existe información</v>
      </c>
      <c r="S371" s="4" t="str" cm="1">
        <f t="array" ref="S371">TRANSPOSE(_xlfn.UNIQUE(_xlfn._xlws.FILTER(MAE_ASIGNATURA[NOM_ASIG],(MAE_ASIGNATURA[ID_NIVEL]=ASIGNACION!$D371)*(MAE_ASIGNATURA[ID_CARRERA]=ASIGNACION!$C371),"No existe información")))</f>
        <v>No existe información</v>
      </c>
      <c r="BD371" s="4" t="str" cm="1">
        <f t="array" ref="BD371">TRANSPOSE(_xlfn.UNIQUE(_xlfn._xlws.FILTER(DET_ASIG[DETALLADO],(DET_ASIG[ID_CARRERA]=ASIGNACION!$C371)*(DET_ASIG[NIVEL]=ASIGNACION!$D371)*(DET_ASIG[ID_ASIG]=ASIGNACION!$G371),"No existe información")))</f>
        <v>No existe información</v>
      </c>
      <c r="BQ371" s="5" t="str" cm="1">
        <f t="array" ref="BQ371">IFERROR(
    TRANSPOSE(
        _xlfn.UNIQUE(
            _xlfn._xlws.FILTER(MAESTRIA_DETALLADO[MAESTRIA],
                ISNUMBER(MATCH(MAESTRIA_DETALLADO[CAMPO_DETALLADO],
                BD371:BP371,0))
            )
        )
    ),IF(BD371="ACTIVIDAD","DOCENCIA",""))</f>
        <v/>
      </c>
      <c r="EA371" s="5" t="str" cm="1">
        <f t="array" ref="EA371:FN371">IF(
    ASIGNACION!I371="SI",
    IFERROR(
        TRANSPOSE(
            _xlfn.UNIQUE(
                _xlfn._xlws.FILTER(EDU_DOCENTE[NOMBRE_DOCENTE],
                    ISNUMBER(MATCH(EDU_DOCENTE[MAESTRIA],
                    BQ371:DY371,0))
                )
            )
        ),
        ""
    ),
    TRANSPOSE(
        _xlfn.UNIQUE(EDU_DOCENTE[NOMBRE_DOCENTE]
        )
    )
)</f>
        <v>ALCIVAR CEDEÑO BEATRIZ ISABEL</v>
      </c>
      <c r="EB371" t="str">
        <v>ALCIVAR VERA GEMA MICHELLE</v>
      </c>
      <c r="EC371" t="str">
        <v>ARAUZ CHAVEZ MARIO ROBERTO</v>
      </c>
      <c r="ED371" t="str">
        <v>BAILON LOURIDO WALTER ALBERTO</v>
      </c>
      <c r="EE371" t="str">
        <v>CALDERERO VILLAGOMEZ ERICK ANTONIO</v>
      </c>
      <c r="EF371" t="str">
        <v>CASTILLO GARCIA PAOLA GERMANIA</v>
      </c>
      <c r="EG371" t="str">
        <v>CEDEÑO CHOEZ PEDRO JAVIER</v>
      </c>
      <c r="EH371" t="str">
        <v>CEVALLOS HOPPE JUAN CARLOS</v>
      </c>
      <c r="EI371" t="str">
        <v>DELGADO CHAVEZ MARIA IRASEMA</v>
      </c>
      <c r="EJ371" t="str">
        <v>DUARTE VALENCIA CRISTHIAN DARIO</v>
      </c>
      <c r="EK371" t="str">
        <v>FORTTY BARBERAN DENNY ALEXANDER</v>
      </c>
      <c r="EL371" t="str">
        <v>GUTIERREZ ZAMBRANO CARMEN EBELINA</v>
      </c>
      <c r="EM371" t="str">
        <v>INTRIAGO MOLINA GEMA VALERIA</v>
      </c>
      <c r="EN371" t="str">
        <v>LINO VELEZ LEONEL LIVINGTON</v>
      </c>
      <c r="EO371" t="str">
        <v>LOOR ALCIVAR MARIA ILIANA</v>
      </c>
      <c r="EP371" t="str">
        <v>LOOR MIELES TANIA JACQUELINE</v>
      </c>
      <c r="EQ371" t="str">
        <v>LOOR SOLORZANO ROSA MARIA</v>
      </c>
      <c r="ER371" t="str">
        <v>LOPEZ DELGADO RONALD MAURICIO</v>
      </c>
      <c r="ES371" t="str">
        <v>MACIAS VALENCIA DAVID GABRIEL</v>
      </c>
      <c r="ET371" t="str">
        <v>MENDOZA ZAMORA WALTER MANUEL</v>
      </c>
      <c r="EU371" t="str">
        <v>MOLINA CEVALLOS MARIA LORENA</v>
      </c>
      <c r="EV371" t="str">
        <v>MURILLO DELGADO ISAAC GABRIEL</v>
      </c>
      <c r="EW371" t="str">
        <v>ANGULO MURILLO NAVIRA GISSELA</v>
      </c>
      <c r="EX371" t="str">
        <v>OCHOA SOLEDISPA NESTOR IVAN</v>
      </c>
      <c r="EY371" t="str">
        <v>PARRAGA FRANCO SILVANA MARIELA</v>
      </c>
      <c r="EZ371" t="str">
        <v>PINARGOTE VASQUEZ NANCY FABIOLA</v>
      </c>
      <c r="FA371" t="str">
        <v>REYES VELEZ PEDRO ENRIQUE</v>
      </c>
      <c r="FB371" t="str">
        <v>SAN ANDRES HORMAZA DALLAS CECILIA</v>
      </c>
      <c r="FC371" t="str">
        <v>SORNOZA ZAMORA JUAN CARLOS</v>
      </c>
      <c r="FD371" t="str">
        <v>TOMALA PINTO JESUS JACINTO</v>
      </c>
      <c r="FE371" t="str">
        <v>VALLE JARAMILLO SILVIA ARACELY</v>
      </c>
      <c r="FF371" t="str">
        <v>VELÁSQUEZ BRAVO IRMA KATHERINE</v>
      </c>
      <c r="FG371" t="str">
        <v>VELEZ MENDOZA LAYSY VALERIA</v>
      </c>
      <c r="FH371" t="str">
        <v>VINUEZA TELLO SHIRLEY ELIZABETH</v>
      </c>
      <c r="FI371" t="str">
        <v>ZAMBRANO ALCIVAR NILDA ISABEL</v>
      </c>
      <c r="FJ371" t="str">
        <v>ZAMBRANO LOOR RITA MAYDA</v>
      </c>
      <c r="FK371" t="str">
        <v>ZAMBRANO VERA MONICA JANETH</v>
      </c>
      <c r="FL371" t="str">
        <v>VERA DELGADO BRYAN ADRIÁN</v>
      </c>
      <c r="FM371" t="str">
        <v>MORAN GONZALES DAVID RENATO</v>
      </c>
      <c r="FN371">
        <v>0</v>
      </c>
    </row>
    <row r="372" spans="1:170" ht="20.25" customHeight="1">
      <c r="A372" s="4" t="str" cm="1">
        <f t="array" ref="A372">TRANSPOSE(_xlfn.UNIQUE(_xlfn._xlws.FILTER(MAE_ASIGNATURA[ID_NIVEL],MAE_ASIGNATURA[ID_CARRERA]=ASIGNACION!$C372,"No existe información")))</f>
        <v>No existe información</v>
      </c>
      <c r="S372" s="4" t="str" cm="1">
        <f t="array" ref="S372">TRANSPOSE(_xlfn.UNIQUE(_xlfn._xlws.FILTER(MAE_ASIGNATURA[NOM_ASIG],(MAE_ASIGNATURA[ID_NIVEL]=ASIGNACION!$D372)*(MAE_ASIGNATURA[ID_CARRERA]=ASIGNACION!$C372),"No existe información")))</f>
        <v>No existe información</v>
      </c>
      <c r="BD372" s="4" t="str" cm="1">
        <f t="array" ref="BD372">TRANSPOSE(_xlfn.UNIQUE(_xlfn._xlws.FILTER(DET_ASIG[DETALLADO],(DET_ASIG[ID_CARRERA]=ASIGNACION!$C372)*(DET_ASIG[NIVEL]=ASIGNACION!$D372)*(DET_ASIG[ID_ASIG]=ASIGNACION!$G372),"No existe información")))</f>
        <v>No existe información</v>
      </c>
      <c r="BQ372" s="5" t="str" cm="1">
        <f t="array" ref="BQ372">IFERROR(
    TRANSPOSE(
        _xlfn.UNIQUE(
            _xlfn._xlws.FILTER(MAESTRIA_DETALLADO[MAESTRIA],
                ISNUMBER(MATCH(MAESTRIA_DETALLADO[CAMPO_DETALLADO],
                BD372:BP372,0))
            )
        )
    ),IF(BD372="ACTIVIDAD","DOCENCIA",""))</f>
        <v/>
      </c>
      <c r="EA372" s="5" t="str" cm="1">
        <f t="array" ref="EA372:FN372">IF(
    ASIGNACION!I372="SI",
    IFERROR(
        TRANSPOSE(
            _xlfn.UNIQUE(
                _xlfn._xlws.FILTER(EDU_DOCENTE[NOMBRE_DOCENTE],
                    ISNUMBER(MATCH(EDU_DOCENTE[MAESTRIA],
                    BQ372:DY372,0))
                )
            )
        ),
        ""
    ),
    TRANSPOSE(
        _xlfn.UNIQUE(EDU_DOCENTE[NOMBRE_DOCENTE]
        )
    )
)</f>
        <v>ALCIVAR CEDEÑO BEATRIZ ISABEL</v>
      </c>
      <c r="EB372" t="str">
        <v>ALCIVAR VERA GEMA MICHELLE</v>
      </c>
      <c r="EC372" t="str">
        <v>ARAUZ CHAVEZ MARIO ROBERTO</v>
      </c>
      <c r="ED372" t="str">
        <v>BAILON LOURIDO WALTER ALBERTO</v>
      </c>
      <c r="EE372" t="str">
        <v>CALDERERO VILLAGOMEZ ERICK ANTONIO</v>
      </c>
      <c r="EF372" t="str">
        <v>CASTILLO GARCIA PAOLA GERMANIA</v>
      </c>
      <c r="EG372" t="str">
        <v>CEDEÑO CHOEZ PEDRO JAVIER</v>
      </c>
      <c r="EH372" t="str">
        <v>CEVALLOS HOPPE JUAN CARLOS</v>
      </c>
      <c r="EI372" t="str">
        <v>DELGADO CHAVEZ MARIA IRASEMA</v>
      </c>
      <c r="EJ372" t="str">
        <v>DUARTE VALENCIA CRISTHIAN DARIO</v>
      </c>
      <c r="EK372" t="str">
        <v>FORTTY BARBERAN DENNY ALEXANDER</v>
      </c>
      <c r="EL372" t="str">
        <v>GUTIERREZ ZAMBRANO CARMEN EBELINA</v>
      </c>
      <c r="EM372" t="str">
        <v>INTRIAGO MOLINA GEMA VALERIA</v>
      </c>
      <c r="EN372" t="str">
        <v>LINO VELEZ LEONEL LIVINGTON</v>
      </c>
      <c r="EO372" t="str">
        <v>LOOR ALCIVAR MARIA ILIANA</v>
      </c>
      <c r="EP372" t="str">
        <v>LOOR MIELES TANIA JACQUELINE</v>
      </c>
      <c r="EQ372" t="str">
        <v>LOOR SOLORZANO ROSA MARIA</v>
      </c>
      <c r="ER372" t="str">
        <v>LOPEZ DELGADO RONALD MAURICIO</v>
      </c>
      <c r="ES372" t="str">
        <v>MACIAS VALENCIA DAVID GABRIEL</v>
      </c>
      <c r="ET372" t="str">
        <v>MENDOZA ZAMORA WALTER MANUEL</v>
      </c>
      <c r="EU372" t="str">
        <v>MOLINA CEVALLOS MARIA LORENA</v>
      </c>
      <c r="EV372" t="str">
        <v>MURILLO DELGADO ISAAC GABRIEL</v>
      </c>
      <c r="EW372" t="str">
        <v>ANGULO MURILLO NAVIRA GISSELA</v>
      </c>
      <c r="EX372" t="str">
        <v>OCHOA SOLEDISPA NESTOR IVAN</v>
      </c>
      <c r="EY372" t="str">
        <v>PARRAGA FRANCO SILVANA MARIELA</v>
      </c>
      <c r="EZ372" t="str">
        <v>PINARGOTE VASQUEZ NANCY FABIOLA</v>
      </c>
      <c r="FA372" t="str">
        <v>REYES VELEZ PEDRO ENRIQUE</v>
      </c>
      <c r="FB372" t="str">
        <v>SAN ANDRES HORMAZA DALLAS CECILIA</v>
      </c>
      <c r="FC372" t="str">
        <v>SORNOZA ZAMORA JUAN CARLOS</v>
      </c>
      <c r="FD372" t="str">
        <v>TOMALA PINTO JESUS JACINTO</v>
      </c>
      <c r="FE372" t="str">
        <v>VALLE JARAMILLO SILVIA ARACELY</v>
      </c>
      <c r="FF372" t="str">
        <v>VELÁSQUEZ BRAVO IRMA KATHERINE</v>
      </c>
      <c r="FG372" t="str">
        <v>VELEZ MENDOZA LAYSY VALERIA</v>
      </c>
      <c r="FH372" t="str">
        <v>VINUEZA TELLO SHIRLEY ELIZABETH</v>
      </c>
      <c r="FI372" t="str">
        <v>ZAMBRANO ALCIVAR NILDA ISABEL</v>
      </c>
      <c r="FJ372" t="str">
        <v>ZAMBRANO LOOR RITA MAYDA</v>
      </c>
      <c r="FK372" t="str">
        <v>ZAMBRANO VERA MONICA JANETH</v>
      </c>
      <c r="FL372" t="str">
        <v>VERA DELGADO BRYAN ADRIÁN</v>
      </c>
      <c r="FM372" t="str">
        <v>MORAN GONZALES DAVID RENATO</v>
      </c>
      <c r="FN372">
        <v>0</v>
      </c>
    </row>
    <row r="373" spans="1:170" ht="20.25" customHeight="1">
      <c r="A373" s="4" t="str" cm="1">
        <f t="array" ref="A373">TRANSPOSE(_xlfn.UNIQUE(_xlfn._xlws.FILTER(MAE_ASIGNATURA[ID_NIVEL],MAE_ASIGNATURA[ID_CARRERA]=ASIGNACION!$C373,"No existe información")))</f>
        <v>No existe información</v>
      </c>
      <c r="S373" s="4" t="str" cm="1">
        <f t="array" ref="S373">TRANSPOSE(_xlfn.UNIQUE(_xlfn._xlws.FILTER(MAE_ASIGNATURA[NOM_ASIG],(MAE_ASIGNATURA[ID_NIVEL]=ASIGNACION!$D373)*(MAE_ASIGNATURA[ID_CARRERA]=ASIGNACION!$C373),"No existe información")))</f>
        <v>No existe información</v>
      </c>
      <c r="BD373" s="4" t="str" cm="1">
        <f t="array" ref="BD373">TRANSPOSE(_xlfn.UNIQUE(_xlfn._xlws.FILTER(DET_ASIG[DETALLADO],(DET_ASIG[ID_CARRERA]=ASIGNACION!$C373)*(DET_ASIG[NIVEL]=ASIGNACION!$D373)*(DET_ASIG[ID_ASIG]=ASIGNACION!$G373),"No existe información")))</f>
        <v>No existe información</v>
      </c>
      <c r="BQ373" s="5" t="str" cm="1">
        <f t="array" ref="BQ373">IFERROR(
    TRANSPOSE(
        _xlfn.UNIQUE(
            _xlfn._xlws.FILTER(MAESTRIA_DETALLADO[MAESTRIA],
                ISNUMBER(MATCH(MAESTRIA_DETALLADO[CAMPO_DETALLADO],
                BD373:BP373,0))
            )
        )
    ),IF(BD373="ACTIVIDAD","DOCENCIA",""))</f>
        <v/>
      </c>
      <c r="EA373" s="5" t="str" cm="1">
        <f t="array" ref="EA373:FN373">IF(
    ASIGNACION!I373="SI",
    IFERROR(
        TRANSPOSE(
            _xlfn.UNIQUE(
                _xlfn._xlws.FILTER(EDU_DOCENTE[NOMBRE_DOCENTE],
                    ISNUMBER(MATCH(EDU_DOCENTE[MAESTRIA],
                    BQ373:DY373,0))
                )
            )
        ),
        ""
    ),
    TRANSPOSE(
        _xlfn.UNIQUE(EDU_DOCENTE[NOMBRE_DOCENTE]
        )
    )
)</f>
        <v>ALCIVAR CEDEÑO BEATRIZ ISABEL</v>
      </c>
      <c r="EB373" t="str">
        <v>ALCIVAR VERA GEMA MICHELLE</v>
      </c>
      <c r="EC373" t="str">
        <v>ARAUZ CHAVEZ MARIO ROBERTO</v>
      </c>
      <c r="ED373" t="str">
        <v>BAILON LOURIDO WALTER ALBERTO</v>
      </c>
      <c r="EE373" t="str">
        <v>CALDERERO VILLAGOMEZ ERICK ANTONIO</v>
      </c>
      <c r="EF373" t="str">
        <v>CASTILLO GARCIA PAOLA GERMANIA</v>
      </c>
      <c r="EG373" t="str">
        <v>CEDEÑO CHOEZ PEDRO JAVIER</v>
      </c>
      <c r="EH373" t="str">
        <v>CEVALLOS HOPPE JUAN CARLOS</v>
      </c>
      <c r="EI373" t="str">
        <v>DELGADO CHAVEZ MARIA IRASEMA</v>
      </c>
      <c r="EJ373" t="str">
        <v>DUARTE VALENCIA CRISTHIAN DARIO</v>
      </c>
      <c r="EK373" t="str">
        <v>FORTTY BARBERAN DENNY ALEXANDER</v>
      </c>
      <c r="EL373" t="str">
        <v>GUTIERREZ ZAMBRANO CARMEN EBELINA</v>
      </c>
      <c r="EM373" t="str">
        <v>INTRIAGO MOLINA GEMA VALERIA</v>
      </c>
      <c r="EN373" t="str">
        <v>LINO VELEZ LEONEL LIVINGTON</v>
      </c>
      <c r="EO373" t="str">
        <v>LOOR ALCIVAR MARIA ILIANA</v>
      </c>
      <c r="EP373" t="str">
        <v>LOOR MIELES TANIA JACQUELINE</v>
      </c>
      <c r="EQ373" t="str">
        <v>LOOR SOLORZANO ROSA MARIA</v>
      </c>
      <c r="ER373" t="str">
        <v>LOPEZ DELGADO RONALD MAURICIO</v>
      </c>
      <c r="ES373" t="str">
        <v>MACIAS VALENCIA DAVID GABRIEL</v>
      </c>
      <c r="ET373" t="str">
        <v>MENDOZA ZAMORA WALTER MANUEL</v>
      </c>
      <c r="EU373" t="str">
        <v>MOLINA CEVALLOS MARIA LORENA</v>
      </c>
      <c r="EV373" t="str">
        <v>MURILLO DELGADO ISAAC GABRIEL</v>
      </c>
      <c r="EW373" t="str">
        <v>ANGULO MURILLO NAVIRA GISSELA</v>
      </c>
      <c r="EX373" t="str">
        <v>OCHOA SOLEDISPA NESTOR IVAN</v>
      </c>
      <c r="EY373" t="str">
        <v>PARRAGA FRANCO SILVANA MARIELA</v>
      </c>
      <c r="EZ373" t="str">
        <v>PINARGOTE VASQUEZ NANCY FABIOLA</v>
      </c>
      <c r="FA373" t="str">
        <v>REYES VELEZ PEDRO ENRIQUE</v>
      </c>
      <c r="FB373" t="str">
        <v>SAN ANDRES HORMAZA DALLAS CECILIA</v>
      </c>
      <c r="FC373" t="str">
        <v>SORNOZA ZAMORA JUAN CARLOS</v>
      </c>
      <c r="FD373" t="str">
        <v>TOMALA PINTO JESUS JACINTO</v>
      </c>
      <c r="FE373" t="str">
        <v>VALLE JARAMILLO SILVIA ARACELY</v>
      </c>
      <c r="FF373" t="str">
        <v>VELÁSQUEZ BRAVO IRMA KATHERINE</v>
      </c>
      <c r="FG373" t="str">
        <v>VELEZ MENDOZA LAYSY VALERIA</v>
      </c>
      <c r="FH373" t="str">
        <v>VINUEZA TELLO SHIRLEY ELIZABETH</v>
      </c>
      <c r="FI373" t="str">
        <v>ZAMBRANO ALCIVAR NILDA ISABEL</v>
      </c>
      <c r="FJ373" t="str">
        <v>ZAMBRANO LOOR RITA MAYDA</v>
      </c>
      <c r="FK373" t="str">
        <v>ZAMBRANO VERA MONICA JANETH</v>
      </c>
      <c r="FL373" t="str">
        <v>VERA DELGADO BRYAN ADRIÁN</v>
      </c>
      <c r="FM373" t="str">
        <v>MORAN GONZALES DAVID RENATO</v>
      </c>
      <c r="FN373">
        <v>0</v>
      </c>
    </row>
    <row r="374" spans="1:170" ht="20.25" customHeight="1">
      <c r="A374" s="4" t="str" cm="1">
        <f t="array" ref="A374">TRANSPOSE(_xlfn.UNIQUE(_xlfn._xlws.FILTER(MAE_ASIGNATURA[ID_NIVEL],MAE_ASIGNATURA[ID_CARRERA]=ASIGNACION!$C374,"No existe información")))</f>
        <v>No existe información</v>
      </c>
      <c r="S374" s="4" t="str" cm="1">
        <f t="array" ref="S374">TRANSPOSE(_xlfn.UNIQUE(_xlfn._xlws.FILTER(MAE_ASIGNATURA[NOM_ASIG],(MAE_ASIGNATURA[ID_NIVEL]=ASIGNACION!$D374)*(MAE_ASIGNATURA[ID_CARRERA]=ASIGNACION!$C374),"No existe información")))</f>
        <v>No existe información</v>
      </c>
      <c r="BD374" s="4" t="str" cm="1">
        <f t="array" ref="BD374">TRANSPOSE(_xlfn.UNIQUE(_xlfn._xlws.FILTER(DET_ASIG[DETALLADO],(DET_ASIG[ID_CARRERA]=ASIGNACION!$C374)*(DET_ASIG[NIVEL]=ASIGNACION!$D374)*(DET_ASIG[ID_ASIG]=ASIGNACION!$G374),"No existe información")))</f>
        <v>No existe información</v>
      </c>
      <c r="BQ374" s="5" t="str" cm="1">
        <f t="array" ref="BQ374">IFERROR(
    TRANSPOSE(
        _xlfn.UNIQUE(
            _xlfn._xlws.FILTER(MAESTRIA_DETALLADO[MAESTRIA],
                ISNUMBER(MATCH(MAESTRIA_DETALLADO[CAMPO_DETALLADO],
                BD374:BP374,0))
            )
        )
    ),IF(BD374="ACTIVIDAD","DOCENCIA",""))</f>
        <v/>
      </c>
      <c r="EA374" s="5" t="str" cm="1">
        <f t="array" ref="EA374:FN374">IF(
    ASIGNACION!I374="SI",
    IFERROR(
        TRANSPOSE(
            _xlfn.UNIQUE(
                _xlfn._xlws.FILTER(EDU_DOCENTE[NOMBRE_DOCENTE],
                    ISNUMBER(MATCH(EDU_DOCENTE[MAESTRIA],
                    BQ374:DY374,0))
                )
            )
        ),
        ""
    ),
    TRANSPOSE(
        _xlfn.UNIQUE(EDU_DOCENTE[NOMBRE_DOCENTE]
        )
    )
)</f>
        <v>ALCIVAR CEDEÑO BEATRIZ ISABEL</v>
      </c>
      <c r="EB374" t="str">
        <v>ALCIVAR VERA GEMA MICHELLE</v>
      </c>
      <c r="EC374" t="str">
        <v>ARAUZ CHAVEZ MARIO ROBERTO</v>
      </c>
      <c r="ED374" t="str">
        <v>BAILON LOURIDO WALTER ALBERTO</v>
      </c>
      <c r="EE374" t="str">
        <v>CALDERERO VILLAGOMEZ ERICK ANTONIO</v>
      </c>
      <c r="EF374" t="str">
        <v>CASTILLO GARCIA PAOLA GERMANIA</v>
      </c>
      <c r="EG374" t="str">
        <v>CEDEÑO CHOEZ PEDRO JAVIER</v>
      </c>
      <c r="EH374" t="str">
        <v>CEVALLOS HOPPE JUAN CARLOS</v>
      </c>
      <c r="EI374" t="str">
        <v>DELGADO CHAVEZ MARIA IRASEMA</v>
      </c>
      <c r="EJ374" t="str">
        <v>DUARTE VALENCIA CRISTHIAN DARIO</v>
      </c>
      <c r="EK374" t="str">
        <v>FORTTY BARBERAN DENNY ALEXANDER</v>
      </c>
      <c r="EL374" t="str">
        <v>GUTIERREZ ZAMBRANO CARMEN EBELINA</v>
      </c>
      <c r="EM374" t="str">
        <v>INTRIAGO MOLINA GEMA VALERIA</v>
      </c>
      <c r="EN374" t="str">
        <v>LINO VELEZ LEONEL LIVINGTON</v>
      </c>
      <c r="EO374" t="str">
        <v>LOOR ALCIVAR MARIA ILIANA</v>
      </c>
      <c r="EP374" t="str">
        <v>LOOR MIELES TANIA JACQUELINE</v>
      </c>
      <c r="EQ374" t="str">
        <v>LOOR SOLORZANO ROSA MARIA</v>
      </c>
      <c r="ER374" t="str">
        <v>LOPEZ DELGADO RONALD MAURICIO</v>
      </c>
      <c r="ES374" t="str">
        <v>MACIAS VALENCIA DAVID GABRIEL</v>
      </c>
      <c r="ET374" t="str">
        <v>MENDOZA ZAMORA WALTER MANUEL</v>
      </c>
      <c r="EU374" t="str">
        <v>MOLINA CEVALLOS MARIA LORENA</v>
      </c>
      <c r="EV374" t="str">
        <v>MURILLO DELGADO ISAAC GABRIEL</v>
      </c>
      <c r="EW374" t="str">
        <v>ANGULO MURILLO NAVIRA GISSELA</v>
      </c>
      <c r="EX374" t="str">
        <v>OCHOA SOLEDISPA NESTOR IVAN</v>
      </c>
      <c r="EY374" t="str">
        <v>PARRAGA FRANCO SILVANA MARIELA</v>
      </c>
      <c r="EZ374" t="str">
        <v>PINARGOTE VASQUEZ NANCY FABIOLA</v>
      </c>
      <c r="FA374" t="str">
        <v>REYES VELEZ PEDRO ENRIQUE</v>
      </c>
      <c r="FB374" t="str">
        <v>SAN ANDRES HORMAZA DALLAS CECILIA</v>
      </c>
      <c r="FC374" t="str">
        <v>SORNOZA ZAMORA JUAN CARLOS</v>
      </c>
      <c r="FD374" t="str">
        <v>TOMALA PINTO JESUS JACINTO</v>
      </c>
      <c r="FE374" t="str">
        <v>VALLE JARAMILLO SILVIA ARACELY</v>
      </c>
      <c r="FF374" t="str">
        <v>VELÁSQUEZ BRAVO IRMA KATHERINE</v>
      </c>
      <c r="FG374" t="str">
        <v>VELEZ MENDOZA LAYSY VALERIA</v>
      </c>
      <c r="FH374" t="str">
        <v>VINUEZA TELLO SHIRLEY ELIZABETH</v>
      </c>
      <c r="FI374" t="str">
        <v>ZAMBRANO ALCIVAR NILDA ISABEL</v>
      </c>
      <c r="FJ374" t="str">
        <v>ZAMBRANO LOOR RITA MAYDA</v>
      </c>
      <c r="FK374" t="str">
        <v>ZAMBRANO VERA MONICA JANETH</v>
      </c>
      <c r="FL374" t="str">
        <v>VERA DELGADO BRYAN ADRIÁN</v>
      </c>
      <c r="FM374" t="str">
        <v>MORAN GONZALES DAVID RENATO</v>
      </c>
      <c r="FN374">
        <v>0</v>
      </c>
    </row>
    <row r="375" spans="1:170" ht="20.25" customHeight="1">
      <c r="A375" s="4" t="str" cm="1">
        <f t="array" ref="A375">TRANSPOSE(_xlfn.UNIQUE(_xlfn._xlws.FILTER(MAE_ASIGNATURA[ID_NIVEL],MAE_ASIGNATURA[ID_CARRERA]=ASIGNACION!$C375,"No existe información")))</f>
        <v>No existe información</v>
      </c>
      <c r="S375" s="4" t="str" cm="1">
        <f t="array" ref="S375">TRANSPOSE(_xlfn.UNIQUE(_xlfn._xlws.FILTER(MAE_ASIGNATURA[NOM_ASIG],(MAE_ASIGNATURA[ID_NIVEL]=ASIGNACION!$D375)*(MAE_ASIGNATURA[ID_CARRERA]=ASIGNACION!$C375),"No existe información")))</f>
        <v>No existe información</v>
      </c>
      <c r="BD375" s="4" t="str" cm="1">
        <f t="array" ref="BD375">TRANSPOSE(_xlfn.UNIQUE(_xlfn._xlws.FILTER(DET_ASIG[DETALLADO],(DET_ASIG[ID_CARRERA]=ASIGNACION!$C375)*(DET_ASIG[NIVEL]=ASIGNACION!$D375)*(DET_ASIG[ID_ASIG]=ASIGNACION!$G375),"No existe información")))</f>
        <v>No existe información</v>
      </c>
      <c r="BQ375" s="5" t="str" cm="1">
        <f t="array" ref="BQ375">IFERROR(
    TRANSPOSE(
        _xlfn.UNIQUE(
            _xlfn._xlws.FILTER(MAESTRIA_DETALLADO[MAESTRIA],
                ISNUMBER(MATCH(MAESTRIA_DETALLADO[CAMPO_DETALLADO],
                BD375:BP375,0))
            )
        )
    ),IF(BD375="ACTIVIDAD","DOCENCIA",""))</f>
        <v/>
      </c>
      <c r="EA375" s="5" t="str" cm="1">
        <f t="array" ref="EA375:FN375">IF(
    ASIGNACION!I375="SI",
    IFERROR(
        TRANSPOSE(
            _xlfn.UNIQUE(
                _xlfn._xlws.FILTER(EDU_DOCENTE[NOMBRE_DOCENTE],
                    ISNUMBER(MATCH(EDU_DOCENTE[MAESTRIA],
                    BQ375:DY375,0))
                )
            )
        ),
        ""
    ),
    TRANSPOSE(
        _xlfn.UNIQUE(EDU_DOCENTE[NOMBRE_DOCENTE]
        )
    )
)</f>
        <v>ALCIVAR CEDEÑO BEATRIZ ISABEL</v>
      </c>
      <c r="EB375" t="str">
        <v>ALCIVAR VERA GEMA MICHELLE</v>
      </c>
      <c r="EC375" t="str">
        <v>ARAUZ CHAVEZ MARIO ROBERTO</v>
      </c>
      <c r="ED375" t="str">
        <v>BAILON LOURIDO WALTER ALBERTO</v>
      </c>
      <c r="EE375" t="str">
        <v>CALDERERO VILLAGOMEZ ERICK ANTONIO</v>
      </c>
      <c r="EF375" t="str">
        <v>CASTILLO GARCIA PAOLA GERMANIA</v>
      </c>
      <c r="EG375" t="str">
        <v>CEDEÑO CHOEZ PEDRO JAVIER</v>
      </c>
      <c r="EH375" t="str">
        <v>CEVALLOS HOPPE JUAN CARLOS</v>
      </c>
      <c r="EI375" t="str">
        <v>DELGADO CHAVEZ MARIA IRASEMA</v>
      </c>
      <c r="EJ375" t="str">
        <v>DUARTE VALENCIA CRISTHIAN DARIO</v>
      </c>
      <c r="EK375" t="str">
        <v>FORTTY BARBERAN DENNY ALEXANDER</v>
      </c>
      <c r="EL375" t="str">
        <v>GUTIERREZ ZAMBRANO CARMEN EBELINA</v>
      </c>
      <c r="EM375" t="str">
        <v>INTRIAGO MOLINA GEMA VALERIA</v>
      </c>
      <c r="EN375" t="str">
        <v>LINO VELEZ LEONEL LIVINGTON</v>
      </c>
      <c r="EO375" t="str">
        <v>LOOR ALCIVAR MARIA ILIANA</v>
      </c>
      <c r="EP375" t="str">
        <v>LOOR MIELES TANIA JACQUELINE</v>
      </c>
      <c r="EQ375" t="str">
        <v>LOOR SOLORZANO ROSA MARIA</v>
      </c>
      <c r="ER375" t="str">
        <v>LOPEZ DELGADO RONALD MAURICIO</v>
      </c>
      <c r="ES375" t="str">
        <v>MACIAS VALENCIA DAVID GABRIEL</v>
      </c>
      <c r="ET375" t="str">
        <v>MENDOZA ZAMORA WALTER MANUEL</v>
      </c>
      <c r="EU375" t="str">
        <v>MOLINA CEVALLOS MARIA LORENA</v>
      </c>
      <c r="EV375" t="str">
        <v>MURILLO DELGADO ISAAC GABRIEL</v>
      </c>
      <c r="EW375" t="str">
        <v>ANGULO MURILLO NAVIRA GISSELA</v>
      </c>
      <c r="EX375" t="str">
        <v>OCHOA SOLEDISPA NESTOR IVAN</v>
      </c>
      <c r="EY375" t="str">
        <v>PARRAGA FRANCO SILVANA MARIELA</v>
      </c>
      <c r="EZ375" t="str">
        <v>PINARGOTE VASQUEZ NANCY FABIOLA</v>
      </c>
      <c r="FA375" t="str">
        <v>REYES VELEZ PEDRO ENRIQUE</v>
      </c>
      <c r="FB375" t="str">
        <v>SAN ANDRES HORMAZA DALLAS CECILIA</v>
      </c>
      <c r="FC375" t="str">
        <v>SORNOZA ZAMORA JUAN CARLOS</v>
      </c>
      <c r="FD375" t="str">
        <v>TOMALA PINTO JESUS JACINTO</v>
      </c>
      <c r="FE375" t="str">
        <v>VALLE JARAMILLO SILVIA ARACELY</v>
      </c>
      <c r="FF375" t="str">
        <v>VELÁSQUEZ BRAVO IRMA KATHERINE</v>
      </c>
      <c r="FG375" t="str">
        <v>VELEZ MENDOZA LAYSY VALERIA</v>
      </c>
      <c r="FH375" t="str">
        <v>VINUEZA TELLO SHIRLEY ELIZABETH</v>
      </c>
      <c r="FI375" t="str">
        <v>ZAMBRANO ALCIVAR NILDA ISABEL</v>
      </c>
      <c r="FJ375" t="str">
        <v>ZAMBRANO LOOR RITA MAYDA</v>
      </c>
      <c r="FK375" t="str">
        <v>ZAMBRANO VERA MONICA JANETH</v>
      </c>
      <c r="FL375" t="str">
        <v>VERA DELGADO BRYAN ADRIÁN</v>
      </c>
      <c r="FM375" t="str">
        <v>MORAN GONZALES DAVID RENATO</v>
      </c>
      <c r="FN375">
        <v>0</v>
      </c>
    </row>
    <row r="376" spans="1:170" ht="20.25" customHeight="1">
      <c r="A376" s="4" t="str" cm="1">
        <f t="array" ref="A376">TRANSPOSE(_xlfn.UNIQUE(_xlfn._xlws.FILTER(MAE_ASIGNATURA[ID_NIVEL],MAE_ASIGNATURA[ID_CARRERA]=ASIGNACION!$C376,"No existe información")))</f>
        <v>No existe información</v>
      </c>
      <c r="S376" s="4" t="str" cm="1">
        <f t="array" ref="S376">TRANSPOSE(_xlfn.UNIQUE(_xlfn._xlws.FILTER(MAE_ASIGNATURA[NOM_ASIG],(MAE_ASIGNATURA[ID_NIVEL]=ASIGNACION!$D376)*(MAE_ASIGNATURA[ID_CARRERA]=ASIGNACION!$C376),"No existe información")))</f>
        <v>No existe información</v>
      </c>
      <c r="BD376" s="4" t="str" cm="1">
        <f t="array" ref="BD376">TRANSPOSE(_xlfn.UNIQUE(_xlfn._xlws.FILTER(DET_ASIG[DETALLADO],(DET_ASIG[ID_CARRERA]=ASIGNACION!$C376)*(DET_ASIG[NIVEL]=ASIGNACION!$D376)*(DET_ASIG[ID_ASIG]=ASIGNACION!$G376),"No existe información")))</f>
        <v>No existe información</v>
      </c>
      <c r="BQ376" s="5" t="str" cm="1">
        <f t="array" ref="BQ376">IFERROR(
    TRANSPOSE(
        _xlfn.UNIQUE(
            _xlfn._xlws.FILTER(MAESTRIA_DETALLADO[MAESTRIA],
                ISNUMBER(MATCH(MAESTRIA_DETALLADO[CAMPO_DETALLADO],
                BD376:BP376,0))
            )
        )
    ),IF(BD376="ACTIVIDAD","DOCENCIA",""))</f>
        <v/>
      </c>
      <c r="EA376" s="5" t="str" cm="1">
        <f t="array" ref="EA376:FN376">IF(
    ASIGNACION!I376="SI",
    IFERROR(
        TRANSPOSE(
            _xlfn.UNIQUE(
                _xlfn._xlws.FILTER(EDU_DOCENTE[NOMBRE_DOCENTE],
                    ISNUMBER(MATCH(EDU_DOCENTE[MAESTRIA],
                    BQ376:DY376,0))
                )
            )
        ),
        ""
    ),
    TRANSPOSE(
        _xlfn.UNIQUE(EDU_DOCENTE[NOMBRE_DOCENTE]
        )
    )
)</f>
        <v>ALCIVAR CEDEÑO BEATRIZ ISABEL</v>
      </c>
      <c r="EB376" t="str">
        <v>ALCIVAR VERA GEMA MICHELLE</v>
      </c>
      <c r="EC376" t="str">
        <v>ARAUZ CHAVEZ MARIO ROBERTO</v>
      </c>
      <c r="ED376" t="str">
        <v>BAILON LOURIDO WALTER ALBERTO</v>
      </c>
      <c r="EE376" t="str">
        <v>CALDERERO VILLAGOMEZ ERICK ANTONIO</v>
      </c>
      <c r="EF376" t="str">
        <v>CASTILLO GARCIA PAOLA GERMANIA</v>
      </c>
      <c r="EG376" t="str">
        <v>CEDEÑO CHOEZ PEDRO JAVIER</v>
      </c>
      <c r="EH376" t="str">
        <v>CEVALLOS HOPPE JUAN CARLOS</v>
      </c>
      <c r="EI376" t="str">
        <v>DELGADO CHAVEZ MARIA IRASEMA</v>
      </c>
      <c r="EJ376" t="str">
        <v>DUARTE VALENCIA CRISTHIAN DARIO</v>
      </c>
      <c r="EK376" t="str">
        <v>FORTTY BARBERAN DENNY ALEXANDER</v>
      </c>
      <c r="EL376" t="str">
        <v>GUTIERREZ ZAMBRANO CARMEN EBELINA</v>
      </c>
      <c r="EM376" t="str">
        <v>INTRIAGO MOLINA GEMA VALERIA</v>
      </c>
      <c r="EN376" t="str">
        <v>LINO VELEZ LEONEL LIVINGTON</v>
      </c>
      <c r="EO376" t="str">
        <v>LOOR ALCIVAR MARIA ILIANA</v>
      </c>
      <c r="EP376" t="str">
        <v>LOOR MIELES TANIA JACQUELINE</v>
      </c>
      <c r="EQ376" t="str">
        <v>LOOR SOLORZANO ROSA MARIA</v>
      </c>
      <c r="ER376" t="str">
        <v>LOPEZ DELGADO RONALD MAURICIO</v>
      </c>
      <c r="ES376" t="str">
        <v>MACIAS VALENCIA DAVID GABRIEL</v>
      </c>
      <c r="ET376" t="str">
        <v>MENDOZA ZAMORA WALTER MANUEL</v>
      </c>
      <c r="EU376" t="str">
        <v>MOLINA CEVALLOS MARIA LORENA</v>
      </c>
      <c r="EV376" t="str">
        <v>MURILLO DELGADO ISAAC GABRIEL</v>
      </c>
      <c r="EW376" t="str">
        <v>ANGULO MURILLO NAVIRA GISSELA</v>
      </c>
      <c r="EX376" t="str">
        <v>OCHOA SOLEDISPA NESTOR IVAN</v>
      </c>
      <c r="EY376" t="str">
        <v>PARRAGA FRANCO SILVANA MARIELA</v>
      </c>
      <c r="EZ376" t="str">
        <v>PINARGOTE VASQUEZ NANCY FABIOLA</v>
      </c>
      <c r="FA376" t="str">
        <v>REYES VELEZ PEDRO ENRIQUE</v>
      </c>
      <c r="FB376" t="str">
        <v>SAN ANDRES HORMAZA DALLAS CECILIA</v>
      </c>
      <c r="FC376" t="str">
        <v>SORNOZA ZAMORA JUAN CARLOS</v>
      </c>
      <c r="FD376" t="str">
        <v>TOMALA PINTO JESUS JACINTO</v>
      </c>
      <c r="FE376" t="str">
        <v>VALLE JARAMILLO SILVIA ARACELY</v>
      </c>
      <c r="FF376" t="str">
        <v>VELÁSQUEZ BRAVO IRMA KATHERINE</v>
      </c>
      <c r="FG376" t="str">
        <v>VELEZ MENDOZA LAYSY VALERIA</v>
      </c>
      <c r="FH376" t="str">
        <v>VINUEZA TELLO SHIRLEY ELIZABETH</v>
      </c>
      <c r="FI376" t="str">
        <v>ZAMBRANO ALCIVAR NILDA ISABEL</v>
      </c>
      <c r="FJ376" t="str">
        <v>ZAMBRANO LOOR RITA MAYDA</v>
      </c>
      <c r="FK376" t="str">
        <v>ZAMBRANO VERA MONICA JANETH</v>
      </c>
      <c r="FL376" t="str">
        <v>VERA DELGADO BRYAN ADRIÁN</v>
      </c>
      <c r="FM376" t="str">
        <v>MORAN GONZALES DAVID RENATO</v>
      </c>
      <c r="FN376">
        <v>0</v>
      </c>
    </row>
    <row r="377" spans="1:170" ht="20.25" customHeight="1">
      <c r="A377" s="4" t="str" cm="1">
        <f t="array" ref="A377">TRANSPOSE(_xlfn.UNIQUE(_xlfn._xlws.FILTER(MAE_ASIGNATURA[ID_NIVEL],MAE_ASIGNATURA[ID_CARRERA]=ASIGNACION!$C377,"No existe información")))</f>
        <v>No existe información</v>
      </c>
      <c r="S377" s="4" t="str" cm="1">
        <f t="array" ref="S377">TRANSPOSE(_xlfn.UNIQUE(_xlfn._xlws.FILTER(MAE_ASIGNATURA[NOM_ASIG],(MAE_ASIGNATURA[ID_NIVEL]=ASIGNACION!$D377)*(MAE_ASIGNATURA[ID_CARRERA]=ASIGNACION!$C377),"No existe información")))</f>
        <v>No existe información</v>
      </c>
      <c r="BD377" s="4" t="str" cm="1">
        <f t="array" ref="BD377">TRANSPOSE(_xlfn.UNIQUE(_xlfn._xlws.FILTER(DET_ASIG[DETALLADO],(DET_ASIG[ID_CARRERA]=ASIGNACION!$C377)*(DET_ASIG[NIVEL]=ASIGNACION!$D377)*(DET_ASIG[ID_ASIG]=ASIGNACION!$G377),"No existe información")))</f>
        <v>No existe información</v>
      </c>
      <c r="BQ377" s="5" t="str" cm="1">
        <f t="array" ref="BQ377">IFERROR(
    TRANSPOSE(
        _xlfn.UNIQUE(
            _xlfn._xlws.FILTER(MAESTRIA_DETALLADO[MAESTRIA],
                ISNUMBER(MATCH(MAESTRIA_DETALLADO[CAMPO_DETALLADO],
                BD377:BP377,0))
            )
        )
    ),IF(BD377="ACTIVIDAD","DOCENCIA",""))</f>
        <v/>
      </c>
      <c r="EA377" s="5" t="str" cm="1">
        <f t="array" ref="EA377:FN377">IF(
    ASIGNACION!I377="SI",
    IFERROR(
        TRANSPOSE(
            _xlfn.UNIQUE(
                _xlfn._xlws.FILTER(EDU_DOCENTE[NOMBRE_DOCENTE],
                    ISNUMBER(MATCH(EDU_DOCENTE[MAESTRIA],
                    BQ377:DY377,0))
                )
            )
        ),
        ""
    ),
    TRANSPOSE(
        _xlfn.UNIQUE(EDU_DOCENTE[NOMBRE_DOCENTE]
        )
    )
)</f>
        <v>ALCIVAR CEDEÑO BEATRIZ ISABEL</v>
      </c>
      <c r="EB377" t="str">
        <v>ALCIVAR VERA GEMA MICHELLE</v>
      </c>
      <c r="EC377" t="str">
        <v>ARAUZ CHAVEZ MARIO ROBERTO</v>
      </c>
      <c r="ED377" t="str">
        <v>BAILON LOURIDO WALTER ALBERTO</v>
      </c>
      <c r="EE377" t="str">
        <v>CALDERERO VILLAGOMEZ ERICK ANTONIO</v>
      </c>
      <c r="EF377" t="str">
        <v>CASTILLO GARCIA PAOLA GERMANIA</v>
      </c>
      <c r="EG377" t="str">
        <v>CEDEÑO CHOEZ PEDRO JAVIER</v>
      </c>
      <c r="EH377" t="str">
        <v>CEVALLOS HOPPE JUAN CARLOS</v>
      </c>
      <c r="EI377" t="str">
        <v>DELGADO CHAVEZ MARIA IRASEMA</v>
      </c>
      <c r="EJ377" t="str">
        <v>DUARTE VALENCIA CRISTHIAN DARIO</v>
      </c>
      <c r="EK377" t="str">
        <v>FORTTY BARBERAN DENNY ALEXANDER</v>
      </c>
      <c r="EL377" t="str">
        <v>GUTIERREZ ZAMBRANO CARMEN EBELINA</v>
      </c>
      <c r="EM377" t="str">
        <v>INTRIAGO MOLINA GEMA VALERIA</v>
      </c>
      <c r="EN377" t="str">
        <v>LINO VELEZ LEONEL LIVINGTON</v>
      </c>
      <c r="EO377" t="str">
        <v>LOOR ALCIVAR MARIA ILIANA</v>
      </c>
      <c r="EP377" t="str">
        <v>LOOR MIELES TANIA JACQUELINE</v>
      </c>
      <c r="EQ377" t="str">
        <v>LOOR SOLORZANO ROSA MARIA</v>
      </c>
      <c r="ER377" t="str">
        <v>LOPEZ DELGADO RONALD MAURICIO</v>
      </c>
      <c r="ES377" t="str">
        <v>MACIAS VALENCIA DAVID GABRIEL</v>
      </c>
      <c r="ET377" t="str">
        <v>MENDOZA ZAMORA WALTER MANUEL</v>
      </c>
      <c r="EU377" t="str">
        <v>MOLINA CEVALLOS MARIA LORENA</v>
      </c>
      <c r="EV377" t="str">
        <v>MURILLO DELGADO ISAAC GABRIEL</v>
      </c>
      <c r="EW377" t="str">
        <v>ANGULO MURILLO NAVIRA GISSELA</v>
      </c>
      <c r="EX377" t="str">
        <v>OCHOA SOLEDISPA NESTOR IVAN</v>
      </c>
      <c r="EY377" t="str">
        <v>PARRAGA FRANCO SILVANA MARIELA</v>
      </c>
      <c r="EZ377" t="str">
        <v>PINARGOTE VASQUEZ NANCY FABIOLA</v>
      </c>
      <c r="FA377" t="str">
        <v>REYES VELEZ PEDRO ENRIQUE</v>
      </c>
      <c r="FB377" t="str">
        <v>SAN ANDRES HORMAZA DALLAS CECILIA</v>
      </c>
      <c r="FC377" t="str">
        <v>SORNOZA ZAMORA JUAN CARLOS</v>
      </c>
      <c r="FD377" t="str">
        <v>TOMALA PINTO JESUS JACINTO</v>
      </c>
      <c r="FE377" t="str">
        <v>VALLE JARAMILLO SILVIA ARACELY</v>
      </c>
      <c r="FF377" t="str">
        <v>VELÁSQUEZ BRAVO IRMA KATHERINE</v>
      </c>
      <c r="FG377" t="str">
        <v>VELEZ MENDOZA LAYSY VALERIA</v>
      </c>
      <c r="FH377" t="str">
        <v>VINUEZA TELLO SHIRLEY ELIZABETH</v>
      </c>
      <c r="FI377" t="str">
        <v>ZAMBRANO ALCIVAR NILDA ISABEL</v>
      </c>
      <c r="FJ377" t="str">
        <v>ZAMBRANO LOOR RITA MAYDA</v>
      </c>
      <c r="FK377" t="str">
        <v>ZAMBRANO VERA MONICA JANETH</v>
      </c>
      <c r="FL377" t="str">
        <v>VERA DELGADO BRYAN ADRIÁN</v>
      </c>
      <c r="FM377" t="str">
        <v>MORAN GONZALES DAVID RENATO</v>
      </c>
      <c r="FN377">
        <v>0</v>
      </c>
    </row>
    <row r="378" spans="1:170" ht="20.25" customHeight="1">
      <c r="A378" s="4" t="str" cm="1">
        <f t="array" ref="A378">TRANSPOSE(_xlfn.UNIQUE(_xlfn._xlws.FILTER(MAE_ASIGNATURA[ID_NIVEL],MAE_ASIGNATURA[ID_CARRERA]=ASIGNACION!$C378,"No existe información")))</f>
        <v>No existe información</v>
      </c>
      <c r="S378" s="4" t="str" cm="1">
        <f t="array" ref="S378">TRANSPOSE(_xlfn.UNIQUE(_xlfn._xlws.FILTER(MAE_ASIGNATURA[NOM_ASIG],(MAE_ASIGNATURA[ID_NIVEL]=ASIGNACION!$D378)*(MAE_ASIGNATURA[ID_CARRERA]=ASIGNACION!$C378),"No existe información")))</f>
        <v>No existe información</v>
      </c>
      <c r="BD378" s="4" t="str" cm="1">
        <f t="array" ref="BD378">TRANSPOSE(_xlfn.UNIQUE(_xlfn._xlws.FILTER(DET_ASIG[DETALLADO],(DET_ASIG[ID_CARRERA]=ASIGNACION!$C378)*(DET_ASIG[NIVEL]=ASIGNACION!$D378)*(DET_ASIG[ID_ASIG]=ASIGNACION!$G378),"No existe información")))</f>
        <v>No existe información</v>
      </c>
      <c r="BQ378" s="5" t="str" cm="1">
        <f t="array" ref="BQ378">IFERROR(
    TRANSPOSE(
        _xlfn.UNIQUE(
            _xlfn._xlws.FILTER(MAESTRIA_DETALLADO[MAESTRIA],
                ISNUMBER(MATCH(MAESTRIA_DETALLADO[CAMPO_DETALLADO],
                BD378:BP378,0))
            )
        )
    ),IF(BD378="ACTIVIDAD","DOCENCIA",""))</f>
        <v/>
      </c>
      <c r="EA378" s="5" t="str" cm="1">
        <f t="array" ref="EA378:FN378">IF(
    ASIGNACION!I378="SI",
    IFERROR(
        TRANSPOSE(
            _xlfn.UNIQUE(
                _xlfn._xlws.FILTER(EDU_DOCENTE[NOMBRE_DOCENTE],
                    ISNUMBER(MATCH(EDU_DOCENTE[MAESTRIA],
                    BQ378:DY378,0))
                )
            )
        ),
        ""
    ),
    TRANSPOSE(
        _xlfn.UNIQUE(EDU_DOCENTE[NOMBRE_DOCENTE]
        )
    )
)</f>
        <v>ALCIVAR CEDEÑO BEATRIZ ISABEL</v>
      </c>
      <c r="EB378" t="str">
        <v>ALCIVAR VERA GEMA MICHELLE</v>
      </c>
      <c r="EC378" t="str">
        <v>ARAUZ CHAVEZ MARIO ROBERTO</v>
      </c>
      <c r="ED378" t="str">
        <v>BAILON LOURIDO WALTER ALBERTO</v>
      </c>
      <c r="EE378" t="str">
        <v>CALDERERO VILLAGOMEZ ERICK ANTONIO</v>
      </c>
      <c r="EF378" t="str">
        <v>CASTILLO GARCIA PAOLA GERMANIA</v>
      </c>
      <c r="EG378" t="str">
        <v>CEDEÑO CHOEZ PEDRO JAVIER</v>
      </c>
      <c r="EH378" t="str">
        <v>CEVALLOS HOPPE JUAN CARLOS</v>
      </c>
      <c r="EI378" t="str">
        <v>DELGADO CHAVEZ MARIA IRASEMA</v>
      </c>
      <c r="EJ378" t="str">
        <v>DUARTE VALENCIA CRISTHIAN DARIO</v>
      </c>
      <c r="EK378" t="str">
        <v>FORTTY BARBERAN DENNY ALEXANDER</v>
      </c>
      <c r="EL378" t="str">
        <v>GUTIERREZ ZAMBRANO CARMEN EBELINA</v>
      </c>
      <c r="EM378" t="str">
        <v>INTRIAGO MOLINA GEMA VALERIA</v>
      </c>
      <c r="EN378" t="str">
        <v>LINO VELEZ LEONEL LIVINGTON</v>
      </c>
      <c r="EO378" t="str">
        <v>LOOR ALCIVAR MARIA ILIANA</v>
      </c>
      <c r="EP378" t="str">
        <v>LOOR MIELES TANIA JACQUELINE</v>
      </c>
      <c r="EQ378" t="str">
        <v>LOOR SOLORZANO ROSA MARIA</v>
      </c>
      <c r="ER378" t="str">
        <v>LOPEZ DELGADO RONALD MAURICIO</v>
      </c>
      <c r="ES378" t="str">
        <v>MACIAS VALENCIA DAVID GABRIEL</v>
      </c>
      <c r="ET378" t="str">
        <v>MENDOZA ZAMORA WALTER MANUEL</v>
      </c>
      <c r="EU378" t="str">
        <v>MOLINA CEVALLOS MARIA LORENA</v>
      </c>
      <c r="EV378" t="str">
        <v>MURILLO DELGADO ISAAC GABRIEL</v>
      </c>
      <c r="EW378" t="str">
        <v>ANGULO MURILLO NAVIRA GISSELA</v>
      </c>
      <c r="EX378" t="str">
        <v>OCHOA SOLEDISPA NESTOR IVAN</v>
      </c>
      <c r="EY378" t="str">
        <v>PARRAGA FRANCO SILVANA MARIELA</v>
      </c>
      <c r="EZ378" t="str">
        <v>PINARGOTE VASQUEZ NANCY FABIOLA</v>
      </c>
      <c r="FA378" t="str">
        <v>REYES VELEZ PEDRO ENRIQUE</v>
      </c>
      <c r="FB378" t="str">
        <v>SAN ANDRES HORMAZA DALLAS CECILIA</v>
      </c>
      <c r="FC378" t="str">
        <v>SORNOZA ZAMORA JUAN CARLOS</v>
      </c>
      <c r="FD378" t="str">
        <v>TOMALA PINTO JESUS JACINTO</v>
      </c>
      <c r="FE378" t="str">
        <v>VALLE JARAMILLO SILVIA ARACELY</v>
      </c>
      <c r="FF378" t="str">
        <v>VELÁSQUEZ BRAVO IRMA KATHERINE</v>
      </c>
      <c r="FG378" t="str">
        <v>VELEZ MENDOZA LAYSY VALERIA</v>
      </c>
      <c r="FH378" t="str">
        <v>VINUEZA TELLO SHIRLEY ELIZABETH</v>
      </c>
      <c r="FI378" t="str">
        <v>ZAMBRANO ALCIVAR NILDA ISABEL</v>
      </c>
      <c r="FJ378" t="str">
        <v>ZAMBRANO LOOR RITA MAYDA</v>
      </c>
      <c r="FK378" t="str">
        <v>ZAMBRANO VERA MONICA JANETH</v>
      </c>
      <c r="FL378" t="str">
        <v>VERA DELGADO BRYAN ADRIÁN</v>
      </c>
      <c r="FM378" t="str">
        <v>MORAN GONZALES DAVID RENATO</v>
      </c>
      <c r="FN378">
        <v>0</v>
      </c>
    </row>
    <row r="379" spans="1:170" ht="20.25" customHeight="1">
      <c r="A379" s="4" t="str" cm="1">
        <f t="array" ref="A379">TRANSPOSE(_xlfn.UNIQUE(_xlfn._xlws.FILTER(MAE_ASIGNATURA[ID_NIVEL],MAE_ASIGNATURA[ID_CARRERA]=ASIGNACION!$C379,"No existe información")))</f>
        <v>No existe información</v>
      </c>
      <c r="S379" s="4" t="str" cm="1">
        <f t="array" ref="S379">TRANSPOSE(_xlfn.UNIQUE(_xlfn._xlws.FILTER(MAE_ASIGNATURA[NOM_ASIG],(MAE_ASIGNATURA[ID_NIVEL]=ASIGNACION!$D379)*(MAE_ASIGNATURA[ID_CARRERA]=ASIGNACION!$C379),"No existe información")))</f>
        <v>No existe información</v>
      </c>
      <c r="BD379" s="4" t="str" cm="1">
        <f t="array" ref="BD379">TRANSPOSE(_xlfn.UNIQUE(_xlfn._xlws.FILTER(DET_ASIG[DETALLADO],(DET_ASIG[ID_CARRERA]=ASIGNACION!$C379)*(DET_ASIG[NIVEL]=ASIGNACION!$D379)*(DET_ASIG[ID_ASIG]=ASIGNACION!$G379),"No existe información")))</f>
        <v>No existe información</v>
      </c>
      <c r="BQ379" s="5" t="str" cm="1">
        <f t="array" ref="BQ379">IFERROR(
    TRANSPOSE(
        _xlfn.UNIQUE(
            _xlfn._xlws.FILTER(MAESTRIA_DETALLADO[MAESTRIA],
                ISNUMBER(MATCH(MAESTRIA_DETALLADO[CAMPO_DETALLADO],
                BD379:BP379,0))
            )
        )
    ),IF(BD379="ACTIVIDAD","DOCENCIA",""))</f>
        <v/>
      </c>
      <c r="EA379" s="5" t="str" cm="1">
        <f t="array" ref="EA379:FN379">IF(
    ASIGNACION!I379="SI",
    IFERROR(
        TRANSPOSE(
            _xlfn.UNIQUE(
                _xlfn._xlws.FILTER(EDU_DOCENTE[NOMBRE_DOCENTE],
                    ISNUMBER(MATCH(EDU_DOCENTE[MAESTRIA],
                    BQ379:DY379,0))
                )
            )
        ),
        ""
    ),
    TRANSPOSE(
        _xlfn.UNIQUE(EDU_DOCENTE[NOMBRE_DOCENTE]
        )
    )
)</f>
        <v>ALCIVAR CEDEÑO BEATRIZ ISABEL</v>
      </c>
      <c r="EB379" t="str">
        <v>ALCIVAR VERA GEMA MICHELLE</v>
      </c>
      <c r="EC379" t="str">
        <v>ARAUZ CHAVEZ MARIO ROBERTO</v>
      </c>
      <c r="ED379" t="str">
        <v>BAILON LOURIDO WALTER ALBERTO</v>
      </c>
      <c r="EE379" t="str">
        <v>CALDERERO VILLAGOMEZ ERICK ANTONIO</v>
      </c>
      <c r="EF379" t="str">
        <v>CASTILLO GARCIA PAOLA GERMANIA</v>
      </c>
      <c r="EG379" t="str">
        <v>CEDEÑO CHOEZ PEDRO JAVIER</v>
      </c>
      <c r="EH379" t="str">
        <v>CEVALLOS HOPPE JUAN CARLOS</v>
      </c>
      <c r="EI379" t="str">
        <v>DELGADO CHAVEZ MARIA IRASEMA</v>
      </c>
      <c r="EJ379" t="str">
        <v>DUARTE VALENCIA CRISTHIAN DARIO</v>
      </c>
      <c r="EK379" t="str">
        <v>FORTTY BARBERAN DENNY ALEXANDER</v>
      </c>
      <c r="EL379" t="str">
        <v>GUTIERREZ ZAMBRANO CARMEN EBELINA</v>
      </c>
      <c r="EM379" t="str">
        <v>INTRIAGO MOLINA GEMA VALERIA</v>
      </c>
      <c r="EN379" t="str">
        <v>LINO VELEZ LEONEL LIVINGTON</v>
      </c>
      <c r="EO379" t="str">
        <v>LOOR ALCIVAR MARIA ILIANA</v>
      </c>
      <c r="EP379" t="str">
        <v>LOOR MIELES TANIA JACQUELINE</v>
      </c>
      <c r="EQ379" t="str">
        <v>LOOR SOLORZANO ROSA MARIA</v>
      </c>
      <c r="ER379" t="str">
        <v>LOPEZ DELGADO RONALD MAURICIO</v>
      </c>
      <c r="ES379" t="str">
        <v>MACIAS VALENCIA DAVID GABRIEL</v>
      </c>
      <c r="ET379" t="str">
        <v>MENDOZA ZAMORA WALTER MANUEL</v>
      </c>
      <c r="EU379" t="str">
        <v>MOLINA CEVALLOS MARIA LORENA</v>
      </c>
      <c r="EV379" t="str">
        <v>MURILLO DELGADO ISAAC GABRIEL</v>
      </c>
      <c r="EW379" t="str">
        <v>ANGULO MURILLO NAVIRA GISSELA</v>
      </c>
      <c r="EX379" t="str">
        <v>OCHOA SOLEDISPA NESTOR IVAN</v>
      </c>
      <c r="EY379" t="str">
        <v>PARRAGA FRANCO SILVANA MARIELA</v>
      </c>
      <c r="EZ379" t="str">
        <v>PINARGOTE VASQUEZ NANCY FABIOLA</v>
      </c>
      <c r="FA379" t="str">
        <v>REYES VELEZ PEDRO ENRIQUE</v>
      </c>
      <c r="FB379" t="str">
        <v>SAN ANDRES HORMAZA DALLAS CECILIA</v>
      </c>
      <c r="FC379" t="str">
        <v>SORNOZA ZAMORA JUAN CARLOS</v>
      </c>
      <c r="FD379" t="str">
        <v>TOMALA PINTO JESUS JACINTO</v>
      </c>
      <c r="FE379" t="str">
        <v>VALLE JARAMILLO SILVIA ARACELY</v>
      </c>
      <c r="FF379" t="str">
        <v>VELÁSQUEZ BRAVO IRMA KATHERINE</v>
      </c>
      <c r="FG379" t="str">
        <v>VELEZ MENDOZA LAYSY VALERIA</v>
      </c>
      <c r="FH379" t="str">
        <v>VINUEZA TELLO SHIRLEY ELIZABETH</v>
      </c>
      <c r="FI379" t="str">
        <v>ZAMBRANO ALCIVAR NILDA ISABEL</v>
      </c>
      <c r="FJ379" t="str">
        <v>ZAMBRANO LOOR RITA MAYDA</v>
      </c>
      <c r="FK379" t="str">
        <v>ZAMBRANO VERA MONICA JANETH</v>
      </c>
      <c r="FL379" t="str">
        <v>VERA DELGADO BRYAN ADRIÁN</v>
      </c>
      <c r="FM379" t="str">
        <v>MORAN GONZALES DAVID RENATO</v>
      </c>
      <c r="FN379">
        <v>0</v>
      </c>
    </row>
    <row r="380" spans="1:170" ht="20.25" customHeight="1">
      <c r="A380" s="4" t="str" cm="1">
        <f t="array" ref="A380">TRANSPOSE(_xlfn.UNIQUE(_xlfn._xlws.FILTER(MAE_ASIGNATURA[ID_NIVEL],MAE_ASIGNATURA[ID_CARRERA]=ASIGNACION!$C380,"No existe información")))</f>
        <v>No existe información</v>
      </c>
      <c r="S380" s="4" t="str" cm="1">
        <f t="array" ref="S380">TRANSPOSE(_xlfn.UNIQUE(_xlfn._xlws.FILTER(MAE_ASIGNATURA[NOM_ASIG],(MAE_ASIGNATURA[ID_NIVEL]=ASIGNACION!$D380)*(MAE_ASIGNATURA[ID_CARRERA]=ASIGNACION!$C380),"No existe información")))</f>
        <v>No existe información</v>
      </c>
      <c r="BD380" s="4" t="str" cm="1">
        <f t="array" ref="BD380">TRANSPOSE(_xlfn.UNIQUE(_xlfn._xlws.FILTER(DET_ASIG[DETALLADO],(DET_ASIG[ID_CARRERA]=ASIGNACION!$C380)*(DET_ASIG[NIVEL]=ASIGNACION!$D380)*(DET_ASIG[ID_ASIG]=ASIGNACION!$G380),"No existe información")))</f>
        <v>No existe información</v>
      </c>
      <c r="BQ380" s="5" t="str" cm="1">
        <f t="array" ref="BQ380">IFERROR(
    TRANSPOSE(
        _xlfn.UNIQUE(
            _xlfn._xlws.FILTER(MAESTRIA_DETALLADO[MAESTRIA],
                ISNUMBER(MATCH(MAESTRIA_DETALLADO[CAMPO_DETALLADO],
                BD380:BP380,0))
            )
        )
    ),IF(BD380="ACTIVIDAD","DOCENCIA",""))</f>
        <v/>
      </c>
      <c r="EA380" s="5" t="str" cm="1">
        <f t="array" ref="EA380:FN380">IF(
    ASIGNACION!I380="SI",
    IFERROR(
        TRANSPOSE(
            _xlfn.UNIQUE(
                _xlfn._xlws.FILTER(EDU_DOCENTE[NOMBRE_DOCENTE],
                    ISNUMBER(MATCH(EDU_DOCENTE[MAESTRIA],
                    BQ380:DY380,0))
                )
            )
        ),
        ""
    ),
    TRANSPOSE(
        _xlfn.UNIQUE(EDU_DOCENTE[NOMBRE_DOCENTE]
        )
    )
)</f>
        <v>ALCIVAR CEDEÑO BEATRIZ ISABEL</v>
      </c>
      <c r="EB380" t="str">
        <v>ALCIVAR VERA GEMA MICHELLE</v>
      </c>
      <c r="EC380" t="str">
        <v>ARAUZ CHAVEZ MARIO ROBERTO</v>
      </c>
      <c r="ED380" t="str">
        <v>BAILON LOURIDO WALTER ALBERTO</v>
      </c>
      <c r="EE380" t="str">
        <v>CALDERERO VILLAGOMEZ ERICK ANTONIO</v>
      </c>
      <c r="EF380" t="str">
        <v>CASTILLO GARCIA PAOLA GERMANIA</v>
      </c>
      <c r="EG380" t="str">
        <v>CEDEÑO CHOEZ PEDRO JAVIER</v>
      </c>
      <c r="EH380" t="str">
        <v>CEVALLOS HOPPE JUAN CARLOS</v>
      </c>
      <c r="EI380" t="str">
        <v>DELGADO CHAVEZ MARIA IRASEMA</v>
      </c>
      <c r="EJ380" t="str">
        <v>DUARTE VALENCIA CRISTHIAN DARIO</v>
      </c>
      <c r="EK380" t="str">
        <v>FORTTY BARBERAN DENNY ALEXANDER</v>
      </c>
      <c r="EL380" t="str">
        <v>GUTIERREZ ZAMBRANO CARMEN EBELINA</v>
      </c>
      <c r="EM380" t="str">
        <v>INTRIAGO MOLINA GEMA VALERIA</v>
      </c>
      <c r="EN380" t="str">
        <v>LINO VELEZ LEONEL LIVINGTON</v>
      </c>
      <c r="EO380" t="str">
        <v>LOOR ALCIVAR MARIA ILIANA</v>
      </c>
      <c r="EP380" t="str">
        <v>LOOR MIELES TANIA JACQUELINE</v>
      </c>
      <c r="EQ380" t="str">
        <v>LOOR SOLORZANO ROSA MARIA</v>
      </c>
      <c r="ER380" t="str">
        <v>LOPEZ DELGADO RONALD MAURICIO</v>
      </c>
      <c r="ES380" t="str">
        <v>MACIAS VALENCIA DAVID GABRIEL</v>
      </c>
      <c r="ET380" t="str">
        <v>MENDOZA ZAMORA WALTER MANUEL</v>
      </c>
      <c r="EU380" t="str">
        <v>MOLINA CEVALLOS MARIA LORENA</v>
      </c>
      <c r="EV380" t="str">
        <v>MURILLO DELGADO ISAAC GABRIEL</v>
      </c>
      <c r="EW380" t="str">
        <v>ANGULO MURILLO NAVIRA GISSELA</v>
      </c>
      <c r="EX380" t="str">
        <v>OCHOA SOLEDISPA NESTOR IVAN</v>
      </c>
      <c r="EY380" t="str">
        <v>PARRAGA FRANCO SILVANA MARIELA</v>
      </c>
      <c r="EZ380" t="str">
        <v>PINARGOTE VASQUEZ NANCY FABIOLA</v>
      </c>
      <c r="FA380" t="str">
        <v>REYES VELEZ PEDRO ENRIQUE</v>
      </c>
      <c r="FB380" t="str">
        <v>SAN ANDRES HORMAZA DALLAS CECILIA</v>
      </c>
      <c r="FC380" t="str">
        <v>SORNOZA ZAMORA JUAN CARLOS</v>
      </c>
      <c r="FD380" t="str">
        <v>TOMALA PINTO JESUS JACINTO</v>
      </c>
      <c r="FE380" t="str">
        <v>VALLE JARAMILLO SILVIA ARACELY</v>
      </c>
      <c r="FF380" t="str">
        <v>VELÁSQUEZ BRAVO IRMA KATHERINE</v>
      </c>
      <c r="FG380" t="str">
        <v>VELEZ MENDOZA LAYSY VALERIA</v>
      </c>
      <c r="FH380" t="str">
        <v>VINUEZA TELLO SHIRLEY ELIZABETH</v>
      </c>
      <c r="FI380" t="str">
        <v>ZAMBRANO ALCIVAR NILDA ISABEL</v>
      </c>
      <c r="FJ380" t="str">
        <v>ZAMBRANO LOOR RITA MAYDA</v>
      </c>
      <c r="FK380" t="str">
        <v>ZAMBRANO VERA MONICA JANETH</v>
      </c>
      <c r="FL380" t="str">
        <v>VERA DELGADO BRYAN ADRIÁN</v>
      </c>
      <c r="FM380" t="str">
        <v>MORAN GONZALES DAVID RENATO</v>
      </c>
      <c r="FN380">
        <v>0</v>
      </c>
    </row>
    <row r="381" spans="1:170" ht="20.25" customHeight="1">
      <c r="A381" s="4" t="str" cm="1">
        <f t="array" ref="A381">TRANSPOSE(_xlfn.UNIQUE(_xlfn._xlws.FILTER(MAE_ASIGNATURA[ID_NIVEL],MAE_ASIGNATURA[ID_CARRERA]=ASIGNACION!$C381,"No existe información")))</f>
        <v>No existe información</v>
      </c>
      <c r="S381" s="4" t="str" cm="1">
        <f t="array" ref="S381">TRANSPOSE(_xlfn.UNIQUE(_xlfn._xlws.FILTER(MAE_ASIGNATURA[NOM_ASIG],(MAE_ASIGNATURA[ID_NIVEL]=ASIGNACION!$D381)*(MAE_ASIGNATURA[ID_CARRERA]=ASIGNACION!$C381),"No existe información")))</f>
        <v>No existe información</v>
      </c>
      <c r="BD381" s="4" t="str" cm="1">
        <f t="array" ref="BD381">TRANSPOSE(_xlfn.UNIQUE(_xlfn._xlws.FILTER(DET_ASIG[DETALLADO],(DET_ASIG[ID_CARRERA]=ASIGNACION!$C381)*(DET_ASIG[NIVEL]=ASIGNACION!$D381)*(DET_ASIG[ID_ASIG]=ASIGNACION!$G381),"No existe información")))</f>
        <v>No existe información</v>
      </c>
      <c r="BQ381" s="5" t="str" cm="1">
        <f t="array" ref="BQ381">IFERROR(
    TRANSPOSE(
        _xlfn.UNIQUE(
            _xlfn._xlws.FILTER(MAESTRIA_DETALLADO[MAESTRIA],
                ISNUMBER(MATCH(MAESTRIA_DETALLADO[CAMPO_DETALLADO],
                BD381:BP381,0))
            )
        )
    ),IF(BD381="ACTIVIDAD","DOCENCIA",""))</f>
        <v/>
      </c>
      <c r="EA381" s="5" t="str" cm="1">
        <f t="array" ref="EA381:FN381">IF(
    ASIGNACION!I381="SI",
    IFERROR(
        TRANSPOSE(
            _xlfn.UNIQUE(
                _xlfn._xlws.FILTER(EDU_DOCENTE[NOMBRE_DOCENTE],
                    ISNUMBER(MATCH(EDU_DOCENTE[MAESTRIA],
                    BQ381:DY381,0))
                )
            )
        ),
        ""
    ),
    TRANSPOSE(
        _xlfn.UNIQUE(EDU_DOCENTE[NOMBRE_DOCENTE]
        )
    )
)</f>
        <v>ALCIVAR CEDEÑO BEATRIZ ISABEL</v>
      </c>
      <c r="EB381" t="str">
        <v>ALCIVAR VERA GEMA MICHELLE</v>
      </c>
      <c r="EC381" t="str">
        <v>ARAUZ CHAVEZ MARIO ROBERTO</v>
      </c>
      <c r="ED381" t="str">
        <v>BAILON LOURIDO WALTER ALBERTO</v>
      </c>
      <c r="EE381" t="str">
        <v>CALDERERO VILLAGOMEZ ERICK ANTONIO</v>
      </c>
      <c r="EF381" t="str">
        <v>CASTILLO GARCIA PAOLA GERMANIA</v>
      </c>
      <c r="EG381" t="str">
        <v>CEDEÑO CHOEZ PEDRO JAVIER</v>
      </c>
      <c r="EH381" t="str">
        <v>CEVALLOS HOPPE JUAN CARLOS</v>
      </c>
      <c r="EI381" t="str">
        <v>DELGADO CHAVEZ MARIA IRASEMA</v>
      </c>
      <c r="EJ381" t="str">
        <v>DUARTE VALENCIA CRISTHIAN DARIO</v>
      </c>
      <c r="EK381" t="str">
        <v>FORTTY BARBERAN DENNY ALEXANDER</v>
      </c>
      <c r="EL381" t="str">
        <v>GUTIERREZ ZAMBRANO CARMEN EBELINA</v>
      </c>
      <c r="EM381" t="str">
        <v>INTRIAGO MOLINA GEMA VALERIA</v>
      </c>
      <c r="EN381" t="str">
        <v>LINO VELEZ LEONEL LIVINGTON</v>
      </c>
      <c r="EO381" t="str">
        <v>LOOR ALCIVAR MARIA ILIANA</v>
      </c>
      <c r="EP381" t="str">
        <v>LOOR MIELES TANIA JACQUELINE</v>
      </c>
      <c r="EQ381" t="str">
        <v>LOOR SOLORZANO ROSA MARIA</v>
      </c>
      <c r="ER381" t="str">
        <v>LOPEZ DELGADO RONALD MAURICIO</v>
      </c>
      <c r="ES381" t="str">
        <v>MACIAS VALENCIA DAVID GABRIEL</v>
      </c>
      <c r="ET381" t="str">
        <v>MENDOZA ZAMORA WALTER MANUEL</v>
      </c>
      <c r="EU381" t="str">
        <v>MOLINA CEVALLOS MARIA LORENA</v>
      </c>
      <c r="EV381" t="str">
        <v>MURILLO DELGADO ISAAC GABRIEL</v>
      </c>
      <c r="EW381" t="str">
        <v>ANGULO MURILLO NAVIRA GISSELA</v>
      </c>
      <c r="EX381" t="str">
        <v>OCHOA SOLEDISPA NESTOR IVAN</v>
      </c>
      <c r="EY381" t="str">
        <v>PARRAGA FRANCO SILVANA MARIELA</v>
      </c>
      <c r="EZ381" t="str">
        <v>PINARGOTE VASQUEZ NANCY FABIOLA</v>
      </c>
      <c r="FA381" t="str">
        <v>REYES VELEZ PEDRO ENRIQUE</v>
      </c>
      <c r="FB381" t="str">
        <v>SAN ANDRES HORMAZA DALLAS CECILIA</v>
      </c>
      <c r="FC381" t="str">
        <v>SORNOZA ZAMORA JUAN CARLOS</v>
      </c>
      <c r="FD381" t="str">
        <v>TOMALA PINTO JESUS JACINTO</v>
      </c>
      <c r="FE381" t="str">
        <v>VALLE JARAMILLO SILVIA ARACELY</v>
      </c>
      <c r="FF381" t="str">
        <v>VELÁSQUEZ BRAVO IRMA KATHERINE</v>
      </c>
      <c r="FG381" t="str">
        <v>VELEZ MENDOZA LAYSY VALERIA</v>
      </c>
      <c r="FH381" t="str">
        <v>VINUEZA TELLO SHIRLEY ELIZABETH</v>
      </c>
      <c r="FI381" t="str">
        <v>ZAMBRANO ALCIVAR NILDA ISABEL</v>
      </c>
      <c r="FJ381" t="str">
        <v>ZAMBRANO LOOR RITA MAYDA</v>
      </c>
      <c r="FK381" t="str">
        <v>ZAMBRANO VERA MONICA JANETH</v>
      </c>
      <c r="FL381" t="str">
        <v>VERA DELGADO BRYAN ADRIÁN</v>
      </c>
      <c r="FM381" t="str">
        <v>MORAN GONZALES DAVID RENATO</v>
      </c>
      <c r="FN381">
        <v>0</v>
      </c>
    </row>
    <row r="382" spans="1:170" ht="20.25" customHeight="1">
      <c r="A382" s="4" t="str" cm="1">
        <f t="array" ref="A382">TRANSPOSE(_xlfn.UNIQUE(_xlfn._xlws.FILTER(MAE_ASIGNATURA[ID_NIVEL],MAE_ASIGNATURA[ID_CARRERA]=ASIGNACION!$C382,"No existe información")))</f>
        <v>No existe información</v>
      </c>
      <c r="S382" s="4" t="str" cm="1">
        <f t="array" ref="S382">TRANSPOSE(_xlfn.UNIQUE(_xlfn._xlws.FILTER(MAE_ASIGNATURA[NOM_ASIG],(MAE_ASIGNATURA[ID_NIVEL]=ASIGNACION!$D382)*(MAE_ASIGNATURA[ID_CARRERA]=ASIGNACION!$C382),"No existe información")))</f>
        <v>No existe información</v>
      </c>
      <c r="BD382" s="4" t="str" cm="1">
        <f t="array" ref="BD382">TRANSPOSE(_xlfn.UNIQUE(_xlfn._xlws.FILTER(DET_ASIG[DETALLADO],(DET_ASIG[ID_CARRERA]=ASIGNACION!$C382)*(DET_ASIG[NIVEL]=ASIGNACION!$D382)*(DET_ASIG[ID_ASIG]=ASIGNACION!$G382),"No existe información")))</f>
        <v>No existe información</v>
      </c>
      <c r="BQ382" s="5" t="str" cm="1">
        <f t="array" ref="BQ382">IFERROR(
    TRANSPOSE(
        _xlfn.UNIQUE(
            _xlfn._xlws.FILTER(MAESTRIA_DETALLADO[MAESTRIA],
                ISNUMBER(MATCH(MAESTRIA_DETALLADO[CAMPO_DETALLADO],
                BD382:BP382,0))
            )
        )
    ),IF(BD382="ACTIVIDAD","DOCENCIA",""))</f>
        <v/>
      </c>
      <c r="EA382" s="5" t="str" cm="1">
        <f t="array" ref="EA382:FN382">IF(
    ASIGNACION!I382="SI",
    IFERROR(
        TRANSPOSE(
            _xlfn.UNIQUE(
                _xlfn._xlws.FILTER(EDU_DOCENTE[NOMBRE_DOCENTE],
                    ISNUMBER(MATCH(EDU_DOCENTE[MAESTRIA],
                    BQ382:DY382,0))
                )
            )
        ),
        ""
    ),
    TRANSPOSE(
        _xlfn.UNIQUE(EDU_DOCENTE[NOMBRE_DOCENTE]
        )
    )
)</f>
        <v>ALCIVAR CEDEÑO BEATRIZ ISABEL</v>
      </c>
      <c r="EB382" t="str">
        <v>ALCIVAR VERA GEMA MICHELLE</v>
      </c>
      <c r="EC382" t="str">
        <v>ARAUZ CHAVEZ MARIO ROBERTO</v>
      </c>
      <c r="ED382" t="str">
        <v>BAILON LOURIDO WALTER ALBERTO</v>
      </c>
      <c r="EE382" t="str">
        <v>CALDERERO VILLAGOMEZ ERICK ANTONIO</v>
      </c>
      <c r="EF382" t="str">
        <v>CASTILLO GARCIA PAOLA GERMANIA</v>
      </c>
      <c r="EG382" t="str">
        <v>CEDEÑO CHOEZ PEDRO JAVIER</v>
      </c>
      <c r="EH382" t="str">
        <v>CEVALLOS HOPPE JUAN CARLOS</v>
      </c>
      <c r="EI382" t="str">
        <v>DELGADO CHAVEZ MARIA IRASEMA</v>
      </c>
      <c r="EJ382" t="str">
        <v>DUARTE VALENCIA CRISTHIAN DARIO</v>
      </c>
      <c r="EK382" t="str">
        <v>FORTTY BARBERAN DENNY ALEXANDER</v>
      </c>
      <c r="EL382" t="str">
        <v>GUTIERREZ ZAMBRANO CARMEN EBELINA</v>
      </c>
      <c r="EM382" t="str">
        <v>INTRIAGO MOLINA GEMA VALERIA</v>
      </c>
      <c r="EN382" t="str">
        <v>LINO VELEZ LEONEL LIVINGTON</v>
      </c>
      <c r="EO382" t="str">
        <v>LOOR ALCIVAR MARIA ILIANA</v>
      </c>
      <c r="EP382" t="str">
        <v>LOOR MIELES TANIA JACQUELINE</v>
      </c>
      <c r="EQ382" t="str">
        <v>LOOR SOLORZANO ROSA MARIA</v>
      </c>
      <c r="ER382" t="str">
        <v>LOPEZ DELGADO RONALD MAURICIO</v>
      </c>
      <c r="ES382" t="str">
        <v>MACIAS VALENCIA DAVID GABRIEL</v>
      </c>
      <c r="ET382" t="str">
        <v>MENDOZA ZAMORA WALTER MANUEL</v>
      </c>
      <c r="EU382" t="str">
        <v>MOLINA CEVALLOS MARIA LORENA</v>
      </c>
      <c r="EV382" t="str">
        <v>MURILLO DELGADO ISAAC GABRIEL</v>
      </c>
      <c r="EW382" t="str">
        <v>ANGULO MURILLO NAVIRA GISSELA</v>
      </c>
      <c r="EX382" t="str">
        <v>OCHOA SOLEDISPA NESTOR IVAN</v>
      </c>
      <c r="EY382" t="str">
        <v>PARRAGA FRANCO SILVANA MARIELA</v>
      </c>
      <c r="EZ382" t="str">
        <v>PINARGOTE VASQUEZ NANCY FABIOLA</v>
      </c>
      <c r="FA382" t="str">
        <v>REYES VELEZ PEDRO ENRIQUE</v>
      </c>
      <c r="FB382" t="str">
        <v>SAN ANDRES HORMAZA DALLAS CECILIA</v>
      </c>
      <c r="FC382" t="str">
        <v>SORNOZA ZAMORA JUAN CARLOS</v>
      </c>
      <c r="FD382" t="str">
        <v>TOMALA PINTO JESUS JACINTO</v>
      </c>
      <c r="FE382" t="str">
        <v>VALLE JARAMILLO SILVIA ARACELY</v>
      </c>
      <c r="FF382" t="str">
        <v>VELÁSQUEZ BRAVO IRMA KATHERINE</v>
      </c>
      <c r="FG382" t="str">
        <v>VELEZ MENDOZA LAYSY VALERIA</v>
      </c>
      <c r="FH382" t="str">
        <v>VINUEZA TELLO SHIRLEY ELIZABETH</v>
      </c>
      <c r="FI382" t="str">
        <v>ZAMBRANO ALCIVAR NILDA ISABEL</v>
      </c>
      <c r="FJ382" t="str">
        <v>ZAMBRANO LOOR RITA MAYDA</v>
      </c>
      <c r="FK382" t="str">
        <v>ZAMBRANO VERA MONICA JANETH</v>
      </c>
      <c r="FL382" t="str">
        <v>VERA DELGADO BRYAN ADRIÁN</v>
      </c>
      <c r="FM382" t="str">
        <v>MORAN GONZALES DAVID RENATO</v>
      </c>
      <c r="FN382">
        <v>0</v>
      </c>
    </row>
    <row r="383" spans="1:170" ht="20.25" customHeight="1">
      <c r="A383" s="4" t="str" cm="1">
        <f t="array" ref="A383">TRANSPOSE(_xlfn.UNIQUE(_xlfn._xlws.FILTER(MAE_ASIGNATURA[ID_NIVEL],MAE_ASIGNATURA[ID_CARRERA]=ASIGNACION!$C383,"No existe información")))</f>
        <v>No existe información</v>
      </c>
      <c r="S383" s="4" t="str" cm="1">
        <f t="array" ref="S383">TRANSPOSE(_xlfn.UNIQUE(_xlfn._xlws.FILTER(MAE_ASIGNATURA[NOM_ASIG],(MAE_ASIGNATURA[ID_NIVEL]=ASIGNACION!$D383)*(MAE_ASIGNATURA[ID_CARRERA]=ASIGNACION!$C383),"No existe información")))</f>
        <v>No existe información</v>
      </c>
      <c r="BD383" s="4" t="str" cm="1">
        <f t="array" ref="BD383">TRANSPOSE(_xlfn.UNIQUE(_xlfn._xlws.FILTER(DET_ASIG[DETALLADO],(DET_ASIG[ID_CARRERA]=ASIGNACION!$C383)*(DET_ASIG[NIVEL]=ASIGNACION!$D383)*(DET_ASIG[ID_ASIG]=ASIGNACION!$G383),"No existe información")))</f>
        <v>No existe información</v>
      </c>
      <c r="BQ383" s="5" t="str" cm="1">
        <f t="array" ref="BQ383">IFERROR(
    TRANSPOSE(
        _xlfn.UNIQUE(
            _xlfn._xlws.FILTER(MAESTRIA_DETALLADO[MAESTRIA],
                ISNUMBER(MATCH(MAESTRIA_DETALLADO[CAMPO_DETALLADO],
                BD383:BP383,0))
            )
        )
    ),IF(BD383="ACTIVIDAD","DOCENCIA",""))</f>
        <v/>
      </c>
      <c r="EA383" s="5" t="str" cm="1">
        <f t="array" ref="EA383:FN383">IF(
    ASIGNACION!I383="SI",
    IFERROR(
        TRANSPOSE(
            _xlfn.UNIQUE(
                _xlfn._xlws.FILTER(EDU_DOCENTE[NOMBRE_DOCENTE],
                    ISNUMBER(MATCH(EDU_DOCENTE[MAESTRIA],
                    BQ383:DY383,0))
                )
            )
        ),
        ""
    ),
    TRANSPOSE(
        _xlfn.UNIQUE(EDU_DOCENTE[NOMBRE_DOCENTE]
        )
    )
)</f>
        <v>ALCIVAR CEDEÑO BEATRIZ ISABEL</v>
      </c>
      <c r="EB383" t="str">
        <v>ALCIVAR VERA GEMA MICHELLE</v>
      </c>
      <c r="EC383" t="str">
        <v>ARAUZ CHAVEZ MARIO ROBERTO</v>
      </c>
      <c r="ED383" t="str">
        <v>BAILON LOURIDO WALTER ALBERTO</v>
      </c>
      <c r="EE383" t="str">
        <v>CALDERERO VILLAGOMEZ ERICK ANTONIO</v>
      </c>
      <c r="EF383" t="str">
        <v>CASTILLO GARCIA PAOLA GERMANIA</v>
      </c>
      <c r="EG383" t="str">
        <v>CEDEÑO CHOEZ PEDRO JAVIER</v>
      </c>
      <c r="EH383" t="str">
        <v>CEVALLOS HOPPE JUAN CARLOS</v>
      </c>
      <c r="EI383" t="str">
        <v>DELGADO CHAVEZ MARIA IRASEMA</v>
      </c>
      <c r="EJ383" t="str">
        <v>DUARTE VALENCIA CRISTHIAN DARIO</v>
      </c>
      <c r="EK383" t="str">
        <v>FORTTY BARBERAN DENNY ALEXANDER</v>
      </c>
      <c r="EL383" t="str">
        <v>GUTIERREZ ZAMBRANO CARMEN EBELINA</v>
      </c>
      <c r="EM383" t="str">
        <v>INTRIAGO MOLINA GEMA VALERIA</v>
      </c>
      <c r="EN383" t="str">
        <v>LINO VELEZ LEONEL LIVINGTON</v>
      </c>
      <c r="EO383" t="str">
        <v>LOOR ALCIVAR MARIA ILIANA</v>
      </c>
      <c r="EP383" t="str">
        <v>LOOR MIELES TANIA JACQUELINE</v>
      </c>
      <c r="EQ383" t="str">
        <v>LOOR SOLORZANO ROSA MARIA</v>
      </c>
      <c r="ER383" t="str">
        <v>LOPEZ DELGADO RONALD MAURICIO</v>
      </c>
      <c r="ES383" t="str">
        <v>MACIAS VALENCIA DAVID GABRIEL</v>
      </c>
      <c r="ET383" t="str">
        <v>MENDOZA ZAMORA WALTER MANUEL</v>
      </c>
      <c r="EU383" t="str">
        <v>MOLINA CEVALLOS MARIA LORENA</v>
      </c>
      <c r="EV383" t="str">
        <v>MURILLO DELGADO ISAAC GABRIEL</v>
      </c>
      <c r="EW383" t="str">
        <v>ANGULO MURILLO NAVIRA GISSELA</v>
      </c>
      <c r="EX383" t="str">
        <v>OCHOA SOLEDISPA NESTOR IVAN</v>
      </c>
      <c r="EY383" t="str">
        <v>PARRAGA FRANCO SILVANA MARIELA</v>
      </c>
      <c r="EZ383" t="str">
        <v>PINARGOTE VASQUEZ NANCY FABIOLA</v>
      </c>
      <c r="FA383" t="str">
        <v>REYES VELEZ PEDRO ENRIQUE</v>
      </c>
      <c r="FB383" t="str">
        <v>SAN ANDRES HORMAZA DALLAS CECILIA</v>
      </c>
      <c r="FC383" t="str">
        <v>SORNOZA ZAMORA JUAN CARLOS</v>
      </c>
      <c r="FD383" t="str">
        <v>TOMALA PINTO JESUS JACINTO</v>
      </c>
      <c r="FE383" t="str">
        <v>VALLE JARAMILLO SILVIA ARACELY</v>
      </c>
      <c r="FF383" t="str">
        <v>VELÁSQUEZ BRAVO IRMA KATHERINE</v>
      </c>
      <c r="FG383" t="str">
        <v>VELEZ MENDOZA LAYSY VALERIA</v>
      </c>
      <c r="FH383" t="str">
        <v>VINUEZA TELLO SHIRLEY ELIZABETH</v>
      </c>
      <c r="FI383" t="str">
        <v>ZAMBRANO ALCIVAR NILDA ISABEL</v>
      </c>
      <c r="FJ383" t="str">
        <v>ZAMBRANO LOOR RITA MAYDA</v>
      </c>
      <c r="FK383" t="str">
        <v>ZAMBRANO VERA MONICA JANETH</v>
      </c>
      <c r="FL383" t="str">
        <v>VERA DELGADO BRYAN ADRIÁN</v>
      </c>
      <c r="FM383" t="str">
        <v>MORAN GONZALES DAVID RENATO</v>
      </c>
      <c r="FN383">
        <v>0</v>
      </c>
    </row>
    <row r="384" spans="1:170" ht="20.25" customHeight="1">
      <c r="A384" s="4" t="str" cm="1">
        <f t="array" ref="A384">TRANSPOSE(_xlfn.UNIQUE(_xlfn._xlws.FILTER(MAE_ASIGNATURA[ID_NIVEL],MAE_ASIGNATURA[ID_CARRERA]=ASIGNACION!$C384,"No existe información")))</f>
        <v>No existe información</v>
      </c>
      <c r="S384" s="4" t="str" cm="1">
        <f t="array" ref="S384">TRANSPOSE(_xlfn.UNIQUE(_xlfn._xlws.FILTER(MAE_ASIGNATURA[NOM_ASIG],(MAE_ASIGNATURA[ID_NIVEL]=ASIGNACION!$D384)*(MAE_ASIGNATURA[ID_CARRERA]=ASIGNACION!$C384),"No existe información")))</f>
        <v>No existe información</v>
      </c>
      <c r="BD384" s="4" t="str" cm="1">
        <f t="array" ref="BD384">TRANSPOSE(_xlfn.UNIQUE(_xlfn._xlws.FILTER(DET_ASIG[DETALLADO],(DET_ASIG[ID_CARRERA]=ASIGNACION!$C384)*(DET_ASIG[NIVEL]=ASIGNACION!$D384)*(DET_ASIG[ID_ASIG]=ASIGNACION!$G384),"No existe información")))</f>
        <v>No existe información</v>
      </c>
      <c r="BQ384" s="5" t="str" cm="1">
        <f t="array" ref="BQ384">IFERROR(
    TRANSPOSE(
        _xlfn.UNIQUE(
            _xlfn._xlws.FILTER(MAESTRIA_DETALLADO[MAESTRIA],
                ISNUMBER(MATCH(MAESTRIA_DETALLADO[CAMPO_DETALLADO],
                BD384:BP384,0))
            )
        )
    ),IF(BD384="ACTIVIDAD","DOCENCIA",""))</f>
        <v/>
      </c>
      <c r="EA384" s="5" t="str" cm="1">
        <f t="array" ref="EA384:FN384">IF(
    ASIGNACION!I384="SI",
    IFERROR(
        TRANSPOSE(
            _xlfn.UNIQUE(
                _xlfn._xlws.FILTER(EDU_DOCENTE[NOMBRE_DOCENTE],
                    ISNUMBER(MATCH(EDU_DOCENTE[MAESTRIA],
                    BQ384:DY384,0))
                )
            )
        ),
        ""
    ),
    TRANSPOSE(
        _xlfn.UNIQUE(EDU_DOCENTE[NOMBRE_DOCENTE]
        )
    )
)</f>
        <v>ALCIVAR CEDEÑO BEATRIZ ISABEL</v>
      </c>
      <c r="EB384" t="str">
        <v>ALCIVAR VERA GEMA MICHELLE</v>
      </c>
      <c r="EC384" t="str">
        <v>ARAUZ CHAVEZ MARIO ROBERTO</v>
      </c>
      <c r="ED384" t="str">
        <v>BAILON LOURIDO WALTER ALBERTO</v>
      </c>
      <c r="EE384" t="str">
        <v>CALDERERO VILLAGOMEZ ERICK ANTONIO</v>
      </c>
      <c r="EF384" t="str">
        <v>CASTILLO GARCIA PAOLA GERMANIA</v>
      </c>
      <c r="EG384" t="str">
        <v>CEDEÑO CHOEZ PEDRO JAVIER</v>
      </c>
      <c r="EH384" t="str">
        <v>CEVALLOS HOPPE JUAN CARLOS</v>
      </c>
      <c r="EI384" t="str">
        <v>DELGADO CHAVEZ MARIA IRASEMA</v>
      </c>
      <c r="EJ384" t="str">
        <v>DUARTE VALENCIA CRISTHIAN DARIO</v>
      </c>
      <c r="EK384" t="str">
        <v>FORTTY BARBERAN DENNY ALEXANDER</v>
      </c>
      <c r="EL384" t="str">
        <v>GUTIERREZ ZAMBRANO CARMEN EBELINA</v>
      </c>
      <c r="EM384" t="str">
        <v>INTRIAGO MOLINA GEMA VALERIA</v>
      </c>
      <c r="EN384" t="str">
        <v>LINO VELEZ LEONEL LIVINGTON</v>
      </c>
      <c r="EO384" t="str">
        <v>LOOR ALCIVAR MARIA ILIANA</v>
      </c>
      <c r="EP384" t="str">
        <v>LOOR MIELES TANIA JACQUELINE</v>
      </c>
      <c r="EQ384" t="str">
        <v>LOOR SOLORZANO ROSA MARIA</v>
      </c>
      <c r="ER384" t="str">
        <v>LOPEZ DELGADO RONALD MAURICIO</v>
      </c>
      <c r="ES384" t="str">
        <v>MACIAS VALENCIA DAVID GABRIEL</v>
      </c>
      <c r="ET384" t="str">
        <v>MENDOZA ZAMORA WALTER MANUEL</v>
      </c>
      <c r="EU384" t="str">
        <v>MOLINA CEVALLOS MARIA LORENA</v>
      </c>
      <c r="EV384" t="str">
        <v>MURILLO DELGADO ISAAC GABRIEL</v>
      </c>
      <c r="EW384" t="str">
        <v>ANGULO MURILLO NAVIRA GISSELA</v>
      </c>
      <c r="EX384" t="str">
        <v>OCHOA SOLEDISPA NESTOR IVAN</v>
      </c>
      <c r="EY384" t="str">
        <v>PARRAGA FRANCO SILVANA MARIELA</v>
      </c>
      <c r="EZ384" t="str">
        <v>PINARGOTE VASQUEZ NANCY FABIOLA</v>
      </c>
      <c r="FA384" t="str">
        <v>REYES VELEZ PEDRO ENRIQUE</v>
      </c>
      <c r="FB384" t="str">
        <v>SAN ANDRES HORMAZA DALLAS CECILIA</v>
      </c>
      <c r="FC384" t="str">
        <v>SORNOZA ZAMORA JUAN CARLOS</v>
      </c>
      <c r="FD384" t="str">
        <v>TOMALA PINTO JESUS JACINTO</v>
      </c>
      <c r="FE384" t="str">
        <v>VALLE JARAMILLO SILVIA ARACELY</v>
      </c>
      <c r="FF384" t="str">
        <v>VELÁSQUEZ BRAVO IRMA KATHERINE</v>
      </c>
      <c r="FG384" t="str">
        <v>VELEZ MENDOZA LAYSY VALERIA</v>
      </c>
      <c r="FH384" t="str">
        <v>VINUEZA TELLO SHIRLEY ELIZABETH</v>
      </c>
      <c r="FI384" t="str">
        <v>ZAMBRANO ALCIVAR NILDA ISABEL</v>
      </c>
      <c r="FJ384" t="str">
        <v>ZAMBRANO LOOR RITA MAYDA</v>
      </c>
      <c r="FK384" t="str">
        <v>ZAMBRANO VERA MONICA JANETH</v>
      </c>
      <c r="FL384" t="str">
        <v>VERA DELGADO BRYAN ADRIÁN</v>
      </c>
      <c r="FM384" t="str">
        <v>MORAN GONZALES DAVID RENATO</v>
      </c>
      <c r="FN384">
        <v>0</v>
      </c>
    </row>
    <row r="385" spans="1:170" ht="20.25" customHeight="1">
      <c r="A385" s="4" t="str" cm="1">
        <f t="array" ref="A385">TRANSPOSE(_xlfn.UNIQUE(_xlfn._xlws.FILTER(MAE_ASIGNATURA[ID_NIVEL],MAE_ASIGNATURA[ID_CARRERA]=ASIGNACION!$C385,"No existe información")))</f>
        <v>No existe información</v>
      </c>
      <c r="S385" s="4" t="str" cm="1">
        <f t="array" ref="S385">TRANSPOSE(_xlfn.UNIQUE(_xlfn._xlws.FILTER(MAE_ASIGNATURA[NOM_ASIG],(MAE_ASIGNATURA[ID_NIVEL]=ASIGNACION!$D385)*(MAE_ASIGNATURA[ID_CARRERA]=ASIGNACION!$C385),"No existe información")))</f>
        <v>No existe información</v>
      </c>
      <c r="BD385" s="4" t="str" cm="1">
        <f t="array" ref="BD385">TRANSPOSE(_xlfn.UNIQUE(_xlfn._xlws.FILTER(DET_ASIG[DETALLADO],(DET_ASIG[ID_CARRERA]=ASIGNACION!$C385)*(DET_ASIG[NIVEL]=ASIGNACION!$D385)*(DET_ASIG[ID_ASIG]=ASIGNACION!$G385),"No existe información")))</f>
        <v>No existe información</v>
      </c>
      <c r="BQ385" s="5" t="str" cm="1">
        <f t="array" ref="BQ385">IFERROR(
    TRANSPOSE(
        _xlfn.UNIQUE(
            _xlfn._xlws.FILTER(MAESTRIA_DETALLADO[MAESTRIA],
                ISNUMBER(MATCH(MAESTRIA_DETALLADO[CAMPO_DETALLADO],
                BD385:BP385,0))
            )
        )
    ),IF(BD385="ACTIVIDAD","DOCENCIA",""))</f>
        <v/>
      </c>
      <c r="EA385" s="5" t="str" cm="1">
        <f t="array" ref="EA385:FN385">IF(
    ASIGNACION!I385="SI",
    IFERROR(
        TRANSPOSE(
            _xlfn.UNIQUE(
                _xlfn._xlws.FILTER(EDU_DOCENTE[NOMBRE_DOCENTE],
                    ISNUMBER(MATCH(EDU_DOCENTE[MAESTRIA],
                    BQ385:DY385,0))
                )
            )
        ),
        ""
    ),
    TRANSPOSE(
        _xlfn.UNIQUE(EDU_DOCENTE[NOMBRE_DOCENTE]
        )
    )
)</f>
        <v>ALCIVAR CEDEÑO BEATRIZ ISABEL</v>
      </c>
      <c r="EB385" t="str">
        <v>ALCIVAR VERA GEMA MICHELLE</v>
      </c>
      <c r="EC385" t="str">
        <v>ARAUZ CHAVEZ MARIO ROBERTO</v>
      </c>
      <c r="ED385" t="str">
        <v>BAILON LOURIDO WALTER ALBERTO</v>
      </c>
      <c r="EE385" t="str">
        <v>CALDERERO VILLAGOMEZ ERICK ANTONIO</v>
      </c>
      <c r="EF385" t="str">
        <v>CASTILLO GARCIA PAOLA GERMANIA</v>
      </c>
      <c r="EG385" t="str">
        <v>CEDEÑO CHOEZ PEDRO JAVIER</v>
      </c>
      <c r="EH385" t="str">
        <v>CEVALLOS HOPPE JUAN CARLOS</v>
      </c>
      <c r="EI385" t="str">
        <v>DELGADO CHAVEZ MARIA IRASEMA</v>
      </c>
      <c r="EJ385" t="str">
        <v>DUARTE VALENCIA CRISTHIAN DARIO</v>
      </c>
      <c r="EK385" t="str">
        <v>FORTTY BARBERAN DENNY ALEXANDER</v>
      </c>
      <c r="EL385" t="str">
        <v>GUTIERREZ ZAMBRANO CARMEN EBELINA</v>
      </c>
      <c r="EM385" t="str">
        <v>INTRIAGO MOLINA GEMA VALERIA</v>
      </c>
      <c r="EN385" t="str">
        <v>LINO VELEZ LEONEL LIVINGTON</v>
      </c>
      <c r="EO385" t="str">
        <v>LOOR ALCIVAR MARIA ILIANA</v>
      </c>
      <c r="EP385" t="str">
        <v>LOOR MIELES TANIA JACQUELINE</v>
      </c>
      <c r="EQ385" t="str">
        <v>LOOR SOLORZANO ROSA MARIA</v>
      </c>
      <c r="ER385" t="str">
        <v>LOPEZ DELGADO RONALD MAURICIO</v>
      </c>
      <c r="ES385" t="str">
        <v>MACIAS VALENCIA DAVID GABRIEL</v>
      </c>
      <c r="ET385" t="str">
        <v>MENDOZA ZAMORA WALTER MANUEL</v>
      </c>
      <c r="EU385" t="str">
        <v>MOLINA CEVALLOS MARIA LORENA</v>
      </c>
      <c r="EV385" t="str">
        <v>MURILLO DELGADO ISAAC GABRIEL</v>
      </c>
      <c r="EW385" t="str">
        <v>ANGULO MURILLO NAVIRA GISSELA</v>
      </c>
      <c r="EX385" t="str">
        <v>OCHOA SOLEDISPA NESTOR IVAN</v>
      </c>
      <c r="EY385" t="str">
        <v>PARRAGA FRANCO SILVANA MARIELA</v>
      </c>
      <c r="EZ385" t="str">
        <v>PINARGOTE VASQUEZ NANCY FABIOLA</v>
      </c>
      <c r="FA385" t="str">
        <v>REYES VELEZ PEDRO ENRIQUE</v>
      </c>
      <c r="FB385" t="str">
        <v>SAN ANDRES HORMAZA DALLAS CECILIA</v>
      </c>
      <c r="FC385" t="str">
        <v>SORNOZA ZAMORA JUAN CARLOS</v>
      </c>
      <c r="FD385" t="str">
        <v>TOMALA PINTO JESUS JACINTO</v>
      </c>
      <c r="FE385" t="str">
        <v>VALLE JARAMILLO SILVIA ARACELY</v>
      </c>
      <c r="FF385" t="str">
        <v>VELÁSQUEZ BRAVO IRMA KATHERINE</v>
      </c>
      <c r="FG385" t="str">
        <v>VELEZ MENDOZA LAYSY VALERIA</v>
      </c>
      <c r="FH385" t="str">
        <v>VINUEZA TELLO SHIRLEY ELIZABETH</v>
      </c>
      <c r="FI385" t="str">
        <v>ZAMBRANO ALCIVAR NILDA ISABEL</v>
      </c>
      <c r="FJ385" t="str">
        <v>ZAMBRANO LOOR RITA MAYDA</v>
      </c>
      <c r="FK385" t="str">
        <v>ZAMBRANO VERA MONICA JANETH</v>
      </c>
      <c r="FL385" t="str">
        <v>VERA DELGADO BRYAN ADRIÁN</v>
      </c>
      <c r="FM385" t="str">
        <v>MORAN GONZALES DAVID RENATO</v>
      </c>
      <c r="FN385">
        <v>0</v>
      </c>
    </row>
    <row r="386" spans="1:170" ht="20.25" customHeight="1">
      <c r="A386" s="4" t="str" cm="1">
        <f t="array" ref="A386">TRANSPOSE(_xlfn.UNIQUE(_xlfn._xlws.FILTER(MAE_ASIGNATURA[ID_NIVEL],MAE_ASIGNATURA[ID_CARRERA]=ASIGNACION!$C386,"No existe información")))</f>
        <v>No existe información</v>
      </c>
      <c r="S386" s="4" t="str" cm="1">
        <f t="array" ref="S386">TRANSPOSE(_xlfn.UNIQUE(_xlfn._xlws.FILTER(MAE_ASIGNATURA[NOM_ASIG],(MAE_ASIGNATURA[ID_NIVEL]=ASIGNACION!$D386)*(MAE_ASIGNATURA[ID_CARRERA]=ASIGNACION!$C386),"No existe información")))</f>
        <v>No existe información</v>
      </c>
      <c r="BD386" s="4" t="str" cm="1">
        <f t="array" ref="BD386">TRANSPOSE(_xlfn.UNIQUE(_xlfn._xlws.FILTER(DET_ASIG[DETALLADO],(DET_ASIG[ID_CARRERA]=ASIGNACION!$C386)*(DET_ASIG[NIVEL]=ASIGNACION!$D386)*(DET_ASIG[ID_ASIG]=ASIGNACION!$G386),"No existe información")))</f>
        <v>No existe información</v>
      </c>
      <c r="BQ386" s="5" t="str" cm="1">
        <f t="array" ref="BQ386">IFERROR(
    TRANSPOSE(
        _xlfn.UNIQUE(
            _xlfn._xlws.FILTER(MAESTRIA_DETALLADO[MAESTRIA],
                ISNUMBER(MATCH(MAESTRIA_DETALLADO[CAMPO_DETALLADO],
                BD386:BP386,0))
            )
        )
    ),IF(BD386="ACTIVIDAD","DOCENCIA",""))</f>
        <v/>
      </c>
      <c r="EA386" s="5" t="str" cm="1">
        <f t="array" ref="EA386:FN386">IF(
    ASIGNACION!I386="SI",
    IFERROR(
        TRANSPOSE(
            _xlfn.UNIQUE(
                _xlfn._xlws.FILTER(EDU_DOCENTE[NOMBRE_DOCENTE],
                    ISNUMBER(MATCH(EDU_DOCENTE[MAESTRIA],
                    BQ386:DY386,0))
                )
            )
        ),
        ""
    ),
    TRANSPOSE(
        _xlfn.UNIQUE(EDU_DOCENTE[NOMBRE_DOCENTE]
        )
    )
)</f>
        <v>ALCIVAR CEDEÑO BEATRIZ ISABEL</v>
      </c>
      <c r="EB386" t="str">
        <v>ALCIVAR VERA GEMA MICHELLE</v>
      </c>
      <c r="EC386" t="str">
        <v>ARAUZ CHAVEZ MARIO ROBERTO</v>
      </c>
      <c r="ED386" t="str">
        <v>BAILON LOURIDO WALTER ALBERTO</v>
      </c>
      <c r="EE386" t="str">
        <v>CALDERERO VILLAGOMEZ ERICK ANTONIO</v>
      </c>
      <c r="EF386" t="str">
        <v>CASTILLO GARCIA PAOLA GERMANIA</v>
      </c>
      <c r="EG386" t="str">
        <v>CEDEÑO CHOEZ PEDRO JAVIER</v>
      </c>
      <c r="EH386" t="str">
        <v>CEVALLOS HOPPE JUAN CARLOS</v>
      </c>
      <c r="EI386" t="str">
        <v>DELGADO CHAVEZ MARIA IRASEMA</v>
      </c>
      <c r="EJ386" t="str">
        <v>DUARTE VALENCIA CRISTHIAN DARIO</v>
      </c>
      <c r="EK386" t="str">
        <v>FORTTY BARBERAN DENNY ALEXANDER</v>
      </c>
      <c r="EL386" t="str">
        <v>GUTIERREZ ZAMBRANO CARMEN EBELINA</v>
      </c>
      <c r="EM386" t="str">
        <v>INTRIAGO MOLINA GEMA VALERIA</v>
      </c>
      <c r="EN386" t="str">
        <v>LINO VELEZ LEONEL LIVINGTON</v>
      </c>
      <c r="EO386" t="str">
        <v>LOOR ALCIVAR MARIA ILIANA</v>
      </c>
      <c r="EP386" t="str">
        <v>LOOR MIELES TANIA JACQUELINE</v>
      </c>
      <c r="EQ386" t="str">
        <v>LOOR SOLORZANO ROSA MARIA</v>
      </c>
      <c r="ER386" t="str">
        <v>LOPEZ DELGADO RONALD MAURICIO</v>
      </c>
      <c r="ES386" t="str">
        <v>MACIAS VALENCIA DAVID GABRIEL</v>
      </c>
      <c r="ET386" t="str">
        <v>MENDOZA ZAMORA WALTER MANUEL</v>
      </c>
      <c r="EU386" t="str">
        <v>MOLINA CEVALLOS MARIA LORENA</v>
      </c>
      <c r="EV386" t="str">
        <v>MURILLO DELGADO ISAAC GABRIEL</v>
      </c>
      <c r="EW386" t="str">
        <v>ANGULO MURILLO NAVIRA GISSELA</v>
      </c>
      <c r="EX386" t="str">
        <v>OCHOA SOLEDISPA NESTOR IVAN</v>
      </c>
      <c r="EY386" t="str">
        <v>PARRAGA FRANCO SILVANA MARIELA</v>
      </c>
      <c r="EZ386" t="str">
        <v>PINARGOTE VASQUEZ NANCY FABIOLA</v>
      </c>
      <c r="FA386" t="str">
        <v>REYES VELEZ PEDRO ENRIQUE</v>
      </c>
      <c r="FB386" t="str">
        <v>SAN ANDRES HORMAZA DALLAS CECILIA</v>
      </c>
      <c r="FC386" t="str">
        <v>SORNOZA ZAMORA JUAN CARLOS</v>
      </c>
      <c r="FD386" t="str">
        <v>TOMALA PINTO JESUS JACINTO</v>
      </c>
      <c r="FE386" t="str">
        <v>VALLE JARAMILLO SILVIA ARACELY</v>
      </c>
      <c r="FF386" t="str">
        <v>VELÁSQUEZ BRAVO IRMA KATHERINE</v>
      </c>
      <c r="FG386" t="str">
        <v>VELEZ MENDOZA LAYSY VALERIA</v>
      </c>
      <c r="FH386" t="str">
        <v>VINUEZA TELLO SHIRLEY ELIZABETH</v>
      </c>
      <c r="FI386" t="str">
        <v>ZAMBRANO ALCIVAR NILDA ISABEL</v>
      </c>
      <c r="FJ386" t="str">
        <v>ZAMBRANO LOOR RITA MAYDA</v>
      </c>
      <c r="FK386" t="str">
        <v>ZAMBRANO VERA MONICA JANETH</v>
      </c>
      <c r="FL386" t="str">
        <v>VERA DELGADO BRYAN ADRIÁN</v>
      </c>
      <c r="FM386" t="str">
        <v>MORAN GONZALES DAVID RENATO</v>
      </c>
      <c r="FN386">
        <v>0</v>
      </c>
    </row>
    <row r="387" spans="1:170" ht="20.25" customHeight="1">
      <c r="A387" s="4" t="str" cm="1">
        <f t="array" ref="A387">TRANSPOSE(_xlfn.UNIQUE(_xlfn._xlws.FILTER(MAE_ASIGNATURA[ID_NIVEL],MAE_ASIGNATURA[ID_CARRERA]=ASIGNACION!$C387,"No existe información")))</f>
        <v>No existe información</v>
      </c>
      <c r="S387" s="4" t="str" cm="1">
        <f t="array" ref="S387">TRANSPOSE(_xlfn.UNIQUE(_xlfn._xlws.FILTER(MAE_ASIGNATURA[NOM_ASIG],(MAE_ASIGNATURA[ID_NIVEL]=ASIGNACION!$D387)*(MAE_ASIGNATURA[ID_CARRERA]=ASIGNACION!$C387),"No existe información")))</f>
        <v>No existe información</v>
      </c>
      <c r="BD387" s="4" t="str" cm="1">
        <f t="array" ref="BD387">TRANSPOSE(_xlfn.UNIQUE(_xlfn._xlws.FILTER(DET_ASIG[DETALLADO],(DET_ASIG[ID_CARRERA]=ASIGNACION!$C387)*(DET_ASIG[NIVEL]=ASIGNACION!$D387)*(DET_ASIG[ID_ASIG]=ASIGNACION!$G387),"No existe información")))</f>
        <v>No existe información</v>
      </c>
      <c r="BQ387" s="5" t="str" cm="1">
        <f t="array" ref="BQ387">IFERROR(
    TRANSPOSE(
        _xlfn.UNIQUE(
            _xlfn._xlws.FILTER(MAESTRIA_DETALLADO[MAESTRIA],
                ISNUMBER(MATCH(MAESTRIA_DETALLADO[CAMPO_DETALLADO],
                BD387:BP387,0))
            )
        )
    ),IF(BD387="ACTIVIDAD","DOCENCIA",""))</f>
        <v/>
      </c>
      <c r="EA387" s="5" t="str" cm="1">
        <f t="array" ref="EA387:FN387">IF(
    ASIGNACION!I387="SI",
    IFERROR(
        TRANSPOSE(
            _xlfn.UNIQUE(
                _xlfn._xlws.FILTER(EDU_DOCENTE[NOMBRE_DOCENTE],
                    ISNUMBER(MATCH(EDU_DOCENTE[MAESTRIA],
                    BQ387:DY387,0))
                )
            )
        ),
        ""
    ),
    TRANSPOSE(
        _xlfn.UNIQUE(EDU_DOCENTE[NOMBRE_DOCENTE]
        )
    )
)</f>
        <v>ALCIVAR CEDEÑO BEATRIZ ISABEL</v>
      </c>
      <c r="EB387" t="str">
        <v>ALCIVAR VERA GEMA MICHELLE</v>
      </c>
      <c r="EC387" t="str">
        <v>ARAUZ CHAVEZ MARIO ROBERTO</v>
      </c>
      <c r="ED387" t="str">
        <v>BAILON LOURIDO WALTER ALBERTO</v>
      </c>
      <c r="EE387" t="str">
        <v>CALDERERO VILLAGOMEZ ERICK ANTONIO</v>
      </c>
      <c r="EF387" t="str">
        <v>CASTILLO GARCIA PAOLA GERMANIA</v>
      </c>
      <c r="EG387" t="str">
        <v>CEDEÑO CHOEZ PEDRO JAVIER</v>
      </c>
      <c r="EH387" t="str">
        <v>CEVALLOS HOPPE JUAN CARLOS</v>
      </c>
      <c r="EI387" t="str">
        <v>DELGADO CHAVEZ MARIA IRASEMA</v>
      </c>
      <c r="EJ387" t="str">
        <v>DUARTE VALENCIA CRISTHIAN DARIO</v>
      </c>
      <c r="EK387" t="str">
        <v>FORTTY BARBERAN DENNY ALEXANDER</v>
      </c>
      <c r="EL387" t="str">
        <v>GUTIERREZ ZAMBRANO CARMEN EBELINA</v>
      </c>
      <c r="EM387" t="str">
        <v>INTRIAGO MOLINA GEMA VALERIA</v>
      </c>
      <c r="EN387" t="str">
        <v>LINO VELEZ LEONEL LIVINGTON</v>
      </c>
      <c r="EO387" t="str">
        <v>LOOR ALCIVAR MARIA ILIANA</v>
      </c>
      <c r="EP387" t="str">
        <v>LOOR MIELES TANIA JACQUELINE</v>
      </c>
      <c r="EQ387" t="str">
        <v>LOOR SOLORZANO ROSA MARIA</v>
      </c>
      <c r="ER387" t="str">
        <v>LOPEZ DELGADO RONALD MAURICIO</v>
      </c>
      <c r="ES387" t="str">
        <v>MACIAS VALENCIA DAVID GABRIEL</v>
      </c>
      <c r="ET387" t="str">
        <v>MENDOZA ZAMORA WALTER MANUEL</v>
      </c>
      <c r="EU387" t="str">
        <v>MOLINA CEVALLOS MARIA LORENA</v>
      </c>
      <c r="EV387" t="str">
        <v>MURILLO DELGADO ISAAC GABRIEL</v>
      </c>
      <c r="EW387" t="str">
        <v>ANGULO MURILLO NAVIRA GISSELA</v>
      </c>
      <c r="EX387" t="str">
        <v>OCHOA SOLEDISPA NESTOR IVAN</v>
      </c>
      <c r="EY387" t="str">
        <v>PARRAGA FRANCO SILVANA MARIELA</v>
      </c>
      <c r="EZ387" t="str">
        <v>PINARGOTE VASQUEZ NANCY FABIOLA</v>
      </c>
      <c r="FA387" t="str">
        <v>REYES VELEZ PEDRO ENRIQUE</v>
      </c>
      <c r="FB387" t="str">
        <v>SAN ANDRES HORMAZA DALLAS CECILIA</v>
      </c>
      <c r="FC387" t="str">
        <v>SORNOZA ZAMORA JUAN CARLOS</v>
      </c>
      <c r="FD387" t="str">
        <v>TOMALA PINTO JESUS JACINTO</v>
      </c>
      <c r="FE387" t="str">
        <v>VALLE JARAMILLO SILVIA ARACELY</v>
      </c>
      <c r="FF387" t="str">
        <v>VELÁSQUEZ BRAVO IRMA KATHERINE</v>
      </c>
      <c r="FG387" t="str">
        <v>VELEZ MENDOZA LAYSY VALERIA</v>
      </c>
      <c r="FH387" t="str">
        <v>VINUEZA TELLO SHIRLEY ELIZABETH</v>
      </c>
      <c r="FI387" t="str">
        <v>ZAMBRANO ALCIVAR NILDA ISABEL</v>
      </c>
      <c r="FJ387" t="str">
        <v>ZAMBRANO LOOR RITA MAYDA</v>
      </c>
      <c r="FK387" t="str">
        <v>ZAMBRANO VERA MONICA JANETH</v>
      </c>
      <c r="FL387" t="str">
        <v>VERA DELGADO BRYAN ADRIÁN</v>
      </c>
      <c r="FM387" t="str">
        <v>MORAN GONZALES DAVID RENATO</v>
      </c>
      <c r="FN387">
        <v>0</v>
      </c>
    </row>
    <row r="388" spans="1:170" ht="20.25" customHeight="1">
      <c r="A388" s="4" t="str" cm="1">
        <f t="array" ref="A388">TRANSPOSE(_xlfn.UNIQUE(_xlfn._xlws.FILTER(MAE_ASIGNATURA[ID_NIVEL],MAE_ASIGNATURA[ID_CARRERA]=ASIGNACION!$C388,"No existe información")))</f>
        <v>No existe información</v>
      </c>
      <c r="S388" s="4" t="str" cm="1">
        <f t="array" ref="S388">TRANSPOSE(_xlfn.UNIQUE(_xlfn._xlws.FILTER(MAE_ASIGNATURA[NOM_ASIG],(MAE_ASIGNATURA[ID_NIVEL]=ASIGNACION!$D388)*(MAE_ASIGNATURA[ID_CARRERA]=ASIGNACION!$C388),"No existe información")))</f>
        <v>No existe información</v>
      </c>
      <c r="BD388" s="4" t="str" cm="1">
        <f t="array" ref="BD388">TRANSPOSE(_xlfn.UNIQUE(_xlfn._xlws.FILTER(DET_ASIG[DETALLADO],(DET_ASIG[ID_CARRERA]=ASIGNACION!$C388)*(DET_ASIG[NIVEL]=ASIGNACION!$D388)*(DET_ASIG[ID_ASIG]=ASIGNACION!$G388),"No existe información")))</f>
        <v>No existe información</v>
      </c>
      <c r="BQ388" s="5" t="str" cm="1">
        <f t="array" ref="BQ388">IFERROR(
    TRANSPOSE(
        _xlfn.UNIQUE(
            _xlfn._xlws.FILTER(MAESTRIA_DETALLADO[MAESTRIA],
                ISNUMBER(MATCH(MAESTRIA_DETALLADO[CAMPO_DETALLADO],
                BD388:BP388,0))
            )
        )
    ),IF(BD388="ACTIVIDAD","DOCENCIA",""))</f>
        <v/>
      </c>
      <c r="EA388" s="5" t="str" cm="1">
        <f t="array" ref="EA388:FN388">IF(
    ASIGNACION!I388="SI",
    IFERROR(
        TRANSPOSE(
            _xlfn.UNIQUE(
                _xlfn._xlws.FILTER(EDU_DOCENTE[NOMBRE_DOCENTE],
                    ISNUMBER(MATCH(EDU_DOCENTE[MAESTRIA],
                    BQ388:DY388,0))
                )
            )
        ),
        ""
    ),
    TRANSPOSE(
        _xlfn.UNIQUE(EDU_DOCENTE[NOMBRE_DOCENTE]
        )
    )
)</f>
        <v>ALCIVAR CEDEÑO BEATRIZ ISABEL</v>
      </c>
      <c r="EB388" t="str">
        <v>ALCIVAR VERA GEMA MICHELLE</v>
      </c>
      <c r="EC388" t="str">
        <v>ARAUZ CHAVEZ MARIO ROBERTO</v>
      </c>
      <c r="ED388" t="str">
        <v>BAILON LOURIDO WALTER ALBERTO</v>
      </c>
      <c r="EE388" t="str">
        <v>CALDERERO VILLAGOMEZ ERICK ANTONIO</v>
      </c>
      <c r="EF388" t="str">
        <v>CASTILLO GARCIA PAOLA GERMANIA</v>
      </c>
      <c r="EG388" t="str">
        <v>CEDEÑO CHOEZ PEDRO JAVIER</v>
      </c>
      <c r="EH388" t="str">
        <v>CEVALLOS HOPPE JUAN CARLOS</v>
      </c>
      <c r="EI388" t="str">
        <v>DELGADO CHAVEZ MARIA IRASEMA</v>
      </c>
      <c r="EJ388" t="str">
        <v>DUARTE VALENCIA CRISTHIAN DARIO</v>
      </c>
      <c r="EK388" t="str">
        <v>FORTTY BARBERAN DENNY ALEXANDER</v>
      </c>
      <c r="EL388" t="str">
        <v>GUTIERREZ ZAMBRANO CARMEN EBELINA</v>
      </c>
      <c r="EM388" t="str">
        <v>INTRIAGO MOLINA GEMA VALERIA</v>
      </c>
      <c r="EN388" t="str">
        <v>LINO VELEZ LEONEL LIVINGTON</v>
      </c>
      <c r="EO388" t="str">
        <v>LOOR ALCIVAR MARIA ILIANA</v>
      </c>
      <c r="EP388" t="str">
        <v>LOOR MIELES TANIA JACQUELINE</v>
      </c>
      <c r="EQ388" t="str">
        <v>LOOR SOLORZANO ROSA MARIA</v>
      </c>
      <c r="ER388" t="str">
        <v>LOPEZ DELGADO RONALD MAURICIO</v>
      </c>
      <c r="ES388" t="str">
        <v>MACIAS VALENCIA DAVID GABRIEL</v>
      </c>
      <c r="ET388" t="str">
        <v>MENDOZA ZAMORA WALTER MANUEL</v>
      </c>
      <c r="EU388" t="str">
        <v>MOLINA CEVALLOS MARIA LORENA</v>
      </c>
      <c r="EV388" t="str">
        <v>MURILLO DELGADO ISAAC GABRIEL</v>
      </c>
      <c r="EW388" t="str">
        <v>ANGULO MURILLO NAVIRA GISSELA</v>
      </c>
      <c r="EX388" t="str">
        <v>OCHOA SOLEDISPA NESTOR IVAN</v>
      </c>
      <c r="EY388" t="str">
        <v>PARRAGA FRANCO SILVANA MARIELA</v>
      </c>
      <c r="EZ388" t="str">
        <v>PINARGOTE VASQUEZ NANCY FABIOLA</v>
      </c>
      <c r="FA388" t="str">
        <v>REYES VELEZ PEDRO ENRIQUE</v>
      </c>
      <c r="FB388" t="str">
        <v>SAN ANDRES HORMAZA DALLAS CECILIA</v>
      </c>
      <c r="FC388" t="str">
        <v>SORNOZA ZAMORA JUAN CARLOS</v>
      </c>
      <c r="FD388" t="str">
        <v>TOMALA PINTO JESUS JACINTO</v>
      </c>
      <c r="FE388" t="str">
        <v>VALLE JARAMILLO SILVIA ARACELY</v>
      </c>
      <c r="FF388" t="str">
        <v>VELÁSQUEZ BRAVO IRMA KATHERINE</v>
      </c>
      <c r="FG388" t="str">
        <v>VELEZ MENDOZA LAYSY VALERIA</v>
      </c>
      <c r="FH388" t="str">
        <v>VINUEZA TELLO SHIRLEY ELIZABETH</v>
      </c>
      <c r="FI388" t="str">
        <v>ZAMBRANO ALCIVAR NILDA ISABEL</v>
      </c>
      <c r="FJ388" t="str">
        <v>ZAMBRANO LOOR RITA MAYDA</v>
      </c>
      <c r="FK388" t="str">
        <v>ZAMBRANO VERA MONICA JANETH</v>
      </c>
      <c r="FL388" t="str">
        <v>VERA DELGADO BRYAN ADRIÁN</v>
      </c>
      <c r="FM388" t="str">
        <v>MORAN GONZALES DAVID RENATO</v>
      </c>
      <c r="FN388">
        <v>0</v>
      </c>
    </row>
    <row r="389" spans="1:170" ht="20.25" customHeight="1">
      <c r="A389" s="4" t="str" cm="1">
        <f t="array" ref="A389">TRANSPOSE(_xlfn.UNIQUE(_xlfn._xlws.FILTER(MAE_ASIGNATURA[ID_NIVEL],MAE_ASIGNATURA[ID_CARRERA]=ASIGNACION!$C389,"No existe información")))</f>
        <v>No existe información</v>
      </c>
      <c r="S389" s="4" t="str" cm="1">
        <f t="array" ref="S389">TRANSPOSE(_xlfn.UNIQUE(_xlfn._xlws.FILTER(MAE_ASIGNATURA[NOM_ASIG],(MAE_ASIGNATURA[ID_NIVEL]=ASIGNACION!$D389)*(MAE_ASIGNATURA[ID_CARRERA]=ASIGNACION!$C389),"No existe información")))</f>
        <v>No existe información</v>
      </c>
      <c r="BD389" s="4" t="str" cm="1">
        <f t="array" ref="BD389">TRANSPOSE(_xlfn.UNIQUE(_xlfn._xlws.FILTER(DET_ASIG[DETALLADO],(DET_ASIG[ID_CARRERA]=ASIGNACION!$C389)*(DET_ASIG[NIVEL]=ASIGNACION!$D389)*(DET_ASIG[ID_ASIG]=ASIGNACION!$G389),"No existe información")))</f>
        <v>No existe información</v>
      </c>
      <c r="BQ389" s="5" t="str" cm="1">
        <f t="array" ref="BQ389">IFERROR(
    TRANSPOSE(
        _xlfn.UNIQUE(
            _xlfn._xlws.FILTER(MAESTRIA_DETALLADO[MAESTRIA],
                ISNUMBER(MATCH(MAESTRIA_DETALLADO[CAMPO_DETALLADO],
                BD389:BP389,0))
            )
        )
    ),IF(BD389="ACTIVIDAD","DOCENCIA",""))</f>
        <v/>
      </c>
      <c r="EA389" s="5" t="str" cm="1">
        <f t="array" ref="EA389:FN389">IF(
    ASIGNACION!I389="SI",
    IFERROR(
        TRANSPOSE(
            _xlfn.UNIQUE(
                _xlfn._xlws.FILTER(EDU_DOCENTE[NOMBRE_DOCENTE],
                    ISNUMBER(MATCH(EDU_DOCENTE[MAESTRIA],
                    BQ389:DY389,0))
                )
            )
        ),
        ""
    ),
    TRANSPOSE(
        _xlfn.UNIQUE(EDU_DOCENTE[NOMBRE_DOCENTE]
        )
    )
)</f>
        <v>ALCIVAR CEDEÑO BEATRIZ ISABEL</v>
      </c>
      <c r="EB389" t="str">
        <v>ALCIVAR VERA GEMA MICHELLE</v>
      </c>
      <c r="EC389" t="str">
        <v>ARAUZ CHAVEZ MARIO ROBERTO</v>
      </c>
      <c r="ED389" t="str">
        <v>BAILON LOURIDO WALTER ALBERTO</v>
      </c>
      <c r="EE389" t="str">
        <v>CALDERERO VILLAGOMEZ ERICK ANTONIO</v>
      </c>
      <c r="EF389" t="str">
        <v>CASTILLO GARCIA PAOLA GERMANIA</v>
      </c>
      <c r="EG389" t="str">
        <v>CEDEÑO CHOEZ PEDRO JAVIER</v>
      </c>
      <c r="EH389" t="str">
        <v>CEVALLOS HOPPE JUAN CARLOS</v>
      </c>
      <c r="EI389" t="str">
        <v>DELGADO CHAVEZ MARIA IRASEMA</v>
      </c>
      <c r="EJ389" t="str">
        <v>DUARTE VALENCIA CRISTHIAN DARIO</v>
      </c>
      <c r="EK389" t="str">
        <v>FORTTY BARBERAN DENNY ALEXANDER</v>
      </c>
      <c r="EL389" t="str">
        <v>GUTIERREZ ZAMBRANO CARMEN EBELINA</v>
      </c>
      <c r="EM389" t="str">
        <v>INTRIAGO MOLINA GEMA VALERIA</v>
      </c>
      <c r="EN389" t="str">
        <v>LINO VELEZ LEONEL LIVINGTON</v>
      </c>
      <c r="EO389" t="str">
        <v>LOOR ALCIVAR MARIA ILIANA</v>
      </c>
      <c r="EP389" t="str">
        <v>LOOR MIELES TANIA JACQUELINE</v>
      </c>
      <c r="EQ389" t="str">
        <v>LOOR SOLORZANO ROSA MARIA</v>
      </c>
      <c r="ER389" t="str">
        <v>LOPEZ DELGADO RONALD MAURICIO</v>
      </c>
      <c r="ES389" t="str">
        <v>MACIAS VALENCIA DAVID GABRIEL</v>
      </c>
      <c r="ET389" t="str">
        <v>MENDOZA ZAMORA WALTER MANUEL</v>
      </c>
      <c r="EU389" t="str">
        <v>MOLINA CEVALLOS MARIA LORENA</v>
      </c>
      <c r="EV389" t="str">
        <v>MURILLO DELGADO ISAAC GABRIEL</v>
      </c>
      <c r="EW389" t="str">
        <v>ANGULO MURILLO NAVIRA GISSELA</v>
      </c>
      <c r="EX389" t="str">
        <v>OCHOA SOLEDISPA NESTOR IVAN</v>
      </c>
      <c r="EY389" t="str">
        <v>PARRAGA FRANCO SILVANA MARIELA</v>
      </c>
      <c r="EZ389" t="str">
        <v>PINARGOTE VASQUEZ NANCY FABIOLA</v>
      </c>
      <c r="FA389" t="str">
        <v>REYES VELEZ PEDRO ENRIQUE</v>
      </c>
      <c r="FB389" t="str">
        <v>SAN ANDRES HORMAZA DALLAS CECILIA</v>
      </c>
      <c r="FC389" t="str">
        <v>SORNOZA ZAMORA JUAN CARLOS</v>
      </c>
      <c r="FD389" t="str">
        <v>TOMALA PINTO JESUS JACINTO</v>
      </c>
      <c r="FE389" t="str">
        <v>VALLE JARAMILLO SILVIA ARACELY</v>
      </c>
      <c r="FF389" t="str">
        <v>VELÁSQUEZ BRAVO IRMA KATHERINE</v>
      </c>
      <c r="FG389" t="str">
        <v>VELEZ MENDOZA LAYSY VALERIA</v>
      </c>
      <c r="FH389" t="str">
        <v>VINUEZA TELLO SHIRLEY ELIZABETH</v>
      </c>
      <c r="FI389" t="str">
        <v>ZAMBRANO ALCIVAR NILDA ISABEL</v>
      </c>
      <c r="FJ389" t="str">
        <v>ZAMBRANO LOOR RITA MAYDA</v>
      </c>
      <c r="FK389" t="str">
        <v>ZAMBRANO VERA MONICA JANETH</v>
      </c>
      <c r="FL389" t="str">
        <v>VERA DELGADO BRYAN ADRIÁN</v>
      </c>
      <c r="FM389" t="str">
        <v>MORAN GONZALES DAVID RENATO</v>
      </c>
      <c r="FN389">
        <v>0</v>
      </c>
    </row>
    <row r="390" spans="1:170" ht="20.25" customHeight="1">
      <c r="A390" s="4" t="str" cm="1">
        <f t="array" ref="A390">TRANSPOSE(_xlfn.UNIQUE(_xlfn._xlws.FILTER(MAE_ASIGNATURA[ID_NIVEL],MAE_ASIGNATURA[ID_CARRERA]=ASIGNACION!$C390,"No existe información")))</f>
        <v>No existe información</v>
      </c>
      <c r="S390" s="4" t="str" cm="1">
        <f t="array" ref="S390">TRANSPOSE(_xlfn.UNIQUE(_xlfn._xlws.FILTER(MAE_ASIGNATURA[NOM_ASIG],(MAE_ASIGNATURA[ID_NIVEL]=ASIGNACION!$D390)*(MAE_ASIGNATURA[ID_CARRERA]=ASIGNACION!$C390),"No existe información")))</f>
        <v>No existe información</v>
      </c>
      <c r="BD390" s="4" t="str" cm="1">
        <f t="array" ref="BD390">TRANSPOSE(_xlfn.UNIQUE(_xlfn._xlws.FILTER(DET_ASIG[DETALLADO],(DET_ASIG[ID_CARRERA]=ASIGNACION!$C390)*(DET_ASIG[NIVEL]=ASIGNACION!$D390)*(DET_ASIG[ID_ASIG]=ASIGNACION!$G390),"No existe información")))</f>
        <v>No existe información</v>
      </c>
      <c r="BQ390" s="5" t="str" cm="1">
        <f t="array" ref="BQ390">IFERROR(
    TRANSPOSE(
        _xlfn.UNIQUE(
            _xlfn._xlws.FILTER(MAESTRIA_DETALLADO[MAESTRIA],
                ISNUMBER(MATCH(MAESTRIA_DETALLADO[CAMPO_DETALLADO],
                BD390:BP390,0))
            )
        )
    ),IF(BD390="ACTIVIDAD","DOCENCIA",""))</f>
        <v/>
      </c>
      <c r="EA390" s="5" t="str" cm="1">
        <f t="array" ref="EA390:FN390">IF(
    ASIGNACION!I390="SI",
    IFERROR(
        TRANSPOSE(
            _xlfn.UNIQUE(
                _xlfn._xlws.FILTER(EDU_DOCENTE[NOMBRE_DOCENTE],
                    ISNUMBER(MATCH(EDU_DOCENTE[MAESTRIA],
                    BQ390:DY390,0))
                )
            )
        ),
        ""
    ),
    TRANSPOSE(
        _xlfn.UNIQUE(EDU_DOCENTE[NOMBRE_DOCENTE]
        )
    )
)</f>
        <v>ALCIVAR CEDEÑO BEATRIZ ISABEL</v>
      </c>
      <c r="EB390" t="str">
        <v>ALCIVAR VERA GEMA MICHELLE</v>
      </c>
      <c r="EC390" t="str">
        <v>ARAUZ CHAVEZ MARIO ROBERTO</v>
      </c>
      <c r="ED390" t="str">
        <v>BAILON LOURIDO WALTER ALBERTO</v>
      </c>
      <c r="EE390" t="str">
        <v>CALDERERO VILLAGOMEZ ERICK ANTONIO</v>
      </c>
      <c r="EF390" t="str">
        <v>CASTILLO GARCIA PAOLA GERMANIA</v>
      </c>
      <c r="EG390" t="str">
        <v>CEDEÑO CHOEZ PEDRO JAVIER</v>
      </c>
      <c r="EH390" t="str">
        <v>CEVALLOS HOPPE JUAN CARLOS</v>
      </c>
      <c r="EI390" t="str">
        <v>DELGADO CHAVEZ MARIA IRASEMA</v>
      </c>
      <c r="EJ390" t="str">
        <v>DUARTE VALENCIA CRISTHIAN DARIO</v>
      </c>
      <c r="EK390" t="str">
        <v>FORTTY BARBERAN DENNY ALEXANDER</v>
      </c>
      <c r="EL390" t="str">
        <v>GUTIERREZ ZAMBRANO CARMEN EBELINA</v>
      </c>
      <c r="EM390" t="str">
        <v>INTRIAGO MOLINA GEMA VALERIA</v>
      </c>
      <c r="EN390" t="str">
        <v>LINO VELEZ LEONEL LIVINGTON</v>
      </c>
      <c r="EO390" t="str">
        <v>LOOR ALCIVAR MARIA ILIANA</v>
      </c>
      <c r="EP390" t="str">
        <v>LOOR MIELES TANIA JACQUELINE</v>
      </c>
      <c r="EQ390" t="str">
        <v>LOOR SOLORZANO ROSA MARIA</v>
      </c>
      <c r="ER390" t="str">
        <v>LOPEZ DELGADO RONALD MAURICIO</v>
      </c>
      <c r="ES390" t="str">
        <v>MACIAS VALENCIA DAVID GABRIEL</v>
      </c>
      <c r="ET390" t="str">
        <v>MENDOZA ZAMORA WALTER MANUEL</v>
      </c>
      <c r="EU390" t="str">
        <v>MOLINA CEVALLOS MARIA LORENA</v>
      </c>
      <c r="EV390" t="str">
        <v>MURILLO DELGADO ISAAC GABRIEL</v>
      </c>
      <c r="EW390" t="str">
        <v>ANGULO MURILLO NAVIRA GISSELA</v>
      </c>
      <c r="EX390" t="str">
        <v>OCHOA SOLEDISPA NESTOR IVAN</v>
      </c>
      <c r="EY390" t="str">
        <v>PARRAGA FRANCO SILVANA MARIELA</v>
      </c>
      <c r="EZ390" t="str">
        <v>PINARGOTE VASQUEZ NANCY FABIOLA</v>
      </c>
      <c r="FA390" t="str">
        <v>REYES VELEZ PEDRO ENRIQUE</v>
      </c>
      <c r="FB390" t="str">
        <v>SAN ANDRES HORMAZA DALLAS CECILIA</v>
      </c>
      <c r="FC390" t="str">
        <v>SORNOZA ZAMORA JUAN CARLOS</v>
      </c>
      <c r="FD390" t="str">
        <v>TOMALA PINTO JESUS JACINTO</v>
      </c>
      <c r="FE390" t="str">
        <v>VALLE JARAMILLO SILVIA ARACELY</v>
      </c>
      <c r="FF390" t="str">
        <v>VELÁSQUEZ BRAVO IRMA KATHERINE</v>
      </c>
      <c r="FG390" t="str">
        <v>VELEZ MENDOZA LAYSY VALERIA</v>
      </c>
      <c r="FH390" t="str">
        <v>VINUEZA TELLO SHIRLEY ELIZABETH</v>
      </c>
      <c r="FI390" t="str">
        <v>ZAMBRANO ALCIVAR NILDA ISABEL</v>
      </c>
      <c r="FJ390" t="str">
        <v>ZAMBRANO LOOR RITA MAYDA</v>
      </c>
      <c r="FK390" t="str">
        <v>ZAMBRANO VERA MONICA JANETH</v>
      </c>
      <c r="FL390" t="str">
        <v>VERA DELGADO BRYAN ADRIÁN</v>
      </c>
      <c r="FM390" t="str">
        <v>MORAN GONZALES DAVID RENATO</v>
      </c>
      <c r="FN390">
        <v>0</v>
      </c>
    </row>
    <row r="391" spans="1:170" ht="20.25" customHeight="1">
      <c r="A391" s="4" t="str" cm="1">
        <f t="array" ref="A391">TRANSPOSE(_xlfn.UNIQUE(_xlfn._xlws.FILTER(MAE_ASIGNATURA[ID_NIVEL],MAE_ASIGNATURA[ID_CARRERA]=ASIGNACION!$C391,"No existe información")))</f>
        <v>No existe información</v>
      </c>
      <c r="S391" s="4" t="str" cm="1">
        <f t="array" ref="S391">TRANSPOSE(_xlfn.UNIQUE(_xlfn._xlws.FILTER(MAE_ASIGNATURA[NOM_ASIG],(MAE_ASIGNATURA[ID_NIVEL]=ASIGNACION!$D391)*(MAE_ASIGNATURA[ID_CARRERA]=ASIGNACION!$C391),"No existe información")))</f>
        <v>No existe información</v>
      </c>
      <c r="BD391" s="4" t="str" cm="1">
        <f t="array" ref="BD391">TRANSPOSE(_xlfn.UNIQUE(_xlfn._xlws.FILTER(DET_ASIG[DETALLADO],(DET_ASIG[ID_CARRERA]=ASIGNACION!$C391)*(DET_ASIG[NIVEL]=ASIGNACION!$D391)*(DET_ASIG[ID_ASIG]=ASIGNACION!$G391),"No existe información")))</f>
        <v>No existe información</v>
      </c>
      <c r="BQ391" s="5" t="str" cm="1">
        <f t="array" ref="BQ391">IFERROR(
    TRANSPOSE(
        _xlfn.UNIQUE(
            _xlfn._xlws.FILTER(MAESTRIA_DETALLADO[MAESTRIA],
                ISNUMBER(MATCH(MAESTRIA_DETALLADO[CAMPO_DETALLADO],
                BD391:BP391,0))
            )
        )
    ),IF(BD391="ACTIVIDAD","DOCENCIA",""))</f>
        <v/>
      </c>
      <c r="EA391" s="5" t="str" cm="1">
        <f t="array" ref="EA391:FN391">IF(
    ASIGNACION!I391="SI",
    IFERROR(
        TRANSPOSE(
            _xlfn.UNIQUE(
                _xlfn._xlws.FILTER(EDU_DOCENTE[NOMBRE_DOCENTE],
                    ISNUMBER(MATCH(EDU_DOCENTE[MAESTRIA],
                    BQ391:DY391,0))
                )
            )
        ),
        ""
    ),
    TRANSPOSE(
        _xlfn.UNIQUE(EDU_DOCENTE[NOMBRE_DOCENTE]
        )
    )
)</f>
        <v>ALCIVAR CEDEÑO BEATRIZ ISABEL</v>
      </c>
      <c r="EB391" t="str">
        <v>ALCIVAR VERA GEMA MICHELLE</v>
      </c>
      <c r="EC391" t="str">
        <v>ARAUZ CHAVEZ MARIO ROBERTO</v>
      </c>
      <c r="ED391" t="str">
        <v>BAILON LOURIDO WALTER ALBERTO</v>
      </c>
      <c r="EE391" t="str">
        <v>CALDERERO VILLAGOMEZ ERICK ANTONIO</v>
      </c>
      <c r="EF391" t="str">
        <v>CASTILLO GARCIA PAOLA GERMANIA</v>
      </c>
      <c r="EG391" t="str">
        <v>CEDEÑO CHOEZ PEDRO JAVIER</v>
      </c>
      <c r="EH391" t="str">
        <v>CEVALLOS HOPPE JUAN CARLOS</v>
      </c>
      <c r="EI391" t="str">
        <v>DELGADO CHAVEZ MARIA IRASEMA</v>
      </c>
      <c r="EJ391" t="str">
        <v>DUARTE VALENCIA CRISTHIAN DARIO</v>
      </c>
      <c r="EK391" t="str">
        <v>FORTTY BARBERAN DENNY ALEXANDER</v>
      </c>
      <c r="EL391" t="str">
        <v>GUTIERREZ ZAMBRANO CARMEN EBELINA</v>
      </c>
      <c r="EM391" t="str">
        <v>INTRIAGO MOLINA GEMA VALERIA</v>
      </c>
      <c r="EN391" t="str">
        <v>LINO VELEZ LEONEL LIVINGTON</v>
      </c>
      <c r="EO391" t="str">
        <v>LOOR ALCIVAR MARIA ILIANA</v>
      </c>
      <c r="EP391" t="str">
        <v>LOOR MIELES TANIA JACQUELINE</v>
      </c>
      <c r="EQ391" t="str">
        <v>LOOR SOLORZANO ROSA MARIA</v>
      </c>
      <c r="ER391" t="str">
        <v>LOPEZ DELGADO RONALD MAURICIO</v>
      </c>
      <c r="ES391" t="str">
        <v>MACIAS VALENCIA DAVID GABRIEL</v>
      </c>
      <c r="ET391" t="str">
        <v>MENDOZA ZAMORA WALTER MANUEL</v>
      </c>
      <c r="EU391" t="str">
        <v>MOLINA CEVALLOS MARIA LORENA</v>
      </c>
      <c r="EV391" t="str">
        <v>MURILLO DELGADO ISAAC GABRIEL</v>
      </c>
      <c r="EW391" t="str">
        <v>ANGULO MURILLO NAVIRA GISSELA</v>
      </c>
      <c r="EX391" t="str">
        <v>OCHOA SOLEDISPA NESTOR IVAN</v>
      </c>
      <c r="EY391" t="str">
        <v>PARRAGA FRANCO SILVANA MARIELA</v>
      </c>
      <c r="EZ391" t="str">
        <v>PINARGOTE VASQUEZ NANCY FABIOLA</v>
      </c>
      <c r="FA391" t="str">
        <v>REYES VELEZ PEDRO ENRIQUE</v>
      </c>
      <c r="FB391" t="str">
        <v>SAN ANDRES HORMAZA DALLAS CECILIA</v>
      </c>
      <c r="FC391" t="str">
        <v>SORNOZA ZAMORA JUAN CARLOS</v>
      </c>
      <c r="FD391" t="str">
        <v>TOMALA PINTO JESUS JACINTO</v>
      </c>
      <c r="FE391" t="str">
        <v>VALLE JARAMILLO SILVIA ARACELY</v>
      </c>
      <c r="FF391" t="str">
        <v>VELÁSQUEZ BRAVO IRMA KATHERINE</v>
      </c>
      <c r="FG391" t="str">
        <v>VELEZ MENDOZA LAYSY VALERIA</v>
      </c>
      <c r="FH391" t="str">
        <v>VINUEZA TELLO SHIRLEY ELIZABETH</v>
      </c>
      <c r="FI391" t="str">
        <v>ZAMBRANO ALCIVAR NILDA ISABEL</v>
      </c>
      <c r="FJ391" t="str">
        <v>ZAMBRANO LOOR RITA MAYDA</v>
      </c>
      <c r="FK391" t="str">
        <v>ZAMBRANO VERA MONICA JANETH</v>
      </c>
      <c r="FL391" t="str">
        <v>VERA DELGADO BRYAN ADRIÁN</v>
      </c>
      <c r="FM391" t="str">
        <v>MORAN GONZALES DAVID RENATO</v>
      </c>
      <c r="FN391">
        <v>0</v>
      </c>
    </row>
    <row r="392" spans="1:170" ht="20.25" customHeight="1">
      <c r="A392" s="4" t="str" cm="1">
        <f t="array" ref="A392">TRANSPOSE(_xlfn.UNIQUE(_xlfn._xlws.FILTER(MAE_ASIGNATURA[ID_NIVEL],MAE_ASIGNATURA[ID_CARRERA]=ASIGNACION!$C392,"No existe información")))</f>
        <v>No existe información</v>
      </c>
      <c r="S392" s="4" t="str" cm="1">
        <f t="array" ref="S392">TRANSPOSE(_xlfn.UNIQUE(_xlfn._xlws.FILTER(MAE_ASIGNATURA[NOM_ASIG],(MAE_ASIGNATURA[ID_NIVEL]=ASIGNACION!$D392)*(MAE_ASIGNATURA[ID_CARRERA]=ASIGNACION!$C392),"No existe información")))</f>
        <v>No existe información</v>
      </c>
      <c r="BD392" s="4" t="str" cm="1">
        <f t="array" ref="BD392">TRANSPOSE(_xlfn.UNIQUE(_xlfn._xlws.FILTER(DET_ASIG[DETALLADO],(DET_ASIG[ID_CARRERA]=ASIGNACION!$C392)*(DET_ASIG[NIVEL]=ASIGNACION!$D392)*(DET_ASIG[ID_ASIG]=ASIGNACION!$G392),"No existe información")))</f>
        <v>No existe información</v>
      </c>
      <c r="BQ392" s="5" t="str" cm="1">
        <f t="array" ref="BQ392">IFERROR(
    TRANSPOSE(
        _xlfn.UNIQUE(
            _xlfn._xlws.FILTER(MAESTRIA_DETALLADO[MAESTRIA],
                ISNUMBER(MATCH(MAESTRIA_DETALLADO[CAMPO_DETALLADO],
                BD392:BP392,0))
            )
        )
    ),IF(BD392="ACTIVIDAD","DOCENCIA",""))</f>
        <v/>
      </c>
      <c r="EA392" s="5" t="str" cm="1">
        <f t="array" ref="EA392:FN392">IF(
    ASIGNACION!I392="SI",
    IFERROR(
        TRANSPOSE(
            _xlfn.UNIQUE(
                _xlfn._xlws.FILTER(EDU_DOCENTE[NOMBRE_DOCENTE],
                    ISNUMBER(MATCH(EDU_DOCENTE[MAESTRIA],
                    BQ392:DY392,0))
                )
            )
        ),
        ""
    ),
    TRANSPOSE(
        _xlfn.UNIQUE(EDU_DOCENTE[NOMBRE_DOCENTE]
        )
    )
)</f>
        <v>ALCIVAR CEDEÑO BEATRIZ ISABEL</v>
      </c>
      <c r="EB392" t="str">
        <v>ALCIVAR VERA GEMA MICHELLE</v>
      </c>
      <c r="EC392" t="str">
        <v>ARAUZ CHAVEZ MARIO ROBERTO</v>
      </c>
      <c r="ED392" t="str">
        <v>BAILON LOURIDO WALTER ALBERTO</v>
      </c>
      <c r="EE392" t="str">
        <v>CALDERERO VILLAGOMEZ ERICK ANTONIO</v>
      </c>
      <c r="EF392" t="str">
        <v>CASTILLO GARCIA PAOLA GERMANIA</v>
      </c>
      <c r="EG392" t="str">
        <v>CEDEÑO CHOEZ PEDRO JAVIER</v>
      </c>
      <c r="EH392" t="str">
        <v>CEVALLOS HOPPE JUAN CARLOS</v>
      </c>
      <c r="EI392" t="str">
        <v>DELGADO CHAVEZ MARIA IRASEMA</v>
      </c>
      <c r="EJ392" t="str">
        <v>DUARTE VALENCIA CRISTHIAN DARIO</v>
      </c>
      <c r="EK392" t="str">
        <v>FORTTY BARBERAN DENNY ALEXANDER</v>
      </c>
      <c r="EL392" t="str">
        <v>GUTIERREZ ZAMBRANO CARMEN EBELINA</v>
      </c>
      <c r="EM392" t="str">
        <v>INTRIAGO MOLINA GEMA VALERIA</v>
      </c>
      <c r="EN392" t="str">
        <v>LINO VELEZ LEONEL LIVINGTON</v>
      </c>
      <c r="EO392" t="str">
        <v>LOOR ALCIVAR MARIA ILIANA</v>
      </c>
      <c r="EP392" t="str">
        <v>LOOR MIELES TANIA JACQUELINE</v>
      </c>
      <c r="EQ392" t="str">
        <v>LOOR SOLORZANO ROSA MARIA</v>
      </c>
      <c r="ER392" t="str">
        <v>LOPEZ DELGADO RONALD MAURICIO</v>
      </c>
      <c r="ES392" t="str">
        <v>MACIAS VALENCIA DAVID GABRIEL</v>
      </c>
      <c r="ET392" t="str">
        <v>MENDOZA ZAMORA WALTER MANUEL</v>
      </c>
      <c r="EU392" t="str">
        <v>MOLINA CEVALLOS MARIA LORENA</v>
      </c>
      <c r="EV392" t="str">
        <v>MURILLO DELGADO ISAAC GABRIEL</v>
      </c>
      <c r="EW392" t="str">
        <v>ANGULO MURILLO NAVIRA GISSELA</v>
      </c>
      <c r="EX392" t="str">
        <v>OCHOA SOLEDISPA NESTOR IVAN</v>
      </c>
      <c r="EY392" t="str">
        <v>PARRAGA FRANCO SILVANA MARIELA</v>
      </c>
      <c r="EZ392" t="str">
        <v>PINARGOTE VASQUEZ NANCY FABIOLA</v>
      </c>
      <c r="FA392" t="str">
        <v>REYES VELEZ PEDRO ENRIQUE</v>
      </c>
      <c r="FB392" t="str">
        <v>SAN ANDRES HORMAZA DALLAS CECILIA</v>
      </c>
      <c r="FC392" t="str">
        <v>SORNOZA ZAMORA JUAN CARLOS</v>
      </c>
      <c r="FD392" t="str">
        <v>TOMALA PINTO JESUS JACINTO</v>
      </c>
      <c r="FE392" t="str">
        <v>VALLE JARAMILLO SILVIA ARACELY</v>
      </c>
      <c r="FF392" t="str">
        <v>VELÁSQUEZ BRAVO IRMA KATHERINE</v>
      </c>
      <c r="FG392" t="str">
        <v>VELEZ MENDOZA LAYSY VALERIA</v>
      </c>
      <c r="FH392" t="str">
        <v>VINUEZA TELLO SHIRLEY ELIZABETH</v>
      </c>
      <c r="FI392" t="str">
        <v>ZAMBRANO ALCIVAR NILDA ISABEL</v>
      </c>
      <c r="FJ392" t="str">
        <v>ZAMBRANO LOOR RITA MAYDA</v>
      </c>
      <c r="FK392" t="str">
        <v>ZAMBRANO VERA MONICA JANETH</v>
      </c>
      <c r="FL392" t="str">
        <v>VERA DELGADO BRYAN ADRIÁN</v>
      </c>
      <c r="FM392" t="str">
        <v>MORAN GONZALES DAVID RENATO</v>
      </c>
      <c r="FN392">
        <v>0</v>
      </c>
    </row>
    <row r="393" spans="1:170" ht="20.25" customHeight="1">
      <c r="A393" s="4" t="str" cm="1">
        <f t="array" ref="A393">TRANSPOSE(_xlfn.UNIQUE(_xlfn._xlws.FILTER(MAE_ASIGNATURA[ID_NIVEL],MAE_ASIGNATURA[ID_CARRERA]=ASIGNACION!$C393,"No existe información")))</f>
        <v>No existe información</v>
      </c>
      <c r="S393" s="4" t="str" cm="1">
        <f t="array" ref="S393">TRANSPOSE(_xlfn.UNIQUE(_xlfn._xlws.FILTER(MAE_ASIGNATURA[NOM_ASIG],(MAE_ASIGNATURA[ID_NIVEL]=ASIGNACION!$D393)*(MAE_ASIGNATURA[ID_CARRERA]=ASIGNACION!$C393),"No existe información")))</f>
        <v>No existe información</v>
      </c>
      <c r="BD393" s="4" t="str" cm="1">
        <f t="array" ref="BD393">TRANSPOSE(_xlfn.UNIQUE(_xlfn._xlws.FILTER(DET_ASIG[DETALLADO],(DET_ASIG[ID_CARRERA]=ASIGNACION!$C393)*(DET_ASIG[NIVEL]=ASIGNACION!$D393)*(DET_ASIG[ID_ASIG]=ASIGNACION!$G393),"No existe información")))</f>
        <v>No existe información</v>
      </c>
      <c r="BQ393" s="5" t="str" cm="1">
        <f t="array" ref="BQ393">IFERROR(
    TRANSPOSE(
        _xlfn.UNIQUE(
            _xlfn._xlws.FILTER(MAESTRIA_DETALLADO[MAESTRIA],
                ISNUMBER(MATCH(MAESTRIA_DETALLADO[CAMPO_DETALLADO],
                BD393:BP393,0))
            )
        )
    ),IF(BD393="ACTIVIDAD","DOCENCIA",""))</f>
        <v/>
      </c>
      <c r="EA393" s="5" t="str" cm="1">
        <f t="array" ref="EA393:FN393">IF(
    ASIGNACION!I393="SI",
    IFERROR(
        TRANSPOSE(
            _xlfn.UNIQUE(
                _xlfn._xlws.FILTER(EDU_DOCENTE[NOMBRE_DOCENTE],
                    ISNUMBER(MATCH(EDU_DOCENTE[MAESTRIA],
                    BQ393:DY393,0))
                )
            )
        ),
        ""
    ),
    TRANSPOSE(
        _xlfn.UNIQUE(EDU_DOCENTE[NOMBRE_DOCENTE]
        )
    )
)</f>
        <v>ALCIVAR CEDEÑO BEATRIZ ISABEL</v>
      </c>
      <c r="EB393" t="str">
        <v>ALCIVAR VERA GEMA MICHELLE</v>
      </c>
      <c r="EC393" t="str">
        <v>ARAUZ CHAVEZ MARIO ROBERTO</v>
      </c>
      <c r="ED393" t="str">
        <v>BAILON LOURIDO WALTER ALBERTO</v>
      </c>
      <c r="EE393" t="str">
        <v>CALDERERO VILLAGOMEZ ERICK ANTONIO</v>
      </c>
      <c r="EF393" t="str">
        <v>CASTILLO GARCIA PAOLA GERMANIA</v>
      </c>
      <c r="EG393" t="str">
        <v>CEDEÑO CHOEZ PEDRO JAVIER</v>
      </c>
      <c r="EH393" t="str">
        <v>CEVALLOS HOPPE JUAN CARLOS</v>
      </c>
      <c r="EI393" t="str">
        <v>DELGADO CHAVEZ MARIA IRASEMA</v>
      </c>
      <c r="EJ393" t="str">
        <v>DUARTE VALENCIA CRISTHIAN DARIO</v>
      </c>
      <c r="EK393" t="str">
        <v>FORTTY BARBERAN DENNY ALEXANDER</v>
      </c>
      <c r="EL393" t="str">
        <v>GUTIERREZ ZAMBRANO CARMEN EBELINA</v>
      </c>
      <c r="EM393" t="str">
        <v>INTRIAGO MOLINA GEMA VALERIA</v>
      </c>
      <c r="EN393" t="str">
        <v>LINO VELEZ LEONEL LIVINGTON</v>
      </c>
      <c r="EO393" t="str">
        <v>LOOR ALCIVAR MARIA ILIANA</v>
      </c>
      <c r="EP393" t="str">
        <v>LOOR MIELES TANIA JACQUELINE</v>
      </c>
      <c r="EQ393" t="str">
        <v>LOOR SOLORZANO ROSA MARIA</v>
      </c>
      <c r="ER393" t="str">
        <v>LOPEZ DELGADO RONALD MAURICIO</v>
      </c>
      <c r="ES393" t="str">
        <v>MACIAS VALENCIA DAVID GABRIEL</v>
      </c>
      <c r="ET393" t="str">
        <v>MENDOZA ZAMORA WALTER MANUEL</v>
      </c>
      <c r="EU393" t="str">
        <v>MOLINA CEVALLOS MARIA LORENA</v>
      </c>
      <c r="EV393" t="str">
        <v>MURILLO DELGADO ISAAC GABRIEL</v>
      </c>
      <c r="EW393" t="str">
        <v>ANGULO MURILLO NAVIRA GISSELA</v>
      </c>
      <c r="EX393" t="str">
        <v>OCHOA SOLEDISPA NESTOR IVAN</v>
      </c>
      <c r="EY393" t="str">
        <v>PARRAGA FRANCO SILVANA MARIELA</v>
      </c>
      <c r="EZ393" t="str">
        <v>PINARGOTE VASQUEZ NANCY FABIOLA</v>
      </c>
      <c r="FA393" t="str">
        <v>REYES VELEZ PEDRO ENRIQUE</v>
      </c>
      <c r="FB393" t="str">
        <v>SAN ANDRES HORMAZA DALLAS CECILIA</v>
      </c>
      <c r="FC393" t="str">
        <v>SORNOZA ZAMORA JUAN CARLOS</v>
      </c>
      <c r="FD393" t="str">
        <v>TOMALA PINTO JESUS JACINTO</v>
      </c>
      <c r="FE393" t="str">
        <v>VALLE JARAMILLO SILVIA ARACELY</v>
      </c>
      <c r="FF393" t="str">
        <v>VELÁSQUEZ BRAVO IRMA KATHERINE</v>
      </c>
      <c r="FG393" t="str">
        <v>VELEZ MENDOZA LAYSY VALERIA</v>
      </c>
      <c r="FH393" t="str">
        <v>VINUEZA TELLO SHIRLEY ELIZABETH</v>
      </c>
      <c r="FI393" t="str">
        <v>ZAMBRANO ALCIVAR NILDA ISABEL</v>
      </c>
      <c r="FJ393" t="str">
        <v>ZAMBRANO LOOR RITA MAYDA</v>
      </c>
      <c r="FK393" t="str">
        <v>ZAMBRANO VERA MONICA JANETH</v>
      </c>
      <c r="FL393" t="str">
        <v>VERA DELGADO BRYAN ADRIÁN</v>
      </c>
      <c r="FM393" t="str">
        <v>MORAN GONZALES DAVID RENATO</v>
      </c>
      <c r="FN393">
        <v>0</v>
      </c>
    </row>
    <row r="394" spans="1:170" ht="20.25" customHeight="1">
      <c r="A394" s="4" t="str" cm="1">
        <f t="array" ref="A394">TRANSPOSE(_xlfn.UNIQUE(_xlfn._xlws.FILTER(MAE_ASIGNATURA[ID_NIVEL],MAE_ASIGNATURA[ID_CARRERA]=ASIGNACION!$C394,"No existe información")))</f>
        <v>No existe información</v>
      </c>
      <c r="S394" s="4" t="str" cm="1">
        <f t="array" ref="S394">TRANSPOSE(_xlfn.UNIQUE(_xlfn._xlws.FILTER(MAE_ASIGNATURA[NOM_ASIG],(MAE_ASIGNATURA[ID_NIVEL]=ASIGNACION!$D394)*(MAE_ASIGNATURA[ID_CARRERA]=ASIGNACION!$C394),"No existe información")))</f>
        <v>No existe información</v>
      </c>
      <c r="BD394" s="4" t="str" cm="1">
        <f t="array" ref="BD394">TRANSPOSE(_xlfn.UNIQUE(_xlfn._xlws.FILTER(DET_ASIG[DETALLADO],(DET_ASIG[ID_CARRERA]=ASIGNACION!$C394)*(DET_ASIG[NIVEL]=ASIGNACION!$D394)*(DET_ASIG[ID_ASIG]=ASIGNACION!$G394),"No existe información")))</f>
        <v>No existe información</v>
      </c>
      <c r="BQ394" s="5" t="str" cm="1">
        <f t="array" ref="BQ394">IFERROR(
    TRANSPOSE(
        _xlfn.UNIQUE(
            _xlfn._xlws.FILTER(MAESTRIA_DETALLADO[MAESTRIA],
                ISNUMBER(MATCH(MAESTRIA_DETALLADO[CAMPO_DETALLADO],
                BD394:BP394,0))
            )
        )
    ),IF(BD394="ACTIVIDAD","DOCENCIA",""))</f>
        <v/>
      </c>
      <c r="EA394" s="5" t="str" cm="1">
        <f t="array" ref="EA394:FN394">IF(
    ASIGNACION!I394="SI",
    IFERROR(
        TRANSPOSE(
            _xlfn.UNIQUE(
                _xlfn._xlws.FILTER(EDU_DOCENTE[NOMBRE_DOCENTE],
                    ISNUMBER(MATCH(EDU_DOCENTE[MAESTRIA],
                    BQ394:DY394,0))
                )
            )
        ),
        ""
    ),
    TRANSPOSE(
        _xlfn.UNIQUE(EDU_DOCENTE[NOMBRE_DOCENTE]
        )
    )
)</f>
        <v>ALCIVAR CEDEÑO BEATRIZ ISABEL</v>
      </c>
      <c r="EB394" t="str">
        <v>ALCIVAR VERA GEMA MICHELLE</v>
      </c>
      <c r="EC394" t="str">
        <v>ARAUZ CHAVEZ MARIO ROBERTO</v>
      </c>
      <c r="ED394" t="str">
        <v>BAILON LOURIDO WALTER ALBERTO</v>
      </c>
      <c r="EE394" t="str">
        <v>CALDERERO VILLAGOMEZ ERICK ANTONIO</v>
      </c>
      <c r="EF394" t="str">
        <v>CASTILLO GARCIA PAOLA GERMANIA</v>
      </c>
      <c r="EG394" t="str">
        <v>CEDEÑO CHOEZ PEDRO JAVIER</v>
      </c>
      <c r="EH394" t="str">
        <v>CEVALLOS HOPPE JUAN CARLOS</v>
      </c>
      <c r="EI394" t="str">
        <v>DELGADO CHAVEZ MARIA IRASEMA</v>
      </c>
      <c r="EJ394" t="str">
        <v>DUARTE VALENCIA CRISTHIAN DARIO</v>
      </c>
      <c r="EK394" t="str">
        <v>FORTTY BARBERAN DENNY ALEXANDER</v>
      </c>
      <c r="EL394" t="str">
        <v>GUTIERREZ ZAMBRANO CARMEN EBELINA</v>
      </c>
      <c r="EM394" t="str">
        <v>INTRIAGO MOLINA GEMA VALERIA</v>
      </c>
      <c r="EN394" t="str">
        <v>LINO VELEZ LEONEL LIVINGTON</v>
      </c>
      <c r="EO394" t="str">
        <v>LOOR ALCIVAR MARIA ILIANA</v>
      </c>
      <c r="EP394" t="str">
        <v>LOOR MIELES TANIA JACQUELINE</v>
      </c>
      <c r="EQ394" t="str">
        <v>LOOR SOLORZANO ROSA MARIA</v>
      </c>
      <c r="ER394" t="str">
        <v>LOPEZ DELGADO RONALD MAURICIO</v>
      </c>
      <c r="ES394" t="str">
        <v>MACIAS VALENCIA DAVID GABRIEL</v>
      </c>
      <c r="ET394" t="str">
        <v>MENDOZA ZAMORA WALTER MANUEL</v>
      </c>
      <c r="EU394" t="str">
        <v>MOLINA CEVALLOS MARIA LORENA</v>
      </c>
      <c r="EV394" t="str">
        <v>MURILLO DELGADO ISAAC GABRIEL</v>
      </c>
      <c r="EW394" t="str">
        <v>ANGULO MURILLO NAVIRA GISSELA</v>
      </c>
      <c r="EX394" t="str">
        <v>OCHOA SOLEDISPA NESTOR IVAN</v>
      </c>
      <c r="EY394" t="str">
        <v>PARRAGA FRANCO SILVANA MARIELA</v>
      </c>
      <c r="EZ394" t="str">
        <v>PINARGOTE VASQUEZ NANCY FABIOLA</v>
      </c>
      <c r="FA394" t="str">
        <v>REYES VELEZ PEDRO ENRIQUE</v>
      </c>
      <c r="FB394" t="str">
        <v>SAN ANDRES HORMAZA DALLAS CECILIA</v>
      </c>
      <c r="FC394" t="str">
        <v>SORNOZA ZAMORA JUAN CARLOS</v>
      </c>
      <c r="FD394" t="str">
        <v>TOMALA PINTO JESUS JACINTO</v>
      </c>
      <c r="FE394" t="str">
        <v>VALLE JARAMILLO SILVIA ARACELY</v>
      </c>
      <c r="FF394" t="str">
        <v>VELÁSQUEZ BRAVO IRMA KATHERINE</v>
      </c>
      <c r="FG394" t="str">
        <v>VELEZ MENDOZA LAYSY VALERIA</v>
      </c>
      <c r="FH394" t="str">
        <v>VINUEZA TELLO SHIRLEY ELIZABETH</v>
      </c>
      <c r="FI394" t="str">
        <v>ZAMBRANO ALCIVAR NILDA ISABEL</v>
      </c>
      <c r="FJ394" t="str">
        <v>ZAMBRANO LOOR RITA MAYDA</v>
      </c>
      <c r="FK394" t="str">
        <v>ZAMBRANO VERA MONICA JANETH</v>
      </c>
      <c r="FL394" t="str">
        <v>VERA DELGADO BRYAN ADRIÁN</v>
      </c>
      <c r="FM394" t="str">
        <v>MORAN GONZALES DAVID RENATO</v>
      </c>
      <c r="FN394">
        <v>0</v>
      </c>
    </row>
    <row r="395" spans="1:170" ht="20.25" customHeight="1">
      <c r="A395" s="4" t="str" cm="1">
        <f t="array" ref="A395">TRANSPOSE(_xlfn.UNIQUE(_xlfn._xlws.FILTER(MAE_ASIGNATURA[ID_NIVEL],MAE_ASIGNATURA[ID_CARRERA]=ASIGNACION!$C395,"No existe información")))</f>
        <v>No existe información</v>
      </c>
      <c r="S395" s="4" t="str" cm="1">
        <f t="array" ref="S395">TRANSPOSE(_xlfn.UNIQUE(_xlfn._xlws.FILTER(MAE_ASIGNATURA[NOM_ASIG],(MAE_ASIGNATURA[ID_NIVEL]=ASIGNACION!$D395)*(MAE_ASIGNATURA[ID_CARRERA]=ASIGNACION!$C395),"No existe información")))</f>
        <v>No existe información</v>
      </c>
      <c r="BD395" s="4" t="str" cm="1">
        <f t="array" ref="BD395">TRANSPOSE(_xlfn.UNIQUE(_xlfn._xlws.FILTER(DET_ASIG[DETALLADO],(DET_ASIG[ID_CARRERA]=ASIGNACION!$C395)*(DET_ASIG[NIVEL]=ASIGNACION!$D395)*(DET_ASIG[ID_ASIG]=ASIGNACION!$G395),"No existe información")))</f>
        <v>No existe información</v>
      </c>
      <c r="BQ395" s="5" t="str" cm="1">
        <f t="array" ref="BQ395">IFERROR(
    TRANSPOSE(
        _xlfn.UNIQUE(
            _xlfn._xlws.FILTER(MAESTRIA_DETALLADO[MAESTRIA],
                ISNUMBER(MATCH(MAESTRIA_DETALLADO[CAMPO_DETALLADO],
                BD395:BP395,0))
            )
        )
    ),IF(BD395="ACTIVIDAD","DOCENCIA",""))</f>
        <v/>
      </c>
      <c r="EA395" s="5" t="str" cm="1">
        <f t="array" ref="EA395:FN395">IF(
    ASIGNACION!I395="SI",
    IFERROR(
        TRANSPOSE(
            _xlfn.UNIQUE(
                _xlfn._xlws.FILTER(EDU_DOCENTE[NOMBRE_DOCENTE],
                    ISNUMBER(MATCH(EDU_DOCENTE[MAESTRIA],
                    BQ395:DY395,0))
                )
            )
        ),
        ""
    ),
    TRANSPOSE(
        _xlfn.UNIQUE(EDU_DOCENTE[NOMBRE_DOCENTE]
        )
    )
)</f>
        <v>ALCIVAR CEDEÑO BEATRIZ ISABEL</v>
      </c>
      <c r="EB395" t="str">
        <v>ALCIVAR VERA GEMA MICHELLE</v>
      </c>
      <c r="EC395" t="str">
        <v>ARAUZ CHAVEZ MARIO ROBERTO</v>
      </c>
      <c r="ED395" t="str">
        <v>BAILON LOURIDO WALTER ALBERTO</v>
      </c>
      <c r="EE395" t="str">
        <v>CALDERERO VILLAGOMEZ ERICK ANTONIO</v>
      </c>
      <c r="EF395" t="str">
        <v>CASTILLO GARCIA PAOLA GERMANIA</v>
      </c>
      <c r="EG395" t="str">
        <v>CEDEÑO CHOEZ PEDRO JAVIER</v>
      </c>
      <c r="EH395" t="str">
        <v>CEVALLOS HOPPE JUAN CARLOS</v>
      </c>
      <c r="EI395" t="str">
        <v>DELGADO CHAVEZ MARIA IRASEMA</v>
      </c>
      <c r="EJ395" t="str">
        <v>DUARTE VALENCIA CRISTHIAN DARIO</v>
      </c>
      <c r="EK395" t="str">
        <v>FORTTY BARBERAN DENNY ALEXANDER</v>
      </c>
      <c r="EL395" t="str">
        <v>GUTIERREZ ZAMBRANO CARMEN EBELINA</v>
      </c>
      <c r="EM395" t="str">
        <v>INTRIAGO MOLINA GEMA VALERIA</v>
      </c>
      <c r="EN395" t="str">
        <v>LINO VELEZ LEONEL LIVINGTON</v>
      </c>
      <c r="EO395" t="str">
        <v>LOOR ALCIVAR MARIA ILIANA</v>
      </c>
      <c r="EP395" t="str">
        <v>LOOR MIELES TANIA JACQUELINE</v>
      </c>
      <c r="EQ395" t="str">
        <v>LOOR SOLORZANO ROSA MARIA</v>
      </c>
      <c r="ER395" t="str">
        <v>LOPEZ DELGADO RONALD MAURICIO</v>
      </c>
      <c r="ES395" t="str">
        <v>MACIAS VALENCIA DAVID GABRIEL</v>
      </c>
      <c r="ET395" t="str">
        <v>MENDOZA ZAMORA WALTER MANUEL</v>
      </c>
      <c r="EU395" t="str">
        <v>MOLINA CEVALLOS MARIA LORENA</v>
      </c>
      <c r="EV395" t="str">
        <v>MURILLO DELGADO ISAAC GABRIEL</v>
      </c>
      <c r="EW395" t="str">
        <v>ANGULO MURILLO NAVIRA GISSELA</v>
      </c>
      <c r="EX395" t="str">
        <v>OCHOA SOLEDISPA NESTOR IVAN</v>
      </c>
      <c r="EY395" t="str">
        <v>PARRAGA FRANCO SILVANA MARIELA</v>
      </c>
      <c r="EZ395" t="str">
        <v>PINARGOTE VASQUEZ NANCY FABIOLA</v>
      </c>
      <c r="FA395" t="str">
        <v>REYES VELEZ PEDRO ENRIQUE</v>
      </c>
      <c r="FB395" t="str">
        <v>SAN ANDRES HORMAZA DALLAS CECILIA</v>
      </c>
      <c r="FC395" t="str">
        <v>SORNOZA ZAMORA JUAN CARLOS</v>
      </c>
      <c r="FD395" t="str">
        <v>TOMALA PINTO JESUS JACINTO</v>
      </c>
      <c r="FE395" t="str">
        <v>VALLE JARAMILLO SILVIA ARACELY</v>
      </c>
      <c r="FF395" t="str">
        <v>VELÁSQUEZ BRAVO IRMA KATHERINE</v>
      </c>
      <c r="FG395" t="str">
        <v>VELEZ MENDOZA LAYSY VALERIA</v>
      </c>
      <c r="FH395" t="str">
        <v>VINUEZA TELLO SHIRLEY ELIZABETH</v>
      </c>
      <c r="FI395" t="str">
        <v>ZAMBRANO ALCIVAR NILDA ISABEL</v>
      </c>
      <c r="FJ395" t="str">
        <v>ZAMBRANO LOOR RITA MAYDA</v>
      </c>
      <c r="FK395" t="str">
        <v>ZAMBRANO VERA MONICA JANETH</v>
      </c>
      <c r="FL395" t="str">
        <v>VERA DELGADO BRYAN ADRIÁN</v>
      </c>
      <c r="FM395" t="str">
        <v>MORAN GONZALES DAVID RENATO</v>
      </c>
      <c r="FN395">
        <v>0</v>
      </c>
    </row>
    <row r="396" spans="1:170" ht="20.25" customHeight="1">
      <c r="A396" s="4" t="str" cm="1">
        <f t="array" ref="A396">TRANSPOSE(_xlfn.UNIQUE(_xlfn._xlws.FILTER(MAE_ASIGNATURA[ID_NIVEL],MAE_ASIGNATURA[ID_CARRERA]=ASIGNACION!$C396,"No existe información")))</f>
        <v>No existe información</v>
      </c>
      <c r="S396" s="4" t="str" cm="1">
        <f t="array" ref="S396">TRANSPOSE(_xlfn.UNIQUE(_xlfn._xlws.FILTER(MAE_ASIGNATURA[NOM_ASIG],(MAE_ASIGNATURA[ID_NIVEL]=ASIGNACION!$D396)*(MAE_ASIGNATURA[ID_CARRERA]=ASIGNACION!$C396),"No existe información")))</f>
        <v>No existe información</v>
      </c>
      <c r="BD396" s="4" t="str" cm="1">
        <f t="array" ref="BD396">TRANSPOSE(_xlfn.UNIQUE(_xlfn._xlws.FILTER(DET_ASIG[DETALLADO],(DET_ASIG[ID_CARRERA]=ASIGNACION!$C396)*(DET_ASIG[NIVEL]=ASIGNACION!$D396)*(DET_ASIG[ID_ASIG]=ASIGNACION!$G396),"No existe información")))</f>
        <v>No existe información</v>
      </c>
      <c r="BQ396" s="5" t="str" cm="1">
        <f t="array" ref="BQ396">IFERROR(
    TRANSPOSE(
        _xlfn.UNIQUE(
            _xlfn._xlws.FILTER(MAESTRIA_DETALLADO[MAESTRIA],
                ISNUMBER(MATCH(MAESTRIA_DETALLADO[CAMPO_DETALLADO],
                BD396:BP396,0))
            )
        )
    ),IF(BD396="ACTIVIDAD","DOCENCIA",""))</f>
        <v/>
      </c>
      <c r="EA396" s="5" t="str" cm="1">
        <f t="array" ref="EA396:FN396">IF(
    ASIGNACION!I396="SI",
    IFERROR(
        TRANSPOSE(
            _xlfn.UNIQUE(
                _xlfn._xlws.FILTER(EDU_DOCENTE[NOMBRE_DOCENTE],
                    ISNUMBER(MATCH(EDU_DOCENTE[MAESTRIA],
                    BQ396:DY396,0))
                )
            )
        ),
        ""
    ),
    TRANSPOSE(
        _xlfn.UNIQUE(EDU_DOCENTE[NOMBRE_DOCENTE]
        )
    )
)</f>
        <v>ALCIVAR CEDEÑO BEATRIZ ISABEL</v>
      </c>
      <c r="EB396" t="str">
        <v>ALCIVAR VERA GEMA MICHELLE</v>
      </c>
      <c r="EC396" t="str">
        <v>ARAUZ CHAVEZ MARIO ROBERTO</v>
      </c>
      <c r="ED396" t="str">
        <v>BAILON LOURIDO WALTER ALBERTO</v>
      </c>
      <c r="EE396" t="str">
        <v>CALDERERO VILLAGOMEZ ERICK ANTONIO</v>
      </c>
      <c r="EF396" t="str">
        <v>CASTILLO GARCIA PAOLA GERMANIA</v>
      </c>
      <c r="EG396" t="str">
        <v>CEDEÑO CHOEZ PEDRO JAVIER</v>
      </c>
      <c r="EH396" t="str">
        <v>CEVALLOS HOPPE JUAN CARLOS</v>
      </c>
      <c r="EI396" t="str">
        <v>DELGADO CHAVEZ MARIA IRASEMA</v>
      </c>
      <c r="EJ396" t="str">
        <v>DUARTE VALENCIA CRISTHIAN DARIO</v>
      </c>
      <c r="EK396" t="str">
        <v>FORTTY BARBERAN DENNY ALEXANDER</v>
      </c>
      <c r="EL396" t="str">
        <v>GUTIERREZ ZAMBRANO CARMEN EBELINA</v>
      </c>
      <c r="EM396" t="str">
        <v>INTRIAGO MOLINA GEMA VALERIA</v>
      </c>
      <c r="EN396" t="str">
        <v>LINO VELEZ LEONEL LIVINGTON</v>
      </c>
      <c r="EO396" t="str">
        <v>LOOR ALCIVAR MARIA ILIANA</v>
      </c>
      <c r="EP396" t="str">
        <v>LOOR MIELES TANIA JACQUELINE</v>
      </c>
      <c r="EQ396" t="str">
        <v>LOOR SOLORZANO ROSA MARIA</v>
      </c>
      <c r="ER396" t="str">
        <v>LOPEZ DELGADO RONALD MAURICIO</v>
      </c>
      <c r="ES396" t="str">
        <v>MACIAS VALENCIA DAVID GABRIEL</v>
      </c>
      <c r="ET396" t="str">
        <v>MENDOZA ZAMORA WALTER MANUEL</v>
      </c>
      <c r="EU396" t="str">
        <v>MOLINA CEVALLOS MARIA LORENA</v>
      </c>
      <c r="EV396" t="str">
        <v>MURILLO DELGADO ISAAC GABRIEL</v>
      </c>
      <c r="EW396" t="str">
        <v>ANGULO MURILLO NAVIRA GISSELA</v>
      </c>
      <c r="EX396" t="str">
        <v>OCHOA SOLEDISPA NESTOR IVAN</v>
      </c>
      <c r="EY396" t="str">
        <v>PARRAGA FRANCO SILVANA MARIELA</v>
      </c>
      <c r="EZ396" t="str">
        <v>PINARGOTE VASQUEZ NANCY FABIOLA</v>
      </c>
      <c r="FA396" t="str">
        <v>REYES VELEZ PEDRO ENRIQUE</v>
      </c>
      <c r="FB396" t="str">
        <v>SAN ANDRES HORMAZA DALLAS CECILIA</v>
      </c>
      <c r="FC396" t="str">
        <v>SORNOZA ZAMORA JUAN CARLOS</v>
      </c>
      <c r="FD396" t="str">
        <v>TOMALA PINTO JESUS JACINTO</v>
      </c>
      <c r="FE396" t="str">
        <v>VALLE JARAMILLO SILVIA ARACELY</v>
      </c>
      <c r="FF396" t="str">
        <v>VELÁSQUEZ BRAVO IRMA KATHERINE</v>
      </c>
      <c r="FG396" t="str">
        <v>VELEZ MENDOZA LAYSY VALERIA</v>
      </c>
      <c r="FH396" t="str">
        <v>VINUEZA TELLO SHIRLEY ELIZABETH</v>
      </c>
      <c r="FI396" t="str">
        <v>ZAMBRANO ALCIVAR NILDA ISABEL</v>
      </c>
      <c r="FJ396" t="str">
        <v>ZAMBRANO LOOR RITA MAYDA</v>
      </c>
      <c r="FK396" t="str">
        <v>ZAMBRANO VERA MONICA JANETH</v>
      </c>
      <c r="FL396" t="str">
        <v>VERA DELGADO BRYAN ADRIÁN</v>
      </c>
      <c r="FM396" t="str">
        <v>MORAN GONZALES DAVID RENATO</v>
      </c>
      <c r="FN396">
        <v>0</v>
      </c>
    </row>
    <row r="397" spans="1:170" ht="20.25" customHeight="1">
      <c r="A397" s="4" t="str" cm="1">
        <f t="array" ref="A397">TRANSPOSE(_xlfn.UNIQUE(_xlfn._xlws.FILTER(MAE_ASIGNATURA[ID_NIVEL],MAE_ASIGNATURA[ID_CARRERA]=ASIGNACION!$C397,"No existe información")))</f>
        <v>No existe información</v>
      </c>
      <c r="S397" s="4" t="str" cm="1">
        <f t="array" ref="S397">TRANSPOSE(_xlfn.UNIQUE(_xlfn._xlws.FILTER(MAE_ASIGNATURA[NOM_ASIG],(MAE_ASIGNATURA[ID_NIVEL]=ASIGNACION!$D397)*(MAE_ASIGNATURA[ID_CARRERA]=ASIGNACION!$C397),"No existe información")))</f>
        <v>No existe información</v>
      </c>
      <c r="BD397" s="4" t="str" cm="1">
        <f t="array" ref="BD397">TRANSPOSE(_xlfn.UNIQUE(_xlfn._xlws.FILTER(DET_ASIG[DETALLADO],(DET_ASIG[ID_CARRERA]=ASIGNACION!$C397)*(DET_ASIG[NIVEL]=ASIGNACION!$D397)*(DET_ASIG[ID_ASIG]=ASIGNACION!$G397),"No existe información")))</f>
        <v>No existe información</v>
      </c>
      <c r="BQ397" s="5" t="str" cm="1">
        <f t="array" ref="BQ397">IFERROR(
    TRANSPOSE(
        _xlfn.UNIQUE(
            _xlfn._xlws.FILTER(MAESTRIA_DETALLADO[MAESTRIA],
                ISNUMBER(MATCH(MAESTRIA_DETALLADO[CAMPO_DETALLADO],
                BD397:BP397,0))
            )
        )
    ),IF(BD397="ACTIVIDAD","DOCENCIA",""))</f>
        <v/>
      </c>
      <c r="EA397" s="5" t="str" cm="1">
        <f t="array" ref="EA397:FN397">IF(
    ASIGNACION!I397="SI",
    IFERROR(
        TRANSPOSE(
            _xlfn.UNIQUE(
                _xlfn._xlws.FILTER(EDU_DOCENTE[NOMBRE_DOCENTE],
                    ISNUMBER(MATCH(EDU_DOCENTE[MAESTRIA],
                    BQ397:DY397,0))
                )
            )
        ),
        ""
    ),
    TRANSPOSE(
        _xlfn.UNIQUE(EDU_DOCENTE[NOMBRE_DOCENTE]
        )
    )
)</f>
        <v>ALCIVAR CEDEÑO BEATRIZ ISABEL</v>
      </c>
      <c r="EB397" t="str">
        <v>ALCIVAR VERA GEMA MICHELLE</v>
      </c>
      <c r="EC397" t="str">
        <v>ARAUZ CHAVEZ MARIO ROBERTO</v>
      </c>
      <c r="ED397" t="str">
        <v>BAILON LOURIDO WALTER ALBERTO</v>
      </c>
      <c r="EE397" t="str">
        <v>CALDERERO VILLAGOMEZ ERICK ANTONIO</v>
      </c>
      <c r="EF397" t="str">
        <v>CASTILLO GARCIA PAOLA GERMANIA</v>
      </c>
      <c r="EG397" t="str">
        <v>CEDEÑO CHOEZ PEDRO JAVIER</v>
      </c>
      <c r="EH397" t="str">
        <v>CEVALLOS HOPPE JUAN CARLOS</v>
      </c>
      <c r="EI397" t="str">
        <v>DELGADO CHAVEZ MARIA IRASEMA</v>
      </c>
      <c r="EJ397" t="str">
        <v>DUARTE VALENCIA CRISTHIAN DARIO</v>
      </c>
      <c r="EK397" t="str">
        <v>FORTTY BARBERAN DENNY ALEXANDER</v>
      </c>
      <c r="EL397" t="str">
        <v>GUTIERREZ ZAMBRANO CARMEN EBELINA</v>
      </c>
      <c r="EM397" t="str">
        <v>INTRIAGO MOLINA GEMA VALERIA</v>
      </c>
      <c r="EN397" t="str">
        <v>LINO VELEZ LEONEL LIVINGTON</v>
      </c>
      <c r="EO397" t="str">
        <v>LOOR ALCIVAR MARIA ILIANA</v>
      </c>
      <c r="EP397" t="str">
        <v>LOOR MIELES TANIA JACQUELINE</v>
      </c>
      <c r="EQ397" t="str">
        <v>LOOR SOLORZANO ROSA MARIA</v>
      </c>
      <c r="ER397" t="str">
        <v>LOPEZ DELGADO RONALD MAURICIO</v>
      </c>
      <c r="ES397" t="str">
        <v>MACIAS VALENCIA DAVID GABRIEL</v>
      </c>
      <c r="ET397" t="str">
        <v>MENDOZA ZAMORA WALTER MANUEL</v>
      </c>
      <c r="EU397" t="str">
        <v>MOLINA CEVALLOS MARIA LORENA</v>
      </c>
      <c r="EV397" t="str">
        <v>MURILLO DELGADO ISAAC GABRIEL</v>
      </c>
      <c r="EW397" t="str">
        <v>ANGULO MURILLO NAVIRA GISSELA</v>
      </c>
      <c r="EX397" t="str">
        <v>OCHOA SOLEDISPA NESTOR IVAN</v>
      </c>
      <c r="EY397" t="str">
        <v>PARRAGA FRANCO SILVANA MARIELA</v>
      </c>
      <c r="EZ397" t="str">
        <v>PINARGOTE VASQUEZ NANCY FABIOLA</v>
      </c>
      <c r="FA397" t="str">
        <v>REYES VELEZ PEDRO ENRIQUE</v>
      </c>
      <c r="FB397" t="str">
        <v>SAN ANDRES HORMAZA DALLAS CECILIA</v>
      </c>
      <c r="FC397" t="str">
        <v>SORNOZA ZAMORA JUAN CARLOS</v>
      </c>
      <c r="FD397" t="str">
        <v>TOMALA PINTO JESUS JACINTO</v>
      </c>
      <c r="FE397" t="str">
        <v>VALLE JARAMILLO SILVIA ARACELY</v>
      </c>
      <c r="FF397" t="str">
        <v>VELÁSQUEZ BRAVO IRMA KATHERINE</v>
      </c>
      <c r="FG397" t="str">
        <v>VELEZ MENDOZA LAYSY VALERIA</v>
      </c>
      <c r="FH397" t="str">
        <v>VINUEZA TELLO SHIRLEY ELIZABETH</v>
      </c>
      <c r="FI397" t="str">
        <v>ZAMBRANO ALCIVAR NILDA ISABEL</v>
      </c>
      <c r="FJ397" t="str">
        <v>ZAMBRANO LOOR RITA MAYDA</v>
      </c>
      <c r="FK397" t="str">
        <v>ZAMBRANO VERA MONICA JANETH</v>
      </c>
      <c r="FL397" t="str">
        <v>VERA DELGADO BRYAN ADRIÁN</v>
      </c>
      <c r="FM397" t="str">
        <v>MORAN GONZALES DAVID RENATO</v>
      </c>
      <c r="FN397">
        <v>0</v>
      </c>
    </row>
    <row r="398" spans="1:170" ht="20.25" customHeight="1">
      <c r="A398" s="4" t="str" cm="1">
        <f t="array" ref="A398">TRANSPOSE(_xlfn.UNIQUE(_xlfn._xlws.FILTER(MAE_ASIGNATURA[ID_NIVEL],MAE_ASIGNATURA[ID_CARRERA]=ASIGNACION!$C398,"No existe información")))</f>
        <v>No existe información</v>
      </c>
      <c r="S398" s="4" t="str" cm="1">
        <f t="array" ref="S398">TRANSPOSE(_xlfn.UNIQUE(_xlfn._xlws.FILTER(MAE_ASIGNATURA[NOM_ASIG],(MAE_ASIGNATURA[ID_NIVEL]=ASIGNACION!$D398)*(MAE_ASIGNATURA[ID_CARRERA]=ASIGNACION!$C398),"No existe información")))</f>
        <v>No existe información</v>
      </c>
      <c r="BD398" s="4" t="str" cm="1">
        <f t="array" ref="BD398">TRANSPOSE(_xlfn.UNIQUE(_xlfn._xlws.FILTER(DET_ASIG[DETALLADO],(DET_ASIG[ID_CARRERA]=ASIGNACION!$C398)*(DET_ASIG[NIVEL]=ASIGNACION!$D398)*(DET_ASIG[ID_ASIG]=ASIGNACION!$G398),"No existe información")))</f>
        <v>No existe información</v>
      </c>
      <c r="BQ398" s="5" t="str" cm="1">
        <f t="array" ref="BQ398">IFERROR(
    TRANSPOSE(
        _xlfn.UNIQUE(
            _xlfn._xlws.FILTER(MAESTRIA_DETALLADO[MAESTRIA],
                ISNUMBER(MATCH(MAESTRIA_DETALLADO[CAMPO_DETALLADO],
                BD398:BP398,0))
            )
        )
    ),IF(BD398="ACTIVIDAD","DOCENCIA",""))</f>
        <v/>
      </c>
      <c r="EA398" s="5" t="str" cm="1">
        <f t="array" ref="EA398:FN398">IF(
    ASIGNACION!I398="SI",
    IFERROR(
        TRANSPOSE(
            _xlfn.UNIQUE(
                _xlfn._xlws.FILTER(EDU_DOCENTE[NOMBRE_DOCENTE],
                    ISNUMBER(MATCH(EDU_DOCENTE[MAESTRIA],
                    BQ398:DY398,0))
                )
            )
        ),
        ""
    ),
    TRANSPOSE(
        _xlfn.UNIQUE(EDU_DOCENTE[NOMBRE_DOCENTE]
        )
    )
)</f>
        <v>ALCIVAR CEDEÑO BEATRIZ ISABEL</v>
      </c>
      <c r="EB398" t="str">
        <v>ALCIVAR VERA GEMA MICHELLE</v>
      </c>
      <c r="EC398" t="str">
        <v>ARAUZ CHAVEZ MARIO ROBERTO</v>
      </c>
      <c r="ED398" t="str">
        <v>BAILON LOURIDO WALTER ALBERTO</v>
      </c>
      <c r="EE398" t="str">
        <v>CALDERERO VILLAGOMEZ ERICK ANTONIO</v>
      </c>
      <c r="EF398" t="str">
        <v>CASTILLO GARCIA PAOLA GERMANIA</v>
      </c>
      <c r="EG398" t="str">
        <v>CEDEÑO CHOEZ PEDRO JAVIER</v>
      </c>
      <c r="EH398" t="str">
        <v>CEVALLOS HOPPE JUAN CARLOS</v>
      </c>
      <c r="EI398" t="str">
        <v>DELGADO CHAVEZ MARIA IRASEMA</v>
      </c>
      <c r="EJ398" t="str">
        <v>DUARTE VALENCIA CRISTHIAN DARIO</v>
      </c>
      <c r="EK398" t="str">
        <v>FORTTY BARBERAN DENNY ALEXANDER</v>
      </c>
      <c r="EL398" t="str">
        <v>GUTIERREZ ZAMBRANO CARMEN EBELINA</v>
      </c>
      <c r="EM398" t="str">
        <v>INTRIAGO MOLINA GEMA VALERIA</v>
      </c>
      <c r="EN398" t="str">
        <v>LINO VELEZ LEONEL LIVINGTON</v>
      </c>
      <c r="EO398" t="str">
        <v>LOOR ALCIVAR MARIA ILIANA</v>
      </c>
      <c r="EP398" t="str">
        <v>LOOR MIELES TANIA JACQUELINE</v>
      </c>
      <c r="EQ398" t="str">
        <v>LOOR SOLORZANO ROSA MARIA</v>
      </c>
      <c r="ER398" t="str">
        <v>LOPEZ DELGADO RONALD MAURICIO</v>
      </c>
      <c r="ES398" t="str">
        <v>MACIAS VALENCIA DAVID GABRIEL</v>
      </c>
      <c r="ET398" t="str">
        <v>MENDOZA ZAMORA WALTER MANUEL</v>
      </c>
      <c r="EU398" t="str">
        <v>MOLINA CEVALLOS MARIA LORENA</v>
      </c>
      <c r="EV398" t="str">
        <v>MURILLO DELGADO ISAAC GABRIEL</v>
      </c>
      <c r="EW398" t="str">
        <v>ANGULO MURILLO NAVIRA GISSELA</v>
      </c>
      <c r="EX398" t="str">
        <v>OCHOA SOLEDISPA NESTOR IVAN</v>
      </c>
      <c r="EY398" t="str">
        <v>PARRAGA FRANCO SILVANA MARIELA</v>
      </c>
      <c r="EZ398" t="str">
        <v>PINARGOTE VASQUEZ NANCY FABIOLA</v>
      </c>
      <c r="FA398" t="str">
        <v>REYES VELEZ PEDRO ENRIQUE</v>
      </c>
      <c r="FB398" t="str">
        <v>SAN ANDRES HORMAZA DALLAS CECILIA</v>
      </c>
      <c r="FC398" t="str">
        <v>SORNOZA ZAMORA JUAN CARLOS</v>
      </c>
      <c r="FD398" t="str">
        <v>TOMALA PINTO JESUS JACINTO</v>
      </c>
      <c r="FE398" t="str">
        <v>VALLE JARAMILLO SILVIA ARACELY</v>
      </c>
      <c r="FF398" t="str">
        <v>VELÁSQUEZ BRAVO IRMA KATHERINE</v>
      </c>
      <c r="FG398" t="str">
        <v>VELEZ MENDOZA LAYSY VALERIA</v>
      </c>
      <c r="FH398" t="str">
        <v>VINUEZA TELLO SHIRLEY ELIZABETH</v>
      </c>
      <c r="FI398" t="str">
        <v>ZAMBRANO ALCIVAR NILDA ISABEL</v>
      </c>
      <c r="FJ398" t="str">
        <v>ZAMBRANO LOOR RITA MAYDA</v>
      </c>
      <c r="FK398" t="str">
        <v>ZAMBRANO VERA MONICA JANETH</v>
      </c>
      <c r="FL398" t="str">
        <v>VERA DELGADO BRYAN ADRIÁN</v>
      </c>
      <c r="FM398" t="str">
        <v>MORAN GONZALES DAVID RENATO</v>
      </c>
      <c r="FN398">
        <v>0</v>
      </c>
    </row>
    <row r="399" spans="1:170" ht="20.25" customHeight="1">
      <c r="A399" s="4" t="str" cm="1">
        <f t="array" ref="A399">TRANSPOSE(_xlfn.UNIQUE(_xlfn._xlws.FILTER(MAE_ASIGNATURA[ID_NIVEL],MAE_ASIGNATURA[ID_CARRERA]=ASIGNACION!$C399,"No existe información")))</f>
        <v>No existe información</v>
      </c>
      <c r="S399" s="4" t="str" cm="1">
        <f t="array" ref="S399">TRANSPOSE(_xlfn.UNIQUE(_xlfn._xlws.FILTER(MAE_ASIGNATURA[NOM_ASIG],(MAE_ASIGNATURA[ID_NIVEL]=ASIGNACION!$D399)*(MAE_ASIGNATURA[ID_CARRERA]=ASIGNACION!$C399),"No existe información")))</f>
        <v>No existe información</v>
      </c>
      <c r="BD399" s="4" t="str" cm="1">
        <f t="array" ref="BD399">TRANSPOSE(_xlfn.UNIQUE(_xlfn._xlws.FILTER(DET_ASIG[DETALLADO],(DET_ASIG[ID_CARRERA]=ASIGNACION!$C399)*(DET_ASIG[NIVEL]=ASIGNACION!$D399)*(DET_ASIG[ID_ASIG]=ASIGNACION!$G399),"No existe información")))</f>
        <v>No existe información</v>
      </c>
      <c r="BQ399" s="5" t="str" cm="1">
        <f t="array" ref="BQ399">IFERROR(
    TRANSPOSE(
        _xlfn.UNIQUE(
            _xlfn._xlws.FILTER(MAESTRIA_DETALLADO[MAESTRIA],
                ISNUMBER(MATCH(MAESTRIA_DETALLADO[CAMPO_DETALLADO],
                BD399:BP399,0))
            )
        )
    ),IF(BD399="ACTIVIDAD","DOCENCIA",""))</f>
        <v/>
      </c>
      <c r="EA399" s="5" t="str" cm="1">
        <f t="array" ref="EA399:FN399">IF(
    ASIGNACION!I399="SI",
    IFERROR(
        TRANSPOSE(
            _xlfn.UNIQUE(
                _xlfn._xlws.FILTER(EDU_DOCENTE[NOMBRE_DOCENTE],
                    ISNUMBER(MATCH(EDU_DOCENTE[MAESTRIA],
                    BQ399:DY399,0))
                )
            )
        ),
        ""
    ),
    TRANSPOSE(
        _xlfn.UNIQUE(EDU_DOCENTE[NOMBRE_DOCENTE]
        )
    )
)</f>
        <v>ALCIVAR CEDEÑO BEATRIZ ISABEL</v>
      </c>
      <c r="EB399" t="str">
        <v>ALCIVAR VERA GEMA MICHELLE</v>
      </c>
      <c r="EC399" t="str">
        <v>ARAUZ CHAVEZ MARIO ROBERTO</v>
      </c>
      <c r="ED399" t="str">
        <v>BAILON LOURIDO WALTER ALBERTO</v>
      </c>
      <c r="EE399" t="str">
        <v>CALDERERO VILLAGOMEZ ERICK ANTONIO</v>
      </c>
      <c r="EF399" t="str">
        <v>CASTILLO GARCIA PAOLA GERMANIA</v>
      </c>
      <c r="EG399" t="str">
        <v>CEDEÑO CHOEZ PEDRO JAVIER</v>
      </c>
      <c r="EH399" t="str">
        <v>CEVALLOS HOPPE JUAN CARLOS</v>
      </c>
      <c r="EI399" t="str">
        <v>DELGADO CHAVEZ MARIA IRASEMA</v>
      </c>
      <c r="EJ399" t="str">
        <v>DUARTE VALENCIA CRISTHIAN DARIO</v>
      </c>
      <c r="EK399" t="str">
        <v>FORTTY BARBERAN DENNY ALEXANDER</v>
      </c>
      <c r="EL399" t="str">
        <v>GUTIERREZ ZAMBRANO CARMEN EBELINA</v>
      </c>
      <c r="EM399" t="str">
        <v>INTRIAGO MOLINA GEMA VALERIA</v>
      </c>
      <c r="EN399" t="str">
        <v>LINO VELEZ LEONEL LIVINGTON</v>
      </c>
      <c r="EO399" t="str">
        <v>LOOR ALCIVAR MARIA ILIANA</v>
      </c>
      <c r="EP399" t="str">
        <v>LOOR MIELES TANIA JACQUELINE</v>
      </c>
      <c r="EQ399" t="str">
        <v>LOOR SOLORZANO ROSA MARIA</v>
      </c>
      <c r="ER399" t="str">
        <v>LOPEZ DELGADO RONALD MAURICIO</v>
      </c>
      <c r="ES399" t="str">
        <v>MACIAS VALENCIA DAVID GABRIEL</v>
      </c>
      <c r="ET399" t="str">
        <v>MENDOZA ZAMORA WALTER MANUEL</v>
      </c>
      <c r="EU399" t="str">
        <v>MOLINA CEVALLOS MARIA LORENA</v>
      </c>
      <c r="EV399" t="str">
        <v>MURILLO DELGADO ISAAC GABRIEL</v>
      </c>
      <c r="EW399" t="str">
        <v>ANGULO MURILLO NAVIRA GISSELA</v>
      </c>
      <c r="EX399" t="str">
        <v>OCHOA SOLEDISPA NESTOR IVAN</v>
      </c>
      <c r="EY399" t="str">
        <v>PARRAGA FRANCO SILVANA MARIELA</v>
      </c>
      <c r="EZ399" t="str">
        <v>PINARGOTE VASQUEZ NANCY FABIOLA</v>
      </c>
      <c r="FA399" t="str">
        <v>REYES VELEZ PEDRO ENRIQUE</v>
      </c>
      <c r="FB399" t="str">
        <v>SAN ANDRES HORMAZA DALLAS CECILIA</v>
      </c>
      <c r="FC399" t="str">
        <v>SORNOZA ZAMORA JUAN CARLOS</v>
      </c>
      <c r="FD399" t="str">
        <v>TOMALA PINTO JESUS JACINTO</v>
      </c>
      <c r="FE399" t="str">
        <v>VALLE JARAMILLO SILVIA ARACELY</v>
      </c>
      <c r="FF399" t="str">
        <v>VELÁSQUEZ BRAVO IRMA KATHERINE</v>
      </c>
      <c r="FG399" t="str">
        <v>VELEZ MENDOZA LAYSY VALERIA</v>
      </c>
      <c r="FH399" t="str">
        <v>VINUEZA TELLO SHIRLEY ELIZABETH</v>
      </c>
      <c r="FI399" t="str">
        <v>ZAMBRANO ALCIVAR NILDA ISABEL</v>
      </c>
      <c r="FJ399" t="str">
        <v>ZAMBRANO LOOR RITA MAYDA</v>
      </c>
      <c r="FK399" t="str">
        <v>ZAMBRANO VERA MONICA JANETH</v>
      </c>
      <c r="FL399" t="str">
        <v>VERA DELGADO BRYAN ADRIÁN</v>
      </c>
      <c r="FM399" t="str">
        <v>MORAN GONZALES DAVID RENATO</v>
      </c>
      <c r="FN399">
        <v>0</v>
      </c>
    </row>
    <row r="400" spans="1:170" ht="20.25" customHeight="1">
      <c r="A400" s="4" t="str" cm="1">
        <f t="array" ref="A400">TRANSPOSE(_xlfn.UNIQUE(_xlfn._xlws.FILTER(MAE_ASIGNATURA[ID_NIVEL],MAE_ASIGNATURA[ID_CARRERA]=ASIGNACION!$C400,"No existe información")))</f>
        <v>No existe información</v>
      </c>
      <c r="S400" s="4" t="str" cm="1">
        <f t="array" ref="S400">TRANSPOSE(_xlfn.UNIQUE(_xlfn._xlws.FILTER(MAE_ASIGNATURA[NOM_ASIG],(MAE_ASIGNATURA[ID_NIVEL]=ASIGNACION!$D400)*(MAE_ASIGNATURA[ID_CARRERA]=ASIGNACION!$C400),"No existe información")))</f>
        <v>No existe información</v>
      </c>
      <c r="BD400" s="4" t="str" cm="1">
        <f t="array" ref="BD400">TRANSPOSE(_xlfn.UNIQUE(_xlfn._xlws.FILTER(DET_ASIG[DETALLADO],(DET_ASIG[ID_CARRERA]=ASIGNACION!$C400)*(DET_ASIG[NIVEL]=ASIGNACION!$D400)*(DET_ASIG[ID_ASIG]=ASIGNACION!$G400),"No existe información")))</f>
        <v>No existe información</v>
      </c>
      <c r="BQ400" s="5" t="str" cm="1">
        <f t="array" ref="BQ400">IFERROR(
    TRANSPOSE(
        _xlfn.UNIQUE(
            _xlfn._xlws.FILTER(MAESTRIA_DETALLADO[MAESTRIA],
                ISNUMBER(MATCH(MAESTRIA_DETALLADO[CAMPO_DETALLADO],
                BD400:BP400,0))
            )
        )
    ),IF(BD400="ACTIVIDAD","DOCENCIA",""))</f>
        <v/>
      </c>
      <c r="EA400" s="5" t="str" cm="1">
        <f t="array" ref="EA400:FN400">IF(
    ASIGNACION!I400="SI",
    IFERROR(
        TRANSPOSE(
            _xlfn.UNIQUE(
                _xlfn._xlws.FILTER(EDU_DOCENTE[NOMBRE_DOCENTE],
                    ISNUMBER(MATCH(EDU_DOCENTE[MAESTRIA],
                    BQ400:DY400,0))
                )
            )
        ),
        ""
    ),
    TRANSPOSE(
        _xlfn.UNIQUE(EDU_DOCENTE[NOMBRE_DOCENTE]
        )
    )
)</f>
        <v>ALCIVAR CEDEÑO BEATRIZ ISABEL</v>
      </c>
      <c r="EB400" t="str">
        <v>ALCIVAR VERA GEMA MICHELLE</v>
      </c>
      <c r="EC400" t="str">
        <v>ARAUZ CHAVEZ MARIO ROBERTO</v>
      </c>
      <c r="ED400" t="str">
        <v>BAILON LOURIDO WALTER ALBERTO</v>
      </c>
      <c r="EE400" t="str">
        <v>CALDERERO VILLAGOMEZ ERICK ANTONIO</v>
      </c>
      <c r="EF400" t="str">
        <v>CASTILLO GARCIA PAOLA GERMANIA</v>
      </c>
      <c r="EG400" t="str">
        <v>CEDEÑO CHOEZ PEDRO JAVIER</v>
      </c>
      <c r="EH400" t="str">
        <v>CEVALLOS HOPPE JUAN CARLOS</v>
      </c>
      <c r="EI400" t="str">
        <v>DELGADO CHAVEZ MARIA IRASEMA</v>
      </c>
      <c r="EJ400" t="str">
        <v>DUARTE VALENCIA CRISTHIAN DARIO</v>
      </c>
      <c r="EK400" t="str">
        <v>FORTTY BARBERAN DENNY ALEXANDER</v>
      </c>
      <c r="EL400" t="str">
        <v>GUTIERREZ ZAMBRANO CARMEN EBELINA</v>
      </c>
      <c r="EM400" t="str">
        <v>INTRIAGO MOLINA GEMA VALERIA</v>
      </c>
      <c r="EN400" t="str">
        <v>LINO VELEZ LEONEL LIVINGTON</v>
      </c>
      <c r="EO400" t="str">
        <v>LOOR ALCIVAR MARIA ILIANA</v>
      </c>
      <c r="EP400" t="str">
        <v>LOOR MIELES TANIA JACQUELINE</v>
      </c>
      <c r="EQ400" t="str">
        <v>LOOR SOLORZANO ROSA MARIA</v>
      </c>
      <c r="ER400" t="str">
        <v>LOPEZ DELGADO RONALD MAURICIO</v>
      </c>
      <c r="ES400" t="str">
        <v>MACIAS VALENCIA DAVID GABRIEL</v>
      </c>
      <c r="ET400" t="str">
        <v>MENDOZA ZAMORA WALTER MANUEL</v>
      </c>
      <c r="EU400" t="str">
        <v>MOLINA CEVALLOS MARIA LORENA</v>
      </c>
      <c r="EV400" t="str">
        <v>MURILLO DELGADO ISAAC GABRIEL</v>
      </c>
      <c r="EW400" t="str">
        <v>ANGULO MURILLO NAVIRA GISSELA</v>
      </c>
      <c r="EX400" t="str">
        <v>OCHOA SOLEDISPA NESTOR IVAN</v>
      </c>
      <c r="EY400" t="str">
        <v>PARRAGA FRANCO SILVANA MARIELA</v>
      </c>
      <c r="EZ400" t="str">
        <v>PINARGOTE VASQUEZ NANCY FABIOLA</v>
      </c>
      <c r="FA400" t="str">
        <v>REYES VELEZ PEDRO ENRIQUE</v>
      </c>
      <c r="FB400" t="str">
        <v>SAN ANDRES HORMAZA DALLAS CECILIA</v>
      </c>
      <c r="FC400" t="str">
        <v>SORNOZA ZAMORA JUAN CARLOS</v>
      </c>
      <c r="FD400" t="str">
        <v>TOMALA PINTO JESUS JACINTO</v>
      </c>
      <c r="FE400" t="str">
        <v>VALLE JARAMILLO SILVIA ARACELY</v>
      </c>
      <c r="FF400" t="str">
        <v>VELÁSQUEZ BRAVO IRMA KATHERINE</v>
      </c>
      <c r="FG400" t="str">
        <v>VELEZ MENDOZA LAYSY VALERIA</v>
      </c>
      <c r="FH400" t="str">
        <v>VINUEZA TELLO SHIRLEY ELIZABETH</v>
      </c>
      <c r="FI400" t="str">
        <v>ZAMBRANO ALCIVAR NILDA ISABEL</v>
      </c>
      <c r="FJ400" t="str">
        <v>ZAMBRANO LOOR RITA MAYDA</v>
      </c>
      <c r="FK400" t="str">
        <v>ZAMBRANO VERA MONICA JANETH</v>
      </c>
      <c r="FL400" t="str">
        <v>VERA DELGADO BRYAN ADRIÁN</v>
      </c>
      <c r="FM400" t="str">
        <v>MORAN GONZALES DAVID RENATO</v>
      </c>
      <c r="FN400">
        <v>0</v>
      </c>
    </row>
    <row r="401" spans="1:170" ht="20.25" customHeight="1">
      <c r="A401" s="4" t="str" cm="1">
        <f t="array" ref="A401">TRANSPOSE(_xlfn.UNIQUE(_xlfn._xlws.FILTER(MAE_ASIGNATURA[ID_NIVEL],MAE_ASIGNATURA[ID_CARRERA]=ASIGNACION!$C401,"No existe información")))</f>
        <v>No existe información</v>
      </c>
      <c r="S401" s="4" t="str" cm="1">
        <f t="array" ref="S401">TRANSPOSE(_xlfn.UNIQUE(_xlfn._xlws.FILTER(MAE_ASIGNATURA[NOM_ASIG],(MAE_ASIGNATURA[ID_NIVEL]=ASIGNACION!$D401)*(MAE_ASIGNATURA[ID_CARRERA]=ASIGNACION!$C401),"No existe información")))</f>
        <v>No existe información</v>
      </c>
      <c r="BD401" s="4" t="str" cm="1">
        <f t="array" ref="BD401">TRANSPOSE(_xlfn.UNIQUE(_xlfn._xlws.FILTER(DET_ASIG[DETALLADO],(DET_ASIG[ID_CARRERA]=ASIGNACION!$C401)*(DET_ASIG[NIVEL]=ASIGNACION!$D401)*(DET_ASIG[ID_ASIG]=ASIGNACION!$G401),"No existe información")))</f>
        <v>No existe información</v>
      </c>
      <c r="BQ401" s="5" t="str" cm="1">
        <f t="array" ref="BQ401">IFERROR(
    TRANSPOSE(
        _xlfn.UNIQUE(
            _xlfn._xlws.FILTER(MAESTRIA_DETALLADO[MAESTRIA],
                ISNUMBER(MATCH(MAESTRIA_DETALLADO[CAMPO_DETALLADO],
                BD401:BP401,0))
            )
        )
    ),IF(BD401="ACTIVIDAD","DOCENCIA",""))</f>
        <v/>
      </c>
      <c r="EA401" s="5" t="str" cm="1">
        <f t="array" ref="EA401:FN401">IF(
    ASIGNACION!I401="SI",
    IFERROR(
        TRANSPOSE(
            _xlfn.UNIQUE(
                _xlfn._xlws.FILTER(EDU_DOCENTE[NOMBRE_DOCENTE],
                    ISNUMBER(MATCH(EDU_DOCENTE[MAESTRIA],
                    BQ401:DY401,0))
                )
            )
        ),
        ""
    ),
    TRANSPOSE(
        _xlfn.UNIQUE(EDU_DOCENTE[NOMBRE_DOCENTE]
        )
    )
)</f>
        <v>ALCIVAR CEDEÑO BEATRIZ ISABEL</v>
      </c>
      <c r="EB401" t="str">
        <v>ALCIVAR VERA GEMA MICHELLE</v>
      </c>
      <c r="EC401" t="str">
        <v>ARAUZ CHAVEZ MARIO ROBERTO</v>
      </c>
      <c r="ED401" t="str">
        <v>BAILON LOURIDO WALTER ALBERTO</v>
      </c>
      <c r="EE401" t="str">
        <v>CALDERERO VILLAGOMEZ ERICK ANTONIO</v>
      </c>
      <c r="EF401" t="str">
        <v>CASTILLO GARCIA PAOLA GERMANIA</v>
      </c>
      <c r="EG401" t="str">
        <v>CEDEÑO CHOEZ PEDRO JAVIER</v>
      </c>
      <c r="EH401" t="str">
        <v>CEVALLOS HOPPE JUAN CARLOS</v>
      </c>
      <c r="EI401" t="str">
        <v>DELGADO CHAVEZ MARIA IRASEMA</v>
      </c>
      <c r="EJ401" t="str">
        <v>DUARTE VALENCIA CRISTHIAN DARIO</v>
      </c>
      <c r="EK401" t="str">
        <v>FORTTY BARBERAN DENNY ALEXANDER</v>
      </c>
      <c r="EL401" t="str">
        <v>GUTIERREZ ZAMBRANO CARMEN EBELINA</v>
      </c>
      <c r="EM401" t="str">
        <v>INTRIAGO MOLINA GEMA VALERIA</v>
      </c>
      <c r="EN401" t="str">
        <v>LINO VELEZ LEONEL LIVINGTON</v>
      </c>
      <c r="EO401" t="str">
        <v>LOOR ALCIVAR MARIA ILIANA</v>
      </c>
      <c r="EP401" t="str">
        <v>LOOR MIELES TANIA JACQUELINE</v>
      </c>
      <c r="EQ401" t="str">
        <v>LOOR SOLORZANO ROSA MARIA</v>
      </c>
      <c r="ER401" t="str">
        <v>LOPEZ DELGADO RONALD MAURICIO</v>
      </c>
      <c r="ES401" t="str">
        <v>MACIAS VALENCIA DAVID GABRIEL</v>
      </c>
      <c r="ET401" t="str">
        <v>MENDOZA ZAMORA WALTER MANUEL</v>
      </c>
      <c r="EU401" t="str">
        <v>MOLINA CEVALLOS MARIA LORENA</v>
      </c>
      <c r="EV401" t="str">
        <v>MURILLO DELGADO ISAAC GABRIEL</v>
      </c>
      <c r="EW401" t="str">
        <v>ANGULO MURILLO NAVIRA GISSELA</v>
      </c>
      <c r="EX401" t="str">
        <v>OCHOA SOLEDISPA NESTOR IVAN</v>
      </c>
      <c r="EY401" t="str">
        <v>PARRAGA FRANCO SILVANA MARIELA</v>
      </c>
      <c r="EZ401" t="str">
        <v>PINARGOTE VASQUEZ NANCY FABIOLA</v>
      </c>
      <c r="FA401" t="str">
        <v>REYES VELEZ PEDRO ENRIQUE</v>
      </c>
      <c r="FB401" t="str">
        <v>SAN ANDRES HORMAZA DALLAS CECILIA</v>
      </c>
      <c r="FC401" t="str">
        <v>SORNOZA ZAMORA JUAN CARLOS</v>
      </c>
      <c r="FD401" t="str">
        <v>TOMALA PINTO JESUS JACINTO</v>
      </c>
      <c r="FE401" t="str">
        <v>VALLE JARAMILLO SILVIA ARACELY</v>
      </c>
      <c r="FF401" t="str">
        <v>VELÁSQUEZ BRAVO IRMA KATHERINE</v>
      </c>
      <c r="FG401" t="str">
        <v>VELEZ MENDOZA LAYSY VALERIA</v>
      </c>
      <c r="FH401" t="str">
        <v>VINUEZA TELLO SHIRLEY ELIZABETH</v>
      </c>
      <c r="FI401" t="str">
        <v>ZAMBRANO ALCIVAR NILDA ISABEL</v>
      </c>
      <c r="FJ401" t="str">
        <v>ZAMBRANO LOOR RITA MAYDA</v>
      </c>
      <c r="FK401" t="str">
        <v>ZAMBRANO VERA MONICA JANETH</v>
      </c>
      <c r="FL401" t="str">
        <v>VERA DELGADO BRYAN ADRIÁN</v>
      </c>
      <c r="FM401" t="str">
        <v>MORAN GONZALES DAVID RENATO</v>
      </c>
      <c r="FN401">
        <v>0</v>
      </c>
    </row>
    <row r="402" spans="1:170" ht="20.25" customHeight="1">
      <c r="A402" s="4" t="str" cm="1">
        <f t="array" ref="A402">TRANSPOSE(_xlfn.UNIQUE(_xlfn._xlws.FILTER(MAE_ASIGNATURA[ID_NIVEL],MAE_ASIGNATURA[ID_CARRERA]=ASIGNACION!$C402,"No existe información")))</f>
        <v>No existe información</v>
      </c>
      <c r="S402" s="4" t="str" cm="1">
        <f t="array" ref="S402">TRANSPOSE(_xlfn.UNIQUE(_xlfn._xlws.FILTER(MAE_ASIGNATURA[NOM_ASIG],(MAE_ASIGNATURA[ID_NIVEL]=ASIGNACION!$D402)*(MAE_ASIGNATURA[ID_CARRERA]=ASIGNACION!$C402),"No existe información")))</f>
        <v>No existe información</v>
      </c>
      <c r="BD402" s="4" t="str" cm="1">
        <f t="array" ref="BD402">TRANSPOSE(_xlfn.UNIQUE(_xlfn._xlws.FILTER(DET_ASIG[DETALLADO],(DET_ASIG[ID_CARRERA]=ASIGNACION!$C402)*(DET_ASIG[NIVEL]=ASIGNACION!$D402)*(DET_ASIG[ID_ASIG]=ASIGNACION!$G402),"No existe información")))</f>
        <v>No existe información</v>
      </c>
      <c r="BQ402" s="5" t="str" cm="1">
        <f t="array" ref="BQ402">IFERROR(
    TRANSPOSE(
        _xlfn.UNIQUE(
            _xlfn._xlws.FILTER(MAESTRIA_DETALLADO[MAESTRIA],
                ISNUMBER(MATCH(MAESTRIA_DETALLADO[CAMPO_DETALLADO],
                BD402:BP402,0))
            )
        )
    ),IF(BD402="ACTIVIDAD","DOCENCIA",""))</f>
        <v/>
      </c>
      <c r="EA402" s="5" t="str" cm="1">
        <f t="array" ref="EA402:FN402">IF(
    ASIGNACION!I402="SI",
    IFERROR(
        TRANSPOSE(
            _xlfn.UNIQUE(
                _xlfn._xlws.FILTER(EDU_DOCENTE[NOMBRE_DOCENTE],
                    ISNUMBER(MATCH(EDU_DOCENTE[MAESTRIA],
                    BQ402:DY402,0))
                )
            )
        ),
        ""
    ),
    TRANSPOSE(
        _xlfn.UNIQUE(EDU_DOCENTE[NOMBRE_DOCENTE]
        )
    )
)</f>
        <v>ALCIVAR CEDEÑO BEATRIZ ISABEL</v>
      </c>
      <c r="EB402" t="str">
        <v>ALCIVAR VERA GEMA MICHELLE</v>
      </c>
      <c r="EC402" t="str">
        <v>ARAUZ CHAVEZ MARIO ROBERTO</v>
      </c>
      <c r="ED402" t="str">
        <v>BAILON LOURIDO WALTER ALBERTO</v>
      </c>
      <c r="EE402" t="str">
        <v>CALDERERO VILLAGOMEZ ERICK ANTONIO</v>
      </c>
      <c r="EF402" t="str">
        <v>CASTILLO GARCIA PAOLA GERMANIA</v>
      </c>
      <c r="EG402" t="str">
        <v>CEDEÑO CHOEZ PEDRO JAVIER</v>
      </c>
      <c r="EH402" t="str">
        <v>CEVALLOS HOPPE JUAN CARLOS</v>
      </c>
      <c r="EI402" t="str">
        <v>DELGADO CHAVEZ MARIA IRASEMA</v>
      </c>
      <c r="EJ402" t="str">
        <v>DUARTE VALENCIA CRISTHIAN DARIO</v>
      </c>
      <c r="EK402" t="str">
        <v>FORTTY BARBERAN DENNY ALEXANDER</v>
      </c>
      <c r="EL402" t="str">
        <v>GUTIERREZ ZAMBRANO CARMEN EBELINA</v>
      </c>
      <c r="EM402" t="str">
        <v>INTRIAGO MOLINA GEMA VALERIA</v>
      </c>
      <c r="EN402" t="str">
        <v>LINO VELEZ LEONEL LIVINGTON</v>
      </c>
      <c r="EO402" t="str">
        <v>LOOR ALCIVAR MARIA ILIANA</v>
      </c>
      <c r="EP402" t="str">
        <v>LOOR MIELES TANIA JACQUELINE</v>
      </c>
      <c r="EQ402" t="str">
        <v>LOOR SOLORZANO ROSA MARIA</v>
      </c>
      <c r="ER402" t="str">
        <v>LOPEZ DELGADO RONALD MAURICIO</v>
      </c>
      <c r="ES402" t="str">
        <v>MACIAS VALENCIA DAVID GABRIEL</v>
      </c>
      <c r="ET402" t="str">
        <v>MENDOZA ZAMORA WALTER MANUEL</v>
      </c>
      <c r="EU402" t="str">
        <v>MOLINA CEVALLOS MARIA LORENA</v>
      </c>
      <c r="EV402" t="str">
        <v>MURILLO DELGADO ISAAC GABRIEL</v>
      </c>
      <c r="EW402" t="str">
        <v>ANGULO MURILLO NAVIRA GISSELA</v>
      </c>
      <c r="EX402" t="str">
        <v>OCHOA SOLEDISPA NESTOR IVAN</v>
      </c>
      <c r="EY402" t="str">
        <v>PARRAGA FRANCO SILVANA MARIELA</v>
      </c>
      <c r="EZ402" t="str">
        <v>PINARGOTE VASQUEZ NANCY FABIOLA</v>
      </c>
      <c r="FA402" t="str">
        <v>REYES VELEZ PEDRO ENRIQUE</v>
      </c>
      <c r="FB402" t="str">
        <v>SAN ANDRES HORMAZA DALLAS CECILIA</v>
      </c>
      <c r="FC402" t="str">
        <v>SORNOZA ZAMORA JUAN CARLOS</v>
      </c>
      <c r="FD402" t="str">
        <v>TOMALA PINTO JESUS JACINTO</v>
      </c>
      <c r="FE402" t="str">
        <v>VALLE JARAMILLO SILVIA ARACELY</v>
      </c>
      <c r="FF402" t="str">
        <v>VELÁSQUEZ BRAVO IRMA KATHERINE</v>
      </c>
      <c r="FG402" t="str">
        <v>VELEZ MENDOZA LAYSY VALERIA</v>
      </c>
      <c r="FH402" t="str">
        <v>VINUEZA TELLO SHIRLEY ELIZABETH</v>
      </c>
      <c r="FI402" t="str">
        <v>ZAMBRANO ALCIVAR NILDA ISABEL</v>
      </c>
      <c r="FJ402" t="str">
        <v>ZAMBRANO LOOR RITA MAYDA</v>
      </c>
      <c r="FK402" t="str">
        <v>ZAMBRANO VERA MONICA JANETH</v>
      </c>
      <c r="FL402" t="str">
        <v>VERA DELGADO BRYAN ADRIÁN</v>
      </c>
      <c r="FM402" t="str">
        <v>MORAN GONZALES DAVID RENATO</v>
      </c>
      <c r="FN402">
        <v>0</v>
      </c>
    </row>
    <row r="403" spans="1:170" ht="20.25" customHeight="1">
      <c r="A403" s="4" t="str" cm="1">
        <f t="array" ref="A403">TRANSPOSE(_xlfn.UNIQUE(_xlfn._xlws.FILTER(MAE_ASIGNATURA[ID_NIVEL],MAE_ASIGNATURA[ID_CARRERA]=ASIGNACION!$C403,"No existe información")))</f>
        <v>No existe información</v>
      </c>
      <c r="S403" s="4" t="str" cm="1">
        <f t="array" ref="S403">TRANSPOSE(_xlfn.UNIQUE(_xlfn._xlws.FILTER(MAE_ASIGNATURA[NOM_ASIG],(MAE_ASIGNATURA[ID_NIVEL]=ASIGNACION!$D403)*(MAE_ASIGNATURA[ID_CARRERA]=ASIGNACION!$C403),"No existe información")))</f>
        <v>No existe información</v>
      </c>
      <c r="BD403" s="4" t="str" cm="1">
        <f t="array" ref="BD403">TRANSPOSE(_xlfn.UNIQUE(_xlfn._xlws.FILTER(DET_ASIG[DETALLADO],(DET_ASIG[ID_CARRERA]=ASIGNACION!$C403)*(DET_ASIG[NIVEL]=ASIGNACION!$D403)*(DET_ASIG[ID_ASIG]=ASIGNACION!$G403),"No existe información")))</f>
        <v>No existe información</v>
      </c>
      <c r="BQ403" s="5" t="str" cm="1">
        <f t="array" ref="BQ403">IFERROR(
    TRANSPOSE(
        _xlfn.UNIQUE(
            _xlfn._xlws.FILTER(MAESTRIA_DETALLADO[MAESTRIA],
                ISNUMBER(MATCH(MAESTRIA_DETALLADO[CAMPO_DETALLADO],
                BD403:BP403,0))
            )
        )
    ),IF(BD403="ACTIVIDAD","DOCENCIA",""))</f>
        <v/>
      </c>
      <c r="EA403" s="5" t="str" cm="1">
        <f t="array" ref="EA403:FN403">IF(
    ASIGNACION!I403="SI",
    IFERROR(
        TRANSPOSE(
            _xlfn.UNIQUE(
                _xlfn._xlws.FILTER(EDU_DOCENTE[NOMBRE_DOCENTE],
                    ISNUMBER(MATCH(EDU_DOCENTE[MAESTRIA],
                    BQ403:DY403,0))
                )
            )
        ),
        ""
    ),
    TRANSPOSE(
        _xlfn.UNIQUE(EDU_DOCENTE[NOMBRE_DOCENTE]
        )
    )
)</f>
        <v>ALCIVAR CEDEÑO BEATRIZ ISABEL</v>
      </c>
      <c r="EB403" t="str">
        <v>ALCIVAR VERA GEMA MICHELLE</v>
      </c>
      <c r="EC403" t="str">
        <v>ARAUZ CHAVEZ MARIO ROBERTO</v>
      </c>
      <c r="ED403" t="str">
        <v>BAILON LOURIDO WALTER ALBERTO</v>
      </c>
      <c r="EE403" t="str">
        <v>CALDERERO VILLAGOMEZ ERICK ANTONIO</v>
      </c>
      <c r="EF403" t="str">
        <v>CASTILLO GARCIA PAOLA GERMANIA</v>
      </c>
      <c r="EG403" t="str">
        <v>CEDEÑO CHOEZ PEDRO JAVIER</v>
      </c>
      <c r="EH403" t="str">
        <v>CEVALLOS HOPPE JUAN CARLOS</v>
      </c>
      <c r="EI403" t="str">
        <v>DELGADO CHAVEZ MARIA IRASEMA</v>
      </c>
      <c r="EJ403" t="str">
        <v>DUARTE VALENCIA CRISTHIAN DARIO</v>
      </c>
      <c r="EK403" t="str">
        <v>FORTTY BARBERAN DENNY ALEXANDER</v>
      </c>
      <c r="EL403" t="str">
        <v>GUTIERREZ ZAMBRANO CARMEN EBELINA</v>
      </c>
      <c r="EM403" t="str">
        <v>INTRIAGO MOLINA GEMA VALERIA</v>
      </c>
      <c r="EN403" t="str">
        <v>LINO VELEZ LEONEL LIVINGTON</v>
      </c>
      <c r="EO403" t="str">
        <v>LOOR ALCIVAR MARIA ILIANA</v>
      </c>
      <c r="EP403" t="str">
        <v>LOOR MIELES TANIA JACQUELINE</v>
      </c>
      <c r="EQ403" t="str">
        <v>LOOR SOLORZANO ROSA MARIA</v>
      </c>
      <c r="ER403" t="str">
        <v>LOPEZ DELGADO RONALD MAURICIO</v>
      </c>
      <c r="ES403" t="str">
        <v>MACIAS VALENCIA DAVID GABRIEL</v>
      </c>
      <c r="ET403" t="str">
        <v>MENDOZA ZAMORA WALTER MANUEL</v>
      </c>
      <c r="EU403" t="str">
        <v>MOLINA CEVALLOS MARIA LORENA</v>
      </c>
      <c r="EV403" t="str">
        <v>MURILLO DELGADO ISAAC GABRIEL</v>
      </c>
      <c r="EW403" t="str">
        <v>ANGULO MURILLO NAVIRA GISSELA</v>
      </c>
      <c r="EX403" t="str">
        <v>OCHOA SOLEDISPA NESTOR IVAN</v>
      </c>
      <c r="EY403" t="str">
        <v>PARRAGA FRANCO SILVANA MARIELA</v>
      </c>
      <c r="EZ403" t="str">
        <v>PINARGOTE VASQUEZ NANCY FABIOLA</v>
      </c>
      <c r="FA403" t="str">
        <v>REYES VELEZ PEDRO ENRIQUE</v>
      </c>
      <c r="FB403" t="str">
        <v>SAN ANDRES HORMAZA DALLAS CECILIA</v>
      </c>
      <c r="FC403" t="str">
        <v>SORNOZA ZAMORA JUAN CARLOS</v>
      </c>
      <c r="FD403" t="str">
        <v>TOMALA PINTO JESUS JACINTO</v>
      </c>
      <c r="FE403" t="str">
        <v>VALLE JARAMILLO SILVIA ARACELY</v>
      </c>
      <c r="FF403" t="str">
        <v>VELÁSQUEZ BRAVO IRMA KATHERINE</v>
      </c>
      <c r="FG403" t="str">
        <v>VELEZ MENDOZA LAYSY VALERIA</v>
      </c>
      <c r="FH403" t="str">
        <v>VINUEZA TELLO SHIRLEY ELIZABETH</v>
      </c>
      <c r="FI403" t="str">
        <v>ZAMBRANO ALCIVAR NILDA ISABEL</v>
      </c>
      <c r="FJ403" t="str">
        <v>ZAMBRANO LOOR RITA MAYDA</v>
      </c>
      <c r="FK403" t="str">
        <v>ZAMBRANO VERA MONICA JANETH</v>
      </c>
      <c r="FL403" t="str">
        <v>VERA DELGADO BRYAN ADRIÁN</v>
      </c>
      <c r="FM403" t="str">
        <v>MORAN GONZALES DAVID RENATO</v>
      </c>
      <c r="FN403">
        <v>0</v>
      </c>
    </row>
    <row r="404" spans="1:170" ht="20.25" customHeight="1">
      <c r="A404" s="4" t="str" cm="1">
        <f t="array" ref="A404">TRANSPOSE(_xlfn.UNIQUE(_xlfn._xlws.FILTER(MAE_ASIGNATURA[ID_NIVEL],MAE_ASIGNATURA[ID_CARRERA]=ASIGNACION!$C404,"No existe información")))</f>
        <v>No existe información</v>
      </c>
      <c r="S404" s="4" t="str" cm="1">
        <f t="array" ref="S404">TRANSPOSE(_xlfn.UNIQUE(_xlfn._xlws.FILTER(MAE_ASIGNATURA[NOM_ASIG],(MAE_ASIGNATURA[ID_NIVEL]=ASIGNACION!$D404)*(MAE_ASIGNATURA[ID_CARRERA]=ASIGNACION!$C404),"No existe información")))</f>
        <v>No existe información</v>
      </c>
      <c r="BD404" s="4" t="str" cm="1">
        <f t="array" ref="BD404">TRANSPOSE(_xlfn.UNIQUE(_xlfn._xlws.FILTER(DET_ASIG[DETALLADO],(DET_ASIG[ID_CARRERA]=ASIGNACION!$C404)*(DET_ASIG[NIVEL]=ASIGNACION!$D404)*(DET_ASIG[ID_ASIG]=ASIGNACION!$G404),"No existe información")))</f>
        <v>No existe información</v>
      </c>
      <c r="BQ404" s="5" t="str" cm="1">
        <f t="array" ref="BQ404">IFERROR(
    TRANSPOSE(
        _xlfn.UNIQUE(
            _xlfn._xlws.FILTER(MAESTRIA_DETALLADO[MAESTRIA],
                ISNUMBER(MATCH(MAESTRIA_DETALLADO[CAMPO_DETALLADO],
                BD404:BP404,0))
            )
        )
    ),IF(BD404="ACTIVIDAD","DOCENCIA",""))</f>
        <v/>
      </c>
      <c r="EA404" s="5" t="str" cm="1">
        <f t="array" ref="EA404:FN404">IF(
    ASIGNACION!I404="SI",
    IFERROR(
        TRANSPOSE(
            _xlfn.UNIQUE(
                _xlfn._xlws.FILTER(EDU_DOCENTE[NOMBRE_DOCENTE],
                    ISNUMBER(MATCH(EDU_DOCENTE[MAESTRIA],
                    BQ404:DY404,0))
                )
            )
        ),
        ""
    ),
    TRANSPOSE(
        _xlfn.UNIQUE(EDU_DOCENTE[NOMBRE_DOCENTE]
        )
    )
)</f>
        <v>ALCIVAR CEDEÑO BEATRIZ ISABEL</v>
      </c>
      <c r="EB404" t="str">
        <v>ALCIVAR VERA GEMA MICHELLE</v>
      </c>
      <c r="EC404" t="str">
        <v>ARAUZ CHAVEZ MARIO ROBERTO</v>
      </c>
      <c r="ED404" t="str">
        <v>BAILON LOURIDO WALTER ALBERTO</v>
      </c>
      <c r="EE404" t="str">
        <v>CALDERERO VILLAGOMEZ ERICK ANTONIO</v>
      </c>
      <c r="EF404" t="str">
        <v>CASTILLO GARCIA PAOLA GERMANIA</v>
      </c>
      <c r="EG404" t="str">
        <v>CEDEÑO CHOEZ PEDRO JAVIER</v>
      </c>
      <c r="EH404" t="str">
        <v>CEVALLOS HOPPE JUAN CARLOS</v>
      </c>
      <c r="EI404" t="str">
        <v>DELGADO CHAVEZ MARIA IRASEMA</v>
      </c>
      <c r="EJ404" t="str">
        <v>DUARTE VALENCIA CRISTHIAN DARIO</v>
      </c>
      <c r="EK404" t="str">
        <v>FORTTY BARBERAN DENNY ALEXANDER</v>
      </c>
      <c r="EL404" t="str">
        <v>GUTIERREZ ZAMBRANO CARMEN EBELINA</v>
      </c>
      <c r="EM404" t="str">
        <v>INTRIAGO MOLINA GEMA VALERIA</v>
      </c>
      <c r="EN404" t="str">
        <v>LINO VELEZ LEONEL LIVINGTON</v>
      </c>
      <c r="EO404" t="str">
        <v>LOOR ALCIVAR MARIA ILIANA</v>
      </c>
      <c r="EP404" t="str">
        <v>LOOR MIELES TANIA JACQUELINE</v>
      </c>
      <c r="EQ404" t="str">
        <v>LOOR SOLORZANO ROSA MARIA</v>
      </c>
      <c r="ER404" t="str">
        <v>LOPEZ DELGADO RONALD MAURICIO</v>
      </c>
      <c r="ES404" t="str">
        <v>MACIAS VALENCIA DAVID GABRIEL</v>
      </c>
      <c r="ET404" t="str">
        <v>MENDOZA ZAMORA WALTER MANUEL</v>
      </c>
      <c r="EU404" t="str">
        <v>MOLINA CEVALLOS MARIA LORENA</v>
      </c>
      <c r="EV404" t="str">
        <v>MURILLO DELGADO ISAAC GABRIEL</v>
      </c>
      <c r="EW404" t="str">
        <v>ANGULO MURILLO NAVIRA GISSELA</v>
      </c>
      <c r="EX404" t="str">
        <v>OCHOA SOLEDISPA NESTOR IVAN</v>
      </c>
      <c r="EY404" t="str">
        <v>PARRAGA FRANCO SILVANA MARIELA</v>
      </c>
      <c r="EZ404" t="str">
        <v>PINARGOTE VASQUEZ NANCY FABIOLA</v>
      </c>
      <c r="FA404" t="str">
        <v>REYES VELEZ PEDRO ENRIQUE</v>
      </c>
      <c r="FB404" t="str">
        <v>SAN ANDRES HORMAZA DALLAS CECILIA</v>
      </c>
      <c r="FC404" t="str">
        <v>SORNOZA ZAMORA JUAN CARLOS</v>
      </c>
      <c r="FD404" t="str">
        <v>TOMALA PINTO JESUS JACINTO</v>
      </c>
      <c r="FE404" t="str">
        <v>VALLE JARAMILLO SILVIA ARACELY</v>
      </c>
      <c r="FF404" t="str">
        <v>VELÁSQUEZ BRAVO IRMA KATHERINE</v>
      </c>
      <c r="FG404" t="str">
        <v>VELEZ MENDOZA LAYSY VALERIA</v>
      </c>
      <c r="FH404" t="str">
        <v>VINUEZA TELLO SHIRLEY ELIZABETH</v>
      </c>
      <c r="FI404" t="str">
        <v>ZAMBRANO ALCIVAR NILDA ISABEL</v>
      </c>
      <c r="FJ404" t="str">
        <v>ZAMBRANO LOOR RITA MAYDA</v>
      </c>
      <c r="FK404" t="str">
        <v>ZAMBRANO VERA MONICA JANETH</v>
      </c>
      <c r="FL404" t="str">
        <v>VERA DELGADO BRYAN ADRIÁN</v>
      </c>
      <c r="FM404" t="str">
        <v>MORAN GONZALES DAVID RENATO</v>
      </c>
      <c r="FN404">
        <v>0</v>
      </c>
    </row>
    <row r="405" spans="1:170" ht="20.25" customHeight="1">
      <c r="A405" s="4" t="str" cm="1">
        <f t="array" ref="A405">TRANSPOSE(_xlfn.UNIQUE(_xlfn._xlws.FILTER(MAE_ASIGNATURA[ID_NIVEL],MAE_ASIGNATURA[ID_CARRERA]=ASIGNACION!$C405,"No existe información")))</f>
        <v>No existe información</v>
      </c>
      <c r="S405" s="4" t="str" cm="1">
        <f t="array" ref="S405">TRANSPOSE(_xlfn.UNIQUE(_xlfn._xlws.FILTER(MAE_ASIGNATURA[NOM_ASIG],(MAE_ASIGNATURA[ID_NIVEL]=ASIGNACION!$D405)*(MAE_ASIGNATURA[ID_CARRERA]=ASIGNACION!$C405),"No existe información")))</f>
        <v>No existe información</v>
      </c>
      <c r="BD405" s="4" t="str" cm="1">
        <f t="array" ref="BD405">TRANSPOSE(_xlfn.UNIQUE(_xlfn._xlws.FILTER(DET_ASIG[DETALLADO],(DET_ASIG[ID_CARRERA]=ASIGNACION!$C405)*(DET_ASIG[NIVEL]=ASIGNACION!$D405)*(DET_ASIG[ID_ASIG]=ASIGNACION!$G405),"No existe información")))</f>
        <v>No existe información</v>
      </c>
      <c r="BQ405" s="5" t="str" cm="1">
        <f t="array" ref="BQ405">IFERROR(
    TRANSPOSE(
        _xlfn.UNIQUE(
            _xlfn._xlws.FILTER(MAESTRIA_DETALLADO[MAESTRIA],
                ISNUMBER(MATCH(MAESTRIA_DETALLADO[CAMPO_DETALLADO],
                BD405:BP405,0))
            )
        )
    ),IF(BD405="ACTIVIDAD","DOCENCIA",""))</f>
        <v/>
      </c>
      <c r="EA405" s="5" t="str" cm="1">
        <f t="array" ref="EA405:FN405">IF(
    ASIGNACION!I405="SI",
    IFERROR(
        TRANSPOSE(
            _xlfn.UNIQUE(
                _xlfn._xlws.FILTER(EDU_DOCENTE[NOMBRE_DOCENTE],
                    ISNUMBER(MATCH(EDU_DOCENTE[MAESTRIA],
                    BQ405:DY405,0))
                )
            )
        ),
        ""
    ),
    TRANSPOSE(
        _xlfn.UNIQUE(EDU_DOCENTE[NOMBRE_DOCENTE]
        )
    )
)</f>
        <v>ALCIVAR CEDEÑO BEATRIZ ISABEL</v>
      </c>
      <c r="EB405" t="str">
        <v>ALCIVAR VERA GEMA MICHELLE</v>
      </c>
      <c r="EC405" t="str">
        <v>ARAUZ CHAVEZ MARIO ROBERTO</v>
      </c>
      <c r="ED405" t="str">
        <v>BAILON LOURIDO WALTER ALBERTO</v>
      </c>
      <c r="EE405" t="str">
        <v>CALDERERO VILLAGOMEZ ERICK ANTONIO</v>
      </c>
      <c r="EF405" t="str">
        <v>CASTILLO GARCIA PAOLA GERMANIA</v>
      </c>
      <c r="EG405" t="str">
        <v>CEDEÑO CHOEZ PEDRO JAVIER</v>
      </c>
      <c r="EH405" t="str">
        <v>CEVALLOS HOPPE JUAN CARLOS</v>
      </c>
      <c r="EI405" t="str">
        <v>DELGADO CHAVEZ MARIA IRASEMA</v>
      </c>
      <c r="EJ405" t="str">
        <v>DUARTE VALENCIA CRISTHIAN DARIO</v>
      </c>
      <c r="EK405" t="str">
        <v>FORTTY BARBERAN DENNY ALEXANDER</v>
      </c>
      <c r="EL405" t="str">
        <v>GUTIERREZ ZAMBRANO CARMEN EBELINA</v>
      </c>
      <c r="EM405" t="str">
        <v>INTRIAGO MOLINA GEMA VALERIA</v>
      </c>
      <c r="EN405" t="str">
        <v>LINO VELEZ LEONEL LIVINGTON</v>
      </c>
      <c r="EO405" t="str">
        <v>LOOR ALCIVAR MARIA ILIANA</v>
      </c>
      <c r="EP405" t="str">
        <v>LOOR MIELES TANIA JACQUELINE</v>
      </c>
      <c r="EQ405" t="str">
        <v>LOOR SOLORZANO ROSA MARIA</v>
      </c>
      <c r="ER405" t="str">
        <v>LOPEZ DELGADO RONALD MAURICIO</v>
      </c>
      <c r="ES405" t="str">
        <v>MACIAS VALENCIA DAVID GABRIEL</v>
      </c>
      <c r="ET405" t="str">
        <v>MENDOZA ZAMORA WALTER MANUEL</v>
      </c>
      <c r="EU405" t="str">
        <v>MOLINA CEVALLOS MARIA LORENA</v>
      </c>
      <c r="EV405" t="str">
        <v>MURILLO DELGADO ISAAC GABRIEL</v>
      </c>
      <c r="EW405" t="str">
        <v>ANGULO MURILLO NAVIRA GISSELA</v>
      </c>
      <c r="EX405" t="str">
        <v>OCHOA SOLEDISPA NESTOR IVAN</v>
      </c>
      <c r="EY405" t="str">
        <v>PARRAGA FRANCO SILVANA MARIELA</v>
      </c>
      <c r="EZ405" t="str">
        <v>PINARGOTE VASQUEZ NANCY FABIOLA</v>
      </c>
      <c r="FA405" t="str">
        <v>REYES VELEZ PEDRO ENRIQUE</v>
      </c>
      <c r="FB405" t="str">
        <v>SAN ANDRES HORMAZA DALLAS CECILIA</v>
      </c>
      <c r="FC405" t="str">
        <v>SORNOZA ZAMORA JUAN CARLOS</v>
      </c>
      <c r="FD405" t="str">
        <v>TOMALA PINTO JESUS JACINTO</v>
      </c>
      <c r="FE405" t="str">
        <v>VALLE JARAMILLO SILVIA ARACELY</v>
      </c>
      <c r="FF405" t="str">
        <v>VELÁSQUEZ BRAVO IRMA KATHERINE</v>
      </c>
      <c r="FG405" t="str">
        <v>VELEZ MENDOZA LAYSY VALERIA</v>
      </c>
      <c r="FH405" t="str">
        <v>VINUEZA TELLO SHIRLEY ELIZABETH</v>
      </c>
      <c r="FI405" t="str">
        <v>ZAMBRANO ALCIVAR NILDA ISABEL</v>
      </c>
      <c r="FJ405" t="str">
        <v>ZAMBRANO LOOR RITA MAYDA</v>
      </c>
      <c r="FK405" t="str">
        <v>ZAMBRANO VERA MONICA JANETH</v>
      </c>
      <c r="FL405" t="str">
        <v>VERA DELGADO BRYAN ADRIÁN</v>
      </c>
      <c r="FM405" t="str">
        <v>MORAN GONZALES DAVID RENATO</v>
      </c>
      <c r="FN405">
        <v>0</v>
      </c>
    </row>
    <row r="406" spans="1:170" ht="20.25" customHeight="1">
      <c r="A406" s="4" t="str" cm="1">
        <f t="array" ref="A406">TRANSPOSE(_xlfn.UNIQUE(_xlfn._xlws.FILTER(MAE_ASIGNATURA[ID_NIVEL],MAE_ASIGNATURA[ID_CARRERA]=ASIGNACION!$C406,"No existe información")))</f>
        <v>No existe información</v>
      </c>
      <c r="S406" s="4" t="str" cm="1">
        <f t="array" ref="S406">TRANSPOSE(_xlfn.UNIQUE(_xlfn._xlws.FILTER(MAE_ASIGNATURA[NOM_ASIG],(MAE_ASIGNATURA[ID_NIVEL]=ASIGNACION!$D406)*(MAE_ASIGNATURA[ID_CARRERA]=ASIGNACION!$C406),"No existe información")))</f>
        <v>No existe información</v>
      </c>
      <c r="BD406" s="4" t="str" cm="1">
        <f t="array" ref="BD406">TRANSPOSE(_xlfn.UNIQUE(_xlfn._xlws.FILTER(DET_ASIG[DETALLADO],(DET_ASIG[ID_CARRERA]=ASIGNACION!$C406)*(DET_ASIG[NIVEL]=ASIGNACION!$D406)*(DET_ASIG[ID_ASIG]=ASIGNACION!$G406),"No existe información")))</f>
        <v>No existe información</v>
      </c>
      <c r="BQ406" s="5" t="str" cm="1">
        <f t="array" ref="BQ406">IFERROR(
    TRANSPOSE(
        _xlfn.UNIQUE(
            _xlfn._xlws.FILTER(MAESTRIA_DETALLADO[MAESTRIA],
                ISNUMBER(MATCH(MAESTRIA_DETALLADO[CAMPO_DETALLADO],
                BD406:BP406,0))
            )
        )
    ),IF(BD406="ACTIVIDAD","DOCENCIA",""))</f>
        <v/>
      </c>
      <c r="EA406" s="5" t="str" cm="1">
        <f t="array" ref="EA406:FN406">IF(
    ASIGNACION!I406="SI",
    IFERROR(
        TRANSPOSE(
            _xlfn.UNIQUE(
                _xlfn._xlws.FILTER(EDU_DOCENTE[NOMBRE_DOCENTE],
                    ISNUMBER(MATCH(EDU_DOCENTE[MAESTRIA],
                    BQ406:DY406,0))
                )
            )
        ),
        ""
    ),
    TRANSPOSE(
        _xlfn.UNIQUE(EDU_DOCENTE[NOMBRE_DOCENTE]
        )
    )
)</f>
        <v>ALCIVAR CEDEÑO BEATRIZ ISABEL</v>
      </c>
      <c r="EB406" t="str">
        <v>ALCIVAR VERA GEMA MICHELLE</v>
      </c>
      <c r="EC406" t="str">
        <v>ARAUZ CHAVEZ MARIO ROBERTO</v>
      </c>
      <c r="ED406" t="str">
        <v>BAILON LOURIDO WALTER ALBERTO</v>
      </c>
      <c r="EE406" t="str">
        <v>CALDERERO VILLAGOMEZ ERICK ANTONIO</v>
      </c>
      <c r="EF406" t="str">
        <v>CASTILLO GARCIA PAOLA GERMANIA</v>
      </c>
      <c r="EG406" t="str">
        <v>CEDEÑO CHOEZ PEDRO JAVIER</v>
      </c>
      <c r="EH406" t="str">
        <v>CEVALLOS HOPPE JUAN CARLOS</v>
      </c>
      <c r="EI406" t="str">
        <v>DELGADO CHAVEZ MARIA IRASEMA</v>
      </c>
      <c r="EJ406" t="str">
        <v>DUARTE VALENCIA CRISTHIAN DARIO</v>
      </c>
      <c r="EK406" t="str">
        <v>FORTTY BARBERAN DENNY ALEXANDER</v>
      </c>
      <c r="EL406" t="str">
        <v>GUTIERREZ ZAMBRANO CARMEN EBELINA</v>
      </c>
      <c r="EM406" t="str">
        <v>INTRIAGO MOLINA GEMA VALERIA</v>
      </c>
      <c r="EN406" t="str">
        <v>LINO VELEZ LEONEL LIVINGTON</v>
      </c>
      <c r="EO406" t="str">
        <v>LOOR ALCIVAR MARIA ILIANA</v>
      </c>
      <c r="EP406" t="str">
        <v>LOOR MIELES TANIA JACQUELINE</v>
      </c>
      <c r="EQ406" t="str">
        <v>LOOR SOLORZANO ROSA MARIA</v>
      </c>
      <c r="ER406" t="str">
        <v>LOPEZ DELGADO RONALD MAURICIO</v>
      </c>
      <c r="ES406" t="str">
        <v>MACIAS VALENCIA DAVID GABRIEL</v>
      </c>
      <c r="ET406" t="str">
        <v>MENDOZA ZAMORA WALTER MANUEL</v>
      </c>
      <c r="EU406" t="str">
        <v>MOLINA CEVALLOS MARIA LORENA</v>
      </c>
      <c r="EV406" t="str">
        <v>MURILLO DELGADO ISAAC GABRIEL</v>
      </c>
      <c r="EW406" t="str">
        <v>ANGULO MURILLO NAVIRA GISSELA</v>
      </c>
      <c r="EX406" t="str">
        <v>OCHOA SOLEDISPA NESTOR IVAN</v>
      </c>
      <c r="EY406" t="str">
        <v>PARRAGA FRANCO SILVANA MARIELA</v>
      </c>
      <c r="EZ406" t="str">
        <v>PINARGOTE VASQUEZ NANCY FABIOLA</v>
      </c>
      <c r="FA406" t="str">
        <v>REYES VELEZ PEDRO ENRIQUE</v>
      </c>
      <c r="FB406" t="str">
        <v>SAN ANDRES HORMAZA DALLAS CECILIA</v>
      </c>
      <c r="FC406" t="str">
        <v>SORNOZA ZAMORA JUAN CARLOS</v>
      </c>
      <c r="FD406" t="str">
        <v>TOMALA PINTO JESUS JACINTO</v>
      </c>
      <c r="FE406" t="str">
        <v>VALLE JARAMILLO SILVIA ARACELY</v>
      </c>
      <c r="FF406" t="str">
        <v>VELÁSQUEZ BRAVO IRMA KATHERINE</v>
      </c>
      <c r="FG406" t="str">
        <v>VELEZ MENDOZA LAYSY VALERIA</v>
      </c>
      <c r="FH406" t="str">
        <v>VINUEZA TELLO SHIRLEY ELIZABETH</v>
      </c>
      <c r="FI406" t="str">
        <v>ZAMBRANO ALCIVAR NILDA ISABEL</v>
      </c>
      <c r="FJ406" t="str">
        <v>ZAMBRANO LOOR RITA MAYDA</v>
      </c>
      <c r="FK406" t="str">
        <v>ZAMBRANO VERA MONICA JANETH</v>
      </c>
      <c r="FL406" t="str">
        <v>VERA DELGADO BRYAN ADRIÁN</v>
      </c>
      <c r="FM406" t="str">
        <v>MORAN GONZALES DAVID RENATO</v>
      </c>
      <c r="FN406">
        <v>0</v>
      </c>
    </row>
    <row r="407" spans="1:170" ht="20.25" customHeight="1">
      <c r="A407" s="4" t="str" cm="1">
        <f t="array" ref="A407">TRANSPOSE(_xlfn.UNIQUE(_xlfn._xlws.FILTER(MAE_ASIGNATURA[ID_NIVEL],MAE_ASIGNATURA[ID_CARRERA]=ASIGNACION!$C407,"No existe información")))</f>
        <v>No existe información</v>
      </c>
      <c r="S407" s="4" t="str" cm="1">
        <f t="array" ref="S407">TRANSPOSE(_xlfn.UNIQUE(_xlfn._xlws.FILTER(MAE_ASIGNATURA[NOM_ASIG],(MAE_ASIGNATURA[ID_NIVEL]=ASIGNACION!$D407)*(MAE_ASIGNATURA[ID_CARRERA]=ASIGNACION!$C407),"No existe información")))</f>
        <v>No existe información</v>
      </c>
      <c r="BD407" s="4" t="str" cm="1">
        <f t="array" ref="BD407">TRANSPOSE(_xlfn.UNIQUE(_xlfn._xlws.FILTER(DET_ASIG[DETALLADO],(DET_ASIG[ID_CARRERA]=ASIGNACION!$C407)*(DET_ASIG[NIVEL]=ASIGNACION!$D407)*(DET_ASIG[ID_ASIG]=ASIGNACION!$G407),"No existe información")))</f>
        <v>No existe información</v>
      </c>
      <c r="BQ407" s="5" t="str" cm="1">
        <f t="array" ref="BQ407">IFERROR(
    TRANSPOSE(
        _xlfn.UNIQUE(
            _xlfn._xlws.FILTER(MAESTRIA_DETALLADO[MAESTRIA],
                ISNUMBER(MATCH(MAESTRIA_DETALLADO[CAMPO_DETALLADO],
                BD407:BP407,0))
            )
        )
    ),IF(BD407="ACTIVIDAD","DOCENCIA",""))</f>
        <v/>
      </c>
      <c r="EA407" s="5" t="str" cm="1">
        <f t="array" ref="EA407:FN407">IF(
    ASIGNACION!I407="SI",
    IFERROR(
        TRANSPOSE(
            _xlfn.UNIQUE(
                _xlfn._xlws.FILTER(EDU_DOCENTE[NOMBRE_DOCENTE],
                    ISNUMBER(MATCH(EDU_DOCENTE[MAESTRIA],
                    BQ407:DY407,0))
                )
            )
        ),
        ""
    ),
    TRANSPOSE(
        _xlfn.UNIQUE(EDU_DOCENTE[NOMBRE_DOCENTE]
        )
    )
)</f>
        <v>ALCIVAR CEDEÑO BEATRIZ ISABEL</v>
      </c>
      <c r="EB407" t="str">
        <v>ALCIVAR VERA GEMA MICHELLE</v>
      </c>
      <c r="EC407" t="str">
        <v>ARAUZ CHAVEZ MARIO ROBERTO</v>
      </c>
      <c r="ED407" t="str">
        <v>BAILON LOURIDO WALTER ALBERTO</v>
      </c>
      <c r="EE407" t="str">
        <v>CALDERERO VILLAGOMEZ ERICK ANTONIO</v>
      </c>
      <c r="EF407" t="str">
        <v>CASTILLO GARCIA PAOLA GERMANIA</v>
      </c>
      <c r="EG407" t="str">
        <v>CEDEÑO CHOEZ PEDRO JAVIER</v>
      </c>
      <c r="EH407" t="str">
        <v>CEVALLOS HOPPE JUAN CARLOS</v>
      </c>
      <c r="EI407" t="str">
        <v>DELGADO CHAVEZ MARIA IRASEMA</v>
      </c>
      <c r="EJ407" t="str">
        <v>DUARTE VALENCIA CRISTHIAN DARIO</v>
      </c>
      <c r="EK407" t="str">
        <v>FORTTY BARBERAN DENNY ALEXANDER</v>
      </c>
      <c r="EL407" t="str">
        <v>GUTIERREZ ZAMBRANO CARMEN EBELINA</v>
      </c>
      <c r="EM407" t="str">
        <v>INTRIAGO MOLINA GEMA VALERIA</v>
      </c>
      <c r="EN407" t="str">
        <v>LINO VELEZ LEONEL LIVINGTON</v>
      </c>
      <c r="EO407" t="str">
        <v>LOOR ALCIVAR MARIA ILIANA</v>
      </c>
      <c r="EP407" t="str">
        <v>LOOR MIELES TANIA JACQUELINE</v>
      </c>
      <c r="EQ407" t="str">
        <v>LOOR SOLORZANO ROSA MARIA</v>
      </c>
      <c r="ER407" t="str">
        <v>LOPEZ DELGADO RONALD MAURICIO</v>
      </c>
      <c r="ES407" t="str">
        <v>MACIAS VALENCIA DAVID GABRIEL</v>
      </c>
      <c r="ET407" t="str">
        <v>MENDOZA ZAMORA WALTER MANUEL</v>
      </c>
      <c r="EU407" t="str">
        <v>MOLINA CEVALLOS MARIA LORENA</v>
      </c>
      <c r="EV407" t="str">
        <v>MURILLO DELGADO ISAAC GABRIEL</v>
      </c>
      <c r="EW407" t="str">
        <v>ANGULO MURILLO NAVIRA GISSELA</v>
      </c>
      <c r="EX407" t="str">
        <v>OCHOA SOLEDISPA NESTOR IVAN</v>
      </c>
      <c r="EY407" t="str">
        <v>PARRAGA FRANCO SILVANA MARIELA</v>
      </c>
      <c r="EZ407" t="str">
        <v>PINARGOTE VASQUEZ NANCY FABIOLA</v>
      </c>
      <c r="FA407" t="str">
        <v>REYES VELEZ PEDRO ENRIQUE</v>
      </c>
      <c r="FB407" t="str">
        <v>SAN ANDRES HORMAZA DALLAS CECILIA</v>
      </c>
      <c r="FC407" t="str">
        <v>SORNOZA ZAMORA JUAN CARLOS</v>
      </c>
      <c r="FD407" t="str">
        <v>TOMALA PINTO JESUS JACINTO</v>
      </c>
      <c r="FE407" t="str">
        <v>VALLE JARAMILLO SILVIA ARACELY</v>
      </c>
      <c r="FF407" t="str">
        <v>VELÁSQUEZ BRAVO IRMA KATHERINE</v>
      </c>
      <c r="FG407" t="str">
        <v>VELEZ MENDOZA LAYSY VALERIA</v>
      </c>
      <c r="FH407" t="str">
        <v>VINUEZA TELLO SHIRLEY ELIZABETH</v>
      </c>
      <c r="FI407" t="str">
        <v>ZAMBRANO ALCIVAR NILDA ISABEL</v>
      </c>
      <c r="FJ407" t="str">
        <v>ZAMBRANO LOOR RITA MAYDA</v>
      </c>
      <c r="FK407" t="str">
        <v>ZAMBRANO VERA MONICA JANETH</v>
      </c>
      <c r="FL407" t="str">
        <v>VERA DELGADO BRYAN ADRIÁN</v>
      </c>
      <c r="FM407" t="str">
        <v>MORAN GONZALES DAVID RENATO</v>
      </c>
      <c r="FN407">
        <v>0</v>
      </c>
    </row>
    <row r="408" spans="1:170" ht="20.25" customHeight="1">
      <c r="A408" s="4" t="str" cm="1">
        <f t="array" ref="A408">TRANSPOSE(_xlfn.UNIQUE(_xlfn._xlws.FILTER(MAE_ASIGNATURA[ID_NIVEL],MAE_ASIGNATURA[ID_CARRERA]=ASIGNACION!$C408,"No existe información")))</f>
        <v>No existe información</v>
      </c>
      <c r="S408" s="4" t="str" cm="1">
        <f t="array" ref="S408">TRANSPOSE(_xlfn.UNIQUE(_xlfn._xlws.FILTER(MAE_ASIGNATURA[NOM_ASIG],(MAE_ASIGNATURA[ID_NIVEL]=ASIGNACION!$D408)*(MAE_ASIGNATURA[ID_CARRERA]=ASIGNACION!$C408),"No existe información")))</f>
        <v>No existe información</v>
      </c>
      <c r="BD408" s="4" t="str" cm="1">
        <f t="array" ref="BD408">TRANSPOSE(_xlfn.UNIQUE(_xlfn._xlws.FILTER(DET_ASIG[DETALLADO],(DET_ASIG[ID_CARRERA]=ASIGNACION!$C408)*(DET_ASIG[NIVEL]=ASIGNACION!$D408)*(DET_ASIG[ID_ASIG]=ASIGNACION!$G408),"No existe información")))</f>
        <v>No existe información</v>
      </c>
      <c r="BQ408" s="5" t="str" cm="1">
        <f t="array" ref="BQ408">IFERROR(
    TRANSPOSE(
        _xlfn.UNIQUE(
            _xlfn._xlws.FILTER(MAESTRIA_DETALLADO[MAESTRIA],
                ISNUMBER(MATCH(MAESTRIA_DETALLADO[CAMPO_DETALLADO],
                BD408:BP408,0))
            )
        )
    ),IF(BD408="ACTIVIDAD","DOCENCIA",""))</f>
        <v/>
      </c>
      <c r="EA408" s="5" t="str" cm="1">
        <f t="array" ref="EA408:FN408">IF(
    ASIGNACION!I408="SI",
    IFERROR(
        TRANSPOSE(
            _xlfn.UNIQUE(
                _xlfn._xlws.FILTER(EDU_DOCENTE[NOMBRE_DOCENTE],
                    ISNUMBER(MATCH(EDU_DOCENTE[MAESTRIA],
                    BQ408:DY408,0))
                )
            )
        ),
        ""
    ),
    TRANSPOSE(
        _xlfn.UNIQUE(EDU_DOCENTE[NOMBRE_DOCENTE]
        )
    )
)</f>
        <v>ALCIVAR CEDEÑO BEATRIZ ISABEL</v>
      </c>
      <c r="EB408" t="str">
        <v>ALCIVAR VERA GEMA MICHELLE</v>
      </c>
      <c r="EC408" t="str">
        <v>ARAUZ CHAVEZ MARIO ROBERTO</v>
      </c>
      <c r="ED408" t="str">
        <v>BAILON LOURIDO WALTER ALBERTO</v>
      </c>
      <c r="EE408" t="str">
        <v>CALDERERO VILLAGOMEZ ERICK ANTONIO</v>
      </c>
      <c r="EF408" t="str">
        <v>CASTILLO GARCIA PAOLA GERMANIA</v>
      </c>
      <c r="EG408" t="str">
        <v>CEDEÑO CHOEZ PEDRO JAVIER</v>
      </c>
      <c r="EH408" t="str">
        <v>CEVALLOS HOPPE JUAN CARLOS</v>
      </c>
      <c r="EI408" t="str">
        <v>DELGADO CHAVEZ MARIA IRASEMA</v>
      </c>
      <c r="EJ408" t="str">
        <v>DUARTE VALENCIA CRISTHIAN DARIO</v>
      </c>
      <c r="EK408" t="str">
        <v>FORTTY BARBERAN DENNY ALEXANDER</v>
      </c>
      <c r="EL408" t="str">
        <v>GUTIERREZ ZAMBRANO CARMEN EBELINA</v>
      </c>
      <c r="EM408" t="str">
        <v>INTRIAGO MOLINA GEMA VALERIA</v>
      </c>
      <c r="EN408" t="str">
        <v>LINO VELEZ LEONEL LIVINGTON</v>
      </c>
      <c r="EO408" t="str">
        <v>LOOR ALCIVAR MARIA ILIANA</v>
      </c>
      <c r="EP408" t="str">
        <v>LOOR MIELES TANIA JACQUELINE</v>
      </c>
      <c r="EQ408" t="str">
        <v>LOOR SOLORZANO ROSA MARIA</v>
      </c>
      <c r="ER408" t="str">
        <v>LOPEZ DELGADO RONALD MAURICIO</v>
      </c>
      <c r="ES408" t="str">
        <v>MACIAS VALENCIA DAVID GABRIEL</v>
      </c>
      <c r="ET408" t="str">
        <v>MENDOZA ZAMORA WALTER MANUEL</v>
      </c>
      <c r="EU408" t="str">
        <v>MOLINA CEVALLOS MARIA LORENA</v>
      </c>
      <c r="EV408" t="str">
        <v>MURILLO DELGADO ISAAC GABRIEL</v>
      </c>
      <c r="EW408" t="str">
        <v>ANGULO MURILLO NAVIRA GISSELA</v>
      </c>
      <c r="EX408" t="str">
        <v>OCHOA SOLEDISPA NESTOR IVAN</v>
      </c>
      <c r="EY408" t="str">
        <v>PARRAGA FRANCO SILVANA MARIELA</v>
      </c>
      <c r="EZ408" t="str">
        <v>PINARGOTE VASQUEZ NANCY FABIOLA</v>
      </c>
      <c r="FA408" t="str">
        <v>REYES VELEZ PEDRO ENRIQUE</v>
      </c>
      <c r="FB408" t="str">
        <v>SAN ANDRES HORMAZA DALLAS CECILIA</v>
      </c>
      <c r="FC408" t="str">
        <v>SORNOZA ZAMORA JUAN CARLOS</v>
      </c>
      <c r="FD408" t="str">
        <v>TOMALA PINTO JESUS JACINTO</v>
      </c>
      <c r="FE408" t="str">
        <v>VALLE JARAMILLO SILVIA ARACELY</v>
      </c>
      <c r="FF408" t="str">
        <v>VELÁSQUEZ BRAVO IRMA KATHERINE</v>
      </c>
      <c r="FG408" t="str">
        <v>VELEZ MENDOZA LAYSY VALERIA</v>
      </c>
      <c r="FH408" t="str">
        <v>VINUEZA TELLO SHIRLEY ELIZABETH</v>
      </c>
      <c r="FI408" t="str">
        <v>ZAMBRANO ALCIVAR NILDA ISABEL</v>
      </c>
      <c r="FJ408" t="str">
        <v>ZAMBRANO LOOR RITA MAYDA</v>
      </c>
      <c r="FK408" t="str">
        <v>ZAMBRANO VERA MONICA JANETH</v>
      </c>
      <c r="FL408" t="str">
        <v>VERA DELGADO BRYAN ADRIÁN</v>
      </c>
      <c r="FM408" t="str">
        <v>MORAN GONZALES DAVID RENATO</v>
      </c>
      <c r="FN408">
        <v>0</v>
      </c>
    </row>
    <row r="409" spans="1:170" ht="20.25" customHeight="1">
      <c r="A409" s="4" t="str" cm="1">
        <f t="array" ref="A409">TRANSPOSE(_xlfn.UNIQUE(_xlfn._xlws.FILTER(MAE_ASIGNATURA[ID_NIVEL],MAE_ASIGNATURA[ID_CARRERA]=ASIGNACION!$C409,"No existe información")))</f>
        <v>No existe información</v>
      </c>
      <c r="S409" s="4" t="str" cm="1">
        <f t="array" ref="S409">TRANSPOSE(_xlfn.UNIQUE(_xlfn._xlws.FILTER(MAE_ASIGNATURA[NOM_ASIG],(MAE_ASIGNATURA[ID_NIVEL]=ASIGNACION!$D409)*(MAE_ASIGNATURA[ID_CARRERA]=ASIGNACION!$C409),"No existe información")))</f>
        <v>No existe información</v>
      </c>
      <c r="BD409" s="4" t="str" cm="1">
        <f t="array" ref="BD409">TRANSPOSE(_xlfn.UNIQUE(_xlfn._xlws.FILTER(DET_ASIG[DETALLADO],(DET_ASIG[ID_CARRERA]=ASIGNACION!$C409)*(DET_ASIG[NIVEL]=ASIGNACION!$D409)*(DET_ASIG[ID_ASIG]=ASIGNACION!$G409),"No existe información")))</f>
        <v>No existe información</v>
      </c>
      <c r="BQ409" s="5" t="str" cm="1">
        <f t="array" ref="BQ409">IFERROR(
    TRANSPOSE(
        _xlfn.UNIQUE(
            _xlfn._xlws.FILTER(MAESTRIA_DETALLADO[MAESTRIA],
                ISNUMBER(MATCH(MAESTRIA_DETALLADO[CAMPO_DETALLADO],
                BD409:BP409,0))
            )
        )
    ),IF(BD409="ACTIVIDAD","DOCENCIA",""))</f>
        <v/>
      </c>
      <c r="EA409" s="5" t="str" cm="1">
        <f t="array" ref="EA409:FN409">IF(
    ASIGNACION!I409="SI",
    IFERROR(
        TRANSPOSE(
            _xlfn.UNIQUE(
                _xlfn._xlws.FILTER(EDU_DOCENTE[NOMBRE_DOCENTE],
                    ISNUMBER(MATCH(EDU_DOCENTE[MAESTRIA],
                    BQ409:DY409,0))
                )
            )
        ),
        ""
    ),
    TRANSPOSE(
        _xlfn.UNIQUE(EDU_DOCENTE[NOMBRE_DOCENTE]
        )
    )
)</f>
        <v>ALCIVAR CEDEÑO BEATRIZ ISABEL</v>
      </c>
      <c r="EB409" t="str">
        <v>ALCIVAR VERA GEMA MICHELLE</v>
      </c>
      <c r="EC409" t="str">
        <v>ARAUZ CHAVEZ MARIO ROBERTO</v>
      </c>
      <c r="ED409" t="str">
        <v>BAILON LOURIDO WALTER ALBERTO</v>
      </c>
      <c r="EE409" t="str">
        <v>CALDERERO VILLAGOMEZ ERICK ANTONIO</v>
      </c>
      <c r="EF409" t="str">
        <v>CASTILLO GARCIA PAOLA GERMANIA</v>
      </c>
      <c r="EG409" t="str">
        <v>CEDEÑO CHOEZ PEDRO JAVIER</v>
      </c>
      <c r="EH409" t="str">
        <v>CEVALLOS HOPPE JUAN CARLOS</v>
      </c>
      <c r="EI409" t="str">
        <v>DELGADO CHAVEZ MARIA IRASEMA</v>
      </c>
      <c r="EJ409" t="str">
        <v>DUARTE VALENCIA CRISTHIAN DARIO</v>
      </c>
      <c r="EK409" t="str">
        <v>FORTTY BARBERAN DENNY ALEXANDER</v>
      </c>
      <c r="EL409" t="str">
        <v>GUTIERREZ ZAMBRANO CARMEN EBELINA</v>
      </c>
      <c r="EM409" t="str">
        <v>INTRIAGO MOLINA GEMA VALERIA</v>
      </c>
      <c r="EN409" t="str">
        <v>LINO VELEZ LEONEL LIVINGTON</v>
      </c>
      <c r="EO409" t="str">
        <v>LOOR ALCIVAR MARIA ILIANA</v>
      </c>
      <c r="EP409" t="str">
        <v>LOOR MIELES TANIA JACQUELINE</v>
      </c>
      <c r="EQ409" t="str">
        <v>LOOR SOLORZANO ROSA MARIA</v>
      </c>
      <c r="ER409" t="str">
        <v>LOPEZ DELGADO RONALD MAURICIO</v>
      </c>
      <c r="ES409" t="str">
        <v>MACIAS VALENCIA DAVID GABRIEL</v>
      </c>
      <c r="ET409" t="str">
        <v>MENDOZA ZAMORA WALTER MANUEL</v>
      </c>
      <c r="EU409" t="str">
        <v>MOLINA CEVALLOS MARIA LORENA</v>
      </c>
      <c r="EV409" t="str">
        <v>MURILLO DELGADO ISAAC GABRIEL</v>
      </c>
      <c r="EW409" t="str">
        <v>ANGULO MURILLO NAVIRA GISSELA</v>
      </c>
      <c r="EX409" t="str">
        <v>OCHOA SOLEDISPA NESTOR IVAN</v>
      </c>
      <c r="EY409" t="str">
        <v>PARRAGA FRANCO SILVANA MARIELA</v>
      </c>
      <c r="EZ409" t="str">
        <v>PINARGOTE VASQUEZ NANCY FABIOLA</v>
      </c>
      <c r="FA409" t="str">
        <v>REYES VELEZ PEDRO ENRIQUE</v>
      </c>
      <c r="FB409" t="str">
        <v>SAN ANDRES HORMAZA DALLAS CECILIA</v>
      </c>
      <c r="FC409" t="str">
        <v>SORNOZA ZAMORA JUAN CARLOS</v>
      </c>
      <c r="FD409" t="str">
        <v>TOMALA PINTO JESUS JACINTO</v>
      </c>
      <c r="FE409" t="str">
        <v>VALLE JARAMILLO SILVIA ARACELY</v>
      </c>
      <c r="FF409" t="str">
        <v>VELÁSQUEZ BRAVO IRMA KATHERINE</v>
      </c>
      <c r="FG409" t="str">
        <v>VELEZ MENDOZA LAYSY VALERIA</v>
      </c>
      <c r="FH409" t="str">
        <v>VINUEZA TELLO SHIRLEY ELIZABETH</v>
      </c>
      <c r="FI409" t="str">
        <v>ZAMBRANO ALCIVAR NILDA ISABEL</v>
      </c>
      <c r="FJ409" t="str">
        <v>ZAMBRANO LOOR RITA MAYDA</v>
      </c>
      <c r="FK409" t="str">
        <v>ZAMBRANO VERA MONICA JANETH</v>
      </c>
      <c r="FL409" t="str">
        <v>VERA DELGADO BRYAN ADRIÁN</v>
      </c>
      <c r="FM409" t="str">
        <v>MORAN GONZALES DAVID RENATO</v>
      </c>
      <c r="FN409">
        <v>0</v>
      </c>
    </row>
    <row r="410" spans="1:170" ht="20.25" customHeight="1">
      <c r="A410" s="4" t="str" cm="1">
        <f t="array" ref="A410">TRANSPOSE(_xlfn.UNIQUE(_xlfn._xlws.FILTER(MAE_ASIGNATURA[ID_NIVEL],MAE_ASIGNATURA[ID_CARRERA]=ASIGNACION!$C410,"No existe información")))</f>
        <v>No existe información</v>
      </c>
      <c r="S410" s="4" t="str" cm="1">
        <f t="array" ref="S410">TRANSPOSE(_xlfn.UNIQUE(_xlfn._xlws.FILTER(MAE_ASIGNATURA[NOM_ASIG],(MAE_ASIGNATURA[ID_NIVEL]=ASIGNACION!$D410)*(MAE_ASIGNATURA[ID_CARRERA]=ASIGNACION!$C410),"No existe información")))</f>
        <v>No existe información</v>
      </c>
      <c r="BD410" s="4" t="str" cm="1">
        <f t="array" ref="BD410">TRANSPOSE(_xlfn.UNIQUE(_xlfn._xlws.FILTER(DET_ASIG[DETALLADO],(DET_ASIG[ID_CARRERA]=ASIGNACION!$C410)*(DET_ASIG[NIVEL]=ASIGNACION!$D410)*(DET_ASIG[ID_ASIG]=ASIGNACION!$G410),"No existe información")))</f>
        <v>No existe información</v>
      </c>
      <c r="BQ410" s="5" t="str" cm="1">
        <f t="array" ref="BQ410">IFERROR(
    TRANSPOSE(
        _xlfn.UNIQUE(
            _xlfn._xlws.FILTER(MAESTRIA_DETALLADO[MAESTRIA],
                ISNUMBER(MATCH(MAESTRIA_DETALLADO[CAMPO_DETALLADO],
                BD410:BP410,0))
            )
        )
    ),IF(BD410="ACTIVIDAD","DOCENCIA",""))</f>
        <v/>
      </c>
      <c r="EA410" s="5" t="str" cm="1">
        <f t="array" ref="EA410:FN410">IF(
    ASIGNACION!I410="SI",
    IFERROR(
        TRANSPOSE(
            _xlfn.UNIQUE(
                _xlfn._xlws.FILTER(EDU_DOCENTE[NOMBRE_DOCENTE],
                    ISNUMBER(MATCH(EDU_DOCENTE[MAESTRIA],
                    BQ410:DY410,0))
                )
            )
        ),
        ""
    ),
    TRANSPOSE(
        _xlfn.UNIQUE(EDU_DOCENTE[NOMBRE_DOCENTE]
        )
    )
)</f>
        <v>ALCIVAR CEDEÑO BEATRIZ ISABEL</v>
      </c>
      <c r="EB410" t="str">
        <v>ALCIVAR VERA GEMA MICHELLE</v>
      </c>
      <c r="EC410" t="str">
        <v>ARAUZ CHAVEZ MARIO ROBERTO</v>
      </c>
      <c r="ED410" t="str">
        <v>BAILON LOURIDO WALTER ALBERTO</v>
      </c>
      <c r="EE410" t="str">
        <v>CALDERERO VILLAGOMEZ ERICK ANTONIO</v>
      </c>
      <c r="EF410" t="str">
        <v>CASTILLO GARCIA PAOLA GERMANIA</v>
      </c>
      <c r="EG410" t="str">
        <v>CEDEÑO CHOEZ PEDRO JAVIER</v>
      </c>
      <c r="EH410" t="str">
        <v>CEVALLOS HOPPE JUAN CARLOS</v>
      </c>
      <c r="EI410" t="str">
        <v>DELGADO CHAVEZ MARIA IRASEMA</v>
      </c>
      <c r="EJ410" t="str">
        <v>DUARTE VALENCIA CRISTHIAN DARIO</v>
      </c>
      <c r="EK410" t="str">
        <v>FORTTY BARBERAN DENNY ALEXANDER</v>
      </c>
      <c r="EL410" t="str">
        <v>GUTIERREZ ZAMBRANO CARMEN EBELINA</v>
      </c>
      <c r="EM410" t="str">
        <v>INTRIAGO MOLINA GEMA VALERIA</v>
      </c>
      <c r="EN410" t="str">
        <v>LINO VELEZ LEONEL LIVINGTON</v>
      </c>
      <c r="EO410" t="str">
        <v>LOOR ALCIVAR MARIA ILIANA</v>
      </c>
      <c r="EP410" t="str">
        <v>LOOR MIELES TANIA JACQUELINE</v>
      </c>
      <c r="EQ410" t="str">
        <v>LOOR SOLORZANO ROSA MARIA</v>
      </c>
      <c r="ER410" t="str">
        <v>LOPEZ DELGADO RONALD MAURICIO</v>
      </c>
      <c r="ES410" t="str">
        <v>MACIAS VALENCIA DAVID GABRIEL</v>
      </c>
      <c r="ET410" t="str">
        <v>MENDOZA ZAMORA WALTER MANUEL</v>
      </c>
      <c r="EU410" t="str">
        <v>MOLINA CEVALLOS MARIA LORENA</v>
      </c>
      <c r="EV410" t="str">
        <v>MURILLO DELGADO ISAAC GABRIEL</v>
      </c>
      <c r="EW410" t="str">
        <v>ANGULO MURILLO NAVIRA GISSELA</v>
      </c>
      <c r="EX410" t="str">
        <v>OCHOA SOLEDISPA NESTOR IVAN</v>
      </c>
      <c r="EY410" t="str">
        <v>PARRAGA FRANCO SILVANA MARIELA</v>
      </c>
      <c r="EZ410" t="str">
        <v>PINARGOTE VASQUEZ NANCY FABIOLA</v>
      </c>
      <c r="FA410" t="str">
        <v>REYES VELEZ PEDRO ENRIQUE</v>
      </c>
      <c r="FB410" t="str">
        <v>SAN ANDRES HORMAZA DALLAS CECILIA</v>
      </c>
      <c r="FC410" t="str">
        <v>SORNOZA ZAMORA JUAN CARLOS</v>
      </c>
      <c r="FD410" t="str">
        <v>TOMALA PINTO JESUS JACINTO</v>
      </c>
      <c r="FE410" t="str">
        <v>VALLE JARAMILLO SILVIA ARACELY</v>
      </c>
      <c r="FF410" t="str">
        <v>VELÁSQUEZ BRAVO IRMA KATHERINE</v>
      </c>
      <c r="FG410" t="str">
        <v>VELEZ MENDOZA LAYSY VALERIA</v>
      </c>
      <c r="FH410" t="str">
        <v>VINUEZA TELLO SHIRLEY ELIZABETH</v>
      </c>
      <c r="FI410" t="str">
        <v>ZAMBRANO ALCIVAR NILDA ISABEL</v>
      </c>
      <c r="FJ410" t="str">
        <v>ZAMBRANO LOOR RITA MAYDA</v>
      </c>
      <c r="FK410" t="str">
        <v>ZAMBRANO VERA MONICA JANETH</v>
      </c>
      <c r="FL410" t="str">
        <v>VERA DELGADO BRYAN ADRIÁN</v>
      </c>
      <c r="FM410" t="str">
        <v>MORAN GONZALES DAVID RENATO</v>
      </c>
      <c r="FN410">
        <v>0</v>
      </c>
    </row>
    <row r="411" spans="1:170" ht="20.25" customHeight="1">
      <c r="A411" s="4" t="str" cm="1">
        <f t="array" ref="A411">TRANSPOSE(_xlfn.UNIQUE(_xlfn._xlws.FILTER(MAE_ASIGNATURA[ID_NIVEL],MAE_ASIGNATURA[ID_CARRERA]=ASIGNACION!$C411,"No existe información")))</f>
        <v>No existe información</v>
      </c>
      <c r="S411" s="4" t="str" cm="1">
        <f t="array" ref="S411">TRANSPOSE(_xlfn.UNIQUE(_xlfn._xlws.FILTER(MAE_ASIGNATURA[NOM_ASIG],(MAE_ASIGNATURA[ID_NIVEL]=ASIGNACION!$D411)*(MAE_ASIGNATURA[ID_CARRERA]=ASIGNACION!$C411),"No existe información")))</f>
        <v>No existe información</v>
      </c>
      <c r="BD411" s="4" t="str" cm="1">
        <f t="array" ref="BD411">TRANSPOSE(_xlfn.UNIQUE(_xlfn._xlws.FILTER(DET_ASIG[DETALLADO],(DET_ASIG[ID_CARRERA]=ASIGNACION!$C411)*(DET_ASIG[NIVEL]=ASIGNACION!$D411)*(DET_ASIG[ID_ASIG]=ASIGNACION!$G411),"No existe información")))</f>
        <v>No existe información</v>
      </c>
      <c r="BQ411" s="5" t="str" cm="1">
        <f t="array" ref="BQ411">IFERROR(
    TRANSPOSE(
        _xlfn.UNIQUE(
            _xlfn._xlws.FILTER(MAESTRIA_DETALLADO[MAESTRIA],
                ISNUMBER(MATCH(MAESTRIA_DETALLADO[CAMPO_DETALLADO],
                BD411:BP411,0))
            )
        )
    ),IF(BD411="ACTIVIDAD","DOCENCIA",""))</f>
        <v/>
      </c>
      <c r="EA411" s="5" t="str" cm="1">
        <f t="array" ref="EA411:FN411">IF(
    ASIGNACION!I411="SI",
    IFERROR(
        TRANSPOSE(
            _xlfn.UNIQUE(
                _xlfn._xlws.FILTER(EDU_DOCENTE[NOMBRE_DOCENTE],
                    ISNUMBER(MATCH(EDU_DOCENTE[MAESTRIA],
                    BQ411:DY411,0))
                )
            )
        ),
        ""
    ),
    TRANSPOSE(
        _xlfn.UNIQUE(EDU_DOCENTE[NOMBRE_DOCENTE]
        )
    )
)</f>
        <v>ALCIVAR CEDEÑO BEATRIZ ISABEL</v>
      </c>
      <c r="EB411" t="str">
        <v>ALCIVAR VERA GEMA MICHELLE</v>
      </c>
      <c r="EC411" t="str">
        <v>ARAUZ CHAVEZ MARIO ROBERTO</v>
      </c>
      <c r="ED411" t="str">
        <v>BAILON LOURIDO WALTER ALBERTO</v>
      </c>
      <c r="EE411" t="str">
        <v>CALDERERO VILLAGOMEZ ERICK ANTONIO</v>
      </c>
      <c r="EF411" t="str">
        <v>CASTILLO GARCIA PAOLA GERMANIA</v>
      </c>
      <c r="EG411" t="str">
        <v>CEDEÑO CHOEZ PEDRO JAVIER</v>
      </c>
      <c r="EH411" t="str">
        <v>CEVALLOS HOPPE JUAN CARLOS</v>
      </c>
      <c r="EI411" t="str">
        <v>DELGADO CHAVEZ MARIA IRASEMA</v>
      </c>
      <c r="EJ411" t="str">
        <v>DUARTE VALENCIA CRISTHIAN DARIO</v>
      </c>
      <c r="EK411" t="str">
        <v>FORTTY BARBERAN DENNY ALEXANDER</v>
      </c>
      <c r="EL411" t="str">
        <v>GUTIERREZ ZAMBRANO CARMEN EBELINA</v>
      </c>
      <c r="EM411" t="str">
        <v>INTRIAGO MOLINA GEMA VALERIA</v>
      </c>
      <c r="EN411" t="str">
        <v>LINO VELEZ LEONEL LIVINGTON</v>
      </c>
      <c r="EO411" t="str">
        <v>LOOR ALCIVAR MARIA ILIANA</v>
      </c>
      <c r="EP411" t="str">
        <v>LOOR MIELES TANIA JACQUELINE</v>
      </c>
      <c r="EQ411" t="str">
        <v>LOOR SOLORZANO ROSA MARIA</v>
      </c>
      <c r="ER411" t="str">
        <v>LOPEZ DELGADO RONALD MAURICIO</v>
      </c>
      <c r="ES411" t="str">
        <v>MACIAS VALENCIA DAVID GABRIEL</v>
      </c>
      <c r="ET411" t="str">
        <v>MENDOZA ZAMORA WALTER MANUEL</v>
      </c>
      <c r="EU411" t="str">
        <v>MOLINA CEVALLOS MARIA LORENA</v>
      </c>
      <c r="EV411" t="str">
        <v>MURILLO DELGADO ISAAC GABRIEL</v>
      </c>
      <c r="EW411" t="str">
        <v>ANGULO MURILLO NAVIRA GISSELA</v>
      </c>
      <c r="EX411" t="str">
        <v>OCHOA SOLEDISPA NESTOR IVAN</v>
      </c>
      <c r="EY411" t="str">
        <v>PARRAGA FRANCO SILVANA MARIELA</v>
      </c>
      <c r="EZ411" t="str">
        <v>PINARGOTE VASQUEZ NANCY FABIOLA</v>
      </c>
      <c r="FA411" t="str">
        <v>REYES VELEZ PEDRO ENRIQUE</v>
      </c>
      <c r="FB411" t="str">
        <v>SAN ANDRES HORMAZA DALLAS CECILIA</v>
      </c>
      <c r="FC411" t="str">
        <v>SORNOZA ZAMORA JUAN CARLOS</v>
      </c>
      <c r="FD411" t="str">
        <v>TOMALA PINTO JESUS JACINTO</v>
      </c>
      <c r="FE411" t="str">
        <v>VALLE JARAMILLO SILVIA ARACELY</v>
      </c>
      <c r="FF411" t="str">
        <v>VELÁSQUEZ BRAVO IRMA KATHERINE</v>
      </c>
      <c r="FG411" t="str">
        <v>VELEZ MENDOZA LAYSY VALERIA</v>
      </c>
      <c r="FH411" t="str">
        <v>VINUEZA TELLO SHIRLEY ELIZABETH</v>
      </c>
      <c r="FI411" t="str">
        <v>ZAMBRANO ALCIVAR NILDA ISABEL</v>
      </c>
      <c r="FJ411" t="str">
        <v>ZAMBRANO LOOR RITA MAYDA</v>
      </c>
      <c r="FK411" t="str">
        <v>ZAMBRANO VERA MONICA JANETH</v>
      </c>
      <c r="FL411" t="str">
        <v>VERA DELGADO BRYAN ADRIÁN</v>
      </c>
      <c r="FM411" t="str">
        <v>MORAN GONZALES DAVID RENATO</v>
      </c>
      <c r="FN411">
        <v>0</v>
      </c>
    </row>
    <row r="412" spans="1:170" ht="20.25" customHeight="1">
      <c r="A412" s="4" t="str" cm="1">
        <f t="array" ref="A412">TRANSPOSE(_xlfn.UNIQUE(_xlfn._xlws.FILTER(MAE_ASIGNATURA[ID_NIVEL],MAE_ASIGNATURA[ID_CARRERA]=ASIGNACION!$C412,"No existe información")))</f>
        <v>No existe información</v>
      </c>
      <c r="S412" s="4" t="str" cm="1">
        <f t="array" ref="S412">TRANSPOSE(_xlfn.UNIQUE(_xlfn._xlws.FILTER(MAE_ASIGNATURA[NOM_ASIG],(MAE_ASIGNATURA[ID_NIVEL]=ASIGNACION!$D412)*(MAE_ASIGNATURA[ID_CARRERA]=ASIGNACION!$C412),"No existe información")))</f>
        <v>No existe información</v>
      </c>
      <c r="BD412" s="4" t="str" cm="1">
        <f t="array" ref="BD412">TRANSPOSE(_xlfn.UNIQUE(_xlfn._xlws.FILTER(DET_ASIG[DETALLADO],(DET_ASIG[ID_CARRERA]=ASIGNACION!$C412)*(DET_ASIG[NIVEL]=ASIGNACION!$D412)*(DET_ASIG[ID_ASIG]=ASIGNACION!$G412),"No existe información")))</f>
        <v>No existe información</v>
      </c>
      <c r="BQ412" s="5" t="str" cm="1">
        <f t="array" ref="BQ412">IFERROR(
    TRANSPOSE(
        _xlfn.UNIQUE(
            _xlfn._xlws.FILTER(MAESTRIA_DETALLADO[MAESTRIA],
                ISNUMBER(MATCH(MAESTRIA_DETALLADO[CAMPO_DETALLADO],
                BD412:BP412,0))
            )
        )
    ),IF(BD412="ACTIVIDAD","DOCENCIA",""))</f>
        <v/>
      </c>
      <c r="EA412" s="5" t="str" cm="1">
        <f t="array" ref="EA412:FN412">IF(
    ASIGNACION!I412="SI",
    IFERROR(
        TRANSPOSE(
            _xlfn.UNIQUE(
                _xlfn._xlws.FILTER(EDU_DOCENTE[NOMBRE_DOCENTE],
                    ISNUMBER(MATCH(EDU_DOCENTE[MAESTRIA],
                    BQ412:DY412,0))
                )
            )
        ),
        ""
    ),
    TRANSPOSE(
        _xlfn.UNIQUE(EDU_DOCENTE[NOMBRE_DOCENTE]
        )
    )
)</f>
        <v>ALCIVAR CEDEÑO BEATRIZ ISABEL</v>
      </c>
      <c r="EB412" t="str">
        <v>ALCIVAR VERA GEMA MICHELLE</v>
      </c>
      <c r="EC412" t="str">
        <v>ARAUZ CHAVEZ MARIO ROBERTO</v>
      </c>
      <c r="ED412" t="str">
        <v>BAILON LOURIDO WALTER ALBERTO</v>
      </c>
      <c r="EE412" t="str">
        <v>CALDERERO VILLAGOMEZ ERICK ANTONIO</v>
      </c>
      <c r="EF412" t="str">
        <v>CASTILLO GARCIA PAOLA GERMANIA</v>
      </c>
      <c r="EG412" t="str">
        <v>CEDEÑO CHOEZ PEDRO JAVIER</v>
      </c>
      <c r="EH412" t="str">
        <v>CEVALLOS HOPPE JUAN CARLOS</v>
      </c>
      <c r="EI412" t="str">
        <v>DELGADO CHAVEZ MARIA IRASEMA</v>
      </c>
      <c r="EJ412" t="str">
        <v>DUARTE VALENCIA CRISTHIAN DARIO</v>
      </c>
      <c r="EK412" t="str">
        <v>FORTTY BARBERAN DENNY ALEXANDER</v>
      </c>
      <c r="EL412" t="str">
        <v>GUTIERREZ ZAMBRANO CARMEN EBELINA</v>
      </c>
      <c r="EM412" t="str">
        <v>INTRIAGO MOLINA GEMA VALERIA</v>
      </c>
      <c r="EN412" t="str">
        <v>LINO VELEZ LEONEL LIVINGTON</v>
      </c>
      <c r="EO412" t="str">
        <v>LOOR ALCIVAR MARIA ILIANA</v>
      </c>
      <c r="EP412" t="str">
        <v>LOOR MIELES TANIA JACQUELINE</v>
      </c>
      <c r="EQ412" t="str">
        <v>LOOR SOLORZANO ROSA MARIA</v>
      </c>
      <c r="ER412" t="str">
        <v>LOPEZ DELGADO RONALD MAURICIO</v>
      </c>
      <c r="ES412" t="str">
        <v>MACIAS VALENCIA DAVID GABRIEL</v>
      </c>
      <c r="ET412" t="str">
        <v>MENDOZA ZAMORA WALTER MANUEL</v>
      </c>
      <c r="EU412" t="str">
        <v>MOLINA CEVALLOS MARIA LORENA</v>
      </c>
      <c r="EV412" t="str">
        <v>MURILLO DELGADO ISAAC GABRIEL</v>
      </c>
      <c r="EW412" t="str">
        <v>ANGULO MURILLO NAVIRA GISSELA</v>
      </c>
      <c r="EX412" t="str">
        <v>OCHOA SOLEDISPA NESTOR IVAN</v>
      </c>
      <c r="EY412" t="str">
        <v>PARRAGA FRANCO SILVANA MARIELA</v>
      </c>
      <c r="EZ412" t="str">
        <v>PINARGOTE VASQUEZ NANCY FABIOLA</v>
      </c>
      <c r="FA412" t="str">
        <v>REYES VELEZ PEDRO ENRIQUE</v>
      </c>
      <c r="FB412" t="str">
        <v>SAN ANDRES HORMAZA DALLAS CECILIA</v>
      </c>
      <c r="FC412" t="str">
        <v>SORNOZA ZAMORA JUAN CARLOS</v>
      </c>
      <c r="FD412" t="str">
        <v>TOMALA PINTO JESUS JACINTO</v>
      </c>
      <c r="FE412" t="str">
        <v>VALLE JARAMILLO SILVIA ARACELY</v>
      </c>
      <c r="FF412" t="str">
        <v>VELÁSQUEZ BRAVO IRMA KATHERINE</v>
      </c>
      <c r="FG412" t="str">
        <v>VELEZ MENDOZA LAYSY VALERIA</v>
      </c>
      <c r="FH412" t="str">
        <v>VINUEZA TELLO SHIRLEY ELIZABETH</v>
      </c>
      <c r="FI412" t="str">
        <v>ZAMBRANO ALCIVAR NILDA ISABEL</v>
      </c>
      <c r="FJ412" t="str">
        <v>ZAMBRANO LOOR RITA MAYDA</v>
      </c>
      <c r="FK412" t="str">
        <v>ZAMBRANO VERA MONICA JANETH</v>
      </c>
      <c r="FL412" t="str">
        <v>VERA DELGADO BRYAN ADRIÁN</v>
      </c>
      <c r="FM412" t="str">
        <v>MORAN GONZALES DAVID RENATO</v>
      </c>
      <c r="FN412">
        <v>0</v>
      </c>
    </row>
    <row r="413" spans="1:170" ht="20.25" customHeight="1">
      <c r="A413" s="4" t="str" cm="1">
        <f t="array" ref="A413">TRANSPOSE(_xlfn.UNIQUE(_xlfn._xlws.FILTER(MAE_ASIGNATURA[ID_NIVEL],MAE_ASIGNATURA[ID_CARRERA]=ASIGNACION!$C413,"No existe información")))</f>
        <v>No existe información</v>
      </c>
      <c r="S413" s="4" t="str" cm="1">
        <f t="array" ref="S413">TRANSPOSE(_xlfn.UNIQUE(_xlfn._xlws.FILTER(MAE_ASIGNATURA[NOM_ASIG],(MAE_ASIGNATURA[ID_NIVEL]=ASIGNACION!$D413)*(MAE_ASIGNATURA[ID_CARRERA]=ASIGNACION!$C413),"No existe información")))</f>
        <v>No existe información</v>
      </c>
      <c r="BD413" s="4" t="str" cm="1">
        <f t="array" ref="BD413">TRANSPOSE(_xlfn.UNIQUE(_xlfn._xlws.FILTER(DET_ASIG[DETALLADO],(DET_ASIG[ID_CARRERA]=ASIGNACION!$C413)*(DET_ASIG[NIVEL]=ASIGNACION!$D413)*(DET_ASIG[ID_ASIG]=ASIGNACION!$G413),"No existe información")))</f>
        <v>No existe información</v>
      </c>
      <c r="BQ413" s="5" t="str" cm="1">
        <f t="array" ref="BQ413">IFERROR(
    TRANSPOSE(
        _xlfn.UNIQUE(
            _xlfn._xlws.FILTER(MAESTRIA_DETALLADO[MAESTRIA],
                ISNUMBER(MATCH(MAESTRIA_DETALLADO[CAMPO_DETALLADO],
                BD413:BP413,0))
            )
        )
    ),IF(BD413="ACTIVIDAD","DOCENCIA",""))</f>
        <v/>
      </c>
      <c r="EA413" s="5" t="str" cm="1">
        <f t="array" ref="EA413:FN413">IF(
    ASIGNACION!I413="SI",
    IFERROR(
        TRANSPOSE(
            _xlfn.UNIQUE(
                _xlfn._xlws.FILTER(EDU_DOCENTE[NOMBRE_DOCENTE],
                    ISNUMBER(MATCH(EDU_DOCENTE[MAESTRIA],
                    BQ413:DY413,0))
                )
            )
        ),
        ""
    ),
    TRANSPOSE(
        _xlfn.UNIQUE(EDU_DOCENTE[NOMBRE_DOCENTE]
        )
    )
)</f>
        <v>ALCIVAR CEDEÑO BEATRIZ ISABEL</v>
      </c>
      <c r="EB413" t="str">
        <v>ALCIVAR VERA GEMA MICHELLE</v>
      </c>
      <c r="EC413" t="str">
        <v>ARAUZ CHAVEZ MARIO ROBERTO</v>
      </c>
      <c r="ED413" t="str">
        <v>BAILON LOURIDO WALTER ALBERTO</v>
      </c>
      <c r="EE413" t="str">
        <v>CALDERERO VILLAGOMEZ ERICK ANTONIO</v>
      </c>
      <c r="EF413" t="str">
        <v>CASTILLO GARCIA PAOLA GERMANIA</v>
      </c>
      <c r="EG413" t="str">
        <v>CEDEÑO CHOEZ PEDRO JAVIER</v>
      </c>
      <c r="EH413" t="str">
        <v>CEVALLOS HOPPE JUAN CARLOS</v>
      </c>
      <c r="EI413" t="str">
        <v>DELGADO CHAVEZ MARIA IRASEMA</v>
      </c>
      <c r="EJ413" t="str">
        <v>DUARTE VALENCIA CRISTHIAN DARIO</v>
      </c>
      <c r="EK413" t="str">
        <v>FORTTY BARBERAN DENNY ALEXANDER</v>
      </c>
      <c r="EL413" t="str">
        <v>GUTIERREZ ZAMBRANO CARMEN EBELINA</v>
      </c>
      <c r="EM413" t="str">
        <v>INTRIAGO MOLINA GEMA VALERIA</v>
      </c>
      <c r="EN413" t="str">
        <v>LINO VELEZ LEONEL LIVINGTON</v>
      </c>
      <c r="EO413" t="str">
        <v>LOOR ALCIVAR MARIA ILIANA</v>
      </c>
      <c r="EP413" t="str">
        <v>LOOR MIELES TANIA JACQUELINE</v>
      </c>
      <c r="EQ413" t="str">
        <v>LOOR SOLORZANO ROSA MARIA</v>
      </c>
      <c r="ER413" t="str">
        <v>LOPEZ DELGADO RONALD MAURICIO</v>
      </c>
      <c r="ES413" t="str">
        <v>MACIAS VALENCIA DAVID GABRIEL</v>
      </c>
      <c r="ET413" t="str">
        <v>MENDOZA ZAMORA WALTER MANUEL</v>
      </c>
      <c r="EU413" t="str">
        <v>MOLINA CEVALLOS MARIA LORENA</v>
      </c>
      <c r="EV413" t="str">
        <v>MURILLO DELGADO ISAAC GABRIEL</v>
      </c>
      <c r="EW413" t="str">
        <v>ANGULO MURILLO NAVIRA GISSELA</v>
      </c>
      <c r="EX413" t="str">
        <v>OCHOA SOLEDISPA NESTOR IVAN</v>
      </c>
      <c r="EY413" t="str">
        <v>PARRAGA FRANCO SILVANA MARIELA</v>
      </c>
      <c r="EZ413" t="str">
        <v>PINARGOTE VASQUEZ NANCY FABIOLA</v>
      </c>
      <c r="FA413" t="str">
        <v>REYES VELEZ PEDRO ENRIQUE</v>
      </c>
      <c r="FB413" t="str">
        <v>SAN ANDRES HORMAZA DALLAS CECILIA</v>
      </c>
      <c r="FC413" t="str">
        <v>SORNOZA ZAMORA JUAN CARLOS</v>
      </c>
      <c r="FD413" t="str">
        <v>TOMALA PINTO JESUS JACINTO</v>
      </c>
      <c r="FE413" t="str">
        <v>VALLE JARAMILLO SILVIA ARACELY</v>
      </c>
      <c r="FF413" t="str">
        <v>VELÁSQUEZ BRAVO IRMA KATHERINE</v>
      </c>
      <c r="FG413" t="str">
        <v>VELEZ MENDOZA LAYSY VALERIA</v>
      </c>
      <c r="FH413" t="str">
        <v>VINUEZA TELLO SHIRLEY ELIZABETH</v>
      </c>
      <c r="FI413" t="str">
        <v>ZAMBRANO ALCIVAR NILDA ISABEL</v>
      </c>
      <c r="FJ413" t="str">
        <v>ZAMBRANO LOOR RITA MAYDA</v>
      </c>
      <c r="FK413" t="str">
        <v>ZAMBRANO VERA MONICA JANETH</v>
      </c>
      <c r="FL413" t="str">
        <v>VERA DELGADO BRYAN ADRIÁN</v>
      </c>
      <c r="FM413" t="str">
        <v>MORAN GONZALES DAVID RENATO</v>
      </c>
      <c r="FN413">
        <v>0</v>
      </c>
    </row>
    <row r="414" spans="1:170" ht="20.25" customHeight="1">
      <c r="A414" s="4" t="str" cm="1">
        <f t="array" ref="A414">TRANSPOSE(_xlfn.UNIQUE(_xlfn._xlws.FILTER(MAE_ASIGNATURA[ID_NIVEL],MAE_ASIGNATURA[ID_CARRERA]=ASIGNACION!$C414,"No existe información")))</f>
        <v>No existe información</v>
      </c>
      <c r="S414" s="4" t="str" cm="1">
        <f t="array" ref="S414">TRANSPOSE(_xlfn.UNIQUE(_xlfn._xlws.FILTER(MAE_ASIGNATURA[NOM_ASIG],(MAE_ASIGNATURA[ID_NIVEL]=ASIGNACION!$D414)*(MAE_ASIGNATURA[ID_CARRERA]=ASIGNACION!$C414),"No existe información")))</f>
        <v>No existe información</v>
      </c>
      <c r="BD414" s="4" t="str" cm="1">
        <f t="array" ref="BD414">TRANSPOSE(_xlfn.UNIQUE(_xlfn._xlws.FILTER(DET_ASIG[DETALLADO],(DET_ASIG[ID_CARRERA]=ASIGNACION!$C414)*(DET_ASIG[NIVEL]=ASIGNACION!$D414)*(DET_ASIG[ID_ASIG]=ASIGNACION!$G414),"No existe información")))</f>
        <v>No existe información</v>
      </c>
      <c r="BQ414" s="5" t="str" cm="1">
        <f t="array" ref="BQ414">IFERROR(
    TRANSPOSE(
        _xlfn.UNIQUE(
            _xlfn._xlws.FILTER(MAESTRIA_DETALLADO[MAESTRIA],
                ISNUMBER(MATCH(MAESTRIA_DETALLADO[CAMPO_DETALLADO],
                BD414:BP414,0))
            )
        )
    ),IF(BD414="ACTIVIDAD","DOCENCIA",""))</f>
        <v/>
      </c>
      <c r="EA414" s="5" t="str" cm="1">
        <f t="array" ref="EA414:FN414">IF(
    ASIGNACION!I414="SI",
    IFERROR(
        TRANSPOSE(
            _xlfn.UNIQUE(
                _xlfn._xlws.FILTER(EDU_DOCENTE[NOMBRE_DOCENTE],
                    ISNUMBER(MATCH(EDU_DOCENTE[MAESTRIA],
                    BQ414:DY414,0))
                )
            )
        ),
        ""
    ),
    TRANSPOSE(
        _xlfn.UNIQUE(EDU_DOCENTE[NOMBRE_DOCENTE]
        )
    )
)</f>
        <v>ALCIVAR CEDEÑO BEATRIZ ISABEL</v>
      </c>
      <c r="EB414" t="str">
        <v>ALCIVAR VERA GEMA MICHELLE</v>
      </c>
      <c r="EC414" t="str">
        <v>ARAUZ CHAVEZ MARIO ROBERTO</v>
      </c>
      <c r="ED414" t="str">
        <v>BAILON LOURIDO WALTER ALBERTO</v>
      </c>
      <c r="EE414" t="str">
        <v>CALDERERO VILLAGOMEZ ERICK ANTONIO</v>
      </c>
      <c r="EF414" t="str">
        <v>CASTILLO GARCIA PAOLA GERMANIA</v>
      </c>
      <c r="EG414" t="str">
        <v>CEDEÑO CHOEZ PEDRO JAVIER</v>
      </c>
      <c r="EH414" t="str">
        <v>CEVALLOS HOPPE JUAN CARLOS</v>
      </c>
      <c r="EI414" t="str">
        <v>DELGADO CHAVEZ MARIA IRASEMA</v>
      </c>
      <c r="EJ414" t="str">
        <v>DUARTE VALENCIA CRISTHIAN DARIO</v>
      </c>
      <c r="EK414" t="str">
        <v>FORTTY BARBERAN DENNY ALEXANDER</v>
      </c>
      <c r="EL414" t="str">
        <v>GUTIERREZ ZAMBRANO CARMEN EBELINA</v>
      </c>
      <c r="EM414" t="str">
        <v>INTRIAGO MOLINA GEMA VALERIA</v>
      </c>
      <c r="EN414" t="str">
        <v>LINO VELEZ LEONEL LIVINGTON</v>
      </c>
      <c r="EO414" t="str">
        <v>LOOR ALCIVAR MARIA ILIANA</v>
      </c>
      <c r="EP414" t="str">
        <v>LOOR MIELES TANIA JACQUELINE</v>
      </c>
      <c r="EQ414" t="str">
        <v>LOOR SOLORZANO ROSA MARIA</v>
      </c>
      <c r="ER414" t="str">
        <v>LOPEZ DELGADO RONALD MAURICIO</v>
      </c>
      <c r="ES414" t="str">
        <v>MACIAS VALENCIA DAVID GABRIEL</v>
      </c>
      <c r="ET414" t="str">
        <v>MENDOZA ZAMORA WALTER MANUEL</v>
      </c>
      <c r="EU414" t="str">
        <v>MOLINA CEVALLOS MARIA LORENA</v>
      </c>
      <c r="EV414" t="str">
        <v>MURILLO DELGADO ISAAC GABRIEL</v>
      </c>
      <c r="EW414" t="str">
        <v>ANGULO MURILLO NAVIRA GISSELA</v>
      </c>
      <c r="EX414" t="str">
        <v>OCHOA SOLEDISPA NESTOR IVAN</v>
      </c>
      <c r="EY414" t="str">
        <v>PARRAGA FRANCO SILVANA MARIELA</v>
      </c>
      <c r="EZ414" t="str">
        <v>PINARGOTE VASQUEZ NANCY FABIOLA</v>
      </c>
      <c r="FA414" t="str">
        <v>REYES VELEZ PEDRO ENRIQUE</v>
      </c>
      <c r="FB414" t="str">
        <v>SAN ANDRES HORMAZA DALLAS CECILIA</v>
      </c>
      <c r="FC414" t="str">
        <v>SORNOZA ZAMORA JUAN CARLOS</v>
      </c>
      <c r="FD414" t="str">
        <v>TOMALA PINTO JESUS JACINTO</v>
      </c>
      <c r="FE414" t="str">
        <v>VALLE JARAMILLO SILVIA ARACELY</v>
      </c>
      <c r="FF414" t="str">
        <v>VELÁSQUEZ BRAVO IRMA KATHERINE</v>
      </c>
      <c r="FG414" t="str">
        <v>VELEZ MENDOZA LAYSY VALERIA</v>
      </c>
      <c r="FH414" t="str">
        <v>VINUEZA TELLO SHIRLEY ELIZABETH</v>
      </c>
      <c r="FI414" t="str">
        <v>ZAMBRANO ALCIVAR NILDA ISABEL</v>
      </c>
      <c r="FJ414" t="str">
        <v>ZAMBRANO LOOR RITA MAYDA</v>
      </c>
      <c r="FK414" t="str">
        <v>ZAMBRANO VERA MONICA JANETH</v>
      </c>
      <c r="FL414" t="str">
        <v>VERA DELGADO BRYAN ADRIÁN</v>
      </c>
      <c r="FM414" t="str">
        <v>MORAN GONZALES DAVID RENATO</v>
      </c>
      <c r="FN414">
        <v>0</v>
      </c>
    </row>
    <row r="415" spans="1:170" ht="20.25" customHeight="1">
      <c r="A415" s="4" t="str" cm="1">
        <f t="array" ref="A415">TRANSPOSE(_xlfn.UNIQUE(_xlfn._xlws.FILTER(MAE_ASIGNATURA[ID_NIVEL],MAE_ASIGNATURA[ID_CARRERA]=ASIGNACION!$C415,"No existe información")))</f>
        <v>No existe información</v>
      </c>
      <c r="S415" s="4" t="str" cm="1">
        <f t="array" ref="S415">TRANSPOSE(_xlfn.UNIQUE(_xlfn._xlws.FILTER(MAE_ASIGNATURA[NOM_ASIG],(MAE_ASIGNATURA[ID_NIVEL]=ASIGNACION!$D415)*(MAE_ASIGNATURA[ID_CARRERA]=ASIGNACION!$C415),"No existe información")))</f>
        <v>No existe información</v>
      </c>
      <c r="BD415" s="4" t="str" cm="1">
        <f t="array" ref="BD415">TRANSPOSE(_xlfn.UNIQUE(_xlfn._xlws.FILTER(DET_ASIG[DETALLADO],(DET_ASIG[ID_CARRERA]=ASIGNACION!$C415)*(DET_ASIG[NIVEL]=ASIGNACION!$D415)*(DET_ASIG[ID_ASIG]=ASIGNACION!$G415),"No existe información")))</f>
        <v>No existe información</v>
      </c>
      <c r="BQ415" s="5" t="str" cm="1">
        <f t="array" ref="BQ415">IFERROR(
    TRANSPOSE(
        _xlfn.UNIQUE(
            _xlfn._xlws.FILTER(MAESTRIA_DETALLADO[MAESTRIA],
                ISNUMBER(MATCH(MAESTRIA_DETALLADO[CAMPO_DETALLADO],
                BD415:BP415,0))
            )
        )
    ),IF(BD415="ACTIVIDAD","DOCENCIA",""))</f>
        <v/>
      </c>
      <c r="EA415" s="5" t="str" cm="1">
        <f t="array" ref="EA415:FN415">IF(
    ASIGNACION!I415="SI",
    IFERROR(
        TRANSPOSE(
            _xlfn.UNIQUE(
                _xlfn._xlws.FILTER(EDU_DOCENTE[NOMBRE_DOCENTE],
                    ISNUMBER(MATCH(EDU_DOCENTE[MAESTRIA],
                    BQ415:DY415,0))
                )
            )
        ),
        ""
    ),
    TRANSPOSE(
        _xlfn.UNIQUE(EDU_DOCENTE[NOMBRE_DOCENTE]
        )
    )
)</f>
        <v>ALCIVAR CEDEÑO BEATRIZ ISABEL</v>
      </c>
      <c r="EB415" t="str">
        <v>ALCIVAR VERA GEMA MICHELLE</v>
      </c>
      <c r="EC415" t="str">
        <v>ARAUZ CHAVEZ MARIO ROBERTO</v>
      </c>
      <c r="ED415" t="str">
        <v>BAILON LOURIDO WALTER ALBERTO</v>
      </c>
      <c r="EE415" t="str">
        <v>CALDERERO VILLAGOMEZ ERICK ANTONIO</v>
      </c>
      <c r="EF415" t="str">
        <v>CASTILLO GARCIA PAOLA GERMANIA</v>
      </c>
      <c r="EG415" t="str">
        <v>CEDEÑO CHOEZ PEDRO JAVIER</v>
      </c>
      <c r="EH415" t="str">
        <v>CEVALLOS HOPPE JUAN CARLOS</v>
      </c>
      <c r="EI415" t="str">
        <v>DELGADO CHAVEZ MARIA IRASEMA</v>
      </c>
      <c r="EJ415" t="str">
        <v>DUARTE VALENCIA CRISTHIAN DARIO</v>
      </c>
      <c r="EK415" t="str">
        <v>FORTTY BARBERAN DENNY ALEXANDER</v>
      </c>
      <c r="EL415" t="str">
        <v>GUTIERREZ ZAMBRANO CARMEN EBELINA</v>
      </c>
      <c r="EM415" t="str">
        <v>INTRIAGO MOLINA GEMA VALERIA</v>
      </c>
      <c r="EN415" t="str">
        <v>LINO VELEZ LEONEL LIVINGTON</v>
      </c>
      <c r="EO415" t="str">
        <v>LOOR ALCIVAR MARIA ILIANA</v>
      </c>
      <c r="EP415" t="str">
        <v>LOOR MIELES TANIA JACQUELINE</v>
      </c>
      <c r="EQ415" t="str">
        <v>LOOR SOLORZANO ROSA MARIA</v>
      </c>
      <c r="ER415" t="str">
        <v>LOPEZ DELGADO RONALD MAURICIO</v>
      </c>
      <c r="ES415" t="str">
        <v>MACIAS VALENCIA DAVID GABRIEL</v>
      </c>
      <c r="ET415" t="str">
        <v>MENDOZA ZAMORA WALTER MANUEL</v>
      </c>
      <c r="EU415" t="str">
        <v>MOLINA CEVALLOS MARIA LORENA</v>
      </c>
      <c r="EV415" t="str">
        <v>MURILLO DELGADO ISAAC GABRIEL</v>
      </c>
      <c r="EW415" t="str">
        <v>ANGULO MURILLO NAVIRA GISSELA</v>
      </c>
      <c r="EX415" t="str">
        <v>OCHOA SOLEDISPA NESTOR IVAN</v>
      </c>
      <c r="EY415" t="str">
        <v>PARRAGA FRANCO SILVANA MARIELA</v>
      </c>
      <c r="EZ415" t="str">
        <v>PINARGOTE VASQUEZ NANCY FABIOLA</v>
      </c>
      <c r="FA415" t="str">
        <v>REYES VELEZ PEDRO ENRIQUE</v>
      </c>
      <c r="FB415" t="str">
        <v>SAN ANDRES HORMAZA DALLAS CECILIA</v>
      </c>
      <c r="FC415" t="str">
        <v>SORNOZA ZAMORA JUAN CARLOS</v>
      </c>
      <c r="FD415" t="str">
        <v>TOMALA PINTO JESUS JACINTO</v>
      </c>
      <c r="FE415" t="str">
        <v>VALLE JARAMILLO SILVIA ARACELY</v>
      </c>
      <c r="FF415" t="str">
        <v>VELÁSQUEZ BRAVO IRMA KATHERINE</v>
      </c>
      <c r="FG415" t="str">
        <v>VELEZ MENDOZA LAYSY VALERIA</v>
      </c>
      <c r="FH415" t="str">
        <v>VINUEZA TELLO SHIRLEY ELIZABETH</v>
      </c>
      <c r="FI415" t="str">
        <v>ZAMBRANO ALCIVAR NILDA ISABEL</v>
      </c>
      <c r="FJ415" t="str">
        <v>ZAMBRANO LOOR RITA MAYDA</v>
      </c>
      <c r="FK415" t="str">
        <v>ZAMBRANO VERA MONICA JANETH</v>
      </c>
      <c r="FL415" t="str">
        <v>VERA DELGADO BRYAN ADRIÁN</v>
      </c>
      <c r="FM415" t="str">
        <v>MORAN GONZALES DAVID RENATO</v>
      </c>
      <c r="FN415">
        <v>0</v>
      </c>
    </row>
    <row r="416" spans="1:170" ht="20.25" customHeight="1">
      <c r="A416" s="4" t="str" cm="1">
        <f t="array" ref="A416">TRANSPOSE(_xlfn.UNIQUE(_xlfn._xlws.FILTER(MAE_ASIGNATURA[ID_NIVEL],MAE_ASIGNATURA[ID_CARRERA]=ASIGNACION!$C416,"No existe información")))</f>
        <v>No existe información</v>
      </c>
      <c r="S416" s="4" t="str" cm="1">
        <f t="array" ref="S416">TRANSPOSE(_xlfn.UNIQUE(_xlfn._xlws.FILTER(MAE_ASIGNATURA[NOM_ASIG],(MAE_ASIGNATURA[ID_NIVEL]=ASIGNACION!$D416)*(MAE_ASIGNATURA[ID_CARRERA]=ASIGNACION!$C416),"No existe información")))</f>
        <v>No existe información</v>
      </c>
      <c r="BD416" s="4" t="str" cm="1">
        <f t="array" ref="BD416">TRANSPOSE(_xlfn.UNIQUE(_xlfn._xlws.FILTER(DET_ASIG[DETALLADO],(DET_ASIG[ID_CARRERA]=ASIGNACION!$C416)*(DET_ASIG[NIVEL]=ASIGNACION!$D416)*(DET_ASIG[ID_ASIG]=ASIGNACION!$G416),"No existe información")))</f>
        <v>No existe información</v>
      </c>
      <c r="BQ416" s="5" t="str" cm="1">
        <f t="array" ref="BQ416">IFERROR(
    TRANSPOSE(
        _xlfn.UNIQUE(
            _xlfn._xlws.FILTER(MAESTRIA_DETALLADO[MAESTRIA],
                ISNUMBER(MATCH(MAESTRIA_DETALLADO[CAMPO_DETALLADO],
                BD416:BP416,0))
            )
        )
    ),IF(BD416="ACTIVIDAD","DOCENCIA",""))</f>
        <v/>
      </c>
      <c r="EA416" s="5" t="str" cm="1">
        <f t="array" ref="EA416:FN416">IF(
    ASIGNACION!I416="SI",
    IFERROR(
        TRANSPOSE(
            _xlfn.UNIQUE(
                _xlfn._xlws.FILTER(EDU_DOCENTE[NOMBRE_DOCENTE],
                    ISNUMBER(MATCH(EDU_DOCENTE[MAESTRIA],
                    BQ416:DY416,0))
                )
            )
        ),
        ""
    ),
    TRANSPOSE(
        _xlfn.UNIQUE(EDU_DOCENTE[NOMBRE_DOCENTE]
        )
    )
)</f>
        <v>ALCIVAR CEDEÑO BEATRIZ ISABEL</v>
      </c>
      <c r="EB416" t="str">
        <v>ALCIVAR VERA GEMA MICHELLE</v>
      </c>
      <c r="EC416" t="str">
        <v>ARAUZ CHAVEZ MARIO ROBERTO</v>
      </c>
      <c r="ED416" t="str">
        <v>BAILON LOURIDO WALTER ALBERTO</v>
      </c>
      <c r="EE416" t="str">
        <v>CALDERERO VILLAGOMEZ ERICK ANTONIO</v>
      </c>
      <c r="EF416" t="str">
        <v>CASTILLO GARCIA PAOLA GERMANIA</v>
      </c>
      <c r="EG416" t="str">
        <v>CEDEÑO CHOEZ PEDRO JAVIER</v>
      </c>
      <c r="EH416" t="str">
        <v>CEVALLOS HOPPE JUAN CARLOS</v>
      </c>
      <c r="EI416" t="str">
        <v>DELGADO CHAVEZ MARIA IRASEMA</v>
      </c>
      <c r="EJ416" t="str">
        <v>DUARTE VALENCIA CRISTHIAN DARIO</v>
      </c>
      <c r="EK416" t="str">
        <v>FORTTY BARBERAN DENNY ALEXANDER</v>
      </c>
      <c r="EL416" t="str">
        <v>GUTIERREZ ZAMBRANO CARMEN EBELINA</v>
      </c>
      <c r="EM416" t="str">
        <v>INTRIAGO MOLINA GEMA VALERIA</v>
      </c>
      <c r="EN416" t="str">
        <v>LINO VELEZ LEONEL LIVINGTON</v>
      </c>
      <c r="EO416" t="str">
        <v>LOOR ALCIVAR MARIA ILIANA</v>
      </c>
      <c r="EP416" t="str">
        <v>LOOR MIELES TANIA JACQUELINE</v>
      </c>
      <c r="EQ416" t="str">
        <v>LOOR SOLORZANO ROSA MARIA</v>
      </c>
      <c r="ER416" t="str">
        <v>LOPEZ DELGADO RONALD MAURICIO</v>
      </c>
      <c r="ES416" t="str">
        <v>MACIAS VALENCIA DAVID GABRIEL</v>
      </c>
      <c r="ET416" t="str">
        <v>MENDOZA ZAMORA WALTER MANUEL</v>
      </c>
      <c r="EU416" t="str">
        <v>MOLINA CEVALLOS MARIA LORENA</v>
      </c>
      <c r="EV416" t="str">
        <v>MURILLO DELGADO ISAAC GABRIEL</v>
      </c>
      <c r="EW416" t="str">
        <v>ANGULO MURILLO NAVIRA GISSELA</v>
      </c>
      <c r="EX416" t="str">
        <v>OCHOA SOLEDISPA NESTOR IVAN</v>
      </c>
      <c r="EY416" t="str">
        <v>PARRAGA FRANCO SILVANA MARIELA</v>
      </c>
      <c r="EZ416" t="str">
        <v>PINARGOTE VASQUEZ NANCY FABIOLA</v>
      </c>
      <c r="FA416" t="str">
        <v>REYES VELEZ PEDRO ENRIQUE</v>
      </c>
      <c r="FB416" t="str">
        <v>SAN ANDRES HORMAZA DALLAS CECILIA</v>
      </c>
      <c r="FC416" t="str">
        <v>SORNOZA ZAMORA JUAN CARLOS</v>
      </c>
      <c r="FD416" t="str">
        <v>TOMALA PINTO JESUS JACINTO</v>
      </c>
      <c r="FE416" t="str">
        <v>VALLE JARAMILLO SILVIA ARACELY</v>
      </c>
      <c r="FF416" t="str">
        <v>VELÁSQUEZ BRAVO IRMA KATHERINE</v>
      </c>
      <c r="FG416" t="str">
        <v>VELEZ MENDOZA LAYSY VALERIA</v>
      </c>
      <c r="FH416" t="str">
        <v>VINUEZA TELLO SHIRLEY ELIZABETH</v>
      </c>
      <c r="FI416" t="str">
        <v>ZAMBRANO ALCIVAR NILDA ISABEL</v>
      </c>
      <c r="FJ416" t="str">
        <v>ZAMBRANO LOOR RITA MAYDA</v>
      </c>
      <c r="FK416" t="str">
        <v>ZAMBRANO VERA MONICA JANETH</v>
      </c>
      <c r="FL416" t="str">
        <v>VERA DELGADO BRYAN ADRIÁN</v>
      </c>
      <c r="FM416" t="str">
        <v>MORAN GONZALES DAVID RENATO</v>
      </c>
      <c r="FN416">
        <v>0</v>
      </c>
    </row>
    <row r="417" spans="1:170" ht="20.25" customHeight="1">
      <c r="A417" s="4" t="str" cm="1">
        <f t="array" ref="A417">TRANSPOSE(_xlfn.UNIQUE(_xlfn._xlws.FILTER(MAE_ASIGNATURA[ID_NIVEL],MAE_ASIGNATURA[ID_CARRERA]=ASIGNACION!$C417,"No existe información")))</f>
        <v>No existe información</v>
      </c>
      <c r="S417" s="4" t="str" cm="1">
        <f t="array" ref="S417">TRANSPOSE(_xlfn.UNIQUE(_xlfn._xlws.FILTER(MAE_ASIGNATURA[NOM_ASIG],(MAE_ASIGNATURA[ID_NIVEL]=ASIGNACION!$D417)*(MAE_ASIGNATURA[ID_CARRERA]=ASIGNACION!$C417),"No existe información")))</f>
        <v>No existe información</v>
      </c>
      <c r="BD417" s="4" t="str" cm="1">
        <f t="array" ref="BD417">TRANSPOSE(_xlfn.UNIQUE(_xlfn._xlws.FILTER(DET_ASIG[DETALLADO],(DET_ASIG[ID_CARRERA]=ASIGNACION!$C417)*(DET_ASIG[NIVEL]=ASIGNACION!$D417)*(DET_ASIG[ID_ASIG]=ASIGNACION!$G417),"No existe información")))</f>
        <v>No existe información</v>
      </c>
      <c r="BQ417" s="5" t="str" cm="1">
        <f t="array" ref="BQ417">IFERROR(
    TRANSPOSE(
        _xlfn.UNIQUE(
            _xlfn._xlws.FILTER(MAESTRIA_DETALLADO[MAESTRIA],
                ISNUMBER(MATCH(MAESTRIA_DETALLADO[CAMPO_DETALLADO],
                BD417:BP417,0))
            )
        )
    ),IF(BD417="ACTIVIDAD","DOCENCIA",""))</f>
        <v/>
      </c>
      <c r="EA417" s="5" t="str" cm="1">
        <f t="array" ref="EA417:FN417">IF(
    ASIGNACION!I417="SI",
    IFERROR(
        TRANSPOSE(
            _xlfn.UNIQUE(
                _xlfn._xlws.FILTER(EDU_DOCENTE[NOMBRE_DOCENTE],
                    ISNUMBER(MATCH(EDU_DOCENTE[MAESTRIA],
                    BQ417:DY417,0))
                )
            )
        ),
        ""
    ),
    TRANSPOSE(
        _xlfn.UNIQUE(EDU_DOCENTE[NOMBRE_DOCENTE]
        )
    )
)</f>
        <v>ALCIVAR CEDEÑO BEATRIZ ISABEL</v>
      </c>
      <c r="EB417" t="str">
        <v>ALCIVAR VERA GEMA MICHELLE</v>
      </c>
      <c r="EC417" t="str">
        <v>ARAUZ CHAVEZ MARIO ROBERTO</v>
      </c>
      <c r="ED417" t="str">
        <v>BAILON LOURIDO WALTER ALBERTO</v>
      </c>
      <c r="EE417" t="str">
        <v>CALDERERO VILLAGOMEZ ERICK ANTONIO</v>
      </c>
      <c r="EF417" t="str">
        <v>CASTILLO GARCIA PAOLA GERMANIA</v>
      </c>
      <c r="EG417" t="str">
        <v>CEDEÑO CHOEZ PEDRO JAVIER</v>
      </c>
      <c r="EH417" t="str">
        <v>CEVALLOS HOPPE JUAN CARLOS</v>
      </c>
      <c r="EI417" t="str">
        <v>DELGADO CHAVEZ MARIA IRASEMA</v>
      </c>
      <c r="EJ417" t="str">
        <v>DUARTE VALENCIA CRISTHIAN DARIO</v>
      </c>
      <c r="EK417" t="str">
        <v>FORTTY BARBERAN DENNY ALEXANDER</v>
      </c>
      <c r="EL417" t="str">
        <v>GUTIERREZ ZAMBRANO CARMEN EBELINA</v>
      </c>
      <c r="EM417" t="str">
        <v>INTRIAGO MOLINA GEMA VALERIA</v>
      </c>
      <c r="EN417" t="str">
        <v>LINO VELEZ LEONEL LIVINGTON</v>
      </c>
      <c r="EO417" t="str">
        <v>LOOR ALCIVAR MARIA ILIANA</v>
      </c>
      <c r="EP417" t="str">
        <v>LOOR MIELES TANIA JACQUELINE</v>
      </c>
      <c r="EQ417" t="str">
        <v>LOOR SOLORZANO ROSA MARIA</v>
      </c>
      <c r="ER417" t="str">
        <v>LOPEZ DELGADO RONALD MAURICIO</v>
      </c>
      <c r="ES417" t="str">
        <v>MACIAS VALENCIA DAVID GABRIEL</v>
      </c>
      <c r="ET417" t="str">
        <v>MENDOZA ZAMORA WALTER MANUEL</v>
      </c>
      <c r="EU417" t="str">
        <v>MOLINA CEVALLOS MARIA LORENA</v>
      </c>
      <c r="EV417" t="str">
        <v>MURILLO DELGADO ISAAC GABRIEL</v>
      </c>
      <c r="EW417" t="str">
        <v>ANGULO MURILLO NAVIRA GISSELA</v>
      </c>
      <c r="EX417" t="str">
        <v>OCHOA SOLEDISPA NESTOR IVAN</v>
      </c>
      <c r="EY417" t="str">
        <v>PARRAGA FRANCO SILVANA MARIELA</v>
      </c>
      <c r="EZ417" t="str">
        <v>PINARGOTE VASQUEZ NANCY FABIOLA</v>
      </c>
      <c r="FA417" t="str">
        <v>REYES VELEZ PEDRO ENRIQUE</v>
      </c>
      <c r="FB417" t="str">
        <v>SAN ANDRES HORMAZA DALLAS CECILIA</v>
      </c>
      <c r="FC417" t="str">
        <v>SORNOZA ZAMORA JUAN CARLOS</v>
      </c>
      <c r="FD417" t="str">
        <v>TOMALA PINTO JESUS JACINTO</v>
      </c>
      <c r="FE417" t="str">
        <v>VALLE JARAMILLO SILVIA ARACELY</v>
      </c>
      <c r="FF417" t="str">
        <v>VELÁSQUEZ BRAVO IRMA KATHERINE</v>
      </c>
      <c r="FG417" t="str">
        <v>VELEZ MENDOZA LAYSY VALERIA</v>
      </c>
      <c r="FH417" t="str">
        <v>VINUEZA TELLO SHIRLEY ELIZABETH</v>
      </c>
      <c r="FI417" t="str">
        <v>ZAMBRANO ALCIVAR NILDA ISABEL</v>
      </c>
      <c r="FJ417" t="str">
        <v>ZAMBRANO LOOR RITA MAYDA</v>
      </c>
      <c r="FK417" t="str">
        <v>ZAMBRANO VERA MONICA JANETH</v>
      </c>
      <c r="FL417" t="str">
        <v>VERA DELGADO BRYAN ADRIÁN</v>
      </c>
      <c r="FM417" t="str">
        <v>MORAN GONZALES DAVID RENATO</v>
      </c>
      <c r="FN417">
        <v>0</v>
      </c>
    </row>
    <row r="418" spans="1:170" ht="20.25" customHeight="1">
      <c r="A418" s="4" t="str" cm="1">
        <f t="array" ref="A418">TRANSPOSE(_xlfn.UNIQUE(_xlfn._xlws.FILTER(MAE_ASIGNATURA[ID_NIVEL],MAE_ASIGNATURA[ID_CARRERA]=ASIGNACION!$C418,"No existe información")))</f>
        <v>No existe información</v>
      </c>
      <c r="S418" s="4" t="str" cm="1">
        <f t="array" ref="S418">TRANSPOSE(_xlfn.UNIQUE(_xlfn._xlws.FILTER(MAE_ASIGNATURA[NOM_ASIG],(MAE_ASIGNATURA[ID_NIVEL]=ASIGNACION!$D418)*(MAE_ASIGNATURA[ID_CARRERA]=ASIGNACION!$C418),"No existe información")))</f>
        <v>No existe información</v>
      </c>
      <c r="BD418" s="4" t="str" cm="1">
        <f t="array" ref="BD418">TRANSPOSE(_xlfn.UNIQUE(_xlfn._xlws.FILTER(DET_ASIG[DETALLADO],(DET_ASIG[ID_CARRERA]=ASIGNACION!$C418)*(DET_ASIG[NIVEL]=ASIGNACION!$D418)*(DET_ASIG[ID_ASIG]=ASIGNACION!$G418),"No existe información")))</f>
        <v>No existe información</v>
      </c>
      <c r="BQ418" s="5" t="str" cm="1">
        <f t="array" ref="BQ418">IFERROR(
    TRANSPOSE(
        _xlfn.UNIQUE(
            _xlfn._xlws.FILTER(MAESTRIA_DETALLADO[MAESTRIA],
                ISNUMBER(MATCH(MAESTRIA_DETALLADO[CAMPO_DETALLADO],
                BD418:BP418,0))
            )
        )
    ),IF(BD418="ACTIVIDAD","DOCENCIA",""))</f>
        <v/>
      </c>
      <c r="EA418" s="5" t="str" cm="1">
        <f t="array" ref="EA418:FN418">IF(
    ASIGNACION!I418="SI",
    IFERROR(
        TRANSPOSE(
            _xlfn.UNIQUE(
                _xlfn._xlws.FILTER(EDU_DOCENTE[NOMBRE_DOCENTE],
                    ISNUMBER(MATCH(EDU_DOCENTE[MAESTRIA],
                    BQ418:DY418,0))
                )
            )
        ),
        ""
    ),
    TRANSPOSE(
        _xlfn.UNIQUE(EDU_DOCENTE[NOMBRE_DOCENTE]
        )
    )
)</f>
        <v>ALCIVAR CEDEÑO BEATRIZ ISABEL</v>
      </c>
      <c r="EB418" t="str">
        <v>ALCIVAR VERA GEMA MICHELLE</v>
      </c>
      <c r="EC418" t="str">
        <v>ARAUZ CHAVEZ MARIO ROBERTO</v>
      </c>
      <c r="ED418" t="str">
        <v>BAILON LOURIDO WALTER ALBERTO</v>
      </c>
      <c r="EE418" t="str">
        <v>CALDERERO VILLAGOMEZ ERICK ANTONIO</v>
      </c>
      <c r="EF418" t="str">
        <v>CASTILLO GARCIA PAOLA GERMANIA</v>
      </c>
      <c r="EG418" t="str">
        <v>CEDEÑO CHOEZ PEDRO JAVIER</v>
      </c>
      <c r="EH418" t="str">
        <v>CEVALLOS HOPPE JUAN CARLOS</v>
      </c>
      <c r="EI418" t="str">
        <v>DELGADO CHAVEZ MARIA IRASEMA</v>
      </c>
      <c r="EJ418" t="str">
        <v>DUARTE VALENCIA CRISTHIAN DARIO</v>
      </c>
      <c r="EK418" t="str">
        <v>FORTTY BARBERAN DENNY ALEXANDER</v>
      </c>
      <c r="EL418" t="str">
        <v>GUTIERREZ ZAMBRANO CARMEN EBELINA</v>
      </c>
      <c r="EM418" t="str">
        <v>INTRIAGO MOLINA GEMA VALERIA</v>
      </c>
      <c r="EN418" t="str">
        <v>LINO VELEZ LEONEL LIVINGTON</v>
      </c>
      <c r="EO418" t="str">
        <v>LOOR ALCIVAR MARIA ILIANA</v>
      </c>
      <c r="EP418" t="str">
        <v>LOOR MIELES TANIA JACQUELINE</v>
      </c>
      <c r="EQ418" t="str">
        <v>LOOR SOLORZANO ROSA MARIA</v>
      </c>
      <c r="ER418" t="str">
        <v>LOPEZ DELGADO RONALD MAURICIO</v>
      </c>
      <c r="ES418" t="str">
        <v>MACIAS VALENCIA DAVID GABRIEL</v>
      </c>
      <c r="ET418" t="str">
        <v>MENDOZA ZAMORA WALTER MANUEL</v>
      </c>
      <c r="EU418" t="str">
        <v>MOLINA CEVALLOS MARIA LORENA</v>
      </c>
      <c r="EV418" t="str">
        <v>MURILLO DELGADO ISAAC GABRIEL</v>
      </c>
      <c r="EW418" t="str">
        <v>ANGULO MURILLO NAVIRA GISSELA</v>
      </c>
      <c r="EX418" t="str">
        <v>OCHOA SOLEDISPA NESTOR IVAN</v>
      </c>
      <c r="EY418" t="str">
        <v>PARRAGA FRANCO SILVANA MARIELA</v>
      </c>
      <c r="EZ418" t="str">
        <v>PINARGOTE VASQUEZ NANCY FABIOLA</v>
      </c>
      <c r="FA418" t="str">
        <v>REYES VELEZ PEDRO ENRIQUE</v>
      </c>
      <c r="FB418" t="str">
        <v>SAN ANDRES HORMAZA DALLAS CECILIA</v>
      </c>
      <c r="FC418" t="str">
        <v>SORNOZA ZAMORA JUAN CARLOS</v>
      </c>
      <c r="FD418" t="str">
        <v>TOMALA PINTO JESUS JACINTO</v>
      </c>
      <c r="FE418" t="str">
        <v>VALLE JARAMILLO SILVIA ARACELY</v>
      </c>
      <c r="FF418" t="str">
        <v>VELÁSQUEZ BRAVO IRMA KATHERINE</v>
      </c>
      <c r="FG418" t="str">
        <v>VELEZ MENDOZA LAYSY VALERIA</v>
      </c>
      <c r="FH418" t="str">
        <v>VINUEZA TELLO SHIRLEY ELIZABETH</v>
      </c>
      <c r="FI418" t="str">
        <v>ZAMBRANO ALCIVAR NILDA ISABEL</v>
      </c>
      <c r="FJ418" t="str">
        <v>ZAMBRANO LOOR RITA MAYDA</v>
      </c>
      <c r="FK418" t="str">
        <v>ZAMBRANO VERA MONICA JANETH</v>
      </c>
      <c r="FL418" t="str">
        <v>VERA DELGADO BRYAN ADRIÁN</v>
      </c>
      <c r="FM418" t="str">
        <v>MORAN GONZALES DAVID RENATO</v>
      </c>
      <c r="FN418">
        <v>0</v>
      </c>
    </row>
    <row r="419" spans="1:170" ht="20.25" customHeight="1">
      <c r="A419" s="4" t="str" cm="1">
        <f t="array" ref="A419">TRANSPOSE(_xlfn.UNIQUE(_xlfn._xlws.FILTER(MAE_ASIGNATURA[ID_NIVEL],MAE_ASIGNATURA[ID_CARRERA]=ASIGNACION!$C419,"No existe información")))</f>
        <v>No existe información</v>
      </c>
      <c r="S419" s="4" t="str" cm="1">
        <f t="array" ref="S419">TRANSPOSE(_xlfn.UNIQUE(_xlfn._xlws.FILTER(MAE_ASIGNATURA[NOM_ASIG],(MAE_ASIGNATURA[ID_NIVEL]=ASIGNACION!$D419)*(MAE_ASIGNATURA[ID_CARRERA]=ASIGNACION!$C419),"No existe información")))</f>
        <v>No existe información</v>
      </c>
      <c r="BD419" s="4" t="str" cm="1">
        <f t="array" ref="BD419">TRANSPOSE(_xlfn.UNIQUE(_xlfn._xlws.FILTER(DET_ASIG[DETALLADO],(DET_ASIG[ID_CARRERA]=ASIGNACION!$C419)*(DET_ASIG[NIVEL]=ASIGNACION!$D419)*(DET_ASIG[ID_ASIG]=ASIGNACION!$G419),"No existe información")))</f>
        <v>No existe información</v>
      </c>
      <c r="BQ419" s="5" t="str" cm="1">
        <f t="array" ref="BQ419">IFERROR(
    TRANSPOSE(
        _xlfn.UNIQUE(
            _xlfn._xlws.FILTER(MAESTRIA_DETALLADO[MAESTRIA],
                ISNUMBER(MATCH(MAESTRIA_DETALLADO[CAMPO_DETALLADO],
                BD419:BP419,0))
            )
        )
    ),IF(BD419="ACTIVIDAD","DOCENCIA",""))</f>
        <v/>
      </c>
      <c r="EA419" s="5" t="str" cm="1">
        <f t="array" ref="EA419:FN419">IF(
    ASIGNACION!I419="SI",
    IFERROR(
        TRANSPOSE(
            _xlfn.UNIQUE(
                _xlfn._xlws.FILTER(EDU_DOCENTE[NOMBRE_DOCENTE],
                    ISNUMBER(MATCH(EDU_DOCENTE[MAESTRIA],
                    BQ419:DY419,0))
                )
            )
        ),
        ""
    ),
    TRANSPOSE(
        _xlfn.UNIQUE(EDU_DOCENTE[NOMBRE_DOCENTE]
        )
    )
)</f>
        <v>ALCIVAR CEDEÑO BEATRIZ ISABEL</v>
      </c>
      <c r="EB419" t="str">
        <v>ALCIVAR VERA GEMA MICHELLE</v>
      </c>
      <c r="EC419" t="str">
        <v>ARAUZ CHAVEZ MARIO ROBERTO</v>
      </c>
      <c r="ED419" t="str">
        <v>BAILON LOURIDO WALTER ALBERTO</v>
      </c>
      <c r="EE419" t="str">
        <v>CALDERERO VILLAGOMEZ ERICK ANTONIO</v>
      </c>
      <c r="EF419" t="str">
        <v>CASTILLO GARCIA PAOLA GERMANIA</v>
      </c>
      <c r="EG419" t="str">
        <v>CEDEÑO CHOEZ PEDRO JAVIER</v>
      </c>
      <c r="EH419" t="str">
        <v>CEVALLOS HOPPE JUAN CARLOS</v>
      </c>
      <c r="EI419" t="str">
        <v>DELGADO CHAVEZ MARIA IRASEMA</v>
      </c>
      <c r="EJ419" t="str">
        <v>DUARTE VALENCIA CRISTHIAN DARIO</v>
      </c>
      <c r="EK419" t="str">
        <v>FORTTY BARBERAN DENNY ALEXANDER</v>
      </c>
      <c r="EL419" t="str">
        <v>GUTIERREZ ZAMBRANO CARMEN EBELINA</v>
      </c>
      <c r="EM419" t="str">
        <v>INTRIAGO MOLINA GEMA VALERIA</v>
      </c>
      <c r="EN419" t="str">
        <v>LINO VELEZ LEONEL LIVINGTON</v>
      </c>
      <c r="EO419" t="str">
        <v>LOOR ALCIVAR MARIA ILIANA</v>
      </c>
      <c r="EP419" t="str">
        <v>LOOR MIELES TANIA JACQUELINE</v>
      </c>
      <c r="EQ419" t="str">
        <v>LOOR SOLORZANO ROSA MARIA</v>
      </c>
      <c r="ER419" t="str">
        <v>LOPEZ DELGADO RONALD MAURICIO</v>
      </c>
      <c r="ES419" t="str">
        <v>MACIAS VALENCIA DAVID GABRIEL</v>
      </c>
      <c r="ET419" t="str">
        <v>MENDOZA ZAMORA WALTER MANUEL</v>
      </c>
      <c r="EU419" t="str">
        <v>MOLINA CEVALLOS MARIA LORENA</v>
      </c>
      <c r="EV419" t="str">
        <v>MURILLO DELGADO ISAAC GABRIEL</v>
      </c>
      <c r="EW419" t="str">
        <v>ANGULO MURILLO NAVIRA GISSELA</v>
      </c>
      <c r="EX419" t="str">
        <v>OCHOA SOLEDISPA NESTOR IVAN</v>
      </c>
      <c r="EY419" t="str">
        <v>PARRAGA FRANCO SILVANA MARIELA</v>
      </c>
      <c r="EZ419" t="str">
        <v>PINARGOTE VASQUEZ NANCY FABIOLA</v>
      </c>
      <c r="FA419" t="str">
        <v>REYES VELEZ PEDRO ENRIQUE</v>
      </c>
      <c r="FB419" t="str">
        <v>SAN ANDRES HORMAZA DALLAS CECILIA</v>
      </c>
      <c r="FC419" t="str">
        <v>SORNOZA ZAMORA JUAN CARLOS</v>
      </c>
      <c r="FD419" t="str">
        <v>TOMALA PINTO JESUS JACINTO</v>
      </c>
      <c r="FE419" t="str">
        <v>VALLE JARAMILLO SILVIA ARACELY</v>
      </c>
      <c r="FF419" t="str">
        <v>VELÁSQUEZ BRAVO IRMA KATHERINE</v>
      </c>
      <c r="FG419" t="str">
        <v>VELEZ MENDOZA LAYSY VALERIA</v>
      </c>
      <c r="FH419" t="str">
        <v>VINUEZA TELLO SHIRLEY ELIZABETH</v>
      </c>
      <c r="FI419" t="str">
        <v>ZAMBRANO ALCIVAR NILDA ISABEL</v>
      </c>
      <c r="FJ419" t="str">
        <v>ZAMBRANO LOOR RITA MAYDA</v>
      </c>
      <c r="FK419" t="str">
        <v>ZAMBRANO VERA MONICA JANETH</v>
      </c>
      <c r="FL419" t="str">
        <v>VERA DELGADO BRYAN ADRIÁN</v>
      </c>
      <c r="FM419" t="str">
        <v>MORAN GONZALES DAVID RENATO</v>
      </c>
      <c r="FN419">
        <v>0</v>
      </c>
    </row>
    <row r="420" spans="1:170" ht="20.25" customHeight="1">
      <c r="A420" s="4" t="str" cm="1">
        <f t="array" ref="A420">TRANSPOSE(_xlfn.UNIQUE(_xlfn._xlws.FILTER(MAE_ASIGNATURA[ID_NIVEL],MAE_ASIGNATURA[ID_CARRERA]=ASIGNACION!$C420,"No existe información")))</f>
        <v>No existe información</v>
      </c>
      <c r="S420" s="4" t="str" cm="1">
        <f t="array" ref="S420">TRANSPOSE(_xlfn.UNIQUE(_xlfn._xlws.FILTER(MAE_ASIGNATURA[NOM_ASIG],(MAE_ASIGNATURA[ID_NIVEL]=ASIGNACION!$D420)*(MAE_ASIGNATURA[ID_CARRERA]=ASIGNACION!$C420),"No existe información")))</f>
        <v>No existe información</v>
      </c>
      <c r="BD420" s="4" t="str" cm="1">
        <f t="array" ref="BD420">TRANSPOSE(_xlfn.UNIQUE(_xlfn._xlws.FILTER(DET_ASIG[DETALLADO],(DET_ASIG[ID_CARRERA]=ASIGNACION!$C420)*(DET_ASIG[NIVEL]=ASIGNACION!$D420)*(DET_ASIG[ID_ASIG]=ASIGNACION!$G420),"No existe información")))</f>
        <v>No existe información</v>
      </c>
      <c r="BQ420" s="5" t="str" cm="1">
        <f t="array" ref="BQ420">IFERROR(
    TRANSPOSE(
        _xlfn.UNIQUE(
            _xlfn._xlws.FILTER(MAESTRIA_DETALLADO[MAESTRIA],
                ISNUMBER(MATCH(MAESTRIA_DETALLADO[CAMPO_DETALLADO],
                BD420:BP420,0))
            )
        )
    ),IF(BD420="ACTIVIDAD","DOCENCIA",""))</f>
        <v/>
      </c>
      <c r="EA420" s="5" t="str" cm="1">
        <f t="array" ref="EA420:FN420">IF(
    ASIGNACION!I420="SI",
    IFERROR(
        TRANSPOSE(
            _xlfn.UNIQUE(
                _xlfn._xlws.FILTER(EDU_DOCENTE[NOMBRE_DOCENTE],
                    ISNUMBER(MATCH(EDU_DOCENTE[MAESTRIA],
                    BQ420:DY420,0))
                )
            )
        ),
        ""
    ),
    TRANSPOSE(
        _xlfn.UNIQUE(EDU_DOCENTE[NOMBRE_DOCENTE]
        )
    )
)</f>
        <v>ALCIVAR CEDEÑO BEATRIZ ISABEL</v>
      </c>
      <c r="EB420" t="str">
        <v>ALCIVAR VERA GEMA MICHELLE</v>
      </c>
      <c r="EC420" t="str">
        <v>ARAUZ CHAVEZ MARIO ROBERTO</v>
      </c>
      <c r="ED420" t="str">
        <v>BAILON LOURIDO WALTER ALBERTO</v>
      </c>
      <c r="EE420" t="str">
        <v>CALDERERO VILLAGOMEZ ERICK ANTONIO</v>
      </c>
      <c r="EF420" t="str">
        <v>CASTILLO GARCIA PAOLA GERMANIA</v>
      </c>
      <c r="EG420" t="str">
        <v>CEDEÑO CHOEZ PEDRO JAVIER</v>
      </c>
      <c r="EH420" t="str">
        <v>CEVALLOS HOPPE JUAN CARLOS</v>
      </c>
      <c r="EI420" t="str">
        <v>DELGADO CHAVEZ MARIA IRASEMA</v>
      </c>
      <c r="EJ420" t="str">
        <v>DUARTE VALENCIA CRISTHIAN DARIO</v>
      </c>
      <c r="EK420" t="str">
        <v>FORTTY BARBERAN DENNY ALEXANDER</v>
      </c>
      <c r="EL420" t="str">
        <v>GUTIERREZ ZAMBRANO CARMEN EBELINA</v>
      </c>
      <c r="EM420" t="str">
        <v>INTRIAGO MOLINA GEMA VALERIA</v>
      </c>
      <c r="EN420" t="str">
        <v>LINO VELEZ LEONEL LIVINGTON</v>
      </c>
      <c r="EO420" t="str">
        <v>LOOR ALCIVAR MARIA ILIANA</v>
      </c>
      <c r="EP420" t="str">
        <v>LOOR MIELES TANIA JACQUELINE</v>
      </c>
      <c r="EQ420" t="str">
        <v>LOOR SOLORZANO ROSA MARIA</v>
      </c>
      <c r="ER420" t="str">
        <v>LOPEZ DELGADO RONALD MAURICIO</v>
      </c>
      <c r="ES420" t="str">
        <v>MACIAS VALENCIA DAVID GABRIEL</v>
      </c>
      <c r="ET420" t="str">
        <v>MENDOZA ZAMORA WALTER MANUEL</v>
      </c>
      <c r="EU420" t="str">
        <v>MOLINA CEVALLOS MARIA LORENA</v>
      </c>
      <c r="EV420" t="str">
        <v>MURILLO DELGADO ISAAC GABRIEL</v>
      </c>
      <c r="EW420" t="str">
        <v>ANGULO MURILLO NAVIRA GISSELA</v>
      </c>
      <c r="EX420" t="str">
        <v>OCHOA SOLEDISPA NESTOR IVAN</v>
      </c>
      <c r="EY420" t="str">
        <v>PARRAGA FRANCO SILVANA MARIELA</v>
      </c>
      <c r="EZ420" t="str">
        <v>PINARGOTE VASQUEZ NANCY FABIOLA</v>
      </c>
      <c r="FA420" t="str">
        <v>REYES VELEZ PEDRO ENRIQUE</v>
      </c>
      <c r="FB420" t="str">
        <v>SAN ANDRES HORMAZA DALLAS CECILIA</v>
      </c>
      <c r="FC420" t="str">
        <v>SORNOZA ZAMORA JUAN CARLOS</v>
      </c>
      <c r="FD420" t="str">
        <v>TOMALA PINTO JESUS JACINTO</v>
      </c>
      <c r="FE420" t="str">
        <v>VALLE JARAMILLO SILVIA ARACELY</v>
      </c>
      <c r="FF420" t="str">
        <v>VELÁSQUEZ BRAVO IRMA KATHERINE</v>
      </c>
      <c r="FG420" t="str">
        <v>VELEZ MENDOZA LAYSY VALERIA</v>
      </c>
      <c r="FH420" t="str">
        <v>VINUEZA TELLO SHIRLEY ELIZABETH</v>
      </c>
      <c r="FI420" t="str">
        <v>ZAMBRANO ALCIVAR NILDA ISABEL</v>
      </c>
      <c r="FJ420" t="str">
        <v>ZAMBRANO LOOR RITA MAYDA</v>
      </c>
      <c r="FK420" t="str">
        <v>ZAMBRANO VERA MONICA JANETH</v>
      </c>
      <c r="FL420" t="str">
        <v>VERA DELGADO BRYAN ADRIÁN</v>
      </c>
      <c r="FM420" t="str">
        <v>MORAN GONZALES DAVID RENATO</v>
      </c>
      <c r="FN420">
        <v>0</v>
      </c>
    </row>
    <row r="421" spans="1:170" ht="20.25" customHeight="1">
      <c r="A421" s="4" t="str" cm="1">
        <f t="array" ref="A421">TRANSPOSE(_xlfn.UNIQUE(_xlfn._xlws.FILTER(MAE_ASIGNATURA[ID_NIVEL],MAE_ASIGNATURA[ID_CARRERA]=ASIGNACION!$C421,"No existe información")))</f>
        <v>No existe información</v>
      </c>
      <c r="S421" s="4" t="str" cm="1">
        <f t="array" ref="S421">TRANSPOSE(_xlfn.UNIQUE(_xlfn._xlws.FILTER(MAE_ASIGNATURA[NOM_ASIG],(MAE_ASIGNATURA[ID_NIVEL]=ASIGNACION!$D421)*(MAE_ASIGNATURA[ID_CARRERA]=ASIGNACION!$C421),"No existe información")))</f>
        <v>No existe información</v>
      </c>
      <c r="BD421" s="4" t="str" cm="1">
        <f t="array" ref="BD421">TRANSPOSE(_xlfn.UNIQUE(_xlfn._xlws.FILTER(DET_ASIG[DETALLADO],(DET_ASIG[ID_CARRERA]=ASIGNACION!$C421)*(DET_ASIG[NIVEL]=ASIGNACION!$D421)*(DET_ASIG[ID_ASIG]=ASIGNACION!$G421),"No existe información")))</f>
        <v>No existe información</v>
      </c>
      <c r="BQ421" s="5" t="str" cm="1">
        <f t="array" ref="BQ421">IFERROR(
    TRANSPOSE(
        _xlfn.UNIQUE(
            _xlfn._xlws.FILTER(MAESTRIA_DETALLADO[MAESTRIA],
                ISNUMBER(MATCH(MAESTRIA_DETALLADO[CAMPO_DETALLADO],
                BD421:BP421,0))
            )
        )
    ),IF(BD421="ACTIVIDAD","DOCENCIA",""))</f>
        <v/>
      </c>
      <c r="EA421" s="5" t="str" cm="1">
        <f t="array" ref="EA421:FN421">IF(
    ASIGNACION!I421="SI",
    IFERROR(
        TRANSPOSE(
            _xlfn.UNIQUE(
                _xlfn._xlws.FILTER(EDU_DOCENTE[NOMBRE_DOCENTE],
                    ISNUMBER(MATCH(EDU_DOCENTE[MAESTRIA],
                    BQ421:DY421,0))
                )
            )
        ),
        ""
    ),
    TRANSPOSE(
        _xlfn.UNIQUE(EDU_DOCENTE[NOMBRE_DOCENTE]
        )
    )
)</f>
        <v>ALCIVAR CEDEÑO BEATRIZ ISABEL</v>
      </c>
      <c r="EB421" t="str">
        <v>ALCIVAR VERA GEMA MICHELLE</v>
      </c>
      <c r="EC421" t="str">
        <v>ARAUZ CHAVEZ MARIO ROBERTO</v>
      </c>
      <c r="ED421" t="str">
        <v>BAILON LOURIDO WALTER ALBERTO</v>
      </c>
      <c r="EE421" t="str">
        <v>CALDERERO VILLAGOMEZ ERICK ANTONIO</v>
      </c>
      <c r="EF421" t="str">
        <v>CASTILLO GARCIA PAOLA GERMANIA</v>
      </c>
      <c r="EG421" t="str">
        <v>CEDEÑO CHOEZ PEDRO JAVIER</v>
      </c>
      <c r="EH421" t="str">
        <v>CEVALLOS HOPPE JUAN CARLOS</v>
      </c>
      <c r="EI421" t="str">
        <v>DELGADO CHAVEZ MARIA IRASEMA</v>
      </c>
      <c r="EJ421" t="str">
        <v>DUARTE VALENCIA CRISTHIAN DARIO</v>
      </c>
      <c r="EK421" t="str">
        <v>FORTTY BARBERAN DENNY ALEXANDER</v>
      </c>
      <c r="EL421" t="str">
        <v>GUTIERREZ ZAMBRANO CARMEN EBELINA</v>
      </c>
      <c r="EM421" t="str">
        <v>INTRIAGO MOLINA GEMA VALERIA</v>
      </c>
      <c r="EN421" t="str">
        <v>LINO VELEZ LEONEL LIVINGTON</v>
      </c>
      <c r="EO421" t="str">
        <v>LOOR ALCIVAR MARIA ILIANA</v>
      </c>
      <c r="EP421" t="str">
        <v>LOOR MIELES TANIA JACQUELINE</v>
      </c>
      <c r="EQ421" t="str">
        <v>LOOR SOLORZANO ROSA MARIA</v>
      </c>
      <c r="ER421" t="str">
        <v>LOPEZ DELGADO RONALD MAURICIO</v>
      </c>
      <c r="ES421" t="str">
        <v>MACIAS VALENCIA DAVID GABRIEL</v>
      </c>
      <c r="ET421" t="str">
        <v>MENDOZA ZAMORA WALTER MANUEL</v>
      </c>
      <c r="EU421" t="str">
        <v>MOLINA CEVALLOS MARIA LORENA</v>
      </c>
      <c r="EV421" t="str">
        <v>MURILLO DELGADO ISAAC GABRIEL</v>
      </c>
      <c r="EW421" t="str">
        <v>ANGULO MURILLO NAVIRA GISSELA</v>
      </c>
      <c r="EX421" t="str">
        <v>OCHOA SOLEDISPA NESTOR IVAN</v>
      </c>
      <c r="EY421" t="str">
        <v>PARRAGA FRANCO SILVANA MARIELA</v>
      </c>
      <c r="EZ421" t="str">
        <v>PINARGOTE VASQUEZ NANCY FABIOLA</v>
      </c>
      <c r="FA421" t="str">
        <v>REYES VELEZ PEDRO ENRIQUE</v>
      </c>
      <c r="FB421" t="str">
        <v>SAN ANDRES HORMAZA DALLAS CECILIA</v>
      </c>
      <c r="FC421" t="str">
        <v>SORNOZA ZAMORA JUAN CARLOS</v>
      </c>
      <c r="FD421" t="str">
        <v>TOMALA PINTO JESUS JACINTO</v>
      </c>
      <c r="FE421" t="str">
        <v>VALLE JARAMILLO SILVIA ARACELY</v>
      </c>
      <c r="FF421" t="str">
        <v>VELÁSQUEZ BRAVO IRMA KATHERINE</v>
      </c>
      <c r="FG421" t="str">
        <v>VELEZ MENDOZA LAYSY VALERIA</v>
      </c>
      <c r="FH421" t="str">
        <v>VINUEZA TELLO SHIRLEY ELIZABETH</v>
      </c>
      <c r="FI421" t="str">
        <v>ZAMBRANO ALCIVAR NILDA ISABEL</v>
      </c>
      <c r="FJ421" t="str">
        <v>ZAMBRANO LOOR RITA MAYDA</v>
      </c>
      <c r="FK421" t="str">
        <v>ZAMBRANO VERA MONICA JANETH</v>
      </c>
      <c r="FL421" t="str">
        <v>VERA DELGADO BRYAN ADRIÁN</v>
      </c>
      <c r="FM421" t="str">
        <v>MORAN GONZALES DAVID RENATO</v>
      </c>
      <c r="FN421">
        <v>0</v>
      </c>
    </row>
    <row r="422" spans="1:170" ht="20.25" customHeight="1">
      <c r="A422" s="4" t="str" cm="1">
        <f t="array" ref="A422">TRANSPOSE(_xlfn.UNIQUE(_xlfn._xlws.FILTER(MAE_ASIGNATURA[ID_NIVEL],MAE_ASIGNATURA[ID_CARRERA]=ASIGNACION!$C422,"No existe información")))</f>
        <v>No existe información</v>
      </c>
      <c r="S422" s="4" t="str" cm="1">
        <f t="array" ref="S422">TRANSPOSE(_xlfn.UNIQUE(_xlfn._xlws.FILTER(MAE_ASIGNATURA[NOM_ASIG],(MAE_ASIGNATURA[ID_NIVEL]=ASIGNACION!$D422)*(MAE_ASIGNATURA[ID_CARRERA]=ASIGNACION!$C422),"No existe información")))</f>
        <v>No existe información</v>
      </c>
      <c r="BD422" s="4" t="str" cm="1">
        <f t="array" ref="BD422">TRANSPOSE(_xlfn.UNIQUE(_xlfn._xlws.FILTER(DET_ASIG[DETALLADO],(DET_ASIG[ID_CARRERA]=ASIGNACION!$C422)*(DET_ASIG[NIVEL]=ASIGNACION!$D422)*(DET_ASIG[ID_ASIG]=ASIGNACION!$G422),"No existe información")))</f>
        <v>No existe información</v>
      </c>
      <c r="BQ422" s="5" t="str" cm="1">
        <f t="array" ref="BQ422">IFERROR(
    TRANSPOSE(
        _xlfn.UNIQUE(
            _xlfn._xlws.FILTER(MAESTRIA_DETALLADO[MAESTRIA],
                ISNUMBER(MATCH(MAESTRIA_DETALLADO[CAMPO_DETALLADO],
                BD422:BP422,0))
            )
        )
    ),IF(BD422="ACTIVIDAD","DOCENCIA",""))</f>
        <v/>
      </c>
      <c r="EA422" s="5" t="str" cm="1">
        <f t="array" ref="EA422:FN422">IF(
    ASIGNACION!I422="SI",
    IFERROR(
        TRANSPOSE(
            _xlfn.UNIQUE(
                _xlfn._xlws.FILTER(EDU_DOCENTE[NOMBRE_DOCENTE],
                    ISNUMBER(MATCH(EDU_DOCENTE[MAESTRIA],
                    BQ422:DY422,0))
                )
            )
        ),
        ""
    ),
    TRANSPOSE(
        _xlfn.UNIQUE(EDU_DOCENTE[NOMBRE_DOCENTE]
        )
    )
)</f>
        <v>ALCIVAR CEDEÑO BEATRIZ ISABEL</v>
      </c>
      <c r="EB422" t="str">
        <v>ALCIVAR VERA GEMA MICHELLE</v>
      </c>
      <c r="EC422" t="str">
        <v>ARAUZ CHAVEZ MARIO ROBERTO</v>
      </c>
      <c r="ED422" t="str">
        <v>BAILON LOURIDO WALTER ALBERTO</v>
      </c>
      <c r="EE422" t="str">
        <v>CALDERERO VILLAGOMEZ ERICK ANTONIO</v>
      </c>
      <c r="EF422" t="str">
        <v>CASTILLO GARCIA PAOLA GERMANIA</v>
      </c>
      <c r="EG422" t="str">
        <v>CEDEÑO CHOEZ PEDRO JAVIER</v>
      </c>
      <c r="EH422" t="str">
        <v>CEVALLOS HOPPE JUAN CARLOS</v>
      </c>
      <c r="EI422" t="str">
        <v>DELGADO CHAVEZ MARIA IRASEMA</v>
      </c>
      <c r="EJ422" t="str">
        <v>DUARTE VALENCIA CRISTHIAN DARIO</v>
      </c>
      <c r="EK422" t="str">
        <v>FORTTY BARBERAN DENNY ALEXANDER</v>
      </c>
      <c r="EL422" t="str">
        <v>GUTIERREZ ZAMBRANO CARMEN EBELINA</v>
      </c>
      <c r="EM422" t="str">
        <v>INTRIAGO MOLINA GEMA VALERIA</v>
      </c>
      <c r="EN422" t="str">
        <v>LINO VELEZ LEONEL LIVINGTON</v>
      </c>
      <c r="EO422" t="str">
        <v>LOOR ALCIVAR MARIA ILIANA</v>
      </c>
      <c r="EP422" t="str">
        <v>LOOR MIELES TANIA JACQUELINE</v>
      </c>
      <c r="EQ422" t="str">
        <v>LOOR SOLORZANO ROSA MARIA</v>
      </c>
      <c r="ER422" t="str">
        <v>LOPEZ DELGADO RONALD MAURICIO</v>
      </c>
      <c r="ES422" t="str">
        <v>MACIAS VALENCIA DAVID GABRIEL</v>
      </c>
      <c r="ET422" t="str">
        <v>MENDOZA ZAMORA WALTER MANUEL</v>
      </c>
      <c r="EU422" t="str">
        <v>MOLINA CEVALLOS MARIA LORENA</v>
      </c>
      <c r="EV422" t="str">
        <v>MURILLO DELGADO ISAAC GABRIEL</v>
      </c>
      <c r="EW422" t="str">
        <v>ANGULO MURILLO NAVIRA GISSELA</v>
      </c>
      <c r="EX422" t="str">
        <v>OCHOA SOLEDISPA NESTOR IVAN</v>
      </c>
      <c r="EY422" t="str">
        <v>PARRAGA FRANCO SILVANA MARIELA</v>
      </c>
      <c r="EZ422" t="str">
        <v>PINARGOTE VASQUEZ NANCY FABIOLA</v>
      </c>
      <c r="FA422" t="str">
        <v>REYES VELEZ PEDRO ENRIQUE</v>
      </c>
      <c r="FB422" t="str">
        <v>SAN ANDRES HORMAZA DALLAS CECILIA</v>
      </c>
      <c r="FC422" t="str">
        <v>SORNOZA ZAMORA JUAN CARLOS</v>
      </c>
      <c r="FD422" t="str">
        <v>TOMALA PINTO JESUS JACINTO</v>
      </c>
      <c r="FE422" t="str">
        <v>VALLE JARAMILLO SILVIA ARACELY</v>
      </c>
      <c r="FF422" t="str">
        <v>VELÁSQUEZ BRAVO IRMA KATHERINE</v>
      </c>
      <c r="FG422" t="str">
        <v>VELEZ MENDOZA LAYSY VALERIA</v>
      </c>
      <c r="FH422" t="str">
        <v>VINUEZA TELLO SHIRLEY ELIZABETH</v>
      </c>
      <c r="FI422" t="str">
        <v>ZAMBRANO ALCIVAR NILDA ISABEL</v>
      </c>
      <c r="FJ422" t="str">
        <v>ZAMBRANO LOOR RITA MAYDA</v>
      </c>
      <c r="FK422" t="str">
        <v>ZAMBRANO VERA MONICA JANETH</v>
      </c>
      <c r="FL422" t="str">
        <v>VERA DELGADO BRYAN ADRIÁN</v>
      </c>
      <c r="FM422" t="str">
        <v>MORAN GONZALES DAVID RENATO</v>
      </c>
      <c r="FN422">
        <v>0</v>
      </c>
    </row>
    <row r="423" spans="1:170" ht="20.25" customHeight="1">
      <c r="A423" s="4" t="str" cm="1">
        <f t="array" ref="A423">TRANSPOSE(_xlfn.UNIQUE(_xlfn._xlws.FILTER(MAE_ASIGNATURA[ID_NIVEL],MAE_ASIGNATURA[ID_CARRERA]=ASIGNACION!$C423,"No existe información")))</f>
        <v>No existe información</v>
      </c>
      <c r="S423" s="4" t="str" cm="1">
        <f t="array" ref="S423">TRANSPOSE(_xlfn.UNIQUE(_xlfn._xlws.FILTER(MAE_ASIGNATURA[NOM_ASIG],(MAE_ASIGNATURA[ID_NIVEL]=ASIGNACION!$D423)*(MAE_ASIGNATURA[ID_CARRERA]=ASIGNACION!$C423),"No existe información")))</f>
        <v>No existe información</v>
      </c>
      <c r="BD423" s="4" t="str" cm="1">
        <f t="array" ref="BD423">TRANSPOSE(_xlfn.UNIQUE(_xlfn._xlws.FILTER(DET_ASIG[DETALLADO],(DET_ASIG[ID_CARRERA]=ASIGNACION!$C423)*(DET_ASIG[NIVEL]=ASIGNACION!$D423)*(DET_ASIG[ID_ASIG]=ASIGNACION!$G423),"No existe información")))</f>
        <v>No existe información</v>
      </c>
      <c r="BQ423" s="5" t="str" cm="1">
        <f t="array" ref="BQ423">IFERROR(
    TRANSPOSE(
        _xlfn.UNIQUE(
            _xlfn._xlws.FILTER(MAESTRIA_DETALLADO[MAESTRIA],
                ISNUMBER(MATCH(MAESTRIA_DETALLADO[CAMPO_DETALLADO],
                BD423:BP423,0))
            )
        )
    ),IF(BD423="ACTIVIDAD","DOCENCIA",""))</f>
        <v/>
      </c>
      <c r="EA423" s="5" t="str" cm="1">
        <f t="array" ref="EA423:FN423">IF(
    ASIGNACION!I423="SI",
    IFERROR(
        TRANSPOSE(
            _xlfn.UNIQUE(
                _xlfn._xlws.FILTER(EDU_DOCENTE[NOMBRE_DOCENTE],
                    ISNUMBER(MATCH(EDU_DOCENTE[MAESTRIA],
                    BQ423:DY423,0))
                )
            )
        ),
        ""
    ),
    TRANSPOSE(
        _xlfn.UNIQUE(EDU_DOCENTE[NOMBRE_DOCENTE]
        )
    )
)</f>
        <v>ALCIVAR CEDEÑO BEATRIZ ISABEL</v>
      </c>
      <c r="EB423" t="str">
        <v>ALCIVAR VERA GEMA MICHELLE</v>
      </c>
      <c r="EC423" t="str">
        <v>ARAUZ CHAVEZ MARIO ROBERTO</v>
      </c>
      <c r="ED423" t="str">
        <v>BAILON LOURIDO WALTER ALBERTO</v>
      </c>
      <c r="EE423" t="str">
        <v>CALDERERO VILLAGOMEZ ERICK ANTONIO</v>
      </c>
      <c r="EF423" t="str">
        <v>CASTILLO GARCIA PAOLA GERMANIA</v>
      </c>
      <c r="EG423" t="str">
        <v>CEDEÑO CHOEZ PEDRO JAVIER</v>
      </c>
      <c r="EH423" t="str">
        <v>CEVALLOS HOPPE JUAN CARLOS</v>
      </c>
      <c r="EI423" t="str">
        <v>DELGADO CHAVEZ MARIA IRASEMA</v>
      </c>
      <c r="EJ423" t="str">
        <v>DUARTE VALENCIA CRISTHIAN DARIO</v>
      </c>
      <c r="EK423" t="str">
        <v>FORTTY BARBERAN DENNY ALEXANDER</v>
      </c>
      <c r="EL423" t="str">
        <v>GUTIERREZ ZAMBRANO CARMEN EBELINA</v>
      </c>
      <c r="EM423" t="str">
        <v>INTRIAGO MOLINA GEMA VALERIA</v>
      </c>
      <c r="EN423" t="str">
        <v>LINO VELEZ LEONEL LIVINGTON</v>
      </c>
      <c r="EO423" t="str">
        <v>LOOR ALCIVAR MARIA ILIANA</v>
      </c>
      <c r="EP423" t="str">
        <v>LOOR MIELES TANIA JACQUELINE</v>
      </c>
      <c r="EQ423" t="str">
        <v>LOOR SOLORZANO ROSA MARIA</v>
      </c>
      <c r="ER423" t="str">
        <v>LOPEZ DELGADO RONALD MAURICIO</v>
      </c>
      <c r="ES423" t="str">
        <v>MACIAS VALENCIA DAVID GABRIEL</v>
      </c>
      <c r="ET423" t="str">
        <v>MENDOZA ZAMORA WALTER MANUEL</v>
      </c>
      <c r="EU423" t="str">
        <v>MOLINA CEVALLOS MARIA LORENA</v>
      </c>
      <c r="EV423" t="str">
        <v>MURILLO DELGADO ISAAC GABRIEL</v>
      </c>
      <c r="EW423" t="str">
        <v>ANGULO MURILLO NAVIRA GISSELA</v>
      </c>
      <c r="EX423" t="str">
        <v>OCHOA SOLEDISPA NESTOR IVAN</v>
      </c>
      <c r="EY423" t="str">
        <v>PARRAGA FRANCO SILVANA MARIELA</v>
      </c>
      <c r="EZ423" t="str">
        <v>PINARGOTE VASQUEZ NANCY FABIOLA</v>
      </c>
      <c r="FA423" t="str">
        <v>REYES VELEZ PEDRO ENRIQUE</v>
      </c>
      <c r="FB423" t="str">
        <v>SAN ANDRES HORMAZA DALLAS CECILIA</v>
      </c>
      <c r="FC423" t="str">
        <v>SORNOZA ZAMORA JUAN CARLOS</v>
      </c>
      <c r="FD423" t="str">
        <v>TOMALA PINTO JESUS JACINTO</v>
      </c>
      <c r="FE423" t="str">
        <v>VALLE JARAMILLO SILVIA ARACELY</v>
      </c>
      <c r="FF423" t="str">
        <v>VELÁSQUEZ BRAVO IRMA KATHERINE</v>
      </c>
      <c r="FG423" t="str">
        <v>VELEZ MENDOZA LAYSY VALERIA</v>
      </c>
      <c r="FH423" t="str">
        <v>VINUEZA TELLO SHIRLEY ELIZABETH</v>
      </c>
      <c r="FI423" t="str">
        <v>ZAMBRANO ALCIVAR NILDA ISABEL</v>
      </c>
      <c r="FJ423" t="str">
        <v>ZAMBRANO LOOR RITA MAYDA</v>
      </c>
      <c r="FK423" t="str">
        <v>ZAMBRANO VERA MONICA JANETH</v>
      </c>
      <c r="FL423" t="str">
        <v>VERA DELGADO BRYAN ADRIÁN</v>
      </c>
      <c r="FM423" t="str">
        <v>MORAN GONZALES DAVID RENATO</v>
      </c>
      <c r="FN423">
        <v>0</v>
      </c>
    </row>
    <row r="424" spans="1:170" ht="20.25" customHeight="1">
      <c r="A424" s="4" t="str" cm="1">
        <f t="array" ref="A424">TRANSPOSE(_xlfn.UNIQUE(_xlfn._xlws.FILTER(MAE_ASIGNATURA[ID_NIVEL],MAE_ASIGNATURA[ID_CARRERA]=ASIGNACION!$C424,"No existe información")))</f>
        <v>No existe información</v>
      </c>
      <c r="S424" s="4" t="str" cm="1">
        <f t="array" ref="S424">TRANSPOSE(_xlfn.UNIQUE(_xlfn._xlws.FILTER(MAE_ASIGNATURA[NOM_ASIG],(MAE_ASIGNATURA[ID_NIVEL]=ASIGNACION!$D424)*(MAE_ASIGNATURA[ID_CARRERA]=ASIGNACION!$C424),"No existe información")))</f>
        <v>No existe información</v>
      </c>
      <c r="BD424" s="4" t="str" cm="1">
        <f t="array" ref="BD424">TRANSPOSE(_xlfn.UNIQUE(_xlfn._xlws.FILTER(DET_ASIG[DETALLADO],(DET_ASIG[ID_CARRERA]=ASIGNACION!$C424)*(DET_ASIG[NIVEL]=ASIGNACION!$D424)*(DET_ASIG[ID_ASIG]=ASIGNACION!$G424),"No existe información")))</f>
        <v>No existe información</v>
      </c>
      <c r="BQ424" s="5" t="str" cm="1">
        <f t="array" ref="BQ424">IFERROR(
    TRANSPOSE(
        _xlfn.UNIQUE(
            _xlfn._xlws.FILTER(MAESTRIA_DETALLADO[MAESTRIA],
                ISNUMBER(MATCH(MAESTRIA_DETALLADO[CAMPO_DETALLADO],
                BD424:BP424,0))
            )
        )
    ),IF(BD424="ACTIVIDAD","DOCENCIA",""))</f>
        <v/>
      </c>
      <c r="EA424" s="5" t="str" cm="1">
        <f t="array" ref="EA424:FN424">IF(
    ASIGNACION!I424="SI",
    IFERROR(
        TRANSPOSE(
            _xlfn.UNIQUE(
                _xlfn._xlws.FILTER(EDU_DOCENTE[NOMBRE_DOCENTE],
                    ISNUMBER(MATCH(EDU_DOCENTE[MAESTRIA],
                    BQ424:DY424,0))
                )
            )
        ),
        ""
    ),
    TRANSPOSE(
        _xlfn.UNIQUE(EDU_DOCENTE[NOMBRE_DOCENTE]
        )
    )
)</f>
        <v>ALCIVAR CEDEÑO BEATRIZ ISABEL</v>
      </c>
      <c r="EB424" t="str">
        <v>ALCIVAR VERA GEMA MICHELLE</v>
      </c>
      <c r="EC424" t="str">
        <v>ARAUZ CHAVEZ MARIO ROBERTO</v>
      </c>
      <c r="ED424" t="str">
        <v>BAILON LOURIDO WALTER ALBERTO</v>
      </c>
      <c r="EE424" t="str">
        <v>CALDERERO VILLAGOMEZ ERICK ANTONIO</v>
      </c>
      <c r="EF424" t="str">
        <v>CASTILLO GARCIA PAOLA GERMANIA</v>
      </c>
      <c r="EG424" t="str">
        <v>CEDEÑO CHOEZ PEDRO JAVIER</v>
      </c>
      <c r="EH424" t="str">
        <v>CEVALLOS HOPPE JUAN CARLOS</v>
      </c>
      <c r="EI424" t="str">
        <v>DELGADO CHAVEZ MARIA IRASEMA</v>
      </c>
      <c r="EJ424" t="str">
        <v>DUARTE VALENCIA CRISTHIAN DARIO</v>
      </c>
      <c r="EK424" t="str">
        <v>FORTTY BARBERAN DENNY ALEXANDER</v>
      </c>
      <c r="EL424" t="str">
        <v>GUTIERREZ ZAMBRANO CARMEN EBELINA</v>
      </c>
      <c r="EM424" t="str">
        <v>INTRIAGO MOLINA GEMA VALERIA</v>
      </c>
      <c r="EN424" t="str">
        <v>LINO VELEZ LEONEL LIVINGTON</v>
      </c>
      <c r="EO424" t="str">
        <v>LOOR ALCIVAR MARIA ILIANA</v>
      </c>
      <c r="EP424" t="str">
        <v>LOOR MIELES TANIA JACQUELINE</v>
      </c>
      <c r="EQ424" t="str">
        <v>LOOR SOLORZANO ROSA MARIA</v>
      </c>
      <c r="ER424" t="str">
        <v>LOPEZ DELGADO RONALD MAURICIO</v>
      </c>
      <c r="ES424" t="str">
        <v>MACIAS VALENCIA DAVID GABRIEL</v>
      </c>
      <c r="ET424" t="str">
        <v>MENDOZA ZAMORA WALTER MANUEL</v>
      </c>
      <c r="EU424" t="str">
        <v>MOLINA CEVALLOS MARIA LORENA</v>
      </c>
      <c r="EV424" t="str">
        <v>MURILLO DELGADO ISAAC GABRIEL</v>
      </c>
      <c r="EW424" t="str">
        <v>ANGULO MURILLO NAVIRA GISSELA</v>
      </c>
      <c r="EX424" t="str">
        <v>OCHOA SOLEDISPA NESTOR IVAN</v>
      </c>
      <c r="EY424" t="str">
        <v>PARRAGA FRANCO SILVANA MARIELA</v>
      </c>
      <c r="EZ424" t="str">
        <v>PINARGOTE VASQUEZ NANCY FABIOLA</v>
      </c>
      <c r="FA424" t="str">
        <v>REYES VELEZ PEDRO ENRIQUE</v>
      </c>
      <c r="FB424" t="str">
        <v>SAN ANDRES HORMAZA DALLAS CECILIA</v>
      </c>
      <c r="FC424" t="str">
        <v>SORNOZA ZAMORA JUAN CARLOS</v>
      </c>
      <c r="FD424" t="str">
        <v>TOMALA PINTO JESUS JACINTO</v>
      </c>
      <c r="FE424" t="str">
        <v>VALLE JARAMILLO SILVIA ARACELY</v>
      </c>
      <c r="FF424" t="str">
        <v>VELÁSQUEZ BRAVO IRMA KATHERINE</v>
      </c>
      <c r="FG424" t="str">
        <v>VELEZ MENDOZA LAYSY VALERIA</v>
      </c>
      <c r="FH424" t="str">
        <v>VINUEZA TELLO SHIRLEY ELIZABETH</v>
      </c>
      <c r="FI424" t="str">
        <v>ZAMBRANO ALCIVAR NILDA ISABEL</v>
      </c>
      <c r="FJ424" t="str">
        <v>ZAMBRANO LOOR RITA MAYDA</v>
      </c>
      <c r="FK424" t="str">
        <v>ZAMBRANO VERA MONICA JANETH</v>
      </c>
      <c r="FL424" t="str">
        <v>VERA DELGADO BRYAN ADRIÁN</v>
      </c>
      <c r="FM424" t="str">
        <v>MORAN GONZALES DAVID RENATO</v>
      </c>
      <c r="FN424">
        <v>0</v>
      </c>
    </row>
    <row r="425" spans="1:170" ht="20.25" customHeight="1">
      <c r="A425" s="4" t="str" cm="1">
        <f t="array" ref="A425">TRANSPOSE(_xlfn.UNIQUE(_xlfn._xlws.FILTER(MAE_ASIGNATURA[ID_NIVEL],MAE_ASIGNATURA[ID_CARRERA]=ASIGNACION!$C425,"No existe información")))</f>
        <v>No existe información</v>
      </c>
      <c r="S425" s="4" t="str" cm="1">
        <f t="array" ref="S425">TRANSPOSE(_xlfn.UNIQUE(_xlfn._xlws.FILTER(MAE_ASIGNATURA[NOM_ASIG],(MAE_ASIGNATURA[ID_NIVEL]=ASIGNACION!$D425)*(MAE_ASIGNATURA[ID_CARRERA]=ASIGNACION!$C425),"No existe información")))</f>
        <v>No existe información</v>
      </c>
      <c r="BD425" s="4" t="str" cm="1">
        <f t="array" ref="BD425">TRANSPOSE(_xlfn.UNIQUE(_xlfn._xlws.FILTER(DET_ASIG[DETALLADO],(DET_ASIG[ID_CARRERA]=ASIGNACION!$C425)*(DET_ASIG[NIVEL]=ASIGNACION!$D425)*(DET_ASIG[ID_ASIG]=ASIGNACION!$G425),"No existe información")))</f>
        <v>No existe información</v>
      </c>
      <c r="BQ425" s="5" t="str" cm="1">
        <f t="array" ref="BQ425">IFERROR(
    TRANSPOSE(
        _xlfn.UNIQUE(
            _xlfn._xlws.FILTER(MAESTRIA_DETALLADO[MAESTRIA],
                ISNUMBER(MATCH(MAESTRIA_DETALLADO[CAMPO_DETALLADO],
                BD425:BP425,0))
            )
        )
    ),IF(BD425="ACTIVIDAD","DOCENCIA",""))</f>
        <v/>
      </c>
      <c r="EA425" s="5" t="str" cm="1">
        <f t="array" ref="EA425:FN425">IF(
    ASIGNACION!I425="SI",
    IFERROR(
        TRANSPOSE(
            _xlfn.UNIQUE(
                _xlfn._xlws.FILTER(EDU_DOCENTE[NOMBRE_DOCENTE],
                    ISNUMBER(MATCH(EDU_DOCENTE[MAESTRIA],
                    BQ425:DY425,0))
                )
            )
        ),
        ""
    ),
    TRANSPOSE(
        _xlfn.UNIQUE(EDU_DOCENTE[NOMBRE_DOCENTE]
        )
    )
)</f>
        <v>ALCIVAR CEDEÑO BEATRIZ ISABEL</v>
      </c>
      <c r="EB425" t="str">
        <v>ALCIVAR VERA GEMA MICHELLE</v>
      </c>
      <c r="EC425" t="str">
        <v>ARAUZ CHAVEZ MARIO ROBERTO</v>
      </c>
      <c r="ED425" t="str">
        <v>BAILON LOURIDO WALTER ALBERTO</v>
      </c>
      <c r="EE425" t="str">
        <v>CALDERERO VILLAGOMEZ ERICK ANTONIO</v>
      </c>
      <c r="EF425" t="str">
        <v>CASTILLO GARCIA PAOLA GERMANIA</v>
      </c>
      <c r="EG425" t="str">
        <v>CEDEÑO CHOEZ PEDRO JAVIER</v>
      </c>
      <c r="EH425" t="str">
        <v>CEVALLOS HOPPE JUAN CARLOS</v>
      </c>
      <c r="EI425" t="str">
        <v>DELGADO CHAVEZ MARIA IRASEMA</v>
      </c>
      <c r="EJ425" t="str">
        <v>DUARTE VALENCIA CRISTHIAN DARIO</v>
      </c>
      <c r="EK425" t="str">
        <v>FORTTY BARBERAN DENNY ALEXANDER</v>
      </c>
      <c r="EL425" t="str">
        <v>GUTIERREZ ZAMBRANO CARMEN EBELINA</v>
      </c>
      <c r="EM425" t="str">
        <v>INTRIAGO MOLINA GEMA VALERIA</v>
      </c>
      <c r="EN425" t="str">
        <v>LINO VELEZ LEONEL LIVINGTON</v>
      </c>
      <c r="EO425" t="str">
        <v>LOOR ALCIVAR MARIA ILIANA</v>
      </c>
      <c r="EP425" t="str">
        <v>LOOR MIELES TANIA JACQUELINE</v>
      </c>
      <c r="EQ425" t="str">
        <v>LOOR SOLORZANO ROSA MARIA</v>
      </c>
      <c r="ER425" t="str">
        <v>LOPEZ DELGADO RONALD MAURICIO</v>
      </c>
      <c r="ES425" t="str">
        <v>MACIAS VALENCIA DAVID GABRIEL</v>
      </c>
      <c r="ET425" t="str">
        <v>MENDOZA ZAMORA WALTER MANUEL</v>
      </c>
      <c r="EU425" t="str">
        <v>MOLINA CEVALLOS MARIA LORENA</v>
      </c>
      <c r="EV425" t="str">
        <v>MURILLO DELGADO ISAAC GABRIEL</v>
      </c>
      <c r="EW425" t="str">
        <v>ANGULO MURILLO NAVIRA GISSELA</v>
      </c>
      <c r="EX425" t="str">
        <v>OCHOA SOLEDISPA NESTOR IVAN</v>
      </c>
      <c r="EY425" t="str">
        <v>PARRAGA FRANCO SILVANA MARIELA</v>
      </c>
      <c r="EZ425" t="str">
        <v>PINARGOTE VASQUEZ NANCY FABIOLA</v>
      </c>
      <c r="FA425" t="str">
        <v>REYES VELEZ PEDRO ENRIQUE</v>
      </c>
      <c r="FB425" t="str">
        <v>SAN ANDRES HORMAZA DALLAS CECILIA</v>
      </c>
      <c r="FC425" t="str">
        <v>SORNOZA ZAMORA JUAN CARLOS</v>
      </c>
      <c r="FD425" t="str">
        <v>TOMALA PINTO JESUS JACINTO</v>
      </c>
      <c r="FE425" t="str">
        <v>VALLE JARAMILLO SILVIA ARACELY</v>
      </c>
      <c r="FF425" t="str">
        <v>VELÁSQUEZ BRAVO IRMA KATHERINE</v>
      </c>
      <c r="FG425" t="str">
        <v>VELEZ MENDOZA LAYSY VALERIA</v>
      </c>
      <c r="FH425" t="str">
        <v>VINUEZA TELLO SHIRLEY ELIZABETH</v>
      </c>
      <c r="FI425" t="str">
        <v>ZAMBRANO ALCIVAR NILDA ISABEL</v>
      </c>
      <c r="FJ425" t="str">
        <v>ZAMBRANO LOOR RITA MAYDA</v>
      </c>
      <c r="FK425" t="str">
        <v>ZAMBRANO VERA MONICA JANETH</v>
      </c>
      <c r="FL425" t="str">
        <v>VERA DELGADO BRYAN ADRIÁN</v>
      </c>
      <c r="FM425" t="str">
        <v>MORAN GONZALES DAVID RENATO</v>
      </c>
      <c r="FN425">
        <v>0</v>
      </c>
    </row>
    <row r="426" spans="1:170" ht="20.25" customHeight="1">
      <c r="A426" s="4" t="str" cm="1">
        <f t="array" ref="A426">TRANSPOSE(_xlfn.UNIQUE(_xlfn._xlws.FILTER(MAE_ASIGNATURA[ID_NIVEL],MAE_ASIGNATURA[ID_CARRERA]=ASIGNACION!$C426,"No existe información")))</f>
        <v>No existe información</v>
      </c>
      <c r="S426" s="4" t="str" cm="1">
        <f t="array" ref="S426">TRANSPOSE(_xlfn.UNIQUE(_xlfn._xlws.FILTER(MAE_ASIGNATURA[NOM_ASIG],(MAE_ASIGNATURA[ID_NIVEL]=ASIGNACION!$D426)*(MAE_ASIGNATURA[ID_CARRERA]=ASIGNACION!$C426),"No existe información")))</f>
        <v>No existe información</v>
      </c>
      <c r="BD426" s="4" t="str" cm="1">
        <f t="array" ref="BD426">TRANSPOSE(_xlfn.UNIQUE(_xlfn._xlws.FILTER(DET_ASIG[DETALLADO],(DET_ASIG[ID_CARRERA]=ASIGNACION!$C426)*(DET_ASIG[NIVEL]=ASIGNACION!$D426)*(DET_ASIG[ID_ASIG]=ASIGNACION!$G426),"No existe información")))</f>
        <v>No existe información</v>
      </c>
      <c r="BQ426" s="5" t="str" cm="1">
        <f t="array" ref="BQ426">IFERROR(
    TRANSPOSE(
        _xlfn.UNIQUE(
            _xlfn._xlws.FILTER(MAESTRIA_DETALLADO[MAESTRIA],
                ISNUMBER(MATCH(MAESTRIA_DETALLADO[CAMPO_DETALLADO],
                BD426:BP426,0))
            )
        )
    ),IF(BD426="ACTIVIDAD","DOCENCIA",""))</f>
        <v/>
      </c>
      <c r="EA426" s="5" t="str" cm="1">
        <f t="array" ref="EA426:FN426">IF(
    ASIGNACION!I426="SI",
    IFERROR(
        TRANSPOSE(
            _xlfn.UNIQUE(
                _xlfn._xlws.FILTER(EDU_DOCENTE[NOMBRE_DOCENTE],
                    ISNUMBER(MATCH(EDU_DOCENTE[MAESTRIA],
                    BQ426:DY426,0))
                )
            )
        ),
        ""
    ),
    TRANSPOSE(
        _xlfn.UNIQUE(EDU_DOCENTE[NOMBRE_DOCENTE]
        )
    )
)</f>
        <v>ALCIVAR CEDEÑO BEATRIZ ISABEL</v>
      </c>
      <c r="EB426" t="str">
        <v>ALCIVAR VERA GEMA MICHELLE</v>
      </c>
      <c r="EC426" t="str">
        <v>ARAUZ CHAVEZ MARIO ROBERTO</v>
      </c>
      <c r="ED426" t="str">
        <v>BAILON LOURIDO WALTER ALBERTO</v>
      </c>
      <c r="EE426" t="str">
        <v>CALDERERO VILLAGOMEZ ERICK ANTONIO</v>
      </c>
      <c r="EF426" t="str">
        <v>CASTILLO GARCIA PAOLA GERMANIA</v>
      </c>
      <c r="EG426" t="str">
        <v>CEDEÑO CHOEZ PEDRO JAVIER</v>
      </c>
      <c r="EH426" t="str">
        <v>CEVALLOS HOPPE JUAN CARLOS</v>
      </c>
      <c r="EI426" t="str">
        <v>DELGADO CHAVEZ MARIA IRASEMA</v>
      </c>
      <c r="EJ426" t="str">
        <v>DUARTE VALENCIA CRISTHIAN DARIO</v>
      </c>
      <c r="EK426" t="str">
        <v>FORTTY BARBERAN DENNY ALEXANDER</v>
      </c>
      <c r="EL426" t="str">
        <v>GUTIERREZ ZAMBRANO CARMEN EBELINA</v>
      </c>
      <c r="EM426" t="str">
        <v>INTRIAGO MOLINA GEMA VALERIA</v>
      </c>
      <c r="EN426" t="str">
        <v>LINO VELEZ LEONEL LIVINGTON</v>
      </c>
      <c r="EO426" t="str">
        <v>LOOR ALCIVAR MARIA ILIANA</v>
      </c>
      <c r="EP426" t="str">
        <v>LOOR MIELES TANIA JACQUELINE</v>
      </c>
      <c r="EQ426" t="str">
        <v>LOOR SOLORZANO ROSA MARIA</v>
      </c>
      <c r="ER426" t="str">
        <v>LOPEZ DELGADO RONALD MAURICIO</v>
      </c>
      <c r="ES426" t="str">
        <v>MACIAS VALENCIA DAVID GABRIEL</v>
      </c>
      <c r="ET426" t="str">
        <v>MENDOZA ZAMORA WALTER MANUEL</v>
      </c>
      <c r="EU426" t="str">
        <v>MOLINA CEVALLOS MARIA LORENA</v>
      </c>
      <c r="EV426" t="str">
        <v>MURILLO DELGADO ISAAC GABRIEL</v>
      </c>
      <c r="EW426" t="str">
        <v>ANGULO MURILLO NAVIRA GISSELA</v>
      </c>
      <c r="EX426" t="str">
        <v>OCHOA SOLEDISPA NESTOR IVAN</v>
      </c>
      <c r="EY426" t="str">
        <v>PARRAGA FRANCO SILVANA MARIELA</v>
      </c>
      <c r="EZ426" t="str">
        <v>PINARGOTE VASQUEZ NANCY FABIOLA</v>
      </c>
      <c r="FA426" t="str">
        <v>REYES VELEZ PEDRO ENRIQUE</v>
      </c>
      <c r="FB426" t="str">
        <v>SAN ANDRES HORMAZA DALLAS CECILIA</v>
      </c>
      <c r="FC426" t="str">
        <v>SORNOZA ZAMORA JUAN CARLOS</v>
      </c>
      <c r="FD426" t="str">
        <v>TOMALA PINTO JESUS JACINTO</v>
      </c>
      <c r="FE426" t="str">
        <v>VALLE JARAMILLO SILVIA ARACELY</v>
      </c>
      <c r="FF426" t="str">
        <v>VELÁSQUEZ BRAVO IRMA KATHERINE</v>
      </c>
      <c r="FG426" t="str">
        <v>VELEZ MENDOZA LAYSY VALERIA</v>
      </c>
      <c r="FH426" t="str">
        <v>VINUEZA TELLO SHIRLEY ELIZABETH</v>
      </c>
      <c r="FI426" t="str">
        <v>ZAMBRANO ALCIVAR NILDA ISABEL</v>
      </c>
      <c r="FJ426" t="str">
        <v>ZAMBRANO LOOR RITA MAYDA</v>
      </c>
      <c r="FK426" t="str">
        <v>ZAMBRANO VERA MONICA JANETH</v>
      </c>
      <c r="FL426" t="str">
        <v>VERA DELGADO BRYAN ADRIÁN</v>
      </c>
      <c r="FM426" t="str">
        <v>MORAN GONZALES DAVID RENATO</v>
      </c>
      <c r="FN426">
        <v>0</v>
      </c>
    </row>
    <row r="427" spans="1:170" ht="20.25" customHeight="1">
      <c r="A427" s="4" t="str" cm="1">
        <f t="array" ref="A427">TRANSPOSE(_xlfn.UNIQUE(_xlfn._xlws.FILTER(MAE_ASIGNATURA[ID_NIVEL],MAE_ASIGNATURA[ID_CARRERA]=ASIGNACION!$C427,"No existe información")))</f>
        <v>No existe información</v>
      </c>
      <c r="S427" s="4" t="str" cm="1">
        <f t="array" ref="S427">TRANSPOSE(_xlfn.UNIQUE(_xlfn._xlws.FILTER(MAE_ASIGNATURA[NOM_ASIG],(MAE_ASIGNATURA[ID_NIVEL]=ASIGNACION!$D427)*(MAE_ASIGNATURA[ID_CARRERA]=ASIGNACION!$C427),"No existe información")))</f>
        <v>No existe información</v>
      </c>
      <c r="BD427" s="4" t="str" cm="1">
        <f t="array" ref="BD427">TRANSPOSE(_xlfn.UNIQUE(_xlfn._xlws.FILTER(DET_ASIG[DETALLADO],(DET_ASIG[ID_CARRERA]=ASIGNACION!$C427)*(DET_ASIG[NIVEL]=ASIGNACION!$D427)*(DET_ASIG[ID_ASIG]=ASIGNACION!$G427),"No existe información")))</f>
        <v>No existe información</v>
      </c>
      <c r="BQ427" s="5" t="str" cm="1">
        <f t="array" ref="BQ427">IFERROR(
    TRANSPOSE(
        _xlfn.UNIQUE(
            _xlfn._xlws.FILTER(MAESTRIA_DETALLADO[MAESTRIA],
                ISNUMBER(MATCH(MAESTRIA_DETALLADO[CAMPO_DETALLADO],
                BD427:BP427,0))
            )
        )
    ),IF(BD427="ACTIVIDAD","DOCENCIA",""))</f>
        <v/>
      </c>
      <c r="EA427" s="5" t="str" cm="1">
        <f t="array" ref="EA427:FN427">IF(
    ASIGNACION!I427="SI",
    IFERROR(
        TRANSPOSE(
            _xlfn.UNIQUE(
                _xlfn._xlws.FILTER(EDU_DOCENTE[NOMBRE_DOCENTE],
                    ISNUMBER(MATCH(EDU_DOCENTE[MAESTRIA],
                    BQ427:DY427,0))
                )
            )
        ),
        ""
    ),
    TRANSPOSE(
        _xlfn.UNIQUE(EDU_DOCENTE[NOMBRE_DOCENTE]
        )
    )
)</f>
        <v>ALCIVAR CEDEÑO BEATRIZ ISABEL</v>
      </c>
      <c r="EB427" t="str">
        <v>ALCIVAR VERA GEMA MICHELLE</v>
      </c>
      <c r="EC427" t="str">
        <v>ARAUZ CHAVEZ MARIO ROBERTO</v>
      </c>
      <c r="ED427" t="str">
        <v>BAILON LOURIDO WALTER ALBERTO</v>
      </c>
      <c r="EE427" t="str">
        <v>CALDERERO VILLAGOMEZ ERICK ANTONIO</v>
      </c>
      <c r="EF427" t="str">
        <v>CASTILLO GARCIA PAOLA GERMANIA</v>
      </c>
      <c r="EG427" t="str">
        <v>CEDEÑO CHOEZ PEDRO JAVIER</v>
      </c>
      <c r="EH427" t="str">
        <v>CEVALLOS HOPPE JUAN CARLOS</v>
      </c>
      <c r="EI427" t="str">
        <v>DELGADO CHAVEZ MARIA IRASEMA</v>
      </c>
      <c r="EJ427" t="str">
        <v>DUARTE VALENCIA CRISTHIAN DARIO</v>
      </c>
      <c r="EK427" t="str">
        <v>FORTTY BARBERAN DENNY ALEXANDER</v>
      </c>
      <c r="EL427" t="str">
        <v>GUTIERREZ ZAMBRANO CARMEN EBELINA</v>
      </c>
      <c r="EM427" t="str">
        <v>INTRIAGO MOLINA GEMA VALERIA</v>
      </c>
      <c r="EN427" t="str">
        <v>LINO VELEZ LEONEL LIVINGTON</v>
      </c>
      <c r="EO427" t="str">
        <v>LOOR ALCIVAR MARIA ILIANA</v>
      </c>
      <c r="EP427" t="str">
        <v>LOOR MIELES TANIA JACQUELINE</v>
      </c>
      <c r="EQ427" t="str">
        <v>LOOR SOLORZANO ROSA MARIA</v>
      </c>
      <c r="ER427" t="str">
        <v>LOPEZ DELGADO RONALD MAURICIO</v>
      </c>
      <c r="ES427" t="str">
        <v>MACIAS VALENCIA DAVID GABRIEL</v>
      </c>
      <c r="ET427" t="str">
        <v>MENDOZA ZAMORA WALTER MANUEL</v>
      </c>
      <c r="EU427" t="str">
        <v>MOLINA CEVALLOS MARIA LORENA</v>
      </c>
      <c r="EV427" t="str">
        <v>MURILLO DELGADO ISAAC GABRIEL</v>
      </c>
      <c r="EW427" t="str">
        <v>ANGULO MURILLO NAVIRA GISSELA</v>
      </c>
      <c r="EX427" t="str">
        <v>OCHOA SOLEDISPA NESTOR IVAN</v>
      </c>
      <c r="EY427" t="str">
        <v>PARRAGA FRANCO SILVANA MARIELA</v>
      </c>
      <c r="EZ427" t="str">
        <v>PINARGOTE VASQUEZ NANCY FABIOLA</v>
      </c>
      <c r="FA427" t="str">
        <v>REYES VELEZ PEDRO ENRIQUE</v>
      </c>
      <c r="FB427" t="str">
        <v>SAN ANDRES HORMAZA DALLAS CECILIA</v>
      </c>
      <c r="FC427" t="str">
        <v>SORNOZA ZAMORA JUAN CARLOS</v>
      </c>
      <c r="FD427" t="str">
        <v>TOMALA PINTO JESUS JACINTO</v>
      </c>
      <c r="FE427" t="str">
        <v>VALLE JARAMILLO SILVIA ARACELY</v>
      </c>
      <c r="FF427" t="str">
        <v>VELÁSQUEZ BRAVO IRMA KATHERINE</v>
      </c>
      <c r="FG427" t="str">
        <v>VELEZ MENDOZA LAYSY VALERIA</v>
      </c>
      <c r="FH427" t="str">
        <v>VINUEZA TELLO SHIRLEY ELIZABETH</v>
      </c>
      <c r="FI427" t="str">
        <v>ZAMBRANO ALCIVAR NILDA ISABEL</v>
      </c>
      <c r="FJ427" t="str">
        <v>ZAMBRANO LOOR RITA MAYDA</v>
      </c>
      <c r="FK427" t="str">
        <v>ZAMBRANO VERA MONICA JANETH</v>
      </c>
      <c r="FL427" t="str">
        <v>VERA DELGADO BRYAN ADRIÁN</v>
      </c>
      <c r="FM427" t="str">
        <v>MORAN GONZALES DAVID RENATO</v>
      </c>
      <c r="FN427">
        <v>0</v>
      </c>
    </row>
    <row r="428" spans="1:170" ht="20.25" customHeight="1">
      <c r="A428" s="4" t="str" cm="1">
        <f t="array" ref="A428">TRANSPOSE(_xlfn.UNIQUE(_xlfn._xlws.FILTER(MAE_ASIGNATURA[ID_NIVEL],MAE_ASIGNATURA[ID_CARRERA]=ASIGNACION!$C428,"No existe información")))</f>
        <v>No existe información</v>
      </c>
      <c r="S428" s="4" t="str" cm="1">
        <f t="array" ref="S428">TRANSPOSE(_xlfn.UNIQUE(_xlfn._xlws.FILTER(MAE_ASIGNATURA[NOM_ASIG],(MAE_ASIGNATURA[ID_NIVEL]=ASIGNACION!$D428)*(MAE_ASIGNATURA[ID_CARRERA]=ASIGNACION!$C428),"No existe información")))</f>
        <v>No existe información</v>
      </c>
      <c r="BD428" s="4" t="str" cm="1">
        <f t="array" ref="BD428">TRANSPOSE(_xlfn.UNIQUE(_xlfn._xlws.FILTER(DET_ASIG[DETALLADO],(DET_ASIG[ID_CARRERA]=ASIGNACION!$C428)*(DET_ASIG[NIVEL]=ASIGNACION!$D428)*(DET_ASIG[ID_ASIG]=ASIGNACION!$G428),"No existe información")))</f>
        <v>No existe información</v>
      </c>
      <c r="BQ428" s="5" t="str" cm="1">
        <f t="array" ref="BQ428">IFERROR(
    TRANSPOSE(
        _xlfn.UNIQUE(
            _xlfn._xlws.FILTER(MAESTRIA_DETALLADO[MAESTRIA],
                ISNUMBER(MATCH(MAESTRIA_DETALLADO[CAMPO_DETALLADO],
                BD428:BP428,0))
            )
        )
    ),IF(BD428="ACTIVIDAD","DOCENCIA",""))</f>
        <v/>
      </c>
      <c r="EA428" s="5" t="str" cm="1">
        <f t="array" ref="EA428:FN428">IF(
    ASIGNACION!I428="SI",
    IFERROR(
        TRANSPOSE(
            _xlfn.UNIQUE(
                _xlfn._xlws.FILTER(EDU_DOCENTE[NOMBRE_DOCENTE],
                    ISNUMBER(MATCH(EDU_DOCENTE[MAESTRIA],
                    BQ428:DY428,0))
                )
            )
        ),
        ""
    ),
    TRANSPOSE(
        _xlfn.UNIQUE(EDU_DOCENTE[NOMBRE_DOCENTE]
        )
    )
)</f>
        <v>ALCIVAR CEDEÑO BEATRIZ ISABEL</v>
      </c>
      <c r="EB428" t="str">
        <v>ALCIVAR VERA GEMA MICHELLE</v>
      </c>
      <c r="EC428" t="str">
        <v>ARAUZ CHAVEZ MARIO ROBERTO</v>
      </c>
      <c r="ED428" t="str">
        <v>BAILON LOURIDO WALTER ALBERTO</v>
      </c>
      <c r="EE428" t="str">
        <v>CALDERERO VILLAGOMEZ ERICK ANTONIO</v>
      </c>
      <c r="EF428" t="str">
        <v>CASTILLO GARCIA PAOLA GERMANIA</v>
      </c>
      <c r="EG428" t="str">
        <v>CEDEÑO CHOEZ PEDRO JAVIER</v>
      </c>
      <c r="EH428" t="str">
        <v>CEVALLOS HOPPE JUAN CARLOS</v>
      </c>
      <c r="EI428" t="str">
        <v>DELGADO CHAVEZ MARIA IRASEMA</v>
      </c>
      <c r="EJ428" t="str">
        <v>DUARTE VALENCIA CRISTHIAN DARIO</v>
      </c>
      <c r="EK428" t="str">
        <v>FORTTY BARBERAN DENNY ALEXANDER</v>
      </c>
      <c r="EL428" t="str">
        <v>GUTIERREZ ZAMBRANO CARMEN EBELINA</v>
      </c>
      <c r="EM428" t="str">
        <v>INTRIAGO MOLINA GEMA VALERIA</v>
      </c>
      <c r="EN428" t="str">
        <v>LINO VELEZ LEONEL LIVINGTON</v>
      </c>
      <c r="EO428" t="str">
        <v>LOOR ALCIVAR MARIA ILIANA</v>
      </c>
      <c r="EP428" t="str">
        <v>LOOR MIELES TANIA JACQUELINE</v>
      </c>
      <c r="EQ428" t="str">
        <v>LOOR SOLORZANO ROSA MARIA</v>
      </c>
      <c r="ER428" t="str">
        <v>LOPEZ DELGADO RONALD MAURICIO</v>
      </c>
      <c r="ES428" t="str">
        <v>MACIAS VALENCIA DAVID GABRIEL</v>
      </c>
      <c r="ET428" t="str">
        <v>MENDOZA ZAMORA WALTER MANUEL</v>
      </c>
      <c r="EU428" t="str">
        <v>MOLINA CEVALLOS MARIA LORENA</v>
      </c>
      <c r="EV428" t="str">
        <v>MURILLO DELGADO ISAAC GABRIEL</v>
      </c>
      <c r="EW428" t="str">
        <v>ANGULO MURILLO NAVIRA GISSELA</v>
      </c>
      <c r="EX428" t="str">
        <v>OCHOA SOLEDISPA NESTOR IVAN</v>
      </c>
      <c r="EY428" t="str">
        <v>PARRAGA FRANCO SILVANA MARIELA</v>
      </c>
      <c r="EZ428" t="str">
        <v>PINARGOTE VASQUEZ NANCY FABIOLA</v>
      </c>
      <c r="FA428" t="str">
        <v>REYES VELEZ PEDRO ENRIQUE</v>
      </c>
      <c r="FB428" t="str">
        <v>SAN ANDRES HORMAZA DALLAS CECILIA</v>
      </c>
      <c r="FC428" t="str">
        <v>SORNOZA ZAMORA JUAN CARLOS</v>
      </c>
      <c r="FD428" t="str">
        <v>TOMALA PINTO JESUS JACINTO</v>
      </c>
      <c r="FE428" t="str">
        <v>VALLE JARAMILLO SILVIA ARACELY</v>
      </c>
      <c r="FF428" t="str">
        <v>VELÁSQUEZ BRAVO IRMA KATHERINE</v>
      </c>
      <c r="FG428" t="str">
        <v>VELEZ MENDOZA LAYSY VALERIA</v>
      </c>
      <c r="FH428" t="str">
        <v>VINUEZA TELLO SHIRLEY ELIZABETH</v>
      </c>
      <c r="FI428" t="str">
        <v>ZAMBRANO ALCIVAR NILDA ISABEL</v>
      </c>
      <c r="FJ428" t="str">
        <v>ZAMBRANO LOOR RITA MAYDA</v>
      </c>
      <c r="FK428" t="str">
        <v>ZAMBRANO VERA MONICA JANETH</v>
      </c>
      <c r="FL428" t="str">
        <v>VERA DELGADO BRYAN ADRIÁN</v>
      </c>
      <c r="FM428" t="str">
        <v>MORAN GONZALES DAVID RENATO</v>
      </c>
      <c r="FN428">
        <v>0</v>
      </c>
    </row>
    <row r="429" spans="1:170" ht="20.25" customHeight="1">
      <c r="A429" s="4" t="str" cm="1">
        <f t="array" ref="A429">TRANSPOSE(_xlfn.UNIQUE(_xlfn._xlws.FILTER(MAE_ASIGNATURA[ID_NIVEL],MAE_ASIGNATURA[ID_CARRERA]=ASIGNACION!$C429,"No existe información")))</f>
        <v>No existe información</v>
      </c>
      <c r="S429" s="4" t="str" cm="1">
        <f t="array" ref="S429">TRANSPOSE(_xlfn.UNIQUE(_xlfn._xlws.FILTER(MAE_ASIGNATURA[NOM_ASIG],(MAE_ASIGNATURA[ID_NIVEL]=ASIGNACION!$D429)*(MAE_ASIGNATURA[ID_CARRERA]=ASIGNACION!$C429),"No existe información")))</f>
        <v>No existe información</v>
      </c>
      <c r="BD429" s="4" t="str" cm="1">
        <f t="array" ref="BD429">TRANSPOSE(_xlfn.UNIQUE(_xlfn._xlws.FILTER(DET_ASIG[DETALLADO],(DET_ASIG[ID_CARRERA]=ASIGNACION!$C429)*(DET_ASIG[NIVEL]=ASIGNACION!$D429)*(DET_ASIG[ID_ASIG]=ASIGNACION!$G429),"No existe información")))</f>
        <v>No existe información</v>
      </c>
      <c r="BQ429" s="5" t="str" cm="1">
        <f t="array" ref="BQ429">IFERROR(
    TRANSPOSE(
        _xlfn.UNIQUE(
            _xlfn._xlws.FILTER(MAESTRIA_DETALLADO[MAESTRIA],
                ISNUMBER(MATCH(MAESTRIA_DETALLADO[CAMPO_DETALLADO],
                BD429:BP429,0))
            )
        )
    ),IF(BD429="ACTIVIDAD","DOCENCIA",""))</f>
        <v/>
      </c>
      <c r="EA429" s="5" t="str" cm="1">
        <f t="array" ref="EA429:FN429">IF(
    ASIGNACION!I429="SI",
    IFERROR(
        TRANSPOSE(
            _xlfn.UNIQUE(
                _xlfn._xlws.FILTER(EDU_DOCENTE[NOMBRE_DOCENTE],
                    ISNUMBER(MATCH(EDU_DOCENTE[MAESTRIA],
                    BQ429:DY429,0))
                )
            )
        ),
        ""
    ),
    TRANSPOSE(
        _xlfn.UNIQUE(EDU_DOCENTE[NOMBRE_DOCENTE]
        )
    )
)</f>
        <v>ALCIVAR CEDEÑO BEATRIZ ISABEL</v>
      </c>
      <c r="EB429" t="str">
        <v>ALCIVAR VERA GEMA MICHELLE</v>
      </c>
      <c r="EC429" t="str">
        <v>ARAUZ CHAVEZ MARIO ROBERTO</v>
      </c>
      <c r="ED429" t="str">
        <v>BAILON LOURIDO WALTER ALBERTO</v>
      </c>
      <c r="EE429" t="str">
        <v>CALDERERO VILLAGOMEZ ERICK ANTONIO</v>
      </c>
      <c r="EF429" t="str">
        <v>CASTILLO GARCIA PAOLA GERMANIA</v>
      </c>
      <c r="EG429" t="str">
        <v>CEDEÑO CHOEZ PEDRO JAVIER</v>
      </c>
      <c r="EH429" t="str">
        <v>CEVALLOS HOPPE JUAN CARLOS</v>
      </c>
      <c r="EI429" t="str">
        <v>DELGADO CHAVEZ MARIA IRASEMA</v>
      </c>
      <c r="EJ429" t="str">
        <v>DUARTE VALENCIA CRISTHIAN DARIO</v>
      </c>
      <c r="EK429" t="str">
        <v>FORTTY BARBERAN DENNY ALEXANDER</v>
      </c>
      <c r="EL429" t="str">
        <v>GUTIERREZ ZAMBRANO CARMEN EBELINA</v>
      </c>
      <c r="EM429" t="str">
        <v>INTRIAGO MOLINA GEMA VALERIA</v>
      </c>
      <c r="EN429" t="str">
        <v>LINO VELEZ LEONEL LIVINGTON</v>
      </c>
      <c r="EO429" t="str">
        <v>LOOR ALCIVAR MARIA ILIANA</v>
      </c>
      <c r="EP429" t="str">
        <v>LOOR MIELES TANIA JACQUELINE</v>
      </c>
      <c r="EQ429" t="str">
        <v>LOOR SOLORZANO ROSA MARIA</v>
      </c>
      <c r="ER429" t="str">
        <v>LOPEZ DELGADO RONALD MAURICIO</v>
      </c>
      <c r="ES429" t="str">
        <v>MACIAS VALENCIA DAVID GABRIEL</v>
      </c>
      <c r="ET429" t="str">
        <v>MENDOZA ZAMORA WALTER MANUEL</v>
      </c>
      <c r="EU429" t="str">
        <v>MOLINA CEVALLOS MARIA LORENA</v>
      </c>
      <c r="EV429" t="str">
        <v>MURILLO DELGADO ISAAC GABRIEL</v>
      </c>
      <c r="EW429" t="str">
        <v>ANGULO MURILLO NAVIRA GISSELA</v>
      </c>
      <c r="EX429" t="str">
        <v>OCHOA SOLEDISPA NESTOR IVAN</v>
      </c>
      <c r="EY429" t="str">
        <v>PARRAGA FRANCO SILVANA MARIELA</v>
      </c>
      <c r="EZ429" t="str">
        <v>PINARGOTE VASQUEZ NANCY FABIOLA</v>
      </c>
      <c r="FA429" t="str">
        <v>REYES VELEZ PEDRO ENRIQUE</v>
      </c>
      <c r="FB429" t="str">
        <v>SAN ANDRES HORMAZA DALLAS CECILIA</v>
      </c>
      <c r="FC429" t="str">
        <v>SORNOZA ZAMORA JUAN CARLOS</v>
      </c>
      <c r="FD429" t="str">
        <v>TOMALA PINTO JESUS JACINTO</v>
      </c>
      <c r="FE429" t="str">
        <v>VALLE JARAMILLO SILVIA ARACELY</v>
      </c>
      <c r="FF429" t="str">
        <v>VELÁSQUEZ BRAVO IRMA KATHERINE</v>
      </c>
      <c r="FG429" t="str">
        <v>VELEZ MENDOZA LAYSY VALERIA</v>
      </c>
      <c r="FH429" t="str">
        <v>VINUEZA TELLO SHIRLEY ELIZABETH</v>
      </c>
      <c r="FI429" t="str">
        <v>ZAMBRANO ALCIVAR NILDA ISABEL</v>
      </c>
      <c r="FJ429" t="str">
        <v>ZAMBRANO LOOR RITA MAYDA</v>
      </c>
      <c r="FK429" t="str">
        <v>ZAMBRANO VERA MONICA JANETH</v>
      </c>
      <c r="FL429" t="str">
        <v>VERA DELGADO BRYAN ADRIÁN</v>
      </c>
      <c r="FM429" t="str">
        <v>MORAN GONZALES DAVID RENATO</v>
      </c>
      <c r="FN429">
        <v>0</v>
      </c>
    </row>
    <row r="430" spans="1:170" ht="20.25" customHeight="1">
      <c r="A430" s="4" t="str" cm="1">
        <f t="array" ref="A430">TRANSPOSE(_xlfn.UNIQUE(_xlfn._xlws.FILTER(MAE_ASIGNATURA[ID_NIVEL],MAE_ASIGNATURA[ID_CARRERA]=ASIGNACION!$C430,"No existe información")))</f>
        <v>No existe información</v>
      </c>
      <c r="S430" s="4" t="str" cm="1">
        <f t="array" ref="S430">TRANSPOSE(_xlfn.UNIQUE(_xlfn._xlws.FILTER(MAE_ASIGNATURA[NOM_ASIG],(MAE_ASIGNATURA[ID_NIVEL]=ASIGNACION!$D430)*(MAE_ASIGNATURA[ID_CARRERA]=ASIGNACION!$C430),"No existe información")))</f>
        <v>No existe información</v>
      </c>
      <c r="BD430" s="4" t="str" cm="1">
        <f t="array" ref="BD430">TRANSPOSE(_xlfn.UNIQUE(_xlfn._xlws.FILTER(DET_ASIG[DETALLADO],(DET_ASIG[ID_CARRERA]=ASIGNACION!$C430)*(DET_ASIG[NIVEL]=ASIGNACION!$D430)*(DET_ASIG[ID_ASIG]=ASIGNACION!$G430),"No existe información")))</f>
        <v>No existe información</v>
      </c>
      <c r="BQ430" s="5" t="str" cm="1">
        <f t="array" ref="BQ430">IFERROR(
    TRANSPOSE(
        _xlfn.UNIQUE(
            _xlfn._xlws.FILTER(MAESTRIA_DETALLADO[MAESTRIA],
                ISNUMBER(MATCH(MAESTRIA_DETALLADO[CAMPO_DETALLADO],
                BD430:BP430,0))
            )
        )
    ),IF(BD430="ACTIVIDAD","DOCENCIA",""))</f>
        <v/>
      </c>
      <c r="EA430" s="5" t="str" cm="1">
        <f t="array" ref="EA430:FN430">IF(
    ASIGNACION!I430="SI",
    IFERROR(
        TRANSPOSE(
            _xlfn.UNIQUE(
                _xlfn._xlws.FILTER(EDU_DOCENTE[NOMBRE_DOCENTE],
                    ISNUMBER(MATCH(EDU_DOCENTE[MAESTRIA],
                    BQ430:DY430,0))
                )
            )
        ),
        ""
    ),
    TRANSPOSE(
        _xlfn.UNIQUE(EDU_DOCENTE[NOMBRE_DOCENTE]
        )
    )
)</f>
        <v>ALCIVAR CEDEÑO BEATRIZ ISABEL</v>
      </c>
      <c r="EB430" t="str">
        <v>ALCIVAR VERA GEMA MICHELLE</v>
      </c>
      <c r="EC430" t="str">
        <v>ARAUZ CHAVEZ MARIO ROBERTO</v>
      </c>
      <c r="ED430" t="str">
        <v>BAILON LOURIDO WALTER ALBERTO</v>
      </c>
      <c r="EE430" t="str">
        <v>CALDERERO VILLAGOMEZ ERICK ANTONIO</v>
      </c>
      <c r="EF430" t="str">
        <v>CASTILLO GARCIA PAOLA GERMANIA</v>
      </c>
      <c r="EG430" t="str">
        <v>CEDEÑO CHOEZ PEDRO JAVIER</v>
      </c>
      <c r="EH430" t="str">
        <v>CEVALLOS HOPPE JUAN CARLOS</v>
      </c>
      <c r="EI430" t="str">
        <v>DELGADO CHAVEZ MARIA IRASEMA</v>
      </c>
      <c r="EJ430" t="str">
        <v>DUARTE VALENCIA CRISTHIAN DARIO</v>
      </c>
      <c r="EK430" t="str">
        <v>FORTTY BARBERAN DENNY ALEXANDER</v>
      </c>
      <c r="EL430" t="str">
        <v>GUTIERREZ ZAMBRANO CARMEN EBELINA</v>
      </c>
      <c r="EM430" t="str">
        <v>INTRIAGO MOLINA GEMA VALERIA</v>
      </c>
      <c r="EN430" t="str">
        <v>LINO VELEZ LEONEL LIVINGTON</v>
      </c>
      <c r="EO430" t="str">
        <v>LOOR ALCIVAR MARIA ILIANA</v>
      </c>
      <c r="EP430" t="str">
        <v>LOOR MIELES TANIA JACQUELINE</v>
      </c>
      <c r="EQ430" t="str">
        <v>LOOR SOLORZANO ROSA MARIA</v>
      </c>
      <c r="ER430" t="str">
        <v>LOPEZ DELGADO RONALD MAURICIO</v>
      </c>
      <c r="ES430" t="str">
        <v>MACIAS VALENCIA DAVID GABRIEL</v>
      </c>
      <c r="ET430" t="str">
        <v>MENDOZA ZAMORA WALTER MANUEL</v>
      </c>
      <c r="EU430" t="str">
        <v>MOLINA CEVALLOS MARIA LORENA</v>
      </c>
      <c r="EV430" t="str">
        <v>MURILLO DELGADO ISAAC GABRIEL</v>
      </c>
      <c r="EW430" t="str">
        <v>ANGULO MURILLO NAVIRA GISSELA</v>
      </c>
      <c r="EX430" t="str">
        <v>OCHOA SOLEDISPA NESTOR IVAN</v>
      </c>
      <c r="EY430" t="str">
        <v>PARRAGA FRANCO SILVANA MARIELA</v>
      </c>
      <c r="EZ430" t="str">
        <v>PINARGOTE VASQUEZ NANCY FABIOLA</v>
      </c>
      <c r="FA430" t="str">
        <v>REYES VELEZ PEDRO ENRIQUE</v>
      </c>
      <c r="FB430" t="str">
        <v>SAN ANDRES HORMAZA DALLAS CECILIA</v>
      </c>
      <c r="FC430" t="str">
        <v>SORNOZA ZAMORA JUAN CARLOS</v>
      </c>
      <c r="FD430" t="str">
        <v>TOMALA PINTO JESUS JACINTO</v>
      </c>
      <c r="FE430" t="str">
        <v>VALLE JARAMILLO SILVIA ARACELY</v>
      </c>
      <c r="FF430" t="str">
        <v>VELÁSQUEZ BRAVO IRMA KATHERINE</v>
      </c>
      <c r="FG430" t="str">
        <v>VELEZ MENDOZA LAYSY VALERIA</v>
      </c>
      <c r="FH430" t="str">
        <v>VINUEZA TELLO SHIRLEY ELIZABETH</v>
      </c>
      <c r="FI430" t="str">
        <v>ZAMBRANO ALCIVAR NILDA ISABEL</v>
      </c>
      <c r="FJ430" t="str">
        <v>ZAMBRANO LOOR RITA MAYDA</v>
      </c>
      <c r="FK430" t="str">
        <v>ZAMBRANO VERA MONICA JANETH</v>
      </c>
      <c r="FL430" t="str">
        <v>VERA DELGADO BRYAN ADRIÁN</v>
      </c>
      <c r="FM430" t="str">
        <v>MORAN GONZALES DAVID RENATO</v>
      </c>
      <c r="FN430">
        <v>0</v>
      </c>
    </row>
    <row r="431" spans="1:170" ht="20.25" customHeight="1">
      <c r="A431" s="4" t="str" cm="1">
        <f t="array" ref="A431">TRANSPOSE(_xlfn.UNIQUE(_xlfn._xlws.FILTER(MAE_ASIGNATURA[ID_NIVEL],MAE_ASIGNATURA[ID_CARRERA]=ASIGNACION!$C431,"No existe información")))</f>
        <v>No existe información</v>
      </c>
      <c r="S431" s="4" t="str" cm="1">
        <f t="array" ref="S431">TRANSPOSE(_xlfn.UNIQUE(_xlfn._xlws.FILTER(MAE_ASIGNATURA[NOM_ASIG],(MAE_ASIGNATURA[ID_NIVEL]=ASIGNACION!$D431)*(MAE_ASIGNATURA[ID_CARRERA]=ASIGNACION!$C431),"No existe información")))</f>
        <v>No existe información</v>
      </c>
      <c r="BD431" s="4" t="str" cm="1">
        <f t="array" ref="BD431">TRANSPOSE(_xlfn.UNIQUE(_xlfn._xlws.FILTER(DET_ASIG[DETALLADO],(DET_ASIG[ID_CARRERA]=ASIGNACION!$C431)*(DET_ASIG[NIVEL]=ASIGNACION!$D431)*(DET_ASIG[ID_ASIG]=ASIGNACION!$G431),"No existe información")))</f>
        <v>No existe información</v>
      </c>
      <c r="BQ431" s="5" t="str" cm="1">
        <f t="array" ref="BQ431">IFERROR(
    TRANSPOSE(
        _xlfn.UNIQUE(
            _xlfn._xlws.FILTER(MAESTRIA_DETALLADO[MAESTRIA],
                ISNUMBER(MATCH(MAESTRIA_DETALLADO[CAMPO_DETALLADO],
                BD431:BP431,0))
            )
        )
    ),IF(BD431="ACTIVIDAD","DOCENCIA",""))</f>
        <v/>
      </c>
      <c r="EA431" s="5" t="str" cm="1">
        <f t="array" ref="EA431:FN431">IF(
    ASIGNACION!I431="SI",
    IFERROR(
        TRANSPOSE(
            _xlfn.UNIQUE(
                _xlfn._xlws.FILTER(EDU_DOCENTE[NOMBRE_DOCENTE],
                    ISNUMBER(MATCH(EDU_DOCENTE[MAESTRIA],
                    BQ431:DY431,0))
                )
            )
        ),
        ""
    ),
    TRANSPOSE(
        _xlfn.UNIQUE(EDU_DOCENTE[NOMBRE_DOCENTE]
        )
    )
)</f>
        <v>ALCIVAR CEDEÑO BEATRIZ ISABEL</v>
      </c>
      <c r="EB431" t="str">
        <v>ALCIVAR VERA GEMA MICHELLE</v>
      </c>
      <c r="EC431" t="str">
        <v>ARAUZ CHAVEZ MARIO ROBERTO</v>
      </c>
      <c r="ED431" t="str">
        <v>BAILON LOURIDO WALTER ALBERTO</v>
      </c>
      <c r="EE431" t="str">
        <v>CALDERERO VILLAGOMEZ ERICK ANTONIO</v>
      </c>
      <c r="EF431" t="str">
        <v>CASTILLO GARCIA PAOLA GERMANIA</v>
      </c>
      <c r="EG431" t="str">
        <v>CEDEÑO CHOEZ PEDRO JAVIER</v>
      </c>
      <c r="EH431" t="str">
        <v>CEVALLOS HOPPE JUAN CARLOS</v>
      </c>
      <c r="EI431" t="str">
        <v>DELGADO CHAVEZ MARIA IRASEMA</v>
      </c>
      <c r="EJ431" t="str">
        <v>DUARTE VALENCIA CRISTHIAN DARIO</v>
      </c>
      <c r="EK431" t="str">
        <v>FORTTY BARBERAN DENNY ALEXANDER</v>
      </c>
      <c r="EL431" t="str">
        <v>GUTIERREZ ZAMBRANO CARMEN EBELINA</v>
      </c>
      <c r="EM431" t="str">
        <v>INTRIAGO MOLINA GEMA VALERIA</v>
      </c>
      <c r="EN431" t="str">
        <v>LINO VELEZ LEONEL LIVINGTON</v>
      </c>
      <c r="EO431" t="str">
        <v>LOOR ALCIVAR MARIA ILIANA</v>
      </c>
      <c r="EP431" t="str">
        <v>LOOR MIELES TANIA JACQUELINE</v>
      </c>
      <c r="EQ431" t="str">
        <v>LOOR SOLORZANO ROSA MARIA</v>
      </c>
      <c r="ER431" t="str">
        <v>LOPEZ DELGADO RONALD MAURICIO</v>
      </c>
      <c r="ES431" t="str">
        <v>MACIAS VALENCIA DAVID GABRIEL</v>
      </c>
      <c r="ET431" t="str">
        <v>MENDOZA ZAMORA WALTER MANUEL</v>
      </c>
      <c r="EU431" t="str">
        <v>MOLINA CEVALLOS MARIA LORENA</v>
      </c>
      <c r="EV431" t="str">
        <v>MURILLO DELGADO ISAAC GABRIEL</v>
      </c>
      <c r="EW431" t="str">
        <v>ANGULO MURILLO NAVIRA GISSELA</v>
      </c>
      <c r="EX431" t="str">
        <v>OCHOA SOLEDISPA NESTOR IVAN</v>
      </c>
      <c r="EY431" t="str">
        <v>PARRAGA FRANCO SILVANA MARIELA</v>
      </c>
      <c r="EZ431" t="str">
        <v>PINARGOTE VASQUEZ NANCY FABIOLA</v>
      </c>
      <c r="FA431" t="str">
        <v>REYES VELEZ PEDRO ENRIQUE</v>
      </c>
      <c r="FB431" t="str">
        <v>SAN ANDRES HORMAZA DALLAS CECILIA</v>
      </c>
      <c r="FC431" t="str">
        <v>SORNOZA ZAMORA JUAN CARLOS</v>
      </c>
      <c r="FD431" t="str">
        <v>TOMALA PINTO JESUS JACINTO</v>
      </c>
      <c r="FE431" t="str">
        <v>VALLE JARAMILLO SILVIA ARACELY</v>
      </c>
      <c r="FF431" t="str">
        <v>VELÁSQUEZ BRAVO IRMA KATHERINE</v>
      </c>
      <c r="FG431" t="str">
        <v>VELEZ MENDOZA LAYSY VALERIA</v>
      </c>
      <c r="FH431" t="str">
        <v>VINUEZA TELLO SHIRLEY ELIZABETH</v>
      </c>
      <c r="FI431" t="str">
        <v>ZAMBRANO ALCIVAR NILDA ISABEL</v>
      </c>
      <c r="FJ431" t="str">
        <v>ZAMBRANO LOOR RITA MAYDA</v>
      </c>
      <c r="FK431" t="str">
        <v>ZAMBRANO VERA MONICA JANETH</v>
      </c>
      <c r="FL431" t="str">
        <v>VERA DELGADO BRYAN ADRIÁN</v>
      </c>
      <c r="FM431" t="str">
        <v>MORAN GONZALES DAVID RENATO</v>
      </c>
      <c r="FN431">
        <v>0</v>
      </c>
    </row>
    <row r="432" spans="1:170" ht="20.25" customHeight="1">
      <c r="A432" s="4" t="str" cm="1">
        <f t="array" ref="A432">TRANSPOSE(_xlfn.UNIQUE(_xlfn._xlws.FILTER(MAE_ASIGNATURA[ID_NIVEL],MAE_ASIGNATURA[ID_CARRERA]=ASIGNACION!$C432,"No existe información")))</f>
        <v>No existe información</v>
      </c>
      <c r="S432" s="4" t="str" cm="1">
        <f t="array" ref="S432">TRANSPOSE(_xlfn.UNIQUE(_xlfn._xlws.FILTER(MAE_ASIGNATURA[NOM_ASIG],(MAE_ASIGNATURA[ID_NIVEL]=ASIGNACION!$D432)*(MAE_ASIGNATURA[ID_CARRERA]=ASIGNACION!$C432),"No existe información")))</f>
        <v>No existe información</v>
      </c>
      <c r="BD432" s="4" t="str" cm="1">
        <f t="array" ref="BD432">TRANSPOSE(_xlfn.UNIQUE(_xlfn._xlws.FILTER(DET_ASIG[DETALLADO],(DET_ASIG[ID_CARRERA]=ASIGNACION!$C432)*(DET_ASIG[NIVEL]=ASIGNACION!$D432)*(DET_ASIG[ID_ASIG]=ASIGNACION!$G432),"No existe información")))</f>
        <v>No existe información</v>
      </c>
      <c r="BQ432" s="5" t="str" cm="1">
        <f t="array" ref="BQ432">IFERROR(
    TRANSPOSE(
        _xlfn.UNIQUE(
            _xlfn._xlws.FILTER(MAESTRIA_DETALLADO[MAESTRIA],
                ISNUMBER(MATCH(MAESTRIA_DETALLADO[CAMPO_DETALLADO],
                BD432:BP432,0))
            )
        )
    ),IF(BD432="ACTIVIDAD","DOCENCIA",""))</f>
        <v/>
      </c>
      <c r="EA432" s="5" t="str" cm="1">
        <f t="array" ref="EA432:FN432">IF(
    ASIGNACION!I432="SI",
    IFERROR(
        TRANSPOSE(
            _xlfn.UNIQUE(
                _xlfn._xlws.FILTER(EDU_DOCENTE[NOMBRE_DOCENTE],
                    ISNUMBER(MATCH(EDU_DOCENTE[MAESTRIA],
                    BQ432:DY432,0))
                )
            )
        ),
        ""
    ),
    TRANSPOSE(
        _xlfn.UNIQUE(EDU_DOCENTE[NOMBRE_DOCENTE]
        )
    )
)</f>
        <v>ALCIVAR CEDEÑO BEATRIZ ISABEL</v>
      </c>
      <c r="EB432" t="str">
        <v>ALCIVAR VERA GEMA MICHELLE</v>
      </c>
      <c r="EC432" t="str">
        <v>ARAUZ CHAVEZ MARIO ROBERTO</v>
      </c>
      <c r="ED432" t="str">
        <v>BAILON LOURIDO WALTER ALBERTO</v>
      </c>
      <c r="EE432" t="str">
        <v>CALDERERO VILLAGOMEZ ERICK ANTONIO</v>
      </c>
      <c r="EF432" t="str">
        <v>CASTILLO GARCIA PAOLA GERMANIA</v>
      </c>
      <c r="EG432" t="str">
        <v>CEDEÑO CHOEZ PEDRO JAVIER</v>
      </c>
      <c r="EH432" t="str">
        <v>CEVALLOS HOPPE JUAN CARLOS</v>
      </c>
      <c r="EI432" t="str">
        <v>DELGADO CHAVEZ MARIA IRASEMA</v>
      </c>
      <c r="EJ432" t="str">
        <v>DUARTE VALENCIA CRISTHIAN DARIO</v>
      </c>
      <c r="EK432" t="str">
        <v>FORTTY BARBERAN DENNY ALEXANDER</v>
      </c>
      <c r="EL432" t="str">
        <v>GUTIERREZ ZAMBRANO CARMEN EBELINA</v>
      </c>
      <c r="EM432" t="str">
        <v>INTRIAGO MOLINA GEMA VALERIA</v>
      </c>
      <c r="EN432" t="str">
        <v>LINO VELEZ LEONEL LIVINGTON</v>
      </c>
      <c r="EO432" t="str">
        <v>LOOR ALCIVAR MARIA ILIANA</v>
      </c>
      <c r="EP432" t="str">
        <v>LOOR MIELES TANIA JACQUELINE</v>
      </c>
      <c r="EQ432" t="str">
        <v>LOOR SOLORZANO ROSA MARIA</v>
      </c>
      <c r="ER432" t="str">
        <v>LOPEZ DELGADO RONALD MAURICIO</v>
      </c>
      <c r="ES432" t="str">
        <v>MACIAS VALENCIA DAVID GABRIEL</v>
      </c>
      <c r="ET432" t="str">
        <v>MENDOZA ZAMORA WALTER MANUEL</v>
      </c>
      <c r="EU432" t="str">
        <v>MOLINA CEVALLOS MARIA LORENA</v>
      </c>
      <c r="EV432" t="str">
        <v>MURILLO DELGADO ISAAC GABRIEL</v>
      </c>
      <c r="EW432" t="str">
        <v>ANGULO MURILLO NAVIRA GISSELA</v>
      </c>
      <c r="EX432" t="str">
        <v>OCHOA SOLEDISPA NESTOR IVAN</v>
      </c>
      <c r="EY432" t="str">
        <v>PARRAGA FRANCO SILVANA MARIELA</v>
      </c>
      <c r="EZ432" t="str">
        <v>PINARGOTE VASQUEZ NANCY FABIOLA</v>
      </c>
      <c r="FA432" t="str">
        <v>REYES VELEZ PEDRO ENRIQUE</v>
      </c>
      <c r="FB432" t="str">
        <v>SAN ANDRES HORMAZA DALLAS CECILIA</v>
      </c>
      <c r="FC432" t="str">
        <v>SORNOZA ZAMORA JUAN CARLOS</v>
      </c>
      <c r="FD432" t="str">
        <v>TOMALA PINTO JESUS JACINTO</v>
      </c>
      <c r="FE432" t="str">
        <v>VALLE JARAMILLO SILVIA ARACELY</v>
      </c>
      <c r="FF432" t="str">
        <v>VELÁSQUEZ BRAVO IRMA KATHERINE</v>
      </c>
      <c r="FG432" t="str">
        <v>VELEZ MENDOZA LAYSY VALERIA</v>
      </c>
      <c r="FH432" t="str">
        <v>VINUEZA TELLO SHIRLEY ELIZABETH</v>
      </c>
      <c r="FI432" t="str">
        <v>ZAMBRANO ALCIVAR NILDA ISABEL</v>
      </c>
      <c r="FJ432" t="str">
        <v>ZAMBRANO LOOR RITA MAYDA</v>
      </c>
      <c r="FK432" t="str">
        <v>ZAMBRANO VERA MONICA JANETH</v>
      </c>
      <c r="FL432" t="str">
        <v>VERA DELGADO BRYAN ADRIÁN</v>
      </c>
      <c r="FM432" t="str">
        <v>MORAN GONZALES DAVID RENATO</v>
      </c>
      <c r="FN432">
        <v>0</v>
      </c>
    </row>
    <row r="433" spans="1:170" ht="20.25" customHeight="1">
      <c r="A433" s="4" t="str" cm="1">
        <f t="array" ref="A433">TRANSPOSE(_xlfn.UNIQUE(_xlfn._xlws.FILTER(MAE_ASIGNATURA[ID_NIVEL],MAE_ASIGNATURA[ID_CARRERA]=ASIGNACION!$C433,"No existe información")))</f>
        <v>No existe información</v>
      </c>
      <c r="S433" s="4" t="str" cm="1">
        <f t="array" ref="S433">TRANSPOSE(_xlfn.UNIQUE(_xlfn._xlws.FILTER(MAE_ASIGNATURA[NOM_ASIG],(MAE_ASIGNATURA[ID_NIVEL]=ASIGNACION!$D433)*(MAE_ASIGNATURA[ID_CARRERA]=ASIGNACION!$C433),"No existe información")))</f>
        <v>No existe información</v>
      </c>
      <c r="BD433" s="4" t="str" cm="1">
        <f t="array" ref="BD433">TRANSPOSE(_xlfn.UNIQUE(_xlfn._xlws.FILTER(DET_ASIG[DETALLADO],(DET_ASIG[ID_CARRERA]=ASIGNACION!$C433)*(DET_ASIG[NIVEL]=ASIGNACION!$D433)*(DET_ASIG[ID_ASIG]=ASIGNACION!$G433),"No existe información")))</f>
        <v>No existe información</v>
      </c>
      <c r="BQ433" s="5" t="str" cm="1">
        <f t="array" ref="BQ433">IFERROR(
    TRANSPOSE(
        _xlfn.UNIQUE(
            _xlfn._xlws.FILTER(MAESTRIA_DETALLADO[MAESTRIA],
                ISNUMBER(MATCH(MAESTRIA_DETALLADO[CAMPO_DETALLADO],
                BD433:BP433,0))
            )
        )
    ),IF(BD433="ACTIVIDAD","DOCENCIA",""))</f>
        <v/>
      </c>
      <c r="EA433" s="5" t="str" cm="1">
        <f t="array" ref="EA433:FN433">IF(
    ASIGNACION!I433="SI",
    IFERROR(
        TRANSPOSE(
            _xlfn.UNIQUE(
                _xlfn._xlws.FILTER(EDU_DOCENTE[NOMBRE_DOCENTE],
                    ISNUMBER(MATCH(EDU_DOCENTE[MAESTRIA],
                    BQ433:DY433,0))
                )
            )
        ),
        ""
    ),
    TRANSPOSE(
        _xlfn.UNIQUE(EDU_DOCENTE[NOMBRE_DOCENTE]
        )
    )
)</f>
        <v>ALCIVAR CEDEÑO BEATRIZ ISABEL</v>
      </c>
      <c r="EB433" t="str">
        <v>ALCIVAR VERA GEMA MICHELLE</v>
      </c>
      <c r="EC433" t="str">
        <v>ARAUZ CHAVEZ MARIO ROBERTO</v>
      </c>
      <c r="ED433" t="str">
        <v>BAILON LOURIDO WALTER ALBERTO</v>
      </c>
      <c r="EE433" t="str">
        <v>CALDERERO VILLAGOMEZ ERICK ANTONIO</v>
      </c>
      <c r="EF433" t="str">
        <v>CASTILLO GARCIA PAOLA GERMANIA</v>
      </c>
      <c r="EG433" t="str">
        <v>CEDEÑO CHOEZ PEDRO JAVIER</v>
      </c>
      <c r="EH433" t="str">
        <v>CEVALLOS HOPPE JUAN CARLOS</v>
      </c>
      <c r="EI433" t="str">
        <v>DELGADO CHAVEZ MARIA IRASEMA</v>
      </c>
      <c r="EJ433" t="str">
        <v>DUARTE VALENCIA CRISTHIAN DARIO</v>
      </c>
      <c r="EK433" t="str">
        <v>FORTTY BARBERAN DENNY ALEXANDER</v>
      </c>
      <c r="EL433" t="str">
        <v>GUTIERREZ ZAMBRANO CARMEN EBELINA</v>
      </c>
      <c r="EM433" t="str">
        <v>INTRIAGO MOLINA GEMA VALERIA</v>
      </c>
      <c r="EN433" t="str">
        <v>LINO VELEZ LEONEL LIVINGTON</v>
      </c>
      <c r="EO433" t="str">
        <v>LOOR ALCIVAR MARIA ILIANA</v>
      </c>
      <c r="EP433" t="str">
        <v>LOOR MIELES TANIA JACQUELINE</v>
      </c>
      <c r="EQ433" t="str">
        <v>LOOR SOLORZANO ROSA MARIA</v>
      </c>
      <c r="ER433" t="str">
        <v>LOPEZ DELGADO RONALD MAURICIO</v>
      </c>
      <c r="ES433" t="str">
        <v>MACIAS VALENCIA DAVID GABRIEL</v>
      </c>
      <c r="ET433" t="str">
        <v>MENDOZA ZAMORA WALTER MANUEL</v>
      </c>
      <c r="EU433" t="str">
        <v>MOLINA CEVALLOS MARIA LORENA</v>
      </c>
      <c r="EV433" t="str">
        <v>MURILLO DELGADO ISAAC GABRIEL</v>
      </c>
      <c r="EW433" t="str">
        <v>ANGULO MURILLO NAVIRA GISSELA</v>
      </c>
      <c r="EX433" t="str">
        <v>OCHOA SOLEDISPA NESTOR IVAN</v>
      </c>
      <c r="EY433" t="str">
        <v>PARRAGA FRANCO SILVANA MARIELA</v>
      </c>
      <c r="EZ433" t="str">
        <v>PINARGOTE VASQUEZ NANCY FABIOLA</v>
      </c>
      <c r="FA433" t="str">
        <v>REYES VELEZ PEDRO ENRIQUE</v>
      </c>
      <c r="FB433" t="str">
        <v>SAN ANDRES HORMAZA DALLAS CECILIA</v>
      </c>
      <c r="FC433" t="str">
        <v>SORNOZA ZAMORA JUAN CARLOS</v>
      </c>
      <c r="FD433" t="str">
        <v>TOMALA PINTO JESUS JACINTO</v>
      </c>
      <c r="FE433" t="str">
        <v>VALLE JARAMILLO SILVIA ARACELY</v>
      </c>
      <c r="FF433" t="str">
        <v>VELÁSQUEZ BRAVO IRMA KATHERINE</v>
      </c>
      <c r="FG433" t="str">
        <v>VELEZ MENDOZA LAYSY VALERIA</v>
      </c>
      <c r="FH433" t="str">
        <v>VINUEZA TELLO SHIRLEY ELIZABETH</v>
      </c>
      <c r="FI433" t="str">
        <v>ZAMBRANO ALCIVAR NILDA ISABEL</v>
      </c>
      <c r="FJ433" t="str">
        <v>ZAMBRANO LOOR RITA MAYDA</v>
      </c>
      <c r="FK433" t="str">
        <v>ZAMBRANO VERA MONICA JANETH</v>
      </c>
      <c r="FL433" t="str">
        <v>VERA DELGADO BRYAN ADRIÁN</v>
      </c>
      <c r="FM433" t="str">
        <v>MORAN GONZALES DAVID RENATO</v>
      </c>
      <c r="FN433">
        <v>0</v>
      </c>
    </row>
    <row r="434" spans="1:170" ht="20.25" customHeight="1">
      <c r="A434" s="4" t="str" cm="1">
        <f t="array" ref="A434">TRANSPOSE(_xlfn.UNIQUE(_xlfn._xlws.FILTER(MAE_ASIGNATURA[ID_NIVEL],MAE_ASIGNATURA[ID_CARRERA]=ASIGNACION!$C434,"No existe información")))</f>
        <v>No existe información</v>
      </c>
      <c r="S434" s="4" t="str" cm="1">
        <f t="array" ref="S434">TRANSPOSE(_xlfn.UNIQUE(_xlfn._xlws.FILTER(MAE_ASIGNATURA[NOM_ASIG],(MAE_ASIGNATURA[ID_NIVEL]=ASIGNACION!$D434)*(MAE_ASIGNATURA[ID_CARRERA]=ASIGNACION!$C434),"No existe información")))</f>
        <v>No existe información</v>
      </c>
      <c r="BD434" s="4" t="str" cm="1">
        <f t="array" ref="BD434">TRANSPOSE(_xlfn.UNIQUE(_xlfn._xlws.FILTER(DET_ASIG[DETALLADO],(DET_ASIG[ID_CARRERA]=ASIGNACION!$C434)*(DET_ASIG[NIVEL]=ASIGNACION!$D434)*(DET_ASIG[ID_ASIG]=ASIGNACION!$G434),"No existe información")))</f>
        <v>No existe información</v>
      </c>
      <c r="BQ434" s="5" t="str" cm="1">
        <f t="array" ref="BQ434">IFERROR(
    TRANSPOSE(
        _xlfn.UNIQUE(
            _xlfn._xlws.FILTER(MAESTRIA_DETALLADO[MAESTRIA],
                ISNUMBER(MATCH(MAESTRIA_DETALLADO[CAMPO_DETALLADO],
                BD434:BP434,0))
            )
        )
    ),IF(BD434="ACTIVIDAD","DOCENCIA",""))</f>
        <v/>
      </c>
      <c r="EA434" s="5" t="str" cm="1">
        <f t="array" ref="EA434:FN434">IF(
    ASIGNACION!I434="SI",
    IFERROR(
        TRANSPOSE(
            _xlfn.UNIQUE(
                _xlfn._xlws.FILTER(EDU_DOCENTE[NOMBRE_DOCENTE],
                    ISNUMBER(MATCH(EDU_DOCENTE[MAESTRIA],
                    BQ434:DY434,0))
                )
            )
        ),
        ""
    ),
    TRANSPOSE(
        _xlfn.UNIQUE(EDU_DOCENTE[NOMBRE_DOCENTE]
        )
    )
)</f>
        <v>ALCIVAR CEDEÑO BEATRIZ ISABEL</v>
      </c>
      <c r="EB434" t="str">
        <v>ALCIVAR VERA GEMA MICHELLE</v>
      </c>
      <c r="EC434" t="str">
        <v>ARAUZ CHAVEZ MARIO ROBERTO</v>
      </c>
      <c r="ED434" t="str">
        <v>BAILON LOURIDO WALTER ALBERTO</v>
      </c>
      <c r="EE434" t="str">
        <v>CALDERERO VILLAGOMEZ ERICK ANTONIO</v>
      </c>
      <c r="EF434" t="str">
        <v>CASTILLO GARCIA PAOLA GERMANIA</v>
      </c>
      <c r="EG434" t="str">
        <v>CEDEÑO CHOEZ PEDRO JAVIER</v>
      </c>
      <c r="EH434" t="str">
        <v>CEVALLOS HOPPE JUAN CARLOS</v>
      </c>
      <c r="EI434" t="str">
        <v>DELGADO CHAVEZ MARIA IRASEMA</v>
      </c>
      <c r="EJ434" t="str">
        <v>DUARTE VALENCIA CRISTHIAN DARIO</v>
      </c>
      <c r="EK434" t="str">
        <v>FORTTY BARBERAN DENNY ALEXANDER</v>
      </c>
      <c r="EL434" t="str">
        <v>GUTIERREZ ZAMBRANO CARMEN EBELINA</v>
      </c>
      <c r="EM434" t="str">
        <v>INTRIAGO MOLINA GEMA VALERIA</v>
      </c>
      <c r="EN434" t="str">
        <v>LINO VELEZ LEONEL LIVINGTON</v>
      </c>
      <c r="EO434" t="str">
        <v>LOOR ALCIVAR MARIA ILIANA</v>
      </c>
      <c r="EP434" t="str">
        <v>LOOR MIELES TANIA JACQUELINE</v>
      </c>
      <c r="EQ434" t="str">
        <v>LOOR SOLORZANO ROSA MARIA</v>
      </c>
      <c r="ER434" t="str">
        <v>LOPEZ DELGADO RONALD MAURICIO</v>
      </c>
      <c r="ES434" t="str">
        <v>MACIAS VALENCIA DAVID GABRIEL</v>
      </c>
      <c r="ET434" t="str">
        <v>MENDOZA ZAMORA WALTER MANUEL</v>
      </c>
      <c r="EU434" t="str">
        <v>MOLINA CEVALLOS MARIA LORENA</v>
      </c>
      <c r="EV434" t="str">
        <v>MURILLO DELGADO ISAAC GABRIEL</v>
      </c>
      <c r="EW434" t="str">
        <v>ANGULO MURILLO NAVIRA GISSELA</v>
      </c>
      <c r="EX434" t="str">
        <v>OCHOA SOLEDISPA NESTOR IVAN</v>
      </c>
      <c r="EY434" t="str">
        <v>PARRAGA FRANCO SILVANA MARIELA</v>
      </c>
      <c r="EZ434" t="str">
        <v>PINARGOTE VASQUEZ NANCY FABIOLA</v>
      </c>
      <c r="FA434" t="str">
        <v>REYES VELEZ PEDRO ENRIQUE</v>
      </c>
      <c r="FB434" t="str">
        <v>SAN ANDRES HORMAZA DALLAS CECILIA</v>
      </c>
      <c r="FC434" t="str">
        <v>SORNOZA ZAMORA JUAN CARLOS</v>
      </c>
      <c r="FD434" t="str">
        <v>TOMALA PINTO JESUS JACINTO</v>
      </c>
      <c r="FE434" t="str">
        <v>VALLE JARAMILLO SILVIA ARACELY</v>
      </c>
      <c r="FF434" t="str">
        <v>VELÁSQUEZ BRAVO IRMA KATHERINE</v>
      </c>
      <c r="FG434" t="str">
        <v>VELEZ MENDOZA LAYSY VALERIA</v>
      </c>
      <c r="FH434" t="str">
        <v>VINUEZA TELLO SHIRLEY ELIZABETH</v>
      </c>
      <c r="FI434" t="str">
        <v>ZAMBRANO ALCIVAR NILDA ISABEL</v>
      </c>
      <c r="FJ434" t="str">
        <v>ZAMBRANO LOOR RITA MAYDA</v>
      </c>
      <c r="FK434" t="str">
        <v>ZAMBRANO VERA MONICA JANETH</v>
      </c>
      <c r="FL434" t="str">
        <v>VERA DELGADO BRYAN ADRIÁN</v>
      </c>
      <c r="FM434" t="str">
        <v>MORAN GONZALES DAVID RENATO</v>
      </c>
      <c r="FN434">
        <v>0</v>
      </c>
    </row>
    <row r="435" spans="1:170" ht="20.25" customHeight="1">
      <c r="A435" s="4" t="str" cm="1">
        <f t="array" ref="A435">TRANSPOSE(_xlfn.UNIQUE(_xlfn._xlws.FILTER(MAE_ASIGNATURA[ID_NIVEL],MAE_ASIGNATURA[ID_CARRERA]=ASIGNACION!$C435,"No existe información")))</f>
        <v>No existe información</v>
      </c>
      <c r="S435" s="4" t="str" cm="1">
        <f t="array" ref="S435">TRANSPOSE(_xlfn.UNIQUE(_xlfn._xlws.FILTER(MAE_ASIGNATURA[NOM_ASIG],(MAE_ASIGNATURA[ID_NIVEL]=ASIGNACION!$D435)*(MAE_ASIGNATURA[ID_CARRERA]=ASIGNACION!$C435),"No existe información")))</f>
        <v>No existe información</v>
      </c>
      <c r="BD435" s="4" t="str" cm="1">
        <f t="array" ref="BD435">TRANSPOSE(_xlfn.UNIQUE(_xlfn._xlws.FILTER(DET_ASIG[DETALLADO],(DET_ASIG[ID_CARRERA]=ASIGNACION!$C435)*(DET_ASIG[NIVEL]=ASIGNACION!$D435)*(DET_ASIG[ID_ASIG]=ASIGNACION!$G435),"No existe información")))</f>
        <v>No existe información</v>
      </c>
      <c r="BQ435" s="5" t="str" cm="1">
        <f t="array" ref="BQ435">IFERROR(
    TRANSPOSE(
        _xlfn.UNIQUE(
            _xlfn._xlws.FILTER(MAESTRIA_DETALLADO[MAESTRIA],
                ISNUMBER(MATCH(MAESTRIA_DETALLADO[CAMPO_DETALLADO],
                BD435:BP435,0))
            )
        )
    ),IF(BD435="ACTIVIDAD","DOCENCIA",""))</f>
        <v/>
      </c>
      <c r="EA435" s="5" t="str" cm="1">
        <f t="array" ref="EA435:FN435">IF(
    ASIGNACION!I435="SI",
    IFERROR(
        TRANSPOSE(
            _xlfn.UNIQUE(
                _xlfn._xlws.FILTER(EDU_DOCENTE[NOMBRE_DOCENTE],
                    ISNUMBER(MATCH(EDU_DOCENTE[MAESTRIA],
                    BQ435:DY435,0))
                )
            )
        ),
        ""
    ),
    TRANSPOSE(
        _xlfn.UNIQUE(EDU_DOCENTE[NOMBRE_DOCENTE]
        )
    )
)</f>
        <v>ALCIVAR CEDEÑO BEATRIZ ISABEL</v>
      </c>
      <c r="EB435" t="str">
        <v>ALCIVAR VERA GEMA MICHELLE</v>
      </c>
      <c r="EC435" t="str">
        <v>ARAUZ CHAVEZ MARIO ROBERTO</v>
      </c>
      <c r="ED435" t="str">
        <v>BAILON LOURIDO WALTER ALBERTO</v>
      </c>
      <c r="EE435" t="str">
        <v>CALDERERO VILLAGOMEZ ERICK ANTONIO</v>
      </c>
      <c r="EF435" t="str">
        <v>CASTILLO GARCIA PAOLA GERMANIA</v>
      </c>
      <c r="EG435" t="str">
        <v>CEDEÑO CHOEZ PEDRO JAVIER</v>
      </c>
      <c r="EH435" t="str">
        <v>CEVALLOS HOPPE JUAN CARLOS</v>
      </c>
      <c r="EI435" t="str">
        <v>DELGADO CHAVEZ MARIA IRASEMA</v>
      </c>
      <c r="EJ435" t="str">
        <v>DUARTE VALENCIA CRISTHIAN DARIO</v>
      </c>
      <c r="EK435" t="str">
        <v>FORTTY BARBERAN DENNY ALEXANDER</v>
      </c>
      <c r="EL435" t="str">
        <v>GUTIERREZ ZAMBRANO CARMEN EBELINA</v>
      </c>
      <c r="EM435" t="str">
        <v>INTRIAGO MOLINA GEMA VALERIA</v>
      </c>
      <c r="EN435" t="str">
        <v>LINO VELEZ LEONEL LIVINGTON</v>
      </c>
      <c r="EO435" t="str">
        <v>LOOR ALCIVAR MARIA ILIANA</v>
      </c>
      <c r="EP435" t="str">
        <v>LOOR MIELES TANIA JACQUELINE</v>
      </c>
      <c r="EQ435" t="str">
        <v>LOOR SOLORZANO ROSA MARIA</v>
      </c>
      <c r="ER435" t="str">
        <v>LOPEZ DELGADO RONALD MAURICIO</v>
      </c>
      <c r="ES435" t="str">
        <v>MACIAS VALENCIA DAVID GABRIEL</v>
      </c>
      <c r="ET435" t="str">
        <v>MENDOZA ZAMORA WALTER MANUEL</v>
      </c>
      <c r="EU435" t="str">
        <v>MOLINA CEVALLOS MARIA LORENA</v>
      </c>
      <c r="EV435" t="str">
        <v>MURILLO DELGADO ISAAC GABRIEL</v>
      </c>
      <c r="EW435" t="str">
        <v>ANGULO MURILLO NAVIRA GISSELA</v>
      </c>
      <c r="EX435" t="str">
        <v>OCHOA SOLEDISPA NESTOR IVAN</v>
      </c>
      <c r="EY435" t="str">
        <v>PARRAGA FRANCO SILVANA MARIELA</v>
      </c>
      <c r="EZ435" t="str">
        <v>PINARGOTE VASQUEZ NANCY FABIOLA</v>
      </c>
      <c r="FA435" t="str">
        <v>REYES VELEZ PEDRO ENRIQUE</v>
      </c>
      <c r="FB435" t="str">
        <v>SAN ANDRES HORMAZA DALLAS CECILIA</v>
      </c>
      <c r="FC435" t="str">
        <v>SORNOZA ZAMORA JUAN CARLOS</v>
      </c>
      <c r="FD435" t="str">
        <v>TOMALA PINTO JESUS JACINTO</v>
      </c>
      <c r="FE435" t="str">
        <v>VALLE JARAMILLO SILVIA ARACELY</v>
      </c>
      <c r="FF435" t="str">
        <v>VELÁSQUEZ BRAVO IRMA KATHERINE</v>
      </c>
      <c r="FG435" t="str">
        <v>VELEZ MENDOZA LAYSY VALERIA</v>
      </c>
      <c r="FH435" t="str">
        <v>VINUEZA TELLO SHIRLEY ELIZABETH</v>
      </c>
      <c r="FI435" t="str">
        <v>ZAMBRANO ALCIVAR NILDA ISABEL</v>
      </c>
      <c r="FJ435" t="str">
        <v>ZAMBRANO LOOR RITA MAYDA</v>
      </c>
      <c r="FK435" t="str">
        <v>ZAMBRANO VERA MONICA JANETH</v>
      </c>
      <c r="FL435" t="str">
        <v>VERA DELGADO BRYAN ADRIÁN</v>
      </c>
      <c r="FM435" t="str">
        <v>MORAN GONZALES DAVID RENATO</v>
      </c>
      <c r="FN435">
        <v>0</v>
      </c>
    </row>
    <row r="436" spans="1:170" ht="20.25" customHeight="1">
      <c r="A436" s="4" t="str" cm="1">
        <f t="array" ref="A436">TRANSPOSE(_xlfn.UNIQUE(_xlfn._xlws.FILTER(MAE_ASIGNATURA[ID_NIVEL],MAE_ASIGNATURA[ID_CARRERA]=ASIGNACION!$C436,"No existe información")))</f>
        <v>No existe información</v>
      </c>
      <c r="S436" s="4" t="str" cm="1">
        <f t="array" ref="S436">TRANSPOSE(_xlfn.UNIQUE(_xlfn._xlws.FILTER(MAE_ASIGNATURA[NOM_ASIG],(MAE_ASIGNATURA[ID_NIVEL]=ASIGNACION!$D436)*(MAE_ASIGNATURA[ID_CARRERA]=ASIGNACION!$C436),"No existe información")))</f>
        <v>No existe información</v>
      </c>
      <c r="BD436" s="4" t="str" cm="1">
        <f t="array" ref="BD436">TRANSPOSE(_xlfn.UNIQUE(_xlfn._xlws.FILTER(DET_ASIG[DETALLADO],(DET_ASIG[ID_CARRERA]=ASIGNACION!$C436)*(DET_ASIG[NIVEL]=ASIGNACION!$D436)*(DET_ASIG[ID_ASIG]=ASIGNACION!$G436),"No existe información")))</f>
        <v>No existe información</v>
      </c>
      <c r="BQ436" s="5" t="str" cm="1">
        <f t="array" ref="BQ436">IFERROR(
    TRANSPOSE(
        _xlfn.UNIQUE(
            _xlfn._xlws.FILTER(MAESTRIA_DETALLADO[MAESTRIA],
                ISNUMBER(MATCH(MAESTRIA_DETALLADO[CAMPO_DETALLADO],
                BD436:BP436,0))
            )
        )
    ),IF(BD436="ACTIVIDAD","DOCENCIA",""))</f>
        <v/>
      </c>
      <c r="EA436" s="5" t="str" cm="1">
        <f t="array" ref="EA436:FN436">IF(
    ASIGNACION!I436="SI",
    IFERROR(
        TRANSPOSE(
            _xlfn.UNIQUE(
                _xlfn._xlws.FILTER(EDU_DOCENTE[NOMBRE_DOCENTE],
                    ISNUMBER(MATCH(EDU_DOCENTE[MAESTRIA],
                    BQ436:DY436,0))
                )
            )
        ),
        ""
    ),
    TRANSPOSE(
        _xlfn.UNIQUE(EDU_DOCENTE[NOMBRE_DOCENTE]
        )
    )
)</f>
        <v>ALCIVAR CEDEÑO BEATRIZ ISABEL</v>
      </c>
      <c r="EB436" t="str">
        <v>ALCIVAR VERA GEMA MICHELLE</v>
      </c>
      <c r="EC436" t="str">
        <v>ARAUZ CHAVEZ MARIO ROBERTO</v>
      </c>
      <c r="ED436" t="str">
        <v>BAILON LOURIDO WALTER ALBERTO</v>
      </c>
      <c r="EE436" t="str">
        <v>CALDERERO VILLAGOMEZ ERICK ANTONIO</v>
      </c>
      <c r="EF436" t="str">
        <v>CASTILLO GARCIA PAOLA GERMANIA</v>
      </c>
      <c r="EG436" t="str">
        <v>CEDEÑO CHOEZ PEDRO JAVIER</v>
      </c>
      <c r="EH436" t="str">
        <v>CEVALLOS HOPPE JUAN CARLOS</v>
      </c>
      <c r="EI436" t="str">
        <v>DELGADO CHAVEZ MARIA IRASEMA</v>
      </c>
      <c r="EJ436" t="str">
        <v>DUARTE VALENCIA CRISTHIAN DARIO</v>
      </c>
      <c r="EK436" t="str">
        <v>FORTTY BARBERAN DENNY ALEXANDER</v>
      </c>
      <c r="EL436" t="str">
        <v>GUTIERREZ ZAMBRANO CARMEN EBELINA</v>
      </c>
      <c r="EM436" t="str">
        <v>INTRIAGO MOLINA GEMA VALERIA</v>
      </c>
      <c r="EN436" t="str">
        <v>LINO VELEZ LEONEL LIVINGTON</v>
      </c>
      <c r="EO436" t="str">
        <v>LOOR ALCIVAR MARIA ILIANA</v>
      </c>
      <c r="EP436" t="str">
        <v>LOOR MIELES TANIA JACQUELINE</v>
      </c>
      <c r="EQ436" t="str">
        <v>LOOR SOLORZANO ROSA MARIA</v>
      </c>
      <c r="ER436" t="str">
        <v>LOPEZ DELGADO RONALD MAURICIO</v>
      </c>
      <c r="ES436" t="str">
        <v>MACIAS VALENCIA DAVID GABRIEL</v>
      </c>
      <c r="ET436" t="str">
        <v>MENDOZA ZAMORA WALTER MANUEL</v>
      </c>
      <c r="EU436" t="str">
        <v>MOLINA CEVALLOS MARIA LORENA</v>
      </c>
      <c r="EV436" t="str">
        <v>MURILLO DELGADO ISAAC GABRIEL</v>
      </c>
      <c r="EW436" t="str">
        <v>ANGULO MURILLO NAVIRA GISSELA</v>
      </c>
      <c r="EX436" t="str">
        <v>OCHOA SOLEDISPA NESTOR IVAN</v>
      </c>
      <c r="EY436" t="str">
        <v>PARRAGA FRANCO SILVANA MARIELA</v>
      </c>
      <c r="EZ436" t="str">
        <v>PINARGOTE VASQUEZ NANCY FABIOLA</v>
      </c>
      <c r="FA436" t="str">
        <v>REYES VELEZ PEDRO ENRIQUE</v>
      </c>
      <c r="FB436" t="str">
        <v>SAN ANDRES HORMAZA DALLAS CECILIA</v>
      </c>
      <c r="FC436" t="str">
        <v>SORNOZA ZAMORA JUAN CARLOS</v>
      </c>
      <c r="FD436" t="str">
        <v>TOMALA PINTO JESUS JACINTO</v>
      </c>
      <c r="FE436" t="str">
        <v>VALLE JARAMILLO SILVIA ARACELY</v>
      </c>
      <c r="FF436" t="str">
        <v>VELÁSQUEZ BRAVO IRMA KATHERINE</v>
      </c>
      <c r="FG436" t="str">
        <v>VELEZ MENDOZA LAYSY VALERIA</v>
      </c>
      <c r="FH436" t="str">
        <v>VINUEZA TELLO SHIRLEY ELIZABETH</v>
      </c>
      <c r="FI436" t="str">
        <v>ZAMBRANO ALCIVAR NILDA ISABEL</v>
      </c>
      <c r="FJ436" t="str">
        <v>ZAMBRANO LOOR RITA MAYDA</v>
      </c>
      <c r="FK436" t="str">
        <v>ZAMBRANO VERA MONICA JANETH</v>
      </c>
      <c r="FL436" t="str">
        <v>VERA DELGADO BRYAN ADRIÁN</v>
      </c>
      <c r="FM436" t="str">
        <v>MORAN GONZALES DAVID RENATO</v>
      </c>
      <c r="FN436">
        <v>0</v>
      </c>
    </row>
    <row r="437" spans="1:170" ht="20.25" customHeight="1">
      <c r="A437" s="4" t="str" cm="1">
        <f t="array" ref="A437">TRANSPOSE(_xlfn.UNIQUE(_xlfn._xlws.FILTER(MAE_ASIGNATURA[ID_NIVEL],MAE_ASIGNATURA[ID_CARRERA]=ASIGNACION!$C437,"No existe información")))</f>
        <v>No existe información</v>
      </c>
      <c r="S437" s="4" t="str" cm="1">
        <f t="array" ref="S437">TRANSPOSE(_xlfn.UNIQUE(_xlfn._xlws.FILTER(MAE_ASIGNATURA[NOM_ASIG],(MAE_ASIGNATURA[ID_NIVEL]=ASIGNACION!$D437)*(MAE_ASIGNATURA[ID_CARRERA]=ASIGNACION!$C437),"No existe información")))</f>
        <v>No existe información</v>
      </c>
      <c r="BD437" s="4" t="str" cm="1">
        <f t="array" ref="BD437">TRANSPOSE(_xlfn.UNIQUE(_xlfn._xlws.FILTER(DET_ASIG[DETALLADO],(DET_ASIG[ID_CARRERA]=ASIGNACION!$C437)*(DET_ASIG[NIVEL]=ASIGNACION!$D437)*(DET_ASIG[ID_ASIG]=ASIGNACION!$G437),"No existe información")))</f>
        <v>No existe información</v>
      </c>
      <c r="BQ437" s="5" t="str" cm="1">
        <f t="array" ref="BQ437">IFERROR(
    TRANSPOSE(
        _xlfn.UNIQUE(
            _xlfn._xlws.FILTER(MAESTRIA_DETALLADO[MAESTRIA],
                ISNUMBER(MATCH(MAESTRIA_DETALLADO[CAMPO_DETALLADO],
                BD437:BP437,0))
            )
        )
    ),IF(BD437="ACTIVIDAD","DOCENCIA",""))</f>
        <v/>
      </c>
      <c r="EA437" s="5" t="str" cm="1">
        <f t="array" ref="EA437:FN437">IF(
    ASIGNACION!I437="SI",
    IFERROR(
        TRANSPOSE(
            _xlfn.UNIQUE(
                _xlfn._xlws.FILTER(EDU_DOCENTE[NOMBRE_DOCENTE],
                    ISNUMBER(MATCH(EDU_DOCENTE[MAESTRIA],
                    BQ437:DY437,0))
                )
            )
        ),
        ""
    ),
    TRANSPOSE(
        _xlfn.UNIQUE(EDU_DOCENTE[NOMBRE_DOCENTE]
        )
    )
)</f>
        <v>ALCIVAR CEDEÑO BEATRIZ ISABEL</v>
      </c>
      <c r="EB437" t="str">
        <v>ALCIVAR VERA GEMA MICHELLE</v>
      </c>
      <c r="EC437" t="str">
        <v>ARAUZ CHAVEZ MARIO ROBERTO</v>
      </c>
      <c r="ED437" t="str">
        <v>BAILON LOURIDO WALTER ALBERTO</v>
      </c>
      <c r="EE437" t="str">
        <v>CALDERERO VILLAGOMEZ ERICK ANTONIO</v>
      </c>
      <c r="EF437" t="str">
        <v>CASTILLO GARCIA PAOLA GERMANIA</v>
      </c>
      <c r="EG437" t="str">
        <v>CEDEÑO CHOEZ PEDRO JAVIER</v>
      </c>
      <c r="EH437" t="str">
        <v>CEVALLOS HOPPE JUAN CARLOS</v>
      </c>
      <c r="EI437" t="str">
        <v>DELGADO CHAVEZ MARIA IRASEMA</v>
      </c>
      <c r="EJ437" t="str">
        <v>DUARTE VALENCIA CRISTHIAN DARIO</v>
      </c>
      <c r="EK437" t="str">
        <v>FORTTY BARBERAN DENNY ALEXANDER</v>
      </c>
      <c r="EL437" t="str">
        <v>GUTIERREZ ZAMBRANO CARMEN EBELINA</v>
      </c>
      <c r="EM437" t="str">
        <v>INTRIAGO MOLINA GEMA VALERIA</v>
      </c>
      <c r="EN437" t="str">
        <v>LINO VELEZ LEONEL LIVINGTON</v>
      </c>
      <c r="EO437" t="str">
        <v>LOOR ALCIVAR MARIA ILIANA</v>
      </c>
      <c r="EP437" t="str">
        <v>LOOR MIELES TANIA JACQUELINE</v>
      </c>
      <c r="EQ437" t="str">
        <v>LOOR SOLORZANO ROSA MARIA</v>
      </c>
      <c r="ER437" t="str">
        <v>LOPEZ DELGADO RONALD MAURICIO</v>
      </c>
      <c r="ES437" t="str">
        <v>MACIAS VALENCIA DAVID GABRIEL</v>
      </c>
      <c r="ET437" t="str">
        <v>MENDOZA ZAMORA WALTER MANUEL</v>
      </c>
      <c r="EU437" t="str">
        <v>MOLINA CEVALLOS MARIA LORENA</v>
      </c>
      <c r="EV437" t="str">
        <v>MURILLO DELGADO ISAAC GABRIEL</v>
      </c>
      <c r="EW437" t="str">
        <v>ANGULO MURILLO NAVIRA GISSELA</v>
      </c>
      <c r="EX437" t="str">
        <v>OCHOA SOLEDISPA NESTOR IVAN</v>
      </c>
      <c r="EY437" t="str">
        <v>PARRAGA FRANCO SILVANA MARIELA</v>
      </c>
      <c r="EZ437" t="str">
        <v>PINARGOTE VASQUEZ NANCY FABIOLA</v>
      </c>
      <c r="FA437" t="str">
        <v>REYES VELEZ PEDRO ENRIQUE</v>
      </c>
      <c r="FB437" t="str">
        <v>SAN ANDRES HORMAZA DALLAS CECILIA</v>
      </c>
      <c r="FC437" t="str">
        <v>SORNOZA ZAMORA JUAN CARLOS</v>
      </c>
      <c r="FD437" t="str">
        <v>TOMALA PINTO JESUS JACINTO</v>
      </c>
      <c r="FE437" t="str">
        <v>VALLE JARAMILLO SILVIA ARACELY</v>
      </c>
      <c r="FF437" t="str">
        <v>VELÁSQUEZ BRAVO IRMA KATHERINE</v>
      </c>
      <c r="FG437" t="str">
        <v>VELEZ MENDOZA LAYSY VALERIA</v>
      </c>
      <c r="FH437" t="str">
        <v>VINUEZA TELLO SHIRLEY ELIZABETH</v>
      </c>
      <c r="FI437" t="str">
        <v>ZAMBRANO ALCIVAR NILDA ISABEL</v>
      </c>
      <c r="FJ437" t="str">
        <v>ZAMBRANO LOOR RITA MAYDA</v>
      </c>
      <c r="FK437" t="str">
        <v>ZAMBRANO VERA MONICA JANETH</v>
      </c>
      <c r="FL437" t="str">
        <v>VERA DELGADO BRYAN ADRIÁN</v>
      </c>
      <c r="FM437" t="str">
        <v>MORAN GONZALES DAVID RENATO</v>
      </c>
      <c r="FN437">
        <v>0</v>
      </c>
    </row>
    <row r="438" spans="1:170" ht="20.25" customHeight="1">
      <c r="A438" s="4" t="str" cm="1">
        <f t="array" ref="A438">TRANSPOSE(_xlfn.UNIQUE(_xlfn._xlws.FILTER(MAE_ASIGNATURA[ID_NIVEL],MAE_ASIGNATURA[ID_CARRERA]=ASIGNACION!$C438,"No existe información")))</f>
        <v>No existe información</v>
      </c>
      <c r="S438" s="4" t="str" cm="1">
        <f t="array" ref="S438">TRANSPOSE(_xlfn.UNIQUE(_xlfn._xlws.FILTER(MAE_ASIGNATURA[NOM_ASIG],(MAE_ASIGNATURA[ID_NIVEL]=ASIGNACION!$D438)*(MAE_ASIGNATURA[ID_CARRERA]=ASIGNACION!$C438),"No existe información")))</f>
        <v>No existe información</v>
      </c>
      <c r="BD438" s="4" t="str" cm="1">
        <f t="array" ref="BD438">TRANSPOSE(_xlfn.UNIQUE(_xlfn._xlws.FILTER(DET_ASIG[DETALLADO],(DET_ASIG[ID_CARRERA]=ASIGNACION!$C438)*(DET_ASIG[NIVEL]=ASIGNACION!$D438)*(DET_ASIG[ID_ASIG]=ASIGNACION!$G438),"No existe información")))</f>
        <v>No existe información</v>
      </c>
      <c r="BQ438" s="5" t="str" cm="1">
        <f t="array" ref="BQ438">IFERROR(
    TRANSPOSE(
        _xlfn.UNIQUE(
            _xlfn._xlws.FILTER(MAESTRIA_DETALLADO[MAESTRIA],
                ISNUMBER(MATCH(MAESTRIA_DETALLADO[CAMPO_DETALLADO],
                BD438:BP438,0))
            )
        )
    ),IF(BD438="ACTIVIDAD","DOCENCIA",""))</f>
        <v/>
      </c>
      <c r="EA438" s="5" t="str" cm="1">
        <f t="array" ref="EA438:FN438">IF(
    ASIGNACION!I438="SI",
    IFERROR(
        TRANSPOSE(
            _xlfn.UNIQUE(
                _xlfn._xlws.FILTER(EDU_DOCENTE[NOMBRE_DOCENTE],
                    ISNUMBER(MATCH(EDU_DOCENTE[MAESTRIA],
                    BQ438:DY438,0))
                )
            )
        ),
        ""
    ),
    TRANSPOSE(
        _xlfn.UNIQUE(EDU_DOCENTE[NOMBRE_DOCENTE]
        )
    )
)</f>
        <v>ALCIVAR CEDEÑO BEATRIZ ISABEL</v>
      </c>
      <c r="EB438" t="str">
        <v>ALCIVAR VERA GEMA MICHELLE</v>
      </c>
      <c r="EC438" t="str">
        <v>ARAUZ CHAVEZ MARIO ROBERTO</v>
      </c>
      <c r="ED438" t="str">
        <v>BAILON LOURIDO WALTER ALBERTO</v>
      </c>
      <c r="EE438" t="str">
        <v>CALDERERO VILLAGOMEZ ERICK ANTONIO</v>
      </c>
      <c r="EF438" t="str">
        <v>CASTILLO GARCIA PAOLA GERMANIA</v>
      </c>
      <c r="EG438" t="str">
        <v>CEDEÑO CHOEZ PEDRO JAVIER</v>
      </c>
      <c r="EH438" t="str">
        <v>CEVALLOS HOPPE JUAN CARLOS</v>
      </c>
      <c r="EI438" t="str">
        <v>DELGADO CHAVEZ MARIA IRASEMA</v>
      </c>
      <c r="EJ438" t="str">
        <v>DUARTE VALENCIA CRISTHIAN DARIO</v>
      </c>
      <c r="EK438" t="str">
        <v>FORTTY BARBERAN DENNY ALEXANDER</v>
      </c>
      <c r="EL438" t="str">
        <v>GUTIERREZ ZAMBRANO CARMEN EBELINA</v>
      </c>
      <c r="EM438" t="str">
        <v>INTRIAGO MOLINA GEMA VALERIA</v>
      </c>
      <c r="EN438" t="str">
        <v>LINO VELEZ LEONEL LIVINGTON</v>
      </c>
      <c r="EO438" t="str">
        <v>LOOR ALCIVAR MARIA ILIANA</v>
      </c>
      <c r="EP438" t="str">
        <v>LOOR MIELES TANIA JACQUELINE</v>
      </c>
      <c r="EQ438" t="str">
        <v>LOOR SOLORZANO ROSA MARIA</v>
      </c>
      <c r="ER438" t="str">
        <v>LOPEZ DELGADO RONALD MAURICIO</v>
      </c>
      <c r="ES438" t="str">
        <v>MACIAS VALENCIA DAVID GABRIEL</v>
      </c>
      <c r="ET438" t="str">
        <v>MENDOZA ZAMORA WALTER MANUEL</v>
      </c>
      <c r="EU438" t="str">
        <v>MOLINA CEVALLOS MARIA LORENA</v>
      </c>
      <c r="EV438" t="str">
        <v>MURILLO DELGADO ISAAC GABRIEL</v>
      </c>
      <c r="EW438" t="str">
        <v>ANGULO MURILLO NAVIRA GISSELA</v>
      </c>
      <c r="EX438" t="str">
        <v>OCHOA SOLEDISPA NESTOR IVAN</v>
      </c>
      <c r="EY438" t="str">
        <v>PARRAGA FRANCO SILVANA MARIELA</v>
      </c>
      <c r="EZ438" t="str">
        <v>PINARGOTE VASQUEZ NANCY FABIOLA</v>
      </c>
      <c r="FA438" t="str">
        <v>REYES VELEZ PEDRO ENRIQUE</v>
      </c>
      <c r="FB438" t="str">
        <v>SAN ANDRES HORMAZA DALLAS CECILIA</v>
      </c>
      <c r="FC438" t="str">
        <v>SORNOZA ZAMORA JUAN CARLOS</v>
      </c>
      <c r="FD438" t="str">
        <v>TOMALA PINTO JESUS JACINTO</v>
      </c>
      <c r="FE438" t="str">
        <v>VALLE JARAMILLO SILVIA ARACELY</v>
      </c>
      <c r="FF438" t="str">
        <v>VELÁSQUEZ BRAVO IRMA KATHERINE</v>
      </c>
      <c r="FG438" t="str">
        <v>VELEZ MENDOZA LAYSY VALERIA</v>
      </c>
      <c r="FH438" t="str">
        <v>VINUEZA TELLO SHIRLEY ELIZABETH</v>
      </c>
      <c r="FI438" t="str">
        <v>ZAMBRANO ALCIVAR NILDA ISABEL</v>
      </c>
      <c r="FJ438" t="str">
        <v>ZAMBRANO LOOR RITA MAYDA</v>
      </c>
      <c r="FK438" t="str">
        <v>ZAMBRANO VERA MONICA JANETH</v>
      </c>
      <c r="FL438" t="str">
        <v>VERA DELGADO BRYAN ADRIÁN</v>
      </c>
      <c r="FM438" t="str">
        <v>MORAN GONZALES DAVID RENATO</v>
      </c>
      <c r="FN438">
        <v>0</v>
      </c>
    </row>
    <row r="439" spans="1:170" ht="20.25" customHeight="1">
      <c r="A439" s="4" t="str" cm="1">
        <f t="array" ref="A439">TRANSPOSE(_xlfn.UNIQUE(_xlfn._xlws.FILTER(MAE_ASIGNATURA[ID_NIVEL],MAE_ASIGNATURA[ID_CARRERA]=ASIGNACION!$C439,"No existe información")))</f>
        <v>No existe información</v>
      </c>
      <c r="S439" s="4" t="str" cm="1">
        <f t="array" ref="S439">TRANSPOSE(_xlfn.UNIQUE(_xlfn._xlws.FILTER(MAE_ASIGNATURA[NOM_ASIG],(MAE_ASIGNATURA[ID_NIVEL]=ASIGNACION!$D439)*(MAE_ASIGNATURA[ID_CARRERA]=ASIGNACION!$C439),"No existe información")))</f>
        <v>No existe información</v>
      </c>
      <c r="BD439" s="4" t="str" cm="1">
        <f t="array" ref="BD439">TRANSPOSE(_xlfn.UNIQUE(_xlfn._xlws.FILTER(DET_ASIG[DETALLADO],(DET_ASIG[ID_CARRERA]=ASIGNACION!$C439)*(DET_ASIG[NIVEL]=ASIGNACION!$D439)*(DET_ASIG[ID_ASIG]=ASIGNACION!$G439),"No existe información")))</f>
        <v>No existe información</v>
      </c>
      <c r="BQ439" s="5" t="str" cm="1">
        <f t="array" ref="BQ439">IFERROR(
    TRANSPOSE(
        _xlfn.UNIQUE(
            _xlfn._xlws.FILTER(MAESTRIA_DETALLADO[MAESTRIA],
                ISNUMBER(MATCH(MAESTRIA_DETALLADO[CAMPO_DETALLADO],
                BD439:BP439,0))
            )
        )
    ),IF(BD439="ACTIVIDAD","DOCENCIA",""))</f>
        <v/>
      </c>
      <c r="EA439" s="5" t="str" cm="1">
        <f t="array" ref="EA439:FN439">IF(
    ASIGNACION!I439="SI",
    IFERROR(
        TRANSPOSE(
            _xlfn.UNIQUE(
                _xlfn._xlws.FILTER(EDU_DOCENTE[NOMBRE_DOCENTE],
                    ISNUMBER(MATCH(EDU_DOCENTE[MAESTRIA],
                    BQ439:DY439,0))
                )
            )
        ),
        ""
    ),
    TRANSPOSE(
        _xlfn.UNIQUE(EDU_DOCENTE[NOMBRE_DOCENTE]
        )
    )
)</f>
        <v>ALCIVAR CEDEÑO BEATRIZ ISABEL</v>
      </c>
      <c r="EB439" t="str">
        <v>ALCIVAR VERA GEMA MICHELLE</v>
      </c>
      <c r="EC439" t="str">
        <v>ARAUZ CHAVEZ MARIO ROBERTO</v>
      </c>
      <c r="ED439" t="str">
        <v>BAILON LOURIDO WALTER ALBERTO</v>
      </c>
      <c r="EE439" t="str">
        <v>CALDERERO VILLAGOMEZ ERICK ANTONIO</v>
      </c>
      <c r="EF439" t="str">
        <v>CASTILLO GARCIA PAOLA GERMANIA</v>
      </c>
      <c r="EG439" t="str">
        <v>CEDEÑO CHOEZ PEDRO JAVIER</v>
      </c>
      <c r="EH439" t="str">
        <v>CEVALLOS HOPPE JUAN CARLOS</v>
      </c>
      <c r="EI439" t="str">
        <v>DELGADO CHAVEZ MARIA IRASEMA</v>
      </c>
      <c r="EJ439" t="str">
        <v>DUARTE VALENCIA CRISTHIAN DARIO</v>
      </c>
      <c r="EK439" t="str">
        <v>FORTTY BARBERAN DENNY ALEXANDER</v>
      </c>
      <c r="EL439" t="str">
        <v>GUTIERREZ ZAMBRANO CARMEN EBELINA</v>
      </c>
      <c r="EM439" t="str">
        <v>INTRIAGO MOLINA GEMA VALERIA</v>
      </c>
      <c r="EN439" t="str">
        <v>LINO VELEZ LEONEL LIVINGTON</v>
      </c>
      <c r="EO439" t="str">
        <v>LOOR ALCIVAR MARIA ILIANA</v>
      </c>
      <c r="EP439" t="str">
        <v>LOOR MIELES TANIA JACQUELINE</v>
      </c>
      <c r="EQ439" t="str">
        <v>LOOR SOLORZANO ROSA MARIA</v>
      </c>
      <c r="ER439" t="str">
        <v>LOPEZ DELGADO RONALD MAURICIO</v>
      </c>
      <c r="ES439" t="str">
        <v>MACIAS VALENCIA DAVID GABRIEL</v>
      </c>
      <c r="ET439" t="str">
        <v>MENDOZA ZAMORA WALTER MANUEL</v>
      </c>
      <c r="EU439" t="str">
        <v>MOLINA CEVALLOS MARIA LORENA</v>
      </c>
      <c r="EV439" t="str">
        <v>MURILLO DELGADO ISAAC GABRIEL</v>
      </c>
      <c r="EW439" t="str">
        <v>ANGULO MURILLO NAVIRA GISSELA</v>
      </c>
      <c r="EX439" t="str">
        <v>OCHOA SOLEDISPA NESTOR IVAN</v>
      </c>
      <c r="EY439" t="str">
        <v>PARRAGA FRANCO SILVANA MARIELA</v>
      </c>
      <c r="EZ439" t="str">
        <v>PINARGOTE VASQUEZ NANCY FABIOLA</v>
      </c>
      <c r="FA439" t="str">
        <v>REYES VELEZ PEDRO ENRIQUE</v>
      </c>
      <c r="FB439" t="str">
        <v>SAN ANDRES HORMAZA DALLAS CECILIA</v>
      </c>
      <c r="FC439" t="str">
        <v>SORNOZA ZAMORA JUAN CARLOS</v>
      </c>
      <c r="FD439" t="str">
        <v>TOMALA PINTO JESUS JACINTO</v>
      </c>
      <c r="FE439" t="str">
        <v>VALLE JARAMILLO SILVIA ARACELY</v>
      </c>
      <c r="FF439" t="str">
        <v>VELÁSQUEZ BRAVO IRMA KATHERINE</v>
      </c>
      <c r="FG439" t="str">
        <v>VELEZ MENDOZA LAYSY VALERIA</v>
      </c>
      <c r="FH439" t="str">
        <v>VINUEZA TELLO SHIRLEY ELIZABETH</v>
      </c>
      <c r="FI439" t="str">
        <v>ZAMBRANO ALCIVAR NILDA ISABEL</v>
      </c>
      <c r="FJ439" t="str">
        <v>ZAMBRANO LOOR RITA MAYDA</v>
      </c>
      <c r="FK439" t="str">
        <v>ZAMBRANO VERA MONICA JANETH</v>
      </c>
      <c r="FL439" t="str">
        <v>VERA DELGADO BRYAN ADRIÁN</v>
      </c>
      <c r="FM439" t="str">
        <v>MORAN GONZALES DAVID RENATO</v>
      </c>
      <c r="FN439">
        <v>0</v>
      </c>
    </row>
    <row r="440" spans="1:170" ht="20.25" customHeight="1">
      <c r="A440" s="4" t="str" cm="1">
        <f t="array" ref="A440">TRANSPOSE(_xlfn.UNIQUE(_xlfn._xlws.FILTER(MAE_ASIGNATURA[ID_NIVEL],MAE_ASIGNATURA[ID_CARRERA]=ASIGNACION!$C440,"No existe información")))</f>
        <v>No existe información</v>
      </c>
      <c r="S440" s="4" t="str" cm="1">
        <f t="array" ref="S440">TRANSPOSE(_xlfn.UNIQUE(_xlfn._xlws.FILTER(MAE_ASIGNATURA[NOM_ASIG],(MAE_ASIGNATURA[ID_NIVEL]=ASIGNACION!$D440)*(MAE_ASIGNATURA[ID_CARRERA]=ASIGNACION!$C440),"No existe información")))</f>
        <v>No existe información</v>
      </c>
      <c r="BD440" s="4" t="str" cm="1">
        <f t="array" ref="BD440">TRANSPOSE(_xlfn.UNIQUE(_xlfn._xlws.FILTER(DET_ASIG[DETALLADO],(DET_ASIG[ID_CARRERA]=ASIGNACION!$C440)*(DET_ASIG[NIVEL]=ASIGNACION!$D440)*(DET_ASIG[ID_ASIG]=ASIGNACION!$G440),"No existe información")))</f>
        <v>No existe información</v>
      </c>
      <c r="BQ440" s="5" t="str" cm="1">
        <f t="array" ref="BQ440">IFERROR(
    TRANSPOSE(
        _xlfn.UNIQUE(
            _xlfn._xlws.FILTER(MAESTRIA_DETALLADO[MAESTRIA],
                ISNUMBER(MATCH(MAESTRIA_DETALLADO[CAMPO_DETALLADO],
                BD440:BP440,0))
            )
        )
    ),IF(BD440="ACTIVIDAD","DOCENCIA",""))</f>
        <v/>
      </c>
      <c r="EA440" s="5" t="str" cm="1">
        <f t="array" ref="EA440:FN440">IF(
    ASIGNACION!I440="SI",
    IFERROR(
        TRANSPOSE(
            _xlfn.UNIQUE(
                _xlfn._xlws.FILTER(EDU_DOCENTE[NOMBRE_DOCENTE],
                    ISNUMBER(MATCH(EDU_DOCENTE[MAESTRIA],
                    BQ440:DY440,0))
                )
            )
        ),
        ""
    ),
    TRANSPOSE(
        _xlfn.UNIQUE(EDU_DOCENTE[NOMBRE_DOCENTE]
        )
    )
)</f>
        <v>ALCIVAR CEDEÑO BEATRIZ ISABEL</v>
      </c>
      <c r="EB440" t="str">
        <v>ALCIVAR VERA GEMA MICHELLE</v>
      </c>
      <c r="EC440" t="str">
        <v>ARAUZ CHAVEZ MARIO ROBERTO</v>
      </c>
      <c r="ED440" t="str">
        <v>BAILON LOURIDO WALTER ALBERTO</v>
      </c>
      <c r="EE440" t="str">
        <v>CALDERERO VILLAGOMEZ ERICK ANTONIO</v>
      </c>
      <c r="EF440" t="str">
        <v>CASTILLO GARCIA PAOLA GERMANIA</v>
      </c>
      <c r="EG440" t="str">
        <v>CEDEÑO CHOEZ PEDRO JAVIER</v>
      </c>
      <c r="EH440" t="str">
        <v>CEVALLOS HOPPE JUAN CARLOS</v>
      </c>
      <c r="EI440" t="str">
        <v>DELGADO CHAVEZ MARIA IRASEMA</v>
      </c>
      <c r="EJ440" t="str">
        <v>DUARTE VALENCIA CRISTHIAN DARIO</v>
      </c>
      <c r="EK440" t="str">
        <v>FORTTY BARBERAN DENNY ALEXANDER</v>
      </c>
      <c r="EL440" t="str">
        <v>GUTIERREZ ZAMBRANO CARMEN EBELINA</v>
      </c>
      <c r="EM440" t="str">
        <v>INTRIAGO MOLINA GEMA VALERIA</v>
      </c>
      <c r="EN440" t="str">
        <v>LINO VELEZ LEONEL LIVINGTON</v>
      </c>
      <c r="EO440" t="str">
        <v>LOOR ALCIVAR MARIA ILIANA</v>
      </c>
      <c r="EP440" t="str">
        <v>LOOR MIELES TANIA JACQUELINE</v>
      </c>
      <c r="EQ440" t="str">
        <v>LOOR SOLORZANO ROSA MARIA</v>
      </c>
      <c r="ER440" t="str">
        <v>LOPEZ DELGADO RONALD MAURICIO</v>
      </c>
      <c r="ES440" t="str">
        <v>MACIAS VALENCIA DAVID GABRIEL</v>
      </c>
      <c r="ET440" t="str">
        <v>MENDOZA ZAMORA WALTER MANUEL</v>
      </c>
      <c r="EU440" t="str">
        <v>MOLINA CEVALLOS MARIA LORENA</v>
      </c>
      <c r="EV440" t="str">
        <v>MURILLO DELGADO ISAAC GABRIEL</v>
      </c>
      <c r="EW440" t="str">
        <v>ANGULO MURILLO NAVIRA GISSELA</v>
      </c>
      <c r="EX440" t="str">
        <v>OCHOA SOLEDISPA NESTOR IVAN</v>
      </c>
      <c r="EY440" t="str">
        <v>PARRAGA FRANCO SILVANA MARIELA</v>
      </c>
      <c r="EZ440" t="str">
        <v>PINARGOTE VASQUEZ NANCY FABIOLA</v>
      </c>
      <c r="FA440" t="str">
        <v>REYES VELEZ PEDRO ENRIQUE</v>
      </c>
      <c r="FB440" t="str">
        <v>SAN ANDRES HORMAZA DALLAS CECILIA</v>
      </c>
      <c r="FC440" t="str">
        <v>SORNOZA ZAMORA JUAN CARLOS</v>
      </c>
      <c r="FD440" t="str">
        <v>TOMALA PINTO JESUS JACINTO</v>
      </c>
      <c r="FE440" t="str">
        <v>VALLE JARAMILLO SILVIA ARACELY</v>
      </c>
      <c r="FF440" t="str">
        <v>VELÁSQUEZ BRAVO IRMA KATHERINE</v>
      </c>
      <c r="FG440" t="str">
        <v>VELEZ MENDOZA LAYSY VALERIA</v>
      </c>
      <c r="FH440" t="str">
        <v>VINUEZA TELLO SHIRLEY ELIZABETH</v>
      </c>
      <c r="FI440" t="str">
        <v>ZAMBRANO ALCIVAR NILDA ISABEL</v>
      </c>
      <c r="FJ440" t="str">
        <v>ZAMBRANO LOOR RITA MAYDA</v>
      </c>
      <c r="FK440" t="str">
        <v>ZAMBRANO VERA MONICA JANETH</v>
      </c>
      <c r="FL440" t="str">
        <v>VERA DELGADO BRYAN ADRIÁN</v>
      </c>
      <c r="FM440" t="str">
        <v>MORAN GONZALES DAVID RENATO</v>
      </c>
      <c r="FN440">
        <v>0</v>
      </c>
    </row>
    <row r="441" spans="1:170" ht="20.25" customHeight="1">
      <c r="A441" s="4" t="str" cm="1">
        <f t="array" ref="A441">TRANSPOSE(_xlfn.UNIQUE(_xlfn._xlws.FILTER(MAE_ASIGNATURA[ID_NIVEL],MAE_ASIGNATURA[ID_CARRERA]=ASIGNACION!$C441,"No existe información")))</f>
        <v>No existe información</v>
      </c>
      <c r="S441" s="4" t="str" cm="1">
        <f t="array" ref="S441">TRANSPOSE(_xlfn.UNIQUE(_xlfn._xlws.FILTER(MAE_ASIGNATURA[NOM_ASIG],(MAE_ASIGNATURA[ID_NIVEL]=ASIGNACION!$D441)*(MAE_ASIGNATURA[ID_CARRERA]=ASIGNACION!$C441),"No existe información")))</f>
        <v>No existe información</v>
      </c>
      <c r="BD441" s="4" t="str" cm="1">
        <f t="array" ref="BD441">TRANSPOSE(_xlfn.UNIQUE(_xlfn._xlws.FILTER(DET_ASIG[DETALLADO],(DET_ASIG[ID_CARRERA]=ASIGNACION!$C441)*(DET_ASIG[NIVEL]=ASIGNACION!$D441)*(DET_ASIG[ID_ASIG]=ASIGNACION!$G441),"No existe información")))</f>
        <v>No existe información</v>
      </c>
      <c r="BQ441" s="5" t="str" cm="1">
        <f t="array" ref="BQ441">IFERROR(
    TRANSPOSE(
        _xlfn.UNIQUE(
            _xlfn._xlws.FILTER(MAESTRIA_DETALLADO[MAESTRIA],
                ISNUMBER(MATCH(MAESTRIA_DETALLADO[CAMPO_DETALLADO],
                BD441:BP441,0))
            )
        )
    ),IF(BD441="ACTIVIDAD","DOCENCIA",""))</f>
        <v/>
      </c>
      <c r="EA441" s="5" t="str" cm="1">
        <f t="array" ref="EA441:FN441">IF(
    ASIGNACION!I441="SI",
    IFERROR(
        TRANSPOSE(
            _xlfn.UNIQUE(
                _xlfn._xlws.FILTER(EDU_DOCENTE[NOMBRE_DOCENTE],
                    ISNUMBER(MATCH(EDU_DOCENTE[MAESTRIA],
                    BQ441:DY441,0))
                )
            )
        ),
        ""
    ),
    TRANSPOSE(
        _xlfn.UNIQUE(EDU_DOCENTE[NOMBRE_DOCENTE]
        )
    )
)</f>
        <v>ALCIVAR CEDEÑO BEATRIZ ISABEL</v>
      </c>
      <c r="EB441" t="str">
        <v>ALCIVAR VERA GEMA MICHELLE</v>
      </c>
      <c r="EC441" t="str">
        <v>ARAUZ CHAVEZ MARIO ROBERTO</v>
      </c>
      <c r="ED441" t="str">
        <v>BAILON LOURIDO WALTER ALBERTO</v>
      </c>
      <c r="EE441" t="str">
        <v>CALDERERO VILLAGOMEZ ERICK ANTONIO</v>
      </c>
      <c r="EF441" t="str">
        <v>CASTILLO GARCIA PAOLA GERMANIA</v>
      </c>
      <c r="EG441" t="str">
        <v>CEDEÑO CHOEZ PEDRO JAVIER</v>
      </c>
      <c r="EH441" t="str">
        <v>CEVALLOS HOPPE JUAN CARLOS</v>
      </c>
      <c r="EI441" t="str">
        <v>DELGADO CHAVEZ MARIA IRASEMA</v>
      </c>
      <c r="EJ441" t="str">
        <v>DUARTE VALENCIA CRISTHIAN DARIO</v>
      </c>
      <c r="EK441" t="str">
        <v>FORTTY BARBERAN DENNY ALEXANDER</v>
      </c>
      <c r="EL441" t="str">
        <v>GUTIERREZ ZAMBRANO CARMEN EBELINA</v>
      </c>
      <c r="EM441" t="str">
        <v>INTRIAGO MOLINA GEMA VALERIA</v>
      </c>
      <c r="EN441" t="str">
        <v>LINO VELEZ LEONEL LIVINGTON</v>
      </c>
      <c r="EO441" t="str">
        <v>LOOR ALCIVAR MARIA ILIANA</v>
      </c>
      <c r="EP441" t="str">
        <v>LOOR MIELES TANIA JACQUELINE</v>
      </c>
      <c r="EQ441" t="str">
        <v>LOOR SOLORZANO ROSA MARIA</v>
      </c>
      <c r="ER441" t="str">
        <v>LOPEZ DELGADO RONALD MAURICIO</v>
      </c>
      <c r="ES441" t="str">
        <v>MACIAS VALENCIA DAVID GABRIEL</v>
      </c>
      <c r="ET441" t="str">
        <v>MENDOZA ZAMORA WALTER MANUEL</v>
      </c>
      <c r="EU441" t="str">
        <v>MOLINA CEVALLOS MARIA LORENA</v>
      </c>
      <c r="EV441" t="str">
        <v>MURILLO DELGADO ISAAC GABRIEL</v>
      </c>
      <c r="EW441" t="str">
        <v>ANGULO MURILLO NAVIRA GISSELA</v>
      </c>
      <c r="EX441" t="str">
        <v>OCHOA SOLEDISPA NESTOR IVAN</v>
      </c>
      <c r="EY441" t="str">
        <v>PARRAGA FRANCO SILVANA MARIELA</v>
      </c>
      <c r="EZ441" t="str">
        <v>PINARGOTE VASQUEZ NANCY FABIOLA</v>
      </c>
      <c r="FA441" t="str">
        <v>REYES VELEZ PEDRO ENRIQUE</v>
      </c>
      <c r="FB441" t="str">
        <v>SAN ANDRES HORMAZA DALLAS CECILIA</v>
      </c>
      <c r="FC441" t="str">
        <v>SORNOZA ZAMORA JUAN CARLOS</v>
      </c>
      <c r="FD441" t="str">
        <v>TOMALA PINTO JESUS JACINTO</v>
      </c>
      <c r="FE441" t="str">
        <v>VALLE JARAMILLO SILVIA ARACELY</v>
      </c>
      <c r="FF441" t="str">
        <v>VELÁSQUEZ BRAVO IRMA KATHERINE</v>
      </c>
      <c r="FG441" t="str">
        <v>VELEZ MENDOZA LAYSY VALERIA</v>
      </c>
      <c r="FH441" t="str">
        <v>VINUEZA TELLO SHIRLEY ELIZABETH</v>
      </c>
      <c r="FI441" t="str">
        <v>ZAMBRANO ALCIVAR NILDA ISABEL</v>
      </c>
      <c r="FJ441" t="str">
        <v>ZAMBRANO LOOR RITA MAYDA</v>
      </c>
      <c r="FK441" t="str">
        <v>ZAMBRANO VERA MONICA JANETH</v>
      </c>
      <c r="FL441" t="str">
        <v>VERA DELGADO BRYAN ADRIÁN</v>
      </c>
      <c r="FM441" t="str">
        <v>MORAN GONZALES DAVID RENATO</v>
      </c>
      <c r="FN441">
        <v>0</v>
      </c>
    </row>
    <row r="442" spans="1:170" ht="20.25" customHeight="1">
      <c r="A442" s="4" t="str" cm="1">
        <f t="array" ref="A442">TRANSPOSE(_xlfn.UNIQUE(_xlfn._xlws.FILTER(MAE_ASIGNATURA[ID_NIVEL],MAE_ASIGNATURA[ID_CARRERA]=ASIGNACION!$C442,"No existe información")))</f>
        <v>No existe información</v>
      </c>
      <c r="S442" s="4" t="str" cm="1">
        <f t="array" ref="S442">TRANSPOSE(_xlfn.UNIQUE(_xlfn._xlws.FILTER(MAE_ASIGNATURA[NOM_ASIG],(MAE_ASIGNATURA[ID_NIVEL]=ASIGNACION!$D442)*(MAE_ASIGNATURA[ID_CARRERA]=ASIGNACION!$C442),"No existe información")))</f>
        <v>No existe información</v>
      </c>
      <c r="BD442" s="4" t="str" cm="1">
        <f t="array" ref="BD442">TRANSPOSE(_xlfn.UNIQUE(_xlfn._xlws.FILTER(DET_ASIG[DETALLADO],(DET_ASIG[ID_CARRERA]=ASIGNACION!$C442)*(DET_ASIG[NIVEL]=ASIGNACION!$D442)*(DET_ASIG[ID_ASIG]=ASIGNACION!$G442),"No existe información")))</f>
        <v>No existe información</v>
      </c>
      <c r="BQ442" s="5" t="str" cm="1">
        <f t="array" ref="BQ442">IFERROR(
    TRANSPOSE(
        _xlfn.UNIQUE(
            _xlfn._xlws.FILTER(MAESTRIA_DETALLADO[MAESTRIA],
                ISNUMBER(MATCH(MAESTRIA_DETALLADO[CAMPO_DETALLADO],
                BD442:BP442,0))
            )
        )
    ),IF(BD442="ACTIVIDAD","DOCENCIA",""))</f>
        <v/>
      </c>
      <c r="EA442" s="5" t="str" cm="1">
        <f t="array" ref="EA442:FN442">IF(
    ASIGNACION!I442="SI",
    IFERROR(
        TRANSPOSE(
            _xlfn.UNIQUE(
                _xlfn._xlws.FILTER(EDU_DOCENTE[NOMBRE_DOCENTE],
                    ISNUMBER(MATCH(EDU_DOCENTE[MAESTRIA],
                    BQ442:DY442,0))
                )
            )
        ),
        ""
    ),
    TRANSPOSE(
        _xlfn.UNIQUE(EDU_DOCENTE[NOMBRE_DOCENTE]
        )
    )
)</f>
        <v>ALCIVAR CEDEÑO BEATRIZ ISABEL</v>
      </c>
      <c r="EB442" t="str">
        <v>ALCIVAR VERA GEMA MICHELLE</v>
      </c>
      <c r="EC442" t="str">
        <v>ARAUZ CHAVEZ MARIO ROBERTO</v>
      </c>
      <c r="ED442" t="str">
        <v>BAILON LOURIDO WALTER ALBERTO</v>
      </c>
      <c r="EE442" t="str">
        <v>CALDERERO VILLAGOMEZ ERICK ANTONIO</v>
      </c>
      <c r="EF442" t="str">
        <v>CASTILLO GARCIA PAOLA GERMANIA</v>
      </c>
      <c r="EG442" t="str">
        <v>CEDEÑO CHOEZ PEDRO JAVIER</v>
      </c>
      <c r="EH442" t="str">
        <v>CEVALLOS HOPPE JUAN CARLOS</v>
      </c>
      <c r="EI442" t="str">
        <v>DELGADO CHAVEZ MARIA IRASEMA</v>
      </c>
      <c r="EJ442" t="str">
        <v>DUARTE VALENCIA CRISTHIAN DARIO</v>
      </c>
      <c r="EK442" t="str">
        <v>FORTTY BARBERAN DENNY ALEXANDER</v>
      </c>
      <c r="EL442" t="str">
        <v>GUTIERREZ ZAMBRANO CARMEN EBELINA</v>
      </c>
      <c r="EM442" t="str">
        <v>INTRIAGO MOLINA GEMA VALERIA</v>
      </c>
      <c r="EN442" t="str">
        <v>LINO VELEZ LEONEL LIVINGTON</v>
      </c>
      <c r="EO442" t="str">
        <v>LOOR ALCIVAR MARIA ILIANA</v>
      </c>
      <c r="EP442" t="str">
        <v>LOOR MIELES TANIA JACQUELINE</v>
      </c>
      <c r="EQ442" t="str">
        <v>LOOR SOLORZANO ROSA MARIA</v>
      </c>
      <c r="ER442" t="str">
        <v>LOPEZ DELGADO RONALD MAURICIO</v>
      </c>
      <c r="ES442" t="str">
        <v>MACIAS VALENCIA DAVID GABRIEL</v>
      </c>
      <c r="ET442" t="str">
        <v>MENDOZA ZAMORA WALTER MANUEL</v>
      </c>
      <c r="EU442" t="str">
        <v>MOLINA CEVALLOS MARIA LORENA</v>
      </c>
      <c r="EV442" t="str">
        <v>MURILLO DELGADO ISAAC GABRIEL</v>
      </c>
      <c r="EW442" t="str">
        <v>ANGULO MURILLO NAVIRA GISSELA</v>
      </c>
      <c r="EX442" t="str">
        <v>OCHOA SOLEDISPA NESTOR IVAN</v>
      </c>
      <c r="EY442" t="str">
        <v>PARRAGA FRANCO SILVANA MARIELA</v>
      </c>
      <c r="EZ442" t="str">
        <v>PINARGOTE VASQUEZ NANCY FABIOLA</v>
      </c>
      <c r="FA442" t="str">
        <v>REYES VELEZ PEDRO ENRIQUE</v>
      </c>
      <c r="FB442" t="str">
        <v>SAN ANDRES HORMAZA DALLAS CECILIA</v>
      </c>
      <c r="FC442" t="str">
        <v>SORNOZA ZAMORA JUAN CARLOS</v>
      </c>
      <c r="FD442" t="str">
        <v>TOMALA PINTO JESUS JACINTO</v>
      </c>
      <c r="FE442" t="str">
        <v>VALLE JARAMILLO SILVIA ARACELY</v>
      </c>
      <c r="FF442" t="str">
        <v>VELÁSQUEZ BRAVO IRMA KATHERINE</v>
      </c>
      <c r="FG442" t="str">
        <v>VELEZ MENDOZA LAYSY VALERIA</v>
      </c>
      <c r="FH442" t="str">
        <v>VINUEZA TELLO SHIRLEY ELIZABETH</v>
      </c>
      <c r="FI442" t="str">
        <v>ZAMBRANO ALCIVAR NILDA ISABEL</v>
      </c>
      <c r="FJ442" t="str">
        <v>ZAMBRANO LOOR RITA MAYDA</v>
      </c>
      <c r="FK442" t="str">
        <v>ZAMBRANO VERA MONICA JANETH</v>
      </c>
      <c r="FL442" t="str">
        <v>VERA DELGADO BRYAN ADRIÁN</v>
      </c>
      <c r="FM442" t="str">
        <v>MORAN GONZALES DAVID RENATO</v>
      </c>
      <c r="FN442">
        <v>0</v>
      </c>
    </row>
    <row r="443" spans="1:170" ht="20.25" customHeight="1">
      <c r="A443" s="4" t="str" cm="1">
        <f t="array" ref="A443">TRANSPOSE(_xlfn.UNIQUE(_xlfn._xlws.FILTER(MAE_ASIGNATURA[ID_NIVEL],MAE_ASIGNATURA[ID_CARRERA]=ASIGNACION!$C443,"No existe información")))</f>
        <v>No existe información</v>
      </c>
      <c r="S443" s="4" t="str" cm="1">
        <f t="array" ref="S443">TRANSPOSE(_xlfn.UNIQUE(_xlfn._xlws.FILTER(MAE_ASIGNATURA[NOM_ASIG],(MAE_ASIGNATURA[ID_NIVEL]=ASIGNACION!$D443)*(MAE_ASIGNATURA[ID_CARRERA]=ASIGNACION!$C443),"No existe información")))</f>
        <v>No existe información</v>
      </c>
      <c r="BD443" s="4" t="str" cm="1">
        <f t="array" ref="BD443">TRANSPOSE(_xlfn.UNIQUE(_xlfn._xlws.FILTER(DET_ASIG[DETALLADO],(DET_ASIG[ID_CARRERA]=ASIGNACION!$C443)*(DET_ASIG[NIVEL]=ASIGNACION!$D443)*(DET_ASIG[ID_ASIG]=ASIGNACION!$G443),"No existe información")))</f>
        <v>No existe información</v>
      </c>
      <c r="BQ443" s="5" t="str" cm="1">
        <f t="array" ref="BQ443">IFERROR(
    TRANSPOSE(
        _xlfn.UNIQUE(
            _xlfn._xlws.FILTER(MAESTRIA_DETALLADO[MAESTRIA],
                ISNUMBER(MATCH(MAESTRIA_DETALLADO[CAMPO_DETALLADO],
                BD443:BP443,0))
            )
        )
    ),IF(BD443="ACTIVIDAD","DOCENCIA",""))</f>
        <v/>
      </c>
      <c r="EA443" s="5" t="str" cm="1">
        <f t="array" ref="EA443:FN443">IF(
    ASIGNACION!I443="SI",
    IFERROR(
        TRANSPOSE(
            _xlfn.UNIQUE(
                _xlfn._xlws.FILTER(EDU_DOCENTE[NOMBRE_DOCENTE],
                    ISNUMBER(MATCH(EDU_DOCENTE[MAESTRIA],
                    BQ443:DY443,0))
                )
            )
        ),
        ""
    ),
    TRANSPOSE(
        _xlfn.UNIQUE(EDU_DOCENTE[NOMBRE_DOCENTE]
        )
    )
)</f>
        <v>ALCIVAR CEDEÑO BEATRIZ ISABEL</v>
      </c>
      <c r="EB443" t="str">
        <v>ALCIVAR VERA GEMA MICHELLE</v>
      </c>
      <c r="EC443" t="str">
        <v>ARAUZ CHAVEZ MARIO ROBERTO</v>
      </c>
      <c r="ED443" t="str">
        <v>BAILON LOURIDO WALTER ALBERTO</v>
      </c>
      <c r="EE443" t="str">
        <v>CALDERERO VILLAGOMEZ ERICK ANTONIO</v>
      </c>
      <c r="EF443" t="str">
        <v>CASTILLO GARCIA PAOLA GERMANIA</v>
      </c>
      <c r="EG443" t="str">
        <v>CEDEÑO CHOEZ PEDRO JAVIER</v>
      </c>
      <c r="EH443" t="str">
        <v>CEVALLOS HOPPE JUAN CARLOS</v>
      </c>
      <c r="EI443" t="str">
        <v>DELGADO CHAVEZ MARIA IRASEMA</v>
      </c>
      <c r="EJ443" t="str">
        <v>DUARTE VALENCIA CRISTHIAN DARIO</v>
      </c>
      <c r="EK443" t="str">
        <v>FORTTY BARBERAN DENNY ALEXANDER</v>
      </c>
      <c r="EL443" t="str">
        <v>GUTIERREZ ZAMBRANO CARMEN EBELINA</v>
      </c>
      <c r="EM443" t="str">
        <v>INTRIAGO MOLINA GEMA VALERIA</v>
      </c>
      <c r="EN443" t="str">
        <v>LINO VELEZ LEONEL LIVINGTON</v>
      </c>
      <c r="EO443" t="str">
        <v>LOOR ALCIVAR MARIA ILIANA</v>
      </c>
      <c r="EP443" t="str">
        <v>LOOR MIELES TANIA JACQUELINE</v>
      </c>
      <c r="EQ443" t="str">
        <v>LOOR SOLORZANO ROSA MARIA</v>
      </c>
      <c r="ER443" t="str">
        <v>LOPEZ DELGADO RONALD MAURICIO</v>
      </c>
      <c r="ES443" t="str">
        <v>MACIAS VALENCIA DAVID GABRIEL</v>
      </c>
      <c r="ET443" t="str">
        <v>MENDOZA ZAMORA WALTER MANUEL</v>
      </c>
      <c r="EU443" t="str">
        <v>MOLINA CEVALLOS MARIA LORENA</v>
      </c>
      <c r="EV443" t="str">
        <v>MURILLO DELGADO ISAAC GABRIEL</v>
      </c>
      <c r="EW443" t="str">
        <v>ANGULO MURILLO NAVIRA GISSELA</v>
      </c>
      <c r="EX443" t="str">
        <v>OCHOA SOLEDISPA NESTOR IVAN</v>
      </c>
      <c r="EY443" t="str">
        <v>PARRAGA FRANCO SILVANA MARIELA</v>
      </c>
      <c r="EZ443" t="str">
        <v>PINARGOTE VASQUEZ NANCY FABIOLA</v>
      </c>
      <c r="FA443" t="str">
        <v>REYES VELEZ PEDRO ENRIQUE</v>
      </c>
      <c r="FB443" t="str">
        <v>SAN ANDRES HORMAZA DALLAS CECILIA</v>
      </c>
      <c r="FC443" t="str">
        <v>SORNOZA ZAMORA JUAN CARLOS</v>
      </c>
      <c r="FD443" t="str">
        <v>TOMALA PINTO JESUS JACINTO</v>
      </c>
      <c r="FE443" t="str">
        <v>VALLE JARAMILLO SILVIA ARACELY</v>
      </c>
      <c r="FF443" t="str">
        <v>VELÁSQUEZ BRAVO IRMA KATHERINE</v>
      </c>
      <c r="FG443" t="str">
        <v>VELEZ MENDOZA LAYSY VALERIA</v>
      </c>
      <c r="FH443" t="str">
        <v>VINUEZA TELLO SHIRLEY ELIZABETH</v>
      </c>
      <c r="FI443" t="str">
        <v>ZAMBRANO ALCIVAR NILDA ISABEL</v>
      </c>
      <c r="FJ443" t="str">
        <v>ZAMBRANO LOOR RITA MAYDA</v>
      </c>
      <c r="FK443" t="str">
        <v>ZAMBRANO VERA MONICA JANETH</v>
      </c>
      <c r="FL443" t="str">
        <v>VERA DELGADO BRYAN ADRIÁN</v>
      </c>
      <c r="FM443" t="str">
        <v>MORAN GONZALES DAVID RENATO</v>
      </c>
      <c r="FN443">
        <v>0</v>
      </c>
    </row>
    <row r="444" spans="1:170" ht="20.25" customHeight="1">
      <c r="A444" s="4" t="str" cm="1">
        <f t="array" ref="A444">TRANSPOSE(_xlfn.UNIQUE(_xlfn._xlws.FILTER(MAE_ASIGNATURA[ID_NIVEL],MAE_ASIGNATURA[ID_CARRERA]=ASIGNACION!$C444,"No existe información")))</f>
        <v>No existe información</v>
      </c>
      <c r="S444" s="4" t="str" cm="1">
        <f t="array" ref="S444">TRANSPOSE(_xlfn.UNIQUE(_xlfn._xlws.FILTER(MAE_ASIGNATURA[NOM_ASIG],(MAE_ASIGNATURA[ID_NIVEL]=ASIGNACION!$D444)*(MAE_ASIGNATURA[ID_CARRERA]=ASIGNACION!$C444),"No existe información")))</f>
        <v>No existe información</v>
      </c>
      <c r="BD444" s="4" t="str" cm="1">
        <f t="array" ref="BD444">TRANSPOSE(_xlfn.UNIQUE(_xlfn._xlws.FILTER(DET_ASIG[DETALLADO],(DET_ASIG[ID_CARRERA]=ASIGNACION!$C444)*(DET_ASIG[NIVEL]=ASIGNACION!$D444)*(DET_ASIG[ID_ASIG]=ASIGNACION!$G444),"No existe información")))</f>
        <v>No existe información</v>
      </c>
      <c r="BQ444" s="5" t="str" cm="1">
        <f t="array" ref="BQ444">IFERROR(
    TRANSPOSE(
        _xlfn.UNIQUE(
            _xlfn._xlws.FILTER(MAESTRIA_DETALLADO[MAESTRIA],
                ISNUMBER(MATCH(MAESTRIA_DETALLADO[CAMPO_DETALLADO],
                BD444:BP444,0))
            )
        )
    ),IF(BD444="ACTIVIDAD","DOCENCIA",""))</f>
        <v/>
      </c>
      <c r="EA444" s="5" t="str" cm="1">
        <f t="array" ref="EA444:FN444">IF(
    ASIGNACION!I444="SI",
    IFERROR(
        TRANSPOSE(
            _xlfn.UNIQUE(
                _xlfn._xlws.FILTER(EDU_DOCENTE[NOMBRE_DOCENTE],
                    ISNUMBER(MATCH(EDU_DOCENTE[MAESTRIA],
                    BQ444:DY444,0))
                )
            )
        ),
        ""
    ),
    TRANSPOSE(
        _xlfn.UNIQUE(EDU_DOCENTE[NOMBRE_DOCENTE]
        )
    )
)</f>
        <v>ALCIVAR CEDEÑO BEATRIZ ISABEL</v>
      </c>
      <c r="EB444" t="str">
        <v>ALCIVAR VERA GEMA MICHELLE</v>
      </c>
      <c r="EC444" t="str">
        <v>ARAUZ CHAVEZ MARIO ROBERTO</v>
      </c>
      <c r="ED444" t="str">
        <v>BAILON LOURIDO WALTER ALBERTO</v>
      </c>
      <c r="EE444" t="str">
        <v>CALDERERO VILLAGOMEZ ERICK ANTONIO</v>
      </c>
      <c r="EF444" t="str">
        <v>CASTILLO GARCIA PAOLA GERMANIA</v>
      </c>
      <c r="EG444" t="str">
        <v>CEDEÑO CHOEZ PEDRO JAVIER</v>
      </c>
      <c r="EH444" t="str">
        <v>CEVALLOS HOPPE JUAN CARLOS</v>
      </c>
      <c r="EI444" t="str">
        <v>DELGADO CHAVEZ MARIA IRASEMA</v>
      </c>
      <c r="EJ444" t="str">
        <v>DUARTE VALENCIA CRISTHIAN DARIO</v>
      </c>
      <c r="EK444" t="str">
        <v>FORTTY BARBERAN DENNY ALEXANDER</v>
      </c>
      <c r="EL444" t="str">
        <v>GUTIERREZ ZAMBRANO CARMEN EBELINA</v>
      </c>
      <c r="EM444" t="str">
        <v>INTRIAGO MOLINA GEMA VALERIA</v>
      </c>
      <c r="EN444" t="str">
        <v>LINO VELEZ LEONEL LIVINGTON</v>
      </c>
      <c r="EO444" t="str">
        <v>LOOR ALCIVAR MARIA ILIANA</v>
      </c>
      <c r="EP444" t="str">
        <v>LOOR MIELES TANIA JACQUELINE</v>
      </c>
      <c r="EQ444" t="str">
        <v>LOOR SOLORZANO ROSA MARIA</v>
      </c>
      <c r="ER444" t="str">
        <v>LOPEZ DELGADO RONALD MAURICIO</v>
      </c>
      <c r="ES444" t="str">
        <v>MACIAS VALENCIA DAVID GABRIEL</v>
      </c>
      <c r="ET444" t="str">
        <v>MENDOZA ZAMORA WALTER MANUEL</v>
      </c>
      <c r="EU444" t="str">
        <v>MOLINA CEVALLOS MARIA LORENA</v>
      </c>
      <c r="EV444" t="str">
        <v>MURILLO DELGADO ISAAC GABRIEL</v>
      </c>
      <c r="EW444" t="str">
        <v>ANGULO MURILLO NAVIRA GISSELA</v>
      </c>
      <c r="EX444" t="str">
        <v>OCHOA SOLEDISPA NESTOR IVAN</v>
      </c>
      <c r="EY444" t="str">
        <v>PARRAGA FRANCO SILVANA MARIELA</v>
      </c>
      <c r="EZ444" t="str">
        <v>PINARGOTE VASQUEZ NANCY FABIOLA</v>
      </c>
      <c r="FA444" t="str">
        <v>REYES VELEZ PEDRO ENRIQUE</v>
      </c>
      <c r="FB444" t="str">
        <v>SAN ANDRES HORMAZA DALLAS CECILIA</v>
      </c>
      <c r="FC444" t="str">
        <v>SORNOZA ZAMORA JUAN CARLOS</v>
      </c>
      <c r="FD444" t="str">
        <v>TOMALA PINTO JESUS JACINTO</v>
      </c>
      <c r="FE444" t="str">
        <v>VALLE JARAMILLO SILVIA ARACELY</v>
      </c>
      <c r="FF444" t="str">
        <v>VELÁSQUEZ BRAVO IRMA KATHERINE</v>
      </c>
      <c r="FG444" t="str">
        <v>VELEZ MENDOZA LAYSY VALERIA</v>
      </c>
      <c r="FH444" t="str">
        <v>VINUEZA TELLO SHIRLEY ELIZABETH</v>
      </c>
      <c r="FI444" t="str">
        <v>ZAMBRANO ALCIVAR NILDA ISABEL</v>
      </c>
      <c r="FJ444" t="str">
        <v>ZAMBRANO LOOR RITA MAYDA</v>
      </c>
      <c r="FK444" t="str">
        <v>ZAMBRANO VERA MONICA JANETH</v>
      </c>
      <c r="FL444" t="str">
        <v>VERA DELGADO BRYAN ADRIÁN</v>
      </c>
      <c r="FM444" t="str">
        <v>MORAN GONZALES DAVID RENATO</v>
      </c>
      <c r="FN444">
        <v>0</v>
      </c>
    </row>
    <row r="445" spans="1:170" ht="20.25" customHeight="1">
      <c r="A445" s="4" t="str" cm="1">
        <f t="array" ref="A445">TRANSPOSE(_xlfn.UNIQUE(_xlfn._xlws.FILTER(MAE_ASIGNATURA[ID_NIVEL],MAE_ASIGNATURA[ID_CARRERA]=ASIGNACION!$C445,"No existe información")))</f>
        <v>No existe información</v>
      </c>
      <c r="S445" s="4" t="str" cm="1">
        <f t="array" ref="S445">TRANSPOSE(_xlfn.UNIQUE(_xlfn._xlws.FILTER(MAE_ASIGNATURA[NOM_ASIG],(MAE_ASIGNATURA[ID_NIVEL]=ASIGNACION!$D445)*(MAE_ASIGNATURA[ID_CARRERA]=ASIGNACION!$C445),"No existe información")))</f>
        <v>No existe información</v>
      </c>
      <c r="BD445" s="4" t="str" cm="1">
        <f t="array" ref="BD445">TRANSPOSE(_xlfn.UNIQUE(_xlfn._xlws.FILTER(DET_ASIG[DETALLADO],(DET_ASIG[ID_CARRERA]=ASIGNACION!$C445)*(DET_ASIG[NIVEL]=ASIGNACION!$D445)*(DET_ASIG[ID_ASIG]=ASIGNACION!$G445),"No existe información")))</f>
        <v>No existe información</v>
      </c>
      <c r="BQ445" s="5" t="str" cm="1">
        <f t="array" ref="BQ445">IFERROR(
    TRANSPOSE(
        _xlfn.UNIQUE(
            _xlfn._xlws.FILTER(MAESTRIA_DETALLADO[MAESTRIA],
                ISNUMBER(MATCH(MAESTRIA_DETALLADO[CAMPO_DETALLADO],
                BD445:BP445,0))
            )
        )
    ),IF(BD445="ACTIVIDAD","DOCENCIA",""))</f>
        <v/>
      </c>
      <c r="EA445" s="5" t="str" cm="1">
        <f t="array" ref="EA445:FN445">IF(
    ASIGNACION!I445="SI",
    IFERROR(
        TRANSPOSE(
            _xlfn.UNIQUE(
                _xlfn._xlws.FILTER(EDU_DOCENTE[NOMBRE_DOCENTE],
                    ISNUMBER(MATCH(EDU_DOCENTE[MAESTRIA],
                    BQ445:DY445,0))
                )
            )
        ),
        ""
    ),
    TRANSPOSE(
        _xlfn.UNIQUE(EDU_DOCENTE[NOMBRE_DOCENTE]
        )
    )
)</f>
        <v>ALCIVAR CEDEÑO BEATRIZ ISABEL</v>
      </c>
      <c r="EB445" t="str">
        <v>ALCIVAR VERA GEMA MICHELLE</v>
      </c>
      <c r="EC445" t="str">
        <v>ARAUZ CHAVEZ MARIO ROBERTO</v>
      </c>
      <c r="ED445" t="str">
        <v>BAILON LOURIDO WALTER ALBERTO</v>
      </c>
      <c r="EE445" t="str">
        <v>CALDERERO VILLAGOMEZ ERICK ANTONIO</v>
      </c>
      <c r="EF445" t="str">
        <v>CASTILLO GARCIA PAOLA GERMANIA</v>
      </c>
      <c r="EG445" t="str">
        <v>CEDEÑO CHOEZ PEDRO JAVIER</v>
      </c>
      <c r="EH445" t="str">
        <v>CEVALLOS HOPPE JUAN CARLOS</v>
      </c>
      <c r="EI445" t="str">
        <v>DELGADO CHAVEZ MARIA IRASEMA</v>
      </c>
      <c r="EJ445" t="str">
        <v>DUARTE VALENCIA CRISTHIAN DARIO</v>
      </c>
      <c r="EK445" t="str">
        <v>FORTTY BARBERAN DENNY ALEXANDER</v>
      </c>
      <c r="EL445" t="str">
        <v>GUTIERREZ ZAMBRANO CARMEN EBELINA</v>
      </c>
      <c r="EM445" t="str">
        <v>INTRIAGO MOLINA GEMA VALERIA</v>
      </c>
      <c r="EN445" t="str">
        <v>LINO VELEZ LEONEL LIVINGTON</v>
      </c>
      <c r="EO445" t="str">
        <v>LOOR ALCIVAR MARIA ILIANA</v>
      </c>
      <c r="EP445" t="str">
        <v>LOOR MIELES TANIA JACQUELINE</v>
      </c>
      <c r="EQ445" t="str">
        <v>LOOR SOLORZANO ROSA MARIA</v>
      </c>
      <c r="ER445" t="str">
        <v>LOPEZ DELGADO RONALD MAURICIO</v>
      </c>
      <c r="ES445" t="str">
        <v>MACIAS VALENCIA DAVID GABRIEL</v>
      </c>
      <c r="ET445" t="str">
        <v>MENDOZA ZAMORA WALTER MANUEL</v>
      </c>
      <c r="EU445" t="str">
        <v>MOLINA CEVALLOS MARIA LORENA</v>
      </c>
      <c r="EV445" t="str">
        <v>MURILLO DELGADO ISAAC GABRIEL</v>
      </c>
      <c r="EW445" t="str">
        <v>ANGULO MURILLO NAVIRA GISSELA</v>
      </c>
      <c r="EX445" t="str">
        <v>OCHOA SOLEDISPA NESTOR IVAN</v>
      </c>
      <c r="EY445" t="str">
        <v>PARRAGA FRANCO SILVANA MARIELA</v>
      </c>
      <c r="EZ445" t="str">
        <v>PINARGOTE VASQUEZ NANCY FABIOLA</v>
      </c>
      <c r="FA445" t="str">
        <v>REYES VELEZ PEDRO ENRIQUE</v>
      </c>
      <c r="FB445" t="str">
        <v>SAN ANDRES HORMAZA DALLAS CECILIA</v>
      </c>
      <c r="FC445" t="str">
        <v>SORNOZA ZAMORA JUAN CARLOS</v>
      </c>
      <c r="FD445" t="str">
        <v>TOMALA PINTO JESUS JACINTO</v>
      </c>
      <c r="FE445" t="str">
        <v>VALLE JARAMILLO SILVIA ARACELY</v>
      </c>
      <c r="FF445" t="str">
        <v>VELÁSQUEZ BRAVO IRMA KATHERINE</v>
      </c>
      <c r="FG445" t="str">
        <v>VELEZ MENDOZA LAYSY VALERIA</v>
      </c>
      <c r="FH445" t="str">
        <v>VINUEZA TELLO SHIRLEY ELIZABETH</v>
      </c>
      <c r="FI445" t="str">
        <v>ZAMBRANO ALCIVAR NILDA ISABEL</v>
      </c>
      <c r="FJ445" t="str">
        <v>ZAMBRANO LOOR RITA MAYDA</v>
      </c>
      <c r="FK445" t="str">
        <v>ZAMBRANO VERA MONICA JANETH</v>
      </c>
      <c r="FL445" t="str">
        <v>VERA DELGADO BRYAN ADRIÁN</v>
      </c>
      <c r="FM445" t="str">
        <v>MORAN GONZALES DAVID RENATO</v>
      </c>
      <c r="FN445">
        <v>0</v>
      </c>
    </row>
    <row r="446" spans="1:170" ht="20.25" customHeight="1">
      <c r="A446" s="4" t="str" cm="1">
        <f t="array" ref="A446">TRANSPOSE(_xlfn.UNIQUE(_xlfn._xlws.FILTER(MAE_ASIGNATURA[ID_NIVEL],MAE_ASIGNATURA[ID_CARRERA]=ASIGNACION!$C446,"No existe información")))</f>
        <v>No existe información</v>
      </c>
      <c r="S446" s="4" t="str" cm="1">
        <f t="array" ref="S446">TRANSPOSE(_xlfn.UNIQUE(_xlfn._xlws.FILTER(MAE_ASIGNATURA[NOM_ASIG],(MAE_ASIGNATURA[ID_NIVEL]=ASIGNACION!$D446)*(MAE_ASIGNATURA[ID_CARRERA]=ASIGNACION!$C446),"No existe información")))</f>
        <v>No existe información</v>
      </c>
      <c r="BD446" s="4" t="str" cm="1">
        <f t="array" ref="BD446">TRANSPOSE(_xlfn.UNIQUE(_xlfn._xlws.FILTER(DET_ASIG[DETALLADO],(DET_ASIG[ID_CARRERA]=ASIGNACION!$C446)*(DET_ASIG[NIVEL]=ASIGNACION!$D446)*(DET_ASIG[ID_ASIG]=ASIGNACION!$G446),"No existe información")))</f>
        <v>No existe información</v>
      </c>
      <c r="BQ446" s="5" t="str" cm="1">
        <f t="array" ref="BQ446">IFERROR(
    TRANSPOSE(
        _xlfn.UNIQUE(
            _xlfn._xlws.FILTER(MAESTRIA_DETALLADO[MAESTRIA],
                ISNUMBER(MATCH(MAESTRIA_DETALLADO[CAMPO_DETALLADO],
                BD446:BP446,0))
            )
        )
    ),IF(BD446="ACTIVIDAD","DOCENCIA",""))</f>
        <v/>
      </c>
      <c r="EA446" s="5" t="str" cm="1">
        <f t="array" ref="EA446:FN446">IF(
    ASIGNACION!I446="SI",
    IFERROR(
        TRANSPOSE(
            _xlfn.UNIQUE(
                _xlfn._xlws.FILTER(EDU_DOCENTE[NOMBRE_DOCENTE],
                    ISNUMBER(MATCH(EDU_DOCENTE[MAESTRIA],
                    BQ446:DY446,0))
                )
            )
        ),
        ""
    ),
    TRANSPOSE(
        _xlfn.UNIQUE(EDU_DOCENTE[NOMBRE_DOCENTE]
        )
    )
)</f>
        <v>ALCIVAR CEDEÑO BEATRIZ ISABEL</v>
      </c>
      <c r="EB446" t="str">
        <v>ALCIVAR VERA GEMA MICHELLE</v>
      </c>
      <c r="EC446" t="str">
        <v>ARAUZ CHAVEZ MARIO ROBERTO</v>
      </c>
      <c r="ED446" t="str">
        <v>BAILON LOURIDO WALTER ALBERTO</v>
      </c>
      <c r="EE446" t="str">
        <v>CALDERERO VILLAGOMEZ ERICK ANTONIO</v>
      </c>
      <c r="EF446" t="str">
        <v>CASTILLO GARCIA PAOLA GERMANIA</v>
      </c>
      <c r="EG446" t="str">
        <v>CEDEÑO CHOEZ PEDRO JAVIER</v>
      </c>
      <c r="EH446" t="str">
        <v>CEVALLOS HOPPE JUAN CARLOS</v>
      </c>
      <c r="EI446" t="str">
        <v>DELGADO CHAVEZ MARIA IRASEMA</v>
      </c>
      <c r="EJ446" t="str">
        <v>DUARTE VALENCIA CRISTHIAN DARIO</v>
      </c>
      <c r="EK446" t="str">
        <v>FORTTY BARBERAN DENNY ALEXANDER</v>
      </c>
      <c r="EL446" t="str">
        <v>GUTIERREZ ZAMBRANO CARMEN EBELINA</v>
      </c>
      <c r="EM446" t="str">
        <v>INTRIAGO MOLINA GEMA VALERIA</v>
      </c>
      <c r="EN446" t="str">
        <v>LINO VELEZ LEONEL LIVINGTON</v>
      </c>
      <c r="EO446" t="str">
        <v>LOOR ALCIVAR MARIA ILIANA</v>
      </c>
      <c r="EP446" t="str">
        <v>LOOR MIELES TANIA JACQUELINE</v>
      </c>
      <c r="EQ446" t="str">
        <v>LOOR SOLORZANO ROSA MARIA</v>
      </c>
      <c r="ER446" t="str">
        <v>LOPEZ DELGADO RONALD MAURICIO</v>
      </c>
      <c r="ES446" t="str">
        <v>MACIAS VALENCIA DAVID GABRIEL</v>
      </c>
      <c r="ET446" t="str">
        <v>MENDOZA ZAMORA WALTER MANUEL</v>
      </c>
      <c r="EU446" t="str">
        <v>MOLINA CEVALLOS MARIA LORENA</v>
      </c>
      <c r="EV446" t="str">
        <v>MURILLO DELGADO ISAAC GABRIEL</v>
      </c>
      <c r="EW446" t="str">
        <v>ANGULO MURILLO NAVIRA GISSELA</v>
      </c>
      <c r="EX446" t="str">
        <v>OCHOA SOLEDISPA NESTOR IVAN</v>
      </c>
      <c r="EY446" t="str">
        <v>PARRAGA FRANCO SILVANA MARIELA</v>
      </c>
      <c r="EZ446" t="str">
        <v>PINARGOTE VASQUEZ NANCY FABIOLA</v>
      </c>
      <c r="FA446" t="str">
        <v>REYES VELEZ PEDRO ENRIQUE</v>
      </c>
      <c r="FB446" t="str">
        <v>SAN ANDRES HORMAZA DALLAS CECILIA</v>
      </c>
      <c r="FC446" t="str">
        <v>SORNOZA ZAMORA JUAN CARLOS</v>
      </c>
      <c r="FD446" t="str">
        <v>TOMALA PINTO JESUS JACINTO</v>
      </c>
      <c r="FE446" t="str">
        <v>VALLE JARAMILLO SILVIA ARACELY</v>
      </c>
      <c r="FF446" t="str">
        <v>VELÁSQUEZ BRAVO IRMA KATHERINE</v>
      </c>
      <c r="FG446" t="str">
        <v>VELEZ MENDOZA LAYSY VALERIA</v>
      </c>
      <c r="FH446" t="str">
        <v>VINUEZA TELLO SHIRLEY ELIZABETH</v>
      </c>
      <c r="FI446" t="str">
        <v>ZAMBRANO ALCIVAR NILDA ISABEL</v>
      </c>
      <c r="FJ446" t="str">
        <v>ZAMBRANO LOOR RITA MAYDA</v>
      </c>
      <c r="FK446" t="str">
        <v>ZAMBRANO VERA MONICA JANETH</v>
      </c>
      <c r="FL446" t="str">
        <v>VERA DELGADO BRYAN ADRIÁN</v>
      </c>
      <c r="FM446" t="str">
        <v>MORAN GONZALES DAVID RENATO</v>
      </c>
      <c r="FN446">
        <v>0</v>
      </c>
    </row>
    <row r="447" spans="1:170" ht="20.25" customHeight="1">
      <c r="A447" s="4" t="str" cm="1">
        <f t="array" ref="A447">TRANSPOSE(_xlfn.UNIQUE(_xlfn._xlws.FILTER(MAE_ASIGNATURA[ID_NIVEL],MAE_ASIGNATURA[ID_CARRERA]=ASIGNACION!$C447,"No existe información")))</f>
        <v>No existe información</v>
      </c>
      <c r="S447" s="4" t="str" cm="1">
        <f t="array" ref="S447">TRANSPOSE(_xlfn.UNIQUE(_xlfn._xlws.FILTER(MAE_ASIGNATURA[NOM_ASIG],(MAE_ASIGNATURA[ID_NIVEL]=ASIGNACION!$D447)*(MAE_ASIGNATURA[ID_CARRERA]=ASIGNACION!$C447),"No existe información")))</f>
        <v>No existe información</v>
      </c>
      <c r="BD447" s="4" t="str" cm="1">
        <f t="array" ref="BD447">TRANSPOSE(_xlfn.UNIQUE(_xlfn._xlws.FILTER(DET_ASIG[DETALLADO],(DET_ASIG[ID_CARRERA]=ASIGNACION!$C447)*(DET_ASIG[NIVEL]=ASIGNACION!$D447)*(DET_ASIG[ID_ASIG]=ASIGNACION!$G447),"No existe información")))</f>
        <v>No existe información</v>
      </c>
      <c r="BQ447" s="5" t="str" cm="1">
        <f t="array" ref="BQ447">IFERROR(
    TRANSPOSE(
        _xlfn.UNIQUE(
            _xlfn._xlws.FILTER(MAESTRIA_DETALLADO[MAESTRIA],
                ISNUMBER(MATCH(MAESTRIA_DETALLADO[CAMPO_DETALLADO],
                BD447:BP447,0))
            )
        )
    ),IF(BD447="ACTIVIDAD","DOCENCIA",""))</f>
        <v/>
      </c>
      <c r="EA447" s="5" t="str" cm="1">
        <f t="array" ref="EA447:FN447">IF(
    ASIGNACION!I447="SI",
    IFERROR(
        TRANSPOSE(
            _xlfn.UNIQUE(
                _xlfn._xlws.FILTER(EDU_DOCENTE[NOMBRE_DOCENTE],
                    ISNUMBER(MATCH(EDU_DOCENTE[MAESTRIA],
                    BQ447:DY447,0))
                )
            )
        ),
        ""
    ),
    TRANSPOSE(
        _xlfn.UNIQUE(EDU_DOCENTE[NOMBRE_DOCENTE]
        )
    )
)</f>
        <v>ALCIVAR CEDEÑO BEATRIZ ISABEL</v>
      </c>
      <c r="EB447" t="str">
        <v>ALCIVAR VERA GEMA MICHELLE</v>
      </c>
      <c r="EC447" t="str">
        <v>ARAUZ CHAVEZ MARIO ROBERTO</v>
      </c>
      <c r="ED447" t="str">
        <v>BAILON LOURIDO WALTER ALBERTO</v>
      </c>
      <c r="EE447" t="str">
        <v>CALDERERO VILLAGOMEZ ERICK ANTONIO</v>
      </c>
      <c r="EF447" t="str">
        <v>CASTILLO GARCIA PAOLA GERMANIA</v>
      </c>
      <c r="EG447" t="str">
        <v>CEDEÑO CHOEZ PEDRO JAVIER</v>
      </c>
      <c r="EH447" t="str">
        <v>CEVALLOS HOPPE JUAN CARLOS</v>
      </c>
      <c r="EI447" t="str">
        <v>DELGADO CHAVEZ MARIA IRASEMA</v>
      </c>
      <c r="EJ447" t="str">
        <v>DUARTE VALENCIA CRISTHIAN DARIO</v>
      </c>
      <c r="EK447" t="str">
        <v>FORTTY BARBERAN DENNY ALEXANDER</v>
      </c>
      <c r="EL447" t="str">
        <v>GUTIERREZ ZAMBRANO CARMEN EBELINA</v>
      </c>
      <c r="EM447" t="str">
        <v>INTRIAGO MOLINA GEMA VALERIA</v>
      </c>
      <c r="EN447" t="str">
        <v>LINO VELEZ LEONEL LIVINGTON</v>
      </c>
      <c r="EO447" t="str">
        <v>LOOR ALCIVAR MARIA ILIANA</v>
      </c>
      <c r="EP447" t="str">
        <v>LOOR MIELES TANIA JACQUELINE</v>
      </c>
      <c r="EQ447" t="str">
        <v>LOOR SOLORZANO ROSA MARIA</v>
      </c>
      <c r="ER447" t="str">
        <v>LOPEZ DELGADO RONALD MAURICIO</v>
      </c>
      <c r="ES447" t="str">
        <v>MACIAS VALENCIA DAVID GABRIEL</v>
      </c>
      <c r="ET447" t="str">
        <v>MENDOZA ZAMORA WALTER MANUEL</v>
      </c>
      <c r="EU447" t="str">
        <v>MOLINA CEVALLOS MARIA LORENA</v>
      </c>
      <c r="EV447" t="str">
        <v>MURILLO DELGADO ISAAC GABRIEL</v>
      </c>
      <c r="EW447" t="str">
        <v>ANGULO MURILLO NAVIRA GISSELA</v>
      </c>
      <c r="EX447" t="str">
        <v>OCHOA SOLEDISPA NESTOR IVAN</v>
      </c>
      <c r="EY447" t="str">
        <v>PARRAGA FRANCO SILVANA MARIELA</v>
      </c>
      <c r="EZ447" t="str">
        <v>PINARGOTE VASQUEZ NANCY FABIOLA</v>
      </c>
      <c r="FA447" t="str">
        <v>REYES VELEZ PEDRO ENRIQUE</v>
      </c>
      <c r="FB447" t="str">
        <v>SAN ANDRES HORMAZA DALLAS CECILIA</v>
      </c>
      <c r="FC447" t="str">
        <v>SORNOZA ZAMORA JUAN CARLOS</v>
      </c>
      <c r="FD447" t="str">
        <v>TOMALA PINTO JESUS JACINTO</v>
      </c>
      <c r="FE447" t="str">
        <v>VALLE JARAMILLO SILVIA ARACELY</v>
      </c>
      <c r="FF447" t="str">
        <v>VELÁSQUEZ BRAVO IRMA KATHERINE</v>
      </c>
      <c r="FG447" t="str">
        <v>VELEZ MENDOZA LAYSY VALERIA</v>
      </c>
      <c r="FH447" t="str">
        <v>VINUEZA TELLO SHIRLEY ELIZABETH</v>
      </c>
      <c r="FI447" t="str">
        <v>ZAMBRANO ALCIVAR NILDA ISABEL</v>
      </c>
      <c r="FJ447" t="str">
        <v>ZAMBRANO LOOR RITA MAYDA</v>
      </c>
      <c r="FK447" t="str">
        <v>ZAMBRANO VERA MONICA JANETH</v>
      </c>
      <c r="FL447" t="str">
        <v>VERA DELGADO BRYAN ADRIÁN</v>
      </c>
      <c r="FM447" t="str">
        <v>MORAN GONZALES DAVID RENATO</v>
      </c>
      <c r="FN447">
        <v>0</v>
      </c>
    </row>
    <row r="448" spans="1:170" ht="20.25" customHeight="1">
      <c r="A448" s="4" t="str" cm="1">
        <f t="array" ref="A448">TRANSPOSE(_xlfn.UNIQUE(_xlfn._xlws.FILTER(MAE_ASIGNATURA[ID_NIVEL],MAE_ASIGNATURA[ID_CARRERA]=ASIGNACION!$C448,"No existe información")))</f>
        <v>No existe información</v>
      </c>
      <c r="S448" s="4" t="str" cm="1">
        <f t="array" ref="S448">TRANSPOSE(_xlfn.UNIQUE(_xlfn._xlws.FILTER(MAE_ASIGNATURA[NOM_ASIG],(MAE_ASIGNATURA[ID_NIVEL]=ASIGNACION!$D448)*(MAE_ASIGNATURA[ID_CARRERA]=ASIGNACION!$C448),"No existe información")))</f>
        <v>No existe información</v>
      </c>
      <c r="BD448" s="4" t="str" cm="1">
        <f t="array" ref="BD448">TRANSPOSE(_xlfn.UNIQUE(_xlfn._xlws.FILTER(DET_ASIG[DETALLADO],(DET_ASIG[ID_CARRERA]=ASIGNACION!$C448)*(DET_ASIG[NIVEL]=ASIGNACION!$D448)*(DET_ASIG[ID_ASIG]=ASIGNACION!$G448),"No existe información")))</f>
        <v>No existe información</v>
      </c>
      <c r="BQ448" s="5" t="str" cm="1">
        <f t="array" ref="BQ448">IFERROR(
    TRANSPOSE(
        _xlfn.UNIQUE(
            _xlfn._xlws.FILTER(MAESTRIA_DETALLADO[MAESTRIA],
                ISNUMBER(MATCH(MAESTRIA_DETALLADO[CAMPO_DETALLADO],
                BD448:BP448,0))
            )
        )
    ),IF(BD448="ACTIVIDAD","DOCENCIA",""))</f>
        <v/>
      </c>
      <c r="EA448" s="5" t="str" cm="1">
        <f t="array" ref="EA448:FN448">IF(
    ASIGNACION!I448="SI",
    IFERROR(
        TRANSPOSE(
            _xlfn.UNIQUE(
                _xlfn._xlws.FILTER(EDU_DOCENTE[NOMBRE_DOCENTE],
                    ISNUMBER(MATCH(EDU_DOCENTE[MAESTRIA],
                    BQ448:DY448,0))
                )
            )
        ),
        ""
    ),
    TRANSPOSE(
        _xlfn.UNIQUE(EDU_DOCENTE[NOMBRE_DOCENTE]
        )
    )
)</f>
        <v>ALCIVAR CEDEÑO BEATRIZ ISABEL</v>
      </c>
      <c r="EB448" t="str">
        <v>ALCIVAR VERA GEMA MICHELLE</v>
      </c>
      <c r="EC448" t="str">
        <v>ARAUZ CHAVEZ MARIO ROBERTO</v>
      </c>
      <c r="ED448" t="str">
        <v>BAILON LOURIDO WALTER ALBERTO</v>
      </c>
      <c r="EE448" t="str">
        <v>CALDERERO VILLAGOMEZ ERICK ANTONIO</v>
      </c>
      <c r="EF448" t="str">
        <v>CASTILLO GARCIA PAOLA GERMANIA</v>
      </c>
      <c r="EG448" t="str">
        <v>CEDEÑO CHOEZ PEDRO JAVIER</v>
      </c>
      <c r="EH448" t="str">
        <v>CEVALLOS HOPPE JUAN CARLOS</v>
      </c>
      <c r="EI448" t="str">
        <v>DELGADO CHAVEZ MARIA IRASEMA</v>
      </c>
      <c r="EJ448" t="str">
        <v>DUARTE VALENCIA CRISTHIAN DARIO</v>
      </c>
      <c r="EK448" t="str">
        <v>FORTTY BARBERAN DENNY ALEXANDER</v>
      </c>
      <c r="EL448" t="str">
        <v>GUTIERREZ ZAMBRANO CARMEN EBELINA</v>
      </c>
      <c r="EM448" t="str">
        <v>INTRIAGO MOLINA GEMA VALERIA</v>
      </c>
      <c r="EN448" t="str">
        <v>LINO VELEZ LEONEL LIVINGTON</v>
      </c>
      <c r="EO448" t="str">
        <v>LOOR ALCIVAR MARIA ILIANA</v>
      </c>
      <c r="EP448" t="str">
        <v>LOOR MIELES TANIA JACQUELINE</v>
      </c>
      <c r="EQ448" t="str">
        <v>LOOR SOLORZANO ROSA MARIA</v>
      </c>
      <c r="ER448" t="str">
        <v>LOPEZ DELGADO RONALD MAURICIO</v>
      </c>
      <c r="ES448" t="str">
        <v>MACIAS VALENCIA DAVID GABRIEL</v>
      </c>
      <c r="ET448" t="str">
        <v>MENDOZA ZAMORA WALTER MANUEL</v>
      </c>
      <c r="EU448" t="str">
        <v>MOLINA CEVALLOS MARIA LORENA</v>
      </c>
      <c r="EV448" t="str">
        <v>MURILLO DELGADO ISAAC GABRIEL</v>
      </c>
      <c r="EW448" t="str">
        <v>ANGULO MURILLO NAVIRA GISSELA</v>
      </c>
      <c r="EX448" t="str">
        <v>OCHOA SOLEDISPA NESTOR IVAN</v>
      </c>
      <c r="EY448" t="str">
        <v>PARRAGA FRANCO SILVANA MARIELA</v>
      </c>
      <c r="EZ448" t="str">
        <v>PINARGOTE VASQUEZ NANCY FABIOLA</v>
      </c>
      <c r="FA448" t="str">
        <v>REYES VELEZ PEDRO ENRIQUE</v>
      </c>
      <c r="FB448" t="str">
        <v>SAN ANDRES HORMAZA DALLAS CECILIA</v>
      </c>
      <c r="FC448" t="str">
        <v>SORNOZA ZAMORA JUAN CARLOS</v>
      </c>
      <c r="FD448" t="str">
        <v>TOMALA PINTO JESUS JACINTO</v>
      </c>
      <c r="FE448" t="str">
        <v>VALLE JARAMILLO SILVIA ARACELY</v>
      </c>
      <c r="FF448" t="str">
        <v>VELÁSQUEZ BRAVO IRMA KATHERINE</v>
      </c>
      <c r="FG448" t="str">
        <v>VELEZ MENDOZA LAYSY VALERIA</v>
      </c>
      <c r="FH448" t="str">
        <v>VINUEZA TELLO SHIRLEY ELIZABETH</v>
      </c>
      <c r="FI448" t="str">
        <v>ZAMBRANO ALCIVAR NILDA ISABEL</v>
      </c>
      <c r="FJ448" t="str">
        <v>ZAMBRANO LOOR RITA MAYDA</v>
      </c>
      <c r="FK448" t="str">
        <v>ZAMBRANO VERA MONICA JANETH</v>
      </c>
      <c r="FL448" t="str">
        <v>VERA DELGADO BRYAN ADRIÁN</v>
      </c>
      <c r="FM448" t="str">
        <v>MORAN GONZALES DAVID RENATO</v>
      </c>
      <c r="FN448">
        <v>0</v>
      </c>
    </row>
    <row r="449" spans="1:170" ht="20.25" customHeight="1">
      <c r="A449" s="4" t="str" cm="1">
        <f t="array" ref="A449">TRANSPOSE(_xlfn.UNIQUE(_xlfn._xlws.FILTER(MAE_ASIGNATURA[ID_NIVEL],MAE_ASIGNATURA[ID_CARRERA]=ASIGNACION!$C449,"No existe información")))</f>
        <v>No existe información</v>
      </c>
      <c r="S449" s="4" t="str" cm="1">
        <f t="array" ref="S449">TRANSPOSE(_xlfn.UNIQUE(_xlfn._xlws.FILTER(MAE_ASIGNATURA[NOM_ASIG],(MAE_ASIGNATURA[ID_NIVEL]=ASIGNACION!$D449)*(MAE_ASIGNATURA[ID_CARRERA]=ASIGNACION!$C449),"No existe información")))</f>
        <v>No existe información</v>
      </c>
      <c r="BD449" s="4" t="str" cm="1">
        <f t="array" ref="BD449">TRANSPOSE(_xlfn.UNIQUE(_xlfn._xlws.FILTER(DET_ASIG[DETALLADO],(DET_ASIG[ID_CARRERA]=ASIGNACION!$C449)*(DET_ASIG[NIVEL]=ASIGNACION!$D449)*(DET_ASIG[ID_ASIG]=ASIGNACION!$G449),"No existe información")))</f>
        <v>No existe información</v>
      </c>
      <c r="BQ449" s="5" t="str" cm="1">
        <f t="array" ref="BQ449">IFERROR(
    TRANSPOSE(
        _xlfn.UNIQUE(
            _xlfn._xlws.FILTER(MAESTRIA_DETALLADO[MAESTRIA],
                ISNUMBER(MATCH(MAESTRIA_DETALLADO[CAMPO_DETALLADO],
                BD449:BP449,0))
            )
        )
    ),IF(BD449="ACTIVIDAD","DOCENCIA",""))</f>
        <v/>
      </c>
      <c r="EA449" s="5" t="str" cm="1">
        <f t="array" ref="EA449:FN449">IF(
    ASIGNACION!I449="SI",
    IFERROR(
        TRANSPOSE(
            _xlfn.UNIQUE(
                _xlfn._xlws.FILTER(EDU_DOCENTE[NOMBRE_DOCENTE],
                    ISNUMBER(MATCH(EDU_DOCENTE[MAESTRIA],
                    BQ449:DY449,0))
                )
            )
        ),
        ""
    ),
    TRANSPOSE(
        _xlfn.UNIQUE(EDU_DOCENTE[NOMBRE_DOCENTE]
        )
    )
)</f>
        <v>ALCIVAR CEDEÑO BEATRIZ ISABEL</v>
      </c>
      <c r="EB449" t="str">
        <v>ALCIVAR VERA GEMA MICHELLE</v>
      </c>
      <c r="EC449" t="str">
        <v>ARAUZ CHAVEZ MARIO ROBERTO</v>
      </c>
      <c r="ED449" t="str">
        <v>BAILON LOURIDO WALTER ALBERTO</v>
      </c>
      <c r="EE449" t="str">
        <v>CALDERERO VILLAGOMEZ ERICK ANTONIO</v>
      </c>
      <c r="EF449" t="str">
        <v>CASTILLO GARCIA PAOLA GERMANIA</v>
      </c>
      <c r="EG449" t="str">
        <v>CEDEÑO CHOEZ PEDRO JAVIER</v>
      </c>
      <c r="EH449" t="str">
        <v>CEVALLOS HOPPE JUAN CARLOS</v>
      </c>
      <c r="EI449" t="str">
        <v>DELGADO CHAVEZ MARIA IRASEMA</v>
      </c>
      <c r="EJ449" t="str">
        <v>DUARTE VALENCIA CRISTHIAN DARIO</v>
      </c>
      <c r="EK449" t="str">
        <v>FORTTY BARBERAN DENNY ALEXANDER</v>
      </c>
      <c r="EL449" t="str">
        <v>GUTIERREZ ZAMBRANO CARMEN EBELINA</v>
      </c>
      <c r="EM449" t="str">
        <v>INTRIAGO MOLINA GEMA VALERIA</v>
      </c>
      <c r="EN449" t="str">
        <v>LINO VELEZ LEONEL LIVINGTON</v>
      </c>
      <c r="EO449" t="str">
        <v>LOOR ALCIVAR MARIA ILIANA</v>
      </c>
      <c r="EP449" t="str">
        <v>LOOR MIELES TANIA JACQUELINE</v>
      </c>
      <c r="EQ449" t="str">
        <v>LOOR SOLORZANO ROSA MARIA</v>
      </c>
      <c r="ER449" t="str">
        <v>LOPEZ DELGADO RONALD MAURICIO</v>
      </c>
      <c r="ES449" t="str">
        <v>MACIAS VALENCIA DAVID GABRIEL</v>
      </c>
      <c r="ET449" t="str">
        <v>MENDOZA ZAMORA WALTER MANUEL</v>
      </c>
      <c r="EU449" t="str">
        <v>MOLINA CEVALLOS MARIA LORENA</v>
      </c>
      <c r="EV449" t="str">
        <v>MURILLO DELGADO ISAAC GABRIEL</v>
      </c>
      <c r="EW449" t="str">
        <v>ANGULO MURILLO NAVIRA GISSELA</v>
      </c>
      <c r="EX449" t="str">
        <v>OCHOA SOLEDISPA NESTOR IVAN</v>
      </c>
      <c r="EY449" t="str">
        <v>PARRAGA FRANCO SILVANA MARIELA</v>
      </c>
      <c r="EZ449" t="str">
        <v>PINARGOTE VASQUEZ NANCY FABIOLA</v>
      </c>
      <c r="FA449" t="str">
        <v>REYES VELEZ PEDRO ENRIQUE</v>
      </c>
      <c r="FB449" t="str">
        <v>SAN ANDRES HORMAZA DALLAS CECILIA</v>
      </c>
      <c r="FC449" t="str">
        <v>SORNOZA ZAMORA JUAN CARLOS</v>
      </c>
      <c r="FD449" t="str">
        <v>TOMALA PINTO JESUS JACINTO</v>
      </c>
      <c r="FE449" t="str">
        <v>VALLE JARAMILLO SILVIA ARACELY</v>
      </c>
      <c r="FF449" t="str">
        <v>VELÁSQUEZ BRAVO IRMA KATHERINE</v>
      </c>
      <c r="FG449" t="str">
        <v>VELEZ MENDOZA LAYSY VALERIA</v>
      </c>
      <c r="FH449" t="str">
        <v>VINUEZA TELLO SHIRLEY ELIZABETH</v>
      </c>
      <c r="FI449" t="str">
        <v>ZAMBRANO ALCIVAR NILDA ISABEL</v>
      </c>
      <c r="FJ449" t="str">
        <v>ZAMBRANO LOOR RITA MAYDA</v>
      </c>
      <c r="FK449" t="str">
        <v>ZAMBRANO VERA MONICA JANETH</v>
      </c>
      <c r="FL449" t="str">
        <v>VERA DELGADO BRYAN ADRIÁN</v>
      </c>
      <c r="FM449" t="str">
        <v>MORAN GONZALES DAVID RENATO</v>
      </c>
      <c r="FN449">
        <v>0</v>
      </c>
    </row>
    <row r="450" spans="1:170" ht="20.25" customHeight="1">
      <c r="A450" s="4" t="str" cm="1">
        <f t="array" ref="A450">TRANSPOSE(_xlfn.UNIQUE(_xlfn._xlws.FILTER(MAE_ASIGNATURA[ID_NIVEL],MAE_ASIGNATURA[ID_CARRERA]=ASIGNACION!$C450,"No existe información")))</f>
        <v>No existe información</v>
      </c>
      <c r="S450" s="4" t="str" cm="1">
        <f t="array" ref="S450">TRANSPOSE(_xlfn.UNIQUE(_xlfn._xlws.FILTER(MAE_ASIGNATURA[NOM_ASIG],(MAE_ASIGNATURA[ID_NIVEL]=ASIGNACION!$D450)*(MAE_ASIGNATURA[ID_CARRERA]=ASIGNACION!$C450),"No existe información")))</f>
        <v>No existe información</v>
      </c>
      <c r="BD450" s="4" t="str" cm="1">
        <f t="array" ref="BD450">TRANSPOSE(_xlfn.UNIQUE(_xlfn._xlws.FILTER(DET_ASIG[DETALLADO],(DET_ASIG[ID_CARRERA]=ASIGNACION!$C450)*(DET_ASIG[NIVEL]=ASIGNACION!$D450)*(DET_ASIG[ID_ASIG]=ASIGNACION!$G450),"No existe información")))</f>
        <v>No existe información</v>
      </c>
      <c r="BQ450" s="5" t="str" cm="1">
        <f t="array" ref="BQ450">IFERROR(
    TRANSPOSE(
        _xlfn.UNIQUE(
            _xlfn._xlws.FILTER(MAESTRIA_DETALLADO[MAESTRIA],
                ISNUMBER(MATCH(MAESTRIA_DETALLADO[CAMPO_DETALLADO],
                BD450:BP450,0))
            )
        )
    ),IF(BD450="ACTIVIDAD","DOCENCIA",""))</f>
        <v/>
      </c>
      <c r="EA450" s="5" t="str" cm="1">
        <f t="array" ref="EA450:FN450">IF(
    ASIGNACION!I450="SI",
    IFERROR(
        TRANSPOSE(
            _xlfn.UNIQUE(
                _xlfn._xlws.FILTER(EDU_DOCENTE[NOMBRE_DOCENTE],
                    ISNUMBER(MATCH(EDU_DOCENTE[MAESTRIA],
                    BQ450:DY450,0))
                )
            )
        ),
        ""
    ),
    TRANSPOSE(
        _xlfn.UNIQUE(EDU_DOCENTE[NOMBRE_DOCENTE]
        )
    )
)</f>
        <v>ALCIVAR CEDEÑO BEATRIZ ISABEL</v>
      </c>
      <c r="EB450" t="str">
        <v>ALCIVAR VERA GEMA MICHELLE</v>
      </c>
      <c r="EC450" t="str">
        <v>ARAUZ CHAVEZ MARIO ROBERTO</v>
      </c>
      <c r="ED450" t="str">
        <v>BAILON LOURIDO WALTER ALBERTO</v>
      </c>
      <c r="EE450" t="str">
        <v>CALDERERO VILLAGOMEZ ERICK ANTONIO</v>
      </c>
      <c r="EF450" t="str">
        <v>CASTILLO GARCIA PAOLA GERMANIA</v>
      </c>
      <c r="EG450" t="str">
        <v>CEDEÑO CHOEZ PEDRO JAVIER</v>
      </c>
      <c r="EH450" t="str">
        <v>CEVALLOS HOPPE JUAN CARLOS</v>
      </c>
      <c r="EI450" t="str">
        <v>DELGADO CHAVEZ MARIA IRASEMA</v>
      </c>
      <c r="EJ450" t="str">
        <v>DUARTE VALENCIA CRISTHIAN DARIO</v>
      </c>
      <c r="EK450" t="str">
        <v>FORTTY BARBERAN DENNY ALEXANDER</v>
      </c>
      <c r="EL450" t="str">
        <v>GUTIERREZ ZAMBRANO CARMEN EBELINA</v>
      </c>
      <c r="EM450" t="str">
        <v>INTRIAGO MOLINA GEMA VALERIA</v>
      </c>
      <c r="EN450" t="str">
        <v>LINO VELEZ LEONEL LIVINGTON</v>
      </c>
      <c r="EO450" t="str">
        <v>LOOR ALCIVAR MARIA ILIANA</v>
      </c>
      <c r="EP450" t="str">
        <v>LOOR MIELES TANIA JACQUELINE</v>
      </c>
      <c r="EQ450" t="str">
        <v>LOOR SOLORZANO ROSA MARIA</v>
      </c>
      <c r="ER450" t="str">
        <v>LOPEZ DELGADO RONALD MAURICIO</v>
      </c>
      <c r="ES450" t="str">
        <v>MACIAS VALENCIA DAVID GABRIEL</v>
      </c>
      <c r="ET450" t="str">
        <v>MENDOZA ZAMORA WALTER MANUEL</v>
      </c>
      <c r="EU450" t="str">
        <v>MOLINA CEVALLOS MARIA LORENA</v>
      </c>
      <c r="EV450" t="str">
        <v>MURILLO DELGADO ISAAC GABRIEL</v>
      </c>
      <c r="EW450" t="str">
        <v>ANGULO MURILLO NAVIRA GISSELA</v>
      </c>
      <c r="EX450" t="str">
        <v>OCHOA SOLEDISPA NESTOR IVAN</v>
      </c>
      <c r="EY450" t="str">
        <v>PARRAGA FRANCO SILVANA MARIELA</v>
      </c>
      <c r="EZ450" t="str">
        <v>PINARGOTE VASQUEZ NANCY FABIOLA</v>
      </c>
      <c r="FA450" t="str">
        <v>REYES VELEZ PEDRO ENRIQUE</v>
      </c>
      <c r="FB450" t="str">
        <v>SAN ANDRES HORMAZA DALLAS CECILIA</v>
      </c>
      <c r="FC450" t="str">
        <v>SORNOZA ZAMORA JUAN CARLOS</v>
      </c>
      <c r="FD450" t="str">
        <v>TOMALA PINTO JESUS JACINTO</v>
      </c>
      <c r="FE450" t="str">
        <v>VALLE JARAMILLO SILVIA ARACELY</v>
      </c>
      <c r="FF450" t="str">
        <v>VELÁSQUEZ BRAVO IRMA KATHERINE</v>
      </c>
      <c r="FG450" t="str">
        <v>VELEZ MENDOZA LAYSY VALERIA</v>
      </c>
      <c r="FH450" t="str">
        <v>VINUEZA TELLO SHIRLEY ELIZABETH</v>
      </c>
      <c r="FI450" t="str">
        <v>ZAMBRANO ALCIVAR NILDA ISABEL</v>
      </c>
      <c r="FJ450" t="str">
        <v>ZAMBRANO LOOR RITA MAYDA</v>
      </c>
      <c r="FK450" t="str">
        <v>ZAMBRANO VERA MONICA JANETH</v>
      </c>
      <c r="FL450" t="str">
        <v>VERA DELGADO BRYAN ADRIÁN</v>
      </c>
      <c r="FM450" t="str">
        <v>MORAN GONZALES DAVID RENATO</v>
      </c>
      <c r="FN450">
        <v>0</v>
      </c>
    </row>
    <row r="451" spans="1:170" ht="20.25" customHeight="1">
      <c r="A451" s="4" t="str" cm="1">
        <f t="array" ref="A451">TRANSPOSE(_xlfn.UNIQUE(_xlfn._xlws.FILTER(MAE_ASIGNATURA[ID_NIVEL],MAE_ASIGNATURA[ID_CARRERA]=ASIGNACION!$C451,"No existe información")))</f>
        <v>No existe información</v>
      </c>
      <c r="S451" s="4" t="str" cm="1">
        <f t="array" ref="S451">TRANSPOSE(_xlfn.UNIQUE(_xlfn._xlws.FILTER(MAE_ASIGNATURA[NOM_ASIG],(MAE_ASIGNATURA[ID_NIVEL]=ASIGNACION!$D451)*(MAE_ASIGNATURA[ID_CARRERA]=ASIGNACION!$C451),"No existe información")))</f>
        <v>No existe información</v>
      </c>
      <c r="BD451" s="4" t="str" cm="1">
        <f t="array" ref="BD451">TRANSPOSE(_xlfn.UNIQUE(_xlfn._xlws.FILTER(DET_ASIG[DETALLADO],(DET_ASIG[ID_CARRERA]=ASIGNACION!$C451)*(DET_ASIG[NIVEL]=ASIGNACION!$D451)*(DET_ASIG[ID_ASIG]=ASIGNACION!$G451),"No existe información")))</f>
        <v>No existe información</v>
      </c>
      <c r="BQ451" s="5" t="str" cm="1">
        <f t="array" ref="BQ451">IFERROR(
    TRANSPOSE(
        _xlfn.UNIQUE(
            _xlfn._xlws.FILTER(MAESTRIA_DETALLADO[MAESTRIA],
                ISNUMBER(MATCH(MAESTRIA_DETALLADO[CAMPO_DETALLADO],
                BD451:BP451,0))
            )
        )
    ),IF(BD451="ACTIVIDAD","DOCENCIA",""))</f>
        <v/>
      </c>
      <c r="EA451" s="5" t="str" cm="1">
        <f t="array" ref="EA451:FN451">IF(
    ASIGNACION!I451="SI",
    IFERROR(
        TRANSPOSE(
            _xlfn.UNIQUE(
                _xlfn._xlws.FILTER(EDU_DOCENTE[NOMBRE_DOCENTE],
                    ISNUMBER(MATCH(EDU_DOCENTE[MAESTRIA],
                    BQ451:DY451,0))
                )
            )
        ),
        ""
    ),
    TRANSPOSE(
        _xlfn.UNIQUE(EDU_DOCENTE[NOMBRE_DOCENTE]
        )
    )
)</f>
        <v>ALCIVAR CEDEÑO BEATRIZ ISABEL</v>
      </c>
      <c r="EB451" t="str">
        <v>ALCIVAR VERA GEMA MICHELLE</v>
      </c>
      <c r="EC451" t="str">
        <v>ARAUZ CHAVEZ MARIO ROBERTO</v>
      </c>
      <c r="ED451" t="str">
        <v>BAILON LOURIDO WALTER ALBERTO</v>
      </c>
      <c r="EE451" t="str">
        <v>CALDERERO VILLAGOMEZ ERICK ANTONIO</v>
      </c>
      <c r="EF451" t="str">
        <v>CASTILLO GARCIA PAOLA GERMANIA</v>
      </c>
      <c r="EG451" t="str">
        <v>CEDEÑO CHOEZ PEDRO JAVIER</v>
      </c>
      <c r="EH451" t="str">
        <v>CEVALLOS HOPPE JUAN CARLOS</v>
      </c>
      <c r="EI451" t="str">
        <v>DELGADO CHAVEZ MARIA IRASEMA</v>
      </c>
      <c r="EJ451" t="str">
        <v>DUARTE VALENCIA CRISTHIAN DARIO</v>
      </c>
      <c r="EK451" t="str">
        <v>FORTTY BARBERAN DENNY ALEXANDER</v>
      </c>
      <c r="EL451" t="str">
        <v>GUTIERREZ ZAMBRANO CARMEN EBELINA</v>
      </c>
      <c r="EM451" t="str">
        <v>INTRIAGO MOLINA GEMA VALERIA</v>
      </c>
      <c r="EN451" t="str">
        <v>LINO VELEZ LEONEL LIVINGTON</v>
      </c>
      <c r="EO451" t="str">
        <v>LOOR ALCIVAR MARIA ILIANA</v>
      </c>
      <c r="EP451" t="str">
        <v>LOOR MIELES TANIA JACQUELINE</v>
      </c>
      <c r="EQ451" t="str">
        <v>LOOR SOLORZANO ROSA MARIA</v>
      </c>
      <c r="ER451" t="str">
        <v>LOPEZ DELGADO RONALD MAURICIO</v>
      </c>
      <c r="ES451" t="str">
        <v>MACIAS VALENCIA DAVID GABRIEL</v>
      </c>
      <c r="ET451" t="str">
        <v>MENDOZA ZAMORA WALTER MANUEL</v>
      </c>
      <c r="EU451" t="str">
        <v>MOLINA CEVALLOS MARIA LORENA</v>
      </c>
      <c r="EV451" t="str">
        <v>MURILLO DELGADO ISAAC GABRIEL</v>
      </c>
      <c r="EW451" t="str">
        <v>ANGULO MURILLO NAVIRA GISSELA</v>
      </c>
      <c r="EX451" t="str">
        <v>OCHOA SOLEDISPA NESTOR IVAN</v>
      </c>
      <c r="EY451" t="str">
        <v>PARRAGA FRANCO SILVANA MARIELA</v>
      </c>
      <c r="EZ451" t="str">
        <v>PINARGOTE VASQUEZ NANCY FABIOLA</v>
      </c>
      <c r="FA451" t="str">
        <v>REYES VELEZ PEDRO ENRIQUE</v>
      </c>
      <c r="FB451" t="str">
        <v>SAN ANDRES HORMAZA DALLAS CECILIA</v>
      </c>
      <c r="FC451" t="str">
        <v>SORNOZA ZAMORA JUAN CARLOS</v>
      </c>
      <c r="FD451" t="str">
        <v>TOMALA PINTO JESUS JACINTO</v>
      </c>
      <c r="FE451" t="str">
        <v>VALLE JARAMILLO SILVIA ARACELY</v>
      </c>
      <c r="FF451" t="str">
        <v>VELÁSQUEZ BRAVO IRMA KATHERINE</v>
      </c>
      <c r="FG451" t="str">
        <v>VELEZ MENDOZA LAYSY VALERIA</v>
      </c>
      <c r="FH451" t="str">
        <v>VINUEZA TELLO SHIRLEY ELIZABETH</v>
      </c>
      <c r="FI451" t="str">
        <v>ZAMBRANO ALCIVAR NILDA ISABEL</v>
      </c>
      <c r="FJ451" t="str">
        <v>ZAMBRANO LOOR RITA MAYDA</v>
      </c>
      <c r="FK451" t="str">
        <v>ZAMBRANO VERA MONICA JANETH</v>
      </c>
      <c r="FL451" t="str">
        <v>VERA DELGADO BRYAN ADRIÁN</v>
      </c>
      <c r="FM451" t="str">
        <v>MORAN GONZALES DAVID RENATO</v>
      </c>
      <c r="FN451">
        <v>0</v>
      </c>
    </row>
    <row r="452" spans="1:170" ht="20.25" customHeight="1">
      <c r="A452" s="4" t="str" cm="1">
        <f t="array" ref="A452">TRANSPOSE(_xlfn.UNIQUE(_xlfn._xlws.FILTER(MAE_ASIGNATURA[ID_NIVEL],MAE_ASIGNATURA[ID_CARRERA]=ASIGNACION!$C452,"No existe información")))</f>
        <v>No existe información</v>
      </c>
      <c r="S452" s="4" t="str" cm="1">
        <f t="array" ref="S452">TRANSPOSE(_xlfn.UNIQUE(_xlfn._xlws.FILTER(MAE_ASIGNATURA[NOM_ASIG],(MAE_ASIGNATURA[ID_NIVEL]=ASIGNACION!$D452)*(MAE_ASIGNATURA[ID_CARRERA]=ASIGNACION!$C452),"No existe información")))</f>
        <v>No existe información</v>
      </c>
      <c r="BD452" s="4" t="str" cm="1">
        <f t="array" ref="BD452">TRANSPOSE(_xlfn.UNIQUE(_xlfn._xlws.FILTER(DET_ASIG[DETALLADO],(DET_ASIG[ID_CARRERA]=ASIGNACION!$C452)*(DET_ASIG[NIVEL]=ASIGNACION!$D452)*(DET_ASIG[ID_ASIG]=ASIGNACION!$G452),"No existe información")))</f>
        <v>No existe información</v>
      </c>
      <c r="BQ452" s="5" t="str" cm="1">
        <f t="array" ref="BQ452">IFERROR(
    TRANSPOSE(
        _xlfn.UNIQUE(
            _xlfn._xlws.FILTER(MAESTRIA_DETALLADO[MAESTRIA],
                ISNUMBER(MATCH(MAESTRIA_DETALLADO[CAMPO_DETALLADO],
                BD452:BP452,0))
            )
        )
    ),IF(BD452="ACTIVIDAD","DOCENCIA",""))</f>
        <v/>
      </c>
      <c r="EA452" s="5" t="str" cm="1">
        <f t="array" ref="EA452:FN452">IF(
    ASIGNACION!I452="SI",
    IFERROR(
        TRANSPOSE(
            _xlfn.UNIQUE(
                _xlfn._xlws.FILTER(EDU_DOCENTE[NOMBRE_DOCENTE],
                    ISNUMBER(MATCH(EDU_DOCENTE[MAESTRIA],
                    BQ452:DY452,0))
                )
            )
        ),
        ""
    ),
    TRANSPOSE(
        _xlfn.UNIQUE(EDU_DOCENTE[NOMBRE_DOCENTE]
        )
    )
)</f>
        <v>ALCIVAR CEDEÑO BEATRIZ ISABEL</v>
      </c>
      <c r="EB452" t="str">
        <v>ALCIVAR VERA GEMA MICHELLE</v>
      </c>
      <c r="EC452" t="str">
        <v>ARAUZ CHAVEZ MARIO ROBERTO</v>
      </c>
      <c r="ED452" t="str">
        <v>BAILON LOURIDO WALTER ALBERTO</v>
      </c>
      <c r="EE452" t="str">
        <v>CALDERERO VILLAGOMEZ ERICK ANTONIO</v>
      </c>
      <c r="EF452" t="str">
        <v>CASTILLO GARCIA PAOLA GERMANIA</v>
      </c>
      <c r="EG452" t="str">
        <v>CEDEÑO CHOEZ PEDRO JAVIER</v>
      </c>
      <c r="EH452" t="str">
        <v>CEVALLOS HOPPE JUAN CARLOS</v>
      </c>
      <c r="EI452" t="str">
        <v>DELGADO CHAVEZ MARIA IRASEMA</v>
      </c>
      <c r="EJ452" t="str">
        <v>DUARTE VALENCIA CRISTHIAN DARIO</v>
      </c>
      <c r="EK452" t="str">
        <v>FORTTY BARBERAN DENNY ALEXANDER</v>
      </c>
      <c r="EL452" t="str">
        <v>GUTIERREZ ZAMBRANO CARMEN EBELINA</v>
      </c>
      <c r="EM452" t="str">
        <v>INTRIAGO MOLINA GEMA VALERIA</v>
      </c>
      <c r="EN452" t="str">
        <v>LINO VELEZ LEONEL LIVINGTON</v>
      </c>
      <c r="EO452" t="str">
        <v>LOOR ALCIVAR MARIA ILIANA</v>
      </c>
      <c r="EP452" t="str">
        <v>LOOR MIELES TANIA JACQUELINE</v>
      </c>
      <c r="EQ452" t="str">
        <v>LOOR SOLORZANO ROSA MARIA</v>
      </c>
      <c r="ER452" t="str">
        <v>LOPEZ DELGADO RONALD MAURICIO</v>
      </c>
      <c r="ES452" t="str">
        <v>MACIAS VALENCIA DAVID GABRIEL</v>
      </c>
      <c r="ET452" t="str">
        <v>MENDOZA ZAMORA WALTER MANUEL</v>
      </c>
      <c r="EU452" t="str">
        <v>MOLINA CEVALLOS MARIA LORENA</v>
      </c>
      <c r="EV452" t="str">
        <v>MURILLO DELGADO ISAAC GABRIEL</v>
      </c>
      <c r="EW452" t="str">
        <v>ANGULO MURILLO NAVIRA GISSELA</v>
      </c>
      <c r="EX452" t="str">
        <v>OCHOA SOLEDISPA NESTOR IVAN</v>
      </c>
      <c r="EY452" t="str">
        <v>PARRAGA FRANCO SILVANA MARIELA</v>
      </c>
      <c r="EZ452" t="str">
        <v>PINARGOTE VASQUEZ NANCY FABIOLA</v>
      </c>
      <c r="FA452" t="str">
        <v>REYES VELEZ PEDRO ENRIQUE</v>
      </c>
      <c r="FB452" t="str">
        <v>SAN ANDRES HORMAZA DALLAS CECILIA</v>
      </c>
      <c r="FC452" t="str">
        <v>SORNOZA ZAMORA JUAN CARLOS</v>
      </c>
      <c r="FD452" t="str">
        <v>TOMALA PINTO JESUS JACINTO</v>
      </c>
      <c r="FE452" t="str">
        <v>VALLE JARAMILLO SILVIA ARACELY</v>
      </c>
      <c r="FF452" t="str">
        <v>VELÁSQUEZ BRAVO IRMA KATHERINE</v>
      </c>
      <c r="FG452" t="str">
        <v>VELEZ MENDOZA LAYSY VALERIA</v>
      </c>
      <c r="FH452" t="str">
        <v>VINUEZA TELLO SHIRLEY ELIZABETH</v>
      </c>
      <c r="FI452" t="str">
        <v>ZAMBRANO ALCIVAR NILDA ISABEL</v>
      </c>
      <c r="FJ452" t="str">
        <v>ZAMBRANO LOOR RITA MAYDA</v>
      </c>
      <c r="FK452" t="str">
        <v>ZAMBRANO VERA MONICA JANETH</v>
      </c>
      <c r="FL452" t="str">
        <v>VERA DELGADO BRYAN ADRIÁN</v>
      </c>
      <c r="FM452" t="str">
        <v>MORAN GONZALES DAVID RENATO</v>
      </c>
      <c r="FN452">
        <v>0</v>
      </c>
    </row>
    <row r="453" spans="1:170" ht="20.25" customHeight="1">
      <c r="A453" s="4" t="str" cm="1">
        <f t="array" ref="A453">TRANSPOSE(_xlfn.UNIQUE(_xlfn._xlws.FILTER(MAE_ASIGNATURA[ID_NIVEL],MAE_ASIGNATURA[ID_CARRERA]=ASIGNACION!$C453,"No existe información")))</f>
        <v>No existe información</v>
      </c>
      <c r="S453" s="4" t="str" cm="1">
        <f t="array" ref="S453">TRANSPOSE(_xlfn.UNIQUE(_xlfn._xlws.FILTER(MAE_ASIGNATURA[NOM_ASIG],(MAE_ASIGNATURA[ID_NIVEL]=ASIGNACION!$D453)*(MAE_ASIGNATURA[ID_CARRERA]=ASIGNACION!$C453),"No existe información")))</f>
        <v>No existe información</v>
      </c>
      <c r="BD453" s="4" t="str" cm="1">
        <f t="array" ref="BD453">TRANSPOSE(_xlfn.UNIQUE(_xlfn._xlws.FILTER(DET_ASIG[DETALLADO],(DET_ASIG[ID_CARRERA]=ASIGNACION!$C453)*(DET_ASIG[NIVEL]=ASIGNACION!$D453)*(DET_ASIG[ID_ASIG]=ASIGNACION!$G453),"No existe información")))</f>
        <v>No existe información</v>
      </c>
      <c r="BQ453" s="5" t="str" cm="1">
        <f t="array" ref="BQ453">IFERROR(
    TRANSPOSE(
        _xlfn.UNIQUE(
            _xlfn._xlws.FILTER(MAESTRIA_DETALLADO[MAESTRIA],
                ISNUMBER(MATCH(MAESTRIA_DETALLADO[CAMPO_DETALLADO],
                BD453:BP453,0))
            )
        )
    ),IF(BD453="ACTIVIDAD","DOCENCIA",""))</f>
        <v/>
      </c>
      <c r="EA453" s="5" t="str" cm="1">
        <f t="array" ref="EA453:FN453">IF(
    ASIGNACION!I453="SI",
    IFERROR(
        TRANSPOSE(
            _xlfn.UNIQUE(
                _xlfn._xlws.FILTER(EDU_DOCENTE[NOMBRE_DOCENTE],
                    ISNUMBER(MATCH(EDU_DOCENTE[MAESTRIA],
                    BQ453:DY453,0))
                )
            )
        ),
        ""
    ),
    TRANSPOSE(
        _xlfn.UNIQUE(EDU_DOCENTE[NOMBRE_DOCENTE]
        )
    )
)</f>
        <v>ALCIVAR CEDEÑO BEATRIZ ISABEL</v>
      </c>
      <c r="EB453" t="str">
        <v>ALCIVAR VERA GEMA MICHELLE</v>
      </c>
      <c r="EC453" t="str">
        <v>ARAUZ CHAVEZ MARIO ROBERTO</v>
      </c>
      <c r="ED453" t="str">
        <v>BAILON LOURIDO WALTER ALBERTO</v>
      </c>
      <c r="EE453" t="str">
        <v>CALDERERO VILLAGOMEZ ERICK ANTONIO</v>
      </c>
      <c r="EF453" t="str">
        <v>CASTILLO GARCIA PAOLA GERMANIA</v>
      </c>
      <c r="EG453" t="str">
        <v>CEDEÑO CHOEZ PEDRO JAVIER</v>
      </c>
      <c r="EH453" t="str">
        <v>CEVALLOS HOPPE JUAN CARLOS</v>
      </c>
      <c r="EI453" t="str">
        <v>DELGADO CHAVEZ MARIA IRASEMA</v>
      </c>
      <c r="EJ453" t="str">
        <v>DUARTE VALENCIA CRISTHIAN DARIO</v>
      </c>
      <c r="EK453" t="str">
        <v>FORTTY BARBERAN DENNY ALEXANDER</v>
      </c>
      <c r="EL453" t="str">
        <v>GUTIERREZ ZAMBRANO CARMEN EBELINA</v>
      </c>
      <c r="EM453" t="str">
        <v>INTRIAGO MOLINA GEMA VALERIA</v>
      </c>
      <c r="EN453" t="str">
        <v>LINO VELEZ LEONEL LIVINGTON</v>
      </c>
      <c r="EO453" t="str">
        <v>LOOR ALCIVAR MARIA ILIANA</v>
      </c>
      <c r="EP453" t="str">
        <v>LOOR MIELES TANIA JACQUELINE</v>
      </c>
      <c r="EQ453" t="str">
        <v>LOOR SOLORZANO ROSA MARIA</v>
      </c>
      <c r="ER453" t="str">
        <v>LOPEZ DELGADO RONALD MAURICIO</v>
      </c>
      <c r="ES453" t="str">
        <v>MACIAS VALENCIA DAVID GABRIEL</v>
      </c>
      <c r="ET453" t="str">
        <v>MENDOZA ZAMORA WALTER MANUEL</v>
      </c>
      <c r="EU453" t="str">
        <v>MOLINA CEVALLOS MARIA LORENA</v>
      </c>
      <c r="EV453" t="str">
        <v>MURILLO DELGADO ISAAC GABRIEL</v>
      </c>
      <c r="EW453" t="str">
        <v>ANGULO MURILLO NAVIRA GISSELA</v>
      </c>
      <c r="EX453" t="str">
        <v>OCHOA SOLEDISPA NESTOR IVAN</v>
      </c>
      <c r="EY453" t="str">
        <v>PARRAGA FRANCO SILVANA MARIELA</v>
      </c>
      <c r="EZ453" t="str">
        <v>PINARGOTE VASQUEZ NANCY FABIOLA</v>
      </c>
      <c r="FA453" t="str">
        <v>REYES VELEZ PEDRO ENRIQUE</v>
      </c>
      <c r="FB453" t="str">
        <v>SAN ANDRES HORMAZA DALLAS CECILIA</v>
      </c>
      <c r="FC453" t="str">
        <v>SORNOZA ZAMORA JUAN CARLOS</v>
      </c>
      <c r="FD453" t="str">
        <v>TOMALA PINTO JESUS JACINTO</v>
      </c>
      <c r="FE453" t="str">
        <v>VALLE JARAMILLO SILVIA ARACELY</v>
      </c>
      <c r="FF453" t="str">
        <v>VELÁSQUEZ BRAVO IRMA KATHERINE</v>
      </c>
      <c r="FG453" t="str">
        <v>VELEZ MENDOZA LAYSY VALERIA</v>
      </c>
      <c r="FH453" t="str">
        <v>VINUEZA TELLO SHIRLEY ELIZABETH</v>
      </c>
      <c r="FI453" t="str">
        <v>ZAMBRANO ALCIVAR NILDA ISABEL</v>
      </c>
      <c r="FJ453" t="str">
        <v>ZAMBRANO LOOR RITA MAYDA</v>
      </c>
      <c r="FK453" t="str">
        <v>ZAMBRANO VERA MONICA JANETH</v>
      </c>
      <c r="FL453" t="str">
        <v>VERA DELGADO BRYAN ADRIÁN</v>
      </c>
      <c r="FM453" t="str">
        <v>MORAN GONZALES DAVID RENATO</v>
      </c>
      <c r="FN453">
        <v>0</v>
      </c>
    </row>
    <row r="454" spans="1:170" ht="20.25" customHeight="1">
      <c r="A454" s="4" t="str" cm="1">
        <f t="array" ref="A454">TRANSPOSE(_xlfn.UNIQUE(_xlfn._xlws.FILTER(MAE_ASIGNATURA[ID_NIVEL],MAE_ASIGNATURA[ID_CARRERA]=ASIGNACION!$C454,"No existe información")))</f>
        <v>No existe información</v>
      </c>
      <c r="S454" s="4" t="str" cm="1">
        <f t="array" ref="S454">TRANSPOSE(_xlfn.UNIQUE(_xlfn._xlws.FILTER(MAE_ASIGNATURA[NOM_ASIG],(MAE_ASIGNATURA[ID_NIVEL]=ASIGNACION!$D454)*(MAE_ASIGNATURA[ID_CARRERA]=ASIGNACION!$C454),"No existe información")))</f>
        <v>No existe información</v>
      </c>
      <c r="BD454" s="4" t="str" cm="1">
        <f t="array" ref="BD454">TRANSPOSE(_xlfn.UNIQUE(_xlfn._xlws.FILTER(DET_ASIG[DETALLADO],(DET_ASIG[ID_CARRERA]=ASIGNACION!$C454)*(DET_ASIG[NIVEL]=ASIGNACION!$D454)*(DET_ASIG[ID_ASIG]=ASIGNACION!$G454),"No existe información")))</f>
        <v>No existe información</v>
      </c>
      <c r="BQ454" s="5" t="str" cm="1">
        <f t="array" ref="BQ454">IFERROR(
    TRANSPOSE(
        _xlfn.UNIQUE(
            _xlfn._xlws.FILTER(MAESTRIA_DETALLADO[MAESTRIA],
                ISNUMBER(MATCH(MAESTRIA_DETALLADO[CAMPO_DETALLADO],
                BD454:BP454,0))
            )
        )
    ),IF(BD454="ACTIVIDAD","DOCENCIA",""))</f>
        <v/>
      </c>
      <c r="EA454" s="5" t="str" cm="1">
        <f t="array" ref="EA454:FN454">IF(
    ASIGNACION!I454="SI",
    IFERROR(
        TRANSPOSE(
            _xlfn.UNIQUE(
                _xlfn._xlws.FILTER(EDU_DOCENTE[NOMBRE_DOCENTE],
                    ISNUMBER(MATCH(EDU_DOCENTE[MAESTRIA],
                    BQ454:DY454,0))
                )
            )
        ),
        ""
    ),
    TRANSPOSE(
        _xlfn.UNIQUE(EDU_DOCENTE[NOMBRE_DOCENTE]
        )
    )
)</f>
        <v>ALCIVAR CEDEÑO BEATRIZ ISABEL</v>
      </c>
      <c r="EB454" t="str">
        <v>ALCIVAR VERA GEMA MICHELLE</v>
      </c>
      <c r="EC454" t="str">
        <v>ARAUZ CHAVEZ MARIO ROBERTO</v>
      </c>
      <c r="ED454" t="str">
        <v>BAILON LOURIDO WALTER ALBERTO</v>
      </c>
      <c r="EE454" t="str">
        <v>CALDERERO VILLAGOMEZ ERICK ANTONIO</v>
      </c>
      <c r="EF454" t="str">
        <v>CASTILLO GARCIA PAOLA GERMANIA</v>
      </c>
      <c r="EG454" t="str">
        <v>CEDEÑO CHOEZ PEDRO JAVIER</v>
      </c>
      <c r="EH454" t="str">
        <v>CEVALLOS HOPPE JUAN CARLOS</v>
      </c>
      <c r="EI454" t="str">
        <v>DELGADO CHAVEZ MARIA IRASEMA</v>
      </c>
      <c r="EJ454" t="str">
        <v>DUARTE VALENCIA CRISTHIAN DARIO</v>
      </c>
      <c r="EK454" t="str">
        <v>FORTTY BARBERAN DENNY ALEXANDER</v>
      </c>
      <c r="EL454" t="str">
        <v>GUTIERREZ ZAMBRANO CARMEN EBELINA</v>
      </c>
      <c r="EM454" t="str">
        <v>INTRIAGO MOLINA GEMA VALERIA</v>
      </c>
      <c r="EN454" t="str">
        <v>LINO VELEZ LEONEL LIVINGTON</v>
      </c>
      <c r="EO454" t="str">
        <v>LOOR ALCIVAR MARIA ILIANA</v>
      </c>
      <c r="EP454" t="str">
        <v>LOOR MIELES TANIA JACQUELINE</v>
      </c>
      <c r="EQ454" t="str">
        <v>LOOR SOLORZANO ROSA MARIA</v>
      </c>
      <c r="ER454" t="str">
        <v>LOPEZ DELGADO RONALD MAURICIO</v>
      </c>
      <c r="ES454" t="str">
        <v>MACIAS VALENCIA DAVID GABRIEL</v>
      </c>
      <c r="ET454" t="str">
        <v>MENDOZA ZAMORA WALTER MANUEL</v>
      </c>
      <c r="EU454" t="str">
        <v>MOLINA CEVALLOS MARIA LORENA</v>
      </c>
      <c r="EV454" t="str">
        <v>MURILLO DELGADO ISAAC GABRIEL</v>
      </c>
      <c r="EW454" t="str">
        <v>ANGULO MURILLO NAVIRA GISSELA</v>
      </c>
      <c r="EX454" t="str">
        <v>OCHOA SOLEDISPA NESTOR IVAN</v>
      </c>
      <c r="EY454" t="str">
        <v>PARRAGA FRANCO SILVANA MARIELA</v>
      </c>
      <c r="EZ454" t="str">
        <v>PINARGOTE VASQUEZ NANCY FABIOLA</v>
      </c>
      <c r="FA454" t="str">
        <v>REYES VELEZ PEDRO ENRIQUE</v>
      </c>
      <c r="FB454" t="str">
        <v>SAN ANDRES HORMAZA DALLAS CECILIA</v>
      </c>
      <c r="FC454" t="str">
        <v>SORNOZA ZAMORA JUAN CARLOS</v>
      </c>
      <c r="FD454" t="str">
        <v>TOMALA PINTO JESUS JACINTO</v>
      </c>
      <c r="FE454" t="str">
        <v>VALLE JARAMILLO SILVIA ARACELY</v>
      </c>
      <c r="FF454" t="str">
        <v>VELÁSQUEZ BRAVO IRMA KATHERINE</v>
      </c>
      <c r="FG454" t="str">
        <v>VELEZ MENDOZA LAYSY VALERIA</v>
      </c>
      <c r="FH454" t="str">
        <v>VINUEZA TELLO SHIRLEY ELIZABETH</v>
      </c>
      <c r="FI454" t="str">
        <v>ZAMBRANO ALCIVAR NILDA ISABEL</v>
      </c>
      <c r="FJ454" t="str">
        <v>ZAMBRANO LOOR RITA MAYDA</v>
      </c>
      <c r="FK454" t="str">
        <v>ZAMBRANO VERA MONICA JANETH</v>
      </c>
      <c r="FL454" t="str">
        <v>VERA DELGADO BRYAN ADRIÁN</v>
      </c>
      <c r="FM454" t="str">
        <v>MORAN GONZALES DAVID RENATO</v>
      </c>
      <c r="FN454">
        <v>0</v>
      </c>
    </row>
    <row r="455" spans="1:170" ht="20.25" customHeight="1">
      <c r="A455" s="4" t="str" cm="1">
        <f t="array" ref="A455">TRANSPOSE(_xlfn.UNIQUE(_xlfn._xlws.FILTER(MAE_ASIGNATURA[ID_NIVEL],MAE_ASIGNATURA[ID_CARRERA]=ASIGNACION!$C455,"No existe información")))</f>
        <v>No existe información</v>
      </c>
      <c r="S455" s="4" t="str" cm="1">
        <f t="array" ref="S455">TRANSPOSE(_xlfn.UNIQUE(_xlfn._xlws.FILTER(MAE_ASIGNATURA[NOM_ASIG],(MAE_ASIGNATURA[ID_NIVEL]=ASIGNACION!$D455)*(MAE_ASIGNATURA[ID_CARRERA]=ASIGNACION!$C455),"No existe información")))</f>
        <v>No existe información</v>
      </c>
      <c r="BD455" s="4" t="str" cm="1">
        <f t="array" ref="BD455">TRANSPOSE(_xlfn.UNIQUE(_xlfn._xlws.FILTER(DET_ASIG[DETALLADO],(DET_ASIG[ID_CARRERA]=ASIGNACION!$C455)*(DET_ASIG[NIVEL]=ASIGNACION!$D455)*(DET_ASIG[ID_ASIG]=ASIGNACION!$G455),"No existe información")))</f>
        <v>No existe información</v>
      </c>
      <c r="BQ455" s="5" t="str" cm="1">
        <f t="array" ref="BQ455">IFERROR(
    TRANSPOSE(
        _xlfn.UNIQUE(
            _xlfn._xlws.FILTER(MAESTRIA_DETALLADO[MAESTRIA],
                ISNUMBER(MATCH(MAESTRIA_DETALLADO[CAMPO_DETALLADO],
                BD455:BP455,0))
            )
        )
    ),IF(BD455="ACTIVIDAD","DOCENCIA",""))</f>
        <v/>
      </c>
      <c r="EA455" s="5" t="str" cm="1">
        <f t="array" ref="EA455:FN455">IF(
    ASIGNACION!I455="SI",
    IFERROR(
        TRANSPOSE(
            _xlfn.UNIQUE(
                _xlfn._xlws.FILTER(EDU_DOCENTE[NOMBRE_DOCENTE],
                    ISNUMBER(MATCH(EDU_DOCENTE[MAESTRIA],
                    BQ455:DY455,0))
                )
            )
        ),
        ""
    ),
    TRANSPOSE(
        _xlfn.UNIQUE(EDU_DOCENTE[NOMBRE_DOCENTE]
        )
    )
)</f>
        <v>ALCIVAR CEDEÑO BEATRIZ ISABEL</v>
      </c>
      <c r="EB455" t="str">
        <v>ALCIVAR VERA GEMA MICHELLE</v>
      </c>
      <c r="EC455" t="str">
        <v>ARAUZ CHAVEZ MARIO ROBERTO</v>
      </c>
      <c r="ED455" t="str">
        <v>BAILON LOURIDO WALTER ALBERTO</v>
      </c>
      <c r="EE455" t="str">
        <v>CALDERERO VILLAGOMEZ ERICK ANTONIO</v>
      </c>
      <c r="EF455" t="str">
        <v>CASTILLO GARCIA PAOLA GERMANIA</v>
      </c>
      <c r="EG455" t="str">
        <v>CEDEÑO CHOEZ PEDRO JAVIER</v>
      </c>
      <c r="EH455" t="str">
        <v>CEVALLOS HOPPE JUAN CARLOS</v>
      </c>
      <c r="EI455" t="str">
        <v>DELGADO CHAVEZ MARIA IRASEMA</v>
      </c>
      <c r="EJ455" t="str">
        <v>DUARTE VALENCIA CRISTHIAN DARIO</v>
      </c>
      <c r="EK455" t="str">
        <v>FORTTY BARBERAN DENNY ALEXANDER</v>
      </c>
      <c r="EL455" t="str">
        <v>GUTIERREZ ZAMBRANO CARMEN EBELINA</v>
      </c>
      <c r="EM455" t="str">
        <v>INTRIAGO MOLINA GEMA VALERIA</v>
      </c>
      <c r="EN455" t="str">
        <v>LINO VELEZ LEONEL LIVINGTON</v>
      </c>
      <c r="EO455" t="str">
        <v>LOOR ALCIVAR MARIA ILIANA</v>
      </c>
      <c r="EP455" t="str">
        <v>LOOR MIELES TANIA JACQUELINE</v>
      </c>
      <c r="EQ455" t="str">
        <v>LOOR SOLORZANO ROSA MARIA</v>
      </c>
      <c r="ER455" t="str">
        <v>LOPEZ DELGADO RONALD MAURICIO</v>
      </c>
      <c r="ES455" t="str">
        <v>MACIAS VALENCIA DAVID GABRIEL</v>
      </c>
      <c r="ET455" t="str">
        <v>MENDOZA ZAMORA WALTER MANUEL</v>
      </c>
      <c r="EU455" t="str">
        <v>MOLINA CEVALLOS MARIA LORENA</v>
      </c>
      <c r="EV455" t="str">
        <v>MURILLO DELGADO ISAAC GABRIEL</v>
      </c>
      <c r="EW455" t="str">
        <v>ANGULO MURILLO NAVIRA GISSELA</v>
      </c>
      <c r="EX455" t="str">
        <v>OCHOA SOLEDISPA NESTOR IVAN</v>
      </c>
      <c r="EY455" t="str">
        <v>PARRAGA FRANCO SILVANA MARIELA</v>
      </c>
      <c r="EZ455" t="str">
        <v>PINARGOTE VASQUEZ NANCY FABIOLA</v>
      </c>
      <c r="FA455" t="str">
        <v>REYES VELEZ PEDRO ENRIQUE</v>
      </c>
      <c r="FB455" t="str">
        <v>SAN ANDRES HORMAZA DALLAS CECILIA</v>
      </c>
      <c r="FC455" t="str">
        <v>SORNOZA ZAMORA JUAN CARLOS</v>
      </c>
      <c r="FD455" t="str">
        <v>TOMALA PINTO JESUS JACINTO</v>
      </c>
      <c r="FE455" t="str">
        <v>VALLE JARAMILLO SILVIA ARACELY</v>
      </c>
      <c r="FF455" t="str">
        <v>VELÁSQUEZ BRAVO IRMA KATHERINE</v>
      </c>
      <c r="FG455" t="str">
        <v>VELEZ MENDOZA LAYSY VALERIA</v>
      </c>
      <c r="FH455" t="str">
        <v>VINUEZA TELLO SHIRLEY ELIZABETH</v>
      </c>
      <c r="FI455" t="str">
        <v>ZAMBRANO ALCIVAR NILDA ISABEL</v>
      </c>
      <c r="FJ455" t="str">
        <v>ZAMBRANO LOOR RITA MAYDA</v>
      </c>
      <c r="FK455" t="str">
        <v>ZAMBRANO VERA MONICA JANETH</v>
      </c>
      <c r="FL455" t="str">
        <v>VERA DELGADO BRYAN ADRIÁN</v>
      </c>
      <c r="FM455" t="str">
        <v>MORAN GONZALES DAVID RENATO</v>
      </c>
      <c r="FN455">
        <v>0</v>
      </c>
    </row>
    <row r="456" spans="1:170" ht="20.25" customHeight="1">
      <c r="A456" s="4" t="str" cm="1">
        <f t="array" ref="A456">TRANSPOSE(_xlfn.UNIQUE(_xlfn._xlws.FILTER(MAE_ASIGNATURA[ID_NIVEL],MAE_ASIGNATURA[ID_CARRERA]=ASIGNACION!$C456,"No existe información")))</f>
        <v>No existe información</v>
      </c>
      <c r="S456" s="4" t="str" cm="1">
        <f t="array" ref="S456">TRANSPOSE(_xlfn.UNIQUE(_xlfn._xlws.FILTER(MAE_ASIGNATURA[NOM_ASIG],(MAE_ASIGNATURA[ID_NIVEL]=ASIGNACION!$D456)*(MAE_ASIGNATURA[ID_CARRERA]=ASIGNACION!$C456),"No existe información")))</f>
        <v>No existe información</v>
      </c>
      <c r="BD456" s="4" t="str" cm="1">
        <f t="array" ref="BD456">TRANSPOSE(_xlfn.UNIQUE(_xlfn._xlws.FILTER(DET_ASIG[DETALLADO],(DET_ASIG[ID_CARRERA]=ASIGNACION!$C456)*(DET_ASIG[NIVEL]=ASIGNACION!$D456)*(DET_ASIG[ID_ASIG]=ASIGNACION!$G456),"No existe información")))</f>
        <v>No existe información</v>
      </c>
      <c r="BQ456" s="5" t="str" cm="1">
        <f t="array" ref="BQ456">IFERROR(
    TRANSPOSE(
        _xlfn.UNIQUE(
            _xlfn._xlws.FILTER(MAESTRIA_DETALLADO[MAESTRIA],
                ISNUMBER(MATCH(MAESTRIA_DETALLADO[CAMPO_DETALLADO],
                BD456:BP456,0))
            )
        )
    ),IF(BD456="ACTIVIDAD","DOCENCIA",""))</f>
        <v/>
      </c>
      <c r="EA456" s="5" t="str" cm="1">
        <f t="array" ref="EA456:FN456">IF(
    ASIGNACION!I456="SI",
    IFERROR(
        TRANSPOSE(
            _xlfn.UNIQUE(
                _xlfn._xlws.FILTER(EDU_DOCENTE[NOMBRE_DOCENTE],
                    ISNUMBER(MATCH(EDU_DOCENTE[MAESTRIA],
                    BQ456:DY456,0))
                )
            )
        ),
        ""
    ),
    TRANSPOSE(
        _xlfn.UNIQUE(EDU_DOCENTE[NOMBRE_DOCENTE]
        )
    )
)</f>
        <v>ALCIVAR CEDEÑO BEATRIZ ISABEL</v>
      </c>
      <c r="EB456" t="str">
        <v>ALCIVAR VERA GEMA MICHELLE</v>
      </c>
      <c r="EC456" t="str">
        <v>ARAUZ CHAVEZ MARIO ROBERTO</v>
      </c>
      <c r="ED456" t="str">
        <v>BAILON LOURIDO WALTER ALBERTO</v>
      </c>
      <c r="EE456" t="str">
        <v>CALDERERO VILLAGOMEZ ERICK ANTONIO</v>
      </c>
      <c r="EF456" t="str">
        <v>CASTILLO GARCIA PAOLA GERMANIA</v>
      </c>
      <c r="EG456" t="str">
        <v>CEDEÑO CHOEZ PEDRO JAVIER</v>
      </c>
      <c r="EH456" t="str">
        <v>CEVALLOS HOPPE JUAN CARLOS</v>
      </c>
      <c r="EI456" t="str">
        <v>DELGADO CHAVEZ MARIA IRASEMA</v>
      </c>
      <c r="EJ456" t="str">
        <v>DUARTE VALENCIA CRISTHIAN DARIO</v>
      </c>
      <c r="EK456" t="str">
        <v>FORTTY BARBERAN DENNY ALEXANDER</v>
      </c>
      <c r="EL456" t="str">
        <v>GUTIERREZ ZAMBRANO CARMEN EBELINA</v>
      </c>
      <c r="EM456" t="str">
        <v>INTRIAGO MOLINA GEMA VALERIA</v>
      </c>
      <c r="EN456" t="str">
        <v>LINO VELEZ LEONEL LIVINGTON</v>
      </c>
      <c r="EO456" t="str">
        <v>LOOR ALCIVAR MARIA ILIANA</v>
      </c>
      <c r="EP456" t="str">
        <v>LOOR MIELES TANIA JACQUELINE</v>
      </c>
      <c r="EQ456" t="str">
        <v>LOOR SOLORZANO ROSA MARIA</v>
      </c>
      <c r="ER456" t="str">
        <v>LOPEZ DELGADO RONALD MAURICIO</v>
      </c>
      <c r="ES456" t="str">
        <v>MACIAS VALENCIA DAVID GABRIEL</v>
      </c>
      <c r="ET456" t="str">
        <v>MENDOZA ZAMORA WALTER MANUEL</v>
      </c>
      <c r="EU456" t="str">
        <v>MOLINA CEVALLOS MARIA LORENA</v>
      </c>
      <c r="EV456" t="str">
        <v>MURILLO DELGADO ISAAC GABRIEL</v>
      </c>
      <c r="EW456" t="str">
        <v>ANGULO MURILLO NAVIRA GISSELA</v>
      </c>
      <c r="EX456" t="str">
        <v>OCHOA SOLEDISPA NESTOR IVAN</v>
      </c>
      <c r="EY456" t="str">
        <v>PARRAGA FRANCO SILVANA MARIELA</v>
      </c>
      <c r="EZ456" t="str">
        <v>PINARGOTE VASQUEZ NANCY FABIOLA</v>
      </c>
      <c r="FA456" t="str">
        <v>REYES VELEZ PEDRO ENRIQUE</v>
      </c>
      <c r="FB456" t="str">
        <v>SAN ANDRES HORMAZA DALLAS CECILIA</v>
      </c>
      <c r="FC456" t="str">
        <v>SORNOZA ZAMORA JUAN CARLOS</v>
      </c>
      <c r="FD456" t="str">
        <v>TOMALA PINTO JESUS JACINTO</v>
      </c>
      <c r="FE456" t="str">
        <v>VALLE JARAMILLO SILVIA ARACELY</v>
      </c>
      <c r="FF456" t="str">
        <v>VELÁSQUEZ BRAVO IRMA KATHERINE</v>
      </c>
      <c r="FG456" t="str">
        <v>VELEZ MENDOZA LAYSY VALERIA</v>
      </c>
      <c r="FH456" t="str">
        <v>VINUEZA TELLO SHIRLEY ELIZABETH</v>
      </c>
      <c r="FI456" t="str">
        <v>ZAMBRANO ALCIVAR NILDA ISABEL</v>
      </c>
      <c r="FJ456" t="str">
        <v>ZAMBRANO LOOR RITA MAYDA</v>
      </c>
      <c r="FK456" t="str">
        <v>ZAMBRANO VERA MONICA JANETH</v>
      </c>
      <c r="FL456" t="str">
        <v>VERA DELGADO BRYAN ADRIÁN</v>
      </c>
      <c r="FM456" t="str">
        <v>MORAN GONZALES DAVID RENATO</v>
      </c>
      <c r="FN456">
        <v>0</v>
      </c>
    </row>
    <row r="457" spans="1:170" ht="20.25" customHeight="1">
      <c r="A457" s="4" t="str" cm="1">
        <f t="array" ref="A457">TRANSPOSE(_xlfn.UNIQUE(_xlfn._xlws.FILTER(MAE_ASIGNATURA[ID_NIVEL],MAE_ASIGNATURA[ID_CARRERA]=ASIGNACION!$C457,"No existe información")))</f>
        <v>No existe información</v>
      </c>
      <c r="S457" s="4" t="str" cm="1">
        <f t="array" ref="S457">TRANSPOSE(_xlfn.UNIQUE(_xlfn._xlws.FILTER(MAE_ASIGNATURA[NOM_ASIG],(MAE_ASIGNATURA[ID_NIVEL]=ASIGNACION!$D457)*(MAE_ASIGNATURA[ID_CARRERA]=ASIGNACION!$C457),"No existe información")))</f>
        <v>No existe información</v>
      </c>
      <c r="BD457" s="4" t="str" cm="1">
        <f t="array" ref="BD457">TRANSPOSE(_xlfn.UNIQUE(_xlfn._xlws.FILTER(DET_ASIG[DETALLADO],(DET_ASIG[ID_CARRERA]=ASIGNACION!$C457)*(DET_ASIG[NIVEL]=ASIGNACION!$D457)*(DET_ASIG[ID_ASIG]=ASIGNACION!$G457),"No existe información")))</f>
        <v>No existe información</v>
      </c>
      <c r="BQ457" s="5" t="str" cm="1">
        <f t="array" ref="BQ457">IFERROR(
    TRANSPOSE(
        _xlfn.UNIQUE(
            _xlfn._xlws.FILTER(MAESTRIA_DETALLADO[MAESTRIA],
                ISNUMBER(MATCH(MAESTRIA_DETALLADO[CAMPO_DETALLADO],
                BD457:BP457,0))
            )
        )
    ),IF(BD457="ACTIVIDAD","DOCENCIA",""))</f>
        <v/>
      </c>
      <c r="EA457" s="5" t="str" cm="1">
        <f t="array" ref="EA457:FN457">IF(
    ASIGNACION!I457="SI",
    IFERROR(
        TRANSPOSE(
            _xlfn.UNIQUE(
                _xlfn._xlws.FILTER(EDU_DOCENTE[NOMBRE_DOCENTE],
                    ISNUMBER(MATCH(EDU_DOCENTE[MAESTRIA],
                    BQ457:DY457,0))
                )
            )
        ),
        ""
    ),
    TRANSPOSE(
        _xlfn.UNIQUE(EDU_DOCENTE[NOMBRE_DOCENTE]
        )
    )
)</f>
        <v>ALCIVAR CEDEÑO BEATRIZ ISABEL</v>
      </c>
      <c r="EB457" t="str">
        <v>ALCIVAR VERA GEMA MICHELLE</v>
      </c>
      <c r="EC457" t="str">
        <v>ARAUZ CHAVEZ MARIO ROBERTO</v>
      </c>
      <c r="ED457" t="str">
        <v>BAILON LOURIDO WALTER ALBERTO</v>
      </c>
      <c r="EE457" t="str">
        <v>CALDERERO VILLAGOMEZ ERICK ANTONIO</v>
      </c>
      <c r="EF457" t="str">
        <v>CASTILLO GARCIA PAOLA GERMANIA</v>
      </c>
      <c r="EG457" t="str">
        <v>CEDEÑO CHOEZ PEDRO JAVIER</v>
      </c>
      <c r="EH457" t="str">
        <v>CEVALLOS HOPPE JUAN CARLOS</v>
      </c>
      <c r="EI457" t="str">
        <v>DELGADO CHAVEZ MARIA IRASEMA</v>
      </c>
      <c r="EJ457" t="str">
        <v>DUARTE VALENCIA CRISTHIAN DARIO</v>
      </c>
      <c r="EK457" t="str">
        <v>FORTTY BARBERAN DENNY ALEXANDER</v>
      </c>
      <c r="EL457" t="str">
        <v>GUTIERREZ ZAMBRANO CARMEN EBELINA</v>
      </c>
      <c r="EM457" t="str">
        <v>INTRIAGO MOLINA GEMA VALERIA</v>
      </c>
      <c r="EN457" t="str">
        <v>LINO VELEZ LEONEL LIVINGTON</v>
      </c>
      <c r="EO457" t="str">
        <v>LOOR ALCIVAR MARIA ILIANA</v>
      </c>
      <c r="EP457" t="str">
        <v>LOOR MIELES TANIA JACQUELINE</v>
      </c>
      <c r="EQ457" t="str">
        <v>LOOR SOLORZANO ROSA MARIA</v>
      </c>
      <c r="ER457" t="str">
        <v>LOPEZ DELGADO RONALD MAURICIO</v>
      </c>
      <c r="ES457" t="str">
        <v>MACIAS VALENCIA DAVID GABRIEL</v>
      </c>
      <c r="ET457" t="str">
        <v>MENDOZA ZAMORA WALTER MANUEL</v>
      </c>
      <c r="EU457" t="str">
        <v>MOLINA CEVALLOS MARIA LORENA</v>
      </c>
      <c r="EV457" t="str">
        <v>MURILLO DELGADO ISAAC GABRIEL</v>
      </c>
      <c r="EW457" t="str">
        <v>ANGULO MURILLO NAVIRA GISSELA</v>
      </c>
      <c r="EX457" t="str">
        <v>OCHOA SOLEDISPA NESTOR IVAN</v>
      </c>
      <c r="EY457" t="str">
        <v>PARRAGA FRANCO SILVANA MARIELA</v>
      </c>
      <c r="EZ457" t="str">
        <v>PINARGOTE VASQUEZ NANCY FABIOLA</v>
      </c>
      <c r="FA457" t="str">
        <v>REYES VELEZ PEDRO ENRIQUE</v>
      </c>
      <c r="FB457" t="str">
        <v>SAN ANDRES HORMAZA DALLAS CECILIA</v>
      </c>
      <c r="FC457" t="str">
        <v>SORNOZA ZAMORA JUAN CARLOS</v>
      </c>
      <c r="FD457" t="str">
        <v>TOMALA PINTO JESUS JACINTO</v>
      </c>
      <c r="FE457" t="str">
        <v>VALLE JARAMILLO SILVIA ARACELY</v>
      </c>
      <c r="FF457" t="str">
        <v>VELÁSQUEZ BRAVO IRMA KATHERINE</v>
      </c>
      <c r="FG457" t="str">
        <v>VELEZ MENDOZA LAYSY VALERIA</v>
      </c>
      <c r="FH457" t="str">
        <v>VINUEZA TELLO SHIRLEY ELIZABETH</v>
      </c>
      <c r="FI457" t="str">
        <v>ZAMBRANO ALCIVAR NILDA ISABEL</v>
      </c>
      <c r="FJ457" t="str">
        <v>ZAMBRANO LOOR RITA MAYDA</v>
      </c>
      <c r="FK457" t="str">
        <v>ZAMBRANO VERA MONICA JANETH</v>
      </c>
      <c r="FL457" t="str">
        <v>VERA DELGADO BRYAN ADRIÁN</v>
      </c>
      <c r="FM457" t="str">
        <v>MORAN GONZALES DAVID RENATO</v>
      </c>
      <c r="FN457">
        <v>0</v>
      </c>
    </row>
    <row r="458" spans="1:170" ht="20.25" customHeight="1">
      <c r="A458" s="4" t="str" cm="1">
        <f t="array" ref="A458">TRANSPOSE(_xlfn.UNIQUE(_xlfn._xlws.FILTER(MAE_ASIGNATURA[ID_NIVEL],MAE_ASIGNATURA[ID_CARRERA]=ASIGNACION!$C458,"No existe información")))</f>
        <v>No existe información</v>
      </c>
      <c r="S458" s="4" t="str" cm="1">
        <f t="array" ref="S458">TRANSPOSE(_xlfn.UNIQUE(_xlfn._xlws.FILTER(MAE_ASIGNATURA[NOM_ASIG],(MAE_ASIGNATURA[ID_NIVEL]=ASIGNACION!$D458)*(MAE_ASIGNATURA[ID_CARRERA]=ASIGNACION!$C458),"No existe información")))</f>
        <v>No existe información</v>
      </c>
      <c r="BD458" s="4" t="str" cm="1">
        <f t="array" ref="BD458">TRANSPOSE(_xlfn.UNIQUE(_xlfn._xlws.FILTER(DET_ASIG[DETALLADO],(DET_ASIG[ID_CARRERA]=ASIGNACION!$C458)*(DET_ASIG[NIVEL]=ASIGNACION!$D458)*(DET_ASIG[ID_ASIG]=ASIGNACION!$G458),"No existe información")))</f>
        <v>No existe información</v>
      </c>
      <c r="BQ458" s="5" t="str" cm="1">
        <f t="array" ref="BQ458">IFERROR(
    TRANSPOSE(
        _xlfn.UNIQUE(
            _xlfn._xlws.FILTER(MAESTRIA_DETALLADO[MAESTRIA],
                ISNUMBER(MATCH(MAESTRIA_DETALLADO[CAMPO_DETALLADO],
                BD458:BP458,0))
            )
        )
    ),IF(BD458="ACTIVIDAD","DOCENCIA",""))</f>
        <v/>
      </c>
      <c r="EA458" s="5" t="str" cm="1">
        <f t="array" ref="EA458:FN458">IF(
    ASIGNACION!I458="SI",
    IFERROR(
        TRANSPOSE(
            _xlfn.UNIQUE(
                _xlfn._xlws.FILTER(EDU_DOCENTE[NOMBRE_DOCENTE],
                    ISNUMBER(MATCH(EDU_DOCENTE[MAESTRIA],
                    BQ458:DY458,0))
                )
            )
        ),
        ""
    ),
    TRANSPOSE(
        _xlfn.UNIQUE(EDU_DOCENTE[NOMBRE_DOCENTE]
        )
    )
)</f>
        <v>ALCIVAR CEDEÑO BEATRIZ ISABEL</v>
      </c>
      <c r="EB458" t="str">
        <v>ALCIVAR VERA GEMA MICHELLE</v>
      </c>
      <c r="EC458" t="str">
        <v>ARAUZ CHAVEZ MARIO ROBERTO</v>
      </c>
      <c r="ED458" t="str">
        <v>BAILON LOURIDO WALTER ALBERTO</v>
      </c>
      <c r="EE458" t="str">
        <v>CALDERERO VILLAGOMEZ ERICK ANTONIO</v>
      </c>
      <c r="EF458" t="str">
        <v>CASTILLO GARCIA PAOLA GERMANIA</v>
      </c>
      <c r="EG458" t="str">
        <v>CEDEÑO CHOEZ PEDRO JAVIER</v>
      </c>
      <c r="EH458" t="str">
        <v>CEVALLOS HOPPE JUAN CARLOS</v>
      </c>
      <c r="EI458" t="str">
        <v>DELGADO CHAVEZ MARIA IRASEMA</v>
      </c>
      <c r="EJ458" t="str">
        <v>DUARTE VALENCIA CRISTHIAN DARIO</v>
      </c>
      <c r="EK458" t="str">
        <v>FORTTY BARBERAN DENNY ALEXANDER</v>
      </c>
      <c r="EL458" t="str">
        <v>GUTIERREZ ZAMBRANO CARMEN EBELINA</v>
      </c>
      <c r="EM458" t="str">
        <v>INTRIAGO MOLINA GEMA VALERIA</v>
      </c>
      <c r="EN458" t="str">
        <v>LINO VELEZ LEONEL LIVINGTON</v>
      </c>
      <c r="EO458" t="str">
        <v>LOOR ALCIVAR MARIA ILIANA</v>
      </c>
      <c r="EP458" t="str">
        <v>LOOR MIELES TANIA JACQUELINE</v>
      </c>
      <c r="EQ458" t="str">
        <v>LOOR SOLORZANO ROSA MARIA</v>
      </c>
      <c r="ER458" t="str">
        <v>LOPEZ DELGADO RONALD MAURICIO</v>
      </c>
      <c r="ES458" t="str">
        <v>MACIAS VALENCIA DAVID GABRIEL</v>
      </c>
      <c r="ET458" t="str">
        <v>MENDOZA ZAMORA WALTER MANUEL</v>
      </c>
      <c r="EU458" t="str">
        <v>MOLINA CEVALLOS MARIA LORENA</v>
      </c>
      <c r="EV458" t="str">
        <v>MURILLO DELGADO ISAAC GABRIEL</v>
      </c>
      <c r="EW458" t="str">
        <v>ANGULO MURILLO NAVIRA GISSELA</v>
      </c>
      <c r="EX458" t="str">
        <v>OCHOA SOLEDISPA NESTOR IVAN</v>
      </c>
      <c r="EY458" t="str">
        <v>PARRAGA FRANCO SILVANA MARIELA</v>
      </c>
      <c r="EZ458" t="str">
        <v>PINARGOTE VASQUEZ NANCY FABIOLA</v>
      </c>
      <c r="FA458" t="str">
        <v>REYES VELEZ PEDRO ENRIQUE</v>
      </c>
      <c r="FB458" t="str">
        <v>SAN ANDRES HORMAZA DALLAS CECILIA</v>
      </c>
      <c r="FC458" t="str">
        <v>SORNOZA ZAMORA JUAN CARLOS</v>
      </c>
      <c r="FD458" t="str">
        <v>TOMALA PINTO JESUS JACINTO</v>
      </c>
      <c r="FE458" t="str">
        <v>VALLE JARAMILLO SILVIA ARACELY</v>
      </c>
      <c r="FF458" t="str">
        <v>VELÁSQUEZ BRAVO IRMA KATHERINE</v>
      </c>
      <c r="FG458" t="str">
        <v>VELEZ MENDOZA LAYSY VALERIA</v>
      </c>
      <c r="FH458" t="str">
        <v>VINUEZA TELLO SHIRLEY ELIZABETH</v>
      </c>
      <c r="FI458" t="str">
        <v>ZAMBRANO ALCIVAR NILDA ISABEL</v>
      </c>
      <c r="FJ458" t="str">
        <v>ZAMBRANO LOOR RITA MAYDA</v>
      </c>
      <c r="FK458" t="str">
        <v>ZAMBRANO VERA MONICA JANETH</v>
      </c>
      <c r="FL458" t="str">
        <v>VERA DELGADO BRYAN ADRIÁN</v>
      </c>
      <c r="FM458" t="str">
        <v>MORAN GONZALES DAVID RENATO</v>
      </c>
      <c r="FN458">
        <v>0</v>
      </c>
    </row>
    <row r="459" spans="1:170" ht="20.25" customHeight="1">
      <c r="A459" s="4" t="str" cm="1">
        <f t="array" ref="A459">TRANSPOSE(_xlfn.UNIQUE(_xlfn._xlws.FILTER(MAE_ASIGNATURA[ID_NIVEL],MAE_ASIGNATURA[ID_CARRERA]=ASIGNACION!$C459,"No existe información")))</f>
        <v>No existe información</v>
      </c>
      <c r="S459" s="4" t="str" cm="1">
        <f t="array" ref="S459">TRANSPOSE(_xlfn.UNIQUE(_xlfn._xlws.FILTER(MAE_ASIGNATURA[NOM_ASIG],(MAE_ASIGNATURA[ID_NIVEL]=ASIGNACION!$D459)*(MAE_ASIGNATURA[ID_CARRERA]=ASIGNACION!$C459),"No existe información")))</f>
        <v>No existe información</v>
      </c>
      <c r="BD459" s="4" t="str" cm="1">
        <f t="array" ref="BD459">TRANSPOSE(_xlfn.UNIQUE(_xlfn._xlws.FILTER(DET_ASIG[DETALLADO],(DET_ASIG[ID_CARRERA]=ASIGNACION!$C459)*(DET_ASIG[NIVEL]=ASIGNACION!$D459)*(DET_ASIG[ID_ASIG]=ASIGNACION!$G459),"No existe información")))</f>
        <v>No existe información</v>
      </c>
      <c r="BQ459" s="5" t="str" cm="1">
        <f t="array" ref="BQ459">IFERROR(
    TRANSPOSE(
        _xlfn.UNIQUE(
            _xlfn._xlws.FILTER(MAESTRIA_DETALLADO[MAESTRIA],
                ISNUMBER(MATCH(MAESTRIA_DETALLADO[CAMPO_DETALLADO],
                BD459:BP459,0))
            )
        )
    ),IF(BD459="ACTIVIDAD","DOCENCIA",""))</f>
        <v/>
      </c>
      <c r="EA459" s="5" t="str" cm="1">
        <f t="array" ref="EA459:FN459">IF(
    ASIGNACION!I459="SI",
    IFERROR(
        TRANSPOSE(
            _xlfn.UNIQUE(
                _xlfn._xlws.FILTER(EDU_DOCENTE[NOMBRE_DOCENTE],
                    ISNUMBER(MATCH(EDU_DOCENTE[MAESTRIA],
                    BQ459:DY459,0))
                )
            )
        ),
        ""
    ),
    TRANSPOSE(
        _xlfn.UNIQUE(EDU_DOCENTE[NOMBRE_DOCENTE]
        )
    )
)</f>
        <v>ALCIVAR CEDEÑO BEATRIZ ISABEL</v>
      </c>
      <c r="EB459" t="str">
        <v>ALCIVAR VERA GEMA MICHELLE</v>
      </c>
      <c r="EC459" t="str">
        <v>ARAUZ CHAVEZ MARIO ROBERTO</v>
      </c>
      <c r="ED459" t="str">
        <v>BAILON LOURIDO WALTER ALBERTO</v>
      </c>
      <c r="EE459" t="str">
        <v>CALDERERO VILLAGOMEZ ERICK ANTONIO</v>
      </c>
      <c r="EF459" t="str">
        <v>CASTILLO GARCIA PAOLA GERMANIA</v>
      </c>
      <c r="EG459" t="str">
        <v>CEDEÑO CHOEZ PEDRO JAVIER</v>
      </c>
      <c r="EH459" t="str">
        <v>CEVALLOS HOPPE JUAN CARLOS</v>
      </c>
      <c r="EI459" t="str">
        <v>DELGADO CHAVEZ MARIA IRASEMA</v>
      </c>
      <c r="EJ459" t="str">
        <v>DUARTE VALENCIA CRISTHIAN DARIO</v>
      </c>
      <c r="EK459" t="str">
        <v>FORTTY BARBERAN DENNY ALEXANDER</v>
      </c>
      <c r="EL459" t="str">
        <v>GUTIERREZ ZAMBRANO CARMEN EBELINA</v>
      </c>
      <c r="EM459" t="str">
        <v>INTRIAGO MOLINA GEMA VALERIA</v>
      </c>
      <c r="EN459" t="str">
        <v>LINO VELEZ LEONEL LIVINGTON</v>
      </c>
      <c r="EO459" t="str">
        <v>LOOR ALCIVAR MARIA ILIANA</v>
      </c>
      <c r="EP459" t="str">
        <v>LOOR MIELES TANIA JACQUELINE</v>
      </c>
      <c r="EQ459" t="str">
        <v>LOOR SOLORZANO ROSA MARIA</v>
      </c>
      <c r="ER459" t="str">
        <v>LOPEZ DELGADO RONALD MAURICIO</v>
      </c>
      <c r="ES459" t="str">
        <v>MACIAS VALENCIA DAVID GABRIEL</v>
      </c>
      <c r="ET459" t="str">
        <v>MENDOZA ZAMORA WALTER MANUEL</v>
      </c>
      <c r="EU459" t="str">
        <v>MOLINA CEVALLOS MARIA LORENA</v>
      </c>
      <c r="EV459" t="str">
        <v>MURILLO DELGADO ISAAC GABRIEL</v>
      </c>
      <c r="EW459" t="str">
        <v>ANGULO MURILLO NAVIRA GISSELA</v>
      </c>
      <c r="EX459" t="str">
        <v>OCHOA SOLEDISPA NESTOR IVAN</v>
      </c>
      <c r="EY459" t="str">
        <v>PARRAGA FRANCO SILVANA MARIELA</v>
      </c>
      <c r="EZ459" t="str">
        <v>PINARGOTE VASQUEZ NANCY FABIOLA</v>
      </c>
      <c r="FA459" t="str">
        <v>REYES VELEZ PEDRO ENRIQUE</v>
      </c>
      <c r="FB459" t="str">
        <v>SAN ANDRES HORMAZA DALLAS CECILIA</v>
      </c>
      <c r="FC459" t="str">
        <v>SORNOZA ZAMORA JUAN CARLOS</v>
      </c>
      <c r="FD459" t="str">
        <v>TOMALA PINTO JESUS JACINTO</v>
      </c>
      <c r="FE459" t="str">
        <v>VALLE JARAMILLO SILVIA ARACELY</v>
      </c>
      <c r="FF459" t="str">
        <v>VELÁSQUEZ BRAVO IRMA KATHERINE</v>
      </c>
      <c r="FG459" t="str">
        <v>VELEZ MENDOZA LAYSY VALERIA</v>
      </c>
      <c r="FH459" t="str">
        <v>VINUEZA TELLO SHIRLEY ELIZABETH</v>
      </c>
      <c r="FI459" t="str">
        <v>ZAMBRANO ALCIVAR NILDA ISABEL</v>
      </c>
      <c r="FJ459" t="str">
        <v>ZAMBRANO LOOR RITA MAYDA</v>
      </c>
      <c r="FK459" t="str">
        <v>ZAMBRANO VERA MONICA JANETH</v>
      </c>
      <c r="FL459" t="str">
        <v>VERA DELGADO BRYAN ADRIÁN</v>
      </c>
      <c r="FM459" t="str">
        <v>MORAN GONZALES DAVID RENATO</v>
      </c>
      <c r="FN459">
        <v>0</v>
      </c>
    </row>
    <row r="460" spans="1:170" ht="20.25" customHeight="1">
      <c r="A460" s="4" t="str" cm="1">
        <f t="array" ref="A460">TRANSPOSE(_xlfn.UNIQUE(_xlfn._xlws.FILTER(MAE_ASIGNATURA[ID_NIVEL],MAE_ASIGNATURA[ID_CARRERA]=ASIGNACION!$C460,"No existe información")))</f>
        <v>No existe información</v>
      </c>
      <c r="S460" s="4" t="str" cm="1">
        <f t="array" ref="S460">TRANSPOSE(_xlfn.UNIQUE(_xlfn._xlws.FILTER(MAE_ASIGNATURA[NOM_ASIG],(MAE_ASIGNATURA[ID_NIVEL]=ASIGNACION!$D460)*(MAE_ASIGNATURA[ID_CARRERA]=ASIGNACION!$C460),"No existe información")))</f>
        <v>No existe información</v>
      </c>
      <c r="BD460" s="4" t="str" cm="1">
        <f t="array" ref="BD460">TRANSPOSE(_xlfn.UNIQUE(_xlfn._xlws.FILTER(DET_ASIG[DETALLADO],(DET_ASIG[ID_CARRERA]=ASIGNACION!$C460)*(DET_ASIG[NIVEL]=ASIGNACION!$D460)*(DET_ASIG[ID_ASIG]=ASIGNACION!$G460),"No existe información")))</f>
        <v>No existe información</v>
      </c>
      <c r="BQ460" s="5" t="str" cm="1">
        <f t="array" ref="BQ460">IFERROR(
    TRANSPOSE(
        _xlfn.UNIQUE(
            _xlfn._xlws.FILTER(MAESTRIA_DETALLADO[MAESTRIA],
                ISNUMBER(MATCH(MAESTRIA_DETALLADO[CAMPO_DETALLADO],
                BD460:BP460,0))
            )
        )
    ),IF(BD460="ACTIVIDAD","DOCENCIA",""))</f>
        <v/>
      </c>
      <c r="EA460" s="5" t="str" cm="1">
        <f t="array" ref="EA460:FN460">IF(
    ASIGNACION!I460="SI",
    IFERROR(
        TRANSPOSE(
            _xlfn.UNIQUE(
                _xlfn._xlws.FILTER(EDU_DOCENTE[NOMBRE_DOCENTE],
                    ISNUMBER(MATCH(EDU_DOCENTE[MAESTRIA],
                    BQ460:DY460,0))
                )
            )
        ),
        ""
    ),
    TRANSPOSE(
        _xlfn.UNIQUE(EDU_DOCENTE[NOMBRE_DOCENTE]
        )
    )
)</f>
        <v>ALCIVAR CEDEÑO BEATRIZ ISABEL</v>
      </c>
      <c r="EB460" t="str">
        <v>ALCIVAR VERA GEMA MICHELLE</v>
      </c>
      <c r="EC460" t="str">
        <v>ARAUZ CHAVEZ MARIO ROBERTO</v>
      </c>
      <c r="ED460" t="str">
        <v>BAILON LOURIDO WALTER ALBERTO</v>
      </c>
      <c r="EE460" t="str">
        <v>CALDERERO VILLAGOMEZ ERICK ANTONIO</v>
      </c>
      <c r="EF460" t="str">
        <v>CASTILLO GARCIA PAOLA GERMANIA</v>
      </c>
      <c r="EG460" t="str">
        <v>CEDEÑO CHOEZ PEDRO JAVIER</v>
      </c>
      <c r="EH460" t="str">
        <v>CEVALLOS HOPPE JUAN CARLOS</v>
      </c>
      <c r="EI460" t="str">
        <v>DELGADO CHAVEZ MARIA IRASEMA</v>
      </c>
      <c r="EJ460" t="str">
        <v>DUARTE VALENCIA CRISTHIAN DARIO</v>
      </c>
      <c r="EK460" t="str">
        <v>FORTTY BARBERAN DENNY ALEXANDER</v>
      </c>
      <c r="EL460" t="str">
        <v>GUTIERREZ ZAMBRANO CARMEN EBELINA</v>
      </c>
      <c r="EM460" t="str">
        <v>INTRIAGO MOLINA GEMA VALERIA</v>
      </c>
      <c r="EN460" t="str">
        <v>LINO VELEZ LEONEL LIVINGTON</v>
      </c>
      <c r="EO460" t="str">
        <v>LOOR ALCIVAR MARIA ILIANA</v>
      </c>
      <c r="EP460" t="str">
        <v>LOOR MIELES TANIA JACQUELINE</v>
      </c>
      <c r="EQ460" t="str">
        <v>LOOR SOLORZANO ROSA MARIA</v>
      </c>
      <c r="ER460" t="str">
        <v>LOPEZ DELGADO RONALD MAURICIO</v>
      </c>
      <c r="ES460" t="str">
        <v>MACIAS VALENCIA DAVID GABRIEL</v>
      </c>
      <c r="ET460" t="str">
        <v>MENDOZA ZAMORA WALTER MANUEL</v>
      </c>
      <c r="EU460" t="str">
        <v>MOLINA CEVALLOS MARIA LORENA</v>
      </c>
      <c r="EV460" t="str">
        <v>MURILLO DELGADO ISAAC GABRIEL</v>
      </c>
      <c r="EW460" t="str">
        <v>ANGULO MURILLO NAVIRA GISSELA</v>
      </c>
      <c r="EX460" t="str">
        <v>OCHOA SOLEDISPA NESTOR IVAN</v>
      </c>
      <c r="EY460" t="str">
        <v>PARRAGA FRANCO SILVANA MARIELA</v>
      </c>
      <c r="EZ460" t="str">
        <v>PINARGOTE VASQUEZ NANCY FABIOLA</v>
      </c>
      <c r="FA460" t="str">
        <v>REYES VELEZ PEDRO ENRIQUE</v>
      </c>
      <c r="FB460" t="str">
        <v>SAN ANDRES HORMAZA DALLAS CECILIA</v>
      </c>
      <c r="FC460" t="str">
        <v>SORNOZA ZAMORA JUAN CARLOS</v>
      </c>
      <c r="FD460" t="str">
        <v>TOMALA PINTO JESUS JACINTO</v>
      </c>
      <c r="FE460" t="str">
        <v>VALLE JARAMILLO SILVIA ARACELY</v>
      </c>
      <c r="FF460" t="str">
        <v>VELÁSQUEZ BRAVO IRMA KATHERINE</v>
      </c>
      <c r="FG460" t="str">
        <v>VELEZ MENDOZA LAYSY VALERIA</v>
      </c>
      <c r="FH460" t="str">
        <v>VINUEZA TELLO SHIRLEY ELIZABETH</v>
      </c>
      <c r="FI460" t="str">
        <v>ZAMBRANO ALCIVAR NILDA ISABEL</v>
      </c>
      <c r="FJ460" t="str">
        <v>ZAMBRANO LOOR RITA MAYDA</v>
      </c>
      <c r="FK460" t="str">
        <v>ZAMBRANO VERA MONICA JANETH</v>
      </c>
      <c r="FL460" t="str">
        <v>VERA DELGADO BRYAN ADRIÁN</v>
      </c>
      <c r="FM460" t="str">
        <v>MORAN GONZALES DAVID RENATO</v>
      </c>
      <c r="FN460">
        <v>0</v>
      </c>
    </row>
    <row r="461" spans="1:170" ht="20.25" customHeight="1">
      <c r="A461" s="4" t="str" cm="1">
        <f t="array" ref="A461">TRANSPOSE(_xlfn.UNIQUE(_xlfn._xlws.FILTER(MAE_ASIGNATURA[ID_NIVEL],MAE_ASIGNATURA[ID_CARRERA]=ASIGNACION!$C461,"No existe información")))</f>
        <v>No existe información</v>
      </c>
      <c r="S461" s="4" t="str" cm="1">
        <f t="array" ref="S461">TRANSPOSE(_xlfn.UNIQUE(_xlfn._xlws.FILTER(MAE_ASIGNATURA[NOM_ASIG],(MAE_ASIGNATURA[ID_NIVEL]=ASIGNACION!$D461)*(MAE_ASIGNATURA[ID_CARRERA]=ASIGNACION!$C461),"No existe información")))</f>
        <v>No existe información</v>
      </c>
      <c r="BD461" s="4" t="str" cm="1">
        <f t="array" ref="BD461">TRANSPOSE(_xlfn.UNIQUE(_xlfn._xlws.FILTER(DET_ASIG[DETALLADO],(DET_ASIG[ID_CARRERA]=ASIGNACION!$C461)*(DET_ASIG[NIVEL]=ASIGNACION!$D461)*(DET_ASIG[ID_ASIG]=ASIGNACION!$G461),"No existe información")))</f>
        <v>No existe información</v>
      </c>
      <c r="BQ461" s="5" t="str" cm="1">
        <f t="array" ref="BQ461">IFERROR(
    TRANSPOSE(
        _xlfn.UNIQUE(
            _xlfn._xlws.FILTER(MAESTRIA_DETALLADO[MAESTRIA],
                ISNUMBER(MATCH(MAESTRIA_DETALLADO[CAMPO_DETALLADO],
                BD461:BP461,0))
            )
        )
    ),IF(BD461="ACTIVIDAD","DOCENCIA",""))</f>
        <v/>
      </c>
      <c r="EA461" s="5" t="str" cm="1">
        <f t="array" ref="EA461:FN461">IF(
    ASIGNACION!I461="SI",
    IFERROR(
        TRANSPOSE(
            _xlfn.UNIQUE(
                _xlfn._xlws.FILTER(EDU_DOCENTE[NOMBRE_DOCENTE],
                    ISNUMBER(MATCH(EDU_DOCENTE[MAESTRIA],
                    BQ461:DY461,0))
                )
            )
        ),
        ""
    ),
    TRANSPOSE(
        _xlfn.UNIQUE(EDU_DOCENTE[NOMBRE_DOCENTE]
        )
    )
)</f>
        <v>ALCIVAR CEDEÑO BEATRIZ ISABEL</v>
      </c>
      <c r="EB461" t="str">
        <v>ALCIVAR VERA GEMA MICHELLE</v>
      </c>
      <c r="EC461" t="str">
        <v>ARAUZ CHAVEZ MARIO ROBERTO</v>
      </c>
      <c r="ED461" t="str">
        <v>BAILON LOURIDO WALTER ALBERTO</v>
      </c>
      <c r="EE461" t="str">
        <v>CALDERERO VILLAGOMEZ ERICK ANTONIO</v>
      </c>
      <c r="EF461" t="str">
        <v>CASTILLO GARCIA PAOLA GERMANIA</v>
      </c>
      <c r="EG461" t="str">
        <v>CEDEÑO CHOEZ PEDRO JAVIER</v>
      </c>
      <c r="EH461" t="str">
        <v>CEVALLOS HOPPE JUAN CARLOS</v>
      </c>
      <c r="EI461" t="str">
        <v>DELGADO CHAVEZ MARIA IRASEMA</v>
      </c>
      <c r="EJ461" t="str">
        <v>DUARTE VALENCIA CRISTHIAN DARIO</v>
      </c>
      <c r="EK461" t="str">
        <v>FORTTY BARBERAN DENNY ALEXANDER</v>
      </c>
      <c r="EL461" t="str">
        <v>GUTIERREZ ZAMBRANO CARMEN EBELINA</v>
      </c>
      <c r="EM461" t="str">
        <v>INTRIAGO MOLINA GEMA VALERIA</v>
      </c>
      <c r="EN461" t="str">
        <v>LINO VELEZ LEONEL LIVINGTON</v>
      </c>
      <c r="EO461" t="str">
        <v>LOOR ALCIVAR MARIA ILIANA</v>
      </c>
      <c r="EP461" t="str">
        <v>LOOR MIELES TANIA JACQUELINE</v>
      </c>
      <c r="EQ461" t="str">
        <v>LOOR SOLORZANO ROSA MARIA</v>
      </c>
      <c r="ER461" t="str">
        <v>LOPEZ DELGADO RONALD MAURICIO</v>
      </c>
      <c r="ES461" t="str">
        <v>MACIAS VALENCIA DAVID GABRIEL</v>
      </c>
      <c r="ET461" t="str">
        <v>MENDOZA ZAMORA WALTER MANUEL</v>
      </c>
      <c r="EU461" t="str">
        <v>MOLINA CEVALLOS MARIA LORENA</v>
      </c>
      <c r="EV461" t="str">
        <v>MURILLO DELGADO ISAAC GABRIEL</v>
      </c>
      <c r="EW461" t="str">
        <v>ANGULO MURILLO NAVIRA GISSELA</v>
      </c>
      <c r="EX461" t="str">
        <v>OCHOA SOLEDISPA NESTOR IVAN</v>
      </c>
      <c r="EY461" t="str">
        <v>PARRAGA FRANCO SILVANA MARIELA</v>
      </c>
      <c r="EZ461" t="str">
        <v>PINARGOTE VASQUEZ NANCY FABIOLA</v>
      </c>
      <c r="FA461" t="str">
        <v>REYES VELEZ PEDRO ENRIQUE</v>
      </c>
      <c r="FB461" t="str">
        <v>SAN ANDRES HORMAZA DALLAS CECILIA</v>
      </c>
      <c r="FC461" t="str">
        <v>SORNOZA ZAMORA JUAN CARLOS</v>
      </c>
      <c r="FD461" t="str">
        <v>TOMALA PINTO JESUS JACINTO</v>
      </c>
      <c r="FE461" t="str">
        <v>VALLE JARAMILLO SILVIA ARACELY</v>
      </c>
      <c r="FF461" t="str">
        <v>VELÁSQUEZ BRAVO IRMA KATHERINE</v>
      </c>
      <c r="FG461" t="str">
        <v>VELEZ MENDOZA LAYSY VALERIA</v>
      </c>
      <c r="FH461" t="str">
        <v>VINUEZA TELLO SHIRLEY ELIZABETH</v>
      </c>
      <c r="FI461" t="str">
        <v>ZAMBRANO ALCIVAR NILDA ISABEL</v>
      </c>
      <c r="FJ461" t="str">
        <v>ZAMBRANO LOOR RITA MAYDA</v>
      </c>
      <c r="FK461" t="str">
        <v>ZAMBRANO VERA MONICA JANETH</v>
      </c>
      <c r="FL461" t="str">
        <v>VERA DELGADO BRYAN ADRIÁN</v>
      </c>
      <c r="FM461" t="str">
        <v>MORAN GONZALES DAVID RENATO</v>
      </c>
      <c r="FN461">
        <v>0</v>
      </c>
    </row>
    <row r="462" spans="1:170" ht="20.25" customHeight="1">
      <c r="A462" s="4" t="str" cm="1">
        <f t="array" ref="A462">TRANSPOSE(_xlfn.UNIQUE(_xlfn._xlws.FILTER(MAE_ASIGNATURA[ID_NIVEL],MAE_ASIGNATURA[ID_CARRERA]=ASIGNACION!$C462,"No existe información")))</f>
        <v>No existe información</v>
      </c>
      <c r="S462" s="4" t="str" cm="1">
        <f t="array" ref="S462">TRANSPOSE(_xlfn.UNIQUE(_xlfn._xlws.FILTER(MAE_ASIGNATURA[NOM_ASIG],(MAE_ASIGNATURA[ID_NIVEL]=ASIGNACION!$D462)*(MAE_ASIGNATURA[ID_CARRERA]=ASIGNACION!$C462),"No existe información")))</f>
        <v>No existe información</v>
      </c>
      <c r="BD462" s="4" t="str" cm="1">
        <f t="array" ref="BD462">TRANSPOSE(_xlfn.UNIQUE(_xlfn._xlws.FILTER(DET_ASIG[DETALLADO],(DET_ASIG[ID_CARRERA]=ASIGNACION!$C462)*(DET_ASIG[NIVEL]=ASIGNACION!$D462)*(DET_ASIG[ID_ASIG]=ASIGNACION!$G462),"No existe información")))</f>
        <v>No existe información</v>
      </c>
      <c r="BQ462" s="5" t="str" cm="1">
        <f t="array" ref="BQ462">IFERROR(
    TRANSPOSE(
        _xlfn.UNIQUE(
            _xlfn._xlws.FILTER(MAESTRIA_DETALLADO[MAESTRIA],
                ISNUMBER(MATCH(MAESTRIA_DETALLADO[CAMPO_DETALLADO],
                BD462:BP462,0))
            )
        )
    ),IF(BD462="ACTIVIDAD","DOCENCIA",""))</f>
        <v/>
      </c>
      <c r="EA462" s="5" t="str" cm="1">
        <f t="array" ref="EA462:FN462">IF(
    ASIGNACION!I462="SI",
    IFERROR(
        TRANSPOSE(
            _xlfn.UNIQUE(
                _xlfn._xlws.FILTER(EDU_DOCENTE[NOMBRE_DOCENTE],
                    ISNUMBER(MATCH(EDU_DOCENTE[MAESTRIA],
                    BQ462:DY462,0))
                )
            )
        ),
        ""
    ),
    TRANSPOSE(
        _xlfn.UNIQUE(EDU_DOCENTE[NOMBRE_DOCENTE]
        )
    )
)</f>
        <v>ALCIVAR CEDEÑO BEATRIZ ISABEL</v>
      </c>
      <c r="EB462" t="str">
        <v>ALCIVAR VERA GEMA MICHELLE</v>
      </c>
      <c r="EC462" t="str">
        <v>ARAUZ CHAVEZ MARIO ROBERTO</v>
      </c>
      <c r="ED462" t="str">
        <v>BAILON LOURIDO WALTER ALBERTO</v>
      </c>
      <c r="EE462" t="str">
        <v>CALDERERO VILLAGOMEZ ERICK ANTONIO</v>
      </c>
      <c r="EF462" t="str">
        <v>CASTILLO GARCIA PAOLA GERMANIA</v>
      </c>
      <c r="EG462" t="str">
        <v>CEDEÑO CHOEZ PEDRO JAVIER</v>
      </c>
      <c r="EH462" t="str">
        <v>CEVALLOS HOPPE JUAN CARLOS</v>
      </c>
      <c r="EI462" t="str">
        <v>DELGADO CHAVEZ MARIA IRASEMA</v>
      </c>
      <c r="EJ462" t="str">
        <v>DUARTE VALENCIA CRISTHIAN DARIO</v>
      </c>
      <c r="EK462" t="str">
        <v>FORTTY BARBERAN DENNY ALEXANDER</v>
      </c>
      <c r="EL462" t="str">
        <v>GUTIERREZ ZAMBRANO CARMEN EBELINA</v>
      </c>
      <c r="EM462" t="str">
        <v>INTRIAGO MOLINA GEMA VALERIA</v>
      </c>
      <c r="EN462" t="str">
        <v>LINO VELEZ LEONEL LIVINGTON</v>
      </c>
      <c r="EO462" t="str">
        <v>LOOR ALCIVAR MARIA ILIANA</v>
      </c>
      <c r="EP462" t="str">
        <v>LOOR MIELES TANIA JACQUELINE</v>
      </c>
      <c r="EQ462" t="str">
        <v>LOOR SOLORZANO ROSA MARIA</v>
      </c>
      <c r="ER462" t="str">
        <v>LOPEZ DELGADO RONALD MAURICIO</v>
      </c>
      <c r="ES462" t="str">
        <v>MACIAS VALENCIA DAVID GABRIEL</v>
      </c>
      <c r="ET462" t="str">
        <v>MENDOZA ZAMORA WALTER MANUEL</v>
      </c>
      <c r="EU462" t="str">
        <v>MOLINA CEVALLOS MARIA LORENA</v>
      </c>
      <c r="EV462" t="str">
        <v>MURILLO DELGADO ISAAC GABRIEL</v>
      </c>
      <c r="EW462" t="str">
        <v>ANGULO MURILLO NAVIRA GISSELA</v>
      </c>
      <c r="EX462" t="str">
        <v>OCHOA SOLEDISPA NESTOR IVAN</v>
      </c>
      <c r="EY462" t="str">
        <v>PARRAGA FRANCO SILVANA MARIELA</v>
      </c>
      <c r="EZ462" t="str">
        <v>PINARGOTE VASQUEZ NANCY FABIOLA</v>
      </c>
      <c r="FA462" t="str">
        <v>REYES VELEZ PEDRO ENRIQUE</v>
      </c>
      <c r="FB462" t="str">
        <v>SAN ANDRES HORMAZA DALLAS CECILIA</v>
      </c>
      <c r="FC462" t="str">
        <v>SORNOZA ZAMORA JUAN CARLOS</v>
      </c>
      <c r="FD462" t="str">
        <v>TOMALA PINTO JESUS JACINTO</v>
      </c>
      <c r="FE462" t="str">
        <v>VALLE JARAMILLO SILVIA ARACELY</v>
      </c>
      <c r="FF462" t="str">
        <v>VELÁSQUEZ BRAVO IRMA KATHERINE</v>
      </c>
      <c r="FG462" t="str">
        <v>VELEZ MENDOZA LAYSY VALERIA</v>
      </c>
      <c r="FH462" t="str">
        <v>VINUEZA TELLO SHIRLEY ELIZABETH</v>
      </c>
      <c r="FI462" t="str">
        <v>ZAMBRANO ALCIVAR NILDA ISABEL</v>
      </c>
      <c r="FJ462" t="str">
        <v>ZAMBRANO LOOR RITA MAYDA</v>
      </c>
      <c r="FK462" t="str">
        <v>ZAMBRANO VERA MONICA JANETH</v>
      </c>
      <c r="FL462" t="str">
        <v>VERA DELGADO BRYAN ADRIÁN</v>
      </c>
      <c r="FM462" t="str">
        <v>MORAN GONZALES DAVID RENATO</v>
      </c>
      <c r="FN462">
        <v>0</v>
      </c>
    </row>
    <row r="463" spans="1:170" ht="20.25" customHeight="1">
      <c r="A463" s="4" t="str" cm="1">
        <f t="array" ref="A463">TRANSPOSE(_xlfn.UNIQUE(_xlfn._xlws.FILTER(MAE_ASIGNATURA[ID_NIVEL],MAE_ASIGNATURA[ID_CARRERA]=ASIGNACION!$C463,"No existe información")))</f>
        <v>No existe información</v>
      </c>
      <c r="S463" s="4" t="str" cm="1">
        <f t="array" ref="S463">TRANSPOSE(_xlfn.UNIQUE(_xlfn._xlws.FILTER(MAE_ASIGNATURA[NOM_ASIG],(MAE_ASIGNATURA[ID_NIVEL]=ASIGNACION!$D463)*(MAE_ASIGNATURA[ID_CARRERA]=ASIGNACION!$C463),"No existe información")))</f>
        <v>No existe información</v>
      </c>
      <c r="BD463" s="4" t="str" cm="1">
        <f t="array" ref="BD463">TRANSPOSE(_xlfn.UNIQUE(_xlfn._xlws.FILTER(DET_ASIG[DETALLADO],(DET_ASIG[ID_CARRERA]=ASIGNACION!$C463)*(DET_ASIG[NIVEL]=ASIGNACION!$D463)*(DET_ASIG[ID_ASIG]=ASIGNACION!$G463),"No existe información")))</f>
        <v>No existe información</v>
      </c>
      <c r="BQ463" s="5" t="str" cm="1">
        <f t="array" ref="BQ463">IFERROR(
    TRANSPOSE(
        _xlfn.UNIQUE(
            _xlfn._xlws.FILTER(MAESTRIA_DETALLADO[MAESTRIA],
                ISNUMBER(MATCH(MAESTRIA_DETALLADO[CAMPO_DETALLADO],
                BD463:BP463,0))
            )
        )
    ),IF(BD463="ACTIVIDAD","DOCENCIA",""))</f>
        <v/>
      </c>
      <c r="EA463" s="5" t="str" cm="1">
        <f t="array" ref="EA463:FN463">IF(
    ASIGNACION!I463="SI",
    IFERROR(
        TRANSPOSE(
            _xlfn.UNIQUE(
                _xlfn._xlws.FILTER(EDU_DOCENTE[NOMBRE_DOCENTE],
                    ISNUMBER(MATCH(EDU_DOCENTE[MAESTRIA],
                    BQ463:DY463,0))
                )
            )
        ),
        ""
    ),
    TRANSPOSE(
        _xlfn.UNIQUE(EDU_DOCENTE[NOMBRE_DOCENTE]
        )
    )
)</f>
        <v>ALCIVAR CEDEÑO BEATRIZ ISABEL</v>
      </c>
      <c r="EB463" t="str">
        <v>ALCIVAR VERA GEMA MICHELLE</v>
      </c>
      <c r="EC463" t="str">
        <v>ARAUZ CHAVEZ MARIO ROBERTO</v>
      </c>
      <c r="ED463" t="str">
        <v>BAILON LOURIDO WALTER ALBERTO</v>
      </c>
      <c r="EE463" t="str">
        <v>CALDERERO VILLAGOMEZ ERICK ANTONIO</v>
      </c>
      <c r="EF463" t="str">
        <v>CASTILLO GARCIA PAOLA GERMANIA</v>
      </c>
      <c r="EG463" t="str">
        <v>CEDEÑO CHOEZ PEDRO JAVIER</v>
      </c>
      <c r="EH463" t="str">
        <v>CEVALLOS HOPPE JUAN CARLOS</v>
      </c>
      <c r="EI463" t="str">
        <v>DELGADO CHAVEZ MARIA IRASEMA</v>
      </c>
      <c r="EJ463" t="str">
        <v>DUARTE VALENCIA CRISTHIAN DARIO</v>
      </c>
      <c r="EK463" t="str">
        <v>FORTTY BARBERAN DENNY ALEXANDER</v>
      </c>
      <c r="EL463" t="str">
        <v>GUTIERREZ ZAMBRANO CARMEN EBELINA</v>
      </c>
      <c r="EM463" t="str">
        <v>INTRIAGO MOLINA GEMA VALERIA</v>
      </c>
      <c r="EN463" t="str">
        <v>LINO VELEZ LEONEL LIVINGTON</v>
      </c>
      <c r="EO463" t="str">
        <v>LOOR ALCIVAR MARIA ILIANA</v>
      </c>
      <c r="EP463" t="str">
        <v>LOOR MIELES TANIA JACQUELINE</v>
      </c>
      <c r="EQ463" t="str">
        <v>LOOR SOLORZANO ROSA MARIA</v>
      </c>
      <c r="ER463" t="str">
        <v>LOPEZ DELGADO RONALD MAURICIO</v>
      </c>
      <c r="ES463" t="str">
        <v>MACIAS VALENCIA DAVID GABRIEL</v>
      </c>
      <c r="ET463" t="str">
        <v>MENDOZA ZAMORA WALTER MANUEL</v>
      </c>
      <c r="EU463" t="str">
        <v>MOLINA CEVALLOS MARIA LORENA</v>
      </c>
      <c r="EV463" t="str">
        <v>MURILLO DELGADO ISAAC GABRIEL</v>
      </c>
      <c r="EW463" t="str">
        <v>ANGULO MURILLO NAVIRA GISSELA</v>
      </c>
      <c r="EX463" t="str">
        <v>OCHOA SOLEDISPA NESTOR IVAN</v>
      </c>
      <c r="EY463" t="str">
        <v>PARRAGA FRANCO SILVANA MARIELA</v>
      </c>
      <c r="EZ463" t="str">
        <v>PINARGOTE VASQUEZ NANCY FABIOLA</v>
      </c>
      <c r="FA463" t="str">
        <v>REYES VELEZ PEDRO ENRIQUE</v>
      </c>
      <c r="FB463" t="str">
        <v>SAN ANDRES HORMAZA DALLAS CECILIA</v>
      </c>
      <c r="FC463" t="str">
        <v>SORNOZA ZAMORA JUAN CARLOS</v>
      </c>
      <c r="FD463" t="str">
        <v>TOMALA PINTO JESUS JACINTO</v>
      </c>
      <c r="FE463" t="str">
        <v>VALLE JARAMILLO SILVIA ARACELY</v>
      </c>
      <c r="FF463" t="str">
        <v>VELÁSQUEZ BRAVO IRMA KATHERINE</v>
      </c>
      <c r="FG463" t="str">
        <v>VELEZ MENDOZA LAYSY VALERIA</v>
      </c>
      <c r="FH463" t="str">
        <v>VINUEZA TELLO SHIRLEY ELIZABETH</v>
      </c>
      <c r="FI463" t="str">
        <v>ZAMBRANO ALCIVAR NILDA ISABEL</v>
      </c>
      <c r="FJ463" t="str">
        <v>ZAMBRANO LOOR RITA MAYDA</v>
      </c>
      <c r="FK463" t="str">
        <v>ZAMBRANO VERA MONICA JANETH</v>
      </c>
      <c r="FL463" t="str">
        <v>VERA DELGADO BRYAN ADRIÁN</v>
      </c>
      <c r="FM463" t="str">
        <v>MORAN GONZALES DAVID RENATO</v>
      </c>
      <c r="FN463">
        <v>0</v>
      </c>
    </row>
    <row r="464" spans="1:170" ht="20.25" customHeight="1">
      <c r="A464" s="4" t="str" cm="1">
        <f t="array" ref="A464">TRANSPOSE(_xlfn.UNIQUE(_xlfn._xlws.FILTER(MAE_ASIGNATURA[ID_NIVEL],MAE_ASIGNATURA[ID_CARRERA]=ASIGNACION!$C464,"No existe información")))</f>
        <v>No existe información</v>
      </c>
      <c r="S464" s="4" t="str" cm="1">
        <f t="array" ref="S464">TRANSPOSE(_xlfn.UNIQUE(_xlfn._xlws.FILTER(MAE_ASIGNATURA[NOM_ASIG],(MAE_ASIGNATURA[ID_NIVEL]=ASIGNACION!$D464)*(MAE_ASIGNATURA[ID_CARRERA]=ASIGNACION!$C464),"No existe información")))</f>
        <v>No existe información</v>
      </c>
      <c r="BD464" s="4" t="str" cm="1">
        <f t="array" ref="BD464">TRANSPOSE(_xlfn.UNIQUE(_xlfn._xlws.FILTER(DET_ASIG[DETALLADO],(DET_ASIG[ID_CARRERA]=ASIGNACION!$C464)*(DET_ASIG[NIVEL]=ASIGNACION!$D464)*(DET_ASIG[ID_ASIG]=ASIGNACION!$G464),"No existe información")))</f>
        <v>No existe información</v>
      </c>
      <c r="BQ464" s="5" t="str" cm="1">
        <f t="array" ref="BQ464">IFERROR(
    TRANSPOSE(
        _xlfn.UNIQUE(
            _xlfn._xlws.FILTER(MAESTRIA_DETALLADO[MAESTRIA],
                ISNUMBER(MATCH(MAESTRIA_DETALLADO[CAMPO_DETALLADO],
                BD464:BP464,0))
            )
        )
    ),IF(BD464="ACTIVIDAD","DOCENCIA",""))</f>
        <v/>
      </c>
      <c r="EA464" s="5" t="str" cm="1">
        <f t="array" ref="EA464:FN464">IF(
    ASIGNACION!I464="SI",
    IFERROR(
        TRANSPOSE(
            _xlfn.UNIQUE(
                _xlfn._xlws.FILTER(EDU_DOCENTE[NOMBRE_DOCENTE],
                    ISNUMBER(MATCH(EDU_DOCENTE[MAESTRIA],
                    BQ464:DY464,0))
                )
            )
        ),
        ""
    ),
    TRANSPOSE(
        _xlfn.UNIQUE(EDU_DOCENTE[NOMBRE_DOCENTE]
        )
    )
)</f>
        <v>ALCIVAR CEDEÑO BEATRIZ ISABEL</v>
      </c>
      <c r="EB464" t="str">
        <v>ALCIVAR VERA GEMA MICHELLE</v>
      </c>
      <c r="EC464" t="str">
        <v>ARAUZ CHAVEZ MARIO ROBERTO</v>
      </c>
      <c r="ED464" t="str">
        <v>BAILON LOURIDO WALTER ALBERTO</v>
      </c>
      <c r="EE464" t="str">
        <v>CALDERERO VILLAGOMEZ ERICK ANTONIO</v>
      </c>
      <c r="EF464" t="str">
        <v>CASTILLO GARCIA PAOLA GERMANIA</v>
      </c>
      <c r="EG464" t="str">
        <v>CEDEÑO CHOEZ PEDRO JAVIER</v>
      </c>
      <c r="EH464" t="str">
        <v>CEVALLOS HOPPE JUAN CARLOS</v>
      </c>
      <c r="EI464" t="str">
        <v>DELGADO CHAVEZ MARIA IRASEMA</v>
      </c>
      <c r="EJ464" t="str">
        <v>DUARTE VALENCIA CRISTHIAN DARIO</v>
      </c>
      <c r="EK464" t="str">
        <v>FORTTY BARBERAN DENNY ALEXANDER</v>
      </c>
      <c r="EL464" t="str">
        <v>GUTIERREZ ZAMBRANO CARMEN EBELINA</v>
      </c>
      <c r="EM464" t="str">
        <v>INTRIAGO MOLINA GEMA VALERIA</v>
      </c>
      <c r="EN464" t="str">
        <v>LINO VELEZ LEONEL LIVINGTON</v>
      </c>
      <c r="EO464" t="str">
        <v>LOOR ALCIVAR MARIA ILIANA</v>
      </c>
      <c r="EP464" t="str">
        <v>LOOR MIELES TANIA JACQUELINE</v>
      </c>
      <c r="EQ464" t="str">
        <v>LOOR SOLORZANO ROSA MARIA</v>
      </c>
      <c r="ER464" t="str">
        <v>LOPEZ DELGADO RONALD MAURICIO</v>
      </c>
      <c r="ES464" t="str">
        <v>MACIAS VALENCIA DAVID GABRIEL</v>
      </c>
      <c r="ET464" t="str">
        <v>MENDOZA ZAMORA WALTER MANUEL</v>
      </c>
      <c r="EU464" t="str">
        <v>MOLINA CEVALLOS MARIA LORENA</v>
      </c>
      <c r="EV464" t="str">
        <v>MURILLO DELGADO ISAAC GABRIEL</v>
      </c>
      <c r="EW464" t="str">
        <v>ANGULO MURILLO NAVIRA GISSELA</v>
      </c>
      <c r="EX464" t="str">
        <v>OCHOA SOLEDISPA NESTOR IVAN</v>
      </c>
      <c r="EY464" t="str">
        <v>PARRAGA FRANCO SILVANA MARIELA</v>
      </c>
      <c r="EZ464" t="str">
        <v>PINARGOTE VASQUEZ NANCY FABIOLA</v>
      </c>
      <c r="FA464" t="str">
        <v>REYES VELEZ PEDRO ENRIQUE</v>
      </c>
      <c r="FB464" t="str">
        <v>SAN ANDRES HORMAZA DALLAS CECILIA</v>
      </c>
      <c r="FC464" t="str">
        <v>SORNOZA ZAMORA JUAN CARLOS</v>
      </c>
      <c r="FD464" t="str">
        <v>TOMALA PINTO JESUS JACINTO</v>
      </c>
      <c r="FE464" t="str">
        <v>VALLE JARAMILLO SILVIA ARACELY</v>
      </c>
      <c r="FF464" t="str">
        <v>VELÁSQUEZ BRAVO IRMA KATHERINE</v>
      </c>
      <c r="FG464" t="str">
        <v>VELEZ MENDOZA LAYSY VALERIA</v>
      </c>
      <c r="FH464" t="str">
        <v>VINUEZA TELLO SHIRLEY ELIZABETH</v>
      </c>
      <c r="FI464" t="str">
        <v>ZAMBRANO ALCIVAR NILDA ISABEL</v>
      </c>
      <c r="FJ464" t="str">
        <v>ZAMBRANO LOOR RITA MAYDA</v>
      </c>
      <c r="FK464" t="str">
        <v>ZAMBRANO VERA MONICA JANETH</v>
      </c>
      <c r="FL464" t="str">
        <v>VERA DELGADO BRYAN ADRIÁN</v>
      </c>
      <c r="FM464" t="str">
        <v>MORAN GONZALES DAVID RENATO</v>
      </c>
      <c r="FN464">
        <v>0</v>
      </c>
    </row>
    <row r="465" spans="1:170" ht="20.25" customHeight="1">
      <c r="A465" s="4" t="str" cm="1">
        <f t="array" ref="A465">TRANSPOSE(_xlfn.UNIQUE(_xlfn._xlws.FILTER(MAE_ASIGNATURA[ID_NIVEL],MAE_ASIGNATURA[ID_CARRERA]=ASIGNACION!$C465,"No existe información")))</f>
        <v>No existe información</v>
      </c>
      <c r="S465" s="4" t="str" cm="1">
        <f t="array" ref="S465">TRANSPOSE(_xlfn.UNIQUE(_xlfn._xlws.FILTER(MAE_ASIGNATURA[NOM_ASIG],(MAE_ASIGNATURA[ID_NIVEL]=ASIGNACION!$D465)*(MAE_ASIGNATURA[ID_CARRERA]=ASIGNACION!$C465),"No existe información")))</f>
        <v>No existe información</v>
      </c>
      <c r="BD465" s="4" t="str" cm="1">
        <f t="array" ref="BD465">TRANSPOSE(_xlfn.UNIQUE(_xlfn._xlws.FILTER(DET_ASIG[DETALLADO],(DET_ASIG[ID_CARRERA]=ASIGNACION!$C465)*(DET_ASIG[NIVEL]=ASIGNACION!$D465)*(DET_ASIG[ID_ASIG]=ASIGNACION!$G465),"No existe información")))</f>
        <v>No existe información</v>
      </c>
      <c r="BQ465" s="5" t="str" cm="1">
        <f t="array" ref="BQ465">IFERROR(
    TRANSPOSE(
        _xlfn.UNIQUE(
            _xlfn._xlws.FILTER(MAESTRIA_DETALLADO[MAESTRIA],
                ISNUMBER(MATCH(MAESTRIA_DETALLADO[CAMPO_DETALLADO],
                BD465:BP465,0))
            )
        )
    ),IF(BD465="ACTIVIDAD","DOCENCIA",""))</f>
        <v/>
      </c>
      <c r="EA465" s="5" t="str" cm="1">
        <f t="array" ref="EA465:FN465">IF(
    ASIGNACION!I465="SI",
    IFERROR(
        TRANSPOSE(
            _xlfn.UNIQUE(
                _xlfn._xlws.FILTER(EDU_DOCENTE[NOMBRE_DOCENTE],
                    ISNUMBER(MATCH(EDU_DOCENTE[MAESTRIA],
                    BQ465:DY465,0))
                )
            )
        ),
        ""
    ),
    TRANSPOSE(
        _xlfn.UNIQUE(EDU_DOCENTE[NOMBRE_DOCENTE]
        )
    )
)</f>
        <v>ALCIVAR CEDEÑO BEATRIZ ISABEL</v>
      </c>
      <c r="EB465" t="str">
        <v>ALCIVAR VERA GEMA MICHELLE</v>
      </c>
      <c r="EC465" t="str">
        <v>ARAUZ CHAVEZ MARIO ROBERTO</v>
      </c>
      <c r="ED465" t="str">
        <v>BAILON LOURIDO WALTER ALBERTO</v>
      </c>
      <c r="EE465" t="str">
        <v>CALDERERO VILLAGOMEZ ERICK ANTONIO</v>
      </c>
      <c r="EF465" t="str">
        <v>CASTILLO GARCIA PAOLA GERMANIA</v>
      </c>
      <c r="EG465" t="str">
        <v>CEDEÑO CHOEZ PEDRO JAVIER</v>
      </c>
      <c r="EH465" t="str">
        <v>CEVALLOS HOPPE JUAN CARLOS</v>
      </c>
      <c r="EI465" t="str">
        <v>DELGADO CHAVEZ MARIA IRASEMA</v>
      </c>
      <c r="EJ465" t="str">
        <v>DUARTE VALENCIA CRISTHIAN DARIO</v>
      </c>
      <c r="EK465" t="str">
        <v>FORTTY BARBERAN DENNY ALEXANDER</v>
      </c>
      <c r="EL465" t="str">
        <v>GUTIERREZ ZAMBRANO CARMEN EBELINA</v>
      </c>
      <c r="EM465" t="str">
        <v>INTRIAGO MOLINA GEMA VALERIA</v>
      </c>
      <c r="EN465" t="str">
        <v>LINO VELEZ LEONEL LIVINGTON</v>
      </c>
      <c r="EO465" t="str">
        <v>LOOR ALCIVAR MARIA ILIANA</v>
      </c>
      <c r="EP465" t="str">
        <v>LOOR MIELES TANIA JACQUELINE</v>
      </c>
      <c r="EQ465" t="str">
        <v>LOOR SOLORZANO ROSA MARIA</v>
      </c>
      <c r="ER465" t="str">
        <v>LOPEZ DELGADO RONALD MAURICIO</v>
      </c>
      <c r="ES465" t="str">
        <v>MACIAS VALENCIA DAVID GABRIEL</v>
      </c>
      <c r="ET465" t="str">
        <v>MENDOZA ZAMORA WALTER MANUEL</v>
      </c>
      <c r="EU465" t="str">
        <v>MOLINA CEVALLOS MARIA LORENA</v>
      </c>
      <c r="EV465" t="str">
        <v>MURILLO DELGADO ISAAC GABRIEL</v>
      </c>
      <c r="EW465" t="str">
        <v>ANGULO MURILLO NAVIRA GISSELA</v>
      </c>
      <c r="EX465" t="str">
        <v>OCHOA SOLEDISPA NESTOR IVAN</v>
      </c>
      <c r="EY465" t="str">
        <v>PARRAGA FRANCO SILVANA MARIELA</v>
      </c>
      <c r="EZ465" t="str">
        <v>PINARGOTE VASQUEZ NANCY FABIOLA</v>
      </c>
      <c r="FA465" t="str">
        <v>REYES VELEZ PEDRO ENRIQUE</v>
      </c>
      <c r="FB465" t="str">
        <v>SAN ANDRES HORMAZA DALLAS CECILIA</v>
      </c>
      <c r="FC465" t="str">
        <v>SORNOZA ZAMORA JUAN CARLOS</v>
      </c>
      <c r="FD465" t="str">
        <v>TOMALA PINTO JESUS JACINTO</v>
      </c>
      <c r="FE465" t="str">
        <v>VALLE JARAMILLO SILVIA ARACELY</v>
      </c>
      <c r="FF465" t="str">
        <v>VELÁSQUEZ BRAVO IRMA KATHERINE</v>
      </c>
      <c r="FG465" t="str">
        <v>VELEZ MENDOZA LAYSY VALERIA</v>
      </c>
      <c r="FH465" t="str">
        <v>VINUEZA TELLO SHIRLEY ELIZABETH</v>
      </c>
      <c r="FI465" t="str">
        <v>ZAMBRANO ALCIVAR NILDA ISABEL</v>
      </c>
      <c r="FJ465" t="str">
        <v>ZAMBRANO LOOR RITA MAYDA</v>
      </c>
      <c r="FK465" t="str">
        <v>ZAMBRANO VERA MONICA JANETH</v>
      </c>
      <c r="FL465" t="str">
        <v>VERA DELGADO BRYAN ADRIÁN</v>
      </c>
      <c r="FM465" t="str">
        <v>MORAN GONZALES DAVID RENATO</v>
      </c>
      <c r="FN465">
        <v>0</v>
      </c>
    </row>
    <row r="466" spans="1:170" ht="20.25" customHeight="1">
      <c r="A466" s="4" t="str" cm="1">
        <f t="array" ref="A466">TRANSPOSE(_xlfn.UNIQUE(_xlfn._xlws.FILTER(MAE_ASIGNATURA[ID_NIVEL],MAE_ASIGNATURA[ID_CARRERA]=ASIGNACION!$C466,"No existe información")))</f>
        <v>No existe información</v>
      </c>
      <c r="S466" s="4" t="str" cm="1">
        <f t="array" ref="S466">TRANSPOSE(_xlfn.UNIQUE(_xlfn._xlws.FILTER(MAE_ASIGNATURA[NOM_ASIG],(MAE_ASIGNATURA[ID_NIVEL]=ASIGNACION!$D466)*(MAE_ASIGNATURA[ID_CARRERA]=ASIGNACION!$C466),"No existe información")))</f>
        <v>No existe información</v>
      </c>
      <c r="BD466" s="4" t="str" cm="1">
        <f t="array" ref="BD466">TRANSPOSE(_xlfn.UNIQUE(_xlfn._xlws.FILTER(DET_ASIG[DETALLADO],(DET_ASIG[ID_CARRERA]=ASIGNACION!$C466)*(DET_ASIG[NIVEL]=ASIGNACION!$D466)*(DET_ASIG[ID_ASIG]=ASIGNACION!$G466),"No existe información")))</f>
        <v>No existe información</v>
      </c>
      <c r="BQ466" s="5" t="str" cm="1">
        <f t="array" ref="BQ466">IFERROR(
    TRANSPOSE(
        _xlfn.UNIQUE(
            _xlfn._xlws.FILTER(MAESTRIA_DETALLADO[MAESTRIA],
                ISNUMBER(MATCH(MAESTRIA_DETALLADO[CAMPO_DETALLADO],
                BD466:BP466,0))
            )
        )
    ),IF(BD466="ACTIVIDAD","DOCENCIA",""))</f>
        <v/>
      </c>
      <c r="EA466" s="5" t="str" cm="1">
        <f t="array" ref="EA466:FN466">IF(
    ASIGNACION!I466="SI",
    IFERROR(
        TRANSPOSE(
            _xlfn.UNIQUE(
                _xlfn._xlws.FILTER(EDU_DOCENTE[NOMBRE_DOCENTE],
                    ISNUMBER(MATCH(EDU_DOCENTE[MAESTRIA],
                    BQ466:DY466,0))
                )
            )
        ),
        ""
    ),
    TRANSPOSE(
        _xlfn.UNIQUE(EDU_DOCENTE[NOMBRE_DOCENTE]
        )
    )
)</f>
        <v>ALCIVAR CEDEÑO BEATRIZ ISABEL</v>
      </c>
      <c r="EB466" t="str">
        <v>ALCIVAR VERA GEMA MICHELLE</v>
      </c>
      <c r="EC466" t="str">
        <v>ARAUZ CHAVEZ MARIO ROBERTO</v>
      </c>
      <c r="ED466" t="str">
        <v>BAILON LOURIDO WALTER ALBERTO</v>
      </c>
      <c r="EE466" t="str">
        <v>CALDERERO VILLAGOMEZ ERICK ANTONIO</v>
      </c>
      <c r="EF466" t="str">
        <v>CASTILLO GARCIA PAOLA GERMANIA</v>
      </c>
      <c r="EG466" t="str">
        <v>CEDEÑO CHOEZ PEDRO JAVIER</v>
      </c>
      <c r="EH466" t="str">
        <v>CEVALLOS HOPPE JUAN CARLOS</v>
      </c>
      <c r="EI466" t="str">
        <v>DELGADO CHAVEZ MARIA IRASEMA</v>
      </c>
      <c r="EJ466" t="str">
        <v>DUARTE VALENCIA CRISTHIAN DARIO</v>
      </c>
      <c r="EK466" t="str">
        <v>FORTTY BARBERAN DENNY ALEXANDER</v>
      </c>
      <c r="EL466" t="str">
        <v>GUTIERREZ ZAMBRANO CARMEN EBELINA</v>
      </c>
      <c r="EM466" t="str">
        <v>INTRIAGO MOLINA GEMA VALERIA</v>
      </c>
      <c r="EN466" t="str">
        <v>LINO VELEZ LEONEL LIVINGTON</v>
      </c>
      <c r="EO466" t="str">
        <v>LOOR ALCIVAR MARIA ILIANA</v>
      </c>
      <c r="EP466" t="str">
        <v>LOOR MIELES TANIA JACQUELINE</v>
      </c>
      <c r="EQ466" t="str">
        <v>LOOR SOLORZANO ROSA MARIA</v>
      </c>
      <c r="ER466" t="str">
        <v>LOPEZ DELGADO RONALD MAURICIO</v>
      </c>
      <c r="ES466" t="str">
        <v>MACIAS VALENCIA DAVID GABRIEL</v>
      </c>
      <c r="ET466" t="str">
        <v>MENDOZA ZAMORA WALTER MANUEL</v>
      </c>
      <c r="EU466" t="str">
        <v>MOLINA CEVALLOS MARIA LORENA</v>
      </c>
      <c r="EV466" t="str">
        <v>MURILLO DELGADO ISAAC GABRIEL</v>
      </c>
      <c r="EW466" t="str">
        <v>ANGULO MURILLO NAVIRA GISSELA</v>
      </c>
      <c r="EX466" t="str">
        <v>OCHOA SOLEDISPA NESTOR IVAN</v>
      </c>
      <c r="EY466" t="str">
        <v>PARRAGA FRANCO SILVANA MARIELA</v>
      </c>
      <c r="EZ466" t="str">
        <v>PINARGOTE VASQUEZ NANCY FABIOLA</v>
      </c>
      <c r="FA466" t="str">
        <v>REYES VELEZ PEDRO ENRIQUE</v>
      </c>
      <c r="FB466" t="str">
        <v>SAN ANDRES HORMAZA DALLAS CECILIA</v>
      </c>
      <c r="FC466" t="str">
        <v>SORNOZA ZAMORA JUAN CARLOS</v>
      </c>
      <c r="FD466" t="str">
        <v>TOMALA PINTO JESUS JACINTO</v>
      </c>
      <c r="FE466" t="str">
        <v>VALLE JARAMILLO SILVIA ARACELY</v>
      </c>
      <c r="FF466" t="str">
        <v>VELÁSQUEZ BRAVO IRMA KATHERINE</v>
      </c>
      <c r="FG466" t="str">
        <v>VELEZ MENDOZA LAYSY VALERIA</v>
      </c>
      <c r="FH466" t="str">
        <v>VINUEZA TELLO SHIRLEY ELIZABETH</v>
      </c>
      <c r="FI466" t="str">
        <v>ZAMBRANO ALCIVAR NILDA ISABEL</v>
      </c>
      <c r="FJ466" t="str">
        <v>ZAMBRANO LOOR RITA MAYDA</v>
      </c>
      <c r="FK466" t="str">
        <v>ZAMBRANO VERA MONICA JANETH</v>
      </c>
      <c r="FL466" t="str">
        <v>VERA DELGADO BRYAN ADRIÁN</v>
      </c>
      <c r="FM466" t="str">
        <v>MORAN GONZALES DAVID RENATO</v>
      </c>
      <c r="FN466">
        <v>0</v>
      </c>
    </row>
    <row r="467" spans="1:170" ht="20.25" customHeight="1">
      <c r="A467" s="4" t="str" cm="1">
        <f t="array" ref="A467">TRANSPOSE(_xlfn.UNIQUE(_xlfn._xlws.FILTER(MAE_ASIGNATURA[ID_NIVEL],MAE_ASIGNATURA[ID_CARRERA]=ASIGNACION!$C467,"No existe información")))</f>
        <v>No existe información</v>
      </c>
      <c r="S467" s="4" t="str" cm="1">
        <f t="array" ref="S467">TRANSPOSE(_xlfn.UNIQUE(_xlfn._xlws.FILTER(MAE_ASIGNATURA[NOM_ASIG],(MAE_ASIGNATURA[ID_NIVEL]=ASIGNACION!$D467)*(MAE_ASIGNATURA[ID_CARRERA]=ASIGNACION!$C467),"No existe información")))</f>
        <v>No existe información</v>
      </c>
      <c r="BD467" s="4" t="str" cm="1">
        <f t="array" ref="BD467">TRANSPOSE(_xlfn.UNIQUE(_xlfn._xlws.FILTER(DET_ASIG[DETALLADO],(DET_ASIG[ID_CARRERA]=ASIGNACION!$C467)*(DET_ASIG[NIVEL]=ASIGNACION!$D467)*(DET_ASIG[ID_ASIG]=ASIGNACION!$G467),"No existe información")))</f>
        <v>No existe información</v>
      </c>
      <c r="BQ467" s="5" t="str" cm="1">
        <f t="array" ref="BQ467">IFERROR(
    TRANSPOSE(
        _xlfn.UNIQUE(
            _xlfn._xlws.FILTER(MAESTRIA_DETALLADO[MAESTRIA],
                ISNUMBER(MATCH(MAESTRIA_DETALLADO[CAMPO_DETALLADO],
                BD467:BP467,0))
            )
        )
    ),IF(BD467="ACTIVIDAD","DOCENCIA",""))</f>
        <v/>
      </c>
      <c r="EA467" s="5" t="str" cm="1">
        <f t="array" ref="EA467:FN467">IF(
    ASIGNACION!I467="SI",
    IFERROR(
        TRANSPOSE(
            _xlfn.UNIQUE(
                _xlfn._xlws.FILTER(EDU_DOCENTE[NOMBRE_DOCENTE],
                    ISNUMBER(MATCH(EDU_DOCENTE[MAESTRIA],
                    BQ467:DY467,0))
                )
            )
        ),
        ""
    ),
    TRANSPOSE(
        _xlfn.UNIQUE(EDU_DOCENTE[NOMBRE_DOCENTE]
        )
    )
)</f>
        <v>ALCIVAR CEDEÑO BEATRIZ ISABEL</v>
      </c>
      <c r="EB467" t="str">
        <v>ALCIVAR VERA GEMA MICHELLE</v>
      </c>
      <c r="EC467" t="str">
        <v>ARAUZ CHAVEZ MARIO ROBERTO</v>
      </c>
      <c r="ED467" t="str">
        <v>BAILON LOURIDO WALTER ALBERTO</v>
      </c>
      <c r="EE467" t="str">
        <v>CALDERERO VILLAGOMEZ ERICK ANTONIO</v>
      </c>
      <c r="EF467" t="str">
        <v>CASTILLO GARCIA PAOLA GERMANIA</v>
      </c>
      <c r="EG467" t="str">
        <v>CEDEÑO CHOEZ PEDRO JAVIER</v>
      </c>
      <c r="EH467" t="str">
        <v>CEVALLOS HOPPE JUAN CARLOS</v>
      </c>
      <c r="EI467" t="str">
        <v>DELGADO CHAVEZ MARIA IRASEMA</v>
      </c>
      <c r="EJ467" t="str">
        <v>DUARTE VALENCIA CRISTHIAN DARIO</v>
      </c>
      <c r="EK467" t="str">
        <v>FORTTY BARBERAN DENNY ALEXANDER</v>
      </c>
      <c r="EL467" t="str">
        <v>GUTIERREZ ZAMBRANO CARMEN EBELINA</v>
      </c>
      <c r="EM467" t="str">
        <v>INTRIAGO MOLINA GEMA VALERIA</v>
      </c>
      <c r="EN467" t="str">
        <v>LINO VELEZ LEONEL LIVINGTON</v>
      </c>
      <c r="EO467" t="str">
        <v>LOOR ALCIVAR MARIA ILIANA</v>
      </c>
      <c r="EP467" t="str">
        <v>LOOR MIELES TANIA JACQUELINE</v>
      </c>
      <c r="EQ467" t="str">
        <v>LOOR SOLORZANO ROSA MARIA</v>
      </c>
      <c r="ER467" t="str">
        <v>LOPEZ DELGADO RONALD MAURICIO</v>
      </c>
      <c r="ES467" t="str">
        <v>MACIAS VALENCIA DAVID GABRIEL</v>
      </c>
      <c r="ET467" t="str">
        <v>MENDOZA ZAMORA WALTER MANUEL</v>
      </c>
      <c r="EU467" t="str">
        <v>MOLINA CEVALLOS MARIA LORENA</v>
      </c>
      <c r="EV467" t="str">
        <v>MURILLO DELGADO ISAAC GABRIEL</v>
      </c>
      <c r="EW467" t="str">
        <v>ANGULO MURILLO NAVIRA GISSELA</v>
      </c>
      <c r="EX467" t="str">
        <v>OCHOA SOLEDISPA NESTOR IVAN</v>
      </c>
      <c r="EY467" t="str">
        <v>PARRAGA FRANCO SILVANA MARIELA</v>
      </c>
      <c r="EZ467" t="str">
        <v>PINARGOTE VASQUEZ NANCY FABIOLA</v>
      </c>
      <c r="FA467" t="str">
        <v>REYES VELEZ PEDRO ENRIQUE</v>
      </c>
      <c r="FB467" t="str">
        <v>SAN ANDRES HORMAZA DALLAS CECILIA</v>
      </c>
      <c r="FC467" t="str">
        <v>SORNOZA ZAMORA JUAN CARLOS</v>
      </c>
      <c r="FD467" t="str">
        <v>TOMALA PINTO JESUS JACINTO</v>
      </c>
      <c r="FE467" t="str">
        <v>VALLE JARAMILLO SILVIA ARACELY</v>
      </c>
      <c r="FF467" t="str">
        <v>VELÁSQUEZ BRAVO IRMA KATHERINE</v>
      </c>
      <c r="FG467" t="str">
        <v>VELEZ MENDOZA LAYSY VALERIA</v>
      </c>
      <c r="FH467" t="str">
        <v>VINUEZA TELLO SHIRLEY ELIZABETH</v>
      </c>
      <c r="FI467" t="str">
        <v>ZAMBRANO ALCIVAR NILDA ISABEL</v>
      </c>
      <c r="FJ467" t="str">
        <v>ZAMBRANO LOOR RITA MAYDA</v>
      </c>
      <c r="FK467" t="str">
        <v>ZAMBRANO VERA MONICA JANETH</v>
      </c>
      <c r="FL467" t="str">
        <v>VERA DELGADO BRYAN ADRIÁN</v>
      </c>
      <c r="FM467" t="str">
        <v>MORAN GONZALES DAVID RENATO</v>
      </c>
      <c r="FN467">
        <v>0</v>
      </c>
    </row>
    <row r="468" spans="1:170" ht="20.25" customHeight="1">
      <c r="A468" s="4" t="str" cm="1">
        <f t="array" ref="A468">TRANSPOSE(_xlfn.UNIQUE(_xlfn._xlws.FILTER(MAE_ASIGNATURA[ID_NIVEL],MAE_ASIGNATURA[ID_CARRERA]=ASIGNACION!$C468,"No existe información")))</f>
        <v>No existe información</v>
      </c>
      <c r="S468" s="4" t="str" cm="1">
        <f t="array" ref="S468">TRANSPOSE(_xlfn.UNIQUE(_xlfn._xlws.FILTER(MAE_ASIGNATURA[NOM_ASIG],(MAE_ASIGNATURA[ID_NIVEL]=ASIGNACION!$D468)*(MAE_ASIGNATURA[ID_CARRERA]=ASIGNACION!$C468),"No existe información")))</f>
        <v>No existe información</v>
      </c>
      <c r="BD468" s="4" t="str" cm="1">
        <f t="array" ref="BD468">TRANSPOSE(_xlfn.UNIQUE(_xlfn._xlws.FILTER(DET_ASIG[DETALLADO],(DET_ASIG[ID_CARRERA]=ASIGNACION!$C468)*(DET_ASIG[NIVEL]=ASIGNACION!$D468)*(DET_ASIG[ID_ASIG]=ASIGNACION!$G468),"No existe información")))</f>
        <v>No existe información</v>
      </c>
      <c r="BQ468" s="5" t="str" cm="1">
        <f t="array" ref="BQ468">IFERROR(
    TRANSPOSE(
        _xlfn.UNIQUE(
            _xlfn._xlws.FILTER(MAESTRIA_DETALLADO[MAESTRIA],
                ISNUMBER(MATCH(MAESTRIA_DETALLADO[CAMPO_DETALLADO],
                BD468:BP468,0))
            )
        )
    ),IF(BD468="ACTIVIDAD","DOCENCIA",""))</f>
        <v/>
      </c>
      <c r="EA468" s="5" t="str" cm="1">
        <f t="array" ref="EA468:FN468">IF(
    ASIGNACION!I468="SI",
    IFERROR(
        TRANSPOSE(
            _xlfn.UNIQUE(
                _xlfn._xlws.FILTER(EDU_DOCENTE[NOMBRE_DOCENTE],
                    ISNUMBER(MATCH(EDU_DOCENTE[MAESTRIA],
                    BQ468:DY468,0))
                )
            )
        ),
        ""
    ),
    TRANSPOSE(
        _xlfn.UNIQUE(EDU_DOCENTE[NOMBRE_DOCENTE]
        )
    )
)</f>
        <v>ALCIVAR CEDEÑO BEATRIZ ISABEL</v>
      </c>
      <c r="EB468" t="str">
        <v>ALCIVAR VERA GEMA MICHELLE</v>
      </c>
      <c r="EC468" t="str">
        <v>ARAUZ CHAVEZ MARIO ROBERTO</v>
      </c>
      <c r="ED468" t="str">
        <v>BAILON LOURIDO WALTER ALBERTO</v>
      </c>
      <c r="EE468" t="str">
        <v>CALDERERO VILLAGOMEZ ERICK ANTONIO</v>
      </c>
      <c r="EF468" t="str">
        <v>CASTILLO GARCIA PAOLA GERMANIA</v>
      </c>
      <c r="EG468" t="str">
        <v>CEDEÑO CHOEZ PEDRO JAVIER</v>
      </c>
      <c r="EH468" t="str">
        <v>CEVALLOS HOPPE JUAN CARLOS</v>
      </c>
      <c r="EI468" t="str">
        <v>DELGADO CHAVEZ MARIA IRASEMA</v>
      </c>
      <c r="EJ468" t="str">
        <v>DUARTE VALENCIA CRISTHIAN DARIO</v>
      </c>
      <c r="EK468" t="str">
        <v>FORTTY BARBERAN DENNY ALEXANDER</v>
      </c>
      <c r="EL468" t="str">
        <v>GUTIERREZ ZAMBRANO CARMEN EBELINA</v>
      </c>
      <c r="EM468" t="str">
        <v>INTRIAGO MOLINA GEMA VALERIA</v>
      </c>
      <c r="EN468" t="str">
        <v>LINO VELEZ LEONEL LIVINGTON</v>
      </c>
      <c r="EO468" t="str">
        <v>LOOR ALCIVAR MARIA ILIANA</v>
      </c>
      <c r="EP468" t="str">
        <v>LOOR MIELES TANIA JACQUELINE</v>
      </c>
      <c r="EQ468" t="str">
        <v>LOOR SOLORZANO ROSA MARIA</v>
      </c>
      <c r="ER468" t="str">
        <v>LOPEZ DELGADO RONALD MAURICIO</v>
      </c>
      <c r="ES468" t="str">
        <v>MACIAS VALENCIA DAVID GABRIEL</v>
      </c>
      <c r="ET468" t="str">
        <v>MENDOZA ZAMORA WALTER MANUEL</v>
      </c>
      <c r="EU468" t="str">
        <v>MOLINA CEVALLOS MARIA LORENA</v>
      </c>
      <c r="EV468" t="str">
        <v>MURILLO DELGADO ISAAC GABRIEL</v>
      </c>
      <c r="EW468" t="str">
        <v>ANGULO MURILLO NAVIRA GISSELA</v>
      </c>
      <c r="EX468" t="str">
        <v>OCHOA SOLEDISPA NESTOR IVAN</v>
      </c>
      <c r="EY468" t="str">
        <v>PARRAGA FRANCO SILVANA MARIELA</v>
      </c>
      <c r="EZ468" t="str">
        <v>PINARGOTE VASQUEZ NANCY FABIOLA</v>
      </c>
      <c r="FA468" t="str">
        <v>REYES VELEZ PEDRO ENRIQUE</v>
      </c>
      <c r="FB468" t="str">
        <v>SAN ANDRES HORMAZA DALLAS CECILIA</v>
      </c>
      <c r="FC468" t="str">
        <v>SORNOZA ZAMORA JUAN CARLOS</v>
      </c>
      <c r="FD468" t="str">
        <v>TOMALA PINTO JESUS JACINTO</v>
      </c>
      <c r="FE468" t="str">
        <v>VALLE JARAMILLO SILVIA ARACELY</v>
      </c>
      <c r="FF468" t="str">
        <v>VELÁSQUEZ BRAVO IRMA KATHERINE</v>
      </c>
      <c r="FG468" t="str">
        <v>VELEZ MENDOZA LAYSY VALERIA</v>
      </c>
      <c r="FH468" t="str">
        <v>VINUEZA TELLO SHIRLEY ELIZABETH</v>
      </c>
      <c r="FI468" t="str">
        <v>ZAMBRANO ALCIVAR NILDA ISABEL</v>
      </c>
      <c r="FJ468" t="str">
        <v>ZAMBRANO LOOR RITA MAYDA</v>
      </c>
      <c r="FK468" t="str">
        <v>ZAMBRANO VERA MONICA JANETH</v>
      </c>
      <c r="FL468" t="str">
        <v>VERA DELGADO BRYAN ADRIÁN</v>
      </c>
      <c r="FM468" t="str">
        <v>MORAN GONZALES DAVID RENATO</v>
      </c>
      <c r="FN468">
        <v>0</v>
      </c>
    </row>
    <row r="469" spans="1:170" ht="20.25" customHeight="1">
      <c r="A469" s="4" t="str" cm="1">
        <f t="array" ref="A469">TRANSPOSE(_xlfn.UNIQUE(_xlfn._xlws.FILTER(MAE_ASIGNATURA[ID_NIVEL],MAE_ASIGNATURA[ID_CARRERA]=ASIGNACION!$C469,"No existe información")))</f>
        <v>No existe información</v>
      </c>
      <c r="S469" s="4" t="str" cm="1">
        <f t="array" ref="S469">TRANSPOSE(_xlfn.UNIQUE(_xlfn._xlws.FILTER(MAE_ASIGNATURA[NOM_ASIG],(MAE_ASIGNATURA[ID_NIVEL]=ASIGNACION!$D469)*(MAE_ASIGNATURA[ID_CARRERA]=ASIGNACION!$C469),"No existe información")))</f>
        <v>No existe información</v>
      </c>
      <c r="BD469" s="4" t="str" cm="1">
        <f t="array" ref="BD469">TRANSPOSE(_xlfn.UNIQUE(_xlfn._xlws.FILTER(DET_ASIG[DETALLADO],(DET_ASIG[ID_CARRERA]=ASIGNACION!$C469)*(DET_ASIG[NIVEL]=ASIGNACION!$D469)*(DET_ASIG[ID_ASIG]=ASIGNACION!$G469),"No existe información")))</f>
        <v>No existe información</v>
      </c>
      <c r="BQ469" s="5" t="str" cm="1">
        <f t="array" ref="BQ469">IFERROR(
    TRANSPOSE(
        _xlfn.UNIQUE(
            _xlfn._xlws.FILTER(MAESTRIA_DETALLADO[MAESTRIA],
                ISNUMBER(MATCH(MAESTRIA_DETALLADO[CAMPO_DETALLADO],
                BD469:BP469,0))
            )
        )
    ),IF(BD469="ACTIVIDAD","DOCENCIA",""))</f>
        <v/>
      </c>
      <c r="EA469" s="5" t="str" cm="1">
        <f t="array" ref="EA469:FN469">IF(
    ASIGNACION!I469="SI",
    IFERROR(
        TRANSPOSE(
            _xlfn.UNIQUE(
                _xlfn._xlws.FILTER(EDU_DOCENTE[NOMBRE_DOCENTE],
                    ISNUMBER(MATCH(EDU_DOCENTE[MAESTRIA],
                    BQ469:DY469,0))
                )
            )
        ),
        ""
    ),
    TRANSPOSE(
        _xlfn.UNIQUE(EDU_DOCENTE[NOMBRE_DOCENTE]
        )
    )
)</f>
        <v>ALCIVAR CEDEÑO BEATRIZ ISABEL</v>
      </c>
      <c r="EB469" t="str">
        <v>ALCIVAR VERA GEMA MICHELLE</v>
      </c>
      <c r="EC469" t="str">
        <v>ARAUZ CHAVEZ MARIO ROBERTO</v>
      </c>
      <c r="ED469" t="str">
        <v>BAILON LOURIDO WALTER ALBERTO</v>
      </c>
      <c r="EE469" t="str">
        <v>CALDERERO VILLAGOMEZ ERICK ANTONIO</v>
      </c>
      <c r="EF469" t="str">
        <v>CASTILLO GARCIA PAOLA GERMANIA</v>
      </c>
      <c r="EG469" t="str">
        <v>CEDEÑO CHOEZ PEDRO JAVIER</v>
      </c>
      <c r="EH469" t="str">
        <v>CEVALLOS HOPPE JUAN CARLOS</v>
      </c>
      <c r="EI469" t="str">
        <v>DELGADO CHAVEZ MARIA IRASEMA</v>
      </c>
      <c r="EJ469" t="str">
        <v>DUARTE VALENCIA CRISTHIAN DARIO</v>
      </c>
      <c r="EK469" t="str">
        <v>FORTTY BARBERAN DENNY ALEXANDER</v>
      </c>
      <c r="EL469" t="str">
        <v>GUTIERREZ ZAMBRANO CARMEN EBELINA</v>
      </c>
      <c r="EM469" t="str">
        <v>INTRIAGO MOLINA GEMA VALERIA</v>
      </c>
      <c r="EN469" t="str">
        <v>LINO VELEZ LEONEL LIVINGTON</v>
      </c>
      <c r="EO469" t="str">
        <v>LOOR ALCIVAR MARIA ILIANA</v>
      </c>
      <c r="EP469" t="str">
        <v>LOOR MIELES TANIA JACQUELINE</v>
      </c>
      <c r="EQ469" t="str">
        <v>LOOR SOLORZANO ROSA MARIA</v>
      </c>
      <c r="ER469" t="str">
        <v>LOPEZ DELGADO RONALD MAURICIO</v>
      </c>
      <c r="ES469" t="str">
        <v>MACIAS VALENCIA DAVID GABRIEL</v>
      </c>
      <c r="ET469" t="str">
        <v>MENDOZA ZAMORA WALTER MANUEL</v>
      </c>
      <c r="EU469" t="str">
        <v>MOLINA CEVALLOS MARIA LORENA</v>
      </c>
      <c r="EV469" t="str">
        <v>MURILLO DELGADO ISAAC GABRIEL</v>
      </c>
      <c r="EW469" t="str">
        <v>ANGULO MURILLO NAVIRA GISSELA</v>
      </c>
      <c r="EX469" t="str">
        <v>OCHOA SOLEDISPA NESTOR IVAN</v>
      </c>
      <c r="EY469" t="str">
        <v>PARRAGA FRANCO SILVANA MARIELA</v>
      </c>
      <c r="EZ469" t="str">
        <v>PINARGOTE VASQUEZ NANCY FABIOLA</v>
      </c>
      <c r="FA469" t="str">
        <v>REYES VELEZ PEDRO ENRIQUE</v>
      </c>
      <c r="FB469" t="str">
        <v>SAN ANDRES HORMAZA DALLAS CECILIA</v>
      </c>
      <c r="FC469" t="str">
        <v>SORNOZA ZAMORA JUAN CARLOS</v>
      </c>
      <c r="FD469" t="str">
        <v>TOMALA PINTO JESUS JACINTO</v>
      </c>
      <c r="FE469" t="str">
        <v>VALLE JARAMILLO SILVIA ARACELY</v>
      </c>
      <c r="FF469" t="str">
        <v>VELÁSQUEZ BRAVO IRMA KATHERINE</v>
      </c>
      <c r="FG469" t="str">
        <v>VELEZ MENDOZA LAYSY VALERIA</v>
      </c>
      <c r="FH469" t="str">
        <v>VINUEZA TELLO SHIRLEY ELIZABETH</v>
      </c>
      <c r="FI469" t="str">
        <v>ZAMBRANO ALCIVAR NILDA ISABEL</v>
      </c>
      <c r="FJ469" t="str">
        <v>ZAMBRANO LOOR RITA MAYDA</v>
      </c>
      <c r="FK469" t="str">
        <v>ZAMBRANO VERA MONICA JANETH</v>
      </c>
      <c r="FL469" t="str">
        <v>VERA DELGADO BRYAN ADRIÁN</v>
      </c>
      <c r="FM469" t="str">
        <v>MORAN GONZALES DAVID RENATO</v>
      </c>
      <c r="FN469">
        <v>0</v>
      </c>
    </row>
    <row r="470" spans="1:170" ht="20.25" customHeight="1">
      <c r="A470" s="4" t="str" cm="1">
        <f t="array" ref="A470">TRANSPOSE(_xlfn.UNIQUE(_xlfn._xlws.FILTER(MAE_ASIGNATURA[ID_NIVEL],MAE_ASIGNATURA[ID_CARRERA]=ASIGNACION!$C470,"No existe información")))</f>
        <v>No existe información</v>
      </c>
      <c r="S470" s="4" t="str" cm="1">
        <f t="array" ref="S470">TRANSPOSE(_xlfn.UNIQUE(_xlfn._xlws.FILTER(MAE_ASIGNATURA[NOM_ASIG],(MAE_ASIGNATURA[ID_NIVEL]=ASIGNACION!$D470)*(MAE_ASIGNATURA[ID_CARRERA]=ASIGNACION!$C470),"No existe información")))</f>
        <v>No existe información</v>
      </c>
      <c r="BD470" s="4" t="str" cm="1">
        <f t="array" ref="BD470">TRANSPOSE(_xlfn.UNIQUE(_xlfn._xlws.FILTER(DET_ASIG[DETALLADO],(DET_ASIG[ID_CARRERA]=ASIGNACION!$C470)*(DET_ASIG[NIVEL]=ASIGNACION!$D470)*(DET_ASIG[ID_ASIG]=ASIGNACION!$G470),"No existe información")))</f>
        <v>No existe información</v>
      </c>
      <c r="BQ470" s="5" t="str" cm="1">
        <f t="array" ref="BQ470">IFERROR(
    TRANSPOSE(
        _xlfn.UNIQUE(
            _xlfn._xlws.FILTER(MAESTRIA_DETALLADO[MAESTRIA],
                ISNUMBER(MATCH(MAESTRIA_DETALLADO[CAMPO_DETALLADO],
                BD470:BP470,0))
            )
        )
    ),IF(BD470="ACTIVIDAD","DOCENCIA",""))</f>
        <v/>
      </c>
      <c r="EA470" s="5" t="str" cm="1">
        <f t="array" ref="EA470:FN470">IF(
    ASIGNACION!I470="SI",
    IFERROR(
        TRANSPOSE(
            _xlfn.UNIQUE(
                _xlfn._xlws.FILTER(EDU_DOCENTE[NOMBRE_DOCENTE],
                    ISNUMBER(MATCH(EDU_DOCENTE[MAESTRIA],
                    BQ470:DY470,0))
                )
            )
        ),
        ""
    ),
    TRANSPOSE(
        _xlfn.UNIQUE(EDU_DOCENTE[NOMBRE_DOCENTE]
        )
    )
)</f>
        <v>ALCIVAR CEDEÑO BEATRIZ ISABEL</v>
      </c>
      <c r="EB470" t="str">
        <v>ALCIVAR VERA GEMA MICHELLE</v>
      </c>
      <c r="EC470" t="str">
        <v>ARAUZ CHAVEZ MARIO ROBERTO</v>
      </c>
      <c r="ED470" t="str">
        <v>BAILON LOURIDO WALTER ALBERTO</v>
      </c>
      <c r="EE470" t="str">
        <v>CALDERERO VILLAGOMEZ ERICK ANTONIO</v>
      </c>
      <c r="EF470" t="str">
        <v>CASTILLO GARCIA PAOLA GERMANIA</v>
      </c>
      <c r="EG470" t="str">
        <v>CEDEÑO CHOEZ PEDRO JAVIER</v>
      </c>
      <c r="EH470" t="str">
        <v>CEVALLOS HOPPE JUAN CARLOS</v>
      </c>
      <c r="EI470" t="str">
        <v>DELGADO CHAVEZ MARIA IRASEMA</v>
      </c>
      <c r="EJ470" t="str">
        <v>DUARTE VALENCIA CRISTHIAN DARIO</v>
      </c>
      <c r="EK470" t="str">
        <v>FORTTY BARBERAN DENNY ALEXANDER</v>
      </c>
      <c r="EL470" t="str">
        <v>GUTIERREZ ZAMBRANO CARMEN EBELINA</v>
      </c>
      <c r="EM470" t="str">
        <v>INTRIAGO MOLINA GEMA VALERIA</v>
      </c>
      <c r="EN470" t="str">
        <v>LINO VELEZ LEONEL LIVINGTON</v>
      </c>
      <c r="EO470" t="str">
        <v>LOOR ALCIVAR MARIA ILIANA</v>
      </c>
      <c r="EP470" t="str">
        <v>LOOR MIELES TANIA JACQUELINE</v>
      </c>
      <c r="EQ470" t="str">
        <v>LOOR SOLORZANO ROSA MARIA</v>
      </c>
      <c r="ER470" t="str">
        <v>LOPEZ DELGADO RONALD MAURICIO</v>
      </c>
      <c r="ES470" t="str">
        <v>MACIAS VALENCIA DAVID GABRIEL</v>
      </c>
      <c r="ET470" t="str">
        <v>MENDOZA ZAMORA WALTER MANUEL</v>
      </c>
      <c r="EU470" t="str">
        <v>MOLINA CEVALLOS MARIA LORENA</v>
      </c>
      <c r="EV470" t="str">
        <v>MURILLO DELGADO ISAAC GABRIEL</v>
      </c>
      <c r="EW470" t="str">
        <v>ANGULO MURILLO NAVIRA GISSELA</v>
      </c>
      <c r="EX470" t="str">
        <v>OCHOA SOLEDISPA NESTOR IVAN</v>
      </c>
      <c r="EY470" t="str">
        <v>PARRAGA FRANCO SILVANA MARIELA</v>
      </c>
      <c r="EZ470" t="str">
        <v>PINARGOTE VASQUEZ NANCY FABIOLA</v>
      </c>
      <c r="FA470" t="str">
        <v>REYES VELEZ PEDRO ENRIQUE</v>
      </c>
      <c r="FB470" t="str">
        <v>SAN ANDRES HORMAZA DALLAS CECILIA</v>
      </c>
      <c r="FC470" t="str">
        <v>SORNOZA ZAMORA JUAN CARLOS</v>
      </c>
      <c r="FD470" t="str">
        <v>TOMALA PINTO JESUS JACINTO</v>
      </c>
      <c r="FE470" t="str">
        <v>VALLE JARAMILLO SILVIA ARACELY</v>
      </c>
      <c r="FF470" t="str">
        <v>VELÁSQUEZ BRAVO IRMA KATHERINE</v>
      </c>
      <c r="FG470" t="str">
        <v>VELEZ MENDOZA LAYSY VALERIA</v>
      </c>
      <c r="FH470" t="str">
        <v>VINUEZA TELLO SHIRLEY ELIZABETH</v>
      </c>
      <c r="FI470" t="str">
        <v>ZAMBRANO ALCIVAR NILDA ISABEL</v>
      </c>
      <c r="FJ470" t="str">
        <v>ZAMBRANO LOOR RITA MAYDA</v>
      </c>
      <c r="FK470" t="str">
        <v>ZAMBRANO VERA MONICA JANETH</v>
      </c>
      <c r="FL470" t="str">
        <v>VERA DELGADO BRYAN ADRIÁN</v>
      </c>
      <c r="FM470" t="str">
        <v>MORAN GONZALES DAVID RENATO</v>
      </c>
      <c r="FN470">
        <v>0</v>
      </c>
    </row>
    <row r="471" spans="1:170" ht="20.25" customHeight="1">
      <c r="A471" s="4" t="str" cm="1">
        <f t="array" ref="A471">TRANSPOSE(_xlfn.UNIQUE(_xlfn._xlws.FILTER(MAE_ASIGNATURA[ID_NIVEL],MAE_ASIGNATURA[ID_CARRERA]=ASIGNACION!$C471,"No existe información")))</f>
        <v>No existe información</v>
      </c>
      <c r="S471" s="4" t="str" cm="1">
        <f t="array" ref="S471">TRANSPOSE(_xlfn.UNIQUE(_xlfn._xlws.FILTER(MAE_ASIGNATURA[NOM_ASIG],(MAE_ASIGNATURA[ID_NIVEL]=ASIGNACION!$D471)*(MAE_ASIGNATURA[ID_CARRERA]=ASIGNACION!$C471),"No existe información")))</f>
        <v>No existe información</v>
      </c>
      <c r="BD471" s="4" t="str" cm="1">
        <f t="array" ref="BD471">TRANSPOSE(_xlfn.UNIQUE(_xlfn._xlws.FILTER(DET_ASIG[DETALLADO],(DET_ASIG[ID_CARRERA]=ASIGNACION!$C471)*(DET_ASIG[NIVEL]=ASIGNACION!$D471)*(DET_ASIG[ID_ASIG]=ASIGNACION!$G471),"No existe información")))</f>
        <v>No existe información</v>
      </c>
      <c r="BQ471" s="5" t="str" cm="1">
        <f t="array" ref="BQ471">IFERROR(
    TRANSPOSE(
        _xlfn.UNIQUE(
            _xlfn._xlws.FILTER(MAESTRIA_DETALLADO[MAESTRIA],
                ISNUMBER(MATCH(MAESTRIA_DETALLADO[CAMPO_DETALLADO],
                BD471:BP471,0))
            )
        )
    ),IF(BD471="ACTIVIDAD","DOCENCIA",""))</f>
        <v/>
      </c>
      <c r="EA471" s="5" t="str" cm="1">
        <f t="array" ref="EA471:FN471">IF(
    ASIGNACION!I471="SI",
    IFERROR(
        TRANSPOSE(
            _xlfn.UNIQUE(
                _xlfn._xlws.FILTER(EDU_DOCENTE[NOMBRE_DOCENTE],
                    ISNUMBER(MATCH(EDU_DOCENTE[MAESTRIA],
                    BQ471:DY471,0))
                )
            )
        ),
        ""
    ),
    TRANSPOSE(
        _xlfn.UNIQUE(EDU_DOCENTE[NOMBRE_DOCENTE]
        )
    )
)</f>
        <v>ALCIVAR CEDEÑO BEATRIZ ISABEL</v>
      </c>
      <c r="EB471" t="str">
        <v>ALCIVAR VERA GEMA MICHELLE</v>
      </c>
      <c r="EC471" t="str">
        <v>ARAUZ CHAVEZ MARIO ROBERTO</v>
      </c>
      <c r="ED471" t="str">
        <v>BAILON LOURIDO WALTER ALBERTO</v>
      </c>
      <c r="EE471" t="str">
        <v>CALDERERO VILLAGOMEZ ERICK ANTONIO</v>
      </c>
      <c r="EF471" t="str">
        <v>CASTILLO GARCIA PAOLA GERMANIA</v>
      </c>
      <c r="EG471" t="str">
        <v>CEDEÑO CHOEZ PEDRO JAVIER</v>
      </c>
      <c r="EH471" t="str">
        <v>CEVALLOS HOPPE JUAN CARLOS</v>
      </c>
      <c r="EI471" t="str">
        <v>DELGADO CHAVEZ MARIA IRASEMA</v>
      </c>
      <c r="EJ471" t="str">
        <v>DUARTE VALENCIA CRISTHIAN DARIO</v>
      </c>
      <c r="EK471" t="str">
        <v>FORTTY BARBERAN DENNY ALEXANDER</v>
      </c>
      <c r="EL471" t="str">
        <v>GUTIERREZ ZAMBRANO CARMEN EBELINA</v>
      </c>
      <c r="EM471" t="str">
        <v>INTRIAGO MOLINA GEMA VALERIA</v>
      </c>
      <c r="EN471" t="str">
        <v>LINO VELEZ LEONEL LIVINGTON</v>
      </c>
      <c r="EO471" t="str">
        <v>LOOR ALCIVAR MARIA ILIANA</v>
      </c>
      <c r="EP471" t="str">
        <v>LOOR MIELES TANIA JACQUELINE</v>
      </c>
      <c r="EQ471" t="str">
        <v>LOOR SOLORZANO ROSA MARIA</v>
      </c>
      <c r="ER471" t="str">
        <v>LOPEZ DELGADO RONALD MAURICIO</v>
      </c>
      <c r="ES471" t="str">
        <v>MACIAS VALENCIA DAVID GABRIEL</v>
      </c>
      <c r="ET471" t="str">
        <v>MENDOZA ZAMORA WALTER MANUEL</v>
      </c>
      <c r="EU471" t="str">
        <v>MOLINA CEVALLOS MARIA LORENA</v>
      </c>
      <c r="EV471" t="str">
        <v>MURILLO DELGADO ISAAC GABRIEL</v>
      </c>
      <c r="EW471" t="str">
        <v>ANGULO MURILLO NAVIRA GISSELA</v>
      </c>
      <c r="EX471" t="str">
        <v>OCHOA SOLEDISPA NESTOR IVAN</v>
      </c>
      <c r="EY471" t="str">
        <v>PARRAGA FRANCO SILVANA MARIELA</v>
      </c>
      <c r="EZ471" t="str">
        <v>PINARGOTE VASQUEZ NANCY FABIOLA</v>
      </c>
      <c r="FA471" t="str">
        <v>REYES VELEZ PEDRO ENRIQUE</v>
      </c>
      <c r="FB471" t="str">
        <v>SAN ANDRES HORMAZA DALLAS CECILIA</v>
      </c>
      <c r="FC471" t="str">
        <v>SORNOZA ZAMORA JUAN CARLOS</v>
      </c>
      <c r="FD471" t="str">
        <v>TOMALA PINTO JESUS JACINTO</v>
      </c>
      <c r="FE471" t="str">
        <v>VALLE JARAMILLO SILVIA ARACELY</v>
      </c>
      <c r="FF471" t="str">
        <v>VELÁSQUEZ BRAVO IRMA KATHERINE</v>
      </c>
      <c r="FG471" t="str">
        <v>VELEZ MENDOZA LAYSY VALERIA</v>
      </c>
      <c r="FH471" t="str">
        <v>VINUEZA TELLO SHIRLEY ELIZABETH</v>
      </c>
      <c r="FI471" t="str">
        <v>ZAMBRANO ALCIVAR NILDA ISABEL</v>
      </c>
      <c r="FJ471" t="str">
        <v>ZAMBRANO LOOR RITA MAYDA</v>
      </c>
      <c r="FK471" t="str">
        <v>ZAMBRANO VERA MONICA JANETH</v>
      </c>
      <c r="FL471" t="str">
        <v>VERA DELGADO BRYAN ADRIÁN</v>
      </c>
      <c r="FM471" t="str">
        <v>MORAN GONZALES DAVID RENATO</v>
      </c>
      <c r="FN471">
        <v>0</v>
      </c>
    </row>
    <row r="472" spans="1:170" ht="20.25" customHeight="1">
      <c r="A472" s="4" t="str" cm="1">
        <f t="array" ref="A472">TRANSPOSE(_xlfn.UNIQUE(_xlfn._xlws.FILTER(MAE_ASIGNATURA[ID_NIVEL],MAE_ASIGNATURA[ID_CARRERA]=ASIGNACION!$C472,"No existe información")))</f>
        <v>No existe información</v>
      </c>
      <c r="S472" s="4" t="str" cm="1">
        <f t="array" ref="S472">TRANSPOSE(_xlfn.UNIQUE(_xlfn._xlws.FILTER(MAE_ASIGNATURA[NOM_ASIG],(MAE_ASIGNATURA[ID_NIVEL]=ASIGNACION!$D472)*(MAE_ASIGNATURA[ID_CARRERA]=ASIGNACION!$C472),"No existe información")))</f>
        <v>No existe información</v>
      </c>
      <c r="BD472" s="4" t="str" cm="1">
        <f t="array" ref="BD472">TRANSPOSE(_xlfn.UNIQUE(_xlfn._xlws.FILTER(DET_ASIG[DETALLADO],(DET_ASIG[ID_CARRERA]=ASIGNACION!$C472)*(DET_ASIG[NIVEL]=ASIGNACION!$D472)*(DET_ASIG[ID_ASIG]=ASIGNACION!$G472),"No existe información")))</f>
        <v>No existe información</v>
      </c>
      <c r="BQ472" s="5" t="str" cm="1">
        <f t="array" ref="BQ472">IFERROR(
    TRANSPOSE(
        _xlfn.UNIQUE(
            _xlfn._xlws.FILTER(MAESTRIA_DETALLADO[MAESTRIA],
                ISNUMBER(MATCH(MAESTRIA_DETALLADO[CAMPO_DETALLADO],
                BD472:BP472,0))
            )
        )
    ),IF(BD472="ACTIVIDAD","DOCENCIA",""))</f>
        <v/>
      </c>
      <c r="EA472" s="5" t="str" cm="1">
        <f t="array" ref="EA472:FN472">IF(
    ASIGNACION!I472="SI",
    IFERROR(
        TRANSPOSE(
            _xlfn.UNIQUE(
                _xlfn._xlws.FILTER(EDU_DOCENTE[NOMBRE_DOCENTE],
                    ISNUMBER(MATCH(EDU_DOCENTE[MAESTRIA],
                    BQ472:DY472,0))
                )
            )
        ),
        ""
    ),
    TRANSPOSE(
        _xlfn.UNIQUE(EDU_DOCENTE[NOMBRE_DOCENTE]
        )
    )
)</f>
        <v>ALCIVAR CEDEÑO BEATRIZ ISABEL</v>
      </c>
      <c r="EB472" t="str">
        <v>ALCIVAR VERA GEMA MICHELLE</v>
      </c>
      <c r="EC472" t="str">
        <v>ARAUZ CHAVEZ MARIO ROBERTO</v>
      </c>
      <c r="ED472" t="str">
        <v>BAILON LOURIDO WALTER ALBERTO</v>
      </c>
      <c r="EE472" t="str">
        <v>CALDERERO VILLAGOMEZ ERICK ANTONIO</v>
      </c>
      <c r="EF472" t="str">
        <v>CASTILLO GARCIA PAOLA GERMANIA</v>
      </c>
      <c r="EG472" t="str">
        <v>CEDEÑO CHOEZ PEDRO JAVIER</v>
      </c>
      <c r="EH472" t="str">
        <v>CEVALLOS HOPPE JUAN CARLOS</v>
      </c>
      <c r="EI472" t="str">
        <v>DELGADO CHAVEZ MARIA IRASEMA</v>
      </c>
      <c r="EJ472" t="str">
        <v>DUARTE VALENCIA CRISTHIAN DARIO</v>
      </c>
      <c r="EK472" t="str">
        <v>FORTTY BARBERAN DENNY ALEXANDER</v>
      </c>
      <c r="EL472" t="str">
        <v>GUTIERREZ ZAMBRANO CARMEN EBELINA</v>
      </c>
      <c r="EM472" t="str">
        <v>INTRIAGO MOLINA GEMA VALERIA</v>
      </c>
      <c r="EN472" t="str">
        <v>LINO VELEZ LEONEL LIVINGTON</v>
      </c>
      <c r="EO472" t="str">
        <v>LOOR ALCIVAR MARIA ILIANA</v>
      </c>
      <c r="EP472" t="str">
        <v>LOOR MIELES TANIA JACQUELINE</v>
      </c>
      <c r="EQ472" t="str">
        <v>LOOR SOLORZANO ROSA MARIA</v>
      </c>
      <c r="ER472" t="str">
        <v>LOPEZ DELGADO RONALD MAURICIO</v>
      </c>
      <c r="ES472" t="str">
        <v>MACIAS VALENCIA DAVID GABRIEL</v>
      </c>
      <c r="ET472" t="str">
        <v>MENDOZA ZAMORA WALTER MANUEL</v>
      </c>
      <c r="EU472" t="str">
        <v>MOLINA CEVALLOS MARIA LORENA</v>
      </c>
      <c r="EV472" t="str">
        <v>MURILLO DELGADO ISAAC GABRIEL</v>
      </c>
      <c r="EW472" t="str">
        <v>ANGULO MURILLO NAVIRA GISSELA</v>
      </c>
      <c r="EX472" t="str">
        <v>OCHOA SOLEDISPA NESTOR IVAN</v>
      </c>
      <c r="EY472" t="str">
        <v>PARRAGA FRANCO SILVANA MARIELA</v>
      </c>
      <c r="EZ472" t="str">
        <v>PINARGOTE VASQUEZ NANCY FABIOLA</v>
      </c>
      <c r="FA472" t="str">
        <v>REYES VELEZ PEDRO ENRIQUE</v>
      </c>
      <c r="FB472" t="str">
        <v>SAN ANDRES HORMAZA DALLAS CECILIA</v>
      </c>
      <c r="FC472" t="str">
        <v>SORNOZA ZAMORA JUAN CARLOS</v>
      </c>
      <c r="FD472" t="str">
        <v>TOMALA PINTO JESUS JACINTO</v>
      </c>
      <c r="FE472" t="str">
        <v>VALLE JARAMILLO SILVIA ARACELY</v>
      </c>
      <c r="FF472" t="str">
        <v>VELÁSQUEZ BRAVO IRMA KATHERINE</v>
      </c>
      <c r="FG472" t="str">
        <v>VELEZ MENDOZA LAYSY VALERIA</v>
      </c>
      <c r="FH472" t="str">
        <v>VINUEZA TELLO SHIRLEY ELIZABETH</v>
      </c>
      <c r="FI472" t="str">
        <v>ZAMBRANO ALCIVAR NILDA ISABEL</v>
      </c>
      <c r="FJ472" t="str">
        <v>ZAMBRANO LOOR RITA MAYDA</v>
      </c>
      <c r="FK472" t="str">
        <v>ZAMBRANO VERA MONICA JANETH</v>
      </c>
      <c r="FL472" t="str">
        <v>VERA DELGADO BRYAN ADRIÁN</v>
      </c>
      <c r="FM472" t="str">
        <v>MORAN GONZALES DAVID RENATO</v>
      </c>
      <c r="FN472">
        <v>0</v>
      </c>
    </row>
    <row r="473" spans="1:170" ht="20.25" customHeight="1">
      <c r="A473" s="4" t="str" cm="1">
        <f t="array" ref="A473">TRANSPOSE(_xlfn.UNIQUE(_xlfn._xlws.FILTER(MAE_ASIGNATURA[ID_NIVEL],MAE_ASIGNATURA[ID_CARRERA]=ASIGNACION!$C473,"No existe información")))</f>
        <v>No existe información</v>
      </c>
      <c r="S473" s="4" t="str" cm="1">
        <f t="array" ref="S473">TRANSPOSE(_xlfn.UNIQUE(_xlfn._xlws.FILTER(MAE_ASIGNATURA[NOM_ASIG],(MAE_ASIGNATURA[ID_NIVEL]=ASIGNACION!$D473)*(MAE_ASIGNATURA[ID_CARRERA]=ASIGNACION!$C473),"No existe información")))</f>
        <v>No existe información</v>
      </c>
      <c r="BD473" s="4" t="str" cm="1">
        <f t="array" ref="BD473">TRANSPOSE(_xlfn.UNIQUE(_xlfn._xlws.FILTER(DET_ASIG[DETALLADO],(DET_ASIG[ID_CARRERA]=ASIGNACION!$C473)*(DET_ASIG[NIVEL]=ASIGNACION!$D473)*(DET_ASIG[ID_ASIG]=ASIGNACION!$G473),"No existe información")))</f>
        <v>No existe información</v>
      </c>
      <c r="BQ473" s="5" t="str" cm="1">
        <f t="array" ref="BQ473">IFERROR(
    TRANSPOSE(
        _xlfn.UNIQUE(
            _xlfn._xlws.FILTER(MAESTRIA_DETALLADO[MAESTRIA],
                ISNUMBER(MATCH(MAESTRIA_DETALLADO[CAMPO_DETALLADO],
                BD473:BP473,0))
            )
        )
    ),IF(BD473="ACTIVIDAD","DOCENCIA",""))</f>
        <v/>
      </c>
      <c r="EA473" s="5" t="str" cm="1">
        <f t="array" ref="EA473:FN473">IF(
    ASIGNACION!I473="SI",
    IFERROR(
        TRANSPOSE(
            _xlfn.UNIQUE(
                _xlfn._xlws.FILTER(EDU_DOCENTE[NOMBRE_DOCENTE],
                    ISNUMBER(MATCH(EDU_DOCENTE[MAESTRIA],
                    BQ473:DY473,0))
                )
            )
        ),
        ""
    ),
    TRANSPOSE(
        _xlfn.UNIQUE(EDU_DOCENTE[NOMBRE_DOCENTE]
        )
    )
)</f>
        <v>ALCIVAR CEDEÑO BEATRIZ ISABEL</v>
      </c>
      <c r="EB473" t="str">
        <v>ALCIVAR VERA GEMA MICHELLE</v>
      </c>
      <c r="EC473" t="str">
        <v>ARAUZ CHAVEZ MARIO ROBERTO</v>
      </c>
      <c r="ED473" t="str">
        <v>BAILON LOURIDO WALTER ALBERTO</v>
      </c>
      <c r="EE473" t="str">
        <v>CALDERERO VILLAGOMEZ ERICK ANTONIO</v>
      </c>
      <c r="EF473" t="str">
        <v>CASTILLO GARCIA PAOLA GERMANIA</v>
      </c>
      <c r="EG473" t="str">
        <v>CEDEÑO CHOEZ PEDRO JAVIER</v>
      </c>
      <c r="EH473" t="str">
        <v>CEVALLOS HOPPE JUAN CARLOS</v>
      </c>
      <c r="EI473" t="str">
        <v>DELGADO CHAVEZ MARIA IRASEMA</v>
      </c>
      <c r="EJ473" t="str">
        <v>DUARTE VALENCIA CRISTHIAN DARIO</v>
      </c>
      <c r="EK473" t="str">
        <v>FORTTY BARBERAN DENNY ALEXANDER</v>
      </c>
      <c r="EL473" t="str">
        <v>GUTIERREZ ZAMBRANO CARMEN EBELINA</v>
      </c>
      <c r="EM473" t="str">
        <v>INTRIAGO MOLINA GEMA VALERIA</v>
      </c>
      <c r="EN473" t="str">
        <v>LINO VELEZ LEONEL LIVINGTON</v>
      </c>
      <c r="EO473" t="str">
        <v>LOOR ALCIVAR MARIA ILIANA</v>
      </c>
      <c r="EP473" t="str">
        <v>LOOR MIELES TANIA JACQUELINE</v>
      </c>
      <c r="EQ473" t="str">
        <v>LOOR SOLORZANO ROSA MARIA</v>
      </c>
      <c r="ER473" t="str">
        <v>LOPEZ DELGADO RONALD MAURICIO</v>
      </c>
      <c r="ES473" t="str">
        <v>MACIAS VALENCIA DAVID GABRIEL</v>
      </c>
      <c r="ET473" t="str">
        <v>MENDOZA ZAMORA WALTER MANUEL</v>
      </c>
      <c r="EU473" t="str">
        <v>MOLINA CEVALLOS MARIA LORENA</v>
      </c>
      <c r="EV473" t="str">
        <v>MURILLO DELGADO ISAAC GABRIEL</v>
      </c>
      <c r="EW473" t="str">
        <v>ANGULO MURILLO NAVIRA GISSELA</v>
      </c>
      <c r="EX473" t="str">
        <v>OCHOA SOLEDISPA NESTOR IVAN</v>
      </c>
      <c r="EY473" t="str">
        <v>PARRAGA FRANCO SILVANA MARIELA</v>
      </c>
      <c r="EZ473" t="str">
        <v>PINARGOTE VASQUEZ NANCY FABIOLA</v>
      </c>
      <c r="FA473" t="str">
        <v>REYES VELEZ PEDRO ENRIQUE</v>
      </c>
      <c r="FB473" t="str">
        <v>SAN ANDRES HORMAZA DALLAS CECILIA</v>
      </c>
      <c r="FC473" t="str">
        <v>SORNOZA ZAMORA JUAN CARLOS</v>
      </c>
      <c r="FD473" t="str">
        <v>TOMALA PINTO JESUS JACINTO</v>
      </c>
      <c r="FE473" t="str">
        <v>VALLE JARAMILLO SILVIA ARACELY</v>
      </c>
      <c r="FF473" t="str">
        <v>VELÁSQUEZ BRAVO IRMA KATHERINE</v>
      </c>
      <c r="FG473" t="str">
        <v>VELEZ MENDOZA LAYSY VALERIA</v>
      </c>
      <c r="FH473" t="str">
        <v>VINUEZA TELLO SHIRLEY ELIZABETH</v>
      </c>
      <c r="FI473" t="str">
        <v>ZAMBRANO ALCIVAR NILDA ISABEL</v>
      </c>
      <c r="FJ473" t="str">
        <v>ZAMBRANO LOOR RITA MAYDA</v>
      </c>
      <c r="FK473" t="str">
        <v>ZAMBRANO VERA MONICA JANETH</v>
      </c>
      <c r="FL473" t="str">
        <v>VERA DELGADO BRYAN ADRIÁN</v>
      </c>
      <c r="FM473" t="str">
        <v>MORAN GONZALES DAVID RENATO</v>
      </c>
      <c r="FN473">
        <v>0</v>
      </c>
    </row>
    <row r="474" spans="1:170" ht="20.25" customHeight="1">
      <c r="A474" s="4" t="str" cm="1">
        <f t="array" ref="A474">TRANSPOSE(_xlfn.UNIQUE(_xlfn._xlws.FILTER(MAE_ASIGNATURA[ID_NIVEL],MAE_ASIGNATURA[ID_CARRERA]=ASIGNACION!$C474,"No existe información")))</f>
        <v>No existe información</v>
      </c>
      <c r="S474" s="4" t="str" cm="1">
        <f t="array" ref="S474">TRANSPOSE(_xlfn.UNIQUE(_xlfn._xlws.FILTER(MAE_ASIGNATURA[NOM_ASIG],(MAE_ASIGNATURA[ID_NIVEL]=ASIGNACION!$D474)*(MAE_ASIGNATURA[ID_CARRERA]=ASIGNACION!$C474),"No existe información")))</f>
        <v>No existe información</v>
      </c>
      <c r="BD474" s="4" t="str" cm="1">
        <f t="array" ref="BD474">TRANSPOSE(_xlfn.UNIQUE(_xlfn._xlws.FILTER(DET_ASIG[DETALLADO],(DET_ASIG[ID_CARRERA]=ASIGNACION!$C474)*(DET_ASIG[NIVEL]=ASIGNACION!$D474)*(DET_ASIG[ID_ASIG]=ASIGNACION!$G474),"No existe información")))</f>
        <v>No existe información</v>
      </c>
      <c r="BQ474" s="5" t="str" cm="1">
        <f t="array" ref="BQ474">IFERROR(
    TRANSPOSE(
        _xlfn.UNIQUE(
            _xlfn._xlws.FILTER(MAESTRIA_DETALLADO[MAESTRIA],
                ISNUMBER(MATCH(MAESTRIA_DETALLADO[CAMPO_DETALLADO],
                BD474:BP474,0))
            )
        )
    ),IF(BD474="ACTIVIDAD","DOCENCIA",""))</f>
        <v/>
      </c>
      <c r="EA474" s="5" t="str" cm="1">
        <f t="array" ref="EA474:FN474">IF(
    ASIGNACION!I474="SI",
    IFERROR(
        TRANSPOSE(
            _xlfn.UNIQUE(
                _xlfn._xlws.FILTER(EDU_DOCENTE[NOMBRE_DOCENTE],
                    ISNUMBER(MATCH(EDU_DOCENTE[MAESTRIA],
                    BQ474:DY474,0))
                )
            )
        ),
        ""
    ),
    TRANSPOSE(
        _xlfn.UNIQUE(EDU_DOCENTE[NOMBRE_DOCENTE]
        )
    )
)</f>
        <v>ALCIVAR CEDEÑO BEATRIZ ISABEL</v>
      </c>
      <c r="EB474" t="str">
        <v>ALCIVAR VERA GEMA MICHELLE</v>
      </c>
      <c r="EC474" t="str">
        <v>ARAUZ CHAVEZ MARIO ROBERTO</v>
      </c>
      <c r="ED474" t="str">
        <v>BAILON LOURIDO WALTER ALBERTO</v>
      </c>
      <c r="EE474" t="str">
        <v>CALDERERO VILLAGOMEZ ERICK ANTONIO</v>
      </c>
      <c r="EF474" t="str">
        <v>CASTILLO GARCIA PAOLA GERMANIA</v>
      </c>
      <c r="EG474" t="str">
        <v>CEDEÑO CHOEZ PEDRO JAVIER</v>
      </c>
      <c r="EH474" t="str">
        <v>CEVALLOS HOPPE JUAN CARLOS</v>
      </c>
      <c r="EI474" t="str">
        <v>DELGADO CHAVEZ MARIA IRASEMA</v>
      </c>
      <c r="EJ474" t="str">
        <v>DUARTE VALENCIA CRISTHIAN DARIO</v>
      </c>
      <c r="EK474" t="str">
        <v>FORTTY BARBERAN DENNY ALEXANDER</v>
      </c>
      <c r="EL474" t="str">
        <v>GUTIERREZ ZAMBRANO CARMEN EBELINA</v>
      </c>
      <c r="EM474" t="str">
        <v>INTRIAGO MOLINA GEMA VALERIA</v>
      </c>
      <c r="EN474" t="str">
        <v>LINO VELEZ LEONEL LIVINGTON</v>
      </c>
      <c r="EO474" t="str">
        <v>LOOR ALCIVAR MARIA ILIANA</v>
      </c>
      <c r="EP474" t="str">
        <v>LOOR MIELES TANIA JACQUELINE</v>
      </c>
      <c r="EQ474" t="str">
        <v>LOOR SOLORZANO ROSA MARIA</v>
      </c>
      <c r="ER474" t="str">
        <v>LOPEZ DELGADO RONALD MAURICIO</v>
      </c>
      <c r="ES474" t="str">
        <v>MACIAS VALENCIA DAVID GABRIEL</v>
      </c>
      <c r="ET474" t="str">
        <v>MENDOZA ZAMORA WALTER MANUEL</v>
      </c>
      <c r="EU474" t="str">
        <v>MOLINA CEVALLOS MARIA LORENA</v>
      </c>
      <c r="EV474" t="str">
        <v>MURILLO DELGADO ISAAC GABRIEL</v>
      </c>
      <c r="EW474" t="str">
        <v>ANGULO MURILLO NAVIRA GISSELA</v>
      </c>
      <c r="EX474" t="str">
        <v>OCHOA SOLEDISPA NESTOR IVAN</v>
      </c>
      <c r="EY474" t="str">
        <v>PARRAGA FRANCO SILVANA MARIELA</v>
      </c>
      <c r="EZ474" t="str">
        <v>PINARGOTE VASQUEZ NANCY FABIOLA</v>
      </c>
      <c r="FA474" t="str">
        <v>REYES VELEZ PEDRO ENRIQUE</v>
      </c>
      <c r="FB474" t="str">
        <v>SAN ANDRES HORMAZA DALLAS CECILIA</v>
      </c>
      <c r="FC474" t="str">
        <v>SORNOZA ZAMORA JUAN CARLOS</v>
      </c>
      <c r="FD474" t="str">
        <v>TOMALA PINTO JESUS JACINTO</v>
      </c>
      <c r="FE474" t="str">
        <v>VALLE JARAMILLO SILVIA ARACELY</v>
      </c>
      <c r="FF474" t="str">
        <v>VELÁSQUEZ BRAVO IRMA KATHERINE</v>
      </c>
      <c r="FG474" t="str">
        <v>VELEZ MENDOZA LAYSY VALERIA</v>
      </c>
      <c r="FH474" t="str">
        <v>VINUEZA TELLO SHIRLEY ELIZABETH</v>
      </c>
      <c r="FI474" t="str">
        <v>ZAMBRANO ALCIVAR NILDA ISABEL</v>
      </c>
      <c r="FJ474" t="str">
        <v>ZAMBRANO LOOR RITA MAYDA</v>
      </c>
      <c r="FK474" t="str">
        <v>ZAMBRANO VERA MONICA JANETH</v>
      </c>
      <c r="FL474" t="str">
        <v>VERA DELGADO BRYAN ADRIÁN</v>
      </c>
      <c r="FM474" t="str">
        <v>MORAN GONZALES DAVID RENATO</v>
      </c>
      <c r="FN474">
        <v>0</v>
      </c>
    </row>
    <row r="475" spans="1:170" ht="20.25" customHeight="1">
      <c r="A475" s="4" t="str" cm="1">
        <f t="array" ref="A475">TRANSPOSE(_xlfn.UNIQUE(_xlfn._xlws.FILTER(MAE_ASIGNATURA[ID_NIVEL],MAE_ASIGNATURA[ID_CARRERA]=ASIGNACION!$C475,"No existe información")))</f>
        <v>No existe información</v>
      </c>
      <c r="S475" s="4" t="str" cm="1">
        <f t="array" ref="S475">TRANSPOSE(_xlfn.UNIQUE(_xlfn._xlws.FILTER(MAE_ASIGNATURA[NOM_ASIG],(MAE_ASIGNATURA[ID_NIVEL]=ASIGNACION!$D475)*(MAE_ASIGNATURA[ID_CARRERA]=ASIGNACION!$C475),"No existe información")))</f>
        <v>No existe información</v>
      </c>
      <c r="BD475" s="4" t="str" cm="1">
        <f t="array" ref="BD475">TRANSPOSE(_xlfn.UNIQUE(_xlfn._xlws.FILTER(DET_ASIG[DETALLADO],(DET_ASIG[ID_CARRERA]=ASIGNACION!$C475)*(DET_ASIG[NIVEL]=ASIGNACION!$D475)*(DET_ASIG[ID_ASIG]=ASIGNACION!$G475),"No existe información")))</f>
        <v>No existe información</v>
      </c>
      <c r="BQ475" s="5" t="str" cm="1">
        <f t="array" ref="BQ475">IFERROR(
    TRANSPOSE(
        _xlfn.UNIQUE(
            _xlfn._xlws.FILTER(MAESTRIA_DETALLADO[MAESTRIA],
                ISNUMBER(MATCH(MAESTRIA_DETALLADO[CAMPO_DETALLADO],
                BD475:BP475,0))
            )
        )
    ),IF(BD475="ACTIVIDAD","DOCENCIA",""))</f>
        <v/>
      </c>
      <c r="EA475" s="5" t="str" cm="1">
        <f t="array" ref="EA475:FN475">IF(
    ASIGNACION!I475="SI",
    IFERROR(
        TRANSPOSE(
            _xlfn.UNIQUE(
                _xlfn._xlws.FILTER(EDU_DOCENTE[NOMBRE_DOCENTE],
                    ISNUMBER(MATCH(EDU_DOCENTE[MAESTRIA],
                    BQ475:DY475,0))
                )
            )
        ),
        ""
    ),
    TRANSPOSE(
        _xlfn.UNIQUE(EDU_DOCENTE[NOMBRE_DOCENTE]
        )
    )
)</f>
        <v>ALCIVAR CEDEÑO BEATRIZ ISABEL</v>
      </c>
      <c r="EB475" t="str">
        <v>ALCIVAR VERA GEMA MICHELLE</v>
      </c>
      <c r="EC475" t="str">
        <v>ARAUZ CHAVEZ MARIO ROBERTO</v>
      </c>
      <c r="ED475" t="str">
        <v>BAILON LOURIDO WALTER ALBERTO</v>
      </c>
      <c r="EE475" t="str">
        <v>CALDERERO VILLAGOMEZ ERICK ANTONIO</v>
      </c>
      <c r="EF475" t="str">
        <v>CASTILLO GARCIA PAOLA GERMANIA</v>
      </c>
      <c r="EG475" t="str">
        <v>CEDEÑO CHOEZ PEDRO JAVIER</v>
      </c>
      <c r="EH475" t="str">
        <v>CEVALLOS HOPPE JUAN CARLOS</v>
      </c>
      <c r="EI475" t="str">
        <v>DELGADO CHAVEZ MARIA IRASEMA</v>
      </c>
      <c r="EJ475" t="str">
        <v>DUARTE VALENCIA CRISTHIAN DARIO</v>
      </c>
      <c r="EK475" t="str">
        <v>FORTTY BARBERAN DENNY ALEXANDER</v>
      </c>
      <c r="EL475" t="str">
        <v>GUTIERREZ ZAMBRANO CARMEN EBELINA</v>
      </c>
      <c r="EM475" t="str">
        <v>INTRIAGO MOLINA GEMA VALERIA</v>
      </c>
      <c r="EN475" t="str">
        <v>LINO VELEZ LEONEL LIVINGTON</v>
      </c>
      <c r="EO475" t="str">
        <v>LOOR ALCIVAR MARIA ILIANA</v>
      </c>
      <c r="EP475" t="str">
        <v>LOOR MIELES TANIA JACQUELINE</v>
      </c>
      <c r="EQ475" t="str">
        <v>LOOR SOLORZANO ROSA MARIA</v>
      </c>
      <c r="ER475" t="str">
        <v>LOPEZ DELGADO RONALD MAURICIO</v>
      </c>
      <c r="ES475" t="str">
        <v>MACIAS VALENCIA DAVID GABRIEL</v>
      </c>
      <c r="ET475" t="str">
        <v>MENDOZA ZAMORA WALTER MANUEL</v>
      </c>
      <c r="EU475" t="str">
        <v>MOLINA CEVALLOS MARIA LORENA</v>
      </c>
      <c r="EV475" t="str">
        <v>MURILLO DELGADO ISAAC GABRIEL</v>
      </c>
      <c r="EW475" t="str">
        <v>ANGULO MURILLO NAVIRA GISSELA</v>
      </c>
      <c r="EX475" t="str">
        <v>OCHOA SOLEDISPA NESTOR IVAN</v>
      </c>
      <c r="EY475" t="str">
        <v>PARRAGA FRANCO SILVANA MARIELA</v>
      </c>
      <c r="EZ475" t="str">
        <v>PINARGOTE VASQUEZ NANCY FABIOLA</v>
      </c>
      <c r="FA475" t="str">
        <v>REYES VELEZ PEDRO ENRIQUE</v>
      </c>
      <c r="FB475" t="str">
        <v>SAN ANDRES HORMAZA DALLAS CECILIA</v>
      </c>
      <c r="FC475" t="str">
        <v>SORNOZA ZAMORA JUAN CARLOS</v>
      </c>
      <c r="FD475" t="str">
        <v>TOMALA PINTO JESUS JACINTO</v>
      </c>
      <c r="FE475" t="str">
        <v>VALLE JARAMILLO SILVIA ARACELY</v>
      </c>
      <c r="FF475" t="str">
        <v>VELÁSQUEZ BRAVO IRMA KATHERINE</v>
      </c>
      <c r="FG475" t="str">
        <v>VELEZ MENDOZA LAYSY VALERIA</v>
      </c>
      <c r="FH475" t="str">
        <v>VINUEZA TELLO SHIRLEY ELIZABETH</v>
      </c>
      <c r="FI475" t="str">
        <v>ZAMBRANO ALCIVAR NILDA ISABEL</v>
      </c>
      <c r="FJ475" t="str">
        <v>ZAMBRANO LOOR RITA MAYDA</v>
      </c>
      <c r="FK475" t="str">
        <v>ZAMBRANO VERA MONICA JANETH</v>
      </c>
      <c r="FL475" t="str">
        <v>VERA DELGADO BRYAN ADRIÁN</v>
      </c>
      <c r="FM475" t="str">
        <v>MORAN GONZALES DAVID RENATO</v>
      </c>
      <c r="FN475">
        <v>0</v>
      </c>
    </row>
    <row r="476" spans="1:170" ht="20.25" customHeight="1">
      <c r="A476" s="4" t="str" cm="1">
        <f t="array" ref="A476">TRANSPOSE(_xlfn.UNIQUE(_xlfn._xlws.FILTER(MAE_ASIGNATURA[ID_NIVEL],MAE_ASIGNATURA[ID_CARRERA]=ASIGNACION!$C476,"No existe información")))</f>
        <v>No existe información</v>
      </c>
      <c r="S476" s="4" t="str" cm="1">
        <f t="array" ref="S476">TRANSPOSE(_xlfn.UNIQUE(_xlfn._xlws.FILTER(MAE_ASIGNATURA[NOM_ASIG],(MAE_ASIGNATURA[ID_NIVEL]=ASIGNACION!$D476)*(MAE_ASIGNATURA[ID_CARRERA]=ASIGNACION!$C476),"No existe información")))</f>
        <v>No existe información</v>
      </c>
      <c r="BD476" s="4" t="str" cm="1">
        <f t="array" ref="BD476">TRANSPOSE(_xlfn.UNIQUE(_xlfn._xlws.FILTER(DET_ASIG[DETALLADO],(DET_ASIG[ID_CARRERA]=ASIGNACION!$C476)*(DET_ASIG[NIVEL]=ASIGNACION!$D476)*(DET_ASIG[ID_ASIG]=ASIGNACION!$G476),"No existe información")))</f>
        <v>No existe información</v>
      </c>
      <c r="BQ476" s="5" t="str" cm="1">
        <f t="array" ref="BQ476">IFERROR(
    TRANSPOSE(
        _xlfn.UNIQUE(
            _xlfn._xlws.FILTER(MAESTRIA_DETALLADO[MAESTRIA],
                ISNUMBER(MATCH(MAESTRIA_DETALLADO[CAMPO_DETALLADO],
                BD476:BP476,0))
            )
        )
    ),IF(BD476="ACTIVIDAD","DOCENCIA",""))</f>
        <v/>
      </c>
      <c r="EA476" s="5" t="str" cm="1">
        <f t="array" ref="EA476:FN476">IF(
    ASIGNACION!I476="SI",
    IFERROR(
        TRANSPOSE(
            _xlfn.UNIQUE(
                _xlfn._xlws.FILTER(EDU_DOCENTE[NOMBRE_DOCENTE],
                    ISNUMBER(MATCH(EDU_DOCENTE[MAESTRIA],
                    BQ476:DY476,0))
                )
            )
        ),
        ""
    ),
    TRANSPOSE(
        _xlfn.UNIQUE(EDU_DOCENTE[NOMBRE_DOCENTE]
        )
    )
)</f>
        <v>ALCIVAR CEDEÑO BEATRIZ ISABEL</v>
      </c>
      <c r="EB476" t="str">
        <v>ALCIVAR VERA GEMA MICHELLE</v>
      </c>
      <c r="EC476" t="str">
        <v>ARAUZ CHAVEZ MARIO ROBERTO</v>
      </c>
      <c r="ED476" t="str">
        <v>BAILON LOURIDO WALTER ALBERTO</v>
      </c>
      <c r="EE476" t="str">
        <v>CALDERERO VILLAGOMEZ ERICK ANTONIO</v>
      </c>
      <c r="EF476" t="str">
        <v>CASTILLO GARCIA PAOLA GERMANIA</v>
      </c>
      <c r="EG476" t="str">
        <v>CEDEÑO CHOEZ PEDRO JAVIER</v>
      </c>
      <c r="EH476" t="str">
        <v>CEVALLOS HOPPE JUAN CARLOS</v>
      </c>
      <c r="EI476" t="str">
        <v>DELGADO CHAVEZ MARIA IRASEMA</v>
      </c>
      <c r="EJ476" t="str">
        <v>DUARTE VALENCIA CRISTHIAN DARIO</v>
      </c>
      <c r="EK476" t="str">
        <v>FORTTY BARBERAN DENNY ALEXANDER</v>
      </c>
      <c r="EL476" t="str">
        <v>GUTIERREZ ZAMBRANO CARMEN EBELINA</v>
      </c>
      <c r="EM476" t="str">
        <v>INTRIAGO MOLINA GEMA VALERIA</v>
      </c>
      <c r="EN476" t="str">
        <v>LINO VELEZ LEONEL LIVINGTON</v>
      </c>
      <c r="EO476" t="str">
        <v>LOOR ALCIVAR MARIA ILIANA</v>
      </c>
      <c r="EP476" t="str">
        <v>LOOR MIELES TANIA JACQUELINE</v>
      </c>
      <c r="EQ476" t="str">
        <v>LOOR SOLORZANO ROSA MARIA</v>
      </c>
      <c r="ER476" t="str">
        <v>LOPEZ DELGADO RONALD MAURICIO</v>
      </c>
      <c r="ES476" t="str">
        <v>MACIAS VALENCIA DAVID GABRIEL</v>
      </c>
      <c r="ET476" t="str">
        <v>MENDOZA ZAMORA WALTER MANUEL</v>
      </c>
      <c r="EU476" t="str">
        <v>MOLINA CEVALLOS MARIA LORENA</v>
      </c>
      <c r="EV476" t="str">
        <v>MURILLO DELGADO ISAAC GABRIEL</v>
      </c>
      <c r="EW476" t="str">
        <v>ANGULO MURILLO NAVIRA GISSELA</v>
      </c>
      <c r="EX476" t="str">
        <v>OCHOA SOLEDISPA NESTOR IVAN</v>
      </c>
      <c r="EY476" t="str">
        <v>PARRAGA FRANCO SILVANA MARIELA</v>
      </c>
      <c r="EZ476" t="str">
        <v>PINARGOTE VASQUEZ NANCY FABIOLA</v>
      </c>
      <c r="FA476" t="str">
        <v>REYES VELEZ PEDRO ENRIQUE</v>
      </c>
      <c r="FB476" t="str">
        <v>SAN ANDRES HORMAZA DALLAS CECILIA</v>
      </c>
      <c r="FC476" t="str">
        <v>SORNOZA ZAMORA JUAN CARLOS</v>
      </c>
      <c r="FD476" t="str">
        <v>TOMALA PINTO JESUS JACINTO</v>
      </c>
      <c r="FE476" t="str">
        <v>VALLE JARAMILLO SILVIA ARACELY</v>
      </c>
      <c r="FF476" t="str">
        <v>VELÁSQUEZ BRAVO IRMA KATHERINE</v>
      </c>
      <c r="FG476" t="str">
        <v>VELEZ MENDOZA LAYSY VALERIA</v>
      </c>
      <c r="FH476" t="str">
        <v>VINUEZA TELLO SHIRLEY ELIZABETH</v>
      </c>
      <c r="FI476" t="str">
        <v>ZAMBRANO ALCIVAR NILDA ISABEL</v>
      </c>
      <c r="FJ476" t="str">
        <v>ZAMBRANO LOOR RITA MAYDA</v>
      </c>
      <c r="FK476" t="str">
        <v>ZAMBRANO VERA MONICA JANETH</v>
      </c>
      <c r="FL476" t="str">
        <v>VERA DELGADO BRYAN ADRIÁN</v>
      </c>
      <c r="FM476" t="str">
        <v>MORAN GONZALES DAVID RENATO</v>
      </c>
      <c r="FN476">
        <v>0</v>
      </c>
    </row>
    <row r="477" spans="1:170" ht="20.25" customHeight="1">
      <c r="A477" s="4" t="str" cm="1">
        <f t="array" ref="A477">TRANSPOSE(_xlfn.UNIQUE(_xlfn._xlws.FILTER(MAE_ASIGNATURA[ID_NIVEL],MAE_ASIGNATURA[ID_CARRERA]=ASIGNACION!$C477,"No existe información")))</f>
        <v>No existe información</v>
      </c>
      <c r="S477" s="4" t="str" cm="1">
        <f t="array" ref="S477">TRANSPOSE(_xlfn.UNIQUE(_xlfn._xlws.FILTER(MAE_ASIGNATURA[NOM_ASIG],(MAE_ASIGNATURA[ID_NIVEL]=ASIGNACION!$D477)*(MAE_ASIGNATURA[ID_CARRERA]=ASIGNACION!$C477),"No existe información")))</f>
        <v>No existe información</v>
      </c>
      <c r="BD477" s="4" t="str" cm="1">
        <f t="array" ref="BD477">TRANSPOSE(_xlfn.UNIQUE(_xlfn._xlws.FILTER(DET_ASIG[DETALLADO],(DET_ASIG[ID_CARRERA]=ASIGNACION!$C477)*(DET_ASIG[NIVEL]=ASIGNACION!$D477)*(DET_ASIG[ID_ASIG]=ASIGNACION!$G477),"No existe información")))</f>
        <v>No existe información</v>
      </c>
      <c r="BQ477" s="5" t="str" cm="1">
        <f t="array" ref="BQ477">IFERROR(
    TRANSPOSE(
        _xlfn.UNIQUE(
            _xlfn._xlws.FILTER(MAESTRIA_DETALLADO[MAESTRIA],
                ISNUMBER(MATCH(MAESTRIA_DETALLADO[CAMPO_DETALLADO],
                BD477:BP477,0))
            )
        )
    ),IF(BD477="ACTIVIDAD","DOCENCIA",""))</f>
        <v/>
      </c>
      <c r="EA477" s="5" t="str" cm="1">
        <f t="array" ref="EA477:FN477">IF(
    ASIGNACION!I477="SI",
    IFERROR(
        TRANSPOSE(
            _xlfn.UNIQUE(
                _xlfn._xlws.FILTER(EDU_DOCENTE[NOMBRE_DOCENTE],
                    ISNUMBER(MATCH(EDU_DOCENTE[MAESTRIA],
                    BQ477:DY477,0))
                )
            )
        ),
        ""
    ),
    TRANSPOSE(
        _xlfn.UNIQUE(EDU_DOCENTE[NOMBRE_DOCENTE]
        )
    )
)</f>
        <v>ALCIVAR CEDEÑO BEATRIZ ISABEL</v>
      </c>
      <c r="EB477" t="str">
        <v>ALCIVAR VERA GEMA MICHELLE</v>
      </c>
      <c r="EC477" t="str">
        <v>ARAUZ CHAVEZ MARIO ROBERTO</v>
      </c>
      <c r="ED477" t="str">
        <v>BAILON LOURIDO WALTER ALBERTO</v>
      </c>
      <c r="EE477" t="str">
        <v>CALDERERO VILLAGOMEZ ERICK ANTONIO</v>
      </c>
      <c r="EF477" t="str">
        <v>CASTILLO GARCIA PAOLA GERMANIA</v>
      </c>
      <c r="EG477" t="str">
        <v>CEDEÑO CHOEZ PEDRO JAVIER</v>
      </c>
      <c r="EH477" t="str">
        <v>CEVALLOS HOPPE JUAN CARLOS</v>
      </c>
      <c r="EI477" t="str">
        <v>DELGADO CHAVEZ MARIA IRASEMA</v>
      </c>
      <c r="EJ477" t="str">
        <v>DUARTE VALENCIA CRISTHIAN DARIO</v>
      </c>
      <c r="EK477" t="str">
        <v>FORTTY BARBERAN DENNY ALEXANDER</v>
      </c>
      <c r="EL477" t="str">
        <v>GUTIERREZ ZAMBRANO CARMEN EBELINA</v>
      </c>
      <c r="EM477" t="str">
        <v>INTRIAGO MOLINA GEMA VALERIA</v>
      </c>
      <c r="EN477" t="str">
        <v>LINO VELEZ LEONEL LIVINGTON</v>
      </c>
      <c r="EO477" t="str">
        <v>LOOR ALCIVAR MARIA ILIANA</v>
      </c>
      <c r="EP477" t="str">
        <v>LOOR MIELES TANIA JACQUELINE</v>
      </c>
      <c r="EQ477" t="str">
        <v>LOOR SOLORZANO ROSA MARIA</v>
      </c>
      <c r="ER477" t="str">
        <v>LOPEZ DELGADO RONALD MAURICIO</v>
      </c>
      <c r="ES477" t="str">
        <v>MACIAS VALENCIA DAVID GABRIEL</v>
      </c>
      <c r="ET477" t="str">
        <v>MENDOZA ZAMORA WALTER MANUEL</v>
      </c>
      <c r="EU477" t="str">
        <v>MOLINA CEVALLOS MARIA LORENA</v>
      </c>
      <c r="EV477" t="str">
        <v>MURILLO DELGADO ISAAC GABRIEL</v>
      </c>
      <c r="EW477" t="str">
        <v>ANGULO MURILLO NAVIRA GISSELA</v>
      </c>
      <c r="EX477" t="str">
        <v>OCHOA SOLEDISPA NESTOR IVAN</v>
      </c>
      <c r="EY477" t="str">
        <v>PARRAGA FRANCO SILVANA MARIELA</v>
      </c>
      <c r="EZ477" t="str">
        <v>PINARGOTE VASQUEZ NANCY FABIOLA</v>
      </c>
      <c r="FA477" t="str">
        <v>REYES VELEZ PEDRO ENRIQUE</v>
      </c>
      <c r="FB477" t="str">
        <v>SAN ANDRES HORMAZA DALLAS CECILIA</v>
      </c>
      <c r="FC477" t="str">
        <v>SORNOZA ZAMORA JUAN CARLOS</v>
      </c>
      <c r="FD477" t="str">
        <v>TOMALA PINTO JESUS JACINTO</v>
      </c>
      <c r="FE477" t="str">
        <v>VALLE JARAMILLO SILVIA ARACELY</v>
      </c>
      <c r="FF477" t="str">
        <v>VELÁSQUEZ BRAVO IRMA KATHERINE</v>
      </c>
      <c r="FG477" t="str">
        <v>VELEZ MENDOZA LAYSY VALERIA</v>
      </c>
      <c r="FH477" t="str">
        <v>VINUEZA TELLO SHIRLEY ELIZABETH</v>
      </c>
      <c r="FI477" t="str">
        <v>ZAMBRANO ALCIVAR NILDA ISABEL</v>
      </c>
      <c r="FJ477" t="str">
        <v>ZAMBRANO LOOR RITA MAYDA</v>
      </c>
      <c r="FK477" t="str">
        <v>ZAMBRANO VERA MONICA JANETH</v>
      </c>
      <c r="FL477" t="str">
        <v>VERA DELGADO BRYAN ADRIÁN</v>
      </c>
      <c r="FM477" t="str">
        <v>MORAN GONZALES DAVID RENATO</v>
      </c>
      <c r="FN477">
        <v>0</v>
      </c>
    </row>
    <row r="478" spans="1:170" ht="20.25" customHeight="1">
      <c r="A478" s="4" t="str" cm="1">
        <f t="array" ref="A478">TRANSPOSE(_xlfn.UNIQUE(_xlfn._xlws.FILTER(MAE_ASIGNATURA[ID_NIVEL],MAE_ASIGNATURA[ID_CARRERA]=ASIGNACION!$C478,"No existe información")))</f>
        <v>No existe información</v>
      </c>
      <c r="S478" s="4" t="str" cm="1">
        <f t="array" ref="S478">TRANSPOSE(_xlfn.UNIQUE(_xlfn._xlws.FILTER(MAE_ASIGNATURA[NOM_ASIG],(MAE_ASIGNATURA[ID_NIVEL]=ASIGNACION!$D478)*(MAE_ASIGNATURA[ID_CARRERA]=ASIGNACION!$C478),"No existe información")))</f>
        <v>No existe información</v>
      </c>
      <c r="BD478" s="4" t="str" cm="1">
        <f t="array" ref="BD478">TRANSPOSE(_xlfn.UNIQUE(_xlfn._xlws.FILTER(DET_ASIG[DETALLADO],(DET_ASIG[ID_CARRERA]=ASIGNACION!$C478)*(DET_ASIG[NIVEL]=ASIGNACION!$D478)*(DET_ASIG[ID_ASIG]=ASIGNACION!$G478),"No existe información")))</f>
        <v>No existe información</v>
      </c>
      <c r="BQ478" s="5" t="str" cm="1">
        <f t="array" ref="BQ478">IFERROR(
    TRANSPOSE(
        _xlfn.UNIQUE(
            _xlfn._xlws.FILTER(MAESTRIA_DETALLADO[MAESTRIA],
                ISNUMBER(MATCH(MAESTRIA_DETALLADO[CAMPO_DETALLADO],
                BD478:BP478,0))
            )
        )
    ),IF(BD478="ACTIVIDAD","DOCENCIA",""))</f>
        <v/>
      </c>
      <c r="EA478" s="5" t="str" cm="1">
        <f t="array" ref="EA478:FN478">IF(
    ASIGNACION!I478="SI",
    IFERROR(
        TRANSPOSE(
            _xlfn.UNIQUE(
                _xlfn._xlws.FILTER(EDU_DOCENTE[NOMBRE_DOCENTE],
                    ISNUMBER(MATCH(EDU_DOCENTE[MAESTRIA],
                    BQ478:DY478,0))
                )
            )
        ),
        ""
    ),
    TRANSPOSE(
        _xlfn.UNIQUE(EDU_DOCENTE[NOMBRE_DOCENTE]
        )
    )
)</f>
        <v>ALCIVAR CEDEÑO BEATRIZ ISABEL</v>
      </c>
      <c r="EB478" t="str">
        <v>ALCIVAR VERA GEMA MICHELLE</v>
      </c>
      <c r="EC478" t="str">
        <v>ARAUZ CHAVEZ MARIO ROBERTO</v>
      </c>
      <c r="ED478" t="str">
        <v>BAILON LOURIDO WALTER ALBERTO</v>
      </c>
      <c r="EE478" t="str">
        <v>CALDERERO VILLAGOMEZ ERICK ANTONIO</v>
      </c>
      <c r="EF478" t="str">
        <v>CASTILLO GARCIA PAOLA GERMANIA</v>
      </c>
      <c r="EG478" t="str">
        <v>CEDEÑO CHOEZ PEDRO JAVIER</v>
      </c>
      <c r="EH478" t="str">
        <v>CEVALLOS HOPPE JUAN CARLOS</v>
      </c>
      <c r="EI478" t="str">
        <v>DELGADO CHAVEZ MARIA IRASEMA</v>
      </c>
      <c r="EJ478" t="str">
        <v>DUARTE VALENCIA CRISTHIAN DARIO</v>
      </c>
      <c r="EK478" t="str">
        <v>FORTTY BARBERAN DENNY ALEXANDER</v>
      </c>
      <c r="EL478" t="str">
        <v>GUTIERREZ ZAMBRANO CARMEN EBELINA</v>
      </c>
      <c r="EM478" t="str">
        <v>INTRIAGO MOLINA GEMA VALERIA</v>
      </c>
      <c r="EN478" t="str">
        <v>LINO VELEZ LEONEL LIVINGTON</v>
      </c>
      <c r="EO478" t="str">
        <v>LOOR ALCIVAR MARIA ILIANA</v>
      </c>
      <c r="EP478" t="str">
        <v>LOOR MIELES TANIA JACQUELINE</v>
      </c>
      <c r="EQ478" t="str">
        <v>LOOR SOLORZANO ROSA MARIA</v>
      </c>
      <c r="ER478" t="str">
        <v>LOPEZ DELGADO RONALD MAURICIO</v>
      </c>
      <c r="ES478" t="str">
        <v>MACIAS VALENCIA DAVID GABRIEL</v>
      </c>
      <c r="ET478" t="str">
        <v>MENDOZA ZAMORA WALTER MANUEL</v>
      </c>
      <c r="EU478" t="str">
        <v>MOLINA CEVALLOS MARIA LORENA</v>
      </c>
      <c r="EV478" t="str">
        <v>MURILLO DELGADO ISAAC GABRIEL</v>
      </c>
      <c r="EW478" t="str">
        <v>ANGULO MURILLO NAVIRA GISSELA</v>
      </c>
      <c r="EX478" t="str">
        <v>OCHOA SOLEDISPA NESTOR IVAN</v>
      </c>
      <c r="EY478" t="str">
        <v>PARRAGA FRANCO SILVANA MARIELA</v>
      </c>
      <c r="EZ478" t="str">
        <v>PINARGOTE VASQUEZ NANCY FABIOLA</v>
      </c>
      <c r="FA478" t="str">
        <v>REYES VELEZ PEDRO ENRIQUE</v>
      </c>
      <c r="FB478" t="str">
        <v>SAN ANDRES HORMAZA DALLAS CECILIA</v>
      </c>
      <c r="FC478" t="str">
        <v>SORNOZA ZAMORA JUAN CARLOS</v>
      </c>
      <c r="FD478" t="str">
        <v>TOMALA PINTO JESUS JACINTO</v>
      </c>
      <c r="FE478" t="str">
        <v>VALLE JARAMILLO SILVIA ARACELY</v>
      </c>
      <c r="FF478" t="str">
        <v>VELÁSQUEZ BRAVO IRMA KATHERINE</v>
      </c>
      <c r="FG478" t="str">
        <v>VELEZ MENDOZA LAYSY VALERIA</v>
      </c>
      <c r="FH478" t="str">
        <v>VINUEZA TELLO SHIRLEY ELIZABETH</v>
      </c>
      <c r="FI478" t="str">
        <v>ZAMBRANO ALCIVAR NILDA ISABEL</v>
      </c>
      <c r="FJ478" t="str">
        <v>ZAMBRANO LOOR RITA MAYDA</v>
      </c>
      <c r="FK478" t="str">
        <v>ZAMBRANO VERA MONICA JANETH</v>
      </c>
      <c r="FL478" t="str">
        <v>VERA DELGADO BRYAN ADRIÁN</v>
      </c>
      <c r="FM478" t="str">
        <v>MORAN GONZALES DAVID RENATO</v>
      </c>
      <c r="FN478">
        <v>0</v>
      </c>
    </row>
    <row r="479" spans="1:170" ht="20.25" customHeight="1">
      <c r="A479" s="4" t="str" cm="1">
        <f t="array" ref="A479">TRANSPOSE(_xlfn.UNIQUE(_xlfn._xlws.FILTER(MAE_ASIGNATURA[ID_NIVEL],MAE_ASIGNATURA[ID_CARRERA]=ASIGNACION!$C479,"No existe información")))</f>
        <v>No existe información</v>
      </c>
      <c r="S479" s="4" t="str" cm="1">
        <f t="array" ref="S479">TRANSPOSE(_xlfn.UNIQUE(_xlfn._xlws.FILTER(MAE_ASIGNATURA[NOM_ASIG],(MAE_ASIGNATURA[ID_NIVEL]=ASIGNACION!$D479)*(MAE_ASIGNATURA[ID_CARRERA]=ASIGNACION!$C479),"No existe información")))</f>
        <v>No existe información</v>
      </c>
      <c r="BD479" s="4" t="str" cm="1">
        <f t="array" ref="BD479">TRANSPOSE(_xlfn.UNIQUE(_xlfn._xlws.FILTER(DET_ASIG[DETALLADO],(DET_ASIG[ID_CARRERA]=ASIGNACION!$C479)*(DET_ASIG[NIVEL]=ASIGNACION!$D479)*(DET_ASIG[ID_ASIG]=ASIGNACION!$G479),"No existe información")))</f>
        <v>No existe información</v>
      </c>
      <c r="BQ479" s="5" t="str" cm="1">
        <f t="array" ref="BQ479">IFERROR(
    TRANSPOSE(
        _xlfn.UNIQUE(
            _xlfn._xlws.FILTER(MAESTRIA_DETALLADO[MAESTRIA],
                ISNUMBER(MATCH(MAESTRIA_DETALLADO[CAMPO_DETALLADO],
                BD479:BP479,0))
            )
        )
    ),IF(BD479="ACTIVIDAD","DOCENCIA",""))</f>
        <v/>
      </c>
      <c r="EA479" s="5" t="str" cm="1">
        <f t="array" ref="EA479:FN479">IF(
    ASIGNACION!I479="SI",
    IFERROR(
        TRANSPOSE(
            _xlfn.UNIQUE(
                _xlfn._xlws.FILTER(EDU_DOCENTE[NOMBRE_DOCENTE],
                    ISNUMBER(MATCH(EDU_DOCENTE[MAESTRIA],
                    BQ479:DY479,0))
                )
            )
        ),
        ""
    ),
    TRANSPOSE(
        _xlfn.UNIQUE(EDU_DOCENTE[NOMBRE_DOCENTE]
        )
    )
)</f>
        <v>ALCIVAR CEDEÑO BEATRIZ ISABEL</v>
      </c>
      <c r="EB479" t="str">
        <v>ALCIVAR VERA GEMA MICHELLE</v>
      </c>
      <c r="EC479" t="str">
        <v>ARAUZ CHAVEZ MARIO ROBERTO</v>
      </c>
      <c r="ED479" t="str">
        <v>BAILON LOURIDO WALTER ALBERTO</v>
      </c>
      <c r="EE479" t="str">
        <v>CALDERERO VILLAGOMEZ ERICK ANTONIO</v>
      </c>
      <c r="EF479" t="str">
        <v>CASTILLO GARCIA PAOLA GERMANIA</v>
      </c>
      <c r="EG479" t="str">
        <v>CEDEÑO CHOEZ PEDRO JAVIER</v>
      </c>
      <c r="EH479" t="str">
        <v>CEVALLOS HOPPE JUAN CARLOS</v>
      </c>
      <c r="EI479" t="str">
        <v>DELGADO CHAVEZ MARIA IRASEMA</v>
      </c>
      <c r="EJ479" t="str">
        <v>DUARTE VALENCIA CRISTHIAN DARIO</v>
      </c>
      <c r="EK479" t="str">
        <v>FORTTY BARBERAN DENNY ALEXANDER</v>
      </c>
      <c r="EL479" t="str">
        <v>GUTIERREZ ZAMBRANO CARMEN EBELINA</v>
      </c>
      <c r="EM479" t="str">
        <v>INTRIAGO MOLINA GEMA VALERIA</v>
      </c>
      <c r="EN479" t="str">
        <v>LINO VELEZ LEONEL LIVINGTON</v>
      </c>
      <c r="EO479" t="str">
        <v>LOOR ALCIVAR MARIA ILIANA</v>
      </c>
      <c r="EP479" t="str">
        <v>LOOR MIELES TANIA JACQUELINE</v>
      </c>
      <c r="EQ479" t="str">
        <v>LOOR SOLORZANO ROSA MARIA</v>
      </c>
      <c r="ER479" t="str">
        <v>LOPEZ DELGADO RONALD MAURICIO</v>
      </c>
      <c r="ES479" t="str">
        <v>MACIAS VALENCIA DAVID GABRIEL</v>
      </c>
      <c r="ET479" t="str">
        <v>MENDOZA ZAMORA WALTER MANUEL</v>
      </c>
      <c r="EU479" t="str">
        <v>MOLINA CEVALLOS MARIA LORENA</v>
      </c>
      <c r="EV479" t="str">
        <v>MURILLO DELGADO ISAAC GABRIEL</v>
      </c>
      <c r="EW479" t="str">
        <v>ANGULO MURILLO NAVIRA GISSELA</v>
      </c>
      <c r="EX479" t="str">
        <v>OCHOA SOLEDISPA NESTOR IVAN</v>
      </c>
      <c r="EY479" t="str">
        <v>PARRAGA FRANCO SILVANA MARIELA</v>
      </c>
      <c r="EZ479" t="str">
        <v>PINARGOTE VASQUEZ NANCY FABIOLA</v>
      </c>
      <c r="FA479" t="str">
        <v>REYES VELEZ PEDRO ENRIQUE</v>
      </c>
      <c r="FB479" t="str">
        <v>SAN ANDRES HORMAZA DALLAS CECILIA</v>
      </c>
      <c r="FC479" t="str">
        <v>SORNOZA ZAMORA JUAN CARLOS</v>
      </c>
      <c r="FD479" t="str">
        <v>TOMALA PINTO JESUS JACINTO</v>
      </c>
      <c r="FE479" t="str">
        <v>VALLE JARAMILLO SILVIA ARACELY</v>
      </c>
      <c r="FF479" t="str">
        <v>VELÁSQUEZ BRAVO IRMA KATHERINE</v>
      </c>
      <c r="FG479" t="str">
        <v>VELEZ MENDOZA LAYSY VALERIA</v>
      </c>
      <c r="FH479" t="str">
        <v>VINUEZA TELLO SHIRLEY ELIZABETH</v>
      </c>
      <c r="FI479" t="str">
        <v>ZAMBRANO ALCIVAR NILDA ISABEL</v>
      </c>
      <c r="FJ479" t="str">
        <v>ZAMBRANO LOOR RITA MAYDA</v>
      </c>
      <c r="FK479" t="str">
        <v>ZAMBRANO VERA MONICA JANETH</v>
      </c>
      <c r="FL479" t="str">
        <v>VERA DELGADO BRYAN ADRIÁN</v>
      </c>
      <c r="FM479" t="str">
        <v>MORAN GONZALES DAVID RENATO</v>
      </c>
      <c r="FN479">
        <v>0</v>
      </c>
    </row>
    <row r="480" spans="1:170" ht="20.25" customHeight="1">
      <c r="A480" s="4" t="str" cm="1">
        <f t="array" ref="A480">TRANSPOSE(_xlfn.UNIQUE(_xlfn._xlws.FILTER(MAE_ASIGNATURA[ID_NIVEL],MAE_ASIGNATURA[ID_CARRERA]=ASIGNACION!$C480,"No existe información")))</f>
        <v>No existe información</v>
      </c>
      <c r="S480" s="4" t="str" cm="1">
        <f t="array" ref="S480">TRANSPOSE(_xlfn.UNIQUE(_xlfn._xlws.FILTER(MAE_ASIGNATURA[NOM_ASIG],(MAE_ASIGNATURA[ID_NIVEL]=ASIGNACION!$D480)*(MAE_ASIGNATURA[ID_CARRERA]=ASIGNACION!$C480),"No existe información")))</f>
        <v>No existe información</v>
      </c>
      <c r="BD480" s="4" t="str" cm="1">
        <f t="array" ref="BD480">TRANSPOSE(_xlfn.UNIQUE(_xlfn._xlws.FILTER(DET_ASIG[DETALLADO],(DET_ASIG[ID_CARRERA]=ASIGNACION!$C480)*(DET_ASIG[NIVEL]=ASIGNACION!$D480)*(DET_ASIG[ID_ASIG]=ASIGNACION!$G480),"No existe información")))</f>
        <v>No existe información</v>
      </c>
      <c r="BQ480" s="5" t="str" cm="1">
        <f t="array" ref="BQ480">IFERROR(
    TRANSPOSE(
        _xlfn.UNIQUE(
            _xlfn._xlws.FILTER(MAESTRIA_DETALLADO[MAESTRIA],
                ISNUMBER(MATCH(MAESTRIA_DETALLADO[CAMPO_DETALLADO],
                BD480:BP480,0))
            )
        )
    ),IF(BD480="ACTIVIDAD","DOCENCIA",""))</f>
        <v/>
      </c>
      <c r="EA480" s="5" t="str" cm="1">
        <f t="array" ref="EA480:FN480">IF(
    ASIGNACION!I480="SI",
    IFERROR(
        TRANSPOSE(
            _xlfn.UNIQUE(
                _xlfn._xlws.FILTER(EDU_DOCENTE[NOMBRE_DOCENTE],
                    ISNUMBER(MATCH(EDU_DOCENTE[MAESTRIA],
                    BQ480:DY480,0))
                )
            )
        ),
        ""
    ),
    TRANSPOSE(
        _xlfn.UNIQUE(EDU_DOCENTE[NOMBRE_DOCENTE]
        )
    )
)</f>
        <v>ALCIVAR CEDEÑO BEATRIZ ISABEL</v>
      </c>
      <c r="EB480" t="str">
        <v>ALCIVAR VERA GEMA MICHELLE</v>
      </c>
      <c r="EC480" t="str">
        <v>ARAUZ CHAVEZ MARIO ROBERTO</v>
      </c>
      <c r="ED480" t="str">
        <v>BAILON LOURIDO WALTER ALBERTO</v>
      </c>
      <c r="EE480" t="str">
        <v>CALDERERO VILLAGOMEZ ERICK ANTONIO</v>
      </c>
      <c r="EF480" t="str">
        <v>CASTILLO GARCIA PAOLA GERMANIA</v>
      </c>
      <c r="EG480" t="str">
        <v>CEDEÑO CHOEZ PEDRO JAVIER</v>
      </c>
      <c r="EH480" t="str">
        <v>CEVALLOS HOPPE JUAN CARLOS</v>
      </c>
      <c r="EI480" t="str">
        <v>DELGADO CHAVEZ MARIA IRASEMA</v>
      </c>
      <c r="EJ480" t="str">
        <v>DUARTE VALENCIA CRISTHIAN DARIO</v>
      </c>
      <c r="EK480" t="str">
        <v>FORTTY BARBERAN DENNY ALEXANDER</v>
      </c>
      <c r="EL480" t="str">
        <v>GUTIERREZ ZAMBRANO CARMEN EBELINA</v>
      </c>
      <c r="EM480" t="str">
        <v>INTRIAGO MOLINA GEMA VALERIA</v>
      </c>
      <c r="EN480" t="str">
        <v>LINO VELEZ LEONEL LIVINGTON</v>
      </c>
      <c r="EO480" t="str">
        <v>LOOR ALCIVAR MARIA ILIANA</v>
      </c>
      <c r="EP480" t="str">
        <v>LOOR MIELES TANIA JACQUELINE</v>
      </c>
      <c r="EQ480" t="str">
        <v>LOOR SOLORZANO ROSA MARIA</v>
      </c>
      <c r="ER480" t="str">
        <v>LOPEZ DELGADO RONALD MAURICIO</v>
      </c>
      <c r="ES480" t="str">
        <v>MACIAS VALENCIA DAVID GABRIEL</v>
      </c>
      <c r="ET480" t="str">
        <v>MENDOZA ZAMORA WALTER MANUEL</v>
      </c>
      <c r="EU480" t="str">
        <v>MOLINA CEVALLOS MARIA LORENA</v>
      </c>
      <c r="EV480" t="str">
        <v>MURILLO DELGADO ISAAC GABRIEL</v>
      </c>
      <c r="EW480" t="str">
        <v>ANGULO MURILLO NAVIRA GISSELA</v>
      </c>
      <c r="EX480" t="str">
        <v>OCHOA SOLEDISPA NESTOR IVAN</v>
      </c>
      <c r="EY480" t="str">
        <v>PARRAGA FRANCO SILVANA MARIELA</v>
      </c>
      <c r="EZ480" t="str">
        <v>PINARGOTE VASQUEZ NANCY FABIOLA</v>
      </c>
      <c r="FA480" t="str">
        <v>REYES VELEZ PEDRO ENRIQUE</v>
      </c>
      <c r="FB480" t="str">
        <v>SAN ANDRES HORMAZA DALLAS CECILIA</v>
      </c>
      <c r="FC480" t="str">
        <v>SORNOZA ZAMORA JUAN CARLOS</v>
      </c>
      <c r="FD480" t="str">
        <v>TOMALA PINTO JESUS JACINTO</v>
      </c>
      <c r="FE480" t="str">
        <v>VALLE JARAMILLO SILVIA ARACELY</v>
      </c>
      <c r="FF480" t="str">
        <v>VELÁSQUEZ BRAVO IRMA KATHERINE</v>
      </c>
      <c r="FG480" t="str">
        <v>VELEZ MENDOZA LAYSY VALERIA</v>
      </c>
      <c r="FH480" t="str">
        <v>VINUEZA TELLO SHIRLEY ELIZABETH</v>
      </c>
      <c r="FI480" t="str">
        <v>ZAMBRANO ALCIVAR NILDA ISABEL</v>
      </c>
      <c r="FJ480" t="str">
        <v>ZAMBRANO LOOR RITA MAYDA</v>
      </c>
      <c r="FK480" t="str">
        <v>ZAMBRANO VERA MONICA JANETH</v>
      </c>
      <c r="FL480" t="str">
        <v>VERA DELGADO BRYAN ADRIÁN</v>
      </c>
      <c r="FM480" t="str">
        <v>MORAN GONZALES DAVID RENATO</v>
      </c>
      <c r="FN480">
        <v>0</v>
      </c>
    </row>
    <row r="481" spans="1:170" ht="20.25" customHeight="1">
      <c r="A481" s="4" t="str" cm="1">
        <f t="array" ref="A481">TRANSPOSE(_xlfn.UNIQUE(_xlfn._xlws.FILTER(MAE_ASIGNATURA[ID_NIVEL],MAE_ASIGNATURA[ID_CARRERA]=ASIGNACION!$C481,"No existe información")))</f>
        <v>No existe información</v>
      </c>
      <c r="S481" s="4" t="str" cm="1">
        <f t="array" ref="S481">TRANSPOSE(_xlfn.UNIQUE(_xlfn._xlws.FILTER(MAE_ASIGNATURA[NOM_ASIG],(MAE_ASIGNATURA[ID_NIVEL]=ASIGNACION!$D481)*(MAE_ASIGNATURA[ID_CARRERA]=ASIGNACION!$C481),"No existe información")))</f>
        <v>No existe información</v>
      </c>
      <c r="BD481" s="4" t="str" cm="1">
        <f t="array" ref="BD481">TRANSPOSE(_xlfn.UNIQUE(_xlfn._xlws.FILTER(DET_ASIG[DETALLADO],(DET_ASIG[ID_CARRERA]=ASIGNACION!$C481)*(DET_ASIG[NIVEL]=ASIGNACION!$D481)*(DET_ASIG[ID_ASIG]=ASIGNACION!$G481),"No existe información")))</f>
        <v>No existe información</v>
      </c>
      <c r="BQ481" s="5" t="str" cm="1">
        <f t="array" ref="BQ481">IFERROR(
    TRANSPOSE(
        _xlfn.UNIQUE(
            _xlfn._xlws.FILTER(MAESTRIA_DETALLADO[MAESTRIA],
                ISNUMBER(MATCH(MAESTRIA_DETALLADO[CAMPO_DETALLADO],
                BD481:BP481,0))
            )
        )
    ),IF(BD481="ACTIVIDAD","DOCENCIA",""))</f>
        <v/>
      </c>
      <c r="EA481" s="5" t="str" cm="1">
        <f t="array" ref="EA481:FN481">IF(
    ASIGNACION!I481="SI",
    IFERROR(
        TRANSPOSE(
            _xlfn.UNIQUE(
                _xlfn._xlws.FILTER(EDU_DOCENTE[NOMBRE_DOCENTE],
                    ISNUMBER(MATCH(EDU_DOCENTE[MAESTRIA],
                    BQ481:DY481,0))
                )
            )
        ),
        ""
    ),
    TRANSPOSE(
        _xlfn.UNIQUE(EDU_DOCENTE[NOMBRE_DOCENTE]
        )
    )
)</f>
        <v>ALCIVAR CEDEÑO BEATRIZ ISABEL</v>
      </c>
      <c r="EB481" t="str">
        <v>ALCIVAR VERA GEMA MICHELLE</v>
      </c>
      <c r="EC481" t="str">
        <v>ARAUZ CHAVEZ MARIO ROBERTO</v>
      </c>
      <c r="ED481" t="str">
        <v>BAILON LOURIDO WALTER ALBERTO</v>
      </c>
      <c r="EE481" t="str">
        <v>CALDERERO VILLAGOMEZ ERICK ANTONIO</v>
      </c>
      <c r="EF481" t="str">
        <v>CASTILLO GARCIA PAOLA GERMANIA</v>
      </c>
      <c r="EG481" t="str">
        <v>CEDEÑO CHOEZ PEDRO JAVIER</v>
      </c>
      <c r="EH481" t="str">
        <v>CEVALLOS HOPPE JUAN CARLOS</v>
      </c>
      <c r="EI481" t="str">
        <v>DELGADO CHAVEZ MARIA IRASEMA</v>
      </c>
      <c r="EJ481" t="str">
        <v>DUARTE VALENCIA CRISTHIAN DARIO</v>
      </c>
      <c r="EK481" t="str">
        <v>FORTTY BARBERAN DENNY ALEXANDER</v>
      </c>
      <c r="EL481" t="str">
        <v>GUTIERREZ ZAMBRANO CARMEN EBELINA</v>
      </c>
      <c r="EM481" t="str">
        <v>INTRIAGO MOLINA GEMA VALERIA</v>
      </c>
      <c r="EN481" t="str">
        <v>LINO VELEZ LEONEL LIVINGTON</v>
      </c>
      <c r="EO481" t="str">
        <v>LOOR ALCIVAR MARIA ILIANA</v>
      </c>
      <c r="EP481" t="str">
        <v>LOOR MIELES TANIA JACQUELINE</v>
      </c>
      <c r="EQ481" t="str">
        <v>LOOR SOLORZANO ROSA MARIA</v>
      </c>
      <c r="ER481" t="str">
        <v>LOPEZ DELGADO RONALD MAURICIO</v>
      </c>
      <c r="ES481" t="str">
        <v>MACIAS VALENCIA DAVID GABRIEL</v>
      </c>
      <c r="ET481" t="str">
        <v>MENDOZA ZAMORA WALTER MANUEL</v>
      </c>
      <c r="EU481" t="str">
        <v>MOLINA CEVALLOS MARIA LORENA</v>
      </c>
      <c r="EV481" t="str">
        <v>MURILLO DELGADO ISAAC GABRIEL</v>
      </c>
      <c r="EW481" t="str">
        <v>ANGULO MURILLO NAVIRA GISSELA</v>
      </c>
      <c r="EX481" t="str">
        <v>OCHOA SOLEDISPA NESTOR IVAN</v>
      </c>
      <c r="EY481" t="str">
        <v>PARRAGA FRANCO SILVANA MARIELA</v>
      </c>
      <c r="EZ481" t="str">
        <v>PINARGOTE VASQUEZ NANCY FABIOLA</v>
      </c>
      <c r="FA481" t="str">
        <v>REYES VELEZ PEDRO ENRIQUE</v>
      </c>
      <c r="FB481" t="str">
        <v>SAN ANDRES HORMAZA DALLAS CECILIA</v>
      </c>
      <c r="FC481" t="str">
        <v>SORNOZA ZAMORA JUAN CARLOS</v>
      </c>
      <c r="FD481" t="str">
        <v>TOMALA PINTO JESUS JACINTO</v>
      </c>
      <c r="FE481" t="str">
        <v>VALLE JARAMILLO SILVIA ARACELY</v>
      </c>
      <c r="FF481" t="str">
        <v>VELÁSQUEZ BRAVO IRMA KATHERINE</v>
      </c>
      <c r="FG481" t="str">
        <v>VELEZ MENDOZA LAYSY VALERIA</v>
      </c>
      <c r="FH481" t="str">
        <v>VINUEZA TELLO SHIRLEY ELIZABETH</v>
      </c>
      <c r="FI481" t="str">
        <v>ZAMBRANO ALCIVAR NILDA ISABEL</v>
      </c>
      <c r="FJ481" t="str">
        <v>ZAMBRANO LOOR RITA MAYDA</v>
      </c>
      <c r="FK481" t="str">
        <v>ZAMBRANO VERA MONICA JANETH</v>
      </c>
      <c r="FL481" t="str">
        <v>VERA DELGADO BRYAN ADRIÁN</v>
      </c>
      <c r="FM481" t="str">
        <v>MORAN GONZALES DAVID RENATO</v>
      </c>
      <c r="FN481">
        <v>0</v>
      </c>
    </row>
    <row r="482" spans="1:170" ht="20.25" customHeight="1">
      <c r="A482" s="4" t="str" cm="1">
        <f t="array" ref="A482">TRANSPOSE(_xlfn.UNIQUE(_xlfn._xlws.FILTER(MAE_ASIGNATURA[ID_NIVEL],MAE_ASIGNATURA[ID_CARRERA]=ASIGNACION!$C482,"No existe información")))</f>
        <v>No existe información</v>
      </c>
      <c r="S482" s="4" t="str" cm="1">
        <f t="array" ref="S482">TRANSPOSE(_xlfn.UNIQUE(_xlfn._xlws.FILTER(MAE_ASIGNATURA[NOM_ASIG],(MAE_ASIGNATURA[ID_NIVEL]=ASIGNACION!$D482)*(MAE_ASIGNATURA[ID_CARRERA]=ASIGNACION!$C482),"No existe información")))</f>
        <v>No existe información</v>
      </c>
      <c r="BD482" s="4" t="str" cm="1">
        <f t="array" ref="BD482">TRANSPOSE(_xlfn.UNIQUE(_xlfn._xlws.FILTER(DET_ASIG[DETALLADO],(DET_ASIG[ID_CARRERA]=ASIGNACION!$C482)*(DET_ASIG[NIVEL]=ASIGNACION!$D482)*(DET_ASIG[ID_ASIG]=ASIGNACION!$G482),"No existe información")))</f>
        <v>No existe información</v>
      </c>
      <c r="BQ482" s="5" t="str" cm="1">
        <f t="array" ref="BQ482">IFERROR(
    TRANSPOSE(
        _xlfn.UNIQUE(
            _xlfn._xlws.FILTER(MAESTRIA_DETALLADO[MAESTRIA],
                ISNUMBER(MATCH(MAESTRIA_DETALLADO[CAMPO_DETALLADO],
                BD482:BP482,0))
            )
        )
    ),IF(BD482="ACTIVIDAD","DOCENCIA",""))</f>
        <v/>
      </c>
      <c r="EA482" s="5" t="str" cm="1">
        <f t="array" ref="EA482:FN482">IF(
    ASIGNACION!I482="SI",
    IFERROR(
        TRANSPOSE(
            _xlfn.UNIQUE(
                _xlfn._xlws.FILTER(EDU_DOCENTE[NOMBRE_DOCENTE],
                    ISNUMBER(MATCH(EDU_DOCENTE[MAESTRIA],
                    BQ482:DY482,0))
                )
            )
        ),
        ""
    ),
    TRANSPOSE(
        _xlfn.UNIQUE(EDU_DOCENTE[NOMBRE_DOCENTE]
        )
    )
)</f>
        <v>ALCIVAR CEDEÑO BEATRIZ ISABEL</v>
      </c>
      <c r="EB482" t="str">
        <v>ALCIVAR VERA GEMA MICHELLE</v>
      </c>
      <c r="EC482" t="str">
        <v>ARAUZ CHAVEZ MARIO ROBERTO</v>
      </c>
      <c r="ED482" t="str">
        <v>BAILON LOURIDO WALTER ALBERTO</v>
      </c>
      <c r="EE482" t="str">
        <v>CALDERERO VILLAGOMEZ ERICK ANTONIO</v>
      </c>
      <c r="EF482" t="str">
        <v>CASTILLO GARCIA PAOLA GERMANIA</v>
      </c>
      <c r="EG482" t="str">
        <v>CEDEÑO CHOEZ PEDRO JAVIER</v>
      </c>
      <c r="EH482" t="str">
        <v>CEVALLOS HOPPE JUAN CARLOS</v>
      </c>
      <c r="EI482" t="str">
        <v>DELGADO CHAVEZ MARIA IRASEMA</v>
      </c>
      <c r="EJ482" t="str">
        <v>DUARTE VALENCIA CRISTHIAN DARIO</v>
      </c>
      <c r="EK482" t="str">
        <v>FORTTY BARBERAN DENNY ALEXANDER</v>
      </c>
      <c r="EL482" t="str">
        <v>GUTIERREZ ZAMBRANO CARMEN EBELINA</v>
      </c>
      <c r="EM482" t="str">
        <v>INTRIAGO MOLINA GEMA VALERIA</v>
      </c>
      <c r="EN482" t="str">
        <v>LINO VELEZ LEONEL LIVINGTON</v>
      </c>
      <c r="EO482" t="str">
        <v>LOOR ALCIVAR MARIA ILIANA</v>
      </c>
      <c r="EP482" t="str">
        <v>LOOR MIELES TANIA JACQUELINE</v>
      </c>
      <c r="EQ482" t="str">
        <v>LOOR SOLORZANO ROSA MARIA</v>
      </c>
      <c r="ER482" t="str">
        <v>LOPEZ DELGADO RONALD MAURICIO</v>
      </c>
      <c r="ES482" t="str">
        <v>MACIAS VALENCIA DAVID GABRIEL</v>
      </c>
      <c r="ET482" t="str">
        <v>MENDOZA ZAMORA WALTER MANUEL</v>
      </c>
      <c r="EU482" t="str">
        <v>MOLINA CEVALLOS MARIA LORENA</v>
      </c>
      <c r="EV482" t="str">
        <v>MURILLO DELGADO ISAAC GABRIEL</v>
      </c>
      <c r="EW482" t="str">
        <v>ANGULO MURILLO NAVIRA GISSELA</v>
      </c>
      <c r="EX482" t="str">
        <v>OCHOA SOLEDISPA NESTOR IVAN</v>
      </c>
      <c r="EY482" t="str">
        <v>PARRAGA FRANCO SILVANA MARIELA</v>
      </c>
      <c r="EZ482" t="str">
        <v>PINARGOTE VASQUEZ NANCY FABIOLA</v>
      </c>
      <c r="FA482" t="str">
        <v>REYES VELEZ PEDRO ENRIQUE</v>
      </c>
      <c r="FB482" t="str">
        <v>SAN ANDRES HORMAZA DALLAS CECILIA</v>
      </c>
      <c r="FC482" t="str">
        <v>SORNOZA ZAMORA JUAN CARLOS</v>
      </c>
      <c r="FD482" t="str">
        <v>TOMALA PINTO JESUS JACINTO</v>
      </c>
      <c r="FE482" t="str">
        <v>VALLE JARAMILLO SILVIA ARACELY</v>
      </c>
      <c r="FF482" t="str">
        <v>VELÁSQUEZ BRAVO IRMA KATHERINE</v>
      </c>
      <c r="FG482" t="str">
        <v>VELEZ MENDOZA LAYSY VALERIA</v>
      </c>
      <c r="FH482" t="str">
        <v>VINUEZA TELLO SHIRLEY ELIZABETH</v>
      </c>
      <c r="FI482" t="str">
        <v>ZAMBRANO ALCIVAR NILDA ISABEL</v>
      </c>
      <c r="FJ482" t="str">
        <v>ZAMBRANO LOOR RITA MAYDA</v>
      </c>
      <c r="FK482" t="str">
        <v>ZAMBRANO VERA MONICA JANETH</v>
      </c>
      <c r="FL482" t="str">
        <v>VERA DELGADO BRYAN ADRIÁN</v>
      </c>
      <c r="FM482" t="str">
        <v>MORAN GONZALES DAVID RENATO</v>
      </c>
      <c r="FN482">
        <v>0</v>
      </c>
    </row>
    <row r="483" spans="1:170" ht="20.25" customHeight="1">
      <c r="A483" s="4" t="str" cm="1">
        <f t="array" ref="A483">TRANSPOSE(_xlfn.UNIQUE(_xlfn._xlws.FILTER(MAE_ASIGNATURA[ID_NIVEL],MAE_ASIGNATURA[ID_CARRERA]=ASIGNACION!$C483,"No existe información")))</f>
        <v>No existe información</v>
      </c>
      <c r="S483" s="4" t="str" cm="1">
        <f t="array" ref="S483">TRANSPOSE(_xlfn.UNIQUE(_xlfn._xlws.FILTER(MAE_ASIGNATURA[NOM_ASIG],(MAE_ASIGNATURA[ID_NIVEL]=ASIGNACION!$D483)*(MAE_ASIGNATURA[ID_CARRERA]=ASIGNACION!$C483),"No existe información")))</f>
        <v>No existe información</v>
      </c>
      <c r="BD483" s="4" t="str" cm="1">
        <f t="array" ref="BD483">TRANSPOSE(_xlfn.UNIQUE(_xlfn._xlws.FILTER(DET_ASIG[DETALLADO],(DET_ASIG[ID_CARRERA]=ASIGNACION!$C483)*(DET_ASIG[NIVEL]=ASIGNACION!$D483)*(DET_ASIG[ID_ASIG]=ASIGNACION!$G483),"No existe información")))</f>
        <v>No existe información</v>
      </c>
      <c r="BQ483" s="5" t="str" cm="1">
        <f t="array" ref="BQ483">IFERROR(
    TRANSPOSE(
        _xlfn.UNIQUE(
            _xlfn._xlws.FILTER(MAESTRIA_DETALLADO[MAESTRIA],
                ISNUMBER(MATCH(MAESTRIA_DETALLADO[CAMPO_DETALLADO],
                BD483:BP483,0))
            )
        )
    ),IF(BD483="ACTIVIDAD","DOCENCIA",""))</f>
        <v/>
      </c>
      <c r="EA483" s="5" t="str" cm="1">
        <f t="array" ref="EA483:FN483">IF(
    ASIGNACION!I483="SI",
    IFERROR(
        TRANSPOSE(
            _xlfn.UNIQUE(
                _xlfn._xlws.FILTER(EDU_DOCENTE[NOMBRE_DOCENTE],
                    ISNUMBER(MATCH(EDU_DOCENTE[MAESTRIA],
                    BQ483:DY483,0))
                )
            )
        ),
        ""
    ),
    TRANSPOSE(
        _xlfn.UNIQUE(EDU_DOCENTE[NOMBRE_DOCENTE]
        )
    )
)</f>
        <v>ALCIVAR CEDEÑO BEATRIZ ISABEL</v>
      </c>
      <c r="EB483" t="str">
        <v>ALCIVAR VERA GEMA MICHELLE</v>
      </c>
      <c r="EC483" t="str">
        <v>ARAUZ CHAVEZ MARIO ROBERTO</v>
      </c>
      <c r="ED483" t="str">
        <v>BAILON LOURIDO WALTER ALBERTO</v>
      </c>
      <c r="EE483" t="str">
        <v>CALDERERO VILLAGOMEZ ERICK ANTONIO</v>
      </c>
      <c r="EF483" t="str">
        <v>CASTILLO GARCIA PAOLA GERMANIA</v>
      </c>
      <c r="EG483" t="str">
        <v>CEDEÑO CHOEZ PEDRO JAVIER</v>
      </c>
      <c r="EH483" t="str">
        <v>CEVALLOS HOPPE JUAN CARLOS</v>
      </c>
      <c r="EI483" t="str">
        <v>DELGADO CHAVEZ MARIA IRASEMA</v>
      </c>
      <c r="EJ483" t="str">
        <v>DUARTE VALENCIA CRISTHIAN DARIO</v>
      </c>
      <c r="EK483" t="str">
        <v>FORTTY BARBERAN DENNY ALEXANDER</v>
      </c>
      <c r="EL483" t="str">
        <v>GUTIERREZ ZAMBRANO CARMEN EBELINA</v>
      </c>
      <c r="EM483" t="str">
        <v>INTRIAGO MOLINA GEMA VALERIA</v>
      </c>
      <c r="EN483" t="str">
        <v>LINO VELEZ LEONEL LIVINGTON</v>
      </c>
      <c r="EO483" t="str">
        <v>LOOR ALCIVAR MARIA ILIANA</v>
      </c>
      <c r="EP483" t="str">
        <v>LOOR MIELES TANIA JACQUELINE</v>
      </c>
      <c r="EQ483" t="str">
        <v>LOOR SOLORZANO ROSA MARIA</v>
      </c>
      <c r="ER483" t="str">
        <v>LOPEZ DELGADO RONALD MAURICIO</v>
      </c>
      <c r="ES483" t="str">
        <v>MACIAS VALENCIA DAVID GABRIEL</v>
      </c>
      <c r="ET483" t="str">
        <v>MENDOZA ZAMORA WALTER MANUEL</v>
      </c>
      <c r="EU483" t="str">
        <v>MOLINA CEVALLOS MARIA LORENA</v>
      </c>
      <c r="EV483" t="str">
        <v>MURILLO DELGADO ISAAC GABRIEL</v>
      </c>
      <c r="EW483" t="str">
        <v>ANGULO MURILLO NAVIRA GISSELA</v>
      </c>
      <c r="EX483" t="str">
        <v>OCHOA SOLEDISPA NESTOR IVAN</v>
      </c>
      <c r="EY483" t="str">
        <v>PARRAGA FRANCO SILVANA MARIELA</v>
      </c>
      <c r="EZ483" t="str">
        <v>PINARGOTE VASQUEZ NANCY FABIOLA</v>
      </c>
      <c r="FA483" t="str">
        <v>REYES VELEZ PEDRO ENRIQUE</v>
      </c>
      <c r="FB483" t="str">
        <v>SAN ANDRES HORMAZA DALLAS CECILIA</v>
      </c>
      <c r="FC483" t="str">
        <v>SORNOZA ZAMORA JUAN CARLOS</v>
      </c>
      <c r="FD483" t="str">
        <v>TOMALA PINTO JESUS JACINTO</v>
      </c>
      <c r="FE483" t="str">
        <v>VALLE JARAMILLO SILVIA ARACELY</v>
      </c>
      <c r="FF483" t="str">
        <v>VELÁSQUEZ BRAVO IRMA KATHERINE</v>
      </c>
      <c r="FG483" t="str">
        <v>VELEZ MENDOZA LAYSY VALERIA</v>
      </c>
      <c r="FH483" t="str">
        <v>VINUEZA TELLO SHIRLEY ELIZABETH</v>
      </c>
      <c r="FI483" t="str">
        <v>ZAMBRANO ALCIVAR NILDA ISABEL</v>
      </c>
      <c r="FJ483" t="str">
        <v>ZAMBRANO LOOR RITA MAYDA</v>
      </c>
      <c r="FK483" t="str">
        <v>ZAMBRANO VERA MONICA JANETH</v>
      </c>
      <c r="FL483" t="str">
        <v>VERA DELGADO BRYAN ADRIÁN</v>
      </c>
      <c r="FM483" t="str">
        <v>MORAN GONZALES DAVID RENATO</v>
      </c>
      <c r="FN483">
        <v>0</v>
      </c>
    </row>
    <row r="484" spans="1:170" ht="20.25" customHeight="1">
      <c r="A484" s="4" t="str" cm="1">
        <f t="array" ref="A484">TRANSPOSE(_xlfn.UNIQUE(_xlfn._xlws.FILTER(MAE_ASIGNATURA[ID_NIVEL],MAE_ASIGNATURA[ID_CARRERA]=ASIGNACION!$C484,"No existe información")))</f>
        <v>No existe información</v>
      </c>
      <c r="S484" s="4" t="str" cm="1">
        <f t="array" ref="S484">TRANSPOSE(_xlfn.UNIQUE(_xlfn._xlws.FILTER(MAE_ASIGNATURA[NOM_ASIG],(MAE_ASIGNATURA[ID_NIVEL]=ASIGNACION!$D484)*(MAE_ASIGNATURA[ID_CARRERA]=ASIGNACION!$C484),"No existe información")))</f>
        <v>No existe información</v>
      </c>
      <c r="BD484" s="4" t="str" cm="1">
        <f t="array" ref="BD484">TRANSPOSE(_xlfn.UNIQUE(_xlfn._xlws.FILTER(DET_ASIG[DETALLADO],(DET_ASIG[ID_CARRERA]=ASIGNACION!$C484)*(DET_ASIG[NIVEL]=ASIGNACION!$D484)*(DET_ASIG[ID_ASIG]=ASIGNACION!$G484),"No existe información")))</f>
        <v>No existe información</v>
      </c>
      <c r="BQ484" s="5" t="str" cm="1">
        <f t="array" ref="BQ484">IFERROR(
    TRANSPOSE(
        _xlfn.UNIQUE(
            _xlfn._xlws.FILTER(MAESTRIA_DETALLADO[MAESTRIA],
                ISNUMBER(MATCH(MAESTRIA_DETALLADO[CAMPO_DETALLADO],
                BD484:BP484,0))
            )
        )
    ),IF(BD484="ACTIVIDAD","DOCENCIA",""))</f>
        <v/>
      </c>
      <c r="EA484" s="5" t="str" cm="1">
        <f t="array" ref="EA484:FN484">IF(
    ASIGNACION!I484="SI",
    IFERROR(
        TRANSPOSE(
            _xlfn.UNIQUE(
                _xlfn._xlws.FILTER(EDU_DOCENTE[NOMBRE_DOCENTE],
                    ISNUMBER(MATCH(EDU_DOCENTE[MAESTRIA],
                    BQ484:DY484,0))
                )
            )
        ),
        ""
    ),
    TRANSPOSE(
        _xlfn.UNIQUE(EDU_DOCENTE[NOMBRE_DOCENTE]
        )
    )
)</f>
        <v>ALCIVAR CEDEÑO BEATRIZ ISABEL</v>
      </c>
      <c r="EB484" t="str">
        <v>ALCIVAR VERA GEMA MICHELLE</v>
      </c>
      <c r="EC484" t="str">
        <v>ARAUZ CHAVEZ MARIO ROBERTO</v>
      </c>
      <c r="ED484" t="str">
        <v>BAILON LOURIDO WALTER ALBERTO</v>
      </c>
      <c r="EE484" t="str">
        <v>CALDERERO VILLAGOMEZ ERICK ANTONIO</v>
      </c>
      <c r="EF484" t="str">
        <v>CASTILLO GARCIA PAOLA GERMANIA</v>
      </c>
      <c r="EG484" t="str">
        <v>CEDEÑO CHOEZ PEDRO JAVIER</v>
      </c>
      <c r="EH484" t="str">
        <v>CEVALLOS HOPPE JUAN CARLOS</v>
      </c>
      <c r="EI484" t="str">
        <v>DELGADO CHAVEZ MARIA IRASEMA</v>
      </c>
      <c r="EJ484" t="str">
        <v>DUARTE VALENCIA CRISTHIAN DARIO</v>
      </c>
      <c r="EK484" t="str">
        <v>FORTTY BARBERAN DENNY ALEXANDER</v>
      </c>
      <c r="EL484" t="str">
        <v>GUTIERREZ ZAMBRANO CARMEN EBELINA</v>
      </c>
      <c r="EM484" t="str">
        <v>INTRIAGO MOLINA GEMA VALERIA</v>
      </c>
      <c r="EN484" t="str">
        <v>LINO VELEZ LEONEL LIVINGTON</v>
      </c>
      <c r="EO484" t="str">
        <v>LOOR ALCIVAR MARIA ILIANA</v>
      </c>
      <c r="EP484" t="str">
        <v>LOOR MIELES TANIA JACQUELINE</v>
      </c>
      <c r="EQ484" t="str">
        <v>LOOR SOLORZANO ROSA MARIA</v>
      </c>
      <c r="ER484" t="str">
        <v>LOPEZ DELGADO RONALD MAURICIO</v>
      </c>
      <c r="ES484" t="str">
        <v>MACIAS VALENCIA DAVID GABRIEL</v>
      </c>
      <c r="ET484" t="str">
        <v>MENDOZA ZAMORA WALTER MANUEL</v>
      </c>
      <c r="EU484" t="str">
        <v>MOLINA CEVALLOS MARIA LORENA</v>
      </c>
      <c r="EV484" t="str">
        <v>MURILLO DELGADO ISAAC GABRIEL</v>
      </c>
      <c r="EW484" t="str">
        <v>ANGULO MURILLO NAVIRA GISSELA</v>
      </c>
      <c r="EX484" t="str">
        <v>OCHOA SOLEDISPA NESTOR IVAN</v>
      </c>
      <c r="EY484" t="str">
        <v>PARRAGA FRANCO SILVANA MARIELA</v>
      </c>
      <c r="EZ484" t="str">
        <v>PINARGOTE VASQUEZ NANCY FABIOLA</v>
      </c>
      <c r="FA484" t="str">
        <v>REYES VELEZ PEDRO ENRIQUE</v>
      </c>
      <c r="FB484" t="str">
        <v>SAN ANDRES HORMAZA DALLAS CECILIA</v>
      </c>
      <c r="FC484" t="str">
        <v>SORNOZA ZAMORA JUAN CARLOS</v>
      </c>
      <c r="FD484" t="str">
        <v>TOMALA PINTO JESUS JACINTO</v>
      </c>
      <c r="FE484" t="str">
        <v>VALLE JARAMILLO SILVIA ARACELY</v>
      </c>
      <c r="FF484" t="str">
        <v>VELÁSQUEZ BRAVO IRMA KATHERINE</v>
      </c>
      <c r="FG484" t="str">
        <v>VELEZ MENDOZA LAYSY VALERIA</v>
      </c>
      <c r="FH484" t="str">
        <v>VINUEZA TELLO SHIRLEY ELIZABETH</v>
      </c>
      <c r="FI484" t="str">
        <v>ZAMBRANO ALCIVAR NILDA ISABEL</v>
      </c>
      <c r="FJ484" t="str">
        <v>ZAMBRANO LOOR RITA MAYDA</v>
      </c>
      <c r="FK484" t="str">
        <v>ZAMBRANO VERA MONICA JANETH</v>
      </c>
      <c r="FL484" t="str">
        <v>VERA DELGADO BRYAN ADRIÁN</v>
      </c>
      <c r="FM484" t="str">
        <v>MORAN GONZALES DAVID RENATO</v>
      </c>
      <c r="FN484">
        <v>0</v>
      </c>
    </row>
    <row r="485" spans="1:170" ht="20.25" customHeight="1">
      <c r="A485" s="4" t="str" cm="1">
        <f t="array" ref="A485">TRANSPOSE(_xlfn.UNIQUE(_xlfn._xlws.FILTER(MAE_ASIGNATURA[ID_NIVEL],MAE_ASIGNATURA[ID_CARRERA]=ASIGNACION!$C485,"No existe información")))</f>
        <v>No existe información</v>
      </c>
      <c r="S485" s="4" t="str" cm="1">
        <f t="array" ref="S485">TRANSPOSE(_xlfn.UNIQUE(_xlfn._xlws.FILTER(MAE_ASIGNATURA[NOM_ASIG],(MAE_ASIGNATURA[ID_NIVEL]=ASIGNACION!$D485)*(MAE_ASIGNATURA[ID_CARRERA]=ASIGNACION!$C485),"No existe información")))</f>
        <v>No existe información</v>
      </c>
      <c r="BD485" s="4" t="str" cm="1">
        <f t="array" ref="BD485">TRANSPOSE(_xlfn.UNIQUE(_xlfn._xlws.FILTER(DET_ASIG[DETALLADO],(DET_ASIG[ID_CARRERA]=ASIGNACION!$C485)*(DET_ASIG[NIVEL]=ASIGNACION!$D485)*(DET_ASIG[ID_ASIG]=ASIGNACION!$G485),"No existe información")))</f>
        <v>No existe información</v>
      </c>
      <c r="BQ485" s="5" t="str" cm="1">
        <f t="array" ref="BQ485">IFERROR(
    TRANSPOSE(
        _xlfn.UNIQUE(
            _xlfn._xlws.FILTER(MAESTRIA_DETALLADO[MAESTRIA],
                ISNUMBER(MATCH(MAESTRIA_DETALLADO[CAMPO_DETALLADO],
                BD485:BP485,0))
            )
        )
    ),IF(BD485="ACTIVIDAD","DOCENCIA",""))</f>
        <v/>
      </c>
      <c r="EA485" s="5" t="str" cm="1">
        <f t="array" ref="EA485:FN485">IF(
    ASIGNACION!I485="SI",
    IFERROR(
        TRANSPOSE(
            _xlfn.UNIQUE(
                _xlfn._xlws.FILTER(EDU_DOCENTE[NOMBRE_DOCENTE],
                    ISNUMBER(MATCH(EDU_DOCENTE[MAESTRIA],
                    BQ485:DY485,0))
                )
            )
        ),
        ""
    ),
    TRANSPOSE(
        _xlfn.UNIQUE(EDU_DOCENTE[NOMBRE_DOCENTE]
        )
    )
)</f>
        <v>ALCIVAR CEDEÑO BEATRIZ ISABEL</v>
      </c>
      <c r="EB485" t="str">
        <v>ALCIVAR VERA GEMA MICHELLE</v>
      </c>
      <c r="EC485" t="str">
        <v>ARAUZ CHAVEZ MARIO ROBERTO</v>
      </c>
      <c r="ED485" t="str">
        <v>BAILON LOURIDO WALTER ALBERTO</v>
      </c>
      <c r="EE485" t="str">
        <v>CALDERERO VILLAGOMEZ ERICK ANTONIO</v>
      </c>
      <c r="EF485" t="str">
        <v>CASTILLO GARCIA PAOLA GERMANIA</v>
      </c>
      <c r="EG485" t="str">
        <v>CEDEÑO CHOEZ PEDRO JAVIER</v>
      </c>
      <c r="EH485" t="str">
        <v>CEVALLOS HOPPE JUAN CARLOS</v>
      </c>
      <c r="EI485" t="str">
        <v>DELGADO CHAVEZ MARIA IRASEMA</v>
      </c>
      <c r="EJ485" t="str">
        <v>DUARTE VALENCIA CRISTHIAN DARIO</v>
      </c>
      <c r="EK485" t="str">
        <v>FORTTY BARBERAN DENNY ALEXANDER</v>
      </c>
      <c r="EL485" t="str">
        <v>GUTIERREZ ZAMBRANO CARMEN EBELINA</v>
      </c>
      <c r="EM485" t="str">
        <v>INTRIAGO MOLINA GEMA VALERIA</v>
      </c>
      <c r="EN485" t="str">
        <v>LINO VELEZ LEONEL LIVINGTON</v>
      </c>
      <c r="EO485" t="str">
        <v>LOOR ALCIVAR MARIA ILIANA</v>
      </c>
      <c r="EP485" t="str">
        <v>LOOR MIELES TANIA JACQUELINE</v>
      </c>
      <c r="EQ485" t="str">
        <v>LOOR SOLORZANO ROSA MARIA</v>
      </c>
      <c r="ER485" t="str">
        <v>LOPEZ DELGADO RONALD MAURICIO</v>
      </c>
      <c r="ES485" t="str">
        <v>MACIAS VALENCIA DAVID GABRIEL</v>
      </c>
      <c r="ET485" t="str">
        <v>MENDOZA ZAMORA WALTER MANUEL</v>
      </c>
      <c r="EU485" t="str">
        <v>MOLINA CEVALLOS MARIA LORENA</v>
      </c>
      <c r="EV485" t="str">
        <v>MURILLO DELGADO ISAAC GABRIEL</v>
      </c>
      <c r="EW485" t="str">
        <v>ANGULO MURILLO NAVIRA GISSELA</v>
      </c>
      <c r="EX485" t="str">
        <v>OCHOA SOLEDISPA NESTOR IVAN</v>
      </c>
      <c r="EY485" t="str">
        <v>PARRAGA FRANCO SILVANA MARIELA</v>
      </c>
      <c r="EZ485" t="str">
        <v>PINARGOTE VASQUEZ NANCY FABIOLA</v>
      </c>
      <c r="FA485" t="str">
        <v>REYES VELEZ PEDRO ENRIQUE</v>
      </c>
      <c r="FB485" t="str">
        <v>SAN ANDRES HORMAZA DALLAS CECILIA</v>
      </c>
      <c r="FC485" t="str">
        <v>SORNOZA ZAMORA JUAN CARLOS</v>
      </c>
      <c r="FD485" t="str">
        <v>TOMALA PINTO JESUS JACINTO</v>
      </c>
      <c r="FE485" t="str">
        <v>VALLE JARAMILLO SILVIA ARACELY</v>
      </c>
      <c r="FF485" t="str">
        <v>VELÁSQUEZ BRAVO IRMA KATHERINE</v>
      </c>
      <c r="FG485" t="str">
        <v>VELEZ MENDOZA LAYSY VALERIA</v>
      </c>
      <c r="FH485" t="str">
        <v>VINUEZA TELLO SHIRLEY ELIZABETH</v>
      </c>
      <c r="FI485" t="str">
        <v>ZAMBRANO ALCIVAR NILDA ISABEL</v>
      </c>
      <c r="FJ485" t="str">
        <v>ZAMBRANO LOOR RITA MAYDA</v>
      </c>
      <c r="FK485" t="str">
        <v>ZAMBRANO VERA MONICA JANETH</v>
      </c>
      <c r="FL485" t="str">
        <v>VERA DELGADO BRYAN ADRIÁN</v>
      </c>
      <c r="FM485" t="str">
        <v>MORAN GONZALES DAVID RENATO</v>
      </c>
      <c r="FN485">
        <v>0</v>
      </c>
    </row>
    <row r="486" spans="1:170" ht="20.25" customHeight="1">
      <c r="A486" s="4" t="str" cm="1">
        <f t="array" ref="A486">TRANSPOSE(_xlfn.UNIQUE(_xlfn._xlws.FILTER(MAE_ASIGNATURA[ID_NIVEL],MAE_ASIGNATURA[ID_CARRERA]=ASIGNACION!$C486,"No existe información")))</f>
        <v>No existe información</v>
      </c>
      <c r="S486" s="4" t="str" cm="1">
        <f t="array" ref="S486">TRANSPOSE(_xlfn.UNIQUE(_xlfn._xlws.FILTER(MAE_ASIGNATURA[NOM_ASIG],(MAE_ASIGNATURA[ID_NIVEL]=ASIGNACION!$D486)*(MAE_ASIGNATURA[ID_CARRERA]=ASIGNACION!$C486),"No existe información")))</f>
        <v>No existe información</v>
      </c>
      <c r="BD486" s="4" t="str" cm="1">
        <f t="array" ref="BD486">TRANSPOSE(_xlfn.UNIQUE(_xlfn._xlws.FILTER(DET_ASIG[DETALLADO],(DET_ASIG[ID_CARRERA]=ASIGNACION!$C486)*(DET_ASIG[NIVEL]=ASIGNACION!$D486)*(DET_ASIG[ID_ASIG]=ASIGNACION!$G486),"No existe información")))</f>
        <v>No existe información</v>
      </c>
      <c r="BQ486" s="5" t="str" cm="1">
        <f t="array" ref="BQ486">IFERROR(
    TRANSPOSE(
        _xlfn.UNIQUE(
            _xlfn._xlws.FILTER(MAESTRIA_DETALLADO[MAESTRIA],
                ISNUMBER(MATCH(MAESTRIA_DETALLADO[CAMPO_DETALLADO],
                BD486:BP486,0))
            )
        )
    ),IF(BD486="ACTIVIDAD","DOCENCIA",""))</f>
        <v/>
      </c>
      <c r="EA486" s="5" t="str" cm="1">
        <f t="array" ref="EA486:FN486">IF(
    ASIGNACION!I486="SI",
    IFERROR(
        TRANSPOSE(
            _xlfn.UNIQUE(
                _xlfn._xlws.FILTER(EDU_DOCENTE[NOMBRE_DOCENTE],
                    ISNUMBER(MATCH(EDU_DOCENTE[MAESTRIA],
                    BQ486:DY486,0))
                )
            )
        ),
        ""
    ),
    TRANSPOSE(
        _xlfn.UNIQUE(EDU_DOCENTE[NOMBRE_DOCENTE]
        )
    )
)</f>
        <v>ALCIVAR CEDEÑO BEATRIZ ISABEL</v>
      </c>
      <c r="EB486" t="str">
        <v>ALCIVAR VERA GEMA MICHELLE</v>
      </c>
      <c r="EC486" t="str">
        <v>ARAUZ CHAVEZ MARIO ROBERTO</v>
      </c>
      <c r="ED486" t="str">
        <v>BAILON LOURIDO WALTER ALBERTO</v>
      </c>
      <c r="EE486" t="str">
        <v>CALDERERO VILLAGOMEZ ERICK ANTONIO</v>
      </c>
      <c r="EF486" t="str">
        <v>CASTILLO GARCIA PAOLA GERMANIA</v>
      </c>
      <c r="EG486" t="str">
        <v>CEDEÑO CHOEZ PEDRO JAVIER</v>
      </c>
      <c r="EH486" t="str">
        <v>CEVALLOS HOPPE JUAN CARLOS</v>
      </c>
      <c r="EI486" t="str">
        <v>DELGADO CHAVEZ MARIA IRASEMA</v>
      </c>
      <c r="EJ486" t="str">
        <v>DUARTE VALENCIA CRISTHIAN DARIO</v>
      </c>
      <c r="EK486" t="str">
        <v>FORTTY BARBERAN DENNY ALEXANDER</v>
      </c>
      <c r="EL486" t="str">
        <v>GUTIERREZ ZAMBRANO CARMEN EBELINA</v>
      </c>
      <c r="EM486" t="str">
        <v>INTRIAGO MOLINA GEMA VALERIA</v>
      </c>
      <c r="EN486" t="str">
        <v>LINO VELEZ LEONEL LIVINGTON</v>
      </c>
      <c r="EO486" t="str">
        <v>LOOR ALCIVAR MARIA ILIANA</v>
      </c>
      <c r="EP486" t="str">
        <v>LOOR MIELES TANIA JACQUELINE</v>
      </c>
      <c r="EQ486" t="str">
        <v>LOOR SOLORZANO ROSA MARIA</v>
      </c>
      <c r="ER486" t="str">
        <v>LOPEZ DELGADO RONALD MAURICIO</v>
      </c>
      <c r="ES486" t="str">
        <v>MACIAS VALENCIA DAVID GABRIEL</v>
      </c>
      <c r="ET486" t="str">
        <v>MENDOZA ZAMORA WALTER MANUEL</v>
      </c>
      <c r="EU486" t="str">
        <v>MOLINA CEVALLOS MARIA LORENA</v>
      </c>
      <c r="EV486" t="str">
        <v>MURILLO DELGADO ISAAC GABRIEL</v>
      </c>
      <c r="EW486" t="str">
        <v>ANGULO MURILLO NAVIRA GISSELA</v>
      </c>
      <c r="EX486" t="str">
        <v>OCHOA SOLEDISPA NESTOR IVAN</v>
      </c>
      <c r="EY486" t="str">
        <v>PARRAGA FRANCO SILVANA MARIELA</v>
      </c>
      <c r="EZ486" t="str">
        <v>PINARGOTE VASQUEZ NANCY FABIOLA</v>
      </c>
      <c r="FA486" t="str">
        <v>REYES VELEZ PEDRO ENRIQUE</v>
      </c>
      <c r="FB486" t="str">
        <v>SAN ANDRES HORMAZA DALLAS CECILIA</v>
      </c>
      <c r="FC486" t="str">
        <v>SORNOZA ZAMORA JUAN CARLOS</v>
      </c>
      <c r="FD486" t="str">
        <v>TOMALA PINTO JESUS JACINTO</v>
      </c>
      <c r="FE486" t="str">
        <v>VALLE JARAMILLO SILVIA ARACELY</v>
      </c>
      <c r="FF486" t="str">
        <v>VELÁSQUEZ BRAVO IRMA KATHERINE</v>
      </c>
      <c r="FG486" t="str">
        <v>VELEZ MENDOZA LAYSY VALERIA</v>
      </c>
      <c r="FH486" t="str">
        <v>VINUEZA TELLO SHIRLEY ELIZABETH</v>
      </c>
      <c r="FI486" t="str">
        <v>ZAMBRANO ALCIVAR NILDA ISABEL</v>
      </c>
      <c r="FJ486" t="str">
        <v>ZAMBRANO LOOR RITA MAYDA</v>
      </c>
      <c r="FK486" t="str">
        <v>ZAMBRANO VERA MONICA JANETH</v>
      </c>
      <c r="FL486" t="str">
        <v>VERA DELGADO BRYAN ADRIÁN</v>
      </c>
      <c r="FM486" t="str">
        <v>MORAN GONZALES DAVID RENATO</v>
      </c>
      <c r="FN486">
        <v>0</v>
      </c>
    </row>
    <row r="487" spans="1:170" ht="20.25" customHeight="1">
      <c r="A487" s="4" t="str" cm="1">
        <f t="array" ref="A487">TRANSPOSE(_xlfn.UNIQUE(_xlfn._xlws.FILTER(MAE_ASIGNATURA[ID_NIVEL],MAE_ASIGNATURA[ID_CARRERA]=ASIGNACION!$C487,"No existe información")))</f>
        <v>No existe información</v>
      </c>
      <c r="S487" s="4" t="str" cm="1">
        <f t="array" ref="S487">TRANSPOSE(_xlfn.UNIQUE(_xlfn._xlws.FILTER(MAE_ASIGNATURA[NOM_ASIG],(MAE_ASIGNATURA[ID_NIVEL]=ASIGNACION!$D487)*(MAE_ASIGNATURA[ID_CARRERA]=ASIGNACION!$C487),"No existe información")))</f>
        <v>No existe información</v>
      </c>
      <c r="BD487" s="4" t="str" cm="1">
        <f t="array" ref="BD487">TRANSPOSE(_xlfn.UNIQUE(_xlfn._xlws.FILTER(DET_ASIG[DETALLADO],(DET_ASIG[ID_CARRERA]=ASIGNACION!$C487)*(DET_ASIG[NIVEL]=ASIGNACION!$D487)*(DET_ASIG[ID_ASIG]=ASIGNACION!$G487),"No existe información")))</f>
        <v>No existe información</v>
      </c>
      <c r="BQ487" s="5" t="str" cm="1">
        <f t="array" ref="BQ487">IFERROR(
    TRANSPOSE(
        _xlfn.UNIQUE(
            _xlfn._xlws.FILTER(MAESTRIA_DETALLADO[MAESTRIA],
                ISNUMBER(MATCH(MAESTRIA_DETALLADO[CAMPO_DETALLADO],
                BD487:BP487,0))
            )
        )
    ),IF(BD487="ACTIVIDAD","DOCENCIA",""))</f>
        <v/>
      </c>
      <c r="EA487" s="5" t="str" cm="1">
        <f t="array" ref="EA487:FN487">IF(
    ASIGNACION!I487="SI",
    IFERROR(
        TRANSPOSE(
            _xlfn.UNIQUE(
                _xlfn._xlws.FILTER(EDU_DOCENTE[NOMBRE_DOCENTE],
                    ISNUMBER(MATCH(EDU_DOCENTE[MAESTRIA],
                    BQ487:DY487,0))
                )
            )
        ),
        ""
    ),
    TRANSPOSE(
        _xlfn.UNIQUE(EDU_DOCENTE[NOMBRE_DOCENTE]
        )
    )
)</f>
        <v>ALCIVAR CEDEÑO BEATRIZ ISABEL</v>
      </c>
      <c r="EB487" t="str">
        <v>ALCIVAR VERA GEMA MICHELLE</v>
      </c>
      <c r="EC487" t="str">
        <v>ARAUZ CHAVEZ MARIO ROBERTO</v>
      </c>
      <c r="ED487" t="str">
        <v>BAILON LOURIDO WALTER ALBERTO</v>
      </c>
      <c r="EE487" t="str">
        <v>CALDERERO VILLAGOMEZ ERICK ANTONIO</v>
      </c>
      <c r="EF487" t="str">
        <v>CASTILLO GARCIA PAOLA GERMANIA</v>
      </c>
      <c r="EG487" t="str">
        <v>CEDEÑO CHOEZ PEDRO JAVIER</v>
      </c>
      <c r="EH487" t="str">
        <v>CEVALLOS HOPPE JUAN CARLOS</v>
      </c>
      <c r="EI487" t="str">
        <v>DELGADO CHAVEZ MARIA IRASEMA</v>
      </c>
      <c r="EJ487" t="str">
        <v>DUARTE VALENCIA CRISTHIAN DARIO</v>
      </c>
      <c r="EK487" t="str">
        <v>FORTTY BARBERAN DENNY ALEXANDER</v>
      </c>
      <c r="EL487" t="str">
        <v>GUTIERREZ ZAMBRANO CARMEN EBELINA</v>
      </c>
      <c r="EM487" t="str">
        <v>INTRIAGO MOLINA GEMA VALERIA</v>
      </c>
      <c r="EN487" t="str">
        <v>LINO VELEZ LEONEL LIVINGTON</v>
      </c>
      <c r="EO487" t="str">
        <v>LOOR ALCIVAR MARIA ILIANA</v>
      </c>
      <c r="EP487" t="str">
        <v>LOOR MIELES TANIA JACQUELINE</v>
      </c>
      <c r="EQ487" t="str">
        <v>LOOR SOLORZANO ROSA MARIA</v>
      </c>
      <c r="ER487" t="str">
        <v>LOPEZ DELGADO RONALD MAURICIO</v>
      </c>
      <c r="ES487" t="str">
        <v>MACIAS VALENCIA DAVID GABRIEL</v>
      </c>
      <c r="ET487" t="str">
        <v>MENDOZA ZAMORA WALTER MANUEL</v>
      </c>
      <c r="EU487" t="str">
        <v>MOLINA CEVALLOS MARIA LORENA</v>
      </c>
      <c r="EV487" t="str">
        <v>MURILLO DELGADO ISAAC GABRIEL</v>
      </c>
      <c r="EW487" t="str">
        <v>ANGULO MURILLO NAVIRA GISSELA</v>
      </c>
      <c r="EX487" t="str">
        <v>OCHOA SOLEDISPA NESTOR IVAN</v>
      </c>
      <c r="EY487" t="str">
        <v>PARRAGA FRANCO SILVANA MARIELA</v>
      </c>
      <c r="EZ487" t="str">
        <v>PINARGOTE VASQUEZ NANCY FABIOLA</v>
      </c>
      <c r="FA487" t="str">
        <v>REYES VELEZ PEDRO ENRIQUE</v>
      </c>
      <c r="FB487" t="str">
        <v>SAN ANDRES HORMAZA DALLAS CECILIA</v>
      </c>
      <c r="FC487" t="str">
        <v>SORNOZA ZAMORA JUAN CARLOS</v>
      </c>
      <c r="FD487" t="str">
        <v>TOMALA PINTO JESUS JACINTO</v>
      </c>
      <c r="FE487" t="str">
        <v>VALLE JARAMILLO SILVIA ARACELY</v>
      </c>
      <c r="FF487" t="str">
        <v>VELÁSQUEZ BRAVO IRMA KATHERINE</v>
      </c>
      <c r="FG487" t="str">
        <v>VELEZ MENDOZA LAYSY VALERIA</v>
      </c>
      <c r="FH487" t="str">
        <v>VINUEZA TELLO SHIRLEY ELIZABETH</v>
      </c>
      <c r="FI487" t="str">
        <v>ZAMBRANO ALCIVAR NILDA ISABEL</v>
      </c>
      <c r="FJ487" t="str">
        <v>ZAMBRANO LOOR RITA MAYDA</v>
      </c>
      <c r="FK487" t="str">
        <v>ZAMBRANO VERA MONICA JANETH</v>
      </c>
      <c r="FL487" t="str">
        <v>VERA DELGADO BRYAN ADRIÁN</v>
      </c>
      <c r="FM487" t="str">
        <v>MORAN GONZALES DAVID RENATO</v>
      </c>
      <c r="FN487">
        <v>0</v>
      </c>
    </row>
    <row r="488" spans="1:170" ht="20.25" customHeight="1">
      <c r="A488" s="4" t="str" cm="1">
        <f t="array" ref="A488">TRANSPOSE(_xlfn.UNIQUE(_xlfn._xlws.FILTER(MAE_ASIGNATURA[ID_NIVEL],MAE_ASIGNATURA[ID_CARRERA]=ASIGNACION!$C488,"No existe información")))</f>
        <v>No existe información</v>
      </c>
      <c r="S488" s="4" t="str" cm="1">
        <f t="array" ref="S488">TRANSPOSE(_xlfn.UNIQUE(_xlfn._xlws.FILTER(MAE_ASIGNATURA[NOM_ASIG],(MAE_ASIGNATURA[ID_NIVEL]=ASIGNACION!$D488)*(MAE_ASIGNATURA[ID_CARRERA]=ASIGNACION!$C488),"No existe información")))</f>
        <v>No existe información</v>
      </c>
      <c r="BD488" s="4" t="str" cm="1">
        <f t="array" ref="BD488">TRANSPOSE(_xlfn.UNIQUE(_xlfn._xlws.FILTER(DET_ASIG[DETALLADO],(DET_ASIG[ID_CARRERA]=ASIGNACION!$C488)*(DET_ASIG[NIVEL]=ASIGNACION!$D488)*(DET_ASIG[ID_ASIG]=ASIGNACION!$G488),"No existe información")))</f>
        <v>No existe información</v>
      </c>
      <c r="BQ488" s="5" t="str" cm="1">
        <f t="array" ref="BQ488">IFERROR(
    TRANSPOSE(
        _xlfn.UNIQUE(
            _xlfn._xlws.FILTER(MAESTRIA_DETALLADO[MAESTRIA],
                ISNUMBER(MATCH(MAESTRIA_DETALLADO[CAMPO_DETALLADO],
                BD488:BP488,0))
            )
        )
    ),IF(BD488="ACTIVIDAD","DOCENCIA",""))</f>
        <v/>
      </c>
      <c r="EA488" s="5" t="str" cm="1">
        <f t="array" ref="EA488:FN488">IF(
    ASIGNACION!I488="SI",
    IFERROR(
        TRANSPOSE(
            _xlfn.UNIQUE(
                _xlfn._xlws.FILTER(EDU_DOCENTE[NOMBRE_DOCENTE],
                    ISNUMBER(MATCH(EDU_DOCENTE[MAESTRIA],
                    BQ488:DY488,0))
                )
            )
        ),
        ""
    ),
    TRANSPOSE(
        _xlfn.UNIQUE(EDU_DOCENTE[NOMBRE_DOCENTE]
        )
    )
)</f>
        <v>ALCIVAR CEDEÑO BEATRIZ ISABEL</v>
      </c>
      <c r="EB488" t="str">
        <v>ALCIVAR VERA GEMA MICHELLE</v>
      </c>
      <c r="EC488" t="str">
        <v>ARAUZ CHAVEZ MARIO ROBERTO</v>
      </c>
      <c r="ED488" t="str">
        <v>BAILON LOURIDO WALTER ALBERTO</v>
      </c>
      <c r="EE488" t="str">
        <v>CALDERERO VILLAGOMEZ ERICK ANTONIO</v>
      </c>
      <c r="EF488" t="str">
        <v>CASTILLO GARCIA PAOLA GERMANIA</v>
      </c>
      <c r="EG488" t="str">
        <v>CEDEÑO CHOEZ PEDRO JAVIER</v>
      </c>
      <c r="EH488" t="str">
        <v>CEVALLOS HOPPE JUAN CARLOS</v>
      </c>
      <c r="EI488" t="str">
        <v>DELGADO CHAVEZ MARIA IRASEMA</v>
      </c>
      <c r="EJ488" t="str">
        <v>DUARTE VALENCIA CRISTHIAN DARIO</v>
      </c>
      <c r="EK488" t="str">
        <v>FORTTY BARBERAN DENNY ALEXANDER</v>
      </c>
      <c r="EL488" t="str">
        <v>GUTIERREZ ZAMBRANO CARMEN EBELINA</v>
      </c>
      <c r="EM488" t="str">
        <v>INTRIAGO MOLINA GEMA VALERIA</v>
      </c>
      <c r="EN488" t="str">
        <v>LINO VELEZ LEONEL LIVINGTON</v>
      </c>
      <c r="EO488" t="str">
        <v>LOOR ALCIVAR MARIA ILIANA</v>
      </c>
      <c r="EP488" t="str">
        <v>LOOR MIELES TANIA JACQUELINE</v>
      </c>
      <c r="EQ488" t="str">
        <v>LOOR SOLORZANO ROSA MARIA</v>
      </c>
      <c r="ER488" t="str">
        <v>LOPEZ DELGADO RONALD MAURICIO</v>
      </c>
      <c r="ES488" t="str">
        <v>MACIAS VALENCIA DAVID GABRIEL</v>
      </c>
      <c r="ET488" t="str">
        <v>MENDOZA ZAMORA WALTER MANUEL</v>
      </c>
      <c r="EU488" t="str">
        <v>MOLINA CEVALLOS MARIA LORENA</v>
      </c>
      <c r="EV488" t="str">
        <v>MURILLO DELGADO ISAAC GABRIEL</v>
      </c>
      <c r="EW488" t="str">
        <v>ANGULO MURILLO NAVIRA GISSELA</v>
      </c>
      <c r="EX488" t="str">
        <v>OCHOA SOLEDISPA NESTOR IVAN</v>
      </c>
      <c r="EY488" t="str">
        <v>PARRAGA FRANCO SILVANA MARIELA</v>
      </c>
      <c r="EZ488" t="str">
        <v>PINARGOTE VASQUEZ NANCY FABIOLA</v>
      </c>
      <c r="FA488" t="str">
        <v>REYES VELEZ PEDRO ENRIQUE</v>
      </c>
      <c r="FB488" t="str">
        <v>SAN ANDRES HORMAZA DALLAS CECILIA</v>
      </c>
      <c r="FC488" t="str">
        <v>SORNOZA ZAMORA JUAN CARLOS</v>
      </c>
      <c r="FD488" t="str">
        <v>TOMALA PINTO JESUS JACINTO</v>
      </c>
      <c r="FE488" t="str">
        <v>VALLE JARAMILLO SILVIA ARACELY</v>
      </c>
      <c r="FF488" t="str">
        <v>VELÁSQUEZ BRAVO IRMA KATHERINE</v>
      </c>
      <c r="FG488" t="str">
        <v>VELEZ MENDOZA LAYSY VALERIA</v>
      </c>
      <c r="FH488" t="str">
        <v>VINUEZA TELLO SHIRLEY ELIZABETH</v>
      </c>
      <c r="FI488" t="str">
        <v>ZAMBRANO ALCIVAR NILDA ISABEL</v>
      </c>
      <c r="FJ488" t="str">
        <v>ZAMBRANO LOOR RITA MAYDA</v>
      </c>
      <c r="FK488" t="str">
        <v>ZAMBRANO VERA MONICA JANETH</v>
      </c>
      <c r="FL488" t="str">
        <v>VERA DELGADO BRYAN ADRIÁN</v>
      </c>
      <c r="FM488" t="str">
        <v>MORAN GONZALES DAVID RENATO</v>
      </c>
      <c r="FN488">
        <v>0</v>
      </c>
    </row>
    <row r="489" spans="1:170" ht="20.25" customHeight="1">
      <c r="A489" s="4" t="str" cm="1">
        <f t="array" ref="A489">TRANSPOSE(_xlfn.UNIQUE(_xlfn._xlws.FILTER(MAE_ASIGNATURA[ID_NIVEL],MAE_ASIGNATURA[ID_CARRERA]=ASIGNACION!$C489,"No existe información")))</f>
        <v>No existe información</v>
      </c>
      <c r="S489" s="4" t="str" cm="1">
        <f t="array" ref="S489">TRANSPOSE(_xlfn.UNIQUE(_xlfn._xlws.FILTER(MAE_ASIGNATURA[NOM_ASIG],(MAE_ASIGNATURA[ID_NIVEL]=ASIGNACION!$D489)*(MAE_ASIGNATURA[ID_CARRERA]=ASIGNACION!$C489),"No existe información")))</f>
        <v>No existe información</v>
      </c>
      <c r="BD489" s="4" t="str" cm="1">
        <f t="array" ref="BD489">TRANSPOSE(_xlfn.UNIQUE(_xlfn._xlws.FILTER(DET_ASIG[DETALLADO],(DET_ASIG[ID_CARRERA]=ASIGNACION!$C489)*(DET_ASIG[NIVEL]=ASIGNACION!$D489)*(DET_ASIG[ID_ASIG]=ASIGNACION!$G489),"No existe información")))</f>
        <v>No existe información</v>
      </c>
      <c r="BQ489" s="5" t="str" cm="1">
        <f t="array" ref="BQ489">IFERROR(
    TRANSPOSE(
        _xlfn.UNIQUE(
            _xlfn._xlws.FILTER(MAESTRIA_DETALLADO[MAESTRIA],
                ISNUMBER(MATCH(MAESTRIA_DETALLADO[CAMPO_DETALLADO],
                BD489:BP489,0))
            )
        )
    ),IF(BD489="ACTIVIDAD","DOCENCIA",""))</f>
        <v/>
      </c>
      <c r="EA489" s="5" t="str" cm="1">
        <f t="array" ref="EA489:FN489">IF(
    ASIGNACION!I489="SI",
    IFERROR(
        TRANSPOSE(
            _xlfn.UNIQUE(
                _xlfn._xlws.FILTER(EDU_DOCENTE[NOMBRE_DOCENTE],
                    ISNUMBER(MATCH(EDU_DOCENTE[MAESTRIA],
                    BQ489:DY489,0))
                )
            )
        ),
        ""
    ),
    TRANSPOSE(
        _xlfn.UNIQUE(EDU_DOCENTE[NOMBRE_DOCENTE]
        )
    )
)</f>
        <v>ALCIVAR CEDEÑO BEATRIZ ISABEL</v>
      </c>
      <c r="EB489" t="str">
        <v>ALCIVAR VERA GEMA MICHELLE</v>
      </c>
      <c r="EC489" t="str">
        <v>ARAUZ CHAVEZ MARIO ROBERTO</v>
      </c>
      <c r="ED489" t="str">
        <v>BAILON LOURIDO WALTER ALBERTO</v>
      </c>
      <c r="EE489" t="str">
        <v>CALDERERO VILLAGOMEZ ERICK ANTONIO</v>
      </c>
      <c r="EF489" t="str">
        <v>CASTILLO GARCIA PAOLA GERMANIA</v>
      </c>
      <c r="EG489" t="str">
        <v>CEDEÑO CHOEZ PEDRO JAVIER</v>
      </c>
      <c r="EH489" t="str">
        <v>CEVALLOS HOPPE JUAN CARLOS</v>
      </c>
      <c r="EI489" t="str">
        <v>DELGADO CHAVEZ MARIA IRASEMA</v>
      </c>
      <c r="EJ489" t="str">
        <v>DUARTE VALENCIA CRISTHIAN DARIO</v>
      </c>
      <c r="EK489" t="str">
        <v>FORTTY BARBERAN DENNY ALEXANDER</v>
      </c>
      <c r="EL489" t="str">
        <v>GUTIERREZ ZAMBRANO CARMEN EBELINA</v>
      </c>
      <c r="EM489" t="str">
        <v>INTRIAGO MOLINA GEMA VALERIA</v>
      </c>
      <c r="EN489" t="str">
        <v>LINO VELEZ LEONEL LIVINGTON</v>
      </c>
      <c r="EO489" t="str">
        <v>LOOR ALCIVAR MARIA ILIANA</v>
      </c>
      <c r="EP489" t="str">
        <v>LOOR MIELES TANIA JACQUELINE</v>
      </c>
      <c r="EQ489" t="str">
        <v>LOOR SOLORZANO ROSA MARIA</v>
      </c>
      <c r="ER489" t="str">
        <v>LOPEZ DELGADO RONALD MAURICIO</v>
      </c>
      <c r="ES489" t="str">
        <v>MACIAS VALENCIA DAVID GABRIEL</v>
      </c>
      <c r="ET489" t="str">
        <v>MENDOZA ZAMORA WALTER MANUEL</v>
      </c>
      <c r="EU489" t="str">
        <v>MOLINA CEVALLOS MARIA LORENA</v>
      </c>
      <c r="EV489" t="str">
        <v>MURILLO DELGADO ISAAC GABRIEL</v>
      </c>
      <c r="EW489" t="str">
        <v>ANGULO MURILLO NAVIRA GISSELA</v>
      </c>
      <c r="EX489" t="str">
        <v>OCHOA SOLEDISPA NESTOR IVAN</v>
      </c>
      <c r="EY489" t="str">
        <v>PARRAGA FRANCO SILVANA MARIELA</v>
      </c>
      <c r="EZ489" t="str">
        <v>PINARGOTE VASQUEZ NANCY FABIOLA</v>
      </c>
      <c r="FA489" t="str">
        <v>REYES VELEZ PEDRO ENRIQUE</v>
      </c>
      <c r="FB489" t="str">
        <v>SAN ANDRES HORMAZA DALLAS CECILIA</v>
      </c>
      <c r="FC489" t="str">
        <v>SORNOZA ZAMORA JUAN CARLOS</v>
      </c>
      <c r="FD489" t="str">
        <v>TOMALA PINTO JESUS JACINTO</v>
      </c>
      <c r="FE489" t="str">
        <v>VALLE JARAMILLO SILVIA ARACELY</v>
      </c>
      <c r="FF489" t="str">
        <v>VELÁSQUEZ BRAVO IRMA KATHERINE</v>
      </c>
      <c r="FG489" t="str">
        <v>VELEZ MENDOZA LAYSY VALERIA</v>
      </c>
      <c r="FH489" t="str">
        <v>VINUEZA TELLO SHIRLEY ELIZABETH</v>
      </c>
      <c r="FI489" t="str">
        <v>ZAMBRANO ALCIVAR NILDA ISABEL</v>
      </c>
      <c r="FJ489" t="str">
        <v>ZAMBRANO LOOR RITA MAYDA</v>
      </c>
      <c r="FK489" t="str">
        <v>ZAMBRANO VERA MONICA JANETH</v>
      </c>
      <c r="FL489" t="str">
        <v>VERA DELGADO BRYAN ADRIÁN</v>
      </c>
      <c r="FM489" t="str">
        <v>MORAN GONZALES DAVID RENATO</v>
      </c>
      <c r="FN489">
        <v>0</v>
      </c>
    </row>
    <row r="490" spans="1:170" ht="20.25" customHeight="1">
      <c r="A490" s="4" t="str" cm="1">
        <f t="array" ref="A490">TRANSPOSE(_xlfn.UNIQUE(_xlfn._xlws.FILTER(MAE_ASIGNATURA[ID_NIVEL],MAE_ASIGNATURA[ID_CARRERA]=ASIGNACION!$C490,"No existe información")))</f>
        <v>No existe información</v>
      </c>
      <c r="S490" s="4" t="str" cm="1">
        <f t="array" ref="S490">TRANSPOSE(_xlfn.UNIQUE(_xlfn._xlws.FILTER(MAE_ASIGNATURA[NOM_ASIG],(MAE_ASIGNATURA[ID_NIVEL]=ASIGNACION!$D490)*(MAE_ASIGNATURA[ID_CARRERA]=ASIGNACION!$C490),"No existe información")))</f>
        <v>No existe información</v>
      </c>
      <c r="BD490" s="4" t="str" cm="1">
        <f t="array" ref="BD490">TRANSPOSE(_xlfn.UNIQUE(_xlfn._xlws.FILTER(DET_ASIG[DETALLADO],(DET_ASIG[ID_CARRERA]=ASIGNACION!$C490)*(DET_ASIG[NIVEL]=ASIGNACION!$D490)*(DET_ASIG[ID_ASIG]=ASIGNACION!$G490),"No existe información")))</f>
        <v>No existe información</v>
      </c>
      <c r="BQ490" s="5" t="str" cm="1">
        <f t="array" ref="BQ490">IFERROR(
    TRANSPOSE(
        _xlfn.UNIQUE(
            _xlfn._xlws.FILTER(MAESTRIA_DETALLADO[MAESTRIA],
                ISNUMBER(MATCH(MAESTRIA_DETALLADO[CAMPO_DETALLADO],
                BD490:BP490,0))
            )
        )
    ),IF(BD490="ACTIVIDAD","DOCENCIA",""))</f>
        <v/>
      </c>
      <c r="EA490" s="5" t="str" cm="1">
        <f t="array" ref="EA490:FN490">IF(
    ASIGNACION!I490="SI",
    IFERROR(
        TRANSPOSE(
            _xlfn.UNIQUE(
                _xlfn._xlws.FILTER(EDU_DOCENTE[NOMBRE_DOCENTE],
                    ISNUMBER(MATCH(EDU_DOCENTE[MAESTRIA],
                    BQ490:DY490,0))
                )
            )
        ),
        ""
    ),
    TRANSPOSE(
        _xlfn.UNIQUE(EDU_DOCENTE[NOMBRE_DOCENTE]
        )
    )
)</f>
        <v>ALCIVAR CEDEÑO BEATRIZ ISABEL</v>
      </c>
      <c r="EB490" t="str">
        <v>ALCIVAR VERA GEMA MICHELLE</v>
      </c>
      <c r="EC490" t="str">
        <v>ARAUZ CHAVEZ MARIO ROBERTO</v>
      </c>
      <c r="ED490" t="str">
        <v>BAILON LOURIDO WALTER ALBERTO</v>
      </c>
      <c r="EE490" t="str">
        <v>CALDERERO VILLAGOMEZ ERICK ANTONIO</v>
      </c>
      <c r="EF490" t="str">
        <v>CASTILLO GARCIA PAOLA GERMANIA</v>
      </c>
      <c r="EG490" t="str">
        <v>CEDEÑO CHOEZ PEDRO JAVIER</v>
      </c>
      <c r="EH490" t="str">
        <v>CEVALLOS HOPPE JUAN CARLOS</v>
      </c>
      <c r="EI490" t="str">
        <v>DELGADO CHAVEZ MARIA IRASEMA</v>
      </c>
      <c r="EJ490" t="str">
        <v>DUARTE VALENCIA CRISTHIAN DARIO</v>
      </c>
      <c r="EK490" t="str">
        <v>FORTTY BARBERAN DENNY ALEXANDER</v>
      </c>
      <c r="EL490" t="str">
        <v>GUTIERREZ ZAMBRANO CARMEN EBELINA</v>
      </c>
      <c r="EM490" t="str">
        <v>INTRIAGO MOLINA GEMA VALERIA</v>
      </c>
      <c r="EN490" t="str">
        <v>LINO VELEZ LEONEL LIVINGTON</v>
      </c>
      <c r="EO490" t="str">
        <v>LOOR ALCIVAR MARIA ILIANA</v>
      </c>
      <c r="EP490" t="str">
        <v>LOOR MIELES TANIA JACQUELINE</v>
      </c>
      <c r="EQ490" t="str">
        <v>LOOR SOLORZANO ROSA MARIA</v>
      </c>
      <c r="ER490" t="str">
        <v>LOPEZ DELGADO RONALD MAURICIO</v>
      </c>
      <c r="ES490" t="str">
        <v>MACIAS VALENCIA DAVID GABRIEL</v>
      </c>
      <c r="ET490" t="str">
        <v>MENDOZA ZAMORA WALTER MANUEL</v>
      </c>
      <c r="EU490" t="str">
        <v>MOLINA CEVALLOS MARIA LORENA</v>
      </c>
      <c r="EV490" t="str">
        <v>MURILLO DELGADO ISAAC GABRIEL</v>
      </c>
      <c r="EW490" t="str">
        <v>ANGULO MURILLO NAVIRA GISSELA</v>
      </c>
      <c r="EX490" t="str">
        <v>OCHOA SOLEDISPA NESTOR IVAN</v>
      </c>
      <c r="EY490" t="str">
        <v>PARRAGA FRANCO SILVANA MARIELA</v>
      </c>
      <c r="EZ490" t="str">
        <v>PINARGOTE VASQUEZ NANCY FABIOLA</v>
      </c>
      <c r="FA490" t="str">
        <v>REYES VELEZ PEDRO ENRIQUE</v>
      </c>
      <c r="FB490" t="str">
        <v>SAN ANDRES HORMAZA DALLAS CECILIA</v>
      </c>
      <c r="FC490" t="str">
        <v>SORNOZA ZAMORA JUAN CARLOS</v>
      </c>
      <c r="FD490" t="str">
        <v>TOMALA PINTO JESUS JACINTO</v>
      </c>
      <c r="FE490" t="str">
        <v>VALLE JARAMILLO SILVIA ARACELY</v>
      </c>
      <c r="FF490" t="str">
        <v>VELÁSQUEZ BRAVO IRMA KATHERINE</v>
      </c>
      <c r="FG490" t="str">
        <v>VELEZ MENDOZA LAYSY VALERIA</v>
      </c>
      <c r="FH490" t="str">
        <v>VINUEZA TELLO SHIRLEY ELIZABETH</v>
      </c>
      <c r="FI490" t="str">
        <v>ZAMBRANO ALCIVAR NILDA ISABEL</v>
      </c>
      <c r="FJ490" t="str">
        <v>ZAMBRANO LOOR RITA MAYDA</v>
      </c>
      <c r="FK490" t="str">
        <v>ZAMBRANO VERA MONICA JANETH</v>
      </c>
      <c r="FL490" t="str">
        <v>VERA DELGADO BRYAN ADRIÁN</v>
      </c>
      <c r="FM490" t="str">
        <v>MORAN GONZALES DAVID RENATO</v>
      </c>
      <c r="FN490">
        <v>0</v>
      </c>
    </row>
    <row r="491" spans="1:170" ht="20.25" customHeight="1">
      <c r="A491" s="4" t="str" cm="1">
        <f t="array" ref="A491">TRANSPOSE(_xlfn.UNIQUE(_xlfn._xlws.FILTER(MAE_ASIGNATURA[ID_NIVEL],MAE_ASIGNATURA[ID_CARRERA]=ASIGNACION!$C491,"No existe información")))</f>
        <v>No existe información</v>
      </c>
      <c r="S491" s="4" t="str" cm="1">
        <f t="array" ref="S491">TRANSPOSE(_xlfn.UNIQUE(_xlfn._xlws.FILTER(MAE_ASIGNATURA[NOM_ASIG],(MAE_ASIGNATURA[ID_NIVEL]=ASIGNACION!$D491)*(MAE_ASIGNATURA[ID_CARRERA]=ASIGNACION!$C491),"No existe información")))</f>
        <v>No existe información</v>
      </c>
      <c r="BD491" s="4" t="str" cm="1">
        <f t="array" ref="BD491">TRANSPOSE(_xlfn.UNIQUE(_xlfn._xlws.FILTER(DET_ASIG[DETALLADO],(DET_ASIG[ID_CARRERA]=ASIGNACION!$C491)*(DET_ASIG[NIVEL]=ASIGNACION!$D491)*(DET_ASIG[ID_ASIG]=ASIGNACION!$G491),"No existe información")))</f>
        <v>No existe información</v>
      </c>
      <c r="BQ491" s="5" t="str" cm="1">
        <f t="array" ref="BQ491">IFERROR(
    TRANSPOSE(
        _xlfn.UNIQUE(
            _xlfn._xlws.FILTER(MAESTRIA_DETALLADO[MAESTRIA],
                ISNUMBER(MATCH(MAESTRIA_DETALLADO[CAMPO_DETALLADO],
                BD491:BP491,0))
            )
        )
    ),IF(BD491="ACTIVIDAD","DOCENCIA",""))</f>
        <v/>
      </c>
      <c r="EA491" s="5" t="str" cm="1">
        <f t="array" ref="EA491:FN491">IF(
    ASIGNACION!I491="SI",
    IFERROR(
        TRANSPOSE(
            _xlfn.UNIQUE(
                _xlfn._xlws.FILTER(EDU_DOCENTE[NOMBRE_DOCENTE],
                    ISNUMBER(MATCH(EDU_DOCENTE[MAESTRIA],
                    BQ491:DY491,0))
                )
            )
        ),
        ""
    ),
    TRANSPOSE(
        _xlfn.UNIQUE(EDU_DOCENTE[NOMBRE_DOCENTE]
        )
    )
)</f>
        <v>ALCIVAR CEDEÑO BEATRIZ ISABEL</v>
      </c>
      <c r="EB491" t="str">
        <v>ALCIVAR VERA GEMA MICHELLE</v>
      </c>
      <c r="EC491" t="str">
        <v>ARAUZ CHAVEZ MARIO ROBERTO</v>
      </c>
      <c r="ED491" t="str">
        <v>BAILON LOURIDO WALTER ALBERTO</v>
      </c>
      <c r="EE491" t="str">
        <v>CALDERERO VILLAGOMEZ ERICK ANTONIO</v>
      </c>
      <c r="EF491" t="str">
        <v>CASTILLO GARCIA PAOLA GERMANIA</v>
      </c>
      <c r="EG491" t="str">
        <v>CEDEÑO CHOEZ PEDRO JAVIER</v>
      </c>
      <c r="EH491" t="str">
        <v>CEVALLOS HOPPE JUAN CARLOS</v>
      </c>
      <c r="EI491" t="str">
        <v>DELGADO CHAVEZ MARIA IRASEMA</v>
      </c>
      <c r="EJ491" t="str">
        <v>DUARTE VALENCIA CRISTHIAN DARIO</v>
      </c>
      <c r="EK491" t="str">
        <v>FORTTY BARBERAN DENNY ALEXANDER</v>
      </c>
      <c r="EL491" t="str">
        <v>GUTIERREZ ZAMBRANO CARMEN EBELINA</v>
      </c>
      <c r="EM491" t="str">
        <v>INTRIAGO MOLINA GEMA VALERIA</v>
      </c>
      <c r="EN491" t="str">
        <v>LINO VELEZ LEONEL LIVINGTON</v>
      </c>
      <c r="EO491" t="str">
        <v>LOOR ALCIVAR MARIA ILIANA</v>
      </c>
      <c r="EP491" t="str">
        <v>LOOR MIELES TANIA JACQUELINE</v>
      </c>
      <c r="EQ491" t="str">
        <v>LOOR SOLORZANO ROSA MARIA</v>
      </c>
      <c r="ER491" t="str">
        <v>LOPEZ DELGADO RONALD MAURICIO</v>
      </c>
      <c r="ES491" t="str">
        <v>MACIAS VALENCIA DAVID GABRIEL</v>
      </c>
      <c r="ET491" t="str">
        <v>MENDOZA ZAMORA WALTER MANUEL</v>
      </c>
      <c r="EU491" t="str">
        <v>MOLINA CEVALLOS MARIA LORENA</v>
      </c>
      <c r="EV491" t="str">
        <v>MURILLO DELGADO ISAAC GABRIEL</v>
      </c>
      <c r="EW491" t="str">
        <v>ANGULO MURILLO NAVIRA GISSELA</v>
      </c>
      <c r="EX491" t="str">
        <v>OCHOA SOLEDISPA NESTOR IVAN</v>
      </c>
      <c r="EY491" t="str">
        <v>PARRAGA FRANCO SILVANA MARIELA</v>
      </c>
      <c r="EZ491" t="str">
        <v>PINARGOTE VASQUEZ NANCY FABIOLA</v>
      </c>
      <c r="FA491" t="str">
        <v>REYES VELEZ PEDRO ENRIQUE</v>
      </c>
      <c r="FB491" t="str">
        <v>SAN ANDRES HORMAZA DALLAS CECILIA</v>
      </c>
      <c r="FC491" t="str">
        <v>SORNOZA ZAMORA JUAN CARLOS</v>
      </c>
      <c r="FD491" t="str">
        <v>TOMALA PINTO JESUS JACINTO</v>
      </c>
      <c r="FE491" t="str">
        <v>VALLE JARAMILLO SILVIA ARACELY</v>
      </c>
      <c r="FF491" t="str">
        <v>VELÁSQUEZ BRAVO IRMA KATHERINE</v>
      </c>
      <c r="FG491" t="str">
        <v>VELEZ MENDOZA LAYSY VALERIA</v>
      </c>
      <c r="FH491" t="str">
        <v>VINUEZA TELLO SHIRLEY ELIZABETH</v>
      </c>
      <c r="FI491" t="str">
        <v>ZAMBRANO ALCIVAR NILDA ISABEL</v>
      </c>
      <c r="FJ491" t="str">
        <v>ZAMBRANO LOOR RITA MAYDA</v>
      </c>
      <c r="FK491" t="str">
        <v>ZAMBRANO VERA MONICA JANETH</v>
      </c>
      <c r="FL491" t="str">
        <v>VERA DELGADO BRYAN ADRIÁN</v>
      </c>
      <c r="FM491" t="str">
        <v>MORAN GONZALES DAVID RENATO</v>
      </c>
      <c r="FN491">
        <v>0</v>
      </c>
    </row>
    <row r="492" spans="1:170" ht="20.25" customHeight="1">
      <c r="A492" s="4" t="str" cm="1">
        <f t="array" ref="A492">TRANSPOSE(_xlfn.UNIQUE(_xlfn._xlws.FILTER(MAE_ASIGNATURA[ID_NIVEL],MAE_ASIGNATURA[ID_CARRERA]=ASIGNACION!$C492,"No existe información")))</f>
        <v>No existe información</v>
      </c>
      <c r="S492" s="4" t="str" cm="1">
        <f t="array" ref="S492">TRANSPOSE(_xlfn.UNIQUE(_xlfn._xlws.FILTER(MAE_ASIGNATURA[NOM_ASIG],(MAE_ASIGNATURA[ID_NIVEL]=ASIGNACION!$D492)*(MAE_ASIGNATURA[ID_CARRERA]=ASIGNACION!$C492),"No existe información")))</f>
        <v>No existe información</v>
      </c>
      <c r="BD492" s="4" t="str" cm="1">
        <f t="array" ref="BD492">TRANSPOSE(_xlfn.UNIQUE(_xlfn._xlws.FILTER(DET_ASIG[DETALLADO],(DET_ASIG[ID_CARRERA]=ASIGNACION!$C492)*(DET_ASIG[NIVEL]=ASIGNACION!$D492)*(DET_ASIG[ID_ASIG]=ASIGNACION!$G492),"No existe información")))</f>
        <v>No existe información</v>
      </c>
      <c r="BQ492" s="5" t="str" cm="1">
        <f t="array" ref="BQ492">IFERROR(
    TRANSPOSE(
        _xlfn.UNIQUE(
            _xlfn._xlws.FILTER(MAESTRIA_DETALLADO[MAESTRIA],
                ISNUMBER(MATCH(MAESTRIA_DETALLADO[CAMPO_DETALLADO],
                BD492:BP492,0))
            )
        )
    ),IF(BD492="ACTIVIDAD","DOCENCIA",""))</f>
        <v/>
      </c>
      <c r="EA492" s="5" t="str" cm="1">
        <f t="array" ref="EA492:FN492">IF(
    ASIGNACION!I492="SI",
    IFERROR(
        TRANSPOSE(
            _xlfn.UNIQUE(
                _xlfn._xlws.FILTER(EDU_DOCENTE[NOMBRE_DOCENTE],
                    ISNUMBER(MATCH(EDU_DOCENTE[MAESTRIA],
                    BQ492:DY492,0))
                )
            )
        ),
        ""
    ),
    TRANSPOSE(
        _xlfn.UNIQUE(EDU_DOCENTE[NOMBRE_DOCENTE]
        )
    )
)</f>
        <v>ALCIVAR CEDEÑO BEATRIZ ISABEL</v>
      </c>
      <c r="EB492" t="str">
        <v>ALCIVAR VERA GEMA MICHELLE</v>
      </c>
      <c r="EC492" t="str">
        <v>ARAUZ CHAVEZ MARIO ROBERTO</v>
      </c>
      <c r="ED492" t="str">
        <v>BAILON LOURIDO WALTER ALBERTO</v>
      </c>
      <c r="EE492" t="str">
        <v>CALDERERO VILLAGOMEZ ERICK ANTONIO</v>
      </c>
      <c r="EF492" t="str">
        <v>CASTILLO GARCIA PAOLA GERMANIA</v>
      </c>
      <c r="EG492" t="str">
        <v>CEDEÑO CHOEZ PEDRO JAVIER</v>
      </c>
      <c r="EH492" t="str">
        <v>CEVALLOS HOPPE JUAN CARLOS</v>
      </c>
      <c r="EI492" t="str">
        <v>DELGADO CHAVEZ MARIA IRASEMA</v>
      </c>
      <c r="EJ492" t="str">
        <v>DUARTE VALENCIA CRISTHIAN DARIO</v>
      </c>
      <c r="EK492" t="str">
        <v>FORTTY BARBERAN DENNY ALEXANDER</v>
      </c>
      <c r="EL492" t="str">
        <v>GUTIERREZ ZAMBRANO CARMEN EBELINA</v>
      </c>
      <c r="EM492" t="str">
        <v>INTRIAGO MOLINA GEMA VALERIA</v>
      </c>
      <c r="EN492" t="str">
        <v>LINO VELEZ LEONEL LIVINGTON</v>
      </c>
      <c r="EO492" t="str">
        <v>LOOR ALCIVAR MARIA ILIANA</v>
      </c>
      <c r="EP492" t="str">
        <v>LOOR MIELES TANIA JACQUELINE</v>
      </c>
      <c r="EQ492" t="str">
        <v>LOOR SOLORZANO ROSA MARIA</v>
      </c>
      <c r="ER492" t="str">
        <v>LOPEZ DELGADO RONALD MAURICIO</v>
      </c>
      <c r="ES492" t="str">
        <v>MACIAS VALENCIA DAVID GABRIEL</v>
      </c>
      <c r="ET492" t="str">
        <v>MENDOZA ZAMORA WALTER MANUEL</v>
      </c>
      <c r="EU492" t="str">
        <v>MOLINA CEVALLOS MARIA LORENA</v>
      </c>
      <c r="EV492" t="str">
        <v>MURILLO DELGADO ISAAC GABRIEL</v>
      </c>
      <c r="EW492" t="str">
        <v>ANGULO MURILLO NAVIRA GISSELA</v>
      </c>
      <c r="EX492" t="str">
        <v>OCHOA SOLEDISPA NESTOR IVAN</v>
      </c>
      <c r="EY492" t="str">
        <v>PARRAGA FRANCO SILVANA MARIELA</v>
      </c>
      <c r="EZ492" t="str">
        <v>PINARGOTE VASQUEZ NANCY FABIOLA</v>
      </c>
      <c r="FA492" t="str">
        <v>REYES VELEZ PEDRO ENRIQUE</v>
      </c>
      <c r="FB492" t="str">
        <v>SAN ANDRES HORMAZA DALLAS CECILIA</v>
      </c>
      <c r="FC492" t="str">
        <v>SORNOZA ZAMORA JUAN CARLOS</v>
      </c>
      <c r="FD492" t="str">
        <v>TOMALA PINTO JESUS JACINTO</v>
      </c>
      <c r="FE492" t="str">
        <v>VALLE JARAMILLO SILVIA ARACELY</v>
      </c>
      <c r="FF492" t="str">
        <v>VELÁSQUEZ BRAVO IRMA KATHERINE</v>
      </c>
      <c r="FG492" t="str">
        <v>VELEZ MENDOZA LAYSY VALERIA</v>
      </c>
      <c r="FH492" t="str">
        <v>VINUEZA TELLO SHIRLEY ELIZABETH</v>
      </c>
      <c r="FI492" t="str">
        <v>ZAMBRANO ALCIVAR NILDA ISABEL</v>
      </c>
      <c r="FJ492" t="str">
        <v>ZAMBRANO LOOR RITA MAYDA</v>
      </c>
      <c r="FK492" t="str">
        <v>ZAMBRANO VERA MONICA JANETH</v>
      </c>
      <c r="FL492" t="str">
        <v>VERA DELGADO BRYAN ADRIÁN</v>
      </c>
      <c r="FM492" t="str">
        <v>MORAN GONZALES DAVID RENATO</v>
      </c>
      <c r="FN492">
        <v>0</v>
      </c>
    </row>
    <row r="493" spans="1:170" ht="20.25" customHeight="1">
      <c r="A493" s="4" t="str" cm="1">
        <f t="array" ref="A493">TRANSPOSE(_xlfn.UNIQUE(_xlfn._xlws.FILTER(MAE_ASIGNATURA[ID_NIVEL],MAE_ASIGNATURA[ID_CARRERA]=ASIGNACION!$C493,"No existe información")))</f>
        <v>No existe información</v>
      </c>
      <c r="S493" s="4" t="str" cm="1">
        <f t="array" ref="S493">TRANSPOSE(_xlfn.UNIQUE(_xlfn._xlws.FILTER(MAE_ASIGNATURA[NOM_ASIG],(MAE_ASIGNATURA[ID_NIVEL]=ASIGNACION!$D493)*(MAE_ASIGNATURA[ID_CARRERA]=ASIGNACION!$C493),"No existe información")))</f>
        <v>No existe información</v>
      </c>
      <c r="BD493" s="4" t="str" cm="1">
        <f t="array" ref="BD493">TRANSPOSE(_xlfn.UNIQUE(_xlfn._xlws.FILTER(DET_ASIG[DETALLADO],(DET_ASIG[ID_CARRERA]=ASIGNACION!$C493)*(DET_ASIG[NIVEL]=ASIGNACION!$D493)*(DET_ASIG[ID_ASIG]=ASIGNACION!$G493),"No existe información")))</f>
        <v>No existe información</v>
      </c>
      <c r="BQ493" s="5" t="str" cm="1">
        <f t="array" ref="BQ493">IFERROR(
    TRANSPOSE(
        _xlfn.UNIQUE(
            _xlfn._xlws.FILTER(MAESTRIA_DETALLADO[MAESTRIA],
                ISNUMBER(MATCH(MAESTRIA_DETALLADO[CAMPO_DETALLADO],
                BD493:BP493,0))
            )
        )
    ),IF(BD493="ACTIVIDAD","DOCENCIA",""))</f>
        <v/>
      </c>
      <c r="EA493" s="5" t="str" cm="1">
        <f t="array" ref="EA493:FN493">IF(
    ASIGNACION!I493="SI",
    IFERROR(
        TRANSPOSE(
            _xlfn.UNIQUE(
                _xlfn._xlws.FILTER(EDU_DOCENTE[NOMBRE_DOCENTE],
                    ISNUMBER(MATCH(EDU_DOCENTE[MAESTRIA],
                    BQ493:DY493,0))
                )
            )
        ),
        ""
    ),
    TRANSPOSE(
        _xlfn.UNIQUE(EDU_DOCENTE[NOMBRE_DOCENTE]
        )
    )
)</f>
        <v>ALCIVAR CEDEÑO BEATRIZ ISABEL</v>
      </c>
      <c r="EB493" t="str">
        <v>ALCIVAR VERA GEMA MICHELLE</v>
      </c>
      <c r="EC493" t="str">
        <v>ARAUZ CHAVEZ MARIO ROBERTO</v>
      </c>
      <c r="ED493" t="str">
        <v>BAILON LOURIDO WALTER ALBERTO</v>
      </c>
      <c r="EE493" t="str">
        <v>CALDERERO VILLAGOMEZ ERICK ANTONIO</v>
      </c>
      <c r="EF493" t="str">
        <v>CASTILLO GARCIA PAOLA GERMANIA</v>
      </c>
      <c r="EG493" t="str">
        <v>CEDEÑO CHOEZ PEDRO JAVIER</v>
      </c>
      <c r="EH493" t="str">
        <v>CEVALLOS HOPPE JUAN CARLOS</v>
      </c>
      <c r="EI493" t="str">
        <v>DELGADO CHAVEZ MARIA IRASEMA</v>
      </c>
      <c r="EJ493" t="str">
        <v>DUARTE VALENCIA CRISTHIAN DARIO</v>
      </c>
      <c r="EK493" t="str">
        <v>FORTTY BARBERAN DENNY ALEXANDER</v>
      </c>
      <c r="EL493" t="str">
        <v>GUTIERREZ ZAMBRANO CARMEN EBELINA</v>
      </c>
      <c r="EM493" t="str">
        <v>INTRIAGO MOLINA GEMA VALERIA</v>
      </c>
      <c r="EN493" t="str">
        <v>LINO VELEZ LEONEL LIVINGTON</v>
      </c>
      <c r="EO493" t="str">
        <v>LOOR ALCIVAR MARIA ILIANA</v>
      </c>
      <c r="EP493" t="str">
        <v>LOOR MIELES TANIA JACQUELINE</v>
      </c>
      <c r="EQ493" t="str">
        <v>LOOR SOLORZANO ROSA MARIA</v>
      </c>
      <c r="ER493" t="str">
        <v>LOPEZ DELGADO RONALD MAURICIO</v>
      </c>
      <c r="ES493" t="str">
        <v>MACIAS VALENCIA DAVID GABRIEL</v>
      </c>
      <c r="ET493" t="str">
        <v>MENDOZA ZAMORA WALTER MANUEL</v>
      </c>
      <c r="EU493" t="str">
        <v>MOLINA CEVALLOS MARIA LORENA</v>
      </c>
      <c r="EV493" t="str">
        <v>MURILLO DELGADO ISAAC GABRIEL</v>
      </c>
      <c r="EW493" t="str">
        <v>ANGULO MURILLO NAVIRA GISSELA</v>
      </c>
      <c r="EX493" t="str">
        <v>OCHOA SOLEDISPA NESTOR IVAN</v>
      </c>
      <c r="EY493" t="str">
        <v>PARRAGA FRANCO SILVANA MARIELA</v>
      </c>
      <c r="EZ493" t="str">
        <v>PINARGOTE VASQUEZ NANCY FABIOLA</v>
      </c>
      <c r="FA493" t="str">
        <v>REYES VELEZ PEDRO ENRIQUE</v>
      </c>
      <c r="FB493" t="str">
        <v>SAN ANDRES HORMAZA DALLAS CECILIA</v>
      </c>
      <c r="FC493" t="str">
        <v>SORNOZA ZAMORA JUAN CARLOS</v>
      </c>
      <c r="FD493" t="str">
        <v>TOMALA PINTO JESUS JACINTO</v>
      </c>
      <c r="FE493" t="str">
        <v>VALLE JARAMILLO SILVIA ARACELY</v>
      </c>
      <c r="FF493" t="str">
        <v>VELÁSQUEZ BRAVO IRMA KATHERINE</v>
      </c>
      <c r="FG493" t="str">
        <v>VELEZ MENDOZA LAYSY VALERIA</v>
      </c>
      <c r="FH493" t="str">
        <v>VINUEZA TELLO SHIRLEY ELIZABETH</v>
      </c>
      <c r="FI493" t="str">
        <v>ZAMBRANO ALCIVAR NILDA ISABEL</v>
      </c>
      <c r="FJ493" t="str">
        <v>ZAMBRANO LOOR RITA MAYDA</v>
      </c>
      <c r="FK493" t="str">
        <v>ZAMBRANO VERA MONICA JANETH</v>
      </c>
      <c r="FL493" t="str">
        <v>VERA DELGADO BRYAN ADRIÁN</v>
      </c>
      <c r="FM493" t="str">
        <v>MORAN GONZALES DAVID RENATO</v>
      </c>
      <c r="FN493">
        <v>0</v>
      </c>
    </row>
    <row r="494" spans="1:170" ht="20.25" customHeight="1">
      <c r="A494" s="4" t="str" cm="1">
        <f t="array" ref="A494">TRANSPOSE(_xlfn.UNIQUE(_xlfn._xlws.FILTER(MAE_ASIGNATURA[ID_NIVEL],MAE_ASIGNATURA[ID_CARRERA]=ASIGNACION!$C494,"No existe información")))</f>
        <v>No existe información</v>
      </c>
      <c r="S494" s="4" t="str" cm="1">
        <f t="array" ref="S494">TRANSPOSE(_xlfn.UNIQUE(_xlfn._xlws.FILTER(MAE_ASIGNATURA[NOM_ASIG],(MAE_ASIGNATURA[ID_NIVEL]=ASIGNACION!$D494)*(MAE_ASIGNATURA[ID_CARRERA]=ASIGNACION!$C494),"No existe información")))</f>
        <v>No existe información</v>
      </c>
      <c r="BD494" s="4" t="str" cm="1">
        <f t="array" ref="BD494">TRANSPOSE(_xlfn.UNIQUE(_xlfn._xlws.FILTER(DET_ASIG[DETALLADO],(DET_ASIG[ID_CARRERA]=ASIGNACION!$C494)*(DET_ASIG[NIVEL]=ASIGNACION!$D494)*(DET_ASIG[ID_ASIG]=ASIGNACION!$G494),"No existe información")))</f>
        <v>No existe información</v>
      </c>
      <c r="BQ494" s="5" t="str" cm="1">
        <f t="array" ref="BQ494">IFERROR(
    TRANSPOSE(
        _xlfn.UNIQUE(
            _xlfn._xlws.FILTER(MAESTRIA_DETALLADO[MAESTRIA],
                ISNUMBER(MATCH(MAESTRIA_DETALLADO[CAMPO_DETALLADO],
                BD494:BP494,0))
            )
        )
    ),IF(BD494="ACTIVIDAD","DOCENCIA",""))</f>
        <v/>
      </c>
      <c r="EA494" s="5" t="str" cm="1">
        <f t="array" ref="EA494:FN494">IF(
    ASIGNACION!I494="SI",
    IFERROR(
        TRANSPOSE(
            _xlfn.UNIQUE(
                _xlfn._xlws.FILTER(EDU_DOCENTE[NOMBRE_DOCENTE],
                    ISNUMBER(MATCH(EDU_DOCENTE[MAESTRIA],
                    BQ494:DY494,0))
                )
            )
        ),
        ""
    ),
    TRANSPOSE(
        _xlfn.UNIQUE(EDU_DOCENTE[NOMBRE_DOCENTE]
        )
    )
)</f>
        <v>ALCIVAR CEDEÑO BEATRIZ ISABEL</v>
      </c>
      <c r="EB494" t="str">
        <v>ALCIVAR VERA GEMA MICHELLE</v>
      </c>
      <c r="EC494" t="str">
        <v>ARAUZ CHAVEZ MARIO ROBERTO</v>
      </c>
      <c r="ED494" t="str">
        <v>BAILON LOURIDO WALTER ALBERTO</v>
      </c>
      <c r="EE494" t="str">
        <v>CALDERERO VILLAGOMEZ ERICK ANTONIO</v>
      </c>
      <c r="EF494" t="str">
        <v>CASTILLO GARCIA PAOLA GERMANIA</v>
      </c>
      <c r="EG494" t="str">
        <v>CEDEÑO CHOEZ PEDRO JAVIER</v>
      </c>
      <c r="EH494" t="str">
        <v>CEVALLOS HOPPE JUAN CARLOS</v>
      </c>
      <c r="EI494" t="str">
        <v>DELGADO CHAVEZ MARIA IRASEMA</v>
      </c>
      <c r="EJ494" t="str">
        <v>DUARTE VALENCIA CRISTHIAN DARIO</v>
      </c>
      <c r="EK494" t="str">
        <v>FORTTY BARBERAN DENNY ALEXANDER</v>
      </c>
      <c r="EL494" t="str">
        <v>GUTIERREZ ZAMBRANO CARMEN EBELINA</v>
      </c>
      <c r="EM494" t="str">
        <v>INTRIAGO MOLINA GEMA VALERIA</v>
      </c>
      <c r="EN494" t="str">
        <v>LINO VELEZ LEONEL LIVINGTON</v>
      </c>
      <c r="EO494" t="str">
        <v>LOOR ALCIVAR MARIA ILIANA</v>
      </c>
      <c r="EP494" t="str">
        <v>LOOR MIELES TANIA JACQUELINE</v>
      </c>
      <c r="EQ494" t="str">
        <v>LOOR SOLORZANO ROSA MARIA</v>
      </c>
      <c r="ER494" t="str">
        <v>LOPEZ DELGADO RONALD MAURICIO</v>
      </c>
      <c r="ES494" t="str">
        <v>MACIAS VALENCIA DAVID GABRIEL</v>
      </c>
      <c r="ET494" t="str">
        <v>MENDOZA ZAMORA WALTER MANUEL</v>
      </c>
      <c r="EU494" t="str">
        <v>MOLINA CEVALLOS MARIA LORENA</v>
      </c>
      <c r="EV494" t="str">
        <v>MURILLO DELGADO ISAAC GABRIEL</v>
      </c>
      <c r="EW494" t="str">
        <v>ANGULO MURILLO NAVIRA GISSELA</v>
      </c>
      <c r="EX494" t="str">
        <v>OCHOA SOLEDISPA NESTOR IVAN</v>
      </c>
      <c r="EY494" t="str">
        <v>PARRAGA FRANCO SILVANA MARIELA</v>
      </c>
      <c r="EZ494" t="str">
        <v>PINARGOTE VASQUEZ NANCY FABIOLA</v>
      </c>
      <c r="FA494" t="str">
        <v>REYES VELEZ PEDRO ENRIQUE</v>
      </c>
      <c r="FB494" t="str">
        <v>SAN ANDRES HORMAZA DALLAS CECILIA</v>
      </c>
      <c r="FC494" t="str">
        <v>SORNOZA ZAMORA JUAN CARLOS</v>
      </c>
      <c r="FD494" t="str">
        <v>TOMALA PINTO JESUS JACINTO</v>
      </c>
      <c r="FE494" t="str">
        <v>VALLE JARAMILLO SILVIA ARACELY</v>
      </c>
      <c r="FF494" t="str">
        <v>VELÁSQUEZ BRAVO IRMA KATHERINE</v>
      </c>
      <c r="FG494" t="str">
        <v>VELEZ MENDOZA LAYSY VALERIA</v>
      </c>
      <c r="FH494" t="str">
        <v>VINUEZA TELLO SHIRLEY ELIZABETH</v>
      </c>
      <c r="FI494" t="str">
        <v>ZAMBRANO ALCIVAR NILDA ISABEL</v>
      </c>
      <c r="FJ494" t="str">
        <v>ZAMBRANO LOOR RITA MAYDA</v>
      </c>
      <c r="FK494" t="str">
        <v>ZAMBRANO VERA MONICA JANETH</v>
      </c>
      <c r="FL494" t="str">
        <v>VERA DELGADO BRYAN ADRIÁN</v>
      </c>
      <c r="FM494" t="str">
        <v>MORAN GONZALES DAVID RENATO</v>
      </c>
      <c r="FN494">
        <v>0</v>
      </c>
    </row>
    <row r="495" spans="1:170" ht="20.25" customHeight="1">
      <c r="A495" s="4" t="str" cm="1">
        <f t="array" ref="A495">TRANSPOSE(_xlfn.UNIQUE(_xlfn._xlws.FILTER(MAE_ASIGNATURA[ID_NIVEL],MAE_ASIGNATURA[ID_CARRERA]=ASIGNACION!$C495,"No existe información")))</f>
        <v>No existe información</v>
      </c>
      <c r="S495" s="4" t="str" cm="1">
        <f t="array" ref="S495">TRANSPOSE(_xlfn.UNIQUE(_xlfn._xlws.FILTER(MAE_ASIGNATURA[NOM_ASIG],(MAE_ASIGNATURA[ID_NIVEL]=ASIGNACION!$D495)*(MAE_ASIGNATURA[ID_CARRERA]=ASIGNACION!$C495),"No existe información")))</f>
        <v>No existe información</v>
      </c>
      <c r="BD495" s="4" t="str" cm="1">
        <f t="array" ref="BD495">TRANSPOSE(_xlfn.UNIQUE(_xlfn._xlws.FILTER(DET_ASIG[DETALLADO],(DET_ASIG[ID_CARRERA]=ASIGNACION!$C495)*(DET_ASIG[NIVEL]=ASIGNACION!$D495)*(DET_ASIG[ID_ASIG]=ASIGNACION!$G495),"No existe información")))</f>
        <v>No existe información</v>
      </c>
      <c r="BQ495" s="5" t="str" cm="1">
        <f t="array" ref="BQ495">IFERROR(
    TRANSPOSE(
        _xlfn.UNIQUE(
            _xlfn._xlws.FILTER(MAESTRIA_DETALLADO[MAESTRIA],
                ISNUMBER(MATCH(MAESTRIA_DETALLADO[CAMPO_DETALLADO],
                BD495:BP495,0))
            )
        )
    ),IF(BD495="ACTIVIDAD","DOCENCIA",""))</f>
        <v/>
      </c>
      <c r="EA495" s="5" t="str" cm="1">
        <f t="array" ref="EA495:FN495">IF(
    ASIGNACION!I495="SI",
    IFERROR(
        TRANSPOSE(
            _xlfn.UNIQUE(
                _xlfn._xlws.FILTER(EDU_DOCENTE[NOMBRE_DOCENTE],
                    ISNUMBER(MATCH(EDU_DOCENTE[MAESTRIA],
                    BQ495:DY495,0))
                )
            )
        ),
        ""
    ),
    TRANSPOSE(
        _xlfn.UNIQUE(EDU_DOCENTE[NOMBRE_DOCENTE]
        )
    )
)</f>
        <v>ALCIVAR CEDEÑO BEATRIZ ISABEL</v>
      </c>
      <c r="EB495" t="str">
        <v>ALCIVAR VERA GEMA MICHELLE</v>
      </c>
      <c r="EC495" t="str">
        <v>ARAUZ CHAVEZ MARIO ROBERTO</v>
      </c>
      <c r="ED495" t="str">
        <v>BAILON LOURIDO WALTER ALBERTO</v>
      </c>
      <c r="EE495" t="str">
        <v>CALDERERO VILLAGOMEZ ERICK ANTONIO</v>
      </c>
      <c r="EF495" t="str">
        <v>CASTILLO GARCIA PAOLA GERMANIA</v>
      </c>
      <c r="EG495" t="str">
        <v>CEDEÑO CHOEZ PEDRO JAVIER</v>
      </c>
      <c r="EH495" t="str">
        <v>CEVALLOS HOPPE JUAN CARLOS</v>
      </c>
      <c r="EI495" t="str">
        <v>DELGADO CHAVEZ MARIA IRASEMA</v>
      </c>
      <c r="EJ495" t="str">
        <v>DUARTE VALENCIA CRISTHIAN DARIO</v>
      </c>
      <c r="EK495" t="str">
        <v>FORTTY BARBERAN DENNY ALEXANDER</v>
      </c>
      <c r="EL495" t="str">
        <v>GUTIERREZ ZAMBRANO CARMEN EBELINA</v>
      </c>
      <c r="EM495" t="str">
        <v>INTRIAGO MOLINA GEMA VALERIA</v>
      </c>
      <c r="EN495" t="str">
        <v>LINO VELEZ LEONEL LIVINGTON</v>
      </c>
      <c r="EO495" t="str">
        <v>LOOR ALCIVAR MARIA ILIANA</v>
      </c>
      <c r="EP495" t="str">
        <v>LOOR MIELES TANIA JACQUELINE</v>
      </c>
      <c r="EQ495" t="str">
        <v>LOOR SOLORZANO ROSA MARIA</v>
      </c>
      <c r="ER495" t="str">
        <v>LOPEZ DELGADO RONALD MAURICIO</v>
      </c>
      <c r="ES495" t="str">
        <v>MACIAS VALENCIA DAVID GABRIEL</v>
      </c>
      <c r="ET495" t="str">
        <v>MENDOZA ZAMORA WALTER MANUEL</v>
      </c>
      <c r="EU495" t="str">
        <v>MOLINA CEVALLOS MARIA LORENA</v>
      </c>
      <c r="EV495" t="str">
        <v>MURILLO DELGADO ISAAC GABRIEL</v>
      </c>
      <c r="EW495" t="str">
        <v>ANGULO MURILLO NAVIRA GISSELA</v>
      </c>
      <c r="EX495" t="str">
        <v>OCHOA SOLEDISPA NESTOR IVAN</v>
      </c>
      <c r="EY495" t="str">
        <v>PARRAGA FRANCO SILVANA MARIELA</v>
      </c>
      <c r="EZ495" t="str">
        <v>PINARGOTE VASQUEZ NANCY FABIOLA</v>
      </c>
      <c r="FA495" t="str">
        <v>REYES VELEZ PEDRO ENRIQUE</v>
      </c>
      <c r="FB495" t="str">
        <v>SAN ANDRES HORMAZA DALLAS CECILIA</v>
      </c>
      <c r="FC495" t="str">
        <v>SORNOZA ZAMORA JUAN CARLOS</v>
      </c>
      <c r="FD495" t="str">
        <v>TOMALA PINTO JESUS JACINTO</v>
      </c>
      <c r="FE495" t="str">
        <v>VALLE JARAMILLO SILVIA ARACELY</v>
      </c>
      <c r="FF495" t="str">
        <v>VELÁSQUEZ BRAVO IRMA KATHERINE</v>
      </c>
      <c r="FG495" t="str">
        <v>VELEZ MENDOZA LAYSY VALERIA</v>
      </c>
      <c r="FH495" t="str">
        <v>VINUEZA TELLO SHIRLEY ELIZABETH</v>
      </c>
      <c r="FI495" t="str">
        <v>ZAMBRANO ALCIVAR NILDA ISABEL</v>
      </c>
      <c r="FJ495" t="str">
        <v>ZAMBRANO LOOR RITA MAYDA</v>
      </c>
      <c r="FK495" t="str">
        <v>ZAMBRANO VERA MONICA JANETH</v>
      </c>
      <c r="FL495" t="str">
        <v>VERA DELGADO BRYAN ADRIÁN</v>
      </c>
      <c r="FM495" t="str">
        <v>MORAN GONZALES DAVID RENATO</v>
      </c>
      <c r="FN495">
        <v>0</v>
      </c>
    </row>
    <row r="496" spans="1:170" ht="20.25" customHeight="1">
      <c r="A496" s="4" t="str" cm="1">
        <f t="array" ref="A496">TRANSPOSE(_xlfn.UNIQUE(_xlfn._xlws.FILTER(MAE_ASIGNATURA[ID_NIVEL],MAE_ASIGNATURA[ID_CARRERA]=ASIGNACION!$C496,"No existe información")))</f>
        <v>No existe información</v>
      </c>
      <c r="S496" s="4" t="str" cm="1">
        <f t="array" ref="S496">TRANSPOSE(_xlfn.UNIQUE(_xlfn._xlws.FILTER(MAE_ASIGNATURA[NOM_ASIG],(MAE_ASIGNATURA[ID_NIVEL]=ASIGNACION!$D496)*(MAE_ASIGNATURA[ID_CARRERA]=ASIGNACION!$C496),"No existe información")))</f>
        <v>No existe información</v>
      </c>
      <c r="BD496" s="4" t="str" cm="1">
        <f t="array" ref="BD496">TRANSPOSE(_xlfn.UNIQUE(_xlfn._xlws.FILTER(DET_ASIG[DETALLADO],(DET_ASIG[ID_CARRERA]=ASIGNACION!$C496)*(DET_ASIG[NIVEL]=ASIGNACION!$D496)*(DET_ASIG[ID_ASIG]=ASIGNACION!$G496),"No existe información")))</f>
        <v>No existe información</v>
      </c>
      <c r="BQ496" s="5" t="str" cm="1">
        <f t="array" ref="BQ496">IFERROR(
    TRANSPOSE(
        _xlfn.UNIQUE(
            _xlfn._xlws.FILTER(MAESTRIA_DETALLADO[MAESTRIA],
                ISNUMBER(MATCH(MAESTRIA_DETALLADO[CAMPO_DETALLADO],
                BD496:BP496,0))
            )
        )
    ),IF(BD496="ACTIVIDAD","DOCENCIA",""))</f>
        <v/>
      </c>
      <c r="EA496" s="5" t="str" cm="1">
        <f t="array" ref="EA496:FN496">IF(
    ASIGNACION!I496="SI",
    IFERROR(
        TRANSPOSE(
            _xlfn.UNIQUE(
                _xlfn._xlws.FILTER(EDU_DOCENTE[NOMBRE_DOCENTE],
                    ISNUMBER(MATCH(EDU_DOCENTE[MAESTRIA],
                    BQ496:DY496,0))
                )
            )
        ),
        ""
    ),
    TRANSPOSE(
        _xlfn.UNIQUE(EDU_DOCENTE[NOMBRE_DOCENTE]
        )
    )
)</f>
        <v>ALCIVAR CEDEÑO BEATRIZ ISABEL</v>
      </c>
      <c r="EB496" t="str">
        <v>ALCIVAR VERA GEMA MICHELLE</v>
      </c>
      <c r="EC496" t="str">
        <v>ARAUZ CHAVEZ MARIO ROBERTO</v>
      </c>
      <c r="ED496" t="str">
        <v>BAILON LOURIDO WALTER ALBERTO</v>
      </c>
      <c r="EE496" t="str">
        <v>CALDERERO VILLAGOMEZ ERICK ANTONIO</v>
      </c>
      <c r="EF496" t="str">
        <v>CASTILLO GARCIA PAOLA GERMANIA</v>
      </c>
      <c r="EG496" t="str">
        <v>CEDEÑO CHOEZ PEDRO JAVIER</v>
      </c>
      <c r="EH496" t="str">
        <v>CEVALLOS HOPPE JUAN CARLOS</v>
      </c>
      <c r="EI496" t="str">
        <v>DELGADO CHAVEZ MARIA IRASEMA</v>
      </c>
      <c r="EJ496" t="str">
        <v>DUARTE VALENCIA CRISTHIAN DARIO</v>
      </c>
      <c r="EK496" t="str">
        <v>FORTTY BARBERAN DENNY ALEXANDER</v>
      </c>
      <c r="EL496" t="str">
        <v>GUTIERREZ ZAMBRANO CARMEN EBELINA</v>
      </c>
      <c r="EM496" t="str">
        <v>INTRIAGO MOLINA GEMA VALERIA</v>
      </c>
      <c r="EN496" t="str">
        <v>LINO VELEZ LEONEL LIVINGTON</v>
      </c>
      <c r="EO496" t="str">
        <v>LOOR ALCIVAR MARIA ILIANA</v>
      </c>
      <c r="EP496" t="str">
        <v>LOOR MIELES TANIA JACQUELINE</v>
      </c>
      <c r="EQ496" t="str">
        <v>LOOR SOLORZANO ROSA MARIA</v>
      </c>
      <c r="ER496" t="str">
        <v>LOPEZ DELGADO RONALD MAURICIO</v>
      </c>
      <c r="ES496" t="str">
        <v>MACIAS VALENCIA DAVID GABRIEL</v>
      </c>
      <c r="ET496" t="str">
        <v>MENDOZA ZAMORA WALTER MANUEL</v>
      </c>
      <c r="EU496" t="str">
        <v>MOLINA CEVALLOS MARIA LORENA</v>
      </c>
      <c r="EV496" t="str">
        <v>MURILLO DELGADO ISAAC GABRIEL</v>
      </c>
      <c r="EW496" t="str">
        <v>ANGULO MURILLO NAVIRA GISSELA</v>
      </c>
      <c r="EX496" t="str">
        <v>OCHOA SOLEDISPA NESTOR IVAN</v>
      </c>
      <c r="EY496" t="str">
        <v>PARRAGA FRANCO SILVANA MARIELA</v>
      </c>
      <c r="EZ496" t="str">
        <v>PINARGOTE VASQUEZ NANCY FABIOLA</v>
      </c>
      <c r="FA496" t="str">
        <v>REYES VELEZ PEDRO ENRIQUE</v>
      </c>
      <c r="FB496" t="str">
        <v>SAN ANDRES HORMAZA DALLAS CECILIA</v>
      </c>
      <c r="FC496" t="str">
        <v>SORNOZA ZAMORA JUAN CARLOS</v>
      </c>
      <c r="FD496" t="str">
        <v>TOMALA PINTO JESUS JACINTO</v>
      </c>
      <c r="FE496" t="str">
        <v>VALLE JARAMILLO SILVIA ARACELY</v>
      </c>
      <c r="FF496" t="str">
        <v>VELÁSQUEZ BRAVO IRMA KATHERINE</v>
      </c>
      <c r="FG496" t="str">
        <v>VELEZ MENDOZA LAYSY VALERIA</v>
      </c>
      <c r="FH496" t="str">
        <v>VINUEZA TELLO SHIRLEY ELIZABETH</v>
      </c>
      <c r="FI496" t="str">
        <v>ZAMBRANO ALCIVAR NILDA ISABEL</v>
      </c>
      <c r="FJ496" t="str">
        <v>ZAMBRANO LOOR RITA MAYDA</v>
      </c>
      <c r="FK496" t="str">
        <v>ZAMBRANO VERA MONICA JANETH</v>
      </c>
      <c r="FL496" t="str">
        <v>VERA DELGADO BRYAN ADRIÁN</v>
      </c>
      <c r="FM496" t="str">
        <v>MORAN GONZALES DAVID RENATO</v>
      </c>
      <c r="FN496">
        <v>0</v>
      </c>
    </row>
    <row r="497" spans="1:170" ht="20.25" customHeight="1">
      <c r="A497" s="4" t="str" cm="1">
        <f t="array" ref="A497">TRANSPOSE(_xlfn.UNIQUE(_xlfn._xlws.FILTER(MAE_ASIGNATURA[ID_NIVEL],MAE_ASIGNATURA[ID_CARRERA]=ASIGNACION!$C497,"No existe información")))</f>
        <v>No existe información</v>
      </c>
      <c r="S497" s="4" t="str" cm="1">
        <f t="array" ref="S497">TRANSPOSE(_xlfn.UNIQUE(_xlfn._xlws.FILTER(MAE_ASIGNATURA[NOM_ASIG],(MAE_ASIGNATURA[ID_NIVEL]=ASIGNACION!$D497)*(MAE_ASIGNATURA[ID_CARRERA]=ASIGNACION!$C497),"No existe información")))</f>
        <v>No existe información</v>
      </c>
      <c r="BD497" s="4" t="str" cm="1">
        <f t="array" ref="BD497">TRANSPOSE(_xlfn.UNIQUE(_xlfn._xlws.FILTER(DET_ASIG[DETALLADO],(DET_ASIG[ID_CARRERA]=ASIGNACION!$C497)*(DET_ASIG[NIVEL]=ASIGNACION!$D497)*(DET_ASIG[ID_ASIG]=ASIGNACION!$G497),"No existe información")))</f>
        <v>No existe información</v>
      </c>
      <c r="BQ497" s="5" t="str" cm="1">
        <f t="array" ref="BQ497">IFERROR(
    TRANSPOSE(
        _xlfn.UNIQUE(
            _xlfn._xlws.FILTER(MAESTRIA_DETALLADO[MAESTRIA],
                ISNUMBER(MATCH(MAESTRIA_DETALLADO[CAMPO_DETALLADO],
                BD497:BP497,0))
            )
        )
    ),IF(BD497="ACTIVIDAD","DOCENCIA",""))</f>
        <v/>
      </c>
      <c r="EA497" s="5" t="str" cm="1">
        <f t="array" ref="EA497:FN497">IF(
    ASIGNACION!I497="SI",
    IFERROR(
        TRANSPOSE(
            _xlfn.UNIQUE(
                _xlfn._xlws.FILTER(EDU_DOCENTE[NOMBRE_DOCENTE],
                    ISNUMBER(MATCH(EDU_DOCENTE[MAESTRIA],
                    BQ497:DY497,0))
                )
            )
        ),
        ""
    ),
    TRANSPOSE(
        _xlfn.UNIQUE(EDU_DOCENTE[NOMBRE_DOCENTE]
        )
    )
)</f>
        <v>ALCIVAR CEDEÑO BEATRIZ ISABEL</v>
      </c>
      <c r="EB497" t="str">
        <v>ALCIVAR VERA GEMA MICHELLE</v>
      </c>
      <c r="EC497" t="str">
        <v>ARAUZ CHAVEZ MARIO ROBERTO</v>
      </c>
      <c r="ED497" t="str">
        <v>BAILON LOURIDO WALTER ALBERTO</v>
      </c>
      <c r="EE497" t="str">
        <v>CALDERERO VILLAGOMEZ ERICK ANTONIO</v>
      </c>
      <c r="EF497" t="str">
        <v>CASTILLO GARCIA PAOLA GERMANIA</v>
      </c>
      <c r="EG497" t="str">
        <v>CEDEÑO CHOEZ PEDRO JAVIER</v>
      </c>
      <c r="EH497" t="str">
        <v>CEVALLOS HOPPE JUAN CARLOS</v>
      </c>
      <c r="EI497" t="str">
        <v>DELGADO CHAVEZ MARIA IRASEMA</v>
      </c>
      <c r="EJ497" t="str">
        <v>DUARTE VALENCIA CRISTHIAN DARIO</v>
      </c>
      <c r="EK497" t="str">
        <v>FORTTY BARBERAN DENNY ALEXANDER</v>
      </c>
      <c r="EL497" t="str">
        <v>GUTIERREZ ZAMBRANO CARMEN EBELINA</v>
      </c>
      <c r="EM497" t="str">
        <v>INTRIAGO MOLINA GEMA VALERIA</v>
      </c>
      <c r="EN497" t="str">
        <v>LINO VELEZ LEONEL LIVINGTON</v>
      </c>
      <c r="EO497" t="str">
        <v>LOOR ALCIVAR MARIA ILIANA</v>
      </c>
      <c r="EP497" t="str">
        <v>LOOR MIELES TANIA JACQUELINE</v>
      </c>
      <c r="EQ497" t="str">
        <v>LOOR SOLORZANO ROSA MARIA</v>
      </c>
      <c r="ER497" t="str">
        <v>LOPEZ DELGADO RONALD MAURICIO</v>
      </c>
      <c r="ES497" t="str">
        <v>MACIAS VALENCIA DAVID GABRIEL</v>
      </c>
      <c r="ET497" t="str">
        <v>MENDOZA ZAMORA WALTER MANUEL</v>
      </c>
      <c r="EU497" t="str">
        <v>MOLINA CEVALLOS MARIA LORENA</v>
      </c>
      <c r="EV497" t="str">
        <v>MURILLO DELGADO ISAAC GABRIEL</v>
      </c>
      <c r="EW497" t="str">
        <v>ANGULO MURILLO NAVIRA GISSELA</v>
      </c>
      <c r="EX497" t="str">
        <v>OCHOA SOLEDISPA NESTOR IVAN</v>
      </c>
      <c r="EY497" t="str">
        <v>PARRAGA FRANCO SILVANA MARIELA</v>
      </c>
      <c r="EZ497" t="str">
        <v>PINARGOTE VASQUEZ NANCY FABIOLA</v>
      </c>
      <c r="FA497" t="str">
        <v>REYES VELEZ PEDRO ENRIQUE</v>
      </c>
      <c r="FB497" t="str">
        <v>SAN ANDRES HORMAZA DALLAS CECILIA</v>
      </c>
      <c r="FC497" t="str">
        <v>SORNOZA ZAMORA JUAN CARLOS</v>
      </c>
      <c r="FD497" t="str">
        <v>TOMALA PINTO JESUS JACINTO</v>
      </c>
      <c r="FE497" t="str">
        <v>VALLE JARAMILLO SILVIA ARACELY</v>
      </c>
      <c r="FF497" t="str">
        <v>VELÁSQUEZ BRAVO IRMA KATHERINE</v>
      </c>
      <c r="FG497" t="str">
        <v>VELEZ MENDOZA LAYSY VALERIA</v>
      </c>
      <c r="FH497" t="str">
        <v>VINUEZA TELLO SHIRLEY ELIZABETH</v>
      </c>
      <c r="FI497" t="str">
        <v>ZAMBRANO ALCIVAR NILDA ISABEL</v>
      </c>
      <c r="FJ497" t="str">
        <v>ZAMBRANO LOOR RITA MAYDA</v>
      </c>
      <c r="FK497" t="str">
        <v>ZAMBRANO VERA MONICA JANETH</v>
      </c>
      <c r="FL497" t="str">
        <v>VERA DELGADO BRYAN ADRIÁN</v>
      </c>
      <c r="FM497" t="str">
        <v>MORAN GONZALES DAVID RENATO</v>
      </c>
      <c r="FN497">
        <v>0</v>
      </c>
    </row>
    <row r="498" spans="1:170" ht="20.25" customHeight="1">
      <c r="A498" s="4" t="str" cm="1">
        <f t="array" ref="A498">TRANSPOSE(_xlfn.UNIQUE(_xlfn._xlws.FILTER(MAE_ASIGNATURA[ID_NIVEL],MAE_ASIGNATURA[ID_CARRERA]=ASIGNACION!$C498,"No existe información")))</f>
        <v>No existe información</v>
      </c>
      <c r="S498" s="4" t="str" cm="1">
        <f t="array" ref="S498">TRANSPOSE(_xlfn.UNIQUE(_xlfn._xlws.FILTER(MAE_ASIGNATURA[NOM_ASIG],(MAE_ASIGNATURA[ID_NIVEL]=ASIGNACION!$D498)*(MAE_ASIGNATURA[ID_CARRERA]=ASIGNACION!$C498),"No existe información")))</f>
        <v>No existe información</v>
      </c>
      <c r="BD498" s="4" t="str" cm="1">
        <f t="array" ref="BD498">TRANSPOSE(_xlfn.UNIQUE(_xlfn._xlws.FILTER(DET_ASIG[DETALLADO],(DET_ASIG[ID_CARRERA]=ASIGNACION!$C498)*(DET_ASIG[NIVEL]=ASIGNACION!$D498)*(DET_ASIG[ID_ASIG]=ASIGNACION!$G498),"No existe información")))</f>
        <v>No existe información</v>
      </c>
      <c r="BQ498" s="5" t="str" cm="1">
        <f t="array" ref="BQ498">IFERROR(
    TRANSPOSE(
        _xlfn.UNIQUE(
            _xlfn._xlws.FILTER(MAESTRIA_DETALLADO[MAESTRIA],
                ISNUMBER(MATCH(MAESTRIA_DETALLADO[CAMPO_DETALLADO],
                BD498:BP498,0))
            )
        )
    ),IF(BD498="ACTIVIDAD","DOCENCIA",""))</f>
        <v/>
      </c>
      <c r="EA498" s="5" t="str" cm="1">
        <f t="array" ref="EA498:FN498">IF(
    ASIGNACION!I498="SI",
    IFERROR(
        TRANSPOSE(
            _xlfn.UNIQUE(
                _xlfn._xlws.FILTER(EDU_DOCENTE[NOMBRE_DOCENTE],
                    ISNUMBER(MATCH(EDU_DOCENTE[MAESTRIA],
                    BQ498:DY498,0))
                )
            )
        ),
        ""
    ),
    TRANSPOSE(
        _xlfn.UNIQUE(EDU_DOCENTE[NOMBRE_DOCENTE]
        )
    )
)</f>
        <v>ALCIVAR CEDEÑO BEATRIZ ISABEL</v>
      </c>
      <c r="EB498" t="str">
        <v>ALCIVAR VERA GEMA MICHELLE</v>
      </c>
      <c r="EC498" t="str">
        <v>ARAUZ CHAVEZ MARIO ROBERTO</v>
      </c>
      <c r="ED498" t="str">
        <v>BAILON LOURIDO WALTER ALBERTO</v>
      </c>
      <c r="EE498" t="str">
        <v>CALDERERO VILLAGOMEZ ERICK ANTONIO</v>
      </c>
      <c r="EF498" t="str">
        <v>CASTILLO GARCIA PAOLA GERMANIA</v>
      </c>
      <c r="EG498" t="str">
        <v>CEDEÑO CHOEZ PEDRO JAVIER</v>
      </c>
      <c r="EH498" t="str">
        <v>CEVALLOS HOPPE JUAN CARLOS</v>
      </c>
      <c r="EI498" t="str">
        <v>DELGADO CHAVEZ MARIA IRASEMA</v>
      </c>
      <c r="EJ498" t="str">
        <v>DUARTE VALENCIA CRISTHIAN DARIO</v>
      </c>
      <c r="EK498" t="str">
        <v>FORTTY BARBERAN DENNY ALEXANDER</v>
      </c>
      <c r="EL498" t="str">
        <v>GUTIERREZ ZAMBRANO CARMEN EBELINA</v>
      </c>
      <c r="EM498" t="str">
        <v>INTRIAGO MOLINA GEMA VALERIA</v>
      </c>
      <c r="EN498" t="str">
        <v>LINO VELEZ LEONEL LIVINGTON</v>
      </c>
      <c r="EO498" t="str">
        <v>LOOR ALCIVAR MARIA ILIANA</v>
      </c>
      <c r="EP498" t="str">
        <v>LOOR MIELES TANIA JACQUELINE</v>
      </c>
      <c r="EQ498" t="str">
        <v>LOOR SOLORZANO ROSA MARIA</v>
      </c>
      <c r="ER498" t="str">
        <v>LOPEZ DELGADO RONALD MAURICIO</v>
      </c>
      <c r="ES498" t="str">
        <v>MACIAS VALENCIA DAVID GABRIEL</v>
      </c>
      <c r="ET498" t="str">
        <v>MENDOZA ZAMORA WALTER MANUEL</v>
      </c>
      <c r="EU498" t="str">
        <v>MOLINA CEVALLOS MARIA LORENA</v>
      </c>
      <c r="EV498" t="str">
        <v>MURILLO DELGADO ISAAC GABRIEL</v>
      </c>
      <c r="EW498" t="str">
        <v>ANGULO MURILLO NAVIRA GISSELA</v>
      </c>
      <c r="EX498" t="str">
        <v>OCHOA SOLEDISPA NESTOR IVAN</v>
      </c>
      <c r="EY498" t="str">
        <v>PARRAGA FRANCO SILVANA MARIELA</v>
      </c>
      <c r="EZ498" t="str">
        <v>PINARGOTE VASQUEZ NANCY FABIOLA</v>
      </c>
      <c r="FA498" t="str">
        <v>REYES VELEZ PEDRO ENRIQUE</v>
      </c>
      <c r="FB498" t="str">
        <v>SAN ANDRES HORMAZA DALLAS CECILIA</v>
      </c>
      <c r="FC498" t="str">
        <v>SORNOZA ZAMORA JUAN CARLOS</v>
      </c>
      <c r="FD498" t="str">
        <v>TOMALA PINTO JESUS JACINTO</v>
      </c>
      <c r="FE498" t="str">
        <v>VALLE JARAMILLO SILVIA ARACELY</v>
      </c>
      <c r="FF498" t="str">
        <v>VELÁSQUEZ BRAVO IRMA KATHERINE</v>
      </c>
      <c r="FG498" t="str">
        <v>VELEZ MENDOZA LAYSY VALERIA</v>
      </c>
      <c r="FH498" t="str">
        <v>VINUEZA TELLO SHIRLEY ELIZABETH</v>
      </c>
      <c r="FI498" t="str">
        <v>ZAMBRANO ALCIVAR NILDA ISABEL</v>
      </c>
      <c r="FJ498" t="str">
        <v>ZAMBRANO LOOR RITA MAYDA</v>
      </c>
      <c r="FK498" t="str">
        <v>ZAMBRANO VERA MONICA JANETH</v>
      </c>
      <c r="FL498" t="str">
        <v>VERA DELGADO BRYAN ADRIÁN</v>
      </c>
      <c r="FM498" t="str">
        <v>MORAN GONZALES DAVID RENATO</v>
      </c>
      <c r="FN498">
        <v>0</v>
      </c>
    </row>
    <row r="499" spans="1:170" ht="20.25" customHeight="1">
      <c r="A499" s="4" t="str" cm="1">
        <f t="array" ref="A499">TRANSPOSE(_xlfn.UNIQUE(_xlfn._xlws.FILTER(MAE_ASIGNATURA[ID_NIVEL],MAE_ASIGNATURA[ID_CARRERA]=ASIGNACION!$C499,"No existe información")))</f>
        <v>No existe información</v>
      </c>
      <c r="S499" s="4" t="str" cm="1">
        <f t="array" ref="S499">TRANSPOSE(_xlfn.UNIQUE(_xlfn._xlws.FILTER(MAE_ASIGNATURA[NOM_ASIG],(MAE_ASIGNATURA[ID_NIVEL]=ASIGNACION!$D499)*(MAE_ASIGNATURA[ID_CARRERA]=ASIGNACION!$C499),"No existe información")))</f>
        <v>No existe información</v>
      </c>
      <c r="BD499" s="4" t="str" cm="1">
        <f t="array" ref="BD499">TRANSPOSE(_xlfn.UNIQUE(_xlfn._xlws.FILTER(DET_ASIG[DETALLADO],(DET_ASIG[ID_CARRERA]=ASIGNACION!$C499)*(DET_ASIG[NIVEL]=ASIGNACION!$D499)*(DET_ASIG[ID_ASIG]=ASIGNACION!$G499),"No existe información")))</f>
        <v>No existe información</v>
      </c>
      <c r="BQ499" s="5" t="str" cm="1">
        <f t="array" ref="BQ499">IFERROR(
    TRANSPOSE(
        _xlfn.UNIQUE(
            _xlfn._xlws.FILTER(MAESTRIA_DETALLADO[MAESTRIA],
                ISNUMBER(MATCH(MAESTRIA_DETALLADO[CAMPO_DETALLADO],
                BD499:BP499,0))
            )
        )
    ),IF(BD499="ACTIVIDAD","DOCENCIA",""))</f>
        <v/>
      </c>
      <c r="EA499" s="5" t="str" cm="1">
        <f t="array" ref="EA499:FN499">IF(
    ASIGNACION!I499="SI",
    IFERROR(
        TRANSPOSE(
            _xlfn.UNIQUE(
                _xlfn._xlws.FILTER(EDU_DOCENTE[NOMBRE_DOCENTE],
                    ISNUMBER(MATCH(EDU_DOCENTE[MAESTRIA],
                    BQ499:DY499,0))
                )
            )
        ),
        ""
    ),
    TRANSPOSE(
        _xlfn.UNIQUE(EDU_DOCENTE[NOMBRE_DOCENTE]
        )
    )
)</f>
        <v>ALCIVAR CEDEÑO BEATRIZ ISABEL</v>
      </c>
      <c r="EB499" t="str">
        <v>ALCIVAR VERA GEMA MICHELLE</v>
      </c>
      <c r="EC499" t="str">
        <v>ARAUZ CHAVEZ MARIO ROBERTO</v>
      </c>
      <c r="ED499" t="str">
        <v>BAILON LOURIDO WALTER ALBERTO</v>
      </c>
      <c r="EE499" t="str">
        <v>CALDERERO VILLAGOMEZ ERICK ANTONIO</v>
      </c>
      <c r="EF499" t="str">
        <v>CASTILLO GARCIA PAOLA GERMANIA</v>
      </c>
      <c r="EG499" t="str">
        <v>CEDEÑO CHOEZ PEDRO JAVIER</v>
      </c>
      <c r="EH499" t="str">
        <v>CEVALLOS HOPPE JUAN CARLOS</v>
      </c>
      <c r="EI499" t="str">
        <v>DELGADO CHAVEZ MARIA IRASEMA</v>
      </c>
      <c r="EJ499" t="str">
        <v>DUARTE VALENCIA CRISTHIAN DARIO</v>
      </c>
      <c r="EK499" t="str">
        <v>FORTTY BARBERAN DENNY ALEXANDER</v>
      </c>
      <c r="EL499" t="str">
        <v>GUTIERREZ ZAMBRANO CARMEN EBELINA</v>
      </c>
      <c r="EM499" t="str">
        <v>INTRIAGO MOLINA GEMA VALERIA</v>
      </c>
      <c r="EN499" t="str">
        <v>LINO VELEZ LEONEL LIVINGTON</v>
      </c>
      <c r="EO499" t="str">
        <v>LOOR ALCIVAR MARIA ILIANA</v>
      </c>
      <c r="EP499" t="str">
        <v>LOOR MIELES TANIA JACQUELINE</v>
      </c>
      <c r="EQ499" t="str">
        <v>LOOR SOLORZANO ROSA MARIA</v>
      </c>
      <c r="ER499" t="str">
        <v>LOPEZ DELGADO RONALD MAURICIO</v>
      </c>
      <c r="ES499" t="str">
        <v>MACIAS VALENCIA DAVID GABRIEL</v>
      </c>
      <c r="ET499" t="str">
        <v>MENDOZA ZAMORA WALTER MANUEL</v>
      </c>
      <c r="EU499" t="str">
        <v>MOLINA CEVALLOS MARIA LORENA</v>
      </c>
      <c r="EV499" t="str">
        <v>MURILLO DELGADO ISAAC GABRIEL</v>
      </c>
      <c r="EW499" t="str">
        <v>ANGULO MURILLO NAVIRA GISSELA</v>
      </c>
      <c r="EX499" t="str">
        <v>OCHOA SOLEDISPA NESTOR IVAN</v>
      </c>
      <c r="EY499" t="str">
        <v>PARRAGA FRANCO SILVANA MARIELA</v>
      </c>
      <c r="EZ499" t="str">
        <v>PINARGOTE VASQUEZ NANCY FABIOLA</v>
      </c>
      <c r="FA499" t="str">
        <v>REYES VELEZ PEDRO ENRIQUE</v>
      </c>
      <c r="FB499" t="str">
        <v>SAN ANDRES HORMAZA DALLAS CECILIA</v>
      </c>
      <c r="FC499" t="str">
        <v>SORNOZA ZAMORA JUAN CARLOS</v>
      </c>
      <c r="FD499" t="str">
        <v>TOMALA PINTO JESUS JACINTO</v>
      </c>
      <c r="FE499" t="str">
        <v>VALLE JARAMILLO SILVIA ARACELY</v>
      </c>
      <c r="FF499" t="str">
        <v>VELÁSQUEZ BRAVO IRMA KATHERINE</v>
      </c>
      <c r="FG499" t="str">
        <v>VELEZ MENDOZA LAYSY VALERIA</v>
      </c>
      <c r="FH499" t="str">
        <v>VINUEZA TELLO SHIRLEY ELIZABETH</v>
      </c>
      <c r="FI499" t="str">
        <v>ZAMBRANO ALCIVAR NILDA ISABEL</v>
      </c>
      <c r="FJ499" t="str">
        <v>ZAMBRANO LOOR RITA MAYDA</v>
      </c>
      <c r="FK499" t="str">
        <v>ZAMBRANO VERA MONICA JANETH</v>
      </c>
      <c r="FL499" t="str">
        <v>VERA DELGADO BRYAN ADRIÁN</v>
      </c>
      <c r="FM499" t="str">
        <v>MORAN GONZALES DAVID RENATO</v>
      </c>
      <c r="FN499">
        <v>0</v>
      </c>
    </row>
    <row r="500" spans="1:170" ht="20.25" customHeight="1">
      <c r="A500" s="4" t="str" cm="1">
        <f t="array" ref="A500">TRANSPOSE(_xlfn.UNIQUE(_xlfn._xlws.FILTER(MAE_ASIGNATURA[ID_NIVEL],MAE_ASIGNATURA[ID_CARRERA]=ASIGNACION!$C500,"No existe información")))</f>
        <v>No existe información</v>
      </c>
      <c r="S500" s="4" t="str" cm="1">
        <f t="array" ref="S500">TRANSPOSE(_xlfn.UNIQUE(_xlfn._xlws.FILTER(MAE_ASIGNATURA[NOM_ASIG],(MAE_ASIGNATURA[ID_NIVEL]=ASIGNACION!$D500)*(MAE_ASIGNATURA[ID_CARRERA]=ASIGNACION!$C500),"No existe información")))</f>
        <v>No existe información</v>
      </c>
      <c r="BD500" s="4" t="str" cm="1">
        <f t="array" ref="BD500">TRANSPOSE(_xlfn.UNIQUE(_xlfn._xlws.FILTER(DET_ASIG[DETALLADO],(DET_ASIG[ID_CARRERA]=ASIGNACION!$C500)*(DET_ASIG[NIVEL]=ASIGNACION!$D500)*(DET_ASIG[ID_ASIG]=ASIGNACION!$G500),"No existe información")))</f>
        <v>No existe información</v>
      </c>
      <c r="BQ500" s="5" t="str" cm="1">
        <f t="array" ref="BQ500">IFERROR(
    TRANSPOSE(
        _xlfn.UNIQUE(
            _xlfn._xlws.FILTER(MAESTRIA_DETALLADO[MAESTRIA],
                ISNUMBER(MATCH(MAESTRIA_DETALLADO[CAMPO_DETALLADO],
                BD500:BP500,0))
            )
        )
    ),IF(BD500="ACTIVIDAD","DOCENCIA",""))</f>
        <v/>
      </c>
      <c r="EA500" s="5" t="str" cm="1">
        <f t="array" ref="EA500:FN500">IF(
    ASIGNACION!I500="SI",
    IFERROR(
        TRANSPOSE(
            _xlfn.UNIQUE(
                _xlfn._xlws.FILTER(EDU_DOCENTE[NOMBRE_DOCENTE],
                    ISNUMBER(MATCH(EDU_DOCENTE[MAESTRIA],
                    BQ500:DY500,0))
                )
            )
        ),
        ""
    ),
    TRANSPOSE(
        _xlfn.UNIQUE(EDU_DOCENTE[NOMBRE_DOCENTE]
        )
    )
)</f>
        <v>ALCIVAR CEDEÑO BEATRIZ ISABEL</v>
      </c>
      <c r="EB500" t="str">
        <v>ALCIVAR VERA GEMA MICHELLE</v>
      </c>
      <c r="EC500" t="str">
        <v>ARAUZ CHAVEZ MARIO ROBERTO</v>
      </c>
      <c r="ED500" t="str">
        <v>BAILON LOURIDO WALTER ALBERTO</v>
      </c>
      <c r="EE500" t="str">
        <v>CALDERERO VILLAGOMEZ ERICK ANTONIO</v>
      </c>
      <c r="EF500" t="str">
        <v>CASTILLO GARCIA PAOLA GERMANIA</v>
      </c>
      <c r="EG500" t="str">
        <v>CEDEÑO CHOEZ PEDRO JAVIER</v>
      </c>
      <c r="EH500" t="str">
        <v>CEVALLOS HOPPE JUAN CARLOS</v>
      </c>
      <c r="EI500" t="str">
        <v>DELGADO CHAVEZ MARIA IRASEMA</v>
      </c>
      <c r="EJ500" t="str">
        <v>DUARTE VALENCIA CRISTHIAN DARIO</v>
      </c>
      <c r="EK500" t="str">
        <v>FORTTY BARBERAN DENNY ALEXANDER</v>
      </c>
      <c r="EL500" t="str">
        <v>GUTIERREZ ZAMBRANO CARMEN EBELINA</v>
      </c>
      <c r="EM500" t="str">
        <v>INTRIAGO MOLINA GEMA VALERIA</v>
      </c>
      <c r="EN500" t="str">
        <v>LINO VELEZ LEONEL LIVINGTON</v>
      </c>
      <c r="EO500" t="str">
        <v>LOOR ALCIVAR MARIA ILIANA</v>
      </c>
      <c r="EP500" t="str">
        <v>LOOR MIELES TANIA JACQUELINE</v>
      </c>
      <c r="EQ500" t="str">
        <v>LOOR SOLORZANO ROSA MARIA</v>
      </c>
      <c r="ER500" t="str">
        <v>LOPEZ DELGADO RONALD MAURICIO</v>
      </c>
      <c r="ES500" t="str">
        <v>MACIAS VALENCIA DAVID GABRIEL</v>
      </c>
      <c r="ET500" t="str">
        <v>MENDOZA ZAMORA WALTER MANUEL</v>
      </c>
      <c r="EU500" t="str">
        <v>MOLINA CEVALLOS MARIA LORENA</v>
      </c>
      <c r="EV500" t="str">
        <v>MURILLO DELGADO ISAAC GABRIEL</v>
      </c>
      <c r="EW500" t="str">
        <v>ANGULO MURILLO NAVIRA GISSELA</v>
      </c>
      <c r="EX500" t="str">
        <v>OCHOA SOLEDISPA NESTOR IVAN</v>
      </c>
      <c r="EY500" t="str">
        <v>PARRAGA FRANCO SILVANA MARIELA</v>
      </c>
      <c r="EZ500" t="str">
        <v>PINARGOTE VASQUEZ NANCY FABIOLA</v>
      </c>
      <c r="FA500" t="str">
        <v>REYES VELEZ PEDRO ENRIQUE</v>
      </c>
      <c r="FB500" t="str">
        <v>SAN ANDRES HORMAZA DALLAS CECILIA</v>
      </c>
      <c r="FC500" t="str">
        <v>SORNOZA ZAMORA JUAN CARLOS</v>
      </c>
      <c r="FD500" t="str">
        <v>TOMALA PINTO JESUS JACINTO</v>
      </c>
      <c r="FE500" t="str">
        <v>VALLE JARAMILLO SILVIA ARACELY</v>
      </c>
      <c r="FF500" t="str">
        <v>VELÁSQUEZ BRAVO IRMA KATHERINE</v>
      </c>
      <c r="FG500" t="str">
        <v>VELEZ MENDOZA LAYSY VALERIA</v>
      </c>
      <c r="FH500" t="str">
        <v>VINUEZA TELLO SHIRLEY ELIZABETH</v>
      </c>
      <c r="FI500" t="str">
        <v>ZAMBRANO ALCIVAR NILDA ISABEL</v>
      </c>
      <c r="FJ500" t="str">
        <v>ZAMBRANO LOOR RITA MAYDA</v>
      </c>
      <c r="FK500" t="str">
        <v>ZAMBRANO VERA MONICA JANETH</v>
      </c>
      <c r="FL500" t="str">
        <v>VERA DELGADO BRYAN ADRIÁN</v>
      </c>
      <c r="FM500" t="str">
        <v>MORAN GONZALES DAVID RENATO</v>
      </c>
      <c r="FN500">
        <v>0</v>
      </c>
    </row>
    <row r="501" spans="1:170" ht="20.25" customHeight="1">
      <c r="A501" s="4" t="str" cm="1">
        <f t="array" ref="A501">TRANSPOSE(_xlfn.UNIQUE(_xlfn._xlws.FILTER(MAE_ASIGNATURA[ID_NIVEL],MAE_ASIGNATURA[ID_CARRERA]=ASIGNACION!$C501,"No existe información")))</f>
        <v>No existe información</v>
      </c>
      <c r="S501" s="4" t="str" cm="1">
        <f t="array" ref="S501">TRANSPOSE(_xlfn.UNIQUE(_xlfn._xlws.FILTER(MAE_ASIGNATURA[NOM_ASIG],(MAE_ASIGNATURA[ID_NIVEL]=ASIGNACION!$D501)*(MAE_ASIGNATURA[ID_CARRERA]=ASIGNACION!$C501),"No existe información")))</f>
        <v>No existe información</v>
      </c>
      <c r="BD501" s="4" t="str" cm="1">
        <f t="array" ref="BD501">TRANSPOSE(_xlfn.UNIQUE(_xlfn._xlws.FILTER(DET_ASIG[DETALLADO],(DET_ASIG[ID_CARRERA]=ASIGNACION!$C501)*(DET_ASIG[NIVEL]=ASIGNACION!$D501)*(DET_ASIG[ID_ASIG]=ASIGNACION!$G501),"No existe información")))</f>
        <v>No existe información</v>
      </c>
      <c r="BQ501" s="5" t="str" cm="1">
        <f t="array" ref="BQ501">IFERROR(
    TRANSPOSE(
        _xlfn.UNIQUE(
            _xlfn._xlws.FILTER(MAESTRIA_DETALLADO[MAESTRIA],
                ISNUMBER(MATCH(MAESTRIA_DETALLADO[CAMPO_DETALLADO],
                BD501:BP501,0))
            )
        )
    ),IF(BD501="ACTIVIDAD","DOCENCIA",""))</f>
        <v/>
      </c>
      <c r="EA501" s="5" t="str" cm="1">
        <f t="array" ref="EA501:FN501">IF(
    ASIGNACION!I501="SI",
    IFERROR(
        TRANSPOSE(
            _xlfn.UNIQUE(
                _xlfn._xlws.FILTER(EDU_DOCENTE[NOMBRE_DOCENTE],
                    ISNUMBER(MATCH(EDU_DOCENTE[MAESTRIA],
                    BQ501:DY501,0))
                )
            )
        ),
        ""
    ),
    TRANSPOSE(
        _xlfn.UNIQUE(EDU_DOCENTE[NOMBRE_DOCENTE]
        )
    )
)</f>
        <v>ALCIVAR CEDEÑO BEATRIZ ISABEL</v>
      </c>
      <c r="EB501" t="str">
        <v>ALCIVAR VERA GEMA MICHELLE</v>
      </c>
      <c r="EC501" t="str">
        <v>ARAUZ CHAVEZ MARIO ROBERTO</v>
      </c>
      <c r="ED501" t="str">
        <v>BAILON LOURIDO WALTER ALBERTO</v>
      </c>
      <c r="EE501" t="str">
        <v>CALDERERO VILLAGOMEZ ERICK ANTONIO</v>
      </c>
      <c r="EF501" t="str">
        <v>CASTILLO GARCIA PAOLA GERMANIA</v>
      </c>
      <c r="EG501" t="str">
        <v>CEDEÑO CHOEZ PEDRO JAVIER</v>
      </c>
      <c r="EH501" t="str">
        <v>CEVALLOS HOPPE JUAN CARLOS</v>
      </c>
      <c r="EI501" t="str">
        <v>DELGADO CHAVEZ MARIA IRASEMA</v>
      </c>
      <c r="EJ501" t="str">
        <v>DUARTE VALENCIA CRISTHIAN DARIO</v>
      </c>
      <c r="EK501" t="str">
        <v>FORTTY BARBERAN DENNY ALEXANDER</v>
      </c>
      <c r="EL501" t="str">
        <v>GUTIERREZ ZAMBRANO CARMEN EBELINA</v>
      </c>
      <c r="EM501" t="str">
        <v>INTRIAGO MOLINA GEMA VALERIA</v>
      </c>
      <c r="EN501" t="str">
        <v>LINO VELEZ LEONEL LIVINGTON</v>
      </c>
      <c r="EO501" t="str">
        <v>LOOR ALCIVAR MARIA ILIANA</v>
      </c>
      <c r="EP501" t="str">
        <v>LOOR MIELES TANIA JACQUELINE</v>
      </c>
      <c r="EQ501" t="str">
        <v>LOOR SOLORZANO ROSA MARIA</v>
      </c>
      <c r="ER501" t="str">
        <v>LOPEZ DELGADO RONALD MAURICIO</v>
      </c>
      <c r="ES501" t="str">
        <v>MACIAS VALENCIA DAVID GABRIEL</v>
      </c>
      <c r="ET501" t="str">
        <v>MENDOZA ZAMORA WALTER MANUEL</v>
      </c>
      <c r="EU501" t="str">
        <v>MOLINA CEVALLOS MARIA LORENA</v>
      </c>
      <c r="EV501" t="str">
        <v>MURILLO DELGADO ISAAC GABRIEL</v>
      </c>
      <c r="EW501" t="str">
        <v>ANGULO MURILLO NAVIRA GISSELA</v>
      </c>
      <c r="EX501" t="str">
        <v>OCHOA SOLEDISPA NESTOR IVAN</v>
      </c>
      <c r="EY501" t="str">
        <v>PARRAGA FRANCO SILVANA MARIELA</v>
      </c>
      <c r="EZ501" t="str">
        <v>PINARGOTE VASQUEZ NANCY FABIOLA</v>
      </c>
      <c r="FA501" t="str">
        <v>REYES VELEZ PEDRO ENRIQUE</v>
      </c>
      <c r="FB501" t="str">
        <v>SAN ANDRES HORMAZA DALLAS CECILIA</v>
      </c>
      <c r="FC501" t="str">
        <v>SORNOZA ZAMORA JUAN CARLOS</v>
      </c>
      <c r="FD501" t="str">
        <v>TOMALA PINTO JESUS JACINTO</v>
      </c>
      <c r="FE501" t="str">
        <v>VALLE JARAMILLO SILVIA ARACELY</v>
      </c>
      <c r="FF501" t="str">
        <v>VELÁSQUEZ BRAVO IRMA KATHERINE</v>
      </c>
      <c r="FG501" t="str">
        <v>VELEZ MENDOZA LAYSY VALERIA</v>
      </c>
      <c r="FH501" t="str">
        <v>VINUEZA TELLO SHIRLEY ELIZABETH</v>
      </c>
      <c r="FI501" t="str">
        <v>ZAMBRANO ALCIVAR NILDA ISABEL</v>
      </c>
      <c r="FJ501" t="str">
        <v>ZAMBRANO LOOR RITA MAYDA</v>
      </c>
      <c r="FK501" t="str">
        <v>ZAMBRANO VERA MONICA JANETH</v>
      </c>
      <c r="FL501" t="str">
        <v>VERA DELGADO BRYAN ADRIÁN</v>
      </c>
      <c r="FM501" t="str">
        <v>MORAN GONZALES DAVID RENATO</v>
      </c>
      <c r="FN501">
        <v>0</v>
      </c>
    </row>
    <row r="502" spans="1:170" ht="20.25" customHeight="1">
      <c r="A502" s="4" t="str" cm="1">
        <f t="array" ref="A502">TRANSPOSE(_xlfn.UNIQUE(_xlfn._xlws.FILTER(MAE_ASIGNATURA[ID_NIVEL],MAE_ASIGNATURA[ID_CARRERA]=ASIGNACION!$C502,"No existe información")))</f>
        <v>No existe información</v>
      </c>
      <c r="S502" s="4" t="str" cm="1">
        <f t="array" ref="S502">TRANSPOSE(_xlfn.UNIQUE(_xlfn._xlws.FILTER(MAE_ASIGNATURA[NOM_ASIG],(MAE_ASIGNATURA[ID_NIVEL]=ASIGNACION!$D502)*(MAE_ASIGNATURA[ID_CARRERA]=ASIGNACION!$C502),"No existe información")))</f>
        <v>No existe información</v>
      </c>
      <c r="BD502" s="4" t="str" cm="1">
        <f t="array" ref="BD502">TRANSPOSE(_xlfn.UNIQUE(_xlfn._xlws.FILTER(DET_ASIG[DETALLADO],(DET_ASIG[ID_CARRERA]=ASIGNACION!$C502)*(DET_ASIG[NIVEL]=ASIGNACION!$D502)*(DET_ASIG[ID_ASIG]=ASIGNACION!$G502),"No existe información")))</f>
        <v>No existe información</v>
      </c>
      <c r="BQ502" s="5" t="str" cm="1">
        <f t="array" ref="BQ502">IFERROR(
    TRANSPOSE(
        _xlfn.UNIQUE(
            _xlfn._xlws.FILTER(MAESTRIA_DETALLADO[MAESTRIA],
                ISNUMBER(MATCH(MAESTRIA_DETALLADO[CAMPO_DETALLADO],
                BD502:BP502,0))
            )
        )
    ),IF(BD502="ACTIVIDAD","DOCENCIA",""))</f>
        <v/>
      </c>
      <c r="EA502" s="5" t="str" cm="1">
        <f t="array" ref="EA502:FN502">IF(
    ASIGNACION!I502="SI",
    IFERROR(
        TRANSPOSE(
            _xlfn.UNIQUE(
                _xlfn._xlws.FILTER(EDU_DOCENTE[NOMBRE_DOCENTE],
                    ISNUMBER(MATCH(EDU_DOCENTE[MAESTRIA],
                    BQ502:DY502,0))
                )
            )
        ),
        ""
    ),
    TRANSPOSE(
        _xlfn.UNIQUE(EDU_DOCENTE[NOMBRE_DOCENTE]
        )
    )
)</f>
        <v>ALCIVAR CEDEÑO BEATRIZ ISABEL</v>
      </c>
      <c r="EB502" t="str">
        <v>ALCIVAR VERA GEMA MICHELLE</v>
      </c>
      <c r="EC502" t="str">
        <v>ARAUZ CHAVEZ MARIO ROBERTO</v>
      </c>
      <c r="ED502" t="str">
        <v>BAILON LOURIDO WALTER ALBERTO</v>
      </c>
      <c r="EE502" t="str">
        <v>CALDERERO VILLAGOMEZ ERICK ANTONIO</v>
      </c>
      <c r="EF502" t="str">
        <v>CASTILLO GARCIA PAOLA GERMANIA</v>
      </c>
      <c r="EG502" t="str">
        <v>CEDEÑO CHOEZ PEDRO JAVIER</v>
      </c>
      <c r="EH502" t="str">
        <v>CEVALLOS HOPPE JUAN CARLOS</v>
      </c>
      <c r="EI502" t="str">
        <v>DELGADO CHAVEZ MARIA IRASEMA</v>
      </c>
      <c r="EJ502" t="str">
        <v>DUARTE VALENCIA CRISTHIAN DARIO</v>
      </c>
      <c r="EK502" t="str">
        <v>FORTTY BARBERAN DENNY ALEXANDER</v>
      </c>
      <c r="EL502" t="str">
        <v>GUTIERREZ ZAMBRANO CARMEN EBELINA</v>
      </c>
      <c r="EM502" t="str">
        <v>INTRIAGO MOLINA GEMA VALERIA</v>
      </c>
      <c r="EN502" t="str">
        <v>LINO VELEZ LEONEL LIVINGTON</v>
      </c>
      <c r="EO502" t="str">
        <v>LOOR ALCIVAR MARIA ILIANA</v>
      </c>
      <c r="EP502" t="str">
        <v>LOOR MIELES TANIA JACQUELINE</v>
      </c>
      <c r="EQ502" t="str">
        <v>LOOR SOLORZANO ROSA MARIA</v>
      </c>
      <c r="ER502" t="str">
        <v>LOPEZ DELGADO RONALD MAURICIO</v>
      </c>
      <c r="ES502" t="str">
        <v>MACIAS VALENCIA DAVID GABRIEL</v>
      </c>
      <c r="ET502" t="str">
        <v>MENDOZA ZAMORA WALTER MANUEL</v>
      </c>
      <c r="EU502" t="str">
        <v>MOLINA CEVALLOS MARIA LORENA</v>
      </c>
      <c r="EV502" t="str">
        <v>MURILLO DELGADO ISAAC GABRIEL</v>
      </c>
      <c r="EW502" t="str">
        <v>ANGULO MURILLO NAVIRA GISSELA</v>
      </c>
      <c r="EX502" t="str">
        <v>OCHOA SOLEDISPA NESTOR IVAN</v>
      </c>
      <c r="EY502" t="str">
        <v>PARRAGA FRANCO SILVANA MARIELA</v>
      </c>
      <c r="EZ502" t="str">
        <v>PINARGOTE VASQUEZ NANCY FABIOLA</v>
      </c>
      <c r="FA502" t="str">
        <v>REYES VELEZ PEDRO ENRIQUE</v>
      </c>
      <c r="FB502" t="str">
        <v>SAN ANDRES HORMAZA DALLAS CECILIA</v>
      </c>
      <c r="FC502" t="str">
        <v>SORNOZA ZAMORA JUAN CARLOS</v>
      </c>
      <c r="FD502" t="str">
        <v>TOMALA PINTO JESUS JACINTO</v>
      </c>
      <c r="FE502" t="str">
        <v>VALLE JARAMILLO SILVIA ARACELY</v>
      </c>
      <c r="FF502" t="str">
        <v>VELÁSQUEZ BRAVO IRMA KATHERINE</v>
      </c>
      <c r="FG502" t="str">
        <v>VELEZ MENDOZA LAYSY VALERIA</v>
      </c>
      <c r="FH502" t="str">
        <v>VINUEZA TELLO SHIRLEY ELIZABETH</v>
      </c>
      <c r="FI502" t="str">
        <v>ZAMBRANO ALCIVAR NILDA ISABEL</v>
      </c>
      <c r="FJ502" t="str">
        <v>ZAMBRANO LOOR RITA MAYDA</v>
      </c>
      <c r="FK502" t="str">
        <v>ZAMBRANO VERA MONICA JANETH</v>
      </c>
      <c r="FL502" t="str">
        <v>VERA DELGADO BRYAN ADRIÁN</v>
      </c>
      <c r="FM502" t="str">
        <v>MORAN GONZALES DAVID RENATO</v>
      </c>
      <c r="FN502">
        <v>0</v>
      </c>
    </row>
    <row r="503" spans="1:170" ht="20.25" customHeight="1">
      <c r="A503" s="4" t="str" cm="1">
        <f t="array" ref="A503">TRANSPOSE(_xlfn.UNIQUE(_xlfn._xlws.FILTER(MAE_ASIGNATURA[ID_NIVEL],MAE_ASIGNATURA[ID_CARRERA]=ASIGNACION!$C503,"No existe información")))</f>
        <v>No existe información</v>
      </c>
      <c r="S503" s="4" t="str" cm="1">
        <f t="array" ref="S503">TRANSPOSE(_xlfn.UNIQUE(_xlfn._xlws.FILTER(MAE_ASIGNATURA[NOM_ASIG],(MAE_ASIGNATURA[ID_NIVEL]=ASIGNACION!$D503)*(MAE_ASIGNATURA[ID_CARRERA]=ASIGNACION!$C503),"No existe información")))</f>
        <v>No existe información</v>
      </c>
      <c r="BD503" s="4" t="str" cm="1">
        <f t="array" ref="BD503">TRANSPOSE(_xlfn.UNIQUE(_xlfn._xlws.FILTER(DET_ASIG[DETALLADO],(DET_ASIG[ID_CARRERA]=ASIGNACION!$C503)*(DET_ASIG[NIVEL]=ASIGNACION!$D503)*(DET_ASIG[ID_ASIG]=ASIGNACION!$G503),"No existe información")))</f>
        <v>No existe información</v>
      </c>
      <c r="BQ503" s="5" t="str" cm="1">
        <f t="array" ref="BQ503">IFERROR(
    TRANSPOSE(
        _xlfn.UNIQUE(
            _xlfn._xlws.FILTER(MAESTRIA_DETALLADO[MAESTRIA],
                ISNUMBER(MATCH(MAESTRIA_DETALLADO[CAMPO_DETALLADO],
                BD503:BP503,0))
            )
        )
    ),IF(BD503="ACTIVIDAD","DOCENCIA",""))</f>
        <v/>
      </c>
      <c r="EA503" s="5" t="str" cm="1">
        <f t="array" ref="EA503:FN503">IF(
    ASIGNACION!I503="SI",
    IFERROR(
        TRANSPOSE(
            _xlfn.UNIQUE(
                _xlfn._xlws.FILTER(EDU_DOCENTE[NOMBRE_DOCENTE],
                    ISNUMBER(MATCH(EDU_DOCENTE[MAESTRIA],
                    BQ503:DY503,0))
                )
            )
        ),
        ""
    ),
    TRANSPOSE(
        _xlfn.UNIQUE(EDU_DOCENTE[NOMBRE_DOCENTE]
        )
    )
)</f>
        <v>ALCIVAR CEDEÑO BEATRIZ ISABEL</v>
      </c>
      <c r="EB503" t="str">
        <v>ALCIVAR VERA GEMA MICHELLE</v>
      </c>
      <c r="EC503" t="str">
        <v>ARAUZ CHAVEZ MARIO ROBERTO</v>
      </c>
      <c r="ED503" t="str">
        <v>BAILON LOURIDO WALTER ALBERTO</v>
      </c>
      <c r="EE503" t="str">
        <v>CALDERERO VILLAGOMEZ ERICK ANTONIO</v>
      </c>
      <c r="EF503" t="str">
        <v>CASTILLO GARCIA PAOLA GERMANIA</v>
      </c>
      <c r="EG503" t="str">
        <v>CEDEÑO CHOEZ PEDRO JAVIER</v>
      </c>
      <c r="EH503" t="str">
        <v>CEVALLOS HOPPE JUAN CARLOS</v>
      </c>
      <c r="EI503" t="str">
        <v>DELGADO CHAVEZ MARIA IRASEMA</v>
      </c>
      <c r="EJ503" t="str">
        <v>DUARTE VALENCIA CRISTHIAN DARIO</v>
      </c>
      <c r="EK503" t="str">
        <v>FORTTY BARBERAN DENNY ALEXANDER</v>
      </c>
      <c r="EL503" t="str">
        <v>GUTIERREZ ZAMBRANO CARMEN EBELINA</v>
      </c>
      <c r="EM503" t="str">
        <v>INTRIAGO MOLINA GEMA VALERIA</v>
      </c>
      <c r="EN503" t="str">
        <v>LINO VELEZ LEONEL LIVINGTON</v>
      </c>
      <c r="EO503" t="str">
        <v>LOOR ALCIVAR MARIA ILIANA</v>
      </c>
      <c r="EP503" t="str">
        <v>LOOR MIELES TANIA JACQUELINE</v>
      </c>
      <c r="EQ503" t="str">
        <v>LOOR SOLORZANO ROSA MARIA</v>
      </c>
      <c r="ER503" t="str">
        <v>LOPEZ DELGADO RONALD MAURICIO</v>
      </c>
      <c r="ES503" t="str">
        <v>MACIAS VALENCIA DAVID GABRIEL</v>
      </c>
      <c r="ET503" t="str">
        <v>MENDOZA ZAMORA WALTER MANUEL</v>
      </c>
      <c r="EU503" t="str">
        <v>MOLINA CEVALLOS MARIA LORENA</v>
      </c>
      <c r="EV503" t="str">
        <v>MURILLO DELGADO ISAAC GABRIEL</v>
      </c>
      <c r="EW503" t="str">
        <v>ANGULO MURILLO NAVIRA GISSELA</v>
      </c>
      <c r="EX503" t="str">
        <v>OCHOA SOLEDISPA NESTOR IVAN</v>
      </c>
      <c r="EY503" t="str">
        <v>PARRAGA FRANCO SILVANA MARIELA</v>
      </c>
      <c r="EZ503" t="str">
        <v>PINARGOTE VASQUEZ NANCY FABIOLA</v>
      </c>
      <c r="FA503" t="str">
        <v>REYES VELEZ PEDRO ENRIQUE</v>
      </c>
      <c r="FB503" t="str">
        <v>SAN ANDRES HORMAZA DALLAS CECILIA</v>
      </c>
      <c r="FC503" t="str">
        <v>SORNOZA ZAMORA JUAN CARLOS</v>
      </c>
      <c r="FD503" t="str">
        <v>TOMALA PINTO JESUS JACINTO</v>
      </c>
      <c r="FE503" t="str">
        <v>VALLE JARAMILLO SILVIA ARACELY</v>
      </c>
      <c r="FF503" t="str">
        <v>VELÁSQUEZ BRAVO IRMA KATHERINE</v>
      </c>
      <c r="FG503" t="str">
        <v>VELEZ MENDOZA LAYSY VALERIA</v>
      </c>
      <c r="FH503" t="str">
        <v>VINUEZA TELLO SHIRLEY ELIZABETH</v>
      </c>
      <c r="FI503" t="str">
        <v>ZAMBRANO ALCIVAR NILDA ISABEL</v>
      </c>
      <c r="FJ503" t="str">
        <v>ZAMBRANO LOOR RITA MAYDA</v>
      </c>
      <c r="FK503" t="str">
        <v>ZAMBRANO VERA MONICA JANETH</v>
      </c>
      <c r="FL503" t="str">
        <v>VERA DELGADO BRYAN ADRIÁN</v>
      </c>
      <c r="FM503" t="str">
        <v>MORAN GONZALES DAVID RENATO</v>
      </c>
      <c r="FN503">
        <v>0</v>
      </c>
    </row>
    <row r="504" spans="1:170" ht="20.25" customHeight="1">
      <c r="A504" s="4" t="str" cm="1">
        <f t="array" ref="A504">TRANSPOSE(_xlfn.UNIQUE(_xlfn._xlws.FILTER(MAE_ASIGNATURA[ID_NIVEL],MAE_ASIGNATURA[ID_CARRERA]=ASIGNACION!$C504,"No existe información")))</f>
        <v>No existe información</v>
      </c>
      <c r="S504" s="4" t="str" cm="1">
        <f t="array" ref="S504">TRANSPOSE(_xlfn.UNIQUE(_xlfn._xlws.FILTER(MAE_ASIGNATURA[NOM_ASIG],(MAE_ASIGNATURA[ID_NIVEL]=ASIGNACION!$D504)*(MAE_ASIGNATURA[ID_CARRERA]=ASIGNACION!$C504),"No existe información")))</f>
        <v>No existe información</v>
      </c>
      <c r="BD504" s="4" t="str" cm="1">
        <f t="array" ref="BD504">TRANSPOSE(_xlfn.UNIQUE(_xlfn._xlws.FILTER(DET_ASIG[DETALLADO],(DET_ASIG[ID_CARRERA]=ASIGNACION!$C504)*(DET_ASIG[NIVEL]=ASIGNACION!$D504)*(DET_ASIG[ID_ASIG]=ASIGNACION!$G504),"No existe información")))</f>
        <v>No existe información</v>
      </c>
      <c r="BQ504" s="5" t="str" cm="1">
        <f t="array" ref="BQ504">IFERROR(
    TRANSPOSE(
        _xlfn.UNIQUE(
            _xlfn._xlws.FILTER(MAESTRIA_DETALLADO[MAESTRIA],
                ISNUMBER(MATCH(MAESTRIA_DETALLADO[CAMPO_DETALLADO],
                BD504:BP504,0))
            )
        )
    ),IF(BD504="ACTIVIDAD","DOCENCIA",""))</f>
        <v/>
      </c>
      <c r="EA504" s="5" t="str" cm="1">
        <f t="array" ref="EA504:FN504">IF(
    ASIGNACION!I504="SI",
    IFERROR(
        TRANSPOSE(
            _xlfn.UNIQUE(
                _xlfn._xlws.FILTER(EDU_DOCENTE[NOMBRE_DOCENTE],
                    ISNUMBER(MATCH(EDU_DOCENTE[MAESTRIA],
                    BQ504:DY504,0))
                )
            )
        ),
        ""
    ),
    TRANSPOSE(
        _xlfn.UNIQUE(EDU_DOCENTE[NOMBRE_DOCENTE]
        )
    )
)</f>
        <v>ALCIVAR CEDEÑO BEATRIZ ISABEL</v>
      </c>
      <c r="EB504" t="str">
        <v>ALCIVAR VERA GEMA MICHELLE</v>
      </c>
      <c r="EC504" t="str">
        <v>ARAUZ CHAVEZ MARIO ROBERTO</v>
      </c>
      <c r="ED504" t="str">
        <v>BAILON LOURIDO WALTER ALBERTO</v>
      </c>
      <c r="EE504" t="str">
        <v>CALDERERO VILLAGOMEZ ERICK ANTONIO</v>
      </c>
      <c r="EF504" t="str">
        <v>CASTILLO GARCIA PAOLA GERMANIA</v>
      </c>
      <c r="EG504" t="str">
        <v>CEDEÑO CHOEZ PEDRO JAVIER</v>
      </c>
      <c r="EH504" t="str">
        <v>CEVALLOS HOPPE JUAN CARLOS</v>
      </c>
      <c r="EI504" t="str">
        <v>DELGADO CHAVEZ MARIA IRASEMA</v>
      </c>
      <c r="EJ504" t="str">
        <v>DUARTE VALENCIA CRISTHIAN DARIO</v>
      </c>
      <c r="EK504" t="str">
        <v>FORTTY BARBERAN DENNY ALEXANDER</v>
      </c>
      <c r="EL504" t="str">
        <v>GUTIERREZ ZAMBRANO CARMEN EBELINA</v>
      </c>
      <c r="EM504" t="str">
        <v>INTRIAGO MOLINA GEMA VALERIA</v>
      </c>
      <c r="EN504" t="str">
        <v>LINO VELEZ LEONEL LIVINGTON</v>
      </c>
      <c r="EO504" t="str">
        <v>LOOR ALCIVAR MARIA ILIANA</v>
      </c>
      <c r="EP504" t="str">
        <v>LOOR MIELES TANIA JACQUELINE</v>
      </c>
      <c r="EQ504" t="str">
        <v>LOOR SOLORZANO ROSA MARIA</v>
      </c>
      <c r="ER504" t="str">
        <v>LOPEZ DELGADO RONALD MAURICIO</v>
      </c>
      <c r="ES504" t="str">
        <v>MACIAS VALENCIA DAVID GABRIEL</v>
      </c>
      <c r="ET504" t="str">
        <v>MENDOZA ZAMORA WALTER MANUEL</v>
      </c>
      <c r="EU504" t="str">
        <v>MOLINA CEVALLOS MARIA LORENA</v>
      </c>
      <c r="EV504" t="str">
        <v>MURILLO DELGADO ISAAC GABRIEL</v>
      </c>
      <c r="EW504" t="str">
        <v>ANGULO MURILLO NAVIRA GISSELA</v>
      </c>
      <c r="EX504" t="str">
        <v>OCHOA SOLEDISPA NESTOR IVAN</v>
      </c>
      <c r="EY504" t="str">
        <v>PARRAGA FRANCO SILVANA MARIELA</v>
      </c>
      <c r="EZ504" t="str">
        <v>PINARGOTE VASQUEZ NANCY FABIOLA</v>
      </c>
      <c r="FA504" t="str">
        <v>REYES VELEZ PEDRO ENRIQUE</v>
      </c>
      <c r="FB504" t="str">
        <v>SAN ANDRES HORMAZA DALLAS CECILIA</v>
      </c>
      <c r="FC504" t="str">
        <v>SORNOZA ZAMORA JUAN CARLOS</v>
      </c>
      <c r="FD504" t="str">
        <v>TOMALA PINTO JESUS JACINTO</v>
      </c>
      <c r="FE504" t="str">
        <v>VALLE JARAMILLO SILVIA ARACELY</v>
      </c>
      <c r="FF504" t="str">
        <v>VELÁSQUEZ BRAVO IRMA KATHERINE</v>
      </c>
      <c r="FG504" t="str">
        <v>VELEZ MENDOZA LAYSY VALERIA</v>
      </c>
      <c r="FH504" t="str">
        <v>VINUEZA TELLO SHIRLEY ELIZABETH</v>
      </c>
      <c r="FI504" t="str">
        <v>ZAMBRANO ALCIVAR NILDA ISABEL</v>
      </c>
      <c r="FJ504" t="str">
        <v>ZAMBRANO LOOR RITA MAYDA</v>
      </c>
      <c r="FK504" t="str">
        <v>ZAMBRANO VERA MONICA JANETH</v>
      </c>
      <c r="FL504" t="str">
        <v>VERA DELGADO BRYAN ADRIÁN</v>
      </c>
      <c r="FM504" t="str">
        <v>MORAN GONZALES DAVID RENATO</v>
      </c>
      <c r="FN504">
        <v>0</v>
      </c>
    </row>
    <row r="505" spans="1:170" ht="20.25" customHeight="1">
      <c r="A505" s="4" t="str" cm="1">
        <f t="array" ref="A505">TRANSPOSE(_xlfn.UNIQUE(_xlfn._xlws.FILTER(MAE_ASIGNATURA[ID_NIVEL],MAE_ASIGNATURA[ID_CARRERA]=ASIGNACION!$C505,"No existe información")))</f>
        <v>No existe información</v>
      </c>
      <c r="S505" s="4" t="str" cm="1">
        <f t="array" ref="S505">TRANSPOSE(_xlfn.UNIQUE(_xlfn._xlws.FILTER(MAE_ASIGNATURA[NOM_ASIG],(MAE_ASIGNATURA[ID_NIVEL]=ASIGNACION!$D505)*(MAE_ASIGNATURA[ID_CARRERA]=ASIGNACION!$C505),"No existe información")))</f>
        <v>No existe información</v>
      </c>
      <c r="BD505" s="4" t="str" cm="1">
        <f t="array" ref="BD505">TRANSPOSE(_xlfn.UNIQUE(_xlfn._xlws.FILTER(DET_ASIG[DETALLADO],(DET_ASIG[ID_CARRERA]=ASIGNACION!$C505)*(DET_ASIG[NIVEL]=ASIGNACION!$D505)*(DET_ASIG[ID_ASIG]=ASIGNACION!$G505),"No existe información")))</f>
        <v>No existe información</v>
      </c>
      <c r="BQ505" s="5" t="str" cm="1">
        <f t="array" ref="BQ505">IFERROR(
    TRANSPOSE(
        _xlfn.UNIQUE(
            _xlfn._xlws.FILTER(MAESTRIA_DETALLADO[MAESTRIA],
                ISNUMBER(MATCH(MAESTRIA_DETALLADO[CAMPO_DETALLADO],
                BD505:BP505,0))
            )
        )
    ),IF(BD505="ACTIVIDAD","DOCENCIA",""))</f>
        <v/>
      </c>
      <c r="EA505" s="5" t="str" cm="1">
        <f t="array" ref="EA505:FN505">IF(
    ASIGNACION!I505="SI",
    IFERROR(
        TRANSPOSE(
            _xlfn.UNIQUE(
                _xlfn._xlws.FILTER(EDU_DOCENTE[NOMBRE_DOCENTE],
                    ISNUMBER(MATCH(EDU_DOCENTE[MAESTRIA],
                    BQ505:DY505,0))
                )
            )
        ),
        ""
    ),
    TRANSPOSE(
        _xlfn.UNIQUE(EDU_DOCENTE[NOMBRE_DOCENTE]
        )
    )
)</f>
        <v>ALCIVAR CEDEÑO BEATRIZ ISABEL</v>
      </c>
      <c r="EB505" t="str">
        <v>ALCIVAR VERA GEMA MICHELLE</v>
      </c>
      <c r="EC505" t="str">
        <v>ARAUZ CHAVEZ MARIO ROBERTO</v>
      </c>
      <c r="ED505" t="str">
        <v>BAILON LOURIDO WALTER ALBERTO</v>
      </c>
      <c r="EE505" t="str">
        <v>CALDERERO VILLAGOMEZ ERICK ANTONIO</v>
      </c>
      <c r="EF505" t="str">
        <v>CASTILLO GARCIA PAOLA GERMANIA</v>
      </c>
      <c r="EG505" t="str">
        <v>CEDEÑO CHOEZ PEDRO JAVIER</v>
      </c>
      <c r="EH505" t="str">
        <v>CEVALLOS HOPPE JUAN CARLOS</v>
      </c>
      <c r="EI505" t="str">
        <v>DELGADO CHAVEZ MARIA IRASEMA</v>
      </c>
      <c r="EJ505" t="str">
        <v>DUARTE VALENCIA CRISTHIAN DARIO</v>
      </c>
      <c r="EK505" t="str">
        <v>FORTTY BARBERAN DENNY ALEXANDER</v>
      </c>
      <c r="EL505" t="str">
        <v>GUTIERREZ ZAMBRANO CARMEN EBELINA</v>
      </c>
      <c r="EM505" t="str">
        <v>INTRIAGO MOLINA GEMA VALERIA</v>
      </c>
      <c r="EN505" t="str">
        <v>LINO VELEZ LEONEL LIVINGTON</v>
      </c>
      <c r="EO505" t="str">
        <v>LOOR ALCIVAR MARIA ILIANA</v>
      </c>
      <c r="EP505" t="str">
        <v>LOOR MIELES TANIA JACQUELINE</v>
      </c>
      <c r="EQ505" t="str">
        <v>LOOR SOLORZANO ROSA MARIA</v>
      </c>
      <c r="ER505" t="str">
        <v>LOPEZ DELGADO RONALD MAURICIO</v>
      </c>
      <c r="ES505" t="str">
        <v>MACIAS VALENCIA DAVID GABRIEL</v>
      </c>
      <c r="ET505" t="str">
        <v>MENDOZA ZAMORA WALTER MANUEL</v>
      </c>
      <c r="EU505" t="str">
        <v>MOLINA CEVALLOS MARIA LORENA</v>
      </c>
      <c r="EV505" t="str">
        <v>MURILLO DELGADO ISAAC GABRIEL</v>
      </c>
      <c r="EW505" t="str">
        <v>ANGULO MURILLO NAVIRA GISSELA</v>
      </c>
      <c r="EX505" t="str">
        <v>OCHOA SOLEDISPA NESTOR IVAN</v>
      </c>
      <c r="EY505" t="str">
        <v>PARRAGA FRANCO SILVANA MARIELA</v>
      </c>
      <c r="EZ505" t="str">
        <v>PINARGOTE VASQUEZ NANCY FABIOLA</v>
      </c>
      <c r="FA505" t="str">
        <v>REYES VELEZ PEDRO ENRIQUE</v>
      </c>
      <c r="FB505" t="str">
        <v>SAN ANDRES HORMAZA DALLAS CECILIA</v>
      </c>
      <c r="FC505" t="str">
        <v>SORNOZA ZAMORA JUAN CARLOS</v>
      </c>
      <c r="FD505" t="str">
        <v>TOMALA PINTO JESUS JACINTO</v>
      </c>
      <c r="FE505" t="str">
        <v>VALLE JARAMILLO SILVIA ARACELY</v>
      </c>
      <c r="FF505" t="str">
        <v>VELÁSQUEZ BRAVO IRMA KATHERINE</v>
      </c>
      <c r="FG505" t="str">
        <v>VELEZ MENDOZA LAYSY VALERIA</v>
      </c>
      <c r="FH505" t="str">
        <v>VINUEZA TELLO SHIRLEY ELIZABETH</v>
      </c>
      <c r="FI505" t="str">
        <v>ZAMBRANO ALCIVAR NILDA ISABEL</v>
      </c>
      <c r="FJ505" t="str">
        <v>ZAMBRANO LOOR RITA MAYDA</v>
      </c>
      <c r="FK505" t="str">
        <v>ZAMBRANO VERA MONICA JANETH</v>
      </c>
      <c r="FL505" t="str">
        <v>VERA DELGADO BRYAN ADRIÁN</v>
      </c>
      <c r="FM505" t="str">
        <v>MORAN GONZALES DAVID RENATO</v>
      </c>
      <c r="FN505">
        <v>0</v>
      </c>
    </row>
    <row r="506" spans="1:170" ht="20.25" customHeight="1">
      <c r="A506" s="4" t="str" cm="1">
        <f t="array" ref="A506">TRANSPOSE(_xlfn.UNIQUE(_xlfn._xlws.FILTER(MAE_ASIGNATURA[ID_NIVEL],MAE_ASIGNATURA[ID_CARRERA]=ASIGNACION!$C506,"No existe información")))</f>
        <v>No existe información</v>
      </c>
      <c r="S506" s="4" t="str" cm="1">
        <f t="array" ref="S506">TRANSPOSE(_xlfn.UNIQUE(_xlfn._xlws.FILTER(MAE_ASIGNATURA[NOM_ASIG],(MAE_ASIGNATURA[ID_NIVEL]=ASIGNACION!$D506)*(MAE_ASIGNATURA[ID_CARRERA]=ASIGNACION!$C506),"No existe información")))</f>
        <v>No existe información</v>
      </c>
      <c r="BD506" s="4" t="str" cm="1">
        <f t="array" ref="BD506">TRANSPOSE(_xlfn.UNIQUE(_xlfn._xlws.FILTER(DET_ASIG[DETALLADO],(DET_ASIG[ID_CARRERA]=ASIGNACION!$C506)*(DET_ASIG[NIVEL]=ASIGNACION!$D506)*(DET_ASIG[ID_ASIG]=ASIGNACION!$G506),"No existe información")))</f>
        <v>No existe información</v>
      </c>
      <c r="BQ506" s="5" t="str" cm="1">
        <f t="array" ref="BQ506">IFERROR(
    TRANSPOSE(
        _xlfn.UNIQUE(
            _xlfn._xlws.FILTER(MAESTRIA_DETALLADO[MAESTRIA],
                ISNUMBER(MATCH(MAESTRIA_DETALLADO[CAMPO_DETALLADO],
                BD506:BP506,0))
            )
        )
    ),IF(BD506="ACTIVIDAD","DOCENCIA",""))</f>
        <v/>
      </c>
      <c r="EA506" s="5" t="str" cm="1">
        <f t="array" ref="EA506:FN506">IF(
    ASIGNACION!I506="SI",
    IFERROR(
        TRANSPOSE(
            _xlfn.UNIQUE(
                _xlfn._xlws.FILTER(EDU_DOCENTE[NOMBRE_DOCENTE],
                    ISNUMBER(MATCH(EDU_DOCENTE[MAESTRIA],
                    BQ506:DY506,0))
                )
            )
        ),
        ""
    ),
    TRANSPOSE(
        _xlfn.UNIQUE(EDU_DOCENTE[NOMBRE_DOCENTE]
        )
    )
)</f>
        <v>ALCIVAR CEDEÑO BEATRIZ ISABEL</v>
      </c>
      <c r="EB506" t="str">
        <v>ALCIVAR VERA GEMA MICHELLE</v>
      </c>
      <c r="EC506" t="str">
        <v>ARAUZ CHAVEZ MARIO ROBERTO</v>
      </c>
      <c r="ED506" t="str">
        <v>BAILON LOURIDO WALTER ALBERTO</v>
      </c>
      <c r="EE506" t="str">
        <v>CALDERERO VILLAGOMEZ ERICK ANTONIO</v>
      </c>
      <c r="EF506" t="str">
        <v>CASTILLO GARCIA PAOLA GERMANIA</v>
      </c>
      <c r="EG506" t="str">
        <v>CEDEÑO CHOEZ PEDRO JAVIER</v>
      </c>
      <c r="EH506" t="str">
        <v>CEVALLOS HOPPE JUAN CARLOS</v>
      </c>
      <c r="EI506" t="str">
        <v>DELGADO CHAVEZ MARIA IRASEMA</v>
      </c>
      <c r="EJ506" t="str">
        <v>DUARTE VALENCIA CRISTHIAN DARIO</v>
      </c>
      <c r="EK506" t="str">
        <v>FORTTY BARBERAN DENNY ALEXANDER</v>
      </c>
      <c r="EL506" t="str">
        <v>GUTIERREZ ZAMBRANO CARMEN EBELINA</v>
      </c>
      <c r="EM506" t="str">
        <v>INTRIAGO MOLINA GEMA VALERIA</v>
      </c>
      <c r="EN506" t="str">
        <v>LINO VELEZ LEONEL LIVINGTON</v>
      </c>
      <c r="EO506" t="str">
        <v>LOOR ALCIVAR MARIA ILIANA</v>
      </c>
      <c r="EP506" t="str">
        <v>LOOR MIELES TANIA JACQUELINE</v>
      </c>
      <c r="EQ506" t="str">
        <v>LOOR SOLORZANO ROSA MARIA</v>
      </c>
      <c r="ER506" t="str">
        <v>LOPEZ DELGADO RONALD MAURICIO</v>
      </c>
      <c r="ES506" t="str">
        <v>MACIAS VALENCIA DAVID GABRIEL</v>
      </c>
      <c r="ET506" t="str">
        <v>MENDOZA ZAMORA WALTER MANUEL</v>
      </c>
      <c r="EU506" t="str">
        <v>MOLINA CEVALLOS MARIA LORENA</v>
      </c>
      <c r="EV506" t="str">
        <v>MURILLO DELGADO ISAAC GABRIEL</v>
      </c>
      <c r="EW506" t="str">
        <v>ANGULO MURILLO NAVIRA GISSELA</v>
      </c>
      <c r="EX506" t="str">
        <v>OCHOA SOLEDISPA NESTOR IVAN</v>
      </c>
      <c r="EY506" t="str">
        <v>PARRAGA FRANCO SILVANA MARIELA</v>
      </c>
      <c r="EZ506" t="str">
        <v>PINARGOTE VASQUEZ NANCY FABIOLA</v>
      </c>
      <c r="FA506" t="str">
        <v>REYES VELEZ PEDRO ENRIQUE</v>
      </c>
      <c r="FB506" t="str">
        <v>SAN ANDRES HORMAZA DALLAS CECILIA</v>
      </c>
      <c r="FC506" t="str">
        <v>SORNOZA ZAMORA JUAN CARLOS</v>
      </c>
      <c r="FD506" t="str">
        <v>TOMALA PINTO JESUS JACINTO</v>
      </c>
      <c r="FE506" t="str">
        <v>VALLE JARAMILLO SILVIA ARACELY</v>
      </c>
      <c r="FF506" t="str">
        <v>VELÁSQUEZ BRAVO IRMA KATHERINE</v>
      </c>
      <c r="FG506" t="str">
        <v>VELEZ MENDOZA LAYSY VALERIA</v>
      </c>
      <c r="FH506" t="str">
        <v>VINUEZA TELLO SHIRLEY ELIZABETH</v>
      </c>
      <c r="FI506" t="str">
        <v>ZAMBRANO ALCIVAR NILDA ISABEL</v>
      </c>
      <c r="FJ506" t="str">
        <v>ZAMBRANO LOOR RITA MAYDA</v>
      </c>
      <c r="FK506" t="str">
        <v>ZAMBRANO VERA MONICA JANETH</v>
      </c>
      <c r="FL506" t="str">
        <v>VERA DELGADO BRYAN ADRIÁN</v>
      </c>
      <c r="FM506" t="str">
        <v>MORAN GONZALES DAVID RENATO</v>
      </c>
      <c r="FN506">
        <v>0</v>
      </c>
    </row>
    <row r="507" spans="1:170" ht="20.25" customHeight="1">
      <c r="A507" s="4" t="str" cm="1">
        <f t="array" ref="A507">TRANSPOSE(_xlfn.UNIQUE(_xlfn._xlws.FILTER(MAE_ASIGNATURA[ID_NIVEL],MAE_ASIGNATURA[ID_CARRERA]=ASIGNACION!$C507,"No existe información")))</f>
        <v>No existe información</v>
      </c>
      <c r="S507" s="4" t="str" cm="1">
        <f t="array" ref="S507">TRANSPOSE(_xlfn.UNIQUE(_xlfn._xlws.FILTER(MAE_ASIGNATURA[NOM_ASIG],(MAE_ASIGNATURA[ID_NIVEL]=ASIGNACION!$D507)*(MAE_ASIGNATURA[ID_CARRERA]=ASIGNACION!$C507),"No existe información")))</f>
        <v>No existe información</v>
      </c>
      <c r="BD507" s="4" t="str" cm="1">
        <f t="array" ref="BD507">TRANSPOSE(_xlfn.UNIQUE(_xlfn._xlws.FILTER(DET_ASIG[DETALLADO],(DET_ASIG[ID_CARRERA]=ASIGNACION!$C507)*(DET_ASIG[NIVEL]=ASIGNACION!$D507)*(DET_ASIG[ID_ASIG]=ASIGNACION!$G507),"No existe información")))</f>
        <v>No existe información</v>
      </c>
      <c r="BQ507" s="5" t="str" cm="1">
        <f t="array" ref="BQ507">IFERROR(
    TRANSPOSE(
        _xlfn.UNIQUE(
            _xlfn._xlws.FILTER(MAESTRIA_DETALLADO[MAESTRIA],
                ISNUMBER(MATCH(MAESTRIA_DETALLADO[CAMPO_DETALLADO],
                BD507:BP507,0))
            )
        )
    ),IF(BD507="ACTIVIDAD","DOCENCIA",""))</f>
        <v/>
      </c>
      <c r="EA507" s="5" t="str" cm="1">
        <f t="array" ref="EA507:FN507">IF(
    ASIGNACION!I507="SI",
    IFERROR(
        TRANSPOSE(
            _xlfn.UNIQUE(
                _xlfn._xlws.FILTER(EDU_DOCENTE[NOMBRE_DOCENTE],
                    ISNUMBER(MATCH(EDU_DOCENTE[MAESTRIA],
                    BQ507:DY507,0))
                )
            )
        ),
        ""
    ),
    TRANSPOSE(
        _xlfn.UNIQUE(EDU_DOCENTE[NOMBRE_DOCENTE]
        )
    )
)</f>
        <v>ALCIVAR CEDEÑO BEATRIZ ISABEL</v>
      </c>
      <c r="EB507" t="str">
        <v>ALCIVAR VERA GEMA MICHELLE</v>
      </c>
      <c r="EC507" t="str">
        <v>ARAUZ CHAVEZ MARIO ROBERTO</v>
      </c>
      <c r="ED507" t="str">
        <v>BAILON LOURIDO WALTER ALBERTO</v>
      </c>
      <c r="EE507" t="str">
        <v>CALDERERO VILLAGOMEZ ERICK ANTONIO</v>
      </c>
      <c r="EF507" t="str">
        <v>CASTILLO GARCIA PAOLA GERMANIA</v>
      </c>
      <c r="EG507" t="str">
        <v>CEDEÑO CHOEZ PEDRO JAVIER</v>
      </c>
      <c r="EH507" t="str">
        <v>CEVALLOS HOPPE JUAN CARLOS</v>
      </c>
      <c r="EI507" t="str">
        <v>DELGADO CHAVEZ MARIA IRASEMA</v>
      </c>
      <c r="EJ507" t="str">
        <v>DUARTE VALENCIA CRISTHIAN DARIO</v>
      </c>
      <c r="EK507" t="str">
        <v>FORTTY BARBERAN DENNY ALEXANDER</v>
      </c>
      <c r="EL507" t="str">
        <v>GUTIERREZ ZAMBRANO CARMEN EBELINA</v>
      </c>
      <c r="EM507" t="str">
        <v>INTRIAGO MOLINA GEMA VALERIA</v>
      </c>
      <c r="EN507" t="str">
        <v>LINO VELEZ LEONEL LIVINGTON</v>
      </c>
      <c r="EO507" t="str">
        <v>LOOR ALCIVAR MARIA ILIANA</v>
      </c>
      <c r="EP507" t="str">
        <v>LOOR MIELES TANIA JACQUELINE</v>
      </c>
      <c r="EQ507" t="str">
        <v>LOOR SOLORZANO ROSA MARIA</v>
      </c>
      <c r="ER507" t="str">
        <v>LOPEZ DELGADO RONALD MAURICIO</v>
      </c>
      <c r="ES507" t="str">
        <v>MACIAS VALENCIA DAVID GABRIEL</v>
      </c>
      <c r="ET507" t="str">
        <v>MENDOZA ZAMORA WALTER MANUEL</v>
      </c>
      <c r="EU507" t="str">
        <v>MOLINA CEVALLOS MARIA LORENA</v>
      </c>
      <c r="EV507" t="str">
        <v>MURILLO DELGADO ISAAC GABRIEL</v>
      </c>
      <c r="EW507" t="str">
        <v>ANGULO MURILLO NAVIRA GISSELA</v>
      </c>
      <c r="EX507" t="str">
        <v>OCHOA SOLEDISPA NESTOR IVAN</v>
      </c>
      <c r="EY507" t="str">
        <v>PARRAGA FRANCO SILVANA MARIELA</v>
      </c>
      <c r="EZ507" t="str">
        <v>PINARGOTE VASQUEZ NANCY FABIOLA</v>
      </c>
      <c r="FA507" t="str">
        <v>REYES VELEZ PEDRO ENRIQUE</v>
      </c>
      <c r="FB507" t="str">
        <v>SAN ANDRES HORMAZA DALLAS CECILIA</v>
      </c>
      <c r="FC507" t="str">
        <v>SORNOZA ZAMORA JUAN CARLOS</v>
      </c>
      <c r="FD507" t="str">
        <v>TOMALA PINTO JESUS JACINTO</v>
      </c>
      <c r="FE507" t="str">
        <v>VALLE JARAMILLO SILVIA ARACELY</v>
      </c>
      <c r="FF507" t="str">
        <v>VELÁSQUEZ BRAVO IRMA KATHERINE</v>
      </c>
      <c r="FG507" t="str">
        <v>VELEZ MENDOZA LAYSY VALERIA</v>
      </c>
      <c r="FH507" t="str">
        <v>VINUEZA TELLO SHIRLEY ELIZABETH</v>
      </c>
      <c r="FI507" t="str">
        <v>ZAMBRANO ALCIVAR NILDA ISABEL</v>
      </c>
      <c r="FJ507" t="str">
        <v>ZAMBRANO LOOR RITA MAYDA</v>
      </c>
      <c r="FK507" t="str">
        <v>ZAMBRANO VERA MONICA JANETH</v>
      </c>
      <c r="FL507" t="str">
        <v>VERA DELGADO BRYAN ADRIÁN</v>
      </c>
      <c r="FM507" t="str">
        <v>MORAN GONZALES DAVID RENATO</v>
      </c>
      <c r="FN507">
        <v>0</v>
      </c>
    </row>
    <row r="508" spans="1:170" ht="20.25" customHeight="1">
      <c r="A508" s="4" t="str" cm="1">
        <f t="array" ref="A508">TRANSPOSE(_xlfn.UNIQUE(_xlfn._xlws.FILTER(MAE_ASIGNATURA[ID_NIVEL],MAE_ASIGNATURA[ID_CARRERA]=ASIGNACION!$C508,"No existe información")))</f>
        <v>No existe información</v>
      </c>
      <c r="S508" s="4" t="str" cm="1">
        <f t="array" ref="S508">TRANSPOSE(_xlfn.UNIQUE(_xlfn._xlws.FILTER(MAE_ASIGNATURA[NOM_ASIG],(MAE_ASIGNATURA[ID_NIVEL]=ASIGNACION!$D508)*(MAE_ASIGNATURA[ID_CARRERA]=ASIGNACION!$C508),"No existe información")))</f>
        <v>No existe información</v>
      </c>
      <c r="BD508" s="4" t="str" cm="1">
        <f t="array" ref="BD508">TRANSPOSE(_xlfn.UNIQUE(_xlfn._xlws.FILTER(DET_ASIG[DETALLADO],(DET_ASIG[ID_CARRERA]=ASIGNACION!$C508)*(DET_ASIG[NIVEL]=ASIGNACION!$D508)*(DET_ASIG[ID_ASIG]=ASIGNACION!$G508),"No existe información")))</f>
        <v>No existe información</v>
      </c>
      <c r="BQ508" s="5" t="str" cm="1">
        <f t="array" ref="BQ508">IFERROR(
    TRANSPOSE(
        _xlfn.UNIQUE(
            _xlfn._xlws.FILTER(MAESTRIA_DETALLADO[MAESTRIA],
                ISNUMBER(MATCH(MAESTRIA_DETALLADO[CAMPO_DETALLADO],
                BD508:BP508,0))
            )
        )
    ),IF(BD508="ACTIVIDAD","DOCENCIA",""))</f>
        <v/>
      </c>
      <c r="EA508" s="5" t="str" cm="1">
        <f t="array" ref="EA508:FN508">IF(
    ASIGNACION!I508="SI",
    IFERROR(
        TRANSPOSE(
            _xlfn.UNIQUE(
                _xlfn._xlws.FILTER(EDU_DOCENTE[NOMBRE_DOCENTE],
                    ISNUMBER(MATCH(EDU_DOCENTE[MAESTRIA],
                    BQ508:DY508,0))
                )
            )
        ),
        ""
    ),
    TRANSPOSE(
        _xlfn.UNIQUE(EDU_DOCENTE[NOMBRE_DOCENTE]
        )
    )
)</f>
        <v>ALCIVAR CEDEÑO BEATRIZ ISABEL</v>
      </c>
      <c r="EB508" t="str">
        <v>ALCIVAR VERA GEMA MICHELLE</v>
      </c>
      <c r="EC508" t="str">
        <v>ARAUZ CHAVEZ MARIO ROBERTO</v>
      </c>
      <c r="ED508" t="str">
        <v>BAILON LOURIDO WALTER ALBERTO</v>
      </c>
      <c r="EE508" t="str">
        <v>CALDERERO VILLAGOMEZ ERICK ANTONIO</v>
      </c>
      <c r="EF508" t="str">
        <v>CASTILLO GARCIA PAOLA GERMANIA</v>
      </c>
      <c r="EG508" t="str">
        <v>CEDEÑO CHOEZ PEDRO JAVIER</v>
      </c>
      <c r="EH508" t="str">
        <v>CEVALLOS HOPPE JUAN CARLOS</v>
      </c>
      <c r="EI508" t="str">
        <v>DELGADO CHAVEZ MARIA IRASEMA</v>
      </c>
      <c r="EJ508" t="str">
        <v>DUARTE VALENCIA CRISTHIAN DARIO</v>
      </c>
      <c r="EK508" t="str">
        <v>FORTTY BARBERAN DENNY ALEXANDER</v>
      </c>
      <c r="EL508" t="str">
        <v>GUTIERREZ ZAMBRANO CARMEN EBELINA</v>
      </c>
      <c r="EM508" t="str">
        <v>INTRIAGO MOLINA GEMA VALERIA</v>
      </c>
      <c r="EN508" t="str">
        <v>LINO VELEZ LEONEL LIVINGTON</v>
      </c>
      <c r="EO508" t="str">
        <v>LOOR ALCIVAR MARIA ILIANA</v>
      </c>
      <c r="EP508" t="str">
        <v>LOOR MIELES TANIA JACQUELINE</v>
      </c>
      <c r="EQ508" t="str">
        <v>LOOR SOLORZANO ROSA MARIA</v>
      </c>
      <c r="ER508" t="str">
        <v>LOPEZ DELGADO RONALD MAURICIO</v>
      </c>
      <c r="ES508" t="str">
        <v>MACIAS VALENCIA DAVID GABRIEL</v>
      </c>
      <c r="ET508" t="str">
        <v>MENDOZA ZAMORA WALTER MANUEL</v>
      </c>
      <c r="EU508" t="str">
        <v>MOLINA CEVALLOS MARIA LORENA</v>
      </c>
      <c r="EV508" t="str">
        <v>MURILLO DELGADO ISAAC GABRIEL</v>
      </c>
      <c r="EW508" t="str">
        <v>ANGULO MURILLO NAVIRA GISSELA</v>
      </c>
      <c r="EX508" t="str">
        <v>OCHOA SOLEDISPA NESTOR IVAN</v>
      </c>
      <c r="EY508" t="str">
        <v>PARRAGA FRANCO SILVANA MARIELA</v>
      </c>
      <c r="EZ508" t="str">
        <v>PINARGOTE VASQUEZ NANCY FABIOLA</v>
      </c>
      <c r="FA508" t="str">
        <v>REYES VELEZ PEDRO ENRIQUE</v>
      </c>
      <c r="FB508" t="str">
        <v>SAN ANDRES HORMAZA DALLAS CECILIA</v>
      </c>
      <c r="FC508" t="str">
        <v>SORNOZA ZAMORA JUAN CARLOS</v>
      </c>
      <c r="FD508" t="str">
        <v>TOMALA PINTO JESUS JACINTO</v>
      </c>
      <c r="FE508" t="str">
        <v>VALLE JARAMILLO SILVIA ARACELY</v>
      </c>
      <c r="FF508" t="str">
        <v>VELÁSQUEZ BRAVO IRMA KATHERINE</v>
      </c>
      <c r="FG508" t="str">
        <v>VELEZ MENDOZA LAYSY VALERIA</v>
      </c>
      <c r="FH508" t="str">
        <v>VINUEZA TELLO SHIRLEY ELIZABETH</v>
      </c>
      <c r="FI508" t="str">
        <v>ZAMBRANO ALCIVAR NILDA ISABEL</v>
      </c>
      <c r="FJ508" t="str">
        <v>ZAMBRANO LOOR RITA MAYDA</v>
      </c>
      <c r="FK508" t="str">
        <v>ZAMBRANO VERA MONICA JANETH</v>
      </c>
      <c r="FL508" t="str">
        <v>VERA DELGADO BRYAN ADRIÁN</v>
      </c>
      <c r="FM508" t="str">
        <v>MORAN GONZALES DAVID RENATO</v>
      </c>
      <c r="FN508">
        <v>0</v>
      </c>
    </row>
    <row r="509" spans="1:170" ht="20.25" customHeight="1">
      <c r="A509" s="4" t="str" cm="1">
        <f t="array" ref="A509">TRANSPOSE(_xlfn.UNIQUE(_xlfn._xlws.FILTER(MAE_ASIGNATURA[ID_NIVEL],MAE_ASIGNATURA[ID_CARRERA]=ASIGNACION!$C509,"No existe información")))</f>
        <v>No existe información</v>
      </c>
      <c r="S509" s="4" t="str" cm="1">
        <f t="array" ref="S509">TRANSPOSE(_xlfn.UNIQUE(_xlfn._xlws.FILTER(MAE_ASIGNATURA[NOM_ASIG],(MAE_ASIGNATURA[ID_NIVEL]=ASIGNACION!$D509)*(MAE_ASIGNATURA[ID_CARRERA]=ASIGNACION!$C509),"No existe información")))</f>
        <v>No existe información</v>
      </c>
      <c r="BD509" s="4" t="str" cm="1">
        <f t="array" ref="BD509">TRANSPOSE(_xlfn.UNIQUE(_xlfn._xlws.FILTER(DET_ASIG[DETALLADO],(DET_ASIG[ID_CARRERA]=ASIGNACION!$C509)*(DET_ASIG[NIVEL]=ASIGNACION!$D509)*(DET_ASIG[ID_ASIG]=ASIGNACION!$G509),"No existe información")))</f>
        <v>No existe información</v>
      </c>
      <c r="BQ509" s="5" t="str" cm="1">
        <f t="array" ref="BQ509">IFERROR(
    TRANSPOSE(
        _xlfn.UNIQUE(
            _xlfn._xlws.FILTER(MAESTRIA_DETALLADO[MAESTRIA],
                ISNUMBER(MATCH(MAESTRIA_DETALLADO[CAMPO_DETALLADO],
                BD509:BP509,0))
            )
        )
    ),IF(BD509="ACTIVIDAD","DOCENCIA",""))</f>
        <v/>
      </c>
      <c r="EA509" s="5" t="str" cm="1">
        <f t="array" ref="EA509:FN509">IF(
    ASIGNACION!I509="SI",
    IFERROR(
        TRANSPOSE(
            _xlfn.UNIQUE(
                _xlfn._xlws.FILTER(EDU_DOCENTE[NOMBRE_DOCENTE],
                    ISNUMBER(MATCH(EDU_DOCENTE[MAESTRIA],
                    BQ509:DY509,0))
                )
            )
        ),
        ""
    ),
    TRANSPOSE(
        _xlfn.UNIQUE(EDU_DOCENTE[NOMBRE_DOCENTE]
        )
    )
)</f>
        <v>ALCIVAR CEDEÑO BEATRIZ ISABEL</v>
      </c>
      <c r="EB509" t="str">
        <v>ALCIVAR VERA GEMA MICHELLE</v>
      </c>
      <c r="EC509" t="str">
        <v>ARAUZ CHAVEZ MARIO ROBERTO</v>
      </c>
      <c r="ED509" t="str">
        <v>BAILON LOURIDO WALTER ALBERTO</v>
      </c>
      <c r="EE509" t="str">
        <v>CALDERERO VILLAGOMEZ ERICK ANTONIO</v>
      </c>
      <c r="EF509" t="str">
        <v>CASTILLO GARCIA PAOLA GERMANIA</v>
      </c>
      <c r="EG509" t="str">
        <v>CEDEÑO CHOEZ PEDRO JAVIER</v>
      </c>
      <c r="EH509" t="str">
        <v>CEVALLOS HOPPE JUAN CARLOS</v>
      </c>
      <c r="EI509" t="str">
        <v>DELGADO CHAVEZ MARIA IRASEMA</v>
      </c>
      <c r="EJ509" t="str">
        <v>DUARTE VALENCIA CRISTHIAN DARIO</v>
      </c>
      <c r="EK509" t="str">
        <v>FORTTY BARBERAN DENNY ALEXANDER</v>
      </c>
      <c r="EL509" t="str">
        <v>GUTIERREZ ZAMBRANO CARMEN EBELINA</v>
      </c>
      <c r="EM509" t="str">
        <v>INTRIAGO MOLINA GEMA VALERIA</v>
      </c>
      <c r="EN509" t="str">
        <v>LINO VELEZ LEONEL LIVINGTON</v>
      </c>
      <c r="EO509" t="str">
        <v>LOOR ALCIVAR MARIA ILIANA</v>
      </c>
      <c r="EP509" t="str">
        <v>LOOR MIELES TANIA JACQUELINE</v>
      </c>
      <c r="EQ509" t="str">
        <v>LOOR SOLORZANO ROSA MARIA</v>
      </c>
      <c r="ER509" t="str">
        <v>LOPEZ DELGADO RONALD MAURICIO</v>
      </c>
      <c r="ES509" t="str">
        <v>MACIAS VALENCIA DAVID GABRIEL</v>
      </c>
      <c r="ET509" t="str">
        <v>MENDOZA ZAMORA WALTER MANUEL</v>
      </c>
      <c r="EU509" t="str">
        <v>MOLINA CEVALLOS MARIA LORENA</v>
      </c>
      <c r="EV509" t="str">
        <v>MURILLO DELGADO ISAAC GABRIEL</v>
      </c>
      <c r="EW509" t="str">
        <v>ANGULO MURILLO NAVIRA GISSELA</v>
      </c>
      <c r="EX509" t="str">
        <v>OCHOA SOLEDISPA NESTOR IVAN</v>
      </c>
      <c r="EY509" t="str">
        <v>PARRAGA FRANCO SILVANA MARIELA</v>
      </c>
      <c r="EZ509" t="str">
        <v>PINARGOTE VASQUEZ NANCY FABIOLA</v>
      </c>
      <c r="FA509" t="str">
        <v>REYES VELEZ PEDRO ENRIQUE</v>
      </c>
      <c r="FB509" t="str">
        <v>SAN ANDRES HORMAZA DALLAS CECILIA</v>
      </c>
      <c r="FC509" t="str">
        <v>SORNOZA ZAMORA JUAN CARLOS</v>
      </c>
      <c r="FD509" t="str">
        <v>TOMALA PINTO JESUS JACINTO</v>
      </c>
      <c r="FE509" t="str">
        <v>VALLE JARAMILLO SILVIA ARACELY</v>
      </c>
      <c r="FF509" t="str">
        <v>VELÁSQUEZ BRAVO IRMA KATHERINE</v>
      </c>
      <c r="FG509" t="str">
        <v>VELEZ MENDOZA LAYSY VALERIA</v>
      </c>
      <c r="FH509" t="str">
        <v>VINUEZA TELLO SHIRLEY ELIZABETH</v>
      </c>
      <c r="FI509" t="str">
        <v>ZAMBRANO ALCIVAR NILDA ISABEL</v>
      </c>
      <c r="FJ509" t="str">
        <v>ZAMBRANO LOOR RITA MAYDA</v>
      </c>
      <c r="FK509" t="str">
        <v>ZAMBRANO VERA MONICA JANETH</v>
      </c>
      <c r="FL509" t="str">
        <v>VERA DELGADO BRYAN ADRIÁN</v>
      </c>
      <c r="FM509" t="str">
        <v>MORAN GONZALES DAVID RENATO</v>
      </c>
      <c r="FN509">
        <v>0</v>
      </c>
    </row>
    <row r="510" spans="1:170" ht="20.25" customHeight="1">
      <c r="A510" s="4" t="str" cm="1">
        <f t="array" ref="A510">TRANSPOSE(_xlfn.UNIQUE(_xlfn._xlws.FILTER(MAE_ASIGNATURA[ID_NIVEL],MAE_ASIGNATURA[ID_CARRERA]=ASIGNACION!$C510,"No existe información")))</f>
        <v>No existe información</v>
      </c>
      <c r="S510" s="4" t="str" cm="1">
        <f t="array" ref="S510">TRANSPOSE(_xlfn.UNIQUE(_xlfn._xlws.FILTER(MAE_ASIGNATURA[NOM_ASIG],(MAE_ASIGNATURA[ID_NIVEL]=ASIGNACION!$D510)*(MAE_ASIGNATURA[ID_CARRERA]=ASIGNACION!$C510),"No existe información")))</f>
        <v>No existe información</v>
      </c>
      <c r="BD510" s="4" t="str" cm="1">
        <f t="array" ref="BD510">TRANSPOSE(_xlfn.UNIQUE(_xlfn._xlws.FILTER(DET_ASIG[DETALLADO],(DET_ASIG[ID_CARRERA]=ASIGNACION!$C510)*(DET_ASIG[NIVEL]=ASIGNACION!$D510)*(DET_ASIG[ID_ASIG]=ASIGNACION!$G510),"No existe información")))</f>
        <v>No existe información</v>
      </c>
      <c r="BQ510" s="5" t="str" cm="1">
        <f t="array" ref="BQ510">IFERROR(
    TRANSPOSE(
        _xlfn.UNIQUE(
            _xlfn._xlws.FILTER(MAESTRIA_DETALLADO[MAESTRIA],
                ISNUMBER(MATCH(MAESTRIA_DETALLADO[CAMPO_DETALLADO],
                BD510:BP510,0))
            )
        )
    ),IF(BD510="ACTIVIDAD","DOCENCIA",""))</f>
        <v/>
      </c>
      <c r="EA510" s="5" t="str" cm="1">
        <f t="array" ref="EA510:FN510">IF(
    ASIGNACION!I510="SI",
    IFERROR(
        TRANSPOSE(
            _xlfn.UNIQUE(
                _xlfn._xlws.FILTER(EDU_DOCENTE[NOMBRE_DOCENTE],
                    ISNUMBER(MATCH(EDU_DOCENTE[MAESTRIA],
                    BQ510:DY510,0))
                )
            )
        ),
        ""
    ),
    TRANSPOSE(
        _xlfn.UNIQUE(EDU_DOCENTE[NOMBRE_DOCENTE]
        )
    )
)</f>
        <v>ALCIVAR CEDEÑO BEATRIZ ISABEL</v>
      </c>
      <c r="EB510" t="str">
        <v>ALCIVAR VERA GEMA MICHELLE</v>
      </c>
      <c r="EC510" t="str">
        <v>ARAUZ CHAVEZ MARIO ROBERTO</v>
      </c>
      <c r="ED510" t="str">
        <v>BAILON LOURIDO WALTER ALBERTO</v>
      </c>
      <c r="EE510" t="str">
        <v>CALDERERO VILLAGOMEZ ERICK ANTONIO</v>
      </c>
      <c r="EF510" t="str">
        <v>CASTILLO GARCIA PAOLA GERMANIA</v>
      </c>
      <c r="EG510" t="str">
        <v>CEDEÑO CHOEZ PEDRO JAVIER</v>
      </c>
      <c r="EH510" t="str">
        <v>CEVALLOS HOPPE JUAN CARLOS</v>
      </c>
      <c r="EI510" t="str">
        <v>DELGADO CHAVEZ MARIA IRASEMA</v>
      </c>
      <c r="EJ510" t="str">
        <v>DUARTE VALENCIA CRISTHIAN DARIO</v>
      </c>
      <c r="EK510" t="str">
        <v>FORTTY BARBERAN DENNY ALEXANDER</v>
      </c>
      <c r="EL510" t="str">
        <v>GUTIERREZ ZAMBRANO CARMEN EBELINA</v>
      </c>
      <c r="EM510" t="str">
        <v>INTRIAGO MOLINA GEMA VALERIA</v>
      </c>
      <c r="EN510" t="str">
        <v>LINO VELEZ LEONEL LIVINGTON</v>
      </c>
      <c r="EO510" t="str">
        <v>LOOR ALCIVAR MARIA ILIANA</v>
      </c>
      <c r="EP510" t="str">
        <v>LOOR MIELES TANIA JACQUELINE</v>
      </c>
      <c r="EQ510" t="str">
        <v>LOOR SOLORZANO ROSA MARIA</v>
      </c>
      <c r="ER510" t="str">
        <v>LOPEZ DELGADO RONALD MAURICIO</v>
      </c>
      <c r="ES510" t="str">
        <v>MACIAS VALENCIA DAVID GABRIEL</v>
      </c>
      <c r="ET510" t="str">
        <v>MENDOZA ZAMORA WALTER MANUEL</v>
      </c>
      <c r="EU510" t="str">
        <v>MOLINA CEVALLOS MARIA LORENA</v>
      </c>
      <c r="EV510" t="str">
        <v>MURILLO DELGADO ISAAC GABRIEL</v>
      </c>
      <c r="EW510" t="str">
        <v>ANGULO MURILLO NAVIRA GISSELA</v>
      </c>
      <c r="EX510" t="str">
        <v>OCHOA SOLEDISPA NESTOR IVAN</v>
      </c>
      <c r="EY510" t="str">
        <v>PARRAGA FRANCO SILVANA MARIELA</v>
      </c>
      <c r="EZ510" t="str">
        <v>PINARGOTE VASQUEZ NANCY FABIOLA</v>
      </c>
      <c r="FA510" t="str">
        <v>REYES VELEZ PEDRO ENRIQUE</v>
      </c>
      <c r="FB510" t="str">
        <v>SAN ANDRES HORMAZA DALLAS CECILIA</v>
      </c>
      <c r="FC510" t="str">
        <v>SORNOZA ZAMORA JUAN CARLOS</v>
      </c>
      <c r="FD510" t="str">
        <v>TOMALA PINTO JESUS JACINTO</v>
      </c>
      <c r="FE510" t="str">
        <v>VALLE JARAMILLO SILVIA ARACELY</v>
      </c>
      <c r="FF510" t="str">
        <v>VELÁSQUEZ BRAVO IRMA KATHERINE</v>
      </c>
      <c r="FG510" t="str">
        <v>VELEZ MENDOZA LAYSY VALERIA</v>
      </c>
      <c r="FH510" t="str">
        <v>VINUEZA TELLO SHIRLEY ELIZABETH</v>
      </c>
      <c r="FI510" t="str">
        <v>ZAMBRANO ALCIVAR NILDA ISABEL</v>
      </c>
      <c r="FJ510" t="str">
        <v>ZAMBRANO LOOR RITA MAYDA</v>
      </c>
      <c r="FK510" t="str">
        <v>ZAMBRANO VERA MONICA JANETH</v>
      </c>
      <c r="FL510" t="str">
        <v>VERA DELGADO BRYAN ADRIÁN</v>
      </c>
      <c r="FM510" t="str">
        <v>MORAN GONZALES DAVID RENATO</v>
      </c>
      <c r="FN510">
        <v>0</v>
      </c>
    </row>
    <row r="511" spans="1:170" ht="20.25" customHeight="1">
      <c r="A511" s="4" t="str" cm="1">
        <f t="array" ref="A511">TRANSPOSE(_xlfn.UNIQUE(_xlfn._xlws.FILTER(MAE_ASIGNATURA[ID_NIVEL],MAE_ASIGNATURA[ID_CARRERA]=ASIGNACION!$C511,"No existe información")))</f>
        <v>No existe información</v>
      </c>
      <c r="S511" s="4" t="str" cm="1">
        <f t="array" ref="S511">TRANSPOSE(_xlfn.UNIQUE(_xlfn._xlws.FILTER(MAE_ASIGNATURA[NOM_ASIG],(MAE_ASIGNATURA[ID_NIVEL]=ASIGNACION!$D511)*(MAE_ASIGNATURA[ID_CARRERA]=ASIGNACION!$C511),"No existe información")))</f>
        <v>No existe información</v>
      </c>
      <c r="BD511" s="4" t="str" cm="1">
        <f t="array" ref="BD511">TRANSPOSE(_xlfn.UNIQUE(_xlfn._xlws.FILTER(DET_ASIG[DETALLADO],(DET_ASIG[ID_CARRERA]=ASIGNACION!$C511)*(DET_ASIG[NIVEL]=ASIGNACION!$D511)*(DET_ASIG[ID_ASIG]=ASIGNACION!$G511),"No existe información")))</f>
        <v>No existe información</v>
      </c>
      <c r="BQ511" s="5" t="str" cm="1">
        <f t="array" ref="BQ511">IFERROR(
    TRANSPOSE(
        _xlfn.UNIQUE(
            _xlfn._xlws.FILTER(MAESTRIA_DETALLADO[MAESTRIA],
                ISNUMBER(MATCH(MAESTRIA_DETALLADO[CAMPO_DETALLADO],
                BD511:BP511,0))
            )
        )
    ),IF(BD511="ACTIVIDAD","DOCENCIA",""))</f>
        <v/>
      </c>
      <c r="EA511" s="5" t="str" cm="1">
        <f t="array" ref="EA511:FN511">IF(
    ASIGNACION!I511="SI",
    IFERROR(
        TRANSPOSE(
            _xlfn.UNIQUE(
                _xlfn._xlws.FILTER(EDU_DOCENTE[NOMBRE_DOCENTE],
                    ISNUMBER(MATCH(EDU_DOCENTE[MAESTRIA],
                    BQ511:DY511,0))
                )
            )
        ),
        ""
    ),
    TRANSPOSE(
        _xlfn.UNIQUE(EDU_DOCENTE[NOMBRE_DOCENTE]
        )
    )
)</f>
        <v>ALCIVAR CEDEÑO BEATRIZ ISABEL</v>
      </c>
      <c r="EB511" t="str">
        <v>ALCIVAR VERA GEMA MICHELLE</v>
      </c>
      <c r="EC511" t="str">
        <v>ARAUZ CHAVEZ MARIO ROBERTO</v>
      </c>
      <c r="ED511" t="str">
        <v>BAILON LOURIDO WALTER ALBERTO</v>
      </c>
      <c r="EE511" t="str">
        <v>CALDERERO VILLAGOMEZ ERICK ANTONIO</v>
      </c>
      <c r="EF511" t="str">
        <v>CASTILLO GARCIA PAOLA GERMANIA</v>
      </c>
      <c r="EG511" t="str">
        <v>CEDEÑO CHOEZ PEDRO JAVIER</v>
      </c>
      <c r="EH511" t="str">
        <v>CEVALLOS HOPPE JUAN CARLOS</v>
      </c>
      <c r="EI511" t="str">
        <v>DELGADO CHAVEZ MARIA IRASEMA</v>
      </c>
      <c r="EJ511" t="str">
        <v>DUARTE VALENCIA CRISTHIAN DARIO</v>
      </c>
      <c r="EK511" t="str">
        <v>FORTTY BARBERAN DENNY ALEXANDER</v>
      </c>
      <c r="EL511" t="str">
        <v>GUTIERREZ ZAMBRANO CARMEN EBELINA</v>
      </c>
      <c r="EM511" t="str">
        <v>INTRIAGO MOLINA GEMA VALERIA</v>
      </c>
      <c r="EN511" t="str">
        <v>LINO VELEZ LEONEL LIVINGTON</v>
      </c>
      <c r="EO511" t="str">
        <v>LOOR ALCIVAR MARIA ILIANA</v>
      </c>
      <c r="EP511" t="str">
        <v>LOOR MIELES TANIA JACQUELINE</v>
      </c>
      <c r="EQ511" t="str">
        <v>LOOR SOLORZANO ROSA MARIA</v>
      </c>
      <c r="ER511" t="str">
        <v>LOPEZ DELGADO RONALD MAURICIO</v>
      </c>
      <c r="ES511" t="str">
        <v>MACIAS VALENCIA DAVID GABRIEL</v>
      </c>
      <c r="ET511" t="str">
        <v>MENDOZA ZAMORA WALTER MANUEL</v>
      </c>
      <c r="EU511" t="str">
        <v>MOLINA CEVALLOS MARIA LORENA</v>
      </c>
      <c r="EV511" t="str">
        <v>MURILLO DELGADO ISAAC GABRIEL</v>
      </c>
      <c r="EW511" t="str">
        <v>ANGULO MURILLO NAVIRA GISSELA</v>
      </c>
      <c r="EX511" t="str">
        <v>OCHOA SOLEDISPA NESTOR IVAN</v>
      </c>
      <c r="EY511" t="str">
        <v>PARRAGA FRANCO SILVANA MARIELA</v>
      </c>
      <c r="EZ511" t="str">
        <v>PINARGOTE VASQUEZ NANCY FABIOLA</v>
      </c>
      <c r="FA511" t="str">
        <v>REYES VELEZ PEDRO ENRIQUE</v>
      </c>
      <c r="FB511" t="str">
        <v>SAN ANDRES HORMAZA DALLAS CECILIA</v>
      </c>
      <c r="FC511" t="str">
        <v>SORNOZA ZAMORA JUAN CARLOS</v>
      </c>
      <c r="FD511" t="str">
        <v>TOMALA PINTO JESUS JACINTO</v>
      </c>
      <c r="FE511" t="str">
        <v>VALLE JARAMILLO SILVIA ARACELY</v>
      </c>
      <c r="FF511" t="str">
        <v>VELÁSQUEZ BRAVO IRMA KATHERINE</v>
      </c>
      <c r="FG511" t="str">
        <v>VELEZ MENDOZA LAYSY VALERIA</v>
      </c>
      <c r="FH511" t="str">
        <v>VINUEZA TELLO SHIRLEY ELIZABETH</v>
      </c>
      <c r="FI511" t="str">
        <v>ZAMBRANO ALCIVAR NILDA ISABEL</v>
      </c>
      <c r="FJ511" t="str">
        <v>ZAMBRANO LOOR RITA MAYDA</v>
      </c>
      <c r="FK511" t="str">
        <v>ZAMBRANO VERA MONICA JANETH</v>
      </c>
      <c r="FL511" t="str">
        <v>VERA DELGADO BRYAN ADRIÁN</v>
      </c>
      <c r="FM511" t="str">
        <v>MORAN GONZALES DAVID RENATO</v>
      </c>
      <c r="FN511">
        <v>0</v>
      </c>
    </row>
    <row r="512" spans="1:170" ht="20.25" customHeight="1">
      <c r="A512" s="4" t="str" cm="1">
        <f t="array" ref="A512">TRANSPOSE(_xlfn.UNIQUE(_xlfn._xlws.FILTER(MAE_ASIGNATURA[ID_NIVEL],MAE_ASIGNATURA[ID_CARRERA]=ASIGNACION!$C512,"No existe información")))</f>
        <v>No existe información</v>
      </c>
      <c r="S512" s="4" t="str" cm="1">
        <f t="array" ref="S512">TRANSPOSE(_xlfn.UNIQUE(_xlfn._xlws.FILTER(MAE_ASIGNATURA[NOM_ASIG],(MAE_ASIGNATURA[ID_NIVEL]=ASIGNACION!$D512)*(MAE_ASIGNATURA[ID_CARRERA]=ASIGNACION!$C512),"No existe información")))</f>
        <v>No existe información</v>
      </c>
      <c r="BD512" s="4" t="str" cm="1">
        <f t="array" ref="BD512">TRANSPOSE(_xlfn.UNIQUE(_xlfn._xlws.FILTER(DET_ASIG[DETALLADO],(DET_ASIG[ID_CARRERA]=ASIGNACION!$C512)*(DET_ASIG[NIVEL]=ASIGNACION!$D512)*(DET_ASIG[ID_ASIG]=ASIGNACION!$G512),"No existe información")))</f>
        <v>No existe información</v>
      </c>
      <c r="BQ512" s="5" t="str" cm="1">
        <f t="array" ref="BQ512">IFERROR(
    TRANSPOSE(
        _xlfn.UNIQUE(
            _xlfn._xlws.FILTER(MAESTRIA_DETALLADO[MAESTRIA],
                ISNUMBER(MATCH(MAESTRIA_DETALLADO[CAMPO_DETALLADO],
                BD512:BP512,0))
            )
        )
    ),IF(BD512="ACTIVIDAD","DOCENCIA",""))</f>
        <v/>
      </c>
      <c r="EA512" s="5" t="str" cm="1">
        <f t="array" ref="EA512:FN512">IF(
    ASIGNACION!I512="SI",
    IFERROR(
        TRANSPOSE(
            _xlfn.UNIQUE(
                _xlfn._xlws.FILTER(EDU_DOCENTE[NOMBRE_DOCENTE],
                    ISNUMBER(MATCH(EDU_DOCENTE[MAESTRIA],
                    BQ512:DY512,0))
                )
            )
        ),
        ""
    ),
    TRANSPOSE(
        _xlfn.UNIQUE(EDU_DOCENTE[NOMBRE_DOCENTE]
        )
    )
)</f>
        <v>ALCIVAR CEDEÑO BEATRIZ ISABEL</v>
      </c>
      <c r="EB512" t="str">
        <v>ALCIVAR VERA GEMA MICHELLE</v>
      </c>
      <c r="EC512" t="str">
        <v>ARAUZ CHAVEZ MARIO ROBERTO</v>
      </c>
      <c r="ED512" t="str">
        <v>BAILON LOURIDO WALTER ALBERTO</v>
      </c>
      <c r="EE512" t="str">
        <v>CALDERERO VILLAGOMEZ ERICK ANTONIO</v>
      </c>
      <c r="EF512" t="str">
        <v>CASTILLO GARCIA PAOLA GERMANIA</v>
      </c>
      <c r="EG512" t="str">
        <v>CEDEÑO CHOEZ PEDRO JAVIER</v>
      </c>
      <c r="EH512" t="str">
        <v>CEVALLOS HOPPE JUAN CARLOS</v>
      </c>
      <c r="EI512" t="str">
        <v>DELGADO CHAVEZ MARIA IRASEMA</v>
      </c>
      <c r="EJ512" t="str">
        <v>DUARTE VALENCIA CRISTHIAN DARIO</v>
      </c>
      <c r="EK512" t="str">
        <v>FORTTY BARBERAN DENNY ALEXANDER</v>
      </c>
      <c r="EL512" t="str">
        <v>GUTIERREZ ZAMBRANO CARMEN EBELINA</v>
      </c>
      <c r="EM512" t="str">
        <v>INTRIAGO MOLINA GEMA VALERIA</v>
      </c>
      <c r="EN512" t="str">
        <v>LINO VELEZ LEONEL LIVINGTON</v>
      </c>
      <c r="EO512" t="str">
        <v>LOOR ALCIVAR MARIA ILIANA</v>
      </c>
      <c r="EP512" t="str">
        <v>LOOR MIELES TANIA JACQUELINE</v>
      </c>
      <c r="EQ512" t="str">
        <v>LOOR SOLORZANO ROSA MARIA</v>
      </c>
      <c r="ER512" t="str">
        <v>LOPEZ DELGADO RONALD MAURICIO</v>
      </c>
      <c r="ES512" t="str">
        <v>MACIAS VALENCIA DAVID GABRIEL</v>
      </c>
      <c r="ET512" t="str">
        <v>MENDOZA ZAMORA WALTER MANUEL</v>
      </c>
      <c r="EU512" t="str">
        <v>MOLINA CEVALLOS MARIA LORENA</v>
      </c>
      <c r="EV512" t="str">
        <v>MURILLO DELGADO ISAAC GABRIEL</v>
      </c>
      <c r="EW512" t="str">
        <v>ANGULO MURILLO NAVIRA GISSELA</v>
      </c>
      <c r="EX512" t="str">
        <v>OCHOA SOLEDISPA NESTOR IVAN</v>
      </c>
      <c r="EY512" t="str">
        <v>PARRAGA FRANCO SILVANA MARIELA</v>
      </c>
      <c r="EZ512" t="str">
        <v>PINARGOTE VASQUEZ NANCY FABIOLA</v>
      </c>
      <c r="FA512" t="str">
        <v>REYES VELEZ PEDRO ENRIQUE</v>
      </c>
      <c r="FB512" t="str">
        <v>SAN ANDRES HORMAZA DALLAS CECILIA</v>
      </c>
      <c r="FC512" t="str">
        <v>SORNOZA ZAMORA JUAN CARLOS</v>
      </c>
      <c r="FD512" t="str">
        <v>TOMALA PINTO JESUS JACINTO</v>
      </c>
      <c r="FE512" t="str">
        <v>VALLE JARAMILLO SILVIA ARACELY</v>
      </c>
      <c r="FF512" t="str">
        <v>VELÁSQUEZ BRAVO IRMA KATHERINE</v>
      </c>
      <c r="FG512" t="str">
        <v>VELEZ MENDOZA LAYSY VALERIA</v>
      </c>
      <c r="FH512" t="str">
        <v>VINUEZA TELLO SHIRLEY ELIZABETH</v>
      </c>
      <c r="FI512" t="str">
        <v>ZAMBRANO ALCIVAR NILDA ISABEL</v>
      </c>
      <c r="FJ512" t="str">
        <v>ZAMBRANO LOOR RITA MAYDA</v>
      </c>
      <c r="FK512" t="str">
        <v>ZAMBRANO VERA MONICA JANETH</v>
      </c>
      <c r="FL512" t="str">
        <v>VERA DELGADO BRYAN ADRIÁN</v>
      </c>
      <c r="FM512" t="str">
        <v>MORAN GONZALES DAVID RENATO</v>
      </c>
      <c r="FN512">
        <v>0</v>
      </c>
    </row>
    <row r="513" spans="1:170" ht="20.25" customHeight="1">
      <c r="A513" s="4" t="str" cm="1">
        <f t="array" ref="A513">TRANSPOSE(_xlfn.UNIQUE(_xlfn._xlws.FILTER(MAE_ASIGNATURA[ID_NIVEL],MAE_ASIGNATURA[ID_CARRERA]=ASIGNACION!$C513,"No existe información")))</f>
        <v>No existe información</v>
      </c>
      <c r="S513" s="4" t="str" cm="1">
        <f t="array" ref="S513">TRANSPOSE(_xlfn.UNIQUE(_xlfn._xlws.FILTER(MAE_ASIGNATURA[NOM_ASIG],(MAE_ASIGNATURA[ID_NIVEL]=ASIGNACION!$D513)*(MAE_ASIGNATURA[ID_CARRERA]=ASIGNACION!$C513),"No existe información")))</f>
        <v>No existe información</v>
      </c>
      <c r="BD513" s="4" t="str" cm="1">
        <f t="array" ref="BD513">TRANSPOSE(_xlfn.UNIQUE(_xlfn._xlws.FILTER(DET_ASIG[DETALLADO],(DET_ASIG[ID_CARRERA]=ASIGNACION!$C513)*(DET_ASIG[NIVEL]=ASIGNACION!$D513)*(DET_ASIG[ID_ASIG]=ASIGNACION!$G513),"No existe información")))</f>
        <v>No existe información</v>
      </c>
      <c r="BQ513" s="5" t="str" cm="1">
        <f t="array" ref="BQ513">IFERROR(
    TRANSPOSE(
        _xlfn.UNIQUE(
            _xlfn._xlws.FILTER(MAESTRIA_DETALLADO[MAESTRIA],
                ISNUMBER(MATCH(MAESTRIA_DETALLADO[CAMPO_DETALLADO],
                BD513:BP513,0))
            )
        )
    ),IF(BD513="ACTIVIDAD","DOCENCIA",""))</f>
        <v/>
      </c>
      <c r="EA513" s="5" t="str" cm="1">
        <f t="array" ref="EA513:FN513">IF(
    ASIGNACION!I513="SI",
    IFERROR(
        TRANSPOSE(
            _xlfn.UNIQUE(
                _xlfn._xlws.FILTER(EDU_DOCENTE[NOMBRE_DOCENTE],
                    ISNUMBER(MATCH(EDU_DOCENTE[MAESTRIA],
                    BQ513:DY513,0))
                )
            )
        ),
        ""
    ),
    TRANSPOSE(
        _xlfn.UNIQUE(EDU_DOCENTE[NOMBRE_DOCENTE]
        )
    )
)</f>
        <v>ALCIVAR CEDEÑO BEATRIZ ISABEL</v>
      </c>
      <c r="EB513" t="str">
        <v>ALCIVAR VERA GEMA MICHELLE</v>
      </c>
      <c r="EC513" t="str">
        <v>ARAUZ CHAVEZ MARIO ROBERTO</v>
      </c>
      <c r="ED513" t="str">
        <v>BAILON LOURIDO WALTER ALBERTO</v>
      </c>
      <c r="EE513" t="str">
        <v>CALDERERO VILLAGOMEZ ERICK ANTONIO</v>
      </c>
      <c r="EF513" t="str">
        <v>CASTILLO GARCIA PAOLA GERMANIA</v>
      </c>
      <c r="EG513" t="str">
        <v>CEDEÑO CHOEZ PEDRO JAVIER</v>
      </c>
      <c r="EH513" t="str">
        <v>CEVALLOS HOPPE JUAN CARLOS</v>
      </c>
      <c r="EI513" t="str">
        <v>DELGADO CHAVEZ MARIA IRASEMA</v>
      </c>
      <c r="EJ513" t="str">
        <v>DUARTE VALENCIA CRISTHIAN DARIO</v>
      </c>
      <c r="EK513" t="str">
        <v>FORTTY BARBERAN DENNY ALEXANDER</v>
      </c>
      <c r="EL513" t="str">
        <v>GUTIERREZ ZAMBRANO CARMEN EBELINA</v>
      </c>
      <c r="EM513" t="str">
        <v>INTRIAGO MOLINA GEMA VALERIA</v>
      </c>
      <c r="EN513" t="str">
        <v>LINO VELEZ LEONEL LIVINGTON</v>
      </c>
      <c r="EO513" t="str">
        <v>LOOR ALCIVAR MARIA ILIANA</v>
      </c>
      <c r="EP513" t="str">
        <v>LOOR MIELES TANIA JACQUELINE</v>
      </c>
      <c r="EQ513" t="str">
        <v>LOOR SOLORZANO ROSA MARIA</v>
      </c>
      <c r="ER513" t="str">
        <v>LOPEZ DELGADO RONALD MAURICIO</v>
      </c>
      <c r="ES513" t="str">
        <v>MACIAS VALENCIA DAVID GABRIEL</v>
      </c>
      <c r="ET513" t="str">
        <v>MENDOZA ZAMORA WALTER MANUEL</v>
      </c>
      <c r="EU513" t="str">
        <v>MOLINA CEVALLOS MARIA LORENA</v>
      </c>
      <c r="EV513" t="str">
        <v>MURILLO DELGADO ISAAC GABRIEL</v>
      </c>
      <c r="EW513" t="str">
        <v>ANGULO MURILLO NAVIRA GISSELA</v>
      </c>
      <c r="EX513" t="str">
        <v>OCHOA SOLEDISPA NESTOR IVAN</v>
      </c>
      <c r="EY513" t="str">
        <v>PARRAGA FRANCO SILVANA MARIELA</v>
      </c>
      <c r="EZ513" t="str">
        <v>PINARGOTE VASQUEZ NANCY FABIOLA</v>
      </c>
      <c r="FA513" t="str">
        <v>REYES VELEZ PEDRO ENRIQUE</v>
      </c>
      <c r="FB513" t="str">
        <v>SAN ANDRES HORMAZA DALLAS CECILIA</v>
      </c>
      <c r="FC513" t="str">
        <v>SORNOZA ZAMORA JUAN CARLOS</v>
      </c>
      <c r="FD513" t="str">
        <v>TOMALA PINTO JESUS JACINTO</v>
      </c>
      <c r="FE513" t="str">
        <v>VALLE JARAMILLO SILVIA ARACELY</v>
      </c>
      <c r="FF513" t="str">
        <v>VELÁSQUEZ BRAVO IRMA KATHERINE</v>
      </c>
      <c r="FG513" t="str">
        <v>VELEZ MENDOZA LAYSY VALERIA</v>
      </c>
      <c r="FH513" t="str">
        <v>VINUEZA TELLO SHIRLEY ELIZABETH</v>
      </c>
      <c r="FI513" t="str">
        <v>ZAMBRANO ALCIVAR NILDA ISABEL</v>
      </c>
      <c r="FJ513" t="str">
        <v>ZAMBRANO LOOR RITA MAYDA</v>
      </c>
      <c r="FK513" t="str">
        <v>ZAMBRANO VERA MONICA JANETH</v>
      </c>
      <c r="FL513" t="str">
        <v>VERA DELGADO BRYAN ADRIÁN</v>
      </c>
      <c r="FM513" t="str">
        <v>MORAN GONZALES DAVID RENATO</v>
      </c>
      <c r="FN513">
        <v>0</v>
      </c>
    </row>
    <row r="514" spans="1:170" ht="20.25" customHeight="1">
      <c r="A514" s="4" t="str" cm="1">
        <f t="array" ref="A514">TRANSPOSE(_xlfn.UNIQUE(_xlfn._xlws.FILTER(MAE_ASIGNATURA[ID_NIVEL],MAE_ASIGNATURA[ID_CARRERA]=ASIGNACION!$C514,"No existe información")))</f>
        <v>No existe información</v>
      </c>
      <c r="S514" s="4" t="str" cm="1">
        <f t="array" ref="S514">TRANSPOSE(_xlfn.UNIQUE(_xlfn._xlws.FILTER(MAE_ASIGNATURA[NOM_ASIG],(MAE_ASIGNATURA[ID_NIVEL]=ASIGNACION!$D514)*(MAE_ASIGNATURA[ID_CARRERA]=ASIGNACION!$C514),"No existe información")))</f>
        <v>No existe información</v>
      </c>
      <c r="BD514" s="4" t="str" cm="1">
        <f t="array" ref="BD514">TRANSPOSE(_xlfn.UNIQUE(_xlfn._xlws.FILTER(DET_ASIG[DETALLADO],(DET_ASIG[ID_CARRERA]=ASIGNACION!$C514)*(DET_ASIG[NIVEL]=ASIGNACION!$D514)*(DET_ASIG[ID_ASIG]=ASIGNACION!$G514),"No existe información")))</f>
        <v>No existe información</v>
      </c>
      <c r="BQ514" s="5" t="str" cm="1">
        <f t="array" ref="BQ514">IFERROR(
    TRANSPOSE(
        _xlfn.UNIQUE(
            _xlfn._xlws.FILTER(MAESTRIA_DETALLADO[MAESTRIA],
                ISNUMBER(MATCH(MAESTRIA_DETALLADO[CAMPO_DETALLADO],
                BD514:BP514,0))
            )
        )
    ),IF(BD514="ACTIVIDAD","DOCENCIA",""))</f>
        <v/>
      </c>
      <c r="EA514" s="5" t="str" cm="1">
        <f t="array" ref="EA514:FN514">IF(
    ASIGNACION!I514="SI",
    IFERROR(
        TRANSPOSE(
            _xlfn.UNIQUE(
                _xlfn._xlws.FILTER(EDU_DOCENTE[NOMBRE_DOCENTE],
                    ISNUMBER(MATCH(EDU_DOCENTE[MAESTRIA],
                    BQ514:DY514,0))
                )
            )
        ),
        ""
    ),
    TRANSPOSE(
        _xlfn.UNIQUE(EDU_DOCENTE[NOMBRE_DOCENTE]
        )
    )
)</f>
        <v>ALCIVAR CEDEÑO BEATRIZ ISABEL</v>
      </c>
      <c r="EB514" t="str">
        <v>ALCIVAR VERA GEMA MICHELLE</v>
      </c>
      <c r="EC514" t="str">
        <v>ARAUZ CHAVEZ MARIO ROBERTO</v>
      </c>
      <c r="ED514" t="str">
        <v>BAILON LOURIDO WALTER ALBERTO</v>
      </c>
      <c r="EE514" t="str">
        <v>CALDERERO VILLAGOMEZ ERICK ANTONIO</v>
      </c>
      <c r="EF514" t="str">
        <v>CASTILLO GARCIA PAOLA GERMANIA</v>
      </c>
      <c r="EG514" t="str">
        <v>CEDEÑO CHOEZ PEDRO JAVIER</v>
      </c>
      <c r="EH514" t="str">
        <v>CEVALLOS HOPPE JUAN CARLOS</v>
      </c>
      <c r="EI514" t="str">
        <v>DELGADO CHAVEZ MARIA IRASEMA</v>
      </c>
      <c r="EJ514" t="str">
        <v>DUARTE VALENCIA CRISTHIAN DARIO</v>
      </c>
      <c r="EK514" t="str">
        <v>FORTTY BARBERAN DENNY ALEXANDER</v>
      </c>
      <c r="EL514" t="str">
        <v>GUTIERREZ ZAMBRANO CARMEN EBELINA</v>
      </c>
      <c r="EM514" t="str">
        <v>INTRIAGO MOLINA GEMA VALERIA</v>
      </c>
      <c r="EN514" t="str">
        <v>LINO VELEZ LEONEL LIVINGTON</v>
      </c>
      <c r="EO514" t="str">
        <v>LOOR ALCIVAR MARIA ILIANA</v>
      </c>
      <c r="EP514" t="str">
        <v>LOOR MIELES TANIA JACQUELINE</v>
      </c>
      <c r="EQ514" t="str">
        <v>LOOR SOLORZANO ROSA MARIA</v>
      </c>
      <c r="ER514" t="str">
        <v>LOPEZ DELGADO RONALD MAURICIO</v>
      </c>
      <c r="ES514" t="str">
        <v>MACIAS VALENCIA DAVID GABRIEL</v>
      </c>
      <c r="ET514" t="str">
        <v>MENDOZA ZAMORA WALTER MANUEL</v>
      </c>
      <c r="EU514" t="str">
        <v>MOLINA CEVALLOS MARIA LORENA</v>
      </c>
      <c r="EV514" t="str">
        <v>MURILLO DELGADO ISAAC GABRIEL</v>
      </c>
      <c r="EW514" t="str">
        <v>ANGULO MURILLO NAVIRA GISSELA</v>
      </c>
      <c r="EX514" t="str">
        <v>OCHOA SOLEDISPA NESTOR IVAN</v>
      </c>
      <c r="EY514" t="str">
        <v>PARRAGA FRANCO SILVANA MARIELA</v>
      </c>
      <c r="EZ514" t="str">
        <v>PINARGOTE VASQUEZ NANCY FABIOLA</v>
      </c>
      <c r="FA514" t="str">
        <v>REYES VELEZ PEDRO ENRIQUE</v>
      </c>
      <c r="FB514" t="str">
        <v>SAN ANDRES HORMAZA DALLAS CECILIA</v>
      </c>
      <c r="FC514" t="str">
        <v>SORNOZA ZAMORA JUAN CARLOS</v>
      </c>
      <c r="FD514" t="str">
        <v>TOMALA PINTO JESUS JACINTO</v>
      </c>
      <c r="FE514" t="str">
        <v>VALLE JARAMILLO SILVIA ARACELY</v>
      </c>
      <c r="FF514" t="str">
        <v>VELÁSQUEZ BRAVO IRMA KATHERINE</v>
      </c>
      <c r="FG514" t="str">
        <v>VELEZ MENDOZA LAYSY VALERIA</v>
      </c>
      <c r="FH514" t="str">
        <v>VINUEZA TELLO SHIRLEY ELIZABETH</v>
      </c>
      <c r="FI514" t="str">
        <v>ZAMBRANO ALCIVAR NILDA ISABEL</v>
      </c>
      <c r="FJ514" t="str">
        <v>ZAMBRANO LOOR RITA MAYDA</v>
      </c>
      <c r="FK514" t="str">
        <v>ZAMBRANO VERA MONICA JANETH</v>
      </c>
      <c r="FL514" t="str">
        <v>VERA DELGADO BRYAN ADRIÁN</v>
      </c>
      <c r="FM514" t="str">
        <v>MORAN GONZALES DAVID RENATO</v>
      </c>
      <c r="FN514">
        <v>0</v>
      </c>
    </row>
    <row r="515" spans="1:170" ht="20.25" customHeight="1">
      <c r="A515" s="4" t="str" cm="1">
        <f t="array" ref="A515">TRANSPOSE(_xlfn.UNIQUE(_xlfn._xlws.FILTER(MAE_ASIGNATURA[ID_NIVEL],MAE_ASIGNATURA[ID_CARRERA]=ASIGNACION!$C515,"No existe información")))</f>
        <v>No existe información</v>
      </c>
      <c r="S515" s="4" t="str" cm="1">
        <f t="array" ref="S515">TRANSPOSE(_xlfn.UNIQUE(_xlfn._xlws.FILTER(MAE_ASIGNATURA[NOM_ASIG],(MAE_ASIGNATURA[ID_NIVEL]=ASIGNACION!$D515)*(MAE_ASIGNATURA[ID_CARRERA]=ASIGNACION!$C515),"No existe información")))</f>
        <v>No existe información</v>
      </c>
      <c r="BD515" s="4" t="str" cm="1">
        <f t="array" ref="BD515">TRANSPOSE(_xlfn.UNIQUE(_xlfn._xlws.FILTER(DET_ASIG[DETALLADO],(DET_ASIG[ID_CARRERA]=ASIGNACION!$C515)*(DET_ASIG[NIVEL]=ASIGNACION!$D515)*(DET_ASIG[ID_ASIG]=ASIGNACION!$G515),"No existe información")))</f>
        <v>No existe información</v>
      </c>
      <c r="BQ515" s="5" t="str" cm="1">
        <f t="array" ref="BQ515">IFERROR(
    TRANSPOSE(
        _xlfn.UNIQUE(
            _xlfn._xlws.FILTER(MAESTRIA_DETALLADO[MAESTRIA],
                ISNUMBER(MATCH(MAESTRIA_DETALLADO[CAMPO_DETALLADO],
                BD515:BP515,0))
            )
        )
    ),IF(BD515="ACTIVIDAD","DOCENCIA",""))</f>
        <v/>
      </c>
      <c r="EA515" s="5" t="str" cm="1">
        <f t="array" ref="EA515:FN515">IF(
    ASIGNACION!I515="SI",
    IFERROR(
        TRANSPOSE(
            _xlfn.UNIQUE(
                _xlfn._xlws.FILTER(EDU_DOCENTE[NOMBRE_DOCENTE],
                    ISNUMBER(MATCH(EDU_DOCENTE[MAESTRIA],
                    BQ515:DY515,0))
                )
            )
        ),
        ""
    ),
    TRANSPOSE(
        _xlfn.UNIQUE(EDU_DOCENTE[NOMBRE_DOCENTE]
        )
    )
)</f>
        <v>ALCIVAR CEDEÑO BEATRIZ ISABEL</v>
      </c>
      <c r="EB515" t="str">
        <v>ALCIVAR VERA GEMA MICHELLE</v>
      </c>
      <c r="EC515" t="str">
        <v>ARAUZ CHAVEZ MARIO ROBERTO</v>
      </c>
      <c r="ED515" t="str">
        <v>BAILON LOURIDO WALTER ALBERTO</v>
      </c>
      <c r="EE515" t="str">
        <v>CALDERERO VILLAGOMEZ ERICK ANTONIO</v>
      </c>
      <c r="EF515" t="str">
        <v>CASTILLO GARCIA PAOLA GERMANIA</v>
      </c>
      <c r="EG515" t="str">
        <v>CEDEÑO CHOEZ PEDRO JAVIER</v>
      </c>
      <c r="EH515" t="str">
        <v>CEVALLOS HOPPE JUAN CARLOS</v>
      </c>
      <c r="EI515" t="str">
        <v>DELGADO CHAVEZ MARIA IRASEMA</v>
      </c>
      <c r="EJ515" t="str">
        <v>DUARTE VALENCIA CRISTHIAN DARIO</v>
      </c>
      <c r="EK515" t="str">
        <v>FORTTY BARBERAN DENNY ALEXANDER</v>
      </c>
      <c r="EL515" t="str">
        <v>GUTIERREZ ZAMBRANO CARMEN EBELINA</v>
      </c>
      <c r="EM515" t="str">
        <v>INTRIAGO MOLINA GEMA VALERIA</v>
      </c>
      <c r="EN515" t="str">
        <v>LINO VELEZ LEONEL LIVINGTON</v>
      </c>
      <c r="EO515" t="str">
        <v>LOOR ALCIVAR MARIA ILIANA</v>
      </c>
      <c r="EP515" t="str">
        <v>LOOR MIELES TANIA JACQUELINE</v>
      </c>
      <c r="EQ515" t="str">
        <v>LOOR SOLORZANO ROSA MARIA</v>
      </c>
      <c r="ER515" t="str">
        <v>LOPEZ DELGADO RONALD MAURICIO</v>
      </c>
      <c r="ES515" t="str">
        <v>MACIAS VALENCIA DAVID GABRIEL</v>
      </c>
      <c r="ET515" t="str">
        <v>MENDOZA ZAMORA WALTER MANUEL</v>
      </c>
      <c r="EU515" t="str">
        <v>MOLINA CEVALLOS MARIA LORENA</v>
      </c>
      <c r="EV515" t="str">
        <v>MURILLO DELGADO ISAAC GABRIEL</v>
      </c>
      <c r="EW515" t="str">
        <v>ANGULO MURILLO NAVIRA GISSELA</v>
      </c>
      <c r="EX515" t="str">
        <v>OCHOA SOLEDISPA NESTOR IVAN</v>
      </c>
      <c r="EY515" t="str">
        <v>PARRAGA FRANCO SILVANA MARIELA</v>
      </c>
      <c r="EZ515" t="str">
        <v>PINARGOTE VASQUEZ NANCY FABIOLA</v>
      </c>
      <c r="FA515" t="str">
        <v>REYES VELEZ PEDRO ENRIQUE</v>
      </c>
      <c r="FB515" t="str">
        <v>SAN ANDRES HORMAZA DALLAS CECILIA</v>
      </c>
      <c r="FC515" t="str">
        <v>SORNOZA ZAMORA JUAN CARLOS</v>
      </c>
      <c r="FD515" t="str">
        <v>TOMALA PINTO JESUS JACINTO</v>
      </c>
      <c r="FE515" t="str">
        <v>VALLE JARAMILLO SILVIA ARACELY</v>
      </c>
      <c r="FF515" t="str">
        <v>VELÁSQUEZ BRAVO IRMA KATHERINE</v>
      </c>
      <c r="FG515" t="str">
        <v>VELEZ MENDOZA LAYSY VALERIA</v>
      </c>
      <c r="FH515" t="str">
        <v>VINUEZA TELLO SHIRLEY ELIZABETH</v>
      </c>
      <c r="FI515" t="str">
        <v>ZAMBRANO ALCIVAR NILDA ISABEL</v>
      </c>
      <c r="FJ515" t="str">
        <v>ZAMBRANO LOOR RITA MAYDA</v>
      </c>
      <c r="FK515" t="str">
        <v>ZAMBRANO VERA MONICA JANETH</v>
      </c>
      <c r="FL515" t="str">
        <v>VERA DELGADO BRYAN ADRIÁN</v>
      </c>
      <c r="FM515" t="str">
        <v>MORAN GONZALES DAVID RENATO</v>
      </c>
      <c r="FN515">
        <v>0</v>
      </c>
    </row>
    <row r="516" spans="1:170" ht="20.25" customHeight="1">
      <c r="A516" s="4" t="str" cm="1">
        <f t="array" ref="A516">TRANSPOSE(_xlfn.UNIQUE(_xlfn._xlws.FILTER(MAE_ASIGNATURA[ID_NIVEL],MAE_ASIGNATURA[ID_CARRERA]=ASIGNACION!$C516,"No existe información")))</f>
        <v>No existe información</v>
      </c>
      <c r="S516" s="4" t="str" cm="1">
        <f t="array" ref="S516">TRANSPOSE(_xlfn.UNIQUE(_xlfn._xlws.FILTER(MAE_ASIGNATURA[NOM_ASIG],(MAE_ASIGNATURA[ID_NIVEL]=ASIGNACION!$D516)*(MAE_ASIGNATURA[ID_CARRERA]=ASIGNACION!$C516),"No existe información")))</f>
        <v>No existe información</v>
      </c>
      <c r="BD516" s="4" t="str" cm="1">
        <f t="array" ref="BD516">TRANSPOSE(_xlfn.UNIQUE(_xlfn._xlws.FILTER(DET_ASIG[DETALLADO],(DET_ASIG[ID_CARRERA]=ASIGNACION!$C516)*(DET_ASIG[NIVEL]=ASIGNACION!$D516)*(DET_ASIG[ID_ASIG]=ASIGNACION!$G516),"No existe información")))</f>
        <v>No existe información</v>
      </c>
      <c r="BQ516" s="5" t="str" cm="1">
        <f t="array" ref="BQ516">IFERROR(
    TRANSPOSE(
        _xlfn.UNIQUE(
            _xlfn._xlws.FILTER(MAESTRIA_DETALLADO[MAESTRIA],
                ISNUMBER(MATCH(MAESTRIA_DETALLADO[CAMPO_DETALLADO],
                BD516:BP516,0))
            )
        )
    ),IF(BD516="ACTIVIDAD","DOCENCIA",""))</f>
        <v/>
      </c>
      <c r="EA516" s="5" t="str" cm="1">
        <f t="array" ref="EA516:FN516">IF(
    ASIGNACION!I516="SI",
    IFERROR(
        TRANSPOSE(
            _xlfn.UNIQUE(
                _xlfn._xlws.FILTER(EDU_DOCENTE[NOMBRE_DOCENTE],
                    ISNUMBER(MATCH(EDU_DOCENTE[MAESTRIA],
                    BQ516:DY516,0))
                )
            )
        ),
        ""
    ),
    TRANSPOSE(
        _xlfn.UNIQUE(EDU_DOCENTE[NOMBRE_DOCENTE]
        )
    )
)</f>
        <v>ALCIVAR CEDEÑO BEATRIZ ISABEL</v>
      </c>
      <c r="EB516" t="str">
        <v>ALCIVAR VERA GEMA MICHELLE</v>
      </c>
      <c r="EC516" t="str">
        <v>ARAUZ CHAVEZ MARIO ROBERTO</v>
      </c>
      <c r="ED516" t="str">
        <v>BAILON LOURIDO WALTER ALBERTO</v>
      </c>
      <c r="EE516" t="str">
        <v>CALDERERO VILLAGOMEZ ERICK ANTONIO</v>
      </c>
      <c r="EF516" t="str">
        <v>CASTILLO GARCIA PAOLA GERMANIA</v>
      </c>
      <c r="EG516" t="str">
        <v>CEDEÑO CHOEZ PEDRO JAVIER</v>
      </c>
      <c r="EH516" t="str">
        <v>CEVALLOS HOPPE JUAN CARLOS</v>
      </c>
      <c r="EI516" t="str">
        <v>DELGADO CHAVEZ MARIA IRASEMA</v>
      </c>
      <c r="EJ516" t="str">
        <v>DUARTE VALENCIA CRISTHIAN DARIO</v>
      </c>
      <c r="EK516" t="str">
        <v>FORTTY BARBERAN DENNY ALEXANDER</v>
      </c>
      <c r="EL516" t="str">
        <v>GUTIERREZ ZAMBRANO CARMEN EBELINA</v>
      </c>
      <c r="EM516" t="str">
        <v>INTRIAGO MOLINA GEMA VALERIA</v>
      </c>
      <c r="EN516" t="str">
        <v>LINO VELEZ LEONEL LIVINGTON</v>
      </c>
      <c r="EO516" t="str">
        <v>LOOR ALCIVAR MARIA ILIANA</v>
      </c>
      <c r="EP516" t="str">
        <v>LOOR MIELES TANIA JACQUELINE</v>
      </c>
      <c r="EQ516" t="str">
        <v>LOOR SOLORZANO ROSA MARIA</v>
      </c>
      <c r="ER516" t="str">
        <v>LOPEZ DELGADO RONALD MAURICIO</v>
      </c>
      <c r="ES516" t="str">
        <v>MACIAS VALENCIA DAVID GABRIEL</v>
      </c>
      <c r="ET516" t="str">
        <v>MENDOZA ZAMORA WALTER MANUEL</v>
      </c>
      <c r="EU516" t="str">
        <v>MOLINA CEVALLOS MARIA LORENA</v>
      </c>
      <c r="EV516" t="str">
        <v>MURILLO DELGADO ISAAC GABRIEL</v>
      </c>
      <c r="EW516" t="str">
        <v>ANGULO MURILLO NAVIRA GISSELA</v>
      </c>
      <c r="EX516" t="str">
        <v>OCHOA SOLEDISPA NESTOR IVAN</v>
      </c>
      <c r="EY516" t="str">
        <v>PARRAGA FRANCO SILVANA MARIELA</v>
      </c>
      <c r="EZ516" t="str">
        <v>PINARGOTE VASQUEZ NANCY FABIOLA</v>
      </c>
      <c r="FA516" t="str">
        <v>REYES VELEZ PEDRO ENRIQUE</v>
      </c>
      <c r="FB516" t="str">
        <v>SAN ANDRES HORMAZA DALLAS CECILIA</v>
      </c>
      <c r="FC516" t="str">
        <v>SORNOZA ZAMORA JUAN CARLOS</v>
      </c>
      <c r="FD516" t="str">
        <v>TOMALA PINTO JESUS JACINTO</v>
      </c>
      <c r="FE516" t="str">
        <v>VALLE JARAMILLO SILVIA ARACELY</v>
      </c>
      <c r="FF516" t="str">
        <v>VELÁSQUEZ BRAVO IRMA KATHERINE</v>
      </c>
      <c r="FG516" t="str">
        <v>VELEZ MENDOZA LAYSY VALERIA</v>
      </c>
      <c r="FH516" t="str">
        <v>VINUEZA TELLO SHIRLEY ELIZABETH</v>
      </c>
      <c r="FI516" t="str">
        <v>ZAMBRANO ALCIVAR NILDA ISABEL</v>
      </c>
      <c r="FJ516" t="str">
        <v>ZAMBRANO LOOR RITA MAYDA</v>
      </c>
      <c r="FK516" t="str">
        <v>ZAMBRANO VERA MONICA JANETH</v>
      </c>
      <c r="FL516" t="str">
        <v>VERA DELGADO BRYAN ADRIÁN</v>
      </c>
      <c r="FM516" t="str">
        <v>MORAN GONZALES DAVID RENATO</v>
      </c>
      <c r="FN516">
        <v>0</v>
      </c>
    </row>
    <row r="517" spans="1:170" ht="20.25" customHeight="1">
      <c r="A517" s="4" t="str" cm="1">
        <f t="array" ref="A517">TRANSPOSE(_xlfn.UNIQUE(_xlfn._xlws.FILTER(MAE_ASIGNATURA[ID_NIVEL],MAE_ASIGNATURA[ID_CARRERA]=ASIGNACION!$C517,"No existe información")))</f>
        <v>No existe información</v>
      </c>
      <c r="S517" s="4" t="str" cm="1">
        <f t="array" ref="S517">TRANSPOSE(_xlfn.UNIQUE(_xlfn._xlws.FILTER(MAE_ASIGNATURA[NOM_ASIG],(MAE_ASIGNATURA[ID_NIVEL]=ASIGNACION!$D517)*(MAE_ASIGNATURA[ID_CARRERA]=ASIGNACION!$C517),"No existe información")))</f>
        <v>No existe información</v>
      </c>
      <c r="BD517" s="4" t="str" cm="1">
        <f t="array" ref="BD517">TRANSPOSE(_xlfn.UNIQUE(_xlfn._xlws.FILTER(DET_ASIG[DETALLADO],(DET_ASIG[ID_CARRERA]=ASIGNACION!$C517)*(DET_ASIG[NIVEL]=ASIGNACION!$D517)*(DET_ASIG[ID_ASIG]=ASIGNACION!$G517),"No existe información")))</f>
        <v>No existe información</v>
      </c>
      <c r="BQ517" s="5" t="str" cm="1">
        <f t="array" ref="BQ517">IFERROR(
    TRANSPOSE(
        _xlfn.UNIQUE(
            _xlfn._xlws.FILTER(MAESTRIA_DETALLADO[MAESTRIA],
                ISNUMBER(MATCH(MAESTRIA_DETALLADO[CAMPO_DETALLADO],
                BD517:BP517,0))
            )
        )
    ),IF(BD517="ACTIVIDAD","DOCENCIA",""))</f>
        <v/>
      </c>
      <c r="EA517" s="5" t="str" cm="1">
        <f t="array" ref="EA517:FN517">IF(
    ASIGNACION!I517="SI",
    IFERROR(
        TRANSPOSE(
            _xlfn.UNIQUE(
                _xlfn._xlws.FILTER(EDU_DOCENTE[NOMBRE_DOCENTE],
                    ISNUMBER(MATCH(EDU_DOCENTE[MAESTRIA],
                    BQ517:DY517,0))
                )
            )
        ),
        ""
    ),
    TRANSPOSE(
        _xlfn.UNIQUE(EDU_DOCENTE[NOMBRE_DOCENTE]
        )
    )
)</f>
        <v>ALCIVAR CEDEÑO BEATRIZ ISABEL</v>
      </c>
      <c r="EB517" t="str">
        <v>ALCIVAR VERA GEMA MICHELLE</v>
      </c>
      <c r="EC517" t="str">
        <v>ARAUZ CHAVEZ MARIO ROBERTO</v>
      </c>
      <c r="ED517" t="str">
        <v>BAILON LOURIDO WALTER ALBERTO</v>
      </c>
      <c r="EE517" t="str">
        <v>CALDERERO VILLAGOMEZ ERICK ANTONIO</v>
      </c>
      <c r="EF517" t="str">
        <v>CASTILLO GARCIA PAOLA GERMANIA</v>
      </c>
      <c r="EG517" t="str">
        <v>CEDEÑO CHOEZ PEDRO JAVIER</v>
      </c>
      <c r="EH517" t="str">
        <v>CEVALLOS HOPPE JUAN CARLOS</v>
      </c>
      <c r="EI517" t="str">
        <v>DELGADO CHAVEZ MARIA IRASEMA</v>
      </c>
      <c r="EJ517" t="str">
        <v>DUARTE VALENCIA CRISTHIAN DARIO</v>
      </c>
      <c r="EK517" t="str">
        <v>FORTTY BARBERAN DENNY ALEXANDER</v>
      </c>
      <c r="EL517" t="str">
        <v>GUTIERREZ ZAMBRANO CARMEN EBELINA</v>
      </c>
      <c r="EM517" t="str">
        <v>INTRIAGO MOLINA GEMA VALERIA</v>
      </c>
      <c r="EN517" t="str">
        <v>LINO VELEZ LEONEL LIVINGTON</v>
      </c>
      <c r="EO517" t="str">
        <v>LOOR ALCIVAR MARIA ILIANA</v>
      </c>
      <c r="EP517" t="str">
        <v>LOOR MIELES TANIA JACQUELINE</v>
      </c>
      <c r="EQ517" t="str">
        <v>LOOR SOLORZANO ROSA MARIA</v>
      </c>
      <c r="ER517" t="str">
        <v>LOPEZ DELGADO RONALD MAURICIO</v>
      </c>
      <c r="ES517" t="str">
        <v>MACIAS VALENCIA DAVID GABRIEL</v>
      </c>
      <c r="ET517" t="str">
        <v>MENDOZA ZAMORA WALTER MANUEL</v>
      </c>
      <c r="EU517" t="str">
        <v>MOLINA CEVALLOS MARIA LORENA</v>
      </c>
      <c r="EV517" t="str">
        <v>MURILLO DELGADO ISAAC GABRIEL</v>
      </c>
      <c r="EW517" t="str">
        <v>ANGULO MURILLO NAVIRA GISSELA</v>
      </c>
      <c r="EX517" t="str">
        <v>OCHOA SOLEDISPA NESTOR IVAN</v>
      </c>
      <c r="EY517" t="str">
        <v>PARRAGA FRANCO SILVANA MARIELA</v>
      </c>
      <c r="EZ517" t="str">
        <v>PINARGOTE VASQUEZ NANCY FABIOLA</v>
      </c>
      <c r="FA517" t="str">
        <v>REYES VELEZ PEDRO ENRIQUE</v>
      </c>
      <c r="FB517" t="str">
        <v>SAN ANDRES HORMAZA DALLAS CECILIA</v>
      </c>
      <c r="FC517" t="str">
        <v>SORNOZA ZAMORA JUAN CARLOS</v>
      </c>
      <c r="FD517" t="str">
        <v>TOMALA PINTO JESUS JACINTO</v>
      </c>
      <c r="FE517" t="str">
        <v>VALLE JARAMILLO SILVIA ARACELY</v>
      </c>
      <c r="FF517" t="str">
        <v>VELÁSQUEZ BRAVO IRMA KATHERINE</v>
      </c>
      <c r="FG517" t="str">
        <v>VELEZ MENDOZA LAYSY VALERIA</v>
      </c>
      <c r="FH517" t="str">
        <v>VINUEZA TELLO SHIRLEY ELIZABETH</v>
      </c>
      <c r="FI517" t="str">
        <v>ZAMBRANO ALCIVAR NILDA ISABEL</v>
      </c>
      <c r="FJ517" t="str">
        <v>ZAMBRANO LOOR RITA MAYDA</v>
      </c>
      <c r="FK517" t="str">
        <v>ZAMBRANO VERA MONICA JANETH</v>
      </c>
      <c r="FL517" t="str">
        <v>VERA DELGADO BRYAN ADRIÁN</v>
      </c>
      <c r="FM517" t="str">
        <v>MORAN GONZALES DAVID RENATO</v>
      </c>
      <c r="FN517">
        <v>0</v>
      </c>
    </row>
    <row r="518" spans="1:170" ht="20.25" customHeight="1">
      <c r="A518" s="4" t="str" cm="1">
        <f t="array" ref="A518">TRANSPOSE(_xlfn.UNIQUE(_xlfn._xlws.FILTER(MAE_ASIGNATURA[ID_NIVEL],MAE_ASIGNATURA[ID_CARRERA]=ASIGNACION!$C518,"No existe información")))</f>
        <v>No existe información</v>
      </c>
      <c r="S518" s="4" t="str" cm="1">
        <f t="array" ref="S518">TRANSPOSE(_xlfn.UNIQUE(_xlfn._xlws.FILTER(MAE_ASIGNATURA[NOM_ASIG],(MAE_ASIGNATURA[ID_NIVEL]=ASIGNACION!$D518)*(MAE_ASIGNATURA[ID_CARRERA]=ASIGNACION!$C518),"No existe información")))</f>
        <v>No existe información</v>
      </c>
      <c r="BD518" s="4" t="str" cm="1">
        <f t="array" ref="BD518">TRANSPOSE(_xlfn.UNIQUE(_xlfn._xlws.FILTER(DET_ASIG[DETALLADO],(DET_ASIG[ID_CARRERA]=ASIGNACION!$C518)*(DET_ASIG[NIVEL]=ASIGNACION!$D518)*(DET_ASIG[ID_ASIG]=ASIGNACION!$G518),"No existe información")))</f>
        <v>No existe información</v>
      </c>
      <c r="BQ518" s="5" t="str" cm="1">
        <f t="array" ref="BQ518">IFERROR(
    TRANSPOSE(
        _xlfn.UNIQUE(
            _xlfn._xlws.FILTER(MAESTRIA_DETALLADO[MAESTRIA],
                ISNUMBER(MATCH(MAESTRIA_DETALLADO[CAMPO_DETALLADO],
                BD518:BP518,0))
            )
        )
    ),IF(BD518="ACTIVIDAD","DOCENCIA",""))</f>
        <v/>
      </c>
      <c r="EA518" s="5" t="str" cm="1">
        <f t="array" ref="EA518:FN518">IF(
    ASIGNACION!I518="SI",
    IFERROR(
        TRANSPOSE(
            _xlfn.UNIQUE(
                _xlfn._xlws.FILTER(EDU_DOCENTE[NOMBRE_DOCENTE],
                    ISNUMBER(MATCH(EDU_DOCENTE[MAESTRIA],
                    BQ518:DY518,0))
                )
            )
        ),
        ""
    ),
    TRANSPOSE(
        _xlfn.UNIQUE(EDU_DOCENTE[NOMBRE_DOCENTE]
        )
    )
)</f>
        <v>ALCIVAR CEDEÑO BEATRIZ ISABEL</v>
      </c>
      <c r="EB518" t="str">
        <v>ALCIVAR VERA GEMA MICHELLE</v>
      </c>
      <c r="EC518" t="str">
        <v>ARAUZ CHAVEZ MARIO ROBERTO</v>
      </c>
      <c r="ED518" t="str">
        <v>BAILON LOURIDO WALTER ALBERTO</v>
      </c>
      <c r="EE518" t="str">
        <v>CALDERERO VILLAGOMEZ ERICK ANTONIO</v>
      </c>
      <c r="EF518" t="str">
        <v>CASTILLO GARCIA PAOLA GERMANIA</v>
      </c>
      <c r="EG518" t="str">
        <v>CEDEÑO CHOEZ PEDRO JAVIER</v>
      </c>
      <c r="EH518" t="str">
        <v>CEVALLOS HOPPE JUAN CARLOS</v>
      </c>
      <c r="EI518" t="str">
        <v>DELGADO CHAVEZ MARIA IRASEMA</v>
      </c>
      <c r="EJ518" t="str">
        <v>DUARTE VALENCIA CRISTHIAN DARIO</v>
      </c>
      <c r="EK518" t="str">
        <v>FORTTY BARBERAN DENNY ALEXANDER</v>
      </c>
      <c r="EL518" t="str">
        <v>GUTIERREZ ZAMBRANO CARMEN EBELINA</v>
      </c>
      <c r="EM518" t="str">
        <v>INTRIAGO MOLINA GEMA VALERIA</v>
      </c>
      <c r="EN518" t="str">
        <v>LINO VELEZ LEONEL LIVINGTON</v>
      </c>
      <c r="EO518" t="str">
        <v>LOOR ALCIVAR MARIA ILIANA</v>
      </c>
      <c r="EP518" t="str">
        <v>LOOR MIELES TANIA JACQUELINE</v>
      </c>
      <c r="EQ518" t="str">
        <v>LOOR SOLORZANO ROSA MARIA</v>
      </c>
      <c r="ER518" t="str">
        <v>LOPEZ DELGADO RONALD MAURICIO</v>
      </c>
      <c r="ES518" t="str">
        <v>MACIAS VALENCIA DAVID GABRIEL</v>
      </c>
      <c r="ET518" t="str">
        <v>MENDOZA ZAMORA WALTER MANUEL</v>
      </c>
      <c r="EU518" t="str">
        <v>MOLINA CEVALLOS MARIA LORENA</v>
      </c>
      <c r="EV518" t="str">
        <v>MURILLO DELGADO ISAAC GABRIEL</v>
      </c>
      <c r="EW518" t="str">
        <v>ANGULO MURILLO NAVIRA GISSELA</v>
      </c>
      <c r="EX518" t="str">
        <v>OCHOA SOLEDISPA NESTOR IVAN</v>
      </c>
      <c r="EY518" t="str">
        <v>PARRAGA FRANCO SILVANA MARIELA</v>
      </c>
      <c r="EZ518" t="str">
        <v>PINARGOTE VASQUEZ NANCY FABIOLA</v>
      </c>
      <c r="FA518" t="str">
        <v>REYES VELEZ PEDRO ENRIQUE</v>
      </c>
      <c r="FB518" t="str">
        <v>SAN ANDRES HORMAZA DALLAS CECILIA</v>
      </c>
      <c r="FC518" t="str">
        <v>SORNOZA ZAMORA JUAN CARLOS</v>
      </c>
      <c r="FD518" t="str">
        <v>TOMALA PINTO JESUS JACINTO</v>
      </c>
      <c r="FE518" t="str">
        <v>VALLE JARAMILLO SILVIA ARACELY</v>
      </c>
      <c r="FF518" t="str">
        <v>VELÁSQUEZ BRAVO IRMA KATHERINE</v>
      </c>
      <c r="FG518" t="str">
        <v>VELEZ MENDOZA LAYSY VALERIA</v>
      </c>
      <c r="FH518" t="str">
        <v>VINUEZA TELLO SHIRLEY ELIZABETH</v>
      </c>
      <c r="FI518" t="str">
        <v>ZAMBRANO ALCIVAR NILDA ISABEL</v>
      </c>
      <c r="FJ518" t="str">
        <v>ZAMBRANO LOOR RITA MAYDA</v>
      </c>
      <c r="FK518" t="str">
        <v>ZAMBRANO VERA MONICA JANETH</v>
      </c>
      <c r="FL518" t="str">
        <v>VERA DELGADO BRYAN ADRIÁN</v>
      </c>
      <c r="FM518" t="str">
        <v>MORAN GONZALES DAVID RENATO</v>
      </c>
      <c r="FN518">
        <v>0</v>
      </c>
    </row>
    <row r="519" spans="1:170" ht="20.25" customHeight="1">
      <c r="A519" s="4" t="str" cm="1">
        <f t="array" ref="A519">TRANSPOSE(_xlfn.UNIQUE(_xlfn._xlws.FILTER(MAE_ASIGNATURA[ID_NIVEL],MAE_ASIGNATURA[ID_CARRERA]=ASIGNACION!$C519,"No existe información")))</f>
        <v>No existe información</v>
      </c>
      <c r="S519" s="4" t="str" cm="1">
        <f t="array" ref="S519">TRANSPOSE(_xlfn.UNIQUE(_xlfn._xlws.FILTER(MAE_ASIGNATURA[NOM_ASIG],(MAE_ASIGNATURA[ID_NIVEL]=ASIGNACION!$D519)*(MAE_ASIGNATURA[ID_CARRERA]=ASIGNACION!$C519),"No existe información")))</f>
        <v>No existe información</v>
      </c>
      <c r="BD519" s="4" t="str" cm="1">
        <f t="array" ref="BD519">TRANSPOSE(_xlfn.UNIQUE(_xlfn._xlws.FILTER(DET_ASIG[DETALLADO],(DET_ASIG[ID_CARRERA]=ASIGNACION!$C519)*(DET_ASIG[NIVEL]=ASIGNACION!$D519)*(DET_ASIG[ID_ASIG]=ASIGNACION!$G519),"No existe información")))</f>
        <v>No existe información</v>
      </c>
      <c r="BQ519" s="5" t="str" cm="1">
        <f t="array" ref="BQ519">IFERROR(
    TRANSPOSE(
        _xlfn.UNIQUE(
            _xlfn._xlws.FILTER(MAESTRIA_DETALLADO[MAESTRIA],
                ISNUMBER(MATCH(MAESTRIA_DETALLADO[CAMPO_DETALLADO],
                BD519:BP519,0))
            )
        )
    ),IF(BD519="ACTIVIDAD","DOCENCIA",""))</f>
        <v/>
      </c>
      <c r="EA519" s="5" t="str" cm="1">
        <f t="array" ref="EA519:FN519">IF(
    ASIGNACION!I519="SI",
    IFERROR(
        TRANSPOSE(
            _xlfn.UNIQUE(
                _xlfn._xlws.FILTER(EDU_DOCENTE[NOMBRE_DOCENTE],
                    ISNUMBER(MATCH(EDU_DOCENTE[MAESTRIA],
                    BQ519:DY519,0))
                )
            )
        ),
        ""
    ),
    TRANSPOSE(
        _xlfn.UNIQUE(EDU_DOCENTE[NOMBRE_DOCENTE]
        )
    )
)</f>
        <v>ALCIVAR CEDEÑO BEATRIZ ISABEL</v>
      </c>
      <c r="EB519" t="str">
        <v>ALCIVAR VERA GEMA MICHELLE</v>
      </c>
      <c r="EC519" t="str">
        <v>ARAUZ CHAVEZ MARIO ROBERTO</v>
      </c>
      <c r="ED519" t="str">
        <v>BAILON LOURIDO WALTER ALBERTO</v>
      </c>
      <c r="EE519" t="str">
        <v>CALDERERO VILLAGOMEZ ERICK ANTONIO</v>
      </c>
      <c r="EF519" t="str">
        <v>CASTILLO GARCIA PAOLA GERMANIA</v>
      </c>
      <c r="EG519" t="str">
        <v>CEDEÑO CHOEZ PEDRO JAVIER</v>
      </c>
      <c r="EH519" t="str">
        <v>CEVALLOS HOPPE JUAN CARLOS</v>
      </c>
      <c r="EI519" t="str">
        <v>DELGADO CHAVEZ MARIA IRASEMA</v>
      </c>
      <c r="EJ519" t="str">
        <v>DUARTE VALENCIA CRISTHIAN DARIO</v>
      </c>
      <c r="EK519" t="str">
        <v>FORTTY BARBERAN DENNY ALEXANDER</v>
      </c>
      <c r="EL519" t="str">
        <v>GUTIERREZ ZAMBRANO CARMEN EBELINA</v>
      </c>
      <c r="EM519" t="str">
        <v>INTRIAGO MOLINA GEMA VALERIA</v>
      </c>
      <c r="EN519" t="str">
        <v>LINO VELEZ LEONEL LIVINGTON</v>
      </c>
      <c r="EO519" t="str">
        <v>LOOR ALCIVAR MARIA ILIANA</v>
      </c>
      <c r="EP519" t="str">
        <v>LOOR MIELES TANIA JACQUELINE</v>
      </c>
      <c r="EQ519" t="str">
        <v>LOOR SOLORZANO ROSA MARIA</v>
      </c>
      <c r="ER519" t="str">
        <v>LOPEZ DELGADO RONALD MAURICIO</v>
      </c>
      <c r="ES519" t="str">
        <v>MACIAS VALENCIA DAVID GABRIEL</v>
      </c>
      <c r="ET519" t="str">
        <v>MENDOZA ZAMORA WALTER MANUEL</v>
      </c>
      <c r="EU519" t="str">
        <v>MOLINA CEVALLOS MARIA LORENA</v>
      </c>
      <c r="EV519" t="str">
        <v>MURILLO DELGADO ISAAC GABRIEL</v>
      </c>
      <c r="EW519" t="str">
        <v>ANGULO MURILLO NAVIRA GISSELA</v>
      </c>
      <c r="EX519" t="str">
        <v>OCHOA SOLEDISPA NESTOR IVAN</v>
      </c>
      <c r="EY519" t="str">
        <v>PARRAGA FRANCO SILVANA MARIELA</v>
      </c>
      <c r="EZ519" t="str">
        <v>PINARGOTE VASQUEZ NANCY FABIOLA</v>
      </c>
      <c r="FA519" t="str">
        <v>REYES VELEZ PEDRO ENRIQUE</v>
      </c>
      <c r="FB519" t="str">
        <v>SAN ANDRES HORMAZA DALLAS CECILIA</v>
      </c>
      <c r="FC519" t="str">
        <v>SORNOZA ZAMORA JUAN CARLOS</v>
      </c>
      <c r="FD519" t="str">
        <v>TOMALA PINTO JESUS JACINTO</v>
      </c>
      <c r="FE519" t="str">
        <v>VALLE JARAMILLO SILVIA ARACELY</v>
      </c>
      <c r="FF519" t="str">
        <v>VELÁSQUEZ BRAVO IRMA KATHERINE</v>
      </c>
      <c r="FG519" t="str">
        <v>VELEZ MENDOZA LAYSY VALERIA</v>
      </c>
      <c r="FH519" t="str">
        <v>VINUEZA TELLO SHIRLEY ELIZABETH</v>
      </c>
      <c r="FI519" t="str">
        <v>ZAMBRANO ALCIVAR NILDA ISABEL</v>
      </c>
      <c r="FJ519" t="str">
        <v>ZAMBRANO LOOR RITA MAYDA</v>
      </c>
      <c r="FK519" t="str">
        <v>ZAMBRANO VERA MONICA JANETH</v>
      </c>
      <c r="FL519" t="str">
        <v>VERA DELGADO BRYAN ADRIÁN</v>
      </c>
      <c r="FM519" t="str">
        <v>MORAN GONZALES DAVID RENATO</v>
      </c>
      <c r="FN519">
        <v>0</v>
      </c>
    </row>
    <row r="520" spans="1:170" ht="20.25" customHeight="1">
      <c r="A520" s="4" t="str" cm="1">
        <f t="array" ref="A520">TRANSPOSE(_xlfn.UNIQUE(_xlfn._xlws.FILTER(MAE_ASIGNATURA[ID_NIVEL],MAE_ASIGNATURA[ID_CARRERA]=ASIGNACION!$C520,"No existe información")))</f>
        <v>No existe información</v>
      </c>
      <c r="S520" s="4" t="str" cm="1">
        <f t="array" ref="S520">TRANSPOSE(_xlfn.UNIQUE(_xlfn._xlws.FILTER(MAE_ASIGNATURA[NOM_ASIG],(MAE_ASIGNATURA[ID_NIVEL]=ASIGNACION!$D520)*(MAE_ASIGNATURA[ID_CARRERA]=ASIGNACION!$C520),"No existe información")))</f>
        <v>No existe información</v>
      </c>
      <c r="BD520" s="4" t="str" cm="1">
        <f t="array" ref="BD520">TRANSPOSE(_xlfn.UNIQUE(_xlfn._xlws.FILTER(DET_ASIG[DETALLADO],(DET_ASIG[ID_CARRERA]=ASIGNACION!$C520)*(DET_ASIG[NIVEL]=ASIGNACION!$D520)*(DET_ASIG[ID_ASIG]=ASIGNACION!$G520),"No existe información")))</f>
        <v>No existe información</v>
      </c>
      <c r="BQ520" s="5" t="str" cm="1">
        <f t="array" ref="BQ520">IFERROR(
    TRANSPOSE(
        _xlfn.UNIQUE(
            _xlfn._xlws.FILTER(MAESTRIA_DETALLADO[MAESTRIA],
                ISNUMBER(MATCH(MAESTRIA_DETALLADO[CAMPO_DETALLADO],
                BD520:BP520,0))
            )
        )
    ),IF(BD520="ACTIVIDAD","DOCENCIA",""))</f>
        <v/>
      </c>
      <c r="EA520" s="5" t="str" cm="1">
        <f t="array" ref="EA520:FN520">IF(
    ASIGNACION!I520="SI",
    IFERROR(
        TRANSPOSE(
            _xlfn.UNIQUE(
                _xlfn._xlws.FILTER(EDU_DOCENTE[NOMBRE_DOCENTE],
                    ISNUMBER(MATCH(EDU_DOCENTE[MAESTRIA],
                    BQ520:DY520,0))
                )
            )
        ),
        ""
    ),
    TRANSPOSE(
        _xlfn.UNIQUE(EDU_DOCENTE[NOMBRE_DOCENTE]
        )
    )
)</f>
        <v>ALCIVAR CEDEÑO BEATRIZ ISABEL</v>
      </c>
      <c r="EB520" t="str">
        <v>ALCIVAR VERA GEMA MICHELLE</v>
      </c>
      <c r="EC520" t="str">
        <v>ARAUZ CHAVEZ MARIO ROBERTO</v>
      </c>
      <c r="ED520" t="str">
        <v>BAILON LOURIDO WALTER ALBERTO</v>
      </c>
      <c r="EE520" t="str">
        <v>CALDERERO VILLAGOMEZ ERICK ANTONIO</v>
      </c>
      <c r="EF520" t="str">
        <v>CASTILLO GARCIA PAOLA GERMANIA</v>
      </c>
      <c r="EG520" t="str">
        <v>CEDEÑO CHOEZ PEDRO JAVIER</v>
      </c>
      <c r="EH520" t="str">
        <v>CEVALLOS HOPPE JUAN CARLOS</v>
      </c>
      <c r="EI520" t="str">
        <v>DELGADO CHAVEZ MARIA IRASEMA</v>
      </c>
      <c r="EJ520" t="str">
        <v>DUARTE VALENCIA CRISTHIAN DARIO</v>
      </c>
      <c r="EK520" t="str">
        <v>FORTTY BARBERAN DENNY ALEXANDER</v>
      </c>
      <c r="EL520" t="str">
        <v>GUTIERREZ ZAMBRANO CARMEN EBELINA</v>
      </c>
      <c r="EM520" t="str">
        <v>INTRIAGO MOLINA GEMA VALERIA</v>
      </c>
      <c r="EN520" t="str">
        <v>LINO VELEZ LEONEL LIVINGTON</v>
      </c>
      <c r="EO520" t="str">
        <v>LOOR ALCIVAR MARIA ILIANA</v>
      </c>
      <c r="EP520" t="str">
        <v>LOOR MIELES TANIA JACQUELINE</v>
      </c>
      <c r="EQ520" t="str">
        <v>LOOR SOLORZANO ROSA MARIA</v>
      </c>
      <c r="ER520" t="str">
        <v>LOPEZ DELGADO RONALD MAURICIO</v>
      </c>
      <c r="ES520" t="str">
        <v>MACIAS VALENCIA DAVID GABRIEL</v>
      </c>
      <c r="ET520" t="str">
        <v>MENDOZA ZAMORA WALTER MANUEL</v>
      </c>
      <c r="EU520" t="str">
        <v>MOLINA CEVALLOS MARIA LORENA</v>
      </c>
      <c r="EV520" t="str">
        <v>MURILLO DELGADO ISAAC GABRIEL</v>
      </c>
      <c r="EW520" t="str">
        <v>ANGULO MURILLO NAVIRA GISSELA</v>
      </c>
      <c r="EX520" t="str">
        <v>OCHOA SOLEDISPA NESTOR IVAN</v>
      </c>
      <c r="EY520" t="str">
        <v>PARRAGA FRANCO SILVANA MARIELA</v>
      </c>
      <c r="EZ520" t="str">
        <v>PINARGOTE VASQUEZ NANCY FABIOLA</v>
      </c>
      <c r="FA520" t="str">
        <v>REYES VELEZ PEDRO ENRIQUE</v>
      </c>
      <c r="FB520" t="str">
        <v>SAN ANDRES HORMAZA DALLAS CECILIA</v>
      </c>
      <c r="FC520" t="str">
        <v>SORNOZA ZAMORA JUAN CARLOS</v>
      </c>
      <c r="FD520" t="str">
        <v>TOMALA PINTO JESUS JACINTO</v>
      </c>
      <c r="FE520" t="str">
        <v>VALLE JARAMILLO SILVIA ARACELY</v>
      </c>
      <c r="FF520" t="str">
        <v>VELÁSQUEZ BRAVO IRMA KATHERINE</v>
      </c>
      <c r="FG520" t="str">
        <v>VELEZ MENDOZA LAYSY VALERIA</v>
      </c>
      <c r="FH520" t="str">
        <v>VINUEZA TELLO SHIRLEY ELIZABETH</v>
      </c>
      <c r="FI520" t="str">
        <v>ZAMBRANO ALCIVAR NILDA ISABEL</v>
      </c>
      <c r="FJ520" t="str">
        <v>ZAMBRANO LOOR RITA MAYDA</v>
      </c>
      <c r="FK520" t="str">
        <v>ZAMBRANO VERA MONICA JANETH</v>
      </c>
      <c r="FL520" t="str">
        <v>VERA DELGADO BRYAN ADRIÁN</v>
      </c>
      <c r="FM520" t="str">
        <v>MORAN GONZALES DAVID RENATO</v>
      </c>
      <c r="FN520">
        <v>0</v>
      </c>
    </row>
    <row r="521" spans="1:170" ht="20.25" customHeight="1">
      <c r="A521" s="4" t="str" cm="1">
        <f t="array" ref="A521">TRANSPOSE(_xlfn.UNIQUE(_xlfn._xlws.FILTER(MAE_ASIGNATURA[ID_NIVEL],MAE_ASIGNATURA[ID_CARRERA]=ASIGNACION!$C521,"No existe información")))</f>
        <v>No existe información</v>
      </c>
      <c r="S521" s="4" t="str" cm="1">
        <f t="array" ref="S521">TRANSPOSE(_xlfn.UNIQUE(_xlfn._xlws.FILTER(MAE_ASIGNATURA[NOM_ASIG],(MAE_ASIGNATURA[ID_NIVEL]=ASIGNACION!$D521)*(MAE_ASIGNATURA[ID_CARRERA]=ASIGNACION!$C521),"No existe información")))</f>
        <v>No existe información</v>
      </c>
      <c r="BD521" s="4" t="str" cm="1">
        <f t="array" ref="BD521">TRANSPOSE(_xlfn.UNIQUE(_xlfn._xlws.FILTER(DET_ASIG[DETALLADO],(DET_ASIG[ID_CARRERA]=ASIGNACION!$C521)*(DET_ASIG[NIVEL]=ASIGNACION!$D521)*(DET_ASIG[ID_ASIG]=ASIGNACION!$G521),"No existe información")))</f>
        <v>No existe información</v>
      </c>
      <c r="BQ521" s="5" t="str" cm="1">
        <f t="array" ref="BQ521">IFERROR(
    TRANSPOSE(
        _xlfn.UNIQUE(
            _xlfn._xlws.FILTER(MAESTRIA_DETALLADO[MAESTRIA],
                ISNUMBER(MATCH(MAESTRIA_DETALLADO[CAMPO_DETALLADO],
                BD521:BP521,0))
            )
        )
    ),IF(BD521="ACTIVIDAD","DOCENCIA",""))</f>
        <v/>
      </c>
      <c r="EA521" s="5" t="str" cm="1">
        <f t="array" ref="EA521:FN521">IF(
    ASIGNACION!I521="SI",
    IFERROR(
        TRANSPOSE(
            _xlfn.UNIQUE(
                _xlfn._xlws.FILTER(EDU_DOCENTE[NOMBRE_DOCENTE],
                    ISNUMBER(MATCH(EDU_DOCENTE[MAESTRIA],
                    BQ521:DY521,0))
                )
            )
        ),
        ""
    ),
    TRANSPOSE(
        _xlfn.UNIQUE(EDU_DOCENTE[NOMBRE_DOCENTE]
        )
    )
)</f>
        <v>ALCIVAR CEDEÑO BEATRIZ ISABEL</v>
      </c>
      <c r="EB521" t="str">
        <v>ALCIVAR VERA GEMA MICHELLE</v>
      </c>
      <c r="EC521" t="str">
        <v>ARAUZ CHAVEZ MARIO ROBERTO</v>
      </c>
      <c r="ED521" t="str">
        <v>BAILON LOURIDO WALTER ALBERTO</v>
      </c>
      <c r="EE521" t="str">
        <v>CALDERERO VILLAGOMEZ ERICK ANTONIO</v>
      </c>
      <c r="EF521" t="str">
        <v>CASTILLO GARCIA PAOLA GERMANIA</v>
      </c>
      <c r="EG521" t="str">
        <v>CEDEÑO CHOEZ PEDRO JAVIER</v>
      </c>
      <c r="EH521" t="str">
        <v>CEVALLOS HOPPE JUAN CARLOS</v>
      </c>
      <c r="EI521" t="str">
        <v>DELGADO CHAVEZ MARIA IRASEMA</v>
      </c>
      <c r="EJ521" t="str">
        <v>DUARTE VALENCIA CRISTHIAN DARIO</v>
      </c>
      <c r="EK521" t="str">
        <v>FORTTY BARBERAN DENNY ALEXANDER</v>
      </c>
      <c r="EL521" t="str">
        <v>GUTIERREZ ZAMBRANO CARMEN EBELINA</v>
      </c>
      <c r="EM521" t="str">
        <v>INTRIAGO MOLINA GEMA VALERIA</v>
      </c>
      <c r="EN521" t="str">
        <v>LINO VELEZ LEONEL LIVINGTON</v>
      </c>
      <c r="EO521" t="str">
        <v>LOOR ALCIVAR MARIA ILIANA</v>
      </c>
      <c r="EP521" t="str">
        <v>LOOR MIELES TANIA JACQUELINE</v>
      </c>
      <c r="EQ521" t="str">
        <v>LOOR SOLORZANO ROSA MARIA</v>
      </c>
      <c r="ER521" t="str">
        <v>LOPEZ DELGADO RONALD MAURICIO</v>
      </c>
      <c r="ES521" t="str">
        <v>MACIAS VALENCIA DAVID GABRIEL</v>
      </c>
      <c r="ET521" t="str">
        <v>MENDOZA ZAMORA WALTER MANUEL</v>
      </c>
      <c r="EU521" t="str">
        <v>MOLINA CEVALLOS MARIA LORENA</v>
      </c>
      <c r="EV521" t="str">
        <v>MURILLO DELGADO ISAAC GABRIEL</v>
      </c>
      <c r="EW521" t="str">
        <v>ANGULO MURILLO NAVIRA GISSELA</v>
      </c>
      <c r="EX521" t="str">
        <v>OCHOA SOLEDISPA NESTOR IVAN</v>
      </c>
      <c r="EY521" t="str">
        <v>PARRAGA FRANCO SILVANA MARIELA</v>
      </c>
      <c r="EZ521" t="str">
        <v>PINARGOTE VASQUEZ NANCY FABIOLA</v>
      </c>
      <c r="FA521" t="str">
        <v>REYES VELEZ PEDRO ENRIQUE</v>
      </c>
      <c r="FB521" t="str">
        <v>SAN ANDRES HORMAZA DALLAS CECILIA</v>
      </c>
      <c r="FC521" t="str">
        <v>SORNOZA ZAMORA JUAN CARLOS</v>
      </c>
      <c r="FD521" t="str">
        <v>TOMALA PINTO JESUS JACINTO</v>
      </c>
      <c r="FE521" t="str">
        <v>VALLE JARAMILLO SILVIA ARACELY</v>
      </c>
      <c r="FF521" t="str">
        <v>VELÁSQUEZ BRAVO IRMA KATHERINE</v>
      </c>
      <c r="FG521" t="str">
        <v>VELEZ MENDOZA LAYSY VALERIA</v>
      </c>
      <c r="FH521" t="str">
        <v>VINUEZA TELLO SHIRLEY ELIZABETH</v>
      </c>
      <c r="FI521" t="str">
        <v>ZAMBRANO ALCIVAR NILDA ISABEL</v>
      </c>
      <c r="FJ521" t="str">
        <v>ZAMBRANO LOOR RITA MAYDA</v>
      </c>
      <c r="FK521" t="str">
        <v>ZAMBRANO VERA MONICA JANETH</v>
      </c>
      <c r="FL521" t="str">
        <v>VERA DELGADO BRYAN ADRIÁN</v>
      </c>
      <c r="FM521" t="str">
        <v>MORAN GONZALES DAVID RENATO</v>
      </c>
      <c r="FN521">
        <v>0</v>
      </c>
    </row>
    <row r="522" spans="1:170" ht="20.25" customHeight="1">
      <c r="A522" s="4" t="str" cm="1">
        <f t="array" ref="A522">TRANSPOSE(_xlfn.UNIQUE(_xlfn._xlws.FILTER(MAE_ASIGNATURA[ID_NIVEL],MAE_ASIGNATURA[ID_CARRERA]=ASIGNACION!$C522,"No existe información")))</f>
        <v>No existe información</v>
      </c>
      <c r="S522" s="4" t="str" cm="1">
        <f t="array" ref="S522">TRANSPOSE(_xlfn.UNIQUE(_xlfn._xlws.FILTER(MAE_ASIGNATURA[NOM_ASIG],(MAE_ASIGNATURA[ID_NIVEL]=ASIGNACION!$D522)*(MAE_ASIGNATURA[ID_CARRERA]=ASIGNACION!$C522),"No existe información")))</f>
        <v>No existe información</v>
      </c>
      <c r="BD522" s="4" t="str" cm="1">
        <f t="array" ref="BD522">TRANSPOSE(_xlfn.UNIQUE(_xlfn._xlws.FILTER(DET_ASIG[DETALLADO],(DET_ASIG[ID_CARRERA]=ASIGNACION!$C522)*(DET_ASIG[NIVEL]=ASIGNACION!$D522)*(DET_ASIG[ID_ASIG]=ASIGNACION!$G522),"No existe información")))</f>
        <v>No existe información</v>
      </c>
      <c r="BQ522" s="5" t="str" cm="1">
        <f t="array" ref="BQ522">IFERROR(
    TRANSPOSE(
        _xlfn.UNIQUE(
            _xlfn._xlws.FILTER(MAESTRIA_DETALLADO[MAESTRIA],
                ISNUMBER(MATCH(MAESTRIA_DETALLADO[CAMPO_DETALLADO],
                BD522:BP522,0))
            )
        )
    ),IF(BD522="ACTIVIDAD","DOCENCIA",""))</f>
        <v/>
      </c>
      <c r="EA522" s="5" t="str" cm="1">
        <f t="array" ref="EA522:FN522">IF(
    ASIGNACION!I522="SI",
    IFERROR(
        TRANSPOSE(
            _xlfn.UNIQUE(
                _xlfn._xlws.FILTER(EDU_DOCENTE[NOMBRE_DOCENTE],
                    ISNUMBER(MATCH(EDU_DOCENTE[MAESTRIA],
                    BQ522:DY522,0))
                )
            )
        ),
        ""
    ),
    TRANSPOSE(
        _xlfn.UNIQUE(EDU_DOCENTE[NOMBRE_DOCENTE]
        )
    )
)</f>
        <v>ALCIVAR CEDEÑO BEATRIZ ISABEL</v>
      </c>
      <c r="EB522" t="str">
        <v>ALCIVAR VERA GEMA MICHELLE</v>
      </c>
      <c r="EC522" t="str">
        <v>ARAUZ CHAVEZ MARIO ROBERTO</v>
      </c>
      <c r="ED522" t="str">
        <v>BAILON LOURIDO WALTER ALBERTO</v>
      </c>
      <c r="EE522" t="str">
        <v>CALDERERO VILLAGOMEZ ERICK ANTONIO</v>
      </c>
      <c r="EF522" t="str">
        <v>CASTILLO GARCIA PAOLA GERMANIA</v>
      </c>
      <c r="EG522" t="str">
        <v>CEDEÑO CHOEZ PEDRO JAVIER</v>
      </c>
      <c r="EH522" t="str">
        <v>CEVALLOS HOPPE JUAN CARLOS</v>
      </c>
      <c r="EI522" t="str">
        <v>DELGADO CHAVEZ MARIA IRASEMA</v>
      </c>
      <c r="EJ522" t="str">
        <v>DUARTE VALENCIA CRISTHIAN DARIO</v>
      </c>
      <c r="EK522" t="str">
        <v>FORTTY BARBERAN DENNY ALEXANDER</v>
      </c>
      <c r="EL522" t="str">
        <v>GUTIERREZ ZAMBRANO CARMEN EBELINA</v>
      </c>
      <c r="EM522" t="str">
        <v>INTRIAGO MOLINA GEMA VALERIA</v>
      </c>
      <c r="EN522" t="str">
        <v>LINO VELEZ LEONEL LIVINGTON</v>
      </c>
      <c r="EO522" t="str">
        <v>LOOR ALCIVAR MARIA ILIANA</v>
      </c>
      <c r="EP522" t="str">
        <v>LOOR MIELES TANIA JACQUELINE</v>
      </c>
      <c r="EQ522" t="str">
        <v>LOOR SOLORZANO ROSA MARIA</v>
      </c>
      <c r="ER522" t="str">
        <v>LOPEZ DELGADO RONALD MAURICIO</v>
      </c>
      <c r="ES522" t="str">
        <v>MACIAS VALENCIA DAVID GABRIEL</v>
      </c>
      <c r="ET522" t="str">
        <v>MENDOZA ZAMORA WALTER MANUEL</v>
      </c>
      <c r="EU522" t="str">
        <v>MOLINA CEVALLOS MARIA LORENA</v>
      </c>
      <c r="EV522" t="str">
        <v>MURILLO DELGADO ISAAC GABRIEL</v>
      </c>
      <c r="EW522" t="str">
        <v>ANGULO MURILLO NAVIRA GISSELA</v>
      </c>
      <c r="EX522" t="str">
        <v>OCHOA SOLEDISPA NESTOR IVAN</v>
      </c>
      <c r="EY522" t="str">
        <v>PARRAGA FRANCO SILVANA MARIELA</v>
      </c>
      <c r="EZ522" t="str">
        <v>PINARGOTE VASQUEZ NANCY FABIOLA</v>
      </c>
      <c r="FA522" t="str">
        <v>REYES VELEZ PEDRO ENRIQUE</v>
      </c>
      <c r="FB522" t="str">
        <v>SAN ANDRES HORMAZA DALLAS CECILIA</v>
      </c>
      <c r="FC522" t="str">
        <v>SORNOZA ZAMORA JUAN CARLOS</v>
      </c>
      <c r="FD522" t="str">
        <v>TOMALA PINTO JESUS JACINTO</v>
      </c>
      <c r="FE522" t="str">
        <v>VALLE JARAMILLO SILVIA ARACELY</v>
      </c>
      <c r="FF522" t="str">
        <v>VELÁSQUEZ BRAVO IRMA KATHERINE</v>
      </c>
      <c r="FG522" t="str">
        <v>VELEZ MENDOZA LAYSY VALERIA</v>
      </c>
      <c r="FH522" t="str">
        <v>VINUEZA TELLO SHIRLEY ELIZABETH</v>
      </c>
      <c r="FI522" t="str">
        <v>ZAMBRANO ALCIVAR NILDA ISABEL</v>
      </c>
      <c r="FJ522" t="str">
        <v>ZAMBRANO LOOR RITA MAYDA</v>
      </c>
      <c r="FK522" t="str">
        <v>ZAMBRANO VERA MONICA JANETH</v>
      </c>
      <c r="FL522" t="str">
        <v>VERA DELGADO BRYAN ADRIÁN</v>
      </c>
      <c r="FM522" t="str">
        <v>MORAN GONZALES DAVID RENATO</v>
      </c>
      <c r="FN522">
        <v>0</v>
      </c>
    </row>
    <row r="523" spans="1:170" ht="20.25" customHeight="1">
      <c r="A523" s="4" t="str" cm="1">
        <f t="array" ref="A523">TRANSPOSE(_xlfn.UNIQUE(_xlfn._xlws.FILTER(MAE_ASIGNATURA[ID_NIVEL],MAE_ASIGNATURA[ID_CARRERA]=ASIGNACION!$C523,"No existe información")))</f>
        <v>No existe información</v>
      </c>
      <c r="S523" s="4" t="str" cm="1">
        <f t="array" ref="S523">TRANSPOSE(_xlfn.UNIQUE(_xlfn._xlws.FILTER(MAE_ASIGNATURA[NOM_ASIG],(MAE_ASIGNATURA[ID_NIVEL]=ASIGNACION!$D523)*(MAE_ASIGNATURA[ID_CARRERA]=ASIGNACION!$C523),"No existe información")))</f>
        <v>No existe información</v>
      </c>
      <c r="BD523" s="4" t="str" cm="1">
        <f t="array" ref="BD523">TRANSPOSE(_xlfn.UNIQUE(_xlfn._xlws.FILTER(DET_ASIG[DETALLADO],(DET_ASIG[ID_CARRERA]=ASIGNACION!$C523)*(DET_ASIG[NIVEL]=ASIGNACION!$D523)*(DET_ASIG[ID_ASIG]=ASIGNACION!$G523),"No existe información")))</f>
        <v>No existe información</v>
      </c>
      <c r="BQ523" s="5" t="str" cm="1">
        <f t="array" ref="BQ523">IFERROR(
    TRANSPOSE(
        _xlfn.UNIQUE(
            _xlfn._xlws.FILTER(MAESTRIA_DETALLADO[MAESTRIA],
                ISNUMBER(MATCH(MAESTRIA_DETALLADO[CAMPO_DETALLADO],
                BD523:BP523,0))
            )
        )
    ),IF(BD523="ACTIVIDAD","DOCENCIA",""))</f>
        <v/>
      </c>
      <c r="EA523" s="5" t="str" cm="1">
        <f t="array" ref="EA523:FN523">IF(
    ASIGNACION!I523="SI",
    IFERROR(
        TRANSPOSE(
            _xlfn.UNIQUE(
                _xlfn._xlws.FILTER(EDU_DOCENTE[NOMBRE_DOCENTE],
                    ISNUMBER(MATCH(EDU_DOCENTE[MAESTRIA],
                    BQ523:DY523,0))
                )
            )
        ),
        ""
    ),
    TRANSPOSE(
        _xlfn.UNIQUE(EDU_DOCENTE[NOMBRE_DOCENTE]
        )
    )
)</f>
        <v>ALCIVAR CEDEÑO BEATRIZ ISABEL</v>
      </c>
      <c r="EB523" t="str">
        <v>ALCIVAR VERA GEMA MICHELLE</v>
      </c>
      <c r="EC523" t="str">
        <v>ARAUZ CHAVEZ MARIO ROBERTO</v>
      </c>
      <c r="ED523" t="str">
        <v>BAILON LOURIDO WALTER ALBERTO</v>
      </c>
      <c r="EE523" t="str">
        <v>CALDERERO VILLAGOMEZ ERICK ANTONIO</v>
      </c>
      <c r="EF523" t="str">
        <v>CASTILLO GARCIA PAOLA GERMANIA</v>
      </c>
      <c r="EG523" t="str">
        <v>CEDEÑO CHOEZ PEDRO JAVIER</v>
      </c>
      <c r="EH523" t="str">
        <v>CEVALLOS HOPPE JUAN CARLOS</v>
      </c>
      <c r="EI523" t="str">
        <v>DELGADO CHAVEZ MARIA IRASEMA</v>
      </c>
      <c r="EJ523" t="str">
        <v>DUARTE VALENCIA CRISTHIAN DARIO</v>
      </c>
      <c r="EK523" t="str">
        <v>FORTTY BARBERAN DENNY ALEXANDER</v>
      </c>
      <c r="EL523" t="str">
        <v>GUTIERREZ ZAMBRANO CARMEN EBELINA</v>
      </c>
      <c r="EM523" t="str">
        <v>INTRIAGO MOLINA GEMA VALERIA</v>
      </c>
      <c r="EN523" t="str">
        <v>LINO VELEZ LEONEL LIVINGTON</v>
      </c>
      <c r="EO523" t="str">
        <v>LOOR ALCIVAR MARIA ILIANA</v>
      </c>
      <c r="EP523" t="str">
        <v>LOOR MIELES TANIA JACQUELINE</v>
      </c>
      <c r="EQ523" t="str">
        <v>LOOR SOLORZANO ROSA MARIA</v>
      </c>
      <c r="ER523" t="str">
        <v>LOPEZ DELGADO RONALD MAURICIO</v>
      </c>
      <c r="ES523" t="str">
        <v>MACIAS VALENCIA DAVID GABRIEL</v>
      </c>
      <c r="ET523" t="str">
        <v>MENDOZA ZAMORA WALTER MANUEL</v>
      </c>
      <c r="EU523" t="str">
        <v>MOLINA CEVALLOS MARIA LORENA</v>
      </c>
      <c r="EV523" t="str">
        <v>MURILLO DELGADO ISAAC GABRIEL</v>
      </c>
      <c r="EW523" t="str">
        <v>ANGULO MURILLO NAVIRA GISSELA</v>
      </c>
      <c r="EX523" t="str">
        <v>OCHOA SOLEDISPA NESTOR IVAN</v>
      </c>
      <c r="EY523" t="str">
        <v>PARRAGA FRANCO SILVANA MARIELA</v>
      </c>
      <c r="EZ523" t="str">
        <v>PINARGOTE VASQUEZ NANCY FABIOLA</v>
      </c>
      <c r="FA523" t="str">
        <v>REYES VELEZ PEDRO ENRIQUE</v>
      </c>
      <c r="FB523" t="str">
        <v>SAN ANDRES HORMAZA DALLAS CECILIA</v>
      </c>
      <c r="FC523" t="str">
        <v>SORNOZA ZAMORA JUAN CARLOS</v>
      </c>
      <c r="FD523" t="str">
        <v>TOMALA PINTO JESUS JACINTO</v>
      </c>
      <c r="FE523" t="str">
        <v>VALLE JARAMILLO SILVIA ARACELY</v>
      </c>
      <c r="FF523" t="str">
        <v>VELÁSQUEZ BRAVO IRMA KATHERINE</v>
      </c>
      <c r="FG523" t="str">
        <v>VELEZ MENDOZA LAYSY VALERIA</v>
      </c>
      <c r="FH523" t="str">
        <v>VINUEZA TELLO SHIRLEY ELIZABETH</v>
      </c>
      <c r="FI523" t="str">
        <v>ZAMBRANO ALCIVAR NILDA ISABEL</v>
      </c>
      <c r="FJ523" t="str">
        <v>ZAMBRANO LOOR RITA MAYDA</v>
      </c>
      <c r="FK523" t="str">
        <v>ZAMBRANO VERA MONICA JANETH</v>
      </c>
      <c r="FL523" t="str">
        <v>VERA DELGADO BRYAN ADRIÁN</v>
      </c>
      <c r="FM523" t="str">
        <v>MORAN GONZALES DAVID RENATO</v>
      </c>
      <c r="FN523">
        <v>0</v>
      </c>
    </row>
    <row r="524" spans="1:170" ht="20.25" customHeight="1">
      <c r="A524" s="4" t="str" cm="1">
        <f t="array" ref="A524">TRANSPOSE(_xlfn.UNIQUE(_xlfn._xlws.FILTER(MAE_ASIGNATURA[ID_NIVEL],MAE_ASIGNATURA[ID_CARRERA]=ASIGNACION!$C524,"No existe información")))</f>
        <v>No existe información</v>
      </c>
      <c r="S524" s="4" t="str" cm="1">
        <f t="array" ref="S524">TRANSPOSE(_xlfn.UNIQUE(_xlfn._xlws.FILTER(MAE_ASIGNATURA[NOM_ASIG],(MAE_ASIGNATURA[ID_NIVEL]=ASIGNACION!$D524)*(MAE_ASIGNATURA[ID_CARRERA]=ASIGNACION!$C524),"No existe información")))</f>
        <v>No existe información</v>
      </c>
      <c r="BD524" s="4" t="str" cm="1">
        <f t="array" ref="BD524">TRANSPOSE(_xlfn.UNIQUE(_xlfn._xlws.FILTER(DET_ASIG[DETALLADO],(DET_ASIG[ID_CARRERA]=ASIGNACION!$C524)*(DET_ASIG[NIVEL]=ASIGNACION!$D524)*(DET_ASIG[ID_ASIG]=ASIGNACION!$G524),"No existe información")))</f>
        <v>No existe información</v>
      </c>
      <c r="BQ524" s="5" t="str" cm="1">
        <f t="array" ref="BQ524">IFERROR(
    TRANSPOSE(
        _xlfn.UNIQUE(
            _xlfn._xlws.FILTER(MAESTRIA_DETALLADO[MAESTRIA],
                ISNUMBER(MATCH(MAESTRIA_DETALLADO[CAMPO_DETALLADO],
                BD524:BP524,0))
            )
        )
    ),IF(BD524="ACTIVIDAD","DOCENCIA",""))</f>
        <v/>
      </c>
      <c r="EA524" s="5" t="str" cm="1">
        <f t="array" ref="EA524:FN524">IF(
    ASIGNACION!I524="SI",
    IFERROR(
        TRANSPOSE(
            _xlfn.UNIQUE(
                _xlfn._xlws.FILTER(EDU_DOCENTE[NOMBRE_DOCENTE],
                    ISNUMBER(MATCH(EDU_DOCENTE[MAESTRIA],
                    BQ524:DY524,0))
                )
            )
        ),
        ""
    ),
    TRANSPOSE(
        _xlfn.UNIQUE(EDU_DOCENTE[NOMBRE_DOCENTE]
        )
    )
)</f>
        <v>ALCIVAR CEDEÑO BEATRIZ ISABEL</v>
      </c>
      <c r="EB524" t="str">
        <v>ALCIVAR VERA GEMA MICHELLE</v>
      </c>
      <c r="EC524" t="str">
        <v>ARAUZ CHAVEZ MARIO ROBERTO</v>
      </c>
      <c r="ED524" t="str">
        <v>BAILON LOURIDO WALTER ALBERTO</v>
      </c>
      <c r="EE524" t="str">
        <v>CALDERERO VILLAGOMEZ ERICK ANTONIO</v>
      </c>
      <c r="EF524" t="str">
        <v>CASTILLO GARCIA PAOLA GERMANIA</v>
      </c>
      <c r="EG524" t="str">
        <v>CEDEÑO CHOEZ PEDRO JAVIER</v>
      </c>
      <c r="EH524" t="str">
        <v>CEVALLOS HOPPE JUAN CARLOS</v>
      </c>
      <c r="EI524" t="str">
        <v>DELGADO CHAVEZ MARIA IRASEMA</v>
      </c>
      <c r="EJ524" t="str">
        <v>DUARTE VALENCIA CRISTHIAN DARIO</v>
      </c>
      <c r="EK524" t="str">
        <v>FORTTY BARBERAN DENNY ALEXANDER</v>
      </c>
      <c r="EL524" t="str">
        <v>GUTIERREZ ZAMBRANO CARMEN EBELINA</v>
      </c>
      <c r="EM524" t="str">
        <v>INTRIAGO MOLINA GEMA VALERIA</v>
      </c>
      <c r="EN524" t="str">
        <v>LINO VELEZ LEONEL LIVINGTON</v>
      </c>
      <c r="EO524" t="str">
        <v>LOOR ALCIVAR MARIA ILIANA</v>
      </c>
      <c r="EP524" t="str">
        <v>LOOR MIELES TANIA JACQUELINE</v>
      </c>
      <c r="EQ524" t="str">
        <v>LOOR SOLORZANO ROSA MARIA</v>
      </c>
      <c r="ER524" t="str">
        <v>LOPEZ DELGADO RONALD MAURICIO</v>
      </c>
      <c r="ES524" t="str">
        <v>MACIAS VALENCIA DAVID GABRIEL</v>
      </c>
      <c r="ET524" t="str">
        <v>MENDOZA ZAMORA WALTER MANUEL</v>
      </c>
      <c r="EU524" t="str">
        <v>MOLINA CEVALLOS MARIA LORENA</v>
      </c>
      <c r="EV524" t="str">
        <v>MURILLO DELGADO ISAAC GABRIEL</v>
      </c>
      <c r="EW524" t="str">
        <v>ANGULO MURILLO NAVIRA GISSELA</v>
      </c>
      <c r="EX524" t="str">
        <v>OCHOA SOLEDISPA NESTOR IVAN</v>
      </c>
      <c r="EY524" t="str">
        <v>PARRAGA FRANCO SILVANA MARIELA</v>
      </c>
      <c r="EZ524" t="str">
        <v>PINARGOTE VASQUEZ NANCY FABIOLA</v>
      </c>
      <c r="FA524" t="str">
        <v>REYES VELEZ PEDRO ENRIQUE</v>
      </c>
      <c r="FB524" t="str">
        <v>SAN ANDRES HORMAZA DALLAS CECILIA</v>
      </c>
      <c r="FC524" t="str">
        <v>SORNOZA ZAMORA JUAN CARLOS</v>
      </c>
      <c r="FD524" t="str">
        <v>TOMALA PINTO JESUS JACINTO</v>
      </c>
      <c r="FE524" t="str">
        <v>VALLE JARAMILLO SILVIA ARACELY</v>
      </c>
      <c r="FF524" t="str">
        <v>VELÁSQUEZ BRAVO IRMA KATHERINE</v>
      </c>
      <c r="FG524" t="str">
        <v>VELEZ MENDOZA LAYSY VALERIA</v>
      </c>
      <c r="FH524" t="str">
        <v>VINUEZA TELLO SHIRLEY ELIZABETH</v>
      </c>
      <c r="FI524" t="str">
        <v>ZAMBRANO ALCIVAR NILDA ISABEL</v>
      </c>
      <c r="FJ524" t="str">
        <v>ZAMBRANO LOOR RITA MAYDA</v>
      </c>
      <c r="FK524" t="str">
        <v>ZAMBRANO VERA MONICA JANETH</v>
      </c>
      <c r="FL524" t="str">
        <v>VERA DELGADO BRYAN ADRIÁN</v>
      </c>
      <c r="FM524" t="str">
        <v>MORAN GONZALES DAVID RENATO</v>
      </c>
      <c r="FN524">
        <v>0</v>
      </c>
    </row>
    <row r="525" spans="1:170" ht="20.25" customHeight="1">
      <c r="A525" s="4" t="str" cm="1">
        <f t="array" ref="A525">TRANSPOSE(_xlfn.UNIQUE(_xlfn._xlws.FILTER(MAE_ASIGNATURA[ID_NIVEL],MAE_ASIGNATURA[ID_CARRERA]=ASIGNACION!$C525,"No existe información")))</f>
        <v>No existe información</v>
      </c>
      <c r="S525" s="4" t="str" cm="1">
        <f t="array" ref="S525">TRANSPOSE(_xlfn.UNIQUE(_xlfn._xlws.FILTER(MAE_ASIGNATURA[NOM_ASIG],(MAE_ASIGNATURA[ID_NIVEL]=ASIGNACION!$D525)*(MAE_ASIGNATURA[ID_CARRERA]=ASIGNACION!$C525),"No existe información")))</f>
        <v>No existe información</v>
      </c>
      <c r="BD525" s="4" t="str" cm="1">
        <f t="array" ref="BD525">TRANSPOSE(_xlfn.UNIQUE(_xlfn._xlws.FILTER(DET_ASIG[DETALLADO],(DET_ASIG[ID_CARRERA]=ASIGNACION!$C525)*(DET_ASIG[NIVEL]=ASIGNACION!$D525)*(DET_ASIG[ID_ASIG]=ASIGNACION!$G525),"No existe información")))</f>
        <v>No existe información</v>
      </c>
      <c r="BQ525" s="5" t="str" cm="1">
        <f t="array" ref="BQ525">IFERROR(
    TRANSPOSE(
        _xlfn.UNIQUE(
            _xlfn._xlws.FILTER(MAESTRIA_DETALLADO[MAESTRIA],
                ISNUMBER(MATCH(MAESTRIA_DETALLADO[CAMPO_DETALLADO],
                BD525:BP525,0))
            )
        )
    ),IF(BD525="ACTIVIDAD","DOCENCIA",""))</f>
        <v/>
      </c>
      <c r="EA525" s="5" t="str" cm="1">
        <f t="array" ref="EA525:FN525">IF(
    ASIGNACION!I525="SI",
    IFERROR(
        TRANSPOSE(
            _xlfn.UNIQUE(
                _xlfn._xlws.FILTER(EDU_DOCENTE[NOMBRE_DOCENTE],
                    ISNUMBER(MATCH(EDU_DOCENTE[MAESTRIA],
                    BQ525:DY525,0))
                )
            )
        ),
        ""
    ),
    TRANSPOSE(
        _xlfn.UNIQUE(EDU_DOCENTE[NOMBRE_DOCENTE]
        )
    )
)</f>
        <v>ALCIVAR CEDEÑO BEATRIZ ISABEL</v>
      </c>
      <c r="EB525" t="str">
        <v>ALCIVAR VERA GEMA MICHELLE</v>
      </c>
      <c r="EC525" t="str">
        <v>ARAUZ CHAVEZ MARIO ROBERTO</v>
      </c>
      <c r="ED525" t="str">
        <v>BAILON LOURIDO WALTER ALBERTO</v>
      </c>
      <c r="EE525" t="str">
        <v>CALDERERO VILLAGOMEZ ERICK ANTONIO</v>
      </c>
      <c r="EF525" t="str">
        <v>CASTILLO GARCIA PAOLA GERMANIA</v>
      </c>
      <c r="EG525" t="str">
        <v>CEDEÑO CHOEZ PEDRO JAVIER</v>
      </c>
      <c r="EH525" t="str">
        <v>CEVALLOS HOPPE JUAN CARLOS</v>
      </c>
      <c r="EI525" t="str">
        <v>DELGADO CHAVEZ MARIA IRASEMA</v>
      </c>
      <c r="EJ525" t="str">
        <v>DUARTE VALENCIA CRISTHIAN DARIO</v>
      </c>
      <c r="EK525" t="str">
        <v>FORTTY BARBERAN DENNY ALEXANDER</v>
      </c>
      <c r="EL525" t="str">
        <v>GUTIERREZ ZAMBRANO CARMEN EBELINA</v>
      </c>
      <c r="EM525" t="str">
        <v>INTRIAGO MOLINA GEMA VALERIA</v>
      </c>
      <c r="EN525" t="str">
        <v>LINO VELEZ LEONEL LIVINGTON</v>
      </c>
      <c r="EO525" t="str">
        <v>LOOR ALCIVAR MARIA ILIANA</v>
      </c>
      <c r="EP525" t="str">
        <v>LOOR MIELES TANIA JACQUELINE</v>
      </c>
      <c r="EQ525" t="str">
        <v>LOOR SOLORZANO ROSA MARIA</v>
      </c>
      <c r="ER525" t="str">
        <v>LOPEZ DELGADO RONALD MAURICIO</v>
      </c>
      <c r="ES525" t="str">
        <v>MACIAS VALENCIA DAVID GABRIEL</v>
      </c>
      <c r="ET525" t="str">
        <v>MENDOZA ZAMORA WALTER MANUEL</v>
      </c>
      <c r="EU525" t="str">
        <v>MOLINA CEVALLOS MARIA LORENA</v>
      </c>
      <c r="EV525" t="str">
        <v>MURILLO DELGADO ISAAC GABRIEL</v>
      </c>
      <c r="EW525" t="str">
        <v>ANGULO MURILLO NAVIRA GISSELA</v>
      </c>
      <c r="EX525" t="str">
        <v>OCHOA SOLEDISPA NESTOR IVAN</v>
      </c>
      <c r="EY525" t="str">
        <v>PARRAGA FRANCO SILVANA MARIELA</v>
      </c>
      <c r="EZ525" t="str">
        <v>PINARGOTE VASQUEZ NANCY FABIOLA</v>
      </c>
      <c r="FA525" t="str">
        <v>REYES VELEZ PEDRO ENRIQUE</v>
      </c>
      <c r="FB525" t="str">
        <v>SAN ANDRES HORMAZA DALLAS CECILIA</v>
      </c>
      <c r="FC525" t="str">
        <v>SORNOZA ZAMORA JUAN CARLOS</v>
      </c>
      <c r="FD525" t="str">
        <v>TOMALA PINTO JESUS JACINTO</v>
      </c>
      <c r="FE525" t="str">
        <v>VALLE JARAMILLO SILVIA ARACELY</v>
      </c>
      <c r="FF525" t="str">
        <v>VELÁSQUEZ BRAVO IRMA KATHERINE</v>
      </c>
      <c r="FG525" t="str">
        <v>VELEZ MENDOZA LAYSY VALERIA</v>
      </c>
      <c r="FH525" t="str">
        <v>VINUEZA TELLO SHIRLEY ELIZABETH</v>
      </c>
      <c r="FI525" t="str">
        <v>ZAMBRANO ALCIVAR NILDA ISABEL</v>
      </c>
      <c r="FJ525" t="str">
        <v>ZAMBRANO LOOR RITA MAYDA</v>
      </c>
      <c r="FK525" t="str">
        <v>ZAMBRANO VERA MONICA JANETH</v>
      </c>
      <c r="FL525" t="str">
        <v>VERA DELGADO BRYAN ADRIÁN</v>
      </c>
      <c r="FM525" t="str">
        <v>MORAN GONZALES DAVID RENATO</v>
      </c>
      <c r="FN525">
        <v>0</v>
      </c>
    </row>
    <row r="526" spans="1:170" ht="20.25" customHeight="1">
      <c r="A526" s="4" t="str" cm="1">
        <f t="array" ref="A526">TRANSPOSE(_xlfn.UNIQUE(_xlfn._xlws.FILTER(MAE_ASIGNATURA[ID_NIVEL],MAE_ASIGNATURA[ID_CARRERA]=ASIGNACION!$C526,"No existe información")))</f>
        <v>No existe información</v>
      </c>
      <c r="S526" s="4" t="str" cm="1">
        <f t="array" ref="S526">TRANSPOSE(_xlfn.UNIQUE(_xlfn._xlws.FILTER(MAE_ASIGNATURA[NOM_ASIG],(MAE_ASIGNATURA[ID_NIVEL]=ASIGNACION!$D526)*(MAE_ASIGNATURA[ID_CARRERA]=ASIGNACION!$C526),"No existe información")))</f>
        <v>No existe información</v>
      </c>
      <c r="BD526" s="4" t="str" cm="1">
        <f t="array" ref="BD526">TRANSPOSE(_xlfn.UNIQUE(_xlfn._xlws.FILTER(DET_ASIG[DETALLADO],(DET_ASIG[ID_CARRERA]=ASIGNACION!$C526)*(DET_ASIG[NIVEL]=ASIGNACION!$D526)*(DET_ASIG[ID_ASIG]=ASIGNACION!$G526),"No existe información")))</f>
        <v>No existe información</v>
      </c>
      <c r="BQ526" s="5" t="str" cm="1">
        <f t="array" ref="BQ526">IFERROR(
    TRANSPOSE(
        _xlfn.UNIQUE(
            _xlfn._xlws.FILTER(MAESTRIA_DETALLADO[MAESTRIA],
                ISNUMBER(MATCH(MAESTRIA_DETALLADO[CAMPO_DETALLADO],
                BD526:BP526,0))
            )
        )
    ),IF(BD526="ACTIVIDAD","DOCENCIA",""))</f>
        <v/>
      </c>
      <c r="EA526" s="5" t="str" cm="1">
        <f t="array" ref="EA526:FN526">IF(
    ASIGNACION!I526="SI",
    IFERROR(
        TRANSPOSE(
            _xlfn.UNIQUE(
                _xlfn._xlws.FILTER(EDU_DOCENTE[NOMBRE_DOCENTE],
                    ISNUMBER(MATCH(EDU_DOCENTE[MAESTRIA],
                    BQ526:DY526,0))
                )
            )
        ),
        ""
    ),
    TRANSPOSE(
        _xlfn.UNIQUE(EDU_DOCENTE[NOMBRE_DOCENTE]
        )
    )
)</f>
        <v>ALCIVAR CEDEÑO BEATRIZ ISABEL</v>
      </c>
      <c r="EB526" t="str">
        <v>ALCIVAR VERA GEMA MICHELLE</v>
      </c>
      <c r="EC526" t="str">
        <v>ARAUZ CHAVEZ MARIO ROBERTO</v>
      </c>
      <c r="ED526" t="str">
        <v>BAILON LOURIDO WALTER ALBERTO</v>
      </c>
      <c r="EE526" t="str">
        <v>CALDERERO VILLAGOMEZ ERICK ANTONIO</v>
      </c>
      <c r="EF526" t="str">
        <v>CASTILLO GARCIA PAOLA GERMANIA</v>
      </c>
      <c r="EG526" t="str">
        <v>CEDEÑO CHOEZ PEDRO JAVIER</v>
      </c>
      <c r="EH526" t="str">
        <v>CEVALLOS HOPPE JUAN CARLOS</v>
      </c>
      <c r="EI526" t="str">
        <v>DELGADO CHAVEZ MARIA IRASEMA</v>
      </c>
      <c r="EJ526" t="str">
        <v>DUARTE VALENCIA CRISTHIAN DARIO</v>
      </c>
      <c r="EK526" t="str">
        <v>FORTTY BARBERAN DENNY ALEXANDER</v>
      </c>
      <c r="EL526" t="str">
        <v>GUTIERREZ ZAMBRANO CARMEN EBELINA</v>
      </c>
      <c r="EM526" t="str">
        <v>INTRIAGO MOLINA GEMA VALERIA</v>
      </c>
      <c r="EN526" t="str">
        <v>LINO VELEZ LEONEL LIVINGTON</v>
      </c>
      <c r="EO526" t="str">
        <v>LOOR ALCIVAR MARIA ILIANA</v>
      </c>
      <c r="EP526" t="str">
        <v>LOOR MIELES TANIA JACQUELINE</v>
      </c>
      <c r="EQ526" t="str">
        <v>LOOR SOLORZANO ROSA MARIA</v>
      </c>
      <c r="ER526" t="str">
        <v>LOPEZ DELGADO RONALD MAURICIO</v>
      </c>
      <c r="ES526" t="str">
        <v>MACIAS VALENCIA DAVID GABRIEL</v>
      </c>
      <c r="ET526" t="str">
        <v>MENDOZA ZAMORA WALTER MANUEL</v>
      </c>
      <c r="EU526" t="str">
        <v>MOLINA CEVALLOS MARIA LORENA</v>
      </c>
      <c r="EV526" t="str">
        <v>MURILLO DELGADO ISAAC GABRIEL</v>
      </c>
      <c r="EW526" t="str">
        <v>ANGULO MURILLO NAVIRA GISSELA</v>
      </c>
      <c r="EX526" t="str">
        <v>OCHOA SOLEDISPA NESTOR IVAN</v>
      </c>
      <c r="EY526" t="str">
        <v>PARRAGA FRANCO SILVANA MARIELA</v>
      </c>
      <c r="EZ526" t="str">
        <v>PINARGOTE VASQUEZ NANCY FABIOLA</v>
      </c>
      <c r="FA526" t="str">
        <v>REYES VELEZ PEDRO ENRIQUE</v>
      </c>
      <c r="FB526" t="str">
        <v>SAN ANDRES HORMAZA DALLAS CECILIA</v>
      </c>
      <c r="FC526" t="str">
        <v>SORNOZA ZAMORA JUAN CARLOS</v>
      </c>
      <c r="FD526" t="str">
        <v>TOMALA PINTO JESUS JACINTO</v>
      </c>
      <c r="FE526" t="str">
        <v>VALLE JARAMILLO SILVIA ARACELY</v>
      </c>
      <c r="FF526" t="str">
        <v>VELÁSQUEZ BRAVO IRMA KATHERINE</v>
      </c>
      <c r="FG526" t="str">
        <v>VELEZ MENDOZA LAYSY VALERIA</v>
      </c>
      <c r="FH526" t="str">
        <v>VINUEZA TELLO SHIRLEY ELIZABETH</v>
      </c>
      <c r="FI526" t="str">
        <v>ZAMBRANO ALCIVAR NILDA ISABEL</v>
      </c>
      <c r="FJ526" t="str">
        <v>ZAMBRANO LOOR RITA MAYDA</v>
      </c>
      <c r="FK526" t="str">
        <v>ZAMBRANO VERA MONICA JANETH</v>
      </c>
      <c r="FL526" t="str">
        <v>VERA DELGADO BRYAN ADRIÁN</v>
      </c>
      <c r="FM526" t="str">
        <v>MORAN GONZALES DAVID RENATO</v>
      </c>
      <c r="FN526">
        <v>0</v>
      </c>
    </row>
    <row r="527" spans="1:170" ht="20.25" customHeight="1">
      <c r="A527" s="4" t="str" cm="1">
        <f t="array" ref="A527">TRANSPOSE(_xlfn.UNIQUE(_xlfn._xlws.FILTER(MAE_ASIGNATURA[ID_NIVEL],MAE_ASIGNATURA[ID_CARRERA]=ASIGNACION!$C527,"No existe información")))</f>
        <v>No existe información</v>
      </c>
      <c r="S527" s="4" t="str" cm="1">
        <f t="array" ref="S527">TRANSPOSE(_xlfn.UNIQUE(_xlfn._xlws.FILTER(MAE_ASIGNATURA[NOM_ASIG],(MAE_ASIGNATURA[ID_NIVEL]=ASIGNACION!$D527)*(MAE_ASIGNATURA[ID_CARRERA]=ASIGNACION!$C527),"No existe información")))</f>
        <v>No existe información</v>
      </c>
      <c r="BD527" s="4" t="str" cm="1">
        <f t="array" ref="BD527">TRANSPOSE(_xlfn.UNIQUE(_xlfn._xlws.FILTER(DET_ASIG[DETALLADO],(DET_ASIG[ID_CARRERA]=ASIGNACION!$C527)*(DET_ASIG[NIVEL]=ASIGNACION!$D527)*(DET_ASIG[ID_ASIG]=ASIGNACION!$G527),"No existe información")))</f>
        <v>No existe información</v>
      </c>
      <c r="BQ527" s="5" t="str" cm="1">
        <f t="array" ref="BQ527">IFERROR(
    TRANSPOSE(
        _xlfn.UNIQUE(
            _xlfn._xlws.FILTER(MAESTRIA_DETALLADO[MAESTRIA],
                ISNUMBER(MATCH(MAESTRIA_DETALLADO[CAMPO_DETALLADO],
                BD527:BP527,0))
            )
        )
    ),IF(BD527="ACTIVIDAD","DOCENCIA",""))</f>
        <v/>
      </c>
      <c r="EA527" s="5" t="str" cm="1">
        <f t="array" ref="EA527:FN527">IF(
    ASIGNACION!I527="SI",
    IFERROR(
        TRANSPOSE(
            _xlfn.UNIQUE(
                _xlfn._xlws.FILTER(EDU_DOCENTE[NOMBRE_DOCENTE],
                    ISNUMBER(MATCH(EDU_DOCENTE[MAESTRIA],
                    BQ527:DY527,0))
                )
            )
        ),
        ""
    ),
    TRANSPOSE(
        _xlfn.UNIQUE(EDU_DOCENTE[NOMBRE_DOCENTE]
        )
    )
)</f>
        <v>ALCIVAR CEDEÑO BEATRIZ ISABEL</v>
      </c>
      <c r="EB527" t="str">
        <v>ALCIVAR VERA GEMA MICHELLE</v>
      </c>
      <c r="EC527" t="str">
        <v>ARAUZ CHAVEZ MARIO ROBERTO</v>
      </c>
      <c r="ED527" t="str">
        <v>BAILON LOURIDO WALTER ALBERTO</v>
      </c>
      <c r="EE527" t="str">
        <v>CALDERERO VILLAGOMEZ ERICK ANTONIO</v>
      </c>
      <c r="EF527" t="str">
        <v>CASTILLO GARCIA PAOLA GERMANIA</v>
      </c>
      <c r="EG527" t="str">
        <v>CEDEÑO CHOEZ PEDRO JAVIER</v>
      </c>
      <c r="EH527" t="str">
        <v>CEVALLOS HOPPE JUAN CARLOS</v>
      </c>
      <c r="EI527" t="str">
        <v>DELGADO CHAVEZ MARIA IRASEMA</v>
      </c>
      <c r="EJ527" t="str">
        <v>DUARTE VALENCIA CRISTHIAN DARIO</v>
      </c>
      <c r="EK527" t="str">
        <v>FORTTY BARBERAN DENNY ALEXANDER</v>
      </c>
      <c r="EL527" t="str">
        <v>GUTIERREZ ZAMBRANO CARMEN EBELINA</v>
      </c>
      <c r="EM527" t="str">
        <v>INTRIAGO MOLINA GEMA VALERIA</v>
      </c>
      <c r="EN527" t="str">
        <v>LINO VELEZ LEONEL LIVINGTON</v>
      </c>
      <c r="EO527" t="str">
        <v>LOOR ALCIVAR MARIA ILIANA</v>
      </c>
      <c r="EP527" t="str">
        <v>LOOR MIELES TANIA JACQUELINE</v>
      </c>
      <c r="EQ527" t="str">
        <v>LOOR SOLORZANO ROSA MARIA</v>
      </c>
      <c r="ER527" t="str">
        <v>LOPEZ DELGADO RONALD MAURICIO</v>
      </c>
      <c r="ES527" t="str">
        <v>MACIAS VALENCIA DAVID GABRIEL</v>
      </c>
      <c r="ET527" t="str">
        <v>MENDOZA ZAMORA WALTER MANUEL</v>
      </c>
      <c r="EU527" t="str">
        <v>MOLINA CEVALLOS MARIA LORENA</v>
      </c>
      <c r="EV527" t="str">
        <v>MURILLO DELGADO ISAAC GABRIEL</v>
      </c>
      <c r="EW527" t="str">
        <v>ANGULO MURILLO NAVIRA GISSELA</v>
      </c>
      <c r="EX527" t="str">
        <v>OCHOA SOLEDISPA NESTOR IVAN</v>
      </c>
      <c r="EY527" t="str">
        <v>PARRAGA FRANCO SILVANA MARIELA</v>
      </c>
      <c r="EZ527" t="str">
        <v>PINARGOTE VASQUEZ NANCY FABIOLA</v>
      </c>
      <c r="FA527" t="str">
        <v>REYES VELEZ PEDRO ENRIQUE</v>
      </c>
      <c r="FB527" t="str">
        <v>SAN ANDRES HORMAZA DALLAS CECILIA</v>
      </c>
      <c r="FC527" t="str">
        <v>SORNOZA ZAMORA JUAN CARLOS</v>
      </c>
      <c r="FD527" t="str">
        <v>TOMALA PINTO JESUS JACINTO</v>
      </c>
      <c r="FE527" t="str">
        <v>VALLE JARAMILLO SILVIA ARACELY</v>
      </c>
      <c r="FF527" t="str">
        <v>VELÁSQUEZ BRAVO IRMA KATHERINE</v>
      </c>
      <c r="FG527" t="str">
        <v>VELEZ MENDOZA LAYSY VALERIA</v>
      </c>
      <c r="FH527" t="str">
        <v>VINUEZA TELLO SHIRLEY ELIZABETH</v>
      </c>
      <c r="FI527" t="str">
        <v>ZAMBRANO ALCIVAR NILDA ISABEL</v>
      </c>
      <c r="FJ527" t="str">
        <v>ZAMBRANO LOOR RITA MAYDA</v>
      </c>
      <c r="FK527" t="str">
        <v>ZAMBRANO VERA MONICA JANETH</v>
      </c>
      <c r="FL527" t="str">
        <v>VERA DELGADO BRYAN ADRIÁN</v>
      </c>
      <c r="FM527" t="str">
        <v>MORAN GONZALES DAVID RENATO</v>
      </c>
      <c r="FN527">
        <v>0</v>
      </c>
    </row>
    <row r="528" spans="1:170" ht="20.25" customHeight="1">
      <c r="A528" s="4" t="str" cm="1">
        <f t="array" ref="A528">TRANSPOSE(_xlfn.UNIQUE(_xlfn._xlws.FILTER(MAE_ASIGNATURA[ID_NIVEL],MAE_ASIGNATURA[ID_CARRERA]=ASIGNACION!$C528,"No existe información")))</f>
        <v>No existe información</v>
      </c>
      <c r="S528" s="4" t="str" cm="1">
        <f t="array" ref="S528">TRANSPOSE(_xlfn.UNIQUE(_xlfn._xlws.FILTER(MAE_ASIGNATURA[NOM_ASIG],(MAE_ASIGNATURA[ID_NIVEL]=ASIGNACION!$D528)*(MAE_ASIGNATURA[ID_CARRERA]=ASIGNACION!$C528),"No existe información")))</f>
        <v>No existe información</v>
      </c>
      <c r="BD528" s="4" t="str" cm="1">
        <f t="array" ref="BD528">TRANSPOSE(_xlfn.UNIQUE(_xlfn._xlws.FILTER(DET_ASIG[DETALLADO],(DET_ASIG[ID_CARRERA]=ASIGNACION!$C528)*(DET_ASIG[NIVEL]=ASIGNACION!$D528)*(DET_ASIG[ID_ASIG]=ASIGNACION!$G528),"No existe información")))</f>
        <v>No existe información</v>
      </c>
      <c r="BQ528" s="5" t="str" cm="1">
        <f t="array" ref="BQ528">IFERROR(
    TRANSPOSE(
        _xlfn.UNIQUE(
            _xlfn._xlws.FILTER(MAESTRIA_DETALLADO[MAESTRIA],
                ISNUMBER(MATCH(MAESTRIA_DETALLADO[CAMPO_DETALLADO],
                BD528:BP528,0))
            )
        )
    ),IF(BD528="ACTIVIDAD","DOCENCIA",""))</f>
        <v/>
      </c>
      <c r="EA528" s="5" t="str" cm="1">
        <f t="array" ref="EA528:FN528">IF(
    ASIGNACION!I528="SI",
    IFERROR(
        TRANSPOSE(
            _xlfn.UNIQUE(
                _xlfn._xlws.FILTER(EDU_DOCENTE[NOMBRE_DOCENTE],
                    ISNUMBER(MATCH(EDU_DOCENTE[MAESTRIA],
                    BQ528:DY528,0))
                )
            )
        ),
        ""
    ),
    TRANSPOSE(
        _xlfn.UNIQUE(EDU_DOCENTE[NOMBRE_DOCENTE]
        )
    )
)</f>
        <v>ALCIVAR CEDEÑO BEATRIZ ISABEL</v>
      </c>
      <c r="EB528" t="str">
        <v>ALCIVAR VERA GEMA MICHELLE</v>
      </c>
      <c r="EC528" t="str">
        <v>ARAUZ CHAVEZ MARIO ROBERTO</v>
      </c>
      <c r="ED528" t="str">
        <v>BAILON LOURIDO WALTER ALBERTO</v>
      </c>
      <c r="EE528" t="str">
        <v>CALDERERO VILLAGOMEZ ERICK ANTONIO</v>
      </c>
      <c r="EF528" t="str">
        <v>CASTILLO GARCIA PAOLA GERMANIA</v>
      </c>
      <c r="EG528" t="str">
        <v>CEDEÑO CHOEZ PEDRO JAVIER</v>
      </c>
      <c r="EH528" t="str">
        <v>CEVALLOS HOPPE JUAN CARLOS</v>
      </c>
      <c r="EI528" t="str">
        <v>DELGADO CHAVEZ MARIA IRASEMA</v>
      </c>
      <c r="EJ528" t="str">
        <v>DUARTE VALENCIA CRISTHIAN DARIO</v>
      </c>
      <c r="EK528" t="str">
        <v>FORTTY BARBERAN DENNY ALEXANDER</v>
      </c>
      <c r="EL528" t="str">
        <v>GUTIERREZ ZAMBRANO CARMEN EBELINA</v>
      </c>
      <c r="EM528" t="str">
        <v>INTRIAGO MOLINA GEMA VALERIA</v>
      </c>
      <c r="EN528" t="str">
        <v>LINO VELEZ LEONEL LIVINGTON</v>
      </c>
      <c r="EO528" t="str">
        <v>LOOR ALCIVAR MARIA ILIANA</v>
      </c>
      <c r="EP528" t="str">
        <v>LOOR MIELES TANIA JACQUELINE</v>
      </c>
      <c r="EQ528" t="str">
        <v>LOOR SOLORZANO ROSA MARIA</v>
      </c>
      <c r="ER528" t="str">
        <v>LOPEZ DELGADO RONALD MAURICIO</v>
      </c>
      <c r="ES528" t="str">
        <v>MACIAS VALENCIA DAVID GABRIEL</v>
      </c>
      <c r="ET528" t="str">
        <v>MENDOZA ZAMORA WALTER MANUEL</v>
      </c>
      <c r="EU528" t="str">
        <v>MOLINA CEVALLOS MARIA LORENA</v>
      </c>
      <c r="EV528" t="str">
        <v>MURILLO DELGADO ISAAC GABRIEL</v>
      </c>
      <c r="EW528" t="str">
        <v>ANGULO MURILLO NAVIRA GISSELA</v>
      </c>
      <c r="EX528" t="str">
        <v>OCHOA SOLEDISPA NESTOR IVAN</v>
      </c>
      <c r="EY528" t="str">
        <v>PARRAGA FRANCO SILVANA MARIELA</v>
      </c>
      <c r="EZ528" t="str">
        <v>PINARGOTE VASQUEZ NANCY FABIOLA</v>
      </c>
      <c r="FA528" t="str">
        <v>REYES VELEZ PEDRO ENRIQUE</v>
      </c>
      <c r="FB528" t="str">
        <v>SAN ANDRES HORMAZA DALLAS CECILIA</v>
      </c>
      <c r="FC528" t="str">
        <v>SORNOZA ZAMORA JUAN CARLOS</v>
      </c>
      <c r="FD528" t="str">
        <v>TOMALA PINTO JESUS JACINTO</v>
      </c>
      <c r="FE528" t="str">
        <v>VALLE JARAMILLO SILVIA ARACELY</v>
      </c>
      <c r="FF528" t="str">
        <v>VELÁSQUEZ BRAVO IRMA KATHERINE</v>
      </c>
      <c r="FG528" t="str">
        <v>VELEZ MENDOZA LAYSY VALERIA</v>
      </c>
      <c r="FH528" t="str">
        <v>VINUEZA TELLO SHIRLEY ELIZABETH</v>
      </c>
      <c r="FI528" t="str">
        <v>ZAMBRANO ALCIVAR NILDA ISABEL</v>
      </c>
      <c r="FJ528" t="str">
        <v>ZAMBRANO LOOR RITA MAYDA</v>
      </c>
      <c r="FK528" t="str">
        <v>ZAMBRANO VERA MONICA JANETH</v>
      </c>
      <c r="FL528" t="str">
        <v>VERA DELGADO BRYAN ADRIÁN</v>
      </c>
      <c r="FM528" t="str">
        <v>MORAN GONZALES DAVID RENATO</v>
      </c>
      <c r="FN528">
        <v>0</v>
      </c>
    </row>
    <row r="529" spans="1:170" ht="20.25" customHeight="1">
      <c r="A529" s="4" t="str" cm="1">
        <f t="array" ref="A529">TRANSPOSE(_xlfn.UNIQUE(_xlfn._xlws.FILTER(MAE_ASIGNATURA[ID_NIVEL],MAE_ASIGNATURA[ID_CARRERA]=ASIGNACION!$C529,"No existe información")))</f>
        <v>No existe información</v>
      </c>
      <c r="S529" s="4" t="str" cm="1">
        <f t="array" ref="S529">TRANSPOSE(_xlfn.UNIQUE(_xlfn._xlws.FILTER(MAE_ASIGNATURA[NOM_ASIG],(MAE_ASIGNATURA[ID_NIVEL]=ASIGNACION!$D529)*(MAE_ASIGNATURA[ID_CARRERA]=ASIGNACION!$C529),"No existe información")))</f>
        <v>No existe información</v>
      </c>
      <c r="BD529" s="4" t="str" cm="1">
        <f t="array" ref="BD529">TRANSPOSE(_xlfn.UNIQUE(_xlfn._xlws.FILTER(DET_ASIG[DETALLADO],(DET_ASIG[ID_CARRERA]=ASIGNACION!$C529)*(DET_ASIG[NIVEL]=ASIGNACION!$D529)*(DET_ASIG[ID_ASIG]=ASIGNACION!$G529),"No existe información")))</f>
        <v>No existe información</v>
      </c>
      <c r="BQ529" s="5" t="str" cm="1">
        <f t="array" ref="BQ529">IFERROR(
    TRANSPOSE(
        _xlfn.UNIQUE(
            _xlfn._xlws.FILTER(MAESTRIA_DETALLADO[MAESTRIA],
                ISNUMBER(MATCH(MAESTRIA_DETALLADO[CAMPO_DETALLADO],
                BD529:BP529,0))
            )
        )
    ),IF(BD529="ACTIVIDAD","DOCENCIA",""))</f>
        <v/>
      </c>
      <c r="EA529" s="5" t="str" cm="1">
        <f t="array" ref="EA529:FN529">IF(
    ASIGNACION!I529="SI",
    IFERROR(
        TRANSPOSE(
            _xlfn.UNIQUE(
                _xlfn._xlws.FILTER(EDU_DOCENTE[NOMBRE_DOCENTE],
                    ISNUMBER(MATCH(EDU_DOCENTE[MAESTRIA],
                    BQ529:DY529,0))
                )
            )
        ),
        ""
    ),
    TRANSPOSE(
        _xlfn.UNIQUE(EDU_DOCENTE[NOMBRE_DOCENTE]
        )
    )
)</f>
        <v>ALCIVAR CEDEÑO BEATRIZ ISABEL</v>
      </c>
      <c r="EB529" t="str">
        <v>ALCIVAR VERA GEMA MICHELLE</v>
      </c>
      <c r="EC529" t="str">
        <v>ARAUZ CHAVEZ MARIO ROBERTO</v>
      </c>
      <c r="ED529" t="str">
        <v>BAILON LOURIDO WALTER ALBERTO</v>
      </c>
      <c r="EE529" t="str">
        <v>CALDERERO VILLAGOMEZ ERICK ANTONIO</v>
      </c>
      <c r="EF529" t="str">
        <v>CASTILLO GARCIA PAOLA GERMANIA</v>
      </c>
      <c r="EG529" t="str">
        <v>CEDEÑO CHOEZ PEDRO JAVIER</v>
      </c>
      <c r="EH529" t="str">
        <v>CEVALLOS HOPPE JUAN CARLOS</v>
      </c>
      <c r="EI529" t="str">
        <v>DELGADO CHAVEZ MARIA IRASEMA</v>
      </c>
      <c r="EJ529" t="str">
        <v>DUARTE VALENCIA CRISTHIAN DARIO</v>
      </c>
      <c r="EK529" t="str">
        <v>FORTTY BARBERAN DENNY ALEXANDER</v>
      </c>
      <c r="EL529" t="str">
        <v>GUTIERREZ ZAMBRANO CARMEN EBELINA</v>
      </c>
      <c r="EM529" t="str">
        <v>INTRIAGO MOLINA GEMA VALERIA</v>
      </c>
      <c r="EN529" t="str">
        <v>LINO VELEZ LEONEL LIVINGTON</v>
      </c>
      <c r="EO529" t="str">
        <v>LOOR ALCIVAR MARIA ILIANA</v>
      </c>
      <c r="EP529" t="str">
        <v>LOOR MIELES TANIA JACQUELINE</v>
      </c>
      <c r="EQ529" t="str">
        <v>LOOR SOLORZANO ROSA MARIA</v>
      </c>
      <c r="ER529" t="str">
        <v>LOPEZ DELGADO RONALD MAURICIO</v>
      </c>
      <c r="ES529" t="str">
        <v>MACIAS VALENCIA DAVID GABRIEL</v>
      </c>
      <c r="ET529" t="str">
        <v>MENDOZA ZAMORA WALTER MANUEL</v>
      </c>
      <c r="EU529" t="str">
        <v>MOLINA CEVALLOS MARIA LORENA</v>
      </c>
      <c r="EV529" t="str">
        <v>MURILLO DELGADO ISAAC GABRIEL</v>
      </c>
      <c r="EW529" t="str">
        <v>ANGULO MURILLO NAVIRA GISSELA</v>
      </c>
      <c r="EX529" t="str">
        <v>OCHOA SOLEDISPA NESTOR IVAN</v>
      </c>
      <c r="EY529" t="str">
        <v>PARRAGA FRANCO SILVANA MARIELA</v>
      </c>
      <c r="EZ529" t="str">
        <v>PINARGOTE VASQUEZ NANCY FABIOLA</v>
      </c>
      <c r="FA529" t="str">
        <v>REYES VELEZ PEDRO ENRIQUE</v>
      </c>
      <c r="FB529" t="str">
        <v>SAN ANDRES HORMAZA DALLAS CECILIA</v>
      </c>
      <c r="FC529" t="str">
        <v>SORNOZA ZAMORA JUAN CARLOS</v>
      </c>
      <c r="FD529" t="str">
        <v>TOMALA PINTO JESUS JACINTO</v>
      </c>
      <c r="FE529" t="str">
        <v>VALLE JARAMILLO SILVIA ARACELY</v>
      </c>
      <c r="FF529" t="str">
        <v>VELÁSQUEZ BRAVO IRMA KATHERINE</v>
      </c>
      <c r="FG529" t="str">
        <v>VELEZ MENDOZA LAYSY VALERIA</v>
      </c>
      <c r="FH529" t="str">
        <v>VINUEZA TELLO SHIRLEY ELIZABETH</v>
      </c>
      <c r="FI529" t="str">
        <v>ZAMBRANO ALCIVAR NILDA ISABEL</v>
      </c>
      <c r="FJ529" t="str">
        <v>ZAMBRANO LOOR RITA MAYDA</v>
      </c>
      <c r="FK529" t="str">
        <v>ZAMBRANO VERA MONICA JANETH</v>
      </c>
      <c r="FL529" t="str">
        <v>VERA DELGADO BRYAN ADRIÁN</v>
      </c>
      <c r="FM529" t="str">
        <v>MORAN GONZALES DAVID RENATO</v>
      </c>
      <c r="FN529">
        <v>0</v>
      </c>
    </row>
    <row r="530" spans="1:170" ht="20.25" customHeight="1">
      <c r="A530" s="4" t="str" cm="1">
        <f t="array" ref="A530">TRANSPOSE(_xlfn.UNIQUE(_xlfn._xlws.FILTER(MAE_ASIGNATURA[ID_NIVEL],MAE_ASIGNATURA[ID_CARRERA]=ASIGNACION!$C530,"No existe información")))</f>
        <v>No existe información</v>
      </c>
      <c r="S530" s="4" t="str" cm="1">
        <f t="array" ref="S530">TRANSPOSE(_xlfn.UNIQUE(_xlfn._xlws.FILTER(MAE_ASIGNATURA[NOM_ASIG],(MAE_ASIGNATURA[ID_NIVEL]=ASIGNACION!$D530)*(MAE_ASIGNATURA[ID_CARRERA]=ASIGNACION!$C530),"No existe información")))</f>
        <v>No existe información</v>
      </c>
      <c r="BD530" s="4" t="str" cm="1">
        <f t="array" ref="BD530">TRANSPOSE(_xlfn.UNIQUE(_xlfn._xlws.FILTER(DET_ASIG[DETALLADO],(DET_ASIG[ID_CARRERA]=ASIGNACION!$C530)*(DET_ASIG[NIVEL]=ASIGNACION!$D530)*(DET_ASIG[ID_ASIG]=ASIGNACION!$G530),"No existe información")))</f>
        <v>No existe información</v>
      </c>
      <c r="BQ530" s="5" t="str" cm="1">
        <f t="array" ref="BQ530">IFERROR(
    TRANSPOSE(
        _xlfn.UNIQUE(
            _xlfn._xlws.FILTER(MAESTRIA_DETALLADO[MAESTRIA],
                ISNUMBER(MATCH(MAESTRIA_DETALLADO[CAMPO_DETALLADO],
                BD530:BP530,0))
            )
        )
    ),IF(BD530="ACTIVIDAD","DOCENCIA",""))</f>
        <v/>
      </c>
      <c r="EA530" s="5" t="str" cm="1">
        <f t="array" ref="EA530:FN530">IF(
    ASIGNACION!I530="SI",
    IFERROR(
        TRANSPOSE(
            _xlfn.UNIQUE(
                _xlfn._xlws.FILTER(EDU_DOCENTE[NOMBRE_DOCENTE],
                    ISNUMBER(MATCH(EDU_DOCENTE[MAESTRIA],
                    BQ530:DY530,0))
                )
            )
        ),
        ""
    ),
    TRANSPOSE(
        _xlfn.UNIQUE(EDU_DOCENTE[NOMBRE_DOCENTE]
        )
    )
)</f>
        <v>ALCIVAR CEDEÑO BEATRIZ ISABEL</v>
      </c>
      <c r="EB530" t="str">
        <v>ALCIVAR VERA GEMA MICHELLE</v>
      </c>
      <c r="EC530" t="str">
        <v>ARAUZ CHAVEZ MARIO ROBERTO</v>
      </c>
      <c r="ED530" t="str">
        <v>BAILON LOURIDO WALTER ALBERTO</v>
      </c>
      <c r="EE530" t="str">
        <v>CALDERERO VILLAGOMEZ ERICK ANTONIO</v>
      </c>
      <c r="EF530" t="str">
        <v>CASTILLO GARCIA PAOLA GERMANIA</v>
      </c>
      <c r="EG530" t="str">
        <v>CEDEÑO CHOEZ PEDRO JAVIER</v>
      </c>
      <c r="EH530" t="str">
        <v>CEVALLOS HOPPE JUAN CARLOS</v>
      </c>
      <c r="EI530" t="str">
        <v>DELGADO CHAVEZ MARIA IRASEMA</v>
      </c>
      <c r="EJ530" t="str">
        <v>DUARTE VALENCIA CRISTHIAN DARIO</v>
      </c>
      <c r="EK530" t="str">
        <v>FORTTY BARBERAN DENNY ALEXANDER</v>
      </c>
      <c r="EL530" t="str">
        <v>GUTIERREZ ZAMBRANO CARMEN EBELINA</v>
      </c>
      <c r="EM530" t="str">
        <v>INTRIAGO MOLINA GEMA VALERIA</v>
      </c>
      <c r="EN530" t="str">
        <v>LINO VELEZ LEONEL LIVINGTON</v>
      </c>
      <c r="EO530" t="str">
        <v>LOOR ALCIVAR MARIA ILIANA</v>
      </c>
      <c r="EP530" t="str">
        <v>LOOR MIELES TANIA JACQUELINE</v>
      </c>
      <c r="EQ530" t="str">
        <v>LOOR SOLORZANO ROSA MARIA</v>
      </c>
      <c r="ER530" t="str">
        <v>LOPEZ DELGADO RONALD MAURICIO</v>
      </c>
      <c r="ES530" t="str">
        <v>MACIAS VALENCIA DAVID GABRIEL</v>
      </c>
      <c r="ET530" t="str">
        <v>MENDOZA ZAMORA WALTER MANUEL</v>
      </c>
      <c r="EU530" t="str">
        <v>MOLINA CEVALLOS MARIA LORENA</v>
      </c>
      <c r="EV530" t="str">
        <v>MURILLO DELGADO ISAAC GABRIEL</v>
      </c>
      <c r="EW530" t="str">
        <v>ANGULO MURILLO NAVIRA GISSELA</v>
      </c>
      <c r="EX530" t="str">
        <v>OCHOA SOLEDISPA NESTOR IVAN</v>
      </c>
      <c r="EY530" t="str">
        <v>PARRAGA FRANCO SILVANA MARIELA</v>
      </c>
      <c r="EZ530" t="str">
        <v>PINARGOTE VASQUEZ NANCY FABIOLA</v>
      </c>
      <c r="FA530" t="str">
        <v>REYES VELEZ PEDRO ENRIQUE</v>
      </c>
      <c r="FB530" t="str">
        <v>SAN ANDRES HORMAZA DALLAS CECILIA</v>
      </c>
      <c r="FC530" t="str">
        <v>SORNOZA ZAMORA JUAN CARLOS</v>
      </c>
      <c r="FD530" t="str">
        <v>TOMALA PINTO JESUS JACINTO</v>
      </c>
      <c r="FE530" t="str">
        <v>VALLE JARAMILLO SILVIA ARACELY</v>
      </c>
      <c r="FF530" t="str">
        <v>VELÁSQUEZ BRAVO IRMA KATHERINE</v>
      </c>
      <c r="FG530" t="str">
        <v>VELEZ MENDOZA LAYSY VALERIA</v>
      </c>
      <c r="FH530" t="str">
        <v>VINUEZA TELLO SHIRLEY ELIZABETH</v>
      </c>
      <c r="FI530" t="str">
        <v>ZAMBRANO ALCIVAR NILDA ISABEL</v>
      </c>
      <c r="FJ530" t="str">
        <v>ZAMBRANO LOOR RITA MAYDA</v>
      </c>
      <c r="FK530" t="str">
        <v>ZAMBRANO VERA MONICA JANETH</v>
      </c>
      <c r="FL530" t="str">
        <v>VERA DELGADO BRYAN ADRIÁN</v>
      </c>
      <c r="FM530" t="str">
        <v>MORAN GONZALES DAVID RENATO</v>
      </c>
      <c r="FN530">
        <v>0</v>
      </c>
    </row>
    <row r="531" spans="1:170" ht="20.25" customHeight="1">
      <c r="A531" s="4" t="str" cm="1">
        <f t="array" ref="A531">TRANSPOSE(_xlfn.UNIQUE(_xlfn._xlws.FILTER(MAE_ASIGNATURA[ID_NIVEL],MAE_ASIGNATURA[ID_CARRERA]=ASIGNACION!$C531,"No existe información")))</f>
        <v>No existe información</v>
      </c>
      <c r="S531" s="4" t="str" cm="1">
        <f t="array" ref="S531">TRANSPOSE(_xlfn.UNIQUE(_xlfn._xlws.FILTER(MAE_ASIGNATURA[NOM_ASIG],(MAE_ASIGNATURA[ID_NIVEL]=ASIGNACION!$D531)*(MAE_ASIGNATURA[ID_CARRERA]=ASIGNACION!$C531),"No existe información")))</f>
        <v>No existe información</v>
      </c>
      <c r="BD531" s="4" t="str" cm="1">
        <f t="array" ref="BD531">TRANSPOSE(_xlfn.UNIQUE(_xlfn._xlws.FILTER(DET_ASIG[DETALLADO],(DET_ASIG[ID_CARRERA]=ASIGNACION!$C531)*(DET_ASIG[NIVEL]=ASIGNACION!$D531)*(DET_ASIG[ID_ASIG]=ASIGNACION!$G531),"No existe información")))</f>
        <v>No existe información</v>
      </c>
      <c r="BQ531" s="5" t="str" cm="1">
        <f t="array" ref="BQ531">IFERROR(
    TRANSPOSE(
        _xlfn.UNIQUE(
            _xlfn._xlws.FILTER(MAESTRIA_DETALLADO[MAESTRIA],
                ISNUMBER(MATCH(MAESTRIA_DETALLADO[CAMPO_DETALLADO],
                BD531:BP531,0))
            )
        )
    ),IF(BD531="ACTIVIDAD","DOCENCIA",""))</f>
        <v/>
      </c>
      <c r="EA531" s="5" t="str" cm="1">
        <f t="array" ref="EA531:FN531">IF(
    ASIGNACION!I531="SI",
    IFERROR(
        TRANSPOSE(
            _xlfn.UNIQUE(
                _xlfn._xlws.FILTER(EDU_DOCENTE[NOMBRE_DOCENTE],
                    ISNUMBER(MATCH(EDU_DOCENTE[MAESTRIA],
                    BQ531:DY531,0))
                )
            )
        ),
        ""
    ),
    TRANSPOSE(
        _xlfn.UNIQUE(EDU_DOCENTE[NOMBRE_DOCENTE]
        )
    )
)</f>
        <v>ALCIVAR CEDEÑO BEATRIZ ISABEL</v>
      </c>
      <c r="EB531" t="str">
        <v>ALCIVAR VERA GEMA MICHELLE</v>
      </c>
      <c r="EC531" t="str">
        <v>ARAUZ CHAVEZ MARIO ROBERTO</v>
      </c>
      <c r="ED531" t="str">
        <v>BAILON LOURIDO WALTER ALBERTO</v>
      </c>
      <c r="EE531" t="str">
        <v>CALDERERO VILLAGOMEZ ERICK ANTONIO</v>
      </c>
      <c r="EF531" t="str">
        <v>CASTILLO GARCIA PAOLA GERMANIA</v>
      </c>
      <c r="EG531" t="str">
        <v>CEDEÑO CHOEZ PEDRO JAVIER</v>
      </c>
      <c r="EH531" t="str">
        <v>CEVALLOS HOPPE JUAN CARLOS</v>
      </c>
      <c r="EI531" t="str">
        <v>DELGADO CHAVEZ MARIA IRASEMA</v>
      </c>
      <c r="EJ531" t="str">
        <v>DUARTE VALENCIA CRISTHIAN DARIO</v>
      </c>
      <c r="EK531" t="str">
        <v>FORTTY BARBERAN DENNY ALEXANDER</v>
      </c>
      <c r="EL531" t="str">
        <v>GUTIERREZ ZAMBRANO CARMEN EBELINA</v>
      </c>
      <c r="EM531" t="str">
        <v>INTRIAGO MOLINA GEMA VALERIA</v>
      </c>
      <c r="EN531" t="str">
        <v>LINO VELEZ LEONEL LIVINGTON</v>
      </c>
      <c r="EO531" t="str">
        <v>LOOR ALCIVAR MARIA ILIANA</v>
      </c>
      <c r="EP531" t="str">
        <v>LOOR MIELES TANIA JACQUELINE</v>
      </c>
      <c r="EQ531" t="str">
        <v>LOOR SOLORZANO ROSA MARIA</v>
      </c>
      <c r="ER531" t="str">
        <v>LOPEZ DELGADO RONALD MAURICIO</v>
      </c>
      <c r="ES531" t="str">
        <v>MACIAS VALENCIA DAVID GABRIEL</v>
      </c>
      <c r="ET531" t="str">
        <v>MENDOZA ZAMORA WALTER MANUEL</v>
      </c>
      <c r="EU531" t="str">
        <v>MOLINA CEVALLOS MARIA LORENA</v>
      </c>
      <c r="EV531" t="str">
        <v>MURILLO DELGADO ISAAC GABRIEL</v>
      </c>
      <c r="EW531" t="str">
        <v>ANGULO MURILLO NAVIRA GISSELA</v>
      </c>
      <c r="EX531" t="str">
        <v>OCHOA SOLEDISPA NESTOR IVAN</v>
      </c>
      <c r="EY531" t="str">
        <v>PARRAGA FRANCO SILVANA MARIELA</v>
      </c>
      <c r="EZ531" t="str">
        <v>PINARGOTE VASQUEZ NANCY FABIOLA</v>
      </c>
      <c r="FA531" t="str">
        <v>REYES VELEZ PEDRO ENRIQUE</v>
      </c>
      <c r="FB531" t="str">
        <v>SAN ANDRES HORMAZA DALLAS CECILIA</v>
      </c>
      <c r="FC531" t="str">
        <v>SORNOZA ZAMORA JUAN CARLOS</v>
      </c>
      <c r="FD531" t="str">
        <v>TOMALA PINTO JESUS JACINTO</v>
      </c>
      <c r="FE531" t="str">
        <v>VALLE JARAMILLO SILVIA ARACELY</v>
      </c>
      <c r="FF531" t="str">
        <v>VELÁSQUEZ BRAVO IRMA KATHERINE</v>
      </c>
      <c r="FG531" t="str">
        <v>VELEZ MENDOZA LAYSY VALERIA</v>
      </c>
      <c r="FH531" t="str">
        <v>VINUEZA TELLO SHIRLEY ELIZABETH</v>
      </c>
      <c r="FI531" t="str">
        <v>ZAMBRANO ALCIVAR NILDA ISABEL</v>
      </c>
      <c r="FJ531" t="str">
        <v>ZAMBRANO LOOR RITA MAYDA</v>
      </c>
      <c r="FK531" t="str">
        <v>ZAMBRANO VERA MONICA JANETH</v>
      </c>
      <c r="FL531" t="str">
        <v>VERA DELGADO BRYAN ADRIÁN</v>
      </c>
      <c r="FM531" t="str">
        <v>MORAN GONZALES DAVID RENATO</v>
      </c>
      <c r="FN531">
        <v>0</v>
      </c>
    </row>
    <row r="532" spans="1:170" ht="20.25" customHeight="1">
      <c r="A532" s="4" t="str" cm="1">
        <f t="array" ref="A532">TRANSPOSE(_xlfn.UNIQUE(_xlfn._xlws.FILTER(MAE_ASIGNATURA[ID_NIVEL],MAE_ASIGNATURA[ID_CARRERA]=ASIGNACION!$C532,"No existe información")))</f>
        <v>No existe información</v>
      </c>
      <c r="S532" s="4" t="str" cm="1">
        <f t="array" ref="S532">TRANSPOSE(_xlfn.UNIQUE(_xlfn._xlws.FILTER(MAE_ASIGNATURA[NOM_ASIG],(MAE_ASIGNATURA[ID_NIVEL]=ASIGNACION!$D532)*(MAE_ASIGNATURA[ID_CARRERA]=ASIGNACION!$C532),"No existe información")))</f>
        <v>No existe información</v>
      </c>
      <c r="BD532" s="4" t="str" cm="1">
        <f t="array" ref="BD532">TRANSPOSE(_xlfn.UNIQUE(_xlfn._xlws.FILTER(DET_ASIG[DETALLADO],(DET_ASIG[ID_CARRERA]=ASIGNACION!$C532)*(DET_ASIG[NIVEL]=ASIGNACION!$D532)*(DET_ASIG[ID_ASIG]=ASIGNACION!$G532),"No existe información")))</f>
        <v>No existe información</v>
      </c>
      <c r="BQ532" s="5" t="str" cm="1">
        <f t="array" ref="BQ532">IFERROR(
    TRANSPOSE(
        _xlfn.UNIQUE(
            _xlfn._xlws.FILTER(MAESTRIA_DETALLADO[MAESTRIA],
                ISNUMBER(MATCH(MAESTRIA_DETALLADO[CAMPO_DETALLADO],
                BD532:BP532,0))
            )
        )
    ),IF(BD532="ACTIVIDAD","DOCENCIA",""))</f>
        <v/>
      </c>
      <c r="EA532" s="5" t="str" cm="1">
        <f t="array" ref="EA532:FN532">IF(
    ASIGNACION!I532="SI",
    IFERROR(
        TRANSPOSE(
            _xlfn.UNIQUE(
                _xlfn._xlws.FILTER(EDU_DOCENTE[NOMBRE_DOCENTE],
                    ISNUMBER(MATCH(EDU_DOCENTE[MAESTRIA],
                    BQ532:DY532,0))
                )
            )
        ),
        ""
    ),
    TRANSPOSE(
        _xlfn.UNIQUE(EDU_DOCENTE[NOMBRE_DOCENTE]
        )
    )
)</f>
        <v>ALCIVAR CEDEÑO BEATRIZ ISABEL</v>
      </c>
      <c r="EB532" t="str">
        <v>ALCIVAR VERA GEMA MICHELLE</v>
      </c>
      <c r="EC532" t="str">
        <v>ARAUZ CHAVEZ MARIO ROBERTO</v>
      </c>
      <c r="ED532" t="str">
        <v>BAILON LOURIDO WALTER ALBERTO</v>
      </c>
      <c r="EE532" t="str">
        <v>CALDERERO VILLAGOMEZ ERICK ANTONIO</v>
      </c>
      <c r="EF532" t="str">
        <v>CASTILLO GARCIA PAOLA GERMANIA</v>
      </c>
      <c r="EG532" t="str">
        <v>CEDEÑO CHOEZ PEDRO JAVIER</v>
      </c>
      <c r="EH532" t="str">
        <v>CEVALLOS HOPPE JUAN CARLOS</v>
      </c>
      <c r="EI532" t="str">
        <v>DELGADO CHAVEZ MARIA IRASEMA</v>
      </c>
      <c r="EJ532" t="str">
        <v>DUARTE VALENCIA CRISTHIAN DARIO</v>
      </c>
      <c r="EK532" t="str">
        <v>FORTTY BARBERAN DENNY ALEXANDER</v>
      </c>
      <c r="EL532" t="str">
        <v>GUTIERREZ ZAMBRANO CARMEN EBELINA</v>
      </c>
      <c r="EM532" t="str">
        <v>INTRIAGO MOLINA GEMA VALERIA</v>
      </c>
      <c r="EN532" t="str">
        <v>LINO VELEZ LEONEL LIVINGTON</v>
      </c>
      <c r="EO532" t="str">
        <v>LOOR ALCIVAR MARIA ILIANA</v>
      </c>
      <c r="EP532" t="str">
        <v>LOOR MIELES TANIA JACQUELINE</v>
      </c>
      <c r="EQ532" t="str">
        <v>LOOR SOLORZANO ROSA MARIA</v>
      </c>
      <c r="ER532" t="str">
        <v>LOPEZ DELGADO RONALD MAURICIO</v>
      </c>
      <c r="ES532" t="str">
        <v>MACIAS VALENCIA DAVID GABRIEL</v>
      </c>
      <c r="ET532" t="str">
        <v>MENDOZA ZAMORA WALTER MANUEL</v>
      </c>
      <c r="EU532" t="str">
        <v>MOLINA CEVALLOS MARIA LORENA</v>
      </c>
      <c r="EV532" t="str">
        <v>MURILLO DELGADO ISAAC GABRIEL</v>
      </c>
      <c r="EW532" t="str">
        <v>ANGULO MURILLO NAVIRA GISSELA</v>
      </c>
      <c r="EX532" t="str">
        <v>OCHOA SOLEDISPA NESTOR IVAN</v>
      </c>
      <c r="EY532" t="str">
        <v>PARRAGA FRANCO SILVANA MARIELA</v>
      </c>
      <c r="EZ532" t="str">
        <v>PINARGOTE VASQUEZ NANCY FABIOLA</v>
      </c>
      <c r="FA532" t="str">
        <v>REYES VELEZ PEDRO ENRIQUE</v>
      </c>
      <c r="FB532" t="str">
        <v>SAN ANDRES HORMAZA DALLAS CECILIA</v>
      </c>
      <c r="FC532" t="str">
        <v>SORNOZA ZAMORA JUAN CARLOS</v>
      </c>
      <c r="FD532" t="str">
        <v>TOMALA PINTO JESUS JACINTO</v>
      </c>
      <c r="FE532" t="str">
        <v>VALLE JARAMILLO SILVIA ARACELY</v>
      </c>
      <c r="FF532" t="str">
        <v>VELÁSQUEZ BRAVO IRMA KATHERINE</v>
      </c>
      <c r="FG532" t="str">
        <v>VELEZ MENDOZA LAYSY VALERIA</v>
      </c>
      <c r="FH532" t="str">
        <v>VINUEZA TELLO SHIRLEY ELIZABETH</v>
      </c>
      <c r="FI532" t="str">
        <v>ZAMBRANO ALCIVAR NILDA ISABEL</v>
      </c>
      <c r="FJ532" t="str">
        <v>ZAMBRANO LOOR RITA MAYDA</v>
      </c>
      <c r="FK532" t="str">
        <v>ZAMBRANO VERA MONICA JANETH</v>
      </c>
      <c r="FL532" t="str">
        <v>VERA DELGADO BRYAN ADRIÁN</v>
      </c>
      <c r="FM532" t="str">
        <v>MORAN GONZALES DAVID RENATO</v>
      </c>
      <c r="FN532">
        <v>0</v>
      </c>
    </row>
    <row r="533" spans="1:170" ht="20.25" customHeight="1">
      <c r="A533" s="4" t="str" cm="1">
        <f t="array" ref="A533">TRANSPOSE(_xlfn.UNIQUE(_xlfn._xlws.FILTER(MAE_ASIGNATURA[ID_NIVEL],MAE_ASIGNATURA[ID_CARRERA]=ASIGNACION!$C533,"No existe información")))</f>
        <v>No existe información</v>
      </c>
      <c r="S533" s="4" t="str" cm="1">
        <f t="array" ref="S533">TRANSPOSE(_xlfn.UNIQUE(_xlfn._xlws.FILTER(MAE_ASIGNATURA[NOM_ASIG],(MAE_ASIGNATURA[ID_NIVEL]=ASIGNACION!$D533)*(MAE_ASIGNATURA[ID_CARRERA]=ASIGNACION!$C533),"No existe información")))</f>
        <v>No existe información</v>
      </c>
      <c r="BD533" s="4" t="str" cm="1">
        <f t="array" ref="BD533">TRANSPOSE(_xlfn.UNIQUE(_xlfn._xlws.FILTER(DET_ASIG[DETALLADO],(DET_ASIG[ID_CARRERA]=ASIGNACION!$C533)*(DET_ASIG[NIVEL]=ASIGNACION!$D533)*(DET_ASIG[ID_ASIG]=ASIGNACION!$G533),"No existe información")))</f>
        <v>No existe información</v>
      </c>
      <c r="BQ533" s="5" t="str" cm="1">
        <f t="array" ref="BQ533">IFERROR(
    TRANSPOSE(
        _xlfn.UNIQUE(
            _xlfn._xlws.FILTER(MAESTRIA_DETALLADO[MAESTRIA],
                ISNUMBER(MATCH(MAESTRIA_DETALLADO[CAMPO_DETALLADO],
                BD533:BP533,0))
            )
        )
    ),IF(BD533="ACTIVIDAD","DOCENCIA",""))</f>
        <v/>
      </c>
      <c r="EA533" s="5" t="str" cm="1">
        <f t="array" ref="EA533:FN533">IF(
    ASIGNACION!I533="SI",
    IFERROR(
        TRANSPOSE(
            _xlfn.UNIQUE(
                _xlfn._xlws.FILTER(EDU_DOCENTE[NOMBRE_DOCENTE],
                    ISNUMBER(MATCH(EDU_DOCENTE[MAESTRIA],
                    BQ533:DY533,0))
                )
            )
        ),
        ""
    ),
    TRANSPOSE(
        _xlfn.UNIQUE(EDU_DOCENTE[NOMBRE_DOCENTE]
        )
    )
)</f>
        <v>ALCIVAR CEDEÑO BEATRIZ ISABEL</v>
      </c>
      <c r="EB533" t="str">
        <v>ALCIVAR VERA GEMA MICHELLE</v>
      </c>
      <c r="EC533" t="str">
        <v>ARAUZ CHAVEZ MARIO ROBERTO</v>
      </c>
      <c r="ED533" t="str">
        <v>BAILON LOURIDO WALTER ALBERTO</v>
      </c>
      <c r="EE533" t="str">
        <v>CALDERERO VILLAGOMEZ ERICK ANTONIO</v>
      </c>
      <c r="EF533" t="str">
        <v>CASTILLO GARCIA PAOLA GERMANIA</v>
      </c>
      <c r="EG533" t="str">
        <v>CEDEÑO CHOEZ PEDRO JAVIER</v>
      </c>
      <c r="EH533" t="str">
        <v>CEVALLOS HOPPE JUAN CARLOS</v>
      </c>
      <c r="EI533" t="str">
        <v>DELGADO CHAVEZ MARIA IRASEMA</v>
      </c>
      <c r="EJ533" t="str">
        <v>DUARTE VALENCIA CRISTHIAN DARIO</v>
      </c>
      <c r="EK533" t="str">
        <v>FORTTY BARBERAN DENNY ALEXANDER</v>
      </c>
      <c r="EL533" t="str">
        <v>GUTIERREZ ZAMBRANO CARMEN EBELINA</v>
      </c>
      <c r="EM533" t="str">
        <v>INTRIAGO MOLINA GEMA VALERIA</v>
      </c>
      <c r="EN533" t="str">
        <v>LINO VELEZ LEONEL LIVINGTON</v>
      </c>
      <c r="EO533" t="str">
        <v>LOOR ALCIVAR MARIA ILIANA</v>
      </c>
      <c r="EP533" t="str">
        <v>LOOR MIELES TANIA JACQUELINE</v>
      </c>
      <c r="EQ533" t="str">
        <v>LOOR SOLORZANO ROSA MARIA</v>
      </c>
      <c r="ER533" t="str">
        <v>LOPEZ DELGADO RONALD MAURICIO</v>
      </c>
      <c r="ES533" t="str">
        <v>MACIAS VALENCIA DAVID GABRIEL</v>
      </c>
      <c r="ET533" t="str">
        <v>MENDOZA ZAMORA WALTER MANUEL</v>
      </c>
      <c r="EU533" t="str">
        <v>MOLINA CEVALLOS MARIA LORENA</v>
      </c>
      <c r="EV533" t="str">
        <v>MURILLO DELGADO ISAAC GABRIEL</v>
      </c>
      <c r="EW533" t="str">
        <v>ANGULO MURILLO NAVIRA GISSELA</v>
      </c>
      <c r="EX533" t="str">
        <v>OCHOA SOLEDISPA NESTOR IVAN</v>
      </c>
      <c r="EY533" t="str">
        <v>PARRAGA FRANCO SILVANA MARIELA</v>
      </c>
      <c r="EZ533" t="str">
        <v>PINARGOTE VASQUEZ NANCY FABIOLA</v>
      </c>
      <c r="FA533" t="str">
        <v>REYES VELEZ PEDRO ENRIQUE</v>
      </c>
      <c r="FB533" t="str">
        <v>SAN ANDRES HORMAZA DALLAS CECILIA</v>
      </c>
      <c r="FC533" t="str">
        <v>SORNOZA ZAMORA JUAN CARLOS</v>
      </c>
      <c r="FD533" t="str">
        <v>TOMALA PINTO JESUS JACINTO</v>
      </c>
      <c r="FE533" t="str">
        <v>VALLE JARAMILLO SILVIA ARACELY</v>
      </c>
      <c r="FF533" t="str">
        <v>VELÁSQUEZ BRAVO IRMA KATHERINE</v>
      </c>
      <c r="FG533" t="str">
        <v>VELEZ MENDOZA LAYSY VALERIA</v>
      </c>
      <c r="FH533" t="str">
        <v>VINUEZA TELLO SHIRLEY ELIZABETH</v>
      </c>
      <c r="FI533" t="str">
        <v>ZAMBRANO ALCIVAR NILDA ISABEL</v>
      </c>
      <c r="FJ533" t="str">
        <v>ZAMBRANO LOOR RITA MAYDA</v>
      </c>
      <c r="FK533" t="str">
        <v>ZAMBRANO VERA MONICA JANETH</v>
      </c>
      <c r="FL533" t="str">
        <v>VERA DELGADO BRYAN ADRIÁN</v>
      </c>
      <c r="FM533" t="str">
        <v>MORAN GONZALES DAVID RENATO</v>
      </c>
      <c r="FN533">
        <v>0</v>
      </c>
    </row>
    <row r="534" spans="1:170" ht="20.25" customHeight="1">
      <c r="A534" s="4" t="str" cm="1">
        <f t="array" ref="A534">TRANSPOSE(_xlfn.UNIQUE(_xlfn._xlws.FILTER(MAE_ASIGNATURA[ID_NIVEL],MAE_ASIGNATURA[ID_CARRERA]=ASIGNACION!$C534,"No existe información")))</f>
        <v>No existe información</v>
      </c>
      <c r="S534" s="4" t="str" cm="1">
        <f t="array" ref="S534">TRANSPOSE(_xlfn.UNIQUE(_xlfn._xlws.FILTER(MAE_ASIGNATURA[NOM_ASIG],(MAE_ASIGNATURA[ID_NIVEL]=ASIGNACION!$D534)*(MAE_ASIGNATURA[ID_CARRERA]=ASIGNACION!$C534),"No existe información")))</f>
        <v>No existe información</v>
      </c>
      <c r="BD534" s="4" t="str" cm="1">
        <f t="array" ref="BD534">TRANSPOSE(_xlfn.UNIQUE(_xlfn._xlws.FILTER(DET_ASIG[DETALLADO],(DET_ASIG[ID_CARRERA]=ASIGNACION!$C534)*(DET_ASIG[NIVEL]=ASIGNACION!$D534)*(DET_ASIG[ID_ASIG]=ASIGNACION!$G534),"No existe información")))</f>
        <v>No existe información</v>
      </c>
      <c r="BQ534" s="5" t="str" cm="1">
        <f t="array" ref="BQ534">IFERROR(
    TRANSPOSE(
        _xlfn.UNIQUE(
            _xlfn._xlws.FILTER(MAESTRIA_DETALLADO[MAESTRIA],
                ISNUMBER(MATCH(MAESTRIA_DETALLADO[CAMPO_DETALLADO],
                BD534:BP534,0))
            )
        )
    ),IF(BD534="ACTIVIDAD","DOCENCIA",""))</f>
        <v/>
      </c>
      <c r="EA534" s="5" t="str" cm="1">
        <f t="array" ref="EA534:FN534">IF(
    ASIGNACION!I534="SI",
    IFERROR(
        TRANSPOSE(
            _xlfn.UNIQUE(
                _xlfn._xlws.FILTER(EDU_DOCENTE[NOMBRE_DOCENTE],
                    ISNUMBER(MATCH(EDU_DOCENTE[MAESTRIA],
                    BQ534:DY534,0))
                )
            )
        ),
        ""
    ),
    TRANSPOSE(
        _xlfn.UNIQUE(EDU_DOCENTE[NOMBRE_DOCENTE]
        )
    )
)</f>
        <v>ALCIVAR CEDEÑO BEATRIZ ISABEL</v>
      </c>
      <c r="EB534" t="str">
        <v>ALCIVAR VERA GEMA MICHELLE</v>
      </c>
      <c r="EC534" t="str">
        <v>ARAUZ CHAVEZ MARIO ROBERTO</v>
      </c>
      <c r="ED534" t="str">
        <v>BAILON LOURIDO WALTER ALBERTO</v>
      </c>
      <c r="EE534" t="str">
        <v>CALDERERO VILLAGOMEZ ERICK ANTONIO</v>
      </c>
      <c r="EF534" t="str">
        <v>CASTILLO GARCIA PAOLA GERMANIA</v>
      </c>
      <c r="EG534" t="str">
        <v>CEDEÑO CHOEZ PEDRO JAVIER</v>
      </c>
      <c r="EH534" t="str">
        <v>CEVALLOS HOPPE JUAN CARLOS</v>
      </c>
      <c r="EI534" t="str">
        <v>DELGADO CHAVEZ MARIA IRASEMA</v>
      </c>
      <c r="EJ534" t="str">
        <v>DUARTE VALENCIA CRISTHIAN DARIO</v>
      </c>
      <c r="EK534" t="str">
        <v>FORTTY BARBERAN DENNY ALEXANDER</v>
      </c>
      <c r="EL534" t="str">
        <v>GUTIERREZ ZAMBRANO CARMEN EBELINA</v>
      </c>
      <c r="EM534" t="str">
        <v>INTRIAGO MOLINA GEMA VALERIA</v>
      </c>
      <c r="EN534" t="str">
        <v>LINO VELEZ LEONEL LIVINGTON</v>
      </c>
      <c r="EO534" t="str">
        <v>LOOR ALCIVAR MARIA ILIANA</v>
      </c>
      <c r="EP534" t="str">
        <v>LOOR MIELES TANIA JACQUELINE</v>
      </c>
      <c r="EQ534" t="str">
        <v>LOOR SOLORZANO ROSA MARIA</v>
      </c>
      <c r="ER534" t="str">
        <v>LOPEZ DELGADO RONALD MAURICIO</v>
      </c>
      <c r="ES534" t="str">
        <v>MACIAS VALENCIA DAVID GABRIEL</v>
      </c>
      <c r="ET534" t="str">
        <v>MENDOZA ZAMORA WALTER MANUEL</v>
      </c>
      <c r="EU534" t="str">
        <v>MOLINA CEVALLOS MARIA LORENA</v>
      </c>
      <c r="EV534" t="str">
        <v>MURILLO DELGADO ISAAC GABRIEL</v>
      </c>
      <c r="EW534" t="str">
        <v>ANGULO MURILLO NAVIRA GISSELA</v>
      </c>
      <c r="EX534" t="str">
        <v>OCHOA SOLEDISPA NESTOR IVAN</v>
      </c>
      <c r="EY534" t="str">
        <v>PARRAGA FRANCO SILVANA MARIELA</v>
      </c>
      <c r="EZ534" t="str">
        <v>PINARGOTE VASQUEZ NANCY FABIOLA</v>
      </c>
      <c r="FA534" t="str">
        <v>REYES VELEZ PEDRO ENRIQUE</v>
      </c>
      <c r="FB534" t="str">
        <v>SAN ANDRES HORMAZA DALLAS CECILIA</v>
      </c>
      <c r="FC534" t="str">
        <v>SORNOZA ZAMORA JUAN CARLOS</v>
      </c>
      <c r="FD534" t="str">
        <v>TOMALA PINTO JESUS JACINTO</v>
      </c>
      <c r="FE534" t="str">
        <v>VALLE JARAMILLO SILVIA ARACELY</v>
      </c>
      <c r="FF534" t="str">
        <v>VELÁSQUEZ BRAVO IRMA KATHERINE</v>
      </c>
      <c r="FG534" t="str">
        <v>VELEZ MENDOZA LAYSY VALERIA</v>
      </c>
      <c r="FH534" t="str">
        <v>VINUEZA TELLO SHIRLEY ELIZABETH</v>
      </c>
      <c r="FI534" t="str">
        <v>ZAMBRANO ALCIVAR NILDA ISABEL</v>
      </c>
      <c r="FJ534" t="str">
        <v>ZAMBRANO LOOR RITA MAYDA</v>
      </c>
      <c r="FK534" t="str">
        <v>ZAMBRANO VERA MONICA JANETH</v>
      </c>
      <c r="FL534" t="str">
        <v>VERA DELGADO BRYAN ADRIÁN</v>
      </c>
      <c r="FM534" t="str">
        <v>MORAN GONZALES DAVID RENATO</v>
      </c>
      <c r="FN534">
        <v>0</v>
      </c>
    </row>
    <row r="535" spans="1:170" ht="20.25" customHeight="1">
      <c r="A535" s="4" t="str" cm="1">
        <f t="array" ref="A535">TRANSPOSE(_xlfn.UNIQUE(_xlfn._xlws.FILTER(MAE_ASIGNATURA[ID_NIVEL],MAE_ASIGNATURA[ID_CARRERA]=ASIGNACION!$C535,"No existe información")))</f>
        <v>No existe información</v>
      </c>
      <c r="S535" s="4" t="str" cm="1">
        <f t="array" ref="S535">TRANSPOSE(_xlfn.UNIQUE(_xlfn._xlws.FILTER(MAE_ASIGNATURA[NOM_ASIG],(MAE_ASIGNATURA[ID_NIVEL]=ASIGNACION!$D535)*(MAE_ASIGNATURA[ID_CARRERA]=ASIGNACION!$C535),"No existe información")))</f>
        <v>No existe información</v>
      </c>
      <c r="BD535" s="4" t="str" cm="1">
        <f t="array" ref="BD535">TRANSPOSE(_xlfn.UNIQUE(_xlfn._xlws.FILTER(DET_ASIG[DETALLADO],(DET_ASIG[ID_CARRERA]=ASIGNACION!$C535)*(DET_ASIG[NIVEL]=ASIGNACION!$D535)*(DET_ASIG[ID_ASIG]=ASIGNACION!$G535),"No existe información")))</f>
        <v>No existe información</v>
      </c>
      <c r="BQ535" s="5" t="str" cm="1">
        <f t="array" ref="BQ535">IFERROR(
    TRANSPOSE(
        _xlfn.UNIQUE(
            _xlfn._xlws.FILTER(MAESTRIA_DETALLADO[MAESTRIA],
                ISNUMBER(MATCH(MAESTRIA_DETALLADO[CAMPO_DETALLADO],
                BD535:BP535,0))
            )
        )
    ),IF(BD535="ACTIVIDAD","DOCENCIA",""))</f>
        <v/>
      </c>
      <c r="EA535" s="5" t="str" cm="1">
        <f t="array" ref="EA535:FN535">IF(
    ASIGNACION!I535="SI",
    IFERROR(
        TRANSPOSE(
            _xlfn.UNIQUE(
                _xlfn._xlws.FILTER(EDU_DOCENTE[NOMBRE_DOCENTE],
                    ISNUMBER(MATCH(EDU_DOCENTE[MAESTRIA],
                    BQ535:DY535,0))
                )
            )
        ),
        ""
    ),
    TRANSPOSE(
        _xlfn.UNIQUE(EDU_DOCENTE[NOMBRE_DOCENTE]
        )
    )
)</f>
        <v>ALCIVAR CEDEÑO BEATRIZ ISABEL</v>
      </c>
      <c r="EB535" t="str">
        <v>ALCIVAR VERA GEMA MICHELLE</v>
      </c>
      <c r="EC535" t="str">
        <v>ARAUZ CHAVEZ MARIO ROBERTO</v>
      </c>
      <c r="ED535" t="str">
        <v>BAILON LOURIDO WALTER ALBERTO</v>
      </c>
      <c r="EE535" t="str">
        <v>CALDERERO VILLAGOMEZ ERICK ANTONIO</v>
      </c>
      <c r="EF535" t="str">
        <v>CASTILLO GARCIA PAOLA GERMANIA</v>
      </c>
      <c r="EG535" t="str">
        <v>CEDEÑO CHOEZ PEDRO JAVIER</v>
      </c>
      <c r="EH535" t="str">
        <v>CEVALLOS HOPPE JUAN CARLOS</v>
      </c>
      <c r="EI535" t="str">
        <v>DELGADO CHAVEZ MARIA IRASEMA</v>
      </c>
      <c r="EJ535" t="str">
        <v>DUARTE VALENCIA CRISTHIAN DARIO</v>
      </c>
      <c r="EK535" t="str">
        <v>FORTTY BARBERAN DENNY ALEXANDER</v>
      </c>
      <c r="EL535" t="str">
        <v>GUTIERREZ ZAMBRANO CARMEN EBELINA</v>
      </c>
      <c r="EM535" t="str">
        <v>INTRIAGO MOLINA GEMA VALERIA</v>
      </c>
      <c r="EN535" t="str">
        <v>LINO VELEZ LEONEL LIVINGTON</v>
      </c>
      <c r="EO535" t="str">
        <v>LOOR ALCIVAR MARIA ILIANA</v>
      </c>
      <c r="EP535" t="str">
        <v>LOOR MIELES TANIA JACQUELINE</v>
      </c>
      <c r="EQ535" t="str">
        <v>LOOR SOLORZANO ROSA MARIA</v>
      </c>
      <c r="ER535" t="str">
        <v>LOPEZ DELGADO RONALD MAURICIO</v>
      </c>
      <c r="ES535" t="str">
        <v>MACIAS VALENCIA DAVID GABRIEL</v>
      </c>
      <c r="ET535" t="str">
        <v>MENDOZA ZAMORA WALTER MANUEL</v>
      </c>
      <c r="EU535" t="str">
        <v>MOLINA CEVALLOS MARIA LORENA</v>
      </c>
      <c r="EV535" t="str">
        <v>MURILLO DELGADO ISAAC GABRIEL</v>
      </c>
      <c r="EW535" t="str">
        <v>ANGULO MURILLO NAVIRA GISSELA</v>
      </c>
      <c r="EX535" t="str">
        <v>OCHOA SOLEDISPA NESTOR IVAN</v>
      </c>
      <c r="EY535" t="str">
        <v>PARRAGA FRANCO SILVANA MARIELA</v>
      </c>
      <c r="EZ535" t="str">
        <v>PINARGOTE VASQUEZ NANCY FABIOLA</v>
      </c>
      <c r="FA535" t="str">
        <v>REYES VELEZ PEDRO ENRIQUE</v>
      </c>
      <c r="FB535" t="str">
        <v>SAN ANDRES HORMAZA DALLAS CECILIA</v>
      </c>
      <c r="FC535" t="str">
        <v>SORNOZA ZAMORA JUAN CARLOS</v>
      </c>
      <c r="FD535" t="str">
        <v>TOMALA PINTO JESUS JACINTO</v>
      </c>
      <c r="FE535" t="str">
        <v>VALLE JARAMILLO SILVIA ARACELY</v>
      </c>
      <c r="FF535" t="str">
        <v>VELÁSQUEZ BRAVO IRMA KATHERINE</v>
      </c>
      <c r="FG535" t="str">
        <v>VELEZ MENDOZA LAYSY VALERIA</v>
      </c>
      <c r="FH535" t="str">
        <v>VINUEZA TELLO SHIRLEY ELIZABETH</v>
      </c>
      <c r="FI535" t="str">
        <v>ZAMBRANO ALCIVAR NILDA ISABEL</v>
      </c>
      <c r="FJ535" t="str">
        <v>ZAMBRANO LOOR RITA MAYDA</v>
      </c>
      <c r="FK535" t="str">
        <v>ZAMBRANO VERA MONICA JANETH</v>
      </c>
      <c r="FL535" t="str">
        <v>VERA DELGADO BRYAN ADRIÁN</v>
      </c>
      <c r="FM535" t="str">
        <v>MORAN GONZALES DAVID RENATO</v>
      </c>
      <c r="FN535">
        <v>0</v>
      </c>
    </row>
    <row r="536" spans="1:170" ht="20.25" customHeight="1">
      <c r="A536" s="4" t="str" cm="1">
        <f t="array" ref="A536">TRANSPOSE(_xlfn.UNIQUE(_xlfn._xlws.FILTER(MAE_ASIGNATURA[ID_NIVEL],MAE_ASIGNATURA[ID_CARRERA]=ASIGNACION!$C536,"No existe información")))</f>
        <v>No existe información</v>
      </c>
      <c r="S536" s="4" t="str" cm="1">
        <f t="array" ref="S536">TRANSPOSE(_xlfn.UNIQUE(_xlfn._xlws.FILTER(MAE_ASIGNATURA[NOM_ASIG],(MAE_ASIGNATURA[ID_NIVEL]=ASIGNACION!$D536)*(MAE_ASIGNATURA[ID_CARRERA]=ASIGNACION!$C536),"No existe información")))</f>
        <v>No existe información</v>
      </c>
      <c r="BD536" s="4" t="str" cm="1">
        <f t="array" ref="BD536">TRANSPOSE(_xlfn.UNIQUE(_xlfn._xlws.FILTER(DET_ASIG[DETALLADO],(DET_ASIG[ID_CARRERA]=ASIGNACION!$C536)*(DET_ASIG[NIVEL]=ASIGNACION!$D536)*(DET_ASIG[ID_ASIG]=ASIGNACION!$G536),"No existe información")))</f>
        <v>No existe información</v>
      </c>
      <c r="BQ536" s="5" t="str" cm="1">
        <f t="array" ref="BQ536">IFERROR(
    TRANSPOSE(
        _xlfn.UNIQUE(
            _xlfn._xlws.FILTER(MAESTRIA_DETALLADO[MAESTRIA],
                ISNUMBER(MATCH(MAESTRIA_DETALLADO[CAMPO_DETALLADO],
                BD536:BP536,0))
            )
        )
    ),IF(BD536="ACTIVIDAD","DOCENCIA",""))</f>
        <v/>
      </c>
      <c r="EA536" s="5" t="str" cm="1">
        <f t="array" ref="EA536:FN536">IF(
    ASIGNACION!I536="SI",
    IFERROR(
        TRANSPOSE(
            _xlfn.UNIQUE(
                _xlfn._xlws.FILTER(EDU_DOCENTE[NOMBRE_DOCENTE],
                    ISNUMBER(MATCH(EDU_DOCENTE[MAESTRIA],
                    BQ536:DY536,0))
                )
            )
        ),
        ""
    ),
    TRANSPOSE(
        _xlfn.UNIQUE(EDU_DOCENTE[NOMBRE_DOCENTE]
        )
    )
)</f>
        <v>ALCIVAR CEDEÑO BEATRIZ ISABEL</v>
      </c>
      <c r="EB536" t="str">
        <v>ALCIVAR VERA GEMA MICHELLE</v>
      </c>
      <c r="EC536" t="str">
        <v>ARAUZ CHAVEZ MARIO ROBERTO</v>
      </c>
      <c r="ED536" t="str">
        <v>BAILON LOURIDO WALTER ALBERTO</v>
      </c>
      <c r="EE536" t="str">
        <v>CALDERERO VILLAGOMEZ ERICK ANTONIO</v>
      </c>
      <c r="EF536" t="str">
        <v>CASTILLO GARCIA PAOLA GERMANIA</v>
      </c>
      <c r="EG536" t="str">
        <v>CEDEÑO CHOEZ PEDRO JAVIER</v>
      </c>
      <c r="EH536" t="str">
        <v>CEVALLOS HOPPE JUAN CARLOS</v>
      </c>
      <c r="EI536" t="str">
        <v>DELGADO CHAVEZ MARIA IRASEMA</v>
      </c>
      <c r="EJ536" t="str">
        <v>DUARTE VALENCIA CRISTHIAN DARIO</v>
      </c>
      <c r="EK536" t="str">
        <v>FORTTY BARBERAN DENNY ALEXANDER</v>
      </c>
      <c r="EL536" t="str">
        <v>GUTIERREZ ZAMBRANO CARMEN EBELINA</v>
      </c>
      <c r="EM536" t="str">
        <v>INTRIAGO MOLINA GEMA VALERIA</v>
      </c>
      <c r="EN536" t="str">
        <v>LINO VELEZ LEONEL LIVINGTON</v>
      </c>
      <c r="EO536" t="str">
        <v>LOOR ALCIVAR MARIA ILIANA</v>
      </c>
      <c r="EP536" t="str">
        <v>LOOR MIELES TANIA JACQUELINE</v>
      </c>
      <c r="EQ536" t="str">
        <v>LOOR SOLORZANO ROSA MARIA</v>
      </c>
      <c r="ER536" t="str">
        <v>LOPEZ DELGADO RONALD MAURICIO</v>
      </c>
      <c r="ES536" t="str">
        <v>MACIAS VALENCIA DAVID GABRIEL</v>
      </c>
      <c r="ET536" t="str">
        <v>MENDOZA ZAMORA WALTER MANUEL</v>
      </c>
      <c r="EU536" t="str">
        <v>MOLINA CEVALLOS MARIA LORENA</v>
      </c>
      <c r="EV536" t="str">
        <v>MURILLO DELGADO ISAAC GABRIEL</v>
      </c>
      <c r="EW536" t="str">
        <v>ANGULO MURILLO NAVIRA GISSELA</v>
      </c>
      <c r="EX536" t="str">
        <v>OCHOA SOLEDISPA NESTOR IVAN</v>
      </c>
      <c r="EY536" t="str">
        <v>PARRAGA FRANCO SILVANA MARIELA</v>
      </c>
      <c r="EZ536" t="str">
        <v>PINARGOTE VASQUEZ NANCY FABIOLA</v>
      </c>
      <c r="FA536" t="str">
        <v>REYES VELEZ PEDRO ENRIQUE</v>
      </c>
      <c r="FB536" t="str">
        <v>SAN ANDRES HORMAZA DALLAS CECILIA</v>
      </c>
      <c r="FC536" t="str">
        <v>SORNOZA ZAMORA JUAN CARLOS</v>
      </c>
      <c r="FD536" t="str">
        <v>TOMALA PINTO JESUS JACINTO</v>
      </c>
      <c r="FE536" t="str">
        <v>VALLE JARAMILLO SILVIA ARACELY</v>
      </c>
      <c r="FF536" t="str">
        <v>VELÁSQUEZ BRAVO IRMA KATHERINE</v>
      </c>
      <c r="FG536" t="str">
        <v>VELEZ MENDOZA LAYSY VALERIA</v>
      </c>
      <c r="FH536" t="str">
        <v>VINUEZA TELLO SHIRLEY ELIZABETH</v>
      </c>
      <c r="FI536" t="str">
        <v>ZAMBRANO ALCIVAR NILDA ISABEL</v>
      </c>
      <c r="FJ536" t="str">
        <v>ZAMBRANO LOOR RITA MAYDA</v>
      </c>
      <c r="FK536" t="str">
        <v>ZAMBRANO VERA MONICA JANETH</v>
      </c>
      <c r="FL536" t="str">
        <v>VERA DELGADO BRYAN ADRIÁN</v>
      </c>
      <c r="FM536" t="str">
        <v>MORAN GONZALES DAVID RENATO</v>
      </c>
      <c r="FN536">
        <v>0</v>
      </c>
    </row>
    <row r="537" spans="1:170" ht="20.25" customHeight="1">
      <c r="A537" s="4" t="str" cm="1">
        <f t="array" ref="A537">TRANSPOSE(_xlfn.UNIQUE(_xlfn._xlws.FILTER(MAE_ASIGNATURA[ID_NIVEL],MAE_ASIGNATURA[ID_CARRERA]=ASIGNACION!$C537,"No existe información")))</f>
        <v>No existe información</v>
      </c>
      <c r="S537" s="4" t="str" cm="1">
        <f t="array" ref="S537">TRANSPOSE(_xlfn.UNIQUE(_xlfn._xlws.FILTER(MAE_ASIGNATURA[NOM_ASIG],(MAE_ASIGNATURA[ID_NIVEL]=ASIGNACION!$D537)*(MAE_ASIGNATURA[ID_CARRERA]=ASIGNACION!$C537),"No existe información")))</f>
        <v>No existe información</v>
      </c>
      <c r="BD537" s="4" t="str" cm="1">
        <f t="array" ref="BD537">TRANSPOSE(_xlfn.UNIQUE(_xlfn._xlws.FILTER(DET_ASIG[DETALLADO],(DET_ASIG[ID_CARRERA]=ASIGNACION!$C537)*(DET_ASIG[NIVEL]=ASIGNACION!$D537)*(DET_ASIG[ID_ASIG]=ASIGNACION!$G537),"No existe información")))</f>
        <v>No existe información</v>
      </c>
      <c r="BQ537" s="5" t="str" cm="1">
        <f t="array" ref="BQ537">IFERROR(
    TRANSPOSE(
        _xlfn.UNIQUE(
            _xlfn._xlws.FILTER(MAESTRIA_DETALLADO[MAESTRIA],
                ISNUMBER(MATCH(MAESTRIA_DETALLADO[CAMPO_DETALLADO],
                BD537:BP537,0))
            )
        )
    ),IF(BD537="ACTIVIDAD","DOCENCIA",""))</f>
        <v/>
      </c>
      <c r="EA537" s="5" t="str" cm="1">
        <f t="array" ref="EA537:FN537">IF(
    ASIGNACION!I537="SI",
    IFERROR(
        TRANSPOSE(
            _xlfn.UNIQUE(
                _xlfn._xlws.FILTER(EDU_DOCENTE[NOMBRE_DOCENTE],
                    ISNUMBER(MATCH(EDU_DOCENTE[MAESTRIA],
                    BQ537:DY537,0))
                )
            )
        ),
        ""
    ),
    TRANSPOSE(
        _xlfn.UNIQUE(EDU_DOCENTE[NOMBRE_DOCENTE]
        )
    )
)</f>
        <v>ALCIVAR CEDEÑO BEATRIZ ISABEL</v>
      </c>
      <c r="EB537" t="str">
        <v>ALCIVAR VERA GEMA MICHELLE</v>
      </c>
      <c r="EC537" t="str">
        <v>ARAUZ CHAVEZ MARIO ROBERTO</v>
      </c>
      <c r="ED537" t="str">
        <v>BAILON LOURIDO WALTER ALBERTO</v>
      </c>
      <c r="EE537" t="str">
        <v>CALDERERO VILLAGOMEZ ERICK ANTONIO</v>
      </c>
      <c r="EF537" t="str">
        <v>CASTILLO GARCIA PAOLA GERMANIA</v>
      </c>
      <c r="EG537" t="str">
        <v>CEDEÑO CHOEZ PEDRO JAVIER</v>
      </c>
      <c r="EH537" t="str">
        <v>CEVALLOS HOPPE JUAN CARLOS</v>
      </c>
      <c r="EI537" t="str">
        <v>DELGADO CHAVEZ MARIA IRASEMA</v>
      </c>
      <c r="EJ537" t="str">
        <v>DUARTE VALENCIA CRISTHIAN DARIO</v>
      </c>
      <c r="EK537" t="str">
        <v>FORTTY BARBERAN DENNY ALEXANDER</v>
      </c>
      <c r="EL537" t="str">
        <v>GUTIERREZ ZAMBRANO CARMEN EBELINA</v>
      </c>
      <c r="EM537" t="str">
        <v>INTRIAGO MOLINA GEMA VALERIA</v>
      </c>
      <c r="EN537" t="str">
        <v>LINO VELEZ LEONEL LIVINGTON</v>
      </c>
      <c r="EO537" t="str">
        <v>LOOR ALCIVAR MARIA ILIANA</v>
      </c>
      <c r="EP537" t="str">
        <v>LOOR MIELES TANIA JACQUELINE</v>
      </c>
      <c r="EQ537" t="str">
        <v>LOOR SOLORZANO ROSA MARIA</v>
      </c>
      <c r="ER537" t="str">
        <v>LOPEZ DELGADO RONALD MAURICIO</v>
      </c>
      <c r="ES537" t="str">
        <v>MACIAS VALENCIA DAVID GABRIEL</v>
      </c>
      <c r="ET537" t="str">
        <v>MENDOZA ZAMORA WALTER MANUEL</v>
      </c>
      <c r="EU537" t="str">
        <v>MOLINA CEVALLOS MARIA LORENA</v>
      </c>
      <c r="EV537" t="str">
        <v>MURILLO DELGADO ISAAC GABRIEL</v>
      </c>
      <c r="EW537" t="str">
        <v>ANGULO MURILLO NAVIRA GISSELA</v>
      </c>
      <c r="EX537" t="str">
        <v>OCHOA SOLEDISPA NESTOR IVAN</v>
      </c>
      <c r="EY537" t="str">
        <v>PARRAGA FRANCO SILVANA MARIELA</v>
      </c>
      <c r="EZ537" t="str">
        <v>PINARGOTE VASQUEZ NANCY FABIOLA</v>
      </c>
      <c r="FA537" t="str">
        <v>REYES VELEZ PEDRO ENRIQUE</v>
      </c>
      <c r="FB537" t="str">
        <v>SAN ANDRES HORMAZA DALLAS CECILIA</v>
      </c>
      <c r="FC537" t="str">
        <v>SORNOZA ZAMORA JUAN CARLOS</v>
      </c>
      <c r="FD537" t="str">
        <v>TOMALA PINTO JESUS JACINTO</v>
      </c>
      <c r="FE537" t="str">
        <v>VALLE JARAMILLO SILVIA ARACELY</v>
      </c>
      <c r="FF537" t="str">
        <v>VELÁSQUEZ BRAVO IRMA KATHERINE</v>
      </c>
      <c r="FG537" t="str">
        <v>VELEZ MENDOZA LAYSY VALERIA</v>
      </c>
      <c r="FH537" t="str">
        <v>VINUEZA TELLO SHIRLEY ELIZABETH</v>
      </c>
      <c r="FI537" t="str">
        <v>ZAMBRANO ALCIVAR NILDA ISABEL</v>
      </c>
      <c r="FJ537" t="str">
        <v>ZAMBRANO LOOR RITA MAYDA</v>
      </c>
      <c r="FK537" t="str">
        <v>ZAMBRANO VERA MONICA JANETH</v>
      </c>
      <c r="FL537" t="str">
        <v>VERA DELGADO BRYAN ADRIÁN</v>
      </c>
      <c r="FM537" t="str">
        <v>MORAN GONZALES DAVID RENATO</v>
      </c>
      <c r="FN537">
        <v>0</v>
      </c>
    </row>
    <row r="538" spans="1:170" ht="20.25" customHeight="1">
      <c r="A538" s="4" t="str" cm="1">
        <f t="array" ref="A538">TRANSPOSE(_xlfn.UNIQUE(_xlfn._xlws.FILTER(MAE_ASIGNATURA[ID_NIVEL],MAE_ASIGNATURA[ID_CARRERA]=ASIGNACION!$C538,"No existe información")))</f>
        <v>No existe información</v>
      </c>
      <c r="S538" s="4" t="str" cm="1">
        <f t="array" ref="S538">TRANSPOSE(_xlfn.UNIQUE(_xlfn._xlws.FILTER(MAE_ASIGNATURA[NOM_ASIG],(MAE_ASIGNATURA[ID_NIVEL]=ASIGNACION!$D538)*(MAE_ASIGNATURA[ID_CARRERA]=ASIGNACION!$C538),"No existe información")))</f>
        <v>No existe información</v>
      </c>
      <c r="BD538" s="4" t="str" cm="1">
        <f t="array" ref="BD538">TRANSPOSE(_xlfn.UNIQUE(_xlfn._xlws.FILTER(DET_ASIG[DETALLADO],(DET_ASIG[ID_CARRERA]=ASIGNACION!$C538)*(DET_ASIG[NIVEL]=ASIGNACION!$D538)*(DET_ASIG[ID_ASIG]=ASIGNACION!$G538),"No existe información")))</f>
        <v>No existe información</v>
      </c>
      <c r="BQ538" s="5" t="str" cm="1">
        <f t="array" ref="BQ538">IFERROR(
    TRANSPOSE(
        _xlfn.UNIQUE(
            _xlfn._xlws.FILTER(MAESTRIA_DETALLADO[MAESTRIA],
                ISNUMBER(MATCH(MAESTRIA_DETALLADO[CAMPO_DETALLADO],
                BD538:BP538,0))
            )
        )
    ),IF(BD538="ACTIVIDAD","DOCENCIA",""))</f>
        <v/>
      </c>
      <c r="EA538" s="5" t="str" cm="1">
        <f t="array" ref="EA538:FN538">IF(
    ASIGNACION!I538="SI",
    IFERROR(
        TRANSPOSE(
            _xlfn.UNIQUE(
                _xlfn._xlws.FILTER(EDU_DOCENTE[NOMBRE_DOCENTE],
                    ISNUMBER(MATCH(EDU_DOCENTE[MAESTRIA],
                    BQ538:DY538,0))
                )
            )
        ),
        ""
    ),
    TRANSPOSE(
        _xlfn.UNIQUE(EDU_DOCENTE[NOMBRE_DOCENTE]
        )
    )
)</f>
        <v>ALCIVAR CEDEÑO BEATRIZ ISABEL</v>
      </c>
      <c r="EB538" t="str">
        <v>ALCIVAR VERA GEMA MICHELLE</v>
      </c>
      <c r="EC538" t="str">
        <v>ARAUZ CHAVEZ MARIO ROBERTO</v>
      </c>
      <c r="ED538" t="str">
        <v>BAILON LOURIDO WALTER ALBERTO</v>
      </c>
      <c r="EE538" t="str">
        <v>CALDERERO VILLAGOMEZ ERICK ANTONIO</v>
      </c>
      <c r="EF538" t="str">
        <v>CASTILLO GARCIA PAOLA GERMANIA</v>
      </c>
      <c r="EG538" t="str">
        <v>CEDEÑO CHOEZ PEDRO JAVIER</v>
      </c>
      <c r="EH538" t="str">
        <v>CEVALLOS HOPPE JUAN CARLOS</v>
      </c>
      <c r="EI538" t="str">
        <v>DELGADO CHAVEZ MARIA IRASEMA</v>
      </c>
      <c r="EJ538" t="str">
        <v>DUARTE VALENCIA CRISTHIAN DARIO</v>
      </c>
      <c r="EK538" t="str">
        <v>FORTTY BARBERAN DENNY ALEXANDER</v>
      </c>
      <c r="EL538" t="str">
        <v>GUTIERREZ ZAMBRANO CARMEN EBELINA</v>
      </c>
      <c r="EM538" t="str">
        <v>INTRIAGO MOLINA GEMA VALERIA</v>
      </c>
      <c r="EN538" t="str">
        <v>LINO VELEZ LEONEL LIVINGTON</v>
      </c>
      <c r="EO538" t="str">
        <v>LOOR ALCIVAR MARIA ILIANA</v>
      </c>
      <c r="EP538" t="str">
        <v>LOOR MIELES TANIA JACQUELINE</v>
      </c>
      <c r="EQ538" t="str">
        <v>LOOR SOLORZANO ROSA MARIA</v>
      </c>
      <c r="ER538" t="str">
        <v>LOPEZ DELGADO RONALD MAURICIO</v>
      </c>
      <c r="ES538" t="str">
        <v>MACIAS VALENCIA DAVID GABRIEL</v>
      </c>
      <c r="ET538" t="str">
        <v>MENDOZA ZAMORA WALTER MANUEL</v>
      </c>
      <c r="EU538" t="str">
        <v>MOLINA CEVALLOS MARIA LORENA</v>
      </c>
      <c r="EV538" t="str">
        <v>MURILLO DELGADO ISAAC GABRIEL</v>
      </c>
      <c r="EW538" t="str">
        <v>ANGULO MURILLO NAVIRA GISSELA</v>
      </c>
      <c r="EX538" t="str">
        <v>OCHOA SOLEDISPA NESTOR IVAN</v>
      </c>
      <c r="EY538" t="str">
        <v>PARRAGA FRANCO SILVANA MARIELA</v>
      </c>
      <c r="EZ538" t="str">
        <v>PINARGOTE VASQUEZ NANCY FABIOLA</v>
      </c>
      <c r="FA538" t="str">
        <v>REYES VELEZ PEDRO ENRIQUE</v>
      </c>
      <c r="FB538" t="str">
        <v>SAN ANDRES HORMAZA DALLAS CECILIA</v>
      </c>
      <c r="FC538" t="str">
        <v>SORNOZA ZAMORA JUAN CARLOS</v>
      </c>
      <c r="FD538" t="str">
        <v>TOMALA PINTO JESUS JACINTO</v>
      </c>
      <c r="FE538" t="str">
        <v>VALLE JARAMILLO SILVIA ARACELY</v>
      </c>
      <c r="FF538" t="str">
        <v>VELÁSQUEZ BRAVO IRMA KATHERINE</v>
      </c>
      <c r="FG538" t="str">
        <v>VELEZ MENDOZA LAYSY VALERIA</v>
      </c>
      <c r="FH538" t="str">
        <v>VINUEZA TELLO SHIRLEY ELIZABETH</v>
      </c>
      <c r="FI538" t="str">
        <v>ZAMBRANO ALCIVAR NILDA ISABEL</v>
      </c>
      <c r="FJ538" t="str">
        <v>ZAMBRANO LOOR RITA MAYDA</v>
      </c>
      <c r="FK538" t="str">
        <v>ZAMBRANO VERA MONICA JANETH</v>
      </c>
      <c r="FL538" t="str">
        <v>VERA DELGADO BRYAN ADRIÁN</v>
      </c>
      <c r="FM538" t="str">
        <v>MORAN GONZALES DAVID RENATO</v>
      </c>
      <c r="FN538">
        <v>0</v>
      </c>
    </row>
    <row r="539" spans="1:170" ht="20.25" customHeight="1">
      <c r="A539" s="4" t="str" cm="1">
        <f t="array" ref="A539">TRANSPOSE(_xlfn.UNIQUE(_xlfn._xlws.FILTER(MAE_ASIGNATURA[ID_NIVEL],MAE_ASIGNATURA[ID_CARRERA]=ASIGNACION!$C539,"No existe información")))</f>
        <v>No existe información</v>
      </c>
      <c r="S539" s="4" t="str" cm="1">
        <f t="array" ref="S539">TRANSPOSE(_xlfn.UNIQUE(_xlfn._xlws.FILTER(MAE_ASIGNATURA[NOM_ASIG],(MAE_ASIGNATURA[ID_NIVEL]=ASIGNACION!$D539)*(MAE_ASIGNATURA[ID_CARRERA]=ASIGNACION!$C539),"No existe información")))</f>
        <v>No existe información</v>
      </c>
      <c r="BD539" s="4" t="str" cm="1">
        <f t="array" ref="BD539">TRANSPOSE(_xlfn.UNIQUE(_xlfn._xlws.FILTER(DET_ASIG[DETALLADO],(DET_ASIG[ID_CARRERA]=ASIGNACION!$C539)*(DET_ASIG[NIVEL]=ASIGNACION!$D539)*(DET_ASIG[ID_ASIG]=ASIGNACION!$G539),"No existe información")))</f>
        <v>No existe información</v>
      </c>
      <c r="BQ539" s="5" t="str" cm="1">
        <f t="array" ref="BQ539">IFERROR(
    TRANSPOSE(
        _xlfn.UNIQUE(
            _xlfn._xlws.FILTER(MAESTRIA_DETALLADO[MAESTRIA],
                ISNUMBER(MATCH(MAESTRIA_DETALLADO[CAMPO_DETALLADO],
                BD539:BP539,0))
            )
        )
    ),IF(BD539="ACTIVIDAD","DOCENCIA",""))</f>
        <v/>
      </c>
      <c r="EA539" s="5" t="str" cm="1">
        <f t="array" ref="EA539:FN539">IF(
    ASIGNACION!I539="SI",
    IFERROR(
        TRANSPOSE(
            _xlfn.UNIQUE(
                _xlfn._xlws.FILTER(EDU_DOCENTE[NOMBRE_DOCENTE],
                    ISNUMBER(MATCH(EDU_DOCENTE[MAESTRIA],
                    BQ539:DY539,0))
                )
            )
        ),
        ""
    ),
    TRANSPOSE(
        _xlfn.UNIQUE(EDU_DOCENTE[NOMBRE_DOCENTE]
        )
    )
)</f>
        <v>ALCIVAR CEDEÑO BEATRIZ ISABEL</v>
      </c>
      <c r="EB539" t="str">
        <v>ALCIVAR VERA GEMA MICHELLE</v>
      </c>
      <c r="EC539" t="str">
        <v>ARAUZ CHAVEZ MARIO ROBERTO</v>
      </c>
      <c r="ED539" t="str">
        <v>BAILON LOURIDO WALTER ALBERTO</v>
      </c>
      <c r="EE539" t="str">
        <v>CALDERERO VILLAGOMEZ ERICK ANTONIO</v>
      </c>
      <c r="EF539" t="str">
        <v>CASTILLO GARCIA PAOLA GERMANIA</v>
      </c>
      <c r="EG539" t="str">
        <v>CEDEÑO CHOEZ PEDRO JAVIER</v>
      </c>
      <c r="EH539" t="str">
        <v>CEVALLOS HOPPE JUAN CARLOS</v>
      </c>
      <c r="EI539" t="str">
        <v>DELGADO CHAVEZ MARIA IRASEMA</v>
      </c>
      <c r="EJ539" t="str">
        <v>DUARTE VALENCIA CRISTHIAN DARIO</v>
      </c>
      <c r="EK539" t="str">
        <v>FORTTY BARBERAN DENNY ALEXANDER</v>
      </c>
      <c r="EL539" t="str">
        <v>GUTIERREZ ZAMBRANO CARMEN EBELINA</v>
      </c>
      <c r="EM539" t="str">
        <v>INTRIAGO MOLINA GEMA VALERIA</v>
      </c>
      <c r="EN539" t="str">
        <v>LINO VELEZ LEONEL LIVINGTON</v>
      </c>
      <c r="EO539" t="str">
        <v>LOOR ALCIVAR MARIA ILIANA</v>
      </c>
      <c r="EP539" t="str">
        <v>LOOR MIELES TANIA JACQUELINE</v>
      </c>
      <c r="EQ539" t="str">
        <v>LOOR SOLORZANO ROSA MARIA</v>
      </c>
      <c r="ER539" t="str">
        <v>LOPEZ DELGADO RONALD MAURICIO</v>
      </c>
      <c r="ES539" t="str">
        <v>MACIAS VALENCIA DAVID GABRIEL</v>
      </c>
      <c r="ET539" t="str">
        <v>MENDOZA ZAMORA WALTER MANUEL</v>
      </c>
      <c r="EU539" t="str">
        <v>MOLINA CEVALLOS MARIA LORENA</v>
      </c>
      <c r="EV539" t="str">
        <v>MURILLO DELGADO ISAAC GABRIEL</v>
      </c>
      <c r="EW539" t="str">
        <v>ANGULO MURILLO NAVIRA GISSELA</v>
      </c>
      <c r="EX539" t="str">
        <v>OCHOA SOLEDISPA NESTOR IVAN</v>
      </c>
      <c r="EY539" t="str">
        <v>PARRAGA FRANCO SILVANA MARIELA</v>
      </c>
      <c r="EZ539" t="str">
        <v>PINARGOTE VASQUEZ NANCY FABIOLA</v>
      </c>
      <c r="FA539" t="str">
        <v>REYES VELEZ PEDRO ENRIQUE</v>
      </c>
      <c r="FB539" t="str">
        <v>SAN ANDRES HORMAZA DALLAS CECILIA</v>
      </c>
      <c r="FC539" t="str">
        <v>SORNOZA ZAMORA JUAN CARLOS</v>
      </c>
      <c r="FD539" t="str">
        <v>TOMALA PINTO JESUS JACINTO</v>
      </c>
      <c r="FE539" t="str">
        <v>VALLE JARAMILLO SILVIA ARACELY</v>
      </c>
      <c r="FF539" t="str">
        <v>VELÁSQUEZ BRAVO IRMA KATHERINE</v>
      </c>
      <c r="FG539" t="str">
        <v>VELEZ MENDOZA LAYSY VALERIA</v>
      </c>
      <c r="FH539" t="str">
        <v>VINUEZA TELLO SHIRLEY ELIZABETH</v>
      </c>
      <c r="FI539" t="str">
        <v>ZAMBRANO ALCIVAR NILDA ISABEL</v>
      </c>
      <c r="FJ539" t="str">
        <v>ZAMBRANO LOOR RITA MAYDA</v>
      </c>
      <c r="FK539" t="str">
        <v>ZAMBRANO VERA MONICA JANETH</v>
      </c>
      <c r="FL539" t="str">
        <v>VERA DELGADO BRYAN ADRIÁN</v>
      </c>
      <c r="FM539" t="str">
        <v>MORAN GONZALES DAVID RENATO</v>
      </c>
      <c r="FN539">
        <v>0</v>
      </c>
    </row>
    <row r="540" spans="1:170" ht="20.25" customHeight="1">
      <c r="A540" s="4" t="str" cm="1">
        <f t="array" ref="A540">TRANSPOSE(_xlfn.UNIQUE(_xlfn._xlws.FILTER(MAE_ASIGNATURA[ID_NIVEL],MAE_ASIGNATURA[ID_CARRERA]=ASIGNACION!$C540,"No existe información")))</f>
        <v>No existe información</v>
      </c>
      <c r="S540" s="4" t="str" cm="1">
        <f t="array" ref="S540">TRANSPOSE(_xlfn.UNIQUE(_xlfn._xlws.FILTER(MAE_ASIGNATURA[NOM_ASIG],(MAE_ASIGNATURA[ID_NIVEL]=ASIGNACION!$D540)*(MAE_ASIGNATURA[ID_CARRERA]=ASIGNACION!$C540),"No existe información")))</f>
        <v>No existe información</v>
      </c>
      <c r="BD540" s="4" t="str" cm="1">
        <f t="array" ref="BD540">TRANSPOSE(_xlfn.UNIQUE(_xlfn._xlws.FILTER(DET_ASIG[DETALLADO],(DET_ASIG[ID_CARRERA]=ASIGNACION!$C540)*(DET_ASIG[NIVEL]=ASIGNACION!$D540)*(DET_ASIG[ID_ASIG]=ASIGNACION!$G540),"No existe información")))</f>
        <v>No existe información</v>
      </c>
      <c r="BQ540" s="5" t="str" cm="1">
        <f t="array" ref="BQ540">IFERROR(
    TRANSPOSE(
        _xlfn.UNIQUE(
            _xlfn._xlws.FILTER(MAESTRIA_DETALLADO[MAESTRIA],
                ISNUMBER(MATCH(MAESTRIA_DETALLADO[CAMPO_DETALLADO],
                BD540:BP540,0))
            )
        )
    ),IF(BD540="ACTIVIDAD","DOCENCIA",""))</f>
        <v/>
      </c>
      <c r="EA540" s="5" t="str" cm="1">
        <f t="array" ref="EA540:FN540">IF(
    ASIGNACION!I540="SI",
    IFERROR(
        TRANSPOSE(
            _xlfn.UNIQUE(
                _xlfn._xlws.FILTER(EDU_DOCENTE[NOMBRE_DOCENTE],
                    ISNUMBER(MATCH(EDU_DOCENTE[MAESTRIA],
                    BQ540:DY540,0))
                )
            )
        ),
        ""
    ),
    TRANSPOSE(
        _xlfn.UNIQUE(EDU_DOCENTE[NOMBRE_DOCENTE]
        )
    )
)</f>
        <v>ALCIVAR CEDEÑO BEATRIZ ISABEL</v>
      </c>
      <c r="EB540" t="str">
        <v>ALCIVAR VERA GEMA MICHELLE</v>
      </c>
      <c r="EC540" t="str">
        <v>ARAUZ CHAVEZ MARIO ROBERTO</v>
      </c>
      <c r="ED540" t="str">
        <v>BAILON LOURIDO WALTER ALBERTO</v>
      </c>
      <c r="EE540" t="str">
        <v>CALDERERO VILLAGOMEZ ERICK ANTONIO</v>
      </c>
      <c r="EF540" t="str">
        <v>CASTILLO GARCIA PAOLA GERMANIA</v>
      </c>
      <c r="EG540" t="str">
        <v>CEDEÑO CHOEZ PEDRO JAVIER</v>
      </c>
      <c r="EH540" t="str">
        <v>CEVALLOS HOPPE JUAN CARLOS</v>
      </c>
      <c r="EI540" t="str">
        <v>DELGADO CHAVEZ MARIA IRASEMA</v>
      </c>
      <c r="EJ540" t="str">
        <v>DUARTE VALENCIA CRISTHIAN DARIO</v>
      </c>
      <c r="EK540" t="str">
        <v>FORTTY BARBERAN DENNY ALEXANDER</v>
      </c>
      <c r="EL540" t="str">
        <v>GUTIERREZ ZAMBRANO CARMEN EBELINA</v>
      </c>
      <c r="EM540" t="str">
        <v>INTRIAGO MOLINA GEMA VALERIA</v>
      </c>
      <c r="EN540" t="str">
        <v>LINO VELEZ LEONEL LIVINGTON</v>
      </c>
      <c r="EO540" t="str">
        <v>LOOR ALCIVAR MARIA ILIANA</v>
      </c>
      <c r="EP540" t="str">
        <v>LOOR MIELES TANIA JACQUELINE</v>
      </c>
      <c r="EQ540" t="str">
        <v>LOOR SOLORZANO ROSA MARIA</v>
      </c>
      <c r="ER540" t="str">
        <v>LOPEZ DELGADO RONALD MAURICIO</v>
      </c>
      <c r="ES540" t="str">
        <v>MACIAS VALENCIA DAVID GABRIEL</v>
      </c>
      <c r="ET540" t="str">
        <v>MENDOZA ZAMORA WALTER MANUEL</v>
      </c>
      <c r="EU540" t="str">
        <v>MOLINA CEVALLOS MARIA LORENA</v>
      </c>
      <c r="EV540" t="str">
        <v>MURILLO DELGADO ISAAC GABRIEL</v>
      </c>
      <c r="EW540" t="str">
        <v>ANGULO MURILLO NAVIRA GISSELA</v>
      </c>
      <c r="EX540" t="str">
        <v>OCHOA SOLEDISPA NESTOR IVAN</v>
      </c>
      <c r="EY540" t="str">
        <v>PARRAGA FRANCO SILVANA MARIELA</v>
      </c>
      <c r="EZ540" t="str">
        <v>PINARGOTE VASQUEZ NANCY FABIOLA</v>
      </c>
      <c r="FA540" t="str">
        <v>REYES VELEZ PEDRO ENRIQUE</v>
      </c>
      <c r="FB540" t="str">
        <v>SAN ANDRES HORMAZA DALLAS CECILIA</v>
      </c>
      <c r="FC540" t="str">
        <v>SORNOZA ZAMORA JUAN CARLOS</v>
      </c>
      <c r="FD540" t="str">
        <v>TOMALA PINTO JESUS JACINTO</v>
      </c>
      <c r="FE540" t="str">
        <v>VALLE JARAMILLO SILVIA ARACELY</v>
      </c>
      <c r="FF540" t="str">
        <v>VELÁSQUEZ BRAVO IRMA KATHERINE</v>
      </c>
      <c r="FG540" t="str">
        <v>VELEZ MENDOZA LAYSY VALERIA</v>
      </c>
      <c r="FH540" t="str">
        <v>VINUEZA TELLO SHIRLEY ELIZABETH</v>
      </c>
      <c r="FI540" t="str">
        <v>ZAMBRANO ALCIVAR NILDA ISABEL</v>
      </c>
      <c r="FJ540" t="str">
        <v>ZAMBRANO LOOR RITA MAYDA</v>
      </c>
      <c r="FK540" t="str">
        <v>ZAMBRANO VERA MONICA JANETH</v>
      </c>
      <c r="FL540" t="str">
        <v>VERA DELGADO BRYAN ADRIÁN</v>
      </c>
      <c r="FM540" t="str">
        <v>MORAN GONZALES DAVID RENATO</v>
      </c>
      <c r="FN540">
        <v>0</v>
      </c>
    </row>
    <row r="541" spans="1:170" ht="20.25" customHeight="1">
      <c r="A541" s="4" t="str" cm="1">
        <f t="array" ref="A541">TRANSPOSE(_xlfn.UNIQUE(_xlfn._xlws.FILTER(MAE_ASIGNATURA[ID_NIVEL],MAE_ASIGNATURA[ID_CARRERA]=ASIGNACION!$C541,"No existe información")))</f>
        <v>No existe información</v>
      </c>
      <c r="S541" s="4" t="str" cm="1">
        <f t="array" ref="S541">TRANSPOSE(_xlfn.UNIQUE(_xlfn._xlws.FILTER(MAE_ASIGNATURA[NOM_ASIG],(MAE_ASIGNATURA[ID_NIVEL]=ASIGNACION!$D541)*(MAE_ASIGNATURA[ID_CARRERA]=ASIGNACION!$C541),"No existe información")))</f>
        <v>No existe información</v>
      </c>
      <c r="BD541" s="4" t="str" cm="1">
        <f t="array" ref="BD541">TRANSPOSE(_xlfn.UNIQUE(_xlfn._xlws.FILTER(DET_ASIG[DETALLADO],(DET_ASIG[ID_CARRERA]=ASIGNACION!$C541)*(DET_ASIG[NIVEL]=ASIGNACION!$D541)*(DET_ASIG[ID_ASIG]=ASIGNACION!$G541),"No existe información")))</f>
        <v>No existe información</v>
      </c>
      <c r="BQ541" s="5" t="str" cm="1">
        <f t="array" ref="BQ541">IFERROR(
    TRANSPOSE(
        _xlfn.UNIQUE(
            _xlfn._xlws.FILTER(MAESTRIA_DETALLADO[MAESTRIA],
                ISNUMBER(MATCH(MAESTRIA_DETALLADO[CAMPO_DETALLADO],
                BD541:BP541,0))
            )
        )
    ),IF(BD541="ACTIVIDAD","DOCENCIA",""))</f>
        <v/>
      </c>
      <c r="EA541" s="5" t="str" cm="1">
        <f t="array" ref="EA541:FN541">IF(
    ASIGNACION!I541="SI",
    IFERROR(
        TRANSPOSE(
            _xlfn.UNIQUE(
                _xlfn._xlws.FILTER(EDU_DOCENTE[NOMBRE_DOCENTE],
                    ISNUMBER(MATCH(EDU_DOCENTE[MAESTRIA],
                    BQ541:DY541,0))
                )
            )
        ),
        ""
    ),
    TRANSPOSE(
        _xlfn.UNIQUE(EDU_DOCENTE[NOMBRE_DOCENTE]
        )
    )
)</f>
        <v>ALCIVAR CEDEÑO BEATRIZ ISABEL</v>
      </c>
      <c r="EB541" t="str">
        <v>ALCIVAR VERA GEMA MICHELLE</v>
      </c>
      <c r="EC541" t="str">
        <v>ARAUZ CHAVEZ MARIO ROBERTO</v>
      </c>
      <c r="ED541" t="str">
        <v>BAILON LOURIDO WALTER ALBERTO</v>
      </c>
      <c r="EE541" t="str">
        <v>CALDERERO VILLAGOMEZ ERICK ANTONIO</v>
      </c>
      <c r="EF541" t="str">
        <v>CASTILLO GARCIA PAOLA GERMANIA</v>
      </c>
      <c r="EG541" t="str">
        <v>CEDEÑO CHOEZ PEDRO JAVIER</v>
      </c>
      <c r="EH541" t="str">
        <v>CEVALLOS HOPPE JUAN CARLOS</v>
      </c>
      <c r="EI541" t="str">
        <v>DELGADO CHAVEZ MARIA IRASEMA</v>
      </c>
      <c r="EJ541" t="str">
        <v>DUARTE VALENCIA CRISTHIAN DARIO</v>
      </c>
      <c r="EK541" t="str">
        <v>FORTTY BARBERAN DENNY ALEXANDER</v>
      </c>
      <c r="EL541" t="str">
        <v>GUTIERREZ ZAMBRANO CARMEN EBELINA</v>
      </c>
      <c r="EM541" t="str">
        <v>INTRIAGO MOLINA GEMA VALERIA</v>
      </c>
      <c r="EN541" t="str">
        <v>LINO VELEZ LEONEL LIVINGTON</v>
      </c>
      <c r="EO541" t="str">
        <v>LOOR ALCIVAR MARIA ILIANA</v>
      </c>
      <c r="EP541" t="str">
        <v>LOOR MIELES TANIA JACQUELINE</v>
      </c>
      <c r="EQ541" t="str">
        <v>LOOR SOLORZANO ROSA MARIA</v>
      </c>
      <c r="ER541" t="str">
        <v>LOPEZ DELGADO RONALD MAURICIO</v>
      </c>
      <c r="ES541" t="str">
        <v>MACIAS VALENCIA DAVID GABRIEL</v>
      </c>
      <c r="ET541" t="str">
        <v>MENDOZA ZAMORA WALTER MANUEL</v>
      </c>
      <c r="EU541" t="str">
        <v>MOLINA CEVALLOS MARIA LORENA</v>
      </c>
      <c r="EV541" t="str">
        <v>MURILLO DELGADO ISAAC GABRIEL</v>
      </c>
      <c r="EW541" t="str">
        <v>ANGULO MURILLO NAVIRA GISSELA</v>
      </c>
      <c r="EX541" t="str">
        <v>OCHOA SOLEDISPA NESTOR IVAN</v>
      </c>
      <c r="EY541" t="str">
        <v>PARRAGA FRANCO SILVANA MARIELA</v>
      </c>
      <c r="EZ541" t="str">
        <v>PINARGOTE VASQUEZ NANCY FABIOLA</v>
      </c>
      <c r="FA541" t="str">
        <v>REYES VELEZ PEDRO ENRIQUE</v>
      </c>
      <c r="FB541" t="str">
        <v>SAN ANDRES HORMAZA DALLAS CECILIA</v>
      </c>
      <c r="FC541" t="str">
        <v>SORNOZA ZAMORA JUAN CARLOS</v>
      </c>
      <c r="FD541" t="str">
        <v>TOMALA PINTO JESUS JACINTO</v>
      </c>
      <c r="FE541" t="str">
        <v>VALLE JARAMILLO SILVIA ARACELY</v>
      </c>
      <c r="FF541" t="str">
        <v>VELÁSQUEZ BRAVO IRMA KATHERINE</v>
      </c>
      <c r="FG541" t="str">
        <v>VELEZ MENDOZA LAYSY VALERIA</v>
      </c>
      <c r="FH541" t="str">
        <v>VINUEZA TELLO SHIRLEY ELIZABETH</v>
      </c>
      <c r="FI541" t="str">
        <v>ZAMBRANO ALCIVAR NILDA ISABEL</v>
      </c>
      <c r="FJ541" t="str">
        <v>ZAMBRANO LOOR RITA MAYDA</v>
      </c>
      <c r="FK541" t="str">
        <v>ZAMBRANO VERA MONICA JANETH</v>
      </c>
      <c r="FL541" t="str">
        <v>VERA DELGADO BRYAN ADRIÁN</v>
      </c>
      <c r="FM541" t="str">
        <v>MORAN GONZALES DAVID RENATO</v>
      </c>
      <c r="FN541">
        <v>0</v>
      </c>
    </row>
    <row r="542" spans="1:170" ht="20.25" customHeight="1">
      <c r="A542" s="4" t="str" cm="1">
        <f t="array" ref="A542">TRANSPOSE(_xlfn.UNIQUE(_xlfn._xlws.FILTER(MAE_ASIGNATURA[ID_NIVEL],MAE_ASIGNATURA[ID_CARRERA]=ASIGNACION!$C542,"No existe información")))</f>
        <v>No existe información</v>
      </c>
      <c r="S542" s="4" t="str" cm="1">
        <f t="array" ref="S542">TRANSPOSE(_xlfn.UNIQUE(_xlfn._xlws.FILTER(MAE_ASIGNATURA[NOM_ASIG],(MAE_ASIGNATURA[ID_NIVEL]=ASIGNACION!$D542)*(MAE_ASIGNATURA[ID_CARRERA]=ASIGNACION!$C542),"No existe información")))</f>
        <v>No existe información</v>
      </c>
      <c r="BD542" s="4" t="str" cm="1">
        <f t="array" ref="BD542">TRANSPOSE(_xlfn.UNIQUE(_xlfn._xlws.FILTER(DET_ASIG[DETALLADO],(DET_ASIG[ID_CARRERA]=ASIGNACION!$C542)*(DET_ASIG[NIVEL]=ASIGNACION!$D542)*(DET_ASIG[ID_ASIG]=ASIGNACION!$G542),"No existe información")))</f>
        <v>No existe información</v>
      </c>
      <c r="BQ542" s="5" t="str" cm="1">
        <f t="array" ref="BQ542">IFERROR(
    TRANSPOSE(
        _xlfn.UNIQUE(
            _xlfn._xlws.FILTER(MAESTRIA_DETALLADO[MAESTRIA],
                ISNUMBER(MATCH(MAESTRIA_DETALLADO[CAMPO_DETALLADO],
                BD542:BP542,0))
            )
        )
    ),IF(BD542="ACTIVIDAD","DOCENCIA",""))</f>
        <v/>
      </c>
      <c r="EA542" s="5" t="str" cm="1">
        <f t="array" ref="EA542:FN542">IF(
    ASIGNACION!I542="SI",
    IFERROR(
        TRANSPOSE(
            _xlfn.UNIQUE(
                _xlfn._xlws.FILTER(EDU_DOCENTE[NOMBRE_DOCENTE],
                    ISNUMBER(MATCH(EDU_DOCENTE[MAESTRIA],
                    BQ542:DY542,0))
                )
            )
        ),
        ""
    ),
    TRANSPOSE(
        _xlfn.UNIQUE(EDU_DOCENTE[NOMBRE_DOCENTE]
        )
    )
)</f>
        <v>ALCIVAR CEDEÑO BEATRIZ ISABEL</v>
      </c>
      <c r="EB542" t="str">
        <v>ALCIVAR VERA GEMA MICHELLE</v>
      </c>
      <c r="EC542" t="str">
        <v>ARAUZ CHAVEZ MARIO ROBERTO</v>
      </c>
      <c r="ED542" t="str">
        <v>BAILON LOURIDO WALTER ALBERTO</v>
      </c>
      <c r="EE542" t="str">
        <v>CALDERERO VILLAGOMEZ ERICK ANTONIO</v>
      </c>
      <c r="EF542" t="str">
        <v>CASTILLO GARCIA PAOLA GERMANIA</v>
      </c>
      <c r="EG542" t="str">
        <v>CEDEÑO CHOEZ PEDRO JAVIER</v>
      </c>
      <c r="EH542" t="str">
        <v>CEVALLOS HOPPE JUAN CARLOS</v>
      </c>
      <c r="EI542" t="str">
        <v>DELGADO CHAVEZ MARIA IRASEMA</v>
      </c>
      <c r="EJ542" t="str">
        <v>DUARTE VALENCIA CRISTHIAN DARIO</v>
      </c>
      <c r="EK542" t="str">
        <v>FORTTY BARBERAN DENNY ALEXANDER</v>
      </c>
      <c r="EL542" t="str">
        <v>GUTIERREZ ZAMBRANO CARMEN EBELINA</v>
      </c>
      <c r="EM542" t="str">
        <v>INTRIAGO MOLINA GEMA VALERIA</v>
      </c>
      <c r="EN542" t="str">
        <v>LINO VELEZ LEONEL LIVINGTON</v>
      </c>
      <c r="EO542" t="str">
        <v>LOOR ALCIVAR MARIA ILIANA</v>
      </c>
      <c r="EP542" t="str">
        <v>LOOR MIELES TANIA JACQUELINE</v>
      </c>
      <c r="EQ542" t="str">
        <v>LOOR SOLORZANO ROSA MARIA</v>
      </c>
      <c r="ER542" t="str">
        <v>LOPEZ DELGADO RONALD MAURICIO</v>
      </c>
      <c r="ES542" t="str">
        <v>MACIAS VALENCIA DAVID GABRIEL</v>
      </c>
      <c r="ET542" t="str">
        <v>MENDOZA ZAMORA WALTER MANUEL</v>
      </c>
      <c r="EU542" t="str">
        <v>MOLINA CEVALLOS MARIA LORENA</v>
      </c>
      <c r="EV542" t="str">
        <v>MURILLO DELGADO ISAAC GABRIEL</v>
      </c>
      <c r="EW542" t="str">
        <v>ANGULO MURILLO NAVIRA GISSELA</v>
      </c>
      <c r="EX542" t="str">
        <v>OCHOA SOLEDISPA NESTOR IVAN</v>
      </c>
      <c r="EY542" t="str">
        <v>PARRAGA FRANCO SILVANA MARIELA</v>
      </c>
      <c r="EZ542" t="str">
        <v>PINARGOTE VASQUEZ NANCY FABIOLA</v>
      </c>
      <c r="FA542" t="str">
        <v>REYES VELEZ PEDRO ENRIQUE</v>
      </c>
      <c r="FB542" t="str">
        <v>SAN ANDRES HORMAZA DALLAS CECILIA</v>
      </c>
      <c r="FC542" t="str">
        <v>SORNOZA ZAMORA JUAN CARLOS</v>
      </c>
      <c r="FD542" t="str">
        <v>TOMALA PINTO JESUS JACINTO</v>
      </c>
      <c r="FE542" t="str">
        <v>VALLE JARAMILLO SILVIA ARACELY</v>
      </c>
      <c r="FF542" t="str">
        <v>VELÁSQUEZ BRAVO IRMA KATHERINE</v>
      </c>
      <c r="FG542" t="str">
        <v>VELEZ MENDOZA LAYSY VALERIA</v>
      </c>
      <c r="FH542" t="str">
        <v>VINUEZA TELLO SHIRLEY ELIZABETH</v>
      </c>
      <c r="FI542" t="str">
        <v>ZAMBRANO ALCIVAR NILDA ISABEL</v>
      </c>
      <c r="FJ542" t="str">
        <v>ZAMBRANO LOOR RITA MAYDA</v>
      </c>
      <c r="FK542" t="str">
        <v>ZAMBRANO VERA MONICA JANETH</v>
      </c>
      <c r="FL542" t="str">
        <v>VERA DELGADO BRYAN ADRIÁN</v>
      </c>
      <c r="FM542" t="str">
        <v>MORAN GONZALES DAVID RENATO</v>
      </c>
      <c r="FN542">
        <v>0</v>
      </c>
    </row>
    <row r="543" spans="1:170" ht="20.25" customHeight="1">
      <c r="A543" s="4" t="str" cm="1">
        <f t="array" ref="A543">TRANSPOSE(_xlfn.UNIQUE(_xlfn._xlws.FILTER(MAE_ASIGNATURA[ID_NIVEL],MAE_ASIGNATURA[ID_CARRERA]=ASIGNACION!$C543,"No existe información")))</f>
        <v>No existe información</v>
      </c>
      <c r="S543" s="4" t="str" cm="1">
        <f t="array" ref="S543">TRANSPOSE(_xlfn.UNIQUE(_xlfn._xlws.FILTER(MAE_ASIGNATURA[NOM_ASIG],(MAE_ASIGNATURA[ID_NIVEL]=ASIGNACION!$D543)*(MAE_ASIGNATURA[ID_CARRERA]=ASIGNACION!$C543),"No existe información")))</f>
        <v>No existe información</v>
      </c>
      <c r="BD543" s="4" t="str" cm="1">
        <f t="array" ref="BD543">TRANSPOSE(_xlfn.UNIQUE(_xlfn._xlws.FILTER(DET_ASIG[DETALLADO],(DET_ASIG[ID_CARRERA]=ASIGNACION!$C543)*(DET_ASIG[NIVEL]=ASIGNACION!$D543)*(DET_ASIG[ID_ASIG]=ASIGNACION!$G543),"No existe información")))</f>
        <v>No existe información</v>
      </c>
      <c r="BQ543" s="5" t="str" cm="1">
        <f t="array" ref="BQ543">IFERROR(
    TRANSPOSE(
        _xlfn.UNIQUE(
            _xlfn._xlws.FILTER(MAESTRIA_DETALLADO[MAESTRIA],
                ISNUMBER(MATCH(MAESTRIA_DETALLADO[CAMPO_DETALLADO],
                BD543:BP543,0))
            )
        )
    ),IF(BD543="ACTIVIDAD","DOCENCIA",""))</f>
        <v/>
      </c>
      <c r="EA543" s="5" t="str" cm="1">
        <f t="array" ref="EA543:FN543">IF(
    ASIGNACION!I543="SI",
    IFERROR(
        TRANSPOSE(
            _xlfn.UNIQUE(
                _xlfn._xlws.FILTER(EDU_DOCENTE[NOMBRE_DOCENTE],
                    ISNUMBER(MATCH(EDU_DOCENTE[MAESTRIA],
                    BQ543:DY543,0))
                )
            )
        ),
        ""
    ),
    TRANSPOSE(
        _xlfn.UNIQUE(EDU_DOCENTE[NOMBRE_DOCENTE]
        )
    )
)</f>
        <v>ALCIVAR CEDEÑO BEATRIZ ISABEL</v>
      </c>
      <c r="EB543" t="str">
        <v>ALCIVAR VERA GEMA MICHELLE</v>
      </c>
      <c r="EC543" t="str">
        <v>ARAUZ CHAVEZ MARIO ROBERTO</v>
      </c>
      <c r="ED543" t="str">
        <v>BAILON LOURIDO WALTER ALBERTO</v>
      </c>
      <c r="EE543" t="str">
        <v>CALDERERO VILLAGOMEZ ERICK ANTONIO</v>
      </c>
      <c r="EF543" t="str">
        <v>CASTILLO GARCIA PAOLA GERMANIA</v>
      </c>
      <c r="EG543" t="str">
        <v>CEDEÑO CHOEZ PEDRO JAVIER</v>
      </c>
      <c r="EH543" t="str">
        <v>CEVALLOS HOPPE JUAN CARLOS</v>
      </c>
      <c r="EI543" t="str">
        <v>DELGADO CHAVEZ MARIA IRASEMA</v>
      </c>
      <c r="EJ543" t="str">
        <v>DUARTE VALENCIA CRISTHIAN DARIO</v>
      </c>
      <c r="EK543" t="str">
        <v>FORTTY BARBERAN DENNY ALEXANDER</v>
      </c>
      <c r="EL543" t="str">
        <v>GUTIERREZ ZAMBRANO CARMEN EBELINA</v>
      </c>
      <c r="EM543" t="str">
        <v>INTRIAGO MOLINA GEMA VALERIA</v>
      </c>
      <c r="EN543" t="str">
        <v>LINO VELEZ LEONEL LIVINGTON</v>
      </c>
      <c r="EO543" t="str">
        <v>LOOR ALCIVAR MARIA ILIANA</v>
      </c>
      <c r="EP543" t="str">
        <v>LOOR MIELES TANIA JACQUELINE</v>
      </c>
      <c r="EQ543" t="str">
        <v>LOOR SOLORZANO ROSA MARIA</v>
      </c>
      <c r="ER543" t="str">
        <v>LOPEZ DELGADO RONALD MAURICIO</v>
      </c>
      <c r="ES543" t="str">
        <v>MACIAS VALENCIA DAVID GABRIEL</v>
      </c>
      <c r="ET543" t="str">
        <v>MENDOZA ZAMORA WALTER MANUEL</v>
      </c>
      <c r="EU543" t="str">
        <v>MOLINA CEVALLOS MARIA LORENA</v>
      </c>
      <c r="EV543" t="str">
        <v>MURILLO DELGADO ISAAC GABRIEL</v>
      </c>
      <c r="EW543" t="str">
        <v>ANGULO MURILLO NAVIRA GISSELA</v>
      </c>
      <c r="EX543" t="str">
        <v>OCHOA SOLEDISPA NESTOR IVAN</v>
      </c>
      <c r="EY543" t="str">
        <v>PARRAGA FRANCO SILVANA MARIELA</v>
      </c>
      <c r="EZ543" t="str">
        <v>PINARGOTE VASQUEZ NANCY FABIOLA</v>
      </c>
      <c r="FA543" t="str">
        <v>REYES VELEZ PEDRO ENRIQUE</v>
      </c>
      <c r="FB543" t="str">
        <v>SAN ANDRES HORMAZA DALLAS CECILIA</v>
      </c>
      <c r="FC543" t="str">
        <v>SORNOZA ZAMORA JUAN CARLOS</v>
      </c>
      <c r="FD543" t="str">
        <v>TOMALA PINTO JESUS JACINTO</v>
      </c>
      <c r="FE543" t="str">
        <v>VALLE JARAMILLO SILVIA ARACELY</v>
      </c>
      <c r="FF543" t="str">
        <v>VELÁSQUEZ BRAVO IRMA KATHERINE</v>
      </c>
      <c r="FG543" t="str">
        <v>VELEZ MENDOZA LAYSY VALERIA</v>
      </c>
      <c r="FH543" t="str">
        <v>VINUEZA TELLO SHIRLEY ELIZABETH</v>
      </c>
      <c r="FI543" t="str">
        <v>ZAMBRANO ALCIVAR NILDA ISABEL</v>
      </c>
      <c r="FJ543" t="str">
        <v>ZAMBRANO LOOR RITA MAYDA</v>
      </c>
      <c r="FK543" t="str">
        <v>ZAMBRANO VERA MONICA JANETH</v>
      </c>
      <c r="FL543" t="str">
        <v>VERA DELGADO BRYAN ADRIÁN</v>
      </c>
      <c r="FM543" t="str">
        <v>MORAN GONZALES DAVID RENATO</v>
      </c>
      <c r="FN543">
        <v>0</v>
      </c>
    </row>
    <row r="544" spans="1:170" ht="20.25" customHeight="1">
      <c r="A544" s="4" t="str" cm="1">
        <f t="array" ref="A544">TRANSPOSE(_xlfn.UNIQUE(_xlfn._xlws.FILTER(MAE_ASIGNATURA[ID_NIVEL],MAE_ASIGNATURA[ID_CARRERA]=ASIGNACION!$C544,"No existe información")))</f>
        <v>No existe información</v>
      </c>
      <c r="S544" s="4" t="str" cm="1">
        <f t="array" ref="S544">TRANSPOSE(_xlfn.UNIQUE(_xlfn._xlws.FILTER(MAE_ASIGNATURA[NOM_ASIG],(MAE_ASIGNATURA[ID_NIVEL]=ASIGNACION!$D544)*(MAE_ASIGNATURA[ID_CARRERA]=ASIGNACION!$C544),"No existe información")))</f>
        <v>No existe información</v>
      </c>
      <c r="BD544" s="4" t="str" cm="1">
        <f t="array" ref="BD544">TRANSPOSE(_xlfn.UNIQUE(_xlfn._xlws.FILTER(DET_ASIG[DETALLADO],(DET_ASIG[ID_CARRERA]=ASIGNACION!$C544)*(DET_ASIG[NIVEL]=ASIGNACION!$D544)*(DET_ASIG[ID_ASIG]=ASIGNACION!$G544),"No existe información")))</f>
        <v>No existe información</v>
      </c>
      <c r="BQ544" s="5" t="str" cm="1">
        <f t="array" ref="BQ544">IFERROR(
    TRANSPOSE(
        _xlfn.UNIQUE(
            _xlfn._xlws.FILTER(MAESTRIA_DETALLADO[MAESTRIA],
                ISNUMBER(MATCH(MAESTRIA_DETALLADO[CAMPO_DETALLADO],
                BD544:BP544,0))
            )
        )
    ),IF(BD544="ACTIVIDAD","DOCENCIA",""))</f>
        <v/>
      </c>
      <c r="EA544" s="5" t="str" cm="1">
        <f t="array" ref="EA544:FN544">IF(
    ASIGNACION!I544="SI",
    IFERROR(
        TRANSPOSE(
            _xlfn.UNIQUE(
                _xlfn._xlws.FILTER(EDU_DOCENTE[NOMBRE_DOCENTE],
                    ISNUMBER(MATCH(EDU_DOCENTE[MAESTRIA],
                    BQ544:DY544,0))
                )
            )
        ),
        ""
    ),
    TRANSPOSE(
        _xlfn.UNIQUE(EDU_DOCENTE[NOMBRE_DOCENTE]
        )
    )
)</f>
        <v>ALCIVAR CEDEÑO BEATRIZ ISABEL</v>
      </c>
      <c r="EB544" t="str">
        <v>ALCIVAR VERA GEMA MICHELLE</v>
      </c>
      <c r="EC544" t="str">
        <v>ARAUZ CHAVEZ MARIO ROBERTO</v>
      </c>
      <c r="ED544" t="str">
        <v>BAILON LOURIDO WALTER ALBERTO</v>
      </c>
      <c r="EE544" t="str">
        <v>CALDERERO VILLAGOMEZ ERICK ANTONIO</v>
      </c>
      <c r="EF544" t="str">
        <v>CASTILLO GARCIA PAOLA GERMANIA</v>
      </c>
      <c r="EG544" t="str">
        <v>CEDEÑO CHOEZ PEDRO JAVIER</v>
      </c>
      <c r="EH544" t="str">
        <v>CEVALLOS HOPPE JUAN CARLOS</v>
      </c>
      <c r="EI544" t="str">
        <v>DELGADO CHAVEZ MARIA IRASEMA</v>
      </c>
      <c r="EJ544" t="str">
        <v>DUARTE VALENCIA CRISTHIAN DARIO</v>
      </c>
      <c r="EK544" t="str">
        <v>FORTTY BARBERAN DENNY ALEXANDER</v>
      </c>
      <c r="EL544" t="str">
        <v>GUTIERREZ ZAMBRANO CARMEN EBELINA</v>
      </c>
      <c r="EM544" t="str">
        <v>INTRIAGO MOLINA GEMA VALERIA</v>
      </c>
      <c r="EN544" t="str">
        <v>LINO VELEZ LEONEL LIVINGTON</v>
      </c>
      <c r="EO544" t="str">
        <v>LOOR ALCIVAR MARIA ILIANA</v>
      </c>
      <c r="EP544" t="str">
        <v>LOOR MIELES TANIA JACQUELINE</v>
      </c>
      <c r="EQ544" t="str">
        <v>LOOR SOLORZANO ROSA MARIA</v>
      </c>
      <c r="ER544" t="str">
        <v>LOPEZ DELGADO RONALD MAURICIO</v>
      </c>
      <c r="ES544" t="str">
        <v>MACIAS VALENCIA DAVID GABRIEL</v>
      </c>
      <c r="ET544" t="str">
        <v>MENDOZA ZAMORA WALTER MANUEL</v>
      </c>
      <c r="EU544" t="str">
        <v>MOLINA CEVALLOS MARIA LORENA</v>
      </c>
      <c r="EV544" t="str">
        <v>MURILLO DELGADO ISAAC GABRIEL</v>
      </c>
      <c r="EW544" t="str">
        <v>ANGULO MURILLO NAVIRA GISSELA</v>
      </c>
      <c r="EX544" t="str">
        <v>OCHOA SOLEDISPA NESTOR IVAN</v>
      </c>
      <c r="EY544" t="str">
        <v>PARRAGA FRANCO SILVANA MARIELA</v>
      </c>
      <c r="EZ544" t="str">
        <v>PINARGOTE VASQUEZ NANCY FABIOLA</v>
      </c>
      <c r="FA544" t="str">
        <v>REYES VELEZ PEDRO ENRIQUE</v>
      </c>
      <c r="FB544" t="str">
        <v>SAN ANDRES HORMAZA DALLAS CECILIA</v>
      </c>
      <c r="FC544" t="str">
        <v>SORNOZA ZAMORA JUAN CARLOS</v>
      </c>
      <c r="FD544" t="str">
        <v>TOMALA PINTO JESUS JACINTO</v>
      </c>
      <c r="FE544" t="str">
        <v>VALLE JARAMILLO SILVIA ARACELY</v>
      </c>
      <c r="FF544" t="str">
        <v>VELÁSQUEZ BRAVO IRMA KATHERINE</v>
      </c>
      <c r="FG544" t="str">
        <v>VELEZ MENDOZA LAYSY VALERIA</v>
      </c>
      <c r="FH544" t="str">
        <v>VINUEZA TELLO SHIRLEY ELIZABETH</v>
      </c>
      <c r="FI544" t="str">
        <v>ZAMBRANO ALCIVAR NILDA ISABEL</v>
      </c>
      <c r="FJ544" t="str">
        <v>ZAMBRANO LOOR RITA MAYDA</v>
      </c>
      <c r="FK544" t="str">
        <v>ZAMBRANO VERA MONICA JANETH</v>
      </c>
      <c r="FL544" t="str">
        <v>VERA DELGADO BRYAN ADRIÁN</v>
      </c>
      <c r="FM544" t="str">
        <v>MORAN GONZALES DAVID RENATO</v>
      </c>
      <c r="FN544">
        <v>0</v>
      </c>
    </row>
    <row r="545" spans="1:170" ht="20.25" customHeight="1">
      <c r="A545" s="4" t="str" cm="1">
        <f t="array" ref="A545">TRANSPOSE(_xlfn.UNIQUE(_xlfn._xlws.FILTER(MAE_ASIGNATURA[ID_NIVEL],MAE_ASIGNATURA[ID_CARRERA]=ASIGNACION!$C545,"No existe información")))</f>
        <v>No existe información</v>
      </c>
      <c r="S545" s="4" t="str" cm="1">
        <f t="array" ref="S545">TRANSPOSE(_xlfn.UNIQUE(_xlfn._xlws.FILTER(MAE_ASIGNATURA[NOM_ASIG],(MAE_ASIGNATURA[ID_NIVEL]=ASIGNACION!$D545)*(MAE_ASIGNATURA[ID_CARRERA]=ASIGNACION!$C545),"No existe información")))</f>
        <v>No existe información</v>
      </c>
      <c r="BD545" s="4" t="str" cm="1">
        <f t="array" ref="BD545">TRANSPOSE(_xlfn.UNIQUE(_xlfn._xlws.FILTER(DET_ASIG[DETALLADO],(DET_ASIG[ID_CARRERA]=ASIGNACION!$C545)*(DET_ASIG[NIVEL]=ASIGNACION!$D545)*(DET_ASIG[ID_ASIG]=ASIGNACION!$G545),"No existe información")))</f>
        <v>No existe información</v>
      </c>
      <c r="BQ545" s="5" t="str" cm="1">
        <f t="array" ref="BQ545">IFERROR(
    TRANSPOSE(
        _xlfn.UNIQUE(
            _xlfn._xlws.FILTER(MAESTRIA_DETALLADO[MAESTRIA],
                ISNUMBER(MATCH(MAESTRIA_DETALLADO[CAMPO_DETALLADO],
                BD545:BP545,0))
            )
        )
    ),IF(BD545="ACTIVIDAD","DOCENCIA",""))</f>
        <v/>
      </c>
      <c r="EA545" s="5" t="str" cm="1">
        <f t="array" ref="EA545:FN545">IF(
    ASIGNACION!I545="SI",
    IFERROR(
        TRANSPOSE(
            _xlfn.UNIQUE(
                _xlfn._xlws.FILTER(EDU_DOCENTE[NOMBRE_DOCENTE],
                    ISNUMBER(MATCH(EDU_DOCENTE[MAESTRIA],
                    BQ545:DY545,0))
                )
            )
        ),
        ""
    ),
    TRANSPOSE(
        _xlfn.UNIQUE(EDU_DOCENTE[NOMBRE_DOCENTE]
        )
    )
)</f>
        <v>ALCIVAR CEDEÑO BEATRIZ ISABEL</v>
      </c>
      <c r="EB545" t="str">
        <v>ALCIVAR VERA GEMA MICHELLE</v>
      </c>
      <c r="EC545" t="str">
        <v>ARAUZ CHAVEZ MARIO ROBERTO</v>
      </c>
      <c r="ED545" t="str">
        <v>BAILON LOURIDO WALTER ALBERTO</v>
      </c>
      <c r="EE545" t="str">
        <v>CALDERERO VILLAGOMEZ ERICK ANTONIO</v>
      </c>
      <c r="EF545" t="str">
        <v>CASTILLO GARCIA PAOLA GERMANIA</v>
      </c>
      <c r="EG545" t="str">
        <v>CEDEÑO CHOEZ PEDRO JAVIER</v>
      </c>
      <c r="EH545" t="str">
        <v>CEVALLOS HOPPE JUAN CARLOS</v>
      </c>
      <c r="EI545" t="str">
        <v>DELGADO CHAVEZ MARIA IRASEMA</v>
      </c>
      <c r="EJ545" t="str">
        <v>DUARTE VALENCIA CRISTHIAN DARIO</v>
      </c>
      <c r="EK545" t="str">
        <v>FORTTY BARBERAN DENNY ALEXANDER</v>
      </c>
      <c r="EL545" t="str">
        <v>GUTIERREZ ZAMBRANO CARMEN EBELINA</v>
      </c>
      <c r="EM545" t="str">
        <v>INTRIAGO MOLINA GEMA VALERIA</v>
      </c>
      <c r="EN545" t="str">
        <v>LINO VELEZ LEONEL LIVINGTON</v>
      </c>
      <c r="EO545" t="str">
        <v>LOOR ALCIVAR MARIA ILIANA</v>
      </c>
      <c r="EP545" t="str">
        <v>LOOR MIELES TANIA JACQUELINE</v>
      </c>
      <c r="EQ545" t="str">
        <v>LOOR SOLORZANO ROSA MARIA</v>
      </c>
      <c r="ER545" t="str">
        <v>LOPEZ DELGADO RONALD MAURICIO</v>
      </c>
      <c r="ES545" t="str">
        <v>MACIAS VALENCIA DAVID GABRIEL</v>
      </c>
      <c r="ET545" t="str">
        <v>MENDOZA ZAMORA WALTER MANUEL</v>
      </c>
      <c r="EU545" t="str">
        <v>MOLINA CEVALLOS MARIA LORENA</v>
      </c>
      <c r="EV545" t="str">
        <v>MURILLO DELGADO ISAAC GABRIEL</v>
      </c>
      <c r="EW545" t="str">
        <v>ANGULO MURILLO NAVIRA GISSELA</v>
      </c>
      <c r="EX545" t="str">
        <v>OCHOA SOLEDISPA NESTOR IVAN</v>
      </c>
      <c r="EY545" t="str">
        <v>PARRAGA FRANCO SILVANA MARIELA</v>
      </c>
      <c r="EZ545" t="str">
        <v>PINARGOTE VASQUEZ NANCY FABIOLA</v>
      </c>
      <c r="FA545" t="str">
        <v>REYES VELEZ PEDRO ENRIQUE</v>
      </c>
      <c r="FB545" t="str">
        <v>SAN ANDRES HORMAZA DALLAS CECILIA</v>
      </c>
      <c r="FC545" t="str">
        <v>SORNOZA ZAMORA JUAN CARLOS</v>
      </c>
      <c r="FD545" t="str">
        <v>TOMALA PINTO JESUS JACINTO</v>
      </c>
      <c r="FE545" t="str">
        <v>VALLE JARAMILLO SILVIA ARACELY</v>
      </c>
      <c r="FF545" t="str">
        <v>VELÁSQUEZ BRAVO IRMA KATHERINE</v>
      </c>
      <c r="FG545" t="str">
        <v>VELEZ MENDOZA LAYSY VALERIA</v>
      </c>
      <c r="FH545" t="str">
        <v>VINUEZA TELLO SHIRLEY ELIZABETH</v>
      </c>
      <c r="FI545" t="str">
        <v>ZAMBRANO ALCIVAR NILDA ISABEL</v>
      </c>
      <c r="FJ545" t="str">
        <v>ZAMBRANO LOOR RITA MAYDA</v>
      </c>
      <c r="FK545" t="str">
        <v>ZAMBRANO VERA MONICA JANETH</v>
      </c>
      <c r="FL545" t="str">
        <v>VERA DELGADO BRYAN ADRIÁN</v>
      </c>
      <c r="FM545" t="str">
        <v>MORAN GONZALES DAVID RENATO</v>
      </c>
      <c r="FN545">
        <v>0</v>
      </c>
    </row>
    <row r="546" spans="1:170" ht="20.25" customHeight="1">
      <c r="A546" s="4" t="str" cm="1">
        <f t="array" ref="A546">TRANSPOSE(_xlfn.UNIQUE(_xlfn._xlws.FILTER(MAE_ASIGNATURA[ID_NIVEL],MAE_ASIGNATURA[ID_CARRERA]=ASIGNACION!$C546,"No existe información")))</f>
        <v>No existe información</v>
      </c>
      <c r="S546" s="4" t="str" cm="1">
        <f t="array" ref="S546">TRANSPOSE(_xlfn.UNIQUE(_xlfn._xlws.FILTER(MAE_ASIGNATURA[NOM_ASIG],(MAE_ASIGNATURA[ID_NIVEL]=ASIGNACION!$D546)*(MAE_ASIGNATURA[ID_CARRERA]=ASIGNACION!$C546),"No existe información")))</f>
        <v>No existe información</v>
      </c>
      <c r="BD546" s="4" t="str" cm="1">
        <f t="array" ref="BD546">TRANSPOSE(_xlfn.UNIQUE(_xlfn._xlws.FILTER(DET_ASIG[DETALLADO],(DET_ASIG[ID_CARRERA]=ASIGNACION!$C546)*(DET_ASIG[NIVEL]=ASIGNACION!$D546)*(DET_ASIG[ID_ASIG]=ASIGNACION!$G546),"No existe información")))</f>
        <v>No existe información</v>
      </c>
      <c r="BQ546" s="5" t="str" cm="1">
        <f t="array" ref="BQ546">IFERROR(
    TRANSPOSE(
        _xlfn.UNIQUE(
            _xlfn._xlws.FILTER(MAESTRIA_DETALLADO[MAESTRIA],
                ISNUMBER(MATCH(MAESTRIA_DETALLADO[CAMPO_DETALLADO],
                BD546:BP546,0))
            )
        )
    ),IF(BD546="ACTIVIDAD","DOCENCIA",""))</f>
        <v/>
      </c>
      <c r="EA546" s="5" t="str" cm="1">
        <f t="array" ref="EA546:FN546">IF(
    ASIGNACION!I546="SI",
    IFERROR(
        TRANSPOSE(
            _xlfn.UNIQUE(
                _xlfn._xlws.FILTER(EDU_DOCENTE[NOMBRE_DOCENTE],
                    ISNUMBER(MATCH(EDU_DOCENTE[MAESTRIA],
                    BQ546:DY546,0))
                )
            )
        ),
        ""
    ),
    TRANSPOSE(
        _xlfn.UNIQUE(EDU_DOCENTE[NOMBRE_DOCENTE]
        )
    )
)</f>
        <v>ALCIVAR CEDEÑO BEATRIZ ISABEL</v>
      </c>
      <c r="EB546" t="str">
        <v>ALCIVAR VERA GEMA MICHELLE</v>
      </c>
      <c r="EC546" t="str">
        <v>ARAUZ CHAVEZ MARIO ROBERTO</v>
      </c>
      <c r="ED546" t="str">
        <v>BAILON LOURIDO WALTER ALBERTO</v>
      </c>
      <c r="EE546" t="str">
        <v>CALDERERO VILLAGOMEZ ERICK ANTONIO</v>
      </c>
      <c r="EF546" t="str">
        <v>CASTILLO GARCIA PAOLA GERMANIA</v>
      </c>
      <c r="EG546" t="str">
        <v>CEDEÑO CHOEZ PEDRO JAVIER</v>
      </c>
      <c r="EH546" t="str">
        <v>CEVALLOS HOPPE JUAN CARLOS</v>
      </c>
      <c r="EI546" t="str">
        <v>DELGADO CHAVEZ MARIA IRASEMA</v>
      </c>
      <c r="EJ546" t="str">
        <v>DUARTE VALENCIA CRISTHIAN DARIO</v>
      </c>
      <c r="EK546" t="str">
        <v>FORTTY BARBERAN DENNY ALEXANDER</v>
      </c>
      <c r="EL546" t="str">
        <v>GUTIERREZ ZAMBRANO CARMEN EBELINA</v>
      </c>
      <c r="EM546" t="str">
        <v>INTRIAGO MOLINA GEMA VALERIA</v>
      </c>
      <c r="EN546" t="str">
        <v>LINO VELEZ LEONEL LIVINGTON</v>
      </c>
      <c r="EO546" t="str">
        <v>LOOR ALCIVAR MARIA ILIANA</v>
      </c>
      <c r="EP546" t="str">
        <v>LOOR MIELES TANIA JACQUELINE</v>
      </c>
      <c r="EQ546" t="str">
        <v>LOOR SOLORZANO ROSA MARIA</v>
      </c>
      <c r="ER546" t="str">
        <v>LOPEZ DELGADO RONALD MAURICIO</v>
      </c>
      <c r="ES546" t="str">
        <v>MACIAS VALENCIA DAVID GABRIEL</v>
      </c>
      <c r="ET546" t="str">
        <v>MENDOZA ZAMORA WALTER MANUEL</v>
      </c>
      <c r="EU546" t="str">
        <v>MOLINA CEVALLOS MARIA LORENA</v>
      </c>
      <c r="EV546" t="str">
        <v>MURILLO DELGADO ISAAC GABRIEL</v>
      </c>
      <c r="EW546" t="str">
        <v>ANGULO MURILLO NAVIRA GISSELA</v>
      </c>
      <c r="EX546" t="str">
        <v>OCHOA SOLEDISPA NESTOR IVAN</v>
      </c>
      <c r="EY546" t="str">
        <v>PARRAGA FRANCO SILVANA MARIELA</v>
      </c>
      <c r="EZ546" t="str">
        <v>PINARGOTE VASQUEZ NANCY FABIOLA</v>
      </c>
      <c r="FA546" t="str">
        <v>REYES VELEZ PEDRO ENRIQUE</v>
      </c>
      <c r="FB546" t="str">
        <v>SAN ANDRES HORMAZA DALLAS CECILIA</v>
      </c>
      <c r="FC546" t="str">
        <v>SORNOZA ZAMORA JUAN CARLOS</v>
      </c>
      <c r="FD546" t="str">
        <v>TOMALA PINTO JESUS JACINTO</v>
      </c>
      <c r="FE546" t="str">
        <v>VALLE JARAMILLO SILVIA ARACELY</v>
      </c>
      <c r="FF546" t="str">
        <v>VELÁSQUEZ BRAVO IRMA KATHERINE</v>
      </c>
      <c r="FG546" t="str">
        <v>VELEZ MENDOZA LAYSY VALERIA</v>
      </c>
      <c r="FH546" t="str">
        <v>VINUEZA TELLO SHIRLEY ELIZABETH</v>
      </c>
      <c r="FI546" t="str">
        <v>ZAMBRANO ALCIVAR NILDA ISABEL</v>
      </c>
      <c r="FJ546" t="str">
        <v>ZAMBRANO LOOR RITA MAYDA</v>
      </c>
      <c r="FK546" t="str">
        <v>ZAMBRANO VERA MONICA JANETH</v>
      </c>
      <c r="FL546" t="str">
        <v>VERA DELGADO BRYAN ADRIÁN</v>
      </c>
      <c r="FM546" t="str">
        <v>MORAN GONZALES DAVID RENATO</v>
      </c>
      <c r="FN546">
        <v>0</v>
      </c>
    </row>
    <row r="547" spans="1:170" ht="20.25" customHeight="1">
      <c r="A547" s="4" t="str" cm="1">
        <f t="array" ref="A547">TRANSPOSE(_xlfn.UNIQUE(_xlfn._xlws.FILTER(MAE_ASIGNATURA[ID_NIVEL],MAE_ASIGNATURA[ID_CARRERA]=ASIGNACION!$C547,"No existe información")))</f>
        <v>No existe información</v>
      </c>
      <c r="S547" s="4" t="str" cm="1">
        <f t="array" ref="S547">TRANSPOSE(_xlfn.UNIQUE(_xlfn._xlws.FILTER(MAE_ASIGNATURA[NOM_ASIG],(MAE_ASIGNATURA[ID_NIVEL]=ASIGNACION!$D547)*(MAE_ASIGNATURA[ID_CARRERA]=ASIGNACION!$C547),"No existe información")))</f>
        <v>No existe información</v>
      </c>
      <c r="BD547" s="4" t="str" cm="1">
        <f t="array" ref="BD547">TRANSPOSE(_xlfn.UNIQUE(_xlfn._xlws.FILTER(DET_ASIG[DETALLADO],(DET_ASIG[ID_CARRERA]=ASIGNACION!$C547)*(DET_ASIG[NIVEL]=ASIGNACION!$D547)*(DET_ASIG[ID_ASIG]=ASIGNACION!$G547),"No existe información")))</f>
        <v>No existe información</v>
      </c>
      <c r="BQ547" s="5" t="str" cm="1">
        <f t="array" ref="BQ547">IFERROR(
    TRANSPOSE(
        _xlfn.UNIQUE(
            _xlfn._xlws.FILTER(MAESTRIA_DETALLADO[MAESTRIA],
                ISNUMBER(MATCH(MAESTRIA_DETALLADO[CAMPO_DETALLADO],
                BD547:BP547,0))
            )
        )
    ),IF(BD547="ACTIVIDAD","DOCENCIA",""))</f>
        <v/>
      </c>
      <c r="EA547" s="5" t="str" cm="1">
        <f t="array" ref="EA547:FN547">IF(
    ASIGNACION!I547="SI",
    IFERROR(
        TRANSPOSE(
            _xlfn.UNIQUE(
                _xlfn._xlws.FILTER(EDU_DOCENTE[NOMBRE_DOCENTE],
                    ISNUMBER(MATCH(EDU_DOCENTE[MAESTRIA],
                    BQ547:DY547,0))
                )
            )
        ),
        ""
    ),
    TRANSPOSE(
        _xlfn.UNIQUE(EDU_DOCENTE[NOMBRE_DOCENTE]
        )
    )
)</f>
        <v>ALCIVAR CEDEÑO BEATRIZ ISABEL</v>
      </c>
      <c r="EB547" t="str">
        <v>ALCIVAR VERA GEMA MICHELLE</v>
      </c>
      <c r="EC547" t="str">
        <v>ARAUZ CHAVEZ MARIO ROBERTO</v>
      </c>
      <c r="ED547" t="str">
        <v>BAILON LOURIDO WALTER ALBERTO</v>
      </c>
      <c r="EE547" t="str">
        <v>CALDERERO VILLAGOMEZ ERICK ANTONIO</v>
      </c>
      <c r="EF547" t="str">
        <v>CASTILLO GARCIA PAOLA GERMANIA</v>
      </c>
      <c r="EG547" t="str">
        <v>CEDEÑO CHOEZ PEDRO JAVIER</v>
      </c>
      <c r="EH547" t="str">
        <v>CEVALLOS HOPPE JUAN CARLOS</v>
      </c>
      <c r="EI547" t="str">
        <v>DELGADO CHAVEZ MARIA IRASEMA</v>
      </c>
      <c r="EJ547" t="str">
        <v>DUARTE VALENCIA CRISTHIAN DARIO</v>
      </c>
      <c r="EK547" t="str">
        <v>FORTTY BARBERAN DENNY ALEXANDER</v>
      </c>
      <c r="EL547" t="str">
        <v>GUTIERREZ ZAMBRANO CARMEN EBELINA</v>
      </c>
      <c r="EM547" t="str">
        <v>INTRIAGO MOLINA GEMA VALERIA</v>
      </c>
      <c r="EN547" t="str">
        <v>LINO VELEZ LEONEL LIVINGTON</v>
      </c>
      <c r="EO547" t="str">
        <v>LOOR ALCIVAR MARIA ILIANA</v>
      </c>
      <c r="EP547" t="str">
        <v>LOOR MIELES TANIA JACQUELINE</v>
      </c>
      <c r="EQ547" t="str">
        <v>LOOR SOLORZANO ROSA MARIA</v>
      </c>
      <c r="ER547" t="str">
        <v>LOPEZ DELGADO RONALD MAURICIO</v>
      </c>
      <c r="ES547" t="str">
        <v>MACIAS VALENCIA DAVID GABRIEL</v>
      </c>
      <c r="ET547" t="str">
        <v>MENDOZA ZAMORA WALTER MANUEL</v>
      </c>
      <c r="EU547" t="str">
        <v>MOLINA CEVALLOS MARIA LORENA</v>
      </c>
      <c r="EV547" t="str">
        <v>MURILLO DELGADO ISAAC GABRIEL</v>
      </c>
      <c r="EW547" t="str">
        <v>ANGULO MURILLO NAVIRA GISSELA</v>
      </c>
      <c r="EX547" t="str">
        <v>OCHOA SOLEDISPA NESTOR IVAN</v>
      </c>
      <c r="EY547" t="str">
        <v>PARRAGA FRANCO SILVANA MARIELA</v>
      </c>
      <c r="EZ547" t="str">
        <v>PINARGOTE VASQUEZ NANCY FABIOLA</v>
      </c>
      <c r="FA547" t="str">
        <v>REYES VELEZ PEDRO ENRIQUE</v>
      </c>
      <c r="FB547" t="str">
        <v>SAN ANDRES HORMAZA DALLAS CECILIA</v>
      </c>
      <c r="FC547" t="str">
        <v>SORNOZA ZAMORA JUAN CARLOS</v>
      </c>
      <c r="FD547" t="str">
        <v>TOMALA PINTO JESUS JACINTO</v>
      </c>
      <c r="FE547" t="str">
        <v>VALLE JARAMILLO SILVIA ARACELY</v>
      </c>
      <c r="FF547" t="str">
        <v>VELÁSQUEZ BRAVO IRMA KATHERINE</v>
      </c>
      <c r="FG547" t="str">
        <v>VELEZ MENDOZA LAYSY VALERIA</v>
      </c>
      <c r="FH547" t="str">
        <v>VINUEZA TELLO SHIRLEY ELIZABETH</v>
      </c>
      <c r="FI547" t="str">
        <v>ZAMBRANO ALCIVAR NILDA ISABEL</v>
      </c>
      <c r="FJ547" t="str">
        <v>ZAMBRANO LOOR RITA MAYDA</v>
      </c>
      <c r="FK547" t="str">
        <v>ZAMBRANO VERA MONICA JANETH</v>
      </c>
      <c r="FL547" t="str">
        <v>VERA DELGADO BRYAN ADRIÁN</v>
      </c>
      <c r="FM547" t="str">
        <v>MORAN GONZALES DAVID RENATO</v>
      </c>
      <c r="FN547">
        <v>0</v>
      </c>
    </row>
    <row r="548" spans="1:170" ht="20.25" customHeight="1">
      <c r="A548" s="4" t="str" cm="1">
        <f t="array" ref="A548">TRANSPOSE(_xlfn.UNIQUE(_xlfn._xlws.FILTER(MAE_ASIGNATURA[ID_NIVEL],MAE_ASIGNATURA[ID_CARRERA]=ASIGNACION!$C548,"No existe información")))</f>
        <v>No existe información</v>
      </c>
      <c r="S548" s="4" t="str" cm="1">
        <f t="array" ref="S548">TRANSPOSE(_xlfn.UNIQUE(_xlfn._xlws.FILTER(MAE_ASIGNATURA[NOM_ASIG],(MAE_ASIGNATURA[ID_NIVEL]=ASIGNACION!$D548)*(MAE_ASIGNATURA[ID_CARRERA]=ASIGNACION!$C548),"No existe información")))</f>
        <v>No existe información</v>
      </c>
      <c r="BD548" s="4" t="str" cm="1">
        <f t="array" ref="BD548">TRANSPOSE(_xlfn.UNIQUE(_xlfn._xlws.FILTER(DET_ASIG[DETALLADO],(DET_ASIG[ID_CARRERA]=ASIGNACION!$C548)*(DET_ASIG[NIVEL]=ASIGNACION!$D548)*(DET_ASIG[ID_ASIG]=ASIGNACION!$G548),"No existe información")))</f>
        <v>No existe información</v>
      </c>
      <c r="BQ548" s="5" t="str" cm="1">
        <f t="array" ref="BQ548">IFERROR(
    TRANSPOSE(
        _xlfn.UNIQUE(
            _xlfn._xlws.FILTER(MAESTRIA_DETALLADO[MAESTRIA],
                ISNUMBER(MATCH(MAESTRIA_DETALLADO[CAMPO_DETALLADO],
                BD548:BP548,0))
            )
        )
    ),IF(BD548="ACTIVIDAD","DOCENCIA",""))</f>
        <v/>
      </c>
      <c r="EA548" s="5" t="str" cm="1">
        <f t="array" ref="EA548:FN548">IF(
    ASIGNACION!I548="SI",
    IFERROR(
        TRANSPOSE(
            _xlfn.UNIQUE(
                _xlfn._xlws.FILTER(EDU_DOCENTE[NOMBRE_DOCENTE],
                    ISNUMBER(MATCH(EDU_DOCENTE[MAESTRIA],
                    BQ548:DY548,0))
                )
            )
        ),
        ""
    ),
    TRANSPOSE(
        _xlfn.UNIQUE(EDU_DOCENTE[NOMBRE_DOCENTE]
        )
    )
)</f>
        <v>ALCIVAR CEDEÑO BEATRIZ ISABEL</v>
      </c>
      <c r="EB548" t="str">
        <v>ALCIVAR VERA GEMA MICHELLE</v>
      </c>
      <c r="EC548" t="str">
        <v>ARAUZ CHAVEZ MARIO ROBERTO</v>
      </c>
      <c r="ED548" t="str">
        <v>BAILON LOURIDO WALTER ALBERTO</v>
      </c>
      <c r="EE548" t="str">
        <v>CALDERERO VILLAGOMEZ ERICK ANTONIO</v>
      </c>
      <c r="EF548" t="str">
        <v>CASTILLO GARCIA PAOLA GERMANIA</v>
      </c>
      <c r="EG548" t="str">
        <v>CEDEÑO CHOEZ PEDRO JAVIER</v>
      </c>
      <c r="EH548" t="str">
        <v>CEVALLOS HOPPE JUAN CARLOS</v>
      </c>
      <c r="EI548" t="str">
        <v>DELGADO CHAVEZ MARIA IRASEMA</v>
      </c>
      <c r="EJ548" t="str">
        <v>DUARTE VALENCIA CRISTHIAN DARIO</v>
      </c>
      <c r="EK548" t="str">
        <v>FORTTY BARBERAN DENNY ALEXANDER</v>
      </c>
      <c r="EL548" t="str">
        <v>GUTIERREZ ZAMBRANO CARMEN EBELINA</v>
      </c>
      <c r="EM548" t="str">
        <v>INTRIAGO MOLINA GEMA VALERIA</v>
      </c>
      <c r="EN548" t="str">
        <v>LINO VELEZ LEONEL LIVINGTON</v>
      </c>
      <c r="EO548" t="str">
        <v>LOOR ALCIVAR MARIA ILIANA</v>
      </c>
      <c r="EP548" t="str">
        <v>LOOR MIELES TANIA JACQUELINE</v>
      </c>
      <c r="EQ548" t="str">
        <v>LOOR SOLORZANO ROSA MARIA</v>
      </c>
      <c r="ER548" t="str">
        <v>LOPEZ DELGADO RONALD MAURICIO</v>
      </c>
      <c r="ES548" t="str">
        <v>MACIAS VALENCIA DAVID GABRIEL</v>
      </c>
      <c r="ET548" t="str">
        <v>MENDOZA ZAMORA WALTER MANUEL</v>
      </c>
      <c r="EU548" t="str">
        <v>MOLINA CEVALLOS MARIA LORENA</v>
      </c>
      <c r="EV548" t="str">
        <v>MURILLO DELGADO ISAAC GABRIEL</v>
      </c>
      <c r="EW548" t="str">
        <v>ANGULO MURILLO NAVIRA GISSELA</v>
      </c>
      <c r="EX548" t="str">
        <v>OCHOA SOLEDISPA NESTOR IVAN</v>
      </c>
      <c r="EY548" t="str">
        <v>PARRAGA FRANCO SILVANA MARIELA</v>
      </c>
      <c r="EZ548" t="str">
        <v>PINARGOTE VASQUEZ NANCY FABIOLA</v>
      </c>
      <c r="FA548" t="str">
        <v>REYES VELEZ PEDRO ENRIQUE</v>
      </c>
      <c r="FB548" t="str">
        <v>SAN ANDRES HORMAZA DALLAS CECILIA</v>
      </c>
      <c r="FC548" t="str">
        <v>SORNOZA ZAMORA JUAN CARLOS</v>
      </c>
      <c r="FD548" t="str">
        <v>TOMALA PINTO JESUS JACINTO</v>
      </c>
      <c r="FE548" t="str">
        <v>VALLE JARAMILLO SILVIA ARACELY</v>
      </c>
      <c r="FF548" t="str">
        <v>VELÁSQUEZ BRAVO IRMA KATHERINE</v>
      </c>
      <c r="FG548" t="str">
        <v>VELEZ MENDOZA LAYSY VALERIA</v>
      </c>
      <c r="FH548" t="str">
        <v>VINUEZA TELLO SHIRLEY ELIZABETH</v>
      </c>
      <c r="FI548" t="str">
        <v>ZAMBRANO ALCIVAR NILDA ISABEL</v>
      </c>
      <c r="FJ548" t="str">
        <v>ZAMBRANO LOOR RITA MAYDA</v>
      </c>
      <c r="FK548" t="str">
        <v>ZAMBRANO VERA MONICA JANETH</v>
      </c>
      <c r="FL548" t="str">
        <v>VERA DELGADO BRYAN ADRIÁN</v>
      </c>
      <c r="FM548" t="str">
        <v>MORAN GONZALES DAVID RENATO</v>
      </c>
      <c r="FN548">
        <v>0</v>
      </c>
    </row>
    <row r="549" spans="1:170" ht="20.25" customHeight="1">
      <c r="A549" s="4" t="str" cm="1">
        <f t="array" ref="A549">TRANSPOSE(_xlfn.UNIQUE(_xlfn._xlws.FILTER(MAE_ASIGNATURA[ID_NIVEL],MAE_ASIGNATURA[ID_CARRERA]=ASIGNACION!$C549,"No existe información")))</f>
        <v>No existe información</v>
      </c>
      <c r="S549" s="4" t="str" cm="1">
        <f t="array" ref="S549">TRANSPOSE(_xlfn.UNIQUE(_xlfn._xlws.FILTER(MAE_ASIGNATURA[NOM_ASIG],(MAE_ASIGNATURA[ID_NIVEL]=ASIGNACION!$D549)*(MAE_ASIGNATURA[ID_CARRERA]=ASIGNACION!$C549),"No existe información")))</f>
        <v>No existe información</v>
      </c>
      <c r="BD549" s="4" t="str" cm="1">
        <f t="array" ref="BD549">TRANSPOSE(_xlfn.UNIQUE(_xlfn._xlws.FILTER(DET_ASIG[DETALLADO],(DET_ASIG[ID_CARRERA]=ASIGNACION!$C549)*(DET_ASIG[NIVEL]=ASIGNACION!$D549)*(DET_ASIG[ID_ASIG]=ASIGNACION!$G549),"No existe información")))</f>
        <v>No existe información</v>
      </c>
      <c r="BQ549" s="5" t="str" cm="1">
        <f t="array" ref="BQ549">IFERROR(
    TRANSPOSE(
        _xlfn.UNIQUE(
            _xlfn._xlws.FILTER(MAESTRIA_DETALLADO[MAESTRIA],
                ISNUMBER(MATCH(MAESTRIA_DETALLADO[CAMPO_DETALLADO],
                BD549:BP549,0))
            )
        )
    ),IF(BD549="ACTIVIDAD","DOCENCIA",""))</f>
        <v/>
      </c>
      <c r="EA549" s="5" t="str" cm="1">
        <f t="array" ref="EA549:FN549">IF(
    ASIGNACION!I549="SI",
    IFERROR(
        TRANSPOSE(
            _xlfn.UNIQUE(
                _xlfn._xlws.FILTER(EDU_DOCENTE[NOMBRE_DOCENTE],
                    ISNUMBER(MATCH(EDU_DOCENTE[MAESTRIA],
                    BQ549:DY549,0))
                )
            )
        ),
        ""
    ),
    TRANSPOSE(
        _xlfn.UNIQUE(EDU_DOCENTE[NOMBRE_DOCENTE]
        )
    )
)</f>
        <v>ALCIVAR CEDEÑO BEATRIZ ISABEL</v>
      </c>
      <c r="EB549" t="str">
        <v>ALCIVAR VERA GEMA MICHELLE</v>
      </c>
      <c r="EC549" t="str">
        <v>ARAUZ CHAVEZ MARIO ROBERTO</v>
      </c>
      <c r="ED549" t="str">
        <v>BAILON LOURIDO WALTER ALBERTO</v>
      </c>
      <c r="EE549" t="str">
        <v>CALDERERO VILLAGOMEZ ERICK ANTONIO</v>
      </c>
      <c r="EF549" t="str">
        <v>CASTILLO GARCIA PAOLA GERMANIA</v>
      </c>
      <c r="EG549" t="str">
        <v>CEDEÑO CHOEZ PEDRO JAVIER</v>
      </c>
      <c r="EH549" t="str">
        <v>CEVALLOS HOPPE JUAN CARLOS</v>
      </c>
      <c r="EI549" t="str">
        <v>DELGADO CHAVEZ MARIA IRASEMA</v>
      </c>
      <c r="EJ549" t="str">
        <v>DUARTE VALENCIA CRISTHIAN DARIO</v>
      </c>
      <c r="EK549" t="str">
        <v>FORTTY BARBERAN DENNY ALEXANDER</v>
      </c>
      <c r="EL549" t="str">
        <v>GUTIERREZ ZAMBRANO CARMEN EBELINA</v>
      </c>
      <c r="EM549" t="str">
        <v>INTRIAGO MOLINA GEMA VALERIA</v>
      </c>
      <c r="EN549" t="str">
        <v>LINO VELEZ LEONEL LIVINGTON</v>
      </c>
      <c r="EO549" t="str">
        <v>LOOR ALCIVAR MARIA ILIANA</v>
      </c>
      <c r="EP549" t="str">
        <v>LOOR MIELES TANIA JACQUELINE</v>
      </c>
      <c r="EQ549" t="str">
        <v>LOOR SOLORZANO ROSA MARIA</v>
      </c>
      <c r="ER549" t="str">
        <v>LOPEZ DELGADO RONALD MAURICIO</v>
      </c>
      <c r="ES549" t="str">
        <v>MACIAS VALENCIA DAVID GABRIEL</v>
      </c>
      <c r="ET549" t="str">
        <v>MENDOZA ZAMORA WALTER MANUEL</v>
      </c>
      <c r="EU549" t="str">
        <v>MOLINA CEVALLOS MARIA LORENA</v>
      </c>
      <c r="EV549" t="str">
        <v>MURILLO DELGADO ISAAC GABRIEL</v>
      </c>
      <c r="EW549" t="str">
        <v>ANGULO MURILLO NAVIRA GISSELA</v>
      </c>
      <c r="EX549" t="str">
        <v>OCHOA SOLEDISPA NESTOR IVAN</v>
      </c>
      <c r="EY549" t="str">
        <v>PARRAGA FRANCO SILVANA MARIELA</v>
      </c>
      <c r="EZ549" t="str">
        <v>PINARGOTE VASQUEZ NANCY FABIOLA</v>
      </c>
      <c r="FA549" t="str">
        <v>REYES VELEZ PEDRO ENRIQUE</v>
      </c>
      <c r="FB549" t="str">
        <v>SAN ANDRES HORMAZA DALLAS CECILIA</v>
      </c>
      <c r="FC549" t="str">
        <v>SORNOZA ZAMORA JUAN CARLOS</v>
      </c>
      <c r="FD549" t="str">
        <v>TOMALA PINTO JESUS JACINTO</v>
      </c>
      <c r="FE549" t="str">
        <v>VALLE JARAMILLO SILVIA ARACELY</v>
      </c>
      <c r="FF549" t="str">
        <v>VELÁSQUEZ BRAVO IRMA KATHERINE</v>
      </c>
      <c r="FG549" t="str">
        <v>VELEZ MENDOZA LAYSY VALERIA</v>
      </c>
      <c r="FH549" t="str">
        <v>VINUEZA TELLO SHIRLEY ELIZABETH</v>
      </c>
      <c r="FI549" t="str">
        <v>ZAMBRANO ALCIVAR NILDA ISABEL</v>
      </c>
      <c r="FJ549" t="str">
        <v>ZAMBRANO LOOR RITA MAYDA</v>
      </c>
      <c r="FK549" t="str">
        <v>ZAMBRANO VERA MONICA JANETH</v>
      </c>
      <c r="FL549" t="str">
        <v>VERA DELGADO BRYAN ADRIÁN</v>
      </c>
      <c r="FM549" t="str">
        <v>MORAN GONZALES DAVID RENATO</v>
      </c>
      <c r="FN549">
        <v>0</v>
      </c>
    </row>
    <row r="550" spans="1:170" ht="20.25" customHeight="1">
      <c r="A550" s="4" t="str" cm="1">
        <f t="array" ref="A550">TRANSPOSE(_xlfn.UNIQUE(_xlfn._xlws.FILTER(MAE_ASIGNATURA[ID_NIVEL],MAE_ASIGNATURA[ID_CARRERA]=ASIGNACION!$C550,"No existe información")))</f>
        <v>No existe información</v>
      </c>
      <c r="S550" s="4" t="str" cm="1">
        <f t="array" ref="S550">TRANSPOSE(_xlfn.UNIQUE(_xlfn._xlws.FILTER(MAE_ASIGNATURA[NOM_ASIG],(MAE_ASIGNATURA[ID_NIVEL]=ASIGNACION!$D550)*(MAE_ASIGNATURA[ID_CARRERA]=ASIGNACION!$C550),"No existe información")))</f>
        <v>No existe información</v>
      </c>
      <c r="BD550" s="4" t="str" cm="1">
        <f t="array" ref="BD550">TRANSPOSE(_xlfn.UNIQUE(_xlfn._xlws.FILTER(DET_ASIG[DETALLADO],(DET_ASIG[ID_CARRERA]=ASIGNACION!$C550)*(DET_ASIG[NIVEL]=ASIGNACION!$D550)*(DET_ASIG[ID_ASIG]=ASIGNACION!$G550),"No existe información")))</f>
        <v>No existe información</v>
      </c>
      <c r="BQ550" s="5" t="str" cm="1">
        <f t="array" ref="BQ550">IFERROR(
    TRANSPOSE(
        _xlfn.UNIQUE(
            _xlfn._xlws.FILTER(MAESTRIA_DETALLADO[MAESTRIA],
                ISNUMBER(MATCH(MAESTRIA_DETALLADO[CAMPO_DETALLADO],
                BD550:BP550,0))
            )
        )
    ),IF(BD550="ACTIVIDAD","DOCENCIA",""))</f>
        <v/>
      </c>
      <c r="EA550" s="5" t="str" cm="1">
        <f t="array" ref="EA550:FN550">IF(
    ASIGNACION!I550="SI",
    IFERROR(
        TRANSPOSE(
            _xlfn.UNIQUE(
                _xlfn._xlws.FILTER(EDU_DOCENTE[NOMBRE_DOCENTE],
                    ISNUMBER(MATCH(EDU_DOCENTE[MAESTRIA],
                    BQ550:DY550,0))
                )
            )
        ),
        ""
    ),
    TRANSPOSE(
        _xlfn.UNIQUE(EDU_DOCENTE[NOMBRE_DOCENTE]
        )
    )
)</f>
        <v>ALCIVAR CEDEÑO BEATRIZ ISABEL</v>
      </c>
      <c r="EB550" t="str">
        <v>ALCIVAR VERA GEMA MICHELLE</v>
      </c>
      <c r="EC550" t="str">
        <v>ARAUZ CHAVEZ MARIO ROBERTO</v>
      </c>
      <c r="ED550" t="str">
        <v>BAILON LOURIDO WALTER ALBERTO</v>
      </c>
      <c r="EE550" t="str">
        <v>CALDERERO VILLAGOMEZ ERICK ANTONIO</v>
      </c>
      <c r="EF550" t="str">
        <v>CASTILLO GARCIA PAOLA GERMANIA</v>
      </c>
      <c r="EG550" t="str">
        <v>CEDEÑO CHOEZ PEDRO JAVIER</v>
      </c>
      <c r="EH550" t="str">
        <v>CEVALLOS HOPPE JUAN CARLOS</v>
      </c>
      <c r="EI550" t="str">
        <v>DELGADO CHAVEZ MARIA IRASEMA</v>
      </c>
      <c r="EJ550" t="str">
        <v>DUARTE VALENCIA CRISTHIAN DARIO</v>
      </c>
      <c r="EK550" t="str">
        <v>FORTTY BARBERAN DENNY ALEXANDER</v>
      </c>
      <c r="EL550" t="str">
        <v>GUTIERREZ ZAMBRANO CARMEN EBELINA</v>
      </c>
      <c r="EM550" t="str">
        <v>INTRIAGO MOLINA GEMA VALERIA</v>
      </c>
      <c r="EN550" t="str">
        <v>LINO VELEZ LEONEL LIVINGTON</v>
      </c>
      <c r="EO550" t="str">
        <v>LOOR ALCIVAR MARIA ILIANA</v>
      </c>
      <c r="EP550" t="str">
        <v>LOOR MIELES TANIA JACQUELINE</v>
      </c>
      <c r="EQ550" t="str">
        <v>LOOR SOLORZANO ROSA MARIA</v>
      </c>
      <c r="ER550" t="str">
        <v>LOPEZ DELGADO RONALD MAURICIO</v>
      </c>
      <c r="ES550" t="str">
        <v>MACIAS VALENCIA DAVID GABRIEL</v>
      </c>
      <c r="ET550" t="str">
        <v>MENDOZA ZAMORA WALTER MANUEL</v>
      </c>
      <c r="EU550" t="str">
        <v>MOLINA CEVALLOS MARIA LORENA</v>
      </c>
      <c r="EV550" t="str">
        <v>MURILLO DELGADO ISAAC GABRIEL</v>
      </c>
      <c r="EW550" t="str">
        <v>ANGULO MURILLO NAVIRA GISSELA</v>
      </c>
      <c r="EX550" t="str">
        <v>OCHOA SOLEDISPA NESTOR IVAN</v>
      </c>
      <c r="EY550" t="str">
        <v>PARRAGA FRANCO SILVANA MARIELA</v>
      </c>
      <c r="EZ550" t="str">
        <v>PINARGOTE VASQUEZ NANCY FABIOLA</v>
      </c>
      <c r="FA550" t="str">
        <v>REYES VELEZ PEDRO ENRIQUE</v>
      </c>
      <c r="FB550" t="str">
        <v>SAN ANDRES HORMAZA DALLAS CECILIA</v>
      </c>
      <c r="FC550" t="str">
        <v>SORNOZA ZAMORA JUAN CARLOS</v>
      </c>
      <c r="FD550" t="str">
        <v>TOMALA PINTO JESUS JACINTO</v>
      </c>
      <c r="FE550" t="str">
        <v>VALLE JARAMILLO SILVIA ARACELY</v>
      </c>
      <c r="FF550" t="str">
        <v>VELÁSQUEZ BRAVO IRMA KATHERINE</v>
      </c>
      <c r="FG550" t="str">
        <v>VELEZ MENDOZA LAYSY VALERIA</v>
      </c>
      <c r="FH550" t="str">
        <v>VINUEZA TELLO SHIRLEY ELIZABETH</v>
      </c>
      <c r="FI550" t="str">
        <v>ZAMBRANO ALCIVAR NILDA ISABEL</v>
      </c>
      <c r="FJ550" t="str">
        <v>ZAMBRANO LOOR RITA MAYDA</v>
      </c>
      <c r="FK550" t="str">
        <v>ZAMBRANO VERA MONICA JANETH</v>
      </c>
      <c r="FL550" t="str">
        <v>VERA DELGADO BRYAN ADRIÁN</v>
      </c>
      <c r="FM550" t="str">
        <v>MORAN GONZALES DAVID RENATO</v>
      </c>
      <c r="FN550">
        <v>0</v>
      </c>
    </row>
    <row r="551" spans="1:170" ht="20.25" customHeight="1">
      <c r="A551" s="4" t="str" cm="1">
        <f t="array" ref="A551">TRANSPOSE(_xlfn.UNIQUE(_xlfn._xlws.FILTER(MAE_ASIGNATURA[ID_NIVEL],MAE_ASIGNATURA[ID_CARRERA]=ASIGNACION!$C551,"No existe información")))</f>
        <v>No existe información</v>
      </c>
      <c r="S551" s="4" t="str" cm="1">
        <f t="array" ref="S551">TRANSPOSE(_xlfn.UNIQUE(_xlfn._xlws.FILTER(MAE_ASIGNATURA[NOM_ASIG],(MAE_ASIGNATURA[ID_NIVEL]=ASIGNACION!$D551)*(MAE_ASIGNATURA[ID_CARRERA]=ASIGNACION!$C551),"No existe información")))</f>
        <v>No existe información</v>
      </c>
      <c r="BD551" s="4" t="str" cm="1">
        <f t="array" ref="BD551">TRANSPOSE(_xlfn.UNIQUE(_xlfn._xlws.FILTER(DET_ASIG[DETALLADO],(DET_ASIG[ID_CARRERA]=ASIGNACION!$C551)*(DET_ASIG[NIVEL]=ASIGNACION!$D551)*(DET_ASIG[ID_ASIG]=ASIGNACION!$G551),"No existe información")))</f>
        <v>No existe información</v>
      </c>
      <c r="BQ551" s="5" t="str" cm="1">
        <f t="array" ref="BQ551">IFERROR(
    TRANSPOSE(
        _xlfn.UNIQUE(
            _xlfn._xlws.FILTER(MAESTRIA_DETALLADO[MAESTRIA],
                ISNUMBER(MATCH(MAESTRIA_DETALLADO[CAMPO_DETALLADO],
                BD551:BP551,0))
            )
        )
    ),IF(BD551="ACTIVIDAD","DOCENCIA",""))</f>
        <v/>
      </c>
      <c r="EA551" s="5" t="str" cm="1">
        <f t="array" ref="EA551:FN551">IF(
    ASIGNACION!I551="SI",
    IFERROR(
        TRANSPOSE(
            _xlfn.UNIQUE(
                _xlfn._xlws.FILTER(EDU_DOCENTE[NOMBRE_DOCENTE],
                    ISNUMBER(MATCH(EDU_DOCENTE[MAESTRIA],
                    BQ551:DY551,0))
                )
            )
        ),
        ""
    ),
    TRANSPOSE(
        _xlfn.UNIQUE(EDU_DOCENTE[NOMBRE_DOCENTE]
        )
    )
)</f>
        <v>ALCIVAR CEDEÑO BEATRIZ ISABEL</v>
      </c>
      <c r="EB551" t="str">
        <v>ALCIVAR VERA GEMA MICHELLE</v>
      </c>
      <c r="EC551" t="str">
        <v>ARAUZ CHAVEZ MARIO ROBERTO</v>
      </c>
      <c r="ED551" t="str">
        <v>BAILON LOURIDO WALTER ALBERTO</v>
      </c>
      <c r="EE551" t="str">
        <v>CALDERERO VILLAGOMEZ ERICK ANTONIO</v>
      </c>
      <c r="EF551" t="str">
        <v>CASTILLO GARCIA PAOLA GERMANIA</v>
      </c>
      <c r="EG551" t="str">
        <v>CEDEÑO CHOEZ PEDRO JAVIER</v>
      </c>
      <c r="EH551" t="str">
        <v>CEVALLOS HOPPE JUAN CARLOS</v>
      </c>
      <c r="EI551" t="str">
        <v>DELGADO CHAVEZ MARIA IRASEMA</v>
      </c>
      <c r="EJ551" t="str">
        <v>DUARTE VALENCIA CRISTHIAN DARIO</v>
      </c>
      <c r="EK551" t="str">
        <v>FORTTY BARBERAN DENNY ALEXANDER</v>
      </c>
      <c r="EL551" t="str">
        <v>GUTIERREZ ZAMBRANO CARMEN EBELINA</v>
      </c>
      <c r="EM551" t="str">
        <v>INTRIAGO MOLINA GEMA VALERIA</v>
      </c>
      <c r="EN551" t="str">
        <v>LINO VELEZ LEONEL LIVINGTON</v>
      </c>
      <c r="EO551" t="str">
        <v>LOOR ALCIVAR MARIA ILIANA</v>
      </c>
      <c r="EP551" t="str">
        <v>LOOR MIELES TANIA JACQUELINE</v>
      </c>
      <c r="EQ551" t="str">
        <v>LOOR SOLORZANO ROSA MARIA</v>
      </c>
      <c r="ER551" t="str">
        <v>LOPEZ DELGADO RONALD MAURICIO</v>
      </c>
      <c r="ES551" t="str">
        <v>MACIAS VALENCIA DAVID GABRIEL</v>
      </c>
      <c r="ET551" t="str">
        <v>MENDOZA ZAMORA WALTER MANUEL</v>
      </c>
      <c r="EU551" t="str">
        <v>MOLINA CEVALLOS MARIA LORENA</v>
      </c>
      <c r="EV551" t="str">
        <v>MURILLO DELGADO ISAAC GABRIEL</v>
      </c>
      <c r="EW551" t="str">
        <v>ANGULO MURILLO NAVIRA GISSELA</v>
      </c>
      <c r="EX551" t="str">
        <v>OCHOA SOLEDISPA NESTOR IVAN</v>
      </c>
      <c r="EY551" t="str">
        <v>PARRAGA FRANCO SILVANA MARIELA</v>
      </c>
      <c r="EZ551" t="str">
        <v>PINARGOTE VASQUEZ NANCY FABIOLA</v>
      </c>
      <c r="FA551" t="str">
        <v>REYES VELEZ PEDRO ENRIQUE</v>
      </c>
      <c r="FB551" t="str">
        <v>SAN ANDRES HORMAZA DALLAS CECILIA</v>
      </c>
      <c r="FC551" t="str">
        <v>SORNOZA ZAMORA JUAN CARLOS</v>
      </c>
      <c r="FD551" t="str">
        <v>TOMALA PINTO JESUS JACINTO</v>
      </c>
      <c r="FE551" t="str">
        <v>VALLE JARAMILLO SILVIA ARACELY</v>
      </c>
      <c r="FF551" t="str">
        <v>VELÁSQUEZ BRAVO IRMA KATHERINE</v>
      </c>
      <c r="FG551" t="str">
        <v>VELEZ MENDOZA LAYSY VALERIA</v>
      </c>
      <c r="FH551" t="str">
        <v>VINUEZA TELLO SHIRLEY ELIZABETH</v>
      </c>
      <c r="FI551" t="str">
        <v>ZAMBRANO ALCIVAR NILDA ISABEL</v>
      </c>
      <c r="FJ551" t="str">
        <v>ZAMBRANO LOOR RITA MAYDA</v>
      </c>
      <c r="FK551" t="str">
        <v>ZAMBRANO VERA MONICA JANETH</v>
      </c>
      <c r="FL551" t="str">
        <v>VERA DELGADO BRYAN ADRIÁN</v>
      </c>
      <c r="FM551" t="str">
        <v>MORAN GONZALES DAVID RENATO</v>
      </c>
      <c r="FN551">
        <v>0</v>
      </c>
    </row>
    <row r="552" spans="1:170" ht="20.25" customHeight="1">
      <c r="A552" s="4" t="str" cm="1">
        <f t="array" ref="A552">TRANSPOSE(_xlfn.UNIQUE(_xlfn._xlws.FILTER(MAE_ASIGNATURA[ID_NIVEL],MAE_ASIGNATURA[ID_CARRERA]=ASIGNACION!$C552,"No existe información")))</f>
        <v>No existe información</v>
      </c>
      <c r="S552" s="4" t="str" cm="1">
        <f t="array" ref="S552">TRANSPOSE(_xlfn.UNIQUE(_xlfn._xlws.FILTER(MAE_ASIGNATURA[NOM_ASIG],(MAE_ASIGNATURA[ID_NIVEL]=ASIGNACION!$D552)*(MAE_ASIGNATURA[ID_CARRERA]=ASIGNACION!$C552),"No existe información")))</f>
        <v>No existe información</v>
      </c>
      <c r="BD552" s="4" t="str" cm="1">
        <f t="array" ref="BD552">TRANSPOSE(_xlfn.UNIQUE(_xlfn._xlws.FILTER(DET_ASIG[DETALLADO],(DET_ASIG[ID_CARRERA]=ASIGNACION!$C552)*(DET_ASIG[NIVEL]=ASIGNACION!$D552)*(DET_ASIG[ID_ASIG]=ASIGNACION!$G552),"No existe información")))</f>
        <v>No existe información</v>
      </c>
      <c r="BQ552" s="5" t="str" cm="1">
        <f t="array" ref="BQ552">IFERROR(
    TRANSPOSE(
        _xlfn.UNIQUE(
            _xlfn._xlws.FILTER(MAESTRIA_DETALLADO[MAESTRIA],
                ISNUMBER(MATCH(MAESTRIA_DETALLADO[CAMPO_DETALLADO],
                BD552:BP552,0))
            )
        )
    ),IF(BD552="ACTIVIDAD","DOCENCIA",""))</f>
        <v/>
      </c>
      <c r="EA552" s="5" t="str" cm="1">
        <f t="array" ref="EA552:FN552">IF(
    ASIGNACION!I552="SI",
    IFERROR(
        TRANSPOSE(
            _xlfn.UNIQUE(
                _xlfn._xlws.FILTER(EDU_DOCENTE[NOMBRE_DOCENTE],
                    ISNUMBER(MATCH(EDU_DOCENTE[MAESTRIA],
                    BQ552:DY552,0))
                )
            )
        ),
        ""
    ),
    TRANSPOSE(
        _xlfn.UNIQUE(EDU_DOCENTE[NOMBRE_DOCENTE]
        )
    )
)</f>
        <v>ALCIVAR CEDEÑO BEATRIZ ISABEL</v>
      </c>
      <c r="EB552" t="str">
        <v>ALCIVAR VERA GEMA MICHELLE</v>
      </c>
      <c r="EC552" t="str">
        <v>ARAUZ CHAVEZ MARIO ROBERTO</v>
      </c>
      <c r="ED552" t="str">
        <v>BAILON LOURIDO WALTER ALBERTO</v>
      </c>
      <c r="EE552" t="str">
        <v>CALDERERO VILLAGOMEZ ERICK ANTONIO</v>
      </c>
      <c r="EF552" t="str">
        <v>CASTILLO GARCIA PAOLA GERMANIA</v>
      </c>
      <c r="EG552" t="str">
        <v>CEDEÑO CHOEZ PEDRO JAVIER</v>
      </c>
      <c r="EH552" t="str">
        <v>CEVALLOS HOPPE JUAN CARLOS</v>
      </c>
      <c r="EI552" t="str">
        <v>DELGADO CHAVEZ MARIA IRASEMA</v>
      </c>
      <c r="EJ552" t="str">
        <v>DUARTE VALENCIA CRISTHIAN DARIO</v>
      </c>
      <c r="EK552" t="str">
        <v>FORTTY BARBERAN DENNY ALEXANDER</v>
      </c>
      <c r="EL552" t="str">
        <v>GUTIERREZ ZAMBRANO CARMEN EBELINA</v>
      </c>
      <c r="EM552" t="str">
        <v>INTRIAGO MOLINA GEMA VALERIA</v>
      </c>
      <c r="EN552" t="str">
        <v>LINO VELEZ LEONEL LIVINGTON</v>
      </c>
      <c r="EO552" t="str">
        <v>LOOR ALCIVAR MARIA ILIANA</v>
      </c>
      <c r="EP552" t="str">
        <v>LOOR MIELES TANIA JACQUELINE</v>
      </c>
      <c r="EQ552" t="str">
        <v>LOOR SOLORZANO ROSA MARIA</v>
      </c>
      <c r="ER552" t="str">
        <v>LOPEZ DELGADO RONALD MAURICIO</v>
      </c>
      <c r="ES552" t="str">
        <v>MACIAS VALENCIA DAVID GABRIEL</v>
      </c>
      <c r="ET552" t="str">
        <v>MENDOZA ZAMORA WALTER MANUEL</v>
      </c>
      <c r="EU552" t="str">
        <v>MOLINA CEVALLOS MARIA LORENA</v>
      </c>
      <c r="EV552" t="str">
        <v>MURILLO DELGADO ISAAC GABRIEL</v>
      </c>
      <c r="EW552" t="str">
        <v>ANGULO MURILLO NAVIRA GISSELA</v>
      </c>
      <c r="EX552" t="str">
        <v>OCHOA SOLEDISPA NESTOR IVAN</v>
      </c>
      <c r="EY552" t="str">
        <v>PARRAGA FRANCO SILVANA MARIELA</v>
      </c>
      <c r="EZ552" t="str">
        <v>PINARGOTE VASQUEZ NANCY FABIOLA</v>
      </c>
      <c r="FA552" t="str">
        <v>REYES VELEZ PEDRO ENRIQUE</v>
      </c>
      <c r="FB552" t="str">
        <v>SAN ANDRES HORMAZA DALLAS CECILIA</v>
      </c>
      <c r="FC552" t="str">
        <v>SORNOZA ZAMORA JUAN CARLOS</v>
      </c>
      <c r="FD552" t="str">
        <v>TOMALA PINTO JESUS JACINTO</v>
      </c>
      <c r="FE552" t="str">
        <v>VALLE JARAMILLO SILVIA ARACELY</v>
      </c>
      <c r="FF552" t="str">
        <v>VELÁSQUEZ BRAVO IRMA KATHERINE</v>
      </c>
      <c r="FG552" t="str">
        <v>VELEZ MENDOZA LAYSY VALERIA</v>
      </c>
      <c r="FH552" t="str">
        <v>VINUEZA TELLO SHIRLEY ELIZABETH</v>
      </c>
      <c r="FI552" t="str">
        <v>ZAMBRANO ALCIVAR NILDA ISABEL</v>
      </c>
      <c r="FJ552" t="str">
        <v>ZAMBRANO LOOR RITA MAYDA</v>
      </c>
      <c r="FK552" t="str">
        <v>ZAMBRANO VERA MONICA JANETH</v>
      </c>
      <c r="FL552" t="str">
        <v>VERA DELGADO BRYAN ADRIÁN</v>
      </c>
      <c r="FM552" t="str">
        <v>MORAN GONZALES DAVID RENATO</v>
      </c>
      <c r="FN552">
        <v>0</v>
      </c>
    </row>
    <row r="553" spans="1:170" ht="20.25" customHeight="1">
      <c r="A553" s="4" t="str" cm="1">
        <f t="array" ref="A553">TRANSPOSE(_xlfn.UNIQUE(_xlfn._xlws.FILTER(MAE_ASIGNATURA[ID_NIVEL],MAE_ASIGNATURA[ID_CARRERA]=ASIGNACION!$C553,"No existe información")))</f>
        <v>No existe información</v>
      </c>
      <c r="S553" s="4" t="str" cm="1">
        <f t="array" ref="S553">TRANSPOSE(_xlfn.UNIQUE(_xlfn._xlws.FILTER(MAE_ASIGNATURA[NOM_ASIG],(MAE_ASIGNATURA[ID_NIVEL]=ASIGNACION!$D553)*(MAE_ASIGNATURA[ID_CARRERA]=ASIGNACION!$C553),"No existe información")))</f>
        <v>No existe información</v>
      </c>
      <c r="BD553" s="4" t="str" cm="1">
        <f t="array" ref="BD553">TRANSPOSE(_xlfn.UNIQUE(_xlfn._xlws.FILTER(DET_ASIG[DETALLADO],(DET_ASIG[ID_CARRERA]=ASIGNACION!$C553)*(DET_ASIG[NIVEL]=ASIGNACION!$D553)*(DET_ASIG[ID_ASIG]=ASIGNACION!$G553),"No existe información")))</f>
        <v>No existe información</v>
      </c>
      <c r="BQ553" s="5" t="str" cm="1">
        <f t="array" ref="BQ553">IFERROR(
    TRANSPOSE(
        _xlfn.UNIQUE(
            _xlfn._xlws.FILTER(MAESTRIA_DETALLADO[MAESTRIA],
                ISNUMBER(MATCH(MAESTRIA_DETALLADO[CAMPO_DETALLADO],
                BD553:BP553,0))
            )
        )
    ),IF(BD553="ACTIVIDAD","DOCENCIA",""))</f>
        <v/>
      </c>
      <c r="EA553" s="5" t="str" cm="1">
        <f t="array" ref="EA553:FN553">IF(
    ASIGNACION!I553="SI",
    IFERROR(
        TRANSPOSE(
            _xlfn.UNIQUE(
                _xlfn._xlws.FILTER(EDU_DOCENTE[NOMBRE_DOCENTE],
                    ISNUMBER(MATCH(EDU_DOCENTE[MAESTRIA],
                    BQ553:DY553,0))
                )
            )
        ),
        ""
    ),
    TRANSPOSE(
        _xlfn.UNIQUE(EDU_DOCENTE[NOMBRE_DOCENTE]
        )
    )
)</f>
        <v>ALCIVAR CEDEÑO BEATRIZ ISABEL</v>
      </c>
      <c r="EB553" t="str">
        <v>ALCIVAR VERA GEMA MICHELLE</v>
      </c>
      <c r="EC553" t="str">
        <v>ARAUZ CHAVEZ MARIO ROBERTO</v>
      </c>
      <c r="ED553" t="str">
        <v>BAILON LOURIDO WALTER ALBERTO</v>
      </c>
      <c r="EE553" t="str">
        <v>CALDERERO VILLAGOMEZ ERICK ANTONIO</v>
      </c>
      <c r="EF553" t="str">
        <v>CASTILLO GARCIA PAOLA GERMANIA</v>
      </c>
      <c r="EG553" t="str">
        <v>CEDEÑO CHOEZ PEDRO JAVIER</v>
      </c>
      <c r="EH553" t="str">
        <v>CEVALLOS HOPPE JUAN CARLOS</v>
      </c>
      <c r="EI553" t="str">
        <v>DELGADO CHAVEZ MARIA IRASEMA</v>
      </c>
      <c r="EJ553" t="str">
        <v>DUARTE VALENCIA CRISTHIAN DARIO</v>
      </c>
      <c r="EK553" t="str">
        <v>FORTTY BARBERAN DENNY ALEXANDER</v>
      </c>
      <c r="EL553" t="str">
        <v>GUTIERREZ ZAMBRANO CARMEN EBELINA</v>
      </c>
      <c r="EM553" t="str">
        <v>INTRIAGO MOLINA GEMA VALERIA</v>
      </c>
      <c r="EN553" t="str">
        <v>LINO VELEZ LEONEL LIVINGTON</v>
      </c>
      <c r="EO553" t="str">
        <v>LOOR ALCIVAR MARIA ILIANA</v>
      </c>
      <c r="EP553" t="str">
        <v>LOOR MIELES TANIA JACQUELINE</v>
      </c>
      <c r="EQ553" t="str">
        <v>LOOR SOLORZANO ROSA MARIA</v>
      </c>
      <c r="ER553" t="str">
        <v>LOPEZ DELGADO RONALD MAURICIO</v>
      </c>
      <c r="ES553" t="str">
        <v>MACIAS VALENCIA DAVID GABRIEL</v>
      </c>
      <c r="ET553" t="str">
        <v>MENDOZA ZAMORA WALTER MANUEL</v>
      </c>
      <c r="EU553" t="str">
        <v>MOLINA CEVALLOS MARIA LORENA</v>
      </c>
      <c r="EV553" t="str">
        <v>MURILLO DELGADO ISAAC GABRIEL</v>
      </c>
      <c r="EW553" t="str">
        <v>ANGULO MURILLO NAVIRA GISSELA</v>
      </c>
      <c r="EX553" t="str">
        <v>OCHOA SOLEDISPA NESTOR IVAN</v>
      </c>
      <c r="EY553" t="str">
        <v>PARRAGA FRANCO SILVANA MARIELA</v>
      </c>
      <c r="EZ553" t="str">
        <v>PINARGOTE VASQUEZ NANCY FABIOLA</v>
      </c>
      <c r="FA553" t="str">
        <v>REYES VELEZ PEDRO ENRIQUE</v>
      </c>
      <c r="FB553" t="str">
        <v>SAN ANDRES HORMAZA DALLAS CECILIA</v>
      </c>
      <c r="FC553" t="str">
        <v>SORNOZA ZAMORA JUAN CARLOS</v>
      </c>
      <c r="FD553" t="str">
        <v>TOMALA PINTO JESUS JACINTO</v>
      </c>
      <c r="FE553" t="str">
        <v>VALLE JARAMILLO SILVIA ARACELY</v>
      </c>
      <c r="FF553" t="str">
        <v>VELÁSQUEZ BRAVO IRMA KATHERINE</v>
      </c>
      <c r="FG553" t="str">
        <v>VELEZ MENDOZA LAYSY VALERIA</v>
      </c>
      <c r="FH553" t="str">
        <v>VINUEZA TELLO SHIRLEY ELIZABETH</v>
      </c>
      <c r="FI553" t="str">
        <v>ZAMBRANO ALCIVAR NILDA ISABEL</v>
      </c>
      <c r="FJ553" t="str">
        <v>ZAMBRANO LOOR RITA MAYDA</v>
      </c>
      <c r="FK553" t="str">
        <v>ZAMBRANO VERA MONICA JANETH</v>
      </c>
      <c r="FL553" t="str">
        <v>VERA DELGADO BRYAN ADRIÁN</v>
      </c>
      <c r="FM553" t="str">
        <v>MORAN GONZALES DAVID RENATO</v>
      </c>
      <c r="FN553">
        <v>0</v>
      </c>
    </row>
    <row r="554" spans="1:170" ht="20.25" customHeight="1">
      <c r="A554" s="4" t="str" cm="1">
        <f t="array" ref="A554">TRANSPOSE(_xlfn.UNIQUE(_xlfn._xlws.FILTER(MAE_ASIGNATURA[ID_NIVEL],MAE_ASIGNATURA[ID_CARRERA]=ASIGNACION!$C554,"No existe información")))</f>
        <v>No existe información</v>
      </c>
      <c r="S554" s="4" t="str" cm="1">
        <f t="array" ref="S554">TRANSPOSE(_xlfn.UNIQUE(_xlfn._xlws.FILTER(MAE_ASIGNATURA[NOM_ASIG],(MAE_ASIGNATURA[ID_NIVEL]=ASIGNACION!$D554)*(MAE_ASIGNATURA[ID_CARRERA]=ASIGNACION!$C554),"No existe información")))</f>
        <v>No existe información</v>
      </c>
      <c r="BD554" s="4" t="str" cm="1">
        <f t="array" ref="BD554">TRANSPOSE(_xlfn.UNIQUE(_xlfn._xlws.FILTER(DET_ASIG[DETALLADO],(DET_ASIG[ID_CARRERA]=ASIGNACION!$C554)*(DET_ASIG[NIVEL]=ASIGNACION!$D554)*(DET_ASIG[ID_ASIG]=ASIGNACION!$G554),"No existe información")))</f>
        <v>No existe información</v>
      </c>
      <c r="BQ554" s="5" t="str" cm="1">
        <f t="array" ref="BQ554">IFERROR(
    TRANSPOSE(
        _xlfn.UNIQUE(
            _xlfn._xlws.FILTER(MAESTRIA_DETALLADO[MAESTRIA],
                ISNUMBER(MATCH(MAESTRIA_DETALLADO[CAMPO_DETALLADO],
                BD554:BP554,0))
            )
        )
    ),IF(BD554="ACTIVIDAD","DOCENCIA",""))</f>
        <v/>
      </c>
      <c r="EA554" s="5" t="str" cm="1">
        <f t="array" ref="EA554:FN554">IF(
    ASIGNACION!I554="SI",
    IFERROR(
        TRANSPOSE(
            _xlfn.UNIQUE(
                _xlfn._xlws.FILTER(EDU_DOCENTE[NOMBRE_DOCENTE],
                    ISNUMBER(MATCH(EDU_DOCENTE[MAESTRIA],
                    BQ554:DY554,0))
                )
            )
        ),
        ""
    ),
    TRANSPOSE(
        _xlfn.UNIQUE(EDU_DOCENTE[NOMBRE_DOCENTE]
        )
    )
)</f>
        <v>ALCIVAR CEDEÑO BEATRIZ ISABEL</v>
      </c>
      <c r="EB554" t="str">
        <v>ALCIVAR VERA GEMA MICHELLE</v>
      </c>
      <c r="EC554" t="str">
        <v>ARAUZ CHAVEZ MARIO ROBERTO</v>
      </c>
      <c r="ED554" t="str">
        <v>BAILON LOURIDO WALTER ALBERTO</v>
      </c>
      <c r="EE554" t="str">
        <v>CALDERERO VILLAGOMEZ ERICK ANTONIO</v>
      </c>
      <c r="EF554" t="str">
        <v>CASTILLO GARCIA PAOLA GERMANIA</v>
      </c>
      <c r="EG554" t="str">
        <v>CEDEÑO CHOEZ PEDRO JAVIER</v>
      </c>
      <c r="EH554" t="str">
        <v>CEVALLOS HOPPE JUAN CARLOS</v>
      </c>
      <c r="EI554" t="str">
        <v>DELGADO CHAVEZ MARIA IRASEMA</v>
      </c>
      <c r="EJ554" t="str">
        <v>DUARTE VALENCIA CRISTHIAN DARIO</v>
      </c>
      <c r="EK554" t="str">
        <v>FORTTY BARBERAN DENNY ALEXANDER</v>
      </c>
      <c r="EL554" t="str">
        <v>GUTIERREZ ZAMBRANO CARMEN EBELINA</v>
      </c>
      <c r="EM554" t="str">
        <v>INTRIAGO MOLINA GEMA VALERIA</v>
      </c>
      <c r="EN554" t="str">
        <v>LINO VELEZ LEONEL LIVINGTON</v>
      </c>
      <c r="EO554" t="str">
        <v>LOOR ALCIVAR MARIA ILIANA</v>
      </c>
      <c r="EP554" t="str">
        <v>LOOR MIELES TANIA JACQUELINE</v>
      </c>
      <c r="EQ554" t="str">
        <v>LOOR SOLORZANO ROSA MARIA</v>
      </c>
      <c r="ER554" t="str">
        <v>LOPEZ DELGADO RONALD MAURICIO</v>
      </c>
      <c r="ES554" t="str">
        <v>MACIAS VALENCIA DAVID GABRIEL</v>
      </c>
      <c r="ET554" t="str">
        <v>MENDOZA ZAMORA WALTER MANUEL</v>
      </c>
      <c r="EU554" t="str">
        <v>MOLINA CEVALLOS MARIA LORENA</v>
      </c>
      <c r="EV554" t="str">
        <v>MURILLO DELGADO ISAAC GABRIEL</v>
      </c>
      <c r="EW554" t="str">
        <v>ANGULO MURILLO NAVIRA GISSELA</v>
      </c>
      <c r="EX554" t="str">
        <v>OCHOA SOLEDISPA NESTOR IVAN</v>
      </c>
      <c r="EY554" t="str">
        <v>PARRAGA FRANCO SILVANA MARIELA</v>
      </c>
      <c r="EZ554" t="str">
        <v>PINARGOTE VASQUEZ NANCY FABIOLA</v>
      </c>
      <c r="FA554" t="str">
        <v>REYES VELEZ PEDRO ENRIQUE</v>
      </c>
      <c r="FB554" t="str">
        <v>SAN ANDRES HORMAZA DALLAS CECILIA</v>
      </c>
      <c r="FC554" t="str">
        <v>SORNOZA ZAMORA JUAN CARLOS</v>
      </c>
      <c r="FD554" t="str">
        <v>TOMALA PINTO JESUS JACINTO</v>
      </c>
      <c r="FE554" t="str">
        <v>VALLE JARAMILLO SILVIA ARACELY</v>
      </c>
      <c r="FF554" t="str">
        <v>VELÁSQUEZ BRAVO IRMA KATHERINE</v>
      </c>
      <c r="FG554" t="str">
        <v>VELEZ MENDOZA LAYSY VALERIA</v>
      </c>
      <c r="FH554" t="str">
        <v>VINUEZA TELLO SHIRLEY ELIZABETH</v>
      </c>
      <c r="FI554" t="str">
        <v>ZAMBRANO ALCIVAR NILDA ISABEL</v>
      </c>
      <c r="FJ554" t="str">
        <v>ZAMBRANO LOOR RITA MAYDA</v>
      </c>
      <c r="FK554" t="str">
        <v>ZAMBRANO VERA MONICA JANETH</v>
      </c>
      <c r="FL554" t="str">
        <v>VERA DELGADO BRYAN ADRIÁN</v>
      </c>
      <c r="FM554" t="str">
        <v>MORAN GONZALES DAVID RENATO</v>
      </c>
      <c r="FN554">
        <v>0</v>
      </c>
    </row>
    <row r="555" spans="1:170" ht="20.25" customHeight="1">
      <c r="A555" s="4" t="str" cm="1">
        <f t="array" ref="A555">TRANSPOSE(_xlfn.UNIQUE(_xlfn._xlws.FILTER(MAE_ASIGNATURA[ID_NIVEL],MAE_ASIGNATURA[ID_CARRERA]=ASIGNACION!$C555,"No existe información")))</f>
        <v>No existe información</v>
      </c>
      <c r="S555" s="4" t="str" cm="1">
        <f t="array" ref="S555">TRANSPOSE(_xlfn.UNIQUE(_xlfn._xlws.FILTER(MAE_ASIGNATURA[NOM_ASIG],(MAE_ASIGNATURA[ID_NIVEL]=ASIGNACION!$D555)*(MAE_ASIGNATURA[ID_CARRERA]=ASIGNACION!$C555),"No existe información")))</f>
        <v>No existe información</v>
      </c>
      <c r="BD555" s="4" t="str" cm="1">
        <f t="array" ref="BD555">TRANSPOSE(_xlfn.UNIQUE(_xlfn._xlws.FILTER(DET_ASIG[DETALLADO],(DET_ASIG[ID_CARRERA]=ASIGNACION!$C555)*(DET_ASIG[NIVEL]=ASIGNACION!$D555)*(DET_ASIG[ID_ASIG]=ASIGNACION!$G555),"No existe información")))</f>
        <v>No existe información</v>
      </c>
      <c r="BQ555" s="5" t="str" cm="1">
        <f t="array" ref="BQ555">IFERROR(
    TRANSPOSE(
        _xlfn.UNIQUE(
            _xlfn._xlws.FILTER(MAESTRIA_DETALLADO[MAESTRIA],
                ISNUMBER(MATCH(MAESTRIA_DETALLADO[CAMPO_DETALLADO],
                BD555:BP555,0))
            )
        )
    ),IF(BD555="ACTIVIDAD","DOCENCIA",""))</f>
        <v/>
      </c>
      <c r="EA555" s="5" t="str" cm="1">
        <f t="array" ref="EA555:FN555">IF(
    ASIGNACION!I555="SI",
    IFERROR(
        TRANSPOSE(
            _xlfn.UNIQUE(
                _xlfn._xlws.FILTER(EDU_DOCENTE[NOMBRE_DOCENTE],
                    ISNUMBER(MATCH(EDU_DOCENTE[MAESTRIA],
                    BQ555:DY555,0))
                )
            )
        ),
        ""
    ),
    TRANSPOSE(
        _xlfn.UNIQUE(EDU_DOCENTE[NOMBRE_DOCENTE]
        )
    )
)</f>
        <v>ALCIVAR CEDEÑO BEATRIZ ISABEL</v>
      </c>
      <c r="EB555" t="str">
        <v>ALCIVAR VERA GEMA MICHELLE</v>
      </c>
      <c r="EC555" t="str">
        <v>ARAUZ CHAVEZ MARIO ROBERTO</v>
      </c>
      <c r="ED555" t="str">
        <v>BAILON LOURIDO WALTER ALBERTO</v>
      </c>
      <c r="EE555" t="str">
        <v>CALDERERO VILLAGOMEZ ERICK ANTONIO</v>
      </c>
      <c r="EF555" t="str">
        <v>CASTILLO GARCIA PAOLA GERMANIA</v>
      </c>
      <c r="EG555" t="str">
        <v>CEDEÑO CHOEZ PEDRO JAVIER</v>
      </c>
      <c r="EH555" t="str">
        <v>CEVALLOS HOPPE JUAN CARLOS</v>
      </c>
      <c r="EI555" t="str">
        <v>DELGADO CHAVEZ MARIA IRASEMA</v>
      </c>
      <c r="EJ555" t="str">
        <v>DUARTE VALENCIA CRISTHIAN DARIO</v>
      </c>
      <c r="EK555" t="str">
        <v>FORTTY BARBERAN DENNY ALEXANDER</v>
      </c>
      <c r="EL555" t="str">
        <v>GUTIERREZ ZAMBRANO CARMEN EBELINA</v>
      </c>
      <c r="EM555" t="str">
        <v>INTRIAGO MOLINA GEMA VALERIA</v>
      </c>
      <c r="EN555" t="str">
        <v>LINO VELEZ LEONEL LIVINGTON</v>
      </c>
      <c r="EO555" t="str">
        <v>LOOR ALCIVAR MARIA ILIANA</v>
      </c>
      <c r="EP555" t="str">
        <v>LOOR MIELES TANIA JACQUELINE</v>
      </c>
      <c r="EQ555" t="str">
        <v>LOOR SOLORZANO ROSA MARIA</v>
      </c>
      <c r="ER555" t="str">
        <v>LOPEZ DELGADO RONALD MAURICIO</v>
      </c>
      <c r="ES555" t="str">
        <v>MACIAS VALENCIA DAVID GABRIEL</v>
      </c>
      <c r="ET555" t="str">
        <v>MENDOZA ZAMORA WALTER MANUEL</v>
      </c>
      <c r="EU555" t="str">
        <v>MOLINA CEVALLOS MARIA LORENA</v>
      </c>
      <c r="EV555" t="str">
        <v>MURILLO DELGADO ISAAC GABRIEL</v>
      </c>
      <c r="EW555" t="str">
        <v>ANGULO MURILLO NAVIRA GISSELA</v>
      </c>
      <c r="EX555" t="str">
        <v>OCHOA SOLEDISPA NESTOR IVAN</v>
      </c>
      <c r="EY555" t="str">
        <v>PARRAGA FRANCO SILVANA MARIELA</v>
      </c>
      <c r="EZ555" t="str">
        <v>PINARGOTE VASQUEZ NANCY FABIOLA</v>
      </c>
      <c r="FA555" t="str">
        <v>REYES VELEZ PEDRO ENRIQUE</v>
      </c>
      <c r="FB555" t="str">
        <v>SAN ANDRES HORMAZA DALLAS CECILIA</v>
      </c>
      <c r="FC555" t="str">
        <v>SORNOZA ZAMORA JUAN CARLOS</v>
      </c>
      <c r="FD555" t="str">
        <v>TOMALA PINTO JESUS JACINTO</v>
      </c>
      <c r="FE555" t="str">
        <v>VALLE JARAMILLO SILVIA ARACELY</v>
      </c>
      <c r="FF555" t="str">
        <v>VELÁSQUEZ BRAVO IRMA KATHERINE</v>
      </c>
      <c r="FG555" t="str">
        <v>VELEZ MENDOZA LAYSY VALERIA</v>
      </c>
      <c r="FH555" t="str">
        <v>VINUEZA TELLO SHIRLEY ELIZABETH</v>
      </c>
      <c r="FI555" t="str">
        <v>ZAMBRANO ALCIVAR NILDA ISABEL</v>
      </c>
      <c r="FJ555" t="str">
        <v>ZAMBRANO LOOR RITA MAYDA</v>
      </c>
      <c r="FK555" t="str">
        <v>ZAMBRANO VERA MONICA JANETH</v>
      </c>
      <c r="FL555" t="str">
        <v>VERA DELGADO BRYAN ADRIÁN</v>
      </c>
      <c r="FM555" t="str">
        <v>MORAN GONZALES DAVID RENATO</v>
      </c>
      <c r="FN555">
        <v>0</v>
      </c>
    </row>
    <row r="556" spans="1:170" ht="20.25" customHeight="1">
      <c r="A556" s="4" t="str" cm="1">
        <f t="array" ref="A556">TRANSPOSE(_xlfn.UNIQUE(_xlfn._xlws.FILTER(MAE_ASIGNATURA[ID_NIVEL],MAE_ASIGNATURA[ID_CARRERA]=ASIGNACION!$C556,"No existe información")))</f>
        <v>No existe información</v>
      </c>
      <c r="S556" s="4" t="str" cm="1">
        <f t="array" ref="S556">TRANSPOSE(_xlfn.UNIQUE(_xlfn._xlws.FILTER(MAE_ASIGNATURA[NOM_ASIG],(MAE_ASIGNATURA[ID_NIVEL]=ASIGNACION!$D556)*(MAE_ASIGNATURA[ID_CARRERA]=ASIGNACION!$C556),"No existe información")))</f>
        <v>No existe información</v>
      </c>
      <c r="BD556" s="4" t="str" cm="1">
        <f t="array" ref="BD556">TRANSPOSE(_xlfn.UNIQUE(_xlfn._xlws.FILTER(DET_ASIG[DETALLADO],(DET_ASIG[ID_CARRERA]=ASIGNACION!$C556)*(DET_ASIG[NIVEL]=ASIGNACION!$D556)*(DET_ASIG[ID_ASIG]=ASIGNACION!$G556),"No existe información")))</f>
        <v>No existe información</v>
      </c>
      <c r="BQ556" s="5" t="str" cm="1">
        <f t="array" ref="BQ556">IFERROR(
    TRANSPOSE(
        _xlfn.UNIQUE(
            _xlfn._xlws.FILTER(MAESTRIA_DETALLADO[MAESTRIA],
                ISNUMBER(MATCH(MAESTRIA_DETALLADO[CAMPO_DETALLADO],
                BD556:BP556,0))
            )
        )
    ),IF(BD556="ACTIVIDAD","DOCENCIA",""))</f>
        <v/>
      </c>
      <c r="EA556" s="5" t="str" cm="1">
        <f t="array" ref="EA556:FN556">IF(
    ASIGNACION!I556="SI",
    IFERROR(
        TRANSPOSE(
            _xlfn.UNIQUE(
                _xlfn._xlws.FILTER(EDU_DOCENTE[NOMBRE_DOCENTE],
                    ISNUMBER(MATCH(EDU_DOCENTE[MAESTRIA],
                    BQ556:DY556,0))
                )
            )
        ),
        ""
    ),
    TRANSPOSE(
        _xlfn.UNIQUE(EDU_DOCENTE[NOMBRE_DOCENTE]
        )
    )
)</f>
        <v>ALCIVAR CEDEÑO BEATRIZ ISABEL</v>
      </c>
      <c r="EB556" t="str">
        <v>ALCIVAR VERA GEMA MICHELLE</v>
      </c>
      <c r="EC556" t="str">
        <v>ARAUZ CHAVEZ MARIO ROBERTO</v>
      </c>
      <c r="ED556" t="str">
        <v>BAILON LOURIDO WALTER ALBERTO</v>
      </c>
      <c r="EE556" t="str">
        <v>CALDERERO VILLAGOMEZ ERICK ANTONIO</v>
      </c>
      <c r="EF556" t="str">
        <v>CASTILLO GARCIA PAOLA GERMANIA</v>
      </c>
      <c r="EG556" t="str">
        <v>CEDEÑO CHOEZ PEDRO JAVIER</v>
      </c>
      <c r="EH556" t="str">
        <v>CEVALLOS HOPPE JUAN CARLOS</v>
      </c>
      <c r="EI556" t="str">
        <v>DELGADO CHAVEZ MARIA IRASEMA</v>
      </c>
      <c r="EJ556" t="str">
        <v>DUARTE VALENCIA CRISTHIAN DARIO</v>
      </c>
      <c r="EK556" t="str">
        <v>FORTTY BARBERAN DENNY ALEXANDER</v>
      </c>
      <c r="EL556" t="str">
        <v>GUTIERREZ ZAMBRANO CARMEN EBELINA</v>
      </c>
      <c r="EM556" t="str">
        <v>INTRIAGO MOLINA GEMA VALERIA</v>
      </c>
      <c r="EN556" t="str">
        <v>LINO VELEZ LEONEL LIVINGTON</v>
      </c>
      <c r="EO556" t="str">
        <v>LOOR ALCIVAR MARIA ILIANA</v>
      </c>
      <c r="EP556" t="str">
        <v>LOOR MIELES TANIA JACQUELINE</v>
      </c>
      <c r="EQ556" t="str">
        <v>LOOR SOLORZANO ROSA MARIA</v>
      </c>
      <c r="ER556" t="str">
        <v>LOPEZ DELGADO RONALD MAURICIO</v>
      </c>
      <c r="ES556" t="str">
        <v>MACIAS VALENCIA DAVID GABRIEL</v>
      </c>
      <c r="ET556" t="str">
        <v>MENDOZA ZAMORA WALTER MANUEL</v>
      </c>
      <c r="EU556" t="str">
        <v>MOLINA CEVALLOS MARIA LORENA</v>
      </c>
      <c r="EV556" t="str">
        <v>MURILLO DELGADO ISAAC GABRIEL</v>
      </c>
      <c r="EW556" t="str">
        <v>ANGULO MURILLO NAVIRA GISSELA</v>
      </c>
      <c r="EX556" t="str">
        <v>OCHOA SOLEDISPA NESTOR IVAN</v>
      </c>
      <c r="EY556" t="str">
        <v>PARRAGA FRANCO SILVANA MARIELA</v>
      </c>
      <c r="EZ556" t="str">
        <v>PINARGOTE VASQUEZ NANCY FABIOLA</v>
      </c>
      <c r="FA556" t="str">
        <v>REYES VELEZ PEDRO ENRIQUE</v>
      </c>
      <c r="FB556" t="str">
        <v>SAN ANDRES HORMAZA DALLAS CECILIA</v>
      </c>
      <c r="FC556" t="str">
        <v>SORNOZA ZAMORA JUAN CARLOS</v>
      </c>
      <c r="FD556" t="str">
        <v>TOMALA PINTO JESUS JACINTO</v>
      </c>
      <c r="FE556" t="str">
        <v>VALLE JARAMILLO SILVIA ARACELY</v>
      </c>
      <c r="FF556" t="str">
        <v>VELÁSQUEZ BRAVO IRMA KATHERINE</v>
      </c>
      <c r="FG556" t="str">
        <v>VELEZ MENDOZA LAYSY VALERIA</v>
      </c>
      <c r="FH556" t="str">
        <v>VINUEZA TELLO SHIRLEY ELIZABETH</v>
      </c>
      <c r="FI556" t="str">
        <v>ZAMBRANO ALCIVAR NILDA ISABEL</v>
      </c>
      <c r="FJ556" t="str">
        <v>ZAMBRANO LOOR RITA MAYDA</v>
      </c>
      <c r="FK556" t="str">
        <v>ZAMBRANO VERA MONICA JANETH</v>
      </c>
      <c r="FL556" t="str">
        <v>VERA DELGADO BRYAN ADRIÁN</v>
      </c>
      <c r="FM556" t="str">
        <v>MORAN GONZALES DAVID RENATO</v>
      </c>
      <c r="FN556">
        <v>0</v>
      </c>
    </row>
    <row r="557" spans="1:170" ht="20.25" customHeight="1">
      <c r="A557" s="4" t="str" cm="1">
        <f t="array" ref="A557">TRANSPOSE(_xlfn.UNIQUE(_xlfn._xlws.FILTER(MAE_ASIGNATURA[ID_NIVEL],MAE_ASIGNATURA[ID_CARRERA]=ASIGNACION!$C557,"No existe información")))</f>
        <v>No existe información</v>
      </c>
      <c r="S557" s="4" t="str" cm="1">
        <f t="array" ref="S557">TRANSPOSE(_xlfn.UNIQUE(_xlfn._xlws.FILTER(MAE_ASIGNATURA[NOM_ASIG],(MAE_ASIGNATURA[ID_NIVEL]=ASIGNACION!$D557)*(MAE_ASIGNATURA[ID_CARRERA]=ASIGNACION!$C557),"No existe información")))</f>
        <v>No existe información</v>
      </c>
      <c r="BD557" s="4" t="str" cm="1">
        <f t="array" ref="BD557">TRANSPOSE(_xlfn.UNIQUE(_xlfn._xlws.FILTER(DET_ASIG[DETALLADO],(DET_ASIG[ID_CARRERA]=ASIGNACION!$C557)*(DET_ASIG[NIVEL]=ASIGNACION!$D557)*(DET_ASIG[ID_ASIG]=ASIGNACION!$G557),"No existe información")))</f>
        <v>No existe información</v>
      </c>
      <c r="BQ557" s="5" t="str" cm="1">
        <f t="array" ref="BQ557">IFERROR(
    TRANSPOSE(
        _xlfn.UNIQUE(
            _xlfn._xlws.FILTER(MAESTRIA_DETALLADO[MAESTRIA],
                ISNUMBER(MATCH(MAESTRIA_DETALLADO[CAMPO_DETALLADO],
                BD557:BP557,0))
            )
        )
    ),IF(BD557="ACTIVIDAD","DOCENCIA",""))</f>
        <v/>
      </c>
      <c r="EA557" s="5" t="str" cm="1">
        <f t="array" ref="EA557:FN557">IF(
    ASIGNACION!I557="SI",
    IFERROR(
        TRANSPOSE(
            _xlfn.UNIQUE(
                _xlfn._xlws.FILTER(EDU_DOCENTE[NOMBRE_DOCENTE],
                    ISNUMBER(MATCH(EDU_DOCENTE[MAESTRIA],
                    BQ557:DY557,0))
                )
            )
        ),
        ""
    ),
    TRANSPOSE(
        _xlfn.UNIQUE(EDU_DOCENTE[NOMBRE_DOCENTE]
        )
    )
)</f>
        <v>ALCIVAR CEDEÑO BEATRIZ ISABEL</v>
      </c>
      <c r="EB557" t="str">
        <v>ALCIVAR VERA GEMA MICHELLE</v>
      </c>
      <c r="EC557" t="str">
        <v>ARAUZ CHAVEZ MARIO ROBERTO</v>
      </c>
      <c r="ED557" t="str">
        <v>BAILON LOURIDO WALTER ALBERTO</v>
      </c>
      <c r="EE557" t="str">
        <v>CALDERERO VILLAGOMEZ ERICK ANTONIO</v>
      </c>
      <c r="EF557" t="str">
        <v>CASTILLO GARCIA PAOLA GERMANIA</v>
      </c>
      <c r="EG557" t="str">
        <v>CEDEÑO CHOEZ PEDRO JAVIER</v>
      </c>
      <c r="EH557" t="str">
        <v>CEVALLOS HOPPE JUAN CARLOS</v>
      </c>
      <c r="EI557" t="str">
        <v>DELGADO CHAVEZ MARIA IRASEMA</v>
      </c>
      <c r="EJ557" t="str">
        <v>DUARTE VALENCIA CRISTHIAN DARIO</v>
      </c>
      <c r="EK557" t="str">
        <v>FORTTY BARBERAN DENNY ALEXANDER</v>
      </c>
      <c r="EL557" t="str">
        <v>GUTIERREZ ZAMBRANO CARMEN EBELINA</v>
      </c>
      <c r="EM557" t="str">
        <v>INTRIAGO MOLINA GEMA VALERIA</v>
      </c>
      <c r="EN557" t="str">
        <v>LINO VELEZ LEONEL LIVINGTON</v>
      </c>
      <c r="EO557" t="str">
        <v>LOOR ALCIVAR MARIA ILIANA</v>
      </c>
      <c r="EP557" t="str">
        <v>LOOR MIELES TANIA JACQUELINE</v>
      </c>
      <c r="EQ557" t="str">
        <v>LOOR SOLORZANO ROSA MARIA</v>
      </c>
      <c r="ER557" t="str">
        <v>LOPEZ DELGADO RONALD MAURICIO</v>
      </c>
      <c r="ES557" t="str">
        <v>MACIAS VALENCIA DAVID GABRIEL</v>
      </c>
      <c r="ET557" t="str">
        <v>MENDOZA ZAMORA WALTER MANUEL</v>
      </c>
      <c r="EU557" t="str">
        <v>MOLINA CEVALLOS MARIA LORENA</v>
      </c>
      <c r="EV557" t="str">
        <v>MURILLO DELGADO ISAAC GABRIEL</v>
      </c>
      <c r="EW557" t="str">
        <v>ANGULO MURILLO NAVIRA GISSELA</v>
      </c>
      <c r="EX557" t="str">
        <v>OCHOA SOLEDISPA NESTOR IVAN</v>
      </c>
      <c r="EY557" t="str">
        <v>PARRAGA FRANCO SILVANA MARIELA</v>
      </c>
      <c r="EZ557" t="str">
        <v>PINARGOTE VASQUEZ NANCY FABIOLA</v>
      </c>
      <c r="FA557" t="str">
        <v>REYES VELEZ PEDRO ENRIQUE</v>
      </c>
      <c r="FB557" t="str">
        <v>SAN ANDRES HORMAZA DALLAS CECILIA</v>
      </c>
      <c r="FC557" t="str">
        <v>SORNOZA ZAMORA JUAN CARLOS</v>
      </c>
      <c r="FD557" t="str">
        <v>TOMALA PINTO JESUS JACINTO</v>
      </c>
      <c r="FE557" t="str">
        <v>VALLE JARAMILLO SILVIA ARACELY</v>
      </c>
      <c r="FF557" t="str">
        <v>VELÁSQUEZ BRAVO IRMA KATHERINE</v>
      </c>
      <c r="FG557" t="str">
        <v>VELEZ MENDOZA LAYSY VALERIA</v>
      </c>
      <c r="FH557" t="str">
        <v>VINUEZA TELLO SHIRLEY ELIZABETH</v>
      </c>
      <c r="FI557" t="str">
        <v>ZAMBRANO ALCIVAR NILDA ISABEL</v>
      </c>
      <c r="FJ557" t="str">
        <v>ZAMBRANO LOOR RITA MAYDA</v>
      </c>
      <c r="FK557" t="str">
        <v>ZAMBRANO VERA MONICA JANETH</v>
      </c>
      <c r="FL557" t="str">
        <v>VERA DELGADO BRYAN ADRIÁN</v>
      </c>
      <c r="FM557" t="str">
        <v>MORAN GONZALES DAVID RENATO</v>
      </c>
      <c r="FN557">
        <v>0</v>
      </c>
    </row>
    <row r="558" spans="1:170" ht="20.25" customHeight="1">
      <c r="A558" s="4" t="str" cm="1">
        <f t="array" ref="A558">TRANSPOSE(_xlfn.UNIQUE(_xlfn._xlws.FILTER(MAE_ASIGNATURA[ID_NIVEL],MAE_ASIGNATURA[ID_CARRERA]=ASIGNACION!$C558,"No existe información")))</f>
        <v>No existe información</v>
      </c>
      <c r="S558" s="4" t="str" cm="1">
        <f t="array" ref="S558">TRANSPOSE(_xlfn.UNIQUE(_xlfn._xlws.FILTER(MAE_ASIGNATURA[NOM_ASIG],(MAE_ASIGNATURA[ID_NIVEL]=ASIGNACION!$D558)*(MAE_ASIGNATURA[ID_CARRERA]=ASIGNACION!$C558),"No existe información")))</f>
        <v>No existe información</v>
      </c>
      <c r="BD558" s="4" t="str" cm="1">
        <f t="array" ref="BD558">TRANSPOSE(_xlfn.UNIQUE(_xlfn._xlws.FILTER(DET_ASIG[DETALLADO],(DET_ASIG[ID_CARRERA]=ASIGNACION!$C558)*(DET_ASIG[NIVEL]=ASIGNACION!$D558)*(DET_ASIG[ID_ASIG]=ASIGNACION!$G558),"No existe información")))</f>
        <v>No existe información</v>
      </c>
      <c r="BQ558" s="5" t="str" cm="1">
        <f t="array" ref="BQ558">IFERROR(
    TRANSPOSE(
        _xlfn.UNIQUE(
            _xlfn._xlws.FILTER(MAESTRIA_DETALLADO[MAESTRIA],
                ISNUMBER(MATCH(MAESTRIA_DETALLADO[CAMPO_DETALLADO],
                BD558:BP558,0))
            )
        )
    ),IF(BD558="ACTIVIDAD","DOCENCIA",""))</f>
        <v/>
      </c>
      <c r="EA558" s="5" t="str" cm="1">
        <f t="array" ref="EA558:FN558">IF(
    ASIGNACION!I558="SI",
    IFERROR(
        TRANSPOSE(
            _xlfn.UNIQUE(
                _xlfn._xlws.FILTER(EDU_DOCENTE[NOMBRE_DOCENTE],
                    ISNUMBER(MATCH(EDU_DOCENTE[MAESTRIA],
                    BQ558:DY558,0))
                )
            )
        ),
        ""
    ),
    TRANSPOSE(
        _xlfn.UNIQUE(EDU_DOCENTE[NOMBRE_DOCENTE]
        )
    )
)</f>
        <v>ALCIVAR CEDEÑO BEATRIZ ISABEL</v>
      </c>
      <c r="EB558" t="str">
        <v>ALCIVAR VERA GEMA MICHELLE</v>
      </c>
      <c r="EC558" t="str">
        <v>ARAUZ CHAVEZ MARIO ROBERTO</v>
      </c>
      <c r="ED558" t="str">
        <v>BAILON LOURIDO WALTER ALBERTO</v>
      </c>
      <c r="EE558" t="str">
        <v>CALDERERO VILLAGOMEZ ERICK ANTONIO</v>
      </c>
      <c r="EF558" t="str">
        <v>CASTILLO GARCIA PAOLA GERMANIA</v>
      </c>
      <c r="EG558" t="str">
        <v>CEDEÑO CHOEZ PEDRO JAVIER</v>
      </c>
      <c r="EH558" t="str">
        <v>CEVALLOS HOPPE JUAN CARLOS</v>
      </c>
      <c r="EI558" t="str">
        <v>DELGADO CHAVEZ MARIA IRASEMA</v>
      </c>
      <c r="EJ558" t="str">
        <v>DUARTE VALENCIA CRISTHIAN DARIO</v>
      </c>
      <c r="EK558" t="str">
        <v>FORTTY BARBERAN DENNY ALEXANDER</v>
      </c>
      <c r="EL558" t="str">
        <v>GUTIERREZ ZAMBRANO CARMEN EBELINA</v>
      </c>
      <c r="EM558" t="str">
        <v>INTRIAGO MOLINA GEMA VALERIA</v>
      </c>
      <c r="EN558" t="str">
        <v>LINO VELEZ LEONEL LIVINGTON</v>
      </c>
      <c r="EO558" t="str">
        <v>LOOR ALCIVAR MARIA ILIANA</v>
      </c>
      <c r="EP558" t="str">
        <v>LOOR MIELES TANIA JACQUELINE</v>
      </c>
      <c r="EQ558" t="str">
        <v>LOOR SOLORZANO ROSA MARIA</v>
      </c>
      <c r="ER558" t="str">
        <v>LOPEZ DELGADO RONALD MAURICIO</v>
      </c>
      <c r="ES558" t="str">
        <v>MACIAS VALENCIA DAVID GABRIEL</v>
      </c>
      <c r="ET558" t="str">
        <v>MENDOZA ZAMORA WALTER MANUEL</v>
      </c>
      <c r="EU558" t="str">
        <v>MOLINA CEVALLOS MARIA LORENA</v>
      </c>
      <c r="EV558" t="str">
        <v>MURILLO DELGADO ISAAC GABRIEL</v>
      </c>
      <c r="EW558" t="str">
        <v>ANGULO MURILLO NAVIRA GISSELA</v>
      </c>
      <c r="EX558" t="str">
        <v>OCHOA SOLEDISPA NESTOR IVAN</v>
      </c>
      <c r="EY558" t="str">
        <v>PARRAGA FRANCO SILVANA MARIELA</v>
      </c>
      <c r="EZ558" t="str">
        <v>PINARGOTE VASQUEZ NANCY FABIOLA</v>
      </c>
      <c r="FA558" t="str">
        <v>REYES VELEZ PEDRO ENRIQUE</v>
      </c>
      <c r="FB558" t="str">
        <v>SAN ANDRES HORMAZA DALLAS CECILIA</v>
      </c>
      <c r="FC558" t="str">
        <v>SORNOZA ZAMORA JUAN CARLOS</v>
      </c>
      <c r="FD558" t="str">
        <v>TOMALA PINTO JESUS JACINTO</v>
      </c>
      <c r="FE558" t="str">
        <v>VALLE JARAMILLO SILVIA ARACELY</v>
      </c>
      <c r="FF558" t="str">
        <v>VELÁSQUEZ BRAVO IRMA KATHERINE</v>
      </c>
      <c r="FG558" t="str">
        <v>VELEZ MENDOZA LAYSY VALERIA</v>
      </c>
      <c r="FH558" t="str">
        <v>VINUEZA TELLO SHIRLEY ELIZABETH</v>
      </c>
      <c r="FI558" t="str">
        <v>ZAMBRANO ALCIVAR NILDA ISABEL</v>
      </c>
      <c r="FJ558" t="str">
        <v>ZAMBRANO LOOR RITA MAYDA</v>
      </c>
      <c r="FK558" t="str">
        <v>ZAMBRANO VERA MONICA JANETH</v>
      </c>
      <c r="FL558" t="str">
        <v>VERA DELGADO BRYAN ADRIÁN</v>
      </c>
      <c r="FM558" t="str">
        <v>MORAN GONZALES DAVID RENATO</v>
      </c>
      <c r="FN558">
        <v>0</v>
      </c>
    </row>
    <row r="559" spans="1:170" ht="20.25" customHeight="1">
      <c r="A559" s="4" t="str" cm="1">
        <f t="array" ref="A559">TRANSPOSE(_xlfn.UNIQUE(_xlfn._xlws.FILTER(MAE_ASIGNATURA[ID_NIVEL],MAE_ASIGNATURA[ID_CARRERA]=ASIGNACION!$C559,"No existe información")))</f>
        <v>No existe información</v>
      </c>
      <c r="S559" s="4" t="str" cm="1">
        <f t="array" ref="S559">TRANSPOSE(_xlfn.UNIQUE(_xlfn._xlws.FILTER(MAE_ASIGNATURA[NOM_ASIG],(MAE_ASIGNATURA[ID_NIVEL]=ASIGNACION!$D559)*(MAE_ASIGNATURA[ID_CARRERA]=ASIGNACION!$C559),"No existe información")))</f>
        <v>No existe información</v>
      </c>
      <c r="BD559" s="4" t="str" cm="1">
        <f t="array" ref="BD559">TRANSPOSE(_xlfn.UNIQUE(_xlfn._xlws.FILTER(DET_ASIG[DETALLADO],(DET_ASIG[ID_CARRERA]=ASIGNACION!$C559)*(DET_ASIG[NIVEL]=ASIGNACION!$D559)*(DET_ASIG[ID_ASIG]=ASIGNACION!$G559),"No existe información")))</f>
        <v>No existe información</v>
      </c>
      <c r="BQ559" s="5" t="str" cm="1">
        <f t="array" ref="BQ559">IFERROR(
    TRANSPOSE(
        _xlfn.UNIQUE(
            _xlfn._xlws.FILTER(MAESTRIA_DETALLADO[MAESTRIA],
                ISNUMBER(MATCH(MAESTRIA_DETALLADO[CAMPO_DETALLADO],
                BD559:BP559,0))
            )
        )
    ),IF(BD559="ACTIVIDAD","DOCENCIA",""))</f>
        <v/>
      </c>
      <c r="EA559" s="5" t="str" cm="1">
        <f t="array" ref="EA559:FN559">IF(
    ASIGNACION!I559="SI",
    IFERROR(
        TRANSPOSE(
            _xlfn.UNIQUE(
                _xlfn._xlws.FILTER(EDU_DOCENTE[NOMBRE_DOCENTE],
                    ISNUMBER(MATCH(EDU_DOCENTE[MAESTRIA],
                    BQ559:DY559,0))
                )
            )
        ),
        ""
    ),
    TRANSPOSE(
        _xlfn.UNIQUE(EDU_DOCENTE[NOMBRE_DOCENTE]
        )
    )
)</f>
        <v>ALCIVAR CEDEÑO BEATRIZ ISABEL</v>
      </c>
      <c r="EB559" t="str">
        <v>ALCIVAR VERA GEMA MICHELLE</v>
      </c>
      <c r="EC559" t="str">
        <v>ARAUZ CHAVEZ MARIO ROBERTO</v>
      </c>
      <c r="ED559" t="str">
        <v>BAILON LOURIDO WALTER ALBERTO</v>
      </c>
      <c r="EE559" t="str">
        <v>CALDERERO VILLAGOMEZ ERICK ANTONIO</v>
      </c>
      <c r="EF559" t="str">
        <v>CASTILLO GARCIA PAOLA GERMANIA</v>
      </c>
      <c r="EG559" t="str">
        <v>CEDEÑO CHOEZ PEDRO JAVIER</v>
      </c>
      <c r="EH559" t="str">
        <v>CEVALLOS HOPPE JUAN CARLOS</v>
      </c>
      <c r="EI559" t="str">
        <v>DELGADO CHAVEZ MARIA IRASEMA</v>
      </c>
      <c r="EJ559" t="str">
        <v>DUARTE VALENCIA CRISTHIAN DARIO</v>
      </c>
      <c r="EK559" t="str">
        <v>FORTTY BARBERAN DENNY ALEXANDER</v>
      </c>
      <c r="EL559" t="str">
        <v>GUTIERREZ ZAMBRANO CARMEN EBELINA</v>
      </c>
      <c r="EM559" t="str">
        <v>INTRIAGO MOLINA GEMA VALERIA</v>
      </c>
      <c r="EN559" t="str">
        <v>LINO VELEZ LEONEL LIVINGTON</v>
      </c>
      <c r="EO559" t="str">
        <v>LOOR ALCIVAR MARIA ILIANA</v>
      </c>
      <c r="EP559" t="str">
        <v>LOOR MIELES TANIA JACQUELINE</v>
      </c>
      <c r="EQ559" t="str">
        <v>LOOR SOLORZANO ROSA MARIA</v>
      </c>
      <c r="ER559" t="str">
        <v>LOPEZ DELGADO RONALD MAURICIO</v>
      </c>
      <c r="ES559" t="str">
        <v>MACIAS VALENCIA DAVID GABRIEL</v>
      </c>
      <c r="ET559" t="str">
        <v>MENDOZA ZAMORA WALTER MANUEL</v>
      </c>
      <c r="EU559" t="str">
        <v>MOLINA CEVALLOS MARIA LORENA</v>
      </c>
      <c r="EV559" t="str">
        <v>MURILLO DELGADO ISAAC GABRIEL</v>
      </c>
      <c r="EW559" t="str">
        <v>ANGULO MURILLO NAVIRA GISSELA</v>
      </c>
      <c r="EX559" t="str">
        <v>OCHOA SOLEDISPA NESTOR IVAN</v>
      </c>
      <c r="EY559" t="str">
        <v>PARRAGA FRANCO SILVANA MARIELA</v>
      </c>
      <c r="EZ559" t="str">
        <v>PINARGOTE VASQUEZ NANCY FABIOLA</v>
      </c>
      <c r="FA559" t="str">
        <v>REYES VELEZ PEDRO ENRIQUE</v>
      </c>
      <c r="FB559" t="str">
        <v>SAN ANDRES HORMAZA DALLAS CECILIA</v>
      </c>
      <c r="FC559" t="str">
        <v>SORNOZA ZAMORA JUAN CARLOS</v>
      </c>
      <c r="FD559" t="str">
        <v>TOMALA PINTO JESUS JACINTO</v>
      </c>
      <c r="FE559" t="str">
        <v>VALLE JARAMILLO SILVIA ARACELY</v>
      </c>
      <c r="FF559" t="str">
        <v>VELÁSQUEZ BRAVO IRMA KATHERINE</v>
      </c>
      <c r="FG559" t="str">
        <v>VELEZ MENDOZA LAYSY VALERIA</v>
      </c>
      <c r="FH559" t="str">
        <v>VINUEZA TELLO SHIRLEY ELIZABETH</v>
      </c>
      <c r="FI559" t="str">
        <v>ZAMBRANO ALCIVAR NILDA ISABEL</v>
      </c>
      <c r="FJ559" t="str">
        <v>ZAMBRANO LOOR RITA MAYDA</v>
      </c>
      <c r="FK559" t="str">
        <v>ZAMBRANO VERA MONICA JANETH</v>
      </c>
      <c r="FL559" t="str">
        <v>VERA DELGADO BRYAN ADRIÁN</v>
      </c>
      <c r="FM559" t="str">
        <v>MORAN GONZALES DAVID RENATO</v>
      </c>
      <c r="FN559">
        <v>0</v>
      </c>
    </row>
    <row r="560" spans="1:170" ht="20.25" customHeight="1">
      <c r="A560" s="4" t="str" cm="1">
        <f t="array" ref="A560">TRANSPOSE(_xlfn.UNIQUE(_xlfn._xlws.FILTER(MAE_ASIGNATURA[ID_NIVEL],MAE_ASIGNATURA[ID_CARRERA]=ASIGNACION!$C560,"No existe información")))</f>
        <v>No existe información</v>
      </c>
      <c r="S560" s="4" t="str" cm="1">
        <f t="array" ref="S560">TRANSPOSE(_xlfn.UNIQUE(_xlfn._xlws.FILTER(MAE_ASIGNATURA[NOM_ASIG],(MAE_ASIGNATURA[ID_NIVEL]=ASIGNACION!$D560)*(MAE_ASIGNATURA[ID_CARRERA]=ASIGNACION!$C560),"No existe información")))</f>
        <v>No existe información</v>
      </c>
      <c r="BD560" s="4" t="str" cm="1">
        <f t="array" ref="BD560">TRANSPOSE(_xlfn.UNIQUE(_xlfn._xlws.FILTER(DET_ASIG[DETALLADO],(DET_ASIG[ID_CARRERA]=ASIGNACION!$C560)*(DET_ASIG[NIVEL]=ASIGNACION!$D560)*(DET_ASIG[ID_ASIG]=ASIGNACION!$G560),"No existe información")))</f>
        <v>No existe información</v>
      </c>
      <c r="BQ560" s="5" t="str" cm="1">
        <f t="array" ref="BQ560">IFERROR(
    TRANSPOSE(
        _xlfn.UNIQUE(
            _xlfn._xlws.FILTER(MAESTRIA_DETALLADO[MAESTRIA],
                ISNUMBER(MATCH(MAESTRIA_DETALLADO[CAMPO_DETALLADO],
                BD560:BP560,0))
            )
        )
    ),IF(BD560="ACTIVIDAD","DOCENCIA",""))</f>
        <v/>
      </c>
      <c r="EA560" s="5" t="str" cm="1">
        <f t="array" ref="EA560:FN560">IF(
    ASIGNACION!I560="SI",
    IFERROR(
        TRANSPOSE(
            _xlfn.UNIQUE(
                _xlfn._xlws.FILTER(EDU_DOCENTE[NOMBRE_DOCENTE],
                    ISNUMBER(MATCH(EDU_DOCENTE[MAESTRIA],
                    BQ560:DY560,0))
                )
            )
        ),
        ""
    ),
    TRANSPOSE(
        _xlfn.UNIQUE(EDU_DOCENTE[NOMBRE_DOCENTE]
        )
    )
)</f>
        <v>ALCIVAR CEDEÑO BEATRIZ ISABEL</v>
      </c>
      <c r="EB560" t="str">
        <v>ALCIVAR VERA GEMA MICHELLE</v>
      </c>
      <c r="EC560" t="str">
        <v>ARAUZ CHAVEZ MARIO ROBERTO</v>
      </c>
      <c r="ED560" t="str">
        <v>BAILON LOURIDO WALTER ALBERTO</v>
      </c>
      <c r="EE560" t="str">
        <v>CALDERERO VILLAGOMEZ ERICK ANTONIO</v>
      </c>
      <c r="EF560" t="str">
        <v>CASTILLO GARCIA PAOLA GERMANIA</v>
      </c>
      <c r="EG560" t="str">
        <v>CEDEÑO CHOEZ PEDRO JAVIER</v>
      </c>
      <c r="EH560" t="str">
        <v>CEVALLOS HOPPE JUAN CARLOS</v>
      </c>
      <c r="EI560" t="str">
        <v>DELGADO CHAVEZ MARIA IRASEMA</v>
      </c>
      <c r="EJ560" t="str">
        <v>DUARTE VALENCIA CRISTHIAN DARIO</v>
      </c>
      <c r="EK560" t="str">
        <v>FORTTY BARBERAN DENNY ALEXANDER</v>
      </c>
      <c r="EL560" t="str">
        <v>GUTIERREZ ZAMBRANO CARMEN EBELINA</v>
      </c>
      <c r="EM560" t="str">
        <v>INTRIAGO MOLINA GEMA VALERIA</v>
      </c>
      <c r="EN560" t="str">
        <v>LINO VELEZ LEONEL LIVINGTON</v>
      </c>
      <c r="EO560" t="str">
        <v>LOOR ALCIVAR MARIA ILIANA</v>
      </c>
      <c r="EP560" t="str">
        <v>LOOR MIELES TANIA JACQUELINE</v>
      </c>
      <c r="EQ560" t="str">
        <v>LOOR SOLORZANO ROSA MARIA</v>
      </c>
      <c r="ER560" t="str">
        <v>LOPEZ DELGADO RONALD MAURICIO</v>
      </c>
      <c r="ES560" t="str">
        <v>MACIAS VALENCIA DAVID GABRIEL</v>
      </c>
      <c r="ET560" t="str">
        <v>MENDOZA ZAMORA WALTER MANUEL</v>
      </c>
      <c r="EU560" t="str">
        <v>MOLINA CEVALLOS MARIA LORENA</v>
      </c>
      <c r="EV560" t="str">
        <v>MURILLO DELGADO ISAAC GABRIEL</v>
      </c>
      <c r="EW560" t="str">
        <v>ANGULO MURILLO NAVIRA GISSELA</v>
      </c>
      <c r="EX560" t="str">
        <v>OCHOA SOLEDISPA NESTOR IVAN</v>
      </c>
      <c r="EY560" t="str">
        <v>PARRAGA FRANCO SILVANA MARIELA</v>
      </c>
      <c r="EZ560" t="str">
        <v>PINARGOTE VASQUEZ NANCY FABIOLA</v>
      </c>
      <c r="FA560" t="str">
        <v>REYES VELEZ PEDRO ENRIQUE</v>
      </c>
      <c r="FB560" t="str">
        <v>SAN ANDRES HORMAZA DALLAS CECILIA</v>
      </c>
      <c r="FC560" t="str">
        <v>SORNOZA ZAMORA JUAN CARLOS</v>
      </c>
      <c r="FD560" t="str">
        <v>TOMALA PINTO JESUS JACINTO</v>
      </c>
      <c r="FE560" t="str">
        <v>VALLE JARAMILLO SILVIA ARACELY</v>
      </c>
      <c r="FF560" t="str">
        <v>VELÁSQUEZ BRAVO IRMA KATHERINE</v>
      </c>
      <c r="FG560" t="str">
        <v>VELEZ MENDOZA LAYSY VALERIA</v>
      </c>
      <c r="FH560" t="str">
        <v>VINUEZA TELLO SHIRLEY ELIZABETH</v>
      </c>
      <c r="FI560" t="str">
        <v>ZAMBRANO ALCIVAR NILDA ISABEL</v>
      </c>
      <c r="FJ560" t="str">
        <v>ZAMBRANO LOOR RITA MAYDA</v>
      </c>
      <c r="FK560" t="str">
        <v>ZAMBRANO VERA MONICA JANETH</v>
      </c>
      <c r="FL560" t="str">
        <v>VERA DELGADO BRYAN ADRIÁN</v>
      </c>
      <c r="FM560" t="str">
        <v>MORAN GONZALES DAVID RENATO</v>
      </c>
      <c r="FN560">
        <v>0</v>
      </c>
    </row>
    <row r="561" spans="1:170" ht="20.25" customHeight="1">
      <c r="A561" s="4" t="str" cm="1">
        <f t="array" ref="A561">TRANSPOSE(_xlfn.UNIQUE(_xlfn._xlws.FILTER(MAE_ASIGNATURA[ID_NIVEL],MAE_ASIGNATURA[ID_CARRERA]=ASIGNACION!$C561,"No existe información")))</f>
        <v>No existe información</v>
      </c>
      <c r="S561" s="4" t="str" cm="1">
        <f t="array" ref="S561">TRANSPOSE(_xlfn.UNIQUE(_xlfn._xlws.FILTER(MAE_ASIGNATURA[NOM_ASIG],(MAE_ASIGNATURA[ID_NIVEL]=ASIGNACION!$D561)*(MAE_ASIGNATURA[ID_CARRERA]=ASIGNACION!$C561),"No existe información")))</f>
        <v>No existe información</v>
      </c>
      <c r="BD561" s="4" t="str" cm="1">
        <f t="array" ref="BD561">TRANSPOSE(_xlfn.UNIQUE(_xlfn._xlws.FILTER(DET_ASIG[DETALLADO],(DET_ASIG[ID_CARRERA]=ASIGNACION!$C561)*(DET_ASIG[NIVEL]=ASIGNACION!$D561)*(DET_ASIG[ID_ASIG]=ASIGNACION!$G561),"No existe información")))</f>
        <v>No existe información</v>
      </c>
      <c r="BQ561" s="5" t="str" cm="1">
        <f t="array" ref="BQ561">IFERROR(
    TRANSPOSE(
        _xlfn.UNIQUE(
            _xlfn._xlws.FILTER(MAESTRIA_DETALLADO[MAESTRIA],
                ISNUMBER(MATCH(MAESTRIA_DETALLADO[CAMPO_DETALLADO],
                BD561:BP561,0))
            )
        )
    ),IF(BD561="ACTIVIDAD","DOCENCIA",""))</f>
        <v/>
      </c>
      <c r="EA561" s="5" t="str" cm="1">
        <f t="array" ref="EA561:FN561">IF(
    ASIGNACION!I561="SI",
    IFERROR(
        TRANSPOSE(
            _xlfn.UNIQUE(
                _xlfn._xlws.FILTER(EDU_DOCENTE[NOMBRE_DOCENTE],
                    ISNUMBER(MATCH(EDU_DOCENTE[MAESTRIA],
                    BQ561:DY561,0))
                )
            )
        ),
        ""
    ),
    TRANSPOSE(
        _xlfn.UNIQUE(EDU_DOCENTE[NOMBRE_DOCENTE]
        )
    )
)</f>
        <v>ALCIVAR CEDEÑO BEATRIZ ISABEL</v>
      </c>
      <c r="EB561" t="str">
        <v>ALCIVAR VERA GEMA MICHELLE</v>
      </c>
      <c r="EC561" t="str">
        <v>ARAUZ CHAVEZ MARIO ROBERTO</v>
      </c>
      <c r="ED561" t="str">
        <v>BAILON LOURIDO WALTER ALBERTO</v>
      </c>
      <c r="EE561" t="str">
        <v>CALDERERO VILLAGOMEZ ERICK ANTONIO</v>
      </c>
      <c r="EF561" t="str">
        <v>CASTILLO GARCIA PAOLA GERMANIA</v>
      </c>
      <c r="EG561" t="str">
        <v>CEDEÑO CHOEZ PEDRO JAVIER</v>
      </c>
      <c r="EH561" t="str">
        <v>CEVALLOS HOPPE JUAN CARLOS</v>
      </c>
      <c r="EI561" t="str">
        <v>DELGADO CHAVEZ MARIA IRASEMA</v>
      </c>
      <c r="EJ561" t="str">
        <v>DUARTE VALENCIA CRISTHIAN DARIO</v>
      </c>
      <c r="EK561" t="str">
        <v>FORTTY BARBERAN DENNY ALEXANDER</v>
      </c>
      <c r="EL561" t="str">
        <v>GUTIERREZ ZAMBRANO CARMEN EBELINA</v>
      </c>
      <c r="EM561" t="str">
        <v>INTRIAGO MOLINA GEMA VALERIA</v>
      </c>
      <c r="EN561" t="str">
        <v>LINO VELEZ LEONEL LIVINGTON</v>
      </c>
      <c r="EO561" t="str">
        <v>LOOR ALCIVAR MARIA ILIANA</v>
      </c>
      <c r="EP561" t="str">
        <v>LOOR MIELES TANIA JACQUELINE</v>
      </c>
      <c r="EQ561" t="str">
        <v>LOOR SOLORZANO ROSA MARIA</v>
      </c>
      <c r="ER561" t="str">
        <v>LOPEZ DELGADO RONALD MAURICIO</v>
      </c>
      <c r="ES561" t="str">
        <v>MACIAS VALENCIA DAVID GABRIEL</v>
      </c>
      <c r="ET561" t="str">
        <v>MENDOZA ZAMORA WALTER MANUEL</v>
      </c>
      <c r="EU561" t="str">
        <v>MOLINA CEVALLOS MARIA LORENA</v>
      </c>
      <c r="EV561" t="str">
        <v>MURILLO DELGADO ISAAC GABRIEL</v>
      </c>
      <c r="EW561" t="str">
        <v>ANGULO MURILLO NAVIRA GISSELA</v>
      </c>
      <c r="EX561" t="str">
        <v>OCHOA SOLEDISPA NESTOR IVAN</v>
      </c>
      <c r="EY561" t="str">
        <v>PARRAGA FRANCO SILVANA MARIELA</v>
      </c>
      <c r="EZ561" t="str">
        <v>PINARGOTE VASQUEZ NANCY FABIOLA</v>
      </c>
      <c r="FA561" t="str">
        <v>REYES VELEZ PEDRO ENRIQUE</v>
      </c>
      <c r="FB561" t="str">
        <v>SAN ANDRES HORMAZA DALLAS CECILIA</v>
      </c>
      <c r="FC561" t="str">
        <v>SORNOZA ZAMORA JUAN CARLOS</v>
      </c>
      <c r="FD561" t="str">
        <v>TOMALA PINTO JESUS JACINTO</v>
      </c>
      <c r="FE561" t="str">
        <v>VALLE JARAMILLO SILVIA ARACELY</v>
      </c>
      <c r="FF561" t="str">
        <v>VELÁSQUEZ BRAVO IRMA KATHERINE</v>
      </c>
      <c r="FG561" t="str">
        <v>VELEZ MENDOZA LAYSY VALERIA</v>
      </c>
      <c r="FH561" t="str">
        <v>VINUEZA TELLO SHIRLEY ELIZABETH</v>
      </c>
      <c r="FI561" t="str">
        <v>ZAMBRANO ALCIVAR NILDA ISABEL</v>
      </c>
      <c r="FJ561" t="str">
        <v>ZAMBRANO LOOR RITA MAYDA</v>
      </c>
      <c r="FK561" t="str">
        <v>ZAMBRANO VERA MONICA JANETH</v>
      </c>
      <c r="FL561" t="str">
        <v>VERA DELGADO BRYAN ADRIÁN</v>
      </c>
      <c r="FM561" t="str">
        <v>MORAN GONZALES DAVID RENATO</v>
      </c>
      <c r="FN561">
        <v>0</v>
      </c>
    </row>
    <row r="562" spans="1:170" ht="20.25" customHeight="1">
      <c r="A562" s="4" t="str" cm="1">
        <f t="array" ref="A562">TRANSPOSE(_xlfn.UNIQUE(_xlfn._xlws.FILTER(MAE_ASIGNATURA[ID_NIVEL],MAE_ASIGNATURA[ID_CARRERA]=ASIGNACION!$C562,"No existe información")))</f>
        <v>No existe información</v>
      </c>
      <c r="S562" s="4" t="str" cm="1">
        <f t="array" ref="S562">TRANSPOSE(_xlfn.UNIQUE(_xlfn._xlws.FILTER(MAE_ASIGNATURA[NOM_ASIG],(MAE_ASIGNATURA[ID_NIVEL]=ASIGNACION!$D562)*(MAE_ASIGNATURA[ID_CARRERA]=ASIGNACION!$C562),"No existe información")))</f>
        <v>No existe información</v>
      </c>
      <c r="BD562" s="4" t="str" cm="1">
        <f t="array" ref="BD562">TRANSPOSE(_xlfn.UNIQUE(_xlfn._xlws.FILTER(DET_ASIG[DETALLADO],(DET_ASIG[ID_CARRERA]=ASIGNACION!$C562)*(DET_ASIG[NIVEL]=ASIGNACION!$D562)*(DET_ASIG[ID_ASIG]=ASIGNACION!$G562),"No existe información")))</f>
        <v>No existe información</v>
      </c>
      <c r="BQ562" s="5" t="str" cm="1">
        <f t="array" ref="BQ562">IFERROR(
    TRANSPOSE(
        _xlfn.UNIQUE(
            _xlfn._xlws.FILTER(MAESTRIA_DETALLADO[MAESTRIA],
                ISNUMBER(MATCH(MAESTRIA_DETALLADO[CAMPO_DETALLADO],
                BD562:BP562,0))
            )
        )
    ),IF(BD562="ACTIVIDAD","DOCENCIA",""))</f>
        <v/>
      </c>
      <c r="EA562" s="5" t="str" cm="1">
        <f t="array" ref="EA562:FN562">IF(
    ASIGNACION!I562="SI",
    IFERROR(
        TRANSPOSE(
            _xlfn.UNIQUE(
                _xlfn._xlws.FILTER(EDU_DOCENTE[NOMBRE_DOCENTE],
                    ISNUMBER(MATCH(EDU_DOCENTE[MAESTRIA],
                    BQ562:DY562,0))
                )
            )
        ),
        ""
    ),
    TRANSPOSE(
        _xlfn.UNIQUE(EDU_DOCENTE[NOMBRE_DOCENTE]
        )
    )
)</f>
        <v>ALCIVAR CEDEÑO BEATRIZ ISABEL</v>
      </c>
      <c r="EB562" t="str">
        <v>ALCIVAR VERA GEMA MICHELLE</v>
      </c>
      <c r="EC562" t="str">
        <v>ARAUZ CHAVEZ MARIO ROBERTO</v>
      </c>
      <c r="ED562" t="str">
        <v>BAILON LOURIDO WALTER ALBERTO</v>
      </c>
      <c r="EE562" t="str">
        <v>CALDERERO VILLAGOMEZ ERICK ANTONIO</v>
      </c>
      <c r="EF562" t="str">
        <v>CASTILLO GARCIA PAOLA GERMANIA</v>
      </c>
      <c r="EG562" t="str">
        <v>CEDEÑO CHOEZ PEDRO JAVIER</v>
      </c>
      <c r="EH562" t="str">
        <v>CEVALLOS HOPPE JUAN CARLOS</v>
      </c>
      <c r="EI562" t="str">
        <v>DELGADO CHAVEZ MARIA IRASEMA</v>
      </c>
      <c r="EJ562" t="str">
        <v>DUARTE VALENCIA CRISTHIAN DARIO</v>
      </c>
      <c r="EK562" t="str">
        <v>FORTTY BARBERAN DENNY ALEXANDER</v>
      </c>
      <c r="EL562" t="str">
        <v>GUTIERREZ ZAMBRANO CARMEN EBELINA</v>
      </c>
      <c r="EM562" t="str">
        <v>INTRIAGO MOLINA GEMA VALERIA</v>
      </c>
      <c r="EN562" t="str">
        <v>LINO VELEZ LEONEL LIVINGTON</v>
      </c>
      <c r="EO562" t="str">
        <v>LOOR ALCIVAR MARIA ILIANA</v>
      </c>
      <c r="EP562" t="str">
        <v>LOOR MIELES TANIA JACQUELINE</v>
      </c>
      <c r="EQ562" t="str">
        <v>LOOR SOLORZANO ROSA MARIA</v>
      </c>
      <c r="ER562" t="str">
        <v>LOPEZ DELGADO RONALD MAURICIO</v>
      </c>
      <c r="ES562" t="str">
        <v>MACIAS VALENCIA DAVID GABRIEL</v>
      </c>
      <c r="ET562" t="str">
        <v>MENDOZA ZAMORA WALTER MANUEL</v>
      </c>
      <c r="EU562" t="str">
        <v>MOLINA CEVALLOS MARIA LORENA</v>
      </c>
      <c r="EV562" t="str">
        <v>MURILLO DELGADO ISAAC GABRIEL</v>
      </c>
      <c r="EW562" t="str">
        <v>ANGULO MURILLO NAVIRA GISSELA</v>
      </c>
      <c r="EX562" t="str">
        <v>OCHOA SOLEDISPA NESTOR IVAN</v>
      </c>
      <c r="EY562" t="str">
        <v>PARRAGA FRANCO SILVANA MARIELA</v>
      </c>
      <c r="EZ562" t="str">
        <v>PINARGOTE VASQUEZ NANCY FABIOLA</v>
      </c>
      <c r="FA562" t="str">
        <v>REYES VELEZ PEDRO ENRIQUE</v>
      </c>
      <c r="FB562" t="str">
        <v>SAN ANDRES HORMAZA DALLAS CECILIA</v>
      </c>
      <c r="FC562" t="str">
        <v>SORNOZA ZAMORA JUAN CARLOS</v>
      </c>
      <c r="FD562" t="str">
        <v>TOMALA PINTO JESUS JACINTO</v>
      </c>
      <c r="FE562" t="str">
        <v>VALLE JARAMILLO SILVIA ARACELY</v>
      </c>
      <c r="FF562" t="str">
        <v>VELÁSQUEZ BRAVO IRMA KATHERINE</v>
      </c>
      <c r="FG562" t="str">
        <v>VELEZ MENDOZA LAYSY VALERIA</v>
      </c>
      <c r="FH562" t="str">
        <v>VINUEZA TELLO SHIRLEY ELIZABETH</v>
      </c>
      <c r="FI562" t="str">
        <v>ZAMBRANO ALCIVAR NILDA ISABEL</v>
      </c>
      <c r="FJ562" t="str">
        <v>ZAMBRANO LOOR RITA MAYDA</v>
      </c>
      <c r="FK562" t="str">
        <v>ZAMBRANO VERA MONICA JANETH</v>
      </c>
      <c r="FL562" t="str">
        <v>VERA DELGADO BRYAN ADRIÁN</v>
      </c>
      <c r="FM562" t="str">
        <v>MORAN GONZALES DAVID RENATO</v>
      </c>
      <c r="FN562">
        <v>0</v>
      </c>
    </row>
    <row r="563" spans="1:170" ht="20.25" customHeight="1">
      <c r="A563" s="4" t="str" cm="1">
        <f t="array" ref="A563">TRANSPOSE(_xlfn.UNIQUE(_xlfn._xlws.FILTER(MAE_ASIGNATURA[ID_NIVEL],MAE_ASIGNATURA[ID_CARRERA]=ASIGNACION!$C563,"No existe información")))</f>
        <v>No existe información</v>
      </c>
      <c r="S563" s="4" t="str" cm="1">
        <f t="array" ref="S563">TRANSPOSE(_xlfn.UNIQUE(_xlfn._xlws.FILTER(MAE_ASIGNATURA[NOM_ASIG],(MAE_ASIGNATURA[ID_NIVEL]=ASIGNACION!$D563)*(MAE_ASIGNATURA[ID_CARRERA]=ASIGNACION!$C563),"No existe información")))</f>
        <v>No existe información</v>
      </c>
      <c r="BD563" s="4" t="str" cm="1">
        <f t="array" ref="BD563">TRANSPOSE(_xlfn.UNIQUE(_xlfn._xlws.FILTER(DET_ASIG[DETALLADO],(DET_ASIG[ID_CARRERA]=ASIGNACION!$C563)*(DET_ASIG[NIVEL]=ASIGNACION!$D563)*(DET_ASIG[ID_ASIG]=ASIGNACION!$G563),"No existe información")))</f>
        <v>No existe información</v>
      </c>
      <c r="BQ563" s="5" t="str" cm="1">
        <f t="array" ref="BQ563">IFERROR(
    TRANSPOSE(
        _xlfn.UNIQUE(
            _xlfn._xlws.FILTER(MAESTRIA_DETALLADO[MAESTRIA],
                ISNUMBER(MATCH(MAESTRIA_DETALLADO[CAMPO_DETALLADO],
                BD563:BP563,0))
            )
        )
    ),IF(BD563="ACTIVIDAD","DOCENCIA",""))</f>
        <v/>
      </c>
      <c r="EA563" s="5" t="str" cm="1">
        <f t="array" ref="EA563:FN563">IF(
    ASIGNACION!I563="SI",
    IFERROR(
        TRANSPOSE(
            _xlfn.UNIQUE(
                _xlfn._xlws.FILTER(EDU_DOCENTE[NOMBRE_DOCENTE],
                    ISNUMBER(MATCH(EDU_DOCENTE[MAESTRIA],
                    BQ563:DY563,0))
                )
            )
        ),
        ""
    ),
    TRANSPOSE(
        _xlfn.UNIQUE(EDU_DOCENTE[NOMBRE_DOCENTE]
        )
    )
)</f>
        <v>ALCIVAR CEDEÑO BEATRIZ ISABEL</v>
      </c>
      <c r="EB563" t="str">
        <v>ALCIVAR VERA GEMA MICHELLE</v>
      </c>
      <c r="EC563" t="str">
        <v>ARAUZ CHAVEZ MARIO ROBERTO</v>
      </c>
      <c r="ED563" t="str">
        <v>BAILON LOURIDO WALTER ALBERTO</v>
      </c>
      <c r="EE563" t="str">
        <v>CALDERERO VILLAGOMEZ ERICK ANTONIO</v>
      </c>
      <c r="EF563" t="str">
        <v>CASTILLO GARCIA PAOLA GERMANIA</v>
      </c>
      <c r="EG563" t="str">
        <v>CEDEÑO CHOEZ PEDRO JAVIER</v>
      </c>
      <c r="EH563" t="str">
        <v>CEVALLOS HOPPE JUAN CARLOS</v>
      </c>
      <c r="EI563" t="str">
        <v>DELGADO CHAVEZ MARIA IRASEMA</v>
      </c>
      <c r="EJ563" t="str">
        <v>DUARTE VALENCIA CRISTHIAN DARIO</v>
      </c>
      <c r="EK563" t="str">
        <v>FORTTY BARBERAN DENNY ALEXANDER</v>
      </c>
      <c r="EL563" t="str">
        <v>GUTIERREZ ZAMBRANO CARMEN EBELINA</v>
      </c>
      <c r="EM563" t="str">
        <v>INTRIAGO MOLINA GEMA VALERIA</v>
      </c>
      <c r="EN563" t="str">
        <v>LINO VELEZ LEONEL LIVINGTON</v>
      </c>
      <c r="EO563" t="str">
        <v>LOOR ALCIVAR MARIA ILIANA</v>
      </c>
      <c r="EP563" t="str">
        <v>LOOR MIELES TANIA JACQUELINE</v>
      </c>
      <c r="EQ563" t="str">
        <v>LOOR SOLORZANO ROSA MARIA</v>
      </c>
      <c r="ER563" t="str">
        <v>LOPEZ DELGADO RONALD MAURICIO</v>
      </c>
      <c r="ES563" t="str">
        <v>MACIAS VALENCIA DAVID GABRIEL</v>
      </c>
      <c r="ET563" t="str">
        <v>MENDOZA ZAMORA WALTER MANUEL</v>
      </c>
      <c r="EU563" t="str">
        <v>MOLINA CEVALLOS MARIA LORENA</v>
      </c>
      <c r="EV563" t="str">
        <v>MURILLO DELGADO ISAAC GABRIEL</v>
      </c>
      <c r="EW563" t="str">
        <v>ANGULO MURILLO NAVIRA GISSELA</v>
      </c>
      <c r="EX563" t="str">
        <v>OCHOA SOLEDISPA NESTOR IVAN</v>
      </c>
      <c r="EY563" t="str">
        <v>PARRAGA FRANCO SILVANA MARIELA</v>
      </c>
      <c r="EZ563" t="str">
        <v>PINARGOTE VASQUEZ NANCY FABIOLA</v>
      </c>
      <c r="FA563" t="str">
        <v>REYES VELEZ PEDRO ENRIQUE</v>
      </c>
      <c r="FB563" t="str">
        <v>SAN ANDRES HORMAZA DALLAS CECILIA</v>
      </c>
      <c r="FC563" t="str">
        <v>SORNOZA ZAMORA JUAN CARLOS</v>
      </c>
      <c r="FD563" t="str">
        <v>TOMALA PINTO JESUS JACINTO</v>
      </c>
      <c r="FE563" t="str">
        <v>VALLE JARAMILLO SILVIA ARACELY</v>
      </c>
      <c r="FF563" t="str">
        <v>VELÁSQUEZ BRAVO IRMA KATHERINE</v>
      </c>
      <c r="FG563" t="str">
        <v>VELEZ MENDOZA LAYSY VALERIA</v>
      </c>
      <c r="FH563" t="str">
        <v>VINUEZA TELLO SHIRLEY ELIZABETH</v>
      </c>
      <c r="FI563" t="str">
        <v>ZAMBRANO ALCIVAR NILDA ISABEL</v>
      </c>
      <c r="FJ563" t="str">
        <v>ZAMBRANO LOOR RITA MAYDA</v>
      </c>
      <c r="FK563" t="str">
        <v>ZAMBRANO VERA MONICA JANETH</v>
      </c>
      <c r="FL563" t="str">
        <v>VERA DELGADO BRYAN ADRIÁN</v>
      </c>
      <c r="FM563" t="str">
        <v>MORAN GONZALES DAVID RENATO</v>
      </c>
      <c r="FN563">
        <v>0</v>
      </c>
    </row>
    <row r="564" spans="1:170" ht="20.25" customHeight="1">
      <c r="A564" s="4" t="str" cm="1">
        <f t="array" ref="A564">TRANSPOSE(_xlfn.UNIQUE(_xlfn._xlws.FILTER(MAE_ASIGNATURA[ID_NIVEL],MAE_ASIGNATURA[ID_CARRERA]=ASIGNACION!$C564,"No existe información")))</f>
        <v>No existe información</v>
      </c>
      <c r="S564" s="4" t="str" cm="1">
        <f t="array" ref="S564">TRANSPOSE(_xlfn.UNIQUE(_xlfn._xlws.FILTER(MAE_ASIGNATURA[NOM_ASIG],(MAE_ASIGNATURA[ID_NIVEL]=ASIGNACION!$D564)*(MAE_ASIGNATURA[ID_CARRERA]=ASIGNACION!$C564),"No existe información")))</f>
        <v>No existe información</v>
      </c>
      <c r="BD564" s="4" t="str" cm="1">
        <f t="array" ref="BD564">TRANSPOSE(_xlfn.UNIQUE(_xlfn._xlws.FILTER(DET_ASIG[DETALLADO],(DET_ASIG[ID_CARRERA]=ASIGNACION!$C564)*(DET_ASIG[NIVEL]=ASIGNACION!$D564)*(DET_ASIG[ID_ASIG]=ASIGNACION!$G564),"No existe información")))</f>
        <v>No existe información</v>
      </c>
      <c r="BQ564" s="5" t="str" cm="1">
        <f t="array" ref="BQ564">IFERROR(
    TRANSPOSE(
        _xlfn.UNIQUE(
            _xlfn._xlws.FILTER(MAESTRIA_DETALLADO[MAESTRIA],
                ISNUMBER(MATCH(MAESTRIA_DETALLADO[CAMPO_DETALLADO],
                BD564:BP564,0))
            )
        )
    ),IF(BD564="ACTIVIDAD","DOCENCIA",""))</f>
        <v/>
      </c>
      <c r="EA564" s="5" t="str" cm="1">
        <f t="array" ref="EA564:FN564">IF(
    ASIGNACION!I564="SI",
    IFERROR(
        TRANSPOSE(
            _xlfn.UNIQUE(
                _xlfn._xlws.FILTER(EDU_DOCENTE[NOMBRE_DOCENTE],
                    ISNUMBER(MATCH(EDU_DOCENTE[MAESTRIA],
                    BQ564:DY564,0))
                )
            )
        ),
        ""
    ),
    TRANSPOSE(
        _xlfn.UNIQUE(EDU_DOCENTE[NOMBRE_DOCENTE]
        )
    )
)</f>
        <v>ALCIVAR CEDEÑO BEATRIZ ISABEL</v>
      </c>
      <c r="EB564" t="str">
        <v>ALCIVAR VERA GEMA MICHELLE</v>
      </c>
      <c r="EC564" t="str">
        <v>ARAUZ CHAVEZ MARIO ROBERTO</v>
      </c>
      <c r="ED564" t="str">
        <v>BAILON LOURIDO WALTER ALBERTO</v>
      </c>
      <c r="EE564" t="str">
        <v>CALDERERO VILLAGOMEZ ERICK ANTONIO</v>
      </c>
      <c r="EF564" t="str">
        <v>CASTILLO GARCIA PAOLA GERMANIA</v>
      </c>
      <c r="EG564" t="str">
        <v>CEDEÑO CHOEZ PEDRO JAVIER</v>
      </c>
      <c r="EH564" t="str">
        <v>CEVALLOS HOPPE JUAN CARLOS</v>
      </c>
      <c r="EI564" t="str">
        <v>DELGADO CHAVEZ MARIA IRASEMA</v>
      </c>
      <c r="EJ564" t="str">
        <v>DUARTE VALENCIA CRISTHIAN DARIO</v>
      </c>
      <c r="EK564" t="str">
        <v>FORTTY BARBERAN DENNY ALEXANDER</v>
      </c>
      <c r="EL564" t="str">
        <v>GUTIERREZ ZAMBRANO CARMEN EBELINA</v>
      </c>
      <c r="EM564" t="str">
        <v>INTRIAGO MOLINA GEMA VALERIA</v>
      </c>
      <c r="EN564" t="str">
        <v>LINO VELEZ LEONEL LIVINGTON</v>
      </c>
      <c r="EO564" t="str">
        <v>LOOR ALCIVAR MARIA ILIANA</v>
      </c>
      <c r="EP564" t="str">
        <v>LOOR MIELES TANIA JACQUELINE</v>
      </c>
      <c r="EQ564" t="str">
        <v>LOOR SOLORZANO ROSA MARIA</v>
      </c>
      <c r="ER564" t="str">
        <v>LOPEZ DELGADO RONALD MAURICIO</v>
      </c>
      <c r="ES564" t="str">
        <v>MACIAS VALENCIA DAVID GABRIEL</v>
      </c>
      <c r="ET564" t="str">
        <v>MENDOZA ZAMORA WALTER MANUEL</v>
      </c>
      <c r="EU564" t="str">
        <v>MOLINA CEVALLOS MARIA LORENA</v>
      </c>
      <c r="EV564" t="str">
        <v>MURILLO DELGADO ISAAC GABRIEL</v>
      </c>
      <c r="EW564" t="str">
        <v>ANGULO MURILLO NAVIRA GISSELA</v>
      </c>
      <c r="EX564" t="str">
        <v>OCHOA SOLEDISPA NESTOR IVAN</v>
      </c>
      <c r="EY564" t="str">
        <v>PARRAGA FRANCO SILVANA MARIELA</v>
      </c>
      <c r="EZ564" t="str">
        <v>PINARGOTE VASQUEZ NANCY FABIOLA</v>
      </c>
      <c r="FA564" t="str">
        <v>REYES VELEZ PEDRO ENRIQUE</v>
      </c>
      <c r="FB564" t="str">
        <v>SAN ANDRES HORMAZA DALLAS CECILIA</v>
      </c>
      <c r="FC564" t="str">
        <v>SORNOZA ZAMORA JUAN CARLOS</v>
      </c>
      <c r="FD564" t="str">
        <v>TOMALA PINTO JESUS JACINTO</v>
      </c>
      <c r="FE564" t="str">
        <v>VALLE JARAMILLO SILVIA ARACELY</v>
      </c>
      <c r="FF564" t="str">
        <v>VELÁSQUEZ BRAVO IRMA KATHERINE</v>
      </c>
      <c r="FG564" t="str">
        <v>VELEZ MENDOZA LAYSY VALERIA</v>
      </c>
      <c r="FH564" t="str">
        <v>VINUEZA TELLO SHIRLEY ELIZABETH</v>
      </c>
      <c r="FI564" t="str">
        <v>ZAMBRANO ALCIVAR NILDA ISABEL</v>
      </c>
      <c r="FJ564" t="str">
        <v>ZAMBRANO LOOR RITA MAYDA</v>
      </c>
      <c r="FK564" t="str">
        <v>ZAMBRANO VERA MONICA JANETH</v>
      </c>
      <c r="FL564" t="str">
        <v>VERA DELGADO BRYAN ADRIÁN</v>
      </c>
      <c r="FM564" t="str">
        <v>MORAN GONZALES DAVID RENATO</v>
      </c>
      <c r="FN564">
        <v>0</v>
      </c>
    </row>
    <row r="565" spans="1:170" ht="20.25" customHeight="1">
      <c r="A565" s="4" t="str" cm="1">
        <f t="array" ref="A565">TRANSPOSE(_xlfn.UNIQUE(_xlfn._xlws.FILTER(MAE_ASIGNATURA[ID_NIVEL],MAE_ASIGNATURA[ID_CARRERA]=ASIGNACION!$C565,"No existe información")))</f>
        <v>No existe información</v>
      </c>
      <c r="S565" s="4" t="str" cm="1">
        <f t="array" ref="S565">TRANSPOSE(_xlfn.UNIQUE(_xlfn._xlws.FILTER(MAE_ASIGNATURA[NOM_ASIG],(MAE_ASIGNATURA[ID_NIVEL]=ASIGNACION!$D565)*(MAE_ASIGNATURA[ID_CARRERA]=ASIGNACION!$C565),"No existe información")))</f>
        <v>No existe información</v>
      </c>
      <c r="BD565" s="4" t="str" cm="1">
        <f t="array" ref="BD565">TRANSPOSE(_xlfn.UNIQUE(_xlfn._xlws.FILTER(DET_ASIG[DETALLADO],(DET_ASIG[ID_CARRERA]=ASIGNACION!$C565)*(DET_ASIG[NIVEL]=ASIGNACION!$D565)*(DET_ASIG[ID_ASIG]=ASIGNACION!$G565),"No existe información")))</f>
        <v>No existe información</v>
      </c>
      <c r="BQ565" s="5" t="str" cm="1">
        <f t="array" ref="BQ565">IFERROR(
    TRANSPOSE(
        _xlfn.UNIQUE(
            _xlfn._xlws.FILTER(MAESTRIA_DETALLADO[MAESTRIA],
                ISNUMBER(MATCH(MAESTRIA_DETALLADO[CAMPO_DETALLADO],
                BD565:BP565,0))
            )
        )
    ),IF(BD565="ACTIVIDAD","DOCENCIA",""))</f>
        <v/>
      </c>
      <c r="EA565" s="5" t="str" cm="1">
        <f t="array" ref="EA565:FN565">IF(
    ASIGNACION!I565="SI",
    IFERROR(
        TRANSPOSE(
            _xlfn.UNIQUE(
                _xlfn._xlws.FILTER(EDU_DOCENTE[NOMBRE_DOCENTE],
                    ISNUMBER(MATCH(EDU_DOCENTE[MAESTRIA],
                    BQ565:DY565,0))
                )
            )
        ),
        ""
    ),
    TRANSPOSE(
        _xlfn.UNIQUE(EDU_DOCENTE[NOMBRE_DOCENTE]
        )
    )
)</f>
        <v>ALCIVAR CEDEÑO BEATRIZ ISABEL</v>
      </c>
      <c r="EB565" t="str">
        <v>ALCIVAR VERA GEMA MICHELLE</v>
      </c>
      <c r="EC565" t="str">
        <v>ARAUZ CHAVEZ MARIO ROBERTO</v>
      </c>
      <c r="ED565" t="str">
        <v>BAILON LOURIDO WALTER ALBERTO</v>
      </c>
      <c r="EE565" t="str">
        <v>CALDERERO VILLAGOMEZ ERICK ANTONIO</v>
      </c>
      <c r="EF565" t="str">
        <v>CASTILLO GARCIA PAOLA GERMANIA</v>
      </c>
      <c r="EG565" t="str">
        <v>CEDEÑO CHOEZ PEDRO JAVIER</v>
      </c>
      <c r="EH565" t="str">
        <v>CEVALLOS HOPPE JUAN CARLOS</v>
      </c>
      <c r="EI565" t="str">
        <v>DELGADO CHAVEZ MARIA IRASEMA</v>
      </c>
      <c r="EJ565" t="str">
        <v>DUARTE VALENCIA CRISTHIAN DARIO</v>
      </c>
      <c r="EK565" t="str">
        <v>FORTTY BARBERAN DENNY ALEXANDER</v>
      </c>
      <c r="EL565" t="str">
        <v>GUTIERREZ ZAMBRANO CARMEN EBELINA</v>
      </c>
      <c r="EM565" t="str">
        <v>INTRIAGO MOLINA GEMA VALERIA</v>
      </c>
      <c r="EN565" t="str">
        <v>LINO VELEZ LEONEL LIVINGTON</v>
      </c>
      <c r="EO565" t="str">
        <v>LOOR ALCIVAR MARIA ILIANA</v>
      </c>
      <c r="EP565" t="str">
        <v>LOOR MIELES TANIA JACQUELINE</v>
      </c>
      <c r="EQ565" t="str">
        <v>LOOR SOLORZANO ROSA MARIA</v>
      </c>
      <c r="ER565" t="str">
        <v>LOPEZ DELGADO RONALD MAURICIO</v>
      </c>
      <c r="ES565" t="str">
        <v>MACIAS VALENCIA DAVID GABRIEL</v>
      </c>
      <c r="ET565" t="str">
        <v>MENDOZA ZAMORA WALTER MANUEL</v>
      </c>
      <c r="EU565" t="str">
        <v>MOLINA CEVALLOS MARIA LORENA</v>
      </c>
      <c r="EV565" t="str">
        <v>MURILLO DELGADO ISAAC GABRIEL</v>
      </c>
      <c r="EW565" t="str">
        <v>ANGULO MURILLO NAVIRA GISSELA</v>
      </c>
      <c r="EX565" t="str">
        <v>OCHOA SOLEDISPA NESTOR IVAN</v>
      </c>
      <c r="EY565" t="str">
        <v>PARRAGA FRANCO SILVANA MARIELA</v>
      </c>
      <c r="EZ565" t="str">
        <v>PINARGOTE VASQUEZ NANCY FABIOLA</v>
      </c>
      <c r="FA565" t="str">
        <v>REYES VELEZ PEDRO ENRIQUE</v>
      </c>
      <c r="FB565" t="str">
        <v>SAN ANDRES HORMAZA DALLAS CECILIA</v>
      </c>
      <c r="FC565" t="str">
        <v>SORNOZA ZAMORA JUAN CARLOS</v>
      </c>
      <c r="FD565" t="str">
        <v>TOMALA PINTO JESUS JACINTO</v>
      </c>
      <c r="FE565" t="str">
        <v>VALLE JARAMILLO SILVIA ARACELY</v>
      </c>
      <c r="FF565" t="str">
        <v>VELÁSQUEZ BRAVO IRMA KATHERINE</v>
      </c>
      <c r="FG565" t="str">
        <v>VELEZ MENDOZA LAYSY VALERIA</v>
      </c>
      <c r="FH565" t="str">
        <v>VINUEZA TELLO SHIRLEY ELIZABETH</v>
      </c>
      <c r="FI565" t="str">
        <v>ZAMBRANO ALCIVAR NILDA ISABEL</v>
      </c>
      <c r="FJ565" t="str">
        <v>ZAMBRANO LOOR RITA MAYDA</v>
      </c>
      <c r="FK565" t="str">
        <v>ZAMBRANO VERA MONICA JANETH</v>
      </c>
      <c r="FL565" t="str">
        <v>VERA DELGADO BRYAN ADRIÁN</v>
      </c>
      <c r="FM565" t="str">
        <v>MORAN GONZALES DAVID RENATO</v>
      </c>
      <c r="FN565">
        <v>0</v>
      </c>
    </row>
    <row r="566" spans="1:170" ht="20.25" customHeight="1">
      <c r="A566" s="4" t="str" cm="1">
        <f t="array" ref="A566">TRANSPOSE(_xlfn.UNIQUE(_xlfn._xlws.FILTER(MAE_ASIGNATURA[ID_NIVEL],MAE_ASIGNATURA[ID_CARRERA]=ASIGNACION!$C566,"No existe información")))</f>
        <v>No existe información</v>
      </c>
      <c r="S566" s="4" t="str" cm="1">
        <f t="array" ref="S566">TRANSPOSE(_xlfn.UNIQUE(_xlfn._xlws.FILTER(MAE_ASIGNATURA[NOM_ASIG],(MAE_ASIGNATURA[ID_NIVEL]=ASIGNACION!$D566)*(MAE_ASIGNATURA[ID_CARRERA]=ASIGNACION!$C566),"No existe información")))</f>
        <v>No existe información</v>
      </c>
      <c r="BD566" s="4" t="str" cm="1">
        <f t="array" ref="BD566">TRANSPOSE(_xlfn.UNIQUE(_xlfn._xlws.FILTER(DET_ASIG[DETALLADO],(DET_ASIG[ID_CARRERA]=ASIGNACION!$C566)*(DET_ASIG[NIVEL]=ASIGNACION!$D566)*(DET_ASIG[ID_ASIG]=ASIGNACION!$G566),"No existe información")))</f>
        <v>No existe información</v>
      </c>
      <c r="BQ566" s="5" t="str" cm="1">
        <f t="array" ref="BQ566">IFERROR(
    TRANSPOSE(
        _xlfn.UNIQUE(
            _xlfn._xlws.FILTER(MAESTRIA_DETALLADO[MAESTRIA],
                ISNUMBER(MATCH(MAESTRIA_DETALLADO[CAMPO_DETALLADO],
                BD566:BP566,0))
            )
        )
    ),IF(BD566="ACTIVIDAD","DOCENCIA",""))</f>
        <v/>
      </c>
      <c r="EA566" s="5" t="str" cm="1">
        <f t="array" ref="EA566:FN566">IF(
    ASIGNACION!I566="SI",
    IFERROR(
        TRANSPOSE(
            _xlfn.UNIQUE(
                _xlfn._xlws.FILTER(EDU_DOCENTE[NOMBRE_DOCENTE],
                    ISNUMBER(MATCH(EDU_DOCENTE[MAESTRIA],
                    BQ566:DY566,0))
                )
            )
        ),
        ""
    ),
    TRANSPOSE(
        _xlfn.UNIQUE(EDU_DOCENTE[NOMBRE_DOCENTE]
        )
    )
)</f>
        <v>ALCIVAR CEDEÑO BEATRIZ ISABEL</v>
      </c>
      <c r="EB566" t="str">
        <v>ALCIVAR VERA GEMA MICHELLE</v>
      </c>
      <c r="EC566" t="str">
        <v>ARAUZ CHAVEZ MARIO ROBERTO</v>
      </c>
      <c r="ED566" t="str">
        <v>BAILON LOURIDO WALTER ALBERTO</v>
      </c>
      <c r="EE566" t="str">
        <v>CALDERERO VILLAGOMEZ ERICK ANTONIO</v>
      </c>
      <c r="EF566" t="str">
        <v>CASTILLO GARCIA PAOLA GERMANIA</v>
      </c>
      <c r="EG566" t="str">
        <v>CEDEÑO CHOEZ PEDRO JAVIER</v>
      </c>
      <c r="EH566" t="str">
        <v>CEVALLOS HOPPE JUAN CARLOS</v>
      </c>
      <c r="EI566" t="str">
        <v>DELGADO CHAVEZ MARIA IRASEMA</v>
      </c>
      <c r="EJ566" t="str">
        <v>DUARTE VALENCIA CRISTHIAN DARIO</v>
      </c>
      <c r="EK566" t="str">
        <v>FORTTY BARBERAN DENNY ALEXANDER</v>
      </c>
      <c r="EL566" t="str">
        <v>GUTIERREZ ZAMBRANO CARMEN EBELINA</v>
      </c>
      <c r="EM566" t="str">
        <v>INTRIAGO MOLINA GEMA VALERIA</v>
      </c>
      <c r="EN566" t="str">
        <v>LINO VELEZ LEONEL LIVINGTON</v>
      </c>
      <c r="EO566" t="str">
        <v>LOOR ALCIVAR MARIA ILIANA</v>
      </c>
      <c r="EP566" t="str">
        <v>LOOR MIELES TANIA JACQUELINE</v>
      </c>
      <c r="EQ566" t="str">
        <v>LOOR SOLORZANO ROSA MARIA</v>
      </c>
      <c r="ER566" t="str">
        <v>LOPEZ DELGADO RONALD MAURICIO</v>
      </c>
      <c r="ES566" t="str">
        <v>MACIAS VALENCIA DAVID GABRIEL</v>
      </c>
      <c r="ET566" t="str">
        <v>MENDOZA ZAMORA WALTER MANUEL</v>
      </c>
      <c r="EU566" t="str">
        <v>MOLINA CEVALLOS MARIA LORENA</v>
      </c>
      <c r="EV566" t="str">
        <v>MURILLO DELGADO ISAAC GABRIEL</v>
      </c>
      <c r="EW566" t="str">
        <v>ANGULO MURILLO NAVIRA GISSELA</v>
      </c>
      <c r="EX566" t="str">
        <v>OCHOA SOLEDISPA NESTOR IVAN</v>
      </c>
      <c r="EY566" t="str">
        <v>PARRAGA FRANCO SILVANA MARIELA</v>
      </c>
      <c r="EZ566" t="str">
        <v>PINARGOTE VASQUEZ NANCY FABIOLA</v>
      </c>
      <c r="FA566" t="str">
        <v>REYES VELEZ PEDRO ENRIQUE</v>
      </c>
      <c r="FB566" t="str">
        <v>SAN ANDRES HORMAZA DALLAS CECILIA</v>
      </c>
      <c r="FC566" t="str">
        <v>SORNOZA ZAMORA JUAN CARLOS</v>
      </c>
      <c r="FD566" t="str">
        <v>TOMALA PINTO JESUS JACINTO</v>
      </c>
      <c r="FE566" t="str">
        <v>VALLE JARAMILLO SILVIA ARACELY</v>
      </c>
      <c r="FF566" t="str">
        <v>VELÁSQUEZ BRAVO IRMA KATHERINE</v>
      </c>
      <c r="FG566" t="str">
        <v>VELEZ MENDOZA LAYSY VALERIA</v>
      </c>
      <c r="FH566" t="str">
        <v>VINUEZA TELLO SHIRLEY ELIZABETH</v>
      </c>
      <c r="FI566" t="str">
        <v>ZAMBRANO ALCIVAR NILDA ISABEL</v>
      </c>
      <c r="FJ566" t="str">
        <v>ZAMBRANO LOOR RITA MAYDA</v>
      </c>
      <c r="FK566" t="str">
        <v>ZAMBRANO VERA MONICA JANETH</v>
      </c>
      <c r="FL566" t="str">
        <v>VERA DELGADO BRYAN ADRIÁN</v>
      </c>
      <c r="FM566" t="str">
        <v>MORAN GONZALES DAVID RENATO</v>
      </c>
      <c r="FN566">
        <v>0</v>
      </c>
    </row>
    <row r="567" spans="1:170" ht="20.25" customHeight="1">
      <c r="A567" s="4" t="str" cm="1">
        <f t="array" ref="A567">TRANSPOSE(_xlfn.UNIQUE(_xlfn._xlws.FILTER(MAE_ASIGNATURA[ID_NIVEL],MAE_ASIGNATURA[ID_CARRERA]=ASIGNACION!$C567,"No existe información")))</f>
        <v>No existe información</v>
      </c>
      <c r="S567" s="4" t="str" cm="1">
        <f t="array" ref="S567">TRANSPOSE(_xlfn.UNIQUE(_xlfn._xlws.FILTER(MAE_ASIGNATURA[NOM_ASIG],(MAE_ASIGNATURA[ID_NIVEL]=ASIGNACION!$D567)*(MAE_ASIGNATURA[ID_CARRERA]=ASIGNACION!$C567),"No existe información")))</f>
        <v>No existe información</v>
      </c>
      <c r="BD567" s="4" t="str" cm="1">
        <f t="array" ref="BD567">TRANSPOSE(_xlfn.UNIQUE(_xlfn._xlws.FILTER(DET_ASIG[DETALLADO],(DET_ASIG[ID_CARRERA]=ASIGNACION!$C567)*(DET_ASIG[NIVEL]=ASIGNACION!$D567)*(DET_ASIG[ID_ASIG]=ASIGNACION!$G567),"No existe información")))</f>
        <v>No existe información</v>
      </c>
      <c r="BQ567" s="5" t="str" cm="1">
        <f t="array" ref="BQ567">IFERROR(
    TRANSPOSE(
        _xlfn.UNIQUE(
            _xlfn._xlws.FILTER(MAESTRIA_DETALLADO[MAESTRIA],
                ISNUMBER(MATCH(MAESTRIA_DETALLADO[CAMPO_DETALLADO],
                BD567:BP567,0))
            )
        )
    ),IF(BD567="ACTIVIDAD","DOCENCIA",""))</f>
        <v/>
      </c>
      <c r="EA567" s="5" t="str" cm="1">
        <f t="array" ref="EA567:FN567">IF(
    ASIGNACION!I567="SI",
    IFERROR(
        TRANSPOSE(
            _xlfn.UNIQUE(
                _xlfn._xlws.FILTER(EDU_DOCENTE[NOMBRE_DOCENTE],
                    ISNUMBER(MATCH(EDU_DOCENTE[MAESTRIA],
                    BQ567:DY567,0))
                )
            )
        ),
        ""
    ),
    TRANSPOSE(
        _xlfn.UNIQUE(EDU_DOCENTE[NOMBRE_DOCENTE]
        )
    )
)</f>
        <v>ALCIVAR CEDEÑO BEATRIZ ISABEL</v>
      </c>
      <c r="EB567" t="str">
        <v>ALCIVAR VERA GEMA MICHELLE</v>
      </c>
      <c r="EC567" t="str">
        <v>ARAUZ CHAVEZ MARIO ROBERTO</v>
      </c>
      <c r="ED567" t="str">
        <v>BAILON LOURIDO WALTER ALBERTO</v>
      </c>
      <c r="EE567" t="str">
        <v>CALDERERO VILLAGOMEZ ERICK ANTONIO</v>
      </c>
      <c r="EF567" t="str">
        <v>CASTILLO GARCIA PAOLA GERMANIA</v>
      </c>
      <c r="EG567" t="str">
        <v>CEDEÑO CHOEZ PEDRO JAVIER</v>
      </c>
      <c r="EH567" t="str">
        <v>CEVALLOS HOPPE JUAN CARLOS</v>
      </c>
      <c r="EI567" t="str">
        <v>DELGADO CHAVEZ MARIA IRASEMA</v>
      </c>
      <c r="EJ567" t="str">
        <v>DUARTE VALENCIA CRISTHIAN DARIO</v>
      </c>
      <c r="EK567" t="str">
        <v>FORTTY BARBERAN DENNY ALEXANDER</v>
      </c>
      <c r="EL567" t="str">
        <v>GUTIERREZ ZAMBRANO CARMEN EBELINA</v>
      </c>
      <c r="EM567" t="str">
        <v>INTRIAGO MOLINA GEMA VALERIA</v>
      </c>
      <c r="EN567" t="str">
        <v>LINO VELEZ LEONEL LIVINGTON</v>
      </c>
      <c r="EO567" t="str">
        <v>LOOR ALCIVAR MARIA ILIANA</v>
      </c>
      <c r="EP567" t="str">
        <v>LOOR MIELES TANIA JACQUELINE</v>
      </c>
      <c r="EQ567" t="str">
        <v>LOOR SOLORZANO ROSA MARIA</v>
      </c>
      <c r="ER567" t="str">
        <v>LOPEZ DELGADO RONALD MAURICIO</v>
      </c>
      <c r="ES567" t="str">
        <v>MACIAS VALENCIA DAVID GABRIEL</v>
      </c>
      <c r="ET567" t="str">
        <v>MENDOZA ZAMORA WALTER MANUEL</v>
      </c>
      <c r="EU567" t="str">
        <v>MOLINA CEVALLOS MARIA LORENA</v>
      </c>
      <c r="EV567" t="str">
        <v>MURILLO DELGADO ISAAC GABRIEL</v>
      </c>
      <c r="EW567" t="str">
        <v>ANGULO MURILLO NAVIRA GISSELA</v>
      </c>
      <c r="EX567" t="str">
        <v>OCHOA SOLEDISPA NESTOR IVAN</v>
      </c>
      <c r="EY567" t="str">
        <v>PARRAGA FRANCO SILVANA MARIELA</v>
      </c>
      <c r="EZ567" t="str">
        <v>PINARGOTE VASQUEZ NANCY FABIOLA</v>
      </c>
      <c r="FA567" t="str">
        <v>REYES VELEZ PEDRO ENRIQUE</v>
      </c>
      <c r="FB567" t="str">
        <v>SAN ANDRES HORMAZA DALLAS CECILIA</v>
      </c>
      <c r="FC567" t="str">
        <v>SORNOZA ZAMORA JUAN CARLOS</v>
      </c>
      <c r="FD567" t="str">
        <v>TOMALA PINTO JESUS JACINTO</v>
      </c>
      <c r="FE567" t="str">
        <v>VALLE JARAMILLO SILVIA ARACELY</v>
      </c>
      <c r="FF567" t="str">
        <v>VELÁSQUEZ BRAVO IRMA KATHERINE</v>
      </c>
      <c r="FG567" t="str">
        <v>VELEZ MENDOZA LAYSY VALERIA</v>
      </c>
      <c r="FH567" t="str">
        <v>VINUEZA TELLO SHIRLEY ELIZABETH</v>
      </c>
      <c r="FI567" t="str">
        <v>ZAMBRANO ALCIVAR NILDA ISABEL</v>
      </c>
      <c r="FJ567" t="str">
        <v>ZAMBRANO LOOR RITA MAYDA</v>
      </c>
      <c r="FK567" t="str">
        <v>ZAMBRANO VERA MONICA JANETH</v>
      </c>
      <c r="FL567" t="str">
        <v>VERA DELGADO BRYAN ADRIÁN</v>
      </c>
      <c r="FM567" t="str">
        <v>MORAN GONZALES DAVID RENATO</v>
      </c>
      <c r="FN567">
        <v>0</v>
      </c>
    </row>
    <row r="568" spans="1:170" ht="20.25" customHeight="1">
      <c r="A568" s="4" t="str" cm="1">
        <f t="array" ref="A568">TRANSPOSE(_xlfn.UNIQUE(_xlfn._xlws.FILTER(MAE_ASIGNATURA[ID_NIVEL],MAE_ASIGNATURA[ID_CARRERA]=ASIGNACION!$C568,"No existe información")))</f>
        <v>No existe información</v>
      </c>
      <c r="S568" s="4" t="str" cm="1">
        <f t="array" ref="S568">TRANSPOSE(_xlfn.UNIQUE(_xlfn._xlws.FILTER(MAE_ASIGNATURA[NOM_ASIG],(MAE_ASIGNATURA[ID_NIVEL]=ASIGNACION!$D568)*(MAE_ASIGNATURA[ID_CARRERA]=ASIGNACION!$C568),"No existe información")))</f>
        <v>No existe información</v>
      </c>
      <c r="BD568" s="4" t="str" cm="1">
        <f t="array" ref="BD568">TRANSPOSE(_xlfn.UNIQUE(_xlfn._xlws.FILTER(DET_ASIG[DETALLADO],(DET_ASIG[ID_CARRERA]=ASIGNACION!$C568)*(DET_ASIG[NIVEL]=ASIGNACION!$D568)*(DET_ASIG[ID_ASIG]=ASIGNACION!$G568),"No existe información")))</f>
        <v>No existe información</v>
      </c>
      <c r="BQ568" s="5" t="str" cm="1">
        <f t="array" ref="BQ568">IFERROR(
    TRANSPOSE(
        _xlfn.UNIQUE(
            _xlfn._xlws.FILTER(MAESTRIA_DETALLADO[MAESTRIA],
                ISNUMBER(MATCH(MAESTRIA_DETALLADO[CAMPO_DETALLADO],
                BD568:BP568,0))
            )
        )
    ),IF(BD568="ACTIVIDAD","DOCENCIA",""))</f>
        <v/>
      </c>
      <c r="EA568" s="5" t="str" cm="1">
        <f t="array" ref="EA568:FN568">IF(
    ASIGNACION!I568="SI",
    IFERROR(
        TRANSPOSE(
            _xlfn.UNIQUE(
                _xlfn._xlws.FILTER(EDU_DOCENTE[NOMBRE_DOCENTE],
                    ISNUMBER(MATCH(EDU_DOCENTE[MAESTRIA],
                    BQ568:DY568,0))
                )
            )
        ),
        ""
    ),
    TRANSPOSE(
        _xlfn.UNIQUE(EDU_DOCENTE[NOMBRE_DOCENTE]
        )
    )
)</f>
        <v>ALCIVAR CEDEÑO BEATRIZ ISABEL</v>
      </c>
      <c r="EB568" t="str">
        <v>ALCIVAR VERA GEMA MICHELLE</v>
      </c>
      <c r="EC568" t="str">
        <v>ARAUZ CHAVEZ MARIO ROBERTO</v>
      </c>
      <c r="ED568" t="str">
        <v>BAILON LOURIDO WALTER ALBERTO</v>
      </c>
      <c r="EE568" t="str">
        <v>CALDERERO VILLAGOMEZ ERICK ANTONIO</v>
      </c>
      <c r="EF568" t="str">
        <v>CASTILLO GARCIA PAOLA GERMANIA</v>
      </c>
      <c r="EG568" t="str">
        <v>CEDEÑO CHOEZ PEDRO JAVIER</v>
      </c>
      <c r="EH568" t="str">
        <v>CEVALLOS HOPPE JUAN CARLOS</v>
      </c>
      <c r="EI568" t="str">
        <v>DELGADO CHAVEZ MARIA IRASEMA</v>
      </c>
      <c r="EJ568" t="str">
        <v>DUARTE VALENCIA CRISTHIAN DARIO</v>
      </c>
      <c r="EK568" t="str">
        <v>FORTTY BARBERAN DENNY ALEXANDER</v>
      </c>
      <c r="EL568" t="str">
        <v>GUTIERREZ ZAMBRANO CARMEN EBELINA</v>
      </c>
      <c r="EM568" t="str">
        <v>INTRIAGO MOLINA GEMA VALERIA</v>
      </c>
      <c r="EN568" t="str">
        <v>LINO VELEZ LEONEL LIVINGTON</v>
      </c>
      <c r="EO568" t="str">
        <v>LOOR ALCIVAR MARIA ILIANA</v>
      </c>
      <c r="EP568" t="str">
        <v>LOOR MIELES TANIA JACQUELINE</v>
      </c>
      <c r="EQ568" t="str">
        <v>LOOR SOLORZANO ROSA MARIA</v>
      </c>
      <c r="ER568" t="str">
        <v>LOPEZ DELGADO RONALD MAURICIO</v>
      </c>
      <c r="ES568" t="str">
        <v>MACIAS VALENCIA DAVID GABRIEL</v>
      </c>
      <c r="ET568" t="str">
        <v>MENDOZA ZAMORA WALTER MANUEL</v>
      </c>
      <c r="EU568" t="str">
        <v>MOLINA CEVALLOS MARIA LORENA</v>
      </c>
      <c r="EV568" t="str">
        <v>MURILLO DELGADO ISAAC GABRIEL</v>
      </c>
      <c r="EW568" t="str">
        <v>ANGULO MURILLO NAVIRA GISSELA</v>
      </c>
      <c r="EX568" t="str">
        <v>OCHOA SOLEDISPA NESTOR IVAN</v>
      </c>
      <c r="EY568" t="str">
        <v>PARRAGA FRANCO SILVANA MARIELA</v>
      </c>
      <c r="EZ568" t="str">
        <v>PINARGOTE VASQUEZ NANCY FABIOLA</v>
      </c>
      <c r="FA568" t="str">
        <v>REYES VELEZ PEDRO ENRIQUE</v>
      </c>
      <c r="FB568" t="str">
        <v>SAN ANDRES HORMAZA DALLAS CECILIA</v>
      </c>
      <c r="FC568" t="str">
        <v>SORNOZA ZAMORA JUAN CARLOS</v>
      </c>
      <c r="FD568" t="str">
        <v>TOMALA PINTO JESUS JACINTO</v>
      </c>
      <c r="FE568" t="str">
        <v>VALLE JARAMILLO SILVIA ARACELY</v>
      </c>
      <c r="FF568" t="str">
        <v>VELÁSQUEZ BRAVO IRMA KATHERINE</v>
      </c>
      <c r="FG568" t="str">
        <v>VELEZ MENDOZA LAYSY VALERIA</v>
      </c>
      <c r="FH568" t="str">
        <v>VINUEZA TELLO SHIRLEY ELIZABETH</v>
      </c>
      <c r="FI568" t="str">
        <v>ZAMBRANO ALCIVAR NILDA ISABEL</v>
      </c>
      <c r="FJ568" t="str">
        <v>ZAMBRANO LOOR RITA MAYDA</v>
      </c>
      <c r="FK568" t="str">
        <v>ZAMBRANO VERA MONICA JANETH</v>
      </c>
      <c r="FL568" t="str">
        <v>VERA DELGADO BRYAN ADRIÁN</v>
      </c>
      <c r="FM568" t="str">
        <v>MORAN GONZALES DAVID RENATO</v>
      </c>
      <c r="FN568">
        <v>0</v>
      </c>
    </row>
    <row r="569" spans="1:170" ht="20.25" customHeight="1">
      <c r="A569" s="4" t="str" cm="1">
        <f t="array" ref="A569">TRANSPOSE(_xlfn.UNIQUE(_xlfn._xlws.FILTER(MAE_ASIGNATURA[ID_NIVEL],MAE_ASIGNATURA[ID_CARRERA]=ASIGNACION!$C569,"No existe información")))</f>
        <v>No existe información</v>
      </c>
      <c r="S569" s="4" t="str" cm="1">
        <f t="array" ref="S569">TRANSPOSE(_xlfn.UNIQUE(_xlfn._xlws.FILTER(MAE_ASIGNATURA[NOM_ASIG],(MAE_ASIGNATURA[ID_NIVEL]=ASIGNACION!$D569)*(MAE_ASIGNATURA[ID_CARRERA]=ASIGNACION!$C569),"No existe información")))</f>
        <v>No existe información</v>
      </c>
      <c r="BD569" s="4" t="str" cm="1">
        <f t="array" ref="BD569">TRANSPOSE(_xlfn.UNIQUE(_xlfn._xlws.FILTER(DET_ASIG[DETALLADO],(DET_ASIG[ID_CARRERA]=ASIGNACION!$C569)*(DET_ASIG[NIVEL]=ASIGNACION!$D569)*(DET_ASIG[ID_ASIG]=ASIGNACION!$G569),"No existe información")))</f>
        <v>No existe información</v>
      </c>
      <c r="BQ569" s="5" t="str" cm="1">
        <f t="array" ref="BQ569">IFERROR(
    TRANSPOSE(
        _xlfn.UNIQUE(
            _xlfn._xlws.FILTER(MAESTRIA_DETALLADO[MAESTRIA],
                ISNUMBER(MATCH(MAESTRIA_DETALLADO[CAMPO_DETALLADO],
                BD569:BP569,0))
            )
        )
    ),IF(BD569="ACTIVIDAD","DOCENCIA",""))</f>
        <v/>
      </c>
      <c r="EA569" s="5" t="str" cm="1">
        <f t="array" ref="EA569:FN569">IF(
    ASIGNACION!I569="SI",
    IFERROR(
        TRANSPOSE(
            _xlfn.UNIQUE(
                _xlfn._xlws.FILTER(EDU_DOCENTE[NOMBRE_DOCENTE],
                    ISNUMBER(MATCH(EDU_DOCENTE[MAESTRIA],
                    BQ569:DY569,0))
                )
            )
        ),
        ""
    ),
    TRANSPOSE(
        _xlfn.UNIQUE(EDU_DOCENTE[NOMBRE_DOCENTE]
        )
    )
)</f>
        <v>ALCIVAR CEDEÑO BEATRIZ ISABEL</v>
      </c>
      <c r="EB569" t="str">
        <v>ALCIVAR VERA GEMA MICHELLE</v>
      </c>
      <c r="EC569" t="str">
        <v>ARAUZ CHAVEZ MARIO ROBERTO</v>
      </c>
      <c r="ED569" t="str">
        <v>BAILON LOURIDO WALTER ALBERTO</v>
      </c>
      <c r="EE569" t="str">
        <v>CALDERERO VILLAGOMEZ ERICK ANTONIO</v>
      </c>
      <c r="EF569" t="str">
        <v>CASTILLO GARCIA PAOLA GERMANIA</v>
      </c>
      <c r="EG569" t="str">
        <v>CEDEÑO CHOEZ PEDRO JAVIER</v>
      </c>
      <c r="EH569" t="str">
        <v>CEVALLOS HOPPE JUAN CARLOS</v>
      </c>
      <c r="EI569" t="str">
        <v>DELGADO CHAVEZ MARIA IRASEMA</v>
      </c>
      <c r="EJ569" t="str">
        <v>DUARTE VALENCIA CRISTHIAN DARIO</v>
      </c>
      <c r="EK569" t="str">
        <v>FORTTY BARBERAN DENNY ALEXANDER</v>
      </c>
      <c r="EL569" t="str">
        <v>GUTIERREZ ZAMBRANO CARMEN EBELINA</v>
      </c>
      <c r="EM569" t="str">
        <v>INTRIAGO MOLINA GEMA VALERIA</v>
      </c>
      <c r="EN569" t="str">
        <v>LINO VELEZ LEONEL LIVINGTON</v>
      </c>
      <c r="EO569" t="str">
        <v>LOOR ALCIVAR MARIA ILIANA</v>
      </c>
      <c r="EP569" t="str">
        <v>LOOR MIELES TANIA JACQUELINE</v>
      </c>
      <c r="EQ569" t="str">
        <v>LOOR SOLORZANO ROSA MARIA</v>
      </c>
      <c r="ER569" t="str">
        <v>LOPEZ DELGADO RONALD MAURICIO</v>
      </c>
      <c r="ES569" t="str">
        <v>MACIAS VALENCIA DAVID GABRIEL</v>
      </c>
      <c r="ET569" t="str">
        <v>MENDOZA ZAMORA WALTER MANUEL</v>
      </c>
      <c r="EU569" t="str">
        <v>MOLINA CEVALLOS MARIA LORENA</v>
      </c>
      <c r="EV569" t="str">
        <v>MURILLO DELGADO ISAAC GABRIEL</v>
      </c>
      <c r="EW569" t="str">
        <v>ANGULO MURILLO NAVIRA GISSELA</v>
      </c>
      <c r="EX569" t="str">
        <v>OCHOA SOLEDISPA NESTOR IVAN</v>
      </c>
      <c r="EY569" t="str">
        <v>PARRAGA FRANCO SILVANA MARIELA</v>
      </c>
      <c r="EZ569" t="str">
        <v>PINARGOTE VASQUEZ NANCY FABIOLA</v>
      </c>
      <c r="FA569" t="str">
        <v>REYES VELEZ PEDRO ENRIQUE</v>
      </c>
      <c r="FB569" t="str">
        <v>SAN ANDRES HORMAZA DALLAS CECILIA</v>
      </c>
      <c r="FC569" t="str">
        <v>SORNOZA ZAMORA JUAN CARLOS</v>
      </c>
      <c r="FD569" t="str">
        <v>TOMALA PINTO JESUS JACINTO</v>
      </c>
      <c r="FE569" t="str">
        <v>VALLE JARAMILLO SILVIA ARACELY</v>
      </c>
      <c r="FF569" t="str">
        <v>VELÁSQUEZ BRAVO IRMA KATHERINE</v>
      </c>
      <c r="FG569" t="str">
        <v>VELEZ MENDOZA LAYSY VALERIA</v>
      </c>
      <c r="FH569" t="str">
        <v>VINUEZA TELLO SHIRLEY ELIZABETH</v>
      </c>
      <c r="FI569" t="str">
        <v>ZAMBRANO ALCIVAR NILDA ISABEL</v>
      </c>
      <c r="FJ569" t="str">
        <v>ZAMBRANO LOOR RITA MAYDA</v>
      </c>
      <c r="FK569" t="str">
        <v>ZAMBRANO VERA MONICA JANETH</v>
      </c>
      <c r="FL569" t="str">
        <v>VERA DELGADO BRYAN ADRIÁN</v>
      </c>
      <c r="FM569" t="str">
        <v>MORAN GONZALES DAVID RENATO</v>
      </c>
      <c r="FN569">
        <v>0</v>
      </c>
    </row>
    <row r="570" spans="1:170" ht="20.25" customHeight="1">
      <c r="A570" s="4" t="str" cm="1">
        <f t="array" ref="A570">TRANSPOSE(_xlfn.UNIQUE(_xlfn._xlws.FILTER(MAE_ASIGNATURA[ID_NIVEL],MAE_ASIGNATURA[ID_CARRERA]=ASIGNACION!$C570,"No existe información")))</f>
        <v>No existe información</v>
      </c>
      <c r="S570" s="4" t="str" cm="1">
        <f t="array" ref="S570">TRANSPOSE(_xlfn.UNIQUE(_xlfn._xlws.FILTER(MAE_ASIGNATURA[NOM_ASIG],(MAE_ASIGNATURA[ID_NIVEL]=ASIGNACION!$D570)*(MAE_ASIGNATURA[ID_CARRERA]=ASIGNACION!$C570),"No existe información")))</f>
        <v>No existe información</v>
      </c>
      <c r="BD570" s="4" t="str" cm="1">
        <f t="array" ref="BD570">TRANSPOSE(_xlfn.UNIQUE(_xlfn._xlws.FILTER(DET_ASIG[DETALLADO],(DET_ASIG[ID_CARRERA]=ASIGNACION!$C570)*(DET_ASIG[NIVEL]=ASIGNACION!$D570)*(DET_ASIG[ID_ASIG]=ASIGNACION!$G570),"No existe información")))</f>
        <v>No existe información</v>
      </c>
      <c r="BQ570" s="5" t="str" cm="1">
        <f t="array" ref="BQ570">IFERROR(
    TRANSPOSE(
        _xlfn.UNIQUE(
            _xlfn._xlws.FILTER(MAESTRIA_DETALLADO[MAESTRIA],
                ISNUMBER(MATCH(MAESTRIA_DETALLADO[CAMPO_DETALLADO],
                BD570:BP570,0))
            )
        )
    ),IF(BD570="ACTIVIDAD","DOCENCIA",""))</f>
        <v/>
      </c>
      <c r="EA570" s="5" t="str" cm="1">
        <f t="array" ref="EA570:FN570">IF(
    ASIGNACION!I570="SI",
    IFERROR(
        TRANSPOSE(
            _xlfn.UNIQUE(
                _xlfn._xlws.FILTER(EDU_DOCENTE[NOMBRE_DOCENTE],
                    ISNUMBER(MATCH(EDU_DOCENTE[MAESTRIA],
                    BQ570:DY570,0))
                )
            )
        ),
        ""
    ),
    TRANSPOSE(
        _xlfn.UNIQUE(EDU_DOCENTE[NOMBRE_DOCENTE]
        )
    )
)</f>
        <v>ALCIVAR CEDEÑO BEATRIZ ISABEL</v>
      </c>
      <c r="EB570" t="str">
        <v>ALCIVAR VERA GEMA MICHELLE</v>
      </c>
      <c r="EC570" t="str">
        <v>ARAUZ CHAVEZ MARIO ROBERTO</v>
      </c>
      <c r="ED570" t="str">
        <v>BAILON LOURIDO WALTER ALBERTO</v>
      </c>
      <c r="EE570" t="str">
        <v>CALDERERO VILLAGOMEZ ERICK ANTONIO</v>
      </c>
      <c r="EF570" t="str">
        <v>CASTILLO GARCIA PAOLA GERMANIA</v>
      </c>
      <c r="EG570" t="str">
        <v>CEDEÑO CHOEZ PEDRO JAVIER</v>
      </c>
      <c r="EH570" t="str">
        <v>CEVALLOS HOPPE JUAN CARLOS</v>
      </c>
      <c r="EI570" t="str">
        <v>DELGADO CHAVEZ MARIA IRASEMA</v>
      </c>
      <c r="EJ570" t="str">
        <v>DUARTE VALENCIA CRISTHIAN DARIO</v>
      </c>
      <c r="EK570" t="str">
        <v>FORTTY BARBERAN DENNY ALEXANDER</v>
      </c>
      <c r="EL570" t="str">
        <v>GUTIERREZ ZAMBRANO CARMEN EBELINA</v>
      </c>
      <c r="EM570" t="str">
        <v>INTRIAGO MOLINA GEMA VALERIA</v>
      </c>
      <c r="EN570" t="str">
        <v>LINO VELEZ LEONEL LIVINGTON</v>
      </c>
      <c r="EO570" t="str">
        <v>LOOR ALCIVAR MARIA ILIANA</v>
      </c>
      <c r="EP570" t="str">
        <v>LOOR MIELES TANIA JACQUELINE</v>
      </c>
      <c r="EQ570" t="str">
        <v>LOOR SOLORZANO ROSA MARIA</v>
      </c>
      <c r="ER570" t="str">
        <v>LOPEZ DELGADO RONALD MAURICIO</v>
      </c>
      <c r="ES570" t="str">
        <v>MACIAS VALENCIA DAVID GABRIEL</v>
      </c>
      <c r="ET570" t="str">
        <v>MENDOZA ZAMORA WALTER MANUEL</v>
      </c>
      <c r="EU570" t="str">
        <v>MOLINA CEVALLOS MARIA LORENA</v>
      </c>
      <c r="EV570" t="str">
        <v>MURILLO DELGADO ISAAC GABRIEL</v>
      </c>
      <c r="EW570" t="str">
        <v>ANGULO MURILLO NAVIRA GISSELA</v>
      </c>
      <c r="EX570" t="str">
        <v>OCHOA SOLEDISPA NESTOR IVAN</v>
      </c>
      <c r="EY570" t="str">
        <v>PARRAGA FRANCO SILVANA MARIELA</v>
      </c>
      <c r="EZ570" t="str">
        <v>PINARGOTE VASQUEZ NANCY FABIOLA</v>
      </c>
      <c r="FA570" t="str">
        <v>REYES VELEZ PEDRO ENRIQUE</v>
      </c>
      <c r="FB570" t="str">
        <v>SAN ANDRES HORMAZA DALLAS CECILIA</v>
      </c>
      <c r="FC570" t="str">
        <v>SORNOZA ZAMORA JUAN CARLOS</v>
      </c>
      <c r="FD570" t="str">
        <v>TOMALA PINTO JESUS JACINTO</v>
      </c>
      <c r="FE570" t="str">
        <v>VALLE JARAMILLO SILVIA ARACELY</v>
      </c>
      <c r="FF570" t="str">
        <v>VELÁSQUEZ BRAVO IRMA KATHERINE</v>
      </c>
      <c r="FG570" t="str">
        <v>VELEZ MENDOZA LAYSY VALERIA</v>
      </c>
      <c r="FH570" t="str">
        <v>VINUEZA TELLO SHIRLEY ELIZABETH</v>
      </c>
      <c r="FI570" t="str">
        <v>ZAMBRANO ALCIVAR NILDA ISABEL</v>
      </c>
      <c r="FJ570" t="str">
        <v>ZAMBRANO LOOR RITA MAYDA</v>
      </c>
      <c r="FK570" t="str">
        <v>ZAMBRANO VERA MONICA JANETH</v>
      </c>
      <c r="FL570" t="str">
        <v>VERA DELGADO BRYAN ADRIÁN</v>
      </c>
      <c r="FM570" t="str">
        <v>MORAN GONZALES DAVID RENATO</v>
      </c>
      <c r="FN570">
        <v>0</v>
      </c>
    </row>
    <row r="571" spans="1:170" ht="20.25" customHeight="1">
      <c r="A571" s="4" t="str" cm="1">
        <f t="array" ref="A571">TRANSPOSE(_xlfn.UNIQUE(_xlfn._xlws.FILTER(MAE_ASIGNATURA[ID_NIVEL],MAE_ASIGNATURA[ID_CARRERA]=ASIGNACION!$C571,"No existe información")))</f>
        <v>No existe información</v>
      </c>
      <c r="S571" s="4" t="str" cm="1">
        <f t="array" ref="S571">TRANSPOSE(_xlfn.UNIQUE(_xlfn._xlws.FILTER(MAE_ASIGNATURA[NOM_ASIG],(MAE_ASIGNATURA[ID_NIVEL]=ASIGNACION!$D571)*(MAE_ASIGNATURA[ID_CARRERA]=ASIGNACION!$C571),"No existe información")))</f>
        <v>No existe información</v>
      </c>
      <c r="BD571" s="4" t="str" cm="1">
        <f t="array" ref="BD571">TRANSPOSE(_xlfn.UNIQUE(_xlfn._xlws.FILTER(DET_ASIG[DETALLADO],(DET_ASIG[ID_CARRERA]=ASIGNACION!$C571)*(DET_ASIG[NIVEL]=ASIGNACION!$D571)*(DET_ASIG[ID_ASIG]=ASIGNACION!$G571),"No existe información")))</f>
        <v>No existe información</v>
      </c>
      <c r="BQ571" s="5" t="str" cm="1">
        <f t="array" ref="BQ571">IFERROR(
    TRANSPOSE(
        _xlfn.UNIQUE(
            _xlfn._xlws.FILTER(MAESTRIA_DETALLADO[MAESTRIA],
                ISNUMBER(MATCH(MAESTRIA_DETALLADO[CAMPO_DETALLADO],
                BD571:BP571,0))
            )
        )
    ),IF(BD571="ACTIVIDAD","DOCENCIA",""))</f>
        <v/>
      </c>
      <c r="EA571" s="5" t="str" cm="1">
        <f t="array" ref="EA571:FN571">IF(
    ASIGNACION!I571="SI",
    IFERROR(
        TRANSPOSE(
            _xlfn.UNIQUE(
                _xlfn._xlws.FILTER(EDU_DOCENTE[NOMBRE_DOCENTE],
                    ISNUMBER(MATCH(EDU_DOCENTE[MAESTRIA],
                    BQ571:DY571,0))
                )
            )
        ),
        ""
    ),
    TRANSPOSE(
        _xlfn.UNIQUE(EDU_DOCENTE[NOMBRE_DOCENTE]
        )
    )
)</f>
        <v>ALCIVAR CEDEÑO BEATRIZ ISABEL</v>
      </c>
      <c r="EB571" t="str">
        <v>ALCIVAR VERA GEMA MICHELLE</v>
      </c>
      <c r="EC571" t="str">
        <v>ARAUZ CHAVEZ MARIO ROBERTO</v>
      </c>
      <c r="ED571" t="str">
        <v>BAILON LOURIDO WALTER ALBERTO</v>
      </c>
      <c r="EE571" t="str">
        <v>CALDERERO VILLAGOMEZ ERICK ANTONIO</v>
      </c>
      <c r="EF571" t="str">
        <v>CASTILLO GARCIA PAOLA GERMANIA</v>
      </c>
      <c r="EG571" t="str">
        <v>CEDEÑO CHOEZ PEDRO JAVIER</v>
      </c>
      <c r="EH571" t="str">
        <v>CEVALLOS HOPPE JUAN CARLOS</v>
      </c>
      <c r="EI571" t="str">
        <v>DELGADO CHAVEZ MARIA IRASEMA</v>
      </c>
      <c r="EJ571" t="str">
        <v>DUARTE VALENCIA CRISTHIAN DARIO</v>
      </c>
      <c r="EK571" t="str">
        <v>FORTTY BARBERAN DENNY ALEXANDER</v>
      </c>
      <c r="EL571" t="str">
        <v>GUTIERREZ ZAMBRANO CARMEN EBELINA</v>
      </c>
      <c r="EM571" t="str">
        <v>INTRIAGO MOLINA GEMA VALERIA</v>
      </c>
      <c r="EN571" t="str">
        <v>LINO VELEZ LEONEL LIVINGTON</v>
      </c>
      <c r="EO571" t="str">
        <v>LOOR ALCIVAR MARIA ILIANA</v>
      </c>
      <c r="EP571" t="str">
        <v>LOOR MIELES TANIA JACQUELINE</v>
      </c>
      <c r="EQ571" t="str">
        <v>LOOR SOLORZANO ROSA MARIA</v>
      </c>
      <c r="ER571" t="str">
        <v>LOPEZ DELGADO RONALD MAURICIO</v>
      </c>
      <c r="ES571" t="str">
        <v>MACIAS VALENCIA DAVID GABRIEL</v>
      </c>
      <c r="ET571" t="str">
        <v>MENDOZA ZAMORA WALTER MANUEL</v>
      </c>
      <c r="EU571" t="str">
        <v>MOLINA CEVALLOS MARIA LORENA</v>
      </c>
      <c r="EV571" t="str">
        <v>MURILLO DELGADO ISAAC GABRIEL</v>
      </c>
      <c r="EW571" t="str">
        <v>ANGULO MURILLO NAVIRA GISSELA</v>
      </c>
      <c r="EX571" t="str">
        <v>OCHOA SOLEDISPA NESTOR IVAN</v>
      </c>
      <c r="EY571" t="str">
        <v>PARRAGA FRANCO SILVANA MARIELA</v>
      </c>
      <c r="EZ571" t="str">
        <v>PINARGOTE VASQUEZ NANCY FABIOLA</v>
      </c>
      <c r="FA571" t="str">
        <v>REYES VELEZ PEDRO ENRIQUE</v>
      </c>
      <c r="FB571" t="str">
        <v>SAN ANDRES HORMAZA DALLAS CECILIA</v>
      </c>
      <c r="FC571" t="str">
        <v>SORNOZA ZAMORA JUAN CARLOS</v>
      </c>
      <c r="FD571" t="str">
        <v>TOMALA PINTO JESUS JACINTO</v>
      </c>
      <c r="FE571" t="str">
        <v>VALLE JARAMILLO SILVIA ARACELY</v>
      </c>
      <c r="FF571" t="str">
        <v>VELÁSQUEZ BRAVO IRMA KATHERINE</v>
      </c>
      <c r="FG571" t="str">
        <v>VELEZ MENDOZA LAYSY VALERIA</v>
      </c>
      <c r="FH571" t="str">
        <v>VINUEZA TELLO SHIRLEY ELIZABETH</v>
      </c>
      <c r="FI571" t="str">
        <v>ZAMBRANO ALCIVAR NILDA ISABEL</v>
      </c>
      <c r="FJ571" t="str">
        <v>ZAMBRANO LOOR RITA MAYDA</v>
      </c>
      <c r="FK571" t="str">
        <v>ZAMBRANO VERA MONICA JANETH</v>
      </c>
      <c r="FL571" t="str">
        <v>VERA DELGADO BRYAN ADRIÁN</v>
      </c>
      <c r="FM571" t="str">
        <v>MORAN GONZALES DAVID RENATO</v>
      </c>
      <c r="FN571">
        <v>0</v>
      </c>
    </row>
    <row r="572" spans="1:170" ht="20.25" customHeight="1">
      <c r="A572" s="4" t="str" cm="1">
        <f t="array" ref="A572">TRANSPOSE(_xlfn.UNIQUE(_xlfn._xlws.FILTER(MAE_ASIGNATURA[ID_NIVEL],MAE_ASIGNATURA[ID_CARRERA]=ASIGNACION!$C572,"No existe información")))</f>
        <v>No existe información</v>
      </c>
      <c r="S572" s="4" t="str" cm="1">
        <f t="array" ref="S572">TRANSPOSE(_xlfn.UNIQUE(_xlfn._xlws.FILTER(MAE_ASIGNATURA[NOM_ASIG],(MAE_ASIGNATURA[ID_NIVEL]=ASIGNACION!$D572)*(MAE_ASIGNATURA[ID_CARRERA]=ASIGNACION!$C572),"No existe información")))</f>
        <v>No existe información</v>
      </c>
      <c r="BD572" s="4" t="str" cm="1">
        <f t="array" ref="BD572">TRANSPOSE(_xlfn.UNIQUE(_xlfn._xlws.FILTER(DET_ASIG[DETALLADO],(DET_ASIG[ID_CARRERA]=ASIGNACION!$C572)*(DET_ASIG[NIVEL]=ASIGNACION!$D572)*(DET_ASIG[ID_ASIG]=ASIGNACION!$G572),"No existe información")))</f>
        <v>No existe información</v>
      </c>
      <c r="BQ572" s="5" t="str" cm="1">
        <f t="array" ref="BQ572">IFERROR(
    TRANSPOSE(
        _xlfn.UNIQUE(
            _xlfn._xlws.FILTER(MAESTRIA_DETALLADO[MAESTRIA],
                ISNUMBER(MATCH(MAESTRIA_DETALLADO[CAMPO_DETALLADO],
                BD572:BP572,0))
            )
        )
    ),IF(BD572="ACTIVIDAD","DOCENCIA",""))</f>
        <v/>
      </c>
      <c r="EA572" s="5" t="str" cm="1">
        <f t="array" ref="EA572:FN572">IF(
    ASIGNACION!I572="SI",
    IFERROR(
        TRANSPOSE(
            _xlfn.UNIQUE(
                _xlfn._xlws.FILTER(EDU_DOCENTE[NOMBRE_DOCENTE],
                    ISNUMBER(MATCH(EDU_DOCENTE[MAESTRIA],
                    BQ572:DY572,0))
                )
            )
        ),
        ""
    ),
    TRANSPOSE(
        _xlfn.UNIQUE(EDU_DOCENTE[NOMBRE_DOCENTE]
        )
    )
)</f>
        <v>ALCIVAR CEDEÑO BEATRIZ ISABEL</v>
      </c>
      <c r="EB572" t="str">
        <v>ALCIVAR VERA GEMA MICHELLE</v>
      </c>
      <c r="EC572" t="str">
        <v>ARAUZ CHAVEZ MARIO ROBERTO</v>
      </c>
      <c r="ED572" t="str">
        <v>BAILON LOURIDO WALTER ALBERTO</v>
      </c>
      <c r="EE572" t="str">
        <v>CALDERERO VILLAGOMEZ ERICK ANTONIO</v>
      </c>
      <c r="EF572" t="str">
        <v>CASTILLO GARCIA PAOLA GERMANIA</v>
      </c>
      <c r="EG572" t="str">
        <v>CEDEÑO CHOEZ PEDRO JAVIER</v>
      </c>
      <c r="EH572" t="str">
        <v>CEVALLOS HOPPE JUAN CARLOS</v>
      </c>
      <c r="EI572" t="str">
        <v>DELGADO CHAVEZ MARIA IRASEMA</v>
      </c>
      <c r="EJ572" t="str">
        <v>DUARTE VALENCIA CRISTHIAN DARIO</v>
      </c>
      <c r="EK572" t="str">
        <v>FORTTY BARBERAN DENNY ALEXANDER</v>
      </c>
      <c r="EL572" t="str">
        <v>GUTIERREZ ZAMBRANO CARMEN EBELINA</v>
      </c>
      <c r="EM572" t="str">
        <v>INTRIAGO MOLINA GEMA VALERIA</v>
      </c>
      <c r="EN572" t="str">
        <v>LINO VELEZ LEONEL LIVINGTON</v>
      </c>
      <c r="EO572" t="str">
        <v>LOOR ALCIVAR MARIA ILIANA</v>
      </c>
      <c r="EP572" t="str">
        <v>LOOR MIELES TANIA JACQUELINE</v>
      </c>
      <c r="EQ572" t="str">
        <v>LOOR SOLORZANO ROSA MARIA</v>
      </c>
      <c r="ER572" t="str">
        <v>LOPEZ DELGADO RONALD MAURICIO</v>
      </c>
      <c r="ES572" t="str">
        <v>MACIAS VALENCIA DAVID GABRIEL</v>
      </c>
      <c r="ET572" t="str">
        <v>MENDOZA ZAMORA WALTER MANUEL</v>
      </c>
      <c r="EU572" t="str">
        <v>MOLINA CEVALLOS MARIA LORENA</v>
      </c>
      <c r="EV572" t="str">
        <v>MURILLO DELGADO ISAAC GABRIEL</v>
      </c>
      <c r="EW572" t="str">
        <v>ANGULO MURILLO NAVIRA GISSELA</v>
      </c>
      <c r="EX572" t="str">
        <v>OCHOA SOLEDISPA NESTOR IVAN</v>
      </c>
      <c r="EY572" t="str">
        <v>PARRAGA FRANCO SILVANA MARIELA</v>
      </c>
      <c r="EZ572" t="str">
        <v>PINARGOTE VASQUEZ NANCY FABIOLA</v>
      </c>
      <c r="FA572" t="str">
        <v>REYES VELEZ PEDRO ENRIQUE</v>
      </c>
      <c r="FB572" t="str">
        <v>SAN ANDRES HORMAZA DALLAS CECILIA</v>
      </c>
      <c r="FC572" t="str">
        <v>SORNOZA ZAMORA JUAN CARLOS</v>
      </c>
      <c r="FD572" t="str">
        <v>TOMALA PINTO JESUS JACINTO</v>
      </c>
      <c r="FE572" t="str">
        <v>VALLE JARAMILLO SILVIA ARACELY</v>
      </c>
      <c r="FF572" t="str">
        <v>VELÁSQUEZ BRAVO IRMA KATHERINE</v>
      </c>
      <c r="FG572" t="str">
        <v>VELEZ MENDOZA LAYSY VALERIA</v>
      </c>
      <c r="FH572" t="str">
        <v>VINUEZA TELLO SHIRLEY ELIZABETH</v>
      </c>
      <c r="FI572" t="str">
        <v>ZAMBRANO ALCIVAR NILDA ISABEL</v>
      </c>
      <c r="FJ572" t="str">
        <v>ZAMBRANO LOOR RITA MAYDA</v>
      </c>
      <c r="FK572" t="str">
        <v>ZAMBRANO VERA MONICA JANETH</v>
      </c>
      <c r="FL572" t="str">
        <v>VERA DELGADO BRYAN ADRIÁN</v>
      </c>
      <c r="FM572" t="str">
        <v>MORAN GONZALES DAVID RENATO</v>
      </c>
      <c r="FN572">
        <v>0</v>
      </c>
    </row>
    <row r="573" spans="1:170" ht="20.25" customHeight="1">
      <c r="A573" s="4" t="str" cm="1">
        <f t="array" ref="A573">TRANSPOSE(_xlfn.UNIQUE(_xlfn._xlws.FILTER(MAE_ASIGNATURA[ID_NIVEL],MAE_ASIGNATURA[ID_CARRERA]=ASIGNACION!$C573,"No existe información")))</f>
        <v>No existe información</v>
      </c>
      <c r="S573" s="4" t="str" cm="1">
        <f t="array" ref="S573">TRANSPOSE(_xlfn.UNIQUE(_xlfn._xlws.FILTER(MAE_ASIGNATURA[NOM_ASIG],(MAE_ASIGNATURA[ID_NIVEL]=ASIGNACION!$D573)*(MAE_ASIGNATURA[ID_CARRERA]=ASIGNACION!$C573),"No existe información")))</f>
        <v>No existe información</v>
      </c>
      <c r="BD573" s="4" t="str" cm="1">
        <f t="array" ref="BD573">TRANSPOSE(_xlfn.UNIQUE(_xlfn._xlws.FILTER(DET_ASIG[DETALLADO],(DET_ASIG[ID_CARRERA]=ASIGNACION!$C573)*(DET_ASIG[NIVEL]=ASIGNACION!$D573)*(DET_ASIG[ID_ASIG]=ASIGNACION!$G573),"No existe información")))</f>
        <v>No existe información</v>
      </c>
      <c r="BQ573" s="5" t="str" cm="1">
        <f t="array" ref="BQ573">IFERROR(
    TRANSPOSE(
        _xlfn.UNIQUE(
            _xlfn._xlws.FILTER(MAESTRIA_DETALLADO[MAESTRIA],
                ISNUMBER(MATCH(MAESTRIA_DETALLADO[CAMPO_DETALLADO],
                BD573:BP573,0))
            )
        )
    ),IF(BD573="ACTIVIDAD","DOCENCIA",""))</f>
        <v/>
      </c>
      <c r="EA573" s="5" t="str" cm="1">
        <f t="array" ref="EA573:FN573">IF(
    ASIGNACION!I573="SI",
    IFERROR(
        TRANSPOSE(
            _xlfn.UNIQUE(
                _xlfn._xlws.FILTER(EDU_DOCENTE[NOMBRE_DOCENTE],
                    ISNUMBER(MATCH(EDU_DOCENTE[MAESTRIA],
                    BQ573:DY573,0))
                )
            )
        ),
        ""
    ),
    TRANSPOSE(
        _xlfn.UNIQUE(EDU_DOCENTE[NOMBRE_DOCENTE]
        )
    )
)</f>
        <v>ALCIVAR CEDEÑO BEATRIZ ISABEL</v>
      </c>
      <c r="EB573" t="str">
        <v>ALCIVAR VERA GEMA MICHELLE</v>
      </c>
      <c r="EC573" t="str">
        <v>ARAUZ CHAVEZ MARIO ROBERTO</v>
      </c>
      <c r="ED573" t="str">
        <v>BAILON LOURIDO WALTER ALBERTO</v>
      </c>
      <c r="EE573" t="str">
        <v>CALDERERO VILLAGOMEZ ERICK ANTONIO</v>
      </c>
      <c r="EF573" t="str">
        <v>CASTILLO GARCIA PAOLA GERMANIA</v>
      </c>
      <c r="EG573" t="str">
        <v>CEDEÑO CHOEZ PEDRO JAVIER</v>
      </c>
      <c r="EH573" t="str">
        <v>CEVALLOS HOPPE JUAN CARLOS</v>
      </c>
      <c r="EI573" t="str">
        <v>DELGADO CHAVEZ MARIA IRASEMA</v>
      </c>
      <c r="EJ573" t="str">
        <v>DUARTE VALENCIA CRISTHIAN DARIO</v>
      </c>
      <c r="EK573" t="str">
        <v>FORTTY BARBERAN DENNY ALEXANDER</v>
      </c>
      <c r="EL573" t="str">
        <v>GUTIERREZ ZAMBRANO CARMEN EBELINA</v>
      </c>
      <c r="EM573" t="str">
        <v>INTRIAGO MOLINA GEMA VALERIA</v>
      </c>
      <c r="EN573" t="str">
        <v>LINO VELEZ LEONEL LIVINGTON</v>
      </c>
      <c r="EO573" t="str">
        <v>LOOR ALCIVAR MARIA ILIANA</v>
      </c>
      <c r="EP573" t="str">
        <v>LOOR MIELES TANIA JACQUELINE</v>
      </c>
      <c r="EQ573" t="str">
        <v>LOOR SOLORZANO ROSA MARIA</v>
      </c>
      <c r="ER573" t="str">
        <v>LOPEZ DELGADO RONALD MAURICIO</v>
      </c>
      <c r="ES573" t="str">
        <v>MACIAS VALENCIA DAVID GABRIEL</v>
      </c>
      <c r="ET573" t="str">
        <v>MENDOZA ZAMORA WALTER MANUEL</v>
      </c>
      <c r="EU573" t="str">
        <v>MOLINA CEVALLOS MARIA LORENA</v>
      </c>
      <c r="EV573" t="str">
        <v>MURILLO DELGADO ISAAC GABRIEL</v>
      </c>
      <c r="EW573" t="str">
        <v>ANGULO MURILLO NAVIRA GISSELA</v>
      </c>
      <c r="EX573" t="str">
        <v>OCHOA SOLEDISPA NESTOR IVAN</v>
      </c>
      <c r="EY573" t="str">
        <v>PARRAGA FRANCO SILVANA MARIELA</v>
      </c>
      <c r="EZ573" t="str">
        <v>PINARGOTE VASQUEZ NANCY FABIOLA</v>
      </c>
      <c r="FA573" t="str">
        <v>REYES VELEZ PEDRO ENRIQUE</v>
      </c>
      <c r="FB573" t="str">
        <v>SAN ANDRES HORMAZA DALLAS CECILIA</v>
      </c>
      <c r="FC573" t="str">
        <v>SORNOZA ZAMORA JUAN CARLOS</v>
      </c>
      <c r="FD573" t="str">
        <v>TOMALA PINTO JESUS JACINTO</v>
      </c>
      <c r="FE573" t="str">
        <v>VALLE JARAMILLO SILVIA ARACELY</v>
      </c>
      <c r="FF573" t="str">
        <v>VELÁSQUEZ BRAVO IRMA KATHERINE</v>
      </c>
      <c r="FG573" t="str">
        <v>VELEZ MENDOZA LAYSY VALERIA</v>
      </c>
      <c r="FH573" t="str">
        <v>VINUEZA TELLO SHIRLEY ELIZABETH</v>
      </c>
      <c r="FI573" t="str">
        <v>ZAMBRANO ALCIVAR NILDA ISABEL</v>
      </c>
      <c r="FJ573" t="str">
        <v>ZAMBRANO LOOR RITA MAYDA</v>
      </c>
      <c r="FK573" t="str">
        <v>ZAMBRANO VERA MONICA JANETH</v>
      </c>
      <c r="FL573" t="str">
        <v>VERA DELGADO BRYAN ADRIÁN</v>
      </c>
      <c r="FM573" t="str">
        <v>MORAN GONZALES DAVID RENATO</v>
      </c>
      <c r="FN573">
        <v>0</v>
      </c>
    </row>
    <row r="574" spans="1:170" ht="20.25" customHeight="1">
      <c r="A574" s="4" t="str" cm="1">
        <f t="array" ref="A574">TRANSPOSE(_xlfn.UNIQUE(_xlfn._xlws.FILTER(MAE_ASIGNATURA[ID_NIVEL],MAE_ASIGNATURA[ID_CARRERA]=ASIGNACION!$C574,"No existe información")))</f>
        <v>No existe información</v>
      </c>
      <c r="S574" s="4" t="str" cm="1">
        <f t="array" ref="S574">TRANSPOSE(_xlfn.UNIQUE(_xlfn._xlws.FILTER(MAE_ASIGNATURA[NOM_ASIG],(MAE_ASIGNATURA[ID_NIVEL]=ASIGNACION!$D574)*(MAE_ASIGNATURA[ID_CARRERA]=ASIGNACION!$C574),"No existe información")))</f>
        <v>No existe información</v>
      </c>
      <c r="BD574" s="4" t="str" cm="1">
        <f t="array" ref="BD574">TRANSPOSE(_xlfn.UNIQUE(_xlfn._xlws.FILTER(DET_ASIG[DETALLADO],(DET_ASIG[ID_CARRERA]=ASIGNACION!$C574)*(DET_ASIG[NIVEL]=ASIGNACION!$D574)*(DET_ASIG[ID_ASIG]=ASIGNACION!$G574),"No existe información")))</f>
        <v>No existe información</v>
      </c>
      <c r="BQ574" s="5" t="str" cm="1">
        <f t="array" ref="BQ574">IFERROR(
    TRANSPOSE(
        _xlfn.UNIQUE(
            _xlfn._xlws.FILTER(MAESTRIA_DETALLADO[MAESTRIA],
                ISNUMBER(MATCH(MAESTRIA_DETALLADO[CAMPO_DETALLADO],
                BD574:BP574,0))
            )
        )
    ),IF(BD574="ACTIVIDAD","DOCENCIA",""))</f>
        <v/>
      </c>
      <c r="EA574" s="5" t="str" cm="1">
        <f t="array" ref="EA574:FN574">IF(
    ASIGNACION!I574="SI",
    IFERROR(
        TRANSPOSE(
            _xlfn.UNIQUE(
                _xlfn._xlws.FILTER(EDU_DOCENTE[NOMBRE_DOCENTE],
                    ISNUMBER(MATCH(EDU_DOCENTE[MAESTRIA],
                    BQ574:DY574,0))
                )
            )
        ),
        ""
    ),
    TRANSPOSE(
        _xlfn.UNIQUE(EDU_DOCENTE[NOMBRE_DOCENTE]
        )
    )
)</f>
        <v>ALCIVAR CEDEÑO BEATRIZ ISABEL</v>
      </c>
      <c r="EB574" t="str">
        <v>ALCIVAR VERA GEMA MICHELLE</v>
      </c>
      <c r="EC574" t="str">
        <v>ARAUZ CHAVEZ MARIO ROBERTO</v>
      </c>
      <c r="ED574" t="str">
        <v>BAILON LOURIDO WALTER ALBERTO</v>
      </c>
      <c r="EE574" t="str">
        <v>CALDERERO VILLAGOMEZ ERICK ANTONIO</v>
      </c>
      <c r="EF574" t="str">
        <v>CASTILLO GARCIA PAOLA GERMANIA</v>
      </c>
      <c r="EG574" t="str">
        <v>CEDEÑO CHOEZ PEDRO JAVIER</v>
      </c>
      <c r="EH574" t="str">
        <v>CEVALLOS HOPPE JUAN CARLOS</v>
      </c>
      <c r="EI574" t="str">
        <v>DELGADO CHAVEZ MARIA IRASEMA</v>
      </c>
      <c r="EJ574" t="str">
        <v>DUARTE VALENCIA CRISTHIAN DARIO</v>
      </c>
      <c r="EK574" t="str">
        <v>FORTTY BARBERAN DENNY ALEXANDER</v>
      </c>
      <c r="EL574" t="str">
        <v>GUTIERREZ ZAMBRANO CARMEN EBELINA</v>
      </c>
      <c r="EM574" t="str">
        <v>INTRIAGO MOLINA GEMA VALERIA</v>
      </c>
      <c r="EN574" t="str">
        <v>LINO VELEZ LEONEL LIVINGTON</v>
      </c>
      <c r="EO574" t="str">
        <v>LOOR ALCIVAR MARIA ILIANA</v>
      </c>
      <c r="EP574" t="str">
        <v>LOOR MIELES TANIA JACQUELINE</v>
      </c>
      <c r="EQ574" t="str">
        <v>LOOR SOLORZANO ROSA MARIA</v>
      </c>
      <c r="ER574" t="str">
        <v>LOPEZ DELGADO RONALD MAURICIO</v>
      </c>
      <c r="ES574" t="str">
        <v>MACIAS VALENCIA DAVID GABRIEL</v>
      </c>
      <c r="ET574" t="str">
        <v>MENDOZA ZAMORA WALTER MANUEL</v>
      </c>
      <c r="EU574" t="str">
        <v>MOLINA CEVALLOS MARIA LORENA</v>
      </c>
      <c r="EV574" t="str">
        <v>MURILLO DELGADO ISAAC GABRIEL</v>
      </c>
      <c r="EW574" t="str">
        <v>ANGULO MURILLO NAVIRA GISSELA</v>
      </c>
      <c r="EX574" t="str">
        <v>OCHOA SOLEDISPA NESTOR IVAN</v>
      </c>
      <c r="EY574" t="str">
        <v>PARRAGA FRANCO SILVANA MARIELA</v>
      </c>
      <c r="EZ574" t="str">
        <v>PINARGOTE VASQUEZ NANCY FABIOLA</v>
      </c>
      <c r="FA574" t="str">
        <v>REYES VELEZ PEDRO ENRIQUE</v>
      </c>
      <c r="FB574" t="str">
        <v>SAN ANDRES HORMAZA DALLAS CECILIA</v>
      </c>
      <c r="FC574" t="str">
        <v>SORNOZA ZAMORA JUAN CARLOS</v>
      </c>
      <c r="FD574" t="str">
        <v>TOMALA PINTO JESUS JACINTO</v>
      </c>
      <c r="FE574" t="str">
        <v>VALLE JARAMILLO SILVIA ARACELY</v>
      </c>
      <c r="FF574" t="str">
        <v>VELÁSQUEZ BRAVO IRMA KATHERINE</v>
      </c>
      <c r="FG574" t="str">
        <v>VELEZ MENDOZA LAYSY VALERIA</v>
      </c>
      <c r="FH574" t="str">
        <v>VINUEZA TELLO SHIRLEY ELIZABETH</v>
      </c>
      <c r="FI574" t="str">
        <v>ZAMBRANO ALCIVAR NILDA ISABEL</v>
      </c>
      <c r="FJ574" t="str">
        <v>ZAMBRANO LOOR RITA MAYDA</v>
      </c>
      <c r="FK574" t="str">
        <v>ZAMBRANO VERA MONICA JANETH</v>
      </c>
      <c r="FL574" t="str">
        <v>VERA DELGADO BRYAN ADRIÁN</v>
      </c>
      <c r="FM574" t="str">
        <v>MORAN GONZALES DAVID RENATO</v>
      </c>
      <c r="FN574">
        <v>0</v>
      </c>
    </row>
    <row r="575" spans="1:170" ht="20.25" customHeight="1">
      <c r="A575" s="4" t="str" cm="1">
        <f t="array" ref="A575">TRANSPOSE(_xlfn.UNIQUE(_xlfn._xlws.FILTER(MAE_ASIGNATURA[ID_NIVEL],MAE_ASIGNATURA[ID_CARRERA]=ASIGNACION!$C575,"No existe información")))</f>
        <v>No existe información</v>
      </c>
      <c r="S575" s="4" t="str" cm="1">
        <f t="array" ref="S575">TRANSPOSE(_xlfn.UNIQUE(_xlfn._xlws.FILTER(MAE_ASIGNATURA[NOM_ASIG],(MAE_ASIGNATURA[ID_NIVEL]=ASIGNACION!$D575)*(MAE_ASIGNATURA[ID_CARRERA]=ASIGNACION!$C575),"No existe información")))</f>
        <v>No existe información</v>
      </c>
      <c r="BD575" s="4" t="str" cm="1">
        <f t="array" ref="BD575">TRANSPOSE(_xlfn.UNIQUE(_xlfn._xlws.FILTER(DET_ASIG[DETALLADO],(DET_ASIG[ID_CARRERA]=ASIGNACION!$C575)*(DET_ASIG[NIVEL]=ASIGNACION!$D575)*(DET_ASIG[ID_ASIG]=ASIGNACION!$G575),"No existe información")))</f>
        <v>No existe información</v>
      </c>
      <c r="BQ575" s="5" t="str" cm="1">
        <f t="array" ref="BQ575">IFERROR(
    TRANSPOSE(
        _xlfn.UNIQUE(
            _xlfn._xlws.FILTER(MAESTRIA_DETALLADO[MAESTRIA],
                ISNUMBER(MATCH(MAESTRIA_DETALLADO[CAMPO_DETALLADO],
                BD575:BP575,0))
            )
        )
    ),IF(BD575="ACTIVIDAD","DOCENCIA",""))</f>
        <v/>
      </c>
      <c r="EA575" s="5" t="str" cm="1">
        <f t="array" ref="EA575:FN575">IF(
    ASIGNACION!I575="SI",
    IFERROR(
        TRANSPOSE(
            _xlfn.UNIQUE(
                _xlfn._xlws.FILTER(EDU_DOCENTE[NOMBRE_DOCENTE],
                    ISNUMBER(MATCH(EDU_DOCENTE[MAESTRIA],
                    BQ575:DY575,0))
                )
            )
        ),
        ""
    ),
    TRANSPOSE(
        _xlfn.UNIQUE(EDU_DOCENTE[NOMBRE_DOCENTE]
        )
    )
)</f>
        <v>ALCIVAR CEDEÑO BEATRIZ ISABEL</v>
      </c>
      <c r="EB575" t="str">
        <v>ALCIVAR VERA GEMA MICHELLE</v>
      </c>
      <c r="EC575" t="str">
        <v>ARAUZ CHAVEZ MARIO ROBERTO</v>
      </c>
      <c r="ED575" t="str">
        <v>BAILON LOURIDO WALTER ALBERTO</v>
      </c>
      <c r="EE575" t="str">
        <v>CALDERERO VILLAGOMEZ ERICK ANTONIO</v>
      </c>
      <c r="EF575" t="str">
        <v>CASTILLO GARCIA PAOLA GERMANIA</v>
      </c>
      <c r="EG575" t="str">
        <v>CEDEÑO CHOEZ PEDRO JAVIER</v>
      </c>
      <c r="EH575" t="str">
        <v>CEVALLOS HOPPE JUAN CARLOS</v>
      </c>
      <c r="EI575" t="str">
        <v>DELGADO CHAVEZ MARIA IRASEMA</v>
      </c>
      <c r="EJ575" t="str">
        <v>DUARTE VALENCIA CRISTHIAN DARIO</v>
      </c>
      <c r="EK575" t="str">
        <v>FORTTY BARBERAN DENNY ALEXANDER</v>
      </c>
      <c r="EL575" t="str">
        <v>GUTIERREZ ZAMBRANO CARMEN EBELINA</v>
      </c>
      <c r="EM575" t="str">
        <v>INTRIAGO MOLINA GEMA VALERIA</v>
      </c>
      <c r="EN575" t="str">
        <v>LINO VELEZ LEONEL LIVINGTON</v>
      </c>
      <c r="EO575" t="str">
        <v>LOOR ALCIVAR MARIA ILIANA</v>
      </c>
      <c r="EP575" t="str">
        <v>LOOR MIELES TANIA JACQUELINE</v>
      </c>
      <c r="EQ575" t="str">
        <v>LOOR SOLORZANO ROSA MARIA</v>
      </c>
      <c r="ER575" t="str">
        <v>LOPEZ DELGADO RONALD MAURICIO</v>
      </c>
      <c r="ES575" t="str">
        <v>MACIAS VALENCIA DAVID GABRIEL</v>
      </c>
      <c r="ET575" t="str">
        <v>MENDOZA ZAMORA WALTER MANUEL</v>
      </c>
      <c r="EU575" t="str">
        <v>MOLINA CEVALLOS MARIA LORENA</v>
      </c>
      <c r="EV575" t="str">
        <v>MURILLO DELGADO ISAAC GABRIEL</v>
      </c>
      <c r="EW575" t="str">
        <v>ANGULO MURILLO NAVIRA GISSELA</v>
      </c>
      <c r="EX575" t="str">
        <v>OCHOA SOLEDISPA NESTOR IVAN</v>
      </c>
      <c r="EY575" t="str">
        <v>PARRAGA FRANCO SILVANA MARIELA</v>
      </c>
      <c r="EZ575" t="str">
        <v>PINARGOTE VASQUEZ NANCY FABIOLA</v>
      </c>
      <c r="FA575" t="str">
        <v>REYES VELEZ PEDRO ENRIQUE</v>
      </c>
      <c r="FB575" t="str">
        <v>SAN ANDRES HORMAZA DALLAS CECILIA</v>
      </c>
      <c r="FC575" t="str">
        <v>SORNOZA ZAMORA JUAN CARLOS</v>
      </c>
      <c r="FD575" t="str">
        <v>TOMALA PINTO JESUS JACINTO</v>
      </c>
      <c r="FE575" t="str">
        <v>VALLE JARAMILLO SILVIA ARACELY</v>
      </c>
      <c r="FF575" t="str">
        <v>VELÁSQUEZ BRAVO IRMA KATHERINE</v>
      </c>
      <c r="FG575" t="str">
        <v>VELEZ MENDOZA LAYSY VALERIA</v>
      </c>
      <c r="FH575" t="str">
        <v>VINUEZA TELLO SHIRLEY ELIZABETH</v>
      </c>
      <c r="FI575" t="str">
        <v>ZAMBRANO ALCIVAR NILDA ISABEL</v>
      </c>
      <c r="FJ575" t="str">
        <v>ZAMBRANO LOOR RITA MAYDA</v>
      </c>
      <c r="FK575" t="str">
        <v>ZAMBRANO VERA MONICA JANETH</v>
      </c>
      <c r="FL575" t="str">
        <v>VERA DELGADO BRYAN ADRIÁN</v>
      </c>
      <c r="FM575" t="str">
        <v>MORAN GONZALES DAVID RENATO</v>
      </c>
      <c r="FN575">
        <v>0</v>
      </c>
    </row>
    <row r="576" spans="1:170" ht="20.25" customHeight="1">
      <c r="A576" s="4" t="str" cm="1">
        <f t="array" ref="A576">TRANSPOSE(_xlfn.UNIQUE(_xlfn._xlws.FILTER(MAE_ASIGNATURA[ID_NIVEL],MAE_ASIGNATURA[ID_CARRERA]=ASIGNACION!$C576,"No existe información")))</f>
        <v>No existe información</v>
      </c>
      <c r="S576" s="4" t="str" cm="1">
        <f t="array" ref="S576">TRANSPOSE(_xlfn.UNIQUE(_xlfn._xlws.FILTER(MAE_ASIGNATURA[NOM_ASIG],(MAE_ASIGNATURA[ID_NIVEL]=ASIGNACION!$D576)*(MAE_ASIGNATURA[ID_CARRERA]=ASIGNACION!$C576),"No existe información")))</f>
        <v>No existe información</v>
      </c>
      <c r="BD576" s="4" t="str" cm="1">
        <f t="array" ref="BD576">TRANSPOSE(_xlfn.UNIQUE(_xlfn._xlws.FILTER(DET_ASIG[DETALLADO],(DET_ASIG[ID_CARRERA]=ASIGNACION!$C576)*(DET_ASIG[NIVEL]=ASIGNACION!$D576)*(DET_ASIG[ID_ASIG]=ASIGNACION!$G576),"No existe información")))</f>
        <v>No existe información</v>
      </c>
      <c r="BQ576" s="5" t="str" cm="1">
        <f t="array" ref="BQ576">IFERROR(
    TRANSPOSE(
        _xlfn.UNIQUE(
            _xlfn._xlws.FILTER(MAESTRIA_DETALLADO[MAESTRIA],
                ISNUMBER(MATCH(MAESTRIA_DETALLADO[CAMPO_DETALLADO],
                BD576:BP576,0))
            )
        )
    ),IF(BD576="ACTIVIDAD","DOCENCIA",""))</f>
        <v/>
      </c>
      <c r="EA576" s="5" t="str" cm="1">
        <f t="array" ref="EA576:FN576">IF(
    ASIGNACION!I576="SI",
    IFERROR(
        TRANSPOSE(
            _xlfn.UNIQUE(
                _xlfn._xlws.FILTER(EDU_DOCENTE[NOMBRE_DOCENTE],
                    ISNUMBER(MATCH(EDU_DOCENTE[MAESTRIA],
                    BQ576:DY576,0))
                )
            )
        ),
        ""
    ),
    TRANSPOSE(
        _xlfn.UNIQUE(EDU_DOCENTE[NOMBRE_DOCENTE]
        )
    )
)</f>
        <v>ALCIVAR CEDEÑO BEATRIZ ISABEL</v>
      </c>
      <c r="EB576" t="str">
        <v>ALCIVAR VERA GEMA MICHELLE</v>
      </c>
      <c r="EC576" t="str">
        <v>ARAUZ CHAVEZ MARIO ROBERTO</v>
      </c>
      <c r="ED576" t="str">
        <v>BAILON LOURIDO WALTER ALBERTO</v>
      </c>
      <c r="EE576" t="str">
        <v>CALDERERO VILLAGOMEZ ERICK ANTONIO</v>
      </c>
      <c r="EF576" t="str">
        <v>CASTILLO GARCIA PAOLA GERMANIA</v>
      </c>
      <c r="EG576" t="str">
        <v>CEDEÑO CHOEZ PEDRO JAVIER</v>
      </c>
      <c r="EH576" t="str">
        <v>CEVALLOS HOPPE JUAN CARLOS</v>
      </c>
      <c r="EI576" t="str">
        <v>DELGADO CHAVEZ MARIA IRASEMA</v>
      </c>
      <c r="EJ576" t="str">
        <v>DUARTE VALENCIA CRISTHIAN DARIO</v>
      </c>
      <c r="EK576" t="str">
        <v>FORTTY BARBERAN DENNY ALEXANDER</v>
      </c>
      <c r="EL576" t="str">
        <v>GUTIERREZ ZAMBRANO CARMEN EBELINA</v>
      </c>
      <c r="EM576" t="str">
        <v>INTRIAGO MOLINA GEMA VALERIA</v>
      </c>
      <c r="EN576" t="str">
        <v>LINO VELEZ LEONEL LIVINGTON</v>
      </c>
      <c r="EO576" t="str">
        <v>LOOR ALCIVAR MARIA ILIANA</v>
      </c>
      <c r="EP576" t="str">
        <v>LOOR MIELES TANIA JACQUELINE</v>
      </c>
      <c r="EQ576" t="str">
        <v>LOOR SOLORZANO ROSA MARIA</v>
      </c>
      <c r="ER576" t="str">
        <v>LOPEZ DELGADO RONALD MAURICIO</v>
      </c>
      <c r="ES576" t="str">
        <v>MACIAS VALENCIA DAVID GABRIEL</v>
      </c>
      <c r="ET576" t="str">
        <v>MENDOZA ZAMORA WALTER MANUEL</v>
      </c>
      <c r="EU576" t="str">
        <v>MOLINA CEVALLOS MARIA LORENA</v>
      </c>
      <c r="EV576" t="str">
        <v>MURILLO DELGADO ISAAC GABRIEL</v>
      </c>
      <c r="EW576" t="str">
        <v>ANGULO MURILLO NAVIRA GISSELA</v>
      </c>
      <c r="EX576" t="str">
        <v>OCHOA SOLEDISPA NESTOR IVAN</v>
      </c>
      <c r="EY576" t="str">
        <v>PARRAGA FRANCO SILVANA MARIELA</v>
      </c>
      <c r="EZ576" t="str">
        <v>PINARGOTE VASQUEZ NANCY FABIOLA</v>
      </c>
      <c r="FA576" t="str">
        <v>REYES VELEZ PEDRO ENRIQUE</v>
      </c>
      <c r="FB576" t="str">
        <v>SAN ANDRES HORMAZA DALLAS CECILIA</v>
      </c>
      <c r="FC576" t="str">
        <v>SORNOZA ZAMORA JUAN CARLOS</v>
      </c>
      <c r="FD576" t="str">
        <v>TOMALA PINTO JESUS JACINTO</v>
      </c>
      <c r="FE576" t="str">
        <v>VALLE JARAMILLO SILVIA ARACELY</v>
      </c>
      <c r="FF576" t="str">
        <v>VELÁSQUEZ BRAVO IRMA KATHERINE</v>
      </c>
      <c r="FG576" t="str">
        <v>VELEZ MENDOZA LAYSY VALERIA</v>
      </c>
      <c r="FH576" t="str">
        <v>VINUEZA TELLO SHIRLEY ELIZABETH</v>
      </c>
      <c r="FI576" t="str">
        <v>ZAMBRANO ALCIVAR NILDA ISABEL</v>
      </c>
      <c r="FJ576" t="str">
        <v>ZAMBRANO LOOR RITA MAYDA</v>
      </c>
      <c r="FK576" t="str">
        <v>ZAMBRANO VERA MONICA JANETH</v>
      </c>
      <c r="FL576" t="str">
        <v>VERA DELGADO BRYAN ADRIÁN</v>
      </c>
      <c r="FM576" t="str">
        <v>MORAN GONZALES DAVID RENATO</v>
      </c>
      <c r="FN576">
        <v>0</v>
      </c>
    </row>
    <row r="577" spans="1:170" ht="20.25" customHeight="1">
      <c r="A577" s="4" t="str" cm="1">
        <f t="array" ref="A577">TRANSPOSE(_xlfn.UNIQUE(_xlfn._xlws.FILTER(MAE_ASIGNATURA[ID_NIVEL],MAE_ASIGNATURA[ID_CARRERA]=ASIGNACION!$C577,"No existe información")))</f>
        <v>No existe información</v>
      </c>
      <c r="S577" s="4" t="str" cm="1">
        <f t="array" ref="S577">TRANSPOSE(_xlfn.UNIQUE(_xlfn._xlws.FILTER(MAE_ASIGNATURA[NOM_ASIG],(MAE_ASIGNATURA[ID_NIVEL]=ASIGNACION!$D577)*(MAE_ASIGNATURA[ID_CARRERA]=ASIGNACION!$C577),"No existe información")))</f>
        <v>No existe información</v>
      </c>
      <c r="BD577" s="4" t="str" cm="1">
        <f t="array" ref="BD577">TRANSPOSE(_xlfn.UNIQUE(_xlfn._xlws.FILTER(DET_ASIG[DETALLADO],(DET_ASIG[ID_CARRERA]=ASIGNACION!$C577)*(DET_ASIG[NIVEL]=ASIGNACION!$D577)*(DET_ASIG[ID_ASIG]=ASIGNACION!$G577),"No existe información")))</f>
        <v>No existe información</v>
      </c>
      <c r="BQ577" s="5" t="str" cm="1">
        <f t="array" ref="BQ577">IFERROR(
    TRANSPOSE(
        _xlfn.UNIQUE(
            _xlfn._xlws.FILTER(MAESTRIA_DETALLADO[MAESTRIA],
                ISNUMBER(MATCH(MAESTRIA_DETALLADO[CAMPO_DETALLADO],
                BD577:BP577,0))
            )
        )
    ),IF(BD577="ACTIVIDAD","DOCENCIA",""))</f>
        <v/>
      </c>
      <c r="EA577" s="5" t="str" cm="1">
        <f t="array" ref="EA577:FN577">IF(
    ASIGNACION!I577="SI",
    IFERROR(
        TRANSPOSE(
            _xlfn.UNIQUE(
                _xlfn._xlws.FILTER(EDU_DOCENTE[NOMBRE_DOCENTE],
                    ISNUMBER(MATCH(EDU_DOCENTE[MAESTRIA],
                    BQ577:DY577,0))
                )
            )
        ),
        ""
    ),
    TRANSPOSE(
        _xlfn.UNIQUE(EDU_DOCENTE[NOMBRE_DOCENTE]
        )
    )
)</f>
        <v>ALCIVAR CEDEÑO BEATRIZ ISABEL</v>
      </c>
      <c r="EB577" t="str">
        <v>ALCIVAR VERA GEMA MICHELLE</v>
      </c>
      <c r="EC577" t="str">
        <v>ARAUZ CHAVEZ MARIO ROBERTO</v>
      </c>
      <c r="ED577" t="str">
        <v>BAILON LOURIDO WALTER ALBERTO</v>
      </c>
      <c r="EE577" t="str">
        <v>CALDERERO VILLAGOMEZ ERICK ANTONIO</v>
      </c>
      <c r="EF577" t="str">
        <v>CASTILLO GARCIA PAOLA GERMANIA</v>
      </c>
      <c r="EG577" t="str">
        <v>CEDEÑO CHOEZ PEDRO JAVIER</v>
      </c>
      <c r="EH577" t="str">
        <v>CEVALLOS HOPPE JUAN CARLOS</v>
      </c>
      <c r="EI577" t="str">
        <v>DELGADO CHAVEZ MARIA IRASEMA</v>
      </c>
      <c r="EJ577" t="str">
        <v>DUARTE VALENCIA CRISTHIAN DARIO</v>
      </c>
      <c r="EK577" t="str">
        <v>FORTTY BARBERAN DENNY ALEXANDER</v>
      </c>
      <c r="EL577" t="str">
        <v>GUTIERREZ ZAMBRANO CARMEN EBELINA</v>
      </c>
      <c r="EM577" t="str">
        <v>INTRIAGO MOLINA GEMA VALERIA</v>
      </c>
      <c r="EN577" t="str">
        <v>LINO VELEZ LEONEL LIVINGTON</v>
      </c>
      <c r="EO577" t="str">
        <v>LOOR ALCIVAR MARIA ILIANA</v>
      </c>
      <c r="EP577" t="str">
        <v>LOOR MIELES TANIA JACQUELINE</v>
      </c>
      <c r="EQ577" t="str">
        <v>LOOR SOLORZANO ROSA MARIA</v>
      </c>
      <c r="ER577" t="str">
        <v>LOPEZ DELGADO RONALD MAURICIO</v>
      </c>
      <c r="ES577" t="str">
        <v>MACIAS VALENCIA DAVID GABRIEL</v>
      </c>
      <c r="ET577" t="str">
        <v>MENDOZA ZAMORA WALTER MANUEL</v>
      </c>
      <c r="EU577" t="str">
        <v>MOLINA CEVALLOS MARIA LORENA</v>
      </c>
      <c r="EV577" t="str">
        <v>MURILLO DELGADO ISAAC GABRIEL</v>
      </c>
      <c r="EW577" t="str">
        <v>ANGULO MURILLO NAVIRA GISSELA</v>
      </c>
      <c r="EX577" t="str">
        <v>OCHOA SOLEDISPA NESTOR IVAN</v>
      </c>
      <c r="EY577" t="str">
        <v>PARRAGA FRANCO SILVANA MARIELA</v>
      </c>
      <c r="EZ577" t="str">
        <v>PINARGOTE VASQUEZ NANCY FABIOLA</v>
      </c>
      <c r="FA577" t="str">
        <v>REYES VELEZ PEDRO ENRIQUE</v>
      </c>
      <c r="FB577" t="str">
        <v>SAN ANDRES HORMAZA DALLAS CECILIA</v>
      </c>
      <c r="FC577" t="str">
        <v>SORNOZA ZAMORA JUAN CARLOS</v>
      </c>
      <c r="FD577" t="str">
        <v>TOMALA PINTO JESUS JACINTO</v>
      </c>
      <c r="FE577" t="str">
        <v>VALLE JARAMILLO SILVIA ARACELY</v>
      </c>
      <c r="FF577" t="str">
        <v>VELÁSQUEZ BRAVO IRMA KATHERINE</v>
      </c>
      <c r="FG577" t="str">
        <v>VELEZ MENDOZA LAYSY VALERIA</v>
      </c>
      <c r="FH577" t="str">
        <v>VINUEZA TELLO SHIRLEY ELIZABETH</v>
      </c>
      <c r="FI577" t="str">
        <v>ZAMBRANO ALCIVAR NILDA ISABEL</v>
      </c>
      <c r="FJ577" t="str">
        <v>ZAMBRANO LOOR RITA MAYDA</v>
      </c>
      <c r="FK577" t="str">
        <v>ZAMBRANO VERA MONICA JANETH</v>
      </c>
      <c r="FL577" t="str">
        <v>VERA DELGADO BRYAN ADRIÁN</v>
      </c>
      <c r="FM577" t="str">
        <v>MORAN GONZALES DAVID RENATO</v>
      </c>
      <c r="FN577">
        <v>0</v>
      </c>
    </row>
    <row r="578" spans="1:170" ht="20.25" customHeight="1">
      <c r="A578" s="4" t="str" cm="1">
        <f t="array" ref="A578">TRANSPOSE(_xlfn.UNIQUE(_xlfn._xlws.FILTER(MAE_ASIGNATURA[ID_NIVEL],MAE_ASIGNATURA[ID_CARRERA]=ASIGNACION!$C578,"No existe información")))</f>
        <v>No existe información</v>
      </c>
      <c r="S578" s="4" t="str" cm="1">
        <f t="array" ref="S578">TRANSPOSE(_xlfn.UNIQUE(_xlfn._xlws.FILTER(MAE_ASIGNATURA[NOM_ASIG],(MAE_ASIGNATURA[ID_NIVEL]=ASIGNACION!$D578)*(MAE_ASIGNATURA[ID_CARRERA]=ASIGNACION!$C578),"No existe información")))</f>
        <v>No existe información</v>
      </c>
      <c r="BD578" s="4" t="str" cm="1">
        <f t="array" ref="BD578">TRANSPOSE(_xlfn.UNIQUE(_xlfn._xlws.FILTER(DET_ASIG[DETALLADO],(DET_ASIG[ID_CARRERA]=ASIGNACION!$C578)*(DET_ASIG[NIVEL]=ASIGNACION!$D578)*(DET_ASIG[ID_ASIG]=ASIGNACION!$G578),"No existe información")))</f>
        <v>No existe información</v>
      </c>
      <c r="BQ578" s="5" t="str" cm="1">
        <f t="array" ref="BQ578">IFERROR(
    TRANSPOSE(
        _xlfn.UNIQUE(
            _xlfn._xlws.FILTER(MAESTRIA_DETALLADO[MAESTRIA],
                ISNUMBER(MATCH(MAESTRIA_DETALLADO[CAMPO_DETALLADO],
                BD578:BP578,0))
            )
        )
    ),IF(BD578="ACTIVIDAD","DOCENCIA",""))</f>
        <v/>
      </c>
      <c r="EA578" s="5" t="str" cm="1">
        <f t="array" ref="EA578:FN578">IF(
    ASIGNACION!I578="SI",
    IFERROR(
        TRANSPOSE(
            _xlfn.UNIQUE(
                _xlfn._xlws.FILTER(EDU_DOCENTE[NOMBRE_DOCENTE],
                    ISNUMBER(MATCH(EDU_DOCENTE[MAESTRIA],
                    BQ578:DY578,0))
                )
            )
        ),
        ""
    ),
    TRANSPOSE(
        _xlfn.UNIQUE(EDU_DOCENTE[NOMBRE_DOCENTE]
        )
    )
)</f>
        <v>ALCIVAR CEDEÑO BEATRIZ ISABEL</v>
      </c>
      <c r="EB578" t="str">
        <v>ALCIVAR VERA GEMA MICHELLE</v>
      </c>
      <c r="EC578" t="str">
        <v>ARAUZ CHAVEZ MARIO ROBERTO</v>
      </c>
      <c r="ED578" t="str">
        <v>BAILON LOURIDO WALTER ALBERTO</v>
      </c>
      <c r="EE578" t="str">
        <v>CALDERERO VILLAGOMEZ ERICK ANTONIO</v>
      </c>
      <c r="EF578" t="str">
        <v>CASTILLO GARCIA PAOLA GERMANIA</v>
      </c>
      <c r="EG578" t="str">
        <v>CEDEÑO CHOEZ PEDRO JAVIER</v>
      </c>
      <c r="EH578" t="str">
        <v>CEVALLOS HOPPE JUAN CARLOS</v>
      </c>
      <c r="EI578" t="str">
        <v>DELGADO CHAVEZ MARIA IRASEMA</v>
      </c>
      <c r="EJ578" t="str">
        <v>DUARTE VALENCIA CRISTHIAN DARIO</v>
      </c>
      <c r="EK578" t="str">
        <v>FORTTY BARBERAN DENNY ALEXANDER</v>
      </c>
      <c r="EL578" t="str">
        <v>GUTIERREZ ZAMBRANO CARMEN EBELINA</v>
      </c>
      <c r="EM578" t="str">
        <v>INTRIAGO MOLINA GEMA VALERIA</v>
      </c>
      <c r="EN578" t="str">
        <v>LINO VELEZ LEONEL LIVINGTON</v>
      </c>
      <c r="EO578" t="str">
        <v>LOOR ALCIVAR MARIA ILIANA</v>
      </c>
      <c r="EP578" t="str">
        <v>LOOR MIELES TANIA JACQUELINE</v>
      </c>
      <c r="EQ578" t="str">
        <v>LOOR SOLORZANO ROSA MARIA</v>
      </c>
      <c r="ER578" t="str">
        <v>LOPEZ DELGADO RONALD MAURICIO</v>
      </c>
      <c r="ES578" t="str">
        <v>MACIAS VALENCIA DAVID GABRIEL</v>
      </c>
      <c r="ET578" t="str">
        <v>MENDOZA ZAMORA WALTER MANUEL</v>
      </c>
      <c r="EU578" t="str">
        <v>MOLINA CEVALLOS MARIA LORENA</v>
      </c>
      <c r="EV578" t="str">
        <v>MURILLO DELGADO ISAAC GABRIEL</v>
      </c>
      <c r="EW578" t="str">
        <v>ANGULO MURILLO NAVIRA GISSELA</v>
      </c>
      <c r="EX578" t="str">
        <v>OCHOA SOLEDISPA NESTOR IVAN</v>
      </c>
      <c r="EY578" t="str">
        <v>PARRAGA FRANCO SILVANA MARIELA</v>
      </c>
      <c r="EZ578" t="str">
        <v>PINARGOTE VASQUEZ NANCY FABIOLA</v>
      </c>
      <c r="FA578" t="str">
        <v>REYES VELEZ PEDRO ENRIQUE</v>
      </c>
      <c r="FB578" t="str">
        <v>SAN ANDRES HORMAZA DALLAS CECILIA</v>
      </c>
      <c r="FC578" t="str">
        <v>SORNOZA ZAMORA JUAN CARLOS</v>
      </c>
      <c r="FD578" t="str">
        <v>TOMALA PINTO JESUS JACINTO</v>
      </c>
      <c r="FE578" t="str">
        <v>VALLE JARAMILLO SILVIA ARACELY</v>
      </c>
      <c r="FF578" t="str">
        <v>VELÁSQUEZ BRAVO IRMA KATHERINE</v>
      </c>
      <c r="FG578" t="str">
        <v>VELEZ MENDOZA LAYSY VALERIA</v>
      </c>
      <c r="FH578" t="str">
        <v>VINUEZA TELLO SHIRLEY ELIZABETH</v>
      </c>
      <c r="FI578" t="str">
        <v>ZAMBRANO ALCIVAR NILDA ISABEL</v>
      </c>
      <c r="FJ578" t="str">
        <v>ZAMBRANO LOOR RITA MAYDA</v>
      </c>
      <c r="FK578" t="str">
        <v>ZAMBRANO VERA MONICA JANETH</v>
      </c>
      <c r="FL578" t="str">
        <v>VERA DELGADO BRYAN ADRIÁN</v>
      </c>
      <c r="FM578" t="str">
        <v>MORAN GONZALES DAVID RENATO</v>
      </c>
      <c r="FN578">
        <v>0</v>
      </c>
    </row>
    <row r="579" spans="1:170" ht="20.25" customHeight="1">
      <c r="A579" s="4" t="str" cm="1">
        <f t="array" ref="A579">TRANSPOSE(_xlfn.UNIQUE(_xlfn._xlws.FILTER(MAE_ASIGNATURA[ID_NIVEL],MAE_ASIGNATURA[ID_CARRERA]=ASIGNACION!$C579,"No existe información")))</f>
        <v>No existe información</v>
      </c>
      <c r="S579" s="4" t="str" cm="1">
        <f t="array" ref="S579">TRANSPOSE(_xlfn.UNIQUE(_xlfn._xlws.FILTER(MAE_ASIGNATURA[NOM_ASIG],(MAE_ASIGNATURA[ID_NIVEL]=ASIGNACION!$D579)*(MAE_ASIGNATURA[ID_CARRERA]=ASIGNACION!$C579),"No existe información")))</f>
        <v>No existe información</v>
      </c>
      <c r="BD579" s="4" t="str" cm="1">
        <f t="array" ref="BD579">TRANSPOSE(_xlfn.UNIQUE(_xlfn._xlws.FILTER(DET_ASIG[DETALLADO],(DET_ASIG[ID_CARRERA]=ASIGNACION!$C579)*(DET_ASIG[NIVEL]=ASIGNACION!$D579)*(DET_ASIG[ID_ASIG]=ASIGNACION!$G579),"No existe información")))</f>
        <v>No existe información</v>
      </c>
      <c r="BQ579" s="5" t="str" cm="1">
        <f t="array" ref="BQ579">IFERROR(
    TRANSPOSE(
        _xlfn.UNIQUE(
            _xlfn._xlws.FILTER(MAESTRIA_DETALLADO[MAESTRIA],
                ISNUMBER(MATCH(MAESTRIA_DETALLADO[CAMPO_DETALLADO],
                BD579:BP579,0))
            )
        )
    ),IF(BD579="ACTIVIDAD","DOCENCIA",""))</f>
        <v/>
      </c>
      <c r="EA579" s="5" t="str" cm="1">
        <f t="array" ref="EA579:FN579">IF(
    ASIGNACION!I579="SI",
    IFERROR(
        TRANSPOSE(
            _xlfn.UNIQUE(
                _xlfn._xlws.FILTER(EDU_DOCENTE[NOMBRE_DOCENTE],
                    ISNUMBER(MATCH(EDU_DOCENTE[MAESTRIA],
                    BQ579:DY579,0))
                )
            )
        ),
        ""
    ),
    TRANSPOSE(
        _xlfn.UNIQUE(EDU_DOCENTE[NOMBRE_DOCENTE]
        )
    )
)</f>
        <v>ALCIVAR CEDEÑO BEATRIZ ISABEL</v>
      </c>
      <c r="EB579" t="str">
        <v>ALCIVAR VERA GEMA MICHELLE</v>
      </c>
      <c r="EC579" t="str">
        <v>ARAUZ CHAVEZ MARIO ROBERTO</v>
      </c>
      <c r="ED579" t="str">
        <v>BAILON LOURIDO WALTER ALBERTO</v>
      </c>
      <c r="EE579" t="str">
        <v>CALDERERO VILLAGOMEZ ERICK ANTONIO</v>
      </c>
      <c r="EF579" t="str">
        <v>CASTILLO GARCIA PAOLA GERMANIA</v>
      </c>
      <c r="EG579" t="str">
        <v>CEDEÑO CHOEZ PEDRO JAVIER</v>
      </c>
      <c r="EH579" t="str">
        <v>CEVALLOS HOPPE JUAN CARLOS</v>
      </c>
      <c r="EI579" t="str">
        <v>DELGADO CHAVEZ MARIA IRASEMA</v>
      </c>
      <c r="EJ579" t="str">
        <v>DUARTE VALENCIA CRISTHIAN DARIO</v>
      </c>
      <c r="EK579" t="str">
        <v>FORTTY BARBERAN DENNY ALEXANDER</v>
      </c>
      <c r="EL579" t="str">
        <v>GUTIERREZ ZAMBRANO CARMEN EBELINA</v>
      </c>
      <c r="EM579" t="str">
        <v>INTRIAGO MOLINA GEMA VALERIA</v>
      </c>
      <c r="EN579" t="str">
        <v>LINO VELEZ LEONEL LIVINGTON</v>
      </c>
      <c r="EO579" t="str">
        <v>LOOR ALCIVAR MARIA ILIANA</v>
      </c>
      <c r="EP579" t="str">
        <v>LOOR MIELES TANIA JACQUELINE</v>
      </c>
      <c r="EQ579" t="str">
        <v>LOOR SOLORZANO ROSA MARIA</v>
      </c>
      <c r="ER579" t="str">
        <v>LOPEZ DELGADO RONALD MAURICIO</v>
      </c>
      <c r="ES579" t="str">
        <v>MACIAS VALENCIA DAVID GABRIEL</v>
      </c>
      <c r="ET579" t="str">
        <v>MENDOZA ZAMORA WALTER MANUEL</v>
      </c>
      <c r="EU579" t="str">
        <v>MOLINA CEVALLOS MARIA LORENA</v>
      </c>
      <c r="EV579" t="str">
        <v>MURILLO DELGADO ISAAC GABRIEL</v>
      </c>
      <c r="EW579" t="str">
        <v>ANGULO MURILLO NAVIRA GISSELA</v>
      </c>
      <c r="EX579" t="str">
        <v>OCHOA SOLEDISPA NESTOR IVAN</v>
      </c>
      <c r="EY579" t="str">
        <v>PARRAGA FRANCO SILVANA MARIELA</v>
      </c>
      <c r="EZ579" t="str">
        <v>PINARGOTE VASQUEZ NANCY FABIOLA</v>
      </c>
      <c r="FA579" t="str">
        <v>REYES VELEZ PEDRO ENRIQUE</v>
      </c>
      <c r="FB579" t="str">
        <v>SAN ANDRES HORMAZA DALLAS CECILIA</v>
      </c>
      <c r="FC579" t="str">
        <v>SORNOZA ZAMORA JUAN CARLOS</v>
      </c>
      <c r="FD579" t="str">
        <v>TOMALA PINTO JESUS JACINTO</v>
      </c>
      <c r="FE579" t="str">
        <v>VALLE JARAMILLO SILVIA ARACELY</v>
      </c>
      <c r="FF579" t="str">
        <v>VELÁSQUEZ BRAVO IRMA KATHERINE</v>
      </c>
      <c r="FG579" t="str">
        <v>VELEZ MENDOZA LAYSY VALERIA</v>
      </c>
      <c r="FH579" t="str">
        <v>VINUEZA TELLO SHIRLEY ELIZABETH</v>
      </c>
      <c r="FI579" t="str">
        <v>ZAMBRANO ALCIVAR NILDA ISABEL</v>
      </c>
      <c r="FJ579" t="str">
        <v>ZAMBRANO LOOR RITA MAYDA</v>
      </c>
      <c r="FK579" t="str">
        <v>ZAMBRANO VERA MONICA JANETH</v>
      </c>
      <c r="FL579" t="str">
        <v>VERA DELGADO BRYAN ADRIÁN</v>
      </c>
      <c r="FM579" t="str">
        <v>MORAN GONZALES DAVID RENATO</v>
      </c>
      <c r="FN579">
        <v>0</v>
      </c>
    </row>
    <row r="580" spans="1:170" ht="20.25" customHeight="1">
      <c r="A580" s="4" t="str" cm="1">
        <f t="array" ref="A580">TRANSPOSE(_xlfn.UNIQUE(_xlfn._xlws.FILTER(MAE_ASIGNATURA[ID_NIVEL],MAE_ASIGNATURA[ID_CARRERA]=ASIGNACION!$C580,"No existe información")))</f>
        <v>No existe información</v>
      </c>
      <c r="S580" s="4" t="str" cm="1">
        <f t="array" ref="S580">TRANSPOSE(_xlfn.UNIQUE(_xlfn._xlws.FILTER(MAE_ASIGNATURA[NOM_ASIG],(MAE_ASIGNATURA[ID_NIVEL]=ASIGNACION!$D580)*(MAE_ASIGNATURA[ID_CARRERA]=ASIGNACION!$C580),"No existe información")))</f>
        <v>No existe información</v>
      </c>
      <c r="BD580" s="4" t="str" cm="1">
        <f t="array" ref="BD580">TRANSPOSE(_xlfn.UNIQUE(_xlfn._xlws.FILTER(DET_ASIG[DETALLADO],(DET_ASIG[ID_CARRERA]=ASIGNACION!$C580)*(DET_ASIG[NIVEL]=ASIGNACION!$D580)*(DET_ASIG[ID_ASIG]=ASIGNACION!$G580),"No existe información")))</f>
        <v>No existe información</v>
      </c>
      <c r="BQ580" s="5" t="str" cm="1">
        <f t="array" ref="BQ580">IFERROR(
    TRANSPOSE(
        _xlfn.UNIQUE(
            _xlfn._xlws.FILTER(MAESTRIA_DETALLADO[MAESTRIA],
                ISNUMBER(MATCH(MAESTRIA_DETALLADO[CAMPO_DETALLADO],
                BD580:BP580,0))
            )
        )
    ),IF(BD580="ACTIVIDAD","DOCENCIA",""))</f>
        <v/>
      </c>
      <c r="EA580" s="5" t="str" cm="1">
        <f t="array" ref="EA580:FN580">IF(
    ASIGNACION!I580="SI",
    IFERROR(
        TRANSPOSE(
            _xlfn.UNIQUE(
                _xlfn._xlws.FILTER(EDU_DOCENTE[NOMBRE_DOCENTE],
                    ISNUMBER(MATCH(EDU_DOCENTE[MAESTRIA],
                    BQ580:DY580,0))
                )
            )
        ),
        ""
    ),
    TRANSPOSE(
        _xlfn.UNIQUE(EDU_DOCENTE[NOMBRE_DOCENTE]
        )
    )
)</f>
        <v>ALCIVAR CEDEÑO BEATRIZ ISABEL</v>
      </c>
      <c r="EB580" t="str">
        <v>ALCIVAR VERA GEMA MICHELLE</v>
      </c>
      <c r="EC580" t="str">
        <v>ARAUZ CHAVEZ MARIO ROBERTO</v>
      </c>
      <c r="ED580" t="str">
        <v>BAILON LOURIDO WALTER ALBERTO</v>
      </c>
      <c r="EE580" t="str">
        <v>CALDERERO VILLAGOMEZ ERICK ANTONIO</v>
      </c>
      <c r="EF580" t="str">
        <v>CASTILLO GARCIA PAOLA GERMANIA</v>
      </c>
      <c r="EG580" t="str">
        <v>CEDEÑO CHOEZ PEDRO JAVIER</v>
      </c>
      <c r="EH580" t="str">
        <v>CEVALLOS HOPPE JUAN CARLOS</v>
      </c>
      <c r="EI580" t="str">
        <v>DELGADO CHAVEZ MARIA IRASEMA</v>
      </c>
      <c r="EJ580" t="str">
        <v>DUARTE VALENCIA CRISTHIAN DARIO</v>
      </c>
      <c r="EK580" t="str">
        <v>FORTTY BARBERAN DENNY ALEXANDER</v>
      </c>
      <c r="EL580" t="str">
        <v>GUTIERREZ ZAMBRANO CARMEN EBELINA</v>
      </c>
      <c r="EM580" t="str">
        <v>INTRIAGO MOLINA GEMA VALERIA</v>
      </c>
      <c r="EN580" t="str">
        <v>LINO VELEZ LEONEL LIVINGTON</v>
      </c>
      <c r="EO580" t="str">
        <v>LOOR ALCIVAR MARIA ILIANA</v>
      </c>
      <c r="EP580" t="str">
        <v>LOOR MIELES TANIA JACQUELINE</v>
      </c>
      <c r="EQ580" t="str">
        <v>LOOR SOLORZANO ROSA MARIA</v>
      </c>
      <c r="ER580" t="str">
        <v>LOPEZ DELGADO RONALD MAURICIO</v>
      </c>
      <c r="ES580" t="str">
        <v>MACIAS VALENCIA DAVID GABRIEL</v>
      </c>
      <c r="ET580" t="str">
        <v>MENDOZA ZAMORA WALTER MANUEL</v>
      </c>
      <c r="EU580" t="str">
        <v>MOLINA CEVALLOS MARIA LORENA</v>
      </c>
      <c r="EV580" t="str">
        <v>MURILLO DELGADO ISAAC GABRIEL</v>
      </c>
      <c r="EW580" t="str">
        <v>ANGULO MURILLO NAVIRA GISSELA</v>
      </c>
      <c r="EX580" t="str">
        <v>OCHOA SOLEDISPA NESTOR IVAN</v>
      </c>
      <c r="EY580" t="str">
        <v>PARRAGA FRANCO SILVANA MARIELA</v>
      </c>
      <c r="EZ580" t="str">
        <v>PINARGOTE VASQUEZ NANCY FABIOLA</v>
      </c>
      <c r="FA580" t="str">
        <v>REYES VELEZ PEDRO ENRIQUE</v>
      </c>
      <c r="FB580" t="str">
        <v>SAN ANDRES HORMAZA DALLAS CECILIA</v>
      </c>
      <c r="FC580" t="str">
        <v>SORNOZA ZAMORA JUAN CARLOS</v>
      </c>
      <c r="FD580" t="str">
        <v>TOMALA PINTO JESUS JACINTO</v>
      </c>
      <c r="FE580" t="str">
        <v>VALLE JARAMILLO SILVIA ARACELY</v>
      </c>
      <c r="FF580" t="str">
        <v>VELÁSQUEZ BRAVO IRMA KATHERINE</v>
      </c>
      <c r="FG580" t="str">
        <v>VELEZ MENDOZA LAYSY VALERIA</v>
      </c>
      <c r="FH580" t="str">
        <v>VINUEZA TELLO SHIRLEY ELIZABETH</v>
      </c>
      <c r="FI580" t="str">
        <v>ZAMBRANO ALCIVAR NILDA ISABEL</v>
      </c>
      <c r="FJ580" t="str">
        <v>ZAMBRANO LOOR RITA MAYDA</v>
      </c>
      <c r="FK580" t="str">
        <v>ZAMBRANO VERA MONICA JANETH</v>
      </c>
      <c r="FL580" t="str">
        <v>VERA DELGADO BRYAN ADRIÁN</v>
      </c>
      <c r="FM580" t="str">
        <v>MORAN GONZALES DAVID RENATO</v>
      </c>
      <c r="FN580">
        <v>0</v>
      </c>
    </row>
    <row r="581" spans="1:170" ht="20.25" customHeight="1">
      <c r="A581" s="4" t="str" cm="1">
        <f t="array" ref="A581">TRANSPOSE(_xlfn.UNIQUE(_xlfn._xlws.FILTER(MAE_ASIGNATURA[ID_NIVEL],MAE_ASIGNATURA[ID_CARRERA]=ASIGNACION!$C581,"No existe información")))</f>
        <v>No existe información</v>
      </c>
      <c r="S581" s="4" t="str" cm="1">
        <f t="array" ref="S581">TRANSPOSE(_xlfn.UNIQUE(_xlfn._xlws.FILTER(MAE_ASIGNATURA[NOM_ASIG],(MAE_ASIGNATURA[ID_NIVEL]=ASIGNACION!$D581)*(MAE_ASIGNATURA[ID_CARRERA]=ASIGNACION!$C581),"No existe información")))</f>
        <v>No existe información</v>
      </c>
      <c r="BD581" s="4" t="str" cm="1">
        <f t="array" ref="BD581">TRANSPOSE(_xlfn.UNIQUE(_xlfn._xlws.FILTER(DET_ASIG[DETALLADO],(DET_ASIG[ID_CARRERA]=ASIGNACION!$C581)*(DET_ASIG[NIVEL]=ASIGNACION!$D581)*(DET_ASIG[ID_ASIG]=ASIGNACION!$G581),"No existe información")))</f>
        <v>No existe información</v>
      </c>
      <c r="BQ581" s="5" t="str" cm="1">
        <f t="array" ref="BQ581">IFERROR(
    TRANSPOSE(
        _xlfn.UNIQUE(
            _xlfn._xlws.FILTER(MAESTRIA_DETALLADO[MAESTRIA],
                ISNUMBER(MATCH(MAESTRIA_DETALLADO[CAMPO_DETALLADO],
                BD581:BP581,0))
            )
        )
    ),IF(BD581="ACTIVIDAD","DOCENCIA",""))</f>
        <v/>
      </c>
      <c r="EA581" s="5" t="str" cm="1">
        <f t="array" ref="EA581:FN581">IF(
    ASIGNACION!I581="SI",
    IFERROR(
        TRANSPOSE(
            _xlfn.UNIQUE(
                _xlfn._xlws.FILTER(EDU_DOCENTE[NOMBRE_DOCENTE],
                    ISNUMBER(MATCH(EDU_DOCENTE[MAESTRIA],
                    BQ581:DY581,0))
                )
            )
        ),
        ""
    ),
    TRANSPOSE(
        _xlfn.UNIQUE(EDU_DOCENTE[NOMBRE_DOCENTE]
        )
    )
)</f>
        <v>ALCIVAR CEDEÑO BEATRIZ ISABEL</v>
      </c>
      <c r="EB581" t="str">
        <v>ALCIVAR VERA GEMA MICHELLE</v>
      </c>
      <c r="EC581" t="str">
        <v>ARAUZ CHAVEZ MARIO ROBERTO</v>
      </c>
      <c r="ED581" t="str">
        <v>BAILON LOURIDO WALTER ALBERTO</v>
      </c>
      <c r="EE581" t="str">
        <v>CALDERERO VILLAGOMEZ ERICK ANTONIO</v>
      </c>
      <c r="EF581" t="str">
        <v>CASTILLO GARCIA PAOLA GERMANIA</v>
      </c>
      <c r="EG581" t="str">
        <v>CEDEÑO CHOEZ PEDRO JAVIER</v>
      </c>
      <c r="EH581" t="str">
        <v>CEVALLOS HOPPE JUAN CARLOS</v>
      </c>
      <c r="EI581" t="str">
        <v>DELGADO CHAVEZ MARIA IRASEMA</v>
      </c>
      <c r="EJ581" t="str">
        <v>DUARTE VALENCIA CRISTHIAN DARIO</v>
      </c>
      <c r="EK581" t="str">
        <v>FORTTY BARBERAN DENNY ALEXANDER</v>
      </c>
      <c r="EL581" t="str">
        <v>GUTIERREZ ZAMBRANO CARMEN EBELINA</v>
      </c>
      <c r="EM581" t="str">
        <v>INTRIAGO MOLINA GEMA VALERIA</v>
      </c>
      <c r="EN581" t="str">
        <v>LINO VELEZ LEONEL LIVINGTON</v>
      </c>
      <c r="EO581" t="str">
        <v>LOOR ALCIVAR MARIA ILIANA</v>
      </c>
      <c r="EP581" t="str">
        <v>LOOR MIELES TANIA JACQUELINE</v>
      </c>
      <c r="EQ581" t="str">
        <v>LOOR SOLORZANO ROSA MARIA</v>
      </c>
      <c r="ER581" t="str">
        <v>LOPEZ DELGADO RONALD MAURICIO</v>
      </c>
      <c r="ES581" t="str">
        <v>MACIAS VALENCIA DAVID GABRIEL</v>
      </c>
      <c r="ET581" t="str">
        <v>MENDOZA ZAMORA WALTER MANUEL</v>
      </c>
      <c r="EU581" t="str">
        <v>MOLINA CEVALLOS MARIA LORENA</v>
      </c>
      <c r="EV581" t="str">
        <v>MURILLO DELGADO ISAAC GABRIEL</v>
      </c>
      <c r="EW581" t="str">
        <v>ANGULO MURILLO NAVIRA GISSELA</v>
      </c>
      <c r="EX581" t="str">
        <v>OCHOA SOLEDISPA NESTOR IVAN</v>
      </c>
      <c r="EY581" t="str">
        <v>PARRAGA FRANCO SILVANA MARIELA</v>
      </c>
      <c r="EZ581" t="str">
        <v>PINARGOTE VASQUEZ NANCY FABIOLA</v>
      </c>
      <c r="FA581" t="str">
        <v>REYES VELEZ PEDRO ENRIQUE</v>
      </c>
      <c r="FB581" t="str">
        <v>SAN ANDRES HORMAZA DALLAS CECILIA</v>
      </c>
      <c r="FC581" t="str">
        <v>SORNOZA ZAMORA JUAN CARLOS</v>
      </c>
      <c r="FD581" t="str">
        <v>TOMALA PINTO JESUS JACINTO</v>
      </c>
      <c r="FE581" t="str">
        <v>VALLE JARAMILLO SILVIA ARACELY</v>
      </c>
      <c r="FF581" t="str">
        <v>VELÁSQUEZ BRAVO IRMA KATHERINE</v>
      </c>
      <c r="FG581" t="str">
        <v>VELEZ MENDOZA LAYSY VALERIA</v>
      </c>
      <c r="FH581" t="str">
        <v>VINUEZA TELLO SHIRLEY ELIZABETH</v>
      </c>
      <c r="FI581" t="str">
        <v>ZAMBRANO ALCIVAR NILDA ISABEL</v>
      </c>
      <c r="FJ581" t="str">
        <v>ZAMBRANO LOOR RITA MAYDA</v>
      </c>
      <c r="FK581" t="str">
        <v>ZAMBRANO VERA MONICA JANETH</v>
      </c>
      <c r="FL581" t="str">
        <v>VERA DELGADO BRYAN ADRIÁN</v>
      </c>
      <c r="FM581" t="str">
        <v>MORAN GONZALES DAVID RENATO</v>
      </c>
      <c r="FN581">
        <v>0</v>
      </c>
    </row>
    <row r="582" spans="1:170" ht="20.25" customHeight="1">
      <c r="A582" s="4" t="str" cm="1">
        <f t="array" ref="A582">TRANSPOSE(_xlfn.UNIQUE(_xlfn._xlws.FILTER(MAE_ASIGNATURA[ID_NIVEL],MAE_ASIGNATURA[ID_CARRERA]=ASIGNACION!$C582,"No existe información")))</f>
        <v>No existe información</v>
      </c>
      <c r="S582" s="4" t="str" cm="1">
        <f t="array" ref="S582">TRANSPOSE(_xlfn.UNIQUE(_xlfn._xlws.FILTER(MAE_ASIGNATURA[NOM_ASIG],(MAE_ASIGNATURA[ID_NIVEL]=ASIGNACION!$D582)*(MAE_ASIGNATURA[ID_CARRERA]=ASIGNACION!$C582),"No existe información")))</f>
        <v>No existe información</v>
      </c>
      <c r="BD582" s="4" t="str" cm="1">
        <f t="array" ref="BD582">TRANSPOSE(_xlfn.UNIQUE(_xlfn._xlws.FILTER(DET_ASIG[DETALLADO],(DET_ASIG[ID_CARRERA]=ASIGNACION!$C582)*(DET_ASIG[NIVEL]=ASIGNACION!$D582)*(DET_ASIG[ID_ASIG]=ASIGNACION!$G582),"No existe información")))</f>
        <v>No existe información</v>
      </c>
      <c r="BQ582" s="5" t="str" cm="1">
        <f t="array" ref="BQ582">IFERROR(
    TRANSPOSE(
        _xlfn.UNIQUE(
            _xlfn._xlws.FILTER(MAESTRIA_DETALLADO[MAESTRIA],
                ISNUMBER(MATCH(MAESTRIA_DETALLADO[CAMPO_DETALLADO],
                BD582:BP582,0))
            )
        )
    ),IF(BD582="ACTIVIDAD","DOCENCIA",""))</f>
        <v/>
      </c>
      <c r="EA582" s="5" t="str" cm="1">
        <f t="array" ref="EA582:FN582">IF(
    ASIGNACION!I582="SI",
    IFERROR(
        TRANSPOSE(
            _xlfn.UNIQUE(
                _xlfn._xlws.FILTER(EDU_DOCENTE[NOMBRE_DOCENTE],
                    ISNUMBER(MATCH(EDU_DOCENTE[MAESTRIA],
                    BQ582:DY582,0))
                )
            )
        ),
        ""
    ),
    TRANSPOSE(
        _xlfn.UNIQUE(EDU_DOCENTE[NOMBRE_DOCENTE]
        )
    )
)</f>
        <v>ALCIVAR CEDEÑO BEATRIZ ISABEL</v>
      </c>
      <c r="EB582" t="str">
        <v>ALCIVAR VERA GEMA MICHELLE</v>
      </c>
      <c r="EC582" t="str">
        <v>ARAUZ CHAVEZ MARIO ROBERTO</v>
      </c>
      <c r="ED582" t="str">
        <v>BAILON LOURIDO WALTER ALBERTO</v>
      </c>
      <c r="EE582" t="str">
        <v>CALDERERO VILLAGOMEZ ERICK ANTONIO</v>
      </c>
      <c r="EF582" t="str">
        <v>CASTILLO GARCIA PAOLA GERMANIA</v>
      </c>
      <c r="EG582" t="str">
        <v>CEDEÑO CHOEZ PEDRO JAVIER</v>
      </c>
      <c r="EH582" t="str">
        <v>CEVALLOS HOPPE JUAN CARLOS</v>
      </c>
      <c r="EI582" t="str">
        <v>DELGADO CHAVEZ MARIA IRASEMA</v>
      </c>
      <c r="EJ582" t="str">
        <v>DUARTE VALENCIA CRISTHIAN DARIO</v>
      </c>
      <c r="EK582" t="str">
        <v>FORTTY BARBERAN DENNY ALEXANDER</v>
      </c>
      <c r="EL582" t="str">
        <v>GUTIERREZ ZAMBRANO CARMEN EBELINA</v>
      </c>
      <c r="EM582" t="str">
        <v>INTRIAGO MOLINA GEMA VALERIA</v>
      </c>
      <c r="EN582" t="str">
        <v>LINO VELEZ LEONEL LIVINGTON</v>
      </c>
      <c r="EO582" t="str">
        <v>LOOR ALCIVAR MARIA ILIANA</v>
      </c>
      <c r="EP582" t="str">
        <v>LOOR MIELES TANIA JACQUELINE</v>
      </c>
      <c r="EQ582" t="str">
        <v>LOOR SOLORZANO ROSA MARIA</v>
      </c>
      <c r="ER582" t="str">
        <v>LOPEZ DELGADO RONALD MAURICIO</v>
      </c>
      <c r="ES582" t="str">
        <v>MACIAS VALENCIA DAVID GABRIEL</v>
      </c>
      <c r="ET582" t="str">
        <v>MENDOZA ZAMORA WALTER MANUEL</v>
      </c>
      <c r="EU582" t="str">
        <v>MOLINA CEVALLOS MARIA LORENA</v>
      </c>
      <c r="EV582" t="str">
        <v>MURILLO DELGADO ISAAC GABRIEL</v>
      </c>
      <c r="EW582" t="str">
        <v>ANGULO MURILLO NAVIRA GISSELA</v>
      </c>
      <c r="EX582" t="str">
        <v>OCHOA SOLEDISPA NESTOR IVAN</v>
      </c>
      <c r="EY582" t="str">
        <v>PARRAGA FRANCO SILVANA MARIELA</v>
      </c>
      <c r="EZ582" t="str">
        <v>PINARGOTE VASQUEZ NANCY FABIOLA</v>
      </c>
      <c r="FA582" t="str">
        <v>REYES VELEZ PEDRO ENRIQUE</v>
      </c>
      <c r="FB582" t="str">
        <v>SAN ANDRES HORMAZA DALLAS CECILIA</v>
      </c>
      <c r="FC582" t="str">
        <v>SORNOZA ZAMORA JUAN CARLOS</v>
      </c>
      <c r="FD582" t="str">
        <v>TOMALA PINTO JESUS JACINTO</v>
      </c>
      <c r="FE582" t="str">
        <v>VALLE JARAMILLO SILVIA ARACELY</v>
      </c>
      <c r="FF582" t="str">
        <v>VELÁSQUEZ BRAVO IRMA KATHERINE</v>
      </c>
      <c r="FG582" t="str">
        <v>VELEZ MENDOZA LAYSY VALERIA</v>
      </c>
      <c r="FH582" t="str">
        <v>VINUEZA TELLO SHIRLEY ELIZABETH</v>
      </c>
      <c r="FI582" t="str">
        <v>ZAMBRANO ALCIVAR NILDA ISABEL</v>
      </c>
      <c r="FJ582" t="str">
        <v>ZAMBRANO LOOR RITA MAYDA</v>
      </c>
      <c r="FK582" t="str">
        <v>ZAMBRANO VERA MONICA JANETH</v>
      </c>
      <c r="FL582" t="str">
        <v>VERA DELGADO BRYAN ADRIÁN</v>
      </c>
      <c r="FM582" t="str">
        <v>MORAN GONZALES DAVID RENATO</v>
      </c>
      <c r="FN582">
        <v>0</v>
      </c>
    </row>
    <row r="583" spans="1:170" ht="20.25" customHeight="1">
      <c r="A583" s="4" t="str" cm="1">
        <f t="array" ref="A583">TRANSPOSE(_xlfn.UNIQUE(_xlfn._xlws.FILTER(MAE_ASIGNATURA[ID_NIVEL],MAE_ASIGNATURA[ID_CARRERA]=ASIGNACION!$C583,"No existe información")))</f>
        <v>No existe información</v>
      </c>
      <c r="S583" s="4" t="str" cm="1">
        <f t="array" ref="S583">TRANSPOSE(_xlfn.UNIQUE(_xlfn._xlws.FILTER(MAE_ASIGNATURA[NOM_ASIG],(MAE_ASIGNATURA[ID_NIVEL]=ASIGNACION!$D583)*(MAE_ASIGNATURA[ID_CARRERA]=ASIGNACION!$C583),"No existe información")))</f>
        <v>No existe información</v>
      </c>
      <c r="BD583" s="4" t="str" cm="1">
        <f t="array" ref="BD583">TRANSPOSE(_xlfn.UNIQUE(_xlfn._xlws.FILTER(DET_ASIG[DETALLADO],(DET_ASIG[ID_CARRERA]=ASIGNACION!$C583)*(DET_ASIG[NIVEL]=ASIGNACION!$D583)*(DET_ASIG[ID_ASIG]=ASIGNACION!$G583),"No existe información")))</f>
        <v>No existe información</v>
      </c>
      <c r="BQ583" s="5" t="str" cm="1">
        <f t="array" ref="BQ583">IFERROR(
    TRANSPOSE(
        _xlfn.UNIQUE(
            _xlfn._xlws.FILTER(MAESTRIA_DETALLADO[MAESTRIA],
                ISNUMBER(MATCH(MAESTRIA_DETALLADO[CAMPO_DETALLADO],
                BD583:BP583,0))
            )
        )
    ),IF(BD583="ACTIVIDAD","DOCENCIA",""))</f>
        <v/>
      </c>
      <c r="EA583" s="5" t="str" cm="1">
        <f t="array" ref="EA583:FN583">IF(
    ASIGNACION!I583="SI",
    IFERROR(
        TRANSPOSE(
            _xlfn.UNIQUE(
                _xlfn._xlws.FILTER(EDU_DOCENTE[NOMBRE_DOCENTE],
                    ISNUMBER(MATCH(EDU_DOCENTE[MAESTRIA],
                    BQ583:DY583,0))
                )
            )
        ),
        ""
    ),
    TRANSPOSE(
        _xlfn.UNIQUE(EDU_DOCENTE[NOMBRE_DOCENTE]
        )
    )
)</f>
        <v>ALCIVAR CEDEÑO BEATRIZ ISABEL</v>
      </c>
      <c r="EB583" t="str">
        <v>ALCIVAR VERA GEMA MICHELLE</v>
      </c>
      <c r="EC583" t="str">
        <v>ARAUZ CHAVEZ MARIO ROBERTO</v>
      </c>
      <c r="ED583" t="str">
        <v>BAILON LOURIDO WALTER ALBERTO</v>
      </c>
      <c r="EE583" t="str">
        <v>CALDERERO VILLAGOMEZ ERICK ANTONIO</v>
      </c>
      <c r="EF583" t="str">
        <v>CASTILLO GARCIA PAOLA GERMANIA</v>
      </c>
      <c r="EG583" t="str">
        <v>CEDEÑO CHOEZ PEDRO JAVIER</v>
      </c>
      <c r="EH583" t="str">
        <v>CEVALLOS HOPPE JUAN CARLOS</v>
      </c>
      <c r="EI583" t="str">
        <v>DELGADO CHAVEZ MARIA IRASEMA</v>
      </c>
      <c r="EJ583" t="str">
        <v>DUARTE VALENCIA CRISTHIAN DARIO</v>
      </c>
      <c r="EK583" t="str">
        <v>FORTTY BARBERAN DENNY ALEXANDER</v>
      </c>
      <c r="EL583" t="str">
        <v>GUTIERREZ ZAMBRANO CARMEN EBELINA</v>
      </c>
      <c r="EM583" t="str">
        <v>INTRIAGO MOLINA GEMA VALERIA</v>
      </c>
      <c r="EN583" t="str">
        <v>LINO VELEZ LEONEL LIVINGTON</v>
      </c>
      <c r="EO583" t="str">
        <v>LOOR ALCIVAR MARIA ILIANA</v>
      </c>
      <c r="EP583" t="str">
        <v>LOOR MIELES TANIA JACQUELINE</v>
      </c>
      <c r="EQ583" t="str">
        <v>LOOR SOLORZANO ROSA MARIA</v>
      </c>
      <c r="ER583" t="str">
        <v>LOPEZ DELGADO RONALD MAURICIO</v>
      </c>
      <c r="ES583" t="str">
        <v>MACIAS VALENCIA DAVID GABRIEL</v>
      </c>
      <c r="ET583" t="str">
        <v>MENDOZA ZAMORA WALTER MANUEL</v>
      </c>
      <c r="EU583" t="str">
        <v>MOLINA CEVALLOS MARIA LORENA</v>
      </c>
      <c r="EV583" t="str">
        <v>MURILLO DELGADO ISAAC GABRIEL</v>
      </c>
      <c r="EW583" t="str">
        <v>ANGULO MURILLO NAVIRA GISSELA</v>
      </c>
      <c r="EX583" t="str">
        <v>OCHOA SOLEDISPA NESTOR IVAN</v>
      </c>
      <c r="EY583" t="str">
        <v>PARRAGA FRANCO SILVANA MARIELA</v>
      </c>
      <c r="EZ583" t="str">
        <v>PINARGOTE VASQUEZ NANCY FABIOLA</v>
      </c>
      <c r="FA583" t="str">
        <v>REYES VELEZ PEDRO ENRIQUE</v>
      </c>
      <c r="FB583" t="str">
        <v>SAN ANDRES HORMAZA DALLAS CECILIA</v>
      </c>
      <c r="FC583" t="str">
        <v>SORNOZA ZAMORA JUAN CARLOS</v>
      </c>
      <c r="FD583" t="str">
        <v>TOMALA PINTO JESUS JACINTO</v>
      </c>
      <c r="FE583" t="str">
        <v>VALLE JARAMILLO SILVIA ARACELY</v>
      </c>
      <c r="FF583" t="str">
        <v>VELÁSQUEZ BRAVO IRMA KATHERINE</v>
      </c>
      <c r="FG583" t="str">
        <v>VELEZ MENDOZA LAYSY VALERIA</v>
      </c>
      <c r="FH583" t="str">
        <v>VINUEZA TELLO SHIRLEY ELIZABETH</v>
      </c>
      <c r="FI583" t="str">
        <v>ZAMBRANO ALCIVAR NILDA ISABEL</v>
      </c>
      <c r="FJ583" t="str">
        <v>ZAMBRANO LOOR RITA MAYDA</v>
      </c>
      <c r="FK583" t="str">
        <v>ZAMBRANO VERA MONICA JANETH</v>
      </c>
      <c r="FL583" t="str">
        <v>VERA DELGADO BRYAN ADRIÁN</v>
      </c>
      <c r="FM583" t="str">
        <v>MORAN GONZALES DAVID RENATO</v>
      </c>
      <c r="FN583">
        <v>0</v>
      </c>
    </row>
    <row r="584" spans="1:170" ht="20.25" customHeight="1">
      <c r="A584" s="4" t="str" cm="1">
        <f t="array" ref="A584">TRANSPOSE(_xlfn.UNIQUE(_xlfn._xlws.FILTER(MAE_ASIGNATURA[ID_NIVEL],MAE_ASIGNATURA[ID_CARRERA]=ASIGNACION!$C584,"No existe información")))</f>
        <v>No existe información</v>
      </c>
      <c r="S584" s="4" t="str" cm="1">
        <f t="array" ref="S584">TRANSPOSE(_xlfn.UNIQUE(_xlfn._xlws.FILTER(MAE_ASIGNATURA[NOM_ASIG],(MAE_ASIGNATURA[ID_NIVEL]=ASIGNACION!$D584)*(MAE_ASIGNATURA[ID_CARRERA]=ASIGNACION!$C584),"No existe información")))</f>
        <v>No existe información</v>
      </c>
      <c r="BD584" s="4" t="str" cm="1">
        <f t="array" ref="BD584">TRANSPOSE(_xlfn.UNIQUE(_xlfn._xlws.FILTER(DET_ASIG[DETALLADO],(DET_ASIG[ID_CARRERA]=ASIGNACION!$C584)*(DET_ASIG[NIVEL]=ASIGNACION!$D584)*(DET_ASIG[ID_ASIG]=ASIGNACION!$G584),"No existe información")))</f>
        <v>No existe información</v>
      </c>
      <c r="BQ584" s="5" t="str" cm="1">
        <f t="array" ref="BQ584">IFERROR(
    TRANSPOSE(
        _xlfn.UNIQUE(
            _xlfn._xlws.FILTER(MAESTRIA_DETALLADO[MAESTRIA],
                ISNUMBER(MATCH(MAESTRIA_DETALLADO[CAMPO_DETALLADO],
                BD584:BP584,0))
            )
        )
    ),IF(BD584="ACTIVIDAD","DOCENCIA",""))</f>
        <v/>
      </c>
      <c r="EA584" s="5" t="str" cm="1">
        <f t="array" ref="EA584:FN584">IF(
    ASIGNACION!I584="SI",
    IFERROR(
        TRANSPOSE(
            _xlfn.UNIQUE(
                _xlfn._xlws.FILTER(EDU_DOCENTE[NOMBRE_DOCENTE],
                    ISNUMBER(MATCH(EDU_DOCENTE[MAESTRIA],
                    BQ584:DY584,0))
                )
            )
        ),
        ""
    ),
    TRANSPOSE(
        _xlfn.UNIQUE(EDU_DOCENTE[NOMBRE_DOCENTE]
        )
    )
)</f>
        <v>ALCIVAR CEDEÑO BEATRIZ ISABEL</v>
      </c>
      <c r="EB584" t="str">
        <v>ALCIVAR VERA GEMA MICHELLE</v>
      </c>
      <c r="EC584" t="str">
        <v>ARAUZ CHAVEZ MARIO ROBERTO</v>
      </c>
      <c r="ED584" t="str">
        <v>BAILON LOURIDO WALTER ALBERTO</v>
      </c>
      <c r="EE584" t="str">
        <v>CALDERERO VILLAGOMEZ ERICK ANTONIO</v>
      </c>
      <c r="EF584" t="str">
        <v>CASTILLO GARCIA PAOLA GERMANIA</v>
      </c>
      <c r="EG584" t="str">
        <v>CEDEÑO CHOEZ PEDRO JAVIER</v>
      </c>
      <c r="EH584" t="str">
        <v>CEVALLOS HOPPE JUAN CARLOS</v>
      </c>
      <c r="EI584" t="str">
        <v>DELGADO CHAVEZ MARIA IRASEMA</v>
      </c>
      <c r="EJ584" t="str">
        <v>DUARTE VALENCIA CRISTHIAN DARIO</v>
      </c>
      <c r="EK584" t="str">
        <v>FORTTY BARBERAN DENNY ALEXANDER</v>
      </c>
      <c r="EL584" t="str">
        <v>GUTIERREZ ZAMBRANO CARMEN EBELINA</v>
      </c>
      <c r="EM584" t="str">
        <v>INTRIAGO MOLINA GEMA VALERIA</v>
      </c>
      <c r="EN584" t="str">
        <v>LINO VELEZ LEONEL LIVINGTON</v>
      </c>
      <c r="EO584" t="str">
        <v>LOOR ALCIVAR MARIA ILIANA</v>
      </c>
      <c r="EP584" t="str">
        <v>LOOR MIELES TANIA JACQUELINE</v>
      </c>
      <c r="EQ584" t="str">
        <v>LOOR SOLORZANO ROSA MARIA</v>
      </c>
      <c r="ER584" t="str">
        <v>LOPEZ DELGADO RONALD MAURICIO</v>
      </c>
      <c r="ES584" t="str">
        <v>MACIAS VALENCIA DAVID GABRIEL</v>
      </c>
      <c r="ET584" t="str">
        <v>MENDOZA ZAMORA WALTER MANUEL</v>
      </c>
      <c r="EU584" t="str">
        <v>MOLINA CEVALLOS MARIA LORENA</v>
      </c>
      <c r="EV584" t="str">
        <v>MURILLO DELGADO ISAAC GABRIEL</v>
      </c>
      <c r="EW584" t="str">
        <v>ANGULO MURILLO NAVIRA GISSELA</v>
      </c>
      <c r="EX584" t="str">
        <v>OCHOA SOLEDISPA NESTOR IVAN</v>
      </c>
      <c r="EY584" t="str">
        <v>PARRAGA FRANCO SILVANA MARIELA</v>
      </c>
      <c r="EZ584" t="str">
        <v>PINARGOTE VASQUEZ NANCY FABIOLA</v>
      </c>
      <c r="FA584" t="str">
        <v>REYES VELEZ PEDRO ENRIQUE</v>
      </c>
      <c r="FB584" t="str">
        <v>SAN ANDRES HORMAZA DALLAS CECILIA</v>
      </c>
      <c r="FC584" t="str">
        <v>SORNOZA ZAMORA JUAN CARLOS</v>
      </c>
      <c r="FD584" t="str">
        <v>TOMALA PINTO JESUS JACINTO</v>
      </c>
      <c r="FE584" t="str">
        <v>VALLE JARAMILLO SILVIA ARACELY</v>
      </c>
      <c r="FF584" t="str">
        <v>VELÁSQUEZ BRAVO IRMA KATHERINE</v>
      </c>
      <c r="FG584" t="str">
        <v>VELEZ MENDOZA LAYSY VALERIA</v>
      </c>
      <c r="FH584" t="str">
        <v>VINUEZA TELLO SHIRLEY ELIZABETH</v>
      </c>
      <c r="FI584" t="str">
        <v>ZAMBRANO ALCIVAR NILDA ISABEL</v>
      </c>
      <c r="FJ584" t="str">
        <v>ZAMBRANO LOOR RITA MAYDA</v>
      </c>
      <c r="FK584" t="str">
        <v>ZAMBRANO VERA MONICA JANETH</v>
      </c>
      <c r="FL584" t="str">
        <v>VERA DELGADO BRYAN ADRIÁN</v>
      </c>
      <c r="FM584" t="str">
        <v>MORAN GONZALES DAVID RENATO</v>
      </c>
      <c r="FN584">
        <v>0</v>
      </c>
    </row>
    <row r="585" spans="1:170" ht="20.25" customHeight="1">
      <c r="A585" s="4" t="str" cm="1">
        <f t="array" ref="A585">TRANSPOSE(_xlfn.UNIQUE(_xlfn._xlws.FILTER(MAE_ASIGNATURA[ID_NIVEL],MAE_ASIGNATURA[ID_CARRERA]=ASIGNACION!$C585,"No existe información")))</f>
        <v>No existe información</v>
      </c>
      <c r="S585" s="4" t="str" cm="1">
        <f t="array" ref="S585">TRANSPOSE(_xlfn.UNIQUE(_xlfn._xlws.FILTER(MAE_ASIGNATURA[NOM_ASIG],(MAE_ASIGNATURA[ID_NIVEL]=ASIGNACION!$D585)*(MAE_ASIGNATURA[ID_CARRERA]=ASIGNACION!$C585),"No existe información")))</f>
        <v>No existe información</v>
      </c>
      <c r="BD585" s="4" t="str" cm="1">
        <f t="array" ref="BD585">TRANSPOSE(_xlfn.UNIQUE(_xlfn._xlws.FILTER(DET_ASIG[DETALLADO],(DET_ASIG[ID_CARRERA]=ASIGNACION!$C585)*(DET_ASIG[NIVEL]=ASIGNACION!$D585)*(DET_ASIG[ID_ASIG]=ASIGNACION!$G585),"No existe información")))</f>
        <v>No existe información</v>
      </c>
      <c r="BQ585" s="5" t="str" cm="1">
        <f t="array" ref="BQ585">IFERROR(
    TRANSPOSE(
        _xlfn.UNIQUE(
            _xlfn._xlws.FILTER(MAESTRIA_DETALLADO[MAESTRIA],
                ISNUMBER(MATCH(MAESTRIA_DETALLADO[CAMPO_DETALLADO],
                BD585:BP585,0))
            )
        )
    ),IF(BD585="ACTIVIDAD","DOCENCIA",""))</f>
        <v/>
      </c>
      <c r="EA585" s="5" t="str" cm="1">
        <f t="array" ref="EA585:FN585">IF(
    ASIGNACION!I585="SI",
    IFERROR(
        TRANSPOSE(
            _xlfn.UNIQUE(
                _xlfn._xlws.FILTER(EDU_DOCENTE[NOMBRE_DOCENTE],
                    ISNUMBER(MATCH(EDU_DOCENTE[MAESTRIA],
                    BQ585:DY585,0))
                )
            )
        ),
        ""
    ),
    TRANSPOSE(
        _xlfn.UNIQUE(EDU_DOCENTE[NOMBRE_DOCENTE]
        )
    )
)</f>
        <v>ALCIVAR CEDEÑO BEATRIZ ISABEL</v>
      </c>
      <c r="EB585" t="str">
        <v>ALCIVAR VERA GEMA MICHELLE</v>
      </c>
      <c r="EC585" t="str">
        <v>ARAUZ CHAVEZ MARIO ROBERTO</v>
      </c>
      <c r="ED585" t="str">
        <v>BAILON LOURIDO WALTER ALBERTO</v>
      </c>
      <c r="EE585" t="str">
        <v>CALDERERO VILLAGOMEZ ERICK ANTONIO</v>
      </c>
      <c r="EF585" t="str">
        <v>CASTILLO GARCIA PAOLA GERMANIA</v>
      </c>
      <c r="EG585" t="str">
        <v>CEDEÑO CHOEZ PEDRO JAVIER</v>
      </c>
      <c r="EH585" t="str">
        <v>CEVALLOS HOPPE JUAN CARLOS</v>
      </c>
      <c r="EI585" t="str">
        <v>DELGADO CHAVEZ MARIA IRASEMA</v>
      </c>
      <c r="EJ585" t="str">
        <v>DUARTE VALENCIA CRISTHIAN DARIO</v>
      </c>
      <c r="EK585" t="str">
        <v>FORTTY BARBERAN DENNY ALEXANDER</v>
      </c>
      <c r="EL585" t="str">
        <v>GUTIERREZ ZAMBRANO CARMEN EBELINA</v>
      </c>
      <c r="EM585" t="str">
        <v>INTRIAGO MOLINA GEMA VALERIA</v>
      </c>
      <c r="EN585" t="str">
        <v>LINO VELEZ LEONEL LIVINGTON</v>
      </c>
      <c r="EO585" t="str">
        <v>LOOR ALCIVAR MARIA ILIANA</v>
      </c>
      <c r="EP585" t="str">
        <v>LOOR MIELES TANIA JACQUELINE</v>
      </c>
      <c r="EQ585" t="str">
        <v>LOOR SOLORZANO ROSA MARIA</v>
      </c>
      <c r="ER585" t="str">
        <v>LOPEZ DELGADO RONALD MAURICIO</v>
      </c>
      <c r="ES585" t="str">
        <v>MACIAS VALENCIA DAVID GABRIEL</v>
      </c>
      <c r="ET585" t="str">
        <v>MENDOZA ZAMORA WALTER MANUEL</v>
      </c>
      <c r="EU585" t="str">
        <v>MOLINA CEVALLOS MARIA LORENA</v>
      </c>
      <c r="EV585" t="str">
        <v>MURILLO DELGADO ISAAC GABRIEL</v>
      </c>
      <c r="EW585" t="str">
        <v>ANGULO MURILLO NAVIRA GISSELA</v>
      </c>
      <c r="EX585" t="str">
        <v>OCHOA SOLEDISPA NESTOR IVAN</v>
      </c>
      <c r="EY585" t="str">
        <v>PARRAGA FRANCO SILVANA MARIELA</v>
      </c>
      <c r="EZ585" t="str">
        <v>PINARGOTE VASQUEZ NANCY FABIOLA</v>
      </c>
      <c r="FA585" t="str">
        <v>REYES VELEZ PEDRO ENRIQUE</v>
      </c>
      <c r="FB585" t="str">
        <v>SAN ANDRES HORMAZA DALLAS CECILIA</v>
      </c>
      <c r="FC585" t="str">
        <v>SORNOZA ZAMORA JUAN CARLOS</v>
      </c>
      <c r="FD585" t="str">
        <v>TOMALA PINTO JESUS JACINTO</v>
      </c>
      <c r="FE585" t="str">
        <v>VALLE JARAMILLO SILVIA ARACELY</v>
      </c>
      <c r="FF585" t="str">
        <v>VELÁSQUEZ BRAVO IRMA KATHERINE</v>
      </c>
      <c r="FG585" t="str">
        <v>VELEZ MENDOZA LAYSY VALERIA</v>
      </c>
      <c r="FH585" t="str">
        <v>VINUEZA TELLO SHIRLEY ELIZABETH</v>
      </c>
      <c r="FI585" t="str">
        <v>ZAMBRANO ALCIVAR NILDA ISABEL</v>
      </c>
      <c r="FJ585" t="str">
        <v>ZAMBRANO LOOR RITA MAYDA</v>
      </c>
      <c r="FK585" t="str">
        <v>ZAMBRANO VERA MONICA JANETH</v>
      </c>
      <c r="FL585" t="str">
        <v>VERA DELGADO BRYAN ADRIÁN</v>
      </c>
      <c r="FM585" t="str">
        <v>MORAN GONZALES DAVID RENATO</v>
      </c>
      <c r="FN585">
        <v>0</v>
      </c>
    </row>
    <row r="586" spans="1:170" ht="20.25" customHeight="1">
      <c r="A586" s="4" t="str" cm="1">
        <f t="array" ref="A586">TRANSPOSE(_xlfn.UNIQUE(_xlfn._xlws.FILTER(MAE_ASIGNATURA[ID_NIVEL],MAE_ASIGNATURA[ID_CARRERA]=ASIGNACION!$C586,"No existe información")))</f>
        <v>No existe información</v>
      </c>
      <c r="S586" s="4" t="str" cm="1">
        <f t="array" ref="S586">TRANSPOSE(_xlfn.UNIQUE(_xlfn._xlws.FILTER(MAE_ASIGNATURA[NOM_ASIG],(MAE_ASIGNATURA[ID_NIVEL]=ASIGNACION!$D586)*(MAE_ASIGNATURA[ID_CARRERA]=ASIGNACION!$C586),"No existe información")))</f>
        <v>No existe información</v>
      </c>
      <c r="BD586" s="4" t="str" cm="1">
        <f t="array" ref="BD586">TRANSPOSE(_xlfn.UNIQUE(_xlfn._xlws.FILTER(DET_ASIG[DETALLADO],(DET_ASIG[ID_CARRERA]=ASIGNACION!$C586)*(DET_ASIG[NIVEL]=ASIGNACION!$D586)*(DET_ASIG[ID_ASIG]=ASIGNACION!$G586),"No existe información")))</f>
        <v>No existe información</v>
      </c>
      <c r="BQ586" s="5" t="str" cm="1">
        <f t="array" ref="BQ586">IFERROR(
    TRANSPOSE(
        _xlfn.UNIQUE(
            _xlfn._xlws.FILTER(MAESTRIA_DETALLADO[MAESTRIA],
                ISNUMBER(MATCH(MAESTRIA_DETALLADO[CAMPO_DETALLADO],
                BD586:BP586,0))
            )
        )
    ),IF(BD586="ACTIVIDAD","DOCENCIA",""))</f>
        <v/>
      </c>
      <c r="EA586" s="5" t="str" cm="1">
        <f t="array" ref="EA586:FN586">IF(
    ASIGNACION!I586="SI",
    IFERROR(
        TRANSPOSE(
            _xlfn.UNIQUE(
                _xlfn._xlws.FILTER(EDU_DOCENTE[NOMBRE_DOCENTE],
                    ISNUMBER(MATCH(EDU_DOCENTE[MAESTRIA],
                    BQ586:DY586,0))
                )
            )
        ),
        ""
    ),
    TRANSPOSE(
        _xlfn.UNIQUE(EDU_DOCENTE[NOMBRE_DOCENTE]
        )
    )
)</f>
        <v>ALCIVAR CEDEÑO BEATRIZ ISABEL</v>
      </c>
      <c r="EB586" t="str">
        <v>ALCIVAR VERA GEMA MICHELLE</v>
      </c>
      <c r="EC586" t="str">
        <v>ARAUZ CHAVEZ MARIO ROBERTO</v>
      </c>
      <c r="ED586" t="str">
        <v>BAILON LOURIDO WALTER ALBERTO</v>
      </c>
      <c r="EE586" t="str">
        <v>CALDERERO VILLAGOMEZ ERICK ANTONIO</v>
      </c>
      <c r="EF586" t="str">
        <v>CASTILLO GARCIA PAOLA GERMANIA</v>
      </c>
      <c r="EG586" t="str">
        <v>CEDEÑO CHOEZ PEDRO JAVIER</v>
      </c>
      <c r="EH586" t="str">
        <v>CEVALLOS HOPPE JUAN CARLOS</v>
      </c>
      <c r="EI586" t="str">
        <v>DELGADO CHAVEZ MARIA IRASEMA</v>
      </c>
      <c r="EJ586" t="str">
        <v>DUARTE VALENCIA CRISTHIAN DARIO</v>
      </c>
      <c r="EK586" t="str">
        <v>FORTTY BARBERAN DENNY ALEXANDER</v>
      </c>
      <c r="EL586" t="str">
        <v>GUTIERREZ ZAMBRANO CARMEN EBELINA</v>
      </c>
      <c r="EM586" t="str">
        <v>INTRIAGO MOLINA GEMA VALERIA</v>
      </c>
      <c r="EN586" t="str">
        <v>LINO VELEZ LEONEL LIVINGTON</v>
      </c>
      <c r="EO586" t="str">
        <v>LOOR ALCIVAR MARIA ILIANA</v>
      </c>
      <c r="EP586" t="str">
        <v>LOOR MIELES TANIA JACQUELINE</v>
      </c>
      <c r="EQ586" t="str">
        <v>LOOR SOLORZANO ROSA MARIA</v>
      </c>
      <c r="ER586" t="str">
        <v>LOPEZ DELGADO RONALD MAURICIO</v>
      </c>
      <c r="ES586" t="str">
        <v>MACIAS VALENCIA DAVID GABRIEL</v>
      </c>
      <c r="ET586" t="str">
        <v>MENDOZA ZAMORA WALTER MANUEL</v>
      </c>
      <c r="EU586" t="str">
        <v>MOLINA CEVALLOS MARIA LORENA</v>
      </c>
      <c r="EV586" t="str">
        <v>MURILLO DELGADO ISAAC GABRIEL</v>
      </c>
      <c r="EW586" t="str">
        <v>ANGULO MURILLO NAVIRA GISSELA</v>
      </c>
      <c r="EX586" t="str">
        <v>OCHOA SOLEDISPA NESTOR IVAN</v>
      </c>
      <c r="EY586" t="str">
        <v>PARRAGA FRANCO SILVANA MARIELA</v>
      </c>
      <c r="EZ586" t="str">
        <v>PINARGOTE VASQUEZ NANCY FABIOLA</v>
      </c>
      <c r="FA586" t="str">
        <v>REYES VELEZ PEDRO ENRIQUE</v>
      </c>
      <c r="FB586" t="str">
        <v>SAN ANDRES HORMAZA DALLAS CECILIA</v>
      </c>
      <c r="FC586" t="str">
        <v>SORNOZA ZAMORA JUAN CARLOS</v>
      </c>
      <c r="FD586" t="str">
        <v>TOMALA PINTO JESUS JACINTO</v>
      </c>
      <c r="FE586" t="str">
        <v>VALLE JARAMILLO SILVIA ARACELY</v>
      </c>
      <c r="FF586" t="str">
        <v>VELÁSQUEZ BRAVO IRMA KATHERINE</v>
      </c>
      <c r="FG586" t="str">
        <v>VELEZ MENDOZA LAYSY VALERIA</v>
      </c>
      <c r="FH586" t="str">
        <v>VINUEZA TELLO SHIRLEY ELIZABETH</v>
      </c>
      <c r="FI586" t="str">
        <v>ZAMBRANO ALCIVAR NILDA ISABEL</v>
      </c>
      <c r="FJ586" t="str">
        <v>ZAMBRANO LOOR RITA MAYDA</v>
      </c>
      <c r="FK586" t="str">
        <v>ZAMBRANO VERA MONICA JANETH</v>
      </c>
      <c r="FL586" t="str">
        <v>VERA DELGADO BRYAN ADRIÁN</v>
      </c>
      <c r="FM586" t="str">
        <v>MORAN GONZALES DAVID RENATO</v>
      </c>
      <c r="FN586">
        <v>0</v>
      </c>
    </row>
    <row r="587" spans="1:170" ht="20.25" customHeight="1">
      <c r="A587" s="4" t="str" cm="1">
        <f t="array" ref="A587">TRANSPOSE(_xlfn.UNIQUE(_xlfn._xlws.FILTER(MAE_ASIGNATURA[ID_NIVEL],MAE_ASIGNATURA[ID_CARRERA]=ASIGNACION!$C587,"No existe información")))</f>
        <v>No existe información</v>
      </c>
      <c r="S587" s="4" t="str" cm="1">
        <f t="array" ref="S587">TRANSPOSE(_xlfn.UNIQUE(_xlfn._xlws.FILTER(MAE_ASIGNATURA[NOM_ASIG],(MAE_ASIGNATURA[ID_NIVEL]=ASIGNACION!$D587)*(MAE_ASIGNATURA[ID_CARRERA]=ASIGNACION!$C587),"No existe información")))</f>
        <v>No existe información</v>
      </c>
      <c r="BD587" s="4" t="str" cm="1">
        <f t="array" ref="BD587">TRANSPOSE(_xlfn.UNIQUE(_xlfn._xlws.FILTER(DET_ASIG[DETALLADO],(DET_ASIG[ID_CARRERA]=ASIGNACION!$C587)*(DET_ASIG[NIVEL]=ASIGNACION!$D587)*(DET_ASIG[ID_ASIG]=ASIGNACION!$G587),"No existe información")))</f>
        <v>No existe información</v>
      </c>
      <c r="BQ587" s="5" t="str" cm="1">
        <f t="array" ref="BQ587">IFERROR(
    TRANSPOSE(
        _xlfn.UNIQUE(
            _xlfn._xlws.FILTER(MAESTRIA_DETALLADO[MAESTRIA],
                ISNUMBER(MATCH(MAESTRIA_DETALLADO[CAMPO_DETALLADO],
                BD587:BP587,0))
            )
        )
    ),IF(BD587="ACTIVIDAD","DOCENCIA",""))</f>
        <v/>
      </c>
      <c r="EA587" s="5" t="str" cm="1">
        <f t="array" ref="EA587:FN587">IF(
    ASIGNACION!I587="SI",
    IFERROR(
        TRANSPOSE(
            _xlfn.UNIQUE(
                _xlfn._xlws.FILTER(EDU_DOCENTE[NOMBRE_DOCENTE],
                    ISNUMBER(MATCH(EDU_DOCENTE[MAESTRIA],
                    BQ587:DY587,0))
                )
            )
        ),
        ""
    ),
    TRANSPOSE(
        _xlfn.UNIQUE(EDU_DOCENTE[NOMBRE_DOCENTE]
        )
    )
)</f>
        <v>ALCIVAR CEDEÑO BEATRIZ ISABEL</v>
      </c>
      <c r="EB587" t="str">
        <v>ALCIVAR VERA GEMA MICHELLE</v>
      </c>
      <c r="EC587" t="str">
        <v>ARAUZ CHAVEZ MARIO ROBERTO</v>
      </c>
      <c r="ED587" t="str">
        <v>BAILON LOURIDO WALTER ALBERTO</v>
      </c>
      <c r="EE587" t="str">
        <v>CALDERERO VILLAGOMEZ ERICK ANTONIO</v>
      </c>
      <c r="EF587" t="str">
        <v>CASTILLO GARCIA PAOLA GERMANIA</v>
      </c>
      <c r="EG587" t="str">
        <v>CEDEÑO CHOEZ PEDRO JAVIER</v>
      </c>
      <c r="EH587" t="str">
        <v>CEVALLOS HOPPE JUAN CARLOS</v>
      </c>
      <c r="EI587" t="str">
        <v>DELGADO CHAVEZ MARIA IRASEMA</v>
      </c>
      <c r="EJ587" t="str">
        <v>DUARTE VALENCIA CRISTHIAN DARIO</v>
      </c>
      <c r="EK587" t="str">
        <v>FORTTY BARBERAN DENNY ALEXANDER</v>
      </c>
      <c r="EL587" t="str">
        <v>GUTIERREZ ZAMBRANO CARMEN EBELINA</v>
      </c>
      <c r="EM587" t="str">
        <v>INTRIAGO MOLINA GEMA VALERIA</v>
      </c>
      <c r="EN587" t="str">
        <v>LINO VELEZ LEONEL LIVINGTON</v>
      </c>
      <c r="EO587" t="str">
        <v>LOOR ALCIVAR MARIA ILIANA</v>
      </c>
      <c r="EP587" t="str">
        <v>LOOR MIELES TANIA JACQUELINE</v>
      </c>
      <c r="EQ587" t="str">
        <v>LOOR SOLORZANO ROSA MARIA</v>
      </c>
      <c r="ER587" t="str">
        <v>LOPEZ DELGADO RONALD MAURICIO</v>
      </c>
      <c r="ES587" t="str">
        <v>MACIAS VALENCIA DAVID GABRIEL</v>
      </c>
      <c r="ET587" t="str">
        <v>MENDOZA ZAMORA WALTER MANUEL</v>
      </c>
      <c r="EU587" t="str">
        <v>MOLINA CEVALLOS MARIA LORENA</v>
      </c>
      <c r="EV587" t="str">
        <v>MURILLO DELGADO ISAAC GABRIEL</v>
      </c>
      <c r="EW587" t="str">
        <v>ANGULO MURILLO NAVIRA GISSELA</v>
      </c>
      <c r="EX587" t="str">
        <v>OCHOA SOLEDISPA NESTOR IVAN</v>
      </c>
      <c r="EY587" t="str">
        <v>PARRAGA FRANCO SILVANA MARIELA</v>
      </c>
      <c r="EZ587" t="str">
        <v>PINARGOTE VASQUEZ NANCY FABIOLA</v>
      </c>
      <c r="FA587" t="str">
        <v>REYES VELEZ PEDRO ENRIQUE</v>
      </c>
      <c r="FB587" t="str">
        <v>SAN ANDRES HORMAZA DALLAS CECILIA</v>
      </c>
      <c r="FC587" t="str">
        <v>SORNOZA ZAMORA JUAN CARLOS</v>
      </c>
      <c r="FD587" t="str">
        <v>TOMALA PINTO JESUS JACINTO</v>
      </c>
      <c r="FE587" t="str">
        <v>VALLE JARAMILLO SILVIA ARACELY</v>
      </c>
      <c r="FF587" t="str">
        <v>VELÁSQUEZ BRAVO IRMA KATHERINE</v>
      </c>
      <c r="FG587" t="str">
        <v>VELEZ MENDOZA LAYSY VALERIA</v>
      </c>
      <c r="FH587" t="str">
        <v>VINUEZA TELLO SHIRLEY ELIZABETH</v>
      </c>
      <c r="FI587" t="str">
        <v>ZAMBRANO ALCIVAR NILDA ISABEL</v>
      </c>
      <c r="FJ587" t="str">
        <v>ZAMBRANO LOOR RITA MAYDA</v>
      </c>
      <c r="FK587" t="str">
        <v>ZAMBRANO VERA MONICA JANETH</v>
      </c>
      <c r="FL587" t="str">
        <v>VERA DELGADO BRYAN ADRIÁN</v>
      </c>
      <c r="FM587" t="str">
        <v>MORAN GONZALES DAVID RENATO</v>
      </c>
      <c r="FN587">
        <v>0</v>
      </c>
    </row>
    <row r="588" spans="1:170" ht="20.25" customHeight="1">
      <c r="A588" s="4" t="str" cm="1">
        <f t="array" ref="A588">TRANSPOSE(_xlfn.UNIQUE(_xlfn._xlws.FILTER(MAE_ASIGNATURA[ID_NIVEL],MAE_ASIGNATURA[ID_CARRERA]=ASIGNACION!$C588,"No existe información")))</f>
        <v>No existe información</v>
      </c>
      <c r="S588" s="4" t="str" cm="1">
        <f t="array" ref="S588">TRANSPOSE(_xlfn.UNIQUE(_xlfn._xlws.FILTER(MAE_ASIGNATURA[NOM_ASIG],(MAE_ASIGNATURA[ID_NIVEL]=ASIGNACION!$D588)*(MAE_ASIGNATURA[ID_CARRERA]=ASIGNACION!$C588),"No existe información")))</f>
        <v>No existe información</v>
      </c>
      <c r="BD588" s="4" t="str" cm="1">
        <f t="array" ref="BD588">TRANSPOSE(_xlfn.UNIQUE(_xlfn._xlws.FILTER(DET_ASIG[DETALLADO],(DET_ASIG[ID_CARRERA]=ASIGNACION!$C588)*(DET_ASIG[NIVEL]=ASIGNACION!$D588)*(DET_ASIG[ID_ASIG]=ASIGNACION!$G588),"No existe información")))</f>
        <v>No existe información</v>
      </c>
      <c r="BQ588" s="5" t="str" cm="1">
        <f t="array" ref="BQ588">IFERROR(
    TRANSPOSE(
        _xlfn.UNIQUE(
            _xlfn._xlws.FILTER(MAESTRIA_DETALLADO[MAESTRIA],
                ISNUMBER(MATCH(MAESTRIA_DETALLADO[CAMPO_DETALLADO],
                BD588:BP588,0))
            )
        )
    ),IF(BD588="ACTIVIDAD","DOCENCIA",""))</f>
        <v/>
      </c>
      <c r="EA588" s="5" t="str" cm="1">
        <f t="array" ref="EA588:FN588">IF(
    ASIGNACION!I588="SI",
    IFERROR(
        TRANSPOSE(
            _xlfn.UNIQUE(
                _xlfn._xlws.FILTER(EDU_DOCENTE[NOMBRE_DOCENTE],
                    ISNUMBER(MATCH(EDU_DOCENTE[MAESTRIA],
                    BQ588:DY588,0))
                )
            )
        ),
        ""
    ),
    TRANSPOSE(
        _xlfn.UNIQUE(EDU_DOCENTE[NOMBRE_DOCENTE]
        )
    )
)</f>
        <v>ALCIVAR CEDEÑO BEATRIZ ISABEL</v>
      </c>
      <c r="EB588" t="str">
        <v>ALCIVAR VERA GEMA MICHELLE</v>
      </c>
      <c r="EC588" t="str">
        <v>ARAUZ CHAVEZ MARIO ROBERTO</v>
      </c>
      <c r="ED588" t="str">
        <v>BAILON LOURIDO WALTER ALBERTO</v>
      </c>
      <c r="EE588" t="str">
        <v>CALDERERO VILLAGOMEZ ERICK ANTONIO</v>
      </c>
      <c r="EF588" t="str">
        <v>CASTILLO GARCIA PAOLA GERMANIA</v>
      </c>
      <c r="EG588" t="str">
        <v>CEDEÑO CHOEZ PEDRO JAVIER</v>
      </c>
      <c r="EH588" t="str">
        <v>CEVALLOS HOPPE JUAN CARLOS</v>
      </c>
      <c r="EI588" t="str">
        <v>DELGADO CHAVEZ MARIA IRASEMA</v>
      </c>
      <c r="EJ588" t="str">
        <v>DUARTE VALENCIA CRISTHIAN DARIO</v>
      </c>
      <c r="EK588" t="str">
        <v>FORTTY BARBERAN DENNY ALEXANDER</v>
      </c>
      <c r="EL588" t="str">
        <v>GUTIERREZ ZAMBRANO CARMEN EBELINA</v>
      </c>
      <c r="EM588" t="str">
        <v>INTRIAGO MOLINA GEMA VALERIA</v>
      </c>
      <c r="EN588" t="str">
        <v>LINO VELEZ LEONEL LIVINGTON</v>
      </c>
      <c r="EO588" t="str">
        <v>LOOR ALCIVAR MARIA ILIANA</v>
      </c>
      <c r="EP588" t="str">
        <v>LOOR MIELES TANIA JACQUELINE</v>
      </c>
      <c r="EQ588" t="str">
        <v>LOOR SOLORZANO ROSA MARIA</v>
      </c>
      <c r="ER588" t="str">
        <v>LOPEZ DELGADO RONALD MAURICIO</v>
      </c>
      <c r="ES588" t="str">
        <v>MACIAS VALENCIA DAVID GABRIEL</v>
      </c>
      <c r="ET588" t="str">
        <v>MENDOZA ZAMORA WALTER MANUEL</v>
      </c>
      <c r="EU588" t="str">
        <v>MOLINA CEVALLOS MARIA LORENA</v>
      </c>
      <c r="EV588" t="str">
        <v>MURILLO DELGADO ISAAC GABRIEL</v>
      </c>
      <c r="EW588" t="str">
        <v>ANGULO MURILLO NAVIRA GISSELA</v>
      </c>
      <c r="EX588" t="str">
        <v>OCHOA SOLEDISPA NESTOR IVAN</v>
      </c>
      <c r="EY588" t="str">
        <v>PARRAGA FRANCO SILVANA MARIELA</v>
      </c>
      <c r="EZ588" t="str">
        <v>PINARGOTE VASQUEZ NANCY FABIOLA</v>
      </c>
      <c r="FA588" t="str">
        <v>REYES VELEZ PEDRO ENRIQUE</v>
      </c>
      <c r="FB588" t="str">
        <v>SAN ANDRES HORMAZA DALLAS CECILIA</v>
      </c>
      <c r="FC588" t="str">
        <v>SORNOZA ZAMORA JUAN CARLOS</v>
      </c>
      <c r="FD588" t="str">
        <v>TOMALA PINTO JESUS JACINTO</v>
      </c>
      <c r="FE588" t="str">
        <v>VALLE JARAMILLO SILVIA ARACELY</v>
      </c>
      <c r="FF588" t="str">
        <v>VELÁSQUEZ BRAVO IRMA KATHERINE</v>
      </c>
      <c r="FG588" t="str">
        <v>VELEZ MENDOZA LAYSY VALERIA</v>
      </c>
      <c r="FH588" t="str">
        <v>VINUEZA TELLO SHIRLEY ELIZABETH</v>
      </c>
      <c r="FI588" t="str">
        <v>ZAMBRANO ALCIVAR NILDA ISABEL</v>
      </c>
      <c r="FJ588" t="str">
        <v>ZAMBRANO LOOR RITA MAYDA</v>
      </c>
      <c r="FK588" t="str">
        <v>ZAMBRANO VERA MONICA JANETH</v>
      </c>
      <c r="FL588" t="str">
        <v>VERA DELGADO BRYAN ADRIÁN</v>
      </c>
      <c r="FM588" t="str">
        <v>MORAN GONZALES DAVID RENATO</v>
      </c>
      <c r="FN588">
        <v>0</v>
      </c>
    </row>
    <row r="589" spans="1:170" ht="20.25" customHeight="1">
      <c r="A589" s="4" t="str" cm="1">
        <f t="array" ref="A589">TRANSPOSE(_xlfn.UNIQUE(_xlfn._xlws.FILTER(MAE_ASIGNATURA[ID_NIVEL],MAE_ASIGNATURA[ID_CARRERA]=ASIGNACION!$C589,"No existe información")))</f>
        <v>No existe información</v>
      </c>
      <c r="S589" s="4" t="str" cm="1">
        <f t="array" ref="S589">TRANSPOSE(_xlfn.UNIQUE(_xlfn._xlws.FILTER(MAE_ASIGNATURA[NOM_ASIG],(MAE_ASIGNATURA[ID_NIVEL]=ASIGNACION!$D589)*(MAE_ASIGNATURA[ID_CARRERA]=ASIGNACION!$C589),"No existe información")))</f>
        <v>No existe información</v>
      </c>
      <c r="BD589" s="4" t="str" cm="1">
        <f t="array" ref="BD589">TRANSPOSE(_xlfn.UNIQUE(_xlfn._xlws.FILTER(DET_ASIG[DETALLADO],(DET_ASIG[ID_CARRERA]=ASIGNACION!$C589)*(DET_ASIG[NIVEL]=ASIGNACION!$D589)*(DET_ASIG[ID_ASIG]=ASIGNACION!$G589),"No existe información")))</f>
        <v>No existe información</v>
      </c>
      <c r="BQ589" s="5" t="str" cm="1">
        <f t="array" ref="BQ589">IFERROR(
    TRANSPOSE(
        _xlfn.UNIQUE(
            _xlfn._xlws.FILTER(MAESTRIA_DETALLADO[MAESTRIA],
                ISNUMBER(MATCH(MAESTRIA_DETALLADO[CAMPO_DETALLADO],
                BD589:BP589,0))
            )
        )
    ),IF(BD589="ACTIVIDAD","DOCENCIA",""))</f>
        <v/>
      </c>
      <c r="EA589" s="5" t="str" cm="1">
        <f t="array" ref="EA589:FN589">IF(
    ASIGNACION!I589="SI",
    IFERROR(
        TRANSPOSE(
            _xlfn.UNIQUE(
                _xlfn._xlws.FILTER(EDU_DOCENTE[NOMBRE_DOCENTE],
                    ISNUMBER(MATCH(EDU_DOCENTE[MAESTRIA],
                    BQ589:DY589,0))
                )
            )
        ),
        ""
    ),
    TRANSPOSE(
        _xlfn.UNIQUE(EDU_DOCENTE[NOMBRE_DOCENTE]
        )
    )
)</f>
        <v>ALCIVAR CEDEÑO BEATRIZ ISABEL</v>
      </c>
      <c r="EB589" t="str">
        <v>ALCIVAR VERA GEMA MICHELLE</v>
      </c>
      <c r="EC589" t="str">
        <v>ARAUZ CHAVEZ MARIO ROBERTO</v>
      </c>
      <c r="ED589" t="str">
        <v>BAILON LOURIDO WALTER ALBERTO</v>
      </c>
      <c r="EE589" t="str">
        <v>CALDERERO VILLAGOMEZ ERICK ANTONIO</v>
      </c>
      <c r="EF589" t="str">
        <v>CASTILLO GARCIA PAOLA GERMANIA</v>
      </c>
      <c r="EG589" t="str">
        <v>CEDEÑO CHOEZ PEDRO JAVIER</v>
      </c>
      <c r="EH589" t="str">
        <v>CEVALLOS HOPPE JUAN CARLOS</v>
      </c>
      <c r="EI589" t="str">
        <v>DELGADO CHAVEZ MARIA IRASEMA</v>
      </c>
      <c r="EJ589" t="str">
        <v>DUARTE VALENCIA CRISTHIAN DARIO</v>
      </c>
      <c r="EK589" t="str">
        <v>FORTTY BARBERAN DENNY ALEXANDER</v>
      </c>
      <c r="EL589" t="str">
        <v>GUTIERREZ ZAMBRANO CARMEN EBELINA</v>
      </c>
      <c r="EM589" t="str">
        <v>INTRIAGO MOLINA GEMA VALERIA</v>
      </c>
      <c r="EN589" t="str">
        <v>LINO VELEZ LEONEL LIVINGTON</v>
      </c>
      <c r="EO589" t="str">
        <v>LOOR ALCIVAR MARIA ILIANA</v>
      </c>
      <c r="EP589" t="str">
        <v>LOOR MIELES TANIA JACQUELINE</v>
      </c>
      <c r="EQ589" t="str">
        <v>LOOR SOLORZANO ROSA MARIA</v>
      </c>
      <c r="ER589" t="str">
        <v>LOPEZ DELGADO RONALD MAURICIO</v>
      </c>
      <c r="ES589" t="str">
        <v>MACIAS VALENCIA DAVID GABRIEL</v>
      </c>
      <c r="ET589" t="str">
        <v>MENDOZA ZAMORA WALTER MANUEL</v>
      </c>
      <c r="EU589" t="str">
        <v>MOLINA CEVALLOS MARIA LORENA</v>
      </c>
      <c r="EV589" t="str">
        <v>MURILLO DELGADO ISAAC GABRIEL</v>
      </c>
      <c r="EW589" t="str">
        <v>ANGULO MURILLO NAVIRA GISSELA</v>
      </c>
      <c r="EX589" t="str">
        <v>OCHOA SOLEDISPA NESTOR IVAN</v>
      </c>
      <c r="EY589" t="str">
        <v>PARRAGA FRANCO SILVANA MARIELA</v>
      </c>
      <c r="EZ589" t="str">
        <v>PINARGOTE VASQUEZ NANCY FABIOLA</v>
      </c>
      <c r="FA589" t="str">
        <v>REYES VELEZ PEDRO ENRIQUE</v>
      </c>
      <c r="FB589" t="str">
        <v>SAN ANDRES HORMAZA DALLAS CECILIA</v>
      </c>
      <c r="FC589" t="str">
        <v>SORNOZA ZAMORA JUAN CARLOS</v>
      </c>
      <c r="FD589" t="str">
        <v>TOMALA PINTO JESUS JACINTO</v>
      </c>
      <c r="FE589" t="str">
        <v>VALLE JARAMILLO SILVIA ARACELY</v>
      </c>
      <c r="FF589" t="str">
        <v>VELÁSQUEZ BRAVO IRMA KATHERINE</v>
      </c>
      <c r="FG589" t="str">
        <v>VELEZ MENDOZA LAYSY VALERIA</v>
      </c>
      <c r="FH589" t="str">
        <v>VINUEZA TELLO SHIRLEY ELIZABETH</v>
      </c>
      <c r="FI589" t="str">
        <v>ZAMBRANO ALCIVAR NILDA ISABEL</v>
      </c>
      <c r="FJ589" t="str">
        <v>ZAMBRANO LOOR RITA MAYDA</v>
      </c>
      <c r="FK589" t="str">
        <v>ZAMBRANO VERA MONICA JANETH</v>
      </c>
      <c r="FL589" t="str">
        <v>VERA DELGADO BRYAN ADRIÁN</v>
      </c>
      <c r="FM589" t="str">
        <v>MORAN GONZALES DAVID RENATO</v>
      </c>
      <c r="FN589">
        <v>0</v>
      </c>
    </row>
    <row r="590" spans="1:170" ht="20.25" customHeight="1">
      <c r="A590" s="4" t="str" cm="1">
        <f t="array" ref="A590">TRANSPOSE(_xlfn.UNIQUE(_xlfn._xlws.FILTER(MAE_ASIGNATURA[ID_NIVEL],MAE_ASIGNATURA[ID_CARRERA]=ASIGNACION!$C590,"No existe información")))</f>
        <v>No existe información</v>
      </c>
      <c r="S590" s="4" t="str" cm="1">
        <f t="array" ref="S590">TRANSPOSE(_xlfn.UNIQUE(_xlfn._xlws.FILTER(MAE_ASIGNATURA[NOM_ASIG],(MAE_ASIGNATURA[ID_NIVEL]=ASIGNACION!$D590)*(MAE_ASIGNATURA[ID_CARRERA]=ASIGNACION!$C590),"No existe información")))</f>
        <v>No existe información</v>
      </c>
      <c r="BD590" s="4" t="str" cm="1">
        <f t="array" ref="BD590">TRANSPOSE(_xlfn.UNIQUE(_xlfn._xlws.FILTER(DET_ASIG[DETALLADO],(DET_ASIG[ID_CARRERA]=ASIGNACION!$C590)*(DET_ASIG[NIVEL]=ASIGNACION!$D590)*(DET_ASIG[ID_ASIG]=ASIGNACION!$G590),"No existe información")))</f>
        <v>No existe información</v>
      </c>
      <c r="BQ590" s="5" t="str" cm="1">
        <f t="array" ref="BQ590">IFERROR(
    TRANSPOSE(
        _xlfn.UNIQUE(
            _xlfn._xlws.FILTER(MAESTRIA_DETALLADO[MAESTRIA],
                ISNUMBER(MATCH(MAESTRIA_DETALLADO[CAMPO_DETALLADO],
                BD590:BP590,0))
            )
        )
    ),IF(BD590="ACTIVIDAD","DOCENCIA",""))</f>
        <v/>
      </c>
      <c r="EA590" s="5" t="str" cm="1">
        <f t="array" ref="EA590:FN590">IF(
    ASIGNACION!I590="SI",
    IFERROR(
        TRANSPOSE(
            _xlfn.UNIQUE(
                _xlfn._xlws.FILTER(EDU_DOCENTE[NOMBRE_DOCENTE],
                    ISNUMBER(MATCH(EDU_DOCENTE[MAESTRIA],
                    BQ590:DY590,0))
                )
            )
        ),
        ""
    ),
    TRANSPOSE(
        _xlfn.UNIQUE(EDU_DOCENTE[NOMBRE_DOCENTE]
        )
    )
)</f>
        <v>ALCIVAR CEDEÑO BEATRIZ ISABEL</v>
      </c>
      <c r="EB590" t="str">
        <v>ALCIVAR VERA GEMA MICHELLE</v>
      </c>
      <c r="EC590" t="str">
        <v>ARAUZ CHAVEZ MARIO ROBERTO</v>
      </c>
      <c r="ED590" t="str">
        <v>BAILON LOURIDO WALTER ALBERTO</v>
      </c>
      <c r="EE590" t="str">
        <v>CALDERERO VILLAGOMEZ ERICK ANTONIO</v>
      </c>
      <c r="EF590" t="str">
        <v>CASTILLO GARCIA PAOLA GERMANIA</v>
      </c>
      <c r="EG590" t="str">
        <v>CEDEÑO CHOEZ PEDRO JAVIER</v>
      </c>
      <c r="EH590" t="str">
        <v>CEVALLOS HOPPE JUAN CARLOS</v>
      </c>
      <c r="EI590" t="str">
        <v>DELGADO CHAVEZ MARIA IRASEMA</v>
      </c>
      <c r="EJ590" t="str">
        <v>DUARTE VALENCIA CRISTHIAN DARIO</v>
      </c>
      <c r="EK590" t="str">
        <v>FORTTY BARBERAN DENNY ALEXANDER</v>
      </c>
      <c r="EL590" t="str">
        <v>GUTIERREZ ZAMBRANO CARMEN EBELINA</v>
      </c>
      <c r="EM590" t="str">
        <v>INTRIAGO MOLINA GEMA VALERIA</v>
      </c>
      <c r="EN590" t="str">
        <v>LINO VELEZ LEONEL LIVINGTON</v>
      </c>
      <c r="EO590" t="str">
        <v>LOOR ALCIVAR MARIA ILIANA</v>
      </c>
      <c r="EP590" t="str">
        <v>LOOR MIELES TANIA JACQUELINE</v>
      </c>
      <c r="EQ590" t="str">
        <v>LOOR SOLORZANO ROSA MARIA</v>
      </c>
      <c r="ER590" t="str">
        <v>LOPEZ DELGADO RONALD MAURICIO</v>
      </c>
      <c r="ES590" t="str">
        <v>MACIAS VALENCIA DAVID GABRIEL</v>
      </c>
      <c r="ET590" t="str">
        <v>MENDOZA ZAMORA WALTER MANUEL</v>
      </c>
      <c r="EU590" t="str">
        <v>MOLINA CEVALLOS MARIA LORENA</v>
      </c>
      <c r="EV590" t="str">
        <v>MURILLO DELGADO ISAAC GABRIEL</v>
      </c>
      <c r="EW590" t="str">
        <v>ANGULO MURILLO NAVIRA GISSELA</v>
      </c>
      <c r="EX590" t="str">
        <v>OCHOA SOLEDISPA NESTOR IVAN</v>
      </c>
      <c r="EY590" t="str">
        <v>PARRAGA FRANCO SILVANA MARIELA</v>
      </c>
      <c r="EZ590" t="str">
        <v>PINARGOTE VASQUEZ NANCY FABIOLA</v>
      </c>
      <c r="FA590" t="str">
        <v>REYES VELEZ PEDRO ENRIQUE</v>
      </c>
      <c r="FB590" t="str">
        <v>SAN ANDRES HORMAZA DALLAS CECILIA</v>
      </c>
      <c r="FC590" t="str">
        <v>SORNOZA ZAMORA JUAN CARLOS</v>
      </c>
      <c r="FD590" t="str">
        <v>TOMALA PINTO JESUS JACINTO</v>
      </c>
      <c r="FE590" t="str">
        <v>VALLE JARAMILLO SILVIA ARACELY</v>
      </c>
      <c r="FF590" t="str">
        <v>VELÁSQUEZ BRAVO IRMA KATHERINE</v>
      </c>
      <c r="FG590" t="str">
        <v>VELEZ MENDOZA LAYSY VALERIA</v>
      </c>
      <c r="FH590" t="str">
        <v>VINUEZA TELLO SHIRLEY ELIZABETH</v>
      </c>
      <c r="FI590" t="str">
        <v>ZAMBRANO ALCIVAR NILDA ISABEL</v>
      </c>
      <c r="FJ590" t="str">
        <v>ZAMBRANO LOOR RITA MAYDA</v>
      </c>
      <c r="FK590" t="str">
        <v>ZAMBRANO VERA MONICA JANETH</v>
      </c>
      <c r="FL590" t="str">
        <v>VERA DELGADO BRYAN ADRIÁN</v>
      </c>
      <c r="FM590" t="str">
        <v>MORAN GONZALES DAVID RENATO</v>
      </c>
      <c r="FN590">
        <v>0</v>
      </c>
    </row>
    <row r="591" spans="1:170" ht="20.25" customHeight="1">
      <c r="A591" s="4" t="str" cm="1">
        <f t="array" ref="A591">TRANSPOSE(_xlfn.UNIQUE(_xlfn._xlws.FILTER(MAE_ASIGNATURA[ID_NIVEL],MAE_ASIGNATURA[ID_CARRERA]=ASIGNACION!$C591,"No existe información")))</f>
        <v>No existe información</v>
      </c>
      <c r="S591" s="4" t="str" cm="1">
        <f t="array" ref="S591">TRANSPOSE(_xlfn.UNIQUE(_xlfn._xlws.FILTER(MAE_ASIGNATURA[NOM_ASIG],(MAE_ASIGNATURA[ID_NIVEL]=ASIGNACION!$D591)*(MAE_ASIGNATURA[ID_CARRERA]=ASIGNACION!$C591),"No existe información")))</f>
        <v>No existe información</v>
      </c>
      <c r="BD591" s="4" t="str" cm="1">
        <f t="array" ref="BD591">TRANSPOSE(_xlfn.UNIQUE(_xlfn._xlws.FILTER(DET_ASIG[DETALLADO],(DET_ASIG[ID_CARRERA]=ASIGNACION!$C591)*(DET_ASIG[NIVEL]=ASIGNACION!$D591)*(DET_ASIG[ID_ASIG]=ASIGNACION!$G591),"No existe información")))</f>
        <v>No existe información</v>
      </c>
      <c r="BQ591" s="5" t="str" cm="1">
        <f t="array" ref="BQ591">IFERROR(
    TRANSPOSE(
        _xlfn.UNIQUE(
            _xlfn._xlws.FILTER(MAESTRIA_DETALLADO[MAESTRIA],
                ISNUMBER(MATCH(MAESTRIA_DETALLADO[CAMPO_DETALLADO],
                BD591:BP591,0))
            )
        )
    ),IF(BD591="ACTIVIDAD","DOCENCIA",""))</f>
        <v/>
      </c>
      <c r="EA591" s="5" t="str" cm="1">
        <f t="array" ref="EA591:FN591">IF(
    ASIGNACION!I591="SI",
    IFERROR(
        TRANSPOSE(
            _xlfn.UNIQUE(
                _xlfn._xlws.FILTER(EDU_DOCENTE[NOMBRE_DOCENTE],
                    ISNUMBER(MATCH(EDU_DOCENTE[MAESTRIA],
                    BQ591:DY591,0))
                )
            )
        ),
        ""
    ),
    TRANSPOSE(
        _xlfn.UNIQUE(EDU_DOCENTE[NOMBRE_DOCENTE]
        )
    )
)</f>
        <v>ALCIVAR CEDEÑO BEATRIZ ISABEL</v>
      </c>
      <c r="EB591" t="str">
        <v>ALCIVAR VERA GEMA MICHELLE</v>
      </c>
      <c r="EC591" t="str">
        <v>ARAUZ CHAVEZ MARIO ROBERTO</v>
      </c>
      <c r="ED591" t="str">
        <v>BAILON LOURIDO WALTER ALBERTO</v>
      </c>
      <c r="EE591" t="str">
        <v>CALDERERO VILLAGOMEZ ERICK ANTONIO</v>
      </c>
      <c r="EF591" t="str">
        <v>CASTILLO GARCIA PAOLA GERMANIA</v>
      </c>
      <c r="EG591" t="str">
        <v>CEDEÑO CHOEZ PEDRO JAVIER</v>
      </c>
      <c r="EH591" t="str">
        <v>CEVALLOS HOPPE JUAN CARLOS</v>
      </c>
      <c r="EI591" t="str">
        <v>DELGADO CHAVEZ MARIA IRASEMA</v>
      </c>
      <c r="EJ591" t="str">
        <v>DUARTE VALENCIA CRISTHIAN DARIO</v>
      </c>
      <c r="EK591" t="str">
        <v>FORTTY BARBERAN DENNY ALEXANDER</v>
      </c>
      <c r="EL591" t="str">
        <v>GUTIERREZ ZAMBRANO CARMEN EBELINA</v>
      </c>
      <c r="EM591" t="str">
        <v>INTRIAGO MOLINA GEMA VALERIA</v>
      </c>
      <c r="EN591" t="str">
        <v>LINO VELEZ LEONEL LIVINGTON</v>
      </c>
      <c r="EO591" t="str">
        <v>LOOR ALCIVAR MARIA ILIANA</v>
      </c>
      <c r="EP591" t="str">
        <v>LOOR MIELES TANIA JACQUELINE</v>
      </c>
      <c r="EQ591" t="str">
        <v>LOOR SOLORZANO ROSA MARIA</v>
      </c>
      <c r="ER591" t="str">
        <v>LOPEZ DELGADO RONALD MAURICIO</v>
      </c>
      <c r="ES591" t="str">
        <v>MACIAS VALENCIA DAVID GABRIEL</v>
      </c>
      <c r="ET591" t="str">
        <v>MENDOZA ZAMORA WALTER MANUEL</v>
      </c>
      <c r="EU591" t="str">
        <v>MOLINA CEVALLOS MARIA LORENA</v>
      </c>
      <c r="EV591" t="str">
        <v>MURILLO DELGADO ISAAC GABRIEL</v>
      </c>
      <c r="EW591" t="str">
        <v>ANGULO MURILLO NAVIRA GISSELA</v>
      </c>
      <c r="EX591" t="str">
        <v>OCHOA SOLEDISPA NESTOR IVAN</v>
      </c>
      <c r="EY591" t="str">
        <v>PARRAGA FRANCO SILVANA MARIELA</v>
      </c>
      <c r="EZ591" t="str">
        <v>PINARGOTE VASQUEZ NANCY FABIOLA</v>
      </c>
      <c r="FA591" t="str">
        <v>REYES VELEZ PEDRO ENRIQUE</v>
      </c>
      <c r="FB591" t="str">
        <v>SAN ANDRES HORMAZA DALLAS CECILIA</v>
      </c>
      <c r="FC591" t="str">
        <v>SORNOZA ZAMORA JUAN CARLOS</v>
      </c>
      <c r="FD591" t="str">
        <v>TOMALA PINTO JESUS JACINTO</v>
      </c>
      <c r="FE591" t="str">
        <v>VALLE JARAMILLO SILVIA ARACELY</v>
      </c>
      <c r="FF591" t="str">
        <v>VELÁSQUEZ BRAVO IRMA KATHERINE</v>
      </c>
      <c r="FG591" t="str">
        <v>VELEZ MENDOZA LAYSY VALERIA</v>
      </c>
      <c r="FH591" t="str">
        <v>VINUEZA TELLO SHIRLEY ELIZABETH</v>
      </c>
      <c r="FI591" t="str">
        <v>ZAMBRANO ALCIVAR NILDA ISABEL</v>
      </c>
      <c r="FJ591" t="str">
        <v>ZAMBRANO LOOR RITA MAYDA</v>
      </c>
      <c r="FK591" t="str">
        <v>ZAMBRANO VERA MONICA JANETH</v>
      </c>
      <c r="FL591" t="str">
        <v>VERA DELGADO BRYAN ADRIÁN</v>
      </c>
      <c r="FM591" t="str">
        <v>MORAN GONZALES DAVID RENATO</v>
      </c>
      <c r="FN591">
        <v>0</v>
      </c>
    </row>
    <row r="592" spans="1:170" ht="20.25" customHeight="1">
      <c r="A592" s="4" t="str" cm="1">
        <f t="array" ref="A592">TRANSPOSE(_xlfn.UNIQUE(_xlfn._xlws.FILTER(MAE_ASIGNATURA[ID_NIVEL],MAE_ASIGNATURA[ID_CARRERA]=ASIGNACION!$C592,"No existe información")))</f>
        <v>No existe información</v>
      </c>
      <c r="S592" s="4" t="str" cm="1">
        <f t="array" ref="S592">TRANSPOSE(_xlfn.UNIQUE(_xlfn._xlws.FILTER(MAE_ASIGNATURA[NOM_ASIG],(MAE_ASIGNATURA[ID_NIVEL]=ASIGNACION!$D592)*(MAE_ASIGNATURA[ID_CARRERA]=ASIGNACION!$C592),"No existe información")))</f>
        <v>No existe información</v>
      </c>
      <c r="BD592" s="4" t="str" cm="1">
        <f t="array" ref="BD592">TRANSPOSE(_xlfn.UNIQUE(_xlfn._xlws.FILTER(DET_ASIG[DETALLADO],(DET_ASIG[ID_CARRERA]=ASIGNACION!$C592)*(DET_ASIG[NIVEL]=ASIGNACION!$D592)*(DET_ASIG[ID_ASIG]=ASIGNACION!$G592),"No existe información")))</f>
        <v>No existe información</v>
      </c>
      <c r="BQ592" s="5" t="str" cm="1">
        <f t="array" ref="BQ592">IFERROR(
    TRANSPOSE(
        _xlfn.UNIQUE(
            _xlfn._xlws.FILTER(MAESTRIA_DETALLADO[MAESTRIA],
                ISNUMBER(MATCH(MAESTRIA_DETALLADO[CAMPO_DETALLADO],
                BD592:BP592,0))
            )
        )
    ),IF(BD592="ACTIVIDAD","DOCENCIA",""))</f>
        <v/>
      </c>
      <c r="EA592" s="5" t="str" cm="1">
        <f t="array" ref="EA592:FN592">IF(
    ASIGNACION!I592="SI",
    IFERROR(
        TRANSPOSE(
            _xlfn.UNIQUE(
                _xlfn._xlws.FILTER(EDU_DOCENTE[NOMBRE_DOCENTE],
                    ISNUMBER(MATCH(EDU_DOCENTE[MAESTRIA],
                    BQ592:DY592,0))
                )
            )
        ),
        ""
    ),
    TRANSPOSE(
        _xlfn.UNIQUE(EDU_DOCENTE[NOMBRE_DOCENTE]
        )
    )
)</f>
        <v>ALCIVAR CEDEÑO BEATRIZ ISABEL</v>
      </c>
      <c r="EB592" t="str">
        <v>ALCIVAR VERA GEMA MICHELLE</v>
      </c>
      <c r="EC592" t="str">
        <v>ARAUZ CHAVEZ MARIO ROBERTO</v>
      </c>
      <c r="ED592" t="str">
        <v>BAILON LOURIDO WALTER ALBERTO</v>
      </c>
      <c r="EE592" t="str">
        <v>CALDERERO VILLAGOMEZ ERICK ANTONIO</v>
      </c>
      <c r="EF592" t="str">
        <v>CASTILLO GARCIA PAOLA GERMANIA</v>
      </c>
      <c r="EG592" t="str">
        <v>CEDEÑO CHOEZ PEDRO JAVIER</v>
      </c>
      <c r="EH592" t="str">
        <v>CEVALLOS HOPPE JUAN CARLOS</v>
      </c>
      <c r="EI592" t="str">
        <v>DELGADO CHAVEZ MARIA IRASEMA</v>
      </c>
      <c r="EJ592" t="str">
        <v>DUARTE VALENCIA CRISTHIAN DARIO</v>
      </c>
      <c r="EK592" t="str">
        <v>FORTTY BARBERAN DENNY ALEXANDER</v>
      </c>
      <c r="EL592" t="str">
        <v>GUTIERREZ ZAMBRANO CARMEN EBELINA</v>
      </c>
      <c r="EM592" t="str">
        <v>INTRIAGO MOLINA GEMA VALERIA</v>
      </c>
      <c r="EN592" t="str">
        <v>LINO VELEZ LEONEL LIVINGTON</v>
      </c>
      <c r="EO592" t="str">
        <v>LOOR ALCIVAR MARIA ILIANA</v>
      </c>
      <c r="EP592" t="str">
        <v>LOOR MIELES TANIA JACQUELINE</v>
      </c>
      <c r="EQ592" t="str">
        <v>LOOR SOLORZANO ROSA MARIA</v>
      </c>
      <c r="ER592" t="str">
        <v>LOPEZ DELGADO RONALD MAURICIO</v>
      </c>
      <c r="ES592" t="str">
        <v>MACIAS VALENCIA DAVID GABRIEL</v>
      </c>
      <c r="ET592" t="str">
        <v>MENDOZA ZAMORA WALTER MANUEL</v>
      </c>
      <c r="EU592" t="str">
        <v>MOLINA CEVALLOS MARIA LORENA</v>
      </c>
      <c r="EV592" t="str">
        <v>MURILLO DELGADO ISAAC GABRIEL</v>
      </c>
      <c r="EW592" t="str">
        <v>ANGULO MURILLO NAVIRA GISSELA</v>
      </c>
      <c r="EX592" t="str">
        <v>OCHOA SOLEDISPA NESTOR IVAN</v>
      </c>
      <c r="EY592" t="str">
        <v>PARRAGA FRANCO SILVANA MARIELA</v>
      </c>
      <c r="EZ592" t="str">
        <v>PINARGOTE VASQUEZ NANCY FABIOLA</v>
      </c>
      <c r="FA592" t="str">
        <v>REYES VELEZ PEDRO ENRIQUE</v>
      </c>
      <c r="FB592" t="str">
        <v>SAN ANDRES HORMAZA DALLAS CECILIA</v>
      </c>
      <c r="FC592" t="str">
        <v>SORNOZA ZAMORA JUAN CARLOS</v>
      </c>
      <c r="FD592" t="str">
        <v>TOMALA PINTO JESUS JACINTO</v>
      </c>
      <c r="FE592" t="str">
        <v>VALLE JARAMILLO SILVIA ARACELY</v>
      </c>
      <c r="FF592" t="str">
        <v>VELÁSQUEZ BRAVO IRMA KATHERINE</v>
      </c>
      <c r="FG592" t="str">
        <v>VELEZ MENDOZA LAYSY VALERIA</v>
      </c>
      <c r="FH592" t="str">
        <v>VINUEZA TELLO SHIRLEY ELIZABETH</v>
      </c>
      <c r="FI592" t="str">
        <v>ZAMBRANO ALCIVAR NILDA ISABEL</v>
      </c>
      <c r="FJ592" t="str">
        <v>ZAMBRANO LOOR RITA MAYDA</v>
      </c>
      <c r="FK592" t="str">
        <v>ZAMBRANO VERA MONICA JANETH</v>
      </c>
      <c r="FL592" t="str">
        <v>VERA DELGADO BRYAN ADRIÁN</v>
      </c>
      <c r="FM592" t="str">
        <v>MORAN GONZALES DAVID RENATO</v>
      </c>
      <c r="FN592">
        <v>0</v>
      </c>
    </row>
    <row r="593" spans="1:170" ht="20.25" customHeight="1">
      <c r="A593" s="4" t="str" cm="1">
        <f t="array" ref="A593">TRANSPOSE(_xlfn.UNIQUE(_xlfn._xlws.FILTER(MAE_ASIGNATURA[ID_NIVEL],MAE_ASIGNATURA[ID_CARRERA]=ASIGNACION!$C593,"No existe información")))</f>
        <v>No existe información</v>
      </c>
      <c r="S593" s="4" t="str" cm="1">
        <f t="array" ref="S593">TRANSPOSE(_xlfn.UNIQUE(_xlfn._xlws.FILTER(MAE_ASIGNATURA[NOM_ASIG],(MAE_ASIGNATURA[ID_NIVEL]=ASIGNACION!$D593)*(MAE_ASIGNATURA[ID_CARRERA]=ASIGNACION!$C593),"No existe información")))</f>
        <v>No existe información</v>
      </c>
      <c r="BD593" s="4" t="str" cm="1">
        <f t="array" ref="BD593">TRANSPOSE(_xlfn.UNIQUE(_xlfn._xlws.FILTER(DET_ASIG[DETALLADO],(DET_ASIG[ID_CARRERA]=ASIGNACION!$C593)*(DET_ASIG[NIVEL]=ASIGNACION!$D593)*(DET_ASIG[ID_ASIG]=ASIGNACION!$G593),"No existe información")))</f>
        <v>No existe información</v>
      </c>
      <c r="BQ593" s="5" t="str" cm="1">
        <f t="array" ref="BQ593">IFERROR(
    TRANSPOSE(
        _xlfn.UNIQUE(
            _xlfn._xlws.FILTER(MAESTRIA_DETALLADO[MAESTRIA],
                ISNUMBER(MATCH(MAESTRIA_DETALLADO[CAMPO_DETALLADO],
                BD593:BP593,0))
            )
        )
    ),IF(BD593="ACTIVIDAD","DOCENCIA",""))</f>
        <v/>
      </c>
      <c r="EA593" s="5" t="str" cm="1">
        <f t="array" ref="EA593:FN593">IF(
    ASIGNACION!I593="SI",
    IFERROR(
        TRANSPOSE(
            _xlfn.UNIQUE(
                _xlfn._xlws.FILTER(EDU_DOCENTE[NOMBRE_DOCENTE],
                    ISNUMBER(MATCH(EDU_DOCENTE[MAESTRIA],
                    BQ593:DY593,0))
                )
            )
        ),
        ""
    ),
    TRANSPOSE(
        _xlfn.UNIQUE(EDU_DOCENTE[NOMBRE_DOCENTE]
        )
    )
)</f>
        <v>ALCIVAR CEDEÑO BEATRIZ ISABEL</v>
      </c>
      <c r="EB593" t="str">
        <v>ALCIVAR VERA GEMA MICHELLE</v>
      </c>
      <c r="EC593" t="str">
        <v>ARAUZ CHAVEZ MARIO ROBERTO</v>
      </c>
      <c r="ED593" t="str">
        <v>BAILON LOURIDO WALTER ALBERTO</v>
      </c>
      <c r="EE593" t="str">
        <v>CALDERERO VILLAGOMEZ ERICK ANTONIO</v>
      </c>
      <c r="EF593" t="str">
        <v>CASTILLO GARCIA PAOLA GERMANIA</v>
      </c>
      <c r="EG593" t="str">
        <v>CEDEÑO CHOEZ PEDRO JAVIER</v>
      </c>
      <c r="EH593" t="str">
        <v>CEVALLOS HOPPE JUAN CARLOS</v>
      </c>
      <c r="EI593" t="str">
        <v>DELGADO CHAVEZ MARIA IRASEMA</v>
      </c>
      <c r="EJ593" t="str">
        <v>DUARTE VALENCIA CRISTHIAN DARIO</v>
      </c>
      <c r="EK593" t="str">
        <v>FORTTY BARBERAN DENNY ALEXANDER</v>
      </c>
      <c r="EL593" t="str">
        <v>GUTIERREZ ZAMBRANO CARMEN EBELINA</v>
      </c>
      <c r="EM593" t="str">
        <v>INTRIAGO MOLINA GEMA VALERIA</v>
      </c>
      <c r="EN593" t="str">
        <v>LINO VELEZ LEONEL LIVINGTON</v>
      </c>
      <c r="EO593" t="str">
        <v>LOOR ALCIVAR MARIA ILIANA</v>
      </c>
      <c r="EP593" t="str">
        <v>LOOR MIELES TANIA JACQUELINE</v>
      </c>
      <c r="EQ593" t="str">
        <v>LOOR SOLORZANO ROSA MARIA</v>
      </c>
      <c r="ER593" t="str">
        <v>LOPEZ DELGADO RONALD MAURICIO</v>
      </c>
      <c r="ES593" t="str">
        <v>MACIAS VALENCIA DAVID GABRIEL</v>
      </c>
      <c r="ET593" t="str">
        <v>MENDOZA ZAMORA WALTER MANUEL</v>
      </c>
      <c r="EU593" t="str">
        <v>MOLINA CEVALLOS MARIA LORENA</v>
      </c>
      <c r="EV593" t="str">
        <v>MURILLO DELGADO ISAAC GABRIEL</v>
      </c>
      <c r="EW593" t="str">
        <v>ANGULO MURILLO NAVIRA GISSELA</v>
      </c>
      <c r="EX593" t="str">
        <v>OCHOA SOLEDISPA NESTOR IVAN</v>
      </c>
      <c r="EY593" t="str">
        <v>PARRAGA FRANCO SILVANA MARIELA</v>
      </c>
      <c r="EZ593" t="str">
        <v>PINARGOTE VASQUEZ NANCY FABIOLA</v>
      </c>
      <c r="FA593" t="str">
        <v>REYES VELEZ PEDRO ENRIQUE</v>
      </c>
      <c r="FB593" t="str">
        <v>SAN ANDRES HORMAZA DALLAS CECILIA</v>
      </c>
      <c r="FC593" t="str">
        <v>SORNOZA ZAMORA JUAN CARLOS</v>
      </c>
      <c r="FD593" t="str">
        <v>TOMALA PINTO JESUS JACINTO</v>
      </c>
      <c r="FE593" t="str">
        <v>VALLE JARAMILLO SILVIA ARACELY</v>
      </c>
      <c r="FF593" t="str">
        <v>VELÁSQUEZ BRAVO IRMA KATHERINE</v>
      </c>
      <c r="FG593" t="str">
        <v>VELEZ MENDOZA LAYSY VALERIA</v>
      </c>
      <c r="FH593" t="str">
        <v>VINUEZA TELLO SHIRLEY ELIZABETH</v>
      </c>
      <c r="FI593" t="str">
        <v>ZAMBRANO ALCIVAR NILDA ISABEL</v>
      </c>
      <c r="FJ593" t="str">
        <v>ZAMBRANO LOOR RITA MAYDA</v>
      </c>
      <c r="FK593" t="str">
        <v>ZAMBRANO VERA MONICA JANETH</v>
      </c>
      <c r="FL593" t="str">
        <v>VERA DELGADO BRYAN ADRIÁN</v>
      </c>
      <c r="FM593" t="str">
        <v>MORAN GONZALES DAVID RENATO</v>
      </c>
      <c r="FN593">
        <v>0</v>
      </c>
    </row>
    <row r="594" spans="1:170" ht="20.25" customHeight="1">
      <c r="A594" s="4" t="str" cm="1">
        <f t="array" ref="A594">TRANSPOSE(_xlfn.UNIQUE(_xlfn._xlws.FILTER(MAE_ASIGNATURA[ID_NIVEL],MAE_ASIGNATURA[ID_CARRERA]=ASIGNACION!$C594,"No existe información")))</f>
        <v>No existe información</v>
      </c>
      <c r="S594" s="4" t="str" cm="1">
        <f t="array" ref="S594">TRANSPOSE(_xlfn.UNIQUE(_xlfn._xlws.FILTER(MAE_ASIGNATURA[NOM_ASIG],(MAE_ASIGNATURA[ID_NIVEL]=ASIGNACION!$D594)*(MAE_ASIGNATURA[ID_CARRERA]=ASIGNACION!$C594),"No existe información")))</f>
        <v>No existe información</v>
      </c>
      <c r="BD594" s="4" t="str" cm="1">
        <f t="array" ref="BD594">TRANSPOSE(_xlfn.UNIQUE(_xlfn._xlws.FILTER(DET_ASIG[DETALLADO],(DET_ASIG[ID_CARRERA]=ASIGNACION!$C594)*(DET_ASIG[NIVEL]=ASIGNACION!$D594)*(DET_ASIG[ID_ASIG]=ASIGNACION!$G594),"No existe información")))</f>
        <v>No existe información</v>
      </c>
      <c r="BQ594" s="5" t="str" cm="1">
        <f t="array" ref="BQ594">IFERROR(
    TRANSPOSE(
        _xlfn.UNIQUE(
            _xlfn._xlws.FILTER(MAESTRIA_DETALLADO[MAESTRIA],
                ISNUMBER(MATCH(MAESTRIA_DETALLADO[CAMPO_DETALLADO],
                BD594:BP594,0))
            )
        )
    ),IF(BD594="ACTIVIDAD","DOCENCIA",""))</f>
        <v/>
      </c>
      <c r="EA594" s="5" t="str" cm="1">
        <f t="array" ref="EA594:FN594">IF(
    ASIGNACION!I594="SI",
    IFERROR(
        TRANSPOSE(
            _xlfn.UNIQUE(
                _xlfn._xlws.FILTER(EDU_DOCENTE[NOMBRE_DOCENTE],
                    ISNUMBER(MATCH(EDU_DOCENTE[MAESTRIA],
                    BQ594:DY594,0))
                )
            )
        ),
        ""
    ),
    TRANSPOSE(
        _xlfn.UNIQUE(EDU_DOCENTE[NOMBRE_DOCENTE]
        )
    )
)</f>
        <v>ALCIVAR CEDEÑO BEATRIZ ISABEL</v>
      </c>
      <c r="EB594" t="str">
        <v>ALCIVAR VERA GEMA MICHELLE</v>
      </c>
      <c r="EC594" t="str">
        <v>ARAUZ CHAVEZ MARIO ROBERTO</v>
      </c>
      <c r="ED594" t="str">
        <v>BAILON LOURIDO WALTER ALBERTO</v>
      </c>
      <c r="EE594" t="str">
        <v>CALDERERO VILLAGOMEZ ERICK ANTONIO</v>
      </c>
      <c r="EF594" t="str">
        <v>CASTILLO GARCIA PAOLA GERMANIA</v>
      </c>
      <c r="EG594" t="str">
        <v>CEDEÑO CHOEZ PEDRO JAVIER</v>
      </c>
      <c r="EH594" t="str">
        <v>CEVALLOS HOPPE JUAN CARLOS</v>
      </c>
      <c r="EI594" t="str">
        <v>DELGADO CHAVEZ MARIA IRASEMA</v>
      </c>
      <c r="EJ594" t="str">
        <v>DUARTE VALENCIA CRISTHIAN DARIO</v>
      </c>
      <c r="EK594" t="str">
        <v>FORTTY BARBERAN DENNY ALEXANDER</v>
      </c>
      <c r="EL594" t="str">
        <v>GUTIERREZ ZAMBRANO CARMEN EBELINA</v>
      </c>
      <c r="EM594" t="str">
        <v>INTRIAGO MOLINA GEMA VALERIA</v>
      </c>
      <c r="EN594" t="str">
        <v>LINO VELEZ LEONEL LIVINGTON</v>
      </c>
      <c r="EO594" t="str">
        <v>LOOR ALCIVAR MARIA ILIANA</v>
      </c>
      <c r="EP594" t="str">
        <v>LOOR MIELES TANIA JACQUELINE</v>
      </c>
      <c r="EQ594" t="str">
        <v>LOOR SOLORZANO ROSA MARIA</v>
      </c>
      <c r="ER594" t="str">
        <v>LOPEZ DELGADO RONALD MAURICIO</v>
      </c>
      <c r="ES594" t="str">
        <v>MACIAS VALENCIA DAVID GABRIEL</v>
      </c>
      <c r="ET594" t="str">
        <v>MENDOZA ZAMORA WALTER MANUEL</v>
      </c>
      <c r="EU594" t="str">
        <v>MOLINA CEVALLOS MARIA LORENA</v>
      </c>
      <c r="EV594" t="str">
        <v>MURILLO DELGADO ISAAC GABRIEL</v>
      </c>
      <c r="EW594" t="str">
        <v>ANGULO MURILLO NAVIRA GISSELA</v>
      </c>
      <c r="EX594" t="str">
        <v>OCHOA SOLEDISPA NESTOR IVAN</v>
      </c>
      <c r="EY594" t="str">
        <v>PARRAGA FRANCO SILVANA MARIELA</v>
      </c>
      <c r="EZ594" t="str">
        <v>PINARGOTE VASQUEZ NANCY FABIOLA</v>
      </c>
      <c r="FA594" t="str">
        <v>REYES VELEZ PEDRO ENRIQUE</v>
      </c>
      <c r="FB594" t="str">
        <v>SAN ANDRES HORMAZA DALLAS CECILIA</v>
      </c>
      <c r="FC594" t="str">
        <v>SORNOZA ZAMORA JUAN CARLOS</v>
      </c>
      <c r="FD594" t="str">
        <v>TOMALA PINTO JESUS JACINTO</v>
      </c>
      <c r="FE594" t="str">
        <v>VALLE JARAMILLO SILVIA ARACELY</v>
      </c>
      <c r="FF594" t="str">
        <v>VELÁSQUEZ BRAVO IRMA KATHERINE</v>
      </c>
      <c r="FG594" t="str">
        <v>VELEZ MENDOZA LAYSY VALERIA</v>
      </c>
      <c r="FH594" t="str">
        <v>VINUEZA TELLO SHIRLEY ELIZABETH</v>
      </c>
      <c r="FI594" t="str">
        <v>ZAMBRANO ALCIVAR NILDA ISABEL</v>
      </c>
      <c r="FJ594" t="str">
        <v>ZAMBRANO LOOR RITA MAYDA</v>
      </c>
      <c r="FK594" t="str">
        <v>ZAMBRANO VERA MONICA JANETH</v>
      </c>
      <c r="FL594" t="str">
        <v>VERA DELGADO BRYAN ADRIÁN</v>
      </c>
      <c r="FM594" t="str">
        <v>MORAN GONZALES DAVID RENATO</v>
      </c>
      <c r="FN594">
        <v>0</v>
      </c>
    </row>
    <row r="595" spans="1:170" ht="20.25" customHeight="1">
      <c r="A595" s="4" t="str" cm="1">
        <f t="array" ref="A595">TRANSPOSE(_xlfn.UNIQUE(_xlfn._xlws.FILTER(MAE_ASIGNATURA[ID_NIVEL],MAE_ASIGNATURA[ID_CARRERA]=ASIGNACION!$C595,"No existe información")))</f>
        <v>No existe información</v>
      </c>
      <c r="S595" s="4" t="str" cm="1">
        <f t="array" ref="S595">TRANSPOSE(_xlfn.UNIQUE(_xlfn._xlws.FILTER(MAE_ASIGNATURA[NOM_ASIG],(MAE_ASIGNATURA[ID_NIVEL]=ASIGNACION!$D595)*(MAE_ASIGNATURA[ID_CARRERA]=ASIGNACION!$C595),"No existe información")))</f>
        <v>No existe información</v>
      </c>
      <c r="BD595" s="4" t="str" cm="1">
        <f t="array" ref="BD595">TRANSPOSE(_xlfn.UNIQUE(_xlfn._xlws.FILTER(DET_ASIG[DETALLADO],(DET_ASIG[ID_CARRERA]=ASIGNACION!$C595)*(DET_ASIG[NIVEL]=ASIGNACION!$D595)*(DET_ASIG[ID_ASIG]=ASIGNACION!$G595),"No existe información")))</f>
        <v>No existe información</v>
      </c>
      <c r="BQ595" s="5" t="str" cm="1">
        <f t="array" ref="BQ595">IFERROR(
    TRANSPOSE(
        _xlfn.UNIQUE(
            _xlfn._xlws.FILTER(MAESTRIA_DETALLADO[MAESTRIA],
                ISNUMBER(MATCH(MAESTRIA_DETALLADO[CAMPO_DETALLADO],
                BD595:BP595,0))
            )
        )
    ),IF(BD595="ACTIVIDAD","DOCENCIA",""))</f>
        <v/>
      </c>
      <c r="EA595" s="5" t="str" cm="1">
        <f t="array" ref="EA595:FN595">IF(
    ASIGNACION!I595="SI",
    IFERROR(
        TRANSPOSE(
            _xlfn.UNIQUE(
                _xlfn._xlws.FILTER(EDU_DOCENTE[NOMBRE_DOCENTE],
                    ISNUMBER(MATCH(EDU_DOCENTE[MAESTRIA],
                    BQ595:DY595,0))
                )
            )
        ),
        ""
    ),
    TRANSPOSE(
        _xlfn.UNIQUE(EDU_DOCENTE[NOMBRE_DOCENTE]
        )
    )
)</f>
        <v>ALCIVAR CEDEÑO BEATRIZ ISABEL</v>
      </c>
      <c r="EB595" t="str">
        <v>ALCIVAR VERA GEMA MICHELLE</v>
      </c>
      <c r="EC595" t="str">
        <v>ARAUZ CHAVEZ MARIO ROBERTO</v>
      </c>
      <c r="ED595" t="str">
        <v>BAILON LOURIDO WALTER ALBERTO</v>
      </c>
      <c r="EE595" t="str">
        <v>CALDERERO VILLAGOMEZ ERICK ANTONIO</v>
      </c>
      <c r="EF595" t="str">
        <v>CASTILLO GARCIA PAOLA GERMANIA</v>
      </c>
      <c r="EG595" t="str">
        <v>CEDEÑO CHOEZ PEDRO JAVIER</v>
      </c>
      <c r="EH595" t="str">
        <v>CEVALLOS HOPPE JUAN CARLOS</v>
      </c>
      <c r="EI595" t="str">
        <v>DELGADO CHAVEZ MARIA IRASEMA</v>
      </c>
      <c r="EJ595" t="str">
        <v>DUARTE VALENCIA CRISTHIAN DARIO</v>
      </c>
      <c r="EK595" t="str">
        <v>FORTTY BARBERAN DENNY ALEXANDER</v>
      </c>
      <c r="EL595" t="str">
        <v>GUTIERREZ ZAMBRANO CARMEN EBELINA</v>
      </c>
      <c r="EM595" t="str">
        <v>INTRIAGO MOLINA GEMA VALERIA</v>
      </c>
      <c r="EN595" t="str">
        <v>LINO VELEZ LEONEL LIVINGTON</v>
      </c>
      <c r="EO595" t="str">
        <v>LOOR ALCIVAR MARIA ILIANA</v>
      </c>
      <c r="EP595" t="str">
        <v>LOOR MIELES TANIA JACQUELINE</v>
      </c>
      <c r="EQ595" t="str">
        <v>LOOR SOLORZANO ROSA MARIA</v>
      </c>
      <c r="ER595" t="str">
        <v>LOPEZ DELGADO RONALD MAURICIO</v>
      </c>
      <c r="ES595" t="str">
        <v>MACIAS VALENCIA DAVID GABRIEL</v>
      </c>
      <c r="ET595" t="str">
        <v>MENDOZA ZAMORA WALTER MANUEL</v>
      </c>
      <c r="EU595" t="str">
        <v>MOLINA CEVALLOS MARIA LORENA</v>
      </c>
      <c r="EV595" t="str">
        <v>MURILLO DELGADO ISAAC GABRIEL</v>
      </c>
      <c r="EW595" t="str">
        <v>ANGULO MURILLO NAVIRA GISSELA</v>
      </c>
      <c r="EX595" t="str">
        <v>OCHOA SOLEDISPA NESTOR IVAN</v>
      </c>
      <c r="EY595" t="str">
        <v>PARRAGA FRANCO SILVANA MARIELA</v>
      </c>
      <c r="EZ595" t="str">
        <v>PINARGOTE VASQUEZ NANCY FABIOLA</v>
      </c>
      <c r="FA595" t="str">
        <v>REYES VELEZ PEDRO ENRIQUE</v>
      </c>
      <c r="FB595" t="str">
        <v>SAN ANDRES HORMAZA DALLAS CECILIA</v>
      </c>
      <c r="FC595" t="str">
        <v>SORNOZA ZAMORA JUAN CARLOS</v>
      </c>
      <c r="FD595" t="str">
        <v>TOMALA PINTO JESUS JACINTO</v>
      </c>
      <c r="FE595" t="str">
        <v>VALLE JARAMILLO SILVIA ARACELY</v>
      </c>
      <c r="FF595" t="str">
        <v>VELÁSQUEZ BRAVO IRMA KATHERINE</v>
      </c>
      <c r="FG595" t="str">
        <v>VELEZ MENDOZA LAYSY VALERIA</v>
      </c>
      <c r="FH595" t="str">
        <v>VINUEZA TELLO SHIRLEY ELIZABETH</v>
      </c>
      <c r="FI595" t="str">
        <v>ZAMBRANO ALCIVAR NILDA ISABEL</v>
      </c>
      <c r="FJ595" t="str">
        <v>ZAMBRANO LOOR RITA MAYDA</v>
      </c>
      <c r="FK595" t="str">
        <v>ZAMBRANO VERA MONICA JANETH</v>
      </c>
      <c r="FL595" t="str">
        <v>VERA DELGADO BRYAN ADRIÁN</v>
      </c>
      <c r="FM595" t="str">
        <v>MORAN GONZALES DAVID RENATO</v>
      </c>
      <c r="FN595">
        <v>0</v>
      </c>
    </row>
    <row r="596" spans="1:170" ht="20.25" customHeight="1">
      <c r="A596" s="4" t="str" cm="1">
        <f t="array" ref="A596">TRANSPOSE(_xlfn.UNIQUE(_xlfn._xlws.FILTER(MAE_ASIGNATURA[ID_NIVEL],MAE_ASIGNATURA[ID_CARRERA]=ASIGNACION!$C596,"No existe información")))</f>
        <v>No existe información</v>
      </c>
      <c r="S596" s="4" t="str" cm="1">
        <f t="array" ref="S596">TRANSPOSE(_xlfn.UNIQUE(_xlfn._xlws.FILTER(MAE_ASIGNATURA[NOM_ASIG],(MAE_ASIGNATURA[ID_NIVEL]=ASIGNACION!$D596)*(MAE_ASIGNATURA[ID_CARRERA]=ASIGNACION!$C596),"No existe información")))</f>
        <v>No existe información</v>
      </c>
      <c r="BD596" s="4" t="str" cm="1">
        <f t="array" ref="BD596">TRANSPOSE(_xlfn.UNIQUE(_xlfn._xlws.FILTER(DET_ASIG[DETALLADO],(DET_ASIG[ID_CARRERA]=ASIGNACION!$C596)*(DET_ASIG[NIVEL]=ASIGNACION!$D596)*(DET_ASIG[ID_ASIG]=ASIGNACION!$G596),"No existe información")))</f>
        <v>No existe información</v>
      </c>
      <c r="BQ596" s="5" t="str" cm="1">
        <f t="array" ref="BQ596">IFERROR(
    TRANSPOSE(
        _xlfn.UNIQUE(
            _xlfn._xlws.FILTER(MAESTRIA_DETALLADO[MAESTRIA],
                ISNUMBER(MATCH(MAESTRIA_DETALLADO[CAMPO_DETALLADO],
                BD596:BP596,0))
            )
        )
    ),IF(BD596="ACTIVIDAD","DOCENCIA",""))</f>
        <v/>
      </c>
      <c r="EA596" s="5" t="str" cm="1">
        <f t="array" ref="EA596:FN596">IF(
    ASIGNACION!I596="SI",
    IFERROR(
        TRANSPOSE(
            _xlfn.UNIQUE(
                _xlfn._xlws.FILTER(EDU_DOCENTE[NOMBRE_DOCENTE],
                    ISNUMBER(MATCH(EDU_DOCENTE[MAESTRIA],
                    BQ596:DY596,0))
                )
            )
        ),
        ""
    ),
    TRANSPOSE(
        _xlfn.UNIQUE(EDU_DOCENTE[NOMBRE_DOCENTE]
        )
    )
)</f>
        <v>ALCIVAR CEDEÑO BEATRIZ ISABEL</v>
      </c>
      <c r="EB596" t="str">
        <v>ALCIVAR VERA GEMA MICHELLE</v>
      </c>
      <c r="EC596" t="str">
        <v>ARAUZ CHAVEZ MARIO ROBERTO</v>
      </c>
      <c r="ED596" t="str">
        <v>BAILON LOURIDO WALTER ALBERTO</v>
      </c>
      <c r="EE596" t="str">
        <v>CALDERERO VILLAGOMEZ ERICK ANTONIO</v>
      </c>
      <c r="EF596" t="str">
        <v>CASTILLO GARCIA PAOLA GERMANIA</v>
      </c>
      <c r="EG596" t="str">
        <v>CEDEÑO CHOEZ PEDRO JAVIER</v>
      </c>
      <c r="EH596" t="str">
        <v>CEVALLOS HOPPE JUAN CARLOS</v>
      </c>
      <c r="EI596" t="str">
        <v>DELGADO CHAVEZ MARIA IRASEMA</v>
      </c>
      <c r="EJ596" t="str">
        <v>DUARTE VALENCIA CRISTHIAN DARIO</v>
      </c>
      <c r="EK596" t="str">
        <v>FORTTY BARBERAN DENNY ALEXANDER</v>
      </c>
      <c r="EL596" t="str">
        <v>GUTIERREZ ZAMBRANO CARMEN EBELINA</v>
      </c>
      <c r="EM596" t="str">
        <v>INTRIAGO MOLINA GEMA VALERIA</v>
      </c>
      <c r="EN596" t="str">
        <v>LINO VELEZ LEONEL LIVINGTON</v>
      </c>
      <c r="EO596" t="str">
        <v>LOOR ALCIVAR MARIA ILIANA</v>
      </c>
      <c r="EP596" t="str">
        <v>LOOR MIELES TANIA JACQUELINE</v>
      </c>
      <c r="EQ596" t="str">
        <v>LOOR SOLORZANO ROSA MARIA</v>
      </c>
      <c r="ER596" t="str">
        <v>LOPEZ DELGADO RONALD MAURICIO</v>
      </c>
      <c r="ES596" t="str">
        <v>MACIAS VALENCIA DAVID GABRIEL</v>
      </c>
      <c r="ET596" t="str">
        <v>MENDOZA ZAMORA WALTER MANUEL</v>
      </c>
      <c r="EU596" t="str">
        <v>MOLINA CEVALLOS MARIA LORENA</v>
      </c>
      <c r="EV596" t="str">
        <v>MURILLO DELGADO ISAAC GABRIEL</v>
      </c>
      <c r="EW596" t="str">
        <v>ANGULO MURILLO NAVIRA GISSELA</v>
      </c>
      <c r="EX596" t="str">
        <v>OCHOA SOLEDISPA NESTOR IVAN</v>
      </c>
      <c r="EY596" t="str">
        <v>PARRAGA FRANCO SILVANA MARIELA</v>
      </c>
      <c r="EZ596" t="str">
        <v>PINARGOTE VASQUEZ NANCY FABIOLA</v>
      </c>
      <c r="FA596" t="str">
        <v>REYES VELEZ PEDRO ENRIQUE</v>
      </c>
      <c r="FB596" t="str">
        <v>SAN ANDRES HORMAZA DALLAS CECILIA</v>
      </c>
      <c r="FC596" t="str">
        <v>SORNOZA ZAMORA JUAN CARLOS</v>
      </c>
      <c r="FD596" t="str">
        <v>TOMALA PINTO JESUS JACINTO</v>
      </c>
      <c r="FE596" t="str">
        <v>VALLE JARAMILLO SILVIA ARACELY</v>
      </c>
      <c r="FF596" t="str">
        <v>VELÁSQUEZ BRAVO IRMA KATHERINE</v>
      </c>
      <c r="FG596" t="str">
        <v>VELEZ MENDOZA LAYSY VALERIA</v>
      </c>
      <c r="FH596" t="str">
        <v>VINUEZA TELLO SHIRLEY ELIZABETH</v>
      </c>
      <c r="FI596" t="str">
        <v>ZAMBRANO ALCIVAR NILDA ISABEL</v>
      </c>
      <c r="FJ596" t="str">
        <v>ZAMBRANO LOOR RITA MAYDA</v>
      </c>
      <c r="FK596" t="str">
        <v>ZAMBRANO VERA MONICA JANETH</v>
      </c>
      <c r="FL596" t="str">
        <v>VERA DELGADO BRYAN ADRIÁN</v>
      </c>
      <c r="FM596" t="str">
        <v>MORAN GONZALES DAVID RENATO</v>
      </c>
      <c r="FN596">
        <v>0</v>
      </c>
    </row>
    <row r="597" spans="1:170" ht="20.25" customHeight="1">
      <c r="A597" s="4" t="str" cm="1">
        <f t="array" ref="A597">TRANSPOSE(_xlfn.UNIQUE(_xlfn._xlws.FILTER(MAE_ASIGNATURA[ID_NIVEL],MAE_ASIGNATURA[ID_CARRERA]=ASIGNACION!$C597,"No existe información")))</f>
        <v>No existe información</v>
      </c>
      <c r="S597" s="4" t="str" cm="1">
        <f t="array" ref="S597">TRANSPOSE(_xlfn.UNIQUE(_xlfn._xlws.FILTER(MAE_ASIGNATURA[NOM_ASIG],(MAE_ASIGNATURA[ID_NIVEL]=ASIGNACION!$D597)*(MAE_ASIGNATURA[ID_CARRERA]=ASIGNACION!$C597),"No existe información")))</f>
        <v>No existe información</v>
      </c>
      <c r="BD597" s="4" t="str" cm="1">
        <f t="array" ref="BD597">TRANSPOSE(_xlfn.UNIQUE(_xlfn._xlws.FILTER(DET_ASIG[DETALLADO],(DET_ASIG[ID_CARRERA]=ASIGNACION!$C597)*(DET_ASIG[NIVEL]=ASIGNACION!$D597)*(DET_ASIG[ID_ASIG]=ASIGNACION!$G597),"No existe información")))</f>
        <v>No existe información</v>
      </c>
      <c r="BQ597" s="5" t="str" cm="1">
        <f t="array" ref="BQ597">IFERROR(
    TRANSPOSE(
        _xlfn.UNIQUE(
            _xlfn._xlws.FILTER(MAESTRIA_DETALLADO[MAESTRIA],
                ISNUMBER(MATCH(MAESTRIA_DETALLADO[CAMPO_DETALLADO],
                BD597:BP597,0))
            )
        )
    ),IF(BD597="ACTIVIDAD","DOCENCIA",""))</f>
        <v/>
      </c>
      <c r="EA597" s="5" t="str" cm="1">
        <f t="array" ref="EA597:FN597">IF(
    ASIGNACION!I597="SI",
    IFERROR(
        TRANSPOSE(
            _xlfn.UNIQUE(
                _xlfn._xlws.FILTER(EDU_DOCENTE[NOMBRE_DOCENTE],
                    ISNUMBER(MATCH(EDU_DOCENTE[MAESTRIA],
                    BQ597:DY597,0))
                )
            )
        ),
        ""
    ),
    TRANSPOSE(
        _xlfn.UNIQUE(EDU_DOCENTE[NOMBRE_DOCENTE]
        )
    )
)</f>
        <v>ALCIVAR CEDEÑO BEATRIZ ISABEL</v>
      </c>
      <c r="EB597" t="str">
        <v>ALCIVAR VERA GEMA MICHELLE</v>
      </c>
      <c r="EC597" t="str">
        <v>ARAUZ CHAVEZ MARIO ROBERTO</v>
      </c>
      <c r="ED597" t="str">
        <v>BAILON LOURIDO WALTER ALBERTO</v>
      </c>
      <c r="EE597" t="str">
        <v>CALDERERO VILLAGOMEZ ERICK ANTONIO</v>
      </c>
      <c r="EF597" t="str">
        <v>CASTILLO GARCIA PAOLA GERMANIA</v>
      </c>
      <c r="EG597" t="str">
        <v>CEDEÑO CHOEZ PEDRO JAVIER</v>
      </c>
      <c r="EH597" t="str">
        <v>CEVALLOS HOPPE JUAN CARLOS</v>
      </c>
      <c r="EI597" t="str">
        <v>DELGADO CHAVEZ MARIA IRASEMA</v>
      </c>
      <c r="EJ597" t="str">
        <v>DUARTE VALENCIA CRISTHIAN DARIO</v>
      </c>
      <c r="EK597" t="str">
        <v>FORTTY BARBERAN DENNY ALEXANDER</v>
      </c>
      <c r="EL597" t="str">
        <v>GUTIERREZ ZAMBRANO CARMEN EBELINA</v>
      </c>
      <c r="EM597" t="str">
        <v>INTRIAGO MOLINA GEMA VALERIA</v>
      </c>
      <c r="EN597" t="str">
        <v>LINO VELEZ LEONEL LIVINGTON</v>
      </c>
      <c r="EO597" t="str">
        <v>LOOR ALCIVAR MARIA ILIANA</v>
      </c>
      <c r="EP597" t="str">
        <v>LOOR MIELES TANIA JACQUELINE</v>
      </c>
      <c r="EQ597" t="str">
        <v>LOOR SOLORZANO ROSA MARIA</v>
      </c>
      <c r="ER597" t="str">
        <v>LOPEZ DELGADO RONALD MAURICIO</v>
      </c>
      <c r="ES597" t="str">
        <v>MACIAS VALENCIA DAVID GABRIEL</v>
      </c>
      <c r="ET597" t="str">
        <v>MENDOZA ZAMORA WALTER MANUEL</v>
      </c>
      <c r="EU597" t="str">
        <v>MOLINA CEVALLOS MARIA LORENA</v>
      </c>
      <c r="EV597" t="str">
        <v>MURILLO DELGADO ISAAC GABRIEL</v>
      </c>
      <c r="EW597" t="str">
        <v>ANGULO MURILLO NAVIRA GISSELA</v>
      </c>
      <c r="EX597" t="str">
        <v>OCHOA SOLEDISPA NESTOR IVAN</v>
      </c>
      <c r="EY597" t="str">
        <v>PARRAGA FRANCO SILVANA MARIELA</v>
      </c>
      <c r="EZ597" t="str">
        <v>PINARGOTE VASQUEZ NANCY FABIOLA</v>
      </c>
      <c r="FA597" t="str">
        <v>REYES VELEZ PEDRO ENRIQUE</v>
      </c>
      <c r="FB597" t="str">
        <v>SAN ANDRES HORMAZA DALLAS CECILIA</v>
      </c>
      <c r="FC597" t="str">
        <v>SORNOZA ZAMORA JUAN CARLOS</v>
      </c>
      <c r="FD597" t="str">
        <v>TOMALA PINTO JESUS JACINTO</v>
      </c>
      <c r="FE597" t="str">
        <v>VALLE JARAMILLO SILVIA ARACELY</v>
      </c>
      <c r="FF597" t="str">
        <v>VELÁSQUEZ BRAVO IRMA KATHERINE</v>
      </c>
      <c r="FG597" t="str">
        <v>VELEZ MENDOZA LAYSY VALERIA</v>
      </c>
      <c r="FH597" t="str">
        <v>VINUEZA TELLO SHIRLEY ELIZABETH</v>
      </c>
      <c r="FI597" t="str">
        <v>ZAMBRANO ALCIVAR NILDA ISABEL</v>
      </c>
      <c r="FJ597" t="str">
        <v>ZAMBRANO LOOR RITA MAYDA</v>
      </c>
      <c r="FK597" t="str">
        <v>ZAMBRANO VERA MONICA JANETH</v>
      </c>
      <c r="FL597" t="str">
        <v>VERA DELGADO BRYAN ADRIÁN</v>
      </c>
      <c r="FM597" t="str">
        <v>MORAN GONZALES DAVID RENATO</v>
      </c>
      <c r="FN597">
        <v>0</v>
      </c>
    </row>
    <row r="598" spans="1:170" ht="20.25" customHeight="1">
      <c r="A598" s="4" t="str" cm="1">
        <f t="array" ref="A598">TRANSPOSE(_xlfn.UNIQUE(_xlfn._xlws.FILTER(MAE_ASIGNATURA[ID_NIVEL],MAE_ASIGNATURA[ID_CARRERA]=ASIGNACION!$C598,"No existe información")))</f>
        <v>No existe información</v>
      </c>
      <c r="S598" s="4" t="str" cm="1">
        <f t="array" ref="S598">TRANSPOSE(_xlfn.UNIQUE(_xlfn._xlws.FILTER(MAE_ASIGNATURA[NOM_ASIG],(MAE_ASIGNATURA[ID_NIVEL]=ASIGNACION!$D598)*(MAE_ASIGNATURA[ID_CARRERA]=ASIGNACION!$C598),"No existe información")))</f>
        <v>No existe información</v>
      </c>
      <c r="BD598" s="4" t="str" cm="1">
        <f t="array" ref="BD598">TRANSPOSE(_xlfn.UNIQUE(_xlfn._xlws.FILTER(DET_ASIG[DETALLADO],(DET_ASIG[ID_CARRERA]=ASIGNACION!$C598)*(DET_ASIG[NIVEL]=ASIGNACION!$D598)*(DET_ASIG[ID_ASIG]=ASIGNACION!$G598),"No existe información")))</f>
        <v>No existe información</v>
      </c>
      <c r="BQ598" s="5" t="str" cm="1">
        <f t="array" ref="BQ598">IFERROR(
    TRANSPOSE(
        _xlfn.UNIQUE(
            _xlfn._xlws.FILTER(MAESTRIA_DETALLADO[MAESTRIA],
                ISNUMBER(MATCH(MAESTRIA_DETALLADO[CAMPO_DETALLADO],
                BD598:BP598,0))
            )
        )
    ),IF(BD598="ACTIVIDAD","DOCENCIA",""))</f>
        <v/>
      </c>
      <c r="EA598" s="5" t="str" cm="1">
        <f t="array" ref="EA598:FN598">IF(
    ASIGNACION!I598="SI",
    IFERROR(
        TRANSPOSE(
            _xlfn.UNIQUE(
                _xlfn._xlws.FILTER(EDU_DOCENTE[NOMBRE_DOCENTE],
                    ISNUMBER(MATCH(EDU_DOCENTE[MAESTRIA],
                    BQ598:DY598,0))
                )
            )
        ),
        ""
    ),
    TRANSPOSE(
        _xlfn.UNIQUE(EDU_DOCENTE[NOMBRE_DOCENTE]
        )
    )
)</f>
        <v>ALCIVAR CEDEÑO BEATRIZ ISABEL</v>
      </c>
      <c r="EB598" t="str">
        <v>ALCIVAR VERA GEMA MICHELLE</v>
      </c>
      <c r="EC598" t="str">
        <v>ARAUZ CHAVEZ MARIO ROBERTO</v>
      </c>
      <c r="ED598" t="str">
        <v>BAILON LOURIDO WALTER ALBERTO</v>
      </c>
      <c r="EE598" t="str">
        <v>CALDERERO VILLAGOMEZ ERICK ANTONIO</v>
      </c>
      <c r="EF598" t="str">
        <v>CASTILLO GARCIA PAOLA GERMANIA</v>
      </c>
      <c r="EG598" t="str">
        <v>CEDEÑO CHOEZ PEDRO JAVIER</v>
      </c>
      <c r="EH598" t="str">
        <v>CEVALLOS HOPPE JUAN CARLOS</v>
      </c>
      <c r="EI598" t="str">
        <v>DELGADO CHAVEZ MARIA IRASEMA</v>
      </c>
      <c r="EJ598" t="str">
        <v>DUARTE VALENCIA CRISTHIAN DARIO</v>
      </c>
      <c r="EK598" t="str">
        <v>FORTTY BARBERAN DENNY ALEXANDER</v>
      </c>
      <c r="EL598" t="str">
        <v>GUTIERREZ ZAMBRANO CARMEN EBELINA</v>
      </c>
      <c r="EM598" t="str">
        <v>INTRIAGO MOLINA GEMA VALERIA</v>
      </c>
      <c r="EN598" t="str">
        <v>LINO VELEZ LEONEL LIVINGTON</v>
      </c>
      <c r="EO598" t="str">
        <v>LOOR ALCIVAR MARIA ILIANA</v>
      </c>
      <c r="EP598" t="str">
        <v>LOOR MIELES TANIA JACQUELINE</v>
      </c>
      <c r="EQ598" t="str">
        <v>LOOR SOLORZANO ROSA MARIA</v>
      </c>
      <c r="ER598" t="str">
        <v>LOPEZ DELGADO RONALD MAURICIO</v>
      </c>
      <c r="ES598" t="str">
        <v>MACIAS VALENCIA DAVID GABRIEL</v>
      </c>
      <c r="ET598" t="str">
        <v>MENDOZA ZAMORA WALTER MANUEL</v>
      </c>
      <c r="EU598" t="str">
        <v>MOLINA CEVALLOS MARIA LORENA</v>
      </c>
      <c r="EV598" t="str">
        <v>MURILLO DELGADO ISAAC GABRIEL</v>
      </c>
      <c r="EW598" t="str">
        <v>ANGULO MURILLO NAVIRA GISSELA</v>
      </c>
      <c r="EX598" t="str">
        <v>OCHOA SOLEDISPA NESTOR IVAN</v>
      </c>
      <c r="EY598" t="str">
        <v>PARRAGA FRANCO SILVANA MARIELA</v>
      </c>
      <c r="EZ598" t="str">
        <v>PINARGOTE VASQUEZ NANCY FABIOLA</v>
      </c>
      <c r="FA598" t="str">
        <v>REYES VELEZ PEDRO ENRIQUE</v>
      </c>
      <c r="FB598" t="str">
        <v>SAN ANDRES HORMAZA DALLAS CECILIA</v>
      </c>
      <c r="FC598" t="str">
        <v>SORNOZA ZAMORA JUAN CARLOS</v>
      </c>
      <c r="FD598" t="str">
        <v>TOMALA PINTO JESUS JACINTO</v>
      </c>
      <c r="FE598" t="str">
        <v>VALLE JARAMILLO SILVIA ARACELY</v>
      </c>
      <c r="FF598" t="str">
        <v>VELÁSQUEZ BRAVO IRMA KATHERINE</v>
      </c>
      <c r="FG598" t="str">
        <v>VELEZ MENDOZA LAYSY VALERIA</v>
      </c>
      <c r="FH598" t="str">
        <v>VINUEZA TELLO SHIRLEY ELIZABETH</v>
      </c>
      <c r="FI598" t="str">
        <v>ZAMBRANO ALCIVAR NILDA ISABEL</v>
      </c>
      <c r="FJ598" t="str">
        <v>ZAMBRANO LOOR RITA MAYDA</v>
      </c>
      <c r="FK598" t="str">
        <v>ZAMBRANO VERA MONICA JANETH</v>
      </c>
      <c r="FL598" t="str">
        <v>VERA DELGADO BRYAN ADRIÁN</v>
      </c>
      <c r="FM598" t="str">
        <v>MORAN GONZALES DAVID RENATO</v>
      </c>
      <c r="FN598">
        <v>0</v>
      </c>
    </row>
    <row r="599" spans="1:170" ht="20.25" customHeight="1">
      <c r="A599" s="4" t="str" cm="1">
        <f t="array" ref="A599">TRANSPOSE(_xlfn.UNIQUE(_xlfn._xlws.FILTER(MAE_ASIGNATURA[ID_NIVEL],MAE_ASIGNATURA[ID_CARRERA]=ASIGNACION!$C599,"No existe información")))</f>
        <v>No existe información</v>
      </c>
      <c r="S599" s="4" t="str" cm="1">
        <f t="array" ref="S599">TRANSPOSE(_xlfn.UNIQUE(_xlfn._xlws.FILTER(MAE_ASIGNATURA[NOM_ASIG],(MAE_ASIGNATURA[ID_NIVEL]=ASIGNACION!$D599)*(MAE_ASIGNATURA[ID_CARRERA]=ASIGNACION!$C599),"No existe información")))</f>
        <v>No existe información</v>
      </c>
      <c r="BD599" s="4" t="str" cm="1">
        <f t="array" ref="BD599">TRANSPOSE(_xlfn.UNIQUE(_xlfn._xlws.FILTER(DET_ASIG[DETALLADO],(DET_ASIG[ID_CARRERA]=ASIGNACION!$C599)*(DET_ASIG[NIVEL]=ASIGNACION!$D599)*(DET_ASIG[ID_ASIG]=ASIGNACION!$G599),"No existe información")))</f>
        <v>No existe información</v>
      </c>
      <c r="BQ599" s="5" t="str" cm="1">
        <f t="array" ref="BQ599">IFERROR(
    TRANSPOSE(
        _xlfn.UNIQUE(
            _xlfn._xlws.FILTER(MAESTRIA_DETALLADO[MAESTRIA],
                ISNUMBER(MATCH(MAESTRIA_DETALLADO[CAMPO_DETALLADO],
                BD599:BP599,0))
            )
        )
    ),IF(BD599="ACTIVIDAD","DOCENCIA",""))</f>
        <v/>
      </c>
      <c r="EA599" s="5" t="str" cm="1">
        <f t="array" ref="EA599:FN599">IF(
    ASIGNACION!I599="SI",
    IFERROR(
        TRANSPOSE(
            _xlfn.UNIQUE(
                _xlfn._xlws.FILTER(EDU_DOCENTE[NOMBRE_DOCENTE],
                    ISNUMBER(MATCH(EDU_DOCENTE[MAESTRIA],
                    BQ599:DY599,0))
                )
            )
        ),
        ""
    ),
    TRANSPOSE(
        _xlfn.UNIQUE(EDU_DOCENTE[NOMBRE_DOCENTE]
        )
    )
)</f>
        <v>ALCIVAR CEDEÑO BEATRIZ ISABEL</v>
      </c>
      <c r="EB599" t="str">
        <v>ALCIVAR VERA GEMA MICHELLE</v>
      </c>
      <c r="EC599" t="str">
        <v>ARAUZ CHAVEZ MARIO ROBERTO</v>
      </c>
      <c r="ED599" t="str">
        <v>BAILON LOURIDO WALTER ALBERTO</v>
      </c>
      <c r="EE599" t="str">
        <v>CALDERERO VILLAGOMEZ ERICK ANTONIO</v>
      </c>
      <c r="EF599" t="str">
        <v>CASTILLO GARCIA PAOLA GERMANIA</v>
      </c>
      <c r="EG599" t="str">
        <v>CEDEÑO CHOEZ PEDRO JAVIER</v>
      </c>
      <c r="EH599" t="str">
        <v>CEVALLOS HOPPE JUAN CARLOS</v>
      </c>
      <c r="EI599" t="str">
        <v>DELGADO CHAVEZ MARIA IRASEMA</v>
      </c>
      <c r="EJ599" t="str">
        <v>DUARTE VALENCIA CRISTHIAN DARIO</v>
      </c>
      <c r="EK599" t="str">
        <v>FORTTY BARBERAN DENNY ALEXANDER</v>
      </c>
      <c r="EL599" t="str">
        <v>GUTIERREZ ZAMBRANO CARMEN EBELINA</v>
      </c>
      <c r="EM599" t="str">
        <v>INTRIAGO MOLINA GEMA VALERIA</v>
      </c>
      <c r="EN599" t="str">
        <v>LINO VELEZ LEONEL LIVINGTON</v>
      </c>
      <c r="EO599" t="str">
        <v>LOOR ALCIVAR MARIA ILIANA</v>
      </c>
      <c r="EP599" t="str">
        <v>LOOR MIELES TANIA JACQUELINE</v>
      </c>
      <c r="EQ599" t="str">
        <v>LOOR SOLORZANO ROSA MARIA</v>
      </c>
      <c r="ER599" t="str">
        <v>LOPEZ DELGADO RONALD MAURICIO</v>
      </c>
      <c r="ES599" t="str">
        <v>MACIAS VALENCIA DAVID GABRIEL</v>
      </c>
      <c r="ET599" t="str">
        <v>MENDOZA ZAMORA WALTER MANUEL</v>
      </c>
      <c r="EU599" t="str">
        <v>MOLINA CEVALLOS MARIA LORENA</v>
      </c>
      <c r="EV599" t="str">
        <v>MURILLO DELGADO ISAAC GABRIEL</v>
      </c>
      <c r="EW599" t="str">
        <v>ANGULO MURILLO NAVIRA GISSELA</v>
      </c>
      <c r="EX599" t="str">
        <v>OCHOA SOLEDISPA NESTOR IVAN</v>
      </c>
      <c r="EY599" t="str">
        <v>PARRAGA FRANCO SILVANA MARIELA</v>
      </c>
      <c r="EZ599" t="str">
        <v>PINARGOTE VASQUEZ NANCY FABIOLA</v>
      </c>
      <c r="FA599" t="str">
        <v>REYES VELEZ PEDRO ENRIQUE</v>
      </c>
      <c r="FB599" t="str">
        <v>SAN ANDRES HORMAZA DALLAS CECILIA</v>
      </c>
      <c r="FC599" t="str">
        <v>SORNOZA ZAMORA JUAN CARLOS</v>
      </c>
      <c r="FD599" t="str">
        <v>TOMALA PINTO JESUS JACINTO</v>
      </c>
      <c r="FE599" t="str">
        <v>VALLE JARAMILLO SILVIA ARACELY</v>
      </c>
      <c r="FF599" t="str">
        <v>VELÁSQUEZ BRAVO IRMA KATHERINE</v>
      </c>
      <c r="FG599" t="str">
        <v>VELEZ MENDOZA LAYSY VALERIA</v>
      </c>
      <c r="FH599" t="str">
        <v>VINUEZA TELLO SHIRLEY ELIZABETH</v>
      </c>
      <c r="FI599" t="str">
        <v>ZAMBRANO ALCIVAR NILDA ISABEL</v>
      </c>
      <c r="FJ599" t="str">
        <v>ZAMBRANO LOOR RITA MAYDA</v>
      </c>
      <c r="FK599" t="str">
        <v>ZAMBRANO VERA MONICA JANETH</v>
      </c>
      <c r="FL599" t="str">
        <v>VERA DELGADO BRYAN ADRIÁN</v>
      </c>
      <c r="FM599" t="str">
        <v>MORAN GONZALES DAVID RENATO</v>
      </c>
      <c r="FN599">
        <v>0</v>
      </c>
    </row>
    <row r="600" spans="1:170" ht="20.25" customHeight="1">
      <c r="A600" s="4" t="str" cm="1">
        <f t="array" ref="A600">TRANSPOSE(_xlfn.UNIQUE(_xlfn._xlws.FILTER(MAE_ASIGNATURA[ID_NIVEL],MAE_ASIGNATURA[ID_CARRERA]=ASIGNACION!$C600,"No existe información")))</f>
        <v>No existe información</v>
      </c>
      <c r="S600" s="4" t="str" cm="1">
        <f t="array" ref="S600">TRANSPOSE(_xlfn.UNIQUE(_xlfn._xlws.FILTER(MAE_ASIGNATURA[NOM_ASIG],(MAE_ASIGNATURA[ID_NIVEL]=ASIGNACION!$D600)*(MAE_ASIGNATURA[ID_CARRERA]=ASIGNACION!$C600),"No existe información")))</f>
        <v>No existe información</v>
      </c>
      <c r="BD600" s="4" t="str" cm="1">
        <f t="array" ref="BD600">TRANSPOSE(_xlfn.UNIQUE(_xlfn._xlws.FILTER(DET_ASIG[DETALLADO],(DET_ASIG[ID_CARRERA]=ASIGNACION!$C600)*(DET_ASIG[NIVEL]=ASIGNACION!$D600)*(DET_ASIG[ID_ASIG]=ASIGNACION!$G600),"No existe información")))</f>
        <v>No existe información</v>
      </c>
      <c r="BQ600" s="5" t="str" cm="1">
        <f t="array" ref="BQ600">IFERROR(
    TRANSPOSE(
        _xlfn.UNIQUE(
            _xlfn._xlws.FILTER(MAESTRIA_DETALLADO[MAESTRIA],
                ISNUMBER(MATCH(MAESTRIA_DETALLADO[CAMPO_DETALLADO],
                BD600:BP600,0))
            )
        )
    ),IF(BD600="ACTIVIDAD","DOCENCIA",""))</f>
        <v/>
      </c>
      <c r="EA600" s="5" t="str" cm="1">
        <f t="array" ref="EA600:FN600">IF(
    ASIGNACION!I600="SI",
    IFERROR(
        TRANSPOSE(
            _xlfn.UNIQUE(
                _xlfn._xlws.FILTER(EDU_DOCENTE[NOMBRE_DOCENTE],
                    ISNUMBER(MATCH(EDU_DOCENTE[MAESTRIA],
                    BQ600:DY600,0))
                )
            )
        ),
        ""
    ),
    TRANSPOSE(
        _xlfn.UNIQUE(EDU_DOCENTE[NOMBRE_DOCENTE]
        )
    )
)</f>
        <v>ALCIVAR CEDEÑO BEATRIZ ISABEL</v>
      </c>
      <c r="EB600" t="str">
        <v>ALCIVAR VERA GEMA MICHELLE</v>
      </c>
      <c r="EC600" t="str">
        <v>ARAUZ CHAVEZ MARIO ROBERTO</v>
      </c>
      <c r="ED600" t="str">
        <v>BAILON LOURIDO WALTER ALBERTO</v>
      </c>
      <c r="EE600" t="str">
        <v>CALDERERO VILLAGOMEZ ERICK ANTONIO</v>
      </c>
      <c r="EF600" t="str">
        <v>CASTILLO GARCIA PAOLA GERMANIA</v>
      </c>
      <c r="EG600" t="str">
        <v>CEDEÑO CHOEZ PEDRO JAVIER</v>
      </c>
      <c r="EH600" t="str">
        <v>CEVALLOS HOPPE JUAN CARLOS</v>
      </c>
      <c r="EI600" t="str">
        <v>DELGADO CHAVEZ MARIA IRASEMA</v>
      </c>
      <c r="EJ600" t="str">
        <v>DUARTE VALENCIA CRISTHIAN DARIO</v>
      </c>
      <c r="EK600" t="str">
        <v>FORTTY BARBERAN DENNY ALEXANDER</v>
      </c>
      <c r="EL600" t="str">
        <v>GUTIERREZ ZAMBRANO CARMEN EBELINA</v>
      </c>
      <c r="EM600" t="str">
        <v>INTRIAGO MOLINA GEMA VALERIA</v>
      </c>
      <c r="EN600" t="str">
        <v>LINO VELEZ LEONEL LIVINGTON</v>
      </c>
      <c r="EO600" t="str">
        <v>LOOR ALCIVAR MARIA ILIANA</v>
      </c>
      <c r="EP600" t="str">
        <v>LOOR MIELES TANIA JACQUELINE</v>
      </c>
      <c r="EQ600" t="str">
        <v>LOOR SOLORZANO ROSA MARIA</v>
      </c>
      <c r="ER600" t="str">
        <v>LOPEZ DELGADO RONALD MAURICIO</v>
      </c>
      <c r="ES600" t="str">
        <v>MACIAS VALENCIA DAVID GABRIEL</v>
      </c>
      <c r="ET600" t="str">
        <v>MENDOZA ZAMORA WALTER MANUEL</v>
      </c>
      <c r="EU600" t="str">
        <v>MOLINA CEVALLOS MARIA LORENA</v>
      </c>
      <c r="EV600" t="str">
        <v>MURILLO DELGADO ISAAC GABRIEL</v>
      </c>
      <c r="EW600" t="str">
        <v>ANGULO MURILLO NAVIRA GISSELA</v>
      </c>
      <c r="EX600" t="str">
        <v>OCHOA SOLEDISPA NESTOR IVAN</v>
      </c>
      <c r="EY600" t="str">
        <v>PARRAGA FRANCO SILVANA MARIELA</v>
      </c>
      <c r="EZ600" t="str">
        <v>PINARGOTE VASQUEZ NANCY FABIOLA</v>
      </c>
      <c r="FA600" t="str">
        <v>REYES VELEZ PEDRO ENRIQUE</v>
      </c>
      <c r="FB600" t="str">
        <v>SAN ANDRES HORMAZA DALLAS CECILIA</v>
      </c>
      <c r="FC600" t="str">
        <v>SORNOZA ZAMORA JUAN CARLOS</v>
      </c>
      <c r="FD600" t="str">
        <v>TOMALA PINTO JESUS JACINTO</v>
      </c>
      <c r="FE600" t="str">
        <v>VALLE JARAMILLO SILVIA ARACELY</v>
      </c>
      <c r="FF600" t="str">
        <v>VELÁSQUEZ BRAVO IRMA KATHERINE</v>
      </c>
      <c r="FG600" t="str">
        <v>VELEZ MENDOZA LAYSY VALERIA</v>
      </c>
      <c r="FH600" t="str">
        <v>VINUEZA TELLO SHIRLEY ELIZABETH</v>
      </c>
      <c r="FI600" t="str">
        <v>ZAMBRANO ALCIVAR NILDA ISABEL</v>
      </c>
      <c r="FJ600" t="str">
        <v>ZAMBRANO LOOR RITA MAYDA</v>
      </c>
      <c r="FK600" t="str">
        <v>ZAMBRANO VERA MONICA JANETH</v>
      </c>
      <c r="FL600" t="str">
        <v>VERA DELGADO BRYAN ADRIÁN</v>
      </c>
      <c r="FM600" t="str">
        <v>MORAN GONZALES DAVID RENATO</v>
      </c>
      <c r="FN600">
        <v>0</v>
      </c>
    </row>
    <row r="601" spans="1:170" ht="20.25" customHeight="1">
      <c r="A601" s="4" t="str" cm="1">
        <f t="array" ref="A601">TRANSPOSE(_xlfn.UNIQUE(_xlfn._xlws.FILTER(MAE_ASIGNATURA[ID_NIVEL],MAE_ASIGNATURA[ID_CARRERA]=ASIGNACION!$C601,"No existe información")))</f>
        <v>No existe información</v>
      </c>
      <c r="S601" s="4" t="str" cm="1">
        <f t="array" ref="S601">TRANSPOSE(_xlfn.UNIQUE(_xlfn._xlws.FILTER(MAE_ASIGNATURA[NOM_ASIG],(MAE_ASIGNATURA[ID_NIVEL]=ASIGNACION!$D601)*(MAE_ASIGNATURA[ID_CARRERA]=ASIGNACION!$C601),"No existe información")))</f>
        <v>No existe información</v>
      </c>
      <c r="BD601" s="4" t="str" cm="1">
        <f t="array" ref="BD601">TRANSPOSE(_xlfn.UNIQUE(_xlfn._xlws.FILTER(DET_ASIG[DETALLADO],(DET_ASIG[ID_CARRERA]=ASIGNACION!$C601)*(DET_ASIG[NIVEL]=ASIGNACION!$D601)*(DET_ASIG[ID_ASIG]=ASIGNACION!$G601),"No existe información")))</f>
        <v>No existe información</v>
      </c>
      <c r="BQ601" s="5" t="str" cm="1">
        <f t="array" ref="BQ601">IFERROR(
    TRANSPOSE(
        _xlfn.UNIQUE(
            _xlfn._xlws.FILTER(MAESTRIA_DETALLADO[MAESTRIA],
                ISNUMBER(MATCH(MAESTRIA_DETALLADO[CAMPO_DETALLADO],
                BD601:BP601,0))
            )
        )
    ),IF(BD601="ACTIVIDAD","DOCENCIA",""))</f>
        <v/>
      </c>
      <c r="EA601" s="5" t="str" cm="1">
        <f t="array" ref="EA601:FN601">IF(
    ASIGNACION!I601="SI",
    IFERROR(
        TRANSPOSE(
            _xlfn.UNIQUE(
                _xlfn._xlws.FILTER(EDU_DOCENTE[NOMBRE_DOCENTE],
                    ISNUMBER(MATCH(EDU_DOCENTE[MAESTRIA],
                    BQ601:DY601,0))
                )
            )
        ),
        ""
    ),
    TRANSPOSE(
        _xlfn.UNIQUE(EDU_DOCENTE[NOMBRE_DOCENTE]
        )
    )
)</f>
        <v>ALCIVAR CEDEÑO BEATRIZ ISABEL</v>
      </c>
      <c r="EB601" t="str">
        <v>ALCIVAR VERA GEMA MICHELLE</v>
      </c>
      <c r="EC601" t="str">
        <v>ARAUZ CHAVEZ MARIO ROBERTO</v>
      </c>
      <c r="ED601" t="str">
        <v>BAILON LOURIDO WALTER ALBERTO</v>
      </c>
      <c r="EE601" t="str">
        <v>CALDERERO VILLAGOMEZ ERICK ANTONIO</v>
      </c>
      <c r="EF601" t="str">
        <v>CASTILLO GARCIA PAOLA GERMANIA</v>
      </c>
      <c r="EG601" t="str">
        <v>CEDEÑO CHOEZ PEDRO JAVIER</v>
      </c>
      <c r="EH601" t="str">
        <v>CEVALLOS HOPPE JUAN CARLOS</v>
      </c>
      <c r="EI601" t="str">
        <v>DELGADO CHAVEZ MARIA IRASEMA</v>
      </c>
      <c r="EJ601" t="str">
        <v>DUARTE VALENCIA CRISTHIAN DARIO</v>
      </c>
      <c r="EK601" t="str">
        <v>FORTTY BARBERAN DENNY ALEXANDER</v>
      </c>
      <c r="EL601" t="str">
        <v>GUTIERREZ ZAMBRANO CARMEN EBELINA</v>
      </c>
      <c r="EM601" t="str">
        <v>INTRIAGO MOLINA GEMA VALERIA</v>
      </c>
      <c r="EN601" t="str">
        <v>LINO VELEZ LEONEL LIVINGTON</v>
      </c>
      <c r="EO601" t="str">
        <v>LOOR ALCIVAR MARIA ILIANA</v>
      </c>
      <c r="EP601" t="str">
        <v>LOOR MIELES TANIA JACQUELINE</v>
      </c>
      <c r="EQ601" t="str">
        <v>LOOR SOLORZANO ROSA MARIA</v>
      </c>
      <c r="ER601" t="str">
        <v>LOPEZ DELGADO RONALD MAURICIO</v>
      </c>
      <c r="ES601" t="str">
        <v>MACIAS VALENCIA DAVID GABRIEL</v>
      </c>
      <c r="ET601" t="str">
        <v>MENDOZA ZAMORA WALTER MANUEL</v>
      </c>
      <c r="EU601" t="str">
        <v>MOLINA CEVALLOS MARIA LORENA</v>
      </c>
      <c r="EV601" t="str">
        <v>MURILLO DELGADO ISAAC GABRIEL</v>
      </c>
      <c r="EW601" t="str">
        <v>ANGULO MURILLO NAVIRA GISSELA</v>
      </c>
      <c r="EX601" t="str">
        <v>OCHOA SOLEDISPA NESTOR IVAN</v>
      </c>
      <c r="EY601" t="str">
        <v>PARRAGA FRANCO SILVANA MARIELA</v>
      </c>
      <c r="EZ601" t="str">
        <v>PINARGOTE VASQUEZ NANCY FABIOLA</v>
      </c>
      <c r="FA601" t="str">
        <v>REYES VELEZ PEDRO ENRIQUE</v>
      </c>
      <c r="FB601" t="str">
        <v>SAN ANDRES HORMAZA DALLAS CECILIA</v>
      </c>
      <c r="FC601" t="str">
        <v>SORNOZA ZAMORA JUAN CARLOS</v>
      </c>
      <c r="FD601" t="str">
        <v>TOMALA PINTO JESUS JACINTO</v>
      </c>
      <c r="FE601" t="str">
        <v>VALLE JARAMILLO SILVIA ARACELY</v>
      </c>
      <c r="FF601" t="str">
        <v>VELÁSQUEZ BRAVO IRMA KATHERINE</v>
      </c>
      <c r="FG601" t="str">
        <v>VELEZ MENDOZA LAYSY VALERIA</v>
      </c>
      <c r="FH601" t="str">
        <v>VINUEZA TELLO SHIRLEY ELIZABETH</v>
      </c>
      <c r="FI601" t="str">
        <v>ZAMBRANO ALCIVAR NILDA ISABEL</v>
      </c>
      <c r="FJ601" t="str">
        <v>ZAMBRANO LOOR RITA MAYDA</v>
      </c>
      <c r="FK601" t="str">
        <v>ZAMBRANO VERA MONICA JANETH</v>
      </c>
      <c r="FL601" t="str">
        <v>VERA DELGADO BRYAN ADRIÁN</v>
      </c>
      <c r="FM601" t="str">
        <v>MORAN GONZALES DAVID RENATO</v>
      </c>
      <c r="FN601">
        <v>0</v>
      </c>
    </row>
    <row r="602" spans="1:170" ht="20.25" customHeight="1">
      <c r="A602" s="4" t="str" cm="1">
        <f t="array" ref="A602">TRANSPOSE(_xlfn.UNIQUE(_xlfn._xlws.FILTER(MAE_ASIGNATURA[ID_NIVEL],MAE_ASIGNATURA[ID_CARRERA]=ASIGNACION!$C602,"No existe información")))</f>
        <v>No existe información</v>
      </c>
      <c r="S602" s="4" t="str" cm="1">
        <f t="array" ref="S602">TRANSPOSE(_xlfn.UNIQUE(_xlfn._xlws.FILTER(MAE_ASIGNATURA[NOM_ASIG],(MAE_ASIGNATURA[ID_NIVEL]=ASIGNACION!$D602)*(MAE_ASIGNATURA[ID_CARRERA]=ASIGNACION!$C602),"No existe información")))</f>
        <v>No existe información</v>
      </c>
      <c r="BD602" s="4" t="str" cm="1">
        <f t="array" ref="BD602">TRANSPOSE(_xlfn.UNIQUE(_xlfn._xlws.FILTER(DET_ASIG[DETALLADO],(DET_ASIG[ID_CARRERA]=ASIGNACION!$C602)*(DET_ASIG[NIVEL]=ASIGNACION!$D602)*(DET_ASIG[ID_ASIG]=ASIGNACION!$G602),"No existe información")))</f>
        <v>No existe información</v>
      </c>
      <c r="BQ602" s="5" t="str" cm="1">
        <f t="array" ref="BQ602">IFERROR(
    TRANSPOSE(
        _xlfn.UNIQUE(
            _xlfn._xlws.FILTER(MAESTRIA_DETALLADO[MAESTRIA],
                ISNUMBER(MATCH(MAESTRIA_DETALLADO[CAMPO_DETALLADO],
                BD602:BP602,0))
            )
        )
    ),IF(BD602="ACTIVIDAD","DOCENCIA",""))</f>
        <v/>
      </c>
      <c r="EA602" s="5" t="str" cm="1">
        <f t="array" ref="EA602:FN602">IF(
    ASIGNACION!I602="SI",
    IFERROR(
        TRANSPOSE(
            _xlfn.UNIQUE(
                _xlfn._xlws.FILTER(EDU_DOCENTE[NOMBRE_DOCENTE],
                    ISNUMBER(MATCH(EDU_DOCENTE[MAESTRIA],
                    BQ602:DY602,0))
                )
            )
        ),
        ""
    ),
    TRANSPOSE(
        _xlfn.UNIQUE(EDU_DOCENTE[NOMBRE_DOCENTE]
        )
    )
)</f>
        <v>ALCIVAR CEDEÑO BEATRIZ ISABEL</v>
      </c>
      <c r="EB602" t="str">
        <v>ALCIVAR VERA GEMA MICHELLE</v>
      </c>
      <c r="EC602" t="str">
        <v>ARAUZ CHAVEZ MARIO ROBERTO</v>
      </c>
      <c r="ED602" t="str">
        <v>BAILON LOURIDO WALTER ALBERTO</v>
      </c>
      <c r="EE602" t="str">
        <v>CALDERERO VILLAGOMEZ ERICK ANTONIO</v>
      </c>
      <c r="EF602" t="str">
        <v>CASTILLO GARCIA PAOLA GERMANIA</v>
      </c>
      <c r="EG602" t="str">
        <v>CEDEÑO CHOEZ PEDRO JAVIER</v>
      </c>
      <c r="EH602" t="str">
        <v>CEVALLOS HOPPE JUAN CARLOS</v>
      </c>
      <c r="EI602" t="str">
        <v>DELGADO CHAVEZ MARIA IRASEMA</v>
      </c>
      <c r="EJ602" t="str">
        <v>DUARTE VALENCIA CRISTHIAN DARIO</v>
      </c>
      <c r="EK602" t="str">
        <v>FORTTY BARBERAN DENNY ALEXANDER</v>
      </c>
      <c r="EL602" t="str">
        <v>GUTIERREZ ZAMBRANO CARMEN EBELINA</v>
      </c>
      <c r="EM602" t="str">
        <v>INTRIAGO MOLINA GEMA VALERIA</v>
      </c>
      <c r="EN602" t="str">
        <v>LINO VELEZ LEONEL LIVINGTON</v>
      </c>
      <c r="EO602" t="str">
        <v>LOOR ALCIVAR MARIA ILIANA</v>
      </c>
      <c r="EP602" t="str">
        <v>LOOR MIELES TANIA JACQUELINE</v>
      </c>
      <c r="EQ602" t="str">
        <v>LOOR SOLORZANO ROSA MARIA</v>
      </c>
      <c r="ER602" t="str">
        <v>LOPEZ DELGADO RONALD MAURICIO</v>
      </c>
      <c r="ES602" t="str">
        <v>MACIAS VALENCIA DAVID GABRIEL</v>
      </c>
      <c r="ET602" t="str">
        <v>MENDOZA ZAMORA WALTER MANUEL</v>
      </c>
      <c r="EU602" t="str">
        <v>MOLINA CEVALLOS MARIA LORENA</v>
      </c>
      <c r="EV602" t="str">
        <v>MURILLO DELGADO ISAAC GABRIEL</v>
      </c>
      <c r="EW602" t="str">
        <v>ANGULO MURILLO NAVIRA GISSELA</v>
      </c>
      <c r="EX602" t="str">
        <v>OCHOA SOLEDISPA NESTOR IVAN</v>
      </c>
      <c r="EY602" t="str">
        <v>PARRAGA FRANCO SILVANA MARIELA</v>
      </c>
      <c r="EZ602" t="str">
        <v>PINARGOTE VASQUEZ NANCY FABIOLA</v>
      </c>
      <c r="FA602" t="str">
        <v>REYES VELEZ PEDRO ENRIQUE</v>
      </c>
      <c r="FB602" t="str">
        <v>SAN ANDRES HORMAZA DALLAS CECILIA</v>
      </c>
      <c r="FC602" t="str">
        <v>SORNOZA ZAMORA JUAN CARLOS</v>
      </c>
      <c r="FD602" t="str">
        <v>TOMALA PINTO JESUS JACINTO</v>
      </c>
      <c r="FE602" t="str">
        <v>VALLE JARAMILLO SILVIA ARACELY</v>
      </c>
      <c r="FF602" t="str">
        <v>VELÁSQUEZ BRAVO IRMA KATHERINE</v>
      </c>
      <c r="FG602" t="str">
        <v>VELEZ MENDOZA LAYSY VALERIA</v>
      </c>
      <c r="FH602" t="str">
        <v>VINUEZA TELLO SHIRLEY ELIZABETH</v>
      </c>
      <c r="FI602" t="str">
        <v>ZAMBRANO ALCIVAR NILDA ISABEL</v>
      </c>
      <c r="FJ602" t="str">
        <v>ZAMBRANO LOOR RITA MAYDA</v>
      </c>
      <c r="FK602" t="str">
        <v>ZAMBRANO VERA MONICA JANETH</v>
      </c>
      <c r="FL602" t="str">
        <v>VERA DELGADO BRYAN ADRIÁN</v>
      </c>
      <c r="FM602" t="str">
        <v>MORAN GONZALES DAVID RENATO</v>
      </c>
      <c r="FN602">
        <v>0</v>
      </c>
    </row>
    <row r="603" spans="1:170" ht="20.25" customHeight="1">
      <c r="BQ603" s="5" t="str" cm="1">
        <f t="array" ref="BQ603">IFERROR(
    TRANSPOSE(
        _xlfn.UNIQUE(
            _xlfn._xlws.FILTER(MAESTRIA_DETALLADO[MAESTRIA],
                ISNUMBER(MATCH(MAESTRIA_DETALLADO[CAMPO_DETALLADO],
                BD603:BP603,0))
            )
        )
    ),IF(BD603="ACTIVIDAD","DOCENCIA",""))</f>
        <v/>
      </c>
    </row>
    <row r="604" spans="1:170" s="4" customFormat="1" ht="20.25" customHeight="1">
      <c r="BQ604" s="5" t="str" cm="1">
        <f t="array" ref="BQ604">IFERROR(
    TRANSPOSE(
        _xlfn.UNIQUE(
            _xlfn._xlws.FILTER(MAESTRIA_DETALLADO[MAESTRIA],
                ISNUMBER(MATCH(MAESTRIA_DETALLADO[CAMPO_DETALLADO],
                BD604:BP604,0))
            )
        )
    ),IF(BD604="ACTIVIDAD","DOCENCIA",""))</f>
        <v/>
      </c>
    </row>
    <row r="605" spans="1:170" ht="20.25" customHeight="1">
      <c r="BQ605" s="5" t="str" cm="1">
        <f t="array" ref="BQ605">IFERROR(
    TRANSPOSE(
        _xlfn.UNIQUE(
            _xlfn._xlws.FILTER(MAESTRIA_DETALLADO[MAESTRIA],
                ISNUMBER(MATCH(MAESTRIA_DETALLADO[CAMPO_DETALLADO],
                BD605:BP605,0))
            )
        )
    ),IF(BD605="ACTIVIDAD","DOCENCIA",""))</f>
        <v/>
      </c>
    </row>
    <row r="606" spans="1:170" ht="20.25" customHeight="1">
      <c r="BQ606" s="5" t="str" cm="1">
        <f t="array" ref="BQ606">IFERROR(
    TRANSPOSE(
        _xlfn.UNIQUE(
            _xlfn._xlws.FILTER(MAESTRIA_DETALLADO[MAESTRIA],
                ISNUMBER(MATCH(MAESTRIA_DETALLADO[CAMPO_DETALLADO],
                BD606:BP606,0))
            )
        )
    ),IF(BD606="ACTIVIDAD","DOCENCIA",""))</f>
        <v/>
      </c>
    </row>
    <row r="607" spans="1:170" ht="20.25" customHeight="1">
      <c r="BQ607" s="5" t="str" cm="1">
        <f t="array" ref="BQ607">IFERROR(
    TRANSPOSE(
        _xlfn.UNIQUE(
            _xlfn._xlws.FILTER(MAESTRIA_DETALLADO[MAESTRIA],
                ISNUMBER(MATCH(MAESTRIA_DETALLADO[CAMPO_DETALLADO],
                BD607:BP607,0))
            )
        )
    ),IF(BD607="ACTIVIDAD","DOCENCIA",""))</f>
        <v/>
      </c>
    </row>
    <row r="608" spans="1:170" ht="20.25" customHeight="1">
      <c r="BQ608" s="5" t="str" cm="1">
        <f t="array" ref="BQ608">IFERROR(
    TRANSPOSE(
        _xlfn.UNIQUE(
            _xlfn._xlws.FILTER(MAESTRIA_DETALLADO[MAESTRIA],
                ISNUMBER(MATCH(MAESTRIA_DETALLADO[CAMPO_DETALLADO],
                BD608:BP608,0))
            )
        )
    ),IF(BD608="ACTIVIDAD","DOCENCIA",""))</f>
        <v/>
      </c>
    </row>
    <row r="609" spans="69:69" ht="20.25" customHeight="1">
      <c r="BQ609" s="5" t="str" cm="1">
        <f t="array" ref="BQ609">IFERROR(
    TRANSPOSE(
        _xlfn.UNIQUE(
            _xlfn._xlws.FILTER(MAESTRIA_DETALLADO[MAESTRIA],
                ISNUMBER(MATCH(MAESTRIA_DETALLADO[CAMPO_DETALLADO],
                BD609:BP609,0))
            )
        )
    ),IF(BD609="ACTIVIDAD","DOCENCIA",""))</f>
        <v/>
      </c>
    </row>
    <row r="610" spans="69:69" ht="20.25" customHeight="1">
      <c r="BQ610" s="5" t="str" cm="1">
        <f t="array" ref="BQ610">IFERROR(
    TRANSPOSE(
        _xlfn.UNIQUE(
            _xlfn._xlws.FILTER(MAESTRIA_DETALLADO[MAESTRIA],
                ISNUMBER(MATCH(MAESTRIA_DETALLADO[CAMPO_DETALLADO],
                BD610:BP610,0))
            )
        )
    ),IF(BD610="ACTIVIDAD","DOCENCIA",""))</f>
        <v/>
      </c>
    </row>
    <row r="611" spans="69:69" ht="20.25" customHeight="1">
      <c r="BQ611" s="5" t="str" cm="1">
        <f t="array" ref="BQ611">IFERROR(
    TRANSPOSE(
        _xlfn.UNIQUE(
            _xlfn._xlws.FILTER(MAESTRIA_DETALLADO[MAESTRIA],
                ISNUMBER(MATCH(MAESTRIA_DETALLADO[CAMPO_DETALLADO],
                BD611:BP611,0))
            )
        )
    ),IF(BD611="ACTIVIDAD","DOCENCIA",""))</f>
        <v/>
      </c>
    </row>
    <row r="612" spans="69:69" ht="20.25" customHeight="1">
      <c r="BQ612" s="5" t="str" cm="1">
        <f t="array" ref="BQ612">IFERROR(
    TRANSPOSE(
        _xlfn.UNIQUE(
            _xlfn._xlws.FILTER(MAESTRIA_DETALLADO[MAESTRIA],
                ISNUMBER(MATCH(MAESTRIA_DETALLADO[CAMPO_DETALLADO],
                BD612:BP612,0))
            )
        )
    ),IF(BD612="ACTIVIDAD","DOCENCIA",""))</f>
        <v/>
      </c>
    </row>
    <row r="613" spans="69:69" ht="20.25" customHeight="1">
      <c r="BQ613" s="5" t="str" cm="1">
        <f t="array" ref="BQ613">IFERROR(
    TRANSPOSE(
        _xlfn.UNIQUE(
            _xlfn._xlws.FILTER(MAESTRIA_DETALLADO[MAESTRIA],
                ISNUMBER(MATCH(MAESTRIA_DETALLADO[CAMPO_DETALLADO],
                BD613:BP613,0))
            )
        )
    ),IF(BD613="ACTIVIDAD","DOCENCIA",""))</f>
        <v/>
      </c>
    </row>
    <row r="614" spans="69:69" ht="20.25" customHeight="1">
      <c r="BQ614" s="5" t="str" cm="1">
        <f t="array" ref="BQ614">IFERROR(
    TRANSPOSE(
        _xlfn.UNIQUE(
            _xlfn._xlws.FILTER(MAESTRIA_DETALLADO[MAESTRIA],
                ISNUMBER(MATCH(MAESTRIA_DETALLADO[CAMPO_DETALLADO],
                BD614:BP614,0))
            )
        )
    ),IF(BD614="ACTIVIDAD","DOCENCIA",""))</f>
        <v/>
      </c>
    </row>
    <row r="615" spans="69:69" ht="20.25" customHeight="1">
      <c r="BQ615" s="5" t="str" cm="1">
        <f t="array" ref="BQ615">IFERROR(
    TRANSPOSE(
        _xlfn.UNIQUE(
            _xlfn._xlws.FILTER(MAESTRIA_DETALLADO[MAESTRIA],
                ISNUMBER(MATCH(MAESTRIA_DETALLADO[CAMPO_DETALLADO],
                BD615:BP615,0))
            )
        )
    ),IF(BD615="ACTIVIDAD","DOCENCIA",""))</f>
        <v/>
      </c>
    </row>
    <row r="616" spans="69:69" ht="20.25" customHeight="1">
      <c r="BQ616" s="5" t="str" cm="1">
        <f t="array" ref="BQ616">IFERROR(
    TRANSPOSE(
        _xlfn.UNIQUE(
            _xlfn._xlws.FILTER(MAESTRIA_DETALLADO[MAESTRIA],
                ISNUMBER(MATCH(MAESTRIA_DETALLADO[CAMPO_DETALLADO],
                BD616:BP616,0))
            )
        )
    ),IF(BD616="ACTIVIDAD","DOCENCIA",""))</f>
        <v/>
      </c>
    </row>
    <row r="617" spans="69:69" ht="20.25" customHeight="1">
      <c r="BQ617" s="5" t="str" cm="1">
        <f t="array" ref="BQ617">IFERROR(
    TRANSPOSE(
        _xlfn.UNIQUE(
            _xlfn._xlws.FILTER(MAESTRIA_DETALLADO[MAESTRIA],
                ISNUMBER(MATCH(MAESTRIA_DETALLADO[CAMPO_DETALLADO],
                BD617:BP617,0))
            )
        )
    ),IF(BD617="ACTIVIDAD","DOCENCIA",""))</f>
        <v/>
      </c>
    </row>
    <row r="618" spans="69:69" ht="20.25" customHeight="1">
      <c r="BQ618" s="5" t="str" cm="1">
        <f t="array" ref="BQ618">IFERROR(
    TRANSPOSE(
        _xlfn.UNIQUE(
            _xlfn._xlws.FILTER(MAESTRIA_DETALLADO[MAESTRIA],
                ISNUMBER(MATCH(MAESTRIA_DETALLADO[CAMPO_DETALLADO],
                BD618:BP618,0))
            )
        )
    ),IF(BD618="ACTIVIDAD","DOCENCIA",""))</f>
        <v/>
      </c>
    </row>
    <row r="619" spans="69:69" ht="20.25" customHeight="1">
      <c r="BQ619" s="5" t="str" cm="1">
        <f t="array" ref="BQ619">IFERROR(
    TRANSPOSE(
        _xlfn.UNIQUE(
            _xlfn._xlws.FILTER(MAESTRIA_DETALLADO[MAESTRIA],
                ISNUMBER(MATCH(MAESTRIA_DETALLADO[CAMPO_DETALLADO],
                BD619:BP619,0))
            )
        )
    ),IF(BD619="ACTIVIDAD","DOCENCIA",""))</f>
        <v/>
      </c>
    </row>
    <row r="620" spans="69:69" ht="20.25" customHeight="1">
      <c r="BQ620" s="5" t="str" cm="1">
        <f t="array" ref="BQ620">IFERROR(
    TRANSPOSE(
        _xlfn.UNIQUE(
            _xlfn._xlws.FILTER(MAESTRIA_DETALLADO[MAESTRIA],
                ISNUMBER(MATCH(MAESTRIA_DETALLADO[CAMPO_DETALLADO],
                BD620:BP620,0))
            )
        )
    ),IF(BD620="ACTIVIDAD","DOCENCIA",""))</f>
        <v/>
      </c>
    </row>
    <row r="621" spans="69:69" ht="20.25" customHeight="1">
      <c r="BQ621" s="5" t="str" cm="1">
        <f t="array" ref="BQ621">IFERROR(
    TRANSPOSE(
        _xlfn.UNIQUE(
            _xlfn._xlws.FILTER(MAESTRIA_DETALLADO[MAESTRIA],
                ISNUMBER(MATCH(MAESTRIA_DETALLADO[CAMPO_DETALLADO],
                BD621:BP621,0))
            )
        )
    ),IF(BD621="ACTIVIDAD","DOCENCIA",""))</f>
        <v/>
      </c>
    </row>
    <row r="622" spans="69:69" ht="20.25" customHeight="1">
      <c r="BQ622" s="5" t="str" cm="1">
        <f t="array" ref="BQ622">IFERROR(
    TRANSPOSE(
        _xlfn.UNIQUE(
            _xlfn._xlws.FILTER(MAESTRIA_DETALLADO[MAESTRIA],
                ISNUMBER(MATCH(MAESTRIA_DETALLADO[CAMPO_DETALLADO],
                BD622:BP622,0))
            )
        )
    ),IF(BD622="ACTIVIDAD","DOCENCIA",""))</f>
        <v/>
      </c>
    </row>
    <row r="623" spans="69:69" ht="20.25" customHeight="1">
      <c r="BQ623" s="5" t="str" cm="1">
        <f t="array" ref="BQ623">IFERROR(
    TRANSPOSE(
        _xlfn.UNIQUE(
            _xlfn._xlws.FILTER(MAESTRIA_DETALLADO[MAESTRIA],
                ISNUMBER(MATCH(MAESTRIA_DETALLADO[CAMPO_DETALLADO],
                BD623:BP623,0))
            )
        )
    ),IF(BD623="ACTIVIDAD","DOCENCIA",""))</f>
        <v/>
      </c>
    </row>
    <row r="624" spans="69:69" ht="20.25" customHeight="1">
      <c r="BQ624" s="5" t="str" cm="1">
        <f t="array" ref="BQ624">IFERROR(
    TRANSPOSE(
        _xlfn.UNIQUE(
            _xlfn._xlws.FILTER(MAESTRIA_DETALLADO[MAESTRIA],
                ISNUMBER(MATCH(MAESTRIA_DETALLADO[CAMPO_DETALLADO],
                BD624:BP624,0))
            )
        )
    ),IF(BD624="ACTIVIDAD","DOCENCIA",""))</f>
        <v/>
      </c>
    </row>
    <row r="625" spans="69:69" ht="20.25" customHeight="1">
      <c r="BQ625" s="5" t="str" cm="1">
        <f t="array" ref="BQ625">IFERROR(
    TRANSPOSE(
        _xlfn.UNIQUE(
            _xlfn._xlws.FILTER(MAESTRIA_DETALLADO[MAESTRIA],
                ISNUMBER(MATCH(MAESTRIA_DETALLADO[CAMPO_DETALLADO],
                BD625:BP625,0))
            )
        )
    ),IF(BD625="ACTIVIDAD","DOCENCIA",""))</f>
        <v/>
      </c>
    </row>
    <row r="626" spans="69:69" ht="20.25" customHeight="1">
      <c r="BQ626" s="5" t="str" cm="1">
        <f t="array" ref="BQ626">IFERROR(
    TRANSPOSE(
        _xlfn.UNIQUE(
            _xlfn._xlws.FILTER(MAESTRIA_DETALLADO[MAESTRIA],
                ISNUMBER(MATCH(MAESTRIA_DETALLADO[CAMPO_DETALLADO],
                BD626:BP626,0))
            )
        )
    ),IF(BD626="ACTIVIDAD","DOCENCIA",""))</f>
        <v/>
      </c>
    </row>
    <row r="627" spans="69:69" ht="20.25" customHeight="1">
      <c r="BQ627" s="5" t="str" cm="1">
        <f t="array" ref="BQ627">IFERROR(
    TRANSPOSE(
        _xlfn.UNIQUE(
            _xlfn._xlws.FILTER(MAESTRIA_DETALLADO[MAESTRIA],
                ISNUMBER(MATCH(MAESTRIA_DETALLADO[CAMPO_DETALLADO],
                BD627:BP627,0))
            )
        )
    ),IF(BD627="ACTIVIDAD","DOCENCIA",""))</f>
        <v/>
      </c>
    </row>
    <row r="628" spans="69:69" ht="20.25" customHeight="1">
      <c r="BQ628" s="5" t="str" cm="1">
        <f t="array" ref="BQ628">IFERROR(
    TRANSPOSE(
        _xlfn.UNIQUE(
            _xlfn._xlws.FILTER(MAESTRIA_DETALLADO[MAESTRIA],
                ISNUMBER(MATCH(MAESTRIA_DETALLADO[CAMPO_DETALLADO],
                BD628:BP628,0))
            )
        )
    ),IF(BD628="ACTIVIDAD","DOCENCIA",""))</f>
        <v/>
      </c>
    </row>
    <row r="629" spans="69:69" ht="20.25" customHeight="1">
      <c r="BQ629" s="5" t="str" cm="1">
        <f t="array" ref="BQ629">IFERROR(
    TRANSPOSE(
        _xlfn.UNIQUE(
            _xlfn._xlws.FILTER(MAESTRIA_DETALLADO[MAESTRIA],
                ISNUMBER(MATCH(MAESTRIA_DETALLADO[CAMPO_DETALLADO],
                BD629:BP629,0))
            )
        )
    ),IF(BD629="ACTIVIDAD","DOCENCIA",""))</f>
        <v/>
      </c>
    </row>
    <row r="630" spans="69:69" ht="20.25" customHeight="1">
      <c r="BQ630" s="5" t="str" cm="1">
        <f t="array" ref="BQ630">IFERROR(
    TRANSPOSE(
        _xlfn.UNIQUE(
            _xlfn._xlws.FILTER(MAESTRIA_DETALLADO[MAESTRIA],
                ISNUMBER(MATCH(MAESTRIA_DETALLADO[CAMPO_DETALLADO],
                BD630:BP630,0))
            )
        )
    ),IF(BD630="ACTIVIDAD","DOCENCIA",""))</f>
        <v/>
      </c>
    </row>
    <row r="631" spans="69:69" ht="20.25" customHeight="1">
      <c r="BQ631" s="5" t="str" cm="1">
        <f t="array" ref="BQ631">IFERROR(
    TRANSPOSE(
        _xlfn.UNIQUE(
            _xlfn._xlws.FILTER(MAESTRIA_DETALLADO[MAESTRIA],
                ISNUMBER(MATCH(MAESTRIA_DETALLADO[CAMPO_DETALLADO],
                BD631:BP631,0))
            )
        )
    ),IF(BD631="ACTIVIDAD","DOCENCIA",""))</f>
        <v/>
      </c>
    </row>
    <row r="632" spans="69:69" ht="20.25" customHeight="1">
      <c r="BQ632" s="5" t="str" cm="1">
        <f t="array" ref="BQ632">IFERROR(
    TRANSPOSE(
        _xlfn.UNIQUE(
            _xlfn._xlws.FILTER(MAESTRIA_DETALLADO[MAESTRIA],
                ISNUMBER(MATCH(MAESTRIA_DETALLADO[CAMPO_DETALLADO],
                BD632:BP632,0))
            )
        )
    ),IF(BD632="ACTIVIDAD","DOCENCIA",""))</f>
        <v/>
      </c>
    </row>
    <row r="633" spans="69:69" ht="20.25" customHeight="1">
      <c r="BQ633" s="5" t="str" cm="1">
        <f t="array" ref="BQ633">IFERROR(
    TRANSPOSE(
        _xlfn.UNIQUE(
            _xlfn._xlws.FILTER(MAESTRIA_DETALLADO[MAESTRIA],
                ISNUMBER(MATCH(MAESTRIA_DETALLADO[CAMPO_DETALLADO],
                BD633:BP633,0))
            )
        )
    ),IF(BD633="ACTIVIDAD","DOCENCIA",""))</f>
        <v/>
      </c>
    </row>
    <row r="634" spans="69:69" ht="20.25" customHeight="1">
      <c r="BQ634" s="5" t="str" cm="1">
        <f t="array" ref="BQ634">IFERROR(
    TRANSPOSE(
        _xlfn.UNIQUE(
            _xlfn._xlws.FILTER(MAESTRIA_DETALLADO[MAESTRIA],
                ISNUMBER(MATCH(MAESTRIA_DETALLADO[CAMPO_DETALLADO],
                BD634:BP634,0))
            )
        )
    ),IF(BD634="ACTIVIDAD","DOCENCIA",""))</f>
        <v/>
      </c>
    </row>
    <row r="635" spans="69:69" ht="20.25" customHeight="1">
      <c r="BQ635" s="5" t="str" cm="1">
        <f t="array" ref="BQ635">IFERROR(
    TRANSPOSE(
        _xlfn.UNIQUE(
            _xlfn._xlws.FILTER(MAESTRIA_DETALLADO[MAESTRIA],
                ISNUMBER(MATCH(MAESTRIA_DETALLADO[CAMPO_DETALLADO],
                BD635:BP635,0))
            )
        )
    ),IF(BD635="ACTIVIDAD","DOCENCIA",""))</f>
        <v/>
      </c>
    </row>
    <row r="636" spans="69:69" ht="20.25" customHeight="1">
      <c r="BQ636" s="5" t="str" cm="1">
        <f t="array" ref="BQ636">IFERROR(
    TRANSPOSE(
        _xlfn.UNIQUE(
            _xlfn._xlws.FILTER(MAESTRIA_DETALLADO[MAESTRIA],
                ISNUMBER(MATCH(MAESTRIA_DETALLADO[CAMPO_DETALLADO],
                BD636:BP636,0))
            )
        )
    ),IF(BD636="ACTIVIDAD","DOCENCIA",""))</f>
        <v/>
      </c>
    </row>
    <row r="637" spans="69:69" ht="20.25" customHeight="1">
      <c r="BQ637" s="5" t="str" cm="1">
        <f t="array" ref="BQ637">IFERROR(
    TRANSPOSE(
        _xlfn.UNIQUE(
            _xlfn._xlws.FILTER(MAESTRIA_DETALLADO[MAESTRIA],
                ISNUMBER(MATCH(MAESTRIA_DETALLADO[CAMPO_DETALLADO],
                BD637:BP637,0))
            )
        )
    ),IF(BD637="ACTIVIDAD","DOCENCIA",""))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6750-C579-4AB2-A8D8-22165766ABD6}">
  <dimension ref="A1:B37"/>
  <sheetViews>
    <sheetView topLeftCell="A21" workbookViewId="0">
      <selection activeCell="A30" sqref="A30"/>
    </sheetView>
  </sheetViews>
  <sheetFormatPr defaultColWidth="9.140625" defaultRowHeight="15"/>
  <cols>
    <col min="1" max="1" width="18.7109375" bestFit="1" customWidth="1"/>
    <col min="2" max="2" width="62.7109375" bestFit="1" customWidth="1"/>
  </cols>
  <sheetData>
    <row r="1" spans="1:2">
      <c r="A1" t="s">
        <v>42</v>
      </c>
      <c r="B1" t="s">
        <v>43</v>
      </c>
    </row>
    <row r="2" spans="1:2">
      <c r="A2" t="s">
        <v>44</v>
      </c>
      <c r="B2" t="s">
        <v>30</v>
      </c>
    </row>
    <row r="3" spans="1:2">
      <c r="A3" t="s">
        <v>45</v>
      </c>
      <c r="B3" t="s">
        <v>46</v>
      </c>
    </row>
    <row r="4" spans="1:2">
      <c r="A4" t="s">
        <v>47</v>
      </c>
      <c r="B4" t="s">
        <v>48</v>
      </c>
    </row>
    <row r="5" spans="1:2">
      <c r="A5" t="s">
        <v>49</v>
      </c>
      <c r="B5" t="s">
        <v>50</v>
      </c>
    </row>
    <row r="6" spans="1:2">
      <c r="A6" t="s">
        <v>51</v>
      </c>
      <c r="B6" t="s">
        <v>52</v>
      </c>
    </row>
    <row r="7" spans="1:2">
      <c r="A7" t="s">
        <v>53</v>
      </c>
      <c r="B7" t="s">
        <v>54</v>
      </c>
    </row>
    <row r="8" spans="1:2">
      <c r="A8" t="s">
        <v>55</v>
      </c>
      <c r="B8" t="s">
        <v>56</v>
      </c>
    </row>
    <row r="9" spans="1:2">
      <c r="A9" t="s">
        <v>57</v>
      </c>
      <c r="B9" t="s">
        <v>58</v>
      </c>
    </row>
    <row r="10" spans="1:2">
      <c r="A10" t="s">
        <v>59</v>
      </c>
      <c r="B10" t="s">
        <v>60</v>
      </c>
    </row>
    <row r="11" spans="1:2">
      <c r="A11" t="s">
        <v>61</v>
      </c>
      <c r="B11" t="s">
        <v>62</v>
      </c>
    </row>
    <row r="12" spans="1:2">
      <c r="A12" t="s">
        <v>63</v>
      </c>
      <c r="B12" t="s">
        <v>64</v>
      </c>
    </row>
    <row r="13" spans="1:2">
      <c r="A13" t="s">
        <v>65</v>
      </c>
      <c r="B13" t="s">
        <v>66</v>
      </c>
    </row>
    <row r="14" spans="1:2">
      <c r="A14" t="s">
        <v>67</v>
      </c>
      <c r="B14" t="s">
        <v>68</v>
      </c>
    </row>
    <row r="15" spans="1:2">
      <c r="A15" t="s">
        <v>69</v>
      </c>
      <c r="B15" t="s">
        <v>70</v>
      </c>
    </row>
    <row r="16" spans="1:2">
      <c r="A16" t="s">
        <v>71</v>
      </c>
      <c r="B16" t="s">
        <v>72</v>
      </c>
    </row>
    <row r="17" spans="1:2">
      <c r="A17" t="s">
        <v>73</v>
      </c>
      <c r="B17" t="s">
        <v>74</v>
      </c>
    </row>
    <row r="18" spans="1:2">
      <c r="A18" t="s">
        <v>75</v>
      </c>
      <c r="B18" t="s">
        <v>76</v>
      </c>
    </row>
    <row r="19" spans="1:2">
      <c r="A19" t="s">
        <v>77</v>
      </c>
      <c r="B19" t="s">
        <v>78</v>
      </c>
    </row>
    <row r="20" spans="1:2">
      <c r="A20" t="s">
        <v>79</v>
      </c>
      <c r="B20" t="s">
        <v>80</v>
      </c>
    </row>
    <row r="21" spans="1:2">
      <c r="A21" t="s">
        <v>81</v>
      </c>
      <c r="B21" t="s">
        <v>82</v>
      </c>
    </row>
    <row r="22" spans="1:2">
      <c r="A22" t="s">
        <v>83</v>
      </c>
      <c r="B22" t="s">
        <v>84</v>
      </c>
    </row>
    <row r="23" spans="1:2">
      <c r="A23" t="s">
        <v>85</v>
      </c>
      <c r="B23" t="s">
        <v>86</v>
      </c>
    </row>
    <row r="24" spans="1:2">
      <c r="A24" t="s">
        <v>87</v>
      </c>
      <c r="B24" t="s">
        <v>88</v>
      </c>
    </row>
    <row r="25" spans="1:2">
      <c r="A25" t="s">
        <v>89</v>
      </c>
      <c r="B25" t="s">
        <v>90</v>
      </c>
    </row>
    <row r="26" spans="1:2">
      <c r="A26" t="s">
        <v>91</v>
      </c>
      <c r="B26" t="s">
        <v>92</v>
      </c>
    </row>
    <row r="27" spans="1:2">
      <c r="A27" t="s">
        <v>93</v>
      </c>
      <c r="B27" t="s">
        <v>94</v>
      </c>
    </row>
    <row r="28" spans="1:2">
      <c r="A28" t="s">
        <v>95</v>
      </c>
      <c r="B28" t="s">
        <v>96</v>
      </c>
    </row>
    <row r="29" spans="1:2">
      <c r="A29" t="s">
        <v>97</v>
      </c>
      <c r="B29" t="s">
        <v>35</v>
      </c>
    </row>
    <row r="30" spans="1:2">
      <c r="A30" t="s">
        <v>98</v>
      </c>
      <c r="B30" t="s">
        <v>99</v>
      </c>
    </row>
    <row r="31" spans="1:2">
      <c r="A31" t="s">
        <v>100</v>
      </c>
      <c r="B31" t="s">
        <v>101</v>
      </c>
    </row>
    <row r="32" spans="1:2">
      <c r="A32" t="s">
        <v>102</v>
      </c>
      <c r="B32" t="s">
        <v>103</v>
      </c>
    </row>
    <row r="33" spans="1:2">
      <c r="A33" t="s">
        <v>104</v>
      </c>
      <c r="B33" t="s">
        <v>105</v>
      </c>
    </row>
    <row r="34" spans="1:2">
      <c r="A34" t="s">
        <v>106</v>
      </c>
    </row>
    <row r="35" spans="1:2">
      <c r="A35" t="s">
        <v>106</v>
      </c>
    </row>
    <row r="36" spans="1:2">
      <c r="A36" t="s">
        <v>106</v>
      </c>
    </row>
    <row r="37" spans="1:2">
      <c r="A37" t="s">
        <v>106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37D6-128D-48AE-A231-08EDBB89E278}">
  <dimension ref="A1:G18"/>
  <sheetViews>
    <sheetView workbookViewId="0"/>
  </sheetViews>
  <sheetFormatPr defaultColWidth="9.140625" defaultRowHeight="15"/>
  <cols>
    <col min="1" max="1" width="17" bestFit="1" customWidth="1"/>
    <col min="2" max="2" width="42.85546875" bestFit="1" customWidth="1"/>
    <col min="3" max="3" width="12.140625" bestFit="1" customWidth="1"/>
    <col min="4" max="5" width="15.7109375" bestFit="1" customWidth="1"/>
    <col min="6" max="6" width="13" bestFit="1" customWidth="1"/>
    <col min="7" max="7" width="10.42578125" bestFit="1" customWidth="1"/>
    <col min="8" max="8" width="13.28515625" bestFit="1" customWidth="1"/>
    <col min="9" max="10" width="11.140625" bestFit="1" customWidth="1"/>
  </cols>
  <sheetData>
    <row r="1" spans="1:7">
      <c r="A1" t="s">
        <v>2</v>
      </c>
      <c r="B1" t="s">
        <v>107</v>
      </c>
      <c r="C1" t="s">
        <v>108</v>
      </c>
      <c r="D1" t="s">
        <v>21</v>
      </c>
      <c r="E1" t="s">
        <v>109</v>
      </c>
      <c r="F1" t="s">
        <v>110</v>
      </c>
      <c r="G1" t="s">
        <v>111</v>
      </c>
    </row>
    <row r="2" spans="1:7">
      <c r="A2" t="s">
        <v>112</v>
      </c>
      <c r="B2" t="s">
        <v>113</v>
      </c>
      <c r="C2">
        <v>16</v>
      </c>
      <c r="D2">
        <v>240</v>
      </c>
      <c r="E2" s="3">
        <v>43831</v>
      </c>
      <c r="F2" s="3">
        <v>51501</v>
      </c>
      <c r="G2" t="s">
        <v>114</v>
      </c>
    </row>
    <row r="3" spans="1:7">
      <c r="A3" t="s">
        <v>115</v>
      </c>
      <c r="B3" t="s">
        <v>116</v>
      </c>
      <c r="C3">
        <v>16</v>
      </c>
      <c r="D3">
        <v>240</v>
      </c>
      <c r="E3" s="3">
        <v>43831</v>
      </c>
      <c r="F3" s="3">
        <v>51501</v>
      </c>
      <c r="G3" t="s">
        <v>114</v>
      </c>
    </row>
    <row r="4" spans="1:7">
      <c r="A4" t="s">
        <v>117</v>
      </c>
      <c r="B4" t="s">
        <v>118</v>
      </c>
      <c r="C4">
        <v>16</v>
      </c>
      <c r="D4">
        <v>240</v>
      </c>
      <c r="E4" s="3">
        <v>43831</v>
      </c>
      <c r="F4" s="3">
        <v>51501</v>
      </c>
      <c r="G4" t="s">
        <v>114</v>
      </c>
    </row>
    <row r="5" spans="1:7">
      <c r="A5" t="s">
        <v>119</v>
      </c>
      <c r="B5" t="s">
        <v>120</v>
      </c>
      <c r="C5">
        <v>16</v>
      </c>
      <c r="D5">
        <v>240</v>
      </c>
      <c r="E5" s="3">
        <v>43831</v>
      </c>
      <c r="F5" s="3">
        <v>51501</v>
      </c>
      <c r="G5" t="s">
        <v>114</v>
      </c>
    </row>
    <row r="6" spans="1:7">
      <c r="A6" t="s">
        <v>121</v>
      </c>
      <c r="B6" t="s">
        <v>23</v>
      </c>
      <c r="C6">
        <v>16</v>
      </c>
      <c r="D6">
        <v>240</v>
      </c>
      <c r="E6" s="3">
        <v>43831</v>
      </c>
      <c r="F6" s="3">
        <v>51501</v>
      </c>
      <c r="G6" t="s">
        <v>114</v>
      </c>
    </row>
    <row r="7" spans="1:7">
      <c r="A7" t="s">
        <v>122</v>
      </c>
      <c r="B7" t="s">
        <v>123</v>
      </c>
      <c r="C7">
        <v>16</v>
      </c>
      <c r="D7">
        <v>240</v>
      </c>
      <c r="E7" s="3">
        <v>43831</v>
      </c>
      <c r="F7" s="3">
        <v>51501</v>
      </c>
      <c r="G7" t="s">
        <v>114</v>
      </c>
    </row>
    <row r="8" spans="1:7">
      <c r="A8" t="s">
        <v>124</v>
      </c>
      <c r="B8" t="s">
        <v>125</v>
      </c>
      <c r="C8">
        <v>16</v>
      </c>
      <c r="D8">
        <v>240</v>
      </c>
      <c r="E8" s="3">
        <v>43831</v>
      </c>
      <c r="F8" s="3">
        <v>51501</v>
      </c>
      <c r="G8" t="s">
        <v>114</v>
      </c>
    </row>
    <row r="9" spans="1:7">
      <c r="A9" t="s">
        <v>126</v>
      </c>
      <c r="B9" t="s">
        <v>127</v>
      </c>
      <c r="C9">
        <v>16</v>
      </c>
      <c r="D9">
        <v>240</v>
      </c>
      <c r="E9" s="3">
        <v>43831</v>
      </c>
      <c r="F9" s="3">
        <v>51501</v>
      </c>
      <c r="G9" t="s">
        <v>114</v>
      </c>
    </row>
    <row r="10" spans="1:7">
      <c r="A10" t="s">
        <v>128</v>
      </c>
      <c r="B10" t="s">
        <v>129</v>
      </c>
      <c r="C10">
        <v>16</v>
      </c>
      <c r="D10">
        <v>240</v>
      </c>
      <c r="E10" s="3">
        <v>43831</v>
      </c>
      <c r="F10" s="3">
        <v>51501</v>
      </c>
      <c r="G10" t="s">
        <v>114</v>
      </c>
    </row>
    <row r="11" spans="1:7">
      <c r="A11" t="s">
        <v>130</v>
      </c>
      <c r="B11" t="s">
        <v>33</v>
      </c>
      <c r="C11">
        <v>1</v>
      </c>
      <c r="D11">
        <v>1</v>
      </c>
      <c r="E11" s="3">
        <v>43831</v>
      </c>
      <c r="F11" s="3">
        <v>51501</v>
      </c>
      <c r="G11" t="s">
        <v>114</v>
      </c>
    </row>
    <row r="12" spans="1:7">
      <c r="A12" t="s">
        <v>131</v>
      </c>
      <c r="B12" t="s">
        <v>132</v>
      </c>
      <c r="C12">
        <v>1</v>
      </c>
      <c r="D12">
        <v>1</v>
      </c>
      <c r="E12" s="3">
        <v>43831</v>
      </c>
      <c r="F12" s="3">
        <v>51501</v>
      </c>
      <c r="G12" t="s">
        <v>114</v>
      </c>
    </row>
    <row r="13" spans="1:7">
      <c r="A13" t="s">
        <v>133</v>
      </c>
      <c r="B13" t="s">
        <v>134</v>
      </c>
      <c r="C13">
        <v>1</v>
      </c>
      <c r="D13">
        <v>1</v>
      </c>
      <c r="E13" s="3">
        <v>43831</v>
      </c>
      <c r="F13" s="3">
        <v>51501</v>
      </c>
      <c r="G13" t="s">
        <v>114</v>
      </c>
    </row>
    <row r="14" spans="1:7">
      <c r="A14" t="s">
        <v>135</v>
      </c>
      <c r="B14" t="s">
        <v>136</v>
      </c>
      <c r="C14">
        <v>1</v>
      </c>
      <c r="D14">
        <v>1</v>
      </c>
      <c r="E14" s="3">
        <v>43831</v>
      </c>
      <c r="F14" s="3">
        <v>51501</v>
      </c>
      <c r="G14" t="s">
        <v>114</v>
      </c>
    </row>
    <row r="15" spans="1:7">
      <c r="A15" t="s">
        <v>137</v>
      </c>
      <c r="B15" t="s">
        <v>138</v>
      </c>
      <c r="C15">
        <v>1</v>
      </c>
      <c r="D15">
        <v>1</v>
      </c>
      <c r="E15" s="3">
        <v>43831</v>
      </c>
      <c r="F15" s="3">
        <v>51501</v>
      </c>
      <c r="G15" t="s">
        <v>114</v>
      </c>
    </row>
    <row r="16" spans="1:7">
      <c r="A16" t="s">
        <v>139</v>
      </c>
      <c r="B16" t="s">
        <v>140</v>
      </c>
      <c r="C16">
        <v>1</v>
      </c>
      <c r="D16">
        <v>1</v>
      </c>
      <c r="E16" s="3">
        <v>43831</v>
      </c>
      <c r="F16" s="3">
        <v>51501</v>
      </c>
      <c r="G16" t="s">
        <v>114</v>
      </c>
    </row>
    <row r="17" spans="1:7">
      <c r="A17" t="s">
        <v>141</v>
      </c>
      <c r="B17" t="s">
        <v>142</v>
      </c>
      <c r="C17">
        <v>1</v>
      </c>
      <c r="D17">
        <v>1</v>
      </c>
      <c r="E17" s="3">
        <v>43831</v>
      </c>
      <c r="F17" s="3">
        <v>51501</v>
      </c>
      <c r="G17" t="s">
        <v>114</v>
      </c>
    </row>
    <row r="18" spans="1:7">
      <c r="A18" t="s">
        <v>143</v>
      </c>
      <c r="B18" t="s">
        <v>144</v>
      </c>
      <c r="C18">
        <v>1</v>
      </c>
      <c r="D18">
        <v>1</v>
      </c>
      <c r="E18" s="3">
        <v>43831</v>
      </c>
      <c r="F18" s="3">
        <v>51501</v>
      </c>
      <c r="G18" t="s">
        <v>114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3342-F0E2-4DB2-9723-530C28C9D8F8}">
  <dimension ref="A1:I135"/>
  <sheetViews>
    <sheetView workbookViewId="0"/>
  </sheetViews>
  <sheetFormatPr defaultColWidth="9.140625" defaultRowHeight="15"/>
  <cols>
    <col min="1" max="1" width="14.5703125" bestFit="1" customWidth="1"/>
    <col min="2" max="2" width="40.42578125" bestFit="1" customWidth="1"/>
    <col min="3" max="3" width="38" bestFit="1" customWidth="1"/>
    <col min="4" max="4" width="33.5703125" bestFit="1" customWidth="1"/>
    <col min="5" max="5" width="11" bestFit="1" customWidth="1"/>
    <col min="6" max="6" width="12.28515625" bestFit="1" customWidth="1"/>
    <col min="7" max="7" width="14.42578125" bestFit="1" customWidth="1"/>
    <col min="8" max="8" width="35.7109375" bestFit="1" customWidth="1"/>
    <col min="9" max="9" width="15.140625" bestFit="1" customWidth="1"/>
    <col min="10" max="10" width="12.140625" bestFit="1" customWidth="1"/>
    <col min="11" max="11" width="40.42578125" bestFit="1" customWidth="1"/>
    <col min="12" max="12" width="38" bestFit="1" customWidth="1"/>
    <col min="13" max="13" width="33.5703125" bestFit="1" customWidth="1"/>
    <col min="14" max="14" width="11.140625" bestFit="1" customWidth="1"/>
    <col min="15" max="15" width="12.28515625" bestFit="1" customWidth="1"/>
    <col min="16" max="16" width="12" bestFit="1" customWidth="1"/>
    <col min="17" max="17" width="35.7109375" bestFit="1" customWidth="1"/>
    <col min="18" max="18" width="12.5703125" bestFit="1" customWidth="1"/>
  </cols>
  <sheetData>
    <row r="1" spans="1:9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</row>
    <row r="2" spans="1:9">
      <c r="A2">
        <v>1306927581</v>
      </c>
      <c r="B2" t="s">
        <v>154</v>
      </c>
      <c r="C2" t="s">
        <v>155</v>
      </c>
      <c r="D2" t="s">
        <v>156</v>
      </c>
      <c r="E2">
        <v>993841367</v>
      </c>
      <c r="F2" t="s">
        <v>157</v>
      </c>
      <c r="G2" t="s">
        <v>158</v>
      </c>
      <c r="H2" t="s">
        <v>159</v>
      </c>
      <c r="I2" t="s">
        <v>160</v>
      </c>
    </row>
    <row r="3" spans="1:9">
      <c r="A3">
        <v>1309867008</v>
      </c>
      <c r="B3" t="s">
        <v>161</v>
      </c>
      <c r="C3" t="s">
        <v>155</v>
      </c>
      <c r="D3" t="s">
        <v>162</v>
      </c>
      <c r="E3">
        <v>958996963</v>
      </c>
      <c r="F3" t="s">
        <v>157</v>
      </c>
      <c r="G3" t="s">
        <v>158</v>
      </c>
      <c r="H3" t="s">
        <v>159</v>
      </c>
      <c r="I3" t="s">
        <v>160</v>
      </c>
    </row>
    <row r="4" spans="1:9">
      <c r="A4">
        <v>1312179292</v>
      </c>
      <c r="B4" t="s">
        <v>163</v>
      </c>
      <c r="C4" t="s">
        <v>155</v>
      </c>
      <c r="D4" t="s">
        <v>164</v>
      </c>
      <c r="E4">
        <v>995613221</v>
      </c>
      <c r="F4" t="s">
        <v>157</v>
      </c>
      <c r="G4" t="s">
        <v>158</v>
      </c>
      <c r="H4" t="s">
        <v>159</v>
      </c>
      <c r="I4" t="s">
        <v>160</v>
      </c>
    </row>
    <row r="5" spans="1:9">
      <c r="A5">
        <v>1308397239</v>
      </c>
      <c r="B5" t="s">
        <v>165</v>
      </c>
      <c r="C5" t="s">
        <v>155</v>
      </c>
      <c r="D5" t="s">
        <v>166</v>
      </c>
      <c r="E5">
        <v>980882709</v>
      </c>
      <c r="F5" t="s">
        <v>157</v>
      </c>
      <c r="G5" t="s">
        <v>158</v>
      </c>
      <c r="H5" t="s">
        <v>159</v>
      </c>
      <c r="I5" t="s">
        <v>160</v>
      </c>
    </row>
    <row r="6" spans="1:9">
      <c r="A6">
        <v>1306327394</v>
      </c>
      <c r="B6" t="s">
        <v>167</v>
      </c>
      <c r="C6" t="s">
        <v>155</v>
      </c>
      <c r="D6" t="s">
        <v>168</v>
      </c>
      <c r="E6">
        <v>999471287</v>
      </c>
      <c r="F6" t="s">
        <v>157</v>
      </c>
      <c r="G6" t="s">
        <v>158</v>
      </c>
      <c r="H6" t="s">
        <v>159</v>
      </c>
      <c r="I6" t="s">
        <v>160</v>
      </c>
    </row>
    <row r="7" spans="1:9">
      <c r="A7">
        <v>917967226</v>
      </c>
      <c r="B7" t="s">
        <v>27</v>
      </c>
      <c r="C7" t="s">
        <v>155</v>
      </c>
      <c r="D7" t="s">
        <v>169</v>
      </c>
      <c r="E7">
        <v>999853757</v>
      </c>
      <c r="F7" t="s">
        <v>157</v>
      </c>
      <c r="G7" t="s">
        <v>158</v>
      </c>
      <c r="H7" t="s">
        <v>159</v>
      </c>
      <c r="I7" t="s">
        <v>160</v>
      </c>
    </row>
    <row r="8" spans="1:9">
      <c r="A8">
        <v>1310729676</v>
      </c>
      <c r="B8" t="s">
        <v>170</v>
      </c>
      <c r="C8" t="s">
        <v>155</v>
      </c>
      <c r="D8" t="s">
        <v>171</v>
      </c>
      <c r="E8">
        <v>998862735</v>
      </c>
      <c r="F8" t="s">
        <v>157</v>
      </c>
      <c r="G8" t="s">
        <v>158</v>
      </c>
      <c r="H8" t="s">
        <v>159</v>
      </c>
      <c r="I8" t="s">
        <v>160</v>
      </c>
    </row>
    <row r="9" spans="1:9">
      <c r="A9">
        <v>1311435968</v>
      </c>
      <c r="B9" t="s">
        <v>172</v>
      </c>
      <c r="C9" t="s">
        <v>155</v>
      </c>
      <c r="D9" t="s">
        <v>173</v>
      </c>
      <c r="E9">
        <v>992720628</v>
      </c>
      <c r="F9" t="s">
        <v>174</v>
      </c>
      <c r="G9" t="s">
        <v>158</v>
      </c>
      <c r="H9" t="s">
        <v>159</v>
      </c>
      <c r="I9" t="s">
        <v>160</v>
      </c>
    </row>
    <row r="10" spans="1:9">
      <c r="A10">
        <v>1712981735</v>
      </c>
      <c r="B10" t="s">
        <v>175</v>
      </c>
      <c r="C10" t="s">
        <v>155</v>
      </c>
      <c r="D10" t="s">
        <v>176</v>
      </c>
      <c r="E10">
        <v>987923175</v>
      </c>
      <c r="F10" t="s">
        <v>174</v>
      </c>
      <c r="G10" t="s">
        <v>177</v>
      </c>
      <c r="H10" t="s">
        <v>159</v>
      </c>
      <c r="I10" t="s">
        <v>160</v>
      </c>
    </row>
    <row r="11" spans="1:9">
      <c r="A11">
        <v>922028709</v>
      </c>
      <c r="B11" t="s">
        <v>178</v>
      </c>
      <c r="C11" t="s">
        <v>155</v>
      </c>
      <c r="D11" t="s">
        <v>179</v>
      </c>
      <c r="E11">
        <v>999523745</v>
      </c>
      <c r="F11" t="s">
        <v>174</v>
      </c>
      <c r="G11" t="s">
        <v>158</v>
      </c>
      <c r="H11" t="s">
        <v>159</v>
      </c>
      <c r="I11" t="s">
        <v>160</v>
      </c>
    </row>
    <row r="12" spans="1:9">
      <c r="A12">
        <v>1307818615</v>
      </c>
      <c r="B12" t="s">
        <v>180</v>
      </c>
      <c r="C12" t="s">
        <v>155</v>
      </c>
      <c r="D12" t="s">
        <v>181</v>
      </c>
      <c r="E12">
        <v>958604495</v>
      </c>
      <c r="F12" t="s">
        <v>157</v>
      </c>
      <c r="G12" t="s">
        <v>158</v>
      </c>
      <c r="H12" t="s">
        <v>182</v>
      </c>
      <c r="I12" t="s">
        <v>160</v>
      </c>
    </row>
    <row r="13" spans="1:9">
      <c r="A13">
        <v>1310022536</v>
      </c>
      <c r="B13" t="s">
        <v>183</v>
      </c>
      <c r="C13" t="s">
        <v>155</v>
      </c>
      <c r="D13" t="s">
        <v>184</v>
      </c>
      <c r="E13">
        <v>939933873</v>
      </c>
      <c r="F13" t="s">
        <v>157</v>
      </c>
      <c r="G13" t="s">
        <v>177</v>
      </c>
      <c r="H13" t="s">
        <v>182</v>
      </c>
      <c r="I13" t="s">
        <v>160</v>
      </c>
    </row>
    <row r="14" spans="1:9">
      <c r="A14">
        <v>1306558857</v>
      </c>
      <c r="B14" t="s">
        <v>185</v>
      </c>
      <c r="C14" t="s">
        <v>155</v>
      </c>
      <c r="D14" t="s">
        <v>186</v>
      </c>
      <c r="E14">
        <v>990425046</v>
      </c>
      <c r="F14" t="s">
        <v>174</v>
      </c>
      <c r="G14" t="s">
        <v>158</v>
      </c>
      <c r="H14" t="s">
        <v>159</v>
      </c>
      <c r="I14" t="s">
        <v>160</v>
      </c>
    </row>
    <row r="15" spans="1:9">
      <c r="A15">
        <v>1308174679</v>
      </c>
      <c r="B15" t="s">
        <v>187</v>
      </c>
      <c r="C15" t="s">
        <v>155</v>
      </c>
      <c r="D15" t="s">
        <v>188</v>
      </c>
      <c r="E15">
        <v>986482573</v>
      </c>
      <c r="F15" t="s">
        <v>157</v>
      </c>
      <c r="G15" t="s">
        <v>158</v>
      </c>
      <c r="H15" t="s">
        <v>159</v>
      </c>
      <c r="I15" t="s">
        <v>160</v>
      </c>
    </row>
    <row r="16" spans="1:9">
      <c r="A16">
        <v>1309544441</v>
      </c>
      <c r="B16" t="s">
        <v>189</v>
      </c>
      <c r="C16" t="s">
        <v>155</v>
      </c>
      <c r="D16" t="s">
        <v>190</v>
      </c>
      <c r="E16">
        <v>989089289</v>
      </c>
      <c r="F16" t="s">
        <v>157</v>
      </c>
      <c r="G16" t="s">
        <v>158</v>
      </c>
      <c r="H16" t="s">
        <v>182</v>
      </c>
      <c r="I16" t="s">
        <v>160</v>
      </c>
    </row>
    <row r="17" spans="1:9">
      <c r="A17">
        <v>1312925033</v>
      </c>
      <c r="B17" t="s">
        <v>191</v>
      </c>
      <c r="C17" t="s">
        <v>155</v>
      </c>
      <c r="D17" t="s">
        <v>192</v>
      </c>
      <c r="E17">
        <v>996032838</v>
      </c>
      <c r="F17" t="s">
        <v>157</v>
      </c>
      <c r="G17" t="s">
        <v>158</v>
      </c>
      <c r="H17" t="s">
        <v>182</v>
      </c>
      <c r="I17" t="s">
        <v>160</v>
      </c>
    </row>
    <row r="18" spans="1:9">
      <c r="A18">
        <v>1308853538</v>
      </c>
      <c r="B18" t="s">
        <v>193</v>
      </c>
      <c r="C18" t="s">
        <v>155</v>
      </c>
      <c r="D18" t="s">
        <v>194</v>
      </c>
      <c r="E18">
        <v>996404333</v>
      </c>
      <c r="F18" t="s">
        <v>157</v>
      </c>
      <c r="G18" t="s">
        <v>158</v>
      </c>
      <c r="H18" t="s">
        <v>159</v>
      </c>
      <c r="I18" t="s">
        <v>160</v>
      </c>
    </row>
    <row r="19" spans="1:9">
      <c r="A19">
        <v>1308737715</v>
      </c>
      <c r="B19" t="s">
        <v>195</v>
      </c>
      <c r="C19" t="s">
        <v>155</v>
      </c>
      <c r="D19" t="s">
        <v>196</v>
      </c>
      <c r="E19">
        <v>0</v>
      </c>
      <c r="F19" t="s">
        <v>174</v>
      </c>
      <c r="G19" t="s">
        <v>158</v>
      </c>
      <c r="H19" t="s">
        <v>159</v>
      </c>
      <c r="I19" t="s">
        <v>160</v>
      </c>
    </row>
    <row r="20" spans="1:9">
      <c r="A20">
        <v>1312177155</v>
      </c>
      <c r="B20" t="s">
        <v>197</v>
      </c>
      <c r="C20" t="s">
        <v>155</v>
      </c>
      <c r="D20" t="s">
        <v>198</v>
      </c>
      <c r="E20">
        <v>988446689</v>
      </c>
      <c r="F20" t="s">
        <v>157</v>
      </c>
      <c r="G20" t="s">
        <v>158</v>
      </c>
      <c r="H20" t="s">
        <v>159</v>
      </c>
      <c r="I20" t="s">
        <v>160</v>
      </c>
    </row>
    <row r="21" spans="1:9">
      <c r="A21">
        <v>1307539963</v>
      </c>
      <c r="B21" t="s">
        <v>199</v>
      </c>
      <c r="C21" t="s">
        <v>155</v>
      </c>
      <c r="D21" t="s">
        <v>200</v>
      </c>
      <c r="E21">
        <v>995151536</v>
      </c>
      <c r="F21" t="s">
        <v>174</v>
      </c>
      <c r="G21" t="s">
        <v>158</v>
      </c>
      <c r="H21" t="s">
        <v>159</v>
      </c>
      <c r="I21" t="s">
        <v>160</v>
      </c>
    </row>
    <row r="22" spans="1:9">
      <c r="A22">
        <v>1306910066</v>
      </c>
      <c r="B22" t="s">
        <v>201</v>
      </c>
      <c r="C22" t="s">
        <v>155</v>
      </c>
      <c r="D22" t="s">
        <v>202</v>
      </c>
      <c r="E22">
        <v>981193088</v>
      </c>
      <c r="F22" t="s">
        <v>174</v>
      </c>
      <c r="G22" t="s">
        <v>158</v>
      </c>
      <c r="H22" t="s">
        <v>159</v>
      </c>
      <c r="I22" t="s">
        <v>160</v>
      </c>
    </row>
    <row r="23" spans="1:9">
      <c r="A23">
        <v>922379615</v>
      </c>
      <c r="B23" t="s">
        <v>203</v>
      </c>
      <c r="C23" t="s">
        <v>155</v>
      </c>
      <c r="D23" t="s">
        <v>204</v>
      </c>
      <c r="E23">
        <v>984912221</v>
      </c>
      <c r="F23" t="s">
        <v>157</v>
      </c>
      <c r="G23" t="s">
        <v>158</v>
      </c>
      <c r="H23" t="s">
        <v>159</v>
      </c>
      <c r="I23" t="s">
        <v>160</v>
      </c>
    </row>
    <row r="24" spans="1:9">
      <c r="A24">
        <v>1307198224</v>
      </c>
      <c r="B24" t="s">
        <v>205</v>
      </c>
      <c r="C24" t="s">
        <v>155</v>
      </c>
      <c r="D24" t="s">
        <v>206</v>
      </c>
      <c r="E24">
        <v>991000699</v>
      </c>
      <c r="F24" t="s">
        <v>174</v>
      </c>
      <c r="G24" t="s">
        <v>158</v>
      </c>
      <c r="H24" t="s">
        <v>159</v>
      </c>
      <c r="I24" t="s">
        <v>160</v>
      </c>
    </row>
    <row r="25" spans="1:9">
      <c r="A25">
        <v>1304143868</v>
      </c>
      <c r="B25" t="s">
        <v>207</v>
      </c>
      <c r="C25" t="s">
        <v>155</v>
      </c>
      <c r="D25" t="s">
        <v>208</v>
      </c>
      <c r="E25">
        <v>993518632</v>
      </c>
      <c r="F25" t="s">
        <v>174</v>
      </c>
      <c r="G25" t="s">
        <v>158</v>
      </c>
      <c r="H25" t="s">
        <v>159</v>
      </c>
      <c r="I25" t="s">
        <v>160</v>
      </c>
    </row>
    <row r="26" spans="1:9">
      <c r="A26">
        <v>1310182843</v>
      </c>
      <c r="B26" t="s">
        <v>209</v>
      </c>
      <c r="C26" t="s">
        <v>155</v>
      </c>
      <c r="D26" t="s">
        <v>210</v>
      </c>
      <c r="E26">
        <v>992172357</v>
      </c>
      <c r="F26" t="s">
        <v>157</v>
      </c>
      <c r="G26" t="s">
        <v>158</v>
      </c>
      <c r="H26" t="s">
        <v>182</v>
      </c>
      <c r="I26" t="s">
        <v>160</v>
      </c>
    </row>
    <row r="27" spans="1:9">
      <c r="A27">
        <v>1309957460</v>
      </c>
      <c r="B27" t="s">
        <v>211</v>
      </c>
      <c r="C27" t="s">
        <v>155</v>
      </c>
      <c r="D27" t="s">
        <v>212</v>
      </c>
      <c r="E27">
        <v>995558336</v>
      </c>
      <c r="F27" t="s">
        <v>157</v>
      </c>
      <c r="G27" t="s">
        <v>177</v>
      </c>
      <c r="H27" t="s">
        <v>182</v>
      </c>
      <c r="I27" t="s">
        <v>160</v>
      </c>
    </row>
    <row r="28" spans="1:9">
      <c r="A28">
        <v>1307309375</v>
      </c>
      <c r="B28" t="s">
        <v>213</v>
      </c>
      <c r="C28" t="s">
        <v>155</v>
      </c>
      <c r="D28" t="s">
        <v>214</v>
      </c>
      <c r="E28">
        <v>993788552</v>
      </c>
      <c r="F28" t="s">
        <v>157</v>
      </c>
      <c r="G28" t="s">
        <v>177</v>
      </c>
      <c r="H28" t="s">
        <v>159</v>
      </c>
      <c r="I28" t="s">
        <v>160</v>
      </c>
    </row>
    <row r="29" spans="1:9">
      <c r="A29">
        <v>1313413948</v>
      </c>
      <c r="B29" t="s">
        <v>215</v>
      </c>
      <c r="C29" t="s">
        <v>155</v>
      </c>
      <c r="D29" t="s">
        <v>216</v>
      </c>
      <c r="E29">
        <v>999071136</v>
      </c>
      <c r="F29" t="s">
        <v>157</v>
      </c>
      <c r="G29" t="s">
        <v>158</v>
      </c>
      <c r="H29" t="s">
        <v>159</v>
      </c>
      <c r="I29" t="s">
        <v>160</v>
      </c>
    </row>
    <row r="30" spans="1:9">
      <c r="A30">
        <v>1307570596</v>
      </c>
      <c r="B30" t="s">
        <v>217</v>
      </c>
      <c r="C30" t="s">
        <v>155</v>
      </c>
      <c r="D30" t="s">
        <v>218</v>
      </c>
      <c r="E30">
        <v>995930245</v>
      </c>
      <c r="F30" t="s">
        <v>157</v>
      </c>
      <c r="G30" t="s">
        <v>158</v>
      </c>
      <c r="H30" t="s">
        <v>159</v>
      </c>
      <c r="I30" t="s">
        <v>160</v>
      </c>
    </row>
    <row r="31" spans="1:9">
      <c r="A31">
        <v>1305887364</v>
      </c>
      <c r="B31" t="s">
        <v>219</v>
      </c>
      <c r="C31" t="s">
        <v>155</v>
      </c>
      <c r="D31" t="s">
        <v>220</v>
      </c>
      <c r="E31">
        <v>997025893</v>
      </c>
      <c r="F31" t="s">
        <v>157</v>
      </c>
      <c r="G31" t="s">
        <v>158</v>
      </c>
      <c r="H31" t="s">
        <v>159</v>
      </c>
      <c r="I31" t="s">
        <v>160</v>
      </c>
    </row>
    <row r="32" spans="1:9">
      <c r="A32">
        <v>1311755779</v>
      </c>
      <c r="B32" t="s">
        <v>221</v>
      </c>
      <c r="C32" t="s">
        <v>155</v>
      </c>
      <c r="D32" t="s">
        <v>222</v>
      </c>
      <c r="E32">
        <v>984422282</v>
      </c>
      <c r="F32" t="s">
        <v>157</v>
      </c>
      <c r="G32" t="s">
        <v>223</v>
      </c>
      <c r="H32" t="s">
        <v>159</v>
      </c>
      <c r="I32" t="s">
        <v>160</v>
      </c>
    </row>
    <row r="33" spans="1:9">
      <c r="A33">
        <v>1311656308</v>
      </c>
      <c r="B33" t="s">
        <v>224</v>
      </c>
      <c r="C33" t="s">
        <v>155</v>
      </c>
      <c r="D33" t="s">
        <v>225</v>
      </c>
      <c r="E33">
        <v>982229471</v>
      </c>
      <c r="F33" t="s">
        <v>157</v>
      </c>
      <c r="G33" t="s">
        <v>158</v>
      </c>
      <c r="H33" t="s">
        <v>159</v>
      </c>
      <c r="I33" t="s">
        <v>160</v>
      </c>
    </row>
    <row r="34" spans="1:9">
      <c r="A34">
        <v>1309999702</v>
      </c>
      <c r="B34" t="s">
        <v>226</v>
      </c>
      <c r="C34" t="s">
        <v>120</v>
      </c>
      <c r="D34" t="s">
        <v>227</v>
      </c>
      <c r="E34">
        <v>982347292</v>
      </c>
      <c r="F34" t="s">
        <v>174</v>
      </c>
      <c r="G34" t="s">
        <v>158</v>
      </c>
      <c r="H34" t="s">
        <v>159</v>
      </c>
      <c r="I34" t="s">
        <v>160</v>
      </c>
    </row>
    <row r="35" spans="1:9">
      <c r="A35">
        <v>1307391449</v>
      </c>
      <c r="B35" t="s">
        <v>228</v>
      </c>
      <c r="C35" t="s">
        <v>120</v>
      </c>
      <c r="D35" t="s">
        <v>229</v>
      </c>
      <c r="E35">
        <v>996740969</v>
      </c>
      <c r="F35" t="s">
        <v>157</v>
      </c>
      <c r="G35" t="s">
        <v>158</v>
      </c>
      <c r="H35" t="s">
        <v>159</v>
      </c>
      <c r="I35" t="s">
        <v>160</v>
      </c>
    </row>
    <row r="36" spans="1:9">
      <c r="A36">
        <v>1305585836</v>
      </c>
      <c r="B36" t="s">
        <v>230</v>
      </c>
      <c r="C36" t="s">
        <v>120</v>
      </c>
      <c r="D36" t="s">
        <v>231</v>
      </c>
      <c r="E36">
        <v>991056946</v>
      </c>
      <c r="F36" t="s">
        <v>157</v>
      </c>
      <c r="G36" t="s">
        <v>223</v>
      </c>
      <c r="H36" t="s">
        <v>159</v>
      </c>
      <c r="I36" t="s">
        <v>160</v>
      </c>
    </row>
    <row r="37" spans="1:9">
      <c r="A37">
        <v>1311879108</v>
      </c>
      <c r="B37" t="s">
        <v>232</v>
      </c>
      <c r="C37" t="s">
        <v>120</v>
      </c>
      <c r="D37" t="s">
        <v>233</v>
      </c>
      <c r="E37">
        <v>983076549</v>
      </c>
      <c r="F37" t="s">
        <v>157</v>
      </c>
      <c r="G37" t="s">
        <v>158</v>
      </c>
      <c r="H37" t="s">
        <v>159</v>
      </c>
      <c r="I37" t="s">
        <v>160</v>
      </c>
    </row>
    <row r="38" spans="1:9">
      <c r="A38">
        <v>914097308</v>
      </c>
      <c r="B38" t="s">
        <v>234</v>
      </c>
      <c r="C38" t="s">
        <v>120</v>
      </c>
      <c r="D38" t="s">
        <v>235</v>
      </c>
      <c r="E38">
        <v>986930000</v>
      </c>
      <c r="F38" t="s">
        <v>157</v>
      </c>
      <c r="G38" t="s">
        <v>158</v>
      </c>
      <c r="H38" t="s">
        <v>159</v>
      </c>
      <c r="I38" t="s">
        <v>160</v>
      </c>
    </row>
    <row r="39" spans="1:9">
      <c r="A39">
        <v>1304988296</v>
      </c>
      <c r="B39" t="s">
        <v>236</v>
      </c>
      <c r="C39" t="s">
        <v>120</v>
      </c>
      <c r="D39" t="s">
        <v>237</v>
      </c>
      <c r="E39">
        <v>984034398</v>
      </c>
      <c r="F39" t="s">
        <v>174</v>
      </c>
      <c r="G39" t="s">
        <v>158</v>
      </c>
      <c r="H39" t="s">
        <v>159</v>
      </c>
      <c r="I39" t="s">
        <v>160</v>
      </c>
    </row>
    <row r="40" spans="1:9">
      <c r="A40">
        <v>1307048296</v>
      </c>
      <c r="B40" t="s">
        <v>238</v>
      </c>
      <c r="C40" t="s">
        <v>120</v>
      </c>
      <c r="D40" t="s">
        <v>239</v>
      </c>
      <c r="E40">
        <v>998809697</v>
      </c>
      <c r="F40" t="s">
        <v>157</v>
      </c>
      <c r="G40" t="s">
        <v>158</v>
      </c>
      <c r="H40" t="s">
        <v>159</v>
      </c>
      <c r="I40" t="s">
        <v>160</v>
      </c>
    </row>
    <row r="41" spans="1:9">
      <c r="A41">
        <v>1305986109</v>
      </c>
      <c r="B41" t="s">
        <v>240</v>
      </c>
      <c r="C41" t="s">
        <v>120</v>
      </c>
      <c r="D41" t="s">
        <v>241</v>
      </c>
      <c r="E41">
        <v>999100632</v>
      </c>
      <c r="F41" t="s">
        <v>157</v>
      </c>
      <c r="G41" t="s">
        <v>158</v>
      </c>
      <c r="H41" t="s">
        <v>242</v>
      </c>
      <c r="I41" t="s">
        <v>160</v>
      </c>
    </row>
    <row r="42" spans="1:9">
      <c r="A42">
        <v>1309547907</v>
      </c>
      <c r="B42" t="s">
        <v>243</v>
      </c>
      <c r="C42" t="s">
        <v>120</v>
      </c>
      <c r="D42" t="s">
        <v>244</v>
      </c>
      <c r="E42">
        <v>990345098</v>
      </c>
      <c r="F42" t="s">
        <v>174</v>
      </c>
      <c r="G42" t="s">
        <v>158</v>
      </c>
      <c r="H42" t="s">
        <v>159</v>
      </c>
      <c r="I42" t="s">
        <v>160</v>
      </c>
    </row>
    <row r="43" spans="1:9">
      <c r="A43">
        <v>1310093578</v>
      </c>
      <c r="B43" t="s">
        <v>245</v>
      </c>
      <c r="C43" t="s">
        <v>120</v>
      </c>
      <c r="D43" t="s">
        <v>246</v>
      </c>
      <c r="E43">
        <v>984687668</v>
      </c>
      <c r="F43" t="s">
        <v>157</v>
      </c>
      <c r="G43" t="s">
        <v>158</v>
      </c>
      <c r="H43" t="s">
        <v>182</v>
      </c>
      <c r="I43" t="s">
        <v>160</v>
      </c>
    </row>
    <row r="44" spans="1:9">
      <c r="A44">
        <v>1305963165</v>
      </c>
      <c r="B44" t="s">
        <v>247</v>
      </c>
      <c r="C44" t="s">
        <v>120</v>
      </c>
      <c r="D44" t="s">
        <v>248</v>
      </c>
      <c r="E44">
        <v>996026807</v>
      </c>
      <c r="F44" t="s">
        <v>157</v>
      </c>
      <c r="G44" t="s">
        <v>158</v>
      </c>
      <c r="H44" t="s">
        <v>159</v>
      </c>
      <c r="I44" t="s">
        <v>160</v>
      </c>
    </row>
    <row r="45" spans="1:9">
      <c r="A45">
        <v>1303943425</v>
      </c>
      <c r="B45" t="s">
        <v>249</v>
      </c>
      <c r="C45" t="s">
        <v>120</v>
      </c>
      <c r="D45" t="s">
        <v>250</v>
      </c>
      <c r="E45">
        <v>997732273</v>
      </c>
      <c r="F45" t="s">
        <v>157</v>
      </c>
      <c r="G45" t="s">
        <v>158</v>
      </c>
      <c r="H45" t="s">
        <v>159</v>
      </c>
      <c r="I45" t="s">
        <v>160</v>
      </c>
    </row>
    <row r="46" spans="1:9">
      <c r="A46">
        <v>1303409500</v>
      </c>
      <c r="B46" t="s">
        <v>251</v>
      </c>
      <c r="C46" t="s">
        <v>120</v>
      </c>
      <c r="D46" t="s">
        <v>252</v>
      </c>
      <c r="E46">
        <v>999616152</v>
      </c>
      <c r="F46" t="s">
        <v>157</v>
      </c>
      <c r="G46" t="s">
        <v>158</v>
      </c>
      <c r="H46" t="s">
        <v>159</v>
      </c>
      <c r="I46" t="s">
        <v>160</v>
      </c>
    </row>
    <row r="47" spans="1:9">
      <c r="A47">
        <v>1307804532</v>
      </c>
      <c r="B47" t="s">
        <v>253</v>
      </c>
      <c r="C47" t="s">
        <v>120</v>
      </c>
      <c r="D47" t="s">
        <v>254</v>
      </c>
      <c r="E47">
        <v>995881413</v>
      </c>
      <c r="F47" t="s">
        <v>157</v>
      </c>
      <c r="G47" t="s">
        <v>158</v>
      </c>
      <c r="H47" t="s">
        <v>159</v>
      </c>
      <c r="I47" t="s">
        <v>160</v>
      </c>
    </row>
    <row r="48" spans="1:9">
      <c r="A48">
        <v>1310734338</v>
      </c>
      <c r="B48" t="s">
        <v>255</v>
      </c>
      <c r="C48" t="s">
        <v>120</v>
      </c>
      <c r="D48" t="s">
        <v>256</v>
      </c>
      <c r="E48">
        <v>993309934</v>
      </c>
      <c r="F48" t="s">
        <v>157</v>
      </c>
      <c r="G48" t="s">
        <v>158</v>
      </c>
      <c r="H48" t="s">
        <v>159</v>
      </c>
      <c r="I48" t="s">
        <v>160</v>
      </c>
    </row>
    <row r="49" spans="1:9">
      <c r="A49">
        <v>1307091825</v>
      </c>
      <c r="B49" t="s">
        <v>257</v>
      </c>
      <c r="C49" t="s">
        <v>120</v>
      </c>
      <c r="D49" t="s">
        <v>258</v>
      </c>
      <c r="E49">
        <v>985832342</v>
      </c>
      <c r="F49" t="s">
        <v>174</v>
      </c>
      <c r="G49" t="s">
        <v>158</v>
      </c>
      <c r="H49" t="s">
        <v>159</v>
      </c>
      <c r="I49" t="s">
        <v>160</v>
      </c>
    </row>
    <row r="50" spans="1:9">
      <c r="A50">
        <v>1304021932</v>
      </c>
      <c r="B50" t="s">
        <v>259</v>
      </c>
      <c r="C50" t="s">
        <v>120</v>
      </c>
      <c r="D50" t="s">
        <v>260</v>
      </c>
      <c r="E50">
        <v>997507218</v>
      </c>
      <c r="F50" t="s">
        <v>157</v>
      </c>
      <c r="G50" t="s">
        <v>158</v>
      </c>
      <c r="H50" t="s">
        <v>159</v>
      </c>
      <c r="I50" t="s">
        <v>160</v>
      </c>
    </row>
    <row r="51" spans="1:9">
      <c r="A51">
        <v>1307077220</v>
      </c>
      <c r="B51" t="s">
        <v>261</v>
      </c>
      <c r="C51" t="s">
        <v>262</v>
      </c>
      <c r="D51" t="s">
        <v>263</v>
      </c>
      <c r="E51">
        <v>992291625</v>
      </c>
      <c r="F51" t="s">
        <v>157</v>
      </c>
      <c r="G51" t="s">
        <v>158</v>
      </c>
      <c r="H51" t="s">
        <v>159</v>
      </c>
      <c r="I51" t="s">
        <v>160</v>
      </c>
    </row>
    <row r="52" spans="1:9">
      <c r="A52">
        <v>1313436188</v>
      </c>
      <c r="B52" t="s">
        <v>264</v>
      </c>
      <c r="C52" t="s">
        <v>262</v>
      </c>
      <c r="D52" t="s">
        <v>265</v>
      </c>
      <c r="E52">
        <v>995203274</v>
      </c>
      <c r="F52" t="s">
        <v>157</v>
      </c>
      <c r="G52" t="s">
        <v>158</v>
      </c>
      <c r="H52" t="s">
        <v>182</v>
      </c>
      <c r="I52" t="s">
        <v>160</v>
      </c>
    </row>
    <row r="53" spans="1:9">
      <c r="A53">
        <v>802191734</v>
      </c>
      <c r="B53" t="s">
        <v>266</v>
      </c>
      <c r="C53" t="s">
        <v>262</v>
      </c>
      <c r="D53" t="s">
        <v>267</v>
      </c>
      <c r="E53">
        <v>995886846</v>
      </c>
      <c r="F53" t="s">
        <v>157</v>
      </c>
      <c r="G53" t="s">
        <v>158</v>
      </c>
      <c r="H53" t="s">
        <v>159</v>
      </c>
      <c r="I53" t="s">
        <v>160</v>
      </c>
    </row>
    <row r="54" spans="1:9">
      <c r="A54">
        <v>1304764002</v>
      </c>
      <c r="B54" t="s">
        <v>268</v>
      </c>
      <c r="C54" t="s">
        <v>262</v>
      </c>
      <c r="D54" t="s">
        <v>269</v>
      </c>
      <c r="E54">
        <v>993004142</v>
      </c>
      <c r="F54" t="s">
        <v>157</v>
      </c>
      <c r="G54" t="s">
        <v>158</v>
      </c>
      <c r="H54" t="s">
        <v>159</v>
      </c>
      <c r="I54" t="s">
        <v>160</v>
      </c>
    </row>
    <row r="55" spans="1:9">
      <c r="A55">
        <v>911662674</v>
      </c>
      <c r="B55" t="s">
        <v>270</v>
      </c>
      <c r="C55" t="s">
        <v>262</v>
      </c>
      <c r="D55" t="s">
        <v>271</v>
      </c>
      <c r="E55">
        <v>983833578</v>
      </c>
      <c r="F55" t="s">
        <v>157</v>
      </c>
      <c r="G55" t="s">
        <v>158</v>
      </c>
      <c r="H55" t="s">
        <v>159</v>
      </c>
      <c r="I55" t="s">
        <v>160</v>
      </c>
    </row>
    <row r="56" spans="1:9">
      <c r="A56">
        <v>1309751582</v>
      </c>
      <c r="B56" t="s">
        <v>272</v>
      </c>
      <c r="C56" t="s">
        <v>262</v>
      </c>
      <c r="D56" t="s">
        <v>273</v>
      </c>
      <c r="E56">
        <v>992136998</v>
      </c>
      <c r="F56" t="s">
        <v>157</v>
      </c>
      <c r="G56" t="s">
        <v>158</v>
      </c>
      <c r="H56" t="s">
        <v>159</v>
      </c>
      <c r="I56" t="s">
        <v>160</v>
      </c>
    </row>
    <row r="57" spans="1:9">
      <c r="A57">
        <v>1309499521</v>
      </c>
      <c r="B57" t="s">
        <v>274</v>
      </c>
      <c r="C57" t="s">
        <v>262</v>
      </c>
      <c r="D57" t="s">
        <v>275</v>
      </c>
      <c r="E57">
        <v>999922160</v>
      </c>
      <c r="F57" t="s">
        <v>157</v>
      </c>
      <c r="G57" t="s">
        <v>158</v>
      </c>
      <c r="H57" t="s">
        <v>159</v>
      </c>
      <c r="I57" t="s">
        <v>160</v>
      </c>
    </row>
    <row r="58" spans="1:9">
      <c r="A58">
        <v>1306306000</v>
      </c>
      <c r="B58" t="s">
        <v>276</v>
      </c>
      <c r="C58" t="s">
        <v>262</v>
      </c>
      <c r="D58" t="s">
        <v>277</v>
      </c>
      <c r="E58">
        <v>984892652</v>
      </c>
      <c r="F58" t="s">
        <v>157</v>
      </c>
      <c r="G58" t="s">
        <v>158</v>
      </c>
      <c r="H58" t="s">
        <v>159</v>
      </c>
      <c r="I58" t="s">
        <v>160</v>
      </c>
    </row>
    <row r="59" spans="1:9">
      <c r="A59">
        <v>1305904797</v>
      </c>
      <c r="B59" t="s">
        <v>278</v>
      </c>
      <c r="C59" t="s">
        <v>262</v>
      </c>
      <c r="D59" t="s">
        <v>279</v>
      </c>
      <c r="E59">
        <v>989744596</v>
      </c>
      <c r="F59" t="s">
        <v>157</v>
      </c>
      <c r="G59" t="s">
        <v>158</v>
      </c>
      <c r="H59" t="s">
        <v>280</v>
      </c>
      <c r="I59" t="s">
        <v>160</v>
      </c>
    </row>
    <row r="60" spans="1:9">
      <c r="A60">
        <v>801939851</v>
      </c>
      <c r="B60" t="s">
        <v>281</v>
      </c>
      <c r="C60" t="s">
        <v>262</v>
      </c>
      <c r="D60" t="s">
        <v>282</v>
      </c>
      <c r="E60">
        <v>984813260</v>
      </c>
      <c r="F60" t="s">
        <v>157</v>
      </c>
      <c r="G60" t="s">
        <v>158</v>
      </c>
      <c r="H60" t="s">
        <v>159</v>
      </c>
      <c r="I60" t="s">
        <v>160</v>
      </c>
    </row>
    <row r="61" spans="1:9">
      <c r="A61">
        <v>1311724569</v>
      </c>
      <c r="B61" t="s">
        <v>283</v>
      </c>
      <c r="C61" t="s">
        <v>262</v>
      </c>
      <c r="D61" t="s">
        <v>284</v>
      </c>
      <c r="E61">
        <v>982268100</v>
      </c>
      <c r="F61" t="s">
        <v>157</v>
      </c>
      <c r="G61" t="s">
        <v>158</v>
      </c>
      <c r="H61" t="s">
        <v>159</v>
      </c>
      <c r="I61" t="s">
        <v>160</v>
      </c>
    </row>
    <row r="62" spans="1:9">
      <c r="A62">
        <v>1306183573</v>
      </c>
      <c r="B62" t="s">
        <v>285</v>
      </c>
      <c r="C62" t="s">
        <v>262</v>
      </c>
      <c r="D62" t="s">
        <v>286</v>
      </c>
      <c r="E62">
        <v>990730382</v>
      </c>
      <c r="F62" t="s">
        <v>157</v>
      </c>
      <c r="G62" t="s">
        <v>158</v>
      </c>
      <c r="H62" t="s">
        <v>159</v>
      </c>
      <c r="I62" t="s">
        <v>160</v>
      </c>
    </row>
    <row r="63" spans="1:9">
      <c r="A63">
        <v>1751705508</v>
      </c>
      <c r="B63" t="s">
        <v>287</v>
      </c>
      <c r="C63" t="s">
        <v>262</v>
      </c>
      <c r="D63" t="s">
        <v>288</v>
      </c>
      <c r="E63">
        <v>983581535</v>
      </c>
      <c r="F63" t="s">
        <v>157</v>
      </c>
      <c r="G63" t="s">
        <v>158</v>
      </c>
      <c r="H63" t="s">
        <v>159</v>
      </c>
      <c r="I63" t="s">
        <v>160</v>
      </c>
    </row>
    <row r="64" spans="1:9">
      <c r="A64">
        <v>1311966418</v>
      </c>
      <c r="B64" t="s">
        <v>289</v>
      </c>
      <c r="C64" t="s">
        <v>262</v>
      </c>
      <c r="D64" t="s">
        <v>290</v>
      </c>
      <c r="E64">
        <v>984851444</v>
      </c>
      <c r="F64" t="s">
        <v>157</v>
      </c>
      <c r="G64" t="s">
        <v>158</v>
      </c>
      <c r="H64" t="s">
        <v>159</v>
      </c>
      <c r="I64" t="s">
        <v>160</v>
      </c>
    </row>
    <row r="65" spans="1:9">
      <c r="A65">
        <v>1309704565</v>
      </c>
      <c r="B65" t="s">
        <v>291</v>
      </c>
      <c r="C65" t="s">
        <v>262</v>
      </c>
      <c r="D65" t="s">
        <v>292</v>
      </c>
      <c r="E65">
        <v>994290358</v>
      </c>
      <c r="F65" t="s">
        <v>157</v>
      </c>
      <c r="G65" t="s">
        <v>158</v>
      </c>
      <c r="H65" t="s">
        <v>159</v>
      </c>
      <c r="I65" t="s">
        <v>160</v>
      </c>
    </row>
    <row r="66" spans="1:9">
      <c r="A66">
        <v>1310474414</v>
      </c>
      <c r="B66" t="s">
        <v>293</v>
      </c>
      <c r="C66" t="s">
        <v>262</v>
      </c>
      <c r="D66" t="s">
        <v>294</v>
      </c>
      <c r="E66">
        <v>983363555</v>
      </c>
      <c r="F66" t="s">
        <v>174</v>
      </c>
      <c r="G66" t="s">
        <v>158</v>
      </c>
      <c r="H66" t="s">
        <v>159</v>
      </c>
      <c r="I66" t="s">
        <v>160</v>
      </c>
    </row>
    <row r="67" spans="1:9">
      <c r="A67">
        <v>1310563497</v>
      </c>
      <c r="B67" t="s">
        <v>295</v>
      </c>
      <c r="C67" t="s">
        <v>262</v>
      </c>
      <c r="D67" t="s">
        <v>296</v>
      </c>
      <c r="E67">
        <v>999296105</v>
      </c>
      <c r="F67" t="s">
        <v>157</v>
      </c>
      <c r="G67" t="s">
        <v>177</v>
      </c>
      <c r="H67" t="s">
        <v>182</v>
      </c>
      <c r="I67" t="s">
        <v>160</v>
      </c>
    </row>
    <row r="68" spans="1:9">
      <c r="A68">
        <v>1312874314</v>
      </c>
      <c r="B68" t="s">
        <v>297</v>
      </c>
      <c r="C68" t="s">
        <v>262</v>
      </c>
      <c r="D68" t="s">
        <v>298</v>
      </c>
      <c r="E68">
        <v>969091232</v>
      </c>
      <c r="F68" t="s">
        <v>157</v>
      </c>
      <c r="G68" t="s">
        <v>158</v>
      </c>
      <c r="H68" t="s">
        <v>182</v>
      </c>
      <c r="I68" t="s">
        <v>160</v>
      </c>
    </row>
    <row r="69" spans="1:9">
      <c r="A69">
        <v>1309288395</v>
      </c>
      <c r="B69" t="s">
        <v>299</v>
      </c>
      <c r="C69" t="s">
        <v>262</v>
      </c>
      <c r="D69" t="s">
        <v>300</v>
      </c>
      <c r="E69">
        <v>996332062</v>
      </c>
      <c r="F69" t="s">
        <v>157</v>
      </c>
      <c r="G69" t="s">
        <v>158</v>
      </c>
      <c r="H69" t="s">
        <v>159</v>
      </c>
      <c r="I69" t="s">
        <v>160</v>
      </c>
    </row>
    <row r="70" spans="1:9">
      <c r="A70">
        <v>1304549452</v>
      </c>
      <c r="B70" t="s">
        <v>301</v>
      </c>
      <c r="C70" t="s">
        <v>262</v>
      </c>
      <c r="D70" t="s">
        <v>302</v>
      </c>
      <c r="E70">
        <v>985803987</v>
      </c>
      <c r="F70" t="s">
        <v>157</v>
      </c>
      <c r="G70" t="s">
        <v>158</v>
      </c>
      <c r="H70" t="s">
        <v>159</v>
      </c>
      <c r="I70" t="s">
        <v>160</v>
      </c>
    </row>
    <row r="71" spans="1:9">
      <c r="A71">
        <v>1310314602</v>
      </c>
      <c r="B71" t="s">
        <v>303</v>
      </c>
      <c r="C71" t="s">
        <v>262</v>
      </c>
      <c r="D71" t="s">
        <v>304</v>
      </c>
      <c r="E71">
        <v>989104994</v>
      </c>
      <c r="F71" t="s">
        <v>157</v>
      </c>
      <c r="G71" t="s">
        <v>158</v>
      </c>
      <c r="H71" t="s">
        <v>159</v>
      </c>
      <c r="I71" t="s">
        <v>160</v>
      </c>
    </row>
    <row r="72" spans="1:9">
      <c r="A72">
        <v>1305955856</v>
      </c>
      <c r="B72" t="s">
        <v>305</v>
      </c>
      <c r="C72" t="s">
        <v>262</v>
      </c>
      <c r="D72" t="s">
        <v>306</v>
      </c>
      <c r="E72">
        <v>987466061</v>
      </c>
      <c r="F72" t="s">
        <v>174</v>
      </c>
      <c r="G72" t="s">
        <v>158</v>
      </c>
      <c r="H72" t="s">
        <v>159</v>
      </c>
      <c r="I72" t="s">
        <v>160</v>
      </c>
    </row>
    <row r="73" spans="1:9">
      <c r="A73">
        <v>1308983558</v>
      </c>
      <c r="B73" t="s">
        <v>307</v>
      </c>
      <c r="C73" t="s">
        <v>262</v>
      </c>
      <c r="D73" t="s">
        <v>308</v>
      </c>
      <c r="E73">
        <v>998414095</v>
      </c>
      <c r="F73" t="s">
        <v>157</v>
      </c>
      <c r="G73" t="s">
        <v>158</v>
      </c>
      <c r="H73" t="s">
        <v>159</v>
      </c>
      <c r="I73" t="s">
        <v>160</v>
      </c>
    </row>
    <row r="74" spans="1:9">
      <c r="A74">
        <v>1305058859</v>
      </c>
      <c r="B74" t="s">
        <v>309</v>
      </c>
      <c r="C74" t="s">
        <v>262</v>
      </c>
      <c r="D74" t="s">
        <v>310</v>
      </c>
      <c r="E74">
        <v>994487273</v>
      </c>
      <c r="F74" t="s">
        <v>157</v>
      </c>
      <c r="G74" t="s">
        <v>158</v>
      </c>
      <c r="H74" t="s">
        <v>159</v>
      </c>
      <c r="I74" t="s">
        <v>160</v>
      </c>
    </row>
    <row r="75" spans="1:9">
      <c r="A75">
        <v>1308368230</v>
      </c>
      <c r="B75" t="s">
        <v>311</v>
      </c>
      <c r="C75" t="s">
        <v>262</v>
      </c>
      <c r="D75" t="s">
        <v>312</v>
      </c>
      <c r="E75">
        <v>996568861</v>
      </c>
      <c r="F75" t="s">
        <v>157</v>
      </c>
      <c r="G75" t="s">
        <v>158</v>
      </c>
      <c r="H75" t="s">
        <v>159</v>
      </c>
      <c r="I75" t="s">
        <v>160</v>
      </c>
    </row>
    <row r="76" spans="1:9">
      <c r="A76">
        <v>1311936239</v>
      </c>
      <c r="B76" t="s">
        <v>313</v>
      </c>
      <c r="C76" t="s">
        <v>262</v>
      </c>
      <c r="D76" t="s">
        <v>314</v>
      </c>
      <c r="E76">
        <v>986965389</v>
      </c>
      <c r="F76" t="s">
        <v>157</v>
      </c>
      <c r="G76" t="s">
        <v>158</v>
      </c>
      <c r="H76" t="s">
        <v>159</v>
      </c>
      <c r="I76" t="s">
        <v>160</v>
      </c>
    </row>
    <row r="77" spans="1:9">
      <c r="A77">
        <v>1307597201</v>
      </c>
      <c r="B77" t="s">
        <v>315</v>
      </c>
      <c r="C77" t="s">
        <v>262</v>
      </c>
      <c r="D77" t="s">
        <v>316</v>
      </c>
      <c r="E77">
        <v>985009851</v>
      </c>
      <c r="F77" t="s">
        <v>157</v>
      </c>
      <c r="G77" t="s">
        <v>177</v>
      </c>
      <c r="H77" t="s">
        <v>159</v>
      </c>
      <c r="I77" t="s">
        <v>160</v>
      </c>
    </row>
    <row r="78" spans="1:9">
      <c r="A78">
        <v>1306795087</v>
      </c>
      <c r="B78" t="s">
        <v>317</v>
      </c>
      <c r="C78" t="s">
        <v>262</v>
      </c>
      <c r="D78" t="s">
        <v>318</v>
      </c>
      <c r="E78">
        <v>994509264</v>
      </c>
      <c r="F78" t="s">
        <v>174</v>
      </c>
      <c r="G78" t="s">
        <v>158</v>
      </c>
      <c r="H78" t="s">
        <v>159</v>
      </c>
      <c r="I78" t="s">
        <v>160</v>
      </c>
    </row>
    <row r="79" spans="1:9">
      <c r="A79">
        <v>1312179870</v>
      </c>
      <c r="B79" t="s">
        <v>319</v>
      </c>
      <c r="C79" t="s">
        <v>262</v>
      </c>
      <c r="D79" t="s">
        <v>320</v>
      </c>
      <c r="E79">
        <v>993506845</v>
      </c>
      <c r="F79" t="s">
        <v>157</v>
      </c>
      <c r="G79" t="s">
        <v>177</v>
      </c>
      <c r="H79" t="s">
        <v>159</v>
      </c>
      <c r="I79" t="s">
        <v>160</v>
      </c>
    </row>
    <row r="80" spans="1:9">
      <c r="A80">
        <v>1311778698</v>
      </c>
      <c r="B80" t="s">
        <v>321</v>
      </c>
      <c r="C80" t="s">
        <v>262</v>
      </c>
      <c r="D80" t="s">
        <v>322</v>
      </c>
      <c r="E80">
        <v>979426887</v>
      </c>
      <c r="F80" t="s">
        <v>157</v>
      </c>
      <c r="G80" t="s">
        <v>158</v>
      </c>
      <c r="H80" t="s">
        <v>242</v>
      </c>
      <c r="I80" t="s">
        <v>160</v>
      </c>
    </row>
    <row r="81" spans="1:9">
      <c r="A81">
        <v>1304685215</v>
      </c>
      <c r="B81" t="s">
        <v>323</v>
      </c>
      <c r="C81" t="s">
        <v>262</v>
      </c>
      <c r="D81" t="s">
        <v>324</v>
      </c>
      <c r="E81">
        <v>990866973</v>
      </c>
      <c r="F81" t="s">
        <v>157</v>
      </c>
      <c r="G81" t="s">
        <v>158</v>
      </c>
      <c r="H81" t="s">
        <v>159</v>
      </c>
      <c r="I81" t="s">
        <v>160</v>
      </c>
    </row>
    <row r="82" spans="1:9">
      <c r="A82">
        <v>1310429434</v>
      </c>
      <c r="B82" t="s">
        <v>325</v>
      </c>
      <c r="C82" t="s">
        <v>262</v>
      </c>
      <c r="D82" t="s">
        <v>326</v>
      </c>
      <c r="E82">
        <v>989762385</v>
      </c>
      <c r="F82" t="s">
        <v>157</v>
      </c>
      <c r="G82" t="s">
        <v>158</v>
      </c>
      <c r="H82" t="s">
        <v>159</v>
      </c>
      <c r="I82" t="s">
        <v>160</v>
      </c>
    </row>
    <row r="83" spans="1:9">
      <c r="A83">
        <v>1305567610</v>
      </c>
      <c r="B83" t="s">
        <v>327</v>
      </c>
      <c r="C83" t="s">
        <v>262</v>
      </c>
      <c r="D83" t="s">
        <v>328</v>
      </c>
      <c r="E83">
        <v>967474963</v>
      </c>
      <c r="F83" t="s">
        <v>157</v>
      </c>
      <c r="G83" t="s">
        <v>158</v>
      </c>
      <c r="H83" t="s">
        <v>159</v>
      </c>
      <c r="I83" t="s">
        <v>160</v>
      </c>
    </row>
    <row r="84" spans="1:9">
      <c r="A84">
        <v>1312718487</v>
      </c>
      <c r="B84" t="s">
        <v>329</v>
      </c>
      <c r="C84" t="s">
        <v>262</v>
      </c>
      <c r="D84" t="s">
        <v>330</v>
      </c>
      <c r="E84">
        <v>994482463</v>
      </c>
      <c r="F84" t="s">
        <v>157</v>
      </c>
      <c r="G84" t="s">
        <v>158</v>
      </c>
      <c r="H84" t="s">
        <v>159</v>
      </c>
      <c r="I84" t="s">
        <v>160</v>
      </c>
    </row>
    <row r="85" spans="1:9">
      <c r="A85">
        <v>1315243376</v>
      </c>
      <c r="B85" t="s">
        <v>331</v>
      </c>
      <c r="C85" t="s">
        <v>262</v>
      </c>
      <c r="D85" t="s">
        <v>332</v>
      </c>
      <c r="E85">
        <v>981925543</v>
      </c>
      <c r="F85" t="s">
        <v>157</v>
      </c>
      <c r="G85" t="s">
        <v>158</v>
      </c>
      <c r="H85" t="s">
        <v>182</v>
      </c>
      <c r="I85" t="s">
        <v>160</v>
      </c>
    </row>
    <row r="86" spans="1:9">
      <c r="A86">
        <v>914125430</v>
      </c>
      <c r="B86" t="s">
        <v>333</v>
      </c>
      <c r="C86" t="s">
        <v>262</v>
      </c>
      <c r="D86" t="s">
        <v>334</v>
      </c>
      <c r="E86">
        <v>987672117</v>
      </c>
      <c r="F86" t="s">
        <v>157</v>
      </c>
      <c r="G86" t="s">
        <v>158</v>
      </c>
      <c r="H86" t="s">
        <v>159</v>
      </c>
      <c r="I86" t="s">
        <v>160</v>
      </c>
    </row>
    <row r="87" spans="1:9">
      <c r="A87">
        <v>1313313080</v>
      </c>
      <c r="B87" t="s">
        <v>335</v>
      </c>
      <c r="C87" t="s">
        <v>262</v>
      </c>
      <c r="D87" t="s">
        <v>336</v>
      </c>
      <c r="E87">
        <v>981710821</v>
      </c>
      <c r="F87" t="s">
        <v>157</v>
      </c>
      <c r="G87" t="s">
        <v>158</v>
      </c>
      <c r="H87" t="s">
        <v>159</v>
      </c>
      <c r="I87" t="s">
        <v>160</v>
      </c>
    </row>
    <row r="88" spans="1:9">
      <c r="A88">
        <v>1308646155</v>
      </c>
      <c r="B88" t="s">
        <v>337</v>
      </c>
      <c r="C88" t="s">
        <v>262</v>
      </c>
      <c r="D88" t="s">
        <v>338</v>
      </c>
      <c r="E88">
        <v>979056102</v>
      </c>
      <c r="F88" t="s">
        <v>157</v>
      </c>
      <c r="G88" t="s">
        <v>158</v>
      </c>
      <c r="H88" t="s">
        <v>159</v>
      </c>
      <c r="I88" t="s">
        <v>160</v>
      </c>
    </row>
    <row r="89" spans="1:9">
      <c r="A89">
        <v>1309206298</v>
      </c>
      <c r="B89" t="s">
        <v>339</v>
      </c>
      <c r="C89" t="s">
        <v>262</v>
      </c>
      <c r="D89" t="s">
        <v>340</v>
      </c>
      <c r="E89">
        <v>990952124</v>
      </c>
      <c r="F89" t="s">
        <v>157</v>
      </c>
      <c r="G89" t="s">
        <v>158</v>
      </c>
      <c r="H89" t="s">
        <v>159</v>
      </c>
      <c r="I89" t="s">
        <v>160</v>
      </c>
    </row>
    <row r="90" spans="1:9">
      <c r="A90">
        <v>1307802965</v>
      </c>
      <c r="B90" t="s">
        <v>341</v>
      </c>
      <c r="C90" t="s">
        <v>342</v>
      </c>
      <c r="D90" t="s">
        <v>343</v>
      </c>
      <c r="E90">
        <v>993943892</v>
      </c>
      <c r="F90" t="s">
        <v>157</v>
      </c>
      <c r="G90" t="s">
        <v>158</v>
      </c>
      <c r="H90" t="s">
        <v>159</v>
      </c>
      <c r="I90" t="s">
        <v>160</v>
      </c>
    </row>
    <row r="91" spans="1:9">
      <c r="A91">
        <v>1308294501</v>
      </c>
      <c r="B91" t="s">
        <v>39</v>
      </c>
      <c r="C91" t="s">
        <v>262</v>
      </c>
      <c r="D91" t="s">
        <v>344</v>
      </c>
      <c r="E91">
        <v>996421112</v>
      </c>
      <c r="F91" t="s">
        <v>157</v>
      </c>
      <c r="G91" t="s">
        <v>158</v>
      </c>
      <c r="H91" t="s">
        <v>159</v>
      </c>
      <c r="I91" t="s">
        <v>160</v>
      </c>
    </row>
    <row r="92" spans="1:9">
      <c r="A92">
        <v>1305769190</v>
      </c>
      <c r="B92" t="s">
        <v>345</v>
      </c>
      <c r="C92" t="s">
        <v>342</v>
      </c>
      <c r="D92" t="s">
        <v>346</v>
      </c>
      <c r="E92">
        <v>985751660</v>
      </c>
      <c r="F92" t="s">
        <v>157</v>
      </c>
      <c r="G92" t="s">
        <v>158</v>
      </c>
      <c r="H92" t="s">
        <v>159</v>
      </c>
      <c r="I92" t="s">
        <v>160</v>
      </c>
    </row>
    <row r="93" spans="1:9">
      <c r="A93">
        <v>1305935833</v>
      </c>
      <c r="B93" t="s">
        <v>347</v>
      </c>
      <c r="C93" t="s">
        <v>342</v>
      </c>
      <c r="D93" t="s">
        <v>348</v>
      </c>
      <c r="E93">
        <v>994348427</v>
      </c>
      <c r="F93" t="s">
        <v>174</v>
      </c>
      <c r="G93" t="s">
        <v>158</v>
      </c>
      <c r="H93" t="s">
        <v>159</v>
      </c>
      <c r="I93" t="s">
        <v>160</v>
      </c>
    </row>
    <row r="94" spans="1:9">
      <c r="A94">
        <v>1306238443</v>
      </c>
      <c r="B94" t="s">
        <v>349</v>
      </c>
      <c r="C94" t="s">
        <v>342</v>
      </c>
      <c r="D94" t="s">
        <v>350</v>
      </c>
      <c r="E94">
        <v>994546271</v>
      </c>
      <c r="F94" t="s">
        <v>174</v>
      </c>
      <c r="G94" t="s">
        <v>158</v>
      </c>
      <c r="H94" t="s">
        <v>159</v>
      </c>
      <c r="I94" t="s">
        <v>160</v>
      </c>
    </row>
    <row r="95" spans="1:9">
      <c r="A95">
        <v>1309715850</v>
      </c>
      <c r="B95" t="s">
        <v>351</v>
      </c>
      <c r="C95" t="s">
        <v>342</v>
      </c>
      <c r="D95" t="s">
        <v>352</v>
      </c>
      <c r="E95">
        <v>981038384</v>
      </c>
      <c r="F95" t="s">
        <v>157</v>
      </c>
      <c r="G95" t="s">
        <v>158</v>
      </c>
      <c r="H95" t="s">
        <v>159</v>
      </c>
      <c r="I95" t="s">
        <v>160</v>
      </c>
    </row>
    <row r="96" spans="1:9">
      <c r="A96">
        <v>1305124271</v>
      </c>
      <c r="B96" t="s">
        <v>353</v>
      </c>
      <c r="C96" t="s">
        <v>342</v>
      </c>
      <c r="D96" t="s">
        <v>354</v>
      </c>
      <c r="E96">
        <v>998723075</v>
      </c>
      <c r="F96" t="s">
        <v>157</v>
      </c>
      <c r="G96" t="s">
        <v>158</v>
      </c>
      <c r="H96" t="s">
        <v>159</v>
      </c>
      <c r="I96" t="s">
        <v>160</v>
      </c>
    </row>
    <row r="97" spans="1:9">
      <c r="A97">
        <v>1305057026</v>
      </c>
      <c r="B97" t="s">
        <v>355</v>
      </c>
      <c r="C97" t="s">
        <v>342</v>
      </c>
      <c r="D97" t="s">
        <v>356</v>
      </c>
      <c r="E97">
        <v>982409063</v>
      </c>
      <c r="F97" t="s">
        <v>157</v>
      </c>
      <c r="G97" t="s">
        <v>158</v>
      </c>
      <c r="H97" t="s">
        <v>159</v>
      </c>
      <c r="I97" t="s">
        <v>160</v>
      </c>
    </row>
    <row r="98" spans="1:9">
      <c r="A98">
        <v>1305501809</v>
      </c>
      <c r="B98" t="s">
        <v>357</v>
      </c>
      <c r="C98" t="s">
        <v>262</v>
      </c>
      <c r="D98" t="s">
        <v>358</v>
      </c>
      <c r="E98">
        <v>984980465</v>
      </c>
      <c r="F98" t="s">
        <v>157</v>
      </c>
      <c r="G98" t="s">
        <v>177</v>
      </c>
      <c r="H98" t="s">
        <v>159</v>
      </c>
      <c r="I98" t="s">
        <v>160</v>
      </c>
    </row>
    <row r="99" spans="1:9">
      <c r="A99">
        <v>1307842383</v>
      </c>
      <c r="B99" t="s">
        <v>359</v>
      </c>
      <c r="C99" t="s">
        <v>342</v>
      </c>
      <c r="D99" t="s">
        <v>360</v>
      </c>
      <c r="E99">
        <v>939868131</v>
      </c>
      <c r="F99" t="s">
        <v>157</v>
      </c>
      <c r="G99" t="s">
        <v>158</v>
      </c>
      <c r="H99" t="s">
        <v>159</v>
      </c>
      <c r="I99" t="s">
        <v>160</v>
      </c>
    </row>
    <row r="100" spans="1:9">
      <c r="A100">
        <v>920298205</v>
      </c>
      <c r="B100" t="s">
        <v>361</v>
      </c>
      <c r="C100" t="s">
        <v>342</v>
      </c>
      <c r="D100" t="s">
        <v>362</v>
      </c>
      <c r="E100">
        <v>992387741</v>
      </c>
      <c r="F100" t="s">
        <v>157</v>
      </c>
      <c r="G100" t="s">
        <v>158</v>
      </c>
      <c r="H100" t="s">
        <v>159</v>
      </c>
      <c r="I100" t="s">
        <v>160</v>
      </c>
    </row>
    <row r="101" spans="1:9">
      <c r="A101">
        <v>1306444595</v>
      </c>
      <c r="B101" t="s">
        <v>363</v>
      </c>
      <c r="C101" t="s">
        <v>342</v>
      </c>
      <c r="D101" t="s">
        <v>364</v>
      </c>
      <c r="E101">
        <v>900000044</v>
      </c>
      <c r="F101" t="s">
        <v>174</v>
      </c>
      <c r="G101" t="s">
        <v>158</v>
      </c>
      <c r="H101" t="s">
        <v>159</v>
      </c>
      <c r="I101" t="s">
        <v>160</v>
      </c>
    </row>
    <row r="102" spans="1:9">
      <c r="A102">
        <v>1312606476</v>
      </c>
      <c r="B102" t="s">
        <v>365</v>
      </c>
      <c r="C102" t="s">
        <v>342</v>
      </c>
      <c r="D102" t="s">
        <v>366</v>
      </c>
      <c r="E102">
        <v>992045309</v>
      </c>
      <c r="F102" t="s">
        <v>157</v>
      </c>
      <c r="G102" t="s">
        <v>158</v>
      </c>
      <c r="H102" t="s">
        <v>242</v>
      </c>
      <c r="I102" t="s">
        <v>160</v>
      </c>
    </row>
    <row r="103" spans="1:9">
      <c r="A103">
        <v>913857033</v>
      </c>
      <c r="B103" t="s">
        <v>367</v>
      </c>
      <c r="C103" t="s">
        <v>342</v>
      </c>
      <c r="D103" t="s">
        <v>368</v>
      </c>
      <c r="E103">
        <v>997877586</v>
      </c>
      <c r="F103" t="s">
        <v>157</v>
      </c>
      <c r="G103" t="s">
        <v>158</v>
      </c>
      <c r="H103" t="s">
        <v>159</v>
      </c>
      <c r="I103" t="s">
        <v>160</v>
      </c>
    </row>
    <row r="104" spans="1:9">
      <c r="A104">
        <v>1311099749</v>
      </c>
      <c r="B104" t="s">
        <v>369</v>
      </c>
      <c r="C104" t="s">
        <v>342</v>
      </c>
      <c r="D104" t="s">
        <v>370</v>
      </c>
      <c r="E104">
        <v>981169502</v>
      </c>
      <c r="F104" t="s">
        <v>157</v>
      </c>
      <c r="G104" t="s">
        <v>158</v>
      </c>
      <c r="H104" t="s">
        <v>159</v>
      </c>
      <c r="I104" t="s">
        <v>160</v>
      </c>
    </row>
    <row r="105" spans="1:9">
      <c r="A105">
        <v>1315680429</v>
      </c>
      <c r="B105" t="s">
        <v>371</v>
      </c>
      <c r="C105" t="s">
        <v>342</v>
      </c>
      <c r="D105" t="s">
        <v>372</v>
      </c>
      <c r="E105">
        <v>990901691</v>
      </c>
      <c r="F105" t="s">
        <v>174</v>
      </c>
      <c r="G105" t="s">
        <v>158</v>
      </c>
      <c r="H105" t="s">
        <v>159</v>
      </c>
      <c r="I105" t="s">
        <v>160</v>
      </c>
    </row>
    <row r="106" spans="1:9">
      <c r="A106">
        <v>1306293687</v>
      </c>
      <c r="B106" t="s">
        <v>373</v>
      </c>
      <c r="C106" t="s">
        <v>374</v>
      </c>
      <c r="D106" t="s">
        <v>375</v>
      </c>
      <c r="E106">
        <v>999826209</v>
      </c>
      <c r="F106" t="s">
        <v>157</v>
      </c>
      <c r="G106" t="s">
        <v>158</v>
      </c>
      <c r="H106" t="s">
        <v>159</v>
      </c>
      <c r="I106" t="s">
        <v>160</v>
      </c>
    </row>
    <row r="107" spans="1:9">
      <c r="A107">
        <v>1306260959</v>
      </c>
      <c r="B107" t="s">
        <v>376</v>
      </c>
      <c r="C107" t="s">
        <v>374</v>
      </c>
      <c r="D107" t="s">
        <v>377</v>
      </c>
      <c r="E107">
        <v>997945151</v>
      </c>
      <c r="F107" t="s">
        <v>157</v>
      </c>
      <c r="G107" t="s">
        <v>158</v>
      </c>
      <c r="H107" t="s">
        <v>159</v>
      </c>
      <c r="I107" t="s">
        <v>160</v>
      </c>
    </row>
    <row r="108" spans="1:9">
      <c r="A108">
        <v>1310640097</v>
      </c>
      <c r="B108" t="s">
        <v>378</v>
      </c>
      <c r="C108" t="s">
        <v>374</v>
      </c>
      <c r="D108" t="s">
        <v>379</v>
      </c>
      <c r="E108">
        <v>996373875</v>
      </c>
      <c r="F108" t="s">
        <v>157</v>
      </c>
      <c r="G108" t="s">
        <v>158</v>
      </c>
      <c r="H108" t="s">
        <v>159</v>
      </c>
      <c r="I108" t="s">
        <v>160</v>
      </c>
    </row>
    <row r="109" spans="1:9">
      <c r="A109">
        <v>1311779241</v>
      </c>
      <c r="B109" t="s">
        <v>380</v>
      </c>
      <c r="C109" t="s">
        <v>374</v>
      </c>
      <c r="D109" t="s">
        <v>381</v>
      </c>
      <c r="E109">
        <v>980343467</v>
      </c>
      <c r="F109" t="s">
        <v>157</v>
      </c>
      <c r="G109" t="s">
        <v>158</v>
      </c>
      <c r="H109" t="s">
        <v>159</v>
      </c>
      <c r="I109" t="s">
        <v>160</v>
      </c>
    </row>
    <row r="110" spans="1:9">
      <c r="A110">
        <v>1303385957</v>
      </c>
      <c r="B110" t="s">
        <v>382</v>
      </c>
      <c r="C110" t="s">
        <v>374</v>
      </c>
      <c r="D110" t="s">
        <v>383</v>
      </c>
      <c r="E110">
        <v>987224114</v>
      </c>
      <c r="F110" t="s">
        <v>157</v>
      </c>
      <c r="G110" t="s">
        <v>158</v>
      </c>
      <c r="H110" t="s">
        <v>159</v>
      </c>
      <c r="I110" t="s">
        <v>160</v>
      </c>
    </row>
    <row r="111" spans="1:9">
      <c r="A111">
        <v>1309746871</v>
      </c>
      <c r="B111" t="s">
        <v>384</v>
      </c>
      <c r="C111" t="s">
        <v>374</v>
      </c>
      <c r="D111" t="s">
        <v>385</v>
      </c>
      <c r="E111">
        <v>992244137</v>
      </c>
      <c r="F111" t="s">
        <v>174</v>
      </c>
      <c r="G111" t="s">
        <v>158</v>
      </c>
      <c r="H111" t="s">
        <v>280</v>
      </c>
      <c r="I111" t="s">
        <v>160</v>
      </c>
    </row>
    <row r="112" spans="1:9">
      <c r="A112">
        <v>1305509448</v>
      </c>
      <c r="B112" t="s">
        <v>386</v>
      </c>
      <c r="C112" t="s">
        <v>120</v>
      </c>
      <c r="D112" t="s">
        <v>387</v>
      </c>
      <c r="E112">
        <v>995141673</v>
      </c>
      <c r="F112" t="s">
        <v>157</v>
      </c>
      <c r="G112" t="s">
        <v>158</v>
      </c>
      <c r="H112" t="s">
        <v>159</v>
      </c>
      <c r="I112" t="s">
        <v>160</v>
      </c>
    </row>
    <row r="113" spans="1:9">
      <c r="A113">
        <v>910619543</v>
      </c>
      <c r="B113" t="s">
        <v>388</v>
      </c>
      <c r="C113" t="s">
        <v>374</v>
      </c>
      <c r="D113" t="s">
        <v>389</v>
      </c>
      <c r="E113">
        <v>986305500</v>
      </c>
      <c r="F113" t="s">
        <v>157</v>
      </c>
      <c r="G113" t="s">
        <v>158</v>
      </c>
      <c r="H113" t="s">
        <v>159</v>
      </c>
      <c r="I113" t="s">
        <v>160</v>
      </c>
    </row>
    <row r="114" spans="1:9">
      <c r="A114">
        <v>1311369464</v>
      </c>
      <c r="B114" t="s">
        <v>390</v>
      </c>
      <c r="C114" t="s">
        <v>374</v>
      </c>
      <c r="D114" t="s">
        <v>391</v>
      </c>
      <c r="E114">
        <v>996925400</v>
      </c>
      <c r="F114" t="s">
        <v>157</v>
      </c>
      <c r="G114" t="s">
        <v>158</v>
      </c>
      <c r="H114" t="s">
        <v>159</v>
      </c>
      <c r="I114" t="s">
        <v>160</v>
      </c>
    </row>
    <row r="115" spans="1:9">
      <c r="A115">
        <v>1306763218</v>
      </c>
      <c r="B115" t="s">
        <v>392</v>
      </c>
      <c r="C115" t="s">
        <v>374</v>
      </c>
      <c r="D115" t="s">
        <v>393</v>
      </c>
      <c r="E115">
        <v>95490040</v>
      </c>
      <c r="F115" t="s">
        <v>157</v>
      </c>
      <c r="G115" t="s">
        <v>158</v>
      </c>
      <c r="H115" t="s">
        <v>159</v>
      </c>
      <c r="I115" t="s">
        <v>160</v>
      </c>
    </row>
    <row r="116" spans="1:9">
      <c r="A116">
        <v>1302940091</v>
      </c>
      <c r="B116" t="s">
        <v>394</v>
      </c>
      <c r="C116" t="s">
        <v>374</v>
      </c>
      <c r="D116" t="s">
        <v>395</v>
      </c>
      <c r="E116">
        <v>982228268</v>
      </c>
      <c r="F116" t="s">
        <v>174</v>
      </c>
      <c r="G116" t="s">
        <v>158</v>
      </c>
      <c r="H116" t="s">
        <v>159</v>
      </c>
      <c r="I116" t="s">
        <v>160</v>
      </c>
    </row>
    <row r="117" spans="1:9">
      <c r="A117">
        <v>1311498222</v>
      </c>
      <c r="B117" t="s">
        <v>396</v>
      </c>
      <c r="C117" t="s">
        <v>374</v>
      </c>
      <c r="D117" t="s">
        <v>397</v>
      </c>
      <c r="E117">
        <v>994564918</v>
      </c>
      <c r="F117" t="s">
        <v>157</v>
      </c>
      <c r="G117" t="s">
        <v>158</v>
      </c>
      <c r="H117" t="s">
        <v>159</v>
      </c>
      <c r="I117" t="s">
        <v>160</v>
      </c>
    </row>
    <row r="118" spans="1:9">
      <c r="A118">
        <v>1310419138</v>
      </c>
      <c r="B118" t="s">
        <v>398</v>
      </c>
      <c r="C118" t="s">
        <v>374</v>
      </c>
      <c r="D118" t="s">
        <v>399</v>
      </c>
      <c r="E118">
        <v>993873821</v>
      </c>
      <c r="F118" t="s">
        <v>157</v>
      </c>
      <c r="G118" t="s">
        <v>158</v>
      </c>
      <c r="H118" t="s">
        <v>159</v>
      </c>
      <c r="I118" t="s">
        <v>160</v>
      </c>
    </row>
    <row r="119" spans="1:9">
      <c r="A119">
        <v>602990723</v>
      </c>
      <c r="B119" t="s">
        <v>400</v>
      </c>
      <c r="C119" t="s">
        <v>374</v>
      </c>
      <c r="D119" t="s">
        <v>401</v>
      </c>
      <c r="E119">
        <v>995349553</v>
      </c>
      <c r="F119" t="s">
        <v>157</v>
      </c>
      <c r="G119" t="s">
        <v>158</v>
      </c>
      <c r="H119" t="s">
        <v>159</v>
      </c>
      <c r="I119" t="s">
        <v>160</v>
      </c>
    </row>
    <row r="120" spans="1:9">
      <c r="A120">
        <v>1312875279</v>
      </c>
      <c r="B120" t="s">
        <v>402</v>
      </c>
      <c r="C120" t="s">
        <v>374</v>
      </c>
      <c r="D120" t="s">
        <v>403</v>
      </c>
      <c r="E120">
        <v>996547733</v>
      </c>
      <c r="F120" t="s">
        <v>157</v>
      </c>
      <c r="G120" t="s">
        <v>158</v>
      </c>
      <c r="H120" t="s">
        <v>159</v>
      </c>
      <c r="I120" t="s">
        <v>160</v>
      </c>
    </row>
    <row r="121" spans="1:9">
      <c r="A121">
        <v>1308524568</v>
      </c>
      <c r="B121" t="s">
        <v>404</v>
      </c>
      <c r="C121" t="s">
        <v>374</v>
      </c>
      <c r="D121" t="s">
        <v>405</v>
      </c>
      <c r="E121">
        <v>999762406</v>
      </c>
      <c r="F121" t="s">
        <v>157</v>
      </c>
      <c r="G121" t="s">
        <v>158</v>
      </c>
      <c r="H121" t="s">
        <v>159</v>
      </c>
      <c r="I121" t="s">
        <v>160</v>
      </c>
    </row>
    <row r="122" spans="1:9">
      <c r="A122">
        <v>1309662706</v>
      </c>
      <c r="B122" t="s">
        <v>406</v>
      </c>
      <c r="C122" t="s">
        <v>374</v>
      </c>
      <c r="D122" t="s">
        <v>407</v>
      </c>
      <c r="E122">
        <v>999068580</v>
      </c>
      <c r="F122" t="s">
        <v>174</v>
      </c>
      <c r="G122" t="s">
        <v>158</v>
      </c>
      <c r="H122" t="s">
        <v>159</v>
      </c>
      <c r="I122" t="s">
        <v>160</v>
      </c>
    </row>
    <row r="123" spans="1:9">
      <c r="A123">
        <v>1708333115</v>
      </c>
      <c r="B123" t="s">
        <v>408</v>
      </c>
      <c r="C123" t="s">
        <v>374</v>
      </c>
      <c r="D123" t="s">
        <v>409</v>
      </c>
      <c r="E123">
        <v>990311136</v>
      </c>
      <c r="F123" t="s">
        <v>174</v>
      </c>
      <c r="G123" t="s">
        <v>158</v>
      </c>
      <c r="H123" t="s">
        <v>159</v>
      </c>
      <c r="I123" t="s">
        <v>160</v>
      </c>
    </row>
    <row r="124" spans="1:9">
      <c r="A124">
        <v>1307822377</v>
      </c>
      <c r="B124" t="s">
        <v>410</v>
      </c>
      <c r="C124" t="s">
        <v>374</v>
      </c>
      <c r="D124" t="s">
        <v>411</v>
      </c>
      <c r="E124">
        <v>995825448</v>
      </c>
      <c r="F124" t="s">
        <v>157</v>
      </c>
      <c r="G124" t="s">
        <v>158</v>
      </c>
      <c r="H124" t="s">
        <v>159</v>
      </c>
      <c r="I124" t="s">
        <v>160</v>
      </c>
    </row>
    <row r="125" spans="1:9">
      <c r="A125">
        <v>1309489852</v>
      </c>
      <c r="B125" t="s">
        <v>412</v>
      </c>
      <c r="C125" t="s">
        <v>374</v>
      </c>
      <c r="D125" t="s">
        <v>413</v>
      </c>
      <c r="E125">
        <v>984812536</v>
      </c>
      <c r="F125" t="s">
        <v>174</v>
      </c>
      <c r="G125" t="s">
        <v>158</v>
      </c>
      <c r="H125" t="s">
        <v>159</v>
      </c>
      <c r="I125" t="s">
        <v>160</v>
      </c>
    </row>
    <row r="126" spans="1:9">
      <c r="A126">
        <v>1308645660</v>
      </c>
      <c r="B126" t="s">
        <v>414</v>
      </c>
      <c r="C126" t="s">
        <v>374</v>
      </c>
      <c r="D126" t="s">
        <v>415</v>
      </c>
      <c r="E126">
        <v>997567577</v>
      </c>
      <c r="F126" t="s">
        <v>174</v>
      </c>
      <c r="G126" t="s">
        <v>158</v>
      </c>
      <c r="H126" t="s">
        <v>242</v>
      </c>
      <c r="I126" t="s">
        <v>160</v>
      </c>
    </row>
    <row r="127" spans="1:9">
      <c r="A127">
        <v>1305701243</v>
      </c>
      <c r="B127" t="s">
        <v>416</v>
      </c>
      <c r="C127" t="s">
        <v>374</v>
      </c>
      <c r="D127" t="s">
        <v>417</v>
      </c>
      <c r="E127">
        <v>995309857</v>
      </c>
      <c r="F127" t="s">
        <v>174</v>
      </c>
      <c r="G127" t="s">
        <v>158</v>
      </c>
      <c r="H127" t="s">
        <v>159</v>
      </c>
      <c r="I127" t="s">
        <v>160</v>
      </c>
    </row>
    <row r="128" spans="1:9">
      <c r="A128">
        <v>1309143442</v>
      </c>
      <c r="B128" t="s">
        <v>418</v>
      </c>
      <c r="C128" t="s">
        <v>374</v>
      </c>
      <c r="D128" t="s">
        <v>419</v>
      </c>
      <c r="E128">
        <v>987229264</v>
      </c>
      <c r="F128" t="s">
        <v>174</v>
      </c>
      <c r="G128" t="s">
        <v>158</v>
      </c>
      <c r="H128" t="s">
        <v>159</v>
      </c>
      <c r="I128" t="s">
        <v>160</v>
      </c>
    </row>
    <row r="129" spans="1:9">
      <c r="A129">
        <v>1311667495</v>
      </c>
      <c r="B129" t="s">
        <v>420</v>
      </c>
      <c r="C129" t="s">
        <v>374</v>
      </c>
      <c r="D129" t="s">
        <v>421</v>
      </c>
      <c r="E129">
        <v>992827588</v>
      </c>
      <c r="F129" t="s">
        <v>157</v>
      </c>
      <c r="G129" t="s">
        <v>158</v>
      </c>
      <c r="H129" t="s">
        <v>182</v>
      </c>
      <c r="I129" t="s">
        <v>160</v>
      </c>
    </row>
    <row r="130" spans="1:9">
      <c r="A130">
        <v>909466674</v>
      </c>
      <c r="B130" t="s">
        <v>422</v>
      </c>
      <c r="C130" t="s">
        <v>374</v>
      </c>
      <c r="D130" t="s">
        <v>423</v>
      </c>
      <c r="E130">
        <v>994832664</v>
      </c>
      <c r="F130" t="s">
        <v>157</v>
      </c>
      <c r="G130" t="s">
        <v>158</v>
      </c>
      <c r="H130" t="s">
        <v>159</v>
      </c>
      <c r="I130" t="s">
        <v>160</v>
      </c>
    </row>
    <row r="131" spans="1:9">
      <c r="A131">
        <v>1309029815</v>
      </c>
      <c r="B131" t="s">
        <v>424</v>
      </c>
      <c r="C131" t="s">
        <v>374</v>
      </c>
      <c r="D131" t="s">
        <v>425</v>
      </c>
      <c r="E131">
        <v>998827593</v>
      </c>
      <c r="F131" t="s">
        <v>157</v>
      </c>
      <c r="G131" t="s">
        <v>158</v>
      </c>
      <c r="H131" t="s">
        <v>159</v>
      </c>
      <c r="I131" t="s">
        <v>160</v>
      </c>
    </row>
    <row r="132" spans="1:9">
      <c r="A132">
        <v>1350123640</v>
      </c>
      <c r="B132" t="s">
        <v>426</v>
      </c>
      <c r="C132" t="s">
        <v>374</v>
      </c>
      <c r="D132" t="s">
        <v>427</v>
      </c>
      <c r="E132">
        <v>991111111</v>
      </c>
      <c r="F132" t="s">
        <v>157</v>
      </c>
      <c r="G132" t="s">
        <v>158</v>
      </c>
      <c r="H132" t="s">
        <v>159</v>
      </c>
      <c r="I132" t="s">
        <v>160</v>
      </c>
    </row>
    <row r="133" spans="1:9">
      <c r="A133">
        <v>1311778458</v>
      </c>
      <c r="B133" t="s">
        <v>29</v>
      </c>
      <c r="C133" t="s">
        <v>374</v>
      </c>
      <c r="D133" t="s">
        <v>428</v>
      </c>
      <c r="E133">
        <v>991942979</v>
      </c>
      <c r="F133" t="s">
        <v>157</v>
      </c>
      <c r="G133" t="s">
        <v>158</v>
      </c>
      <c r="H133" t="s">
        <v>159</v>
      </c>
      <c r="I133" t="s">
        <v>160</v>
      </c>
    </row>
    <row r="134" spans="1:9">
      <c r="A134">
        <v>912379716</v>
      </c>
      <c r="B134" t="s">
        <v>429</v>
      </c>
      <c r="C134" t="s">
        <v>430</v>
      </c>
      <c r="F134" t="s">
        <v>157</v>
      </c>
      <c r="G134" t="s">
        <v>177</v>
      </c>
      <c r="H134" t="s">
        <v>182</v>
      </c>
    </row>
    <row r="135" spans="1:9">
      <c r="A135">
        <v>1312319641</v>
      </c>
      <c r="B135" t="s">
        <v>431</v>
      </c>
      <c r="C135" t="s">
        <v>262</v>
      </c>
      <c r="F135" t="s">
        <v>157</v>
      </c>
      <c r="G135" t="s">
        <v>158</v>
      </c>
      <c r="H135" t="s">
        <v>182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F9AB-822B-4832-BA42-55BEF4100EA3}">
  <dimension ref="A1:G339"/>
  <sheetViews>
    <sheetView topLeftCell="A319" workbookViewId="0"/>
  </sheetViews>
  <sheetFormatPr defaultColWidth="9.140625" defaultRowHeight="15"/>
  <cols>
    <col min="1" max="1" width="35.85546875" bestFit="1" customWidth="1"/>
    <col min="2" max="2" width="72.42578125" bestFit="1" customWidth="1"/>
    <col min="3" max="3" width="9.42578125" bestFit="1" customWidth="1"/>
    <col min="4" max="4" width="11" bestFit="1" customWidth="1"/>
    <col min="5" max="5" width="17" bestFit="1" customWidth="1"/>
    <col min="6" max="6" width="42.85546875" bestFit="1" customWidth="1"/>
    <col min="7" max="7" width="11.28515625" bestFit="1" customWidth="1"/>
    <col min="8" max="8" width="33.42578125" bestFit="1" customWidth="1"/>
    <col min="9" max="9" width="67.85546875" bestFit="1" customWidth="1"/>
    <col min="10" max="11" width="11.140625" bestFit="1" customWidth="1"/>
    <col min="12" max="12" width="16" bestFit="1" customWidth="1"/>
    <col min="13" max="13" width="42.85546875" bestFit="1" customWidth="1"/>
    <col min="14" max="14" width="11.140625" bestFit="1" customWidth="1"/>
  </cols>
  <sheetData>
    <row r="1" spans="1:7">
      <c r="A1" t="s">
        <v>432</v>
      </c>
      <c r="B1" t="s">
        <v>433</v>
      </c>
      <c r="C1" t="s">
        <v>9</v>
      </c>
      <c r="D1" t="s">
        <v>434</v>
      </c>
      <c r="E1" t="s">
        <v>2</v>
      </c>
      <c r="F1" t="s">
        <v>107</v>
      </c>
      <c r="G1" t="s">
        <v>435</v>
      </c>
    </row>
    <row r="2" spans="1:7">
      <c r="A2" t="s">
        <v>436</v>
      </c>
      <c r="B2" t="s">
        <v>437</v>
      </c>
      <c r="C2">
        <v>4</v>
      </c>
      <c r="D2">
        <v>16</v>
      </c>
      <c r="E2" t="s">
        <v>112</v>
      </c>
      <c r="F2" t="s">
        <v>113</v>
      </c>
      <c r="G2">
        <v>1</v>
      </c>
    </row>
    <row r="3" spans="1:7">
      <c r="A3" t="s">
        <v>438</v>
      </c>
      <c r="B3" t="s">
        <v>439</v>
      </c>
      <c r="C3">
        <v>4</v>
      </c>
      <c r="D3">
        <v>16</v>
      </c>
      <c r="E3" t="s">
        <v>112</v>
      </c>
      <c r="F3" t="s">
        <v>113</v>
      </c>
      <c r="G3">
        <v>1</v>
      </c>
    </row>
    <row r="4" spans="1:7">
      <c r="A4" t="s">
        <v>440</v>
      </c>
      <c r="B4" t="s">
        <v>441</v>
      </c>
      <c r="C4">
        <v>4</v>
      </c>
      <c r="D4">
        <v>16</v>
      </c>
      <c r="E4" t="s">
        <v>112</v>
      </c>
      <c r="F4" t="s">
        <v>113</v>
      </c>
      <c r="G4">
        <v>1</v>
      </c>
    </row>
    <row r="5" spans="1:7">
      <c r="A5" t="s">
        <v>442</v>
      </c>
      <c r="B5" t="s">
        <v>28</v>
      </c>
      <c r="C5">
        <v>4</v>
      </c>
      <c r="D5">
        <v>16</v>
      </c>
      <c r="E5" t="s">
        <v>112</v>
      </c>
      <c r="F5" t="s">
        <v>113</v>
      </c>
      <c r="G5">
        <v>1</v>
      </c>
    </row>
    <row r="6" spans="1:7">
      <c r="A6" t="s">
        <v>443</v>
      </c>
      <c r="B6" t="s">
        <v>444</v>
      </c>
      <c r="C6">
        <v>4</v>
      </c>
      <c r="D6">
        <v>16</v>
      </c>
      <c r="E6" t="s">
        <v>112</v>
      </c>
      <c r="F6" t="s">
        <v>113</v>
      </c>
      <c r="G6">
        <v>1</v>
      </c>
    </row>
    <row r="7" spans="1:7">
      <c r="A7" t="s">
        <v>445</v>
      </c>
      <c r="B7" t="s">
        <v>446</v>
      </c>
      <c r="C7">
        <v>3</v>
      </c>
      <c r="D7">
        <v>16</v>
      </c>
      <c r="E7" t="s">
        <v>112</v>
      </c>
      <c r="F7" t="s">
        <v>113</v>
      </c>
      <c r="G7">
        <v>2</v>
      </c>
    </row>
    <row r="8" spans="1:7">
      <c r="A8" t="s">
        <v>447</v>
      </c>
      <c r="B8" t="s">
        <v>448</v>
      </c>
      <c r="C8">
        <v>4</v>
      </c>
      <c r="D8">
        <v>16</v>
      </c>
      <c r="E8" t="s">
        <v>112</v>
      </c>
      <c r="F8" t="s">
        <v>113</v>
      </c>
      <c r="G8">
        <v>2</v>
      </c>
    </row>
    <row r="9" spans="1:7">
      <c r="A9" t="s">
        <v>449</v>
      </c>
      <c r="B9" t="s">
        <v>450</v>
      </c>
      <c r="C9">
        <v>4</v>
      </c>
      <c r="D9">
        <v>16</v>
      </c>
      <c r="E9" t="s">
        <v>112</v>
      </c>
      <c r="F9" t="s">
        <v>113</v>
      </c>
      <c r="G9">
        <v>2</v>
      </c>
    </row>
    <row r="10" spans="1:7">
      <c r="A10" t="s">
        <v>451</v>
      </c>
      <c r="B10" t="s">
        <v>452</v>
      </c>
      <c r="C10">
        <v>3</v>
      </c>
      <c r="D10">
        <v>16</v>
      </c>
      <c r="E10" t="s">
        <v>112</v>
      </c>
      <c r="F10" t="s">
        <v>113</v>
      </c>
      <c r="G10">
        <v>2</v>
      </c>
    </row>
    <row r="11" spans="1:7">
      <c r="A11" t="s">
        <v>453</v>
      </c>
      <c r="B11" t="s">
        <v>454</v>
      </c>
      <c r="C11">
        <v>3</v>
      </c>
      <c r="D11">
        <v>16</v>
      </c>
      <c r="E11" t="s">
        <v>112</v>
      </c>
      <c r="F11" t="s">
        <v>113</v>
      </c>
      <c r="G11">
        <v>2</v>
      </c>
    </row>
    <row r="12" spans="1:7">
      <c r="A12" t="s">
        <v>455</v>
      </c>
      <c r="B12" t="s">
        <v>456</v>
      </c>
      <c r="C12">
        <v>3</v>
      </c>
      <c r="D12">
        <v>16</v>
      </c>
      <c r="E12" t="s">
        <v>112</v>
      </c>
      <c r="F12" t="s">
        <v>113</v>
      </c>
      <c r="G12">
        <v>2</v>
      </c>
    </row>
    <row r="13" spans="1:7">
      <c r="A13" t="s">
        <v>457</v>
      </c>
      <c r="B13" t="s">
        <v>458</v>
      </c>
      <c r="C13">
        <v>4</v>
      </c>
      <c r="D13">
        <v>16</v>
      </c>
      <c r="E13" t="s">
        <v>112</v>
      </c>
      <c r="F13" t="s">
        <v>113</v>
      </c>
      <c r="G13">
        <v>3</v>
      </c>
    </row>
    <row r="14" spans="1:7">
      <c r="A14" t="s">
        <v>459</v>
      </c>
      <c r="B14" t="s">
        <v>460</v>
      </c>
      <c r="C14">
        <v>3</v>
      </c>
      <c r="D14">
        <v>16</v>
      </c>
      <c r="E14" t="s">
        <v>112</v>
      </c>
      <c r="F14" t="s">
        <v>113</v>
      </c>
      <c r="G14">
        <v>3</v>
      </c>
    </row>
    <row r="15" spans="1:7">
      <c r="A15" t="s">
        <v>461</v>
      </c>
      <c r="B15" t="s">
        <v>462</v>
      </c>
      <c r="C15">
        <v>4</v>
      </c>
      <c r="D15">
        <v>16</v>
      </c>
      <c r="E15" t="s">
        <v>112</v>
      </c>
      <c r="F15" t="s">
        <v>113</v>
      </c>
      <c r="G15">
        <v>3</v>
      </c>
    </row>
    <row r="16" spans="1:7">
      <c r="A16" t="s">
        <v>463</v>
      </c>
      <c r="B16" t="s">
        <v>464</v>
      </c>
      <c r="C16">
        <v>3</v>
      </c>
      <c r="D16">
        <v>16</v>
      </c>
      <c r="E16" t="s">
        <v>112</v>
      </c>
      <c r="F16" t="s">
        <v>113</v>
      </c>
      <c r="G16">
        <v>3</v>
      </c>
    </row>
    <row r="17" spans="1:7">
      <c r="A17" t="s">
        <v>465</v>
      </c>
      <c r="B17" t="s">
        <v>466</v>
      </c>
      <c r="C17">
        <v>3</v>
      </c>
      <c r="D17">
        <v>16</v>
      </c>
      <c r="E17" t="s">
        <v>112</v>
      </c>
      <c r="F17" t="s">
        <v>113</v>
      </c>
      <c r="G17">
        <v>3</v>
      </c>
    </row>
    <row r="18" spans="1:7">
      <c r="A18" t="s">
        <v>467</v>
      </c>
      <c r="B18" t="s">
        <v>468</v>
      </c>
      <c r="C18">
        <v>3</v>
      </c>
      <c r="D18">
        <v>16</v>
      </c>
      <c r="E18" t="s">
        <v>112</v>
      </c>
      <c r="F18" t="s">
        <v>113</v>
      </c>
      <c r="G18">
        <v>3</v>
      </c>
    </row>
    <row r="19" spans="1:7">
      <c r="A19" t="s">
        <v>469</v>
      </c>
      <c r="B19" t="s">
        <v>78</v>
      </c>
      <c r="C19">
        <v>4</v>
      </c>
      <c r="D19">
        <v>16</v>
      </c>
      <c r="E19" t="s">
        <v>112</v>
      </c>
      <c r="F19" t="s">
        <v>113</v>
      </c>
      <c r="G19">
        <v>4</v>
      </c>
    </row>
    <row r="20" spans="1:7">
      <c r="A20" t="s">
        <v>470</v>
      </c>
      <c r="B20" t="s">
        <v>471</v>
      </c>
      <c r="C20">
        <v>4</v>
      </c>
      <c r="D20">
        <v>16</v>
      </c>
      <c r="E20" t="s">
        <v>112</v>
      </c>
      <c r="F20" t="s">
        <v>113</v>
      </c>
      <c r="G20">
        <v>4</v>
      </c>
    </row>
    <row r="21" spans="1:7">
      <c r="A21" t="s">
        <v>472</v>
      </c>
      <c r="B21" t="s">
        <v>473</v>
      </c>
      <c r="C21">
        <v>4</v>
      </c>
      <c r="D21">
        <v>16</v>
      </c>
      <c r="E21" t="s">
        <v>112</v>
      </c>
      <c r="F21" t="s">
        <v>113</v>
      </c>
      <c r="G21">
        <v>4</v>
      </c>
    </row>
    <row r="22" spans="1:7">
      <c r="A22" t="s">
        <v>474</v>
      </c>
      <c r="B22" t="s">
        <v>475</v>
      </c>
      <c r="C22">
        <v>4</v>
      </c>
      <c r="D22">
        <v>16</v>
      </c>
      <c r="E22" t="s">
        <v>112</v>
      </c>
      <c r="F22" t="s">
        <v>113</v>
      </c>
      <c r="G22">
        <v>4</v>
      </c>
    </row>
    <row r="23" spans="1:7">
      <c r="A23" t="s">
        <v>476</v>
      </c>
      <c r="B23" t="s">
        <v>477</v>
      </c>
      <c r="C23">
        <v>4</v>
      </c>
      <c r="D23">
        <v>16</v>
      </c>
      <c r="E23" t="s">
        <v>112</v>
      </c>
      <c r="F23" t="s">
        <v>113</v>
      </c>
      <c r="G23">
        <v>4</v>
      </c>
    </row>
    <row r="24" spans="1:7">
      <c r="A24" t="s">
        <v>478</v>
      </c>
      <c r="B24" t="s">
        <v>479</v>
      </c>
      <c r="C24">
        <v>4</v>
      </c>
      <c r="D24">
        <v>16</v>
      </c>
      <c r="E24" t="s">
        <v>112</v>
      </c>
      <c r="F24" t="s">
        <v>113</v>
      </c>
      <c r="G24">
        <v>5</v>
      </c>
    </row>
    <row r="25" spans="1:7">
      <c r="A25" t="s">
        <v>480</v>
      </c>
      <c r="B25" t="s">
        <v>481</v>
      </c>
      <c r="C25">
        <v>4</v>
      </c>
      <c r="D25">
        <v>16</v>
      </c>
      <c r="E25" t="s">
        <v>112</v>
      </c>
      <c r="F25" t="s">
        <v>113</v>
      </c>
      <c r="G25">
        <v>5</v>
      </c>
    </row>
    <row r="26" spans="1:7">
      <c r="A26" t="s">
        <v>482</v>
      </c>
      <c r="B26" t="s">
        <v>483</v>
      </c>
      <c r="C26">
        <v>4</v>
      </c>
      <c r="D26">
        <v>16</v>
      </c>
      <c r="E26" t="s">
        <v>112</v>
      </c>
      <c r="F26" t="s">
        <v>113</v>
      </c>
      <c r="G26">
        <v>5</v>
      </c>
    </row>
    <row r="27" spans="1:7">
      <c r="A27" t="s">
        <v>484</v>
      </c>
      <c r="B27" t="s">
        <v>485</v>
      </c>
      <c r="C27">
        <v>4</v>
      </c>
      <c r="D27">
        <v>16</v>
      </c>
      <c r="E27" t="s">
        <v>112</v>
      </c>
      <c r="F27" t="s">
        <v>113</v>
      </c>
      <c r="G27">
        <v>5</v>
      </c>
    </row>
    <row r="28" spans="1:7">
      <c r="A28" t="s">
        <v>486</v>
      </c>
      <c r="B28" t="s">
        <v>487</v>
      </c>
      <c r="C28">
        <v>4</v>
      </c>
      <c r="D28">
        <v>16</v>
      </c>
      <c r="E28" t="s">
        <v>112</v>
      </c>
      <c r="F28" t="s">
        <v>113</v>
      </c>
      <c r="G28">
        <v>5</v>
      </c>
    </row>
    <row r="29" spans="1:7">
      <c r="A29" t="s">
        <v>488</v>
      </c>
      <c r="B29" t="s">
        <v>489</v>
      </c>
      <c r="C29">
        <v>4</v>
      </c>
      <c r="D29">
        <v>16</v>
      </c>
      <c r="E29" t="s">
        <v>112</v>
      </c>
      <c r="F29" t="s">
        <v>113</v>
      </c>
      <c r="G29">
        <v>6</v>
      </c>
    </row>
    <row r="30" spans="1:7">
      <c r="A30" t="s">
        <v>490</v>
      </c>
      <c r="B30" t="s">
        <v>491</v>
      </c>
      <c r="C30">
        <v>4</v>
      </c>
      <c r="D30">
        <v>16</v>
      </c>
      <c r="E30" t="s">
        <v>112</v>
      </c>
      <c r="F30" t="s">
        <v>113</v>
      </c>
      <c r="G30">
        <v>6</v>
      </c>
    </row>
    <row r="31" spans="1:7">
      <c r="A31" t="s">
        <v>492</v>
      </c>
      <c r="B31" t="s">
        <v>493</v>
      </c>
      <c r="C31">
        <v>4</v>
      </c>
      <c r="D31">
        <v>16</v>
      </c>
      <c r="E31" t="s">
        <v>112</v>
      </c>
      <c r="F31" t="s">
        <v>113</v>
      </c>
      <c r="G31">
        <v>6</v>
      </c>
    </row>
    <row r="32" spans="1:7">
      <c r="A32" t="s">
        <v>494</v>
      </c>
      <c r="B32" t="s">
        <v>495</v>
      </c>
      <c r="C32">
        <v>4</v>
      </c>
      <c r="D32">
        <v>16</v>
      </c>
      <c r="E32" t="s">
        <v>112</v>
      </c>
      <c r="F32" t="s">
        <v>113</v>
      </c>
      <c r="G32">
        <v>6</v>
      </c>
    </row>
    <row r="33" spans="1:7">
      <c r="A33" t="s">
        <v>496</v>
      </c>
      <c r="B33" t="s">
        <v>497</v>
      </c>
      <c r="C33">
        <v>4</v>
      </c>
      <c r="D33">
        <v>16</v>
      </c>
      <c r="E33" t="s">
        <v>112</v>
      </c>
      <c r="F33" t="s">
        <v>113</v>
      </c>
      <c r="G33">
        <v>6</v>
      </c>
    </row>
    <row r="34" spans="1:7">
      <c r="A34" t="s">
        <v>498</v>
      </c>
      <c r="B34" t="s">
        <v>499</v>
      </c>
      <c r="C34">
        <v>5</v>
      </c>
      <c r="D34">
        <v>16</v>
      </c>
      <c r="E34" t="s">
        <v>112</v>
      </c>
      <c r="F34" t="s">
        <v>113</v>
      </c>
      <c r="G34">
        <v>7</v>
      </c>
    </row>
    <row r="35" spans="1:7">
      <c r="A35" t="s">
        <v>500</v>
      </c>
      <c r="B35" t="s">
        <v>501</v>
      </c>
      <c r="C35">
        <v>5</v>
      </c>
      <c r="D35">
        <v>16</v>
      </c>
      <c r="E35" t="s">
        <v>112</v>
      </c>
      <c r="F35" t="s">
        <v>113</v>
      </c>
      <c r="G35">
        <v>7</v>
      </c>
    </row>
    <row r="36" spans="1:7">
      <c r="A36" t="s">
        <v>502</v>
      </c>
      <c r="B36" t="s">
        <v>503</v>
      </c>
      <c r="C36">
        <v>5</v>
      </c>
      <c r="D36">
        <v>16</v>
      </c>
      <c r="E36" t="s">
        <v>112</v>
      </c>
      <c r="F36" t="s">
        <v>113</v>
      </c>
      <c r="G36">
        <v>7</v>
      </c>
    </row>
    <row r="37" spans="1:7">
      <c r="A37" t="s">
        <v>504</v>
      </c>
      <c r="B37" t="s">
        <v>505</v>
      </c>
      <c r="C37">
        <v>5</v>
      </c>
      <c r="D37">
        <v>16</v>
      </c>
      <c r="E37" t="s">
        <v>112</v>
      </c>
      <c r="F37" t="s">
        <v>113</v>
      </c>
      <c r="G37">
        <v>7</v>
      </c>
    </row>
    <row r="38" spans="1:7">
      <c r="A38" t="s">
        <v>506</v>
      </c>
      <c r="B38" t="s">
        <v>507</v>
      </c>
      <c r="C38">
        <v>5</v>
      </c>
      <c r="D38">
        <v>16</v>
      </c>
      <c r="E38" t="s">
        <v>112</v>
      </c>
      <c r="F38" t="s">
        <v>113</v>
      </c>
      <c r="G38">
        <v>8</v>
      </c>
    </row>
    <row r="39" spans="1:7">
      <c r="A39" t="s">
        <v>508</v>
      </c>
      <c r="B39" t="s">
        <v>509</v>
      </c>
      <c r="C39">
        <v>5</v>
      </c>
      <c r="D39">
        <v>16</v>
      </c>
      <c r="E39" t="s">
        <v>112</v>
      </c>
      <c r="F39" t="s">
        <v>113</v>
      </c>
      <c r="G39">
        <v>8</v>
      </c>
    </row>
    <row r="40" spans="1:7">
      <c r="A40" t="s">
        <v>510</v>
      </c>
      <c r="B40" t="s">
        <v>511</v>
      </c>
      <c r="C40">
        <v>5</v>
      </c>
      <c r="D40">
        <v>16</v>
      </c>
      <c r="E40" t="s">
        <v>112</v>
      </c>
      <c r="F40" t="s">
        <v>113</v>
      </c>
      <c r="G40">
        <v>8</v>
      </c>
    </row>
    <row r="41" spans="1:7">
      <c r="A41" t="s">
        <v>512</v>
      </c>
      <c r="B41" t="s">
        <v>513</v>
      </c>
      <c r="C41">
        <v>5</v>
      </c>
      <c r="D41">
        <v>16</v>
      </c>
      <c r="E41" t="s">
        <v>112</v>
      </c>
      <c r="F41" t="s">
        <v>113</v>
      </c>
      <c r="G41">
        <v>8</v>
      </c>
    </row>
    <row r="42" spans="1:7">
      <c r="A42" t="s">
        <v>514</v>
      </c>
      <c r="B42" t="s">
        <v>515</v>
      </c>
      <c r="C42">
        <v>9</v>
      </c>
      <c r="D42">
        <v>16</v>
      </c>
      <c r="E42" t="s">
        <v>115</v>
      </c>
      <c r="F42" t="s">
        <v>116</v>
      </c>
      <c r="G42">
        <v>1</v>
      </c>
    </row>
    <row r="43" spans="1:7">
      <c r="A43" t="s">
        <v>516</v>
      </c>
      <c r="B43" t="s">
        <v>517</v>
      </c>
      <c r="C43">
        <v>5</v>
      </c>
      <c r="D43">
        <v>16</v>
      </c>
      <c r="E43" t="s">
        <v>115</v>
      </c>
      <c r="F43" t="s">
        <v>116</v>
      </c>
      <c r="G43">
        <v>1</v>
      </c>
    </row>
    <row r="44" spans="1:7">
      <c r="A44" t="s">
        <v>518</v>
      </c>
      <c r="B44" t="s">
        <v>38</v>
      </c>
      <c r="C44">
        <v>2</v>
      </c>
      <c r="D44">
        <v>16</v>
      </c>
      <c r="E44" t="s">
        <v>115</v>
      </c>
      <c r="F44" t="s">
        <v>116</v>
      </c>
      <c r="G44">
        <v>1</v>
      </c>
    </row>
    <row r="45" spans="1:7">
      <c r="A45" t="s">
        <v>519</v>
      </c>
      <c r="B45" t="s">
        <v>520</v>
      </c>
      <c r="C45">
        <v>4</v>
      </c>
      <c r="D45">
        <v>16</v>
      </c>
      <c r="E45" t="s">
        <v>115</v>
      </c>
      <c r="F45" t="s">
        <v>116</v>
      </c>
      <c r="G45">
        <v>1</v>
      </c>
    </row>
    <row r="46" spans="1:7">
      <c r="A46" t="s">
        <v>521</v>
      </c>
      <c r="B46" t="s">
        <v>446</v>
      </c>
      <c r="C46">
        <v>8</v>
      </c>
      <c r="D46">
        <v>16</v>
      </c>
      <c r="E46" t="s">
        <v>115</v>
      </c>
      <c r="F46" t="s">
        <v>116</v>
      </c>
      <c r="G46">
        <v>2</v>
      </c>
    </row>
    <row r="47" spans="1:7">
      <c r="A47" t="s">
        <v>522</v>
      </c>
      <c r="B47" t="s">
        <v>448</v>
      </c>
      <c r="C47">
        <v>6</v>
      </c>
      <c r="D47">
        <v>16</v>
      </c>
      <c r="E47" t="s">
        <v>115</v>
      </c>
      <c r="F47" t="s">
        <v>116</v>
      </c>
      <c r="G47">
        <v>2</v>
      </c>
    </row>
    <row r="48" spans="1:7">
      <c r="A48" t="s">
        <v>523</v>
      </c>
      <c r="B48" t="s">
        <v>524</v>
      </c>
      <c r="C48">
        <v>3</v>
      </c>
      <c r="D48">
        <v>16</v>
      </c>
      <c r="E48" t="s">
        <v>115</v>
      </c>
      <c r="F48" t="s">
        <v>116</v>
      </c>
      <c r="G48">
        <v>2</v>
      </c>
    </row>
    <row r="49" spans="1:7">
      <c r="A49" t="s">
        <v>525</v>
      </c>
      <c r="B49" t="s">
        <v>526</v>
      </c>
      <c r="C49">
        <v>3</v>
      </c>
      <c r="D49">
        <v>16</v>
      </c>
      <c r="E49" t="s">
        <v>115</v>
      </c>
      <c r="F49" t="s">
        <v>116</v>
      </c>
      <c r="G49">
        <v>2</v>
      </c>
    </row>
    <row r="50" spans="1:7">
      <c r="A50" t="s">
        <v>527</v>
      </c>
      <c r="B50" t="s">
        <v>437</v>
      </c>
      <c r="C50">
        <v>5</v>
      </c>
      <c r="D50">
        <v>16</v>
      </c>
      <c r="E50" t="s">
        <v>115</v>
      </c>
      <c r="F50" t="s">
        <v>116</v>
      </c>
      <c r="G50">
        <v>3</v>
      </c>
    </row>
    <row r="51" spans="1:7">
      <c r="A51" t="s">
        <v>528</v>
      </c>
      <c r="B51" t="s">
        <v>529</v>
      </c>
      <c r="C51">
        <v>3</v>
      </c>
      <c r="D51">
        <v>16</v>
      </c>
      <c r="E51" t="s">
        <v>115</v>
      </c>
      <c r="F51" t="s">
        <v>116</v>
      </c>
      <c r="G51">
        <v>3</v>
      </c>
    </row>
    <row r="52" spans="1:7">
      <c r="A52" t="s">
        <v>530</v>
      </c>
      <c r="B52" t="s">
        <v>531</v>
      </c>
      <c r="C52">
        <v>4</v>
      </c>
      <c r="D52">
        <v>16</v>
      </c>
      <c r="E52" t="s">
        <v>115</v>
      </c>
      <c r="F52" t="s">
        <v>116</v>
      </c>
      <c r="G52">
        <v>3</v>
      </c>
    </row>
    <row r="53" spans="1:7">
      <c r="A53" t="s">
        <v>532</v>
      </c>
      <c r="B53" t="s">
        <v>533</v>
      </c>
      <c r="C53">
        <v>5</v>
      </c>
      <c r="D53">
        <v>16</v>
      </c>
      <c r="E53" t="s">
        <v>115</v>
      </c>
      <c r="F53" t="s">
        <v>116</v>
      </c>
      <c r="G53">
        <v>3</v>
      </c>
    </row>
    <row r="54" spans="1:7">
      <c r="A54" t="s">
        <v>534</v>
      </c>
      <c r="B54" t="s">
        <v>535</v>
      </c>
      <c r="C54">
        <v>3</v>
      </c>
      <c r="D54">
        <v>16</v>
      </c>
      <c r="E54" t="s">
        <v>115</v>
      </c>
      <c r="F54" t="s">
        <v>116</v>
      </c>
      <c r="G54">
        <v>3</v>
      </c>
    </row>
    <row r="55" spans="1:7">
      <c r="A55" t="s">
        <v>536</v>
      </c>
      <c r="B55" t="s">
        <v>537</v>
      </c>
      <c r="C55">
        <v>5</v>
      </c>
      <c r="D55">
        <v>16</v>
      </c>
      <c r="E55" t="s">
        <v>115</v>
      </c>
      <c r="F55" t="s">
        <v>116</v>
      </c>
      <c r="G55">
        <v>4</v>
      </c>
    </row>
    <row r="56" spans="1:7">
      <c r="A56" t="s">
        <v>538</v>
      </c>
      <c r="B56" t="s">
        <v>539</v>
      </c>
      <c r="C56">
        <v>4</v>
      </c>
      <c r="D56">
        <v>16</v>
      </c>
      <c r="E56" t="s">
        <v>115</v>
      </c>
      <c r="F56" t="s">
        <v>116</v>
      </c>
      <c r="G56">
        <v>4</v>
      </c>
    </row>
    <row r="57" spans="1:7">
      <c r="A57" t="s">
        <v>540</v>
      </c>
      <c r="B57" t="s">
        <v>541</v>
      </c>
      <c r="C57">
        <v>5</v>
      </c>
      <c r="D57">
        <v>16</v>
      </c>
      <c r="E57" t="s">
        <v>115</v>
      </c>
      <c r="F57" t="s">
        <v>116</v>
      </c>
      <c r="G57">
        <v>4</v>
      </c>
    </row>
    <row r="58" spans="1:7">
      <c r="A58" t="s">
        <v>542</v>
      </c>
      <c r="B58" t="s">
        <v>543</v>
      </c>
      <c r="C58">
        <v>4</v>
      </c>
      <c r="D58">
        <v>16</v>
      </c>
      <c r="E58" t="s">
        <v>115</v>
      </c>
      <c r="F58" t="s">
        <v>116</v>
      </c>
      <c r="G58">
        <v>4</v>
      </c>
    </row>
    <row r="59" spans="1:7">
      <c r="A59" t="s">
        <v>544</v>
      </c>
      <c r="B59" t="s">
        <v>545</v>
      </c>
      <c r="C59">
        <v>2</v>
      </c>
      <c r="D59">
        <v>16</v>
      </c>
      <c r="E59" t="s">
        <v>115</v>
      </c>
      <c r="F59" t="s">
        <v>116</v>
      </c>
      <c r="G59">
        <v>4</v>
      </c>
    </row>
    <row r="60" spans="1:7">
      <c r="A60" t="s">
        <v>546</v>
      </c>
      <c r="B60" t="s">
        <v>547</v>
      </c>
      <c r="C60">
        <v>4</v>
      </c>
      <c r="D60">
        <v>16</v>
      </c>
      <c r="E60" t="s">
        <v>115</v>
      </c>
      <c r="F60" t="s">
        <v>116</v>
      </c>
      <c r="G60">
        <v>5</v>
      </c>
    </row>
    <row r="61" spans="1:7">
      <c r="A61" t="s">
        <v>548</v>
      </c>
      <c r="B61" t="s">
        <v>549</v>
      </c>
      <c r="C61">
        <v>6</v>
      </c>
      <c r="D61">
        <v>16</v>
      </c>
      <c r="E61" t="s">
        <v>115</v>
      </c>
      <c r="F61" t="s">
        <v>116</v>
      </c>
      <c r="G61">
        <v>5</v>
      </c>
    </row>
    <row r="62" spans="1:7">
      <c r="A62" t="s">
        <v>550</v>
      </c>
      <c r="B62" t="s">
        <v>551</v>
      </c>
      <c r="C62">
        <v>5</v>
      </c>
      <c r="D62">
        <v>16</v>
      </c>
      <c r="E62" t="s">
        <v>115</v>
      </c>
      <c r="F62" t="s">
        <v>116</v>
      </c>
      <c r="G62">
        <v>5</v>
      </c>
    </row>
    <row r="63" spans="1:7">
      <c r="A63" t="s">
        <v>552</v>
      </c>
      <c r="B63" t="s">
        <v>553</v>
      </c>
      <c r="C63">
        <v>3</v>
      </c>
      <c r="D63">
        <v>16</v>
      </c>
      <c r="E63" t="s">
        <v>115</v>
      </c>
      <c r="F63" t="s">
        <v>116</v>
      </c>
      <c r="G63">
        <v>5</v>
      </c>
    </row>
    <row r="64" spans="1:7">
      <c r="A64" t="s">
        <v>554</v>
      </c>
      <c r="B64" t="s">
        <v>555</v>
      </c>
      <c r="C64">
        <v>2</v>
      </c>
      <c r="D64">
        <v>16</v>
      </c>
      <c r="E64" t="s">
        <v>115</v>
      </c>
      <c r="F64" t="s">
        <v>116</v>
      </c>
      <c r="G64">
        <v>5</v>
      </c>
    </row>
    <row r="65" spans="1:7">
      <c r="A65" t="s">
        <v>556</v>
      </c>
      <c r="B65" t="s">
        <v>557</v>
      </c>
      <c r="C65">
        <v>4</v>
      </c>
      <c r="D65">
        <v>16</v>
      </c>
      <c r="E65" t="s">
        <v>115</v>
      </c>
      <c r="F65" t="s">
        <v>116</v>
      </c>
      <c r="G65">
        <v>6</v>
      </c>
    </row>
    <row r="66" spans="1:7">
      <c r="A66" t="s">
        <v>558</v>
      </c>
      <c r="B66" t="s">
        <v>559</v>
      </c>
      <c r="C66">
        <v>3</v>
      </c>
      <c r="D66">
        <v>16</v>
      </c>
      <c r="E66" t="s">
        <v>115</v>
      </c>
      <c r="F66" t="s">
        <v>116</v>
      </c>
      <c r="G66">
        <v>6</v>
      </c>
    </row>
    <row r="67" spans="1:7">
      <c r="A67" t="s">
        <v>560</v>
      </c>
      <c r="B67" t="s">
        <v>561</v>
      </c>
      <c r="C67">
        <v>5</v>
      </c>
      <c r="D67">
        <v>16</v>
      </c>
      <c r="E67" t="s">
        <v>115</v>
      </c>
      <c r="F67" t="s">
        <v>116</v>
      </c>
      <c r="G67">
        <v>6</v>
      </c>
    </row>
    <row r="68" spans="1:7">
      <c r="A68" t="s">
        <v>562</v>
      </c>
      <c r="B68" t="s">
        <v>563</v>
      </c>
      <c r="C68">
        <v>4</v>
      </c>
      <c r="D68">
        <v>16</v>
      </c>
      <c r="E68" t="s">
        <v>115</v>
      </c>
      <c r="F68" t="s">
        <v>116</v>
      </c>
      <c r="G68">
        <v>6</v>
      </c>
    </row>
    <row r="69" spans="1:7">
      <c r="A69" t="s">
        <v>564</v>
      </c>
      <c r="B69" t="s">
        <v>565</v>
      </c>
      <c r="C69">
        <v>4</v>
      </c>
      <c r="D69">
        <v>16</v>
      </c>
      <c r="E69" t="s">
        <v>115</v>
      </c>
      <c r="F69" t="s">
        <v>116</v>
      </c>
      <c r="G69">
        <v>6</v>
      </c>
    </row>
    <row r="70" spans="1:7">
      <c r="A70" t="s">
        <v>566</v>
      </c>
      <c r="B70" t="s">
        <v>567</v>
      </c>
      <c r="C70">
        <v>4</v>
      </c>
      <c r="D70">
        <v>16</v>
      </c>
      <c r="E70" t="s">
        <v>115</v>
      </c>
      <c r="F70" t="s">
        <v>116</v>
      </c>
      <c r="G70">
        <v>7</v>
      </c>
    </row>
    <row r="71" spans="1:7">
      <c r="A71" t="s">
        <v>568</v>
      </c>
      <c r="B71" t="s">
        <v>569</v>
      </c>
      <c r="C71">
        <v>5</v>
      </c>
      <c r="D71">
        <v>16</v>
      </c>
      <c r="E71" t="s">
        <v>115</v>
      </c>
      <c r="F71" t="s">
        <v>116</v>
      </c>
      <c r="G71">
        <v>7</v>
      </c>
    </row>
    <row r="72" spans="1:7">
      <c r="A72" t="s">
        <v>570</v>
      </c>
      <c r="B72" t="s">
        <v>571</v>
      </c>
      <c r="C72">
        <v>4</v>
      </c>
      <c r="D72">
        <v>16</v>
      </c>
      <c r="E72" t="s">
        <v>115</v>
      </c>
      <c r="F72" t="s">
        <v>116</v>
      </c>
      <c r="G72">
        <v>7</v>
      </c>
    </row>
    <row r="73" spans="1:7">
      <c r="A73" t="s">
        <v>572</v>
      </c>
      <c r="B73" t="s">
        <v>573</v>
      </c>
      <c r="C73">
        <v>4</v>
      </c>
      <c r="D73">
        <v>16</v>
      </c>
      <c r="E73" t="s">
        <v>115</v>
      </c>
      <c r="F73" t="s">
        <v>116</v>
      </c>
      <c r="G73">
        <v>7</v>
      </c>
    </row>
    <row r="74" spans="1:7">
      <c r="A74" t="s">
        <v>574</v>
      </c>
      <c r="B74" t="s">
        <v>575</v>
      </c>
      <c r="C74">
        <v>3</v>
      </c>
      <c r="D74">
        <v>16</v>
      </c>
      <c r="E74" t="s">
        <v>115</v>
      </c>
      <c r="F74" t="s">
        <v>116</v>
      </c>
      <c r="G74">
        <v>7</v>
      </c>
    </row>
    <row r="75" spans="1:7">
      <c r="A75" t="s">
        <v>576</v>
      </c>
      <c r="B75" t="s">
        <v>577</v>
      </c>
      <c r="C75">
        <v>6</v>
      </c>
      <c r="D75">
        <v>16</v>
      </c>
      <c r="E75" t="s">
        <v>115</v>
      </c>
      <c r="F75" t="s">
        <v>116</v>
      </c>
      <c r="G75">
        <v>8</v>
      </c>
    </row>
    <row r="76" spans="1:7">
      <c r="A76" t="s">
        <v>578</v>
      </c>
      <c r="B76" t="s">
        <v>579</v>
      </c>
      <c r="C76">
        <v>3</v>
      </c>
      <c r="D76">
        <v>16</v>
      </c>
      <c r="E76" t="s">
        <v>115</v>
      </c>
      <c r="F76" t="s">
        <v>116</v>
      </c>
      <c r="G76">
        <v>8</v>
      </c>
    </row>
    <row r="77" spans="1:7">
      <c r="A77" t="s">
        <v>580</v>
      </c>
      <c r="B77" t="s">
        <v>581</v>
      </c>
      <c r="C77">
        <v>4</v>
      </c>
      <c r="D77">
        <v>16</v>
      </c>
      <c r="E77" t="s">
        <v>115</v>
      </c>
      <c r="F77" t="s">
        <v>116</v>
      </c>
      <c r="G77">
        <v>8</v>
      </c>
    </row>
    <row r="78" spans="1:7">
      <c r="A78" t="s">
        <v>582</v>
      </c>
      <c r="B78" t="s">
        <v>583</v>
      </c>
      <c r="C78">
        <v>4</v>
      </c>
      <c r="D78">
        <v>16</v>
      </c>
      <c r="E78" t="s">
        <v>115</v>
      </c>
      <c r="F78" t="s">
        <v>116</v>
      </c>
      <c r="G78">
        <v>8</v>
      </c>
    </row>
    <row r="79" spans="1:7">
      <c r="A79" t="s">
        <v>584</v>
      </c>
      <c r="B79" t="s">
        <v>585</v>
      </c>
      <c r="C79">
        <v>3</v>
      </c>
      <c r="D79">
        <v>16</v>
      </c>
      <c r="E79" t="s">
        <v>115</v>
      </c>
      <c r="F79" t="s">
        <v>116</v>
      </c>
      <c r="G79">
        <v>8</v>
      </c>
    </row>
    <row r="80" spans="1:7">
      <c r="A80" t="s">
        <v>586</v>
      </c>
      <c r="B80" t="s">
        <v>587</v>
      </c>
      <c r="C80">
        <v>3</v>
      </c>
      <c r="D80">
        <v>16</v>
      </c>
      <c r="E80" t="s">
        <v>117</v>
      </c>
      <c r="F80" t="s">
        <v>118</v>
      </c>
      <c r="G80">
        <v>1</v>
      </c>
    </row>
    <row r="81" spans="1:7">
      <c r="A81" t="s">
        <v>588</v>
      </c>
      <c r="B81" t="s">
        <v>589</v>
      </c>
      <c r="C81">
        <v>3</v>
      </c>
      <c r="D81">
        <v>16</v>
      </c>
      <c r="E81" t="s">
        <v>117</v>
      </c>
      <c r="F81" t="s">
        <v>118</v>
      </c>
      <c r="G81">
        <v>1</v>
      </c>
    </row>
    <row r="82" spans="1:7">
      <c r="A82" t="s">
        <v>590</v>
      </c>
      <c r="B82" t="s">
        <v>591</v>
      </c>
      <c r="C82">
        <v>3</v>
      </c>
      <c r="D82">
        <v>16</v>
      </c>
      <c r="E82" t="s">
        <v>117</v>
      </c>
      <c r="F82" t="s">
        <v>118</v>
      </c>
      <c r="G82">
        <v>1</v>
      </c>
    </row>
    <row r="83" spans="1:7">
      <c r="A83" t="s">
        <v>592</v>
      </c>
      <c r="B83" t="s">
        <v>593</v>
      </c>
      <c r="C83">
        <v>4</v>
      </c>
      <c r="D83">
        <v>16</v>
      </c>
      <c r="E83" t="s">
        <v>117</v>
      </c>
      <c r="F83" t="s">
        <v>118</v>
      </c>
      <c r="G83">
        <v>1</v>
      </c>
    </row>
    <row r="84" spans="1:7">
      <c r="A84" t="s">
        <v>594</v>
      </c>
      <c r="B84" t="s">
        <v>595</v>
      </c>
      <c r="C84">
        <v>3</v>
      </c>
      <c r="D84">
        <v>16</v>
      </c>
      <c r="E84" t="s">
        <v>117</v>
      </c>
      <c r="F84" t="s">
        <v>118</v>
      </c>
      <c r="G84">
        <v>1</v>
      </c>
    </row>
    <row r="85" spans="1:7">
      <c r="A85" t="s">
        <v>596</v>
      </c>
      <c r="B85" t="s">
        <v>597</v>
      </c>
      <c r="C85">
        <v>4</v>
      </c>
      <c r="D85">
        <v>16</v>
      </c>
      <c r="E85" t="s">
        <v>117</v>
      </c>
      <c r="F85" t="s">
        <v>118</v>
      </c>
      <c r="G85">
        <v>1</v>
      </c>
    </row>
    <row r="86" spans="1:7">
      <c r="A86" t="s">
        <v>598</v>
      </c>
      <c r="B86" t="s">
        <v>599</v>
      </c>
      <c r="C86">
        <v>4</v>
      </c>
      <c r="D86">
        <v>16</v>
      </c>
      <c r="E86" t="s">
        <v>117</v>
      </c>
      <c r="F86" t="s">
        <v>118</v>
      </c>
      <c r="G86">
        <v>2</v>
      </c>
    </row>
    <row r="87" spans="1:7">
      <c r="A87" t="s">
        <v>600</v>
      </c>
      <c r="B87" t="s">
        <v>601</v>
      </c>
      <c r="C87">
        <v>4</v>
      </c>
      <c r="D87">
        <v>16</v>
      </c>
      <c r="E87" t="s">
        <v>117</v>
      </c>
      <c r="F87" t="s">
        <v>118</v>
      </c>
      <c r="G87">
        <v>2</v>
      </c>
    </row>
    <row r="88" spans="1:7">
      <c r="A88" t="s">
        <v>602</v>
      </c>
      <c r="B88" t="s">
        <v>603</v>
      </c>
      <c r="C88">
        <v>4</v>
      </c>
      <c r="D88">
        <v>16</v>
      </c>
      <c r="E88" t="s">
        <v>117</v>
      </c>
      <c r="F88" t="s">
        <v>118</v>
      </c>
      <c r="G88">
        <v>2</v>
      </c>
    </row>
    <row r="89" spans="1:7">
      <c r="A89" t="s">
        <v>604</v>
      </c>
      <c r="B89" t="s">
        <v>605</v>
      </c>
      <c r="C89">
        <v>4</v>
      </c>
      <c r="D89">
        <v>16</v>
      </c>
      <c r="E89" t="s">
        <v>117</v>
      </c>
      <c r="F89" t="s">
        <v>118</v>
      </c>
      <c r="G89">
        <v>2</v>
      </c>
    </row>
    <row r="90" spans="1:7">
      <c r="A90" t="s">
        <v>606</v>
      </c>
      <c r="B90" t="s">
        <v>607</v>
      </c>
      <c r="C90">
        <v>4</v>
      </c>
      <c r="D90">
        <v>16</v>
      </c>
      <c r="E90" t="s">
        <v>117</v>
      </c>
      <c r="F90" t="s">
        <v>118</v>
      </c>
      <c r="G90">
        <v>2</v>
      </c>
    </row>
    <row r="91" spans="1:7">
      <c r="A91" t="s">
        <v>608</v>
      </c>
      <c r="B91" t="s">
        <v>609</v>
      </c>
      <c r="C91">
        <v>4</v>
      </c>
      <c r="D91">
        <v>16</v>
      </c>
      <c r="E91" t="s">
        <v>117</v>
      </c>
      <c r="F91" t="s">
        <v>118</v>
      </c>
      <c r="G91">
        <v>3</v>
      </c>
    </row>
    <row r="92" spans="1:7">
      <c r="A92" t="s">
        <v>610</v>
      </c>
      <c r="B92" t="s">
        <v>611</v>
      </c>
      <c r="C92">
        <v>4</v>
      </c>
      <c r="D92">
        <v>16</v>
      </c>
      <c r="E92" t="s">
        <v>117</v>
      </c>
      <c r="F92" t="s">
        <v>118</v>
      </c>
      <c r="G92">
        <v>3</v>
      </c>
    </row>
    <row r="93" spans="1:7">
      <c r="A93" t="s">
        <v>612</v>
      </c>
      <c r="B93" t="s">
        <v>613</v>
      </c>
      <c r="C93">
        <v>4</v>
      </c>
      <c r="D93">
        <v>16</v>
      </c>
      <c r="E93" t="s">
        <v>117</v>
      </c>
      <c r="F93" t="s">
        <v>118</v>
      </c>
      <c r="G93">
        <v>3</v>
      </c>
    </row>
    <row r="94" spans="1:7">
      <c r="A94" t="s">
        <v>614</v>
      </c>
      <c r="B94" t="s">
        <v>615</v>
      </c>
      <c r="C94">
        <v>4</v>
      </c>
      <c r="D94">
        <v>16</v>
      </c>
      <c r="E94" t="s">
        <v>117</v>
      </c>
      <c r="F94" t="s">
        <v>118</v>
      </c>
      <c r="G94">
        <v>3</v>
      </c>
    </row>
    <row r="95" spans="1:7">
      <c r="A95" t="s">
        <v>616</v>
      </c>
      <c r="B95" t="s">
        <v>617</v>
      </c>
      <c r="C95">
        <v>4</v>
      </c>
      <c r="D95">
        <v>16</v>
      </c>
      <c r="E95" t="s">
        <v>117</v>
      </c>
      <c r="F95" t="s">
        <v>118</v>
      </c>
      <c r="G95">
        <v>3</v>
      </c>
    </row>
    <row r="96" spans="1:7">
      <c r="A96" t="s">
        <v>618</v>
      </c>
      <c r="B96" t="s">
        <v>619</v>
      </c>
      <c r="C96">
        <v>5</v>
      </c>
      <c r="D96">
        <v>16</v>
      </c>
      <c r="E96" t="s">
        <v>117</v>
      </c>
      <c r="F96" t="s">
        <v>118</v>
      </c>
      <c r="G96">
        <v>4</v>
      </c>
    </row>
    <row r="97" spans="1:7">
      <c r="A97" t="s">
        <v>620</v>
      </c>
      <c r="B97" t="s">
        <v>621</v>
      </c>
      <c r="C97">
        <v>5</v>
      </c>
      <c r="D97">
        <v>16</v>
      </c>
      <c r="E97" t="s">
        <v>117</v>
      </c>
      <c r="F97" t="s">
        <v>118</v>
      </c>
      <c r="G97">
        <v>4</v>
      </c>
    </row>
    <row r="98" spans="1:7">
      <c r="A98" t="s">
        <v>622</v>
      </c>
      <c r="B98" t="s">
        <v>623</v>
      </c>
      <c r="C98">
        <v>5</v>
      </c>
      <c r="D98">
        <v>16</v>
      </c>
      <c r="E98" t="s">
        <v>117</v>
      </c>
      <c r="F98" t="s">
        <v>118</v>
      </c>
      <c r="G98">
        <v>4</v>
      </c>
    </row>
    <row r="99" spans="1:7">
      <c r="A99" t="s">
        <v>624</v>
      </c>
      <c r="B99" t="s">
        <v>28</v>
      </c>
      <c r="C99">
        <v>3</v>
      </c>
      <c r="D99">
        <v>16</v>
      </c>
      <c r="E99" t="s">
        <v>119</v>
      </c>
      <c r="F99" t="s">
        <v>120</v>
      </c>
      <c r="G99">
        <v>1</v>
      </c>
    </row>
    <row r="100" spans="1:7">
      <c r="A100" t="s">
        <v>625</v>
      </c>
      <c r="B100" t="s">
        <v>120</v>
      </c>
      <c r="C100">
        <v>5</v>
      </c>
      <c r="D100">
        <v>16</v>
      </c>
      <c r="E100" t="s">
        <v>119</v>
      </c>
      <c r="F100" t="s">
        <v>120</v>
      </c>
      <c r="G100">
        <v>1</v>
      </c>
    </row>
    <row r="101" spans="1:7">
      <c r="A101" t="s">
        <v>626</v>
      </c>
      <c r="B101" t="s">
        <v>627</v>
      </c>
      <c r="C101">
        <v>4</v>
      </c>
      <c r="D101">
        <v>16</v>
      </c>
      <c r="E101" t="s">
        <v>119</v>
      </c>
      <c r="F101" t="s">
        <v>120</v>
      </c>
      <c r="G101">
        <v>1</v>
      </c>
    </row>
    <row r="102" spans="1:7">
      <c r="A102" t="s">
        <v>628</v>
      </c>
      <c r="B102" t="s">
        <v>32</v>
      </c>
      <c r="C102">
        <v>5</v>
      </c>
      <c r="D102">
        <v>16</v>
      </c>
      <c r="E102" t="s">
        <v>119</v>
      </c>
      <c r="F102" t="s">
        <v>120</v>
      </c>
      <c r="G102">
        <v>1</v>
      </c>
    </row>
    <row r="103" spans="1:7">
      <c r="A103" t="s">
        <v>629</v>
      </c>
      <c r="B103" t="s">
        <v>630</v>
      </c>
      <c r="C103">
        <v>4</v>
      </c>
      <c r="D103">
        <v>16</v>
      </c>
      <c r="E103" t="s">
        <v>119</v>
      </c>
      <c r="F103" t="s">
        <v>120</v>
      </c>
      <c r="G103">
        <v>1</v>
      </c>
    </row>
    <row r="104" spans="1:7">
      <c r="A104" t="s">
        <v>631</v>
      </c>
      <c r="B104" t="s">
        <v>632</v>
      </c>
      <c r="C104">
        <v>5</v>
      </c>
      <c r="D104">
        <v>16</v>
      </c>
      <c r="E104" t="s">
        <v>119</v>
      </c>
      <c r="F104" t="s">
        <v>120</v>
      </c>
      <c r="G104">
        <v>2</v>
      </c>
    </row>
    <row r="105" spans="1:7">
      <c r="A105" t="s">
        <v>633</v>
      </c>
      <c r="B105" t="s">
        <v>634</v>
      </c>
      <c r="C105">
        <v>5</v>
      </c>
      <c r="D105">
        <v>16</v>
      </c>
      <c r="E105" t="s">
        <v>119</v>
      </c>
      <c r="F105" t="s">
        <v>120</v>
      </c>
      <c r="G105">
        <v>2</v>
      </c>
    </row>
    <row r="106" spans="1:7">
      <c r="A106" t="s">
        <v>635</v>
      </c>
      <c r="B106" t="s">
        <v>636</v>
      </c>
      <c r="C106">
        <v>4</v>
      </c>
      <c r="D106">
        <v>16</v>
      </c>
      <c r="E106" t="s">
        <v>119</v>
      </c>
      <c r="F106" t="s">
        <v>120</v>
      </c>
      <c r="G106">
        <v>2</v>
      </c>
    </row>
    <row r="107" spans="1:7">
      <c r="A107" t="s">
        <v>637</v>
      </c>
      <c r="B107" t="s">
        <v>437</v>
      </c>
      <c r="C107">
        <v>5</v>
      </c>
      <c r="D107">
        <v>16</v>
      </c>
      <c r="E107" t="s">
        <v>119</v>
      </c>
      <c r="F107" t="s">
        <v>120</v>
      </c>
      <c r="G107">
        <v>2</v>
      </c>
    </row>
    <row r="108" spans="1:7">
      <c r="A108" t="s">
        <v>638</v>
      </c>
      <c r="B108" t="s">
        <v>639</v>
      </c>
      <c r="C108">
        <v>4</v>
      </c>
      <c r="D108">
        <v>16</v>
      </c>
      <c r="E108" t="s">
        <v>119</v>
      </c>
      <c r="F108" t="s">
        <v>120</v>
      </c>
      <c r="G108">
        <v>2</v>
      </c>
    </row>
    <row r="109" spans="1:7">
      <c r="A109" t="s">
        <v>640</v>
      </c>
      <c r="B109" t="s">
        <v>641</v>
      </c>
      <c r="C109">
        <v>4</v>
      </c>
      <c r="D109">
        <v>16</v>
      </c>
      <c r="E109" t="s">
        <v>119</v>
      </c>
      <c r="F109" t="s">
        <v>120</v>
      </c>
      <c r="G109">
        <v>3</v>
      </c>
    </row>
    <row r="110" spans="1:7">
      <c r="A110" t="s">
        <v>642</v>
      </c>
      <c r="B110" t="s">
        <v>643</v>
      </c>
      <c r="C110">
        <v>4</v>
      </c>
      <c r="D110">
        <v>16</v>
      </c>
      <c r="E110" t="s">
        <v>119</v>
      </c>
      <c r="F110" t="s">
        <v>120</v>
      </c>
      <c r="G110">
        <v>3</v>
      </c>
    </row>
    <row r="111" spans="1:7">
      <c r="A111" t="s">
        <v>644</v>
      </c>
      <c r="B111" t="s">
        <v>444</v>
      </c>
      <c r="C111">
        <v>4</v>
      </c>
      <c r="D111">
        <v>16</v>
      </c>
      <c r="E111" t="s">
        <v>119</v>
      </c>
      <c r="F111" t="s">
        <v>120</v>
      </c>
      <c r="G111">
        <v>3</v>
      </c>
    </row>
    <row r="112" spans="1:7">
      <c r="A112" t="s">
        <v>645</v>
      </c>
      <c r="B112" t="s">
        <v>646</v>
      </c>
      <c r="C112">
        <v>3</v>
      </c>
      <c r="D112">
        <v>16</v>
      </c>
      <c r="E112" t="s">
        <v>119</v>
      </c>
      <c r="F112" t="s">
        <v>120</v>
      </c>
      <c r="G112">
        <v>3</v>
      </c>
    </row>
    <row r="113" spans="1:7">
      <c r="A113" t="s">
        <v>647</v>
      </c>
      <c r="B113" t="s">
        <v>648</v>
      </c>
      <c r="C113">
        <v>5</v>
      </c>
      <c r="D113">
        <v>16</v>
      </c>
      <c r="E113" t="s">
        <v>119</v>
      </c>
      <c r="F113" t="s">
        <v>120</v>
      </c>
      <c r="G113">
        <v>3</v>
      </c>
    </row>
    <row r="114" spans="1:7">
      <c r="A114" t="s">
        <v>649</v>
      </c>
      <c r="B114" t="s">
        <v>489</v>
      </c>
      <c r="C114">
        <v>4</v>
      </c>
      <c r="D114">
        <v>16</v>
      </c>
      <c r="E114" t="s">
        <v>119</v>
      </c>
      <c r="F114" t="s">
        <v>120</v>
      </c>
      <c r="G114">
        <v>3</v>
      </c>
    </row>
    <row r="115" spans="1:7">
      <c r="A115" t="s">
        <v>650</v>
      </c>
      <c r="B115" t="s">
        <v>454</v>
      </c>
      <c r="C115">
        <v>5</v>
      </c>
      <c r="D115">
        <v>16</v>
      </c>
      <c r="E115" t="s">
        <v>119</v>
      </c>
      <c r="F115" t="s">
        <v>120</v>
      </c>
      <c r="G115">
        <v>4</v>
      </c>
    </row>
    <row r="116" spans="1:7">
      <c r="A116" t="s">
        <v>651</v>
      </c>
      <c r="B116" t="s">
        <v>652</v>
      </c>
      <c r="C116">
        <v>4</v>
      </c>
      <c r="D116">
        <v>16</v>
      </c>
      <c r="E116" t="s">
        <v>119</v>
      </c>
      <c r="F116" t="s">
        <v>120</v>
      </c>
      <c r="G116">
        <v>4</v>
      </c>
    </row>
    <row r="117" spans="1:7">
      <c r="A117" t="s">
        <v>653</v>
      </c>
      <c r="B117" t="s">
        <v>654</v>
      </c>
      <c r="C117">
        <v>5</v>
      </c>
      <c r="D117">
        <v>16</v>
      </c>
      <c r="E117" t="s">
        <v>119</v>
      </c>
      <c r="F117" t="s">
        <v>120</v>
      </c>
      <c r="G117">
        <v>4</v>
      </c>
    </row>
    <row r="118" spans="1:7">
      <c r="A118" t="s">
        <v>655</v>
      </c>
      <c r="B118" t="s">
        <v>656</v>
      </c>
      <c r="C118">
        <v>4</v>
      </c>
      <c r="D118">
        <v>16</v>
      </c>
      <c r="E118" t="s">
        <v>119</v>
      </c>
      <c r="F118" t="s">
        <v>120</v>
      </c>
      <c r="G118">
        <v>4</v>
      </c>
    </row>
    <row r="119" spans="1:7">
      <c r="A119" t="s">
        <v>657</v>
      </c>
      <c r="B119" t="s">
        <v>658</v>
      </c>
      <c r="C119">
        <v>4</v>
      </c>
      <c r="D119">
        <v>16</v>
      </c>
      <c r="E119" t="s">
        <v>119</v>
      </c>
      <c r="F119" t="s">
        <v>120</v>
      </c>
      <c r="G119">
        <v>4</v>
      </c>
    </row>
    <row r="120" spans="1:7">
      <c r="A120" t="s">
        <v>659</v>
      </c>
      <c r="B120" t="s">
        <v>660</v>
      </c>
      <c r="C120">
        <v>4</v>
      </c>
      <c r="D120">
        <v>16</v>
      </c>
      <c r="E120" t="s">
        <v>119</v>
      </c>
      <c r="F120" t="s">
        <v>120</v>
      </c>
      <c r="G120">
        <v>5</v>
      </c>
    </row>
    <row r="121" spans="1:7">
      <c r="A121" t="s">
        <v>661</v>
      </c>
      <c r="B121" t="s">
        <v>662</v>
      </c>
      <c r="C121">
        <v>4</v>
      </c>
      <c r="D121">
        <v>16</v>
      </c>
      <c r="E121" t="s">
        <v>119</v>
      </c>
      <c r="F121" t="s">
        <v>120</v>
      </c>
      <c r="G121">
        <v>5</v>
      </c>
    </row>
    <row r="122" spans="1:7">
      <c r="A122" t="s">
        <v>663</v>
      </c>
      <c r="B122" t="s">
        <v>664</v>
      </c>
      <c r="C122">
        <v>4</v>
      </c>
      <c r="D122">
        <v>16</v>
      </c>
      <c r="E122" t="s">
        <v>119</v>
      </c>
      <c r="F122" t="s">
        <v>120</v>
      </c>
      <c r="G122">
        <v>5</v>
      </c>
    </row>
    <row r="123" spans="1:7">
      <c r="A123" t="s">
        <v>665</v>
      </c>
      <c r="B123" t="s">
        <v>666</v>
      </c>
      <c r="C123">
        <v>3</v>
      </c>
      <c r="D123">
        <v>16</v>
      </c>
      <c r="E123" t="s">
        <v>119</v>
      </c>
      <c r="F123" t="s">
        <v>120</v>
      </c>
      <c r="G123">
        <v>5</v>
      </c>
    </row>
    <row r="124" spans="1:7">
      <c r="A124" t="s">
        <v>667</v>
      </c>
      <c r="B124" t="s">
        <v>668</v>
      </c>
      <c r="C124">
        <v>4</v>
      </c>
      <c r="D124">
        <v>16</v>
      </c>
      <c r="E124" t="s">
        <v>119</v>
      </c>
      <c r="F124" t="s">
        <v>120</v>
      </c>
      <c r="G124">
        <v>5</v>
      </c>
    </row>
    <row r="125" spans="1:7">
      <c r="A125" t="s">
        <v>669</v>
      </c>
      <c r="B125" t="s">
        <v>670</v>
      </c>
      <c r="C125">
        <v>4</v>
      </c>
      <c r="D125">
        <v>16</v>
      </c>
      <c r="E125" t="s">
        <v>119</v>
      </c>
      <c r="F125" t="s">
        <v>120</v>
      </c>
      <c r="G125">
        <v>5</v>
      </c>
    </row>
    <row r="126" spans="1:7">
      <c r="A126" t="s">
        <v>671</v>
      </c>
      <c r="B126" t="s">
        <v>672</v>
      </c>
      <c r="C126">
        <v>4</v>
      </c>
      <c r="D126">
        <v>16</v>
      </c>
      <c r="E126" t="s">
        <v>119</v>
      </c>
      <c r="F126" t="s">
        <v>120</v>
      </c>
      <c r="G126">
        <v>6</v>
      </c>
    </row>
    <row r="127" spans="1:7">
      <c r="A127" t="s">
        <v>673</v>
      </c>
      <c r="B127" t="s">
        <v>674</v>
      </c>
      <c r="C127">
        <v>4</v>
      </c>
      <c r="D127">
        <v>16</v>
      </c>
      <c r="E127" t="s">
        <v>119</v>
      </c>
      <c r="F127" t="s">
        <v>120</v>
      </c>
      <c r="G127">
        <v>6</v>
      </c>
    </row>
    <row r="128" spans="1:7">
      <c r="A128" t="s">
        <v>675</v>
      </c>
      <c r="B128" t="s">
        <v>676</v>
      </c>
      <c r="C128">
        <v>4</v>
      </c>
      <c r="D128">
        <v>16</v>
      </c>
      <c r="E128" t="s">
        <v>119</v>
      </c>
      <c r="F128" t="s">
        <v>120</v>
      </c>
      <c r="G128">
        <v>6</v>
      </c>
    </row>
    <row r="129" spans="1:7">
      <c r="A129" t="s">
        <v>677</v>
      </c>
      <c r="B129" t="s">
        <v>678</v>
      </c>
      <c r="C129">
        <v>4</v>
      </c>
      <c r="D129">
        <v>16</v>
      </c>
      <c r="E129" t="s">
        <v>119</v>
      </c>
      <c r="F129" t="s">
        <v>120</v>
      </c>
      <c r="G129">
        <v>6</v>
      </c>
    </row>
    <row r="130" spans="1:7">
      <c r="A130" t="s">
        <v>679</v>
      </c>
      <c r="B130" t="s">
        <v>680</v>
      </c>
      <c r="C130">
        <v>3</v>
      </c>
      <c r="D130">
        <v>16</v>
      </c>
      <c r="E130" t="s">
        <v>119</v>
      </c>
      <c r="F130" t="s">
        <v>120</v>
      </c>
      <c r="G130">
        <v>6</v>
      </c>
    </row>
    <row r="131" spans="1:7">
      <c r="A131" t="s">
        <v>681</v>
      </c>
      <c r="B131" t="s">
        <v>682</v>
      </c>
      <c r="C131">
        <v>4</v>
      </c>
      <c r="D131">
        <v>16</v>
      </c>
      <c r="E131" t="s">
        <v>119</v>
      </c>
      <c r="F131" t="s">
        <v>120</v>
      </c>
      <c r="G131">
        <v>6</v>
      </c>
    </row>
    <row r="132" spans="1:7">
      <c r="A132" t="s">
        <v>683</v>
      </c>
      <c r="B132" t="s">
        <v>684</v>
      </c>
      <c r="C132">
        <v>4</v>
      </c>
      <c r="D132">
        <v>16</v>
      </c>
      <c r="E132" t="s">
        <v>119</v>
      </c>
      <c r="F132" t="s">
        <v>120</v>
      </c>
      <c r="G132">
        <v>7</v>
      </c>
    </row>
    <row r="133" spans="1:7">
      <c r="A133" t="s">
        <v>685</v>
      </c>
      <c r="B133" t="s">
        <v>686</v>
      </c>
      <c r="C133">
        <v>4</v>
      </c>
      <c r="D133">
        <v>16</v>
      </c>
      <c r="E133" t="s">
        <v>119</v>
      </c>
      <c r="F133" t="s">
        <v>120</v>
      </c>
      <c r="G133">
        <v>7</v>
      </c>
    </row>
    <row r="134" spans="1:7">
      <c r="A134" t="s">
        <v>687</v>
      </c>
      <c r="B134" t="s">
        <v>688</v>
      </c>
      <c r="C134">
        <v>5</v>
      </c>
      <c r="D134">
        <v>16</v>
      </c>
      <c r="E134" t="s">
        <v>119</v>
      </c>
      <c r="F134" t="s">
        <v>120</v>
      </c>
      <c r="G134">
        <v>7</v>
      </c>
    </row>
    <row r="135" spans="1:7">
      <c r="A135" t="s">
        <v>689</v>
      </c>
      <c r="B135" t="s">
        <v>690</v>
      </c>
      <c r="C135">
        <v>4</v>
      </c>
      <c r="D135">
        <v>16</v>
      </c>
      <c r="E135" t="s">
        <v>119</v>
      </c>
      <c r="F135" t="s">
        <v>120</v>
      </c>
      <c r="G135">
        <v>7</v>
      </c>
    </row>
    <row r="136" spans="1:7">
      <c r="A136" t="s">
        <v>691</v>
      </c>
      <c r="B136" t="s">
        <v>692</v>
      </c>
      <c r="C136">
        <v>4</v>
      </c>
      <c r="D136">
        <v>16</v>
      </c>
      <c r="E136" t="s">
        <v>119</v>
      </c>
      <c r="F136" t="s">
        <v>120</v>
      </c>
      <c r="G136">
        <v>7</v>
      </c>
    </row>
    <row r="137" spans="1:7">
      <c r="A137" t="s">
        <v>693</v>
      </c>
      <c r="B137" t="s">
        <v>694</v>
      </c>
      <c r="C137">
        <v>5</v>
      </c>
      <c r="D137">
        <v>16</v>
      </c>
      <c r="E137" t="s">
        <v>119</v>
      </c>
      <c r="F137" t="s">
        <v>120</v>
      </c>
      <c r="G137">
        <v>8</v>
      </c>
    </row>
    <row r="138" spans="1:7">
      <c r="A138" t="s">
        <v>695</v>
      </c>
      <c r="B138" t="s">
        <v>471</v>
      </c>
      <c r="C138">
        <v>5</v>
      </c>
      <c r="D138">
        <v>16</v>
      </c>
      <c r="E138" t="s">
        <v>119</v>
      </c>
      <c r="F138" t="s">
        <v>120</v>
      </c>
      <c r="G138">
        <v>8</v>
      </c>
    </row>
    <row r="139" spans="1:7">
      <c r="A139" t="s">
        <v>696</v>
      </c>
      <c r="B139" t="s">
        <v>697</v>
      </c>
      <c r="C139">
        <v>6</v>
      </c>
      <c r="D139">
        <v>16</v>
      </c>
      <c r="E139" t="s">
        <v>119</v>
      </c>
      <c r="F139" t="s">
        <v>120</v>
      </c>
      <c r="G139">
        <v>8</v>
      </c>
    </row>
    <row r="140" spans="1:7">
      <c r="A140" t="s">
        <v>698</v>
      </c>
      <c r="B140" t="s">
        <v>699</v>
      </c>
      <c r="C140">
        <v>4</v>
      </c>
      <c r="D140">
        <v>16</v>
      </c>
      <c r="E140" t="s">
        <v>119</v>
      </c>
      <c r="F140" t="s">
        <v>120</v>
      </c>
      <c r="G140">
        <v>8</v>
      </c>
    </row>
    <row r="141" spans="1:7">
      <c r="A141" t="s">
        <v>700</v>
      </c>
      <c r="B141" t="s">
        <v>25</v>
      </c>
      <c r="C141">
        <v>7</v>
      </c>
      <c r="D141">
        <v>16</v>
      </c>
      <c r="E141" t="s">
        <v>121</v>
      </c>
      <c r="F141" t="s">
        <v>23</v>
      </c>
      <c r="G141">
        <v>1</v>
      </c>
    </row>
    <row r="142" spans="1:7">
      <c r="A142" t="s">
        <v>701</v>
      </c>
      <c r="B142" t="s">
        <v>32</v>
      </c>
      <c r="C142">
        <v>5</v>
      </c>
      <c r="D142">
        <v>16</v>
      </c>
      <c r="E142" t="s">
        <v>121</v>
      </c>
      <c r="F142" t="s">
        <v>23</v>
      </c>
      <c r="G142">
        <v>1</v>
      </c>
    </row>
    <row r="143" spans="1:7">
      <c r="A143" t="s">
        <v>702</v>
      </c>
      <c r="B143" t="s">
        <v>28</v>
      </c>
      <c r="C143">
        <v>3</v>
      </c>
      <c r="D143">
        <v>16</v>
      </c>
      <c r="E143" t="s">
        <v>121</v>
      </c>
      <c r="F143" t="s">
        <v>23</v>
      </c>
      <c r="G143">
        <v>1</v>
      </c>
    </row>
    <row r="144" spans="1:7">
      <c r="A144" t="s">
        <v>703</v>
      </c>
      <c r="B144" t="s">
        <v>30</v>
      </c>
      <c r="C144">
        <v>2</v>
      </c>
      <c r="D144">
        <v>16</v>
      </c>
      <c r="E144" t="s">
        <v>121</v>
      </c>
      <c r="F144" t="s">
        <v>23</v>
      </c>
      <c r="G144">
        <v>1</v>
      </c>
    </row>
    <row r="145" spans="1:7">
      <c r="A145" t="s">
        <v>704</v>
      </c>
      <c r="B145" t="s">
        <v>454</v>
      </c>
      <c r="C145">
        <v>3</v>
      </c>
      <c r="D145">
        <v>16</v>
      </c>
      <c r="E145" t="s">
        <v>121</v>
      </c>
      <c r="F145" t="s">
        <v>23</v>
      </c>
      <c r="G145">
        <v>1</v>
      </c>
    </row>
    <row r="146" spans="1:7">
      <c r="A146" t="s">
        <v>705</v>
      </c>
      <c r="B146" t="s">
        <v>526</v>
      </c>
      <c r="C146">
        <v>3</v>
      </c>
      <c r="D146">
        <v>16</v>
      </c>
      <c r="E146" t="s">
        <v>121</v>
      </c>
      <c r="F146" t="s">
        <v>23</v>
      </c>
      <c r="G146">
        <v>2</v>
      </c>
    </row>
    <row r="147" spans="1:7">
      <c r="A147" t="s">
        <v>706</v>
      </c>
      <c r="B147" t="s">
        <v>707</v>
      </c>
      <c r="C147">
        <v>8</v>
      </c>
      <c r="D147">
        <v>16</v>
      </c>
      <c r="E147" t="s">
        <v>121</v>
      </c>
      <c r="F147" t="s">
        <v>23</v>
      </c>
      <c r="G147">
        <v>2</v>
      </c>
    </row>
    <row r="148" spans="1:7">
      <c r="A148" t="s">
        <v>708</v>
      </c>
      <c r="B148" t="s">
        <v>38</v>
      </c>
      <c r="C148">
        <v>2</v>
      </c>
      <c r="D148">
        <v>16</v>
      </c>
      <c r="E148" t="s">
        <v>121</v>
      </c>
      <c r="F148" t="s">
        <v>23</v>
      </c>
      <c r="G148">
        <v>2</v>
      </c>
    </row>
    <row r="149" spans="1:7">
      <c r="A149" t="s">
        <v>709</v>
      </c>
      <c r="B149" t="s">
        <v>710</v>
      </c>
      <c r="C149">
        <v>3</v>
      </c>
      <c r="D149">
        <v>16</v>
      </c>
      <c r="E149" t="s">
        <v>121</v>
      </c>
      <c r="F149" t="s">
        <v>23</v>
      </c>
      <c r="G149">
        <v>2</v>
      </c>
    </row>
    <row r="150" spans="1:7">
      <c r="A150" t="s">
        <v>711</v>
      </c>
      <c r="B150" t="s">
        <v>448</v>
      </c>
      <c r="C150">
        <v>4</v>
      </c>
      <c r="D150">
        <v>16</v>
      </c>
      <c r="E150" t="s">
        <v>121</v>
      </c>
      <c r="F150" t="s">
        <v>23</v>
      </c>
      <c r="G150">
        <v>2</v>
      </c>
    </row>
    <row r="151" spans="1:7">
      <c r="A151" t="s">
        <v>712</v>
      </c>
      <c r="B151" t="s">
        <v>713</v>
      </c>
      <c r="C151">
        <v>5</v>
      </c>
      <c r="D151">
        <v>16</v>
      </c>
      <c r="E151" t="s">
        <v>121</v>
      </c>
      <c r="F151" t="s">
        <v>23</v>
      </c>
      <c r="G151">
        <v>3</v>
      </c>
    </row>
    <row r="152" spans="1:7">
      <c r="A152" t="s">
        <v>714</v>
      </c>
      <c r="B152" t="s">
        <v>715</v>
      </c>
      <c r="C152">
        <v>4</v>
      </c>
      <c r="D152">
        <v>16</v>
      </c>
      <c r="E152" t="s">
        <v>121</v>
      </c>
      <c r="F152" t="s">
        <v>23</v>
      </c>
      <c r="G152">
        <v>3</v>
      </c>
    </row>
    <row r="153" spans="1:7">
      <c r="A153" t="s">
        <v>716</v>
      </c>
      <c r="B153" t="s">
        <v>717</v>
      </c>
      <c r="C153">
        <v>3</v>
      </c>
      <c r="D153">
        <v>16</v>
      </c>
      <c r="E153" t="s">
        <v>121</v>
      </c>
      <c r="F153" t="s">
        <v>23</v>
      </c>
      <c r="G153">
        <v>3</v>
      </c>
    </row>
    <row r="154" spans="1:7">
      <c r="A154" t="s">
        <v>718</v>
      </c>
      <c r="B154" t="s">
        <v>719</v>
      </c>
      <c r="C154">
        <v>3</v>
      </c>
      <c r="D154">
        <v>16</v>
      </c>
      <c r="E154" t="s">
        <v>121</v>
      </c>
      <c r="F154" t="s">
        <v>23</v>
      </c>
      <c r="G154">
        <v>3</v>
      </c>
    </row>
    <row r="155" spans="1:7">
      <c r="A155" t="s">
        <v>720</v>
      </c>
      <c r="B155" t="s">
        <v>721</v>
      </c>
      <c r="C155">
        <v>2</v>
      </c>
      <c r="D155">
        <v>16</v>
      </c>
      <c r="E155" t="s">
        <v>121</v>
      </c>
      <c r="F155" t="s">
        <v>23</v>
      </c>
      <c r="G155">
        <v>3</v>
      </c>
    </row>
    <row r="156" spans="1:7">
      <c r="A156" t="s">
        <v>722</v>
      </c>
      <c r="B156" t="s">
        <v>723</v>
      </c>
      <c r="C156">
        <v>3</v>
      </c>
      <c r="D156">
        <v>16</v>
      </c>
      <c r="E156" t="s">
        <v>121</v>
      </c>
      <c r="F156" t="s">
        <v>23</v>
      </c>
      <c r="G156">
        <v>3</v>
      </c>
    </row>
    <row r="157" spans="1:7">
      <c r="A157" t="s">
        <v>724</v>
      </c>
      <c r="B157" t="s">
        <v>531</v>
      </c>
      <c r="C157">
        <v>4</v>
      </c>
      <c r="D157">
        <v>16</v>
      </c>
      <c r="E157" t="s">
        <v>121</v>
      </c>
      <c r="F157" t="s">
        <v>23</v>
      </c>
      <c r="G157">
        <v>4</v>
      </c>
    </row>
    <row r="158" spans="1:7">
      <c r="A158" t="s">
        <v>725</v>
      </c>
      <c r="B158" t="s">
        <v>726</v>
      </c>
      <c r="C158">
        <v>5</v>
      </c>
      <c r="D158">
        <v>16</v>
      </c>
      <c r="E158" t="s">
        <v>121</v>
      </c>
      <c r="F158" t="s">
        <v>23</v>
      </c>
      <c r="G158">
        <v>4</v>
      </c>
    </row>
    <row r="159" spans="1:7">
      <c r="A159" t="s">
        <v>727</v>
      </c>
      <c r="B159" t="s">
        <v>543</v>
      </c>
      <c r="C159">
        <v>3</v>
      </c>
      <c r="D159">
        <v>16</v>
      </c>
      <c r="E159" t="s">
        <v>121</v>
      </c>
      <c r="F159" t="s">
        <v>23</v>
      </c>
      <c r="G159">
        <v>4</v>
      </c>
    </row>
    <row r="160" spans="1:7">
      <c r="A160" t="s">
        <v>728</v>
      </c>
      <c r="B160" t="s">
        <v>729</v>
      </c>
      <c r="C160">
        <v>4</v>
      </c>
      <c r="D160">
        <v>16</v>
      </c>
      <c r="E160" t="s">
        <v>121</v>
      </c>
      <c r="F160" t="s">
        <v>23</v>
      </c>
      <c r="G160">
        <v>4</v>
      </c>
    </row>
    <row r="161" spans="1:7">
      <c r="A161" t="s">
        <v>730</v>
      </c>
      <c r="B161" t="s">
        <v>731</v>
      </c>
      <c r="C161">
        <v>4</v>
      </c>
      <c r="D161">
        <v>16</v>
      </c>
      <c r="E161" t="s">
        <v>121</v>
      </c>
      <c r="F161" t="s">
        <v>23</v>
      </c>
      <c r="G161">
        <v>4</v>
      </c>
    </row>
    <row r="162" spans="1:7">
      <c r="A162" t="s">
        <v>732</v>
      </c>
      <c r="B162" t="s">
        <v>437</v>
      </c>
      <c r="C162">
        <v>4</v>
      </c>
      <c r="D162">
        <v>16</v>
      </c>
      <c r="E162" t="s">
        <v>121</v>
      </c>
      <c r="F162" t="s">
        <v>23</v>
      </c>
      <c r="G162">
        <v>5</v>
      </c>
    </row>
    <row r="163" spans="1:7">
      <c r="A163" t="s">
        <v>733</v>
      </c>
      <c r="B163" t="s">
        <v>734</v>
      </c>
      <c r="C163">
        <v>5</v>
      </c>
      <c r="D163">
        <v>16</v>
      </c>
      <c r="E163" t="s">
        <v>121</v>
      </c>
      <c r="F163" t="s">
        <v>23</v>
      </c>
      <c r="G163">
        <v>5</v>
      </c>
    </row>
    <row r="164" spans="1:7">
      <c r="A164" t="s">
        <v>735</v>
      </c>
      <c r="B164" t="s">
        <v>549</v>
      </c>
      <c r="C164">
        <v>5</v>
      </c>
      <c r="D164">
        <v>16</v>
      </c>
      <c r="E164" t="s">
        <v>121</v>
      </c>
      <c r="F164" t="s">
        <v>23</v>
      </c>
      <c r="G164">
        <v>5</v>
      </c>
    </row>
    <row r="165" spans="1:7">
      <c r="A165" t="s">
        <v>736</v>
      </c>
      <c r="B165" t="s">
        <v>737</v>
      </c>
      <c r="C165">
        <v>3</v>
      </c>
      <c r="D165">
        <v>16</v>
      </c>
      <c r="E165" t="s">
        <v>121</v>
      </c>
      <c r="F165" t="s">
        <v>23</v>
      </c>
      <c r="G165">
        <v>5</v>
      </c>
    </row>
    <row r="166" spans="1:7">
      <c r="A166" t="s">
        <v>738</v>
      </c>
      <c r="B166" t="s">
        <v>739</v>
      </c>
      <c r="C166">
        <v>3</v>
      </c>
      <c r="D166">
        <v>16</v>
      </c>
      <c r="E166" t="s">
        <v>121</v>
      </c>
      <c r="F166" t="s">
        <v>23</v>
      </c>
      <c r="G166">
        <v>5</v>
      </c>
    </row>
    <row r="167" spans="1:7">
      <c r="A167" t="s">
        <v>740</v>
      </c>
      <c r="B167" t="s">
        <v>741</v>
      </c>
      <c r="C167">
        <v>3</v>
      </c>
      <c r="D167">
        <v>16</v>
      </c>
      <c r="E167" t="s">
        <v>121</v>
      </c>
      <c r="F167" t="s">
        <v>23</v>
      </c>
      <c r="G167">
        <v>6</v>
      </c>
    </row>
    <row r="168" spans="1:7">
      <c r="A168" t="s">
        <v>742</v>
      </c>
      <c r="B168" t="s">
        <v>743</v>
      </c>
      <c r="C168">
        <v>5</v>
      </c>
      <c r="D168">
        <v>16</v>
      </c>
      <c r="E168" t="s">
        <v>121</v>
      </c>
      <c r="F168" t="s">
        <v>23</v>
      </c>
      <c r="G168">
        <v>6</v>
      </c>
    </row>
    <row r="169" spans="1:7">
      <c r="A169" t="s">
        <v>744</v>
      </c>
      <c r="B169" t="s">
        <v>745</v>
      </c>
      <c r="C169">
        <v>3</v>
      </c>
      <c r="D169">
        <v>16</v>
      </c>
      <c r="E169" t="s">
        <v>121</v>
      </c>
      <c r="F169" t="s">
        <v>23</v>
      </c>
      <c r="G169">
        <v>6</v>
      </c>
    </row>
    <row r="170" spans="1:7">
      <c r="A170" t="s">
        <v>746</v>
      </c>
      <c r="B170" t="s">
        <v>747</v>
      </c>
      <c r="C170">
        <v>3</v>
      </c>
      <c r="D170">
        <v>16</v>
      </c>
      <c r="E170" t="s">
        <v>121</v>
      </c>
      <c r="F170" t="s">
        <v>23</v>
      </c>
      <c r="G170">
        <v>6</v>
      </c>
    </row>
    <row r="171" spans="1:7">
      <c r="A171" t="s">
        <v>748</v>
      </c>
      <c r="B171" t="s">
        <v>749</v>
      </c>
      <c r="C171">
        <v>3</v>
      </c>
      <c r="D171">
        <v>16</v>
      </c>
      <c r="E171" t="s">
        <v>121</v>
      </c>
      <c r="F171" t="s">
        <v>23</v>
      </c>
      <c r="G171">
        <v>6</v>
      </c>
    </row>
    <row r="172" spans="1:7">
      <c r="A172" t="s">
        <v>750</v>
      </c>
      <c r="B172" t="s">
        <v>654</v>
      </c>
      <c r="C172">
        <v>3</v>
      </c>
      <c r="D172">
        <v>16</v>
      </c>
      <c r="E172" t="s">
        <v>121</v>
      </c>
      <c r="F172" t="s">
        <v>23</v>
      </c>
      <c r="G172">
        <v>6</v>
      </c>
    </row>
    <row r="173" spans="1:7">
      <c r="A173" t="s">
        <v>751</v>
      </c>
      <c r="B173" t="s">
        <v>565</v>
      </c>
      <c r="C173">
        <v>6</v>
      </c>
      <c r="D173">
        <v>16</v>
      </c>
      <c r="E173" t="s">
        <v>121</v>
      </c>
      <c r="F173" t="s">
        <v>23</v>
      </c>
      <c r="G173">
        <v>7</v>
      </c>
    </row>
    <row r="174" spans="1:7">
      <c r="A174" t="s">
        <v>752</v>
      </c>
      <c r="B174" t="s">
        <v>753</v>
      </c>
      <c r="C174">
        <v>5</v>
      </c>
      <c r="D174">
        <v>16</v>
      </c>
      <c r="E174" t="s">
        <v>121</v>
      </c>
      <c r="F174" t="s">
        <v>23</v>
      </c>
      <c r="G174">
        <v>7</v>
      </c>
    </row>
    <row r="175" spans="1:7">
      <c r="A175" t="s">
        <v>754</v>
      </c>
      <c r="B175" t="s">
        <v>755</v>
      </c>
      <c r="C175">
        <v>5</v>
      </c>
      <c r="D175">
        <v>16</v>
      </c>
      <c r="E175" t="s">
        <v>121</v>
      </c>
      <c r="F175" t="s">
        <v>23</v>
      </c>
      <c r="G175">
        <v>7</v>
      </c>
    </row>
    <row r="176" spans="1:7">
      <c r="A176" t="s">
        <v>756</v>
      </c>
      <c r="B176" t="s">
        <v>757</v>
      </c>
      <c r="C176">
        <v>4</v>
      </c>
      <c r="D176">
        <v>16</v>
      </c>
      <c r="E176" t="s">
        <v>121</v>
      </c>
      <c r="F176" t="s">
        <v>23</v>
      </c>
      <c r="G176">
        <v>7</v>
      </c>
    </row>
    <row r="177" spans="1:7">
      <c r="A177" t="s">
        <v>758</v>
      </c>
      <c r="B177" t="s">
        <v>583</v>
      </c>
      <c r="C177">
        <v>3</v>
      </c>
      <c r="D177">
        <v>16</v>
      </c>
      <c r="E177" t="s">
        <v>121</v>
      </c>
      <c r="F177" t="s">
        <v>23</v>
      </c>
      <c r="G177">
        <v>8</v>
      </c>
    </row>
    <row r="178" spans="1:7">
      <c r="A178" t="s">
        <v>759</v>
      </c>
      <c r="B178" t="s">
        <v>561</v>
      </c>
      <c r="C178">
        <v>6</v>
      </c>
      <c r="D178">
        <v>16</v>
      </c>
      <c r="E178" t="s">
        <v>121</v>
      </c>
      <c r="F178" t="s">
        <v>23</v>
      </c>
      <c r="G178">
        <v>8</v>
      </c>
    </row>
    <row r="179" spans="1:7">
      <c r="A179" t="s">
        <v>760</v>
      </c>
      <c r="B179" t="s">
        <v>761</v>
      </c>
      <c r="C179">
        <v>4</v>
      </c>
      <c r="D179">
        <v>16</v>
      </c>
      <c r="E179" t="s">
        <v>121</v>
      </c>
      <c r="F179" t="s">
        <v>23</v>
      </c>
      <c r="G179">
        <v>8</v>
      </c>
    </row>
    <row r="180" spans="1:7">
      <c r="A180" t="s">
        <v>762</v>
      </c>
      <c r="B180" t="s">
        <v>563</v>
      </c>
      <c r="C180">
        <v>3</v>
      </c>
      <c r="D180">
        <v>16</v>
      </c>
      <c r="E180" t="s">
        <v>121</v>
      </c>
      <c r="F180" t="s">
        <v>23</v>
      </c>
      <c r="G180">
        <v>8</v>
      </c>
    </row>
    <row r="181" spans="1:7">
      <c r="A181" t="s">
        <v>763</v>
      </c>
      <c r="B181" t="s">
        <v>764</v>
      </c>
      <c r="C181">
        <v>4</v>
      </c>
      <c r="D181">
        <v>16</v>
      </c>
      <c r="E181" t="s">
        <v>121</v>
      </c>
      <c r="F181" t="s">
        <v>23</v>
      </c>
      <c r="G181">
        <v>8</v>
      </c>
    </row>
    <row r="182" spans="1:7">
      <c r="A182" t="s">
        <v>765</v>
      </c>
      <c r="B182" t="s">
        <v>766</v>
      </c>
      <c r="C182">
        <v>7</v>
      </c>
      <c r="D182">
        <v>16</v>
      </c>
      <c r="E182" t="s">
        <v>122</v>
      </c>
      <c r="F182" t="s">
        <v>123</v>
      </c>
      <c r="G182">
        <v>1</v>
      </c>
    </row>
    <row r="183" spans="1:7">
      <c r="A183" t="s">
        <v>767</v>
      </c>
      <c r="B183" t="s">
        <v>768</v>
      </c>
      <c r="C183">
        <v>6</v>
      </c>
      <c r="D183">
        <v>16</v>
      </c>
      <c r="E183" t="s">
        <v>122</v>
      </c>
      <c r="F183" t="s">
        <v>123</v>
      </c>
      <c r="G183">
        <v>1</v>
      </c>
    </row>
    <row r="184" spans="1:7">
      <c r="A184" t="s">
        <v>769</v>
      </c>
      <c r="B184" t="s">
        <v>517</v>
      </c>
      <c r="C184">
        <v>3</v>
      </c>
      <c r="D184">
        <v>16</v>
      </c>
      <c r="E184" t="s">
        <v>122</v>
      </c>
      <c r="F184" t="s">
        <v>123</v>
      </c>
      <c r="G184">
        <v>1</v>
      </c>
    </row>
    <row r="185" spans="1:7">
      <c r="A185" t="s">
        <v>770</v>
      </c>
      <c r="B185" t="s">
        <v>28</v>
      </c>
      <c r="C185">
        <v>4</v>
      </c>
      <c r="D185">
        <v>16</v>
      </c>
      <c r="E185" t="s">
        <v>122</v>
      </c>
      <c r="F185" t="s">
        <v>123</v>
      </c>
      <c r="G185">
        <v>1</v>
      </c>
    </row>
    <row r="186" spans="1:7">
      <c r="A186" t="s">
        <v>771</v>
      </c>
      <c r="B186" t="s">
        <v>437</v>
      </c>
      <c r="C186">
        <v>6</v>
      </c>
      <c r="D186">
        <v>16</v>
      </c>
      <c r="E186" t="s">
        <v>122</v>
      </c>
      <c r="F186" t="s">
        <v>123</v>
      </c>
      <c r="G186">
        <v>2</v>
      </c>
    </row>
    <row r="187" spans="1:7">
      <c r="A187" t="s">
        <v>772</v>
      </c>
      <c r="B187" t="s">
        <v>773</v>
      </c>
      <c r="C187">
        <v>4</v>
      </c>
      <c r="D187">
        <v>16</v>
      </c>
      <c r="E187" t="s">
        <v>122</v>
      </c>
      <c r="F187" t="s">
        <v>123</v>
      </c>
      <c r="G187">
        <v>2</v>
      </c>
    </row>
    <row r="188" spans="1:7">
      <c r="A188" t="s">
        <v>774</v>
      </c>
      <c r="B188" t="s">
        <v>448</v>
      </c>
      <c r="C188">
        <v>5</v>
      </c>
      <c r="D188">
        <v>16</v>
      </c>
      <c r="E188" t="s">
        <v>122</v>
      </c>
      <c r="F188" t="s">
        <v>123</v>
      </c>
      <c r="G188">
        <v>2</v>
      </c>
    </row>
    <row r="189" spans="1:7">
      <c r="A189" t="s">
        <v>775</v>
      </c>
      <c r="B189" t="s">
        <v>776</v>
      </c>
      <c r="C189">
        <v>5</v>
      </c>
      <c r="D189">
        <v>16</v>
      </c>
      <c r="E189" t="s">
        <v>122</v>
      </c>
      <c r="F189" t="s">
        <v>123</v>
      </c>
      <c r="G189">
        <v>2</v>
      </c>
    </row>
    <row r="190" spans="1:7">
      <c r="A190" t="s">
        <v>777</v>
      </c>
      <c r="B190" t="s">
        <v>778</v>
      </c>
      <c r="C190">
        <v>6</v>
      </c>
      <c r="D190">
        <v>16</v>
      </c>
      <c r="E190" t="s">
        <v>122</v>
      </c>
      <c r="F190" t="s">
        <v>123</v>
      </c>
      <c r="G190">
        <v>3</v>
      </c>
    </row>
    <row r="191" spans="1:7">
      <c r="A191" t="s">
        <v>779</v>
      </c>
      <c r="B191" t="s">
        <v>780</v>
      </c>
      <c r="C191">
        <v>5</v>
      </c>
      <c r="D191">
        <v>16</v>
      </c>
      <c r="E191" t="s">
        <v>122</v>
      </c>
      <c r="F191" t="s">
        <v>123</v>
      </c>
      <c r="G191">
        <v>3</v>
      </c>
    </row>
    <row r="192" spans="1:7">
      <c r="A192" t="s">
        <v>781</v>
      </c>
      <c r="B192" t="s">
        <v>782</v>
      </c>
      <c r="C192">
        <v>5</v>
      </c>
      <c r="D192">
        <v>16</v>
      </c>
      <c r="E192" t="s">
        <v>122</v>
      </c>
      <c r="F192" t="s">
        <v>123</v>
      </c>
      <c r="G192">
        <v>3</v>
      </c>
    </row>
    <row r="193" spans="1:7">
      <c r="A193" t="s">
        <v>783</v>
      </c>
      <c r="B193" t="s">
        <v>784</v>
      </c>
      <c r="C193">
        <v>4</v>
      </c>
      <c r="D193">
        <v>16</v>
      </c>
      <c r="E193" t="s">
        <v>122</v>
      </c>
      <c r="F193" t="s">
        <v>123</v>
      </c>
      <c r="G193">
        <v>3</v>
      </c>
    </row>
    <row r="194" spans="1:7">
      <c r="A194" t="s">
        <v>785</v>
      </c>
      <c r="B194" t="s">
        <v>446</v>
      </c>
      <c r="C194">
        <v>5</v>
      </c>
      <c r="D194">
        <v>16</v>
      </c>
      <c r="E194" t="s">
        <v>122</v>
      </c>
      <c r="F194" t="s">
        <v>123</v>
      </c>
      <c r="G194">
        <v>4</v>
      </c>
    </row>
    <row r="195" spans="1:7">
      <c r="A195" t="s">
        <v>786</v>
      </c>
      <c r="B195" t="s">
        <v>787</v>
      </c>
      <c r="C195">
        <v>3</v>
      </c>
      <c r="D195">
        <v>16</v>
      </c>
      <c r="E195" t="s">
        <v>122</v>
      </c>
      <c r="F195" t="s">
        <v>123</v>
      </c>
      <c r="G195">
        <v>4</v>
      </c>
    </row>
    <row r="196" spans="1:7">
      <c r="A196" t="s">
        <v>788</v>
      </c>
      <c r="B196" t="s">
        <v>531</v>
      </c>
      <c r="C196">
        <v>5</v>
      </c>
      <c r="D196">
        <v>16</v>
      </c>
      <c r="E196" t="s">
        <v>122</v>
      </c>
      <c r="F196" t="s">
        <v>123</v>
      </c>
      <c r="G196">
        <v>4</v>
      </c>
    </row>
    <row r="197" spans="1:7">
      <c r="A197" t="s">
        <v>789</v>
      </c>
      <c r="B197" t="s">
        <v>127</v>
      </c>
      <c r="C197">
        <v>3</v>
      </c>
      <c r="D197">
        <v>16</v>
      </c>
      <c r="E197" t="s">
        <v>122</v>
      </c>
      <c r="F197" t="s">
        <v>123</v>
      </c>
      <c r="G197">
        <v>4</v>
      </c>
    </row>
    <row r="198" spans="1:7">
      <c r="A198" t="s">
        <v>790</v>
      </c>
      <c r="B198" t="s">
        <v>791</v>
      </c>
      <c r="C198">
        <v>4</v>
      </c>
      <c r="D198">
        <v>16</v>
      </c>
      <c r="E198" t="s">
        <v>122</v>
      </c>
      <c r="F198" t="s">
        <v>123</v>
      </c>
      <c r="G198">
        <v>4</v>
      </c>
    </row>
    <row r="199" spans="1:7">
      <c r="A199" t="s">
        <v>792</v>
      </c>
      <c r="B199" t="s">
        <v>793</v>
      </c>
      <c r="C199">
        <v>4</v>
      </c>
      <c r="D199">
        <v>16</v>
      </c>
      <c r="E199" t="s">
        <v>122</v>
      </c>
      <c r="F199" t="s">
        <v>123</v>
      </c>
      <c r="G199">
        <v>5</v>
      </c>
    </row>
    <row r="200" spans="1:7">
      <c r="A200" t="s">
        <v>794</v>
      </c>
      <c r="B200" t="s">
        <v>795</v>
      </c>
      <c r="C200">
        <v>3</v>
      </c>
      <c r="D200">
        <v>16</v>
      </c>
      <c r="E200" t="s">
        <v>122</v>
      </c>
      <c r="F200" t="s">
        <v>123</v>
      </c>
      <c r="G200">
        <v>5</v>
      </c>
    </row>
    <row r="201" spans="1:7">
      <c r="A201" t="s">
        <v>796</v>
      </c>
      <c r="B201" t="s">
        <v>797</v>
      </c>
      <c r="C201">
        <v>4</v>
      </c>
      <c r="D201">
        <v>16</v>
      </c>
      <c r="E201" t="s">
        <v>122</v>
      </c>
      <c r="F201" t="s">
        <v>123</v>
      </c>
      <c r="G201">
        <v>5</v>
      </c>
    </row>
    <row r="202" spans="1:7">
      <c r="A202" t="s">
        <v>798</v>
      </c>
      <c r="B202" t="s">
        <v>799</v>
      </c>
      <c r="C202">
        <v>3</v>
      </c>
      <c r="D202">
        <v>16</v>
      </c>
      <c r="E202" t="s">
        <v>122</v>
      </c>
      <c r="F202" t="s">
        <v>123</v>
      </c>
      <c r="G202">
        <v>5</v>
      </c>
    </row>
    <row r="203" spans="1:7">
      <c r="A203" t="s">
        <v>800</v>
      </c>
      <c r="B203" t="s">
        <v>801</v>
      </c>
      <c r="C203">
        <v>3</v>
      </c>
      <c r="D203">
        <v>16</v>
      </c>
      <c r="E203" t="s">
        <v>122</v>
      </c>
      <c r="F203" t="s">
        <v>123</v>
      </c>
      <c r="G203">
        <v>5</v>
      </c>
    </row>
    <row r="204" spans="1:7">
      <c r="A204" t="s">
        <v>802</v>
      </c>
      <c r="B204" t="s">
        <v>803</v>
      </c>
      <c r="C204">
        <v>3</v>
      </c>
      <c r="D204">
        <v>16</v>
      </c>
      <c r="E204" t="s">
        <v>122</v>
      </c>
      <c r="F204" t="s">
        <v>123</v>
      </c>
      <c r="G204">
        <v>5</v>
      </c>
    </row>
    <row r="205" spans="1:7">
      <c r="A205" t="s">
        <v>804</v>
      </c>
      <c r="B205" t="s">
        <v>489</v>
      </c>
      <c r="C205">
        <v>4</v>
      </c>
      <c r="D205">
        <v>16</v>
      </c>
      <c r="E205" t="s">
        <v>122</v>
      </c>
      <c r="F205" t="s">
        <v>123</v>
      </c>
      <c r="G205">
        <v>6</v>
      </c>
    </row>
    <row r="206" spans="1:7">
      <c r="A206" t="s">
        <v>805</v>
      </c>
      <c r="B206" t="s">
        <v>806</v>
      </c>
      <c r="C206">
        <v>3</v>
      </c>
      <c r="D206">
        <v>16</v>
      </c>
      <c r="E206" t="s">
        <v>122</v>
      </c>
      <c r="F206" t="s">
        <v>123</v>
      </c>
      <c r="G206">
        <v>6</v>
      </c>
    </row>
    <row r="207" spans="1:7">
      <c r="A207" t="s">
        <v>807</v>
      </c>
      <c r="B207" t="s">
        <v>808</v>
      </c>
      <c r="C207">
        <v>4</v>
      </c>
      <c r="D207">
        <v>16</v>
      </c>
      <c r="E207" t="s">
        <v>122</v>
      </c>
      <c r="F207" t="s">
        <v>123</v>
      </c>
      <c r="G207">
        <v>6</v>
      </c>
    </row>
    <row r="208" spans="1:7">
      <c r="A208" t="s">
        <v>809</v>
      </c>
      <c r="B208" t="s">
        <v>549</v>
      </c>
      <c r="C208">
        <v>5</v>
      </c>
      <c r="D208">
        <v>16</v>
      </c>
      <c r="E208" t="s">
        <v>122</v>
      </c>
      <c r="F208" t="s">
        <v>123</v>
      </c>
      <c r="G208">
        <v>6</v>
      </c>
    </row>
    <row r="209" spans="1:7">
      <c r="A209" t="s">
        <v>810</v>
      </c>
      <c r="B209" t="s">
        <v>811</v>
      </c>
      <c r="C209">
        <v>4</v>
      </c>
      <c r="D209">
        <v>16</v>
      </c>
      <c r="E209" t="s">
        <v>122</v>
      </c>
      <c r="F209" t="s">
        <v>123</v>
      </c>
      <c r="G209">
        <v>6</v>
      </c>
    </row>
    <row r="210" spans="1:7">
      <c r="A210" t="s">
        <v>812</v>
      </c>
      <c r="B210" t="s">
        <v>813</v>
      </c>
      <c r="C210">
        <v>4</v>
      </c>
      <c r="D210">
        <v>16</v>
      </c>
      <c r="E210" t="s">
        <v>122</v>
      </c>
      <c r="F210" t="s">
        <v>123</v>
      </c>
      <c r="G210">
        <v>7</v>
      </c>
    </row>
    <row r="211" spans="1:7">
      <c r="A211" t="s">
        <v>814</v>
      </c>
      <c r="B211" t="s">
        <v>374</v>
      </c>
      <c r="C211">
        <v>4</v>
      </c>
      <c r="D211">
        <v>16</v>
      </c>
      <c r="E211" t="s">
        <v>122</v>
      </c>
      <c r="F211" t="s">
        <v>123</v>
      </c>
      <c r="G211">
        <v>7</v>
      </c>
    </row>
    <row r="212" spans="1:7">
      <c r="A212" t="s">
        <v>815</v>
      </c>
      <c r="B212" t="s">
        <v>816</v>
      </c>
      <c r="C212">
        <v>4</v>
      </c>
      <c r="D212">
        <v>16</v>
      </c>
      <c r="E212" t="s">
        <v>122</v>
      </c>
      <c r="F212" t="s">
        <v>123</v>
      </c>
      <c r="G212">
        <v>7</v>
      </c>
    </row>
    <row r="213" spans="1:7">
      <c r="A213" t="s">
        <v>817</v>
      </c>
      <c r="B213" t="s">
        <v>818</v>
      </c>
      <c r="C213">
        <v>4</v>
      </c>
      <c r="D213">
        <v>16</v>
      </c>
      <c r="E213" t="s">
        <v>122</v>
      </c>
      <c r="F213" t="s">
        <v>123</v>
      </c>
      <c r="G213">
        <v>7</v>
      </c>
    </row>
    <row r="214" spans="1:7">
      <c r="A214" t="s">
        <v>819</v>
      </c>
      <c r="B214" t="s">
        <v>563</v>
      </c>
      <c r="C214">
        <v>4</v>
      </c>
      <c r="D214">
        <v>16</v>
      </c>
      <c r="E214" t="s">
        <v>122</v>
      </c>
      <c r="F214" t="s">
        <v>123</v>
      </c>
      <c r="G214">
        <v>7</v>
      </c>
    </row>
    <row r="215" spans="1:7">
      <c r="A215" t="s">
        <v>820</v>
      </c>
      <c r="B215" t="s">
        <v>821</v>
      </c>
      <c r="C215">
        <v>4</v>
      </c>
      <c r="D215">
        <v>16</v>
      </c>
      <c r="E215" t="s">
        <v>122</v>
      </c>
      <c r="F215" t="s">
        <v>123</v>
      </c>
      <c r="G215">
        <v>8</v>
      </c>
    </row>
    <row r="216" spans="1:7">
      <c r="A216" t="s">
        <v>822</v>
      </c>
      <c r="B216" t="s">
        <v>745</v>
      </c>
      <c r="C216">
        <v>4</v>
      </c>
      <c r="D216">
        <v>16</v>
      </c>
      <c r="E216" t="s">
        <v>122</v>
      </c>
      <c r="F216" t="s">
        <v>123</v>
      </c>
      <c r="G216">
        <v>8</v>
      </c>
    </row>
    <row r="217" spans="1:7">
      <c r="A217" t="s">
        <v>823</v>
      </c>
      <c r="B217" t="s">
        <v>824</v>
      </c>
      <c r="C217">
        <v>4</v>
      </c>
      <c r="D217">
        <v>16</v>
      </c>
      <c r="E217" t="s">
        <v>122</v>
      </c>
      <c r="F217" t="s">
        <v>123</v>
      </c>
      <c r="G217">
        <v>8</v>
      </c>
    </row>
    <row r="218" spans="1:7">
      <c r="A218" t="s">
        <v>825</v>
      </c>
      <c r="B218" t="s">
        <v>826</v>
      </c>
      <c r="C218">
        <v>4</v>
      </c>
      <c r="D218">
        <v>16</v>
      </c>
      <c r="E218" t="s">
        <v>122</v>
      </c>
      <c r="F218" t="s">
        <v>123</v>
      </c>
      <c r="G218">
        <v>8</v>
      </c>
    </row>
    <row r="219" spans="1:7">
      <c r="A219" t="s">
        <v>827</v>
      </c>
      <c r="B219" t="s">
        <v>828</v>
      </c>
      <c r="C219">
        <v>4</v>
      </c>
      <c r="D219">
        <v>16</v>
      </c>
      <c r="E219" t="s">
        <v>122</v>
      </c>
      <c r="F219" t="s">
        <v>123</v>
      </c>
      <c r="G219">
        <v>8</v>
      </c>
    </row>
    <row r="220" spans="1:7">
      <c r="A220" t="s">
        <v>829</v>
      </c>
      <c r="B220" t="s">
        <v>830</v>
      </c>
      <c r="C220">
        <v>4</v>
      </c>
      <c r="D220">
        <v>16</v>
      </c>
      <c r="E220" t="s">
        <v>124</v>
      </c>
      <c r="F220" t="s">
        <v>125</v>
      </c>
      <c r="G220">
        <v>8</v>
      </c>
    </row>
    <row r="221" spans="1:7">
      <c r="A221" t="s">
        <v>831</v>
      </c>
      <c r="B221" t="s">
        <v>832</v>
      </c>
      <c r="C221">
        <v>4</v>
      </c>
      <c r="D221">
        <v>16</v>
      </c>
      <c r="E221" t="s">
        <v>124</v>
      </c>
      <c r="F221" t="s">
        <v>125</v>
      </c>
      <c r="G221">
        <v>3</v>
      </c>
    </row>
    <row r="222" spans="1:7">
      <c r="A222" t="s">
        <v>833</v>
      </c>
      <c r="B222" t="s">
        <v>524</v>
      </c>
      <c r="C222">
        <v>4</v>
      </c>
      <c r="D222">
        <v>16</v>
      </c>
      <c r="E222" t="s">
        <v>124</v>
      </c>
      <c r="F222" t="s">
        <v>125</v>
      </c>
      <c r="G222">
        <v>3</v>
      </c>
    </row>
    <row r="223" spans="1:7">
      <c r="A223" t="s">
        <v>834</v>
      </c>
      <c r="B223" t="s">
        <v>835</v>
      </c>
      <c r="C223">
        <v>4</v>
      </c>
      <c r="D223">
        <v>16</v>
      </c>
      <c r="E223" t="s">
        <v>124</v>
      </c>
      <c r="F223" t="s">
        <v>125</v>
      </c>
      <c r="G223">
        <v>3</v>
      </c>
    </row>
    <row r="224" spans="1:7">
      <c r="A224" t="s">
        <v>836</v>
      </c>
      <c r="B224" t="s">
        <v>837</v>
      </c>
      <c r="C224">
        <v>4</v>
      </c>
      <c r="D224">
        <v>16</v>
      </c>
      <c r="E224" t="s">
        <v>124</v>
      </c>
      <c r="F224" t="s">
        <v>125</v>
      </c>
      <c r="G224">
        <v>3</v>
      </c>
    </row>
    <row r="225" spans="1:7">
      <c r="A225" t="s">
        <v>838</v>
      </c>
      <c r="B225" t="s">
        <v>839</v>
      </c>
      <c r="C225">
        <v>4</v>
      </c>
      <c r="D225">
        <v>16</v>
      </c>
      <c r="E225" t="s">
        <v>124</v>
      </c>
      <c r="F225" t="s">
        <v>125</v>
      </c>
      <c r="G225">
        <v>3</v>
      </c>
    </row>
    <row r="226" spans="1:7">
      <c r="A226" t="s">
        <v>840</v>
      </c>
      <c r="B226" t="s">
        <v>841</v>
      </c>
      <c r="C226">
        <v>4</v>
      </c>
      <c r="D226">
        <v>16</v>
      </c>
      <c r="E226" t="s">
        <v>124</v>
      </c>
      <c r="F226" t="s">
        <v>125</v>
      </c>
      <c r="G226">
        <v>4</v>
      </c>
    </row>
    <row r="227" spans="1:7">
      <c r="A227" t="s">
        <v>842</v>
      </c>
      <c r="B227" t="s">
        <v>843</v>
      </c>
      <c r="C227">
        <v>5</v>
      </c>
      <c r="D227">
        <v>16</v>
      </c>
      <c r="E227" t="s">
        <v>124</v>
      </c>
      <c r="F227" t="s">
        <v>125</v>
      </c>
      <c r="G227">
        <v>4</v>
      </c>
    </row>
    <row r="228" spans="1:7">
      <c r="A228" t="s">
        <v>844</v>
      </c>
      <c r="B228" t="s">
        <v>845</v>
      </c>
      <c r="C228">
        <v>6</v>
      </c>
      <c r="D228">
        <v>16</v>
      </c>
      <c r="E228" t="s">
        <v>124</v>
      </c>
      <c r="F228" t="s">
        <v>125</v>
      </c>
      <c r="G228">
        <v>4</v>
      </c>
    </row>
    <row r="229" spans="1:7">
      <c r="A229" t="s">
        <v>846</v>
      </c>
      <c r="B229" t="s">
        <v>847</v>
      </c>
      <c r="C229">
        <v>5</v>
      </c>
      <c r="D229">
        <v>16</v>
      </c>
      <c r="E229" t="s">
        <v>124</v>
      </c>
      <c r="F229" t="s">
        <v>125</v>
      </c>
      <c r="G229">
        <v>4</v>
      </c>
    </row>
    <row r="230" spans="1:7">
      <c r="A230" t="s">
        <v>848</v>
      </c>
      <c r="B230" t="s">
        <v>849</v>
      </c>
      <c r="C230">
        <v>4</v>
      </c>
      <c r="D230">
        <v>16</v>
      </c>
      <c r="E230" t="s">
        <v>124</v>
      </c>
      <c r="F230" t="s">
        <v>125</v>
      </c>
      <c r="G230">
        <v>6</v>
      </c>
    </row>
    <row r="231" spans="1:7">
      <c r="A231" t="s">
        <v>850</v>
      </c>
      <c r="B231" t="s">
        <v>851</v>
      </c>
      <c r="C231">
        <v>4</v>
      </c>
      <c r="D231">
        <v>16</v>
      </c>
      <c r="E231" t="s">
        <v>124</v>
      </c>
      <c r="F231" t="s">
        <v>125</v>
      </c>
      <c r="G231">
        <v>6</v>
      </c>
    </row>
    <row r="232" spans="1:7">
      <c r="A232" t="s">
        <v>852</v>
      </c>
      <c r="B232" t="s">
        <v>853</v>
      </c>
      <c r="C232">
        <v>4</v>
      </c>
      <c r="D232">
        <v>16</v>
      </c>
      <c r="E232" t="s">
        <v>124</v>
      </c>
      <c r="F232" t="s">
        <v>125</v>
      </c>
      <c r="G232">
        <v>6</v>
      </c>
    </row>
    <row r="233" spans="1:7">
      <c r="A233" t="s">
        <v>854</v>
      </c>
      <c r="B233" t="s">
        <v>855</v>
      </c>
      <c r="C233">
        <v>4</v>
      </c>
      <c r="D233">
        <v>16</v>
      </c>
      <c r="E233" t="s">
        <v>124</v>
      </c>
      <c r="F233" t="s">
        <v>125</v>
      </c>
      <c r="G233">
        <v>6</v>
      </c>
    </row>
    <row r="234" spans="1:7">
      <c r="A234" t="s">
        <v>856</v>
      </c>
      <c r="B234" t="s">
        <v>857</v>
      </c>
      <c r="C234">
        <v>4</v>
      </c>
      <c r="D234">
        <v>16</v>
      </c>
      <c r="E234" t="s">
        <v>124</v>
      </c>
      <c r="F234" t="s">
        <v>125</v>
      </c>
      <c r="G234">
        <v>6</v>
      </c>
    </row>
    <row r="235" spans="1:7">
      <c r="A235" t="s">
        <v>858</v>
      </c>
      <c r="B235" t="s">
        <v>859</v>
      </c>
      <c r="C235">
        <v>4</v>
      </c>
      <c r="D235">
        <v>16</v>
      </c>
      <c r="E235" t="s">
        <v>124</v>
      </c>
      <c r="F235" t="s">
        <v>125</v>
      </c>
      <c r="G235">
        <v>8</v>
      </c>
    </row>
    <row r="236" spans="1:7">
      <c r="A236" t="s">
        <v>860</v>
      </c>
      <c r="B236" t="s">
        <v>861</v>
      </c>
      <c r="C236">
        <v>4</v>
      </c>
      <c r="D236">
        <v>16</v>
      </c>
      <c r="E236" t="s">
        <v>124</v>
      </c>
      <c r="F236" t="s">
        <v>125</v>
      </c>
      <c r="G236">
        <v>8</v>
      </c>
    </row>
    <row r="237" spans="1:7">
      <c r="A237" t="s">
        <v>862</v>
      </c>
      <c r="B237" t="s">
        <v>863</v>
      </c>
      <c r="C237">
        <v>4</v>
      </c>
      <c r="D237">
        <v>16</v>
      </c>
      <c r="E237" t="s">
        <v>124</v>
      </c>
      <c r="F237" t="s">
        <v>125</v>
      </c>
      <c r="G237">
        <v>8</v>
      </c>
    </row>
    <row r="238" spans="1:7">
      <c r="A238" t="s">
        <v>864</v>
      </c>
      <c r="B238" t="s">
        <v>507</v>
      </c>
      <c r="C238">
        <v>4</v>
      </c>
      <c r="D238">
        <v>16</v>
      </c>
      <c r="E238" t="s">
        <v>124</v>
      </c>
      <c r="F238" t="s">
        <v>125</v>
      </c>
      <c r="G238">
        <v>8</v>
      </c>
    </row>
    <row r="239" spans="1:7">
      <c r="A239" t="s">
        <v>865</v>
      </c>
      <c r="B239" t="s">
        <v>866</v>
      </c>
      <c r="C239">
        <v>20</v>
      </c>
      <c r="D239">
        <v>16</v>
      </c>
      <c r="E239" t="s">
        <v>124</v>
      </c>
      <c r="F239" t="s">
        <v>125</v>
      </c>
      <c r="G239">
        <v>8</v>
      </c>
    </row>
    <row r="240" spans="1:7">
      <c r="A240" t="s">
        <v>867</v>
      </c>
      <c r="B240" t="s">
        <v>868</v>
      </c>
      <c r="C240">
        <v>5</v>
      </c>
      <c r="D240">
        <v>16</v>
      </c>
      <c r="E240" t="s">
        <v>126</v>
      </c>
      <c r="F240" t="s">
        <v>127</v>
      </c>
      <c r="G240">
        <v>1</v>
      </c>
    </row>
    <row r="241" spans="1:7">
      <c r="A241" t="s">
        <v>869</v>
      </c>
      <c r="B241" t="s">
        <v>870</v>
      </c>
      <c r="C241">
        <v>4</v>
      </c>
      <c r="D241">
        <v>16</v>
      </c>
      <c r="E241" t="s">
        <v>126</v>
      </c>
      <c r="F241" t="s">
        <v>127</v>
      </c>
      <c r="G241">
        <v>1</v>
      </c>
    </row>
    <row r="242" spans="1:7">
      <c r="A242" t="s">
        <v>871</v>
      </c>
      <c r="B242" t="s">
        <v>872</v>
      </c>
      <c r="C242">
        <v>4</v>
      </c>
      <c r="D242">
        <v>16</v>
      </c>
      <c r="E242" t="s">
        <v>126</v>
      </c>
      <c r="F242" t="s">
        <v>127</v>
      </c>
      <c r="G242">
        <v>1</v>
      </c>
    </row>
    <row r="243" spans="1:7">
      <c r="A243" t="s">
        <v>873</v>
      </c>
      <c r="B243" t="s">
        <v>874</v>
      </c>
      <c r="C243">
        <v>4</v>
      </c>
      <c r="D243">
        <v>16</v>
      </c>
      <c r="E243" t="s">
        <v>126</v>
      </c>
      <c r="F243" t="s">
        <v>127</v>
      </c>
      <c r="G243">
        <v>1</v>
      </c>
    </row>
    <row r="244" spans="1:7">
      <c r="A244" t="s">
        <v>875</v>
      </c>
      <c r="B244" t="s">
        <v>876</v>
      </c>
      <c r="C244">
        <v>3</v>
      </c>
      <c r="D244">
        <v>16</v>
      </c>
      <c r="E244" t="s">
        <v>126</v>
      </c>
      <c r="F244" t="s">
        <v>127</v>
      </c>
      <c r="G244">
        <v>1</v>
      </c>
    </row>
    <row r="245" spans="1:7">
      <c r="A245" t="s">
        <v>877</v>
      </c>
      <c r="B245" t="s">
        <v>878</v>
      </c>
      <c r="C245">
        <v>4</v>
      </c>
      <c r="D245">
        <v>16</v>
      </c>
      <c r="E245" t="s">
        <v>126</v>
      </c>
      <c r="F245" t="s">
        <v>127</v>
      </c>
      <c r="G245">
        <v>2</v>
      </c>
    </row>
    <row r="246" spans="1:7">
      <c r="A246" t="s">
        <v>879</v>
      </c>
      <c r="B246" t="s">
        <v>880</v>
      </c>
      <c r="C246">
        <v>3</v>
      </c>
      <c r="D246">
        <v>16</v>
      </c>
      <c r="E246" t="s">
        <v>126</v>
      </c>
      <c r="F246" t="s">
        <v>127</v>
      </c>
      <c r="G246">
        <v>2</v>
      </c>
    </row>
    <row r="247" spans="1:7">
      <c r="A247" t="s">
        <v>881</v>
      </c>
      <c r="B247" t="s">
        <v>882</v>
      </c>
      <c r="C247">
        <v>3</v>
      </c>
      <c r="D247">
        <v>16</v>
      </c>
      <c r="E247" t="s">
        <v>126</v>
      </c>
      <c r="F247" t="s">
        <v>127</v>
      </c>
      <c r="G247">
        <v>2</v>
      </c>
    </row>
    <row r="248" spans="1:7">
      <c r="A248" t="s">
        <v>883</v>
      </c>
      <c r="B248" t="s">
        <v>884</v>
      </c>
      <c r="C248">
        <v>3</v>
      </c>
      <c r="D248">
        <v>16</v>
      </c>
      <c r="E248" t="s">
        <v>126</v>
      </c>
      <c r="F248" t="s">
        <v>127</v>
      </c>
      <c r="G248">
        <v>2</v>
      </c>
    </row>
    <row r="249" spans="1:7">
      <c r="A249" t="s">
        <v>885</v>
      </c>
      <c r="B249" t="s">
        <v>886</v>
      </c>
      <c r="C249">
        <v>3</v>
      </c>
      <c r="D249">
        <v>16</v>
      </c>
      <c r="E249" t="s">
        <v>126</v>
      </c>
      <c r="F249" t="s">
        <v>127</v>
      </c>
      <c r="G249">
        <v>2</v>
      </c>
    </row>
    <row r="250" spans="1:7">
      <c r="A250" t="s">
        <v>887</v>
      </c>
      <c r="B250" t="s">
        <v>888</v>
      </c>
      <c r="C250">
        <v>4</v>
      </c>
      <c r="D250">
        <v>16</v>
      </c>
      <c r="E250" t="s">
        <v>126</v>
      </c>
      <c r="F250" t="s">
        <v>127</v>
      </c>
      <c r="G250">
        <v>2</v>
      </c>
    </row>
    <row r="251" spans="1:7">
      <c r="A251" t="s">
        <v>889</v>
      </c>
      <c r="B251" t="s">
        <v>890</v>
      </c>
      <c r="C251">
        <v>4</v>
      </c>
      <c r="D251">
        <v>16</v>
      </c>
      <c r="E251" t="s">
        <v>126</v>
      </c>
      <c r="F251" t="s">
        <v>127</v>
      </c>
      <c r="G251">
        <v>3</v>
      </c>
    </row>
    <row r="252" spans="1:7">
      <c r="A252" t="s">
        <v>891</v>
      </c>
      <c r="B252" t="s">
        <v>892</v>
      </c>
      <c r="C252">
        <v>4</v>
      </c>
      <c r="D252">
        <v>16</v>
      </c>
      <c r="E252" t="s">
        <v>126</v>
      </c>
      <c r="F252" t="s">
        <v>127</v>
      </c>
      <c r="G252">
        <v>3</v>
      </c>
    </row>
    <row r="253" spans="1:7">
      <c r="A253" t="s">
        <v>893</v>
      </c>
      <c r="B253" t="s">
        <v>894</v>
      </c>
      <c r="C253">
        <v>3</v>
      </c>
      <c r="D253">
        <v>16</v>
      </c>
      <c r="E253" t="s">
        <v>126</v>
      </c>
      <c r="F253" t="s">
        <v>127</v>
      </c>
      <c r="G253">
        <v>3</v>
      </c>
    </row>
    <row r="254" spans="1:7">
      <c r="A254" t="s">
        <v>895</v>
      </c>
      <c r="B254" t="s">
        <v>896</v>
      </c>
      <c r="C254">
        <v>3</v>
      </c>
      <c r="D254">
        <v>16</v>
      </c>
      <c r="E254" t="s">
        <v>126</v>
      </c>
      <c r="F254" t="s">
        <v>127</v>
      </c>
      <c r="G254">
        <v>3</v>
      </c>
    </row>
    <row r="255" spans="1:7">
      <c r="A255" t="s">
        <v>897</v>
      </c>
      <c r="B255" t="s">
        <v>898</v>
      </c>
      <c r="C255">
        <v>3</v>
      </c>
      <c r="D255">
        <v>16</v>
      </c>
      <c r="E255" t="s">
        <v>126</v>
      </c>
      <c r="F255" t="s">
        <v>127</v>
      </c>
      <c r="G255">
        <v>3</v>
      </c>
    </row>
    <row r="256" spans="1:7">
      <c r="A256" t="s">
        <v>899</v>
      </c>
      <c r="B256" t="s">
        <v>900</v>
      </c>
      <c r="C256">
        <v>3</v>
      </c>
      <c r="D256">
        <v>16</v>
      </c>
      <c r="E256" t="s">
        <v>126</v>
      </c>
      <c r="F256" t="s">
        <v>127</v>
      </c>
      <c r="G256">
        <v>3</v>
      </c>
    </row>
    <row r="257" spans="1:7">
      <c r="A257" t="s">
        <v>901</v>
      </c>
      <c r="B257" t="s">
        <v>902</v>
      </c>
      <c r="C257">
        <v>4</v>
      </c>
      <c r="D257">
        <v>16</v>
      </c>
      <c r="E257" t="s">
        <v>126</v>
      </c>
      <c r="F257" t="s">
        <v>127</v>
      </c>
      <c r="G257">
        <v>4</v>
      </c>
    </row>
    <row r="258" spans="1:7">
      <c r="A258" t="s">
        <v>903</v>
      </c>
      <c r="B258" t="s">
        <v>904</v>
      </c>
      <c r="C258">
        <v>4</v>
      </c>
      <c r="D258">
        <v>16</v>
      </c>
      <c r="E258" t="s">
        <v>126</v>
      </c>
      <c r="F258" t="s">
        <v>127</v>
      </c>
      <c r="G258">
        <v>4</v>
      </c>
    </row>
    <row r="259" spans="1:7">
      <c r="A259" t="s">
        <v>905</v>
      </c>
      <c r="B259" t="s">
        <v>906</v>
      </c>
      <c r="C259">
        <v>4</v>
      </c>
      <c r="D259">
        <v>16</v>
      </c>
      <c r="E259" t="s">
        <v>126</v>
      </c>
      <c r="F259" t="s">
        <v>127</v>
      </c>
      <c r="G259">
        <v>4</v>
      </c>
    </row>
    <row r="260" spans="1:7">
      <c r="A260" t="s">
        <v>907</v>
      </c>
      <c r="B260" t="s">
        <v>908</v>
      </c>
      <c r="C260">
        <v>4</v>
      </c>
      <c r="D260">
        <v>16</v>
      </c>
      <c r="E260" t="s">
        <v>126</v>
      </c>
      <c r="F260" t="s">
        <v>127</v>
      </c>
      <c r="G260">
        <v>4</v>
      </c>
    </row>
    <row r="261" spans="1:7">
      <c r="A261" t="s">
        <v>909</v>
      </c>
      <c r="B261" t="s">
        <v>910</v>
      </c>
      <c r="C261">
        <v>4</v>
      </c>
      <c r="D261">
        <v>16</v>
      </c>
      <c r="E261" t="s">
        <v>126</v>
      </c>
      <c r="F261" t="s">
        <v>127</v>
      </c>
      <c r="G261">
        <v>4</v>
      </c>
    </row>
    <row r="262" spans="1:7">
      <c r="A262" t="s">
        <v>911</v>
      </c>
      <c r="B262" t="s">
        <v>912</v>
      </c>
      <c r="C262">
        <v>4</v>
      </c>
      <c r="D262">
        <v>16</v>
      </c>
      <c r="E262" t="s">
        <v>126</v>
      </c>
      <c r="F262" t="s">
        <v>127</v>
      </c>
      <c r="G262">
        <v>5</v>
      </c>
    </row>
    <row r="263" spans="1:7">
      <c r="A263" t="s">
        <v>913</v>
      </c>
      <c r="B263" t="s">
        <v>914</v>
      </c>
      <c r="C263">
        <v>4</v>
      </c>
      <c r="D263">
        <v>16</v>
      </c>
      <c r="E263" t="s">
        <v>126</v>
      </c>
      <c r="F263" t="s">
        <v>127</v>
      </c>
      <c r="G263">
        <v>5</v>
      </c>
    </row>
    <row r="264" spans="1:7">
      <c r="A264" t="s">
        <v>915</v>
      </c>
      <c r="B264" t="s">
        <v>916</v>
      </c>
      <c r="C264">
        <v>4</v>
      </c>
      <c r="D264">
        <v>16</v>
      </c>
      <c r="E264" t="s">
        <v>126</v>
      </c>
      <c r="F264" t="s">
        <v>127</v>
      </c>
      <c r="G264">
        <v>5</v>
      </c>
    </row>
    <row r="265" spans="1:7">
      <c r="A265" t="s">
        <v>917</v>
      </c>
      <c r="B265" t="s">
        <v>918</v>
      </c>
      <c r="C265">
        <v>4</v>
      </c>
      <c r="D265">
        <v>16</v>
      </c>
      <c r="E265" t="s">
        <v>126</v>
      </c>
      <c r="F265" t="s">
        <v>127</v>
      </c>
      <c r="G265">
        <v>5</v>
      </c>
    </row>
    <row r="266" spans="1:7">
      <c r="A266" t="s">
        <v>919</v>
      </c>
      <c r="B266" t="s">
        <v>920</v>
      </c>
      <c r="C266">
        <v>4</v>
      </c>
      <c r="D266">
        <v>16</v>
      </c>
      <c r="E266" t="s">
        <v>126</v>
      </c>
      <c r="F266" t="s">
        <v>127</v>
      </c>
      <c r="G266">
        <v>5</v>
      </c>
    </row>
    <row r="267" spans="1:7">
      <c r="A267" t="s">
        <v>921</v>
      </c>
      <c r="B267" t="s">
        <v>922</v>
      </c>
      <c r="C267">
        <v>4</v>
      </c>
      <c r="D267">
        <v>16</v>
      </c>
      <c r="E267" t="s">
        <v>126</v>
      </c>
      <c r="F267" t="s">
        <v>127</v>
      </c>
      <c r="G267">
        <v>6</v>
      </c>
    </row>
    <row r="268" spans="1:7">
      <c r="A268" t="s">
        <v>923</v>
      </c>
      <c r="B268" t="s">
        <v>924</v>
      </c>
      <c r="C268">
        <v>4</v>
      </c>
      <c r="D268">
        <v>16</v>
      </c>
      <c r="E268" t="s">
        <v>126</v>
      </c>
      <c r="F268" t="s">
        <v>127</v>
      </c>
      <c r="G268">
        <v>6</v>
      </c>
    </row>
    <row r="269" spans="1:7">
      <c r="A269" t="s">
        <v>925</v>
      </c>
      <c r="B269" t="s">
        <v>926</v>
      </c>
      <c r="C269">
        <v>4</v>
      </c>
      <c r="D269">
        <v>16</v>
      </c>
      <c r="E269" t="s">
        <v>126</v>
      </c>
      <c r="F269" t="s">
        <v>127</v>
      </c>
      <c r="G269">
        <v>6</v>
      </c>
    </row>
    <row r="270" spans="1:7">
      <c r="A270" t="s">
        <v>927</v>
      </c>
      <c r="B270" t="s">
        <v>928</v>
      </c>
      <c r="C270">
        <v>4</v>
      </c>
      <c r="D270">
        <v>16</v>
      </c>
      <c r="E270" t="s">
        <v>126</v>
      </c>
      <c r="F270" t="s">
        <v>127</v>
      </c>
      <c r="G270">
        <v>6</v>
      </c>
    </row>
    <row r="271" spans="1:7">
      <c r="A271" t="s">
        <v>929</v>
      </c>
      <c r="B271" t="s">
        <v>930</v>
      </c>
      <c r="C271">
        <v>4</v>
      </c>
      <c r="D271">
        <v>16</v>
      </c>
      <c r="E271" t="s">
        <v>126</v>
      </c>
      <c r="F271" t="s">
        <v>127</v>
      </c>
      <c r="G271">
        <v>6</v>
      </c>
    </row>
    <row r="272" spans="1:7">
      <c r="A272" t="s">
        <v>931</v>
      </c>
      <c r="B272" t="s">
        <v>932</v>
      </c>
      <c r="C272">
        <v>5</v>
      </c>
      <c r="D272">
        <v>16</v>
      </c>
      <c r="E272" t="s">
        <v>126</v>
      </c>
      <c r="F272" t="s">
        <v>127</v>
      </c>
      <c r="G272">
        <v>7</v>
      </c>
    </row>
    <row r="273" spans="1:7">
      <c r="A273" t="s">
        <v>933</v>
      </c>
      <c r="B273" t="s">
        <v>934</v>
      </c>
      <c r="C273">
        <v>5</v>
      </c>
      <c r="D273">
        <v>16</v>
      </c>
      <c r="E273" t="s">
        <v>126</v>
      </c>
      <c r="F273" t="s">
        <v>127</v>
      </c>
      <c r="G273">
        <v>7</v>
      </c>
    </row>
    <row r="274" spans="1:7">
      <c r="A274" t="s">
        <v>935</v>
      </c>
      <c r="B274" t="s">
        <v>936</v>
      </c>
      <c r="C274">
        <v>5</v>
      </c>
      <c r="D274">
        <v>16</v>
      </c>
      <c r="E274" t="s">
        <v>126</v>
      </c>
      <c r="F274" t="s">
        <v>127</v>
      </c>
      <c r="G274">
        <v>7</v>
      </c>
    </row>
    <row r="275" spans="1:7">
      <c r="A275" t="s">
        <v>937</v>
      </c>
      <c r="B275" t="s">
        <v>938</v>
      </c>
      <c r="C275">
        <v>5</v>
      </c>
      <c r="D275">
        <v>16</v>
      </c>
      <c r="E275" t="s">
        <v>126</v>
      </c>
      <c r="F275" t="s">
        <v>127</v>
      </c>
      <c r="G275">
        <v>7</v>
      </c>
    </row>
    <row r="276" spans="1:7">
      <c r="A276" t="s">
        <v>939</v>
      </c>
      <c r="B276" t="s">
        <v>940</v>
      </c>
      <c r="C276">
        <v>5</v>
      </c>
      <c r="D276">
        <v>16</v>
      </c>
      <c r="E276" t="s">
        <v>126</v>
      </c>
      <c r="F276" t="s">
        <v>127</v>
      </c>
      <c r="G276">
        <v>8</v>
      </c>
    </row>
    <row r="277" spans="1:7">
      <c r="A277" t="s">
        <v>941</v>
      </c>
      <c r="B277" t="s">
        <v>942</v>
      </c>
      <c r="C277">
        <v>5</v>
      </c>
      <c r="D277">
        <v>16</v>
      </c>
      <c r="E277" t="s">
        <v>126</v>
      </c>
      <c r="F277" t="s">
        <v>127</v>
      </c>
      <c r="G277">
        <v>8</v>
      </c>
    </row>
    <row r="278" spans="1:7">
      <c r="A278" t="s">
        <v>943</v>
      </c>
      <c r="B278" t="s">
        <v>944</v>
      </c>
      <c r="C278">
        <v>5</v>
      </c>
      <c r="D278">
        <v>16</v>
      </c>
      <c r="E278" t="s">
        <v>126</v>
      </c>
      <c r="F278" t="s">
        <v>127</v>
      </c>
      <c r="G278">
        <v>8</v>
      </c>
    </row>
    <row r="279" spans="1:7">
      <c r="A279" t="s">
        <v>945</v>
      </c>
      <c r="B279" t="s">
        <v>946</v>
      </c>
      <c r="C279">
        <v>5</v>
      </c>
      <c r="D279">
        <v>16</v>
      </c>
      <c r="E279" t="s">
        <v>126</v>
      </c>
      <c r="F279" t="s">
        <v>127</v>
      </c>
      <c r="G279">
        <v>8</v>
      </c>
    </row>
    <row r="280" spans="1:7">
      <c r="A280" t="s">
        <v>947</v>
      </c>
      <c r="B280" t="s">
        <v>948</v>
      </c>
      <c r="C280">
        <v>6</v>
      </c>
      <c r="D280">
        <v>16</v>
      </c>
      <c r="E280" t="s">
        <v>128</v>
      </c>
      <c r="F280" t="s">
        <v>129</v>
      </c>
      <c r="G280">
        <v>1</v>
      </c>
    </row>
    <row r="281" spans="1:7">
      <c r="A281" t="s">
        <v>949</v>
      </c>
      <c r="B281" t="s">
        <v>950</v>
      </c>
      <c r="C281">
        <v>5</v>
      </c>
      <c r="D281">
        <v>16</v>
      </c>
      <c r="E281" t="s">
        <v>128</v>
      </c>
      <c r="F281" t="s">
        <v>129</v>
      </c>
      <c r="G281">
        <v>1</v>
      </c>
    </row>
    <row r="282" spans="1:7">
      <c r="A282" t="s">
        <v>951</v>
      </c>
      <c r="B282" t="s">
        <v>952</v>
      </c>
      <c r="C282">
        <v>6</v>
      </c>
      <c r="D282">
        <v>16</v>
      </c>
      <c r="E282" t="s">
        <v>128</v>
      </c>
      <c r="F282" t="s">
        <v>129</v>
      </c>
      <c r="G282">
        <v>1</v>
      </c>
    </row>
    <row r="283" spans="1:7">
      <c r="A283" t="s">
        <v>953</v>
      </c>
      <c r="B283" t="s">
        <v>954</v>
      </c>
      <c r="C283">
        <v>4</v>
      </c>
      <c r="D283">
        <v>16</v>
      </c>
      <c r="E283" t="s">
        <v>128</v>
      </c>
      <c r="F283" t="s">
        <v>129</v>
      </c>
      <c r="G283">
        <v>1</v>
      </c>
    </row>
    <row r="284" spans="1:7">
      <c r="A284" t="s">
        <v>955</v>
      </c>
      <c r="B284" t="s">
        <v>956</v>
      </c>
      <c r="C284">
        <v>6</v>
      </c>
      <c r="D284">
        <v>16</v>
      </c>
      <c r="E284" t="s">
        <v>128</v>
      </c>
      <c r="F284" t="s">
        <v>129</v>
      </c>
      <c r="G284">
        <v>1</v>
      </c>
    </row>
    <row r="285" spans="1:7">
      <c r="A285" t="s">
        <v>957</v>
      </c>
      <c r="B285" t="s">
        <v>958</v>
      </c>
      <c r="C285">
        <v>6</v>
      </c>
      <c r="D285">
        <v>16</v>
      </c>
      <c r="E285" t="s">
        <v>128</v>
      </c>
      <c r="F285" t="s">
        <v>129</v>
      </c>
      <c r="G285">
        <v>2</v>
      </c>
    </row>
    <row r="286" spans="1:7">
      <c r="A286" t="s">
        <v>959</v>
      </c>
      <c r="B286" t="s">
        <v>960</v>
      </c>
      <c r="C286">
        <v>6</v>
      </c>
      <c r="D286">
        <v>16</v>
      </c>
      <c r="E286" t="s">
        <v>128</v>
      </c>
      <c r="F286" t="s">
        <v>129</v>
      </c>
      <c r="G286">
        <v>2</v>
      </c>
    </row>
    <row r="287" spans="1:7">
      <c r="A287" t="s">
        <v>961</v>
      </c>
      <c r="B287" t="s">
        <v>962</v>
      </c>
      <c r="C287">
        <v>6</v>
      </c>
      <c r="D287">
        <v>16</v>
      </c>
      <c r="E287" t="s">
        <v>128</v>
      </c>
      <c r="F287" t="s">
        <v>129</v>
      </c>
      <c r="G287">
        <v>2</v>
      </c>
    </row>
    <row r="288" spans="1:7">
      <c r="A288" t="s">
        <v>963</v>
      </c>
      <c r="B288" t="s">
        <v>964</v>
      </c>
      <c r="C288">
        <v>6</v>
      </c>
      <c r="D288">
        <v>16</v>
      </c>
      <c r="E288" t="s">
        <v>128</v>
      </c>
      <c r="F288" t="s">
        <v>129</v>
      </c>
      <c r="G288">
        <v>2</v>
      </c>
    </row>
    <row r="289" spans="1:7">
      <c r="A289" t="s">
        <v>965</v>
      </c>
      <c r="B289" t="s">
        <v>832</v>
      </c>
      <c r="C289">
        <v>6</v>
      </c>
      <c r="D289">
        <v>16</v>
      </c>
      <c r="E289" t="s">
        <v>128</v>
      </c>
      <c r="F289" t="s">
        <v>129</v>
      </c>
      <c r="G289">
        <v>3</v>
      </c>
    </row>
    <row r="290" spans="1:7">
      <c r="A290" t="s">
        <v>966</v>
      </c>
      <c r="B290" t="s">
        <v>524</v>
      </c>
      <c r="C290">
        <v>6</v>
      </c>
      <c r="D290">
        <v>16</v>
      </c>
      <c r="E290" t="s">
        <v>128</v>
      </c>
      <c r="F290" t="s">
        <v>129</v>
      </c>
      <c r="G290">
        <v>3</v>
      </c>
    </row>
    <row r="291" spans="1:7">
      <c r="A291" t="s">
        <v>967</v>
      </c>
      <c r="B291" t="s">
        <v>835</v>
      </c>
      <c r="C291">
        <v>10</v>
      </c>
      <c r="D291">
        <v>16</v>
      </c>
      <c r="E291" t="s">
        <v>128</v>
      </c>
      <c r="F291" t="s">
        <v>129</v>
      </c>
      <c r="G291">
        <v>3</v>
      </c>
    </row>
    <row r="292" spans="1:7">
      <c r="A292" t="s">
        <v>968</v>
      </c>
      <c r="B292" t="s">
        <v>837</v>
      </c>
      <c r="C292">
        <v>6</v>
      </c>
      <c r="D292">
        <v>16</v>
      </c>
      <c r="E292" t="s">
        <v>128</v>
      </c>
      <c r="F292" t="s">
        <v>129</v>
      </c>
      <c r="G292">
        <v>3</v>
      </c>
    </row>
    <row r="293" spans="1:7">
      <c r="A293" t="s">
        <v>969</v>
      </c>
      <c r="B293" t="s">
        <v>839</v>
      </c>
      <c r="C293">
        <v>8</v>
      </c>
      <c r="D293">
        <v>16</v>
      </c>
      <c r="E293" t="s">
        <v>128</v>
      </c>
      <c r="F293" t="s">
        <v>129</v>
      </c>
      <c r="G293">
        <v>3</v>
      </c>
    </row>
    <row r="294" spans="1:7">
      <c r="A294" t="s">
        <v>970</v>
      </c>
      <c r="B294" t="s">
        <v>841</v>
      </c>
      <c r="C294">
        <v>8</v>
      </c>
      <c r="D294">
        <v>16</v>
      </c>
      <c r="E294" t="s">
        <v>128</v>
      </c>
      <c r="F294" t="s">
        <v>129</v>
      </c>
      <c r="G294">
        <v>4</v>
      </c>
    </row>
    <row r="295" spans="1:7">
      <c r="A295" t="s">
        <v>971</v>
      </c>
      <c r="B295" t="s">
        <v>972</v>
      </c>
      <c r="C295">
        <v>8</v>
      </c>
      <c r="D295">
        <v>16</v>
      </c>
      <c r="E295" t="s">
        <v>128</v>
      </c>
      <c r="F295" t="s">
        <v>129</v>
      </c>
      <c r="G295">
        <v>4</v>
      </c>
    </row>
    <row r="296" spans="1:7">
      <c r="A296" t="s">
        <v>973</v>
      </c>
      <c r="B296" t="s">
        <v>845</v>
      </c>
      <c r="C296">
        <v>8</v>
      </c>
      <c r="D296">
        <v>16</v>
      </c>
      <c r="E296" t="s">
        <v>128</v>
      </c>
      <c r="F296" t="s">
        <v>129</v>
      </c>
      <c r="G296">
        <v>4</v>
      </c>
    </row>
    <row r="297" spans="1:7">
      <c r="A297" t="s">
        <v>974</v>
      </c>
      <c r="B297" t="s">
        <v>847</v>
      </c>
      <c r="C297">
        <v>10</v>
      </c>
      <c r="D297">
        <v>16</v>
      </c>
      <c r="E297" t="s">
        <v>128</v>
      </c>
      <c r="F297" t="s">
        <v>129</v>
      </c>
      <c r="G297">
        <v>4</v>
      </c>
    </row>
    <row r="298" spans="1:7">
      <c r="A298" t="s">
        <v>975</v>
      </c>
      <c r="B298" t="s">
        <v>976</v>
      </c>
      <c r="C298">
        <v>10</v>
      </c>
      <c r="D298">
        <v>16</v>
      </c>
      <c r="E298" t="s">
        <v>128</v>
      </c>
      <c r="F298" t="s">
        <v>129</v>
      </c>
      <c r="G298">
        <v>4</v>
      </c>
    </row>
    <row r="299" spans="1:7">
      <c r="A299" t="s">
        <v>977</v>
      </c>
      <c r="B299" t="s">
        <v>978</v>
      </c>
      <c r="C299">
        <v>6</v>
      </c>
      <c r="D299">
        <v>16</v>
      </c>
      <c r="E299" t="s">
        <v>128</v>
      </c>
      <c r="F299" t="s">
        <v>129</v>
      </c>
      <c r="G299">
        <v>5</v>
      </c>
    </row>
    <row r="300" spans="1:7">
      <c r="A300" t="s">
        <v>979</v>
      </c>
      <c r="B300" t="s">
        <v>980</v>
      </c>
      <c r="C300">
        <v>5</v>
      </c>
      <c r="D300">
        <v>16</v>
      </c>
      <c r="E300" t="s">
        <v>128</v>
      </c>
      <c r="F300" t="s">
        <v>129</v>
      </c>
      <c r="G300">
        <v>5</v>
      </c>
    </row>
    <row r="301" spans="1:7">
      <c r="A301" t="s">
        <v>981</v>
      </c>
      <c r="B301" t="s">
        <v>982</v>
      </c>
      <c r="C301">
        <v>6</v>
      </c>
      <c r="D301">
        <v>16</v>
      </c>
      <c r="E301" t="s">
        <v>128</v>
      </c>
      <c r="F301" t="s">
        <v>129</v>
      </c>
      <c r="G301">
        <v>5</v>
      </c>
    </row>
    <row r="302" spans="1:7">
      <c r="A302" t="s">
        <v>983</v>
      </c>
      <c r="B302" t="s">
        <v>984</v>
      </c>
      <c r="C302">
        <v>4</v>
      </c>
      <c r="D302">
        <v>16</v>
      </c>
      <c r="E302" t="s">
        <v>128</v>
      </c>
      <c r="F302" t="s">
        <v>129</v>
      </c>
      <c r="G302">
        <v>5</v>
      </c>
    </row>
    <row r="303" spans="1:7">
      <c r="A303" t="s">
        <v>985</v>
      </c>
      <c r="B303" t="s">
        <v>986</v>
      </c>
      <c r="C303">
        <v>6</v>
      </c>
      <c r="D303">
        <v>16</v>
      </c>
      <c r="E303" t="s">
        <v>128</v>
      </c>
      <c r="F303" t="s">
        <v>129</v>
      </c>
      <c r="G303">
        <v>5</v>
      </c>
    </row>
    <row r="304" spans="1:7">
      <c r="A304" t="s">
        <v>987</v>
      </c>
      <c r="B304" t="s">
        <v>988</v>
      </c>
      <c r="C304">
        <v>6</v>
      </c>
      <c r="D304">
        <v>16</v>
      </c>
      <c r="E304" t="s">
        <v>128</v>
      </c>
      <c r="F304" t="s">
        <v>129</v>
      </c>
      <c r="G304">
        <v>5</v>
      </c>
    </row>
    <row r="305" spans="1:7">
      <c r="A305" t="s">
        <v>989</v>
      </c>
      <c r="B305" t="s">
        <v>849</v>
      </c>
      <c r="C305">
        <v>6</v>
      </c>
      <c r="D305">
        <v>16</v>
      </c>
      <c r="E305" t="s">
        <v>128</v>
      </c>
      <c r="F305" t="s">
        <v>129</v>
      </c>
      <c r="G305">
        <v>6</v>
      </c>
    </row>
    <row r="306" spans="1:7">
      <c r="A306" t="s">
        <v>990</v>
      </c>
      <c r="B306" t="s">
        <v>991</v>
      </c>
      <c r="C306">
        <v>6</v>
      </c>
      <c r="D306">
        <v>16</v>
      </c>
      <c r="E306" t="s">
        <v>128</v>
      </c>
      <c r="F306" t="s">
        <v>129</v>
      </c>
      <c r="G306">
        <v>6</v>
      </c>
    </row>
    <row r="307" spans="1:7">
      <c r="A307" t="s">
        <v>992</v>
      </c>
      <c r="B307" t="s">
        <v>855</v>
      </c>
      <c r="C307">
        <v>6</v>
      </c>
      <c r="D307">
        <v>16</v>
      </c>
      <c r="E307" t="s">
        <v>128</v>
      </c>
      <c r="F307" t="s">
        <v>129</v>
      </c>
      <c r="G307">
        <v>6</v>
      </c>
    </row>
    <row r="308" spans="1:7">
      <c r="A308" t="s">
        <v>993</v>
      </c>
      <c r="B308" t="s">
        <v>857</v>
      </c>
      <c r="C308">
        <v>6</v>
      </c>
      <c r="D308">
        <v>16</v>
      </c>
      <c r="E308" t="s">
        <v>128</v>
      </c>
      <c r="F308" t="s">
        <v>129</v>
      </c>
      <c r="G308">
        <v>6</v>
      </c>
    </row>
    <row r="309" spans="1:7">
      <c r="A309" t="s">
        <v>994</v>
      </c>
      <c r="B309" t="s">
        <v>853</v>
      </c>
      <c r="C309">
        <v>6</v>
      </c>
      <c r="D309">
        <v>16</v>
      </c>
      <c r="E309" t="s">
        <v>128</v>
      </c>
      <c r="F309" t="s">
        <v>129</v>
      </c>
      <c r="G309">
        <v>6</v>
      </c>
    </row>
    <row r="310" spans="1:7">
      <c r="A310" t="s">
        <v>995</v>
      </c>
      <c r="B310" t="s">
        <v>996</v>
      </c>
      <c r="C310">
        <v>10</v>
      </c>
      <c r="D310">
        <v>16</v>
      </c>
      <c r="E310" t="s">
        <v>128</v>
      </c>
      <c r="F310" t="s">
        <v>129</v>
      </c>
      <c r="G310">
        <v>7</v>
      </c>
    </row>
    <row r="311" spans="1:7">
      <c r="A311" t="s">
        <v>997</v>
      </c>
      <c r="B311" t="s">
        <v>998</v>
      </c>
      <c r="C311">
        <v>6</v>
      </c>
      <c r="D311">
        <v>16</v>
      </c>
      <c r="E311" t="s">
        <v>128</v>
      </c>
      <c r="F311" t="s">
        <v>129</v>
      </c>
      <c r="G311">
        <v>7</v>
      </c>
    </row>
    <row r="312" spans="1:7">
      <c r="A312" t="s">
        <v>999</v>
      </c>
      <c r="B312" t="s">
        <v>1000</v>
      </c>
      <c r="C312">
        <v>8</v>
      </c>
      <c r="D312">
        <v>16</v>
      </c>
      <c r="E312" t="s">
        <v>128</v>
      </c>
      <c r="F312" t="s">
        <v>129</v>
      </c>
      <c r="G312">
        <v>7</v>
      </c>
    </row>
    <row r="313" spans="1:7">
      <c r="A313" t="s">
        <v>1001</v>
      </c>
      <c r="B313" t="s">
        <v>1002</v>
      </c>
      <c r="C313">
        <v>8</v>
      </c>
      <c r="D313">
        <v>16</v>
      </c>
      <c r="E313" t="s">
        <v>128</v>
      </c>
      <c r="F313" t="s">
        <v>129</v>
      </c>
      <c r="G313">
        <v>7</v>
      </c>
    </row>
    <row r="314" spans="1:7">
      <c r="A314" t="s">
        <v>1003</v>
      </c>
      <c r="B314" t="s">
        <v>863</v>
      </c>
      <c r="C314">
        <v>8</v>
      </c>
      <c r="D314">
        <v>16</v>
      </c>
      <c r="E314" t="s">
        <v>128</v>
      </c>
      <c r="F314" t="s">
        <v>129</v>
      </c>
      <c r="G314">
        <v>8</v>
      </c>
    </row>
    <row r="315" spans="1:7">
      <c r="A315" t="s">
        <v>1004</v>
      </c>
      <c r="B315" t="s">
        <v>859</v>
      </c>
      <c r="C315">
        <v>8</v>
      </c>
      <c r="D315">
        <v>16</v>
      </c>
      <c r="E315" t="s">
        <v>128</v>
      </c>
      <c r="F315" t="s">
        <v>129</v>
      </c>
      <c r="G315">
        <v>8</v>
      </c>
    </row>
    <row r="316" spans="1:7">
      <c r="A316" t="s">
        <v>1005</v>
      </c>
      <c r="B316" t="s">
        <v>1006</v>
      </c>
      <c r="C316">
        <v>10</v>
      </c>
      <c r="D316">
        <v>16</v>
      </c>
      <c r="E316" t="s">
        <v>128</v>
      </c>
      <c r="F316" t="s">
        <v>129</v>
      </c>
      <c r="G316">
        <v>8</v>
      </c>
    </row>
    <row r="317" spans="1:7">
      <c r="A317" t="s">
        <v>1007</v>
      </c>
      <c r="B317" t="s">
        <v>830</v>
      </c>
      <c r="C317">
        <v>10</v>
      </c>
      <c r="D317">
        <v>16</v>
      </c>
      <c r="E317" t="s">
        <v>128</v>
      </c>
      <c r="F317" t="s">
        <v>129</v>
      </c>
      <c r="G317">
        <v>8</v>
      </c>
    </row>
    <row r="318" spans="1:7">
      <c r="A318" t="s">
        <v>1008</v>
      </c>
      <c r="B318" t="s">
        <v>861</v>
      </c>
      <c r="C318">
        <v>6</v>
      </c>
      <c r="D318">
        <v>16</v>
      </c>
      <c r="E318" t="s">
        <v>128</v>
      </c>
      <c r="F318" t="s">
        <v>129</v>
      </c>
      <c r="G318">
        <v>8</v>
      </c>
    </row>
    <row r="319" spans="1:7">
      <c r="A319" t="s">
        <v>1009</v>
      </c>
      <c r="B319" t="s">
        <v>1010</v>
      </c>
      <c r="C319">
        <v>1</v>
      </c>
      <c r="D319">
        <v>16</v>
      </c>
      <c r="E319" t="s">
        <v>133</v>
      </c>
      <c r="F319" t="s">
        <v>134</v>
      </c>
      <c r="G319">
        <v>0</v>
      </c>
    </row>
    <row r="320" spans="1:7">
      <c r="A320" t="s">
        <v>1011</v>
      </c>
      <c r="B320" t="s">
        <v>36</v>
      </c>
      <c r="C320">
        <v>1</v>
      </c>
      <c r="D320">
        <v>16</v>
      </c>
      <c r="E320" t="s">
        <v>130</v>
      </c>
      <c r="F320" t="s">
        <v>33</v>
      </c>
      <c r="G320">
        <v>0</v>
      </c>
    </row>
    <row r="321" spans="1:7">
      <c r="A321" t="s">
        <v>1012</v>
      </c>
      <c r="B321" t="s">
        <v>34</v>
      </c>
      <c r="C321">
        <v>1</v>
      </c>
      <c r="D321">
        <v>16</v>
      </c>
      <c r="E321" t="s">
        <v>130</v>
      </c>
      <c r="F321" t="s">
        <v>33</v>
      </c>
      <c r="G321">
        <v>0</v>
      </c>
    </row>
    <row r="322" spans="1:7">
      <c r="A322" t="s">
        <v>1013</v>
      </c>
      <c r="B322" t="s">
        <v>37</v>
      </c>
      <c r="C322">
        <v>1</v>
      </c>
      <c r="D322">
        <v>16</v>
      </c>
      <c r="E322" t="s">
        <v>130</v>
      </c>
      <c r="F322" t="s">
        <v>33</v>
      </c>
      <c r="G322">
        <v>0</v>
      </c>
    </row>
    <row r="323" spans="1:7">
      <c r="A323" t="s">
        <v>1014</v>
      </c>
      <c r="B323" t="s">
        <v>1015</v>
      </c>
      <c r="C323">
        <v>1</v>
      </c>
      <c r="D323">
        <v>16</v>
      </c>
      <c r="E323" t="s">
        <v>130</v>
      </c>
      <c r="F323" t="s">
        <v>33</v>
      </c>
      <c r="G323">
        <v>0</v>
      </c>
    </row>
    <row r="324" spans="1:7">
      <c r="A324" t="s">
        <v>1016</v>
      </c>
      <c r="B324" t="s">
        <v>1017</v>
      </c>
      <c r="C324">
        <v>1</v>
      </c>
      <c r="D324">
        <v>16</v>
      </c>
      <c r="E324" t="s">
        <v>131</v>
      </c>
      <c r="F324" t="s">
        <v>132</v>
      </c>
      <c r="G324">
        <v>0</v>
      </c>
    </row>
    <row r="325" spans="1:7">
      <c r="A325" t="s">
        <v>1018</v>
      </c>
      <c r="B325" t="s">
        <v>1019</v>
      </c>
      <c r="C325">
        <v>1</v>
      </c>
      <c r="D325">
        <v>16</v>
      </c>
      <c r="E325" t="s">
        <v>135</v>
      </c>
      <c r="F325" t="s">
        <v>136</v>
      </c>
      <c r="G325">
        <v>60</v>
      </c>
    </row>
    <row r="326" spans="1:7">
      <c r="A326" t="s">
        <v>1020</v>
      </c>
      <c r="B326" t="s">
        <v>1021</v>
      </c>
      <c r="C326">
        <v>1</v>
      </c>
      <c r="D326">
        <v>16</v>
      </c>
      <c r="E326" t="s">
        <v>135</v>
      </c>
      <c r="F326" t="s">
        <v>136</v>
      </c>
      <c r="G326">
        <v>60</v>
      </c>
    </row>
    <row r="327" spans="1:7">
      <c r="A327" t="s">
        <v>1022</v>
      </c>
      <c r="B327" t="s">
        <v>1023</v>
      </c>
      <c r="C327">
        <v>1</v>
      </c>
      <c r="D327">
        <v>16</v>
      </c>
      <c r="E327" t="s">
        <v>135</v>
      </c>
      <c r="F327" t="s">
        <v>136</v>
      </c>
      <c r="G327">
        <v>60</v>
      </c>
    </row>
    <row r="328" spans="1:7">
      <c r="A328" t="s">
        <v>1024</v>
      </c>
      <c r="B328" t="s">
        <v>1025</v>
      </c>
      <c r="C328">
        <v>1</v>
      </c>
      <c r="D328">
        <v>16</v>
      </c>
      <c r="E328" t="s">
        <v>139</v>
      </c>
      <c r="F328" t="s">
        <v>140</v>
      </c>
      <c r="G328">
        <v>80</v>
      </c>
    </row>
    <row r="329" spans="1:7">
      <c r="A329" t="s">
        <v>1026</v>
      </c>
      <c r="B329" t="s">
        <v>1027</v>
      </c>
      <c r="C329">
        <v>1</v>
      </c>
      <c r="D329">
        <v>16</v>
      </c>
      <c r="E329" t="s">
        <v>139</v>
      </c>
      <c r="F329" t="s">
        <v>140</v>
      </c>
      <c r="G329">
        <v>80</v>
      </c>
    </row>
    <row r="330" spans="1:7">
      <c r="A330" t="s">
        <v>1028</v>
      </c>
      <c r="B330" t="s">
        <v>1029</v>
      </c>
      <c r="C330">
        <v>1</v>
      </c>
      <c r="D330">
        <v>16</v>
      </c>
      <c r="E330" t="s">
        <v>137</v>
      </c>
      <c r="F330" t="s">
        <v>138</v>
      </c>
      <c r="G330">
        <v>90</v>
      </c>
    </row>
    <row r="331" spans="1:7">
      <c r="A331" t="s">
        <v>1030</v>
      </c>
      <c r="B331" t="s">
        <v>1031</v>
      </c>
      <c r="C331">
        <v>1</v>
      </c>
      <c r="D331">
        <v>16</v>
      </c>
      <c r="E331" t="s">
        <v>137</v>
      </c>
      <c r="F331" t="s">
        <v>138</v>
      </c>
      <c r="G331">
        <v>90</v>
      </c>
    </row>
    <row r="332" spans="1:7">
      <c r="A332" t="s">
        <v>1032</v>
      </c>
      <c r="B332" t="s">
        <v>1033</v>
      </c>
      <c r="C332">
        <v>1</v>
      </c>
      <c r="D332">
        <v>16</v>
      </c>
      <c r="E332" t="s">
        <v>137</v>
      </c>
      <c r="F332" t="s">
        <v>138</v>
      </c>
      <c r="G332">
        <v>90</v>
      </c>
    </row>
    <row r="333" spans="1:7">
      <c r="A333" t="s">
        <v>1034</v>
      </c>
      <c r="B333" t="s">
        <v>1035</v>
      </c>
      <c r="C333">
        <v>1</v>
      </c>
      <c r="D333">
        <v>16</v>
      </c>
      <c r="E333" t="s">
        <v>137</v>
      </c>
      <c r="F333" t="s">
        <v>138</v>
      </c>
      <c r="G333">
        <v>90</v>
      </c>
    </row>
    <row r="334" spans="1:7">
      <c r="A334" t="s">
        <v>1036</v>
      </c>
      <c r="B334" t="s">
        <v>1037</v>
      </c>
      <c r="C334">
        <v>1</v>
      </c>
      <c r="D334">
        <v>16</v>
      </c>
      <c r="E334" t="s">
        <v>137</v>
      </c>
      <c r="F334" t="s">
        <v>138</v>
      </c>
      <c r="G334">
        <v>90</v>
      </c>
    </row>
    <row r="335" spans="1:7">
      <c r="A335" t="s">
        <v>1038</v>
      </c>
      <c r="B335" t="s">
        <v>1039</v>
      </c>
      <c r="C335">
        <v>1</v>
      </c>
      <c r="D335">
        <v>16</v>
      </c>
      <c r="E335" t="s">
        <v>137</v>
      </c>
      <c r="F335" t="s">
        <v>138</v>
      </c>
      <c r="G335">
        <v>90</v>
      </c>
    </row>
    <row r="336" spans="1:7">
      <c r="A336" t="s">
        <v>1040</v>
      </c>
      <c r="B336" t="s">
        <v>1041</v>
      </c>
      <c r="C336">
        <v>1</v>
      </c>
      <c r="D336">
        <v>16</v>
      </c>
      <c r="E336" t="s">
        <v>137</v>
      </c>
      <c r="F336" t="s">
        <v>138</v>
      </c>
      <c r="G336">
        <v>90</v>
      </c>
    </row>
    <row r="337" spans="1:7">
      <c r="A337" t="s">
        <v>1042</v>
      </c>
      <c r="B337" t="s">
        <v>1043</v>
      </c>
      <c r="C337">
        <v>1</v>
      </c>
      <c r="D337">
        <v>16</v>
      </c>
      <c r="E337" t="s">
        <v>137</v>
      </c>
      <c r="F337" t="s">
        <v>138</v>
      </c>
      <c r="G337">
        <v>90</v>
      </c>
    </row>
    <row r="338" spans="1:7">
      <c r="A338" t="s">
        <v>1044</v>
      </c>
      <c r="B338" t="s">
        <v>1045</v>
      </c>
      <c r="C338">
        <v>1</v>
      </c>
      <c r="D338">
        <v>16</v>
      </c>
      <c r="E338" t="s">
        <v>141</v>
      </c>
      <c r="F338" t="s">
        <v>142</v>
      </c>
      <c r="G338">
        <v>70</v>
      </c>
    </row>
    <row r="339" spans="1:7">
      <c r="A339" t="s">
        <v>1046</v>
      </c>
      <c r="B339" t="s">
        <v>1047</v>
      </c>
      <c r="C339">
        <v>1</v>
      </c>
      <c r="D339">
        <v>16</v>
      </c>
      <c r="E339" t="s">
        <v>141</v>
      </c>
      <c r="F339" t="s">
        <v>142</v>
      </c>
      <c r="G339">
        <v>70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19C6-9EDB-43C2-B513-25B1D90ED681}">
  <dimension ref="A1:E598"/>
  <sheetViews>
    <sheetView workbookViewId="0">
      <selection activeCell="B8" sqref="B8"/>
    </sheetView>
  </sheetViews>
  <sheetFormatPr defaultColWidth="9.140625" defaultRowHeight="15"/>
  <cols>
    <col min="1" max="1" width="19.140625" bestFit="1" customWidth="1"/>
    <col min="2" max="2" width="107.5703125" bestFit="1" customWidth="1"/>
    <col min="3" max="3" width="24.140625" bestFit="1" customWidth="1"/>
    <col min="4" max="4" width="62.7109375" bestFit="1" customWidth="1"/>
    <col min="5" max="5" width="18.5703125" bestFit="1" customWidth="1"/>
  </cols>
  <sheetData>
    <row r="1" spans="1:5">
      <c r="A1" t="s">
        <v>1048</v>
      </c>
      <c r="B1" t="s">
        <v>1049</v>
      </c>
      <c r="C1" t="s">
        <v>1050</v>
      </c>
      <c r="D1" t="s">
        <v>43</v>
      </c>
      <c r="E1" t="s">
        <v>1051</v>
      </c>
    </row>
    <row r="2" spans="1:5">
      <c r="A2" t="s">
        <v>1052</v>
      </c>
      <c r="B2" t="s">
        <v>1053</v>
      </c>
      <c r="C2" t="s">
        <v>1054</v>
      </c>
      <c r="D2" t="s">
        <v>66</v>
      </c>
      <c r="E2" t="s">
        <v>65</v>
      </c>
    </row>
    <row r="3" spans="1:5">
      <c r="A3" t="s">
        <v>1055</v>
      </c>
      <c r="B3" t="s">
        <v>1056</v>
      </c>
      <c r="C3" t="s">
        <v>1057</v>
      </c>
      <c r="D3" t="s">
        <v>30</v>
      </c>
      <c r="E3" t="s">
        <v>44</v>
      </c>
    </row>
    <row r="4" spans="1:5">
      <c r="A4" t="s">
        <v>1058</v>
      </c>
      <c r="B4" t="s">
        <v>1059</v>
      </c>
      <c r="C4" t="s">
        <v>1060</v>
      </c>
      <c r="D4" t="s">
        <v>30</v>
      </c>
      <c r="E4" t="s">
        <v>44</v>
      </c>
    </row>
    <row r="5" spans="1:5">
      <c r="A5" t="s">
        <v>1061</v>
      </c>
      <c r="B5" t="s">
        <v>1062</v>
      </c>
      <c r="C5" t="s">
        <v>1063</v>
      </c>
      <c r="D5" t="s">
        <v>99</v>
      </c>
      <c r="E5" t="s">
        <v>98</v>
      </c>
    </row>
    <row r="6" spans="1:5">
      <c r="A6" t="s">
        <v>1064</v>
      </c>
      <c r="B6" t="s">
        <v>1065</v>
      </c>
      <c r="C6" t="s">
        <v>1066</v>
      </c>
      <c r="D6" t="s">
        <v>30</v>
      </c>
      <c r="E6" t="s">
        <v>44</v>
      </c>
    </row>
    <row r="7" spans="1:5">
      <c r="A7" t="s">
        <v>1067</v>
      </c>
      <c r="B7" t="s">
        <v>1068</v>
      </c>
      <c r="C7" t="s">
        <v>1066</v>
      </c>
      <c r="D7" t="s">
        <v>30</v>
      </c>
      <c r="E7" t="s">
        <v>44</v>
      </c>
    </row>
    <row r="8" spans="1:5">
      <c r="A8" t="s">
        <v>1069</v>
      </c>
      <c r="B8" t="s">
        <v>1068</v>
      </c>
      <c r="C8" t="s">
        <v>1066</v>
      </c>
      <c r="D8" t="s">
        <v>86</v>
      </c>
      <c r="E8" t="s">
        <v>85</v>
      </c>
    </row>
    <row r="9" spans="1:5">
      <c r="A9" t="s">
        <v>1070</v>
      </c>
      <c r="B9" t="s">
        <v>1071</v>
      </c>
      <c r="C9" t="s">
        <v>1066</v>
      </c>
      <c r="D9" t="s">
        <v>30</v>
      </c>
      <c r="E9" t="s">
        <v>44</v>
      </c>
    </row>
    <row r="10" spans="1:5">
      <c r="A10" t="s">
        <v>1072</v>
      </c>
      <c r="B10" t="s">
        <v>1071</v>
      </c>
      <c r="C10" t="s">
        <v>1066</v>
      </c>
      <c r="D10" t="s">
        <v>78</v>
      </c>
      <c r="E10" t="s">
        <v>77</v>
      </c>
    </row>
    <row r="11" spans="1:5">
      <c r="A11" t="s">
        <v>1073</v>
      </c>
      <c r="B11" t="s">
        <v>1074</v>
      </c>
      <c r="C11" t="s">
        <v>1066</v>
      </c>
      <c r="D11" t="s">
        <v>30</v>
      </c>
      <c r="E11" t="s">
        <v>44</v>
      </c>
    </row>
    <row r="12" spans="1:5">
      <c r="A12" t="s">
        <v>1075</v>
      </c>
      <c r="B12" t="s">
        <v>1076</v>
      </c>
      <c r="C12" t="s">
        <v>1066</v>
      </c>
      <c r="D12" t="s">
        <v>30</v>
      </c>
      <c r="E12" t="s">
        <v>44</v>
      </c>
    </row>
    <row r="13" spans="1:5">
      <c r="A13" t="s">
        <v>1077</v>
      </c>
      <c r="B13" t="s">
        <v>1078</v>
      </c>
      <c r="C13" t="s">
        <v>1066</v>
      </c>
      <c r="D13" t="s">
        <v>30</v>
      </c>
      <c r="E13" t="s">
        <v>44</v>
      </c>
    </row>
    <row r="14" spans="1:5">
      <c r="A14" t="s">
        <v>1079</v>
      </c>
      <c r="B14" t="s">
        <v>1080</v>
      </c>
      <c r="C14" t="s">
        <v>1081</v>
      </c>
      <c r="D14" t="s">
        <v>64</v>
      </c>
      <c r="E14" t="s">
        <v>63</v>
      </c>
    </row>
    <row r="15" spans="1:5">
      <c r="A15" t="s">
        <v>1082</v>
      </c>
      <c r="B15" t="s">
        <v>1083</v>
      </c>
      <c r="C15" t="s">
        <v>1081</v>
      </c>
      <c r="D15" t="s">
        <v>64</v>
      </c>
      <c r="E15" t="s">
        <v>63</v>
      </c>
    </row>
    <row r="16" spans="1:5">
      <c r="A16" t="s">
        <v>1084</v>
      </c>
      <c r="B16" t="s">
        <v>1085</v>
      </c>
      <c r="C16" t="s">
        <v>1081</v>
      </c>
      <c r="D16" t="s">
        <v>64</v>
      </c>
      <c r="E16" t="s">
        <v>63</v>
      </c>
    </row>
    <row r="17" spans="1:5">
      <c r="A17" t="s">
        <v>1086</v>
      </c>
      <c r="B17" t="s">
        <v>1087</v>
      </c>
      <c r="C17" t="s">
        <v>1088</v>
      </c>
      <c r="D17" t="s">
        <v>66</v>
      </c>
      <c r="E17" t="s">
        <v>65</v>
      </c>
    </row>
    <row r="18" spans="1:5">
      <c r="A18" t="s">
        <v>1089</v>
      </c>
      <c r="B18" t="s">
        <v>1090</v>
      </c>
      <c r="C18" t="s">
        <v>1088</v>
      </c>
      <c r="D18" t="s">
        <v>64</v>
      </c>
      <c r="E18" t="s">
        <v>63</v>
      </c>
    </row>
    <row r="19" spans="1:5">
      <c r="A19" t="s">
        <v>1091</v>
      </c>
      <c r="B19" t="s">
        <v>1092</v>
      </c>
      <c r="C19" t="s">
        <v>1088</v>
      </c>
      <c r="D19" t="s">
        <v>64</v>
      </c>
      <c r="E19" t="s">
        <v>63</v>
      </c>
    </row>
    <row r="20" spans="1:5">
      <c r="A20" t="s">
        <v>1093</v>
      </c>
      <c r="B20" t="s">
        <v>1094</v>
      </c>
      <c r="C20" t="s">
        <v>1088</v>
      </c>
      <c r="D20" t="s">
        <v>64</v>
      </c>
      <c r="E20" t="s">
        <v>63</v>
      </c>
    </row>
    <row r="21" spans="1:5">
      <c r="A21" t="s">
        <v>1095</v>
      </c>
      <c r="B21" t="s">
        <v>1094</v>
      </c>
      <c r="C21" t="s">
        <v>1088</v>
      </c>
      <c r="D21" t="s">
        <v>78</v>
      </c>
      <c r="E21" t="s">
        <v>77</v>
      </c>
    </row>
    <row r="22" spans="1:5">
      <c r="A22" t="s">
        <v>1096</v>
      </c>
      <c r="B22" t="s">
        <v>1097</v>
      </c>
      <c r="C22" t="s">
        <v>1098</v>
      </c>
      <c r="D22" t="s">
        <v>66</v>
      </c>
      <c r="E22" t="s">
        <v>65</v>
      </c>
    </row>
    <row r="23" spans="1:5">
      <c r="A23" t="s">
        <v>1099</v>
      </c>
      <c r="B23" t="s">
        <v>1100</v>
      </c>
      <c r="C23" t="s">
        <v>1098</v>
      </c>
      <c r="D23" t="s">
        <v>66</v>
      </c>
      <c r="E23" t="s">
        <v>65</v>
      </c>
    </row>
    <row r="24" spans="1:5">
      <c r="A24" t="s">
        <v>1101</v>
      </c>
      <c r="B24" t="s">
        <v>1102</v>
      </c>
      <c r="C24" t="s">
        <v>1103</v>
      </c>
      <c r="D24" t="s">
        <v>101</v>
      </c>
      <c r="E24" t="s">
        <v>100</v>
      </c>
    </row>
    <row r="25" spans="1:5">
      <c r="A25" t="s">
        <v>1104</v>
      </c>
      <c r="B25" t="s">
        <v>1105</v>
      </c>
      <c r="C25" t="s">
        <v>1106</v>
      </c>
      <c r="D25" t="s">
        <v>58</v>
      </c>
      <c r="E25" t="s">
        <v>57</v>
      </c>
    </row>
    <row r="26" spans="1:5">
      <c r="A26" t="s">
        <v>1107</v>
      </c>
      <c r="B26" t="s">
        <v>1105</v>
      </c>
      <c r="C26" t="s">
        <v>1106</v>
      </c>
      <c r="D26" t="s">
        <v>78</v>
      </c>
      <c r="E26" t="s">
        <v>77</v>
      </c>
    </row>
    <row r="27" spans="1:5">
      <c r="A27" t="s">
        <v>1108</v>
      </c>
      <c r="B27" t="s">
        <v>1109</v>
      </c>
      <c r="C27" t="s">
        <v>1106</v>
      </c>
      <c r="D27" t="s">
        <v>78</v>
      </c>
      <c r="E27" t="s">
        <v>77</v>
      </c>
    </row>
    <row r="28" spans="1:5">
      <c r="A28" t="s">
        <v>1110</v>
      </c>
      <c r="B28" t="s">
        <v>1111</v>
      </c>
      <c r="C28" t="s">
        <v>1106</v>
      </c>
      <c r="D28" t="s">
        <v>30</v>
      </c>
      <c r="E28" t="s">
        <v>44</v>
      </c>
    </row>
    <row r="29" spans="1:5">
      <c r="A29" t="s">
        <v>1112</v>
      </c>
      <c r="B29" t="s">
        <v>1111</v>
      </c>
      <c r="C29" t="s">
        <v>1106</v>
      </c>
      <c r="D29" t="s">
        <v>78</v>
      </c>
      <c r="E29" t="s">
        <v>77</v>
      </c>
    </row>
    <row r="30" spans="1:5">
      <c r="A30" t="s">
        <v>1113</v>
      </c>
      <c r="B30" t="s">
        <v>1114</v>
      </c>
      <c r="C30" t="s">
        <v>1115</v>
      </c>
      <c r="D30" t="s">
        <v>103</v>
      </c>
      <c r="E30" t="s">
        <v>102</v>
      </c>
    </row>
    <row r="31" spans="1:5">
      <c r="A31" t="s">
        <v>1116</v>
      </c>
      <c r="B31" t="s">
        <v>1117</v>
      </c>
      <c r="C31" t="s">
        <v>1115</v>
      </c>
      <c r="D31" t="s">
        <v>101</v>
      </c>
      <c r="E31" t="s">
        <v>100</v>
      </c>
    </row>
    <row r="32" spans="1:5">
      <c r="A32" t="s">
        <v>1118</v>
      </c>
      <c r="B32" t="s">
        <v>1119</v>
      </c>
      <c r="C32" t="s">
        <v>1120</v>
      </c>
      <c r="D32" t="s">
        <v>105</v>
      </c>
      <c r="E32" t="s">
        <v>104</v>
      </c>
    </row>
    <row r="33" spans="1:5">
      <c r="A33" t="s">
        <v>1121</v>
      </c>
      <c r="B33" t="s">
        <v>1122</v>
      </c>
      <c r="C33" t="s">
        <v>1120</v>
      </c>
      <c r="D33" t="s">
        <v>78</v>
      </c>
      <c r="E33" t="s">
        <v>77</v>
      </c>
    </row>
    <row r="34" spans="1:5">
      <c r="A34" t="s">
        <v>1123</v>
      </c>
      <c r="B34" t="s">
        <v>1122</v>
      </c>
      <c r="C34" t="s">
        <v>1120</v>
      </c>
      <c r="D34" t="s">
        <v>30</v>
      </c>
      <c r="E34" t="s">
        <v>44</v>
      </c>
    </row>
    <row r="35" spans="1:5">
      <c r="A35" t="s">
        <v>1124</v>
      </c>
      <c r="B35" t="s">
        <v>1125</v>
      </c>
      <c r="C35" t="s">
        <v>1120</v>
      </c>
      <c r="D35" t="s">
        <v>30</v>
      </c>
      <c r="E35" t="s">
        <v>44</v>
      </c>
    </row>
    <row r="36" spans="1:5">
      <c r="A36" t="s">
        <v>1126</v>
      </c>
      <c r="B36" t="s">
        <v>1127</v>
      </c>
      <c r="C36" t="s">
        <v>1128</v>
      </c>
      <c r="D36" t="s">
        <v>103</v>
      </c>
      <c r="E36" t="s">
        <v>102</v>
      </c>
    </row>
    <row r="37" spans="1:5">
      <c r="A37" t="s">
        <v>1129</v>
      </c>
      <c r="B37" t="s">
        <v>1130</v>
      </c>
      <c r="C37" t="s">
        <v>1131</v>
      </c>
      <c r="D37" t="s">
        <v>64</v>
      </c>
      <c r="E37" t="s">
        <v>63</v>
      </c>
    </row>
    <row r="38" spans="1:5">
      <c r="A38" t="s">
        <v>1132</v>
      </c>
      <c r="B38" t="s">
        <v>1133</v>
      </c>
      <c r="C38" t="s">
        <v>1134</v>
      </c>
      <c r="D38" t="s">
        <v>30</v>
      </c>
      <c r="E38" t="s">
        <v>44</v>
      </c>
    </row>
    <row r="39" spans="1:5">
      <c r="A39" t="s">
        <v>1135</v>
      </c>
      <c r="B39" t="s">
        <v>1136</v>
      </c>
      <c r="C39" t="s">
        <v>1137</v>
      </c>
      <c r="D39" t="s">
        <v>30</v>
      </c>
      <c r="E39" t="s">
        <v>44</v>
      </c>
    </row>
    <row r="40" spans="1:5">
      <c r="A40" t="s">
        <v>1138</v>
      </c>
      <c r="B40" t="s">
        <v>1139</v>
      </c>
      <c r="C40" t="s">
        <v>1137</v>
      </c>
      <c r="D40" t="s">
        <v>64</v>
      </c>
      <c r="E40" t="s">
        <v>63</v>
      </c>
    </row>
    <row r="41" spans="1:5">
      <c r="A41" t="s">
        <v>1140</v>
      </c>
      <c r="B41" t="s">
        <v>1139</v>
      </c>
      <c r="C41" t="s">
        <v>1137</v>
      </c>
      <c r="D41" t="s">
        <v>78</v>
      </c>
      <c r="E41" t="s">
        <v>77</v>
      </c>
    </row>
    <row r="42" spans="1:5">
      <c r="A42" t="s">
        <v>1141</v>
      </c>
      <c r="B42" t="s">
        <v>1142</v>
      </c>
      <c r="C42" t="s">
        <v>1137</v>
      </c>
      <c r="D42" t="s">
        <v>30</v>
      </c>
      <c r="E42" t="s">
        <v>44</v>
      </c>
    </row>
    <row r="43" spans="1:5">
      <c r="A43" t="s">
        <v>1143</v>
      </c>
      <c r="B43" t="s">
        <v>1142</v>
      </c>
      <c r="C43" t="s">
        <v>1137</v>
      </c>
      <c r="D43" t="s">
        <v>78</v>
      </c>
      <c r="E43" t="s">
        <v>77</v>
      </c>
    </row>
    <row r="44" spans="1:5">
      <c r="A44" t="s">
        <v>1144</v>
      </c>
      <c r="B44" t="s">
        <v>1145</v>
      </c>
      <c r="C44" t="s">
        <v>1137</v>
      </c>
      <c r="D44" t="s">
        <v>30</v>
      </c>
      <c r="E44" t="s">
        <v>44</v>
      </c>
    </row>
    <row r="45" spans="1:5">
      <c r="A45" t="s">
        <v>1146</v>
      </c>
      <c r="C45" t="s">
        <v>1147</v>
      </c>
      <c r="E45" t="s">
        <v>106</v>
      </c>
    </row>
    <row r="46" spans="1:5">
      <c r="A46" t="s">
        <v>1148</v>
      </c>
      <c r="C46" t="s">
        <v>1147</v>
      </c>
      <c r="E46" t="s">
        <v>106</v>
      </c>
    </row>
    <row r="47" spans="1:5">
      <c r="A47" t="s">
        <v>1149</v>
      </c>
      <c r="C47" t="s">
        <v>1147</v>
      </c>
      <c r="E47" t="s">
        <v>106</v>
      </c>
    </row>
    <row r="48" spans="1:5">
      <c r="A48" t="s">
        <v>1150</v>
      </c>
      <c r="C48" t="s">
        <v>1147</v>
      </c>
      <c r="E48" t="s">
        <v>106</v>
      </c>
    </row>
    <row r="49" spans="1:5">
      <c r="A49" t="s">
        <v>1151</v>
      </c>
      <c r="C49" t="s">
        <v>1147</v>
      </c>
      <c r="E49" t="s">
        <v>106</v>
      </c>
    </row>
    <row r="50" spans="1:5">
      <c r="A50" t="s">
        <v>1152</v>
      </c>
      <c r="C50" t="s">
        <v>1147</v>
      </c>
      <c r="E50" t="s">
        <v>106</v>
      </c>
    </row>
    <row r="51" spans="1:5">
      <c r="A51" t="s">
        <v>1153</v>
      </c>
      <c r="C51" t="s">
        <v>1147</v>
      </c>
      <c r="E51" t="s">
        <v>106</v>
      </c>
    </row>
    <row r="52" spans="1:5">
      <c r="A52" t="s">
        <v>1154</v>
      </c>
      <c r="C52" t="s">
        <v>1147</v>
      </c>
      <c r="E52" t="s">
        <v>106</v>
      </c>
    </row>
    <row r="53" spans="1:5">
      <c r="A53" t="s">
        <v>1155</v>
      </c>
      <c r="C53" t="s">
        <v>1147</v>
      </c>
      <c r="E53" t="s">
        <v>106</v>
      </c>
    </row>
    <row r="54" spans="1:5">
      <c r="A54" t="s">
        <v>1156</v>
      </c>
      <c r="C54" t="s">
        <v>1147</v>
      </c>
      <c r="E54" t="s">
        <v>106</v>
      </c>
    </row>
    <row r="55" spans="1:5">
      <c r="A55" t="s">
        <v>1157</v>
      </c>
      <c r="C55" t="s">
        <v>1147</v>
      </c>
      <c r="E55" t="s">
        <v>106</v>
      </c>
    </row>
    <row r="56" spans="1:5">
      <c r="A56" t="s">
        <v>1158</v>
      </c>
      <c r="C56" t="s">
        <v>1147</v>
      </c>
      <c r="E56" t="s">
        <v>106</v>
      </c>
    </row>
    <row r="57" spans="1:5">
      <c r="A57" t="s">
        <v>1159</v>
      </c>
      <c r="C57" t="s">
        <v>1147</v>
      </c>
      <c r="E57" t="s">
        <v>106</v>
      </c>
    </row>
    <row r="58" spans="1:5">
      <c r="A58" t="s">
        <v>1160</v>
      </c>
      <c r="C58" t="s">
        <v>1147</v>
      </c>
      <c r="E58" t="s">
        <v>106</v>
      </c>
    </row>
    <row r="59" spans="1:5">
      <c r="A59" t="s">
        <v>1161</v>
      </c>
      <c r="C59" t="s">
        <v>1147</v>
      </c>
      <c r="E59" t="s">
        <v>106</v>
      </c>
    </row>
    <row r="60" spans="1:5">
      <c r="A60" t="s">
        <v>1162</v>
      </c>
      <c r="C60" t="s">
        <v>1147</v>
      </c>
      <c r="E60" t="s">
        <v>106</v>
      </c>
    </row>
    <row r="61" spans="1:5">
      <c r="A61" t="s">
        <v>1163</v>
      </c>
      <c r="C61" t="s">
        <v>1147</v>
      </c>
      <c r="E61" t="s">
        <v>106</v>
      </c>
    </row>
    <row r="62" spans="1:5">
      <c r="A62" t="s">
        <v>1164</v>
      </c>
      <c r="C62" t="s">
        <v>1147</v>
      </c>
      <c r="E62" t="s">
        <v>106</v>
      </c>
    </row>
    <row r="63" spans="1:5">
      <c r="A63" t="s">
        <v>1165</v>
      </c>
      <c r="C63" t="s">
        <v>1147</v>
      </c>
      <c r="E63" t="s">
        <v>106</v>
      </c>
    </row>
    <row r="64" spans="1:5">
      <c r="A64" t="s">
        <v>1166</v>
      </c>
      <c r="C64" t="s">
        <v>1147</v>
      </c>
      <c r="E64" t="s">
        <v>106</v>
      </c>
    </row>
    <row r="65" spans="1:5">
      <c r="A65" t="s">
        <v>1167</v>
      </c>
      <c r="C65" t="s">
        <v>1147</v>
      </c>
      <c r="E65" t="s">
        <v>106</v>
      </c>
    </row>
    <row r="66" spans="1:5">
      <c r="A66" t="s">
        <v>1168</v>
      </c>
      <c r="C66" t="s">
        <v>1147</v>
      </c>
      <c r="E66" t="s">
        <v>106</v>
      </c>
    </row>
    <row r="67" spans="1:5">
      <c r="A67" t="s">
        <v>1169</v>
      </c>
      <c r="C67" t="s">
        <v>1147</v>
      </c>
      <c r="E67" t="s">
        <v>106</v>
      </c>
    </row>
    <row r="68" spans="1:5">
      <c r="A68" t="s">
        <v>1170</v>
      </c>
      <c r="C68" t="s">
        <v>1147</v>
      </c>
      <c r="E68" t="s">
        <v>106</v>
      </c>
    </row>
    <row r="69" spans="1:5">
      <c r="A69" t="s">
        <v>1171</v>
      </c>
      <c r="C69" t="s">
        <v>1147</v>
      </c>
      <c r="E69" t="s">
        <v>106</v>
      </c>
    </row>
    <row r="70" spans="1:5">
      <c r="A70" t="s">
        <v>1172</v>
      </c>
      <c r="C70" t="s">
        <v>1147</v>
      </c>
      <c r="E70" t="s">
        <v>106</v>
      </c>
    </row>
    <row r="71" spans="1:5">
      <c r="A71" t="s">
        <v>1173</v>
      </c>
      <c r="C71" t="s">
        <v>1147</v>
      </c>
      <c r="E71" t="s">
        <v>106</v>
      </c>
    </row>
    <row r="72" spans="1:5">
      <c r="A72" t="s">
        <v>1174</v>
      </c>
      <c r="C72" t="s">
        <v>1147</v>
      </c>
      <c r="E72" t="s">
        <v>106</v>
      </c>
    </row>
    <row r="73" spans="1:5">
      <c r="A73" t="s">
        <v>1175</v>
      </c>
      <c r="C73" t="s">
        <v>1147</v>
      </c>
      <c r="E73" t="s">
        <v>106</v>
      </c>
    </row>
    <row r="74" spans="1:5">
      <c r="A74" t="s">
        <v>1176</v>
      </c>
      <c r="C74" t="s">
        <v>1147</v>
      </c>
      <c r="E74" t="s">
        <v>106</v>
      </c>
    </row>
    <row r="75" spans="1:5">
      <c r="A75" t="s">
        <v>1177</v>
      </c>
      <c r="C75" t="s">
        <v>1147</v>
      </c>
      <c r="E75" t="s">
        <v>106</v>
      </c>
    </row>
    <row r="76" spans="1:5">
      <c r="A76" t="s">
        <v>1178</v>
      </c>
      <c r="C76" t="s">
        <v>1147</v>
      </c>
      <c r="E76" t="s">
        <v>106</v>
      </c>
    </row>
    <row r="77" spans="1:5">
      <c r="A77" t="s">
        <v>1179</v>
      </c>
      <c r="C77" t="s">
        <v>1147</v>
      </c>
      <c r="E77" t="s">
        <v>106</v>
      </c>
    </row>
    <row r="78" spans="1:5">
      <c r="A78" t="s">
        <v>1180</v>
      </c>
      <c r="C78" t="s">
        <v>1147</v>
      </c>
      <c r="E78" t="s">
        <v>106</v>
      </c>
    </row>
    <row r="79" spans="1:5">
      <c r="A79" t="s">
        <v>1181</v>
      </c>
      <c r="C79" t="s">
        <v>1147</v>
      </c>
      <c r="E79" t="s">
        <v>106</v>
      </c>
    </row>
    <row r="80" spans="1:5">
      <c r="A80" t="s">
        <v>1182</v>
      </c>
      <c r="C80" t="s">
        <v>1147</v>
      </c>
      <c r="E80" t="s">
        <v>106</v>
      </c>
    </row>
    <row r="81" spans="1:5">
      <c r="A81" t="s">
        <v>1183</v>
      </c>
      <c r="C81" t="s">
        <v>1147</v>
      </c>
      <c r="E81" t="s">
        <v>106</v>
      </c>
    </row>
    <row r="82" spans="1:5">
      <c r="A82" t="s">
        <v>1184</v>
      </c>
      <c r="C82" t="s">
        <v>1147</v>
      </c>
      <c r="E82" t="s">
        <v>106</v>
      </c>
    </row>
    <row r="83" spans="1:5">
      <c r="A83" t="s">
        <v>1185</v>
      </c>
      <c r="C83" t="s">
        <v>1147</v>
      </c>
      <c r="E83" t="s">
        <v>106</v>
      </c>
    </row>
    <row r="84" spans="1:5">
      <c r="A84" t="s">
        <v>1186</v>
      </c>
      <c r="C84" t="s">
        <v>1147</v>
      </c>
      <c r="E84" t="s">
        <v>106</v>
      </c>
    </row>
    <row r="85" spans="1:5">
      <c r="A85" t="s">
        <v>1187</v>
      </c>
      <c r="C85" t="s">
        <v>1147</v>
      </c>
      <c r="E85" t="s">
        <v>106</v>
      </c>
    </row>
    <row r="86" spans="1:5">
      <c r="A86" t="s">
        <v>1188</v>
      </c>
      <c r="C86" t="s">
        <v>1147</v>
      </c>
      <c r="E86" t="s">
        <v>106</v>
      </c>
    </row>
    <row r="87" spans="1:5">
      <c r="A87" t="s">
        <v>1189</v>
      </c>
      <c r="C87" t="s">
        <v>1147</v>
      </c>
      <c r="E87" t="s">
        <v>106</v>
      </c>
    </row>
    <row r="88" spans="1:5">
      <c r="A88" t="s">
        <v>1190</v>
      </c>
      <c r="C88" t="s">
        <v>1147</v>
      </c>
      <c r="E88" t="s">
        <v>106</v>
      </c>
    </row>
    <row r="89" spans="1:5">
      <c r="A89" t="s">
        <v>1191</v>
      </c>
      <c r="C89" t="s">
        <v>1147</v>
      </c>
      <c r="E89" t="s">
        <v>106</v>
      </c>
    </row>
    <row r="90" spans="1:5">
      <c r="A90" t="s">
        <v>1192</v>
      </c>
      <c r="C90" t="s">
        <v>1147</v>
      </c>
      <c r="E90" t="s">
        <v>106</v>
      </c>
    </row>
    <row r="91" spans="1:5">
      <c r="A91" t="s">
        <v>1193</v>
      </c>
      <c r="C91" t="s">
        <v>1147</v>
      </c>
      <c r="E91" t="s">
        <v>106</v>
      </c>
    </row>
    <row r="92" spans="1:5">
      <c r="A92" t="s">
        <v>1194</v>
      </c>
      <c r="C92" t="s">
        <v>1147</v>
      </c>
      <c r="E92" t="s">
        <v>106</v>
      </c>
    </row>
    <row r="93" spans="1:5">
      <c r="A93" t="s">
        <v>1195</v>
      </c>
      <c r="C93" t="s">
        <v>1147</v>
      </c>
      <c r="E93" t="s">
        <v>106</v>
      </c>
    </row>
    <row r="94" spans="1:5">
      <c r="A94" t="s">
        <v>1196</v>
      </c>
      <c r="C94" t="s">
        <v>1147</v>
      </c>
      <c r="E94" t="s">
        <v>106</v>
      </c>
    </row>
    <row r="95" spans="1:5">
      <c r="A95" t="s">
        <v>1197</v>
      </c>
      <c r="C95" t="s">
        <v>1147</v>
      </c>
      <c r="E95" t="s">
        <v>106</v>
      </c>
    </row>
    <row r="96" spans="1:5">
      <c r="A96" t="s">
        <v>1198</v>
      </c>
      <c r="C96" t="s">
        <v>1147</v>
      </c>
      <c r="E96" t="s">
        <v>106</v>
      </c>
    </row>
    <row r="97" spans="1:5">
      <c r="A97" t="s">
        <v>1199</v>
      </c>
      <c r="C97" t="s">
        <v>1147</v>
      </c>
      <c r="E97" t="s">
        <v>106</v>
      </c>
    </row>
    <row r="98" spans="1:5">
      <c r="A98" t="s">
        <v>1200</v>
      </c>
      <c r="C98" t="s">
        <v>1147</v>
      </c>
      <c r="E98" t="s">
        <v>106</v>
      </c>
    </row>
    <row r="99" spans="1:5">
      <c r="A99" t="s">
        <v>1201</v>
      </c>
      <c r="C99" t="s">
        <v>1147</v>
      </c>
      <c r="E99" t="s">
        <v>106</v>
      </c>
    </row>
    <row r="100" spans="1:5">
      <c r="A100" t="s">
        <v>1202</v>
      </c>
      <c r="C100" t="s">
        <v>1147</v>
      </c>
      <c r="E100" t="s">
        <v>106</v>
      </c>
    </row>
    <row r="101" spans="1:5">
      <c r="A101" t="s">
        <v>1203</v>
      </c>
      <c r="C101" t="s">
        <v>1147</v>
      </c>
      <c r="E101" t="s">
        <v>106</v>
      </c>
    </row>
    <row r="102" spans="1:5">
      <c r="A102" t="s">
        <v>1204</v>
      </c>
      <c r="C102" t="s">
        <v>1147</v>
      </c>
      <c r="E102" t="s">
        <v>106</v>
      </c>
    </row>
    <row r="103" spans="1:5">
      <c r="A103" t="s">
        <v>1205</v>
      </c>
      <c r="C103" t="s">
        <v>1147</v>
      </c>
      <c r="E103" t="s">
        <v>106</v>
      </c>
    </row>
    <row r="104" spans="1:5">
      <c r="A104" t="s">
        <v>1206</v>
      </c>
      <c r="C104" t="s">
        <v>1147</v>
      </c>
      <c r="E104" t="s">
        <v>106</v>
      </c>
    </row>
    <row r="105" spans="1:5">
      <c r="A105" t="s">
        <v>1207</v>
      </c>
      <c r="C105" t="s">
        <v>1147</v>
      </c>
      <c r="E105" t="s">
        <v>106</v>
      </c>
    </row>
    <row r="106" spans="1:5">
      <c r="A106" t="s">
        <v>1208</v>
      </c>
      <c r="C106" t="s">
        <v>1147</v>
      </c>
      <c r="E106" t="s">
        <v>106</v>
      </c>
    </row>
    <row r="107" spans="1:5">
      <c r="A107" t="s">
        <v>1209</v>
      </c>
      <c r="C107" t="s">
        <v>1147</v>
      </c>
      <c r="E107" t="s">
        <v>106</v>
      </c>
    </row>
    <row r="108" spans="1:5">
      <c r="A108" t="s">
        <v>1210</v>
      </c>
      <c r="C108" t="s">
        <v>1147</v>
      </c>
      <c r="E108" t="s">
        <v>106</v>
      </c>
    </row>
    <row r="109" spans="1:5">
      <c r="A109" t="s">
        <v>1211</v>
      </c>
      <c r="C109" t="s">
        <v>1147</v>
      </c>
      <c r="E109" t="s">
        <v>106</v>
      </c>
    </row>
    <row r="110" spans="1:5">
      <c r="A110" t="s">
        <v>1212</v>
      </c>
      <c r="C110" t="s">
        <v>1147</v>
      </c>
      <c r="E110" t="s">
        <v>106</v>
      </c>
    </row>
    <row r="111" spans="1:5">
      <c r="A111" t="s">
        <v>1213</v>
      </c>
      <c r="C111" t="s">
        <v>1147</v>
      </c>
      <c r="E111" t="s">
        <v>106</v>
      </c>
    </row>
    <row r="112" spans="1:5">
      <c r="A112" t="s">
        <v>1214</v>
      </c>
      <c r="C112" t="s">
        <v>1147</v>
      </c>
      <c r="E112" t="s">
        <v>106</v>
      </c>
    </row>
    <row r="113" spans="1:5">
      <c r="A113" t="s">
        <v>1215</v>
      </c>
      <c r="C113" t="s">
        <v>1147</v>
      </c>
      <c r="E113" t="s">
        <v>106</v>
      </c>
    </row>
    <row r="114" spans="1:5">
      <c r="A114" t="s">
        <v>1216</v>
      </c>
      <c r="C114" t="s">
        <v>1147</v>
      </c>
      <c r="E114" t="s">
        <v>106</v>
      </c>
    </row>
    <row r="115" spans="1:5">
      <c r="A115" t="s">
        <v>1217</v>
      </c>
      <c r="C115" t="s">
        <v>1147</v>
      </c>
      <c r="E115" t="s">
        <v>106</v>
      </c>
    </row>
    <row r="116" spans="1:5">
      <c r="A116" t="s">
        <v>1218</v>
      </c>
      <c r="C116" t="s">
        <v>1147</v>
      </c>
      <c r="E116" t="s">
        <v>106</v>
      </c>
    </row>
    <row r="117" spans="1:5">
      <c r="A117" t="s">
        <v>1219</v>
      </c>
      <c r="C117" t="s">
        <v>1147</v>
      </c>
      <c r="E117" t="s">
        <v>106</v>
      </c>
    </row>
    <row r="118" spans="1:5">
      <c r="A118" t="s">
        <v>1220</v>
      </c>
      <c r="C118" t="s">
        <v>1147</v>
      </c>
      <c r="E118" t="s">
        <v>106</v>
      </c>
    </row>
    <row r="119" spans="1:5">
      <c r="A119" t="s">
        <v>1221</v>
      </c>
      <c r="C119" t="s">
        <v>1147</v>
      </c>
      <c r="E119" t="s">
        <v>106</v>
      </c>
    </row>
    <row r="120" spans="1:5">
      <c r="A120" t="s">
        <v>1222</v>
      </c>
      <c r="C120" t="s">
        <v>1147</v>
      </c>
      <c r="E120" t="s">
        <v>106</v>
      </c>
    </row>
    <row r="121" spans="1:5">
      <c r="A121" t="s">
        <v>1223</v>
      </c>
      <c r="C121" t="s">
        <v>1147</v>
      </c>
      <c r="E121" t="s">
        <v>106</v>
      </c>
    </row>
    <row r="122" spans="1:5">
      <c r="A122" t="s">
        <v>1224</v>
      </c>
      <c r="C122" t="s">
        <v>1147</v>
      </c>
      <c r="E122" t="s">
        <v>106</v>
      </c>
    </row>
    <row r="123" spans="1:5">
      <c r="A123" t="s">
        <v>1225</v>
      </c>
      <c r="C123" t="s">
        <v>1147</v>
      </c>
      <c r="E123" t="s">
        <v>106</v>
      </c>
    </row>
    <row r="124" spans="1:5">
      <c r="A124" t="s">
        <v>1226</v>
      </c>
      <c r="C124" t="s">
        <v>1147</v>
      </c>
      <c r="E124" t="s">
        <v>106</v>
      </c>
    </row>
    <row r="125" spans="1:5">
      <c r="A125" t="s">
        <v>1227</v>
      </c>
      <c r="C125" t="s">
        <v>1147</v>
      </c>
      <c r="E125" t="s">
        <v>106</v>
      </c>
    </row>
    <row r="126" spans="1:5">
      <c r="A126" t="s">
        <v>1228</v>
      </c>
      <c r="C126" t="s">
        <v>1147</v>
      </c>
      <c r="E126" t="s">
        <v>106</v>
      </c>
    </row>
    <row r="127" spans="1:5">
      <c r="A127" t="s">
        <v>1229</v>
      </c>
      <c r="C127" t="s">
        <v>1147</v>
      </c>
      <c r="E127" t="s">
        <v>106</v>
      </c>
    </row>
    <row r="128" spans="1:5">
      <c r="A128" t="s">
        <v>1230</v>
      </c>
      <c r="C128" t="s">
        <v>1147</v>
      </c>
      <c r="E128" t="s">
        <v>106</v>
      </c>
    </row>
    <row r="129" spans="1:5">
      <c r="A129" t="s">
        <v>1231</v>
      </c>
      <c r="C129" t="s">
        <v>1147</v>
      </c>
      <c r="E129" t="s">
        <v>106</v>
      </c>
    </row>
    <row r="130" spans="1:5">
      <c r="A130" t="s">
        <v>1232</v>
      </c>
      <c r="C130" t="s">
        <v>1147</v>
      </c>
      <c r="E130" t="s">
        <v>106</v>
      </c>
    </row>
    <row r="131" spans="1:5">
      <c r="A131" t="s">
        <v>1233</v>
      </c>
      <c r="C131" t="s">
        <v>1147</v>
      </c>
      <c r="E131" t="s">
        <v>106</v>
      </c>
    </row>
    <row r="132" spans="1:5">
      <c r="A132" t="s">
        <v>1234</v>
      </c>
      <c r="C132" t="s">
        <v>1147</v>
      </c>
      <c r="E132" t="s">
        <v>106</v>
      </c>
    </row>
    <row r="133" spans="1:5">
      <c r="A133" t="s">
        <v>1235</v>
      </c>
      <c r="C133" t="s">
        <v>1147</v>
      </c>
      <c r="E133" t="s">
        <v>106</v>
      </c>
    </row>
    <row r="134" spans="1:5">
      <c r="A134" t="s">
        <v>1236</v>
      </c>
      <c r="C134" t="s">
        <v>1147</v>
      </c>
      <c r="E134" t="s">
        <v>106</v>
      </c>
    </row>
    <row r="135" spans="1:5">
      <c r="A135" t="s">
        <v>1237</v>
      </c>
      <c r="C135" t="s">
        <v>1147</v>
      </c>
      <c r="E135" t="s">
        <v>106</v>
      </c>
    </row>
    <row r="136" spans="1:5">
      <c r="A136" t="s">
        <v>1238</v>
      </c>
      <c r="C136" t="s">
        <v>1147</v>
      </c>
      <c r="E136" t="s">
        <v>106</v>
      </c>
    </row>
    <row r="137" spans="1:5">
      <c r="A137" t="s">
        <v>1239</v>
      </c>
      <c r="C137" t="s">
        <v>1147</v>
      </c>
      <c r="E137" t="s">
        <v>106</v>
      </c>
    </row>
    <row r="138" spans="1:5">
      <c r="A138" t="s">
        <v>1240</v>
      </c>
      <c r="C138" t="s">
        <v>1147</v>
      </c>
      <c r="E138" t="s">
        <v>106</v>
      </c>
    </row>
    <row r="139" spans="1:5">
      <c r="A139" t="s">
        <v>1241</v>
      </c>
      <c r="C139" t="s">
        <v>1147</v>
      </c>
      <c r="E139" t="s">
        <v>106</v>
      </c>
    </row>
    <row r="140" spans="1:5">
      <c r="A140" t="s">
        <v>1242</v>
      </c>
      <c r="C140" t="s">
        <v>1147</v>
      </c>
      <c r="E140" t="s">
        <v>106</v>
      </c>
    </row>
    <row r="141" spans="1:5">
      <c r="A141" t="s">
        <v>1243</v>
      </c>
      <c r="C141" t="s">
        <v>1147</v>
      </c>
      <c r="E141" t="s">
        <v>106</v>
      </c>
    </row>
    <row r="142" spans="1:5">
      <c r="A142" t="s">
        <v>1244</v>
      </c>
      <c r="C142" t="s">
        <v>1147</v>
      </c>
      <c r="E142" t="s">
        <v>106</v>
      </c>
    </row>
    <row r="143" spans="1:5">
      <c r="A143" t="s">
        <v>1245</v>
      </c>
      <c r="C143" t="s">
        <v>1147</v>
      </c>
      <c r="E143" t="s">
        <v>106</v>
      </c>
    </row>
    <row r="144" spans="1:5">
      <c r="A144" t="s">
        <v>1246</v>
      </c>
      <c r="C144" t="s">
        <v>1147</v>
      </c>
      <c r="E144" t="s">
        <v>106</v>
      </c>
    </row>
    <row r="145" spans="1:5">
      <c r="A145" t="s">
        <v>1247</v>
      </c>
      <c r="C145" t="s">
        <v>1147</v>
      </c>
      <c r="E145" t="s">
        <v>106</v>
      </c>
    </row>
    <row r="146" spans="1:5">
      <c r="A146" t="s">
        <v>1248</v>
      </c>
      <c r="C146" t="s">
        <v>1147</v>
      </c>
      <c r="E146" t="s">
        <v>106</v>
      </c>
    </row>
    <row r="147" spans="1:5">
      <c r="A147" t="s">
        <v>1249</v>
      </c>
      <c r="C147" t="s">
        <v>1147</v>
      </c>
      <c r="E147" t="s">
        <v>106</v>
      </c>
    </row>
    <row r="148" spans="1:5">
      <c r="A148" t="s">
        <v>1250</v>
      </c>
      <c r="C148" t="s">
        <v>1147</v>
      </c>
      <c r="E148" t="s">
        <v>106</v>
      </c>
    </row>
    <row r="149" spans="1:5">
      <c r="A149" t="s">
        <v>1251</v>
      </c>
      <c r="C149" t="s">
        <v>1147</v>
      </c>
      <c r="E149" t="s">
        <v>106</v>
      </c>
    </row>
    <row r="150" spans="1:5">
      <c r="A150" t="s">
        <v>1252</v>
      </c>
      <c r="C150" t="s">
        <v>1147</v>
      </c>
      <c r="E150" t="s">
        <v>106</v>
      </c>
    </row>
    <row r="151" spans="1:5">
      <c r="A151" t="s">
        <v>1253</v>
      </c>
      <c r="C151" t="s">
        <v>1147</v>
      </c>
      <c r="E151" t="s">
        <v>106</v>
      </c>
    </row>
    <row r="152" spans="1:5">
      <c r="A152" t="s">
        <v>1254</v>
      </c>
      <c r="C152" t="s">
        <v>1147</v>
      </c>
      <c r="E152" t="s">
        <v>106</v>
      </c>
    </row>
    <row r="153" spans="1:5">
      <c r="A153" t="s">
        <v>1255</v>
      </c>
      <c r="C153" t="s">
        <v>1147</v>
      </c>
      <c r="E153" t="s">
        <v>106</v>
      </c>
    </row>
    <row r="154" spans="1:5">
      <c r="A154" t="s">
        <v>1256</v>
      </c>
      <c r="C154" t="s">
        <v>1147</v>
      </c>
      <c r="E154" t="s">
        <v>106</v>
      </c>
    </row>
    <row r="155" spans="1:5">
      <c r="A155" t="s">
        <v>1257</v>
      </c>
      <c r="C155" t="s">
        <v>1147</v>
      </c>
      <c r="E155" t="s">
        <v>106</v>
      </c>
    </row>
    <row r="156" spans="1:5">
      <c r="A156" t="s">
        <v>1258</v>
      </c>
      <c r="C156" t="s">
        <v>1147</v>
      </c>
      <c r="E156" t="s">
        <v>106</v>
      </c>
    </row>
    <row r="157" spans="1:5">
      <c r="A157" t="s">
        <v>1259</v>
      </c>
      <c r="C157" t="s">
        <v>1147</v>
      </c>
      <c r="E157" t="s">
        <v>106</v>
      </c>
    </row>
    <row r="158" spans="1:5">
      <c r="A158" t="s">
        <v>1260</v>
      </c>
      <c r="C158" t="s">
        <v>1147</v>
      </c>
      <c r="E158" t="s">
        <v>106</v>
      </c>
    </row>
    <row r="159" spans="1:5">
      <c r="A159" t="s">
        <v>1261</v>
      </c>
      <c r="C159" t="s">
        <v>1147</v>
      </c>
      <c r="E159" t="s">
        <v>106</v>
      </c>
    </row>
    <row r="160" spans="1:5">
      <c r="A160" t="s">
        <v>1262</v>
      </c>
      <c r="C160" t="s">
        <v>1147</v>
      </c>
      <c r="E160" t="s">
        <v>106</v>
      </c>
    </row>
    <row r="161" spans="1:5">
      <c r="A161" t="s">
        <v>1263</v>
      </c>
      <c r="C161" t="s">
        <v>1147</v>
      </c>
      <c r="E161" t="s">
        <v>106</v>
      </c>
    </row>
    <row r="162" spans="1:5">
      <c r="A162" t="s">
        <v>1264</v>
      </c>
      <c r="C162" t="s">
        <v>1147</v>
      </c>
      <c r="E162" t="s">
        <v>106</v>
      </c>
    </row>
    <row r="163" spans="1:5">
      <c r="A163" t="s">
        <v>1265</v>
      </c>
      <c r="C163" t="s">
        <v>1147</v>
      </c>
      <c r="E163" t="s">
        <v>106</v>
      </c>
    </row>
    <row r="164" spans="1:5">
      <c r="A164" t="s">
        <v>1266</v>
      </c>
      <c r="C164" t="s">
        <v>1147</v>
      </c>
      <c r="E164" t="s">
        <v>106</v>
      </c>
    </row>
    <row r="165" spans="1:5">
      <c r="A165" t="s">
        <v>1267</v>
      </c>
      <c r="C165" t="s">
        <v>1147</v>
      </c>
      <c r="E165" t="s">
        <v>106</v>
      </c>
    </row>
    <row r="166" spans="1:5">
      <c r="A166" t="s">
        <v>1268</v>
      </c>
      <c r="C166" t="s">
        <v>1147</v>
      </c>
      <c r="E166" t="s">
        <v>106</v>
      </c>
    </row>
    <row r="167" spans="1:5">
      <c r="A167" t="s">
        <v>1269</v>
      </c>
      <c r="C167" t="s">
        <v>1147</v>
      </c>
      <c r="E167" t="s">
        <v>106</v>
      </c>
    </row>
    <row r="168" spans="1:5">
      <c r="A168" t="s">
        <v>1270</v>
      </c>
      <c r="C168" t="s">
        <v>1147</v>
      </c>
      <c r="E168" t="s">
        <v>106</v>
      </c>
    </row>
    <row r="169" spans="1:5">
      <c r="A169" t="s">
        <v>1271</v>
      </c>
      <c r="C169" t="s">
        <v>1147</v>
      </c>
      <c r="E169" t="s">
        <v>106</v>
      </c>
    </row>
    <row r="170" spans="1:5">
      <c r="A170" t="s">
        <v>1272</v>
      </c>
      <c r="C170" t="s">
        <v>1147</v>
      </c>
      <c r="E170" t="s">
        <v>106</v>
      </c>
    </row>
    <row r="171" spans="1:5">
      <c r="A171" t="s">
        <v>1273</v>
      </c>
      <c r="C171" t="s">
        <v>1147</v>
      </c>
      <c r="E171" t="s">
        <v>106</v>
      </c>
    </row>
    <row r="172" spans="1:5">
      <c r="A172" t="s">
        <v>1274</v>
      </c>
      <c r="C172" t="s">
        <v>1147</v>
      </c>
      <c r="E172" t="s">
        <v>106</v>
      </c>
    </row>
    <row r="173" spans="1:5">
      <c r="A173" t="s">
        <v>1275</v>
      </c>
      <c r="C173" t="s">
        <v>1147</v>
      </c>
      <c r="E173" t="s">
        <v>106</v>
      </c>
    </row>
    <row r="174" spans="1:5">
      <c r="A174" t="s">
        <v>1276</v>
      </c>
      <c r="C174" t="s">
        <v>1147</v>
      </c>
      <c r="E174" t="s">
        <v>106</v>
      </c>
    </row>
    <row r="175" spans="1:5">
      <c r="A175" t="s">
        <v>1277</v>
      </c>
      <c r="C175" t="s">
        <v>1147</v>
      </c>
      <c r="E175" t="s">
        <v>106</v>
      </c>
    </row>
    <row r="176" spans="1:5">
      <c r="A176" t="s">
        <v>1278</v>
      </c>
      <c r="C176" t="s">
        <v>1147</v>
      </c>
      <c r="E176" t="s">
        <v>106</v>
      </c>
    </row>
    <row r="177" spans="1:5">
      <c r="A177" t="s">
        <v>1279</v>
      </c>
      <c r="C177" t="s">
        <v>1147</v>
      </c>
      <c r="E177" t="s">
        <v>106</v>
      </c>
    </row>
    <row r="178" spans="1:5">
      <c r="A178" t="s">
        <v>1280</v>
      </c>
      <c r="C178" t="s">
        <v>1147</v>
      </c>
      <c r="E178" t="s">
        <v>106</v>
      </c>
    </row>
    <row r="179" spans="1:5">
      <c r="A179" t="s">
        <v>1281</v>
      </c>
      <c r="C179" t="s">
        <v>1147</v>
      </c>
      <c r="E179" t="s">
        <v>106</v>
      </c>
    </row>
    <row r="180" spans="1:5">
      <c r="A180" t="s">
        <v>1282</v>
      </c>
      <c r="C180" t="s">
        <v>1147</v>
      </c>
      <c r="E180" t="s">
        <v>106</v>
      </c>
    </row>
    <row r="181" spans="1:5">
      <c r="A181" t="s">
        <v>1283</v>
      </c>
      <c r="C181" t="s">
        <v>1147</v>
      </c>
      <c r="E181" t="s">
        <v>106</v>
      </c>
    </row>
    <row r="182" spans="1:5">
      <c r="A182" t="s">
        <v>1284</v>
      </c>
      <c r="C182" t="s">
        <v>1147</v>
      </c>
      <c r="E182" t="s">
        <v>106</v>
      </c>
    </row>
    <row r="183" spans="1:5">
      <c r="A183" t="s">
        <v>1285</v>
      </c>
      <c r="C183" t="s">
        <v>1147</v>
      </c>
      <c r="E183" t="s">
        <v>106</v>
      </c>
    </row>
    <row r="184" spans="1:5">
      <c r="A184" t="s">
        <v>1286</v>
      </c>
      <c r="C184" t="s">
        <v>1147</v>
      </c>
      <c r="E184" t="s">
        <v>106</v>
      </c>
    </row>
    <row r="185" spans="1:5">
      <c r="A185" t="s">
        <v>1287</v>
      </c>
      <c r="C185" t="s">
        <v>1147</v>
      </c>
      <c r="E185" t="s">
        <v>106</v>
      </c>
    </row>
    <row r="186" spans="1:5">
      <c r="A186" t="s">
        <v>1288</v>
      </c>
      <c r="C186" t="s">
        <v>1147</v>
      </c>
      <c r="E186" t="s">
        <v>106</v>
      </c>
    </row>
    <row r="187" spans="1:5">
      <c r="A187" t="s">
        <v>1289</v>
      </c>
      <c r="C187" t="s">
        <v>1147</v>
      </c>
      <c r="E187" t="s">
        <v>106</v>
      </c>
    </row>
    <row r="188" spans="1:5">
      <c r="A188" t="s">
        <v>1290</v>
      </c>
      <c r="C188" t="s">
        <v>1147</v>
      </c>
      <c r="E188" t="s">
        <v>106</v>
      </c>
    </row>
    <row r="189" spans="1:5">
      <c r="A189" t="s">
        <v>1291</v>
      </c>
      <c r="C189" t="s">
        <v>1147</v>
      </c>
      <c r="E189" t="s">
        <v>106</v>
      </c>
    </row>
    <row r="190" spans="1:5">
      <c r="A190" t="s">
        <v>1292</v>
      </c>
      <c r="C190" t="s">
        <v>1147</v>
      </c>
      <c r="E190" t="s">
        <v>106</v>
      </c>
    </row>
    <row r="191" spans="1:5">
      <c r="A191" t="s">
        <v>1293</v>
      </c>
      <c r="C191" t="s">
        <v>1147</v>
      </c>
      <c r="E191" t="s">
        <v>106</v>
      </c>
    </row>
    <row r="192" spans="1:5">
      <c r="A192" t="s">
        <v>1294</v>
      </c>
      <c r="C192" t="s">
        <v>1147</v>
      </c>
      <c r="E192" t="s">
        <v>106</v>
      </c>
    </row>
    <row r="193" spans="1:5">
      <c r="A193" t="s">
        <v>1295</v>
      </c>
      <c r="C193" t="s">
        <v>1147</v>
      </c>
      <c r="E193" t="s">
        <v>106</v>
      </c>
    </row>
    <row r="194" spans="1:5">
      <c r="A194" t="s">
        <v>1296</v>
      </c>
      <c r="C194" t="s">
        <v>1147</v>
      </c>
      <c r="E194" t="s">
        <v>106</v>
      </c>
    </row>
    <row r="195" spans="1:5">
      <c r="A195" t="s">
        <v>1297</v>
      </c>
      <c r="C195" t="s">
        <v>1147</v>
      </c>
      <c r="E195" t="s">
        <v>106</v>
      </c>
    </row>
    <row r="196" spans="1:5">
      <c r="A196" t="s">
        <v>1298</v>
      </c>
      <c r="C196" t="s">
        <v>1147</v>
      </c>
      <c r="E196" t="s">
        <v>106</v>
      </c>
    </row>
    <row r="197" spans="1:5">
      <c r="A197" t="s">
        <v>1299</v>
      </c>
      <c r="C197" t="s">
        <v>1147</v>
      </c>
      <c r="E197" t="s">
        <v>106</v>
      </c>
    </row>
    <row r="198" spans="1:5">
      <c r="A198" t="s">
        <v>1300</v>
      </c>
      <c r="C198" t="s">
        <v>1147</v>
      </c>
      <c r="E198" t="s">
        <v>106</v>
      </c>
    </row>
    <row r="199" spans="1:5">
      <c r="A199" t="s">
        <v>1301</v>
      </c>
      <c r="C199" t="s">
        <v>1147</v>
      </c>
      <c r="E199" t="s">
        <v>106</v>
      </c>
    </row>
    <row r="200" spans="1:5">
      <c r="A200" t="s">
        <v>1302</v>
      </c>
      <c r="C200" t="s">
        <v>1147</v>
      </c>
      <c r="E200" t="s">
        <v>106</v>
      </c>
    </row>
    <row r="201" spans="1:5">
      <c r="A201" t="s">
        <v>1303</v>
      </c>
      <c r="C201" t="s">
        <v>1147</v>
      </c>
      <c r="E201" t="s">
        <v>106</v>
      </c>
    </row>
    <row r="202" spans="1:5">
      <c r="A202" t="s">
        <v>1304</v>
      </c>
      <c r="C202" t="s">
        <v>1147</v>
      </c>
      <c r="E202" t="s">
        <v>106</v>
      </c>
    </row>
    <row r="203" spans="1:5">
      <c r="A203" t="s">
        <v>1305</v>
      </c>
      <c r="C203" t="s">
        <v>1147</v>
      </c>
      <c r="E203" t="s">
        <v>106</v>
      </c>
    </row>
    <row r="204" spans="1:5">
      <c r="A204" t="s">
        <v>1306</v>
      </c>
      <c r="C204" t="s">
        <v>1147</v>
      </c>
      <c r="E204" t="s">
        <v>106</v>
      </c>
    </row>
    <row r="205" spans="1:5">
      <c r="A205" t="s">
        <v>1307</v>
      </c>
      <c r="C205" t="s">
        <v>1147</v>
      </c>
      <c r="E205" t="s">
        <v>106</v>
      </c>
    </row>
    <row r="206" spans="1:5">
      <c r="A206" t="s">
        <v>1308</v>
      </c>
      <c r="C206" t="s">
        <v>1147</v>
      </c>
      <c r="E206" t="s">
        <v>106</v>
      </c>
    </row>
    <row r="207" spans="1:5">
      <c r="A207" t="s">
        <v>1309</v>
      </c>
      <c r="C207" t="s">
        <v>1147</v>
      </c>
      <c r="E207" t="s">
        <v>106</v>
      </c>
    </row>
    <row r="208" spans="1:5">
      <c r="A208" t="s">
        <v>1310</v>
      </c>
      <c r="C208" t="s">
        <v>1147</v>
      </c>
      <c r="E208" t="s">
        <v>106</v>
      </c>
    </row>
    <row r="209" spans="1:5">
      <c r="A209" t="s">
        <v>1311</v>
      </c>
      <c r="C209" t="s">
        <v>1147</v>
      </c>
      <c r="E209" t="s">
        <v>106</v>
      </c>
    </row>
    <row r="210" spans="1:5">
      <c r="A210" t="s">
        <v>1312</v>
      </c>
      <c r="C210" t="s">
        <v>1147</v>
      </c>
      <c r="E210" t="s">
        <v>106</v>
      </c>
    </row>
    <row r="211" spans="1:5">
      <c r="A211" t="s">
        <v>1313</v>
      </c>
      <c r="C211" t="s">
        <v>1147</v>
      </c>
      <c r="E211" t="s">
        <v>106</v>
      </c>
    </row>
    <row r="212" spans="1:5">
      <c r="A212" t="s">
        <v>1314</v>
      </c>
      <c r="C212" t="s">
        <v>1147</v>
      </c>
      <c r="E212" t="s">
        <v>106</v>
      </c>
    </row>
    <row r="213" spans="1:5">
      <c r="A213" t="s">
        <v>1315</v>
      </c>
      <c r="C213" t="s">
        <v>1147</v>
      </c>
      <c r="E213" t="s">
        <v>106</v>
      </c>
    </row>
    <row r="214" spans="1:5">
      <c r="A214" t="s">
        <v>1316</v>
      </c>
      <c r="C214" t="s">
        <v>1147</v>
      </c>
      <c r="E214" t="s">
        <v>106</v>
      </c>
    </row>
    <row r="215" spans="1:5">
      <c r="A215" t="s">
        <v>1317</v>
      </c>
      <c r="C215" t="s">
        <v>1147</v>
      </c>
      <c r="E215" t="s">
        <v>106</v>
      </c>
    </row>
    <row r="216" spans="1:5">
      <c r="A216" t="s">
        <v>1318</v>
      </c>
      <c r="C216" t="s">
        <v>1147</v>
      </c>
      <c r="E216" t="s">
        <v>106</v>
      </c>
    </row>
    <row r="217" spans="1:5">
      <c r="A217" t="s">
        <v>1319</v>
      </c>
      <c r="C217" t="s">
        <v>1147</v>
      </c>
      <c r="E217" t="s">
        <v>106</v>
      </c>
    </row>
    <row r="218" spans="1:5">
      <c r="A218" t="s">
        <v>1320</v>
      </c>
      <c r="C218" t="s">
        <v>1147</v>
      </c>
      <c r="E218" t="s">
        <v>106</v>
      </c>
    </row>
    <row r="219" spans="1:5">
      <c r="A219" t="s">
        <v>1321</v>
      </c>
      <c r="C219" t="s">
        <v>1147</v>
      </c>
      <c r="E219" t="s">
        <v>106</v>
      </c>
    </row>
    <row r="220" spans="1:5">
      <c r="A220" t="s">
        <v>1322</v>
      </c>
      <c r="C220" t="s">
        <v>1147</v>
      </c>
      <c r="E220" t="s">
        <v>106</v>
      </c>
    </row>
    <row r="221" spans="1:5">
      <c r="A221" t="s">
        <v>1323</v>
      </c>
      <c r="C221" t="s">
        <v>1147</v>
      </c>
      <c r="E221" t="s">
        <v>106</v>
      </c>
    </row>
    <row r="222" spans="1:5">
      <c r="A222" t="s">
        <v>1324</v>
      </c>
      <c r="C222" t="s">
        <v>1147</v>
      </c>
      <c r="E222" t="s">
        <v>106</v>
      </c>
    </row>
    <row r="223" spans="1:5">
      <c r="A223" t="s">
        <v>1325</v>
      </c>
      <c r="C223" t="s">
        <v>1147</v>
      </c>
      <c r="E223" t="s">
        <v>106</v>
      </c>
    </row>
    <row r="224" spans="1:5">
      <c r="A224" t="s">
        <v>1326</v>
      </c>
      <c r="C224" t="s">
        <v>1147</v>
      </c>
      <c r="E224" t="s">
        <v>106</v>
      </c>
    </row>
    <row r="225" spans="1:5">
      <c r="A225" t="s">
        <v>1327</v>
      </c>
      <c r="C225" t="s">
        <v>1147</v>
      </c>
      <c r="E225" t="s">
        <v>106</v>
      </c>
    </row>
    <row r="226" spans="1:5">
      <c r="A226" t="s">
        <v>1328</v>
      </c>
      <c r="C226" t="s">
        <v>1147</v>
      </c>
      <c r="E226" t="s">
        <v>106</v>
      </c>
    </row>
    <row r="227" spans="1:5">
      <c r="A227" t="s">
        <v>1329</v>
      </c>
      <c r="C227" t="s">
        <v>1147</v>
      </c>
      <c r="E227" t="s">
        <v>106</v>
      </c>
    </row>
    <row r="228" spans="1:5">
      <c r="A228" t="s">
        <v>1330</v>
      </c>
      <c r="C228" t="s">
        <v>1147</v>
      </c>
      <c r="E228" t="s">
        <v>106</v>
      </c>
    </row>
    <row r="229" spans="1:5">
      <c r="A229" t="s">
        <v>1331</v>
      </c>
      <c r="C229" t="s">
        <v>1147</v>
      </c>
      <c r="E229" t="s">
        <v>106</v>
      </c>
    </row>
    <row r="230" spans="1:5">
      <c r="A230" t="s">
        <v>1332</v>
      </c>
      <c r="C230" t="s">
        <v>1147</v>
      </c>
      <c r="E230" t="s">
        <v>106</v>
      </c>
    </row>
    <row r="231" spans="1:5">
      <c r="A231" t="s">
        <v>1333</v>
      </c>
      <c r="C231" t="s">
        <v>1147</v>
      </c>
      <c r="E231" t="s">
        <v>106</v>
      </c>
    </row>
    <row r="232" spans="1:5">
      <c r="A232" t="s">
        <v>1334</v>
      </c>
      <c r="C232" t="s">
        <v>1147</v>
      </c>
      <c r="E232" t="s">
        <v>106</v>
      </c>
    </row>
    <row r="233" spans="1:5">
      <c r="A233" t="s">
        <v>1335</v>
      </c>
      <c r="C233" t="s">
        <v>1147</v>
      </c>
      <c r="E233" t="s">
        <v>106</v>
      </c>
    </row>
    <row r="234" spans="1:5">
      <c r="A234" t="s">
        <v>1336</v>
      </c>
      <c r="C234" t="s">
        <v>1147</v>
      </c>
      <c r="E234" t="s">
        <v>106</v>
      </c>
    </row>
    <row r="235" spans="1:5">
      <c r="A235" t="s">
        <v>1337</v>
      </c>
      <c r="C235" t="s">
        <v>1147</v>
      </c>
      <c r="E235" t="s">
        <v>106</v>
      </c>
    </row>
    <row r="236" spans="1:5">
      <c r="A236" t="s">
        <v>1338</v>
      </c>
      <c r="C236" t="s">
        <v>1147</v>
      </c>
      <c r="E236" t="s">
        <v>106</v>
      </c>
    </row>
    <row r="237" spans="1:5">
      <c r="A237" t="s">
        <v>1339</v>
      </c>
      <c r="C237" t="s">
        <v>1147</v>
      </c>
      <c r="E237" t="s">
        <v>106</v>
      </c>
    </row>
    <row r="238" spans="1:5">
      <c r="A238" t="s">
        <v>1340</v>
      </c>
      <c r="C238" t="s">
        <v>1147</v>
      </c>
      <c r="E238" t="s">
        <v>106</v>
      </c>
    </row>
    <row r="239" spans="1:5">
      <c r="A239" t="s">
        <v>1341</v>
      </c>
      <c r="C239" t="s">
        <v>1147</v>
      </c>
      <c r="E239" t="s">
        <v>106</v>
      </c>
    </row>
    <row r="240" spans="1:5">
      <c r="A240" t="s">
        <v>1342</v>
      </c>
      <c r="C240" t="s">
        <v>1147</v>
      </c>
      <c r="E240" t="s">
        <v>106</v>
      </c>
    </row>
    <row r="241" spans="1:5">
      <c r="A241" t="s">
        <v>1343</v>
      </c>
      <c r="C241" t="s">
        <v>1147</v>
      </c>
      <c r="E241" t="s">
        <v>106</v>
      </c>
    </row>
    <row r="242" spans="1:5">
      <c r="A242" t="s">
        <v>1344</v>
      </c>
      <c r="C242" t="s">
        <v>1147</v>
      </c>
      <c r="E242" t="s">
        <v>106</v>
      </c>
    </row>
    <row r="243" spans="1:5">
      <c r="A243" t="s">
        <v>1345</v>
      </c>
      <c r="C243" t="s">
        <v>1147</v>
      </c>
      <c r="E243" t="s">
        <v>106</v>
      </c>
    </row>
    <row r="244" spans="1:5">
      <c r="A244" t="s">
        <v>1346</v>
      </c>
      <c r="C244" t="s">
        <v>1147</v>
      </c>
      <c r="E244" t="s">
        <v>106</v>
      </c>
    </row>
    <row r="245" spans="1:5">
      <c r="A245" t="s">
        <v>1347</v>
      </c>
      <c r="C245" t="s">
        <v>1147</v>
      </c>
      <c r="E245" t="s">
        <v>106</v>
      </c>
    </row>
    <row r="246" spans="1:5">
      <c r="A246" t="s">
        <v>1348</v>
      </c>
      <c r="C246" t="s">
        <v>1147</v>
      </c>
      <c r="E246" t="s">
        <v>106</v>
      </c>
    </row>
    <row r="247" spans="1:5">
      <c r="A247" t="s">
        <v>1349</v>
      </c>
      <c r="C247" t="s">
        <v>1147</v>
      </c>
      <c r="E247" t="s">
        <v>106</v>
      </c>
    </row>
    <row r="248" spans="1:5">
      <c r="A248" t="s">
        <v>1350</v>
      </c>
      <c r="C248" t="s">
        <v>1147</v>
      </c>
      <c r="E248" t="s">
        <v>106</v>
      </c>
    </row>
    <row r="249" spans="1:5">
      <c r="A249" t="s">
        <v>1351</v>
      </c>
      <c r="C249" t="s">
        <v>1147</v>
      </c>
      <c r="E249" t="s">
        <v>106</v>
      </c>
    </row>
    <row r="250" spans="1:5">
      <c r="A250" t="s">
        <v>1352</v>
      </c>
      <c r="C250" t="s">
        <v>1147</v>
      </c>
      <c r="E250" t="s">
        <v>106</v>
      </c>
    </row>
    <row r="251" spans="1:5">
      <c r="A251" t="s">
        <v>1353</v>
      </c>
      <c r="C251" t="s">
        <v>1147</v>
      </c>
      <c r="E251" t="s">
        <v>106</v>
      </c>
    </row>
    <row r="252" spans="1:5">
      <c r="A252" t="s">
        <v>1354</v>
      </c>
      <c r="C252" t="s">
        <v>1147</v>
      </c>
      <c r="E252" t="s">
        <v>106</v>
      </c>
    </row>
    <row r="253" spans="1:5">
      <c r="A253" t="s">
        <v>1355</v>
      </c>
      <c r="C253" t="s">
        <v>1147</v>
      </c>
      <c r="E253" t="s">
        <v>106</v>
      </c>
    </row>
    <row r="254" spans="1:5">
      <c r="A254" t="s">
        <v>1356</v>
      </c>
      <c r="C254" t="s">
        <v>1147</v>
      </c>
      <c r="E254" t="s">
        <v>106</v>
      </c>
    </row>
    <row r="255" spans="1:5">
      <c r="A255" t="s">
        <v>1357</v>
      </c>
      <c r="C255" t="s">
        <v>1147</v>
      </c>
      <c r="E255" t="s">
        <v>106</v>
      </c>
    </row>
    <row r="256" spans="1:5">
      <c r="A256" t="s">
        <v>1358</v>
      </c>
      <c r="C256" t="s">
        <v>1147</v>
      </c>
      <c r="E256" t="s">
        <v>106</v>
      </c>
    </row>
    <row r="257" spans="1:5">
      <c r="A257" t="s">
        <v>1359</v>
      </c>
      <c r="C257" t="s">
        <v>1147</v>
      </c>
      <c r="E257" t="s">
        <v>106</v>
      </c>
    </row>
    <row r="258" spans="1:5">
      <c r="A258" t="s">
        <v>1360</v>
      </c>
      <c r="C258" t="s">
        <v>1147</v>
      </c>
      <c r="E258" t="s">
        <v>106</v>
      </c>
    </row>
    <row r="259" spans="1:5">
      <c r="A259" t="s">
        <v>1361</v>
      </c>
      <c r="C259" t="s">
        <v>1147</v>
      </c>
      <c r="E259" t="s">
        <v>106</v>
      </c>
    </row>
    <row r="260" spans="1:5">
      <c r="A260" t="s">
        <v>1362</v>
      </c>
      <c r="C260" t="s">
        <v>1147</v>
      </c>
      <c r="E260" t="s">
        <v>106</v>
      </c>
    </row>
    <row r="261" spans="1:5">
      <c r="A261" t="s">
        <v>1363</v>
      </c>
      <c r="C261" t="s">
        <v>1147</v>
      </c>
      <c r="E261" t="s">
        <v>106</v>
      </c>
    </row>
    <row r="262" spans="1:5">
      <c r="A262" t="s">
        <v>1364</v>
      </c>
      <c r="C262" t="s">
        <v>1147</v>
      </c>
      <c r="E262" t="s">
        <v>106</v>
      </c>
    </row>
    <row r="263" spans="1:5">
      <c r="A263" t="s">
        <v>1365</v>
      </c>
      <c r="C263" t="s">
        <v>1147</v>
      </c>
      <c r="E263" t="s">
        <v>106</v>
      </c>
    </row>
    <row r="264" spans="1:5">
      <c r="A264" t="s">
        <v>1366</v>
      </c>
      <c r="C264" t="s">
        <v>1147</v>
      </c>
      <c r="E264" t="s">
        <v>106</v>
      </c>
    </row>
    <row r="265" spans="1:5">
      <c r="A265" t="s">
        <v>1367</v>
      </c>
      <c r="C265" t="s">
        <v>1147</v>
      </c>
      <c r="E265" t="s">
        <v>106</v>
      </c>
    </row>
    <row r="266" spans="1:5">
      <c r="A266" t="s">
        <v>1368</v>
      </c>
      <c r="C266" t="s">
        <v>1147</v>
      </c>
      <c r="E266" t="s">
        <v>106</v>
      </c>
    </row>
    <row r="267" spans="1:5">
      <c r="A267" t="s">
        <v>1369</v>
      </c>
      <c r="C267" t="s">
        <v>1147</v>
      </c>
      <c r="E267" t="s">
        <v>106</v>
      </c>
    </row>
    <row r="268" spans="1:5">
      <c r="A268" t="s">
        <v>1370</v>
      </c>
      <c r="C268" t="s">
        <v>1147</v>
      </c>
      <c r="E268" t="s">
        <v>106</v>
      </c>
    </row>
    <row r="269" spans="1:5">
      <c r="A269" t="s">
        <v>1371</v>
      </c>
      <c r="C269" t="s">
        <v>1147</v>
      </c>
      <c r="E269" t="s">
        <v>106</v>
      </c>
    </row>
    <row r="270" spans="1:5">
      <c r="A270" t="s">
        <v>1372</v>
      </c>
      <c r="C270" t="s">
        <v>1147</v>
      </c>
      <c r="E270" t="s">
        <v>106</v>
      </c>
    </row>
    <row r="271" spans="1:5">
      <c r="A271" t="s">
        <v>1373</v>
      </c>
      <c r="C271" t="s">
        <v>1147</v>
      </c>
      <c r="E271" t="s">
        <v>106</v>
      </c>
    </row>
    <row r="272" spans="1:5">
      <c r="A272" t="s">
        <v>1374</v>
      </c>
      <c r="C272" t="s">
        <v>1147</v>
      </c>
      <c r="E272" t="s">
        <v>106</v>
      </c>
    </row>
    <row r="273" spans="1:5">
      <c r="A273" t="s">
        <v>1375</v>
      </c>
      <c r="C273" t="s">
        <v>1147</v>
      </c>
      <c r="E273" t="s">
        <v>106</v>
      </c>
    </row>
    <row r="274" spans="1:5">
      <c r="A274" t="s">
        <v>1376</v>
      </c>
      <c r="C274" t="s">
        <v>1147</v>
      </c>
      <c r="E274" t="s">
        <v>106</v>
      </c>
    </row>
    <row r="275" spans="1:5">
      <c r="A275" t="s">
        <v>1377</v>
      </c>
      <c r="C275" t="s">
        <v>1147</v>
      </c>
      <c r="E275" t="s">
        <v>106</v>
      </c>
    </row>
    <row r="276" spans="1:5">
      <c r="A276" t="s">
        <v>1378</v>
      </c>
      <c r="C276" t="s">
        <v>1147</v>
      </c>
      <c r="E276" t="s">
        <v>106</v>
      </c>
    </row>
    <row r="277" spans="1:5">
      <c r="A277" t="s">
        <v>1379</v>
      </c>
      <c r="C277" t="s">
        <v>1147</v>
      </c>
      <c r="E277" t="s">
        <v>106</v>
      </c>
    </row>
    <row r="278" spans="1:5">
      <c r="A278" t="s">
        <v>1380</v>
      </c>
      <c r="C278" t="s">
        <v>1147</v>
      </c>
      <c r="E278" t="s">
        <v>106</v>
      </c>
    </row>
    <row r="279" spans="1:5">
      <c r="A279" t="s">
        <v>1381</v>
      </c>
      <c r="C279" t="s">
        <v>1147</v>
      </c>
      <c r="E279" t="s">
        <v>106</v>
      </c>
    </row>
    <row r="280" spans="1:5">
      <c r="A280" t="s">
        <v>1382</v>
      </c>
      <c r="C280" t="s">
        <v>1147</v>
      </c>
      <c r="E280" t="s">
        <v>106</v>
      </c>
    </row>
    <row r="281" spans="1:5">
      <c r="A281" t="s">
        <v>1383</v>
      </c>
      <c r="C281" t="s">
        <v>1147</v>
      </c>
      <c r="E281" t="s">
        <v>106</v>
      </c>
    </row>
    <row r="282" spans="1:5">
      <c r="A282" t="s">
        <v>1384</v>
      </c>
      <c r="C282" t="s">
        <v>1147</v>
      </c>
      <c r="E282" t="s">
        <v>106</v>
      </c>
    </row>
    <row r="283" spans="1:5">
      <c r="A283" t="s">
        <v>1385</v>
      </c>
      <c r="C283" t="s">
        <v>1147</v>
      </c>
      <c r="E283" t="s">
        <v>106</v>
      </c>
    </row>
    <row r="284" spans="1:5">
      <c r="A284" t="s">
        <v>1386</v>
      </c>
      <c r="C284" t="s">
        <v>1147</v>
      </c>
      <c r="E284" t="s">
        <v>106</v>
      </c>
    </row>
    <row r="285" spans="1:5">
      <c r="A285" t="s">
        <v>1387</v>
      </c>
      <c r="C285" t="s">
        <v>1147</v>
      </c>
      <c r="E285" t="s">
        <v>106</v>
      </c>
    </row>
    <row r="286" spans="1:5">
      <c r="A286" t="s">
        <v>1388</v>
      </c>
      <c r="C286" t="s">
        <v>1147</v>
      </c>
      <c r="E286" t="s">
        <v>106</v>
      </c>
    </row>
    <row r="287" spans="1:5">
      <c r="A287" t="s">
        <v>1389</v>
      </c>
      <c r="C287" t="s">
        <v>1147</v>
      </c>
      <c r="E287" t="s">
        <v>106</v>
      </c>
    </row>
    <row r="288" spans="1:5">
      <c r="A288" t="s">
        <v>1390</v>
      </c>
      <c r="C288" t="s">
        <v>1147</v>
      </c>
      <c r="E288" t="s">
        <v>106</v>
      </c>
    </row>
    <row r="289" spans="1:5">
      <c r="A289" t="s">
        <v>1391</v>
      </c>
      <c r="C289" t="s">
        <v>1147</v>
      </c>
      <c r="E289" t="s">
        <v>106</v>
      </c>
    </row>
    <row r="290" spans="1:5">
      <c r="A290" t="s">
        <v>1392</v>
      </c>
      <c r="C290" t="s">
        <v>1147</v>
      </c>
      <c r="E290" t="s">
        <v>106</v>
      </c>
    </row>
    <row r="291" spans="1:5">
      <c r="A291" t="s">
        <v>1393</v>
      </c>
      <c r="C291" t="s">
        <v>1147</v>
      </c>
      <c r="E291" t="s">
        <v>106</v>
      </c>
    </row>
    <row r="292" spans="1:5">
      <c r="A292" t="s">
        <v>1394</v>
      </c>
      <c r="C292" t="s">
        <v>1147</v>
      </c>
      <c r="E292" t="s">
        <v>106</v>
      </c>
    </row>
    <row r="293" spans="1:5">
      <c r="A293" t="s">
        <v>1395</v>
      </c>
      <c r="C293" t="s">
        <v>1147</v>
      </c>
      <c r="E293" t="s">
        <v>106</v>
      </c>
    </row>
    <row r="294" spans="1:5">
      <c r="A294" t="s">
        <v>1396</v>
      </c>
      <c r="C294" t="s">
        <v>1147</v>
      </c>
      <c r="E294" t="s">
        <v>106</v>
      </c>
    </row>
    <row r="295" spans="1:5">
      <c r="A295" t="s">
        <v>1397</v>
      </c>
      <c r="C295" t="s">
        <v>1147</v>
      </c>
      <c r="E295" t="s">
        <v>106</v>
      </c>
    </row>
    <row r="296" spans="1:5">
      <c r="A296" t="s">
        <v>1398</v>
      </c>
      <c r="C296" t="s">
        <v>1147</v>
      </c>
      <c r="E296" t="s">
        <v>106</v>
      </c>
    </row>
    <row r="297" spans="1:5">
      <c r="A297" t="s">
        <v>1399</v>
      </c>
      <c r="C297" t="s">
        <v>1147</v>
      </c>
      <c r="E297" t="s">
        <v>106</v>
      </c>
    </row>
    <row r="298" spans="1:5">
      <c r="A298" t="s">
        <v>1400</v>
      </c>
      <c r="C298" t="s">
        <v>1147</v>
      </c>
      <c r="E298" t="s">
        <v>106</v>
      </c>
    </row>
    <row r="299" spans="1:5">
      <c r="A299" t="s">
        <v>1401</v>
      </c>
      <c r="C299" t="s">
        <v>1147</v>
      </c>
      <c r="E299" t="s">
        <v>106</v>
      </c>
    </row>
    <row r="300" spans="1:5">
      <c r="A300" t="s">
        <v>1402</v>
      </c>
      <c r="C300" t="s">
        <v>1147</v>
      </c>
      <c r="E300" t="s">
        <v>106</v>
      </c>
    </row>
    <row r="301" spans="1:5">
      <c r="A301" t="s">
        <v>1403</v>
      </c>
      <c r="C301" t="s">
        <v>1147</v>
      </c>
      <c r="E301" t="s">
        <v>106</v>
      </c>
    </row>
    <row r="302" spans="1:5">
      <c r="A302" t="s">
        <v>1404</v>
      </c>
      <c r="C302" t="s">
        <v>1147</v>
      </c>
      <c r="E302" t="s">
        <v>106</v>
      </c>
    </row>
    <row r="303" spans="1:5">
      <c r="A303" t="s">
        <v>1405</v>
      </c>
      <c r="C303" t="s">
        <v>1147</v>
      </c>
      <c r="E303" t="s">
        <v>106</v>
      </c>
    </row>
    <row r="304" spans="1:5">
      <c r="A304" t="s">
        <v>1406</v>
      </c>
      <c r="C304" t="s">
        <v>1147</v>
      </c>
      <c r="E304" t="s">
        <v>106</v>
      </c>
    </row>
    <row r="305" spans="1:5">
      <c r="A305" t="s">
        <v>1407</v>
      </c>
      <c r="C305" t="s">
        <v>1147</v>
      </c>
      <c r="E305" t="s">
        <v>106</v>
      </c>
    </row>
    <row r="306" spans="1:5">
      <c r="A306" t="s">
        <v>1408</v>
      </c>
      <c r="C306" t="s">
        <v>1147</v>
      </c>
      <c r="E306" t="s">
        <v>106</v>
      </c>
    </row>
    <row r="307" spans="1:5">
      <c r="A307" t="s">
        <v>1409</v>
      </c>
      <c r="C307" t="s">
        <v>1147</v>
      </c>
      <c r="E307" t="s">
        <v>106</v>
      </c>
    </row>
    <row r="308" spans="1:5">
      <c r="A308" t="s">
        <v>1410</v>
      </c>
      <c r="C308" t="s">
        <v>1147</v>
      </c>
      <c r="E308" t="s">
        <v>106</v>
      </c>
    </row>
    <row r="309" spans="1:5">
      <c r="A309" t="s">
        <v>1411</v>
      </c>
      <c r="C309" t="s">
        <v>1147</v>
      </c>
      <c r="E309" t="s">
        <v>106</v>
      </c>
    </row>
    <row r="310" spans="1:5">
      <c r="A310" t="s">
        <v>1412</v>
      </c>
      <c r="C310" t="s">
        <v>1147</v>
      </c>
      <c r="E310" t="s">
        <v>106</v>
      </c>
    </row>
    <row r="311" spans="1:5">
      <c r="A311" t="s">
        <v>1413</v>
      </c>
      <c r="C311" t="s">
        <v>1147</v>
      </c>
      <c r="E311" t="s">
        <v>106</v>
      </c>
    </row>
    <row r="312" spans="1:5">
      <c r="A312" t="s">
        <v>1414</v>
      </c>
      <c r="C312" t="s">
        <v>1147</v>
      </c>
      <c r="E312" t="s">
        <v>106</v>
      </c>
    </row>
    <row r="313" spans="1:5">
      <c r="A313" t="s">
        <v>1415</v>
      </c>
      <c r="C313" t="s">
        <v>1147</v>
      </c>
      <c r="E313" t="s">
        <v>106</v>
      </c>
    </row>
    <row r="314" spans="1:5">
      <c r="A314" t="s">
        <v>1416</v>
      </c>
      <c r="C314" t="s">
        <v>1147</v>
      </c>
      <c r="E314" t="s">
        <v>106</v>
      </c>
    </row>
    <row r="315" spans="1:5">
      <c r="A315" t="s">
        <v>1417</v>
      </c>
      <c r="C315" t="s">
        <v>1147</v>
      </c>
      <c r="E315" t="s">
        <v>106</v>
      </c>
    </row>
    <row r="316" spans="1:5">
      <c r="A316" t="s">
        <v>1418</v>
      </c>
      <c r="C316" t="s">
        <v>1147</v>
      </c>
      <c r="E316" t="s">
        <v>106</v>
      </c>
    </row>
    <row r="317" spans="1:5">
      <c r="A317" t="s">
        <v>1419</v>
      </c>
      <c r="C317" t="s">
        <v>1147</v>
      </c>
      <c r="E317" t="s">
        <v>106</v>
      </c>
    </row>
    <row r="318" spans="1:5">
      <c r="A318" t="s">
        <v>1420</v>
      </c>
      <c r="C318" t="s">
        <v>1147</v>
      </c>
      <c r="E318" t="s">
        <v>106</v>
      </c>
    </row>
    <row r="319" spans="1:5">
      <c r="A319" t="s">
        <v>1421</v>
      </c>
      <c r="C319" t="s">
        <v>1147</v>
      </c>
      <c r="E319" t="s">
        <v>106</v>
      </c>
    </row>
    <row r="320" spans="1:5">
      <c r="A320" t="s">
        <v>1422</v>
      </c>
      <c r="C320" t="s">
        <v>1147</v>
      </c>
      <c r="E320" t="s">
        <v>106</v>
      </c>
    </row>
    <row r="321" spans="1:5">
      <c r="A321" t="s">
        <v>1423</v>
      </c>
      <c r="C321" t="s">
        <v>1147</v>
      </c>
      <c r="E321" t="s">
        <v>106</v>
      </c>
    </row>
    <row r="322" spans="1:5">
      <c r="A322" t="s">
        <v>1424</v>
      </c>
      <c r="C322" t="s">
        <v>1147</v>
      </c>
      <c r="E322" t="s">
        <v>106</v>
      </c>
    </row>
    <row r="323" spans="1:5">
      <c r="A323" t="s">
        <v>1425</v>
      </c>
      <c r="C323" t="s">
        <v>1147</v>
      </c>
      <c r="E323" t="s">
        <v>106</v>
      </c>
    </row>
    <row r="324" spans="1:5">
      <c r="A324" t="s">
        <v>1426</v>
      </c>
      <c r="C324" t="s">
        <v>1147</v>
      </c>
      <c r="E324" t="s">
        <v>106</v>
      </c>
    </row>
    <row r="325" spans="1:5">
      <c r="A325" t="s">
        <v>1427</v>
      </c>
      <c r="C325" t="s">
        <v>1147</v>
      </c>
      <c r="E325" t="s">
        <v>106</v>
      </c>
    </row>
    <row r="326" spans="1:5">
      <c r="A326" t="s">
        <v>1428</v>
      </c>
      <c r="C326" t="s">
        <v>1147</v>
      </c>
      <c r="E326" t="s">
        <v>106</v>
      </c>
    </row>
    <row r="327" spans="1:5">
      <c r="A327" t="s">
        <v>1429</v>
      </c>
      <c r="C327" t="s">
        <v>1147</v>
      </c>
      <c r="E327" t="s">
        <v>106</v>
      </c>
    </row>
    <row r="328" spans="1:5">
      <c r="A328" t="s">
        <v>1430</v>
      </c>
      <c r="C328" t="s">
        <v>1147</v>
      </c>
      <c r="E328" t="s">
        <v>106</v>
      </c>
    </row>
    <row r="329" spans="1:5">
      <c r="A329" t="s">
        <v>1431</v>
      </c>
      <c r="C329" t="s">
        <v>1147</v>
      </c>
      <c r="E329" t="s">
        <v>106</v>
      </c>
    </row>
    <row r="330" spans="1:5">
      <c r="A330" t="s">
        <v>1432</v>
      </c>
      <c r="C330" t="s">
        <v>1147</v>
      </c>
      <c r="E330" t="s">
        <v>106</v>
      </c>
    </row>
    <row r="331" spans="1:5">
      <c r="A331" t="s">
        <v>1433</v>
      </c>
      <c r="C331" t="s">
        <v>1147</v>
      </c>
      <c r="E331" t="s">
        <v>106</v>
      </c>
    </row>
    <row r="332" spans="1:5">
      <c r="A332" t="s">
        <v>1434</v>
      </c>
      <c r="C332" t="s">
        <v>1147</v>
      </c>
      <c r="E332" t="s">
        <v>106</v>
      </c>
    </row>
    <row r="333" spans="1:5">
      <c r="A333" t="s">
        <v>1435</v>
      </c>
      <c r="C333" t="s">
        <v>1147</v>
      </c>
      <c r="E333" t="s">
        <v>106</v>
      </c>
    </row>
    <row r="334" spans="1:5">
      <c r="A334" t="s">
        <v>1436</v>
      </c>
      <c r="C334" t="s">
        <v>1147</v>
      </c>
      <c r="E334" t="s">
        <v>106</v>
      </c>
    </row>
    <row r="335" spans="1:5">
      <c r="A335" t="s">
        <v>1437</v>
      </c>
      <c r="C335" t="s">
        <v>1147</v>
      </c>
      <c r="E335" t="s">
        <v>106</v>
      </c>
    </row>
    <row r="336" spans="1:5">
      <c r="A336" t="s">
        <v>1438</v>
      </c>
      <c r="C336" t="s">
        <v>1147</v>
      </c>
      <c r="E336" t="s">
        <v>106</v>
      </c>
    </row>
    <row r="337" spans="1:5">
      <c r="A337" t="s">
        <v>1439</v>
      </c>
      <c r="C337" t="s">
        <v>1147</v>
      </c>
      <c r="E337" t="s">
        <v>106</v>
      </c>
    </row>
    <row r="338" spans="1:5">
      <c r="A338" t="s">
        <v>1440</v>
      </c>
      <c r="C338" t="s">
        <v>1147</v>
      </c>
      <c r="E338" t="s">
        <v>106</v>
      </c>
    </row>
    <row r="339" spans="1:5">
      <c r="A339" t="s">
        <v>1441</v>
      </c>
      <c r="C339" t="s">
        <v>1147</v>
      </c>
      <c r="E339" t="s">
        <v>106</v>
      </c>
    </row>
    <row r="340" spans="1:5">
      <c r="A340" t="s">
        <v>1442</v>
      </c>
      <c r="C340" t="s">
        <v>1147</v>
      </c>
      <c r="E340" t="s">
        <v>106</v>
      </c>
    </row>
    <row r="341" spans="1:5">
      <c r="A341" t="s">
        <v>1443</v>
      </c>
      <c r="C341" t="s">
        <v>1147</v>
      </c>
      <c r="E341" t="s">
        <v>106</v>
      </c>
    </row>
    <row r="342" spans="1:5">
      <c r="A342" t="s">
        <v>1444</v>
      </c>
      <c r="C342" t="s">
        <v>1147</v>
      </c>
      <c r="E342" t="s">
        <v>106</v>
      </c>
    </row>
    <row r="343" spans="1:5">
      <c r="A343" t="s">
        <v>1445</v>
      </c>
      <c r="C343" t="s">
        <v>1147</v>
      </c>
      <c r="E343" t="s">
        <v>106</v>
      </c>
    </row>
    <row r="344" spans="1:5">
      <c r="A344" t="s">
        <v>1446</v>
      </c>
      <c r="C344" t="s">
        <v>1147</v>
      </c>
      <c r="E344" t="s">
        <v>106</v>
      </c>
    </row>
    <row r="345" spans="1:5">
      <c r="A345" t="s">
        <v>1447</v>
      </c>
      <c r="C345" t="s">
        <v>1147</v>
      </c>
      <c r="E345" t="s">
        <v>106</v>
      </c>
    </row>
    <row r="346" spans="1:5">
      <c r="A346" t="s">
        <v>1448</v>
      </c>
      <c r="C346" t="s">
        <v>1147</v>
      </c>
      <c r="E346" t="s">
        <v>106</v>
      </c>
    </row>
    <row r="347" spans="1:5">
      <c r="A347" t="s">
        <v>1449</v>
      </c>
      <c r="C347" t="s">
        <v>1147</v>
      </c>
      <c r="E347" t="s">
        <v>106</v>
      </c>
    </row>
    <row r="348" spans="1:5">
      <c r="A348" t="s">
        <v>1450</v>
      </c>
      <c r="C348" t="s">
        <v>1147</v>
      </c>
      <c r="E348" t="s">
        <v>106</v>
      </c>
    </row>
    <row r="349" spans="1:5">
      <c r="A349" t="s">
        <v>1451</v>
      </c>
      <c r="C349" t="s">
        <v>1147</v>
      </c>
      <c r="E349" t="s">
        <v>106</v>
      </c>
    </row>
    <row r="350" spans="1:5">
      <c r="A350" t="s">
        <v>1452</v>
      </c>
      <c r="C350" t="s">
        <v>1147</v>
      </c>
      <c r="E350" t="s">
        <v>106</v>
      </c>
    </row>
    <row r="351" spans="1:5">
      <c r="A351" t="s">
        <v>1453</v>
      </c>
      <c r="C351" t="s">
        <v>1147</v>
      </c>
      <c r="E351" t="s">
        <v>106</v>
      </c>
    </row>
    <row r="352" spans="1:5">
      <c r="A352" t="s">
        <v>1454</v>
      </c>
      <c r="C352" t="s">
        <v>1147</v>
      </c>
      <c r="E352" t="s">
        <v>106</v>
      </c>
    </row>
    <row r="353" spans="1:5">
      <c r="A353" t="s">
        <v>1455</v>
      </c>
      <c r="C353" t="s">
        <v>1147</v>
      </c>
      <c r="E353" t="s">
        <v>106</v>
      </c>
    </row>
    <row r="354" spans="1:5">
      <c r="A354" t="s">
        <v>1456</v>
      </c>
      <c r="C354" t="s">
        <v>1147</v>
      </c>
      <c r="E354" t="s">
        <v>106</v>
      </c>
    </row>
    <row r="355" spans="1:5">
      <c r="A355" t="s">
        <v>1457</v>
      </c>
      <c r="C355" t="s">
        <v>1147</v>
      </c>
      <c r="E355" t="s">
        <v>106</v>
      </c>
    </row>
    <row r="356" spans="1:5">
      <c r="A356" t="s">
        <v>1458</v>
      </c>
      <c r="C356" t="s">
        <v>1147</v>
      </c>
      <c r="E356" t="s">
        <v>106</v>
      </c>
    </row>
    <row r="357" spans="1:5">
      <c r="A357" t="s">
        <v>1459</v>
      </c>
      <c r="C357" t="s">
        <v>1147</v>
      </c>
      <c r="E357" t="s">
        <v>106</v>
      </c>
    </row>
    <row r="358" spans="1:5">
      <c r="A358" t="s">
        <v>1460</v>
      </c>
      <c r="C358" t="s">
        <v>1147</v>
      </c>
      <c r="E358" t="s">
        <v>106</v>
      </c>
    </row>
    <row r="359" spans="1:5">
      <c r="A359" t="s">
        <v>1461</v>
      </c>
      <c r="C359" t="s">
        <v>1147</v>
      </c>
      <c r="E359" t="s">
        <v>106</v>
      </c>
    </row>
    <row r="360" spans="1:5">
      <c r="A360" t="s">
        <v>1462</v>
      </c>
      <c r="C360" t="s">
        <v>1147</v>
      </c>
      <c r="E360" t="s">
        <v>106</v>
      </c>
    </row>
    <row r="361" spans="1:5">
      <c r="A361" t="s">
        <v>1463</v>
      </c>
      <c r="C361" t="s">
        <v>1147</v>
      </c>
      <c r="E361" t="s">
        <v>106</v>
      </c>
    </row>
    <row r="362" spans="1:5">
      <c r="A362" t="s">
        <v>1464</v>
      </c>
      <c r="C362" t="s">
        <v>1147</v>
      </c>
      <c r="E362" t="s">
        <v>106</v>
      </c>
    </row>
    <row r="363" spans="1:5">
      <c r="A363" t="s">
        <v>1465</v>
      </c>
      <c r="C363" t="s">
        <v>1147</v>
      </c>
      <c r="E363" t="s">
        <v>106</v>
      </c>
    </row>
    <row r="364" spans="1:5">
      <c r="A364" t="s">
        <v>1466</v>
      </c>
      <c r="C364" t="s">
        <v>1147</v>
      </c>
      <c r="E364" t="s">
        <v>106</v>
      </c>
    </row>
    <row r="365" spans="1:5">
      <c r="A365" t="s">
        <v>1467</v>
      </c>
      <c r="C365" t="s">
        <v>1147</v>
      </c>
      <c r="E365" t="s">
        <v>106</v>
      </c>
    </row>
    <row r="366" spans="1:5">
      <c r="A366" t="s">
        <v>1468</v>
      </c>
      <c r="C366" t="s">
        <v>1147</v>
      </c>
      <c r="E366" t="s">
        <v>106</v>
      </c>
    </row>
    <row r="367" spans="1:5">
      <c r="A367" t="s">
        <v>1469</v>
      </c>
      <c r="C367" t="s">
        <v>1147</v>
      </c>
      <c r="E367" t="s">
        <v>106</v>
      </c>
    </row>
    <row r="368" spans="1:5">
      <c r="A368" t="s">
        <v>1470</v>
      </c>
      <c r="C368" t="s">
        <v>1147</v>
      </c>
      <c r="E368" t="s">
        <v>106</v>
      </c>
    </row>
    <row r="369" spans="1:5">
      <c r="A369" t="s">
        <v>1471</v>
      </c>
      <c r="C369" t="s">
        <v>1147</v>
      </c>
      <c r="E369" t="s">
        <v>106</v>
      </c>
    </row>
    <row r="370" spans="1:5">
      <c r="A370" t="s">
        <v>1472</v>
      </c>
      <c r="C370" t="s">
        <v>1147</v>
      </c>
      <c r="E370" t="s">
        <v>106</v>
      </c>
    </row>
    <row r="371" spans="1:5">
      <c r="A371" t="s">
        <v>1473</v>
      </c>
      <c r="C371" t="s">
        <v>1147</v>
      </c>
      <c r="E371" t="s">
        <v>106</v>
      </c>
    </row>
    <row r="372" spans="1:5">
      <c r="A372" t="s">
        <v>1474</v>
      </c>
      <c r="C372" t="s">
        <v>1147</v>
      </c>
      <c r="E372" t="s">
        <v>106</v>
      </c>
    </row>
    <row r="373" spans="1:5">
      <c r="A373" t="s">
        <v>1475</v>
      </c>
      <c r="C373" t="s">
        <v>1147</v>
      </c>
      <c r="E373" t="s">
        <v>106</v>
      </c>
    </row>
    <row r="374" spans="1:5">
      <c r="A374" t="s">
        <v>1476</v>
      </c>
      <c r="C374" t="s">
        <v>1147</v>
      </c>
      <c r="E374" t="s">
        <v>106</v>
      </c>
    </row>
    <row r="375" spans="1:5">
      <c r="A375" t="s">
        <v>1477</v>
      </c>
      <c r="C375" t="s">
        <v>1147</v>
      </c>
      <c r="E375" t="s">
        <v>106</v>
      </c>
    </row>
    <row r="376" spans="1:5">
      <c r="A376" t="s">
        <v>1478</v>
      </c>
      <c r="C376" t="s">
        <v>1147</v>
      </c>
      <c r="E376" t="s">
        <v>106</v>
      </c>
    </row>
    <row r="377" spans="1:5">
      <c r="A377" t="s">
        <v>1479</v>
      </c>
      <c r="C377" t="s">
        <v>1147</v>
      </c>
      <c r="E377" t="s">
        <v>106</v>
      </c>
    </row>
    <row r="378" spans="1:5">
      <c r="A378" t="s">
        <v>1480</v>
      </c>
      <c r="C378" t="s">
        <v>1147</v>
      </c>
      <c r="E378" t="s">
        <v>106</v>
      </c>
    </row>
    <row r="379" spans="1:5">
      <c r="A379" t="s">
        <v>1481</v>
      </c>
      <c r="C379" t="s">
        <v>1147</v>
      </c>
      <c r="E379" t="s">
        <v>106</v>
      </c>
    </row>
    <row r="380" spans="1:5">
      <c r="A380" t="s">
        <v>1482</v>
      </c>
      <c r="C380" t="s">
        <v>1147</v>
      </c>
      <c r="E380" t="s">
        <v>106</v>
      </c>
    </row>
    <row r="381" spans="1:5">
      <c r="A381" t="s">
        <v>1483</v>
      </c>
      <c r="C381" t="s">
        <v>1147</v>
      </c>
      <c r="E381" t="s">
        <v>106</v>
      </c>
    </row>
    <row r="382" spans="1:5">
      <c r="A382" t="s">
        <v>1484</v>
      </c>
      <c r="C382" t="s">
        <v>1147</v>
      </c>
      <c r="E382" t="s">
        <v>106</v>
      </c>
    </row>
    <row r="383" spans="1:5">
      <c r="A383" t="s">
        <v>1485</v>
      </c>
      <c r="C383" t="s">
        <v>1147</v>
      </c>
      <c r="E383" t="s">
        <v>106</v>
      </c>
    </row>
    <row r="384" spans="1:5">
      <c r="A384" t="s">
        <v>1486</v>
      </c>
      <c r="C384" t="s">
        <v>1147</v>
      </c>
      <c r="E384" t="s">
        <v>106</v>
      </c>
    </row>
    <row r="385" spans="1:5">
      <c r="A385" t="s">
        <v>1487</v>
      </c>
      <c r="C385" t="s">
        <v>1147</v>
      </c>
      <c r="E385" t="s">
        <v>106</v>
      </c>
    </row>
    <row r="386" spans="1:5">
      <c r="A386" t="s">
        <v>1488</v>
      </c>
      <c r="C386" t="s">
        <v>1147</v>
      </c>
      <c r="E386" t="s">
        <v>106</v>
      </c>
    </row>
    <row r="387" spans="1:5">
      <c r="A387" t="s">
        <v>1489</v>
      </c>
      <c r="C387" t="s">
        <v>1147</v>
      </c>
      <c r="E387" t="s">
        <v>106</v>
      </c>
    </row>
    <row r="388" spans="1:5">
      <c r="A388" t="s">
        <v>1490</v>
      </c>
      <c r="C388" t="s">
        <v>1147</v>
      </c>
      <c r="E388" t="s">
        <v>106</v>
      </c>
    </row>
    <row r="389" spans="1:5">
      <c r="A389" t="s">
        <v>1491</v>
      </c>
      <c r="C389" t="s">
        <v>1147</v>
      </c>
      <c r="E389" t="s">
        <v>106</v>
      </c>
    </row>
    <row r="390" spans="1:5">
      <c r="A390" t="s">
        <v>1492</v>
      </c>
      <c r="C390" t="s">
        <v>1147</v>
      </c>
      <c r="E390" t="s">
        <v>106</v>
      </c>
    </row>
    <row r="391" spans="1:5">
      <c r="A391" t="s">
        <v>1493</v>
      </c>
      <c r="C391" t="s">
        <v>1147</v>
      </c>
      <c r="E391" t="s">
        <v>106</v>
      </c>
    </row>
    <row r="392" spans="1:5">
      <c r="A392" t="s">
        <v>1494</v>
      </c>
      <c r="C392" t="s">
        <v>1147</v>
      </c>
      <c r="E392" t="s">
        <v>106</v>
      </c>
    </row>
    <row r="393" spans="1:5">
      <c r="A393" t="s">
        <v>1495</v>
      </c>
      <c r="C393" t="s">
        <v>1147</v>
      </c>
      <c r="E393" t="s">
        <v>106</v>
      </c>
    </row>
    <row r="394" spans="1:5">
      <c r="A394" t="s">
        <v>1496</v>
      </c>
      <c r="C394" t="s">
        <v>1147</v>
      </c>
      <c r="E394" t="s">
        <v>106</v>
      </c>
    </row>
    <row r="395" spans="1:5">
      <c r="A395" t="s">
        <v>1497</v>
      </c>
      <c r="C395" t="s">
        <v>1147</v>
      </c>
      <c r="E395" t="s">
        <v>106</v>
      </c>
    </row>
    <row r="396" spans="1:5">
      <c r="A396" t="s">
        <v>1498</v>
      </c>
      <c r="C396" t="s">
        <v>1147</v>
      </c>
      <c r="E396" t="s">
        <v>106</v>
      </c>
    </row>
    <row r="397" spans="1:5">
      <c r="A397" t="s">
        <v>1499</v>
      </c>
      <c r="C397" t="s">
        <v>1147</v>
      </c>
      <c r="E397" t="s">
        <v>106</v>
      </c>
    </row>
    <row r="398" spans="1:5">
      <c r="A398" t="s">
        <v>1500</v>
      </c>
      <c r="C398" t="s">
        <v>1147</v>
      </c>
      <c r="E398" t="s">
        <v>106</v>
      </c>
    </row>
    <row r="399" spans="1:5">
      <c r="A399" t="s">
        <v>1501</v>
      </c>
      <c r="C399" t="s">
        <v>1147</v>
      </c>
      <c r="E399" t="s">
        <v>106</v>
      </c>
    </row>
    <row r="400" spans="1:5">
      <c r="A400" t="s">
        <v>1502</v>
      </c>
      <c r="C400" t="s">
        <v>1147</v>
      </c>
      <c r="E400" t="s">
        <v>106</v>
      </c>
    </row>
    <row r="401" spans="1:5">
      <c r="A401" t="s">
        <v>1503</v>
      </c>
      <c r="C401" t="s">
        <v>1147</v>
      </c>
      <c r="E401" t="s">
        <v>106</v>
      </c>
    </row>
    <row r="402" spans="1:5">
      <c r="A402" t="s">
        <v>1504</v>
      </c>
      <c r="C402" t="s">
        <v>1147</v>
      </c>
      <c r="E402" t="s">
        <v>106</v>
      </c>
    </row>
    <row r="403" spans="1:5">
      <c r="A403" t="s">
        <v>1505</v>
      </c>
      <c r="C403" t="s">
        <v>1147</v>
      </c>
      <c r="E403" t="s">
        <v>106</v>
      </c>
    </row>
    <row r="404" spans="1:5">
      <c r="A404" t="s">
        <v>1506</v>
      </c>
      <c r="C404" t="s">
        <v>1147</v>
      </c>
      <c r="E404" t="s">
        <v>106</v>
      </c>
    </row>
    <row r="405" spans="1:5">
      <c r="A405" t="s">
        <v>1507</v>
      </c>
      <c r="C405" t="s">
        <v>1147</v>
      </c>
      <c r="E405" t="s">
        <v>106</v>
      </c>
    </row>
    <row r="406" spans="1:5">
      <c r="A406" t="s">
        <v>1508</v>
      </c>
      <c r="C406" t="s">
        <v>1147</v>
      </c>
      <c r="E406" t="s">
        <v>106</v>
      </c>
    </row>
    <row r="407" spans="1:5">
      <c r="A407" t="s">
        <v>1509</v>
      </c>
      <c r="C407" t="s">
        <v>1147</v>
      </c>
      <c r="E407" t="s">
        <v>106</v>
      </c>
    </row>
    <row r="408" spans="1:5">
      <c r="A408" t="s">
        <v>1510</v>
      </c>
      <c r="C408" t="s">
        <v>1147</v>
      </c>
      <c r="E408" t="s">
        <v>106</v>
      </c>
    </row>
    <row r="409" spans="1:5">
      <c r="A409" t="s">
        <v>1511</v>
      </c>
      <c r="C409" t="s">
        <v>1147</v>
      </c>
      <c r="E409" t="s">
        <v>106</v>
      </c>
    </row>
    <row r="410" spans="1:5">
      <c r="A410" t="s">
        <v>1512</v>
      </c>
      <c r="C410" t="s">
        <v>1147</v>
      </c>
      <c r="E410" t="s">
        <v>106</v>
      </c>
    </row>
    <row r="411" spans="1:5">
      <c r="A411" t="s">
        <v>1513</v>
      </c>
      <c r="C411" t="s">
        <v>1147</v>
      </c>
      <c r="E411" t="s">
        <v>106</v>
      </c>
    </row>
    <row r="412" spans="1:5">
      <c r="A412" t="s">
        <v>1514</v>
      </c>
      <c r="C412" t="s">
        <v>1147</v>
      </c>
      <c r="E412" t="s">
        <v>106</v>
      </c>
    </row>
    <row r="413" spans="1:5">
      <c r="A413" t="s">
        <v>1515</v>
      </c>
      <c r="C413" t="s">
        <v>1147</v>
      </c>
      <c r="E413" t="s">
        <v>106</v>
      </c>
    </row>
    <row r="414" spans="1:5">
      <c r="A414" t="s">
        <v>1516</v>
      </c>
      <c r="C414" t="s">
        <v>1147</v>
      </c>
      <c r="E414" t="s">
        <v>106</v>
      </c>
    </row>
    <row r="415" spans="1:5">
      <c r="A415" t="s">
        <v>1517</v>
      </c>
      <c r="C415" t="s">
        <v>1147</v>
      </c>
      <c r="E415" t="s">
        <v>106</v>
      </c>
    </row>
    <row r="416" spans="1:5">
      <c r="A416" t="s">
        <v>1518</v>
      </c>
      <c r="C416" t="s">
        <v>1147</v>
      </c>
      <c r="E416" t="s">
        <v>106</v>
      </c>
    </row>
    <row r="417" spans="1:5">
      <c r="A417" t="s">
        <v>1519</v>
      </c>
      <c r="C417" t="s">
        <v>1147</v>
      </c>
      <c r="E417" t="s">
        <v>106</v>
      </c>
    </row>
    <row r="418" spans="1:5">
      <c r="A418" t="s">
        <v>1520</v>
      </c>
      <c r="C418" t="s">
        <v>1147</v>
      </c>
      <c r="E418" t="s">
        <v>106</v>
      </c>
    </row>
    <row r="419" spans="1:5">
      <c r="A419" t="s">
        <v>1521</v>
      </c>
      <c r="C419" t="s">
        <v>1147</v>
      </c>
      <c r="E419" t="s">
        <v>106</v>
      </c>
    </row>
    <row r="420" spans="1:5">
      <c r="A420" t="s">
        <v>1522</v>
      </c>
      <c r="C420" t="s">
        <v>1147</v>
      </c>
      <c r="E420" t="s">
        <v>106</v>
      </c>
    </row>
    <row r="421" spans="1:5">
      <c r="A421" t="s">
        <v>1523</v>
      </c>
      <c r="C421" t="s">
        <v>1147</v>
      </c>
      <c r="E421" t="s">
        <v>106</v>
      </c>
    </row>
    <row r="422" spans="1:5">
      <c r="A422" t="s">
        <v>1524</v>
      </c>
      <c r="C422" t="s">
        <v>1147</v>
      </c>
      <c r="E422" t="s">
        <v>106</v>
      </c>
    </row>
    <row r="423" spans="1:5">
      <c r="A423" t="s">
        <v>1525</v>
      </c>
      <c r="C423" t="s">
        <v>1147</v>
      </c>
      <c r="E423" t="s">
        <v>106</v>
      </c>
    </row>
    <row r="424" spans="1:5">
      <c r="A424" t="s">
        <v>1526</v>
      </c>
      <c r="C424" t="s">
        <v>1147</v>
      </c>
      <c r="E424" t="s">
        <v>106</v>
      </c>
    </row>
    <row r="425" spans="1:5">
      <c r="A425" t="s">
        <v>1527</v>
      </c>
      <c r="C425" t="s">
        <v>1147</v>
      </c>
      <c r="E425" t="s">
        <v>106</v>
      </c>
    </row>
    <row r="426" spans="1:5">
      <c r="A426" t="s">
        <v>1528</v>
      </c>
      <c r="C426" t="s">
        <v>1147</v>
      </c>
      <c r="E426" t="s">
        <v>106</v>
      </c>
    </row>
    <row r="427" spans="1:5">
      <c r="A427" t="s">
        <v>1529</v>
      </c>
      <c r="C427" t="s">
        <v>1147</v>
      </c>
      <c r="E427" t="s">
        <v>106</v>
      </c>
    </row>
    <row r="428" spans="1:5">
      <c r="A428" t="s">
        <v>1530</v>
      </c>
      <c r="C428" t="s">
        <v>1147</v>
      </c>
      <c r="E428" t="s">
        <v>106</v>
      </c>
    </row>
    <row r="429" spans="1:5">
      <c r="A429" t="s">
        <v>1531</v>
      </c>
      <c r="C429" t="s">
        <v>1147</v>
      </c>
      <c r="E429" t="s">
        <v>106</v>
      </c>
    </row>
    <row r="430" spans="1:5">
      <c r="A430" t="s">
        <v>1532</v>
      </c>
      <c r="C430" t="s">
        <v>1147</v>
      </c>
      <c r="E430" t="s">
        <v>106</v>
      </c>
    </row>
    <row r="431" spans="1:5">
      <c r="A431" t="s">
        <v>1533</v>
      </c>
      <c r="C431" t="s">
        <v>1147</v>
      </c>
      <c r="E431" t="s">
        <v>106</v>
      </c>
    </row>
    <row r="432" spans="1:5">
      <c r="A432" t="s">
        <v>1534</v>
      </c>
      <c r="C432" t="s">
        <v>1147</v>
      </c>
      <c r="E432" t="s">
        <v>106</v>
      </c>
    </row>
    <row r="433" spans="1:5">
      <c r="A433" t="s">
        <v>1535</v>
      </c>
      <c r="C433" t="s">
        <v>1147</v>
      </c>
      <c r="E433" t="s">
        <v>106</v>
      </c>
    </row>
    <row r="434" spans="1:5">
      <c r="A434" t="s">
        <v>1536</v>
      </c>
      <c r="C434" t="s">
        <v>1147</v>
      </c>
      <c r="E434" t="s">
        <v>106</v>
      </c>
    </row>
    <row r="435" spans="1:5">
      <c r="A435" t="s">
        <v>1537</v>
      </c>
      <c r="C435" t="s">
        <v>1147</v>
      </c>
      <c r="E435" t="s">
        <v>106</v>
      </c>
    </row>
    <row r="436" spans="1:5">
      <c r="A436" t="s">
        <v>1538</v>
      </c>
      <c r="C436" t="s">
        <v>1147</v>
      </c>
      <c r="E436" t="s">
        <v>106</v>
      </c>
    </row>
    <row r="437" spans="1:5">
      <c r="A437" t="s">
        <v>1539</v>
      </c>
      <c r="C437" t="s">
        <v>1147</v>
      </c>
      <c r="E437" t="s">
        <v>106</v>
      </c>
    </row>
    <row r="438" spans="1:5">
      <c r="A438" t="s">
        <v>1540</v>
      </c>
      <c r="C438" t="s">
        <v>1147</v>
      </c>
      <c r="E438" t="s">
        <v>106</v>
      </c>
    </row>
    <row r="439" spans="1:5">
      <c r="A439" t="s">
        <v>1541</v>
      </c>
      <c r="C439" t="s">
        <v>1147</v>
      </c>
      <c r="E439" t="s">
        <v>106</v>
      </c>
    </row>
    <row r="440" spans="1:5">
      <c r="A440" t="s">
        <v>1542</v>
      </c>
      <c r="C440" t="s">
        <v>1147</v>
      </c>
      <c r="E440" t="s">
        <v>106</v>
      </c>
    </row>
    <row r="441" spans="1:5">
      <c r="A441" t="s">
        <v>1543</v>
      </c>
      <c r="C441" t="s">
        <v>1147</v>
      </c>
      <c r="E441" t="s">
        <v>106</v>
      </c>
    </row>
    <row r="442" spans="1:5">
      <c r="A442" t="s">
        <v>1544</v>
      </c>
      <c r="C442" t="s">
        <v>1147</v>
      </c>
      <c r="E442" t="s">
        <v>106</v>
      </c>
    </row>
    <row r="443" spans="1:5">
      <c r="A443" t="s">
        <v>1545</v>
      </c>
      <c r="C443" t="s">
        <v>1147</v>
      </c>
      <c r="E443" t="s">
        <v>106</v>
      </c>
    </row>
    <row r="444" spans="1:5">
      <c r="A444" t="s">
        <v>1546</v>
      </c>
      <c r="C444" t="s">
        <v>1147</v>
      </c>
      <c r="E444" t="s">
        <v>106</v>
      </c>
    </row>
    <row r="445" spans="1:5">
      <c r="A445" t="s">
        <v>1547</v>
      </c>
      <c r="C445" t="s">
        <v>1147</v>
      </c>
      <c r="E445" t="s">
        <v>106</v>
      </c>
    </row>
    <row r="446" spans="1:5">
      <c r="A446" t="s">
        <v>1548</v>
      </c>
      <c r="C446" t="s">
        <v>1147</v>
      </c>
      <c r="E446" t="s">
        <v>106</v>
      </c>
    </row>
    <row r="447" spans="1:5">
      <c r="A447" t="s">
        <v>1549</v>
      </c>
      <c r="C447" t="s">
        <v>1147</v>
      </c>
      <c r="E447" t="s">
        <v>106</v>
      </c>
    </row>
    <row r="448" spans="1:5">
      <c r="A448" t="s">
        <v>1550</v>
      </c>
      <c r="C448" t="s">
        <v>1147</v>
      </c>
      <c r="E448" t="s">
        <v>106</v>
      </c>
    </row>
    <row r="449" spans="1:5">
      <c r="A449" t="s">
        <v>1551</v>
      </c>
      <c r="C449" t="s">
        <v>1147</v>
      </c>
      <c r="E449" t="s">
        <v>106</v>
      </c>
    </row>
    <row r="450" spans="1:5">
      <c r="A450" t="s">
        <v>1552</v>
      </c>
      <c r="C450" t="s">
        <v>1147</v>
      </c>
      <c r="E450" t="s">
        <v>106</v>
      </c>
    </row>
    <row r="451" spans="1:5">
      <c r="A451" t="s">
        <v>1553</v>
      </c>
      <c r="C451" t="s">
        <v>1147</v>
      </c>
      <c r="E451" t="s">
        <v>106</v>
      </c>
    </row>
    <row r="452" spans="1:5">
      <c r="A452" t="s">
        <v>1554</v>
      </c>
      <c r="C452" t="s">
        <v>1147</v>
      </c>
      <c r="E452" t="s">
        <v>106</v>
      </c>
    </row>
    <row r="453" spans="1:5">
      <c r="A453" t="s">
        <v>1555</v>
      </c>
      <c r="C453" t="s">
        <v>1147</v>
      </c>
      <c r="E453" t="s">
        <v>106</v>
      </c>
    </row>
    <row r="454" spans="1:5">
      <c r="A454" t="s">
        <v>1556</v>
      </c>
      <c r="C454" t="s">
        <v>1147</v>
      </c>
      <c r="E454" t="s">
        <v>106</v>
      </c>
    </row>
    <row r="455" spans="1:5">
      <c r="A455" t="s">
        <v>1557</v>
      </c>
      <c r="C455" t="s">
        <v>1147</v>
      </c>
      <c r="E455" t="s">
        <v>106</v>
      </c>
    </row>
    <row r="456" spans="1:5">
      <c r="A456" t="s">
        <v>1558</v>
      </c>
      <c r="C456" t="s">
        <v>1147</v>
      </c>
      <c r="E456" t="s">
        <v>106</v>
      </c>
    </row>
    <row r="457" spans="1:5">
      <c r="A457" t="s">
        <v>1559</v>
      </c>
      <c r="C457" t="s">
        <v>1147</v>
      </c>
      <c r="E457" t="s">
        <v>106</v>
      </c>
    </row>
    <row r="458" spans="1:5">
      <c r="A458" t="s">
        <v>1560</v>
      </c>
      <c r="C458" t="s">
        <v>1147</v>
      </c>
      <c r="E458" t="s">
        <v>106</v>
      </c>
    </row>
    <row r="459" spans="1:5">
      <c r="A459" t="s">
        <v>1561</v>
      </c>
      <c r="C459" t="s">
        <v>1147</v>
      </c>
      <c r="E459" t="s">
        <v>106</v>
      </c>
    </row>
    <row r="460" spans="1:5">
      <c r="A460" t="s">
        <v>1562</v>
      </c>
      <c r="C460" t="s">
        <v>1147</v>
      </c>
      <c r="E460" t="s">
        <v>106</v>
      </c>
    </row>
    <row r="461" spans="1:5">
      <c r="A461" t="s">
        <v>1563</v>
      </c>
      <c r="C461" t="s">
        <v>1147</v>
      </c>
      <c r="E461" t="s">
        <v>106</v>
      </c>
    </row>
    <row r="462" spans="1:5">
      <c r="A462" t="s">
        <v>1564</v>
      </c>
      <c r="C462" t="s">
        <v>1147</v>
      </c>
      <c r="E462" t="s">
        <v>106</v>
      </c>
    </row>
    <row r="463" spans="1:5">
      <c r="A463" t="s">
        <v>1565</v>
      </c>
      <c r="C463" t="s">
        <v>1147</v>
      </c>
      <c r="E463" t="s">
        <v>106</v>
      </c>
    </row>
    <row r="464" spans="1:5">
      <c r="A464" t="s">
        <v>1566</v>
      </c>
      <c r="C464" t="s">
        <v>1147</v>
      </c>
      <c r="E464" t="s">
        <v>106</v>
      </c>
    </row>
    <row r="465" spans="1:5">
      <c r="A465" t="s">
        <v>1567</v>
      </c>
      <c r="C465" t="s">
        <v>1147</v>
      </c>
      <c r="E465" t="s">
        <v>106</v>
      </c>
    </row>
    <row r="466" spans="1:5">
      <c r="A466" t="s">
        <v>1568</v>
      </c>
      <c r="C466" t="s">
        <v>1147</v>
      </c>
      <c r="E466" t="s">
        <v>106</v>
      </c>
    </row>
    <row r="467" spans="1:5">
      <c r="A467" t="s">
        <v>1569</v>
      </c>
      <c r="C467" t="s">
        <v>1147</v>
      </c>
      <c r="E467" t="s">
        <v>106</v>
      </c>
    </row>
    <row r="468" spans="1:5">
      <c r="A468" t="s">
        <v>1570</v>
      </c>
      <c r="C468" t="s">
        <v>1147</v>
      </c>
      <c r="E468" t="s">
        <v>106</v>
      </c>
    </row>
    <row r="469" spans="1:5">
      <c r="A469" t="s">
        <v>1571</v>
      </c>
      <c r="C469" t="s">
        <v>1147</v>
      </c>
      <c r="E469" t="s">
        <v>106</v>
      </c>
    </row>
    <row r="470" spans="1:5">
      <c r="A470" t="s">
        <v>1572</v>
      </c>
      <c r="C470" t="s">
        <v>1147</v>
      </c>
      <c r="E470" t="s">
        <v>106</v>
      </c>
    </row>
    <row r="471" spans="1:5">
      <c r="A471" t="s">
        <v>1573</v>
      </c>
      <c r="C471" t="s">
        <v>1147</v>
      </c>
      <c r="E471" t="s">
        <v>106</v>
      </c>
    </row>
    <row r="472" spans="1:5">
      <c r="A472" t="s">
        <v>1574</v>
      </c>
      <c r="C472" t="s">
        <v>1147</v>
      </c>
      <c r="E472" t="s">
        <v>106</v>
      </c>
    </row>
    <row r="473" spans="1:5">
      <c r="A473" t="s">
        <v>1575</v>
      </c>
      <c r="C473" t="s">
        <v>1147</v>
      </c>
      <c r="E473" t="s">
        <v>106</v>
      </c>
    </row>
    <row r="474" spans="1:5">
      <c r="A474" t="s">
        <v>1576</v>
      </c>
      <c r="C474" t="s">
        <v>1147</v>
      </c>
      <c r="E474" t="s">
        <v>106</v>
      </c>
    </row>
    <row r="475" spans="1:5">
      <c r="A475" t="s">
        <v>1577</v>
      </c>
      <c r="C475" t="s">
        <v>1147</v>
      </c>
      <c r="E475" t="s">
        <v>106</v>
      </c>
    </row>
    <row r="476" spans="1:5">
      <c r="A476" t="s">
        <v>1578</v>
      </c>
      <c r="C476" t="s">
        <v>1147</v>
      </c>
      <c r="E476" t="s">
        <v>106</v>
      </c>
    </row>
    <row r="477" spans="1:5">
      <c r="A477" t="s">
        <v>1579</v>
      </c>
      <c r="C477" t="s">
        <v>1147</v>
      </c>
      <c r="E477" t="s">
        <v>106</v>
      </c>
    </row>
    <row r="478" spans="1:5">
      <c r="A478" t="s">
        <v>1580</v>
      </c>
      <c r="C478" t="s">
        <v>1147</v>
      </c>
      <c r="E478" t="s">
        <v>106</v>
      </c>
    </row>
    <row r="479" spans="1:5">
      <c r="A479" t="s">
        <v>1581</v>
      </c>
      <c r="C479" t="s">
        <v>1147</v>
      </c>
      <c r="E479" t="s">
        <v>106</v>
      </c>
    </row>
    <row r="480" spans="1:5">
      <c r="A480" t="s">
        <v>1582</v>
      </c>
      <c r="C480" t="s">
        <v>1147</v>
      </c>
      <c r="E480" t="s">
        <v>106</v>
      </c>
    </row>
    <row r="481" spans="1:5">
      <c r="A481" t="s">
        <v>1583</v>
      </c>
      <c r="C481" t="s">
        <v>1147</v>
      </c>
      <c r="E481" t="s">
        <v>106</v>
      </c>
    </row>
    <row r="482" spans="1:5">
      <c r="A482" t="s">
        <v>1584</v>
      </c>
      <c r="C482" t="s">
        <v>1147</v>
      </c>
      <c r="E482" t="s">
        <v>106</v>
      </c>
    </row>
    <row r="483" spans="1:5">
      <c r="A483" t="s">
        <v>1585</v>
      </c>
      <c r="C483" t="s">
        <v>1147</v>
      </c>
      <c r="E483" t="s">
        <v>106</v>
      </c>
    </row>
    <row r="484" spans="1:5">
      <c r="A484" t="s">
        <v>1586</v>
      </c>
      <c r="C484" t="s">
        <v>1147</v>
      </c>
      <c r="E484" t="s">
        <v>106</v>
      </c>
    </row>
    <row r="485" spans="1:5">
      <c r="A485" t="s">
        <v>1587</v>
      </c>
      <c r="C485" t="s">
        <v>1147</v>
      </c>
      <c r="E485" t="s">
        <v>106</v>
      </c>
    </row>
    <row r="486" spans="1:5">
      <c r="A486" t="s">
        <v>1588</v>
      </c>
      <c r="C486" t="s">
        <v>1147</v>
      </c>
      <c r="E486" t="s">
        <v>106</v>
      </c>
    </row>
    <row r="487" spans="1:5">
      <c r="A487" t="s">
        <v>1589</v>
      </c>
      <c r="C487" t="s">
        <v>1147</v>
      </c>
      <c r="E487" t="s">
        <v>106</v>
      </c>
    </row>
    <row r="488" spans="1:5">
      <c r="A488" t="s">
        <v>1590</v>
      </c>
      <c r="C488" t="s">
        <v>1147</v>
      </c>
      <c r="E488" t="s">
        <v>106</v>
      </c>
    </row>
    <row r="489" spans="1:5">
      <c r="A489" t="s">
        <v>1591</v>
      </c>
      <c r="C489" t="s">
        <v>1147</v>
      </c>
      <c r="E489" t="s">
        <v>106</v>
      </c>
    </row>
    <row r="490" spans="1:5">
      <c r="A490" t="s">
        <v>1592</v>
      </c>
      <c r="C490" t="s">
        <v>1147</v>
      </c>
      <c r="E490" t="s">
        <v>106</v>
      </c>
    </row>
    <row r="491" spans="1:5">
      <c r="A491" t="s">
        <v>1593</v>
      </c>
      <c r="C491" t="s">
        <v>1147</v>
      </c>
      <c r="E491" t="s">
        <v>106</v>
      </c>
    </row>
    <row r="492" spans="1:5">
      <c r="A492" t="s">
        <v>1594</v>
      </c>
      <c r="C492" t="s">
        <v>1147</v>
      </c>
      <c r="E492" t="s">
        <v>106</v>
      </c>
    </row>
    <row r="493" spans="1:5">
      <c r="A493" t="s">
        <v>1595</v>
      </c>
      <c r="C493" t="s">
        <v>1147</v>
      </c>
      <c r="E493" t="s">
        <v>106</v>
      </c>
    </row>
    <row r="494" spans="1:5">
      <c r="A494" t="s">
        <v>1596</v>
      </c>
      <c r="C494" t="s">
        <v>1147</v>
      </c>
      <c r="E494" t="s">
        <v>106</v>
      </c>
    </row>
    <row r="495" spans="1:5">
      <c r="A495" t="s">
        <v>1597</v>
      </c>
      <c r="C495" t="s">
        <v>1147</v>
      </c>
      <c r="E495" t="s">
        <v>106</v>
      </c>
    </row>
    <row r="496" spans="1:5">
      <c r="A496" t="s">
        <v>1598</v>
      </c>
      <c r="C496" t="s">
        <v>1147</v>
      </c>
      <c r="E496" t="s">
        <v>106</v>
      </c>
    </row>
    <row r="497" spans="1:5">
      <c r="A497" t="s">
        <v>1599</v>
      </c>
      <c r="C497" t="s">
        <v>1147</v>
      </c>
      <c r="E497" t="s">
        <v>106</v>
      </c>
    </row>
    <row r="498" spans="1:5">
      <c r="A498" t="s">
        <v>1600</v>
      </c>
      <c r="C498" t="s">
        <v>1147</v>
      </c>
      <c r="E498" t="s">
        <v>106</v>
      </c>
    </row>
    <row r="499" spans="1:5">
      <c r="A499" t="s">
        <v>1601</v>
      </c>
      <c r="C499" t="s">
        <v>1147</v>
      </c>
      <c r="E499" t="s">
        <v>106</v>
      </c>
    </row>
    <row r="500" spans="1:5">
      <c r="A500" t="s">
        <v>1602</v>
      </c>
      <c r="C500" t="s">
        <v>1147</v>
      </c>
      <c r="E500" t="s">
        <v>106</v>
      </c>
    </row>
    <row r="501" spans="1:5">
      <c r="A501" t="s">
        <v>1603</v>
      </c>
      <c r="C501" t="s">
        <v>1147</v>
      </c>
      <c r="E501" t="s">
        <v>106</v>
      </c>
    </row>
    <row r="502" spans="1:5">
      <c r="A502" t="s">
        <v>1604</v>
      </c>
      <c r="C502" t="s">
        <v>1147</v>
      </c>
      <c r="E502" t="s">
        <v>106</v>
      </c>
    </row>
    <row r="503" spans="1:5">
      <c r="A503" t="s">
        <v>1605</v>
      </c>
      <c r="C503" t="s">
        <v>1147</v>
      </c>
      <c r="E503" t="s">
        <v>106</v>
      </c>
    </row>
    <row r="504" spans="1:5">
      <c r="A504" t="s">
        <v>1606</v>
      </c>
      <c r="C504" t="s">
        <v>1147</v>
      </c>
      <c r="E504" t="s">
        <v>106</v>
      </c>
    </row>
    <row r="505" spans="1:5">
      <c r="A505" t="s">
        <v>1607</v>
      </c>
      <c r="C505" t="s">
        <v>1147</v>
      </c>
      <c r="E505" t="s">
        <v>106</v>
      </c>
    </row>
    <row r="506" spans="1:5">
      <c r="A506" t="s">
        <v>1608</v>
      </c>
      <c r="C506" t="s">
        <v>1147</v>
      </c>
      <c r="E506" t="s">
        <v>106</v>
      </c>
    </row>
    <row r="507" spans="1:5">
      <c r="A507" t="s">
        <v>1609</v>
      </c>
      <c r="C507" t="s">
        <v>1147</v>
      </c>
      <c r="E507" t="s">
        <v>106</v>
      </c>
    </row>
    <row r="508" spans="1:5">
      <c r="A508" t="s">
        <v>1610</v>
      </c>
      <c r="C508" t="s">
        <v>1147</v>
      </c>
      <c r="E508" t="s">
        <v>106</v>
      </c>
    </row>
    <row r="509" spans="1:5">
      <c r="A509" t="s">
        <v>1611</v>
      </c>
      <c r="C509" t="s">
        <v>1147</v>
      </c>
      <c r="E509" t="s">
        <v>106</v>
      </c>
    </row>
    <row r="510" spans="1:5">
      <c r="A510" t="s">
        <v>1612</v>
      </c>
      <c r="C510" t="s">
        <v>1147</v>
      </c>
      <c r="E510" t="s">
        <v>106</v>
      </c>
    </row>
    <row r="511" spans="1:5">
      <c r="A511" t="s">
        <v>1613</v>
      </c>
      <c r="C511" t="s">
        <v>1147</v>
      </c>
      <c r="E511" t="s">
        <v>106</v>
      </c>
    </row>
    <row r="512" spans="1:5">
      <c r="A512" t="s">
        <v>1614</v>
      </c>
      <c r="C512" t="s">
        <v>1147</v>
      </c>
      <c r="E512" t="s">
        <v>106</v>
      </c>
    </row>
    <row r="513" spans="1:5">
      <c r="A513" t="s">
        <v>1615</v>
      </c>
      <c r="C513" t="s">
        <v>1147</v>
      </c>
      <c r="E513" t="s">
        <v>106</v>
      </c>
    </row>
    <row r="514" spans="1:5">
      <c r="A514" t="s">
        <v>1616</v>
      </c>
      <c r="C514" t="s">
        <v>1147</v>
      </c>
      <c r="E514" t="s">
        <v>106</v>
      </c>
    </row>
    <row r="515" spans="1:5">
      <c r="A515" t="s">
        <v>1617</v>
      </c>
      <c r="C515" t="s">
        <v>1147</v>
      </c>
      <c r="E515" t="s">
        <v>106</v>
      </c>
    </row>
    <row r="516" spans="1:5">
      <c r="A516" t="s">
        <v>1618</v>
      </c>
      <c r="C516" t="s">
        <v>1147</v>
      </c>
      <c r="E516" t="s">
        <v>106</v>
      </c>
    </row>
    <row r="517" spans="1:5">
      <c r="A517" t="s">
        <v>1619</v>
      </c>
      <c r="C517" t="s">
        <v>1147</v>
      </c>
      <c r="E517" t="s">
        <v>106</v>
      </c>
    </row>
    <row r="518" spans="1:5">
      <c r="A518" t="s">
        <v>1620</v>
      </c>
      <c r="C518" t="s">
        <v>1147</v>
      </c>
      <c r="E518" t="s">
        <v>106</v>
      </c>
    </row>
    <row r="519" spans="1:5">
      <c r="A519" t="s">
        <v>1621</v>
      </c>
      <c r="C519" t="s">
        <v>1147</v>
      </c>
      <c r="E519" t="s">
        <v>106</v>
      </c>
    </row>
    <row r="520" spans="1:5">
      <c r="A520" t="s">
        <v>1622</v>
      </c>
      <c r="C520" t="s">
        <v>1147</v>
      </c>
      <c r="E520" t="s">
        <v>106</v>
      </c>
    </row>
    <row r="521" spans="1:5">
      <c r="A521" t="s">
        <v>1623</v>
      </c>
      <c r="C521" t="s">
        <v>1147</v>
      </c>
      <c r="E521" t="s">
        <v>106</v>
      </c>
    </row>
    <row r="522" spans="1:5">
      <c r="A522" t="s">
        <v>1624</v>
      </c>
      <c r="C522" t="s">
        <v>1147</v>
      </c>
      <c r="E522" t="s">
        <v>106</v>
      </c>
    </row>
    <row r="523" spans="1:5">
      <c r="A523" t="s">
        <v>1625</v>
      </c>
      <c r="C523" t="s">
        <v>1147</v>
      </c>
      <c r="E523" t="s">
        <v>106</v>
      </c>
    </row>
    <row r="524" spans="1:5">
      <c r="A524" t="s">
        <v>1626</v>
      </c>
      <c r="C524" t="s">
        <v>1147</v>
      </c>
      <c r="E524" t="s">
        <v>106</v>
      </c>
    </row>
    <row r="525" spans="1:5">
      <c r="A525" t="s">
        <v>1627</v>
      </c>
      <c r="C525" t="s">
        <v>1147</v>
      </c>
      <c r="E525" t="s">
        <v>106</v>
      </c>
    </row>
    <row r="526" spans="1:5">
      <c r="A526" t="s">
        <v>1628</v>
      </c>
      <c r="C526" t="s">
        <v>1147</v>
      </c>
      <c r="E526" t="s">
        <v>106</v>
      </c>
    </row>
    <row r="527" spans="1:5">
      <c r="A527" t="s">
        <v>1629</v>
      </c>
      <c r="C527" t="s">
        <v>1147</v>
      </c>
      <c r="E527" t="s">
        <v>106</v>
      </c>
    </row>
    <row r="528" spans="1:5">
      <c r="A528" t="s">
        <v>1630</v>
      </c>
      <c r="C528" t="s">
        <v>1147</v>
      </c>
      <c r="E528" t="s">
        <v>106</v>
      </c>
    </row>
    <row r="529" spans="1:5">
      <c r="A529" t="s">
        <v>1631</v>
      </c>
      <c r="C529" t="s">
        <v>1147</v>
      </c>
      <c r="E529" t="s">
        <v>106</v>
      </c>
    </row>
    <row r="530" spans="1:5">
      <c r="A530" t="s">
        <v>1632</v>
      </c>
      <c r="C530" t="s">
        <v>1147</v>
      </c>
      <c r="E530" t="s">
        <v>106</v>
      </c>
    </row>
    <row r="531" spans="1:5">
      <c r="A531" t="s">
        <v>1633</v>
      </c>
      <c r="C531" t="s">
        <v>1147</v>
      </c>
      <c r="E531" t="s">
        <v>106</v>
      </c>
    </row>
    <row r="532" spans="1:5">
      <c r="A532" t="s">
        <v>1634</v>
      </c>
      <c r="C532" t="s">
        <v>1147</v>
      </c>
      <c r="E532" t="s">
        <v>106</v>
      </c>
    </row>
    <row r="533" spans="1:5">
      <c r="A533" t="s">
        <v>1635</v>
      </c>
      <c r="C533" t="s">
        <v>1147</v>
      </c>
      <c r="E533" t="s">
        <v>106</v>
      </c>
    </row>
    <row r="534" spans="1:5">
      <c r="A534" t="s">
        <v>1636</v>
      </c>
      <c r="C534" t="s">
        <v>1147</v>
      </c>
      <c r="E534" t="s">
        <v>106</v>
      </c>
    </row>
    <row r="535" spans="1:5">
      <c r="A535" t="s">
        <v>1637</v>
      </c>
      <c r="C535" t="s">
        <v>1147</v>
      </c>
      <c r="E535" t="s">
        <v>106</v>
      </c>
    </row>
    <row r="536" spans="1:5">
      <c r="A536" t="s">
        <v>1638</v>
      </c>
      <c r="C536" t="s">
        <v>1147</v>
      </c>
      <c r="E536" t="s">
        <v>106</v>
      </c>
    </row>
    <row r="537" spans="1:5">
      <c r="A537" t="s">
        <v>1639</v>
      </c>
      <c r="C537" t="s">
        <v>1147</v>
      </c>
      <c r="E537" t="s">
        <v>106</v>
      </c>
    </row>
    <row r="538" spans="1:5">
      <c r="A538" t="s">
        <v>1640</v>
      </c>
      <c r="C538" t="s">
        <v>1147</v>
      </c>
      <c r="E538" t="s">
        <v>106</v>
      </c>
    </row>
    <row r="539" spans="1:5">
      <c r="A539" t="s">
        <v>1641</v>
      </c>
      <c r="C539" t="s">
        <v>1147</v>
      </c>
      <c r="E539" t="s">
        <v>106</v>
      </c>
    </row>
    <row r="540" spans="1:5">
      <c r="A540" t="s">
        <v>1642</v>
      </c>
      <c r="C540" t="s">
        <v>1147</v>
      </c>
      <c r="E540" t="s">
        <v>106</v>
      </c>
    </row>
    <row r="541" spans="1:5">
      <c r="A541" t="s">
        <v>1643</v>
      </c>
      <c r="C541" t="s">
        <v>1147</v>
      </c>
      <c r="E541" t="s">
        <v>106</v>
      </c>
    </row>
    <row r="542" spans="1:5">
      <c r="A542" t="s">
        <v>1644</v>
      </c>
      <c r="C542" t="s">
        <v>1147</v>
      </c>
      <c r="E542" t="s">
        <v>106</v>
      </c>
    </row>
    <row r="543" spans="1:5">
      <c r="A543" t="s">
        <v>1645</v>
      </c>
      <c r="C543" t="s">
        <v>1147</v>
      </c>
      <c r="E543" t="s">
        <v>106</v>
      </c>
    </row>
    <row r="544" spans="1:5">
      <c r="A544" t="s">
        <v>1646</v>
      </c>
      <c r="C544" t="s">
        <v>1147</v>
      </c>
      <c r="E544" t="s">
        <v>106</v>
      </c>
    </row>
    <row r="545" spans="1:5">
      <c r="A545" t="s">
        <v>1647</v>
      </c>
      <c r="C545" t="s">
        <v>1147</v>
      </c>
      <c r="E545" t="s">
        <v>106</v>
      </c>
    </row>
    <row r="546" spans="1:5">
      <c r="A546" t="s">
        <v>1648</v>
      </c>
      <c r="C546" t="s">
        <v>1147</v>
      </c>
      <c r="E546" t="s">
        <v>106</v>
      </c>
    </row>
    <row r="547" spans="1:5">
      <c r="A547" t="s">
        <v>1649</v>
      </c>
      <c r="C547" t="s">
        <v>1147</v>
      </c>
      <c r="E547" t="s">
        <v>106</v>
      </c>
    </row>
    <row r="548" spans="1:5">
      <c r="A548" t="s">
        <v>1650</v>
      </c>
      <c r="C548" t="s">
        <v>1147</v>
      </c>
      <c r="E548" t="s">
        <v>106</v>
      </c>
    </row>
    <row r="549" spans="1:5">
      <c r="A549" t="s">
        <v>1651</v>
      </c>
      <c r="C549" t="s">
        <v>1147</v>
      </c>
      <c r="E549" t="s">
        <v>106</v>
      </c>
    </row>
    <row r="550" spans="1:5">
      <c r="A550" t="s">
        <v>1652</v>
      </c>
      <c r="C550" t="s">
        <v>1147</v>
      </c>
      <c r="E550" t="s">
        <v>106</v>
      </c>
    </row>
    <row r="551" spans="1:5">
      <c r="A551" t="s">
        <v>1653</v>
      </c>
      <c r="C551" t="s">
        <v>1147</v>
      </c>
      <c r="E551" t="s">
        <v>106</v>
      </c>
    </row>
    <row r="552" spans="1:5">
      <c r="A552" t="s">
        <v>1654</v>
      </c>
      <c r="C552" t="s">
        <v>1147</v>
      </c>
      <c r="E552" t="s">
        <v>106</v>
      </c>
    </row>
    <row r="553" spans="1:5">
      <c r="A553" t="s">
        <v>1655</v>
      </c>
      <c r="C553" t="s">
        <v>1147</v>
      </c>
      <c r="E553" t="s">
        <v>106</v>
      </c>
    </row>
    <row r="554" spans="1:5">
      <c r="A554" t="s">
        <v>1656</v>
      </c>
      <c r="C554" t="s">
        <v>1147</v>
      </c>
      <c r="E554" t="s">
        <v>106</v>
      </c>
    </row>
    <row r="555" spans="1:5">
      <c r="A555" t="s">
        <v>1657</v>
      </c>
      <c r="C555" t="s">
        <v>1147</v>
      </c>
      <c r="E555" t="s">
        <v>106</v>
      </c>
    </row>
    <row r="556" spans="1:5">
      <c r="A556" t="s">
        <v>1658</v>
      </c>
      <c r="C556" t="s">
        <v>1147</v>
      </c>
      <c r="E556" t="s">
        <v>106</v>
      </c>
    </row>
    <row r="557" spans="1:5">
      <c r="A557" t="s">
        <v>1659</v>
      </c>
      <c r="C557" t="s">
        <v>1147</v>
      </c>
      <c r="E557" t="s">
        <v>106</v>
      </c>
    </row>
    <row r="558" spans="1:5">
      <c r="A558" t="s">
        <v>1660</v>
      </c>
      <c r="C558" t="s">
        <v>1147</v>
      </c>
      <c r="E558" t="s">
        <v>106</v>
      </c>
    </row>
    <row r="559" spans="1:5">
      <c r="A559" t="s">
        <v>1661</v>
      </c>
      <c r="C559" t="s">
        <v>1147</v>
      </c>
      <c r="E559" t="s">
        <v>106</v>
      </c>
    </row>
    <row r="560" spans="1:5">
      <c r="A560" t="s">
        <v>1662</v>
      </c>
      <c r="C560" t="s">
        <v>1147</v>
      </c>
      <c r="E560" t="s">
        <v>106</v>
      </c>
    </row>
    <row r="561" spans="1:5">
      <c r="A561" t="s">
        <v>1663</v>
      </c>
      <c r="C561" t="s">
        <v>1147</v>
      </c>
      <c r="E561" t="s">
        <v>106</v>
      </c>
    </row>
    <row r="562" spans="1:5">
      <c r="A562" t="s">
        <v>1664</v>
      </c>
      <c r="C562" t="s">
        <v>1147</v>
      </c>
      <c r="E562" t="s">
        <v>106</v>
      </c>
    </row>
    <row r="563" spans="1:5">
      <c r="A563" t="s">
        <v>1665</v>
      </c>
      <c r="C563" t="s">
        <v>1147</v>
      </c>
      <c r="E563" t="s">
        <v>106</v>
      </c>
    </row>
    <row r="564" spans="1:5">
      <c r="A564" t="s">
        <v>1666</v>
      </c>
      <c r="C564" t="s">
        <v>1147</v>
      </c>
      <c r="E564" t="s">
        <v>106</v>
      </c>
    </row>
    <row r="565" spans="1:5">
      <c r="A565" t="s">
        <v>1667</v>
      </c>
      <c r="C565" t="s">
        <v>1147</v>
      </c>
      <c r="E565" t="s">
        <v>106</v>
      </c>
    </row>
    <row r="566" spans="1:5">
      <c r="A566" t="s">
        <v>1668</v>
      </c>
      <c r="C566" t="s">
        <v>1147</v>
      </c>
      <c r="E566" t="s">
        <v>106</v>
      </c>
    </row>
    <row r="567" spans="1:5">
      <c r="A567" t="s">
        <v>1669</v>
      </c>
      <c r="C567" t="s">
        <v>1147</v>
      </c>
      <c r="E567" t="s">
        <v>106</v>
      </c>
    </row>
    <row r="568" spans="1:5">
      <c r="A568" t="s">
        <v>1670</v>
      </c>
      <c r="C568" t="s">
        <v>1147</v>
      </c>
      <c r="E568" t="s">
        <v>106</v>
      </c>
    </row>
    <row r="569" spans="1:5">
      <c r="A569" t="s">
        <v>1671</v>
      </c>
      <c r="C569" t="s">
        <v>1147</v>
      </c>
      <c r="E569" t="s">
        <v>106</v>
      </c>
    </row>
    <row r="570" spans="1:5">
      <c r="A570" t="s">
        <v>1672</v>
      </c>
      <c r="C570" t="s">
        <v>1147</v>
      </c>
      <c r="E570" t="s">
        <v>106</v>
      </c>
    </row>
    <row r="571" spans="1:5">
      <c r="A571" t="s">
        <v>1673</v>
      </c>
      <c r="C571" t="s">
        <v>1147</v>
      </c>
      <c r="E571" t="s">
        <v>106</v>
      </c>
    </row>
    <row r="572" spans="1:5">
      <c r="A572" t="s">
        <v>1674</v>
      </c>
      <c r="C572" t="s">
        <v>1147</v>
      </c>
      <c r="E572" t="s">
        <v>106</v>
      </c>
    </row>
    <row r="573" spans="1:5">
      <c r="A573" t="s">
        <v>1675</v>
      </c>
      <c r="C573" t="s">
        <v>1147</v>
      </c>
      <c r="E573" t="s">
        <v>106</v>
      </c>
    </row>
    <row r="574" spans="1:5">
      <c r="A574" t="s">
        <v>1676</v>
      </c>
      <c r="C574" t="s">
        <v>1147</v>
      </c>
      <c r="E574" t="s">
        <v>106</v>
      </c>
    </row>
    <row r="575" spans="1:5">
      <c r="A575" t="s">
        <v>1677</v>
      </c>
      <c r="C575" t="s">
        <v>1147</v>
      </c>
      <c r="E575" t="s">
        <v>106</v>
      </c>
    </row>
    <row r="576" spans="1:5">
      <c r="A576" t="s">
        <v>1678</v>
      </c>
      <c r="C576" t="s">
        <v>1147</v>
      </c>
      <c r="E576" t="s">
        <v>106</v>
      </c>
    </row>
    <row r="577" spans="1:5">
      <c r="A577" t="s">
        <v>1679</v>
      </c>
      <c r="C577" t="s">
        <v>1147</v>
      </c>
      <c r="E577" t="s">
        <v>106</v>
      </c>
    </row>
    <row r="578" spans="1:5">
      <c r="A578" t="s">
        <v>1680</v>
      </c>
      <c r="C578" t="s">
        <v>1147</v>
      </c>
      <c r="E578" t="s">
        <v>106</v>
      </c>
    </row>
    <row r="579" spans="1:5">
      <c r="A579" t="s">
        <v>1681</v>
      </c>
      <c r="C579" t="s">
        <v>1147</v>
      </c>
      <c r="E579" t="s">
        <v>106</v>
      </c>
    </row>
    <row r="580" spans="1:5">
      <c r="A580" t="s">
        <v>1682</v>
      </c>
      <c r="C580" t="s">
        <v>1147</v>
      </c>
      <c r="E580" t="s">
        <v>106</v>
      </c>
    </row>
    <row r="581" spans="1:5">
      <c r="A581" t="s">
        <v>1683</v>
      </c>
      <c r="C581" t="s">
        <v>1147</v>
      </c>
      <c r="E581" t="s">
        <v>106</v>
      </c>
    </row>
    <row r="582" spans="1:5">
      <c r="A582" t="s">
        <v>1684</v>
      </c>
      <c r="C582" t="s">
        <v>1147</v>
      </c>
      <c r="E582" t="s">
        <v>106</v>
      </c>
    </row>
    <row r="583" spans="1:5">
      <c r="A583" t="s">
        <v>1685</v>
      </c>
      <c r="C583" t="s">
        <v>1147</v>
      </c>
      <c r="E583" t="s">
        <v>106</v>
      </c>
    </row>
    <row r="584" spans="1:5">
      <c r="A584" t="s">
        <v>1686</v>
      </c>
      <c r="C584" t="s">
        <v>1147</v>
      </c>
      <c r="E584" t="s">
        <v>106</v>
      </c>
    </row>
    <row r="585" spans="1:5">
      <c r="A585" t="s">
        <v>1687</v>
      </c>
      <c r="C585" t="s">
        <v>1147</v>
      </c>
      <c r="E585" t="s">
        <v>106</v>
      </c>
    </row>
    <row r="586" spans="1:5">
      <c r="A586" t="s">
        <v>1688</v>
      </c>
      <c r="C586" t="s">
        <v>1147</v>
      </c>
      <c r="E586" t="s">
        <v>106</v>
      </c>
    </row>
    <row r="587" spans="1:5">
      <c r="A587" t="s">
        <v>1689</v>
      </c>
      <c r="C587" t="s">
        <v>1147</v>
      </c>
      <c r="E587" t="s">
        <v>106</v>
      </c>
    </row>
    <row r="588" spans="1:5">
      <c r="A588" t="s">
        <v>1690</v>
      </c>
      <c r="C588" t="s">
        <v>1147</v>
      </c>
      <c r="E588" t="s">
        <v>106</v>
      </c>
    </row>
    <row r="589" spans="1:5">
      <c r="A589" t="s">
        <v>1691</v>
      </c>
      <c r="C589" t="s">
        <v>1147</v>
      </c>
      <c r="E589" t="s">
        <v>106</v>
      </c>
    </row>
    <row r="590" spans="1:5">
      <c r="A590" t="s">
        <v>1692</v>
      </c>
      <c r="C590" t="s">
        <v>1147</v>
      </c>
      <c r="E590" t="s">
        <v>106</v>
      </c>
    </row>
    <row r="591" spans="1:5">
      <c r="A591" t="s">
        <v>1693</v>
      </c>
      <c r="C591" t="s">
        <v>1147</v>
      </c>
      <c r="E591" t="s">
        <v>106</v>
      </c>
    </row>
    <row r="592" spans="1:5">
      <c r="A592" t="s">
        <v>1694</v>
      </c>
      <c r="C592" t="s">
        <v>1147</v>
      </c>
      <c r="E592" t="s">
        <v>106</v>
      </c>
    </row>
    <row r="593" spans="1:5">
      <c r="A593" t="s">
        <v>1695</v>
      </c>
      <c r="C593" t="s">
        <v>1147</v>
      </c>
      <c r="E593" t="s">
        <v>106</v>
      </c>
    </row>
    <row r="594" spans="1:5">
      <c r="A594" t="s">
        <v>1696</v>
      </c>
      <c r="C594" t="s">
        <v>1147</v>
      </c>
      <c r="E594" t="s">
        <v>106</v>
      </c>
    </row>
    <row r="595" spans="1:5">
      <c r="A595" t="s">
        <v>1697</v>
      </c>
      <c r="C595" t="s">
        <v>1147</v>
      </c>
      <c r="E595" t="s">
        <v>106</v>
      </c>
    </row>
    <row r="596" spans="1:5">
      <c r="A596" t="s">
        <v>1698</v>
      </c>
      <c r="C596" t="s">
        <v>1147</v>
      </c>
      <c r="E596" t="s">
        <v>106</v>
      </c>
    </row>
    <row r="597" spans="1:5">
      <c r="A597" t="s">
        <v>1699</v>
      </c>
      <c r="C597" t="s">
        <v>1147</v>
      </c>
      <c r="E597" t="s">
        <v>106</v>
      </c>
    </row>
    <row r="598" spans="1:5">
      <c r="A598" t="s">
        <v>1700</v>
      </c>
      <c r="C598" t="s">
        <v>1147</v>
      </c>
      <c r="E598" t="s">
        <v>106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D84D-B649-49E7-B335-4163FCBC5221}">
  <dimension ref="A1:F489"/>
  <sheetViews>
    <sheetView workbookViewId="0">
      <selection activeCell="D6" sqref="D6"/>
    </sheetView>
  </sheetViews>
  <sheetFormatPr defaultColWidth="9.140625" defaultRowHeight="15"/>
  <cols>
    <col min="1" max="1" width="15.42578125" bestFit="1" customWidth="1"/>
    <col min="2" max="2" width="37.5703125" bestFit="1" customWidth="1"/>
    <col min="3" max="3" width="17.85546875" bestFit="1" customWidth="1"/>
    <col min="4" max="4" width="107.5703125" bestFit="1" customWidth="1"/>
    <col min="5" max="5" width="14.85546875" bestFit="1" customWidth="1"/>
    <col min="6" max="6" width="24.140625" bestFit="1" customWidth="1"/>
  </cols>
  <sheetData>
    <row r="1" spans="1:6">
      <c r="A1" t="s">
        <v>1701</v>
      </c>
      <c r="B1" t="s">
        <v>1702</v>
      </c>
      <c r="C1" t="s">
        <v>1703</v>
      </c>
      <c r="D1" t="s">
        <v>1049</v>
      </c>
      <c r="E1" t="s">
        <v>1704</v>
      </c>
      <c r="F1" t="s">
        <v>1705</v>
      </c>
    </row>
    <row r="2" spans="1:6">
      <c r="A2" t="s">
        <v>1706</v>
      </c>
      <c r="B2" t="s">
        <v>261</v>
      </c>
      <c r="C2">
        <v>1307077220</v>
      </c>
      <c r="D2" t="s">
        <v>1090</v>
      </c>
      <c r="E2" t="s">
        <v>1707</v>
      </c>
      <c r="F2" t="s">
        <v>1088</v>
      </c>
    </row>
    <row r="3" spans="1:6">
      <c r="A3" t="s">
        <v>1708</v>
      </c>
      <c r="B3" t="s">
        <v>264</v>
      </c>
      <c r="C3">
        <v>1313436188</v>
      </c>
      <c r="D3" t="s">
        <v>1127</v>
      </c>
      <c r="E3" t="s">
        <v>1707</v>
      </c>
      <c r="F3" t="s">
        <v>1128</v>
      </c>
    </row>
    <row r="4" spans="1:6">
      <c r="A4" t="s">
        <v>1709</v>
      </c>
      <c r="B4" t="s">
        <v>39</v>
      </c>
      <c r="C4">
        <v>1308294501</v>
      </c>
      <c r="D4" t="s">
        <v>1062</v>
      </c>
      <c r="E4" t="s">
        <v>1707</v>
      </c>
      <c r="F4" t="s">
        <v>1063</v>
      </c>
    </row>
    <row r="5" spans="1:6">
      <c r="A5" t="s">
        <v>1710</v>
      </c>
      <c r="B5" t="s">
        <v>268</v>
      </c>
      <c r="C5">
        <v>1304764002</v>
      </c>
      <c r="D5" t="s">
        <v>1105</v>
      </c>
      <c r="E5" t="s">
        <v>1707</v>
      </c>
      <c r="F5" t="s">
        <v>1106</v>
      </c>
    </row>
    <row r="6" spans="1:6">
      <c r="A6" t="s">
        <v>1711</v>
      </c>
      <c r="B6" t="s">
        <v>268</v>
      </c>
      <c r="C6">
        <v>1304764002</v>
      </c>
      <c r="D6" t="s">
        <v>1083</v>
      </c>
      <c r="E6" t="s">
        <v>1707</v>
      </c>
      <c r="F6" t="s">
        <v>1081</v>
      </c>
    </row>
    <row r="7" spans="1:6">
      <c r="A7" t="s">
        <v>1712</v>
      </c>
      <c r="B7" t="s">
        <v>270</v>
      </c>
      <c r="C7">
        <v>911662674</v>
      </c>
      <c r="D7" t="s">
        <v>1059</v>
      </c>
      <c r="E7" t="s">
        <v>1707</v>
      </c>
      <c r="F7" t="s">
        <v>1060</v>
      </c>
    </row>
    <row r="8" spans="1:6">
      <c r="A8" t="s">
        <v>1713</v>
      </c>
      <c r="B8" t="s">
        <v>270</v>
      </c>
      <c r="C8">
        <v>911662674</v>
      </c>
      <c r="D8" t="s">
        <v>1076</v>
      </c>
      <c r="E8" t="s">
        <v>1707</v>
      </c>
      <c r="F8" t="s">
        <v>1066</v>
      </c>
    </row>
    <row r="9" spans="1:6">
      <c r="A9" t="s">
        <v>1714</v>
      </c>
      <c r="B9" t="s">
        <v>272</v>
      </c>
      <c r="C9">
        <v>1309751582</v>
      </c>
      <c r="D9" t="s">
        <v>1130</v>
      </c>
      <c r="E9" t="s">
        <v>1707</v>
      </c>
      <c r="F9" t="s">
        <v>1131</v>
      </c>
    </row>
    <row r="10" spans="1:6">
      <c r="A10" t="s">
        <v>1715</v>
      </c>
      <c r="B10" t="s">
        <v>272</v>
      </c>
      <c r="C10">
        <v>1309751582</v>
      </c>
      <c r="D10" t="s">
        <v>1056</v>
      </c>
      <c r="E10" t="s">
        <v>1707</v>
      </c>
      <c r="F10" t="s">
        <v>1057</v>
      </c>
    </row>
    <row r="11" spans="1:6">
      <c r="A11" t="s">
        <v>1716</v>
      </c>
      <c r="B11" t="s">
        <v>274</v>
      </c>
      <c r="C11">
        <v>1309499521</v>
      </c>
      <c r="D11" t="s">
        <v>1085</v>
      </c>
      <c r="E11" t="s">
        <v>1707</v>
      </c>
      <c r="F11" t="s">
        <v>1081</v>
      </c>
    </row>
    <row r="12" spans="1:6">
      <c r="A12" t="s">
        <v>1717</v>
      </c>
      <c r="B12" t="s">
        <v>276</v>
      </c>
      <c r="C12">
        <v>1306306000</v>
      </c>
      <c r="D12" t="s">
        <v>1102</v>
      </c>
      <c r="E12" t="s">
        <v>1707</v>
      </c>
      <c r="F12" t="s">
        <v>1103</v>
      </c>
    </row>
    <row r="13" spans="1:6">
      <c r="A13" t="s">
        <v>1718</v>
      </c>
      <c r="B13" t="s">
        <v>278</v>
      </c>
      <c r="C13">
        <v>1305904797</v>
      </c>
      <c r="D13" t="s">
        <v>1130</v>
      </c>
      <c r="E13" t="s">
        <v>1707</v>
      </c>
      <c r="F13" t="s">
        <v>1131</v>
      </c>
    </row>
    <row r="14" spans="1:6">
      <c r="A14" t="s">
        <v>1719</v>
      </c>
      <c r="B14" t="s">
        <v>281</v>
      </c>
      <c r="C14">
        <v>801939851</v>
      </c>
      <c r="D14" t="s">
        <v>1109</v>
      </c>
      <c r="E14" t="s">
        <v>1707</v>
      </c>
      <c r="F14" t="s">
        <v>1106</v>
      </c>
    </row>
    <row r="15" spans="1:6">
      <c r="A15" t="s">
        <v>1720</v>
      </c>
      <c r="B15" t="s">
        <v>283</v>
      </c>
      <c r="C15">
        <v>1311724569</v>
      </c>
      <c r="D15" t="s">
        <v>1065</v>
      </c>
      <c r="E15" t="s">
        <v>1707</v>
      </c>
      <c r="F15" t="s">
        <v>1066</v>
      </c>
    </row>
    <row r="16" spans="1:6">
      <c r="A16" t="s">
        <v>1721</v>
      </c>
      <c r="B16" t="s">
        <v>285</v>
      </c>
      <c r="C16">
        <v>1306183573</v>
      </c>
      <c r="D16" t="s">
        <v>1111</v>
      </c>
      <c r="E16" t="s">
        <v>1707</v>
      </c>
      <c r="F16" t="s">
        <v>1106</v>
      </c>
    </row>
    <row r="17" spans="1:6">
      <c r="A17" t="s">
        <v>1722</v>
      </c>
      <c r="B17" t="s">
        <v>289</v>
      </c>
      <c r="C17">
        <v>1311966418</v>
      </c>
      <c r="D17" t="s">
        <v>1122</v>
      </c>
      <c r="E17" t="s">
        <v>1707</v>
      </c>
      <c r="F17" t="s">
        <v>1120</v>
      </c>
    </row>
    <row r="18" spans="1:6">
      <c r="A18" t="s">
        <v>1723</v>
      </c>
      <c r="B18" t="s">
        <v>291</v>
      </c>
      <c r="C18">
        <v>1309704565</v>
      </c>
      <c r="D18" t="s">
        <v>1094</v>
      </c>
      <c r="E18" t="s">
        <v>1707</v>
      </c>
      <c r="F18" t="s">
        <v>1088</v>
      </c>
    </row>
    <row r="19" spans="1:6">
      <c r="A19" t="s">
        <v>1724</v>
      </c>
      <c r="B19" t="s">
        <v>293</v>
      </c>
      <c r="C19">
        <v>1310474414</v>
      </c>
      <c r="D19" t="s">
        <v>1078</v>
      </c>
      <c r="E19" t="s">
        <v>1707</v>
      </c>
      <c r="F19" t="s">
        <v>1066</v>
      </c>
    </row>
    <row r="20" spans="1:6">
      <c r="A20" t="s">
        <v>1725</v>
      </c>
      <c r="B20" t="s">
        <v>293</v>
      </c>
      <c r="C20">
        <v>1310474414</v>
      </c>
      <c r="D20" t="s">
        <v>1053</v>
      </c>
      <c r="E20" t="s">
        <v>1707</v>
      </c>
      <c r="F20" t="s">
        <v>1054</v>
      </c>
    </row>
    <row r="21" spans="1:6">
      <c r="A21" t="s">
        <v>1726</v>
      </c>
      <c r="B21" t="s">
        <v>293</v>
      </c>
      <c r="C21">
        <v>1310474414</v>
      </c>
      <c r="D21" t="s">
        <v>1092</v>
      </c>
      <c r="E21" t="s">
        <v>1707</v>
      </c>
      <c r="F21" t="s">
        <v>1088</v>
      </c>
    </row>
    <row r="22" spans="1:6">
      <c r="A22" t="s">
        <v>1727</v>
      </c>
      <c r="B22" t="s">
        <v>295</v>
      </c>
      <c r="C22">
        <v>1310563497</v>
      </c>
      <c r="D22" t="s">
        <v>1078</v>
      </c>
      <c r="E22" t="s">
        <v>1707</v>
      </c>
      <c r="F22" t="s">
        <v>1066</v>
      </c>
    </row>
    <row r="23" spans="1:6">
      <c r="A23" t="s">
        <v>1728</v>
      </c>
      <c r="B23" t="s">
        <v>297</v>
      </c>
      <c r="C23">
        <v>1312874314</v>
      </c>
      <c r="D23" t="s">
        <v>1094</v>
      </c>
      <c r="E23" t="s">
        <v>1707</v>
      </c>
      <c r="F23" t="s">
        <v>1088</v>
      </c>
    </row>
    <row r="24" spans="1:6">
      <c r="A24" t="s">
        <v>1729</v>
      </c>
      <c r="B24" t="s">
        <v>238</v>
      </c>
      <c r="C24">
        <v>1307048296</v>
      </c>
      <c r="D24" t="s">
        <v>1068</v>
      </c>
      <c r="E24" t="s">
        <v>1707</v>
      </c>
      <c r="F24" t="s">
        <v>1066</v>
      </c>
    </row>
    <row r="25" spans="1:6">
      <c r="A25" t="s">
        <v>1730</v>
      </c>
      <c r="B25" t="s">
        <v>301</v>
      </c>
      <c r="C25">
        <v>1304549452</v>
      </c>
      <c r="D25" t="s">
        <v>1094</v>
      </c>
      <c r="E25" t="s">
        <v>1707</v>
      </c>
      <c r="F25" t="s">
        <v>1088</v>
      </c>
    </row>
    <row r="26" spans="1:6">
      <c r="A26" t="s">
        <v>1731</v>
      </c>
      <c r="B26" t="s">
        <v>303</v>
      </c>
      <c r="C26">
        <v>1310314602</v>
      </c>
      <c r="D26" t="s">
        <v>1125</v>
      </c>
      <c r="E26" t="s">
        <v>1707</v>
      </c>
      <c r="F26" t="s">
        <v>1120</v>
      </c>
    </row>
    <row r="27" spans="1:6">
      <c r="A27" t="s">
        <v>1732</v>
      </c>
      <c r="B27" t="s">
        <v>305</v>
      </c>
      <c r="C27">
        <v>1305955856</v>
      </c>
      <c r="D27" t="s">
        <v>1056</v>
      </c>
      <c r="E27" t="s">
        <v>1707</v>
      </c>
      <c r="F27" t="s">
        <v>1057</v>
      </c>
    </row>
    <row r="28" spans="1:6">
      <c r="A28" t="s">
        <v>1733</v>
      </c>
      <c r="B28" t="s">
        <v>305</v>
      </c>
      <c r="C28">
        <v>1305955856</v>
      </c>
      <c r="D28" t="s">
        <v>1074</v>
      </c>
      <c r="E28" t="s">
        <v>1707</v>
      </c>
      <c r="F28" t="s">
        <v>1066</v>
      </c>
    </row>
    <row r="29" spans="1:6">
      <c r="A29" t="s">
        <v>1734</v>
      </c>
      <c r="B29" t="s">
        <v>309</v>
      </c>
      <c r="C29">
        <v>1305058859</v>
      </c>
      <c r="D29" t="s">
        <v>1080</v>
      </c>
      <c r="E29" t="s">
        <v>1707</v>
      </c>
      <c r="F29" t="s">
        <v>1081</v>
      </c>
    </row>
    <row r="30" spans="1:6">
      <c r="A30" t="s">
        <v>1735</v>
      </c>
      <c r="B30" t="s">
        <v>266</v>
      </c>
      <c r="C30">
        <v>802191734</v>
      </c>
      <c r="D30" t="s">
        <v>1083</v>
      </c>
      <c r="E30" t="s">
        <v>1707</v>
      </c>
      <c r="F30" t="s">
        <v>1081</v>
      </c>
    </row>
    <row r="31" spans="1:6">
      <c r="A31" t="s">
        <v>1736</v>
      </c>
      <c r="B31" t="s">
        <v>311</v>
      </c>
      <c r="C31">
        <v>1308368230</v>
      </c>
      <c r="D31" t="s">
        <v>1065</v>
      </c>
      <c r="E31" t="s">
        <v>1707</v>
      </c>
      <c r="F31" t="s">
        <v>1066</v>
      </c>
    </row>
    <row r="32" spans="1:6">
      <c r="A32" t="s">
        <v>1737</v>
      </c>
      <c r="B32" t="s">
        <v>311</v>
      </c>
      <c r="C32">
        <v>1308368230</v>
      </c>
      <c r="D32" t="s">
        <v>1100</v>
      </c>
      <c r="E32" t="s">
        <v>1707</v>
      </c>
      <c r="F32" t="s">
        <v>1098</v>
      </c>
    </row>
    <row r="33" spans="1:6">
      <c r="A33" t="s">
        <v>1738</v>
      </c>
      <c r="B33" t="s">
        <v>311</v>
      </c>
      <c r="C33">
        <v>1308368230</v>
      </c>
      <c r="D33" t="s">
        <v>1087</v>
      </c>
      <c r="E33" t="s">
        <v>1707</v>
      </c>
      <c r="F33" t="s">
        <v>1088</v>
      </c>
    </row>
    <row r="34" spans="1:6">
      <c r="A34" t="s">
        <v>1739</v>
      </c>
      <c r="B34" t="s">
        <v>313</v>
      </c>
      <c r="C34">
        <v>1311936239</v>
      </c>
      <c r="D34" t="s">
        <v>1085</v>
      </c>
      <c r="E34" t="s">
        <v>1707</v>
      </c>
      <c r="F34" t="s">
        <v>1081</v>
      </c>
    </row>
    <row r="35" spans="1:6">
      <c r="A35" t="s">
        <v>1740</v>
      </c>
      <c r="B35" t="s">
        <v>315</v>
      </c>
      <c r="C35">
        <v>1307597201</v>
      </c>
      <c r="D35" t="s">
        <v>1080</v>
      </c>
      <c r="E35" t="s">
        <v>1707</v>
      </c>
      <c r="F35" t="s">
        <v>1081</v>
      </c>
    </row>
    <row r="36" spans="1:6">
      <c r="A36" t="s">
        <v>1741</v>
      </c>
      <c r="B36" t="s">
        <v>317</v>
      </c>
      <c r="C36">
        <v>1306795087</v>
      </c>
      <c r="D36" t="s">
        <v>1119</v>
      </c>
      <c r="E36" t="s">
        <v>1707</v>
      </c>
      <c r="F36" t="s">
        <v>1120</v>
      </c>
    </row>
    <row r="37" spans="1:6">
      <c r="A37" t="s">
        <v>1742</v>
      </c>
      <c r="B37" t="s">
        <v>317</v>
      </c>
      <c r="C37">
        <v>1306795087</v>
      </c>
      <c r="D37" t="s">
        <v>1114</v>
      </c>
      <c r="E37" t="s">
        <v>1707</v>
      </c>
      <c r="F37" t="s">
        <v>1115</v>
      </c>
    </row>
    <row r="38" spans="1:6">
      <c r="A38" t="s">
        <v>1743</v>
      </c>
      <c r="B38" t="s">
        <v>317</v>
      </c>
      <c r="C38">
        <v>1306795087</v>
      </c>
      <c r="D38" t="s">
        <v>1071</v>
      </c>
      <c r="E38" t="s">
        <v>1707</v>
      </c>
      <c r="F38" t="s">
        <v>1066</v>
      </c>
    </row>
    <row r="39" spans="1:6">
      <c r="A39" t="s">
        <v>1744</v>
      </c>
      <c r="B39" t="s">
        <v>317</v>
      </c>
      <c r="C39">
        <v>1306795087</v>
      </c>
      <c r="D39" t="s">
        <v>1053</v>
      </c>
      <c r="E39" t="s">
        <v>1707</v>
      </c>
      <c r="F39" t="s">
        <v>1054</v>
      </c>
    </row>
    <row r="40" spans="1:6">
      <c r="A40" t="s">
        <v>1745</v>
      </c>
      <c r="B40" t="s">
        <v>319</v>
      </c>
      <c r="C40">
        <v>1312179870</v>
      </c>
      <c r="D40" t="s">
        <v>1119</v>
      </c>
      <c r="E40" t="s">
        <v>1707</v>
      </c>
      <c r="F40" t="s">
        <v>1120</v>
      </c>
    </row>
    <row r="41" spans="1:6">
      <c r="A41" t="s">
        <v>1746</v>
      </c>
      <c r="B41" t="s">
        <v>321</v>
      </c>
      <c r="C41">
        <v>1311778698</v>
      </c>
      <c r="D41" t="s">
        <v>1085</v>
      </c>
      <c r="E41" t="s">
        <v>1707</v>
      </c>
      <c r="F41" t="s">
        <v>1081</v>
      </c>
    </row>
    <row r="42" spans="1:6">
      <c r="A42" t="s">
        <v>1747</v>
      </c>
      <c r="B42" t="s">
        <v>323</v>
      </c>
      <c r="C42">
        <v>1304685215</v>
      </c>
      <c r="D42" t="s">
        <v>1133</v>
      </c>
      <c r="E42" t="s">
        <v>1707</v>
      </c>
      <c r="F42" t="s">
        <v>1134</v>
      </c>
    </row>
    <row r="43" spans="1:6">
      <c r="A43" t="s">
        <v>1748</v>
      </c>
      <c r="B43" t="s">
        <v>327</v>
      </c>
      <c r="C43">
        <v>1305567610</v>
      </c>
      <c r="D43" t="s">
        <v>1094</v>
      </c>
      <c r="E43" t="s">
        <v>1707</v>
      </c>
      <c r="F43" t="s">
        <v>1088</v>
      </c>
    </row>
    <row r="44" spans="1:6">
      <c r="A44" t="s">
        <v>1749</v>
      </c>
      <c r="B44" t="s">
        <v>329</v>
      </c>
      <c r="C44">
        <v>1312718487</v>
      </c>
      <c r="D44" t="s">
        <v>1142</v>
      </c>
      <c r="E44" t="s">
        <v>1707</v>
      </c>
      <c r="F44" t="s">
        <v>1137</v>
      </c>
    </row>
    <row r="45" spans="1:6">
      <c r="A45" t="s">
        <v>1750</v>
      </c>
      <c r="B45" t="s">
        <v>331</v>
      </c>
      <c r="C45">
        <v>1315243376</v>
      </c>
      <c r="D45" t="s">
        <v>1136</v>
      </c>
      <c r="E45" t="s">
        <v>1707</v>
      </c>
      <c r="F45" t="s">
        <v>1137</v>
      </c>
    </row>
    <row r="46" spans="1:6">
      <c r="A46" t="s">
        <v>1751</v>
      </c>
      <c r="B46" t="s">
        <v>331</v>
      </c>
      <c r="C46">
        <v>1315243376</v>
      </c>
      <c r="D46" t="s">
        <v>1092</v>
      </c>
      <c r="E46" t="s">
        <v>1707</v>
      </c>
      <c r="F46" t="s">
        <v>1088</v>
      </c>
    </row>
    <row r="47" spans="1:6">
      <c r="A47" t="s">
        <v>1752</v>
      </c>
      <c r="B47" t="s">
        <v>333</v>
      </c>
      <c r="C47">
        <v>914125430</v>
      </c>
      <c r="D47" t="s">
        <v>1074</v>
      </c>
      <c r="E47" t="s">
        <v>1707</v>
      </c>
      <c r="F47" t="s">
        <v>1066</v>
      </c>
    </row>
    <row r="48" spans="1:6">
      <c r="A48" t="s">
        <v>1753</v>
      </c>
      <c r="B48" t="s">
        <v>333</v>
      </c>
      <c r="C48">
        <v>914125430</v>
      </c>
      <c r="D48" t="s">
        <v>1122</v>
      </c>
      <c r="E48" t="s">
        <v>1707</v>
      </c>
      <c r="F48" t="s">
        <v>1120</v>
      </c>
    </row>
    <row r="49" spans="1:6">
      <c r="A49" t="s">
        <v>1754</v>
      </c>
      <c r="B49" t="s">
        <v>335</v>
      </c>
      <c r="C49">
        <v>1313313080</v>
      </c>
      <c r="D49" t="s">
        <v>1139</v>
      </c>
      <c r="E49" t="s">
        <v>1707</v>
      </c>
      <c r="F49" t="s">
        <v>1137</v>
      </c>
    </row>
    <row r="50" spans="1:6">
      <c r="A50" t="s">
        <v>1755</v>
      </c>
      <c r="B50" t="s">
        <v>337</v>
      </c>
      <c r="C50">
        <v>1308646155</v>
      </c>
      <c r="D50" t="s">
        <v>1130</v>
      </c>
      <c r="E50" t="s">
        <v>1707</v>
      </c>
      <c r="F50" t="s">
        <v>1131</v>
      </c>
    </row>
    <row r="51" spans="1:6">
      <c r="A51" t="s">
        <v>1756</v>
      </c>
      <c r="B51" t="s">
        <v>339</v>
      </c>
      <c r="C51">
        <v>1309206298</v>
      </c>
      <c r="D51" t="s">
        <v>1068</v>
      </c>
      <c r="E51" t="s">
        <v>1707</v>
      </c>
      <c r="F51" t="s">
        <v>1066</v>
      </c>
    </row>
    <row r="52" spans="1:6">
      <c r="A52" t="s">
        <v>1757</v>
      </c>
      <c r="B52" t="s">
        <v>431</v>
      </c>
      <c r="C52">
        <v>1312319641</v>
      </c>
      <c r="D52" t="s">
        <v>1094</v>
      </c>
      <c r="E52" t="s">
        <v>1707</v>
      </c>
      <c r="F52" t="s">
        <v>1088</v>
      </c>
    </row>
    <row r="53" spans="1:6">
      <c r="A53" t="s">
        <v>1758</v>
      </c>
      <c r="B53" t="s">
        <v>429</v>
      </c>
      <c r="C53">
        <v>912379716</v>
      </c>
      <c r="D53" t="s">
        <v>1065</v>
      </c>
      <c r="E53" t="s">
        <v>1707</v>
      </c>
      <c r="F53" t="s">
        <v>1066</v>
      </c>
    </row>
    <row r="54" spans="1:6">
      <c r="A54" t="s">
        <v>1759</v>
      </c>
      <c r="B54" t="s">
        <v>429</v>
      </c>
      <c r="C54">
        <v>912379716</v>
      </c>
      <c r="D54" t="s">
        <v>1122</v>
      </c>
      <c r="E54" t="s">
        <v>1707</v>
      </c>
      <c r="F54" t="s">
        <v>1120</v>
      </c>
    </row>
    <row r="55" spans="1:6">
      <c r="A55" t="s">
        <v>1760</v>
      </c>
      <c r="C55" t="s">
        <v>1761</v>
      </c>
      <c r="E55" t="s">
        <v>1707</v>
      </c>
      <c r="F55" t="s">
        <v>1147</v>
      </c>
    </row>
    <row r="56" spans="1:6">
      <c r="A56" t="s">
        <v>1762</v>
      </c>
      <c r="C56" t="s">
        <v>1761</v>
      </c>
      <c r="E56" t="s">
        <v>1707</v>
      </c>
      <c r="F56" t="s">
        <v>1147</v>
      </c>
    </row>
    <row r="57" spans="1:6">
      <c r="A57" t="s">
        <v>1763</v>
      </c>
      <c r="C57" t="s">
        <v>1761</v>
      </c>
      <c r="E57" t="s">
        <v>1707</v>
      </c>
      <c r="F57" t="s">
        <v>1147</v>
      </c>
    </row>
    <row r="58" spans="1:6">
      <c r="A58" t="s">
        <v>1764</v>
      </c>
      <c r="C58" t="s">
        <v>1761</v>
      </c>
      <c r="E58" t="s">
        <v>1707</v>
      </c>
      <c r="F58" t="s">
        <v>1147</v>
      </c>
    </row>
    <row r="59" spans="1:6">
      <c r="A59" t="s">
        <v>1765</v>
      </c>
      <c r="C59" t="s">
        <v>1761</v>
      </c>
      <c r="E59" t="s">
        <v>1707</v>
      </c>
      <c r="F59" t="s">
        <v>1147</v>
      </c>
    </row>
    <row r="60" spans="1:6">
      <c r="A60" t="s">
        <v>1766</v>
      </c>
      <c r="C60" t="s">
        <v>1761</v>
      </c>
      <c r="E60" t="s">
        <v>1707</v>
      </c>
      <c r="F60" t="s">
        <v>1147</v>
      </c>
    </row>
    <row r="61" spans="1:6">
      <c r="A61" t="s">
        <v>1767</v>
      </c>
      <c r="C61" t="s">
        <v>1761</v>
      </c>
      <c r="E61" t="s">
        <v>1707</v>
      </c>
      <c r="F61" t="s">
        <v>1147</v>
      </c>
    </row>
    <row r="62" spans="1:6">
      <c r="A62" t="s">
        <v>1768</v>
      </c>
      <c r="C62" t="s">
        <v>1761</v>
      </c>
      <c r="E62" t="s">
        <v>1707</v>
      </c>
      <c r="F62" t="s">
        <v>1147</v>
      </c>
    </row>
    <row r="63" spans="1:6">
      <c r="A63" t="s">
        <v>1769</v>
      </c>
      <c r="C63" t="s">
        <v>1761</v>
      </c>
      <c r="E63" t="s">
        <v>1707</v>
      </c>
      <c r="F63" t="s">
        <v>1147</v>
      </c>
    </row>
    <row r="64" spans="1:6">
      <c r="A64" t="s">
        <v>1770</v>
      </c>
      <c r="C64" t="s">
        <v>1761</v>
      </c>
      <c r="E64" t="s">
        <v>1707</v>
      </c>
      <c r="F64" t="s">
        <v>1147</v>
      </c>
    </row>
    <row r="65" spans="1:6">
      <c r="A65" t="s">
        <v>1771</v>
      </c>
      <c r="C65" t="s">
        <v>1761</v>
      </c>
      <c r="E65" t="s">
        <v>1707</v>
      </c>
      <c r="F65" t="s">
        <v>1147</v>
      </c>
    </row>
    <row r="66" spans="1:6">
      <c r="A66" t="s">
        <v>1772</v>
      </c>
      <c r="C66" t="s">
        <v>1761</v>
      </c>
      <c r="E66" t="s">
        <v>1707</v>
      </c>
      <c r="F66" t="s">
        <v>1147</v>
      </c>
    </row>
    <row r="67" spans="1:6">
      <c r="A67" t="s">
        <v>1773</v>
      </c>
      <c r="C67" t="s">
        <v>1761</v>
      </c>
      <c r="E67" t="s">
        <v>1707</v>
      </c>
      <c r="F67" t="s">
        <v>1147</v>
      </c>
    </row>
    <row r="68" spans="1:6">
      <c r="A68" t="s">
        <v>1774</v>
      </c>
      <c r="C68" t="s">
        <v>1761</v>
      </c>
      <c r="E68" t="s">
        <v>1707</v>
      </c>
      <c r="F68" t="s">
        <v>1147</v>
      </c>
    </row>
    <row r="69" spans="1:6">
      <c r="A69" t="s">
        <v>1775</v>
      </c>
      <c r="C69" t="s">
        <v>1761</v>
      </c>
      <c r="E69" t="s">
        <v>1707</v>
      </c>
      <c r="F69" t="s">
        <v>1147</v>
      </c>
    </row>
    <row r="70" spans="1:6">
      <c r="A70" t="s">
        <v>1776</v>
      </c>
      <c r="C70" t="s">
        <v>1761</v>
      </c>
      <c r="E70" t="s">
        <v>1707</v>
      </c>
      <c r="F70" t="s">
        <v>1147</v>
      </c>
    </row>
    <row r="71" spans="1:6">
      <c r="A71" t="s">
        <v>1777</v>
      </c>
      <c r="C71" t="s">
        <v>1761</v>
      </c>
      <c r="E71" t="s">
        <v>1707</v>
      </c>
      <c r="F71" t="s">
        <v>1147</v>
      </c>
    </row>
    <row r="72" spans="1:6">
      <c r="A72" t="s">
        <v>1778</v>
      </c>
      <c r="C72" t="s">
        <v>1761</v>
      </c>
      <c r="E72" t="s">
        <v>1707</v>
      </c>
      <c r="F72" t="s">
        <v>1147</v>
      </c>
    </row>
    <row r="73" spans="1:6">
      <c r="A73" t="s">
        <v>1779</v>
      </c>
      <c r="C73" t="s">
        <v>1761</v>
      </c>
      <c r="E73" t="s">
        <v>1707</v>
      </c>
      <c r="F73" t="s">
        <v>1147</v>
      </c>
    </row>
    <row r="74" spans="1:6">
      <c r="A74" t="s">
        <v>1780</v>
      </c>
      <c r="C74" t="s">
        <v>1761</v>
      </c>
      <c r="E74" t="s">
        <v>1707</v>
      </c>
      <c r="F74" t="s">
        <v>1147</v>
      </c>
    </row>
    <row r="75" spans="1:6">
      <c r="A75" t="s">
        <v>1781</v>
      </c>
      <c r="C75" t="s">
        <v>1761</v>
      </c>
      <c r="E75" t="s">
        <v>1707</v>
      </c>
      <c r="F75" t="s">
        <v>1147</v>
      </c>
    </row>
    <row r="76" spans="1:6">
      <c r="A76" t="s">
        <v>1782</v>
      </c>
      <c r="C76" t="s">
        <v>1761</v>
      </c>
      <c r="E76" t="s">
        <v>1707</v>
      </c>
      <c r="F76" t="s">
        <v>1147</v>
      </c>
    </row>
    <row r="77" spans="1:6">
      <c r="A77" t="s">
        <v>1783</v>
      </c>
      <c r="C77" t="s">
        <v>1761</v>
      </c>
      <c r="E77" t="s">
        <v>1707</v>
      </c>
      <c r="F77" t="s">
        <v>1147</v>
      </c>
    </row>
    <row r="78" spans="1:6">
      <c r="A78" t="s">
        <v>1784</v>
      </c>
      <c r="C78" t="s">
        <v>1761</v>
      </c>
      <c r="E78" t="s">
        <v>1707</v>
      </c>
      <c r="F78" t="s">
        <v>1147</v>
      </c>
    </row>
    <row r="79" spans="1:6">
      <c r="A79" t="s">
        <v>1785</v>
      </c>
      <c r="C79" t="s">
        <v>1761</v>
      </c>
      <c r="E79" t="s">
        <v>1707</v>
      </c>
      <c r="F79" t="s">
        <v>1147</v>
      </c>
    </row>
    <row r="80" spans="1:6">
      <c r="A80" t="s">
        <v>1786</v>
      </c>
      <c r="C80" t="s">
        <v>1761</v>
      </c>
      <c r="E80" t="s">
        <v>1707</v>
      </c>
      <c r="F80" t="s">
        <v>1147</v>
      </c>
    </row>
    <row r="81" spans="1:6">
      <c r="A81" t="s">
        <v>1787</v>
      </c>
      <c r="C81" t="s">
        <v>1761</v>
      </c>
      <c r="E81" t="s">
        <v>1707</v>
      </c>
      <c r="F81" t="s">
        <v>1147</v>
      </c>
    </row>
    <row r="82" spans="1:6">
      <c r="A82" t="s">
        <v>1788</v>
      </c>
      <c r="C82" t="s">
        <v>1761</v>
      </c>
      <c r="E82" t="s">
        <v>1707</v>
      </c>
      <c r="F82" t="s">
        <v>1147</v>
      </c>
    </row>
    <row r="83" spans="1:6">
      <c r="A83" t="s">
        <v>1789</v>
      </c>
      <c r="C83" t="s">
        <v>1761</v>
      </c>
      <c r="E83" t="s">
        <v>1707</v>
      </c>
      <c r="F83" t="s">
        <v>1147</v>
      </c>
    </row>
    <row r="84" spans="1:6">
      <c r="A84" t="s">
        <v>1790</v>
      </c>
      <c r="C84" t="s">
        <v>1761</v>
      </c>
      <c r="E84" t="s">
        <v>1707</v>
      </c>
      <c r="F84" t="s">
        <v>1147</v>
      </c>
    </row>
    <row r="85" spans="1:6">
      <c r="A85" t="s">
        <v>1791</v>
      </c>
      <c r="C85" t="s">
        <v>1761</v>
      </c>
      <c r="E85" t="s">
        <v>1707</v>
      </c>
      <c r="F85" t="s">
        <v>1147</v>
      </c>
    </row>
    <row r="86" spans="1:6">
      <c r="A86" t="s">
        <v>1792</v>
      </c>
      <c r="C86" t="s">
        <v>1761</v>
      </c>
      <c r="E86" t="s">
        <v>1707</v>
      </c>
      <c r="F86" t="s">
        <v>1147</v>
      </c>
    </row>
    <row r="87" spans="1:6">
      <c r="A87" t="s">
        <v>1793</v>
      </c>
      <c r="C87" t="s">
        <v>1761</v>
      </c>
      <c r="E87" t="s">
        <v>1707</v>
      </c>
      <c r="F87" t="s">
        <v>1147</v>
      </c>
    </row>
    <row r="88" spans="1:6">
      <c r="A88" t="s">
        <v>1794</v>
      </c>
      <c r="C88" t="s">
        <v>1761</v>
      </c>
      <c r="E88" t="s">
        <v>1707</v>
      </c>
      <c r="F88" t="s">
        <v>1147</v>
      </c>
    </row>
    <row r="89" spans="1:6">
      <c r="A89" t="s">
        <v>1795</v>
      </c>
      <c r="C89" t="s">
        <v>1761</v>
      </c>
      <c r="E89" t="s">
        <v>1707</v>
      </c>
      <c r="F89" t="s">
        <v>1147</v>
      </c>
    </row>
    <row r="90" spans="1:6">
      <c r="A90" t="s">
        <v>1796</v>
      </c>
      <c r="C90" t="s">
        <v>1761</v>
      </c>
      <c r="E90" t="s">
        <v>1707</v>
      </c>
      <c r="F90" t="s">
        <v>1147</v>
      </c>
    </row>
    <row r="91" spans="1:6">
      <c r="A91" t="s">
        <v>1797</v>
      </c>
      <c r="C91" t="s">
        <v>1761</v>
      </c>
      <c r="E91" t="s">
        <v>1707</v>
      </c>
      <c r="F91" t="s">
        <v>1147</v>
      </c>
    </row>
    <row r="92" spans="1:6">
      <c r="A92" t="s">
        <v>1798</v>
      </c>
      <c r="C92" t="s">
        <v>1761</v>
      </c>
      <c r="E92" t="s">
        <v>1707</v>
      </c>
      <c r="F92" t="s">
        <v>1147</v>
      </c>
    </row>
    <row r="93" spans="1:6">
      <c r="A93" t="s">
        <v>1799</v>
      </c>
      <c r="C93" t="s">
        <v>1761</v>
      </c>
      <c r="E93" t="s">
        <v>1707</v>
      </c>
      <c r="F93" t="s">
        <v>1147</v>
      </c>
    </row>
    <row r="94" spans="1:6">
      <c r="A94" t="s">
        <v>1800</v>
      </c>
      <c r="C94" t="s">
        <v>1761</v>
      </c>
      <c r="E94" t="s">
        <v>1707</v>
      </c>
      <c r="F94" t="s">
        <v>1147</v>
      </c>
    </row>
    <row r="95" spans="1:6">
      <c r="A95" t="s">
        <v>1801</v>
      </c>
      <c r="C95" t="s">
        <v>1761</v>
      </c>
      <c r="E95" t="s">
        <v>1707</v>
      </c>
      <c r="F95" t="s">
        <v>1147</v>
      </c>
    </row>
    <row r="96" spans="1:6">
      <c r="A96" t="s">
        <v>1802</v>
      </c>
      <c r="C96" t="s">
        <v>1761</v>
      </c>
      <c r="E96" t="s">
        <v>1707</v>
      </c>
      <c r="F96" t="s">
        <v>1147</v>
      </c>
    </row>
    <row r="97" spans="1:6">
      <c r="A97" t="s">
        <v>1803</v>
      </c>
      <c r="C97" t="s">
        <v>1761</v>
      </c>
      <c r="E97" t="s">
        <v>1707</v>
      </c>
      <c r="F97" t="s">
        <v>1147</v>
      </c>
    </row>
    <row r="98" spans="1:6">
      <c r="A98" t="s">
        <v>1804</v>
      </c>
      <c r="C98" t="s">
        <v>1761</v>
      </c>
      <c r="E98" t="s">
        <v>1707</v>
      </c>
      <c r="F98" t="s">
        <v>1147</v>
      </c>
    </row>
    <row r="99" spans="1:6">
      <c r="A99" t="s">
        <v>1805</v>
      </c>
      <c r="C99" t="s">
        <v>1761</v>
      </c>
      <c r="E99" t="s">
        <v>1707</v>
      </c>
      <c r="F99" t="s">
        <v>1147</v>
      </c>
    </row>
    <row r="100" spans="1:6">
      <c r="A100" t="s">
        <v>1806</v>
      </c>
      <c r="C100" t="s">
        <v>1761</v>
      </c>
      <c r="E100" t="s">
        <v>1707</v>
      </c>
      <c r="F100" t="s">
        <v>1147</v>
      </c>
    </row>
    <row r="101" spans="1:6">
      <c r="A101" t="s">
        <v>1807</v>
      </c>
      <c r="C101" t="s">
        <v>1761</v>
      </c>
      <c r="E101" t="s">
        <v>1707</v>
      </c>
      <c r="F101" t="s">
        <v>1147</v>
      </c>
    </row>
    <row r="102" spans="1:6">
      <c r="A102" t="s">
        <v>1808</v>
      </c>
      <c r="C102" t="s">
        <v>1761</v>
      </c>
      <c r="E102" t="s">
        <v>1707</v>
      </c>
      <c r="F102" t="s">
        <v>1147</v>
      </c>
    </row>
    <row r="103" spans="1:6">
      <c r="A103" t="s">
        <v>1809</v>
      </c>
      <c r="C103" t="s">
        <v>1761</v>
      </c>
      <c r="E103" t="s">
        <v>1707</v>
      </c>
      <c r="F103" t="s">
        <v>1147</v>
      </c>
    </row>
    <row r="104" spans="1:6">
      <c r="A104" t="s">
        <v>1810</v>
      </c>
      <c r="C104" t="s">
        <v>1761</v>
      </c>
      <c r="E104" t="s">
        <v>1707</v>
      </c>
      <c r="F104" t="s">
        <v>1147</v>
      </c>
    </row>
    <row r="105" spans="1:6">
      <c r="A105" t="s">
        <v>1811</v>
      </c>
      <c r="C105" t="s">
        <v>1761</v>
      </c>
      <c r="E105" t="s">
        <v>1707</v>
      </c>
      <c r="F105" t="s">
        <v>1147</v>
      </c>
    </row>
    <row r="106" spans="1:6">
      <c r="A106" t="s">
        <v>1812</v>
      </c>
      <c r="C106" t="s">
        <v>1761</v>
      </c>
      <c r="E106" t="s">
        <v>1707</v>
      </c>
      <c r="F106" t="s">
        <v>1147</v>
      </c>
    </row>
    <row r="107" spans="1:6">
      <c r="A107" t="s">
        <v>1813</v>
      </c>
      <c r="C107" t="s">
        <v>1761</v>
      </c>
      <c r="E107" t="s">
        <v>1707</v>
      </c>
      <c r="F107" t="s">
        <v>1147</v>
      </c>
    </row>
    <row r="108" spans="1:6">
      <c r="A108" t="s">
        <v>1814</v>
      </c>
      <c r="C108" t="s">
        <v>1761</v>
      </c>
      <c r="E108" t="s">
        <v>1707</v>
      </c>
      <c r="F108" t="s">
        <v>1147</v>
      </c>
    </row>
    <row r="109" spans="1:6">
      <c r="A109" t="s">
        <v>1815</v>
      </c>
      <c r="C109" t="s">
        <v>1761</v>
      </c>
      <c r="E109" t="s">
        <v>1707</v>
      </c>
      <c r="F109" t="s">
        <v>1147</v>
      </c>
    </row>
    <row r="110" spans="1:6">
      <c r="A110" t="s">
        <v>1816</v>
      </c>
      <c r="C110" t="s">
        <v>1761</v>
      </c>
      <c r="E110" t="s">
        <v>1707</v>
      </c>
      <c r="F110" t="s">
        <v>1147</v>
      </c>
    </row>
    <row r="111" spans="1:6">
      <c r="A111" t="s">
        <v>1817</v>
      </c>
      <c r="C111" t="s">
        <v>1761</v>
      </c>
      <c r="E111" t="s">
        <v>1707</v>
      </c>
      <c r="F111" t="s">
        <v>1147</v>
      </c>
    </row>
    <row r="112" spans="1:6">
      <c r="A112" t="s">
        <v>1818</v>
      </c>
      <c r="C112" t="s">
        <v>1761</v>
      </c>
      <c r="E112" t="s">
        <v>1707</v>
      </c>
      <c r="F112" t="s">
        <v>1147</v>
      </c>
    </row>
    <row r="113" spans="1:6">
      <c r="A113" t="s">
        <v>1819</v>
      </c>
      <c r="C113" t="s">
        <v>1761</v>
      </c>
      <c r="E113" t="s">
        <v>1707</v>
      </c>
      <c r="F113" t="s">
        <v>1147</v>
      </c>
    </row>
    <row r="114" spans="1:6">
      <c r="A114" t="s">
        <v>1820</v>
      </c>
      <c r="C114" t="s">
        <v>1761</v>
      </c>
      <c r="E114" t="s">
        <v>1707</v>
      </c>
      <c r="F114" t="s">
        <v>1147</v>
      </c>
    </row>
    <row r="115" spans="1:6">
      <c r="A115" t="s">
        <v>1821</v>
      </c>
      <c r="C115" t="s">
        <v>1761</v>
      </c>
      <c r="E115" t="s">
        <v>1707</v>
      </c>
      <c r="F115" t="s">
        <v>1147</v>
      </c>
    </row>
    <row r="116" spans="1:6">
      <c r="A116" t="s">
        <v>1822</v>
      </c>
      <c r="C116" t="s">
        <v>1761</v>
      </c>
      <c r="E116" t="s">
        <v>1707</v>
      </c>
      <c r="F116" t="s">
        <v>1147</v>
      </c>
    </row>
    <row r="117" spans="1:6">
      <c r="A117" t="s">
        <v>1823</v>
      </c>
      <c r="C117" t="s">
        <v>1761</v>
      </c>
      <c r="E117" t="s">
        <v>1707</v>
      </c>
      <c r="F117" t="s">
        <v>1147</v>
      </c>
    </row>
    <row r="118" spans="1:6">
      <c r="A118" t="s">
        <v>1824</v>
      </c>
      <c r="C118" t="s">
        <v>1761</v>
      </c>
      <c r="E118" t="s">
        <v>1707</v>
      </c>
      <c r="F118" t="s">
        <v>1147</v>
      </c>
    </row>
    <row r="119" spans="1:6">
      <c r="A119" t="s">
        <v>1825</v>
      </c>
      <c r="C119" t="s">
        <v>1761</v>
      </c>
      <c r="E119" t="s">
        <v>1707</v>
      </c>
      <c r="F119" t="s">
        <v>1147</v>
      </c>
    </row>
    <row r="120" spans="1:6">
      <c r="A120" t="s">
        <v>1826</v>
      </c>
      <c r="C120" t="s">
        <v>1761</v>
      </c>
      <c r="E120" t="s">
        <v>1707</v>
      </c>
      <c r="F120" t="s">
        <v>1147</v>
      </c>
    </row>
    <row r="121" spans="1:6">
      <c r="A121" t="s">
        <v>1827</v>
      </c>
      <c r="C121" t="s">
        <v>1761</v>
      </c>
      <c r="E121" t="s">
        <v>1707</v>
      </c>
      <c r="F121" t="s">
        <v>1147</v>
      </c>
    </row>
    <row r="122" spans="1:6">
      <c r="A122" t="s">
        <v>1828</v>
      </c>
      <c r="C122" t="s">
        <v>1761</v>
      </c>
      <c r="E122" t="s">
        <v>1707</v>
      </c>
      <c r="F122" t="s">
        <v>1147</v>
      </c>
    </row>
    <row r="123" spans="1:6">
      <c r="A123" t="s">
        <v>1829</v>
      </c>
      <c r="C123" t="s">
        <v>1761</v>
      </c>
      <c r="E123" t="s">
        <v>1707</v>
      </c>
      <c r="F123" t="s">
        <v>1147</v>
      </c>
    </row>
    <row r="124" spans="1:6">
      <c r="A124" t="s">
        <v>1830</v>
      </c>
      <c r="C124" t="s">
        <v>1761</v>
      </c>
      <c r="E124" t="s">
        <v>1707</v>
      </c>
      <c r="F124" t="s">
        <v>1147</v>
      </c>
    </row>
    <row r="125" spans="1:6">
      <c r="A125" t="s">
        <v>1831</v>
      </c>
      <c r="C125" t="s">
        <v>1761</v>
      </c>
      <c r="E125" t="s">
        <v>1707</v>
      </c>
      <c r="F125" t="s">
        <v>1147</v>
      </c>
    </row>
    <row r="126" spans="1:6">
      <c r="A126" t="s">
        <v>1832</v>
      </c>
      <c r="C126" t="s">
        <v>1761</v>
      </c>
      <c r="E126" t="s">
        <v>1707</v>
      </c>
      <c r="F126" t="s">
        <v>1147</v>
      </c>
    </row>
    <row r="127" spans="1:6">
      <c r="A127" t="s">
        <v>1833</v>
      </c>
      <c r="C127" t="s">
        <v>1761</v>
      </c>
      <c r="E127" t="s">
        <v>1707</v>
      </c>
      <c r="F127" t="s">
        <v>1147</v>
      </c>
    </row>
    <row r="128" spans="1:6">
      <c r="A128" t="s">
        <v>1834</v>
      </c>
      <c r="C128" t="s">
        <v>1761</v>
      </c>
      <c r="E128" t="s">
        <v>1707</v>
      </c>
      <c r="F128" t="s">
        <v>1147</v>
      </c>
    </row>
    <row r="129" spans="1:6">
      <c r="A129" t="s">
        <v>1835</v>
      </c>
      <c r="C129" t="s">
        <v>1761</v>
      </c>
      <c r="E129" t="s">
        <v>1707</v>
      </c>
      <c r="F129" t="s">
        <v>1147</v>
      </c>
    </row>
    <row r="130" spans="1:6">
      <c r="A130" t="s">
        <v>1836</v>
      </c>
      <c r="C130" t="s">
        <v>1761</v>
      </c>
      <c r="E130" t="s">
        <v>1707</v>
      </c>
      <c r="F130" t="s">
        <v>1147</v>
      </c>
    </row>
    <row r="131" spans="1:6">
      <c r="A131" t="s">
        <v>1837</v>
      </c>
      <c r="C131" t="s">
        <v>1761</v>
      </c>
      <c r="E131" t="s">
        <v>1707</v>
      </c>
      <c r="F131" t="s">
        <v>1147</v>
      </c>
    </row>
    <row r="132" spans="1:6">
      <c r="A132" t="s">
        <v>1838</v>
      </c>
      <c r="C132" t="s">
        <v>1761</v>
      </c>
      <c r="E132" t="s">
        <v>1707</v>
      </c>
      <c r="F132" t="s">
        <v>1147</v>
      </c>
    </row>
    <row r="133" spans="1:6">
      <c r="A133" t="s">
        <v>1839</v>
      </c>
      <c r="C133" t="s">
        <v>1761</v>
      </c>
      <c r="E133" t="s">
        <v>1707</v>
      </c>
      <c r="F133" t="s">
        <v>1147</v>
      </c>
    </row>
    <row r="134" spans="1:6">
      <c r="A134" t="s">
        <v>1840</v>
      </c>
      <c r="C134" t="s">
        <v>1761</v>
      </c>
      <c r="E134" t="s">
        <v>1707</v>
      </c>
      <c r="F134" t="s">
        <v>1147</v>
      </c>
    </row>
    <row r="135" spans="1:6">
      <c r="A135" t="s">
        <v>1841</v>
      </c>
      <c r="C135" t="s">
        <v>1761</v>
      </c>
      <c r="E135" t="s">
        <v>1707</v>
      </c>
      <c r="F135" t="s">
        <v>1147</v>
      </c>
    </row>
    <row r="136" spans="1:6">
      <c r="A136" t="s">
        <v>1842</v>
      </c>
      <c r="C136" t="s">
        <v>1761</v>
      </c>
      <c r="E136" t="s">
        <v>1707</v>
      </c>
      <c r="F136" t="s">
        <v>1147</v>
      </c>
    </row>
    <row r="137" spans="1:6">
      <c r="A137" t="s">
        <v>1843</v>
      </c>
      <c r="C137" t="s">
        <v>1761</v>
      </c>
      <c r="E137" t="s">
        <v>1707</v>
      </c>
      <c r="F137" t="s">
        <v>1147</v>
      </c>
    </row>
    <row r="138" spans="1:6">
      <c r="A138" t="s">
        <v>1844</v>
      </c>
      <c r="C138" t="s">
        <v>1761</v>
      </c>
      <c r="E138" t="s">
        <v>1707</v>
      </c>
      <c r="F138" t="s">
        <v>1147</v>
      </c>
    </row>
    <row r="139" spans="1:6">
      <c r="A139" t="s">
        <v>1845</v>
      </c>
      <c r="C139" t="s">
        <v>1761</v>
      </c>
      <c r="E139" t="s">
        <v>1707</v>
      </c>
      <c r="F139" t="s">
        <v>1147</v>
      </c>
    </row>
    <row r="140" spans="1:6">
      <c r="A140" t="s">
        <v>1846</v>
      </c>
      <c r="C140" t="s">
        <v>1761</v>
      </c>
      <c r="E140" t="s">
        <v>1707</v>
      </c>
      <c r="F140" t="s">
        <v>1147</v>
      </c>
    </row>
    <row r="141" spans="1:6">
      <c r="A141" t="s">
        <v>1847</v>
      </c>
      <c r="C141" t="s">
        <v>1761</v>
      </c>
      <c r="E141" t="s">
        <v>1707</v>
      </c>
      <c r="F141" t="s">
        <v>1147</v>
      </c>
    </row>
    <row r="142" spans="1:6">
      <c r="A142" t="s">
        <v>1848</v>
      </c>
      <c r="C142" t="s">
        <v>1761</v>
      </c>
      <c r="E142" t="s">
        <v>1707</v>
      </c>
      <c r="F142" t="s">
        <v>1147</v>
      </c>
    </row>
    <row r="143" spans="1:6">
      <c r="A143" t="s">
        <v>1849</v>
      </c>
      <c r="C143" t="s">
        <v>1761</v>
      </c>
      <c r="E143" t="s">
        <v>1707</v>
      </c>
      <c r="F143" t="s">
        <v>1147</v>
      </c>
    </row>
    <row r="144" spans="1:6">
      <c r="A144" t="s">
        <v>1850</v>
      </c>
      <c r="C144" t="s">
        <v>1761</v>
      </c>
      <c r="E144" t="s">
        <v>1707</v>
      </c>
      <c r="F144" t="s">
        <v>1147</v>
      </c>
    </row>
    <row r="145" spans="1:6">
      <c r="A145" t="s">
        <v>1851</v>
      </c>
      <c r="C145" t="s">
        <v>1761</v>
      </c>
      <c r="E145" t="s">
        <v>1707</v>
      </c>
      <c r="F145" t="s">
        <v>1147</v>
      </c>
    </row>
    <row r="146" spans="1:6">
      <c r="A146" t="s">
        <v>1852</v>
      </c>
      <c r="C146" t="s">
        <v>1761</v>
      </c>
      <c r="E146" t="s">
        <v>1707</v>
      </c>
      <c r="F146" t="s">
        <v>1147</v>
      </c>
    </row>
    <row r="147" spans="1:6">
      <c r="A147" t="s">
        <v>1853</v>
      </c>
      <c r="C147" t="s">
        <v>1761</v>
      </c>
      <c r="E147" t="s">
        <v>1707</v>
      </c>
      <c r="F147" t="s">
        <v>1147</v>
      </c>
    </row>
    <row r="148" spans="1:6">
      <c r="A148" t="s">
        <v>1854</v>
      </c>
      <c r="C148" t="s">
        <v>1761</v>
      </c>
      <c r="E148" t="s">
        <v>1707</v>
      </c>
      <c r="F148" t="s">
        <v>1147</v>
      </c>
    </row>
    <row r="149" spans="1:6">
      <c r="A149" t="s">
        <v>1855</v>
      </c>
      <c r="C149" t="s">
        <v>1761</v>
      </c>
      <c r="E149" t="s">
        <v>1707</v>
      </c>
      <c r="F149" t="s">
        <v>1147</v>
      </c>
    </row>
    <row r="150" spans="1:6">
      <c r="A150" t="s">
        <v>1856</v>
      </c>
      <c r="C150" t="s">
        <v>1761</v>
      </c>
      <c r="E150" t="s">
        <v>1707</v>
      </c>
      <c r="F150" t="s">
        <v>1147</v>
      </c>
    </row>
    <row r="151" spans="1:6">
      <c r="A151" t="s">
        <v>1857</v>
      </c>
      <c r="C151" t="s">
        <v>1761</v>
      </c>
      <c r="E151" t="s">
        <v>1707</v>
      </c>
      <c r="F151" t="s">
        <v>1147</v>
      </c>
    </row>
    <row r="152" spans="1:6">
      <c r="A152" t="s">
        <v>1858</v>
      </c>
      <c r="C152" t="s">
        <v>1761</v>
      </c>
      <c r="E152" t="s">
        <v>1707</v>
      </c>
      <c r="F152" t="s">
        <v>1147</v>
      </c>
    </row>
    <row r="153" spans="1:6">
      <c r="A153" t="s">
        <v>1859</v>
      </c>
      <c r="C153" t="s">
        <v>1761</v>
      </c>
      <c r="E153" t="s">
        <v>1707</v>
      </c>
      <c r="F153" t="s">
        <v>1147</v>
      </c>
    </row>
    <row r="154" spans="1:6">
      <c r="A154" t="s">
        <v>1860</v>
      </c>
      <c r="C154" t="s">
        <v>1761</v>
      </c>
      <c r="E154" t="s">
        <v>1707</v>
      </c>
      <c r="F154" t="s">
        <v>1147</v>
      </c>
    </row>
    <row r="155" spans="1:6">
      <c r="A155" t="s">
        <v>1861</v>
      </c>
      <c r="C155" t="s">
        <v>1761</v>
      </c>
      <c r="E155" t="s">
        <v>1707</v>
      </c>
      <c r="F155" t="s">
        <v>1147</v>
      </c>
    </row>
    <row r="156" spans="1:6">
      <c r="A156" t="s">
        <v>1862</v>
      </c>
      <c r="C156" t="s">
        <v>1761</v>
      </c>
      <c r="E156" t="s">
        <v>1707</v>
      </c>
      <c r="F156" t="s">
        <v>1147</v>
      </c>
    </row>
    <row r="157" spans="1:6">
      <c r="A157" t="s">
        <v>1863</v>
      </c>
      <c r="C157" t="s">
        <v>1761</v>
      </c>
      <c r="E157" t="s">
        <v>1707</v>
      </c>
      <c r="F157" t="s">
        <v>1147</v>
      </c>
    </row>
    <row r="158" spans="1:6">
      <c r="A158" t="s">
        <v>1864</v>
      </c>
      <c r="C158" t="s">
        <v>1761</v>
      </c>
      <c r="E158" t="s">
        <v>1707</v>
      </c>
      <c r="F158" t="s">
        <v>1147</v>
      </c>
    </row>
    <row r="159" spans="1:6">
      <c r="A159" t="s">
        <v>1865</v>
      </c>
      <c r="C159" t="s">
        <v>1761</v>
      </c>
      <c r="E159" t="s">
        <v>1707</v>
      </c>
      <c r="F159" t="s">
        <v>1147</v>
      </c>
    </row>
    <row r="160" spans="1:6">
      <c r="A160" t="s">
        <v>1866</v>
      </c>
      <c r="C160" t="s">
        <v>1761</v>
      </c>
      <c r="E160" t="s">
        <v>1707</v>
      </c>
      <c r="F160" t="s">
        <v>1147</v>
      </c>
    </row>
    <row r="161" spans="1:6">
      <c r="A161" t="s">
        <v>1867</v>
      </c>
      <c r="C161" t="s">
        <v>1761</v>
      </c>
      <c r="E161" t="s">
        <v>1707</v>
      </c>
      <c r="F161" t="s">
        <v>1147</v>
      </c>
    </row>
    <row r="162" spans="1:6">
      <c r="A162" t="s">
        <v>1868</v>
      </c>
      <c r="C162" t="s">
        <v>1761</v>
      </c>
      <c r="E162" t="s">
        <v>1707</v>
      </c>
      <c r="F162" t="s">
        <v>1147</v>
      </c>
    </row>
    <row r="163" spans="1:6">
      <c r="A163" t="s">
        <v>1869</v>
      </c>
      <c r="C163" t="s">
        <v>1761</v>
      </c>
      <c r="E163" t="s">
        <v>1707</v>
      </c>
      <c r="F163" t="s">
        <v>1147</v>
      </c>
    </row>
    <row r="164" spans="1:6">
      <c r="A164" t="s">
        <v>1870</v>
      </c>
      <c r="C164" t="s">
        <v>1761</v>
      </c>
      <c r="E164" t="s">
        <v>1707</v>
      </c>
      <c r="F164" t="s">
        <v>1147</v>
      </c>
    </row>
    <row r="165" spans="1:6">
      <c r="A165" t="s">
        <v>1871</v>
      </c>
      <c r="C165" t="s">
        <v>1761</v>
      </c>
      <c r="E165" t="s">
        <v>1707</v>
      </c>
      <c r="F165" t="s">
        <v>1147</v>
      </c>
    </row>
    <row r="166" spans="1:6">
      <c r="A166" t="s">
        <v>1872</v>
      </c>
      <c r="C166" t="s">
        <v>1761</v>
      </c>
      <c r="E166" t="s">
        <v>1707</v>
      </c>
      <c r="F166" t="s">
        <v>1147</v>
      </c>
    </row>
    <row r="167" spans="1:6">
      <c r="A167" t="s">
        <v>1873</v>
      </c>
      <c r="C167" t="s">
        <v>1761</v>
      </c>
      <c r="E167" t="s">
        <v>1707</v>
      </c>
      <c r="F167" t="s">
        <v>1147</v>
      </c>
    </row>
    <row r="168" spans="1:6">
      <c r="A168" t="s">
        <v>1874</v>
      </c>
      <c r="C168" t="s">
        <v>1761</v>
      </c>
      <c r="E168" t="s">
        <v>1707</v>
      </c>
      <c r="F168" t="s">
        <v>1147</v>
      </c>
    </row>
    <row r="169" spans="1:6">
      <c r="A169" t="s">
        <v>1875</v>
      </c>
      <c r="C169" t="s">
        <v>1761</v>
      </c>
      <c r="E169" t="s">
        <v>1707</v>
      </c>
      <c r="F169" t="s">
        <v>1147</v>
      </c>
    </row>
    <row r="170" spans="1:6">
      <c r="A170" t="s">
        <v>1876</v>
      </c>
      <c r="C170" t="s">
        <v>1761</v>
      </c>
      <c r="E170" t="s">
        <v>1707</v>
      </c>
      <c r="F170" t="s">
        <v>1147</v>
      </c>
    </row>
    <row r="171" spans="1:6">
      <c r="A171" t="s">
        <v>1877</v>
      </c>
      <c r="C171" t="s">
        <v>1761</v>
      </c>
      <c r="E171" t="s">
        <v>1707</v>
      </c>
      <c r="F171" t="s">
        <v>1147</v>
      </c>
    </row>
    <row r="172" spans="1:6">
      <c r="A172" t="s">
        <v>1878</v>
      </c>
      <c r="C172" t="s">
        <v>1761</v>
      </c>
      <c r="E172" t="s">
        <v>1707</v>
      </c>
      <c r="F172" t="s">
        <v>1147</v>
      </c>
    </row>
    <row r="173" spans="1:6">
      <c r="A173" t="s">
        <v>1879</v>
      </c>
      <c r="C173" t="s">
        <v>1761</v>
      </c>
      <c r="E173" t="s">
        <v>1707</v>
      </c>
      <c r="F173" t="s">
        <v>1147</v>
      </c>
    </row>
    <row r="174" spans="1:6">
      <c r="A174" t="s">
        <v>1880</v>
      </c>
      <c r="C174" t="s">
        <v>1761</v>
      </c>
      <c r="E174" t="s">
        <v>1707</v>
      </c>
      <c r="F174" t="s">
        <v>1147</v>
      </c>
    </row>
    <row r="175" spans="1:6">
      <c r="A175" t="s">
        <v>1881</v>
      </c>
      <c r="C175" t="s">
        <v>1761</v>
      </c>
      <c r="E175" t="s">
        <v>1707</v>
      </c>
      <c r="F175" t="s">
        <v>1147</v>
      </c>
    </row>
    <row r="176" spans="1:6">
      <c r="A176" t="s">
        <v>1882</v>
      </c>
      <c r="C176" t="s">
        <v>1761</v>
      </c>
      <c r="E176" t="s">
        <v>1707</v>
      </c>
      <c r="F176" t="s">
        <v>1147</v>
      </c>
    </row>
    <row r="177" spans="1:6">
      <c r="A177" t="s">
        <v>1883</v>
      </c>
      <c r="C177" t="s">
        <v>1761</v>
      </c>
      <c r="E177" t="s">
        <v>1707</v>
      </c>
      <c r="F177" t="s">
        <v>1147</v>
      </c>
    </row>
    <row r="178" spans="1:6">
      <c r="A178" t="s">
        <v>1884</v>
      </c>
      <c r="C178" t="s">
        <v>1761</v>
      </c>
      <c r="E178" t="s">
        <v>1707</v>
      </c>
      <c r="F178" t="s">
        <v>1147</v>
      </c>
    </row>
    <row r="179" spans="1:6">
      <c r="A179" t="s">
        <v>1885</v>
      </c>
      <c r="C179" t="s">
        <v>1761</v>
      </c>
      <c r="E179" t="s">
        <v>1707</v>
      </c>
      <c r="F179" t="s">
        <v>1147</v>
      </c>
    </row>
    <row r="180" spans="1:6">
      <c r="A180" t="s">
        <v>1886</v>
      </c>
      <c r="C180" t="s">
        <v>1761</v>
      </c>
      <c r="E180" t="s">
        <v>1707</v>
      </c>
      <c r="F180" t="s">
        <v>1147</v>
      </c>
    </row>
    <row r="181" spans="1:6">
      <c r="A181" t="s">
        <v>1887</v>
      </c>
      <c r="C181" t="s">
        <v>1761</v>
      </c>
      <c r="E181" t="s">
        <v>1707</v>
      </c>
      <c r="F181" t="s">
        <v>1147</v>
      </c>
    </row>
    <row r="182" spans="1:6">
      <c r="A182" t="s">
        <v>1888</v>
      </c>
      <c r="C182" t="s">
        <v>1761</v>
      </c>
      <c r="E182" t="s">
        <v>1707</v>
      </c>
      <c r="F182" t="s">
        <v>1147</v>
      </c>
    </row>
    <row r="183" spans="1:6">
      <c r="A183" t="s">
        <v>1889</v>
      </c>
      <c r="C183" t="s">
        <v>1761</v>
      </c>
      <c r="E183" t="s">
        <v>1707</v>
      </c>
      <c r="F183" t="s">
        <v>1147</v>
      </c>
    </row>
    <row r="184" spans="1:6">
      <c r="A184" t="s">
        <v>1890</v>
      </c>
      <c r="C184" t="s">
        <v>1761</v>
      </c>
      <c r="E184" t="s">
        <v>1707</v>
      </c>
      <c r="F184" t="s">
        <v>1147</v>
      </c>
    </row>
    <row r="185" spans="1:6">
      <c r="A185" t="s">
        <v>1891</v>
      </c>
      <c r="C185" t="s">
        <v>1761</v>
      </c>
      <c r="E185" t="s">
        <v>1707</v>
      </c>
      <c r="F185" t="s">
        <v>1147</v>
      </c>
    </row>
    <row r="186" spans="1:6">
      <c r="A186" t="s">
        <v>1892</v>
      </c>
      <c r="C186" t="s">
        <v>1761</v>
      </c>
      <c r="E186" t="s">
        <v>1707</v>
      </c>
      <c r="F186" t="s">
        <v>1147</v>
      </c>
    </row>
    <row r="187" spans="1:6">
      <c r="A187" t="s">
        <v>1893</v>
      </c>
      <c r="C187" t="s">
        <v>1761</v>
      </c>
      <c r="E187" t="s">
        <v>1707</v>
      </c>
      <c r="F187" t="s">
        <v>1147</v>
      </c>
    </row>
    <row r="188" spans="1:6">
      <c r="A188" t="s">
        <v>1894</v>
      </c>
      <c r="C188" t="s">
        <v>1761</v>
      </c>
      <c r="E188" t="s">
        <v>1707</v>
      </c>
      <c r="F188" t="s">
        <v>1147</v>
      </c>
    </row>
    <row r="189" spans="1:6">
      <c r="A189" t="s">
        <v>1895</v>
      </c>
      <c r="C189" t="s">
        <v>1761</v>
      </c>
      <c r="E189" t="s">
        <v>1707</v>
      </c>
      <c r="F189" t="s">
        <v>1147</v>
      </c>
    </row>
    <row r="190" spans="1:6">
      <c r="A190" t="s">
        <v>1896</v>
      </c>
      <c r="C190" t="s">
        <v>1761</v>
      </c>
      <c r="E190" t="s">
        <v>1707</v>
      </c>
      <c r="F190" t="s">
        <v>1147</v>
      </c>
    </row>
    <row r="191" spans="1:6">
      <c r="A191" t="s">
        <v>1897</v>
      </c>
      <c r="C191" t="s">
        <v>1761</v>
      </c>
      <c r="E191" t="s">
        <v>1707</v>
      </c>
      <c r="F191" t="s">
        <v>1147</v>
      </c>
    </row>
    <row r="192" spans="1:6">
      <c r="A192" t="s">
        <v>1898</v>
      </c>
      <c r="C192" t="s">
        <v>1761</v>
      </c>
      <c r="E192" t="s">
        <v>1707</v>
      </c>
      <c r="F192" t="s">
        <v>1147</v>
      </c>
    </row>
    <row r="193" spans="1:6">
      <c r="A193" t="s">
        <v>1899</v>
      </c>
      <c r="C193" t="s">
        <v>1761</v>
      </c>
      <c r="E193" t="s">
        <v>1707</v>
      </c>
      <c r="F193" t="s">
        <v>1147</v>
      </c>
    </row>
    <row r="194" spans="1:6">
      <c r="A194" t="s">
        <v>1900</v>
      </c>
      <c r="C194" t="s">
        <v>1761</v>
      </c>
      <c r="E194" t="s">
        <v>1707</v>
      </c>
      <c r="F194" t="s">
        <v>1147</v>
      </c>
    </row>
    <row r="195" spans="1:6">
      <c r="A195" t="s">
        <v>1901</v>
      </c>
      <c r="C195" t="s">
        <v>1761</v>
      </c>
      <c r="E195" t="s">
        <v>1707</v>
      </c>
      <c r="F195" t="s">
        <v>1147</v>
      </c>
    </row>
    <row r="196" spans="1:6">
      <c r="A196" t="s">
        <v>1902</v>
      </c>
      <c r="C196" t="s">
        <v>1761</v>
      </c>
      <c r="E196" t="s">
        <v>1707</v>
      </c>
      <c r="F196" t="s">
        <v>1147</v>
      </c>
    </row>
    <row r="197" spans="1:6">
      <c r="A197" t="s">
        <v>1903</v>
      </c>
      <c r="C197" t="s">
        <v>1761</v>
      </c>
      <c r="E197" t="s">
        <v>1707</v>
      </c>
      <c r="F197" t="s">
        <v>1147</v>
      </c>
    </row>
    <row r="198" spans="1:6">
      <c r="A198" t="s">
        <v>1904</v>
      </c>
      <c r="C198" t="s">
        <v>1761</v>
      </c>
      <c r="E198" t="s">
        <v>1707</v>
      </c>
      <c r="F198" t="s">
        <v>1147</v>
      </c>
    </row>
    <row r="199" spans="1:6">
      <c r="A199" t="s">
        <v>1905</v>
      </c>
      <c r="C199" t="s">
        <v>1761</v>
      </c>
      <c r="E199" t="s">
        <v>1707</v>
      </c>
      <c r="F199" t="s">
        <v>1147</v>
      </c>
    </row>
    <row r="200" spans="1:6">
      <c r="A200" t="s">
        <v>1906</v>
      </c>
      <c r="C200" t="s">
        <v>1761</v>
      </c>
      <c r="E200" t="s">
        <v>1707</v>
      </c>
      <c r="F200" t="s">
        <v>1147</v>
      </c>
    </row>
    <row r="201" spans="1:6">
      <c r="A201" t="s">
        <v>1907</v>
      </c>
      <c r="C201" t="s">
        <v>1761</v>
      </c>
      <c r="E201" t="s">
        <v>1707</v>
      </c>
      <c r="F201" t="s">
        <v>1147</v>
      </c>
    </row>
    <row r="202" spans="1:6">
      <c r="A202" t="s">
        <v>1908</v>
      </c>
      <c r="C202" t="s">
        <v>1761</v>
      </c>
      <c r="E202" t="s">
        <v>1707</v>
      </c>
      <c r="F202" t="s">
        <v>1147</v>
      </c>
    </row>
    <row r="203" spans="1:6">
      <c r="A203" t="s">
        <v>1909</v>
      </c>
      <c r="C203" t="s">
        <v>1761</v>
      </c>
      <c r="E203" t="s">
        <v>1707</v>
      </c>
      <c r="F203" t="s">
        <v>1147</v>
      </c>
    </row>
    <row r="204" spans="1:6">
      <c r="A204" t="s">
        <v>1910</v>
      </c>
      <c r="C204" t="s">
        <v>1761</v>
      </c>
      <c r="E204" t="s">
        <v>1707</v>
      </c>
      <c r="F204" t="s">
        <v>1147</v>
      </c>
    </row>
    <row r="205" spans="1:6">
      <c r="A205" t="s">
        <v>1911</v>
      </c>
      <c r="C205" t="s">
        <v>1761</v>
      </c>
      <c r="E205" t="s">
        <v>1707</v>
      </c>
      <c r="F205" t="s">
        <v>1147</v>
      </c>
    </row>
    <row r="206" spans="1:6">
      <c r="A206" t="s">
        <v>1912</v>
      </c>
      <c r="C206" t="s">
        <v>1761</v>
      </c>
      <c r="E206" t="s">
        <v>1707</v>
      </c>
      <c r="F206" t="s">
        <v>1147</v>
      </c>
    </row>
    <row r="207" spans="1:6">
      <c r="A207" t="s">
        <v>1913</v>
      </c>
      <c r="C207" t="s">
        <v>1761</v>
      </c>
      <c r="E207" t="s">
        <v>1707</v>
      </c>
      <c r="F207" t="s">
        <v>1147</v>
      </c>
    </row>
    <row r="208" spans="1:6">
      <c r="A208" t="s">
        <v>1914</v>
      </c>
      <c r="C208" t="s">
        <v>1761</v>
      </c>
      <c r="E208" t="s">
        <v>1707</v>
      </c>
      <c r="F208" t="s">
        <v>1147</v>
      </c>
    </row>
    <row r="209" spans="1:6">
      <c r="A209" t="s">
        <v>1915</v>
      </c>
      <c r="C209" t="s">
        <v>1761</v>
      </c>
      <c r="E209" t="s">
        <v>1707</v>
      </c>
      <c r="F209" t="s">
        <v>1147</v>
      </c>
    </row>
    <row r="210" spans="1:6">
      <c r="A210" t="s">
        <v>1916</v>
      </c>
      <c r="C210" t="s">
        <v>1761</v>
      </c>
      <c r="E210" t="s">
        <v>1707</v>
      </c>
      <c r="F210" t="s">
        <v>1147</v>
      </c>
    </row>
    <row r="211" spans="1:6">
      <c r="A211" t="s">
        <v>1917</v>
      </c>
      <c r="C211" t="s">
        <v>1761</v>
      </c>
      <c r="E211" t="s">
        <v>1707</v>
      </c>
      <c r="F211" t="s">
        <v>1147</v>
      </c>
    </row>
    <row r="212" spans="1:6">
      <c r="A212" t="s">
        <v>1918</v>
      </c>
      <c r="C212" t="s">
        <v>1761</v>
      </c>
      <c r="E212" t="s">
        <v>1707</v>
      </c>
      <c r="F212" t="s">
        <v>1147</v>
      </c>
    </row>
    <row r="213" spans="1:6">
      <c r="A213" t="s">
        <v>1919</v>
      </c>
      <c r="C213" t="s">
        <v>1761</v>
      </c>
      <c r="E213" t="s">
        <v>1707</v>
      </c>
      <c r="F213" t="s">
        <v>1147</v>
      </c>
    </row>
    <row r="214" spans="1:6">
      <c r="A214" t="s">
        <v>1920</v>
      </c>
      <c r="C214" t="s">
        <v>1761</v>
      </c>
      <c r="E214" t="s">
        <v>1707</v>
      </c>
      <c r="F214" t="s">
        <v>1147</v>
      </c>
    </row>
    <row r="215" spans="1:6">
      <c r="A215" t="s">
        <v>1921</v>
      </c>
      <c r="C215" t="s">
        <v>1761</v>
      </c>
      <c r="E215" t="s">
        <v>1707</v>
      </c>
      <c r="F215" t="s">
        <v>1147</v>
      </c>
    </row>
    <row r="216" spans="1:6">
      <c r="A216" t="s">
        <v>1922</v>
      </c>
      <c r="C216" t="s">
        <v>1761</v>
      </c>
      <c r="E216" t="s">
        <v>1707</v>
      </c>
      <c r="F216" t="s">
        <v>1147</v>
      </c>
    </row>
    <row r="217" spans="1:6">
      <c r="A217" t="s">
        <v>1923</v>
      </c>
      <c r="C217" t="s">
        <v>1761</v>
      </c>
      <c r="E217" t="s">
        <v>1707</v>
      </c>
      <c r="F217" t="s">
        <v>1147</v>
      </c>
    </row>
    <row r="218" spans="1:6">
      <c r="A218" t="s">
        <v>1924</v>
      </c>
      <c r="C218" t="s">
        <v>1761</v>
      </c>
      <c r="E218" t="s">
        <v>1707</v>
      </c>
      <c r="F218" t="s">
        <v>1147</v>
      </c>
    </row>
    <row r="219" spans="1:6">
      <c r="A219" t="s">
        <v>1925</v>
      </c>
      <c r="C219" t="s">
        <v>1761</v>
      </c>
      <c r="E219" t="s">
        <v>1707</v>
      </c>
      <c r="F219" t="s">
        <v>1147</v>
      </c>
    </row>
    <row r="220" spans="1:6">
      <c r="A220" t="s">
        <v>1926</v>
      </c>
      <c r="C220" t="s">
        <v>1761</v>
      </c>
      <c r="E220" t="s">
        <v>1707</v>
      </c>
      <c r="F220" t="s">
        <v>1147</v>
      </c>
    </row>
    <row r="221" spans="1:6">
      <c r="A221" t="s">
        <v>1927</v>
      </c>
      <c r="C221" t="s">
        <v>1761</v>
      </c>
      <c r="E221" t="s">
        <v>1707</v>
      </c>
      <c r="F221" t="s">
        <v>1147</v>
      </c>
    </row>
    <row r="222" spans="1:6">
      <c r="A222" t="s">
        <v>1928</v>
      </c>
      <c r="C222" t="s">
        <v>1761</v>
      </c>
      <c r="E222" t="s">
        <v>1707</v>
      </c>
      <c r="F222" t="s">
        <v>1147</v>
      </c>
    </row>
    <row r="223" spans="1:6">
      <c r="A223" t="s">
        <v>1929</v>
      </c>
      <c r="C223" t="s">
        <v>1761</v>
      </c>
      <c r="E223" t="s">
        <v>1707</v>
      </c>
      <c r="F223" t="s">
        <v>1147</v>
      </c>
    </row>
    <row r="224" spans="1:6">
      <c r="A224" t="s">
        <v>1930</v>
      </c>
      <c r="C224" t="s">
        <v>1761</v>
      </c>
      <c r="E224" t="s">
        <v>1707</v>
      </c>
      <c r="F224" t="s">
        <v>1147</v>
      </c>
    </row>
    <row r="225" spans="1:6">
      <c r="A225" t="s">
        <v>1931</v>
      </c>
      <c r="C225" t="s">
        <v>1761</v>
      </c>
      <c r="E225" t="s">
        <v>1707</v>
      </c>
      <c r="F225" t="s">
        <v>1147</v>
      </c>
    </row>
    <row r="226" spans="1:6">
      <c r="A226" t="s">
        <v>1932</v>
      </c>
      <c r="C226" t="s">
        <v>1761</v>
      </c>
      <c r="E226" t="s">
        <v>1707</v>
      </c>
      <c r="F226" t="s">
        <v>1147</v>
      </c>
    </row>
    <row r="227" spans="1:6">
      <c r="A227" t="s">
        <v>1933</v>
      </c>
      <c r="C227" t="s">
        <v>1761</v>
      </c>
      <c r="E227" t="s">
        <v>1707</v>
      </c>
      <c r="F227" t="s">
        <v>1147</v>
      </c>
    </row>
    <row r="228" spans="1:6">
      <c r="A228" t="s">
        <v>1934</v>
      </c>
      <c r="C228" t="s">
        <v>1761</v>
      </c>
      <c r="E228" t="s">
        <v>1707</v>
      </c>
      <c r="F228" t="s">
        <v>1147</v>
      </c>
    </row>
    <row r="229" spans="1:6">
      <c r="A229" t="s">
        <v>1935</v>
      </c>
      <c r="C229" t="s">
        <v>1761</v>
      </c>
      <c r="E229" t="s">
        <v>1707</v>
      </c>
      <c r="F229" t="s">
        <v>1147</v>
      </c>
    </row>
    <row r="230" spans="1:6">
      <c r="A230" t="s">
        <v>1936</v>
      </c>
      <c r="C230" t="s">
        <v>1761</v>
      </c>
      <c r="E230" t="s">
        <v>1707</v>
      </c>
      <c r="F230" t="s">
        <v>1147</v>
      </c>
    </row>
    <row r="231" spans="1:6">
      <c r="A231" t="s">
        <v>1937</v>
      </c>
      <c r="C231" t="s">
        <v>1761</v>
      </c>
      <c r="E231" t="s">
        <v>1707</v>
      </c>
      <c r="F231" t="s">
        <v>1147</v>
      </c>
    </row>
    <row r="232" spans="1:6">
      <c r="A232" t="s">
        <v>1938</v>
      </c>
      <c r="C232" t="s">
        <v>1761</v>
      </c>
      <c r="E232" t="s">
        <v>1707</v>
      </c>
      <c r="F232" t="s">
        <v>1147</v>
      </c>
    </row>
    <row r="233" spans="1:6">
      <c r="A233" t="s">
        <v>1939</v>
      </c>
      <c r="C233" t="s">
        <v>1761</v>
      </c>
      <c r="E233" t="s">
        <v>1707</v>
      </c>
      <c r="F233" t="s">
        <v>1147</v>
      </c>
    </row>
    <row r="234" spans="1:6">
      <c r="A234" t="s">
        <v>1940</v>
      </c>
      <c r="C234" t="s">
        <v>1761</v>
      </c>
      <c r="E234" t="s">
        <v>1707</v>
      </c>
      <c r="F234" t="s">
        <v>1147</v>
      </c>
    </row>
    <row r="235" spans="1:6">
      <c r="A235" t="s">
        <v>1941</v>
      </c>
      <c r="C235" t="s">
        <v>1761</v>
      </c>
      <c r="E235" t="s">
        <v>1707</v>
      </c>
      <c r="F235" t="s">
        <v>1147</v>
      </c>
    </row>
    <row r="236" spans="1:6">
      <c r="A236" t="s">
        <v>1942</v>
      </c>
      <c r="C236" t="s">
        <v>1761</v>
      </c>
      <c r="E236" t="s">
        <v>1707</v>
      </c>
      <c r="F236" t="s">
        <v>1147</v>
      </c>
    </row>
    <row r="237" spans="1:6">
      <c r="A237" t="s">
        <v>1943</v>
      </c>
      <c r="C237" t="s">
        <v>1761</v>
      </c>
      <c r="E237" t="s">
        <v>1707</v>
      </c>
      <c r="F237" t="s">
        <v>1147</v>
      </c>
    </row>
    <row r="238" spans="1:6">
      <c r="A238" t="s">
        <v>1944</v>
      </c>
      <c r="C238" t="s">
        <v>1761</v>
      </c>
      <c r="E238" t="s">
        <v>1707</v>
      </c>
      <c r="F238" t="s">
        <v>1147</v>
      </c>
    </row>
    <row r="239" spans="1:6">
      <c r="A239" t="s">
        <v>1945</v>
      </c>
      <c r="C239" t="s">
        <v>1761</v>
      </c>
      <c r="E239" t="s">
        <v>1707</v>
      </c>
      <c r="F239" t="s">
        <v>1147</v>
      </c>
    </row>
    <row r="240" spans="1:6">
      <c r="A240" t="s">
        <v>1946</v>
      </c>
      <c r="C240" t="s">
        <v>1761</v>
      </c>
      <c r="E240" t="s">
        <v>1707</v>
      </c>
      <c r="F240" t="s">
        <v>1147</v>
      </c>
    </row>
    <row r="241" spans="1:6">
      <c r="A241" t="s">
        <v>1947</v>
      </c>
      <c r="C241" t="s">
        <v>1761</v>
      </c>
      <c r="E241" t="s">
        <v>1707</v>
      </c>
      <c r="F241" t="s">
        <v>1147</v>
      </c>
    </row>
    <row r="242" spans="1:6">
      <c r="A242" t="s">
        <v>1948</v>
      </c>
      <c r="C242" t="s">
        <v>1761</v>
      </c>
      <c r="E242" t="s">
        <v>1707</v>
      </c>
      <c r="F242" t="s">
        <v>1147</v>
      </c>
    </row>
    <row r="243" spans="1:6">
      <c r="A243" t="s">
        <v>1949</v>
      </c>
      <c r="C243" t="s">
        <v>1761</v>
      </c>
      <c r="E243" t="s">
        <v>1707</v>
      </c>
      <c r="F243" t="s">
        <v>1147</v>
      </c>
    </row>
    <row r="244" spans="1:6">
      <c r="A244" t="s">
        <v>1950</v>
      </c>
      <c r="C244" t="s">
        <v>1761</v>
      </c>
      <c r="E244" t="s">
        <v>1707</v>
      </c>
      <c r="F244" t="s">
        <v>1147</v>
      </c>
    </row>
    <row r="245" spans="1:6">
      <c r="A245" t="s">
        <v>1951</v>
      </c>
      <c r="C245" t="s">
        <v>1761</v>
      </c>
      <c r="E245" t="s">
        <v>1707</v>
      </c>
      <c r="F245" t="s">
        <v>1147</v>
      </c>
    </row>
    <row r="246" spans="1:6">
      <c r="A246" t="s">
        <v>1952</v>
      </c>
      <c r="C246" t="s">
        <v>1761</v>
      </c>
      <c r="E246" t="s">
        <v>1707</v>
      </c>
      <c r="F246" t="s">
        <v>1147</v>
      </c>
    </row>
    <row r="247" spans="1:6">
      <c r="A247" t="s">
        <v>1953</v>
      </c>
      <c r="C247" t="s">
        <v>1761</v>
      </c>
      <c r="E247" t="s">
        <v>1707</v>
      </c>
      <c r="F247" t="s">
        <v>1147</v>
      </c>
    </row>
    <row r="248" spans="1:6">
      <c r="A248" t="s">
        <v>1954</v>
      </c>
      <c r="C248" t="s">
        <v>1761</v>
      </c>
      <c r="E248" t="s">
        <v>1707</v>
      </c>
      <c r="F248" t="s">
        <v>1147</v>
      </c>
    </row>
    <row r="249" spans="1:6">
      <c r="A249" t="s">
        <v>1955</v>
      </c>
      <c r="C249" t="s">
        <v>1761</v>
      </c>
      <c r="E249" t="s">
        <v>1707</v>
      </c>
      <c r="F249" t="s">
        <v>1147</v>
      </c>
    </row>
    <row r="250" spans="1:6">
      <c r="A250" t="s">
        <v>1956</v>
      </c>
      <c r="C250" t="s">
        <v>1761</v>
      </c>
      <c r="E250" t="s">
        <v>1707</v>
      </c>
      <c r="F250" t="s">
        <v>1147</v>
      </c>
    </row>
    <row r="251" spans="1:6">
      <c r="A251" t="s">
        <v>1957</v>
      </c>
      <c r="C251" t="s">
        <v>1761</v>
      </c>
      <c r="E251" t="s">
        <v>1707</v>
      </c>
      <c r="F251" t="s">
        <v>1147</v>
      </c>
    </row>
    <row r="252" spans="1:6">
      <c r="A252" t="s">
        <v>1958</v>
      </c>
      <c r="C252" t="s">
        <v>1761</v>
      </c>
      <c r="E252" t="s">
        <v>1707</v>
      </c>
      <c r="F252" t="s">
        <v>1147</v>
      </c>
    </row>
    <row r="253" spans="1:6">
      <c r="A253" t="s">
        <v>1959</v>
      </c>
      <c r="C253" t="s">
        <v>1761</v>
      </c>
      <c r="E253" t="s">
        <v>1707</v>
      </c>
      <c r="F253" t="s">
        <v>1147</v>
      </c>
    </row>
    <row r="254" spans="1:6">
      <c r="A254" t="s">
        <v>1960</v>
      </c>
      <c r="C254" t="s">
        <v>1761</v>
      </c>
      <c r="E254" t="s">
        <v>1707</v>
      </c>
      <c r="F254" t="s">
        <v>1147</v>
      </c>
    </row>
    <row r="255" spans="1:6">
      <c r="A255" t="s">
        <v>1961</v>
      </c>
      <c r="C255" t="s">
        <v>1761</v>
      </c>
      <c r="E255" t="s">
        <v>1707</v>
      </c>
      <c r="F255" t="s">
        <v>1147</v>
      </c>
    </row>
    <row r="256" spans="1:6">
      <c r="A256" t="s">
        <v>1962</v>
      </c>
      <c r="C256" t="s">
        <v>1761</v>
      </c>
      <c r="E256" t="s">
        <v>1707</v>
      </c>
      <c r="F256" t="s">
        <v>1147</v>
      </c>
    </row>
    <row r="257" spans="1:6">
      <c r="A257" t="s">
        <v>1963</v>
      </c>
      <c r="C257" t="s">
        <v>1761</v>
      </c>
      <c r="E257" t="s">
        <v>1707</v>
      </c>
      <c r="F257" t="s">
        <v>1147</v>
      </c>
    </row>
    <row r="258" spans="1:6">
      <c r="A258" t="s">
        <v>1964</v>
      </c>
      <c r="C258" t="s">
        <v>1761</v>
      </c>
      <c r="E258" t="s">
        <v>1707</v>
      </c>
      <c r="F258" t="s">
        <v>1147</v>
      </c>
    </row>
    <row r="259" spans="1:6">
      <c r="A259" t="s">
        <v>1965</v>
      </c>
      <c r="C259" t="s">
        <v>1761</v>
      </c>
      <c r="E259" t="s">
        <v>1707</v>
      </c>
      <c r="F259" t="s">
        <v>1147</v>
      </c>
    </row>
    <row r="260" spans="1:6">
      <c r="A260" t="s">
        <v>1966</v>
      </c>
      <c r="C260" t="s">
        <v>1761</v>
      </c>
      <c r="E260" t="s">
        <v>1707</v>
      </c>
      <c r="F260" t="s">
        <v>1147</v>
      </c>
    </row>
    <row r="261" spans="1:6">
      <c r="A261" t="s">
        <v>1967</v>
      </c>
      <c r="C261" t="s">
        <v>1761</v>
      </c>
      <c r="E261" t="s">
        <v>1707</v>
      </c>
      <c r="F261" t="s">
        <v>1147</v>
      </c>
    </row>
    <row r="262" spans="1:6">
      <c r="A262" t="s">
        <v>1968</v>
      </c>
      <c r="C262" t="s">
        <v>1761</v>
      </c>
      <c r="E262" t="s">
        <v>1707</v>
      </c>
      <c r="F262" t="s">
        <v>1147</v>
      </c>
    </row>
    <row r="263" spans="1:6">
      <c r="A263" t="s">
        <v>1969</v>
      </c>
      <c r="C263" t="s">
        <v>1761</v>
      </c>
      <c r="E263" t="s">
        <v>1707</v>
      </c>
      <c r="F263" t="s">
        <v>1147</v>
      </c>
    </row>
    <row r="264" spans="1:6">
      <c r="A264" t="s">
        <v>1970</v>
      </c>
      <c r="C264" t="s">
        <v>1761</v>
      </c>
      <c r="E264" t="s">
        <v>1707</v>
      </c>
      <c r="F264" t="s">
        <v>1147</v>
      </c>
    </row>
    <row r="265" spans="1:6">
      <c r="A265" t="s">
        <v>1971</v>
      </c>
      <c r="C265" t="s">
        <v>1761</v>
      </c>
      <c r="E265" t="s">
        <v>1707</v>
      </c>
      <c r="F265" t="s">
        <v>1147</v>
      </c>
    </row>
    <row r="266" spans="1:6">
      <c r="A266" t="s">
        <v>1972</v>
      </c>
      <c r="C266" t="s">
        <v>1761</v>
      </c>
      <c r="E266" t="s">
        <v>1707</v>
      </c>
      <c r="F266" t="s">
        <v>1147</v>
      </c>
    </row>
    <row r="267" spans="1:6">
      <c r="A267" t="s">
        <v>1973</v>
      </c>
      <c r="C267" t="s">
        <v>1761</v>
      </c>
      <c r="E267" t="s">
        <v>1707</v>
      </c>
      <c r="F267" t="s">
        <v>1147</v>
      </c>
    </row>
    <row r="268" spans="1:6">
      <c r="A268" t="s">
        <v>1974</v>
      </c>
      <c r="C268" t="s">
        <v>1761</v>
      </c>
      <c r="E268" t="s">
        <v>1707</v>
      </c>
      <c r="F268" t="s">
        <v>1147</v>
      </c>
    </row>
    <row r="269" spans="1:6">
      <c r="A269" t="s">
        <v>1975</v>
      </c>
      <c r="C269" t="s">
        <v>1761</v>
      </c>
      <c r="E269" t="s">
        <v>1707</v>
      </c>
      <c r="F269" t="s">
        <v>1147</v>
      </c>
    </row>
    <row r="270" spans="1:6">
      <c r="A270" t="s">
        <v>1976</v>
      </c>
      <c r="C270" t="s">
        <v>1761</v>
      </c>
      <c r="E270" t="s">
        <v>1707</v>
      </c>
      <c r="F270" t="s">
        <v>1147</v>
      </c>
    </row>
    <row r="271" spans="1:6">
      <c r="A271" t="s">
        <v>1977</v>
      </c>
      <c r="C271" t="s">
        <v>1761</v>
      </c>
      <c r="E271" t="s">
        <v>1707</v>
      </c>
      <c r="F271" t="s">
        <v>1147</v>
      </c>
    </row>
    <row r="272" spans="1:6">
      <c r="A272" t="s">
        <v>1978</v>
      </c>
      <c r="C272" t="s">
        <v>1761</v>
      </c>
      <c r="E272" t="s">
        <v>1707</v>
      </c>
      <c r="F272" t="s">
        <v>1147</v>
      </c>
    </row>
    <row r="273" spans="1:6">
      <c r="A273" t="s">
        <v>1979</v>
      </c>
      <c r="C273" t="s">
        <v>1761</v>
      </c>
      <c r="E273" t="s">
        <v>1707</v>
      </c>
      <c r="F273" t="s">
        <v>1147</v>
      </c>
    </row>
    <row r="274" spans="1:6">
      <c r="A274" t="s">
        <v>1980</v>
      </c>
      <c r="C274" t="s">
        <v>1761</v>
      </c>
      <c r="E274" t="s">
        <v>1707</v>
      </c>
      <c r="F274" t="s">
        <v>1147</v>
      </c>
    </row>
    <row r="275" spans="1:6">
      <c r="A275" t="s">
        <v>1981</v>
      </c>
      <c r="C275" t="s">
        <v>1761</v>
      </c>
      <c r="E275" t="s">
        <v>1707</v>
      </c>
      <c r="F275" t="s">
        <v>1147</v>
      </c>
    </row>
    <row r="276" spans="1:6">
      <c r="A276" t="s">
        <v>1982</v>
      </c>
      <c r="C276" t="s">
        <v>1761</v>
      </c>
      <c r="E276" t="s">
        <v>1707</v>
      </c>
      <c r="F276" t="s">
        <v>1147</v>
      </c>
    </row>
    <row r="277" spans="1:6">
      <c r="A277" t="s">
        <v>1983</v>
      </c>
      <c r="C277" t="s">
        <v>1761</v>
      </c>
      <c r="E277" t="s">
        <v>1707</v>
      </c>
      <c r="F277" t="s">
        <v>1147</v>
      </c>
    </row>
    <row r="278" spans="1:6">
      <c r="A278" t="s">
        <v>1984</v>
      </c>
      <c r="C278" t="s">
        <v>1761</v>
      </c>
      <c r="E278" t="s">
        <v>1707</v>
      </c>
      <c r="F278" t="s">
        <v>1147</v>
      </c>
    </row>
    <row r="279" spans="1:6">
      <c r="A279" t="s">
        <v>1985</v>
      </c>
      <c r="C279" t="s">
        <v>1761</v>
      </c>
      <c r="E279" t="s">
        <v>1707</v>
      </c>
      <c r="F279" t="s">
        <v>1147</v>
      </c>
    </row>
    <row r="280" spans="1:6">
      <c r="A280" t="s">
        <v>1986</v>
      </c>
      <c r="C280" t="s">
        <v>1761</v>
      </c>
      <c r="E280" t="s">
        <v>1707</v>
      </c>
      <c r="F280" t="s">
        <v>1147</v>
      </c>
    </row>
    <row r="281" spans="1:6">
      <c r="A281" t="s">
        <v>1987</v>
      </c>
      <c r="C281" t="s">
        <v>1761</v>
      </c>
      <c r="E281" t="s">
        <v>1707</v>
      </c>
      <c r="F281" t="s">
        <v>1147</v>
      </c>
    </row>
    <row r="282" spans="1:6">
      <c r="A282" t="s">
        <v>1988</v>
      </c>
      <c r="C282" t="s">
        <v>1761</v>
      </c>
      <c r="E282" t="s">
        <v>1707</v>
      </c>
      <c r="F282" t="s">
        <v>1147</v>
      </c>
    </row>
    <row r="283" spans="1:6">
      <c r="A283" t="s">
        <v>1989</v>
      </c>
      <c r="C283" t="s">
        <v>1761</v>
      </c>
      <c r="E283" t="s">
        <v>1707</v>
      </c>
      <c r="F283" t="s">
        <v>1147</v>
      </c>
    </row>
    <row r="284" spans="1:6">
      <c r="A284" t="s">
        <v>1990</v>
      </c>
      <c r="C284" t="s">
        <v>1761</v>
      </c>
      <c r="E284" t="s">
        <v>1707</v>
      </c>
      <c r="F284" t="s">
        <v>1147</v>
      </c>
    </row>
    <row r="285" spans="1:6">
      <c r="A285" t="s">
        <v>1991</v>
      </c>
      <c r="C285" t="s">
        <v>1761</v>
      </c>
      <c r="E285" t="s">
        <v>1707</v>
      </c>
      <c r="F285" t="s">
        <v>1147</v>
      </c>
    </row>
    <row r="286" spans="1:6">
      <c r="A286" t="s">
        <v>1992</v>
      </c>
      <c r="C286" t="s">
        <v>1761</v>
      </c>
      <c r="E286" t="s">
        <v>1707</v>
      </c>
      <c r="F286" t="s">
        <v>1147</v>
      </c>
    </row>
    <row r="287" spans="1:6">
      <c r="A287" t="s">
        <v>1993</v>
      </c>
      <c r="C287" t="s">
        <v>1761</v>
      </c>
      <c r="E287" t="s">
        <v>1707</v>
      </c>
      <c r="F287" t="s">
        <v>1147</v>
      </c>
    </row>
    <row r="288" spans="1:6">
      <c r="A288" t="s">
        <v>1994</v>
      </c>
      <c r="C288" t="s">
        <v>1761</v>
      </c>
      <c r="E288" t="s">
        <v>1707</v>
      </c>
      <c r="F288" t="s">
        <v>1147</v>
      </c>
    </row>
    <row r="289" spans="1:6">
      <c r="A289" t="s">
        <v>1995</v>
      </c>
      <c r="C289" t="s">
        <v>1761</v>
      </c>
      <c r="E289" t="s">
        <v>1707</v>
      </c>
      <c r="F289" t="s">
        <v>1147</v>
      </c>
    </row>
    <row r="290" spans="1:6">
      <c r="A290" t="s">
        <v>1996</v>
      </c>
      <c r="C290" t="s">
        <v>1761</v>
      </c>
      <c r="E290" t="s">
        <v>1707</v>
      </c>
      <c r="F290" t="s">
        <v>1147</v>
      </c>
    </row>
    <row r="291" spans="1:6">
      <c r="A291" t="s">
        <v>1997</v>
      </c>
      <c r="C291" t="s">
        <v>1761</v>
      </c>
      <c r="E291" t="s">
        <v>1707</v>
      </c>
      <c r="F291" t="s">
        <v>1147</v>
      </c>
    </row>
    <row r="292" spans="1:6">
      <c r="A292" t="s">
        <v>1998</v>
      </c>
      <c r="C292" t="s">
        <v>1761</v>
      </c>
      <c r="E292" t="s">
        <v>1707</v>
      </c>
      <c r="F292" t="s">
        <v>1147</v>
      </c>
    </row>
    <row r="293" spans="1:6">
      <c r="A293" t="s">
        <v>1999</v>
      </c>
      <c r="C293" t="s">
        <v>1761</v>
      </c>
      <c r="E293" t="s">
        <v>1707</v>
      </c>
      <c r="F293" t="s">
        <v>1147</v>
      </c>
    </row>
    <row r="294" spans="1:6">
      <c r="A294" t="s">
        <v>2000</v>
      </c>
      <c r="C294" t="s">
        <v>1761</v>
      </c>
      <c r="E294" t="s">
        <v>1707</v>
      </c>
      <c r="F294" t="s">
        <v>1147</v>
      </c>
    </row>
    <row r="295" spans="1:6">
      <c r="A295" t="s">
        <v>2001</v>
      </c>
      <c r="C295" t="s">
        <v>1761</v>
      </c>
      <c r="E295" t="s">
        <v>1707</v>
      </c>
      <c r="F295" t="s">
        <v>1147</v>
      </c>
    </row>
    <row r="296" spans="1:6">
      <c r="A296" t="s">
        <v>2002</v>
      </c>
      <c r="C296" t="s">
        <v>1761</v>
      </c>
      <c r="E296" t="s">
        <v>1707</v>
      </c>
      <c r="F296" t="s">
        <v>1147</v>
      </c>
    </row>
    <row r="297" spans="1:6">
      <c r="A297" t="s">
        <v>2003</v>
      </c>
      <c r="C297" t="s">
        <v>1761</v>
      </c>
      <c r="E297" t="s">
        <v>1707</v>
      </c>
      <c r="F297" t="s">
        <v>1147</v>
      </c>
    </row>
    <row r="298" spans="1:6">
      <c r="A298" t="s">
        <v>2004</v>
      </c>
      <c r="C298" t="s">
        <v>1761</v>
      </c>
      <c r="E298" t="s">
        <v>1707</v>
      </c>
      <c r="F298" t="s">
        <v>1147</v>
      </c>
    </row>
    <row r="299" spans="1:6">
      <c r="A299" t="s">
        <v>2005</v>
      </c>
      <c r="C299" t="s">
        <v>1761</v>
      </c>
      <c r="E299" t="s">
        <v>1707</v>
      </c>
      <c r="F299" t="s">
        <v>1147</v>
      </c>
    </row>
    <row r="300" spans="1:6">
      <c r="A300" t="s">
        <v>2006</v>
      </c>
      <c r="C300" t="s">
        <v>1761</v>
      </c>
      <c r="E300" t="s">
        <v>1707</v>
      </c>
      <c r="F300" t="s">
        <v>1147</v>
      </c>
    </row>
    <row r="301" spans="1:6">
      <c r="A301" t="s">
        <v>2007</v>
      </c>
      <c r="C301" t="s">
        <v>1761</v>
      </c>
      <c r="E301" t="s">
        <v>1707</v>
      </c>
      <c r="F301" t="s">
        <v>1147</v>
      </c>
    </row>
    <row r="302" spans="1:6">
      <c r="A302" t="s">
        <v>2008</v>
      </c>
      <c r="C302" t="s">
        <v>1761</v>
      </c>
      <c r="E302" t="s">
        <v>1707</v>
      </c>
      <c r="F302" t="s">
        <v>1147</v>
      </c>
    </row>
    <row r="303" spans="1:6">
      <c r="A303" t="s">
        <v>2009</v>
      </c>
      <c r="C303" t="s">
        <v>1761</v>
      </c>
      <c r="E303" t="s">
        <v>1707</v>
      </c>
      <c r="F303" t="s">
        <v>1147</v>
      </c>
    </row>
    <row r="304" spans="1:6">
      <c r="A304" t="s">
        <v>2010</v>
      </c>
      <c r="C304" t="s">
        <v>1761</v>
      </c>
      <c r="E304" t="s">
        <v>1707</v>
      </c>
      <c r="F304" t="s">
        <v>1147</v>
      </c>
    </row>
    <row r="305" spans="1:6">
      <c r="A305" t="s">
        <v>2011</v>
      </c>
      <c r="C305" t="s">
        <v>1761</v>
      </c>
      <c r="E305" t="s">
        <v>1707</v>
      </c>
      <c r="F305" t="s">
        <v>1147</v>
      </c>
    </row>
    <row r="306" spans="1:6">
      <c r="A306" t="s">
        <v>2012</v>
      </c>
      <c r="C306" t="s">
        <v>1761</v>
      </c>
      <c r="E306" t="s">
        <v>1707</v>
      </c>
      <c r="F306" t="s">
        <v>1147</v>
      </c>
    </row>
    <row r="307" spans="1:6">
      <c r="A307" t="s">
        <v>2013</v>
      </c>
      <c r="C307" t="s">
        <v>1761</v>
      </c>
      <c r="E307" t="s">
        <v>1707</v>
      </c>
      <c r="F307" t="s">
        <v>1147</v>
      </c>
    </row>
    <row r="308" spans="1:6">
      <c r="A308" t="s">
        <v>2014</v>
      </c>
      <c r="C308" t="s">
        <v>1761</v>
      </c>
      <c r="E308" t="s">
        <v>1707</v>
      </c>
      <c r="F308" t="s">
        <v>1147</v>
      </c>
    </row>
    <row r="309" spans="1:6">
      <c r="A309" t="s">
        <v>2015</v>
      </c>
      <c r="C309" t="s">
        <v>1761</v>
      </c>
      <c r="E309" t="s">
        <v>1707</v>
      </c>
      <c r="F309" t="s">
        <v>1147</v>
      </c>
    </row>
    <row r="310" spans="1:6">
      <c r="A310" t="s">
        <v>2016</v>
      </c>
      <c r="C310" t="s">
        <v>1761</v>
      </c>
      <c r="E310" t="s">
        <v>1707</v>
      </c>
      <c r="F310" t="s">
        <v>1147</v>
      </c>
    </row>
    <row r="311" spans="1:6">
      <c r="A311" t="s">
        <v>2017</v>
      </c>
      <c r="C311" t="s">
        <v>1761</v>
      </c>
      <c r="E311" t="s">
        <v>1707</v>
      </c>
      <c r="F311" t="s">
        <v>1147</v>
      </c>
    </row>
    <row r="312" spans="1:6">
      <c r="A312" t="s">
        <v>2018</v>
      </c>
      <c r="C312" t="s">
        <v>1761</v>
      </c>
      <c r="E312" t="s">
        <v>1707</v>
      </c>
      <c r="F312" t="s">
        <v>1147</v>
      </c>
    </row>
    <row r="313" spans="1:6">
      <c r="A313" t="s">
        <v>2019</v>
      </c>
      <c r="C313" t="s">
        <v>1761</v>
      </c>
      <c r="E313" t="s">
        <v>1707</v>
      </c>
      <c r="F313" t="s">
        <v>1147</v>
      </c>
    </row>
    <row r="314" spans="1:6">
      <c r="A314" t="s">
        <v>2020</v>
      </c>
      <c r="C314" t="s">
        <v>1761</v>
      </c>
      <c r="E314" t="s">
        <v>1707</v>
      </c>
      <c r="F314" t="s">
        <v>1147</v>
      </c>
    </row>
    <row r="315" spans="1:6">
      <c r="A315" t="s">
        <v>2021</v>
      </c>
      <c r="C315" t="s">
        <v>1761</v>
      </c>
      <c r="E315" t="s">
        <v>1707</v>
      </c>
      <c r="F315" t="s">
        <v>1147</v>
      </c>
    </row>
    <row r="316" spans="1:6">
      <c r="A316" t="s">
        <v>2022</v>
      </c>
      <c r="C316" t="s">
        <v>1761</v>
      </c>
      <c r="E316" t="s">
        <v>1707</v>
      </c>
      <c r="F316" t="s">
        <v>1147</v>
      </c>
    </row>
    <row r="317" spans="1:6">
      <c r="A317" t="s">
        <v>2023</v>
      </c>
      <c r="C317" t="s">
        <v>1761</v>
      </c>
      <c r="E317" t="s">
        <v>1707</v>
      </c>
      <c r="F317" t="s">
        <v>1147</v>
      </c>
    </row>
    <row r="318" spans="1:6">
      <c r="A318" t="s">
        <v>2024</v>
      </c>
      <c r="C318" t="s">
        <v>1761</v>
      </c>
      <c r="E318" t="s">
        <v>1707</v>
      </c>
      <c r="F318" t="s">
        <v>1147</v>
      </c>
    </row>
    <row r="319" spans="1:6">
      <c r="A319" t="s">
        <v>2025</v>
      </c>
      <c r="C319" t="s">
        <v>1761</v>
      </c>
      <c r="E319" t="s">
        <v>1707</v>
      </c>
      <c r="F319" t="s">
        <v>1147</v>
      </c>
    </row>
    <row r="320" spans="1:6">
      <c r="A320" t="s">
        <v>2026</v>
      </c>
      <c r="C320" t="s">
        <v>1761</v>
      </c>
      <c r="E320" t="s">
        <v>1707</v>
      </c>
      <c r="F320" t="s">
        <v>1147</v>
      </c>
    </row>
    <row r="321" spans="1:6">
      <c r="A321" t="s">
        <v>2027</v>
      </c>
      <c r="C321" t="s">
        <v>1761</v>
      </c>
      <c r="E321" t="s">
        <v>1707</v>
      </c>
      <c r="F321" t="s">
        <v>1147</v>
      </c>
    </row>
    <row r="322" spans="1:6">
      <c r="A322" t="s">
        <v>2028</v>
      </c>
      <c r="C322" t="s">
        <v>1761</v>
      </c>
      <c r="E322" t="s">
        <v>1707</v>
      </c>
      <c r="F322" t="s">
        <v>1147</v>
      </c>
    </row>
    <row r="323" spans="1:6">
      <c r="A323" t="s">
        <v>2029</v>
      </c>
      <c r="C323" t="s">
        <v>1761</v>
      </c>
      <c r="E323" t="s">
        <v>1707</v>
      </c>
      <c r="F323" t="s">
        <v>1147</v>
      </c>
    </row>
    <row r="324" spans="1:6">
      <c r="A324" t="s">
        <v>2030</v>
      </c>
      <c r="C324" t="s">
        <v>1761</v>
      </c>
      <c r="E324" t="s">
        <v>1707</v>
      </c>
      <c r="F324" t="s">
        <v>1147</v>
      </c>
    </row>
    <row r="325" spans="1:6">
      <c r="A325" t="s">
        <v>2031</v>
      </c>
      <c r="C325" t="s">
        <v>1761</v>
      </c>
      <c r="E325" t="s">
        <v>1707</v>
      </c>
      <c r="F325" t="s">
        <v>1147</v>
      </c>
    </row>
    <row r="326" spans="1:6">
      <c r="A326" t="s">
        <v>2032</v>
      </c>
      <c r="C326" t="s">
        <v>1761</v>
      </c>
      <c r="E326" t="s">
        <v>1707</v>
      </c>
      <c r="F326" t="s">
        <v>1147</v>
      </c>
    </row>
    <row r="327" spans="1:6">
      <c r="A327" t="s">
        <v>2033</v>
      </c>
      <c r="C327" t="s">
        <v>1761</v>
      </c>
      <c r="E327" t="s">
        <v>1707</v>
      </c>
      <c r="F327" t="s">
        <v>1147</v>
      </c>
    </row>
    <row r="328" spans="1:6">
      <c r="A328" t="s">
        <v>2034</v>
      </c>
      <c r="C328" t="s">
        <v>1761</v>
      </c>
      <c r="E328" t="s">
        <v>1707</v>
      </c>
      <c r="F328" t="s">
        <v>1147</v>
      </c>
    </row>
    <row r="329" spans="1:6">
      <c r="A329" t="s">
        <v>2035</v>
      </c>
      <c r="C329" t="s">
        <v>1761</v>
      </c>
      <c r="E329" t="s">
        <v>1707</v>
      </c>
      <c r="F329" t="s">
        <v>1147</v>
      </c>
    </row>
    <row r="330" spans="1:6">
      <c r="A330" t="s">
        <v>2036</v>
      </c>
      <c r="C330" t="s">
        <v>1761</v>
      </c>
      <c r="E330" t="s">
        <v>1707</v>
      </c>
      <c r="F330" t="s">
        <v>1147</v>
      </c>
    </row>
    <row r="331" spans="1:6">
      <c r="A331" t="s">
        <v>2037</v>
      </c>
      <c r="C331" t="s">
        <v>1761</v>
      </c>
      <c r="E331" t="s">
        <v>1707</v>
      </c>
      <c r="F331" t="s">
        <v>1147</v>
      </c>
    </row>
    <row r="332" spans="1:6">
      <c r="A332" t="s">
        <v>2038</v>
      </c>
      <c r="C332" t="s">
        <v>1761</v>
      </c>
      <c r="E332" t="s">
        <v>1707</v>
      </c>
      <c r="F332" t="s">
        <v>1147</v>
      </c>
    </row>
    <row r="333" spans="1:6">
      <c r="A333" t="s">
        <v>2039</v>
      </c>
      <c r="C333" t="s">
        <v>1761</v>
      </c>
      <c r="E333" t="s">
        <v>1707</v>
      </c>
      <c r="F333" t="s">
        <v>1147</v>
      </c>
    </row>
    <row r="334" spans="1:6">
      <c r="A334" t="s">
        <v>2040</v>
      </c>
      <c r="C334" t="s">
        <v>1761</v>
      </c>
      <c r="E334" t="s">
        <v>1707</v>
      </c>
      <c r="F334" t="s">
        <v>1147</v>
      </c>
    </row>
    <row r="335" spans="1:6">
      <c r="A335" t="s">
        <v>2041</v>
      </c>
      <c r="C335" t="s">
        <v>1761</v>
      </c>
      <c r="E335" t="s">
        <v>1707</v>
      </c>
      <c r="F335" t="s">
        <v>1147</v>
      </c>
    </row>
    <row r="336" spans="1:6">
      <c r="A336" t="s">
        <v>2042</v>
      </c>
      <c r="C336" t="s">
        <v>1761</v>
      </c>
      <c r="E336" t="s">
        <v>1707</v>
      </c>
      <c r="F336" t="s">
        <v>1147</v>
      </c>
    </row>
    <row r="337" spans="1:6">
      <c r="A337" t="s">
        <v>2043</v>
      </c>
      <c r="C337" t="s">
        <v>1761</v>
      </c>
      <c r="E337" t="s">
        <v>1707</v>
      </c>
      <c r="F337" t="s">
        <v>1147</v>
      </c>
    </row>
    <row r="338" spans="1:6">
      <c r="A338" t="s">
        <v>2044</v>
      </c>
      <c r="C338" t="s">
        <v>1761</v>
      </c>
      <c r="E338" t="s">
        <v>1707</v>
      </c>
      <c r="F338" t="s">
        <v>1147</v>
      </c>
    </row>
    <row r="339" spans="1:6">
      <c r="A339" t="s">
        <v>2045</v>
      </c>
      <c r="C339" t="s">
        <v>1761</v>
      </c>
      <c r="E339" t="s">
        <v>1707</v>
      </c>
      <c r="F339" t="s">
        <v>1147</v>
      </c>
    </row>
    <row r="340" spans="1:6">
      <c r="A340" t="s">
        <v>2046</v>
      </c>
      <c r="C340" t="s">
        <v>1761</v>
      </c>
      <c r="E340" t="s">
        <v>1707</v>
      </c>
      <c r="F340" t="s">
        <v>1147</v>
      </c>
    </row>
    <row r="341" spans="1:6">
      <c r="A341" t="s">
        <v>2047</v>
      </c>
      <c r="C341" t="s">
        <v>1761</v>
      </c>
      <c r="E341" t="s">
        <v>1707</v>
      </c>
      <c r="F341" t="s">
        <v>1147</v>
      </c>
    </row>
    <row r="342" spans="1:6">
      <c r="A342" t="s">
        <v>2048</v>
      </c>
      <c r="C342" t="s">
        <v>1761</v>
      </c>
      <c r="E342" t="s">
        <v>1707</v>
      </c>
      <c r="F342" t="s">
        <v>1147</v>
      </c>
    </row>
    <row r="343" spans="1:6">
      <c r="A343" t="s">
        <v>2049</v>
      </c>
      <c r="C343" t="s">
        <v>1761</v>
      </c>
      <c r="E343" t="s">
        <v>1707</v>
      </c>
      <c r="F343" t="s">
        <v>1147</v>
      </c>
    </row>
    <row r="344" spans="1:6">
      <c r="A344" t="s">
        <v>2050</v>
      </c>
      <c r="C344" t="s">
        <v>1761</v>
      </c>
      <c r="E344" t="s">
        <v>1707</v>
      </c>
      <c r="F344" t="s">
        <v>1147</v>
      </c>
    </row>
    <row r="345" spans="1:6">
      <c r="A345" t="s">
        <v>2051</v>
      </c>
      <c r="C345" t="s">
        <v>1761</v>
      </c>
      <c r="E345" t="s">
        <v>1707</v>
      </c>
      <c r="F345" t="s">
        <v>1147</v>
      </c>
    </row>
    <row r="346" spans="1:6">
      <c r="A346" t="s">
        <v>2052</v>
      </c>
      <c r="C346" t="s">
        <v>1761</v>
      </c>
      <c r="E346" t="s">
        <v>1707</v>
      </c>
      <c r="F346" t="s">
        <v>1147</v>
      </c>
    </row>
    <row r="347" spans="1:6">
      <c r="A347" t="s">
        <v>2053</v>
      </c>
      <c r="C347" t="s">
        <v>1761</v>
      </c>
      <c r="E347" t="s">
        <v>1707</v>
      </c>
      <c r="F347" t="s">
        <v>1147</v>
      </c>
    </row>
    <row r="348" spans="1:6">
      <c r="A348" t="s">
        <v>2054</v>
      </c>
      <c r="C348" t="s">
        <v>1761</v>
      </c>
      <c r="E348" t="s">
        <v>1707</v>
      </c>
      <c r="F348" t="s">
        <v>1147</v>
      </c>
    </row>
    <row r="349" spans="1:6">
      <c r="A349" t="s">
        <v>2055</v>
      </c>
      <c r="C349" t="s">
        <v>1761</v>
      </c>
      <c r="E349" t="s">
        <v>1707</v>
      </c>
      <c r="F349" t="s">
        <v>1147</v>
      </c>
    </row>
    <row r="350" spans="1:6">
      <c r="A350" t="s">
        <v>2056</v>
      </c>
      <c r="C350" t="s">
        <v>1761</v>
      </c>
      <c r="E350" t="s">
        <v>1707</v>
      </c>
      <c r="F350" t="s">
        <v>1147</v>
      </c>
    </row>
    <row r="351" spans="1:6">
      <c r="A351" t="s">
        <v>2057</v>
      </c>
      <c r="C351" t="s">
        <v>1761</v>
      </c>
      <c r="E351" t="s">
        <v>1707</v>
      </c>
      <c r="F351" t="s">
        <v>1147</v>
      </c>
    </row>
    <row r="352" spans="1:6">
      <c r="A352" t="s">
        <v>2058</v>
      </c>
      <c r="C352" t="s">
        <v>1761</v>
      </c>
      <c r="E352" t="s">
        <v>1707</v>
      </c>
      <c r="F352" t="s">
        <v>1147</v>
      </c>
    </row>
    <row r="353" spans="1:6">
      <c r="A353" t="s">
        <v>2059</v>
      </c>
      <c r="C353" t="s">
        <v>1761</v>
      </c>
      <c r="E353" t="s">
        <v>1707</v>
      </c>
      <c r="F353" t="s">
        <v>1147</v>
      </c>
    </row>
    <row r="354" spans="1:6">
      <c r="A354" t="s">
        <v>2060</v>
      </c>
      <c r="C354" t="s">
        <v>1761</v>
      </c>
      <c r="E354" t="s">
        <v>1707</v>
      </c>
      <c r="F354" t="s">
        <v>1147</v>
      </c>
    </row>
    <row r="355" spans="1:6">
      <c r="A355" t="s">
        <v>2061</v>
      </c>
      <c r="C355" t="s">
        <v>1761</v>
      </c>
      <c r="E355" t="s">
        <v>1707</v>
      </c>
      <c r="F355" t="s">
        <v>1147</v>
      </c>
    </row>
    <row r="356" spans="1:6">
      <c r="A356" t="s">
        <v>2062</v>
      </c>
      <c r="C356" t="s">
        <v>1761</v>
      </c>
      <c r="E356" t="s">
        <v>1707</v>
      </c>
      <c r="F356" t="s">
        <v>1147</v>
      </c>
    </row>
    <row r="357" spans="1:6">
      <c r="A357" t="s">
        <v>2063</v>
      </c>
      <c r="C357" t="s">
        <v>1761</v>
      </c>
      <c r="E357" t="s">
        <v>1707</v>
      </c>
      <c r="F357" t="s">
        <v>1147</v>
      </c>
    </row>
    <row r="358" spans="1:6">
      <c r="A358" t="s">
        <v>2064</v>
      </c>
      <c r="C358" t="s">
        <v>1761</v>
      </c>
      <c r="E358" t="s">
        <v>1707</v>
      </c>
      <c r="F358" t="s">
        <v>1147</v>
      </c>
    </row>
    <row r="359" spans="1:6">
      <c r="A359" t="s">
        <v>2065</v>
      </c>
      <c r="C359" t="s">
        <v>1761</v>
      </c>
      <c r="E359" t="s">
        <v>1707</v>
      </c>
      <c r="F359" t="s">
        <v>1147</v>
      </c>
    </row>
    <row r="360" spans="1:6">
      <c r="A360" t="s">
        <v>2066</v>
      </c>
      <c r="C360" t="s">
        <v>1761</v>
      </c>
      <c r="E360" t="s">
        <v>1707</v>
      </c>
      <c r="F360" t="s">
        <v>1147</v>
      </c>
    </row>
    <row r="361" spans="1:6">
      <c r="A361" t="s">
        <v>2067</v>
      </c>
      <c r="C361" t="s">
        <v>1761</v>
      </c>
      <c r="E361" t="s">
        <v>1707</v>
      </c>
      <c r="F361" t="s">
        <v>1147</v>
      </c>
    </row>
    <row r="362" spans="1:6">
      <c r="A362" t="s">
        <v>2068</v>
      </c>
      <c r="C362" t="s">
        <v>1761</v>
      </c>
      <c r="E362" t="s">
        <v>1707</v>
      </c>
      <c r="F362" t="s">
        <v>1147</v>
      </c>
    </row>
    <row r="363" spans="1:6">
      <c r="A363" t="s">
        <v>2069</v>
      </c>
      <c r="C363" t="s">
        <v>1761</v>
      </c>
      <c r="E363" t="s">
        <v>1707</v>
      </c>
      <c r="F363" t="s">
        <v>1147</v>
      </c>
    </row>
    <row r="364" spans="1:6">
      <c r="A364" t="s">
        <v>2070</v>
      </c>
      <c r="C364" t="s">
        <v>1761</v>
      </c>
      <c r="E364" t="s">
        <v>1707</v>
      </c>
      <c r="F364" t="s">
        <v>1147</v>
      </c>
    </row>
    <row r="365" spans="1:6">
      <c r="A365" t="s">
        <v>2071</v>
      </c>
      <c r="C365" t="s">
        <v>1761</v>
      </c>
      <c r="E365" t="s">
        <v>1707</v>
      </c>
      <c r="F365" t="s">
        <v>1147</v>
      </c>
    </row>
    <row r="366" spans="1:6">
      <c r="A366" t="s">
        <v>2072</v>
      </c>
      <c r="C366" t="s">
        <v>1761</v>
      </c>
      <c r="E366" t="s">
        <v>1707</v>
      </c>
      <c r="F366" t="s">
        <v>1147</v>
      </c>
    </row>
    <row r="367" spans="1:6">
      <c r="A367" t="s">
        <v>2073</v>
      </c>
      <c r="C367" t="s">
        <v>1761</v>
      </c>
      <c r="E367" t="s">
        <v>1707</v>
      </c>
      <c r="F367" t="s">
        <v>1147</v>
      </c>
    </row>
    <row r="368" spans="1:6">
      <c r="A368" t="s">
        <v>2074</v>
      </c>
      <c r="C368" t="s">
        <v>1761</v>
      </c>
      <c r="E368" t="s">
        <v>1707</v>
      </c>
      <c r="F368" t="s">
        <v>1147</v>
      </c>
    </row>
    <row r="369" spans="1:6">
      <c r="A369" t="s">
        <v>2075</v>
      </c>
      <c r="C369" t="s">
        <v>1761</v>
      </c>
      <c r="E369" t="s">
        <v>1707</v>
      </c>
      <c r="F369" t="s">
        <v>1147</v>
      </c>
    </row>
    <row r="370" spans="1:6">
      <c r="A370" t="s">
        <v>2076</v>
      </c>
      <c r="C370" t="s">
        <v>1761</v>
      </c>
      <c r="E370" t="s">
        <v>1707</v>
      </c>
      <c r="F370" t="s">
        <v>1147</v>
      </c>
    </row>
    <row r="371" spans="1:6">
      <c r="A371" t="s">
        <v>2077</v>
      </c>
      <c r="C371" t="s">
        <v>1761</v>
      </c>
      <c r="E371" t="s">
        <v>1707</v>
      </c>
      <c r="F371" t="s">
        <v>1147</v>
      </c>
    </row>
    <row r="372" spans="1:6">
      <c r="A372" t="s">
        <v>2078</v>
      </c>
      <c r="C372" t="s">
        <v>1761</v>
      </c>
      <c r="E372" t="s">
        <v>1707</v>
      </c>
      <c r="F372" t="s">
        <v>1147</v>
      </c>
    </row>
    <row r="373" spans="1:6">
      <c r="A373" t="s">
        <v>2079</v>
      </c>
      <c r="C373" t="s">
        <v>1761</v>
      </c>
      <c r="E373" t="s">
        <v>1707</v>
      </c>
      <c r="F373" t="s">
        <v>1147</v>
      </c>
    </row>
    <row r="374" spans="1:6">
      <c r="A374" t="s">
        <v>2080</v>
      </c>
      <c r="C374" t="s">
        <v>1761</v>
      </c>
      <c r="E374" t="s">
        <v>1707</v>
      </c>
      <c r="F374" t="s">
        <v>1147</v>
      </c>
    </row>
    <row r="375" spans="1:6">
      <c r="A375" t="s">
        <v>2081</v>
      </c>
      <c r="C375" t="s">
        <v>1761</v>
      </c>
      <c r="E375" t="s">
        <v>1707</v>
      </c>
      <c r="F375" t="s">
        <v>1147</v>
      </c>
    </row>
    <row r="376" spans="1:6">
      <c r="A376" t="s">
        <v>2082</v>
      </c>
      <c r="C376" t="s">
        <v>1761</v>
      </c>
      <c r="E376" t="s">
        <v>1707</v>
      </c>
      <c r="F376" t="s">
        <v>1147</v>
      </c>
    </row>
    <row r="377" spans="1:6">
      <c r="A377" t="s">
        <v>2083</v>
      </c>
      <c r="C377" t="s">
        <v>1761</v>
      </c>
      <c r="E377" t="s">
        <v>1707</v>
      </c>
      <c r="F377" t="s">
        <v>1147</v>
      </c>
    </row>
    <row r="378" spans="1:6">
      <c r="A378" t="s">
        <v>2084</v>
      </c>
      <c r="C378" t="s">
        <v>1761</v>
      </c>
      <c r="E378" t="s">
        <v>1707</v>
      </c>
      <c r="F378" t="s">
        <v>1147</v>
      </c>
    </row>
    <row r="379" spans="1:6">
      <c r="A379" t="s">
        <v>2085</v>
      </c>
      <c r="C379" t="s">
        <v>1761</v>
      </c>
      <c r="E379" t="s">
        <v>1707</v>
      </c>
      <c r="F379" t="s">
        <v>1147</v>
      </c>
    </row>
    <row r="380" spans="1:6">
      <c r="A380" t="s">
        <v>2086</v>
      </c>
      <c r="C380" t="s">
        <v>1761</v>
      </c>
      <c r="E380" t="s">
        <v>1707</v>
      </c>
      <c r="F380" t="s">
        <v>1147</v>
      </c>
    </row>
    <row r="381" spans="1:6">
      <c r="A381" t="s">
        <v>2087</v>
      </c>
      <c r="C381" t="s">
        <v>1761</v>
      </c>
      <c r="E381" t="s">
        <v>1707</v>
      </c>
      <c r="F381" t="s">
        <v>1147</v>
      </c>
    </row>
    <row r="382" spans="1:6">
      <c r="A382" t="s">
        <v>2088</v>
      </c>
      <c r="C382" t="s">
        <v>1761</v>
      </c>
      <c r="E382" t="s">
        <v>1707</v>
      </c>
      <c r="F382" t="s">
        <v>1147</v>
      </c>
    </row>
    <row r="383" spans="1:6">
      <c r="A383" t="s">
        <v>2089</v>
      </c>
      <c r="C383" t="s">
        <v>1761</v>
      </c>
      <c r="E383" t="s">
        <v>1707</v>
      </c>
      <c r="F383" t="s">
        <v>1147</v>
      </c>
    </row>
    <row r="384" spans="1:6">
      <c r="A384" t="s">
        <v>2090</v>
      </c>
      <c r="C384" t="s">
        <v>1761</v>
      </c>
      <c r="E384" t="s">
        <v>1707</v>
      </c>
      <c r="F384" t="s">
        <v>1147</v>
      </c>
    </row>
    <row r="385" spans="1:6">
      <c r="A385" t="s">
        <v>2091</v>
      </c>
      <c r="C385" t="s">
        <v>1761</v>
      </c>
      <c r="E385" t="s">
        <v>1707</v>
      </c>
      <c r="F385" t="s">
        <v>1147</v>
      </c>
    </row>
    <row r="386" spans="1:6">
      <c r="A386" t="s">
        <v>2092</v>
      </c>
      <c r="C386" t="s">
        <v>1761</v>
      </c>
      <c r="E386" t="s">
        <v>1707</v>
      </c>
      <c r="F386" t="s">
        <v>1147</v>
      </c>
    </row>
    <row r="387" spans="1:6">
      <c r="A387" t="s">
        <v>2093</v>
      </c>
      <c r="C387" t="s">
        <v>1761</v>
      </c>
      <c r="E387" t="s">
        <v>1707</v>
      </c>
      <c r="F387" t="s">
        <v>1147</v>
      </c>
    </row>
    <row r="388" spans="1:6">
      <c r="A388" t="s">
        <v>2094</v>
      </c>
      <c r="C388" t="s">
        <v>1761</v>
      </c>
      <c r="E388" t="s">
        <v>1707</v>
      </c>
      <c r="F388" t="s">
        <v>1147</v>
      </c>
    </row>
    <row r="389" spans="1:6">
      <c r="A389" t="s">
        <v>2095</v>
      </c>
      <c r="C389" t="s">
        <v>1761</v>
      </c>
      <c r="E389" t="s">
        <v>1707</v>
      </c>
      <c r="F389" t="s">
        <v>1147</v>
      </c>
    </row>
    <row r="390" spans="1:6">
      <c r="A390" t="s">
        <v>2096</v>
      </c>
      <c r="C390" t="s">
        <v>1761</v>
      </c>
      <c r="E390" t="s">
        <v>1707</v>
      </c>
      <c r="F390" t="s">
        <v>1147</v>
      </c>
    </row>
    <row r="391" spans="1:6">
      <c r="A391" t="s">
        <v>2097</v>
      </c>
      <c r="C391" t="s">
        <v>1761</v>
      </c>
      <c r="E391" t="s">
        <v>1707</v>
      </c>
      <c r="F391" t="s">
        <v>1147</v>
      </c>
    </row>
    <row r="392" spans="1:6">
      <c r="A392" t="s">
        <v>2098</v>
      </c>
      <c r="C392" t="s">
        <v>1761</v>
      </c>
      <c r="E392" t="s">
        <v>1707</v>
      </c>
      <c r="F392" t="s">
        <v>1147</v>
      </c>
    </row>
    <row r="393" spans="1:6">
      <c r="A393" t="s">
        <v>2099</v>
      </c>
      <c r="C393" t="s">
        <v>1761</v>
      </c>
      <c r="E393" t="s">
        <v>1707</v>
      </c>
      <c r="F393" t="s">
        <v>1147</v>
      </c>
    </row>
    <row r="394" spans="1:6">
      <c r="A394" t="s">
        <v>2100</v>
      </c>
      <c r="C394" t="s">
        <v>1761</v>
      </c>
      <c r="E394" t="s">
        <v>1707</v>
      </c>
      <c r="F394" t="s">
        <v>1147</v>
      </c>
    </row>
    <row r="395" spans="1:6">
      <c r="A395" t="s">
        <v>2101</v>
      </c>
      <c r="C395" t="s">
        <v>1761</v>
      </c>
      <c r="E395" t="s">
        <v>1707</v>
      </c>
      <c r="F395" t="s">
        <v>1147</v>
      </c>
    </row>
    <row r="396" spans="1:6">
      <c r="A396" t="s">
        <v>2102</v>
      </c>
      <c r="C396" t="s">
        <v>1761</v>
      </c>
      <c r="E396" t="s">
        <v>1707</v>
      </c>
      <c r="F396" t="s">
        <v>1147</v>
      </c>
    </row>
    <row r="397" spans="1:6">
      <c r="A397" t="s">
        <v>2103</v>
      </c>
      <c r="C397" t="s">
        <v>1761</v>
      </c>
      <c r="E397" t="s">
        <v>1707</v>
      </c>
      <c r="F397" t="s">
        <v>1147</v>
      </c>
    </row>
    <row r="398" spans="1:6">
      <c r="A398" t="s">
        <v>2104</v>
      </c>
      <c r="C398" t="s">
        <v>1761</v>
      </c>
      <c r="E398" t="s">
        <v>1707</v>
      </c>
      <c r="F398" t="s">
        <v>1147</v>
      </c>
    </row>
    <row r="399" spans="1:6">
      <c r="A399" t="s">
        <v>2105</v>
      </c>
      <c r="C399" t="s">
        <v>1761</v>
      </c>
      <c r="E399" t="s">
        <v>1707</v>
      </c>
      <c r="F399" t="s">
        <v>1147</v>
      </c>
    </row>
    <row r="400" spans="1:6">
      <c r="A400" t="s">
        <v>2106</v>
      </c>
      <c r="C400" t="s">
        <v>1761</v>
      </c>
      <c r="E400" t="s">
        <v>1707</v>
      </c>
      <c r="F400" t="s">
        <v>1147</v>
      </c>
    </row>
    <row r="401" spans="1:6">
      <c r="A401" t="s">
        <v>2107</v>
      </c>
      <c r="C401" t="s">
        <v>1761</v>
      </c>
      <c r="E401" t="s">
        <v>1707</v>
      </c>
      <c r="F401" t="s">
        <v>1147</v>
      </c>
    </row>
    <row r="402" spans="1:6">
      <c r="A402" t="s">
        <v>2108</v>
      </c>
      <c r="C402" t="s">
        <v>1761</v>
      </c>
      <c r="E402" t="s">
        <v>1707</v>
      </c>
      <c r="F402" t="s">
        <v>1147</v>
      </c>
    </row>
    <row r="403" spans="1:6">
      <c r="A403" t="s">
        <v>2109</v>
      </c>
      <c r="C403" t="s">
        <v>1761</v>
      </c>
      <c r="E403" t="s">
        <v>1707</v>
      </c>
      <c r="F403" t="s">
        <v>1147</v>
      </c>
    </row>
    <row r="404" spans="1:6">
      <c r="A404" t="s">
        <v>2110</v>
      </c>
      <c r="C404" t="s">
        <v>1761</v>
      </c>
      <c r="E404" t="s">
        <v>1707</v>
      </c>
      <c r="F404" t="s">
        <v>1147</v>
      </c>
    </row>
    <row r="405" spans="1:6">
      <c r="A405" t="s">
        <v>2111</v>
      </c>
      <c r="C405" t="s">
        <v>1761</v>
      </c>
      <c r="E405" t="s">
        <v>1707</v>
      </c>
      <c r="F405" t="s">
        <v>1147</v>
      </c>
    </row>
    <row r="406" spans="1:6">
      <c r="A406" t="s">
        <v>2112</v>
      </c>
      <c r="C406" t="s">
        <v>1761</v>
      </c>
      <c r="E406" t="s">
        <v>1707</v>
      </c>
      <c r="F406" t="s">
        <v>1147</v>
      </c>
    </row>
    <row r="407" spans="1:6">
      <c r="A407" t="s">
        <v>2113</v>
      </c>
      <c r="C407" t="s">
        <v>1761</v>
      </c>
      <c r="E407" t="s">
        <v>1707</v>
      </c>
      <c r="F407" t="s">
        <v>1147</v>
      </c>
    </row>
    <row r="408" spans="1:6">
      <c r="A408" t="s">
        <v>2114</v>
      </c>
      <c r="C408" t="s">
        <v>1761</v>
      </c>
      <c r="E408" t="s">
        <v>1707</v>
      </c>
      <c r="F408" t="s">
        <v>1147</v>
      </c>
    </row>
    <row r="409" spans="1:6">
      <c r="A409" t="s">
        <v>2115</v>
      </c>
      <c r="C409" t="s">
        <v>1761</v>
      </c>
      <c r="E409" t="s">
        <v>1707</v>
      </c>
      <c r="F409" t="s">
        <v>1147</v>
      </c>
    </row>
    <row r="410" spans="1:6">
      <c r="A410" t="s">
        <v>2116</v>
      </c>
      <c r="C410" t="s">
        <v>1761</v>
      </c>
      <c r="E410" t="s">
        <v>1707</v>
      </c>
      <c r="F410" t="s">
        <v>1147</v>
      </c>
    </row>
    <row r="411" spans="1:6">
      <c r="A411" t="s">
        <v>2117</v>
      </c>
      <c r="C411" t="s">
        <v>1761</v>
      </c>
      <c r="E411" t="s">
        <v>1707</v>
      </c>
      <c r="F411" t="s">
        <v>1147</v>
      </c>
    </row>
    <row r="412" spans="1:6">
      <c r="A412" t="s">
        <v>2118</v>
      </c>
      <c r="C412" t="s">
        <v>1761</v>
      </c>
      <c r="E412" t="s">
        <v>1707</v>
      </c>
      <c r="F412" t="s">
        <v>1147</v>
      </c>
    </row>
    <row r="413" spans="1:6">
      <c r="A413" t="s">
        <v>2119</v>
      </c>
      <c r="C413" t="s">
        <v>1761</v>
      </c>
      <c r="E413" t="s">
        <v>1707</v>
      </c>
      <c r="F413" t="s">
        <v>1147</v>
      </c>
    </row>
    <row r="414" spans="1:6">
      <c r="A414" t="s">
        <v>2120</v>
      </c>
      <c r="C414" t="s">
        <v>1761</v>
      </c>
      <c r="E414" t="s">
        <v>1707</v>
      </c>
      <c r="F414" t="s">
        <v>1147</v>
      </c>
    </row>
    <row r="415" spans="1:6">
      <c r="A415" t="s">
        <v>2121</v>
      </c>
      <c r="C415" t="s">
        <v>1761</v>
      </c>
      <c r="E415" t="s">
        <v>1707</v>
      </c>
      <c r="F415" t="s">
        <v>1147</v>
      </c>
    </row>
    <row r="416" spans="1:6">
      <c r="A416" t="s">
        <v>2122</v>
      </c>
      <c r="C416" t="s">
        <v>1761</v>
      </c>
      <c r="E416" t="s">
        <v>1707</v>
      </c>
      <c r="F416" t="s">
        <v>1147</v>
      </c>
    </row>
    <row r="417" spans="1:6">
      <c r="A417" t="s">
        <v>2123</v>
      </c>
      <c r="C417" t="s">
        <v>1761</v>
      </c>
      <c r="E417" t="s">
        <v>1707</v>
      </c>
      <c r="F417" t="s">
        <v>1147</v>
      </c>
    </row>
    <row r="418" spans="1:6">
      <c r="A418" t="s">
        <v>2124</v>
      </c>
      <c r="C418" t="s">
        <v>1761</v>
      </c>
      <c r="E418" t="s">
        <v>1707</v>
      </c>
      <c r="F418" t="s">
        <v>1147</v>
      </c>
    </row>
    <row r="419" spans="1:6">
      <c r="A419" t="s">
        <v>2125</v>
      </c>
      <c r="C419" t="s">
        <v>1761</v>
      </c>
      <c r="E419" t="s">
        <v>1707</v>
      </c>
      <c r="F419" t="s">
        <v>1147</v>
      </c>
    </row>
    <row r="420" spans="1:6">
      <c r="A420" t="s">
        <v>2126</v>
      </c>
      <c r="C420" t="s">
        <v>1761</v>
      </c>
      <c r="E420" t="s">
        <v>1707</v>
      </c>
      <c r="F420" t="s">
        <v>1147</v>
      </c>
    </row>
    <row r="421" spans="1:6">
      <c r="A421" t="s">
        <v>2127</v>
      </c>
      <c r="C421" t="s">
        <v>1761</v>
      </c>
      <c r="E421" t="s">
        <v>1707</v>
      </c>
      <c r="F421" t="s">
        <v>1147</v>
      </c>
    </row>
    <row r="422" spans="1:6">
      <c r="A422" t="s">
        <v>2128</v>
      </c>
      <c r="C422" t="s">
        <v>1761</v>
      </c>
      <c r="E422" t="s">
        <v>1707</v>
      </c>
      <c r="F422" t="s">
        <v>1147</v>
      </c>
    </row>
    <row r="423" spans="1:6">
      <c r="A423" t="s">
        <v>2129</v>
      </c>
      <c r="C423" t="s">
        <v>1761</v>
      </c>
      <c r="E423" t="s">
        <v>1707</v>
      </c>
      <c r="F423" t="s">
        <v>1147</v>
      </c>
    </row>
    <row r="424" spans="1:6">
      <c r="A424" t="s">
        <v>2130</v>
      </c>
      <c r="C424" t="s">
        <v>1761</v>
      </c>
      <c r="E424" t="s">
        <v>1707</v>
      </c>
      <c r="F424" t="s">
        <v>1147</v>
      </c>
    </row>
    <row r="425" spans="1:6">
      <c r="A425" t="s">
        <v>2131</v>
      </c>
      <c r="C425" t="s">
        <v>1761</v>
      </c>
      <c r="E425" t="s">
        <v>1707</v>
      </c>
      <c r="F425" t="s">
        <v>1147</v>
      </c>
    </row>
    <row r="426" spans="1:6">
      <c r="A426" t="s">
        <v>2132</v>
      </c>
      <c r="C426" t="s">
        <v>1761</v>
      </c>
      <c r="E426" t="s">
        <v>1707</v>
      </c>
      <c r="F426" t="s">
        <v>1147</v>
      </c>
    </row>
    <row r="427" spans="1:6">
      <c r="A427" t="s">
        <v>2133</v>
      </c>
      <c r="C427" t="s">
        <v>1761</v>
      </c>
      <c r="E427" t="s">
        <v>1707</v>
      </c>
      <c r="F427" t="s">
        <v>1147</v>
      </c>
    </row>
    <row r="428" spans="1:6">
      <c r="A428" t="s">
        <v>2134</v>
      </c>
      <c r="C428" t="s">
        <v>1761</v>
      </c>
      <c r="E428" t="s">
        <v>1707</v>
      </c>
      <c r="F428" t="s">
        <v>1147</v>
      </c>
    </row>
    <row r="429" spans="1:6">
      <c r="A429" t="s">
        <v>2135</v>
      </c>
      <c r="C429" t="s">
        <v>1761</v>
      </c>
      <c r="E429" t="s">
        <v>1707</v>
      </c>
      <c r="F429" t="s">
        <v>1147</v>
      </c>
    </row>
    <row r="430" spans="1:6">
      <c r="A430" t="s">
        <v>2136</v>
      </c>
      <c r="C430" t="s">
        <v>1761</v>
      </c>
      <c r="E430" t="s">
        <v>1707</v>
      </c>
      <c r="F430" t="s">
        <v>1147</v>
      </c>
    </row>
    <row r="431" spans="1:6">
      <c r="A431" t="s">
        <v>2137</v>
      </c>
      <c r="C431" t="s">
        <v>1761</v>
      </c>
      <c r="E431" t="s">
        <v>1707</v>
      </c>
      <c r="F431" t="s">
        <v>1147</v>
      </c>
    </row>
    <row r="432" spans="1:6">
      <c r="A432" t="s">
        <v>2138</v>
      </c>
      <c r="C432" t="s">
        <v>1761</v>
      </c>
      <c r="E432" t="s">
        <v>1707</v>
      </c>
      <c r="F432" t="s">
        <v>1147</v>
      </c>
    </row>
    <row r="433" spans="1:6">
      <c r="A433" t="s">
        <v>2139</v>
      </c>
      <c r="C433" t="s">
        <v>1761</v>
      </c>
      <c r="E433" t="s">
        <v>1707</v>
      </c>
      <c r="F433" t="s">
        <v>1147</v>
      </c>
    </row>
    <row r="434" spans="1:6">
      <c r="A434" t="s">
        <v>2140</v>
      </c>
      <c r="C434" t="s">
        <v>1761</v>
      </c>
      <c r="E434" t="s">
        <v>1707</v>
      </c>
      <c r="F434" t="s">
        <v>1147</v>
      </c>
    </row>
    <row r="435" spans="1:6">
      <c r="A435" t="s">
        <v>2141</v>
      </c>
      <c r="C435" t="s">
        <v>1761</v>
      </c>
      <c r="E435" t="s">
        <v>1707</v>
      </c>
      <c r="F435" t="s">
        <v>1147</v>
      </c>
    </row>
    <row r="436" spans="1:6">
      <c r="A436" t="s">
        <v>2142</v>
      </c>
      <c r="C436" t="s">
        <v>1761</v>
      </c>
      <c r="E436" t="s">
        <v>1707</v>
      </c>
      <c r="F436" t="s">
        <v>1147</v>
      </c>
    </row>
    <row r="437" spans="1:6">
      <c r="A437" t="s">
        <v>2143</v>
      </c>
      <c r="C437" t="s">
        <v>1761</v>
      </c>
      <c r="E437" t="s">
        <v>1707</v>
      </c>
      <c r="F437" t="s">
        <v>1147</v>
      </c>
    </row>
    <row r="438" spans="1:6">
      <c r="A438" t="s">
        <v>2144</v>
      </c>
      <c r="C438" t="s">
        <v>1761</v>
      </c>
      <c r="E438" t="s">
        <v>1707</v>
      </c>
      <c r="F438" t="s">
        <v>1147</v>
      </c>
    </row>
    <row r="439" spans="1:6">
      <c r="A439" t="s">
        <v>2145</v>
      </c>
      <c r="C439" t="s">
        <v>1761</v>
      </c>
      <c r="E439" t="s">
        <v>1707</v>
      </c>
      <c r="F439" t="s">
        <v>1147</v>
      </c>
    </row>
    <row r="440" spans="1:6">
      <c r="A440" t="s">
        <v>2146</v>
      </c>
      <c r="C440" t="s">
        <v>1761</v>
      </c>
      <c r="E440" t="s">
        <v>1707</v>
      </c>
      <c r="F440" t="s">
        <v>1147</v>
      </c>
    </row>
    <row r="441" spans="1:6">
      <c r="A441" t="s">
        <v>2147</v>
      </c>
      <c r="C441" t="s">
        <v>1761</v>
      </c>
      <c r="E441" t="s">
        <v>1707</v>
      </c>
      <c r="F441" t="s">
        <v>1147</v>
      </c>
    </row>
    <row r="442" spans="1:6">
      <c r="A442" t="s">
        <v>2148</v>
      </c>
      <c r="C442" t="s">
        <v>1761</v>
      </c>
      <c r="E442" t="s">
        <v>1707</v>
      </c>
      <c r="F442" t="s">
        <v>1147</v>
      </c>
    </row>
    <row r="443" spans="1:6">
      <c r="A443" t="s">
        <v>2149</v>
      </c>
      <c r="C443" t="s">
        <v>1761</v>
      </c>
      <c r="E443" t="s">
        <v>1707</v>
      </c>
      <c r="F443" t="s">
        <v>1147</v>
      </c>
    </row>
    <row r="444" spans="1:6">
      <c r="A444" t="s">
        <v>2150</v>
      </c>
      <c r="C444" t="s">
        <v>1761</v>
      </c>
      <c r="E444" t="s">
        <v>1707</v>
      </c>
      <c r="F444" t="s">
        <v>1147</v>
      </c>
    </row>
    <row r="445" spans="1:6">
      <c r="A445" t="s">
        <v>2151</v>
      </c>
      <c r="C445" t="s">
        <v>1761</v>
      </c>
      <c r="E445" t="s">
        <v>1707</v>
      </c>
      <c r="F445" t="s">
        <v>1147</v>
      </c>
    </row>
    <row r="446" spans="1:6">
      <c r="A446" t="s">
        <v>2152</v>
      </c>
      <c r="C446" t="s">
        <v>1761</v>
      </c>
      <c r="E446" t="s">
        <v>1707</v>
      </c>
      <c r="F446" t="s">
        <v>1147</v>
      </c>
    </row>
    <row r="447" spans="1:6">
      <c r="A447" t="s">
        <v>2153</v>
      </c>
      <c r="C447" t="s">
        <v>1761</v>
      </c>
      <c r="E447" t="s">
        <v>1707</v>
      </c>
      <c r="F447" t="s">
        <v>1147</v>
      </c>
    </row>
    <row r="448" spans="1:6">
      <c r="A448" t="s">
        <v>2154</v>
      </c>
      <c r="C448" t="s">
        <v>1761</v>
      </c>
      <c r="E448" t="s">
        <v>1707</v>
      </c>
      <c r="F448" t="s">
        <v>1147</v>
      </c>
    </row>
    <row r="449" spans="1:6">
      <c r="A449" t="s">
        <v>2155</v>
      </c>
      <c r="C449" t="s">
        <v>1761</v>
      </c>
      <c r="E449" t="s">
        <v>1707</v>
      </c>
      <c r="F449" t="s">
        <v>1147</v>
      </c>
    </row>
    <row r="450" spans="1:6">
      <c r="A450" t="s">
        <v>2156</v>
      </c>
      <c r="C450" t="s">
        <v>1761</v>
      </c>
      <c r="E450" t="s">
        <v>1707</v>
      </c>
      <c r="F450" t="s">
        <v>1147</v>
      </c>
    </row>
    <row r="451" spans="1:6">
      <c r="A451" t="s">
        <v>2157</v>
      </c>
      <c r="C451" t="s">
        <v>1761</v>
      </c>
      <c r="E451" t="s">
        <v>1707</v>
      </c>
      <c r="F451" t="s">
        <v>1147</v>
      </c>
    </row>
    <row r="452" spans="1:6">
      <c r="A452" t="s">
        <v>2158</v>
      </c>
      <c r="C452" t="s">
        <v>1761</v>
      </c>
      <c r="E452" t="s">
        <v>1707</v>
      </c>
      <c r="F452" t="s">
        <v>1147</v>
      </c>
    </row>
    <row r="453" spans="1:6">
      <c r="A453" t="s">
        <v>2159</v>
      </c>
      <c r="C453" t="s">
        <v>1761</v>
      </c>
      <c r="E453" t="s">
        <v>1707</v>
      </c>
      <c r="F453" t="s">
        <v>1147</v>
      </c>
    </row>
    <row r="454" spans="1:6">
      <c r="A454" t="s">
        <v>2160</v>
      </c>
      <c r="C454" t="s">
        <v>1761</v>
      </c>
      <c r="E454" t="s">
        <v>1707</v>
      </c>
      <c r="F454" t="s">
        <v>1147</v>
      </c>
    </row>
    <row r="455" spans="1:6">
      <c r="A455" t="s">
        <v>2161</v>
      </c>
      <c r="C455" t="s">
        <v>1761</v>
      </c>
      <c r="E455" t="s">
        <v>1707</v>
      </c>
      <c r="F455" t="s">
        <v>1147</v>
      </c>
    </row>
    <row r="456" spans="1:6">
      <c r="A456" t="s">
        <v>2162</v>
      </c>
      <c r="C456" t="s">
        <v>1761</v>
      </c>
      <c r="E456" t="s">
        <v>1707</v>
      </c>
      <c r="F456" t="s">
        <v>1147</v>
      </c>
    </row>
    <row r="457" spans="1:6">
      <c r="A457" t="s">
        <v>2163</v>
      </c>
      <c r="C457" t="s">
        <v>1761</v>
      </c>
      <c r="E457" t="s">
        <v>1707</v>
      </c>
      <c r="F457" t="s">
        <v>1147</v>
      </c>
    </row>
    <row r="458" spans="1:6">
      <c r="A458" t="s">
        <v>2164</v>
      </c>
      <c r="C458" t="s">
        <v>1761</v>
      </c>
      <c r="E458" t="s">
        <v>1707</v>
      </c>
      <c r="F458" t="s">
        <v>1147</v>
      </c>
    </row>
    <row r="459" spans="1:6">
      <c r="A459" t="s">
        <v>2165</v>
      </c>
      <c r="C459" t="s">
        <v>1761</v>
      </c>
      <c r="E459" t="s">
        <v>1707</v>
      </c>
      <c r="F459" t="s">
        <v>1147</v>
      </c>
    </row>
    <row r="460" spans="1:6">
      <c r="A460" t="s">
        <v>2166</v>
      </c>
      <c r="C460" t="s">
        <v>1761</v>
      </c>
      <c r="E460" t="s">
        <v>1707</v>
      </c>
      <c r="F460" t="s">
        <v>1147</v>
      </c>
    </row>
    <row r="461" spans="1:6">
      <c r="A461" t="s">
        <v>2167</v>
      </c>
      <c r="C461" t="s">
        <v>1761</v>
      </c>
      <c r="E461" t="s">
        <v>1707</v>
      </c>
      <c r="F461" t="s">
        <v>1147</v>
      </c>
    </row>
    <row r="462" spans="1:6">
      <c r="A462" t="s">
        <v>2168</v>
      </c>
      <c r="C462" t="s">
        <v>1761</v>
      </c>
      <c r="E462" t="s">
        <v>1707</v>
      </c>
      <c r="F462" t="s">
        <v>1147</v>
      </c>
    </row>
    <row r="463" spans="1:6">
      <c r="A463" t="s">
        <v>2169</v>
      </c>
      <c r="C463" t="s">
        <v>1761</v>
      </c>
      <c r="E463" t="s">
        <v>1707</v>
      </c>
      <c r="F463" t="s">
        <v>1147</v>
      </c>
    </row>
    <row r="464" spans="1:6">
      <c r="A464" t="s">
        <v>2170</v>
      </c>
      <c r="C464" t="s">
        <v>1761</v>
      </c>
      <c r="E464" t="s">
        <v>1707</v>
      </c>
      <c r="F464" t="s">
        <v>1147</v>
      </c>
    </row>
    <row r="465" spans="1:6">
      <c r="A465" t="s">
        <v>2171</v>
      </c>
      <c r="C465" t="s">
        <v>1761</v>
      </c>
      <c r="E465" t="s">
        <v>1707</v>
      </c>
      <c r="F465" t="s">
        <v>1147</v>
      </c>
    </row>
    <row r="466" spans="1:6">
      <c r="A466" t="s">
        <v>2172</v>
      </c>
      <c r="C466" t="s">
        <v>1761</v>
      </c>
      <c r="E466" t="s">
        <v>1707</v>
      </c>
      <c r="F466" t="s">
        <v>1147</v>
      </c>
    </row>
    <row r="467" spans="1:6">
      <c r="A467" t="s">
        <v>2173</v>
      </c>
      <c r="C467" t="s">
        <v>1761</v>
      </c>
      <c r="E467" t="s">
        <v>1707</v>
      </c>
      <c r="F467" t="s">
        <v>1147</v>
      </c>
    </row>
    <row r="468" spans="1:6">
      <c r="A468" t="s">
        <v>2174</v>
      </c>
      <c r="C468" t="s">
        <v>1761</v>
      </c>
      <c r="E468" t="s">
        <v>1707</v>
      </c>
      <c r="F468" t="s">
        <v>1147</v>
      </c>
    </row>
    <row r="469" spans="1:6">
      <c r="A469" t="s">
        <v>2175</v>
      </c>
      <c r="C469" t="s">
        <v>1761</v>
      </c>
      <c r="E469" t="s">
        <v>1707</v>
      </c>
      <c r="F469" t="s">
        <v>1147</v>
      </c>
    </row>
    <row r="470" spans="1:6">
      <c r="A470" t="s">
        <v>2176</v>
      </c>
      <c r="C470" t="s">
        <v>1761</v>
      </c>
      <c r="E470" t="s">
        <v>1707</v>
      </c>
      <c r="F470" t="s">
        <v>1147</v>
      </c>
    </row>
    <row r="471" spans="1:6">
      <c r="A471" t="s">
        <v>2177</v>
      </c>
      <c r="C471" t="s">
        <v>1761</v>
      </c>
      <c r="E471" t="s">
        <v>1707</v>
      </c>
      <c r="F471" t="s">
        <v>1147</v>
      </c>
    </row>
    <row r="472" spans="1:6">
      <c r="A472" t="s">
        <v>2178</v>
      </c>
      <c r="C472" t="s">
        <v>1761</v>
      </c>
      <c r="E472" t="s">
        <v>1707</v>
      </c>
      <c r="F472" t="s">
        <v>1147</v>
      </c>
    </row>
    <row r="473" spans="1:6">
      <c r="A473" t="s">
        <v>2179</v>
      </c>
      <c r="C473" t="s">
        <v>1761</v>
      </c>
      <c r="E473" t="s">
        <v>1707</v>
      </c>
      <c r="F473" t="s">
        <v>1147</v>
      </c>
    </row>
    <row r="474" spans="1:6">
      <c r="A474" t="s">
        <v>2180</v>
      </c>
      <c r="C474" t="s">
        <v>1761</v>
      </c>
      <c r="E474" t="s">
        <v>1707</v>
      </c>
      <c r="F474" t="s">
        <v>1147</v>
      </c>
    </row>
    <row r="475" spans="1:6">
      <c r="A475" t="s">
        <v>2181</v>
      </c>
      <c r="C475" t="s">
        <v>1761</v>
      </c>
      <c r="E475" t="s">
        <v>1707</v>
      </c>
      <c r="F475" t="s">
        <v>1147</v>
      </c>
    </row>
    <row r="476" spans="1:6">
      <c r="A476" t="s">
        <v>2182</v>
      </c>
      <c r="C476" t="s">
        <v>1761</v>
      </c>
      <c r="E476" t="s">
        <v>1707</v>
      </c>
      <c r="F476" t="s">
        <v>1147</v>
      </c>
    </row>
    <row r="477" spans="1:6">
      <c r="A477" t="s">
        <v>2183</v>
      </c>
      <c r="C477" t="s">
        <v>1761</v>
      </c>
      <c r="E477" t="s">
        <v>1707</v>
      </c>
      <c r="F477" t="s">
        <v>1147</v>
      </c>
    </row>
    <row r="478" spans="1:6">
      <c r="A478" t="s">
        <v>2184</v>
      </c>
      <c r="C478" t="s">
        <v>1761</v>
      </c>
      <c r="E478" t="s">
        <v>1707</v>
      </c>
      <c r="F478" t="s">
        <v>1147</v>
      </c>
    </row>
    <row r="479" spans="1:6">
      <c r="A479" t="s">
        <v>2185</v>
      </c>
      <c r="C479" t="s">
        <v>1761</v>
      </c>
      <c r="E479" t="s">
        <v>1707</v>
      </c>
      <c r="F479" t="s">
        <v>1147</v>
      </c>
    </row>
    <row r="480" spans="1:6">
      <c r="A480" t="s">
        <v>2186</v>
      </c>
      <c r="C480" t="s">
        <v>1761</v>
      </c>
      <c r="E480" t="s">
        <v>1707</v>
      </c>
      <c r="F480" t="s">
        <v>1147</v>
      </c>
    </row>
    <row r="481" spans="1:6">
      <c r="A481" t="s">
        <v>2187</v>
      </c>
      <c r="C481" t="s">
        <v>1761</v>
      </c>
      <c r="E481" t="s">
        <v>1707</v>
      </c>
      <c r="F481" t="s">
        <v>1147</v>
      </c>
    </row>
    <row r="482" spans="1:6">
      <c r="A482" t="s">
        <v>2188</v>
      </c>
      <c r="C482" t="s">
        <v>1761</v>
      </c>
      <c r="E482" t="s">
        <v>1707</v>
      </c>
      <c r="F482" t="s">
        <v>1147</v>
      </c>
    </row>
    <row r="483" spans="1:6">
      <c r="A483" t="s">
        <v>2189</v>
      </c>
      <c r="C483" t="s">
        <v>1761</v>
      </c>
      <c r="E483" t="s">
        <v>1707</v>
      </c>
      <c r="F483" t="s">
        <v>1147</v>
      </c>
    </row>
    <row r="484" spans="1:6">
      <c r="A484" t="s">
        <v>2190</v>
      </c>
      <c r="C484" t="s">
        <v>1761</v>
      </c>
      <c r="E484" t="s">
        <v>1707</v>
      </c>
      <c r="F484" t="s">
        <v>1147</v>
      </c>
    </row>
    <row r="485" spans="1:6">
      <c r="A485" t="s">
        <v>2191</v>
      </c>
      <c r="C485" t="s">
        <v>1761</v>
      </c>
      <c r="E485" t="s">
        <v>1707</v>
      </c>
      <c r="F485" t="s">
        <v>1147</v>
      </c>
    </row>
    <row r="486" spans="1:6">
      <c r="A486" t="s">
        <v>2192</v>
      </c>
      <c r="C486" t="s">
        <v>1761</v>
      </c>
      <c r="E486" t="s">
        <v>1707</v>
      </c>
      <c r="F486" t="s">
        <v>1147</v>
      </c>
    </row>
    <row r="487" spans="1:6">
      <c r="A487" t="s">
        <v>2193</v>
      </c>
      <c r="C487" t="s">
        <v>1761</v>
      </c>
      <c r="E487" t="s">
        <v>1707</v>
      </c>
      <c r="F487" t="s">
        <v>1147</v>
      </c>
    </row>
    <row r="488" spans="1:6">
      <c r="A488" t="s">
        <v>2194</v>
      </c>
      <c r="C488" t="s">
        <v>1761</v>
      </c>
      <c r="E488" t="s">
        <v>1707</v>
      </c>
      <c r="F488" t="s">
        <v>1147</v>
      </c>
    </row>
    <row r="489" spans="1:6">
      <c r="A489" t="s">
        <v>2195</v>
      </c>
      <c r="C489" t="s">
        <v>1761</v>
      </c>
      <c r="E489" t="s">
        <v>1707</v>
      </c>
      <c r="F489" t="s">
        <v>1147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7066-63D7-4EA6-9BC4-476FDCD65430}">
  <dimension ref="A1:H600"/>
  <sheetViews>
    <sheetView topLeftCell="A11" workbookViewId="0">
      <selection activeCell="C25" sqref="C25"/>
    </sheetView>
  </sheetViews>
  <sheetFormatPr defaultColWidth="11.42578125" defaultRowHeight="15"/>
  <cols>
    <col min="1" max="1" width="20.28515625" bestFit="1" customWidth="1"/>
    <col min="2" max="2" width="17" bestFit="1" customWidth="1"/>
    <col min="3" max="3" width="42.85546875" bestFit="1" customWidth="1"/>
    <col min="4" max="4" width="8.28515625" bestFit="1" customWidth="1"/>
    <col min="5" max="5" width="66.5703125" bestFit="1" customWidth="1"/>
    <col min="6" max="6" width="35.42578125" bestFit="1" customWidth="1"/>
    <col min="7" max="7" width="25.85546875" bestFit="1" customWidth="1"/>
    <col min="8" max="8" width="16.85546875" bestFit="1" customWidth="1"/>
  </cols>
  <sheetData>
    <row r="1" spans="1:8">
      <c r="A1" t="s">
        <v>6</v>
      </c>
      <c r="B1" t="s">
        <v>2</v>
      </c>
      <c r="C1" t="s">
        <v>107</v>
      </c>
      <c r="D1" t="s">
        <v>3</v>
      </c>
      <c r="E1" t="s">
        <v>5</v>
      </c>
      <c r="F1" t="s">
        <v>432</v>
      </c>
      <c r="G1" t="s">
        <v>2196</v>
      </c>
      <c r="H1" t="s">
        <v>1051</v>
      </c>
    </row>
    <row r="2" spans="1:8">
      <c r="A2">
        <v>1</v>
      </c>
      <c r="B2" t="s">
        <v>121</v>
      </c>
      <c r="C2" t="s">
        <v>23</v>
      </c>
      <c r="D2">
        <v>1</v>
      </c>
      <c r="E2" t="s">
        <v>25</v>
      </c>
      <c r="F2" t="s">
        <v>700</v>
      </c>
      <c r="G2" t="s">
        <v>96</v>
      </c>
      <c r="H2" t="s">
        <v>95</v>
      </c>
    </row>
    <row r="3" spans="1:8">
      <c r="A3">
        <v>2</v>
      </c>
      <c r="B3" t="s">
        <v>121</v>
      </c>
      <c r="C3" t="s">
        <v>23</v>
      </c>
      <c r="D3">
        <v>1</v>
      </c>
      <c r="E3" t="s">
        <v>32</v>
      </c>
      <c r="F3" t="s">
        <v>628</v>
      </c>
      <c r="G3" t="s">
        <v>96</v>
      </c>
      <c r="H3" t="s">
        <v>95</v>
      </c>
    </row>
    <row r="4" spans="1:8">
      <c r="A4">
        <v>3</v>
      </c>
      <c r="B4" t="s">
        <v>121</v>
      </c>
      <c r="C4" t="s">
        <v>23</v>
      </c>
      <c r="D4">
        <v>1</v>
      </c>
      <c r="E4" t="s">
        <v>28</v>
      </c>
      <c r="F4" t="s">
        <v>442</v>
      </c>
      <c r="G4" t="s">
        <v>96</v>
      </c>
      <c r="H4" t="s">
        <v>95</v>
      </c>
    </row>
    <row r="5" spans="1:8">
      <c r="A5">
        <v>4</v>
      </c>
      <c r="B5" t="s">
        <v>121</v>
      </c>
      <c r="C5" t="s">
        <v>23</v>
      </c>
      <c r="D5">
        <v>1</v>
      </c>
      <c r="E5" t="s">
        <v>30</v>
      </c>
      <c r="F5" t="s">
        <v>703</v>
      </c>
      <c r="G5" t="s">
        <v>96</v>
      </c>
      <c r="H5" t="s">
        <v>95</v>
      </c>
    </row>
    <row r="6" spans="1:8">
      <c r="A6">
        <v>5</v>
      </c>
      <c r="B6" t="s">
        <v>121</v>
      </c>
      <c r="C6" t="s">
        <v>23</v>
      </c>
      <c r="D6">
        <v>2</v>
      </c>
      <c r="E6" t="s">
        <v>526</v>
      </c>
      <c r="F6" t="s">
        <v>525</v>
      </c>
      <c r="G6" t="s">
        <v>96</v>
      </c>
      <c r="H6" t="s">
        <v>95</v>
      </c>
    </row>
    <row r="7" spans="1:8">
      <c r="A7">
        <v>6</v>
      </c>
      <c r="B7" t="s">
        <v>121</v>
      </c>
      <c r="C7" t="s">
        <v>23</v>
      </c>
      <c r="D7">
        <v>2</v>
      </c>
      <c r="E7" t="s">
        <v>707</v>
      </c>
      <c r="F7" t="s">
        <v>706</v>
      </c>
      <c r="G7" t="s">
        <v>96</v>
      </c>
      <c r="H7" t="s">
        <v>95</v>
      </c>
    </row>
    <row r="8" spans="1:8">
      <c r="A8">
        <v>7</v>
      </c>
      <c r="B8" t="s">
        <v>121</v>
      </c>
      <c r="C8" t="s">
        <v>23</v>
      </c>
      <c r="D8">
        <v>2</v>
      </c>
      <c r="E8" t="s">
        <v>38</v>
      </c>
      <c r="F8" t="s">
        <v>518</v>
      </c>
      <c r="G8" t="s">
        <v>96</v>
      </c>
      <c r="H8" t="s">
        <v>95</v>
      </c>
    </row>
    <row r="9" spans="1:8">
      <c r="A9">
        <v>8</v>
      </c>
      <c r="B9" t="s">
        <v>121</v>
      </c>
      <c r="C9" t="s">
        <v>23</v>
      </c>
      <c r="D9">
        <v>2</v>
      </c>
      <c r="E9" t="s">
        <v>710</v>
      </c>
      <c r="F9" t="s">
        <v>709</v>
      </c>
      <c r="G9" t="s">
        <v>96</v>
      </c>
      <c r="H9" t="s">
        <v>95</v>
      </c>
    </row>
    <row r="10" spans="1:8">
      <c r="A10">
        <v>9</v>
      </c>
      <c r="B10" t="s">
        <v>121</v>
      </c>
      <c r="C10" t="s">
        <v>23</v>
      </c>
      <c r="D10">
        <v>2</v>
      </c>
      <c r="E10" t="s">
        <v>448</v>
      </c>
      <c r="F10" t="s">
        <v>447</v>
      </c>
      <c r="G10" t="s">
        <v>96</v>
      </c>
      <c r="H10" t="s">
        <v>95</v>
      </c>
    </row>
    <row r="11" spans="1:8">
      <c r="A11">
        <v>10</v>
      </c>
      <c r="B11" t="s">
        <v>121</v>
      </c>
      <c r="C11" t="s">
        <v>23</v>
      </c>
      <c r="D11">
        <v>3</v>
      </c>
      <c r="E11" t="s">
        <v>713</v>
      </c>
      <c r="F11" t="s">
        <v>712</v>
      </c>
      <c r="G11" t="s">
        <v>96</v>
      </c>
      <c r="H11" t="s">
        <v>95</v>
      </c>
    </row>
    <row r="12" spans="1:8">
      <c r="A12">
        <v>11</v>
      </c>
      <c r="B12" t="s">
        <v>121</v>
      </c>
      <c r="C12" t="s">
        <v>23</v>
      </c>
      <c r="D12">
        <v>3</v>
      </c>
      <c r="E12" t="s">
        <v>715</v>
      </c>
      <c r="F12" t="s">
        <v>714</v>
      </c>
      <c r="G12" t="s">
        <v>96</v>
      </c>
      <c r="H12" t="s">
        <v>95</v>
      </c>
    </row>
    <row r="13" spans="1:8">
      <c r="A13">
        <v>12</v>
      </c>
      <c r="B13" t="s">
        <v>121</v>
      </c>
      <c r="C13" t="s">
        <v>23</v>
      </c>
      <c r="D13">
        <v>3</v>
      </c>
      <c r="E13" t="s">
        <v>717</v>
      </c>
      <c r="F13" t="s">
        <v>716</v>
      </c>
      <c r="G13" t="s">
        <v>96</v>
      </c>
      <c r="H13" t="s">
        <v>95</v>
      </c>
    </row>
    <row r="14" spans="1:8">
      <c r="A14">
        <v>13</v>
      </c>
      <c r="B14" t="s">
        <v>121</v>
      </c>
      <c r="C14" t="s">
        <v>23</v>
      </c>
      <c r="D14">
        <v>3</v>
      </c>
      <c r="E14" t="s">
        <v>719</v>
      </c>
      <c r="F14" t="s">
        <v>718</v>
      </c>
      <c r="G14" t="s">
        <v>96</v>
      </c>
      <c r="H14" t="s">
        <v>95</v>
      </c>
    </row>
    <row r="15" spans="1:8">
      <c r="A15">
        <v>14</v>
      </c>
      <c r="B15" t="s">
        <v>121</v>
      </c>
      <c r="C15" t="s">
        <v>23</v>
      </c>
      <c r="D15">
        <v>3</v>
      </c>
      <c r="E15" t="s">
        <v>721</v>
      </c>
      <c r="F15" t="s">
        <v>720</v>
      </c>
      <c r="G15" t="s">
        <v>96</v>
      </c>
      <c r="H15" t="s">
        <v>95</v>
      </c>
    </row>
    <row r="16" spans="1:8">
      <c r="A16">
        <v>15</v>
      </c>
      <c r="B16" t="s">
        <v>121</v>
      </c>
      <c r="C16" t="s">
        <v>23</v>
      </c>
      <c r="D16">
        <v>3</v>
      </c>
      <c r="E16" t="s">
        <v>723</v>
      </c>
      <c r="F16" t="s">
        <v>722</v>
      </c>
      <c r="G16" t="s">
        <v>96</v>
      </c>
      <c r="H16" t="s">
        <v>95</v>
      </c>
    </row>
    <row r="17" spans="1:8">
      <c r="A17">
        <v>16</v>
      </c>
      <c r="B17" t="s">
        <v>121</v>
      </c>
      <c r="C17" t="s">
        <v>23</v>
      </c>
      <c r="D17">
        <v>8</v>
      </c>
      <c r="E17" t="s">
        <v>713</v>
      </c>
      <c r="F17" t="s">
        <v>712</v>
      </c>
      <c r="G17" t="s">
        <v>94</v>
      </c>
      <c r="H17" t="s">
        <v>93</v>
      </c>
    </row>
    <row r="18" spans="1:8">
      <c r="A18">
        <v>17</v>
      </c>
      <c r="B18" t="s">
        <v>130</v>
      </c>
      <c r="C18" t="s">
        <v>33</v>
      </c>
      <c r="D18">
        <v>0</v>
      </c>
      <c r="E18" t="s">
        <v>36</v>
      </c>
      <c r="F18" t="s">
        <v>1011</v>
      </c>
      <c r="G18" t="s">
        <v>35</v>
      </c>
      <c r="H18" t="s">
        <v>97</v>
      </c>
    </row>
    <row r="19" spans="1:8">
      <c r="A19">
        <v>18</v>
      </c>
      <c r="B19" t="s">
        <v>130</v>
      </c>
      <c r="C19" t="s">
        <v>33</v>
      </c>
      <c r="D19">
        <v>0</v>
      </c>
      <c r="E19" t="s">
        <v>34</v>
      </c>
      <c r="F19" t="s">
        <v>1012</v>
      </c>
      <c r="G19" t="s">
        <v>35</v>
      </c>
      <c r="H19" t="s">
        <v>97</v>
      </c>
    </row>
    <row r="20" spans="1:8">
      <c r="A20">
        <v>19</v>
      </c>
      <c r="B20" t="s">
        <v>130</v>
      </c>
      <c r="C20" t="s">
        <v>33</v>
      </c>
      <c r="D20">
        <v>0</v>
      </c>
      <c r="E20" t="s">
        <v>37</v>
      </c>
      <c r="F20" t="s">
        <v>1013</v>
      </c>
      <c r="G20" t="s">
        <v>35</v>
      </c>
      <c r="H20" t="s">
        <v>97</v>
      </c>
    </row>
    <row r="21" spans="1:8">
      <c r="A21">
        <v>20</v>
      </c>
      <c r="B21" t="s">
        <v>130</v>
      </c>
      <c r="C21" t="s">
        <v>33</v>
      </c>
      <c r="D21">
        <v>0</v>
      </c>
      <c r="E21" t="s">
        <v>1015</v>
      </c>
      <c r="F21" t="s">
        <v>1014</v>
      </c>
      <c r="G21" t="s">
        <v>35</v>
      </c>
      <c r="H21" t="s">
        <v>97</v>
      </c>
    </row>
    <row r="22" spans="1:8">
      <c r="A22">
        <v>21</v>
      </c>
      <c r="B22" t="s">
        <v>133</v>
      </c>
      <c r="C22" t="s">
        <v>134</v>
      </c>
      <c r="D22">
        <v>0</v>
      </c>
      <c r="E22" t="s">
        <v>1010</v>
      </c>
      <c r="F22" t="s">
        <v>1009</v>
      </c>
      <c r="G22" t="s">
        <v>35</v>
      </c>
      <c r="H22" t="s">
        <v>97</v>
      </c>
    </row>
    <row r="23" spans="1:8">
      <c r="A23">
        <v>22</v>
      </c>
      <c r="B23" t="s">
        <v>131</v>
      </c>
      <c r="C23" t="s">
        <v>132</v>
      </c>
      <c r="D23">
        <v>0</v>
      </c>
      <c r="E23" t="s">
        <v>1017</v>
      </c>
      <c r="F23" t="s">
        <v>1016</v>
      </c>
      <c r="G23" t="s">
        <v>35</v>
      </c>
      <c r="H23" t="s">
        <v>97</v>
      </c>
    </row>
    <row r="24" spans="1:8">
      <c r="A24">
        <v>23</v>
      </c>
      <c r="B24" t="s">
        <v>135</v>
      </c>
      <c r="C24" t="s">
        <v>136</v>
      </c>
      <c r="D24">
        <v>60</v>
      </c>
      <c r="E24" t="s">
        <v>1019</v>
      </c>
      <c r="F24" t="s">
        <v>1018</v>
      </c>
      <c r="G24" t="s">
        <v>35</v>
      </c>
      <c r="H24" t="s">
        <v>97</v>
      </c>
    </row>
    <row r="25" spans="1:8">
      <c r="A25">
        <v>24</v>
      </c>
      <c r="B25" t="s">
        <v>135</v>
      </c>
      <c r="C25" t="s">
        <v>136</v>
      </c>
      <c r="D25">
        <v>60</v>
      </c>
      <c r="E25" t="s">
        <v>1021</v>
      </c>
      <c r="F25" t="s">
        <v>1020</v>
      </c>
      <c r="G25" t="s">
        <v>35</v>
      </c>
      <c r="H25" t="s">
        <v>97</v>
      </c>
    </row>
    <row r="26" spans="1:8">
      <c r="A26">
        <v>25</v>
      </c>
      <c r="B26" t="s">
        <v>135</v>
      </c>
      <c r="C26" t="s">
        <v>136</v>
      </c>
      <c r="D26">
        <v>60</v>
      </c>
      <c r="E26" t="s">
        <v>1023</v>
      </c>
      <c r="F26" t="s">
        <v>1022</v>
      </c>
      <c r="G26" t="s">
        <v>35</v>
      </c>
      <c r="H26" t="s">
        <v>97</v>
      </c>
    </row>
    <row r="27" spans="1:8">
      <c r="A27">
        <v>26</v>
      </c>
      <c r="B27" t="s">
        <v>121</v>
      </c>
      <c r="C27" t="s">
        <v>23</v>
      </c>
      <c r="D27">
        <v>1</v>
      </c>
      <c r="E27" t="s">
        <v>454</v>
      </c>
      <c r="F27" t="s">
        <v>453</v>
      </c>
      <c r="G27" t="s">
        <v>35</v>
      </c>
      <c r="H27" t="s">
        <v>97</v>
      </c>
    </row>
    <row r="28" spans="1:8">
      <c r="A28">
        <v>27</v>
      </c>
      <c r="B28" t="s">
        <v>141</v>
      </c>
      <c r="C28" t="s">
        <v>142</v>
      </c>
      <c r="D28">
        <v>70</v>
      </c>
      <c r="E28" t="s">
        <v>1045</v>
      </c>
      <c r="F28" t="s">
        <v>1044</v>
      </c>
      <c r="G28" t="s">
        <v>35</v>
      </c>
      <c r="H28" t="s">
        <v>97</v>
      </c>
    </row>
    <row r="29" spans="1:8">
      <c r="A29">
        <v>28</v>
      </c>
      <c r="C29" t="s">
        <v>2197</v>
      </c>
      <c r="F29" t="s">
        <v>2198</v>
      </c>
      <c r="H29" t="s">
        <v>106</v>
      </c>
    </row>
    <row r="30" spans="1:8">
      <c r="A30">
        <v>29</v>
      </c>
      <c r="C30" t="s">
        <v>2197</v>
      </c>
      <c r="F30" t="s">
        <v>2198</v>
      </c>
      <c r="H30" t="s">
        <v>106</v>
      </c>
    </row>
    <row r="31" spans="1:8">
      <c r="A31">
        <v>30</v>
      </c>
      <c r="C31" t="s">
        <v>2197</v>
      </c>
      <c r="F31" t="s">
        <v>2198</v>
      </c>
      <c r="H31" t="s">
        <v>106</v>
      </c>
    </row>
    <row r="32" spans="1:8">
      <c r="A32">
        <v>31</v>
      </c>
      <c r="C32" t="s">
        <v>2197</v>
      </c>
      <c r="F32" t="s">
        <v>2198</v>
      </c>
      <c r="H32" t="s">
        <v>106</v>
      </c>
    </row>
    <row r="33" spans="1:8">
      <c r="A33">
        <v>32</v>
      </c>
      <c r="C33" t="s">
        <v>2197</v>
      </c>
      <c r="F33" t="s">
        <v>2198</v>
      </c>
      <c r="H33" t="s">
        <v>106</v>
      </c>
    </row>
    <row r="34" spans="1:8">
      <c r="A34">
        <v>33</v>
      </c>
      <c r="C34" t="s">
        <v>2197</v>
      </c>
      <c r="F34" t="s">
        <v>2198</v>
      </c>
      <c r="H34" t="s">
        <v>106</v>
      </c>
    </row>
    <row r="35" spans="1:8">
      <c r="A35">
        <v>34</v>
      </c>
      <c r="C35" t="s">
        <v>2197</v>
      </c>
      <c r="F35" t="s">
        <v>2198</v>
      </c>
      <c r="H35" t="s">
        <v>106</v>
      </c>
    </row>
    <row r="36" spans="1:8">
      <c r="A36">
        <v>35</v>
      </c>
      <c r="C36" t="s">
        <v>2197</v>
      </c>
      <c r="F36" t="s">
        <v>2198</v>
      </c>
      <c r="H36" t="s">
        <v>106</v>
      </c>
    </row>
    <row r="37" spans="1:8">
      <c r="A37">
        <v>36</v>
      </c>
      <c r="C37" t="s">
        <v>2197</v>
      </c>
      <c r="F37" t="s">
        <v>2198</v>
      </c>
      <c r="H37" t="s">
        <v>106</v>
      </c>
    </row>
    <row r="38" spans="1:8">
      <c r="A38">
        <v>37</v>
      </c>
      <c r="C38" t="s">
        <v>2197</v>
      </c>
      <c r="F38" t="s">
        <v>2198</v>
      </c>
      <c r="H38" t="s">
        <v>106</v>
      </c>
    </row>
    <row r="39" spans="1:8">
      <c r="A39">
        <v>38</v>
      </c>
      <c r="C39" t="s">
        <v>2197</v>
      </c>
      <c r="F39" t="s">
        <v>2198</v>
      </c>
      <c r="H39" t="s">
        <v>106</v>
      </c>
    </row>
    <row r="40" spans="1:8">
      <c r="A40">
        <v>39</v>
      </c>
      <c r="C40" t="s">
        <v>2197</v>
      </c>
      <c r="F40" t="s">
        <v>2198</v>
      </c>
      <c r="H40" t="s">
        <v>106</v>
      </c>
    </row>
    <row r="41" spans="1:8">
      <c r="A41">
        <v>40</v>
      </c>
      <c r="C41" t="s">
        <v>2197</v>
      </c>
      <c r="F41" t="s">
        <v>2198</v>
      </c>
      <c r="H41" t="s">
        <v>106</v>
      </c>
    </row>
    <row r="42" spans="1:8">
      <c r="A42">
        <v>41</v>
      </c>
      <c r="C42" t="s">
        <v>2197</v>
      </c>
      <c r="F42" t="s">
        <v>2198</v>
      </c>
      <c r="H42" t="s">
        <v>106</v>
      </c>
    </row>
    <row r="43" spans="1:8">
      <c r="A43">
        <v>42</v>
      </c>
      <c r="C43" t="s">
        <v>2197</v>
      </c>
      <c r="F43" t="s">
        <v>2198</v>
      </c>
      <c r="H43" t="s">
        <v>106</v>
      </c>
    </row>
    <row r="44" spans="1:8">
      <c r="A44">
        <v>43</v>
      </c>
      <c r="C44" t="s">
        <v>2197</v>
      </c>
      <c r="F44" t="s">
        <v>2198</v>
      </c>
      <c r="H44" t="s">
        <v>106</v>
      </c>
    </row>
    <row r="45" spans="1:8">
      <c r="A45">
        <v>44</v>
      </c>
      <c r="C45" t="s">
        <v>2197</v>
      </c>
      <c r="F45" t="s">
        <v>2198</v>
      </c>
      <c r="H45" t="s">
        <v>106</v>
      </c>
    </row>
    <row r="46" spans="1:8">
      <c r="A46">
        <v>45</v>
      </c>
      <c r="C46" t="s">
        <v>2197</v>
      </c>
      <c r="F46" t="s">
        <v>2198</v>
      </c>
      <c r="H46" t="s">
        <v>106</v>
      </c>
    </row>
    <row r="47" spans="1:8">
      <c r="A47">
        <v>46</v>
      </c>
      <c r="C47" t="s">
        <v>2197</v>
      </c>
      <c r="F47" t="s">
        <v>2198</v>
      </c>
      <c r="H47" t="s">
        <v>106</v>
      </c>
    </row>
    <row r="48" spans="1:8">
      <c r="A48">
        <v>47</v>
      </c>
      <c r="C48" t="s">
        <v>2197</v>
      </c>
      <c r="F48" t="s">
        <v>2198</v>
      </c>
      <c r="H48" t="s">
        <v>106</v>
      </c>
    </row>
    <row r="49" spans="1:8">
      <c r="A49">
        <v>48</v>
      </c>
      <c r="C49" t="s">
        <v>2197</v>
      </c>
      <c r="F49" t="s">
        <v>2198</v>
      </c>
      <c r="H49" t="s">
        <v>106</v>
      </c>
    </row>
    <row r="50" spans="1:8">
      <c r="A50">
        <v>49</v>
      </c>
      <c r="C50" t="s">
        <v>2197</v>
      </c>
      <c r="F50" t="s">
        <v>2198</v>
      </c>
      <c r="H50" t="s">
        <v>106</v>
      </c>
    </row>
    <row r="51" spans="1:8">
      <c r="A51">
        <v>50</v>
      </c>
      <c r="C51" t="s">
        <v>2197</v>
      </c>
      <c r="F51" t="s">
        <v>2198</v>
      </c>
      <c r="H51" t="s">
        <v>106</v>
      </c>
    </row>
    <row r="52" spans="1:8">
      <c r="A52">
        <v>51</v>
      </c>
      <c r="C52" t="s">
        <v>2197</v>
      </c>
      <c r="F52" t="s">
        <v>2198</v>
      </c>
      <c r="H52" t="s">
        <v>106</v>
      </c>
    </row>
    <row r="53" spans="1:8">
      <c r="A53">
        <v>52</v>
      </c>
      <c r="C53" t="s">
        <v>2197</v>
      </c>
      <c r="F53" t="s">
        <v>2198</v>
      </c>
      <c r="H53" t="s">
        <v>106</v>
      </c>
    </row>
    <row r="54" spans="1:8">
      <c r="A54">
        <v>53</v>
      </c>
      <c r="C54" t="s">
        <v>2197</v>
      </c>
      <c r="F54" t="s">
        <v>2198</v>
      </c>
      <c r="H54" t="s">
        <v>106</v>
      </c>
    </row>
    <row r="55" spans="1:8">
      <c r="A55">
        <v>54</v>
      </c>
      <c r="C55" t="s">
        <v>2197</v>
      </c>
      <c r="F55" t="s">
        <v>2198</v>
      </c>
      <c r="H55" t="s">
        <v>106</v>
      </c>
    </row>
    <row r="56" spans="1:8">
      <c r="A56">
        <v>55</v>
      </c>
      <c r="C56" t="s">
        <v>2197</v>
      </c>
      <c r="F56" t="s">
        <v>2198</v>
      </c>
      <c r="H56" t="s">
        <v>106</v>
      </c>
    </row>
    <row r="57" spans="1:8">
      <c r="A57">
        <v>56</v>
      </c>
      <c r="C57" t="s">
        <v>2197</v>
      </c>
      <c r="F57" t="s">
        <v>2198</v>
      </c>
      <c r="H57" t="s">
        <v>106</v>
      </c>
    </row>
    <row r="58" spans="1:8">
      <c r="A58">
        <v>57</v>
      </c>
      <c r="C58" t="s">
        <v>2197</v>
      </c>
      <c r="F58" t="s">
        <v>2198</v>
      </c>
      <c r="H58" t="s">
        <v>106</v>
      </c>
    </row>
    <row r="59" spans="1:8">
      <c r="A59">
        <v>58</v>
      </c>
      <c r="C59" t="s">
        <v>2197</v>
      </c>
      <c r="F59" t="s">
        <v>2198</v>
      </c>
      <c r="H59" t="s">
        <v>106</v>
      </c>
    </row>
    <row r="60" spans="1:8">
      <c r="A60">
        <v>59</v>
      </c>
      <c r="C60" t="s">
        <v>2197</v>
      </c>
      <c r="F60" t="s">
        <v>2198</v>
      </c>
      <c r="H60" t="s">
        <v>106</v>
      </c>
    </row>
    <row r="61" spans="1:8">
      <c r="A61">
        <v>60</v>
      </c>
      <c r="C61" t="s">
        <v>2197</v>
      </c>
      <c r="F61" t="s">
        <v>2198</v>
      </c>
      <c r="H61" t="s">
        <v>106</v>
      </c>
    </row>
    <row r="62" spans="1:8">
      <c r="A62">
        <v>61</v>
      </c>
      <c r="C62" t="s">
        <v>2197</v>
      </c>
      <c r="F62" t="s">
        <v>2198</v>
      </c>
      <c r="H62" t="s">
        <v>106</v>
      </c>
    </row>
    <row r="63" spans="1:8">
      <c r="A63">
        <v>62</v>
      </c>
      <c r="C63" t="s">
        <v>2197</v>
      </c>
      <c r="F63" t="s">
        <v>2198</v>
      </c>
      <c r="H63" t="s">
        <v>106</v>
      </c>
    </row>
    <row r="64" spans="1:8">
      <c r="A64">
        <v>63</v>
      </c>
      <c r="C64" t="s">
        <v>2197</v>
      </c>
      <c r="F64" t="s">
        <v>2198</v>
      </c>
      <c r="H64" t="s">
        <v>106</v>
      </c>
    </row>
    <row r="65" spans="1:8">
      <c r="A65">
        <v>64</v>
      </c>
      <c r="C65" t="s">
        <v>2197</v>
      </c>
      <c r="F65" t="s">
        <v>2198</v>
      </c>
      <c r="H65" t="s">
        <v>106</v>
      </c>
    </row>
    <row r="66" spans="1:8">
      <c r="A66">
        <v>65</v>
      </c>
      <c r="C66" t="s">
        <v>2197</v>
      </c>
      <c r="F66" t="s">
        <v>2198</v>
      </c>
      <c r="H66" t="s">
        <v>106</v>
      </c>
    </row>
    <row r="67" spans="1:8">
      <c r="A67">
        <v>66</v>
      </c>
      <c r="C67" t="s">
        <v>2197</v>
      </c>
      <c r="F67" t="s">
        <v>2198</v>
      </c>
      <c r="H67" t="s">
        <v>106</v>
      </c>
    </row>
    <row r="68" spans="1:8">
      <c r="A68">
        <v>67</v>
      </c>
      <c r="C68" t="s">
        <v>2197</v>
      </c>
      <c r="F68" t="s">
        <v>2198</v>
      </c>
      <c r="H68" t="s">
        <v>106</v>
      </c>
    </row>
    <row r="69" spans="1:8">
      <c r="A69">
        <v>68</v>
      </c>
      <c r="C69" t="s">
        <v>2197</v>
      </c>
      <c r="F69" t="s">
        <v>2198</v>
      </c>
      <c r="H69" t="s">
        <v>106</v>
      </c>
    </row>
    <row r="70" spans="1:8">
      <c r="A70">
        <v>69</v>
      </c>
      <c r="C70" t="s">
        <v>2197</v>
      </c>
      <c r="F70" t="s">
        <v>2198</v>
      </c>
      <c r="H70" t="s">
        <v>106</v>
      </c>
    </row>
    <row r="71" spans="1:8">
      <c r="A71">
        <v>70</v>
      </c>
      <c r="C71" t="s">
        <v>2197</v>
      </c>
      <c r="F71" t="s">
        <v>2198</v>
      </c>
      <c r="H71" t="s">
        <v>106</v>
      </c>
    </row>
    <row r="72" spans="1:8">
      <c r="A72">
        <v>71</v>
      </c>
      <c r="C72" t="s">
        <v>2197</v>
      </c>
      <c r="F72" t="s">
        <v>2198</v>
      </c>
      <c r="H72" t="s">
        <v>106</v>
      </c>
    </row>
    <row r="73" spans="1:8">
      <c r="A73">
        <v>72</v>
      </c>
      <c r="C73" t="s">
        <v>2197</v>
      </c>
      <c r="F73" t="s">
        <v>2198</v>
      </c>
      <c r="H73" t="s">
        <v>106</v>
      </c>
    </row>
    <row r="74" spans="1:8">
      <c r="A74">
        <v>73</v>
      </c>
      <c r="C74" t="s">
        <v>2197</v>
      </c>
      <c r="F74" t="s">
        <v>2198</v>
      </c>
      <c r="H74" t="s">
        <v>106</v>
      </c>
    </row>
    <row r="75" spans="1:8">
      <c r="A75">
        <v>74</v>
      </c>
      <c r="C75" t="s">
        <v>2197</v>
      </c>
      <c r="F75" t="s">
        <v>2198</v>
      </c>
      <c r="H75" t="s">
        <v>106</v>
      </c>
    </row>
    <row r="76" spans="1:8">
      <c r="A76">
        <v>75</v>
      </c>
      <c r="C76" t="s">
        <v>2197</v>
      </c>
      <c r="F76" t="s">
        <v>2198</v>
      </c>
      <c r="H76" t="s">
        <v>106</v>
      </c>
    </row>
    <row r="77" spans="1:8">
      <c r="A77">
        <v>76</v>
      </c>
      <c r="C77" t="s">
        <v>2197</v>
      </c>
      <c r="F77" t="s">
        <v>2198</v>
      </c>
      <c r="H77" t="s">
        <v>106</v>
      </c>
    </row>
    <row r="78" spans="1:8">
      <c r="A78">
        <v>77</v>
      </c>
      <c r="C78" t="s">
        <v>2197</v>
      </c>
      <c r="F78" t="s">
        <v>2198</v>
      </c>
      <c r="H78" t="s">
        <v>106</v>
      </c>
    </row>
    <row r="79" spans="1:8">
      <c r="A79">
        <v>78</v>
      </c>
      <c r="C79" t="s">
        <v>2197</v>
      </c>
      <c r="F79" t="s">
        <v>2198</v>
      </c>
      <c r="H79" t="s">
        <v>106</v>
      </c>
    </row>
    <row r="80" spans="1:8">
      <c r="A80">
        <v>79</v>
      </c>
      <c r="C80" t="s">
        <v>2197</v>
      </c>
      <c r="F80" t="s">
        <v>2198</v>
      </c>
      <c r="H80" t="s">
        <v>106</v>
      </c>
    </row>
    <row r="81" spans="1:8">
      <c r="A81">
        <v>80</v>
      </c>
      <c r="C81" t="s">
        <v>2197</v>
      </c>
      <c r="F81" t="s">
        <v>2198</v>
      </c>
      <c r="H81" t="s">
        <v>106</v>
      </c>
    </row>
    <row r="82" spans="1:8">
      <c r="A82">
        <v>81</v>
      </c>
      <c r="C82" t="s">
        <v>2197</v>
      </c>
      <c r="F82" t="s">
        <v>2198</v>
      </c>
      <c r="H82" t="s">
        <v>106</v>
      </c>
    </row>
    <row r="83" spans="1:8">
      <c r="A83">
        <v>82</v>
      </c>
      <c r="C83" t="s">
        <v>2197</v>
      </c>
      <c r="F83" t="s">
        <v>2198</v>
      </c>
      <c r="H83" t="s">
        <v>106</v>
      </c>
    </row>
    <row r="84" spans="1:8">
      <c r="A84">
        <v>83</v>
      </c>
      <c r="C84" t="s">
        <v>2197</v>
      </c>
      <c r="F84" t="s">
        <v>2198</v>
      </c>
      <c r="H84" t="s">
        <v>106</v>
      </c>
    </row>
    <row r="85" spans="1:8">
      <c r="A85">
        <v>84</v>
      </c>
      <c r="C85" t="s">
        <v>2197</v>
      </c>
      <c r="F85" t="s">
        <v>2198</v>
      </c>
      <c r="H85" t="s">
        <v>106</v>
      </c>
    </row>
    <row r="86" spans="1:8">
      <c r="A86">
        <v>85</v>
      </c>
      <c r="C86" t="s">
        <v>2197</v>
      </c>
      <c r="F86" t="s">
        <v>2198</v>
      </c>
      <c r="H86" t="s">
        <v>106</v>
      </c>
    </row>
    <row r="87" spans="1:8">
      <c r="A87">
        <v>86</v>
      </c>
      <c r="C87" t="s">
        <v>2197</v>
      </c>
      <c r="F87" t="s">
        <v>2198</v>
      </c>
      <c r="H87" t="s">
        <v>106</v>
      </c>
    </row>
    <row r="88" spans="1:8">
      <c r="A88">
        <v>87</v>
      </c>
      <c r="C88" t="s">
        <v>2197</v>
      </c>
      <c r="F88" t="s">
        <v>2198</v>
      </c>
      <c r="H88" t="s">
        <v>106</v>
      </c>
    </row>
    <row r="89" spans="1:8">
      <c r="A89">
        <v>88</v>
      </c>
      <c r="C89" t="s">
        <v>2197</v>
      </c>
      <c r="F89" t="s">
        <v>2198</v>
      </c>
      <c r="H89" t="s">
        <v>106</v>
      </c>
    </row>
    <row r="90" spans="1:8">
      <c r="A90">
        <v>89</v>
      </c>
      <c r="C90" t="s">
        <v>2197</v>
      </c>
      <c r="F90" t="s">
        <v>2198</v>
      </c>
      <c r="H90" t="s">
        <v>106</v>
      </c>
    </row>
    <row r="91" spans="1:8">
      <c r="A91">
        <v>90</v>
      </c>
      <c r="C91" t="s">
        <v>2197</v>
      </c>
      <c r="F91" t="s">
        <v>2198</v>
      </c>
      <c r="H91" t="s">
        <v>106</v>
      </c>
    </row>
    <row r="92" spans="1:8">
      <c r="A92">
        <v>91</v>
      </c>
      <c r="C92" t="s">
        <v>2197</v>
      </c>
      <c r="F92" t="s">
        <v>2198</v>
      </c>
      <c r="H92" t="s">
        <v>106</v>
      </c>
    </row>
    <row r="93" spans="1:8">
      <c r="A93">
        <v>92</v>
      </c>
      <c r="C93" t="s">
        <v>2197</v>
      </c>
      <c r="F93" t="s">
        <v>2198</v>
      </c>
      <c r="H93" t="s">
        <v>106</v>
      </c>
    </row>
    <row r="94" spans="1:8">
      <c r="A94">
        <v>93</v>
      </c>
      <c r="C94" t="s">
        <v>2197</v>
      </c>
      <c r="F94" t="s">
        <v>2198</v>
      </c>
      <c r="H94" t="s">
        <v>106</v>
      </c>
    </row>
    <row r="95" spans="1:8">
      <c r="A95">
        <v>94</v>
      </c>
      <c r="C95" t="s">
        <v>2197</v>
      </c>
      <c r="F95" t="s">
        <v>2198</v>
      </c>
      <c r="H95" t="s">
        <v>106</v>
      </c>
    </row>
    <row r="96" spans="1:8">
      <c r="A96">
        <v>95</v>
      </c>
      <c r="C96" t="s">
        <v>2197</v>
      </c>
      <c r="F96" t="s">
        <v>2198</v>
      </c>
      <c r="H96" t="s">
        <v>106</v>
      </c>
    </row>
    <row r="97" spans="1:8">
      <c r="A97">
        <v>96</v>
      </c>
      <c r="C97" t="s">
        <v>2197</v>
      </c>
      <c r="F97" t="s">
        <v>2198</v>
      </c>
      <c r="H97" t="s">
        <v>106</v>
      </c>
    </row>
    <row r="98" spans="1:8">
      <c r="A98">
        <v>97</v>
      </c>
      <c r="C98" t="s">
        <v>2197</v>
      </c>
      <c r="F98" t="s">
        <v>2198</v>
      </c>
      <c r="H98" t="s">
        <v>106</v>
      </c>
    </row>
    <row r="99" spans="1:8">
      <c r="A99">
        <v>98</v>
      </c>
      <c r="C99" t="s">
        <v>2197</v>
      </c>
      <c r="F99" t="s">
        <v>2198</v>
      </c>
      <c r="H99" t="s">
        <v>106</v>
      </c>
    </row>
    <row r="100" spans="1:8">
      <c r="A100">
        <v>99</v>
      </c>
      <c r="C100" t="s">
        <v>2197</v>
      </c>
      <c r="F100" t="s">
        <v>2198</v>
      </c>
      <c r="H100" t="s">
        <v>106</v>
      </c>
    </row>
    <row r="101" spans="1:8">
      <c r="A101">
        <v>100</v>
      </c>
      <c r="C101" t="s">
        <v>2197</v>
      </c>
      <c r="F101" t="s">
        <v>2198</v>
      </c>
      <c r="H101" t="s">
        <v>106</v>
      </c>
    </row>
    <row r="102" spans="1:8">
      <c r="A102">
        <v>101</v>
      </c>
      <c r="C102" t="s">
        <v>2197</v>
      </c>
      <c r="F102" t="s">
        <v>2198</v>
      </c>
      <c r="H102" t="s">
        <v>106</v>
      </c>
    </row>
    <row r="103" spans="1:8">
      <c r="A103">
        <v>102</v>
      </c>
      <c r="C103" t="s">
        <v>2197</v>
      </c>
      <c r="F103" t="s">
        <v>2198</v>
      </c>
      <c r="H103" t="s">
        <v>106</v>
      </c>
    </row>
    <row r="104" spans="1:8">
      <c r="A104">
        <v>103</v>
      </c>
      <c r="C104" t="s">
        <v>2197</v>
      </c>
      <c r="F104" t="s">
        <v>2198</v>
      </c>
      <c r="H104" t="s">
        <v>106</v>
      </c>
    </row>
    <row r="105" spans="1:8">
      <c r="A105">
        <v>104</v>
      </c>
      <c r="C105" t="s">
        <v>2197</v>
      </c>
      <c r="F105" t="s">
        <v>2198</v>
      </c>
      <c r="H105" t="s">
        <v>106</v>
      </c>
    </row>
    <row r="106" spans="1:8">
      <c r="A106">
        <v>105</v>
      </c>
      <c r="C106" t="s">
        <v>2197</v>
      </c>
      <c r="F106" t="s">
        <v>2198</v>
      </c>
      <c r="H106" t="s">
        <v>106</v>
      </c>
    </row>
    <row r="107" spans="1:8">
      <c r="A107">
        <v>106</v>
      </c>
      <c r="C107" t="s">
        <v>2197</v>
      </c>
      <c r="F107" t="s">
        <v>2198</v>
      </c>
      <c r="H107" t="s">
        <v>106</v>
      </c>
    </row>
    <row r="108" spans="1:8">
      <c r="A108">
        <v>107</v>
      </c>
      <c r="C108" t="s">
        <v>2197</v>
      </c>
      <c r="F108" t="s">
        <v>2198</v>
      </c>
      <c r="H108" t="s">
        <v>106</v>
      </c>
    </row>
    <row r="109" spans="1:8">
      <c r="A109">
        <v>108</v>
      </c>
      <c r="C109" t="s">
        <v>2197</v>
      </c>
      <c r="F109" t="s">
        <v>2198</v>
      </c>
      <c r="H109" t="s">
        <v>106</v>
      </c>
    </row>
    <row r="110" spans="1:8">
      <c r="A110">
        <v>109</v>
      </c>
      <c r="C110" t="s">
        <v>2197</v>
      </c>
      <c r="F110" t="s">
        <v>2198</v>
      </c>
      <c r="H110" t="s">
        <v>106</v>
      </c>
    </row>
    <row r="111" spans="1:8">
      <c r="A111">
        <v>110</v>
      </c>
      <c r="C111" t="s">
        <v>2197</v>
      </c>
      <c r="F111" t="s">
        <v>2198</v>
      </c>
      <c r="H111" t="s">
        <v>106</v>
      </c>
    </row>
    <row r="112" spans="1:8">
      <c r="A112">
        <v>111</v>
      </c>
      <c r="C112" t="s">
        <v>2197</v>
      </c>
      <c r="F112" t="s">
        <v>2198</v>
      </c>
      <c r="H112" t="s">
        <v>106</v>
      </c>
    </row>
    <row r="113" spans="1:8">
      <c r="A113">
        <v>112</v>
      </c>
      <c r="C113" t="s">
        <v>2197</v>
      </c>
      <c r="F113" t="s">
        <v>2198</v>
      </c>
      <c r="H113" t="s">
        <v>106</v>
      </c>
    </row>
    <row r="114" spans="1:8">
      <c r="A114">
        <v>113</v>
      </c>
      <c r="C114" t="s">
        <v>2197</v>
      </c>
      <c r="F114" t="s">
        <v>2198</v>
      </c>
      <c r="H114" t="s">
        <v>106</v>
      </c>
    </row>
    <row r="115" spans="1:8">
      <c r="A115">
        <v>114</v>
      </c>
      <c r="C115" t="s">
        <v>2197</v>
      </c>
      <c r="F115" t="s">
        <v>2198</v>
      </c>
      <c r="H115" t="s">
        <v>106</v>
      </c>
    </row>
    <row r="116" spans="1:8">
      <c r="A116">
        <v>115</v>
      </c>
      <c r="C116" t="s">
        <v>2197</v>
      </c>
      <c r="F116" t="s">
        <v>2198</v>
      </c>
      <c r="H116" t="s">
        <v>106</v>
      </c>
    </row>
    <row r="117" spans="1:8">
      <c r="A117">
        <v>116</v>
      </c>
      <c r="C117" t="s">
        <v>2197</v>
      </c>
      <c r="F117" t="s">
        <v>2198</v>
      </c>
      <c r="H117" t="s">
        <v>106</v>
      </c>
    </row>
    <row r="118" spans="1:8">
      <c r="A118">
        <v>117</v>
      </c>
      <c r="C118" t="s">
        <v>2197</v>
      </c>
      <c r="F118" t="s">
        <v>2198</v>
      </c>
      <c r="H118" t="s">
        <v>106</v>
      </c>
    </row>
    <row r="119" spans="1:8">
      <c r="A119">
        <v>118</v>
      </c>
      <c r="C119" t="s">
        <v>2197</v>
      </c>
      <c r="F119" t="s">
        <v>2198</v>
      </c>
      <c r="H119" t="s">
        <v>106</v>
      </c>
    </row>
    <row r="120" spans="1:8">
      <c r="A120">
        <v>119</v>
      </c>
      <c r="C120" t="s">
        <v>2197</v>
      </c>
      <c r="F120" t="s">
        <v>2198</v>
      </c>
      <c r="H120" t="s">
        <v>106</v>
      </c>
    </row>
    <row r="121" spans="1:8">
      <c r="A121">
        <v>120</v>
      </c>
      <c r="C121" t="s">
        <v>2197</v>
      </c>
      <c r="F121" t="s">
        <v>2198</v>
      </c>
      <c r="H121" t="s">
        <v>106</v>
      </c>
    </row>
    <row r="122" spans="1:8">
      <c r="A122">
        <v>121</v>
      </c>
      <c r="C122" t="s">
        <v>2197</v>
      </c>
      <c r="F122" t="s">
        <v>2198</v>
      </c>
      <c r="H122" t="s">
        <v>106</v>
      </c>
    </row>
    <row r="123" spans="1:8">
      <c r="A123">
        <v>122</v>
      </c>
      <c r="C123" t="s">
        <v>2197</v>
      </c>
      <c r="F123" t="s">
        <v>2198</v>
      </c>
      <c r="H123" t="s">
        <v>106</v>
      </c>
    </row>
    <row r="124" spans="1:8">
      <c r="A124">
        <v>123</v>
      </c>
      <c r="C124" t="s">
        <v>2197</v>
      </c>
      <c r="F124" t="s">
        <v>2198</v>
      </c>
      <c r="H124" t="s">
        <v>106</v>
      </c>
    </row>
    <row r="125" spans="1:8">
      <c r="A125">
        <v>124</v>
      </c>
      <c r="C125" t="s">
        <v>2197</v>
      </c>
      <c r="F125" t="s">
        <v>2198</v>
      </c>
      <c r="H125" t="s">
        <v>106</v>
      </c>
    </row>
    <row r="126" spans="1:8">
      <c r="A126">
        <v>125</v>
      </c>
      <c r="C126" t="s">
        <v>2197</v>
      </c>
      <c r="F126" t="s">
        <v>2198</v>
      </c>
      <c r="H126" t="s">
        <v>106</v>
      </c>
    </row>
    <row r="127" spans="1:8">
      <c r="A127">
        <v>126</v>
      </c>
      <c r="C127" t="s">
        <v>2197</v>
      </c>
      <c r="F127" t="s">
        <v>2198</v>
      </c>
      <c r="H127" t="s">
        <v>106</v>
      </c>
    </row>
    <row r="128" spans="1:8">
      <c r="A128">
        <v>127</v>
      </c>
      <c r="C128" t="s">
        <v>2197</v>
      </c>
      <c r="F128" t="s">
        <v>2198</v>
      </c>
      <c r="H128" t="s">
        <v>106</v>
      </c>
    </row>
    <row r="129" spans="1:8">
      <c r="A129">
        <v>128</v>
      </c>
      <c r="C129" t="s">
        <v>2197</v>
      </c>
      <c r="F129" t="s">
        <v>2198</v>
      </c>
      <c r="H129" t="s">
        <v>106</v>
      </c>
    </row>
    <row r="130" spans="1:8">
      <c r="A130">
        <v>129</v>
      </c>
      <c r="C130" t="s">
        <v>2197</v>
      </c>
      <c r="F130" t="s">
        <v>2198</v>
      </c>
      <c r="H130" t="s">
        <v>106</v>
      </c>
    </row>
    <row r="131" spans="1:8">
      <c r="A131">
        <v>130</v>
      </c>
      <c r="C131" t="s">
        <v>2197</v>
      </c>
      <c r="F131" t="s">
        <v>2198</v>
      </c>
      <c r="H131" t="s">
        <v>106</v>
      </c>
    </row>
    <row r="132" spans="1:8">
      <c r="A132">
        <v>131</v>
      </c>
      <c r="C132" t="s">
        <v>2197</v>
      </c>
      <c r="F132" t="s">
        <v>2198</v>
      </c>
      <c r="H132" t="s">
        <v>106</v>
      </c>
    </row>
    <row r="133" spans="1:8">
      <c r="A133">
        <v>132</v>
      </c>
      <c r="C133" t="s">
        <v>2197</v>
      </c>
      <c r="F133" t="s">
        <v>2198</v>
      </c>
      <c r="H133" t="s">
        <v>106</v>
      </c>
    </row>
    <row r="134" spans="1:8">
      <c r="A134">
        <v>133</v>
      </c>
      <c r="C134" t="s">
        <v>2197</v>
      </c>
      <c r="F134" t="s">
        <v>2198</v>
      </c>
      <c r="H134" t="s">
        <v>106</v>
      </c>
    </row>
    <row r="135" spans="1:8">
      <c r="A135">
        <v>134</v>
      </c>
      <c r="C135" t="s">
        <v>2197</v>
      </c>
      <c r="F135" t="s">
        <v>2198</v>
      </c>
      <c r="H135" t="s">
        <v>106</v>
      </c>
    </row>
    <row r="136" spans="1:8">
      <c r="A136">
        <v>135</v>
      </c>
      <c r="C136" t="s">
        <v>2197</v>
      </c>
      <c r="F136" t="s">
        <v>2198</v>
      </c>
      <c r="H136" t="s">
        <v>106</v>
      </c>
    </row>
    <row r="137" spans="1:8">
      <c r="A137">
        <v>136</v>
      </c>
      <c r="C137" t="s">
        <v>2197</v>
      </c>
      <c r="F137" t="s">
        <v>2198</v>
      </c>
      <c r="H137" t="s">
        <v>106</v>
      </c>
    </row>
    <row r="138" spans="1:8">
      <c r="A138">
        <v>137</v>
      </c>
      <c r="C138" t="s">
        <v>2197</v>
      </c>
      <c r="F138" t="s">
        <v>2198</v>
      </c>
      <c r="H138" t="s">
        <v>106</v>
      </c>
    </row>
    <row r="139" spans="1:8">
      <c r="A139">
        <v>138</v>
      </c>
      <c r="C139" t="s">
        <v>2197</v>
      </c>
      <c r="F139" t="s">
        <v>2198</v>
      </c>
      <c r="H139" t="s">
        <v>106</v>
      </c>
    </row>
    <row r="140" spans="1:8">
      <c r="A140">
        <v>139</v>
      </c>
      <c r="C140" t="s">
        <v>2197</v>
      </c>
      <c r="F140" t="s">
        <v>2198</v>
      </c>
      <c r="H140" t="s">
        <v>106</v>
      </c>
    </row>
    <row r="141" spans="1:8">
      <c r="A141">
        <v>140</v>
      </c>
      <c r="C141" t="s">
        <v>2197</v>
      </c>
      <c r="F141" t="s">
        <v>2198</v>
      </c>
      <c r="H141" t="s">
        <v>106</v>
      </c>
    </row>
    <row r="142" spans="1:8">
      <c r="A142">
        <v>141</v>
      </c>
      <c r="C142" t="s">
        <v>2197</v>
      </c>
      <c r="F142" t="s">
        <v>2198</v>
      </c>
      <c r="H142" t="s">
        <v>106</v>
      </c>
    </row>
    <row r="143" spans="1:8">
      <c r="A143">
        <v>142</v>
      </c>
      <c r="C143" t="s">
        <v>2197</v>
      </c>
      <c r="F143" t="s">
        <v>2198</v>
      </c>
      <c r="H143" t="s">
        <v>106</v>
      </c>
    </row>
    <row r="144" spans="1:8">
      <c r="A144">
        <v>143</v>
      </c>
      <c r="C144" t="s">
        <v>2197</v>
      </c>
      <c r="F144" t="s">
        <v>2198</v>
      </c>
      <c r="H144" t="s">
        <v>106</v>
      </c>
    </row>
    <row r="145" spans="1:8">
      <c r="A145">
        <v>144</v>
      </c>
      <c r="C145" t="s">
        <v>2197</v>
      </c>
      <c r="F145" t="s">
        <v>2198</v>
      </c>
      <c r="H145" t="s">
        <v>106</v>
      </c>
    </row>
    <row r="146" spans="1:8">
      <c r="A146">
        <v>145</v>
      </c>
      <c r="C146" t="s">
        <v>2197</v>
      </c>
      <c r="F146" t="s">
        <v>2198</v>
      </c>
      <c r="H146" t="s">
        <v>106</v>
      </c>
    </row>
    <row r="147" spans="1:8">
      <c r="A147">
        <v>146</v>
      </c>
      <c r="C147" t="s">
        <v>2197</v>
      </c>
      <c r="F147" t="s">
        <v>2198</v>
      </c>
      <c r="H147" t="s">
        <v>106</v>
      </c>
    </row>
    <row r="148" spans="1:8">
      <c r="A148">
        <v>147</v>
      </c>
      <c r="C148" t="s">
        <v>2197</v>
      </c>
      <c r="F148" t="s">
        <v>2198</v>
      </c>
      <c r="H148" t="s">
        <v>106</v>
      </c>
    </row>
    <row r="149" spans="1:8">
      <c r="A149">
        <v>148</v>
      </c>
      <c r="C149" t="s">
        <v>2197</v>
      </c>
      <c r="F149" t="s">
        <v>2198</v>
      </c>
      <c r="H149" t="s">
        <v>106</v>
      </c>
    </row>
    <row r="150" spans="1:8">
      <c r="A150">
        <v>149</v>
      </c>
      <c r="C150" t="s">
        <v>2197</v>
      </c>
      <c r="F150" t="s">
        <v>2198</v>
      </c>
      <c r="H150" t="s">
        <v>106</v>
      </c>
    </row>
    <row r="151" spans="1:8">
      <c r="A151">
        <v>150</v>
      </c>
      <c r="C151" t="s">
        <v>2197</v>
      </c>
      <c r="F151" t="s">
        <v>2198</v>
      </c>
      <c r="H151" t="s">
        <v>106</v>
      </c>
    </row>
    <row r="152" spans="1:8">
      <c r="A152">
        <v>151</v>
      </c>
      <c r="C152" t="s">
        <v>2197</v>
      </c>
      <c r="F152" t="s">
        <v>2198</v>
      </c>
      <c r="H152" t="s">
        <v>106</v>
      </c>
    </row>
    <row r="153" spans="1:8">
      <c r="A153">
        <v>152</v>
      </c>
      <c r="C153" t="s">
        <v>2197</v>
      </c>
      <c r="F153" t="s">
        <v>2198</v>
      </c>
      <c r="H153" t="s">
        <v>106</v>
      </c>
    </row>
    <row r="154" spans="1:8">
      <c r="A154">
        <v>153</v>
      </c>
      <c r="C154" t="s">
        <v>2197</v>
      </c>
      <c r="F154" t="s">
        <v>2198</v>
      </c>
      <c r="H154" t="s">
        <v>106</v>
      </c>
    </row>
    <row r="155" spans="1:8">
      <c r="A155">
        <v>154</v>
      </c>
      <c r="C155" t="s">
        <v>2197</v>
      </c>
      <c r="F155" t="s">
        <v>2198</v>
      </c>
      <c r="H155" t="s">
        <v>106</v>
      </c>
    </row>
    <row r="156" spans="1:8">
      <c r="A156">
        <v>155</v>
      </c>
      <c r="C156" t="s">
        <v>2197</v>
      </c>
      <c r="F156" t="s">
        <v>2198</v>
      </c>
      <c r="H156" t="s">
        <v>106</v>
      </c>
    </row>
    <row r="157" spans="1:8">
      <c r="A157">
        <v>156</v>
      </c>
      <c r="C157" t="s">
        <v>2197</v>
      </c>
      <c r="F157" t="s">
        <v>2198</v>
      </c>
      <c r="H157" t="s">
        <v>106</v>
      </c>
    </row>
    <row r="158" spans="1:8">
      <c r="A158">
        <v>157</v>
      </c>
      <c r="C158" t="s">
        <v>2197</v>
      </c>
      <c r="F158" t="s">
        <v>2198</v>
      </c>
      <c r="H158" t="s">
        <v>106</v>
      </c>
    </row>
    <row r="159" spans="1:8">
      <c r="A159">
        <v>158</v>
      </c>
      <c r="C159" t="s">
        <v>2197</v>
      </c>
      <c r="F159" t="s">
        <v>2198</v>
      </c>
      <c r="H159" t="s">
        <v>106</v>
      </c>
    </row>
    <row r="160" spans="1:8">
      <c r="A160">
        <v>159</v>
      </c>
      <c r="C160" t="s">
        <v>2197</v>
      </c>
      <c r="F160" t="s">
        <v>2198</v>
      </c>
      <c r="H160" t="s">
        <v>106</v>
      </c>
    </row>
    <row r="161" spans="1:8">
      <c r="A161">
        <v>160</v>
      </c>
      <c r="C161" t="s">
        <v>2197</v>
      </c>
      <c r="F161" t="s">
        <v>2198</v>
      </c>
      <c r="H161" t="s">
        <v>106</v>
      </c>
    </row>
    <row r="162" spans="1:8">
      <c r="A162">
        <v>161</v>
      </c>
      <c r="C162" t="s">
        <v>2197</v>
      </c>
      <c r="F162" t="s">
        <v>2198</v>
      </c>
      <c r="H162" t="s">
        <v>106</v>
      </c>
    </row>
    <row r="163" spans="1:8">
      <c r="A163">
        <v>162</v>
      </c>
      <c r="C163" t="s">
        <v>2197</v>
      </c>
      <c r="F163" t="s">
        <v>2198</v>
      </c>
      <c r="H163" t="s">
        <v>106</v>
      </c>
    </row>
    <row r="164" spans="1:8">
      <c r="A164">
        <v>163</v>
      </c>
      <c r="C164" t="s">
        <v>2197</v>
      </c>
      <c r="F164" t="s">
        <v>2198</v>
      </c>
      <c r="H164" t="s">
        <v>106</v>
      </c>
    </row>
    <row r="165" spans="1:8">
      <c r="A165">
        <v>164</v>
      </c>
      <c r="C165" t="s">
        <v>2197</v>
      </c>
      <c r="F165" t="s">
        <v>2198</v>
      </c>
      <c r="H165" t="s">
        <v>106</v>
      </c>
    </row>
    <row r="166" spans="1:8">
      <c r="A166">
        <v>165</v>
      </c>
      <c r="C166" t="s">
        <v>2197</v>
      </c>
      <c r="F166" t="s">
        <v>2198</v>
      </c>
      <c r="H166" t="s">
        <v>106</v>
      </c>
    </row>
    <row r="167" spans="1:8">
      <c r="A167">
        <v>166</v>
      </c>
      <c r="C167" t="s">
        <v>2197</v>
      </c>
      <c r="F167" t="s">
        <v>2198</v>
      </c>
      <c r="H167" t="s">
        <v>106</v>
      </c>
    </row>
    <row r="168" spans="1:8">
      <c r="A168">
        <v>167</v>
      </c>
      <c r="C168" t="s">
        <v>2197</v>
      </c>
      <c r="F168" t="s">
        <v>2198</v>
      </c>
      <c r="H168" t="s">
        <v>106</v>
      </c>
    </row>
    <row r="169" spans="1:8">
      <c r="A169">
        <v>168</v>
      </c>
      <c r="C169" t="s">
        <v>2197</v>
      </c>
      <c r="F169" t="s">
        <v>2198</v>
      </c>
      <c r="H169" t="s">
        <v>106</v>
      </c>
    </row>
    <row r="170" spans="1:8">
      <c r="A170">
        <v>169</v>
      </c>
      <c r="C170" t="s">
        <v>2197</v>
      </c>
      <c r="F170" t="s">
        <v>2198</v>
      </c>
      <c r="H170" t="s">
        <v>106</v>
      </c>
    </row>
    <row r="171" spans="1:8">
      <c r="A171">
        <v>170</v>
      </c>
      <c r="C171" t="s">
        <v>2197</v>
      </c>
      <c r="F171" t="s">
        <v>2198</v>
      </c>
      <c r="H171" t="s">
        <v>106</v>
      </c>
    </row>
    <row r="172" spans="1:8">
      <c r="A172">
        <v>171</v>
      </c>
      <c r="C172" t="s">
        <v>2197</v>
      </c>
      <c r="F172" t="s">
        <v>2198</v>
      </c>
      <c r="H172" t="s">
        <v>106</v>
      </c>
    </row>
    <row r="173" spans="1:8">
      <c r="A173">
        <v>172</v>
      </c>
      <c r="C173" t="s">
        <v>2197</v>
      </c>
      <c r="F173" t="s">
        <v>2198</v>
      </c>
      <c r="H173" t="s">
        <v>106</v>
      </c>
    </row>
    <row r="174" spans="1:8">
      <c r="A174">
        <v>173</v>
      </c>
      <c r="C174" t="s">
        <v>2197</v>
      </c>
      <c r="F174" t="s">
        <v>2198</v>
      </c>
      <c r="H174" t="s">
        <v>106</v>
      </c>
    </row>
    <row r="175" spans="1:8">
      <c r="A175">
        <v>174</v>
      </c>
      <c r="C175" t="s">
        <v>2197</v>
      </c>
      <c r="F175" t="s">
        <v>2198</v>
      </c>
      <c r="H175" t="s">
        <v>106</v>
      </c>
    </row>
    <row r="176" spans="1:8">
      <c r="A176">
        <v>175</v>
      </c>
      <c r="C176" t="s">
        <v>2197</v>
      </c>
      <c r="F176" t="s">
        <v>2198</v>
      </c>
      <c r="H176" t="s">
        <v>106</v>
      </c>
    </row>
    <row r="177" spans="1:8">
      <c r="A177">
        <v>176</v>
      </c>
      <c r="C177" t="s">
        <v>2197</v>
      </c>
      <c r="F177" t="s">
        <v>2198</v>
      </c>
      <c r="H177" t="s">
        <v>106</v>
      </c>
    </row>
    <row r="178" spans="1:8">
      <c r="A178">
        <v>177</v>
      </c>
      <c r="C178" t="s">
        <v>2197</v>
      </c>
      <c r="F178" t="s">
        <v>2198</v>
      </c>
      <c r="H178" t="s">
        <v>106</v>
      </c>
    </row>
    <row r="179" spans="1:8">
      <c r="A179">
        <v>178</v>
      </c>
      <c r="C179" t="s">
        <v>2197</v>
      </c>
      <c r="F179" t="s">
        <v>2198</v>
      </c>
      <c r="H179" t="s">
        <v>106</v>
      </c>
    </row>
    <row r="180" spans="1:8">
      <c r="A180">
        <v>179</v>
      </c>
      <c r="C180" t="s">
        <v>2197</v>
      </c>
      <c r="F180" t="s">
        <v>2198</v>
      </c>
      <c r="H180" t="s">
        <v>106</v>
      </c>
    </row>
    <row r="181" spans="1:8">
      <c r="A181">
        <v>180</v>
      </c>
      <c r="C181" t="s">
        <v>2197</v>
      </c>
      <c r="F181" t="s">
        <v>2198</v>
      </c>
      <c r="H181" t="s">
        <v>106</v>
      </c>
    </row>
    <row r="182" spans="1:8">
      <c r="A182">
        <v>181</v>
      </c>
      <c r="C182" t="s">
        <v>2197</v>
      </c>
      <c r="F182" t="s">
        <v>2198</v>
      </c>
      <c r="H182" t="s">
        <v>106</v>
      </c>
    </row>
    <row r="183" spans="1:8">
      <c r="A183">
        <v>182</v>
      </c>
      <c r="C183" t="s">
        <v>2197</v>
      </c>
      <c r="F183" t="s">
        <v>2198</v>
      </c>
      <c r="H183" t="s">
        <v>106</v>
      </c>
    </row>
    <row r="184" spans="1:8">
      <c r="A184">
        <v>183</v>
      </c>
      <c r="C184" t="s">
        <v>2197</v>
      </c>
      <c r="F184" t="s">
        <v>2198</v>
      </c>
      <c r="H184" t="s">
        <v>106</v>
      </c>
    </row>
    <row r="185" spans="1:8">
      <c r="A185">
        <v>184</v>
      </c>
      <c r="C185" t="s">
        <v>2197</v>
      </c>
      <c r="F185" t="s">
        <v>2198</v>
      </c>
      <c r="H185" t="s">
        <v>106</v>
      </c>
    </row>
    <row r="186" spans="1:8">
      <c r="A186">
        <v>185</v>
      </c>
      <c r="C186" t="s">
        <v>2197</v>
      </c>
      <c r="F186" t="s">
        <v>2198</v>
      </c>
      <c r="H186" t="s">
        <v>106</v>
      </c>
    </row>
    <row r="187" spans="1:8">
      <c r="A187">
        <v>186</v>
      </c>
      <c r="C187" t="s">
        <v>2197</v>
      </c>
      <c r="F187" t="s">
        <v>2198</v>
      </c>
      <c r="H187" t="s">
        <v>106</v>
      </c>
    </row>
    <row r="188" spans="1:8">
      <c r="A188">
        <v>187</v>
      </c>
      <c r="C188" t="s">
        <v>2197</v>
      </c>
      <c r="F188" t="s">
        <v>2198</v>
      </c>
      <c r="H188" t="s">
        <v>106</v>
      </c>
    </row>
    <row r="189" spans="1:8">
      <c r="A189">
        <v>188</v>
      </c>
      <c r="C189" t="s">
        <v>2197</v>
      </c>
      <c r="F189" t="s">
        <v>2198</v>
      </c>
      <c r="H189" t="s">
        <v>106</v>
      </c>
    </row>
    <row r="190" spans="1:8">
      <c r="A190">
        <v>189</v>
      </c>
      <c r="C190" t="s">
        <v>2197</v>
      </c>
      <c r="F190" t="s">
        <v>2198</v>
      </c>
      <c r="H190" t="s">
        <v>106</v>
      </c>
    </row>
    <row r="191" spans="1:8">
      <c r="A191">
        <v>190</v>
      </c>
      <c r="C191" t="s">
        <v>2197</v>
      </c>
      <c r="F191" t="s">
        <v>2198</v>
      </c>
      <c r="H191" t="s">
        <v>106</v>
      </c>
    </row>
    <row r="192" spans="1:8">
      <c r="A192">
        <v>191</v>
      </c>
      <c r="C192" t="s">
        <v>2197</v>
      </c>
      <c r="F192" t="s">
        <v>2198</v>
      </c>
      <c r="H192" t="s">
        <v>106</v>
      </c>
    </row>
    <row r="193" spans="1:8">
      <c r="A193">
        <v>192</v>
      </c>
      <c r="C193" t="s">
        <v>2197</v>
      </c>
      <c r="F193" t="s">
        <v>2198</v>
      </c>
      <c r="H193" t="s">
        <v>106</v>
      </c>
    </row>
    <row r="194" spans="1:8">
      <c r="A194">
        <v>193</v>
      </c>
      <c r="C194" t="s">
        <v>2197</v>
      </c>
      <c r="F194" t="s">
        <v>2198</v>
      </c>
      <c r="H194" t="s">
        <v>106</v>
      </c>
    </row>
    <row r="195" spans="1:8">
      <c r="A195">
        <v>194</v>
      </c>
      <c r="C195" t="s">
        <v>2197</v>
      </c>
      <c r="F195" t="s">
        <v>2198</v>
      </c>
      <c r="H195" t="s">
        <v>106</v>
      </c>
    </row>
    <row r="196" spans="1:8">
      <c r="A196">
        <v>195</v>
      </c>
      <c r="C196" t="s">
        <v>2197</v>
      </c>
      <c r="F196" t="s">
        <v>2198</v>
      </c>
      <c r="H196" t="s">
        <v>106</v>
      </c>
    </row>
    <row r="197" spans="1:8">
      <c r="A197">
        <v>196</v>
      </c>
      <c r="C197" t="s">
        <v>2197</v>
      </c>
      <c r="F197" t="s">
        <v>2198</v>
      </c>
      <c r="H197" t="s">
        <v>106</v>
      </c>
    </row>
    <row r="198" spans="1:8">
      <c r="A198">
        <v>197</v>
      </c>
      <c r="C198" t="s">
        <v>2197</v>
      </c>
      <c r="F198" t="s">
        <v>2198</v>
      </c>
      <c r="H198" t="s">
        <v>106</v>
      </c>
    </row>
    <row r="199" spans="1:8">
      <c r="A199">
        <v>198</v>
      </c>
      <c r="C199" t="s">
        <v>2197</v>
      </c>
      <c r="F199" t="s">
        <v>2198</v>
      </c>
      <c r="H199" t="s">
        <v>106</v>
      </c>
    </row>
    <row r="200" spans="1:8">
      <c r="A200">
        <v>199</v>
      </c>
      <c r="C200" t="s">
        <v>2197</v>
      </c>
      <c r="F200" t="s">
        <v>2198</v>
      </c>
      <c r="H200" t="s">
        <v>106</v>
      </c>
    </row>
    <row r="201" spans="1:8">
      <c r="A201">
        <v>200</v>
      </c>
      <c r="C201" t="s">
        <v>2197</v>
      </c>
      <c r="F201" t="s">
        <v>2198</v>
      </c>
      <c r="H201" t="s">
        <v>106</v>
      </c>
    </row>
    <row r="202" spans="1:8">
      <c r="A202">
        <v>201</v>
      </c>
      <c r="C202" t="s">
        <v>2197</v>
      </c>
      <c r="F202" t="s">
        <v>2198</v>
      </c>
      <c r="H202" t="s">
        <v>106</v>
      </c>
    </row>
    <row r="203" spans="1:8">
      <c r="A203">
        <v>202</v>
      </c>
      <c r="C203" t="s">
        <v>2197</v>
      </c>
      <c r="F203" t="s">
        <v>2198</v>
      </c>
      <c r="H203" t="s">
        <v>106</v>
      </c>
    </row>
    <row r="204" spans="1:8">
      <c r="A204">
        <v>203</v>
      </c>
      <c r="C204" t="s">
        <v>2197</v>
      </c>
      <c r="F204" t="s">
        <v>2198</v>
      </c>
      <c r="H204" t="s">
        <v>106</v>
      </c>
    </row>
    <row r="205" spans="1:8">
      <c r="A205">
        <v>204</v>
      </c>
      <c r="C205" t="s">
        <v>2197</v>
      </c>
      <c r="F205" t="s">
        <v>2198</v>
      </c>
      <c r="H205" t="s">
        <v>106</v>
      </c>
    </row>
    <row r="206" spans="1:8">
      <c r="A206">
        <v>205</v>
      </c>
      <c r="C206" t="s">
        <v>2197</v>
      </c>
      <c r="F206" t="s">
        <v>2198</v>
      </c>
      <c r="H206" t="s">
        <v>106</v>
      </c>
    </row>
    <row r="207" spans="1:8">
      <c r="A207">
        <v>206</v>
      </c>
      <c r="C207" t="s">
        <v>2197</v>
      </c>
      <c r="F207" t="s">
        <v>2198</v>
      </c>
      <c r="H207" t="s">
        <v>106</v>
      </c>
    </row>
    <row r="208" spans="1:8">
      <c r="A208">
        <v>207</v>
      </c>
      <c r="C208" t="s">
        <v>2197</v>
      </c>
      <c r="F208" t="s">
        <v>2198</v>
      </c>
      <c r="H208" t="s">
        <v>106</v>
      </c>
    </row>
    <row r="209" spans="1:8">
      <c r="A209">
        <v>208</v>
      </c>
      <c r="C209" t="s">
        <v>2197</v>
      </c>
      <c r="F209" t="s">
        <v>2198</v>
      </c>
      <c r="H209" t="s">
        <v>106</v>
      </c>
    </row>
    <row r="210" spans="1:8">
      <c r="A210">
        <v>209</v>
      </c>
      <c r="C210" t="s">
        <v>2197</v>
      </c>
      <c r="F210" t="s">
        <v>2198</v>
      </c>
      <c r="H210" t="s">
        <v>106</v>
      </c>
    </row>
    <row r="211" spans="1:8">
      <c r="A211">
        <v>210</v>
      </c>
      <c r="C211" t="s">
        <v>2197</v>
      </c>
      <c r="F211" t="s">
        <v>2198</v>
      </c>
      <c r="H211" t="s">
        <v>106</v>
      </c>
    </row>
    <row r="212" spans="1:8">
      <c r="A212">
        <v>211</v>
      </c>
      <c r="C212" t="s">
        <v>2197</v>
      </c>
      <c r="F212" t="s">
        <v>2198</v>
      </c>
      <c r="H212" t="s">
        <v>106</v>
      </c>
    </row>
    <row r="213" spans="1:8">
      <c r="A213">
        <v>212</v>
      </c>
      <c r="C213" t="s">
        <v>2197</v>
      </c>
      <c r="F213" t="s">
        <v>2198</v>
      </c>
      <c r="H213" t="s">
        <v>106</v>
      </c>
    </row>
    <row r="214" spans="1:8">
      <c r="A214">
        <v>213</v>
      </c>
      <c r="C214" t="s">
        <v>2197</v>
      </c>
      <c r="F214" t="s">
        <v>2198</v>
      </c>
      <c r="H214" t="s">
        <v>106</v>
      </c>
    </row>
    <row r="215" spans="1:8">
      <c r="A215">
        <v>214</v>
      </c>
      <c r="C215" t="s">
        <v>2197</v>
      </c>
      <c r="F215" t="s">
        <v>2198</v>
      </c>
      <c r="H215" t="s">
        <v>106</v>
      </c>
    </row>
    <row r="216" spans="1:8">
      <c r="A216">
        <v>215</v>
      </c>
      <c r="C216" t="s">
        <v>2197</v>
      </c>
      <c r="F216" t="s">
        <v>2198</v>
      </c>
      <c r="H216" t="s">
        <v>106</v>
      </c>
    </row>
    <row r="217" spans="1:8">
      <c r="A217">
        <v>216</v>
      </c>
      <c r="C217" t="s">
        <v>2197</v>
      </c>
      <c r="F217" t="s">
        <v>2198</v>
      </c>
      <c r="H217" t="s">
        <v>106</v>
      </c>
    </row>
    <row r="218" spans="1:8">
      <c r="A218">
        <v>217</v>
      </c>
      <c r="C218" t="s">
        <v>2197</v>
      </c>
      <c r="F218" t="s">
        <v>2198</v>
      </c>
      <c r="H218" t="s">
        <v>106</v>
      </c>
    </row>
    <row r="219" spans="1:8">
      <c r="A219">
        <v>218</v>
      </c>
      <c r="C219" t="s">
        <v>2197</v>
      </c>
      <c r="F219" t="s">
        <v>2198</v>
      </c>
      <c r="H219" t="s">
        <v>106</v>
      </c>
    </row>
    <row r="220" spans="1:8">
      <c r="A220">
        <v>219</v>
      </c>
      <c r="C220" t="s">
        <v>2197</v>
      </c>
      <c r="F220" t="s">
        <v>2198</v>
      </c>
      <c r="H220" t="s">
        <v>106</v>
      </c>
    </row>
    <row r="221" spans="1:8">
      <c r="A221">
        <v>220</v>
      </c>
      <c r="C221" t="s">
        <v>2197</v>
      </c>
      <c r="F221" t="s">
        <v>2198</v>
      </c>
      <c r="H221" t="s">
        <v>106</v>
      </c>
    </row>
    <row r="222" spans="1:8">
      <c r="A222">
        <v>221</v>
      </c>
      <c r="C222" t="s">
        <v>2197</v>
      </c>
      <c r="F222" t="s">
        <v>2198</v>
      </c>
      <c r="H222" t="s">
        <v>106</v>
      </c>
    </row>
    <row r="223" spans="1:8">
      <c r="A223">
        <v>222</v>
      </c>
      <c r="C223" t="s">
        <v>2197</v>
      </c>
      <c r="F223" t="s">
        <v>2198</v>
      </c>
      <c r="H223" t="s">
        <v>106</v>
      </c>
    </row>
    <row r="224" spans="1:8">
      <c r="A224">
        <v>223</v>
      </c>
      <c r="C224" t="s">
        <v>2197</v>
      </c>
      <c r="F224" t="s">
        <v>2198</v>
      </c>
      <c r="H224" t="s">
        <v>106</v>
      </c>
    </row>
    <row r="225" spans="1:8">
      <c r="A225">
        <v>224</v>
      </c>
      <c r="C225" t="s">
        <v>2197</v>
      </c>
      <c r="F225" t="s">
        <v>2198</v>
      </c>
      <c r="H225" t="s">
        <v>106</v>
      </c>
    </row>
    <row r="226" spans="1:8">
      <c r="A226">
        <v>225</v>
      </c>
      <c r="C226" t="s">
        <v>2197</v>
      </c>
      <c r="F226" t="s">
        <v>2198</v>
      </c>
      <c r="H226" t="s">
        <v>106</v>
      </c>
    </row>
    <row r="227" spans="1:8">
      <c r="A227">
        <v>226</v>
      </c>
      <c r="C227" t="s">
        <v>2197</v>
      </c>
      <c r="F227" t="s">
        <v>2198</v>
      </c>
      <c r="H227" t="s">
        <v>106</v>
      </c>
    </row>
    <row r="228" spans="1:8">
      <c r="A228">
        <v>227</v>
      </c>
      <c r="C228" t="s">
        <v>2197</v>
      </c>
      <c r="F228" t="s">
        <v>2198</v>
      </c>
      <c r="H228" t="s">
        <v>106</v>
      </c>
    </row>
    <row r="229" spans="1:8">
      <c r="A229">
        <v>228</v>
      </c>
      <c r="C229" t="s">
        <v>2197</v>
      </c>
      <c r="F229" t="s">
        <v>2198</v>
      </c>
      <c r="H229" t="s">
        <v>106</v>
      </c>
    </row>
    <row r="230" spans="1:8">
      <c r="A230">
        <v>229</v>
      </c>
      <c r="C230" t="s">
        <v>2197</v>
      </c>
      <c r="F230" t="s">
        <v>2198</v>
      </c>
      <c r="H230" t="s">
        <v>106</v>
      </c>
    </row>
    <row r="231" spans="1:8">
      <c r="A231">
        <v>230</v>
      </c>
      <c r="C231" t="s">
        <v>2197</v>
      </c>
      <c r="F231" t="s">
        <v>2198</v>
      </c>
      <c r="H231" t="s">
        <v>106</v>
      </c>
    </row>
    <row r="232" spans="1:8">
      <c r="A232">
        <v>231</v>
      </c>
      <c r="C232" t="s">
        <v>2197</v>
      </c>
      <c r="F232" t="s">
        <v>2198</v>
      </c>
      <c r="H232" t="s">
        <v>106</v>
      </c>
    </row>
    <row r="233" spans="1:8">
      <c r="A233">
        <v>232</v>
      </c>
      <c r="C233" t="s">
        <v>2197</v>
      </c>
      <c r="F233" t="s">
        <v>2198</v>
      </c>
      <c r="H233" t="s">
        <v>106</v>
      </c>
    </row>
    <row r="234" spans="1:8">
      <c r="A234">
        <v>233</v>
      </c>
      <c r="C234" t="s">
        <v>2197</v>
      </c>
      <c r="F234" t="s">
        <v>2198</v>
      </c>
      <c r="H234" t="s">
        <v>106</v>
      </c>
    </row>
    <row r="235" spans="1:8">
      <c r="A235">
        <v>234</v>
      </c>
      <c r="C235" t="s">
        <v>2197</v>
      </c>
      <c r="F235" t="s">
        <v>2198</v>
      </c>
      <c r="H235" t="s">
        <v>106</v>
      </c>
    </row>
    <row r="236" spans="1:8">
      <c r="A236">
        <v>235</v>
      </c>
      <c r="C236" t="s">
        <v>2197</v>
      </c>
      <c r="F236" t="s">
        <v>2198</v>
      </c>
      <c r="H236" t="s">
        <v>106</v>
      </c>
    </row>
    <row r="237" spans="1:8">
      <c r="A237">
        <v>236</v>
      </c>
      <c r="C237" t="s">
        <v>2197</v>
      </c>
      <c r="F237" t="s">
        <v>2198</v>
      </c>
      <c r="H237" t="s">
        <v>106</v>
      </c>
    </row>
    <row r="238" spans="1:8">
      <c r="A238">
        <v>237</v>
      </c>
      <c r="C238" t="s">
        <v>2197</v>
      </c>
      <c r="F238" t="s">
        <v>2198</v>
      </c>
      <c r="H238" t="s">
        <v>106</v>
      </c>
    </row>
    <row r="239" spans="1:8">
      <c r="A239">
        <v>238</v>
      </c>
      <c r="C239" t="s">
        <v>2197</v>
      </c>
      <c r="F239" t="s">
        <v>2198</v>
      </c>
      <c r="H239" t="s">
        <v>106</v>
      </c>
    </row>
    <row r="240" spans="1:8">
      <c r="A240">
        <v>239</v>
      </c>
      <c r="C240" t="s">
        <v>2197</v>
      </c>
      <c r="F240" t="s">
        <v>2198</v>
      </c>
      <c r="H240" t="s">
        <v>106</v>
      </c>
    </row>
    <row r="241" spans="1:8">
      <c r="A241">
        <v>240</v>
      </c>
      <c r="C241" t="s">
        <v>2197</v>
      </c>
      <c r="F241" t="s">
        <v>2198</v>
      </c>
      <c r="H241" t="s">
        <v>106</v>
      </c>
    </row>
    <row r="242" spans="1:8">
      <c r="A242">
        <v>241</v>
      </c>
      <c r="C242" t="s">
        <v>2197</v>
      </c>
      <c r="F242" t="s">
        <v>2198</v>
      </c>
      <c r="H242" t="s">
        <v>106</v>
      </c>
    </row>
    <row r="243" spans="1:8">
      <c r="A243">
        <v>242</v>
      </c>
      <c r="C243" t="s">
        <v>2197</v>
      </c>
      <c r="F243" t="s">
        <v>2198</v>
      </c>
      <c r="H243" t="s">
        <v>106</v>
      </c>
    </row>
    <row r="244" spans="1:8">
      <c r="A244">
        <v>243</v>
      </c>
      <c r="C244" t="s">
        <v>2197</v>
      </c>
      <c r="F244" t="s">
        <v>2198</v>
      </c>
      <c r="H244" t="s">
        <v>106</v>
      </c>
    </row>
    <row r="245" spans="1:8">
      <c r="A245">
        <v>244</v>
      </c>
      <c r="C245" t="s">
        <v>2197</v>
      </c>
      <c r="F245" t="s">
        <v>2198</v>
      </c>
      <c r="H245" t="s">
        <v>106</v>
      </c>
    </row>
    <row r="246" spans="1:8">
      <c r="A246">
        <v>245</v>
      </c>
      <c r="C246" t="s">
        <v>2197</v>
      </c>
      <c r="F246" t="s">
        <v>2198</v>
      </c>
      <c r="H246" t="s">
        <v>106</v>
      </c>
    </row>
    <row r="247" spans="1:8">
      <c r="A247">
        <v>246</v>
      </c>
      <c r="C247" t="s">
        <v>2197</v>
      </c>
      <c r="F247" t="s">
        <v>2198</v>
      </c>
      <c r="H247" t="s">
        <v>106</v>
      </c>
    </row>
    <row r="248" spans="1:8">
      <c r="A248">
        <v>247</v>
      </c>
      <c r="C248" t="s">
        <v>2197</v>
      </c>
      <c r="F248" t="s">
        <v>2198</v>
      </c>
      <c r="H248" t="s">
        <v>106</v>
      </c>
    </row>
    <row r="249" spans="1:8">
      <c r="A249">
        <v>248</v>
      </c>
      <c r="C249" t="s">
        <v>2197</v>
      </c>
      <c r="F249" t="s">
        <v>2198</v>
      </c>
      <c r="H249" t="s">
        <v>106</v>
      </c>
    </row>
    <row r="250" spans="1:8">
      <c r="A250">
        <v>249</v>
      </c>
      <c r="C250" t="s">
        <v>2197</v>
      </c>
      <c r="F250" t="s">
        <v>2198</v>
      </c>
      <c r="H250" t="s">
        <v>106</v>
      </c>
    </row>
    <row r="251" spans="1:8">
      <c r="A251">
        <v>250</v>
      </c>
      <c r="C251" t="s">
        <v>2197</v>
      </c>
      <c r="F251" t="s">
        <v>2198</v>
      </c>
      <c r="H251" t="s">
        <v>106</v>
      </c>
    </row>
    <row r="252" spans="1:8">
      <c r="A252">
        <v>251</v>
      </c>
      <c r="C252" t="s">
        <v>2197</v>
      </c>
      <c r="F252" t="s">
        <v>2198</v>
      </c>
      <c r="H252" t="s">
        <v>106</v>
      </c>
    </row>
    <row r="253" spans="1:8">
      <c r="A253">
        <v>252</v>
      </c>
      <c r="C253" t="s">
        <v>2197</v>
      </c>
      <c r="F253" t="s">
        <v>2198</v>
      </c>
      <c r="H253" t="s">
        <v>106</v>
      </c>
    </row>
    <row r="254" spans="1:8">
      <c r="A254">
        <v>253</v>
      </c>
      <c r="C254" t="s">
        <v>2197</v>
      </c>
      <c r="F254" t="s">
        <v>2198</v>
      </c>
      <c r="H254" t="s">
        <v>106</v>
      </c>
    </row>
    <row r="255" spans="1:8">
      <c r="A255">
        <v>254</v>
      </c>
      <c r="C255" t="s">
        <v>2197</v>
      </c>
      <c r="F255" t="s">
        <v>2198</v>
      </c>
      <c r="H255" t="s">
        <v>106</v>
      </c>
    </row>
    <row r="256" spans="1:8">
      <c r="A256">
        <v>255</v>
      </c>
      <c r="C256" t="s">
        <v>2197</v>
      </c>
      <c r="F256" t="s">
        <v>2198</v>
      </c>
      <c r="H256" t="s">
        <v>106</v>
      </c>
    </row>
    <row r="257" spans="1:8">
      <c r="A257">
        <v>256</v>
      </c>
      <c r="C257" t="s">
        <v>2197</v>
      </c>
      <c r="F257" t="s">
        <v>2198</v>
      </c>
      <c r="H257" t="s">
        <v>106</v>
      </c>
    </row>
    <row r="258" spans="1:8">
      <c r="A258">
        <v>257</v>
      </c>
      <c r="C258" t="s">
        <v>2197</v>
      </c>
      <c r="F258" t="s">
        <v>2198</v>
      </c>
      <c r="H258" t="s">
        <v>106</v>
      </c>
    </row>
    <row r="259" spans="1:8">
      <c r="A259">
        <v>258</v>
      </c>
      <c r="C259" t="s">
        <v>2197</v>
      </c>
      <c r="F259" t="s">
        <v>2198</v>
      </c>
      <c r="H259" t="s">
        <v>106</v>
      </c>
    </row>
    <row r="260" spans="1:8">
      <c r="A260">
        <v>259</v>
      </c>
      <c r="C260" t="s">
        <v>2197</v>
      </c>
      <c r="F260" t="s">
        <v>2198</v>
      </c>
      <c r="H260" t="s">
        <v>106</v>
      </c>
    </row>
    <row r="261" spans="1:8">
      <c r="A261">
        <v>260</v>
      </c>
      <c r="C261" t="s">
        <v>2197</v>
      </c>
      <c r="F261" t="s">
        <v>2198</v>
      </c>
      <c r="H261" t="s">
        <v>106</v>
      </c>
    </row>
    <row r="262" spans="1:8">
      <c r="A262">
        <v>261</v>
      </c>
      <c r="C262" t="s">
        <v>2197</v>
      </c>
      <c r="F262" t="s">
        <v>2198</v>
      </c>
      <c r="H262" t="s">
        <v>106</v>
      </c>
    </row>
    <row r="263" spans="1:8">
      <c r="A263">
        <v>262</v>
      </c>
      <c r="C263" t="s">
        <v>2197</v>
      </c>
      <c r="F263" t="s">
        <v>2198</v>
      </c>
      <c r="H263" t="s">
        <v>106</v>
      </c>
    </row>
    <row r="264" spans="1:8">
      <c r="A264">
        <v>263</v>
      </c>
      <c r="C264" t="s">
        <v>2197</v>
      </c>
      <c r="F264" t="s">
        <v>2198</v>
      </c>
      <c r="H264" t="s">
        <v>106</v>
      </c>
    </row>
    <row r="265" spans="1:8">
      <c r="A265">
        <v>264</v>
      </c>
      <c r="C265" t="s">
        <v>2197</v>
      </c>
      <c r="F265" t="s">
        <v>2198</v>
      </c>
      <c r="H265" t="s">
        <v>106</v>
      </c>
    </row>
    <row r="266" spans="1:8">
      <c r="A266">
        <v>265</v>
      </c>
      <c r="C266" t="s">
        <v>2197</v>
      </c>
      <c r="F266" t="s">
        <v>2198</v>
      </c>
      <c r="H266" t="s">
        <v>106</v>
      </c>
    </row>
    <row r="267" spans="1:8">
      <c r="A267">
        <v>266</v>
      </c>
      <c r="C267" t="s">
        <v>2197</v>
      </c>
      <c r="F267" t="s">
        <v>2198</v>
      </c>
      <c r="H267" t="s">
        <v>106</v>
      </c>
    </row>
    <row r="268" spans="1:8">
      <c r="A268">
        <v>267</v>
      </c>
      <c r="C268" t="s">
        <v>2197</v>
      </c>
      <c r="F268" t="s">
        <v>2198</v>
      </c>
      <c r="H268" t="s">
        <v>106</v>
      </c>
    </row>
    <row r="269" spans="1:8">
      <c r="A269">
        <v>268</v>
      </c>
      <c r="C269" t="s">
        <v>2197</v>
      </c>
      <c r="F269" t="s">
        <v>2198</v>
      </c>
      <c r="H269" t="s">
        <v>106</v>
      </c>
    </row>
    <row r="270" spans="1:8">
      <c r="A270">
        <v>269</v>
      </c>
      <c r="C270" t="s">
        <v>2197</v>
      </c>
      <c r="F270" t="s">
        <v>2198</v>
      </c>
      <c r="H270" t="s">
        <v>106</v>
      </c>
    </row>
    <row r="271" spans="1:8">
      <c r="A271">
        <v>270</v>
      </c>
      <c r="C271" t="s">
        <v>2197</v>
      </c>
      <c r="F271" t="s">
        <v>2198</v>
      </c>
      <c r="H271" t="s">
        <v>106</v>
      </c>
    </row>
    <row r="272" spans="1:8">
      <c r="A272">
        <v>271</v>
      </c>
      <c r="C272" t="s">
        <v>2197</v>
      </c>
      <c r="F272" t="s">
        <v>2198</v>
      </c>
      <c r="H272" t="s">
        <v>106</v>
      </c>
    </row>
    <row r="273" spans="1:8">
      <c r="A273">
        <v>272</v>
      </c>
      <c r="C273" t="s">
        <v>2197</v>
      </c>
      <c r="F273" t="s">
        <v>2198</v>
      </c>
      <c r="H273" t="s">
        <v>106</v>
      </c>
    </row>
    <row r="274" spans="1:8">
      <c r="A274">
        <v>273</v>
      </c>
      <c r="C274" t="s">
        <v>2197</v>
      </c>
      <c r="F274" t="s">
        <v>2198</v>
      </c>
      <c r="H274" t="s">
        <v>106</v>
      </c>
    </row>
    <row r="275" spans="1:8">
      <c r="A275">
        <v>274</v>
      </c>
      <c r="C275" t="s">
        <v>2197</v>
      </c>
      <c r="F275" t="s">
        <v>2198</v>
      </c>
      <c r="H275" t="s">
        <v>106</v>
      </c>
    </row>
    <row r="276" spans="1:8">
      <c r="A276">
        <v>275</v>
      </c>
      <c r="C276" t="s">
        <v>2197</v>
      </c>
      <c r="F276" t="s">
        <v>2198</v>
      </c>
      <c r="H276" t="s">
        <v>106</v>
      </c>
    </row>
    <row r="277" spans="1:8">
      <c r="A277">
        <v>276</v>
      </c>
      <c r="C277" t="s">
        <v>2197</v>
      </c>
      <c r="F277" t="s">
        <v>2198</v>
      </c>
      <c r="H277" t="s">
        <v>106</v>
      </c>
    </row>
    <row r="278" spans="1:8">
      <c r="A278">
        <v>277</v>
      </c>
      <c r="C278" t="s">
        <v>2197</v>
      </c>
      <c r="F278" t="s">
        <v>2198</v>
      </c>
      <c r="H278" t="s">
        <v>106</v>
      </c>
    </row>
    <row r="279" spans="1:8">
      <c r="A279">
        <v>278</v>
      </c>
      <c r="C279" t="s">
        <v>2197</v>
      </c>
      <c r="F279" t="s">
        <v>2198</v>
      </c>
      <c r="H279" t="s">
        <v>106</v>
      </c>
    </row>
    <row r="280" spans="1:8">
      <c r="A280">
        <v>279</v>
      </c>
      <c r="C280" t="s">
        <v>2197</v>
      </c>
      <c r="F280" t="s">
        <v>2198</v>
      </c>
      <c r="H280" t="s">
        <v>106</v>
      </c>
    </row>
    <row r="281" spans="1:8">
      <c r="A281">
        <v>280</v>
      </c>
      <c r="C281" t="s">
        <v>2197</v>
      </c>
      <c r="F281" t="s">
        <v>2198</v>
      </c>
      <c r="H281" t="s">
        <v>106</v>
      </c>
    </row>
    <row r="282" spans="1:8">
      <c r="A282">
        <v>281</v>
      </c>
      <c r="C282" t="s">
        <v>2197</v>
      </c>
      <c r="F282" t="s">
        <v>2198</v>
      </c>
      <c r="H282" t="s">
        <v>106</v>
      </c>
    </row>
    <row r="283" spans="1:8">
      <c r="A283">
        <v>282</v>
      </c>
      <c r="C283" t="s">
        <v>2197</v>
      </c>
      <c r="F283" t="s">
        <v>2198</v>
      </c>
      <c r="H283" t="s">
        <v>106</v>
      </c>
    </row>
    <row r="284" spans="1:8">
      <c r="A284">
        <v>283</v>
      </c>
      <c r="C284" t="s">
        <v>2197</v>
      </c>
      <c r="F284" t="s">
        <v>2198</v>
      </c>
      <c r="H284" t="s">
        <v>106</v>
      </c>
    </row>
    <row r="285" spans="1:8">
      <c r="A285">
        <v>284</v>
      </c>
      <c r="C285" t="s">
        <v>2197</v>
      </c>
      <c r="F285" t="s">
        <v>2198</v>
      </c>
      <c r="H285" t="s">
        <v>106</v>
      </c>
    </row>
    <row r="286" spans="1:8">
      <c r="A286">
        <v>285</v>
      </c>
      <c r="C286" t="s">
        <v>2197</v>
      </c>
      <c r="F286" t="s">
        <v>2198</v>
      </c>
      <c r="H286" t="s">
        <v>106</v>
      </c>
    </row>
    <row r="287" spans="1:8">
      <c r="A287">
        <v>286</v>
      </c>
      <c r="C287" t="s">
        <v>2197</v>
      </c>
      <c r="F287" t="s">
        <v>2198</v>
      </c>
      <c r="H287" t="s">
        <v>106</v>
      </c>
    </row>
    <row r="288" spans="1:8">
      <c r="A288">
        <v>287</v>
      </c>
      <c r="C288" t="s">
        <v>2197</v>
      </c>
      <c r="F288" t="s">
        <v>2198</v>
      </c>
      <c r="H288" t="s">
        <v>106</v>
      </c>
    </row>
    <row r="289" spans="1:8">
      <c r="A289">
        <v>288</v>
      </c>
      <c r="C289" t="s">
        <v>2197</v>
      </c>
      <c r="F289" t="s">
        <v>2198</v>
      </c>
      <c r="H289" t="s">
        <v>106</v>
      </c>
    </row>
    <row r="290" spans="1:8">
      <c r="A290">
        <v>289</v>
      </c>
      <c r="C290" t="s">
        <v>2197</v>
      </c>
      <c r="F290" t="s">
        <v>2198</v>
      </c>
      <c r="H290" t="s">
        <v>106</v>
      </c>
    </row>
    <row r="291" spans="1:8">
      <c r="A291">
        <v>290</v>
      </c>
      <c r="C291" t="s">
        <v>2197</v>
      </c>
      <c r="F291" t="s">
        <v>2198</v>
      </c>
      <c r="H291" t="s">
        <v>106</v>
      </c>
    </row>
    <row r="292" spans="1:8">
      <c r="A292">
        <v>291</v>
      </c>
      <c r="C292" t="s">
        <v>2197</v>
      </c>
      <c r="F292" t="s">
        <v>2198</v>
      </c>
      <c r="H292" t="s">
        <v>106</v>
      </c>
    </row>
    <row r="293" spans="1:8">
      <c r="A293">
        <v>292</v>
      </c>
      <c r="C293" t="s">
        <v>2197</v>
      </c>
      <c r="F293" t="s">
        <v>2198</v>
      </c>
      <c r="H293" t="s">
        <v>106</v>
      </c>
    </row>
    <row r="294" spans="1:8">
      <c r="A294">
        <v>293</v>
      </c>
      <c r="C294" t="s">
        <v>2197</v>
      </c>
      <c r="F294" t="s">
        <v>2198</v>
      </c>
      <c r="H294" t="s">
        <v>106</v>
      </c>
    </row>
    <row r="295" spans="1:8">
      <c r="A295">
        <v>294</v>
      </c>
      <c r="C295" t="s">
        <v>2197</v>
      </c>
      <c r="F295" t="s">
        <v>2198</v>
      </c>
      <c r="H295" t="s">
        <v>106</v>
      </c>
    </row>
    <row r="296" spans="1:8">
      <c r="A296">
        <v>295</v>
      </c>
      <c r="C296" t="s">
        <v>2197</v>
      </c>
      <c r="F296" t="s">
        <v>2198</v>
      </c>
      <c r="H296" t="s">
        <v>106</v>
      </c>
    </row>
    <row r="297" spans="1:8">
      <c r="A297">
        <v>296</v>
      </c>
      <c r="C297" t="s">
        <v>2197</v>
      </c>
      <c r="F297" t="s">
        <v>2198</v>
      </c>
      <c r="H297" t="s">
        <v>106</v>
      </c>
    </row>
    <row r="298" spans="1:8">
      <c r="A298">
        <v>297</v>
      </c>
      <c r="C298" t="s">
        <v>2197</v>
      </c>
      <c r="F298" t="s">
        <v>2198</v>
      </c>
      <c r="H298" t="s">
        <v>106</v>
      </c>
    </row>
    <row r="299" spans="1:8">
      <c r="A299">
        <v>298</v>
      </c>
      <c r="C299" t="s">
        <v>2197</v>
      </c>
      <c r="F299" t="s">
        <v>2198</v>
      </c>
      <c r="H299" t="s">
        <v>106</v>
      </c>
    </row>
    <row r="300" spans="1:8">
      <c r="A300">
        <v>299</v>
      </c>
      <c r="C300" t="s">
        <v>2197</v>
      </c>
      <c r="F300" t="s">
        <v>2198</v>
      </c>
      <c r="H300" t="s">
        <v>106</v>
      </c>
    </row>
    <row r="301" spans="1:8">
      <c r="A301">
        <v>300</v>
      </c>
      <c r="C301" t="s">
        <v>2197</v>
      </c>
      <c r="F301" t="s">
        <v>2198</v>
      </c>
      <c r="H301" t="s">
        <v>106</v>
      </c>
    </row>
    <row r="302" spans="1:8">
      <c r="A302">
        <v>301</v>
      </c>
      <c r="C302" t="s">
        <v>2197</v>
      </c>
      <c r="F302" t="s">
        <v>2198</v>
      </c>
      <c r="H302" t="s">
        <v>106</v>
      </c>
    </row>
    <row r="303" spans="1:8">
      <c r="A303">
        <v>302</v>
      </c>
      <c r="C303" t="s">
        <v>2197</v>
      </c>
      <c r="F303" t="s">
        <v>2198</v>
      </c>
      <c r="H303" t="s">
        <v>106</v>
      </c>
    </row>
    <row r="304" spans="1:8">
      <c r="A304">
        <v>303</v>
      </c>
      <c r="C304" t="s">
        <v>2197</v>
      </c>
      <c r="F304" t="s">
        <v>2198</v>
      </c>
      <c r="H304" t="s">
        <v>106</v>
      </c>
    </row>
    <row r="305" spans="1:8">
      <c r="A305">
        <v>304</v>
      </c>
      <c r="C305" t="s">
        <v>2197</v>
      </c>
      <c r="F305" t="s">
        <v>2198</v>
      </c>
      <c r="H305" t="s">
        <v>106</v>
      </c>
    </row>
    <row r="306" spans="1:8">
      <c r="A306">
        <v>305</v>
      </c>
      <c r="C306" t="s">
        <v>2197</v>
      </c>
      <c r="F306" t="s">
        <v>2198</v>
      </c>
      <c r="H306" t="s">
        <v>106</v>
      </c>
    </row>
    <row r="307" spans="1:8">
      <c r="A307">
        <v>306</v>
      </c>
      <c r="C307" t="s">
        <v>2197</v>
      </c>
      <c r="F307" t="s">
        <v>2198</v>
      </c>
      <c r="H307" t="s">
        <v>106</v>
      </c>
    </row>
    <row r="308" spans="1:8">
      <c r="A308">
        <v>307</v>
      </c>
      <c r="C308" t="s">
        <v>2197</v>
      </c>
      <c r="F308" t="s">
        <v>2198</v>
      </c>
      <c r="H308" t="s">
        <v>106</v>
      </c>
    </row>
    <row r="309" spans="1:8">
      <c r="A309">
        <v>308</v>
      </c>
      <c r="C309" t="s">
        <v>2197</v>
      </c>
      <c r="F309" t="s">
        <v>2198</v>
      </c>
      <c r="H309" t="s">
        <v>106</v>
      </c>
    </row>
    <row r="310" spans="1:8">
      <c r="A310">
        <v>309</v>
      </c>
      <c r="C310" t="s">
        <v>2197</v>
      </c>
      <c r="F310" t="s">
        <v>2198</v>
      </c>
      <c r="H310" t="s">
        <v>106</v>
      </c>
    </row>
    <row r="311" spans="1:8">
      <c r="A311">
        <v>310</v>
      </c>
      <c r="C311" t="s">
        <v>2197</v>
      </c>
      <c r="F311" t="s">
        <v>2198</v>
      </c>
      <c r="H311" t="s">
        <v>106</v>
      </c>
    </row>
    <row r="312" spans="1:8">
      <c r="A312">
        <v>311</v>
      </c>
      <c r="C312" t="s">
        <v>2197</v>
      </c>
      <c r="F312" t="s">
        <v>2198</v>
      </c>
      <c r="H312" t="s">
        <v>106</v>
      </c>
    </row>
    <row r="313" spans="1:8">
      <c r="A313">
        <v>312</v>
      </c>
      <c r="C313" t="s">
        <v>2197</v>
      </c>
      <c r="F313" t="s">
        <v>2198</v>
      </c>
      <c r="H313" t="s">
        <v>106</v>
      </c>
    </row>
    <row r="314" spans="1:8">
      <c r="A314">
        <v>313</v>
      </c>
      <c r="C314" t="s">
        <v>2197</v>
      </c>
      <c r="F314" t="s">
        <v>2198</v>
      </c>
      <c r="H314" t="s">
        <v>106</v>
      </c>
    </row>
    <row r="315" spans="1:8">
      <c r="A315">
        <v>314</v>
      </c>
      <c r="C315" t="s">
        <v>2197</v>
      </c>
      <c r="F315" t="s">
        <v>2198</v>
      </c>
      <c r="H315" t="s">
        <v>106</v>
      </c>
    </row>
    <row r="316" spans="1:8">
      <c r="A316">
        <v>315</v>
      </c>
      <c r="C316" t="s">
        <v>2197</v>
      </c>
      <c r="F316" t="s">
        <v>2198</v>
      </c>
      <c r="H316" t="s">
        <v>106</v>
      </c>
    </row>
    <row r="317" spans="1:8">
      <c r="A317">
        <v>316</v>
      </c>
      <c r="C317" t="s">
        <v>2197</v>
      </c>
      <c r="F317" t="s">
        <v>2198</v>
      </c>
      <c r="H317" t="s">
        <v>106</v>
      </c>
    </row>
    <row r="318" spans="1:8">
      <c r="A318">
        <v>317</v>
      </c>
      <c r="C318" t="s">
        <v>2197</v>
      </c>
      <c r="F318" t="s">
        <v>2198</v>
      </c>
      <c r="H318" t="s">
        <v>106</v>
      </c>
    </row>
    <row r="319" spans="1:8">
      <c r="A319">
        <v>318</v>
      </c>
      <c r="C319" t="s">
        <v>2197</v>
      </c>
      <c r="F319" t="s">
        <v>2198</v>
      </c>
      <c r="H319" t="s">
        <v>106</v>
      </c>
    </row>
    <row r="320" spans="1:8">
      <c r="A320">
        <v>319</v>
      </c>
      <c r="C320" t="s">
        <v>2197</v>
      </c>
      <c r="F320" t="s">
        <v>2198</v>
      </c>
      <c r="H320" t="s">
        <v>106</v>
      </c>
    </row>
    <row r="321" spans="1:8">
      <c r="A321">
        <v>320</v>
      </c>
      <c r="C321" t="s">
        <v>2197</v>
      </c>
      <c r="F321" t="s">
        <v>2198</v>
      </c>
      <c r="H321" t="s">
        <v>106</v>
      </c>
    </row>
    <row r="322" spans="1:8">
      <c r="A322">
        <v>321</v>
      </c>
      <c r="C322" t="s">
        <v>2197</v>
      </c>
      <c r="F322" t="s">
        <v>2198</v>
      </c>
      <c r="H322" t="s">
        <v>106</v>
      </c>
    </row>
    <row r="323" spans="1:8">
      <c r="A323">
        <v>322</v>
      </c>
      <c r="C323" t="s">
        <v>2197</v>
      </c>
      <c r="F323" t="s">
        <v>2198</v>
      </c>
      <c r="H323" t="s">
        <v>106</v>
      </c>
    </row>
    <row r="324" spans="1:8">
      <c r="A324">
        <v>323</v>
      </c>
      <c r="C324" t="s">
        <v>2197</v>
      </c>
      <c r="F324" t="s">
        <v>2198</v>
      </c>
      <c r="H324" t="s">
        <v>106</v>
      </c>
    </row>
    <row r="325" spans="1:8">
      <c r="A325">
        <v>324</v>
      </c>
      <c r="C325" t="s">
        <v>2197</v>
      </c>
      <c r="F325" t="s">
        <v>2198</v>
      </c>
      <c r="H325" t="s">
        <v>106</v>
      </c>
    </row>
    <row r="326" spans="1:8">
      <c r="A326">
        <v>325</v>
      </c>
      <c r="C326" t="s">
        <v>2197</v>
      </c>
      <c r="F326" t="s">
        <v>2198</v>
      </c>
      <c r="H326" t="s">
        <v>106</v>
      </c>
    </row>
    <row r="327" spans="1:8">
      <c r="A327">
        <v>326</v>
      </c>
      <c r="C327" t="s">
        <v>2197</v>
      </c>
      <c r="F327" t="s">
        <v>2198</v>
      </c>
      <c r="H327" t="s">
        <v>106</v>
      </c>
    </row>
    <row r="328" spans="1:8">
      <c r="A328">
        <v>327</v>
      </c>
      <c r="C328" t="s">
        <v>2197</v>
      </c>
      <c r="F328" t="s">
        <v>2198</v>
      </c>
      <c r="H328" t="s">
        <v>106</v>
      </c>
    </row>
    <row r="329" spans="1:8">
      <c r="A329">
        <v>328</v>
      </c>
      <c r="C329" t="s">
        <v>2197</v>
      </c>
      <c r="F329" t="s">
        <v>2198</v>
      </c>
      <c r="H329" t="s">
        <v>106</v>
      </c>
    </row>
    <row r="330" spans="1:8">
      <c r="A330">
        <v>329</v>
      </c>
      <c r="C330" t="s">
        <v>2197</v>
      </c>
      <c r="F330" t="s">
        <v>2198</v>
      </c>
      <c r="H330" t="s">
        <v>106</v>
      </c>
    </row>
    <row r="331" spans="1:8">
      <c r="A331">
        <v>330</v>
      </c>
      <c r="C331" t="s">
        <v>2197</v>
      </c>
      <c r="F331" t="s">
        <v>2198</v>
      </c>
      <c r="H331" t="s">
        <v>106</v>
      </c>
    </row>
    <row r="332" spans="1:8">
      <c r="A332">
        <v>331</v>
      </c>
      <c r="C332" t="s">
        <v>2197</v>
      </c>
      <c r="F332" t="s">
        <v>2198</v>
      </c>
      <c r="H332" t="s">
        <v>106</v>
      </c>
    </row>
    <row r="333" spans="1:8">
      <c r="A333">
        <v>332</v>
      </c>
      <c r="C333" t="s">
        <v>2197</v>
      </c>
      <c r="F333" t="s">
        <v>2198</v>
      </c>
      <c r="H333" t="s">
        <v>106</v>
      </c>
    </row>
    <row r="334" spans="1:8">
      <c r="A334">
        <v>333</v>
      </c>
      <c r="C334" t="s">
        <v>2197</v>
      </c>
      <c r="F334" t="s">
        <v>2198</v>
      </c>
      <c r="H334" t="s">
        <v>106</v>
      </c>
    </row>
    <row r="335" spans="1:8">
      <c r="A335">
        <v>334</v>
      </c>
      <c r="C335" t="s">
        <v>2197</v>
      </c>
      <c r="F335" t="s">
        <v>2198</v>
      </c>
      <c r="H335" t="s">
        <v>106</v>
      </c>
    </row>
    <row r="336" spans="1:8">
      <c r="A336">
        <v>335</v>
      </c>
      <c r="C336" t="s">
        <v>2197</v>
      </c>
      <c r="F336" t="s">
        <v>2198</v>
      </c>
      <c r="H336" t="s">
        <v>106</v>
      </c>
    </row>
    <row r="337" spans="1:8">
      <c r="A337">
        <v>336</v>
      </c>
      <c r="C337" t="s">
        <v>2197</v>
      </c>
      <c r="F337" t="s">
        <v>2198</v>
      </c>
      <c r="H337" t="s">
        <v>106</v>
      </c>
    </row>
    <row r="338" spans="1:8">
      <c r="A338">
        <v>337</v>
      </c>
      <c r="C338" t="s">
        <v>2197</v>
      </c>
      <c r="F338" t="s">
        <v>2198</v>
      </c>
      <c r="H338" t="s">
        <v>106</v>
      </c>
    </row>
    <row r="339" spans="1:8">
      <c r="A339">
        <v>338</v>
      </c>
      <c r="C339" t="s">
        <v>2197</v>
      </c>
      <c r="F339" t="s">
        <v>2198</v>
      </c>
      <c r="H339" t="s">
        <v>106</v>
      </c>
    </row>
    <row r="340" spans="1:8">
      <c r="A340">
        <v>339</v>
      </c>
      <c r="C340" t="s">
        <v>2197</v>
      </c>
      <c r="F340" t="s">
        <v>2198</v>
      </c>
      <c r="H340" t="s">
        <v>106</v>
      </c>
    </row>
    <row r="341" spans="1:8">
      <c r="A341">
        <v>340</v>
      </c>
      <c r="C341" t="s">
        <v>2197</v>
      </c>
      <c r="F341" t="s">
        <v>2198</v>
      </c>
      <c r="H341" t="s">
        <v>106</v>
      </c>
    </row>
    <row r="342" spans="1:8">
      <c r="A342">
        <v>341</v>
      </c>
      <c r="C342" t="s">
        <v>2197</v>
      </c>
      <c r="F342" t="s">
        <v>2198</v>
      </c>
      <c r="H342" t="s">
        <v>106</v>
      </c>
    </row>
    <row r="343" spans="1:8">
      <c r="A343">
        <v>342</v>
      </c>
      <c r="C343" t="s">
        <v>2197</v>
      </c>
      <c r="F343" t="s">
        <v>2198</v>
      </c>
      <c r="H343" t="s">
        <v>106</v>
      </c>
    </row>
    <row r="344" spans="1:8">
      <c r="A344">
        <v>343</v>
      </c>
      <c r="C344" t="s">
        <v>2197</v>
      </c>
      <c r="F344" t="s">
        <v>2198</v>
      </c>
      <c r="H344" t="s">
        <v>106</v>
      </c>
    </row>
    <row r="345" spans="1:8">
      <c r="A345">
        <v>344</v>
      </c>
      <c r="C345" t="s">
        <v>2197</v>
      </c>
      <c r="F345" t="s">
        <v>2198</v>
      </c>
      <c r="H345" t="s">
        <v>106</v>
      </c>
    </row>
    <row r="346" spans="1:8">
      <c r="A346">
        <v>345</v>
      </c>
      <c r="C346" t="s">
        <v>2197</v>
      </c>
      <c r="F346" t="s">
        <v>2198</v>
      </c>
      <c r="H346" t="s">
        <v>106</v>
      </c>
    </row>
    <row r="347" spans="1:8">
      <c r="A347">
        <v>346</v>
      </c>
      <c r="C347" t="s">
        <v>2197</v>
      </c>
      <c r="F347" t="s">
        <v>2198</v>
      </c>
      <c r="H347" t="s">
        <v>106</v>
      </c>
    </row>
    <row r="348" spans="1:8">
      <c r="A348">
        <v>347</v>
      </c>
      <c r="C348" t="s">
        <v>2197</v>
      </c>
      <c r="F348" t="s">
        <v>2198</v>
      </c>
      <c r="H348" t="s">
        <v>106</v>
      </c>
    </row>
    <row r="349" spans="1:8">
      <c r="A349">
        <v>348</v>
      </c>
      <c r="C349" t="s">
        <v>2197</v>
      </c>
      <c r="F349" t="s">
        <v>2198</v>
      </c>
      <c r="H349" t="s">
        <v>106</v>
      </c>
    </row>
    <row r="350" spans="1:8">
      <c r="A350">
        <v>349</v>
      </c>
      <c r="C350" t="s">
        <v>2197</v>
      </c>
      <c r="F350" t="s">
        <v>2198</v>
      </c>
      <c r="H350" t="s">
        <v>106</v>
      </c>
    </row>
    <row r="351" spans="1:8">
      <c r="A351">
        <v>350</v>
      </c>
      <c r="C351" t="s">
        <v>2197</v>
      </c>
      <c r="F351" t="s">
        <v>2198</v>
      </c>
      <c r="H351" t="s">
        <v>106</v>
      </c>
    </row>
    <row r="352" spans="1:8">
      <c r="A352">
        <v>351</v>
      </c>
      <c r="C352" t="s">
        <v>2197</v>
      </c>
      <c r="F352" t="s">
        <v>2198</v>
      </c>
      <c r="H352" t="s">
        <v>106</v>
      </c>
    </row>
    <row r="353" spans="1:8">
      <c r="A353">
        <v>352</v>
      </c>
      <c r="C353" t="s">
        <v>2197</v>
      </c>
      <c r="F353" t="s">
        <v>2198</v>
      </c>
      <c r="H353" t="s">
        <v>106</v>
      </c>
    </row>
    <row r="354" spans="1:8">
      <c r="A354">
        <v>353</v>
      </c>
      <c r="C354" t="s">
        <v>2197</v>
      </c>
      <c r="F354" t="s">
        <v>2198</v>
      </c>
      <c r="H354" t="s">
        <v>106</v>
      </c>
    </row>
    <row r="355" spans="1:8">
      <c r="A355">
        <v>354</v>
      </c>
      <c r="C355" t="s">
        <v>2197</v>
      </c>
      <c r="F355" t="s">
        <v>2198</v>
      </c>
      <c r="H355" t="s">
        <v>106</v>
      </c>
    </row>
    <row r="356" spans="1:8">
      <c r="A356">
        <v>355</v>
      </c>
      <c r="C356" t="s">
        <v>2197</v>
      </c>
      <c r="F356" t="s">
        <v>2198</v>
      </c>
      <c r="H356" t="s">
        <v>106</v>
      </c>
    </row>
    <row r="357" spans="1:8">
      <c r="A357">
        <v>356</v>
      </c>
      <c r="C357" t="s">
        <v>2197</v>
      </c>
      <c r="F357" t="s">
        <v>2198</v>
      </c>
      <c r="H357" t="s">
        <v>106</v>
      </c>
    </row>
    <row r="358" spans="1:8">
      <c r="A358">
        <v>357</v>
      </c>
      <c r="C358" t="s">
        <v>2197</v>
      </c>
      <c r="F358" t="s">
        <v>2198</v>
      </c>
      <c r="H358" t="s">
        <v>106</v>
      </c>
    </row>
    <row r="359" spans="1:8">
      <c r="A359">
        <v>358</v>
      </c>
      <c r="C359" t="s">
        <v>2197</v>
      </c>
      <c r="F359" t="s">
        <v>2198</v>
      </c>
      <c r="H359" t="s">
        <v>106</v>
      </c>
    </row>
    <row r="360" spans="1:8">
      <c r="A360">
        <v>359</v>
      </c>
      <c r="C360" t="s">
        <v>2197</v>
      </c>
      <c r="F360" t="s">
        <v>2198</v>
      </c>
      <c r="H360" t="s">
        <v>106</v>
      </c>
    </row>
    <row r="361" spans="1:8">
      <c r="A361">
        <v>360</v>
      </c>
      <c r="C361" t="s">
        <v>2197</v>
      </c>
      <c r="F361" t="s">
        <v>2198</v>
      </c>
      <c r="H361" t="s">
        <v>106</v>
      </c>
    </row>
    <row r="362" spans="1:8">
      <c r="A362">
        <v>361</v>
      </c>
      <c r="C362" t="s">
        <v>2197</v>
      </c>
      <c r="F362" t="s">
        <v>2198</v>
      </c>
      <c r="H362" t="s">
        <v>106</v>
      </c>
    </row>
    <row r="363" spans="1:8">
      <c r="A363">
        <v>362</v>
      </c>
      <c r="C363" t="s">
        <v>2197</v>
      </c>
      <c r="F363" t="s">
        <v>2198</v>
      </c>
      <c r="H363" t="s">
        <v>106</v>
      </c>
    </row>
    <row r="364" spans="1:8">
      <c r="A364">
        <v>363</v>
      </c>
      <c r="C364" t="s">
        <v>2197</v>
      </c>
      <c r="F364" t="s">
        <v>2198</v>
      </c>
      <c r="H364" t="s">
        <v>106</v>
      </c>
    </row>
    <row r="365" spans="1:8">
      <c r="A365">
        <v>364</v>
      </c>
      <c r="C365" t="s">
        <v>2197</v>
      </c>
      <c r="F365" t="s">
        <v>2198</v>
      </c>
      <c r="H365" t="s">
        <v>106</v>
      </c>
    </row>
    <row r="366" spans="1:8">
      <c r="A366">
        <v>365</v>
      </c>
      <c r="C366" t="s">
        <v>2197</v>
      </c>
      <c r="F366" t="s">
        <v>2198</v>
      </c>
      <c r="H366" t="s">
        <v>106</v>
      </c>
    </row>
    <row r="367" spans="1:8">
      <c r="A367">
        <v>366</v>
      </c>
      <c r="C367" t="s">
        <v>2197</v>
      </c>
      <c r="F367" t="s">
        <v>2198</v>
      </c>
      <c r="H367" t="s">
        <v>106</v>
      </c>
    </row>
    <row r="368" spans="1:8">
      <c r="A368">
        <v>367</v>
      </c>
      <c r="C368" t="s">
        <v>2197</v>
      </c>
      <c r="F368" t="s">
        <v>2198</v>
      </c>
      <c r="H368" t="s">
        <v>106</v>
      </c>
    </row>
    <row r="369" spans="1:8">
      <c r="A369">
        <v>368</v>
      </c>
      <c r="C369" t="s">
        <v>2197</v>
      </c>
      <c r="F369" t="s">
        <v>2198</v>
      </c>
      <c r="H369" t="s">
        <v>106</v>
      </c>
    </row>
    <row r="370" spans="1:8">
      <c r="A370">
        <v>369</v>
      </c>
      <c r="C370" t="s">
        <v>2197</v>
      </c>
      <c r="F370" t="s">
        <v>2198</v>
      </c>
      <c r="H370" t="s">
        <v>106</v>
      </c>
    </row>
    <row r="371" spans="1:8">
      <c r="A371">
        <v>370</v>
      </c>
      <c r="C371" t="s">
        <v>2197</v>
      </c>
      <c r="F371" t="s">
        <v>2198</v>
      </c>
      <c r="H371" t="s">
        <v>106</v>
      </c>
    </row>
    <row r="372" spans="1:8">
      <c r="A372">
        <v>371</v>
      </c>
      <c r="C372" t="s">
        <v>2197</v>
      </c>
      <c r="F372" t="s">
        <v>2198</v>
      </c>
      <c r="H372" t="s">
        <v>106</v>
      </c>
    </row>
    <row r="373" spans="1:8">
      <c r="A373">
        <v>372</v>
      </c>
      <c r="C373" t="s">
        <v>2197</v>
      </c>
      <c r="F373" t="s">
        <v>2198</v>
      </c>
      <c r="H373" t="s">
        <v>106</v>
      </c>
    </row>
    <row r="374" spans="1:8">
      <c r="A374">
        <v>373</v>
      </c>
      <c r="C374" t="s">
        <v>2197</v>
      </c>
      <c r="F374" t="s">
        <v>2198</v>
      </c>
      <c r="H374" t="s">
        <v>106</v>
      </c>
    </row>
    <row r="375" spans="1:8">
      <c r="A375">
        <v>374</v>
      </c>
      <c r="C375" t="s">
        <v>2197</v>
      </c>
      <c r="F375" t="s">
        <v>2198</v>
      </c>
      <c r="H375" t="s">
        <v>106</v>
      </c>
    </row>
    <row r="376" spans="1:8">
      <c r="A376">
        <v>375</v>
      </c>
      <c r="C376" t="s">
        <v>2197</v>
      </c>
      <c r="F376" t="s">
        <v>2198</v>
      </c>
      <c r="H376" t="s">
        <v>106</v>
      </c>
    </row>
    <row r="377" spans="1:8">
      <c r="A377">
        <v>376</v>
      </c>
      <c r="C377" t="s">
        <v>2197</v>
      </c>
      <c r="F377" t="s">
        <v>2198</v>
      </c>
      <c r="H377" t="s">
        <v>106</v>
      </c>
    </row>
    <row r="378" spans="1:8">
      <c r="A378">
        <v>377</v>
      </c>
      <c r="C378" t="s">
        <v>2197</v>
      </c>
      <c r="F378" t="s">
        <v>2198</v>
      </c>
      <c r="H378" t="s">
        <v>106</v>
      </c>
    </row>
    <row r="379" spans="1:8">
      <c r="A379">
        <v>378</v>
      </c>
      <c r="C379" t="s">
        <v>2197</v>
      </c>
      <c r="F379" t="s">
        <v>2198</v>
      </c>
      <c r="H379" t="s">
        <v>106</v>
      </c>
    </row>
    <row r="380" spans="1:8">
      <c r="A380">
        <v>379</v>
      </c>
      <c r="C380" t="s">
        <v>2197</v>
      </c>
      <c r="F380" t="s">
        <v>2198</v>
      </c>
      <c r="H380" t="s">
        <v>106</v>
      </c>
    </row>
    <row r="381" spans="1:8">
      <c r="A381">
        <v>380</v>
      </c>
      <c r="C381" t="s">
        <v>2197</v>
      </c>
      <c r="F381" t="s">
        <v>2198</v>
      </c>
      <c r="H381" t="s">
        <v>106</v>
      </c>
    </row>
    <row r="382" spans="1:8">
      <c r="A382">
        <v>381</v>
      </c>
      <c r="C382" t="s">
        <v>2197</v>
      </c>
      <c r="F382" t="s">
        <v>2198</v>
      </c>
      <c r="H382" t="s">
        <v>106</v>
      </c>
    </row>
    <row r="383" spans="1:8">
      <c r="A383">
        <v>382</v>
      </c>
      <c r="C383" t="s">
        <v>2197</v>
      </c>
      <c r="F383" t="s">
        <v>2198</v>
      </c>
      <c r="H383" t="s">
        <v>106</v>
      </c>
    </row>
    <row r="384" spans="1:8">
      <c r="A384">
        <v>383</v>
      </c>
      <c r="C384" t="s">
        <v>2197</v>
      </c>
      <c r="F384" t="s">
        <v>2198</v>
      </c>
      <c r="H384" t="s">
        <v>106</v>
      </c>
    </row>
    <row r="385" spans="1:8">
      <c r="A385">
        <v>384</v>
      </c>
      <c r="C385" t="s">
        <v>2197</v>
      </c>
      <c r="F385" t="s">
        <v>2198</v>
      </c>
      <c r="H385" t="s">
        <v>106</v>
      </c>
    </row>
    <row r="386" spans="1:8">
      <c r="A386">
        <v>385</v>
      </c>
      <c r="C386" t="s">
        <v>2197</v>
      </c>
      <c r="F386" t="s">
        <v>2198</v>
      </c>
      <c r="H386" t="s">
        <v>106</v>
      </c>
    </row>
    <row r="387" spans="1:8">
      <c r="A387">
        <v>386</v>
      </c>
      <c r="C387" t="s">
        <v>2197</v>
      </c>
      <c r="F387" t="s">
        <v>2198</v>
      </c>
      <c r="H387" t="s">
        <v>106</v>
      </c>
    </row>
    <row r="388" spans="1:8">
      <c r="A388">
        <v>387</v>
      </c>
      <c r="C388" t="s">
        <v>2197</v>
      </c>
      <c r="F388" t="s">
        <v>2198</v>
      </c>
      <c r="H388" t="s">
        <v>106</v>
      </c>
    </row>
    <row r="389" spans="1:8">
      <c r="A389">
        <v>388</v>
      </c>
      <c r="C389" t="s">
        <v>2197</v>
      </c>
      <c r="F389" t="s">
        <v>2198</v>
      </c>
      <c r="H389" t="s">
        <v>106</v>
      </c>
    </row>
    <row r="390" spans="1:8">
      <c r="A390">
        <v>389</v>
      </c>
      <c r="C390" t="s">
        <v>2197</v>
      </c>
      <c r="F390" t="s">
        <v>2198</v>
      </c>
      <c r="H390" t="s">
        <v>106</v>
      </c>
    </row>
    <row r="391" spans="1:8">
      <c r="A391">
        <v>390</v>
      </c>
      <c r="C391" t="s">
        <v>2197</v>
      </c>
      <c r="F391" t="s">
        <v>2198</v>
      </c>
      <c r="H391" t="s">
        <v>106</v>
      </c>
    </row>
    <row r="392" spans="1:8">
      <c r="A392">
        <v>391</v>
      </c>
      <c r="C392" t="s">
        <v>2197</v>
      </c>
      <c r="F392" t="s">
        <v>2198</v>
      </c>
      <c r="H392" t="s">
        <v>106</v>
      </c>
    </row>
    <row r="393" spans="1:8">
      <c r="A393">
        <v>392</v>
      </c>
      <c r="C393" t="s">
        <v>2197</v>
      </c>
      <c r="F393" t="s">
        <v>2198</v>
      </c>
      <c r="H393" t="s">
        <v>106</v>
      </c>
    </row>
    <row r="394" spans="1:8">
      <c r="A394">
        <v>393</v>
      </c>
      <c r="C394" t="s">
        <v>2197</v>
      </c>
      <c r="F394" t="s">
        <v>2198</v>
      </c>
      <c r="H394" t="s">
        <v>106</v>
      </c>
    </row>
    <row r="395" spans="1:8">
      <c r="A395">
        <v>394</v>
      </c>
      <c r="C395" t="s">
        <v>2197</v>
      </c>
      <c r="F395" t="s">
        <v>2198</v>
      </c>
      <c r="H395" t="s">
        <v>106</v>
      </c>
    </row>
    <row r="396" spans="1:8">
      <c r="A396">
        <v>395</v>
      </c>
      <c r="C396" t="s">
        <v>2197</v>
      </c>
      <c r="F396" t="s">
        <v>2198</v>
      </c>
      <c r="H396" t="s">
        <v>106</v>
      </c>
    </row>
    <row r="397" spans="1:8">
      <c r="A397">
        <v>396</v>
      </c>
      <c r="C397" t="s">
        <v>2197</v>
      </c>
      <c r="F397" t="s">
        <v>2198</v>
      </c>
      <c r="H397" t="s">
        <v>106</v>
      </c>
    </row>
    <row r="398" spans="1:8">
      <c r="A398">
        <v>397</v>
      </c>
      <c r="C398" t="s">
        <v>2197</v>
      </c>
      <c r="F398" t="s">
        <v>2198</v>
      </c>
      <c r="H398" t="s">
        <v>106</v>
      </c>
    </row>
    <row r="399" spans="1:8">
      <c r="A399">
        <v>398</v>
      </c>
      <c r="C399" t="s">
        <v>2197</v>
      </c>
      <c r="F399" t="s">
        <v>2198</v>
      </c>
      <c r="H399" t="s">
        <v>106</v>
      </c>
    </row>
    <row r="400" spans="1:8">
      <c r="A400">
        <v>399</v>
      </c>
      <c r="C400" t="s">
        <v>2197</v>
      </c>
      <c r="F400" t="s">
        <v>2198</v>
      </c>
      <c r="H400" t="s">
        <v>106</v>
      </c>
    </row>
    <row r="401" spans="1:8">
      <c r="A401">
        <v>400</v>
      </c>
      <c r="C401" t="s">
        <v>2197</v>
      </c>
      <c r="F401" t="s">
        <v>2198</v>
      </c>
      <c r="H401" t="s">
        <v>106</v>
      </c>
    </row>
    <row r="402" spans="1:8">
      <c r="A402">
        <v>401</v>
      </c>
      <c r="C402" t="s">
        <v>2197</v>
      </c>
      <c r="F402" t="s">
        <v>2198</v>
      </c>
      <c r="H402" t="s">
        <v>106</v>
      </c>
    </row>
    <row r="403" spans="1:8">
      <c r="A403">
        <v>402</v>
      </c>
      <c r="C403" t="s">
        <v>2197</v>
      </c>
      <c r="F403" t="s">
        <v>2198</v>
      </c>
      <c r="H403" t="s">
        <v>106</v>
      </c>
    </row>
    <row r="404" spans="1:8">
      <c r="A404">
        <v>403</v>
      </c>
      <c r="C404" t="s">
        <v>2197</v>
      </c>
      <c r="F404" t="s">
        <v>2198</v>
      </c>
      <c r="H404" t="s">
        <v>106</v>
      </c>
    </row>
    <row r="405" spans="1:8">
      <c r="A405">
        <v>404</v>
      </c>
      <c r="C405" t="s">
        <v>2197</v>
      </c>
      <c r="F405" t="s">
        <v>2198</v>
      </c>
      <c r="H405" t="s">
        <v>106</v>
      </c>
    </row>
    <row r="406" spans="1:8">
      <c r="A406">
        <v>405</v>
      </c>
      <c r="C406" t="s">
        <v>2197</v>
      </c>
      <c r="F406" t="s">
        <v>2198</v>
      </c>
      <c r="H406" t="s">
        <v>106</v>
      </c>
    </row>
    <row r="407" spans="1:8">
      <c r="A407">
        <v>406</v>
      </c>
      <c r="C407" t="s">
        <v>2197</v>
      </c>
      <c r="F407" t="s">
        <v>2198</v>
      </c>
      <c r="H407" t="s">
        <v>106</v>
      </c>
    </row>
    <row r="408" spans="1:8">
      <c r="A408">
        <v>407</v>
      </c>
      <c r="C408" t="s">
        <v>2197</v>
      </c>
      <c r="F408" t="s">
        <v>2198</v>
      </c>
      <c r="H408" t="s">
        <v>106</v>
      </c>
    </row>
    <row r="409" spans="1:8">
      <c r="A409">
        <v>408</v>
      </c>
      <c r="C409" t="s">
        <v>2197</v>
      </c>
      <c r="F409" t="s">
        <v>2198</v>
      </c>
      <c r="H409" t="s">
        <v>106</v>
      </c>
    </row>
    <row r="410" spans="1:8">
      <c r="A410">
        <v>409</v>
      </c>
      <c r="C410" t="s">
        <v>2197</v>
      </c>
      <c r="F410" t="s">
        <v>2198</v>
      </c>
      <c r="H410" t="s">
        <v>106</v>
      </c>
    </row>
    <row r="411" spans="1:8">
      <c r="A411">
        <v>410</v>
      </c>
      <c r="C411" t="s">
        <v>2197</v>
      </c>
      <c r="F411" t="s">
        <v>2198</v>
      </c>
      <c r="H411" t="s">
        <v>106</v>
      </c>
    </row>
    <row r="412" spans="1:8">
      <c r="A412">
        <v>411</v>
      </c>
      <c r="C412" t="s">
        <v>2197</v>
      </c>
      <c r="F412" t="s">
        <v>2198</v>
      </c>
      <c r="H412" t="s">
        <v>106</v>
      </c>
    </row>
    <row r="413" spans="1:8">
      <c r="A413">
        <v>412</v>
      </c>
      <c r="C413" t="s">
        <v>2197</v>
      </c>
      <c r="F413" t="s">
        <v>2198</v>
      </c>
      <c r="H413" t="s">
        <v>106</v>
      </c>
    </row>
    <row r="414" spans="1:8">
      <c r="A414">
        <v>413</v>
      </c>
      <c r="C414" t="s">
        <v>2197</v>
      </c>
      <c r="F414" t="s">
        <v>2198</v>
      </c>
      <c r="H414" t="s">
        <v>106</v>
      </c>
    </row>
    <row r="415" spans="1:8">
      <c r="A415">
        <v>414</v>
      </c>
      <c r="C415" t="s">
        <v>2197</v>
      </c>
      <c r="F415" t="s">
        <v>2198</v>
      </c>
      <c r="H415" t="s">
        <v>106</v>
      </c>
    </row>
    <row r="416" spans="1:8">
      <c r="A416">
        <v>415</v>
      </c>
      <c r="C416" t="s">
        <v>2197</v>
      </c>
      <c r="F416" t="s">
        <v>2198</v>
      </c>
      <c r="H416" t="s">
        <v>106</v>
      </c>
    </row>
    <row r="417" spans="1:8">
      <c r="A417">
        <v>416</v>
      </c>
      <c r="C417" t="s">
        <v>2197</v>
      </c>
      <c r="F417" t="s">
        <v>2198</v>
      </c>
      <c r="H417" t="s">
        <v>106</v>
      </c>
    </row>
    <row r="418" spans="1:8">
      <c r="A418">
        <v>417</v>
      </c>
      <c r="C418" t="s">
        <v>2197</v>
      </c>
      <c r="F418" t="s">
        <v>2198</v>
      </c>
      <c r="H418" t="s">
        <v>106</v>
      </c>
    </row>
    <row r="419" spans="1:8">
      <c r="A419">
        <v>418</v>
      </c>
      <c r="C419" t="s">
        <v>2197</v>
      </c>
      <c r="F419" t="s">
        <v>2198</v>
      </c>
      <c r="H419" t="s">
        <v>106</v>
      </c>
    </row>
    <row r="420" spans="1:8">
      <c r="A420">
        <v>419</v>
      </c>
      <c r="C420" t="s">
        <v>2197</v>
      </c>
      <c r="F420" t="s">
        <v>2198</v>
      </c>
      <c r="H420" t="s">
        <v>106</v>
      </c>
    </row>
    <row r="421" spans="1:8">
      <c r="A421">
        <v>420</v>
      </c>
      <c r="C421" t="s">
        <v>2197</v>
      </c>
      <c r="F421" t="s">
        <v>2198</v>
      </c>
      <c r="H421" t="s">
        <v>106</v>
      </c>
    </row>
    <row r="422" spans="1:8">
      <c r="A422">
        <v>421</v>
      </c>
      <c r="C422" t="s">
        <v>2197</v>
      </c>
      <c r="F422" t="s">
        <v>2198</v>
      </c>
      <c r="H422" t="s">
        <v>106</v>
      </c>
    </row>
    <row r="423" spans="1:8">
      <c r="A423">
        <v>422</v>
      </c>
      <c r="C423" t="s">
        <v>2197</v>
      </c>
      <c r="F423" t="s">
        <v>2198</v>
      </c>
      <c r="H423" t="s">
        <v>106</v>
      </c>
    </row>
    <row r="424" spans="1:8">
      <c r="A424">
        <v>423</v>
      </c>
      <c r="C424" t="s">
        <v>2197</v>
      </c>
      <c r="F424" t="s">
        <v>2198</v>
      </c>
      <c r="H424" t="s">
        <v>106</v>
      </c>
    </row>
    <row r="425" spans="1:8">
      <c r="A425">
        <v>424</v>
      </c>
      <c r="C425" t="s">
        <v>2197</v>
      </c>
      <c r="F425" t="s">
        <v>2198</v>
      </c>
      <c r="H425" t="s">
        <v>106</v>
      </c>
    </row>
    <row r="426" spans="1:8">
      <c r="A426">
        <v>425</v>
      </c>
      <c r="C426" t="s">
        <v>2197</v>
      </c>
      <c r="F426" t="s">
        <v>2198</v>
      </c>
      <c r="H426" t="s">
        <v>106</v>
      </c>
    </row>
    <row r="427" spans="1:8">
      <c r="A427">
        <v>426</v>
      </c>
      <c r="C427" t="s">
        <v>2197</v>
      </c>
      <c r="F427" t="s">
        <v>2198</v>
      </c>
      <c r="H427" t="s">
        <v>106</v>
      </c>
    </row>
    <row r="428" spans="1:8">
      <c r="A428">
        <v>427</v>
      </c>
      <c r="C428" t="s">
        <v>2197</v>
      </c>
      <c r="F428" t="s">
        <v>2198</v>
      </c>
      <c r="H428" t="s">
        <v>106</v>
      </c>
    </row>
    <row r="429" spans="1:8">
      <c r="A429">
        <v>428</v>
      </c>
      <c r="C429" t="s">
        <v>2197</v>
      </c>
      <c r="F429" t="s">
        <v>2198</v>
      </c>
      <c r="H429" t="s">
        <v>106</v>
      </c>
    </row>
    <row r="430" spans="1:8">
      <c r="A430">
        <v>429</v>
      </c>
      <c r="C430" t="s">
        <v>2197</v>
      </c>
      <c r="F430" t="s">
        <v>2198</v>
      </c>
      <c r="H430" t="s">
        <v>106</v>
      </c>
    </row>
    <row r="431" spans="1:8">
      <c r="A431">
        <v>430</v>
      </c>
      <c r="C431" t="s">
        <v>2197</v>
      </c>
      <c r="F431" t="s">
        <v>2198</v>
      </c>
      <c r="H431" t="s">
        <v>106</v>
      </c>
    </row>
    <row r="432" spans="1:8">
      <c r="A432">
        <v>431</v>
      </c>
      <c r="C432" t="s">
        <v>2197</v>
      </c>
      <c r="F432" t="s">
        <v>2198</v>
      </c>
      <c r="H432" t="s">
        <v>106</v>
      </c>
    </row>
    <row r="433" spans="1:8">
      <c r="A433">
        <v>432</v>
      </c>
      <c r="C433" t="s">
        <v>2197</v>
      </c>
      <c r="F433" t="s">
        <v>2198</v>
      </c>
      <c r="H433" t="s">
        <v>106</v>
      </c>
    </row>
    <row r="434" spans="1:8">
      <c r="A434">
        <v>433</v>
      </c>
      <c r="C434" t="s">
        <v>2197</v>
      </c>
      <c r="F434" t="s">
        <v>2198</v>
      </c>
      <c r="H434" t="s">
        <v>106</v>
      </c>
    </row>
    <row r="435" spans="1:8">
      <c r="A435">
        <v>434</v>
      </c>
      <c r="C435" t="s">
        <v>2197</v>
      </c>
      <c r="F435" t="s">
        <v>2198</v>
      </c>
      <c r="H435" t="s">
        <v>106</v>
      </c>
    </row>
    <row r="436" spans="1:8">
      <c r="A436">
        <v>435</v>
      </c>
      <c r="C436" t="s">
        <v>2197</v>
      </c>
      <c r="F436" t="s">
        <v>2198</v>
      </c>
      <c r="H436" t="s">
        <v>106</v>
      </c>
    </row>
    <row r="437" spans="1:8">
      <c r="A437">
        <v>436</v>
      </c>
      <c r="C437" t="s">
        <v>2197</v>
      </c>
      <c r="F437" t="s">
        <v>2198</v>
      </c>
      <c r="H437" t="s">
        <v>106</v>
      </c>
    </row>
    <row r="438" spans="1:8">
      <c r="A438">
        <v>437</v>
      </c>
      <c r="C438" t="s">
        <v>2197</v>
      </c>
      <c r="F438" t="s">
        <v>2198</v>
      </c>
      <c r="H438" t="s">
        <v>106</v>
      </c>
    </row>
    <row r="439" spans="1:8">
      <c r="A439">
        <v>438</v>
      </c>
      <c r="C439" t="s">
        <v>2197</v>
      </c>
      <c r="F439" t="s">
        <v>2198</v>
      </c>
      <c r="H439" t="s">
        <v>106</v>
      </c>
    </row>
    <row r="440" spans="1:8">
      <c r="A440">
        <v>439</v>
      </c>
      <c r="C440" t="s">
        <v>2197</v>
      </c>
      <c r="F440" t="s">
        <v>2198</v>
      </c>
      <c r="H440" t="s">
        <v>106</v>
      </c>
    </row>
    <row r="441" spans="1:8">
      <c r="A441">
        <v>440</v>
      </c>
      <c r="C441" t="s">
        <v>2197</v>
      </c>
      <c r="F441" t="s">
        <v>2198</v>
      </c>
      <c r="H441" t="s">
        <v>106</v>
      </c>
    </row>
    <row r="442" spans="1:8">
      <c r="A442">
        <v>441</v>
      </c>
      <c r="C442" t="s">
        <v>2197</v>
      </c>
      <c r="F442" t="s">
        <v>2198</v>
      </c>
      <c r="H442" t="s">
        <v>106</v>
      </c>
    </row>
    <row r="443" spans="1:8">
      <c r="A443">
        <v>442</v>
      </c>
      <c r="C443" t="s">
        <v>2197</v>
      </c>
      <c r="F443" t="s">
        <v>2198</v>
      </c>
      <c r="H443" t="s">
        <v>106</v>
      </c>
    </row>
    <row r="444" spans="1:8">
      <c r="A444">
        <v>443</v>
      </c>
      <c r="C444" t="s">
        <v>2197</v>
      </c>
      <c r="F444" t="s">
        <v>2198</v>
      </c>
      <c r="H444" t="s">
        <v>106</v>
      </c>
    </row>
    <row r="445" spans="1:8">
      <c r="A445">
        <v>444</v>
      </c>
      <c r="C445" t="s">
        <v>2197</v>
      </c>
      <c r="F445" t="s">
        <v>2198</v>
      </c>
      <c r="H445" t="s">
        <v>106</v>
      </c>
    </row>
    <row r="446" spans="1:8">
      <c r="A446">
        <v>445</v>
      </c>
      <c r="C446" t="s">
        <v>2197</v>
      </c>
      <c r="F446" t="s">
        <v>2198</v>
      </c>
      <c r="H446" t="s">
        <v>106</v>
      </c>
    </row>
    <row r="447" spans="1:8">
      <c r="A447">
        <v>446</v>
      </c>
      <c r="C447" t="s">
        <v>2197</v>
      </c>
      <c r="F447" t="s">
        <v>2198</v>
      </c>
      <c r="H447" t="s">
        <v>106</v>
      </c>
    </row>
    <row r="448" spans="1:8">
      <c r="A448">
        <v>447</v>
      </c>
      <c r="C448" t="s">
        <v>2197</v>
      </c>
      <c r="F448" t="s">
        <v>2198</v>
      </c>
      <c r="H448" t="s">
        <v>106</v>
      </c>
    </row>
    <row r="449" spans="1:8">
      <c r="A449">
        <v>448</v>
      </c>
      <c r="C449" t="s">
        <v>2197</v>
      </c>
      <c r="F449" t="s">
        <v>2198</v>
      </c>
      <c r="H449" t="s">
        <v>106</v>
      </c>
    </row>
    <row r="450" spans="1:8">
      <c r="A450">
        <v>449</v>
      </c>
      <c r="C450" t="s">
        <v>2197</v>
      </c>
      <c r="F450" t="s">
        <v>2198</v>
      </c>
      <c r="H450" t="s">
        <v>106</v>
      </c>
    </row>
    <row r="451" spans="1:8">
      <c r="A451">
        <v>450</v>
      </c>
      <c r="C451" t="s">
        <v>2197</v>
      </c>
      <c r="F451" t="s">
        <v>2198</v>
      </c>
      <c r="H451" t="s">
        <v>106</v>
      </c>
    </row>
    <row r="452" spans="1:8">
      <c r="A452">
        <v>451</v>
      </c>
      <c r="C452" t="s">
        <v>2197</v>
      </c>
      <c r="F452" t="s">
        <v>2198</v>
      </c>
      <c r="H452" t="s">
        <v>106</v>
      </c>
    </row>
    <row r="453" spans="1:8">
      <c r="A453">
        <v>452</v>
      </c>
      <c r="C453" t="s">
        <v>2197</v>
      </c>
      <c r="F453" t="s">
        <v>2198</v>
      </c>
      <c r="H453" t="s">
        <v>106</v>
      </c>
    </row>
    <row r="454" spans="1:8">
      <c r="A454">
        <v>453</v>
      </c>
      <c r="C454" t="s">
        <v>2197</v>
      </c>
      <c r="F454" t="s">
        <v>2198</v>
      </c>
      <c r="H454" t="s">
        <v>106</v>
      </c>
    </row>
    <row r="455" spans="1:8">
      <c r="A455">
        <v>454</v>
      </c>
      <c r="C455" t="s">
        <v>2197</v>
      </c>
      <c r="F455" t="s">
        <v>2198</v>
      </c>
      <c r="H455" t="s">
        <v>106</v>
      </c>
    </row>
    <row r="456" spans="1:8">
      <c r="A456">
        <v>455</v>
      </c>
      <c r="C456" t="s">
        <v>2197</v>
      </c>
      <c r="F456" t="s">
        <v>2198</v>
      </c>
      <c r="H456" t="s">
        <v>106</v>
      </c>
    </row>
    <row r="457" spans="1:8">
      <c r="A457">
        <v>456</v>
      </c>
      <c r="C457" t="s">
        <v>2197</v>
      </c>
      <c r="F457" t="s">
        <v>2198</v>
      </c>
      <c r="H457" t="s">
        <v>106</v>
      </c>
    </row>
    <row r="458" spans="1:8">
      <c r="A458">
        <v>457</v>
      </c>
      <c r="C458" t="s">
        <v>2197</v>
      </c>
      <c r="F458" t="s">
        <v>2198</v>
      </c>
      <c r="H458" t="s">
        <v>106</v>
      </c>
    </row>
    <row r="459" spans="1:8">
      <c r="A459">
        <v>458</v>
      </c>
      <c r="C459" t="s">
        <v>2197</v>
      </c>
      <c r="F459" t="s">
        <v>2198</v>
      </c>
      <c r="H459" t="s">
        <v>106</v>
      </c>
    </row>
    <row r="460" spans="1:8">
      <c r="A460">
        <v>459</v>
      </c>
      <c r="C460" t="s">
        <v>2197</v>
      </c>
      <c r="F460" t="s">
        <v>2198</v>
      </c>
      <c r="H460" t="s">
        <v>106</v>
      </c>
    </row>
    <row r="461" spans="1:8">
      <c r="A461">
        <v>460</v>
      </c>
      <c r="C461" t="s">
        <v>2197</v>
      </c>
      <c r="F461" t="s">
        <v>2198</v>
      </c>
      <c r="H461" t="s">
        <v>106</v>
      </c>
    </row>
    <row r="462" spans="1:8">
      <c r="A462">
        <v>461</v>
      </c>
      <c r="C462" t="s">
        <v>2197</v>
      </c>
      <c r="F462" t="s">
        <v>2198</v>
      </c>
      <c r="H462" t="s">
        <v>106</v>
      </c>
    </row>
    <row r="463" spans="1:8">
      <c r="A463">
        <v>462</v>
      </c>
      <c r="C463" t="s">
        <v>2197</v>
      </c>
      <c r="F463" t="s">
        <v>2198</v>
      </c>
      <c r="H463" t="s">
        <v>106</v>
      </c>
    </row>
    <row r="464" spans="1:8">
      <c r="A464">
        <v>463</v>
      </c>
      <c r="C464" t="s">
        <v>2197</v>
      </c>
      <c r="F464" t="s">
        <v>2198</v>
      </c>
      <c r="H464" t="s">
        <v>106</v>
      </c>
    </row>
    <row r="465" spans="1:8">
      <c r="A465">
        <v>464</v>
      </c>
      <c r="C465" t="s">
        <v>2197</v>
      </c>
      <c r="F465" t="s">
        <v>2198</v>
      </c>
      <c r="H465" t="s">
        <v>106</v>
      </c>
    </row>
    <row r="466" spans="1:8">
      <c r="A466">
        <v>465</v>
      </c>
      <c r="C466" t="s">
        <v>2197</v>
      </c>
      <c r="F466" t="s">
        <v>2198</v>
      </c>
      <c r="H466" t="s">
        <v>106</v>
      </c>
    </row>
    <row r="467" spans="1:8">
      <c r="A467">
        <v>466</v>
      </c>
      <c r="C467" t="s">
        <v>2197</v>
      </c>
      <c r="F467" t="s">
        <v>2198</v>
      </c>
      <c r="H467" t="s">
        <v>106</v>
      </c>
    </row>
    <row r="468" spans="1:8">
      <c r="A468">
        <v>467</v>
      </c>
      <c r="C468" t="s">
        <v>2197</v>
      </c>
      <c r="F468" t="s">
        <v>2198</v>
      </c>
      <c r="H468" t="s">
        <v>106</v>
      </c>
    </row>
    <row r="469" spans="1:8">
      <c r="A469">
        <v>468</v>
      </c>
      <c r="C469" t="s">
        <v>2197</v>
      </c>
      <c r="F469" t="s">
        <v>2198</v>
      </c>
      <c r="H469" t="s">
        <v>106</v>
      </c>
    </row>
    <row r="470" spans="1:8">
      <c r="A470">
        <v>469</v>
      </c>
      <c r="C470" t="s">
        <v>2197</v>
      </c>
      <c r="F470" t="s">
        <v>2198</v>
      </c>
      <c r="H470" t="s">
        <v>106</v>
      </c>
    </row>
    <row r="471" spans="1:8">
      <c r="A471">
        <v>470</v>
      </c>
      <c r="C471" t="s">
        <v>2197</v>
      </c>
      <c r="F471" t="s">
        <v>2198</v>
      </c>
      <c r="H471" t="s">
        <v>106</v>
      </c>
    </row>
    <row r="472" spans="1:8">
      <c r="A472">
        <v>471</v>
      </c>
      <c r="C472" t="s">
        <v>2197</v>
      </c>
      <c r="F472" t="s">
        <v>2198</v>
      </c>
      <c r="H472" t="s">
        <v>106</v>
      </c>
    </row>
    <row r="473" spans="1:8">
      <c r="A473">
        <v>472</v>
      </c>
      <c r="C473" t="s">
        <v>2197</v>
      </c>
      <c r="F473" t="s">
        <v>2198</v>
      </c>
      <c r="H473" t="s">
        <v>106</v>
      </c>
    </row>
    <row r="474" spans="1:8">
      <c r="A474">
        <v>473</v>
      </c>
      <c r="C474" t="s">
        <v>2197</v>
      </c>
      <c r="F474" t="s">
        <v>2198</v>
      </c>
      <c r="H474" t="s">
        <v>106</v>
      </c>
    </row>
    <row r="475" spans="1:8">
      <c r="A475">
        <v>474</v>
      </c>
      <c r="C475" t="s">
        <v>2197</v>
      </c>
      <c r="F475" t="s">
        <v>2198</v>
      </c>
      <c r="H475" t="s">
        <v>106</v>
      </c>
    </row>
    <row r="476" spans="1:8">
      <c r="A476">
        <v>475</v>
      </c>
      <c r="C476" t="s">
        <v>2197</v>
      </c>
      <c r="F476" t="s">
        <v>2198</v>
      </c>
      <c r="H476" t="s">
        <v>106</v>
      </c>
    </row>
    <row r="477" spans="1:8">
      <c r="A477">
        <v>476</v>
      </c>
      <c r="C477" t="s">
        <v>2197</v>
      </c>
      <c r="F477" t="s">
        <v>2198</v>
      </c>
      <c r="H477" t="s">
        <v>106</v>
      </c>
    </row>
    <row r="478" spans="1:8">
      <c r="A478">
        <v>477</v>
      </c>
      <c r="C478" t="s">
        <v>2197</v>
      </c>
      <c r="F478" t="s">
        <v>2198</v>
      </c>
      <c r="H478" t="s">
        <v>106</v>
      </c>
    </row>
    <row r="479" spans="1:8">
      <c r="A479">
        <v>478</v>
      </c>
      <c r="C479" t="s">
        <v>2197</v>
      </c>
      <c r="F479" t="s">
        <v>2198</v>
      </c>
      <c r="H479" t="s">
        <v>106</v>
      </c>
    </row>
    <row r="480" spans="1:8">
      <c r="A480">
        <v>479</v>
      </c>
      <c r="C480" t="s">
        <v>2197</v>
      </c>
      <c r="F480" t="s">
        <v>2198</v>
      </c>
      <c r="H480" t="s">
        <v>106</v>
      </c>
    </row>
    <row r="481" spans="1:8">
      <c r="A481">
        <v>480</v>
      </c>
      <c r="C481" t="s">
        <v>2197</v>
      </c>
      <c r="F481" t="s">
        <v>2198</v>
      </c>
      <c r="H481" t="s">
        <v>106</v>
      </c>
    </row>
    <row r="482" spans="1:8">
      <c r="A482">
        <v>481</v>
      </c>
      <c r="C482" t="s">
        <v>2197</v>
      </c>
      <c r="F482" t="s">
        <v>2198</v>
      </c>
      <c r="H482" t="s">
        <v>106</v>
      </c>
    </row>
    <row r="483" spans="1:8">
      <c r="A483">
        <v>482</v>
      </c>
      <c r="C483" t="s">
        <v>2197</v>
      </c>
      <c r="F483" t="s">
        <v>2198</v>
      </c>
      <c r="H483" t="s">
        <v>106</v>
      </c>
    </row>
    <row r="484" spans="1:8">
      <c r="A484">
        <v>483</v>
      </c>
      <c r="C484" t="s">
        <v>2197</v>
      </c>
      <c r="F484" t="s">
        <v>2198</v>
      </c>
      <c r="H484" t="s">
        <v>106</v>
      </c>
    </row>
    <row r="485" spans="1:8">
      <c r="A485">
        <v>484</v>
      </c>
      <c r="C485" t="s">
        <v>2197</v>
      </c>
      <c r="F485" t="s">
        <v>2198</v>
      </c>
      <c r="H485" t="s">
        <v>106</v>
      </c>
    </row>
    <row r="486" spans="1:8">
      <c r="A486">
        <v>485</v>
      </c>
      <c r="C486" t="s">
        <v>2197</v>
      </c>
      <c r="F486" t="s">
        <v>2198</v>
      </c>
      <c r="H486" t="s">
        <v>106</v>
      </c>
    </row>
    <row r="487" spans="1:8">
      <c r="A487">
        <v>486</v>
      </c>
      <c r="C487" t="s">
        <v>2197</v>
      </c>
      <c r="F487" t="s">
        <v>2198</v>
      </c>
      <c r="H487" t="s">
        <v>106</v>
      </c>
    </row>
    <row r="488" spans="1:8">
      <c r="A488">
        <v>487</v>
      </c>
      <c r="C488" t="s">
        <v>2197</v>
      </c>
      <c r="F488" t="s">
        <v>2198</v>
      </c>
      <c r="H488" t="s">
        <v>106</v>
      </c>
    </row>
    <row r="489" spans="1:8">
      <c r="A489">
        <v>488</v>
      </c>
      <c r="C489" t="s">
        <v>2197</v>
      </c>
      <c r="F489" t="s">
        <v>2198</v>
      </c>
      <c r="H489" t="s">
        <v>106</v>
      </c>
    </row>
    <row r="490" spans="1:8">
      <c r="A490">
        <v>489</v>
      </c>
      <c r="C490" t="s">
        <v>2197</v>
      </c>
      <c r="F490" t="s">
        <v>2198</v>
      </c>
      <c r="H490" t="s">
        <v>106</v>
      </c>
    </row>
    <row r="491" spans="1:8">
      <c r="A491">
        <v>490</v>
      </c>
      <c r="C491" t="s">
        <v>2197</v>
      </c>
      <c r="F491" t="s">
        <v>2198</v>
      </c>
      <c r="H491" t="s">
        <v>106</v>
      </c>
    </row>
    <row r="492" spans="1:8">
      <c r="A492">
        <v>491</v>
      </c>
      <c r="C492" t="s">
        <v>2197</v>
      </c>
      <c r="F492" t="s">
        <v>2198</v>
      </c>
      <c r="H492" t="s">
        <v>106</v>
      </c>
    </row>
    <row r="493" spans="1:8">
      <c r="A493">
        <v>492</v>
      </c>
      <c r="C493" t="s">
        <v>2197</v>
      </c>
      <c r="F493" t="s">
        <v>2198</v>
      </c>
      <c r="H493" t="s">
        <v>106</v>
      </c>
    </row>
    <row r="494" spans="1:8">
      <c r="A494">
        <v>493</v>
      </c>
      <c r="C494" t="s">
        <v>2197</v>
      </c>
      <c r="F494" t="s">
        <v>2198</v>
      </c>
      <c r="H494" t="s">
        <v>106</v>
      </c>
    </row>
    <row r="495" spans="1:8">
      <c r="A495">
        <v>494</v>
      </c>
      <c r="C495" t="s">
        <v>2197</v>
      </c>
      <c r="F495" t="s">
        <v>2198</v>
      </c>
      <c r="H495" t="s">
        <v>106</v>
      </c>
    </row>
    <row r="496" spans="1:8">
      <c r="A496">
        <v>495</v>
      </c>
      <c r="C496" t="s">
        <v>2197</v>
      </c>
      <c r="F496" t="s">
        <v>2198</v>
      </c>
      <c r="H496" t="s">
        <v>106</v>
      </c>
    </row>
    <row r="497" spans="1:8">
      <c r="A497">
        <v>496</v>
      </c>
      <c r="C497" t="s">
        <v>2197</v>
      </c>
      <c r="F497" t="s">
        <v>2198</v>
      </c>
      <c r="H497" t="s">
        <v>106</v>
      </c>
    </row>
    <row r="498" spans="1:8">
      <c r="A498">
        <v>497</v>
      </c>
      <c r="C498" t="s">
        <v>2197</v>
      </c>
      <c r="F498" t="s">
        <v>2198</v>
      </c>
      <c r="H498" t="s">
        <v>106</v>
      </c>
    </row>
    <row r="499" spans="1:8">
      <c r="A499">
        <v>498</v>
      </c>
      <c r="C499" t="s">
        <v>2197</v>
      </c>
      <c r="F499" t="s">
        <v>2198</v>
      </c>
      <c r="H499" t="s">
        <v>106</v>
      </c>
    </row>
    <row r="500" spans="1:8">
      <c r="A500">
        <v>499</v>
      </c>
      <c r="C500" t="s">
        <v>2197</v>
      </c>
      <c r="F500" t="s">
        <v>2198</v>
      </c>
      <c r="H500" t="s">
        <v>106</v>
      </c>
    </row>
    <row r="501" spans="1:8">
      <c r="A501">
        <v>500</v>
      </c>
      <c r="C501" t="s">
        <v>2197</v>
      </c>
      <c r="F501" t="s">
        <v>2198</v>
      </c>
      <c r="H501" t="s">
        <v>106</v>
      </c>
    </row>
    <row r="502" spans="1:8">
      <c r="A502">
        <v>501</v>
      </c>
      <c r="C502" t="s">
        <v>2197</v>
      </c>
      <c r="F502" t="s">
        <v>2198</v>
      </c>
      <c r="H502" t="s">
        <v>106</v>
      </c>
    </row>
    <row r="503" spans="1:8">
      <c r="A503">
        <v>502</v>
      </c>
      <c r="C503" t="s">
        <v>2197</v>
      </c>
      <c r="F503" t="s">
        <v>2198</v>
      </c>
      <c r="H503" t="s">
        <v>106</v>
      </c>
    </row>
    <row r="504" spans="1:8">
      <c r="A504">
        <v>503</v>
      </c>
      <c r="C504" t="s">
        <v>2197</v>
      </c>
      <c r="F504" t="s">
        <v>2198</v>
      </c>
      <c r="H504" t="s">
        <v>106</v>
      </c>
    </row>
    <row r="505" spans="1:8">
      <c r="A505">
        <v>504</v>
      </c>
      <c r="C505" t="s">
        <v>2197</v>
      </c>
      <c r="F505" t="s">
        <v>2198</v>
      </c>
      <c r="H505" t="s">
        <v>106</v>
      </c>
    </row>
    <row r="506" spans="1:8">
      <c r="A506">
        <v>505</v>
      </c>
      <c r="C506" t="s">
        <v>2197</v>
      </c>
      <c r="F506" t="s">
        <v>2198</v>
      </c>
      <c r="H506" t="s">
        <v>106</v>
      </c>
    </row>
    <row r="507" spans="1:8">
      <c r="A507">
        <v>506</v>
      </c>
      <c r="C507" t="s">
        <v>2197</v>
      </c>
      <c r="F507" t="s">
        <v>2198</v>
      </c>
      <c r="H507" t="s">
        <v>106</v>
      </c>
    </row>
    <row r="508" spans="1:8">
      <c r="A508">
        <v>507</v>
      </c>
      <c r="C508" t="s">
        <v>2197</v>
      </c>
      <c r="F508" t="s">
        <v>2198</v>
      </c>
      <c r="H508" t="s">
        <v>106</v>
      </c>
    </row>
    <row r="509" spans="1:8">
      <c r="A509">
        <v>508</v>
      </c>
      <c r="C509" t="s">
        <v>2197</v>
      </c>
      <c r="F509" t="s">
        <v>2198</v>
      </c>
      <c r="H509" t="s">
        <v>106</v>
      </c>
    </row>
    <row r="510" spans="1:8">
      <c r="A510">
        <v>509</v>
      </c>
      <c r="C510" t="s">
        <v>2197</v>
      </c>
      <c r="F510" t="s">
        <v>2198</v>
      </c>
      <c r="H510" t="s">
        <v>106</v>
      </c>
    </row>
    <row r="511" spans="1:8">
      <c r="A511">
        <v>510</v>
      </c>
      <c r="C511" t="s">
        <v>2197</v>
      </c>
      <c r="F511" t="s">
        <v>2198</v>
      </c>
      <c r="H511" t="s">
        <v>106</v>
      </c>
    </row>
    <row r="512" spans="1:8">
      <c r="A512">
        <v>511</v>
      </c>
      <c r="C512" t="s">
        <v>2197</v>
      </c>
      <c r="F512" t="s">
        <v>2198</v>
      </c>
      <c r="H512" t="s">
        <v>106</v>
      </c>
    </row>
    <row r="513" spans="1:8">
      <c r="A513">
        <v>512</v>
      </c>
      <c r="C513" t="s">
        <v>2197</v>
      </c>
      <c r="F513" t="s">
        <v>2198</v>
      </c>
      <c r="H513" t="s">
        <v>106</v>
      </c>
    </row>
    <row r="514" spans="1:8">
      <c r="A514">
        <v>513</v>
      </c>
      <c r="C514" t="s">
        <v>2197</v>
      </c>
      <c r="F514" t="s">
        <v>2198</v>
      </c>
      <c r="H514" t="s">
        <v>106</v>
      </c>
    </row>
    <row r="515" spans="1:8">
      <c r="A515">
        <v>514</v>
      </c>
      <c r="C515" t="s">
        <v>2197</v>
      </c>
      <c r="F515" t="s">
        <v>2198</v>
      </c>
      <c r="H515" t="s">
        <v>106</v>
      </c>
    </row>
    <row r="516" spans="1:8">
      <c r="A516">
        <v>515</v>
      </c>
      <c r="C516" t="s">
        <v>2197</v>
      </c>
      <c r="F516" t="s">
        <v>2198</v>
      </c>
      <c r="H516" t="s">
        <v>106</v>
      </c>
    </row>
    <row r="517" spans="1:8">
      <c r="A517">
        <v>516</v>
      </c>
      <c r="C517" t="s">
        <v>2197</v>
      </c>
      <c r="F517" t="s">
        <v>2198</v>
      </c>
      <c r="H517" t="s">
        <v>106</v>
      </c>
    </row>
    <row r="518" spans="1:8">
      <c r="A518">
        <v>517</v>
      </c>
      <c r="C518" t="s">
        <v>2197</v>
      </c>
      <c r="F518" t="s">
        <v>2198</v>
      </c>
      <c r="H518" t="s">
        <v>106</v>
      </c>
    </row>
    <row r="519" spans="1:8">
      <c r="A519">
        <v>518</v>
      </c>
      <c r="C519" t="s">
        <v>2197</v>
      </c>
      <c r="F519" t="s">
        <v>2198</v>
      </c>
      <c r="H519" t="s">
        <v>106</v>
      </c>
    </row>
    <row r="520" spans="1:8">
      <c r="A520">
        <v>519</v>
      </c>
      <c r="C520" t="s">
        <v>2197</v>
      </c>
      <c r="F520" t="s">
        <v>2198</v>
      </c>
      <c r="H520" t="s">
        <v>106</v>
      </c>
    </row>
    <row r="521" spans="1:8">
      <c r="A521">
        <v>520</v>
      </c>
      <c r="C521" t="s">
        <v>2197</v>
      </c>
      <c r="F521" t="s">
        <v>2198</v>
      </c>
      <c r="H521" t="s">
        <v>106</v>
      </c>
    </row>
    <row r="522" spans="1:8">
      <c r="A522">
        <v>521</v>
      </c>
      <c r="C522" t="s">
        <v>2197</v>
      </c>
      <c r="F522" t="s">
        <v>2198</v>
      </c>
      <c r="H522" t="s">
        <v>106</v>
      </c>
    </row>
    <row r="523" spans="1:8">
      <c r="A523">
        <v>522</v>
      </c>
      <c r="C523" t="s">
        <v>2197</v>
      </c>
      <c r="F523" t="s">
        <v>2198</v>
      </c>
      <c r="H523" t="s">
        <v>106</v>
      </c>
    </row>
    <row r="524" spans="1:8">
      <c r="A524">
        <v>523</v>
      </c>
      <c r="C524" t="s">
        <v>2197</v>
      </c>
      <c r="F524" t="s">
        <v>2198</v>
      </c>
      <c r="H524" t="s">
        <v>106</v>
      </c>
    </row>
    <row r="525" spans="1:8">
      <c r="A525">
        <v>524</v>
      </c>
      <c r="C525" t="s">
        <v>2197</v>
      </c>
      <c r="F525" t="s">
        <v>2198</v>
      </c>
      <c r="H525" t="s">
        <v>106</v>
      </c>
    </row>
    <row r="526" spans="1:8">
      <c r="A526">
        <v>525</v>
      </c>
      <c r="C526" t="s">
        <v>2197</v>
      </c>
      <c r="F526" t="s">
        <v>2198</v>
      </c>
      <c r="H526" t="s">
        <v>106</v>
      </c>
    </row>
    <row r="527" spans="1:8">
      <c r="A527">
        <v>526</v>
      </c>
      <c r="C527" t="s">
        <v>2197</v>
      </c>
      <c r="F527" t="s">
        <v>2198</v>
      </c>
      <c r="H527" t="s">
        <v>106</v>
      </c>
    </row>
    <row r="528" spans="1:8">
      <c r="A528">
        <v>527</v>
      </c>
      <c r="C528" t="s">
        <v>2197</v>
      </c>
      <c r="F528" t="s">
        <v>2198</v>
      </c>
      <c r="H528" t="s">
        <v>106</v>
      </c>
    </row>
    <row r="529" spans="1:8">
      <c r="A529">
        <v>528</v>
      </c>
      <c r="C529" t="s">
        <v>2197</v>
      </c>
      <c r="F529" t="s">
        <v>2198</v>
      </c>
      <c r="H529" t="s">
        <v>106</v>
      </c>
    </row>
    <row r="530" spans="1:8">
      <c r="A530">
        <v>529</v>
      </c>
      <c r="C530" t="s">
        <v>2197</v>
      </c>
      <c r="F530" t="s">
        <v>2198</v>
      </c>
      <c r="H530" t="s">
        <v>106</v>
      </c>
    </row>
    <row r="531" spans="1:8">
      <c r="A531">
        <v>530</v>
      </c>
      <c r="C531" t="s">
        <v>2197</v>
      </c>
      <c r="F531" t="s">
        <v>2198</v>
      </c>
      <c r="H531" t="s">
        <v>106</v>
      </c>
    </row>
    <row r="532" spans="1:8">
      <c r="A532">
        <v>531</v>
      </c>
      <c r="C532" t="s">
        <v>2197</v>
      </c>
      <c r="F532" t="s">
        <v>2198</v>
      </c>
      <c r="H532" t="s">
        <v>106</v>
      </c>
    </row>
    <row r="533" spans="1:8">
      <c r="A533">
        <v>532</v>
      </c>
      <c r="C533" t="s">
        <v>2197</v>
      </c>
      <c r="F533" t="s">
        <v>2198</v>
      </c>
      <c r="H533" t="s">
        <v>106</v>
      </c>
    </row>
    <row r="534" spans="1:8">
      <c r="A534">
        <v>533</v>
      </c>
      <c r="C534" t="s">
        <v>2197</v>
      </c>
      <c r="F534" t="s">
        <v>2198</v>
      </c>
      <c r="H534" t="s">
        <v>106</v>
      </c>
    </row>
    <row r="535" spans="1:8">
      <c r="A535">
        <v>534</v>
      </c>
      <c r="C535" t="s">
        <v>2197</v>
      </c>
      <c r="F535" t="s">
        <v>2198</v>
      </c>
      <c r="H535" t="s">
        <v>106</v>
      </c>
    </row>
    <row r="536" spans="1:8">
      <c r="A536">
        <v>535</v>
      </c>
      <c r="C536" t="s">
        <v>2197</v>
      </c>
      <c r="F536" t="s">
        <v>2198</v>
      </c>
      <c r="H536" t="s">
        <v>106</v>
      </c>
    </row>
    <row r="537" spans="1:8">
      <c r="A537">
        <v>536</v>
      </c>
      <c r="C537" t="s">
        <v>2197</v>
      </c>
      <c r="F537" t="s">
        <v>2198</v>
      </c>
      <c r="H537" t="s">
        <v>106</v>
      </c>
    </row>
    <row r="538" spans="1:8">
      <c r="A538">
        <v>537</v>
      </c>
      <c r="C538" t="s">
        <v>2197</v>
      </c>
      <c r="F538" t="s">
        <v>2198</v>
      </c>
      <c r="H538" t="s">
        <v>106</v>
      </c>
    </row>
    <row r="539" spans="1:8">
      <c r="A539">
        <v>538</v>
      </c>
      <c r="C539" t="s">
        <v>2197</v>
      </c>
      <c r="F539" t="s">
        <v>2198</v>
      </c>
      <c r="H539" t="s">
        <v>106</v>
      </c>
    </row>
    <row r="540" spans="1:8">
      <c r="A540">
        <v>539</v>
      </c>
      <c r="C540" t="s">
        <v>2197</v>
      </c>
      <c r="F540" t="s">
        <v>2198</v>
      </c>
      <c r="H540" t="s">
        <v>106</v>
      </c>
    </row>
    <row r="541" spans="1:8">
      <c r="A541">
        <v>540</v>
      </c>
      <c r="C541" t="s">
        <v>2197</v>
      </c>
      <c r="F541" t="s">
        <v>2198</v>
      </c>
      <c r="H541" t="s">
        <v>106</v>
      </c>
    </row>
    <row r="542" spans="1:8">
      <c r="A542">
        <v>541</v>
      </c>
      <c r="C542" t="s">
        <v>2197</v>
      </c>
      <c r="F542" t="s">
        <v>2198</v>
      </c>
      <c r="H542" t="s">
        <v>106</v>
      </c>
    </row>
    <row r="543" spans="1:8">
      <c r="A543">
        <v>542</v>
      </c>
      <c r="C543" t="s">
        <v>2197</v>
      </c>
      <c r="F543" t="s">
        <v>2198</v>
      </c>
      <c r="H543" t="s">
        <v>106</v>
      </c>
    </row>
    <row r="544" spans="1:8">
      <c r="A544">
        <v>543</v>
      </c>
      <c r="C544" t="s">
        <v>2197</v>
      </c>
      <c r="F544" t="s">
        <v>2198</v>
      </c>
      <c r="H544" t="s">
        <v>106</v>
      </c>
    </row>
    <row r="545" spans="1:8">
      <c r="A545">
        <v>544</v>
      </c>
      <c r="C545" t="s">
        <v>2197</v>
      </c>
      <c r="F545" t="s">
        <v>2198</v>
      </c>
      <c r="H545" t="s">
        <v>106</v>
      </c>
    </row>
    <row r="546" spans="1:8">
      <c r="A546">
        <v>545</v>
      </c>
      <c r="C546" t="s">
        <v>2197</v>
      </c>
      <c r="F546" t="s">
        <v>2198</v>
      </c>
      <c r="H546" t="s">
        <v>106</v>
      </c>
    </row>
    <row r="547" spans="1:8">
      <c r="A547">
        <v>546</v>
      </c>
      <c r="C547" t="s">
        <v>2197</v>
      </c>
      <c r="F547" t="s">
        <v>2198</v>
      </c>
      <c r="H547" t="s">
        <v>106</v>
      </c>
    </row>
    <row r="548" spans="1:8">
      <c r="A548">
        <v>547</v>
      </c>
      <c r="C548" t="s">
        <v>2197</v>
      </c>
      <c r="F548" t="s">
        <v>2198</v>
      </c>
      <c r="H548" t="s">
        <v>106</v>
      </c>
    </row>
    <row r="549" spans="1:8">
      <c r="A549">
        <v>548</v>
      </c>
      <c r="C549" t="s">
        <v>2197</v>
      </c>
      <c r="F549" t="s">
        <v>2198</v>
      </c>
      <c r="H549" t="s">
        <v>106</v>
      </c>
    </row>
    <row r="550" spans="1:8">
      <c r="A550">
        <v>549</v>
      </c>
      <c r="C550" t="s">
        <v>2197</v>
      </c>
      <c r="F550" t="s">
        <v>2198</v>
      </c>
      <c r="H550" t="s">
        <v>106</v>
      </c>
    </row>
    <row r="551" spans="1:8">
      <c r="A551">
        <v>550</v>
      </c>
      <c r="C551" t="s">
        <v>2197</v>
      </c>
      <c r="F551" t="s">
        <v>2198</v>
      </c>
      <c r="H551" t="s">
        <v>106</v>
      </c>
    </row>
    <row r="552" spans="1:8">
      <c r="A552">
        <v>551</v>
      </c>
      <c r="C552" t="s">
        <v>2197</v>
      </c>
      <c r="F552" t="s">
        <v>2198</v>
      </c>
      <c r="H552" t="s">
        <v>106</v>
      </c>
    </row>
    <row r="553" spans="1:8">
      <c r="A553">
        <v>552</v>
      </c>
      <c r="C553" t="s">
        <v>2197</v>
      </c>
      <c r="F553" t="s">
        <v>2198</v>
      </c>
      <c r="H553" t="s">
        <v>106</v>
      </c>
    </row>
    <row r="554" spans="1:8">
      <c r="A554">
        <v>553</v>
      </c>
      <c r="C554" t="s">
        <v>2197</v>
      </c>
      <c r="F554" t="s">
        <v>2198</v>
      </c>
      <c r="H554" t="s">
        <v>106</v>
      </c>
    </row>
    <row r="555" spans="1:8">
      <c r="A555">
        <v>554</v>
      </c>
      <c r="C555" t="s">
        <v>2197</v>
      </c>
      <c r="F555" t="s">
        <v>2198</v>
      </c>
      <c r="H555" t="s">
        <v>106</v>
      </c>
    </row>
    <row r="556" spans="1:8">
      <c r="A556">
        <v>555</v>
      </c>
      <c r="C556" t="s">
        <v>2197</v>
      </c>
      <c r="F556" t="s">
        <v>2198</v>
      </c>
      <c r="H556" t="s">
        <v>106</v>
      </c>
    </row>
    <row r="557" spans="1:8">
      <c r="A557">
        <v>556</v>
      </c>
      <c r="C557" t="s">
        <v>2197</v>
      </c>
      <c r="F557" t="s">
        <v>2198</v>
      </c>
      <c r="H557" t="s">
        <v>106</v>
      </c>
    </row>
    <row r="558" spans="1:8">
      <c r="A558">
        <v>557</v>
      </c>
      <c r="C558" t="s">
        <v>2197</v>
      </c>
      <c r="F558" t="s">
        <v>2198</v>
      </c>
      <c r="H558" t="s">
        <v>106</v>
      </c>
    </row>
    <row r="559" spans="1:8">
      <c r="A559">
        <v>558</v>
      </c>
      <c r="C559" t="s">
        <v>2197</v>
      </c>
      <c r="F559" t="s">
        <v>2198</v>
      </c>
      <c r="H559" t="s">
        <v>106</v>
      </c>
    </row>
    <row r="560" spans="1:8">
      <c r="A560">
        <v>559</v>
      </c>
      <c r="C560" t="s">
        <v>2197</v>
      </c>
      <c r="F560" t="s">
        <v>2198</v>
      </c>
      <c r="H560" t="s">
        <v>106</v>
      </c>
    </row>
    <row r="561" spans="1:8">
      <c r="A561">
        <v>560</v>
      </c>
      <c r="C561" t="s">
        <v>2197</v>
      </c>
      <c r="F561" t="s">
        <v>2198</v>
      </c>
      <c r="H561" t="s">
        <v>106</v>
      </c>
    </row>
    <row r="562" spans="1:8">
      <c r="A562">
        <v>561</v>
      </c>
      <c r="C562" t="s">
        <v>2197</v>
      </c>
      <c r="F562" t="s">
        <v>2198</v>
      </c>
      <c r="H562" t="s">
        <v>106</v>
      </c>
    </row>
    <row r="563" spans="1:8">
      <c r="A563">
        <v>562</v>
      </c>
      <c r="C563" t="s">
        <v>2197</v>
      </c>
      <c r="F563" t="s">
        <v>2198</v>
      </c>
      <c r="H563" t="s">
        <v>106</v>
      </c>
    </row>
    <row r="564" spans="1:8">
      <c r="A564">
        <v>563</v>
      </c>
      <c r="C564" t="s">
        <v>2197</v>
      </c>
      <c r="F564" t="s">
        <v>2198</v>
      </c>
      <c r="H564" t="s">
        <v>106</v>
      </c>
    </row>
    <row r="565" spans="1:8">
      <c r="A565">
        <v>564</v>
      </c>
      <c r="C565" t="s">
        <v>2197</v>
      </c>
      <c r="F565" t="s">
        <v>2198</v>
      </c>
      <c r="H565" t="s">
        <v>106</v>
      </c>
    </row>
    <row r="566" spans="1:8">
      <c r="A566">
        <v>565</v>
      </c>
      <c r="C566" t="s">
        <v>2197</v>
      </c>
      <c r="F566" t="s">
        <v>2198</v>
      </c>
      <c r="H566" t="s">
        <v>106</v>
      </c>
    </row>
    <row r="567" spans="1:8">
      <c r="A567">
        <v>566</v>
      </c>
      <c r="C567" t="s">
        <v>2197</v>
      </c>
      <c r="F567" t="s">
        <v>2198</v>
      </c>
      <c r="H567" t="s">
        <v>106</v>
      </c>
    </row>
    <row r="568" spans="1:8">
      <c r="A568">
        <v>567</v>
      </c>
      <c r="C568" t="s">
        <v>2197</v>
      </c>
      <c r="F568" t="s">
        <v>2198</v>
      </c>
      <c r="H568" t="s">
        <v>106</v>
      </c>
    </row>
    <row r="569" spans="1:8">
      <c r="A569">
        <v>568</v>
      </c>
      <c r="C569" t="s">
        <v>2197</v>
      </c>
      <c r="F569" t="s">
        <v>2198</v>
      </c>
      <c r="H569" t="s">
        <v>106</v>
      </c>
    </row>
    <row r="570" spans="1:8">
      <c r="A570">
        <v>569</v>
      </c>
      <c r="C570" t="s">
        <v>2197</v>
      </c>
      <c r="F570" t="s">
        <v>2198</v>
      </c>
      <c r="H570" t="s">
        <v>106</v>
      </c>
    </row>
    <row r="571" spans="1:8">
      <c r="A571">
        <v>570</v>
      </c>
      <c r="C571" t="s">
        <v>2197</v>
      </c>
      <c r="F571" t="s">
        <v>2198</v>
      </c>
      <c r="H571" t="s">
        <v>106</v>
      </c>
    </row>
    <row r="572" spans="1:8">
      <c r="A572">
        <v>571</v>
      </c>
      <c r="C572" t="s">
        <v>2197</v>
      </c>
      <c r="F572" t="s">
        <v>2198</v>
      </c>
      <c r="H572" t="s">
        <v>106</v>
      </c>
    </row>
    <row r="573" spans="1:8">
      <c r="A573">
        <v>572</v>
      </c>
      <c r="C573" t="s">
        <v>2197</v>
      </c>
      <c r="F573" t="s">
        <v>2198</v>
      </c>
      <c r="H573" t="s">
        <v>106</v>
      </c>
    </row>
    <row r="574" spans="1:8">
      <c r="A574">
        <v>573</v>
      </c>
      <c r="C574" t="s">
        <v>2197</v>
      </c>
      <c r="F574" t="s">
        <v>2198</v>
      </c>
      <c r="H574" t="s">
        <v>106</v>
      </c>
    </row>
    <row r="575" spans="1:8">
      <c r="A575">
        <v>574</v>
      </c>
      <c r="C575" t="s">
        <v>2197</v>
      </c>
      <c r="F575" t="s">
        <v>2198</v>
      </c>
      <c r="H575" t="s">
        <v>106</v>
      </c>
    </row>
    <row r="576" spans="1:8">
      <c r="A576">
        <v>575</v>
      </c>
      <c r="C576" t="s">
        <v>2197</v>
      </c>
      <c r="F576" t="s">
        <v>2198</v>
      </c>
      <c r="H576" t="s">
        <v>106</v>
      </c>
    </row>
    <row r="577" spans="1:8">
      <c r="A577">
        <v>576</v>
      </c>
      <c r="C577" t="s">
        <v>2197</v>
      </c>
      <c r="F577" t="s">
        <v>2198</v>
      </c>
      <c r="H577" t="s">
        <v>106</v>
      </c>
    </row>
    <row r="578" spans="1:8">
      <c r="A578">
        <v>577</v>
      </c>
      <c r="C578" t="s">
        <v>2197</v>
      </c>
      <c r="F578" t="s">
        <v>2198</v>
      </c>
      <c r="H578" t="s">
        <v>106</v>
      </c>
    </row>
    <row r="579" spans="1:8">
      <c r="A579">
        <v>578</v>
      </c>
      <c r="C579" t="s">
        <v>2197</v>
      </c>
      <c r="F579" t="s">
        <v>2198</v>
      </c>
      <c r="H579" t="s">
        <v>106</v>
      </c>
    </row>
    <row r="580" spans="1:8">
      <c r="A580">
        <v>579</v>
      </c>
      <c r="C580" t="s">
        <v>2197</v>
      </c>
      <c r="F580" t="s">
        <v>2198</v>
      </c>
      <c r="H580" t="s">
        <v>106</v>
      </c>
    </row>
    <row r="581" spans="1:8">
      <c r="A581">
        <v>580</v>
      </c>
      <c r="C581" t="s">
        <v>2197</v>
      </c>
      <c r="F581" t="s">
        <v>2198</v>
      </c>
      <c r="H581" t="s">
        <v>106</v>
      </c>
    </row>
    <row r="582" spans="1:8">
      <c r="A582">
        <v>581</v>
      </c>
      <c r="C582" t="s">
        <v>2197</v>
      </c>
      <c r="F582" t="s">
        <v>2198</v>
      </c>
      <c r="H582" t="s">
        <v>106</v>
      </c>
    </row>
    <row r="583" spans="1:8">
      <c r="A583">
        <v>582</v>
      </c>
      <c r="C583" t="s">
        <v>2197</v>
      </c>
      <c r="F583" t="s">
        <v>2198</v>
      </c>
      <c r="H583" t="s">
        <v>106</v>
      </c>
    </row>
    <row r="584" spans="1:8">
      <c r="A584">
        <v>583</v>
      </c>
      <c r="C584" t="s">
        <v>2197</v>
      </c>
      <c r="F584" t="s">
        <v>2198</v>
      </c>
      <c r="H584" t="s">
        <v>106</v>
      </c>
    </row>
    <row r="585" spans="1:8">
      <c r="A585">
        <v>584</v>
      </c>
      <c r="C585" t="s">
        <v>2197</v>
      </c>
      <c r="F585" t="s">
        <v>2198</v>
      </c>
      <c r="H585" t="s">
        <v>106</v>
      </c>
    </row>
    <row r="586" spans="1:8">
      <c r="A586">
        <v>585</v>
      </c>
      <c r="C586" t="s">
        <v>2197</v>
      </c>
      <c r="F586" t="s">
        <v>2198</v>
      </c>
      <c r="H586" t="s">
        <v>106</v>
      </c>
    </row>
    <row r="587" spans="1:8">
      <c r="A587">
        <v>586</v>
      </c>
      <c r="C587" t="s">
        <v>2197</v>
      </c>
      <c r="F587" t="s">
        <v>2198</v>
      </c>
      <c r="H587" t="s">
        <v>106</v>
      </c>
    </row>
    <row r="588" spans="1:8">
      <c r="A588">
        <v>587</v>
      </c>
      <c r="C588" t="s">
        <v>2197</v>
      </c>
      <c r="F588" t="s">
        <v>2198</v>
      </c>
      <c r="H588" t="s">
        <v>106</v>
      </c>
    </row>
    <row r="589" spans="1:8">
      <c r="A589">
        <v>588</v>
      </c>
      <c r="C589" t="s">
        <v>2197</v>
      </c>
      <c r="F589" t="s">
        <v>2198</v>
      </c>
      <c r="H589" t="s">
        <v>106</v>
      </c>
    </row>
    <row r="590" spans="1:8">
      <c r="A590">
        <v>589</v>
      </c>
      <c r="C590" t="s">
        <v>2197</v>
      </c>
      <c r="F590" t="s">
        <v>2198</v>
      </c>
      <c r="H590" t="s">
        <v>106</v>
      </c>
    </row>
    <row r="591" spans="1:8">
      <c r="A591">
        <v>590</v>
      </c>
      <c r="C591" t="s">
        <v>2197</v>
      </c>
      <c r="F591" t="s">
        <v>2198</v>
      </c>
      <c r="H591" t="s">
        <v>106</v>
      </c>
    </row>
    <row r="592" spans="1:8">
      <c r="A592">
        <v>591</v>
      </c>
      <c r="C592" t="s">
        <v>2197</v>
      </c>
      <c r="F592" t="s">
        <v>2198</v>
      </c>
      <c r="H592" t="s">
        <v>106</v>
      </c>
    </row>
    <row r="593" spans="1:8">
      <c r="A593">
        <v>592</v>
      </c>
      <c r="C593" t="s">
        <v>2197</v>
      </c>
      <c r="F593" t="s">
        <v>2198</v>
      </c>
      <c r="H593" t="s">
        <v>106</v>
      </c>
    </row>
    <row r="594" spans="1:8">
      <c r="A594">
        <v>593</v>
      </c>
      <c r="C594" t="s">
        <v>2197</v>
      </c>
      <c r="F594" t="s">
        <v>2198</v>
      </c>
      <c r="H594" t="s">
        <v>106</v>
      </c>
    </row>
    <row r="595" spans="1:8">
      <c r="A595">
        <v>594</v>
      </c>
      <c r="C595" t="s">
        <v>2197</v>
      </c>
      <c r="F595" t="s">
        <v>2198</v>
      </c>
      <c r="H595" t="s">
        <v>106</v>
      </c>
    </row>
    <row r="596" spans="1:8">
      <c r="A596">
        <v>595</v>
      </c>
      <c r="C596" t="s">
        <v>2197</v>
      </c>
      <c r="F596" t="s">
        <v>2198</v>
      </c>
      <c r="H596" t="s">
        <v>106</v>
      </c>
    </row>
    <row r="597" spans="1:8">
      <c r="A597">
        <v>596</v>
      </c>
      <c r="C597" t="s">
        <v>2197</v>
      </c>
      <c r="F597" t="s">
        <v>2198</v>
      </c>
      <c r="H597" t="s">
        <v>106</v>
      </c>
    </row>
    <row r="598" spans="1:8">
      <c r="A598">
        <v>597</v>
      </c>
      <c r="C598" t="s">
        <v>2197</v>
      </c>
      <c r="F598" t="s">
        <v>2198</v>
      </c>
      <c r="H598" t="s">
        <v>106</v>
      </c>
    </row>
    <row r="599" spans="1:8">
      <c r="A599">
        <v>598</v>
      </c>
      <c r="C599" t="s">
        <v>2197</v>
      </c>
      <c r="F599" t="s">
        <v>2198</v>
      </c>
      <c r="H599" t="s">
        <v>106</v>
      </c>
    </row>
    <row r="600" spans="1:8">
      <c r="A600">
        <v>599</v>
      </c>
      <c r="C600" t="s">
        <v>2197</v>
      </c>
      <c r="E600" t="s">
        <v>2199</v>
      </c>
      <c r="F600" t="s">
        <v>2198</v>
      </c>
      <c r="H600" t="s">
        <v>106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01C011-58AF-4E8A-A932-A10FD6BA0B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CARRILLO PICO FEDERÍCO AVELINO</cp:lastModifiedBy>
  <cp:revision/>
  <dcterms:created xsi:type="dcterms:W3CDTF">2026-06-12T13:00:22Z</dcterms:created>
  <dcterms:modified xsi:type="dcterms:W3CDTF">2026-06-22T21:24:00Z</dcterms:modified>
  <cp:category/>
  <cp:contentStatus/>
</cp:coreProperties>
</file>