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eam-my.sharepoint.com/personal/avelino_carrillo_uleam_edu_ec/Documents/FCACC/PLANIFICACION/"/>
    </mc:Choice>
  </mc:AlternateContent>
  <xr:revisionPtr revIDLastSave="110" documentId="11_9248B46DC1CBB2E3ED7FF6F9903E8C1851038383" xr6:coauthVersionLast="47" xr6:coauthVersionMax="47" xr10:uidLastSave="{D745882F-FC7D-426F-906C-FD2E25C410CF}"/>
  <bookViews>
    <workbookView xWindow="-120" yWindow="-120" windowWidth="20730" windowHeight="11040" xr2:uid="{00000000-000D-0000-FFFF-FFFF00000000}"/>
  </bookViews>
  <sheets>
    <sheet name="MAE_CONOCIMIEN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1" l="1"/>
  <c r="A43" i="1"/>
  <c r="A42" i="1"/>
  <c r="A41" i="1"/>
  <c r="A40" i="1"/>
  <c r="A39" i="1"/>
  <c r="A38" i="1"/>
  <c r="A31" i="1"/>
  <c r="A32" i="1"/>
  <c r="A33" i="1"/>
  <c r="A34" i="1"/>
  <c r="A35" i="1"/>
  <c r="A36" i="1"/>
  <c r="A37" i="1"/>
  <c r="A30" i="1"/>
  <c r="A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" i="1"/>
</calcChain>
</file>

<file path=xl/sharedStrings.xml><?xml version="1.0" encoding="utf-8"?>
<sst xmlns="http://schemas.openxmlformats.org/spreadsheetml/2006/main" count="35" uniqueCount="35">
  <si>
    <t>ID_DDETALLADO</t>
  </si>
  <si>
    <t>CAMPO_DETALLADO</t>
  </si>
  <si>
    <t>ADMINISTRACIÓN</t>
  </si>
  <si>
    <t>ADMINISTRACIÓN EN E-COMMERCE</t>
  </si>
  <si>
    <t>AUDITORÍA DE TECNOLOGÍAS</t>
  </si>
  <si>
    <t>BIBLIOTECOLOGÍA, DOCUMENTACIÓN Y ARCHIVOLOGÍA</t>
  </si>
  <si>
    <t>CIENCIAS COMPUTACIONALES</t>
  </si>
  <si>
    <t>CIENCIAS DEL MEDIO AMBIENTE</t>
  </si>
  <si>
    <t>CIENCIAS POLÍTICAS</t>
  </si>
  <si>
    <t>COMERCIO</t>
  </si>
  <si>
    <t>COMERCIO Y NEGOCIOS INTERNACIONAL</t>
  </si>
  <si>
    <t>COMPETENCIAS LABORALES</t>
  </si>
  <si>
    <t>CONTABILIDAD Y AUDITORÍA</t>
  </si>
  <si>
    <t>DERECHO</t>
  </si>
  <si>
    <t>DERECHOS HUMANOS</t>
  </si>
  <si>
    <t>DISEÑO Y ADMINISTRACIÓN DE REDES Y BASES DE DATOS</t>
  </si>
  <si>
    <t>ECONOMÍA</t>
  </si>
  <si>
    <t>ECONOMÍA MATEMÁTICA</t>
  </si>
  <si>
    <t>GESTIÓN DE INFORMACIÓN</t>
  </si>
  <si>
    <t>GESTIÓN FINANCIERA</t>
  </si>
  <si>
    <t>IDIOMAS</t>
  </si>
  <si>
    <t>INFORMACIÓN GERENCIAL</t>
  </si>
  <si>
    <t>INNOVACIÓN TECNOLÓGICA EN LOS NEGOCIOS</t>
  </si>
  <si>
    <t>MARKETING Y PUBLICIDAD</t>
  </si>
  <si>
    <t>MEDIO AMBIENTE</t>
  </si>
  <si>
    <t>NEGOCIOS INTERNACIONALES</t>
  </si>
  <si>
    <t>SEGURIDAD Y SALUD OCUPACIONAL</t>
  </si>
  <si>
    <t>SISTEMAS DE INFORMACIÓN</t>
  </si>
  <si>
    <t>UNIDAD BASICA</t>
  </si>
  <si>
    <t>ACTIVIDAD</t>
  </si>
  <si>
    <t>DESARROLLO Y ANÁLISIS DE SOFTWARE Y APLICACIONES</t>
  </si>
  <si>
    <t>CIENCIAS DE LA EDUCACIÓN</t>
  </si>
  <si>
    <t>FORMACIÓN PARA DOCENTES CON ASIGNATURAS DE ESPECIALIZACIÓN</t>
  </si>
  <si>
    <t>GESTIÓN AMBIENTAL</t>
  </si>
  <si>
    <t>GESTIÓN DE LA CIENCIA Y LA TECNOLOGÍA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</si>
</sst>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2" borderId="2" xfId="0" applyFont="1" applyFill="1" applyBorder="1"/>
    <xf numFmtId="0" fontId="3" fillId="0" borderId="0" xfId="0" applyFont="1"/>
  </cellXfs>
  <cellStyles count="1">
    <cellStyle name="Normal" xfId="0" builtinId="0"/>
  </cellStyles>
  <dxfs count="3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49B43E-F6A8-4BB8-8632-17848B86EC4F}" name="TAB_H_CONOCIMIENTO" displayName="TAB_H_CONOCIMIENTO" ref="A1:B44" totalsRowShown="0">
  <autoFilter ref="A1:B44" xr:uid="{E049B43E-F6A8-4BB8-8632-17848B86EC4F}"/>
  <sortState xmlns:xlrd2="http://schemas.microsoft.com/office/spreadsheetml/2017/richdata2" ref="A2:B37">
    <sortCondition ref="B1:B37"/>
  </sortState>
  <tableColumns count="2">
    <tableColumn id="1" xr3:uid="{F917487B-1521-472C-8D62-820E9B2C3494}" name="ID_DDETALLADO" dataDxfId="0">
      <calculatedColumnFormula>CONCATENATE("F-C-D-",LEFT(MID(B2,1,20),3)&amp;IF(ISERR(FIND(" ",MID(B2,4,20))),"","-"&amp;LEFT(MID(MID(B2,4,20),FIND(" ",MID(B2,4,20))+1,20),3))&amp;IF(ISERR(FIND(" ",MID(B2,4,20),FIND(" ",MID(B2,4,20))+1)),"","-"&amp;LEFT(MID(MID(B2,4,20),FIND(" ",MID(B2,4,20),FIND(" ",MID(B2,4,20))+1)+1,20),3)))</calculatedColumnFormula>
    </tableColumn>
    <tableColumn id="2" xr3:uid="{06E745B3-0C50-4771-8A00-06E1FE9CDCC5}" name="CAMPO_DETALLADO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topLeftCell="A21" workbookViewId="0">
      <selection activeCell="B35" sqref="B35"/>
    </sheetView>
  </sheetViews>
  <sheetFormatPr defaultColWidth="16.42578125" defaultRowHeight="15"/>
  <cols>
    <col min="1" max="1" width="21.140625" customWidth="1"/>
    <col min="2" max="2" width="51" customWidth="1"/>
  </cols>
  <sheetData>
    <row r="1" spans="1:2">
      <c r="A1" t="s">
        <v>0</v>
      </c>
      <c r="B1" t="s">
        <v>1</v>
      </c>
    </row>
    <row r="2" spans="1:2">
      <c r="A2" t="str">
        <f>CONCATENATE("F-C-D-",LEFT(MID(B2,1,20),3)&amp;IF(ISERR(FIND(" ",MID(B2,4,20))),"","-"&amp;LEFT(MID(MID(B2,4,20),FIND(" ",MID(B2,4,20))+1,20),3))&amp;IF(ISERR(FIND(" ",MID(B2,4,20),FIND(" ",MID(B2,4,20))+1)),"","-"&amp;LEFT(MID(MID(B2,4,20),FIND(" ",MID(B2,4,20),FIND(" ",MID(B2,4,20))+1)+1,20),3)))</f>
        <v>F-C-D-ADM</v>
      </c>
      <c r="B2" s="2" t="s">
        <v>2</v>
      </c>
    </row>
    <row r="3" spans="1:2">
      <c r="A3" t="str">
        <f t="shared" ref="A3:A29" si="0">CONCATENATE("F-C-D-",LEFT(MID(B3,1,20),3)&amp;IF(ISERR(FIND(" ",MID(B3,4,20))),"","-"&amp;LEFT(MID(MID(B3,4,20),FIND(" ",MID(B3,4,20))+1,20),3))&amp;IF(ISERR(FIND(" ",MID(B3,4,20),FIND(" ",MID(B3,4,20))+1)),"","-"&amp;LEFT(MID(MID(B3,4,20),FIND(" ",MID(B3,4,20),FIND(" ",MID(B3,4,20))+1)+1,20),3)))</f>
        <v>F-C-D-ADM-EN -E-C</v>
      </c>
      <c r="B3" s="3" t="s">
        <v>3</v>
      </c>
    </row>
    <row r="4" spans="1:2">
      <c r="A4" t="str">
        <f t="shared" si="0"/>
        <v>F-C-D-AUD-DE -TEC</v>
      </c>
      <c r="B4" s="4" t="s">
        <v>4</v>
      </c>
    </row>
    <row r="5" spans="1:2">
      <c r="A5" t="str">
        <f t="shared" si="0"/>
        <v>F-C-D-BIB-DOC</v>
      </c>
      <c r="B5" s="5" t="s">
        <v>5</v>
      </c>
    </row>
    <row r="6" spans="1:2">
      <c r="A6" t="str">
        <f t="shared" si="0"/>
        <v>F-C-D-CIE-COM</v>
      </c>
      <c r="B6" s="4" t="s">
        <v>6</v>
      </c>
    </row>
    <row r="7" spans="1:2">
      <c r="A7" t="str">
        <f t="shared" si="0"/>
        <v>F-C-D-CIE-DEL-MED</v>
      </c>
      <c r="B7" s="5" t="s">
        <v>7</v>
      </c>
    </row>
    <row r="8" spans="1:2">
      <c r="A8" t="str">
        <f t="shared" si="0"/>
        <v>F-C-D-CIE-POL</v>
      </c>
      <c r="B8" s="4" t="s">
        <v>8</v>
      </c>
    </row>
    <row r="9" spans="1:2">
      <c r="A9" t="str">
        <f t="shared" si="0"/>
        <v>F-C-D-COM</v>
      </c>
      <c r="B9" s="5" t="s">
        <v>9</v>
      </c>
    </row>
    <row r="10" spans="1:2">
      <c r="A10" t="str">
        <f t="shared" si="0"/>
        <v>F-C-D-COM-Y N-NEG</v>
      </c>
      <c r="B10" s="4" t="s">
        <v>10</v>
      </c>
    </row>
    <row r="11" spans="1:2">
      <c r="A11" t="str">
        <f t="shared" si="0"/>
        <v>F-C-D-COM-LAB</v>
      </c>
      <c r="B11" s="5" t="s">
        <v>11</v>
      </c>
    </row>
    <row r="12" spans="1:2">
      <c r="A12" t="str">
        <f t="shared" si="0"/>
        <v>F-C-D-CON-Y A-AUD</v>
      </c>
      <c r="B12" s="5" t="s">
        <v>12</v>
      </c>
    </row>
    <row r="13" spans="1:2">
      <c r="A13" t="str">
        <f t="shared" si="0"/>
        <v>F-C-D-DER</v>
      </c>
      <c r="B13" s="4" t="s">
        <v>13</v>
      </c>
    </row>
    <row r="14" spans="1:2">
      <c r="A14" t="str">
        <f t="shared" si="0"/>
        <v>F-C-D-DER-HUM</v>
      </c>
      <c r="B14" s="5" t="s">
        <v>14</v>
      </c>
    </row>
    <row r="15" spans="1:2">
      <c r="A15" t="str">
        <f t="shared" si="0"/>
        <v>F-C-D-DIS-Y A-ADM</v>
      </c>
      <c r="B15" s="6" t="s">
        <v>15</v>
      </c>
    </row>
    <row r="16" spans="1:2">
      <c r="A16" t="str">
        <f t="shared" si="0"/>
        <v>F-C-D-ECO</v>
      </c>
      <c r="B16" s="3" t="s">
        <v>16</v>
      </c>
    </row>
    <row r="17" spans="1:2">
      <c r="A17" t="str">
        <f t="shared" si="0"/>
        <v>F-C-D-ECO-MAT</v>
      </c>
      <c r="B17" s="2" t="s">
        <v>17</v>
      </c>
    </row>
    <row r="18" spans="1:2">
      <c r="A18" t="str">
        <f t="shared" si="0"/>
        <v>F-C-D-GES-DE -INF</v>
      </c>
      <c r="B18" s="3" t="s">
        <v>18</v>
      </c>
    </row>
    <row r="19" spans="1:2">
      <c r="A19" t="str">
        <f t="shared" si="0"/>
        <v>F-C-D-GES-FIN</v>
      </c>
      <c r="B19" s="2" t="s">
        <v>19</v>
      </c>
    </row>
    <row r="20" spans="1:2">
      <c r="A20" t="str">
        <f t="shared" si="0"/>
        <v>F-C-D-IDI</v>
      </c>
      <c r="B20" s="2" t="s">
        <v>20</v>
      </c>
    </row>
    <row r="21" spans="1:2">
      <c r="A21" t="str">
        <f t="shared" si="0"/>
        <v>F-C-D-INF-GER</v>
      </c>
      <c r="B21" s="3" t="s">
        <v>21</v>
      </c>
    </row>
    <row r="22" spans="1:2">
      <c r="A22" t="str">
        <f t="shared" si="0"/>
        <v>F-C-D-INN-TEC-</v>
      </c>
      <c r="B22" s="2" t="s">
        <v>22</v>
      </c>
    </row>
    <row r="23" spans="1:2">
      <c r="A23" t="str">
        <f t="shared" si="0"/>
        <v>F-C-D-MAR-Y P-PUB</v>
      </c>
      <c r="B23" s="3" t="s">
        <v>23</v>
      </c>
    </row>
    <row r="24" spans="1:2">
      <c r="A24" t="str">
        <f t="shared" si="0"/>
        <v>F-C-D-MED-AMB</v>
      </c>
      <c r="B24" s="2" t="s">
        <v>24</v>
      </c>
    </row>
    <row r="25" spans="1:2">
      <c r="A25" t="str">
        <f t="shared" si="0"/>
        <v>F-C-D-NEG-INT</v>
      </c>
      <c r="B25" s="3" t="s">
        <v>25</v>
      </c>
    </row>
    <row r="26" spans="1:2">
      <c r="A26" t="str">
        <f t="shared" si="0"/>
        <v>F-C-D-SEG-Y S-SAL</v>
      </c>
      <c r="B26" s="2" t="s">
        <v>26</v>
      </c>
    </row>
    <row r="27" spans="1:2">
      <c r="A27" t="str">
        <f t="shared" si="0"/>
        <v>F-C-D-SIS-DE -INF</v>
      </c>
      <c r="B27" s="3" t="s">
        <v>27</v>
      </c>
    </row>
    <row r="28" spans="1:2">
      <c r="A28" t="str">
        <f t="shared" si="0"/>
        <v>F-C-D-UNI-BAS</v>
      </c>
      <c r="B28" s="2" t="s">
        <v>28</v>
      </c>
    </row>
    <row r="29" spans="1:2">
      <c r="A29" t="str">
        <f t="shared" si="0"/>
        <v>F-C-D-ACT</v>
      </c>
      <c r="B29" s="1" t="s">
        <v>29</v>
      </c>
    </row>
    <row r="30" spans="1:2">
      <c r="A30" t="str">
        <f>CONCATENATE("F-C-D-",LEFT(MID(B30,1,20),3)&amp;IF(ISERR(FIND(" ",MID(B30,4,20))),"","-"&amp;LEFT(MID(MID(B30,4,20),FIND(" ",MID(B30,4,20))+1,20),3))&amp;IF(ISERR(FIND(" ",MID(B30,4,20),FIND(" ",MID(B30,4,20))+1)),"","-"&amp;LEFT(MID(MID(B30,4,20),FIND(" ",MID(B30,4,20),FIND(" ",MID(B30,4,20))+1)+1,20),3)))</f>
        <v>F-C-D-DES-Y A-ANÁ</v>
      </c>
      <c r="B30" s="1" t="s">
        <v>30</v>
      </c>
    </row>
    <row r="31" spans="1:2">
      <c r="A31" t="str">
        <f t="shared" ref="A31:A37" si="1">CONCATENATE("F-C-D-",LEFT(MID(B31,1,20),3)&amp;IF(ISERR(FIND(" ",MID(B31,4,20))),"","-"&amp;LEFT(MID(MID(B31,4,20),FIND(" ",MID(B31,4,20))+1,20),3))&amp;IF(ISERR(FIND(" ",MID(B31,4,20),FIND(" ",MID(B31,4,20))+1)),"","-"&amp;LEFT(MID(MID(B31,4,20),FIND(" ",MID(B31,4,20),FIND(" ",MID(B31,4,20))+1)+1,20),3)))</f>
        <v xml:space="preserve">F-C-D-CIE-DE -LA </v>
      </c>
      <c r="B31" s="1" t="s">
        <v>31</v>
      </c>
    </row>
    <row r="32" spans="1:2" ht="30.75">
      <c r="A32" t="str">
        <f t="shared" si="1"/>
        <v>F-C-D-FOR-PAR-DOC</v>
      </c>
      <c r="B32" s="1" t="s">
        <v>32</v>
      </c>
    </row>
    <row r="33" spans="1:2">
      <c r="A33" t="str">
        <f t="shared" si="1"/>
        <v>F-C-D-GES-AMB</v>
      </c>
      <c r="B33" s="1" t="s">
        <v>33</v>
      </c>
    </row>
    <row r="34" spans="1:2" ht="16.5">
      <c r="A34" t="str">
        <f t="shared" si="1"/>
        <v xml:space="preserve">F-C-D-GES-DE -LA </v>
      </c>
      <c r="B34" s="7" t="s">
        <v>34</v>
      </c>
    </row>
    <row r="35" spans="1:2" ht="16.5">
      <c r="A35" t="str">
        <f t="shared" si="1"/>
        <v>F-C-D-</v>
      </c>
      <c r="B35" s="7"/>
    </row>
    <row r="36" spans="1:2" ht="16.5">
      <c r="A36" t="str">
        <f t="shared" si="1"/>
        <v>F-C-D-</v>
      </c>
      <c r="B36" s="7"/>
    </row>
    <row r="37" spans="1:2" ht="16.5">
      <c r="A37" t="str">
        <f t="shared" si="1"/>
        <v>F-C-D-</v>
      </c>
      <c r="B37" s="7"/>
    </row>
    <row r="38" spans="1:2" ht="16.5">
      <c r="A38" t="str">
        <f t="shared" ref="A38:A44" si="2">CONCATENATE("F-C-D-",LEFT(MID(B38,1,20),3)&amp;IF(ISERR(FIND(" ",MID(B38,4,20))),"","-"&amp;LEFT(MID(MID(B38,4,20),FIND(" ",MID(B38,4,20))+1,20),3))&amp;IF(ISERR(FIND(" ",MID(B38,4,20),FIND(" ",MID(B38,4,20))+1)),"","-"&amp;LEFT(MID(MID(B38,4,20),FIND(" ",MID(B38,4,20),FIND(" ",MID(B38,4,20))+1)+1,20),3)))</f>
        <v>F-C-D-</v>
      </c>
      <c r="B38" s="7"/>
    </row>
    <row r="39" spans="1:2" ht="16.5">
      <c r="A39" t="str">
        <f t="shared" si="2"/>
        <v>F-C-D-</v>
      </c>
      <c r="B39" s="7"/>
    </row>
    <row r="40" spans="1:2" ht="16.5">
      <c r="A40" t="str">
        <f t="shared" si="2"/>
        <v>F-C-D-</v>
      </c>
      <c r="B40" s="7"/>
    </row>
    <row r="41" spans="1:2" ht="16.5">
      <c r="A41" t="str">
        <f t="shared" si="2"/>
        <v>F-C-D-</v>
      </c>
      <c r="B41" s="7"/>
    </row>
    <row r="42" spans="1:2" ht="16.5">
      <c r="A42" t="str">
        <f t="shared" si="2"/>
        <v>F-C-D-</v>
      </c>
      <c r="B42" s="7"/>
    </row>
    <row r="43" spans="1:2" ht="16.5">
      <c r="A43" t="str">
        <f t="shared" si="2"/>
        <v>F-C-D-</v>
      </c>
      <c r="B43" s="7"/>
    </row>
    <row r="44" spans="1:2" ht="16.5">
      <c r="A44" t="str">
        <f t="shared" si="2"/>
        <v>F-C-D-</v>
      </c>
      <c r="B44" s="7"/>
    </row>
  </sheetData>
  <conditionalFormatting sqref="B1 B29:B33 B45:B1048576">
    <cfRule type="duplicateValues" dxfId="2" priority="1"/>
  </conditionalFormatting>
  <conditionalFormatting sqref="A2:A44">
    <cfRule type="duplicateValues" dxfId="1" priority="25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SORNOZA ZAMORA JUAN CARLOS</cp:lastModifiedBy>
  <cp:revision/>
  <dcterms:created xsi:type="dcterms:W3CDTF">2026-06-12T17:33:19Z</dcterms:created>
  <dcterms:modified xsi:type="dcterms:W3CDTF">2026-06-25T22:09:55Z</dcterms:modified>
  <cp:category/>
  <cp:contentStatus/>
</cp:coreProperties>
</file>