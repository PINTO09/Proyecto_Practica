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leam-my.sharepoint.com/personal/avelino_carrillo_uleam_edu_ec/Documents/FCACC/PLANIFICACION/"/>
    </mc:Choice>
  </mc:AlternateContent>
  <xr:revisionPtr revIDLastSave="1590" documentId="11_9248B46DC1CBB2E3ED7FF6F9903E8C1851038383" xr6:coauthVersionLast="47" xr6:coauthVersionMax="47" xr10:uidLastSave="{C98647AE-788C-45E9-87EC-A59BD9A1319F}"/>
  <bookViews>
    <workbookView xWindow="-120" yWindow="-120" windowWidth="20730" windowHeight="11040" firstSheet="1" activeTab="1" xr2:uid="{00000000-000D-0000-FFFF-FFFF00000000}"/>
  </bookViews>
  <sheets>
    <sheet name="Hoja1" sheetId="12" r:id="rId1"/>
    <sheet name="ASIGNACION" sheetId="1" r:id="rId2"/>
    <sheet name="T_CARREAS1" sheetId="10" r:id="rId3"/>
    <sheet name="T_ASIGNATURA1" sheetId="11" r:id="rId4"/>
    <sheet name="Tabla3" sheetId="16" r:id="rId5"/>
    <sheet name="Tabla1" sheetId="17" r:id="rId6"/>
    <sheet name="Tabla1 (2)" sheetId="18" r:id="rId7"/>
    <sheet name="Tabla1 (3)" sheetId="19" r:id="rId8"/>
    <sheet name="Hoja2" sheetId="20" r:id="rId9"/>
  </sheets>
  <definedNames>
    <definedName name="_xlcn.WorksheetConnection_PLAN_ASIG.xlsxTabla11" hidden="1">Tabla1[]</definedName>
    <definedName name="DatosExternos_1" localSheetId="3" hidden="1">T_ASIGNATURA1!$A$1:$E$319</definedName>
    <definedName name="DatosExternos_1" localSheetId="2" hidden="1">T_CARREAS1!$A$1:$B$10</definedName>
    <definedName name="DatosExternos_1" localSheetId="5" hidden="1">Tabla1!$A$1:$E$12</definedName>
    <definedName name="DatosExternos_1" localSheetId="6" hidden="1">'Tabla1 (2)'!$A$1:$E$16</definedName>
    <definedName name="DatosExternos_1" localSheetId="7" hidden="1">'Tabla1 (3)'!$A$1:$I$133</definedName>
    <definedName name="DatosExternos_1" localSheetId="4" hidden="1">Tabla3!$A$1:$D$17</definedName>
  </definedNames>
  <calcPr calcId="191028"/>
  <pivotCaches>
    <pivotCache cacheId="343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PLAN_ASIG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0" i="1"/>
  <c r="B21" i="1"/>
  <c r="B22" i="1"/>
  <c r="B23" i="1"/>
  <c r="C19" i="1" a="1"/>
  <c r="C19" i="1"/>
  <c r="C20" i="1" a="1"/>
  <c r="C20" i="1"/>
  <c r="C21" i="1" a="1"/>
  <c r="C21" i="1"/>
  <c r="C22" i="1" a="1"/>
  <c r="C22" i="1"/>
  <c r="C23" i="1" a="1"/>
  <c r="C23" i="1"/>
  <c r="F19" i="1" a="1"/>
  <c r="F19" i="1"/>
  <c r="F20" i="1" a="1"/>
  <c r="F20" i="1"/>
  <c r="F21" i="1" a="1"/>
  <c r="F21" i="1"/>
  <c r="F22" i="1" a="1"/>
  <c r="F22" i="1"/>
  <c r="F23" i="1" a="1"/>
  <c r="F23" i="1"/>
  <c r="H19" i="1" a="1"/>
  <c r="H19" i="1"/>
  <c r="H20" i="1" a="1"/>
  <c r="H20" i="1"/>
  <c r="H21" i="1" a="1"/>
  <c r="H21" i="1"/>
  <c r="H22" i="1" a="1"/>
  <c r="H22" i="1"/>
  <c r="H23" i="1" a="1"/>
  <c r="H23" i="1"/>
  <c r="J19" i="1"/>
  <c r="J20" i="1"/>
  <c r="J21" i="1"/>
  <c r="J22" i="1"/>
  <c r="J23" i="1"/>
  <c r="N19" i="1"/>
  <c r="N20" i="1"/>
  <c r="N21" i="1"/>
  <c r="N22" i="1"/>
  <c r="N23" i="1"/>
  <c r="P19" i="1"/>
  <c r="P20" i="1"/>
  <c r="P21" i="1"/>
  <c r="P22" i="1"/>
  <c r="P23" i="1"/>
  <c r="Q19" i="1"/>
  <c r="Q20" i="1"/>
  <c r="Q21" i="1"/>
  <c r="Q22" i="1"/>
  <c r="Q23" i="1"/>
  <c r="EA2" i="12" a="1"/>
  <c r="EA2" i="12" s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BD5" i="12" a="1"/>
  <c r="BD5" i="12" s="1"/>
  <c r="BD4" i="12" a="1"/>
  <c r="BD4" i="12" s="1"/>
  <c r="BQ3" i="12" s="1" a="1"/>
  <c r="BQ3" i="12" s="1"/>
  <c r="EA3" i="12" s="1" a="1"/>
  <c r="EA3" i="12" s="1"/>
  <c r="H2" i="1" a="1"/>
  <c r="H2" i="1" s="1"/>
  <c r="J2" i="1" s="1"/>
  <c r="N2" i="1" s="1"/>
  <c r="H3" i="1" a="1"/>
  <c r="H3" i="1" s="1"/>
  <c r="J3" i="1" s="1"/>
  <c r="N3" i="1" s="1"/>
  <c r="H4" i="1" a="1"/>
  <c r="H4" i="1" s="1"/>
  <c r="J4" i="1" s="1"/>
  <c r="N4" i="1" s="1"/>
  <c r="H5" i="1" a="1"/>
  <c r="H5" i="1" s="1"/>
  <c r="J5" i="1" s="1"/>
  <c r="N5" i="1" s="1"/>
  <c r="H6" i="1" a="1"/>
  <c r="H6" i="1" s="1"/>
  <c r="J6" i="1" s="1"/>
  <c r="N6" i="1" s="1"/>
  <c r="H7" i="1" a="1"/>
  <c r="H7" i="1" s="1"/>
  <c r="J7" i="1" s="1"/>
  <c r="N7" i="1" s="1"/>
  <c r="H8" i="1" a="1"/>
  <c r="H8" i="1" s="1"/>
  <c r="J8" i="1" s="1"/>
  <c r="N8" i="1" s="1"/>
  <c r="H9" i="1" a="1"/>
  <c r="H9" i="1" s="1"/>
  <c r="J9" i="1" s="1"/>
  <c r="N9" i="1" s="1"/>
  <c r="H10" i="1" a="1"/>
  <c r="H10" i="1" s="1"/>
  <c r="J10" i="1" s="1"/>
  <c r="N10" i="1" s="1"/>
  <c r="H11" i="1" a="1"/>
  <c r="H11" i="1" s="1"/>
  <c r="J11" i="1" s="1"/>
  <c r="N11" i="1" s="1"/>
  <c r="H12" i="1" a="1"/>
  <c r="H12" i="1" s="1"/>
  <c r="J12" i="1" s="1"/>
  <c r="N12" i="1" s="1"/>
  <c r="H13" i="1" a="1"/>
  <c r="H13" i="1" s="1"/>
  <c r="J13" i="1" s="1"/>
  <c r="N13" i="1" s="1"/>
  <c r="H14" i="1" a="1"/>
  <c r="H14" i="1" s="1"/>
  <c r="J14" i="1" s="1"/>
  <c r="N14" i="1" s="1"/>
  <c r="H15" i="1" a="1"/>
  <c r="H15" i="1" s="1"/>
  <c r="J15" i="1" s="1"/>
  <c r="N15" i="1" s="1"/>
  <c r="H16" i="1" a="1"/>
  <c r="H16" i="1" s="1"/>
  <c r="J16" i="1" s="1"/>
  <c r="N16" i="1" s="1"/>
  <c r="H17" i="1" a="1"/>
  <c r="H17" i="1" s="1"/>
  <c r="J17" i="1" s="1"/>
  <c r="N17" i="1" s="1"/>
  <c r="H18" i="1" a="1"/>
  <c r="H18" i="1" s="1"/>
  <c r="J18" i="1" s="1"/>
  <c r="N18" i="1" s="1"/>
  <c r="P9" i="1" l="1"/>
  <c r="P10" i="1"/>
  <c r="P12" i="1"/>
  <c r="P13" i="1"/>
  <c r="P14" i="1"/>
  <c r="P15" i="1"/>
  <c r="P16" i="1"/>
  <c r="P17" i="1"/>
  <c r="P18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BQ26" i="12" a="1"/>
  <c r="BQ27" i="12" a="1"/>
  <c r="BQ28" i="12" a="1"/>
  <c r="BQ29" i="12" a="1"/>
  <c r="BQ30" i="12" a="1"/>
  <c r="BQ31" i="12" a="1"/>
  <c r="BQ32" i="12" a="1"/>
  <c r="BQ33" i="12" a="1"/>
  <c r="BQ34" i="12" a="1"/>
  <c r="BQ35" i="12" a="1"/>
  <c r="BQ36" i="12" a="1"/>
  <c r="BQ37" i="12" a="1"/>
  <c r="BQ38" i="12" a="1"/>
  <c r="BQ39" i="12" a="1"/>
  <c r="BQ40" i="12" a="1"/>
  <c r="BQ41" i="12" a="1"/>
  <c r="BQ42" i="12" a="1"/>
  <c r="BQ43" i="12" a="1"/>
  <c r="BQ44" i="12" a="1"/>
  <c r="BQ45" i="12" a="1"/>
  <c r="BQ46" i="12" a="1"/>
  <c r="BQ47" i="12" a="1"/>
  <c r="BQ48" i="12" a="1"/>
  <c r="BQ49" i="12" a="1"/>
  <c r="BQ50" i="12" a="1"/>
  <c r="BQ51" i="12" a="1"/>
  <c r="BQ52" i="12" a="1"/>
  <c r="BQ53" i="12" a="1"/>
  <c r="BQ54" i="12" a="1"/>
  <c r="BQ55" i="12" a="1"/>
  <c r="BQ56" i="12" a="1"/>
  <c r="BQ57" i="12" a="1"/>
  <c r="BQ58" i="12" a="1"/>
  <c r="BQ59" i="12" a="1"/>
  <c r="BQ60" i="12" a="1"/>
  <c r="BQ61" i="12" a="1"/>
  <c r="BQ62" i="12" a="1"/>
  <c r="BQ63" i="12" a="1"/>
  <c r="BQ64" i="12" a="1"/>
  <c r="BQ65" i="12" a="1"/>
  <c r="BQ66" i="12" a="1"/>
  <c r="BQ67" i="12" a="1"/>
  <c r="BD3" i="12" a="1"/>
  <c r="BD6" i="12" a="1"/>
  <c r="BD7" i="12" a="1"/>
  <c r="BD8" i="12" a="1"/>
  <c r="BD9" i="12" a="1"/>
  <c r="BD10" i="12" a="1"/>
  <c r="BD11" i="12" a="1"/>
  <c r="BD12" i="12" a="1"/>
  <c r="BD13" i="12" a="1"/>
  <c r="BD14" i="12" a="1"/>
  <c r="BD15" i="12" a="1"/>
  <c r="BD16" i="12" a="1"/>
  <c r="BD17" i="12" a="1"/>
  <c r="BD18" i="12" a="1"/>
  <c r="BD19" i="12" a="1"/>
  <c r="BD20" i="12" a="1"/>
  <c r="BD21" i="12" a="1"/>
  <c r="BD22" i="12" a="1"/>
  <c r="BD23" i="12" a="1"/>
  <c r="BD24" i="12" a="1"/>
  <c r="BD25" i="12" a="1"/>
  <c r="BD26" i="12" a="1"/>
  <c r="EA639" i="12" a="1"/>
  <c r="EA640" i="12" a="1"/>
  <c r="EA641" i="12" a="1"/>
  <c r="EA642" i="12" a="1"/>
  <c r="EA643" i="12" a="1"/>
  <c r="EA644" i="12" a="1"/>
  <c r="EA645" i="12" a="1"/>
  <c r="EA646" i="12" a="1"/>
  <c r="EA647" i="12" a="1"/>
  <c r="EA648" i="12" a="1"/>
  <c r="EA649" i="12" a="1"/>
  <c r="EA650" i="12" a="1"/>
  <c r="EA651" i="12" a="1"/>
  <c r="EA652" i="12" a="1"/>
  <c r="EA653" i="12" a="1"/>
  <c r="EA654" i="12" a="1"/>
  <c r="EA655" i="12" a="1"/>
  <c r="EA656" i="12" a="1"/>
  <c r="EA657" i="12" a="1"/>
  <c r="EA658" i="12" a="1"/>
  <c r="EA659" i="12" a="1"/>
  <c r="EA660" i="12" a="1"/>
  <c r="EA661" i="12" a="1"/>
  <c r="BQ68" i="12" a="1"/>
  <c r="BQ69" i="12" a="1"/>
  <c r="BQ70" i="12" a="1"/>
  <c r="BQ71" i="12" a="1"/>
  <c r="BQ72" i="12" a="1"/>
  <c r="BQ73" i="12" a="1"/>
  <c r="BQ74" i="12" a="1"/>
  <c r="BQ75" i="12" a="1"/>
  <c r="BQ76" i="12" a="1"/>
  <c r="BQ77" i="12" a="1"/>
  <c r="BQ78" i="12" a="1"/>
  <c r="BQ79" i="12" a="1"/>
  <c r="BQ80" i="12" a="1"/>
  <c r="BQ81" i="12" a="1"/>
  <c r="BQ82" i="12" a="1"/>
  <c r="BQ83" i="12" a="1"/>
  <c r="BQ84" i="12" a="1"/>
  <c r="BQ85" i="12" a="1"/>
  <c r="BQ86" i="12" a="1"/>
  <c r="BQ87" i="12" a="1"/>
  <c r="BQ88" i="12" a="1"/>
  <c r="BQ89" i="12" a="1"/>
  <c r="BQ90" i="12" a="1"/>
  <c r="BQ91" i="12" a="1"/>
  <c r="BQ92" i="12" a="1"/>
  <c r="BQ93" i="12" a="1"/>
  <c r="BQ94" i="12" a="1"/>
  <c r="BQ95" i="12" a="1"/>
  <c r="BQ96" i="12" a="1"/>
  <c r="BQ97" i="12" a="1"/>
  <c r="BQ98" i="12" a="1"/>
  <c r="BQ99" i="12" a="1"/>
  <c r="BQ100" i="12" a="1"/>
  <c r="BQ101" i="12" a="1"/>
  <c r="BQ102" i="12" a="1"/>
  <c r="BQ103" i="12" a="1"/>
  <c r="BQ104" i="12" a="1"/>
  <c r="BQ105" i="12" a="1"/>
  <c r="BQ106" i="12" a="1"/>
  <c r="BQ107" i="12" a="1"/>
  <c r="BQ108" i="12" a="1"/>
  <c r="BQ109" i="12" a="1"/>
  <c r="BQ110" i="12" a="1"/>
  <c r="BQ111" i="12" a="1"/>
  <c r="BQ112" i="12" a="1"/>
  <c r="BQ113" i="12" a="1"/>
  <c r="BQ114" i="12" a="1"/>
  <c r="BQ115" i="12" a="1"/>
  <c r="BQ116" i="12" a="1"/>
  <c r="BQ117" i="12" a="1"/>
  <c r="BQ118" i="12" a="1"/>
  <c r="BQ119" i="12" a="1"/>
  <c r="BQ120" i="12" a="1"/>
  <c r="BQ121" i="12" a="1"/>
  <c r="BQ122" i="12" a="1"/>
  <c r="BQ123" i="12" a="1"/>
  <c r="BQ124" i="12" a="1"/>
  <c r="BQ125" i="12" a="1"/>
  <c r="BQ126" i="12" a="1"/>
  <c r="BQ127" i="12" a="1"/>
  <c r="BQ128" i="12" a="1"/>
  <c r="BQ129" i="12" a="1"/>
  <c r="BQ130" i="12" a="1"/>
  <c r="BQ131" i="12" a="1"/>
  <c r="BQ132" i="12" a="1"/>
  <c r="BQ133" i="12" a="1"/>
  <c r="BQ134" i="12" a="1"/>
  <c r="BQ135" i="12" a="1"/>
  <c r="BQ136" i="12" a="1"/>
  <c r="BQ137" i="12" a="1"/>
  <c r="BQ138" i="12" a="1"/>
  <c r="BQ139" i="12" a="1"/>
  <c r="BQ140" i="12" a="1"/>
  <c r="BQ141" i="12" a="1"/>
  <c r="BQ142" i="12" a="1"/>
  <c r="BQ143" i="12" a="1"/>
  <c r="BQ144" i="12" a="1"/>
  <c r="BQ145" i="12" a="1"/>
  <c r="BQ146" i="12" a="1"/>
  <c r="BQ147" i="12" a="1"/>
  <c r="BQ148" i="12" a="1"/>
  <c r="BQ149" i="12" a="1"/>
  <c r="BQ150" i="12" a="1"/>
  <c r="BQ151" i="12" a="1"/>
  <c r="BQ152" i="12" a="1"/>
  <c r="BQ153" i="12" a="1"/>
  <c r="BQ154" i="12" a="1"/>
  <c r="BQ155" i="12" a="1"/>
  <c r="BQ156" i="12" a="1"/>
  <c r="BQ157" i="12" a="1"/>
  <c r="BQ158" i="12" a="1"/>
  <c r="BQ159" i="12" a="1"/>
  <c r="BQ160" i="12" a="1"/>
  <c r="BQ161" i="12" a="1"/>
  <c r="BQ162" i="12" a="1"/>
  <c r="BQ163" i="12" a="1"/>
  <c r="BQ164" i="12" a="1"/>
  <c r="BQ165" i="12" a="1"/>
  <c r="BQ166" i="12" a="1"/>
  <c r="BQ167" i="12" a="1"/>
  <c r="BQ168" i="12" a="1"/>
  <c r="BQ169" i="12" a="1"/>
  <c r="BQ170" i="12" a="1"/>
  <c r="BQ171" i="12" a="1"/>
  <c r="BQ172" i="12" a="1"/>
  <c r="BQ173" i="12" a="1"/>
  <c r="BQ174" i="12" a="1"/>
  <c r="BQ175" i="12" a="1"/>
  <c r="BQ176" i="12" a="1"/>
  <c r="BQ177" i="12" a="1"/>
  <c r="BQ178" i="12" a="1"/>
  <c r="BQ179" i="12" a="1"/>
  <c r="BQ180" i="12" a="1"/>
  <c r="BQ181" i="12" a="1"/>
  <c r="BQ182" i="12" a="1"/>
  <c r="BQ183" i="12" a="1"/>
  <c r="BQ184" i="12" a="1"/>
  <c r="BQ185" i="12" a="1"/>
  <c r="BQ186" i="12" a="1"/>
  <c r="BQ187" i="12" a="1"/>
  <c r="BQ188" i="12" a="1"/>
  <c r="BQ189" i="12" a="1"/>
  <c r="BQ190" i="12" a="1"/>
  <c r="BQ191" i="12" a="1"/>
  <c r="BQ192" i="12" a="1"/>
  <c r="BQ193" i="12" a="1"/>
  <c r="BQ194" i="12" a="1"/>
  <c r="BQ195" i="12" a="1"/>
  <c r="BQ196" i="12" a="1"/>
  <c r="BQ197" i="12" a="1"/>
  <c r="BQ198" i="12" a="1"/>
  <c r="BQ199" i="12" a="1"/>
  <c r="BQ200" i="12" a="1"/>
  <c r="BQ201" i="12" a="1"/>
  <c r="BQ202" i="12" a="1"/>
  <c r="BQ203" i="12" a="1"/>
  <c r="BQ204" i="12" a="1"/>
  <c r="BQ205" i="12" a="1"/>
  <c r="BQ206" i="12" a="1"/>
  <c r="BQ207" i="12" a="1"/>
  <c r="BQ208" i="12" a="1"/>
  <c r="BQ209" i="12" a="1"/>
  <c r="BQ210" i="12" a="1"/>
  <c r="BQ211" i="12" a="1"/>
  <c r="BQ212" i="12" a="1"/>
  <c r="BQ213" i="12" a="1"/>
  <c r="BQ214" i="12" a="1"/>
  <c r="BQ215" i="12" a="1"/>
  <c r="BQ216" i="12" a="1"/>
  <c r="BQ217" i="12" a="1"/>
  <c r="BQ218" i="12" a="1"/>
  <c r="BQ219" i="12" a="1"/>
  <c r="BQ220" i="12" a="1"/>
  <c r="BQ221" i="12" a="1"/>
  <c r="BQ222" i="12" a="1"/>
  <c r="BQ223" i="12" a="1"/>
  <c r="BQ224" i="12" a="1"/>
  <c r="BQ225" i="12" a="1"/>
  <c r="BQ226" i="12" a="1"/>
  <c r="BQ227" i="12" a="1"/>
  <c r="BQ228" i="12" a="1"/>
  <c r="BQ229" i="12" a="1"/>
  <c r="BQ230" i="12" a="1"/>
  <c r="BQ231" i="12" a="1"/>
  <c r="BQ232" i="12" a="1"/>
  <c r="BQ233" i="12" a="1"/>
  <c r="BQ234" i="12" a="1"/>
  <c r="BQ235" i="12" a="1"/>
  <c r="BQ236" i="12" a="1"/>
  <c r="BQ237" i="12" a="1"/>
  <c r="BQ238" i="12" a="1"/>
  <c r="BQ239" i="12" a="1"/>
  <c r="BQ240" i="12" a="1"/>
  <c r="BQ241" i="12" a="1"/>
  <c r="BQ242" i="12" a="1"/>
  <c r="BQ243" i="12" a="1"/>
  <c r="BQ244" i="12" a="1"/>
  <c r="BQ245" i="12" a="1"/>
  <c r="BQ246" i="12" a="1"/>
  <c r="BQ247" i="12" a="1"/>
  <c r="BQ248" i="12" a="1"/>
  <c r="BQ249" i="12" a="1"/>
  <c r="BQ250" i="12" a="1"/>
  <c r="BQ251" i="12" a="1"/>
  <c r="BQ252" i="12" a="1"/>
  <c r="BQ253" i="12" a="1"/>
  <c r="BQ254" i="12" a="1"/>
  <c r="BQ255" i="12" a="1"/>
  <c r="BQ256" i="12" a="1"/>
  <c r="BQ257" i="12" a="1"/>
  <c r="BQ258" i="12" a="1"/>
  <c r="BQ259" i="12" a="1"/>
  <c r="BQ260" i="12" a="1"/>
  <c r="BQ261" i="12" a="1"/>
  <c r="BQ262" i="12" a="1"/>
  <c r="BQ263" i="12" a="1"/>
  <c r="BQ264" i="12" a="1"/>
  <c r="BQ265" i="12" a="1"/>
  <c r="BQ266" i="12" a="1"/>
  <c r="BQ267" i="12" a="1"/>
  <c r="BQ268" i="12" a="1"/>
  <c r="BQ269" i="12" a="1"/>
  <c r="BQ270" i="12" a="1"/>
  <c r="BQ271" i="12" a="1"/>
  <c r="BQ272" i="12" a="1"/>
  <c r="BQ273" i="12" a="1"/>
  <c r="BQ274" i="12" a="1"/>
  <c r="BQ275" i="12" a="1"/>
  <c r="BQ276" i="12" a="1"/>
  <c r="BQ277" i="12" a="1"/>
  <c r="BQ278" i="12" a="1"/>
  <c r="BQ279" i="12" a="1"/>
  <c r="BQ280" i="12" a="1"/>
  <c r="BQ281" i="12" a="1"/>
  <c r="BQ282" i="12" a="1"/>
  <c r="BQ283" i="12" a="1"/>
  <c r="BQ284" i="12" a="1"/>
  <c r="BQ285" i="12" a="1"/>
  <c r="BQ286" i="12" a="1"/>
  <c r="BQ287" i="12" a="1"/>
  <c r="BQ288" i="12" a="1"/>
  <c r="BQ289" i="12" a="1"/>
  <c r="BQ290" i="12" a="1"/>
  <c r="BQ291" i="12" a="1"/>
  <c r="BQ292" i="12" a="1"/>
  <c r="BQ293" i="12" a="1"/>
  <c r="BQ294" i="12" a="1"/>
  <c r="BQ295" i="12" a="1"/>
  <c r="BQ296" i="12" a="1"/>
  <c r="BQ297" i="12" a="1"/>
  <c r="BQ298" i="12" a="1"/>
  <c r="BQ299" i="12" a="1"/>
  <c r="BQ300" i="12" a="1"/>
  <c r="BQ301" i="12" a="1"/>
  <c r="BQ302" i="12" a="1"/>
  <c r="BQ303" i="12" a="1"/>
  <c r="BQ304" i="12" a="1"/>
  <c r="BQ305" i="12" a="1"/>
  <c r="BQ306" i="12" a="1"/>
  <c r="BQ307" i="12" a="1"/>
  <c r="BQ308" i="12" a="1"/>
  <c r="BQ309" i="12" a="1"/>
  <c r="BQ310" i="12" a="1"/>
  <c r="BQ311" i="12" a="1"/>
  <c r="BQ312" i="12" a="1"/>
  <c r="BQ313" i="12" a="1"/>
  <c r="BQ314" i="12" a="1"/>
  <c r="BQ315" i="12" a="1"/>
  <c r="BQ316" i="12" a="1"/>
  <c r="BQ317" i="12" a="1"/>
  <c r="BQ318" i="12" a="1"/>
  <c r="BQ319" i="12" a="1"/>
  <c r="BQ320" i="12" a="1"/>
  <c r="BQ321" i="12" a="1"/>
  <c r="BQ322" i="12" a="1"/>
  <c r="BQ323" i="12" a="1"/>
  <c r="BQ324" i="12" a="1"/>
  <c r="BQ325" i="12" a="1"/>
  <c r="BQ326" i="12" a="1"/>
  <c r="BQ327" i="12" a="1"/>
  <c r="BQ328" i="12" a="1"/>
  <c r="BQ329" i="12" a="1"/>
  <c r="BQ330" i="12" a="1"/>
  <c r="BQ331" i="12" a="1"/>
  <c r="BQ332" i="12" a="1"/>
  <c r="BQ333" i="12" a="1"/>
  <c r="BQ334" i="12" a="1"/>
  <c r="BQ335" i="12" a="1"/>
  <c r="BQ336" i="12" a="1"/>
  <c r="BQ337" i="12" a="1"/>
  <c r="BQ338" i="12" a="1"/>
  <c r="BQ339" i="12" a="1"/>
  <c r="BQ340" i="12" a="1"/>
  <c r="BQ341" i="12" a="1"/>
  <c r="BQ342" i="12" a="1"/>
  <c r="BQ343" i="12" a="1"/>
  <c r="BQ344" i="12" a="1"/>
  <c r="BQ345" i="12" a="1"/>
  <c r="BQ346" i="12" a="1"/>
  <c r="BQ347" i="12" a="1"/>
  <c r="BQ348" i="12" a="1"/>
  <c r="BQ349" i="12" a="1"/>
  <c r="BQ350" i="12" a="1"/>
  <c r="BQ351" i="12" a="1"/>
  <c r="BQ352" i="12" a="1"/>
  <c r="BQ353" i="12" a="1"/>
  <c r="BQ354" i="12" a="1"/>
  <c r="BQ355" i="12" a="1"/>
  <c r="BQ356" i="12" a="1"/>
  <c r="BQ357" i="12" a="1"/>
  <c r="BQ358" i="12" a="1"/>
  <c r="BQ359" i="12" a="1"/>
  <c r="BQ360" i="12" a="1"/>
  <c r="BQ361" i="12" a="1"/>
  <c r="BQ362" i="12" a="1"/>
  <c r="BQ363" i="12" a="1"/>
  <c r="BQ364" i="12" a="1"/>
  <c r="BQ365" i="12" a="1"/>
  <c r="BQ366" i="12" a="1"/>
  <c r="BQ367" i="12" a="1"/>
  <c r="BQ368" i="12" a="1"/>
  <c r="BQ369" i="12" a="1"/>
  <c r="BQ370" i="12" a="1"/>
  <c r="BQ371" i="12" a="1"/>
  <c r="BQ372" i="12" a="1"/>
  <c r="BQ373" i="12" a="1"/>
  <c r="BQ374" i="12" a="1"/>
  <c r="BQ375" i="12" a="1"/>
  <c r="BQ376" i="12" a="1"/>
  <c r="BQ377" i="12" a="1"/>
  <c r="BQ378" i="12" a="1"/>
  <c r="BQ379" i="12" a="1"/>
  <c r="BQ380" i="12" a="1"/>
  <c r="BQ381" i="12" a="1"/>
  <c r="BQ382" i="12" a="1"/>
  <c r="BQ383" i="12" a="1"/>
  <c r="BQ384" i="12" a="1"/>
  <c r="BQ385" i="12" a="1"/>
  <c r="BQ386" i="12" a="1"/>
  <c r="BQ387" i="12" a="1"/>
  <c r="BQ388" i="12" a="1"/>
  <c r="BQ389" i="12" a="1"/>
  <c r="BQ390" i="12" a="1"/>
  <c r="BQ391" i="12" a="1"/>
  <c r="BQ392" i="12" a="1"/>
  <c r="BQ393" i="12" a="1"/>
  <c r="BQ394" i="12" a="1"/>
  <c r="BQ395" i="12" a="1"/>
  <c r="BQ396" i="12" a="1"/>
  <c r="BQ397" i="12" a="1"/>
  <c r="BQ398" i="12" a="1"/>
  <c r="BQ399" i="12" a="1"/>
  <c r="BQ400" i="12" a="1"/>
  <c r="BQ401" i="12" a="1"/>
  <c r="BQ402" i="12" a="1"/>
  <c r="BQ403" i="12" a="1"/>
  <c r="BQ404" i="12" a="1"/>
  <c r="BQ405" i="12" a="1"/>
  <c r="BQ406" i="12" a="1"/>
  <c r="BQ407" i="12" a="1"/>
  <c r="BQ408" i="12" a="1"/>
  <c r="BQ409" i="12" a="1"/>
  <c r="BQ410" i="12" a="1"/>
  <c r="BQ411" i="12" a="1"/>
  <c r="BQ412" i="12" a="1"/>
  <c r="BQ413" i="12" a="1"/>
  <c r="BQ414" i="12" a="1"/>
  <c r="BQ415" i="12" a="1"/>
  <c r="BQ416" i="12" a="1"/>
  <c r="BQ417" i="12" a="1"/>
  <c r="BQ418" i="12" a="1"/>
  <c r="BQ419" i="12" a="1"/>
  <c r="BQ420" i="12" a="1"/>
  <c r="BQ421" i="12" a="1"/>
  <c r="BQ422" i="12" a="1"/>
  <c r="BQ423" i="12" a="1"/>
  <c r="BQ424" i="12" a="1"/>
  <c r="BQ425" i="12" a="1"/>
  <c r="BQ426" i="12" a="1"/>
  <c r="BQ427" i="12" a="1"/>
  <c r="BQ428" i="12" a="1"/>
  <c r="BQ429" i="12" a="1"/>
  <c r="BQ430" i="12" a="1"/>
  <c r="BQ431" i="12" a="1"/>
  <c r="BQ432" i="12" a="1"/>
  <c r="BQ433" i="12" a="1"/>
  <c r="BQ434" i="12" a="1"/>
  <c r="BQ435" i="12" a="1"/>
  <c r="BQ436" i="12" a="1"/>
  <c r="BQ437" i="12" a="1"/>
  <c r="BQ438" i="12" a="1"/>
  <c r="BQ439" i="12" a="1"/>
  <c r="BQ440" i="12" a="1"/>
  <c r="BQ441" i="12" a="1"/>
  <c r="BQ442" i="12" a="1"/>
  <c r="BQ443" i="12" a="1"/>
  <c r="BQ444" i="12" a="1"/>
  <c r="BQ445" i="12" a="1"/>
  <c r="BQ446" i="12" a="1"/>
  <c r="BQ447" i="12" a="1"/>
  <c r="BQ448" i="12" a="1"/>
  <c r="BQ449" i="12" a="1"/>
  <c r="BQ450" i="12" a="1"/>
  <c r="BQ451" i="12" a="1"/>
  <c r="BQ452" i="12" a="1"/>
  <c r="BQ453" i="12" a="1"/>
  <c r="BQ454" i="12" a="1"/>
  <c r="BQ455" i="12" a="1"/>
  <c r="BQ456" i="12" a="1"/>
  <c r="BQ457" i="12" a="1"/>
  <c r="BQ458" i="12" a="1"/>
  <c r="BQ459" i="12" a="1"/>
  <c r="BQ460" i="12" a="1"/>
  <c r="BQ461" i="12" a="1"/>
  <c r="BQ462" i="12" a="1"/>
  <c r="BQ463" i="12" a="1"/>
  <c r="BQ464" i="12" a="1"/>
  <c r="BQ465" i="12" a="1"/>
  <c r="BQ466" i="12" a="1"/>
  <c r="BQ467" i="12" a="1"/>
  <c r="BQ468" i="12" a="1"/>
  <c r="BQ469" i="12" a="1"/>
  <c r="BQ470" i="12" a="1"/>
  <c r="BQ471" i="12" a="1"/>
  <c r="BQ472" i="12" a="1"/>
  <c r="BQ473" i="12" a="1"/>
  <c r="BQ474" i="12" a="1"/>
  <c r="BQ475" i="12" a="1"/>
  <c r="BQ476" i="12" a="1"/>
  <c r="BQ477" i="12" a="1"/>
  <c r="BQ478" i="12" a="1"/>
  <c r="BQ479" i="12" a="1"/>
  <c r="BQ480" i="12" a="1"/>
  <c r="BQ481" i="12" a="1"/>
  <c r="BQ482" i="12" a="1"/>
  <c r="BQ483" i="12" a="1"/>
  <c r="BQ484" i="12" a="1"/>
  <c r="BQ485" i="12" a="1"/>
  <c r="BQ486" i="12" a="1"/>
  <c r="BQ487" i="12" a="1"/>
  <c r="BQ488" i="12" a="1"/>
  <c r="BQ489" i="12" a="1"/>
  <c r="BQ490" i="12" a="1"/>
  <c r="BQ491" i="12" a="1"/>
  <c r="BQ492" i="12" a="1"/>
  <c r="BQ493" i="12" a="1"/>
  <c r="BQ494" i="12" a="1"/>
  <c r="BQ495" i="12" a="1"/>
  <c r="BQ496" i="12" a="1"/>
  <c r="BQ497" i="12" a="1"/>
  <c r="BQ498" i="12" a="1"/>
  <c r="BQ499" i="12" a="1"/>
  <c r="BQ500" i="12" a="1"/>
  <c r="BQ501" i="12" a="1"/>
  <c r="BQ502" i="12" a="1"/>
  <c r="BQ503" i="12" a="1"/>
  <c r="BQ504" i="12" a="1"/>
  <c r="BQ505" i="12" a="1"/>
  <c r="BQ506" i="12" a="1"/>
  <c r="BQ507" i="12" a="1"/>
  <c r="BQ508" i="12" a="1"/>
  <c r="BQ509" i="12" a="1"/>
  <c r="BQ510" i="12" a="1"/>
  <c r="BQ511" i="12" a="1"/>
  <c r="BQ512" i="12" a="1"/>
  <c r="BQ513" i="12" a="1"/>
  <c r="BQ514" i="12" a="1"/>
  <c r="BQ515" i="12" a="1"/>
  <c r="BQ516" i="12" a="1"/>
  <c r="BQ517" i="12" a="1"/>
  <c r="BQ518" i="12" a="1"/>
  <c r="BQ519" i="12" a="1"/>
  <c r="BQ520" i="12" a="1"/>
  <c r="BQ521" i="12" a="1"/>
  <c r="BQ522" i="12" a="1"/>
  <c r="BQ523" i="12" a="1"/>
  <c r="BQ524" i="12" a="1"/>
  <c r="BQ525" i="12" a="1"/>
  <c r="BQ526" i="12" a="1"/>
  <c r="BQ527" i="12" a="1"/>
  <c r="BQ528" i="12" a="1"/>
  <c r="BQ529" i="12" a="1"/>
  <c r="BQ530" i="12" a="1"/>
  <c r="BQ531" i="12" a="1"/>
  <c r="BQ532" i="12" a="1"/>
  <c r="BQ533" i="12" a="1"/>
  <c r="BQ534" i="12" a="1"/>
  <c r="BQ535" i="12" a="1"/>
  <c r="BQ536" i="12" a="1"/>
  <c r="BQ537" i="12" a="1"/>
  <c r="BQ538" i="12" a="1"/>
  <c r="BQ539" i="12" a="1"/>
  <c r="BQ540" i="12" a="1"/>
  <c r="BQ541" i="12" a="1"/>
  <c r="BQ542" i="12" a="1"/>
  <c r="BQ543" i="12" a="1"/>
  <c r="BQ544" i="12" a="1"/>
  <c r="BQ545" i="12" a="1"/>
  <c r="BQ546" i="12" a="1"/>
  <c r="BQ547" i="12" a="1"/>
  <c r="BQ548" i="12" a="1"/>
  <c r="BQ549" i="12" a="1"/>
  <c r="BQ550" i="12" a="1"/>
  <c r="BQ551" i="12" a="1"/>
  <c r="BQ552" i="12" a="1"/>
  <c r="BQ553" i="12" a="1"/>
  <c r="BQ554" i="12" a="1"/>
  <c r="BQ555" i="12" a="1"/>
  <c r="BQ556" i="12" a="1"/>
  <c r="BQ557" i="12" a="1"/>
  <c r="BQ558" i="12" a="1"/>
  <c r="BQ559" i="12" a="1"/>
  <c r="BQ560" i="12" a="1"/>
  <c r="BQ561" i="12" a="1"/>
  <c r="BQ562" i="12" a="1"/>
  <c r="BQ563" i="12" a="1"/>
  <c r="BQ564" i="12" a="1"/>
  <c r="BQ565" i="12" a="1"/>
  <c r="BQ566" i="12" a="1"/>
  <c r="BQ567" i="12" a="1"/>
  <c r="BQ568" i="12" a="1"/>
  <c r="BQ569" i="12" a="1"/>
  <c r="BQ570" i="12" a="1"/>
  <c r="BQ571" i="12" a="1"/>
  <c r="BQ572" i="12" a="1"/>
  <c r="BQ573" i="12" a="1"/>
  <c r="BQ574" i="12" a="1"/>
  <c r="BQ575" i="12" a="1"/>
  <c r="BQ576" i="12" a="1"/>
  <c r="BQ577" i="12" a="1"/>
  <c r="BQ578" i="12" a="1"/>
  <c r="BQ579" i="12" a="1"/>
  <c r="BQ580" i="12" a="1"/>
  <c r="BQ581" i="12" a="1"/>
  <c r="BQ582" i="12" a="1"/>
  <c r="BQ583" i="12" a="1"/>
  <c r="BQ584" i="12" a="1"/>
  <c r="BQ585" i="12" a="1"/>
  <c r="BQ586" i="12" a="1"/>
  <c r="BQ587" i="12" a="1"/>
  <c r="BQ588" i="12" a="1"/>
  <c r="BQ589" i="12" a="1"/>
  <c r="BQ590" i="12" a="1"/>
  <c r="BQ591" i="12" a="1"/>
  <c r="BQ592" i="12" a="1"/>
  <c r="BQ593" i="12" a="1"/>
  <c r="BQ594" i="12" a="1"/>
  <c r="BQ595" i="12" a="1"/>
  <c r="BQ596" i="12" a="1"/>
  <c r="BQ597" i="12" a="1"/>
  <c r="BQ598" i="12" a="1"/>
  <c r="BQ599" i="12" a="1"/>
  <c r="BQ600" i="12" a="1"/>
  <c r="BQ601" i="12" a="1"/>
  <c r="BQ602" i="12" a="1"/>
  <c r="BQ603" i="12" a="1"/>
  <c r="BQ604" i="12" a="1"/>
  <c r="BQ605" i="12" a="1"/>
  <c r="BQ606" i="12" a="1"/>
  <c r="BQ607" i="12" a="1"/>
  <c r="BQ608" i="12" a="1"/>
  <c r="BQ609" i="12" a="1"/>
  <c r="BQ610" i="12" a="1"/>
  <c r="BQ611" i="12" a="1"/>
  <c r="BQ612" i="12" a="1"/>
  <c r="BQ613" i="12" a="1"/>
  <c r="BQ614" i="12" a="1"/>
  <c r="BQ615" i="12" a="1"/>
  <c r="BQ616" i="12" a="1"/>
  <c r="BQ617" i="12" a="1"/>
  <c r="BQ618" i="12" a="1"/>
  <c r="BQ619" i="12" a="1"/>
  <c r="BQ620" i="12" a="1"/>
  <c r="BQ621" i="12" a="1"/>
  <c r="BQ622" i="12" a="1"/>
  <c r="BQ623" i="12" a="1"/>
  <c r="BQ624" i="12" a="1"/>
  <c r="BQ625" i="12" a="1"/>
  <c r="BQ626" i="12" a="1"/>
  <c r="BQ627" i="12" a="1"/>
  <c r="BQ628" i="12" a="1"/>
  <c r="BQ629" i="12" a="1"/>
  <c r="BQ630" i="12" a="1"/>
  <c r="BQ631" i="12" a="1"/>
  <c r="BQ632" i="12" a="1"/>
  <c r="BQ633" i="12" a="1"/>
  <c r="BQ634" i="12" a="1"/>
  <c r="BQ635" i="12" a="1"/>
  <c r="BQ636" i="12" a="1"/>
  <c r="BQ637" i="12" a="1"/>
  <c r="S2" i="12" a="1"/>
  <c r="S6" i="12" a="1"/>
  <c r="S7" i="12" a="1"/>
  <c r="S8" i="12" a="1"/>
  <c r="S9" i="12" a="1"/>
  <c r="S10" i="12" a="1"/>
  <c r="S11" i="12" a="1"/>
  <c r="S12" i="12" a="1"/>
  <c r="S13" i="12" a="1"/>
  <c r="S19" i="12" a="1"/>
  <c r="S20" i="12" a="1"/>
  <c r="S21" i="12" a="1"/>
  <c r="S22" i="12" a="1"/>
  <c r="S23" i="12" a="1"/>
  <c r="S24" i="12" a="1"/>
  <c r="S25" i="12" a="1"/>
  <c r="S26" i="12" a="1"/>
  <c r="S27" i="12" a="1"/>
  <c r="S28" i="12" a="1"/>
  <c r="S29" i="12" a="1"/>
  <c r="S30" i="12" a="1"/>
  <c r="S31" i="12" a="1"/>
  <c r="S32" i="12" a="1"/>
  <c r="S33" i="12" a="1"/>
  <c r="S34" i="12" a="1"/>
  <c r="S35" i="12" a="1"/>
  <c r="S36" i="12" a="1"/>
  <c r="S37" i="12" a="1"/>
  <c r="S38" i="12" a="1"/>
  <c r="S39" i="12" a="1"/>
  <c r="S40" i="12" a="1"/>
  <c r="S41" i="12" a="1"/>
  <c r="S42" i="12" a="1"/>
  <c r="S43" i="12" a="1"/>
  <c r="S44" i="12" a="1"/>
  <c r="S45" i="12" a="1"/>
  <c r="S46" i="12" a="1"/>
  <c r="S47" i="12" a="1"/>
  <c r="S48" i="12" a="1"/>
  <c r="S49" i="12" a="1"/>
  <c r="S50" i="12" a="1"/>
  <c r="S51" i="12" a="1"/>
  <c r="S52" i="12" a="1"/>
  <c r="S53" i="12" a="1"/>
  <c r="S54" i="12" a="1"/>
  <c r="S55" i="12" a="1"/>
  <c r="S56" i="12" a="1"/>
  <c r="S57" i="12" a="1"/>
  <c r="S58" i="12" a="1"/>
  <c r="S59" i="12" a="1"/>
  <c r="S60" i="12" a="1"/>
  <c r="S61" i="12" a="1"/>
  <c r="S62" i="12" a="1"/>
  <c r="S63" i="12" a="1"/>
  <c r="S64" i="12" a="1"/>
  <c r="S65" i="12" a="1"/>
  <c r="S66" i="12" a="1"/>
  <c r="S67" i="12" a="1"/>
  <c r="S68" i="12" a="1"/>
  <c r="S69" i="12" a="1"/>
  <c r="S70" i="12" a="1"/>
  <c r="S71" i="12" a="1"/>
  <c r="S72" i="12" a="1"/>
  <c r="S73" i="12" a="1"/>
  <c r="S74" i="12" a="1"/>
  <c r="S75" i="12" a="1"/>
  <c r="S76" i="12" a="1"/>
  <c r="S77" i="12" a="1"/>
  <c r="S78" i="12" a="1"/>
  <c r="S79" i="12" a="1"/>
  <c r="S80" i="12" a="1"/>
  <c r="S81" i="12" a="1"/>
  <c r="S82" i="12" a="1"/>
  <c r="S83" i="12" a="1"/>
  <c r="S84" i="12" a="1"/>
  <c r="S85" i="12" a="1"/>
  <c r="S86" i="12" a="1"/>
  <c r="S87" i="12" a="1"/>
  <c r="S88" i="12" a="1"/>
  <c r="S89" i="12" a="1"/>
  <c r="S90" i="12" a="1"/>
  <c r="S91" i="12" a="1"/>
  <c r="S92" i="12" a="1"/>
  <c r="S93" i="12" a="1"/>
  <c r="S94" i="12" a="1"/>
  <c r="S95" i="12" a="1"/>
  <c r="S96" i="12" a="1"/>
  <c r="S97" i="12" a="1"/>
  <c r="S98" i="12" a="1"/>
  <c r="S99" i="12" a="1"/>
  <c r="S100" i="12" a="1"/>
  <c r="S101" i="12" a="1"/>
  <c r="S102" i="12" a="1"/>
  <c r="S103" i="12" a="1"/>
  <c r="S104" i="12" a="1"/>
  <c r="S105" i="12" a="1"/>
  <c r="S106" i="12" a="1"/>
  <c r="S107" i="12" a="1"/>
  <c r="S108" i="12" a="1"/>
  <c r="S109" i="12" a="1"/>
  <c r="S110" i="12" a="1"/>
  <c r="S111" i="12" a="1"/>
  <c r="S112" i="12" a="1"/>
  <c r="S113" i="12" a="1"/>
  <c r="S114" i="12" a="1"/>
  <c r="S115" i="12" a="1"/>
  <c r="S116" i="12" a="1"/>
  <c r="S117" i="12" a="1"/>
  <c r="S118" i="12" a="1"/>
  <c r="S119" i="12" a="1"/>
  <c r="S120" i="12" a="1"/>
  <c r="S121" i="12" a="1"/>
  <c r="S122" i="12" a="1"/>
  <c r="S123" i="12" a="1"/>
  <c r="S124" i="12" a="1"/>
  <c r="S125" i="12" a="1"/>
  <c r="S126" i="12" a="1"/>
  <c r="S127" i="12" a="1"/>
  <c r="S128" i="12" a="1"/>
  <c r="S129" i="12" a="1"/>
  <c r="S130" i="12" a="1"/>
  <c r="S131" i="12" a="1"/>
  <c r="S132" i="12" a="1"/>
  <c r="S133" i="12" a="1"/>
  <c r="S134" i="12" a="1"/>
  <c r="S135" i="12" a="1"/>
  <c r="S136" i="12" a="1"/>
  <c r="S137" i="12" a="1"/>
  <c r="S138" i="12" a="1"/>
  <c r="S139" i="12" a="1"/>
  <c r="S140" i="12" a="1"/>
  <c r="S141" i="12" a="1"/>
  <c r="S142" i="12" a="1"/>
  <c r="S143" i="12" a="1"/>
  <c r="S144" i="12" a="1"/>
  <c r="S145" i="12" a="1"/>
  <c r="S146" i="12" a="1"/>
  <c r="S147" i="12" a="1"/>
  <c r="S148" i="12" a="1"/>
  <c r="S149" i="12" a="1"/>
  <c r="S150" i="12" a="1"/>
  <c r="S151" i="12" a="1"/>
  <c r="S152" i="12" a="1"/>
  <c r="S153" i="12" a="1"/>
  <c r="S154" i="12" a="1"/>
  <c r="S155" i="12" a="1"/>
  <c r="S156" i="12" a="1"/>
  <c r="S157" i="12" a="1"/>
  <c r="S158" i="12" a="1"/>
  <c r="S159" i="12" a="1"/>
  <c r="S160" i="12" a="1"/>
  <c r="S161" i="12" a="1"/>
  <c r="S162" i="12" a="1"/>
  <c r="S163" i="12" a="1"/>
  <c r="S164" i="12" a="1"/>
  <c r="S165" i="12" a="1"/>
  <c r="S166" i="12" a="1"/>
  <c r="S167" i="12" a="1"/>
  <c r="S168" i="12" a="1"/>
  <c r="S169" i="12" a="1"/>
  <c r="S170" i="12" a="1"/>
  <c r="S171" i="12" a="1"/>
  <c r="S172" i="12" a="1"/>
  <c r="S173" i="12" a="1"/>
  <c r="S174" i="12" a="1"/>
  <c r="S175" i="12" a="1"/>
  <c r="S176" i="12" a="1"/>
  <c r="S177" i="12" a="1"/>
  <c r="S178" i="12" a="1"/>
  <c r="S179" i="12" a="1"/>
  <c r="S180" i="12" a="1"/>
  <c r="S181" i="12" a="1"/>
  <c r="S182" i="12" a="1"/>
  <c r="S183" i="12" a="1"/>
  <c r="S184" i="12" a="1"/>
  <c r="S185" i="12" a="1"/>
  <c r="S186" i="12" a="1"/>
  <c r="S187" i="12" a="1"/>
  <c r="S188" i="12" a="1"/>
  <c r="S189" i="12" a="1"/>
  <c r="S190" i="12" a="1"/>
  <c r="S191" i="12" a="1"/>
  <c r="S192" i="12" a="1"/>
  <c r="S193" i="12" a="1"/>
  <c r="S194" i="12" a="1"/>
  <c r="S195" i="12" a="1"/>
  <c r="S196" i="12" a="1"/>
  <c r="S197" i="12" a="1"/>
  <c r="S198" i="12" a="1"/>
  <c r="S199" i="12" a="1"/>
  <c r="S200" i="12" a="1"/>
  <c r="S201" i="12" a="1"/>
  <c r="S202" i="12" a="1"/>
  <c r="S203" i="12" a="1"/>
  <c r="S204" i="12" a="1"/>
  <c r="S205" i="12" a="1"/>
  <c r="S206" i="12" a="1"/>
  <c r="S207" i="12" a="1"/>
  <c r="S208" i="12" a="1"/>
  <c r="S209" i="12" a="1"/>
  <c r="S210" i="12" a="1"/>
  <c r="S211" i="12" a="1"/>
  <c r="S212" i="12" a="1"/>
  <c r="S213" i="12" a="1"/>
  <c r="S214" i="12" a="1"/>
  <c r="S215" i="12" a="1"/>
  <c r="S216" i="12" a="1"/>
  <c r="S217" i="12" a="1"/>
  <c r="S218" i="12" a="1"/>
  <c r="S219" i="12" a="1"/>
  <c r="S220" i="12" a="1"/>
  <c r="S221" i="12" a="1"/>
  <c r="S222" i="12" a="1"/>
  <c r="S223" i="12" a="1"/>
  <c r="S224" i="12" a="1"/>
  <c r="S225" i="12" a="1"/>
  <c r="S226" i="12" a="1"/>
  <c r="S227" i="12" a="1"/>
  <c r="S228" i="12" a="1"/>
  <c r="S229" i="12" a="1"/>
  <c r="S230" i="12" a="1"/>
  <c r="S231" i="12" a="1"/>
  <c r="S232" i="12" a="1"/>
  <c r="S233" i="12" a="1"/>
  <c r="S234" i="12" a="1"/>
  <c r="S235" i="12" a="1"/>
  <c r="S236" i="12" a="1"/>
  <c r="S237" i="12" a="1"/>
  <c r="S238" i="12" a="1"/>
  <c r="S239" i="12" a="1"/>
  <c r="S240" i="12" a="1"/>
  <c r="S241" i="12" a="1"/>
  <c r="S242" i="12" a="1"/>
  <c r="S243" i="12" a="1"/>
  <c r="S244" i="12" a="1"/>
  <c r="S245" i="12" a="1"/>
  <c r="S246" i="12" a="1"/>
  <c r="S247" i="12" a="1"/>
  <c r="S248" i="12" a="1"/>
  <c r="S249" i="12" a="1"/>
  <c r="S250" i="12" a="1"/>
  <c r="S251" i="12" a="1"/>
  <c r="S252" i="12" a="1"/>
  <c r="S253" i="12" a="1"/>
  <c r="S254" i="12" a="1"/>
  <c r="S255" i="12" a="1"/>
  <c r="S256" i="12" a="1"/>
  <c r="S257" i="12" a="1"/>
  <c r="S258" i="12" a="1"/>
  <c r="S259" i="12" a="1"/>
  <c r="S260" i="12" a="1"/>
  <c r="S261" i="12" a="1"/>
  <c r="S262" i="12" a="1"/>
  <c r="S263" i="12" a="1"/>
  <c r="S264" i="12" a="1"/>
  <c r="S265" i="12" a="1"/>
  <c r="S266" i="12" a="1"/>
  <c r="S267" i="12" a="1"/>
  <c r="S268" i="12" a="1"/>
  <c r="S269" i="12" a="1"/>
  <c r="S270" i="12" a="1"/>
  <c r="S271" i="12" a="1"/>
  <c r="S272" i="12" a="1"/>
  <c r="S273" i="12" a="1"/>
  <c r="S274" i="12" a="1"/>
  <c r="S275" i="12" a="1"/>
  <c r="S276" i="12" a="1"/>
  <c r="S277" i="12" a="1"/>
  <c r="S278" i="12" a="1"/>
  <c r="S279" i="12" a="1"/>
  <c r="S280" i="12" a="1"/>
  <c r="S281" i="12" a="1"/>
  <c r="S282" i="12" a="1"/>
  <c r="S283" i="12" a="1"/>
  <c r="S284" i="12" a="1"/>
  <c r="S285" i="12" a="1"/>
  <c r="S286" i="12" a="1"/>
  <c r="S287" i="12" a="1"/>
  <c r="S288" i="12" a="1"/>
  <c r="S289" i="12" a="1"/>
  <c r="S290" i="12" a="1"/>
  <c r="S291" i="12" a="1"/>
  <c r="S292" i="12" a="1"/>
  <c r="S293" i="12" a="1"/>
  <c r="S294" i="12" a="1"/>
  <c r="S295" i="12" a="1"/>
  <c r="S296" i="12" a="1"/>
  <c r="S297" i="12" a="1"/>
  <c r="S298" i="12" a="1"/>
  <c r="S299" i="12" a="1"/>
  <c r="S300" i="12" a="1"/>
  <c r="S301" i="12" a="1"/>
  <c r="S302" i="12" a="1"/>
  <c r="S303" i="12" a="1"/>
  <c r="S304" i="12" a="1"/>
  <c r="S305" i="12" a="1"/>
  <c r="S306" i="12" a="1"/>
  <c r="S307" i="12" a="1"/>
  <c r="S308" i="12" a="1"/>
  <c r="S309" i="12" a="1"/>
  <c r="S310" i="12" a="1"/>
  <c r="S311" i="12" a="1"/>
  <c r="S312" i="12" a="1"/>
  <c r="S313" i="12" a="1"/>
  <c r="S314" i="12" a="1"/>
  <c r="S315" i="12" a="1"/>
  <c r="S316" i="12" a="1"/>
  <c r="S317" i="12" a="1"/>
  <c r="S318" i="12" a="1"/>
  <c r="S319" i="12" a="1"/>
  <c r="S320" i="12" a="1"/>
  <c r="S321" i="12" a="1"/>
  <c r="S322" i="12" a="1"/>
  <c r="S323" i="12" a="1"/>
  <c r="S324" i="12" a="1"/>
  <c r="S325" i="12" a="1"/>
  <c r="S326" i="12" a="1"/>
  <c r="S327" i="12" a="1"/>
  <c r="S328" i="12" a="1"/>
  <c r="S329" i="12" a="1"/>
  <c r="S330" i="12" a="1"/>
  <c r="S331" i="12" a="1"/>
  <c r="S332" i="12" a="1"/>
  <c r="S333" i="12" a="1"/>
  <c r="S334" i="12" a="1"/>
  <c r="S335" i="12" a="1"/>
  <c r="S336" i="12" a="1"/>
  <c r="S337" i="12" a="1"/>
  <c r="S338" i="12" a="1"/>
  <c r="S339" i="12" a="1"/>
  <c r="S340" i="12" a="1"/>
  <c r="S341" i="12" a="1"/>
  <c r="S342" i="12" a="1"/>
  <c r="S343" i="12" a="1"/>
  <c r="S344" i="12" a="1"/>
  <c r="S345" i="12" a="1"/>
  <c r="S346" i="12" a="1"/>
  <c r="S347" i="12" a="1"/>
  <c r="S348" i="12" a="1"/>
  <c r="S349" i="12" a="1"/>
  <c r="S350" i="12" a="1"/>
  <c r="S351" i="12" a="1"/>
  <c r="S352" i="12" a="1"/>
  <c r="S353" i="12" a="1"/>
  <c r="S354" i="12" a="1"/>
  <c r="S355" i="12" a="1"/>
  <c r="S356" i="12" a="1"/>
  <c r="S357" i="12" a="1"/>
  <c r="S358" i="12" a="1"/>
  <c r="S359" i="12" a="1"/>
  <c r="S360" i="12" a="1"/>
  <c r="S361" i="12" a="1"/>
  <c r="S362" i="12" a="1"/>
  <c r="S363" i="12" a="1"/>
  <c r="S364" i="12" a="1"/>
  <c r="S365" i="12" a="1"/>
  <c r="S366" i="12" a="1"/>
  <c r="S367" i="12" a="1"/>
  <c r="S368" i="12" a="1"/>
  <c r="S369" i="12" a="1"/>
  <c r="S370" i="12" a="1"/>
  <c r="S371" i="12" a="1"/>
  <c r="S372" i="12" a="1"/>
  <c r="S373" i="12" a="1"/>
  <c r="S374" i="12" a="1"/>
  <c r="S375" i="12" a="1"/>
  <c r="S376" i="12" a="1"/>
  <c r="S377" i="12" a="1"/>
  <c r="S378" i="12" a="1"/>
  <c r="S379" i="12" a="1"/>
  <c r="S380" i="12" a="1"/>
  <c r="S381" i="12" a="1"/>
  <c r="S382" i="12" a="1"/>
  <c r="S383" i="12" a="1"/>
  <c r="S384" i="12" a="1"/>
  <c r="S385" i="12" a="1"/>
  <c r="S386" i="12" a="1"/>
  <c r="S387" i="12" a="1"/>
  <c r="S388" i="12" a="1"/>
  <c r="S389" i="12" a="1"/>
  <c r="S390" i="12" a="1"/>
  <c r="S391" i="12" a="1"/>
  <c r="S392" i="12" a="1"/>
  <c r="S393" i="12" a="1"/>
  <c r="S394" i="12" a="1"/>
  <c r="S395" i="12" a="1"/>
  <c r="S396" i="12" a="1"/>
  <c r="S397" i="12" a="1"/>
  <c r="S398" i="12" a="1"/>
  <c r="S399" i="12" a="1"/>
  <c r="S400" i="12" a="1"/>
  <c r="S401" i="12" a="1"/>
  <c r="S402" i="12" a="1"/>
  <c r="S403" i="12" a="1"/>
  <c r="S404" i="12" a="1"/>
  <c r="S405" i="12" a="1"/>
  <c r="S406" i="12" a="1"/>
  <c r="S407" i="12" a="1"/>
  <c r="S408" i="12" a="1"/>
  <c r="S409" i="12" a="1"/>
  <c r="S410" i="12" a="1"/>
  <c r="S411" i="12" a="1"/>
  <c r="S412" i="12" a="1"/>
  <c r="S413" i="12" a="1"/>
  <c r="S414" i="12" a="1"/>
  <c r="S415" i="12" a="1"/>
  <c r="S416" i="12" a="1"/>
  <c r="S417" i="12" a="1"/>
  <c r="S418" i="12" a="1"/>
  <c r="S419" i="12" a="1"/>
  <c r="S420" i="12" a="1"/>
  <c r="S421" i="12" a="1"/>
  <c r="S422" i="12" a="1"/>
  <c r="S423" i="12" a="1"/>
  <c r="S424" i="12" a="1"/>
  <c r="S425" i="12" a="1"/>
  <c r="S426" i="12" a="1"/>
  <c r="S427" i="12" a="1"/>
  <c r="S428" i="12" a="1"/>
  <c r="S429" i="12" a="1"/>
  <c r="S430" i="12" a="1"/>
  <c r="S431" i="12" a="1"/>
  <c r="S432" i="12" a="1"/>
  <c r="S433" i="12" a="1"/>
  <c r="S434" i="12" a="1"/>
  <c r="S435" i="12" a="1"/>
  <c r="S436" i="12" a="1"/>
  <c r="S437" i="12" a="1"/>
  <c r="S438" i="12" a="1"/>
  <c r="S439" i="12" a="1"/>
  <c r="S440" i="12" a="1"/>
  <c r="S441" i="12" a="1"/>
  <c r="S442" i="12" a="1"/>
  <c r="S443" i="12" a="1"/>
  <c r="S444" i="12" a="1"/>
  <c r="S445" i="12" a="1"/>
  <c r="S446" i="12" a="1"/>
  <c r="S447" i="12" a="1"/>
  <c r="S448" i="12" a="1"/>
  <c r="S449" i="12" a="1"/>
  <c r="S450" i="12" a="1"/>
  <c r="S451" i="12" a="1"/>
  <c r="S452" i="12" a="1"/>
  <c r="S453" i="12" a="1"/>
  <c r="S454" i="12" a="1"/>
  <c r="S455" i="12" a="1"/>
  <c r="S456" i="12" a="1"/>
  <c r="S457" i="12" a="1"/>
  <c r="S458" i="12" a="1"/>
  <c r="S459" i="12" a="1"/>
  <c r="S460" i="12" a="1"/>
  <c r="S461" i="12" a="1"/>
  <c r="S462" i="12" a="1"/>
  <c r="S463" i="12" a="1"/>
  <c r="S464" i="12" a="1"/>
  <c r="S465" i="12" a="1"/>
  <c r="S466" i="12" a="1"/>
  <c r="S467" i="12" a="1"/>
  <c r="S468" i="12" a="1"/>
  <c r="S469" i="12" a="1"/>
  <c r="S470" i="12" a="1"/>
  <c r="S471" i="12" a="1"/>
  <c r="S472" i="12" a="1"/>
  <c r="S473" i="12" a="1"/>
  <c r="S474" i="12" a="1"/>
  <c r="S475" i="12" a="1"/>
  <c r="S476" i="12" a="1"/>
  <c r="S477" i="12" a="1"/>
  <c r="S478" i="12" a="1"/>
  <c r="S479" i="12" a="1"/>
  <c r="S480" i="12" a="1"/>
  <c r="S481" i="12" a="1"/>
  <c r="S482" i="12" a="1"/>
  <c r="S483" i="12" a="1"/>
  <c r="S484" i="12" a="1"/>
  <c r="S485" i="12" a="1"/>
  <c r="S486" i="12" a="1"/>
  <c r="S487" i="12" a="1"/>
  <c r="S488" i="12" a="1"/>
  <c r="S489" i="12" a="1"/>
  <c r="S490" i="12" a="1"/>
  <c r="S491" i="12" a="1"/>
  <c r="S492" i="12" a="1"/>
  <c r="S493" i="12" a="1"/>
  <c r="S494" i="12" a="1"/>
  <c r="S495" i="12" a="1"/>
  <c r="S496" i="12" a="1"/>
  <c r="S497" i="12" a="1"/>
  <c r="S498" i="12" a="1"/>
  <c r="S499" i="12" a="1"/>
  <c r="S500" i="12" a="1"/>
  <c r="S501" i="12" a="1"/>
  <c r="S502" i="12" a="1"/>
  <c r="S503" i="12" a="1"/>
  <c r="S504" i="12" a="1"/>
  <c r="S505" i="12" a="1"/>
  <c r="S506" i="12" a="1"/>
  <c r="S507" i="12" a="1"/>
  <c r="S508" i="12" a="1"/>
  <c r="S509" i="12" a="1"/>
  <c r="S510" i="12" a="1"/>
  <c r="S511" i="12" a="1"/>
  <c r="S512" i="12" a="1"/>
  <c r="S513" i="12" a="1"/>
  <c r="S514" i="12" a="1"/>
  <c r="S515" i="12" a="1"/>
  <c r="S516" i="12" a="1"/>
  <c r="S517" i="12" a="1"/>
  <c r="S518" i="12" a="1"/>
  <c r="S519" i="12" a="1"/>
  <c r="S520" i="12" a="1"/>
  <c r="S521" i="12" a="1"/>
  <c r="S522" i="12" a="1"/>
  <c r="S523" i="12" a="1"/>
  <c r="S524" i="12" a="1"/>
  <c r="S525" i="12" a="1"/>
  <c r="S526" i="12" a="1"/>
  <c r="S527" i="12" a="1"/>
  <c r="S528" i="12" a="1"/>
  <c r="S529" i="12" a="1"/>
  <c r="S530" i="12" a="1"/>
  <c r="S531" i="12" a="1"/>
  <c r="S532" i="12" a="1"/>
  <c r="S533" i="12" a="1"/>
  <c r="S534" i="12" a="1"/>
  <c r="S535" i="12" a="1"/>
  <c r="S536" i="12" a="1"/>
  <c r="S537" i="12" a="1"/>
  <c r="S538" i="12" a="1"/>
  <c r="S539" i="12" a="1"/>
  <c r="S540" i="12" a="1"/>
  <c r="S541" i="12" a="1"/>
  <c r="S542" i="12" a="1"/>
  <c r="S543" i="12" a="1"/>
  <c r="S544" i="12" a="1"/>
  <c r="S545" i="12" a="1"/>
  <c r="S546" i="12" a="1"/>
  <c r="S547" i="12" a="1"/>
  <c r="S548" i="12" a="1"/>
  <c r="S549" i="12" a="1"/>
  <c r="S550" i="12" a="1"/>
  <c r="S551" i="12" a="1"/>
  <c r="S552" i="12" a="1"/>
  <c r="S553" i="12" a="1"/>
  <c r="S554" i="12" a="1"/>
  <c r="S555" i="12" a="1"/>
  <c r="S556" i="12" a="1"/>
  <c r="S557" i="12" a="1"/>
  <c r="S558" i="12" a="1"/>
  <c r="S559" i="12" a="1"/>
  <c r="S560" i="12" a="1"/>
  <c r="S561" i="12" a="1"/>
  <c r="S562" i="12" a="1"/>
  <c r="S563" i="12" a="1"/>
  <c r="S564" i="12" a="1"/>
  <c r="S565" i="12" a="1"/>
  <c r="S566" i="12" a="1"/>
  <c r="S567" i="12" a="1"/>
  <c r="S568" i="12" a="1"/>
  <c r="S569" i="12" a="1"/>
  <c r="S570" i="12" a="1"/>
  <c r="S571" i="12" a="1"/>
  <c r="S572" i="12" a="1"/>
  <c r="S573" i="12" a="1"/>
  <c r="S574" i="12" a="1"/>
  <c r="S575" i="12" a="1"/>
  <c r="S576" i="12" a="1"/>
  <c r="S577" i="12" a="1"/>
  <c r="S578" i="12" a="1"/>
  <c r="S579" i="12" a="1"/>
  <c r="S580" i="12" a="1"/>
  <c r="S581" i="12" a="1"/>
  <c r="S582" i="12" a="1"/>
  <c r="S583" i="12" a="1"/>
  <c r="S584" i="12" a="1"/>
  <c r="S585" i="12" a="1"/>
  <c r="S586" i="12" a="1"/>
  <c r="S587" i="12" a="1"/>
  <c r="S588" i="12" a="1"/>
  <c r="S589" i="12" a="1"/>
  <c r="S590" i="12" a="1"/>
  <c r="S591" i="12" a="1"/>
  <c r="S592" i="12" a="1"/>
  <c r="S593" i="12" a="1"/>
  <c r="S594" i="12" a="1"/>
  <c r="S595" i="12" a="1"/>
  <c r="S596" i="12" a="1"/>
  <c r="S597" i="12" a="1"/>
  <c r="S598" i="12" a="1"/>
  <c r="S599" i="12" a="1"/>
  <c r="S600" i="12" a="1"/>
  <c r="S601" i="12" a="1"/>
  <c r="S602" i="12" a="1"/>
  <c r="B14" i="1"/>
  <c r="B15" i="1"/>
  <c r="B16" i="1"/>
  <c r="B17" i="1"/>
  <c r="B18" i="1"/>
  <c r="S14" i="12" a="1"/>
  <c r="S15" i="12" a="1"/>
  <c r="S16" i="12" a="1"/>
  <c r="S17" i="12" a="1"/>
  <c r="S18" i="12" a="1"/>
  <c r="A16" i="12" a="1"/>
  <c r="A17" i="12" a="1"/>
  <c r="A18" i="12" a="1"/>
  <c r="A19" i="12" a="1"/>
  <c r="A20" i="12" a="1"/>
  <c r="A21" i="12" a="1"/>
  <c r="A22" i="12" a="1"/>
  <c r="A23" i="12" a="1"/>
  <c r="A24" i="12" a="1"/>
  <c r="A25" i="12" a="1"/>
  <c r="A26" i="12" a="1"/>
  <c r="A27" i="12" a="1"/>
  <c r="A28" i="12" a="1"/>
  <c r="A29" i="12" a="1"/>
  <c r="A30" i="12" a="1"/>
  <c r="A31" i="12" a="1"/>
  <c r="A32" i="12" a="1"/>
  <c r="A33" i="12" a="1"/>
  <c r="A34" i="12" a="1"/>
  <c r="A35" i="12" a="1"/>
  <c r="A36" i="12" a="1"/>
  <c r="A37" i="12" a="1"/>
  <c r="A38" i="12" a="1"/>
  <c r="A39" i="12" a="1"/>
  <c r="A40" i="12" a="1"/>
  <c r="A41" i="12" a="1"/>
  <c r="A42" i="12" a="1"/>
  <c r="A43" i="12" a="1"/>
  <c r="A44" i="12" a="1"/>
  <c r="A45" i="12" a="1"/>
  <c r="A46" i="12" a="1"/>
  <c r="A47" i="12" a="1"/>
  <c r="A48" i="12" a="1"/>
  <c r="A49" i="12" a="1"/>
  <c r="A50" i="12" a="1"/>
  <c r="A51" i="12" a="1"/>
  <c r="A52" i="12" a="1"/>
  <c r="A53" i="12" a="1"/>
  <c r="A54" i="12" a="1"/>
  <c r="A55" i="12" a="1"/>
  <c r="A56" i="12" a="1"/>
  <c r="A57" i="12" a="1"/>
  <c r="A58" i="12" a="1"/>
  <c r="A59" i="12" a="1"/>
  <c r="A60" i="12" a="1"/>
  <c r="A61" i="12" a="1"/>
  <c r="A62" i="12" a="1"/>
  <c r="A63" i="12" a="1"/>
  <c r="A64" i="12" a="1"/>
  <c r="A65" i="12" a="1"/>
  <c r="A66" i="12" a="1"/>
  <c r="A67" i="12" a="1"/>
  <c r="A68" i="12" a="1"/>
  <c r="A69" i="12" a="1"/>
  <c r="A70" i="12" a="1"/>
  <c r="A71" i="12" a="1"/>
  <c r="A72" i="12" a="1"/>
  <c r="A73" i="12" a="1"/>
  <c r="A74" i="12" a="1"/>
  <c r="A75" i="12" a="1"/>
  <c r="A76" i="12" a="1"/>
  <c r="A77" i="12" a="1"/>
  <c r="A78" i="12" a="1"/>
  <c r="A79" i="12" a="1"/>
  <c r="A80" i="12" a="1"/>
  <c r="A81" i="12" a="1"/>
  <c r="A82" i="12" a="1"/>
  <c r="A83" i="12" a="1"/>
  <c r="A84" i="12" a="1"/>
  <c r="A85" i="12" a="1"/>
  <c r="A86" i="12" a="1"/>
  <c r="A87" i="12" a="1"/>
  <c r="A88" i="12" a="1"/>
  <c r="A89" i="12" a="1"/>
  <c r="A90" i="12" a="1"/>
  <c r="A91" i="12" a="1"/>
  <c r="A92" i="12" a="1"/>
  <c r="A93" i="12" a="1"/>
  <c r="A94" i="12" a="1"/>
  <c r="A95" i="12" a="1"/>
  <c r="A96" i="12" a="1"/>
  <c r="A97" i="12" a="1"/>
  <c r="A98" i="12" a="1"/>
  <c r="A99" i="12" a="1"/>
  <c r="A100" i="12" a="1"/>
  <c r="A101" i="12" a="1"/>
  <c r="A102" i="12" a="1"/>
  <c r="A103" i="12" a="1"/>
  <c r="A104" i="12" a="1"/>
  <c r="A105" i="12" a="1"/>
  <c r="A106" i="12" a="1"/>
  <c r="A107" i="12" a="1"/>
  <c r="A108" i="12" a="1"/>
  <c r="A109" i="12" a="1"/>
  <c r="A110" i="12" a="1"/>
  <c r="A111" i="12" a="1"/>
  <c r="A112" i="12" a="1"/>
  <c r="A113" i="12" a="1"/>
  <c r="A114" i="12" a="1"/>
  <c r="A115" i="12" a="1"/>
  <c r="A116" i="12" a="1"/>
  <c r="A117" i="12" a="1"/>
  <c r="A118" i="12" a="1"/>
  <c r="A119" i="12" a="1"/>
  <c r="A120" i="12" a="1"/>
  <c r="A121" i="12" a="1"/>
  <c r="A122" i="12" a="1"/>
  <c r="A123" i="12" a="1"/>
  <c r="A124" i="12" a="1"/>
  <c r="A125" i="12" a="1"/>
  <c r="A126" i="12" a="1"/>
  <c r="A127" i="12" a="1"/>
  <c r="A128" i="12" a="1"/>
  <c r="A129" i="12" a="1"/>
  <c r="A130" i="12" a="1"/>
  <c r="A131" i="12" a="1"/>
  <c r="A132" i="12" a="1"/>
  <c r="A133" i="12" a="1"/>
  <c r="A134" i="12" a="1"/>
  <c r="A135" i="12" a="1"/>
  <c r="A136" i="12" a="1"/>
  <c r="A137" i="12" a="1"/>
  <c r="A138" i="12" a="1"/>
  <c r="A139" i="12" a="1"/>
  <c r="A140" i="12" a="1"/>
  <c r="A141" i="12" a="1"/>
  <c r="A142" i="12" a="1"/>
  <c r="A143" i="12" a="1"/>
  <c r="A144" i="12" a="1"/>
  <c r="A145" i="12" a="1"/>
  <c r="A146" i="12" a="1"/>
  <c r="A147" i="12" a="1"/>
  <c r="A148" i="12" a="1"/>
  <c r="A149" i="12" a="1"/>
  <c r="A150" i="12" a="1"/>
  <c r="A151" i="12" a="1"/>
  <c r="A152" i="12" a="1"/>
  <c r="A153" i="12" a="1"/>
  <c r="A154" i="12" a="1"/>
  <c r="A155" i="12" a="1"/>
  <c r="A156" i="12" a="1"/>
  <c r="A157" i="12" a="1"/>
  <c r="A158" i="12" a="1"/>
  <c r="A159" i="12" a="1"/>
  <c r="A160" i="12" a="1"/>
  <c r="A161" i="12" a="1"/>
  <c r="A162" i="12" a="1"/>
  <c r="A163" i="12" a="1"/>
  <c r="A164" i="12" a="1"/>
  <c r="A165" i="12" a="1"/>
  <c r="A166" i="12" a="1"/>
  <c r="A167" i="12" a="1"/>
  <c r="A168" i="12" a="1"/>
  <c r="A169" i="12" a="1"/>
  <c r="A170" i="12" a="1"/>
  <c r="A171" i="12" a="1"/>
  <c r="A172" i="12" a="1"/>
  <c r="A173" i="12" a="1"/>
  <c r="A174" i="12" a="1"/>
  <c r="A175" i="12" a="1"/>
  <c r="A176" i="12" a="1"/>
  <c r="A177" i="12" a="1"/>
  <c r="A178" i="12" a="1"/>
  <c r="A179" i="12" a="1"/>
  <c r="A180" i="12" a="1"/>
  <c r="A181" i="12" a="1"/>
  <c r="A182" i="12" a="1"/>
  <c r="A183" i="12" a="1"/>
  <c r="A184" i="12" a="1"/>
  <c r="A185" i="12" a="1"/>
  <c r="A186" i="12" a="1"/>
  <c r="A187" i="12" a="1"/>
  <c r="A188" i="12" a="1"/>
  <c r="A189" i="12" a="1"/>
  <c r="A190" i="12" a="1"/>
  <c r="A191" i="12" a="1"/>
  <c r="A192" i="12" a="1"/>
  <c r="A193" i="12" a="1"/>
  <c r="A194" i="12" a="1"/>
  <c r="A195" i="12" a="1"/>
  <c r="A196" i="12" a="1"/>
  <c r="A197" i="12" a="1"/>
  <c r="A198" i="12" a="1"/>
  <c r="A199" i="12" a="1"/>
  <c r="A200" i="12" a="1"/>
  <c r="A201" i="12" a="1"/>
  <c r="A202" i="12" a="1"/>
  <c r="A203" i="12" a="1"/>
  <c r="A204" i="12" a="1"/>
  <c r="A205" i="12" a="1"/>
  <c r="A206" i="12" a="1"/>
  <c r="A207" i="12" a="1"/>
  <c r="A208" i="12" a="1"/>
  <c r="A209" i="12" a="1"/>
  <c r="A210" i="12" a="1"/>
  <c r="A211" i="12" a="1"/>
  <c r="A212" i="12" a="1"/>
  <c r="A213" i="12" a="1"/>
  <c r="A214" i="12" a="1"/>
  <c r="A215" i="12" a="1"/>
  <c r="A216" i="12" a="1"/>
  <c r="A217" i="12" a="1"/>
  <c r="A218" i="12" a="1"/>
  <c r="A219" i="12" a="1"/>
  <c r="A220" i="12" a="1"/>
  <c r="A221" i="12" a="1"/>
  <c r="A222" i="12" a="1"/>
  <c r="A223" i="12" a="1"/>
  <c r="A224" i="12" a="1"/>
  <c r="A225" i="12" a="1"/>
  <c r="A226" i="12" a="1"/>
  <c r="A227" i="12" a="1"/>
  <c r="A228" i="12" a="1"/>
  <c r="A229" i="12" a="1"/>
  <c r="A230" i="12" a="1"/>
  <c r="A231" i="12" a="1"/>
  <c r="A232" i="12" a="1"/>
  <c r="A233" i="12" a="1"/>
  <c r="A234" i="12" a="1"/>
  <c r="A235" i="12" a="1"/>
  <c r="A236" i="12" a="1"/>
  <c r="A237" i="12" a="1"/>
  <c r="A238" i="12" a="1"/>
  <c r="A239" i="12" a="1"/>
  <c r="A240" i="12" a="1"/>
  <c r="A241" i="12" a="1"/>
  <c r="A242" i="12" a="1"/>
  <c r="A243" i="12" a="1"/>
  <c r="A244" i="12" a="1"/>
  <c r="A245" i="12" a="1"/>
  <c r="A246" i="12" a="1"/>
  <c r="A247" i="12" a="1"/>
  <c r="A248" i="12" a="1"/>
  <c r="A249" i="12" a="1"/>
  <c r="A250" i="12" a="1"/>
  <c r="A251" i="12" a="1"/>
  <c r="A252" i="12" a="1"/>
  <c r="A253" i="12" a="1"/>
  <c r="A254" i="12" a="1"/>
  <c r="A255" i="12" a="1"/>
  <c r="A256" i="12" a="1"/>
  <c r="A257" i="12" a="1"/>
  <c r="A258" i="12" a="1"/>
  <c r="A259" i="12" a="1"/>
  <c r="A260" i="12" a="1"/>
  <c r="A261" i="12" a="1"/>
  <c r="A262" i="12" a="1"/>
  <c r="A263" i="12" a="1"/>
  <c r="A264" i="12" a="1"/>
  <c r="A265" i="12" a="1"/>
  <c r="A266" i="12" a="1"/>
  <c r="A267" i="12" a="1"/>
  <c r="A268" i="12" a="1"/>
  <c r="A269" i="12" a="1"/>
  <c r="A270" i="12" a="1"/>
  <c r="A271" i="12" a="1"/>
  <c r="A272" i="12" a="1"/>
  <c r="A273" i="12" a="1"/>
  <c r="A274" i="12" a="1"/>
  <c r="A275" i="12" a="1"/>
  <c r="A276" i="12" a="1"/>
  <c r="A277" i="12" a="1"/>
  <c r="A278" i="12" a="1"/>
  <c r="A279" i="12" a="1"/>
  <c r="A280" i="12" a="1"/>
  <c r="A281" i="12" a="1"/>
  <c r="A282" i="12" a="1"/>
  <c r="A283" i="12" a="1"/>
  <c r="A284" i="12" a="1"/>
  <c r="A285" i="12" a="1"/>
  <c r="A286" i="12" a="1"/>
  <c r="A287" i="12" a="1"/>
  <c r="A288" i="12" a="1"/>
  <c r="A289" i="12" a="1"/>
  <c r="A290" i="12" a="1"/>
  <c r="A291" i="12" a="1"/>
  <c r="A292" i="12" a="1"/>
  <c r="A293" i="12" a="1"/>
  <c r="A294" i="12" a="1"/>
  <c r="A295" i="12" a="1"/>
  <c r="A296" i="12" a="1"/>
  <c r="A297" i="12" a="1"/>
  <c r="A298" i="12" a="1"/>
  <c r="A299" i="12" a="1"/>
  <c r="A300" i="12" a="1"/>
  <c r="A301" i="12" a="1"/>
  <c r="A302" i="12" a="1"/>
  <c r="A303" i="12" a="1"/>
  <c r="A304" i="12" a="1"/>
  <c r="A305" i="12" a="1"/>
  <c r="A306" i="12" a="1"/>
  <c r="A307" i="12" a="1"/>
  <c r="A308" i="12" a="1"/>
  <c r="A309" i="12" a="1"/>
  <c r="A310" i="12" a="1"/>
  <c r="A311" i="12" a="1"/>
  <c r="A312" i="12" a="1"/>
  <c r="A313" i="12" a="1"/>
  <c r="A314" i="12" a="1"/>
  <c r="A315" i="12" a="1"/>
  <c r="A316" i="12" a="1"/>
  <c r="A317" i="12" a="1"/>
  <c r="A318" i="12" a="1"/>
  <c r="A319" i="12" a="1"/>
  <c r="A320" i="12" a="1"/>
  <c r="A321" i="12" a="1"/>
  <c r="A322" i="12" a="1"/>
  <c r="A323" i="12" a="1"/>
  <c r="A324" i="12" a="1"/>
  <c r="A325" i="12" a="1"/>
  <c r="A326" i="12" a="1"/>
  <c r="A327" i="12" a="1"/>
  <c r="A328" i="12" a="1"/>
  <c r="A329" i="12" a="1"/>
  <c r="A330" i="12" a="1"/>
  <c r="A331" i="12" a="1"/>
  <c r="A332" i="12" a="1"/>
  <c r="A333" i="12" a="1"/>
  <c r="A334" i="12" a="1"/>
  <c r="A335" i="12" a="1"/>
  <c r="A336" i="12" a="1"/>
  <c r="A337" i="12" a="1"/>
  <c r="A338" i="12" a="1"/>
  <c r="A339" i="12" a="1"/>
  <c r="A340" i="12" a="1"/>
  <c r="A341" i="12" a="1"/>
  <c r="A342" i="12" a="1"/>
  <c r="A343" i="12" a="1"/>
  <c r="A344" i="12" a="1"/>
  <c r="A345" i="12" a="1"/>
  <c r="A346" i="12" a="1"/>
  <c r="A347" i="12" a="1"/>
  <c r="A348" i="12" a="1"/>
  <c r="A349" i="12" a="1"/>
  <c r="A350" i="12" a="1"/>
  <c r="A351" i="12" a="1"/>
  <c r="A352" i="12" a="1"/>
  <c r="A353" i="12" a="1"/>
  <c r="A354" i="12" a="1"/>
  <c r="A355" i="12" a="1"/>
  <c r="A356" i="12" a="1"/>
  <c r="A357" i="12" a="1"/>
  <c r="A358" i="12" a="1"/>
  <c r="A359" i="12" a="1"/>
  <c r="A360" i="12" a="1"/>
  <c r="A361" i="12" a="1"/>
  <c r="A362" i="12" a="1"/>
  <c r="A363" i="12" a="1"/>
  <c r="A364" i="12" a="1"/>
  <c r="A365" i="12" a="1"/>
  <c r="A366" i="12" a="1"/>
  <c r="A367" i="12" a="1"/>
  <c r="A368" i="12" a="1"/>
  <c r="A369" i="12" a="1"/>
  <c r="A370" i="12" a="1"/>
  <c r="A371" i="12" a="1"/>
  <c r="A372" i="12" a="1"/>
  <c r="A373" i="12" a="1"/>
  <c r="A374" i="12" a="1"/>
  <c r="A375" i="12" a="1"/>
  <c r="A376" i="12" a="1"/>
  <c r="A377" i="12" a="1"/>
  <c r="A378" i="12" a="1"/>
  <c r="A379" i="12" a="1"/>
  <c r="A380" i="12" a="1"/>
  <c r="A381" i="12" a="1"/>
  <c r="A382" i="12" a="1"/>
  <c r="A383" i="12" a="1"/>
  <c r="A384" i="12" a="1"/>
  <c r="A385" i="12" a="1"/>
  <c r="A386" i="12" a="1"/>
  <c r="A387" i="12" a="1"/>
  <c r="A388" i="12" a="1"/>
  <c r="A389" i="12" a="1"/>
  <c r="A390" i="12" a="1"/>
  <c r="A391" i="12" a="1"/>
  <c r="A392" i="12" a="1"/>
  <c r="A393" i="12" a="1"/>
  <c r="A394" i="12" a="1"/>
  <c r="A395" i="12" a="1"/>
  <c r="A396" i="12" a="1"/>
  <c r="A397" i="12" a="1"/>
  <c r="A398" i="12" a="1"/>
  <c r="A399" i="12" a="1"/>
  <c r="A400" i="12" a="1"/>
  <c r="A401" i="12" a="1"/>
  <c r="A402" i="12" a="1"/>
  <c r="A403" i="12" a="1"/>
  <c r="A404" i="12" a="1"/>
  <c r="A405" i="12" a="1"/>
  <c r="A406" i="12" a="1"/>
  <c r="A407" i="12" a="1"/>
  <c r="A408" i="12" a="1"/>
  <c r="A409" i="12" a="1"/>
  <c r="A410" i="12" a="1"/>
  <c r="A411" i="12" a="1"/>
  <c r="A412" i="12" a="1"/>
  <c r="A413" i="12" a="1"/>
  <c r="A414" i="12" a="1"/>
  <c r="A415" i="12" a="1"/>
  <c r="A416" i="12" a="1"/>
  <c r="A417" i="12" a="1"/>
  <c r="A418" i="12" a="1"/>
  <c r="A419" i="12" a="1"/>
  <c r="A420" i="12" a="1"/>
  <c r="A421" i="12" a="1"/>
  <c r="A422" i="12" a="1"/>
  <c r="A423" i="12" a="1"/>
  <c r="A424" i="12" a="1"/>
  <c r="A425" i="12" a="1"/>
  <c r="A426" i="12" a="1"/>
  <c r="A427" i="12" a="1"/>
  <c r="A428" i="12" a="1"/>
  <c r="A429" i="12" a="1"/>
  <c r="A430" i="12" a="1"/>
  <c r="A431" i="12" a="1"/>
  <c r="A432" i="12" a="1"/>
  <c r="A433" i="12" a="1"/>
  <c r="A434" i="12" a="1"/>
  <c r="A435" i="12" a="1"/>
  <c r="A436" i="12" a="1"/>
  <c r="A437" i="12" a="1"/>
  <c r="A438" i="12" a="1"/>
  <c r="A439" i="12" a="1"/>
  <c r="A440" i="12" a="1"/>
  <c r="A441" i="12" a="1"/>
  <c r="A442" i="12" a="1"/>
  <c r="A443" i="12" a="1"/>
  <c r="A444" i="12" a="1"/>
  <c r="A445" i="12" a="1"/>
  <c r="A446" i="12" a="1"/>
  <c r="A447" i="12" a="1"/>
  <c r="A448" i="12" a="1"/>
  <c r="A449" i="12" a="1"/>
  <c r="A450" i="12" a="1"/>
  <c r="A451" i="12" a="1"/>
  <c r="A452" i="12" a="1"/>
  <c r="A453" i="12" a="1"/>
  <c r="A454" i="12" a="1"/>
  <c r="A455" i="12" a="1"/>
  <c r="A456" i="12" a="1"/>
  <c r="A457" i="12" a="1"/>
  <c r="A458" i="12" a="1"/>
  <c r="A459" i="12" a="1"/>
  <c r="A460" i="12" a="1"/>
  <c r="A461" i="12" a="1"/>
  <c r="A462" i="12" a="1"/>
  <c r="A463" i="12" a="1"/>
  <c r="A464" i="12" a="1"/>
  <c r="A465" i="12" a="1"/>
  <c r="A466" i="12" a="1"/>
  <c r="A467" i="12" a="1"/>
  <c r="A468" i="12" a="1"/>
  <c r="A469" i="12" a="1"/>
  <c r="A470" i="12" a="1"/>
  <c r="A471" i="12" a="1"/>
  <c r="A472" i="12" a="1"/>
  <c r="A473" i="12" a="1"/>
  <c r="A474" i="12" a="1"/>
  <c r="A475" i="12" a="1"/>
  <c r="A476" i="12" a="1"/>
  <c r="A477" i="12" a="1"/>
  <c r="A478" i="12" a="1"/>
  <c r="A479" i="12" a="1"/>
  <c r="A480" i="12" a="1"/>
  <c r="A481" i="12" a="1"/>
  <c r="A482" i="12" a="1"/>
  <c r="A483" i="12" a="1"/>
  <c r="A484" i="12" a="1"/>
  <c r="A485" i="12" a="1"/>
  <c r="A486" i="12" a="1"/>
  <c r="A487" i="12" a="1"/>
  <c r="A488" i="12" a="1"/>
  <c r="A489" i="12" a="1"/>
  <c r="A490" i="12" a="1"/>
  <c r="A491" i="12" a="1"/>
  <c r="A492" i="12" a="1"/>
  <c r="A493" i="12" a="1"/>
  <c r="A494" i="12" a="1"/>
  <c r="A495" i="12" a="1"/>
  <c r="A496" i="12" a="1"/>
  <c r="A497" i="12" a="1"/>
  <c r="A498" i="12" a="1"/>
  <c r="A499" i="12" a="1"/>
  <c r="A500" i="12" a="1"/>
  <c r="A501" i="12" a="1"/>
  <c r="A502" i="12" a="1"/>
  <c r="A503" i="12" a="1"/>
  <c r="A504" i="12" a="1"/>
  <c r="A505" i="12" a="1"/>
  <c r="A506" i="12" a="1"/>
  <c r="A507" i="12" a="1"/>
  <c r="A508" i="12" a="1"/>
  <c r="A509" i="12" a="1"/>
  <c r="A510" i="12" a="1"/>
  <c r="A511" i="12" a="1"/>
  <c r="A512" i="12" a="1"/>
  <c r="A513" i="12" a="1"/>
  <c r="A514" i="12" a="1"/>
  <c r="A515" i="12" a="1"/>
  <c r="A516" i="12" a="1"/>
  <c r="A517" i="12" a="1"/>
  <c r="A518" i="12" a="1"/>
  <c r="A519" i="12" a="1"/>
  <c r="A520" i="12" a="1"/>
  <c r="A521" i="12" a="1"/>
  <c r="A522" i="12" a="1"/>
  <c r="A523" i="12" a="1"/>
  <c r="A524" i="12" a="1"/>
  <c r="A525" i="12" a="1"/>
  <c r="A526" i="12" a="1"/>
  <c r="A527" i="12" a="1"/>
  <c r="A528" i="12" a="1"/>
  <c r="A529" i="12" a="1"/>
  <c r="A530" i="12" a="1"/>
  <c r="A531" i="12" a="1"/>
  <c r="A532" i="12" a="1"/>
  <c r="A533" i="12" a="1"/>
  <c r="A534" i="12" a="1"/>
  <c r="A535" i="12" a="1"/>
  <c r="A536" i="12" a="1"/>
  <c r="A537" i="12" a="1"/>
  <c r="A538" i="12" a="1"/>
  <c r="A539" i="12" a="1"/>
  <c r="A540" i="12" a="1"/>
  <c r="A541" i="12" a="1"/>
  <c r="A542" i="12" a="1"/>
  <c r="A543" i="12" a="1"/>
  <c r="A544" i="12" a="1"/>
  <c r="A545" i="12" a="1"/>
  <c r="A546" i="12" a="1"/>
  <c r="A547" i="12" a="1"/>
  <c r="A548" i="12" a="1"/>
  <c r="A549" i="12" a="1"/>
  <c r="A550" i="12" a="1"/>
  <c r="A551" i="12" a="1"/>
  <c r="A552" i="12" a="1"/>
  <c r="A553" i="12" a="1"/>
  <c r="A554" i="12" a="1"/>
  <c r="A555" i="12" a="1"/>
  <c r="A556" i="12" a="1"/>
  <c r="A557" i="12" a="1"/>
  <c r="A558" i="12" a="1"/>
  <c r="A559" i="12" a="1"/>
  <c r="A560" i="12" a="1"/>
  <c r="A561" i="12" a="1"/>
  <c r="A562" i="12" a="1"/>
  <c r="A563" i="12" a="1"/>
  <c r="A564" i="12" a="1"/>
  <c r="A565" i="12" a="1"/>
  <c r="A566" i="12" a="1"/>
  <c r="A567" i="12" a="1"/>
  <c r="A568" i="12" a="1"/>
  <c r="A569" i="12" a="1"/>
  <c r="A570" i="12" a="1"/>
  <c r="A571" i="12" a="1"/>
  <c r="A572" i="12" a="1"/>
  <c r="A573" i="12" a="1"/>
  <c r="A574" i="12" a="1"/>
  <c r="A575" i="12" a="1"/>
  <c r="A576" i="12" a="1"/>
  <c r="A577" i="12" a="1"/>
  <c r="A578" i="12" a="1"/>
  <c r="A579" i="12" a="1"/>
  <c r="A580" i="12" a="1"/>
  <c r="A581" i="12" a="1"/>
  <c r="A582" i="12" a="1"/>
  <c r="A583" i="12" a="1"/>
  <c r="A584" i="12" a="1"/>
  <c r="A585" i="12" a="1"/>
  <c r="A586" i="12" a="1"/>
  <c r="A587" i="12" a="1"/>
  <c r="A588" i="12" a="1"/>
  <c r="A589" i="12" a="1"/>
  <c r="A590" i="12" a="1"/>
  <c r="A591" i="12" a="1"/>
  <c r="A592" i="12" a="1"/>
  <c r="A593" i="12" a="1"/>
  <c r="A594" i="12" a="1"/>
  <c r="A595" i="12" a="1"/>
  <c r="A596" i="12" a="1"/>
  <c r="A597" i="12" a="1"/>
  <c r="A598" i="12" a="1"/>
  <c r="A599" i="12" a="1"/>
  <c r="A600" i="12" a="1"/>
  <c r="A601" i="12" a="1"/>
  <c r="A602" i="12" a="1"/>
  <c r="A3" i="12" a="1"/>
  <c r="A4" i="12" a="1"/>
  <c r="A5" i="12" a="1"/>
  <c r="A6" i="12" a="1"/>
  <c r="A7" i="12" a="1"/>
  <c r="A8" i="12" a="1"/>
  <c r="A9" i="12" a="1"/>
  <c r="A10" i="12" a="1"/>
  <c r="A11" i="12" a="1"/>
  <c r="A12" i="12" a="1"/>
  <c r="A13" i="12" a="1"/>
  <c r="A14" i="12" a="1"/>
  <c r="A15" i="12" a="1"/>
  <c r="B6" i="1"/>
  <c r="B7" i="1"/>
  <c r="B8" i="1"/>
  <c r="B9" i="1"/>
  <c r="B10" i="1"/>
  <c r="B11" i="1"/>
  <c r="B12" i="1"/>
  <c r="B13" i="1"/>
  <c r="BD2" i="12" a="1"/>
  <c r="A2" i="12" a="1"/>
  <c r="B2" i="1"/>
  <c r="S4" i="12" a="1"/>
  <c r="S3" i="12" a="1"/>
  <c r="S5" i="12" a="1"/>
  <c r="B3" i="1"/>
  <c r="B4" i="1"/>
  <c r="B5" i="1"/>
  <c r="P3" i="1" l="1"/>
  <c r="P4" i="1"/>
  <c r="P8" i="1"/>
  <c r="P11" i="1"/>
  <c r="P5" i="1" l="1"/>
  <c r="P7" i="1"/>
  <c r="P6" i="1"/>
  <c r="P2" i="1"/>
  <c r="EA661" i="12"/>
  <c r="EA660" i="12"/>
  <c r="EA659" i="12"/>
  <c r="EA658" i="12"/>
  <c r="EA657" i="12"/>
  <c r="EA656" i="12"/>
  <c r="EA655" i="12"/>
  <c r="EA654" i="12"/>
  <c r="EA653" i="12"/>
  <c r="EA652" i="12"/>
  <c r="EA651" i="12"/>
  <c r="EA650" i="12"/>
  <c r="EA649" i="12"/>
  <c r="EA648" i="12"/>
  <c r="EA647" i="12"/>
  <c r="EA646" i="12"/>
  <c r="EA645" i="12"/>
  <c r="EA644" i="12"/>
  <c r="EA643" i="12"/>
  <c r="EA642" i="12"/>
  <c r="EA641" i="12"/>
  <c r="EA640" i="12"/>
  <c r="EA639" i="12"/>
  <c r="BQ637" i="12"/>
  <c r="EA638" i="12" s="1" a="1"/>
  <c r="EA638" i="12" s="1"/>
  <c r="BQ636" i="12"/>
  <c r="EA637" i="12" s="1" a="1"/>
  <c r="EA637" i="12" s="1"/>
  <c r="BQ635" i="12"/>
  <c r="EA636" i="12" s="1" a="1"/>
  <c r="EA636" i="12" s="1"/>
  <c r="BQ634" i="12"/>
  <c r="EA635" i="12" s="1" a="1"/>
  <c r="EA635" i="12" s="1"/>
  <c r="BQ633" i="12"/>
  <c r="EA634" i="12" s="1" a="1"/>
  <c r="EA634" i="12" s="1"/>
  <c r="BQ632" i="12"/>
  <c r="EA633" i="12" s="1" a="1"/>
  <c r="EA633" i="12" s="1"/>
  <c r="BQ631" i="12"/>
  <c r="EA632" i="12" s="1" a="1"/>
  <c r="EA632" i="12" s="1"/>
  <c r="BQ630" i="12"/>
  <c r="BQ629" i="12"/>
  <c r="EA630" i="12" s="1" a="1"/>
  <c r="EA630" i="12" s="1"/>
  <c r="BQ628" i="12"/>
  <c r="BQ627" i="12"/>
  <c r="EA628" i="12" s="1" a="1"/>
  <c r="EA628" i="12" s="1"/>
  <c r="BQ626" i="12"/>
  <c r="EA627" i="12" s="1" a="1"/>
  <c r="EA627" i="12" s="1"/>
  <c r="BQ625" i="12"/>
  <c r="EA626" i="12" s="1" a="1"/>
  <c r="EA626" i="12" s="1"/>
  <c r="BQ624" i="12"/>
  <c r="EA625" i="12" s="1" a="1"/>
  <c r="EA625" i="12" s="1"/>
  <c r="BQ623" i="12"/>
  <c r="EA624" i="12" s="1" a="1"/>
  <c r="EA624" i="12" s="1"/>
  <c r="BQ622" i="12"/>
  <c r="BQ621" i="12"/>
  <c r="EA622" i="12" s="1" a="1"/>
  <c r="EA622" i="12" s="1"/>
  <c r="BQ620" i="12"/>
  <c r="EA621" i="12" s="1" a="1"/>
  <c r="EA621" i="12" s="1"/>
  <c r="BQ619" i="12"/>
  <c r="EA620" i="12" s="1" a="1"/>
  <c r="EA620" i="12" s="1"/>
  <c r="BQ618" i="12"/>
  <c r="BQ617" i="12"/>
  <c r="EA618" i="12" s="1" a="1"/>
  <c r="EA618" i="12" s="1"/>
  <c r="BQ616" i="12"/>
  <c r="BQ615" i="12"/>
  <c r="EA616" i="12" s="1" a="1"/>
  <c r="EA616" i="12" s="1"/>
  <c r="BQ614" i="12"/>
  <c r="EA615" i="12" s="1" a="1"/>
  <c r="EA615" i="12" s="1"/>
  <c r="BQ613" i="12"/>
  <c r="EA614" i="12" s="1" a="1"/>
  <c r="EA614" i="12" s="1"/>
  <c r="BQ612" i="12"/>
  <c r="EA613" i="12" s="1" a="1"/>
  <c r="EA613" i="12" s="1"/>
  <c r="BQ611" i="12"/>
  <c r="EA612" i="12" s="1" a="1"/>
  <c r="EA612" i="12" s="1"/>
  <c r="BQ610" i="12"/>
  <c r="BQ609" i="12"/>
  <c r="EA610" i="12" s="1" a="1"/>
  <c r="EA610" i="12" s="1"/>
  <c r="BQ608" i="12"/>
  <c r="EA609" i="12" s="1" a="1"/>
  <c r="EA609" i="12" s="1"/>
  <c r="BQ607" i="12"/>
  <c r="EA608" i="12" s="1" a="1"/>
  <c r="EA608" i="12" s="1"/>
  <c r="BQ606" i="12"/>
  <c r="BQ605" i="12"/>
  <c r="EA606" i="12" s="1" a="1"/>
  <c r="EA606" i="12" s="1"/>
  <c r="BQ604" i="12"/>
  <c r="BQ603" i="12"/>
  <c r="EA604" i="12" s="1" a="1"/>
  <c r="EA604" i="12" s="1"/>
  <c r="BQ602" i="12"/>
  <c r="EA603" i="12" s="1" a="1"/>
  <c r="EA603" i="12" s="1"/>
  <c r="BQ601" i="12"/>
  <c r="EA602" i="12" s="1" a="1"/>
  <c r="EA602" i="12" s="1"/>
  <c r="S602" i="12"/>
  <c r="A602" i="12"/>
  <c r="BQ600" i="12"/>
  <c r="S601" i="12"/>
  <c r="A601" i="12"/>
  <c r="BQ599" i="12"/>
  <c r="EA600" i="12" s="1" a="1"/>
  <c r="EA600" i="12" s="1"/>
  <c r="S600" i="12"/>
  <c r="A600" i="12"/>
  <c r="BQ598" i="12"/>
  <c r="S599" i="12"/>
  <c r="A599" i="12"/>
  <c r="BQ597" i="12"/>
  <c r="EA598" i="12" s="1" a="1"/>
  <c r="EA598" i="12" s="1"/>
  <c r="S598" i="12"/>
  <c r="A598" i="12"/>
  <c r="BQ596" i="12"/>
  <c r="S597" i="12"/>
  <c r="A597" i="12"/>
  <c r="BQ595" i="12"/>
  <c r="EA596" i="12" s="1" a="1"/>
  <c r="EA596" i="12" s="1"/>
  <c r="S596" i="12"/>
  <c r="A596" i="12"/>
  <c r="BQ594" i="12"/>
  <c r="S595" i="12"/>
  <c r="A595" i="12"/>
  <c r="BQ593" i="12"/>
  <c r="EA594" i="12" s="1" a="1"/>
  <c r="EA594" i="12" s="1"/>
  <c r="S594" i="12"/>
  <c r="A594" i="12"/>
  <c r="BQ592" i="12"/>
  <c r="S593" i="12"/>
  <c r="A593" i="12"/>
  <c r="BQ591" i="12"/>
  <c r="EA592" i="12" s="1" a="1"/>
  <c r="EA592" i="12" s="1"/>
  <c r="S592" i="12"/>
  <c r="A592" i="12"/>
  <c r="BQ590" i="12"/>
  <c r="S591" i="12"/>
  <c r="A591" i="12"/>
  <c r="BQ589" i="12"/>
  <c r="EA590" i="12" s="1" a="1"/>
  <c r="EA590" i="12" s="1"/>
  <c r="S590" i="12"/>
  <c r="A590" i="12"/>
  <c r="BQ588" i="12"/>
  <c r="S589" i="12"/>
  <c r="A589" i="12"/>
  <c r="BQ587" i="12"/>
  <c r="EA588" i="12" s="1" a="1"/>
  <c r="EA588" i="12" s="1"/>
  <c r="S588" i="12"/>
  <c r="A588" i="12"/>
  <c r="BQ586" i="12"/>
  <c r="S587" i="12"/>
  <c r="A587" i="12"/>
  <c r="BQ585" i="12"/>
  <c r="EA586" i="12" s="1" a="1"/>
  <c r="EA586" i="12" s="1"/>
  <c r="S586" i="12"/>
  <c r="A586" i="12"/>
  <c r="BQ584" i="12"/>
  <c r="S585" i="12"/>
  <c r="A585" i="12"/>
  <c r="BQ583" i="12"/>
  <c r="EA584" i="12" s="1" a="1"/>
  <c r="EA584" i="12" s="1"/>
  <c r="S584" i="12"/>
  <c r="A584" i="12"/>
  <c r="BQ582" i="12"/>
  <c r="S583" i="12"/>
  <c r="A583" i="12"/>
  <c r="BQ581" i="12"/>
  <c r="EA582" i="12" s="1" a="1"/>
  <c r="EA582" i="12" s="1"/>
  <c r="S582" i="12"/>
  <c r="A582" i="12"/>
  <c r="BQ580" i="12"/>
  <c r="S581" i="12"/>
  <c r="A581" i="12"/>
  <c r="BQ579" i="12"/>
  <c r="EA580" i="12" s="1" a="1"/>
  <c r="EA580" i="12" s="1"/>
  <c r="S580" i="12"/>
  <c r="A580" i="12"/>
  <c r="BQ578" i="12"/>
  <c r="S579" i="12"/>
  <c r="A579" i="12"/>
  <c r="BQ577" i="12"/>
  <c r="EA578" i="12" s="1" a="1"/>
  <c r="EA578" i="12" s="1"/>
  <c r="S578" i="12"/>
  <c r="A578" i="12"/>
  <c r="BQ576" i="12"/>
  <c r="S577" i="12"/>
  <c r="A577" i="12"/>
  <c r="BQ575" i="12"/>
  <c r="EA576" i="12" s="1" a="1"/>
  <c r="EA576" i="12" s="1"/>
  <c r="S576" i="12"/>
  <c r="A576" i="12"/>
  <c r="BQ574" i="12"/>
  <c r="S575" i="12"/>
  <c r="A575" i="12"/>
  <c r="BQ573" i="12"/>
  <c r="EA574" i="12" s="1" a="1"/>
  <c r="EA574" i="12" s="1"/>
  <c r="S574" i="12"/>
  <c r="A574" i="12"/>
  <c r="BQ572" i="12"/>
  <c r="S573" i="12"/>
  <c r="A573" i="12"/>
  <c r="BQ571" i="12"/>
  <c r="EA572" i="12" s="1" a="1"/>
  <c r="EA572" i="12" s="1"/>
  <c r="S572" i="12"/>
  <c r="A572" i="12"/>
  <c r="BQ570" i="12"/>
  <c r="S571" i="12"/>
  <c r="A571" i="12"/>
  <c r="BQ569" i="12"/>
  <c r="EA570" i="12" s="1" a="1"/>
  <c r="EA570" i="12" s="1"/>
  <c r="S570" i="12"/>
  <c r="A570" i="12"/>
  <c r="BQ568" i="12"/>
  <c r="S569" i="12"/>
  <c r="A569" i="12"/>
  <c r="BQ567" i="12"/>
  <c r="EA568" i="12" s="1" a="1"/>
  <c r="EA568" i="12" s="1"/>
  <c r="S568" i="12"/>
  <c r="A568" i="12"/>
  <c r="BQ566" i="12"/>
  <c r="S567" i="12"/>
  <c r="A567" i="12"/>
  <c r="BQ565" i="12"/>
  <c r="EA566" i="12" s="1" a="1"/>
  <c r="EA566" i="12" s="1"/>
  <c r="S566" i="12"/>
  <c r="A566" i="12"/>
  <c r="BQ564" i="12"/>
  <c r="S565" i="12"/>
  <c r="A565" i="12"/>
  <c r="BQ563" i="12"/>
  <c r="EA564" i="12" s="1" a="1"/>
  <c r="EA564" i="12" s="1"/>
  <c r="S564" i="12"/>
  <c r="A564" i="12"/>
  <c r="BQ562" i="12"/>
  <c r="S563" i="12"/>
  <c r="A563" i="12"/>
  <c r="BQ561" i="12"/>
  <c r="EA562" i="12" s="1" a="1"/>
  <c r="EA562" i="12" s="1"/>
  <c r="S562" i="12"/>
  <c r="A562" i="12"/>
  <c r="BQ560" i="12"/>
  <c r="S561" i="12"/>
  <c r="A561" i="12"/>
  <c r="BQ559" i="12"/>
  <c r="EA560" i="12" s="1" a="1"/>
  <c r="EA560" i="12" s="1"/>
  <c r="S560" i="12"/>
  <c r="A560" i="12"/>
  <c r="BQ558" i="12"/>
  <c r="S559" i="12"/>
  <c r="A559" i="12"/>
  <c r="BQ557" i="12"/>
  <c r="EA558" i="12" s="1" a="1"/>
  <c r="EA558" i="12" s="1"/>
  <c r="S558" i="12"/>
  <c r="A558" i="12"/>
  <c r="BQ556" i="12"/>
  <c r="S557" i="12"/>
  <c r="A557" i="12"/>
  <c r="BQ555" i="12"/>
  <c r="EA556" i="12" s="1" a="1"/>
  <c r="EA556" i="12" s="1"/>
  <c r="S556" i="12"/>
  <c r="A556" i="12"/>
  <c r="BQ554" i="12"/>
  <c r="S555" i="12"/>
  <c r="A555" i="12"/>
  <c r="BQ553" i="12"/>
  <c r="EA554" i="12" s="1" a="1"/>
  <c r="EA554" i="12" s="1"/>
  <c r="S554" i="12"/>
  <c r="A554" i="12"/>
  <c r="BQ552" i="12"/>
  <c r="S553" i="12"/>
  <c r="A553" i="12"/>
  <c r="BQ551" i="12"/>
  <c r="EA552" i="12" s="1" a="1"/>
  <c r="EA552" i="12" s="1"/>
  <c r="S552" i="12"/>
  <c r="A552" i="12"/>
  <c r="BQ550" i="12"/>
  <c r="S551" i="12"/>
  <c r="A551" i="12"/>
  <c r="BQ549" i="12"/>
  <c r="EA550" i="12" s="1" a="1"/>
  <c r="EA550" i="12" s="1"/>
  <c r="S550" i="12"/>
  <c r="A550" i="12"/>
  <c r="BQ548" i="12"/>
  <c r="S549" i="12"/>
  <c r="A549" i="12"/>
  <c r="BQ547" i="12"/>
  <c r="EA548" i="12" s="1" a="1"/>
  <c r="EA548" i="12" s="1"/>
  <c r="S548" i="12"/>
  <c r="A548" i="12"/>
  <c r="BQ546" i="12"/>
  <c r="S547" i="12"/>
  <c r="A547" i="12"/>
  <c r="BQ545" i="12"/>
  <c r="EA546" i="12" s="1" a="1"/>
  <c r="EA546" i="12" s="1"/>
  <c r="S546" i="12"/>
  <c r="A546" i="12"/>
  <c r="BQ544" i="12"/>
  <c r="S545" i="12"/>
  <c r="A545" i="12"/>
  <c r="BQ543" i="12"/>
  <c r="EA544" i="12" s="1" a="1"/>
  <c r="EA544" i="12" s="1"/>
  <c r="S544" i="12"/>
  <c r="A544" i="12"/>
  <c r="BQ542" i="12"/>
  <c r="S543" i="12"/>
  <c r="A543" i="12"/>
  <c r="BQ541" i="12"/>
  <c r="EA542" i="12" s="1" a="1"/>
  <c r="EA542" i="12" s="1"/>
  <c r="S542" i="12"/>
  <c r="A542" i="12"/>
  <c r="BQ540" i="12"/>
  <c r="S541" i="12"/>
  <c r="A541" i="12"/>
  <c r="BQ539" i="12"/>
  <c r="EA540" i="12" s="1" a="1"/>
  <c r="EA540" i="12" s="1"/>
  <c r="S540" i="12"/>
  <c r="A540" i="12"/>
  <c r="BQ538" i="12"/>
  <c r="S539" i="12"/>
  <c r="A539" i="12"/>
  <c r="BQ537" i="12"/>
  <c r="EA538" i="12" s="1" a="1"/>
  <c r="EA538" i="12" s="1"/>
  <c r="S538" i="12"/>
  <c r="A538" i="12"/>
  <c r="BQ536" i="12"/>
  <c r="S537" i="12"/>
  <c r="A537" i="12"/>
  <c r="BQ535" i="12"/>
  <c r="EA536" i="12" s="1" a="1"/>
  <c r="EA536" i="12" s="1"/>
  <c r="S536" i="12"/>
  <c r="A536" i="12"/>
  <c r="BQ534" i="12"/>
  <c r="S535" i="12"/>
  <c r="A535" i="12"/>
  <c r="BQ533" i="12"/>
  <c r="EA534" i="12" s="1" a="1"/>
  <c r="EA534" i="12" s="1"/>
  <c r="S534" i="12"/>
  <c r="A534" i="12"/>
  <c r="BQ532" i="12"/>
  <c r="S533" i="12"/>
  <c r="A533" i="12"/>
  <c r="BQ531" i="12"/>
  <c r="EA532" i="12" s="1" a="1"/>
  <c r="EA532" i="12" s="1"/>
  <c r="S532" i="12"/>
  <c r="A532" i="12"/>
  <c r="BQ530" i="12"/>
  <c r="S531" i="12"/>
  <c r="A531" i="12"/>
  <c r="BQ529" i="12"/>
  <c r="EA530" i="12" s="1" a="1"/>
  <c r="EA530" i="12" s="1"/>
  <c r="S530" i="12"/>
  <c r="A530" i="12"/>
  <c r="BQ528" i="12"/>
  <c r="S529" i="12"/>
  <c r="A529" i="12"/>
  <c r="BQ527" i="12"/>
  <c r="EA528" i="12" s="1" a="1"/>
  <c r="EA528" i="12" s="1"/>
  <c r="S528" i="12"/>
  <c r="A528" i="12"/>
  <c r="BQ526" i="12"/>
  <c r="S527" i="12"/>
  <c r="A527" i="12"/>
  <c r="BQ525" i="12"/>
  <c r="EA526" i="12" s="1" a="1"/>
  <c r="EA526" i="12" s="1"/>
  <c r="S526" i="12"/>
  <c r="A526" i="12"/>
  <c r="BQ524" i="12"/>
  <c r="S525" i="12"/>
  <c r="A525" i="12"/>
  <c r="BQ523" i="12"/>
  <c r="EA524" i="12" s="1" a="1"/>
  <c r="EA524" i="12" s="1"/>
  <c r="S524" i="12"/>
  <c r="A524" i="12"/>
  <c r="BQ522" i="12"/>
  <c r="S523" i="12"/>
  <c r="A523" i="12"/>
  <c r="BQ521" i="12"/>
  <c r="EA522" i="12" s="1" a="1"/>
  <c r="EA522" i="12" s="1"/>
  <c r="S522" i="12"/>
  <c r="A522" i="12"/>
  <c r="BQ520" i="12"/>
  <c r="S521" i="12"/>
  <c r="A521" i="12"/>
  <c r="BQ519" i="12"/>
  <c r="EA520" i="12" s="1" a="1"/>
  <c r="EA520" i="12" s="1"/>
  <c r="S520" i="12"/>
  <c r="A520" i="12"/>
  <c r="BQ518" i="12"/>
  <c r="S519" i="12"/>
  <c r="A519" i="12"/>
  <c r="BQ517" i="12"/>
  <c r="EA518" i="12" s="1" a="1"/>
  <c r="EA518" i="12" s="1"/>
  <c r="S518" i="12"/>
  <c r="A518" i="12"/>
  <c r="BQ516" i="12"/>
  <c r="S517" i="12"/>
  <c r="A517" i="12"/>
  <c r="BQ515" i="12"/>
  <c r="EA516" i="12" s="1" a="1"/>
  <c r="EA516" i="12" s="1"/>
  <c r="S516" i="12"/>
  <c r="A516" i="12"/>
  <c r="BQ514" i="12"/>
  <c r="S515" i="12"/>
  <c r="A515" i="12"/>
  <c r="BQ513" i="12"/>
  <c r="EA514" i="12" s="1" a="1"/>
  <c r="EA514" i="12" s="1"/>
  <c r="S514" i="12"/>
  <c r="A514" i="12"/>
  <c r="BQ512" i="12"/>
  <c r="S513" i="12"/>
  <c r="A513" i="12"/>
  <c r="BQ511" i="12"/>
  <c r="EA512" i="12" s="1" a="1"/>
  <c r="EA512" i="12" s="1"/>
  <c r="S512" i="12"/>
  <c r="A512" i="12"/>
  <c r="BQ510" i="12"/>
  <c r="S511" i="12"/>
  <c r="A511" i="12"/>
  <c r="BQ509" i="12"/>
  <c r="EA510" i="12" s="1" a="1"/>
  <c r="EA510" i="12" s="1"/>
  <c r="S510" i="12"/>
  <c r="A510" i="12"/>
  <c r="BQ508" i="12"/>
  <c r="S509" i="12"/>
  <c r="A509" i="12"/>
  <c r="BQ507" i="12"/>
  <c r="EA508" i="12" s="1" a="1"/>
  <c r="EA508" i="12" s="1"/>
  <c r="S508" i="12"/>
  <c r="A508" i="12"/>
  <c r="BQ506" i="12"/>
  <c r="S507" i="12"/>
  <c r="A507" i="12"/>
  <c r="BQ505" i="12"/>
  <c r="EA506" i="12" s="1" a="1"/>
  <c r="EA506" i="12" s="1"/>
  <c r="S506" i="12"/>
  <c r="A506" i="12"/>
  <c r="BQ504" i="12"/>
  <c r="S505" i="12"/>
  <c r="A505" i="12"/>
  <c r="BQ503" i="12"/>
  <c r="EA504" i="12" s="1" a="1"/>
  <c r="EA504" i="12" s="1"/>
  <c r="S504" i="12"/>
  <c r="A504" i="12"/>
  <c r="BQ502" i="12"/>
  <c r="S503" i="12"/>
  <c r="A503" i="12"/>
  <c r="BQ501" i="12"/>
  <c r="EA502" i="12" s="1" a="1"/>
  <c r="EA502" i="12" s="1"/>
  <c r="S502" i="12"/>
  <c r="A502" i="12"/>
  <c r="BQ500" i="12"/>
  <c r="S501" i="12"/>
  <c r="A501" i="12"/>
  <c r="BQ499" i="12"/>
  <c r="EA500" i="12" s="1" a="1"/>
  <c r="EA500" i="12" s="1"/>
  <c r="S500" i="12"/>
  <c r="A500" i="12"/>
  <c r="BQ498" i="12"/>
  <c r="S499" i="12"/>
  <c r="A499" i="12"/>
  <c r="BQ497" i="12"/>
  <c r="EA498" i="12" s="1" a="1"/>
  <c r="EA498" i="12" s="1"/>
  <c r="S498" i="12"/>
  <c r="A498" i="12"/>
  <c r="BQ496" i="12"/>
  <c r="S497" i="12"/>
  <c r="A497" i="12"/>
  <c r="BQ495" i="12"/>
  <c r="EA496" i="12" s="1" a="1"/>
  <c r="EA496" i="12" s="1"/>
  <c r="S496" i="12"/>
  <c r="A496" i="12"/>
  <c r="BQ494" i="12"/>
  <c r="S495" i="12"/>
  <c r="A495" i="12"/>
  <c r="BQ493" i="12"/>
  <c r="EA494" i="12" s="1" a="1"/>
  <c r="EA494" i="12" s="1"/>
  <c r="S494" i="12"/>
  <c r="A494" i="12"/>
  <c r="BQ492" i="12"/>
  <c r="S493" i="12"/>
  <c r="A493" i="12"/>
  <c r="BQ491" i="12"/>
  <c r="EA492" i="12" s="1" a="1"/>
  <c r="EA492" i="12" s="1"/>
  <c r="S492" i="12"/>
  <c r="A492" i="12"/>
  <c r="BQ490" i="12"/>
  <c r="S491" i="12"/>
  <c r="A491" i="12"/>
  <c r="BQ489" i="12"/>
  <c r="EA490" i="12" s="1" a="1"/>
  <c r="EA490" i="12" s="1"/>
  <c r="S490" i="12"/>
  <c r="A490" i="12"/>
  <c r="BQ488" i="12"/>
  <c r="S489" i="12"/>
  <c r="A489" i="12"/>
  <c r="BQ487" i="12"/>
  <c r="EA488" i="12" s="1" a="1"/>
  <c r="EA488" i="12" s="1"/>
  <c r="S488" i="12"/>
  <c r="A488" i="12"/>
  <c r="BQ486" i="12"/>
  <c r="S487" i="12"/>
  <c r="A487" i="12"/>
  <c r="BQ485" i="12"/>
  <c r="EA486" i="12" s="1" a="1"/>
  <c r="EA486" i="12" s="1"/>
  <c r="S486" i="12"/>
  <c r="A486" i="12"/>
  <c r="BQ484" i="12"/>
  <c r="S485" i="12"/>
  <c r="A485" i="12"/>
  <c r="BQ483" i="12"/>
  <c r="EA484" i="12" s="1" a="1"/>
  <c r="EA484" i="12" s="1"/>
  <c r="S484" i="12"/>
  <c r="A484" i="12"/>
  <c r="BQ482" i="12"/>
  <c r="S483" i="12"/>
  <c r="A483" i="12"/>
  <c r="BQ481" i="12"/>
  <c r="EA482" i="12" s="1" a="1"/>
  <c r="EA482" i="12" s="1"/>
  <c r="S482" i="12"/>
  <c r="A482" i="12"/>
  <c r="BQ480" i="12"/>
  <c r="S481" i="12"/>
  <c r="A481" i="12"/>
  <c r="BQ479" i="12"/>
  <c r="EA480" i="12" s="1" a="1"/>
  <c r="EA480" i="12" s="1"/>
  <c r="S480" i="12"/>
  <c r="A480" i="12"/>
  <c r="BQ478" i="12"/>
  <c r="S479" i="12"/>
  <c r="A479" i="12"/>
  <c r="BQ477" i="12"/>
  <c r="EA478" i="12" s="1" a="1"/>
  <c r="EA478" i="12" s="1"/>
  <c r="S478" i="12"/>
  <c r="A478" i="12"/>
  <c r="BQ476" i="12"/>
  <c r="S477" i="12"/>
  <c r="A477" i="12"/>
  <c r="BQ475" i="12"/>
  <c r="EA476" i="12" s="1" a="1"/>
  <c r="EA476" i="12" s="1"/>
  <c r="S476" i="12"/>
  <c r="A476" i="12"/>
  <c r="BQ474" i="12"/>
  <c r="S475" i="12"/>
  <c r="A475" i="12"/>
  <c r="BQ473" i="12"/>
  <c r="EA474" i="12" s="1" a="1"/>
  <c r="EA474" i="12" s="1"/>
  <c r="S474" i="12"/>
  <c r="A474" i="12"/>
  <c r="BQ472" i="12"/>
  <c r="S473" i="12"/>
  <c r="A473" i="12"/>
  <c r="BQ471" i="12"/>
  <c r="EA472" i="12" s="1" a="1"/>
  <c r="EA472" i="12" s="1"/>
  <c r="S472" i="12"/>
  <c r="A472" i="12"/>
  <c r="BQ470" i="12"/>
  <c r="S471" i="12"/>
  <c r="A471" i="12"/>
  <c r="BQ469" i="12"/>
  <c r="EA470" i="12" s="1" a="1"/>
  <c r="EA470" i="12" s="1"/>
  <c r="S470" i="12"/>
  <c r="A470" i="12"/>
  <c r="BQ468" i="12"/>
  <c r="S469" i="12"/>
  <c r="A469" i="12"/>
  <c r="BQ467" i="12"/>
  <c r="EA468" i="12" s="1" a="1"/>
  <c r="EA468" i="12" s="1"/>
  <c r="S468" i="12"/>
  <c r="A468" i="12"/>
  <c r="BQ466" i="12"/>
  <c r="S467" i="12"/>
  <c r="A467" i="12"/>
  <c r="BQ465" i="12"/>
  <c r="EA466" i="12" s="1" a="1"/>
  <c r="EA466" i="12" s="1"/>
  <c r="S466" i="12"/>
  <c r="A466" i="12"/>
  <c r="BQ464" i="12"/>
  <c r="S465" i="12"/>
  <c r="A465" i="12"/>
  <c r="BQ463" i="12"/>
  <c r="EA464" i="12" s="1" a="1"/>
  <c r="EA464" i="12" s="1"/>
  <c r="S464" i="12"/>
  <c r="A464" i="12"/>
  <c r="BQ462" i="12"/>
  <c r="S463" i="12"/>
  <c r="A463" i="12"/>
  <c r="BQ461" i="12"/>
  <c r="EA462" i="12" s="1" a="1"/>
  <c r="EA462" i="12" s="1"/>
  <c r="S462" i="12"/>
  <c r="A462" i="12"/>
  <c r="BQ460" i="12"/>
  <c r="S461" i="12"/>
  <c r="A461" i="12"/>
  <c r="BQ459" i="12"/>
  <c r="EA460" i="12" s="1" a="1"/>
  <c r="EA460" i="12" s="1"/>
  <c r="S460" i="12"/>
  <c r="A460" i="12"/>
  <c r="BQ458" i="12"/>
  <c r="S459" i="12"/>
  <c r="A459" i="12"/>
  <c r="BQ457" i="12"/>
  <c r="EA458" i="12" s="1" a="1"/>
  <c r="EA458" i="12" s="1"/>
  <c r="S458" i="12"/>
  <c r="A458" i="12"/>
  <c r="BQ456" i="12"/>
  <c r="S457" i="12"/>
  <c r="A457" i="12"/>
  <c r="BQ455" i="12"/>
  <c r="EA456" i="12" s="1" a="1"/>
  <c r="EA456" i="12" s="1"/>
  <c r="S456" i="12"/>
  <c r="A456" i="12"/>
  <c r="BQ454" i="12"/>
  <c r="S455" i="12"/>
  <c r="A455" i="12"/>
  <c r="BQ453" i="12"/>
  <c r="EA454" i="12" s="1" a="1"/>
  <c r="EA454" i="12" s="1"/>
  <c r="S454" i="12"/>
  <c r="A454" i="12"/>
  <c r="BQ452" i="12"/>
  <c r="S453" i="12"/>
  <c r="A453" i="12"/>
  <c r="BQ451" i="12"/>
  <c r="EA452" i="12" s="1" a="1"/>
  <c r="EA452" i="12" s="1"/>
  <c r="S452" i="12"/>
  <c r="A452" i="12"/>
  <c r="BQ450" i="12"/>
  <c r="S451" i="12"/>
  <c r="A451" i="12"/>
  <c r="BQ449" i="12"/>
  <c r="EA450" i="12" s="1" a="1"/>
  <c r="EA450" i="12" s="1"/>
  <c r="S450" i="12"/>
  <c r="A450" i="12"/>
  <c r="BQ448" i="12"/>
  <c r="S449" i="12"/>
  <c r="A449" i="12"/>
  <c r="BQ447" i="12"/>
  <c r="EA448" i="12" s="1" a="1"/>
  <c r="EA448" i="12" s="1"/>
  <c r="S448" i="12"/>
  <c r="A448" i="12"/>
  <c r="BQ446" i="12"/>
  <c r="S447" i="12"/>
  <c r="A447" i="12"/>
  <c r="BQ445" i="12"/>
  <c r="EA446" i="12" s="1" a="1"/>
  <c r="EA446" i="12" s="1"/>
  <c r="S446" i="12"/>
  <c r="A446" i="12"/>
  <c r="BQ444" i="12"/>
  <c r="S445" i="12"/>
  <c r="A445" i="12"/>
  <c r="BQ443" i="12"/>
  <c r="EA444" i="12" s="1" a="1"/>
  <c r="EA444" i="12" s="1"/>
  <c r="S444" i="12"/>
  <c r="A444" i="12"/>
  <c r="BQ442" i="12"/>
  <c r="S443" i="12"/>
  <c r="A443" i="12"/>
  <c r="BQ441" i="12"/>
  <c r="EA442" i="12" s="1" a="1"/>
  <c r="EA442" i="12" s="1"/>
  <c r="S442" i="12"/>
  <c r="A442" i="12"/>
  <c r="BQ440" i="12"/>
  <c r="S441" i="12"/>
  <c r="A441" i="12"/>
  <c r="BQ439" i="12"/>
  <c r="EA440" i="12" s="1" a="1"/>
  <c r="EA440" i="12" s="1"/>
  <c r="S440" i="12"/>
  <c r="A440" i="12"/>
  <c r="BQ438" i="12"/>
  <c r="S439" i="12"/>
  <c r="A439" i="12"/>
  <c r="BQ437" i="12"/>
  <c r="EA438" i="12" s="1" a="1"/>
  <c r="EA438" i="12" s="1"/>
  <c r="S438" i="12"/>
  <c r="A438" i="12"/>
  <c r="BQ436" i="12"/>
  <c r="S437" i="12"/>
  <c r="A437" i="12"/>
  <c r="BQ435" i="12"/>
  <c r="EA436" i="12" s="1" a="1"/>
  <c r="EA436" i="12" s="1"/>
  <c r="S436" i="12"/>
  <c r="A436" i="12"/>
  <c r="BQ434" i="12"/>
  <c r="S435" i="12"/>
  <c r="A435" i="12"/>
  <c r="BQ433" i="12"/>
  <c r="EA434" i="12" s="1" a="1"/>
  <c r="EA434" i="12" s="1"/>
  <c r="S434" i="12"/>
  <c r="A434" i="12"/>
  <c r="BQ432" i="12"/>
  <c r="S433" i="12"/>
  <c r="A433" i="12"/>
  <c r="BQ431" i="12"/>
  <c r="EA432" i="12" s="1" a="1"/>
  <c r="EA432" i="12" s="1"/>
  <c r="S432" i="12"/>
  <c r="A432" i="12"/>
  <c r="BQ430" i="12"/>
  <c r="S431" i="12"/>
  <c r="A431" i="12"/>
  <c r="BQ429" i="12"/>
  <c r="EA430" i="12" s="1" a="1"/>
  <c r="EA430" i="12" s="1"/>
  <c r="S430" i="12"/>
  <c r="A430" i="12"/>
  <c r="BQ428" i="12"/>
  <c r="S429" i="12"/>
  <c r="A429" i="12"/>
  <c r="BQ427" i="12"/>
  <c r="EA428" i="12" s="1" a="1"/>
  <c r="EA428" i="12" s="1"/>
  <c r="S428" i="12"/>
  <c r="A428" i="12"/>
  <c r="BQ426" i="12"/>
  <c r="S427" i="12"/>
  <c r="A427" i="12"/>
  <c r="BQ425" i="12"/>
  <c r="EA426" i="12" s="1" a="1"/>
  <c r="EA426" i="12" s="1"/>
  <c r="S426" i="12"/>
  <c r="A426" i="12"/>
  <c r="BQ424" i="12"/>
  <c r="S425" i="12"/>
  <c r="A425" i="12"/>
  <c r="BQ423" i="12"/>
  <c r="EA424" i="12" s="1" a="1"/>
  <c r="EA424" i="12" s="1"/>
  <c r="S424" i="12"/>
  <c r="A424" i="12"/>
  <c r="BQ422" i="12"/>
  <c r="S423" i="12"/>
  <c r="A423" i="12"/>
  <c r="BQ421" i="12"/>
  <c r="EA422" i="12" s="1" a="1"/>
  <c r="EA422" i="12" s="1"/>
  <c r="S422" i="12"/>
  <c r="A422" i="12"/>
  <c r="BQ420" i="12"/>
  <c r="S421" i="12"/>
  <c r="A421" i="12"/>
  <c r="BQ419" i="12"/>
  <c r="EA420" i="12" s="1" a="1"/>
  <c r="EA420" i="12" s="1"/>
  <c r="S420" i="12"/>
  <c r="A420" i="12"/>
  <c r="BQ418" i="12"/>
  <c r="S419" i="12"/>
  <c r="A419" i="12"/>
  <c r="BQ417" i="12"/>
  <c r="EA418" i="12" s="1" a="1"/>
  <c r="EA418" i="12" s="1"/>
  <c r="S418" i="12"/>
  <c r="A418" i="12"/>
  <c r="BQ416" i="12"/>
  <c r="S417" i="12"/>
  <c r="A417" i="12"/>
  <c r="BQ415" i="12"/>
  <c r="EA416" i="12" s="1" a="1"/>
  <c r="EA416" i="12" s="1"/>
  <c r="S416" i="12"/>
  <c r="A416" i="12"/>
  <c r="BQ414" i="12"/>
  <c r="S415" i="12"/>
  <c r="A415" i="12"/>
  <c r="BQ413" i="12"/>
  <c r="EA414" i="12" s="1" a="1"/>
  <c r="EA414" i="12" s="1"/>
  <c r="S414" i="12"/>
  <c r="A414" i="12"/>
  <c r="BQ412" i="12"/>
  <c r="S413" i="12"/>
  <c r="A413" i="12"/>
  <c r="BQ411" i="12"/>
  <c r="EA412" i="12" s="1" a="1"/>
  <c r="EA412" i="12" s="1"/>
  <c r="S412" i="12"/>
  <c r="A412" i="12"/>
  <c r="BQ410" i="12"/>
  <c r="S411" i="12"/>
  <c r="A411" i="12"/>
  <c r="BQ409" i="12"/>
  <c r="EA410" i="12" s="1" a="1"/>
  <c r="EA410" i="12" s="1"/>
  <c r="S410" i="12"/>
  <c r="A410" i="12"/>
  <c r="BQ408" i="12"/>
  <c r="S409" i="12"/>
  <c r="A409" i="12"/>
  <c r="BQ407" i="12"/>
  <c r="EA408" i="12" s="1" a="1"/>
  <c r="EA408" i="12" s="1"/>
  <c r="S408" i="12"/>
  <c r="A408" i="12"/>
  <c r="BQ406" i="12"/>
  <c r="S407" i="12"/>
  <c r="A407" i="12"/>
  <c r="BQ405" i="12"/>
  <c r="EA406" i="12" s="1" a="1"/>
  <c r="EA406" i="12" s="1"/>
  <c r="S406" i="12"/>
  <c r="A406" i="12"/>
  <c r="BQ404" i="12"/>
  <c r="S405" i="12"/>
  <c r="A405" i="12"/>
  <c r="BQ403" i="12"/>
  <c r="EA404" i="12" s="1" a="1"/>
  <c r="EA404" i="12" s="1"/>
  <c r="S404" i="12"/>
  <c r="A404" i="12"/>
  <c r="BQ402" i="12"/>
  <c r="S403" i="12"/>
  <c r="A403" i="12"/>
  <c r="BQ401" i="12"/>
  <c r="EA402" i="12" s="1" a="1"/>
  <c r="EA402" i="12" s="1"/>
  <c r="S402" i="12"/>
  <c r="A402" i="12"/>
  <c r="BQ400" i="12"/>
  <c r="S401" i="12"/>
  <c r="A401" i="12"/>
  <c r="BQ399" i="12"/>
  <c r="EA400" i="12" s="1" a="1"/>
  <c r="EA400" i="12" s="1"/>
  <c r="S400" i="12"/>
  <c r="A400" i="12"/>
  <c r="BQ398" i="12"/>
  <c r="S399" i="12"/>
  <c r="A399" i="12"/>
  <c r="BQ397" i="12"/>
  <c r="EA398" i="12" s="1" a="1"/>
  <c r="EA398" i="12" s="1"/>
  <c r="S398" i="12"/>
  <c r="A398" i="12"/>
  <c r="BQ396" i="12"/>
  <c r="S397" i="12"/>
  <c r="A397" i="12"/>
  <c r="BQ395" i="12"/>
  <c r="EA396" i="12" s="1" a="1"/>
  <c r="EA396" i="12" s="1"/>
  <c r="S396" i="12"/>
  <c r="A396" i="12"/>
  <c r="BQ394" i="12"/>
  <c r="S395" i="12"/>
  <c r="A395" i="12"/>
  <c r="BQ393" i="12"/>
  <c r="EA394" i="12" s="1" a="1"/>
  <c r="EA394" i="12" s="1"/>
  <c r="S394" i="12"/>
  <c r="A394" i="12"/>
  <c r="BQ392" i="12"/>
  <c r="S393" i="12"/>
  <c r="A393" i="12"/>
  <c r="BQ391" i="12"/>
  <c r="EA392" i="12" s="1" a="1"/>
  <c r="EA392" i="12" s="1"/>
  <c r="S392" i="12"/>
  <c r="A392" i="12"/>
  <c r="BQ390" i="12"/>
  <c r="S391" i="12"/>
  <c r="A391" i="12"/>
  <c r="BQ389" i="12"/>
  <c r="EA390" i="12" s="1" a="1"/>
  <c r="EA390" i="12" s="1"/>
  <c r="S390" i="12"/>
  <c r="A390" i="12"/>
  <c r="BQ388" i="12"/>
  <c r="S389" i="12"/>
  <c r="A389" i="12"/>
  <c r="BQ387" i="12"/>
  <c r="EA388" i="12" s="1" a="1"/>
  <c r="EA388" i="12" s="1"/>
  <c r="S388" i="12"/>
  <c r="A388" i="12"/>
  <c r="BQ386" i="12"/>
  <c r="S387" i="12"/>
  <c r="A387" i="12"/>
  <c r="BQ385" i="12"/>
  <c r="EA386" i="12" s="1" a="1"/>
  <c r="EA386" i="12" s="1"/>
  <c r="S386" i="12"/>
  <c r="A386" i="12"/>
  <c r="BQ384" i="12"/>
  <c r="S385" i="12"/>
  <c r="A385" i="12"/>
  <c r="BQ383" i="12"/>
  <c r="EA384" i="12" s="1" a="1"/>
  <c r="EA384" i="12" s="1"/>
  <c r="S384" i="12"/>
  <c r="A384" i="12"/>
  <c r="BQ382" i="12"/>
  <c r="S383" i="12"/>
  <c r="A383" i="12"/>
  <c r="BQ381" i="12"/>
  <c r="EA382" i="12" s="1" a="1"/>
  <c r="EA382" i="12" s="1"/>
  <c r="S382" i="12"/>
  <c r="A382" i="12"/>
  <c r="BQ380" i="12"/>
  <c r="S381" i="12"/>
  <c r="A381" i="12"/>
  <c r="BQ379" i="12"/>
  <c r="EA380" i="12" s="1" a="1"/>
  <c r="EA380" i="12" s="1"/>
  <c r="S380" i="12"/>
  <c r="A380" i="12"/>
  <c r="BQ378" i="12"/>
  <c r="S379" i="12"/>
  <c r="A379" i="12"/>
  <c r="BQ377" i="12"/>
  <c r="EA378" i="12" s="1" a="1"/>
  <c r="EA378" i="12" s="1"/>
  <c r="S378" i="12"/>
  <c r="A378" i="12"/>
  <c r="BQ376" i="12"/>
  <c r="S377" i="12"/>
  <c r="A377" i="12"/>
  <c r="BQ375" i="12"/>
  <c r="EA376" i="12" s="1" a="1"/>
  <c r="EA376" i="12" s="1"/>
  <c r="S376" i="12"/>
  <c r="A376" i="12"/>
  <c r="BQ374" i="12"/>
  <c r="S375" i="12"/>
  <c r="A375" i="12"/>
  <c r="BQ373" i="12"/>
  <c r="EA374" i="12" s="1" a="1"/>
  <c r="EA374" i="12" s="1"/>
  <c r="S374" i="12"/>
  <c r="A374" i="12"/>
  <c r="BQ372" i="12"/>
  <c r="S373" i="12"/>
  <c r="A373" i="12"/>
  <c r="BQ371" i="12"/>
  <c r="EA372" i="12" s="1" a="1"/>
  <c r="EA372" i="12" s="1"/>
  <c r="S372" i="12"/>
  <c r="A372" i="12"/>
  <c r="BQ370" i="12"/>
  <c r="S371" i="12"/>
  <c r="A371" i="12"/>
  <c r="BQ369" i="12"/>
  <c r="EA370" i="12" s="1" a="1"/>
  <c r="EA370" i="12" s="1"/>
  <c r="S370" i="12"/>
  <c r="A370" i="12"/>
  <c r="BQ368" i="12"/>
  <c r="S369" i="12"/>
  <c r="A369" i="12"/>
  <c r="BQ367" i="12"/>
  <c r="EA368" i="12" s="1" a="1"/>
  <c r="EA368" i="12" s="1"/>
  <c r="S368" i="12"/>
  <c r="A368" i="12"/>
  <c r="BQ366" i="12"/>
  <c r="S367" i="12"/>
  <c r="A367" i="12"/>
  <c r="BQ365" i="12"/>
  <c r="EA366" i="12" s="1" a="1"/>
  <c r="EA366" i="12" s="1"/>
  <c r="S366" i="12"/>
  <c r="A366" i="12"/>
  <c r="BQ364" i="12"/>
  <c r="S365" i="12"/>
  <c r="A365" i="12"/>
  <c r="BQ363" i="12"/>
  <c r="EA364" i="12" s="1" a="1"/>
  <c r="EA364" i="12" s="1"/>
  <c r="S364" i="12"/>
  <c r="A364" i="12"/>
  <c r="BQ362" i="12"/>
  <c r="S363" i="12"/>
  <c r="A363" i="12"/>
  <c r="BQ361" i="12"/>
  <c r="EA362" i="12" s="1" a="1"/>
  <c r="EA362" i="12" s="1"/>
  <c r="S362" i="12"/>
  <c r="A362" i="12"/>
  <c r="BQ360" i="12"/>
  <c r="S361" i="12"/>
  <c r="A361" i="12"/>
  <c r="BQ359" i="12"/>
  <c r="EA360" i="12" s="1" a="1"/>
  <c r="EA360" i="12" s="1"/>
  <c r="S360" i="12"/>
  <c r="A360" i="12"/>
  <c r="BQ358" i="12"/>
  <c r="S359" i="12"/>
  <c r="A359" i="12"/>
  <c r="BQ357" i="12"/>
  <c r="EA358" i="12" s="1" a="1"/>
  <c r="EA358" i="12" s="1"/>
  <c r="S358" i="12"/>
  <c r="A358" i="12"/>
  <c r="BQ356" i="12"/>
  <c r="S357" i="12"/>
  <c r="A357" i="12"/>
  <c r="BQ355" i="12"/>
  <c r="EA356" i="12" s="1" a="1"/>
  <c r="EA356" i="12" s="1"/>
  <c r="S356" i="12"/>
  <c r="A356" i="12"/>
  <c r="BQ354" i="12"/>
  <c r="S355" i="12"/>
  <c r="A355" i="12"/>
  <c r="BQ353" i="12"/>
  <c r="EA354" i="12" s="1" a="1"/>
  <c r="EA354" i="12" s="1"/>
  <c r="S354" i="12"/>
  <c r="A354" i="12"/>
  <c r="BQ352" i="12"/>
  <c r="S353" i="12"/>
  <c r="A353" i="12"/>
  <c r="BQ351" i="12"/>
  <c r="EA352" i="12" s="1" a="1"/>
  <c r="EA352" i="12" s="1"/>
  <c r="S352" i="12"/>
  <c r="A352" i="12"/>
  <c r="BQ350" i="12"/>
  <c r="S351" i="12"/>
  <c r="A351" i="12"/>
  <c r="BQ349" i="12"/>
  <c r="EA350" i="12" s="1" a="1"/>
  <c r="EA350" i="12" s="1"/>
  <c r="S350" i="12"/>
  <c r="A350" i="12"/>
  <c r="BQ348" i="12"/>
  <c r="S349" i="12"/>
  <c r="A349" i="12"/>
  <c r="BQ347" i="12"/>
  <c r="EA348" i="12" s="1" a="1"/>
  <c r="EA348" i="12" s="1"/>
  <c r="S348" i="12"/>
  <c r="A348" i="12"/>
  <c r="BQ346" i="12"/>
  <c r="S347" i="12"/>
  <c r="A347" i="12"/>
  <c r="BQ345" i="12"/>
  <c r="EA346" i="12" s="1" a="1"/>
  <c r="EA346" i="12" s="1"/>
  <c r="S346" i="12"/>
  <c r="A346" i="12"/>
  <c r="BQ344" i="12"/>
  <c r="S345" i="12"/>
  <c r="A345" i="12"/>
  <c r="BQ343" i="12"/>
  <c r="EA344" i="12" s="1" a="1"/>
  <c r="EA344" i="12" s="1"/>
  <c r="S344" i="12"/>
  <c r="A344" i="12"/>
  <c r="BQ342" i="12"/>
  <c r="S343" i="12"/>
  <c r="A343" i="12"/>
  <c r="BQ341" i="12"/>
  <c r="EA342" i="12" s="1" a="1"/>
  <c r="EA342" i="12" s="1"/>
  <c r="S342" i="12"/>
  <c r="A342" i="12"/>
  <c r="BQ340" i="12"/>
  <c r="S341" i="12"/>
  <c r="A341" i="12"/>
  <c r="BQ339" i="12"/>
  <c r="EA340" i="12" s="1" a="1"/>
  <c r="EA340" i="12" s="1"/>
  <c r="S340" i="12"/>
  <c r="A340" i="12"/>
  <c r="BQ338" i="12"/>
  <c r="S339" i="12"/>
  <c r="A339" i="12"/>
  <c r="BQ337" i="12"/>
  <c r="EA338" i="12" s="1" a="1"/>
  <c r="EA338" i="12" s="1"/>
  <c r="S338" i="12"/>
  <c r="A338" i="12"/>
  <c r="BQ336" i="12"/>
  <c r="S337" i="12"/>
  <c r="A337" i="12"/>
  <c r="BQ335" i="12"/>
  <c r="EA336" i="12" s="1" a="1"/>
  <c r="EA336" i="12" s="1"/>
  <c r="S336" i="12"/>
  <c r="A336" i="12"/>
  <c r="BQ334" i="12"/>
  <c r="S335" i="12"/>
  <c r="A335" i="12"/>
  <c r="BQ333" i="12"/>
  <c r="EA334" i="12" s="1" a="1"/>
  <c r="EA334" i="12" s="1"/>
  <c r="S334" i="12"/>
  <c r="A334" i="12"/>
  <c r="BQ332" i="12"/>
  <c r="S333" i="12"/>
  <c r="A333" i="12"/>
  <c r="BQ331" i="12"/>
  <c r="EA332" i="12" s="1" a="1"/>
  <c r="EA332" i="12" s="1"/>
  <c r="S332" i="12"/>
  <c r="A332" i="12"/>
  <c r="BQ330" i="12"/>
  <c r="S331" i="12"/>
  <c r="A331" i="12"/>
  <c r="BQ329" i="12"/>
  <c r="EA330" i="12" s="1" a="1"/>
  <c r="EA330" i="12" s="1"/>
  <c r="S330" i="12"/>
  <c r="A330" i="12"/>
  <c r="BQ328" i="12"/>
  <c r="S329" i="12"/>
  <c r="A329" i="12"/>
  <c r="BQ327" i="12"/>
  <c r="EA328" i="12" s="1" a="1"/>
  <c r="EA328" i="12" s="1"/>
  <c r="S328" i="12"/>
  <c r="A328" i="12"/>
  <c r="BQ326" i="12"/>
  <c r="S327" i="12"/>
  <c r="A327" i="12"/>
  <c r="BQ325" i="12"/>
  <c r="EA326" i="12" s="1" a="1"/>
  <c r="EA326" i="12" s="1"/>
  <c r="S326" i="12"/>
  <c r="A326" i="12"/>
  <c r="BQ324" i="12"/>
  <c r="S325" i="12"/>
  <c r="A325" i="12"/>
  <c r="BQ323" i="12"/>
  <c r="EA324" i="12" s="1" a="1"/>
  <c r="EA324" i="12" s="1"/>
  <c r="S324" i="12"/>
  <c r="A324" i="12"/>
  <c r="BQ322" i="12"/>
  <c r="S323" i="12"/>
  <c r="A323" i="12"/>
  <c r="BQ321" i="12"/>
  <c r="EA322" i="12" s="1" a="1"/>
  <c r="EA322" i="12" s="1"/>
  <c r="S322" i="12"/>
  <c r="A322" i="12"/>
  <c r="BQ320" i="12"/>
  <c r="S321" i="12"/>
  <c r="A321" i="12"/>
  <c r="BQ319" i="12"/>
  <c r="EA320" i="12" s="1" a="1"/>
  <c r="EA320" i="12" s="1"/>
  <c r="S320" i="12"/>
  <c r="A320" i="12"/>
  <c r="BQ318" i="12"/>
  <c r="S319" i="12"/>
  <c r="A319" i="12"/>
  <c r="BQ317" i="12"/>
  <c r="EA318" i="12" s="1" a="1"/>
  <c r="EA318" i="12" s="1"/>
  <c r="S318" i="12"/>
  <c r="A318" i="12"/>
  <c r="BQ316" i="12"/>
  <c r="S317" i="12"/>
  <c r="A317" i="12"/>
  <c r="BQ315" i="12"/>
  <c r="EA316" i="12" s="1" a="1"/>
  <c r="EA316" i="12" s="1"/>
  <c r="S316" i="12"/>
  <c r="A316" i="12"/>
  <c r="BQ314" i="12"/>
  <c r="S315" i="12"/>
  <c r="A315" i="12"/>
  <c r="BQ313" i="12"/>
  <c r="EA314" i="12" s="1" a="1"/>
  <c r="EA314" i="12" s="1"/>
  <c r="S314" i="12"/>
  <c r="A314" i="12"/>
  <c r="BQ312" i="12"/>
  <c r="S313" i="12"/>
  <c r="A313" i="12"/>
  <c r="BQ311" i="12"/>
  <c r="EA312" i="12" s="1" a="1"/>
  <c r="EA312" i="12" s="1"/>
  <c r="S312" i="12"/>
  <c r="A312" i="12"/>
  <c r="BQ310" i="12"/>
  <c r="S311" i="12"/>
  <c r="A311" i="12"/>
  <c r="BQ309" i="12"/>
  <c r="EA310" i="12" s="1" a="1"/>
  <c r="EA310" i="12" s="1"/>
  <c r="S310" i="12"/>
  <c r="A310" i="12"/>
  <c r="BQ308" i="12"/>
  <c r="S309" i="12"/>
  <c r="A309" i="12"/>
  <c r="BQ307" i="12"/>
  <c r="EA308" i="12" s="1" a="1"/>
  <c r="EA308" i="12" s="1"/>
  <c r="S308" i="12"/>
  <c r="A308" i="12"/>
  <c r="BQ306" i="12"/>
  <c r="S307" i="12"/>
  <c r="A307" i="12"/>
  <c r="BQ305" i="12"/>
  <c r="EA306" i="12" s="1" a="1"/>
  <c r="EA306" i="12" s="1"/>
  <c r="S306" i="12"/>
  <c r="A306" i="12"/>
  <c r="BQ304" i="12"/>
  <c r="S305" i="12"/>
  <c r="A305" i="12"/>
  <c r="BQ303" i="12"/>
  <c r="EA304" i="12" s="1" a="1"/>
  <c r="EA304" i="12" s="1"/>
  <c r="S304" i="12"/>
  <c r="A304" i="12"/>
  <c r="BQ302" i="12"/>
  <c r="S303" i="12"/>
  <c r="A303" i="12"/>
  <c r="BQ301" i="12"/>
  <c r="EA302" i="12" s="1" a="1"/>
  <c r="EA302" i="12" s="1"/>
  <c r="S302" i="12"/>
  <c r="A302" i="12"/>
  <c r="BQ300" i="12"/>
  <c r="S301" i="12"/>
  <c r="A301" i="12"/>
  <c r="BQ299" i="12"/>
  <c r="EA300" i="12" s="1" a="1"/>
  <c r="EA300" i="12" s="1"/>
  <c r="S300" i="12"/>
  <c r="A300" i="12"/>
  <c r="BQ298" i="12"/>
  <c r="S299" i="12"/>
  <c r="A299" i="12"/>
  <c r="BQ297" i="12"/>
  <c r="EA298" i="12" s="1" a="1"/>
  <c r="EA298" i="12" s="1"/>
  <c r="S298" i="12"/>
  <c r="A298" i="12"/>
  <c r="BQ296" i="12"/>
  <c r="S297" i="12"/>
  <c r="A297" i="12"/>
  <c r="BQ295" i="12"/>
  <c r="EA296" i="12" s="1" a="1"/>
  <c r="EA296" i="12" s="1"/>
  <c r="S296" i="12"/>
  <c r="A296" i="12"/>
  <c r="BQ294" i="12"/>
  <c r="S295" i="12"/>
  <c r="A295" i="12"/>
  <c r="BQ293" i="12"/>
  <c r="EA294" i="12" s="1" a="1"/>
  <c r="EA294" i="12" s="1"/>
  <c r="S294" i="12"/>
  <c r="A294" i="12"/>
  <c r="BQ292" i="12"/>
  <c r="S293" i="12"/>
  <c r="A293" i="12"/>
  <c r="BQ291" i="12"/>
  <c r="EA292" i="12" s="1" a="1"/>
  <c r="EA292" i="12" s="1"/>
  <c r="S292" i="12"/>
  <c r="A292" i="12"/>
  <c r="BQ290" i="12"/>
  <c r="S291" i="12"/>
  <c r="A291" i="12"/>
  <c r="BQ289" i="12"/>
  <c r="EA290" i="12" s="1" a="1"/>
  <c r="EA290" i="12" s="1"/>
  <c r="S290" i="12"/>
  <c r="A290" i="12"/>
  <c r="BQ288" i="12"/>
  <c r="S289" i="12"/>
  <c r="A289" i="12"/>
  <c r="BQ287" i="12"/>
  <c r="EA288" i="12" s="1" a="1"/>
  <c r="EA288" i="12" s="1"/>
  <c r="S288" i="12"/>
  <c r="A288" i="12"/>
  <c r="BQ286" i="12"/>
  <c r="S287" i="12"/>
  <c r="A287" i="12"/>
  <c r="BQ285" i="12"/>
  <c r="EA286" i="12" s="1" a="1"/>
  <c r="EA286" i="12" s="1"/>
  <c r="S286" i="12"/>
  <c r="A286" i="12"/>
  <c r="BQ284" i="12"/>
  <c r="S285" i="12"/>
  <c r="A285" i="12"/>
  <c r="BQ283" i="12"/>
  <c r="EA284" i="12" s="1" a="1"/>
  <c r="EA284" i="12" s="1"/>
  <c r="S284" i="12"/>
  <c r="A284" i="12"/>
  <c r="BQ282" i="12"/>
  <c r="S283" i="12"/>
  <c r="A283" i="12"/>
  <c r="BQ281" i="12"/>
  <c r="EA282" i="12" s="1" a="1"/>
  <c r="EA282" i="12" s="1"/>
  <c r="S282" i="12"/>
  <c r="A282" i="12"/>
  <c r="BQ280" i="12"/>
  <c r="S281" i="12"/>
  <c r="A281" i="12"/>
  <c r="BQ279" i="12"/>
  <c r="EA280" i="12" s="1" a="1"/>
  <c r="EA280" i="12" s="1"/>
  <c r="S280" i="12"/>
  <c r="A280" i="12"/>
  <c r="BQ278" i="12"/>
  <c r="S279" i="12"/>
  <c r="A279" i="12"/>
  <c r="BQ277" i="12"/>
  <c r="EA278" i="12" s="1" a="1"/>
  <c r="EA278" i="12" s="1"/>
  <c r="S278" i="12"/>
  <c r="A278" i="12"/>
  <c r="BQ276" i="12"/>
  <c r="S277" i="12"/>
  <c r="A277" i="12"/>
  <c r="BQ275" i="12"/>
  <c r="EA276" i="12" s="1" a="1"/>
  <c r="EA276" i="12" s="1"/>
  <c r="S276" i="12"/>
  <c r="A276" i="12"/>
  <c r="BQ274" i="12"/>
  <c r="S275" i="12"/>
  <c r="A275" i="12"/>
  <c r="BQ273" i="12"/>
  <c r="EA274" i="12" s="1" a="1"/>
  <c r="EA274" i="12" s="1"/>
  <c r="S274" i="12"/>
  <c r="A274" i="12"/>
  <c r="BQ272" i="12"/>
  <c r="S273" i="12"/>
  <c r="A273" i="12"/>
  <c r="BQ271" i="12"/>
  <c r="EA272" i="12" s="1" a="1"/>
  <c r="EA272" i="12" s="1"/>
  <c r="S272" i="12"/>
  <c r="A272" i="12"/>
  <c r="BQ270" i="12"/>
  <c r="S271" i="12"/>
  <c r="A271" i="12"/>
  <c r="BQ269" i="12"/>
  <c r="EA270" i="12" s="1" a="1"/>
  <c r="EA270" i="12" s="1"/>
  <c r="S270" i="12"/>
  <c r="A270" i="12"/>
  <c r="BQ268" i="12"/>
  <c r="S269" i="12"/>
  <c r="A269" i="12"/>
  <c r="BQ267" i="12"/>
  <c r="EA268" i="12" s="1" a="1"/>
  <c r="EA268" i="12" s="1"/>
  <c r="S268" i="12"/>
  <c r="A268" i="12"/>
  <c r="BQ266" i="12"/>
  <c r="S267" i="12"/>
  <c r="A267" i="12"/>
  <c r="BQ265" i="12"/>
  <c r="EA266" i="12" s="1" a="1"/>
  <c r="EA266" i="12" s="1"/>
  <c r="S266" i="12"/>
  <c r="A266" i="12"/>
  <c r="BQ264" i="12"/>
  <c r="S265" i="12"/>
  <c r="A265" i="12"/>
  <c r="BQ263" i="12"/>
  <c r="EA264" i="12" s="1" a="1"/>
  <c r="EA264" i="12" s="1"/>
  <c r="S264" i="12"/>
  <c r="A264" i="12"/>
  <c r="BQ262" i="12"/>
  <c r="S263" i="12"/>
  <c r="A263" i="12"/>
  <c r="BQ261" i="12"/>
  <c r="EA262" i="12" s="1" a="1"/>
  <c r="EA262" i="12" s="1"/>
  <c r="S262" i="12"/>
  <c r="A262" i="12"/>
  <c r="BQ260" i="12"/>
  <c r="S261" i="12"/>
  <c r="A261" i="12"/>
  <c r="BQ259" i="12"/>
  <c r="EA260" i="12" s="1" a="1"/>
  <c r="EA260" i="12" s="1"/>
  <c r="S260" i="12"/>
  <c r="A260" i="12"/>
  <c r="BQ258" i="12"/>
  <c r="S259" i="12"/>
  <c r="A259" i="12"/>
  <c r="BQ257" i="12"/>
  <c r="EA258" i="12" s="1" a="1"/>
  <c r="EA258" i="12" s="1"/>
  <c r="S258" i="12"/>
  <c r="A258" i="12"/>
  <c r="BQ256" i="12"/>
  <c r="S257" i="12"/>
  <c r="A257" i="12"/>
  <c r="BQ255" i="12"/>
  <c r="EA256" i="12" s="1" a="1"/>
  <c r="EA256" i="12" s="1"/>
  <c r="S256" i="12"/>
  <c r="A256" i="12"/>
  <c r="BQ254" i="12"/>
  <c r="S255" i="12"/>
  <c r="A255" i="12"/>
  <c r="BQ253" i="12"/>
  <c r="EA254" i="12" s="1" a="1"/>
  <c r="EA254" i="12" s="1"/>
  <c r="S254" i="12"/>
  <c r="A254" i="12"/>
  <c r="BQ252" i="12"/>
  <c r="S253" i="12"/>
  <c r="A253" i="12"/>
  <c r="BQ251" i="12"/>
  <c r="EA252" i="12" s="1" a="1"/>
  <c r="EA252" i="12" s="1"/>
  <c r="S252" i="12"/>
  <c r="A252" i="12"/>
  <c r="BQ250" i="12"/>
  <c r="S251" i="12"/>
  <c r="A251" i="12"/>
  <c r="BQ249" i="12"/>
  <c r="EA250" i="12" s="1" a="1"/>
  <c r="EA250" i="12" s="1"/>
  <c r="S250" i="12"/>
  <c r="A250" i="12"/>
  <c r="BQ248" i="12"/>
  <c r="S249" i="12"/>
  <c r="A249" i="12"/>
  <c r="BQ247" i="12"/>
  <c r="EA248" i="12" s="1" a="1"/>
  <c r="EA248" i="12" s="1"/>
  <c r="S248" i="12"/>
  <c r="A248" i="12"/>
  <c r="BQ246" i="12"/>
  <c r="S247" i="12"/>
  <c r="A247" i="12"/>
  <c r="BQ245" i="12"/>
  <c r="EA246" i="12" s="1" a="1"/>
  <c r="EA246" i="12" s="1"/>
  <c r="S246" i="12"/>
  <c r="A246" i="12"/>
  <c r="BQ244" i="12"/>
  <c r="S245" i="12"/>
  <c r="A245" i="12"/>
  <c r="BQ243" i="12"/>
  <c r="EA244" i="12" s="1" a="1"/>
  <c r="EA244" i="12" s="1"/>
  <c r="S244" i="12"/>
  <c r="A244" i="12"/>
  <c r="BQ242" i="12"/>
  <c r="S243" i="12"/>
  <c r="A243" i="12"/>
  <c r="BQ241" i="12"/>
  <c r="EA242" i="12" s="1" a="1"/>
  <c r="EA242" i="12" s="1"/>
  <c r="S242" i="12"/>
  <c r="A242" i="12"/>
  <c r="BQ240" i="12"/>
  <c r="S241" i="12"/>
  <c r="A241" i="12"/>
  <c r="BQ239" i="12"/>
  <c r="EA240" i="12" s="1" a="1"/>
  <c r="EA240" i="12" s="1"/>
  <c r="S240" i="12"/>
  <c r="A240" i="12"/>
  <c r="BQ238" i="12"/>
  <c r="S239" i="12"/>
  <c r="A239" i="12"/>
  <c r="BQ237" i="12"/>
  <c r="EA238" i="12" s="1" a="1"/>
  <c r="EA238" i="12" s="1"/>
  <c r="S238" i="12"/>
  <c r="A238" i="12"/>
  <c r="BQ236" i="12"/>
  <c r="S237" i="12"/>
  <c r="A237" i="12"/>
  <c r="BQ235" i="12"/>
  <c r="EA236" i="12" s="1" a="1"/>
  <c r="EA236" i="12" s="1"/>
  <c r="S236" i="12"/>
  <c r="A236" i="12"/>
  <c r="BQ234" i="12"/>
  <c r="S235" i="12"/>
  <c r="A235" i="12"/>
  <c r="BQ233" i="12"/>
  <c r="EA234" i="12" s="1" a="1"/>
  <c r="EA234" i="12" s="1"/>
  <c r="S234" i="12"/>
  <c r="A234" i="12"/>
  <c r="BQ232" i="12"/>
  <c r="S233" i="12"/>
  <c r="A233" i="12"/>
  <c r="BQ231" i="12"/>
  <c r="EA232" i="12" s="1" a="1"/>
  <c r="EA232" i="12" s="1"/>
  <c r="S232" i="12"/>
  <c r="A232" i="12"/>
  <c r="BQ230" i="12"/>
  <c r="S231" i="12"/>
  <c r="A231" i="12"/>
  <c r="BQ229" i="12"/>
  <c r="EA230" i="12" s="1" a="1"/>
  <c r="EA230" i="12" s="1"/>
  <c r="S230" i="12"/>
  <c r="A230" i="12"/>
  <c r="BQ228" i="12"/>
  <c r="S229" i="12"/>
  <c r="A229" i="12"/>
  <c r="BQ227" i="12"/>
  <c r="EA228" i="12" s="1" a="1"/>
  <c r="EA228" i="12" s="1"/>
  <c r="S228" i="12"/>
  <c r="A228" i="12"/>
  <c r="BQ226" i="12"/>
  <c r="S227" i="12"/>
  <c r="A227" i="12"/>
  <c r="BQ225" i="12"/>
  <c r="EA226" i="12" s="1" a="1"/>
  <c r="EA226" i="12" s="1"/>
  <c r="S226" i="12"/>
  <c r="A226" i="12"/>
  <c r="BQ224" i="12"/>
  <c r="S225" i="12"/>
  <c r="A225" i="12"/>
  <c r="BQ223" i="12"/>
  <c r="EA224" i="12" s="1" a="1"/>
  <c r="EA224" i="12" s="1"/>
  <c r="S224" i="12"/>
  <c r="A224" i="12"/>
  <c r="BQ222" i="12"/>
  <c r="S223" i="12"/>
  <c r="A223" i="12"/>
  <c r="BQ221" i="12"/>
  <c r="EA222" i="12" s="1" a="1"/>
  <c r="EA222" i="12" s="1"/>
  <c r="S222" i="12"/>
  <c r="A222" i="12"/>
  <c r="BQ220" i="12"/>
  <c r="S221" i="12"/>
  <c r="A221" i="12"/>
  <c r="BQ219" i="12"/>
  <c r="EA220" i="12" s="1" a="1"/>
  <c r="EA220" i="12" s="1"/>
  <c r="S220" i="12"/>
  <c r="A220" i="12"/>
  <c r="BQ218" i="12"/>
  <c r="S219" i="12"/>
  <c r="A219" i="12"/>
  <c r="BQ217" i="12"/>
  <c r="EA218" i="12" s="1" a="1"/>
  <c r="EA218" i="12" s="1"/>
  <c r="S218" i="12"/>
  <c r="A218" i="12"/>
  <c r="BQ216" i="12"/>
  <c r="S217" i="12"/>
  <c r="A217" i="12"/>
  <c r="BQ215" i="12"/>
  <c r="EA216" i="12" s="1" a="1"/>
  <c r="EA216" i="12" s="1"/>
  <c r="S216" i="12"/>
  <c r="A216" i="12"/>
  <c r="BQ214" i="12"/>
  <c r="S215" i="12"/>
  <c r="A215" i="12"/>
  <c r="BQ213" i="12"/>
  <c r="EA214" i="12" s="1" a="1"/>
  <c r="EA214" i="12" s="1"/>
  <c r="S214" i="12"/>
  <c r="A214" i="12"/>
  <c r="BQ212" i="12"/>
  <c r="S213" i="12"/>
  <c r="A213" i="12"/>
  <c r="BQ211" i="12"/>
  <c r="EA212" i="12" s="1" a="1"/>
  <c r="EA212" i="12" s="1"/>
  <c r="S212" i="12"/>
  <c r="A212" i="12"/>
  <c r="BQ210" i="12"/>
  <c r="S211" i="12"/>
  <c r="A211" i="12"/>
  <c r="BQ209" i="12"/>
  <c r="EA210" i="12" s="1" a="1"/>
  <c r="EA210" i="12" s="1"/>
  <c r="S210" i="12"/>
  <c r="A210" i="12"/>
  <c r="BQ208" i="12"/>
  <c r="S209" i="12"/>
  <c r="A209" i="12"/>
  <c r="BQ207" i="12"/>
  <c r="EA208" i="12" s="1" a="1"/>
  <c r="EA208" i="12" s="1"/>
  <c r="S208" i="12"/>
  <c r="A208" i="12"/>
  <c r="BQ206" i="12"/>
  <c r="S207" i="12"/>
  <c r="A207" i="12"/>
  <c r="BQ205" i="12"/>
  <c r="EA206" i="12" s="1" a="1"/>
  <c r="EA206" i="12" s="1"/>
  <c r="S206" i="12"/>
  <c r="A206" i="12"/>
  <c r="BQ204" i="12"/>
  <c r="S205" i="12"/>
  <c r="A205" i="12"/>
  <c r="BQ203" i="12"/>
  <c r="EA204" i="12" s="1" a="1"/>
  <c r="EA204" i="12" s="1"/>
  <c r="S204" i="12"/>
  <c r="A204" i="12"/>
  <c r="BQ202" i="12"/>
  <c r="S203" i="12"/>
  <c r="A203" i="12"/>
  <c r="BQ201" i="12"/>
  <c r="EA202" i="12" s="1" a="1"/>
  <c r="EA202" i="12" s="1"/>
  <c r="S202" i="12"/>
  <c r="A202" i="12"/>
  <c r="BQ200" i="12"/>
  <c r="S201" i="12"/>
  <c r="A201" i="12"/>
  <c r="BQ199" i="12"/>
  <c r="EA200" i="12" s="1" a="1"/>
  <c r="EA200" i="12" s="1"/>
  <c r="S200" i="12"/>
  <c r="A200" i="12"/>
  <c r="BQ198" i="12"/>
  <c r="S199" i="12"/>
  <c r="A199" i="12"/>
  <c r="BQ197" i="12"/>
  <c r="EA198" i="12" s="1" a="1"/>
  <c r="EA198" i="12" s="1"/>
  <c r="S198" i="12"/>
  <c r="A198" i="12"/>
  <c r="BQ196" i="12"/>
  <c r="S197" i="12"/>
  <c r="A197" i="12"/>
  <c r="BQ195" i="12"/>
  <c r="EA196" i="12" s="1" a="1"/>
  <c r="EA196" i="12" s="1"/>
  <c r="S196" i="12"/>
  <c r="A196" i="12"/>
  <c r="BQ194" i="12"/>
  <c r="S195" i="12"/>
  <c r="A195" i="12"/>
  <c r="BQ193" i="12"/>
  <c r="EA194" i="12" s="1" a="1"/>
  <c r="EA194" i="12" s="1"/>
  <c r="S194" i="12"/>
  <c r="A194" i="12"/>
  <c r="BQ192" i="12"/>
  <c r="S193" i="12"/>
  <c r="A193" i="12"/>
  <c r="BQ191" i="12"/>
  <c r="EA192" i="12" s="1" a="1"/>
  <c r="EA192" i="12" s="1"/>
  <c r="S192" i="12"/>
  <c r="A192" i="12"/>
  <c r="BQ190" i="12"/>
  <c r="S191" i="12"/>
  <c r="A191" i="12"/>
  <c r="BQ189" i="12"/>
  <c r="EA190" i="12" s="1" a="1"/>
  <c r="EA190" i="12" s="1"/>
  <c r="S190" i="12"/>
  <c r="A190" i="12"/>
  <c r="BQ188" i="12"/>
  <c r="S189" i="12"/>
  <c r="A189" i="12"/>
  <c r="BQ187" i="12"/>
  <c r="EA188" i="12" s="1" a="1"/>
  <c r="EA188" i="12" s="1"/>
  <c r="S188" i="12"/>
  <c r="A188" i="12"/>
  <c r="BQ186" i="12"/>
  <c r="S187" i="12"/>
  <c r="A187" i="12"/>
  <c r="BQ185" i="12"/>
  <c r="EA186" i="12" s="1" a="1"/>
  <c r="EA186" i="12" s="1"/>
  <c r="S186" i="12"/>
  <c r="A186" i="12"/>
  <c r="BQ184" i="12"/>
  <c r="S185" i="12"/>
  <c r="A185" i="12"/>
  <c r="BQ183" i="12"/>
  <c r="EA184" i="12" s="1" a="1"/>
  <c r="EA184" i="12" s="1"/>
  <c r="S184" i="12"/>
  <c r="A184" i="12"/>
  <c r="BQ182" i="12"/>
  <c r="S183" i="12"/>
  <c r="A183" i="12"/>
  <c r="BQ181" i="12"/>
  <c r="EA182" i="12" s="1" a="1"/>
  <c r="EA182" i="12" s="1"/>
  <c r="S182" i="12"/>
  <c r="A182" i="12"/>
  <c r="BQ180" i="12"/>
  <c r="S181" i="12"/>
  <c r="A181" i="12"/>
  <c r="BQ179" i="12"/>
  <c r="EA180" i="12" s="1" a="1"/>
  <c r="EA180" i="12" s="1"/>
  <c r="S180" i="12"/>
  <c r="A180" i="12"/>
  <c r="BQ178" i="12"/>
  <c r="S179" i="12"/>
  <c r="A179" i="12"/>
  <c r="BQ177" i="12"/>
  <c r="EA178" i="12" s="1" a="1"/>
  <c r="EA178" i="12" s="1"/>
  <c r="S178" i="12"/>
  <c r="A178" i="12"/>
  <c r="BQ176" i="12"/>
  <c r="S177" i="12"/>
  <c r="A177" i="12"/>
  <c r="BQ175" i="12"/>
  <c r="EA176" i="12" s="1" a="1"/>
  <c r="EA176" i="12" s="1"/>
  <c r="S176" i="12"/>
  <c r="A176" i="12"/>
  <c r="BQ174" i="12"/>
  <c r="S175" i="12"/>
  <c r="A175" i="12"/>
  <c r="BQ173" i="12"/>
  <c r="EA174" i="12" s="1" a="1"/>
  <c r="EA174" i="12" s="1"/>
  <c r="S174" i="12"/>
  <c r="A174" i="12"/>
  <c r="BQ172" i="12"/>
  <c r="S173" i="12"/>
  <c r="A173" i="12"/>
  <c r="BQ171" i="12"/>
  <c r="EA172" i="12" s="1" a="1"/>
  <c r="EA172" i="12" s="1"/>
  <c r="S172" i="12"/>
  <c r="A172" i="12"/>
  <c r="BQ170" i="12"/>
  <c r="S171" i="12"/>
  <c r="A171" i="12"/>
  <c r="BQ169" i="12"/>
  <c r="EA170" i="12" s="1" a="1"/>
  <c r="EA170" i="12" s="1"/>
  <c r="S170" i="12"/>
  <c r="A170" i="12"/>
  <c r="BQ168" i="12"/>
  <c r="S169" i="12"/>
  <c r="A169" i="12"/>
  <c r="BQ167" i="12"/>
  <c r="EA168" i="12" s="1" a="1"/>
  <c r="EA168" i="12" s="1"/>
  <c r="S168" i="12"/>
  <c r="A168" i="12"/>
  <c r="BQ166" i="12"/>
  <c r="S167" i="12"/>
  <c r="A167" i="12"/>
  <c r="BQ165" i="12"/>
  <c r="EA166" i="12" s="1" a="1"/>
  <c r="EA166" i="12" s="1"/>
  <c r="S166" i="12"/>
  <c r="A166" i="12"/>
  <c r="BQ164" i="12"/>
  <c r="S165" i="12"/>
  <c r="A165" i="12"/>
  <c r="BQ163" i="12"/>
  <c r="EA164" i="12" s="1" a="1"/>
  <c r="EA164" i="12" s="1"/>
  <c r="S164" i="12"/>
  <c r="A164" i="12"/>
  <c r="BQ162" i="12"/>
  <c r="S163" i="12"/>
  <c r="A163" i="12"/>
  <c r="BQ161" i="12"/>
  <c r="EA162" i="12" s="1" a="1"/>
  <c r="EA162" i="12" s="1"/>
  <c r="S162" i="12"/>
  <c r="A162" i="12"/>
  <c r="BQ160" i="12"/>
  <c r="S161" i="12"/>
  <c r="A161" i="12"/>
  <c r="BQ159" i="12"/>
  <c r="EA160" i="12" s="1" a="1"/>
  <c r="EA160" i="12" s="1"/>
  <c r="S160" i="12"/>
  <c r="A160" i="12"/>
  <c r="BQ158" i="12"/>
  <c r="S159" i="12"/>
  <c r="A159" i="12"/>
  <c r="BQ157" i="12"/>
  <c r="EA158" i="12" s="1" a="1"/>
  <c r="EA158" i="12" s="1"/>
  <c r="S158" i="12"/>
  <c r="A158" i="12"/>
  <c r="BQ156" i="12"/>
  <c r="S157" i="12"/>
  <c r="A157" i="12"/>
  <c r="BQ155" i="12"/>
  <c r="EA156" i="12" s="1" a="1"/>
  <c r="EA156" i="12" s="1"/>
  <c r="S156" i="12"/>
  <c r="A156" i="12"/>
  <c r="BQ154" i="12"/>
  <c r="S155" i="12"/>
  <c r="A155" i="12"/>
  <c r="BQ153" i="12"/>
  <c r="EA154" i="12" s="1" a="1"/>
  <c r="EA154" i="12" s="1"/>
  <c r="S154" i="12"/>
  <c r="A154" i="12"/>
  <c r="BQ152" i="12"/>
  <c r="S153" i="12"/>
  <c r="A153" i="12"/>
  <c r="BQ151" i="12"/>
  <c r="EA152" i="12" s="1" a="1"/>
  <c r="EA152" i="12" s="1"/>
  <c r="S152" i="12"/>
  <c r="A152" i="12"/>
  <c r="BQ150" i="12"/>
  <c r="S151" i="12"/>
  <c r="A151" i="12"/>
  <c r="BQ149" i="12"/>
  <c r="EA150" i="12" s="1" a="1"/>
  <c r="EA150" i="12" s="1"/>
  <c r="S150" i="12"/>
  <c r="A150" i="12"/>
  <c r="BQ148" i="12"/>
  <c r="S149" i="12"/>
  <c r="A149" i="12"/>
  <c r="BQ147" i="12"/>
  <c r="EA148" i="12" s="1" a="1"/>
  <c r="EA148" i="12" s="1"/>
  <c r="S148" i="12"/>
  <c r="A148" i="12"/>
  <c r="BQ146" i="12"/>
  <c r="S147" i="12"/>
  <c r="A147" i="12"/>
  <c r="BQ145" i="12"/>
  <c r="EA146" i="12" s="1" a="1"/>
  <c r="EA146" i="12" s="1"/>
  <c r="S146" i="12"/>
  <c r="A146" i="12"/>
  <c r="BQ144" i="12"/>
  <c r="S145" i="12"/>
  <c r="A145" i="12"/>
  <c r="BQ143" i="12"/>
  <c r="EA144" i="12" s="1" a="1"/>
  <c r="EA144" i="12" s="1"/>
  <c r="S144" i="12"/>
  <c r="A144" i="12"/>
  <c r="BQ142" i="12"/>
  <c r="S143" i="12"/>
  <c r="A143" i="12"/>
  <c r="BQ141" i="12"/>
  <c r="EA142" i="12" s="1" a="1"/>
  <c r="EA142" i="12" s="1"/>
  <c r="S142" i="12"/>
  <c r="A142" i="12"/>
  <c r="BQ140" i="12"/>
  <c r="S141" i="12"/>
  <c r="A141" i="12"/>
  <c r="BQ139" i="12"/>
  <c r="EA140" i="12" s="1" a="1"/>
  <c r="EA140" i="12" s="1"/>
  <c r="S140" i="12"/>
  <c r="A140" i="12"/>
  <c r="BQ138" i="12"/>
  <c r="S139" i="12"/>
  <c r="A139" i="12"/>
  <c r="BQ137" i="12"/>
  <c r="EA138" i="12" s="1" a="1"/>
  <c r="EA138" i="12" s="1"/>
  <c r="S138" i="12"/>
  <c r="A138" i="12"/>
  <c r="BQ136" i="12"/>
  <c r="S137" i="12"/>
  <c r="A137" i="12"/>
  <c r="BQ135" i="12"/>
  <c r="EA136" i="12" s="1" a="1"/>
  <c r="EA136" i="12" s="1"/>
  <c r="S136" i="12"/>
  <c r="A136" i="12"/>
  <c r="BQ134" i="12"/>
  <c r="S135" i="12"/>
  <c r="A135" i="12"/>
  <c r="BQ133" i="12"/>
  <c r="EA134" i="12" s="1" a="1"/>
  <c r="EA134" i="12" s="1"/>
  <c r="S134" i="12"/>
  <c r="A134" i="12"/>
  <c r="BQ132" i="12"/>
  <c r="S133" i="12"/>
  <c r="A133" i="12"/>
  <c r="BQ131" i="12"/>
  <c r="EA132" i="12" s="1" a="1"/>
  <c r="EA132" i="12" s="1"/>
  <c r="S132" i="12"/>
  <c r="A132" i="12"/>
  <c r="BQ130" i="12"/>
  <c r="S131" i="12"/>
  <c r="A131" i="12"/>
  <c r="BQ129" i="12"/>
  <c r="EA130" i="12" s="1" a="1"/>
  <c r="EA130" i="12" s="1"/>
  <c r="S130" i="12"/>
  <c r="A130" i="12"/>
  <c r="BQ128" i="12"/>
  <c r="S129" i="12"/>
  <c r="A129" i="12"/>
  <c r="BQ127" i="12"/>
  <c r="EA128" i="12" s="1" a="1"/>
  <c r="EA128" i="12" s="1"/>
  <c r="S128" i="12"/>
  <c r="A128" i="12"/>
  <c r="BQ126" i="12"/>
  <c r="S127" i="12"/>
  <c r="A127" i="12"/>
  <c r="BQ125" i="12"/>
  <c r="EA126" i="12" s="1" a="1"/>
  <c r="EA126" i="12" s="1"/>
  <c r="S126" i="12"/>
  <c r="A126" i="12"/>
  <c r="BQ124" i="12"/>
  <c r="S125" i="12"/>
  <c r="A125" i="12"/>
  <c r="BQ123" i="12"/>
  <c r="EA124" i="12" s="1" a="1"/>
  <c r="EA124" i="12" s="1"/>
  <c r="S124" i="12"/>
  <c r="A124" i="12"/>
  <c r="BQ122" i="12"/>
  <c r="S123" i="12"/>
  <c r="A123" i="12"/>
  <c r="BQ121" i="12"/>
  <c r="EA122" i="12" s="1" a="1"/>
  <c r="EA122" i="12" s="1"/>
  <c r="S122" i="12"/>
  <c r="A122" i="12"/>
  <c r="BQ120" i="12"/>
  <c r="S121" i="12"/>
  <c r="A121" i="12"/>
  <c r="BQ119" i="12"/>
  <c r="EA120" i="12" s="1" a="1"/>
  <c r="EA120" i="12" s="1"/>
  <c r="S120" i="12"/>
  <c r="A120" i="12"/>
  <c r="BQ118" i="12"/>
  <c r="S119" i="12"/>
  <c r="A119" i="12"/>
  <c r="BQ117" i="12"/>
  <c r="EA118" i="12" s="1" a="1"/>
  <c r="EA118" i="12" s="1"/>
  <c r="S118" i="12"/>
  <c r="A118" i="12"/>
  <c r="BQ116" i="12"/>
  <c r="S117" i="12"/>
  <c r="A117" i="12"/>
  <c r="BQ115" i="12"/>
  <c r="EA116" i="12" s="1" a="1"/>
  <c r="EA116" i="12" s="1"/>
  <c r="S116" i="12"/>
  <c r="A116" i="12"/>
  <c r="BQ114" i="12"/>
  <c r="S115" i="12"/>
  <c r="A115" i="12"/>
  <c r="BQ113" i="12"/>
  <c r="EA114" i="12" s="1" a="1"/>
  <c r="EA114" i="12" s="1"/>
  <c r="S114" i="12"/>
  <c r="A114" i="12"/>
  <c r="BQ112" i="12"/>
  <c r="S113" i="12"/>
  <c r="A113" i="12"/>
  <c r="BQ111" i="12"/>
  <c r="EA112" i="12" s="1" a="1"/>
  <c r="EA112" i="12" s="1"/>
  <c r="S112" i="12"/>
  <c r="A112" i="12"/>
  <c r="BQ110" i="12"/>
  <c r="S111" i="12"/>
  <c r="A111" i="12"/>
  <c r="BQ109" i="12"/>
  <c r="EA110" i="12" s="1" a="1"/>
  <c r="EA110" i="12" s="1"/>
  <c r="S110" i="12"/>
  <c r="A110" i="12"/>
  <c r="BQ108" i="12"/>
  <c r="S109" i="12"/>
  <c r="A109" i="12"/>
  <c r="BQ107" i="12"/>
  <c r="EA108" i="12" s="1" a="1"/>
  <c r="EA108" i="12" s="1"/>
  <c r="S108" i="12"/>
  <c r="A108" i="12"/>
  <c r="BQ106" i="12"/>
  <c r="S107" i="12"/>
  <c r="A107" i="12"/>
  <c r="BQ105" i="12"/>
  <c r="EA106" i="12" s="1" a="1"/>
  <c r="EA106" i="12" s="1"/>
  <c r="S106" i="12"/>
  <c r="A106" i="12"/>
  <c r="BQ104" i="12"/>
  <c r="S105" i="12"/>
  <c r="A105" i="12"/>
  <c r="BQ103" i="12"/>
  <c r="EA104" i="12" s="1" a="1"/>
  <c r="EA104" i="12" s="1"/>
  <c r="S104" i="12"/>
  <c r="A104" i="12"/>
  <c r="BQ102" i="12"/>
  <c r="S103" i="12"/>
  <c r="A103" i="12"/>
  <c r="BQ101" i="12"/>
  <c r="EA102" i="12" s="1" a="1"/>
  <c r="EA102" i="12" s="1"/>
  <c r="S102" i="12"/>
  <c r="A102" i="12"/>
  <c r="BQ100" i="12"/>
  <c r="S101" i="12"/>
  <c r="A101" i="12"/>
  <c r="BQ99" i="12"/>
  <c r="EA100" i="12" s="1" a="1"/>
  <c r="EA100" i="12" s="1"/>
  <c r="S100" i="12"/>
  <c r="A100" i="12"/>
  <c r="BQ98" i="12"/>
  <c r="S99" i="12"/>
  <c r="A99" i="12"/>
  <c r="BQ97" i="12"/>
  <c r="EA98" i="12" s="1" a="1"/>
  <c r="EA98" i="12" s="1"/>
  <c r="S98" i="12"/>
  <c r="A98" i="12"/>
  <c r="BQ96" i="12"/>
  <c r="S97" i="12"/>
  <c r="A97" i="12"/>
  <c r="BQ95" i="12"/>
  <c r="EA96" i="12" s="1" a="1"/>
  <c r="EA96" i="12" s="1"/>
  <c r="S96" i="12"/>
  <c r="A96" i="12"/>
  <c r="BQ94" i="12"/>
  <c r="S95" i="12"/>
  <c r="A95" i="12"/>
  <c r="BQ93" i="12"/>
  <c r="EA94" i="12" s="1" a="1"/>
  <c r="EA94" i="12" s="1"/>
  <c r="S94" i="12"/>
  <c r="A94" i="12"/>
  <c r="BQ92" i="12"/>
  <c r="S93" i="12"/>
  <c r="A93" i="12"/>
  <c r="BQ91" i="12"/>
  <c r="EA92" i="12" s="1" a="1"/>
  <c r="EA92" i="12" s="1"/>
  <c r="S92" i="12"/>
  <c r="A92" i="12"/>
  <c r="BQ90" i="12"/>
  <c r="S91" i="12"/>
  <c r="A91" i="12"/>
  <c r="BQ89" i="12"/>
  <c r="EA90" i="12" s="1" a="1"/>
  <c r="EA90" i="12" s="1"/>
  <c r="S90" i="12"/>
  <c r="A90" i="12"/>
  <c r="BQ88" i="12"/>
  <c r="S89" i="12"/>
  <c r="A89" i="12"/>
  <c r="BQ87" i="12"/>
  <c r="EA88" i="12" s="1" a="1"/>
  <c r="EA88" i="12" s="1"/>
  <c r="S88" i="12"/>
  <c r="A88" i="12"/>
  <c r="BQ86" i="12"/>
  <c r="S87" i="12"/>
  <c r="A87" i="12"/>
  <c r="BQ85" i="12"/>
  <c r="EA86" i="12" s="1" a="1"/>
  <c r="EA86" i="12" s="1"/>
  <c r="S86" i="12"/>
  <c r="A86" i="12"/>
  <c r="BQ84" i="12"/>
  <c r="S85" i="12"/>
  <c r="A85" i="12"/>
  <c r="BQ83" i="12"/>
  <c r="EA84" i="12" s="1" a="1"/>
  <c r="EA84" i="12" s="1"/>
  <c r="S84" i="12"/>
  <c r="A84" i="12"/>
  <c r="BQ82" i="12"/>
  <c r="S83" i="12"/>
  <c r="A83" i="12"/>
  <c r="BQ81" i="12"/>
  <c r="EA82" i="12" s="1" a="1"/>
  <c r="EA82" i="12" s="1"/>
  <c r="S82" i="12"/>
  <c r="A82" i="12"/>
  <c r="BQ80" i="12"/>
  <c r="S81" i="12"/>
  <c r="A81" i="12"/>
  <c r="BQ79" i="12"/>
  <c r="EA80" i="12" s="1" a="1"/>
  <c r="EA80" i="12" s="1"/>
  <c r="S80" i="12"/>
  <c r="A80" i="12"/>
  <c r="BQ78" i="12"/>
  <c r="S79" i="12"/>
  <c r="A79" i="12"/>
  <c r="BQ77" i="12"/>
  <c r="EA78" i="12" s="1" a="1"/>
  <c r="EA78" i="12" s="1"/>
  <c r="S78" i="12"/>
  <c r="A78" i="12"/>
  <c r="BQ76" i="12"/>
  <c r="S77" i="12"/>
  <c r="A77" i="12"/>
  <c r="BQ75" i="12"/>
  <c r="EA76" i="12" s="1" a="1"/>
  <c r="EA76" i="12" s="1"/>
  <c r="S76" i="12"/>
  <c r="A76" i="12"/>
  <c r="BQ74" i="12"/>
  <c r="S75" i="12"/>
  <c r="A75" i="12"/>
  <c r="BQ73" i="12"/>
  <c r="EA74" i="12" s="1" a="1"/>
  <c r="EA74" i="12" s="1"/>
  <c r="S74" i="12"/>
  <c r="A74" i="12"/>
  <c r="BQ72" i="12"/>
  <c r="S73" i="12"/>
  <c r="A73" i="12"/>
  <c r="BQ71" i="12"/>
  <c r="EA72" i="12" s="1" a="1"/>
  <c r="EA72" i="12" s="1"/>
  <c r="S72" i="12"/>
  <c r="A72" i="12"/>
  <c r="BQ70" i="12"/>
  <c r="S71" i="12"/>
  <c r="A71" i="12"/>
  <c r="BQ69" i="12"/>
  <c r="EA70" i="12" s="1" a="1"/>
  <c r="EA70" i="12" s="1"/>
  <c r="S70" i="12"/>
  <c r="A70" i="12"/>
  <c r="BQ68" i="12"/>
  <c r="S69" i="12"/>
  <c r="A69" i="12"/>
  <c r="BQ67" i="12"/>
  <c r="EA68" i="12" s="1" a="1"/>
  <c r="EA68" i="12" s="1"/>
  <c r="S68" i="12"/>
  <c r="A68" i="12"/>
  <c r="BQ66" i="12"/>
  <c r="S67" i="12"/>
  <c r="A67" i="12"/>
  <c r="BQ65" i="12"/>
  <c r="EA66" i="12" s="1" a="1"/>
  <c r="EA66" i="12" s="1"/>
  <c r="S66" i="12"/>
  <c r="A66" i="12"/>
  <c r="BQ64" i="12"/>
  <c r="S65" i="12"/>
  <c r="A65" i="12"/>
  <c r="BQ63" i="12"/>
  <c r="EA64" i="12" s="1" a="1"/>
  <c r="EA64" i="12" s="1"/>
  <c r="S64" i="12"/>
  <c r="A64" i="12"/>
  <c r="BQ62" i="12"/>
  <c r="S63" i="12"/>
  <c r="A63" i="12"/>
  <c r="BQ61" i="12"/>
  <c r="EA62" i="12" s="1" a="1"/>
  <c r="EA62" i="12" s="1"/>
  <c r="S62" i="12"/>
  <c r="A62" i="12"/>
  <c r="BQ60" i="12"/>
  <c r="S61" i="12"/>
  <c r="A61" i="12"/>
  <c r="BQ59" i="12"/>
  <c r="EA60" i="12" s="1" a="1"/>
  <c r="EA60" i="12" s="1"/>
  <c r="S60" i="12"/>
  <c r="A60" i="12"/>
  <c r="BQ58" i="12"/>
  <c r="S59" i="12"/>
  <c r="A59" i="12"/>
  <c r="BQ57" i="12"/>
  <c r="EA58" i="12" s="1" a="1"/>
  <c r="EA58" i="12" s="1"/>
  <c r="S58" i="12"/>
  <c r="A58" i="12"/>
  <c r="BQ56" i="12"/>
  <c r="S57" i="12"/>
  <c r="A57" i="12"/>
  <c r="BQ55" i="12"/>
  <c r="EA56" i="12" s="1" a="1"/>
  <c r="EA56" i="12" s="1"/>
  <c r="S56" i="12"/>
  <c r="A56" i="12"/>
  <c r="BQ54" i="12"/>
  <c r="S55" i="12"/>
  <c r="A55" i="12"/>
  <c r="BQ53" i="12"/>
  <c r="EA54" i="12" s="1" a="1"/>
  <c r="EA54" i="12" s="1"/>
  <c r="S54" i="12"/>
  <c r="A54" i="12"/>
  <c r="BQ52" i="12"/>
  <c r="S53" i="12"/>
  <c r="A53" i="12"/>
  <c r="BQ51" i="12"/>
  <c r="EA52" i="12" s="1" a="1"/>
  <c r="EA52" i="12" s="1"/>
  <c r="S52" i="12"/>
  <c r="A52" i="12"/>
  <c r="BQ50" i="12"/>
  <c r="S51" i="12"/>
  <c r="A51" i="12"/>
  <c r="BQ49" i="12"/>
  <c r="EA50" i="12" s="1" a="1"/>
  <c r="EA50" i="12" s="1"/>
  <c r="S50" i="12"/>
  <c r="A50" i="12"/>
  <c r="BQ48" i="12"/>
  <c r="S49" i="12"/>
  <c r="A49" i="12"/>
  <c r="BQ47" i="12"/>
  <c r="EA48" i="12" s="1" a="1"/>
  <c r="EA48" i="12" s="1"/>
  <c r="S48" i="12"/>
  <c r="A48" i="12"/>
  <c r="BQ46" i="12"/>
  <c r="S47" i="12"/>
  <c r="A47" i="12"/>
  <c r="BQ45" i="12"/>
  <c r="EA46" i="12" s="1" a="1"/>
  <c r="EA46" i="12" s="1"/>
  <c r="S46" i="12"/>
  <c r="A46" i="12"/>
  <c r="BQ44" i="12"/>
  <c r="S45" i="12"/>
  <c r="A45" i="12"/>
  <c r="BQ43" i="12"/>
  <c r="EA44" i="12" s="1" a="1"/>
  <c r="EA44" i="12" s="1"/>
  <c r="S44" i="12"/>
  <c r="A44" i="12"/>
  <c r="BQ42" i="12"/>
  <c r="S43" i="12"/>
  <c r="A43" i="12"/>
  <c r="BQ41" i="12"/>
  <c r="EA42" i="12" s="1" a="1"/>
  <c r="EA42" i="12" s="1"/>
  <c r="S42" i="12"/>
  <c r="A42" i="12"/>
  <c r="BQ40" i="12"/>
  <c r="S41" i="12"/>
  <c r="A41" i="12"/>
  <c r="BQ39" i="12"/>
  <c r="EA40" i="12" s="1" a="1"/>
  <c r="EA40" i="12" s="1"/>
  <c r="S40" i="12"/>
  <c r="A40" i="12"/>
  <c r="BQ38" i="12"/>
  <c r="S39" i="12"/>
  <c r="A39" i="12"/>
  <c r="BQ37" i="12"/>
  <c r="EA38" i="12" s="1" a="1"/>
  <c r="EA38" i="12" s="1"/>
  <c r="S38" i="12"/>
  <c r="A38" i="12"/>
  <c r="BQ36" i="12"/>
  <c r="S37" i="12"/>
  <c r="A37" i="12"/>
  <c r="BQ35" i="12"/>
  <c r="EA36" i="12" s="1" a="1"/>
  <c r="EA36" i="12" s="1"/>
  <c r="S36" i="12"/>
  <c r="A36" i="12"/>
  <c r="BQ34" i="12"/>
  <c r="S35" i="12"/>
  <c r="A35" i="12"/>
  <c r="BQ33" i="12"/>
  <c r="EA34" i="12" s="1" a="1"/>
  <c r="EA34" i="12" s="1"/>
  <c r="S34" i="12"/>
  <c r="A34" i="12"/>
  <c r="BQ32" i="12"/>
  <c r="S33" i="12"/>
  <c r="A33" i="12"/>
  <c r="BQ31" i="12"/>
  <c r="EA32" i="12" s="1" a="1"/>
  <c r="EA32" i="12" s="1"/>
  <c r="S32" i="12"/>
  <c r="A32" i="12"/>
  <c r="BQ30" i="12"/>
  <c r="S31" i="12"/>
  <c r="A31" i="12"/>
  <c r="BQ29" i="12"/>
  <c r="EA30" i="12" s="1" a="1"/>
  <c r="EA30" i="12" s="1"/>
  <c r="S30" i="12"/>
  <c r="A30" i="12"/>
  <c r="BQ28" i="12"/>
  <c r="S29" i="12"/>
  <c r="A29" i="12"/>
  <c r="BQ27" i="12"/>
  <c r="EA28" i="12" s="1" a="1"/>
  <c r="EA28" i="12" s="1"/>
  <c r="S28" i="12"/>
  <c r="A28" i="12"/>
  <c r="BQ26" i="12"/>
  <c r="S27" i="12"/>
  <c r="A27" i="12"/>
  <c r="BD26" i="12"/>
  <c r="BQ25" i="12" s="1" a="1"/>
  <c r="BQ25" i="12" s="1"/>
  <c r="S26" i="12"/>
  <c r="A26" i="12"/>
  <c r="BD25" i="12"/>
  <c r="BQ24" i="12" s="1" a="1"/>
  <c r="S25" i="12"/>
  <c r="A25" i="12"/>
  <c r="BD24" i="12"/>
  <c r="BQ23" i="12" s="1" a="1"/>
  <c r="BQ23" i="12" s="1"/>
  <c r="S24" i="12"/>
  <c r="A24" i="12"/>
  <c r="BD23" i="12"/>
  <c r="BQ22" i="12" s="1" a="1"/>
  <c r="S23" i="12"/>
  <c r="A23" i="12"/>
  <c r="BD22" i="12"/>
  <c r="BQ21" i="12" s="1" a="1"/>
  <c r="S22" i="12"/>
  <c r="A22" i="12"/>
  <c r="BD21" i="12"/>
  <c r="BQ20" i="12" s="1" a="1"/>
  <c r="BQ20" i="12" s="1"/>
  <c r="S21" i="12"/>
  <c r="A21" i="12"/>
  <c r="BD20" i="12"/>
  <c r="BQ19" i="12" s="1" a="1"/>
  <c r="BQ19" i="12" s="1"/>
  <c r="S20" i="12"/>
  <c r="A20" i="12"/>
  <c r="BD19" i="12"/>
  <c r="BQ18" i="12" s="1" a="1"/>
  <c r="BQ18" i="12" s="1"/>
  <c r="S19" i="12"/>
  <c r="A19" i="12"/>
  <c r="BD18" i="12"/>
  <c r="BQ17" i="12" s="1" a="1"/>
  <c r="S18" i="12"/>
  <c r="A18" i="12"/>
  <c r="BD17" i="12"/>
  <c r="BQ16" i="12" s="1" a="1"/>
  <c r="BQ16" i="12" s="1"/>
  <c r="S17" i="12"/>
  <c r="A17" i="12"/>
  <c r="BD16" i="12"/>
  <c r="BQ15" i="12" s="1" a="1"/>
  <c r="S16" i="12"/>
  <c r="A16" i="12"/>
  <c r="BD15" i="12"/>
  <c r="BQ14" i="12" s="1" a="1"/>
  <c r="S15" i="12"/>
  <c r="A15" i="12"/>
  <c r="BD14" i="12"/>
  <c r="BQ13" i="12" s="1" a="1"/>
  <c r="BQ13" i="12" s="1"/>
  <c r="S14" i="12"/>
  <c r="A14" i="12"/>
  <c r="BD13" i="12"/>
  <c r="BQ12" i="12" s="1" a="1"/>
  <c r="S13" i="12"/>
  <c r="A13" i="12"/>
  <c r="BD12" i="12"/>
  <c r="BQ11" i="12" s="1" a="1"/>
  <c r="BQ11" i="12" s="1"/>
  <c r="S12" i="12"/>
  <c r="A12" i="12"/>
  <c r="BD11" i="12"/>
  <c r="BQ10" i="12" s="1" a="1"/>
  <c r="BQ10" i="12" s="1"/>
  <c r="S11" i="12"/>
  <c r="A11" i="12"/>
  <c r="BD10" i="12"/>
  <c r="BQ9" i="12" s="1" a="1"/>
  <c r="BQ9" i="12" s="1"/>
  <c r="S10" i="12"/>
  <c r="A10" i="12"/>
  <c r="BD9" i="12"/>
  <c r="BQ8" i="12" s="1" a="1"/>
  <c r="S9" i="12"/>
  <c r="A9" i="12"/>
  <c r="BD8" i="12"/>
  <c r="BQ7" i="12" s="1" a="1"/>
  <c r="BQ7" i="12" s="1"/>
  <c r="S8" i="12"/>
  <c r="A8" i="12"/>
  <c r="BD7" i="12"/>
  <c r="BQ6" i="12" s="1" a="1"/>
  <c r="BQ6" i="12" s="1"/>
  <c r="S7" i="12"/>
  <c r="A7" i="12"/>
  <c r="BD6" i="12"/>
  <c r="BQ5" i="12" s="1" a="1"/>
  <c r="S6" i="12"/>
  <c r="A6" i="12"/>
  <c r="BQ4" i="12" a="1"/>
  <c r="BQ4" i="12" s="1"/>
  <c r="S5" i="12"/>
  <c r="A5" i="12"/>
  <c r="S4" i="12"/>
  <c r="A4" i="12"/>
  <c r="BD3" i="12"/>
  <c r="BQ2" i="12" s="1" a="1"/>
  <c r="BQ2" i="12" s="1"/>
  <c r="S3" i="12"/>
  <c r="A3" i="12"/>
  <c r="BD2" i="12"/>
  <c r="S2" i="12"/>
  <c r="A2" i="12"/>
  <c r="EA35" i="12" l="1" a="1"/>
  <c r="EA35" i="12" s="1"/>
  <c r="EA51" i="12" a="1"/>
  <c r="EA51" i="12" s="1"/>
  <c r="EA63" i="12" a="1"/>
  <c r="EA63" i="12" s="1"/>
  <c r="EA71" i="12" a="1"/>
  <c r="EA71" i="12" s="1"/>
  <c r="EA83" i="12" a="1"/>
  <c r="EA83" i="12" s="1"/>
  <c r="EA95" i="12" a="1"/>
  <c r="EA95" i="12" s="1"/>
  <c r="EA107" i="12" a="1"/>
  <c r="EA107" i="12" s="1"/>
  <c r="EA119" i="12" a="1"/>
  <c r="EA119" i="12" s="1"/>
  <c r="EA131" i="12" a="1"/>
  <c r="EA131" i="12" s="1"/>
  <c r="EA143" i="12" a="1"/>
  <c r="EA143" i="12" s="1"/>
  <c r="EA155" i="12" a="1"/>
  <c r="EA155" i="12" s="1"/>
  <c r="EA167" i="12" a="1"/>
  <c r="EA167" i="12" s="1"/>
  <c r="EA179" i="12" a="1"/>
  <c r="EA179" i="12" s="1"/>
  <c r="EA191" i="12" a="1"/>
  <c r="EA191" i="12" s="1"/>
  <c r="EA203" i="12" a="1"/>
  <c r="EA203" i="12" s="1"/>
  <c r="EA219" i="12" a="1"/>
  <c r="EA219" i="12" s="1"/>
  <c r="EA231" i="12" a="1"/>
  <c r="EA231" i="12" s="1"/>
  <c r="EA243" i="12" a="1"/>
  <c r="EA243" i="12" s="1"/>
  <c r="EA251" i="12" a="1"/>
  <c r="EA251" i="12" s="1"/>
  <c r="EA263" i="12" a="1"/>
  <c r="EA263" i="12" s="1"/>
  <c r="EA275" i="12" a="1"/>
  <c r="EA275" i="12" s="1"/>
  <c r="EA287" i="12" a="1"/>
  <c r="EA287" i="12" s="1"/>
  <c r="EA299" i="12" a="1"/>
  <c r="EA299" i="12" s="1"/>
  <c r="EA311" i="12" a="1"/>
  <c r="EA311" i="12" s="1"/>
  <c r="EA323" i="12" a="1"/>
  <c r="EA323" i="12" s="1"/>
  <c r="EA339" i="12" a="1"/>
  <c r="EA339" i="12" s="1"/>
  <c r="EA351" i="12" a="1"/>
  <c r="EA351" i="12" s="1"/>
  <c r="EA363" i="12" a="1"/>
  <c r="EA363" i="12" s="1"/>
  <c r="EA375" i="12" a="1"/>
  <c r="EA375" i="12" s="1"/>
  <c r="EA387" i="12" a="1"/>
  <c r="EA387" i="12" s="1"/>
  <c r="EA399" i="12" a="1"/>
  <c r="EA399" i="12" s="1"/>
  <c r="EA411" i="12" a="1"/>
  <c r="EA411" i="12" s="1"/>
  <c r="EA423" i="12" a="1"/>
  <c r="EA423" i="12" s="1"/>
  <c r="EA435" i="12" a="1"/>
  <c r="EA435" i="12" s="1"/>
  <c r="EA447" i="12" a="1"/>
  <c r="EA447" i="12" s="1"/>
  <c r="EA459" i="12" a="1"/>
  <c r="EA459" i="12" s="1"/>
  <c r="EA471" i="12" a="1"/>
  <c r="EA471" i="12" s="1"/>
  <c r="EA483" i="12" a="1"/>
  <c r="EA483" i="12" s="1"/>
  <c r="EA495" i="12" a="1"/>
  <c r="EA495" i="12" s="1"/>
  <c r="EA507" i="12" a="1"/>
  <c r="EA507" i="12" s="1"/>
  <c r="EA527" i="12" a="1"/>
  <c r="EA527" i="12" s="1"/>
  <c r="EA27" i="12" a="1"/>
  <c r="EA27" i="12" s="1"/>
  <c r="EA39" i="12" a="1"/>
  <c r="EA39" i="12" s="1"/>
  <c r="EA47" i="12" a="1"/>
  <c r="EA47" i="12" s="1"/>
  <c r="EA59" i="12" a="1"/>
  <c r="EA59" i="12" s="1"/>
  <c r="EA75" i="12" a="1"/>
  <c r="EA75" i="12" s="1"/>
  <c r="EA87" i="12" a="1"/>
  <c r="EA87" i="12" s="1"/>
  <c r="EA99" i="12" a="1"/>
  <c r="EA99" i="12" s="1"/>
  <c r="EA111" i="12" a="1"/>
  <c r="EA111" i="12" s="1"/>
  <c r="EA123" i="12" a="1"/>
  <c r="EA123" i="12" s="1"/>
  <c r="EA135" i="12" a="1"/>
  <c r="EA135" i="12" s="1"/>
  <c r="EA147" i="12" a="1"/>
  <c r="EA147" i="12" s="1"/>
  <c r="EA159" i="12" a="1"/>
  <c r="EA159" i="12" s="1"/>
  <c r="EA171" i="12" a="1"/>
  <c r="EA171" i="12" s="1"/>
  <c r="EA183" i="12" a="1"/>
  <c r="EA183" i="12" s="1"/>
  <c r="EA195" i="12" a="1"/>
  <c r="EA195" i="12" s="1"/>
  <c r="EA207" i="12" a="1"/>
  <c r="EA207" i="12" s="1"/>
  <c r="EA215" i="12" a="1"/>
  <c r="EA215" i="12" s="1"/>
  <c r="EA227" i="12" a="1"/>
  <c r="EA227" i="12" s="1"/>
  <c r="EA239" i="12" a="1"/>
  <c r="EA239" i="12" s="1"/>
  <c r="EA255" i="12" a="1"/>
  <c r="EA255" i="12" s="1"/>
  <c r="EA267" i="12" a="1"/>
  <c r="EA267" i="12" s="1"/>
  <c r="EA279" i="12" a="1"/>
  <c r="EA279" i="12" s="1"/>
  <c r="EA291" i="12" a="1"/>
  <c r="EA291" i="12" s="1"/>
  <c r="EA303" i="12" a="1"/>
  <c r="EA303" i="12" s="1"/>
  <c r="EA315" i="12" a="1"/>
  <c r="EA315" i="12" s="1"/>
  <c r="EA327" i="12" a="1"/>
  <c r="EA327" i="12" s="1"/>
  <c r="EA335" i="12" a="1"/>
  <c r="EA335" i="12" s="1"/>
  <c r="EA347" i="12" a="1"/>
  <c r="EA347" i="12" s="1"/>
  <c r="EA359" i="12" a="1"/>
  <c r="EA359" i="12" s="1"/>
  <c r="EA371" i="12" a="1"/>
  <c r="EA371" i="12" s="1"/>
  <c r="EA383" i="12" a="1"/>
  <c r="EA383" i="12" s="1"/>
  <c r="EA395" i="12" a="1"/>
  <c r="EA395" i="12" s="1"/>
  <c r="EA407" i="12" a="1"/>
  <c r="EA407" i="12" s="1"/>
  <c r="EA419" i="12" a="1"/>
  <c r="EA419" i="12" s="1"/>
  <c r="EA431" i="12" a="1"/>
  <c r="EA431" i="12" s="1"/>
  <c r="EA443" i="12" a="1"/>
  <c r="EA443" i="12" s="1"/>
  <c r="EA455" i="12" a="1"/>
  <c r="EA455" i="12" s="1"/>
  <c r="EA467" i="12" a="1"/>
  <c r="EA467" i="12" s="1"/>
  <c r="EA479" i="12" a="1"/>
  <c r="EA479" i="12" s="1"/>
  <c r="EA491" i="12" a="1"/>
  <c r="EA491" i="12" s="1"/>
  <c r="EA503" i="12" a="1"/>
  <c r="EA503" i="12" s="1"/>
  <c r="EA515" i="12" a="1"/>
  <c r="EA515" i="12" s="1"/>
  <c r="EA523" i="12" a="1"/>
  <c r="EA523" i="12" s="1"/>
  <c r="EA535" i="12" a="1"/>
  <c r="EA535" i="12" s="1"/>
  <c r="EA543" i="12" a="1"/>
  <c r="EA543" i="12" s="1"/>
  <c r="EA607" i="12" a="1"/>
  <c r="EA607" i="12" s="1"/>
  <c r="EA619" i="12" a="1"/>
  <c r="EA619" i="12" s="1"/>
  <c r="EA631" i="12" a="1"/>
  <c r="EA631" i="12" s="1"/>
  <c r="EA37" i="12" a="1"/>
  <c r="EA37" i="12" s="1"/>
  <c r="EA49" i="12" a="1"/>
  <c r="EA49" i="12" s="1"/>
  <c r="EA61" i="12" a="1"/>
  <c r="EA61" i="12" s="1"/>
  <c r="EA73" i="12" a="1"/>
  <c r="EA73" i="12" s="1"/>
  <c r="EA85" i="12" a="1"/>
  <c r="EA85" i="12" s="1"/>
  <c r="EA97" i="12" a="1"/>
  <c r="EA97" i="12" s="1"/>
  <c r="EA109" i="12" a="1"/>
  <c r="EA109" i="12" s="1"/>
  <c r="EA121" i="12" a="1"/>
  <c r="EA121" i="12" s="1"/>
  <c r="EA133" i="12" a="1"/>
  <c r="EA133" i="12" s="1"/>
  <c r="EA145" i="12" a="1"/>
  <c r="EA145" i="12" s="1"/>
  <c r="EA157" i="12" a="1"/>
  <c r="EA157" i="12" s="1"/>
  <c r="EA169" i="12" a="1"/>
  <c r="EA169" i="12" s="1"/>
  <c r="EA181" i="12" a="1"/>
  <c r="EA181" i="12" s="1"/>
  <c r="EA193" i="12" a="1"/>
  <c r="EA193" i="12" s="1"/>
  <c r="EA205" i="12" a="1"/>
  <c r="EA205" i="12" s="1"/>
  <c r="EA217" i="12" a="1"/>
  <c r="EA217" i="12" s="1"/>
  <c r="EA229" i="12" a="1"/>
  <c r="EA229" i="12" s="1"/>
  <c r="EA241" i="12" a="1"/>
  <c r="EA241" i="12" s="1"/>
  <c r="EA253" i="12" a="1"/>
  <c r="EA253" i="12" s="1"/>
  <c r="EA265" i="12" a="1"/>
  <c r="EA265" i="12" s="1"/>
  <c r="EA277" i="12" a="1"/>
  <c r="EA277" i="12" s="1"/>
  <c r="EA289" i="12" a="1"/>
  <c r="EA289" i="12" s="1"/>
  <c r="EA301" i="12" a="1"/>
  <c r="EA301" i="12" s="1"/>
  <c r="EA313" i="12" a="1"/>
  <c r="EA313" i="12" s="1"/>
  <c r="EA325" i="12" a="1"/>
  <c r="EA325" i="12" s="1"/>
  <c r="EA337" i="12" a="1"/>
  <c r="EA337" i="12" s="1"/>
  <c r="EA349" i="12" a="1"/>
  <c r="EA349" i="12" s="1"/>
  <c r="EA361" i="12" a="1"/>
  <c r="EA361" i="12" s="1"/>
  <c r="EA373" i="12" a="1"/>
  <c r="EA373" i="12" s="1"/>
  <c r="EA385" i="12" a="1"/>
  <c r="EA385" i="12" s="1"/>
  <c r="EA397" i="12" a="1"/>
  <c r="EA397" i="12" s="1"/>
  <c r="EA409" i="12" a="1"/>
  <c r="EA409" i="12" s="1"/>
  <c r="EA421" i="12" a="1"/>
  <c r="EA421" i="12" s="1"/>
  <c r="EA433" i="12" a="1"/>
  <c r="EA433" i="12" s="1"/>
  <c r="EA445" i="12" a="1"/>
  <c r="EA445" i="12" s="1"/>
  <c r="EA457" i="12" a="1"/>
  <c r="EA457" i="12" s="1"/>
  <c r="EA469" i="12" a="1"/>
  <c r="EA469" i="12" s="1"/>
  <c r="EA481" i="12" a="1"/>
  <c r="EA481" i="12" s="1"/>
  <c r="EA493" i="12" a="1"/>
  <c r="EA493" i="12" s="1"/>
  <c r="EA505" i="12" a="1"/>
  <c r="EA505" i="12" s="1"/>
  <c r="EA517" i="12" a="1"/>
  <c r="EA517" i="12" s="1"/>
  <c r="EA529" i="12" a="1"/>
  <c r="EA529" i="12" s="1"/>
  <c r="EA541" i="12" a="1"/>
  <c r="EA541" i="12" s="1"/>
  <c r="EA553" i="12" a="1"/>
  <c r="EA553" i="12" s="1"/>
  <c r="EA565" i="12" a="1"/>
  <c r="EA565" i="12" s="1"/>
  <c r="EA569" i="12" a="1"/>
  <c r="EA569" i="12" s="1"/>
  <c r="EA581" i="12" a="1"/>
  <c r="EA581" i="12" s="1"/>
  <c r="EA585" i="12" a="1"/>
  <c r="EA585" i="12" s="1"/>
  <c r="EA589" i="12" a="1"/>
  <c r="EA589" i="12" s="1"/>
  <c r="EA593" i="12" a="1"/>
  <c r="EA593" i="12" s="1"/>
  <c r="EA597" i="12" a="1"/>
  <c r="EA597" i="12" s="1"/>
  <c r="EA601" i="12" a="1"/>
  <c r="EA601" i="12" s="1"/>
  <c r="EA611" i="12" a="1"/>
  <c r="EA611" i="12" s="1"/>
  <c r="EA623" i="12" a="1"/>
  <c r="EA623" i="12" s="1"/>
  <c r="EA33" i="12" a="1"/>
  <c r="EA33" i="12" s="1"/>
  <c r="EA45" i="12" a="1"/>
  <c r="EA45" i="12" s="1"/>
  <c r="EA57" i="12" a="1"/>
  <c r="EA57" i="12" s="1"/>
  <c r="EA69" i="12" a="1"/>
  <c r="EA69" i="12" s="1"/>
  <c r="EA81" i="12" a="1"/>
  <c r="EA81" i="12" s="1"/>
  <c r="EA93" i="12" a="1"/>
  <c r="EA93" i="12" s="1"/>
  <c r="EA105" i="12" a="1"/>
  <c r="EA105" i="12" s="1"/>
  <c r="EA117" i="12" a="1"/>
  <c r="EA117" i="12" s="1"/>
  <c r="EA129" i="12" a="1"/>
  <c r="EA129" i="12" s="1"/>
  <c r="EA141" i="12" a="1"/>
  <c r="EA141" i="12" s="1"/>
  <c r="EA153" i="12" a="1"/>
  <c r="EA153" i="12" s="1"/>
  <c r="EA165" i="12" a="1"/>
  <c r="EA165" i="12" s="1"/>
  <c r="EA177" i="12" a="1"/>
  <c r="EA177" i="12" s="1"/>
  <c r="EA189" i="12" a="1"/>
  <c r="EA189" i="12" s="1"/>
  <c r="EA201" i="12" a="1"/>
  <c r="EA201" i="12" s="1"/>
  <c r="EA213" i="12" a="1"/>
  <c r="EA213" i="12" s="1"/>
  <c r="EA225" i="12" a="1"/>
  <c r="EA225" i="12" s="1"/>
  <c r="EA237" i="12" a="1"/>
  <c r="EA237" i="12" s="1"/>
  <c r="EA249" i="12" a="1"/>
  <c r="EA249" i="12" s="1"/>
  <c r="EA261" i="12" a="1"/>
  <c r="EA261" i="12" s="1"/>
  <c r="EA273" i="12" a="1"/>
  <c r="EA273" i="12" s="1"/>
  <c r="EA285" i="12" a="1"/>
  <c r="EA285" i="12" s="1"/>
  <c r="EA297" i="12" a="1"/>
  <c r="EA297" i="12" s="1"/>
  <c r="EA309" i="12" a="1"/>
  <c r="EA309" i="12" s="1"/>
  <c r="EA321" i="12" a="1"/>
  <c r="EA321" i="12" s="1"/>
  <c r="EA333" i="12" a="1"/>
  <c r="EA333" i="12" s="1"/>
  <c r="EA345" i="12" a="1"/>
  <c r="EA345" i="12" s="1"/>
  <c r="EA357" i="12" a="1"/>
  <c r="EA357" i="12" s="1"/>
  <c r="EA369" i="12" a="1"/>
  <c r="EA369" i="12" s="1"/>
  <c r="EA381" i="12" a="1"/>
  <c r="EA381" i="12" s="1"/>
  <c r="EA393" i="12" a="1"/>
  <c r="EA393" i="12" s="1"/>
  <c r="EA405" i="12" a="1"/>
  <c r="EA405" i="12" s="1"/>
  <c r="EA417" i="12" a="1"/>
  <c r="EA417" i="12" s="1"/>
  <c r="EA429" i="12" a="1"/>
  <c r="EA429" i="12" s="1"/>
  <c r="EA441" i="12" a="1"/>
  <c r="EA441" i="12" s="1"/>
  <c r="EA453" i="12" a="1"/>
  <c r="EA453" i="12" s="1"/>
  <c r="EA461" i="12" a="1"/>
  <c r="EA461" i="12" s="1"/>
  <c r="EA473" i="12" a="1"/>
  <c r="EA473" i="12" s="1"/>
  <c r="EA485" i="12" a="1"/>
  <c r="EA485" i="12" s="1"/>
  <c r="EA497" i="12" a="1"/>
  <c r="EA497" i="12" s="1"/>
  <c r="EA509" i="12" a="1"/>
  <c r="EA509" i="12" s="1"/>
  <c r="EA521" i="12" a="1"/>
  <c r="EA521" i="12" s="1"/>
  <c r="EA533" i="12" a="1"/>
  <c r="EA533" i="12" s="1"/>
  <c r="EA545" i="12" a="1"/>
  <c r="EA545" i="12" s="1"/>
  <c r="EA557" i="12" a="1"/>
  <c r="EA557" i="12" s="1"/>
  <c r="EA573" i="12" a="1"/>
  <c r="EA573" i="12" s="1"/>
  <c r="EA29" i="12" a="1"/>
  <c r="EA29" i="12" s="1"/>
  <c r="EA41" i="12" a="1"/>
  <c r="EA41" i="12" s="1"/>
  <c r="EA53" i="12" a="1"/>
  <c r="EA53" i="12" s="1"/>
  <c r="EA65" i="12" a="1"/>
  <c r="EA65" i="12" s="1"/>
  <c r="EA77" i="12" a="1"/>
  <c r="EA77" i="12" s="1"/>
  <c r="EA89" i="12" a="1"/>
  <c r="EA89" i="12" s="1"/>
  <c r="EA101" i="12" a="1"/>
  <c r="EA101" i="12" s="1"/>
  <c r="EA113" i="12" a="1"/>
  <c r="EA113" i="12" s="1"/>
  <c r="EA125" i="12" a="1"/>
  <c r="EA125" i="12" s="1"/>
  <c r="EA137" i="12" a="1"/>
  <c r="EA137" i="12" s="1"/>
  <c r="EA149" i="12" a="1"/>
  <c r="EA149" i="12" s="1"/>
  <c r="EA161" i="12" a="1"/>
  <c r="EA161" i="12" s="1"/>
  <c r="EA173" i="12" a="1"/>
  <c r="EA173" i="12" s="1"/>
  <c r="EA185" i="12" a="1"/>
  <c r="EA185" i="12" s="1"/>
  <c r="EA197" i="12" a="1"/>
  <c r="EA197" i="12" s="1"/>
  <c r="EA209" i="12" a="1"/>
  <c r="EA209" i="12" s="1"/>
  <c r="EA221" i="12" a="1"/>
  <c r="EA221" i="12" s="1"/>
  <c r="EA233" i="12" a="1"/>
  <c r="EA233" i="12" s="1"/>
  <c r="EA245" i="12" a="1"/>
  <c r="EA245" i="12" s="1"/>
  <c r="EA257" i="12" a="1"/>
  <c r="EA257" i="12" s="1"/>
  <c r="EA269" i="12" a="1"/>
  <c r="EA269" i="12" s="1"/>
  <c r="EA281" i="12" a="1"/>
  <c r="EA281" i="12" s="1"/>
  <c r="EA293" i="12" a="1"/>
  <c r="EA293" i="12" s="1"/>
  <c r="EA305" i="12" a="1"/>
  <c r="EA305" i="12" s="1"/>
  <c r="EA317" i="12" a="1"/>
  <c r="EA317" i="12" s="1"/>
  <c r="EA329" i="12" a="1"/>
  <c r="EA329" i="12" s="1"/>
  <c r="EA341" i="12" a="1"/>
  <c r="EA341" i="12" s="1"/>
  <c r="EA353" i="12" a="1"/>
  <c r="EA353" i="12" s="1"/>
  <c r="EA365" i="12" a="1"/>
  <c r="EA365" i="12" s="1"/>
  <c r="EA377" i="12" a="1"/>
  <c r="EA377" i="12" s="1"/>
  <c r="EA389" i="12" a="1"/>
  <c r="EA389" i="12" s="1"/>
  <c r="EA401" i="12" a="1"/>
  <c r="EA401" i="12" s="1"/>
  <c r="EA413" i="12" a="1"/>
  <c r="EA413" i="12" s="1"/>
  <c r="EA425" i="12" a="1"/>
  <c r="EA425" i="12" s="1"/>
  <c r="EA437" i="12" a="1"/>
  <c r="EA437" i="12" s="1"/>
  <c r="EA449" i="12" a="1"/>
  <c r="EA449" i="12" s="1"/>
  <c r="EA465" i="12" a="1"/>
  <c r="EA465" i="12" s="1"/>
  <c r="EA477" i="12" a="1"/>
  <c r="EA477" i="12" s="1"/>
  <c r="EA489" i="12" a="1"/>
  <c r="EA489" i="12" s="1"/>
  <c r="EA501" i="12" a="1"/>
  <c r="EA501" i="12" s="1"/>
  <c r="EA513" i="12" a="1"/>
  <c r="EA513" i="12" s="1"/>
  <c r="EA525" i="12" a="1"/>
  <c r="EA525" i="12" s="1"/>
  <c r="EA537" i="12" a="1"/>
  <c r="EA537" i="12" s="1"/>
  <c r="EA549" i="12" a="1"/>
  <c r="EA549" i="12" s="1"/>
  <c r="EA561" i="12" a="1"/>
  <c r="EA561" i="12" s="1"/>
  <c r="EA577" i="12" a="1"/>
  <c r="EA577" i="12" s="1"/>
  <c r="EA31" i="12" a="1"/>
  <c r="EA31" i="12" s="1"/>
  <c r="EA43" i="12" a="1"/>
  <c r="EA43" i="12" s="1"/>
  <c r="EA55" i="12" a="1"/>
  <c r="EA55" i="12" s="1"/>
  <c r="EA67" i="12" a="1"/>
  <c r="EA67" i="12" s="1"/>
  <c r="EA79" i="12" a="1"/>
  <c r="EA79" i="12" s="1"/>
  <c r="EA91" i="12" a="1"/>
  <c r="EA91" i="12" s="1"/>
  <c r="EA103" i="12" a="1"/>
  <c r="EA103" i="12" s="1"/>
  <c r="EA115" i="12" a="1"/>
  <c r="EA115" i="12" s="1"/>
  <c r="EA127" i="12" a="1"/>
  <c r="EA127" i="12" s="1"/>
  <c r="EA139" i="12" a="1"/>
  <c r="EA139" i="12" s="1"/>
  <c r="EA151" i="12" a="1"/>
  <c r="EA151" i="12" s="1"/>
  <c r="EA163" i="12" a="1"/>
  <c r="EA163" i="12" s="1"/>
  <c r="EA175" i="12" a="1"/>
  <c r="EA175" i="12" s="1"/>
  <c r="EA187" i="12" a="1"/>
  <c r="EA187" i="12" s="1"/>
  <c r="EA199" i="12" a="1"/>
  <c r="EA199" i="12" s="1"/>
  <c r="EA211" i="12" a="1"/>
  <c r="EA211" i="12" s="1"/>
  <c r="EA223" i="12" a="1"/>
  <c r="EA223" i="12" s="1"/>
  <c r="EA235" i="12" a="1"/>
  <c r="EA235" i="12" s="1"/>
  <c r="EA247" i="12" a="1"/>
  <c r="EA247" i="12" s="1"/>
  <c r="EA259" i="12" a="1"/>
  <c r="EA259" i="12" s="1"/>
  <c r="EA271" i="12" a="1"/>
  <c r="EA271" i="12" s="1"/>
  <c r="EA283" i="12" a="1"/>
  <c r="EA283" i="12" s="1"/>
  <c r="EA295" i="12" a="1"/>
  <c r="EA295" i="12" s="1"/>
  <c r="EA307" i="12" a="1"/>
  <c r="EA307" i="12" s="1"/>
  <c r="EA319" i="12" a="1"/>
  <c r="EA319" i="12" s="1"/>
  <c r="EA331" i="12" a="1"/>
  <c r="EA331" i="12" s="1"/>
  <c r="EA343" i="12" a="1"/>
  <c r="EA343" i="12" s="1"/>
  <c r="EA355" i="12" a="1"/>
  <c r="EA355" i="12" s="1"/>
  <c r="EA367" i="12" a="1"/>
  <c r="EA367" i="12" s="1"/>
  <c r="EA379" i="12" a="1"/>
  <c r="EA379" i="12" s="1"/>
  <c r="EA391" i="12" a="1"/>
  <c r="EA391" i="12" s="1"/>
  <c r="EA403" i="12" a="1"/>
  <c r="EA403" i="12" s="1"/>
  <c r="EA415" i="12" a="1"/>
  <c r="EA415" i="12" s="1"/>
  <c r="EA427" i="12" a="1"/>
  <c r="EA427" i="12" s="1"/>
  <c r="EA439" i="12" a="1"/>
  <c r="EA439" i="12" s="1"/>
  <c r="EA451" i="12" a="1"/>
  <c r="EA451" i="12" s="1"/>
  <c r="EA463" i="12" a="1"/>
  <c r="EA463" i="12" s="1"/>
  <c r="EA475" i="12" a="1"/>
  <c r="EA475" i="12" s="1"/>
  <c r="EA487" i="12" a="1"/>
  <c r="EA487" i="12" s="1"/>
  <c r="EA499" i="12" a="1"/>
  <c r="EA499" i="12" s="1"/>
  <c r="EA511" i="12" a="1"/>
  <c r="EA511" i="12" s="1"/>
  <c r="EA519" i="12" a="1"/>
  <c r="EA519" i="12" s="1"/>
  <c r="EA531" i="12" a="1"/>
  <c r="EA531" i="12" s="1"/>
  <c r="EA539" i="12" a="1"/>
  <c r="EA539" i="12" s="1"/>
  <c r="EA547" i="12" a="1"/>
  <c r="EA547" i="12" s="1"/>
  <c r="EA551" i="12" a="1"/>
  <c r="EA551" i="12" s="1"/>
  <c r="EA555" i="12" a="1"/>
  <c r="EA555" i="12" s="1"/>
  <c r="EA559" i="12" a="1"/>
  <c r="EA559" i="12" s="1"/>
  <c r="EA563" i="12" a="1"/>
  <c r="EA563" i="12" s="1"/>
  <c r="EA567" i="12" a="1"/>
  <c r="EA567" i="12" s="1"/>
  <c r="EA571" i="12" a="1"/>
  <c r="EA571" i="12" s="1"/>
  <c r="EA575" i="12" a="1"/>
  <c r="EA575" i="12" s="1"/>
  <c r="EA579" i="12" a="1"/>
  <c r="EA579" i="12" s="1"/>
  <c r="EA583" i="12" a="1"/>
  <c r="EA583" i="12" s="1"/>
  <c r="EA587" i="12" a="1"/>
  <c r="EA587" i="12" s="1"/>
  <c r="EA591" i="12" a="1"/>
  <c r="EA591" i="12" s="1"/>
  <c r="EA595" i="12" a="1"/>
  <c r="EA595" i="12" s="1"/>
  <c r="EA599" i="12" a="1"/>
  <c r="EA599" i="12" s="1"/>
  <c r="EA605" i="12" a="1"/>
  <c r="EA605" i="12" s="1"/>
  <c r="EA617" i="12" a="1"/>
  <c r="EA617" i="12" s="1"/>
  <c r="EA629" i="12" a="1"/>
  <c r="EA629" i="12" s="1"/>
  <c r="EA20" i="12" a="1"/>
  <c r="EA20" i="12" s="1"/>
  <c r="BQ24" i="12"/>
  <c r="EA25" i="12" s="1" a="1"/>
  <c r="EA25" i="12" s="1"/>
  <c r="EA4" i="12" a="1"/>
  <c r="EA4" i="12" s="1"/>
  <c r="BQ8" i="12"/>
  <c r="EA9" i="12" s="1" a="1"/>
  <c r="EA9" i="12" s="1"/>
  <c r="EA7" i="12" a="1"/>
  <c r="EA7" i="12" s="1"/>
  <c r="BQ22" i="12"/>
  <c r="EA23" i="12" s="1" a="1"/>
  <c r="EA23" i="12" s="1"/>
  <c r="EA26" i="12" a="1"/>
  <c r="EA26" i="12" s="1"/>
  <c r="EA11" i="12" a="1"/>
  <c r="EA11" i="12" s="1"/>
  <c r="EA10" i="12" a="1"/>
  <c r="EA10" i="12" s="1"/>
  <c r="EA19" i="12" a="1"/>
  <c r="EA19" i="12" s="1"/>
  <c r="BQ12" i="12"/>
  <c r="EA13" i="12" s="1" a="1"/>
  <c r="EA13" i="12" s="1"/>
  <c r="BQ21" i="12"/>
  <c r="BQ14" i="12"/>
  <c r="EA14" i="12" s="1" a="1"/>
  <c r="EA14" i="12" s="1"/>
  <c r="BQ17" i="12"/>
  <c r="EA18" i="12" s="1" a="1"/>
  <c r="EA18" i="12" s="1"/>
  <c r="EA17" i="12" a="1"/>
  <c r="EA17" i="12" s="1"/>
  <c r="BQ15" i="12"/>
  <c r="EA16" i="12" s="1" a="1"/>
  <c r="EA16" i="12" s="1"/>
  <c r="BQ5" i="12"/>
  <c r="EA6" i="12" s="1" a="1"/>
  <c r="EA6" i="12" s="1"/>
  <c r="EA24" i="12" l="1" a="1"/>
  <c r="EA24" i="12" s="1"/>
  <c r="EA22" i="12" a="1"/>
  <c r="EA22" i="12" s="1"/>
  <c r="EA8" i="12" a="1"/>
  <c r="EA8" i="12" s="1"/>
  <c r="EA5" i="12" a="1"/>
  <c r="EA5" i="12" s="1"/>
  <c r="EA15" i="12" a="1"/>
  <c r="EA15" i="12" s="1"/>
  <c r="EA21" i="12" a="1"/>
  <c r="EA21" i="12" s="1"/>
  <c r="EA12" i="12" a="1"/>
  <c r="EA12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47EAA9-BE3B-49FA-A0C1-8FAB260EE6F5}" keepAlive="1" name="Query - T_ASIGNATURA1" description="Conexión a la consulta 'T_ASIGNATURA1' en el libro." type="5" refreshedVersion="8" background="1" saveData="1">
    <dbPr connection="Provider=Microsoft.Mashup.OleDb.1;Data Source=$Workbook$;Location=T_ASIGNATURA1;Extended Properties=&quot;&quot;" command="SELECT * FROM [T_ASIGNATURA1]"/>
  </connection>
  <connection id="2" xr16:uid="{EEEB31E3-1F6F-493F-AE6C-3F376E044900}" keepAlive="1" name="Query - T_CARREAS1" description="Conexión a la consulta 'T_CARREAS1' en el libro." type="5" refreshedVersion="8" background="1" saveData="1">
    <dbPr connection="Provider=Microsoft.Mashup.OleDb.1;Data Source=$Workbook$;Location=T_CARREAS1;Extended Properties=&quot;&quot;" command="SELECT * FROM [T_CARREAS1]"/>
  </connection>
  <connection id="3" xr16:uid="{77D5BD99-6480-4DA7-A413-D12DA43D0CB7}" keepAlive="1" name="Query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4" xr16:uid="{1C98B35B-4553-462B-B481-A42D06D8B064}" keepAlive="1" name="Query - Tabla1 (2)" description="Conexión a la consulta 'Tabla1 (2)' en el libro." type="5" refreshedVersion="8" background="1" saveData="1">
    <dbPr connection="Provider=Microsoft.Mashup.OleDb.1;Data Source=$Workbook$;Location=Tabla1 (2);Extended Properties=&quot;&quot;" command="SELECT * FROM [Tabla1 (2)]"/>
  </connection>
  <connection id="5" xr16:uid="{99528512-F9B8-4873-9358-921755AE865B}" keepAlive="1" name="Query - Tabla1 (3)" description="Conexión a la consulta 'Tabla1 (3)' en el libro." type="5" refreshedVersion="8" background="1" saveData="1">
    <dbPr connection="Provider=Microsoft.Mashup.OleDb.1;Data Source=$Workbook$;Location=Tabla1 (3);Extended Properties=&quot;&quot;" command="SELECT * FROM [Tabla1 (3)]"/>
  </connection>
  <connection id="6" xr16:uid="{854B0AA7-536E-484F-B6A7-5B0177EFADC9}" keepAlive="1" name="Query - Tabla3" description="Conexión a la consulta 'Tabla3' en el libro." type="5" refreshedVersion="8" background="1" saveData="1">
    <dbPr connection="Provider=Microsoft.Mashup.OleDb.1;Data Source=$Workbook$;Location=Tabla3;Extended Properties=&quot;&quot;" command="SELECT * FROM [Tabla3]"/>
  </connection>
  <connection id="7" xr16:uid="{DA3B9D92-58D4-4E43-96E5-B89C3BF8EE17}" name="WorksheetConnection_PLAN_ASIG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PLAN_ASIG.xlsxTabla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<sst xmlns="http://schemas.openxmlformats.org/spreadsheetml/2006/main" count="2219" uniqueCount="1002">
  <si>
    <t>x</t>
  </si>
  <si>
    <t>CARRERA</t>
  </si>
  <si>
    <t>ID_CARRERA</t>
  </si>
  <si>
    <t>NIVEL</t>
  </si>
  <si>
    <t>PARALELO</t>
  </si>
  <si>
    <t>ASIGNATURA</t>
  </si>
  <si>
    <t>CAMPO</t>
  </si>
  <si>
    <t>AFINIDAD</t>
  </si>
  <si>
    <t>HORAS</t>
  </si>
  <si>
    <t># SEMANAS</t>
  </si>
  <si>
    <t>HORAS_SEMANAS</t>
  </si>
  <si>
    <t>H.ADI_01</t>
  </si>
  <si>
    <t>H.ADI_02</t>
  </si>
  <si>
    <t>H.INVESTIGACION</t>
  </si>
  <si>
    <t>TOTAL</t>
  </si>
  <si>
    <t>NOMBRE_DOCENT</t>
  </si>
  <si>
    <t>TOTAL_HORAS_DOCENTE</t>
  </si>
  <si>
    <t>CEDULA_DOCENTE</t>
  </si>
  <si>
    <t>AUDITORÍA Y CONTROL DE GESTIÓN 2024</t>
  </si>
  <si>
    <t>A</t>
  </si>
  <si>
    <t>FUNDAMENTOS DE ADMINISTRACIÓN</t>
  </si>
  <si>
    <t>NO</t>
  </si>
  <si>
    <t>SORNOZA ZAMORA JUAN CARLOS</t>
  </si>
  <si>
    <t>CONTABILIDAD EN EL SECTOR PÚBLICO</t>
  </si>
  <si>
    <t>SI</t>
  </si>
  <si>
    <t>MACROECONOMÍA</t>
  </si>
  <si>
    <t>GESTIÓN DOCUMENTAL Y ARCHIVÍSTICA</t>
  </si>
  <si>
    <t>CALDERON ZAMORA OSCAR XAVIER</t>
  </si>
  <si>
    <t>04 ADMINISTRACIÓN DEL TALENTO HUMANO</t>
  </si>
  <si>
    <t>ALVIA TOALA DAHIANA VALERIA</t>
  </si>
  <si>
    <t>PLANIFICACIÓN Y DIRECCIÓN ESTRATÉGICA</t>
  </si>
  <si>
    <t>BALSECA MACIAS PAOLA ESTEFANIA</t>
  </si>
  <si>
    <t>B</t>
  </si>
  <si>
    <t>CONTABILIDAD AVANZADA</t>
  </si>
  <si>
    <t>BUSINESS ENGLISH</t>
  </si>
  <si>
    <t>04 EMPLEABILIDAD Y DESARROLLO PROFESIONAL (GTH)</t>
  </si>
  <si>
    <t>HERRAMIENTAS DIGITALES AVANZADAS PARA LA GESTIÓN  DE INFORMACIÓN</t>
  </si>
  <si>
    <t>CARRILLO PICO FEDERICO AVELINO</t>
  </si>
  <si>
    <t>BUSINESS INTELLIGENCE</t>
  </si>
  <si>
    <t>02 ADMINISTRACIÓN ESTRATÉGICA</t>
  </si>
  <si>
    <t>01 DERECHO APLICADO A LA GESTIÓN INMOBIIARIA (BR)</t>
  </si>
  <si>
    <t>NOMBRE_CARRERA</t>
  </si>
  <si>
    <t>2026-FCACC-1</t>
  </si>
  <si>
    <t>ADMINISTRACIÓN DE EMPRESAS</t>
  </si>
  <si>
    <t>2026-FCACC-2</t>
  </si>
  <si>
    <t>2026-FCACC-3</t>
  </si>
  <si>
    <t>BIENES RAICES</t>
  </si>
  <si>
    <t>2026-FCACC-4</t>
  </si>
  <si>
    <t>COMERCIO EXTERIOR</t>
  </si>
  <si>
    <t>2026-FCACC-5</t>
  </si>
  <si>
    <t>CONTABILIDAD Y ADITORÍA 2024</t>
  </si>
  <si>
    <t>2026-FCACC-6</t>
  </si>
  <si>
    <t>FINANZAS 2024</t>
  </si>
  <si>
    <t>2026-FCACC-7</t>
  </si>
  <si>
    <t>GESTION DE LA INFORMACIÓN GERENCIA - 2024</t>
  </si>
  <si>
    <t>2026-FCACC-8</t>
  </si>
  <si>
    <t>GESTIÓN DEL TALENTO HUMANO</t>
  </si>
  <si>
    <t>2026-FCACC-9</t>
  </si>
  <si>
    <t>MARKETING</t>
  </si>
  <si>
    <t>ID_ASIG</t>
  </si>
  <si>
    <t>NOM_ASIG</t>
  </si>
  <si>
    <t>ID_NIVEL</t>
  </si>
  <si>
    <t>2026-CAR-ASIG-257</t>
  </si>
  <si>
    <t>SIMULACIÓN DE NEGOCIOS</t>
  </si>
  <si>
    <t>2026-CAR-ASIG-256</t>
  </si>
  <si>
    <t>INCUBACIÓN Y CREACIÓN DE EMPRESAS</t>
  </si>
  <si>
    <t>2026-CAR-ASIG-255</t>
  </si>
  <si>
    <t>08 COMERCIO INTERNACIONAL</t>
  </si>
  <si>
    <t>2026-CAR-ASIG-254</t>
  </si>
  <si>
    <t>08 BUSINESS INTELLIGENCE</t>
  </si>
  <si>
    <t>2026-CAR-ASIG-253</t>
  </si>
  <si>
    <t>07 SISTEMA DE INFORMACIÓN GERENCIAL</t>
  </si>
  <si>
    <t>2026-CAR-ASIG-252</t>
  </si>
  <si>
    <t>07 GESTIÓN DE VENTAS</t>
  </si>
  <si>
    <t>2026-CAR-ASIG-251</t>
  </si>
  <si>
    <t>07 LOGÍSTICA EMPRESARIAL</t>
  </si>
  <si>
    <t>2026-CAR-ASIG-250</t>
  </si>
  <si>
    <t>07 GESTIÓN DE PROYECTOS EMPRESARIALES</t>
  </si>
  <si>
    <t>2026-CAR-ASIG-249</t>
  </si>
  <si>
    <t>06 LIDERAZGO Y GESTIÓN DE EQUIPOS</t>
  </si>
  <si>
    <t>2026-CAR-ASIG-248</t>
  </si>
  <si>
    <t>06 MARKETING ESTRATÉGICO</t>
  </si>
  <si>
    <t>2026-CAR-ASIG-247</t>
  </si>
  <si>
    <t>06 ADMINISTRACIÓN PÚBLICA Y TRIBUTARIA</t>
  </si>
  <si>
    <t>2026-CAR-ASIG-246</t>
  </si>
  <si>
    <t>06 PRESUPUESTOS</t>
  </si>
  <si>
    <t>2026-CAR-ASIG-245</t>
  </si>
  <si>
    <t>06 FINANZAS CORPORATIVAS</t>
  </si>
  <si>
    <t>2026-CAR-ASIG-244</t>
  </si>
  <si>
    <t>05 RIESGOS Y SEGUROS</t>
  </si>
  <si>
    <t>2026-CAR-ASIG-243</t>
  </si>
  <si>
    <t>05 AUDITORÍA ADMINISTRATIVA Y FINANCIERA</t>
  </si>
  <si>
    <t>2026-CAR-ASIG-242</t>
  </si>
  <si>
    <t>05 DESARROLLO DE HABILIDADES DIRECTIVAS</t>
  </si>
  <si>
    <t>2026-CAR-ASIG-241</t>
  </si>
  <si>
    <t>05 ADMINISTRACIÓN DE LA PRODUCCIÓN Y OPERACIONES</t>
  </si>
  <si>
    <t>2026-CAR-ASIG-240</t>
  </si>
  <si>
    <t>05 ADMINISTRACIÓN FINANCIERA ESTRATÉGICA</t>
  </si>
  <si>
    <t>2026-CAR-ASIG-239</t>
  </si>
  <si>
    <t>04 ÉTICA Y RESPONSABILIDAD SOCIAL EMPRESARIAL</t>
  </si>
  <si>
    <t>2026-CAR-ASIG-238</t>
  </si>
  <si>
    <t>04 ANÁLISIS E INVESTIGACIÓN DE INVENTARIOS</t>
  </si>
  <si>
    <t>2026-CAR-ASIG-237</t>
  </si>
  <si>
    <t>2026-CAR-ASIG-236</t>
  </si>
  <si>
    <t>04 GESTIÓN DE LA CALIDAD</t>
  </si>
  <si>
    <t>2026-CAR-ASIG-235</t>
  </si>
  <si>
    <t>04 GESTIÓN FINANCIERA</t>
  </si>
  <si>
    <t>2026-CAR-ASIG-234</t>
  </si>
  <si>
    <t>03 DERECHO LABORAL</t>
  </si>
  <si>
    <t>2026-CAR-ASIG-233</t>
  </si>
  <si>
    <t>03 ADMINISTRACIÓN AMBIENTAL</t>
  </si>
  <si>
    <t>2026-CAR-ASIG-232</t>
  </si>
  <si>
    <t>03 HERRAMIENTAS PARA ANÁLISIS DE DATOS</t>
  </si>
  <si>
    <t>2026-CAR-ASIG-231</t>
  </si>
  <si>
    <t>03 DISEÑO ORGANIZACIONAL Y GESTIÓN DE PROCESOS</t>
  </si>
  <si>
    <t>2026-CAR-ASIG-230</t>
  </si>
  <si>
    <t>03 MÉTODOS CUANTITATIVOS PARA LOS NEGOCIOS</t>
  </si>
  <si>
    <t>2026-CAR-ASIG-229</t>
  </si>
  <si>
    <t>03 CREATIVIDAD E INNOVACIÓN EMPRESARIAL</t>
  </si>
  <si>
    <t>2026-CAR-ASIG-228</t>
  </si>
  <si>
    <t>02 DERECHO MERCANTIL Y SOCIETARIO</t>
  </si>
  <si>
    <t>2026-CAR-ASIG-227</t>
  </si>
  <si>
    <t>02 MACROECONOMÍA</t>
  </si>
  <si>
    <t>2026-CAR-ASIG-226</t>
  </si>
  <si>
    <t>02 ESTADÍSTICA APLICADA A LA ADMINISTRACIÓN</t>
  </si>
  <si>
    <t>2026-CAR-ASIG-225</t>
  </si>
  <si>
    <t>2026-CAR-ASIG-224</t>
  </si>
  <si>
    <t>02 MATEMÁTICA FINANCIERA</t>
  </si>
  <si>
    <t>2026-CAR-ASIG-223</t>
  </si>
  <si>
    <t>02 CONTABILIDAD FINANCIERA</t>
  </si>
  <si>
    <t>2026-CAR-ASIG-222</t>
  </si>
  <si>
    <t>01 MICROECONOMÍA</t>
  </si>
  <si>
    <t>2026-CAR-ASIG-221</t>
  </si>
  <si>
    <t>01 METODOLOGÍA DE LA INVESTIGACIÓN</t>
  </si>
  <si>
    <t>2026-CAR-ASIG-220</t>
  </si>
  <si>
    <t>01 ADMINISTRACIÓN PARA LOS NEGOCIOS</t>
  </si>
  <si>
    <t>2026-CAR-ASIG-219</t>
  </si>
  <si>
    <t>01 MATEMÁTICA APLICADA A LA ADMINISTRACIÓN</t>
  </si>
  <si>
    <t>2026-CAR-ASIG-218</t>
  </si>
  <si>
    <t>01 CONTABILIDAD DE COSTOS</t>
  </si>
  <si>
    <t>2026-CAR-ASIG-138</t>
  </si>
  <si>
    <t>AUDITORÍA INTEGRAL</t>
  </si>
  <si>
    <t>2026-CAR-ASIG-137</t>
  </si>
  <si>
    <t>AUDITORÍA FORENSE</t>
  </si>
  <si>
    <t>2026-CAR-ASIG-136</t>
  </si>
  <si>
    <t>AUDITORÍA DE SISTEMAS
DE INFORMACIÓN</t>
  </si>
  <si>
    <t>2026-CAR-ASIG-135</t>
  </si>
  <si>
    <t>LIDERAZGO Y GESTIÓN DE
AUDITORIA</t>
  </si>
  <si>
    <t>2026-CAR-ASIG-134</t>
  </si>
  <si>
    <t>DISEÑO, DESARROLLO  Y EVALUACIÓN DE  PROYECTOS</t>
  </si>
  <si>
    <t>2026-CAR-ASIG-133</t>
  </si>
  <si>
    <t>RESPONSABILIDAD SOCIAL CORPORATIVA</t>
  </si>
  <si>
    <t>2026-CAR-ASIG-132</t>
  </si>
  <si>
    <t>AUDITORIA AMBIENTAL</t>
  </si>
  <si>
    <t>2026-CAR-ASIG-131</t>
  </si>
  <si>
    <t>AUDITORÍA
GUBERNAMENTAL</t>
  </si>
  <si>
    <t>2026-CAR-ASIG-130</t>
  </si>
  <si>
    <t>VALORACIÓN DE EMPRESAS Y
RIESGOS</t>
  </si>
  <si>
    <t>2026-CAR-ASIG-129</t>
  </si>
  <si>
    <t>AUDITORÍA EN SEGURIDAD
Y SALUD OCUPACIONAL</t>
  </si>
  <si>
    <t>2026-CAR-ASIG-128</t>
  </si>
  <si>
    <t>AUDITORÍA TRIBUTARIA</t>
  </si>
  <si>
    <t>2026-CAR-ASIG-127</t>
  </si>
  <si>
    <t>PROCESO DE CONTRATACIÓN PÚBLICA</t>
  </si>
  <si>
    <t>2026-CAR-ASIG-126</t>
  </si>
  <si>
    <t>AUDITORÍA DE GESTIÓN</t>
  </si>
  <si>
    <t>2026-CAR-ASIG-125</t>
  </si>
  <si>
    <t>SISTEMAS DE CONTROL Y GESTIÓN</t>
  </si>
  <si>
    <t>2026-CAR-ASIG-124</t>
  </si>
  <si>
    <t>GESTIÓN PÚBLICA</t>
  </si>
  <si>
    <t>2026-CAR-ASIG-123</t>
  </si>
  <si>
    <t>SISTEMA DE INDICADORES DE  GESTIÓN</t>
  </si>
  <si>
    <t>2026-CAR-ASIG-122</t>
  </si>
  <si>
    <t>SOFTWARE DE GESTIÓN  ADMINISTRATIVA FINANCIERA</t>
  </si>
  <si>
    <t>2026-CAR-ASIG-121</t>
  </si>
  <si>
    <t>CONTABILIDAD GERENCIAL Y PRESUPUESTO</t>
  </si>
  <si>
    <t>2026-CAR-ASIG-120</t>
  </si>
  <si>
    <t>AUDITORÍA FINANCIERA</t>
  </si>
  <si>
    <t>2026-CAR-ASIG-119</t>
  </si>
  <si>
    <t>GESTIÓN DE LA PRODUCTIVIDAD</t>
  </si>
  <si>
    <t>2026-CAR-ASIG-118</t>
  </si>
  <si>
    <t>ÉTICA PROFESIONAL</t>
  </si>
  <si>
    <t>2026-CAR-ASIG-117</t>
  </si>
  <si>
    <t>2026-CAR-ASIG-116</t>
  </si>
  <si>
    <t>GESTIÓN TRIBUTARIA</t>
  </si>
  <si>
    <t>2026-CAR-ASIG-115</t>
  </si>
  <si>
    <t>2026-CAR-ASIG-114</t>
  </si>
  <si>
    <t>PLANIFICACIÓN DE AUDITORÍAS</t>
  </si>
  <si>
    <t>2026-CAR-ASIG-113</t>
  </si>
  <si>
    <t>GESTIÓN DE TALENTO HUMANO</t>
  </si>
  <si>
    <t>2026-CAR-ASIG-112</t>
  </si>
  <si>
    <t>FUNDAMENTOS DE AUDITORÍAS</t>
  </si>
  <si>
    <t>2026-CAR-ASIG-111</t>
  </si>
  <si>
    <t>ADMINISTRACIÓN FINANCIERA</t>
  </si>
  <si>
    <t>2026-CAR-ASIG-110</t>
  </si>
  <si>
    <t>CONTABILIDAD SOCIAL Y AMBIENTAL</t>
  </si>
  <si>
    <t>2026-CAR-ASIG-109</t>
  </si>
  <si>
    <t>CONTABILIDAD DE COSTOS</t>
  </si>
  <si>
    <t>2026-CAR-ASIG-108</t>
  </si>
  <si>
    <t>LEGISLACIÓN LABORAL</t>
  </si>
  <si>
    <t>2026-CAR-ASIG-107</t>
  </si>
  <si>
    <t>ESTADÍSTICA INFERENCIAL</t>
  </si>
  <si>
    <t>2026-CAR-ASIG-106</t>
  </si>
  <si>
    <t>MATEMÁTICA FINANCIERA</t>
  </si>
  <si>
    <t>2026-CAR-ASIG-105</t>
  </si>
  <si>
    <t>CONTABILIDAD FINANCIERA</t>
  </si>
  <si>
    <t>2026-CAR-ASIG-104</t>
  </si>
  <si>
    <t>LEGISLACIÓN MERCANTIL Y SOCIERTARIA</t>
  </si>
  <si>
    <t>2026-CAR-ASIG-103</t>
  </si>
  <si>
    <t>ESTADÍSTICA DESCRIPTIVA</t>
  </si>
  <si>
    <t>2026-CAR-ASIG-102</t>
  </si>
  <si>
    <t>2026-CAR-ASIG-101</t>
  </si>
  <si>
    <t>FUNDAMENTOS DE CONTABILIDAD</t>
  </si>
  <si>
    <t>2026-CAR-ASIG-316</t>
  </si>
  <si>
    <t>04 AUDITORÍA DE SEGUROS (BR)</t>
  </si>
  <si>
    <t>2026-CAR-ASIG-315</t>
  </si>
  <si>
    <t>04 PLANIFICACIÓN DEL DESARROLLO URBANO (BR)</t>
  </si>
  <si>
    <t>2026-CAR-ASIG-314</t>
  </si>
  <si>
    <t>04 EVALUACIÓN Y VALUACIÓN DE INMUEBLES (BR)</t>
  </si>
  <si>
    <t>2026-CAR-ASIG-313</t>
  </si>
  <si>
    <t>03 EMPRENDIMIENTO Y PLAN DE NEGOCIOS (BR)</t>
  </si>
  <si>
    <t>2026-CAR-ASIG-312</t>
  </si>
  <si>
    <t>03 GERENCIA Y NEGOCIACIÓN INMOBILIARIA (BR)</t>
  </si>
  <si>
    <t>2026-CAR-ASIG-311</t>
  </si>
  <si>
    <t>03 GESTIÓN DE RIESGOS Y SINIESTROS (BR)</t>
  </si>
  <si>
    <t>2026-CAR-ASIG-310</t>
  </si>
  <si>
    <t>03 FINANZAS EN BIENES RAÍCES (BR)</t>
  </si>
  <si>
    <t>2026-CAR-ASIG-309</t>
  </si>
  <si>
    <t>03 TASACIÓN DE INMUEBLES: ARANCELEARIA Y COMERCIAL (BR)</t>
  </si>
  <si>
    <t>2026-CAR-ASIG-308</t>
  </si>
  <si>
    <t>02 GESTIÓN DEL AGENTE EN BIENES RAÍCES (BR)</t>
  </si>
  <si>
    <t>2026-CAR-ASIG-307</t>
  </si>
  <si>
    <t>02 ANÁLISIS DE MERCADO INMOBILIARIO (BR)</t>
  </si>
  <si>
    <t>2026-CAR-ASIG-306</t>
  </si>
  <si>
    <t>02 LEGISLACIÓN DE SEGUROS (BR)</t>
  </si>
  <si>
    <t>2026-CAR-ASIG-305</t>
  </si>
  <si>
    <t>02 MARKETING INMOBILIARIO (BR)</t>
  </si>
  <si>
    <t>2026-CAR-ASIG-304</t>
  </si>
  <si>
    <t>02 ESTADÍSTICA DE RIESGOS (BR)</t>
  </si>
  <si>
    <t>2026-CAR-ASIG-303</t>
  </si>
  <si>
    <t>01 GESTIÓN ESTRATÉGICA (BR)</t>
  </si>
  <si>
    <t>2026-CAR-ASIG-302</t>
  </si>
  <si>
    <t>01 ÉTICA PROFESIONAL (BR)</t>
  </si>
  <si>
    <t>2026-CAR-ASIG-301</t>
  </si>
  <si>
    <t>01 ADMINISTRACIÓN INMOBILIARIA (BR)</t>
  </si>
  <si>
    <t>2026-CAR-ASIG-300</t>
  </si>
  <si>
    <t>2026-CAR-ASIG-299</t>
  </si>
  <si>
    <t>01 ECONOMÍA EN BIENES RAÍCES (BR)</t>
  </si>
  <si>
    <t>2026-CAR-ASIG-298</t>
  </si>
  <si>
    <t>01 MATEMÁTICA FINANCIERA (BR)</t>
  </si>
  <si>
    <t>2026-CAR-ASIG-81</t>
  </si>
  <si>
    <t>NEGOCIACIÓN INTERNACIONAL</t>
  </si>
  <si>
    <t>2026-CAR-ASIG-80</t>
  </si>
  <si>
    <t>LOGÍSTICA INTERNACIONAL</t>
  </si>
  <si>
    <t>2026-CAR-ASIG-79</t>
  </si>
  <si>
    <t>GESTIÓN DE LA CALIDAD</t>
  </si>
  <si>
    <t>2026-CAR-ASIG-78</t>
  </si>
  <si>
    <t>TRÁMITES DE EXPORTACIÓN E IMPORTACIÓN</t>
  </si>
  <si>
    <t>2026-CAR-ASIG-77</t>
  </si>
  <si>
    <t>DESARROLLO LOCAL Y EMPRENDIMIENTO</t>
  </si>
  <si>
    <t>2026-CAR-ASIG-76</t>
  </si>
  <si>
    <t>INGLÉS COMERCIAL III</t>
  </si>
  <si>
    <t>2026-CAR-ASIG-75</t>
  </si>
  <si>
    <t>OPERATIVIDAD PORTUARIA Y AEROPORTUARIA</t>
  </si>
  <si>
    <t>2026-CAR-ASIG-74</t>
  </si>
  <si>
    <t>PROCESOS OPERATIVOS ADUANEROS</t>
  </si>
  <si>
    <t>2026-CAR-ASIG-73</t>
  </si>
  <si>
    <t>ÉTICA APLICADA AL COMERCIO INTERNACIONAL</t>
  </si>
  <si>
    <t>2026-CAR-ASIG-72</t>
  </si>
  <si>
    <t>MERCADOTECNIA INTERNACIONAL</t>
  </si>
  <si>
    <t>2026-CAR-ASIG-71</t>
  </si>
  <si>
    <t>ESTRATÉGIAS DE INTERNACIONALIZACIÓN</t>
  </si>
  <si>
    <t>2026-CAR-ASIG-70</t>
  </si>
  <si>
    <t>INGLÉS COMERCIAL II</t>
  </si>
  <si>
    <t>2026-CAR-ASIG-69</t>
  </si>
  <si>
    <t>GESTIÓN DE PROYECTOS SOCIALES Y DE INVERSIÓN</t>
  </si>
  <si>
    <t>2026-CAR-ASIG-68</t>
  </si>
  <si>
    <t>FINANZAS INTERNACIONALES</t>
  </si>
  <si>
    <t>2026-CAR-ASIG-67</t>
  </si>
  <si>
    <t>NOMENCLATURA ARANCELARIA Y MERCEOLOGÍA</t>
  </si>
  <si>
    <t>2026-CAR-ASIG-66</t>
  </si>
  <si>
    <t>INVESTIGACIÓN DE MERCADOS INTERNACIONALES</t>
  </si>
  <si>
    <t>2026-CAR-ASIG-65</t>
  </si>
  <si>
    <t>INGLÉS COMERCIAL I</t>
  </si>
  <si>
    <t>2026-CAR-ASIG-64</t>
  </si>
  <si>
    <t>GESTIÓN AMBIENTAL DEL COMERCIO</t>
  </si>
  <si>
    <t>2026-CAR-ASIG-63</t>
  </si>
  <si>
    <t>RELACIONES ECONÓMICAS INTERNACIONALES</t>
  </si>
  <si>
    <t>2026-CAR-ASIG-62</t>
  </si>
  <si>
    <t>FORMULACIÓN Y ELABORACIÓN DE PROYECTOS EMPRESARIALES</t>
  </si>
  <si>
    <t>2026-CAR-ASIG-61</t>
  </si>
  <si>
    <t>PLANEACIÓN ESTRATÉGICA</t>
  </si>
  <si>
    <t>2026-CAR-ASIG-60</t>
  </si>
  <si>
    <t>COMERCIO JUSTO Y SOBERANÍA ALIMENTARIA</t>
  </si>
  <si>
    <t>2026-CAR-ASIG-59</t>
  </si>
  <si>
    <t>GESTIÓN LOGÍSTICA EMPRESARIAL</t>
  </si>
  <si>
    <t>2026-CAR-ASIG-58</t>
  </si>
  <si>
    <t>INVESTIGACIÓN OPERATIVA</t>
  </si>
  <si>
    <t>2026-CAR-ASIG-57</t>
  </si>
  <si>
    <t>MECANISMOS DE INTEGRACIÓN</t>
  </si>
  <si>
    <t>2026-CAR-ASIG-56</t>
  </si>
  <si>
    <t>2026-CAR-ASIG-55</t>
  </si>
  <si>
    <t>FINANZAS CORPORATIVAS</t>
  </si>
  <si>
    <t>2026-CAR-ASIG-54</t>
  </si>
  <si>
    <t>TEORIA DE LA POLÍTICA COMERCIAL</t>
  </si>
  <si>
    <t>2026-CAR-ASIG-53</t>
  </si>
  <si>
    <t>DERECHO CONSTITUCIONAL Y LEGISLACIÓN DEL COMERCIO</t>
  </si>
  <si>
    <t>2026-CAR-ASIG-52</t>
  </si>
  <si>
    <t>MICROECONOMÍA</t>
  </si>
  <si>
    <t>2026-CAR-ASIG-51</t>
  </si>
  <si>
    <t>ESTADÍSTICAS</t>
  </si>
  <si>
    <t>2026-CAR-ASIG-50</t>
  </si>
  <si>
    <t>COMPORTAMIENTO ORGANIZACIONAL</t>
  </si>
  <si>
    <t>2026-CAR-ASIG-49</t>
  </si>
  <si>
    <t>FUNDAMENTOS DE ECONOMÍA</t>
  </si>
  <si>
    <t>2026-CAR-ASIG-48</t>
  </si>
  <si>
    <t>2026-CAR-ASIG-47</t>
  </si>
  <si>
    <t>RESPONSABILIDAD SOCIAL Y EMPRESARIAL</t>
  </si>
  <si>
    <t>2026-CAR-ASIG-46</t>
  </si>
  <si>
    <t>DESARROLLO DEL COMERCIO REGIONAL</t>
  </si>
  <si>
    <t>2026-CAR-ASIG-45</t>
  </si>
  <si>
    <t>MATEMÁTICAS FINANCIERAS</t>
  </si>
  <si>
    <t>2026-CAR-ASIG-44</t>
  </si>
  <si>
    <t>CONTABILIDAD GENERAL</t>
  </si>
  <si>
    <t>2026-CAR-ASIG-43</t>
  </si>
  <si>
    <t>MATEMÁTICA</t>
  </si>
  <si>
    <t>2026-CAR-ASIG-42</t>
  </si>
  <si>
    <t>REALIDAD NACIONAL Y GEOPOLITICA</t>
  </si>
  <si>
    <t>2026-CAR-ASIG-41</t>
  </si>
  <si>
    <t>2026-CAR-ASIG-40</t>
  </si>
  <si>
    <t>METODOLOGÍA DE LA INVESTIGACIÓN</t>
  </si>
  <si>
    <t>2026-CAR-ASIG-217</t>
  </si>
  <si>
    <t>AUDITORÍA AMBIENTAL</t>
  </si>
  <si>
    <t>2026-CAR-ASIG-216</t>
  </si>
  <si>
    <t>2026-CAR-ASIG-215</t>
  </si>
  <si>
    <t>AUDITORÍA INFORMÁTICA</t>
  </si>
  <si>
    <t>2026-CAR-ASIG-214</t>
  </si>
  <si>
    <t>2026-CAR-ASIG-213</t>
  </si>
  <si>
    <t>2026-CAR-ASIG-212</t>
  </si>
  <si>
    <t>AUDITORÍA GUBERNAMENTAL</t>
  </si>
  <si>
    <t>2026-CAR-ASIG-211</t>
  </si>
  <si>
    <t>EVALUACIÓN DE PROYECTOS SOCIALES Y PRODUACTIVOS</t>
  </si>
  <si>
    <t>2026-CAR-ASIG-210</t>
  </si>
  <si>
    <t>AUDITORÍA DE CALIDAD</t>
  </si>
  <si>
    <t>2026-CAR-ASIG-209</t>
  </si>
  <si>
    <t>2026-CAR-ASIG-208</t>
  </si>
  <si>
    <t>2026-CAR-ASIG-207</t>
  </si>
  <si>
    <t>GESTIÓN DE LA CALIDAD Y ESTANDARIZACIÓN</t>
  </si>
  <si>
    <t>2026-CAR-ASIG-206</t>
  </si>
  <si>
    <t>FORMULACIÓN DE PROYECTOS SOCIALES Y PRODUCTIVOS</t>
  </si>
  <si>
    <t>2026-CAR-ASIG-205</t>
  </si>
  <si>
    <t>CONTABILIDAD GUBERNAMENTAL</t>
  </si>
  <si>
    <t>2026-CAR-ASIG-204</t>
  </si>
  <si>
    <t>CONTABILIDAD DE COSTOS AVANZADA</t>
  </si>
  <si>
    <t>2026-CAR-ASIG-203</t>
  </si>
  <si>
    <t>MARCO INTEGRADO E INDICADORES DE GESTIÓN</t>
  </si>
  <si>
    <t>2026-CAR-ASIG-202</t>
  </si>
  <si>
    <t>PRESUPUESTO</t>
  </si>
  <si>
    <t>2026-CAR-ASIG-201</t>
  </si>
  <si>
    <t>ORGANIZACIÓN Y MÉTODOS</t>
  </si>
  <si>
    <t>2026-CAR-ASIG-200</t>
  </si>
  <si>
    <t>2026-CAR-ASIG-199</t>
  </si>
  <si>
    <t>CONTABILIDAD ESPECIALIZADA</t>
  </si>
  <si>
    <t>2026-CAR-ASIG-198</t>
  </si>
  <si>
    <t>2026-CAR-ASIG-197</t>
  </si>
  <si>
    <t>TRIBUTACIÓN APLICADA</t>
  </si>
  <si>
    <t>2026-CAR-ASIG-196</t>
  </si>
  <si>
    <t>PLANIFICACIÓN DE AUDITORÍA</t>
  </si>
  <si>
    <t>2026-CAR-ASIG-195</t>
  </si>
  <si>
    <t>2026-CAR-ASIG-194</t>
  </si>
  <si>
    <t>CONTABILIDAD SUPERIOR</t>
  </si>
  <si>
    <t>2026-CAR-ASIG-193</t>
  </si>
  <si>
    <t>2026-CAR-ASIG-192</t>
  </si>
  <si>
    <t>PROCESO Y CONTROL DEL TALENTO HUMANO</t>
  </si>
  <si>
    <t>2026-CAR-ASIG-191</t>
  </si>
  <si>
    <t>SISTEMATIZACIÓN CONTABLE Y FINANCIERA</t>
  </si>
  <si>
    <t>2026-CAR-ASIG-190</t>
  </si>
  <si>
    <t>LEGISLACIÓN TRIBUTARIA</t>
  </si>
  <si>
    <t>2026-CAR-ASIG-189</t>
  </si>
  <si>
    <t>ESTADÍSTICA APLICADA</t>
  </si>
  <si>
    <t>2026-CAR-ASIG-188</t>
  </si>
  <si>
    <t>FUNDAMENTOS DE AUDITORÍA</t>
  </si>
  <si>
    <t>2026-CAR-ASIG-187</t>
  </si>
  <si>
    <t>2026-CAR-ASIG-186</t>
  </si>
  <si>
    <t>2026-CAR-ASIG-185</t>
  </si>
  <si>
    <t>LEGISLACIÓN MERCANTIL Y SOCIETARIA</t>
  </si>
  <si>
    <t>2026-CAR-ASIG-184</t>
  </si>
  <si>
    <t>2026-CAR-ASIG-183</t>
  </si>
  <si>
    <t>CONTABILIDAD INTERMEDIA</t>
  </si>
  <si>
    <t>2026-CAR-ASIG-182</t>
  </si>
  <si>
    <t>2026-CAR-ASIG-181</t>
  </si>
  <si>
    <t>2026-CAR-ASIG-180</t>
  </si>
  <si>
    <t>ADMINISTRACIÓN</t>
  </si>
  <si>
    <t>2026-CAR-ASIG-179</t>
  </si>
  <si>
    <t>2026-CAR-ASIG-178</t>
  </si>
  <si>
    <t>2026-CAR-ASIG-177</t>
  </si>
  <si>
    <t>CONTABILIDAD BÁSICA</t>
  </si>
  <si>
    <t>2026-CAR-ASIG-176</t>
  </si>
  <si>
    <t>VALORACIÓN DE EMPRESA</t>
  </si>
  <si>
    <t>2026-CAR-ASIG-175</t>
  </si>
  <si>
    <t>MODELACIÓN Y SIMULACIÓN FINANCIERA</t>
  </si>
  <si>
    <t>2026-CAR-ASIG-174</t>
  </si>
  <si>
    <t>FINANCIAMIENTO DE INVERSIONES</t>
  </si>
  <si>
    <t>2026-CAR-ASIG-173</t>
  </si>
  <si>
    <t>2026-CAR-ASIG-172</t>
  </si>
  <si>
    <t>SISTEMA DE INFORMACIÓN FINANCIERA</t>
  </si>
  <si>
    <t>2026-CAR-ASIG-171</t>
  </si>
  <si>
    <t>2026-CAR-ASIG-170</t>
  </si>
  <si>
    <t>PLANIFICACIÓN PROSPECTIVA
ESTRATÉGICA Y FINANCIERA</t>
  </si>
  <si>
    <t>2026-CAR-ASIG-169</t>
  </si>
  <si>
    <t>DISEÑO  Y EVALUACIÓN DE PROYECTOS DE INVERSIÓN</t>
  </si>
  <si>
    <t>2026-CAR-ASIG-168</t>
  </si>
  <si>
    <t>MERCADOTECNIA</t>
  </si>
  <si>
    <t>2026-CAR-ASIG-167</t>
  </si>
  <si>
    <t>FINANZAS  Y POLÍTICAS PÚBLICAS</t>
  </si>
  <si>
    <t>2026-CAR-ASIG-166</t>
  </si>
  <si>
    <t>MERCADOS FINANCIEROS</t>
  </si>
  <si>
    <t>2026-CAR-ASIG-165</t>
  </si>
  <si>
    <t>2026-CAR-ASIG-164</t>
  </si>
  <si>
    <t>DISEÑO Y EVALUACIÓN DE PROYECTOS DE DESARROLLO  SOCIALES</t>
  </si>
  <si>
    <t>2026-CAR-ASIG-163</t>
  </si>
  <si>
    <t>ECONOMÍAS  POPULARES Y SOLIDARIAS SECTOR NO FINANCIERO</t>
  </si>
  <si>
    <t>2026-CAR-ASIG-162</t>
  </si>
  <si>
    <t>2026-CAR-ASIG-161</t>
  </si>
  <si>
    <t>ÉTICA Y RESPONSABILIDAD SOCIAL CORPORATIVA</t>
  </si>
  <si>
    <t>2026-CAR-ASIG-160</t>
  </si>
  <si>
    <t>EMPRENDIMIENTO Y DESARROLLO LOCAL</t>
  </si>
  <si>
    <t>2026-CAR-ASIG-159</t>
  </si>
  <si>
    <t>GESTIÓN DE SEGURO Y TRANSFERENCIA DE RIESGO</t>
  </si>
  <si>
    <t>2026-CAR-ASIG-158</t>
  </si>
  <si>
    <t>ADMINISTRACIÓN DE RIESGOS FINANCIEROS</t>
  </si>
  <si>
    <t>2026-CAR-ASIG-157</t>
  </si>
  <si>
    <t>ECONOMÍA POPULARES Y SOLIDARIAS SECTOR FINANCIERO</t>
  </si>
  <si>
    <t>2026-CAR-ASIG-156</t>
  </si>
  <si>
    <t>GESTIÓN DEL PRESUPUESTO</t>
  </si>
  <si>
    <t>2026-CAR-ASIG-155</t>
  </si>
  <si>
    <t>GERENCIA ESTRATÉGICA</t>
  </si>
  <si>
    <t>2026-CAR-ASIG-154</t>
  </si>
  <si>
    <t>2026-CAR-ASIG-153</t>
  </si>
  <si>
    <t>2026-CAR-ASIG-152</t>
  </si>
  <si>
    <t>MERCADO DE SEGUROS</t>
  </si>
  <si>
    <t>2026-CAR-ASIG-151</t>
  </si>
  <si>
    <t>2026-CAR-ASIG-150</t>
  </si>
  <si>
    <t>LEGISLACIÓN MONETARIA Y BANCARIA</t>
  </si>
  <si>
    <t>2026-CAR-ASIG-149</t>
  </si>
  <si>
    <t>ECONOMETRÍA</t>
  </si>
  <si>
    <t>2026-CAR-ASIG-148</t>
  </si>
  <si>
    <t>FUNDAMENTOS DE FINANZAS</t>
  </si>
  <si>
    <t>2026-CAR-ASIG-147</t>
  </si>
  <si>
    <t>CONTABILIDAD BANCARIA</t>
  </si>
  <si>
    <t>2026-CAR-ASIG-146</t>
  </si>
  <si>
    <t>ESTADÍSTICA FINANCIERA</t>
  </si>
  <si>
    <t>2026-CAR-ASIG-145</t>
  </si>
  <si>
    <t>2026-CAR-ASIG-144</t>
  </si>
  <si>
    <t>SISTEMA TRIBUTARIO</t>
  </si>
  <si>
    <t>2026-CAR-ASIG-143</t>
  </si>
  <si>
    <t>2026-CAR-ASIG-142</t>
  </si>
  <si>
    <t>2026-CAR-ASIG-141</t>
  </si>
  <si>
    <t>2026-CAR-ASIG-140</t>
  </si>
  <si>
    <t>MATEMÁTICA ADMINISTRATIVA</t>
  </si>
  <si>
    <t>2026-CAR-ASIG-139</t>
  </si>
  <si>
    <t>CONTABILIDAD ADMINISTRATIVA</t>
  </si>
  <si>
    <t>2026-CAR-ASIG-99</t>
  </si>
  <si>
    <t>2026-CAR-ASIG-98</t>
  </si>
  <si>
    <t>EVALUACIÓN DE PROGRAMAS INFORMACIONALES</t>
  </si>
  <si>
    <t>2026-CAR-ASIG-97</t>
  </si>
  <si>
    <t>2026-CAR-ASIG-96</t>
  </si>
  <si>
    <t>INFORMATION ARCHITECTURE</t>
  </si>
  <si>
    <t>2026-CAR-ASIG-95</t>
  </si>
  <si>
    <t>SISTEMAS GESTORES DE BASES DE DATOS</t>
  </si>
  <si>
    <t>2026-CAR-ASIG-94</t>
  </si>
  <si>
    <t>DISEÑO Y EVALUACIÓN DE PROYECTOS DE INVESTIGACIÓN</t>
  </si>
  <si>
    <t>2026-CAR-ASIG-93</t>
  </si>
  <si>
    <t>GESTIÓN DEL CONOCIMIENTO</t>
  </si>
  <si>
    <t>2026-CAR-ASIG-92</t>
  </si>
  <si>
    <t>ANALISIS DE MODELOS INSTITUCIONALES  EN LA GESTIÓN INFORMACIONAL</t>
  </si>
  <si>
    <t>2026-CAR-ASIG-91</t>
  </si>
  <si>
    <t>ANÁLISIS CUALITATIVO DE LA INFORMACIÓN</t>
  </si>
  <si>
    <t>2026-CAR-ASIG-90</t>
  </si>
  <si>
    <t>2026-CAR-ASIG-89</t>
  </si>
  <si>
    <t>GOBIERNO ELECTRÓNICO Y ADMINISTRACIÓN PÚBLICA</t>
  </si>
  <si>
    <t>2026-CAR-ASIG-88</t>
  </si>
  <si>
    <t>2026-CAR-ASIG-87</t>
  </si>
  <si>
    <t>SISTEMA DE INFORMACIÓN DIGITAL</t>
  </si>
  <si>
    <t>2026-CAR-ASIG-86</t>
  </si>
  <si>
    <t>METODOLOGÍA DE INVESTIGACIÓN</t>
  </si>
  <si>
    <t>2026-CAR-ASIG-85</t>
  </si>
  <si>
    <t>GESTIÓN DE LA INFORMACIÓN</t>
  </si>
  <si>
    <t>2026-CAR-ASIG-84</t>
  </si>
  <si>
    <t>SISTEMAS DE INFORMACIÓN Y GESTIÓN  DOCUMENTAL</t>
  </si>
  <si>
    <t>2026-CAR-ASIG-83</t>
  </si>
  <si>
    <t>2026-CAR-ASIG-82</t>
  </si>
  <si>
    <t>GESTION DE PROCESOS</t>
  </si>
  <si>
    <t>GESTION DE PROCESOS II</t>
  </si>
  <si>
    <t>2026-CAR-ASIG-600</t>
  </si>
  <si>
    <t>prueba</t>
  </si>
  <si>
    <t>2026-CAR-ASIG-100</t>
  </si>
  <si>
    <t>ENGLISH FOR SPECIFIC PURPOSE II</t>
  </si>
  <si>
    <t>2026-CAR-ASIG-297</t>
  </si>
  <si>
    <t>08 RESPONSABILIDAD SOCIAL EMPRESARIAL (GTH)</t>
  </si>
  <si>
    <t>2026-CAR-ASIG-296</t>
  </si>
  <si>
    <t>08 GESTIÓN DE CONFLICTOS Y NEGOCIACIÓN (GTH)</t>
  </si>
  <si>
    <t>2026-CAR-ASIG-295</t>
  </si>
  <si>
    <t>08 BUSINESS COACHING (GTH)</t>
  </si>
  <si>
    <t>2026-CAR-ASIG-294</t>
  </si>
  <si>
    <t>08 AUDITORÍA DEL TALENTO HUMANO (GTH)</t>
  </si>
  <si>
    <t>2026-CAR-ASIG-293</t>
  </si>
  <si>
    <t>07 DEONTOLOGÍA PROFESIONAL (GTH)</t>
  </si>
  <si>
    <t>2026-CAR-ASIG-292</t>
  </si>
  <si>
    <t>07 GERENCIA ESTRATÉGICA (GTH)</t>
  </si>
  <si>
    <t>2026-CAR-ASIG-291</t>
  </si>
  <si>
    <t>07 TENDENCIAS GLOBALES DE LA GESTIÓN DEL TALENTO HUMANO (GTH)</t>
  </si>
  <si>
    <t>2026-CAR-ASIG-290</t>
  </si>
  <si>
    <t>07 ENDOMARKETING (GTH)</t>
  </si>
  <si>
    <t>2026-CAR-ASIG-289</t>
  </si>
  <si>
    <t>06 GESTIÓN DE CALIDAD APLICADA AL TALENTO HUMANO (GTH)</t>
  </si>
  <si>
    <t>2026-CAR-ASIG-288</t>
  </si>
  <si>
    <t>06 CONSULTORÍA ORGANIZACIONAL (GTH)</t>
  </si>
  <si>
    <t>2026-CAR-ASIG-287</t>
  </si>
  <si>
    <t>06 E-TRADING / E-LEARNING ORGANIZACIONAL (GTH)</t>
  </si>
  <si>
    <t>2026-CAR-ASIG-286</t>
  </si>
  <si>
    <t>06 DIRECCIÓN DE TALENTO HUMANO (GTH)</t>
  </si>
  <si>
    <t>2026-CAR-ASIG-285</t>
  </si>
  <si>
    <t>06 GESTIÓN INTEGRAL DEL TALENTO HUMANO (GTH)</t>
  </si>
  <si>
    <t>2026-CAR-ASIG-284</t>
  </si>
  <si>
    <t>05 POLÍTICAS PÚBLICAS Y LABORALES (GTH)</t>
  </si>
  <si>
    <t>2026-CAR-ASIG-283</t>
  </si>
  <si>
    <t>05 PRESUPUESTO (GTH)</t>
  </si>
  <si>
    <t>2026-CAR-ASIG-282</t>
  </si>
  <si>
    <t>05 BIENESTAR Y CLIMA LABORAL (GTH)</t>
  </si>
  <si>
    <t>2026-CAR-ASIG-281</t>
  </si>
  <si>
    <t>05 ADMINISTRACIÓN DE REMUNERACIONES INDEMNIZACIONES Y COMPENSACIONES (GTH)</t>
  </si>
  <si>
    <t>2026-CAR-ASIG-280</t>
  </si>
  <si>
    <t>05 EVALUACIÓN DEL DESEMPEÑO / COMPETITIVIDAD LABORAL (GTH)</t>
  </si>
  <si>
    <t>2026-CAR-ASIG-279</t>
  </si>
  <si>
    <t>04 SEGURIDAD Y SALUD OCUPACIONAL (GTH)</t>
  </si>
  <si>
    <t>2026-CAR-ASIG-278</t>
  </si>
  <si>
    <t>04 GESTIÓN DEL CONOCIMIENTO EN LAS ORGANIZACIONES (GTH)</t>
  </si>
  <si>
    <t>2026-CAR-ASIG-277</t>
  </si>
  <si>
    <t>04 NEUROMANAGEMENT (GTH)</t>
  </si>
  <si>
    <t>2026-CAR-ASIG-276</t>
  </si>
  <si>
    <t>2026-CAR-ASIG-275</t>
  </si>
  <si>
    <t>04 RECLUTAMIENTO SELECCIÓN Y ONBOARDING DEL CAPITAL HUMANO (GTH)</t>
  </si>
  <si>
    <t>2026-CAR-ASIG-274</t>
  </si>
  <si>
    <t>03 GESTIÓN DOCUMENTAL Y ARCHIVÍSTICA (GTH)</t>
  </si>
  <si>
    <t>2026-CAR-ASIG-273</t>
  </si>
  <si>
    <t>03 DERECHO LABORAL PÚBLICO (GTH)</t>
  </si>
  <si>
    <t>2026-CAR-ASIG-272</t>
  </si>
  <si>
    <t>03 PROGRAMACIÓN NEUROLINGUÍSTICA (GTH)</t>
  </si>
  <si>
    <t>2026-CAR-ASIG-271</t>
  </si>
  <si>
    <t>03 INVESTIGACIÓN DE MERCADO LABORAL (GTH)</t>
  </si>
  <si>
    <t>2026-CAR-ASIG-270</t>
  </si>
  <si>
    <t>03 CULTURA Y COMPORTAMIENTO ORGANIZACIONAL (GTH)</t>
  </si>
  <si>
    <t>2026-CAR-ASIG-269</t>
  </si>
  <si>
    <t>03 CLASIFICACIÓN Y VALORACIÓN DE CARGOS POR COMPETENCIAS (GTH)</t>
  </si>
  <si>
    <t>2026-CAR-ASIG-268</t>
  </si>
  <si>
    <t>02 GESTIÓN DEL CAMBIO EN ORGANIZACIONES (GTH)</t>
  </si>
  <si>
    <t>2026-CAR-ASIG-267</t>
  </si>
  <si>
    <t>02 DERECHO LABORAL PRIVADO (GTH)</t>
  </si>
  <si>
    <t>2026-CAR-ASIG-266</t>
  </si>
  <si>
    <t>02 MACROECONOMÍA (GTH)</t>
  </si>
  <si>
    <t>2026-CAR-ASIG-265</t>
  </si>
  <si>
    <t>02 ESTADÍSTICA APLICADA A LA ADMINISTRACIÓN (GTH)</t>
  </si>
  <si>
    <t>2026-CAR-ASIG-264</t>
  </si>
  <si>
    <t>02 PSICOLOGÍA ORGANIZACIONAL (GTH)</t>
  </si>
  <si>
    <t>2026-CAR-ASIG-263</t>
  </si>
  <si>
    <t>02 ORGANIZACIÓN ESTRUCTURAL Y DE PROCESOS (GTH)</t>
  </si>
  <si>
    <t>2026-CAR-ASIG-262</t>
  </si>
  <si>
    <t>01 DERECHO CONSTITUCIONAL (GTH)</t>
  </si>
  <si>
    <t>2026-CAR-ASIG-261</t>
  </si>
  <si>
    <t>01 MICROECONOMÍA (GTH)</t>
  </si>
  <si>
    <t>2026-CAR-ASIG-260</t>
  </si>
  <si>
    <t>01 METODOLOGÍA DE LA INVESTIGACIÓN (GTH)</t>
  </si>
  <si>
    <t>2026-CAR-ASIG-259</t>
  </si>
  <si>
    <t>01 LA ADMINISTRACIÓN (GTH)</t>
  </si>
  <si>
    <t>2026-CAR-ASIG-258</t>
  </si>
  <si>
    <t>01 GESTIÓN DEL TALENTO HUMANO (GTH)</t>
  </si>
  <si>
    <t>2026-CAR-ASIG-39</t>
  </si>
  <si>
    <t>2026-CAR-ASIG-38</t>
  </si>
  <si>
    <t>2026-CAR-ASIG-37</t>
  </si>
  <si>
    <t>BUSINESS  INTELLIGENCE</t>
  </si>
  <si>
    <t>2026-CAR-ASIG-36</t>
  </si>
  <si>
    <t>2026-CAR-ASIG-35</t>
  </si>
  <si>
    <t>2026-CAR-ASIG-34</t>
  </si>
  <si>
    <t>ENGLISH FOR SPECIFIC PURPOSE I</t>
  </si>
  <si>
    <t>2026-CAR-ASIG-33</t>
  </si>
  <si>
    <t>GESTIÓN DE PROYECTOS</t>
  </si>
  <si>
    <t>2026-CAR-ASIG-32</t>
  </si>
  <si>
    <t>DECISION MAKING IN MANAGEMENT</t>
  </si>
  <si>
    <t>2026-CAR-ASIG-31</t>
  </si>
  <si>
    <t>EVALUACIÓN DE MODELOS DE GESTIÓN DE INFORMACIÓN</t>
  </si>
  <si>
    <t>2026-CAR-ASIG-30</t>
  </si>
  <si>
    <t>2026-CAR-ASIG-29</t>
  </si>
  <si>
    <t>2026-CAR-ASIG-28</t>
  </si>
  <si>
    <t>2026-CAR-ASIG-27</t>
  </si>
  <si>
    <t>ANÁLISIS DE MODELOS INSTITUCIONALES EN LA GESTIÓN INFORMACIONAL</t>
  </si>
  <si>
    <t>2026-CAR-ASIG-26</t>
  </si>
  <si>
    <t>2026-CAR-ASIG-25</t>
  </si>
  <si>
    <t>PRÁCTICAS PREPROFESIONALES II</t>
  </si>
  <si>
    <t>2026-CAR-ASIG-24</t>
  </si>
  <si>
    <t>CALIDAD TOTAL DE LA INFORMACIÓN</t>
  </si>
  <si>
    <t>2026-CAR-ASIG-23</t>
  </si>
  <si>
    <t>MODELOS GESTIÓN DE INFORMACIÓN</t>
  </si>
  <si>
    <t>2026-CAR-ASIG-22</t>
  </si>
  <si>
    <t>ANÁLISIS CUANTITATIVO DE LA INFORMACIÓN</t>
  </si>
  <si>
    <t>2026-CAR-ASIG-21</t>
  </si>
  <si>
    <t>ALFABETIZACIÓN Y COMPETENCIAS INFORMACIONALES</t>
  </si>
  <si>
    <t>2026-CAR-ASIG-20</t>
  </si>
  <si>
    <t>PLANIFICACIÓN ESTRATÉGICA</t>
  </si>
  <si>
    <t>2026-CAR-ASIG-19</t>
  </si>
  <si>
    <t>PRÁCTICAS PREPROFESIONALES I</t>
  </si>
  <si>
    <t>2026-CAR-ASIG-18</t>
  </si>
  <si>
    <t>2026-CAR-ASIG-17</t>
  </si>
  <si>
    <t>2026-CAR-ASIG-16</t>
  </si>
  <si>
    <t>HERRAMIENTAS DIGITALES AVANZADAS PARALA GESTIÓN  DE INFORMACIÓN</t>
  </si>
  <si>
    <t>2026-CAR-ASIG-15</t>
  </si>
  <si>
    <t>2026-CAR-ASIG-14</t>
  </si>
  <si>
    <t>2026-CAR-ASIG-13</t>
  </si>
  <si>
    <t>2026-CAR-ASIG-12</t>
  </si>
  <si>
    <t>2026-CAR-ASIG-11</t>
  </si>
  <si>
    <t>2026-CAR-ASIG-10</t>
  </si>
  <si>
    <t>2026-CAR-ASIG-09</t>
  </si>
  <si>
    <t>ESTADISTICA DESCRIPTIVA</t>
  </si>
  <si>
    <t>2026-CAR-ASIG-08</t>
  </si>
  <si>
    <t>MEMORIA, PATRIMONIO Y USO DE LA INFORMACIÓN</t>
  </si>
  <si>
    <t>2026-CAR-ASIG-07</t>
  </si>
  <si>
    <t>MARCO CONSTITUCIONAL Y DERECHO ADMINISTRATIVO ECUATORIANO</t>
  </si>
  <si>
    <t>2026-CAR-ASIG-06</t>
  </si>
  <si>
    <t>GESTIÓN ORGANIZACIONAL</t>
  </si>
  <si>
    <t>2026-CAR-ASIG-05</t>
  </si>
  <si>
    <t>CÁTEDRA ALFARO</t>
  </si>
  <si>
    <t>2026-CAR-ASIG-04</t>
  </si>
  <si>
    <t>OFIMÁTICA</t>
  </si>
  <si>
    <t>2026-CAR-ASIG-03</t>
  </si>
  <si>
    <t>ÉTICA Y RESPONSABILIDAD SOCIAL EN LA INFORMACIÓN</t>
  </si>
  <si>
    <t>2026-CAR-ASIG-02</t>
  </si>
  <si>
    <t>INTRODUCCIÓN A LOS SISTEMAS DE INFORMACIÓN</t>
  </si>
  <si>
    <t>2026-CAR-ASIG-01</t>
  </si>
  <si>
    <t>SOCIEDAD DE LA INFORMACIÓN Y EL CONOCIMIENTO</t>
  </si>
  <si>
    <t>DETALLADO</t>
  </si>
  <si>
    <t>INFORMATICA</t>
  </si>
  <si>
    <t>ADMINISTRACION</t>
  </si>
  <si>
    <t>COMPUTACION</t>
  </si>
  <si>
    <t>DERECHO</t>
  </si>
  <si>
    <t>ADMINISTRACION DE EMPRESAS</t>
  </si>
  <si>
    <t>EDUCACION COMERCIAL</t>
  </si>
  <si>
    <t>CIENCIAS SOCIALES</t>
  </si>
  <si>
    <t>NO AFINIDAD</t>
  </si>
  <si>
    <t>contaabilidad avanzada</t>
  </si>
  <si>
    <t>ID_DET_MAEST</t>
  </si>
  <si>
    <t>MAESTRIA</t>
  </si>
  <si>
    <t>ID_MAESTRIA</t>
  </si>
  <si>
    <t>CAMPO_DETALLADO</t>
  </si>
  <si>
    <t>ID_DETALLADO</t>
  </si>
  <si>
    <t>FCAC-DET-MAES-01</t>
  </si>
  <si>
    <t>INGENIERA EN COMERCIO EXTERIOR Y NEGOCIOS INTERNACIONALES</t>
  </si>
  <si>
    <t>FCACC-MAEST-03</t>
  </si>
  <si>
    <t>C-DETA-FAC-05</t>
  </si>
  <si>
    <t>FCAC-DET-MAES-02</t>
  </si>
  <si>
    <t>EDUCACION</t>
  </si>
  <si>
    <t>C-DETA-FAC-04</t>
  </si>
  <si>
    <t>FCAC-DET-MAES-03</t>
  </si>
  <si>
    <t>C-DETA-FAC-02</t>
  </si>
  <si>
    <t>FCAC-DET-MAES-04</t>
  </si>
  <si>
    <t>ECONOMISTA</t>
  </si>
  <si>
    <t>FCACC-MAEST-02</t>
  </si>
  <si>
    <t>FCAC-DET-MAES-05</t>
  </si>
  <si>
    <t>INGENIERA COMERCIAL</t>
  </si>
  <si>
    <t>FCACC-MAEST-01</t>
  </si>
  <si>
    <t>C-DETA-FAC-06</t>
  </si>
  <si>
    <t>FCAC-DET-MAES-000</t>
  </si>
  <si>
    <t>C-DETA-FAC-10</t>
  </si>
  <si>
    <t>FCAC-DET-MAES-07</t>
  </si>
  <si>
    <t>TECNOLOGO EN PROGRAMACION DE SISTEMAS</t>
  </si>
  <si>
    <t>FCACC-MAEST-04</t>
  </si>
  <si>
    <t>C-DETA-FAC-07</t>
  </si>
  <si>
    <t>FCAC-DET-MAES-08</t>
  </si>
  <si>
    <t>C-DETA-FAC-08</t>
  </si>
  <si>
    <t>RESOLUCION 2,26-2-ABC</t>
  </si>
  <si>
    <t>FCAC-DET-MAES-085</t>
  </si>
  <si>
    <t>contabilidad en ciencias abc</t>
  </si>
  <si>
    <t>FCACC-MAEST-05</t>
  </si>
  <si>
    <t>FCAC-DET-MAES-09</t>
  </si>
  <si>
    <t>ID_NIVE_DOC</t>
  </si>
  <si>
    <t>NOMBRE_DOCENTE</t>
  </si>
  <si>
    <t>IDENTIFICACION</t>
  </si>
  <si>
    <t>ID_MAESRIA</t>
  </si>
  <si>
    <t>FCACC-RED-01</t>
  </si>
  <si>
    <t>FCACC-RED-02</t>
  </si>
  <si>
    <t>BAYAS ZAMBRANO CARMEN MARIETA</t>
  </si>
  <si>
    <t>FCACC-RED-03</t>
  </si>
  <si>
    <t>FCACC-RED-04</t>
  </si>
  <si>
    <t>FCACC-RED-05</t>
  </si>
  <si>
    <t>ARAUZ CHAVEZ MARIO ROBERTO</t>
  </si>
  <si>
    <t>FCACC-RED-06</t>
  </si>
  <si>
    <t>FCACC-RED-07</t>
  </si>
  <si>
    <t>ALCIVAR VERA GEMA MICHELLE</t>
  </si>
  <si>
    <t>0</t>
  </si>
  <si>
    <t>FCACC-RED-08</t>
  </si>
  <si>
    <t>FCACC-RED-09</t>
  </si>
  <si>
    <t>HOLGUIN BRIONES AUDREY JACQUELINE</t>
  </si>
  <si>
    <t>PEÑA VÉLEZ ISAURA VANESSA</t>
  </si>
  <si>
    <t>FCACC-RED-10</t>
  </si>
  <si>
    <t>ID_DOCENTE</t>
  </si>
  <si>
    <t>DATOS_DOCENTE</t>
  </si>
  <si>
    <t>UNIDAD</t>
  </si>
  <si>
    <t>CORREO</t>
  </si>
  <si>
    <t>CELULAR</t>
  </si>
  <si>
    <t>ESTUDIO</t>
  </si>
  <si>
    <t>DEDICACION</t>
  </si>
  <si>
    <t>Modalidad_TH</t>
  </si>
  <si>
    <t>TIPO SANGRE</t>
  </si>
  <si>
    <t>ALARCON CHAVEZ CESAR RAUL</t>
  </si>
  <si>
    <t>ADMINISTRACION DE EMPRESA</t>
  </si>
  <si>
    <t>cesar.alarcon@uleam.edu.ec</t>
  </si>
  <si>
    <t>MAESTRÍA</t>
  </si>
  <si>
    <t>TC</t>
  </si>
  <si>
    <t>NOMBRAMIENTO</t>
  </si>
  <si>
    <t> </t>
  </si>
  <si>
    <t>ALCIVAR MERO MARIA JESSENIA</t>
  </si>
  <si>
    <t>mariaj.alcivar@uleam.edu.ec</t>
  </si>
  <si>
    <t>dahiana.alvia@uleam.edu.ec</t>
  </si>
  <si>
    <t>paola.balseca@uleam.edu.ec</t>
  </si>
  <si>
    <t>carmen.bayas@uleam.edu.ec</t>
  </si>
  <si>
    <t>CACERES LARREATEGUI ALBA LUCIA</t>
  </si>
  <si>
    <t>alba.caceres@uleam.edu.ec</t>
  </si>
  <si>
    <t>oscar.calderon@uleam.edu.ec</t>
  </si>
  <si>
    <t>CANO LARA EVELYN DYANN</t>
  </si>
  <si>
    <t>evelyn.cano@uleam.edu.ec</t>
  </si>
  <si>
    <t>DOCTORADO</t>
  </si>
  <si>
    <t>CEVALLOS ENRIQUEZ RODRIGO PAUL</t>
  </si>
  <si>
    <t>rodrigo.cevallos@uleam.edu.ec</t>
  </si>
  <si>
    <t>MT</t>
  </si>
  <si>
    <t>CRUZ MERA RAFER HENRY</t>
  </si>
  <si>
    <t>rafer.cruz@uleam.edu.ec</t>
  </si>
  <si>
    <t>FRANCO CHAVEZ MONICA ALEXANDRA</t>
  </si>
  <si>
    <t>monica.franco@uleam.edu.ec</t>
  </si>
  <si>
    <t>CONTRATOS OCASIONALES</t>
  </si>
  <si>
    <t>FRANCO RODRIGUEZ LUIS ENRIQUE</t>
  </si>
  <si>
    <t>luise.franco@uleam.edu.ec</t>
  </si>
  <si>
    <t>GARCIA LOOR ANA DEL ROCIO</t>
  </si>
  <si>
    <t>ana.garcia@uleam.edu.ec</t>
  </si>
  <si>
    <t>GUADAMUD VERA JESSICA GEOCONDA</t>
  </si>
  <si>
    <t>jessica.guadamud@uleam.edu.ec</t>
  </si>
  <si>
    <t>GUEVARA CAÑIZARES MARISSA ALEJANDRA</t>
  </si>
  <si>
    <t>marissa.guevara@uleam.edu.ec</t>
  </si>
  <si>
    <t>HEREDIA COPPIANO GENESIS ESTEFANIA</t>
  </si>
  <si>
    <t>genesis.heredia@uleam.edu.ec</t>
  </si>
  <si>
    <t>audrey.holguin@uleam.edu.ec</t>
  </si>
  <si>
    <t>MACIAS CATAGUA OTTO WAGNER</t>
  </si>
  <si>
    <t>otto.macias@uleam.edu.ec</t>
  </si>
  <si>
    <t>MARCILLO PIN KARLA ROSANNA</t>
  </si>
  <si>
    <t>karla.marcillo@uleam.edu.ec</t>
  </si>
  <si>
    <t>MENDOZA BRIONES AMADO ANTONIO</t>
  </si>
  <si>
    <t>amado.mendoza@uleam.edu.ec</t>
  </si>
  <si>
    <t>MERO MERO RUBEN DARIO</t>
  </si>
  <si>
    <t>ruben.mero@uleam.edu.ec</t>
  </si>
  <si>
    <t>MORANTE GALARZA JOSE LUIS</t>
  </si>
  <si>
    <t>jose.morante@uleam.edu.ec</t>
  </si>
  <si>
    <t>PIGUAVE PEREZ VICENTA ROCIO</t>
  </si>
  <si>
    <t>rocio.piguave@uleam.edu.ec</t>
  </si>
  <si>
    <t>RODRIGUEZ DURAN MIGUEL OSWALDO</t>
  </si>
  <si>
    <t>oswaldo.rodriguez@uleam.edu.ec</t>
  </si>
  <si>
    <t>SALCEDO LOOR HERNAN VLADIMIR</t>
  </si>
  <si>
    <t>hernan.salcedo@uleam.edu.ec</t>
  </si>
  <si>
    <t>SANTOS VELEZ MARIA BEATRIZ</t>
  </si>
  <si>
    <t>mariab.santos@uleam.edu.ec</t>
  </si>
  <si>
    <t>TORO LOOR RICHARD GONZALO</t>
  </si>
  <si>
    <t>richard.toro@uleam.edu.ec</t>
  </si>
  <si>
    <t>TRIVIÑO QUIJIJE JEFFERSON ALEXANDER</t>
  </si>
  <si>
    <t>alexander.trivino@uleam.edu.ec</t>
  </si>
  <si>
    <t>VELASCO DELGADO CARLOS ALBERTO</t>
  </si>
  <si>
    <t>carlos.velasco@uleam.edu.ec</t>
  </si>
  <si>
    <t>VELEZ CHAVEZ CARLOS ORLANDO</t>
  </si>
  <si>
    <t>carlos.velez@uleam.edu.ec</t>
  </si>
  <si>
    <t>VELEZ ROMERO XAVIER ALBERTO</t>
  </si>
  <si>
    <t>xavier.velez@uleam.edu.ec</t>
  </si>
  <si>
    <t>TP</t>
  </si>
  <si>
    <t>ZAMBRANO VERA MARIA FERNANDA</t>
  </si>
  <si>
    <t>mariaf.zambrano@uleam.edu.ec</t>
  </si>
  <si>
    <t>CALDERON ZAMORA MARJORIE JESSENIA</t>
  </si>
  <si>
    <t>marjorie.calderon@uleam.edu.ec</t>
  </si>
  <si>
    <t>CANO MURE ERNESTO RODOLFO</t>
  </si>
  <si>
    <t>ernesto.cano@uleam.edu.ec</t>
  </si>
  <si>
    <t>CUADROS OCAMPO CARMINA ISABEL</t>
  </si>
  <si>
    <t>carmina.cuadros@uleam.edu.ec</t>
  </si>
  <si>
    <t>FERNANDEZ ALAVA VANESSA GUADALUPE</t>
  </si>
  <si>
    <t>vanessa.fernandez@uleam.edu.ec</t>
  </si>
  <si>
    <t>INTRIAGO DURAN MARCOS VINICIO</t>
  </si>
  <si>
    <t>marcos.intriago@uleam.edu.ec</t>
  </si>
  <si>
    <t>LOOR MUÑOZ PRESLEY IDULFO</t>
  </si>
  <si>
    <t>presleyi.loor@uleam.edu.ec</t>
  </si>
  <si>
    <t>LOPEZ DELGADO RONALD MAURICIO</t>
  </si>
  <si>
    <t>ronald.lopez@uleam.edu.ec</t>
  </si>
  <si>
    <t>MENDOZA GARCIA JORGE GREGORIO</t>
  </si>
  <si>
    <t>jorge.mendoza@uleam.edu.ec</t>
  </si>
  <si>
    <t>NOMBRAMIENTO PROVISIONAL</t>
  </si>
  <si>
    <t>MENENDEZ DELGADO ERICK RODOLFO</t>
  </si>
  <si>
    <t>erik.menendez@uleam.edu.ec</t>
  </si>
  <si>
    <t>MENESES SALVADOR JUAN CARLOS</t>
  </si>
  <si>
    <t>juan.meneses@uleam.edu.ec</t>
  </si>
  <si>
    <t>MUÑOZ MACIAS KARLOS EDUARDO</t>
  </si>
  <si>
    <t>karlos.munoz@uleam.edu.ec</t>
  </si>
  <si>
    <t>PALACIO HANZE CARLOS LUIS</t>
  </si>
  <si>
    <t>carlos.palacio@uleam.edu.ec</t>
  </si>
  <si>
    <t>PARRAGA MOGROVEJO MAYRA IVETH</t>
  </si>
  <si>
    <t>mayra.parraga@uleam.edu.ec</t>
  </si>
  <si>
    <t>SANCHEZ ARTEAGA ALEX ALFONSO</t>
  </si>
  <si>
    <t>alex.sanchez@uleam.edu.ec</t>
  </si>
  <si>
    <t>VELEZ CEDEÑO JOHANNA GUADALUPE</t>
  </si>
  <si>
    <t>johanna.velez@uleam.edu.ec</t>
  </si>
  <si>
    <t>VELIZ INTRIAGO AMNUSKA KOYITO</t>
  </si>
  <si>
    <t>amnuska.veliz@uleam.edu.ec</t>
  </si>
  <si>
    <t>VERA SANTANA HUGO CARLOS</t>
  </si>
  <si>
    <t>hugo.vera@uleam.edu.ec</t>
  </si>
  <si>
    <t>ALCIVAR CEDEÑO BEATRIZ ISABEL</t>
  </si>
  <si>
    <t>CONTABILIDAD Y AUDITORIA</t>
  </si>
  <si>
    <t>beatriz.alcivar@uleam.edu.ec</t>
  </si>
  <si>
    <t>gemam.alcivar@uleam.edu.ec</t>
  </si>
  <si>
    <t>ANGULO MURILLO NAVIRA GISSELA</t>
  </si>
  <si>
    <t>navira.angulo@uleam.edu.ec</t>
  </si>
  <si>
    <t>BAILON LOURIDO WALTER ALBERTO</t>
  </si>
  <si>
    <t>walter.bailon@uleam.edu.ec</t>
  </si>
  <si>
    <t>CALDERERO VILLAGOMEZ ERICK ANTONIO</t>
  </si>
  <si>
    <t>erick.calderero@uleam.edu.ec</t>
  </si>
  <si>
    <t>CASTILLO GARCIA PAOLA GERMANIA</t>
  </si>
  <si>
    <t>paola.castillo@uleam.edu.ec</t>
  </si>
  <si>
    <t>CEDEÑO CHOEZ PEDRO JAVIER</t>
  </si>
  <si>
    <t>pedro.cedeno@uleam.edu.ec</t>
  </si>
  <si>
    <t>CEVALLOS HOPPE JUAN CARLOS</t>
  </si>
  <si>
    <t>juan.cevallos@uleam.edu.ec</t>
  </si>
  <si>
    <t>DELGADO CHAVEZ MARIA IRASEMA</t>
  </si>
  <si>
    <t>mariai.delgado@uleam.edu.ec</t>
  </si>
  <si>
    <t>NOMBRAMIENTO AUTORIDAD UNIVERS</t>
  </si>
  <si>
    <t>DUARTE VALENCIA CRISTHIAN DARIO</t>
  </si>
  <si>
    <t>cristhian.duarto@uleam.edu.ec</t>
  </si>
  <si>
    <t>FORTTY BARBERAN DENNY ALEXANDER</t>
  </si>
  <si>
    <t>alexander.fortty@uleam.edu.ec</t>
  </si>
  <si>
    <t>GUTIERREZ ZAMBRANO CARMEN EBELINA</t>
  </si>
  <si>
    <t>carmen.gutierrez@uleam.edu.ec</t>
  </si>
  <si>
    <t>HIDALGO AVILA ARGELIO ANTONIO</t>
  </si>
  <si>
    <t>argelio.hidalgo@uleam.edu.ec</t>
  </si>
  <si>
    <t>INTRIAGO MOLINA GEMA VALERIA</t>
  </si>
  <si>
    <t>gema.intriago@uleam.edu.ec</t>
  </si>
  <si>
    <t>LINO VELEZ LEONEL LIVINGTON</t>
  </si>
  <si>
    <t>leonell.lino@uleam.edu.ec</t>
  </si>
  <si>
    <t>LOOR ALCIVAR MARIA ILIANA</t>
  </si>
  <si>
    <t>maria.loor@uleam.edu.ec</t>
  </si>
  <si>
    <t>LOOR MIELES TANIA JACQUELINE</t>
  </si>
  <si>
    <t>tania.loor@uleam.edu.ec</t>
  </si>
  <si>
    <t>LOOR SOLORZANO ROSA MARIA</t>
  </si>
  <si>
    <t>rosam.loor@uleam.edu.ec</t>
  </si>
  <si>
    <t>MACÍAS UGALDE LEXANDRA TATIANA</t>
  </si>
  <si>
    <t>lexandra.macias@uleam.edu.ec</t>
  </si>
  <si>
    <t>MACIAS VALENCIA DAVID GABRIEL</t>
  </si>
  <si>
    <t>david.macias@uleam.edu.ec</t>
  </si>
  <si>
    <t>MENDOZA ZAMORA WALTER MANUEL</t>
  </si>
  <si>
    <t>walter.mendoza@uleam.edu.ec</t>
  </si>
  <si>
    <t>MOLINA CEVALLOS MARIA LORENA</t>
  </si>
  <si>
    <t>maria.molina@uleam.edu.ec</t>
  </si>
  <si>
    <t>MOREIRA LARGACHA JUAN MIGUEL</t>
  </si>
  <si>
    <t>miguel.moreira@uleam.edu.ec</t>
  </si>
  <si>
    <t>MURILLO DELGADO ISAAC GABRIEL</t>
  </si>
  <si>
    <t>isaac.murillo@uleam.edu.ec</t>
  </si>
  <si>
    <t>OCHOA SOLEDISPA NESTOR IVAN</t>
  </si>
  <si>
    <t>nestor.ochoa@uleam.edu.ec</t>
  </si>
  <si>
    <t>PARRAGA FRANCO SILVANA MARIELA</t>
  </si>
  <si>
    <t>silvana.parraga@uleam.edu.ec</t>
  </si>
  <si>
    <t>PINARGOTE VASQUEZ NANCY FABIOLA</t>
  </si>
  <si>
    <t>nancy.pinargote@uleam.edu.ec</t>
  </si>
  <si>
    <t>REYES VELEZ PEDRO ENRIQUE</t>
  </si>
  <si>
    <t>pedro.reyes@uleam.edu.ec</t>
  </si>
  <si>
    <t>SAN ANDRES HORMAZA DALLAS CECILIA</t>
  </si>
  <si>
    <t>dallas.sanandres@uleam.edu.ec</t>
  </si>
  <si>
    <t>juan.sornoza@uleam.edu.ec</t>
  </si>
  <si>
    <t>TOMALA PINTO JESUS JACINTO</t>
  </si>
  <si>
    <t>jesus.tomala@uleam.edu.ec</t>
  </si>
  <si>
    <t>TUBAY CEDEÑO BORIS RICARDO</t>
  </si>
  <si>
    <t>boris.tubay@uleam.edu.ec</t>
  </si>
  <si>
    <t>VALLE JARAMILLO SILVIA ARACELY</t>
  </si>
  <si>
    <t>silvia.valle@uleam.edu.ec</t>
  </si>
  <si>
    <t>VELÁSQUEZ BRAVO IRMA KATHERINE</t>
  </si>
  <si>
    <t>irma.velasquez@uleam.edu.ec</t>
  </si>
  <si>
    <t>VELEZ MENDOZA LAYSY VALERIA</t>
  </si>
  <si>
    <t>laysy.velez@uleam.edu.ec</t>
  </si>
  <si>
    <t>VINUEZA TELLO SHIRLEY ELIZABETH</t>
  </si>
  <si>
    <t>shirley.vinueza@uleam.edu.ec</t>
  </si>
  <si>
    <t>ZAMBRANO ALCIVAR NILDA ISABEL</t>
  </si>
  <si>
    <t>nilda.zambrano@uleam.edu.ec</t>
  </si>
  <si>
    <t>ZAMBRANO LOOR RITA MAYDA</t>
  </si>
  <si>
    <t>rita.zambrano@uleam.edu.ec</t>
  </si>
  <si>
    <t>ZAMBRANO VERA MONICA JANETH</t>
  </si>
  <si>
    <t>janeth.zambrano@uleam.edu.ec</t>
  </si>
  <si>
    <t>ANDRADE ALVARADO SONIA PATRICIA</t>
  </si>
  <si>
    <t>GESTION DE LA INFORMACION GERENCIAL</t>
  </si>
  <si>
    <t>patricia.andrade@uleam.edu.ec</t>
  </si>
  <si>
    <t>mario.arauz@uleam.edu.ec</t>
  </si>
  <si>
    <t>BARREIRO CEDEÑO ISABEL MONSERRATE</t>
  </si>
  <si>
    <t>isabel.barreiro@uleam.edu.ec</t>
  </si>
  <si>
    <t>BERMUDEZ VILLACRESES ROSA MAGDALENA</t>
  </si>
  <si>
    <t>magdalena.bermudez@uleam.edu.ec</t>
  </si>
  <si>
    <t>CAÑARTE RODRIGUEZ TANIA CECIBEL</t>
  </si>
  <si>
    <t>tania.canarte@uleam.edu.ec</t>
  </si>
  <si>
    <t>COVEÑA MENÉNDEZ JONATHAN KLEBER</t>
  </si>
  <si>
    <t>jonathan.covena@uleam.edu.ec</t>
  </si>
  <si>
    <t>GARAY VERA JULIA MARLENE</t>
  </si>
  <si>
    <t>julia.garay@uleam.edu.ec</t>
  </si>
  <si>
    <t>IDROVO FLORES PEDRO MANUEL</t>
  </si>
  <si>
    <t>pedro.idrovo@uleam.edu.ec</t>
  </si>
  <si>
    <t>LUNA CAICEDO MERCEDES MONICA</t>
  </si>
  <si>
    <t>monica.luna@uleam.edu.ec</t>
  </si>
  <si>
    <t>MERO DELGADO OSWALDO WALDEMAR</t>
  </si>
  <si>
    <t>oswaldo.mero@uleam.edu.ec</t>
  </si>
  <si>
    <t>PEÑAHERRERA VELEZ CINDY DEL CARMEN</t>
  </si>
  <si>
    <t>cindy.penaherrera@uleam.edu.ec</t>
  </si>
  <si>
    <t>QUIJIJE ZAMBRANO DIGNA MARGARITA</t>
  </si>
  <si>
    <t>digna.quijije@uleam.edu.ec</t>
  </si>
  <si>
    <t>RODRIGUEZ SANCHEZ JOHNNY GUSTAVO</t>
  </si>
  <si>
    <t>johnny.rodriguez@uleam.edu.ec</t>
  </si>
  <si>
    <t>ROJAS ONCE MERCY CELINDA</t>
  </si>
  <si>
    <t>mercy.rojas@uleam.edu.ec</t>
  </si>
  <si>
    <t>SALTOS ALAVA SONIA KARINA</t>
  </si>
  <si>
    <t>sonia.saltos@uleam.edu.ec</t>
  </si>
  <si>
    <t>VIDAL FERNANDEZ PABLO</t>
  </si>
  <si>
    <t>pablo.vidal@uleam.edu.ec</t>
  </si>
  <si>
    <t>ARAUZ CHAVEZ ANDREA ROBERTHA</t>
  </si>
  <si>
    <t>andrea.arauz@uleam.edu.ec</t>
  </si>
  <si>
    <t>ARIAS ARIAS ANA ELENA</t>
  </si>
  <si>
    <t>ana.arias@uleam.edu.ec</t>
  </si>
  <si>
    <t>BADUY MOLINA AARON LEONEL</t>
  </si>
  <si>
    <t>aaron.baduy@uleam.edu.ec</t>
  </si>
  <si>
    <t>BASURTO CEDEÑO XAVIER ALBERTO</t>
  </si>
  <si>
    <t>alberto.basurto@uleam.edu.ec</t>
  </si>
  <si>
    <t>CALDERON BAILON JOSE CALIXTO</t>
  </si>
  <si>
    <t>jose.calderon@uleam.edu.ec</t>
  </si>
  <si>
    <t>CARREÑO VILLAVICENCIO DIANEXY VIVIANA</t>
  </si>
  <si>
    <t>dianexy.carreno@uleam.edu.ec</t>
  </si>
  <si>
    <t>FARFAN TRIVIÑO HUGO ERNESTO</t>
  </si>
  <si>
    <t>hugo.farfan@uleam.edu.ec</t>
  </si>
  <si>
    <t>GRANDA GARCIA MARCO IVAN</t>
  </si>
  <si>
    <t>marco.granda@uleam.edu.ec</t>
  </si>
  <si>
    <t>HORMAZA VILLAFUERTE SANDY LISBETH</t>
  </si>
  <si>
    <t>sandy.hormaza@uleam.edu.ec</t>
  </si>
  <si>
    <t>JACOME SANTOS XAVIER IVAN</t>
  </si>
  <si>
    <t>xavier.jacome@uleam.edu.ec</t>
  </si>
  <si>
    <t>LOOR CHAVEZ TEMISTOCLES DEODATO</t>
  </si>
  <si>
    <t>deodato.loor@uleam.edu.ec</t>
  </si>
  <si>
    <t>LOOR MOREIRA ALEXANDRA JACQUELINE</t>
  </si>
  <si>
    <t>alexandra.loor@uleam.edu.ec</t>
  </si>
  <si>
    <t>LOPEZ LEONES CRISTHIAN JOSE</t>
  </si>
  <si>
    <t>cristhian.lopez@uleam.edu.ec</t>
  </si>
  <si>
    <t>MEJIA VASQUEZ PERICLES RAMON</t>
  </si>
  <si>
    <t>pericles.mejia@uleam.edu.ec</t>
  </si>
  <si>
    <t>MERO CHAVEZ ULISES FEDERICO</t>
  </si>
  <si>
    <t>ulises.mero@uleam.edu.ec</t>
  </si>
  <si>
    <t>MOLINA CEDEÑO JIMMY WILMER</t>
  </si>
  <si>
    <t>jimmy.molina@uleam.edu.ec</t>
  </si>
  <si>
    <t>MOLINA QUIROZ CLAUDIA ANALIA</t>
  </si>
  <si>
    <t>analia.molina@uleam.edu.ec</t>
  </si>
  <si>
    <t>MORAN QUIÑONEZ CARLOS JULIO</t>
  </si>
  <si>
    <t>carlos.moran@uleam.edu.ec</t>
  </si>
  <si>
    <t>PALACIOS BRIONES NURI LUPITA</t>
  </si>
  <si>
    <t>nuri.palacios@uleam.edu.ec</t>
  </si>
  <si>
    <t>vanessa.pena@uleam.edu.ec</t>
  </si>
  <si>
    <t>PINARGOTE MONTENEGRO KAREN GISELA</t>
  </si>
  <si>
    <t>karen.pinargote@uleam.edu.ec</t>
  </si>
  <si>
    <t>PONCE ANDRADE JOHNNY EDISON</t>
  </si>
  <si>
    <t>johnny.ponce@uleam.edu.ec</t>
  </si>
  <si>
    <t>SABANDO MENDOZA ESTELA ROSSANA</t>
  </si>
  <si>
    <t>estela.sabando@uleam.edu.ec</t>
  </si>
  <si>
    <t>SOLIS BRAVO HUGO ALFONSO</t>
  </si>
  <si>
    <t>hugo.solis@uleam.edu.ec</t>
  </si>
  <si>
    <t>VILLAFUERTE MUÑOZ WAGNER OSWALDO</t>
  </si>
  <si>
    <t>wagner.villafuerte@uleam.edu.ec</t>
  </si>
  <si>
    <t>VILLAMARIN VILLOTA WALTER HUMBERTO</t>
  </si>
  <si>
    <t>walter.villamarin@uleam.edu.ec</t>
  </si>
  <si>
    <t>ZAMBRANO PEÑARRIETA JOSSELYN JAMILETH</t>
  </si>
  <si>
    <t>josselynj.zambrano@uleam.edu.ec</t>
  </si>
  <si>
    <t>avelino.carrillo@uleam.eud.ec</t>
  </si>
  <si>
    <t>Suma de TOTAL</t>
  </si>
  <si>
    <t>(blank)</t>
  </si>
  <si>
    <t>03 GESTIÓN DE RIESGOS Y SINIESTROS (BR) Total</t>
  </si>
  <si>
    <t>BIENES RAICES Total</t>
  </si>
  <si>
    <t>ALCIVAR VERA GEMA MICHELLE Total</t>
  </si>
  <si>
    <t>04 ADMINISTRACIÓN DEL TALENTO HUMANO Total</t>
  </si>
  <si>
    <t>ADMINISTRACIÓN DE EMPRESAS Total</t>
  </si>
  <si>
    <t>ALVIA TOALA DAHIANA VALERIA Total</t>
  </si>
  <si>
    <t>CONTABILIDAD AVANZADA Total</t>
  </si>
  <si>
    <t>PLANIFICACIÓN Y DIRECCIÓN ESTRATÉGICA Total</t>
  </si>
  <si>
    <t>CONTABILIDAD Y ADITORÍA 2024 Total</t>
  </si>
  <si>
    <t>BALSECA MACIAS PAOLA ESTEFANIA Total</t>
  </si>
  <si>
    <t>CALDERON ZAMORA OSCAR XAVIER Total</t>
  </si>
  <si>
    <t>CARRILLO PICO FEDERICO AVELINO Total</t>
  </si>
  <si>
    <t>02 ADMINISTRACIÓN ESTRATÉGICA Total</t>
  </si>
  <si>
    <t>01 DERECHO APLICADO A LA GESTIÓN INMOBIIARIA (BR) Total</t>
  </si>
  <si>
    <t>(blank) Total</t>
  </si>
  <si>
    <t>04 EMPLEABILIDAD Y DESARROLLO PROFESIONAL (GTH) Total</t>
  </si>
  <si>
    <t>GESTIÓN DEL TALENTO HUMANO Total</t>
  </si>
  <si>
    <t>MACROECONOMÍA Total</t>
  </si>
  <si>
    <t>COMERCIO EXTERIOR Total</t>
  </si>
  <si>
    <t>SORNOZA ZAMORA JUAN CARLOS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</si>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</sst>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alignment wrapText="1"/>
    </dxf>
    <dxf>
      <numFmt numFmtId="0" formatCode="General"/>
    </dxf>
    <dxf>
      <numFmt numFmtId="0" formatCode="General"/>
    </dxf>
    <dxf>
      <alignment vertical="center" wrapText="1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8.717153124999" createdVersion="8" refreshedVersion="8" minRefreshableVersion="3" recordCount="17" xr:uid="{0504602F-B88E-40D3-B523-5985C24A1D4A}">
  <cacheSource type="worksheet">
    <worksheetSource name="Tabla1"/>
  </cacheSource>
  <cacheFields count="12">
    <cacheField name="CARRERA" numFmtId="0">
      <sharedItems containsBlank="1" count="8">
        <s v="BIENES RAICES"/>
        <s v="COMERCIO EXTERIOR"/>
        <s v="MARKETING"/>
        <s v="ADMINISTRACIÓN DE EMPRESAS"/>
        <s v="CONTABILIDAD Y ADITORÍA 2024"/>
        <s v="GESTION DE LA INFORMACIÓN GERENCIA - 2024"/>
        <s v="GESTIÓN DEL TALENTO HUMANO"/>
        <m u="1"/>
      </sharedItems>
    </cacheField>
    <cacheField name="ID_CARRERA" numFmtId="0">
      <sharedItems/>
    </cacheField>
    <cacheField name="NIVEL" numFmtId="0">
      <sharedItems containsString="0" containsBlank="1" containsNumber="1" containsInteger="1" minValue="1" maxValue="8"/>
    </cacheField>
    <cacheField name="PARALELO" numFmtId="0">
      <sharedItems containsBlank="1" count="3">
        <s v="A"/>
        <m/>
        <s v="B"/>
      </sharedItems>
    </cacheField>
    <cacheField name="ASIGNATURA" numFmtId="0">
      <sharedItems containsBlank="1" count="17">
        <s v="CONTABILIDAD AVANZADA"/>
        <s v="03 GESTIÓN DE RIESGOS Y SINIESTROS (BR)"/>
        <s v="MACROECONOMÍA"/>
        <s v="GESTIÓN DOCUMENTAL Y ARCHIVÍSTICA"/>
        <s v="04 ADMINISTRACIÓN DEL TALENTO HUMANO"/>
        <s v="PLANIFICACIÓN Y DIRECCIÓN ESTRATÉGICA"/>
        <s v="BUSINESS ENGLISH"/>
        <s v="04 EMPLEABILIDAD Y DESARROLLO PROFESIONAL (GTH)"/>
        <s v="HERRAMIENTAS DIGITALES AVANZADAS PARA LA GESTIÓN  DE INFORMACIÓN"/>
        <s v="BUSINESS INTELLIGENCE"/>
        <s v="02 ADMINISTRACIÓN ESTRATÉGICA"/>
        <s v="01 DERECHO APLICADO A LA GESTIÓN INMOBIIARIA (BR)"/>
        <m/>
        <s v="04 ANÁLISIS E INVESTIGACIÓN DE INVENTARIOS" u="1"/>
        <s v="SISTEMA DE INFORMACIÓN DIGITAL" u="1"/>
        <s v="GESTION DE PROCESOS II" u="1"/>
        <s v="04 PLANIFICACIÓN DEL DESARROLLO URBANO (BR)" u="1"/>
      </sharedItems>
    </cacheField>
    <cacheField name="CAMPO" numFmtId="0">
      <sharedItems/>
    </cacheField>
    <cacheField name="HORAS" numFmtId="0">
      <sharedItems containsSemiMixedTypes="0" containsString="0" containsNumber="1" containsInteger="1" minValue="0" maxValue="10"/>
    </cacheField>
    <cacheField name="COMPLEMENTARIA" numFmtId="2">
      <sharedItems containsNonDate="0" containsString="0" containsBlank="1"/>
    </cacheField>
    <cacheField name="TOTAL" numFmtId="2">
      <sharedItems containsSemiMixedTypes="0" containsString="0" containsNumber="1" containsInteger="1" minValue="0" maxValue="10"/>
    </cacheField>
    <cacheField name="NOMBRE_DOCENT" numFmtId="0">
      <sharedItems containsBlank="1" count="8">
        <s v="BALSECA MACIAS PAOLA ESTEFANIA"/>
        <s v="ALCIVAR VERA GEMA MICHELLE"/>
        <s v="SORNOZA ZAMORA JUAN CARLOS"/>
        <s v="CALDERON ZAMORA OSCAR XAVIER"/>
        <s v="ALVIA TOALA DAHIANA VALERIA"/>
        <m/>
        <s v="CARRILLO PICO FEDERICO AVELINO"/>
        <s v="BAYAS ZAMBRANO CARMEN MARIETA" u="1"/>
      </sharedItems>
    </cacheField>
    <cacheField name="TOTAL_HORAS_DOCENTE" numFmtId="0">
      <sharedItems containsSemiMixedTypes="0" containsString="0" containsNumber="1" containsInteger="1" minValue="0" maxValue="10"/>
    </cacheField>
    <cacheField name="CEDULA_DOCENTE" numFmtId="0">
      <sharedItems containsMixedTypes="1" containsNumber="1" containsInteger="1" minValue="1308397239" maxValue="13134361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2026-FCACC-3"/>
    <n v="3"/>
    <x v="0"/>
    <x v="0"/>
    <s v="No existe información"/>
    <n v="0"/>
    <m/>
    <n v="0"/>
    <x v="0"/>
    <n v="3"/>
    <n v="1308397239"/>
  </r>
  <r>
    <x v="0"/>
    <s v="2026-FCACC-3"/>
    <n v="4"/>
    <x v="1"/>
    <x v="1"/>
    <s v="No existe información"/>
    <n v="0"/>
    <m/>
    <n v="0"/>
    <x v="1"/>
    <n v="0"/>
    <n v="1313436188"/>
  </r>
  <r>
    <x v="1"/>
    <s v="2026-FCACC-4"/>
    <n v="4"/>
    <x v="1"/>
    <x v="2"/>
    <s v="INFORMATICA"/>
    <n v="5"/>
    <m/>
    <n v="5"/>
    <x v="2"/>
    <n v="10"/>
    <n v="1311778698"/>
  </r>
  <r>
    <x v="2"/>
    <s v="2026-FCACC-9"/>
    <n v="4"/>
    <x v="0"/>
    <x v="3"/>
    <s v="No existe información"/>
    <n v="10"/>
    <m/>
    <n v="10"/>
    <x v="3"/>
    <n v="10"/>
    <n v="1310729676"/>
  </r>
  <r>
    <x v="3"/>
    <s v="2026-FCACC-1"/>
    <n v="4"/>
    <x v="1"/>
    <x v="4"/>
    <s v="DERECHO, CIENCIAS SOCIALES"/>
    <n v="4"/>
    <m/>
    <n v="4"/>
    <x v="4"/>
    <n v="4"/>
    <n v="1312179292"/>
  </r>
  <r>
    <x v="4"/>
    <s v="2026-FCACC-5"/>
    <n v="4"/>
    <x v="1"/>
    <x v="5"/>
    <s v="No existe información"/>
    <n v="3"/>
    <m/>
    <n v="3"/>
    <x v="0"/>
    <n v="3"/>
    <n v="1308397239"/>
  </r>
  <r>
    <x v="4"/>
    <s v="2026-FCACC-5"/>
    <n v="3"/>
    <x v="2"/>
    <x v="0"/>
    <s v="ADMINISTRACION DE EMPRESAS, contaabilidad avanzada"/>
    <n v="5"/>
    <m/>
    <n v="5"/>
    <x v="2"/>
    <n v="10"/>
    <n v="1311778698"/>
  </r>
  <r>
    <x v="5"/>
    <s v="2026-FCACC-7"/>
    <n v="8"/>
    <x v="1"/>
    <x v="6"/>
    <s v="No existe información"/>
    <n v="4"/>
    <m/>
    <n v="4"/>
    <x v="5"/>
    <n v="0"/>
    <e v="#N/A"/>
  </r>
  <r>
    <x v="6"/>
    <s v="2026-FCACC-8"/>
    <n v="4"/>
    <x v="1"/>
    <x v="7"/>
    <s v="No existe información"/>
    <n v="4"/>
    <m/>
    <n v="4"/>
    <x v="5"/>
    <n v="0"/>
    <e v="#N/A"/>
  </r>
  <r>
    <x v="5"/>
    <s v="2026-FCACC-7"/>
    <n v="4"/>
    <x v="1"/>
    <x v="8"/>
    <s v="INFORMATICA"/>
    <n v="5"/>
    <m/>
    <n v="5"/>
    <x v="6"/>
    <n v="5"/>
    <n v="1311778458"/>
  </r>
  <r>
    <x v="5"/>
    <s v="2026-FCACC-7"/>
    <n v="8"/>
    <x v="1"/>
    <x v="9"/>
    <s v="No existe información"/>
    <n v="4"/>
    <m/>
    <n v="4"/>
    <x v="5"/>
    <n v="0"/>
    <e v="#N/A"/>
  </r>
  <r>
    <x v="3"/>
    <s v="2026-FCACC-1"/>
    <n v="2"/>
    <x v="1"/>
    <x v="10"/>
    <s v="No existe información"/>
    <n v="4"/>
    <m/>
    <n v="4"/>
    <x v="5"/>
    <n v="0"/>
    <e v="#N/A"/>
  </r>
  <r>
    <x v="0"/>
    <s v="2026-FCACC-3"/>
    <n v="1"/>
    <x v="1"/>
    <x v="11"/>
    <s v="No existe información"/>
    <n v="3"/>
    <m/>
    <n v="3"/>
    <x v="5"/>
    <n v="0"/>
    <e v="#N/A"/>
  </r>
  <r>
    <x v="0"/>
    <s v="2026-FCACC-3"/>
    <m/>
    <x v="1"/>
    <x v="12"/>
    <s v="No existe información"/>
    <n v="0"/>
    <m/>
    <n v="0"/>
    <x v="5"/>
    <n v="0"/>
    <e v="#N/A"/>
  </r>
  <r>
    <x v="0"/>
    <s v="2026-FCACC-3"/>
    <m/>
    <x v="1"/>
    <x v="12"/>
    <s v="No existe información"/>
    <n v="0"/>
    <m/>
    <n v="0"/>
    <x v="5"/>
    <n v="0"/>
    <e v="#N/A"/>
  </r>
  <r>
    <x v="0"/>
    <s v="2026-FCACC-3"/>
    <m/>
    <x v="1"/>
    <x v="12"/>
    <s v="No existe información"/>
    <n v="0"/>
    <m/>
    <n v="0"/>
    <x v="5"/>
    <n v="0"/>
    <e v="#N/A"/>
  </r>
  <r>
    <x v="0"/>
    <s v="2026-FCACC-3"/>
    <m/>
    <x v="1"/>
    <x v="12"/>
    <s v="No existe información"/>
    <n v="0"/>
    <m/>
    <n v="0"/>
    <x v="5"/>
    <n v="0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FADE5-30E4-4A5D-805B-3A65C843F52E}" name="Tabla dinámica1" cacheId="3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E42" firstHeaderRow="1" firstDataRow="1" firstDataCol="4"/>
  <pivotFields count="12">
    <pivotField axis="axisRow" compact="0" outline="0" showAll="0">
      <items count="9">
        <item x="3"/>
        <item x="0"/>
        <item x="1"/>
        <item x="4"/>
        <item sd="0" x="5"/>
        <item x="6"/>
        <item sd="0" x="2"/>
        <item m="1" x="7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18">
        <item x="11"/>
        <item x="10"/>
        <item x="4"/>
        <item x="7"/>
        <item m="1" x="16"/>
        <item x="6"/>
        <item x="9"/>
        <item m="1" x="15"/>
        <item x="3"/>
        <item x="8"/>
        <item x="2"/>
        <item x="5"/>
        <item m="1" x="14"/>
        <item x="12"/>
        <item m="1" x="1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2" outline="0" showAll="0"/>
    <pivotField axis="axisRow" compact="0" outline="0" showAll="0">
      <items count="9">
        <item x="1"/>
        <item x="4"/>
        <item x="0"/>
        <item m="1" x="7"/>
        <item x="3"/>
        <item x="6"/>
        <item x="5"/>
        <item x="2"/>
        <item t="default"/>
      </items>
    </pivotField>
    <pivotField compact="0" outline="0" showAll="0"/>
    <pivotField compact="0" outline="0" showAll="0"/>
  </pivotFields>
  <rowFields count="4">
    <field x="9"/>
    <field x="0"/>
    <field x="4"/>
    <field x="3"/>
  </rowFields>
  <rowItems count="40">
    <i>
      <x/>
      <x v="1"/>
      <x v="15"/>
      <x/>
    </i>
    <i t="default" r="2">
      <x v="15"/>
    </i>
    <i t="default" r="1">
      <x v="1"/>
    </i>
    <i t="default">
      <x/>
    </i>
    <i>
      <x v="1"/>
      <x/>
      <x v="2"/>
      <x/>
    </i>
    <i t="default" r="2">
      <x v="2"/>
    </i>
    <i t="default" r="1">
      <x/>
    </i>
    <i t="default">
      <x v="1"/>
    </i>
    <i>
      <x v="2"/>
      <x v="1"/>
      <x v="16"/>
      <x v="1"/>
    </i>
    <i t="default" r="2">
      <x v="16"/>
    </i>
    <i t="default" r="1">
      <x v="1"/>
    </i>
    <i r="1">
      <x v="3"/>
      <x v="11"/>
      <x/>
    </i>
    <i t="default" r="2">
      <x v="11"/>
    </i>
    <i t="default" r="1">
      <x v="3"/>
    </i>
    <i t="default">
      <x v="2"/>
    </i>
    <i>
      <x v="4"/>
      <x v="6"/>
    </i>
    <i t="default">
      <x v="4"/>
    </i>
    <i>
      <x v="5"/>
      <x v="4"/>
    </i>
    <i t="default">
      <x v="5"/>
    </i>
    <i>
      <x v="6"/>
      <x/>
      <x v="1"/>
      <x/>
    </i>
    <i t="default" r="2">
      <x v="1"/>
    </i>
    <i t="default" r="1">
      <x/>
    </i>
    <i r="1">
      <x v="1"/>
      <x/>
      <x/>
    </i>
    <i t="default" r="2">
      <x/>
    </i>
    <i r="2">
      <x v="13"/>
      <x/>
    </i>
    <i t="default" r="2">
      <x v="13"/>
    </i>
    <i t="default" r="1">
      <x v="1"/>
    </i>
    <i r="1">
      <x v="4"/>
    </i>
    <i r="1">
      <x v="5"/>
      <x v="3"/>
      <x/>
    </i>
    <i t="default" r="2">
      <x v="3"/>
    </i>
    <i t="default" r="1">
      <x v="5"/>
    </i>
    <i t="default">
      <x v="6"/>
    </i>
    <i>
      <x v="7"/>
      <x v="2"/>
      <x v="10"/>
      <x/>
    </i>
    <i t="default" r="2">
      <x v="10"/>
    </i>
    <i t="default" r="1">
      <x v="2"/>
    </i>
    <i r="1">
      <x v="3"/>
      <x v="16"/>
      <x v="2"/>
    </i>
    <i t="default" r="2">
      <x v="16"/>
    </i>
    <i t="default" r="1">
      <x v="3"/>
    </i>
    <i t="default">
      <x v="7"/>
    </i>
    <i t="grand">
      <x/>
    </i>
  </rowItems>
  <colItems count="1">
    <i/>
  </colItems>
  <dataFields count="1">
    <dataField name="Suma de TOTAL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507B726-61FF-49A9-A0EF-AC4C93AF941D}" autoFormatId="16" applyNumberFormats="0" applyBorderFormats="0" applyFontFormats="0" applyPatternFormats="0" applyAlignmentFormats="0" applyWidthHeightFormats="0">
  <queryTableRefresh nextId="3">
    <queryTableFields count="2">
      <queryTableField id="1" name="ID_CARRERA" tableColumnId="1"/>
      <queryTableField id="2" name="NOMBRE_CARRERA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DB2B2F-135A-4870-A4E5-A88B6F6E75D6}" autoFormatId="16" applyNumberFormats="0" applyBorderFormats="0" applyFontFormats="0" applyPatternFormats="0" applyAlignmentFormats="0" applyWidthHeightFormats="0">
  <queryTableRefresh nextId="6">
    <queryTableFields count="5">
      <queryTableField id="1" name="ID_ASIG" tableColumnId="1"/>
      <queryTableField id="2" name="NOM_ASIG" tableColumnId="2"/>
      <queryTableField id="3" name="HORAS" tableColumnId="3"/>
      <queryTableField id="4" name="ID_CARRERA" tableColumnId="4"/>
      <queryTableField id="5" name="ID_NIVE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C2973304-6668-4C7D-ADA3-189444997206}" autoFormatId="16" applyNumberFormats="0" applyBorderFormats="0" applyFontFormats="0" applyPatternFormats="0" applyAlignmentFormats="0" applyWidthHeightFormats="0">
  <queryTableRefresh nextId="5">
    <queryTableFields count="4">
      <queryTableField id="1" name="CARRERA" tableColumnId="1"/>
      <queryTableField id="2" name="NIVEL" tableColumnId="2"/>
      <queryTableField id="3" name="ASIGNATURA" tableColumnId="3"/>
      <queryTableField id="4" name="DETALLAD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04A61DD-2BBA-465F-B18E-989901EE563A}" autoFormatId="16" applyNumberFormats="0" applyBorderFormats="0" applyFontFormats="0" applyPatternFormats="0" applyAlignmentFormats="0" applyWidthHeightFormats="0">
  <queryTableRefresh nextId="6">
    <queryTableFields count="5">
      <queryTableField id="1" name="ID_DET_MAEST" tableColumnId="1"/>
      <queryTableField id="2" name="MAESTRIA" tableColumnId="2"/>
      <queryTableField id="3" name="ID_MAESTRIA" tableColumnId="3"/>
      <queryTableField id="4" name="CAMPO_DETALLADO" tableColumnId="4"/>
      <queryTableField id="5" name="ID_DETALLADO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696CBCF9-CAE2-417A-8FF4-85E4CC40AE9B}" autoFormatId="16" applyNumberFormats="0" applyBorderFormats="0" applyFontFormats="0" applyPatternFormats="0" applyAlignmentFormats="0" applyWidthHeightFormats="0">
  <queryTableRefresh nextId="6">
    <queryTableFields count="5">
      <queryTableField id="1" name="ID_NIVE_DOC" tableColumnId="1"/>
      <queryTableField id="2" name="NOMBRE_DOCENTE" tableColumnId="2"/>
      <queryTableField id="3" name="IDENTIFICACION" tableColumnId="3"/>
      <queryTableField id="4" name="MAESTRIA" tableColumnId="4"/>
      <queryTableField id="5" name="ID_MAESRIA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C6F409F2-2A65-46AD-A1D2-E77A061E9054}" autoFormatId="16" applyNumberFormats="0" applyBorderFormats="0" applyFontFormats="0" applyPatternFormats="0" applyAlignmentFormats="0" applyWidthHeightFormats="0">
  <queryTableRefresh nextId="10">
    <queryTableFields count="9">
      <queryTableField id="1" name="ID_DOCENTE" tableColumnId="1"/>
      <queryTableField id="2" name="DATOS_DOCENTE" tableColumnId="2"/>
      <queryTableField id="3" name="UNIDAD" tableColumnId="3"/>
      <queryTableField id="4" name="CORREO" tableColumnId="4"/>
      <queryTableField id="5" name="CELULAR" tableColumnId="5"/>
      <queryTableField id="6" name="ESTUDIO" tableColumnId="6"/>
      <queryTableField id="7" name="DEDICACION" tableColumnId="7"/>
      <queryTableField id="8" name="Modalidad_TH" tableColumnId="8"/>
      <queryTableField id="9" name="TIPO SANGR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ED29E-8FBF-4A13-B5D1-840498A967A7}" name="Tabla1" displayName="Tabla1" ref="A1:Q23" totalsRowShown="0" headerRowDxfId="10">
  <autoFilter ref="A1:Q23" xr:uid="{68BED29E-8FBF-4A13-B5D1-840498A967A7}"/>
  <tableColumns count="17">
    <tableColumn id="1" xr3:uid="{68091A46-C844-44E7-98AD-7AAAF99FC1D3}" name="CARRERA"/>
    <tableColumn id="7" xr3:uid="{BF67D830-980C-4995-9DB0-3B58FA0CE705}" name="ID_CARRERA" dataDxfId="9">
      <calculatedColumnFormula>_xlfn.XLOOKUP(Tabla1[[#This Row],[CARRERA]],T_CARREAS1[NOMBRE_CARRERA],T_CARREAS1[ID_CARRERA])</calculatedColumnFormula>
    </tableColumn>
    <tableColumn id="2" xr3:uid="{51ACFC0D-9465-4E6A-936B-F1F8082CC836}" name="NIVEL" dataDxfId="8">
      <calculatedColumnFormula array="1">INDIRECT(A2)</calculatedColumnFormula>
    </tableColumn>
    <tableColumn id="4" xr3:uid="{022795CA-9A8F-42B6-9AC7-E497E6473358}" name="PARALELO"/>
    <tableColumn id="3" xr3:uid="{01A994F6-C306-4896-9709-1B4D7A432170}" name="ASIGNATURA"/>
    <tableColumn id="9" xr3:uid="{0FD5AA64-C5B7-431F-BD20-EC23E04104E5}" name="CAMPO" dataDxfId="7">
      <calculatedColumnFormula array="1">_xlfn.TEXTJOIN(", ",TRUE,TRANSPOSE(_xlfn.UNIQUE(_xlfn._xlws.FILTER(Tabla3[DETALLADO],(Tabla3[NIVEL]=ASIGNACION!$C2)*(Tabla3[CARRERA]=ASIGNACION!$A2)*(Tabla3[ASIGNATURA]=ASIGNACION!$E2),"No existe información"))))</calculatedColumnFormula>
    </tableColumn>
    <tableColumn id="14" xr3:uid="{A8839E5A-A0EE-42EC-9DB1-8043640638F5}" name="AFINIDAD" dataDxfId="6"/>
    <tableColumn id="5" xr3:uid="{0D02E2A2-BC1D-47DA-9B6E-3D098638D421}" name="HORAS" dataDxfId="5">
      <calculatedColumnFormula array="1">_xlfn.SINGLE(_xlfn.XLOOKUP(1,(T_ASIGNATURA1[ID_CARRERA]=Tabla1[[#This Row],[CARRERA]])*(T_ASIGNATURA1[NOM_ASIG]=Tabla1[[#This Row],[ASIGNATURA]])*(T_ASIGNATURA1[ID_NIVEL]=Tabla1[[#This Row],[NIVEL]]),T_ASIGNATURA1[HORAS],0))</calculatedColumnFormula>
    </tableColumn>
    <tableColumn id="15" xr3:uid="{155FEC5E-E117-4909-B981-226477FC0113}" name="# SEMANAS"/>
    <tableColumn id="16" xr3:uid="{8CF77220-6747-4D2D-955F-089E297B65E6}" name="HORAS_SEMANAS" dataDxfId="4">
      <calculatedColumnFormula>+Tabla1[[#This Row],['# SEMANAS]]*Tabla1[[#This Row],[HORAS]]</calculatedColumnFormula>
    </tableColumn>
    <tableColumn id="17" xr3:uid="{5050D809-814B-4AA1-B1BD-D083FB3C0347}" name="H.ADI_01"/>
    <tableColumn id="18" xr3:uid="{792D631C-F26F-49C8-A2FB-4AF573239CDC}" name="H.ADI_02"/>
    <tableColumn id="10" xr3:uid="{BC5DB0A3-0155-4169-AF63-D3A468ABCDD8}" name="H.INVESTIGACION" dataDxfId="3"/>
    <tableColumn id="11" xr3:uid="{81570C96-98B2-4912-B34F-A18ED2513B48}" name="TOTAL" dataDxfId="2">
      <calculatedColumnFormula>+Tabla1[[#This Row],[H.INVESTIGACION]]+Tabla1[[#This Row],[H.ADI_02]]+Tabla1[[#This Row],[H.ADI_01]]+Tabla1[[#This Row],[HORAS_SEMANAS]]</calculatedColumnFormula>
    </tableColumn>
    <tableColumn id="8" xr3:uid="{B8FE5E8B-DE1A-4724-9C88-B0ED5BAC51B6}" name="NOMBRE_DOCENT"/>
    <tableColumn id="12" xr3:uid="{1DA3744D-7841-4828-B63C-94768F2D7EAB}" name="TOTAL_HORAS_DOCENTE" dataDxfId="1">
      <calculatedColumnFormula>SUMIF($O:$O, O2, $N:$N)</calculatedColumnFormula>
    </tableColumn>
    <tableColumn id="6" xr3:uid="{A25CCF6B-4487-44A1-8089-D8B28019D958}" name="CEDULA_DOCENTE" dataDxfId="0">
      <calculatedColumnFormula>_xlfn.XLOOKUP(Tabla1[[#This Row],[NOMBRE_DOCENT]],Tabla1__3[DATOS_DOCENTE],Tabla1__3[ID_DOCENTE])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409693-0573-436A-915A-E4939AD880DE}" name="T_CARREAS1" displayName="T_CARREAS1" ref="A1:B10" tableType="queryTable" totalsRowShown="0">
  <autoFilter ref="A1:B10" xr:uid="{82409693-0573-436A-915A-E4939AD880DE}"/>
  <tableColumns count="2">
    <tableColumn id="1" xr3:uid="{DA01937A-7FCB-4F09-AFB6-E603C9C26C3F}" uniqueName="1" name="ID_CARRERA" queryTableFieldId="1"/>
    <tableColumn id="2" xr3:uid="{D75FF629-BBFF-4DC7-B5F5-5CF871BFA968}" uniqueName="2" name="NOMBRE_CARRERA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4A2EC8-CFD4-4EB0-AA69-82742AD819F0}" name="T_ASIGNATURA1" displayName="T_ASIGNATURA1" ref="A1:E319" tableType="queryTable" totalsRowShown="0">
  <autoFilter ref="A1:E319" xr:uid="{5B4A2EC8-CFD4-4EB0-AA69-82742AD819F0}"/>
  <tableColumns count="5">
    <tableColumn id="1" xr3:uid="{84A5BEFB-BDBB-492D-9C11-9CEBB5370EDC}" uniqueName="1" name="ID_ASIG" queryTableFieldId="1"/>
    <tableColumn id="2" xr3:uid="{92A8FE6A-363F-4DB3-A2CB-9B6FB0DD82E0}" uniqueName="2" name="NOM_ASIG" queryTableFieldId="2"/>
    <tableColumn id="3" xr3:uid="{F66C58BD-1BF1-4DF8-B6BF-84823FA04858}" uniqueName="3" name="HORAS" queryTableFieldId="3"/>
    <tableColumn id="4" xr3:uid="{72E12E2F-24BC-4A82-AC48-72E17C71D7B8}" uniqueName="4" name="ID_CARRERA" queryTableFieldId="4"/>
    <tableColumn id="5" xr3:uid="{5ACE4160-BF4C-4A33-8E23-A9AA896CAE21}" uniqueName="5" name="ID_NIVEL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05EA97-86CC-4351-A40E-FB9CA3F79AE9}" name="Tabla3" displayName="Tabla3" ref="A1:D17" tableType="queryTable" totalsRowShown="0">
  <autoFilter ref="A1:D17" xr:uid="{6B05EA97-86CC-4351-A40E-FB9CA3F79AE9}"/>
  <tableColumns count="4">
    <tableColumn id="1" xr3:uid="{662E13A3-FF05-4BDB-BB0E-E329B5989A5C}" uniqueName="1" name="CARRERA" queryTableFieldId="1"/>
    <tableColumn id="2" xr3:uid="{883FC3E2-C46C-45C4-B705-362162DE1A10}" uniqueName="2" name="NIVEL" queryTableFieldId="2"/>
    <tableColumn id="3" xr3:uid="{5419402D-560F-4652-8B15-9FEF972AEF32}" uniqueName="3" name="ASIGNATURA" queryTableFieldId="3"/>
    <tableColumn id="4" xr3:uid="{A109B5BF-946A-493D-B0AD-B39374A58E59}" uniqueName="4" name="DETALLADO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C84085-389F-4E1F-AF24-2E6005295A6C}" name="Tabla1_1" displayName="Tabla1_1" ref="A1:E12" tableType="queryTable" totalsRowShown="0">
  <autoFilter ref="A1:E12" xr:uid="{EDC84085-389F-4E1F-AF24-2E6005295A6C}"/>
  <tableColumns count="5">
    <tableColumn id="1" xr3:uid="{47D00A69-32F1-41D1-A487-590672ABDD2A}" uniqueName="1" name="ID_DET_MAEST" queryTableFieldId="1"/>
    <tableColumn id="2" xr3:uid="{1A9A428C-E962-4864-A6BA-C33471F33EF5}" uniqueName="2" name="MAESTRIA" queryTableFieldId="2"/>
    <tableColumn id="3" xr3:uid="{B7495AC1-4779-4A10-BCF2-56F1B92B6BEA}" uniqueName="3" name="ID_MAESTRIA" queryTableFieldId="3"/>
    <tableColumn id="4" xr3:uid="{E23CD5B0-F3EA-4444-8F51-1889BA1B1F81}" uniqueName="4" name="CAMPO_DETALLADO" queryTableFieldId="4"/>
    <tableColumn id="5" xr3:uid="{6E4AE2C4-7245-4A41-A07C-586BC3B8179E}" uniqueName="5" name="ID_DETALLADO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D25AA0-6D68-4C0E-9C1B-E0CEFC54BCED}" name="Tabla1__2" displayName="Tabla1__2" ref="A1:E16" tableType="queryTable" totalsRowShown="0">
  <autoFilter ref="A1:E16" xr:uid="{2DD25AA0-6D68-4C0E-9C1B-E0CEFC54BCED}"/>
  <tableColumns count="5">
    <tableColumn id="1" xr3:uid="{B6F42990-C71F-4FF8-99EA-3DDF4420BCD5}" uniqueName="1" name="ID_NIVE_DOC" queryTableFieldId="1"/>
    <tableColumn id="2" xr3:uid="{ED67398B-54B3-4D01-BC4A-9F6FFDBDB30F}" uniqueName="2" name="NOMBRE_DOCENTE" queryTableFieldId="2"/>
    <tableColumn id="3" xr3:uid="{2CB70981-DA7C-4DE8-B6E3-89D8989EAFBD}" uniqueName="3" name="IDENTIFICACION" queryTableFieldId="3"/>
    <tableColumn id="4" xr3:uid="{C18DCB29-8D4B-4D02-B16E-7B9F4C79CF24}" uniqueName="4" name="MAESTRIA" queryTableFieldId="4"/>
    <tableColumn id="5" xr3:uid="{E1F9A961-81CF-40CA-B973-46047703E3B7}" uniqueName="5" name="ID_MAESRIA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BFCD47-DE97-4A07-9B21-F406138C9137}" name="Tabla1__3" displayName="Tabla1__3" ref="A1:I133" tableType="queryTable" totalsRowShown="0">
  <autoFilter ref="A1:I133" xr:uid="{D7BFCD47-DE97-4A07-9B21-F406138C9137}"/>
  <tableColumns count="9">
    <tableColumn id="1" xr3:uid="{FBFDF22B-BA22-4EF5-A864-44574E8ED0D5}" uniqueName="1" name="ID_DOCENTE" queryTableFieldId="1"/>
    <tableColumn id="2" xr3:uid="{E0927D2F-F4EC-4445-9F52-026EEFAB41F9}" uniqueName="2" name="DATOS_DOCENTE" queryTableFieldId="2"/>
    <tableColumn id="3" xr3:uid="{84F1FE56-6833-493D-BA06-228CE9049952}" uniqueName="3" name="UNIDAD" queryTableFieldId="3"/>
    <tableColumn id="4" xr3:uid="{AF9E3389-DE60-4CFC-A119-257CEAAAF693}" uniqueName="4" name="CORREO" queryTableFieldId="4"/>
    <tableColumn id="5" xr3:uid="{614658E8-F38E-4157-AB88-F9CB3D04BFA8}" uniqueName="5" name="CELULAR" queryTableFieldId="5"/>
    <tableColumn id="6" xr3:uid="{085507EB-D734-4288-85D7-DB785629EE49}" uniqueName="6" name="ESTUDIO" queryTableFieldId="6"/>
    <tableColumn id="7" xr3:uid="{E2F6607D-83E6-40BC-8D60-D811EDE0875E}" uniqueName="7" name="DEDICACION" queryTableFieldId="7"/>
    <tableColumn id="8" xr3:uid="{89FC33D2-9BD9-46F8-B6D1-46829F048D5D}" uniqueName="8" name="Modalidad_TH" queryTableFieldId="8"/>
    <tableColumn id="9" xr3:uid="{D51150F5-BBDA-4F75-9BF2-B383B03CA4A9}" uniqueName="9" name="TIPO SANGR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0ABA-E70A-49AD-A31B-3346F39ADF60}">
  <dimension ref="A2:JB661"/>
  <sheetViews>
    <sheetView topLeftCell="DG1" zoomScale="55" zoomScaleNormal="55" workbookViewId="0">
      <selection activeCell="EA2" sqref="EA2"/>
    </sheetView>
  </sheetViews>
  <sheetFormatPr defaultColWidth="4.5703125" defaultRowHeight="20.25" customHeight="1"/>
  <cols>
    <col min="19" max="19" width="12.42578125" customWidth="1"/>
    <col min="56" max="58" width="47.42578125" customWidth="1"/>
    <col min="59" max="60" width="16.85546875" customWidth="1"/>
    <col min="61" max="68" width="4.140625" customWidth="1"/>
    <col min="69" max="69" width="50.140625" customWidth="1"/>
    <col min="70" max="78" width="4.28515625" customWidth="1"/>
    <col min="131" max="131" width="11.5703125" bestFit="1" customWidth="1"/>
    <col min="132" max="132" width="4.5703125" customWidth="1"/>
  </cols>
  <sheetData>
    <row r="2" spans="1:262" ht="20.25" customHeight="1">
      <c r="A2" cm="1">
        <f t="array" ref="A2:H2">TRANSPOSE(_xlfn.UNIQUE(_xlfn._xlws.FILTER(T_ASIGNATURA1[ID_NIVEL],T_ASIGNATURA1[ID_CARRERA]=ASIGNACION!$A2,"No existe información")))</f>
        <v>8</v>
      </c>
      <c r="B2">
        <v>7</v>
      </c>
      <c r="C2">
        <v>6</v>
      </c>
      <c r="D2">
        <v>5</v>
      </c>
      <c r="E2">
        <v>4</v>
      </c>
      <c r="F2">
        <v>3</v>
      </c>
      <c r="G2">
        <v>2</v>
      </c>
      <c r="H2">
        <v>1</v>
      </c>
      <c r="S2" t="str" cm="1">
        <f t="array" ref="S2:V2">TRANSPOSE(_xlfn.UNIQUE(_xlfn._xlws.FILTER(T_ASIGNATURA1[NOM_ASIG],(T_ASIGNATURA1[ID_NIVEL]=ASIGNACION!$C2)*(T_ASIGNATURA1[ID_CARRERA]=ASIGNACION!$A2),"No existe información")))</f>
        <v>LEGISLACIÓN MERCANTIL Y SOCIERTARIA</v>
      </c>
      <c r="T2" t="str">
        <v>ESTADÍSTICA DESCRIPTIVA</v>
      </c>
      <c r="U2" t="str">
        <v>FUNDAMENTOS DE ADMINISTRACIÓN</v>
      </c>
      <c r="V2" t="str">
        <v>FUNDAMENTOS DE CONTABILIDAD</v>
      </c>
      <c r="BD2" t="str" cm="1">
        <f t="array" ref="BD2">TRANSPOSE(_xlfn.UNIQUE(_xlfn._xlws.FILTER(Tabla3[DETALLADO],(Tabla3[NIVEL]=ASIGNACION!$C2)*(Tabla3[CARRERA]=ASIGNACION!$A2),"No existe información")))</f>
        <v>No existe información</v>
      </c>
      <c r="BQ2" s="1" t="str" cm="1">
        <f t="array" ref="BQ2">IFERROR(
    TRANSPOSE(
        _xlfn.UNIQUE(
            _xlfn._xlws.FILTER(
                Tabla1_1[MAESTRIA],
                ISNUMBER(MATCH(Tabla1_1[CAMPO_DETALLADO],BD3:BP3,0))
            )
        )
    ),
"")</f>
        <v/>
      </c>
      <c r="DZ2" t="s">
        <v>0</v>
      </c>
      <c r="EA2" s="1" t="str" cm="1">
        <f t="array" ref="EA2:JB2">IF(
    ASIGNACION!G2="SI",
    IFERROR(
        TRANSPOSE(
            _xlfn.UNIQUE(
                _xlfn._xlws.FILTER(
                    Tabla1__2[NOMBRE_DOCENTE],
                    ISNUMBER(MATCH(Tabla1__2[MAESTRIA],BQ2:DY2,0))
                )
            )
        ),
        ""
    ),
    TRANSPOSE(
        _xlfn.UNIQUE(
            Tabla1__3[DATOS_DOCENTE]
        )
    )
)</f>
        <v>ALARCON CHAVEZ CESAR RAUL</v>
      </c>
      <c r="EB2" t="str">
        <v>ALCIVAR MERO MARIA JESSENIA</v>
      </c>
      <c r="EC2" t="str">
        <v>ALVIA TOALA DAHIANA VALERIA</v>
      </c>
      <c r="ED2" t="str">
        <v>BALSECA MACIAS PAOLA ESTEFANIA</v>
      </c>
      <c r="EE2" t="str">
        <v>BAYAS ZAMBRANO CARMEN MARIETA</v>
      </c>
      <c r="EF2" t="str">
        <v>CACERES LARREATEGUI ALBA LUCIA</v>
      </c>
      <c r="EG2" t="str">
        <v>CALDERON ZAMORA OSCAR XAVIER</v>
      </c>
      <c r="EH2" t="str">
        <v>CANO LARA EVELYN DYANN</v>
      </c>
      <c r="EI2" t="str">
        <v>CEVALLOS ENRIQUEZ RODRIGO PAUL</v>
      </c>
      <c r="EJ2" t="str">
        <v>CRUZ MERA RAFER HENRY</v>
      </c>
      <c r="EK2" t="str">
        <v>FRANCO CHAVEZ MONICA ALEXANDRA</v>
      </c>
      <c r="EL2" t="str">
        <v>FRANCO RODRIGUEZ LUIS ENRIQUE</v>
      </c>
      <c r="EM2" t="str">
        <v>GARCIA LOOR ANA DEL ROCIO</v>
      </c>
      <c r="EN2" t="str">
        <v>GUADAMUD VERA JESSICA GEOCONDA</v>
      </c>
      <c r="EO2" t="str">
        <v>GUEVARA CAÑIZARES MARISSA ALEJANDRA</v>
      </c>
      <c r="EP2" t="str">
        <v>HEREDIA COPPIANO GENESIS ESTEFANIA</v>
      </c>
      <c r="EQ2" t="str">
        <v>HOLGUIN BRIONES AUDREY JACQUELINE</v>
      </c>
      <c r="ER2" t="str">
        <v>MACIAS CATAGUA OTTO WAGNER</v>
      </c>
      <c r="ES2" t="str">
        <v>MARCILLO PIN KARLA ROSANNA</v>
      </c>
      <c r="ET2" t="str">
        <v>MENDOZA BRIONES AMADO ANTONIO</v>
      </c>
      <c r="EU2" t="str">
        <v>MERO MERO RUBEN DARIO</v>
      </c>
      <c r="EV2" t="str">
        <v>MORANTE GALARZA JOSE LUIS</v>
      </c>
      <c r="EW2" t="str">
        <v>PIGUAVE PEREZ VICENTA ROCIO</v>
      </c>
      <c r="EX2" t="str">
        <v>RODRIGUEZ DURAN MIGUEL OSWALDO</v>
      </c>
      <c r="EY2" t="str">
        <v>SALCEDO LOOR HERNAN VLADIMIR</v>
      </c>
      <c r="EZ2" t="str">
        <v>SANTOS VELEZ MARIA BEATRIZ</v>
      </c>
      <c r="FA2" t="str">
        <v>TORO LOOR RICHARD GONZALO</v>
      </c>
      <c r="FB2" t="str">
        <v>TRIVIÑO QUIJIJE JEFFERSON ALEXANDER</v>
      </c>
      <c r="FC2" t="str">
        <v>VELASCO DELGADO CARLOS ALBERTO</v>
      </c>
      <c r="FD2" t="str">
        <v>VELEZ CHAVEZ CARLOS ORLANDO</v>
      </c>
      <c r="FE2" t="str">
        <v>VELEZ ROMERO XAVIER ALBERTO</v>
      </c>
      <c r="FF2" t="str">
        <v>ZAMBRANO VERA MARIA FERNANDA</v>
      </c>
      <c r="FG2" t="str">
        <v>CALDERON ZAMORA MARJORIE JESSENIA</v>
      </c>
      <c r="FH2" t="str">
        <v>CANO MURE ERNESTO RODOLFO</v>
      </c>
      <c r="FI2" t="str">
        <v>CUADROS OCAMPO CARMINA ISABEL</v>
      </c>
      <c r="FJ2" t="str">
        <v>FERNANDEZ ALAVA VANESSA GUADALUPE</v>
      </c>
      <c r="FK2" t="str">
        <v>INTRIAGO DURAN MARCOS VINICIO</v>
      </c>
      <c r="FL2" t="str">
        <v>LOOR MUÑOZ PRESLEY IDULFO</v>
      </c>
      <c r="FM2" t="str">
        <v>LOPEZ DELGADO RONALD MAURICIO</v>
      </c>
      <c r="FN2" t="str">
        <v>MENDOZA GARCIA JORGE GREGORIO</v>
      </c>
      <c r="FO2" t="str">
        <v>MENENDEZ DELGADO ERICK RODOLFO</v>
      </c>
      <c r="FP2" t="str">
        <v>MENESES SALVADOR JUAN CARLOS</v>
      </c>
      <c r="FQ2" t="str">
        <v>MUÑOZ MACIAS KARLOS EDUARDO</v>
      </c>
      <c r="FR2" t="str">
        <v>PALACIO HANZE CARLOS LUIS</v>
      </c>
      <c r="FS2" t="str">
        <v>PARRAGA MOGROVEJO MAYRA IVETH</v>
      </c>
      <c r="FT2" t="str">
        <v>SANCHEZ ARTEAGA ALEX ALFONSO</v>
      </c>
      <c r="FU2" t="str">
        <v>VELEZ CEDEÑO JOHANNA GUADALUPE</v>
      </c>
      <c r="FV2" t="str">
        <v>VELIZ INTRIAGO AMNUSKA KOYITO</v>
      </c>
      <c r="FW2" t="str">
        <v>VERA SANTANA HUGO CARLOS</v>
      </c>
      <c r="FX2" t="str">
        <v>ALCIVAR CEDEÑO BEATRIZ ISABEL</v>
      </c>
      <c r="FY2" t="str">
        <v>ALCIVAR VERA GEMA MICHELLE</v>
      </c>
      <c r="FZ2" t="str">
        <v>ANGULO MURILLO NAVIRA GISSELA</v>
      </c>
      <c r="GA2" t="str">
        <v>BAILON LOURIDO WALTER ALBERTO</v>
      </c>
      <c r="GB2" t="str">
        <v>CALDERERO VILLAGOMEZ ERICK ANTONIO</v>
      </c>
      <c r="GC2" t="str">
        <v>CASTILLO GARCIA PAOLA GERMANIA</v>
      </c>
      <c r="GD2" t="str">
        <v>CEDEÑO CHOEZ PEDRO JAVIER</v>
      </c>
      <c r="GE2" t="str">
        <v>CEVALLOS HOPPE JUAN CARLOS</v>
      </c>
      <c r="GF2" t="str">
        <v>DELGADO CHAVEZ MARIA IRASEMA</v>
      </c>
      <c r="GG2" t="str">
        <v>DUARTE VALENCIA CRISTHIAN DARIO</v>
      </c>
      <c r="GH2" t="str">
        <v>FORTTY BARBERAN DENNY ALEXANDER</v>
      </c>
      <c r="GI2" t="str">
        <v>GUTIERREZ ZAMBRANO CARMEN EBELINA</v>
      </c>
      <c r="GJ2" t="str">
        <v>HIDALGO AVILA ARGELIO ANTONIO</v>
      </c>
      <c r="GK2" t="str">
        <v>INTRIAGO MOLINA GEMA VALERIA</v>
      </c>
      <c r="GL2" t="str">
        <v>LINO VELEZ LEONEL LIVINGTON</v>
      </c>
      <c r="GM2" t="str">
        <v>LOOR ALCIVAR MARIA ILIANA</v>
      </c>
      <c r="GN2" t="str">
        <v>LOOR MIELES TANIA JACQUELINE</v>
      </c>
      <c r="GO2" t="str">
        <v>LOOR SOLORZANO ROSA MARIA</v>
      </c>
      <c r="GP2" t="str">
        <v>MACÍAS UGALDE LEXANDRA TATIANA</v>
      </c>
      <c r="GQ2" t="str">
        <v>MACIAS VALENCIA DAVID GABRIEL</v>
      </c>
      <c r="GR2" t="str">
        <v>MENDOZA ZAMORA WALTER MANUEL</v>
      </c>
      <c r="GS2" t="str">
        <v>MOLINA CEVALLOS MARIA LORENA</v>
      </c>
      <c r="GT2" t="str">
        <v>MOREIRA LARGACHA JUAN MIGUEL</v>
      </c>
      <c r="GU2" t="str">
        <v>MURILLO DELGADO ISAAC GABRIEL</v>
      </c>
      <c r="GV2" t="str">
        <v>OCHOA SOLEDISPA NESTOR IVAN</v>
      </c>
      <c r="GW2" t="str">
        <v>PARRAGA FRANCO SILVANA MARIELA</v>
      </c>
      <c r="GX2" t="str">
        <v>PINARGOTE VASQUEZ NANCY FABIOLA</v>
      </c>
      <c r="GY2" t="str">
        <v>REYES VELEZ PEDRO ENRIQUE</v>
      </c>
      <c r="GZ2" t="str">
        <v>SAN ANDRES HORMAZA DALLAS CECILIA</v>
      </c>
      <c r="HA2" t="str">
        <v>SORNOZA ZAMORA JUAN CARLOS</v>
      </c>
      <c r="HB2" t="str">
        <v>TOMALA PINTO JESUS JACINTO</v>
      </c>
      <c r="HC2" t="str">
        <v>TUBAY CEDEÑO BORIS RICARDO</v>
      </c>
      <c r="HD2" t="str">
        <v>VALLE JARAMILLO SILVIA ARACELY</v>
      </c>
      <c r="HE2" t="str">
        <v>VELÁSQUEZ BRAVO IRMA KATHERINE</v>
      </c>
      <c r="HF2" t="str">
        <v>VELEZ MENDOZA LAYSY VALERIA</v>
      </c>
      <c r="HG2" t="str">
        <v>VINUEZA TELLO SHIRLEY ELIZABETH</v>
      </c>
      <c r="HH2" t="str">
        <v>ZAMBRANO ALCIVAR NILDA ISABEL</v>
      </c>
      <c r="HI2" t="str">
        <v>ZAMBRANO LOOR RITA MAYDA</v>
      </c>
      <c r="HJ2" t="str">
        <v>ZAMBRANO VERA MONICA JANETH</v>
      </c>
      <c r="HK2" t="str">
        <v>ANDRADE ALVARADO SONIA PATRICIA</v>
      </c>
      <c r="HL2" t="str">
        <v>ARAUZ CHAVEZ MARIO ROBERTO</v>
      </c>
      <c r="HM2" t="str">
        <v>BARREIRO CEDEÑO ISABEL MONSERRATE</v>
      </c>
      <c r="HN2" t="str">
        <v>BERMUDEZ VILLACRESES ROSA MAGDALENA</v>
      </c>
      <c r="HO2" t="str">
        <v>CAÑARTE RODRIGUEZ TANIA CECIBEL</v>
      </c>
      <c r="HP2" t="str">
        <v>COVEÑA MENÉNDEZ JONATHAN KLEBER</v>
      </c>
      <c r="HQ2" t="str">
        <v>GARAY VERA JULIA MARLENE</v>
      </c>
      <c r="HR2" t="str">
        <v>IDROVO FLORES PEDRO MANUEL</v>
      </c>
      <c r="HS2" t="str">
        <v>LUNA CAICEDO MERCEDES MONICA</v>
      </c>
      <c r="HT2" t="str">
        <v>MERO DELGADO OSWALDO WALDEMAR</v>
      </c>
      <c r="HU2" t="str">
        <v>PEÑAHERRERA VELEZ CINDY DEL CARMEN</v>
      </c>
      <c r="HV2" t="str">
        <v>QUIJIJE ZAMBRANO DIGNA MARGARITA</v>
      </c>
      <c r="HW2" t="str">
        <v>RODRIGUEZ SANCHEZ JOHNNY GUSTAVO</v>
      </c>
      <c r="HX2" t="str">
        <v>ROJAS ONCE MERCY CELINDA</v>
      </c>
      <c r="HY2" t="str">
        <v>SALTOS ALAVA SONIA KARINA</v>
      </c>
      <c r="HZ2" t="str">
        <v>VIDAL FERNANDEZ PABLO</v>
      </c>
      <c r="IA2" t="str">
        <v>ARAUZ CHAVEZ ANDREA ROBERTHA</v>
      </c>
      <c r="IB2" t="str">
        <v>ARIAS ARIAS ANA ELENA</v>
      </c>
      <c r="IC2" t="str">
        <v>BADUY MOLINA AARON LEONEL</v>
      </c>
      <c r="ID2" t="str">
        <v>BASURTO CEDEÑO XAVIER ALBERTO</v>
      </c>
      <c r="IE2" t="str">
        <v>CALDERON BAILON JOSE CALIXTO</v>
      </c>
      <c r="IF2" t="str">
        <v>CARREÑO VILLAVICENCIO DIANEXY VIVIANA</v>
      </c>
      <c r="IG2" t="str">
        <v>FARFAN TRIVIÑO HUGO ERNESTO</v>
      </c>
      <c r="IH2" t="str">
        <v>GRANDA GARCIA MARCO IVAN</v>
      </c>
      <c r="II2" t="str">
        <v>HORMAZA VILLAFUERTE SANDY LISBETH</v>
      </c>
      <c r="IJ2" t="str">
        <v>JACOME SANTOS XAVIER IVAN</v>
      </c>
      <c r="IK2" t="str">
        <v>LOOR CHAVEZ TEMISTOCLES DEODATO</v>
      </c>
      <c r="IL2" t="str">
        <v>LOOR MOREIRA ALEXANDRA JACQUELINE</v>
      </c>
      <c r="IM2" t="str">
        <v>LOPEZ LEONES CRISTHIAN JOSE</v>
      </c>
      <c r="IN2" t="str">
        <v>MEJIA VASQUEZ PERICLES RAMON</v>
      </c>
      <c r="IO2" t="str">
        <v>MERO CHAVEZ ULISES FEDERICO</v>
      </c>
      <c r="IP2" t="str">
        <v>MOLINA CEDEÑO JIMMY WILMER</v>
      </c>
      <c r="IQ2" t="str">
        <v>MOLINA QUIROZ CLAUDIA ANALIA</v>
      </c>
      <c r="IR2" t="str">
        <v>MORAN QUIÑONEZ CARLOS JULIO</v>
      </c>
      <c r="IS2" t="str">
        <v>PALACIOS BRIONES NURI LUPITA</v>
      </c>
      <c r="IT2" t="str">
        <v>PEÑA VÉLEZ ISAURA VANESSA</v>
      </c>
      <c r="IU2" t="str">
        <v>PINARGOTE MONTENEGRO KAREN GISELA</v>
      </c>
      <c r="IV2" t="str">
        <v>PONCE ANDRADE JOHNNY EDISON</v>
      </c>
      <c r="IW2" t="str">
        <v>SABANDO MENDOZA ESTELA ROSSANA</v>
      </c>
      <c r="IX2" t="str">
        <v>SOLIS BRAVO HUGO ALFONSO</v>
      </c>
      <c r="IY2" t="str">
        <v>VILLAFUERTE MUÑOZ WAGNER OSWALDO</v>
      </c>
      <c r="IZ2" t="str">
        <v>VILLAMARIN VILLOTA WALTER HUMBERTO</v>
      </c>
      <c r="JA2" t="str">
        <v>ZAMBRANO PEÑARRIETA JOSSELYN JAMILETH</v>
      </c>
      <c r="JB2" t="str">
        <v>CARRILLO PICO FEDERICO AVELINO</v>
      </c>
    </row>
    <row r="3" spans="1:262" ht="20.25" customHeight="1">
      <c r="A3" cm="1">
        <f t="array" ref="A3:H3">TRANSPOSE(_xlfn.UNIQUE(_xlfn._xlws.FILTER(T_ASIGNATURA1[ID_NIVEL],T_ASIGNATURA1[ID_CARRERA]=ASIGNACION!$A3,"No existe información")))</f>
        <v>8</v>
      </c>
      <c r="B3">
        <v>7</v>
      </c>
      <c r="C3">
        <v>6</v>
      </c>
      <c r="D3">
        <v>5</v>
      </c>
      <c r="E3">
        <v>4</v>
      </c>
      <c r="F3">
        <v>3</v>
      </c>
      <c r="G3">
        <v>2</v>
      </c>
      <c r="H3">
        <v>1</v>
      </c>
      <c r="S3" t="str" cm="1">
        <f t="array" ref="S3:W3">TRANSPOSE(_xlfn.UNIQUE(_xlfn._xlws.FILTER(T_ASIGNATURA1[NOM_ASIG],(T_ASIGNATURA1[ID_NIVEL]=ASIGNACION!$C3)*(T_ASIGNATURA1[ID_CARRERA]=ASIGNACION!$A3),"No existe información")))</f>
        <v>ÉTICA PROFESIONAL</v>
      </c>
      <c r="T3" t="str">
        <v>PLANIFICACIÓN Y DIRECCIÓN ESTRATÉGICA</v>
      </c>
      <c r="U3" t="str">
        <v>GESTIÓN TRIBUTARIA</v>
      </c>
      <c r="V3" t="str">
        <v>CONTABILIDAD EN EL SECTOR PÚBLICO</v>
      </c>
      <c r="W3" t="str">
        <v>PLANIFICACIÓN DE AUDITORÍAS</v>
      </c>
      <c r="BD3" t="str" cm="1">
        <f t="array" ref="BD3">TRANSPOSE(_xlfn.UNIQUE(_xlfn._xlws.FILTER(Tabla3[DETALLADO],(Tabla3[NIVEL]=ASIGNACION!$C3)*(Tabla3[CARRERA]=ASIGNACION!$A3),"No existe información")))</f>
        <v>No existe información</v>
      </c>
      <c r="BQ3" s="1" t="str" cm="1">
        <f t="array" ref="BQ3">IFERROR(
    TRANSPOSE(
        _xlfn.UNIQUE(
            _xlfn._xlws.FILTER(
                Tabla1_1[MAESTRIA],
                ISNUMBER(MATCH(Tabla1_1[CAMPO_DETALLADO],BD4:BP4,0))
            )
        )
    ),
"")</f>
        <v/>
      </c>
      <c r="EA3" t="str" cm="1">
        <f t="array" ref="EA3">IFERROR(
    TRANSPOSE(
        _xlfn.UNIQUE(
            _xlfn._xlws.FILTER(
                Tabla1__2[NOMBRE_DOCENTE],
                ISNUMBER(MATCH(Tabla1__2[MAESTRIA],BQ3:DY3,0))
            )
        )
    ),
"")</f>
        <v/>
      </c>
    </row>
    <row r="4" spans="1:262" ht="20.25" customHeight="1">
      <c r="A4" cm="1">
        <f t="array" ref="A4:H4">TRANSPOSE(_xlfn.UNIQUE(_xlfn._xlws.FILTER(T_ASIGNATURA1[ID_NIVEL],T_ASIGNATURA1[ID_CARRERA]=ASIGNACION!$A4,"No existe información")))</f>
        <v>8</v>
      </c>
      <c r="B4">
        <v>7</v>
      </c>
      <c r="C4">
        <v>6</v>
      </c>
      <c r="D4">
        <v>5</v>
      </c>
      <c r="E4">
        <v>4</v>
      </c>
      <c r="F4">
        <v>3</v>
      </c>
      <c r="G4">
        <v>2</v>
      </c>
      <c r="H4">
        <v>1</v>
      </c>
      <c r="S4" t="str" cm="1">
        <f t="array" ref="S4:W4">TRANSPOSE(_xlfn.UNIQUE(_xlfn._xlws.FILTER(T_ASIGNATURA1[NOM_ASIG],(T_ASIGNATURA1[ID_NIVEL]=ASIGNACION!$C4)*(T_ASIGNATURA1[ID_CARRERA]=ASIGNACION!$A4),"No existe información")))</f>
        <v>ÉTICA PROFESIONAL</v>
      </c>
      <c r="T4" t="str">
        <v>PLANIFICACIÓN Y DIRECCIÓN ESTRATÉGICA</v>
      </c>
      <c r="U4" t="str">
        <v>GESTIÓN TRIBUTARIA</v>
      </c>
      <c r="V4" t="str">
        <v>CONTABILIDAD EN EL SECTOR PÚBLICO</v>
      </c>
      <c r="W4" t="str">
        <v>PLANIFICACIÓN DE AUDITORÍAS</v>
      </c>
      <c r="BD4" t="str" cm="1">
        <f t="array" ref="BD4">TRANSPOSE(_xlfn.UNIQUE(_xlfn._xlws.FILTER(Tabla3[DETALLADO],(Tabla3[NIVEL]=ASIGNACION!$C4)*(Tabla3[CARRERA]=ASIGNACION!$A4),"No existe información")))</f>
        <v>No existe información</v>
      </c>
      <c r="BQ4" s="1" t="str" cm="1">
        <f t="array" ref="BQ4">IFERROR(
    TRANSPOSE(
        _xlfn.UNIQUE(
            _xlfn._xlws.FILTER(
                Tabla1_1[MAESTRIA],
                ISNUMBER(MATCH(Tabla1_1[CAMPO_DETALLADO],BD5:BP5,0))
            )
        )
    ),
"")</f>
        <v/>
      </c>
      <c r="EA4" t="str" cm="1">
        <f t="array" ref="EA4">IFERROR(
    TRANSPOSE(
        _xlfn.UNIQUE(
            _xlfn._xlws.FILTER(
                Tabla1__2[NOMBRE_DOCENTE],
                ISNUMBER(MATCH(Tabla1__2[MAESTRIA],BQ4:DY4,0))
            )
        )
    ),
"")</f>
        <v/>
      </c>
    </row>
    <row r="5" spans="1:262" ht="20.25" customHeight="1">
      <c r="A5" cm="1">
        <f t="array" ref="A5:H5">TRANSPOSE(_xlfn.UNIQUE(_xlfn._xlws.FILTER(T_ASIGNATURA1[ID_NIVEL],T_ASIGNATURA1[ID_CARRERA]=ASIGNACION!$A5,"No existe información")))</f>
        <v>8</v>
      </c>
      <c r="B5">
        <v>7</v>
      </c>
      <c r="C5">
        <v>6</v>
      </c>
      <c r="D5">
        <v>5</v>
      </c>
      <c r="E5">
        <v>4</v>
      </c>
      <c r="F5">
        <v>3</v>
      </c>
      <c r="G5">
        <v>2</v>
      </c>
      <c r="H5">
        <v>1</v>
      </c>
      <c r="S5" t="str" cm="1">
        <f t="array" ref="S5:W5">TRANSPOSE(_xlfn.UNIQUE(_xlfn._xlws.FILTER(T_ASIGNATURA1[NOM_ASIG],(T_ASIGNATURA1[ID_NIVEL]=ASIGNACION!$C5)*(T_ASIGNATURA1[ID_CARRERA]=ASIGNACION!$A5),"No existe información")))</f>
        <v>ÉTICA PROFESIONAL</v>
      </c>
      <c r="T5" t="str">
        <v>PLANIFICACIÓN Y DIRECCIÓN ESTRATÉGICA</v>
      </c>
      <c r="U5" t="str">
        <v>GESTIÓN TRIBUTARIA</v>
      </c>
      <c r="V5" t="str">
        <v>CONTABILIDAD EN EL SECTOR PÚBLICO</v>
      </c>
      <c r="W5" t="str">
        <v>PLANIFICACIÓN DE AUDITORÍAS</v>
      </c>
      <c r="BD5" t="str" cm="1">
        <f t="array" ref="BD5">TRANSPOSE(_xlfn.UNIQUE(_xlfn._xlws.FILTER(Tabla3[DETALLADO],(Tabla3[NIVEL]=ASIGNACION!$C5)*(Tabla3[CARRERA]=ASIGNACION!$A5),"No existe información")))</f>
        <v>No existe información</v>
      </c>
      <c r="BQ5" s="1" t="str" cm="1">
        <f t="array" ref="BQ5">IFERROR(
    TRANSPOSE(
        _xlfn.UNIQUE(
            _xlfn._xlws.FILTER(
                Tabla1_1[MAESTRIA],
                ISNUMBER(MATCH(Tabla1_1[CAMPO_DETALLADO],BD6:BP6,0))
            )
        )
    ),
"")</f>
        <v/>
      </c>
      <c r="EA5" t="str" cm="1">
        <f t="array" ref="EA5">IFERROR(
    TRANSPOSE(
        _xlfn.UNIQUE(
            _xlfn._xlws.FILTER(
                Tabla1__2[NOMBRE_DOCENTE],
                ISNUMBER(MATCH(Tabla1__2[MAESTRIA],BQ5:DY5,0))
            )
        )
    ),
"")</f>
        <v/>
      </c>
    </row>
    <row r="6" spans="1:262" ht="20.25" customHeight="1">
      <c r="A6" cm="1">
        <f t="array" ref="A6:H6">TRANSPOSE(_xlfn.UNIQUE(_xlfn._xlws.FILTER(T_ASIGNATURA1[ID_NIVEL],T_ASIGNATURA1[ID_CARRERA]=ASIGNACION!$A6,"No existe información")))</f>
        <v>8</v>
      </c>
      <c r="B6">
        <v>7</v>
      </c>
      <c r="C6">
        <v>6</v>
      </c>
      <c r="D6">
        <v>5</v>
      </c>
      <c r="E6">
        <v>4</v>
      </c>
      <c r="F6">
        <v>3</v>
      </c>
      <c r="G6">
        <v>2</v>
      </c>
      <c r="H6">
        <v>1</v>
      </c>
      <c r="S6" t="str" cm="1">
        <f t="array" ref="S6:W6">TRANSPOSE(_xlfn.UNIQUE(_xlfn._xlws.FILTER(T_ASIGNATURA1[NOM_ASIG],(T_ASIGNATURA1[ID_NIVEL]=ASIGNACION!$C6)*(T_ASIGNATURA1[ID_CARRERA]=ASIGNACION!$A6),"No existe información")))</f>
        <v>ÉTICA PROFESIONAL</v>
      </c>
      <c r="T6" t="str">
        <v>PLANIFICACIÓN Y DIRECCIÓN ESTRATÉGICA</v>
      </c>
      <c r="U6" t="str">
        <v>GESTIÓN TRIBUTARIA</v>
      </c>
      <c r="V6" t="str">
        <v>CONTABILIDAD EN EL SECTOR PÚBLICO</v>
      </c>
      <c r="W6" t="str">
        <v>PLANIFICACIÓN DE AUDITORÍAS</v>
      </c>
      <c r="BD6" t="str" cm="1">
        <f t="array" ref="BD6">TRANSPOSE(_xlfn.UNIQUE(_xlfn._xlws.FILTER(Tabla3[DETALLADO],(Tabla3[NIVEL]=ASIGNACION!$C6)*(Tabla3[CARRERA]=ASIGNACION!$A6),"No existe información")))</f>
        <v>No existe información</v>
      </c>
      <c r="BQ6" s="1" t="str" cm="1">
        <f t="array" ref="BQ6">IFERROR(
    TRANSPOSE(
        _xlfn.UNIQUE(
            _xlfn._xlws.FILTER(
                Tabla1_1[MAESTRIA],
                ISNUMBER(MATCH(Tabla1_1[CAMPO_DETALLADO],BD7:BP7,0))
            )
        )
    ),
"")</f>
        <v/>
      </c>
      <c r="EA6" t="str" cm="1">
        <f t="array" ref="EA6">IFERROR(
    TRANSPOSE(
        _xlfn.UNIQUE(
            _xlfn._xlws.FILTER(
                Tabla1__2[NOMBRE_DOCENTE],
                ISNUMBER(MATCH(Tabla1__2[MAESTRIA],BQ6:DY6,0))
            )
        )
    ),
"")</f>
        <v/>
      </c>
    </row>
    <row r="7" spans="1:262" ht="20.25" customHeight="1">
      <c r="A7" cm="1">
        <f t="array" ref="A7:H7">TRANSPOSE(_xlfn.UNIQUE(_xlfn._xlws.FILTER(T_ASIGNATURA1[ID_NIVEL],T_ASIGNATURA1[ID_CARRERA]=ASIGNACION!$A7,"No existe información")))</f>
        <v>8</v>
      </c>
      <c r="B7">
        <v>7</v>
      </c>
      <c r="C7">
        <v>6</v>
      </c>
      <c r="D7">
        <v>5</v>
      </c>
      <c r="E7">
        <v>4</v>
      </c>
      <c r="F7">
        <v>3</v>
      </c>
      <c r="G7">
        <v>2</v>
      </c>
      <c r="H7">
        <v>1</v>
      </c>
      <c r="S7" t="str" cm="1">
        <f t="array" ref="S7:W7">TRANSPOSE(_xlfn.UNIQUE(_xlfn._xlws.FILTER(T_ASIGNATURA1[NOM_ASIG],(T_ASIGNATURA1[ID_NIVEL]=ASIGNACION!$C7)*(T_ASIGNATURA1[ID_CARRERA]=ASIGNACION!$A7),"No existe información")))</f>
        <v>ÉTICA PROFESIONAL</v>
      </c>
      <c r="T7" t="str">
        <v>PLANIFICACIÓN Y DIRECCIÓN ESTRATÉGICA</v>
      </c>
      <c r="U7" t="str">
        <v>GESTIÓN TRIBUTARIA</v>
      </c>
      <c r="V7" t="str">
        <v>CONTABILIDAD EN EL SECTOR PÚBLICO</v>
      </c>
      <c r="W7" t="str">
        <v>PLANIFICACIÓN DE AUDITORÍAS</v>
      </c>
      <c r="BD7" t="str" cm="1">
        <f t="array" ref="BD7">TRANSPOSE(_xlfn.UNIQUE(_xlfn._xlws.FILTER(Tabla3[DETALLADO],(Tabla3[NIVEL]=ASIGNACION!$C7)*(Tabla3[CARRERA]=ASIGNACION!$A7),"No existe información")))</f>
        <v>No existe información</v>
      </c>
      <c r="BQ7" s="1" t="str" cm="1">
        <f t="array" ref="BQ7">IFERROR(
    TRANSPOSE(
        _xlfn.UNIQUE(
            _xlfn._xlws.FILTER(
                Tabla1_1[MAESTRIA],
                ISNUMBER(MATCH(Tabla1_1[CAMPO_DETALLADO],BD8:BP8,0))
            )
        )
    ),
"")</f>
        <v/>
      </c>
      <c r="EA7" t="str" cm="1">
        <f t="array" ref="EA7">IFERROR(
    TRANSPOSE(
        _xlfn.UNIQUE(
            _xlfn._xlws.FILTER(
                Tabla1__2[NOMBRE_DOCENTE],
                ISNUMBER(MATCH(Tabla1__2[MAESTRIA],BQ7:DY7,0))
            )
        )
    ),
"")</f>
        <v/>
      </c>
    </row>
    <row r="8" spans="1:262" ht="20.25" customHeight="1">
      <c r="A8" cm="1">
        <f t="array" ref="A8:H8">TRANSPOSE(_xlfn.UNIQUE(_xlfn._xlws.FILTER(T_ASIGNATURA1[ID_NIVEL],T_ASIGNATURA1[ID_CARRERA]=ASIGNACION!$A8,"No existe información")))</f>
        <v>8</v>
      </c>
      <c r="B8">
        <v>7</v>
      </c>
      <c r="C8">
        <v>6</v>
      </c>
      <c r="D8">
        <v>5</v>
      </c>
      <c r="E8">
        <v>4</v>
      </c>
      <c r="F8">
        <v>3</v>
      </c>
      <c r="G8">
        <v>2</v>
      </c>
      <c r="H8">
        <v>1</v>
      </c>
      <c r="S8" t="str" cm="1">
        <f t="array" ref="S8:W8">TRANSPOSE(_xlfn.UNIQUE(_xlfn._xlws.FILTER(T_ASIGNATURA1[NOM_ASIG],(T_ASIGNATURA1[ID_NIVEL]=ASIGNACION!$C8)*(T_ASIGNATURA1[ID_CARRERA]=ASIGNACION!$A8),"No existe información")))</f>
        <v>GESTIÓN DE TALENTO HUMANO</v>
      </c>
      <c r="T8" t="str">
        <v>FUNDAMENTOS DE AUDITORÍAS</v>
      </c>
      <c r="U8" t="str">
        <v>ADMINISTRACIÓN FINANCIERA</v>
      </c>
      <c r="V8" t="str">
        <v>CONTABILIDAD SOCIAL Y AMBIENTAL</v>
      </c>
      <c r="W8" t="str">
        <v>CONTABILIDAD DE COSTOS</v>
      </c>
      <c r="BD8" t="str" cm="1">
        <f t="array" ref="BD8">TRANSPOSE(_xlfn.UNIQUE(_xlfn._xlws.FILTER(Tabla3[DETALLADO],(Tabla3[NIVEL]=ASIGNACION!$C8)*(Tabla3[CARRERA]=ASIGNACION!$A8),"No existe información")))</f>
        <v>No existe información</v>
      </c>
      <c r="BQ8" s="1" t="str" cm="1">
        <f t="array" ref="BQ8">IFERROR(
    TRANSPOSE(
        _xlfn.UNIQUE(
            _xlfn._xlws.FILTER(
                Tabla1_1[MAESTRIA],
                ISNUMBER(MATCH(Tabla1_1[CAMPO_DETALLADO],BD9:BP9,0))
            )
        )
    ),
"")</f>
        <v/>
      </c>
      <c r="EA8" t="str" cm="1">
        <f t="array" ref="EA8">IFERROR(
    TRANSPOSE(
        _xlfn.UNIQUE(
            _xlfn._xlws.FILTER(
                Tabla1__2[NOMBRE_DOCENTE],
                ISNUMBER(MATCH(Tabla1__2[MAESTRIA],BQ8:DY8,0))
            )
        )
    ),
"")</f>
        <v/>
      </c>
    </row>
    <row r="9" spans="1:262" ht="20.25" customHeight="1">
      <c r="A9" cm="1">
        <f t="array" ref="A9:H9">TRANSPOSE(_xlfn.UNIQUE(_xlfn._xlws.FILTER(T_ASIGNATURA1[ID_NIVEL],T_ASIGNATURA1[ID_CARRERA]=ASIGNACION!$A9,"No existe información")))</f>
        <v>8</v>
      </c>
      <c r="B9">
        <v>7</v>
      </c>
      <c r="C9">
        <v>6</v>
      </c>
      <c r="D9">
        <v>5</v>
      </c>
      <c r="E9">
        <v>4</v>
      </c>
      <c r="F9">
        <v>3</v>
      </c>
      <c r="G9">
        <v>2</v>
      </c>
      <c r="H9">
        <v>1</v>
      </c>
      <c r="S9" t="str" cm="1">
        <f t="array" ref="S9:W9">TRANSPOSE(_xlfn.UNIQUE(_xlfn._xlws.FILTER(T_ASIGNATURA1[NOM_ASIG],(T_ASIGNATURA1[ID_NIVEL]=ASIGNACION!$C9)*(T_ASIGNATURA1[ID_CARRERA]=ASIGNACION!$A9),"No existe información")))</f>
        <v>AUDITORÍA INTEGRAL</v>
      </c>
      <c r="T9" t="str">
        <v>AUDITORÍA FORENSE</v>
      </c>
      <c r="U9" t="str">
        <v>AUDITORÍA DE SISTEMAS
DE INFORMACIÓN</v>
      </c>
      <c r="V9" t="str">
        <v>LIDERAZGO Y GESTIÓN DE
AUDITORIA</v>
      </c>
      <c r="W9" t="str">
        <v>DISEÑO, DESARROLLO  Y EVALUACIÓN DE  PROYECTOS</v>
      </c>
      <c r="BD9" t="str" cm="1">
        <f t="array" ref="BD9">TRANSPOSE(_xlfn.UNIQUE(_xlfn._xlws.FILTER(Tabla3[DETALLADO],(Tabla3[NIVEL]=ASIGNACION!$C9)*(Tabla3[CARRERA]=ASIGNACION!$A9),"No existe información")))</f>
        <v>No existe información</v>
      </c>
      <c r="BQ9" s="1" t="str" cm="1">
        <f t="array" ref="BQ9">IFERROR(
    TRANSPOSE(
        _xlfn.UNIQUE(
            _xlfn._xlws.FILTER(
                Tabla1_1[MAESTRIA],
                ISNUMBER(MATCH(Tabla1_1[CAMPO_DETALLADO],BD10:BP10,0))
            )
        )
    ),
"")</f>
        <v/>
      </c>
      <c r="EA9" t="str" cm="1">
        <f t="array" ref="EA9">IFERROR(
    TRANSPOSE(
        _xlfn.UNIQUE(
            _xlfn._xlws.FILTER(
                Tabla1__2[NOMBRE_DOCENTE],
                ISNUMBER(MATCH(Tabla1__2[MAESTRIA],BQ9:DY9,0))
            )
        )
    ),
"")</f>
        <v/>
      </c>
    </row>
    <row r="10" spans="1:262" ht="20.25" customHeight="1">
      <c r="A10" cm="1">
        <f t="array" ref="A10:H10">TRANSPOSE(_xlfn.UNIQUE(_xlfn._xlws.FILTER(T_ASIGNATURA1[ID_NIVEL],T_ASIGNATURA1[ID_CARRERA]=ASIGNACION!$A10,"No existe información")))</f>
        <v>8</v>
      </c>
      <c r="B10">
        <v>7</v>
      </c>
      <c r="C10">
        <v>6</v>
      </c>
      <c r="D10">
        <v>5</v>
      </c>
      <c r="E10">
        <v>4</v>
      </c>
      <c r="F10">
        <v>3</v>
      </c>
      <c r="G10">
        <v>2</v>
      </c>
      <c r="H10">
        <v>1</v>
      </c>
      <c r="S10" t="str" cm="1">
        <f t="array" ref="S10:W10">TRANSPOSE(_xlfn.UNIQUE(_xlfn._xlws.FILTER(T_ASIGNATURA1[NOM_ASIG],(T_ASIGNATURA1[ID_NIVEL]=ASIGNACION!$C10)*(T_ASIGNATURA1[ID_CARRERA]=ASIGNACION!$A10),"No existe información")))</f>
        <v>ÉTICA PROFESIONAL</v>
      </c>
      <c r="T10" t="str">
        <v>PLANIFICACIÓN Y DIRECCIÓN ESTRATÉGICA</v>
      </c>
      <c r="U10" t="str">
        <v>GESTIÓN TRIBUTARIA</v>
      </c>
      <c r="V10" t="str">
        <v>CONTABILIDAD EN EL SECTOR PÚBLICO</v>
      </c>
      <c r="W10" t="str">
        <v>PLANIFICACIÓN DE AUDITORÍAS</v>
      </c>
      <c r="BD10" t="str" cm="1">
        <f t="array" ref="BD10">TRANSPOSE(_xlfn.UNIQUE(_xlfn._xlws.FILTER(Tabla3[DETALLADO],(Tabla3[NIVEL]=ASIGNACION!$C10)*(Tabla3[CARRERA]=ASIGNACION!$A10),"No existe información")))</f>
        <v>No existe información</v>
      </c>
      <c r="BQ10" s="1" t="str" cm="1">
        <f t="array" ref="BQ10">IFERROR(
    TRANSPOSE(
        _xlfn.UNIQUE(
            _xlfn._xlws.FILTER(
                Tabla1_1[MAESTRIA],
                ISNUMBER(MATCH(Tabla1_1[CAMPO_DETALLADO],BD11:BP11,0))
            )
        )
    ),
"")</f>
        <v/>
      </c>
      <c r="EA10" t="str" cm="1">
        <f t="array" ref="EA10">IFERROR(
    TRANSPOSE(
        _xlfn.UNIQUE(
            _xlfn._xlws.FILTER(
                Tabla1__2[NOMBRE_DOCENTE],
                ISNUMBER(MATCH(Tabla1__2[MAESTRIA],BQ10:DY10,0))
            )
        )
    ),
"")</f>
        <v/>
      </c>
    </row>
    <row r="11" spans="1:262" ht="20.25" customHeight="1">
      <c r="A11" cm="1">
        <f t="array" ref="A11:H11">TRANSPOSE(_xlfn.UNIQUE(_xlfn._xlws.FILTER(T_ASIGNATURA1[ID_NIVEL],T_ASIGNATURA1[ID_CARRERA]=ASIGNACION!$A11,"No existe información")))</f>
        <v>8</v>
      </c>
      <c r="B11">
        <v>7</v>
      </c>
      <c r="C11">
        <v>6</v>
      </c>
      <c r="D11">
        <v>5</v>
      </c>
      <c r="E11">
        <v>4</v>
      </c>
      <c r="F11">
        <v>3</v>
      </c>
      <c r="G11">
        <v>2</v>
      </c>
      <c r="H11">
        <v>1</v>
      </c>
      <c r="S11" t="str" cm="1">
        <f t="array" ref="S11:W11">TRANSPOSE(_xlfn.UNIQUE(_xlfn._xlws.FILTER(T_ASIGNATURA1[NOM_ASIG],(T_ASIGNATURA1[ID_NIVEL]=ASIGNACION!$C11)*(T_ASIGNATURA1[ID_CARRERA]=ASIGNACION!$A11),"No existe información")))</f>
        <v>ÉTICA PROFESIONAL</v>
      </c>
      <c r="T11" t="str">
        <v>PLANIFICACIÓN Y DIRECCIÓN ESTRATÉGICA</v>
      </c>
      <c r="U11" t="str">
        <v>GESTIÓN TRIBUTARIA</v>
      </c>
      <c r="V11" t="str">
        <v>CONTABILIDAD EN EL SECTOR PÚBLICO</v>
      </c>
      <c r="W11" t="str">
        <v>PLANIFICACIÓN DE AUDITORÍAS</v>
      </c>
      <c r="BD11" t="str" cm="1">
        <f t="array" ref="BD11">TRANSPOSE(_xlfn.UNIQUE(_xlfn._xlws.FILTER(Tabla3[DETALLADO],(Tabla3[NIVEL]=ASIGNACION!$C11)*(Tabla3[CARRERA]=ASIGNACION!$A11),"No existe información")))</f>
        <v>No existe información</v>
      </c>
      <c r="BQ11" s="1" t="str" cm="1">
        <f t="array" ref="BQ11">IFERROR(
    TRANSPOSE(
        _xlfn.UNIQUE(
            _xlfn._xlws.FILTER(
                Tabla1_1[MAESTRIA],
                ISNUMBER(MATCH(Tabla1_1[CAMPO_DETALLADO],BD12:BP12,0))
            )
        )
    ),
"")</f>
        <v/>
      </c>
      <c r="EA11" t="str" cm="1">
        <f t="array" ref="EA11">IFERROR(
    TRANSPOSE(
        _xlfn.UNIQUE(
            _xlfn._xlws.FILTER(
                Tabla1__2[NOMBRE_DOCENTE],
                ISNUMBER(MATCH(Tabla1__2[MAESTRIA],BQ11:DY11,0))
            )
        )
    ),
"")</f>
        <v/>
      </c>
    </row>
    <row r="12" spans="1:262" ht="20.25" customHeight="1">
      <c r="A12" cm="1">
        <f t="array" ref="A12:H12">TRANSPOSE(_xlfn.UNIQUE(_xlfn._xlws.FILTER(T_ASIGNATURA1[ID_NIVEL],T_ASIGNATURA1[ID_CARRERA]=ASIGNACION!$A12,"No existe información")))</f>
        <v>8</v>
      </c>
      <c r="B12">
        <v>7</v>
      </c>
      <c r="C12">
        <v>6</v>
      </c>
      <c r="D12">
        <v>5</v>
      </c>
      <c r="E12">
        <v>4</v>
      </c>
      <c r="F12">
        <v>3</v>
      </c>
      <c r="G12">
        <v>2</v>
      </c>
      <c r="H12">
        <v>1</v>
      </c>
      <c r="S12" t="str" cm="1">
        <f t="array" ref="S12:W12">TRANSPOSE(_xlfn.UNIQUE(_xlfn._xlws.FILTER(T_ASIGNATURA1[NOM_ASIG],(T_ASIGNATURA1[ID_NIVEL]=ASIGNACION!$C12)*(T_ASIGNATURA1[ID_CARRERA]=ASIGNACION!$A12),"No existe información")))</f>
        <v>AUDITORÍA INTEGRAL</v>
      </c>
      <c r="T12" t="str">
        <v>AUDITORÍA FORENSE</v>
      </c>
      <c r="U12" t="str">
        <v>AUDITORÍA DE SISTEMAS
DE INFORMACIÓN</v>
      </c>
      <c r="V12" t="str">
        <v>LIDERAZGO Y GESTIÓN DE
AUDITORIA</v>
      </c>
      <c r="W12" t="str">
        <v>DISEÑO, DESARROLLO  Y EVALUACIÓN DE  PROYECTOS</v>
      </c>
      <c r="BD12" t="str" cm="1">
        <f t="array" ref="BD12">TRANSPOSE(_xlfn.UNIQUE(_xlfn._xlws.FILTER(Tabla3[DETALLADO],(Tabla3[NIVEL]=ASIGNACION!$C12)*(Tabla3[CARRERA]=ASIGNACION!$A12),"No existe información")))</f>
        <v>No existe información</v>
      </c>
      <c r="BQ12" s="1" t="str" cm="1">
        <f t="array" ref="BQ12">IFERROR(
    TRANSPOSE(
        _xlfn.UNIQUE(
            _xlfn._xlws.FILTER(
                Tabla1_1[MAESTRIA],
                ISNUMBER(MATCH(Tabla1_1[CAMPO_DETALLADO],BD13:BP13,0))
            )
        )
    ),
"")</f>
        <v/>
      </c>
      <c r="EA12" t="str" cm="1">
        <f t="array" ref="EA12">IFERROR(
    TRANSPOSE(
        _xlfn.UNIQUE(
            _xlfn._xlws.FILTER(
                Tabla1__2[NOMBRE_DOCENTE],
                ISNUMBER(MATCH(Tabla1__2[MAESTRIA],BQ12:DY12,0))
            )
        )
    ),
"")</f>
        <v/>
      </c>
    </row>
    <row r="13" spans="1:262" ht="20.25" customHeight="1">
      <c r="A13" cm="1">
        <f t="array" ref="A13:H13">TRANSPOSE(_xlfn.UNIQUE(_xlfn._xlws.FILTER(T_ASIGNATURA1[ID_NIVEL],T_ASIGNATURA1[ID_CARRERA]=ASIGNACION!$A13,"No existe información")))</f>
        <v>8</v>
      </c>
      <c r="B13">
        <v>7</v>
      </c>
      <c r="C13">
        <v>6</v>
      </c>
      <c r="D13">
        <v>5</v>
      </c>
      <c r="E13">
        <v>4</v>
      </c>
      <c r="F13">
        <v>3</v>
      </c>
      <c r="G13">
        <v>2</v>
      </c>
      <c r="H13">
        <v>1</v>
      </c>
      <c r="S13" t="str" cm="1">
        <f t="array" ref="S13:V13">TRANSPOSE(_xlfn.UNIQUE(_xlfn._xlws.FILTER(T_ASIGNATURA1[NOM_ASIG],(T_ASIGNATURA1[ID_NIVEL]=ASIGNACION!$C13)*(T_ASIGNATURA1[ID_CARRERA]=ASIGNACION!$A13),"No existe información")))</f>
        <v>LEGISLACIÓN LABORAL</v>
      </c>
      <c r="T13" t="str">
        <v>ESTADÍSTICA INFERENCIAL</v>
      </c>
      <c r="U13" t="str">
        <v>MATEMÁTICA FINANCIERA</v>
      </c>
      <c r="V13" t="str">
        <v>CONTABILIDAD FINANCIERA</v>
      </c>
      <c r="BD13" t="str" cm="1">
        <f t="array" ref="BD13">TRANSPOSE(_xlfn.UNIQUE(_xlfn._xlws.FILTER(Tabla3[DETALLADO],(Tabla3[NIVEL]=ASIGNACION!$C13)*(Tabla3[CARRERA]=ASIGNACION!$A13),"No existe información")))</f>
        <v>No existe información</v>
      </c>
      <c r="BQ13" s="1" t="str" cm="1">
        <f t="array" ref="BQ13">IFERROR(
    TRANSPOSE(
        _xlfn.UNIQUE(
            _xlfn._xlws.FILTER(
                Tabla1_1[MAESTRIA],
                ISNUMBER(MATCH(Tabla1_1[CAMPO_DETALLADO],BD14:BP14,0))
            )
        )
    ),
"")</f>
        <v/>
      </c>
      <c r="EA13" t="str" cm="1">
        <f t="array" ref="EA13">IFERROR(
    TRANSPOSE(
        _xlfn.UNIQUE(
            _xlfn._xlws.FILTER(
                Tabla1__2[NOMBRE_DOCENTE],
                ISNUMBER(MATCH(Tabla1__2[MAESTRIA],BQ13:DY13,0))
            )
        )
    ),
"")</f>
        <v/>
      </c>
    </row>
    <row r="14" spans="1:262" ht="20.25" customHeight="1">
      <c r="A14" cm="1">
        <f t="array" ref="A14:H14">TRANSPOSE(_xlfn.UNIQUE(_xlfn._xlws.FILTER(T_ASIGNATURA1[ID_NIVEL],T_ASIGNATURA1[ID_CARRERA]=ASIGNACION!$A14,"No existe información")))</f>
        <v>8</v>
      </c>
      <c r="B14">
        <v>7</v>
      </c>
      <c r="C14">
        <v>6</v>
      </c>
      <c r="D14">
        <v>5</v>
      </c>
      <c r="E14">
        <v>4</v>
      </c>
      <c r="F14">
        <v>3</v>
      </c>
      <c r="G14">
        <v>2</v>
      </c>
      <c r="H14">
        <v>1</v>
      </c>
      <c r="S14" t="str" cm="1">
        <f t="array" ref="S14:V14">TRANSPOSE(_xlfn.UNIQUE(_xlfn._xlws.FILTER(T_ASIGNATURA1[NOM_ASIG],(T_ASIGNATURA1[ID_NIVEL]=ASIGNACION!$C14)*(T_ASIGNATURA1[ID_CARRERA]=ASIGNACION!$A14),"No existe información")))</f>
        <v>LEGISLACIÓN MERCANTIL Y SOCIERTARIA</v>
      </c>
      <c r="T14" t="str">
        <v>ESTADÍSTICA DESCRIPTIVA</v>
      </c>
      <c r="U14" t="str">
        <v>FUNDAMENTOS DE ADMINISTRACIÓN</v>
      </c>
      <c r="V14" t="str">
        <v>FUNDAMENTOS DE CONTABILIDAD</v>
      </c>
      <c r="BD14" t="str" cm="1">
        <f t="array" ref="BD14">TRANSPOSE(_xlfn.UNIQUE(_xlfn._xlws.FILTER(Tabla3[DETALLADO],(Tabla3[NIVEL]=ASIGNACION!$C14)*(Tabla3[CARRERA]=ASIGNACION!$A14),"No existe información")))</f>
        <v>No existe información</v>
      </c>
      <c r="BQ14" s="1" t="str" cm="1">
        <f t="array" ref="BQ14">IFERROR(
    TRANSPOSE(
        _xlfn.UNIQUE(
            _xlfn._xlws.FILTER(
                Tabla1_1[MAESTRIA],
                ISNUMBER(MATCH(Tabla1_1[CAMPO_DETALLADO],BD15:BP15,0))
            )
        )
    ),
"")</f>
        <v/>
      </c>
      <c r="EA14" t="str" cm="1">
        <f t="array" ref="EA14">IFERROR(
    TRANSPOSE(
        _xlfn.UNIQUE(
            _xlfn._xlws.FILTER(
                Tabla1__2[NOMBRE_DOCENTE],
                ISNUMBER(MATCH(Tabla1__2[MAESTRIA],BQ14:DY14,0))
            )
        )
    ),
"")</f>
        <v/>
      </c>
    </row>
    <row r="15" spans="1:262" ht="20.25" customHeight="1">
      <c r="A15" cm="1">
        <f t="array" ref="A15:H15">TRANSPOSE(_xlfn.UNIQUE(_xlfn._xlws.FILTER(T_ASIGNATURA1[ID_NIVEL],T_ASIGNATURA1[ID_CARRERA]=ASIGNACION!$A15,"No existe información")))</f>
        <v>8</v>
      </c>
      <c r="B15">
        <v>7</v>
      </c>
      <c r="C15">
        <v>6</v>
      </c>
      <c r="D15">
        <v>5</v>
      </c>
      <c r="E15">
        <v>4</v>
      </c>
      <c r="F15">
        <v>3</v>
      </c>
      <c r="G15">
        <v>2</v>
      </c>
      <c r="H15">
        <v>1</v>
      </c>
      <c r="S15" t="str" cm="1">
        <f t="array" ref="S15">TRANSPOSE(_xlfn.UNIQUE(_xlfn._xlws.FILTER(T_ASIGNATURA1[NOM_ASIG],(T_ASIGNATURA1[ID_NIVEL]=ASIGNACION!$C15)*(T_ASIGNATURA1[ID_CARRERA]=ASIGNACION!$A15),"No existe información")))</f>
        <v>No existe información</v>
      </c>
      <c r="BD15" t="str" cm="1">
        <f t="array" ref="BD15">TRANSPOSE(_xlfn.UNIQUE(_xlfn._xlws.FILTER(Tabla3[DETALLADO],(Tabla3[NIVEL]=ASIGNACION!$C15)*(Tabla3[CARRERA]=ASIGNACION!$A15),"No existe información")))</f>
        <v>No existe información</v>
      </c>
      <c r="BQ15" s="1" t="str" cm="1">
        <f t="array" ref="BQ15">IFERROR(
    TRANSPOSE(
        _xlfn.UNIQUE(
            _xlfn._xlws.FILTER(
                Tabla1_1[MAESTRIA],
                ISNUMBER(MATCH(Tabla1_1[CAMPO_DETALLADO],BD16:BP16,0))
            )
        )
    ),
"")</f>
        <v/>
      </c>
      <c r="EA15" t="str" cm="1">
        <f t="array" ref="EA15">IFERROR(
    TRANSPOSE(
        _xlfn.UNIQUE(
            _xlfn._xlws.FILTER(
                Tabla1__2[NOMBRE_DOCENTE],
                ISNUMBER(MATCH(Tabla1__2[MAESTRIA],BQ15:DY15,0))
            )
        )
    ),
"")</f>
        <v/>
      </c>
    </row>
    <row r="16" spans="1:262" ht="20.25" customHeight="1">
      <c r="A16" cm="1">
        <f t="array" ref="A16:H16">TRANSPOSE(_xlfn.UNIQUE(_xlfn._xlws.FILTER(T_ASIGNATURA1[ID_NIVEL],T_ASIGNATURA1[ID_CARRERA]=ASIGNACION!$A16,"No existe información")))</f>
        <v>8</v>
      </c>
      <c r="B16">
        <v>7</v>
      </c>
      <c r="C16">
        <v>6</v>
      </c>
      <c r="D16">
        <v>5</v>
      </c>
      <c r="E16">
        <v>4</v>
      </c>
      <c r="F16">
        <v>3</v>
      </c>
      <c r="G16">
        <v>2</v>
      </c>
      <c r="H16">
        <v>1</v>
      </c>
      <c r="S16" t="str" cm="1">
        <f t="array" ref="S16">TRANSPOSE(_xlfn.UNIQUE(_xlfn._xlws.FILTER(T_ASIGNATURA1[NOM_ASIG],(T_ASIGNATURA1[ID_NIVEL]=ASIGNACION!$C16)*(T_ASIGNATURA1[ID_CARRERA]=ASIGNACION!$A16),"No existe información")))</f>
        <v>No existe información</v>
      </c>
      <c r="BD16" t="str" cm="1">
        <f t="array" ref="BD16">TRANSPOSE(_xlfn.UNIQUE(_xlfn._xlws.FILTER(Tabla3[DETALLADO],(Tabla3[NIVEL]=ASIGNACION!$C16)*(Tabla3[CARRERA]=ASIGNACION!$A16),"No existe información")))</f>
        <v>No existe información</v>
      </c>
      <c r="BQ16" s="1" t="str" cm="1">
        <f t="array" ref="BQ16">IFERROR(
    TRANSPOSE(
        _xlfn.UNIQUE(
            _xlfn._xlws.FILTER(
                Tabla1_1[MAESTRIA],
                ISNUMBER(MATCH(Tabla1_1[CAMPO_DETALLADO],BD17:BP17,0))
            )
        )
    ),
"")</f>
        <v/>
      </c>
      <c r="EA16" t="str" cm="1">
        <f t="array" ref="EA16">IFERROR(
    TRANSPOSE(
        _xlfn.UNIQUE(
            _xlfn._xlws.FILTER(
                Tabla1__2[NOMBRE_DOCENTE],
                ISNUMBER(MATCH(Tabla1__2[MAESTRIA],BQ16:DY16,0))
            )
        )
    ),
"")</f>
        <v/>
      </c>
    </row>
    <row r="17" spans="1:131" ht="20.25" customHeight="1">
      <c r="A17" cm="1">
        <f t="array" ref="A17:H17">TRANSPOSE(_xlfn.UNIQUE(_xlfn._xlws.FILTER(T_ASIGNATURA1[ID_NIVEL],T_ASIGNATURA1[ID_CARRERA]=ASIGNACION!$A17,"No existe información")))</f>
        <v>8</v>
      </c>
      <c r="B17">
        <v>7</v>
      </c>
      <c r="C17">
        <v>6</v>
      </c>
      <c r="D17">
        <v>5</v>
      </c>
      <c r="E17">
        <v>4</v>
      </c>
      <c r="F17">
        <v>3</v>
      </c>
      <c r="G17">
        <v>2</v>
      </c>
      <c r="H17">
        <v>1</v>
      </c>
      <c r="S17" t="str" cm="1">
        <f t="array" ref="S17">TRANSPOSE(_xlfn.UNIQUE(_xlfn._xlws.FILTER(T_ASIGNATURA1[NOM_ASIG],(T_ASIGNATURA1[ID_NIVEL]=ASIGNACION!$C17)*(T_ASIGNATURA1[ID_CARRERA]=ASIGNACION!$A17),"No existe información")))</f>
        <v>No existe información</v>
      </c>
      <c r="BD17" t="str" cm="1">
        <f t="array" ref="BD17">TRANSPOSE(_xlfn.UNIQUE(_xlfn._xlws.FILTER(Tabla3[DETALLADO],(Tabla3[NIVEL]=ASIGNACION!$C17)*(Tabla3[CARRERA]=ASIGNACION!$A17),"No existe información")))</f>
        <v>No existe información</v>
      </c>
      <c r="BQ17" s="1" t="str" cm="1">
        <f t="array" ref="BQ17">IFERROR(
    TRANSPOSE(
        _xlfn.UNIQUE(
            _xlfn._xlws.FILTER(
                Tabla1_1[MAESTRIA],
                ISNUMBER(MATCH(Tabla1_1[CAMPO_DETALLADO],BD18:BP18,0))
            )
        )
    ),
"")</f>
        <v/>
      </c>
      <c r="EA17" t="str" cm="1">
        <f t="array" ref="EA17">IFERROR(
    TRANSPOSE(
        _xlfn.UNIQUE(
            _xlfn._xlws.FILTER(
                Tabla1__2[NOMBRE_DOCENTE],
                ISNUMBER(MATCH(Tabla1__2[MAESTRIA],BQ17:DY17,0))
            )
        )
    ),
"")</f>
        <v/>
      </c>
    </row>
    <row r="18" spans="1:131" ht="20.25" customHeight="1">
      <c r="A18" cm="1">
        <f t="array" ref="A18:H18">TRANSPOSE(_xlfn.UNIQUE(_xlfn._xlws.FILTER(T_ASIGNATURA1[ID_NIVEL],T_ASIGNATURA1[ID_CARRERA]=ASIGNACION!$A18,"No existe información")))</f>
        <v>8</v>
      </c>
      <c r="B18">
        <v>7</v>
      </c>
      <c r="C18">
        <v>6</v>
      </c>
      <c r="D18">
        <v>5</v>
      </c>
      <c r="E18">
        <v>4</v>
      </c>
      <c r="F18">
        <v>3</v>
      </c>
      <c r="G18">
        <v>2</v>
      </c>
      <c r="H18">
        <v>1</v>
      </c>
      <c r="S18" t="str" cm="1">
        <f t="array" ref="S18">TRANSPOSE(_xlfn.UNIQUE(_xlfn._xlws.FILTER(T_ASIGNATURA1[NOM_ASIG],(T_ASIGNATURA1[ID_NIVEL]=ASIGNACION!$C18)*(T_ASIGNATURA1[ID_CARRERA]=ASIGNACION!$A18),"No existe información")))</f>
        <v>No existe información</v>
      </c>
      <c r="BD18" t="str" cm="1">
        <f t="array" ref="BD18">TRANSPOSE(_xlfn.UNIQUE(_xlfn._xlws.FILTER(Tabla3[DETALLADO],(Tabla3[NIVEL]=ASIGNACION!$C18)*(Tabla3[CARRERA]=ASIGNACION!$A18),"No existe información")))</f>
        <v>No existe información</v>
      </c>
      <c r="BQ18" s="1" t="str" cm="1">
        <f t="array" aca="1" ref="BQ18" ca="1">IFERROR(
    TRANSPOSE(
        _xlfn.UNIQUE(
            _xlfn._xlws.FILTER(
                Tabla1_1[MAESTRIA],
                ISNUMBER(MATCH(Tabla1_1[CAMPO_DETALLADO],BD19:BP19,0))
            )
        )
    ),
"")</f>
        <v/>
      </c>
      <c r="EA18" t="str" cm="1">
        <f t="array" aca="1" ref="EA18" ca="1">IFERROR(
    TRANSPOSE(
        _xlfn.UNIQUE(
            _xlfn._xlws.FILTER(
                Tabla1__2[NOMBRE_DOCENTE],
                ISNUMBER(MATCH(Tabla1__2[MAESTRIA],BQ18:DY18,0))
            )
        )
    ),
"")</f>
        <v/>
      </c>
    </row>
    <row r="19" spans="1:131" ht="20.25" customHeight="1">
      <c r="A19" cm="1">
        <f t="array" ref="A19:H19">TRANSPOSE(_xlfn.UNIQUE(_xlfn._xlws.FILTER(T_ASIGNATURA1[ID_NIVEL],T_ASIGNATURA1[ID_CARRERA]=ASIGNACION!$A19,"No existe información")))</f>
        <v>8</v>
      </c>
      <c r="B19">
        <v>7</v>
      </c>
      <c r="C19">
        <v>6</v>
      </c>
      <c r="D19">
        <v>5</v>
      </c>
      <c r="E19">
        <v>4</v>
      </c>
      <c r="F19">
        <v>3</v>
      </c>
      <c r="G19">
        <v>2</v>
      </c>
      <c r="H19">
        <v>1</v>
      </c>
      <c r="S19" t="e" cm="1">
        <f t="array" aca="1" ref="S19" ca="1">TRANSPOSE(_xlfn.UNIQUE(_xlfn._xlws.FILTER(T_ASIGNATURA1[NOM_ASIG],(T_ASIGNATURA1[ID_NIVEL]=ASIGNACION!$C19)*(T_ASIGNATURA1[ID_CARRERA]=ASIGNACION!$A19),"No existe información")))</f>
        <v>#REF!</v>
      </c>
      <c r="BD19" t="e" cm="1">
        <f t="array" aca="1" ref="BD19" ca="1">TRANSPOSE(_xlfn.UNIQUE(_xlfn._xlws.FILTER(Tabla3[DETALLADO],(Tabla3[NIVEL]=ASIGNACION!$C19)*(Tabla3[CARRERA]=ASIGNACION!$A19),"No existe información")))</f>
        <v>#REF!</v>
      </c>
      <c r="BQ19" s="1" t="str" cm="1">
        <f t="array" aca="1" ref="BQ19" ca="1">IFERROR(
    TRANSPOSE(
        _xlfn.UNIQUE(
            _xlfn._xlws.FILTER(
                Tabla1_1[MAESTRIA],
                ISNUMBER(MATCH(Tabla1_1[CAMPO_DETALLADO],BD20:BP20,0))
            )
        )
    ),
"")</f>
        <v/>
      </c>
      <c r="EA19" t="str" cm="1">
        <f t="array" aca="1" ref="EA19" ca="1">IFERROR(
    TRANSPOSE(
        _xlfn.UNIQUE(
            _xlfn._xlws.FILTER(
                Tabla1__2[NOMBRE_DOCENTE],
                ISNUMBER(MATCH(Tabla1__2[MAESTRIA],BQ19:DY19,0))
            )
        )
    ),
"")</f>
        <v/>
      </c>
    </row>
    <row r="20" spans="1:131" ht="20.25" customHeight="1">
      <c r="A20" cm="1">
        <f t="array" ref="A20:H20">TRANSPOSE(_xlfn.UNIQUE(_xlfn._xlws.FILTER(T_ASIGNATURA1[ID_NIVEL],T_ASIGNATURA1[ID_CARRERA]=ASIGNACION!$A20,"No existe información")))</f>
        <v>8</v>
      </c>
      <c r="B20">
        <v>7</v>
      </c>
      <c r="C20">
        <v>6</v>
      </c>
      <c r="D20">
        <v>5</v>
      </c>
      <c r="E20">
        <v>4</v>
      </c>
      <c r="F20">
        <v>3</v>
      </c>
      <c r="G20">
        <v>2</v>
      </c>
      <c r="H20">
        <v>1</v>
      </c>
      <c r="S20" t="e" cm="1">
        <f t="array" aca="1" ref="S20" ca="1">TRANSPOSE(_xlfn.UNIQUE(_xlfn._xlws.FILTER(T_ASIGNATURA1[NOM_ASIG],(T_ASIGNATURA1[ID_NIVEL]=ASIGNACION!$C20)*(T_ASIGNATURA1[ID_CARRERA]=ASIGNACION!$A20),"No existe información")))</f>
        <v>#REF!</v>
      </c>
      <c r="BD20" t="e" cm="1">
        <f t="array" aca="1" ref="BD20" ca="1">TRANSPOSE(_xlfn.UNIQUE(_xlfn._xlws.FILTER(Tabla3[DETALLADO],(Tabla3[NIVEL]=ASIGNACION!$C20)*(Tabla3[CARRERA]=ASIGNACION!$A20),"No existe información")))</f>
        <v>#REF!</v>
      </c>
      <c r="BQ20" s="1" t="str" cm="1">
        <f t="array" aca="1" ref="BQ20" ca="1">IFERROR(
    TRANSPOSE(
        _xlfn.UNIQUE(
            _xlfn._xlws.FILTER(
                Tabla1_1[MAESTRIA],
                ISNUMBER(MATCH(Tabla1_1[CAMPO_DETALLADO],BD21:BP21,0))
            )
        )
    ),
"")</f>
        <v/>
      </c>
      <c r="EA20" t="str" cm="1">
        <f t="array" aca="1" ref="EA20" ca="1">IFERROR(
    TRANSPOSE(
        _xlfn.UNIQUE(
            _xlfn._xlws.FILTER(
                Tabla1__2[NOMBRE_DOCENTE],
                ISNUMBER(MATCH(Tabla1__2[MAESTRIA],BQ20:DY20,0))
            )
        )
    ),
"")</f>
        <v/>
      </c>
    </row>
    <row r="21" spans="1:131" ht="20.25" customHeight="1">
      <c r="A21" cm="1">
        <f t="array" ref="A21:H21">TRANSPOSE(_xlfn.UNIQUE(_xlfn._xlws.FILTER(T_ASIGNATURA1[ID_NIVEL],T_ASIGNATURA1[ID_CARRERA]=ASIGNACION!$A21,"No existe información")))</f>
        <v>8</v>
      </c>
      <c r="B21">
        <v>7</v>
      </c>
      <c r="C21">
        <v>6</v>
      </c>
      <c r="D21">
        <v>5</v>
      </c>
      <c r="E21">
        <v>4</v>
      </c>
      <c r="F21">
        <v>3</v>
      </c>
      <c r="G21">
        <v>2</v>
      </c>
      <c r="H21">
        <v>1</v>
      </c>
      <c r="S21" t="e" cm="1">
        <f t="array" aca="1" ref="S21" ca="1">TRANSPOSE(_xlfn.UNIQUE(_xlfn._xlws.FILTER(T_ASIGNATURA1[NOM_ASIG],(T_ASIGNATURA1[ID_NIVEL]=ASIGNACION!$C21)*(T_ASIGNATURA1[ID_CARRERA]=ASIGNACION!$A21),"No existe información")))</f>
        <v>#REF!</v>
      </c>
      <c r="BD21" t="e" cm="1">
        <f t="array" aca="1" ref="BD21" ca="1">TRANSPOSE(_xlfn.UNIQUE(_xlfn._xlws.FILTER(Tabla3[DETALLADO],(Tabla3[NIVEL]=ASIGNACION!$C21)*(Tabla3[CARRERA]=ASIGNACION!$A21),"No existe información")))</f>
        <v>#REF!</v>
      </c>
      <c r="BQ21" s="1" t="str" cm="1">
        <f t="array" aca="1" ref="BQ21" ca="1">IFERROR(
    TRANSPOSE(
        _xlfn.UNIQUE(
            _xlfn._xlws.FILTER(
                Tabla1_1[MAESTRIA],
                ISNUMBER(MATCH(Tabla1_1[CAMPO_DETALLADO],BD22:BP22,0))
            )
        )
    ),
"")</f>
        <v/>
      </c>
      <c r="EA21" t="str" cm="1">
        <f t="array" aca="1" ref="EA21" ca="1">IFERROR(
    TRANSPOSE(
        _xlfn.UNIQUE(
            _xlfn._xlws.FILTER(
                Tabla1__2[NOMBRE_DOCENTE],
                ISNUMBER(MATCH(Tabla1__2[MAESTRIA],BQ21:DY21,0))
            )
        )
    ),
"")</f>
        <v/>
      </c>
    </row>
    <row r="22" spans="1:131" ht="20.25" customHeight="1">
      <c r="A22" cm="1">
        <f t="array" ref="A22:H22">TRANSPOSE(_xlfn.UNIQUE(_xlfn._xlws.FILTER(T_ASIGNATURA1[ID_NIVEL],T_ASIGNATURA1[ID_CARRERA]=ASIGNACION!$A22,"No existe información")))</f>
        <v>8</v>
      </c>
      <c r="B22">
        <v>7</v>
      </c>
      <c r="C22">
        <v>6</v>
      </c>
      <c r="D22">
        <v>5</v>
      </c>
      <c r="E22">
        <v>4</v>
      </c>
      <c r="F22">
        <v>3</v>
      </c>
      <c r="G22">
        <v>2</v>
      </c>
      <c r="H22">
        <v>1</v>
      </c>
      <c r="S22" t="e" cm="1">
        <f t="array" aca="1" ref="S22" ca="1">TRANSPOSE(_xlfn.UNIQUE(_xlfn._xlws.FILTER(T_ASIGNATURA1[NOM_ASIG],(T_ASIGNATURA1[ID_NIVEL]=ASIGNACION!$C22)*(T_ASIGNATURA1[ID_CARRERA]=ASIGNACION!$A22),"No existe información")))</f>
        <v>#REF!</v>
      </c>
      <c r="BD22" t="e" cm="1">
        <f t="array" aca="1" ref="BD22" ca="1">TRANSPOSE(_xlfn.UNIQUE(_xlfn._xlws.FILTER(Tabla3[DETALLADO],(Tabla3[NIVEL]=ASIGNACION!$C22)*(Tabla3[CARRERA]=ASIGNACION!$A22),"No existe información")))</f>
        <v>#REF!</v>
      </c>
      <c r="BQ22" s="1" t="str" cm="1">
        <f t="array" aca="1" ref="BQ22" ca="1">IFERROR(
    TRANSPOSE(
        _xlfn.UNIQUE(
            _xlfn._xlws.FILTER(
                Tabla1_1[MAESTRIA],
                ISNUMBER(MATCH(Tabla1_1[CAMPO_DETALLADO],BD23:BP23,0))
            )
        )
    ),
"")</f>
        <v/>
      </c>
      <c r="EA22" t="str" cm="1">
        <f t="array" aca="1" ref="EA22" ca="1">IFERROR(
    TRANSPOSE(
        _xlfn.UNIQUE(
            _xlfn._xlws.FILTER(
                Tabla1__2[NOMBRE_DOCENTE],
                ISNUMBER(MATCH(Tabla1__2[MAESTRIA],BQ22:DY22,0))
            )
        )
    ),
"")</f>
        <v/>
      </c>
    </row>
    <row r="23" spans="1:131" ht="20.25" customHeight="1">
      <c r="A23" cm="1">
        <f t="array" ref="A23:H23">TRANSPOSE(_xlfn.UNIQUE(_xlfn._xlws.FILTER(T_ASIGNATURA1[ID_NIVEL],T_ASIGNATURA1[ID_CARRERA]=ASIGNACION!$A23,"No existe información")))</f>
        <v>8</v>
      </c>
      <c r="B23">
        <v>7</v>
      </c>
      <c r="C23">
        <v>6</v>
      </c>
      <c r="D23">
        <v>5</v>
      </c>
      <c r="E23">
        <v>4</v>
      </c>
      <c r="F23">
        <v>3</v>
      </c>
      <c r="G23">
        <v>2</v>
      </c>
      <c r="H23">
        <v>1</v>
      </c>
      <c r="S23" t="e" cm="1">
        <f t="array" aca="1" ref="S23" ca="1">TRANSPOSE(_xlfn.UNIQUE(_xlfn._xlws.FILTER(T_ASIGNATURA1[NOM_ASIG],(T_ASIGNATURA1[ID_NIVEL]=ASIGNACION!$C23)*(T_ASIGNATURA1[ID_CARRERA]=ASIGNACION!$A23),"No existe información")))</f>
        <v>#REF!</v>
      </c>
      <c r="BD23" t="e" cm="1">
        <f t="array" aca="1" ref="BD23" ca="1">TRANSPOSE(_xlfn.UNIQUE(_xlfn._xlws.FILTER(Tabla3[DETALLADO],(Tabla3[NIVEL]=ASIGNACION!$C23)*(Tabla3[CARRERA]=ASIGNACION!$A23),"No existe información")))</f>
        <v>#REF!</v>
      </c>
      <c r="BQ23" s="1" t="str" cm="1">
        <f t="array" ref="BQ23">IFERROR(
    TRANSPOSE(
        _xlfn.UNIQUE(
            _xlfn._xlws.FILTER(
                Tabla1_1[MAESTRIA],
                ISNUMBER(MATCH(Tabla1_1[CAMPO_DETALLADO],BD24:BP24,0))
            )
        )
    ),
"")</f>
        <v/>
      </c>
      <c r="EA23" t="str" cm="1">
        <f t="array" ref="EA23">IFERROR(
    TRANSPOSE(
        _xlfn.UNIQUE(
            _xlfn._xlws.FILTER(
                Tabla1__2[NOMBRE_DOCENTE],
                ISNUMBER(MATCH(Tabla1__2[MAESTRIA],BQ23:DY23,0))
            )
        )
    ),
"")</f>
        <v/>
      </c>
    </row>
    <row r="24" spans="1:131" ht="20.25" customHeight="1">
      <c r="A24" t="str" cm="1">
        <f t="array" ref="A24">TRANSPOSE(_xlfn.UNIQUE(_xlfn._xlws.FILTER(T_ASIGNATURA1[ID_NIVEL],T_ASIGNATURA1[ID_CARRERA]=ASIGNACION!$A24,"No existe información")))</f>
        <v>No existe información</v>
      </c>
      <c r="S24" t="str" cm="1">
        <f t="array" ref="S24">TRANSPOSE(_xlfn.UNIQUE(_xlfn._xlws.FILTER(T_ASIGNATURA1[NOM_ASIG],(T_ASIGNATURA1[ID_NIVEL]=ASIGNACION!$C24)*(T_ASIGNATURA1[ID_CARRERA]=ASIGNACION!$A24),"No existe información")))</f>
        <v>No existe información</v>
      </c>
      <c r="BD24" t="str" cm="1">
        <f t="array" ref="BD24">TRANSPOSE(_xlfn.UNIQUE(_xlfn._xlws.FILTER(Tabla3[DETALLADO],(Tabla3[NIVEL]=ASIGNACION!$C24)*(Tabla3[CARRERA]=ASIGNACION!$A24),"No existe información")))</f>
        <v>No existe información</v>
      </c>
      <c r="BQ24" s="1" t="str" cm="1">
        <f t="array" ref="BQ24">IFERROR(
    TRANSPOSE(
        _xlfn.UNIQUE(
            _xlfn._xlws.FILTER(
                Tabla1_1[MAESTRIA],
                ISNUMBER(MATCH(Tabla1_1[CAMPO_DETALLADO],BD25:BP25,0))
            )
        )
    ),
"")</f>
        <v/>
      </c>
      <c r="EA24" t="str" cm="1">
        <f t="array" ref="EA24">IFERROR(
    TRANSPOSE(
        _xlfn.UNIQUE(
            _xlfn._xlws.FILTER(
                Tabla1__2[NOMBRE_DOCENTE],
                ISNUMBER(MATCH(Tabla1__2[MAESTRIA],BQ24:DY24,0))
            )
        )
    ),
"")</f>
        <v/>
      </c>
    </row>
    <row r="25" spans="1:131" ht="20.25" customHeight="1">
      <c r="A25" t="str" cm="1">
        <f t="array" ref="A25">TRANSPOSE(_xlfn.UNIQUE(_xlfn._xlws.FILTER(T_ASIGNATURA1[ID_NIVEL],T_ASIGNATURA1[ID_CARRERA]=ASIGNACION!$A25,"No existe información")))</f>
        <v>No existe información</v>
      </c>
      <c r="S25" t="str" cm="1">
        <f t="array" ref="S25">TRANSPOSE(_xlfn.UNIQUE(_xlfn._xlws.FILTER(T_ASIGNATURA1[NOM_ASIG],(T_ASIGNATURA1[ID_NIVEL]=ASIGNACION!$C25)*(T_ASIGNATURA1[ID_CARRERA]=ASIGNACION!$A25),"No existe información")))</f>
        <v>No existe información</v>
      </c>
      <c r="BD25" t="str" cm="1">
        <f t="array" ref="BD25">TRANSPOSE(_xlfn.UNIQUE(_xlfn._xlws.FILTER(Tabla3[DETALLADO],(Tabla3[NIVEL]=ASIGNACION!$C25)*(Tabla3[CARRERA]=ASIGNACION!$A25),"No existe información")))</f>
        <v>No existe información</v>
      </c>
      <c r="BQ25" s="1" t="str" cm="1">
        <f t="array" ref="BQ25">IFERROR(
    TRANSPOSE(
        _xlfn.UNIQUE(
            _xlfn._xlws.FILTER(
                Tabla1_1[MAESTRIA],
                ISNUMBER(MATCH(Tabla1_1[CAMPO_DETALLADO],BD26:BP26,0))
            )
        )
    ),
"")</f>
        <v/>
      </c>
      <c r="EA25" t="str" cm="1">
        <f t="array" ref="EA25">IFERROR(
    TRANSPOSE(
        _xlfn.UNIQUE(
            _xlfn._xlws.FILTER(
                Tabla1__2[NOMBRE_DOCENTE],
                ISNUMBER(MATCH(Tabla1__2[MAESTRIA],BQ25:DY25,0))
            )
        )
    ),
"")</f>
        <v/>
      </c>
    </row>
    <row r="26" spans="1:131" ht="20.25" customHeight="1">
      <c r="A26" t="str" cm="1">
        <f t="array" ref="A26">TRANSPOSE(_xlfn.UNIQUE(_xlfn._xlws.FILTER(T_ASIGNATURA1[ID_NIVEL],T_ASIGNATURA1[ID_CARRERA]=ASIGNACION!$A26,"No existe información")))</f>
        <v>No existe información</v>
      </c>
      <c r="S26" t="str" cm="1">
        <f t="array" ref="S26">TRANSPOSE(_xlfn.UNIQUE(_xlfn._xlws.FILTER(T_ASIGNATURA1[NOM_ASIG],(T_ASIGNATURA1[ID_NIVEL]=ASIGNACION!$C26)*(T_ASIGNATURA1[ID_CARRERA]=ASIGNACION!$A26),"No existe información")))</f>
        <v>No existe información</v>
      </c>
      <c r="BD26" t="str" cm="1">
        <f t="array" ref="BD26">TRANSPOSE(_xlfn.UNIQUE(_xlfn._xlws.FILTER(Tabla3[DETALLADO],(Tabla3[NIVEL]=ASIGNACION!$C26)*(Tabla3[CARRERA]=ASIGNACION!$A26),"No existe información")))</f>
        <v>No existe información</v>
      </c>
      <c r="BQ26" s="1" t="str" cm="1">
        <f t="array" ref="BQ26">IFERROR(
    TRANSPOSE(
        _xlfn.UNIQUE(
            _xlfn._xlws.FILTER(
                Tabla1_1[MAESTRIA],
                ISNUMBER(MATCH(Tabla1_1[CAMPO_DETALLADO],BD27:BP27,0))
            )
        )
    ),
"")</f>
        <v/>
      </c>
      <c r="EA26" t="str" cm="1">
        <f t="array" ref="EA26">IFERROR(
    TRANSPOSE(
        _xlfn.UNIQUE(
            _xlfn._xlws.FILTER(
                Tabla1__2[NOMBRE_DOCENTE],
                ISNUMBER(MATCH(Tabla1__2[MAESTRIA],BQ26:DY26,0))
            )
        )
    ),
"")</f>
        <v/>
      </c>
    </row>
    <row r="27" spans="1:131" ht="20.25" customHeight="1">
      <c r="A27" t="str" cm="1">
        <f t="array" ref="A27">TRANSPOSE(_xlfn.UNIQUE(_xlfn._xlws.FILTER(T_ASIGNATURA1[ID_NIVEL],T_ASIGNATURA1[ID_CARRERA]=ASIGNACION!$A27,"No existe información")))</f>
        <v>No existe información</v>
      </c>
      <c r="S27" t="str" cm="1">
        <f t="array" ref="S27">TRANSPOSE(_xlfn.UNIQUE(_xlfn._xlws.FILTER(T_ASIGNATURA1[NOM_ASIG],(T_ASIGNATURA1[ID_NIVEL]=ASIGNACION!$C27)*(T_ASIGNATURA1[ID_CARRERA]=ASIGNACION!$A27),"No existe información")))</f>
        <v>No existe información</v>
      </c>
      <c r="BQ27" s="1" t="str" cm="1">
        <f t="array" ref="BQ27">IFERROR(
    TRANSPOSE(
        _xlfn.UNIQUE(
            _xlfn._xlws.FILTER(
                Tabla1_1[MAESTRIA],
                ISNUMBER(MATCH(Tabla1_1[CAMPO_DETALLADO],BD28:BP28,0))
            )
        )
    ),
"")</f>
        <v/>
      </c>
      <c r="EA27" t="str" cm="1">
        <f t="array" ref="EA27">IFERROR(
    TRANSPOSE(
        _xlfn.UNIQUE(
            _xlfn._xlws.FILTER(
                Tabla1__2[NOMBRE_DOCENTE],
                ISNUMBER(MATCH(Tabla1__2[MAESTRIA],BQ27:DY27,0))
            )
        )
    ),
"")</f>
        <v/>
      </c>
    </row>
    <row r="28" spans="1:131" ht="20.25" customHeight="1">
      <c r="A28" t="str" cm="1">
        <f t="array" ref="A28">TRANSPOSE(_xlfn.UNIQUE(_xlfn._xlws.FILTER(T_ASIGNATURA1[ID_NIVEL],T_ASIGNATURA1[ID_CARRERA]=ASIGNACION!$A28,"No existe información")))</f>
        <v>No existe información</v>
      </c>
      <c r="S28" t="str" cm="1">
        <f t="array" ref="S28">TRANSPOSE(_xlfn.UNIQUE(_xlfn._xlws.FILTER(T_ASIGNATURA1[NOM_ASIG],(T_ASIGNATURA1[ID_NIVEL]=ASIGNACION!$C28)*(T_ASIGNATURA1[ID_CARRERA]=ASIGNACION!$A28),"No existe información")))</f>
        <v>No existe información</v>
      </c>
      <c r="BQ28" s="1" t="str" cm="1">
        <f t="array" ref="BQ28">IFERROR(
    TRANSPOSE(
        _xlfn.UNIQUE(
            _xlfn._xlws.FILTER(
                Tabla1_1[MAESTRIA],
                ISNUMBER(MATCH(Tabla1_1[CAMPO_DETALLADO],BD29:BP29,0))
            )
        )
    ),
"")</f>
        <v/>
      </c>
      <c r="EA28" t="str" cm="1">
        <f t="array" ref="EA28">IFERROR(
    TRANSPOSE(
        _xlfn.UNIQUE(
            _xlfn._xlws.FILTER(
                Tabla1__2[NOMBRE_DOCENTE],
                ISNUMBER(MATCH(Tabla1__2[MAESTRIA],BQ28:DY28,0))
            )
        )
    ),
"")</f>
        <v/>
      </c>
    </row>
    <row r="29" spans="1:131" ht="20.25" customHeight="1">
      <c r="A29" t="str" cm="1">
        <f t="array" ref="A29">TRANSPOSE(_xlfn.UNIQUE(_xlfn._xlws.FILTER(T_ASIGNATURA1[ID_NIVEL],T_ASIGNATURA1[ID_CARRERA]=ASIGNACION!$A29,"No existe información")))</f>
        <v>No existe información</v>
      </c>
      <c r="S29" t="str" cm="1">
        <f t="array" ref="S29">TRANSPOSE(_xlfn.UNIQUE(_xlfn._xlws.FILTER(T_ASIGNATURA1[NOM_ASIG],(T_ASIGNATURA1[ID_NIVEL]=ASIGNACION!$C29)*(T_ASIGNATURA1[ID_CARRERA]=ASIGNACION!$A29),"No existe información")))</f>
        <v>No existe información</v>
      </c>
      <c r="BQ29" s="1" t="str" cm="1">
        <f t="array" ref="BQ29">IFERROR(
    TRANSPOSE(
        _xlfn.UNIQUE(
            _xlfn._xlws.FILTER(
                Tabla1_1[MAESTRIA],
                ISNUMBER(MATCH(Tabla1_1[CAMPO_DETALLADO],BD30:BP30,0))
            )
        )
    ),
"")</f>
        <v/>
      </c>
      <c r="EA29" t="str" cm="1">
        <f t="array" ref="EA29">IFERROR(
    TRANSPOSE(
        _xlfn.UNIQUE(
            _xlfn._xlws.FILTER(
                Tabla1__2[NOMBRE_DOCENTE],
                ISNUMBER(MATCH(Tabla1__2[MAESTRIA],BQ29:DY29,0))
            )
        )
    ),
"")</f>
        <v/>
      </c>
    </row>
    <row r="30" spans="1:131" ht="20.25" customHeight="1">
      <c r="A30" t="str" cm="1">
        <f t="array" ref="A30">TRANSPOSE(_xlfn.UNIQUE(_xlfn._xlws.FILTER(T_ASIGNATURA1[ID_NIVEL],T_ASIGNATURA1[ID_CARRERA]=ASIGNACION!$A30,"No existe información")))</f>
        <v>No existe información</v>
      </c>
      <c r="S30" t="str" cm="1">
        <f t="array" ref="S30">TRANSPOSE(_xlfn.UNIQUE(_xlfn._xlws.FILTER(T_ASIGNATURA1[NOM_ASIG],(T_ASIGNATURA1[ID_NIVEL]=ASIGNACION!$C30)*(T_ASIGNATURA1[ID_CARRERA]=ASIGNACION!$A30),"No existe información")))</f>
        <v>No existe información</v>
      </c>
      <c r="BQ30" s="1" t="str" cm="1">
        <f t="array" ref="BQ30">IFERROR(
    TRANSPOSE(
        _xlfn.UNIQUE(
            _xlfn._xlws.FILTER(
                Tabla1_1[MAESTRIA],
                ISNUMBER(MATCH(Tabla1_1[CAMPO_DETALLADO],BD31:BP31,0))
            )
        )
    ),
"")</f>
        <v/>
      </c>
      <c r="EA30" t="str" cm="1">
        <f t="array" ref="EA30">IFERROR(
    TRANSPOSE(
        _xlfn.UNIQUE(
            _xlfn._xlws.FILTER(
                Tabla1__2[NOMBRE_DOCENTE],
                ISNUMBER(MATCH(Tabla1__2[MAESTRIA],BQ30:DY30,0))
            )
        )
    ),
"")</f>
        <v/>
      </c>
    </row>
    <row r="31" spans="1:131" ht="20.25" customHeight="1">
      <c r="A31" t="str" cm="1">
        <f t="array" ref="A31">TRANSPOSE(_xlfn.UNIQUE(_xlfn._xlws.FILTER(T_ASIGNATURA1[ID_NIVEL],T_ASIGNATURA1[ID_CARRERA]=ASIGNACION!$A31,"No existe información")))</f>
        <v>No existe información</v>
      </c>
      <c r="S31" t="str" cm="1">
        <f t="array" ref="S31">TRANSPOSE(_xlfn.UNIQUE(_xlfn._xlws.FILTER(T_ASIGNATURA1[NOM_ASIG],(T_ASIGNATURA1[ID_NIVEL]=ASIGNACION!$C31)*(T_ASIGNATURA1[ID_CARRERA]=ASIGNACION!$A31),"No existe información")))</f>
        <v>No existe información</v>
      </c>
      <c r="BQ31" s="1" t="str" cm="1">
        <f t="array" ref="BQ31">IFERROR(
    TRANSPOSE(
        _xlfn.UNIQUE(
            _xlfn._xlws.FILTER(
                Tabla1_1[MAESTRIA],
                ISNUMBER(MATCH(Tabla1_1[CAMPO_DETALLADO],BD32:BP32,0))
            )
        )
    ),
"")</f>
        <v/>
      </c>
      <c r="EA31" t="str" cm="1">
        <f t="array" ref="EA31">IFERROR(
    TRANSPOSE(
        _xlfn.UNIQUE(
            _xlfn._xlws.FILTER(
                Tabla1__2[NOMBRE_DOCENTE],
                ISNUMBER(MATCH(Tabla1__2[MAESTRIA],BQ31:DY31,0))
            )
        )
    ),
"")</f>
        <v/>
      </c>
    </row>
    <row r="32" spans="1:131" ht="20.25" customHeight="1">
      <c r="A32" t="str" cm="1">
        <f t="array" ref="A32">TRANSPOSE(_xlfn.UNIQUE(_xlfn._xlws.FILTER(T_ASIGNATURA1[ID_NIVEL],T_ASIGNATURA1[ID_CARRERA]=ASIGNACION!$A32,"No existe información")))</f>
        <v>No existe información</v>
      </c>
      <c r="S32" t="str" cm="1">
        <f t="array" ref="S32">TRANSPOSE(_xlfn.UNIQUE(_xlfn._xlws.FILTER(T_ASIGNATURA1[NOM_ASIG],(T_ASIGNATURA1[ID_NIVEL]=ASIGNACION!$C32)*(T_ASIGNATURA1[ID_CARRERA]=ASIGNACION!$A32),"No existe información")))</f>
        <v>No existe información</v>
      </c>
      <c r="BQ32" s="1" t="str" cm="1">
        <f t="array" ref="BQ32">IFERROR(
    TRANSPOSE(
        _xlfn.UNIQUE(
            _xlfn._xlws.FILTER(
                Tabla1_1[MAESTRIA],
                ISNUMBER(MATCH(Tabla1_1[CAMPO_DETALLADO],BD33:BP33,0))
            )
        )
    ),
"")</f>
        <v/>
      </c>
      <c r="EA32" t="str" cm="1">
        <f t="array" ref="EA32">IFERROR(
    TRANSPOSE(
        _xlfn.UNIQUE(
            _xlfn._xlws.FILTER(
                Tabla1__2[NOMBRE_DOCENTE],
                ISNUMBER(MATCH(Tabla1__2[MAESTRIA],BQ32:DY32,0))
            )
        )
    ),
"")</f>
        <v/>
      </c>
    </row>
    <row r="33" spans="1:131" ht="20.25" customHeight="1">
      <c r="A33" t="str" cm="1">
        <f t="array" ref="A33">TRANSPOSE(_xlfn.UNIQUE(_xlfn._xlws.FILTER(T_ASIGNATURA1[ID_NIVEL],T_ASIGNATURA1[ID_CARRERA]=ASIGNACION!$A33,"No existe información")))</f>
        <v>No existe información</v>
      </c>
      <c r="S33" t="str" cm="1">
        <f t="array" ref="S33">TRANSPOSE(_xlfn.UNIQUE(_xlfn._xlws.FILTER(T_ASIGNATURA1[NOM_ASIG],(T_ASIGNATURA1[ID_NIVEL]=ASIGNACION!$C33)*(T_ASIGNATURA1[ID_CARRERA]=ASIGNACION!$A33),"No existe información")))</f>
        <v>No existe información</v>
      </c>
      <c r="BQ33" s="1" t="str" cm="1">
        <f t="array" ref="BQ33">IFERROR(
    TRANSPOSE(
        _xlfn.UNIQUE(
            _xlfn._xlws.FILTER(
                Tabla1_1[MAESTRIA],
                ISNUMBER(MATCH(Tabla1_1[CAMPO_DETALLADO],BD34:BP34,0))
            )
        )
    ),
"")</f>
        <v/>
      </c>
      <c r="EA33" t="str" cm="1">
        <f t="array" ref="EA33">IFERROR(
    TRANSPOSE(
        _xlfn.UNIQUE(
            _xlfn._xlws.FILTER(
                Tabla1__2[NOMBRE_DOCENTE],
                ISNUMBER(MATCH(Tabla1__2[MAESTRIA],BQ33:DY33,0))
            )
        )
    ),
"")</f>
        <v/>
      </c>
    </row>
    <row r="34" spans="1:131" ht="20.25" customHeight="1">
      <c r="A34" t="str" cm="1">
        <f t="array" ref="A34">TRANSPOSE(_xlfn.UNIQUE(_xlfn._xlws.FILTER(T_ASIGNATURA1[ID_NIVEL],T_ASIGNATURA1[ID_CARRERA]=ASIGNACION!$A34,"No existe información")))</f>
        <v>No existe información</v>
      </c>
      <c r="S34" t="str" cm="1">
        <f t="array" ref="S34">TRANSPOSE(_xlfn.UNIQUE(_xlfn._xlws.FILTER(T_ASIGNATURA1[NOM_ASIG],(T_ASIGNATURA1[ID_NIVEL]=ASIGNACION!$C34)*(T_ASIGNATURA1[ID_CARRERA]=ASIGNACION!$A34),"No existe información")))</f>
        <v>No existe información</v>
      </c>
      <c r="BQ34" s="1" t="str" cm="1">
        <f t="array" ref="BQ34">IFERROR(
    TRANSPOSE(
        _xlfn.UNIQUE(
            _xlfn._xlws.FILTER(
                Tabla1_1[MAESTRIA],
                ISNUMBER(MATCH(Tabla1_1[CAMPO_DETALLADO],BD35:BP35,0))
            )
        )
    ),
"")</f>
        <v/>
      </c>
      <c r="EA34" t="str" cm="1">
        <f t="array" ref="EA34">IFERROR(
    TRANSPOSE(
        _xlfn.UNIQUE(
            _xlfn._xlws.FILTER(
                Tabla1__2[NOMBRE_DOCENTE],
                ISNUMBER(MATCH(Tabla1__2[MAESTRIA],BQ34:DY34,0))
            )
        )
    ),
"")</f>
        <v/>
      </c>
    </row>
    <row r="35" spans="1:131" ht="20.25" customHeight="1">
      <c r="A35" t="str" cm="1">
        <f t="array" ref="A35">TRANSPOSE(_xlfn.UNIQUE(_xlfn._xlws.FILTER(T_ASIGNATURA1[ID_NIVEL],T_ASIGNATURA1[ID_CARRERA]=ASIGNACION!$A35,"No existe información")))</f>
        <v>No existe información</v>
      </c>
      <c r="S35" t="str" cm="1">
        <f t="array" ref="S35">TRANSPOSE(_xlfn.UNIQUE(_xlfn._xlws.FILTER(T_ASIGNATURA1[NOM_ASIG],(T_ASIGNATURA1[ID_NIVEL]=ASIGNACION!$C35)*(T_ASIGNATURA1[ID_CARRERA]=ASIGNACION!$A35),"No existe información")))</f>
        <v>No existe información</v>
      </c>
      <c r="BQ35" s="1" t="str" cm="1">
        <f t="array" ref="BQ35">IFERROR(
    TRANSPOSE(
        _xlfn.UNIQUE(
            _xlfn._xlws.FILTER(
                Tabla1_1[MAESTRIA],
                ISNUMBER(MATCH(Tabla1_1[CAMPO_DETALLADO],BD36:BP36,0))
            )
        )
    ),
"")</f>
        <v/>
      </c>
      <c r="EA35" t="str" cm="1">
        <f t="array" ref="EA35">IFERROR(
    TRANSPOSE(
        _xlfn.UNIQUE(
            _xlfn._xlws.FILTER(
                Tabla1__2[NOMBRE_DOCENTE],
                ISNUMBER(MATCH(Tabla1__2[MAESTRIA],BQ35:DY35,0))
            )
        )
    ),
"")</f>
        <v/>
      </c>
    </row>
    <row r="36" spans="1:131" ht="20.25" customHeight="1">
      <c r="A36" t="str" cm="1">
        <f t="array" ref="A36">TRANSPOSE(_xlfn.UNIQUE(_xlfn._xlws.FILTER(T_ASIGNATURA1[ID_NIVEL],T_ASIGNATURA1[ID_CARRERA]=ASIGNACION!$A36,"No existe información")))</f>
        <v>No existe información</v>
      </c>
      <c r="S36" t="str" cm="1">
        <f t="array" ref="S36">TRANSPOSE(_xlfn.UNIQUE(_xlfn._xlws.FILTER(T_ASIGNATURA1[NOM_ASIG],(T_ASIGNATURA1[ID_NIVEL]=ASIGNACION!$C36)*(T_ASIGNATURA1[ID_CARRERA]=ASIGNACION!$A36),"No existe información")))</f>
        <v>No existe información</v>
      </c>
      <c r="BQ36" s="1" t="str" cm="1">
        <f t="array" ref="BQ36">IFERROR(
    TRANSPOSE(
        _xlfn.UNIQUE(
            _xlfn._xlws.FILTER(
                Tabla1_1[MAESTRIA],
                ISNUMBER(MATCH(Tabla1_1[CAMPO_DETALLADO],BD37:BP37,0))
            )
        )
    ),
"")</f>
        <v/>
      </c>
      <c r="EA36" t="str" cm="1">
        <f t="array" ref="EA36">IFERROR(
    TRANSPOSE(
        _xlfn.UNIQUE(
            _xlfn._xlws.FILTER(
                Tabla1__2[NOMBRE_DOCENTE],
                ISNUMBER(MATCH(Tabla1__2[MAESTRIA],BQ36:DY36,0))
            )
        )
    ),
"")</f>
        <v/>
      </c>
    </row>
    <row r="37" spans="1:131" ht="20.25" customHeight="1">
      <c r="A37" t="str" cm="1">
        <f t="array" ref="A37">TRANSPOSE(_xlfn.UNIQUE(_xlfn._xlws.FILTER(T_ASIGNATURA1[ID_NIVEL],T_ASIGNATURA1[ID_CARRERA]=ASIGNACION!$A37,"No existe información")))</f>
        <v>No existe información</v>
      </c>
      <c r="S37" t="str" cm="1">
        <f t="array" ref="S37">TRANSPOSE(_xlfn.UNIQUE(_xlfn._xlws.FILTER(T_ASIGNATURA1[NOM_ASIG],(T_ASIGNATURA1[ID_NIVEL]=ASIGNACION!$C37)*(T_ASIGNATURA1[ID_CARRERA]=ASIGNACION!$A37),"No existe información")))</f>
        <v>No existe información</v>
      </c>
      <c r="BQ37" s="1" t="str" cm="1">
        <f t="array" ref="BQ37">IFERROR(
    TRANSPOSE(
        _xlfn.UNIQUE(
            _xlfn._xlws.FILTER(
                Tabla1_1[MAESTRIA],
                ISNUMBER(MATCH(Tabla1_1[CAMPO_DETALLADO],BD38:BP38,0))
            )
        )
    ),
"")</f>
        <v/>
      </c>
      <c r="EA37" t="str" cm="1">
        <f t="array" ref="EA37">IFERROR(
    TRANSPOSE(
        _xlfn.UNIQUE(
            _xlfn._xlws.FILTER(
                Tabla1__2[NOMBRE_DOCENTE],
                ISNUMBER(MATCH(Tabla1__2[MAESTRIA],BQ37:DY37,0))
            )
        )
    ),
"")</f>
        <v/>
      </c>
    </row>
    <row r="38" spans="1:131" ht="20.25" customHeight="1">
      <c r="A38" t="str" cm="1">
        <f t="array" ref="A38">TRANSPOSE(_xlfn.UNIQUE(_xlfn._xlws.FILTER(T_ASIGNATURA1[ID_NIVEL],T_ASIGNATURA1[ID_CARRERA]=ASIGNACION!$A38,"No existe información")))</f>
        <v>No existe información</v>
      </c>
      <c r="S38" t="str" cm="1">
        <f t="array" ref="S38">TRANSPOSE(_xlfn.UNIQUE(_xlfn._xlws.FILTER(T_ASIGNATURA1[NOM_ASIG],(T_ASIGNATURA1[ID_NIVEL]=ASIGNACION!$C38)*(T_ASIGNATURA1[ID_CARRERA]=ASIGNACION!$A38),"No existe información")))</f>
        <v>No existe información</v>
      </c>
      <c r="BQ38" s="1" t="str" cm="1">
        <f t="array" ref="BQ38">IFERROR(
    TRANSPOSE(
        _xlfn.UNIQUE(
            _xlfn._xlws.FILTER(
                Tabla1_1[MAESTRIA],
                ISNUMBER(MATCH(Tabla1_1[CAMPO_DETALLADO],BD39:BP39,0))
            )
        )
    ),
"")</f>
        <v/>
      </c>
      <c r="EA38" t="str" cm="1">
        <f t="array" ref="EA38">IFERROR(
    TRANSPOSE(
        _xlfn.UNIQUE(
            _xlfn._xlws.FILTER(
                Tabla1__2[NOMBRE_DOCENTE],
                ISNUMBER(MATCH(Tabla1__2[MAESTRIA],BQ38:DY38,0))
            )
        )
    ),
"")</f>
        <v/>
      </c>
    </row>
    <row r="39" spans="1:131" ht="20.25" customHeight="1">
      <c r="A39" t="str" cm="1">
        <f t="array" ref="A39">TRANSPOSE(_xlfn.UNIQUE(_xlfn._xlws.FILTER(T_ASIGNATURA1[ID_NIVEL],T_ASIGNATURA1[ID_CARRERA]=ASIGNACION!$A39,"No existe información")))</f>
        <v>No existe información</v>
      </c>
      <c r="S39" t="str" cm="1">
        <f t="array" ref="S39">TRANSPOSE(_xlfn.UNIQUE(_xlfn._xlws.FILTER(T_ASIGNATURA1[NOM_ASIG],(T_ASIGNATURA1[ID_NIVEL]=ASIGNACION!$C39)*(T_ASIGNATURA1[ID_CARRERA]=ASIGNACION!$A39),"No existe información")))</f>
        <v>No existe información</v>
      </c>
      <c r="BQ39" s="1" t="str" cm="1">
        <f t="array" ref="BQ39">IFERROR(
    TRANSPOSE(
        _xlfn.UNIQUE(
            _xlfn._xlws.FILTER(
                Tabla1_1[MAESTRIA],
                ISNUMBER(MATCH(Tabla1_1[CAMPO_DETALLADO],BD40:BP40,0))
            )
        )
    ),
"")</f>
        <v/>
      </c>
      <c r="EA39" t="str" cm="1">
        <f t="array" ref="EA39">IFERROR(
    TRANSPOSE(
        _xlfn.UNIQUE(
            _xlfn._xlws.FILTER(
                Tabla1__2[NOMBRE_DOCENTE],
                ISNUMBER(MATCH(Tabla1__2[MAESTRIA],BQ39:DY39,0))
            )
        )
    ),
"")</f>
        <v/>
      </c>
    </row>
    <row r="40" spans="1:131" ht="20.25" customHeight="1">
      <c r="A40" t="str" cm="1">
        <f t="array" ref="A40">TRANSPOSE(_xlfn.UNIQUE(_xlfn._xlws.FILTER(T_ASIGNATURA1[ID_NIVEL],T_ASIGNATURA1[ID_CARRERA]=ASIGNACION!$A40,"No existe información")))</f>
        <v>No existe información</v>
      </c>
      <c r="S40" t="str" cm="1">
        <f t="array" ref="S40">TRANSPOSE(_xlfn.UNIQUE(_xlfn._xlws.FILTER(T_ASIGNATURA1[NOM_ASIG],(T_ASIGNATURA1[ID_NIVEL]=ASIGNACION!$C40)*(T_ASIGNATURA1[ID_CARRERA]=ASIGNACION!$A40),"No existe información")))</f>
        <v>No existe información</v>
      </c>
      <c r="BQ40" s="1" t="str" cm="1">
        <f t="array" ref="BQ40">IFERROR(
    TRANSPOSE(
        _xlfn.UNIQUE(
            _xlfn._xlws.FILTER(
                Tabla1_1[MAESTRIA],
                ISNUMBER(MATCH(Tabla1_1[CAMPO_DETALLADO],BD41:BP41,0))
            )
        )
    ),
"")</f>
        <v/>
      </c>
      <c r="EA40" t="str" cm="1">
        <f t="array" ref="EA40">IFERROR(
    TRANSPOSE(
        _xlfn.UNIQUE(
            _xlfn._xlws.FILTER(
                Tabla1__2[NOMBRE_DOCENTE],
                ISNUMBER(MATCH(Tabla1__2[MAESTRIA],BQ40:DY40,0))
            )
        )
    ),
"")</f>
        <v/>
      </c>
    </row>
    <row r="41" spans="1:131" ht="20.25" customHeight="1">
      <c r="A41" t="str" cm="1">
        <f t="array" ref="A41">TRANSPOSE(_xlfn.UNIQUE(_xlfn._xlws.FILTER(T_ASIGNATURA1[ID_NIVEL],T_ASIGNATURA1[ID_CARRERA]=ASIGNACION!$A41,"No existe información")))</f>
        <v>No existe información</v>
      </c>
      <c r="S41" t="str" cm="1">
        <f t="array" ref="S41">TRANSPOSE(_xlfn.UNIQUE(_xlfn._xlws.FILTER(T_ASIGNATURA1[NOM_ASIG],(T_ASIGNATURA1[ID_NIVEL]=ASIGNACION!$C41)*(T_ASIGNATURA1[ID_CARRERA]=ASIGNACION!$A41),"No existe información")))</f>
        <v>No existe información</v>
      </c>
      <c r="BQ41" s="1" t="str" cm="1">
        <f t="array" ref="BQ41">IFERROR(
    TRANSPOSE(
        _xlfn.UNIQUE(
            _xlfn._xlws.FILTER(
                Tabla1_1[MAESTRIA],
                ISNUMBER(MATCH(Tabla1_1[CAMPO_DETALLADO],BD42:BP42,0))
            )
        )
    ),
"")</f>
        <v/>
      </c>
      <c r="EA41" t="str" cm="1">
        <f t="array" ref="EA41">IFERROR(
    TRANSPOSE(
        _xlfn.UNIQUE(
            _xlfn._xlws.FILTER(
                Tabla1__2[NOMBRE_DOCENTE],
                ISNUMBER(MATCH(Tabla1__2[MAESTRIA],BQ41:DY41,0))
            )
        )
    ),
"")</f>
        <v/>
      </c>
    </row>
    <row r="42" spans="1:131" ht="20.25" customHeight="1">
      <c r="A42" t="str" cm="1">
        <f t="array" ref="A42">TRANSPOSE(_xlfn.UNIQUE(_xlfn._xlws.FILTER(T_ASIGNATURA1[ID_NIVEL],T_ASIGNATURA1[ID_CARRERA]=ASIGNACION!$A42,"No existe información")))</f>
        <v>No existe información</v>
      </c>
      <c r="S42" t="str" cm="1">
        <f t="array" ref="S42">TRANSPOSE(_xlfn.UNIQUE(_xlfn._xlws.FILTER(T_ASIGNATURA1[NOM_ASIG],(T_ASIGNATURA1[ID_NIVEL]=ASIGNACION!$C42)*(T_ASIGNATURA1[ID_CARRERA]=ASIGNACION!$A42),"No existe información")))</f>
        <v>No existe información</v>
      </c>
      <c r="BQ42" s="1" t="str" cm="1">
        <f t="array" ref="BQ42">IFERROR(
    TRANSPOSE(
        _xlfn.UNIQUE(
            _xlfn._xlws.FILTER(
                Tabla1_1[MAESTRIA],
                ISNUMBER(MATCH(Tabla1_1[CAMPO_DETALLADO],BD43:BP43,0))
            )
        )
    ),
"")</f>
        <v/>
      </c>
      <c r="EA42" t="str" cm="1">
        <f t="array" ref="EA42">IFERROR(
    TRANSPOSE(
        _xlfn.UNIQUE(
            _xlfn._xlws.FILTER(
                Tabla1__2[NOMBRE_DOCENTE],
                ISNUMBER(MATCH(Tabla1__2[MAESTRIA],BQ42:DY42,0))
            )
        )
    ),
"")</f>
        <v/>
      </c>
    </row>
    <row r="43" spans="1:131" ht="20.25" customHeight="1">
      <c r="A43" t="str" cm="1">
        <f t="array" ref="A43">TRANSPOSE(_xlfn.UNIQUE(_xlfn._xlws.FILTER(T_ASIGNATURA1[ID_NIVEL],T_ASIGNATURA1[ID_CARRERA]=ASIGNACION!$A43,"No existe información")))</f>
        <v>No existe información</v>
      </c>
      <c r="S43" t="str" cm="1">
        <f t="array" ref="S43">TRANSPOSE(_xlfn.UNIQUE(_xlfn._xlws.FILTER(T_ASIGNATURA1[NOM_ASIG],(T_ASIGNATURA1[ID_NIVEL]=ASIGNACION!$C43)*(T_ASIGNATURA1[ID_CARRERA]=ASIGNACION!$A43),"No existe información")))</f>
        <v>No existe información</v>
      </c>
      <c r="BQ43" s="1" t="str" cm="1">
        <f t="array" ref="BQ43">IFERROR(
    TRANSPOSE(
        _xlfn.UNIQUE(
            _xlfn._xlws.FILTER(
                Tabla1_1[MAESTRIA],
                ISNUMBER(MATCH(Tabla1_1[CAMPO_DETALLADO],BD44:BP44,0))
            )
        )
    ),
"")</f>
        <v/>
      </c>
      <c r="EA43" t="str" cm="1">
        <f t="array" ref="EA43">IFERROR(
    TRANSPOSE(
        _xlfn.UNIQUE(
            _xlfn._xlws.FILTER(
                Tabla1__2[NOMBRE_DOCENTE],
                ISNUMBER(MATCH(Tabla1__2[MAESTRIA],BQ43:DY43,0))
            )
        )
    ),
"")</f>
        <v/>
      </c>
    </row>
    <row r="44" spans="1:131" ht="20.25" customHeight="1">
      <c r="A44" t="str" cm="1">
        <f t="array" ref="A44">TRANSPOSE(_xlfn.UNIQUE(_xlfn._xlws.FILTER(T_ASIGNATURA1[ID_NIVEL],T_ASIGNATURA1[ID_CARRERA]=ASIGNACION!$A44,"No existe información")))</f>
        <v>No existe información</v>
      </c>
      <c r="S44" t="str" cm="1">
        <f t="array" ref="S44">TRANSPOSE(_xlfn.UNIQUE(_xlfn._xlws.FILTER(T_ASIGNATURA1[NOM_ASIG],(T_ASIGNATURA1[ID_NIVEL]=ASIGNACION!$C44)*(T_ASIGNATURA1[ID_CARRERA]=ASIGNACION!$A44),"No existe información")))</f>
        <v>No existe información</v>
      </c>
      <c r="BQ44" s="1" t="str" cm="1">
        <f t="array" ref="BQ44">IFERROR(
    TRANSPOSE(
        _xlfn.UNIQUE(
            _xlfn._xlws.FILTER(
                Tabla1_1[MAESTRIA],
                ISNUMBER(MATCH(Tabla1_1[CAMPO_DETALLADO],BD45:BP45,0))
            )
        )
    ),
"")</f>
        <v/>
      </c>
      <c r="EA44" t="str" cm="1">
        <f t="array" ref="EA44">IFERROR(
    TRANSPOSE(
        _xlfn.UNIQUE(
            _xlfn._xlws.FILTER(
                Tabla1__2[NOMBRE_DOCENTE],
                ISNUMBER(MATCH(Tabla1__2[MAESTRIA],BQ44:DY44,0))
            )
        )
    ),
"")</f>
        <v/>
      </c>
    </row>
    <row r="45" spans="1:131" ht="20.25" customHeight="1">
      <c r="A45" t="str" cm="1">
        <f t="array" ref="A45">TRANSPOSE(_xlfn.UNIQUE(_xlfn._xlws.FILTER(T_ASIGNATURA1[ID_NIVEL],T_ASIGNATURA1[ID_CARRERA]=ASIGNACION!$A45,"No existe información")))</f>
        <v>No existe información</v>
      </c>
      <c r="S45" t="str" cm="1">
        <f t="array" ref="S45">TRANSPOSE(_xlfn.UNIQUE(_xlfn._xlws.FILTER(T_ASIGNATURA1[NOM_ASIG],(T_ASIGNATURA1[ID_NIVEL]=ASIGNACION!$C45)*(T_ASIGNATURA1[ID_CARRERA]=ASIGNACION!$A45),"No existe información")))</f>
        <v>No existe información</v>
      </c>
      <c r="BQ45" s="1" t="str" cm="1">
        <f t="array" ref="BQ45">IFERROR(
    TRANSPOSE(
        _xlfn.UNIQUE(
            _xlfn._xlws.FILTER(
                Tabla1_1[MAESTRIA],
                ISNUMBER(MATCH(Tabla1_1[CAMPO_DETALLADO],BD46:BP46,0))
            )
        )
    ),
"")</f>
        <v/>
      </c>
      <c r="EA45" t="str" cm="1">
        <f t="array" ref="EA45">IFERROR(
    TRANSPOSE(
        _xlfn.UNIQUE(
            _xlfn._xlws.FILTER(
                Tabla1__2[NOMBRE_DOCENTE],
                ISNUMBER(MATCH(Tabla1__2[MAESTRIA],BQ45:DY45,0))
            )
        )
    ),
"")</f>
        <v/>
      </c>
    </row>
    <row r="46" spans="1:131" ht="20.25" customHeight="1">
      <c r="A46" t="str" cm="1">
        <f t="array" ref="A46">TRANSPOSE(_xlfn.UNIQUE(_xlfn._xlws.FILTER(T_ASIGNATURA1[ID_NIVEL],T_ASIGNATURA1[ID_CARRERA]=ASIGNACION!$A46,"No existe información")))</f>
        <v>No existe información</v>
      </c>
      <c r="S46" t="str" cm="1">
        <f t="array" ref="S46">TRANSPOSE(_xlfn.UNIQUE(_xlfn._xlws.FILTER(T_ASIGNATURA1[NOM_ASIG],(T_ASIGNATURA1[ID_NIVEL]=ASIGNACION!$C46)*(T_ASIGNATURA1[ID_CARRERA]=ASIGNACION!$A46),"No existe información")))</f>
        <v>No existe información</v>
      </c>
      <c r="BQ46" s="1" t="str" cm="1">
        <f t="array" ref="BQ46">IFERROR(
    TRANSPOSE(
        _xlfn.UNIQUE(
            _xlfn._xlws.FILTER(
                Tabla1_1[MAESTRIA],
                ISNUMBER(MATCH(Tabla1_1[CAMPO_DETALLADO],BD47:BP47,0))
            )
        )
    ),
"")</f>
        <v/>
      </c>
      <c r="EA46" t="str" cm="1">
        <f t="array" ref="EA46">IFERROR(
    TRANSPOSE(
        _xlfn.UNIQUE(
            _xlfn._xlws.FILTER(
                Tabla1__2[NOMBRE_DOCENTE],
                ISNUMBER(MATCH(Tabla1__2[MAESTRIA],BQ46:DY46,0))
            )
        )
    ),
"")</f>
        <v/>
      </c>
    </row>
    <row r="47" spans="1:131" ht="20.25" customHeight="1">
      <c r="A47" t="str" cm="1">
        <f t="array" ref="A47">TRANSPOSE(_xlfn.UNIQUE(_xlfn._xlws.FILTER(T_ASIGNATURA1[ID_NIVEL],T_ASIGNATURA1[ID_CARRERA]=ASIGNACION!$A47,"No existe información")))</f>
        <v>No existe información</v>
      </c>
      <c r="S47" t="str" cm="1">
        <f t="array" ref="S47">TRANSPOSE(_xlfn.UNIQUE(_xlfn._xlws.FILTER(T_ASIGNATURA1[NOM_ASIG],(T_ASIGNATURA1[ID_NIVEL]=ASIGNACION!$C47)*(T_ASIGNATURA1[ID_CARRERA]=ASIGNACION!$A47),"No existe información")))</f>
        <v>No existe información</v>
      </c>
      <c r="BQ47" s="1" t="str" cm="1">
        <f t="array" ref="BQ47">IFERROR(
    TRANSPOSE(
        _xlfn.UNIQUE(
            _xlfn._xlws.FILTER(
                Tabla1_1[MAESTRIA],
                ISNUMBER(MATCH(Tabla1_1[CAMPO_DETALLADO],BD48:BP48,0))
            )
        )
    ),
"")</f>
        <v/>
      </c>
      <c r="EA47" t="str" cm="1">
        <f t="array" ref="EA47">IFERROR(
    TRANSPOSE(
        _xlfn.UNIQUE(
            _xlfn._xlws.FILTER(
                Tabla1__2[NOMBRE_DOCENTE],
                ISNUMBER(MATCH(Tabla1__2[MAESTRIA],BQ47:DY47,0))
            )
        )
    ),
"")</f>
        <v/>
      </c>
    </row>
    <row r="48" spans="1:131" ht="20.25" customHeight="1">
      <c r="A48" t="str" cm="1">
        <f t="array" ref="A48">TRANSPOSE(_xlfn.UNIQUE(_xlfn._xlws.FILTER(T_ASIGNATURA1[ID_NIVEL],T_ASIGNATURA1[ID_CARRERA]=ASIGNACION!$A48,"No existe información")))</f>
        <v>No existe información</v>
      </c>
      <c r="S48" t="str" cm="1">
        <f t="array" ref="S48">TRANSPOSE(_xlfn.UNIQUE(_xlfn._xlws.FILTER(T_ASIGNATURA1[NOM_ASIG],(T_ASIGNATURA1[ID_NIVEL]=ASIGNACION!$C48)*(T_ASIGNATURA1[ID_CARRERA]=ASIGNACION!$A48),"No existe información")))</f>
        <v>No existe información</v>
      </c>
      <c r="BQ48" s="1" t="str" cm="1">
        <f t="array" ref="BQ48">IFERROR(
    TRANSPOSE(
        _xlfn.UNIQUE(
            _xlfn._xlws.FILTER(
                Tabla1_1[MAESTRIA],
                ISNUMBER(MATCH(Tabla1_1[CAMPO_DETALLADO],BD49:BP49,0))
            )
        )
    ),
"")</f>
        <v/>
      </c>
      <c r="EA48" t="str" cm="1">
        <f t="array" ref="EA48">IFERROR(
    TRANSPOSE(
        _xlfn.UNIQUE(
            _xlfn._xlws.FILTER(
                Tabla1__2[NOMBRE_DOCENTE],
                ISNUMBER(MATCH(Tabla1__2[MAESTRIA],BQ48:DY48,0))
            )
        )
    ),
"")</f>
        <v/>
      </c>
    </row>
    <row r="49" spans="1:131" ht="20.25" customHeight="1">
      <c r="A49" t="str" cm="1">
        <f t="array" ref="A49">TRANSPOSE(_xlfn.UNIQUE(_xlfn._xlws.FILTER(T_ASIGNATURA1[ID_NIVEL],T_ASIGNATURA1[ID_CARRERA]=ASIGNACION!$A49,"No existe información")))</f>
        <v>No existe información</v>
      </c>
      <c r="S49" t="str" cm="1">
        <f t="array" ref="S49">TRANSPOSE(_xlfn.UNIQUE(_xlfn._xlws.FILTER(T_ASIGNATURA1[NOM_ASIG],(T_ASIGNATURA1[ID_NIVEL]=ASIGNACION!$C49)*(T_ASIGNATURA1[ID_CARRERA]=ASIGNACION!$A49),"No existe información")))</f>
        <v>No existe información</v>
      </c>
      <c r="BQ49" s="1" t="str" cm="1">
        <f t="array" ref="BQ49">IFERROR(
    TRANSPOSE(
        _xlfn.UNIQUE(
            _xlfn._xlws.FILTER(
                Tabla1_1[MAESTRIA],
                ISNUMBER(MATCH(Tabla1_1[CAMPO_DETALLADO],BD50:BP50,0))
            )
        )
    ),
"")</f>
        <v/>
      </c>
      <c r="EA49" t="str" cm="1">
        <f t="array" ref="EA49">IFERROR(
    TRANSPOSE(
        _xlfn.UNIQUE(
            _xlfn._xlws.FILTER(
                Tabla1__2[NOMBRE_DOCENTE],
                ISNUMBER(MATCH(Tabla1__2[MAESTRIA],BQ49:DY49,0))
            )
        )
    ),
"")</f>
        <v/>
      </c>
    </row>
    <row r="50" spans="1:131" ht="20.25" customHeight="1">
      <c r="A50" t="str" cm="1">
        <f t="array" ref="A50">TRANSPOSE(_xlfn.UNIQUE(_xlfn._xlws.FILTER(T_ASIGNATURA1[ID_NIVEL],T_ASIGNATURA1[ID_CARRERA]=ASIGNACION!$A50,"No existe información")))</f>
        <v>No existe información</v>
      </c>
      <c r="S50" t="str" cm="1">
        <f t="array" ref="S50">TRANSPOSE(_xlfn.UNIQUE(_xlfn._xlws.FILTER(T_ASIGNATURA1[NOM_ASIG],(T_ASIGNATURA1[ID_NIVEL]=ASIGNACION!$C50)*(T_ASIGNATURA1[ID_CARRERA]=ASIGNACION!$A50),"No existe información")))</f>
        <v>No existe información</v>
      </c>
      <c r="BQ50" s="1" t="str" cm="1">
        <f t="array" ref="BQ50">IFERROR(
    TRANSPOSE(
        _xlfn.UNIQUE(
            _xlfn._xlws.FILTER(
                Tabla1_1[MAESTRIA],
                ISNUMBER(MATCH(Tabla1_1[CAMPO_DETALLADO],BD51:BP51,0))
            )
        )
    ),
"")</f>
        <v/>
      </c>
      <c r="EA50" t="str" cm="1">
        <f t="array" ref="EA50">IFERROR(
    TRANSPOSE(
        _xlfn.UNIQUE(
            _xlfn._xlws.FILTER(
                Tabla1__2[NOMBRE_DOCENTE],
                ISNUMBER(MATCH(Tabla1__2[MAESTRIA],BQ50:DY50,0))
            )
        )
    ),
"")</f>
        <v/>
      </c>
    </row>
    <row r="51" spans="1:131" ht="20.25" customHeight="1">
      <c r="A51" t="str" cm="1">
        <f t="array" ref="A51">TRANSPOSE(_xlfn.UNIQUE(_xlfn._xlws.FILTER(T_ASIGNATURA1[ID_NIVEL],T_ASIGNATURA1[ID_CARRERA]=ASIGNACION!$A51,"No existe información")))</f>
        <v>No existe información</v>
      </c>
      <c r="S51" t="str" cm="1">
        <f t="array" ref="S51">TRANSPOSE(_xlfn.UNIQUE(_xlfn._xlws.FILTER(T_ASIGNATURA1[NOM_ASIG],(T_ASIGNATURA1[ID_NIVEL]=ASIGNACION!$C51)*(T_ASIGNATURA1[ID_CARRERA]=ASIGNACION!$A51),"No existe información")))</f>
        <v>No existe información</v>
      </c>
      <c r="BQ51" s="1" t="str" cm="1">
        <f t="array" ref="BQ51">IFERROR(
    TRANSPOSE(
        _xlfn.UNIQUE(
            _xlfn._xlws.FILTER(
                Tabla1_1[MAESTRIA],
                ISNUMBER(MATCH(Tabla1_1[CAMPO_DETALLADO],BD52:BP52,0))
            )
        )
    ),
"")</f>
        <v/>
      </c>
      <c r="EA51" t="str" cm="1">
        <f t="array" ref="EA51">IFERROR(
    TRANSPOSE(
        _xlfn.UNIQUE(
            _xlfn._xlws.FILTER(
                Tabla1__2[NOMBRE_DOCENTE],
                ISNUMBER(MATCH(Tabla1__2[MAESTRIA],BQ51:DY51,0))
            )
        )
    ),
"")</f>
        <v/>
      </c>
    </row>
    <row r="52" spans="1:131" ht="20.25" customHeight="1">
      <c r="A52" t="str" cm="1">
        <f t="array" ref="A52">TRANSPOSE(_xlfn.UNIQUE(_xlfn._xlws.FILTER(T_ASIGNATURA1[ID_NIVEL],T_ASIGNATURA1[ID_CARRERA]=ASIGNACION!$A52,"No existe información")))</f>
        <v>No existe información</v>
      </c>
      <c r="S52" t="str" cm="1">
        <f t="array" ref="S52">TRANSPOSE(_xlfn.UNIQUE(_xlfn._xlws.FILTER(T_ASIGNATURA1[NOM_ASIG],(T_ASIGNATURA1[ID_NIVEL]=ASIGNACION!$C52)*(T_ASIGNATURA1[ID_CARRERA]=ASIGNACION!$A52),"No existe información")))</f>
        <v>No existe información</v>
      </c>
      <c r="BQ52" s="1" t="str" cm="1">
        <f t="array" ref="BQ52">IFERROR(
    TRANSPOSE(
        _xlfn.UNIQUE(
            _xlfn._xlws.FILTER(
                Tabla1_1[MAESTRIA],
                ISNUMBER(MATCH(Tabla1_1[CAMPO_DETALLADO],BD53:BP53,0))
            )
        )
    ),
"")</f>
        <v/>
      </c>
      <c r="EA52" t="str" cm="1">
        <f t="array" ref="EA52">IFERROR(
    TRANSPOSE(
        _xlfn.UNIQUE(
            _xlfn._xlws.FILTER(
                Tabla1__2[NOMBRE_DOCENTE],
                ISNUMBER(MATCH(Tabla1__2[MAESTRIA],BQ52:DY52,0))
            )
        )
    ),
"")</f>
        <v/>
      </c>
    </row>
    <row r="53" spans="1:131" ht="20.25" customHeight="1">
      <c r="A53" t="str" cm="1">
        <f t="array" ref="A53">TRANSPOSE(_xlfn.UNIQUE(_xlfn._xlws.FILTER(T_ASIGNATURA1[ID_NIVEL],T_ASIGNATURA1[ID_CARRERA]=ASIGNACION!$A53,"No existe información")))</f>
        <v>No existe información</v>
      </c>
      <c r="S53" t="str" cm="1">
        <f t="array" ref="S53">TRANSPOSE(_xlfn.UNIQUE(_xlfn._xlws.FILTER(T_ASIGNATURA1[NOM_ASIG],(T_ASIGNATURA1[ID_NIVEL]=ASIGNACION!$C53)*(T_ASIGNATURA1[ID_CARRERA]=ASIGNACION!$A53),"No existe información")))</f>
        <v>No existe información</v>
      </c>
      <c r="BQ53" s="1" t="str" cm="1">
        <f t="array" ref="BQ53">IFERROR(
    TRANSPOSE(
        _xlfn.UNIQUE(
            _xlfn._xlws.FILTER(
                Tabla1_1[MAESTRIA],
                ISNUMBER(MATCH(Tabla1_1[CAMPO_DETALLADO],BD54:BP54,0))
            )
        )
    ),
"")</f>
        <v/>
      </c>
      <c r="EA53" t="str" cm="1">
        <f t="array" ref="EA53">IFERROR(
    TRANSPOSE(
        _xlfn.UNIQUE(
            _xlfn._xlws.FILTER(
                Tabla1__2[NOMBRE_DOCENTE],
                ISNUMBER(MATCH(Tabla1__2[MAESTRIA],BQ53:DY53,0))
            )
        )
    ),
"")</f>
        <v/>
      </c>
    </row>
    <row r="54" spans="1:131" ht="20.25" customHeight="1">
      <c r="A54" t="str" cm="1">
        <f t="array" ref="A54">TRANSPOSE(_xlfn.UNIQUE(_xlfn._xlws.FILTER(T_ASIGNATURA1[ID_NIVEL],T_ASIGNATURA1[ID_CARRERA]=ASIGNACION!$A54,"No existe información")))</f>
        <v>No existe información</v>
      </c>
      <c r="S54" t="str" cm="1">
        <f t="array" ref="S54">TRANSPOSE(_xlfn.UNIQUE(_xlfn._xlws.FILTER(T_ASIGNATURA1[NOM_ASIG],(T_ASIGNATURA1[ID_NIVEL]=ASIGNACION!$C54)*(T_ASIGNATURA1[ID_CARRERA]=ASIGNACION!$A54),"No existe información")))</f>
        <v>No existe información</v>
      </c>
      <c r="BQ54" s="1" t="str" cm="1">
        <f t="array" ref="BQ54">IFERROR(
    TRANSPOSE(
        _xlfn.UNIQUE(
            _xlfn._xlws.FILTER(
                Tabla1_1[MAESTRIA],
                ISNUMBER(MATCH(Tabla1_1[CAMPO_DETALLADO],BD55:BP55,0))
            )
        )
    ),
"")</f>
        <v/>
      </c>
      <c r="EA54" t="str" cm="1">
        <f t="array" ref="EA54">IFERROR(
    TRANSPOSE(
        _xlfn.UNIQUE(
            _xlfn._xlws.FILTER(
                Tabla1__2[NOMBRE_DOCENTE],
                ISNUMBER(MATCH(Tabla1__2[MAESTRIA],BQ54:DY54,0))
            )
        )
    ),
"")</f>
        <v/>
      </c>
    </row>
    <row r="55" spans="1:131" ht="20.25" customHeight="1">
      <c r="A55" t="str" cm="1">
        <f t="array" ref="A55">TRANSPOSE(_xlfn.UNIQUE(_xlfn._xlws.FILTER(T_ASIGNATURA1[ID_NIVEL],T_ASIGNATURA1[ID_CARRERA]=ASIGNACION!$A55,"No existe información")))</f>
        <v>No existe información</v>
      </c>
      <c r="S55" t="str" cm="1">
        <f t="array" ref="S55">TRANSPOSE(_xlfn.UNIQUE(_xlfn._xlws.FILTER(T_ASIGNATURA1[NOM_ASIG],(T_ASIGNATURA1[ID_NIVEL]=ASIGNACION!$C55)*(T_ASIGNATURA1[ID_CARRERA]=ASIGNACION!$A55),"No existe información")))</f>
        <v>No existe información</v>
      </c>
      <c r="BQ55" s="1" t="str" cm="1">
        <f t="array" ref="BQ55">IFERROR(
    TRANSPOSE(
        _xlfn.UNIQUE(
            _xlfn._xlws.FILTER(
                Tabla1_1[MAESTRIA],
                ISNUMBER(MATCH(Tabla1_1[CAMPO_DETALLADO],BD56:BP56,0))
            )
        )
    ),
"")</f>
        <v/>
      </c>
      <c r="EA55" t="str" cm="1">
        <f t="array" ref="EA55">IFERROR(
    TRANSPOSE(
        _xlfn.UNIQUE(
            _xlfn._xlws.FILTER(
                Tabla1__2[NOMBRE_DOCENTE],
                ISNUMBER(MATCH(Tabla1__2[MAESTRIA],BQ55:DY55,0))
            )
        )
    ),
"")</f>
        <v/>
      </c>
    </row>
    <row r="56" spans="1:131" ht="20.25" customHeight="1">
      <c r="A56" t="str" cm="1">
        <f t="array" ref="A56">TRANSPOSE(_xlfn.UNIQUE(_xlfn._xlws.FILTER(T_ASIGNATURA1[ID_NIVEL],T_ASIGNATURA1[ID_CARRERA]=ASIGNACION!$A56,"No existe información")))</f>
        <v>No existe información</v>
      </c>
      <c r="S56" t="str" cm="1">
        <f t="array" ref="S56">TRANSPOSE(_xlfn.UNIQUE(_xlfn._xlws.FILTER(T_ASIGNATURA1[NOM_ASIG],(T_ASIGNATURA1[ID_NIVEL]=ASIGNACION!$C56)*(T_ASIGNATURA1[ID_CARRERA]=ASIGNACION!$A56),"No existe información")))</f>
        <v>No existe información</v>
      </c>
      <c r="BQ56" s="1" t="str" cm="1">
        <f t="array" ref="BQ56">IFERROR(
    TRANSPOSE(
        _xlfn.UNIQUE(
            _xlfn._xlws.FILTER(
                Tabla1_1[MAESTRIA],
                ISNUMBER(MATCH(Tabla1_1[CAMPO_DETALLADO],BD57:BP57,0))
            )
        )
    ),
"")</f>
        <v/>
      </c>
      <c r="EA56" t="str" cm="1">
        <f t="array" ref="EA56">IFERROR(
    TRANSPOSE(
        _xlfn.UNIQUE(
            _xlfn._xlws.FILTER(
                Tabla1__2[NOMBRE_DOCENTE],
                ISNUMBER(MATCH(Tabla1__2[MAESTRIA],BQ56:DY56,0))
            )
        )
    ),
"")</f>
        <v/>
      </c>
    </row>
    <row r="57" spans="1:131" ht="20.25" customHeight="1">
      <c r="A57" t="str" cm="1">
        <f t="array" ref="A57">TRANSPOSE(_xlfn.UNIQUE(_xlfn._xlws.FILTER(T_ASIGNATURA1[ID_NIVEL],T_ASIGNATURA1[ID_CARRERA]=ASIGNACION!$A57,"No existe información")))</f>
        <v>No existe información</v>
      </c>
      <c r="S57" t="str" cm="1">
        <f t="array" ref="S57">TRANSPOSE(_xlfn.UNIQUE(_xlfn._xlws.FILTER(T_ASIGNATURA1[NOM_ASIG],(T_ASIGNATURA1[ID_NIVEL]=ASIGNACION!$C57)*(T_ASIGNATURA1[ID_CARRERA]=ASIGNACION!$A57),"No existe información")))</f>
        <v>No existe información</v>
      </c>
      <c r="BQ57" s="1" t="str" cm="1">
        <f t="array" ref="BQ57">IFERROR(
    TRANSPOSE(
        _xlfn.UNIQUE(
            _xlfn._xlws.FILTER(
                Tabla1_1[MAESTRIA],
                ISNUMBER(MATCH(Tabla1_1[CAMPO_DETALLADO],BD58:BP58,0))
            )
        )
    ),
"")</f>
        <v/>
      </c>
      <c r="EA57" t="str" cm="1">
        <f t="array" ref="EA57">IFERROR(
    TRANSPOSE(
        _xlfn.UNIQUE(
            _xlfn._xlws.FILTER(
                Tabla1__2[NOMBRE_DOCENTE],
                ISNUMBER(MATCH(Tabla1__2[MAESTRIA],BQ57:DY57,0))
            )
        )
    ),
"")</f>
        <v/>
      </c>
    </row>
    <row r="58" spans="1:131" ht="20.25" customHeight="1">
      <c r="A58" t="str" cm="1">
        <f t="array" ref="A58">TRANSPOSE(_xlfn.UNIQUE(_xlfn._xlws.FILTER(T_ASIGNATURA1[ID_NIVEL],T_ASIGNATURA1[ID_CARRERA]=ASIGNACION!$A58,"No existe información")))</f>
        <v>No existe información</v>
      </c>
      <c r="S58" t="str" cm="1">
        <f t="array" ref="S58">TRANSPOSE(_xlfn.UNIQUE(_xlfn._xlws.FILTER(T_ASIGNATURA1[NOM_ASIG],(T_ASIGNATURA1[ID_NIVEL]=ASIGNACION!$C58)*(T_ASIGNATURA1[ID_CARRERA]=ASIGNACION!$A58),"No existe información")))</f>
        <v>No existe información</v>
      </c>
      <c r="BQ58" s="1" t="str" cm="1">
        <f t="array" ref="BQ58">IFERROR(
    TRANSPOSE(
        _xlfn.UNIQUE(
            _xlfn._xlws.FILTER(
                Tabla1_1[MAESTRIA],
                ISNUMBER(MATCH(Tabla1_1[CAMPO_DETALLADO],BD59:BP59,0))
            )
        )
    ),
"")</f>
        <v/>
      </c>
      <c r="EA58" t="str" cm="1">
        <f t="array" ref="EA58">IFERROR(
    TRANSPOSE(
        _xlfn.UNIQUE(
            _xlfn._xlws.FILTER(
                Tabla1__2[NOMBRE_DOCENTE],
                ISNUMBER(MATCH(Tabla1__2[MAESTRIA],BQ58:DY58,0))
            )
        )
    ),
"")</f>
        <v/>
      </c>
    </row>
    <row r="59" spans="1:131" ht="20.25" customHeight="1">
      <c r="A59" t="str" cm="1">
        <f t="array" ref="A59">TRANSPOSE(_xlfn.UNIQUE(_xlfn._xlws.FILTER(T_ASIGNATURA1[ID_NIVEL],T_ASIGNATURA1[ID_CARRERA]=ASIGNACION!$A59,"No existe información")))</f>
        <v>No existe información</v>
      </c>
      <c r="S59" t="str" cm="1">
        <f t="array" ref="S59">TRANSPOSE(_xlfn.UNIQUE(_xlfn._xlws.FILTER(T_ASIGNATURA1[NOM_ASIG],(T_ASIGNATURA1[ID_NIVEL]=ASIGNACION!$C59)*(T_ASIGNATURA1[ID_CARRERA]=ASIGNACION!$A59),"No existe información")))</f>
        <v>No existe información</v>
      </c>
      <c r="BQ59" s="1" t="str" cm="1">
        <f t="array" ref="BQ59">IFERROR(
    TRANSPOSE(
        _xlfn.UNIQUE(
            _xlfn._xlws.FILTER(
                Tabla1_1[MAESTRIA],
                ISNUMBER(MATCH(Tabla1_1[CAMPO_DETALLADO],BD60:BP60,0))
            )
        )
    ),
"")</f>
        <v/>
      </c>
      <c r="EA59" t="str" cm="1">
        <f t="array" ref="EA59">IFERROR(
    TRANSPOSE(
        _xlfn.UNIQUE(
            _xlfn._xlws.FILTER(
                Tabla1__2[NOMBRE_DOCENTE],
                ISNUMBER(MATCH(Tabla1__2[MAESTRIA],BQ59:DY59,0))
            )
        )
    ),
"")</f>
        <v/>
      </c>
    </row>
    <row r="60" spans="1:131" ht="20.25" customHeight="1">
      <c r="A60" t="str" cm="1">
        <f t="array" ref="A60">TRANSPOSE(_xlfn.UNIQUE(_xlfn._xlws.FILTER(T_ASIGNATURA1[ID_NIVEL],T_ASIGNATURA1[ID_CARRERA]=ASIGNACION!$A60,"No existe información")))</f>
        <v>No existe información</v>
      </c>
      <c r="S60" t="str" cm="1">
        <f t="array" ref="S60">TRANSPOSE(_xlfn.UNIQUE(_xlfn._xlws.FILTER(T_ASIGNATURA1[NOM_ASIG],(T_ASIGNATURA1[ID_NIVEL]=ASIGNACION!$C60)*(T_ASIGNATURA1[ID_CARRERA]=ASIGNACION!$A60),"No existe información")))</f>
        <v>No existe información</v>
      </c>
      <c r="BQ60" s="1" t="str" cm="1">
        <f t="array" ref="BQ60">IFERROR(
    TRANSPOSE(
        _xlfn.UNIQUE(
            _xlfn._xlws.FILTER(
                Tabla1_1[MAESTRIA],
                ISNUMBER(MATCH(Tabla1_1[CAMPO_DETALLADO],BD61:BP61,0))
            )
        )
    ),
"")</f>
        <v/>
      </c>
      <c r="EA60" t="str" cm="1">
        <f t="array" ref="EA60">IFERROR(
    TRANSPOSE(
        _xlfn.UNIQUE(
            _xlfn._xlws.FILTER(
                Tabla1__2[NOMBRE_DOCENTE],
                ISNUMBER(MATCH(Tabla1__2[MAESTRIA],BQ60:DY60,0))
            )
        )
    ),
"")</f>
        <v/>
      </c>
    </row>
    <row r="61" spans="1:131" ht="20.25" customHeight="1">
      <c r="A61" t="str" cm="1">
        <f t="array" ref="A61">TRANSPOSE(_xlfn.UNIQUE(_xlfn._xlws.FILTER(T_ASIGNATURA1[ID_NIVEL],T_ASIGNATURA1[ID_CARRERA]=ASIGNACION!$A61,"No existe información")))</f>
        <v>No existe información</v>
      </c>
      <c r="S61" t="str" cm="1">
        <f t="array" ref="S61">TRANSPOSE(_xlfn.UNIQUE(_xlfn._xlws.FILTER(T_ASIGNATURA1[NOM_ASIG],(T_ASIGNATURA1[ID_NIVEL]=ASIGNACION!$C61)*(T_ASIGNATURA1[ID_CARRERA]=ASIGNACION!$A61),"No existe información")))</f>
        <v>No existe información</v>
      </c>
      <c r="BQ61" s="1" t="str" cm="1">
        <f t="array" ref="BQ61">IFERROR(
    TRANSPOSE(
        _xlfn.UNIQUE(
            _xlfn._xlws.FILTER(
                Tabla1_1[MAESTRIA],
                ISNUMBER(MATCH(Tabla1_1[CAMPO_DETALLADO],BD62:BP62,0))
            )
        )
    ),
"")</f>
        <v/>
      </c>
      <c r="EA61" t="str" cm="1">
        <f t="array" ref="EA61">IFERROR(
    TRANSPOSE(
        _xlfn.UNIQUE(
            _xlfn._xlws.FILTER(
                Tabla1__2[NOMBRE_DOCENTE],
                ISNUMBER(MATCH(Tabla1__2[MAESTRIA],BQ61:DY61,0))
            )
        )
    ),
"")</f>
        <v/>
      </c>
    </row>
    <row r="62" spans="1:131" ht="20.25" customHeight="1">
      <c r="A62" t="str" cm="1">
        <f t="array" ref="A62">TRANSPOSE(_xlfn.UNIQUE(_xlfn._xlws.FILTER(T_ASIGNATURA1[ID_NIVEL],T_ASIGNATURA1[ID_CARRERA]=ASIGNACION!$A62,"No existe información")))</f>
        <v>No existe información</v>
      </c>
      <c r="S62" t="str" cm="1">
        <f t="array" ref="S62">TRANSPOSE(_xlfn.UNIQUE(_xlfn._xlws.FILTER(T_ASIGNATURA1[NOM_ASIG],(T_ASIGNATURA1[ID_NIVEL]=ASIGNACION!$C62)*(T_ASIGNATURA1[ID_CARRERA]=ASIGNACION!$A62),"No existe información")))</f>
        <v>No existe información</v>
      </c>
      <c r="BQ62" s="1" t="str" cm="1">
        <f t="array" ref="BQ62">IFERROR(
    TRANSPOSE(
        _xlfn.UNIQUE(
            _xlfn._xlws.FILTER(
                Tabla1_1[MAESTRIA],
                ISNUMBER(MATCH(Tabla1_1[CAMPO_DETALLADO],BD63:BP63,0))
            )
        )
    ),
"")</f>
        <v/>
      </c>
      <c r="EA62" t="str" cm="1">
        <f t="array" ref="EA62">IFERROR(
    TRANSPOSE(
        _xlfn.UNIQUE(
            _xlfn._xlws.FILTER(
                Tabla1__2[NOMBRE_DOCENTE],
                ISNUMBER(MATCH(Tabla1__2[MAESTRIA],BQ62:DY62,0))
            )
        )
    ),
"")</f>
        <v/>
      </c>
    </row>
    <row r="63" spans="1:131" ht="20.25" customHeight="1">
      <c r="A63" t="str" cm="1">
        <f t="array" ref="A63">TRANSPOSE(_xlfn.UNIQUE(_xlfn._xlws.FILTER(T_ASIGNATURA1[ID_NIVEL],T_ASIGNATURA1[ID_CARRERA]=ASIGNACION!$A63,"No existe información")))</f>
        <v>No existe información</v>
      </c>
      <c r="S63" t="str" cm="1">
        <f t="array" ref="S63">TRANSPOSE(_xlfn.UNIQUE(_xlfn._xlws.FILTER(T_ASIGNATURA1[NOM_ASIG],(T_ASIGNATURA1[ID_NIVEL]=ASIGNACION!$C63)*(T_ASIGNATURA1[ID_CARRERA]=ASIGNACION!$A63),"No existe información")))</f>
        <v>No existe información</v>
      </c>
      <c r="BQ63" s="1" t="str" cm="1">
        <f t="array" ref="BQ63">IFERROR(
    TRANSPOSE(
        _xlfn.UNIQUE(
            _xlfn._xlws.FILTER(
                Tabla1_1[MAESTRIA],
                ISNUMBER(MATCH(Tabla1_1[CAMPO_DETALLADO],BD64:BP64,0))
            )
        )
    ),
"")</f>
        <v/>
      </c>
      <c r="EA63" t="str" cm="1">
        <f t="array" ref="EA63">IFERROR(
    TRANSPOSE(
        _xlfn.UNIQUE(
            _xlfn._xlws.FILTER(
                Tabla1__2[NOMBRE_DOCENTE],
                ISNUMBER(MATCH(Tabla1__2[MAESTRIA],BQ63:DY63,0))
            )
        )
    ),
"")</f>
        <v/>
      </c>
    </row>
    <row r="64" spans="1:131" ht="20.25" customHeight="1">
      <c r="A64" t="str" cm="1">
        <f t="array" ref="A64">TRANSPOSE(_xlfn.UNIQUE(_xlfn._xlws.FILTER(T_ASIGNATURA1[ID_NIVEL],T_ASIGNATURA1[ID_CARRERA]=ASIGNACION!$A64,"No existe información")))</f>
        <v>No existe información</v>
      </c>
      <c r="S64" t="str" cm="1">
        <f t="array" ref="S64">TRANSPOSE(_xlfn.UNIQUE(_xlfn._xlws.FILTER(T_ASIGNATURA1[NOM_ASIG],(T_ASIGNATURA1[ID_NIVEL]=ASIGNACION!$C64)*(T_ASIGNATURA1[ID_CARRERA]=ASIGNACION!$A64),"No existe información")))</f>
        <v>No existe información</v>
      </c>
      <c r="BQ64" s="1" t="str" cm="1">
        <f t="array" ref="BQ64">IFERROR(
    TRANSPOSE(
        _xlfn.UNIQUE(
            _xlfn._xlws.FILTER(
                Tabla1_1[MAESTRIA],
                ISNUMBER(MATCH(Tabla1_1[CAMPO_DETALLADO],BD65:BP65,0))
            )
        )
    ),
"")</f>
        <v/>
      </c>
      <c r="EA64" t="str" cm="1">
        <f t="array" ref="EA64">IFERROR(
    TRANSPOSE(
        _xlfn.UNIQUE(
            _xlfn._xlws.FILTER(
                Tabla1__2[NOMBRE_DOCENTE],
                ISNUMBER(MATCH(Tabla1__2[MAESTRIA],BQ64:DY64,0))
            )
        )
    ),
"")</f>
        <v/>
      </c>
    </row>
    <row r="65" spans="1:131" ht="20.25" customHeight="1">
      <c r="A65" t="str" cm="1">
        <f t="array" ref="A65">TRANSPOSE(_xlfn.UNIQUE(_xlfn._xlws.FILTER(T_ASIGNATURA1[ID_NIVEL],T_ASIGNATURA1[ID_CARRERA]=ASIGNACION!$A65,"No existe información")))</f>
        <v>No existe información</v>
      </c>
      <c r="S65" t="str" cm="1">
        <f t="array" ref="S65">TRANSPOSE(_xlfn.UNIQUE(_xlfn._xlws.FILTER(T_ASIGNATURA1[NOM_ASIG],(T_ASIGNATURA1[ID_NIVEL]=ASIGNACION!$C65)*(T_ASIGNATURA1[ID_CARRERA]=ASIGNACION!$A65),"No existe información")))</f>
        <v>No existe información</v>
      </c>
      <c r="BQ65" s="1" t="str" cm="1">
        <f t="array" ref="BQ65">IFERROR(
    TRANSPOSE(
        _xlfn.UNIQUE(
            _xlfn._xlws.FILTER(
                Tabla1_1[MAESTRIA],
                ISNUMBER(MATCH(Tabla1_1[CAMPO_DETALLADO],BD66:BP66,0))
            )
        )
    ),
"")</f>
        <v/>
      </c>
      <c r="EA65" t="str" cm="1">
        <f t="array" ref="EA65">IFERROR(
    TRANSPOSE(
        _xlfn.UNIQUE(
            _xlfn._xlws.FILTER(
                Tabla1__2[NOMBRE_DOCENTE],
                ISNUMBER(MATCH(Tabla1__2[MAESTRIA],BQ65:DY65,0))
            )
        )
    ),
"")</f>
        <v/>
      </c>
    </row>
    <row r="66" spans="1:131" ht="20.25" customHeight="1">
      <c r="A66" t="str" cm="1">
        <f t="array" ref="A66">TRANSPOSE(_xlfn.UNIQUE(_xlfn._xlws.FILTER(T_ASIGNATURA1[ID_NIVEL],T_ASIGNATURA1[ID_CARRERA]=ASIGNACION!$A66,"No existe información")))</f>
        <v>No existe información</v>
      </c>
      <c r="S66" t="str" cm="1">
        <f t="array" ref="S66">TRANSPOSE(_xlfn.UNIQUE(_xlfn._xlws.FILTER(T_ASIGNATURA1[NOM_ASIG],(T_ASIGNATURA1[ID_NIVEL]=ASIGNACION!$C66)*(T_ASIGNATURA1[ID_CARRERA]=ASIGNACION!$A66),"No existe información")))</f>
        <v>No existe información</v>
      </c>
      <c r="BQ66" s="1" t="str" cm="1">
        <f t="array" ref="BQ66">IFERROR(
    TRANSPOSE(
        _xlfn.UNIQUE(
            _xlfn._xlws.FILTER(
                Tabla1_1[MAESTRIA],
                ISNUMBER(MATCH(Tabla1_1[CAMPO_DETALLADO],BD67:BP67,0))
            )
        )
    ),
"")</f>
        <v/>
      </c>
      <c r="EA66" t="str" cm="1">
        <f t="array" ref="EA66">IFERROR(
    TRANSPOSE(
        _xlfn.UNIQUE(
            _xlfn._xlws.FILTER(
                Tabla1__2[NOMBRE_DOCENTE],
                ISNUMBER(MATCH(Tabla1__2[MAESTRIA],BQ66:DY66,0))
            )
        )
    ),
"")</f>
        <v/>
      </c>
    </row>
    <row r="67" spans="1:131" ht="20.25" customHeight="1">
      <c r="A67" t="str" cm="1">
        <f t="array" ref="A67">TRANSPOSE(_xlfn.UNIQUE(_xlfn._xlws.FILTER(T_ASIGNATURA1[ID_NIVEL],T_ASIGNATURA1[ID_CARRERA]=ASIGNACION!$A67,"No existe información")))</f>
        <v>No existe información</v>
      </c>
      <c r="S67" t="str" cm="1">
        <f t="array" ref="S67">TRANSPOSE(_xlfn.UNIQUE(_xlfn._xlws.FILTER(T_ASIGNATURA1[NOM_ASIG],(T_ASIGNATURA1[ID_NIVEL]=ASIGNACION!$C67)*(T_ASIGNATURA1[ID_CARRERA]=ASIGNACION!$A67),"No existe información")))</f>
        <v>No existe información</v>
      </c>
      <c r="BQ67" s="1" t="str" cm="1">
        <f t="array" ref="BQ67">IFERROR(
    TRANSPOSE(
        _xlfn.UNIQUE(
            _xlfn._xlws.FILTER(
                Tabla1_1[MAESTRIA],
                ISNUMBER(MATCH(Tabla1_1[CAMPO_DETALLADO],BD68:BP68,0))
            )
        )
    ),
"")</f>
        <v/>
      </c>
      <c r="EA67" t="str" cm="1">
        <f t="array" ref="EA67">IFERROR(
    TRANSPOSE(
        _xlfn.UNIQUE(
            _xlfn._xlws.FILTER(
                Tabla1__2[NOMBRE_DOCENTE],
                ISNUMBER(MATCH(Tabla1__2[MAESTRIA],BQ67:DY67,0))
            )
        )
    ),
"")</f>
        <v/>
      </c>
    </row>
    <row r="68" spans="1:131" ht="20.25" customHeight="1">
      <c r="A68" t="str" cm="1">
        <f t="array" ref="A68">TRANSPOSE(_xlfn.UNIQUE(_xlfn._xlws.FILTER(T_ASIGNATURA1[ID_NIVEL],T_ASIGNATURA1[ID_CARRERA]=ASIGNACION!$A68,"No existe información")))</f>
        <v>No existe información</v>
      </c>
      <c r="S68" t="str" cm="1">
        <f t="array" ref="S68">TRANSPOSE(_xlfn.UNIQUE(_xlfn._xlws.FILTER(T_ASIGNATURA1[NOM_ASIG],(T_ASIGNATURA1[ID_NIVEL]=ASIGNACION!$C68)*(T_ASIGNATURA1[ID_CARRERA]=ASIGNACION!$A68),"No existe información")))</f>
        <v>No existe información</v>
      </c>
      <c r="BQ68" s="1" t="str" cm="1">
        <f t="array" ref="BQ68">IFERROR(
    TRANSPOSE(
        _xlfn.UNIQUE(
            _xlfn._xlws.FILTER(
                Tabla1_1[MAESTRIA],
                ISNUMBER(MATCH(Tabla1_1[CAMPO_DETALLADO],BD69:BP69,0))
            )
        )
    ),
"")</f>
        <v/>
      </c>
      <c r="EA68" t="str" cm="1">
        <f t="array" ref="EA68">IFERROR(
    TRANSPOSE(
        _xlfn.UNIQUE(
            _xlfn._xlws.FILTER(
                Tabla1__2[NOMBRE_DOCENTE],
                ISNUMBER(MATCH(Tabla1__2[MAESTRIA],BQ68:DY68,0))
            )
        )
    ),
"")</f>
        <v/>
      </c>
    </row>
    <row r="69" spans="1:131" ht="20.25" customHeight="1">
      <c r="A69" t="str" cm="1">
        <f t="array" ref="A69">TRANSPOSE(_xlfn.UNIQUE(_xlfn._xlws.FILTER(T_ASIGNATURA1[ID_NIVEL],T_ASIGNATURA1[ID_CARRERA]=ASIGNACION!$A69,"No existe información")))</f>
        <v>No existe información</v>
      </c>
      <c r="S69" t="str" cm="1">
        <f t="array" ref="S69">TRANSPOSE(_xlfn.UNIQUE(_xlfn._xlws.FILTER(T_ASIGNATURA1[NOM_ASIG],(T_ASIGNATURA1[ID_NIVEL]=ASIGNACION!$C69)*(T_ASIGNATURA1[ID_CARRERA]=ASIGNACION!$A69),"No existe información")))</f>
        <v>No existe información</v>
      </c>
      <c r="BQ69" s="1" t="str" cm="1">
        <f t="array" ref="BQ69">IFERROR(
    TRANSPOSE(
        _xlfn.UNIQUE(
            _xlfn._xlws.FILTER(
                Tabla1_1[MAESTRIA],
                ISNUMBER(MATCH(Tabla1_1[CAMPO_DETALLADO],BD70:BP70,0))
            )
        )
    ),
"")</f>
        <v/>
      </c>
      <c r="EA69" t="str" cm="1">
        <f t="array" ref="EA69">IFERROR(
    TRANSPOSE(
        _xlfn.UNIQUE(
            _xlfn._xlws.FILTER(
                Tabla1__2[NOMBRE_DOCENTE],
                ISNUMBER(MATCH(Tabla1__2[MAESTRIA],BQ69:DY69,0))
            )
        )
    ),
"")</f>
        <v/>
      </c>
    </row>
    <row r="70" spans="1:131" ht="20.25" customHeight="1">
      <c r="A70" t="str" cm="1">
        <f t="array" ref="A70">TRANSPOSE(_xlfn.UNIQUE(_xlfn._xlws.FILTER(T_ASIGNATURA1[ID_NIVEL],T_ASIGNATURA1[ID_CARRERA]=ASIGNACION!$A70,"No existe información")))</f>
        <v>No existe información</v>
      </c>
      <c r="S70" t="str" cm="1">
        <f t="array" ref="S70">TRANSPOSE(_xlfn.UNIQUE(_xlfn._xlws.FILTER(T_ASIGNATURA1[NOM_ASIG],(T_ASIGNATURA1[ID_NIVEL]=ASIGNACION!$C70)*(T_ASIGNATURA1[ID_CARRERA]=ASIGNACION!$A70),"No existe información")))</f>
        <v>No existe información</v>
      </c>
      <c r="BQ70" s="1" t="str" cm="1">
        <f t="array" ref="BQ70">IFERROR(
    TRANSPOSE(
        _xlfn.UNIQUE(
            _xlfn._xlws.FILTER(
                Tabla1_1[MAESTRIA],
                ISNUMBER(MATCH(Tabla1_1[CAMPO_DETALLADO],BD71:BP71,0))
            )
        )
    ),
"")</f>
        <v/>
      </c>
      <c r="EA70" t="str" cm="1">
        <f t="array" ref="EA70">IFERROR(
    TRANSPOSE(
        _xlfn.UNIQUE(
            _xlfn._xlws.FILTER(
                Tabla1__2[NOMBRE_DOCENTE],
                ISNUMBER(MATCH(Tabla1__2[MAESTRIA],BQ70:DY70,0))
            )
        )
    ),
"")</f>
        <v/>
      </c>
    </row>
    <row r="71" spans="1:131" ht="20.25" customHeight="1">
      <c r="A71" t="str" cm="1">
        <f t="array" ref="A71">TRANSPOSE(_xlfn.UNIQUE(_xlfn._xlws.FILTER(T_ASIGNATURA1[ID_NIVEL],T_ASIGNATURA1[ID_CARRERA]=ASIGNACION!$A71,"No existe información")))</f>
        <v>No existe información</v>
      </c>
      <c r="S71" t="str" cm="1">
        <f t="array" ref="S71">TRANSPOSE(_xlfn.UNIQUE(_xlfn._xlws.FILTER(T_ASIGNATURA1[NOM_ASIG],(T_ASIGNATURA1[ID_NIVEL]=ASIGNACION!$C71)*(T_ASIGNATURA1[ID_CARRERA]=ASIGNACION!$A71),"No existe información")))</f>
        <v>No existe información</v>
      </c>
      <c r="BQ71" s="1" t="str" cm="1">
        <f t="array" ref="BQ71">IFERROR(
    TRANSPOSE(
        _xlfn.UNIQUE(
            _xlfn._xlws.FILTER(
                Tabla1_1[MAESTRIA],
                ISNUMBER(MATCH(Tabla1_1[CAMPO_DETALLADO],BD72:BP72,0))
            )
        )
    ),
"")</f>
        <v/>
      </c>
      <c r="EA71" t="str" cm="1">
        <f t="array" ref="EA71">IFERROR(
    TRANSPOSE(
        _xlfn.UNIQUE(
            _xlfn._xlws.FILTER(
                Tabla1__2[NOMBRE_DOCENTE],
                ISNUMBER(MATCH(Tabla1__2[MAESTRIA],BQ71:DY71,0))
            )
        )
    ),
"")</f>
        <v/>
      </c>
    </row>
    <row r="72" spans="1:131" ht="20.25" customHeight="1">
      <c r="A72" t="str" cm="1">
        <f t="array" ref="A72">TRANSPOSE(_xlfn.UNIQUE(_xlfn._xlws.FILTER(T_ASIGNATURA1[ID_NIVEL],T_ASIGNATURA1[ID_CARRERA]=ASIGNACION!$A72,"No existe información")))</f>
        <v>No existe información</v>
      </c>
      <c r="S72" t="str" cm="1">
        <f t="array" ref="S72">TRANSPOSE(_xlfn.UNIQUE(_xlfn._xlws.FILTER(T_ASIGNATURA1[NOM_ASIG],(T_ASIGNATURA1[ID_NIVEL]=ASIGNACION!$C72)*(T_ASIGNATURA1[ID_CARRERA]=ASIGNACION!$A72),"No existe información")))</f>
        <v>No existe información</v>
      </c>
      <c r="BQ72" s="1" t="str" cm="1">
        <f t="array" ref="BQ72">IFERROR(
    TRANSPOSE(
        _xlfn.UNIQUE(
            _xlfn._xlws.FILTER(
                Tabla1_1[MAESTRIA],
                ISNUMBER(MATCH(Tabla1_1[CAMPO_DETALLADO],BD73:BP73,0))
            )
        )
    ),
"")</f>
        <v/>
      </c>
      <c r="EA72" t="str" cm="1">
        <f t="array" ref="EA72">IFERROR(
    TRANSPOSE(
        _xlfn.UNIQUE(
            _xlfn._xlws.FILTER(
                Tabla1__2[NOMBRE_DOCENTE],
                ISNUMBER(MATCH(Tabla1__2[MAESTRIA],BQ72:DY72,0))
            )
        )
    ),
"")</f>
        <v/>
      </c>
    </row>
    <row r="73" spans="1:131" ht="20.25" customHeight="1">
      <c r="A73" t="str" cm="1">
        <f t="array" ref="A73">TRANSPOSE(_xlfn.UNIQUE(_xlfn._xlws.FILTER(T_ASIGNATURA1[ID_NIVEL],T_ASIGNATURA1[ID_CARRERA]=ASIGNACION!$A73,"No existe información")))</f>
        <v>No existe información</v>
      </c>
      <c r="S73" t="str" cm="1">
        <f t="array" ref="S73">TRANSPOSE(_xlfn.UNIQUE(_xlfn._xlws.FILTER(T_ASIGNATURA1[NOM_ASIG],(T_ASIGNATURA1[ID_NIVEL]=ASIGNACION!$C73)*(T_ASIGNATURA1[ID_CARRERA]=ASIGNACION!$A73),"No existe información")))</f>
        <v>No existe información</v>
      </c>
      <c r="BQ73" s="1" t="str" cm="1">
        <f t="array" ref="BQ73">IFERROR(
    TRANSPOSE(
        _xlfn.UNIQUE(
            _xlfn._xlws.FILTER(
                Tabla1_1[MAESTRIA],
                ISNUMBER(MATCH(Tabla1_1[CAMPO_DETALLADO],BD74:BP74,0))
            )
        )
    ),
"")</f>
        <v/>
      </c>
      <c r="EA73" t="str" cm="1">
        <f t="array" ref="EA73">IFERROR(
    TRANSPOSE(
        _xlfn.UNIQUE(
            _xlfn._xlws.FILTER(
                Tabla1__2[NOMBRE_DOCENTE],
                ISNUMBER(MATCH(Tabla1__2[MAESTRIA],BQ73:DY73,0))
            )
        )
    ),
"")</f>
        <v/>
      </c>
    </row>
    <row r="74" spans="1:131" ht="20.25" customHeight="1">
      <c r="A74" t="str" cm="1">
        <f t="array" ref="A74">TRANSPOSE(_xlfn.UNIQUE(_xlfn._xlws.FILTER(T_ASIGNATURA1[ID_NIVEL],T_ASIGNATURA1[ID_CARRERA]=ASIGNACION!$A74,"No existe información")))</f>
        <v>No existe información</v>
      </c>
      <c r="S74" t="str" cm="1">
        <f t="array" ref="S74">TRANSPOSE(_xlfn.UNIQUE(_xlfn._xlws.FILTER(T_ASIGNATURA1[NOM_ASIG],(T_ASIGNATURA1[ID_NIVEL]=ASIGNACION!$C74)*(T_ASIGNATURA1[ID_CARRERA]=ASIGNACION!$A74),"No existe información")))</f>
        <v>No existe información</v>
      </c>
      <c r="BQ74" s="1" t="str" cm="1">
        <f t="array" ref="BQ74">IFERROR(
    TRANSPOSE(
        _xlfn.UNIQUE(
            _xlfn._xlws.FILTER(
                Tabla1_1[MAESTRIA],
                ISNUMBER(MATCH(Tabla1_1[CAMPO_DETALLADO],BD75:BP75,0))
            )
        )
    ),
"")</f>
        <v/>
      </c>
      <c r="EA74" t="str" cm="1">
        <f t="array" ref="EA74">IFERROR(
    TRANSPOSE(
        _xlfn.UNIQUE(
            _xlfn._xlws.FILTER(
                Tabla1__2[NOMBRE_DOCENTE],
                ISNUMBER(MATCH(Tabla1__2[MAESTRIA],BQ74:DY74,0))
            )
        )
    ),
"")</f>
        <v/>
      </c>
    </row>
    <row r="75" spans="1:131" ht="20.25" customHeight="1">
      <c r="A75" t="str" cm="1">
        <f t="array" ref="A75">TRANSPOSE(_xlfn.UNIQUE(_xlfn._xlws.FILTER(T_ASIGNATURA1[ID_NIVEL],T_ASIGNATURA1[ID_CARRERA]=ASIGNACION!$A75,"No existe información")))</f>
        <v>No existe información</v>
      </c>
      <c r="S75" t="str" cm="1">
        <f t="array" ref="S75">TRANSPOSE(_xlfn.UNIQUE(_xlfn._xlws.FILTER(T_ASIGNATURA1[NOM_ASIG],(T_ASIGNATURA1[ID_NIVEL]=ASIGNACION!$C75)*(T_ASIGNATURA1[ID_CARRERA]=ASIGNACION!$A75),"No existe información")))</f>
        <v>No existe información</v>
      </c>
      <c r="BQ75" s="1" t="str" cm="1">
        <f t="array" ref="BQ75">IFERROR(
    TRANSPOSE(
        _xlfn.UNIQUE(
            _xlfn._xlws.FILTER(
                Tabla1_1[MAESTRIA],
                ISNUMBER(MATCH(Tabla1_1[CAMPO_DETALLADO],BD76:BP76,0))
            )
        )
    ),
"")</f>
        <v/>
      </c>
      <c r="EA75" t="str" cm="1">
        <f t="array" ref="EA75">IFERROR(
    TRANSPOSE(
        _xlfn.UNIQUE(
            _xlfn._xlws.FILTER(
                Tabla1__2[NOMBRE_DOCENTE],
                ISNUMBER(MATCH(Tabla1__2[MAESTRIA],BQ75:DY75,0))
            )
        )
    ),
"")</f>
        <v/>
      </c>
    </row>
    <row r="76" spans="1:131" ht="20.25" customHeight="1">
      <c r="A76" t="str" cm="1">
        <f t="array" ref="A76">TRANSPOSE(_xlfn.UNIQUE(_xlfn._xlws.FILTER(T_ASIGNATURA1[ID_NIVEL],T_ASIGNATURA1[ID_CARRERA]=ASIGNACION!$A76,"No existe información")))</f>
        <v>No existe información</v>
      </c>
      <c r="S76" t="str" cm="1">
        <f t="array" ref="S76">TRANSPOSE(_xlfn.UNIQUE(_xlfn._xlws.FILTER(T_ASIGNATURA1[NOM_ASIG],(T_ASIGNATURA1[ID_NIVEL]=ASIGNACION!$C76)*(T_ASIGNATURA1[ID_CARRERA]=ASIGNACION!$A76),"No existe información")))</f>
        <v>No existe información</v>
      </c>
      <c r="BQ76" s="1" t="str" cm="1">
        <f t="array" ref="BQ76">IFERROR(
    TRANSPOSE(
        _xlfn.UNIQUE(
            _xlfn._xlws.FILTER(
                Tabla1_1[MAESTRIA],
                ISNUMBER(MATCH(Tabla1_1[CAMPO_DETALLADO],BD77:BP77,0))
            )
        )
    ),
"")</f>
        <v/>
      </c>
      <c r="EA76" t="str" cm="1">
        <f t="array" ref="EA76">IFERROR(
    TRANSPOSE(
        _xlfn.UNIQUE(
            _xlfn._xlws.FILTER(
                Tabla1__2[NOMBRE_DOCENTE],
                ISNUMBER(MATCH(Tabla1__2[MAESTRIA],BQ76:DY76,0))
            )
        )
    ),
"")</f>
        <v/>
      </c>
    </row>
    <row r="77" spans="1:131" ht="20.25" customHeight="1">
      <c r="A77" t="str" cm="1">
        <f t="array" ref="A77">TRANSPOSE(_xlfn.UNIQUE(_xlfn._xlws.FILTER(T_ASIGNATURA1[ID_NIVEL],T_ASIGNATURA1[ID_CARRERA]=ASIGNACION!$A77,"No existe información")))</f>
        <v>No existe información</v>
      </c>
      <c r="S77" t="str" cm="1">
        <f t="array" ref="S77">TRANSPOSE(_xlfn.UNIQUE(_xlfn._xlws.FILTER(T_ASIGNATURA1[NOM_ASIG],(T_ASIGNATURA1[ID_NIVEL]=ASIGNACION!$C77)*(T_ASIGNATURA1[ID_CARRERA]=ASIGNACION!$A77),"No existe información")))</f>
        <v>No existe información</v>
      </c>
      <c r="BQ77" s="1" t="str" cm="1">
        <f t="array" ref="BQ77">IFERROR(
    TRANSPOSE(
        _xlfn.UNIQUE(
            _xlfn._xlws.FILTER(
                Tabla1_1[MAESTRIA],
                ISNUMBER(MATCH(Tabla1_1[CAMPO_DETALLADO],BD78:BP78,0))
            )
        )
    ),
"")</f>
        <v/>
      </c>
      <c r="EA77" t="str" cm="1">
        <f t="array" ref="EA77">IFERROR(
    TRANSPOSE(
        _xlfn.UNIQUE(
            _xlfn._xlws.FILTER(
                Tabla1__2[NOMBRE_DOCENTE],
                ISNUMBER(MATCH(Tabla1__2[MAESTRIA],BQ77:DY77,0))
            )
        )
    ),
"")</f>
        <v/>
      </c>
    </row>
    <row r="78" spans="1:131" ht="20.25" customHeight="1">
      <c r="A78" t="str" cm="1">
        <f t="array" ref="A78">TRANSPOSE(_xlfn.UNIQUE(_xlfn._xlws.FILTER(T_ASIGNATURA1[ID_NIVEL],T_ASIGNATURA1[ID_CARRERA]=ASIGNACION!$A78,"No existe información")))</f>
        <v>No existe información</v>
      </c>
      <c r="S78" t="str" cm="1">
        <f t="array" ref="S78">TRANSPOSE(_xlfn.UNIQUE(_xlfn._xlws.FILTER(T_ASIGNATURA1[NOM_ASIG],(T_ASIGNATURA1[ID_NIVEL]=ASIGNACION!$C78)*(T_ASIGNATURA1[ID_CARRERA]=ASIGNACION!$A78),"No existe información")))</f>
        <v>No existe información</v>
      </c>
      <c r="BQ78" s="1" t="str" cm="1">
        <f t="array" ref="BQ78">IFERROR(
    TRANSPOSE(
        _xlfn.UNIQUE(
            _xlfn._xlws.FILTER(
                Tabla1_1[MAESTRIA],
                ISNUMBER(MATCH(Tabla1_1[CAMPO_DETALLADO],BD79:BP79,0))
            )
        )
    ),
"")</f>
        <v/>
      </c>
      <c r="EA78" t="str" cm="1">
        <f t="array" ref="EA78">IFERROR(
    TRANSPOSE(
        _xlfn.UNIQUE(
            _xlfn._xlws.FILTER(
                Tabla1__2[NOMBRE_DOCENTE],
                ISNUMBER(MATCH(Tabla1__2[MAESTRIA],BQ78:DY78,0))
            )
        )
    ),
"")</f>
        <v/>
      </c>
    </row>
    <row r="79" spans="1:131" ht="20.25" customHeight="1">
      <c r="A79" t="str" cm="1">
        <f t="array" ref="A79">TRANSPOSE(_xlfn.UNIQUE(_xlfn._xlws.FILTER(T_ASIGNATURA1[ID_NIVEL],T_ASIGNATURA1[ID_CARRERA]=ASIGNACION!$A79,"No existe información")))</f>
        <v>No existe información</v>
      </c>
      <c r="S79" t="str" cm="1">
        <f t="array" ref="S79">TRANSPOSE(_xlfn.UNIQUE(_xlfn._xlws.FILTER(T_ASIGNATURA1[NOM_ASIG],(T_ASIGNATURA1[ID_NIVEL]=ASIGNACION!$C79)*(T_ASIGNATURA1[ID_CARRERA]=ASIGNACION!$A79),"No existe información")))</f>
        <v>No existe información</v>
      </c>
      <c r="BQ79" s="1" t="str" cm="1">
        <f t="array" ref="BQ79">IFERROR(
    TRANSPOSE(
        _xlfn.UNIQUE(
            _xlfn._xlws.FILTER(
                Tabla1_1[MAESTRIA],
                ISNUMBER(MATCH(Tabla1_1[CAMPO_DETALLADO],BD80:BP80,0))
            )
        )
    ),
"")</f>
        <v/>
      </c>
      <c r="EA79" t="str" cm="1">
        <f t="array" ref="EA79">IFERROR(
    TRANSPOSE(
        _xlfn.UNIQUE(
            _xlfn._xlws.FILTER(
                Tabla1__2[NOMBRE_DOCENTE],
                ISNUMBER(MATCH(Tabla1__2[MAESTRIA],BQ79:DY79,0))
            )
        )
    ),
"")</f>
        <v/>
      </c>
    </row>
    <row r="80" spans="1:131" ht="20.25" customHeight="1">
      <c r="A80" t="str" cm="1">
        <f t="array" ref="A80">TRANSPOSE(_xlfn.UNIQUE(_xlfn._xlws.FILTER(T_ASIGNATURA1[ID_NIVEL],T_ASIGNATURA1[ID_CARRERA]=ASIGNACION!$A80,"No existe información")))</f>
        <v>No existe información</v>
      </c>
      <c r="S80" t="str" cm="1">
        <f t="array" ref="S80">TRANSPOSE(_xlfn.UNIQUE(_xlfn._xlws.FILTER(T_ASIGNATURA1[NOM_ASIG],(T_ASIGNATURA1[ID_NIVEL]=ASIGNACION!$C80)*(T_ASIGNATURA1[ID_CARRERA]=ASIGNACION!$A80),"No existe información")))</f>
        <v>No existe información</v>
      </c>
      <c r="BQ80" s="1" t="str" cm="1">
        <f t="array" ref="BQ80">IFERROR(
    TRANSPOSE(
        _xlfn.UNIQUE(
            _xlfn._xlws.FILTER(
                Tabla1_1[MAESTRIA],
                ISNUMBER(MATCH(Tabla1_1[CAMPO_DETALLADO],BD81:BP81,0))
            )
        )
    ),
"")</f>
        <v/>
      </c>
      <c r="EA80" t="str" cm="1">
        <f t="array" ref="EA80">IFERROR(
    TRANSPOSE(
        _xlfn.UNIQUE(
            _xlfn._xlws.FILTER(
                Tabla1__2[NOMBRE_DOCENTE],
                ISNUMBER(MATCH(Tabla1__2[MAESTRIA],BQ80:DY80,0))
            )
        )
    ),
"")</f>
        <v/>
      </c>
    </row>
    <row r="81" spans="1:131" ht="20.25" customHeight="1">
      <c r="A81" t="str" cm="1">
        <f t="array" ref="A81">TRANSPOSE(_xlfn.UNIQUE(_xlfn._xlws.FILTER(T_ASIGNATURA1[ID_NIVEL],T_ASIGNATURA1[ID_CARRERA]=ASIGNACION!$A81,"No existe información")))</f>
        <v>No existe información</v>
      </c>
      <c r="S81" t="str" cm="1">
        <f t="array" ref="S81">TRANSPOSE(_xlfn.UNIQUE(_xlfn._xlws.FILTER(T_ASIGNATURA1[NOM_ASIG],(T_ASIGNATURA1[ID_NIVEL]=ASIGNACION!$C81)*(T_ASIGNATURA1[ID_CARRERA]=ASIGNACION!$A81),"No existe información")))</f>
        <v>No existe información</v>
      </c>
      <c r="BQ81" s="1" t="str" cm="1">
        <f t="array" ref="BQ81">IFERROR(
    TRANSPOSE(
        _xlfn.UNIQUE(
            _xlfn._xlws.FILTER(
                Tabla1_1[MAESTRIA],
                ISNUMBER(MATCH(Tabla1_1[CAMPO_DETALLADO],BD82:BP82,0))
            )
        )
    ),
"")</f>
        <v/>
      </c>
      <c r="EA81" t="str" cm="1">
        <f t="array" ref="EA81">IFERROR(
    TRANSPOSE(
        _xlfn.UNIQUE(
            _xlfn._xlws.FILTER(
                Tabla1__2[NOMBRE_DOCENTE],
                ISNUMBER(MATCH(Tabla1__2[MAESTRIA],BQ81:DY81,0))
            )
        )
    ),
"")</f>
        <v/>
      </c>
    </row>
    <row r="82" spans="1:131" ht="20.25" customHeight="1">
      <c r="A82" t="str" cm="1">
        <f t="array" ref="A82">TRANSPOSE(_xlfn.UNIQUE(_xlfn._xlws.FILTER(T_ASIGNATURA1[ID_NIVEL],T_ASIGNATURA1[ID_CARRERA]=ASIGNACION!$A82,"No existe información")))</f>
        <v>No existe información</v>
      </c>
      <c r="S82" t="str" cm="1">
        <f t="array" ref="S82">TRANSPOSE(_xlfn.UNIQUE(_xlfn._xlws.FILTER(T_ASIGNATURA1[NOM_ASIG],(T_ASIGNATURA1[ID_NIVEL]=ASIGNACION!$C82)*(T_ASIGNATURA1[ID_CARRERA]=ASIGNACION!$A82),"No existe información")))</f>
        <v>No existe información</v>
      </c>
      <c r="BQ82" s="1" t="str" cm="1">
        <f t="array" ref="BQ82">IFERROR(
    TRANSPOSE(
        _xlfn.UNIQUE(
            _xlfn._xlws.FILTER(
                Tabla1_1[MAESTRIA],
                ISNUMBER(MATCH(Tabla1_1[CAMPO_DETALLADO],BD83:BP83,0))
            )
        )
    ),
"")</f>
        <v/>
      </c>
      <c r="EA82" t="str" cm="1">
        <f t="array" ref="EA82">IFERROR(
    TRANSPOSE(
        _xlfn.UNIQUE(
            _xlfn._xlws.FILTER(
                Tabla1__2[NOMBRE_DOCENTE],
                ISNUMBER(MATCH(Tabla1__2[MAESTRIA],BQ82:DY82,0))
            )
        )
    ),
"")</f>
        <v/>
      </c>
    </row>
    <row r="83" spans="1:131" ht="20.25" customHeight="1">
      <c r="A83" t="str" cm="1">
        <f t="array" ref="A83">TRANSPOSE(_xlfn.UNIQUE(_xlfn._xlws.FILTER(T_ASIGNATURA1[ID_NIVEL],T_ASIGNATURA1[ID_CARRERA]=ASIGNACION!$A83,"No existe información")))</f>
        <v>No existe información</v>
      </c>
      <c r="S83" t="str" cm="1">
        <f t="array" ref="S83">TRANSPOSE(_xlfn.UNIQUE(_xlfn._xlws.FILTER(T_ASIGNATURA1[NOM_ASIG],(T_ASIGNATURA1[ID_NIVEL]=ASIGNACION!$C83)*(T_ASIGNATURA1[ID_CARRERA]=ASIGNACION!$A83),"No existe información")))</f>
        <v>No existe información</v>
      </c>
      <c r="BQ83" s="1" t="str" cm="1">
        <f t="array" ref="BQ83">IFERROR(
    TRANSPOSE(
        _xlfn.UNIQUE(
            _xlfn._xlws.FILTER(
                Tabla1_1[MAESTRIA],
                ISNUMBER(MATCH(Tabla1_1[CAMPO_DETALLADO],BD84:BP84,0))
            )
        )
    ),
"")</f>
        <v/>
      </c>
      <c r="EA83" t="str" cm="1">
        <f t="array" ref="EA83">IFERROR(
    TRANSPOSE(
        _xlfn.UNIQUE(
            _xlfn._xlws.FILTER(
                Tabla1__2[NOMBRE_DOCENTE],
                ISNUMBER(MATCH(Tabla1__2[MAESTRIA],BQ83:DY83,0))
            )
        )
    ),
"")</f>
        <v/>
      </c>
    </row>
    <row r="84" spans="1:131" ht="20.25" customHeight="1">
      <c r="A84" t="str" cm="1">
        <f t="array" ref="A84">TRANSPOSE(_xlfn.UNIQUE(_xlfn._xlws.FILTER(T_ASIGNATURA1[ID_NIVEL],T_ASIGNATURA1[ID_CARRERA]=ASIGNACION!$A84,"No existe información")))</f>
        <v>No existe información</v>
      </c>
      <c r="S84" t="str" cm="1">
        <f t="array" ref="S84">TRANSPOSE(_xlfn.UNIQUE(_xlfn._xlws.FILTER(T_ASIGNATURA1[NOM_ASIG],(T_ASIGNATURA1[ID_NIVEL]=ASIGNACION!$C84)*(T_ASIGNATURA1[ID_CARRERA]=ASIGNACION!$A84),"No existe información")))</f>
        <v>No existe información</v>
      </c>
      <c r="BQ84" s="1" t="str" cm="1">
        <f t="array" ref="BQ84">IFERROR(
    TRANSPOSE(
        _xlfn.UNIQUE(
            _xlfn._xlws.FILTER(
                Tabla1_1[MAESTRIA],
                ISNUMBER(MATCH(Tabla1_1[CAMPO_DETALLADO],BD85:BP85,0))
            )
        )
    ),
"")</f>
        <v/>
      </c>
      <c r="EA84" t="str" cm="1">
        <f t="array" ref="EA84">IFERROR(
    TRANSPOSE(
        _xlfn.UNIQUE(
            _xlfn._xlws.FILTER(
                Tabla1__2[NOMBRE_DOCENTE],
                ISNUMBER(MATCH(Tabla1__2[MAESTRIA],BQ84:DY84,0))
            )
        )
    ),
"")</f>
        <v/>
      </c>
    </row>
    <row r="85" spans="1:131" ht="20.25" customHeight="1">
      <c r="A85" t="str" cm="1">
        <f t="array" ref="A85">TRANSPOSE(_xlfn.UNIQUE(_xlfn._xlws.FILTER(T_ASIGNATURA1[ID_NIVEL],T_ASIGNATURA1[ID_CARRERA]=ASIGNACION!$A85,"No existe información")))</f>
        <v>No existe información</v>
      </c>
      <c r="S85" t="str" cm="1">
        <f t="array" ref="S85">TRANSPOSE(_xlfn.UNIQUE(_xlfn._xlws.FILTER(T_ASIGNATURA1[NOM_ASIG],(T_ASIGNATURA1[ID_NIVEL]=ASIGNACION!$C85)*(T_ASIGNATURA1[ID_CARRERA]=ASIGNACION!$A85),"No existe información")))</f>
        <v>No existe información</v>
      </c>
      <c r="BQ85" s="1" t="str" cm="1">
        <f t="array" ref="BQ85">IFERROR(
    TRANSPOSE(
        _xlfn.UNIQUE(
            _xlfn._xlws.FILTER(
                Tabla1_1[MAESTRIA],
                ISNUMBER(MATCH(Tabla1_1[CAMPO_DETALLADO],BD86:BP86,0))
            )
        )
    ),
"")</f>
        <v/>
      </c>
      <c r="EA85" t="str" cm="1">
        <f t="array" ref="EA85">IFERROR(
    TRANSPOSE(
        _xlfn.UNIQUE(
            _xlfn._xlws.FILTER(
                Tabla1__2[NOMBRE_DOCENTE],
                ISNUMBER(MATCH(Tabla1__2[MAESTRIA],BQ85:DY85,0))
            )
        )
    ),
"")</f>
        <v/>
      </c>
    </row>
    <row r="86" spans="1:131" ht="20.25" customHeight="1">
      <c r="A86" t="str" cm="1">
        <f t="array" ref="A86">TRANSPOSE(_xlfn.UNIQUE(_xlfn._xlws.FILTER(T_ASIGNATURA1[ID_NIVEL],T_ASIGNATURA1[ID_CARRERA]=ASIGNACION!$A86,"No existe información")))</f>
        <v>No existe información</v>
      </c>
      <c r="S86" t="str" cm="1">
        <f t="array" ref="S86">TRANSPOSE(_xlfn.UNIQUE(_xlfn._xlws.FILTER(T_ASIGNATURA1[NOM_ASIG],(T_ASIGNATURA1[ID_NIVEL]=ASIGNACION!$C86)*(T_ASIGNATURA1[ID_CARRERA]=ASIGNACION!$A86),"No existe información")))</f>
        <v>No existe información</v>
      </c>
      <c r="BQ86" s="1" t="str" cm="1">
        <f t="array" ref="BQ86">IFERROR(
    TRANSPOSE(
        _xlfn.UNIQUE(
            _xlfn._xlws.FILTER(
                Tabla1_1[MAESTRIA],
                ISNUMBER(MATCH(Tabla1_1[CAMPO_DETALLADO],BD87:BP87,0))
            )
        )
    ),
"")</f>
        <v/>
      </c>
      <c r="EA86" t="str" cm="1">
        <f t="array" ref="EA86">IFERROR(
    TRANSPOSE(
        _xlfn.UNIQUE(
            _xlfn._xlws.FILTER(
                Tabla1__2[NOMBRE_DOCENTE],
                ISNUMBER(MATCH(Tabla1__2[MAESTRIA],BQ86:DY86,0))
            )
        )
    ),
"")</f>
        <v/>
      </c>
    </row>
    <row r="87" spans="1:131" ht="20.25" customHeight="1">
      <c r="A87" t="str" cm="1">
        <f t="array" ref="A87">TRANSPOSE(_xlfn.UNIQUE(_xlfn._xlws.FILTER(T_ASIGNATURA1[ID_NIVEL],T_ASIGNATURA1[ID_CARRERA]=ASIGNACION!$A87,"No existe información")))</f>
        <v>No existe información</v>
      </c>
      <c r="S87" t="str" cm="1">
        <f t="array" ref="S87">TRANSPOSE(_xlfn.UNIQUE(_xlfn._xlws.FILTER(T_ASIGNATURA1[NOM_ASIG],(T_ASIGNATURA1[ID_NIVEL]=ASIGNACION!$C87)*(T_ASIGNATURA1[ID_CARRERA]=ASIGNACION!$A87),"No existe información")))</f>
        <v>No existe información</v>
      </c>
      <c r="BQ87" s="1" t="str" cm="1">
        <f t="array" ref="BQ87">IFERROR(
    TRANSPOSE(
        _xlfn.UNIQUE(
            _xlfn._xlws.FILTER(
                Tabla1_1[MAESTRIA],
                ISNUMBER(MATCH(Tabla1_1[CAMPO_DETALLADO],BD88:BP88,0))
            )
        )
    ),
"")</f>
        <v/>
      </c>
      <c r="EA87" t="str" cm="1">
        <f t="array" ref="EA87">IFERROR(
    TRANSPOSE(
        _xlfn.UNIQUE(
            _xlfn._xlws.FILTER(
                Tabla1__2[NOMBRE_DOCENTE],
                ISNUMBER(MATCH(Tabla1__2[MAESTRIA],BQ87:DY87,0))
            )
        )
    ),
"")</f>
        <v/>
      </c>
    </row>
    <row r="88" spans="1:131" ht="20.25" customHeight="1">
      <c r="A88" t="str" cm="1">
        <f t="array" ref="A88">TRANSPOSE(_xlfn.UNIQUE(_xlfn._xlws.FILTER(T_ASIGNATURA1[ID_NIVEL],T_ASIGNATURA1[ID_CARRERA]=ASIGNACION!$A88,"No existe información")))</f>
        <v>No existe información</v>
      </c>
      <c r="S88" t="str" cm="1">
        <f t="array" ref="S88">TRANSPOSE(_xlfn.UNIQUE(_xlfn._xlws.FILTER(T_ASIGNATURA1[NOM_ASIG],(T_ASIGNATURA1[ID_NIVEL]=ASIGNACION!$C88)*(T_ASIGNATURA1[ID_CARRERA]=ASIGNACION!$A88),"No existe información")))</f>
        <v>No existe información</v>
      </c>
      <c r="BQ88" s="1" t="str" cm="1">
        <f t="array" ref="BQ88">IFERROR(
    TRANSPOSE(
        _xlfn.UNIQUE(
            _xlfn._xlws.FILTER(
                Tabla1_1[MAESTRIA],
                ISNUMBER(MATCH(Tabla1_1[CAMPO_DETALLADO],BD89:BP89,0))
            )
        )
    ),
"")</f>
        <v/>
      </c>
      <c r="EA88" t="str" cm="1">
        <f t="array" ref="EA88">IFERROR(
    TRANSPOSE(
        _xlfn.UNIQUE(
            _xlfn._xlws.FILTER(
                Tabla1__2[NOMBRE_DOCENTE],
                ISNUMBER(MATCH(Tabla1__2[MAESTRIA],BQ88:DY88,0))
            )
        )
    ),
"")</f>
        <v/>
      </c>
    </row>
    <row r="89" spans="1:131" ht="20.25" customHeight="1">
      <c r="A89" t="str" cm="1">
        <f t="array" ref="A89">TRANSPOSE(_xlfn.UNIQUE(_xlfn._xlws.FILTER(T_ASIGNATURA1[ID_NIVEL],T_ASIGNATURA1[ID_CARRERA]=ASIGNACION!$A89,"No existe información")))</f>
        <v>No existe información</v>
      </c>
      <c r="S89" t="str" cm="1">
        <f t="array" ref="S89">TRANSPOSE(_xlfn.UNIQUE(_xlfn._xlws.FILTER(T_ASIGNATURA1[NOM_ASIG],(T_ASIGNATURA1[ID_NIVEL]=ASIGNACION!$C89)*(T_ASIGNATURA1[ID_CARRERA]=ASIGNACION!$A89),"No existe información")))</f>
        <v>No existe información</v>
      </c>
      <c r="BQ89" s="1" t="str" cm="1">
        <f t="array" ref="BQ89">IFERROR(
    TRANSPOSE(
        _xlfn.UNIQUE(
            _xlfn._xlws.FILTER(
                Tabla1_1[MAESTRIA],
                ISNUMBER(MATCH(Tabla1_1[CAMPO_DETALLADO],BD90:BP90,0))
            )
        )
    ),
"")</f>
        <v/>
      </c>
      <c r="EA89" t="str" cm="1">
        <f t="array" ref="EA89">IFERROR(
    TRANSPOSE(
        _xlfn.UNIQUE(
            _xlfn._xlws.FILTER(
                Tabla1__2[NOMBRE_DOCENTE],
                ISNUMBER(MATCH(Tabla1__2[MAESTRIA],BQ89:DY89,0))
            )
        )
    ),
"")</f>
        <v/>
      </c>
    </row>
    <row r="90" spans="1:131" ht="20.25" customHeight="1">
      <c r="A90" t="str" cm="1">
        <f t="array" ref="A90">TRANSPOSE(_xlfn.UNIQUE(_xlfn._xlws.FILTER(T_ASIGNATURA1[ID_NIVEL],T_ASIGNATURA1[ID_CARRERA]=ASIGNACION!$A90,"No existe información")))</f>
        <v>No existe información</v>
      </c>
      <c r="S90" t="str" cm="1">
        <f t="array" ref="S90">TRANSPOSE(_xlfn.UNIQUE(_xlfn._xlws.FILTER(T_ASIGNATURA1[NOM_ASIG],(T_ASIGNATURA1[ID_NIVEL]=ASIGNACION!$C90)*(T_ASIGNATURA1[ID_CARRERA]=ASIGNACION!$A90),"No existe información")))</f>
        <v>No existe información</v>
      </c>
      <c r="BQ90" s="1" t="str" cm="1">
        <f t="array" ref="BQ90">IFERROR(
    TRANSPOSE(
        _xlfn.UNIQUE(
            _xlfn._xlws.FILTER(
                Tabla1_1[MAESTRIA],
                ISNUMBER(MATCH(Tabla1_1[CAMPO_DETALLADO],BD91:BP91,0))
            )
        )
    ),
"")</f>
        <v/>
      </c>
      <c r="EA90" t="str" cm="1">
        <f t="array" ref="EA90">IFERROR(
    TRANSPOSE(
        _xlfn.UNIQUE(
            _xlfn._xlws.FILTER(
                Tabla1__2[NOMBRE_DOCENTE],
                ISNUMBER(MATCH(Tabla1__2[MAESTRIA],BQ90:DY90,0))
            )
        )
    ),
"")</f>
        <v/>
      </c>
    </row>
    <row r="91" spans="1:131" ht="20.25" customHeight="1">
      <c r="A91" t="str" cm="1">
        <f t="array" ref="A91">TRANSPOSE(_xlfn.UNIQUE(_xlfn._xlws.FILTER(T_ASIGNATURA1[ID_NIVEL],T_ASIGNATURA1[ID_CARRERA]=ASIGNACION!$A91,"No existe información")))</f>
        <v>No existe información</v>
      </c>
      <c r="S91" t="str" cm="1">
        <f t="array" ref="S91">TRANSPOSE(_xlfn.UNIQUE(_xlfn._xlws.FILTER(T_ASIGNATURA1[NOM_ASIG],(T_ASIGNATURA1[ID_NIVEL]=ASIGNACION!$C91)*(T_ASIGNATURA1[ID_CARRERA]=ASIGNACION!$A91),"No existe información")))</f>
        <v>No existe información</v>
      </c>
      <c r="BQ91" s="1" t="str" cm="1">
        <f t="array" ref="BQ91">IFERROR(
    TRANSPOSE(
        _xlfn.UNIQUE(
            _xlfn._xlws.FILTER(
                Tabla1_1[MAESTRIA],
                ISNUMBER(MATCH(Tabla1_1[CAMPO_DETALLADO],BD92:BP92,0))
            )
        )
    ),
"")</f>
        <v/>
      </c>
      <c r="EA91" t="str" cm="1">
        <f t="array" ref="EA91">IFERROR(
    TRANSPOSE(
        _xlfn.UNIQUE(
            _xlfn._xlws.FILTER(
                Tabla1__2[NOMBRE_DOCENTE],
                ISNUMBER(MATCH(Tabla1__2[MAESTRIA],BQ91:DY91,0))
            )
        )
    ),
"")</f>
        <v/>
      </c>
    </row>
    <row r="92" spans="1:131" ht="20.25" customHeight="1">
      <c r="A92" t="str" cm="1">
        <f t="array" ref="A92">TRANSPOSE(_xlfn.UNIQUE(_xlfn._xlws.FILTER(T_ASIGNATURA1[ID_NIVEL],T_ASIGNATURA1[ID_CARRERA]=ASIGNACION!$A92,"No existe información")))</f>
        <v>No existe información</v>
      </c>
      <c r="S92" t="str" cm="1">
        <f t="array" ref="S92">TRANSPOSE(_xlfn.UNIQUE(_xlfn._xlws.FILTER(T_ASIGNATURA1[NOM_ASIG],(T_ASIGNATURA1[ID_NIVEL]=ASIGNACION!$C92)*(T_ASIGNATURA1[ID_CARRERA]=ASIGNACION!$A92),"No existe información")))</f>
        <v>No existe información</v>
      </c>
      <c r="BQ92" s="1" t="str" cm="1">
        <f t="array" ref="BQ92">IFERROR(
    TRANSPOSE(
        _xlfn.UNIQUE(
            _xlfn._xlws.FILTER(
                Tabla1_1[MAESTRIA],
                ISNUMBER(MATCH(Tabla1_1[CAMPO_DETALLADO],BD93:BP93,0))
            )
        )
    ),
"")</f>
        <v/>
      </c>
      <c r="EA92" t="str" cm="1">
        <f t="array" ref="EA92">IFERROR(
    TRANSPOSE(
        _xlfn.UNIQUE(
            _xlfn._xlws.FILTER(
                Tabla1__2[NOMBRE_DOCENTE],
                ISNUMBER(MATCH(Tabla1__2[MAESTRIA],BQ92:DY92,0))
            )
        )
    ),
"")</f>
        <v/>
      </c>
    </row>
    <row r="93" spans="1:131" ht="20.25" customHeight="1">
      <c r="A93" t="str" cm="1">
        <f t="array" ref="A93">TRANSPOSE(_xlfn.UNIQUE(_xlfn._xlws.FILTER(T_ASIGNATURA1[ID_NIVEL],T_ASIGNATURA1[ID_CARRERA]=ASIGNACION!$A93,"No existe información")))</f>
        <v>No existe información</v>
      </c>
      <c r="S93" t="str" cm="1">
        <f t="array" ref="S93">TRANSPOSE(_xlfn.UNIQUE(_xlfn._xlws.FILTER(T_ASIGNATURA1[NOM_ASIG],(T_ASIGNATURA1[ID_NIVEL]=ASIGNACION!$C93)*(T_ASIGNATURA1[ID_CARRERA]=ASIGNACION!$A93),"No existe información")))</f>
        <v>No existe información</v>
      </c>
      <c r="BQ93" s="1" t="str" cm="1">
        <f t="array" ref="BQ93">IFERROR(
    TRANSPOSE(
        _xlfn.UNIQUE(
            _xlfn._xlws.FILTER(
                Tabla1_1[MAESTRIA],
                ISNUMBER(MATCH(Tabla1_1[CAMPO_DETALLADO],BD94:BP94,0))
            )
        )
    ),
"")</f>
        <v/>
      </c>
      <c r="EA93" t="str" cm="1">
        <f t="array" ref="EA93">IFERROR(
    TRANSPOSE(
        _xlfn.UNIQUE(
            _xlfn._xlws.FILTER(
                Tabla1__2[NOMBRE_DOCENTE],
                ISNUMBER(MATCH(Tabla1__2[MAESTRIA],BQ93:DY93,0))
            )
        )
    ),
"")</f>
        <v/>
      </c>
    </row>
    <row r="94" spans="1:131" ht="20.25" customHeight="1">
      <c r="A94" t="str" cm="1">
        <f t="array" ref="A94">TRANSPOSE(_xlfn.UNIQUE(_xlfn._xlws.FILTER(T_ASIGNATURA1[ID_NIVEL],T_ASIGNATURA1[ID_CARRERA]=ASIGNACION!$A94,"No existe información")))</f>
        <v>No existe información</v>
      </c>
      <c r="S94" t="str" cm="1">
        <f t="array" ref="S94">TRANSPOSE(_xlfn.UNIQUE(_xlfn._xlws.FILTER(T_ASIGNATURA1[NOM_ASIG],(T_ASIGNATURA1[ID_NIVEL]=ASIGNACION!$C94)*(T_ASIGNATURA1[ID_CARRERA]=ASIGNACION!$A94),"No existe información")))</f>
        <v>No existe información</v>
      </c>
      <c r="BQ94" s="1" t="str" cm="1">
        <f t="array" ref="BQ94">IFERROR(
    TRANSPOSE(
        _xlfn.UNIQUE(
            _xlfn._xlws.FILTER(
                Tabla1_1[MAESTRIA],
                ISNUMBER(MATCH(Tabla1_1[CAMPO_DETALLADO],BD95:BP95,0))
            )
        )
    ),
"")</f>
        <v/>
      </c>
      <c r="EA94" t="str" cm="1">
        <f t="array" ref="EA94">IFERROR(
    TRANSPOSE(
        _xlfn.UNIQUE(
            _xlfn._xlws.FILTER(
                Tabla1__2[NOMBRE_DOCENTE],
                ISNUMBER(MATCH(Tabla1__2[MAESTRIA],BQ94:DY94,0))
            )
        )
    ),
"")</f>
        <v/>
      </c>
    </row>
    <row r="95" spans="1:131" ht="20.25" customHeight="1">
      <c r="A95" t="str" cm="1">
        <f t="array" ref="A95">TRANSPOSE(_xlfn.UNIQUE(_xlfn._xlws.FILTER(T_ASIGNATURA1[ID_NIVEL],T_ASIGNATURA1[ID_CARRERA]=ASIGNACION!$A95,"No existe información")))</f>
        <v>No existe información</v>
      </c>
      <c r="S95" t="str" cm="1">
        <f t="array" ref="S95">TRANSPOSE(_xlfn.UNIQUE(_xlfn._xlws.FILTER(T_ASIGNATURA1[NOM_ASIG],(T_ASIGNATURA1[ID_NIVEL]=ASIGNACION!$C95)*(T_ASIGNATURA1[ID_CARRERA]=ASIGNACION!$A95),"No existe información")))</f>
        <v>No existe información</v>
      </c>
      <c r="BQ95" s="1" t="str" cm="1">
        <f t="array" ref="BQ95">IFERROR(
    TRANSPOSE(
        _xlfn.UNIQUE(
            _xlfn._xlws.FILTER(
                Tabla1_1[MAESTRIA],
                ISNUMBER(MATCH(Tabla1_1[CAMPO_DETALLADO],BD96:BP96,0))
            )
        )
    ),
"")</f>
        <v/>
      </c>
      <c r="EA95" t="str" cm="1">
        <f t="array" ref="EA95">IFERROR(
    TRANSPOSE(
        _xlfn.UNIQUE(
            _xlfn._xlws.FILTER(
                Tabla1__2[NOMBRE_DOCENTE],
                ISNUMBER(MATCH(Tabla1__2[MAESTRIA],BQ95:DY95,0))
            )
        )
    ),
"")</f>
        <v/>
      </c>
    </row>
    <row r="96" spans="1:131" ht="20.25" customHeight="1">
      <c r="A96" t="str" cm="1">
        <f t="array" ref="A96">TRANSPOSE(_xlfn.UNIQUE(_xlfn._xlws.FILTER(T_ASIGNATURA1[ID_NIVEL],T_ASIGNATURA1[ID_CARRERA]=ASIGNACION!$A96,"No existe información")))</f>
        <v>No existe información</v>
      </c>
      <c r="S96" t="str" cm="1">
        <f t="array" ref="S96">TRANSPOSE(_xlfn.UNIQUE(_xlfn._xlws.FILTER(T_ASIGNATURA1[NOM_ASIG],(T_ASIGNATURA1[ID_NIVEL]=ASIGNACION!$C96)*(T_ASIGNATURA1[ID_CARRERA]=ASIGNACION!$A96),"No existe información")))</f>
        <v>No existe información</v>
      </c>
      <c r="BQ96" s="1" t="str" cm="1">
        <f t="array" ref="BQ96">IFERROR(
    TRANSPOSE(
        _xlfn.UNIQUE(
            _xlfn._xlws.FILTER(
                Tabla1_1[MAESTRIA],
                ISNUMBER(MATCH(Tabla1_1[CAMPO_DETALLADO],BD97:BP97,0))
            )
        )
    ),
"")</f>
        <v/>
      </c>
      <c r="EA96" t="str" cm="1">
        <f t="array" ref="EA96">IFERROR(
    TRANSPOSE(
        _xlfn.UNIQUE(
            _xlfn._xlws.FILTER(
                Tabla1__2[NOMBRE_DOCENTE],
                ISNUMBER(MATCH(Tabla1__2[MAESTRIA],BQ96:DY96,0))
            )
        )
    ),
"")</f>
        <v/>
      </c>
    </row>
    <row r="97" spans="1:131" ht="20.25" customHeight="1">
      <c r="A97" t="str" cm="1">
        <f t="array" ref="A97">TRANSPOSE(_xlfn.UNIQUE(_xlfn._xlws.FILTER(T_ASIGNATURA1[ID_NIVEL],T_ASIGNATURA1[ID_CARRERA]=ASIGNACION!$A97,"No existe información")))</f>
        <v>No existe información</v>
      </c>
      <c r="S97" t="str" cm="1">
        <f t="array" ref="S97">TRANSPOSE(_xlfn.UNIQUE(_xlfn._xlws.FILTER(T_ASIGNATURA1[NOM_ASIG],(T_ASIGNATURA1[ID_NIVEL]=ASIGNACION!$C97)*(T_ASIGNATURA1[ID_CARRERA]=ASIGNACION!$A97),"No existe información")))</f>
        <v>No existe información</v>
      </c>
      <c r="BQ97" s="1" t="str" cm="1">
        <f t="array" ref="BQ97">IFERROR(
    TRANSPOSE(
        _xlfn.UNIQUE(
            _xlfn._xlws.FILTER(
                Tabla1_1[MAESTRIA],
                ISNUMBER(MATCH(Tabla1_1[CAMPO_DETALLADO],BD98:BP98,0))
            )
        )
    ),
"")</f>
        <v/>
      </c>
      <c r="EA97" t="str" cm="1">
        <f t="array" ref="EA97">IFERROR(
    TRANSPOSE(
        _xlfn.UNIQUE(
            _xlfn._xlws.FILTER(
                Tabla1__2[NOMBRE_DOCENTE],
                ISNUMBER(MATCH(Tabla1__2[MAESTRIA],BQ97:DY97,0))
            )
        )
    ),
"")</f>
        <v/>
      </c>
    </row>
    <row r="98" spans="1:131" ht="20.25" customHeight="1">
      <c r="A98" t="str" cm="1">
        <f t="array" ref="A98">TRANSPOSE(_xlfn.UNIQUE(_xlfn._xlws.FILTER(T_ASIGNATURA1[ID_NIVEL],T_ASIGNATURA1[ID_CARRERA]=ASIGNACION!$A98,"No existe información")))</f>
        <v>No existe información</v>
      </c>
      <c r="S98" t="str" cm="1">
        <f t="array" ref="S98">TRANSPOSE(_xlfn.UNIQUE(_xlfn._xlws.FILTER(T_ASIGNATURA1[NOM_ASIG],(T_ASIGNATURA1[ID_NIVEL]=ASIGNACION!$C98)*(T_ASIGNATURA1[ID_CARRERA]=ASIGNACION!$A98),"No existe información")))</f>
        <v>No existe información</v>
      </c>
      <c r="BQ98" s="1" t="str" cm="1">
        <f t="array" ref="BQ98">IFERROR(
    TRANSPOSE(
        _xlfn.UNIQUE(
            _xlfn._xlws.FILTER(
                Tabla1_1[MAESTRIA],
                ISNUMBER(MATCH(Tabla1_1[CAMPO_DETALLADO],BD99:BP99,0))
            )
        )
    ),
"")</f>
        <v/>
      </c>
      <c r="EA98" t="str" cm="1">
        <f t="array" ref="EA98">IFERROR(
    TRANSPOSE(
        _xlfn.UNIQUE(
            _xlfn._xlws.FILTER(
                Tabla1__2[NOMBRE_DOCENTE],
                ISNUMBER(MATCH(Tabla1__2[MAESTRIA],BQ98:DY98,0))
            )
        )
    ),
"")</f>
        <v/>
      </c>
    </row>
    <row r="99" spans="1:131" ht="20.25" customHeight="1">
      <c r="A99" t="str" cm="1">
        <f t="array" ref="A99">TRANSPOSE(_xlfn.UNIQUE(_xlfn._xlws.FILTER(T_ASIGNATURA1[ID_NIVEL],T_ASIGNATURA1[ID_CARRERA]=ASIGNACION!$A99,"No existe información")))</f>
        <v>No existe información</v>
      </c>
      <c r="S99" t="str" cm="1">
        <f t="array" ref="S99">TRANSPOSE(_xlfn.UNIQUE(_xlfn._xlws.FILTER(T_ASIGNATURA1[NOM_ASIG],(T_ASIGNATURA1[ID_NIVEL]=ASIGNACION!$C99)*(T_ASIGNATURA1[ID_CARRERA]=ASIGNACION!$A99),"No existe información")))</f>
        <v>No existe información</v>
      </c>
      <c r="BQ99" s="1" t="str" cm="1">
        <f t="array" ref="BQ99">IFERROR(
    TRANSPOSE(
        _xlfn.UNIQUE(
            _xlfn._xlws.FILTER(
                Tabla1_1[MAESTRIA],
                ISNUMBER(MATCH(Tabla1_1[CAMPO_DETALLADO],BD100:BP100,0))
            )
        )
    ),
"")</f>
        <v/>
      </c>
      <c r="EA99" t="str" cm="1">
        <f t="array" ref="EA99">IFERROR(
    TRANSPOSE(
        _xlfn.UNIQUE(
            _xlfn._xlws.FILTER(
                Tabla1__2[NOMBRE_DOCENTE],
                ISNUMBER(MATCH(Tabla1__2[MAESTRIA],BQ99:DY99,0))
            )
        )
    ),
"")</f>
        <v/>
      </c>
    </row>
    <row r="100" spans="1:131" ht="20.25" customHeight="1">
      <c r="A100" t="str" cm="1">
        <f t="array" ref="A100">TRANSPOSE(_xlfn.UNIQUE(_xlfn._xlws.FILTER(T_ASIGNATURA1[ID_NIVEL],T_ASIGNATURA1[ID_CARRERA]=ASIGNACION!$A100,"No existe información")))</f>
        <v>No existe información</v>
      </c>
      <c r="S100" t="str" cm="1">
        <f t="array" ref="S100">TRANSPOSE(_xlfn.UNIQUE(_xlfn._xlws.FILTER(T_ASIGNATURA1[NOM_ASIG],(T_ASIGNATURA1[ID_NIVEL]=ASIGNACION!$C100)*(T_ASIGNATURA1[ID_CARRERA]=ASIGNACION!$A100),"No existe información")))</f>
        <v>No existe información</v>
      </c>
      <c r="BQ100" s="1" t="str" cm="1">
        <f t="array" ref="BQ100">IFERROR(
    TRANSPOSE(
        _xlfn.UNIQUE(
            _xlfn._xlws.FILTER(
                Tabla1_1[MAESTRIA],
                ISNUMBER(MATCH(Tabla1_1[CAMPO_DETALLADO],BD101:BP101,0))
            )
        )
    ),
"")</f>
        <v/>
      </c>
      <c r="EA100" t="str" cm="1">
        <f t="array" ref="EA100">IFERROR(
    TRANSPOSE(
        _xlfn.UNIQUE(
            _xlfn._xlws.FILTER(
                Tabla1__2[NOMBRE_DOCENTE],
                ISNUMBER(MATCH(Tabla1__2[MAESTRIA],BQ100:DY100,0))
            )
        )
    ),
"")</f>
        <v/>
      </c>
    </row>
    <row r="101" spans="1:131" ht="20.25" customHeight="1">
      <c r="A101" t="str" cm="1">
        <f t="array" ref="A101">TRANSPOSE(_xlfn.UNIQUE(_xlfn._xlws.FILTER(T_ASIGNATURA1[ID_NIVEL],T_ASIGNATURA1[ID_CARRERA]=ASIGNACION!$A101,"No existe información")))</f>
        <v>No existe información</v>
      </c>
      <c r="S101" t="str" cm="1">
        <f t="array" ref="S101">TRANSPOSE(_xlfn.UNIQUE(_xlfn._xlws.FILTER(T_ASIGNATURA1[NOM_ASIG],(T_ASIGNATURA1[ID_NIVEL]=ASIGNACION!$C101)*(T_ASIGNATURA1[ID_CARRERA]=ASIGNACION!$A101),"No existe información")))</f>
        <v>No existe información</v>
      </c>
      <c r="BQ101" s="1" t="str" cm="1">
        <f t="array" ref="BQ101">IFERROR(
    TRANSPOSE(
        _xlfn.UNIQUE(
            _xlfn._xlws.FILTER(
                Tabla1_1[MAESTRIA],
                ISNUMBER(MATCH(Tabla1_1[CAMPO_DETALLADO],BD102:BP102,0))
            )
        )
    ),
"")</f>
        <v/>
      </c>
      <c r="EA101" t="str" cm="1">
        <f t="array" ref="EA101">IFERROR(
    TRANSPOSE(
        _xlfn.UNIQUE(
            _xlfn._xlws.FILTER(
                Tabla1__2[NOMBRE_DOCENTE],
                ISNUMBER(MATCH(Tabla1__2[MAESTRIA],BQ101:DY101,0))
            )
        )
    ),
"")</f>
        <v/>
      </c>
    </row>
    <row r="102" spans="1:131" ht="20.25" customHeight="1">
      <c r="A102" t="str" cm="1">
        <f t="array" ref="A102">TRANSPOSE(_xlfn.UNIQUE(_xlfn._xlws.FILTER(T_ASIGNATURA1[ID_NIVEL],T_ASIGNATURA1[ID_CARRERA]=ASIGNACION!$A102,"No existe información")))</f>
        <v>No existe información</v>
      </c>
      <c r="S102" t="str" cm="1">
        <f t="array" ref="S102">TRANSPOSE(_xlfn.UNIQUE(_xlfn._xlws.FILTER(T_ASIGNATURA1[NOM_ASIG],(T_ASIGNATURA1[ID_NIVEL]=ASIGNACION!$C102)*(T_ASIGNATURA1[ID_CARRERA]=ASIGNACION!$A102),"No existe información")))</f>
        <v>No existe información</v>
      </c>
      <c r="BQ102" s="1" t="str" cm="1">
        <f t="array" ref="BQ102">IFERROR(
    TRANSPOSE(
        _xlfn.UNIQUE(
            _xlfn._xlws.FILTER(
                Tabla1_1[MAESTRIA],
                ISNUMBER(MATCH(Tabla1_1[CAMPO_DETALLADO],BD103:BP103,0))
            )
        )
    ),
"")</f>
        <v/>
      </c>
      <c r="EA102" t="str" cm="1">
        <f t="array" ref="EA102">IFERROR(
    TRANSPOSE(
        _xlfn.UNIQUE(
            _xlfn._xlws.FILTER(
                Tabla1__2[NOMBRE_DOCENTE],
                ISNUMBER(MATCH(Tabla1__2[MAESTRIA],BQ102:DY102,0))
            )
        )
    ),
"")</f>
        <v/>
      </c>
    </row>
    <row r="103" spans="1:131" ht="20.25" customHeight="1">
      <c r="A103" t="str" cm="1">
        <f t="array" ref="A103">TRANSPOSE(_xlfn.UNIQUE(_xlfn._xlws.FILTER(T_ASIGNATURA1[ID_NIVEL],T_ASIGNATURA1[ID_CARRERA]=ASIGNACION!$A103,"No existe información")))</f>
        <v>No existe información</v>
      </c>
      <c r="S103" t="str" cm="1">
        <f t="array" ref="S103">TRANSPOSE(_xlfn.UNIQUE(_xlfn._xlws.FILTER(T_ASIGNATURA1[NOM_ASIG],(T_ASIGNATURA1[ID_NIVEL]=ASIGNACION!$C103)*(T_ASIGNATURA1[ID_CARRERA]=ASIGNACION!$A103),"No existe información")))</f>
        <v>No existe información</v>
      </c>
      <c r="BQ103" s="1" t="str" cm="1">
        <f t="array" ref="BQ103">IFERROR(
    TRANSPOSE(
        _xlfn.UNIQUE(
            _xlfn._xlws.FILTER(
                Tabla1_1[MAESTRIA],
                ISNUMBER(MATCH(Tabla1_1[CAMPO_DETALLADO],BD104:BP104,0))
            )
        )
    ),
"")</f>
        <v/>
      </c>
      <c r="EA103" t="str" cm="1">
        <f t="array" ref="EA103">IFERROR(
    TRANSPOSE(
        _xlfn.UNIQUE(
            _xlfn._xlws.FILTER(
                Tabla1__2[NOMBRE_DOCENTE],
                ISNUMBER(MATCH(Tabla1__2[MAESTRIA],BQ103:DY103,0))
            )
        )
    ),
"")</f>
        <v/>
      </c>
    </row>
    <row r="104" spans="1:131" ht="20.25" customHeight="1">
      <c r="A104" t="str" cm="1">
        <f t="array" ref="A104">TRANSPOSE(_xlfn.UNIQUE(_xlfn._xlws.FILTER(T_ASIGNATURA1[ID_NIVEL],T_ASIGNATURA1[ID_CARRERA]=ASIGNACION!$A104,"No existe información")))</f>
        <v>No existe información</v>
      </c>
      <c r="S104" t="str" cm="1">
        <f t="array" ref="S104">TRANSPOSE(_xlfn.UNIQUE(_xlfn._xlws.FILTER(T_ASIGNATURA1[NOM_ASIG],(T_ASIGNATURA1[ID_NIVEL]=ASIGNACION!$C104)*(T_ASIGNATURA1[ID_CARRERA]=ASIGNACION!$A104),"No existe información")))</f>
        <v>No existe información</v>
      </c>
      <c r="BQ104" s="1" t="str" cm="1">
        <f t="array" ref="BQ104">IFERROR(
    TRANSPOSE(
        _xlfn.UNIQUE(
            _xlfn._xlws.FILTER(
                Tabla1_1[MAESTRIA],
                ISNUMBER(MATCH(Tabla1_1[CAMPO_DETALLADO],BD105:BP105,0))
            )
        )
    ),
"")</f>
        <v/>
      </c>
      <c r="EA104" t="str" cm="1">
        <f t="array" ref="EA104">IFERROR(
    TRANSPOSE(
        _xlfn.UNIQUE(
            _xlfn._xlws.FILTER(
                Tabla1__2[NOMBRE_DOCENTE],
                ISNUMBER(MATCH(Tabla1__2[MAESTRIA],BQ104:DY104,0))
            )
        )
    ),
"")</f>
        <v/>
      </c>
    </row>
    <row r="105" spans="1:131" ht="20.25" customHeight="1">
      <c r="A105" t="str" cm="1">
        <f t="array" ref="A105">TRANSPOSE(_xlfn.UNIQUE(_xlfn._xlws.FILTER(T_ASIGNATURA1[ID_NIVEL],T_ASIGNATURA1[ID_CARRERA]=ASIGNACION!$A105,"No existe información")))</f>
        <v>No existe información</v>
      </c>
      <c r="S105" t="str" cm="1">
        <f t="array" ref="S105">TRANSPOSE(_xlfn.UNIQUE(_xlfn._xlws.FILTER(T_ASIGNATURA1[NOM_ASIG],(T_ASIGNATURA1[ID_NIVEL]=ASIGNACION!$C105)*(T_ASIGNATURA1[ID_CARRERA]=ASIGNACION!$A105),"No existe información")))</f>
        <v>No existe información</v>
      </c>
      <c r="BQ105" s="1" t="str" cm="1">
        <f t="array" ref="BQ105">IFERROR(
    TRANSPOSE(
        _xlfn.UNIQUE(
            _xlfn._xlws.FILTER(
                Tabla1_1[MAESTRIA],
                ISNUMBER(MATCH(Tabla1_1[CAMPO_DETALLADO],BD106:BP106,0))
            )
        )
    ),
"")</f>
        <v/>
      </c>
      <c r="EA105" t="str" cm="1">
        <f t="array" ref="EA105">IFERROR(
    TRANSPOSE(
        _xlfn.UNIQUE(
            _xlfn._xlws.FILTER(
                Tabla1__2[NOMBRE_DOCENTE],
                ISNUMBER(MATCH(Tabla1__2[MAESTRIA],BQ105:DY105,0))
            )
        )
    ),
"")</f>
        <v/>
      </c>
    </row>
    <row r="106" spans="1:131" ht="20.25" customHeight="1">
      <c r="A106" t="str" cm="1">
        <f t="array" ref="A106">TRANSPOSE(_xlfn.UNIQUE(_xlfn._xlws.FILTER(T_ASIGNATURA1[ID_NIVEL],T_ASIGNATURA1[ID_CARRERA]=ASIGNACION!$A106,"No existe información")))</f>
        <v>No existe información</v>
      </c>
      <c r="S106" t="str" cm="1">
        <f t="array" ref="S106">TRANSPOSE(_xlfn.UNIQUE(_xlfn._xlws.FILTER(T_ASIGNATURA1[NOM_ASIG],(T_ASIGNATURA1[ID_NIVEL]=ASIGNACION!$C106)*(T_ASIGNATURA1[ID_CARRERA]=ASIGNACION!$A106),"No existe información")))</f>
        <v>No existe información</v>
      </c>
      <c r="BQ106" s="1" t="str" cm="1">
        <f t="array" ref="BQ106">IFERROR(
    TRANSPOSE(
        _xlfn.UNIQUE(
            _xlfn._xlws.FILTER(
                Tabla1_1[MAESTRIA],
                ISNUMBER(MATCH(Tabla1_1[CAMPO_DETALLADO],BD107:BP107,0))
            )
        )
    ),
"")</f>
        <v/>
      </c>
      <c r="EA106" t="str" cm="1">
        <f t="array" ref="EA106">IFERROR(
    TRANSPOSE(
        _xlfn.UNIQUE(
            _xlfn._xlws.FILTER(
                Tabla1__2[NOMBRE_DOCENTE],
                ISNUMBER(MATCH(Tabla1__2[MAESTRIA],BQ106:DY106,0))
            )
        )
    ),
"")</f>
        <v/>
      </c>
    </row>
    <row r="107" spans="1:131" ht="20.25" customHeight="1">
      <c r="A107" t="str" cm="1">
        <f t="array" ref="A107">TRANSPOSE(_xlfn.UNIQUE(_xlfn._xlws.FILTER(T_ASIGNATURA1[ID_NIVEL],T_ASIGNATURA1[ID_CARRERA]=ASIGNACION!$A107,"No existe información")))</f>
        <v>No existe información</v>
      </c>
      <c r="S107" t="str" cm="1">
        <f t="array" ref="S107">TRANSPOSE(_xlfn.UNIQUE(_xlfn._xlws.FILTER(T_ASIGNATURA1[NOM_ASIG],(T_ASIGNATURA1[ID_NIVEL]=ASIGNACION!$C107)*(T_ASIGNATURA1[ID_CARRERA]=ASIGNACION!$A107),"No existe información")))</f>
        <v>No existe información</v>
      </c>
      <c r="BQ107" s="1" t="str" cm="1">
        <f t="array" ref="BQ107">IFERROR(
    TRANSPOSE(
        _xlfn.UNIQUE(
            _xlfn._xlws.FILTER(
                Tabla1_1[MAESTRIA],
                ISNUMBER(MATCH(Tabla1_1[CAMPO_DETALLADO],BD108:BP108,0))
            )
        )
    ),
"")</f>
        <v/>
      </c>
      <c r="EA107" t="str" cm="1">
        <f t="array" ref="EA107">IFERROR(
    TRANSPOSE(
        _xlfn.UNIQUE(
            _xlfn._xlws.FILTER(
                Tabla1__2[NOMBRE_DOCENTE],
                ISNUMBER(MATCH(Tabla1__2[MAESTRIA],BQ107:DY107,0))
            )
        )
    ),
"")</f>
        <v/>
      </c>
    </row>
    <row r="108" spans="1:131" ht="20.25" customHeight="1">
      <c r="A108" t="str" cm="1">
        <f t="array" ref="A108">TRANSPOSE(_xlfn.UNIQUE(_xlfn._xlws.FILTER(T_ASIGNATURA1[ID_NIVEL],T_ASIGNATURA1[ID_CARRERA]=ASIGNACION!$A108,"No existe información")))</f>
        <v>No existe información</v>
      </c>
      <c r="S108" t="str" cm="1">
        <f t="array" ref="S108">TRANSPOSE(_xlfn.UNIQUE(_xlfn._xlws.FILTER(T_ASIGNATURA1[NOM_ASIG],(T_ASIGNATURA1[ID_NIVEL]=ASIGNACION!$C108)*(T_ASIGNATURA1[ID_CARRERA]=ASIGNACION!$A108),"No existe información")))</f>
        <v>No existe información</v>
      </c>
      <c r="BQ108" s="1" t="str" cm="1">
        <f t="array" ref="BQ108">IFERROR(
    TRANSPOSE(
        _xlfn.UNIQUE(
            _xlfn._xlws.FILTER(
                Tabla1_1[MAESTRIA],
                ISNUMBER(MATCH(Tabla1_1[CAMPO_DETALLADO],BD109:BP109,0))
            )
        )
    ),
"")</f>
        <v/>
      </c>
      <c r="EA108" t="str" cm="1">
        <f t="array" ref="EA108">IFERROR(
    TRANSPOSE(
        _xlfn.UNIQUE(
            _xlfn._xlws.FILTER(
                Tabla1__2[NOMBRE_DOCENTE],
                ISNUMBER(MATCH(Tabla1__2[MAESTRIA],BQ108:DY108,0))
            )
        )
    ),
"")</f>
        <v/>
      </c>
    </row>
    <row r="109" spans="1:131" ht="20.25" customHeight="1">
      <c r="A109" t="str" cm="1">
        <f t="array" ref="A109">TRANSPOSE(_xlfn.UNIQUE(_xlfn._xlws.FILTER(T_ASIGNATURA1[ID_NIVEL],T_ASIGNATURA1[ID_CARRERA]=ASIGNACION!$A109,"No existe información")))</f>
        <v>No existe información</v>
      </c>
      <c r="S109" t="str" cm="1">
        <f t="array" ref="S109">TRANSPOSE(_xlfn.UNIQUE(_xlfn._xlws.FILTER(T_ASIGNATURA1[NOM_ASIG],(T_ASIGNATURA1[ID_NIVEL]=ASIGNACION!$C109)*(T_ASIGNATURA1[ID_CARRERA]=ASIGNACION!$A109),"No existe información")))</f>
        <v>No existe información</v>
      </c>
      <c r="BQ109" s="1" t="str" cm="1">
        <f t="array" ref="BQ109">IFERROR(
    TRANSPOSE(
        _xlfn.UNIQUE(
            _xlfn._xlws.FILTER(
                Tabla1_1[MAESTRIA],
                ISNUMBER(MATCH(Tabla1_1[CAMPO_DETALLADO],BD110:BP110,0))
            )
        )
    ),
"")</f>
        <v/>
      </c>
      <c r="EA109" t="str" cm="1">
        <f t="array" ref="EA109">IFERROR(
    TRANSPOSE(
        _xlfn.UNIQUE(
            _xlfn._xlws.FILTER(
                Tabla1__2[NOMBRE_DOCENTE],
                ISNUMBER(MATCH(Tabla1__2[MAESTRIA],BQ109:DY109,0))
            )
        )
    ),
"")</f>
        <v/>
      </c>
    </row>
    <row r="110" spans="1:131" ht="20.25" customHeight="1">
      <c r="A110" t="str" cm="1">
        <f t="array" ref="A110">TRANSPOSE(_xlfn.UNIQUE(_xlfn._xlws.FILTER(T_ASIGNATURA1[ID_NIVEL],T_ASIGNATURA1[ID_CARRERA]=ASIGNACION!$A110,"No existe información")))</f>
        <v>No existe información</v>
      </c>
      <c r="S110" t="str" cm="1">
        <f t="array" ref="S110">TRANSPOSE(_xlfn.UNIQUE(_xlfn._xlws.FILTER(T_ASIGNATURA1[NOM_ASIG],(T_ASIGNATURA1[ID_NIVEL]=ASIGNACION!$C110)*(T_ASIGNATURA1[ID_CARRERA]=ASIGNACION!$A110),"No existe información")))</f>
        <v>No existe información</v>
      </c>
      <c r="BQ110" s="1" t="str" cm="1">
        <f t="array" ref="BQ110">IFERROR(
    TRANSPOSE(
        _xlfn.UNIQUE(
            _xlfn._xlws.FILTER(
                Tabla1_1[MAESTRIA],
                ISNUMBER(MATCH(Tabla1_1[CAMPO_DETALLADO],BD111:BP111,0))
            )
        )
    ),
"")</f>
        <v/>
      </c>
      <c r="EA110" t="str" cm="1">
        <f t="array" ref="EA110">IFERROR(
    TRANSPOSE(
        _xlfn.UNIQUE(
            _xlfn._xlws.FILTER(
                Tabla1__2[NOMBRE_DOCENTE],
                ISNUMBER(MATCH(Tabla1__2[MAESTRIA],BQ110:DY110,0))
            )
        )
    ),
"")</f>
        <v/>
      </c>
    </row>
    <row r="111" spans="1:131" ht="20.25" customHeight="1">
      <c r="A111" t="str" cm="1">
        <f t="array" ref="A111">TRANSPOSE(_xlfn.UNIQUE(_xlfn._xlws.FILTER(T_ASIGNATURA1[ID_NIVEL],T_ASIGNATURA1[ID_CARRERA]=ASIGNACION!$A111,"No existe información")))</f>
        <v>No existe información</v>
      </c>
      <c r="S111" t="str" cm="1">
        <f t="array" ref="S111">TRANSPOSE(_xlfn.UNIQUE(_xlfn._xlws.FILTER(T_ASIGNATURA1[NOM_ASIG],(T_ASIGNATURA1[ID_NIVEL]=ASIGNACION!$C111)*(T_ASIGNATURA1[ID_CARRERA]=ASIGNACION!$A111),"No existe información")))</f>
        <v>No existe información</v>
      </c>
      <c r="BQ111" s="1" t="str" cm="1">
        <f t="array" ref="BQ111">IFERROR(
    TRANSPOSE(
        _xlfn.UNIQUE(
            _xlfn._xlws.FILTER(
                Tabla1_1[MAESTRIA],
                ISNUMBER(MATCH(Tabla1_1[CAMPO_DETALLADO],BD112:BP112,0))
            )
        )
    ),
"")</f>
        <v/>
      </c>
      <c r="EA111" t="str" cm="1">
        <f t="array" ref="EA111">IFERROR(
    TRANSPOSE(
        _xlfn.UNIQUE(
            _xlfn._xlws.FILTER(
                Tabla1__2[NOMBRE_DOCENTE],
                ISNUMBER(MATCH(Tabla1__2[MAESTRIA],BQ111:DY111,0))
            )
        )
    ),
"")</f>
        <v/>
      </c>
    </row>
    <row r="112" spans="1:131" ht="20.25" customHeight="1">
      <c r="A112" t="str" cm="1">
        <f t="array" ref="A112">TRANSPOSE(_xlfn.UNIQUE(_xlfn._xlws.FILTER(T_ASIGNATURA1[ID_NIVEL],T_ASIGNATURA1[ID_CARRERA]=ASIGNACION!$A112,"No existe información")))</f>
        <v>No existe información</v>
      </c>
      <c r="S112" t="str" cm="1">
        <f t="array" ref="S112">TRANSPOSE(_xlfn.UNIQUE(_xlfn._xlws.FILTER(T_ASIGNATURA1[NOM_ASIG],(T_ASIGNATURA1[ID_NIVEL]=ASIGNACION!$C112)*(T_ASIGNATURA1[ID_CARRERA]=ASIGNACION!$A112),"No existe información")))</f>
        <v>No existe información</v>
      </c>
      <c r="BQ112" s="1" t="str" cm="1">
        <f t="array" ref="BQ112">IFERROR(
    TRANSPOSE(
        _xlfn.UNIQUE(
            _xlfn._xlws.FILTER(
                Tabla1_1[MAESTRIA],
                ISNUMBER(MATCH(Tabla1_1[CAMPO_DETALLADO],BD113:BP113,0))
            )
        )
    ),
"")</f>
        <v/>
      </c>
      <c r="EA112" t="str" cm="1">
        <f t="array" ref="EA112">IFERROR(
    TRANSPOSE(
        _xlfn.UNIQUE(
            _xlfn._xlws.FILTER(
                Tabla1__2[NOMBRE_DOCENTE],
                ISNUMBER(MATCH(Tabla1__2[MAESTRIA],BQ112:DY112,0))
            )
        )
    ),
"")</f>
        <v/>
      </c>
    </row>
    <row r="113" spans="1:131" ht="20.25" customHeight="1">
      <c r="A113" t="str" cm="1">
        <f t="array" ref="A113">TRANSPOSE(_xlfn.UNIQUE(_xlfn._xlws.FILTER(T_ASIGNATURA1[ID_NIVEL],T_ASIGNATURA1[ID_CARRERA]=ASIGNACION!$A113,"No existe información")))</f>
        <v>No existe información</v>
      </c>
      <c r="S113" t="str" cm="1">
        <f t="array" ref="S113">TRANSPOSE(_xlfn.UNIQUE(_xlfn._xlws.FILTER(T_ASIGNATURA1[NOM_ASIG],(T_ASIGNATURA1[ID_NIVEL]=ASIGNACION!$C113)*(T_ASIGNATURA1[ID_CARRERA]=ASIGNACION!$A113),"No existe información")))</f>
        <v>No existe información</v>
      </c>
      <c r="BQ113" s="1" t="str" cm="1">
        <f t="array" ref="BQ113">IFERROR(
    TRANSPOSE(
        _xlfn.UNIQUE(
            _xlfn._xlws.FILTER(
                Tabla1_1[MAESTRIA],
                ISNUMBER(MATCH(Tabla1_1[CAMPO_DETALLADO],BD114:BP114,0))
            )
        )
    ),
"")</f>
        <v/>
      </c>
      <c r="EA113" t="str" cm="1">
        <f t="array" ref="EA113">IFERROR(
    TRANSPOSE(
        _xlfn.UNIQUE(
            _xlfn._xlws.FILTER(
                Tabla1__2[NOMBRE_DOCENTE],
                ISNUMBER(MATCH(Tabla1__2[MAESTRIA],BQ113:DY113,0))
            )
        )
    ),
"")</f>
        <v/>
      </c>
    </row>
    <row r="114" spans="1:131" ht="20.25" customHeight="1">
      <c r="A114" t="str" cm="1">
        <f t="array" ref="A114">TRANSPOSE(_xlfn.UNIQUE(_xlfn._xlws.FILTER(T_ASIGNATURA1[ID_NIVEL],T_ASIGNATURA1[ID_CARRERA]=ASIGNACION!$A114,"No existe información")))</f>
        <v>No existe información</v>
      </c>
      <c r="S114" t="str" cm="1">
        <f t="array" ref="S114">TRANSPOSE(_xlfn.UNIQUE(_xlfn._xlws.FILTER(T_ASIGNATURA1[NOM_ASIG],(T_ASIGNATURA1[ID_NIVEL]=ASIGNACION!$C114)*(T_ASIGNATURA1[ID_CARRERA]=ASIGNACION!$A114),"No existe información")))</f>
        <v>No existe información</v>
      </c>
      <c r="BQ114" s="1" t="str" cm="1">
        <f t="array" ref="BQ114">IFERROR(
    TRANSPOSE(
        _xlfn.UNIQUE(
            _xlfn._xlws.FILTER(
                Tabla1_1[MAESTRIA],
                ISNUMBER(MATCH(Tabla1_1[CAMPO_DETALLADO],BD115:BP115,0))
            )
        )
    ),
"")</f>
        <v/>
      </c>
      <c r="EA114" t="str" cm="1">
        <f t="array" ref="EA114">IFERROR(
    TRANSPOSE(
        _xlfn.UNIQUE(
            _xlfn._xlws.FILTER(
                Tabla1__2[NOMBRE_DOCENTE],
                ISNUMBER(MATCH(Tabla1__2[MAESTRIA],BQ114:DY114,0))
            )
        )
    ),
"")</f>
        <v/>
      </c>
    </row>
    <row r="115" spans="1:131" ht="20.25" customHeight="1">
      <c r="A115" t="str" cm="1">
        <f t="array" ref="A115">TRANSPOSE(_xlfn.UNIQUE(_xlfn._xlws.FILTER(T_ASIGNATURA1[ID_NIVEL],T_ASIGNATURA1[ID_CARRERA]=ASIGNACION!$A115,"No existe información")))</f>
        <v>No existe información</v>
      </c>
      <c r="S115" t="str" cm="1">
        <f t="array" ref="S115">TRANSPOSE(_xlfn.UNIQUE(_xlfn._xlws.FILTER(T_ASIGNATURA1[NOM_ASIG],(T_ASIGNATURA1[ID_NIVEL]=ASIGNACION!$C115)*(T_ASIGNATURA1[ID_CARRERA]=ASIGNACION!$A115),"No existe información")))</f>
        <v>No existe información</v>
      </c>
      <c r="BQ115" s="1" t="str" cm="1">
        <f t="array" ref="BQ115">IFERROR(
    TRANSPOSE(
        _xlfn.UNIQUE(
            _xlfn._xlws.FILTER(
                Tabla1_1[MAESTRIA],
                ISNUMBER(MATCH(Tabla1_1[CAMPO_DETALLADO],BD116:BP116,0))
            )
        )
    ),
"")</f>
        <v/>
      </c>
      <c r="EA115" t="str" cm="1">
        <f t="array" ref="EA115">IFERROR(
    TRANSPOSE(
        _xlfn.UNIQUE(
            _xlfn._xlws.FILTER(
                Tabla1__2[NOMBRE_DOCENTE],
                ISNUMBER(MATCH(Tabla1__2[MAESTRIA],BQ115:DY115,0))
            )
        )
    ),
"")</f>
        <v/>
      </c>
    </row>
    <row r="116" spans="1:131" ht="20.25" customHeight="1">
      <c r="A116" t="str" cm="1">
        <f t="array" ref="A116">TRANSPOSE(_xlfn.UNIQUE(_xlfn._xlws.FILTER(T_ASIGNATURA1[ID_NIVEL],T_ASIGNATURA1[ID_CARRERA]=ASIGNACION!$A116,"No existe información")))</f>
        <v>No existe información</v>
      </c>
      <c r="S116" t="str" cm="1">
        <f t="array" ref="S116">TRANSPOSE(_xlfn.UNIQUE(_xlfn._xlws.FILTER(T_ASIGNATURA1[NOM_ASIG],(T_ASIGNATURA1[ID_NIVEL]=ASIGNACION!$C116)*(T_ASIGNATURA1[ID_CARRERA]=ASIGNACION!$A116),"No existe información")))</f>
        <v>No existe información</v>
      </c>
      <c r="BQ116" s="1" t="str" cm="1">
        <f t="array" ref="BQ116">IFERROR(
    TRANSPOSE(
        _xlfn.UNIQUE(
            _xlfn._xlws.FILTER(
                Tabla1_1[MAESTRIA],
                ISNUMBER(MATCH(Tabla1_1[CAMPO_DETALLADO],BD117:BP117,0))
            )
        )
    ),
"")</f>
        <v/>
      </c>
      <c r="EA116" t="str" cm="1">
        <f t="array" ref="EA116">IFERROR(
    TRANSPOSE(
        _xlfn.UNIQUE(
            _xlfn._xlws.FILTER(
                Tabla1__2[NOMBRE_DOCENTE],
                ISNUMBER(MATCH(Tabla1__2[MAESTRIA],BQ116:DY116,0))
            )
        )
    ),
"")</f>
        <v/>
      </c>
    </row>
    <row r="117" spans="1:131" ht="20.25" customHeight="1">
      <c r="A117" t="str" cm="1">
        <f t="array" ref="A117">TRANSPOSE(_xlfn.UNIQUE(_xlfn._xlws.FILTER(T_ASIGNATURA1[ID_NIVEL],T_ASIGNATURA1[ID_CARRERA]=ASIGNACION!$A117,"No existe información")))</f>
        <v>No existe información</v>
      </c>
      <c r="S117" t="str" cm="1">
        <f t="array" ref="S117">TRANSPOSE(_xlfn.UNIQUE(_xlfn._xlws.FILTER(T_ASIGNATURA1[NOM_ASIG],(T_ASIGNATURA1[ID_NIVEL]=ASIGNACION!$C117)*(T_ASIGNATURA1[ID_CARRERA]=ASIGNACION!$A117),"No existe información")))</f>
        <v>No existe información</v>
      </c>
      <c r="BQ117" s="1" t="str" cm="1">
        <f t="array" ref="BQ117">IFERROR(
    TRANSPOSE(
        _xlfn.UNIQUE(
            _xlfn._xlws.FILTER(
                Tabla1_1[MAESTRIA],
                ISNUMBER(MATCH(Tabla1_1[CAMPO_DETALLADO],BD118:BP118,0))
            )
        )
    ),
"")</f>
        <v/>
      </c>
      <c r="EA117" t="str" cm="1">
        <f t="array" ref="EA117">IFERROR(
    TRANSPOSE(
        _xlfn.UNIQUE(
            _xlfn._xlws.FILTER(
                Tabla1__2[NOMBRE_DOCENTE],
                ISNUMBER(MATCH(Tabla1__2[MAESTRIA],BQ117:DY117,0))
            )
        )
    ),
"")</f>
        <v/>
      </c>
    </row>
    <row r="118" spans="1:131" ht="20.25" customHeight="1">
      <c r="A118" t="str" cm="1">
        <f t="array" ref="A118">TRANSPOSE(_xlfn.UNIQUE(_xlfn._xlws.FILTER(T_ASIGNATURA1[ID_NIVEL],T_ASIGNATURA1[ID_CARRERA]=ASIGNACION!$A118,"No existe información")))</f>
        <v>No existe información</v>
      </c>
      <c r="S118" t="str" cm="1">
        <f t="array" ref="S118">TRANSPOSE(_xlfn.UNIQUE(_xlfn._xlws.FILTER(T_ASIGNATURA1[NOM_ASIG],(T_ASIGNATURA1[ID_NIVEL]=ASIGNACION!$C118)*(T_ASIGNATURA1[ID_CARRERA]=ASIGNACION!$A118),"No existe información")))</f>
        <v>No existe información</v>
      </c>
      <c r="BQ118" s="1" t="str" cm="1">
        <f t="array" ref="BQ118">IFERROR(
    TRANSPOSE(
        _xlfn.UNIQUE(
            _xlfn._xlws.FILTER(
                Tabla1_1[MAESTRIA],
                ISNUMBER(MATCH(Tabla1_1[CAMPO_DETALLADO],BD119:BP119,0))
            )
        )
    ),
"")</f>
        <v/>
      </c>
      <c r="EA118" t="str" cm="1">
        <f t="array" ref="EA118">IFERROR(
    TRANSPOSE(
        _xlfn.UNIQUE(
            _xlfn._xlws.FILTER(
                Tabla1__2[NOMBRE_DOCENTE],
                ISNUMBER(MATCH(Tabla1__2[MAESTRIA],BQ118:DY118,0))
            )
        )
    ),
"")</f>
        <v/>
      </c>
    </row>
    <row r="119" spans="1:131" ht="20.25" customHeight="1">
      <c r="A119" t="str" cm="1">
        <f t="array" ref="A119">TRANSPOSE(_xlfn.UNIQUE(_xlfn._xlws.FILTER(T_ASIGNATURA1[ID_NIVEL],T_ASIGNATURA1[ID_CARRERA]=ASIGNACION!$A119,"No existe información")))</f>
        <v>No existe información</v>
      </c>
      <c r="S119" t="str" cm="1">
        <f t="array" ref="S119">TRANSPOSE(_xlfn.UNIQUE(_xlfn._xlws.FILTER(T_ASIGNATURA1[NOM_ASIG],(T_ASIGNATURA1[ID_NIVEL]=ASIGNACION!$C119)*(T_ASIGNATURA1[ID_CARRERA]=ASIGNACION!$A119),"No existe información")))</f>
        <v>No existe información</v>
      </c>
      <c r="BQ119" s="1" t="str" cm="1">
        <f t="array" ref="BQ119">IFERROR(
    TRANSPOSE(
        _xlfn.UNIQUE(
            _xlfn._xlws.FILTER(
                Tabla1_1[MAESTRIA],
                ISNUMBER(MATCH(Tabla1_1[CAMPO_DETALLADO],BD120:BP120,0))
            )
        )
    ),
"")</f>
        <v/>
      </c>
      <c r="EA119" t="str" cm="1">
        <f t="array" ref="EA119">IFERROR(
    TRANSPOSE(
        _xlfn.UNIQUE(
            _xlfn._xlws.FILTER(
                Tabla1__2[NOMBRE_DOCENTE],
                ISNUMBER(MATCH(Tabla1__2[MAESTRIA],BQ119:DY119,0))
            )
        )
    ),
"")</f>
        <v/>
      </c>
    </row>
    <row r="120" spans="1:131" ht="20.25" customHeight="1">
      <c r="A120" t="str" cm="1">
        <f t="array" ref="A120">TRANSPOSE(_xlfn.UNIQUE(_xlfn._xlws.FILTER(T_ASIGNATURA1[ID_NIVEL],T_ASIGNATURA1[ID_CARRERA]=ASIGNACION!$A120,"No existe información")))</f>
        <v>No existe información</v>
      </c>
      <c r="S120" t="str" cm="1">
        <f t="array" ref="S120">TRANSPOSE(_xlfn.UNIQUE(_xlfn._xlws.FILTER(T_ASIGNATURA1[NOM_ASIG],(T_ASIGNATURA1[ID_NIVEL]=ASIGNACION!$C120)*(T_ASIGNATURA1[ID_CARRERA]=ASIGNACION!$A120),"No existe información")))</f>
        <v>No existe información</v>
      </c>
      <c r="BQ120" s="1" t="str" cm="1">
        <f t="array" ref="BQ120">IFERROR(
    TRANSPOSE(
        _xlfn.UNIQUE(
            _xlfn._xlws.FILTER(
                Tabla1_1[MAESTRIA],
                ISNUMBER(MATCH(Tabla1_1[CAMPO_DETALLADO],BD121:BP121,0))
            )
        )
    ),
"")</f>
        <v/>
      </c>
      <c r="EA120" t="str" cm="1">
        <f t="array" ref="EA120">IFERROR(
    TRANSPOSE(
        _xlfn.UNIQUE(
            _xlfn._xlws.FILTER(
                Tabla1__2[NOMBRE_DOCENTE],
                ISNUMBER(MATCH(Tabla1__2[MAESTRIA],BQ120:DY120,0))
            )
        )
    ),
"")</f>
        <v/>
      </c>
    </row>
    <row r="121" spans="1:131" ht="20.25" customHeight="1">
      <c r="A121" t="str" cm="1">
        <f t="array" ref="A121">TRANSPOSE(_xlfn.UNIQUE(_xlfn._xlws.FILTER(T_ASIGNATURA1[ID_NIVEL],T_ASIGNATURA1[ID_CARRERA]=ASIGNACION!$A121,"No existe información")))</f>
        <v>No existe información</v>
      </c>
      <c r="S121" t="str" cm="1">
        <f t="array" ref="S121">TRANSPOSE(_xlfn.UNIQUE(_xlfn._xlws.FILTER(T_ASIGNATURA1[NOM_ASIG],(T_ASIGNATURA1[ID_NIVEL]=ASIGNACION!$C121)*(T_ASIGNATURA1[ID_CARRERA]=ASIGNACION!$A121),"No existe información")))</f>
        <v>No existe información</v>
      </c>
      <c r="BQ121" s="1" t="str" cm="1">
        <f t="array" ref="BQ121">IFERROR(
    TRANSPOSE(
        _xlfn.UNIQUE(
            _xlfn._xlws.FILTER(
                Tabla1_1[MAESTRIA],
                ISNUMBER(MATCH(Tabla1_1[CAMPO_DETALLADO],BD122:BP122,0))
            )
        )
    ),
"")</f>
        <v/>
      </c>
      <c r="EA121" t="str" cm="1">
        <f t="array" ref="EA121">IFERROR(
    TRANSPOSE(
        _xlfn.UNIQUE(
            _xlfn._xlws.FILTER(
                Tabla1__2[NOMBRE_DOCENTE],
                ISNUMBER(MATCH(Tabla1__2[MAESTRIA],BQ121:DY121,0))
            )
        )
    ),
"")</f>
        <v/>
      </c>
    </row>
    <row r="122" spans="1:131" ht="20.25" customHeight="1">
      <c r="A122" t="str" cm="1">
        <f t="array" ref="A122">TRANSPOSE(_xlfn.UNIQUE(_xlfn._xlws.FILTER(T_ASIGNATURA1[ID_NIVEL],T_ASIGNATURA1[ID_CARRERA]=ASIGNACION!$A122,"No existe información")))</f>
        <v>No existe información</v>
      </c>
      <c r="S122" t="str" cm="1">
        <f t="array" ref="S122">TRANSPOSE(_xlfn.UNIQUE(_xlfn._xlws.FILTER(T_ASIGNATURA1[NOM_ASIG],(T_ASIGNATURA1[ID_NIVEL]=ASIGNACION!$C122)*(T_ASIGNATURA1[ID_CARRERA]=ASIGNACION!$A122),"No existe información")))</f>
        <v>No existe información</v>
      </c>
      <c r="BQ122" s="1" t="str" cm="1">
        <f t="array" ref="BQ122">IFERROR(
    TRANSPOSE(
        _xlfn.UNIQUE(
            _xlfn._xlws.FILTER(
                Tabla1_1[MAESTRIA],
                ISNUMBER(MATCH(Tabla1_1[CAMPO_DETALLADO],BD123:BP123,0))
            )
        )
    ),
"")</f>
        <v/>
      </c>
      <c r="EA122" t="str" cm="1">
        <f t="array" ref="EA122">IFERROR(
    TRANSPOSE(
        _xlfn.UNIQUE(
            _xlfn._xlws.FILTER(
                Tabla1__2[NOMBRE_DOCENTE],
                ISNUMBER(MATCH(Tabla1__2[MAESTRIA],BQ122:DY122,0))
            )
        )
    ),
"")</f>
        <v/>
      </c>
    </row>
    <row r="123" spans="1:131" ht="20.25" customHeight="1">
      <c r="A123" t="str" cm="1">
        <f t="array" ref="A123">TRANSPOSE(_xlfn.UNIQUE(_xlfn._xlws.FILTER(T_ASIGNATURA1[ID_NIVEL],T_ASIGNATURA1[ID_CARRERA]=ASIGNACION!$A123,"No existe información")))</f>
        <v>No existe información</v>
      </c>
      <c r="S123" t="str" cm="1">
        <f t="array" ref="S123">TRANSPOSE(_xlfn.UNIQUE(_xlfn._xlws.FILTER(T_ASIGNATURA1[NOM_ASIG],(T_ASIGNATURA1[ID_NIVEL]=ASIGNACION!$C123)*(T_ASIGNATURA1[ID_CARRERA]=ASIGNACION!$A123),"No existe información")))</f>
        <v>No existe información</v>
      </c>
      <c r="BQ123" s="1" t="str" cm="1">
        <f t="array" ref="BQ123">IFERROR(
    TRANSPOSE(
        _xlfn.UNIQUE(
            _xlfn._xlws.FILTER(
                Tabla1_1[MAESTRIA],
                ISNUMBER(MATCH(Tabla1_1[CAMPO_DETALLADO],BD124:BP124,0))
            )
        )
    ),
"")</f>
        <v/>
      </c>
      <c r="EA123" t="str" cm="1">
        <f t="array" ref="EA123">IFERROR(
    TRANSPOSE(
        _xlfn.UNIQUE(
            _xlfn._xlws.FILTER(
                Tabla1__2[NOMBRE_DOCENTE],
                ISNUMBER(MATCH(Tabla1__2[MAESTRIA],BQ123:DY123,0))
            )
        )
    ),
"")</f>
        <v/>
      </c>
    </row>
    <row r="124" spans="1:131" ht="20.25" customHeight="1">
      <c r="A124" t="str" cm="1">
        <f t="array" ref="A124">TRANSPOSE(_xlfn.UNIQUE(_xlfn._xlws.FILTER(T_ASIGNATURA1[ID_NIVEL],T_ASIGNATURA1[ID_CARRERA]=ASIGNACION!$A124,"No existe información")))</f>
        <v>No existe información</v>
      </c>
      <c r="S124" t="str" cm="1">
        <f t="array" ref="S124">TRANSPOSE(_xlfn.UNIQUE(_xlfn._xlws.FILTER(T_ASIGNATURA1[NOM_ASIG],(T_ASIGNATURA1[ID_NIVEL]=ASIGNACION!$C124)*(T_ASIGNATURA1[ID_CARRERA]=ASIGNACION!$A124),"No existe información")))</f>
        <v>No existe información</v>
      </c>
      <c r="BQ124" s="1" t="str" cm="1">
        <f t="array" ref="BQ124">IFERROR(
    TRANSPOSE(
        _xlfn.UNIQUE(
            _xlfn._xlws.FILTER(
                Tabla1_1[MAESTRIA],
                ISNUMBER(MATCH(Tabla1_1[CAMPO_DETALLADO],BD125:BP125,0))
            )
        )
    ),
"")</f>
        <v/>
      </c>
      <c r="EA124" t="str" cm="1">
        <f t="array" ref="EA124">IFERROR(
    TRANSPOSE(
        _xlfn.UNIQUE(
            _xlfn._xlws.FILTER(
                Tabla1__2[NOMBRE_DOCENTE],
                ISNUMBER(MATCH(Tabla1__2[MAESTRIA],BQ124:DY124,0))
            )
        )
    ),
"")</f>
        <v/>
      </c>
    </row>
    <row r="125" spans="1:131" ht="20.25" customHeight="1">
      <c r="A125" t="str" cm="1">
        <f t="array" ref="A125">TRANSPOSE(_xlfn.UNIQUE(_xlfn._xlws.FILTER(T_ASIGNATURA1[ID_NIVEL],T_ASIGNATURA1[ID_CARRERA]=ASIGNACION!$A125,"No existe información")))</f>
        <v>No existe información</v>
      </c>
      <c r="S125" t="str" cm="1">
        <f t="array" ref="S125">TRANSPOSE(_xlfn.UNIQUE(_xlfn._xlws.FILTER(T_ASIGNATURA1[NOM_ASIG],(T_ASIGNATURA1[ID_NIVEL]=ASIGNACION!$C125)*(T_ASIGNATURA1[ID_CARRERA]=ASIGNACION!$A125),"No existe información")))</f>
        <v>No existe información</v>
      </c>
      <c r="BQ125" s="1" t="str" cm="1">
        <f t="array" ref="BQ125">IFERROR(
    TRANSPOSE(
        _xlfn.UNIQUE(
            _xlfn._xlws.FILTER(
                Tabla1_1[MAESTRIA],
                ISNUMBER(MATCH(Tabla1_1[CAMPO_DETALLADO],BD126:BP126,0))
            )
        )
    ),
"")</f>
        <v/>
      </c>
      <c r="EA125" t="str" cm="1">
        <f t="array" ref="EA125">IFERROR(
    TRANSPOSE(
        _xlfn.UNIQUE(
            _xlfn._xlws.FILTER(
                Tabla1__2[NOMBRE_DOCENTE],
                ISNUMBER(MATCH(Tabla1__2[MAESTRIA],BQ125:DY125,0))
            )
        )
    ),
"")</f>
        <v/>
      </c>
    </row>
    <row r="126" spans="1:131" ht="20.25" customHeight="1">
      <c r="A126" t="str" cm="1">
        <f t="array" ref="A126">TRANSPOSE(_xlfn.UNIQUE(_xlfn._xlws.FILTER(T_ASIGNATURA1[ID_NIVEL],T_ASIGNATURA1[ID_CARRERA]=ASIGNACION!$A126,"No existe información")))</f>
        <v>No existe información</v>
      </c>
      <c r="S126" t="str" cm="1">
        <f t="array" ref="S126">TRANSPOSE(_xlfn.UNIQUE(_xlfn._xlws.FILTER(T_ASIGNATURA1[NOM_ASIG],(T_ASIGNATURA1[ID_NIVEL]=ASIGNACION!$C126)*(T_ASIGNATURA1[ID_CARRERA]=ASIGNACION!$A126),"No existe información")))</f>
        <v>No existe información</v>
      </c>
      <c r="BQ126" s="1" t="str" cm="1">
        <f t="array" ref="BQ126">IFERROR(
    TRANSPOSE(
        _xlfn.UNIQUE(
            _xlfn._xlws.FILTER(
                Tabla1_1[MAESTRIA],
                ISNUMBER(MATCH(Tabla1_1[CAMPO_DETALLADO],BD127:BP127,0))
            )
        )
    ),
"")</f>
        <v/>
      </c>
      <c r="EA126" t="str" cm="1">
        <f t="array" ref="EA126">IFERROR(
    TRANSPOSE(
        _xlfn.UNIQUE(
            _xlfn._xlws.FILTER(
                Tabla1__2[NOMBRE_DOCENTE],
                ISNUMBER(MATCH(Tabla1__2[MAESTRIA],BQ126:DY126,0))
            )
        )
    ),
"")</f>
        <v/>
      </c>
    </row>
    <row r="127" spans="1:131" ht="20.25" customHeight="1">
      <c r="A127" t="str" cm="1">
        <f t="array" ref="A127">TRANSPOSE(_xlfn.UNIQUE(_xlfn._xlws.FILTER(T_ASIGNATURA1[ID_NIVEL],T_ASIGNATURA1[ID_CARRERA]=ASIGNACION!$A127,"No existe información")))</f>
        <v>No existe información</v>
      </c>
      <c r="S127" t="str" cm="1">
        <f t="array" ref="S127">TRANSPOSE(_xlfn.UNIQUE(_xlfn._xlws.FILTER(T_ASIGNATURA1[NOM_ASIG],(T_ASIGNATURA1[ID_NIVEL]=ASIGNACION!$C127)*(T_ASIGNATURA1[ID_CARRERA]=ASIGNACION!$A127),"No existe información")))</f>
        <v>No existe información</v>
      </c>
      <c r="BQ127" s="1" t="str" cm="1">
        <f t="array" ref="BQ127">IFERROR(
    TRANSPOSE(
        _xlfn.UNIQUE(
            _xlfn._xlws.FILTER(
                Tabla1_1[MAESTRIA],
                ISNUMBER(MATCH(Tabla1_1[CAMPO_DETALLADO],BD128:BP128,0))
            )
        )
    ),
"")</f>
        <v/>
      </c>
      <c r="EA127" t="str" cm="1">
        <f t="array" ref="EA127">IFERROR(
    TRANSPOSE(
        _xlfn.UNIQUE(
            _xlfn._xlws.FILTER(
                Tabla1__2[NOMBRE_DOCENTE],
                ISNUMBER(MATCH(Tabla1__2[MAESTRIA],BQ127:DY127,0))
            )
        )
    ),
"")</f>
        <v/>
      </c>
    </row>
    <row r="128" spans="1:131" ht="20.25" customHeight="1">
      <c r="A128" t="str" cm="1">
        <f t="array" ref="A128">TRANSPOSE(_xlfn.UNIQUE(_xlfn._xlws.FILTER(T_ASIGNATURA1[ID_NIVEL],T_ASIGNATURA1[ID_CARRERA]=ASIGNACION!$A128,"No existe información")))</f>
        <v>No existe información</v>
      </c>
      <c r="S128" t="str" cm="1">
        <f t="array" ref="S128">TRANSPOSE(_xlfn.UNIQUE(_xlfn._xlws.FILTER(T_ASIGNATURA1[NOM_ASIG],(T_ASIGNATURA1[ID_NIVEL]=ASIGNACION!$C128)*(T_ASIGNATURA1[ID_CARRERA]=ASIGNACION!$A128),"No existe información")))</f>
        <v>No existe información</v>
      </c>
      <c r="BQ128" s="1" t="str" cm="1">
        <f t="array" ref="BQ128">IFERROR(
    TRANSPOSE(
        _xlfn.UNIQUE(
            _xlfn._xlws.FILTER(
                Tabla1_1[MAESTRIA],
                ISNUMBER(MATCH(Tabla1_1[CAMPO_DETALLADO],BD129:BP129,0))
            )
        )
    ),
"")</f>
        <v/>
      </c>
      <c r="EA128" t="str" cm="1">
        <f t="array" ref="EA128">IFERROR(
    TRANSPOSE(
        _xlfn.UNIQUE(
            _xlfn._xlws.FILTER(
                Tabla1__2[NOMBRE_DOCENTE],
                ISNUMBER(MATCH(Tabla1__2[MAESTRIA],BQ128:DY128,0))
            )
        )
    ),
"")</f>
        <v/>
      </c>
    </row>
    <row r="129" spans="1:131" ht="20.25" customHeight="1">
      <c r="A129" t="str" cm="1">
        <f t="array" ref="A129">TRANSPOSE(_xlfn.UNIQUE(_xlfn._xlws.FILTER(T_ASIGNATURA1[ID_NIVEL],T_ASIGNATURA1[ID_CARRERA]=ASIGNACION!$A129,"No existe información")))</f>
        <v>No existe información</v>
      </c>
      <c r="S129" t="str" cm="1">
        <f t="array" ref="S129">TRANSPOSE(_xlfn.UNIQUE(_xlfn._xlws.FILTER(T_ASIGNATURA1[NOM_ASIG],(T_ASIGNATURA1[ID_NIVEL]=ASIGNACION!$C129)*(T_ASIGNATURA1[ID_CARRERA]=ASIGNACION!$A129),"No existe información")))</f>
        <v>No existe información</v>
      </c>
      <c r="BQ129" s="1" t="str" cm="1">
        <f t="array" ref="BQ129">IFERROR(
    TRANSPOSE(
        _xlfn.UNIQUE(
            _xlfn._xlws.FILTER(
                Tabla1_1[MAESTRIA],
                ISNUMBER(MATCH(Tabla1_1[CAMPO_DETALLADO],BD130:BP130,0))
            )
        )
    ),
"")</f>
        <v/>
      </c>
      <c r="EA129" t="str" cm="1">
        <f t="array" ref="EA129">IFERROR(
    TRANSPOSE(
        _xlfn.UNIQUE(
            _xlfn._xlws.FILTER(
                Tabla1__2[NOMBRE_DOCENTE],
                ISNUMBER(MATCH(Tabla1__2[MAESTRIA],BQ129:DY129,0))
            )
        )
    ),
"")</f>
        <v/>
      </c>
    </row>
    <row r="130" spans="1:131" ht="20.25" customHeight="1">
      <c r="A130" t="str" cm="1">
        <f t="array" ref="A130">TRANSPOSE(_xlfn.UNIQUE(_xlfn._xlws.FILTER(T_ASIGNATURA1[ID_NIVEL],T_ASIGNATURA1[ID_CARRERA]=ASIGNACION!$A130,"No existe información")))</f>
        <v>No existe información</v>
      </c>
      <c r="S130" t="str" cm="1">
        <f t="array" ref="S130">TRANSPOSE(_xlfn.UNIQUE(_xlfn._xlws.FILTER(T_ASIGNATURA1[NOM_ASIG],(T_ASIGNATURA1[ID_NIVEL]=ASIGNACION!$C130)*(T_ASIGNATURA1[ID_CARRERA]=ASIGNACION!$A130),"No existe información")))</f>
        <v>No existe información</v>
      </c>
      <c r="BQ130" s="1" t="str" cm="1">
        <f t="array" ref="BQ130">IFERROR(
    TRANSPOSE(
        _xlfn.UNIQUE(
            _xlfn._xlws.FILTER(
                Tabla1_1[MAESTRIA],
                ISNUMBER(MATCH(Tabla1_1[CAMPO_DETALLADO],BD131:BP131,0))
            )
        )
    ),
"")</f>
        <v/>
      </c>
      <c r="EA130" t="str" cm="1">
        <f t="array" ref="EA130">IFERROR(
    TRANSPOSE(
        _xlfn.UNIQUE(
            _xlfn._xlws.FILTER(
                Tabla1__2[NOMBRE_DOCENTE],
                ISNUMBER(MATCH(Tabla1__2[MAESTRIA],BQ130:DY130,0))
            )
        )
    ),
"")</f>
        <v/>
      </c>
    </row>
    <row r="131" spans="1:131" ht="20.25" customHeight="1">
      <c r="A131" t="str" cm="1">
        <f t="array" ref="A131">TRANSPOSE(_xlfn.UNIQUE(_xlfn._xlws.FILTER(T_ASIGNATURA1[ID_NIVEL],T_ASIGNATURA1[ID_CARRERA]=ASIGNACION!$A131,"No existe información")))</f>
        <v>No existe información</v>
      </c>
      <c r="S131" t="str" cm="1">
        <f t="array" ref="S131">TRANSPOSE(_xlfn.UNIQUE(_xlfn._xlws.FILTER(T_ASIGNATURA1[NOM_ASIG],(T_ASIGNATURA1[ID_NIVEL]=ASIGNACION!$C131)*(T_ASIGNATURA1[ID_CARRERA]=ASIGNACION!$A131),"No existe información")))</f>
        <v>No existe información</v>
      </c>
      <c r="BQ131" s="1" t="str" cm="1">
        <f t="array" ref="BQ131">IFERROR(
    TRANSPOSE(
        _xlfn.UNIQUE(
            _xlfn._xlws.FILTER(
                Tabla1_1[MAESTRIA],
                ISNUMBER(MATCH(Tabla1_1[CAMPO_DETALLADO],BD132:BP132,0))
            )
        )
    ),
"")</f>
        <v/>
      </c>
      <c r="EA131" t="str" cm="1">
        <f t="array" ref="EA131">IFERROR(
    TRANSPOSE(
        _xlfn.UNIQUE(
            _xlfn._xlws.FILTER(
                Tabla1__2[NOMBRE_DOCENTE],
                ISNUMBER(MATCH(Tabla1__2[MAESTRIA],BQ131:DY131,0))
            )
        )
    ),
"")</f>
        <v/>
      </c>
    </row>
    <row r="132" spans="1:131" ht="20.25" customHeight="1">
      <c r="A132" t="str" cm="1">
        <f t="array" ref="A132">TRANSPOSE(_xlfn.UNIQUE(_xlfn._xlws.FILTER(T_ASIGNATURA1[ID_NIVEL],T_ASIGNATURA1[ID_CARRERA]=ASIGNACION!$A132,"No existe información")))</f>
        <v>No existe información</v>
      </c>
      <c r="S132" t="str" cm="1">
        <f t="array" ref="S132">TRANSPOSE(_xlfn.UNIQUE(_xlfn._xlws.FILTER(T_ASIGNATURA1[NOM_ASIG],(T_ASIGNATURA1[ID_NIVEL]=ASIGNACION!$C132)*(T_ASIGNATURA1[ID_CARRERA]=ASIGNACION!$A132),"No existe información")))</f>
        <v>No existe información</v>
      </c>
      <c r="BQ132" s="1" t="str" cm="1">
        <f t="array" ref="BQ132">IFERROR(
    TRANSPOSE(
        _xlfn.UNIQUE(
            _xlfn._xlws.FILTER(
                Tabla1_1[MAESTRIA],
                ISNUMBER(MATCH(Tabla1_1[CAMPO_DETALLADO],BD133:BP133,0))
            )
        )
    ),
"")</f>
        <v/>
      </c>
      <c r="EA132" t="str" cm="1">
        <f t="array" ref="EA132">IFERROR(
    TRANSPOSE(
        _xlfn.UNIQUE(
            _xlfn._xlws.FILTER(
                Tabla1__2[NOMBRE_DOCENTE],
                ISNUMBER(MATCH(Tabla1__2[MAESTRIA],BQ132:DY132,0))
            )
        )
    ),
"")</f>
        <v/>
      </c>
    </row>
    <row r="133" spans="1:131" ht="20.25" customHeight="1">
      <c r="A133" t="str" cm="1">
        <f t="array" ref="A133">TRANSPOSE(_xlfn.UNIQUE(_xlfn._xlws.FILTER(T_ASIGNATURA1[ID_NIVEL],T_ASIGNATURA1[ID_CARRERA]=ASIGNACION!$A133,"No existe información")))</f>
        <v>No existe información</v>
      </c>
      <c r="S133" t="str" cm="1">
        <f t="array" ref="S133">TRANSPOSE(_xlfn.UNIQUE(_xlfn._xlws.FILTER(T_ASIGNATURA1[NOM_ASIG],(T_ASIGNATURA1[ID_NIVEL]=ASIGNACION!$C133)*(T_ASIGNATURA1[ID_CARRERA]=ASIGNACION!$A133),"No existe información")))</f>
        <v>No existe información</v>
      </c>
      <c r="BQ133" s="1" t="str" cm="1">
        <f t="array" ref="BQ133">IFERROR(
    TRANSPOSE(
        _xlfn.UNIQUE(
            _xlfn._xlws.FILTER(
                Tabla1_1[MAESTRIA],
                ISNUMBER(MATCH(Tabla1_1[CAMPO_DETALLADO],BD134:BP134,0))
            )
        )
    ),
"")</f>
        <v/>
      </c>
      <c r="EA133" t="str" cm="1">
        <f t="array" ref="EA133">IFERROR(
    TRANSPOSE(
        _xlfn.UNIQUE(
            _xlfn._xlws.FILTER(
                Tabla1__2[NOMBRE_DOCENTE],
                ISNUMBER(MATCH(Tabla1__2[MAESTRIA],BQ133:DY133,0))
            )
        )
    ),
"")</f>
        <v/>
      </c>
    </row>
    <row r="134" spans="1:131" ht="20.25" customHeight="1">
      <c r="A134" t="str" cm="1">
        <f t="array" ref="A134">TRANSPOSE(_xlfn.UNIQUE(_xlfn._xlws.FILTER(T_ASIGNATURA1[ID_NIVEL],T_ASIGNATURA1[ID_CARRERA]=ASIGNACION!$A134,"No existe información")))</f>
        <v>No existe información</v>
      </c>
      <c r="S134" t="str" cm="1">
        <f t="array" ref="S134">TRANSPOSE(_xlfn.UNIQUE(_xlfn._xlws.FILTER(T_ASIGNATURA1[NOM_ASIG],(T_ASIGNATURA1[ID_NIVEL]=ASIGNACION!$C134)*(T_ASIGNATURA1[ID_CARRERA]=ASIGNACION!$A134),"No existe información")))</f>
        <v>No existe información</v>
      </c>
      <c r="BQ134" s="1" t="str" cm="1">
        <f t="array" ref="BQ134">IFERROR(
    TRANSPOSE(
        _xlfn.UNIQUE(
            _xlfn._xlws.FILTER(
                Tabla1_1[MAESTRIA],
                ISNUMBER(MATCH(Tabla1_1[CAMPO_DETALLADO],BD135:BP135,0))
            )
        )
    ),
"")</f>
        <v/>
      </c>
      <c r="EA134" t="str" cm="1">
        <f t="array" ref="EA134">IFERROR(
    TRANSPOSE(
        _xlfn.UNIQUE(
            _xlfn._xlws.FILTER(
                Tabla1__2[NOMBRE_DOCENTE],
                ISNUMBER(MATCH(Tabla1__2[MAESTRIA],BQ134:DY134,0))
            )
        )
    ),
"")</f>
        <v/>
      </c>
    </row>
    <row r="135" spans="1:131" ht="20.25" customHeight="1">
      <c r="A135" t="str" cm="1">
        <f t="array" ref="A135">TRANSPOSE(_xlfn.UNIQUE(_xlfn._xlws.FILTER(T_ASIGNATURA1[ID_NIVEL],T_ASIGNATURA1[ID_CARRERA]=ASIGNACION!$A135,"No existe información")))</f>
        <v>No existe información</v>
      </c>
      <c r="S135" t="str" cm="1">
        <f t="array" ref="S135">TRANSPOSE(_xlfn.UNIQUE(_xlfn._xlws.FILTER(T_ASIGNATURA1[NOM_ASIG],(T_ASIGNATURA1[ID_NIVEL]=ASIGNACION!$C135)*(T_ASIGNATURA1[ID_CARRERA]=ASIGNACION!$A135),"No existe información")))</f>
        <v>No existe información</v>
      </c>
      <c r="BQ135" s="1" t="str" cm="1">
        <f t="array" ref="BQ135">IFERROR(
    TRANSPOSE(
        _xlfn.UNIQUE(
            _xlfn._xlws.FILTER(
                Tabla1_1[MAESTRIA],
                ISNUMBER(MATCH(Tabla1_1[CAMPO_DETALLADO],BD136:BP136,0))
            )
        )
    ),
"")</f>
        <v/>
      </c>
      <c r="EA135" t="str" cm="1">
        <f t="array" ref="EA135">IFERROR(
    TRANSPOSE(
        _xlfn.UNIQUE(
            _xlfn._xlws.FILTER(
                Tabla1__2[NOMBRE_DOCENTE],
                ISNUMBER(MATCH(Tabla1__2[MAESTRIA],BQ135:DY135,0))
            )
        )
    ),
"")</f>
        <v/>
      </c>
    </row>
    <row r="136" spans="1:131" ht="20.25" customHeight="1">
      <c r="A136" t="str" cm="1">
        <f t="array" ref="A136">TRANSPOSE(_xlfn.UNIQUE(_xlfn._xlws.FILTER(T_ASIGNATURA1[ID_NIVEL],T_ASIGNATURA1[ID_CARRERA]=ASIGNACION!$A136,"No existe información")))</f>
        <v>No existe información</v>
      </c>
      <c r="S136" t="str" cm="1">
        <f t="array" ref="S136">TRANSPOSE(_xlfn.UNIQUE(_xlfn._xlws.FILTER(T_ASIGNATURA1[NOM_ASIG],(T_ASIGNATURA1[ID_NIVEL]=ASIGNACION!$C136)*(T_ASIGNATURA1[ID_CARRERA]=ASIGNACION!$A136),"No existe información")))</f>
        <v>No existe información</v>
      </c>
      <c r="BQ136" s="1" t="str" cm="1">
        <f t="array" ref="BQ136">IFERROR(
    TRANSPOSE(
        _xlfn.UNIQUE(
            _xlfn._xlws.FILTER(
                Tabla1_1[MAESTRIA],
                ISNUMBER(MATCH(Tabla1_1[CAMPO_DETALLADO],BD137:BP137,0))
            )
        )
    ),
"")</f>
        <v/>
      </c>
      <c r="EA136" t="str" cm="1">
        <f t="array" ref="EA136">IFERROR(
    TRANSPOSE(
        _xlfn.UNIQUE(
            _xlfn._xlws.FILTER(
                Tabla1__2[NOMBRE_DOCENTE],
                ISNUMBER(MATCH(Tabla1__2[MAESTRIA],BQ136:DY136,0))
            )
        )
    ),
"")</f>
        <v/>
      </c>
    </row>
    <row r="137" spans="1:131" ht="20.25" customHeight="1">
      <c r="A137" t="str" cm="1">
        <f t="array" ref="A137">TRANSPOSE(_xlfn.UNIQUE(_xlfn._xlws.FILTER(T_ASIGNATURA1[ID_NIVEL],T_ASIGNATURA1[ID_CARRERA]=ASIGNACION!$A137,"No existe información")))</f>
        <v>No existe información</v>
      </c>
      <c r="S137" t="str" cm="1">
        <f t="array" ref="S137">TRANSPOSE(_xlfn.UNIQUE(_xlfn._xlws.FILTER(T_ASIGNATURA1[NOM_ASIG],(T_ASIGNATURA1[ID_NIVEL]=ASIGNACION!$C137)*(T_ASIGNATURA1[ID_CARRERA]=ASIGNACION!$A137),"No existe información")))</f>
        <v>No existe información</v>
      </c>
      <c r="BQ137" s="1" t="str" cm="1">
        <f t="array" ref="BQ137">IFERROR(
    TRANSPOSE(
        _xlfn.UNIQUE(
            _xlfn._xlws.FILTER(
                Tabla1_1[MAESTRIA],
                ISNUMBER(MATCH(Tabla1_1[CAMPO_DETALLADO],BD138:BP138,0))
            )
        )
    ),
"")</f>
        <v/>
      </c>
      <c r="EA137" t="str" cm="1">
        <f t="array" ref="EA137">IFERROR(
    TRANSPOSE(
        _xlfn.UNIQUE(
            _xlfn._xlws.FILTER(
                Tabla1__2[NOMBRE_DOCENTE],
                ISNUMBER(MATCH(Tabla1__2[MAESTRIA],BQ137:DY137,0))
            )
        )
    ),
"")</f>
        <v/>
      </c>
    </row>
    <row r="138" spans="1:131" ht="20.25" customHeight="1">
      <c r="A138" t="str" cm="1">
        <f t="array" ref="A138">TRANSPOSE(_xlfn.UNIQUE(_xlfn._xlws.FILTER(T_ASIGNATURA1[ID_NIVEL],T_ASIGNATURA1[ID_CARRERA]=ASIGNACION!$A138,"No existe información")))</f>
        <v>No existe información</v>
      </c>
      <c r="S138" t="str" cm="1">
        <f t="array" ref="S138">TRANSPOSE(_xlfn.UNIQUE(_xlfn._xlws.FILTER(T_ASIGNATURA1[NOM_ASIG],(T_ASIGNATURA1[ID_NIVEL]=ASIGNACION!$C138)*(T_ASIGNATURA1[ID_CARRERA]=ASIGNACION!$A138),"No existe información")))</f>
        <v>No existe información</v>
      </c>
      <c r="BQ138" s="1" t="str" cm="1">
        <f t="array" ref="BQ138">IFERROR(
    TRANSPOSE(
        _xlfn.UNIQUE(
            _xlfn._xlws.FILTER(
                Tabla1_1[MAESTRIA],
                ISNUMBER(MATCH(Tabla1_1[CAMPO_DETALLADO],BD139:BP139,0))
            )
        )
    ),
"")</f>
        <v/>
      </c>
      <c r="EA138" t="str" cm="1">
        <f t="array" ref="EA138">IFERROR(
    TRANSPOSE(
        _xlfn.UNIQUE(
            _xlfn._xlws.FILTER(
                Tabla1__2[NOMBRE_DOCENTE],
                ISNUMBER(MATCH(Tabla1__2[MAESTRIA],BQ138:DY138,0))
            )
        )
    ),
"")</f>
        <v/>
      </c>
    </row>
    <row r="139" spans="1:131" ht="20.25" customHeight="1">
      <c r="A139" t="str" cm="1">
        <f t="array" ref="A139">TRANSPOSE(_xlfn.UNIQUE(_xlfn._xlws.FILTER(T_ASIGNATURA1[ID_NIVEL],T_ASIGNATURA1[ID_CARRERA]=ASIGNACION!$A139,"No existe información")))</f>
        <v>No existe información</v>
      </c>
      <c r="S139" t="str" cm="1">
        <f t="array" ref="S139">TRANSPOSE(_xlfn.UNIQUE(_xlfn._xlws.FILTER(T_ASIGNATURA1[NOM_ASIG],(T_ASIGNATURA1[ID_NIVEL]=ASIGNACION!$C139)*(T_ASIGNATURA1[ID_CARRERA]=ASIGNACION!$A139),"No existe información")))</f>
        <v>No existe información</v>
      </c>
      <c r="BQ139" s="1" t="str" cm="1">
        <f t="array" ref="BQ139">IFERROR(
    TRANSPOSE(
        _xlfn.UNIQUE(
            _xlfn._xlws.FILTER(
                Tabla1_1[MAESTRIA],
                ISNUMBER(MATCH(Tabla1_1[CAMPO_DETALLADO],BD140:BP140,0))
            )
        )
    ),
"")</f>
        <v/>
      </c>
      <c r="EA139" t="str" cm="1">
        <f t="array" ref="EA139">IFERROR(
    TRANSPOSE(
        _xlfn.UNIQUE(
            _xlfn._xlws.FILTER(
                Tabla1__2[NOMBRE_DOCENTE],
                ISNUMBER(MATCH(Tabla1__2[MAESTRIA],BQ139:DY139,0))
            )
        )
    ),
"")</f>
        <v/>
      </c>
    </row>
    <row r="140" spans="1:131" ht="20.25" customHeight="1">
      <c r="A140" t="str" cm="1">
        <f t="array" ref="A140">TRANSPOSE(_xlfn.UNIQUE(_xlfn._xlws.FILTER(T_ASIGNATURA1[ID_NIVEL],T_ASIGNATURA1[ID_CARRERA]=ASIGNACION!$A140,"No existe información")))</f>
        <v>No existe información</v>
      </c>
      <c r="S140" t="str" cm="1">
        <f t="array" ref="S140">TRANSPOSE(_xlfn.UNIQUE(_xlfn._xlws.FILTER(T_ASIGNATURA1[NOM_ASIG],(T_ASIGNATURA1[ID_NIVEL]=ASIGNACION!$C140)*(T_ASIGNATURA1[ID_CARRERA]=ASIGNACION!$A140),"No existe información")))</f>
        <v>No existe información</v>
      </c>
      <c r="BQ140" s="1" t="str" cm="1">
        <f t="array" ref="BQ140">IFERROR(
    TRANSPOSE(
        _xlfn.UNIQUE(
            _xlfn._xlws.FILTER(
                Tabla1_1[MAESTRIA],
                ISNUMBER(MATCH(Tabla1_1[CAMPO_DETALLADO],BD141:BP141,0))
            )
        )
    ),
"")</f>
        <v/>
      </c>
      <c r="EA140" t="str" cm="1">
        <f t="array" ref="EA140">IFERROR(
    TRANSPOSE(
        _xlfn.UNIQUE(
            _xlfn._xlws.FILTER(
                Tabla1__2[NOMBRE_DOCENTE],
                ISNUMBER(MATCH(Tabla1__2[MAESTRIA],BQ140:DY140,0))
            )
        )
    ),
"")</f>
        <v/>
      </c>
    </row>
    <row r="141" spans="1:131" ht="20.25" customHeight="1">
      <c r="A141" t="str" cm="1">
        <f t="array" ref="A141">TRANSPOSE(_xlfn.UNIQUE(_xlfn._xlws.FILTER(T_ASIGNATURA1[ID_NIVEL],T_ASIGNATURA1[ID_CARRERA]=ASIGNACION!$A141,"No existe información")))</f>
        <v>No existe información</v>
      </c>
      <c r="S141" t="str" cm="1">
        <f t="array" ref="S141">TRANSPOSE(_xlfn.UNIQUE(_xlfn._xlws.FILTER(T_ASIGNATURA1[NOM_ASIG],(T_ASIGNATURA1[ID_NIVEL]=ASIGNACION!$C141)*(T_ASIGNATURA1[ID_CARRERA]=ASIGNACION!$A141),"No existe información")))</f>
        <v>No existe información</v>
      </c>
      <c r="BQ141" s="1" t="str" cm="1">
        <f t="array" ref="BQ141">IFERROR(
    TRANSPOSE(
        _xlfn.UNIQUE(
            _xlfn._xlws.FILTER(
                Tabla1_1[MAESTRIA],
                ISNUMBER(MATCH(Tabla1_1[CAMPO_DETALLADO],BD142:BP142,0))
            )
        )
    ),
"")</f>
        <v/>
      </c>
      <c r="EA141" t="str" cm="1">
        <f t="array" ref="EA141">IFERROR(
    TRANSPOSE(
        _xlfn.UNIQUE(
            _xlfn._xlws.FILTER(
                Tabla1__2[NOMBRE_DOCENTE],
                ISNUMBER(MATCH(Tabla1__2[MAESTRIA],BQ141:DY141,0))
            )
        )
    ),
"")</f>
        <v/>
      </c>
    </row>
    <row r="142" spans="1:131" ht="20.25" customHeight="1">
      <c r="A142" t="str" cm="1">
        <f t="array" ref="A142">TRANSPOSE(_xlfn.UNIQUE(_xlfn._xlws.FILTER(T_ASIGNATURA1[ID_NIVEL],T_ASIGNATURA1[ID_CARRERA]=ASIGNACION!$A142,"No existe información")))</f>
        <v>No existe información</v>
      </c>
      <c r="S142" t="str" cm="1">
        <f t="array" ref="S142">TRANSPOSE(_xlfn.UNIQUE(_xlfn._xlws.FILTER(T_ASIGNATURA1[NOM_ASIG],(T_ASIGNATURA1[ID_NIVEL]=ASIGNACION!$C142)*(T_ASIGNATURA1[ID_CARRERA]=ASIGNACION!$A142),"No existe información")))</f>
        <v>No existe información</v>
      </c>
      <c r="BQ142" s="1" t="str" cm="1">
        <f t="array" ref="BQ142">IFERROR(
    TRANSPOSE(
        _xlfn.UNIQUE(
            _xlfn._xlws.FILTER(
                Tabla1_1[MAESTRIA],
                ISNUMBER(MATCH(Tabla1_1[CAMPO_DETALLADO],BD143:BP143,0))
            )
        )
    ),
"")</f>
        <v/>
      </c>
      <c r="EA142" t="str" cm="1">
        <f t="array" ref="EA142">IFERROR(
    TRANSPOSE(
        _xlfn.UNIQUE(
            _xlfn._xlws.FILTER(
                Tabla1__2[NOMBRE_DOCENTE],
                ISNUMBER(MATCH(Tabla1__2[MAESTRIA],BQ142:DY142,0))
            )
        )
    ),
"")</f>
        <v/>
      </c>
    </row>
    <row r="143" spans="1:131" ht="20.25" customHeight="1">
      <c r="A143" t="str" cm="1">
        <f t="array" ref="A143">TRANSPOSE(_xlfn.UNIQUE(_xlfn._xlws.FILTER(T_ASIGNATURA1[ID_NIVEL],T_ASIGNATURA1[ID_CARRERA]=ASIGNACION!$A143,"No existe información")))</f>
        <v>No existe información</v>
      </c>
      <c r="S143" t="str" cm="1">
        <f t="array" ref="S143">TRANSPOSE(_xlfn.UNIQUE(_xlfn._xlws.FILTER(T_ASIGNATURA1[NOM_ASIG],(T_ASIGNATURA1[ID_NIVEL]=ASIGNACION!$C143)*(T_ASIGNATURA1[ID_CARRERA]=ASIGNACION!$A143),"No existe información")))</f>
        <v>No existe información</v>
      </c>
      <c r="BQ143" s="1" t="str" cm="1">
        <f t="array" ref="BQ143">IFERROR(
    TRANSPOSE(
        _xlfn.UNIQUE(
            _xlfn._xlws.FILTER(
                Tabla1_1[MAESTRIA],
                ISNUMBER(MATCH(Tabla1_1[CAMPO_DETALLADO],BD144:BP144,0))
            )
        )
    ),
"")</f>
        <v/>
      </c>
      <c r="EA143" t="str" cm="1">
        <f t="array" ref="EA143">IFERROR(
    TRANSPOSE(
        _xlfn.UNIQUE(
            _xlfn._xlws.FILTER(
                Tabla1__2[NOMBRE_DOCENTE],
                ISNUMBER(MATCH(Tabla1__2[MAESTRIA],BQ143:DY143,0))
            )
        )
    ),
"")</f>
        <v/>
      </c>
    </row>
    <row r="144" spans="1:131" ht="20.25" customHeight="1">
      <c r="A144" t="str" cm="1">
        <f t="array" ref="A144">TRANSPOSE(_xlfn.UNIQUE(_xlfn._xlws.FILTER(T_ASIGNATURA1[ID_NIVEL],T_ASIGNATURA1[ID_CARRERA]=ASIGNACION!$A144,"No existe información")))</f>
        <v>No existe información</v>
      </c>
      <c r="S144" t="str" cm="1">
        <f t="array" ref="S144">TRANSPOSE(_xlfn.UNIQUE(_xlfn._xlws.FILTER(T_ASIGNATURA1[NOM_ASIG],(T_ASIGNATURA1[ID_NIVEL]=ASIGNACION!$C144)*(T_ASIGNATURA1[ID_CARRERA]=ASIGNACION!$A144),"No existe información")))</f>
        <v>No existe información</v>
      </c>
      <c r="BQ144" s="1" t="str" cm="1">
        <f t="array" ref="BQ144">IFERROR(
    TRANSPOSE(
        _xlfn.UNIQUE(
            _xlfn._xlws.FILTER(
                Tabla1_1[MAESTRIA],
                ISNUMBER(MATCH(Tabla1_1[CAMPO_DETALLADO],BD145:BP145,0))
            )
        )
    ),
"")</f>
        <v/>
      </c>
      <c r="EA144" t="str" cm="1">
        <f t="array" ref="EA144">IFERROR(
    TRANSPOSE(
        _xlfn.UNIQUE(
            _xlfn._xlws.FILTER(
                Tabla1__2[NOMBRE_DOCENTE],
                ISNUMBER(MATCH(Tabla1__2[MAESTRIA],BQ144:DY144,0))
            )
        )
    ),
"")</f>
        <v/>
      </c>
    </row>
    <row r="145" spans="1:131" ht="20.25" customHeight="1">
      <c r="A145" t="str" cm="1">
        <f t="array" ref="A145">TRANSPOSE(_xlfn.UNIQUE(_xlfn._xlws.FILTER(T_ASIGNATURA1[ID_NIVEL],T_ASIGNATURA1[ID_CARRERA]=ASIGNACION!$A145,"No existe información")))</f>
        <v>No existe información</v>
      </c>
      <c r="S145" t="str" cm="1">
        <f t="array" ref="S145">TRANSPOSE(_xlfn.UNIQUE(_xlfn._xlws.FILTER(T_ASIGNATURA1[NOM_ASIG],(T_ASIGNATURA1[ID_NIVEL]=ASIGNACION!$C145)*(T_ASIGNATURA1[ID_CARRERA]=ASIGNACION!$A145),"No existe información")))</f>
        <v>No existe información</v>
      </c>
      <c r="BQ145" s="1" t="str" cm="1">
        <f t="array" ref="BQ145">IFERROR(
    TRANSPOSE(
        _xlfn.UNIQUE(
            _xlfn._xlws.FILTER(
                Tabla1_1[MAESTRIA],
                ISNUMBER(MATCH(Tabla1_1[CAMPO_DETALLADO],BD146:BP146,0))
            )
        )
    ),
"")</f>
        <v/>
      </c>
      <c r="EA145" t="str" cm="1">
        <f t="array" ref="EA145">IFERROR(
    TRANSPOSE(
        _xlfn.UNIQUE(
            _xlfn._xlws.FILTER(
                Tabla1__2[NOMBRE_DOCENTE],
                ISNUMBER(MATCH(Tabla1__2[MAESTRIA],BQ145:DY145,0))
            )
        )
    ),
"")</f>
        <v/>
      </c>
    </row>
    <row r="146" spans="1:131" ht="20.25" customHeight="1">
      <c r="A146" t="str" cm="1">
        <f t="array" ref="A146">TRANSPOSE(_xlfn.UNIQUE(_xlfn._xlws.FILTER(T_ASIGNATURA1[ID_NIVEL],T_ASIGNATURA1[ID_CARRERA]=ASIGNACION!$A146,"No existe información")))</f>
        <v>No existe información</v>
      </c>
      <c r="S146" t="str" cm="1">
        <f t="array" ref="S146">TRANSPOSE(_xlfn.UNIQUE(_xlfn._xlws.FILTER(T_ASIGNATURA1[NOM_ASIG],(T_ASIGNATURA1[ID_NIVEL]=ASIGNACION!$C146)*(T_ASIGNATURA1[ID_CARRERA]=ASIGNACION!$A146),"No existe información")))</f>
        <v>No existe información</v>
      </c>
      <c r="BQ146" s="1" t="str" cm="1">
        <f t="array" ref="BQ146">IFERROR(
    TRANSPOSE(
        _xlfn.UNIQUE(
            _xlfn._xlws.FILTER(
                Tabla1_1[MAESTRIA],
                ISNUMBER(MATCH(Tabla1_1[CAMPO_DETALLADO],BD147:BP147,0))
            )
        )
    ),
"")</f>
        <v/>
      </c>
      <c r="EA146" t="str" cm="1">
        <f t="array" ref="EA146">IFERROR(
    TRANSPOSE(
        _xlfn.UNIQUE(
            _xlfn._xlws.FILTER(
                Tabla1__2[NOMBRE_DOCENTE],
                ISNUMBER(MATCH(Tabla1__2[MAESTRIA],BQ146:DY146,0))
            )
        )
    ),
"")</f>
        <v/>
      </c>
    </row>
    <row r="147" spans="1:131" ht="20.25" customHeight="1">
      <c r="A147" t="str" cm="1">
        <f t="array" ref="A147">TRANSPOSE(_xlfn.UNIQUE(_xlfn._xlws.FILTER(T_ASIGNATURA1[ID_NIVEL],T_ASIGNATURA1[ID_CARRERA]=ASIGNACION!$A147,"No existe información")))</f>
        <v>No existe información</v>
      </c>
      <c r="S147" t="str" cm="1">
        <f t="array" ref="S147">TRANSPOSE(_xlfn.UNIQUE(_xlfn._xlws.FILTER(T_ASIGNATURA1[NOM_ASIG],(T_ASIGNATURA1[ID_NIVEL]=ASIGNACION!$C147)*(T_ASIGNATURA1[ID_CARRERA]=ASIGNACION!$A147),"No existe información")))</f>
        <v>No existe información</v>
      </c>
      <c r="BQ147" s="1" t="str" cm="1">
        <f t="array" ref="BQ147">IFERROR(
    TRANSPOSE(
        _xlfn.UNIQUE(
            _xlfn._xlws.FILTER(
                Tabla1_1[MAESTRIA],
                ISNUMBER(MATCH(Tabla1_1[CAMPO_DETALLADO],BD148:BP148,0))
            )
        )
    ),
"")</f>
        <v/>
      </c>
      <c r="EA147" t="str" cm="1">
        <f t="array" ref="EA147">IFERROR(
    TRANSPOSE(
        _xlfn.UNIQUE(
            _xlfn._xlws.FILTER(
                Tabla1__2[NOMBRE_DOCENTE],
                ISNUMBER(MATCH(Tabla1__2[MAESTRIA],BQ147:DY147,0))
            )
        )
    ),
"")</f>
        <v/>
      </c>
    </row>
    <row r="148" spans="1:131" ht="20.25" customHeight="1">
      <c r="A148" t="str" cm="1">
        <f t="array" ref="A148">TRANSPOSE(_xlfn.UNIQUE(_xlfn._xlws.FILTER(T_ASIGNATURA1[ID_NIVEL],T_ASIGNATURA1[ID_CARRERA]=ASIGNACION!$A148,"No existe información")))</f>
        <v>No existe información</v>
      </c>
      <c r="S148" t="str" cm="1">
        <f t="array" ref="S148">TRANSPOSE(_xlfn.UNIQUE(_xlfn._xlws.FILTER(T_ASIGNATURA1[NOM_ASIG],(T_ASIGNATURA1[ID_NIVEL]=ASIGNACION!$C148)*(T_ASIGNATURA1[ID_CARRERA]=ASIGNACION!$A148),"No existe información")))</f>
        <v>No existe información</v>
      </c>
      <c r="BQ148" s="1" t="str" cm="1">
        <f t="array" ref="BQ148">IFERROR(
    TRANSPOSE(
        _xlfn.UNIQUE(
            _xlfn._xlws.FILTER(
                Tabla1_1[MAESTRIA],
                ISNUMBER(MATCH(Tabla1_1[CAMPO_DETALLADO],BD149:BP149,0))
            )
        )
    ),
"")</f>
        <v/>
      </c>
      <c r="EA148" t="str" cm="1">
        <f t="array" ref="EA148">IFERROR(
    TRANSPOSE(
        _xlfn.UNIQUE(
            _xlfn._xlws.FILTER(
                Tabla1__2[NOMBRE_DOCENTE],
                ISNUMBER(MATCH(Tabla1__2[MAESTRIA],BQ148:DY148,0))
            )
        )
    ),
"")</f>
        <v/>
      </c>
    </row>
    <row r="149" spans="1:131" ht="20.25" customHeight="1">
      <c r="A149" t="str" cm="1">
        <f t="array" ref="A149">TRANSPOSE(_xlfn.UNIQUE(_xlfn._xlws.FILTER(T_ASIGNATURA1[ID_NIVEL],T_ASIGNATURA1[ID_CARRERA]=ASIGNACION!$A149,"No existe información")))</f>
        <v>No existe información</v>
      </c>
      <c r="S149" t="str" cm="1">
        <f t="array" ref="S149">TRANSPOSE(_xlfn.UNIQUE(_xlfn._xlws.FILTER(T_ASIGNATURA1[NOM_ASIG],(T_ASIGNATURA1[ID_NIVEL]=ASIGNACION!$C149)*(T_ASIGNATURA1[ID_CARRERA]=ASIGNACION!$A149),"No existe información")))</f>
        <v>No existe información</v>
      </c>
      <c r="BQ149" s="1" t="str" cm="1">
        <f t="array" ref="BQ149">IFERROR(
    TRANSPOSE(
        _xlfn.UNIQUE(
            _xlfn._xlws.FILTER(
                Tabla1_1[MAESTRIA],
                ISNUMBER(MATCH(Tabla1_1[CAMPO_DETALLADO],BD150:BP150,0))
            )
        )
    ),
"")</f>
        <v/>
      </c>
      <c r="EA149" t="str" cm="1">
        <f t="array" ref="EA149">IFERROR(
    TRANSPOSE(
        _xlfn.UNIQUE(
            _xlfn._xlws.FILTER(
                Tabla1__2[NOMBRE_DOCENTE],
                ISNUMBER(MATCH(Tabla1__2[MAESTRIA],BQ149:DY149,0))
            )
        )
    ),
"")</f>
        <v/>
      </c>
    </row>
    <row r="150" spans="1:131" ht="20.25" customHeight="1">
      <c r="A150" t="str" cm="1">
        <f t="array" ref="A150">TRANSPOSE(_xlfn.UNIQUE(_xlfn._xlws.FILTER(T_ASIGNATURA1[ID_NIVEL],T_ASIGNATURA1[ID_CARRERA]=ASIGNACION!$A150,"No existe información")))</f>
        <v>No existe información</v>
      </c>
      <c r="S150" t="str" cm="1">
        <f t="array" ref="S150">TRANSPOSE(_xlfn.UNIQUE(_xlfn._xlws.FILTER(T_ASIGNATURA1[NOM_ASIG],(T_ASIGNATURA1[ID_NIVEL]=ASIGNACION!$C150)*(T_ASIGNATURA1[ID_CARRERA]=ASIGNACION!$A150),"No existe información")))</f>
        <v>No existe información</v>
      </c>
      <c r="BQ150" s="1" t="str" cm="1">
        <f t="array" ref="BQ150">IFERROR(
    TRANSPOSE(
        _xlfn.UNIQUE(
            _xlfn._xlws.FILTER(
                Tabla1_1[MAESTRIA],
                ISNUMBER(MATCH(Tabla1_1[CAMPO_DETALLADO],BD151:BP151,0))
            )
        )
    ),
"")</f>
        <v/>
      </c>
      <c r="EA150" t="str" cm="1">
        <f t="array" ref="EA150">IFERROR(
    TRANSPOSE(
        _xlfn.UNIQUE(
            _xlfn._xlws.FILTER(
                Tabla1__2[NOMBRE_DOCENTE],
                ISNUMBER(MATCH(Tabla1__2[MAESTRIA],BQ150:DY150,0))
            )
        )
    ),
"")</f>
        <v/>
      </c>
    </row>
    <row r="151" spans="1:131" ht="20.25" customHeight="1">
      <c r="A151" t="str" cm="1">
        <f t="array" ref="A151">TRANSPOSE(_xlfn.UNIQUE(_xlfn._xlws.FILTER(T_ASIGNATURA1[ID_NIVEL],T_ASIGNATURA1[ID_CARRERA]=ASIGNACION!$A151,"No existe información")))</f>
        <v>No existe información</v>
      </c>
      <c r="S151" t="str" cm="1">
        <f t="array" ref="S151">TRANSPOSE(_xlfn.UNIQUE(_xlfn._xlws.FILTER(T_ASIGNATURA1[NOM_ASIG],(T_ASIGNATURA1[ID_NIVEL]=ASIGNACION!$C151)*(T_ASIGNATURA1[ID_CARRERA]=ASIGNACION!$A151),"No existe información")))</f>
        <v>No existe información</v>
      </c>
      <c r="BQ151" s="1" t="str" cm="1">
        <f t="array" ref="BQ151">IFERROR(
    TRANSPOSE(
        _xlfn.UNIQUE(
            _xlfn._xlws.FILTER(
                Tabla1_1[MAESTRIA],
                ISNUMBER(MATCH(Tabla1_1[CAMPO_DETALLADO],BD152:BP152,0))
            )
        )
    ),
"")</f>
        <v/>
      </c>
      <c r="EA151" t="str" cm="1">
        <f t="array" ref="EA151">IFERROR(
    TRANSPOSE(
        _xlfn.UNIQUE(
            _xlfn._xlws.FILTER(
                Tabla1__2[NOMBRE_DOCENTE],
                ISNUMBER(MATCH(Tabla1__2[MAESTRIA],BQ151:DY151,0))
            )
        )
    ),
"")</f>
        <v/>
      </c>
    </row>
    <row r="152" spans="1:131" ht="20.25" customHeight="1">
      <c r="A152" t="str" cm="1">
        <f t="array" ref="A152">TRANSPOSE(_xlfn.UNIQUE(_xlfn._xlws.FILTER(T_ASIGNATURA1[ID_NIVEL],T_ASIGNATURA1[ID_CARRERA]=ASIGNACION!$A152,"No existe información")))</f>
        <v>No existe información</v>
      </c>
      <c r="S152" t="str" cm="1">
        <f t="array" ref="S152">TRANSPOSE(_xlfn.UNIQUE(_xlfn._xlws.FILTER(T_ASIGNATURA1[NOM_ASIG],(T_ASIGNATURA1[ID_NIVEL]=ASIGNACION!$C152)*(T_ASIGNATURA1[ID_CARRERA]=ASIGNACION!$A152),"No existe información")))</f>
        <v>No existe información</v>
      </c>
      <c r="BQ152" s="1" t="str" cm="1">
        <f t="array" ref="BQ152">IFERROR(
    TRANSPOSE(
        _xlfn.UNIQUE(
            _xlfn._xlws.FILTER(
                Tabla1_1[MAESTRIA],
                ISNUMBER(MATCH(Tabla1_1[CAMPO_DETALLADO],BD153:BP153,0))
            )
        )
    ),
"")</f>
        <v/>
      </c>
      <c r="EA152" t="str" cm="1">
        <f t="array" ref="EA152">IFERROR(
    TRANSPOSE(
        _xlfn.UNIQUE(
            _xlfn._xlws.FILTER(
                Tabla1__2[NOMBRE_DOCENTE],
                ISNUMBER(MATCH(Tabla1__2[MAESTRIA],BQ152:DY152,0))
            )
        )
    ),
"")</f>
        <v/>
      </c>
    </row>
    <row r="153" spans="1:131" ht="20.25" customHeight="1">
      <c r="A153" t="str" cm="1">
        <f t="array" ref="A153">TRANSPOSE(_xlfn.UNIQUE(_xlfn._xlws.FILTER(T_ASIGNATURA1[ID_NIVEL],T_ASIGNATURA1[ID_CARRERA]=ASIGNACION!$A153,"No existe información")))</f>
        <v>No existe información</v>
      </c>
      <c r="S153" t="str" cm="1">
        <f t="array" ref="S153">TRANSPOSE(_xlfn.UNIQUE(_xlfn._xlws.FILTER(T_ASIGNATURA1[NOM_ASIG],(T_ASIGNATURA1[ID_NIVEL]=ASIGNACION!$C153)*(T_ASIGNATURA1[ID_CARRERA]=ASIGNACION!$A153),"No existe información")))</f>
        <v>No existe información</v>
      </c>
      <c r="BQ153" s="1" t="str" cm="1">
        <f t="array" ref="BQ153">IFERROR(
    TRANSPOSE(
        _xlfn.UNIQUE(
            _xlfn._xlws.FILTER(
                Tabla1_1[MAESTRIA],
                ISNUMBER(MATCH(Tabla1_1[CAMPO_DETALLADO],BD154:BP154,0))
            )
        )
    ),
"")</f>
        <v/>
      </c>
      <c r="EA153" t="str" cm="1">
        <f t="array" ref="EA153">IFERROR(
    TRANSPOSE(
        _xlfn.UNIQUE(
            _xlfn._xlws.FILTER(
                Tabla1__2[NOMBRE_DOCENTE],
                ISNUMBER(MATCH(Tabla1__2[MAESTRIA],BQ153:DY153,0))
            )
        )
    ),
"")</f>
        <v/>
      </c>
    </row>
    <row r="154" spans="1:131" ht="20.25" customHeight="1">
      <c r="A154" t="str" cm="1">
        <f t="array" ref="A154">TRANSPOSE(_xlfn.UNIQUE(_xlfn._xlws.FILTER(T_ASIGNATURA1[ID_NIVEL],T_ASIGNATURA1[ID_CARRERA]=ASIGNACION!$A154,"No existe información")))</f>
        <v>No existe información</v>
      </c>
      <c r="S154" t="str" cm="1">
        <f t="array" ref="S154">TRANSPOSE(_xlfn.UNIQUE(_xlfn._xlws.FILTER(T_ASIGNATURA1[NOM_ASIG],(T_ASIGNATURA1[ID_NIVEL]=ASIGNACION!$C154)*(T_ASIGNATURA1[ID_CARRERA]=ASIGNACION!$A154),"No existe información")))</f>
        <v>No existe información</v>
      </c>
      <c r="BQ154" s="1" t="str" cm="1">
        <f t="array" ref="BQ154">IFERROR(
    TRANSPOSE(
        _xlfn.UNIQUE(
            _xlfn._xlws.FILTER(
                Tabla1_1[MAESTRIA],
                ISNUMBER(MATCH(Tabla1_1[CAMPO_DETALLADO],BD155:BP155,0))
            )
        )
    ),
"")</f>
        <v/>
      </c>
      <c r="EA154" t="str" cm="1">
        <f t="array" ref="EA154">IFERROR(
    TRANSPOSE(
        _xlfn.UNIQUE(
            _xlfn._xlws.FILTER(
                Tabla1__2[NOMBRE_DOCENTE],
                ISNUMBER(MATCH(Tabla1__2[MAESTRIA],BQ154:DY154,0))
            )
        )
    ),
"")</f>
        <v/>
      </c>
    </row>
    <row r="155" spans="1:131" ht="20.25" customHeight="1">
      <c r="A155" t="str" cm="1">
        <f t="array" ref="A155">TRANSPOSE(_xlfn.UNIQUE(_xlfn._xlws.FILTER(T_ASIGNATURA1[ID_NIVEL],T_ASIGNATURA1[ID_CARRERA]=ASIGNACION!$A155,"No existe información")))</f>
        <v>No existe información</v>
      </c>
      <c r="S155" t="str" cm="1">
        <f t="array" ref="S155">TRANSPOSE(_xlfn.UNIQUE(_xlfn._xlws.FILTER(T_ASIGNATURA1[NOM_ASIG],(T_ASIGNATURA1[ID_NIVEL]=ASIGNACION!$C155)*(T_ASIGNATURA1[ID_CARRERA]=ASIGNACION!$A155),"No existe información")))</f>
        <v>No existe información</v>
      </c>
      <c r="BQ155" s="1" t="str" cm="1">
        <f t="array" ref="BQ155">IFERROR(
    TRANSPOSE(
        _xlfn.UNIQUE(
            _xlfn._xlws.FILTER(
                Tabla1_1[MAESTRIA],
                ISNUMBER(MATCH(Tabla1_1[CAMPO_DETALLADO],BD156:BP156,0))
            )
        )
    ),
"")</f>
        <v/>
      </c>
      <c r="EA155" t="str" cm="1">
        <f t="array" ref="EA155">IFERROR(
    TRANSPOSE(
        _xlfn.UNIQUE(
            _xlfn._xlws.FILTER(
                Tabla1__2[NOMBRE_DOCENTE],
                ISNUMBER(MATCH(Tabla1__2[MAESTRIA],BQ155:DY155,0))
            )
        )
    ),
"")</f>
        <v/>
      </c>
    </row>
    <row r="156" spans="1:131" ht="20.25" customHeight="1">
      <c r="A156" t="str" cm="1">
        <f t="array" ref="A156">TRANSPOSE(_xlfn.UNIQUE(_xlfn._xlws.FILTER(T_ASIGNATURA1[ID_NIVEL],T_ASIGNATURA1[ID_CARRERA]=ASIGNACION!$A156,"No existe información")))</f>
        <v>No existe información</v>
      </c>
      <c r="S156" t="str" cm="1">
        <f t="array" ref="S156">TRANSPOSE(_xlfn.UNIQUE(_xlfn._xlws.FILTER(T_ASIGNATURA1[NOM_ASIG],(T_ASIGNATURA1[ID_NIVEL]=ASIGNACION!$C156)*(T_ASIGNATURA1[ID_CARRERA]=ASIGNACION!$A156),"No existe información")))</f>
        <v>No existe información</v>
      </c>
      <c r="BQ156" s="1" t="str" cm="1">
        <f t="array" ref="BQ156">IFERROR(
    TRANSPOSE(
        _xlfn.UNIQUE(
            _xlfn._xlws.FILTER(
                Tabla1_1[MAESTRIA],
                ISNUMBER(MATCH(Tabla1_1[CAMPO_DETALLADO],BD157:BP157,0))
            )
        )
    ),
"")</f>
        <v/>
      </c>
      <c r="EA156" t="str" cm="1">
        <f t="array" ref="EA156">IFERROR(
    TRANSPOSE(
        _xlfn.UNIQUE(
            _xlfn._xlws.FILTER(
                Tabla1__2[NOMBRE_DOCENTE],
                ISNUMBER(MATCH(Tabla1__2[MAESTRIA],BQ156:DY156,0))
            )
        )
    ),
"")</f>
        <v/>
      </c>
    </row>
    <row r="157" spans="1:131" ht="20.25" customHeight="1">
      <c r="A157" t="str" cm="1">
        <f t="array" ref="A157">TRANSPOSE(_xlfn.UNIQUE(_xlfn._xlws.FILTER(T_ASIGNATURA1[ID_NIVEL],T_ASIGNATURA1[ID_CARRERA]=ASIGNACION!$A157,"No existe información")))</f>
        <v>No existe información</v>
      </c>
      <c r="S157" t="str" cm="1">
        <f t="array" ref="S157">TRANSPOSE(_xlfn.UNIQUE(_xlfn._xlws.FILTER(T_ASIGNATURA1[NOM_ASIG],(T_ASIGNATURA1[ID_NIVEL]=ASIGNACION!$C157)*(T_ASIGNATURA1[ID_CARRERA]=ASIGNACION!$A157),"No existe información")))</f>
        <v>No existe información</v>
      </c>
      <c r="BQ157" s="1" t="str" cm="1">
        <f t="array" ref="BQ157">IFERROR(
    TRANSPOSE(
        _xlfn.UNIQUE(
            _xlfn._xlws.FILTER(
                Tabla1_1[MAESTRIA],
                ISNUMBER(MATCH(Tabla1_1[CAMPO_DETALLADO],BD158:BP158,0))
            )
        )
    ),
"")</f>
        <v/>
      </c>
      <c r="EA157" t="str" cm="1">
        <f t="array" ref="EA157">IFERROR(
    TRANSPOSE(
        _xlfn.UNIQUE(
            _xlfn._xlws.FILTER(
                Tabla1__2[NOMBRE_DOCENTE],
                ISNUMBER(MATCH(Tabla1__2[MAESTRIA],BQ157:DY157,0))
            )
        )
    ),
"")</f>
        <v/>
      </c>
    </row>
    <row r="158" spans="1:131" ht="20.25" customHeight="1">
      <c r="A158" t="str" cm="1">
        <f t="array" ref="A158">TRANSPOSE(_xlfn.UNIQUE(_xlfn._xlws.FILTER(T_ASIGNATURA1[ID_NIVEL],T_ASIGNATURA1[ID_CARRERA]=ASIGNACION!$A158,"No existe información")))</f>
        <v>No existe información</v>
      </c>
      <c r="S158" t="str" cm="1">
        <f t="array" ref="S158">TRANSPOSE(_xlfn.UNIQUE(_xlfn._xlws.FILTER(T_ASIGNATURA1[NOM_ASIG],(T_ASIGNATURA1[ID_NIVEL]=ASIGNACION!$C158)*(T_ASIGNATURA1[ID_CARRERA]=ASIGNACION!$A158),"No existe información")))</f>
        <v>No existe información</v>
      </c>
      <c r="BQ158" s="1" t="str" cm="1">
        <f t="array" ref="BQ158">IFERROR(
    TRANSPOSE(
        _xlfn.UNIQUE(
            _xlfn._xlws.FILTER(
                Tabla1_1[MAESTRIA],
                ISNUMBER(MATCH(Tabla1_1[CAMPO_DETALLADO],BD159:BP159,0))
            )
        )
    ),
"")</f>
        <v/>
      </c>
      <c r="EA158" t="str" cm="1">
        <f t="array" ref="EA158">IFERROR(
    TRANSPOSE(
        _xlfn.UNIQUE(
            _xlfn._xlws.FILTER(
                Tabla1__2[NOMBRE_DOCENTE],
                ISNUMBER(MATCH(Tabla1__2[MAESTRIA],BQ158:DY158,0))
            )
        )
    ),
"")</f>
        <v/>
      </c>
    </row>
    <row r="159" spans="1:131" ht="20.25" customHeight="1">
      <c r="A159" t="str" cm="1">
        <f t="array" ref="A159">TRANSPOSE(_xlfn.UNIQUE(_xlfn._xlws.FILTER(T_ASIGNATURA1[ID_NIVEL],T_ASIGNATURA1[ID_CARRERA]=ASIGNACION!$A159,"No existe información")))</f>
        <v>No existe información</v>
      </c>
      <c r="S159" t="str" cm="1">
        <f t="array" ref="S159">TRANSPOSE(_xlfn.UNIQUE(_xlfn._xlws.FILTER(T_ASIGNATURA1[NOM_ASIG],(T_ASIGNATURA1[ID_NIVEL]=ASIGNACION!$C159)*(T_ASIGNATURA1[ID_CARRERA]=ASIGNACION!$A159),"No existe información")))</f>
        <v>No existe información</v>
      </c>
      <c r="BQ159" s="1" t="str" cm="1">
        <f t="array" ref="BQ159">IFERROR(
    TRANSPOSE(
        _xlfn.UNIQUE(
            _xlfn._xlws.FILTER(
                Tabla1_1[MAESTRIA],
                ISNUMBER(MATCH(Tabla1_1[CAMPO_DETALLADO],BD160:BP160,0))
            )
        )
    ),
"")</f>
        <v/>
      </c>
      <c r="EA159" t="str" cm="1">
        <f t="array" ref="EA159">IFERROR(
    TRANSPOSE(
        _xlfn.UNIQUE(
            _xlfn._xlws.FILTER(
                Tabla1__2[NOMBRE_DOCENTE],
                ISNUMBER(MATCH(Tabla1__2[MAESTRIA],BQ159:DY159,0))
            )
        )
    ),
"")</f>
        <v/>
      </c>
    </row>
    <row r="160" spans="1:131" ht="20.25" customHeight="1">
      <c r="A160" t="str" cm="1">
        <f t="array" ref="A160">TRANSPOSE(_xlfn.UNIQUE(_xlfn._xlws.FILTER(T_ASIGNATURA1[ID_NIVEL],T_ASIGNATURA1[ID_CARRERA]=ASIGNACION!$A160,"No existe información")))</f>
        <v>No existe información</v>
      </c>
      <c r="S160" t="str" cm="1">
        <f t="array" ref="S160">TRANSPOSE(_xlfn.UNIQUE(_xlfn._xlws.FILTER(T_ASIGNATURA1[NOM_ASIG],(T_ASIGNATURA1[ID_NIVEL]=ASIGNACION!$C160)*(T_ASIGNATURA1[ID_CARRERA]=ASIGNACION!$A160),"No existe información")))</f>
        <v>No existe información</v>
      </c>
      <c r="BQ160" s="1" t="str" cm="1">
        <f t="array" ref="BQ160">IFERROR(
    TRANSPOSE(
        _xlfn.UNIQUE(
            _xlfn._xlws.FILTER(
                Tabla1_1[MAESTRIA],
                ISNUMBER(MATCH(Tabla1_1[CAMPO_DETALLADO],BD161:BP161,0))
            )
        )
    ),
"")</f>
        <v/>
      </c>
      <c r="EA160" t="str" cm="1">
        <f t="array" ref="EA160">IFERROR(
    TRANSPOSE(
        _xlfn.UNIQUE(
            _xlfn._xlws.FILTER(
                Tabla1__2[NOMBRE_DOCENTE],
                ISNUMBER(MATCH(Tabla1__2[MAESTRIA],BQ160:DY160,0))
            )
        )
    ),
"")</f>
        <v/>
      </c>
    </row>
    <row r="161" spans="1:131" ht="20.25" customHeight="1">
      <c r="A161" t="str" cm="1">
        <f t="array" ref="A161">TRANSPOSE(_xlfn.UNIQUE(_xlfn._xlws.FILTER(T_ASIGNATURA1[ID_NIVEL],T_ASIGNATURA1[ID_CARRERA]=ASIGNACION!$A161,"No existe información")))</f>
        <v>No existe información</v>
      </c>
      <c r="S161" t="str" cm="1">
        <f t="array" ref="S161">TRANSPOSE(_xlfn.UNIQUE(_xlfn._xlws.FILTER(T_ASIGNATURA1[NOM_ASIG],(T_ASIGNATURA1[ID_NIVEL]=ASIGNACION!$C161)*(T_ASIGNATURA1[ID_CARRERA]=ASIGNACION!$A161),"No existe información")))</f>
        <v>No existe información</v>
      </c>
      <c r="BQ161" s="1" t="str" cm="1">
        <f t="array" ref="BQ161">IFERROR(
    TRANSPOSE(
        _xlfn.UNIQUE(
            _xlfn._xlws.FILTER(
                Tabla1_1[MAESTRIA],
                ISNUMBER(MATCH(Tabla1_1[CAMPO_DETALLADO],BD162:BP162,0))
            )
        )
    ),
"")</f>
        <v/>
      </c>
      <c r="EA161" t="str" cm="1">
        <f t="array" ref="EA161">IFERROR(
    TRANSPOSE(
        _xlfn.UNIQUE(
            _xlfn._xlws.FILTER(
                Tabla1__2[NOMBRE_DOCENTE],
                ISNUMBER(MATCH(Tabla1__2[MAESTRIA],BQ161:DY161,0))
            )
        )
    ),
"")</f>
        <v/>
      </c>
    </row>
    <row r="162" spans="1:131" ht="20.25" customHeight="1">
      <c r="A162" t="str" cm="1">
        <f t="array" ref="A162">TRANSPOSE(_xlfn.UNIQUE(_xlfn._xlws.FILTER(T_ASIGNATURA1[ID_NIVEL],T_ASIGNATURA1[ID_CARRERA]=ASIGNACION!$A162,"No existe información")))</f>
        <v>No existe información</v>
      </c>
      <c r="S162" t="str" cm="1">
        <f t="array" ref="S162">TRANSPOSE(_xlfn.UNIQUE(_xlfn._xlws.FILTER(T_ASIGNATURA1[NOM_ASIG],(T_ASIGNATURA1[ID_NIVEL]=ASIGNACION!$C162)*(T_ASIGNATURA1[ID_CARRERA]=ASIGNACION!$A162),"No existe información")))</f>
        <v>No existe información</v>
      </c>
      <c r="BQ162" s="1" t="str" cm="1">
        <f t="array" ref="BQ162">IFERROR(
    TRANSPOSE(
        _xlfn.UNIQUE(
            _xlfn._xlws.FILTER(
                Tabla1_1[MAESTRIA],
                ISNUMBER(MATCH(Tabla1_1[CAMPO_DETALLADO],BD163:BP163,0))
            )
        )
    ),
"")</f>
        <v/>
      </c>
      <c r="EA162" t="str" cm="1">
        <f t="array" ref="EA162">IFERROR(
    TRANSPOSE(
        _xlfn.UNIQUE(
            _xlfn._xlws.FILTER(
                Tabla1__2[NOMBRE_DOCENTE],
                ISNUMBER(MATCH(Tabla1__2[MAESTRIA],BQ162:DY162,0))
            )
        )
    ),
"")</f>
        <v/>
      </c>
    </row>
    <row r="163" spans="1:131" ht="20.25" customHeight="1">
      <c r="A163" t="str" cm="1">
        <f t="array" ref="A163">TRANSPOSE(_xlfn.UNIQUE(_xlfn._xlws.FILTER(T_ASIGNATURA1[ID_NIVEL],T_ASIGNATURA1[ID_CARRERA]=ASIGNACION!$A163,"No existe información")))</f>
        <v>No existe información</v>
      </c>
      <c r="S163" t="str" cm="1">
        <f t="array" ref="S163">TRANSPOSE(_xlfn.UNIQUE(_xlfn._xlws.FILTER(T_ASIGNATURA1[NOM_ASIG],(T_ASIGNATURA1[ID_NIVEL]=ASIGNACION!$C163)*(T_ASIGNATURA1[ID_CARRERA]=ASIGNACION!$A163),"No existe información")))</f>
        <v>No existe información</v>
      </c>
      <c r="BQ163" s="1" t="str" cm="1">
        <f t="array" ref="BQ163">IFERROR(
    TRANSPOSE(
        _xlfn.UNIQUE(
            _xlfn._xlws.FILTER(
                Tabla1_1[MAESTRIA],
                ISNUMBER(MATCH(Tabla1_1[CAMPO_DETALLADO],BD164:BP164,0))
            )
        )
    ),
"")</f>
        <v/>
      </c>
      <c r="EA163" t="str" cm="1">
        <f t="array" ref="EA163">IFERROR(
    TRANSPOSE(
        _xlfn.UNIQUE(
            _xlfn._xlws.FILTER(
                Tabla1__2[NOMBRE_DOCENTE],
                ISNUMBER(MATCH(Tabla1__2[MAESTRIA],BQ163:DY163,0))
            )
        )
    ),
"")</f>
        <v/>
      </c>
    </row>
    <row r="164" spans="1:131" ht="20.25" customHeight="1">
      <c r="A164" t="str" cm="1">
        <f t="array" ref="A164">TRANSPOSE(_xlfn.UNIQUE(_xlfn._xlws.FILTER(T_ASIGNATURA1[ID_NIVEL],T_ASIGNATURA1[ID_CARRERA]=ASIGNACION!$A164,"No existe información")))</f>
        <v>No existe información</v>
      </c>
      <c r="S164" t="str" cm="1">
        <f t="array" ref="S164">TRANSPOSE(_xlfn.UNIQUE(_xlfn._xlws.FILTER(T_ASIGNATURA1[NOM_ASIG],(T_ASIGNATURA1[ID_NIVEL]=ASIGNACION!$C164)*(T_ASIGNATURA1[ID_CARRERA]=ASIGNACION!$A164),"No existe información")))</f>
        <v>No existe información</v>
      </c>
      <c r="BQ164" s="1" t="str" cm="1">
        <f t="array" ref="BQ164">IFERROR(
    TRANSPOSE(
        _xlfn.UNIQUE(
            _xlfn._xlws.FILTER(
                Tabla1_1[MAESTRIA],
                ISNUMBER(MATCH(Tabla1_1[CAMPO_DETALLADO],BD165:BP165,0))
            )
        )
    ),
"")</f>
        <v/>
      </c>
      <c r="EA164" t="str" cm="1">
        <f t="array" ref="EA164">IFERROR(
    TRANSPOSE(
        _xlfn.UNIQUE(
            _xlfn._xlws.FILTER(
                Tabla1__2[NOMBRE_DOCENTE],
                ISNUMBER(MATCH(Tabla1__2[MAESTRIA],BQ164:DY164,0))
            )
        )
    ),
"")</f>
        <v/>
      </c>
    </row>
    <row r="165" spans="1:131" ht="20.25" customHeight="1">
      <c r="A165" t="str" cm="1">
        <f t="array" ref="A165">TRANSPOSE(_xlfn.UNIQUE(_xlfn._xlws.FILTER(T_ASIGNATURA1[ID_NIVEL],T_ASIGNATURA1[ID_CARRERA]=ASIGNACION!$A165,"No existe información")))</f>
        <v>No existe información</v>
      </c>
      <c r="S165" t="str" cm="1">
        <f t="array" ref="S165">TRANSPOSE(_xlfn.UNIQUE(_xlfn._xlws.FILTER(T_ASIGNATURA1[NOM_ASIG],(T_ASIGNATURA1[ID_NIVEL]=ASIGNACION!$C165)*(T_ASIGNATURA1[ID_CARRERA]=ASIGNACION!$A165),"No existe información")))</f>
        <v>No existe información</v>
      </c>
      <c r="BQ165" s="1" t="str" cm="1">
        <f t="array" ref="BQ165">IFERROR(
    TRANSPOSE(
        _xlfn.UNIQUE(
            _xlfn._xlws.FILTER(
                Tabla1_1[MAESTRIA],
                ISNUMBER(MATCH(Tabla1_1[CAMPO_DETALLADO],BD166:BP166,0))
            )
        )
    ),
"")</f>
        <v/>
      </c>
      <c r="EA165" t="str" cm="1">
        <f t="array" ref="EA165">IFERROR(
    TRANSPOSE(
        _xlfn.UNIQUE(
            _xlfn._xlws.FILTER(
                Tabla1__2[NOMBRE_DOCENTE],
                ISNUMBER(MATCH(Tabla1__2[MAESTRIA],BQ165:DY165,0))
            )
        )
    ),
"")</f>
        <v/>
      </c>
    </row>
    <row r="166" spans="1:131" ht="20.25" customHeight="1">
      <c r="A166" t="str" cm="1">
        <f t="array" ref="A166">TRANSPOSE(_xlfn.UNIQUE(_xlfn._xlws.FILTER(T_ASIGNATURA1[ID_NIVEL],T_ASIGNATURA1[ID_CARRERA]=ASIGNACION!$A166,"No existe información")))</f>
        <v>No existe información</v>
      </c>
      <c r="S166" t="str" cm="1">
        <f t="array" ref="S166">TRANSPOSE(_xlfn.UNIQUE(_xlfn._xlws.FILTER(T_ASIGNATURA1[NOM_ASIG],(T_ASIGNATURA1[ID_NIVEL]=ASIGNACION!$C166)*(T_ASIGNATURA1[ID_CARRERA]=ASIGNACION!$A166),"No existe información")))</f>
        <v>No existe información</v>
      </c>
      <c r="BQ166" s="1" t="str" cm="1">
        <f t="array" ref="BQ166">IFERROR(
    TRANSPOSE(
        _xlfn.UNIQUE(
            _xlfn._xlws.FILTER(
                Tabla1_1[MAESTRIA],
                ISNUMBER(MATCH(Tabla1_1[CAMPO_DETALLADO],BD167:BP167,0))
            )
        )
    ),
"")</f>
        <v/>
      </c>
      <c r="EA166" t="str" cm="1">
        <f t="array" ref="EA166">IFERROR(
    TRANSPOSE(
        _xlfn.UNIQUE(
            _xlfn._xlws.FILTER(
                Tabla1__2[NOMBRE_DOCENTE],
                ISNUMBER(MATCH(Tabla1__2[MAESTRIA],BQ166:DY166,0))
            )
        )
    ),
"")</f>
        <v/>
      </c>
    </row>
    <row r="167" spans="1:131" ht="20.25" customHeight="1">
      <c r="A167" t="str" cm="1">
        <f t="array" ref="A167">TRANSPOSE(_xlfn.UNIQUE(_xlfn._xlws.FILTER(T_ASIGNATURA1[ID_NIVEL],T_ASIGNATURA1[ID_CARRERA]=ASIGNACION!$A167,"No existe información")))</f>
        <v>No existe información</v>
      </c>
      <c r="S167" t="str" cm="1">
        <f t="array" ref="S167">TRANSPOSE(_xlfn.UNIQUE(_xlfn._xlws.FILTER(T_ASIGNATURA1[NOM_ASIG],(T_ASIGNATURA1[ID_NIVEL]=ASIGNACION!$C167)*(T_ASIGNATURA1[ID_CARRERA]=ASIGNACION!$A167),"No existe información")))</f>
        <v>No existe información</v>
      </c>
      <c r="BQ167" s="1" t="str" cm="1">
        <f t="array" ref="BQ167">IFERROR(
    TRANSPOSE(
        _xlfn.UNIQUE(
            _xlfn._xlws.FILTER(
                Tabla1_1[MAESTRIA],
                ISNUMBER(MATCH(Tabla1_1[CAMPO_DETALLADO],BD168:BP168,0))
            )
        )
    ),
"")</f>
        <v/>
      </c>
      <c r="EA167" t="str" cm="1">
        <f t="array" ref="EA167">IFERROR(
    TRANSPOSE(
        _xlfn.UNIQUE(
            _xlfn._xlws.FILTER(
                Tabla1__2[NOMBRE_DOCENTE],
                ISNUMBER(MATCH(Tabla1__2[MAESTRIA],BQ167:DY167,0))
            )
        )
    ),
"")</f>
        <v/>
      </c>
    </row>
    <row r="168" spans="1:131" ht="20.25" customHeight="1">
      <c r="A168" t="str" cm="1">
        <f t="array" ref="A168">TRANSPOSE(_xlfn.UNIQUE(_xlfn._xlws.FILTER(T_ASIGNATURA1[ID_NIVEL],T_ASIGNATURA1[ID_CARRERA]=ASIGNACION!$A168,"No existe información")))</f>
        <v>No existe información</v>
      </c>
      <c r="S168" t="str" cm="1">
        <f t="array" ref="S168">TRANSPOSE(_xlfn.UNIQUE(_xlfn._xlws.FILTER(T_ASIGNATURA1[NOM_ASIG],(T_ASIGNATURA1[ID_NIVEL]=ASIGNACION!$C168)*(T_ASIGNATURA1[ID_CARRERA]=ASIGNACION!$A168),"No existe información")))</f>
        <v>No existe información</v>
      </c>
      <c r="BQ168" s="1" t="str" cm="1">
        <f t="array" ref="BQ168">IFERROR(
    TRANSPOSE(
        _xlfn.UNIQUE(
            _xlfn._xlws.FILTER(
                Tabla1_1[MAESTRIA],
                ISNUMBER(MATCH(Tabla1_1[CAMPO_DETALLADO],BD169:BP169,0))
            )
        )
    ),
"")</f>
        <v/>
      </c>
      <c r="EA168" t="str" cm="1">
        <f t="array" ref="EA168">IFERROR(
    TRANSPOSE(
        _xlfn.UNIQUE(
            _xlfn._xlws.FILTER(
                Tabla1__2[NOMBRE_DOCENTE],
                ISNUMBER(MATCH(Tabla1__2[MAESTRIA],BQ168:DY168,0))
            )
        )
    ),
"")</f>
        <v/>
      </c>
    </row>
    <row r="169" spans="1:131" ht="20.25" customHeight="1">
      <c r="A169" t="str" cm="1">
        <f t="array" ref="A169">TRANSPOSE(_xlfn.UNIQUE(_xlfn._xlws.FILTER(T_ASIGNATURA1[ID_NIVEL],T_ASIGNATURA1[ID_CARRERA]=ASIGNACION!$A169,"No existe información")))</f>
        <v>No existe información</v>
      </c>
      <c r="S169" t="str" cm="1">
        <f t="array" ref="S169">TRANSPOSE(_xlfn.UNIQUE(_xlfn._xlws.FILTER(T_ASIGNATURA1[NOM_ASIG],(T_ASIGNATURA1[ID_NIVEL]=ASIGNACION!$C169)*(T_ASIGNATURA1[ID_CARRERA]=ASIGNACION!$A169),"No existe información")))</f>
        <v>No existe información</v>
      </c>
      <c r="BQ169" s="1" t="str" cm="1">
        <f t="array" ref="BQ169">IFERROR(
    TRANSPOSE(
        _xlfn.UNIQUE(
            _xlfn._xlws.FILTER(
                Tabla1_1[MAESTRIA],
                ISNUMBER(MATCH(Tabla1_1[CAMPO_DETALLADO],BD170:BP170,0))
            )
        )
    ),
"")</f>
        <v/>
      </c>
      <c r="EA169" t="str" cm="1">
        <f t="array" ref="EA169">IFERROR(
    TRANSPOSE(
        _xlfn.UNIQUE(
            _xlfn._xlws.FILTER(
                Tabla1__2[NOMBRE_DOCENTE],
                ISNUMBER(MATCH(Tabla1__2[MAESTRIA],BQ169:DY169,0))
            )
        )
    ),
"")</f>
        <v/>
      </c>
    </row>
    <row r="170" spans="1:131" ht="20.25" customHeight="1">
      <c r="A170" t="str" cm="1">
        <f t="array" ref="A170">TRANSPOSE(_xlfn.UNIQUE(_xlfn._xlws.FILTER(T_ASIGNATURA1[ID_NIVEL],T_ASIGNATURA1[ID_CARRERA]=ASIGNACION!$A170,"No existe información")))</f>
        <v>No existe información</v>
      </c>
      <c r="S170" t="str" cm="1">
        <f t="array" ref="S170">TRANSPOSE(_xlfn.UNIQUE(_xlfn._xlws.FILTER(T_ASIGNATURA1[NOM_ASIG],(T_ASIGNATURA1[ID_NIVEL]=ASIGNACION!$C170)*(T_ASIGNATURA1[ID_CARRERA]=ASIGNACION!$A170),"No existe información")))</f>
        <v>No existe información</v>
      </c>
      <c r="BQ170" s="1" t="str" cm="1">
        <f t="array" ref="BQ170">IFERROR(
    TRANSPOSE(
        _xlfn.UNIQUE(
            _xlfn._xlws.FILTER(
                Tabla1_1[MAESTRIA],
                ISNUMBER(MATCH(Tabla1_1[CAMPO_DETALLADO],BD171:BP171,0))
            )
        )
    ),
"")</f>
        <v/>
      </c>
      <c r="EA170" t="str" cm="1">
        <f t="array" ref="EA170">IFERROR(
    TRANSPOSE(
        _xlfn.UNIQUE(
            _xlfn._xlws.FILTER(
                Tabla1__2[NOMBRE_DOCENTE],
                ISNUMBER(MATCH(Tabla1__2[MAESTRIA],BQ170:DY170,0))
            )
        )
    ),
"")</f>
        <v/>
      </c>
    </row>
    <row r="171" spans="1:131" ht="20.25" customHeight="1">
      <c r="A171" t="str" cm="1">
        <f t="array" ref="A171">TRANSPOSE(_xlfn.UNIQUE(_xlfn._xlws.FILTER(T_ASIGNATURA1[ID_NIVEL],T_ASIGNATURA1[ID_CARRERA]=ASIGNACION!$A171,"No existe información")))</f>
        <v>No existe información</v>
      </c>
      <c r="S171" t="str" cm="1">
        <f t="array" ref="S171">TRANSPOSE(_xlfn.UNIQUE(_xlfn._xlws.FILTER(T_ASIGNATURA1[NOM_ASIG],(T_ASIGNATURA1[ID_NIVEL]=ASIGNACION!$C171)*(T_ASIGNATURA1[ID_CARRERA]=ASIGNACION!$A171),"No existe información")))</f>
        <v>No existe información</v>
      </c>
      <c r="BQ171" s="1" t="str" cm="1">
        <f t="array" ref="BQ171">IFERROR(
    TRANSPOSE(
        _xlfn.UNIQUE(
            _xlfn._xlws.FILTER(
                Tabla1_1[MAESTRIA],
                ISNUMBER(MATCH(Tabla1_1[CAMPO_DETALLADO],BD172:BP172,0))
            )
        )
    ),
"")</f>
        <v/>
      </c>
      <c r="EA171" t="str" cm="1">
        <f t="array" ref="EA171">IFERROR(
    TRANSPOSE(
        _xlfn.UNIQUE(
            _xlfn._xlws.FILTER(
                Tabla1__2[NOMBRE_DOCENTE],
                ISNUMBER(MATCH(Tabla1__2[MAESTRIA],BQ171:DY171,0))
            )
        )
    ),
"")</f>
        <v/>
      </c>
    </row>
    <row r="172" spans="1:131" ht="20.25" customHeight="1">
      <c r="A172" t="str" cm="1">
        <f t="array" ref="A172">TRANSPOSE(_xlfn.UNIQUE(_xlfn._xlws.FILTER(T_ASIGNATURA1[ID_NIVEL],T_ASIGNATURA1[ID_CARRERA]=ASIGNACION!$A172,"No existe información")))</f>
        <v>No existe información</v>
      </c>
      <c r="S172" t="str" cm="1">
        <f t="array" ref="S172">TRANSPOSE(_xlfn.UNIQUE(_xlfn._xlws.FILTER(T_ASIGNATURA1[NOM_ASIG],(T_ASIGNATURA1[ID_NIVEL]=ASIGNACION!$C172)*(T_ASIGNATURA1[ID_CARRERA]=ASIGNACION!$A172),"No existe información")))</f>
        <v>No existe información</v>
      </c>
      <c r="BQ172" s="1" t="str" cm="1">
        <f t="array" ref="BQ172">IFERROR(
    TRANSPOSE(
        _xlfn.UNIQUE(
            _xlfn._xlws.FILTER(
                Tabla1_1[MAESTRIA],
                ISNUMBER(MATCH(Tabla1_1[CAMPO_DETALLADO],BD173:BP173,0))
            )
        )
    ),
"")</f>
        <v/>
      </c>
      <c r="EA172" t="str" cm="1">
        <f t="array" ref="EA172">IFERROR(
    TRANSPOSE(
        _xlfn.UNIQUE(
            _xlfn._xlws.FILTER(
                Tabla1__2[NOMBRE_DOCENTE],
                ISNUMBER(MATCH(Tabla1__2[MAESTRIA],BQ172:DY172,0))
            )
        )
    ),
"")</f>
        <v/>
      </c>
    </row>
    <row r="173" spans="1:131" ht="20.25" customHeight="1">
      <c r="A173" t="str" cm="1">
        <f t="array" ref="A173">TRANSPOSE(_xlfn.UNIQUE(_xlfn._xlws.FILTER(T_ASIGNATURA1[ID_NIVEL],T_ASIGNATURA1[ID_CARRERA]=ASIGNACION!$A173,"No existe información")))</f>
        <v>No existe información</v>
      </c>
      <c r="S173" t="str" cm="1">
        <f t="array" ref="S173">TRANSPOSE(_xlfn.UNIQUE(_xlfn._xlws.FILTER(T_ASIGNATURA1[NOM_ASIG],(T_ASIGNATURA1[ID_NIVEL]=ASIGNACION!$C173)*(T_ASIGNATURA1[ID_CARRERA]=ASIGNACION!$A173),"No existe información")))</f>
        <v>No existe información</v>
      </c>
      <c r="BQ173" s="1" t="str" cm="1">
        <f t="array" ref="BQ173">IFERROR(
    TRANSPOSE(
        _xlfn.UNIQUE(
            _xlfn._xlws.FILTER(
                Tabla1_1[MAESTRIA],
                ISNUMBER(MATCH(Tabla1_1[CAMPO_DETALLADO],BD174:BP174,0))
            )
        )
    ),
"")</f>
        <v/>
      </c>
      <c r="EA173" t="str" cm="1">
        <f t="array" ref="EA173">IFERROR(
    TRANSPOSE(
        _xlfn.UNIQUE(
            _xlfn._xlws.FILTER(
                Tabla1__2[NOMBRE_DOCENTE],
                ISNUMBER(MATCH(Tabla1__2[MAESTRIA],BQ173:DY173,0))
            )
        )
    ),
"")</f>
        <v/>
      </c>
    </row>
    <row r="174" spans="1:131" ht="20.25" customHeight="1">
      <c r="A174" t="str" cm="1">
        <f t="array" ref="A174">TRANSPOSE(_xlfn.UNIQUE(_xlfn._xlws.FILTER(T_ASIGNATURA1[ID_NIVEL],T_ASIGNATURA1[ID_CARRERA]=ASIGNACION!$A174,"No existe información")))</f>
        <v>No existe información</v>
      </c>
      <c r="S174" t="str" cm="1">
        <f t="array" ref="S174">TRANSPOSE(_xlfn.UNIQUE(_xlfn._xlws.FILTER(T_ASIGNATURA1[NOM_ASIG],(T_ASIGNATURA1[ID_NIVEL]=ASIGNACION!$C174)*(T_ASIGNATURA1[ID_CARRERA]=ASIGNACION!$A174),"No existe información")))</f>
        <v>No existe información</v>
      </c>
      <c r="BQ174" s="1" t="str" cm="1">
        <f t="array" ref="BQ174">IFERROR(
    TRANSPOSE(
        _xlfn.UNIQUE(
            _xlfn._xlws.FILTER(
                Tabla1_1[MAESTRIA],
                ISNUMBER(MATCH(Tabla1_1[CAMPO_DETALLADO],BD175:BP175,0))
            )
        )
    ),
"")</f>
        <v/>
      </c>
      <c r="EA174" t="str" cm="1">
        <f t="array" ref="EA174">IFERROR(
    TRANSPOSE(
        _xlfn.UNIQUE(
            _xlfn._xlws.FILTER(
                Tabla1__2[NOMBRE_DOCENTE],
                ISNUMBER(MATCH(Tabla1__2[MAESTRIA],BQ174:DY174,0))
            )
        )
    ),
"")</f>
        <v/>
      </c>
    </row>
    <row r="175" spans="1:131" ht="20.25" customHeight="1">
      <c r="A175" t="str" cm="1">
        <f t="array" ref="A175">TRANSPOSE(_xlfn.UNIQUE(_xlfn._xlws.FILTER(T_ASIGNATURA1[ID_NIVEL],T_ASIGNATURA1[ID_CARRERA]=ASIGNACION!$A175,"No existe información")))</f>
        <v>No existe información</v>
      </c>
      <c r="S175" t="str" cm="1">
        <f t="array" ref="S175">TRANSPOSE(_xlfn.UNIQUE(_xlfn._xlws.FILTER(T_ASIGNATURA1[NOM_ASIG],(T_ASIGNATURA1[ID_NIVEL]=ASIGNACION!$C175)*(T_ASIGNATURA1[ID_CARRERA]=ASIGNACION!$A175),"No existe información")))</f>
        <v>No existe información</v>
      </c>
      <c r="BQ175" s="1" t="str" cm="1">
        <f t="array" ref="BQ175">IFERROR(
    TRANSPOSE(
        _xlfn.UNIQUE(
            _xlfn._xlws.FILTER(
                Tabla1_1[MAESTRIA],
                ISNUMBER(MATCH(Tabla1_1[CAMPO_DETALLADO],BD176:BP176,0))
            )
        )
    ),
"")</f>
        <v/>
      </c>
      <c r="EA175" t="str" cm="1">
        <f t="array" ref="EA175">IFERROR(
    TRANSPOSE(
        _xlfn.UNIQUE(
            _xlfn._xlws.FILTER(
                Tabla1__2[NOMBRE_DOCENTE],
                ISNUMBER(MATCH(Tabla1__2[MAESTRIA],BQ175:DY175,0))
            )
        )
    ),
"")</f>
        <v/>
      </c>
    </row>
    <row r="176" spans="1:131" ht="20.25" customHeight="1">
      <c r="A176" t="str" cm="1">
        <f t="array" ref="A176">TRANSPOSE(_xlfn.UNIQUE(_xlfn._xlws.FILTER(T_ASIGNATURA1[ID_NIVEL],T_ASIGNATURA1[ID_CARRERA]=ASIGNACION!$A176,"No existe información")))</f>
        <v>No existe información</v>
      </c>
      <c r="S176" t="str" cm="1">
        <f t="array" ref="S176">TRANSPOSE(_xlfn.UNIQUE(_xlfn._xlws.FILTER(T_ASIGNATURA1[NOM_ASIG],(T_ASIGNATURA1[ID_NIVEL]=ASIGNACION!$C176)*(T_ASIGNATURA1[ID_CARRERA]=ASIGNACION!$A176),"No existe información")))</f>
        <v>No existe información</v>
      </c>
      <c r="BQ176" s="1" t="str" cm="1">
        <f t="array" ref="BQ176">IFERROR(
    TRANSPOSE(
        _xlfn.UNIQUE(
            _xlfn._xlws.FILTER(
                Tabla1_1[MAESTRIA],
                ISNUMBER(MATCH(Tabla1_1[CAMPO_DETALLADO],BD177:BP177,0))
            )
        )
    ),
"")</f>
        <v/>
      </c>
      <c r="EA176" t="str" cm="1">
        <f t="array" ref="EA176">IFERROR(
    TRANSPOSE(
        _xlfn.UNIQUE(
            _xlfn._xlws.FILTER(
                Tabla1__2[NOMBRE_DOCENTE],
                ISNUMBER(MATCH(Tabla1__2[MAESTRIA],BQ176:DY176,0))
            )
        )
    ),
"")</f>
        <v/>
      </c>
    </row>
    <row r="177" spans="1:131" ht="20.25" customHeight="1">
      <c r="A177" t="str" cm="1">
        <f t="array" ref="A177">TRANSPOSE(_xlfn.UNIQUE(_xlfn._xlws.FILTER(T_ASIGNATURA1[ID_NIVEL],T_ASIGNATURA1[ID_CARRERA]=ASIGNACION!$A177,"No existe información")))</f>
        <v>No existe información</v>
      </c>
      <c r="S177" t="str" cm="1">
        <f t="array" ref="S177">TRANSPOSE(_xlfn.UNIQUE(_xlfn._xlws.FILTER(T_ASIGNATURA1[NOM_ASIG],(T_ASIGNATURA1[ID_NIVEL]=ASIGNACION!$C177)*(T_ASIGNATURA1[ID_CARRERA]=ASIGNACION!$A177),"No existe información")))</f>
        <v>No existe información</v>
      </c>
      <c r="BQ177" s="1" t="str" cm="1">
        <f t="array" ref="BQ177">IFERROR(
    TRANSPOSE(
        _xlfn.UNIQUE(
            _xlfn._xlws.FILTER(
                Tabla1_1[MAESTRIA],
                ISNUMBER(MATCH(Tabla1_1[CAMPO_DETALLADO],BD178:BP178,0))
            )
        )
    ),
"")</f>
        <v/>
      </c>
      <c r="EA177" t="str" cm="1">
        <f t="array" ref="EA177">IFERROR(
    TRANSPOSE(
        _xlfn.UNIQUE(
            _xlfn._xlws.FILTER(
                Tabla1__2[NOMBRE_DOCENTE],
                ISNUMBER(MATCH(Tabla1__2[MAESTRIA],BQ177:DY177,0))
            )
        )
    ),
"")</f>
        <v/>
      </c>
    </row>
    <row r="178" spans="1:131" ht="20.25" customHeight="1">
      <c r="A178" t="str" cm="1">
        <f t="array" ref="A178">TRANSPOSE(_xlfn.UNIQUE(_xlfn._xlws.FILTER(T_ASIGNATURA1[ID_NIVEL],T_ASIGNATURA1[ID_CARRERA]=ASIGNACION!$A178,"No existe información")))</f>
        <v>No existe información</v>
      </c>
      <c r="S178" t="str" cm="1">
        <f t="array" ref="S178">TRANSPOSE(_xlfn.UNIQUE(_xlfn._xlws.FILTER(T_ASIGNATURA1[NOM_ASIG],(T_ASIGNATURA1[ID_NIVEL]=ASIGNACION!$C178)*(T_ASIGNATURA1[ID_CARRERA]=ASIGNACION!$A178),"No existe información")))</f>
        <v>No existe información</v>
      </c>
      <c r="BQ178" s="1" t="str" cm="1">
        <f t="array" ref="BQ178">IFERROR(
    TRANSPOSE(
        _xlfn.UNIQUE(
            _xlfn._xlws.FILTER(
                Tabla1_1[MAESTRIA],
                ISNUMBER(MATCH(Tabla1_1[CAMPO_DETALLADO],BD179:BP179,0))
            )
        )
    ),
"")</f>
        <v/>
      </c>
      <c r="EA178" t="str" cm="1">
        <f t="array" ref="EA178">IFERROR(
    TRANSPOSE(
        _xlfn.UNIQUE(
            _xlfn._xlws.FILTER(
                Tabla1__2[NOMBRE_DOCENTE],
                ISNUMBER(MATCH(Tabla1__2[MAESTRIA],BQ178:DY178,0))
            )
        )
    ),
"")</f>
        <v/>
      </c>
    </row>
    <row r="179" spans="1:131" ht="20.25" customHeight="1">
      <c r="A179" t="str" cm="1">
        <f t="array" ref="A179">TRANSPOSE(_xlfn.UNIQUE(_xlfn._xlws.FILTER(T_ASIGNATURA1[ID_NIVEL],T_ASIGNATURA1[ID_CARRERA]=ASIGNACION!$A179,"No existe información")))</f>
        <v>No existe información</v>
      </c>
      <c r="S179" t="str" cm="1">
        <f t="array" ref="S179">TRANSPOSE(_xlfn.UNIQUE(_xlfn._xlws.FILTER(T_ASIGNATURA1[NOM_ASIG],(T_ASIGNATURA1[ID_NIVEL]=ASIGNACION!$C179)*(T_ASIGNATURA1[ID_CARRERA]=ASIGNACION!$A179),"No existe información")))</f>
        <v>No existe información</v>
      </c>
      <c r="BQ179" s="1" t="str" cm="1">
        <f t="array" ref="BQ179">IFERROR(
    TRANSPOSE(
        _xlfn.UNIQUE(
            _xlfn._xlws.FILTER(
                Tabla1_1[MAESTRIA],
                ISNUMBER(MATCH(Tabla1_1[CAMPO_DETALLADO],BD180:BP180,0))
            )
        )
    ),
"")</f>
        <v/>
      </c>
      <c r="EA179" t="str" cm="1">
        <f t="array" ref="EA179">IFERROR(
    TRANSPOSE(
        _xlfn.UNIQUE(
            _xlfn._xlws.FILTER(
                Tabla1__2[NOMBRE_DOCENTE],
                ISNUMBER(MATCH(Tabla1__2[MAESTRIA],BQ179:DY179,0))
            )
        )
    ),
"")</f>
        <v/>
      </c>
    </row>
    <row r="180" spans="1:131" ht="20.25" customHeight="1">
      <c r="A180" t="str" cm="1">
        <f t="array" ref="A180">TRANSPOSE(_xlfn.UNIQUE(_xlfn._xlws.FILTER(T_ASIGNATURA1[ID_NIVEL],T_ASIGNATURA1[ID_CARRERA]=ASIGNACION!$A180,"No existe información")))</f>
        <v>No existe información</v>
      </c>
      <c r="S180" t="str" cm="1">
        <f t="array" ref="S180">TRANSPOSE(_xlfn.UNIQUE(_xlfn._xlws.FILTER(T_ASIGNATURA1[NOM_ASIG],(T_ASIGNATURA1[ID_NIVEL]=ASIGNACION!$C180)*(T_ASIGNATURA1[ID_CARRERA]=ASIGNACION!$A180),"No existe información")))</f>
        <v>No existe información</v>
      </c>
      <c r="BQ180" s="1" t="str" cm="1">
        <f t="array" ref="BQ180">IFERROR(
    TRANSPOSE(
        _xlfn.UNIQUE(
            _xlfn._xlws.FILTER(
                Tabla1_1[MAESTRIA],
                ISNUMBER(MATCH(Tabla1_1[CAMPO_DETALLADO],BD181:BP181,0))
            )
        )
    ),
"")</f>
        <v/>
      </c>
      <c r="EA180" t="str" cm="1">
        <f t="array" ref="EA180">IFERROR(
    TRANSPOSE(
        _xlfn.UNIQUE(
            _xlfn._xlws.FILTER(
                Tabla1__2[NOMBRE_DOCENTE],
                ISNUMBER(MATCH(Tabla1__2[MAESTRIA],BQ180:DY180,0))
            )
        )
    ),
"")</f>
        <v/>
      </c>
    </row>
    <row r="181" spans="1:131" ht="20.25" customHeight="1">
      <c r="A181" t="str" cm="1">
        <f t="array" ref="A181">TRANSPOSE(_xlfn.UNIQUE(_xlfn._xlws.FILTER(T_ASIGNATURA1[ID_NIVEL],T_ASIGNATURA1[ID_CARRERA]=ASIGNACION!$A181,"No existe información")))</f>
        <v>No existe información</v>
      </c>
      <c r="S181" t="str" cm="1">
        <f t="array" ref="S181">TRANSPOSE(_xlfn.UNIQUE(_xlfn._xlws.FILTER(T_ASIGNATURA1[NOM_ASIG],(T_ASIGNATURA1[ID_NIVEL]=ASIGNACION!$C181)*(T_ASIGNATURA1[ID_CARRERA]=ASIGNACION!$A181),"No existe información")))</f>
        <v>No existe información</v>
      </c>
      <c r="BQ181" s="1" t="str" cm="1">
        <f t="array" ref="BQ181">IFERROR(
    TRANSPOSE(
        _xlfn.UNIQUE(
            _xlfn._xlws.FILTER(
                Tabla1_1[MAESTRIA],
                ISNUMBER(MATCH(Tabla1_1[CAMPO_DETALLADO],BD182:BP182,0))
            )
        )
    ),
"")</f>
        <v/>
      </c>
      <c r="EA181" t="str" cm="1">
        <f t="array" ref="EA181">IFERROR(
    TRANSPOSE(
        _xlfn.UNIQUE(
            _xlfn._xlws.FILTER(
                Tabla1__2[NOMBRE_DOCENTE],
                ISNUMBER(MATCH(Tabla1__2[MAESTRIA],BQ181:DY181,0))
            )
        )
    ),
"")</f>
        <v/>
      </c>
    </row>
    <row r="182" spans="1:131" ht="20.25" customHeight="1">
      <c r="A182" t="str" cm="1">
        <f t="array" ref="A182">TRANSPOSE(_xlfn.UNIQUE(_xlfn._xlws.FILTER(T_ASIGNATURA1[ID_NIVEL],T_ASIGNATURA1[ID_CARRERA]=ASIGNACION!$A182,"No existe información")))</f>
        <v>No existe información</v>
      </c>
      <c r="S182" t="str" cm="1">
        <f t="array" ref="S182">TRANSPOSE(_xlfn.UNIQUE(_xlfn._xlws.FILTER(T_ASIGNATURA1[NOM_ASIG],(T_ASIGNATURA1[ID_NIVEL]=ASIGNACION!$C182)*(T_ASIGNATURA1[ID_CARRERA]=ASIGNACION!$A182),"No existe información")))</f>
        <v>No existe información</v>
      </c>
      <c r="BQ182" s="1" t="str" cm="1">
        <f t="array" ref="BQ182">IFERROR(
    TRANSPOSE(
        _xlfn.UNIQUE(
            _xlfn._xlws.FILTER(
                Tabla1_1[MAESTRIA],
                ISNUMBER(MATCH(Tabla1_1[CAMPO_DETALLADO],BD183:BP183,0))
            )
        )
    ),
"")</f>
        <v/>
      </c>
      <c r="EA182" t="str" cm="1">
        <f t="array" ref="EA182">IFERROR(
    TRANSPOSE(
        _xlfn.UNIQUE(
            _xlfn._xlws.FILTER(
                Tabla1__2[NOMBRE_DOCENTE],
                ISNUMBER(MATCH(Tabla1__2[MAESTRIA],BQ182:DY182,0))
            )
        )
    ),
"")</f>
        <v/>
      </c>
    </row>
    <row r="183" spans="1:131" ht="20.25" customHeight="1">
      <c r="A183" t="str" cm="1">
        <f t="array" ref="A183">TRANSPOSE(_xlfn.UNIQUE(_xlfn._xlws.FILTER(T_ASIGNATURA1[ID_NIVEL],T_ASIGNATURA1[ID_CARRERA]=ASIGNACION!$A183,"No existe información")))</f>
        <v>No existe información</v>
      </c>
      <c r="S183" t="str" cm="1">
        <f t="array" ref="S183">TRANSPOSE(_xlfn.UNIQUE(_xlfn._xlws.FILTER(T_ASIGNATURA1[NOM_ASIG],(T_ASIGNATURA1[ID_NIVEL]=ASIGNACION!$C183)*(T_ASIGNATURA1[ID_CARRERA]=ASIGNACION!$A183),"No existe información")))</f>
        <v>No existe información</v>
      </c>
      <c r="BQ183" s="1" t="str" cm="1">
        <f t="array" ref="BQ183">IFERROR(
    TRANSPOSE(
        _xlfn.UNIQUE(
            _xlfn._xlws.FILTER(
                Tabla1_1[MAESTRIA],
                ISNUMBER(MATCH(Tabla1_1[CAMPO_DETALLADO],BD184:BP184,0))
            )
        )
    ),
"")</f>
        <v/>
      </c>
      <c r="EA183" t="str" cm="1">
        <f t="array" ref="EA183">IFERROR(
    TRANSPOSE(
        _xlfn.UNIQUE(
            _xlfn._xlws.FILTER(
                Tabla1__2[NOMBRE_DOCENTE],
                ISNUMBER(MATCH(Tabla1__2[MAESTRIA],BQ183:DY183,0))
            )
        )
    ),
"")</f>
        <v/>
      </c>
    </row>
    <row r="184" spans="1:131" ht="20.25" customHeight="1">
      <c r="A184" t="str" cm="1">
        <f t="array" ref="A184">TRANSPOSE(_xlfn.UNIQUE(_xlfn._xlws.FILTER(T_ASIGNATURA1[ID_NIVEL],T_ASIGNATURA1[ID_CARRERA]=ASIGNACION!$A184,"No existe información")))</f>
        <v>No existe información</v>
      </c>
      <c r="S184" t="str" cm="1">
        <f t="array" ref="S184">TRANSPOSE(_xlfn.UNIQUE(_xlfn._xlws.FILTER(T_ASIGNATURA1[NOM_ASIG],(T_ASIGNATURA1[ID_NIVEL]=ASIGNACION!$C184)*(T_ASIGNATURA1[ID_CARRERA]=ASIGNACION!$A184),"No existe información")))</f>
        <v>No existe información</v>
      </c>
      <c r="BQ184" s="1" t="str" cm="1">
        <f t="array" ref="BQ184">IFERROR(
    TRANSPOSE(
        _xlfn.UNIQUE(
            _xlfn._xlws.FILTER(
                Tabla1_1[MAESTRIA],
                ISNUMBER(MATCH(Tabla1_1[CAMPO_DETALLADO],BD185:BP185,0))
            )
        )
    ),
"")</f>
        <v/>
      </c>
      <c r="EA184" t="str" cm="1">
        <f t="array" ref="EA184">IFERROR(
    TRANSPOSE(
        _xlfn.UNIQUE(
            _xlfn._xlws.FILTER(
                Tabla1__2[NOMBRE_DOCENTE],
                ISNUMBER(MATCH(Tabla1__2[MAESTRIA],BQ184:DY184,0))
            )
        )
    ),
"")</f>
        <v/>
      </c>
    </row>
    <row r="185" spans="1:131" ht="20.25" customHeight="1">
      <c r="A185" t="str" cm="1">
        <f t="array" ref="A185">TRANSPOSE(_xlfn.UNIQUE(_xlfn._xlws.FILTER(T_ASIGNATURA1[ID_NIVEL],T_ASIGNATURA1[ID_CARRERA]=ASIGNACION!$A185,"No existe información")))</f>
        <v>No existe información</v>
      </c>
      <c r="S185" t="str" cm="1">
        <f t="array" ref="S185">TRANSPOSE(_xlfn.UNIQUE(_xlfn._xlws.FILTER(T_ASIGNATURA1[NOM_ASIG],(T_ASIGNATURA1[ID_NIVEL]=ASIGNACION!$C185)*(T_ASIGNATURA1[ID_CARRERA]=ASIGNACION!$A185),"No existe información")))</f>
        <v>No existe información</v>
      </c>
      <c r="BQ185" s="1" t="str" cm="1">
        <f t="array" ref="BQ185">IFERROR(
    TRANSPOSE(
        _xlfn.UNIQUE(
            _xlfn._xlws.FILTER(
                Tabla1_1[MAESTRIA],
                ISNUMBER(MATCH(Tabla1_1[CAMPO_DETALLADO],BD186:BP186,0))
            )
        )
    ),
"")</f>
        <v/>
      </c>
      <c r="EA185" t="str" cm="1">
        <f t="array" ref="EA185">IFERROR(
    TRANSPOSE(
        _xlfn.UNIQUE(
            _xlfn._xlws.FILTER(
                Tabla1__2[NOMBRE_DOCENTE],
                ISNUMBER(MATCH(Tabla1__2[MAESTRIA],BQ185:DY185,0))
            )
        )
    ),
"")</f>
        <v/>
      </c>
    </row>
    <row r="186" spans="1:131" ht="20.25" customHeight="1">
      <c r="A186" t="str" cm="1">
        <f t="array" ref="A186">TRANSPOSE(_xlfn.UNIQUE(_xlfn._xlws.FILTER(T_ASIGNATURA1[ID_NIVEL],T_ASIGNATURA1[ID_CARRERA]=ASIGNACION!$A186,"No existe información")))</f>
        <v>No existe información</v>
      </c>
      <c r="S186" t="str" cm="1">
        <f t="array" ref="S186">TRANSPOSE(_xlfn.UNIQUE(_xlfn._xlws.FILTER(T_ASIGNATURA1[NOM_ASIG],(T_ASIGNATURA1[ID_NIVEL]=ASIGNACION!$C186)*(T_ASIGNATURA1[ID_CARRERA]=ASIGNACION!$A186),"No existe información")))</f>
        <v>No existe información</v>
      </c>
      <c r="BQ186" s="1" t="str" cm="1">
        <f t="array" ref="BQ186">IFERROR(
    TRANSPOSE(
        _xlfn.UNIQUE(
            _xlfn._xlws.FILTER(
                Tabla1_1[MAESTRIA],
                ISNUMBER(MATCH(Tabla1_1[CAMPO_DETALLADO],BD187:BP187,0))
            )
        )
    ),
"")</f>
        <v/>
      </c>
      <c r="EA186" t="str" cm="1">
        <f t="array" ref="EA186">IFERROR(
    TRANSPOSE(
        _xlfn.UNIQUE(
            _xlfn._xlws.FILTER(
                Tabla1__2[NOMBRE_DOCENTE],
                ISNUMBER(MATCH(Tabla1__2[MAESTRIA],BQ186:DY186,0))
            )
        )
    ),
"")</f>
        <v/>
      </c>
    </row>
    <row r="187" spans="1:131" ht="20.25" customHeight="1">
      <c r="A187" t="str" cm="1">
        <f t="array" ref="A187">TRANSPOSE(_xlfn.UNIQUE(_xlfn._xlws.FILTER(T_ASIGNATURA1[ID_NIVEL],T_ASIGNATURA1[ID_CARRERA]=ASIGNACION!$A187,"No existe información")))</f>
        <v>No existe información</v>
      </c>
      <c r="S187" t="str" cm="1">
        <f t="array" ref="S187">TRANSPOSE(_xlfn.UNIQUE(_xlfn._xlws.FILTER(T_ASIGNATURA1[NOM_ASIG],(T_ASIGNATURA1[ID_NIVEL]=ASIGNACION!$C187)*(T_ASIGNATURA1[ID_CARRERA]=ASIGNACION!$A187),"No existe información")))</f>
        <v>No existe información</v>
      </c>
      <c r="BQ187" s="1" t="str" cm="1">
        <f t="array" ref="BQ187">IFERROR(
    TRANSPOSE(
        _xlfn.UNIQUE(
            _xlfn._xlws.FILTER(
                Tabla1_1[MAESTRIA],
                ISNUMBER(MATCH(Tabla1_1[CAMPO_DETALLADO],BD188:BP188,0))
            )
        )
    ),
"")</f>
        <v/>
      </c>
      <c r="EA187" t="str" cm="1">
        <f t="array" ref="EA187">IFERROR(
    TRANSPOSE(
        _xlfn.UNIQUE(
            _xlfn._xlws.FILTER(
                Tabla1__2[NOMBRE_DOCENTE],
                ISNUMBER(MATCH(Tabla1__2[MAESTRIA],BQ187:DY187,0))
            )
        )
    ),
"")</f>
        <v/>
      </c>
    </row>
    <row r="188" spans="1:131" ht="20.25" customHeight="1">
      <c r="A188" t="str" cm="1">
        <f t="array" ref="A188">TRANSPOSE(_xlfn.UNIQUE(_xlfn._xlws.FILTER(T_ASIGNATURA1[ID_NIVEL],T_ASIGNATURA1[ID_CARRERA]=ASIGNACION!$A188,"No existe información")))</f>
        <v>No existe información</v>
      </c>
      <c r="S188" t="str" cm="1">
        <f t="array" ref="S188">TRANSPOSE(_xlfn.UNIQUE(_xlfn._xlws.FILTER(T_ASIGNATURA1[NOM_ASIG],(T_ASIGNATURA1[ID_NIVEL]=ASIGNACION!$C188)*(T_ASIGNATURA1[ID_CARRERA]=ASIGNACION!$A188),"No existe información")))</f>
        <v>No existe información</v>
      </c>
      <c r="BQ188" s="1" t="str" cm="1">
        <f t="array" ref="BQ188">IFERROR(
    TRANSPOSE(
        _xlfn.UNIQUE(
            _xlfn._xlws.FILTER(
                Tabla1_1[MAESTRIA],
                ISNUMBER(MATCH(Tabla1_1[CAMPO_DETALLADO],BD189:BP189,0))
            )
        )
    ),
"")</f>
        <v/>
      </c>
      <c r="EA188" t="str" cm="1">
        <f t="array" ref="EA188">IFERROR(
    TRANSPOSE(
        _xlfn.UNIQUE(
            _xlfn._xlws.FILTER(
                Tabla1__2[NOMBRE_DOCENTE],
                ISNUMBER(MATCH(Tabla1__2[MAESTRIA],BQ188:DY188,0))
            )
        )
    ),
"")</f>
        <v/>
      </c>
    </row>
    <row r="189" spans="1:131" ht="20.25" customHeight="1">
      <c r="A189" t="str" cm="1">
        <f t="array" ref="A189">TRANSPOSE(_xlfn.UNIQUE(_xlfn._xlws.FILTER(T_ASIGNATURA1[ID_NIVEL],T_ASIGNATURA1[ID_CARRERA]=ASIGNACION!$A189,"No existe información")))</f>
        <v>No existe información</v>
      </c>
      <c r="S189" t="str" cm="1">
        <f t="array" ref="S189">TRANSPOSE(_xlfn.UNIQUE(_xlfn._xlws.FILTER(T_ASIGNATURA1[NOM_ASIG],(T_ASIGNATURA1[ID_NIVEL]=ASIGNACION!$C189)*(T_ASIGNATURA1[ID_CARRERA]=ASIGNACION!$A189),"No existe información")))</f>
        <v>No existe información</v>
      </c>
      <c r="BQ189" s="1" t="str" cm="1">
        <f t="array" ref="BQ189">IFERROR(
    TRANSPOSE(
        _xlfn.UNIQUE(
            _xlfn._xlws.FILTER(
                Tabla1_1[MAESTRIA],
                ISNUMBER(MATCH(Tabla1_1[CAMPO_DETALLADO],BD190:BP190,0))
            )
        )
    ),
"")</f>
        <v/>
      </c>
      <c r="EA189" t="str" cm="1">
        <f t="array" ref="EA189">IFERROR(
    TRANSPOSE(
        _xlfn.UNIQUE(
            _xlfn._xlws.FILTER(
                Tabla1__2[NOMBRE_DOCENTE],
                ISNUMBER(MATCH(Tabla1__2[MAESTRIA],BQ189:DY189,0))
            )
        )
    ),
"")</f>
        <v/>
      </c>
    </row>
    <row r="190" spans="1:131" ht="20.25" customHeight="1">
      <c r="A190" t="str" cm="1">
        <f t="array" ref="A190">TRANSPOSE(_xlfn.UNIQUE(_xlfn._xlws.FILTER(T_ASIGNATURA1[ID_NIVEL],T_ASIGNATURA1[ID_CARRERA]=ASIGNACION!$A190,"No existe información")))</f>
        <v>No existe información</v>
      </c>
      <c r="S190" t="str" cm="1">
        <f t="array" ref="S190">TRANSPOSE(_xlfn.UNIQUE(_xlfn._xlws.FILTER(T_ASIGNATURA1[NOM_ASIG],(T_ASIGNATURA1[ID_NIVEL]=ASIGNACION!$C190)*(T_ASIGNATURA1[ID_CARRERA]=ASIGNACION!$A190),"No existe información")))</f>
        <v>No existe información</v>
      </c>
      <c r="BQ190" s="1" t="str" cm="1">
        <f t="array" ref="BQ190">IFERROR(
    TRANSPOSE(
        _xlfn.UNIQUE(
            _xlfn._xlws.FILTER(
                Tabla1_1[MAESTRIA],
                ISNUMBER(MATCH(Tabla1_1[CAMPO_DETALLADO],BD191:BP191,0))
            )
        )
    ),
"")</f>
        <v/>
      </c>
      <c r="EA190" t="str" cm="1">
        <f t="array" ref="EA190">IFERROR(
    TRANSPOSE(
        _xlfn.UNIQUE(
            _xlfn._xlws.FILTER(
                Tabla1__2[NOMBRE_DOCENTE],
                ISNUMBER(MATCH(Tabla1__2[MAESTRIA],BQ190:DY190,0))
            )
        )
    ),
"")</f>
        <v/>
      </c>
    </row>
    <row r="191" spans="1:131" ht="20.25" customHeight="1">
      <c r="A191" t="str" cm="1">
        <f t="array" ref="A191">TRANSPOSE(_xlfn.UNIQUE(_xlfn._xlws.FILTER(T_ASIGNATURA1[ID_NIVEL],T_ASIGNATURA1[ID_CARRERA]=ASIGNACION!$A191,"No existe información")))</f>
        <v>No existe información</v>
      </c>
      <c r="S191" t="str" cm="1">
        <f t="array" ref="S191">TRANSPOSE(_xlfn.UNIQUE(_xlfn._xlws.FILTER(T_ASIGNATURA1[NOM_ASIG],(T_ASIGNATURA1[ID_NIVEL]=ASIGNACION!$C191)*(T_ASIGNATURA1[ID_CARRERA]=ASIGNACION!$A191),"No existe información")))</f>
        <v>No existe información</v>
      </c>
      <c r="BQ191" s="1" t="str" cm="1">
        <f t="array" ref="BQ191">IFERROR(
    TRANSPOSE(
        _xlfn.UNIQUE(
            _xlfn._xlws.FILTER(
                Tabla1_1[MAESTRIA],
                ISNUMBER(MATCH(Tabla1_1[CAMPO_DETALLADO],BD192:BP192,0))
            )
        )
    ),
"")</f>
        <v/>
      </c>
      <c r="EA191" t="str" cm="1">
        <f t="array" ref="EA191">IFERROR(
    TRANSPOSE(
        _xlfn.UNIQUE(
            _xlfn._xlws.FILTER(
                Tabla1__2[NOMBRE_DOCENTE],
                ISNUMBER(MATCH(Tabla1__2[MAESTRIA],BQ191:DY191,0))
            )
        )
    ),
"")</f>
        <v/>
      </c>
    </row>
    <row r="192" spans="1:131" ht="20.25" customHeight="1">
      <c r="A192" t="str" cm="1">
        <f t="array" ref="A192">TRANSPOSE(_xlfn.UNIQUE(_xlfn._xlws.FILTER(T_ASIGNATURA1[ID_NIVEL],T_ASIGNATURA1[ID_CARRERA]=ASIGNACION!$A192,"No existe información")))</f>
        <v>No existe información</v>
      </c>
      <c r="S192" t="str" cm="1">
        <f t="array" ref="S192">TRANSPOSE(_xlfn.UNIQUE(_xlfn._xlws.FILTER(T_ASIGNATURA1[NOM_ASIG],(T_ASIGNATURA1[ID_NIVEL]=ASIGNACION!$C192)*(T_ASIGNATURA1[ID_CARRERA]=ASIGNACION!$A192),"No existe información")))</f>
        <v>No existe información</v>
      </c>
      <c r="BQ192" s="1" t="str" cm="1">
        <f t="array" ref="BQ192">IFERROR(
    TRANSPOSE(
        _xlfn.UNIQUE(
            _xlfn._xlws.FILTER(
                Tabla1_1[MAESTRIA],
                ISNUMBER(MATCH(Tabla1_1[CAMPO_DETALLADO],BD193:BP193,0))
            )
        )
    ),
"")</f>
        <v/>
      </c>
      <c r="EA192" t="str" cm="1">
        <f t="array" ref="EA192">IFERROR(
    TRANSPOSE(
        _xlfn.UNIQUE(
            _xlfn._xlws.FILTER(
                Tabla1__2[NOMBRE_DOCENTE],
                ISNUMBER(MATCH(Tabla1__2[MAESTRIA],BQ192:DY192,0))
            )
        )
    ),
"")</f>
        <v/>
      </c>
    </row>
    <row r="193" spans="1:131" ht="20.25" customHeight="1">
      <c r="A193" t="str" cm="1">
        <f t="array" ref="A193">TRANSPOSE(_xlfn.UNIQUE(_xlfn._xlws.FILTER(T_ASIGNATURA1[ID_NIVEL],T_ASIGNATURA1[ID_CARRERA]=ASIGNACION!$A193,"No existe información")))</f>
        <v>No existe información</v>
      </c>
      <c r="S193" t="str" cm="1">
        <f t="array" ref="S193">TRANSPOSE(_xlfn.UNIQUE(_xlfn._xlws.FILTER(T_ASIGNATURA1[NOM_ASIG],(T_ASIGNATURA1[ID_NIVEL]=ASIGNACION!$C193)*(T_ASIGNATURA1[ID_CARRERA]=ASIGNACION!$A193),"No existe información")))</f>
        <v>No existe información</v>
      </c>
      <c r="BQ193" s="1" t="str" cm="1">
        <f t="array" ref="BQ193">IFERROR(
    TRANSPOSE(
        _xlfn.UNIQUE(
            _xlfn._xlws.FILTER(
                Tabla1_1[MAESTRIA],
                ISNUMBER(MATCH(Tabla1_1[CAMPO_DETALLADO],BD194:BP194,0))
            )
        )
    ),
"")</f>
        <v/>
      </c>
      <c r="EA193" t="str" cm="1">
        <f t="array" ref="EA193">IFERROR(
    TRANSPOSE(
        _xlfn.UNIQUE(
            _xlfn._xlws.FILTER(
                Tabla1__2[NOMBRE_DOCENTE],
                ISNUMBER(MATCH(Tabla1__2[MAESTRIA],BQ193:DY193,0))
            )
        )
    ),
"")</f>
        <v/>
      </c>
    </row>
    <row r="194" spans="1:131" ht="20.25" customHeight="1">
      <c r="A194" t="str" cm="1">
        <f t="array" ref="A194">TRANSPOSE(_xlfn.UNIQUE(_xlfn._xlws.FILTER(T_ASIGNATURA1[ID_NIVEL],T_ASIGNATURA1[ID_CARRERA]=ASIGNACION!$A194,"No existe información")))</f>
        <v>No existe información</v>
      </c>
      <c r="S194" t="str" cm="1">
        <f t="array" ref="S194">TRANSPOSE(_xlfn.UNIQUE(_xlfn._xlws.FILTER(T_ASIGNATURA1[NOM_ASIG],(T_ASIGNATURA1[ID_NIVEL]=ASIGNACION!$C194)*(T_ASIGNATURA1[ID_CARRERA]=ASIGNACION!$A194),"No existe información")))</f>
        <v>No existe información</v>
      </c>
      <c r="BQ194" s="1" t="str" cm="1">
        <f t="array" ref="BQ194">IFERROR(
    TRANSPOSE(
        _xlfn.UNIQUE(
            _xlfn._xlws.FILTER(
                Tabla1_1[MAESTRIA],
                ISNUMBER(MATCH(Tabla1_1[CAMPO_DETALLADO],BD195:BP195,0))
            )
        )
    ),
"")</f>
        <v/>
      </c>
      <c r="EA194" t="str" cm="1">
        <f t="array" ref="EA194">IFERROR(
    TRANSPOSE(
        _xlfn.UNIQUE(
            _xlfn._xlws.FILTER(
                Tabla1__2[NOMBRE_DOCENTE],
                ISNUMBER(MATCH(Tabla1__2[MAESTRIA],BQ194:DY194,0))
            )
        )
    ),
"")</f>
        <v/>
      </c>
    </row>
    <row r="195" spans="1:131" ht="20.25" customHeight="1">
      <c r="A195" t="str" cm="1">
        <f t="array" ref="A195">TRANSPOSE(_xlfn.UNIQUE(_xlfn._xlws.FILTER(T_ASIGNATURA1[ID_NIVEL],T_ASIGNATURA1[ID_CARRERA]=ASIGNACION!$A195,"No existe información")))</f>
        <v>No existe información</v>
      </c>
      <c r="S195" t="str" cm="1">
        <f t="array" ref="S195">TRANSPOSE(_xlfn.UNIQUE(_xlfn._xlws.FILTER(T_ASIGNATURA1[NOM_ASIG],(T_ASIGNATURA1[ID_NIVEL]=ASIGNACION!$C195)*(T_ASIGNATURA1[ID_CARRERA]=ASIGNACION!$A195),"No existe información")))</f>
        <v>No existe información</v>
      </c>
      <c r="BQ195" s="1" t="str" cm="1">
        <f t="array" ref="BQ195">IFERROR(
    TRANSPOSE(
        _xlfn.UNIQUE(
            _xlfn._xlws.FILTER(
                Tabla1_1[MAESTRIA],
                ISNUMBER(MATCH(Tabla1_1[CAMPO_DETALLADO],BD196:BP196,0))
            )
        )
    ),
"")</f>
        <v/>
      </c>
      <c r="EA195" t="str" cm="1">
        <f t="array" ref="EA195">IFERROR(
    TRANSPOSE(
        _xlfn.UNIQUE(
            _xlfn._xlws.FILTER(
                Tabla1__2[NOMBRE_DOCENTE],
                ISNUMBER(MATCH(Tabla1__2[MAESTRIA],BQ195:DY195,0))
            )
        )
    ),
"")</f>
        <v/>
      </c>
    </row>
    <row r="196" spans="1:131" ht="20.25" customHeight="1">
      <c r="A196" t="str" cm="1">
        <f t="array" ref="A196">TRANSPOSE(_xlfn.UNIQUE(_xlfn._xlws.FILTER(T_ASIGNATURA1[ID_NIVEL],T_ASIGNATURA1[ID_CARRERA]=ASIGNACION!$A196,"No existe información")))</f>
        <v>No existe información</v>
      </c>
      <c r="S196" t="str" cm="1">
        <f t="array" ref="S196">TRANSPOSE(_xlfn.UNIQUE(_xlfn._xlws.FILTER(T_ASIGNATURA1[NOM_ASIG],(T_ASIGNATURA1[ID_NIVEL]=ASIGNACION!$C196)*(T_ASIGNATURA1[ID_CARRERA]=ASIGNACION!$A196),"No existe información")))</f>
        <v>No existe información</v>
      </c>
      <c r="BQ196" s="1" t="str" cm="1">
        <f t="array" ref="BQ196">IFERROR(
    TRANSPOSE(
        _xlfn.UNIQUE(
            _xlfn._xlws.FILTER(
                Tabla1_1[MAESTRIA],
                ISNUMBER(MATCH(Tabla1_1[CAMPO_DETALLADO],BD197:BP197,0))
            )
        )
    ),
"")</f>
        <v/>
      </c>
      <c r="EA196" t="str" cm="1">
        <f t="array" ref="EA196">IFERROR(
    TRANSPOSE(
        _xlfn.UNIQUE(
            _xlfn._xlws.FILTER(
                Tabla1__2[NOMBRE_DOCENTE],
                ISNUMBER(MATCH(Tabla1__2[MAESTRIA],BQ196:DY196,0))
            )
        )
    ),
"")</f>
        <v/>
      </c>
    </row>
    <row r="197" spans="1:131" ht="20.25" customHeight="1">
      <c r="A197" t="str" cm="1">
        <f t="array" ref="A197">TRANSPOSE(_xlfn.UNIQUE(_xlfn._xlws.FILTER(T_ASIGNATURA1[ID_NIVEL],T_ASIGNATURA1[ID_CARRERA]=ASIGNACION!$A197,"No existe información")))</f>
        <v>No existe información</v>
      </c>
      <c r="S197" t="str" cm="1">
        <f t="array" ref="S197">TRANSPOSE(_xlfn.UNIQUE(_xlfn._xlws.FILTER(T_ASIGNATURA1[NOM_ASIG],(T_ASIGNATURA1[ID_NIVEL]=ASIGNACION!$C197)*(T_ASIGNATURA1[ID_CARRERA]=ASIGNACION!$A197),"No existe información")))</f>
        <v>No existe información</v>
      </c>
      <c r="BQ197" s="1" t="str" cm="1">
        <f t="array" ref="BQ197">IFERROR(
    TRANSPOSE(
        _xlfn.UNIQUE(
            _xlfn._xlws.FILTER(
                Tabla1_1[MAESTRIA],
                ISNUMBER(MATCH(Tabla1_1[CAMPO_DETALLADO],BD198:BP198,0))
            )
        )
    ),
"")</f>
        <v/>
      </c>
      <c r="EA197" t="str" cm="1">
        <f t="array" ref="EA197">IFERROR(
    TRANSPOSE(
        _xlfn.UNIQUE(
            _xlfn._xlws.FILTER(
                Tabla1__2[NOMBRE_DOCENTE],
                ISNUMBER(MATCH(Tabla1__2[MAESTRIA],BQ197:DY197,0))
            )
        )
    ),
"")</f>
        <v/>
      </c>
    </row>
    <row r="198" spans="1:131" ht="20.25" customHeight="1">
      <c r="A198" t="str" cm="1">
        <f t="array" ref="A198">TRANSPOSE(_xlfn.UNIQUE(_xlfn._xlws.FILTER(T_ASIGNATURA1[ID_NIVEL],T_ASIGNATURA1[ID_CARRERA]=ASIGNACION!$A198,"No existe información")))</f>
        <v>No existe información</v>
      </c>
      <c r="S198" t="str" cm="1">
        <f t="array" ref="S198">TRANSPOSE(_xlfn.UNIQUE(_xlfn._xlws.FILTER(T_ASIGNATURA1[NOM_ASIG],(T_ASIGNATURA1[ID_NIVEL]=ASIGNACION!$C198)*(T_ASIGNATURA1[ID_CARRERA]=ASIGNACION!$A198),"No existe información")))</f>
        <v>No existe información</v>
      </c>
      <c r="BQ198" s="1" t="str" cm="1">
        <f t="array" ref="BQ198">IFERROR(
    TRANSPOSE(
        _xlfn.UNIQUE(
            _xlfn._xlws.FILTER(
                Tabla1_1[MAESTRIA],
                ISNUMBER(MATCH(Tabla1_1[CAMPO_DETALLADO],BD199:BP199,0))
            )
        )
    ),
"")</f>
        <v/>
      </c>
      <c r="EA198" t="str" cm="1">
        <f t="array" ref="EA198">IFERROR(
    TRANSPOSE(
        _xlfn.UNIQUE(
            _xlfn._xlws.FILTER(
                Tabla1__2[NOMBRE_DOCENTE],
                ISNUMBER(MATCH(Tabla1__2[MAESTRIA],BQ198:DY198,0))
            )
        )
    ),
"")</f>
        <v/>
      </c>
    </row>
    <row r="199" spans="1:131" ht="20.25" customHeight="1">
      <c r="A199" t="str" cm="1">
        <f t="array" ref="A199">TRANSPOSE(_xlfn.UNIQUE(_xlfn._xlws.FILTER(T_ASIGNATURA1[ID_NIVEL],T_ASIGNATURA1[ID_CARRERA]=ASIGNACION!$A199,"No existe información")))</f>
        <v>No existe información</v>
      </c>
      <c r="S199" t="str" cm="1">
        <f t="array" ref="S199">TRANSPOSE(_xlfn.UNIQUE(_xlfn._xlws.FILTER(T_ASIGNATURA1[NOM_ASIG],(T_ASIGNATURA1[ID_NIVEL]=ASIGNACION!$C199)*(T_ASIGNATURA1[ID_CARRERA]=ASIGNACION!$A199),"No existe información")))</f>
        <v>No existe información</v>
      </c>
      <c r="BQ199" s="1" t="str" cm="1">
        <f t="array" ref="BQ199">IFERROR(
    TRANSPOSE(
        _xlfn.UNIQUE(
            _xlfn._xlws.FILTER(
                Tabla1_1[MAESTRIA],
                ISNUMBER(MATCH(Tabla1_1[CAMPO_DETALLADO],BD200:BP200,0))
            )
        )
    ),
"")</f>
        <v/>
      </c>
      <c r="EA199" t="str" cm="1">
        <f t="array" ref="EA199">IFERROR(
    TRANSPOSE(
        _xlfn.UNIQUE(
            _xlfn._xlws.FILTER(
                Tabla1__2[NOMBRE_DOCENTE],
                ISNUMBER(MATCH(Tabla1__2[MAESTRIA],BQ199:DY199,0))
            )
        )
    ),
"")</f>
        <v/>
      </c>
    </row>
    <row r="200" spans="1:131" ht="20.25" customHeight="1">
      <c r="A200" t="str" cm="1">
        <f t="array" ref="A200">TRANSPOSE(_xlfn.UNIQUE(_xlfn._xlws.FILTER(T_ASIGNATURA1[ID_NIVEL],T_ASIGNATURA1[ID_CARRERA]=ASIGNACION!$A200,"No existe información")))</f>
        <v>No existe información</v>
      </c>
      <c r="S200" t="str" cm="1">
        <f t="array" ref="S200">TRANSPOSE(_xlfn.UNIQUE(_xlfn._xlws.FILTER(T_ASIGNATURA1[NOM_ASIG],(T_ASIGNATURA1[ID_NIVEL]=ASIGNACION!$C200)*(T_ASIGNATURA1[ID_CARRERA]=ASIGNACION!$A200),"No existe información")))</f>
        <v>No existe información</v>
      </c>
      <c r="BQ200" s="1" t="str" cm="1">
        <f t="array" ref="BQ200">IFERROR(
    TRANSPOSE(
        _xlfn.UNIQUE(
            _xlfn._xlws.FILTER(
                Tabla1_1[MAESTRIA],
                ISNUMBER(MATCH(Tabla1_1[CAMPO_DETALLADO],BD201:BP201,0))
            )
        )
    ),
"")</f>
        <v/>
      </c>
      <c r="EA200" t="str" cm="1">
        <f t="array" ref="EA200">IFERROR(
    TRANSPOSE(
        _xlfn.UNIQUE(
            _xlfn._xlws.FILTER(
                Tabla1__2[NOMBRE_DOCENTE],
                ISNUMBER(MATCH(Tabla1__2[MAESTRIA],BQ200:DY200,0))
            )
        )
    ),
"")</f>
        <v/>
      </c>
    </row>
    <row r="201" spans="1:131" ht="20.25" customHeight="1">
      <c r="A201" t="str" cm="1">
        <f t="array" ref="A201">TRANSPOSE(_xlfn.UNIQUE(_xlfn._xlws.FILTER(T_ASIGNATURA1[ID_NIVEL],T_ASIGNATURA1[ID_CARRERA]=ASIGNACION!$A201,"No existe información")))</f>
        <v>No existe información</v>
      </c>
      <c r="S201" t="str" cm="1">
        <f t="array" ref="S201">TRANSPOSE(_xlfn.UNIQUE(_xlfn._xlws.FILTER(T_ASIGNATURA1[NOM_ASIG],(T_ASIGNATURA1[ID_NIVEL]=ASIGNACION!$C201)*(T_ASIGNATURA1[ID_CARRERA]=ASIGNACION!$A201),"No existe información")))</f>
        <v>No existe información</v>
      </c>
      <c r="BQ201" s="1" t="str" cm="1">
        <f t="array" ref="BQ201">IFERROR(
    TRANSPOSE(
        _xlfn.UNIQUE(
            _xlfn._xlws.FILTER(
                Tabla1_1[MAESTRIA],
                ISNUMBER(MATCH(Tabla1_1[CAMPO_DETALLADO],BD202:BP202,0))
            )
        )
    ),
"")</f>
        <v/>
      </c>
      <c r="EA201" t="str" cm="1">
        <f t="array" ref="EA201">IFERROR(
    TRANSPOSE(
        _xlfn.UNIQUE(
            _xlfn._xlws.FILTER(
                Tabla1__2[NOMBRE_DOCENTE],
                ISNUMBER(MATCH(Tabla1__2[MAESTRIA],BQ201:DY201,0))
            )
        )
    ),
"")</f>
        <v/>
      </c>
    </row>
    <row r="202" spans="1:131" ht="20.25" customHeight="1">
      <c r="A202" t="str" cm="1">
        <f t="array" ref="A202">TRANSPOSE(_xlfn.UNIQUE(_xlfn._xlws.FILTER(T_ASIGNATURA1[ID_NIVEL],T_ASIGNATURA1[ID_CARRERA]=ASIGNACION!$A202,"No existe información")))</f>
        <v>No existe información</v>
      </c>
      <c r="S202" t="str" cm="1">
        <f t="array" ref="S202">TRANSPOSE(_xlfn.UNIQUE(_xlfn._xlws.FILTER(T_ASIGNATURA1[NOM_ASIG],(T_ASIGNATURA1[ID_NIVEL]=ASIGNACION!$C202)*(T_ASIGNATURA1[ID_CARRERA]=ASIGNACION!$A202),"No existe información")))</f>
        <v>No existe información</v>
      </c>
      <c r="BQ202" s="1" t="str" cm="1">
        <f t="array" ref="BQ202">IFERROR(
    TRANSPOSE(
        _xlfn.UNIQUE(
            _xlfn._xlws.FILTER(
                Tabla1_1[MAESTRIA],
                ISNUMBER(MATCH(Tabla1_1[CAMPO_DETALLADO],BD203:BP203,0))
            )
        )
    ),
"")</f>
        <v/>
      </c>
      <c r="EA202" t="str" cm="1">
        <f t="array" ref="EA202">IFERROR(
    TRANSPOSE(
        _xlfn.UNIQUE(
            _xlfn._xlws.FILTER(
                Tabla1__2[NOMBRE_DOCENTE],
                ISNUMBER(MATCH(Tabla1__2[MAESTRIA],BQ202:DY202,0))
            )
        )
    ),
"")</f>
        <v/>
      </c>
    </row>
    <row r="203" spans="1:131" ht="20.25" customHeight="1">
      <c r="A203" t="str" cm="1">
        <f t="array" ref="A203">TRANSPOSE(_xlfn.UNIQUE(_xlfn._xlws.FILTER(T_ASIGNATURA1[ID_NIVEL],T_ASIGNATURA1[ID_CARRERA]=ASIGNACION!$A203,"No existe información")))</f>
        <v>No existe información</v>
      </c>
      <c r="S203" t="str" cm="1">
        <f t="array" ref="S203">TRANSPOSE(_xlfn.UNIQUE(_xlfn._xlws.FILTER(T_ASIGNATURA1[NOM_ASIG],(T_ASIGNATURA1[ID_NIVEL]=ASIGNACION!$C203)*(T_ASIGNATURA1[ID_CARRERA]=ASIGNACION!$A203),"No existe información")))</f>
        <v>No existe información</v>
      </c>
      <c r="BQ203" s="1" t="str" cm="1">
        <f t="array" ref="BQ203">IFERROR(
    TRANSPOSE(
        _xlfn.UNIQUE(
            _xlfn._xlws.FILTER(
                Tabla1_1[MAESTRIA],
                ISNUMBER(MATCH(Tabla1_1[CAMPO_DETALLADO],BD204:BP204,0))
            )
        )
    ),
"")</f>
        <v/>
      </c>
      <c r="EA203" t="str" cm="1">
        <f t="array" ref="EA203">IFERROR(
    TRANSPOSE(
        _xlfn.UNIQUE(
            _xlfn._xlws.FILTER(
                Tabla1__2[NOMBRE_DOCENTE],
                ISNUMBER(MATCH(Tabla1__2[MAESTRIA],BQ203:DY203,0))
            )
        )
    ),
"")</f>
        <v/>
      </c>
    </row>
    <row r="204" spans="1:131" ht="20.25" customHeight="1">
      <c r="A204" t="str" cm="1">
        <f t="array" ref="A204">TRANSPOSE(_xlfn.UNIQUE(_xlfn._xlws.FILTER(T_ASIGNATURA1[ID_NIVEL],T_ASIGNATURA1[ID_CARRERA]=ASIGNACION!$A204,"No existe información")))</f>
        <v>No existe información</v>
      </c>
      <c r="S204" t="str" cm="1">
        <f t="array" ref="S204">TRANSPOSE(_xlfn.UNIQUE(_xlfn._xlws.FILTER(T_ASIGNATURA1[NOM_ASIG],(T_ASIGNATURA1[ID_NIVEL]=ASIGNACION!$C204)*(T_ASIGNATURA1[ID_CARRERA]=ASIGNACION!$A204),"No existe información")))</f>
        <v>No existe información</v>
      </c>
      <c r="BQ204" s="1" t="str" cm="1">
        <f t="array" ref="BQ204">IFERROR(
    TRANSPOSE(
        _xlfn.UNIQUE(
            _xlfn._xlws.FILTER(
                Tabla1_1[MAESTRIA],
                ISNUMBER(MATCH(Tabla1_1[CAMPO_DETALLADO],BD205:BP205,0))
            )
        )
    ),
"")</f>
        <v/>
      </c>
      <c r="EA204" t="str" cm="1">
        <f t="array" ref="EA204">IFERROR(
    TRANSPOSE(
        _xlfn.UNIQUE(
            _xlfn._xlws.FILTER(
                Tabla1__2[NOMBRE_DOCENTE],
                ISNUMBER(MATCH(Tabla1__2[MAESTRIA],BQ204:DY204,0))
            )
        )
    ),
"")</f>
        <v/>
      </c>
    </row>
    <row r="205" spans="1:131" ht="20.25" customHeight="1">
      <c r="A205" t="str" cm="1">
        <f t="array" ref="A205">TRANSPOSE(_xlfn.UNIQUE(_xlfn._xlws.FILTER(T_ASIGNATURA1[ID_NIVEL],T_ASIGNATURA1[ID_CARRERA]=ASIGNACION!$A205,"No existe información")))</f>
        <v>No existe información</v>
      </c>
      <c r="S205" t="str" cm="1">
        <f t="array" ref="S205">TRANSPOSE(_xlfn.UNIQUE(_xlfn._xlws.FILTER(T_ASIGNATURA1[NOM_ASIG],(T_ASIGNATURA1[ID_NIVEL]=ASIGNACION!$C205)*(T_ASIGNATURA1[ID_CARRERA]=ASIGNACION!$A205),"No existe información")))</f>
        <v>No existe información</v>
      </c>
      <c r="BQ205" s="1" t="str" cm="1">
        <f t="array" ref="BQ205">IFERROR(
    TRANSPOSE(
        _xlfn.UNIQUE(
            _xlfn._xlws.FILTER(
                Tabla1_1[MAESTRIA],
                ISNUMBER(MATCH(Tabla1_1[CAMPO_DETALLADO],BD206:BP206,0))
            )
        )
    ),
"")</f>
        <v/>
      </c>
      <c r="EA205" t="str" cm="1">
        <f t="array" ref="EA205">IFERROR(
    TRANSPOSE(
        _xlfn.UNIQUE(
            _xlfn._xlws.FILTER(
                Tabla1__2[NOMBRE_DOCENTE],
                ISNUMBER(MATCH(Tabla1__2[MAESTRIA],BQ205:DY205,0))
            )
        )
    ),
"")</f>
        <v/>
      </c>
    </row>
    <row r="206" spans="1:131" ht="20.25" customHeight="1">
      <c r="A206" t="str" cm="1">
        <f t="array" ref="A206">TRANSPOSE(_xlfn.UNIQUE(_xlfn._xlws.FILTER(T_ASIGNATURA1[ID_NIVEL],T_ASIGNATURA1[ID_CARRERA]=ASIGNACION!$A206,"No existe información")))</f>
        <v>No existe información</v>
      </c>
      <c r="S206" t="str" cm="1">
        <f t="array" ref="S206">TRANSPOSE(_xlfn.UNIQUE(_xlfn._xlws.FILTER(T_ASIGNATURA1[NOM_ASIG],(T_ASIGNATURA1[ID_NIVEL]=ASIGNACION!$C206)*(T_ASIGNATURA1[ID_CARRERA]=ASIGNACION!$A206),"No existe información")))</f>
        <v>No existe información</v>
      </c>
      <c r="BQ206" s="1" t="str" cm="1">
        <f t="array" ref="BQ206">IFERROR(
    TRANSPOSE(
        _xlfn.UNIQUE(
            _xlfn._xlws.FILTER(
                Tabla1_1[MAESTRIA],
                ISNUMBER(MATCH(Tabla1_1[CAMPO_DETALLADO],BD207:BP207,0))
            )
        )
    ),
"")</f>
        <v/>
      </c>
      <c r="EA206" t="str" cm="1">
        <f t="array" ref="EA206">IFERROR(
    TRANSPOSE(
        _xlfn.UNIQUE(
            _xlfn._xlws.FILTER(
                Tabla1__2[NOMBRE_DOCENTE],
                ISNUMBER(MATCH(Tabla1__2[MAESTRIA],BQ206:DY206,0))
            )
        )
    ),
"")</f>
        <v/>
      </c>
    </row>
    <row r="207" spans="1:131" ht="20.25" customHeight="1">
      <c r="A207" t="str" cm="1">
        <f t="array" ref="A207">TRANSPOSE(_xlfn.UNIQUE(_xlfn._xlws.FILTER(T_ASIGNATURA1[ID_NIVEL],T_ASIGNATURA1[ID_CARRERA]=ASIGNACION!$A207,"No existe información")))</f>
        <v>No existe información</v>
      </c>
      <c r="S207" t="str" cm="1">
        <f t="array" ref="S207">TRANSPOSE(_xlfn.UNIQUE(_xlfn._xlws.FILTER(T_ASIGNATURA1[NOM_ASIG],(T_ASIGNATURA1[ID_NIVEL]=ASIGNACION!$C207)*(T_ASIGNATURA1[ID_CARRERA]=ASIGNACION!$A207),"No existe información")))</f>
        <v>No existe información</v>
      </c>
      <c r="BQ207" s="1" t="str" cm="1">
        <f t="array" ref="BQ207">IFERROR(
    TRANSPOSE(
        _xlfn.UNIQUE(
            _xlfn._xlws.FILTER(
                Tabla1_1[MAESTRIA],
                ISNUMBER(MATCH(Tabla1_1[CAMPO_DETALLADO],BD208:BP208,0))
            )
        )
    ),
"")</f>
        <v/>
      </c>
      <c r="EA207" t="str" cm="1">
        <f t="array" ref="EA207">IFERROR(
    TRANSPOSE(
        _xlfn.UNIQUE(
            _xlfn._xlws.FILTER(
                Tabla1__2[NOMBRE_DOCENTE],
                ISNUMBER(MATCH(Tabla1__2[MAESTRIA],BQ207:DY207,0))
            )
        )
    ),
"")</f>
        <v/>
      </c>
    </row>
    <row r="208" spans="1:131" ht="20.25" customHeight="1">
      <c r="A208" t="str" cm="1">
        <f t="array" ref="A208">TRANSPOSE(_xlfn.UNIQUE(_xlfn._xlws.FILTER(T_ASIGNATURA1[ID_NIVEL],T_ASIGNATURA1[ID_CARRERA]=ASIGNACION!$A208,"No existe información")))</f>
        <v>No existe información</v>
      </c>
      <c r="S208" t="str" cm="1">
        <f t="array" ref="S208">TRANSPOSE(_xlfn.UNIQUE(_xlfn._xlws.FILTER(T_ASIGNATURA1[NOM_ASIG],(T_ASIGNATURA1[ID_NIVEL]=ASIGNACION!$C208)*(T_ASIGNATURA1[ID_CARRERA]=ASIGNACION!$A208),"No existe información")))</f>
        <v>No existe información</v>
      </c>
      <c r="BQ208" s="1" t="str" cm="1">
        <f t="array" ref="BQ208">IFERROR(
    TRANSPOSE(
        _xlfn.UNIQUE(
            _xlfn._xlws.FILTER(
                Tabla1_1[MAESTRIA],
                ISNUMBER(MATCH(Tabla1_1[CAMPO_DETALLADO],BD209:BP209,0))
            )
        )
    ),
"")</f>
        <v/>
      </c>
      <c r="EA208" t="str" cm="1">
        <f t="array" ref="EA208">IFERROR(
    TRANSPOSE(
        _xlfn.UNIQUE(
            _xlfn._xlws.FILTER(
                Tabla1__2[NOMBRE_DOCENTE],
                ISNUMBER(MATCH(Tabla1__2[MAESTRIA],BQ208:DY208,0))
            )
        )
    ),
"")</f>
        <v/>
      </c>
    </row>
    <row r="209" spans="1:131" ht="20.25" customHeight="1">
      <c r="A209" t="str" cm="1">
        <f t="array" ref="A209">TRANSPOSE(_xlfn.UNIQUE(_xlfn._xlws.FILTER(T_ASIGNATURA1[ID_NIVEL],T_ASIGNATURA1[ID_CARRERA]=ASIGNACION!$A209,"No existe información")))</f>
        <v>No existe información</v>
      </c>
      <c r="S209" t="str" cm="1">
        <f t="array" ref="S209">TRANSPOSE(_xlfn.UNIQUE(_xlfn._xlws.FILTER(T_ASIGNATURA1[NOM_ASIG],(T_ASIGNATURA1[ID_NIVEL]=ASIGNACION!$C209)*(T_ASIGNATURA1[ID_CARRERA]=ASIGNACION!$A209),"No existe información")))</f>
        <v>No existe información</v>
      </c>
      <c r="BQ209" s="1" t="str" cm="1">
        <f t="array" ref="BQ209">IFERROR(
    TRANSPOSE(
        _xlfn.UNIQUE(
            _xlfn._xlws.FILTER(
                Tabla1_1[MAESTRIA],
                ISNUMBER(MATCH(Tabla1_1[CAMPO_DETALLADO],BD210:BP210,0))
            )
        )
    ),
"")</f>
        <v/>
      </c>
      <c r="EA209" t="str" cm="1">
        <f t="array" ref="EA209">IFERROR(
    TRANSPOSE(
        _xlfn.UNIQUE(
            _xlfn._xlws.FILTER(
                Tabla1__2[NOMBRE_DOCENTE],
                ISNUMBER(MATCH(Tabla1__2[MAESTRIA],BQ209:DY209,0))
            )
        )
    ),
"")</f>
        <v/>
      </c>
    </row>
    <row r="210" spans="1:131" ht="20.25" customHeight="1">
      <c r="A210" t="str" cm="1">
        <f t="array" ref="A210">TRANSPOSE(_xlfn.UNIQUE(_xlfn._xlws.FILTER(T_ASIGNATURA1[ID_NIVEL],T_ASIGNATURA1[ID_CARRERA]=ASIGNACION!$A210,"No existe información")))</f>
        <v>No existe información</v>
      </c>
      <c r="S210" t="str" cm="1">
        <f t="array" ref="S210">TRANSPOSE(_xlfn.UNIQUE(_xlfn._xlws.FILTER(T_ASIGNATURA1[NOM_ASIG],(T_ASIGNATURA1[ID_NIVEL]=ASIGNACION!$C210)*(T_ASIGNATURA1[ID_CARRERA]=ASIGNACION!$A210),"No existe información")))</f>
        <v>No existe información</v>
      </c>
      <c r="BQ210" s="1" t="str" cm="1">
        <f t="array" ref="BQ210">IFERROR(
    TRANSPOSE(
        _xlfn.UNIQUE(
            _xlfn._xlws.FILTER(
                Tabla1_1[MAESTRIA],
                ISNUMBER(MATCH(Tabla1_1[CAMPO_DETALLADO],BD211:BP211,0))
            )
        )
    ),
"")</f>
        <v/>
      </c>
      <c r="EA210" t="str" cm="1">
        <f t="array" ref="EA210">IFERROR(
    TRANSPOSE(
        _xlfn.UNIQUE(
            _xlfn._xlws.FILTER(
                Tabla1__2[NOMBRE_DOCENTE],
                ISNUMBER(MATCH(Tabla1__2[MAESTRIA],BQ210:DY210,0))
            )
        )
    ),
"")</f>
        <v/>
      </c>
    </row>
    <row r="211" spans="1:131" ht="20.25" customHeight="1">
      <c r="A211" t="str" cm="1">
        <f t="array" ref="A211">TRANSPOSE(_xlfn.UNIQUE(_xlfn._xlws.FILTER(T_ASIGNATURA1[ID_NIVEL],T_ASIGNATURA1[ID_CARRERA]=ASIGNACION!$A211,"No existe información")))</f>
        <v>No existe información</v>
      </c>
      <c r="S211" t="str" cm="1">
        <f t="array" ref="S211">TRANSPOSE(_xlfn.UNIQUE(_xlfn._xlws.FILTER(T_ASIGNATURA1[NOM_ASIG],(T_ASIGNATURA1[ID_NIVEL]=ASIGNACION!$C211)*(T_ASIGNATURA1[ID_CARRERA]=ASIGNACION!$A211),"No existe información")))</f>
        <v>No existe información</v>
      </c>
      <c r="BQ211" s="1" t="str" cm="1">
        <f t="array" ref="BQ211">IFERROR(
    TRANSPOSE(
        _xlfn.UNIQUE(
            _xlfn._xlws.FILTER(
                Tabla1_1[MAESTRIA],
                ISNUMBER(MATCH(Tabla1_1[CAMPO_DETALLADO],BD212:BP212,0))
            )
        )
    ),
"")</f>
        <v/>
      </c>
      <c r="EA211" t="str" cm="1">
        <f t="array" ref="EA211">IFERROR(
    TRANSPOSE(
        _xlfn.UNIQUE(
            _xlfn._xlws.FILTER(
                Tabla1__2[NOMBRE_DOCENTE],
                ISNUMBER(MATCH(Tabla1__2[MAESTRIA],BQ211:DY211,0))
            )
        )
    ),
"")</f>
        <v/>
      </c>
    </row>
    <row r="212" spans="1:131" ht="20.25" customHeight="1">
      <c r="A212" t="str" cm="1">
        <f t="array" ref="A212">TRANSPOSE(_xlfn.UNIQUE(_xlfn._xlws.FILTER(T_ASIGNATURA1[ID_NIVEL],T_ASIGNATURA1[ID_CARRERA]=ASIGNACION!$A212,"No existe información")))</f>
        <v>No existe información</v>
      </c>
      <c r="S212" t="str" cm="1">
        <f t="array" ref="S212">TRANSPOSE(_xlfn.UNIQUE(_xlfn._xlws.FILTER(T_ASIGNATURA1[NOM_ASIG],(T_ASIGNATURA1[ID_NIVEL]=ASIGNACION!$C212)*(T_ASIGNATURA1[ID_CARRERA]=ASIGNACION!$A212),"No existe información")))</f>
        <v>No existe información</v>
      </c>
      <c r="BQ212" s="1" t="str" cm="1">
        <f t="array" ref="BQ212">IFERROR(
    TRANSPOSE(
        _xlfn.UNIQUE(
            _xlfn._xlws.FILTER(
                Tabla1_1[MAESTRIA],
                ISNUMBER(MATCH(Tabla1_1[CAMPO_DETALLADO],BD213:BP213,0))
            )
        )
    ),
"")</f>
        <v/>
      </c>
      <c r="EA212" t="str" cm="1">
        <f t="array" ref="EA212">IFERROR(
    TRANSPOSE(
        _xlfn.UNIQUE(
            _xlfn._xlws.FILTER(
                Tabla1__2[NOMBRE_DOCENTE],
                ISNUMBER(MATCH(Tabla1__2[MAESTRIA],BQ212:DY212,0))
            )
        )
    ),
"")</f>
        <v/>
      </c>
    </row>
    <row r="213" spans="1:131" ht="20.25" customHeight="1">
      <c r="A213" t="str" cm="1">
        <f t="array" ref="A213">TRANSPOSE(_xlfn.UNIQUE(_xlfn._xlws.FILTER(T_ASIGNATURA1[ID_NIVEL],T_ASIGNATURA1[ID_CARRERA]=ASIGNACION!$A213,"No existe información")))</f>
        <v>No existe información</v>
      </c>
      <c r="S213" t="str" cm="1">
        <f t="array" ref="S213">TRANSPOSE(_xlfn.UNIQUE(_xlfn._xlws.FILTER(T_ASIGNATURA1[NOM_ASIG],(T_ASIGNATURA1[ID_NIVEL]=ASIGNACION!$C213)*(T_ASIGNATURA1[ID_CARRERA]=ASIGNACION!$A213),"No existe información")))</f>
        <v>No existe información</v>
      </c>
      <c r="BQ213" s="1" t="str" cm="1">
        <f t="array" ref="BQ213">IFERROR(
    TRANSPOSE(
        _xlfn.UNIQUE(
            _xlfn._xlws.FILTER(
                Tabla1_1[MAESTRIA],
                ISNUMBER(MATCH(Tabla1_1[CAMPO_DETALLADO],BD214:BP214,0))
            )
        )
    ),
"")</f>
        <v/>
      </c>
      <c r="EA213" t="str" cm="1">
        <f t="array" ref="EA213">IFERROR(
    TRANSPOSE(
        _xlfn.UNIQUE(
            _xlfn._xlws.FILTER(
                Tabla1__2[NOMBRE_DOCENTE],
                ISNUMBER(MATCH(Tabla1__2[MAESTRIA],BQ213:DY213,0))
            )
        )
    ),
"")</f>
        <v/>
      </c>
    </row>
    <row r="214" spans="1:131" ht="20.25" customHeight="1">
      <c r="A214" t="str" cm="1">
        <f t="array" ref="A214">TRANSPOSE(_xlfn.UNIQUE(_xlfn._xlws.FILTER(T_ASIGNATURA1[ID_NIVEL],T_ASIGNATURA1[ID_CARRERA]=ASIGNACION!$A214,"No existe información")))</f>
        <v>No existe información</v>
      </c>
      <c r="S214" t="str" cm="1">
        <f t="array" ref="S214">TRANSPOSE(_xlfn.UNIQUE(_xlfn._xlws.FILTER(T_ASIGNATURA1[NOM_ASIG],(T_ASIGNATURA1[ID_NIVEL]=ASIGNACION!$C214)*(T_ASIGNATURA1[ID_CARRERA]=ASIGNACION!$A214),"No existe información")))</f>
        <v>No existe información</v>
      </c>
      <c r="BQ214" s="1" t="str" cm="1">
        <f t="array" ref="BQ214">IFERROR(
    TRANSPOSE(
        _xlfn.UNIQUE(
            _xlfn._xlws.FILTER(
                Tabla1_1[MAESTRIA],
                ISNUMBER(MATCH(Tabla1_1[CAMPO_DETALLADO],BD215:BP215,0))
            )
        )
    ),
"")</f>
        <v/>
      </c>
      <c r="EA214" t="str" cm="1">
        <f t="array" ref="EA214">IFERROR(
    TRANSPOSE(
        _xlfn.UNIQUE(
            _xlfn._xlws.FILTER(
                Tabla1__2[NOMBRE_DOCENTE],
                ISNUMBER(MATCH(Tabla1__2[MAESTRIA],BQ214:DY214,0))
            )
        )
    ),
"")</f>
        <v/>
      </c>
    </row>
    <row r="215" spans="1:131" ht="20.25" customHeight="1">
      <c r="A215" t="str" cm="1">
        <f t="array" ref="A215">TRANSPOSE(_xlfn.UNIQUE(_xlfn._xlws.FILTER(T_ASIGNATURA1[ID_NIVEL],T_ASIGNATURA1[ID_CARRERA]=ASIGNACION!$A215,"No existe información")))</f>
        <v>No existe información</v>
      </c>
      <c r="S215" t="str" cm="1">
        <f t="array" ref="S215">TRANSPOSE(_xlfn.UNIQUE(_xlfn._xlws.FILTER(T_ASIGNATURA1[NOM_ASIG],(T_ASIGNATURA1[ID_NIVEL]=ASIGNACION!$C215)*(T_ASIGNATURA1[ID_CARRERA]=ASIGNACION!$A215),"No existe información")))</f>
        <v>No existe información</v>
      </c>
      <c r="BQ215" s="1" t="str" cm="1">
        <f t="array" ref="BQ215">IFERROR(
    TRANSPOSE(
        _xlfn.UNIQUE(
            _xlfn._xlws.FILTER(
                Tabla1_1[MAESTRIA],
                ISNUMBER(MATCH(Tabla1_1[CAMPO_DETALLADO],BD216:BP216,0))
            )
        )
    ),
"")</f>
        <v/>
      </c>
      <c r="EA215" t="str" cm="1">
        <f t="array" ref="EA215">IFERROR(
    TRANSPOSE(
        _xlfn.UNIQUE(
            _xlfn._xlws.FILTER(
                Tabla1__2[NOMBRE_DOCENTE],
                ISNUMBER(MATCH(Tabla1__2[MAESTRIA],BQ215:DY215,0))
            )
        )
    ),
"")</f>
        <v/>
      </c>
    </row>
    <row r="216" spans="1:131" ht="20.25" customHeight="1">
      <c r="A216" t="str" cm="1">
        <f t="array" ref="A216">TRANSPOSE(_xlfn.UNIQUE(_xlfn._xlws.FILTER(T_ASIGNATURA1[ID_NIVEL],T_ASIGNATURA1[ID_CARRERA]=ASIGNACION!$A216,"No existe información")))</f>
        <v>No existe información</v>
      </c>
      <c r="S216" t="str" cm="1">
        <f t="array" ref="S216">TRANSPOSE(_xlfn.UNIQUE(_xlfn._xlws.FILTER(T_ASIGNATURA1[NOM_ASIG],(T_ASIGNATURA1[ID_NIVEL]=ASIGNACION!$C216)*(T_ASIGNATURA1[ID_CARRERA]=ASIGNACION!$A216),"No existe información")))</f>
        <v>No existe información</v>
      </c>
      <c r="BQ216" s="1" t="str" cm="1">
        <f t="array" ref="BQ216">IFERROR(
    TRANSPOSE(
        _xlfn.UNIQUE(
            _xlfn._xlws.FILTER(
                Tabla1_1[MAESTRIA],
                ISNUMBER(MATCH(Tabla1_1[CAMPO_DETALLADO],BD217:BP217,0))
            )
        )
    ),
"")</f>
        <v/>
      </c>
      <c r="EA216" t="str" cm="1">
        <f t="array" ref="EA216">IFERROR(
    TRANSPOSE(
        _xlfn.UNIQUE(
            _xlfn._xlws.FILTER(
                Tabla1__2[NOMBRE_DOCENTE],
                ISNUMBER(MATCH(Tabla1__2[MAESTRIA],BQ216:DY216,0))
            )
        )
    ),
"")</f>
        <v/>
      </c>
    </row>
    <row r="217" spans="1:131" ht="20.25" customHeight="1">
      <c r="A217" t="str" cm="1">
        <f t="array" ref="A217">TRANSPOSE(_xlfn.UNIQUE(_xlfn._xlws.FILTER(T_ASIGNATURA1[ID_NIVEL],T_ASIGNATURA1[ID_CARRERA]=ASIGNACION!$A217,"No existe información")))</f>
        <v>No existe información</v>
      </c>
      <c r="S217" t="str" cm="1">
        <f t="array" ref="S217">TRANSPOSE(_xlfn.UNIQUE(_xlfn._xlws.FILTER(T_ASIGNATURA1[NOM_ASIG],(T_ASIGNATURA1[ID_NIVEL]=ASIGNACION!$C217)*(T_ASIGNATURA1[ID_CARRERA]=ASIGNACION!$A217),"No existe información")))</f>
        <v>No existe información</v>
      </c>
      <c r="BQ217" s="1" t="str" cm="1">
        <f t="array" ref="BQ217">IFERROR(
    TRANSPOSE(
        _xlfn.UNIQUE(
            _xlfn._xlws.FILTER(
                Tabla1_1[MAESTRIA],
                ISNUMBER(MATCH(Tabla1_1[CAMPO_DETALLADO],BD218:BP218,0))
            )
        )
    ),
"")</f>
        <v/>
      </c>
      <c r="EA217" t="str" cm="1">
        <f t="array" ref="EA217">IFERROR(
    TRANSPOSE(
        _xlfn.UNIQUE(
            _xlfn._xlws.FILTER(
                Tabla1__2[NOMBRE_DOCENTE],
                ISNUMBER(MATCH(Tabla1__2[MAESTRIA],BQ217:DY217,0))
            )
        )
    ),
"")</f>
        <v/>
      </c>
    </row>
    <row r="218" spans="1:131" ht="20.25" customHeight="1">
      <c r="A218" t="str" cm="1">
        <f t="array" ref="A218">TRANSPOSE(_xlfn.UNIQUE(_xlfn._xlws.FILTER(T_ASIGNATURA1[ID_NIVEL],T_ASIGNATURA1[ID_CARRERA]=ASIGNACION!$A218,"No existe información")))</f>
        <v>No existe información</v>
      </c>
      <c r="S218" t="str" cm="1">
        <f t="array" ref="S218">TRANSPOSE(_xlfn.UNIQUE(_xlfn._xlws.FILTER(T_ASIGNATURA1[NOM_ASIG],(T_ASIGNATURA1[ID_NIVEL]=ASIGNACION!$C218)*(T_ASIGNATURA1[ID_CARRERA]=ASIGNACION!$A218),"No existe información")))</f>
        <v>No existe información</v>
      </c>
      <c r="BQ218" s="1" t="str" cm="1">
        <f t="array" ref="BQ218">IFERROR(
    TRANSPOSE(
        _xlfn.UNIQUE(
            _xlfn._xlws.FILTER(
                Tabla1_1[MAESTRIA],
                ISNUMBER(MATCH(Tabla1_1[CAMPO_DETALLADO],BD219:BP219,0))
            )
        )
    ),
"")</f>
        <v/>
      </c>
      <c r="EA218" t="str" cm="1">
        <f t="array" ref="EA218">IFERROR(
    TRANSPOSE(
        _xlfn.UNIQUE(
            _xlfn._xlws.FILTER(
                Tabla1__2[NOMBRE_DOCENTE],
                ISNUMBER(MATCH(Tabla1__2[MAESTRIA],BQ218:DY218,0))
            )
        )
    ),
"")</f>
        <v/>
      </c>
    </row>
    <row r="219" spans="1:131" ht="20.25" customHeight="1">
      <c r="A219" t="str" cm="1">
        <f t="array" ref="A219">TRANSPOSE(_xlfn.UNIQUE(_xlfn._xlws.FILTER(T_ASIGNATURA1[ID_NIVEL],T_ASIGNATURA1[ID_CARRERA]=ASIGNACION!$A219,"No existe información")))</f>
        <v>No existe información</v>
      </c>
      <c r="S219" t="str" cm="1">
        <f t="array" ref="S219">TRANSPOSE(_xlfn.UNIQUE(_xlfn._xlws.FILTER(T_ASIGNATURA1[NOM_ASIG],(T_ASIGNATURA1[ID_NIVEL]=ASIGNACION!$C219)*(T_ASIGNATURA1[ID_CARRERA]=ASIGNACION!$A219),"No existe información")))</f>
        <v>No existe información</v>
      </c>
      <c r="BQ219" s="1" t="str" cm="1">
        <f t="array" ref="BQ219">IFERROR(
    TRANSPOSE(
        _xlfn.UNIQUE(
            _xlfn._xlws.FILTER(
                Tabla1_1[MAESTRIA],
                ISNUMBER(MATCH(Tabla1_1[CAMPO_DETALLADO],BD220:BP220,0))
            )
        )
    ),
"")</f>
        <v/>
      </c>
      <c r="EA219" t="str" cm="1">
        <f t="array" ref="EA219">IFERROR(
    TRANSPOSE(
        _xlfn.UNIQUE(
            _xlfn._xlws.FILTER(
                Tabla1__2[NOMBRE_DOCENTE],
                ISNUMBER(MATCH(Tabla1__2[MAESTRIA],BQ219:DY219,0))
            )
        )
    ),
"")</f>
        <v/>
      </c>
    </row>
    <row r="220" spans="1:131" ht="20.25" customHeight="1">
      <c r="A220" t="str" cm="1">
        <f t="array" ref="A220">TRANSPOSE(_xlfn.UNIQUE(_xlfn._xlws.FILTER(T_ASIGNATURA1[ID_NIVEL],T_ASIGNATURA1[ID_CARRERA]=ASIGNACION!$A220,"No existe información")))</f>
        <v>No existe información</v>
      </c>
      <c r="S220" t="str" cm="1">
        <f t="array" ref="S220">TRANSPOSE(_xlfn.UNIQUE(_xlfn._xlws.FILTER(T_ASIGNATURA1[NOM_ASIG],(T_ASIGNATURA1[ID_NIVEL]=ASIGNACION!$C220)*(T_ASIGNATURA1[ID_CARRERA]=ASIGNACION!$A220),"No existe información")))</f>
        <v>No existe información</v>
      </c>
      <c r="BQ220" s="1" t="str" cm="1">
        <f t="array" ref="BQ220">IFERROR(
    TRANSPOSE(
        _xlfn.UNIQUE(
            _xlfn._xlws.FILTER(
                Tabla1_1[MAESTRIA],
                ISNUMBER(MATCH(Tabla1_1[CAMPO_DETALLADO],BD221:BP221,0))
            )
        )
    ),
"")</f>
        <v/>
      </c>
      <c r="EA220" t="str" cm="1">
        <f t="array" ref="EA220">IFERROR(
    TRANSPOSE(
        _xlfn.UNIQUE(
            _xlfn._xlws.FILTER(
                Tabla1__2[NOMBRE_DOCENTE],
                ISNUMBER(MATCH(Tabla1__2[MAESTRIA],BQ220:DY220,0))
            )
        )
    ),
"")</f>
        <v/>
      </c>
    </row>
    <row r="221" spans="1:131" ht="20.25" customHeight="1">
      <c r="A221" t="str" cm="1">
        <f t="array" ref="A221">TRANSPOSE(_xlfn.UNIQUE(_xlfn._xlws.FILTER(T_ASIGNATURA1[ID_NIVEL],T_ASIGNATURA1[ID_CARRERA]=ASIGNACION!$A221,"No existe información")))</f>
        <v>No existe información</v>
      </c>
      <c r="S221" t="str" cm="1">
        <f t="array" ref="S221">TRANSPOSE(_xlfn.UNIQUE(_xlfn._xlws.FILTER(T_ASIGNATURA1[NOM_ASIG],(T_ASIGNATURA1[ID_NIVEL]=ASIGNACION!$C221)*(T_ASIGNATURA1[ID_CARRERA]=ASIGNACION!$A221),"No existe información")))</f>
        <v>No existe información</v>
      </c>
      <c r="BQ221" s="1" t="str" cm="1">
        <f t="array" ref="BQ221">IFERROR(
    TRANSPOSE(
        _xlfn.UNIQUE(
            _xlfn._xlws.FILTER(
                Tabla1_1[MAESTRIA],
                ISNUMBER(MATCH(Tabla1_1[CAMPO_DETALLADO],BD222:BP222,0))
            )
        )
    ),
"")</f>
        <v/>
      </c>
      <c r="EA221" t="str" cm="1">
        <f t="array" ref="EA221">IFERROR(
    TRANSPOSE(
        _xlfn.UNIQUE(
            _xlfn._xlws.FILTER(
                Tabla1__2[NOMBRE_DOCENTE],
                ISNUMBER(MATCH(Tabla1__2[MAESTRIA],BQ221:DY221,0))
            )
        )
    ),
"")</f>
        <v/>
      </c>
    </row>
    <row r="222" spans="1:131" ht="20.25" customHeight="1">
      <c r="A222" t="str" cm="1">
        <f t="array" ref="A222">TRANSPOSE(_xlfn.UNIQUE(_xlfn._xlws.FILTER(T_ASIGNATURA1[ID_NIVEL],T_ASIGNATURA1[ID_CARRERA]=ASIGNACION!$A222,"No existe información")))</f>
        <v>No existe información</v>
      </c>
      <c r="S222" t="str" cm="1">
        <f t="array" ref="S222">TRANSPOSE(_xlfn.UNIQUE(_xlfn._xlws.FILTER(T_ASIGNATURA1[NOM_ASIG],(T_ASIGNATURA1[ID_NIVEL]=ASIGNACION!$C222)*(T_ASIGNATURA1[ID_CARRERA]=ASIGNACION!$A222),"No existe información")))</f>
        <v>No existe información</v>
      </c>
      <c r="BQ222" s="1" t="str" cm="1">
        <f t="array" ref="BQ222">IFERROR(
    TRANSPOSE(
        _xlfn.UNIQUE(
            _xlfn._xlws.FILTER(
                Tabla1_1[MAESTRIA],
                ISNUMBER(MATCH(Tabla1_1[CAMPO_DETALLADO],BD223:BP223,0))
            )
        )
    ),
"")</f>
        <v/>
      </c>
      <c r="EA222" t="str" cm="1">
        <f t="array" ref="EA222">IFERROR(
    TRANSPOSE(
        _xlfn.UNIQUE(
            _xlfn._xlws.FILTER(
                Tabla1__2[NOMBRE_DOCENTE],
                ISNUMBER(MATCH(Tabla1__2[MAESTRIA],BQ222:DY222,0))
            )
        )
    ),
"")</f>
        <v/>
      </c>
    </row>
    <row r="223" spans="1:131" ht="20.25" customHeight="1">
      <c r="A223" t="str" cm="1">
        <f t="array" ref="A223">TRANSPOSE(_xlfn.UNIQUE(_xlfn._xlws.FILTER(T_ASIGNATURA1[ID_NIVEL],T_ASIGNATURA1[ID_CARRERA]=ASIGNACION!$A223,"No existe información")))</f>
        <v>No existe información</v>
      </c>
      <c r="S223" t="str" cm="1">
        <f t="array" ref="S223">TRANSPOSE(_xlfn.UNIQUE(_xlfn._xlws.FILTER(T_ASIGNATURA1[NOM_ASIG],(T_ASIGNATURA1[ID_NIVEL]=ASIGNACION!$C223)*(T_ASIGNATURA1[ID_CARRERA]=ASIGNACION!$A223),"No existe información")))</f>
        <v>No existe información</v>
      </c>
      <c r="BQ223" s="1" t="str" cm="1">
        <f t="array" ref="BQ223">IFERROR(
    TRANSPOSE(
        _xlfn.UNIQUE(
            _xlfn._xlws.FILTER(
                Tabla1_1[MAESTRIA],
                ISNUMBER(MATCH(Tabla1_1[CAMPO_DETALLADO],BD224:BP224,0))
            )
        )
    ),
"")</f>
        <v/>
      </c>
      <c r="EA223" t="str" cm="1">
        <f t="array" ref="EA223">IFERROR(
    TRANSPOSE(
        _xlfn.UNIQUE(
            _xlfn._xlws.FILTER(
                Tabla1__2[NOMBRE_DOCENTE],
                ISNUMBER(MATCH(Tabla1__2[MAESTRIA],BQ223:DY223,0))
            )
        )
    ),
"")</f>
        <v/>
      </c>
    </row>
    <row r="224" spans="1:131" ht="20.25" customHeight="1">
      <c r="A224" t="str" cm="1">
        <f t="array" ref="A224">TRANSPOSE(_xlfn.UNIQUE(_xlfn._xlws.FILTER(T_ASIGNATURA1[ID_NIVEL],T_ASIGNATURA1[ID_CARRERA]=ASIGNACION!$A224,"No existe información")))</f>
        <v>No existe información</v>
      </c>
      <c r="S224" t="str" cm="1">
        <f t="array" ref="S224">TRANSPOSE(_xlfn.UNIQUE(_xlfn._xlws.FILTER(T_ASIGNATURA1[NOM_ASIG],(T_ASIGNATURA1[ID_NIVEL]=ASIGNACION!$C224)*(T_ASIGNATURA1[ID_CARRERA]=ASIGNACION!$A224),"No existe información")))</f>
        <v>No existe información</v>
      </c>
      <c r="BQ224" s="1" t="str" cm="1">
        <f t="array" ref="BQ224">IFERROR(
    TRANSPOSE(
        _xlfn.UNIQUE(
            _xlfn._xlws.FILTER(
                Tabla1_1[MAESTRIA],
                ISNUMBER(MATCH(Tabla1_1[CAMPO_DETALLADO],BD225:BP225,0))
            )
        )
    ),
"")</f>
        <v/>
      </c>
      <c r="EA224" t="str" cm="1">
        <f t="array" ref="EA224">IFERROR(
    TRANSPOSE(
        _xlfn.UNIQUE(
            _xlfn._xlws.FILTER(
                Tabla1__2[NOMBRE_DOCENTE],
                ISNUMBER(MATCH(Tabla1__2[MAESTRIA],BQ224:DY224,0))
            )
        )
    ),
"")</f>
        <v/>
      </c>
    </row>
    <row r="225" spans="1:131" ht="20.25" customHeight="1">
      <c r="A225" t="str" cm="1">
        <f t="array" ref="A225">TRANSPOSE(_xlfn.UNIQUE(_xlfn._xlws.FILTER(T_ASIGNATURA1[ID_NIVEL],T_ASIGNATURA1[ID_CARRERA]=ASIGNACION!$A225,"No existe información")))</f>
        <v>No existe información</v>
      </c>
      <c r="S225" t="str" cm="1">
        <f t="array" ref="S225">TRANSPOSE(_xlfn.UNIQUE(_xlfn._xlws.FILTER(T_ASIGNATURA1[NOM_ASIG],(T_ASIGNATURA1[ID_NIVEL]=ASIGNACION!$C225)*(T_ASIGNATURA1[ID_CARRERA]=ASIGNACION!$A225),"No existe información")))</f>
        <v>No existe información</v>
      </c>
      <c r="BQ225" s="1" t="str" cm="1">
        <f t="array" ref="BQ225">IFERROR(
    TRANSPOSE(
        _xlfn.UNIQUE(
            _xlfn._xlws.FILTER(
                Tabla1_1[MAESTRIA],
                ISNUMBER(MATCH(Tabla1_1[CAMPO_DETALLADO],BD226:BP226,0))
            )
        )
    ),
"")</f>
        <v/>
      </c>
      <c r="EA225" t="str" cm="1">
        <f t="array" ref="EA225">IFERROR(
    TRANSPOSE(
        _xlfn.UNIQUE(
            _xlfn._xlws.FILTER(
                Tabla1__2[NOMBRE_DOCENTE],
                ISNUMBER(MATCH(Tabla1__2[MAESTRIA],BQ225:DY225,0))
            )
        )
    ),
"")</f>
        <v/>
      </c>
    </row>
    <row r="226" spans="1:131" ht="20.25" customHeight="1">
      <c r="A226" t="str" cm="1">
        <f t="array" ref="A226">TRANSPOSE(_xlfn.UNIQUE(_xlfn._xlws.FILTER(T_ASIGNATURA1[ID_NIVEL],T_ASIGNATURA1[ID_CARRERA]=ASIGNACION!$A226,"No existe información")))</f>
        <v>No existe información</v>
      </c>
      <c r="S226" t="str" cm="1">
        <f t="array" ref="S226">TRANSPOSE(_xlfn.UNIQUE(_xlfn._xlws.FILTER(T_ASIGNATURA1[NOM_ASIG],(T_ASIGNATURA1[ID_NIVEL]=ASIGNACION!$C226)*(T_ASIGNATURA1[ID_CARRERA]=ASIGNACION!$A226),"No existe información")))</f>
        <v>No existe información</v>
      </c>
      <c r="BQ226" s="1" t="str" cm="1">
        <f t="array" ref="BQ226">IFERROR(
    TRANSPOSE(
        _xlfn.UNIQUE(
            _xlfn._xlws.FILTER(
                Tabla1_1[MAESTRIA],
                ISNUMBER(MATCH(Tabla1_1[CAMPO_DETALLADO],BD227:BP227,0))
            )
        )
    ),
"")</f>
        <v/>
      </c>
      <c r="EA226" t="str" cm="1">
        <f t="array" ref="EA226">IFERROR(
    TRANSPOSE(
        _xlfn.UNIQUE(
            _xlfn._xlws.FILTER(
                Tabla1__2[NOMBRE_DOCENTE],
                ISNUMBER(MATCH(Tabla1__2[MAESTRIA],BQ226:DY226,0))
            )
        )
    ),
"")</f>
        <v/>
      </c>
    </row>
    <row r="227" spans="1:131" ht="20.25" customHeight="1">
      <c r="A227" t="str" cm="1">
        <f t="array" ref="A227">TRANSPOSE(_xlfn.UNIQUE(_xlfn._xlws.FILTER(T_ASIGNATURA1[ID_NIVEL],T_ASIGNATURA1[ID_CARRERA]=ASIGNACION!$A227,"No existe información")))</f>
        <v>No existe información</v>
      </c>
      <c r="S227" t="str" cm="1">
        <f t="array" ref="S227">TRANSPOSE(_xlfn.UNIQUE(_xlfn._xlws.FILTER(T_ASIGNATURA1[NOM_ASIG],(T_ASIGNATURA1[ID_NIVEL]=ASIGNACION!$C227)*(T_ASIGNATURA1[ID_CARRERA]=ASIGNACION!$A227),"No existe información")))</f>
        <v>No existe información</v>
      </c>
      <c r="BQ227" s="1" t="str" cm="1">
        <f t="array" ref="BQ227">IFERROR(
    TRANSPOSE(
        _xlfn.UNIQUE(
            _xlfn._xlws.FILTER(
                Tabla1_1[MAESTRIA],
                ISNUMBER(MATCH(Tabla1_1[CAMPO_DETALLADO],BD228:BP228,0))
            )
        )
    ),
"")</f>
        <v/>
      </c>
      <c r="EA227" t="str" cm="1">
        <f t="array" ref="EA227">IFERROR(
    TRANSPOSE(
        _xlfn.UNIQUE(
            _xlfn._xlws.FILTER(
                Tabla1__2[NOMBRE_DOCENTE],
                ISNUMBER(MATCH(Tabla1__2[MAESTRIA],BQ227:DY227,0))
            )
        )
    ),
"")</f>
        <v/>
      </c>
    </row>
    <row r="228" spans="1:131" ht="20.25" customHeight="1">
      <c r="A228" t="str" cm="1">
        <f t="array" ref="A228">TRANSPOSE(_xlfn.UNIQUE(_xlfn._xlws.FILTER(T_ASIGNATURA1[ID_NIVEL],T_ASIGNATURA1[ID_CARRERA]=ASIGNACION!$A228,"No existe información")))</f>
        <v>No existe información</v>
      </c>
      <c r="S228" t="str" cm="1">
        <f t="array" ref="S228">TRANSPOSE(_xlfn.UNIQUE(_xlfn._xlws.FILTER(T_ASIGNATURA1[NOM_ASIG],(T_ASIGNATURA1[ID_NIVEL]=ASIGNACION!$C228)*(T_ASIGNATURA1[ID_CARRERA]=ASIGNACION!$A228),"No existe información")))</f>
        <v>No existe información</v>
      </c>
      <c r="BQ228" s="1" t="str" cm="1">
        <f t="array" ref="BQ228">IFERROR(
    TRANSPOSE(
        _xlfn.UNIQUE(
            _xlfn._xlws.FILTER(
                Tabla1_1[MAESTRIA],
                ISNUMBER(MATCH(Tabla1_1[CAMPO_DETALLADO],BD229:BP229,0))
            )
        )
    ),
"")</f>
        <v/>
      </c>
      <c r="EA228" t="str" cm="1">
        <f t="array" ref="EA228">IFERROR(
    TRANSPOSE(
        _xlfn.UNIQUE(
            _xlfn._xlws.FILTER(
                Tabla1__2[NOMBRE_DOCENTE],
                ISNUMBER(MATCH(Tabla1__2[MAESTRIA],BQ228:DY228,0))
            )
        )
    ),
"")</f>
        <v/>
      </c>
    </row>
    <row r="229" spans="1:131" ht="20.25" customHeight="1">
      <c r="A229" t="str" cm="1">
        <f t="array" ref="A229">TRANSPOSE(_xlfn.UNIQUE(_xlfn._xlws.FILTER(T_ASIGNATURA1[ID_NIVEL],T_ASIGNATURA1[ID_CARRERA]=ASIGNACION!$A229,"No existe información")))</f>
        <v>No existe información</v>
      </c>
      <c r="S229" t="str" cm="1">
        <f t="array" ref="S229">TRANSPOSE(_xlfn.UNIQUE(_xlfn._xlws.FILTER(T_ASIGNATURA1[NOM_ASIG],(T_ASIGNATURA1[ID_NIVEL]=ASIGNACION!$C229)*(T_ASIGNATURA1[ID_CARRERA]=ASIGNACION!$A229),"No existe información")))</f>
        <v>No existe información</v>
      </c>
      <c r="BQ229" s="1" t="str" cm="1">
        <f t="array" ref="BQ229">IFERROR(
    TRANSPOSE(
        _xlfn.UNIQUE(
            _xlfn._xlws.FILTER(
                Tabla1_1[MAESTRIA],
                ISNUMBER(MATCH(Tabla1_1[CAMPO_DETALLADO],BD230:BP230,0))
            )
        )
    ),
"")</f>
        <v/>
      </c>
      <c r="EA229" t="str" cm="1">
        <f t="array" ref="EA229">IFERROR(
    TRANSPOSE(
        _xlfn.UNIQUE(
            _xlfn._xlws.FILTER(
                Tabla1__2[NOMBRE_DOCENTE],
                ISNUMBER(MATCH(Tabla1__2[MAESTRIA],BQ229:DY229,0))
            )
        )
    ),
"")</f>
        <v/>
      </c>
    </row>
    <row r="230" spans="1:131" ht="20.25" customHeight="1">
      <c r="A230" t="str" cm="1">
        <f t="array" ref="A230">TRANSPOSE(_xlfn.UNIQUE(_xlfn._xlws.FILTER(T_ASIGNATURA1[ID_NIVEL],T_ASIGNATURA1[ID_CARRERA]=ASIGNACION!$A230,"No existe información")))</f>
        <v>No existe información</v>
      </c>
      <c r="S230" t="str" cm="1">
        <f t="array" ref="S230">TRANSPOSE(_xlfn.UNIQUE(_xlfn._xlws.FILTER(T_ASIGNATURA1[NOM_ASIG],(T_ASIGNATURA1[ID_NIVEL]=ASIGNACION!$C230)*(T_ASIGNATURA1[ID_CARRERA]=ASIGNACION!$A230),"No existe información")))</f>
        <v>No existe información</v>
      </c>
      <c r="BQ230" s="1" t="str" cm="1">
        <f t="array" ref="BQ230">IFERROR(
    TRANSPOSE(
        _xlfn.UNIQUE(
            _xlfn._xlws.FILTER(
                Tabla1_1[MAESTRIA],
                ISNUMBER(MATCH(Tabla1_1[CAMPO_DETALLADO],BD231:BP231,0))
            )
        )
    ),
"")</f>
        <v/>
      </c>
      <c r="EA230" t="str" cm="1">
        <f t="array" ref="EA230">IFERROR(
    TRANSPOSE(
        _xlfn.UNIQUE(
            _xlfn._xlws.FILTER(
                Tabla1__2[NOMBRE_DOCENTE],
                ISNUMBER(MATCH(Tabla1__2[MAESTRIA],BQ230:DY230,0))
            )
        )
    ),
"")</f>
        <v/>
      </c>
    </row>
    <row r="231" spans="1:131" ht="20.25" customHeight="1">
      <c r="A231" t="str" cm="1">
        <f t="array" ref="A231">TRANSPOSE(_xlfn.UNIQUE(_xlfn._xlws.FILTER(T_ASIGNATURA1[ID_NIVEL],T_ASIGNATURA1[ID_CARRERA]=ASIGNACION!$A231,"No existe información")))</f>
        <v>No existe información</v>
      </c>
      <c r="S231" t="str" cm="1">
        <f t="array" ref="S231">TRANSPOSE(_xlfn.UNIQUE(_xlfn._xlws.FILTER(T_ASIGNATURA1[NOM_ASIG],(T_ASIGNATURA1[ID_NIVEL]=ASIGNACION!$C231)*(T_ASIGNATURA1[ID_CARRERA]=ASIGNACION!$A231),"No existe información")))</f>
        <v>No existe información</v>
      </c>
      <c r="BQ231" s="1" t="str" cm="1">
        <f t="array" ref="BQ231">IFERROR(
    TRANSPOSE(
        _xlfn.UNIQUE(
            _xlfn._xlws.FILTER(
                Tabla1_1[MAESTRIA],
                ISNUMBER(MATCH(Tabla1_1[CAMPO_DETALLADO],BD232:BP232,0))
            )
        )
    ),
"")</f>
        <v/>
      </c>
      <c r="EA231" t="str" cm="1">
        <f t="array" ref="EA231">IFERROR(
    TRANSPOSE(
        _xlfn.UNIQUE(
            _xlfn._xlws.FILTER(
                Tabla1__2[NOMBRE_DOCENTE],
                ISNUMBER(MATCH(Tabla1__2[MAESTRIA],BQ231:DY231,0))
            )
        )
    ),
"")</f>
        <v/>
      </c>
    </row>
    <row r="232" spans="1:131" ht="20.25" customHeight="1">
      <c r="A232" t="str" cm="1">
        <f t="array" ref="A232">TRANSPOSE(_xlfn.UNIQUE(_xlfn._xlws.FILTER(T_ASIGNATURA1[ID_NIVEL],T_ASIGNATURA1[ID_CARRERA]=ASIGNACION!$A232,"No existe información")))</f>
        <v>No existe información</v>
      </c>
      <c r="S232" t="str" cm="1">
        <f t="array" ref="S232">TRANSPOSE(_xlfn.UNIQUE(_xlfn._xlws.FILTER(T_ASIGNATURA1[NOM_ASIG],(T_ASIGNATURA1[ID_NIVEL]=ASIGNACION!$C232)*(T_ASIGNATURA1[ID_CARRERA]=ASIGNACION!$A232),"No existe información")))</f>
        <v>No existe información</v>
      </c>
      <c r="BQ232" s="1" t="str" cm="1">
        <f t="array" ref="BQ232">IFERROR(
    TRANSPOSE(
        _xlfn.UNIQUE(
            _xlfn._xlws.FILTER(
                Tabla1_1[MAESTRIA],
                ISNUMBER(MATCH(Tabla1_1[CAMPO_DETALLADO],BD233:BP233,0))
            )
        )
    ),
"")</f>
        <v/>
      </c>
      <c r="EA232" t="str" cm="1">
        <f t="array" ref="EA232">IFERROR(
    TRANSPOSE(
        _xlfn.UNIQUE(
            _xlfn._xlws.FILTER(
                Tabla1__2[NOMBRE_DOCENTE],
                ISNUMBER(MATCH(Tabla1__2[MAESTRIA],BQ232:DY232,0))
            )
        )
    ),
"")</f>
        <v/>
      </c>
    </row>
    <row r="233" spans="1:131" ht="20.25" customHeight="1">
      <c r="A233" t="str" cm="1">
        <f t="array" ref="A233">TRANSPOSE(_xlfn.UNIQUE(_xlfn._xlws.FILTER(T_ASIGNATURA1[ID_NIVEL],T_ASIGNATURA1[ID_CARRERA]=ASIGNACION!$A233,"No existe información")))</f>
        <v>No existe información</v>
      </c>
      <c r="S233" t="str" cm="1">
        <f t="array" ref="S233">TRANSPOSE(_xlfn.UNIQUE(_xlfn._xlws.FILTER(T_ASIGNATURA1[NOM_ASIG],(T_ASIGNATURA1[ID_NIVEL]=ASIGNACION!$C233)*(T_ASIGNATURA1[ID_CARRERA]=ASIGNACION!$A233),"No existe información")))</f>
        <v>No existe información</v>
      </c>
      <c r="BQ233" s="1" t="str" cm="1">
        <f t="array" ref="BQ233">IFERROR(
    TRANSPOSE(
        _xlfn.UNIQUE(
            _xlfn._xlws.FILTER(
                Tabla1_1[MAESTRIA],
                ISNUMBER(MATCH(Tabla1_1[CAMPO_DETALLADO],BD234:BP234,0))
            )
        )
    ),
"")</f>
        <v/>
      </c>
      <c r="EA233" t="str" cm="1">
        <f t="array" ref="EA233">IFERROR(
    TRANSPOSE(
        _xlfn.UNIQUE(
            _xlfn._xlws.FILTER(
                Tabla1__2[NOMBRE_DOCENTE],
                ISNUMBER(MATCH(Tabla1__2[MAESTRIA],BQ233:DY233,0))
            )
        )
    ),
"")</f>
        <v/>
      </c>
    </row>
    <row r="234" spans="1:131" ht="20.25" customHeight="1">
      <c r="A234" t="str" cm="1">
        <f t="array" ref="A234">TRANSPOSE(_xlfn.UNIQUE(_xlfn._xlws.FILTER(T_ASIGNATURA1[ID_NIVEL],T_ASIGNATURA1[ID_CARRERA]=ASIGNACION!$A234,"No existe información")))</f>
        <v>No existe información</v>
      </c>
      <c r="S234" t="str" cm="1">
        <f t="array" ref="S234">TRANSPOSE(_xlfn.UNIQUE(_xlfn._xlws.FILTER(T_ASIGNATURA1[NOM_ASIG],(T_ASIGNATURA1[ID_NIVEL]=ASIGNACION!$C234)*(T_ASIGNATURA1[ID_CARRERA]=ASIGNACION!$A234),"No existe información")))</f>
        <v>No existe información</v>
      </c>
      <c r="BQ234" s="1" t="str" cm="1">
        <f t="array" ref="BQ234">IFERROR(
    TRANSPOSE(
        _xlfn.UNIQUE(
            _xlfn._xlws.FILTER(
                Tabla1_1[MAESTRIA],
                ISNUMBER(MATCH(Tabla1_1[CAMPO_DETALLADO],BD235:BP235,0))
            )
        )
    ),
"")</f>
        <v/>
      </c>
      <c r="EA234" t="str" cm="1">
        <f t="array" ref="EA234">IFERROR(
    TRANSPOSE(
        _xlfn.UNIQUE(
            _xlfn._xlws.FILTER(
                Tabla1__2[NOMBRE_DOCENTE],
                ISNUMBER(MATCH(Tabla1__2[MAESTRIA],BQ234:DY234,0))
            )
        )
    ),
"")</f>
        <v/>
      </c>
    </row>
    <row r="235" spans="1:131" ht="20.25" customHeight="1">
      <c r="A235" t="str" cm="1">
        <f t="array" ref="A235">TRANSPOSE(_xlfn.UNIQUE(_xlfn._xlws.FILTER(T_ASIGNATURA1[ID_NIVEL],T_ASIGNATURA1[ID_CARRERA]=ASIGNACION!$A235,"No existe información")))</f>
        <v>No existe información</v>
      </c>
      <c r="S235" t="str" cm="1">
        <f t="array" ref="S235">TRANSPOSE(_xlfn.UNIQUE(_xlfn._xlws.FILTER(T_ASIGNATURA1[NOM_ASIG],(T_ASIGNATURA1[ID_NIVEL]=ASIGNACION!$C235)*(T_ASIGNATURA1[ID_CARRERA]=ASIGNACION!$A235),"No existe información")))</f>
        <v>No existe información</v>
      </c>
      <c r="BQ235" s="1" t="str" cm="1">
        <f t="array" ref="BQ235">IFERROR(
    TRANSPOSE(
        _xlfn.UNIQUE(
            _xlfn._xlws.FILTER(
                Tabla1_1[MAESTRIA],
                ISNUMBER(MATCH(Tabla1_1[CAMPO_DETALLADO],BD236:BP236,0))
            )
        )
    ),
"")</f>
        <v/>
      </c>
      <c r="EA235" t="str" cm="1">
        <f t="array" ref="EA235">IFERROR(
    TRANSPOSE(
        _xlfn.UNIQUE(
            _xlfn._xlws.FILTER(
                Tabla1__2[NOMBRE_DOCENTE],
                ISNUMBER(MATCH(Tabla1__2[MAESTRIA],BQ235:DY235,0))
            )
        )
    ),
"")</f>
        <v/>
      </c>
    </row>
    <row r="236" spans="1:131" ht="20.25" customHeight="1">
      <c r="A236" t="str" cm="1">
        <f t="array" ref="A236">TRANSPOSE(_xlfn.UNIQUE(_xlfn._xlws.FILTER(T_ASIGNATURA1[ID_NIVEL],T_ASIGNATURA1[ID_CARRERA]=ASIGNACION!$A236,"No existe información")))</f>
        <v>No existe información</v>
      </c>
      <c r="S236" t="str" cm="1">
        <f t="array" ref="S236">TRANSPOSE(_xlfn.UNIQUE(_xlfn._xlws.FILTER(T_ASIGNATURA1[NOM_ASIG],(T_ASIGNATURA1[ID_NIVEL]=ASIGNACION!$C236)*(T_ASIGNATURA1[ID_CARRERA]=ASIGNACION!$A236),"No existe información")))</f>
        <v>No existe información</v>
      </c>
      <c r="BQ236" s="1" t="str" cm="1">
        <f t="array" ref="BQ236">IFERROR(
    TRANSPOSE(
        _xlfn.UNIQUE(
            _xlfn._xlws.FILTER(
                Tabla1_1[MAESTRIA],
                ISNUMBER(MATCH(Tabla1_1[CAMPO_DETALLADO],BD237:BP237,0))
            )
        )
    ),
"")</f>
        <v/>
      </c>
      <c r="EA236" t="str" cm="1">
        <f t="array" ref="EA236">IFERROR(
    TRANSPOSE(
        _xlfn.UNIQUE(
            _xlfn._xlws.FILTER(
                Tabla1__2[NOMBRE_DOCENTE],
                ISNUMBER(MATCH(Tabla1__2[MAESTRIA],BQ236:DY236,0))
            )
        )
    ),
"")</f>
        <v/>
      </c>
    </row>
    <row r="237" spans="1:131" ht="20.25" customHeight="1">
      <c r="A237" t="str" cm="1">
        <f t="array" ref="A237">TRANSPOSE(_xlfn.UNIQUE(_xlfn._xlws.FILTER(T_ASIGNATURA1[ID_NIVEL],T_ASIGNATURA1[ID_CARRERA]=ASIGNACION!$A237,"No existe información")))</f>
        <v>No existe información</v>
      </c>
      <c r="S237" t="str" cm="1">
        <f t="array" ref="S237">TRANSPOSE(_xlfn.UNIQUE(_xlfn._xlws.FILTER(T_ASIGNATURA1[NOM_ASIG],(T_ASIGNATURA1[ID_NIVEL]=ASIGNACION!$C237)*(T_ASIGNATURA1[ID_CARRERA]=ASIGNACION!$A237),"No existe información")))</f>
        <v>No existe información</v>
      </c>
      <c r="BQ237" s="1" t="str" cm="1">
        <f t="array" ref="BQ237">IFERROR(
    TRANSPOSE(
        _xlfn.UNIQUE(
            _xlfn._xlws.FILTER(
                Tabla1_1[MAESTRIA],
                ISNUMBER(MATCH(Tabla1_1[CAMPO_DETALLADO],BD238:BP238,0))
            )
        )
    ),
"")</f>
        <v/>
      </c>
      <c r="EA237" t="str" cm="1">
        <f t="array" ref="EA237">IFERROR(
    TRANSPOSE(
        _xlfn.UNIQUE(
            _xlfn._xlws.FILTER(
                Tabla1__2[NOMBRE_DOCENTE],
                ISNUMBER(MATCH(Tabla1__2[MAESTRIA],BQ237:DY237,0))
            )
        )
    ),
"")</f>
        <v/>
      </c>
    </row>
    <row r="238" spans="1:131" ht="20.25" customHeight="1">
      <c r="A238" t="str" cm="1">
        <f t="array" ref="A238">TRANSPOSE(_xlfn.UNIQUE(_xlfn._xlws.FILTER(T_ASIGNATURA1[ID_NIVEL],T_ASIGNATURA1[ID_CARRERA]=ASIGNACION!$A238,"No existe información")))</f>
        <v>No existe información</v>
      </c>
      <c r="S238" t="str" cm="1">
        <f t="array" ref="S238">TRANSPOSE(_xlfn.UNIQUE(_xlfn._xlws.FILTER(T_ASIGNATURA1[NOM_ASIG],(T_ASIGNATURA1[ID_NIVEL]=ASIGNACION!$C238)*(T_ASIGNATURA1[ID_CARRERA]=ASIGNACION!$A238),"No existe información")))</f>
        <v>No existe información</v>
      </c>
      <c r="BQ238" s="1" t="str" cm="1">
        <f t="array" ref="BQ238">IFERROR(
    TRANSPOSE(
        _xlfn.UNIQUE(
            _xlfn._xlws.FILTER(
                Tabla1_1[MAESTRIA],
                ISNUMBER(MATCH(Tabla1_1[CAMPO_DETALLADO],BD239:BP239,0))
            )
        )
    ),
"")</f>
        <v/>
      </c>
      <c r="EA238" t="str" cm="1">
        <f t="array" ref="EA238">IFERROR(
    TRANSPOSE(
        _xlfn.UNIQUE(
            _xlfn._xlws.FILTER(
                Tabla1__2[NOMBRE_DOCENTE],
                ISNUMBER(MATCH(Tabla1__2[MAESTRIA],BQ238:DY238,0))
            )
        )
    ),
"")</f>
        <v/>
      </c>
    </row>
    <row r="239" spans="1:131" ht="20.25" customHeight="1">
      <c r="A239" t="str" cm="1">
        <f t="array" ref="A239">TRANSPOSE(_xlfn.UNIQUE(_xlfn._xlws.FILTER(T_ASIGNATURA1[ID_NIVEL],T_ASIGNATURA1[ID_CARRERA]=ASIGNACION!$A239,"No existe información")))</f>
        <v>No existe información</v>
      </c>
      <c r="S239" t="str" cm="1">
        <f t="array" ref="S239">TRANSPOSE(_xlfn.UNIQUE(_xlfn._xlws.FILTER(T_ASIGNATURA1[NOM_ASIG],(T_ASIGNATURA1[ID_NIVEL]=ASIGNACION!$C239)*(T_ASIGNATURA1[ID_CARRERA]=ASIGNACION!$A239),"No existe información")))</f>
        <v>No existe información</v>
      </c>
      <c r="BQ239" s="1" t="str" cm="1">
        <f t="array" ref="BQ239">IFERROR(
    TRANSPOSE(
        _xlfn.UNIQUE(
            _xlfn._xlws.FILTER(
                Tabla1_1[MAESTRIA],
                ISNUMBER(MATCH(Tabla1_1[CAMPO_DETALLADO],BD240:BP240,0))
            )
        )
    ),
"")</f>
        <v/>
      </c>
      <c r="EA239" t="str" cm="1">
        <f t="array" ref="EA239">IFERROR(
    TRANSPOSE(
        _xlfn.UNIQUE(
            _xlfn._xlws.FILTER(
                Tabla1__2[NOMBRE_DOCENTE],
                ISNUMBER(MATCH(Tabla1__2[MAESTRIA],BQ239:DY239,0))
            )
        )
    ),
"")</f>
        <v/>
      </c>
    </row>
    <row r="240" spans="1:131" ht="20.25" customHeight="1">
      <c r="A240" t="str" cm="1">
        <f t="array" ref="A240">TRANSPOSE(_xlfn.UNIQUE(_xlfn._xlws.FILTER(T_ASIGNATURA1[ID_NIVEL],T_ASIGNATURA1[ID_CARRERA]=ASIGNACION!$A240,"No existe información")))</f>
        <v>No existe información</v>
      </c>
      <c r="S240" t="str" cm="1">
        <f t="array" ref="S240">TRANSPOSE(_xlfn.UNIQUE(_xlfn._xlws.FILTER(T_ASIGNATURA1[NOM_ASIG],(T_ASIGNATURA1[ID_NIVEL]=ASIGNACION!$C240)*(T_ASIGNATURA1[ID_CARRERA]=ASIGNACION!$A240),"No existe información")))</f>
        <v>No existe información</v>
      </c>
      <c r="BQ240" s="1" t="str" cm="1">
        <f t="array" ref="BQ240">IFERROR(
    TRANSPOSE(
        _xlfn.UNIQUE(
            _xlfn._xlws.FILTER(
                Tabla1_1[MAESTRIA],
                ISNUMBER(MATCH(Tabla1_1[CAMPO_DETALLADO],BD241:BP241,0))
            )
        )
    ),
"")</f>
        <v/>
      </c>
      <c r="EA240" t="str" cm="1">
        <f t="array" ref="EA240">IFERROR(
    TRANSPOSE(
        _xlfn.UNIQUE(
            _xlfn._xlws.FILTER(
                Tabla1__2[NOMBRE_DOCENTE],
                ISNUMBER(MATCH(Tabla1__2[MAESTRIA],BQ240:DY240,0))
            )
        )
    ),
"")</f>
        <v/>
      </c>
    </row>
    <row r="241" spans="1:131" ht="20.25" customHeight="1">
      <c r="A241" t="str" cm="1">
        <f t="array" ref="A241">TRANSPOSE(_xlfn.UNIQUE(_xlfn._xlws.FILTER(T_ASIGNATURA1[ID_NIVEL],T_ASIGNATURA1[ID_CARRERA]=ASIGNACION!$A241,"No existe información")))</f>
        <v>No existe información</v>
      </c>
      <c r="S241" t="str" cm="1">
        <f t="array" ref="S241">TRANSPOSE(_xlfn.UNIQUE(_xlfn._xlws.FILTER(T_ASIGNATURA1[NOM_ASIG],(T_ASIGNATURA1[ID_NIVEL]=ASIGNACION!$C241)*(T_ASIGNATURA1[ID_CARRERA]=ASIGNACION!$A241),"No existe información")))</f>
        <v>No existe información</v>
      </c>
      <c r="BQ241" s="1" t="str" cm="1">
        <f t="array" ref="BQ241">IFERROR(
    TRANSPOSE(
        _xlfn.UNIQUE(
            _xlfn._xlws.FILTER(
                Tabla1_1[MAESTRIA],
                ISNUMBER(MATCH(Tabla1_1[CAMPO_DETALLADO],BD242:BP242,0))
            )
        )
    ),
"")</f>
        <v/>
      </c>
      <c r="EA241" t="str" cm="1">
        <f t="array" ref="EA241">IFERROR(
    TRANSPOSE(
        _xlfn.UNIQUE(
            _xlfn._xlws.FILTER(
                Tabla1__2[NOMBRE_DOCENTE],
                ISNUMBER(MATCH(Tabla1__2[MAESTRIA],BQ241:DY241,0))
            )
        )
    ),
"")</f>
        <v/>
      </c>
    </row>
    <row r="242" spans="1:131" ht="20.25" customHeight="1">
      <c r="A242" t="str" cm="1">
        <f t="array" ref="A242">TRANSPOSE(_xlfn.UNIQUE(_xlfn._xlws.FILTER(T_ASIGNATURA1[ID_NIVEL],T_ASIGNATURA1[ID_CARRERA]=ASIGNACION!$A242,"No existe información")))</f>
        <v>No existe información</v>
      </c>
      <c r="S242" t="str" cm="1">
        <f t="array" ref="S242">TRANSPOSE(_xlfn.UNIQUE(_xlfn._xlws.FILTER(T_ASIGNATURA1[NOM_ASIG],(T_ASIGNATURA1[ID_NIVEL]=ASIGNACION!$C242)*(T_ASIGNATURA1[ID_CARRERA]=ASIGNACION!$A242),"No existe información")))</f>
        <v>No existe información</v>
      </c>
      <c r="BQ242" s="1" t="str" cm="1">
        <f t="array" ref="BQ242">IFERROR(
    TRANSPOSE(
        _xlfn.UNIQUE(
            _xlfn._xlws.FILTER(
                Tabla1_1[MAESTRIA],
                ISNUMBER(MATCH(Tabla1_1[CAMPO_DETALLADO],BD243:BP243,0))
            )
        )
    ),
"")</f>
        <v/>
      </c>
      <c r="EA242" t="str" cm="1">
        <f t="array" ref="EA242">IFERROR(
    TRANSPOSE(
        _xlfn.UNIQUE(
            _xlfn._xlws.FILTER(
                Tabla1__2[NOMBRE_DOCENTE],
                ISNUMBER(MATCH(Tabla1__2[MAESTRIA],BQ242:DY242,0))
            )
        )
    ),
"")</f>
        <v/>
      </c>
    </row>
    <row r="243" spans="1:131" ht="20.25" customHeight="1">
      <c r="A243" t="str" cm="1">
        <f t="array" ref="A243">TRANSPOSE(_xlfn.UNIQUE(_xlfn._xlws.FILTER(T_ASIGNATURA1[ID_NIVEL],T_ASIGNATURA1[ID_CARRERA]=ASIGNACION!$A243,"No existe información")))</f>
        <v>No existe información</v>
      </c>
      <c r="S243" t="str" cm="1">
        <f t="array" ref="S243">TRANSPOSE(_xlfn.UNIQUE(_xlfn._xlws.FILTER(T_ASIGNATURA1[NOM_ASIG],(T_ASIGNATURA1[ID_NIVEL]=ASIGNACION!$C243)*(T_ASIGNATURA1[ID_CARRERA]=ASIGNACION!$A243),"No existe información")))</f>
        <v>No existe información</v>
      </c>
      <c r="BQ243" s="1" t="str" cm="1">
        <f t="array" ref="BQ243">IFERROR(
    TRANSPOSE(
        _xlfn.UNIQUE(
            _xlfn._xlws.FILTER(
                Tabla1_1[MAESTRIA],
                ISNUMBER(MATCH(Tabla1_1[CAMPO_DETALLADO],BD244:BP244,0))
            )
        )
    ),
"")</f>
        <v/>
      </c>
      <c r="EA243" t="str" cm="1">
        <f t="array" ref="EA243">IFERROR(
    TRANSPOSE(
        _xlfn.UNIQUE(
            _xlfn._xlws.FILTER(
                Tabla1__2[NOMBRE_DOCENTE],
                ISNUMBER(MATCH(Tabla1__2[MAESTRIA],BQ243:DY243,0))
            )
        )
    ),
"")</f>
        <v/>
      </c>
    </row>
    <row r="244" spans="1:131" ht="20.25" customHeight="1">
      <c r="A244" t="str" cm="1">
        <f t="array" ref="A244">TRANSPOSE(_xlfn.UNIQUE(_xlfn._xlws.FILTER(T_ASIGNATURA1[ID_NIVEL],T_ASIGNATURA1[ID_CARRERA]=ASIGNACION!$A244,"No existe información")))</f>
        <v>No existe información</v>
      </c>
      <c r="S244" t="str" cm="1">
        <f t="array" ref="S244">TRANSPOSE(_xlfn.UNIQUE(_xlfn._xlws.FILTER(T_ASIGNATURA1[NOM_ASIG],(T_ASIGNATURA1[ID_NIVEL]=ASIGNACION!$C244)*(T_ASIGNATURA1[ID_CARRERA]=ASIGNACION!$A244),"No existe información")))</f>
        <v>No existe información</v>
      </c>
      <c r="BQ244" s="1" t="str" cm="1">
        <f t="array" ref="BQ244">IFERROR(
    TRANSPOSE(
        _xlfn.UNIQUE(
            _xlfn._xlws.FILTER(
                Tabla1_1[MAESTRIA],
                ISNUMBER(MATCH(Tabla1_1[CAMPO_DETALLADO],BD245:BP245,0))
            )
        )
    ),
"")</f>
        <v/>
      </c>
      <c r="EA244" t="str" cm="1">
        <f t="array" ref="EA244">IFERROR(
    TRANSPOSE(
        _xlfn.UNIQUE(
            _xlfn._xlws.FILTER(
                Tabla1__2[NOMBRE_DOCENTE],
                ISNUMBER(MATCH(Tabla1__2[MAESTRIA],BQ244:DY244,0))
            )
        )
    ),
"")</f>
        <v/>
      </c>
    </row>
    <row r="245" spans="1:131" ht="20.25" customHeight="1">
      <c r="A245" t="str" cm="1">
        <f t="array" ref="A245">TRANSPOSE(_xlfn.UNIQUE(_xlfn._xlws.FILTER(T_ASIGNATURA1[ID_NIVEL],T_ASIGNATURA1[ID_CARRERA]=ASIGNACION!$A245,"No existe información")))</f>
        <v>No existe información</v>
      </c>
      <c r="S245" t="str" cm="1">
        <f t="array" ref="S245">TRANSPOSE(_xlfn.UNIQUE(_xlfn._xlws.FILTER(T_ASIGNATURA1[NOM_ASIG],(T_ASIGNATURA1[ID_NIVEL]=ASIGNACION!$C245)*(T_ASIGNATURA1[ID_CARRERA]=ASIGNACION!$A245),"No existe información")))</f>
        <v>No existe información</v>
      </c>
      <c r="BQ245" s="1" t="str" cm="1">
        <f t="array" ref="BQ245">IFERROR(
    TRANSPOSE(
        _xlfn.UNIQUE(
            _xlfn._xlws.FILTER(
                Tabla1_1[MAESTRIA],
                ISNUMBER(MATCH(Tabla1_1[CAMPO_DETALLADO],BD246:BP246,0))
            )
        )
    ),
"")</f>
        <v/>
      </c>
      <c r="EA245" t="str" cm="1">
        <f t="array" ref="EA245">IFERROR(
    TRANSPOSE(
        _xlfn.UNIQUE(
            _xlfn._xlws.FILTER(
                Tabla1__2[NOMBRE_DOCENTE],
                ISNUMBER(MATCH(Tabla1__2[MAESTRIA],BQ245:DY245,0))
            )
        )
    ),
"")</f>
        <v/>
      </c>
    </row>
    <row r="246" spans="1:131" ht="20.25" customHeight="1">
      <c r="A246" t="str" cm="1">
        <f t="array" ref="A246">TRANSPOSE(_xlfn.UNIQUE(_xlfn._xlws.FILTER(T_ASIGNATURA1[ID_NIVEL],T_ASIGNATURA1[ID_CARRERA]=ASIGNACION!$A246,"No existe información")))</f>
        <v>No existe información</v>
      </c>
      <c r="S246" t="str" cm="1">
        <f t="array" ref="S246">TRANSPOSE(_xlfn.UNIQUE(_xlfn._xlws.FILTER(T_ASIGNATURA1[NOM_ASIG],(T_ASIGNATURA1[ID_NIVEL]=ASIGNACION!$C246)*(T_ASIGNATURA1[ID_CARRERA]=ASIGNACION!$A246),"No existe información")))</f>
        <v>No existe información</v>
      </c>
      <c r="BQ246" s="1" t="str" cm="1">
        <f t="array" ref="BQ246">IFERROR(
    TRANSPOSE(
        _xlfn.UNIQUE(
            _xlfn._xlws.FILTER(
                Tabla1_1[MAESTRIA],
                ISNUMBER(MATCH(Tabla1_1[CAMPO_DETALLADO],BD247:BP247,0))
            )
        )
    ),
"")</f>
        <v/>
      </c>
      <c r="EA246" t="str" cm="1">
        <f t="array" ref="EA246">IFERROR(
    TRANSPOSE(
        _xlfn.UNIQUE(
            _xlfn._xlws.FILTER(
                Tabla1__2[NOMBRE_DOCENTE],
                ISNUMBER(MATCH(Tabla1__2[MAESTRIA],BQ246:DY246,0))
            )
        )
    ),
"")</f>
        <v/>
      </c>
    </row>
    <row r="247" spans="1:131" ht="20.25" customHeight="1">
      <c r="A247" t="str" cm="1">
        <f t="array" ref="A247">TRANSPOSE(_xlfn.UNIQUE(_xlfn._xlws.FILTER(T_ASIGNATURA1[ID_NIVEL],T_ASIGNATURA1[ID_CARRERA]=ASIGNACION!$A247,"No existe información")))</f>
        <v>No existe información</v>
      </c>
      <c r="S247" t="str" cm="1">
        <f t="array" ref="S247">TRANSPOSE(_xlfn.UNIQUE(_xlfn._xlws.FILTER(T_ASIGNATURA1[NOM_ASIG],(T_ASIGNATURA1[ID_NIVEL]=ASIGNACION!$C247)*(T_ASIGNATURA1[ID_CARRERA]=ASIGNACION!$A247),"No existe información")))</f>
        <v>No existe información</v>
      </c>
      <c r="BQ247" s="1" t="str" cm="1">
        <f t="array" ref="BQ247">IFERROR(
    TRANSPOSE(
        _xlfn.UNIQUE(
            _xlfn._xlws.FILTER(
                Tabla1_1[MAESTRIA],
                ISNUMBER(MATCH(Tabla1_1[CAMPO_DETALLADO],BD248:BP248,0))
            )
        )
    ),
"")</f>
        <v/>
      </c>
      <c r="EA247" t="str" cm="1">
        <f t="array" ref="EA247">IFERROR(
    TRANSPOSE(
        _xlfn.UNIQUE(
            _xlfn._xlws.FILTER(
                Tabla1__2[NOMBRE_DOCENTE],
                ISNUMBER(MATCH(Tabla1__2[MAESTRIA],BQ247:DY247,0))
            )
        )
    ),
"")</f>
        <v/>
      </c>
    </row>
    <row r="248" spans="1:131" ht="20.25" customHeight="1">
      <c r="A248" t="str" cm="1">
        <f t="array" ref="A248">TRANSPOSE(_xlfn.UNIQUE(_xlfn._xlws.FILTER(T_ASIGNATURA1[ID_NIVEL],T_ASIGNATURA1[ID_CARRERA]=ASIGNACION!$A248,"No existe información")))</f>
        <v>No existe información</v>
      </c>
      <c r="S248" t="str" cm="1">
        <f t="array" ref="S248">TRANSPOSE(_xlfn.UNIQUE(_xlfn._xlws.FILTER(T_ASIGNATURA1[NOM_ASIG],(T_ASIGNATURA1[ID_NIVEL]=ASIGNACION!$C248)*(T_ASIGNATURA1[ID_CARRERA]=ASIGNACION!$A248),"No existe información")))</f>
        <v>No existe información</v>
      </c>
      <c r="BQ248" s="1" t="str" cm="1">
        <f t="array" ref="BQ248">IFERROR(
    TRANSPOSE(
        _xlfn.UNIQUE(
            _xlfn._xlws.FILTER(
                Tabla1_1[MAESTRIA],
                ISNUMBER(MATCH(Tabla1_1[CAMPO_DETALLADO],BD249:BP249,0))
            )
        )
    ),
"")</f>
        <v/>
      </c>
      <c r="EA248" t="str" cm="1">
        <f t="array" ref="EA248">IFERROR(
    TRANSPOSE(
        _xlfn.UNIQUE(
            _xlfn._xlws.FILTER(
                Tabla1__2[NOMBRE_DOCENTE],
                ISNUMBER(MATCH(Tabla1__2[MAESTRIA],BQ248:DY248,0))
            )
        )
    ),
"")</f>
        <v/>
      </c>
    </row>
    <row r="249" spans="1:131" ht="20.25" customHeight="1">
      <c r="A249" t="str" cm="1">
        <f t="array" ref="A249">TRANSPOSE(_xlfn.UNIQUE(_xlfn._xlws.FILTER(T_ASIGNATURA1[ID_NIVEL],T_ASIGNATURA1[ID_CARRERA]=ASIGNACION!$A249,"No existe información")))</f>
        <v>No existe información</v>
      </c>
      <c r="S249" t="str" cm="1">
        <f t="array" ref="S249">TRANSPOSE(_xlfn.UNIQUE(_xlfn._xlws.FILTER(T_ASIGNATURA1[NOM_ASIG],(T_ASIGNATURA1[ID_NIVEL]=ASIGNACION!$C249)*(T_ASIGNATURA1[ID_CARRERA]=ASIGNACION!$A249),"No existe información")))</f>
        <v>No existe información</v>
      </c>
      <c r="BQ249" s="1" t="str" cm="1">
        <f t="array" ref="BQ249">IFERROR(
    TRANSPOSE(
        _xlfn.UNIQUE(
            _xlfn._xlws.FILTER(
                Tabla1_1[MAESTRIA],
                ISNUMBER(MATCH(Tabla1_1[CAMPO_DETALLADO],BD250:BP250,0))
            )
        )
    ),
"")</f>
        <v/>
      </c>
      <c r="EA249" t="str" cm="1">
        <f t="array" ref="EA249">IFERROR(
    TRANSPOSE(
        _xlfn.UNIQUE(
            _xlfn._xlws.FILTER(
                Tabla1__2[NOMBRE_DOCENTE],
                ISNUMBER(MATCH(Tabla1__2[MAESTRIA],BQ249:DY249,0))
            )
        )
    ),
"")</f>
        <v/>
      </c>
    </row>
    <row r="250" spans="1:131" ht="20.25" customHeight="1">
      <c r="A250" t="str" cm="1">
        <f t="array" ref="A250">TRANSPOSE(_xlfn.UNIQUE(_xlfn._xlws.FILTER(T_ASIGNATURA1[ID_NIVEL],T_ASIGNATURA1[ID_CARRERA]=ASIGNACION!$A250,"No existe información")))</f>
        <v>No existe información</v>
      </c>
      <c r="S250" t="str" cm="1">
        <f t="array" ref="S250">TRANSPOSE(_xlfn.UNIQUE(_xlfn._xlws.FILTER(T_ASIGNATURA1[NOM_ASIG],(T_ASIGNATURA1[ID_NIVEL]=ASIGNACION!$C250)*(T_ASIGNATURA1[ID_CARRERA]=ASIGNACION!$A250),"No existe información")))</f>
        <v>No existe información</v>
      </c>
      <c r="BQ250" s="1" t="str" cm="1">
        <f t="array" ref="BQ250">IFERROR(
    TRANSPOSE(
        _xlfn.UNIQUE(
            _xlfn._xlws.FILTER(
                Tabla1_1[MAESTRIA],
                ISNUMBER(MATCH(Tabla1_1[CAMPO_DETALLADO],BD251:BP251,0))
            )
        )
    ),
"")</f>
        <v/>
      </c>
      <c r="EA250" t="str" cm="1">
        <f t="array" ref="EA250">IFERROR(
    TRANSPOSE(
        _xlfn.UNIQUE(
            _xlfn._xlws.FILTER(
                Tabla1__2[NOMBRE_DOCENTE],
                ISNUMBER(MATCH(Tabla1__2[MAESTRIA],BQ250:DY250,0))
            )
        )
    ),
"")</f>
        <v/>
      </c>
    </row>
    <row r="251" spans="1:131" ht="20.25" customHeight="1">
      <c r="A251" t="str" cm="1">
        <f t="array" ref="A251">TRANSPOSE(_xlfn.UNIQUE(_xlfn._xlws.FILTER(T_ASIGNATURA1[ID_NIVEL],T_ASIGNATURA1[ID_CARRERA]=ASIGNACION!$A251,"No existe información")))</f>
        <v>No existe información</v>
      </c>
      <c r="S251" t="str" cm="1">
        <f t="array" ref="S251">TRANSPOSE(_xlfn.UNIQUE(_xlfn._xlws.FILTER(T_ASIGNATURA1[NOM_ASIG],(T_ASIGNATURA1[ID_NIVEL]=ASIGNACION!$C251)*(T_ASIGNATURA1[ID_CARRERA]=ASIGNACION!$A251),"No existe información")))</f>
        <v>No existe información</v>
      </c>
      <c r="BQ251" s="1" t="str" cm="1">
        <f t="array" ref="BQ251">IFERROR(
    TRANSPOSE(
        _xlfn.UNIQUE(
            _xlfn._xlws.FILTER(
                Tabla1_1[MAESTRIA],
                ISNUMBER(MATCH(Tabla1_1[CAMPO_DETALLADO],BD252:BP252,0))
            )
        )
    ),
"")</f>
        <v/>
      </c>
      <c r="EA251" t="str" cm="1">
        <f t="array" ref="EA251">IFERROR(
    TRANSPOSE(
        _xlfn.UNIQUE(
            _xlfn._xlws.FILTER(
                Tabla1__2[NOMBRE_DOCENTE],
                ISNUMBER(MATCH(Tabla1__2[MAESTRIA],BQ251:DY251,0))
            )
        )
    ),
"")</f>
        <v/>
      </c>
    </row>
    <row r="252" spans="1:131" ht="20.25" customHeight="1">
      <c r="A252" t="str" cm="1">
        <f t="array" ref="A252">TRANSPOSE(_xlfn.UNIQUE(_xlfn._xlws.FILTER(T_ASIGNATURA1[ID_NIVEL],T_ASIGNATURA1[ID_CARRERA]=ASIGNACION!$A252,"No existe información")))</f>
        <v>No existe información</v>
      </c>
      <c r="S252" t="str" cm="1">
        <f t="array" ref="S252">TRANSPOSE(_xlfn.UNIQUE(_xlfn._xlws.FILTER(T_ASIGNATURA1[NOM_ASIG],(T_ASIGNATURA1[ID_NIVEL]=ASIGNACION!$C252)*(T_ASIGNATURA1[ID_CARRERA]=ASIGNACION!$A252),"No existe información")))</f>
        <v>No existe información</v>
      </c>
      <c r="BQ252" s="1" t="str" cm="1">
        <f t="array" ref="BQ252">IFERROR(
    TRANSPOSE(
        _xlfn.UNIQUE(
            _xlfn._xlws.FILTER(
                Tabla1_1[MAESTRIA],
                ISNUMBER(MATCH(Tabla1_1[CAMPO_DETALLADO],BD253:BP253,0))
            )
        )
    ),
"")</f>
        <v/>
      </c>
      <c r="EA252" t="str" cm="1">
        <f t="array" ref="EA252">IFERROR(
    TRANSPOSE(
        _xlfn.UNIQUE(
            _xlfn._xlws.FILTER(
                Tabla1__2[NOMBRE_DOCENTE],
                ISNUMBER(MATCH(Tabla1__2[MAESTRIA],BQ252:DY252,0))
            )
        )
    ),
"")</f>
        <v/>
      </c>
    </row>
    <row r="253" spans="1:131" ht="20.25" customHeight="1">
      <c r="A253" t="str" cm="1">
        <f t="array" ref="A253">TRANSPOSE(_xlfn.UNIQUE(_xlfn._xlws.FILTER(T_ASIGNATURA1[ID_NIVEL],T_ASIGNATURA1[ID_CARRERA]=ASIGNACION!$A253,"No existe información")))</f>
        <v>No existe información</v>
      </c>
      <c r="S253" t="str" cm="1">
        <f t="array" ref="S253">TRANSPOSE(_xlfn.UNIQUE(_xlfn._xlws.FILTER(T_ASIGNATURA1[NOM_ASIG],(T_ASIGNATURA1[ID_NIVEL]=ASIGNACION!$C253)*(T_ASIGNATURA1[ID_CARRERA]=ASIGNACION!$A253),"No existe información")))</f>
        <v>No existe información</v>
      </c>
      <c r="BQ253" s="1" t="str" cm="1">
        <f t="array" ref="BQ253">IFERROR(
    TRANSPOSE(
        _xlfn.UNIQUE(
            _xlfn._xlws.FILTER(
                Tabla1_1[MAESTRIA],
                ISNUMBER(MATCH(Tabla1_1[CAMPO_DETALLADO],BD254:BP254,0))
            )
        )
    ),
"")</f>
        <v/>
      </c>
      <c r="EA253" t="str" cm="1">
        <f t="array" ref="EA253">IFERROR(
    TRANSPOSE(
        _xlfn.UNIQUE(
            _xlfn._xlws.FILTER(
                Tabla1__2[NOMBRE_DOCENTE],
                ISNUMBER(MATCH(Tabla1__2[MAESTRIA],BQ253:DY253,0))
            )
        )
    ),
"")</f>
        <v/>
      </c>
    </row>
    <row r="254" spans="1:131" ht="20.25" customHeight="1">
      <c r="A254" t="str" cm="1">
        <f t="array" ref="A254">TRANSPOSE(_xlfn.UNIQUE(_xlfn._xlws.FILTER(T_ASIGNATURA1[ID_NIVEL],T_ASIGNATURA1[ID_CARRERA]=ASIGNACION!$A254,"No existe información")))</f>
        <v>No existe información</v>
      </c>
      <c r="S254" t="str" cm="1">
        <f t="array" ref="S254">TRANSPOSE(_xlfn.UNIQUE(_xlfn._xlws.FILTER(T_ASIGNATURA1[NOM_ASIG],(T_ASIGNATURA1[ID_NIVEL]=ASIGNACION!$C254)*(T_ASIGNATURA1[ID_CARRERA]=ASIGNACION!$A254),"No existe información")))</f>
        <v>No existe información</v>
      </c>
      <c r="BQ254" s="1" t="str" cm="1">
        <f t="array" ref="BQ254">IFERROR(
    TRANSPOSE(
        _xlfn.UNIQUE(
            _xlfn._xlws.FILTER(
                Tabla1_1[MAESTRIA],
                ISNUMBER(MATCH(Tabla1_1[CAMPO_DETALLADO],BD255:BP255,0))
            )
        )
    ),
"")</f>
        <v/>
      </c>
      <c r="EA254" t="str" cm="1">
        <f t="array" ref="EA254">IFERROR(
    TRANSPOSE(
        _xlfn.UNIQUE(
            _xlfn._xlws.FILTER(
                Tabla1__2[NOMBRE_DOCENTE],
                ISNUMBER(MATCH(Tabla1__2[MAESTRIA],BQ254:DY254,0))
            )
        )
    ),
"")</f>
        <v/>
      </c>
    </row>
    <row r="255" spans="1:131" ht="20.25" customHeight="1">
      <c r="A255" t="str" cm="1">
        <f t="array" ref="A255">TRANSPOSE(_xlfn.UNIQUE(_xlfn._xlws.FILTER(T_ASIGNATURA1[ID_NIVEL],T_ASIGNATURA1[ID_CARRERA]=ASIGNACION!$A255,"No existe información")))</f>
        <v>No existe información</v>
      </c>
      <c r="S255" t="str" cm="1">
        <f t="array" ref="S255">TRANSPOSE(_xlfn.UNIQUE(_xlfn._xlws.FILTER(T_ASIGNATURA1[NOM_ASIG],(T_ASIGNATURA1[ID_NIVEL]=ASIGNACION!$C255)*(T_ASIGNATURA1[ID_CARRERA]=ASIGNACION!$A255),"No existe información")))</f>
        <v>No existe información</v>
      </c>
      <c r="BQ255" s="1" t="str" cm="1">
        <f t="array" ref="BQ255">IFERROR(
    TRANSPOSE(
        _xlfn.UNIQUE(
            _xlfn._xlws.FILTER(
                Tabla1_1[MAESTRIA],
                ISNUMBER(MATCH(Tabla1_1[CAMPO_DETALLADO],BD256:BP256,0))
            )
        )
    ),
"")</f>
        <v/>
      </c>
      <c r="EA255" t="str" cm="1">
        <f t="array" ref="EA255">IFERROR(
    TRANSPOSE(
        _xlfn.UNIQUE(
            _xlfn._xlws.FILTER(
                Tabla1__2[NOMBRE_DOCENTE],
                ISNUMBER(MATCH(Tabla1__2[MAESTRIA],BQ255:DY255,0))
            )
        )
    ),
"")</f>
        <v/>
      </c>
    </row>
    <row r="256" spans="1:131" ht="20.25" customHeight="1">
      <c r="A256" t="str" cm="1">
        <f t="array" ref="A256">TRANSPOSE(_xlfn.UNIQUE(_xlfn._xlws.FILTER(T_ASIGNATURA1[ID_NIVEL],T_ASIGNATURA1[ID_CARRERA]=ASIGNACION!$A256,"No existe información")))</f>
        <v>No existe información</v>
      </c>
      <c r="S256" t="str" cm="1">
        <f t="array" ref="S256">TRANSPOSE(_xlfn.UNIQUE(_xlfn._xlws.FILTER(T_ASIGNATURA1[NOM_ASIG],(T_ASIGNATURA1[ID_NIVEL]=ASIGNACION!$C256)*(T_ASIGNATURA1[ID_CARRERA]=ASIGNACION!$A256),"No existe información")))</f>
        <v>No existe información</v>
      </c>
      <c r="BQ256" s="1" t="str" cm="1">
        <f t="array" ref="BQ256">IFERROR(
    TRANSPOSE(
        _xlfn.UNIQUE(
            _xlfn._xlws.FILTER(
                Tabla1_1[MAESTRIA],
                ISNUMBER(MATCH(Tabla1_1[CAMPO_DETALLADO],BD257:BP257,0))
            )
        )
    ),
"")</f>
        <v/>
      </c>
      <c r="EA256" t="str" cm="1">
        <f t="array" ref="EA256">IFERROR(
    TRANSPOSE(
        _xlfn.UNIQUE(
            _xlfn._xlws.FILTER(
                Tabla1__2[NOMBRE_DOCENTE],
                ISNUMBER(MATCH(Tabla1__2[MAESTRIA],BQ256:DY256,0))
            )
        )
    ),
"")</f>
        <v/>
      </c>
    </row>
    <row r="257" spans="1:131" ht="20.25" customHeight="1">
      <c r="A257" t="str" cm="1">
        <f t="array" ref="A257">TRANSPOSE(_xlfn.UNIQUE(_xlfn._xlws.FILTER(T_ASIGNATURA1[ID_NIVEL],T_ASIGNATURA1[ID_CARRERA]=ASIGNACION!$A257,"No existe información")))</f>
        <v>No existe información</v>
      </c>
      <c r="S257" t="str" cm="1">
        <f t="array" ref="S257">TRANSPOSE(_xlfn.UNIQUE(_xlfn._xlws.FILTER(T_ASIGNATURA1[NOM_ASIG],(T_ASIGNATURA1[ID_NIVEL]=ASIGNACION!$C257)*(T_ASIGNATURA1[ID_CARRERA]=ASIGNACION!$A257),"No existe información")))</f>
        <v>No existe información</v>
      </c>
      <c r="BQ257" s="1" t="str" cm="1">
        <f t="array" ref="BQ257">IFERROR(
    TRANSPOSE(
        _xlfn.UNIQUE(
            _xlfn._xlws.FILTER(
                Tabla1_1[MAESTRIA],
                ISNUMBER(MATCH(Tabla1_1[CAMPO_DETALLADO],BD258:BP258,0))
            )
        )
    ),
"")</f>
        <v/>
      </c>
      <c r="EA257" t="str" cm="1">
        <f t="array" ref="EA257">IFERROR(
    TRANSPOSE(
        _xlfn.UNIQUE(
            _xlfn._xlws.FILTER(
                Tabla1__2[NOMBRE_DOCENTE],
                ISNUMBER(MATCH(Tabla1__2[MAESTRIA],BQ257:DY257,0))
            )
        )
    ),
"")</f>
        <v/>
      </c>
    </row>
    <row r="258" spans="1:131" ht="20.25" customHeight="1">
      <c r="A258" t="str" cm="1">
        <f t="array" ref="A258">TRANSPOSE(_xlfn.UNIQUE(_xlfn._xlws.FILTER(T_ASIGNATURA1[ID_NIVEL],T_ASIGNATURA1[ID_CARRERA]=ASIGNACION!$A258,"No existe información")))</f>
        <v>No existe información</v>
      </c>
      <c r="S258" t="str" cm="1">
        <f t="array" ref="S258">TRANSPOSE(_xlfn.UNIQUE(_xlfn._xlws.FILTER(T_ASIGNATURA1[NOM_ASIG],(T_ASIGNATURA1[ID_NIVEL]=ASIGNACION!$C258)*(T_ASIGNATURA1[ID_CARRERA]=ASIGNACION!$A258),"No existe información")))</f>
        <v>No existe información</v>
      </c>
      <c r="BQ258" s="1" t="str" cm="1">
        <f t="array" ref="BQ258">IFERROR(
    TRANSPOSE(
        _xlfn.UNIQUE(
            _xlfn._xlws.FILTER(
                Tabla1_1[MAESTRIA],
                ISNUMBER(MATCH(Tabla1_1[CAMPO_DETALLADO],BD259:BP259,0))
            )
        )
    ),
"")</f>
        <v/>
      </c>
      <c r="EA258" t="str" cm="1">
        <f t="array" ref="EA258">IFERROR(
    TRANSPOSE(
        _xlfn.UNIQUE(
            _xlfn._xlws.FILTER(
                Tabla1__2[NOMBRE_DOCENTE],
                ISNUMBER(MATCH(Tabla1__2[MAESTRIA],BQ258:DY258,0))
            )
        )
    ),
"")</f>
        <v/>
      </c>
    </row>
    <row r="259" spans="1:131" ht="20.25" customHeight="1">
      <c r="A259" t="str" cm="1">
        <f t="array" ref="A259">TRANSPOSE(_xlfn.UNIQUE(_xlfn._xlws.FILTER(T_ASIGNATURA1[ID_NIVEL],T_ASIGNATURA1[ID_CARRERA]=ASIGNACION!$A259,"No existe información")))</f>
        <v>No existe información</v>
      </c>
      <c r="S259" t="str" cm="1">
        <f t="array" ref="S259">TRANSPOSE(_xlfn.UNIQUE(_xlfn._xlws.FILTER(T_ASIGNATURA1[NOM_ASIG],(T_ASIGNATURA1[ID_NIVEL]=ASIGNACION!$C259)*(T_ASIGNATURA1[ID_CARRERA]=ASIGNACION!$A259),"No existe información")))</f>
        <v>No existe información</v>
      </c>
      <c r="BQ259" s="1" t="str" cm="1">
        <f t="array" ref="BQ259">IFERROR(
    TRANSPOSE(
        _xlfn.UNIQUE(
            _xlfn._xlws.FILTER(
                Tabla1_1[MAESTRIA],
                ISNUMBER(MATCH(Tabla1_1[CAMPO_DETALLADO],BD260:BP260,0))
            )
        )
    ),
"")</f>
        <v/>
      </c>
      <c r="EA259" t="str" cm="1">
        <f t="array" ref="EA259">IFERROR(
    TRANSPOSE(
        _xlfn.UNIQUE(
            _xlfn._xlws.FILTER(
                Tabla1__2[NOMBRE_DOCENTE],
                ISNUMBER(MATCH(Tabla1__2[MAESTRIA],BQ259:DY259,0))
            )
        )
    ),
"")</f>
        <v/>
      </c>
    </row>
    <row r="260" spans="1:131" ht="20.25" customHeight="1">
      <c r="A260" t="str" cm="1">
        <f t="array" ref="A260">TRANSPOSE(_xlfn.UNIQUE(_xlfn._xlws.FILTER(T_ASIGNATURA1[ID_NIVEL],T_ASIGNATURA1[ID_CARRERA]=ASIGNACION!$A260,"No existe información")))</f>
        <v>No existe información</v>
      </c>
      <c r="S260" t="str" cm="1">
        <f t="array" ref="S260">TRANSPOSE(_xlfn.UNIQUE(_xlfn._xlws.FILTER(T_ASIGNATURA1[NOM_ASIG],(T_ASIGNATURA1[ID_NIVEL]=ASIGNACION!$C260)*(T_ASIGNATURA1[ID_CARRERA]=ASIGNACION!$A260),"No existe información")))</f>
        <v>No existe información</v>
      </c>
      <c r="BQ260" s="1" t="str" cm="1">
        <f t="array" ref="BQ260">IFERROR(
    TRANSPOSE(
        _xlfn.UNIQUE(
            _xlfn._xlws.FILTER(
                Tabla1_1[MAESTRIA],
                ISNUMBER(MATCH(Tabla1_1[CAMPO_DETALLADO],BD261:BP261,0))
            )
        )
    ),
"")</f>
        <v/>
      </c>
      <c r="EA260" t="str" cm="1">
        <f t="array" ref="EA260">IFERROR(
    TRANSPOSE(
        _xlfn.UNIQUE(
            _xlfn._xlws.FILTER(
                Tabla1__2[NOMBRE_DOCENTE],
                ISNUMBER(MATCH(Tabla1__2[MAESTRIA],BQ260:DY260,0))
            )
        )
    ),
"")</f>
        <v/>
      </c>
    </row>
    <row r="261" spans="1:131" ht="20.25" customHeight="1">
      <c r="A261" t="str" cm="1">
        <f t="array" ref="A261">TRANSPOSE(_xlfn.UNIQUE(_xlfn._xlws.FILTER(T_ASIGNATURA1[ID_NIVEL],T_ASIGNATURA1[ID_CARRERA]=ASIGNACION!$A261,"No existe información")))</f>
        <v>No existe información</v>
      </c>
      <c r="S261" t="str" cm="1">
        <f t="array" ref="S261">TRANSPOSE(_xlfn.UNIQUE(_xlfn._xlws.FILTER(T_ASIGNATURA1[NOM_ASIG],(T_ASIGNATURA1[ID_NIVEL]=ASIGNACION!$C261)*(T_ASIGNATURA1[ID_CARRERA]=ASIGNACION!$A261),"No existe información")))</f>
        <v>No existe información</v>
      </c>
      <c r="BQ261" s="1" t="str" cm="1">
        <f t="array" ref="BQ261">IFERROR(
    TRANSPOSE(
        _xlfn.UNIQUE(
            _xlfn._xlws.FILTER(
                Tabla1_1[MAESTRIA],
                ISNUMBER(MATCH(Tabla1_1[CAMPO_DETALLADO],BD262:BP262,0))
            )
        )
    ),
"")</f>
        <v/>
      </c>
      <c r="EA261" t="str" cm="1">
        <f t="array" ref="EA261">IFERROR(
    TRANSPOSE(
        _xlfn.UNIQUE(
            _xlfn._xlws.FILTER(
                Tabla1__2[NOMBRE_DOCENTE],
                ISNUMBER(MATCH(Tabla1__2[MAESTRIA],BQ261:DY261,0))
            )
        )
    ),
"")</f>
        <v/>
      </c>
    </row>
    <row r="262" spans="1:131" ht="20.25" customHeight="1">
      <c r="A262" t="str" cm="1">
        <f t="array" ref="A262">TRANSPOSE(_xlfn.UNIQUE(_xlfn._xlws.FILTER(T_ASIGNATURA1[ID_NIVEL],T_ASIGNATURA1[ID_CARRERA]=ASIGNACION!$A262,"No existe información")))</f>
        <v>No existe información</v>
      </c>
      <c r="S262" t="str" cm="1">
        <f t="array" ref="S262">TRANSPOSE(_xlfn.UNIQUE(_xlfn._xlws.FILTER(T_ASIGNATURA1[NOM_ASIG],(T_ASIGNATURA1[ID_NIVEL]=ASIGNACION!$C262)*(T_ASIGNATURA1[ID_CARRERA]=ASIGNACION!$A262),"No existe información")))</f>
        <v>No existe información</v>
      </c>
      <c r="BQ262" s="1" t="str" cm="1">
        <f t="array" ref="BQ262">IFERROR(
    TRANSPOSE(
        _xlfn.UNIQUE(
            _xlfn._xlws.FILTER(
                Tabla1_1[MAESTRIA],
                ISNUMBER(MATCH(Tabla1_1[CAMPO_DETALLADO],BD263:BP263,0))
            )
        )
    ),
"")</f>
        <v/>
      </c>
      <c r="EA262" t="str" cm="1">
        <f t="array" ref="EA262">IFERROR(
    TRANSPOSE(
        _xlfn.UNIQUE(
            _xlfn._xlws.FILTER(
                Tabla1__2[NOMBRE_DOCENTE],
                ISNUMBER(MATCH(Tabla1__2[MAESTRIA],BQ262:DY262,0))
            )
        )
    ),
"")</f>
        <v/>
      </c>
    </row>
    <row r="263" spans="1:131" ht="20.25" customHeight="1">
      <c r="A263" t="str" cm="1">
        <f t="array" ref="A263">TRANSPOSE(_xlfn.UNIQUE(_xlfn._xlws.FILTER(T_ASIGNATURA1[ID_NIVEL],T_ASIGNATURA1[ID_CARRERA]=ASIGNACION!$A263,"No existe información")))</f>
        <v>No existe información</v>
      </c>
      <c r="S263" t="str" cm="1">
        <f t="array" ref="S263">TRANSPOSE(_xlfn.UNIQUE(_xlfn._xlws.FILTER(T_ASIGNATURA1[NOM_ASIG],(T_ASIGNATURA1[ID_NIVEL]=ASIGNACION!$C263)*(T_ASIGNATURA1[ID_CARRERA]=ASIGNACION!$A263),"No existe información")))</f>
        <v>No existe información</v>
      </c>
      <c r="BQ263" s="1" t="str" cm="1">
        <f t="array" ref="BQ263">IFERROR(
    TRANSPOSE(
        _xlfn.UNIQUE(
            _xlfn._xlws.FILTER(
                Tabla1_1[MAESTRIA],
                ISNUMBER(MATCH(Tabla1_1[CAMPO_DETALLADO],BD264:BP264,0))
            )
        )
    ),
"")</f>
        <v/>
      </c>
      <c r="EA263" t="str" cm="1">
        <f t="array" ref="EA263">IFERROR(
    TRANSPOSE(
        _xlfn.UNIQUE(
            _xlfn._xlws.FILTER(
                Tabla1__2[NOMBRE_DOCENTE],
                ISNUMBER(MATCH(Tabla1__2[MAESTRIA],BQ263:DY263,0))
            )
        )
    ),
"")</f>
        <v/>
      </c>
    </row>
    <row r="264" spans="1:131" ht="20.25" customHeight="1">
      <c r="A264" t="str" cm="1">
        <f t="array" ref="A264">TRANSPOSE(_xlfn.UNIQUE(_xlfn._xlws.FILTER(T_ASIGNATURA1[ID_NIVEL],T_ASIGNATURA1[ID_CARRERA]=ASIGNACION!$A264,"No existe información")))</f>
        <v>No existe información</v>
      </c>
      <c r="S264" t="str" cm="1">
        <f t="array" ref="S264">TRANSPOSE(_xlfn.UNIQUE(_xlfn._xlws.FILTER(T_ASIGNATURA1[NOM_ASIG],(T_ASIGNATURA1[ID_NIVEL]=ASIGNACION!$C264)*(T_ASIGNATURA1[ID_CARRERA]=ASIGNACION!$A264),"No existe información")))</f>
        <v>No existe información</v>
      </c>
      <c r="BQ264" s="1" t="str" cm="1">
        <f t="array" ref="BQ264">IFERROR(
    TRANSPOSE(
        _xlfn.UNIQUE(
            _xlfn._xlws.FILTER(
                Tabla1_1[MAESTRIA],
                ISNUMBER(MATCH(Tabla1_1[CAMPO_DETALLADO],BD265:BP265,0))
            )
        )
    ),
"")</f>
        <v/>
      </c>
      <c r="EA264" t="str" cm="1">
        <f t="array" ref="EA264">IFERROR(
    TRANSPOSE(
        _xlfn.UNIQUE(
            _xlfn._xlws.FILTER(
                Tabla1__2[NOMBRE_DOCENTE],
                ISNUMBER(MATCH(Tabla1__2[MAESTRIA],BQ264:DY264,0))
            )
        )
    ),
"")</f>
        <v/>
      </c>
    </row>
    <row r="265" spans="1:131" ht="20.25" customHeight="1">
      <c r="A265" t="str" cm="1">
        <f t="array" ref="A265">TRANSPOSE(_xlfn.UNIQUE(_xlfn._xlws.FILTER(T_ASIGNATURA1[ID_NIVEL],T_ASIGNATURA1[ID_CARRERA]=ASIGNACION!$A265,"No existe información")))</f>
        <v>No existe información</v>
      </c>
      <c r="S265" t="str" cm="1">
        <f t="array" ref="S265">TRANSPOSE(_xlfn.UNIQUE(_xlfn._xlws.FILTER(T_ASIGNATURA1[NOM_ASIG],(T_ASIGNATURA1[ID_NIVEL]=ASIGNACION!$C265)*(T_ASIGNATURA1[ID_CARRERA]=ASIGNACION!$A265),"No existe información")))</f>
        <v>No existe información</v>
      </c>
      <c r="BQ265" s="1" t="str" cm="1">
        <f t="array" ref="BQ265">IFERROR(
    TRANSPOSE(
        _xlfn.UNIQUE(
            _xlfn._xlws.FILTER(
                Tabla1_1[MAESTRIA],
                ISNUMBER(MATCH(Tabla1_1[CAMPO_DETALLADO],BD266:BP266,0))
            )
        )
    ),
"")</f>
        <v/>
      </c>
      <c r="EA265" t="str" cm="1">
        <f t="array" ref="EA265">IFERROR(
    TRANSPOSE(
        _xlfn.UNIQUE(
            _xlfn._xlws.FILTER(
                Tabla1__2[NOMBRE_DOCENTE],
                ISNUMBER(MATCH(Tabla1__2[MAESTRIA],BQ265:DY265,0))
            )
        )
    ),
"")</f>
        <v/>
      </c>
    </row>
    <row r="266" spans="1:131" ht="20.25" customHeight="1">
      <c r="A266" t="str" cm="1">
        <f t="array" ref="A266">TRANSPOSE(_xlfn.UNIQUE(_xlfn._xlws.FILTER(T_ASIGNATURA1[ID_NIVEL],T_ASIGNATURA1[ID_CARRERA]=ASIGNACION!$A266,"No existe información")))</f>
        <v>No existe información</v>
      </c>
      <c r="S266" t="str" cm="1">
        <f t="array" ref="S266">TRANSPOSE(_xlfn.UNIQUE(_xlfn._xlws.FILTER(T_ASIGNATURA1[NOM_ASIG],(T_ASIGNATURA1[ID_NIVEL]=ASIGNACION!$C266)*(T_ASIGNATURA1[ID_CARRERA]=ASIGNACION!$A266),"No existe información")))</f>
        <v>No existe información</v>
      </c>
      <c r="BQ266" s="1" t="str" cm="1">
        <f t="array" ref="BQ266">IFERROR(
    TRANSPOSE(
        _xlfn.UNIQUE(
            _xlfn._xlws.FILTER(
                Tabla1_1[MAESTRIA],
                ISNUMBER(MATCH(Tabla1_1[CAMPO_DETALLADO],BD267:BP267,0))
            )
        )
    ),
"")</f>
        <v/>
      </c>
      <c r="EA266" t="str" cm="1">
        <f t="array" ref="EA266">IFERROR(
    TRANSPOSE(
        _xlfn.UNIQUE(
            _xlfn._xlws.FILTER(
                Tabla1__2[NOMBRE_DOCENTE],
                ISNUMBER(MATCH(Tabla1__2[MAESTRIA],BQ266:DY266,0))
            )
        )
    ),
"")</f>
        <v/>
      </c>
    </row>
    <row r="267" spans="1:131" ht="20.25" customHeight="1">
      <c r="A267" t="str" cm="1">
        <f t="array" ref="A267">TRANSPOSE(_xlfn.UNIQUE(_xlfn._xlws.FILTER(T_ASIGNATURA1[ID_NIVEL],T_ASIGNATURA1[ID_CARRERA]=ASIGNACION!$A267,"No existe información")))</f>
        <v>No existe información</v>
      </c>
      <c r="S267" t="str" cm="1">
        <f t="array" ref="S267">TRANSPOSE(_xlfn.UNIQUE(_xlfn._xlws.FILTER(T_ASIGNATURA1[NOM_ASIG],(T_ASIGNATURA1[ID_NIVEL]=ASIGNACION!$C267)*(T_ASIGNATURA1[ID_CARRERA]=ASIGNACION!$A267),"No existe información")))</f>
        <v>No existe información</v>
      </c>
      <c r="BQ267" s="1" t="str" cm="1">
        <f t="array" ref="BQ267">IFERROR(
    TRANSPOSE(
        _xlfn.UNIQUE(
            _xlfn._xlws.FILTER(
                Tabla1_1[MAESTRIA],
                ISNUMBER(MATCH(Tabla1_1[CAMPO_DETALLADO],BD268:BP268,0))
            )
        )
    ),
"")</f>
        <v/>
      </c>
      <c r="EA267" t="str" cm="1">
        <f t="array" ref="EA267">IFERROR(
    TRANSPOSE(
        _xlfn.UNIQUE(
            _xlfn._xlws.FILTER(
                Tabla1__2[NOMBRE_DOCENTE],
                ISNUMBER(MATCH(Tabla1__2[MAESTRIA],BQ267:DY267,0))
            )
        )
    ),
"")</f>
        <v/>
      </c>
    </row>
    <row r="268" spans="1:131" ht="20.25" customHeight="1">
      <c r="A268" t="str" cm="1">
        <f t="array" ref="A268">TRANSPOSE(_xlfn.UNIQUE(_xlfn._xlws.FILTER(T_ASIGNATURA1[ID_NIVEL],T_ASIGNATURA1[ID_CARRERA]=ASIGNACION!$A268,"No existe información")))</f>
        <v>No existe información</v>
      </c>
      <c r="S268" t="str" cm="1">
        <f t="array" ref="S268">TRANSPOSE(_xlfn.UNIQUE(_xlfn._xlws.FILTER(T_ASIGNATURA1[NOM_ASIG],(T_ASIGNATURA1[ID_NIVEL]=ASIGNACION!$C268)*(T_ASIGNATURA1[ID_CARRERA]=ASIGNACION!$A268),"No existe información")))</f>
        <v>No existe información</v>
      </c>
      <c r="BQ268" s="1" t="str" cm="1">
        <f t="array" ref="BQ268">IFERROR(
    TRANSPOSE(
        _xlfn.UNIQUE(
            _xlfn._xlws.FILTER(
                Tabla1_1[MAESTRIA],
                ISNUMBER(MATCH(Tabla1_1[CAMPO_DETALLADO],BD269:BP269,0))
            )
        )
    ),
"")</f>
        <v/>
      </c>
      <c r="EA268" t="str" cm="1">
        <f t="array" ref="EA268">IFERROR(
    TRANSPOSE(
        _xlfn.UNIQUE(
            _xlfn._xlws.FILTER(
                Tabla1__2[NOMBRE_DOCENTE],
                ISNUMBER(MATCH(Tabla1__2[MAESTRIA],BQ268:DY268,0))
            )
        )
    ),
"")</f>
        <v/>
      </c>
    </row>
    <row r="269" spans="1:131" ht="20.25" customHeight="1">
      <c r="A269" t="str" cm="1">
        <f t="array" ref="A269">TRANSPOSE(_xlfn.UNIQUE(_xlfn._xlws.FILTER(T_ASIGNATURA1[ID_NIVEL],T_ASIGNATURA1[ID_CARRERA]=ASIGNACION!$A269,"No existe información")))</f>
        <v>No existe información</v>
      </c>
      <c r="S269" t="str" cm="1">
        <f t="array" ref="S269">TRANSPOSE(_xlfn.UNIQUE(_xlfn._xlws.FILTER(T_ASIGNATURA1[NOM_ASIG],(T_ASIGNATURA1[ID_NIVEL]=ASIGNACION!$C269)*(T_ASIGNATURA1[ID_CARRERA]=ASIGNACION!$A269),"No existe información")))</f>
        <v>No existe información</v>
      </c>
      <c r="BQ269" s="1" t="str" cm="1">
        <f t="array" ref="BQ269">IFERROR(
    TRANSPOSE(
        _xlfn.UNIQUE(
            _xlfn._xlws.FILTER(
                Tabla1_1[MAESTRIA],
                ISNUMBER(MATCH(Tabla1_1[CAMPO_DETALLADO],BD270:BP270,0))
            )
        )
    ),
"")</f>
        <v/>
      </c>
      <c r="EA269" t="str" cm="1">
        <f t="array" ref="EA269">IFERROR(
    TRANSPOSE(
        _xlfn.UNIQUE(
            _xlfn._xlws.FILTER(
                Tabla1__2[NOMBRE_DOCENTE],
                ISNUMBER(MATCH(Tabla1__2[MAESTRIA],BQ269:DY269,0))
            )
        )
    ),
"")</f>
        <v/>
      </c>
    </row>
    <row r="270" spans="1:131" ht="20.25" customHeight="1">
      <c r="A270" t="str" cm="1">
        <f t="array" ref="A270">TRANSPOSE(_xlfn.UNIQUE(_xlfn._xlws.FILTER(T_ASIGNATURA1[ID_NIVEL],T_ASIGNATURA1[ID_CARRERA]=ASIGNACION!$A270,"No existe información")))</f>
        <v>No existe información</v>
      </c>
      <c r="S270" t="str" cm="1">
        <f t="array" ref="S270">TRANSPOSE(_xlfn.UNIQUE(_xlfn._xlws.FILTER(T_ASIGNATURA1[NOM_ASIG],(T_ASIGNATURA1[ID_NIVEL]=ASIGNACION!$C270)*(T_ASIGNATURA1[ID_CARRERA]=ASIGNACION!$A270),"No existe información")))</f>
        <v>No existe información</v>
      </c>
      <c r="BQ270" s="1" t="str" cm="1">
        <f t="array" ref="BQ270">IFERROR(
    TRANSPOSE(
        _xlfn.UNIQUE(
            _xlfn._xlws.FILTER(
                Tabla1_1[MAESTRIA],
                ISNUMBER(MATCH(Tabla1_1[CAMPO_DETALLADO],BD271:BP271,0))
            )
        )
    ),
"")</f>
        <v/>
      </c>
      <c r="EA270" t="str" cm="1">
        <f t="array" ref="EA270">IFERROR(
    TRANSPOSE(
        _xlfn.UNIQUE(
            _xlfn._xlws.FILTER(
                Tabla1__2[NOMBRE_DOCENTE],
                ISNUMBER(MATCH(Tabla1__2[MAESTRIA],BQ270:DY270,0))
            )
        )
    ),
"")</f>
        <v/>
      </c>
    </row>
    <row r="271" spans="1:131" ht="20.25" customHeight="1">
      <c r="A271" t="str" cm="1">
        <f t="array" ref="A271">TRANSPOSE(_xlfn.UNIQUE(_xlfn._xlws.FILTER(T_ASIGNATURA1[ID_NIVEL],T_ASIGNATURA1[ID_CARRERA]=ASIGNACION!$A271,"No existe información")))</f>
        <v>No existe información</v>
      </c>
      <c r="S271" t="str" cm="1">
        <f t="array" ref="S271">TRANSPOSE(_xlfn.UNIQUE(_xlfn._xlws.FILTER(T_ASIGNATURA1[NOM_ASIG],(T_ASIGNATURA1[ID_NIVEL]=ASIGNACION!$C271)*(T_ASIGNATURA1[ID_CARRERA]=ASIGNACION!$A271),"No existe información")))</f>
        <v>No existe información</v>
      </c>
      <c r="BQ271" s="1" t="str" cm="1">
        <f t="array" ref="BQ271">IFERROR(
    TRANSPOSE(
        _xlfn.UNIQUE(
            _xlfn._xlws.FILTER(
                Tabla1_1[MAESTRIA],
                ISNUMBER(MATCH(Tabla1_1[CAMPO_DETALLADO],BD272:BP272,0))
            )
        )
    ),
"")</f>
        <v/>
      </c>
      <c r="EA271" t="str" cm="1">
        <f t="array" ref="EA271">IFERROR(
    TRANSPOSE(
        _xlfn.UNIQUE(
            _xlfn._xlws.FILTER(
                Tabla1__2[NOMBRE_DOCENTE],
                ISNUMBER(MATCH(Tabla1__2[MAESTRIA],BQ271:DY271,0))
            )
        )
    ),
"")</f>
        <v/>
      </c>
    </row>
    <row r="272" spans="1:131" ht="20.25" customHeight="1">
      <c r="A272" t="str" cm="1">
        <f t="array" ref="A272">TRANSPOSE(_xlfn.UNIQUE(_xlfn._xlws.FILTER(T_ASIGNATURA1[ID_NIVEL],T_ASIGNATURA1[ID_CARRERA]=ASIGNACION!$A272,"No existe información")))</f>
        <v>No existe información</v>
      </c>
      <c r="S272" t="str" cm="1">
        <f t="array" ref="S272">TRANSPOSE(_xlfn.UNIQUE(_xlfn._xlws.FILTER(T_ASIGNATURA1[NOM_ASIG],(T_ASIGNATURA1[ID_NIVEL]=ASIGNACION!$C272)*(T_ASIGNATURA1[ID_CARRERA]=ASIGNACION!$A272),"No existe información")))</f>
        <v>No existe información</v>
      </c>
      <c r="BQ272" s="1" t="str" cm="1">
        <f t="array" ref="BQ272">IFERROR(
    TRANSPOSE(
        _xlfn.UNIQUE(
            _xlfn._xlws.FILTER(
                Tabla1_1[MAESTRIA],
                ISNUMBER(MATCH(Tabla1_1[CAMPO_DETALLADO],BD273:BP273,0))
            )
        )
    ),
"")</f>
        <v/>
      </c>
      <c r="EA272" t="str" cm="1">
        <f t="array" ref="EA272">IFERROR(
    TRANSPOSE(
        _xlfn.UNIQUE(
            _xlfn._xlws.FILTER(
                Tabla1__2[NOMBRE_DOCENTE],
                ISNUMBER(MATCH(Tabla1__2[MAESTRIA],BQ272:DY272,0))
            )
        )
    ),
"")</f>
        <v/>
      </c>
    </row>
    <row r="273" spans="1:131" ht="20.25" customHeight="1">
      <c r="A273" t="str" cm="1">
        <f t="array" ref="A273">TRANSPOSE(_xlfn.UNIQUE(_xlfn._xlws.FILTER(T_ASIGNATURA1[ID_NIVEL],T_ASIGNATURA1[ID_CARRERA]=ASIGNACION!$A273,"No existe información")))</f>
        <v>No existe información</v>
      </c>
      <c r="S273" t="str" cm="1">
        <f t="array" ref="S273">TRANSPOSE(_xlfn.UNIQUE(_xlfn._xlws.FILTER(T_ASIGNATURA1[NOM_ASIG],(T_ASIGNATURA1[ID_NIVEL]=ASIGNACION!$C273)*(T_ASIGNATURA1[ID_CARRERA]=ASIGNACION!$A273),"No existe información")))</f>
        <v>No existe información</v>
      </c>
      <c r="BQ273" s="1" t="str" cm="1">
        <f t="array" ref="BQ273">IFERROR(
    TRANSPOSE(
        _xlfn.UNIQUE(
            _xlfn._xlws.FILTER(
                Tabla1_1[MAESTRIA],
                ISNUMBER(MATCH(Tabla1_1[CAMPO_DETALLADO],BD274:BP274,0))
            )
        )
    ),
"")</f>
        <v/>
      </c>
      <c r="EA273" t="str" cm="1">
        <f t="array" ref="EA273">IFERROR(
    TRANSPOSE(
        _xlfn.UNIQUE(
            _xlfn._xlws.FILTER(
                Tabla1__2[NOMBRE_DOCENTE],
                ISNUMBER(MATCH(Tabla1__2[MAESTRIA],BQ273:DY273,0))
            )
        )
    ),
"")</f>
        <v/>
      </c>
    </row>
    <row r="274" spans="1:131" ht="20.25" customHeight="1">
      <c r="A274" t="str" cm="1">
        <f t="array" ref="A274">TRANSPOSE(_xlfn.UNIQUE(_xlfn._xlws.FILTER(T_ASIGNATURA1[ID_NIVEL],T_ASIGNATURA1[ID_CARRERA]=ASIGNACION!$A274,"No existe información")))</f>
        <v>No existe información</v>
      </c>
      <c r="S274" t="str" cm="1">
        <f t="array" ref="S274">TRANSPOSE(_xlfn.UNIQUE(_xlfn._xlws.FILTER(T_ASIGNATURA1[NOM_ASIG],(T_ASIGNATURA1[ID_NIVEL]=ASIGNACION!$C274)*(T_ASIGNATURA1[ID_CARRERA]=ASIGNACION!$A274),"No existe información")))</f>
        <v>No existe información</v>
      </c>
      <c r="BQ274" s="1" t="str" cm="1">
        <f t="array" ref="BQ274">IFERROR(
    TRANSPOSE(
        _xlfn.UNIQUE(
            _xlfn._xlws.FILTER(
                Tabla1_1[MAESTRIA],
                ISNUMBER(MATCH(Tabla1_1[CAMPO_DETALLADO],BD275:BP275,0))
            )
        )
    ),
"")</f>
        <v/>
      </c>
      <c r="EA274" t="str" cm="1">
        <f t="array" ref="EA274">IFERROR(
    TRANSPOSE(
        _xlfn.UNIQUE(
            _xlfn._xlws.FILTER(
                Tabla1__2[NOMBRE_DOCENTE],
                ISNUMBER(MATCH(Tabla1__2[MAESTRIA],BQ274:DY274,0))
            )
        )
    ),
"")</f>
        <v/>
      </c>
    </row>
    <row r="275" spans="1:131" ht="20.25" customHeight="1">
      <c r="A275" t="str" cm="1">
        <f t="array" ref="A275">TRANSPOSE(_xlfn.UNIQUE(_xlfn._xlws.FILTER(T_ASIGNATURA1[ID_NIVEL],T_ASIGNATURA1[ID_CARRERA]=ASIGNACION!$A275,"No existe información")))</f>
        <v>No existe información</v>
      </c>
      <c r="S275" t="str" cm="1">
        <f t="array" ref="S275">TRANSPOSE(_xlfn.UNIQUE(_xlfn._xlws.FILTER(T_ASIGNATURA1[NOM_ASIG],(T_ASIGNATURA1[ID_NIVEL]=ASIGNACION!$C275)*(T_ASIGNATURA1[ID_CARRERA]=ASIGNACION!$A275),"No existe información")))</f>
        <v>No existe información</v>
      </c>
      <c r="BQ275" s="1" t="str" cm="1">
        <f t="array" ref="BQ275">IFERROR(
    TRANSPOSE(
        _xlfn.UNIQUE(
            _xlfn._xlws.FILTER(
                Tabla1_1[MAESTRIA],
                ISNUMBER(MATCH(Tabla1_1[CAMPO_DETALLADO],BD276:BP276,0))
            )
        )
    ),
"")</f>
        <v/>
      </c>
      <c r="EA275" t="str" cm="1">
        <f t="array" ref="EA275">IFERROR(
    TRANSPOSE(
        _xlfn.UNIQUE(
            _xlfn._xlws.FILTER(
                Tabla1__2[NOMBRE_DOCENTE],
                ISNUMBER(MATCH(Tabla1__2[MAESTRIA],BQ275:DY275,0))
            )
        )
    ),
"")</f>
        <v/>
      </c>
    </row>
    <row r="276" spans="1:131" ht="20.25" customHeight="1">
      <c r="A276" t="str" cm="1">
        <f t="array" ref="A276">TRANSPOSE(_xlfn.UNIQUE(_xlfn._xlws.FILTER(T_ASIGNATURA1[ID_NIVEL],T_ASIGNATURA1[ID_CARRERA]=ASIGNACION!$A276,"No existe información")))</f>
        <v>No existe información</v>
      </c>
      <c r="S276" t="str" cm="1">
        <f t="array" ref="S276">TRANSPOSE(_xlfn.UNIQUE(_xlfn._xlws.FILTER(T_ASIGNATURA1[NOM_ASIG],(T_ASIGNATURA1[ID_NIVEL]=ASIGNACION!$C276)*(T_ASIGNATURA1[ID_CARRERA]=ASIGNACION!$A276),"No existe información")))</f>
        <v>No existe información</v>
      </c>
      <c r="BQ276" s="1" t="str" cm="1">
        <f t="array" ref="BQ276">IFERROR(
    TRANSPOSE(
        _xlfn.UNIQUE(
            _xlfn._xlws.FILTER(
                Tabla1_1[MAESTRIA],
                ISNUMBER(MATCH(Tabla1_1[CAMPO_DETALLADO],BD277:BP277,0))
            )
        )
    ),
"")</f>
        <v/>
      </c>
      <c r="EA276" t="str" cm="1">
        <f t="array" ref="EA276">IFERROR(
    TRANSPOSE(
        _xlfn.UNIQUE(
            _xlfn._xlws.FILTER(
                Tabla1__2[NOMBRE_DOCENTE],
                ISNUMBER(MATCH(Tabla1__2[MAESTRIA],BQ276:DY276,0))
            )
        )
    ),
"")</f>
        <v/>
      </c>
    </row>
    <row r="277" spans="1:131" ht="20.25" customHeight="1">
      <c r="A277" t="str" cm="1">
        <f t="array" ref="A277">TRANSPOSE(_xlfn.UNIQUE(_xlfn._xlws.FILTER(T_ASIGNATURA1[ID_NIVEL],T_ASIGNATURA1[ID_CARRERA]=ASIGNACION!$A277,"No existe información")))</f>
        <v>No existe información</v>
      </c>
      <c r="S277" t="str" cm="1">
        <f t="array" ref="S277">TRANSPOSE(_xlfn.UNIQUE(_xlfn._xlws.FILTER(T_ASIGNATURA1[NOM_ASIG],(T_ASIGNATURA1[ID_NIVEL]=ASIGNACION!$C277)*(T_ASIGNATURA1[ID_CARRERA]=ASIGNACION!$A277),"No existe información")))</f>
        <v>No existe información</v>
      </c>
      <c r="BQ277" s="1" t="str" cm="1">
        <f t="array" ref="BQ277">IFERROR(
    TRANSPOSE(
        _xlfn.UNIQUE(
            _xlfn._xlws.FILTER(
                Tabla1_1[MAESTRIA],
                ISNUMBER(MATCH(Tabla1_1[CAMPO_DETALLADO],BD278:BP278,0))
            )
        )
    ),
"")</f>
        <v/>
      </c>
      <c r="EA277" t="str" cm="1">
        <f t="array" ref="EA277">IFERROR(
    TRANSPOSE(
        _xlfn.UNIQUE(
            _xlfn._xlws.FILTER(
                Tabla1__2[NOMBRE_DOCENTE],
                ISNUMBER(MATCH(Tabla1__2[MAESTRIA],BQ277:DY277,0))
            )
        )
    ),
"")</f>
        <v/>
      </c>
    </row>
    <row r="278" spans="1:131" ht="20.25" customHeight="1">
      <c r="A278" t="str" cm="1">
        <f t="array" ref="A278">TRANSPOSE(_xlfn.UNIQUE(_xlfn._xlws.FILTER(T_ASIGNATURA1[ID_NIVEL],T_ASIGNATURA1[ID_CARRERA]=ASIGNACION!$A278,"No existe información")))</f>
        <v>No existe información</v>
      </c>
      <c r="S278" t="str" cm="1">
        <f t="array" ref="S278">TRANSPOSE(_xlfn.UNIQUE(_xlfn._xlws.FILTER(T_ASIGNATURA1[NOM_ASIG],(T_ASIGNATURA1[ID_NIVEL]=ASIGNACION!$C278)*(T_ASIGNATURA1[ID_CARRERA]=ASIGNACION!$A278),"No existe información")))</f>
        <v>No existe información</v>
      </c>
      <c r="BQ278" s="1" t="str" cm="1">
        <f t="array" ref="BQ278">IFERROR(
    TRANSPOSE(
        _xlfn.UNIQUE(
            _xlfn._xlws.FILTER(
                Tabla1_1[MAESTRIA],
                ISNUMBER(MATCH(Tabla1_1[CAMPO_DETALLADO],BD279:BP279,0))
            )
        )
    ),
"")</f>
        <v/>
      </c>
      <c r="EA278" t="str" cm="1">
        <f t="array" ref="EA278">IFERROR(
    TRANSPOSE(
        _xlfn.UNIQUE(
            _xlfn._xlws.FILTER(
                Tabla1__2[NOMBRE_DOCENTE],
                ISNUMBER(MATCH(Tabla1__2[MAESTRIA],BQ278:DY278,0))
            )
        )
    ),
"")</f>
        <v/>
      </c>
    </row>
    <row r="279" spans="1:131" ht="20.25" customHeight="1">
      <c r="A279" t="str" cm="1">
        <f t="array" ref="A279">TRANSPOSE(_xlfn.UNIQUE(_xlfn._xlws.FILTER(T_ASIGNATURA1[ID_NIVEL],T_ASIGNATURA1[ID_CARRERA]=ASIGNACION!$A279,"No existe información")))</f>
        <v>No existe información</v>
      </c>
      <c r="S279" t="str" cm="1">
        <f t="array" ref="S279">TRANSPOSE(_xlfn.UNIQUE(_xlfn._xlws.FILTER(T_ASIGNATURA1[NOM_ASIG],(T_ASIGNATURA1[ID_NIVEL]=ASIGNACION!$C279)*(T_ASIGNATURA1[ID_CARRERA]=ASIGNACION!$A279),"No existe información")))</f>
        <v>No existe información</v>
      </c>
      <c r="BQ279" s="1" t="str" cm="1">
        <f t="array" ref="BQ279">IFERROR(
    TRANSPOSE(
        _xlfn.UNIQUE(
            _xlfn._xlws.FILTER(
                Tabla1_1[MAESTRIA],
                ISNUMBER(MATCH(Tabla1_1[CAMPO_DETALLADO],BD280:BP280,0))
            )
        )
    ),
"")</f>
        <v/>
      </c>
      <c r="EA279" t="str" cm="1">
        <f t="array" ref="EA279">IFERROR(
    TRANSPOSE(
        _xlfn.UNIQUE(
            _xlfn._xlws.FILTER(
                Tabla1__2[NOMBRE_DOCENTE],
                ISNUMBER(MATCH(Tabla1__2[MAESTRIA],BQ279:DY279,0))
            )
        )
    ),
"")</f>
        <v/>
      </c>
    </row>
    <row r="280" spans="1:131" ht="20.25" customHeight="1">
      <c r="A280" t="str" cm="1">
        <f t="array" ref="A280">TRANSPOSE(_xlfn.UNIQUE(_xlfn._xlws.FILTER(T_ASIGNATURA1[ID_NIVEL],T_ASIGNATURA1[ID_CARRERA]=ASIGNACION!$A280,"No existe información")))</f>
        <v>No existe información</v>
      </c>
      <c r="S280" t="str" cm="1">
        <f t="array" ref="S280">TRANSPOSE(_xlfn.UNIQUE(_xlfn._xlws.FILTER(T_ASIGNATURA1[NOM_ASIG],(T_ASIGNATURA1[ID_NIVEL]=ASIGNACION!$C280)*(T_ASIGNATURA1[ID_CARRERA]=ASIGNACION!$A280),"No existe información")))</f>
        <v>No existe información</v>
      </c>
      <c r="BQ280" s="1" t="str" cm="1">
        <f t="array" ref="BQ280">IFERROR(
    TRANSPOSE(
        _xlfn.UNIQUE(
            _xlfn._xlws.FILTER(
                Tabla1_1[MAESTRIA],
                ISNUMBER(MATCH(Tabla1_1[CAMPO_DETALLADO],BD281:BP281,0))
            )
        )
    ),
"")</f>
        <v/>
      </c>
      <c r="EA280" t="str" cm="1">
        <f t="array" ref="EA280">IFERROR(
    TRANSPOSE(
        _xlfn.UNIQUE(
            _xlfn._xlws.FILTER(
                Tabla1__2[NOMBRE_DOCENTE],
                ISNUMBER(MATCH(Tabla1__2[MAESTRIA],BQ280:DY280,0))
            )
        )
    ),
"")</f>
        <v/>
      </c>
    </row>
    <row r="281" spans="1:131" ht="20.25" customHeight="1">
      <c r="A281" t="str" cm="1">
        <f t="array" ref="A281">TRANSPOSE(_xlfn.UNIQUE(_xlfn._xlws.FILTER(T_ASIGNATURA1[ID_NIVEL],T_ASIGNATURA1[ID_CARRERA]=ASIGNACION!$A281,"No existe información")))</f>
        <v>No existe información</v>
      </c>
      <c r="S281" t="str" cm="1">
        <f t="array" ref="S281">TRANSPOSE(_xlfn.UNIQUE(_xlfn._xlws.FILTER(T_ASIGNATURA1[NOM_ASIG],(T_ASIGNATURA1[ID_NIVEL]=ASIGNACION!$C281)*(T_ASIGNATURA1[ID_CARRERA]=ASIGNACION!$A281),"No existe información")))</f>
        <v>No existe información</v>
      </c>
      <c r="BQ281" s="1" t="str" cm="1">
        <f t="array" ref="BQ281">IFERROR(
    TRANSPOSE(
        _xlfn.UNIQUE(
            _xlfn._xlws.FILTER(
                Tabla1_1[MAESTRIA],
                ISNUMBER(MATCH(Tabla1_1[CAMPO_DETALLADO],BD282:BP282,0))
            )
        )
    ),
"")</f>
        <v/>
      </c>
      <c r="EA281" t="str" cm="1">
        <f t="array" ref="EA281">IFERROR(
    TRANSPOSE(
        _xlfn.UNIQUE(
            _xlfn._xlws.FILTER(
                Tabla1__2[NOMBRE_DOCENTE],
                ISNUMBER(MATCH(Tabla1__2[MAESTRIA],BQ281:DY281,0))
            )
        )
    ),
"")</f>
        <v/>
      </c>
    </row>
    <row r="282" spans="1:131" ht="20.25" customHeight="1">
      <c r="A282" t="str" cm="1">
        <f t="array" ref="A282">TRANSPOSE(_xlfn.UNIQUE(_xlfn._xlws.FILTER(T_ASIGNATURA1[ID_NIVEL],T_ASIGNATURA1[ID_CARRERA]=ASIGNACION!$A282,"No existe información")))</f>
        <v>No existe información</v>
      </c>
      <c r="S282" t="str" cm="1">
        <f t="array" ref="S282">TRANSPOSE(_xlfn.UNIQUE(_xlfn._xlws.FILTER(T_ASIGNATURA1[NOM_ASIG],(T_ASIGNATURA1[ID_NIVEL]=ASIGNACION!$C282)*(T_ASIGNATURA1[ID_CARRERA]=ASIGNACION!$A282),"No existe información")))</f>
        <v>No existe información</v>
      </c>
      <c r="BQ282" s="1" t="str" cm="1">
        <f t="array" ref="BQ282">IFERROR(
    TRANSPOSE(
        _xlfn.UNIQUE(
            _xlfn._xlws.FILTER(
                Tabla1_1[MAESTRIA],
                ISNUMBER(MATCH(Tabla1_1[CAMPO_DETALLADO],BD283:BP283,0))
            )
        )
    ),
"")</f>
        <v/>
      </c>
      <c r="EA282" t="str" cm="1">
        <f t="array" ref="EA282">IFERROR(
    TRANSPOSE(
        _xlfn.UNIQUE(
            _xlfn._xlws.FILTER(
                Tabla1__2[NOMBRE_DOCENTE],
                ISNUMBER(MATCH(Tabla1__2[MAESTRIA],BQ282:DY282,0))
            )
        )
    ),
"")</f>
        <v/>
      </c>
    </row>
    <row r="283" spans="1:131" ht="20.25" customHeight="1">
      <c r="A283" t="str" cm="1">
        <f t="array" ref="A283">TRANSPOSE(_xlfn.UNIQUE(_xlfn._xlws.FILTER(T_ASIGNATURA1[ID_NIVEL],T_ASIGNATURA1[ID_CARRERA]=ASIGNACION!$A283,"No existe información")))</f>
        <v>No existe información</v>
      </c>
      <c r="S283" t="str" cm="1">
        <f t="array" ref="S283">TRANSPOSE(_xlfn.UNIQUE(_xlfn._xlws.FILTER(T_ASIGNATURA1[NOM_ASIG],(T_ASIGNATURA1[ID_NIVEL]=ASIGNACION!$C283)*(T_ASIGNATURA1[ID_CARRERA]=ASIGNACION!$A283),"No existe información")))</f>
        <v>No existe información</v>
      </c>
      <c r="BQ283" s="1" t="str" cm="1">
        <f t="array" ref="BQ283">IFERROR(
    TRANSPOSE(
        _xlfn.UNIQUE(
            _xlfn._xlws.FILTER(
                Tabla1_1[MAESTRIA],
                ISNUMBER(MATCH(Tabla1_1[CAMPO_DETALLADO],BD284:BP284,0))
            )
        )
    ),
"")</f>
        <v/>
      </c>
      <c r="EA283" t="str" cm="1">
        <f t="array" ref="EA283">IFERROR(
    TRANSPOSE(
        _xlfn.UNIQUE(
            _xlfn._xlws.FILTER(
                Tabla1__2[NOMBRE_DOCENTE],
                ISNUMBER(MATCH(Tabla1__2[MAESTRIA],BQ283:DY283,0))
            )
        )
    ),
"")</f>
        <v/>
      </c>
    </row>
    <row r="284" spans="1:131" ht="20.25" customHeight="1">
      <c r="A284" t="str" cm="1">
        <f t="array" ref="A284">TRANSPOSE(_xlfn.UNIQUE(_xlfn._xlws.FILTER(T_ASIGNATURA1[ID_NIVEL],T_ASIGNATURA1[ID_CARRERA]=ASIGNACION!$A284,"No existe información")))</f>
        <v>No existe información</v>
      </c>
      <c r="S284" t="str" cm="1">
        <f t="array" ref="S284">TRANSPOSE(_xlfn.UNIQUE(_xlfn._xlws.FILTER(T_ASIGNATURA1[NOM_ASIG],(T_ASIGNATURA1[ID_NIVEL]=ASIGNACION!$C284)*(T_ASIGNATURA1[ID_CARRERA]=ASIGNACION!$A284),"No existe información")))</f>
        <v>No existe información</v>
      </c>
      <c r="BQ284" s="1" t="str" cm="1">
        <f t="array" ref="BQ284">IFERROR(
    TRANSPOSE(
        _xlfn.UNIQUE(
            _xlfn._xlws.FILTER(
                Tabla1_1[MAESTRIA],
                ISNUMBER(MATCH(Tabla1_1[CAMPO_DETALLADO],BD285:BP285,0))
            )
        )
    ),
"")</f>
        <v/>
      </c>
      <c r="EA284" t="str" cm="1">
        <f t="array" ref="EA284">IFERROR(
    TRANSPOSE(
        _xlfn.UNIQUE(
            _xlfn._xlws.FILTER(
                Tabla1__2[NOMBRE_DOCENTE],
                ISNUMBER(MATCH(Tabla1__2[MAESTRIA],BQ284:DY284,0))
            )
        )
    ),
"")</f>
        <v/>
      </c>
    </row>
    <row r="285" spans="1:131" ht="20.25" customHeight="1">
      <c r="A285" t="str" cm="1">
        <f t="array" ref="A285">TRANSPOSE(_xlfn.UNIQUE(_xlfn._xlws.FILTER(T_ASIGNATURA1[ID_NIVEL],T_ASIGNATURA1[ID_CARRERA]=ASIGNACION!$A285,"No existe información")))</f>
        <v>No existe información</v>
      </c>
      <c r="S285" t="str" cm="1">
        <f t="array" ref="S285">TRANSPOSE(_xlfn.UNIQUE(_xlfn._xlws.FILTER(T_ASIGNATURA1[NOM_ASIG],(T_ASIGNATURA1[ID_NIVEL]=ASIGNACION!$C285)*(T_ASIGNATURA1[ID_CARRERA]=ASIGNACION!$A285),"No existe información")))</f>
        <v>No existe información</v>
      </c>
      <c r="BQ285" s="1" t="str" cm="1">
        <f t="array" ref="BQ285">IFERROR(
    TRANSPOSE(
        _xlfn.UNIQUE(
            _xlfn._xlws.FILTER(
                Tabla1_1[MAESTRIA],
                ISNUMBER(MATCH(Tabla1_1[CAMPO_DETALLADO],BD286:BP286,0))
            )
        )
    ),
"")</f>
        <v/>
      </c>
      <c r="EA285" t="str" cm="1">
        <f t="array" ref="EA285">IFERROR(
    TRANSPOSE(
        _xlfn.UNIQUE(
            _xlfn._xlws.FILTER(
                Tabla1__2[NOMBRE_DOCENTE],
                ISNUMBER(MATCH(Tabla1__2[MAESTRIA],BQ285:DY285,0))
            )
        )
    ),
"")</f>
        <v/>
      </c>
    </row>
    <row r="286" spans="1:131" ht="20.25" customHeight="1">
      <c r="A286" t="str" cm="1">
        <f t="array" ref="A286">TRANSPOSE(_xlfn.UNIQUE(_xlfn._xlws.FILTER(T_ASIGNATURA1[ID_NIVEL],T_ASIGNATURA1[ID_CARRERA]=ASIGNACION!$A286,"No existe información")))</f>
        <v>No existe información</v>
      </c>
      <c r="S286" t="str" cm="1">
        <f t="array" ref="S286">TRANSPOSE(_xlfn.UNIQUE(_xlfn._xlws.FILTER(T_ASIGNATURA1[NOM_ASIG],(T_ASIGNATURA1[ID_NIVEL]=ASIGNACION!$C286)*(T_ASIGNATURA1[ID_CARRERA]=ASIGNACION!$A286),"No existe información")))</f>
        <v>No existe información</v>
      </c>
      <c r="BQ286" s="1" t="str" cm="1">
        <f t="array" ref="BQ286">IFERROR(
    TRANSPOSE(
        _xlfn.UNIQUE(
            _xlfn._xlws.FILTER(
                Tabla1_1[MAESTRIA],
                ISNUMBER(MATCH(Tabla1_1[CAMPO_DETALLADO],BD287:BP287,0))
            )
        )
    ),
"")</f>
        <v/>
      </c>
      <c r="EA286" t="str" cm="1">
        <f t="array" ref="EA286">IFERROR(
    TRANSPOSE(
        _xlfn.UNIQUE(
            _xlfn._xlws.FILTER(
                Tabla1__2[NOMBRE_DOCENTE],
                ISNUMBER(MATCH(Tabla1__2[MAESTRIA],BQ286:DY286,0))
            )
        )
    ),
"")</f>
        <v/>
      </c>
    </row>
    <row r="287" spans="1:131" ht="20.25" customHeight="1">
      <c r="A287" t="str" cm="1">
        <f t="array" ref="A287">TRANSPOSE(_xlfn.UNIQUE(_xlfn._xlws.FILTER(T_ASIGNATURA1[ID_NIVEL],T_ASIGNATURA1[ID_CARRERA]=ASIGNACION!$A287,"No existe información")))</f>
        <v>No existe información</v>
      </c>
      <c r="S287" t="str" cm="1">
        <f t="array" ref="S287">TRANSPOSE(_xlfn.UNIQUE(_xlfn._xlws.FILTER(T_ASIGNATURA1[NOM_ASIG],(T_ASIGNATURA1[ID_NIVEL]=ASIGNACION!$C287)*(T_ASIGNATURA1[ID_CARRERA]=ASIGNACION!$A287),"No existe información")))</f>
        <v>No existe información</v>
      </c>
      <c r="BQ287" s="1" t="str" cm="1">
        <f t="array" ref="BQ287">IFERROR(
    TRANSPOSE(
        _xlfn.UNIQUE(
            _xlfn._xlws.FILTER(
                Tabla1_1[MAESTRIA],
                ISNUMBER(MATCH(Tabla1_1[CAMPO_DETALLADO],BD288:BP288,0))
            )
        )
    ),
"")</f>
        <v/>
      </c>
      <c r="EA287" t="str" cm="1">
        <f t="array" ref="EA287">IFERROR(
    TRANSPOSE(
        _xlfn.UNIQUE(
            _xlfn._xlws.FILTER(
                Tabla1__2[NOMBRE_DOCENTE],
                ISNUMBER(MATCH(Tabla1__2[MAESTRIA],BQ287:DY287,0))
            )
        )
    ),
"")</f>
        <v/>
      </c>
    </row>
    <row r="288" spans="1:131" ht="20.25" customHeight="1">
      <c r="A288" t="str" cm="1">
        <f t="array" ref="A288">TRANSPOSE(_xlfn.UNIQUE(_xlfn._xlws.FILTER(T_ASIGNATURA1[ID_NIVEL],T_ASIGNATURA1[ID_CARRERA]=ASIGNACION!$A288,"No existe información")))</f>
        <v>No existe información</v>
      </c>
      <c r="S288" t="str" cm="1">
        <f t="array" ref="S288">TRANSPOSE(_xlfn.UNIQUE(_xlfn._xlws.FILTER(T_ASIGNATURA1[NOM_ASIG],(T_ASIGNATURA1[ID_NIVEL]=ASIGNACION!$C288)*(T_ASIGNATURA1[ID_CARRERA]=ASIGNACION!$A288),"No existe información")))</f>
        <v>No existe información</v>
      </c>
      <c r="BQ288" s="1" t="str" cm="1">
        <f t="array" ref="BQ288">IFERROR(
    TRANSPOSE(
        _xlfn.UNIQUE(
            _xlfn._xlws.FILTER(
                Tabla1_1[MAESTRIA],
                ISNUMBER(MATCH(Tabla1_1[CAMPO_DETALLADO],BD289:BP289,0))
            )
        )
    ),
"")</f>
        <v/>
      </c>
      <c r="EA288" t="str" cm="1">
        <f t="array" ref="EA288">IFERROR(
    TRANSPOSE(
        _xlfn.UNIQUE(
            _xlfn._xlws.FILTER(
                Tabla1__2[NOMBRE_DOCENTE],
                ISNUMBER(MATCH(Tabla1__2[MAESTRIA],BQ288:DY288,0))
            )
        )
    ),
"")</f>
        <v/>
      </c>
    </row>
    <row r="289" spans="1:131" ht="20.25" customHeight="1">
      <c r="A289" t="str" cm="1">
        <f t="array" ref="A289">TRANSPOSE(_xlfn.UNIQUE(_xlfn._xlws.FILTER(T_ASIGNATURA1[ID_NIVEL],T_ASIGNATURA1[ID_CARRERA]=ASIGNACION!$A289,"No existe información")))</f>
        <v>No existe información</v>
      </c>
      <c r="S289" t="str" cm="1">
        <f t="array" ref="S289">TRANSPOSE(_xlfn.UNIQUE(_xlfn._xlws.FILTER(T_ASIGNATURA1[NOM_ASIG],(T_ASIGNATURA1[ID_NIVEL]=ASIGNACION!$C289)*(T_ASIGNATURA1[ID_CARRERA]=ASIGNACION!$A289),"No existe información")))</f>
        <v>No existe información</v>
      </c>
      <c r="BQ289" s="1" t="str" cm="1">
        <f t="array" ref="BQ289">IFERROR(
    TRANSPOSE(
        _xlfn.UNIQUE(
            _xlfn._xlws.FILTER(
                Tabla1_1[MAESTRIA],
                ISNUMBER(MATCH(Tabla1_1[CAMPO_DETALLADO],BD290:BP290,0))
            )
        )
    ),
"")</f>
        <v/>
      </c>
      <c r="EA289" t="str" cm="1">
        <f t="array" ref="EA289">IFERROR(
    TRANSPOSE(
        _xlfn.UNIQUE(
            _xlfn._xlws.FILTER(
                Tabla1__2[NOMBRE_DOCENTE],
                ISNUMBER(MATCH(Tabla1__2[MAESTRIA],BQ289:DY289,0))
            )
        )
    ),
"")</f>
        <v/>
      </c>
    </row>
    <row r="290" spans="1:131" ht="20.25" customHeight="1">
      <c r="A290" t="str" cm="1">
        <f t="array" ref="A290">TRANSPOSE(_xlfn.UNIQUE(_xlfn._xlws.FILTER(T_ASIGNATURA1[ID_NIVEL],T_ASIGNATURA1[ID_CARRERA]=ASIGNACION!$A290,"No existe información")))</f>
        <v>No existe información</v>
      </c>
      <c r="S290" t="str" cm="1">
        <f t="array" ref="S290">TRANSPOSE(_xlfn.UNIQUE(_xlfn._xlws.FILTER(T_ASIGNATURA1[NOM_ASIG],(T_ASIGNATURA1[ID_NIVEL]=ASIGNACION!$C290)*(T_ASIGNATURA1[ID_CARRERA]=ASIGNACION!$A290),"No existe información")))</f>
        <v>No existe información</v>
      </c>
      <c r="BQ290" s="1" t="str" cm="1">
        <f t="array" ref="BQ290">IFERROR(
    TRANSPOSE(
        _xlfn.UNIQUE(
            _xlfn._xlws.FILTER(
                Tabla1_1[MAESTRIA],
                ISNUMBER(MATCH(Tabla1_1[CAMPO_DETALLADO],BD291:BP291,0))
            )
        )
    ),
"")</f>
        <v/>
      </c>
      <c r="EA290" t="str" cm="1">
        <f t="array" ref="EA290">IFERROR(
    TRANSPOSE(
        _xlfn.UNIQUE(
            _xlfn._xlws.FILTER(
                Tabla1__2[NOMBRE_DOCENTE],
                ISNUMBER(MATCH(Tabla1__2[MAESTRIA],BQ290:DY290,0))
            )
        )
    ),
"")</f>
        <v/>
      </c>
    </row>
    <row r="291" spans="1:131" ht="20.25" customHeight="1">
      <c r="A291" t="str" cm="1">
        <f t="array" ref="A291">TRANSPOSE(_xlfn.UNIQUE(_xlfn._xlws.FILTER(T_ASIGNATURA1[ID_NIVEL],T_ASIGNATURA1[ID_CARRERA]=ASIGNACION!$A291,"No existe información")))</f>
        <v>No existe información</v>
      </c>
      <c r="S291" t="str" cm="1">
        <f t="array" ref="S291">TRANSPOSE(_xlfn.UNIQUE(_xlfn._xlws.FILTER(T_ASIGNATURA1[NOM_ASIG],(T_ASIGNATURA1[ID_NIVEL]=ASIGNACION!$C291)*(T_ASIGNATURA1[ID_CARRERA]=ASIGNACION!$A291),"No existe información")))</f>
        <v>No existe información</v>
      </c>
      <c r="BQ291" s="1" t="str" cm="1">
        <f t="array" ref="BQ291">IFERROR(
    TRANSPOSE(
        _xlfn.UNIQUE(
            _xlfn._xlws.FILTER(
                Tabla1_1[MAESTRIA],
                ISNUMBER(MATCH(Tabla1_1[CAMPO_DETALLADO],BD292:BP292,0))
            )
        )
    ),
"")</f>
        <v/>
      </c>
      <c r="EA291" t="str" cm="1">
        <f t="array" ref="EA291">IFERROR(
    TRANSPOSE(
        _xlfn.UNIQUE(
            _xlfn._xlws.FILTER(
                Tabla1__2[NOMBRE_DOCENTE],
                ISNUMBER(MATCH(Tabla1__2[MAESTRIA],BQ291:DY291,0))
            )
        )
    ),
"")</f>
        <v/>
      </c>
    </row>
    <row r="292" spans="1:131" ht="20.25" customHeight="1">
      <c r="A292" t="str" cm="1">
        <f t="array" ref="A292">TRANSPOSE(_xlfn.UNIQUE(_xlfn._xlws.FILTER(T_ASIGNATURA1[ID_NIVEL],T_ASIGNATURA1[ID_CARRERA]=ASIGNACION!$A292,"No existe información")))</f>
        <v>No existe información</v>
      </c>
      <c r="S292" t="str" cm="1">
        <f t="array" ref="S292">TRANSPOSE(_xlfn.UNIQUE(_xlfn._xlws.FILTER(T_ASIGNATURA1[NOM_ASIG],(T_ASIGNATURA1[ID_NIVEL]=ASIGNACION!$C292)*(T_ASIGNATURA1[ID_CARRERA]=ASIGNACION!$A292),"No existe información")))</f>
        <v>No existe información</v>
      </c>
      <c r="BQ292" s="1" t="str" cm="1">
        <f t="array" ref="BQ292">IFERROR(
    TRANSPOSE(
        _xlfn.UNIQUE(
            _xlfn._xlws.FILTER(
                Tabla1_1[MAESTRIA],
                ISNUMBER(MATCH(Tabla1_1[CAMPO_DETALLADO],BD293:BP293,0))
            )
        )
    ),
"")</f>
        <v/>
      </c>
      <c r="EA292" t="str" cm="1">
        <f t="array" ref="EA292">IFERROR(
    TRANSPOSE(
        _xlfn.UNIQUE(
            _xlfn._xlws.FILTER(
                Tabla1__2[NOMBRE_DOCENTE],
                ISNUMBER(MATCH(Tabla1__2[MAESTRIA],BQ292:DY292,0))
            )
        )
    ),
"")</f>
        <v/>
      </c>
    </row>
    <row r="293" spans="1:131" ht="20.25" customHeight="1">
      <c r="A293" t="str" cm="1">
        <f t="array" ref="A293">TRANSPOSE(_xlfn.UNIQUE(_xlfn._xlws.FILTER(T_ASIGNATURA1[ID_NIVEL],T_ASIGNATURA1[ID_CARRERA]=ASIGNACION!$A293,"No existe información")))</f>
        <v>No existe información</v>
      </c>
      <c r="S293" t="str" cm="1">
        <f t="array" ref="S293">TRANSPOSE(_xlfn.UNIQUE(_xlfn._xlws.FILTER(T_ASIGNATURA1[NOM_ASIG],(T_ASIGNATURA1[ID_NIVEL]=ASIGNACION!$C293)*(T_ASIGNATURA1[ID_CARRERA]=ASIGNACION!$A293),"No existe información")))</f>
        <v>No existe información</v>
      </c>
      <c r="BQ293" s="1" t="str" cm="1">
        <f t="array" ref="BQ293">IFERROR(
    TRANSPOSE(
        _xlfn.UNIQUE(
            _xlfn._xlws.FILTER(
                Tabla1_1[MAESTRIA],
                ISNUMBER(MATCH(Tabla1_1[CAMPO_DETALLADO],BD294:BP294,0))
            )
        )
    ),
"")</f>
        <v/>
      </c>
      <c r="EA293" t="str" cm="1">
        <f t="array" ref="EA293">IFERROR(
    TRANSPOSE(
        _xlfn.UNIQUE(
            _xlfn._xlws.FILTER(
                Tabla1__2[NOMBRE_DOCENTE],
                ISNUMBER(MATCH(Tabla1__2[MAESTRIA],BQ293:DY293,0))
            )
        )
    ),
"")</f>
        <v/>
      </c>
    </row>
    <row r="294" spans="1:131" ht="20.25" customHeight="1">
      <c r="A294" t="str" cm="1">
        <f t="array" ref="A294">TRANSPOSE(_xlfn.UNIQUE(_xlfn._xlws.FILTER(T_ASIGNATURA1[ID_NIVEL],T_ASIGNATURA1[ID_CARRERA]=ASIGNACION!$A294,"No existe información")))</f>
        <v>No existe información</v>
      </c>
      <c r="S294" t="str" cm="1">
        <f t="array" ref="S294">TRANSPOSE(_xlfn.UNIQUE(_xlfn._xlws.FILTER(T_ASIGNATURA1[NOM_ASIG],(T_ASIGNATURA1[ID_NIVEL]=ASIGNACION!$C294)*(T_ASIGNATURA1[ID_CARRERA]=ASIGNACION!$A294),"No existe información")))</f>
        <v>No existe información</v>
      </c>
      <c r="BQ294" s="1" t="str" cm="1">
        <f t="array" ref="BQ294">IFERROR(
    TRANSPOSE(
        _xlfn.UNIQUE(
            _xlfn._xlws.FILTER(
                Tabla1_1[MAESTRIA],
                ISNUMBER(MATCH(Tabla1_1[CAMPO_DETALLADO],BD295:BP295,0))
            )
        )
    ),
"")</f>
        <v/>
      </c>
      <c r="EA294" t="str" cm="1">
        <f t="array" ref="EA294">IFERROR(
    TRANSPOSE(
        _xlfn.UNIQUE(
            _xlfn._xlws.FILTER(
                Tabla1__2[NOMBRE_DOCENTE],
                ISNUMBER(MATCH(Tabla1__2[MAESTRIA],BQ294:DY294,0))
            )
        )
    ),
"")</f>
        <v/>
      </c>
    </row>
    <row r="295" spans="1:131" ht="20.25" customHeight="1">
      <c r="A295" t="str" cm="1">
        <f t="array" ref="A295">TRANSPOSE(_xlfn.UNIQUE(_xlfn._xlws.FILTER(T_ASIGNATURA1[ID_NIVEL],T_ASIGNATURA1[ID_CARRERA]=ASIGNACION!$A295,"No existe información")))</f>
        <v>No existe información</v>
      </c>
      <c r="S295" t="str" cm="1">
        <f t="array" ref="S295">TRANSPOSE(_xlfn.UNIQUE(_xlfn._xlws.FILTER(T_ASIGNATURA1[NOM_ASIG],(T_ASIGNATURA1[ID_NIVEL]=ASIGNACION!$C295)*(T_ASIGNATURA1[ID_CARRERA]=ASIGNACION!$A295),"No existe información")))</f>
        <v>No existe información</v>
      </c>
      <c r="BQ295" s="1" t="str" cm="1">
        <f t="array" ref="BQ295">IFERROR(
    TRANSPOSE(
        _xlfn.UNIQUE(
            _xlfn._xlws.FILTER(
                Tabla1_1[MAESTRIA],
                ISNUMBER(MATCH(Tabla1_1[CAMPO_DETALLADO],BD296:BP296,0))
            )
        )
    ),
"")</f>
        <v/>
      </c>
      <c r="EA295" t="str" cm="1">
        <f t="array" ref="EA295">IFERROR(
    TRANSPOSE(
        _xlfn.UNIQUE(
            _xlfn._xlws.FILTER(
                Tabla1__2[NOMBRE_DOCENTE],
                ISNUMBER(MATCH(Tabla1__2[MAESTRIA],BQ295:DY295,0))
            )
        )
    ),
"")</f>
        <v/>
      </c>
    </row>
    <row r="296" spans="1:131" ht="20.25" customHeight="1">
      <c r="A296" t="str" cm="1">
        <f t="array" ref="A296">TRANSPOSE(_xlfn.UNIQUE(_xlfn._xlws.FILTER(T_ASIGNATURA1[ID_NIVEL],T_ASIGNATURA1[ID_CARRERA]=ASIGNACION!$A296,"No existe información")))</f>
        <v>No existe información</v>
      </c>
      <c r="S296" t="str" cm="1">
        <f t="array" ref="S296">TRANSPOSE(_xlfn.UNIQUE(_xlfn._xlws.FILTER(T_ASIGNATURA1[NOM_ASIG],(T_ASIGNATURA1[ID_NIVEL]=ASIGNACION!$C296)*(T_ASIGNATURA1[ID_CARRERA]=ASIGNACION!$A296),"No existe información")))</f>
        <v>No existe información</v>
      </c>
      <c r="BQ296" s="1" t="str" cm="1">
        <f t="array" ref="BQ296">IFERROR(
    TRANSPOSE(
        _xlfn.UNIQUE(
            _xlfn._xlws.FILTER(
                Tabla1_1[MAESTRIA],
                ISNUMBER(MATCH(Tabla1_1[CAMPO_DETALLADO],BD297:BP297,0))
            )
        )
    ),
"")</f>
        <v/>
      </c>
      <c r="EA296" t="str" cm="1">
        <f t="array" ref="EA296">IFERROR(
    TRANSPOSE(
        _xlfn.UNIQUE(
            _xlfn._xlws.FILTER(
                Tabla1__2[NOMBRE_DOCENTE],
                ISNUMBER(MATCH(Tabla1__2[MAESTRIA],BQ296:DY296,0))
            )
        )
    ),
"")</f>
        <v/>
      </c>
    </row>
    <row r="297" spans="1:131" ht="20.25" customHeight="1">
      <c r="A297" t="str" cm="1">
        <f t="array" ref="A297">TRANSPOSE(_xlfn.UNIQUE(_xlfn._xlws.FILTER(T_ASIGNATURA1[ID_NIVEL],T_ASIGNATURA1[ID_CARRERA]=ASIGNACION!$A297,"No existe información")))</f>
        <v>No existe información</v>
      </c>
      <c r="S297" t="str" cm="1">
        <f t="array" ref="S297">TRANSPOSE(_xlfn.UNIQUE(_xlfn._xlws.FILTER(T_ASIGNATURA1[NOM_ASIG],(T_ASIGNATURA1[ID_NIVEL]=ASIGNACION!$C297)*(T_ASIGNATURA1[ID_CARRERA]=ASIGNACION!$A297),"No existe información")))</f>
        <v>No existe información</v>
      </c>
      <c r="BQ297" s="1" t="str" cm="1">
        <f t="array" ref="BQ297">IFERROR(
    TRANSPOSE(
        _xlfn.UNIQUE(
            _xlfn._xlws.FILTER(
                Tabla1_1[MAESTRIA],
                ISNUMBER(MATCH(Tabla1_1[CAMPO_DETALLADO],BD298:BP298,0))
            )
        )
    ),
"")</f>
        <v/>
      </c>
      <c r="EA297" t="str" cm="1">
        <f t="array" ref="EA297">IFERROR(
    TRANSPOSE(
        _xlfn.UNIQUE(
            _xlfn._xlws.FILTER(
                Tabla1__2[NOMBRE_DOCENTE],
                ISNUMBER(MATCH(Tabla1__2[MAESTRIA],BQ297:DY297,0))
            )
        )
    ),
"")</f>
        <v/>
      </c>
    </row>
    <row r="298" spans="1:131" ht="20.25" customHeight="1">
      <c r="A298" t="str" cm="1">
        <f t="array" ref="A298">TRANSPOSE(_xlfn.UNIQUE(_xlfn._xlws.FILTER(T_ASIGNATURA1[ID_NIVEL],T_ASIGNATURA1[ID_CARRERA]=ASIGNACION!$A298,"No existe información")))</f>
        <v>No existe información</v>
      </c>
      <c r="S298" t="str" cm="1">
        <f t="array" ref="S298">TRANSPOSE(_xlfn.UNIQUE(_xlfn._xlws.FILTER(T_ASIGNATURA1[NOM_ASIG],(T_ASIGNATURA1[ID_NIVEL]=ASIGNACION!$C298)*(T_ASIGNATURA1[ID_CARRERA]=ASIGNACION!$A298),"No existe información")))</f>
        <v>No existe información</v>
      </c>
      <c r="BQ298" s="1" t="str" cm="1">
        <f t="array" ref="BQ298">IFERROR(
    TRANSPOSE(
        _xlfn.UNIQUE(
            _xlfn._xlws.FILTER(
                Tabla1_1[MAESTRIA],
                ISNUMBER(MATCH(Tabla1_1[CAMPO_DETALLADO],BD299:BP299,0))
            )
        )
    ),
"")</f>
        <v/>
      </c>
      <c r="EA298" t="str" cm="1">
        <f t="array" ref="EA298">IFERROR(
    TRANSPOSE(
        _xlfn.UNIQUE(
            _xlfn._xlws.FILTER(
                Tabla1__2[NOMBRE_DOCENTE],
                ISNUMBER(MATCH(Tabla1__2[MAESTRIA],BQ298:DY298,0))
            )
        )
    ),
"")</f>
        <v/>
      </c>
    </row>
    <row r="299" spans="1:131" ht="20.25" customHeight="1">
      <c r="A299" t="str" cm="1">
        <f t="array" ref="A299">TRANSPOSE(_xlfn.UNIQUE(_xlfn._xlws.FILTER(T_ASIGNATURA1[ID_NIVEL],T_ASIGNATURA1[ID_CARRERA]=ASIGNACION!$A299,"No existe información")))</f>
        <v>No existe información</v>
      </c>
      <c r="S299" t="str" cm="1">
        <f t="array" ref="S299">TRANSPOSE(_xlfn.UNIQUE(_xlfn._xlws.FILTER(T_ASIGNATURA1[NOM_ASIG],(T_ASIGNATURA1[ID_NIVEL]=ASIGNACION!$C299)*(T_ASIGNATURA1[ID_CARRERA]=ASIGNACION!$A299),"No existe información")))</f>
        <v>No existe información</v>
      </c>
      <c r="BQ299" s="1" t="str" cm="1">
        <f t="array" ref="BQ299">IFERROR(
    TRANSPOSE(
        _xlfn.UNIQUE(
            _xlfn._xlws.FILTER(
                Tabla1_1[MAESTRIA],
                ISNUMBER(MATCH(Tabla1_1[CAMPO_DETALLADO],BD300:BP300,0))
            )
        )
    ),
"")</f>
        <v/>
      </c>
      <c r="EA299" t="str" cm="1">
        <f t="array" ref="EA299">IFERROR(
    TRANSPOSE(
        _xlfn.UNIQUE(
            _xlfn._xlws.FILTER(
                Tabla1__2[NOMBRE_DOCENTE],
                ISNUMBER(MATCH(Tabla1__2[MAESTRIA],BQ299:DY299,0))
            )
        )
    ),
"")</f>
        <v/>
      </c>
    </row>
    <row r="300" spans="1:131" ht="20.25" customHeight="1">
      <c r="A300" t="str" cm="1">
        <f t="array" ref="A300">TRANSPOSE(_xlfn.UNIQUE(_xlfn._xlws.FILTER(T_ASIGNATURA1[ID_NIVEL],T_ASIGNATURA1[ID_CARRERA]=ASIGNACION!$A300,"No existe información")))</f>
        <v>No existe información</v>
      </c>
      <c r="S300" t="str" cm="1">
        <f t="array" ref="S300">TRANSPOSE(_xlfn.UNIQUE(_xlfn._xlws.FILTER(T_ASIGNATURA1[NOM_ASIG],(T_ASIGNATURA1[ID_NIVEL]=ASIGNACION!$C300)*(T_ASIGNATURA1[ID_CARRERA]=ASIGNACION!$A300),"No existe información")))</f>
        <v>No existe información</v>
      </c>
      <c r="BQ300" s="1" t="str" cm="1">
        <f t="array" ref="BQ300">IFERROR(
    TRANSPOSE(
        _xlfn.UNIQUE(
            _xlfn._xlws.FILTER(
                Tabla1_1[MAESTRIA],
                ISNUMBER(MATCH(Tabla1_1[CAMPO_DETALLADO],BD301:BP301,0))
            )
        )
    ),
"")</f>
        <v/>
      </c>
      <c r="EA300" t="str" cm="1">
        <f t="array" ref="EA300">IFERROR(
    TRANSPOSE(
        _xlfn.UNIQUE(
            _xlfn._xlws.FILTER(
                Tabla1__2[NOMBRE_DOCENTE],
                ISNUMBER(MATCH(Tabla1__2[MAESTRIA],BQ300:DY300,0))
            )
        )
    ),
"")</f>
        <v/>
      </c>
    </row>
    <row r="301" spans="1:131" ht="20.25" customHeight="1">
      <c r="A301" t="str" cm="1">
        <f t="array" ref="A301">TRANSPOSE(_xlfn.UNIQUE(_xlfn._xlws.FILTER(T_ASIGNATURA1[ID_NIVEL],T_ASIGNATURA1[ID_CARRERA]=ASIGNACION!$A301,"No existe información")))</f>
        <v>No existe información</v>
      </c>
      <c r="S301" t="str" cm="1">
        <f t="array" ref="S301">TRANSPOSE(_xlfn.UNIQUE(_xlfn._xlws.FILTER(T_ASIGNATURA1[NOM_ASIG],(T_ASIGNATURA1[ID_NIVEL]=ASIGNACION!$C301)*(T_ASIGNATURA1[ID_CARRERA]=ASIGNACION!$A301),"No existe información")))</f>
        <v>No existe información</v>
      </c>
      <c r="BQ301" s="1" t="str" cm="1">
        <f t="array" ref="BQ301">IFERROR(
    TRANSPOSE(
        _xlfn.UNIQUE(
            _xlfn._xlws.FILTER(
                Tabla1_1[MAESTRIA],
                ISNUMBER(MATCH(Tabla1_1[CAMPO_DETALLADO],BD302:BP302,0))
            )
        )
    ),
"")</f>
        <v/>
      </c>
      <c r="EA301" t="str" cm="1">
        <f t="array" ref="EA301">IFERROR(
    TRANSPOSE(
        _xlfn.UNIQUE(
            _xlfn._xlws.FILTER(
                Tabla1__2[NOMBRE_DOCENTE],
                ISNUMBER(MATCH(Tabla1__2[MAESTRIA],BQ301:DY301,0))
            )
        )
    ),
"")</f>
        <v/>
      </c>
    </row>
    <row r="302" spans="1:131" ht="20.25" customHeight="1">
      <c r="A302" t="str" cm="1">
        <f t="array" ref="A302">TRANSPOSE(_xlfn.UNIQUE(_xlfn._xlws.FILTER(T_ASIGNATURA1[ID_NIVEL],T_ASIGNATURA1[ID_CARRERA]=ASIGNACION!$A302,"No existe información")))</f>
        <v>No existe información</v>
      </c>
      <c r="S302" t="str" cm="1">
        <f t="array" ref="S302">TRANSPOSE(_xlfn.UNIQUE(_xlfn._xlws.FILTER(T_ASIGNATURA1[NOM_ASIG],(T_ASIGNATURA1[ID_NIVEL]=ASIGNACION!$C302)*(T_ASIGNATURA1[ID_CARRERA]=ASIGNACION!$A302),"No existe información")))</f>
        <v>No existe información</v>
      </c>
      <c r="BQ302" s="1" t="str" cm="1">
        <f t="array" ref="BQ302">IFERROR(
    TRANSPOSE(
        _xlfn.UNIQUE(
            _xlfn._xlws.FILTER(
                Tabla1_1[MAESTRIA],
                ISNUMBER(MATCH(Tabla1_1[CAMPO_DETALLADO],BD303:BP303,0))
            )
        )
    ),
"")</f>
        <v/>
      </c>
      <c r="EA302" t="str" cm="1">
        <f t="array" ref="EA302">IFERROR(
    TRANSPOSE(
        _xlfn.UNIQUE(
            _xlfn._xlws.FILTER(
                Tabla1__2[NOMBRE_DOCENTE],
                ISNUMBER(MATCH(Tabla1__2[MAESTRIA],BQ302:DY302,0))
            )
        )
    ),
"")</f>
        <v/>
      </c>
    </row>
    <row r="303" spans="1:131" ht="20.25" customHeight="1">
      <c r="A303" t="str" cm="1">
        <f t="array" ref="A303">TRANSPOSE(_xlfn.UNIQUE(_xlfn._xlws.FILTER(T_ASIGNATURA1[ID_NIVEL],T_ASIGNATURA1[ID_CARRERA]=ASIGNACION!$A303,"No existe información")))</f>
        <v>No existe información</v>
      </c>
      <c r="S303" t="str" cm="1">
        <f t="array" ref="S303">TRANSPOSE(_xlfn.UNIQUE(_xlfn._xlws.FILTER(T_ASIGNATURA1[NOM_ASIG],(T_ASIGNATURA1[ID_NIVEL]=ASIGNACION!$C303)*(T_ASIGNATURA1[ID_CARRERA]=ASIGNACION!$A303),"No existe información")))</f>
        <v>No existe información</v>
      </c>
      <c r="BQ303" s="1" t="str" cm="1">
        <f t="array" ref="BQ303">IFERROR(
    TRANSPOSE(
        _xlfn.UNIQUE(
            _xlfn._xlws.FILTER(
                Tabla1_1[MAESTRIA],
                ISNUMBER(MATCH(Tabla1_1[CAMPO_DETALLADO],BD304:BP304,0))
            )
        )
    ),
"")</f>
        <v/>
      </c>
      <c r="EA303" t="str" cm="1">
        <f t="array" ref="EA303">IFERROR(
    TRANSPOSE(
        _xlfn.UNIQUE(
            _xlfn._xlws.FILTER(
                Tabla1__2[NOMBRE_DOCENTE],
                ISNUMBER(MATCH(Tabla1__2[MAESTRIA],BQ303:DY303,0))
            )
        )
    ),
"")</f>
        <v/>
      </c>
    </row>
    <row r="304" spans="1:131" ht="20.25" customHeight="1">
      <c r="A304" t="str" cm="1">
        <f t="array" ref="A304">TRANSPOSE(_xlfn.UNIQUE(_xlfn._xlws.FILTER(T_ASIGNATURA1[ID_NIVEL],T_ASIGNATURA1[ID_CARRERA]=ASIGNACION!$A304,"No existe información")))</f>
        <v>No existe información</v>
      </c>
      <c r="S304" t="str" cm="1">
        <f t="array" ref="S304">TRANSPOSE(_xlfn.UNIQUE(_xlfn._xlws.FILTER(T_ASIGNATURA1[NOM_ASIG],(T_ASIGNATURA1[ID_NIVEL]=ASIGNACION!$C304)*(T_ASIGNATURA1[ID_CARRERA]=ASIGNACION!$A304),"No existe información")))</f>
        <v>No existe información</v>
      </c>
      <c r="BQ304" s="1" t="str" cm="1">
        <f t="array" ref="BQ304">IFERROR(
    TRANSPOSE(
        _xlfn.UNIQUE(
            _xlfn._xlws.FILTER(
                Tabla1_1[MAESTRIA],
                ISNUMBER(MATCH(Tabla1_1[CAMPO_DETALLADO],BD305:BP305,0))
            )
        )
    ),
"")</f>
        <v/>
      </c>
      <c r="EA304" t="str" cm="1">
        <f t="array" ref="EA304">IFERROR(
    TRANSPOSE(
        _xlfn.UNIQUE(
            _xlfn._xlws.FILTER(
                Tabla1__2[NOMBRE_DOCENTE],
                ISNUMBER(MATCH(Tabla1__2[MAESTRIA],BQ304:DY304,0))
            )
        )
    ),
"")</f>
        <v/>
      </c>
    </row>
    <row r="305" spans="1:131" ht="20.25" customHeight="1">
      <c r="A305" t="str" cm="1">
        <f t="array" ref="A305">TRANSPOSE(_xlfn.UNIQUE(_xlfn._xlws.FILTER(T_ASIGNATURA1[ID_NIVEL],T_ASIGNATURA1[ID_CARRERA]=ASIGNACION!$A305,"No existe información")))</f>
        <v>No existe información</v>
      </c>
      <c r="S305" t="str" cm="1">
        <f t="array" ref="S305">TRANSPOSE(_xlfn.UNIQUE(_xlfn._xlws.FILTER(T_ASIGNATURA1[NOM_ASIG],(T_ASIGNATURA1[ID_NIVEL]=ASIGNACION!$C305)*(T_ASIGNATURA1[ID_CARRERA]=ASIGNACION!$A305),"No existe información")))</f>
        <v>No existe información</v>
      </c>
      <c r="BQ305" s="1" t="str" cm="1">
        <f t="array" ref="BQ305">IFERROR(
    TRANSPOSE(
        _xlfn.UNIQUE(
            _xlfn._xlws.FILTER(
                Tabla1_1[MAESTRIA],
                ISNUMBER(MATCH(Tabla1_1[CAMPO_DETALLADO],BD306:BP306,0))
            )
        )
    ),
"")</f>
        <v/>
      </c>
      <c r="EA305" t="str" cm="1">
        <f t="array" ref="EA305">IFERROR(
    TRANSPOSE(
        _xlfn.UNIQUE(
            _xlfn._xlws.FILTER(
                Tabla1__2[NOMBRE_DOCENTE],
                ISNUMBER(MATCH(Tabla1__2[MAESTRIA],BQ305:DY305,0))
            )
        )
    ),
"")</f>
        <v/>
      </c>
    </row>
    <row r="306" spans="1:131" ht="20.25" customHeight="1">
      <c r="A306" t="str" cm="1">
        <f t="array" ref="A306">TRANSPOSE(_xlfn.UNIQUE(_xlfn._xlws.FILTER(T_ASIGNATURA1[ID_NIVEL],T_ASIGNATURA1[ID_CARRERA]=ASIGNACION!$A306,"No existe información")))</f>
        <v>No existe información</v>
      </c>
      <c r="S306" t="str" cm="1">
        <f t="array" ref="S306">TRANSPOSE(_xlfn.UNIQUE(_xlfn._xlws.FILTER(T_ASIGNATURA1[NOM_ASIG],(T_ASIGNATURA1[ID_NIVEL]=ASIGNACION!$C306)*(T_ASIGNATURA1[ID_CARRERA]=ASIGNACION!$A306),"No existe información")))</f>
        <v>No existe información</v>
      </c>
      <c r="BQ306" s="1" t="str" cm="1">
        <f t="array" ref="BQ306">IFERROR(
    TRANSPOSE(
        _xlfn.UNIQUE(
            _xlfn._xlws.FILTER(
                Tabla1_1[MAESTRIA],
                ISNUMBER(MATCH(Tabla1_1[CAMPO_DETALLADO],BD307:BP307,0))
            )
        )
    ),
"")</f>
        <v/>
      </c>
      <c r="EA306" t="str" cm="1">
        <f t="array" ref="EA306">IFERROR(
    TRANSPOSE(
        _xlfn.UNIQUE(
            _xlfn._xlws.FILTER(
                Tabla1__2[NOMBRE_DOCENTE],
                ISNUMBER(MATCH(Tabla1__2[MAESTRIA],BQ306:DY306,0))
            )
        )
    ),
"")</f>
        <v/>
      </c>
    </row>
    <row r="307" spans="1:131" ht="20.25" customHeight="1">
      <c r="A307" t="str" cm="1">
        <f t="array" ref="A307">TRANSPOSE(_xlfn.UNIQUE(_xlfn._xlws.FILTER(T_ASIGNATURA1[ID_NIVEL],T_ASIGNATURA1[ID_CARRERA]=ASIGNACION!$A307,"No existe información")))</f>
        <v>No existe información</v>
      </c>
      <c r="S307" t="str" cm="1">
        <f t="array" ref="S307">TRANSPOSE(_xlfn.UNIQUE(_xlfn._xlws.FILTER(T_ASIGNATURA1[NOM_ASIG],(T_ASIGNATURA1[ID_NIVEL]=ASIGNACION!$C307)*(T_ASIGNATURA1[ID_CARRERA]=ASIGNACION!$A307),"No existe información")))</f>
        <v>No existe información</v>
      </c>
      <c r="BQ307" s="1" t="str" cm="1">
        <f t="array" ref="BQ307">IFERROR(
    TRANSPOSE(
        _xlfn.UNIQUE(
            _xlfn._xlws.FILTER(
                Tabla1_1[MAESTRIA],
                ISNUMBER(MATCH(Tabla1_1[CAMPO_DETALLADO],BD308:BP308,0))
            )
        )
    ),
"")</f>
        <v/>
      </c>
      <c r="EA307" t="str" cm="1">
        <f t="array" ref="EA307">IFERROR(
    TRANSPOSE(
        _xlfn.UNIQUE(
            _xlfn._xlws.FILTER(
                Tabla1__2[NOMBRE_DOCENTE],
                ISNUMBER(MATCH(Tabla1__2[MAESTRIA],BQ307:DY307,0))
            )
        )
    ),
"")</f>
        <v/>
      </c>
    </row>
    <row r="308" spans="1:131" ht="20.25" customHeight="1">
      <c r="A308" t="str" cm="1">
        <f t="array" ref="A308">TRANSPOSE(_xlfn.UNIQUE(_xlfn._xlws.FILTER(T_ASIGNATURA1[ID_NIVEL],T_ASIGNATURA1[ID_CARRERA]=ASIGNACION!$A308,"No existe información")))</f>
        <v>No existe información</v>
      </c>
      <c r="S308" t="str" cm="1">
        <f t="array" ref="S308">TRANSPOSE(_xlfn.UNIQUE(_xlfn._xlws.FILTER(T_ASIGNATURA1[NOM_ASIG],(T_ASIGNATURA1[ID_NIVEL]=ASIGNACION!$C308)*(T_ASIGNATURA1[ID_CARRERA]=ASIGNACION!$A308),"No existe información")))</f>
        <v>No existe información</v>
      </c>
      <c r="BQ308" s="1" t="str" cm="1">
        <f t="array" ref="BQ308">IFERROR(
    TRANSPOSE(
        _xlfn.UNIQUE(
            _xlfn._xlws.FILTER(
                Tabla1_1[MAESTRIA],
                ISNUMBER(MATCH(Tabla1_1[CAMPO_DETALLADO],BD309:BP309,0))
            )
        )
    ),
"")</f>
        <v/>
      </c>
      <c r="EA308" t="str" cm="1">
        <f t="array" ref="EA308">IFERROR(
    TRANSPOSE(
        _xlfn.UNIQUE(
            _xlfn._xlws.FILTER(
                Tabla1__2[NOMBRE_DOCENTE],
                ISNUMBER(MATCH(Tabla1__2[MAESTRIA],BQ308:DY308,0))
            )
        )
    ),
"")</f>
        <v/>
      </c>
    </row>
    <row r="309" spans="1:131" ht="20.25" customHeight="1">
      <c r="A309" t="str" cm="1">
        <f t="array" ref="A309">TRANSPOSE(_xlfn.UNIQUE(_xlfn._xlws.FILTER(T_ASIGNATURA1[ID_NIVEL],T_ASIGNATURA1[ID_CARRERA]=ASIGNACION!$A309,"No existe información")))</f>
        <v>No existe información</v>
      </c>
      <c r="S309" t="str" cm="1">
        <f t="array" ref="S309">TRANSPOSE(_xlfn.UNIQUE(_xlfn._xlws.FILTER(T_ASIGNATURA1[NOM_ASIG],(T_ASIGNATURA1[ID_NIVEL]=ASIGNACION!$C309)*(T_ASIGNATURA1[ID_CARRERA]=ASIGNACION!$A309),"No existe información")))</f>
        <v>No existe información</v>
      </c>
      <c r="BQ309" s="1" t="str" cm="1">
        <f t="array" ref="BQ309">IFERROR(
    TRANSPOSE(
        _xlfn.UNIQUE(
            _xlfn._xlws.FILTER(
                Tabla1_1[MAESTRIA],
                ISNUMBER(MATCH(Tabla1_1[CAMPO_DETALLADO],BD310:BP310,0))
            )
        )
    ),
"")</f>
        <v/>
      </c>
      <c r="EA309" t="str" cm="1">
        <f t="array" ref="EA309">IFERROR(
    TRANSPOSE(
        _xlfn.UNIQUE(
            _xlfn._xlws.FILTER(
                Tabla1__2[NOMBRE_DOCENTE],
                ISNUMBER(MATCH(Tabla1__2[MAESTRIA],BQ309:DY309,0))
            )
        )
    ),
"")</f>
        <v/>
      </c>
    </row>
    <row r="310" spans="1:131" ht="20.25" customHeight="1">
      <c r="A310" t="str" cm="1">
        <f t="array" ref="A310">TRANSPOSE(_xlfn.UNIQUE(_xlfn._xlws.FILTER(T_ASIGNATURA1[ID_NIVEL],T_ASIGNATURA1[ID_CARRERA]=ASIGNACION!$A310,"No existe información")))</f>
        <v>No existe información</v>
      </c>
      <c r="S310" t="str" cm="1">
        <f t="array" ref="S310">TRANSPOSE(_xlfn.UNIQUE(_xlfn._xlws.FILTER(T_ASIGNATURA1[NOM_ASIG],(T_ASIGNATURA1[ID_NIVEL]=ASIGNACION!$C310)*(T_ASIGNATURA1[ID_CARRERA]=ASIGNACION!$A310),"No existe información")))</f>
        <v>No existe información</v>
      </c>
      <c r="BQ310" s="1" t="str" cm="1">
        <f t="array" ref="BQ310">IFERROR(
    TRANSPOSE(
        _xlfn.UNIQUE(
            _xlfn._xlws.FILTER(
                Tabla1_1[MAESTRIA],
                ISNUMBER(MATCH(Tabla1_1[CAMPO_DETALLADO],BD311:BP311,0))
            )
        )
    ),
"")</f>
        <v/>
      </c>
      <c r="EA310" t="str" cm="1">
        <f t="array" ref="EA310">IFERROR(
    TRANSPOSE(
        _xlfn.UNIQUE(
            _xlfn._xlws.FILTER(
                Tabla1__2[NOMBRE_DOCENTE],
                ISNUMBER(MATCH(Tabla1__2[MAESTRIA],BQ310:DY310,0))
            )
        )
    ),
"")</f>
        <v/>
      </c>
    </row>
    <row r="311" spans="1:131" ht="20.25" customHeight="1">
      <c r="A311" t="str" cm="1">
        <f t="array" ref="A311">TRANSPOSE(_xlfn.UNIQUE(_xlfn._xlws.FILTER(T_ASIGNATURA1[ID_NIVEL],T_ASIGNATURA1[ID_CARRERA]=ASIGNACION!$A311,"No existe información")))</f>
        <v>No existe información</v>
      </c>
      <c r="S311" t="str" cm="1">
        <f t="array" ref="S311">TRANSPOSE(_xlfn.UNIQUE(_xlfn._xlws.FILTER(T_ASIGNATURA1[NOM_ASIG],(T_ASIGNATURA1[ID_NIVEL]=ASIGNACION!$C311)*(T_ASIGNATURA1[ID_CARRERA]=ASIGNACION!$A311),"No existe información")))</f>
        <v>No existe información</v>
      </c>
      <c r="BQ311" s="1" t="str" cm="1">
        <f t="array" ref="BQ311">IFERROR(
    TRANSPOSE(
        _xlfn.UNIQUE(
            _xlfn._xlws.FILTER(
                Tabla1_1[MAESTRIA],
                ISNUMBER(MATCH(Tabla1_1[CAMPO_DETALLADO],BD312:BP312,0))
            )
        )
    ),
"")</f>
        <v/>
      </c>
      <c r="EA311" t="str" cm="1">
        <f t="array" ref="EA311">IFERROR(
    TRANSPOSE(
        _xlfn.UNIQUE(
            _xlfn._xlws.FILTER(
                Tabla1__2[NOMBRE_DOCENTE],
                ISNUMBER(MATCH(Tabla1__2[MAESTRIA],BQ311:DY311,0))
            )
        )
    ),
"")</f>
        <v/>
      </c>
    </row>
    <row r="312" spans="1:131" ht="20.25" customHeight="1">
      <c r="A312" t="str" cm="1">
        <f t="array" ref="A312">TRANSPOSE(_xlfn.UNIQUE(_xlfn._xlws.FILTER(T_ASIGNATURA1[ID_NIVEL],T_ASIGNATURA1[ID_CARRERA]=ASIGNACION!$A312,"No existe información")))</f>
        <v>No existe información</v>
      </c>
      <c r="S312" t="str" cm="1">
        <f t="array" ref="S312">TRANSPOSE(_xlfn.UNIQUE(_xlfn._xlws.FILTER(T_ASIGNATURA1[NOM_ASIG],(T_ASIGNATURA1[ID_NIVEL]=ASIGNACION!$C312)*(T_ASIGNATURA1[ID_CARRERA]=ASIGNACION!$A312),"No existe información")))</f>
        <v>No existe información</v>
      </c>
      <c r="BQ312" s="1" t="str" cm="1">
        <f t="array" ref="BQ312">IFERROR(
    TRANSPOSE(
        _xlfn.UNIQUE(
            _xlfn._xlws.FILTER(
                Tabla1_1[MAESTRIA],
                ISNUMBER(MATCH(Tabla1_1[CAMPO_DETALLADO],BD313:BP313,0))
            )
        )
    ),
"")</f>
        <v/>
      </c>
      <c r="EA312" t="str" cm="1">
        <f t="array" ref="EA312">IFERROR(
    TRANSPOSE(
        _xlfn.UNIQUE(
            _xlfn._xlws.FILTER(
                Tabla1__2[NOMBRE_DOCENTE],
                ISNUMBER(MATCH(Tabla1__2[MAESTRIA],BQ312:DY312,0))
            )
        )
    ),
"")</f>
        <v/>
      </c>
    </row>
    <row r="313" spans="1:131" ht="20.25" customHeight="1">
      <c r="A313" t="str" cm="1">
        <f t="array" ref="A313">TRANSPOSE(_xlfn.UNIQUE(_xlfn._xlws.FILTER(T_ASIGNATURA1[ID_NIVEL],T_ASIGNATURA1[ID_CARRERA]=ASIGNACION!$A313,"No existe información")))</f>
        <v>No existe información</v>
      </c>
      <c r="S313" t="str" cm="1">
        <f t="array" ref="S313">TRANSPOSE(_xlfn.UNIQUE(_xlfn._xlws.FILTER(T_ASIGNATURA1[NOM_ASIG],(T_ASIGNATURA1[ID_NIVEL]=ASIGNACION!$C313)*(T_ASIGNATURA1[ID_CARRERA]=ASIGNACION!$A313),"No existe información")))</f>
        <v>No existe información</v>
      </c>
      <c r="BQ313" s="1" t="str" cm="1">
        <f t="array" ref="BQ313">IFERROR(
    TRANSPOSE(
        _xlfn.UNIQUE(
            _xlfn._xlws.FILTER(
                Tabla1_1[MAESTRIA],
                ISNUMBER(MATCH(Tabla1_1[CAMPO_DETALLADO],BD314:BP314,0))
            )
        )
    ),
"")</f>
        <v/>
      </c>
      <c r="EA313" t="str" cm="1">
        <f t="array" ref="EA313">IFERROR(
    TRANSPOSE(
        _xlfn.UNIQUE(
            _xlfn._xlws.FILTER(
                Tabla1__2[NOMBRE_DOCENTE],
                ISNUMBER(MATCH(Tabla1__2[MAESTRIA],BQ313:DY313,0))
            )
        )
    ),
"")</f>
        <v/>
      </c>
    </row>
    <row r="314" spans="1:131" ht="20.25" customHeight="1">
      <c r="A314" t="str" cm="1">
        <f t="array" ref="A314">TRANSPOSE(_xlfn.UNIQUE(_xlfn._xlws.FILTER(T_ASIGNATURA1[ID_NIVEL],T_ASIGNATURA1[ID_CARRERA]=ASIGNACION!$A314,"No existe información")))</f>
        <v>No existe información</v>
      </c>
      <c r="S314" t="str" cm="1">
        <f t="array" ref="S314">TRANSPOSE(_xlfn.UNIQUE(_xlfn._xlws.FILTER(T_ASIGNATURA1[NOM_ASIG],(T_ASIGNATURA1[ID_NIVEL]=ASIGNACION!$C314)*(T_ASIGNATURA1[ID_CARRERA]=ASIGNACION!$A314),"No existe información")))</f>
        <v>No existe información</v>
      </c>
      <c r="BQ314" s="1" t="str" cm="1">
        <f t="array" ref="BQ314">IFERROR(
    TRANSPOSE(
        _xlfn.UNIQUE(
            _xlfn._xlws.FILTER(
                Tabla1_1[MAESTRIA],
                ISNUMBER(MATCH(Tabla1_1[CAMPO_DETALLADO],BD315:BP315,0))
            )
        )
    ),
"")</f>
        <v/>
      </c>
      <c r="EA314" t="str" cm="1">
        <f t="array" ref="EA314">IFERROR(
    TRANSPOSE(
        _xlfn.UNIQUE(
            _xlfn._xlws.FILTER(
                Tabla1__2[NOMBRE_DOCENTE],
                ISNUMBER(MATCH(Tabla1__2[MAESTRIA],BQ314:DY314,0))
            )
        )
    ),
"")</f>
        <v/>
      </c>
    </row>
    <row r="315" spans="1:131" ht="20.25" customHeight="1">
      <c r="A315" t="str" cm="1">
        <f t="array" ref="A315">TRANSPOSE(_xlfn.UNIQUE(_xlfn._xlws.FILTER(T_ASIGNATURA1[ID_NIVEL],T_ASIGNATURA1[ID_CARRERA]=ASIGNACION!$A315,"No existe información")))</f>
        <v>No existe información</v>
      </c>
      <c r="S315" t="str" cm="1">
        <f t="array" ref="S315">TRANSPOSE(_xlfn.UNIQUE(_xlfn._xlws.FILTER(T_ASIGNATURA1[NOM_ASIG],(T_ASIGNATURA1[ID_NIVEL]=ASIGNACION!$C315)*(T_ASIGNATURA1[ID_CARRERA]=ASIGNACION!$A315),"No existe información")))</f>
        <v>No existe información</v>
      </c>
      <c r="BQ315" s="1" t="str" cm="1">
        <f t="array" ref="BQ315">IFERROR(
    TRANSPOSE(
        _xlfn.UNIQUE(
            _xlfn._xlws.FILTER(
                Tabla1_1[MAESTRIA],
                ISNUMBER(MATCH(Tabla1_1[CAMPO_DETALLADO],BD316:BP316,0))
            )
        )
    ),
"")</f>
        <v/>
      </c>
      <c r="EA315" t="str" cm="1">
        <f t="array" ref="EA315">IFERROR(
    TRANSPOSE(
        _xlfn.UNIQUE(
            _xlfn._xlws.FILTER(
                Tabla1__2[NOMBRE_DOCENTE],
                ISNUMBER(MATCH(Tabla1__2[MAESTRIA],BQ315:DY315,0))
            )
        )
    ),
"")</f>
        <v/>
      </c>
    </row>
    <row r="316" spans="1:131" ht="20.25" customHeight="1">
      <c r="A316" t="str" cm="1">
        <f t="array" ref="A316">TRANSPOSE(_xlfn.UNIQUE(_xlfn._xlws.FILTER(T_ASIGNATURA1[ID_NIVEL],T_ASIGNATURA1[ID_CARRERA]=ASIGNACION!$A316,"No existe información")))</f>
        <v>No existe información</v>
      </c>
      <c r="S316" t="str" cm="1">
        <f t="array" ref="S316">TRANSPOSE(_xlfn.UNIQUE(_xlfn._xlws.FILTER(T_ASIGNATURA1[NOM_ASIG],(T_ASIGNATURA1[ID_NIVEL]=ASIGNACION!$C316)*(T_ASIGNATURA1[ID_CARRERA]=ASIGNACION!$A316),"No existe información")))</f>
        <v>No existe información</v>
      </c>
      <c r="BQ316" s="1" t="str" cm="1">
        <f t="array" ref="BQ316">IFERROR(
    TRANSPOSE(
        _xlfn.UNIQUE(
            _xlfn._xlws.FILTER(
                Tabla1_1[MAESTRIA],
                ISNUMBER(MATCH(Tabla1_1[CAMPO_DETALLADO],BD317:BP317,0))
            )
        )
    ),
"")</f>
        <v/>
      </c>
      <c r="EA316" t="str" cm="1">
        <f t="array" ref="EA316">IFERROR(
    TRANSPOSE(
        _xlfn.UNIQUE(
            _xlfn._xlws.FILTER(
                Tabla1__2[NOMBRE_DOCENTE],
                ISNUMBER(MATCH(Tabla1__2[MAESTRIA],BQ316:DY316,0))
            )
        )
    ),
"")</f>
        <v/>
      </c>
    </row>
    <row r="317" spans="1:131" ht="20.25" customHeight="1">
      <c r="A317" t="str" cm="1">
        <f t="array" ref="A317">TRANSPOSE(_xlfn.UNIQUE(_xlfn._xlws.FILTER(T_ASIGNATURA1[ID_NIVEL],T_ASIGNATURA1[ID_CARRERA]=ASIGNACION!$A317,"No existe información")))</f>
        <v>No existe información</v>
      </c>
      <c r="S317" t="str" cm="1">
        <f t="array" ref="S317">TRANSPOSE(_xlfn.UNIQUE(_xlfn._xlws.FILTER(T_ASIGNATURA1[NOM_ASIG],(T_ASIGNATURA1[ID_NIVEL]=ASIGNACION!$C317)*(T_ASIGNATURA1[ID_CARRERA]=ASIGNACION!$A317),"No existe información")))</f>
        <v>No existe información</v>
      </c>
      <c r="BQ317" s="1" t="str" cm="1">
        <f t="array" ref="BQ317">IFERROR(
    TRANSPOSE(
        _xlfn.UNIQUE(
            _xlfn._xlws.FILTER(
                Tabla1_1[MAESTRIA],
                ISNUMBER(MATCH(Tabla1_1[CAMPO_DETALLADO],BD318:BP318,0))
            )
        )
    ),
"")</f>
        <v/>
      </c>
      <c r="EA317" t="str" cm="1">
        <f t="array" ref="EA317">IFERROR(
    TRANSPOSE(
        _xlfn.UNIQUE(
            _xlfn._xlws.FILTER(
                Tabla1__2[NOMBRE_DOCENTE],
                ISNUMBER(MATCH(Tabla1__2[MAESTRIA],BQ317:DY317,0))
            )
        )
    ),
"")</f>
        <v/>
      </c>
    </row>
    <row r="318" spans="1:131" ht="20.25" customHeight="1">
      <c r="A318" t="str" cm="1">
        <f t="array" ref="A318">TRANSPOSE(_xlfn.UNIQUE(_xlfn._xlws.FILTER(T_ASIGNATURA1[ID_NIVEL],T_ASIGNATURA1[ID_CARRERA]=ASIGNACION!$A318,"No existe información")))</f>
        <v>No existe información</v>
      </c>
      <c r="S318" t="str" cm="1">
        <f t="array" ref="S318">TRANSPOSE(_xlfn.UNIQUE(_xlfn._xlws.FILTER(T_ASIGNATURA1[NOM_ASIG],(T_ASIGNATURA1[ID_NIVEL]=ASIGNACION!$C318)*(T_ASIGNATURA1[ID_CARRERA]=ASIGNACION!$A318),"No existe información")))</f>
        <v>No existe información</v>
      </c>
      <c r="BQ318" s="1" t="str" cm="1">
        <f t="array" ref="BQ318">IFERROR(
    TRANSPOSE(
        _xlfn.UNIQUE(
            _xlfn._xlws.FILTER(
                Tabla1_1[MAESTRIA],
                ISNUMBER(MATCH(Tabla1_1[CAMPO_DETALLADO],BD319:BP319,0))
            )
        )
    ),
"")</f>
        <v/>
      </c>
      <c r="EA318" t="str" cm="1">
        <f t="array" ref="EA318">IFERROR(
    TRANSPOSE(
        _xlfn.UNIQUE(
            _xlfn._xlws.FILTER(
                Tabla1__2[NOMBRE_DOCENTE],
                ISNUMBER(MATCH(Tabla1__2[MAESTRIA],BQ318:DY318,0))
            )
        )
    ),
"")</f>
        <v/>
      </c>
    </row>
    <row r="319" spans="1:131" ht="20.25" customHeight="1">
      <c r="A319" t="str" cm="1">
        <f t="array" ref="A319">TRANSPOSE(_xlfn.UNIQUE(_xlfn._xlws.FILTER(T_ASIGNATURA1[ID_NIVEL],T_ASIGNATURA1[ID_CARRERA]=ASIGNACION!$A319,"No existe información")))</f>
        <v>No existe información</v>
      </c>
      <c r="S319" t="str" cm="1">
        <f t="array" ref="S319">TRANSPOSE(_xlfn.UNIQUE(_xlfn._xlws.FILTER(T_ASIGNATURA1[NOM_ASIG],(T_ASIGNATURA1[ID_NIVEL]=ASIGNACION!$C319)*(T_ASIGNATURA1[ID_CARRERA]=ASIGNACION!$A319),"No existe información")))</f>
        <v>No existe información</v>
      </c>
      <c r="BQ319" s="1" t="str" cm="1">
        <f t="array" ref="BQ319">IFERROR(
    TRANSPOSE(
        _xlfn.UNIQUE(
            _xlfn._xlws.FILTER(
                Tabla1_1[MAESTRIA],
                ISNUMBER(MATCH(Tabla1_1[CAMPO_DETALLADO],BD320:BP320,0))
            )
        )
    ),
"")</f>
        <v/>
      </c>
      <c r="EA319" t="str" cm="1">
        <f t="array" ref="EA319">IFERROR(
    TRANSPOSE(
        _xlfn.UNIQUE(
            _xlfn._xlws.FILTER(
                Tabla1__2[NOMBRE_DOCENTE],
                ISNUMBER(MATCH(Tabla1__2[MAESTRIA],BQ319:DY319,0))
            )
        )
    ),
"")</f>
        <v/>
      </c>
    </row>
    <row r="320" spans="1:131" ht="20.25" customHeight="1">
      <c r="A320" t="str" cm="1">
        <f t="array" ref="A320">TRANSPOSE(_xlfn.UNIQUE(_xlfn._xlws.FILTER(T_ASIGNATURA1[ID_NIVEL],T_ASIGNATURA1[ID_CARRERA]=ASIGNACION!$A320,"No existe información")))</f>
        <v>No existe información</v>
      </c>
      <c r="S320" t="str" cm="1">
        <f t="array" ref="S320">TRANSPOSE(_xlfn.UNIQUE(_xlfn._xlws.FILTER(T_ASIGNATURA1[NOM_ASIG],(T_ASIGNATURA1[ID_NIVEL]=ASIGNACION!$C320)*(T_ASIGNATURA1[ID_CARRERA]=ASIGNACION!$A320),"No existe información")))</f>
        <v>No existe información</v>
      </c>
      <c r="BQ320" s="1" t="str" cm="1">
        <f t="array" ref="BQ320">IFERROR(
    TRANSPOSE(
        _xlfn.UNIQUE(
            _xlfn._xlws.FILTER(
                Tabla1_1[MAESTRIA],
                ISNUMBER(MATCH(Tabla1_1[CAMPO_DETALLADO],BD321:BP321,0))
            )
        )
    ),
"")</f>
        <v/>
      </c>
      <c r="EA320" t="str" cm="1">
        <f t="array" ref="EA320">IFERROR(
    TRANSPOSE(
        _xlfn.UNIQUE(
            _xlfn._xlws.FILTER(
                Tabla1__2[NOMBRE_DOCENTE],
                ISNUMBER(MATCH(Tabla1__2[MAESTRIA],BQ320:DY320,0))
            )
        )
    ),
"")</f>
        <v/>
      </c>
    </row>
    <row r="321" spans="1:131" ht="20.25" customHeight="1">
      <c r="A321" t="str" cm="1">
        <f t="array" ref="A321">TRANSPOSE(_xlfn.UNIQUE(_xlfn._xlws.FILTER(T_ASIGNATURA1[ID_NIVEL],T_ASIGNATURA1[ID_CARRERA]=ASIGNACION!$A321,"No existe información")))</f>
        <v>No existe información</v>
      </c>
      <c r="S321" t="str" cm="1">
        <f t="array" ref="S321">TRANSPOSE(_xlfn.UNIQUE(_xlfn._xlws.FILTER(T_ASIGNATURA1[NOM_ASIG],(T_ASIGNATURA1[ID_NIVEL]=ASIGNACION!$C321)*(T_ASIGNATURA1[ID_CARRERA]=ASIGNACION!$A321),"No existe información")))</f>
        <v>No existe información</v>
      </c>
      <c r="BQ321" s="1" t="str" cm="1">
        <f t="array" ref="BQ321">IFERROR(
    TRANSPOSE(
        _xlfn.UNIQUE(
            _xlfn._xlws.FILTER(
                Tabla1_1[MAESTRIA],
                ISNUMBER(MATCH(Tabla1_1[CAMPO_DETALLADO],BD322:BP322,0))
            )
        )
    ),
"")</f>
        <v/>
      </c>
      <c r="EA321" t="str" cm="1">
        <f t="array" ref="EA321">IFERROR(
    TRANSPOSE(
        _xlfn.UNIQUE(
            _xlfn._xlws.FILTER(
                Tabla1__2[NOMBRE_DOCENTE],
                ISNUMBER(MATCH(Tabla1__2[MAESTRIA],BQ321:DY321,0))
            )
        )
    ),
"")</f>
        <v/>
      </c>
    </row>
    <row r="322" spans="1:131" ht="20.25" customHeight="1">
      <c r="A322" t="str" cm="1">
        <f t="array" ref="A322">TRANSPOSE(_xlfn.UNIQUE(_xlfn._xlws.FILTER(T_ASIGNATURA1[ID_NIVEL],T_ASIGNATURA1[ID_CARRERA]=ASIGNACION!$A322,"No existe información")))</f>
        <v>No existe información</v>
      </c>
      <c r="S322" t="str" cm="1">
        <f t="array" ref="S322">TRANSPOSE(_xlfn.UNIQUE(_xlfn._xlws.FILTER(T_ASIGNATURA1[NOM_ASIG],(T_ASIGNATURA1[ID_NIVEL]=ASIGNACION!$C322)*(T_ASIGNATURA1[ID_CARRERA]=ASIGNACION!$A322),"No existe información")))</f>
        <v>No existe información</v>
      </c>
      <c r="BQ322" s="1" t="str" cm="1">
        <f t="array" ref="BQ322">IFERROR(
    TRANSPOSE(
        _xlfn.UNIQUE(
            _xlfn._xlws.FILTER(
                Tabla1_1[MAESTRIA],
                ISNUMBER(MATCH(Tabla1_1[CAMPO_DETALLADO],BD323:BP323,0))
            )
        )
    ),
"")</f>
        <v/>
      </c>
      <c r="EA322" t="str" cm="1">
        <f t="array" ref="EA322">IFERROR(
    TRANSPOSE(
        _xlfn.UNIQUE(
            _xlfn._xlws.FILTER(
                Tabla1__2[NOMBRE_DOCENTE],
                ISNUMBER(MATCH(Tabla1__2[MAESTRIA],BQ322:DY322,0))
            )
        )
    ),
"")</f>
        <v/>
      </c>
    </row>
    <row r="323" spans="1:131" ht="20.25" customHeight="1">
      <c r="A323" t="str" cm="1">
        <f t="array" ref="A323">TRANSPOSE(_xlfn.UNIQUE(_xlfn._xlws.FILTER(T_ASIGNATURA1[ID_NIVEL],T_ASIGNATURA1[ID_CARRERA]=ASIGNACION!$A323,"No existe información")))</f>
        <v>No existe información</v>
      </c>
      <c r="S323" t="str" cm="1">
        <f t="array" ref="S323">TRANSPOSE(_xlfn.UNIQUE(_xlfn._xlws.FILTER(T_ASIGNATURA1[NOM_ASIG],(T_ASIGNATURA1[ID_NIVEL]=ASIGNACION!$C323)*(T_ASIGNATURA1[ID_CARRERA]=ASIGNACION!$A323),"No existe información")))</f>
        <v>No existe información</v>
      </c>
      <c r="BQ323" s="1" t="str" cm="1">
        <f t="array" ref="BQ323">IFERROR(
    TRANSPOSE(
        _xlfn.UNIQUE(
            _xlfn._xlws.FILTER(
                Tabla1_1[MAESTRIA],
                ISNUMBER(MATCH(Tabla1_1[CAMPO_DETALLADO],BD324:BP324,0))
            )
        )
    ),
"")</f>
        <v/>
      </c>
      <c r="EA323" t="str" cm="1">
        <f t="array" ref="EA323">IFERROR(
    TRANSPOSE(
        _xlfn.UNIQUE(
            _xlfn._xlws.FILTER(
                Tabla1__2[NOMBRE_DOCENTE],
                ISNUMBER(MATCH(Tabla1__2[MAESTRIA],BQ323:DY323,0))
            )
        )
    ),
"")</f>
        <v/>
      </c>
    </row>
    <row r="324" spans="1:131" ht="20.25" customHeight="1">
      <c r="A324" t="str" cm="1">
        <f t="array" ref="A324">TRANSPOSE(_xlfn.UNIQUE(_xlfn._xlws.FILTER(T_ASIGNATURA1[ID_NIVEL],T_ASIGNATURA1[ID_CARRERA]=ASIGNACION!$A324,"No existe información")))</f>
        <v>No existe información</v>
      </c>
      <c r="S324" t="str" cm="1">
        <f t="array" ref="S324">TRANSPOSE(_xlfn.UNIQUE(_xlfn._xlws.FILTER(T_ASIGNATURA1[NOM_ASIG],(T_ASIGNATURA1[ID_NIVEL]=ASIGNACION!$C324)*(T_ASIGNATURA1[ID_CARRERA]=ASIGNACION!$A324),"No existe información")))</f>
        <v>No existe información</v>
      </c>
      <c r="BQ324" s="1" t="str" cm="1">
        <f t="array" ref="BQ324">IFERROR(
    TRANSPOSE(
        _xlfn.UNIQUE(
            _xlfn._xlws.FILTER(
                Tabla1_1[MAESTRIA],
                ISNUMBER(MATCH(Tabla1_1[CAMPO_DETALLADO],BD325:BP325,0))
            )
        )
    ),
"")</f>
        <v/>
      </c>
      <c r="EA324" t="str" cm="1">
        <f t="array" ref="EA324">IFERROR(
    TRANSPOSE(
        _xlfn.UNIQUE(
            _xlfn._xlws.FILTER(
                Tabla1__2[NOMBRE_DOCENTE],
                ISNUMBER(MATCH(Tabla1__2[MAESTRIA],BQ324:DY324,0))
            )
        )
    ),
"")</f>
        <v/>
      </c>
    </row>
    <row r="325" spans="1:131" ht="20.25" customHeight="1">
      <c r="A325" t="str" cm="1">
        <f t="array" ref="A325">TRANSPOSE(_xlfn.UNIQUE(_xlfn._xlws.FILTER(T_ASIGNATURA1[ID_NIVEL],T_ASIGNATURA1[ID_CARRERA]=ASIGNACION!$A325,"No existe información")))</f>
        <v>No existe información</v>
      </c>
      <c r="S325" t="str" cm="1">
        <f t="array" ref="S325">TRANSPOSE(_xlfn.UNIQUE(_xlfn._xlws.FILTER(T_ASIGNATURA1[NOM_ASIG],(T_ASIGNATURA1[ID_NIVEL]=ASIGNACION!$C325)*(T_ASIGNATURA1[ID_CARRERA]=ASIGNACION!$A325),"No existe información")))</f>
        <v>No existe información</v>
      </c>
      <c r="BQ325" s="1" t="str" cm="1">
        <f t="array" ref="BQ325">IFERROR(
    TRANSPOSE(
        _xlfn.UNIQUE(
            _xlfn._xlws.FILTER(
                Tabla1_1[MAESTRIA],
                ISNUMBER(MATCH(Tabla1_1[CAMPO_DETALLADO],BD326:BP326,0))
            )
        )
    ),
"")</f>
        <v/>
      </c>
      <c r="EA325" t="str" cm="1">
        <f t="array" ref="EA325">IFERROR(
    TRANSPOSE(
        _xlfn.UNIQUE(
            _xlfn._xlws.FILTER(
                Tabla1__2[NOMBRE_DOCENTE],
                ISNUMBER(MATCH(Tabla1__2[MAESTRIA],BQ325:DY325,0))
            )
        )
    ),
"")</f>
        <v/>
      </c>
    </row>
    <row r="326" spans="1:131" ht="20.25" customHeight="1">
      <c r="A326" t="str" cm="1">
        <f t="array" ref="A326">TRANSPOSE(_xlfn.UNIQUE(_xlfn._xlws.FILTER(T_ASIGNATURA1[ID_NIVEL],T_ASIGNATURA1[ID_CARRERA]=ASIGNACION!$A326,"No existe información")))</f>
        <v>No existe información</v>
      </c>
      <c r="S326" t="str" cm="1">
        <f t="array" ref="S326">TRANSPOSE(_xlfn.UNIQUE(_xlfn._xlws.FILTER(T_ASIGNATURA1[NOM_ASIG],(T_ASIGNATURA1[ID_NIVEL]=ASIGNACION!$C326)*(T_ASIGNATURA1[ID_CARRERA]=ASIGNACION!$A326),"No existe información")))</f>
        <v>No existe información</v>
      </c>
      <c r="BQ326" s="1" t="str" cm="1">
        <f t="array" ref="BQ326">IFERROR(
    TRANSPOSE(
        _xlfn.UNIQUE(
            _xlfn._xlws.FILTER(
                Tabla1_1[MAESTRIA],
                ISNUMBER(MATCH(Tabla1_1[CAMPO_DETALLADO],BD327:BP327,0))
            )
        )
    ),
"")</f>
        <v/>
      </c>
      <c r="EA326" t="str" cm="1">
        <f t="array" ref="EA326">IFERROR(
    TRANSPOSE(
        _xlfn.UNIQUE(
            _xlfn._xlws.FILTER(
                Tabla1__2[NOMBRE_DOCENTE],
                ISNUMBER(MATCH(Tabla1__2[MAESTRIA],BQ326:DY326,0))
            )
        )
    ),
"")</f>
        <v/>
      </c>
    </row>
    <row r="327" spans="1:131" ht="20.25" customHeight="1">
      <c r="A327" t="str" cm="1">
        <f t="array" ref="A327">TRANSPOSE(_xlfn.UNIQUE(_xlfn._xlws.FILTER(T_ASIGNATURA1[ID_NIVEL],T_ASIGNATURA1[ID_CARRERA]=ASIGNACION!$A327,"No existe información")))</f>
        <v>No existe información</v>
      </c>
      <c r="S327" t="str" cm="1">
        <f t="array" ref="S327">TRANSPOSE(_xlfn.UNIQUE(_xlfn._xlws.FILTER(T_ASIGNATURA1[NOM_ASIG],(T_ASIGNATURA1[ID_NIVEL]=ASIGNACION!$C327)*(T_ASIGNATURA1[ID_CARRERA]=ASIGNACION!$A327),"No existe información")))</f>
        <v>No existe información</v>
      </c>
      <c r="BQ327" s="1" t="str" cm="1">
        <f t="array" ref="BQ327">IFERROR(
    TRANSPOSE(
        _xlfn.UNIQUE(
            _xlfn._xlws.FILTER(
                Tabla1_1[MAESTRIA],
                ISNUMBER(MATCH(Tabla1_1[CAMPO_DETALLADO],BD328:BP328,0))
            )
        )
    ),
"")</f>
        <v/>
      </c>
      <c r="EA327" t="str" cm="1">
        <f t="array" ref="EA327">IFERROR(
    TRANSPOSE(
        _xlfn.UNIQUE(
            _xlfn._xlws.FILTER(
                Tabla1__2[NOMBRE_DOCENTE],
                ISNUMBER(MATCH(Tabla1__2[MAESTRIA],BQ327:DY327,0))
            )
        )
    ),
"")</f>
        <v/>
      </c>
    </row>
    <row r="328" spans="1:131" ht="20.25" customHeight="1">
      <c r="A328" t="str" cm="1">
        <f t="array" ref="A328">TRANSPOSE(_xlfn.UNIQUE(_xlfn._xlws.FILTER(T_ASIGNATURA1[ID_NIVEL],T_ASIGNATURA1[ID_CARRERA]=ASIGNACION!$A328,"No existe información")))</f>
        <v>No existe información</v>
      </c>
      <c r="S328" t="str" cm="1">
        <f t="array" ref="S328">TRANSPOSE(_xlfn.UNIQUE(_xlfn._xlws.FILTER(T_ASIGNATURA1[NOM_ASIG],(T_ASIGNATURA1[ID_NIVEL]=ASIGNACION!$C328)*(T_ASIGNATURA1[ID_CARRERA]=ASIGNACION!$A328),"No existe información")))</f>
        <v>No existe información</v>
      </c>
      <c r="BQ328" s="1" t="str" cm="1">
        <f t="array" ref="BQ328">IFERROR(
    TRANSPOSE(
        _xlfn.UNIQUE(
            _xlfn._xlws.FILTER(
                Tabla1_1[MAESTRIA],
                ISNUMBER(MATCH(Tabla1_1[CAMPO_DETALLADO],BD329:BP329,0))
            )
        )
    ),
"")</f>
        <v/>
      </c>
      <c r="EA328" t="str" cm="1">
        <f t="array" ref="EA328">IFERROR(
    TRANSPOSE(
        _xlfn.UNIQUE(
            _xlfn._xlws.FILTER(
                Tabla1__2[NOMBRE_DOCENTE],
                ISNUMBER(MATCH(Tabla1__2[MAESTRIA],BQ328:DY328,0))
            )
        )
    ),
"")</f>
        <v/>
      </c>
    </row>
    <row r="329" spans="1:131" ht="20.25" customHeight="1">
      <c r="A329" t="str" cm="1">
        <f t="array" ref="A329">TRANSPOSE(_xlfn.UNIQUE(_xlfn._xlws.FILTER(T_ASIGNATURA1[ID_NIVEL],T_ASIGNATURA1[ID_CARRERA]=ASIGNACION!$A329,"No existe información")))</f>
        <v>No existe información</v>
      </c>
      <c r="S329" t="str" cm="1">
        <f t="array" ref="S329">TRANSPOSE(_xlfn.UNIQUE(_xlfn._xlws.FILTER(T_ASIGNATURA1[NOM_ASIG],(T_ASIGNATURA1[ID_NIVEL]=ASIGNACION!$C329)*(T_ASIGNATURA1[ID_CARRERA]=ASIGNACION!$A329),"No existe información")))</f>
        <v>No existe información</v>
      </c>
      <c r="BQ329" s="1" t="str" cm="1">
        <f t="array" ref="BQ329">IFERROR(
    TRANSPOSE(
        _xlfn.UNIQUE(
            _xlfn._xlws.FILTER(
                Tabla1_1[MAESTRIA],
                ISNUMBER(MATCH(Tabla1_1[CAMPO_DETALLADO],BD330:BP330,0))
            )
        )
    ),
"")</f>
        <v/>
      </c>
      <c r="EA329" t="str" cm="1">
        <f t="array" ref="EA329">IFERROR(
    TRANSPOSE(
        _xlfn.UNIQUE(
            _xlfn._xlws.FILTER(
                Tabla1__2[NOMBRE_DOCENTE],
                ISNUMBER(MATCH(Tabla1__2[MAESTRIA],BQ329:DY329,0))
            )
        )
    ),
"")</f>
        <v/>
      </c>
    </row>
    <row r="330" spans="1:131" ht="20.25" customHeight="1">
      <c r="A330" t="str" cm="1">
        <f t="array" ref="A330">TRANSPOSE(_xlfn.UNIQUE(_xlfn._xlws.FILTER(T_ASIGNATURA1[ID_NIVEL],T_ASIGNATURA1[ID_CARRERA]=ASIGNACION!$A330,"No existe información")))</f>
        <v>No existe información</v>
      </c>
      <c r="S330" t="str" cm="1">
        <f t="array" ref="S330">TRANSPOSE(_xlfn.UNIQUE(_xlfn._xlws.FILTER(T_ASIGNATURA1[NOM_ASIG],(T_ASIGNATURA1[ID_NIVEL]=ASIGNACION!$C330)*(T_ASIGNATURA1[ID_CARRERA]=ASIGNACION!$A330),"No existe información")))</f>
        <v>No existe información</v>
      </c>
      <c r="BQ330" s="1" t="str" cm="1">
        <f t="array" ref="BQ330">IFERROR(
    TRANSPOSE(
        _xlfn.UNIQUE(
            _xlfn._xlws.FILTER(
                Tabla1_1[MAESTRIA],
                ISNUMBER(MATCH(Tabla1_1[CAMPO_DETALLADO],BD331:BP331,0))
            )
        )
    ),
"")</f>
        <v/>
      </c>
      <c r="EA330" t="str" cm="1">
        <f t="array" ref="EA330">IFERROR(
    TRANSPOSE(
        _xlfn.UNIQUE(
            _xlfn._xlws.FILTER(
                Tabla1__2[NOMBRE_DOCENTE],
                ISNUMBER(MATCH(Tabla1__2[MAESTRIA],BQ330:DY330,0))
            )
        )
    ),
"")</f>
        <v/>
      </c>
    </row>
    <row r="331" spans="1:131" ht="20.25" customHeight="1">
      <c r="A331" t="str" cm="1">
        <f t="array" ref="A331">TRANSPOSE(_xlfn.UNIQUE(_xlfn._xlws.FILTER(T_ASIGNATURA1[ID_NIVEL],T_ASIGNATURA1[ID_CARRERA]=ASIGNACION!$A331,"No existe información")))</f>
        <v>No existe información</v>
      </c>
      <c r="S331" t="str" cm="1">
        <f t="array" ref="S331">TRANSPOSE(_xlfn.UNIQUE(_xlfn._xlws.FILTER(T_ASIGNATURA1[NOM_ASIG],(T_ASIGNATURA1[ID_NIVEL]=ASIGNACION!$C331)*(T_ASIGNATURA1[ID_CARRERA]=ASIGNACION!$A331),"No existe información")))</f>
        <v>No existe información</v>
      </c>
      <c r="BQ331" s="1" t="str" cm="1">
        <f t="array" ref="BQ331">IFERROR(
    TRANSPOSE(
        _xlfn.UNIQUE(
            _xlfn._xlws.FILTER(
                Tabla1_1[MAESTRIA],
                ISNUMBER(MATCH(Tabla1_1[CAMPO_DETALLADO],BD332:BP332,0))
            )
        )
    ),
"")</f>
        <v/>
      </c>
      <c r="EA331" t="str" cm="1">
        <f t="array" ref="EA331">IFERROR(
    TRANSPOSE(
        _xlfn.UNIQUE(
            _xlfn._xlws.FILTER(
                Tabla1__2[NOMBRE_DOCENTE],
                ISNUMBER(MATCH(Tabla1__2[MAESTRIA],BQ331:DY331,0))
            )
        )
    ),
"")</f>
        <v/>
      </c>
    </row>
    <row r="332" spans="1:131" ht="20.25" customHeight="1">
      <c r="A332" t="str" cm="1">
        <f t="array" ref="A332">TRANSPOSE(_xlfn.UNIQUE(_xlfn._xlws.FILTER(T_ASIGNATURA1[ID_NIVEL],T_ASIGNATURA1[ID_CARRERA]=ASIGNACION!$A332,"No existe información")))</f>
        <v>No existe información</v>
      </c>
      <c r="S332" t="str" cm="1">
        <f t="array" ref="S332">TRANSPOSE(_xlfn.UNIQUE(_xlfn._xlws.FILTER(T_ASIGNATURA1[NOM_ASIG],(T_ASIGNATURA1[ID_NIVEL]=ASIGNACION!$C332)*(T_ASIGNATURA1[ID_CARRERA]=ASIGNACION!$A332),"No existe información")))</f>
        <v>No existe información</v>
      </c>
      <c r="BQ332" s="1" t="str" cm="1">
        <f t="array" ref="BQ332">IFERROR(
    TRANSPOSE(
        _xlfn.UNIQUE(
            _xlfn._xlws.FILTER(
                Tabla1_1[MAESTRIA],
                ISNUMBER(MATCH(Tabla1_1[CAMPO_DETALLADO],BD333:BP333,0))
            )
        )
    ),
"")</f>
        <v/>
      </c>
      <c r="EA332" t="str" cm="1">
        <f t="array" ref="EA332">IFERROR(
    TRANSPOSE(
        _xlfn.UNIQUE(
            _xlfn._xlws.FILTER(
                Tabla1__2[NOMBRE_DOCENTE],
                ISNUMBER(MATCH(Tabla1__2[MAESTRIA],BQ332:DY332,0))
            )
        )
    ),
"")</f>
        <v/>
      </c>
    </row>
    <row r="333" spans="1:131" ht="20.25" customHeight="1">
      <c r="A333" t="str" cm="1">
        <f t="array" ref="A333">TRANSPOSE(_xlfn.UNIQUE(_xlfn._xlws.FILTER(T_ASIGNATURA1[ID_NIVEL],T_ASIGNATURA1[ID_CARRERA]=ASIGNACION!$A333,"No existe información")))</f>
        <v>No existe información</v>
      </c>
      <c r="S333" t="str" cm="1">
        <f t="array" ref="S333">TRANSPOSE(_xlfn.UNIQUE(_xlfn._xlws.FILTER(T_ASIGNATURA1[NOM_ASIG],(T_ASIGNATURA1[ID_NIVEL]=ASIGNACION!$C333)*(T_ASIGNATURA1[ID_CARRERA]=ASIGNACION!$A333),"No existe información")))</f>
        <v>No existe información</v>
      </c>
      <c r="BQ333" s="1" t="str" cm="1">
        <f t="array" ref="BQ333">IFERROR(
    TRANSPOSE(
        _xlfn.UNIQUE(
            _xlfn._xlws.FILTER(
                Tabla1_1[MAESTRIA],
                ISNUMBER(MATCH(Tabla1_1[CAMPO_DETALLADO],BD334:BP334,0))
            )
        )
    ),
"")</f>
        <v/>
      </c>
      <c r="EA333" t="str" cm="1">
        <f t="array" ref="EA333">IFERROR(
    TRANSPOSE(
        _xlfn.UNIQUE(
            _xlfn._xlws.FILTER(
                Tabla1__2[NOMBRE_DOCENTE],
                ISNUMBER(MATCH(Tabla1__2[MAESTRIA],BQ333:DY333,0))
            )
        )
    ),
"")</f>
        <v/>
      </c>
    </row>
    <row r="334" spans="1:131" ht="20.25" customHeight="1">
      <c r="A334" t="str" cm="1">
        <f t="array" ref="A334">TRANSPOSE(_xlfn.UNIQUE(_xlfn._xlws.FILTER(T_ASIGNATURA1[ID_NIVEL],T_ASIGNATURA1[ID_CARRERA]=ASIGNACION!$A334,"No existe información")))</f>
        <v>No existe información</v>
      </c>
      <c r="S334" t="str" cm="1">
        <f t="array" ref="S334">TRANSPOSE(_xlfn.UNIQUE(_xlfn._xlws.FILTER(T_ASIGNATURA1[NOM_ASIG],(T_ASIGNATURA1[ID_NIVEL]=ASIGNACION!$C334)*(T_ASIGNATURA1[ID_CARRERA]=ASIGNACION!$A334),"No existe información")))</f>
        <v>No existe información</v>
      </c>
      <c r="BQ334" s="1" t="str" cm="1">
        <f t="array" ref="BQ334">IFERROR(
    TRANSPOSE(
        _xlfn.UNIQUE(
            _xlfn._xlws.FILTER(
                Tabla1_1[MAESTRIA],
                ISNUMBER(MATCH(Tabla1_1[CAMPO_DETALLADO],BD335:BP335,0))
            )
        )
    ),
"")</f>
        <v/>
      </c>
      <c r="EA334" t="str" cm="1">
        <f t="array" ref="EA334">IFERROR(
    TRANSPOSE(
        _xlfn.UNIQUE(
            _xlfn._xlws.FILTER(
                Tabla1__2[NOMBRE_DOCENTE],
                ISNUMBER(MATCH(Tabla1__2[MAESTRIA],BQ334:DY334,0))
            )
        )
    ),
"")</f>
        <v/>
      </c>
    </row>
    <row r="335" spans="1:131" ht="20.25" customHeight="1">
      <c r="A335" t="str" cm="1">
        <f t="array" ref="A335">TRANSPOSE(_xlfn.UNIQUE(_xlfn._xlws.FILTER(T_ASIGNATURA1[ID_NIVEL],T_ASIGNATURA1[ID_CARRERA]=ASIGNACION!$A335,"No existe información")))</f>
        <v>No existe información</v>
      </c>
      <c r="S335" t="str" cm="1">
        <f t="array" ref="S335">TRANSPOSE(_xlfn.UNIQUE(_xlfn._xlws.FILTER(T_ASIGNATURA1[NOM_ASIG],(T_ASIGNATURA1[ID_NIVEL]=ASIGNACION!$C335)*(T_ASIGNATURA1[ID_CARRERA]=ASIGNACION!$A335),"No existe información")))</f>
        <v>No existe información</v>
      </c>
      <c r="BQ335" s="1" t="str" cm="1">
        <f t="array" ref="BQ335">IFERROR(
    TRANSPOSE(
        _xlfn.UNIQUE(
            _xlfn._xlws.FILTER(
                Tabla1_1[MAESTRIA],
                ISNUMBER(MATCH(Tabla1_1[CAMPO_DETALLADO],BD336:BP336,0))
            )
        )
    ),
"")</f>
        <v/>
      </c>
      <c r="EA335" t="str" cm="1">
        <f t="array" ref="EA335">IFERROR(
    TRANSPOSE(
        _xlfn.UNIQUE(
            _xlfn._xlws.FILTER(
                Tabla1__2[NOMBRE_DOCENTE],
                ISNUMBER(MATCH(Tabla1__2[MAESTRIA],BQ335:DY335,0))
            )
        )
    ),
"")</f>
        <v/>
      </c>
    </row>
    <row r="336" spans="1:131" ht="20.25" customHeight="1">
      <c r="A336" t="str" cm="1">
        <f t="array" ref="A336">TRANSPOSE(_xlfn.UNIQUE(_xlfn._xlws.FILTER(T_ASIGNATURA1[ID_NIVEL],T_ASIGNATURA1[ID_CARRERA]=ASIGNACION!$A336,"No existe información")))</f>
        <v>No existe información</v>
      </c>
      <c r="S336" t="str" cm="1">
        <f t="array" ref="S336">TRANSPOSE(_xlfn.UNIQUE(_xlfn._xlws.FILTER(T_ASIGNATURA1[NOM_ASIG],(T_ASIGNATURA1[ID_NIVEL]=ASIGNACION!$C336)*(T_ASIGNATURA1[ID_CARRERA]=ASIGNACION!$A336),"No existe información")))</f>
        <v>No existe información</v>
      </c>
      <c r="BQ336" s="1" t="str" cm="1">
        <f t="array" ref="BQ336">IFERROR(
    TRANSPOSE(
        _xlfn.UNIQUE(
            _xlfn._xlws.FILTER(
                Tabla1_1[MAESTRIA],
                ISNUMBER(MATCH(Tabla1_1[CAMPO_DETALLADO],BD337:BP337,0))
            )
        )
    ),
"")</f>
        <v/>
      </c>
      <c r="EA336" t="str" cm="1">
        <f t="array" ref="EA336">IFERROR(
    TRANSPOSE(
        _xlfn.UNIQUE(
            _xlfn._xlws.FILTER(
                Tabla1__2[NOMBRE_DOCENTE],
                ISNUMBER(MATCH(Tabla1__2[MAESTRIA],BQ336:DY336,0))
            )
        )
    ),
"")</f>
        <v/>
      </c>
    </row>
    <row r="337" spans="1:131" ht="20.25" customHeight="1">
      <c r="A337" t="str" cm="1">
        <f t="array" ref="A337">TRANSPOSE(_xlfn.UNIQUE(_xlfn._xlws.FILTER(T_ASIGNATURA1[ID_NIVEL],T_ASIGNATURA1[ID_CARRERA]=ASIGNACION!$A337,"No existe información")))</f>
        <v>No existe información</v>
      </c>
      <c r="S337" t="str" cm="1">
        <f t="array" ref="S337">TRANSPOSE(_xlfn.UNIQUE(_xlfn._xlws.FILTER(T_ASIGNATURA1[NOM_ASIG],(T_ASIGNATURA1[ID_NIVEL]=ASIGNACION!$C337)*(T_ASIGNATURA1[ID_CARRERA]=ASIGNACION!$A337),"No existe información")))</f>
        <v>No existe información</v>
      </c>
      <c r="BQ337" s="1" t="str" cm="1">
        <f t="array" ref="BQ337">IFERROR(
    TRANSPOSE(
        _xlfn.UNIQUE(
            _xlfn._xlws.FILTER(
                Tabla1_1[MAESTRIA],
                ISNUMBER(MATCH(Tabla1_1[CAMPO_DETALLADO],BD338:BP338,0))
            )
        )
    ),
"")</f>
        <v/>
      </c>
      <c r="EA337" t="str" cm="1">
        <f t="array" ref="EA337">IFERROR(
    TRANSPOSE(
        _xlfn.UNIQUE(
            _xlfn._xlws.FILTER(
                Tabla1__2[NOMBRE_DOCENTE],
                ISNUMBER(MATCH(Tabla1__2[MAESTRIA],BQ337:DY337,0))
            )
        )
    ),
"")</f>
        <v/>
      </c>
    </row>
    <row r="338" spans="1:131" ht="20.25" customHeight="1">
      <c r="A338" t="str" cm="1">
        <f t="array" ref="A338">TRANSPOSE(_xlfn.UNIQUE(_xlfn._xlws.FILTER(T_ASIGNATURA1[ID_NIVEL],T_ASIGNATURA1[ID_CARRERA]=ASIGNACION!$A338,"No existe información")))</f>
        <v>No existe información</v>
      </c>
      <c r="S338" t="str" cm="1">
        <f t="array" ref="S338">TRANSPOSE(_xlfn.UNIQUE(_xlfn._xlws.FILTER(T_ASIGNATURA1[NOM_ASIG],(T_ASIGNATURA1[ID_NIVEL]=ASIGNACION!$C338)*(T_ASIGNATURA1[ID_CARRERA]=ASIGNACION!$A338),"No existe información")))</f>
        <v>No existe información</v>
      </c>
      <c r="BQ338" s="1" t="str" cm="1">
        <f t="array" ref="BQ338">IFERROR(
    TRANSPOSE(
        _xlfn.UNIQUE(
            _xlfn._xlws.FILTER(
                Tabla1_1[MAESTRIA],
                ISNUMBER(MATCH(Tabla1_1[CAMPO_DETALLADO],BD339:BP339,0))
            )
        )
    ),
"")</f>
        <v/>
      </c>
      <c r="EA338" t="str" cm="1">
        <f t="array" ref="EA338">IFERROR(
    TRANSPOSE(
        _xlfn.UNIQUE(
            _xlfn._xlws.FILTER(
                Tabla1__2[NOMBRE_DOCENTE],
                ISNUMBER(MATCH(Tabla1__2[MAESTRIA],BQ338:DY338,0))
            )
        )
    ),
"")</f>
        <v/>
      </c>
    </row>
    <row r="339" spans="1:131" ht="20.25" customHeight="1">
      <c r="A339" t="str" cm="1">
        <f t="array" ref="A339">TRANSPOSE(_xlfn.UNIQUE(_xlfn._xlws.FILTER(T_ASIGNATURA1[ID_NIVEL],T_ASIGNATURA1[ID_CARRERA]=ASIGNACION!$A339,"No existe información")))</f>
        <v>No existe información</v>
      </c>
      <c r="S339" t="str" cm="1">
        <f t="array" ref="S339">TRANSPOSE(_xlfn.UNIQUE(_xlfn._xlws.FILTER(T_ASIGNATURA1[NOM_ASIG],(T_ASIGNATURA1[ID_NIVEL]=ASIGNACION!$C339)*(T_ASIGNATURA1[ID_CARRERA]=ASIGNACION!$A339),"No existe información")))</f>
        <v>No existe información</v>
      </c>
      <c r="BQ339" s="1" t="str" cm="1">
        <f t="array" ref="BQ339">IFERROR(
    TRANSPOSE(
        _xlfn.UNIQUE(
            _xlfn._xlws.FILTER(
                Tabla1_1[MAESTRIA],
                ISNUMBER(MATCH(Tabla1_1[CAMPO_DETALLADO],BD340:BP340,0))
            )
        )
    ),
"")</f>
        <v/>
      </c>
      <c r="EA339" t="str" cm="1">
        <f t="array" ref="EA339">IFERROR(
    TRANSPOSE(
        _xlfn.UNIQUE(
            _xlfn._xlws.FILTER(
                Tabla1__2[NOMBRE_DOCENTE],
                ISNUMBER(MATCH(Tabla1__2[MAESTRIA],BQ339:DY339,0))
            )
        )
    ),
"")</f>
        <v/>
      </c>
    </row>
    <row r="340" spans="1:131" ht="20.25" customHeight="1">
      <c r="A340" t="str" cm="1">
        <f t="array" ref="A340">TRANSPOSE(_xlfn.UNIQUE(_xlfn._xlws.FILTER(T_ASIGNATURA1[ID_NIVEL],T_ASIGNATURA1[ID_CARRERA]=ASIGNACION!$A340,"No existe información")))</f>
        <v>No existe información</v>
      </c>
      <c r="S340" t="str" cm="1">
        <f t="array" ref="S340">TRANSPOSE(_xlfn.UNIQUE(_xlfn._xlws.FILTER(T_ASIGNATURA1[NOM_ASIG],(T_ASIGNATURA1[ID_NIVEL]=ASIGNACION!$C340)*(T_ASIGNATURA1[ID_CARRERA]=ASIGNACION!$A340),"No existe información")))</f>
        <v>No existe información</v>
      </c>
      <c r="BQ340" s="1" t="str" cm="1">
        <f t="array" ref="BQ340">IFERROR(
    TRANSPOSE(
        _xlfn.UNIQUE(
            _xlfn._xlws.FILTER(
                Tabla1_1[MAESTRIA],
                ISNUMBER(MATCH(Tabla1_1[CAMPO_DETALLADO],BD341:BP341,0))
            )
        )
    ),
"")</f>
        <v/>
      </c>
      <c r="EA340" t="str" cm="1">
        <f t="array" ref="EA340">IFERROR(
    TRANSPOSE(
        _xlfn.UNIQUE(
            _xlfn._xlws.FILTER(
                Tabla1__2[NOMBRE_DOCENTE],
                ISNUMBER(MATCH(Tabla1__2[MAESTRIA],BQ340:DY340,0))
            )
        )
    ),
"")</f>
        <v/>
      </c>
    </row>
    <row r="341" spans="1:131" ht="20.25" customHeight="1">
      <c r="A341" t="str" cm="1">
        <f t="array" ref="A341">TRANSPOSE(_xlfn.UNIQUE(_xlfn._xlws.FILTER(T_ASIGNATURA1[ID_NIVEL],T_ASIGNATURA1[ID_CARRERA]=ASIGNACION!$A341,"No existe información")))</f>
        <v>No existe información</v>
      </c>
      <c r="S341" t="str" cm="1">
        <f t="array" ref="S341">TRANSPOSE(_xlfn.UNIQUE(_xlfn._xlws.FILTER(T_ASIGNATURA1[NOM_ASIG],(T_ASIGNATURA1[ID_NIVEL]=ASIGNACION!$C341)*(T_ASIGNATURA1[ID_CARRERA]=ASIGNACION!$A341),"No existe información")))</f>
        <v>No existe información</v>
      </c>
      <c r="BQ341" s="1" t="str" cm="1">
        <f t="array" ref="BQ341">IFERROR(
    TRANSPOSE(
        _xlfn.UNIQUE(
            _xlfn._xlws.FILTER(
                Tabla1_1[MAESTRIA],
                ISNUMBER(MATCH(Tabla1_1[CAMPO_DETALLADO],BD342:BP342,0))
            )
        )
    ),
"")</f>
        <v/>
      </c>
      <c r="EA341" t="str" cm="1">
        <f t="array" ref="EA341">IFERROR(
    TRANSPOSE(
        _xlfn.UNIQUE(
            _xlfn._xlws.FILTER(
                Tabla1__2[NOMBRE_DOCENTE],
                ISNUMBER(MATCH(Tabla1__2[MAESTRIA],BQ341:DY341,0))
            )
        )
    ),
"")</f>
        <v/>
      </c>
    </row>
    <row r="342" spans="1:131" ht="20.25" customHeight="1">
      <c r="A342" t="str" cm="1">
        <f t="array" ref="A342">TRANSPOSE(_xlfn.UNIQUE(_xlfn._xlws.FILTER(T_ASIGNATURA1[ID_NIVEL],T_ASIGNATURA1[ID_CARRERA]=ASIGNACION!$A342,"No existe información")))</f>
        <v>No existe información</v>
      </c>
      <c r="S342" t="str" cm="1">
        <f t="array" ref="S342">TRANSPOSE(_xlfn.UNIQUE(_xlfn._xlws.FILTER(T_ASIGNATURA1[NOM_ASIG],(T_ASIGNATURA1[ID_NIVEL]=ASIGNACION!$C342)*(T_ASIGNATURA1[ID_CARRERA]=ASIGNACION!$A342),"No existe información")))</f>
        <v>No existe información</v>
      </c>
      <c r="BQ342" s="1" t="str" cm="1">
        <f t="array" ref="BQ342">IFERROR(
    TRANSPOSE(
        _xlfn.UNIQUE(
            _xlfn._xlws.FILTER(
                Tabla1_1[MAESTRIA],
                ISNUMBER(MATCH(Tabla1_1[CAMPO_DETALLADO],BD343:BP343,0))
            )
        )
    ),
"")</f>
        <v/>
      </c>
      <c r="EA342" t="str" cm="1">
        <f t="array" ref="EA342">IFERROR(
    TRANSPOSE(
        _xlfn.UNIQUE(
            _xlfn._xlws.FILTER(
                Tabla1__2[NOMBRE_DOCENTE],
                ISNUMBER(MATCH(Tabla1__2[MAESTRIA],BQ342:DY342,0))
            )
        )
    ),
"")</f>
        <v/>
      </c>
    </row>
    <row r="343" spans="1:131" ht="20.25" customHeight="1">
      <c r="A343" t="str" cm="1">
        <f t="array" ref="A343">TRANSPOSE(_xlfn.UNIQUE(_xlfn._xlws.FILTER(T_ASIGNATURA1[ID_NIVEL],T_ASIGNATURA1[ID_CARRERA]=ASIGNACION!$A343,"No existe información")))</f>
        <v>No existe información</v>
      </c>
      <c r="S343" t="str" cm="1">
        <f t="array" ref="S343">TRANSPOSE(_xlfn.UNIQUE(_xlfn._xlws.FILTER(T_ASIGNATURA1[NOM_ASIG],(T_ASIGNATURA1[ID_NIVEL]=ASIGNACION!$C343)*(T_ASIGNATURA1[ID_CARRERA]=ASIGNACION!$A343),"No existe información")))</f>
        <v>No existe información</v>
      </c>
      <c r="BQ343" s="1" t="str" cm="1">
        <f t="array" ref="BQ343">IFERROR(
    TRANSPOSE(
        _xlfn.UNIQUE(
            _xlfn._xlws.FILTER(
                Tabla1_1[MAESTRIA],
                ISNUMBER(MATCH(Tabla1_1[CAMPO_DETALLADO],BD344:BP344,0))
            )
        )
    ),
"")</f>
        <v/>
      </c>
      <c r="EA343" t="str" cm="1">
        <f t="array" ref="EA343">IFERROR(
    TRANSPOSE(
        _xlfn.UNIQUE(
            _xlfn._xlws.FILTER(
                Tabla1__2[NOMBRE_DOCENTE],
                ISNUMBER(MATCH(Tabla1__2[MAESTRIA],BQ343:DY343,0))
            )
        )
    ),
"")</f>
        <v/>
      </c>
    </row>
    <row r="344" spans="1:131" ht="20.25" customHeight="1">
      <c r="A344" t="str" cm="1">
        <f t="array" ref="A344">TRANSPOSE(_xlfn.UNIQUE(_xlfn._xlws.FILTER(T_ASIGNATURA1[ID_NIVEL],T_ASIGNATURA1[ID_CARRERA]=ASIGNACION!$A344,"No existe información")))</f>
        <v>No existe información</v>
      </c>
      <c r="S344" t="str" cm="1">
        <f t="array" ref="S344">TRANSPOSE(_xlfn.UNIQUE(_xlfn._xlws.FILTER(T_ASIGNATURA1[NOM_ASIG],(T_ASIGNATURA1[ID_NIVEL]=ASIGNACION!$C344)*(T_ASIGNATURA1[ID_CARRERA]=ASIGNACION!$A344),"No existe información")))</f>
        <v>No existe información</v>
      </c>
      <c r="BQ344" s="1" t="str" cm="1">
        <f t="array" ref="BQ344">IFERROR(
    TRANSPOSE(
        _xlfn.UNIQUE(
            _xlfn._xlws.FILTER(
                Tabla1_1[MAESTRIA],
                ISNUMBER(MATCH(Tabla1_1[CAMPO_DETALLADO],BD345:BP345,0))
            )
        )
    ),
"")</f>
        <v/>
      </c>
      <c r="EA344" t="str" cm="1">
        <f t="array" ref="EA344">IFERROR(
    TRANSPOSE(
        _xlfn.UNIQUE(
            _xlfn._xlws.FILTER(
                Tabla1__2[NOMBRE_DOCENTE],
                ISNUMBER(MATCH(Tabla1__2[MAESTRIA],BQ344:DY344,0))
            )
        )
    ),
"")</f>
        <v/>
      </c>
    </row>
    <row r="345" spans="1:131" ht="20.25" customHeight="1">
      <c r="A345" t="str" cm="1">
        <f t="array" ref="A345">TRANSPOSE(_xlfn.UNIQUE(_xlfn._xlws.FILTER(T_ASIGNATURA1[ID_NIVEL],T_ASIGNATURA1[ID_CARRERA]=ASIGNACION!$A345,"No existe información")))</f>
        <v>No existe información</v>
      </c>
      <c r="S345" t="str" cm="1">
        <f t="array" ref="S345">TRANSPOSE(_xlfn.UNIQUE(_xlfn._xlws.FILTER(T_ASIGNATURA1[NOM_ASIG],(T_ASIGNATURA1[ID_NIVEL]=ASIGNACION!$C345)*(T_ASIGNATURA1[ID_CARRERA]=ASIGNACION!$A345),"No existe información")))</f>
        <v>No existe información</v>
      </c>
      <c r="BQ345" s="1" t="str" cm="1">
        <f t="array" ref="BQ345">IFERROR(
    TRANSPOSE(
        _xlfn.UNIQUE(
            _xlfn._xlws.FILTER(
                Tabla1_1[MAESTRIA],
                ISNUMBER(MATCH(Tabla1_1[CAMPO_DETALLADO],BD346:BP346,0))
            )
        )
    ),
"")</f>
        <v/>
      </c>
      <c r="EA345" t="str" cm="1">
        <f t="array" ref="EA345">IFERROR(
    TRANSPOSE(
        _xlfn.UNIQUE(
            _xlfn._xlws.FILTER(
                Tabla1__2[NOMBRE_DOCENTE],
                ISNUMBER(MATCH(Tabla1__2[MAESTRIA],BQ345:DY345,0))
            )
        )
    ),
"")</f>
        <v/>
      </c>
    </row>
    <row r="346" spans="1:131" ht="20.25" customHeight="1">
      <c r="A346" t="str" cm="1">
        <f t="array" ref="A346">TRANSPOSE(_xlfn.UNIQUE(_xlfn._xlws.FILTER(T_ASIGNATURA1[ID_NIVEL],T_ASIGNATURA1[ID_CARRERA]=ASIGNACION!$A346,"No existe información")))</f>
        <v>No existe información</v>
      </c>
      <c r="S346" t="str" cm="1">
        <f t="array" ref="S346">TRANSPOSE(_xlfn.UNIQUE(_xlfn._xlws.FILTER(T_ASIGNATURA1[NOM_ASIG],(T_ASIGNATURA1[ID_NIVEL]=ASIGNACION!$C346)*(T_ASIGNATURA1[ID_CARRERA]=ASIGNACION!$A346),"No existe información")))</f>
        <v>No existe información</v>
      </c>
      <c r="BQ346" s="1" t="str" cm="1">
        <f t="array" ref="BQ346">IFERROR(
    TRANSPOSE(
        _xlfn.UNIQUE(
            _xlfn._xlws.FILTER(
                Tabla1_1[MAESTRIA],
                ISNUMBER(MATCH(Tabla1_1[CAMPO_DETALLADO],BD347:BP347,0))
            )
        )
    ),
"")</f>
        <v/>
      </c>
      <c r="EA346" t="str" cm="1">
        <f t="array" ref="EA346">IFERROR(
    TRANSPOSE(
        _xlfn.UNIQUE(
            _xlfn._xlws.FILTER(
                Tabla1__2[NOMBRE_DOCENTE],
                ISNUMBER(MATCH(Tabla1__2[MAESTRIA],BQ346:DY346,0))
            )
        )
    ),
"")</f>
        <v/>
      </c>
    </row>
    <row r="347" spans="1:131" ht="20.25" customHeight="1">
      <c r="A347" t="str" cm="1">
        <f t="array" ref="A347">TRANSPOSE(_xlfn.UNIQUE(_xlfn._xlws.FILTER(T_ASIGNATURA1[ID_NIVEL],T_ASIGNATURA1[ID_CARRERA]=ASIGNACION!$A347,"No existe información")))</f>
        <v>No existe información</v>
      </c>
      <c r="S347" t="str" cm="1">
        <f t="array" ref="S347">TRANSPOSE(_xlfn.UNIQUE(_xlfn._xlws.FILTER(T_ASIGNATURA1[NOM_ASIG],(T_ASIGNATURA1[ID_NIVEL]=ASIGNACION!$C347)*(T_ASIGNATURA1[ID_CARRERA]=ASIGNACION!$A347),"No existe información")))</f>
        <v>No existe información</v>
      </c>
      <c r="BQ347" s="1" t="str" cm="1">
        <f t="array" ref="BQ347">IFERROR(
    TRANSPOSE(
        _xlfn.UNIQUE(
            _xlfn._xlws.FILTER(
                Tabla1_1[MAESTRIA],
                ISNUMBER(MATCH(Tabla1_1[CAMPO_DETALLADO],BD348:BP348,0))
            )
        )
    ),
"")</f>
        <v/>
      </c>
      <c r="EA347" t="str" cm="1">
        <f t="array" ref="EA347">IFERROR(
    TRANSPOSE(
        _xlfn.UNIQUE(
            _xlfn._xlws.FILTER(
                Tabla1__2[NOMBRE_DOCENTE],
                ISNUMBER(MATCH(Tabla1__2[MAESTRIA],BQ347:DY347,0))
            )
        )
    ),
"")</f>
        <v/>
      </c>
    </row>
    <row r="348" spans="1:131" ht="20.25" customHeight="1">
      <c r="A348" t="str" cm="1">
        <f t="array" ref="A348">TRANSPOSE(_xlfn.UNIQUE(_xlfn._xlws.FILTER(T_ASIGNATURA1[ID_NIVEL],T_ASIGNATURA1[ID_CARRERA]=ASIGNACION!$A348,"No existe información")))</f>
        <v>No existe información</v>
      </c>
      <c r="S348" t="str" cm="1">
        <f t="array" ref="S348">TRANSPOSE(_xlfn.UNIQUE(_xlfn._xlws.FILTER(T_ASIGNATURA1[NOM_ASIG],(T_ASIGNATURA1[ID_NIVEL]=ASIGNACION!$C348)*(T_ASIGNATURA1[ID_CARRERA]=ASIGNACION!$A348),"No existe información")))</f>
        <v>No existe información</v>
      </c>
      <c r="BQ348" s="1" t="str" cm="1">
        <f t="array" ref="BQ348">IFERROR(
    TRANSPOSE(
        _xlfn.UNIQUE(
            _xlfn._xlws.FILTER(
                Tabla1_1[MAESTRIA],
                ISNUMBER(MATCH(Tabla1_1[CAMPO_DETALLADO],BD349:BP349,0))
            )
        )
    ),
"")</f>
        <v/>
      </c>
      <c r="EA348" t="str" cm="1">
        <f t="array" ref="EA348">IFERROR(
    TRANSPOSE(
        _xlfn.UNIQUE(
            _xlfn._xlws.FILTER(
                Tabla1__2[NOMBRE_DOCENTE],
                ISNUMBER(MATCH(Tabla1__2[MAESTRIA],BQ348:DY348,0))
            )
        )
    ),
"")</f>
        <v/>
      </c>
    </row>
    <row r="349" spans="1:131" ht="20.25" customHeight="1">
      <c r="A349" t="str" cm="1">
        <f t="array" ref="A349">TRANSPOSE(_xlfn.UNIQUE(_xlfn._xlws.FILTER(T_ASIGNATURA1[ID_NIVEL],T_ASIGNATURA1[ID_CARRERA]=ASIGNACION!$A349,"No existe información")))</f>
        <v>No existe información</v>
      </c>
      <c r="S349" t="str" cm="1">
        <f t="array" ref="S349">TRANSPOSE(_xlfn.UNIQUE(_xlfn._xlws.FILTER(T_ASIGNATURA1[NOM_ASIG],(T_ASIGNATURA1[ID_NIVEL]=ASIGNACION!$C349)*(T_ASIGNATURA1[ID_CARRERA]=ASIGNACION!$A349),"No existe información")))</f>
        <v>No existe información</v>
      </c>
      <c r="BQ349" s="1" t="str" cm="1">
        <f t="array" ref="BQ349">IFERROR(
    TRANSPOSE(
        _xlfn.UNIQUE(
            _xlfn._xlws.FILTER(
                Tabla1_1[MAESTRIA],
                ISNUMBER(MATCH(Tabla1_1[CAMPO_DETALLADO],BD350:BP350,0))
            )
        )
    ),
"")</f>
        <v/>
      </c>
      <c r="EA349" t="str" cm="1">
        <f t="array" ref="EA349">IFERROR(
    TRANSPOSE(
        _xlfn.UNIQUE(
            _xlfn._xlws.FILTER(
                Tabla1__2[NOMBRE_DOCENTE],
                ISNUMBER(MATCH(Tabla1__2[MAESTRIA],BQ349:DY349,0))
            )
        )
    ),
"")</f>
        <v/>
      </c>
    </row>
    <row r="350" spans="1:131" ht="20.25" customHeight="1">
      <c r="A350" t="str" cm="1">
        <f t="array" ref="A350">TRANSPOSE(_xlfn.UNIQUE(_xlfn._xlws.FILTER(T_ASIGNATURA1[ID_NIVEL],T_ASIGNATURA1[ID_CARRERA]=ASIGNACION!$A350,"No existe información")))</f>
        <v>No existe información</v>
      </c>
      <c r="S350" t="str" cm="1">
        <f t="array" ref="S350">TRANSPOSE(_xlfn.UNIQUE(_xlfn._xlws.FILTER(T_ASIGNATURA1[NOM_ASIG],(T_ASIGNATURA1[ID_NIVEL]=ASIGNACION!$C350)*(T_ASIGNATURA1[ID_CARRERA]=ASIGNACION!$A350),"No existe información")))</f>
        <v>No existe información</v>
      </c>
      <c r="BQ350" s="1" t="str" cm="1">
        <f t="array" ref="BQ350">IFERROR(
    TRANSPOSE(
        _xlfn.UNIQUE(
            _xlfn._xlws.FILTER(
                Tabla1_1[MAESTRIA],
                ISNUMBER(MATCH(Tabla1_1[CAMPO_DETALLADO],BD351:BP351,0))
            )
        )
    ),
"")</f>
        <v/>
      </c>
      <c r="EA350" t="str" cm="1">
        <f t="array" ref="EA350">IFERROR(
    TRANSPOSE(
        _xlfn.UNIQUE(
            _xlfn._xlws.FILTER(
                Tabla1__2[NOMBRE_DOCENTE],
                ISNUMBER(MATCH(Tabla1__2[MAESTRIA],BQ350:DY350,0))
            )
        )
    ),
"")</f>
        <v/>
      </c>
    </row>
    <row r="351" spans="1:131" ht="20.25" customHeight="1">
      <c r="A351" t="str" cm="1">
        <f t="array" ref="A351">TRANSPOSE(_xlfn.UNIQUE(_xlfn._xlws.FILTER(T_ASIGNATURA1[ID_NIVEL],T_ASIGNATURA1[ID_CARRERA]=ASIGNACION!$A351,"No existe información")))</f>
        <v>No existe información</v>
      </c>
      <c r="S351" t="str" cm="1">
        <f t="array" ref="S351">TRANSPOSE(_xlfn.UNIQUE(_xlfn._xlws.FILTER(T_ASIGNATURA1[NOM_ASIG],(T_ASIGNATURA1[ID_NIVEL]=ASIGNACION!$C351)*(T_ASIGNATURA1[ID_CARRERA]=ASIGNACION!$A351),"No existe información")))</f>
        <v>No existe información</v>
      </c>
      <c r="BQ351" s="1" t="str" cm="1">
        <f t="array" ref="BQ351">IFERROR(
    TRANSPOSE(
        _xlfn.UNIQUE(
            _xlfn._xlws.FILTER(
                Tabla1_1[MAESTRIA],
                ISNUMBER(MATCH(Tabla1_1[CAMPO_DETALLADO],BD352:BP352,0))
            )
        )
    ),
"")</f>
        <v/>
      </c>
      <c r="EA351" t="str" cm="1">
        <f t="array" ref="EA351">IFERROR(
    TRANSPOSE(
        _xlfn.UNIQUE(
            _xlfn._xlws.FILTER(
                Tabla1__2[NOMBRE_DOCENTE],
                ISNUMBER(MATCH(Tabla1__2[MAESTRIA],BQ351:DY351,0))
            )
        )
    ),
"")</f>
        <v/>
      </c>
    </row>
    <row r="352" spans="1:131" ht="20.25" customHeight="1">
      <c r="A352" t="str" cm="1">
        <f t="array" ref="A352">TRANSPOSE(_xlfn.UNIQUE(_xlfn._xlws.FILTER(T_ASIGNATURA1[ID_NIVEL],T_ASIGNATURA1[ID_CARRERA]=ASIGNACION!$A352,"No existe información")))</f>
        <v>No existe información</v>
      </c>
      <c r="S352" t="str" cm="1">
        <f t="array" ref="S352">TRANSPOSE(_xlfn.UNIQUE(_xlfn._xlws.FILTER(T_ASIGNATURA1[NOM_ASIG],(T_ASIGNATURA1[ID_NIVEL]=ASIGNACION!$C352)*(T_ASIGNATURA1[ID_CARRERA]=ASIGNACION!$A352),"No existe información")))</f>
        <v>No existe información</v>
      </c>
      <c r="BQ352" s="1" t="str" cm="1">
        <f t="array" ref="BQ352">IFERROR(
    TRANSPOSE(
        _xlfn.UNIQUE(
            _xlfn._xlws.FILTER(
                Tabla1_1[MAESTRIA],
                ISNUMBER(MATCH(Tabla1_1[CAMPO_DETALLADO],BD353:BP353,0))
            )
        )
    ),
"")</f>
        <v/>
      </c>
      <c r="EA352" t="str" cm="1">
        <f t="array" ref="EA352">IFERROR(
    TRANSPOSE(
        _xlfn.UNIQUE(
            _xlfn._xlws.FILTER(
                Tabla1__2[NOMBRE_DOCENTE],
                ISNUMBER(MATCH(Tabla1__2[MAESTRIA],BQ352:DY352,0))
            )
        )
    ),
"")</f>
        <v/>
      </c>
    </row>
    <row r="353" spans="1:131" ht="20.25" customHeight="1">
      <c r="A353" t="str" cm="1">
        <f t="array" ref="A353">TRANSPOSE(_xlfn.UNIQUE(_xlfn._xlws.FILTER(T_ASIGNATURA1[ID_NIVEL],T_ASIGNATURA1[ID_CARRERA]=ASIGNACION!$A353,"No existe información")))</f>
        <v>No existe información</v>
      </c>
      <c r="S353" t="str" cm="1">
        <f t="array" ref="S353">TRANSPOSE(_xlfn.UNIQUE(_xlfn._xlws.FILTER(T_ASIGNATURA1[NOM_ASIG],(T_ASIGNATURA1[ID_NIVEL]=ASIGNACION!$C353)*(T_ASIGNATURA1[ID_CARRERA]=ASIGNACION!$A353),"No existe información")))</f>
        <v>No existe información</v>
      </c>
      <c r="BQ353" s="1" t="str" cm="1">
        <f t="array" ref="BQ353">IFERROR(
    TRANSPOSE(
        _xlfn.UNIQUE(
            _xlfn._xlws.FILTER(
                Tabla1_1[MAESTRIA],
                ISNUMBER(MATCH(Tabla1_1[CAMPO_DETALLADO],BD354:BP354,0))
            )
        )
    ),
"")</f>
        <v/>
      </c>
      <c r="EA353" t="str" cm="1">
        <f t="array" ref="EA353">IFERROR(
    TRANSPOSE(
        _xlfn.UNIQUE(
            _xlfn._xlws.FILTER(
                Tabla1__2[NOMBRE_DOCENTE],
                ISNUMBER(MATCH(Tabla1__2[MAESTRIA],BQ353:DY353,0))
            )
        )
    ),
"")</f>
        <v/>
      </c>
    </row>
    <row r="354" spans="1:131" ht="20.25" customHeight="1">
      <c r="A354" t="str" cm="1">
        <f t="array" ref="A354">TRANSPOSE(_xlfn.UNIQUE(_xlfn._xlws.FILTER(T_ASIGNATURA1[ID_NIVEL],T_ASIGNATURA1[ID_CARRERA]=ASIGNACION!$A354,"No existe información")))</f>
        <v>No existe información</v>
      </c>
      <c r="S354" t="str" cm="1">
        <f t="array" ref="S354">TRANSPOSE(_xlfn.UNIQUE(_xlfn._xlws.FILTER(T_ASIGNATURA1[NOM_ASIG],(T_ASIGNATURA1[ID_NIVEL]=ASIGNACION!$C354)*(T_ASIGNATURA1[ID_CARRERA]=ASIGNACION!$A354),"No existe información")))</f>
        <v>No existe información</v>
      </c>
      <c r="BQ354" s="1" t="str" cm="1">
        <f t="array" ref="BQ354">IFERROR(
    TRANSPOSE(
        _xlfn.UNIQUE(
            _xlfn._xlws.FILTER(
                Tabla1_1[MAESTRIA],
                ISNUMBER(MATCH(Tabla1_1[CAMPO_DETALLADO],BD355:BP355,0))
            )
        )
    ),
"")</f>
        <v/>
      </c>
      <c r="EA354" t="str" cm="1">
        <f t="array" ref="EA354">IFERROR(
    TRANSPOSE(
        _xlfn.UNIQUE(
            _xlfn._xlws.FILTER(
                Tabla1__2[NOMBRE_DOCENTE],
                ISNUMBER(MATCH(Tabla1__2[MAESTRIA],BQ354:DY354,0))
            )
        )
    ),
"")</f>
        <v/>
      </c>
    </row>
    <row r="355" spans="1:131" ht="20.25" customHeight="1">
      <c r="A355" t="str" cm="1">
        <f t="array" ref="A355">TRANSPOSE(_xlfn.UNIQUE(_xlfn._xlws.FILTER(T_ASIGNATURA1[ID_NIVEL],T_ASIGNATURA1[ID_CARRERA]=ASIGNACION!$A355,"No existe información")))</f>
        <v>No existe información</v>
      </c>
      <c r="S355" t="str" cm="1">
        <f t="array" ref="S355">TRANSPOSE(_xlfn.UNIQUE(_xlfn._xlws.FILTER(T_ASIGNATURA1[NOM_ASIG],(T_ASIGNATURA1[ID_NIVEL]=ASIGNACION!$C355)*(T_ASIGNATURA1[ID_CARRERA]=ASIGNACION!$A355),"No existe información")))</f>
        <v>No existe información</v>
      </c>
      <c r="BQ355" s="1" t="str" cm="1">
        <f t="array" ref="BQ355">IFERROR(
    TRANSPOSE(
        _xlfn.UNIQUE(
            _xlfn._xlws.FILTER(
                Tabla1_1[MAESTRIA],
                ISNUMBER(MATCH(Tabla1_1[CAMPO_DETALLADO],BD356:BP356,0))
            )
        )
    ),
"")</f>
        <v/>
      </c>
      <c r="EA355" t="str" cm="1">
        <f t="array" ref="EA355">IFERROR(
    TRANSPOSE(
        _xlfn.UNIQUE(
            _xlfn._xlws.FILTER(
                Tabla1__2[NOMBRE_DOCENTE],
                ISNUMBER(MATCH(Tabla1__2[MAESTRIA],BQ355:DY355,0))
            )
        )
    ),
"")</f>
        <v/>
      </c>
    </row>
    <row r="356" spans="1:131" ht="20.25" customHeight="1">
      <c r="A356" t="str" cm="1">
        <f t="array" ref="A356">TRANSPOSE(_xlfn.UNIQUE(_xlfn._xlws.FILTER(T_ASIGNATURA1[ID_NIVEL],T_ASIGNATURA1[ID_CARRERA]=ASIGNACION!$A356,"No existe información")))</f>
        <v>No existe información</v>
      </c>
      <c r="S356" t="str" cm="1">
        <f t="array" ref="S356">TRANSPOSE(_xlfn.UNIQUE(_xlfn._xlws.FILTER(T_ASIGNATURA1[NOM_ASIG],(T_ASIGNATURA1[ID_NIVEL]=ASIGNACION!$C356)*(T_ASIGNATURA1[ID_CARRERA]=ASIGNACION!$A356),"No existe información")))</f>
        <v>No existe información</v>
      </c>
      <c r="BQ356" s="1" t="str" cm="1">
        <f t="array" ref="BQ356">IFERROR(
    TRANSPOSE(
        _xlfn.UNIQUE(
            _xlfn._xlws.FILTER(
                Tabla1_1[MAESTRIA],
                ISNUMBER(MATCH(Tabla1_1[CAMPO_DETALLADO],BD357:BP357,0))
            )
        )
    ),
"")</f>
        <v/>
      </c>
      <c r="EA356" t="str" cm="1">
        <f t="array" ref="EA356">IFERROR(
    TRANSPOSE(
        _xlfn.UNIQUE(
            _xlfn._xlws.FILTER(
                Tabla1__2[NOMBRE_DOCENTE],
                ISNUMBER(MATCH(Tabla1__2[MAESTRIA],BQ356:DY356,0))
            )
        )
    ),
"")</f>
        <v/>
      </c>
    </row>
    <row r="357" spans="1:131" ht="20.25" customHeight="1">
      <c r="A357" t="str" cm="1">
        <f t="array" ref="A357">TRANSPOSE(_xlfn.UNIQUE(_xlfn._xlws.FILTER(T_ASIGNATURA1[ID_NIVEL],T_ASIGNATURA1[ID_CARRERA]=ASIGNACION!$A357,"No existe información")))</f>
        <v>No existe información</v>
      </c>
      <c r="S357" t="str" cm="1">
        <f t="array" ref="S357">TRANSPOSE(_xlfn.UNIQUE(_xlfn._xlws.FILTER(T_ASIGNATURA1[NOM_ASIG],(T_ASIGNATURA1[ID_NIVEL]=ASIGNACION!$C357)*(T_ASIGNATURA1[ID_CARRERA]=ASIGNACION!$A357),"No existe información")))</f>
        <v>No existe información</v>
      </c>
      <c r="BQ357" s="1" t="str" cm="1">
        <f t="array" ref="BQ357">IFERROR(
    TRANSPOSE(
        _xlfn.UNIQUE(
            _xlfn._xlws.FILTER(
                Tabla1_1[MAESTRIA],
                ISNUMBER(MATCH(Tabla1_1[CAMPO_DETALLADO],BD358:BP358,0))
            )
        )
    ),
"")</f>
        <v/>
      </c>
      <c r="EA357" t="str" cm="1">
        <f t="array" ref="EA357">IFERROR(
    TRANSPOSE(
        _xlfn.UNIQUE(
            _xlfn._xlws.FILTER(
                Tabla1__2[NOMBRE_DOCENTE],
                ISNUMBER(MATCH(Tabla1__2[MAESTRIA],BQ357:DY357,0))
            )
        )
    ),
"")</f>
        <v/>
      </c>
    </row>
    <row r="358" spans="1:131" ht="20.25" customHeight="1">
      <c r="A358" t="str" cm="1">
        <f t="array" ref="A358">TRANSPOSE(_xlfn.UNIQUE(_xlfn._xlws.FILTER(T_ASIGNATURA1[ID_NIVEL],T_ASIGNATURA1[ID_CARRERA]=ASIGNACION!$A358,"No existe información")))</f>
        <v>No existe información</v>
      </c>
      <c r="S358" t="str" cm="1">
        <f t="array" ref="S358">TRANSPOSE(_xlfn.UNIQUE(_xlfn._xlws.FILTER(T_ASIGNATURA1[NOM_ASIG],(T_ASIGNATURA1[ID_NIVEL]=ASIGNACION!$C358)*(T_ASIGNATURA1[ID_CARRERA]=ASIGNACION!$A358),"No existe información")))</f>
        <v>No existe información</v>
      </c>
      <c r="BQ358" s="1" t="str" cm="1">
        <f t="array" ref="BQ358">IFERROR(
    TRANSPOSE(
        _xlfn.UNIQUE(
            _xlfn._xlws.FILTER(
                Tabla1_1[MAESTRIA],
                ISNUMBER(MATCH(Tabla1_1[CAMPO_DETALLADO],BD359:BP359,0))
            )
        )
    ),
"")</f>
        <v/>
      </c>
      <c r="EA358" t="str" cm="1">
        <f t="array" ref="EA358">IFERROR(
    TRANSPOSE(
        _xlfn.UNIQUE(
            _xlfn._xlws.FILTER(
                Tabla1__2[NOMBRE_DOCENTE],
                ISNUMBER(MATCH(Tabla1__2[MAESTRIA],BQ358:DY358,0))
            )
        )
    ),
"")</f>
        <v/>
      </c>
    </row>
    <row r="359" spans="1:131" ht="20.25" customHeight="1">
      <c r="A359" t="str" cm="1">
        <f t="array" ref="A359">TRANSPOSE(_xlfn.UNIQUE(_xlfn._xlws.FILTER(T_ASIGNATURA1[ID_NIVEL],T_ASIGNATURA1[ID_CARRERA]=ASIGNACION!$A359,"No existe información")))</f>
        <v>No existe información</v>
      </c>
      <c r="S359" t="str" cm="1">
        <f t="array" ref="S359">TRANSPOSE(_xlfn.UNIQUE(_xlfn._xlws.FILTER(T_ASIGNATURA1[NOM_ASIG],(T_ASIGNATURA1[ID_NIVEL]=ASIGNACION!$C359)*(T_ASIGNATURA1[ID_CARRERA]=ASIGNACION!$A359),"No existe información")))</f>
        <v>No existe información</v>
      </c>
      <c r="BQ359" s="1" t="str" cm="1">
        <f t="array" ref="BQ359">IFERROR(
    TRANSPOSE(
        _xlfn.UNIQUE(
            _xlfn._xlws.FILTER(
                Tabla1_1[MAESTRIA],
                ISNUMBER(MATCH(Tabla1_1[CAMPO_DETALLADO],BD360:BP360,0))
            )
        )
    ),
"")</f>
        <v/>
      </c>
      <c r="EA359" t="str" cm="1">
        <f t="array" ref="EA359">IFERROR(
    TRANSPOSE(
        _xlfn.UNIQUE(
            _xlfn._xlws.FILTER(
                Tabla1__2[NOMBRE_DOCENTE],
                ISNUMBER(MATCH(Tabla1__2[MAESTRIA],BQ359:DY359,0))
            )
        )
    ),
"")</f>
        <v/>
      </c>
    </row>
    <row r="360" spans="1:131" ht="20.25" customHeight="1">
      <c r="A360" t="str" cm="1">
        <f t="array" ref="A360">TRANSPOSE(_xlfn.UNIQUE(_xlfn._xlws.FILTER(T_ASIGNATURA1[ID_NIVEL],T_ASIGNATURA1[ID_CARRERA]=ASIGNACION!$A360,"No existe información")))</f>
        <v>No existe información</v>
      </c>
      <c r="S360" t="str" cm="1">
        <f t="array" ref="S360">TRANSPOSE(_xlfn.UNIQUE(_xlfn._xlws.FILTER(T_ASIGNATURA1[NOM_ASIG],(T_ASIGNATURA1[ID_NIVEL]=ASIGNACION!$C360)*(T_ASIGNATURA1[ID_CARRERA]=ASIGNACION!$A360),"No existe información")))</f>
        <v>No existe información</v>
      </c>
      <c r="BQ360" s="1" t="str" cm="1">
        <f t="array" ref="BQ360">IFERROR(
    TRANSPOSE(
        _xlfn.UNIQUE(
            _xlfn._xlws.FILTER(
                Tabla1_1[MAESTRIA],
                ISNUMBER(MATCH(Tabla1_1[CAMPO_DETALLADO],BD361:BP361,0))
            )
        )
    ),
"")</f>
        <v/>
      </c>
      <c r="EA360" t="str" cm="1">
        <f t="array" ref="EA360">IFERROR(
    TRANSPOSE(
        _xlfn.UNIQUE(
            _xlfn._xlws.FILTER(
                Tabla1__2[NOMBRE_DOCENTE],
                ISNUMBER(MATCH(Tabla1__2[MAESTRIA],BQ360:DY360,0))
            )
        )
    ),
"")</f>
        <v/>
      </c>
    </row>
    <row r="361" spans="1:131" ht="20.25" customHeight="1">
      <c r="A361" t="str" cm="1">
        <f t="array" ref="A361">TRANSPOSE(_xlfn.UNIQUE(_xlfn._xlws.FILTER(T_ASIGNATURA1[ID_NIVEL],T_ASIGNATURA1[ID_CARRERA]=ASIGNACION!$A361,"No existe información")))</f>
        <v>No existe información</v>
      </c>
      <c r="S361" t="str" cm="1">
        <f t="array" ref="S361">TRANSPOSE(_xlfn.UNIQUE(_xlfn._xlws.FILTER(T_ASIGNATURA1[NOM_ASIG],(T_ASIGNATURA1[ID_NIVEL]=ASIGNACION!$C361)*(T_ASIGNATURA1[ID_CARRERA]=ASIGNACION!$A361),"No existe información")))</f>
        <v>No existe información</v>
      </c>
      <c r="BQ361" s="1" t="str" cm="1">
        <f t="array" ref="BQ361">IFERROR(
    TRANSPOSE(
        _xlfn.UNIQUE(
            _xlfn._xlws.FILTER(
                Tabla1_1[MAESTRIA],
                ISNUMBER(MATCH(Tabla1_1[CAMPO_DETALLADO],BD362:BP362,0))
            )
        )
    ),
"")</f>
        <v/>
      </c>
      <c r="EA361" t="str" cm="1">
        <f t="array" ref="EA361">IFERROR(
    TRANSPOSE(
        _xlfn.UNIQUE(
            _xlfn._xlws.FILTER(
                Tabla1__2[NOMBRE_DOCENTE],
                ISNUMBER(MATCH(Tabla1__2[MAESTRIA],BQ361:DY361,0))
            )
        )
    ),
"")</f>
        <v/>
      </c>
    </row>
    <row r="362" spans="1:131" ht="20.25" customHeight="1">
      <c r="A362" t="str" cm="1">
        <f t="array" ref="A362">TRANSPOSE(_xlfn.UNIQUE(_xlfn._xlws.FILTER(T_ASIGNATURA1[ID_NIVEL],T_ASIGNATURA1[ID_CARRERA]=ASIGNACION!$A362,"No existe información")))</f>
        <v>No existe información</v>
      </c>
      <c r="S362" t="str" cm="1">
        <f t="array" ref="S362">TRANSPOSE(_xlfn.UNIQUE(_xlfn._xlws.FILTER(T_ASIGNATURA1[NOM_ASIG],(T_ASIGNATURA1[ID_NIVEL]=ASIGNACION!$C362)*(T_ASIGNATURA1[ID_CARRERA]=ASIGNACION!$A362),"No existe información")))</f>
        <v>No existe información</v>
      </c>
      <c r="BQ362" s="1" t="str" cm="1">
        <f t="array" ref="BQ362">IFERROR(
    TRANSPOSE(
        _xlfn.UNIQUE(
            _xlfn._xlws.FILTER(
                Tabla1_1[MAESTRIA],
                ISNUMBER(MATCH(Tabla1_1[CAMPO_DETALLADO],BD363:BP363,0))
            )
        )
    ),
"")</f>
        <v/>
      </c>
      <c r="EA362" t="str" cm="1">
        <f t="array" ref="EA362">IFERROR(
    TRANSPOSE(
        _xlfn.UNIQUE(
            _xlfn._xlws.FILTER(
                Tabla1__2[NOMBRE_DOCENTE],
                ISNUMBER(MATCH(Tabla1__2[MAESTRIA],BQ362:DY362,0))
            )
        )
    ),
"")</f>
        <v/>
      </c>
    </row>
    <row r="363" spans="1:131" ht="20.25" customHeight="1">
      <c r="A363" t="str" cm="1">
        <f t="array" ref="A363">TRANSPOSE(_xlfn.UNIQUE(_xlfn._xlws.FILTER(T_ASIGNATURA1[ID_NIVEL],T_ASIGNATURA1[ID_CARRERA]=ASIGNACION!$A363,"No existe información")))</f>
        <v>No existe información</v>
      </c>
      <c r="S363" t="str" cm="1">
        <f t="array" ref="S363">TRANSPOSE(_xlfn.UNIQUE(_xlfn._xlws.FILTER(T_ASIGNATURA1[NOM_ASIG],(T_ASIGNATURA1[ID_NIVEL]=ASIGNACION!$C363)*(T_ASIGNATURA1[ID_CARRERA]=ASIGNACION!$A363),"No existe información")))</f>
        <v>No existe información</v>
      </c>
      <c r="BQ363" s="1" t="str" cm="1">
        <f t="array" ref="BQ363">IFERROR(
    TRANSPOSE(
        _xlfn.UNIQUE(
            _xlfn._xlws.FILTER(
                Tabla1_1[MAESTRIA],
                ISNUMBER(MATCH(Tabla1_1[CAMPO_DETALLADO],BD364:BP364,0))
            )
        )
    ),
"")</f>
        <v/>
      </c>
      <c r="EA363" t="str" cm="1">
        <f t="array" ref="EA363">IFERROR(
    TRANSPOSE(
        _xlfn.UNIQUE(
            _xlfn._xlws.FILTER(
                Tabla1__2[NOMBRE_DOCENTE],
                ISNUMBER(MATCH(Tabla1__2[MAESTRIA],BQ363:DY363,0))
            )
        )
    ),
"")</f>
        <v/>
      </c>
    </row>
    <row r="364" spans="1:131" ht="20.25" customHeight="1">
      <c r="A364" t="str" cm="1">
        <f t="array" ref="A364">TRANSPOSE(_xlfn.UNIQUE(_xlfn._xlws.FILTER(T_ASIGNATURA1[ID_NIVEL],T_ASIGNATURA1[ID_CARRERA]=ASIGNACION!$A364,"No existe información")))</f>
        <v>No existe información</v>
      </c>
      <c r="S364" t="str" cm="1">
        <f t="array" ref="S364">TRANSPOSE(_xlfn.UNIQUE(_xlfn._xlws.FILTER(T_ASIGNATURA1[NOM_ASIG],(T_ASIGNATURA1[ID_NIVEL]=ASIGNACION!$C364)*(T_ASIGNATURA1[ID_CARRERA]=ASIGNACION!$A364),"No existe información")))</f>
        <v>No existe información</v>
      </c>
      <c r="BQ364" s="1" t="str" cm="1">
        <f t="array" ref="BQ364">IFERROR(
    TRANSPOSE(
        _xlfn.UNIQUE(
            _xlfn._xlws.FILTER(
                Tabla1_1[MAESTRIA],
                ISNUMBER(MATCH(Tabla1_1[CAMPO_DETALLADO],BD365:BP365,0))
            )
        )
    ),
"")</f>
        <v/>
      </c>
      <c r="EA364" t="str" cm="1">
        <f t="array" ref="EA364">IFERROR(
    TRANSPOSE(
        _xlfn.UNIQUE(
            _xlfn._xlws.FILTER(
                Tabla1__2[NOMBRE_DOCENTE],
                ISNUMBER(MATCH(Tabla1__2[MAESTRIA],BQ364:DY364,0))
            )
        )
    ),
"")</f>
        <v/>
      </c>
    </row>
    <row r="365" spans="1:131" ht="20.25" customHeight="1">
      <c r="A365" t="str" cm="1">
        <f t="array" ref="A365">TRANSPOSE(_xlfn.UNIQUE(_xlfn._xlws.FILTER(T_ASIGNATURA1[ID_NIVEL],T_ASIGNATURA1[ID_CARRERA]=ASIGNACION!$A365,"No existe información")))</f>
        <v>No existe información</v>
      </c>
      <c r="S365" t="str" cm="1">
        <f t="array" ref="S365">TRANSPOSE(_xlfn.UNIQUE(_xlfn._xlws.FILTER(T_ASIGNATURA1[NOM_ASIG],(T_ASIGNATURA1[ID_NIVEL]=ASIGNACION!$C365)*(T_ASIGNATURA1[ID_CARRERA]=ASIGNACION!$A365),"No existe información")))</f>
        <v>No existe información</v>
      </c>
      <c r="BQ365" s="1" t="str" cm="1">
        <f t="array" ref="BQ365">IFERROR(
    TRANSPOSE(
        _xlfn.UNIQUE(
            _xlfn._xlws.FILTER(
                Tabla1_1[MAESTRIA],
                ISNUMBER(MATCH(Tabla1_1[CAMPO_DETALLADO],BD366:BP366,0))
            )
        )
    ),
"")</f>
        <v/>
      </c>
      <c r="EA365" t="str" cm="1">
        <f t="array" ref="EA365">IFERROR(
    TRANSPOSE(
        _xlfn.UNIQUE(
            _xlfn._xlws.FILTER(
                Tabla1__2[NOMBRE_DOCENTE],
                ISNUMBER(MATCH(Tabla1__2[MAESTRIA],BQ365:DY365,0))
            )
        )
    ),
"")</f>
        <v/>
      </c>
    </row>
    <row r="366" spans="1:131" ht="20.25" customHeight="1">
      <c r="A366" t="str" cm="1">
        <f t="array" ref="A366">TRANSPOSE(_xlfn.UNIQUE(_xlfn._xlws.FILTER(T_ASIGNATURA1[ID_NIVEL],T_ASIGNATURA1[ID_CARRERA]=ASIGNACION!$A366,"No existe información")))</f>
        <v>No existe información</v>
      </c>
      <c r="S366" t="str" cm="1">
        <f t="array" ref="S366">TRANSPOSE(_xlfn.UNIQUE(_xlfn._xlws.FILTER(T_ASIGNATURA1[NOM_ASIG],(T_ASIGNATURA1[ID_NIVEL]=ASIGNACION!$C366)*(T_ASIGNATURA1[ID_CARRERA]=ASIGNACION!$A366),"No existe información")))</f>
        <v>No existe información</v>
      </c>
      <c r="BQ366" s="1" t="str" cm="1">
        <f t="array" ref="BQ366">IFERROR(
    TRANSPOSE(
        _xlfn.UNIQUE(
            _xlfn._xlws.FILTER(
                Tabla1_1[MAESTRIA],
                ISNUMBER(MATCH(Tabla1_1[CAMPO_DETALLADO],BD367:BP367,0))
            )
        )
    ),
"")</f>
        <v/>
      </c>
      <c r="EA366" t="str" cm="1">
        <f t="array" ref="EA366">IFERROR(
    TRANSPOSE(
        _xlfn.UNIQUE(
            _xlfn._xlws.FILTER(
                Tabla1__2[NOMBRE_DOCENTE],
                ISNUMBER(MATCH(Tabla1__2[MAESTRIA],BQ366:DY366,0))
            )
        )
    ),
"")</f>
        <v/>
      </c>
    </row>
    <row r="367" spans="1:131" ht="20.25" customHeight="1">
      <c r="A367" t="str" cm="1">
        <f t="array" ref="A367">TRANSPOSE(_xlfn.UNIQUE(_xlfn._xlws.FILTER(T_ASIGNATURA1[ID_NIVEL],T_ASIGNATURA1[ID_CARRERA]=ASIGNACION!$A367,"No existe información")))</f>
        <v>No existe información</v>
      </c>
      <c r="S367" t="str" cm="1">
        <f t="array" ref="S367">TRANSPOSE(_xlfn.UNIQUE(_xlfn._xlws.FILTER(T_ASIGNATURA1[NOM_ASIG],(T_ASIGNATURA1[ID_NIVEL]=ASIGNACION!$C367)*(T_ASIGNATURA1[ID_CARRERA]=ASIGNACION!$A367),"No existe información")))</f>
        <v>No existe información</v>
      </c>
      <c r="BQ367" s="1" t="str" cm="1">
        <f t="array" ref="BQ367">IFERROR(
    TRANSPOSE(
        _xlfn.UNIQUE(
            _xlfn._xlws.FILTER(
                Tabla1_1[MAESTRIA],
                ISNUMBER(MATCH(Tabla1_1[CAMPO_DETALLADO],BD368:BP368,0))
            )
        )
    ),
"")</f>
        <v/>
      </c>
      <c r="EA367" t="str" cm="1">
        <f t="array" ref="EA367">IFERROR(
    TRANSPOSE(
        _xlfn.UNIQUE(
            _xlfn._xlws.FILTER(
                Tabla1__2[NOMBRE_DOCENTE],
                ISNUMBER(MATCH(Tabla1__2[MAESTRIA],BQ367:DY367,0))
            )
        )
    ),
"")</f>
        <v/>
      </c>
    </row>
    <row r="368" spans="1:131" ht="20.25" customHeight="1">
      <c r="A368" t="str" cm="1">
        <f t="array" ref="A368">TRANSPOSE(_xlfn.UNIQUE(_xlfn._xlws.FILTER(T_ASIGNATURA1[ID_NIVEL],T_ASIGNATURA1[ID_CARRERA]=ASIGNACION!$A368,"No existe información")))</f>
        <v>No existe información</v>
      </c>
      <c r="S368" t="str" cm="1">
        <f t="array" ref="S368">TRANSPOSE(_xlfn.UNIQUE(_xlfn._xlws.FILTER(T_ASIGNATURA1[NOM_ASIG],(T_ASIGNATURA1[ID_NIVEL]=ASIGNACION!$C368)*(T_ASIGNATURA1[ID_CARRERA]=ASIGNACION!$A368),"No existe información")))</f>
        <v>No existe información</v>
      </c>
      <c r="BQ368" s="1" t="str" cm="1">
        <f t="array" ref="BQ368">IFERROR(
    TRANSPOSE(
        _xlfn.UNIQUE(
            _xlfn._xlws.FILTER(
                Tabla1_1[MAESTRIA],
                ISNUMBER(MATCH(Tabla1_1[CAMPO_DETALLADO],BD369:BP369,0))
            )
        )
    ),
"")</f>
        <v/>
      </c>
      <c r="EA368" t="str" cm="1">
        <f t="array" ref="EA368">IFERROR(
    TRANSPOSE(
        _xlfn.UNIQUE(
            _xlfn._xlws.FILTER(
                Tabla1__2[NOMBRE_DOCENTE],
                ISNUMBER(MATCH(Tabla1__2[MAESTRIA],BQ368:DY368,0))
            )
        )
    ),
"")</f>
        <v/>
      </c>
    </row>
    <row r="369" spans="1:131" ht="20.25" customHeight="1">
      <c r="A369" t="str" cm="1">
        <f t="array" ref="A369">TRANSPOSE(_xlfn.UNIQUE(_xlfn._xlws.FILTER(T_ASIGNATURA1[ID_NIVEL],T_ASIGNATURA1[ID_CARRERA]=ASIGNACION!$A369,"No existe información")))</f>
        <v>No existe información</v>
      </c>
      <c r="S369" t="str" cm="1">
        <f t="array" ref="S369">TRANSPOSE(_xlfn.UNIQUE(_xlfn._xlws.FILTER(T_ASIGNATURA1[NOM_ASIG],(T_ASIGNATURA1[ID_NIVEL]=ASIGNACION!$C369)*(T_ASIGNATURA1[ID_CARRERA]=ASIGNACION!$A369),"No existe información")))</f>
        <v>No existe información</v>
      </c>
      <c r="BQ369" s="1" t="str" cm="1">
        <f t="array" ref="BQ369">IFERROR(
    TRANSPOSE(
        _xlfn.UNIQUE(
            _xlfn._xlws.FILTER(
                Tabla1_1[MAESTRIA],
                ISNUMBER(MATCH(Tabla1_1[CAMPO_DETALLADO],BD370:BP370,0))
            )
        )
    ),
"")</f>
        <v/>
      </c>
      <c r="EA369" t="str" cm="1">
        <f t="array" ref="EA369">IFERROR(
    TRANSPOSE(
        _xlfn.UNIQUE(
            _xlfn._xlws.FILTER(
                Tabla1__2[NOMBRE_DOCENTE],
                ISNUMBER(MATCH(Tabla1__2[MAESTRIA],BQ369:DY369,0))
            )
        )
    ),
"")</f>
        <v/>
      </c>
    </row>
    <row r="370" spans="1:131" ht="20.25" customHeight="1">
      <c r="A370" t="str" cm="1">
        <f t="array" ref="A370">TRANSPOSE(_xlfn.UNIQUE(_xlfn._xlws.FILTER(T_ASIGNATURA1[ID_NIVEL],T_ASIGNATURA1[ID_CARRERA]=ASIGNACION!$A370,"No existe información")))</f>
        <v>No existe información</v>
      </c>
      <c r="S370" t="str" cm="1">
        <f t="array" ref="S370">TRANSPOSE(_xlfn.UNIQUE(_xlfn._xlws.FILTER(T_ASIGNATURA1[NOM_ASIG],(T_ASIGNATURA1[ID_NIVEL]=ASIGNACION!$C370)*(T_ASIGNATURA1[ID_CARRERA]=ASIGNACION!$A370),"No existe información")))</f>
        <v>No existe información</v>
      </c>
      <c r="BQ370" s="1" t="str" cm="1">
        <f t="array" ref="BQ370">IFERROR(
    TRANSPOSE(
        _xlfn.UNIQUE(
            _xlfn._xlws.FILTER(
                Tabla1_1[MAESTRIA],
                ISNUMBER(MATCH(Tabla1_1[CAMPO_DETALLADO],BD371:BP371,0))
            )
        )
    ),
"")</f>
        <v/>
      </c>
      <c r="EA370" t="str" cm="1">
        <f t="array" ref="EA370">IFERROR(
    TRANSPOSE(
        _xlfn.UNIQUE(
            _xlfn._xlws.FILTER(
                Tabla1__2[NOMBRE_DOCENTE],
                ISNUMBER(MATCH(Tabla1__2[MAESTRIA],BQ370:DY370,0))
            )
        )
    ),
"")</f>
        <v/>
      </c>
    </row>
    <row r="371" spans="1:131" ht="20.25" customHeight="1">
      <c r="A371" t="str" cm="1">
        <f t="array" ref="A371">TRANSPOSE(_xlfn.UNIQUE(_xlfn._xlws.FILTER(T_ASIGNATURA1[ID_NIVEL],T_ASIGNATURA1[ID_CARRERA]=ASIGNACION!$A371,"No existe información")))</f>
        <v>No existe información</v>
      </c>
      <c r="S371" t="str" cm="1">
        <f t="array" ref="S371">TRANSPOSE(_xlfn.UNIQUE(_xlfn._xlws.FILTER(T_ASIGNATURA1[NOM_ASIG],(T_ASIGNATURA1[ID_NIVEL]=ASIGNACION!$C371)*(T_ASIGNATURA1[ID_CARRERA]=ASIGNACION!$A371),"No existe información")))</f>
        <v>No existe información</v>
      </c>
      <c r="BQ371" s="1" t="str" cm="1">
        <f t="array" ref="BQ371">IFERROR(
    TRANSPOSE(
        _xlfn.UNIQUE(
            _xlfn._xlws.FILTER(
                Tabla1_1[MAESTRIA],
                ISNUMBER(MATCH(Tabla1_1[CAMPO_DETALLADO],BD372:BP372,0))
            )
        )
    ),
"")</f>
        <v/>
      </c>
      <c r="EA371" t="str" cm="1">
        <f t="array" ref="EA371">IFERROR(
    TRANSPOSE(
        _xlfn.UNIQUE(
            _xlfn._xlws.FILTER(
                Tabla1__2[NOMBRE_DOCENTE],
                ISNUMBER(MATCH(Tabla1__2[MAESTRIA],BQ371:DY371,0))
            )
        )
    ),
"")</f>
        <v/>
      </c>
    </row>
    <row r="372" spans="1:131" ht="20.25" customHeight="1">
      <c r="A372" t="str" cm="1">
        <f t="array" ref="A372">TRANSPOSE(_xlfn.UNIQUE(_xlfn._xlws.FILTER(T_ASIGNATURA1[ID_NIVEL],T_ASIGNATURA1[ID_CARRERA]=ASIGNACION!$A372,"No existe información")))</f>
        <v>No existe información</v>
      </c>
      <c r="S372" t="str" cm="1">
        <f t="array" ref="S372">TRANSPOSE(_xlfn.UNIQUE(_xlfn._xlws.FILTER(T_ASIGNATURA1[NOM_ASIG],(T_ASIGNATURA1[ID_NIVEL]=ASIGNACION!$C372)*(T_ASIGNATURA1[ID_CARRERA]=ASIGNACION!$A372),"No existe información")))</f>
        <v>No existe información</v>
      </c>
      <c r="BQ372" s="1" t="str" cm="1">
        <f t="array" ref="BQ372">IFERROR(
    TRANSPOSE(
        _xlfn.UNIQUE(
            _xlfn._xlws.FILTER(
                Tabla1_1[MAESTRIA],
                ISNUMBER(MATCH(Tabla1_1[CAMPO_DETALLADO],BD373:BP373,0))
            )
        )
    ),
"")</f>
        <v/>
      </c>
      <c r="EA372" t="str" cm="1">
        <f t="array" ref="EA372">IFERROR(
    TRANSPOSE(
        _xlfn.UNIQUE(
            _xlfn._xlws.FILTER(
                Tabla1__2[NOMBRE_DOCENTE],
                ISNUMBER(MATCH(Tabla1__2[MAESTRIA],BQ372:DY372,0))
            )
        )
    ),
"")</f>
        <v/>
      </c>
    </row>
    <row r="373" spans="1:131" ht="20.25" customHeight="1">
      <c r="A373" t="str" cm="1">
        <f t="array" ref="A373">TRANSPOSE(_xlfn.UNIQUE(_xlfn._xlws.FILTER(T_ASIGNATURA1[ID_NIVEL],T_ASIGNATURA1[ID_CARRERA]=ASIGNACION!$A373,"No existe información")))</f>
        <v>No existe información</v>
      </c>
      <c r="S373" t="str" cm="1">
        <f t="array" ref="S373">TRANSPOSE(_xlfn.UNIQUE(_xlfn._xlws.FILTER(T_ASIGNATURA1[NOM_ASIG],(T_ASIGNATURA1[ID_NIVEL]=ASIGNACION!$C373)*(T_ASIGNATURA1[ID_CARRERA]=ASIGNACION!$A373),"No existe información")))</f>
        <v>No existe información</v>
      </c>
      <c r="BQ373" s="1" t="str" cm="1">
        <f t="array" ref="BQ373">IFERROR(
    TRANSPOSE(
        _xlfn.UNIQUE(
            _xlfn._xlws.FILTER(
                Tabla1_1[MAESTRIA],
                ISNUMBER(MATCH(Tabla1_1[CAMPO_DETALLADO],BD374:BP374,0))
            )
        )
    ),
"")</f>
        <v/>
      </c>
      <c r="EA373" t="str" cm="1">
        <f t="array" ref="EA373">IFERROR(
    TRANSPOSE(
        _xlfn.UNIQUE(
            _xlfn._xlws.FILTER(
                Tabla1__2[NOMBRE_DOCENTE],
                ISNUMBER(MATCH(Tabla1__2[MAESTRIA],BQ373:DY373,0))
            )
        )
    ),
"")</f>
        <v/>
      </c>
    </row>
    <row r="374" spans="1:131" ht="20.25" customHeight="1">
      <c r="A374" t="str" cm="1">
        <f t="array" ref="A374">TRANSPOSE(_xlfn.UNIQUE(_xlfn._xlws.FILTER(T_ASIGNATURA1[ID_NIVEL],T_ASIGNATURA1[ID_CARRERA]=ASIGNACION!$A374,"No existe información")))</f>
        <v>No existe información</v>
      </c>
      <c r="S374" t="str" cm="1">
        <f t="array" ref="S374">TRANSPOSE(_xlfn.UNIQUE(_xlfn._xlws.FILTER(T_ASIGNATURA1[NOM_ASIG],(T_ASIGNATURA1[ID_NIVEL]=ASIGNACION!$C374)*(T_ASIGNATURA1[ID_CARRERA]=ASIGNACION!$A374),"No existe información")))</f>
        <v>No existe información</v>
      </c>
      <c r="BQ374" s="1" t="str" cm="1">
        <f t="array" ref="BQ374">IFERROR(
    TRANSPOSE(
        _xlfn.UNIQUE(
            _xlfn._xlws.FILTER(
                Tabla1_1[MAESTRIA],
                ISNUMBER(MATCH(Tabla1_1[CAMPO_DETALLADO],BD375:BP375,0))
            )
        )
    ),
"")</f>
        <v/>
      </c>
      <c r="EA374" t="str" cm="1">
        <f t="array" ref="EA374">IFERROR(
    TRANSPOSE(
        _xlfn.UNIQUE(
            _xlfn._xlws.FILTER(
                Tabla1__2[NOMBRE_DOCENTE],
                ISNUMBER(MATCH(Tabla1__2[MAESTRIA],BQ374:DY374,0))
            )
        )
    ),
"")</f>
        <v/>
      </c>
    </row>
    <row r="375" spans="1:131" ht="20.25" customHeight="1">
      <c r="A375" t="str" cm="1">
        <f t="array" ref="A375">TRANSPOSE(_xlfn.UNIQUE(_xlfn._xlws.FILTER(T_ASIGNATURA1[ID_NIVEL],T_ASIGNATURA1[ID_CARRERA]=ASIGNACION!$A375,"No existe información")))</f>
        <v>No existe información</v>
      </c>
      <c r="S375" t="str" cm="1">
        <f t="array" ref="S375">TRANSPOSE(_xlfn.UNIQUE(_xlfn._xlws.FILTER(T_ASIGNATURA1[NOM_ASIG],(T_ASIGNATURA1[ID_NIVEL]=ASIGNACION!$C375)*(T_ASIGNATURA1[ID_CARRERA]=ASIGNACION!$A375),"No existe información")))</f>
        <v>No existe información</v>
      </c>
      <c r="BQ375" s="1" t="str" cm="1">
        <f t="array" ref="BQ375">IFERROR(
    TRANSPOSE(
        _xlfn.UNIQUE(
            _xlfn._xlws.FILTER(
                Tabla1_1[MAESTRIA],
                ISNUMBER(MATCH(Tabla1_1[CAMPO_DETALLADO],BD376:BP376,0))
            )
        )
    ),
"")</f>
        <v/>
      </c>
      <c r="EA375" t="str" cm="1">
        <f t="array" ref="EA375">IFERROR(
    TRANSPOSE(
        _xlfn.UNIQUE(
            _xlfn._xlws.FILTER(
                Tabla1__2[NOMBRE_DOCENTE],
                ISNUMBER(MATCH(Tabla1__2[MAESTRIA],BQ375:DY375,0))
            )
        )
    ),
"")</f>
        <v/>
      </c>
    </row>
    <row r="376" spans="1:131" ht="20.25" customHeight="1">
      <c r="A376" t="str" cm="1">
        <f t="array" ref="A376">TRANSPOSE(_xlfn.UNIQUE(_xlfn._xlws.FILTER(T_ASIGNATURA1[ID_NIVEL],T_ASIGNATURA1[ID_CARRERA]=ASIGNACION!$A376,"No existe información")))</f>
        <v>No existe información</v>
      </c>
      <c r="S376" t="str" cm="1">
        <f t="array" ref="S376">TRANSPOSE(_xlfn.UNIQUE(_xlfn._xlws.FILTER(T_ASIGNATURA1[NOM_ASIG],(T_ASIGNATURA1[ID_NIVEL]=ASIGNACION!$C376)*(T_ASIGNATURA1[ID_CARRERA]=ASIGNACION!$A376),"No existe información")))</f>
        <v>No existe información</v>
      </c>
      <c r="BQ376" s="1" t="str" cm="1">
        <f t="array" ref="BQ376">IFERROR(
    TRANSPOSE(
        _xlfn.UNIQUE(
            _xlfn._xlws.FILTER(
                Tabla1_1[MAESTRIA],
                ISNUMBER(MATCH(Tabla1_1[CAMPO_DETALLADO],BD377:BP377,0))
            )
        )
    ),
"")</f>
        <v/>
      </c>
      <c r="EA376" t="str" cm="1">
        <f t="array" ref="EA376">IFERROR(
    TRANSPOSE(
        _xlfn.UNIQUE(
            _xlfn._xlws.FILTER(
                Tabla1__2[NOMBRE_DOCENTE],
                ISNUMBER(MATCH(Tabla1__2[MAESTRIA],BQ376:DY376,0))
            )
        )
    ),
"")</f>
        <v/>
      </c>
    </row>
    <row r="377" spans="1:131" ht="20.25" customHeight="1">
      <c r="A377" t="str" cm="1">
        <f t="array" ref="A377">TRANSPOSE(_xlfn.UNIQUE(_xlfn._xlws.FILTER(T_ASIGNATURA1[ID_NIVEL],T_ASIGNATURA1[ID_CARRERA]=ASIGNACION!$A377,"No existe información")))</f>
        <v>No existe información</v>
      </c>
      <c r="S377" t="str" cm="1">
        <f t="array" ref="S377">TRANSPOSE(_xlfn.UNIQUE(_xlfn._xlws.FILTER(T_ASIGNATURA1[NOM_ASIG],(T_ASIGNATURA1[ID_NIVEL]=ASIGNACION!$C377)*(T_ASIGNATURA1[ID_CARRERA]=ASIGNACION!$A377),"No existe información")))</f>
        <v>No existe información</v>
      </c>
      <c r="BQ377" s="1" t="str" cm="1">
        <f t="array" ref="BQ377">IFERROR(
    TRANSPOSE(
        _xlfn.UNIQUE(
            _xlfn._xlws.FILTER(
                Tabla1_1[MAESTRIA],
                ISNUMBER(MATCH(Tabla1_1[CAMPO_DETALLADO],BD378:BP378,0))
            )
        )
    ),
"")</f>
        <v/>
      </c>
      <c r="EA377" t="str" cm="1">
        <f t="array" ref="EA377">IFERROR(
    TRANSPOSE(
        _xlfn.UNIQUE(
            _xlfn._xlws.FILTER(
                Tabla1__2[NOMBRE_DOCENTE],
                ISNUMBER(MATCH(Tabla1__2[MAESTRIA],BQ377:DY377,0))
            )
        )
    ),
"")</f>
        <v/>
      </c>
    </row>
    <row r="378" spans="1:131" ht="20.25" customHeight="1">
      <c r="A378" t="str" cm="1">
        <f t="array" ref="A378">TRANSPOSE(_xlfn.UNIQUE(_xlfn._xlws.FILTER(T_ASIGNATURA1[ID_NIVEL],T_ASIGNATURA1[ID_CARRERA]=ASIGNACION!$A378,"No existe información")))</f>
        <v>No existe información</v>
      </c>
      <c r="S378" t="str" cm="1">
        <f t="array" ref="S378">TRANSPOSE(_xlfn.UNIQUE(_xlfn._xlws.FILTER(T_ASIGNATURA1[NOM_ASIG],(T_ASIGNATURA1[ID_NIVEL]=ASIGNACION!$C378)*(T_ASIGNATURA1[ID_CARRERA]=ASIGNACION!$A378),"No existe información")))</f>
        <v>No existe información</v>
      </c>
      <c r="BQ378" s="1" t="str" cm="1">
        <f t="array" ref="BQ378">IFERROR(
    TRANSPOSE(
        _xlfn.UNIQUE(
            _xlfn._xlws.FILTER(
                Tabla1_1[MAESTRIA],
                ISNUMBER(MATCH(Tabla1_1[CAMPO_DETALLADO],BD379:BP379,0))
            )
        )
    ),
"")</f>
        <v/>
      </c>
      <c r="EA378" t="str" cm="1">
        <f t="array" ref="EA378">IFERROR(
    TRANSPOSE(
        _xlfn.UNIQUE(
            _xlfn._xlws.FILTER(
                Tabla1__2[NOMBRE_DOCENTE],
                ISNUMBER(MATCH(Tabla1__2[MAESTRIA],BQ378:DY378,0))
            )
        )
    ),
"")</f>
        <v/>
      </c>
    </row>
    <row r="379" spans="1:131" ht="20.25" customHeight="1">
      <c r="A379" t="str" cm="1">
        <f t="array" ref="A379">TRANSPOSE(_xlfn.UNIQUE(_xlfn._xlws.FILTER(T_ASIGNATURA1[ID_NIVEL],T_ASIGNATURA1[ID_CARRERA]=ASIGNACION!$A379,"No existe información")))</f>
        <v>No existe información</v>
      </c>
      <c r="S379" t="str" cm="1">
        <f t="array" ref="S379">TRANSPOSE(_xlfn.UNIQUE(_xlfn._xlws.FILTER(T_ASIGNATURA1[NOM_ASIG],(T_ASIGNATURA1[ID_NIVEL]=ASIGNACION!$C379)*(T_ASIGNATURA1[ID_CARRERA]=ASIGNACION!$A379),"No existe información")))</f>
        <v>No existe información</v>
      </c>
      <c r="BQ379" s="1" t="str" cm="1">
        <f t="array" ref="BQ379">IFERROR(
    TRANSPOSE(
        _xlfn.UNIQUE(
            _xlfn._xlws.FILTER(
                Tabla1_1[MAESTRIA],
                ISNUMBER(MATCH(Tabla1_1[CAMPO_DETALLADO],BD380:BP380,0))
            )
        )
    ),
"")</f>
        <v/>
      </c>
      <c r="EA379" t="str" cm="1">
        <f t="array" ref="EA379">IFERROR(
    TRANSPOSE(
        _xlfn.UNIQUE(
            _xlfn._xlws.FILTER(
                Tabla1__2[NOMBRE_DOCENTE],
                ISNUMBER(MATCH(Tabla1__2[MAESTRIA],BQ379:DY379,0))
            )
        )
    ),
"")</f>
        <v/>
      </c>
    </row>
    <row r="380" spans="1:131" ht="20.25" customHeight="1">
      <c r="A380" t="str" cm="1">
        <f t="array" ref="A380">TRANSPOSE(_xlfn.UNIQUE(_xlfn._xlws.FILTER(T_ASIGNATURA1[ID_NIVEL],T_ASIGNATURA1[ID_CARRERA]=ASIGNACION!$A380,"No existe información")))</f>
        <v>No existe información</v>
      </c>
      <c r="S380" t="str" cm="1">
        <f t="array" ref="S380">TRANSPOSE(_xlfn.UNIQUE(_xlfn._xlws.FILTER(T_ASIGNATURA1[NOM_ASIG],(T_ASIGNATURA1[ID_NIVEL]=ASIGNACION!$C380)*(T_ASIGNATURA1[ID_CARRERA]=ASIGNACION!$A380),"No existe información")))</f>
        <v>No existe información</v>
      </c>
      <c r="BQ380" s="1" t="str" cm="1">
        <f t="array" ref="BQ380">IFERROR(
    TRANSPOSE(
        _xlfn.UNIQUE(
            _xlfn._xlws.FILTER(
                Tabla1_1[MAESTRIA],
                ISNUMBER(MATCH(Tabla1_1[CAMPO_DETALLADO],BD381:BP381,0))
            )
        )
    ),
"")</f>
        <v/>
      </c>
      <c r="EA380" t="str" cm="1">
        <f t="array" ref="EA380">IFERROR(
    TRANSPOSE(
        _xlfn.UNIQUE(
            _xlfn._xlws.FILTER(
                Tabla1__2[NOMBRE_DOCENTE],
                ISNUMBER(MATCH(Tabla1__2[MAESTRIA],BQ380:DY380,0))
            )
        )
    ),
"")</f>
        <v/>
      </c>
    </row>
    <row r="381" spans="1:131" ht="20.25" customHeight="1">
      <c r="A381" t="str" cm="1">
        <f t="array" ref="A381">TRANSPOSE(_xlfn.UNIQUE(_xlfn._xlws.FILTER(T_ASIGNATURA1[ID_NIVEL],T_ASIGNATURA1[ID_CARRERA]=ASIGNACION!$A381,"No existe información")))</f>
        <v>No existe información</v>
      </c>
      <c r="S381" t="str" cm="1">
        <f t="array" ref="S381">TRANSPOSE(_xlfn.UNIQUE(_xlfn._xlws.FILTER(T_ASIGNATURA1[NOM_ASIG],(T_ASIGNATURA1[ID_NIVEL]=ASIGNACION!$C381)*(T_ASIGNATURA1[ID_CARRERA]=ASIGNACION!$A381),"No existe información")))</f>
        <v>No existe información</v>
      </c>
      <c r="BQ381" s="1" t="str" cm="1">
        <f t="array" ref="BQ381">IFERROR(
    TRANSPOSE(
        _xlfn.UNIQUE(
            _xlfn._xlws.FILTER(
                Tabla1_1[MAESTRIA],
                ISNUMBER(MATCH(Tabla1_1[CAMPO_DETALLADO],BD382:BP382,0))
            )
        )
    ),
"")</f>
        <v/>
      </c>
      <c r="EA381" t="str" cm="1">
        <f t="array" ref="EA381">IFERROR(
    TRANSPOSE(
        _xlfn.UNIQUE(
            _xlfn._xlws.FILTER(
                Tabla1__2[NOMBRE_DOCENTE],
                ISNUMBER(MATCH(Tabla1__2[MAESTRIA],BQ381:DY381,0))
            )
        )
    ),
"")</f>
        <v/>
      </c>
    </row>
    <row r="382" spans="1:131" ht="20.25" customHeight="1">
      <c r="A382" t="str" cm="1">
        <f t="array" ref="A382">TRANSPOSE(_xlfn.UNIQUE(_xlfn._xlws.FILTER(T_ASIGNATURA1[ID_NIVEL],T_ASIGNATURA1[ID_CARRERA]=ASIGNACION!$A382,"No existe información")))</f>
        <v>No existe información</v>
      </c>
      <c r="S382" t="str" cm="1">
        <f t="array" ref="S382">TRANSPOSE(_xlfn.UNIQUE(_xlfn._xlws.FILTER(T_ASIGNATURA1[NOM_ASIG],(T_ASIGNATURA1[ID_NIVEL]=ASIGNACION!$C382)*(T_ASIGNATURA1[ID_CARRERA]=ASIGNACION!$A382),"No existe información")))</f>
        <v>No existe información</v>
      </c>
      <c r="BQ382" s="1" t="str" cm="1">
        <f t="array" ref="BQ382">IFERROR(
    TRANSPOSE(
        _xlfn.UNIQUE(
            _xlfn._xlws.FILTER(
                Tabla1_1[MAESTRIA],
                ISNUMBER(MATCH(Tabla1_1[CAMPO_DETALLADO],BD383:BP383,0))
            )
        )
    ),
"")</f>
        <v/>
      </c>
      <c r="EA382" t="str" cm="1">
        <f t="array" ref="EA382">IFERROR(
    TRANSPOSE(
        _xlfn.UNIQUE(
            _xlfn._xlws.FILTER(
                Tabla1__2[NOMBRE_DOCENTE],
                ISNUMBER(MATCH(Tabla1__2[MAESTRIA],BQ382:DY382,0))
            )
        )
    ),
"")</f>
        <v/>
      </c>
    </row>
    <row r="383" spans="1:131" ht="20.25" customHeight="1">
      <c r="A383" t="str" cm="1">
        <f t="array" ref="A383">TRANSPOSE(_xlfn.UNIQUE(_xlfn._xlws.FILTER(T_ASIGNATURA1[ID_NIVEL],T_ASIGNATURA1[ID_CARRERA]=ASIGNACION!$A383,"No existe información")))</f>
        <v>No existe información</v>
      </c>
      <c r="S383" t="str" cm="1">
        <f t="array" ref="S383">TRANSPOSE(_xlfn.UNIQUE(_xlfn._xlws.FILTER(T_ASIGNATURA1[NOM_ASIG],(T_ASIGNATURA1[ID_NIVEL]=ASIGNACION!$C383)*(T_ASIGNATURA1[ID_CARRERA]=ASIGNACION!$A383),"No existe información")))</f>
        <v>No existe información</v>
      </c>
      <c r="BQ383" s="1" t="str" cm="1">
        <f t="array" ref="BQ383">IFERROR(
    TRANSPOSE(
        _xlfn.UNIQUE(
            _xlfn._xlws.FILTER(
                Tabla1_1[MAESTRIA],
                ISNUMBER(MATCH(Tabla1_1[CAMPO_DETALLADO],BD384:BP384,0))
            )
        )
    ),
"")</f>
        <v/>
      </c>
      <c r="EA383" t="str" cm="1">
        <f t="array" ref="EA383">IFERROR(
    TRANSPOSE(
        _xlfn.UNIQUE(
            _xlfn._xlws.FILTER(
                Tabla1__2[NOMBRE_DOCENTE],
                ISNUMBER(MATCH(Tabla1__2[MAESTRIA],BQ383:DY383,0))
            )
        )
    ),
"")</f>
        <v/>
      </c>
    </row>
    <row r="384" spans="1:131" ht="20.25" customHeight="1">
      <c r="A384" t="str" cm="1">
        <f t="array" ref="A384">TRANSPOSE(_xlfn.UNIQUE(_xlfn._xlws.FILTER(T_ASIGNATURA1[ID_NIVEL],T_ASIGNATURA1[ID_CARRERA]=ASIGNACION!$A384,"No existe información")))</f>
        <v>No existe información</v>
      </c>
      <c r="S384" t="str" cm="1">
        <f t="array" ref="S384">TRANSPOSE(_xlfn.UNIQUE(_xlfn._xlws.FILTER(T_ASIGNATURA1[NOM_ASIG],(T_ASIGNATURA1[ID_NIVEL]=ASIGNACION!$C384)*(T_ASIGNATURA1[ID_CARRERA]=ASIGNACION!$A384),"No existe información")))</f>
        <v>No existe información</v>
      </c>
      <c r="BQ384" s="1" t="str" cm="1">
        <f t="array" ref="BQ384">IFERROR(
    TRANSPOSE(
        _xlfn.UNIQUE(
            _xlfn._xlws.FILTER(
                Tabla1_1[MAESTRIA],
                ISNUMBER(MATCH(Tabla1_1[CAMPO_DETALLADO],BD385:BP385,0))
            )
        )
    ),
"")</f>
        <v/>
      </c>
      <c r="EA384" t="str" cm="1">
        <f t="array" ref="EA384">IFERROR(
    TRANSPOSE(
        _xlfn.UNIQUE(
            _xlfn._xlws.FILTER(
                Tabla1__2[NOMBRE_DOCENTE],
                ISNUMBER(MATCH(Tabla1__2[MAESTRIA],BQ384:DY384,0))
            )
        )
    ),
"")</f>
        <v/>
      </c>
    </row>
    <row r="385" spans="1:131" ht="20.25" customHeight="1">
      <c r="A385" t="str" cm="1">
        <f t="array" ref="A385">TRANSPOSE(_xlfn.UNIQUE(_xlfn._xlws.FILTER(T_ASIGNATURA1[ID_NIVEL],T_ASIGNATURA1[ID_CARRERA]=ASIGNACION!$A385,"No existe información")))</f>
        <v>No existe información</v>
      </c>
      <c r="S385" t="str" cm="1">
        <f t="array" ref="S385">TRANSPOSE(_xlfn.UNIQUE(_xlfn._xlws.FILTER(T_ASIGNATURA1[NOM_ASIG],(T_ASIGNATURA1[ID_NIVEL]=ASIGNACION!$C385)*(T_ASIGNATURA1[ID_CARRERA]=ASIGNACION!$A385),"No existe información")))</f>
        <v>No existe información</v>
      </c>
      <c r="BQ385" s="1" t="str" cm="1">
        <f t="array" ref="BQ385">IFERROR(
    TRANSPOSE(
        _xlfn.UNIQUE(
            _xlfn._xlws.FILTER(
                Tabla1_1[MAESTRIA],
                ISNUMBER(MATCH(Tabla1_1[CAMPO_DETALLADO],BD386:BP386,0))
            )
        )
    ),
"")</f>
        <v/>
      </c>
      <c r="EA385" t="str" cm="1">
        <f t="array" ref="EA385">IFERROR(
    TRANSPOSE(
        _xlfn.UNIQUE(
            _xlfn._xlws.FILTER(
                Tabla1__2[NOMBRE_DOCENTE],
                ISNUMBER(MATCH(Tabla1__2[MAESTRIA],BQ385:DY385,0))
            )
        )
    ),
"")</f>
        <v/>
      </c>
    </row>
    <row r="386" spans="1:131" ht="20.25" customHeight="1">
      <c r="A386" t="str" cm="1">
        <f t="array" ref="A386">TRANSPOSE(_xlfn.UNIQUE(_xlfn._xlws.FILTER(T_ASIGNATURA1[ID_NIVEL],T_ASIGNATURA1[ID_CARRERA]=ASIGNACION!$A386,"No existe información")))</f>
        <v>No existe información</v>
      </c>
      <c r="S386" t="str" cm="1">
        <f t="array" ref="S386">TRANSPOSE(_xlfn.UNIQUE(_xlfn._xlws.FILTER(T_ASIGNATURA1[NOM_ASIG],(T_ASIGNATURA1[ID_NIVEL]=ASIGNACION!$C386)*(T_ASIGNATURA1[ID_CARRERA]=ASIGNACION!$A386),"No existe información")))</f>
        <v>No existe información</v>
      </c>
      <c r="BQ386" s="1" t="str" cm="1">
        <f t="array" ref="BQ386">IFERROR(
    TRANSPOSE(
        _xlfn.UNIQUE(
            _xlfn._xlws.FILTER(
                Tabla1_1[MAESTRIA],
                ISNUMBER(MATCH(Tabla1_1[CAMPO_DETALLADO],BD387:BP387,0))
            )
        )
    ),
"")</f>
        <v/>
      </c>
      <c r="EA386" t="str" cm="1">
        <f t="array" ref="EA386">IFERROR(
    TRANSPOSE(
        _xlfn.UNIQUE(
            _xlfn._xlws.FILTER(
                Tabla1__2[NOMBRE_DOCENTE],
                ISNUMBER(MATCH(Tabla1__2[MAESTRIA],BQ386:DY386,0))
            )
        )
    ),
"")</f>
        <v/>
      </c>
    </row>
    <row r="387" spans="1:131" ht="20.25" customHeight="1">
      <c r="A387" t="str" cm="1">
        <f t="array" ref="A387">TRANSPOSE(_xlfn.UNIQUE(_xlfn._xlws.FILTER(T_ASIGNATURA1[ID_NIVEL],T_ASIGNATURA1[ID_CARRERA]=ASIGNACION!$A387,"No existe información")))</f>
        <v>No existe información</v>
      </c>
      <c r="S387" t="str" cm="1">
        <f t="array" ref="S387">TRANSPOSE(_xlfn.UNIQUE(_xlfn._xlws.FILTER(T_ASIGNATURA1[NOM_ASIG],(T_ASIGNATURA1[ID_NIVEL]=ASIGNACION!$C387)*(T_ASIGNATURA1[ID_CARRERA]=ASIGNACION!$A387),"No existe información")))</f>
        <v>No existe información</v>
      </c>
      <c r="BQ387" s="1" t="str" cm="1">
        <f t="array" ref="BQ387">IFERROR(
    TRANSPOSE(
        _xlfn.UNIQUE(
            _xlfn._xlws.FILTER(
                Tabla1_1[MAESTRIA],
                ISNUMBER(MATCH(Tabla1_1[CAMPO_DETALLADO],BD388:BP388,0))
            )
        )
    ),
"")</f>
        <v/>
      </c>
      <c r="EA387" t="str" cm="1">
        <f t="array" ref="EA387">IFERROR(
    TRANSPOSE(
        _xlfn.UNIQUE(
            _xlfn._xlws.FILTER(
                Tabla1__2[NOMBRE_DOCENTE],
                ISNUMBER(MATCH(Tabla1__2[MAESTRIA],BQ387:DY387,0))
            )
        )
    ),
"")</f>
        <v/>
      </c>
    </row>
    <row r="388" spans="1:131" ht="20.25" customHeight="1">
      <c r="A388" t="str" cm="1">
        <f t="array" ref="A388">TRANSPOSE(_xlfn.UNIQUE(_xlfn._xlws.FILTER(T_ASIGNATURA1[ID_NIVEL],T_ASIGNATURA1[ID_CARRERA]=ASIGNACION!$A388,"No existe información")))</f>
        <v>No existe información</v>
      </c>
      <c r="S388" t="str" cm="1">
        <f t="array" ref="S388">TRANSPOSE(_xlfn.UNIQUE(_xlfn._xlws.FILTER(T_ASIGNATURA1[NOM_ASIG],(T_ASIGNATURA1[ID_NIVEL]=ASIGNACION!$C388)*(T_ASIGNATURA1[ID_CARRERA]=ASIGNACION!$A388),"No existe información")))</f>
        <v>No existe información</v>
      </c>
      <c r="BQ388" s="1" t="str" cm="1">
        <f t="array" ref="BQ388">IFERROR(
    TRANSPOSE(
        _xlfn.UNIQUE(
            _xlfn._xlws.FILTER(
                Tabla1_1[MAESTRIA],
                ISNUMBER(MATCH(Tabla1_1[CAMPO_DETALLADO],BD389:BP389,0))
            )
        )
    ),
"")</f>
        <v/>
      </c>
      <c r="EA388" t="str" cm="1">
        <f t="array" ref="EA388">IFERROR(
    TRANSPOSE(
        _xlfn.UNIQUE(
            _xlfn._xlws.FILTER(
                Tabla1__2[NOMBRE_DOCENTE],
                ISNUMBER(MATCH(Tabla1__2[MAESTRIA],BQ388:DY388,0))
            )
        )
    ),
"")</f>
        <v/>
      </c>
    </row>
    <row r="389" spans="1:131" ht="20.25" customHeight="1">
      <c r="A389" t="str" cm="1">
        <f t="array" ref="A389">TRANSPOSE(_xlfn.UNIQUE(_xlfn._xlws.FILTER(T_ASIGNATURA1[ID_NIVEL],T_ASIGNATURA1[ID_CARRERA]=ASIGNACION!$A389,"No existe información")))</f>
        <v>No existe información</v>
      </c>
      <c r="S389" t="str" cm="1">
        <f t="array" ref="S389">TRANSPOSE(_xlfn.UNIQUE(_xlfn._xlws.FILTER(T_ASIGNATURA1[NOM_ASIG],(T_ASIGNATURA1[ID_NIVEL]=ASIGNACION!$C389)*(T_ASIGNATURA1[ID_CARRERA]=ASIGNACION!$A389),"No existe información")))</f>
        <v>No existe información</v>
      </c>
      <c r="BQ389" s="1" t="str" cm="1">
        <f t="array" ref="BQ389">IFERROR(
    TRANSPOSE(
        _xlfn.UNIQUE(
            _xlfn._xlws.FILTER(
                Tabla1_1[MAESTRIA],
                ISNUMBER(MATCH(Tabla1_1[CAMPO_DETALLADO],BD390:BP390,0))
            )
        )
    ),
"")</f>
        <v/>
      </c>
      <c r="EA389" t="str" cm="1">
        <f t="array" ref="EA389">IFERROR(
    TRANSPOSE(
        _xlfn.UNIQUE(
            _xlfn._xlws.FILTER(
                Tabla1__2[NOMBRE_DOCENTE],
                ISNUMBER(MATCH(Tabla1__2[MAESTRIA],BQ389:DY389,0))
            )
        )
    ),
"")</f>
        <v/>
      </c>
    </row>
    <row r="390" spans="1:131" ht="20.25" customHeight="1">
      <c r="A390" t="str" cm="1">
        <f t="array" ref="A390">TRANSPOSE(_xlfn.UNIQUE(_xlfn._xlws.FILTER(T_ASIGNATURA1[ID_NIVEL],T_ASIGNATURA1[ID_CARRERA]=ASIGNACION!$A390,"No existe información")))</f>
        <v>No existe información</v>
      </c>
      <c r="S390" t="str" cm="1">
        <f t="array" ref="S390">TRANSPOSE(_xlfn.UNIQUE(_xlfn._xlws.FILTER(T_ASIGNATURA1[NOM_ASIG],(T_ASIGNATURA1[ID_NIVEL]=ASIGNACION!$C390)*(T_ASIGNATURA1[ID_CARRERA]=ASIGNACION!$A390),"No existe información")))</f>
        <v>No existe información</v>
      </c>
      <c r="BQ390" s="1" t="str" cm="1">
        <f t="array" ref="BQ390">IFERROR(
    TRANSPOSE(
        _xlfn.UNIQUE(
            _xlfn._xlws.FILTER(
                Tabla1_1[MAESTRIA],
                ISNUMBER(MATCH(Tabla1_1[CAMPO_DETALLADO],BD391:BP391,0))
            )
        )
    ),
"")</f>
        <v/>
      </c>
      <c r="EA390" t="str" cm="1">
        <f t="array" ref="EA390">IFERROR(
    TRANSPOSE(
        _xlfn.UNIQUE(
            _xlfn._xlws.FILTER(
                Tabla1__2[NOMBRE_DOCENTE],
                ISNUMBER(MATCH(Tabla1__2[MAESTRIA],BQ390:DY390,0))
            )
        )
    ),
"")</f>
        <v/>
      </c>
    </row>
    <row r="391" spans="1:131" ht="20.25" customHeight="1">
      <c r="A391" t="str" cm="1">
        <f t="array" ref="A391">TRANSPOSE(_xlfn.UNIQUE(_xlfn._xlws.FILTER(T_ASIGNATURA1[ID_NIVEL],T_ASIGNATURA1[ID_CARRERA]=ASIGNACION!$A391,"No existe información")))</f>
        <v>No existe información</v>
      </c>
      <c r="S391" t="str" cm="1">
        <f t="array" ref="S391">TRANSPOSE(_xlfn.UNIQUE(_xlfn._xlws.FILTER(T_ASIGNATURA1[NOM_ASIG],(T_ASIGNATURA1[ID_NIVEL]=ASIGNACION!$C391)*(T_ASIGNATURA1[ID_CARRERA]=ASIGNACION!$A391),"No existe información")))</f>
        <v>No existe información</v>
      </c>
      <c r="BQ391" s="1" t="str" cm="1">
        <f t="array" ref="BQ391">IFERROR(
    TRANSPOSE(
        _xlfn.UNIQUE(
            _xlfn._xlws.FILTER(
                Tabla1_1[MAESTRIA],
                ISNUMBER(MATCH(Tabla1_1[CAMPO_DETALLADO],BD392:BP392,0))
            )
        )
    ),
"")</f>
        <v/>
      </c>
      <c r="EA391" t="str" cm="1">
        <f t="array" ref="EA391">IFERROR(
    TRANSPOSE(
        _xlfn.UNIQUE(
            _xlfn._xlws.FILTER(
                Tabla1__2[NOMBRE_DOCENTE],
                ISNUMBER(MATCH(Tabla1__2[MAESTRIA],BQ391:DY391,0))
            )
        )
    ),
"")</f>
        <v/>
      </c>
    </row>
    <row r="392" spans="1:131" ht="20.25" customHeight="1">
      <c r="A392" t="str" cm="1">
        <f t="array" ref="A392">TRANSPOSE(_xlfn.UNIQUE(_xlfn._xlws.FILTER(T_ASIGNATURA1[ID_NIVEL],T_ASIGNATURA1[ID_CARRERA]=ASIGNACION!$A392,"No existe información")))</f>
        <v>No existe información</v>
      </c>
      <c r="S392" t="str" cm="1">
        <f t="array" ref="S392">TRANSPOSE(_xlfn.UNIQUE(_xlfn._xlws.FILTER(T_ASIGNATURA1[NOM_ASIG],(T_ASIGNATURA1[ID_NIVEL]=ASIGNACION!$C392)*(T_ASIGNATURA1[ID_CARRERA]=ASIGNACION!$A392),"No existe información")))</f>
        <v>No existe información</v>
      </c>
      <c r="BQ392" s="1" t="str" cm="1">
        <f t="array" ref="BQ392">IFERROR(
    TRANSPOSE(
        _xlfn.UNIQUE(
            _xlfn._xlws.FILTER(
                Tabla1_1[MAESTRIA],
                ISNUMBER(MATCH(Tabla1_1[CAMPO_DETALLADO],BD393:BP393,0))
            )
        )
    ),
"")</f>
        <v/>
      </c>
      <c r="EA392" t="str" cm="1">
        <f t="array" ref="EA392">IFERROR(
    TRANSPOSE(
        _xlfn.UNIQUE(
            _xlfn._xlws.FILTER(
                Tabla1__2[NOMBRE_DOCENTE],
                ISNUMBER(MATCH(Tabla1__2[MAESTRIA],BQ392:DY392,0))
            )
        )
    ),
"")</f>
        <v/>
      </c>
    </row>
    <row r="393" spans="1:131" ht="20.25" customHeight="1">
      <c r="A393" t="str" cm="1">
        <f t="array" ref="A393">TRANSPOSE(_xlfn.UNIQUE(_xlfn._xlws.FILTER(T_ASIGNATURA1[ID_NIVEL],T_ASIGNATURA1[ID_CARRERA]=ASIGNACION!$A393,"No existe información")))</f>
        <v>No existe información</v>
      </c>
      <c r="S393" t="str" cm="1">
        <f t="array" ref="S393">TRANSPOSE(_xlfn.UNIQUE(_xlfn._xlws.FILTER(T_ASIGNATURA1[NOM_ASIG],(T_ASIGNATURA1[ID_NIVEL]=ASIGNACION!$C393)*(T_ASIGNATURA1[ID_CARRERA]=ASIGNACION!$A393),"No existe información")))</f>
        <v>No existe información</v>
      </c>
      <c r="BQ393" s="1" t="str" cm="1">
        <f t="array" ref="BQ393">IFERROR(
    TRANSPOSE(
        _xlfn.UNIQUE(
            _xlfn._xlws.FILTER(
                Tabla1_1[MAESTRIA],
                ISNUMBER(MATCH(Tabla1_1[CAMPO_DETALLADO],BD394:BP394,0))
            )
        )
    ),
"")</f>
        <v/>
      </c>
      <c r="EA393" t="str" cm="1">
        <f t="array" ref="EA393">IFERROR(
    TRANSPOSE(
        _xlfn.UNIQUE(
            _xlfn._xlws.FILTER(
                Tabla1__2[NOMBRE_DOCENTE],
                ISNUMBER(MATCH(Tabla1__2[MAESTRIA],BQ393:DY393,0))
            )
        )
    ),
"")</f>
        <v/>
      </c>
    </row>
    <row r="394" spans="1:131" ht="20.25" customHeight="1">
      <c r="A394" t="str" cm="1">
        <f t="array" ref="A394">TRANSPOSE(_xlfn.UNIQUE(_xlfn._xlws.FILTER(T_ASIGNATURA1[ID_NIVEL],T_ASIGNATURA1[ID_CARRERA]=ASIGNACION!$A394,"No existe información")))</f>
        <v>No existe información</v>
      </c>
      <c r="S394" t="str" cm="1">
        <f t="array" ref="S394">TRANSPOSE(_xlfn.UNIQUE(_xlfn._xlws.FILTER(T_ASIGNATURA1[NOM_ASIG],(T_ASIGNATURA1[ID_NIVEL]=ASIGNACION!$C394)*(T_ASIGNATURA1[ID_CARRERA]=ASIGNACION!$A394),"No existe información")))</f>
        <v>No existe información</v>
      </c>
      <c r="BQ394" s="1" t="str" cm="1">
        <f t="array" ref="BQ394">IFERROR(
    TRANSPOSE(
        _xlfn.UNIQUE(
            _xlfn._xlws.FILTER(
                Tabla1_1[MAESTRIA],
                ISNUMBER(MATCH(Tabla1_1[CAMPO_DETALLADO],BD395:BP395,0))
            )
        )
    ),
"")</f>
        <v/>
      </c>
      <c r="EA394" t="str" cm="1">
        <f t="array" ref="EA394">IFERROR(
    TRANSPOSE(
        _xlfn.UNIQUE(
            _xlfn._xlws.FILTER(
                Tabla1__2[NOMBRE_DOCENTE],
                ISNUMBER(MATCH(Tabla1__2[MAESTRIA],BQ394:DY394,0))
            )
        )
    ),
"")</f>
        <v/>
      </c>
    </row>
    <row r="395" spans="1:131" ht="20.25" customHeight="1">
      <c r="A395" t="str" cm="1">
        <f t="array" ref="A395">TRANSPOSE(_xlfn.UNIQUE(_xlfn._xlws.FILTER(T_ASIGNATURA1[ID_NIVEL],T_ASIGNATURA1[ID_CARRERA]=ASIGNACION!$A395,"No existe información")))</f>
        <v>No existe información</v>
      </c>
      <c r="S395" t="str" cm="1">
        <f t="array" ref="S395">TRANSPOSE(_xlfn.UNIQUE(_xlfn._xlws.FILTER(T_ASIGNATURA1[NOM_ASIG],(T_ASIGNATURA1[ID_NIVEL]=ASIGNACION!$C395)*(T_ASIGNATURA1[ID_CARRERA]=ASIGNACION!$A395),"No existe información")))</f>
        <v>No existe información</v>
      </c>
      <c r="BQ395" s="1" t="str" cm="1">
        <f t="array" ref="BQ395">IFERROR(
    TRANSPOSE(
        _xlfn.UNIQUE(
            _xlfn._xlws.FILTER(
                Tabla1_1[MAESTRIA],
                ISNUMBER(MATCH(Tabla1_1[CAMPO_DETALLADO],BD396:BP396,0))
            )
        )
    ),
"")</f>
        <v/>
      </c>
      <c r="EA395" t="str" cm="1">
        <f t="array" ref="EA395">IFERROR(
    TRANSPOSE(
        _xlfn.UNIQUE(
            _xlfn._xlws.FILTER(
                Tabla1__2[NOMBRE_DOCENTE],
                ISNUMBER(MATCH(Tabla1__2[MAESTRIA],BQ395:DY395,0))
            )
        )
    ),
"")</f>
        <v/>
      </c>
    </row>
    <row r="396" spans="1:131" ht="20.25" customHeight="1">
      <c r="A396" t="str" cm="1">
        <f t="array" ref="A396">TRANSPOSE(_xlfn.UNIQUE(_xlfn._xlws.FILTER(T_ASIGNATURA1[ID_NIVEL],T_ASIGNATURA1[ID_CARRERA]=ASIGNACION!$A396,"No existe información")))</f>
        <v>No existe información</v>
      </c>
      <c r="S396" t="str" cm="1">
        <f t="array" ref="S396">TRANSPOSE(_xlfn.UNIQUE(_xlfn._xlws.FILTER(T_ASIGNATURA1[NOM_ASIG],(T_ASIGNATURA1[ID_NIVEL]=ASIGNACION!$C396)*(T_ASIGNATURA1[ID_CARRERA]=ASIGNACION!$A396),"No existe información")))</f>
        <v>No existe información</v>
      </c>
      <c r="BQ396" s="1" t="str" cm="1">
        <f t="array" ref="BQ396">IFERROR(
    TRANSPOSE(
        _xlfn.UNIQUE(
            _xlfn._xlws.FILTER(
                Tabla1_1[MAESTRIA],
                ISNUMBER(MATCH(Tabla1_1[CAMPO_DETALLADO],BD397:BP397,0))
            )
        )
    ),
"")</f>
        <v/>
      </c>
      <c r="EA396" t="str" cm="1">
        <f t="array" ref="EA396">IFERROR(
    TRANSPOSE(
        _xlfn.UNIQUE(
            _xlfn._xlws.FILTER(
                Tabla1__2[NOMBRE_DOCENTE],
                ISNUMBER(MATCH(Tabla1__2[MAESTRIA],BQ396:DY396,0))
            )
        )
    ),
"")</f>
        <v/>
      </c>
    </row>
    <row r="397" spans="1:131" ht="20.25" customHeight="1">
      <c r="A397" t="str" cm="1">
        <f t="array" ref="A397">TRANSPOSE(_xlfn.UNIQUE(_xlfn._xlws.FILTER(T_ASIGNATURA1[ID_NIVEL],T_ASIGNATURA1[ID_CARRERA]=ASIGNACION!$A397,"No existe información")))</f>
        <v>No existe información</v>
      </c>
      <c r="S397" t="str" cm="1">
        <f t="array" ref="S397">TRANSPOSE(_xlfn.UNIQUE(_xlfn._xlws.FILTER(T_ASIGNATURA1[NOM_ASIG],(T_ASIGNATURA1[ID_NIVEL]=ASIGNACION!$C397)*(T_ASIGNATURA1[ID_CARRERA]=ASIGNACION!$A397),"No existe información")))</f>
        <v>No existe información</v>
      </c>
      <c r="BQ397" s="1" t="str" cm="1">
        <f t="array" ref="BQ397">IFERROR(
    TRANSPOSE(
        _xlfn.UNIQUE(
            _xlfn._xlws.FILTER(
                Tabla1_1[MAESTRIA],
                ISNUMBER(MATCH(Tabla1_1[CAMPO_DETALLADO],BD398:BP398,0))
            )
        )
    ),
"")</f>
        <v/>
      </c>
      <c r="EA397" t="str" cm="1">
        <f t="array" ref="EA397">IFERROR(
    TRANSPOSE(
        _xlfn.UNIQUE(
            _xlfn._xlws.FILTER(
                Tabla1__2[NOMBRE_DOCENTE],
                ISNUMBER(MATCH(Tabla1__2[MAESTRIA],BQ397:DY397,0))
            )
        )
    ),
"")</f>
        <v/>
      </c>
    </row>
    <row r="398" spans="1:131" ht="20.25" customHeight="1">
      <c r="A398" t="str" cm="1">
        <f t="array" ref="A398">TRANSPOSE(_xlfn.UNIQUE(_xlfn._xlws.FILTER(T_ASIGNATURA1[ID_NIVEL],T_ASIGNATURA1[ID_CARRERA]=ASIGNACION!$A398,"No existe información")))</f>
        <v>No existe información</v>
      </c>
      <c r="S398" t="str" cm="1">
        <f t="array" ref="S398">TRANSPOSE(_xlfn.UNIQUE(_xlfn._xlws.FILTER(T_ASIGNATURA1[NOM_ASIG],(T_ASIGNATURA1[ID_NIVEL]=ASIGNACION!$C398)*(T_ASIGNATURA1[ID_CARRERA]=ASIGNACION!$A398),"No existe información")))</f>
        <v>No existe información</v>
      </c>
      <c r="BQ398" s="1" t="str" cm="1">
        <f t="array" ref="BQ398">IFERROR(
    TRANSPOSE(
        _xlfn.UNIQUE(
            _xlfn._xlws.FILTER(
                Tabla1_1[MAESTRIA],
                ISNUMBER(MATCH(Tabla1_1[CAMPO_DETALLADO],BD399:BP399,0))
            )
        )
    ),
"")</f>
        <v/>
      </c>
      <c r="EA398" t="str" cm="1">
        <f t="array" ref="EA398">IFERROR(
    TRANSPOSE(
        _xlfn.UNIQUE(
            _xlfn._xlws.FILTER(
                Tabla1__2[NOMBRE_DOCENTE],
                ISNUMBER(MATCH(Tabla1__2[MAESTRIA],BQ398:DY398,0))
            )
        )
    ),
"")</f>
        <v/>
      </c>
    </row>
    <row r="399" spans="1:131" ht="20.25" customHeight="1">
      <c r="A399" t="str" cm="1">
        <f t="array" ref="A399">TRANSPOSE(_xlfn.UNIQUE(_xlfn._xlws.FILTER(T_ASIGNATURA1[ID_NIVEL],T_ASIGNATURA1[ID_CARRERA]=ASIGNACION!$A399,"No existe información")))</f>
        <v>No existe información</v>
      </c>
      <c r="S399" t="str" cm="1">
        <f t="array" ref="S399">TRANSPOSE(_xlfn.UNIQUE(_xlfn._xlws.FILTER(T_ASIGNATURA1[NOM_ASIG],(T_ASIGNATURA1[ID_NIVEL]=ASIGNACION!$C399)*(T_ASIGNATURA1[ID_CARRERA]=ASIGNACION!$A399),"No existe información")))</f>
        <v>No existe información</v>
      </c>
      <c r="BQ399" s="1" t="str" cm="1">
        <f t="array" ref="BQ399">IFERROR(
    TRANSPOSE(
        _xlfn.UNIQUE(
            _xlfn._xlws.FILTER(
                Tabla1_1[MAESTRIA],
                ISNUMBER(MATCH(Tabla1_1[CAMPO_DETALLADO],BD400:BP400,0))
            )
        )
    ),
"")</f>
        <v/>
      </c>
      <c r="EA399" t="str" cm="1">
        <f t="array" ref="EA399">IFERROR(
    TRANSPOSE(
        _xlfn.UNIQUE(
            _xlfn._xlws.FILTER(
                Tabla1__2[NOMBRE_DOCENTE],
                ISNUMBER(MATCH(Tabla1__2[MAESTRIA],BQ399:DY399,0))
            )
        )
    ),
"")</f>
        <v/>
      </c>
    </row>
    <row r="400" spans="1:131" ht="20.25" customHeight="1">
      <c r="A400" t="str" cm="1">
        <f t="array" ref="A400">TRANSPOSE(_xlfn.UNIQUE(_xlfn._xlws.FILTER(T_ASIGNATURA1[ID_NIVEL],T_ASIGNATURA1[ID_CARRERA]=ASIGNACION!$A400,"No existe información")))</f>
        <v>No existe información</v>
      </c>
      <c r="S400" t="str" cm="1">
        <f t="array" ref="S400">TRANSPOSE(_xlfn.UNIQUE(_xlfn._xlws.FILTER(T_ASIGNATURA1[NOM_ASIG],(T_ASIGNATURA1[ID_NIVEL]=ASIGNACION!$C400)*(T_ASIGNATURA1[ID_CARRERA]=ASIGNACION!$A400),"No existe información")))</f>
        <v>No existe información</v>
      </c>
      <c r="BQ400" s="1" t="str" cm="1">
        <f t="array" ref="BQ400">IFERROR(
    TRANSPOSE(
        _xlfn.UNIQUE(
            _xlfn._xlws.FILTER(
                Tabla1_1[MAESTRIA],
                ISNUMBER(MATCH(Tabla1_1[CAMPO_DETALLADO],BD401:BP401,0))
            )
        )
    ),
"")</f>
        <v/>
      </c>
      <c r="EA400" t="str" cm="1">
        <f t="array" ref="EA400">IFERROR(
    TRANSPOSE(
        _xlfn.UNIQUE(
            _xlfn._xlws.FILTER(
                Tabla1__2[NOMBRE_DOCENTE],
                ISNUMBER(MATCH(Tabla1__2[MAESTRIA],BQ400:DY400,0))
            )
        )
    ),
"")</f>
        <v/>
      </c>
    </row>
    <row r="401" spans="1:131" ht="20.25" customHeight="1">
      <c r="A401" t="str" cm="1">
        <f t="array" ref="A401">TRANSPOSE(_xlfn.UNIQUE(_xlfn._xlws.FILTER(T_ASIGNATURA1[ID_NIVEL],T_ASIGNATURA1[ID_CARRERA]=ASIGNACION!$A401,"No existe información")))</f>
        <v>No existe información</v>
      </c>
      <c r="S401" t="str" cm="1">
        <f t="array" ref="S401">TRANSPOSE(_xlfn.UNIQUE(_xlfn._xlws.FILTER(T_ASIGNATURA1[NOM_ASIG],(T_ASIGNATURA1[ID_NIVEL]=ASIGNACION!$C401)*(T_ASIGNATURA1[ID_CARRERA]=ASIGNACION!$A401),"No existe información")))</f>
        <v>No existe información</v>
      </c>
      <c r="BQ401" s="1" t="str" cm="1">
        <f t="array" ref="BQ401">IFERROR(
    TRANSPOSE(
        _xlfn.UNIQUE(
            _xlfn._xlws.FILTER(
                Tabla1_1[MAESTRIA],
                ISNUMBER(MATCH(Tabla1_1[CAMPO_DETALLADO],BD402:BP402,0))
            )
        )
    ),
"")</f>
        <v/>
      </c>
      <c r="EA401" t="str" cm="1">
        <f t="array" ref="EA401">IFERROR(
    TRANSPOSE(
        _xlfn.UNIQUE(
            _xlfn._xlws.FILTER(
                Tabla1__2[NOMBRE_DOCENTE],
                ISNUMBER(MATCH(Tabla1__2[MAESTRIA],BQ401:DY401,0))
            )
        )
    ),
"")</f>
        <v/>
      </c>
    </row>
    <row r="402" spans="1:131" ht="20.25" customHeight="1">
      <c r="A402" t="str" cm="1">
        <f t="array" ref="A402">TRANSPOSE(_xlfn.UNIQUE(_xlfn._xlws.FILTER(T_ASIGNATURA1[ID_NIVEL],T_ASIGNATURA1[ID_CARRERA]=ASIGNACION!$A402,"No existe información")))</f>
        <v>No existe información</v>
      </c>
      <c r="S402" t="str" cm="1">
        <f t="array" ref="S402">TRANSPOSE(_xlfn.UNIQUE(_xlfn._xlws.FILTER(T_ASIGNATURA1[NOM_ASIG],(T_ASIGNATURA1[ID_NIVEL]=ASIGNACION!$C402)*(T_ASIGNATURA1[ID_CARRERA]=ASIGNACION!$A402),"No existe información")))</f>
        <v>No existe información</v>
      </c>
      <c r="BQ402" s="1" t="str" cm="1">
        <f t="array" ref="BQ402">IFERROR(
    TRANSPOSE(
        _xlfn.UNIQUE(
            _xlfn._xlws.FILTER(
                Tabla1_1[MAESTRIA],
                ISNUMBER(MATCH(Tabla1_1[CAMPO_DETALLADO],BD403:BP403,0))
            )
        )
    ),
"")</f>
        <v/>
      </c>
      <c r="EA402" t="str" cm="1">
        <f t="array" ref="EA402">IFERROR(
    TRANSPOSE(
        _xlfn.UNIQUE(
            _xlfn._xlws.FILTER(
                Tabla1__2[NOMBRE_DOCENTE],
                ISNUMBER(MATCH(Tabla1__2[MAESTRIA],BQ402:DY402,0))
            )
        )
    ),
"")</f>
        <v/>
      </c>
    </row>
    <row r="403" spans="1:131" ht="20.25" customHeight="1">
      <c r="A403" t="str" cm="1">
        <f t="array" ref="A403">TRANSPOSE(_xlfn.UNIQUE(_xlfn._xlws.FILTER(T_ASIGNATURA1[ID_NIVEL],T_ASIGNATURA1[ID_CARRERA]=ASIGNACION!$A403,"No existe información")))</f>
        <v>No existe información</v>
      </c>
      <c r="S403" t="str" cm="1">
        <f t="array" ref="S403">TRANSPOSE(_xlfn.UNIQUE(_xlfn._xlws.FILTER(T_ASIGNATURA1[NOM_ASIG],(T_ASIGNATURA1[ID_NIVEL]=ASIGNACION!$C403)*(T_ASIGNATURA1[ID_CARRERA]=ASIGNACION!$A403),"No existe información")))</f>
        <v>No existe información</v>
      </c>
      <c r="BQ403" s="1" t="str" cm="1">
        <f t="array" ref="BQ403">IFERROR(
    TRANSPOSE(
        _xlfn.UNIQUE(
            _xlfn._xlws.FILTER(
                Tabla1_1[MAESTRIA],
                ISNUMBER(MATCH(Tabla1_1[CAMPO_DETALLADO],BD404:BP404,0))
            )
        )
    ),
"")</f>
        <v/>
      </c>
      <c r="EA403" t="str" cm="1">
        <f t="array" ref="EA403">IFERROR(
    TRANSPOSE(
        _xlfn.UNIQUE(
            _xlfn._xlws.FILTER(
                Tabla1__2[NOMBRE_DOCENTE],
                ISNUMBER(MATCH(Tabla1__2[MAESTRIA],BQ403:DY403,0))
            )
        )
    ),
"")</f>
        <v/>
      </c>
    </row>
    <row r="404" spans="1:131" ht="20.25" customHeight="1">
      <c r="A404" t="str" cm="1">
        <f t="array" ref="A404">TRANSPOSE(_xlfn.UNIQUE(_xlfn._xlws.FILTER(T_ASIGNATURA1[ID_NIVEL],T_ASIGNATURA1[ID_CARRERA]=ASIGNACION!$A404,"No existe información")))</f>
        <v>No existe información</v>
      </c>
      <c r="S404" t="str" cm="1">
        <f t="array" ref="S404">TRANSPOSE(_xlfn.UNIQUE(_xlfn._xlws.FILTER(T_ASIGNATURA1[NOM_ASIG],(T_ASIGNATURA1[ID_NIVEL]=ASIGNACION!$C404)*(T_ASIGNATURA1[ID_CARRERA]=ASIGNACION!$A404),"No existe información")))</f>
        <v>No existe información</v>
      </c>
      <c r="BQ404" s="1" t="str" cm="1">
        <f t="array" ref="BQ404">IFERROR(
    TRANSPOSE(
        _xlfn.UNIQUE(
            _xlfn._xlws.FILTER(
                Tabla1_1[MAESTRIA],
                ISNUMBER(MATCH(Tabla1_1[CAMPO_DETALLADO],BD405:BP405,0))
            )
        )
    ),
"")</f>
        <v/>
      </c>
      <c r="EA404" t="str" cm="1">
        <f t="array" ref="EA404">IFERROR(
    TRANSPOSE(
        _xlfn.UNIQUE(
            _xlfn._xlws.FILTER(
                Tabla1__2[NOMBRE_DOCENTE],
                ISNUMBER(MATCH(Tabla1__2[MAESTRIA],BQ404:DY404,0))
            )
        )
    ),
"")</f>
        <v/>
      </c>
    </row>
    <row r="405" spans="1:131" ht="20.25" customHeight="1">
      <c r="A405" t="str" cm="1">
        <f t="array" ref="A405">TRANSPOSE(_xlfn.UNIQUE(_xlfn._xlws.FILTER(T_ASIGNATURA1[ID_NIVEL],T_ASIGNATURA1[ID_CARRERA]=ASIGNACION!$A405,"No existe información")))</f>
        <v>No existe información</v>
      </c>
      <c r="S405" t="str" cm="1">
        <f t="array" ref="S405">TRANSPOSE(_xlfn.UNIQUE(_xlfn._xlws.FILTER(T_ASIGNATURA1[NOM_ASIG],(T_ASIGNATURA1[ID_NIVEL]=ASIGNACION!$C405)*(T_ASIGNATURA1[ID_CARRERA]=ASIGNACION!$A405),"No existe información")))</f>
        <v>No existe información</v>
      </c>
      <c r="BQ405" s="1" t="str" cm="1">
        <f t="array" ref="BQ405">IFERROR(
    TRANSPOSE(
        _xlfn.UNIQUE(
            _xlfn._xlws.FILTER(
                Tabla1_1[MAESTRIA],
                ISNUMBER(MATCH(Tabla1_1[CAMPO_DETALLADO],BD406:BP406,0))
            )
        )
    ),
"")</f>
        <v/>
      </c>
      <c r="EA405" t="str" cm="1">
        <f t="array" ref="EA405">IFERROR(
    TRANSPOSE(
        _xlfn.UNIQUE(
            _xlfn._xlws.FILTER(
                Tabla1__2[NOMBRE_DOCENTE],
                ISNUMBER(MATCH(Tabla1__2[MAESTRIA],BQ405:DY405,0))
            )
        )
    ),
"")</f>
        <v/>
      </c>
    </row>
    <row r="406" spans="1:131" ht="20.25" customHeight="1">
      <c r="A406" t="str" cm="1">
        <f t="array" ref="A406">TRANSPOSE(_xlfn.UNIQUE(_xlfn._xlws.FILTER(T_ASIGNATURA1[ID_NIVEL],T_ASIGNATURA1[ID_CARRERA]=ASIGNACION!$A406,"No existe información")))</f>
        <v>No existe información</v>
      </c>
      <c r="S406" t="str" cm="1">
        <f t="array" ref="S406">TRANSPOSE(_xlfn.UNIQUE(_xlfn._xlws.FILTER(T_ASIGNATURA1[NOM_ASIG],(T_ASIGNATURA1[ID_NIVEL]=ASIGNACION!$C406)*(T_ASIGNATURA1[ID_CARRERA]=ASIGNACION!$A406),"No existe información")))</f>
        <v>No existe información</v>
      </c>
      <c r="BQ406" s="1" t="str" cm="1">
        <f t="array" ref="BQ406">IFERROR(
    TRANSPOSE(
        _xlfn.UNIQUE(
            _xlfn._xlws.FILTER(
                Tabla1_1[MAESTRIA],
                ISNUMBER(MATCH(Tabla1_1[CAMPO_DETALLADO],BD407:BP407,0))
            )
        )
    ),
"")</f>
        <v/>
      </c>
      <c r="EA406" t="str" cm="1">
        <f t="array" ref="EA406">IFERROR(
    TRANSPOSE(
        _xlfn.UNIQUE(
            _xlfn._xlws.FILTER(
                Tabla1__2[NOMBRE_DOCENTE],
                ISNUMBER(MATCH(Tabla1__2[MAESTRIA],BQ406:DY406,0))
            )
        )
    ),
"")</f>
        <v/>
      </c>
    </row>
    <row r="407" spans="1:131" ht="20.25" customHeight="1">
      <c r="A407" t="str" cm="1">
        <f t="array" ref="A407">TRANSPOSE(_xlfn.UNIQUE(_xlfn._xlws.FILTER(T_ASIGNATURA1[ID_NIVEL],T_ASIGNATURA1[ID_CARRERA]=ASIGNACION!$A407,"No existe información")))</f>
        <v>No existe información</v>
      </c>
      <c r="S407" t="str" cm="1">
        <f t="array" ref="S407">TRANSPOSE(_xlfn.UNIQUE(_xlfn._xlws.FILTER(T_ASIGNATURA1[NOM_ASIG],(T_ASIGNATURA1[ID_NIVEL]=ASIGNACION!$C407)*(T_ASIGNATURA1[ID_CARRERA]=ASIGNACION!$A407),"No existe información")))</f>
        <v>No existe información</v>
      </c>
      <c r="BQ407" s="1" t="str" cm="1">
        <f t="array" ref="BQ407">IFERROR(
    TRANSPOSE(
        _xlfn.UNIQUE(
            _xlfn._xlws.FILTER(
                Tabla1_1[MAESTRIA],
                ISNUMBER(MATCH(Tabla1_1[CAMPO_DETALLADO],BD408:BP408,0))
            )
        )
    ),
"")</f>
        <v/>
      </c>
      <c r="EA407" t="str" cm="1">
        <f t="array" ref="EA407">IFERROR(
    TRANSPOSE(
        _xlfn.UNIQUE(
            _xlfn._xlws.FILTER(
                Tabla1__2[NOMBRE_DOCENTE],
                ISNUMBER(MATCH(Tabla1__2[MAESTRIA],BQ407:DY407,0))
            )
        )
    ),
"")</f>
        <v/>
      </c>
    </row>
    <row r="408" spans="1:131" ht="20.25" customHeight="1">
      <c r="A408" t="str" cm="1">
        <f t="array" ref="A408">TRANSPOSE(_xlfn.UNIQUE(_xlfn._xlws.FILTER(T_ASIGNATURA1[ID_NIVEL],T_ASIGNATURA1[ID_CARRERA]=ASIGNACION!$A408,"No existe información")))</f>
        <v>No existe información</v>
      </c>
      <c r="S408" t="str" cm="1">
        <f t="array" ref="S408">TRANSPOSE(_xlfn.UNIQUE(_xlfn._xlws.FILTER(T_ASIGNATURA1[NOM_ASIG],(T_ASIGNATURA1[ID_NIVEL]=ASIGNACION!$C408)*(T_ASIGNATURA1[ID_CARRERA]=ASIGNACION!$A408),"No existe información")))</f>
        <v>No existe información</v>
      </c>
      <c r="BQ408" s="1" t="str" cm="1">
        <f t="array" ref="BQ408">IFERROR(
    TRANSPOSE(
        _xlfn.UNIQUE(
            _xlfn._xlws.FILTER(
                Tabla1_1[MAESTRIA],
                ISNUMBER(MATCH(Tabla1_1[CAMPO_DETALLADO],BD409:BP409,0))
            )
        )
    ),
"")</f>
        <v/>
      </c>
      <c r="EA408" t="str" cm="1">
        <f t="array" ref="EA408">IFERROR(
    TRANSPOSE(
        _xlfn.UNIQUE(
            _xlfn._xlws.FILTER(
                Tabla1__2[NOMBRE_DOCENTE],
                ISNUMBER(MATCH(Tabla1__2[MAESTRIA],BQ408:DY408,0))
            )
        )
    ),
"")</f>
        <v/>
      </c>
    </row>
    <row r="409" spans="1:131" ht="20.25" customHeight="1">
      <c r="A409" t="str" cm="1">
        <f t="array" ref="A409">TRANSPOSE(_xlfn.UNIQUE(_xlfn._xlws.FILTER(T_ASIGNATURA1[ID_NIVEL],T_ASIGNATURA1[ID_CARRERA]=ASIGNACION!$A409,"No existe información")))</f>
        <v>No existe información</v>
      </c>
      <c r="S409" t="str" cm="1">
        <f t="array" ref="S409">TRANSPOSE(_xlfn.UNIQUE(_xlfn._xlws.FILTER(T_ASIGNATURA1[NOM_ASIG],(T_ASIGNATURA1[ID_NIVEL]=ASIGNACION!$C409)*(T_ASIGNATURA1[ID_CARRERA]=ASIGNACION!$A409),"No existe información")))</f>
        <v>No existe información</v>
      </c>
      <c r="BQ409" s="1" t="str" cm="1">
        <f t="array" ref="BQ409">IFERROR(
    TRANSPOSE(
        _xlfn.UNIQUE(
            _xlfn._xlws.FILTER(
                Tabla1_1[MAESTRIA],
                ISNUMBER(MATCH(Tabla1_1[CAMPO_DETALLADO],BD410:BP410,0))
            )
        )
    ),
"")</f>
        <v/>
      </c>
      <c r="EA409" t="str" cm="1">
        <f t="array" ref="EA409">IFERROR(
    TRANSPOSE(
        _xlfn.UNIQUE(
            _xlfn._xlws.FILTER(
                Tabla1__2[NOMBRE_DOCENTE],
                ISNUMBER(MATCH(Tabla1__2[MAESTRIA],BQ409:DY409,0))
            )
        )
    ),
"")</f>
        <v/>
      </c>
    </row>
    <row r="410" spans="1:131" ht="20.25" customHeight="1">
      <c r="A410" t="str" cm="1">
        <f t="array" ref="A410">TRANSPOSE(_xlfn.UNIQUE(_xlfn._xlws.FILTER(T_ASIGNATURA1[ID_NIVEL],T_ASIGNATURA1[ID_CARRERA]=ASIGNACION!$A410,"No existe información")))</f>
        <v>No existe información</v>
      </c>
      <c r="S410" t="str" cm="1">
        <f t="array" ref="S410">TRANSPOSE(_xlfn.UNIQUE(_xlfn._xlws.FILTER(T_ASIGNATURA1[NOM_ASIG],(T_ASIGNATURA1[ID_NIVEL]=ASIGNACION!$C410)*(T_ASIGNATURA1[ID_CARRERA]=ASIGNACION!$A410),"No existe información")))</f>
        <v>No existe información</v>
      </c>
      <c r="BQ410" s="1" t="str" cm="1">
        <f t="array" ref="BQ410">IFERROR(
    TRANSPOSE(
        _xlfn.UNIQUE(
            _xlfn._xlws.FILTER(
                Tabla1_1[MAESTRIA],
                ISNUMBER(MATCH(Tabla1_1[CAMPO_DETALLADO],BD411:BP411,0))
            )
        )
    ),
"")</f>
        <v/>
      </c>
      <c r="EA410" t="str" cm="1">
        <f t="array" ref="EA410">IFERROR(
    TRANSPOSE(
        _xlfn.UNIQUE(
            _xlfn._xlws.FILTER(
                Tabla1__2[NOMBRE_DOCENTE],
                ISNUMBER(MATCH(Tabla1__2[MAESTRIA],BQ410:DY410,0))
            )
        )
    ),
"")</f>
        <v/>
      </c>
    </row>
    <row r="411" spans="1:131" ht="20.25" customHeight="1">
      <c r="A411" t="str" cm="1">
        <f t="array" ref="A411">TRANSPOSE(_xlfn.UNIQUE(_xlfn._xlws.FILTER(T_ASIGNATURA1[ID_NIVEL],T_ASIGNATURA1[ID_CARRERA]=ASIGNACION!$A411,"No existe información")))</f>
        <v>No existe información</v>
      </c>
      <c r="S411" t="str" cm="1">
        <f t="array" ref="S411">TRANSPOSE(_xlfn.UNIQUE(_xlfn._xlws.FILTER(T_ASIGNATURA1[NOM_ASIG],(T_ASIGNATURA1[ID_NIVEL]=ASIGNACION!$C411)*(T_ASIGNATURA1[ID_CARRERA]=ASIGNACION!$A411),"No existe información")))</f>
        <v>No existe información</v>
      </c>
      <c r="BQ411" s="1" t="str" cm="1">
        <f t="array" ref="BQ411">IFERROR(
    TRANSPOSE(
        _xlfn.UNIQUE(
            _xlfn._xlws.FILTER(
                Tabla1_1[MAESTRIA],
                ISNUMBER(MATCH(Tabla1_1[CAMPO_DETALLADO],BD412:BP412,0))
            )
        )
    ),
"")</f>
        <v/>
      </c>
      <c r="EA411" t="str" cm="1">
        <f t="array" ref="EA411">IFERROR(
    TRANSPOSE(
        _xlfn.UNIQUE(
            _xlfn._xlws.FILTER(
                Tabla1__2[NOMBRE_DOCENTE],
                ISNUMBER(MATCH(Tabla1__2[MAESTRIA],BQ411:DY411,0))
            )
        )
    ),
"")</f>
        <v/>
      </c>
    </row>
    <row r="412" spans="1:131" ht="20.25" customHeight="1">
      <c r="A412" t="str" cm="1">
        <f t="array" ref="A412">TRANSPOSE(_xlfn.UNIQUE(_xlfn._xlws.FILTER(T_ASIGNATURA1[ID_NIVEL],T_ASIGNATURA1[ID_CARRERA]=ASIGNACION!$A412,"No existe información")))</f>
        <v>No existe información</v>
      </c>
      <c r="S412" t="str" cm="1">
        <f t="array" ref="S412">TRANSPOSE(_xlfn.UNIQUE(_xlfn._xlws.FILTER(T_ASIGNATURA1[NOM_ASIG],(T_ASIGNATURA1[ID_NIVEL]=ASIGNACION!$C412)*(T_ASIGNATURA1[ID_CARRERA]=ASIGNACION!$A412),"No existe información")))</f>
        <v>No existe información</v>
      </c>
      <c r="BQ412" s="1" t="str" cm="1">
        <f t="array" ref="BQ412">IFERROR(
    TRANSPOSE(
        _xlfn.UNIQUE(
            _xlfn._xlws.FILTER(
                Tabla1_1[MAESTRIA],
                ISNUMBER(MATCH(Tabla1_1[CAMPO_DETALLADO],BD413:BP413,0))
            )
        )
    ),
"")</f>
        <v/>
      </c>
      <c r="EA412" t="str" cm="1">
        <f t="array" ref="EA412">IFERROR(
    TRANSPOSE(
        _xlfn.UNIQUE(
            _xlfn._xlws.FILTER(
                Tabla1__2[NOMBRE_DOCENTE],
                ISNUMBER(MATCH(Tabla1__2[MAESTRIA],BQ412:DY412,0))
            )
        )
    ),
"")</f>
        <v/>
      </c>
    </row>
    <row r="413" spans="1:131" ht="20.25" customHeight="1">
      <c r="A413" t="str" cm="1">
        <f t="array" ref="A413">TRANSPOSE(_xlfn.UNIQUE(_xlfn._xlws.FILTER(T_ASIGNATURA1[ID_NIVEL],T_ASIGNATURA1[ID_CARRERA]=ASIGNACION!$A413,"No existe información")))</f>
        <v>No existe información</v>
      </c>
      <c r="S413" t="str" cm="1">
        <f t="array" ref="S413">TRANSPOSE(_xlfn.UNIQUE(_xlfn._xlws.FILTER(T_ASIGNATURA1[NOM_ASIG],(T_ASIGNATURA1[ID_NIVEL]=ASIGNACION!$C413)*(T_ASIGNATURA1[ID_CARRERA]=ASIGNACION!$A413),"No existe información")))</f>
        <v>No existe información</v>
      </c>
      <c r="BQ413" s="1" t="str" cm="1">
        <f t="array" ref="BQ413">IFERROR(
    TRANSPOSE(
        _xlfn.UNIQUE(
            _xlfn._xlws.FILTER(
                Tabla1_1[MAESTRIA],
                ISNUMBER(MATCH(Tabla1_1[CAMPO_DETALLADO],BD414:BP414,0))
            )
        )
    ),
"")</f>
        <v/>
      </c>
      <c r="EA413" t="str" cm="1">
        <f t="array" ref="EA413">IFERROR(
    TRANSPOSE(
        _xlfn.UNIQUE(
            _xlfn._xlws.FILTER(
                Tabla1__2[NOMBRE_DOCENTE],
                ISNUMBER(MATCH(Tabla1__2[MAESTRIA],BQ413:DY413,0))
            )
        )
    ),
"")</f>
        <v/>
      </c>
    </row>
    <row r="414" spans="1:131" ht="20.25" customHeight="1">
      <c r="A414" t="str" cm="1">
        <f t="array" ref="A414">TRANSPOSE(_xlfn.UNIQUE(_xlfn._xlws.FILTER(T_ASIGNATURA1[ID_NIVEL],T_ASIGNATURA1[ID_CARRERA]=ASIGNACION!$A414,"No existe información")))</f>
        <v>No existe información</v>
      </c>
      <c r="S414" t="str" cm="1">
        <f t="array" ref="S414">TRANSPOSE(_xlfn.UNIQUE(_xlfn._xlws.FILTER(T_ASIGNATURA1[NOM_ASIG],(T_ASIGNATURA1[ID_NIVEL]=ASIGNACION!$C414)*(T_ASIGNATURA1[ID_CARRERA]=ASIGNACION!$A414),"No existe información")))</f>
        <v>No existe información</v>
      </c>
      <c r="BQ414" s="1" t="str" cm="1">
        <f t="array" ref="BQ414">IFERROR(
    TRANSPOSE(
        _xlfn.UNIQUE(
            _xlfn._xlws.FILTER(
                Tabla1_1[MAESTRIA],
                ISNUMBER(MATCH(Tabla1_1[CAMPO_DETALLADO],BD415:BP415,0))
            )
        )
    ),
"")</f>
        <v/>
      </c>
      <c r="EA414" t="str" cm="1">
        <f t="array" ref="EA414">IFERROR(
    TRANSPOSE(
        _xlfn.UNIQUE(
            _xlfn._xlws.FILTER(
                Tabla1__2[NOMBRE_DOCENTE],
                ISNUMBER(MATCH(Tabla1__2[MAESTRIA],BQ414:DY414,0))
            )
        )
    ),
"")</f>
        <v/>
      </c>
    </row>
    <row r="415" spans="1:131" ht="20.25" customHeight="1">
      <c r="A415" t="str" cm="1">
        <f t="array" ref="A415">TRANSPOSE(_xlfn.UNIQUE(_xlfn._xlws.FILTER(T_ASIGNATURA1[ID_NIVEL],T_ASIGNATURA1[ID_CARRERA]=ASIGNACION!$A415,"No existe información")))</f>
        <v>No existe información</v>
      </c>
      <c r="S415" t="str" cm="1">
        <f t="array" ref="S415">TRANSPOSE(_xlfn.UNIQUE(_xlfn._xlws.FILTER(T_ASIGNATURA1[NOM_ASIG],(T_ASIGNATURA1[ID_NIVEL]=ASIGNACION!$C415)*(T_ASIGNATURA1[ID_CARRERA]=ASIGNACION!$A415),"No existe información")))</f>
        <v>No existe información</v>
      </c>
      <c r="BQ415" s="1" t="str" cm="1">
        <f t="array" ref="BQ415">IFERROR(
    TRANSPOSE(
        _xlfn.UNIQUE(
            _xlfn._xlws.FILTER(
                Tabla1_1[MAESTRIA],
                ISNUMBER(MATCH(Tabla1_1[CAMPO_DETALLADO],BD416:BP416,0))
            )
        )
    ),
"")</f>
        <v/>
      </c>
      <c r="EA415" t="str" cm="1">
        <f t="array" ref="EA415">IFERROR(
    TRANSPOSE(
        _xlfn.UNIQUE(
            _xlfn._xlws.FILTER(
                Tabla1__2[NOMBRE_DOCENTE],
                ISNUMBER(MATCH(Tabla1__2[MAESTRIA],BQ415:DY415,0))
            )
        )
    ),
"")</f>
        <v/>
      </c>
    </row>
    <row r="416" spans="1:131" ht="20.25" customHeight="1">
      <c r="A416" t="str" cm="1">
        <f t="array" ref="A416">TRANSPOSE(_xlfn.UNIQUE(_xlfn._xlws.FILTER(T_ASIGNATURA1[ID_NIVEL],T_ASIGNATURA1[ID_CARRERA]=ASIGNACION!$A416,"No existe información")))</f>
        <v>No existe información</v>
      </c>
      <c r="S416" t="str" cm="1">
        <f t="array" ref="S416">TRANSPOSE(_xlfn.UNIQUE(_xlfn._xlws.FILTER(T_ASIGNATURA1[NOM_ASIG],(T_ASIGNATURA1[ID_NIVEL]=ASIGNACION!$C416)*(T_ASIGNATURA1[ID_CARRERA]=ASIGNACION!$A416),"No existe información")))</f>
        <v>No existe información</v>
      </c>
      <c r="BQ416" s="1" t="str" cm="1">
        <f t="array" ref="BQ416">IFERROR(
    TRANSPOSE(
        _xlfn.UNIQUE(
            _xlfn._xlws.FILTER(
                Tabla1_1[MAESTRIA],
                ISNUMBER(MATCH(Tabla1_1[CAMPO_DETALLADO],BD417:BP417,0))
            )
        )
    ),
"")</f>
        <v/>
      </c>
      <c r="EA416" t="str" cm="1">
        <f t="array" ref="EA416">IFERROR(
    TRANSPOSE(
        _xlfn.UNIQUE(
            _xlfn._xlws.FILTER(
                Tabla1__2[NOMBRE_DOCENTE],
                ISNUMBER(MATCH(Tabla1__2[MAESTRIA],BQ416:DY416,0))
            )
        )
    ),
"")</f>
        <v/>
      </c>
    </row>
    <row r="417" spans="1:131" ht="20.25" customHeight="1">
      <c r="A417" t="str" cm="1">
        <f t="array" ref="A417">TRANSPOSE(_xlfn.UNIQUE(_xlfn._xlws.FILTER(T_ASIGNATURA1[ID_NIVEL],T_ASIGNATURA1[ID_CARRERA]=ASIGNACION!$A417,"No existe información")))</f>
        <v>No existe información</v>
      </c>
      <c r="S417" t="str" cm="1">
        <f t="array" ref="S417">TRANSPOSE(_xlfn.UNIQUE(_xlfn._xlws.FILTER(T_ASIGNATURA1[NOM_ASIG],(T_ASIGNATURA1[ID_NIVEL]=ASIGNACION!$C417)*(T_ASIGNATURA1[ID_CARRERA]=ASIGNACION!$A417),"No existe información")))</f>
        <v>No existe información</v>
      </c>
      <c r="BQ417" s="1" t="str" cm="1">
        <f t="array" ref="BQ417">IFERROR(
    TRANSPOSE(
        _xlfn.UNIQUE(
            _xlfn._xlws.FILTER(
                Tabla1_1[MAESTRIA],
                ISNUMBER(MATCH(Tabla1_1[CAMPO_DETALLADO],BD418:BP418,0))
            )
        )
    ),
"")</f>
        <v/>
      </c>
      <c r="EA417" t="str" cm="1">
        <f t="array" ref="EA417">IFERROR(
    TRANSPOSE(
        _xlfn.UNIQUE(
            _xlfn._xlws.FILTER(
                Tabla1__2[NOMBRE_DOCENTE],
                ISNUMBER(MATCH(Tabla1__2[MAESTRIA],BQ417:DY417,0))
            )
        )
    ),
"")</f>
        <v/>
      </c>
    </row>
    <row r="418" spans="1:131" ht="20.25" customHeight="1">
      <c r="A418" t="str" cm="1">
        <f t="array" ref="A418">TRANSPOSE(_xlfn.UNIQUE(_xlfn._xlws.FILTER(T_ASIGNATURA1[ID_NIVEL],T_ASIGNATURA1[ID_CARRERA]=ASIGNACION!$A418,"No existe información")))</f>
        <v>No existe información</v>
      </c>
      <c r="S418" t="str" cm="1">
        <f t="array" ref="S418">TRANSPOSE(_xlfn.UNIQUE(_xlfn._xlws.FILTER(T_ASIGNATURA1[NOM_ASIG],(T_ASIGNATURA1[ID_NIVEL]=ASIGNACION!$C418)*(T_ASIGNATURA1[ID_CARRERA]=ASIGNACION!$A418),"No existe información")))</f>
        <v>No existe información</v>
      </c>
      <c r="BQ418" s="1" t="str" cm="1">
        <f t="array" ref="BQ418">IFERROR(
    TRANSPOSE(
        _xlfn.UNIQUE(
            _xlfn._xlws.FILTER(
                Tabla1_1[MAESTRIA],
                ISNUMBER(MATCH(Tabla1_1[CAMPO_DETALLADO],BD419:BP419,0))
            )
        )
    ),
"")</f>
        <v/>
      </c>
      <c r="EA418" t="str" cm="1">
        <f t="array" ref="EA418">IFERROR(
    TRANSPOSE(
        _xlfn.UNIQUE(
            _xlfn._xlws.FILTER(
                Tabla1__2[NOMBRE_DOCENTE],
                ISNUMBER(MATCH(Tabla1__2[MAESTRIA],BQ418:DY418,0))
            )
        )
    ),
"")</f>
        <v/>
      </c>
    </row>
    <row r="419" spans="1:131" ht="20.25" customHeight="1">
      <c r="A419" t="str" cm="1">
        <f t="array" ref="A419">TRANSPOSE(_xlfn.UNIQUE(_xlfn._xlws.FILTER(T_ASIGNATURA1[ID_NIVEL],T_ASIGNATURA1[ID_CARRERA]=ASIGNACION!$A419,"No existe información")))</f>
        <v>No existe información</v>
      </c>
      <c r="S419" t="str" cm="1">
        <f t="array" ref="S419">TRANSPOSE(_xlfn.UNIQUE(_xlfn._xlws.FILTER(T_ASIGNATURA1[NOM_ASIG],(T_ASIGNATURA1[ID_NIVEL]=ASIGNACION!$C419)*(T_ASIGNATURA1[ID_CARRERA]=ASIGNACION!$A419),"No existe información")))</f>
        <v>No existe información</v>
      </c>
      <c r="BQ419" s="1" t="str" cm="1">
        <f t="array" ref="BQ419">IFERROR(
    TRANSPOSE(
        _xlfn.UNIQUE(
            _xlfn._xlws.FILTER(
                Tabla1_1[MAESTRIA],
                ISNUMBER(MATCH(Tabla1_1[CAMPO_DETALLADO],BD420:BP420,0))
            )
        )
    ),
"")</f>
        <v/>
      </c>
      <c r="EA419" t="str" cm="1">
        <f t="array" ref="EA419">IFERROR(
    TRANSPOSE(
        _xlfn.UNIQUE(
            _xlfn._xlws.FILTER(
                Tabla1__2[NOMBRE_DOCENTE],
                ISNUMBER(MATCH(Tabla1__2[MAESTRIA],BQ419:DY419,0))
            )
        )
    ),
"")</f>
        <v/>
      </c>
    </row>
    <row r="420" spans="1:131" ht="20.25" customHeight="1">
      <c r="A420" t="str" cm="1">
        <f t="array" ref="A420">TRANSPOSE(_xlfn.UNIQUE(_xlfn._xlws.FILTER(T_ASIGNATURA1[ID_NIVEL],T_ASIGNATURA1[ID_CARRERA]=ASIGNACION!$A420,"No existe información")))</f>
        <v>No existe información</v>
      </c>
      <c r="S420" t="str" cm="1">
        <f t="array" ref="S420">TRANSPOSE(_xlfn.UNIQUE(_xlfn._xlws.FILTER(T_ASIGNATURA1[NOM_ASIG],(T_ASIGNATURA1[ID_NIVEL]=ASIGNACION!$C420)*(T_ASIGNATURA1[ID_CARRERA]=ASIGNACION!$A420),"No existe información")))</f>
        <v>No existe información</v>
      </c>
      <c r="BQ420" s="1" t="str" cm="1">
        <f t="array" ref="BQ420">IFERROR(
    TRANSPOSE(
        _xlfn.UNIQUE(
            _xlfn._xlws.FILTER(
                Tabla1_1[MAESTRIA],
                ISNUMBER(MATCH(Tabla1_1[CAMPO_DETALLADO],BD421:BP421,0))
            )
        )
    ),
"")</f>
        <v/>
      </c>
      <c r="EA420" t="str" cm="1">
        <f t="array" ref="EA420">IFERROR(
    TRANSPOSE(
        _xlfn.UNIQUE(
            _xlfn._xlws.FILTER(
                Tabla1__2[NOMBRE_DOCENTE],
                ISNUMBER(MATCH(Tabla1__2[MAESTRIA],BQ420:DY420,0))
            )
        )
    ),
"")</f>
        <v/>
      </c>
    </row>
    <row r="421" spans="1:131" ht="20.25" customHeight="1">
      <c r="A421" t="str" cm="1">
        <f t="array" ref="A421">TRANSPOSE(_xlfn.UNIQUE(_xlfn._xlws.FILTER(T_ASIGNATURA1[ID_NIVEL],T_ASIGNATURA1[ID_CARRERA]=ASIGNACION!$A421,"No existe información")))</f>
        <v>No existe información</v>
      </c>
      <c r="S421" t="str" cm="1">
        <f t="array" ref="S421">TRANSPOSE(_xlfn.UNIQUE(_xlfn._xlws.FILTER(T_ASIGNATURA1[NOM_ASIG],(T_ASIGNATURA1[ID_NIVEL]=ASIGNACION!$C421)*(T_ASIGNATURA1[ID_CARRERA]=ASIGNACION!$A421),"No existe información")))</f>
        <v>No existe información</v>
      </c>
      <c r="BQ421" s="1" t="str" cm="1">
        <f t="array" ref="BQ421">IFERROR(
    TRANSPOSE(
        _xlfn.UNIQUE(
            _xlfn._xlws.FILTER(
                Tabla1_1[MAESTRIA],
                ISNUMBER(MATCH(Tabla1_1[CAMPO_DETALLADO],BD422:BP422,0))
            )
        )
    ),
"")</f>
        <v/>
      </c>
      <c r="EA421" t="str" cm="1">
        <f t="array" ref="EA421">IFERROR(
    TRANSPOSE(
        _xlfn.UNIQUE(
            _xlfn._xlws.FILTER(
                Tabla1__2[NOMBRE_DOCENTE],
                ISNUMBER(MATCH(Tabla1__2[MAESTRIA],BQ421:DY421,0))
            )
        )
    ),
"")</f>
        <v/>
      </c>
    </row>
    <row r="422" spans="1:131" ht="20.25" customHeight="1">
      <c r="A422" t="str" cm="1">
        <f t="array" ref="A422">TRANSPOSE(_xlfn.UNIQUE(_xlfn._xlws.FILTER(T_ASIGNATURA1[ID_NIVEL],T_ASIGNATURA1[ID_CARRERA]=ASIGNACION!$A422,"No existe información")))</f>
        <v>No existe información</v>
      </c>
      <c r="S422" t="str" cm="1">
        <f t="array" ref="S422">TRANSPOSE(_xlfn.UNIQUE(_xlfn._xlws.FILTER(T_ASIGNATURA1[NOM_ASIG],(T_ASIGNATURA1[ID_NIVEL]=ASIGNACION!$C422)*(T_ASIGNATURA1[ID_CARRERA]=ASIGNACION!$A422),"No existe información")))</f>
        <v>No existe información</v>
      </c>
      <c r="BQ422" s="1" t="str" cm="1">
        <f t="array" ref="BQ422">IFERROR(
    TRANSPOSE(
        _xlfn.UNIQUE(
            _xlfn._xlws.FILTER(
                Tabla1_1[MAESTRIA],
                ISNUMBER(MATCH(Tabla1_1[CAMPO_DETALLADO],BD423:BP423,0))
            )
        )
    ),
"")</f>
        <v/>
      </c>
      <c r="EA422" t="str" cm="1">
        <f t="array" ref="EA422">IFERROR(
    TRANSPOSE(
        _xlfn.UNIQUE(
            _xlfn._xlws.FILTER(
                Tabla1__2[NOMBRE_DOCENTE],
                ISNUMBER(MATCH(Tabla1__2[MAESTRIA],BQ422:DY422,0))
            )
        )
    ),
"")</f>
        <v/>
      </c>
    </row>
    <row r="423" spans="1:131" ht="20.25" customHeight="1">
      <c r="A423" t="str" cm="1">
        <f t="array" ref="A423">TRANSPOSE(_xlfn.UNIQUE(_xlfn._xlws.FILTER(T_ASIGNATURA1[ID_NIVEL],T_ASIGNATURA1[ID_CARRERA]=ASIGNACION!$A423,"No existe información")))</f>
        <v>No existe información</v>
      </c>
      <c r="S423" t="str" cm="1">
        <f t="array" ref="S423">TRANSPOSE(_xlfn.UNIQUE(_xlfn._xlws.FILTER(T_ASIGNATURA1[NOM_ASIG],(T_ASIGNATURA1[ID_NIVEL]=ASIGNACION!$C423)*(T_ASIGNATURA1[ID_CARRERA]=ASIGNACION!$A423),"No existe información")))</f>
        <v>No existe información</v>
      </c>
      <c r="BQ423" s="1" t="str" cm="1">
        <f t="array" ref="BQ423">IFERROR(
    TRANSPOSE(
        _xlfn.UNIQUE(
            _xlfn._xlws.FILTER(
                Tabla1_1[MAESTRIA],
                ISNUMBER(MATCH(Tabla1_1[CAMPO_DETALLADO],BD424:BP424,0))
            )
        )
    ),
"")</f>
        <v/>
      </c>
      <c r="EA423" t="str" cm="1">
        <f t="array" ref="EA423">IFERROR(
    TRANSPOSE(
        _xlfn.UNIQUE(
            _xlfn._xlws.FILTER(
                Tabla1__2[NOMBRE_DOCENTE],
                ISNUMBER(MATCH(Tabla1__2[MAESTRIA],BQ423:DY423,0))
            )
        )
    ),
"")</f>
        <v/>
      </c>
    </row>
    <row r="424" spans="1:131" ht="20.25" customHeight="1">
      <c r="A424" t="str" cm="1">
        <f t="array" ref="A424">TRANSPOSE(_xlfn.UNIQUE(_xlfn._xlws.FILTER(T_ASIGNATURA1[ID_NIVEL],T_ASIGNATURA1[ID_CARRERA]=ASIGNACION!$A424,"No existe información")))</f>
        <v>No existe información</v>
      </c>
      <c r="S424" t="str" cm="1">
        <f t="array" ref="S424">TRANSPOSE(_xlfn.UNIQUE(_xlfn._xlws.FILTER(T_ASIGNATURA1[NOM_ASIG],(T_ASIGNATURA1[ID_NIVEL]=ASIGNACION!$C424)*(T_ASIGNATURA1[ID_CARRERA]=ASIGNACION!$A424),"No existe información")))</f>
        <v>No existe información</v>
      </c>
      <c r="BQ424" s="1" t="str" cm="1">
        <f t="array" ref="BQ424">IFERROR(
    TRANSPOSE(
        _xlfn.UNIQUE(
            _xlfn._xlws.FILTER(
                Tabla1_1[MAESTRIA],
                ISNUMBER(MATCH(Tabla1_1[CAMPO_DETALLADO],BD425:BP425,0))
            )
        )
    ),
"")</f>
        <v/>
      </c>
      <c r="EA424" t="str" cm="1">
        <f t="array" ref="EA424">IFERROR(
    TRANSPOSE(
        _xlfn.UNIQUE(
            _xlfn._xlws.FILTER(
                Tabla1__2[NOMBRE_DOCENTE],
                ISNUMBER(MATCH(Tabla1__2[MAESTRIA],BQ424:DY424,0))
            )
        )
    ),
"")</f>
        <v/>
      </c>
    </row>
    <row r="425" spans="1:131" ht="20.25" customHeight="1">
      <c r="A425" t="str" cm="1">
        <f t="array" ref="A425">TRANSPOSE(_xlfn.UNIQUE(_xlfn._xlws.FILTER(T_ASIGNATURA1[ID_NIVEL],T_ASIGNATURA1[ID_CARRERA]=ASIGNACION!$A425,"No existe información")))</f>
        <v>No existe información</v>
      </c>
      <c r="S425" t="str" cm="1">
        <f t="array" ref="S425">TRANSPOSE(_xlfn.UNIQUE(_xlfn._xlws.FILTER(T_ASIGNATURA1[NOM_ASIG],(T_ASIGNATURA1[ID_NIVEL]=ASIGNACION!$C425)*(T_ASIGNATURA1[ID_CARRERA]=ASIGNACION!$A425),"No existe información")))</f>
        <v>No existe información</v>
      </c>
      <c r="BQ425" s="1" t="str" cm="1">
        <f t="array" ref="BQ425">IFERROR(
    TRANSPOSE(
        _xlfn.UNIQUE(
            _xlfn._xlws.FILTER(
                Tabla1_1[MAESTRIA],
                ISNUMBER(MATCH(Tabla1_1[CAMPO_DETALLADO],BD426:BP426,0))
            )
        )
    ),
"")</f>
        <v/>
      </c>
      <c r="EA425" t="str" cm="1">
        <f t="array" ref="EA425">IFERROR(
    TRANSPOSE(
        _xlfn.UNIQUE(
            _xlfn._xlws.FILTER(
                Tabla1__2[NOMBRE_DOCENTE],
                ISNUMBER(MATCH(Tabla1__2[MAESTRIA],BQ425:DY425,0))
            )
        )
    ),
"")</f>
        <v/>
      </c>
    </row>
    <row r="426" spans="1:131" ht="20.25" customHeight="1">
      <c r="A426" t="str" cm="1">
        <f t="array" ref="A426">TRANSPOSE(_xlfn.UNIQUE(_xlfn._xlws.FILTER(T_ASIGNATURA1[ID_NIVEL],T_ASIGNATURA1[ID_CARRERA]=ASIGNACION!$A426,"No existe información")))</f>
        <v>No existe información</v>
      </c>
      <c r="S426" t="str" cm="1">
        <f t="array" ref="S426">TRANSPOSE(_xlfn.UNIQUE(_xlfn._xlws.FILTER(T_ASIGNATURA1[NOM_ASIG],(T_ASIGNATURA1[ID_NIVEL]=ASIGNACION!$C426)*(T_ASIGNATURA1[ID_CARRERA]=ASIGNACION!$A426),"No existe información")))</f>
        <v>No existe información</v>
      </c>
      <c r="BQ426" s="1" t="str" cm="1">
        <f t="array" ref="BQ426">IFERROR(
    TRANSPOSE(
        _xlfn.UNIQUE(
            _xlfn._xlws.FILTER(
                Tabla1_1[MAESTRIA],
                ISNUMBER(MATCH(Tabla1_1[CAMPO_DETALLADO],BD427:BP427,0))
            )
        )
    ),
"")</f>
        <v/>
      </c>
      <c r="EA426" t="str" cm="1">
        <f t="array" ref="EA426">IFERROR(
    TRANSPOSE(
        _xlfn.UNIQUE(
            _xlfn._xlws.FILTER(
                Tabla1__2[NOMBRE_DOCENTE],
                ISNUMBER(MATCH(Tabla1__2[MAESTRIA],BQ426:DY426,0))
            )
        )
    ),
"")</f>
        <v/>
      </c>
    </row>
    <row r="427" spans="1:131" ht="20.25" customHeight="1">
      <c r="A427" t="str" cm="1">
        <f t="array" ref="A427">TRANSPOSE(_xlfn.UNIQUE(_xlfn._xlws.FILTER(T_ASIGNATURA1[ID_NIVEL],T_ASIGNATURA1[ID_CARRERA]=ASIGNACION!$A427,"No existe información")))</f>
        <v>No existe información</v>
      </c>
      <c r="S427" t="str" cm="1">
        <f t="array" ref="S427">TRANSPOSE(_xlfn.UNIQUE(_xlfn._xlws.FILTER(T_ASIGNATURA1[NOM_ASIG],(T_ASIGNATURA1[ID_NIVEL]=ASIGNACION!$C427)*(T_ASIGNATURA1[ID_CARRERA]=ASIGNACION!$A427),"No existe información")))</f>
        <v>No existe información</v>
      </c>
      <c r="BQ427" s="1" t="str" cm="1">
        <f t="array" ref="BQ427">IFERROR(
    TRANSPOSE(
        _xlfn.UNIQUE(
            _xlfn._xlws.FILTER(
                Tabla1_1[MAESTRIA],
                ISNUMBER(MATCH(Tabla1_1[CAMPO_DETALLADO],BD428:BP428,0))
            )
        )
    ),
"")</f>
        <v/>
      </c>
      <c r="EA427" t="str" cm="1">
        <f t="array" ref="EA427">IFERROR(
    TRANSPOSE(
        _xlfn.UNIQUE(
            _xlfn._xlws.FILTER(
                Tabla1__2[NOMBRE_DOCENTE],
                ISNUMBER(MATCH(Tabla1__2[MAESTRIA],BQ427:DY427,0))
            )
        )
    ),
"")</f>
        <v/>
      </c>
    </row>
    <row r="428" spans="1:131" ht="20.25" customHeight="1">
      <c r="A428" t="str" cm="1">
        <f t="array" ref="A428">TRANSPOSE(_xlfn.UNIQUE(_xlfn._xlws.FILTER(T_ASIGNATURA1[ID_NIVEL],T_ASIGNATURA1[ID_CARRERA]=ASIGNACION!$A428,"No existe información")))</f>
        <v>No existe información</v>
      </c>
      <c r="S428" t="str" cm="1">
        <f t="array" ref="S428">TRANSPOSE(_xlfn.UNIQUE(_xlfn._xlws.FILTER(T_ASIGNATURA1[NOM_ASIG],(T_ASIGNATURA1[ID_NIVEL]=ASIGNACION!$C428)*(T_ASIGNATURA1[ID_CARRERA]=ASIGNACION!$A428),"No existe información")))</f>
        <v>No existe información</v>
      </c>
      <c r="BQ428" s="1" t="str" cm="1">
        <f t="array" ref="BQ428">IFERROR(
    TRANSPOSE(
        _xlfn.UNIQUE(
            _xlfn._xlws.FILTER(
                Tabla1_1[MAESTRIA],
                ISNUMBER(MATCH(Tabla1_1[CAMPO_DETALLADO],BD429:BP429,0))
            )
        )
    ),
"")</f>
        <v/>
      </c>
      <c r="EA428" t="str" cm="1">
        <f t="array" ref="EA428">IFERROR(
    TRANSPOSE(
        _xlfn.UNIQUE(
            _xlfn._xlws.FILTER(
                Tabla1__2[NOMBRE_DOCENTE],
                ISNUMBER(MATCH(Tabla1__2[MAESTRIA],BQ428:DY428,0))
            )
        )
    ),
"")</f>
        <v/>
      </c>
    </row>
    <row r="429" spans="1:131" ht="20.25" customHeight="1">
      <c r="A429" t="str" cm="1">
        <f t="array" ref="A429">TRANSPOSE(_xlfn.UNIQUE(_xlfn._xlws.FILTER(T_ASIGNATURA1[ID_NIVEL],T_ASIGNATURA1[ID_CARRERA]=ASIGNACION!$A429,"No existe información")))</f>
        <v>No existe información</v>
      </c>
      <c r="S429" t="str" cm="1">
        <f t="array" ref="S429">TRANSPOSE(_xlfn.UNIQUE(_xlfn._xlws.FILTER(T_ASIGNATURA1[NOM_ASIG],(T_ASIGNATURA1[ID_NIVEL]=ASIGNACION!$C429)*(T_ASIGNATURA1[ID_CARRERA]=ASIGNACION!$A429),"No existe información")))</f>
        <v>No existe información</v>
      </c>
      <c r="BQ429" s="1" t="str" cm="1">
        <f t="array" ref="BQ429">IFERROR(
    TRANSPOSE(
        _xlfn.UNIQUE(
            _xlfn._xlws.FILTER(
                Tabla1_1[MAESTRIA],
                ISNUMBER(MATCH(Tabla1_1[CAMPO_DETALLADO],BD430:BP430,0))
            )
        )
    ),
"")</f>
        <v/>
      </c>
      <c r="EA429" t="str" cm="1">
        <f t="array" ref="EA429">IFERROR(
    TRANSPOSE(
        _xlfn.UNIQUE(
            _xlfn._xlws.FILTER(
                Tabla1__2[NOMBRE_DOCENTE],
                ISNUMBER(MATCH(Tabla1__2[MAESTRIA],BQ429:DY429,0))
            )
        )
    ),
"")</f>
        <v/>
      </c>
    </row>
    <row r="430" spans="1:131" ht="20.25" customHeight="1">
      <c r="A430" t="str" cm="1">
        <f t="array" ref="A430">TRANSPOSE(_xlfn.UNIQUE(_xlfn._xlws.FILTER(T_ASIGNATURA1[ID_NIVEL],T_ASIGNATURA1[ID_CARRERA]=ASIGNACION!$A430,"No existe información")))</f>
        <v>No existe información</v>
      </c>
      <c r="S430" t="str" cm="1">
        <f t="array" ref="S430">TRANSPOSE(_xlfn.UNIQUE(_xlfn._xlws.FILTER(T_ASIGNATURA1[NOM_ASIG],(T_ASIGNATURA1[ID_NIVEL]=ASIGNACION!$C430)*(T_ASIGNATURA1[ID_CARRERA]=ASIGNACION!$A430),"No existe información")))</f>
        <v>No existe información</v>
      </c>
      <c r="BQ430" s="1" t="str" cm="1">
        <f t="array" ref="BQ430">IFERROR(
    TRANSPOSE(
        _xlfn.UNIQUE(
            _xlfn._xlws.FILTER(
                Tabla1_1[MAESTRIA],
                ISNUMBER(MATCH(Tabla1_1[CAMPO_DETALLADO],BD431:BP431,0))
            )
        )
    ),
"")</f>
        <v/>
      </c>
      <c r="EA430" t="str" cm="1">
        <f t="array" ref="EA430">IFERROR(
    TRANSPOSE(
        _xlfn.UNIQUE(
            _xlfn._xlws.FILTER(
                Tabla1__2[NOMBRE_DOCENTE],
                ISNUMBER(MATCH(Tabla1__2[MAESTRIA],BQ430:DY430,0))
            )
        )
    ),
"")</f>
        <v/>
      </c>
    </row>
    <row r="431" spans="1:131" ht="20.25" customHeight="1">
      <c r="A431" t="str" cm="1">
        <f t="array" ref="A431">TRANSPOSE(_xlfn.UNIQUE(_xlfn._xlws.FILTER(T_ASIGNATURA1[ID_NIVEL],T_ASIGNATURA1[ID_CARRERA]=ASIGNACION!$A431,"No existe información")))</f>
        <v>No existe información</v>
      </c>
      <c r="S431" t="str" cm="1">
        <f t="array" ref="S431">TRANSPOSE(_xlfn.UNIQUE(_xlfn._xlws.FILTER(T_ASIGNATURA1[NOM_ASIG],(T_ASIGNATURA1[ID_NIVEL]=ASIGNACION!$C431)*(T_ASIGNATURA1[ID_CARRERA]=ASIGNACION!$A431),"No existe información")))</f>
        <v>No existe información</v>
      </c>
      <c r="BQ431" s="1" t="str" cm="1">
        <f t="array" ref="BQ431">IFERROR(
    TRANSPOSE(
        _xlfn.UNIQUE(
            _xlfn._xlws.FILTER(
                Tabla1_1[MAESTRIA],
                ISNUMBER(MATCH(Tabla1_1[CAMPO_DETALLADO],BD432:BP432,0))
            )
        )
    ),
"")</f>
        <v/>
      </c>
      <c r="EA431" t="str" cm="1">
        <f t="array" ref="EA431">IFERROR(
    TRANSPOSE(
        _xlfn.UNIQUE(
            _xlfn._xlws.FILTER(
                Tabla1__2[NOMBRE_DOCENTE],
                ISNUMBER(MATCH(Tabla1__2[MAESTRIA],BQ431:DY431,0))
            )
        )
    ),
"")</f>
        <v/>
      </c>
    </row>
    <row r="432" spans="1:131" ht="20.25" customHeight="1">
      <c r="A432" t="str" cm="1">
        <f t="array" ref="A432">TRANSPOSE(_xlfn.UNIQUE(_xlfn._xlws.FILTER(T_ASIGNATURA1[ID_NIVEL],T_ASIGNATURA1[ID_CARRERA]=ASIGNACION!$A432,"No existe información")))</f>
        <v>No existe información</v>
      </c>
      <c r="S432" t="str" cm="1">
        <f t="array" ref="S432">TRANSPOSE(_xlfn.UNIQUE(_xlfn._xlws.FILTER(T_ASIGNATURA1[NOM_ASIG],(T_ASIGNATURA1[ID_NIVEL]=ASIGNACION!$C432)*(T_ASIGNATURA1[ID_CARRERA]=ASIGNACION!$A432),"No existe información")))</f>
        <v>No existe información</v>
      </c>
      <c r="BQ432" s="1" t="str" cm="1">
        <f t="array" ref="BQ432">IFERROR(
    TRANSPOSE(
        _xlfn.UNIQUE(
            _xlfn._xlws.FILTER(
                Tabla1_1[MAESTRIA],
                ISNUMBER(MATCH(Tabla1_1[CAMPO_DETALLADO],BD433:BP433,0))
            )
        )
    ),
"")</f>
        <v/>
      </c>
      <c r="EA432" t="str" cm="1">
        <f t="array" ref="EA432">IFERROR(
    TRANSPOSE(
        _xlfn.UNIQUE(
            _xlfn._xlws.FILTER(
                Tabla1__2[NOMBRE_DOCENTE],
                ISNUMBER(MATCH(Tabla1__2[MAESTRIA],BQ432:DY432,0))
            )
        )
    ),
"")</f>
        <v/>
      </c>
    </row>
    <row r="433" spans="1:131" ht="20.25" customHeight="1">
      <c r="A433" t="str" cm="1">
        <f t="array" ref="A433">TRANSPOSE(_xlfn.UNIQUE(_xlfn._xlws.FILTER(T_ASIGNATURA1[ID_NIVEL],T_ASIGNATURA1[ID_CARRERA]=ASIGNACION!$A433,"No existe información")))</f>
        <v>No existe información</v>
      </c>
      <c r="S433" t="str" cm="1">
        <f t="array" ref="S433">TRANSPOSE(_xlfn.UNIQUE(_xlfn._xlws.FILTER(T_ASIGNATURA1[NOM_ASIG],(T_ASIGNATURA1[ID_NIVEL]=ASIGNACION!$C433)*(T_ASIGNATURA1[ID_CARRERA]=ASIGNACION!$A433),"No existe información")))</f>
        <v>No existe información</v>
      </c>
      <c r="BQ433" s="1" t="str" cm="1">
        <f t="array" ref="BQ433">IFERROR(
    TRANSPOSE(
        _xlfn.UNIQUE(
            _xlfn._xlws.FILTER(
                Tabla1_1[MAESTRIA],
                ISNUMBER(MATCH(Tabla1_1[CAMPO_DETALLADO],BD434:BP434,0))
            )
        )
    ),
"")</f>
        <v/>
      </c>
      <c r="EA433" t="str" cm="1">
        <f t="array" ref="EA433">IFERROR(
    TRANSPOSE(
        _xlfn.UNIQUE(
            _xlfn._xlws.FILTER(
                Tabla1__2[NOMBRE_DOCENTE],
                ISNUMBER(MATCH(Tabla1__2[MAESTRIA],BQ433:DY433,0))
            )
        )
    ),
"")</f>
        <v/>
      </c>
    </row>
    <row r="434" spans="1:131" ht="20.25" customHeight="1">
      <c r="A434" t="str" cm="1">
        <f t="array" ref="A434">TRANSPOSE(_xlfn.UNIQUE(_xlfn._xlws.FILTER(T_ASIGNATURA1[ID_NIVEL],T_ASIGNATURA1[ID_CARRERA]=ASIGNACION!$A434,"No existe información")))</f>
        <v>No existe información</v>
      </c>
      <c r="S434" t="str" cm="1">
        <f t="array" ref="S434">TRANSPOSE(_xlfn.UNIQUE(_xlfn._xlws.FILTER(T_ASIGNATURA1[NOM_ASIG],(T_ASIGNATURA1[ID_NIVEL]=ASIGNACION!$C434)*(T_ASIGNATURA1[ID_CARRERA]=ASIGNACION!$A434),"No existe información")))</f>
        <v>No existe información</v>
      </c>
      <c r="BQ434" s="1" t="str" cm="1">
        <f t="array" ref="BQ434">IFERROR(
    TRANSPOSE(
        _xlfn.UNIQUE(
            _xlfn._xlws.FILTER(
                Tabla1_1[MAESTRIA],
                ISNUMBER(MATCH(Tabla1_1[CAMPO_DETALLADO],BD435:BP435,0))
            )
        )
    ),
"")</f>
        <v/>
      </c>
      <c r="EA434" t="str" cm="1">
        <f t="array" ref="EA434">IFERROR(
    TRANSPOSE(
        _xlfn.UNIQUE(
            _xlfn._xlws.FILTER(
                Tabla1__2[NOMBRE_DOCENTE],
                ISNUMBER(MATCH(Tabla1__2[MAESTRIA],BQ434:DY434,0))
            )
        )
    ),
"")</f>
        <v/>
      </c>
    </row>
    <row r="435" spans="1:131" ht="20.25" customHeight="1">
      <c r="A435" t="str" cm="1">
        <f t="array" ref="A435">TRANSPOSE(_xlfn.UNIQUE(_xlfn._xlws.FILTER(T_ASIGNATURA1[ID_NIVEL],T_ASIGNATURA1[ID_CARRERA]=ASIGNACION!$A435,"No existe información")))</f>
        <v>No existe información</v>
      </c>
      <c r="S435" t="str" cm="1">
        <f t="array" ref="S435">TRANSPOSE(_xlfn.UNIQUE(_xlfn._xlws.FILTER(T_ASIGNATURA1[NOM_ASIG],(T_ASIGNATURA1[ID_NIVEL]=ASIGNACION!$C435)*(T_ASIGNATURA1[ID_CARRERA]=ASIGNACION!$A435),"No existe información")))</f>
        <v>No existe información</v>
      </c>
      <c r="BQ435" s="1" t="str" cm="1">
        <f t="array" ref="BQ435">IFERROR(
    TRANSPOSE(
        _xlfn.UNIQUE(
            _xlfn._xlws.FILTER(
                Tabla1_1[MAESTRIA],
                ISNUMBER(MATCH(Tabla1_1[CAMPO_DETALLADO],BD436:BP436,0))
            )
        )
    ),
"")</f>
        <v/>
      </c>
      <c r="EA435" t="str" cm="1">
        <f t="array" ref="EA435">IFERROR(
    TRANSPOSE(
        _xlfn.UNIQUE(
            _xlfn._xlws.FILTER(
                Tabla1__2[NOMBRE_DOCENTE],
                ISNUMBER(MATCH(Tabla1__2[MAESTRIA],BQ435:DY435,0))
            )
        )
    ),
"")</f>
        <v/>
      </c>
    </row>
    <row r="436" spans="1:131" ht="20.25" customHeight="1">
      <c r="A436" t="str" cm="1">
        <f t="array" ref="A436">TRANSPOSE(_xlfn.UNIQUE(_xlfn._xlws.FILTER(T_ASIGNATURA1[ID_NIVEL],T_ASIGNATURA1[ID_CARRERA]=ASIGNACION!$A436,"No existe información")))</f>
        <v>No existe información</v>
      </c>
      <c r="S436" t="str" cm="1">
        <f t="array" ref="S436">TRANSPOSE(_xlfn.UNIQUE(_xlfn._xlws.FILTER(T_ASIGNATURA1[NOM_ASIG],(T_ASIGNATURA1[ID_NIVEL]=ASIGNACION!$C436)*(T_ASIGNATURA1[ID_CARRERA]=ASIGNACION!$A436),"No existe información")))</f>
        <v>No existe información</v>
      </c>
      <c r="BQ436" s="1" t="str" cm="1">
        <f t="array" ref="BQ436">IFERROR(
    TRANSPOSE(
        _xlfn.UNIQUE(
            _xlfn._xlws.FILTER(
                Tabla1_1[MAESTRIA],
                ISNUMBER(MATCH(Tabla1_1[CAMPO_DETALLADO],BD437:BP437,0))
            )
        )
    ),
"")</f>
        <v/>
      </c>
      <c r="EA436" t="str" cm="1">
        <f t="array" ref="EA436">IFERROR(
    TRANSPOSE(
        _xlfn.UNIQUE(
            _xlfn._xlws.FILTER(
                Tabla1__2[NOMBRE_DOCENTE],
                ISNUMBER(MATCH(Tabla1__2[MAESTRIA],BQ436:DY436,0))
            )
        )
    ),
"")</f>
        <v/>
      </c>
    </row>
    <row r="437" spans="1:131" ht="20.25" customHeight="1">
      <c r="A437" t="str" cm="1">
        <f t="array" ref="A437">TRANSPOSE(_xlfn.UNIQUE(_xlfn._xlws.FILTER(T_ASIGNATURA1[ID_NIVEL],T_ASIGNATURA1[ID_CARRERA]=ASIGNACION!$A437,"No existe información")))</f>
        <v>No existe información</v>
      </c>
      <c r="S437" t="str" cm="1">
        <f t="array" ref="S437">TRANSPOSE(_xlfn.UNIQUE(_xlfn._xlws.FILTER(T_ASIGNATURA1[NOM_ASIG],(T_ASIGNATURA1[ID_NIVEL]=ASIGNACION!$C437)*(T_ASIGNATURA1[ID_CARRERA]=ASIGNACION!$A437),"No existe información")))</f>
        <v>No existe información</v>
      </c>
      <c r="BQ437" s="1" t="str" cm="1">
        <f t="array" ref="BQ437">IFERROR(
    TRANSPOSE(
        _xlfn.UNIQUE(
            _xlfn._xlws.FILTER(
                Tabla1_1[MAESTRIA],
                ISNUMBER(MATCH(Tabla1_1[CAMPO_DETALLADO],BD438:BP438,0))
            )
        )
    ),
"")</f>
        <v/>
      </c>
      <c r="EA437" t="str" cm="1">
        <f t="array" ref="EA437">IFERROR(
    TRANSPOSE(
        _xlfn.UNIQUE(
            _xlfn._xlws.FILTER(
                Tabla1__2[NOMBRE_DOCENTE],
                ISNUMBER(MATCH(Tabla1__2[MAESTRIA],BQ437:DY437,0))
            )
        )
    ),
"")</f>
        <v/>
      </c>
    </row>
    <row r="438" spans="1:131" ht="20.25" customHeight="1">
      <c r="A438" t="str" cm="1">
        <f t="array" ref="A438">TRANSPOSE(_xlfn.UNIQUE(_xlfn._xlws.FILTER(T_ASIGNATURA1[ID_NIVEL],T_ASIGNATURA1[ID_CARRERA]=ASIGNACION!$A438,"No existe información")))</f>
        <v>No existe información</v>
      </c>
      <c r="S438" t="str" cm="1">
        <f t="array" ref="S438">TRANSPOSE(_xlfn.UNIQUE(_xlfn._xlws.FILTER(T_ASIGNATURA1[NOM_ASIG],(T_ASIGNATURA1[ID_NIVEL]=ASIGNACION!$C438)*(T_ASIGNATURA1[ID_CARRERA]=ASIGNACION!$A438),"No existe información")))</f>
        <v>No existe información</v>
      </c>
      <c r="BQ438" s="1" t="str" cm="1">
        <f t="array" ref="BQ438">IFERROR(
    TRANSPOSE(
        _xlfn.UNIQUE(
            _xlfn._xlws.FILTER(
                Tabla1_1[MAESTRIA],
                ISNUMBER(MATCH(Tabla1_1[CAMPO_DETALLADO],BD439:BP439,0))
            )
        )
    ),
"")</f>
        <v/>
      </c>
      <c r="EA438" t="str" cm="1">
        <f t="array" ref="EA438">IFERROR(
    TRANSPOSE(
        _xlfn.UNIQUE(
            _xlfn._xlws.FILTER(
                Tabla1__2[NOMBRE_DOCENTE],
                ISNUMBER(MATCH(Tabla1__2[MAESTRIA],BQ438:DY438,0))
            )
        )
    ),
"")</f>
        <v/>
      </c>
    </row>
    <row r="439" spans="1:131" ht="20.25" customHeight="1">
      <c r="A439" t="str" cm="1">
        <f t="array" ref="A439">TRANSPOSE(_xlfn.UNIQUE(_xlfn._xlws.FILTER(T_ASIGNATURA1[ID_NIVEL],T_ASIGNATURA1[ID_CARRERA]=ASIGNACION!$A439,"No existe información")))</f>
        <v>No existe información</v>
      </c>
      <c r="S439" t="str" cm="1">
        <f t="array" ref="S439">TRANSPOSE(_xlfn.UNIQUE(_xlfn._xlws.FILTER(T_ASIGNATURA1[NOM_ASIG],(T_ASIGNATURA1[ID_NIVEL]=ASIGNACION!$C439)*(T_ASIGNATURA1[ID_CARRERA]=ASIGNACION!$A439),"No existe información")))</f>
        <v>No existe información</v>
      </c>
      <c r="BQ439" s="1" t="str" cm="1">
        <f t="array" ref="BQ439">IFERROR(
    TRANSPOSE(
        _xlfn.UNIQUE(
            _xlfn._xlws.FILTER(
                Tabla1_1[MAESTRIA],
                ISNUMBER(MATCH(Tabla1_1[CAMPO_DETALLADO],BD440:BP440,0))
            )
        )
    ),
"")</f>
        <v/>
      </c>
      <c r="EA439" t="str" cm="1">
        <f t="array" ref="EA439">IFERROR(
    TRANSPOSE(
        _xlfn.UNIQUE(
            _xlfn._xlws.FILTER(
                Tabla1__2[NOMBRE_DOCENTE],
                ISNUMBER(MATCH(Tabla1__2[MAESTRIA],BQ439:DY439,0))
            )
        )
    ),
"")</f>
        <v/>
      </c>
    </row>
    <row r="440" spans="1:131" ht="20.25" customHeight="1">
      <c r="A440" t="str" cm="1">
        <f t="array" ref="A440">TRANSPOSE(_xlfn.UNIQUE(_xlfn._xlws.FILTER(T_ASIGNATURA1[ID_NIVEL],T_ASIGNATURA1[ID_CARRERA]=ASIGNACION!$A440,"No existe información")))</f>
        <v>No existe información</v>
      </c>
      <c r="S440" t="str" cm="1">
        <f t="array" ref="S440">TRANSPOSE(_xlfn.UNIQUE(_xlfn._xlws.FILTER(T_ASIGNATURA1[NOM_ASIG],(T_ASIGNATURA1[ID_NIVEL]=ASIGNACION!$C440)*(T_ASIGNATURA1[ID_CARRERA]=ASIGNACION!$A440),"No existe información")))</f>
        <v>No existe información</v>
      </c>
      <c r="BQ440" s="1" t="str" cm="1">
        <f t="array" ref="BQ440">IFERROR(
    TRANSPOSE(
        _xlfn.UNIQUE(
            _xlfn._xlws.FILTER(
                Tabla1_1[MAESTRIA],
                ISNUMBER(MATCH(Tabla1_1[CAMPO_DETALLADO],BD441:BP441,0))
            )
        )
    ),
"")</f>
        <v/>
      </c>
      <c r="EA440" t="str" cm="1">
        <f t="array" ref="EA440">IFERROR(
    TRANSPOSE(
        _xlfn.UNIQUE(
            _xlfn._xlws.FILTER(
                Tabla1__2[NOMBRE_DOCENTE],
                ISNUMBER(MATCH(Tabla1__2[MAESTRIA],BQ440:DY440,0))
            )
        )
    ),
"")</f>
        <v/>
      </c>
    </row>
    <row r="441" spans="1:131" ht="20.25" customHeight="1">
      <c r="A441" t="str" cm="1">
        <f t="array" ref="A441">TRANSPOSE(_xlfn.UNIQUE(_xlfn._xlws.FILTER(T_ASIGNATURA1[ID_NIVEL],T_ASIGNATURA1[ID_CARRERA]=ASIGNACION!$A441,"No existe información")))</f>
        <v>No existe información</v>
      </c>
      <c r="S441" t="str" cm="1">
        <f t="array" ref="S441">TRANSPOSE(_xlfn.UNIQUE(_xlfn._xlws.FILTER(T_ASIGNATURA1[NOM_ASIG],(T_ASIGNATURA1[ID_NIVEL]=ASIGNACION!$C441)*(T_ASIGNATURA1[ID_CARRERA]=ASIGNACION!$A441),"No existe información")))</f>
        <v>No existe información</v>
      </c>
      <c r="BQ441" s="1" t="str" cm="1">
        <f t="array" ref="BQ441">IFERROR(
    TRANSPOSE(
        _xlfn.UNIQUE(
            _xlfn._xlws.FILTER(
                Tabla1_1[MAESTRIA],
                ISNUMBER(MATCH(Tabla1_1[CAMPO_DETALLADO],BD442:BP442,0))
            )
        )
    ),
"")</f>
        <v/>
      </c>
      <c r="EA441" t="str" cm="1">
        <f t="array" ref="EA441">IFERROR(
    TRANSPOSE(
        _xlfn.UNIQUE(
            _xlfn._xlws.FILTER(
                Tabla1__2[NOMBRE_DOCENTE],
                ISNUMBER(MATCH(Tabla1__2[MAESTRIA],BQ441:DY441,0))
            )
        )
    ),
"")</f>
        <v/>
      </c>
    </row>
    <row r="442" spans="1:131" ht="20.25" customHeight="1">
      <c r="A442" t="str" cm="1">
        <f t="array" ref="A442">TRANSPOSE(_xlfn.UNIQUE(_xlfn._xlws.FILTER(T_ASIGNATURA1[ID_NIVEL],T_ASIGNATURA1[ID_CARRERA]=ASIGNACION!$A442,"No existe información")))</f>
        <v>No existe información</v>
      </c>
      <c r="S442" t="str" cm="1">
        <f t="array" ref="S442">TRANSPOSE(_xlfn.UNIQUE(_xlfn._xlws.FILTER(T_ASIGNATURA1[NOM_ASIG],(T_ASIGNATURA1[ID_NIVEL]=ASIGNACION!$C442)*(T_ASIGNATURA1[ID_CARRERA]=ASIGNACION!$A442),"No existe información")))</f>
        <v>No existe información</v>
      </c>
      <c r="BQ442" s="1" t="str" cm="1">
        <f t="array" ref="BQ442">IFERROR(
    TRANSPOSE(
        _xlfn.UNIQUE(
            _xlfn._xlws.FILTER(
                Tabla1_1[MAESTRIA],
                ISNUMBER(MATCH(Tabla1_1[CAMPO_DETALLADO],BD443:BP443,0))
            )
        )
    ),
"")</f>
        <v/>
      </c>
      <c r="EA442" t="str" cm="1">
        <f t="array" ref="EA442">IFERROR(
    TRANSPOSE(
        _xlfn.UNIQUE(
            _xlfn._xlws.FILTER(
                Tabla1__2[NOMBRE_DOCENTE],
                ISNUMBER(MATCH(Tabla1__2[MAESTRIA],BQ442:DY442,0))
            )
        )
    ),
"")</f>
        <v/>
      </c>
    </row>
    <row r="443" spans="1:131" ht="20.25" customHeight="1">
      <c r="A443" t="str" cm="1">
        <f t="array" ref="A443">TRANSPOSE(_xlfn.UNIQUE(_xlfn._xlws.FILTER(T_ASIGNATURA1[ID_NIVEL],T_ASIGNATURA1[ID_CARRERA]=ASIGNACION!$A443,"No existe información")))</f>
        <v>No existe información</v>
      </c>
      <c r="S443" t="str" cm="1">
        <f t="array" ref="S443">TRANSPOSE(_xlfn.UNIQUE(_xlfn._xlws.FILTER(T_ASIGNATURA1[NOM_ASIG],(T_ASIGNATURA1[ID_NIVEL]=ASIGNACION!$C443)*(T_ASIGNATURA1[ID_CARRERA]=ASIGNACION!$A443),"No existe información")))</f>
        <v>No existe información</v>
      </c>
      <c r="BQ443" s="1" t="str" cm="1">
        <f t="array" ref="BQ443">IFERROR(
    TRANSPOSE(
        _xlfn.UNIQUE(
            _xlfn._xlws.FILTER(
                Tabla1_1[MAESTRIA],
                ISNUMBER(MATCH(Tabla1_1[CAMPO_DETALLADO],BD444:BP444,0))
            )
        )
    ),
"")</f>
        <v/>
      </c>
      <c r="EA443" t="str" cm="1">
        <f t="array" ref="EA443">IFERROR(
    TRANSPOSE(
        _xlfn.UNIQUE(
            _xlfn._xlws.FILTER(
                Tabla1__2[NOMBRE_DOCENTE],
                ISNUMBER(MATCH(Tabla1__2[MAESTRIA],BQ443:DY443,0))
            )
        )
    ),
"")</f>
        <v/>
      </c>
    </row>
    <row r="444" spans="1:131" ht="20.25" customHeight="1">
      <c r="A444" t="str" cm="1">
        <f t="array" ref="A444">TRANSPOSE(_xlfn.UNIQUE(_xlfn._xlws.FILTER(T_ASIGNATURA1[ID_NIVEL],T_ASIGNATURA1[ID_CARRERA]=ASIGNACION!$A444,"No existe información")))</f>
        <v>No existe información</v>
      </c>
      <c r="S444" t="str" cm="1">
        <f t="array" ref="S444">TRANSPOSE(_xlfn.UNIQUE(_xlfn._xlws.FILTER(T_ASIGNATURA1[NOM_ASIG],(T_ASIGNATURA1[ID_NIVEL]=ASIGNACION!$C444)*(T_ASIGNATURA1[ID_CARRERA]=ASIGNACION!$A444),"No existe información")))</f>
        <v>No existe información</v>
      </c>
      <c r="BQ444" s="1" t="str" cm="1">
        <f t="array" ref="BQ444">IFERROR(
    TRANSPOSE(
        _xlfn.UNIQUE(
            _xlfn._xlws.FILTER(
                Tabla1_1[MAESTRIA],
                ISNUMBER(MATCH(Tabla1_1[CAMPO_DETALLADO],BD445:BP445,0))
            )
        )
    ),
"")</f>
        <v/>
      </c>
      <c r="EA444" t="str" cm="1">
        <f t="array" ref="EA444">IFERROR(
    TRANSPOSE(
        _xlfn.UNIQUE(
            _xlfn._xlws.FILTER(
                Tabla1__2[NOMBRE_DOCENTE],
                ISNUMBER(MATCH(Tabla1__2[MAESTRIA],BQ444:DY444,0))
            )
        )
    ),
"")</f>
        <v/>
      </c>
    </row>
    <row r="445" spans="1:131" ht="20.25" customHeight="1">
      <c r="A445" t="str" cm="1">
        <f t="array" ref="A445">TRANSPOSE(_xlfn.UNIQUE(_xlfn._xlws.FILTER(T_ASIGNATURA1[ID_NIVEL],T_ASIGNATURA1[ID_CARRERA]=ASIGNACION!$A445,"No existe información")))</f>
        <v>No existe información</v>
      </c>
      <c r="S445" t="str" cm="1">
        <f t="array" ref="S445">TRANSPOSE(_xlfn.UNIQUE(_xlfn._xlws.FILTER(T_ASIGNATURA1[NOM_ASIG],(T_ASIGNATURA1[ID_NIVEL]=ASIGNACION!$C445)*(T_ASIGNATURA1[ID_CARRERA]=ASIGNACION!$A445),"No existe información")))</f>
        <v>No existe información</v>
      </c>
      <c r="BQ445" s="1" t="str" cm="1">
        <f t="array" ref="BQ445">IFERROR(
    TRANSPOSE(
        _xlfn.UNIQUE(
            _xlfn._xlws.FILTER(
                Tabla1_1[MAESTRIA],
                ISNUMBER(MATCH(Tabla1_1[CAMPO_DETALLADO],BD446:BP446,0))
            )
        )
    ),
"")</f>
        <v/>
      </c>
      <c r="EA445" t="str" cm="1">
        <f t="array" ref="EA445">IFERROR(
    TRANSPOSE(
        _xlfn.UNIQUE(
            _xlfn._xlws.FILTER(
                Tabla1__2[NOMBRE_DOCENTE],
                ISNUMBER(MATCH(Tabla1__2[MAESTRIA],BQ445:DY445,0))
            )
        )
    ),
"")</f>
        <v/>
      </c>
    </row>
    <row r="446" spans="1:131" ht="20.25" customHeight="1">
      <c r="A446" t="str" cm="1">
        <f t="array" ref="A446">TRANSPOSE(_xlfn.UNIQUE(_xlfn._xlws.FILTER(T_ASIGNATURA1[ID_NIVEL],T_ASIGNATURA1[ID_CARRERA]=ASIGNACION!$A446,"No existe información")))</f>
        <v>No existe información</v>
      </c>
      <c r="S446" t="str" cm="1">
        <f t="array" ref="S446">TRANSPOSE(_xlfn.UNIQUE(_xlfn._xlws.FILTER(T_ASIGNATURA1[NOM_ASIG],(T_ASIGNATURA1[ID_NIVEL]=ASIGNACION!$C446)*(T_ASIGNATURA1[ID_CARRERA]=ASIGNACION!$A446),"No existe información")))</f>
        <v>No existe información</v>
      </c>
      <c r="BQ446" s="1" t="str" cm="1">
        <f t="array" ref="BQ446">IFERROR(
    TRANSPOSE(
        _xlfn.UNIQUE(
            _xlfn._xlws.FILTER(
                Tabla1_1[MAESTRIA],
                ISNUMBER(MATCH(Tabla1_1[CAMPO_DETALLADO],BD447:BP447,0))
            )
        )
    ),
"")</f>
        <v/>
      </c>
      <c r="EA446" t="str" cm="1">
        <f t="array" ref="EA446">IFERROR(
    TRANSPOSE(
        _xlfn.UNIQUE(
            _xlfn._xlws.FILTER(
                Tabla1__2[NOMBRE_DOCENTE],
                ISNUMBER(MATCH(Tabla1__2[MAESTRIA],BQ446:DY446,0))
            )
        )
    ),
"")</f>
        <v/>
      </c>
    </row>
    <row r="447" spans="1:131" ht="20.25" customHeight="1">
      <c r="A447" t="str" cm="1">
        <f t="array" ref="A447">TRANSPOSE(_xlfn.UNIQUE(_xlfn._xlws.FILTER(T_ASIGNATURA1[ID_NIVEL],T_ASIGNATURA1[ID_CARRERA]=ASIGNACION!$A447,"No existe información")))</f>
        <v>No existe información</v>
      </c>
      <c r="S447" t="str" cm="1">
        <f t="array" ref="S447">TRANSPOSE(_xlfn.UNIQUE(_xlfn._xlws.FILTER(T_ASIGNATURA1[NOM_ASIG],(T_ASIGNATURA1[ID_NIVEL]=ASIGNACION!$C447)*(T_ASIGNATURA1[ID_CARRERA]=ASIGNACION!$A447),"No existe información")))</f>
        <v>No existe información</v>
      </c>
      <c r="BQ447" s="1" t="str" cm="1">
        <f t="array" ref="BQ447">IFERROR(
    TRANSPOSE(
        _xlfn.UNIQUE(
            _xlfn._xlws.FILTER(
                Tabla1_1[MAESTRIA],
                ISNUMBER(MATCH(Tabla1_1[CAMPO_DETALLADO],BD448:BP448,0))
            )
        )
    ),
"")</f>
        <v/>
      </c>
      <c r="EA447" t="str" cm="1">
        <f t="array" ref="EA447">IFERROR(
    TRANSPOSE(
        _xlfn.UNIQUE(
            _xlfn._xlws.FILTER(
                Tabla1__2[NOMBRE_DOCENTE],
                ISNUMBER(MATCH(Tabla1__2[MAESTRIA],BQ447:DY447,0))
            )
        )
    ),
"")</f>
        <v/>
      </c>
    </row>
    <row r="448" spans="1:131" ht="20.25" customHeight="1">
      <c r="A448" t="str" cm="1">
        <f t="array" ref="A448">TRANSPOSE(_xlfn.UNIQUE(_xlfn._xlws.FILTER(T_ASIGNATURA1[ID_NIVEL],T_ASIGNATURA1[ID_CARRERA]=ASIGNACION!$A448,"No existe información")))</f>
        <v>No existe información</v>
      </c>
      <c r="S448" t="str" cm="1">
        <f t="array" ref="S448">TRANSPOSE(_xlfn.UNIQUE(_xlfn._xlws.FILTER(T_ASIGNATURA1[NOM_ASIG],(T_ASIGNATURA1[ID_NIVEL]=ASIGNACION!$C448)*(T_ASIGNATURA1[ID_CARRERA]=ASIGNACION!$A448),"No existe información")))</f>
        <v>No existe información</v>
      </c>
      <c r="BQ448" s="1" t="str" cm="1">
        <f t="array" ref="BQ448">IFERROR(
    TRANSPOSE(
        _xlfn.UNIQUE(
            _xlfn._xlws.FILTER(
                Tabla1_1[MAESTRIA],
                ISNUMBER(MATCH(Tabla1_1[CAMPO_DETALLADO],BD449:BP449,0))
            )
        )
    ),
"")</f>
        <v/>
      </c>
      <c r="EA448" t="str" cm="1">
        <f t="array" ref="EA448">IFERROR(
    TRANSPOSE(
        _xlfn.UNIQUE(
            _xlfn._xlws.FILTER(
                Tabla1__2[NOMBRE_DOCENTE],
                ISNUMBER(MATCH(Tabla1__2[MAESTRIA],BQ448:DY448,0))
            )
        )
    ),
"")</f>
        <v/>
      </c>
    </row>
    <row r="449" spans="1:131" ht="20.25" customHeight="1">
      <c r="A449" t="str" cm="1">
        <f t="array" ref="A449">TRANSPOSE(_xlfn.UNIQUE(_xlfn._xlws.FILTER(T_ASIGNATURA1[ID_NIVEL],T_ASIGNATURA1[ID_CARRERA]=ASIGNACION!$A449,"No existe información")))</f>
        <v>No existe información</v>
      </c>
      <c r="S449" t="str" cm="1">
        <f t="array" ref="S449">TRANSPOSE(_xlfn.UNIQUE(_xlfn._xlws.FILTER(T_ASIGNATURA1[NOM_ASIG],(T_ASIGNATURA1[ID_NIVEL]=ASIGNACION!$C449)*(T_ASIGNATURA1[ID_CARRERA]=ASIGNACION!$A449),"No existe información")))</f>
        <v>No existe información</v>
      </c>
      <c r="BQ449" s="1" t="str" cm="1">
        <f t="array" ref="BQ449">IFERROR(
    TRANSPOSE(
        _xlfn.UNIQUE(
            _xlfn._xlws.FILTER(
                Tabla1_1[MAESTRIA],
                ISNUMBER(MATCH(Tabla1_1[CAMPO_DETALLADO],BD450:BP450,0))
            )
        )
    ),
"")</f>
        <v/>
      </c>
      <c r="EA449" t="str" cm="1">
        <f t="array" ref="EA449">IFERROR(
    TRANSPOSE(
        _xlfn.UNIQUE(
            _xlfn._xlws.FILTER(
                Tabla1__2[NOMBRE_DOCENTE],
                ISNUMBER(MATCH(Tabla1__2[MAESTRIA],BQ449:DY449,0))
            )
        )
    ),
"")</f>
        <v/>
      </c>
    </row>
    <row r="450" spans="1:131" ht="20.25" customHeight="1">
      <c r="A450" t="str" cm="1">
        <f t="array" ref="A450">TRANSPOSE(_xlfn.UNIQUE(_xlfn._xlws.FILTER(T_ASIGNATURA1[ID_NIVEL],T_ASIGNATURA1[ID_CARRERA]=ASIGNACION!$A450,"No existe información")))</f>
        <v>No existe información</v>
      </c>
      <c r="S450" t="str" cm="1">
        <f t="array" ref="S450">TRANSPOSE(_xlfn.UNIQUE(_xlfn._xlws.FILTER(T_ASIGNATURA1[NOM_ASIG],(T_ASIGNATURA1[ID_NIVEL]=ASIGNACION!$C450)*(T_ASIGNATURA1[ID_CARRERA]=ASIGNACION!$A450),"No existe información")))</f>
        <v>No existe información</v>
      </c>
      <c r="BQ450" s="1" t="str" cm="1">
        <f t="array" ref="BQ450">IFERROR(
    TRANSPOSE(
        _xlfn.UNIQUE(
            _xlfn._xlws.FILTER(
                Tabla1_1[MAESTRIA],
                ISNUMBER(MATCH(Tabla1_1[CAMPO_DETALLADO],BD451:BP451,0))
            )
        )
    ),
"")</f>
        <v/>
      </c>
      <c r="EA450" t="str" cm="1">
        <f t="array" ref="EA450">IFERROR(
    TRANSPOSE(
        _xlfn.UNIQUE(
            _xlfn._xlws.FILTER(
                Tabla1__2[NOMBRE_DOCENTE],
                ISNUMBER(MATCH(Tabla1__2[MAESTRIA],BQ450:DY450,0))
            )
        )
    ),
"")</f>
        <v/>
      </c>
    </row>
    <row r="451" spans="1:131" ht="20.25" customHeight="1">
      <c r="A451" t="str" cm="1">
        <f t="array" ref="A451">TRANSPOSE(_xlfn.UNIQUE(_xlfn._xlws.FILTER(T_ASIGNATURA1[ID_NIVEL],T_ASIGNATURA1[ID_CARRERA]=ASIGNACION!$A451,"No existe información")))</f>
        <v>No existe información</v>
      </c>
      <c r="S451" t="str" cm="1">
        <f t="array" ref="S451">TRANSPOSE(_xlfn.UNIQUE(_xlfn._xlws.FILTER(T_ASIGNATURA1[NOM_ASIG],(T_ASIGNATURA1[ID_NIVEL]=ASIGNACION!$C451)*(T_ASIGNATURA1[ID_CARRERA]=ASIGNACION!$A451),"No existe información")))</f>
        <v>No existe información</v>
      </c>
      <c r="BQ451" s="1" t="str" cm="1">
        <f t="array" ref="BQ451">IFERROR(
    TRANSPOSE(
        _xlfn.UNIQUE(
            _xlfn._xlws.FILTER(
                Tabla1_1[MAESTRIA],
                ISNUMBER(MATCH(Tabla1_1[CAMPO_DETALLADO],BD452:BP452,0))
            )
        )
    ),
"")</f>
        <v/>
      </c>
      <c r="EA451" t="str" cm="1">
        <f t="array" ref="EA451">IFERROR(
    TRANSPOSE(
        _xlfn.UNIQUE(
            _xlfn._xlws.FILTER(
                Tabla1__2[NOMBRE_DOCENTE],
                ISNUMBER(MATCH(Tabla1__2[MAESTRIA],BQ451:DY451,0))
            )
        )
    ),
"")</f>
        <v/>
      </c>
    </row>
    <row r="452" spans="1:131" ht="20.25" customHeight="1">
      <c r="A452" t="str" cm="1">
        <f t="array" ref="A452">TRANSPOSE(_xlfn.UNIQUE(_xlfn._xlws.FILTER(T_ASIGNATURA1[ID_NIVEL],T_ASIGNATURA1[ID_CARRERA]=ASIGNACION!$A452,"No existe información")))</f>
        <v>No existe información</v>
      </c>
      <c r="S452" t="str" cm="1">
        <f t="array" ref="S452">TRANSPOSE(_xlfn.UNIQUE(_xlfn._xlws.FILTER(T_ASIGNATURA1[NOM_ASIG],(T_ASIGNATURA1[ID_NIVEL]=ASIGNACION!$C452)*(T_ASIGNATURA1[ID_CARRERA]=ASIGNACION!$A452),"No existe información")))</f>
        <v>No existe información</v>
      </c>
      <c r="BQ452" s="1" t="str" cm="1">
        <f t="array" ref="BQ452">IFERROR(
    TRANSPOSE(
        _xlfn.UNIQUE(
            _xlfn._xlws.FILTER(
                Tabla1_1[MAESTRIA],
                ISNUMBER(MATCH(Tabla1_1[CAMPO_DETALLADO],BD453:BP453,0))
            )
        )
    ),
"")</f>
        <v/>
      </c>
      <c r="EA452" t="str" cm="1">
        <f t="array" ref="EA452">IFERROR(
    TRANSPOSE(
        _xlfn.UNIQUE(
            _xlfn._xlws.FILTER(
                Tabla1__2[NOMBRE_DOCENTE],
                ISNUMBER(MATCH(Tabla1__2[MAESTRIA],BQ452:DY452,0))
            )
        )
    ),
"")</f>
        <v/>
      </c>
    </row>
    <row r="453" spans="1:131" ht="20.25" customHeight="1">
      <c r="A453" t="str" cm="1">
        <f t="array" ref="A453">TRANSPOSE(_xlfn.UNIQUE(_xlfn._xlws.FILTER(T_ASIGNATURA1[ID_NIVEL],T_ASIGNATURA1[ID_CARRERA]=ASIGNACION!$A453,"No existe información")))</f>
        <v>No existe información</v>
      </c>
      <c r="S453" t="str" cm="1">
        <f t="array" ref="S453">TRANSPOSE(_xlfn.UNIQUE(_xlfn._xlws.FILTER(T_ASIGNATURA1[NOM_ASIG],(T_ASIGNATURA1[ID_NIVEL]=ASIGNACION!$C453)*(T_ASIGNATURA1[ID_CARRERA]=ASIGNACION!$A453),"No existe información")))</f>
        <v>No existe información</v>
      </c>
      <c r="BQ453" s="1" t="str" cm="1">
        <f t="array" ref="BQ453">IFERROR(
    TRANSPOSE(
        _xlfn.UNIQUE(
            _xlfn._xlws.FILTER(
                Tabla1_1[MAESTRIA],
                ISNUMBER(MATCH(Tabla1_1[CAMPO_DETALLADO],BD454:BP454,0))
            )
        )
    ),
"")</f>
        <v/>
      </c>
      <c r="EA453" t="str" cm="1">
        <f t="array" ref="EA453">IFERROR(
    TRANSPOSE(
        _xlfn.UNIQUE(
            _xlfn._xlws.FILTER(
                Tabla1__2[NOMBRE_DOCENTE],
                ISNUMBER(MATCH(Tabla1__2[MAESTRIA],BQ453:DY453,0))
            )
        )
    ),
"")</f>
        <v/>
      </c>
    </row>
    <row r="454" spans="1:131" ht="20.25" customHeight="1">
      <c r="A454" t="str" cm="1">
        <f t="array" ref="A454">TRANSPOSE(_xlfn.UNIQUE(_xlfn._xlws.FILTER(T_ASIGNATURA1[ID_NIVEL],T_ASIGNATURA1[ID_CARRERA]=ASIGNACION!$A454,"No existe información")))</f>
        <v>No existe información</v>
      </c>
      <c r="S454" t="str" cm="1">
        <f t="array" ref="S454">TRANSPOSE(_xlfn.UNIQUE(_xlfn._xlws.FILTER(T_ASIGNATURA1[NOM_ASIG],(T_ASIGNATURA1[ID_NIVEL]=ASIGNACION!$C454)*(T_ASIGNATURA1[ID_CARRERA]=ASIGNACION!$A454),"No existe información")))</f>
        <v>No existe información</v>
      </c>
      <c r="BQ454" s="1" t="str" cm="1">
        <f t="array" ref="BQ454">IFERROR(
    TRANSPOSE(
        _xlfn.UNIQUE(
            _xlfn._xlws.FILTER(
                Tabla1_1[MAESTRIA],
                ISNUMBER(MATCH(Tabla1_1[CAMPO_DETALLADO],BD455:BP455,0))
            )
        )
    ),
"")</f>
        <v/>
      </c>
      <c r="EA454" t="str" cm="1">
        <f t="array" ref="EA454">IFERROR(
    TRANSPOSE(
        _xlfn.UNIQUE(
            _xlfn._xlws.FILTER(
                Tabla1__2[NOMBRE_DOCENTE],
                ISNUMBER(MATCH(Tabla1__2[MAESTRIA],BQ454:DY454,0))
            )
        )
    ),
"")</f>
        <v/>
      </c>
    </row>
    <row r="455" spans="1:131" ht="20.25" customHeight="1">
      <c r="A455" t="str" cm="1">
        <f t="array" ref="A455">TRANSPOSE(_xlfn.UNIQUE(_xlfn._xlws.FILTER(T_ASIGNATURA1[ID_NIVEL],T_ASIGNATURA1[ID_CARRERA]=ASIGNACION!$A455,"No existe información")))</f>
        <v>No existe información</v>
      </c>
      <c r="S455" t="str" cm="1">
        <f t="array" ref="S455">TRANSPOSE(_xlfn.UNIQUE(_xlfn._xlws.FILTER(T_ASIGNATURA1[NOM_ASIG],(T_ASIGNATURA1[ID_NIVEL]=ASIGNACION!$C455)*(T_ASIGNATURA1[ID_CARRERA]=ASIGNACION!$A455),"No existe información")))</f>
        <v>No existe información</v>
      </c>
      <c r="BQ455" s="1" t="str" cm="1">
        <f t="array" ref="BQ455">IFERROR(
    TRANSPOSE(
        _xlfn.UNIQUE(
            _xlfn._xlws.FILTER(
                Tabla1_1[MAESTRIA],
                ISNUMBER(MATCH(Tabla1_1[CAMPO_DETALLADO],BD456:BP456,0))
            )
        )
    ),
"")</f>
        <v/>
      </c>
      <c r="EA455" t="str" cm="1">
        <f t="array" ref="EA455">IFERROR(
    TRANSPOSE(
        _xlfn.UNIQUE(
            _xlfn._xlws.FILTER(
                Tabla1__2[NOMBRE_DOCENTE],
                ISNUMBER(MATCH(Tabla1__2[MAESTRIA],BQ455:DY455,0))
            )
        )
    ),
"")</f>
        <v/>
      </c>
    </row>
    <row r="456" spans="1:131" ht="20.25" customHeight="1">
      <c r="A456" t="str" cm="1">
        <f t="array" ref="A456">TRANSPOSE(_xlfn.UNIQUE(_xlfn._xlws.FILTER(T_ASIGNATURA1[ID_NIVEL],T_ASIGNATURA1[ID_CARRERA]=ASIGNACION!$A456,"No existe información")))</f>
        <v>No existe información</v>
      </c>
      <c r="S456" t="str" cm="1">
        <f t="array" ref="S456">TRANSPOSE(_xlfn.UNIQUE(_xlfn._xlws.FILTER(T_ASIGNATURA1[NOM_ASIG],(T_ASIGNATURA1[ID_NIVEL]=ASIGNACION!$C456)*(T_ASIGNATURA1[ID_CARRERA]=ASIGNACION!$A456),"No existe información")))</f>
        <v>No existe información</v>
      </c>
      <c r="BQ456" s="1" t="str" cm="1">
        <f t="array" ref="BQ456">IFERROR(
    TRANSPOSE(
        _xlfn.UNIQUE(
            _xlfn._xlws.FILTER(
                Tabla1_1[MAESTRIA],
                ISNUMBER(MATCH(Tabla1_1[CAMPO_DETALLADO],BD457:BP457,0))
            )
        )
    ),
"")</f>
        <v/>
      </c>
      <c r="EA456" t="str" cm="1">
        <f t="array" ref="EA456">IFERROR(
    TRANSPOSE(
        _xlfn.UNIQUE(
            _xlfn._xlws.FILTER(
                Tabla1__2[NOMBRE_DOCENTE],
                ISNUMBER(MATCH(Tabla1__2[MAESTRIA],BQ456:DY456,0))
            )
        )
    ),
"")</f>
        <v/>
      </c>
    </row>
    <row r="457" spans="1:131" ht="20.25" customHeight="1">
      <c r="A457" t="str" cm="1">
        <f t="array" ref="A457">TRANSPOSE(_xlfn.UNIQUE(_xlfn._xlws.FILTER(T_ASIGNATURA1[ID_NIVEL],T_ASIGNATURA1[ID_CARRERA]=ASIGNACION!$A457,"No existe información")))</f>
        <v>No existe información</v>
      </c>
      <c r="S457" t="str" cm="1">
        <f t="array" ref="S457">TRANSPOSE(_xlfn.UNIQUE(_xlfn._xlws.FILTER(T_ASIGNATURA1[NOM_ASIG],(T_ASIGNATURA1[ID_NIVEL]=ASIGNACION!$C457)*(T_ASIGNATURA1[ID_CARRERA]=ASIGNACION!$A457),"No existe información")))</f>
        <v>No existe información</v>
      </c>
      <c r="BQ457" s="1" t="str" cm="1">
        <f t="array" ref="BQ457">IFERROR(
    TRANSPOSE(
        _xlfn.UNIQUE(
            _xlfn._xlws.FILTER(
                Tabla1_1[MAESTRIA],
                ISNUMBER(MATCH(Tabla1_1[CAMPO_DETALLADO],BD458:BP458,0))
            )
        )
    ),
"")</f>
        <v/>
      </c>
      <c r="EA457" t="str" cm="1">
        <f t="array" ref="EA457">IFERROR(
    TRANSPOSE(
        _xlfn.UNIQUE(
            _xlfn._xlws.FILTER(
                Tabla1__2[NOMBRE_DOCENTE],
                ISNUMBER(MATCH(Tabla1__2[MAESTRIA],BQ457:DY457,0))
            )
        )
    ),
"")</f>
        <v/>
      </c>
    </row>
    <row r="458" spans="1:131" ht="20.25" customHeight="1">
      <c r="A458" t="str" cm="1">
        <f t="array" ref="A458">TRANSPOSE(_xlfn.UNIQUE(_xlfn._xlws.FILTER(T_ASIGNATURA1[ID_NIVEL],T_ASIGNATURA1[ID_CARRERA]=ASIGNACION!$A458,"No existe información")))</f>
        <v>No existe información</v>
      </c>
      <c r="S458" t="str" cm="1">
        <f t="array" ref="S458">TRANSPOSE(_xlfn.UNIQUE(_xlfn._xlws.FILTER(T_ASIGNATURA1[NOM_ASIG],(T_ASIGNATURA1[ID_NIVEL]=ASIGNACION!$C458)*(T_ASIGNATURA1[ID_CARRERA]=ASIGNACION!$A458),"No existe información")))</f>
        <v>No existe información</v>
      </c>
      <c r="BQ458" s="1" t="str" cm="1">
        <f t="array" ref="BQ458">IFERROR(
    TRANSPOSE(
        _xlfn.UNIQUE(
            _xlfn._xlws.FILTER(
                Tabla1_1[MAESTRIA],
                ISNUMBER(MATCH(Tabla1_1[CAMPO_DETALLADO],BD459:BP459,0))
            )
        )
    ),
"")</f>
        <v/>
      </c>
      <c r="EA458" t="str" cm="1">
        <f t="array" ref="EA458">IFERROR(
    TRANSPOSE(
        _xlfn.UNIQUE(
            _xlfn._xlws.FILTER(
                Tabla1__2[NOMBRE_DOCENTE],
                ISNUMBER(MATCH(Tabla1__2[MAESTRIA],BQ458:DY458,0))
            )
        )
    ),
"")</f>
        <v/>
      </c>
    </row>
    <row r="459" spans="1:131" ht="20.25" customHeight="1">
      <c r="A459" t="str" cm="1">
        <f t="array" ref="A459">TRANSPOSE(_xlfn.UNIQUE(_xlfn._xlws.FILTER(T_ASIGNATURA1[ID_NIVEL],T_ASIGNATURA1[ID_CARRERA]=ASIGNACION!$A459,"No existe información")))</f>
        <v>No existe información</v>
      </c>
      <c r="S459" t="str" cm="1">
        <f t="array" ref="S459">TRANSPOSE(_xlfn.UNIQUE(_xlfn._xlws.FILTER(T_ASIGNATURA1[NOM_ASIG],(T_ASIGNATURA1[ID_NIVEL]=ASIGNACION!$C459)*(T_ASIGNATURA1[ID_CARRERA]=ASIGNACION!$A459),"No existe información")))</f>
        <v>No existe información</v>
      </c>
      <c r="BQ459" s="1" t="str" cm="1">
        <f t="array" ref="BQ459">IFERROR(
    TRANSPOSE(
        _xlfn.UNIQUE(
            _xlfn._xlws.FILTER(
                Tabla1_1[MAESTRIA],
                ISNUMBER(MATCH(Tabla1_1[CAMPO_DETALLADO],BD460:BP460,0))
            )
        )
    ),
"")</f>
        <v/>
      </c>
      <c r="EA459" t="str" cm="1">
        <f t="array" ref="EA459">IFERROR(
    TRANSPOSE(
        _xlfn.UNIQUE(
            _xlfn._xlws.FILTER(
                Tabla1__2[NOMBRE_DOCENTE],
                ISNUMBER(MATCH(Tabla1__2[MAESTRIA],BQ459:DY459,0))
            )
        )
    ),
"")</f>
        <v/>
      </c>
    </row>
    <row r="460" spans="1:131" ht="20.25" customHeight="1">
      <c r="A460" t="str" cm="1">
        <f t="array" ref="A460">TRANSPOSE(_xlfn.UNIQUE(_xlfn._xlws.FILTER(T_ASIGNATURA1[ID_NIVEL],T_ASIGNATURA1[ID_CARRERA]=ASIGNACION!$A460,"No existe información")))</f>
        <v>No existe información</v>
      </c>
      <c r="S460" t="str" cm="1">
        <f t="array" ref="S460">TRANSPOSE(_xlfn.UNIQUE(_xlfn._xlws.FILTER(T_ASIGNATURA1[NOM_ASIG],(T_ASIGNATURA1[ID_NIVEL]=ASIGNACION!$C460)*(T_ASIGNATURA1[ID_CARRERA]=ASIGNACION!$A460),"No existe información")))</f>
        <v>No existe información</v>
      </c>
      <c r="BQ460" s="1" t="str" cm="1">
        <f t="array" ref="BQ460">IFERROR(
    TRANSPOSE(
        _xlfn.UNIQUE(
            _xlfn._xlws.FILTER(
                Tabla1_1[MAESTRIA],
                ISNUMBER(MATCH(Tabla1_1[CAMPO_DETALLADO],BD461:BP461,0))
            )
        )
    ),
"")</f>
        <v/>
      </c>
      <c r="EA460" t="str" cm="1">
        <f t="array" ref="EA460">IFERROR(
    TRANSPOSE(
        _xlfn.UNIQUE(
            _xlfn._xlws.FILTER(
                Tabla1__2[NOMBRE_DOCENTE],
                ISNUMBER(MATCH(Tabla1__2[MAESTRIA],BQ460:DY460,0))
            )
        )
    ),
"")</f>
        <v/>
      </c>
    </row>
    <row r="461" spans="1:131" ht="20.25" customHeight="1">
      <c r="A461" t="str" cm="1">
        <f t="array" ref="A461">TRANSPOSE(_xlfn.UNIQUE(_xlfn._xlws.FILTER(T_ASIGNATURA1[ID_NIVEL],T_ASIGNATURA1[ID_CARRERA]=ASIGNACION!$A461,"No existe información")))</f>
        <v>No existe información</v>
      </c>
      <c r="S461" t="str" cm="1">
        <f t="array" ref="S461">TRANSPOSE(_xlfn.UNIQUE(_xlfn._xlws.FILTER(T_ASIGNATURA1[NOM_ASIG],(T_ASIGNATURA1[ID_NIVEL]=ASIGNACION!$C461)*(T_ASIGNATURA1[ID_CARRERA]=ASIGNACION!$A461),"No existe información")))</f>
        <v>No existe información</v>
      </c>
      <c r="BQ461" s="1" t="str" cm="1">
        <f t="array" ref="BQ461">IFERROR(
    TRANSPOSE(
        _xlfn.UNIQUE(
            _xlfn._xlws.FILTER(
                Tabla1_1[MAESTRIA],
                ISNUMBER(MATCH(Tabla1_1[CAMPO_DETALLADO],BD462:BP462,0))
            )
        )
    ),
"")</f>
        <v/>
      </c>
      <c r="EA461" t="str" cm="1">
        <f t="array" ref="EA461">IFERROR(
    TRANSPOSE(
        _xlfn.UNIQUE(
            _xlfn._xlws.FILTER(
                Tabla1__2[NOMBRE_DOCENTE],
                ISNUMBER(MATCH(Tabla1__2[MAESTRIA],BQ461:DY461,0))
            )
        )
    ),
"")</f>
        <v/>
      </c>
    </row>
    <row r="462" spans="1:131" ht="20.25" customHeight="1">
      <c r="A462" t="str" cm="1">
        <f t="array" ref="A462">TRANSPOSE(_xlfn.UNIQUE(_xlfn._xlws.FILTER(T_ASIGNATURA1[ID_NIVEL],T_ASIGNATURA1[ID_CARRERA]=ASIGNACION!$A462,"No existe información")))</f>
        <v>No existe información</v>
      </c>
      <c r="S462" t="str" cm="1">
        <f t="array" ref="S462">TRANSPOSE(_xlfn.UNIQUE(_xlfn._xlws.FILTER(T_ASIGNATURA1[NOM_ASIG],(T_ASIGNATURA1[ID_NIVEL]=ASIGNACION!$C462)*(T_ASIGNATURA1[ID_CARRERA]=ASIGNACION!$A462),"No existe información")))</f>
        <v>No existe información</v>
      </c>
      <c r="BQ462" s="1" t="str" cm="1">
        <f t="array" ref="BQ462">IFERROR(
    TRANSPOSE(
        _xlfn.UNIQUE(
            _xlfn._xlws.FILTER(
                Tabla1_1[MAESTRIA],
                ISNUMBER(MATCH(Tabla1_1[CAMPO_DETALLADO],BD463:BP463,0))
            )
        )
    ),
"")</f>
        <v/>
      </c>
      <c r="EA462" t="str" cm="1">
        <f t="array" ref="EA462">IFERROR(
    TRANSPOSE(
        _xlfn.UNIQUE(
            _xlfn._xlws.FILTER(
                Tabla1__2[NOMBRE_DOCENTE],
                ISNUMBER(MATCH(Tabla1__2[MAESTRIA],BQ462:DY462,0))
            )
        )
    ),
"")</f>
        <v/>
      </c>
    </row>
    <row r="463" spans="1:131" ht="20.25" customHeight="1">
      <c r="A463" t="str" cm="1">
        <f t="array" ref="A463">TRANSPOSE(_xlfn.UNIQUE(_xlfn._xlws.FILTER(T_ASIGNATURA1[ID_NIVEL],T_ASIGNATURA1[ID_CARRERA]=ASIGNACION!$A463,"No existe información")))</f>
        <v>No existe información</v>
      </c>
      <c r="S463" t="str" cm="1">
        <f t="array" ref="S463">TRANSPOSE(_xlfn.UNIQUE(_xlfn._xlws.FILTER(T_ASIGNATURA1[NOM_ASIG],(T_ASIGNATURA1[ID_NIVEL]=ASIGNACION!$C463)*(T_ASIGNATURA1[ID_CARRERA]=ASIGNACION!$A463),"No existe información")))</f>
        <v>No existe información</v>
      </c>
      <c r="BQ463" s="1" t="str" cm="1">
        <f t="array" ref="BQ463">IFERROR(
    TRANSPOSE(
        _xlfn.UNIQUE(
            _xlfn._xlws.FILTER(
                Tabla1_1[MAESTRIA],
                ISNUMBER(MATCH(Tabla1_1[CAMPO_DETALLADO],BD464:BP464,0))
            )
        )
    ),
"")</f>
        <v/>
      </c>
      <c r="EA463" t="str" cm="1">
        <f t="array" ref="EA463">IFERROR(
    TRANSPOSE(
        _xlfn.UNIQUE(
            _xlfn._xlws.FILTER(
                Tabla1__2[NOMBRE_DOCENTE],
                ISNUMBER(MATCH(Tabla1__2[MAESTRIA],BQ463:DY463,0))
            )
        )
    ),
"")</f>
        <v/>
      </c>
    </row>
    <row r="464" spans="1:131" ht="20.25" customHeight="1">
      <c r="A464" t="str" cm="1">
        <f t="array" ref="A464">TRANSPOSE(_xlfn.UNIQUE(_xlfn._xlws.FILTER(T_ASIGNATURA1[ID_NIVEL],T_ASIGNATURA1[ID_CARRERA]=ASIGNACION!$A464,"No existe información")))</f>
        <v>No existe información</v>
      </c>
      <c r="S464" t="str" cm="1">
        <f t="array" ref="S464">TRANSPOSE(_xlfn.UNIQUE(_xlfn._xlws.FILTER(T_ASIGNATURA1[NOM_ASIG],(T_ASIGNATURA1[ID_NIVEL]=ASIGNACION!$C464)*(T_ASIGNATURA1[ID_CARRERA]=ASIGNACION!$A464),"No existe información")))</f>
        <v>No existe información</v>
      </c>
      <c r="BQ464" s="1" t="str" cm="1">
        <f t="array" ref="BQ464">IFERROR(
    TRANSPOSE(
        _xlfn.UNIQUE(
            _xlfn._xlws.FILTER(
                Tabla1_1[MAESTRIA],
                ISNUMBER(MATCH(Tabla1_1[CAMPO_DETALLADO],BD465:BP465,0))
            )
        )
    ),
"")</f>
        <v/>
      </c>
      <c r="EA464" t="str" cm="1">
        <f t="array" ref="EA464">IFERROR(
    TRANSPOSE(
        _xlfn.UNIQUE(
            _xlfn._xlws.FILTER(
                Tabla1__2[NOMBRE_DOCENTE],
                ISNUMBER(MATCH(Tabla1__2[MAESTRIA],BQ464:DY464,0))
            )
        )
    ),
"")</f>
        <v/>
      </c>
    </row>
    <row r="465" spans="1:131" ht="20.25" customHeight="1">
      <c r="A465" t="str" cm="1">
        <f t="array" ref="A465">TRANSPOSE(_xlfn.UNIQUE(_xlfn._xlws.FILTER(T_ASIGNATURA1[ID_NIVEL],T_ASIGNATURA1[ID_CARRERA]=ASIGNACION!$A465,"No existe información")))</f>
        <v>No existe información</v>
      </c>
      <c r="S465" t="str" cm="1">
        <f t="array" ref="S465">TRANSPOSE(_xlfn.UNIQUE(_xlfn._xlws.FILTER(T_ASIGNATURA1[NOM_ASIG],(T_ASIGNATURA1[ID_NIVEL]=ASIGNACION!$C465)*(T_ASIGNATURA1[ID_CARRERA]=ASIGNACION!$A465),"No existe información")))</f>
        <v>No existe información</v>
      </c>
      <c r="BQ465" s="1" t="str" cm="1">
        <f t="array" ref="BQ465">IFERROR(
    TRANSPOSE(
        _xlfn.UNIQUE(
            _xlfn._xlws.FILTER(
                Tabla1_1[MAESTRIA],
                ISNUMBER(MATCH(Tabla1_1[CAMPO_DETALLADO],BD466:BP466,0))
            )
        )
    ),
"")</f>
        <v/>
      </c>
      <c r="EA465" t="str" cm="1">
        <f t="array" ref="EA465">IFERROR(
    TRANSPOSE(
        _xlfn.UNIQUE(
            _xlfn._xlws.FILTER(
                Tabla1__2[NOMBRE_DOCENTE],
                ISNUMBER(MATCH(Tabla1__2[MAESTRIA],BQ465:DY465,0))
            )
        )
    ),
"")</f>
        <v/>
      </c>
    </row>
    <row r="466" spans="1:131" ht="20.25" customHeight="1">
      <c r="A466" t="str" cm="1">
        <f t="array" ref="A466">TRANSPOSE(_xlfn.UNIQUE(_xlfn._xlws.FILTER(T_ASIGNATURA1[ID_NIVEL],T_ASIGNATURA1[ID_CARRERA]=ASIGNACION!$A466,"No existe información")))</f>
        <v>No existe información</v>
      </c>
      <c r="S466" t="str" cm="1">
        <f t="array" ref="S466">TRANSPOSE(_xlfn.UNIQUE(_xlfn._xlws.FILTER(T_ASIGNATURA1[NOM_ASIG],(T_ASIGNATURA1[ID_NIVEL]=ASIGNACION!$C466)*(T_ASIGNATURA1[ID_CARRERA]=ASIGNACION!$A466),"No existe información")))</f>
        <v>No existe información</v>
      </c>
      <c r="BQ466" s="1" t="str" cm="1">
        <f t="array" ref="BQ466">IFERROR(
    TRANSPOSE(
        _xlfn.UNIQUE(
            _xlfn._xlws.FILTER(
                Tabla1_1[MAESTRIA],
                ISNUMBER(MATCH(Tabla1_1[CAMPO_DETALLADO],BD467:BP467,0))
            )
        )
    ),
"")</f>
        <v/>
      </c>
      <c r="EA466" t="str" cm="1">
        <f t="array" ref="EA466">IFERROR(
    TRANSPOSE(
        _xlfn.UNIQUE(
            _xlfn._xlws.FILTER(
                Tabla1__2[NOMBRE_DOCENTE],
                ISNUMBER(MATCH(Tabla1__2[MAESTRIA],BQ466:DY466,0))
            )
        )
    ),
"")</f>
        <v/>
      </c>
    </row>
    <row r="467" spans="1:131" ht="20.25" customHeight="1">
      <c r="A467" t="str" cm="1">
        <f t="array" ref="A467">TRANSPOSE(_xlfn.UNIQUE(_xlfn._xlws.FILTER(T_ASIGNATURA1[ID_NIVEL],T_ASIGNATURA1[ID_CARRERA]=ASIGNACION!$A467,"No existe información")))</f>
        <v>No existe información</v>
      </c>
      <c r="S467" t="str" cm="1">
        <f t="array" ref="S467">TRANSPOSE(_xlfn.UNIQUE(_xlfn._xlws.FILTER(T_ASIGNATURA1[NOM_ASIG],(T_ASIGNATURA1[ID_NIVEL]=ASIGNACION!$C467)*(T_ASIGNATURA1[ID_CARRERA]=ASIGNACION!$A467),"No existe información")))</f>
        <v>No existe información</v>
      </c>
      <c r="BQ467" s="1" t="str" cm="1">
        <f t="array" ref="BQ467">IFERROR(
    TRANSPOSE(
        _xlfn.UNIQUE(
            _xlfn._xlws.FILTER(
                Tabla1_1[MAESTRIA],
                ISNUMBER(MATCH(Tabla1_1[CAMPO_DETALLADO],BD468:BP468,0))
            )
        )
    ),
"")</f>
        <v/>
      </c>
      <c r="EA467" t="str" cm="1">
        <f t="array" ref="EA467">IFERROR(
    TRANSPOSE(
        _xlfn.UNIQUE(
            _xlfn._xlws.FILTER(
                Tabla1__2[NOMBRE_DOCENTE],
                ISNUMBER(MATCH(Tabla1__2[MAESTRIA],BQ467:DY467,0))
            )
        )
    ),
"")</f>
        <v/>
      </c>
    </row>
    <row r="468" spans="1:131" ht="20.25" customHeight="1">
      <c r="A468" t="str" cm="1">
        <f t="array" ref="A468">TRANSPOSE(_xlfn.UNIQUE(_xlfn._xlws.FILTER(T_ASIGNATURA1[ID_NIVEL],T_ASIGNATURA1[ID_CARRERA]=ASIGNACION!$A468,"No existe información")))</f>
        <v>No existe información</v>
      </c>
      <c r="S468" t="str" cm="1">
        <f t="array" ref="S468">TRANSPOSE(_xlfn.UNIQUE(_xlfn._xlws.FILTER(T_ASIGNATURA1[NOM_ASIG],(T_ASIGNATURA1[ID_NIVEL]=ASIGNACION!$C468)*(T_ASIGNATURA1[ID_CARRERA]=ASIGNACION!$A468),"No existe información")))</f>
        <v>No existe información</v>
      </c>
      <c r="BQ468" s="1" t="str" cm="1">
        <f t="array" ref="BQ468">IFERROR(
    TRANSPOSE(
        _xlfn.UNIQUE(
            _xlfn._xlws.FILTER(
                Tabla1_1[MAESTRIA],
                ISNUMBER(MATCH(Tabla1_1[CAMPO_DETALLADO],BD469:BP469,0))
            )
        )
    ),
"")</f>
        <v/>
      </c>
      <c r="EA468" t="str" cm="1">
        <f t="array" ref="EA468">IFERROR(
    TRANSPOSE(
        _xlfn.UNIQUE(
            _xlfn._xlws.FILTER(
                Tabla1__2[NOMBRE_DOCENTE],
                ISNUMBER(MATCH(Tabla1__2[MAESTRIA],BQ468:DY468,0))
            )
        )
    ),
"")</f>
        <v/>
      </c>
    </row>
    <row r="469" spans="1:131" ht="20.25" customHeight="1">
      <c r="A469" t="str" cm="1">
        <f t="array" ref="A469">TRANSPOSE(_xlfn.UNIQUE(_xlfn._xlws.FILTER(T_ASIGNATURA1[ID_NIVEL],T_ASIGNATURA1[ID_CARRERA]=ASIGNACION!$A469,"No existe información")))</f>
        <v>No existe información</v>
      </c>
      <c r="S469" t="str" cm="1">
        <f t="array" ref="S469">TRANSPOSE(_xlfn.UNIQUE(_xlfn._xlws.FILTER(T_ASIGNATURA1[NOM_ASIG],(T_ASIGNATURA1[ID_NIVEL]=ASIGNACION!$C469)*(T_ASIGNATURA1[ID_CARRERA]=ASIGNACION!$A469),"No existe información")))</f>
        <v>No existe información</v>
      </c>
      <c r="BQ469" s="1" t="str" cm="1">
        <f t="array" ref="BQ469">IFERROR(
    TRANSPOSE(
        _xlfn.UNIQUE(
            _xlfn._xlws.FILTER(
                Tabla1_1[MAESTRIA],
                ISNUMBER(MATCH(Tabla1_1[CAMPO_DETALLADO],BD470:BP470,0))
            )
        )
    ),
"")</f>
        <v/>
      </c>
      <c r="EA469" t="str" cm="1">
        <f t="array" ref="EA469">IFERROR(
    TRANSPOSE(
        _xlfn.UNIQUE(
            _xlfn._xlws.FILTER(
                Tabla1__2[NOMBRE_DOCENTE],
                ISNUMBER(MATCH(Tabla1__2[MAESTRIA],BQ469:DY469,0))
            )
        )
    ),
"")</f>
        <v/>
      </c>
    </row>
    <row r="470" spans="1:131" ht="20.25" customHeight="1">
      <c r="A470" t="str" cm="1">
        <f t="array" ref="A470">TRANSPOSE(_xlfn.UNIQUE(_xlfn._xlws.FILTER(T_ASIGNATURA1[ID_NIVEL],T_ASIGNATURA1[ID_CARRERA]=ASIGNACION!$A470,"No existe información")))</f>
        <v>No existe información</v>
      </c>
      <c r="S470" t="str" cm="1">
        <f t="array" ref="S470">TRANSPOSE(_xlfn.UNIQUE(_xlfn._xlws.FILTER(T_ASIGNATURA1[NOM_ASIG],(T_ASIGNATURA1[ID_NIVEL]=ASIGNACION!$C470)*(T_ASIGNATURA1[ID_CARRERA]=ASIGNACION!$A470),"No existe información")))</f>
        <v>No existe información</v>
      </c>
      <c r="BQ470" s="1" t="str" cm="1">
        <f t="array" ref="BQ470">IFERROR(
    TRANSPOSE(
        _xlfn.UNIQUE(
            _xlfn._xlws.FILTER(
                Tabla1_1[MAESTRIA],
                ISNUMBER(MATCH(Tabla1_1[CAMPO_DETALLADO],BD471:BP471,0))
            )
        )
    ),
"")</f>
        <v/>
      </c>
      <c r="EA470" t="str" cm="1">
        <f t="array" ref="EA470">IFERROR(
    TRANSPOSE(
        _xlfn.UNIQUE(
            _xlfn._xlws.FILTER(
                Tabla1__2[NOMBRE_DOCENTE],
                ISNUMBER(MATCH(Tabla1__2[MAESTRIA],BQ470:DY470,0))
            )
        )
    ),
"")</f>
        <v/>
      </c>
    </row>
    <row r="471" spans="1:131" ht="20.25" customHeight="1">
      <c r="A471" t="str" cm="1">
        <f t="array" ref="A471">TRANSPOSE(_xlfn.UNIQUE(_xlfn._xlws.FILTER(T_ASIGNATURA1[ID_NIVEL],T_ASIGNATURA1[ID_CARRERA]=ASIGNACION!$A471,"No existe información")))</f>
        <v>No existe información</v>
      </c>
      <c r="S471" t="str" cm="1">
        <f t="array" ref="S471">TRANSPOSE(_xlfn.UNIQUE(_xlfn._xlws.FILTER(T_ASIGNATURA1[NOM_ASIG],(T_ASIGNATURA1[ID_NIVEL]=ASIGNACION!$C471)*(T_ASIGNATURA1[ID_CARRERA]=ASIGNACION!$A471),"No existe información")))</f>
        <v>No existe información</v>
      </c>
      <c r="BQ471" s="1" t="str" cm="1">
        <f t="array" ref="BQ471">IFERROR(
    TRANSPOSE(
        _xlfn.UNIQUE(
            _xlfn._xlws.FILTER(
                Tabla1_1[MAESTRIA],
                ISNUMBER(MATCH(Tabla1_1[CAMPO_DETALLADO],BD472:BP472,0))
            )
        )
    ),
"")</f>
        <v/>
      </c>
      <c r="EA471" t="str" cm="1">
        <f t="array" ref="EA471">IFERROR(
    TRANSPOSE(
        _xlfn.UNIQUE(
            _xlfn._xlws.FILTER(
                Tabla1__2[NOMBRE_DOCENTE],
                ISNUMBER(MATCH(Tabla1__2[MAESTRIA],BQ471:DY471,0))
            )
        )
    ),
"")</f>
        <v/>
      </c>
    </row>
    <row r="472" spans="1:131" ht="20.25" customHeight="1">
      <c r="A472" t="str" cm="1">
        <f t="array" ref="A472">TRANSPOSE(_xlfn.UNIQUE(_xlfn._xlws.FILTER(T_ASIGNATURA1[ID_NIVEL],T_ASIGNATURA1[ID_CARRERA]=ASIGNACION!$A472,"No existe información")))</f>
        <v>No existe información</v>
      </c>
      <c r="S472" t="str" cm="1">
        <f t="array" ref="S472">TRANSPOSE(_xlfn.UNIQUE(_xlfn._xlws.FILTER(T_ASIGNATURA1[NOM_ASIG],(T_ASIGNATURA1[ID_NIVEL]=ASIGNACION!$C472)*(T_ASIGNATURA1[ID_CARRERA]=ASIGNACION!$A472),"No existe información")))</f>
        <v>No existe información</v>
      </c>
      <c r="BQ472" s="1" t="str" cm="1">
        <f t="array" ref="BQ472">IFERROR(
    TRANSPOSE(
        _xlfn.UNIQUE(
            _xlfn._xlws.FILTER(
                Tabla1_1[MAESTRIA],
                ISNUMBER(MATCH(Tabla1_1[CAMPO_DETALLADO],BD473:BP473,0))
            )
        )
    ),
"")</f>
        <v/>
      </c>
      <c r="EA472" t="str" cm="1">
        <f t="array" ref="EA472">IFERROR(
    TRANSPOSE(
        _xlfn.UNIQUE(
            _xlfn._xlws.FILTER(
                Tabla1__2[NOMBRE_DOCENTE],
                ISNUMBER(MATCH(Tabla1__2[MAESTRIA],BQ472:DY472,0))
            )
        )
    ),
"")</f>
        <v/>
      </c>
    </row>
    <row r="473" spans="1:131" ht="20.25" customHeight="1">
      <c r="A473" t="str" cm="1">
        <f t="array" ref="A473">TRANSPOSE(_xlfn.UNIQUE(_xlfn._xlws.FILTER(T_ASIGNATURA1[ID_NIVEL],T_ASIGNATURA1[ID_CARRERA]=ASIGNACION!$A473,"No existe información")))</f>
        <v>No existe información</v>
      </c>
      <c r="S473" t="str" cm="1">
        <f t="array" ref="S473">TRANSPOSE(_xlfn.UNIQUE(_xlfn._xlws.FILTER(T_ASIGNATURA1[NOM_ASIG],(T_ASIGNATURA1[ID_NIVEL]=ASIGNACION!$C473)*(T_ASIGNATURA1[ID_CARRERA]=ASIGNACION!$A473),"No existe información")))</f>
        <v>No existe información</v>
      </c>
      <c r="BQ473" s="1" t="str" cm="1">
        <f t="array" ref="BQ473">IFERROR(
    TRANSPOSE(
        _xlfn.UNIQUE(
            _xlfn._xlws.FILTER(
                Tabla1_1[MAESTRIA],
                ISNUMBER(MATCH(Tabla1_1[CAMPO_DETALLADO],BD474:BP474,0))
            )
        )
    ),
"")</f>
        <v/>
      </c>
      <c r="EA473" t="str" cm="1">
        <f t="array" ref="EA473">IFERROR(
    TRANSPOSE(
        _xlfn.UNIQUE(
            _xlfn._xlws.FILTER(
                Tabla1__2[NOMBRE_DOCENTE],
                ISNUMBER(MATCH(Tabla1__2[MAESTRIA],BQ473:DY473,0))
            )
        )
    ),
"")</f>
        <v/>
      </c>
    </row>
    <row r="474" spans="1:131" ht="20.25" customHeight="1">
      <c r="A474" t="str" cm="1">
        <f t="array" ref="A474">TRANSPOSE(_xlfn.UNIQUE(_xlfn._xlws.FILTER(T_ASIGNATURA1[ID_NIVEL],T_ASIGNATURA1[ID_CARRERA]=ASIGNACION!$A474,"No existe información")))</f>
        <v>No existe información</v>
      </c>
      <c r="S474" t="str" cm="1">
        <f t="array" ref="S474">TRANSPOSE(_xlfn.UNIQUE(_xlfn._xlws.FILTER(T_ASIGNATURA1[NOM_ASIG],(T_ASIGNATURA1[ID_NIVEL]=ASIGNACION!$C474)*(T_ASIGNATURA1[ID_CARRERA]=ASIGNACION!$A474),"No existe información")))</f>
        <v>No existe información</v>
      </c>
      <c r="BQ474" s="1" t="str" cm="1">
        <f t="array" ref="BQ474">IFERROR(
    TRANSPOSE(
        _xlfn.UNIQUE(
            _xlfn._xlws.FILTER(
                Tabla1_1[MAESTRIA],
                ISNUMBER(MATCH(Tabla1_1[CAMPO_DETALLADO],BD475:BP475,0))
            )
        )
    ),
"")</f>
        <v/>
      </c>
      <c r="EA474" t="str" cm="1">
        <f t="array" ref="EA474">IFERROR(
    TRANSPOSE(
        _xlfn.UNIQUE(
            _xlfn._xlws.FILTER(
                Tabla1__2[NOMBRE_DOCENTE],
                ISNUMBER(MATCH(Tabla1__2[MAESTRIA],BQ474:DY474,0))
            )
        )
    ),
"")</f>
        <v/>
      </c>
    </row>
    <row r="475" spans="1:131" ht="20.25" customHeight="1">
      <c r="A475" t="str" cm="1">
        <f t="array" ref="A475">TRANSPOSE(_xlfn.UNIQUE(_xlfn._xlws.FILTER(T_ASIGNATURA1[ID_NIVEL],T_ASIGNATURA1[ID_CARRERA]=ASIGNACION!$A475,"No existe información")))</f>
        <v>No existe información</v>
      </c>
      <c r="S475" t="str" cm="1">
        <f t="array" ref="S475">TRANSPOSE(_xlfn.UNIQUE(_xlfn._xlws.FILTER(T_ASIGNATURA1[NOM_ASIG],(T_ASIGNATURA1[ID_NIVEL]=ASIGNACION!$C475)*(T_ASIGNATURA1[ID_CARRERA]=ASIGNACION!$A475),"No existe información")))</f>
        <v>No existe información</v>
      </c>
      <c r="BQ475" s="1" t="str" cm="1">
        <f t="array" ref="BQ475">IFERROR(
    TRANSPOSE(
        _xlfn.UNIQUE(
            _xlfn._xlws.FILTER(
                Tabla1_1[MAESTRIA],
                ISNUMBER(MATCH(Tabla1_1[CAMPO_DETALLADO],BD476:BP476,0))
            )
        )
    ),
"")</f>
        <v/>
      </c>
      <c r="EA475" t="str" cm="1">
        <f t="array" ref="EA475">IFERROR(
    TRANSPOSE(
        _xlfn.UNIQUE(
            _xlfn._xlws.FILTER(
                Tabla1__2[NOMBRE_DOCENTE],
                ISNUMBER(MATCH(Tabla1__2[MAESTRIA],BQ475:DY475,0))
            )
        )
    ),
"")</f>
        <v/>
      </c>
    </row>
    <row r="476" spans="1:131" ht="20.25" customHeight="1">
      <c r="A476" t="str" cm="1">
        <f t="array" ref="A476">TRANSPOSE(_xlfn.UNIQUE(_xlfn._xlws.FILTER(T_ASIGNATURA1[ID_NIVEL],T_ASIGNATURA1[ID_CARRERA]=ASIGNACION!$A476,"No existe información")))</f>
        <v>No existe información</v>
      </c>
      <c r="S476" t="str" cm="1">
        <f t="array" ref="S476">TRANSPOSE(_xlfn.UNIQUE(_xlfn._xlws.FILTER(T_ASIGNATURA1[NOM_ASIG],(T_ASIGNATURA1[ID_NIVEL]=ASIGNACION!$C476)*(T_ASIGNATURA1[ID_CARRERA]=ASIGNACION!$A476),"No existe información")))</f>
        <v>No existe información</v>
      </c>
      <c r="BQ476" s="1" t="str" cm="1">
        <f t="array" ref="BQ476">IFERROR(
    TRANSPOSE(
        _xlfn.UNIQUE(
            _xlfn._xlws.FILTER(
                Tabla1_1[MAESTRIA],
                ISNUMBER(MATCH(Tabla1_1[CAMPO_DETALLADO],BD477:BP477,0))
            )
        )
    ),
"")</f>
        <v/>
      </c>
      <c r="EA476" t="str" cm="1">
        <f t="array" ref="EA476">IFERROR(
    TRANSPOSE(
        _xlfn.UNIQUE(
            _xlfn._xlws.FILTER(
                Tabla1__2[NOMBRE_DOCENTE],
                ISNUMBER(MATCH(Tabla1__2[MAESTRIA],BQ476:DY476,0))
            )
        )
    ),
"")</f>
        <v/>
      </c>
    </row>
    <row r="477" spans="1:131" ht="20.25" customHeight="1">
      <c r="A477" t="str" cm="1">
        <f t="array" ref="A477">TRANSPOSE(_xlfn.UNIQUE(_xlfn._xlws.FILTER(T_ASIGNATURA1[ID_NIVEL],T_ASIGNATURA1[ID_CARRERA]=ASIGNACION!$A477,"No existe información")))</f>
        <v>No existe información</v>
      </c>
      <c r="S477" t="str" cm="1">
        <f t="array" ref="S477">TRANSPOSE(_xlfn.UNIQUE(_xlfn._xlws.FILTER(T_ASIGNATURA1[NOM_ASIG],(T_ASIGNATURA1[ID_NIVEL]=ASIGNACION!$C477)*(T_ASIGNATURA1[ID_CARRERA]=ASIGNACION!$A477),"No existe información")))</f>
        <v>No existe información</v>
      </c>
      <c r="BQ477" s="1" t="str" cm="1">
        <f t="array" ref="BQ477">IFERROR(
    TRANSPOSE(
        _xlfn.UNIQUE(
            _xlfn._xlws.FILTER(
                Tabla1_1[MAESTRIA],
                ISNUMBER(MATCH(Tabla1_1[CAMPO_DETALLADO],BD478:BP478,0))
            )
        )
    ),
"")</f>
        <v/>
      </c>
      <c r="EA477" t="str" cm="1">
        <f t="array" ref="EA477">IFERROR(
    TRANSPOSE(
        _xlfn.UNIQUE(
            _xlfn._xlws.FILTER(
                Tabla1__2[NOMBRE_DOCENTE],
                ISNUMBER(MATCH(Tabla1__2[MAESTRIA],BQ477:DY477,0))
            )
        )
    ),
"")</f>
        <v/>
      </c>
    </row>
    <row r="478" spans="1:131" ht="20.25" customHeight="1">
      <c r="A478" t="str" cm="1">
        <f t="array" ref="A478">TRANSPOSE(_xlfn.UNIQUE(_xlfn._xlws.FILTER(T_ASIGNATURA1[ID_NIVEL],T_ASIGNATURA1[ID_CARRERA]=ASIGNACION!$A478,"No existe información")))</f>
        <v>No existe información</v>
      </c>
      <c r="S478" t="str" cm="1">
        <f t="array" ref="S478">TRANSPOSE(_xlfn.UNIQUE(_xlfn._xlws.FILTER(T_ASIGNATURA1[NOM_ASIG],(T_ASIGNATURA1[ID_NIVEL]=ASIGNACION!$C478)*(T_ASIGNATURA1[ID_CARRERA]=ASIGNACION!$A478),"No existe información")))</f>
        <v>No existe información</v>
      </c>
      <c r="BQ478" s="1" t="str" cm="1">
        <f t="array" ref="BQ478">IFERROR(
    TRANSPOSE(
        _xlfn.UNIQUE(
            _xlfn._xlws.FILTER(
                Tabla1_1[MAESTRIA],
                ISNUMBER(MATCH(Tabla1_1[CAMPO_DETALLADO],BD479:BP479,0))
            )
        )
    ),
"")</f>
        <v/>
      </c>
      <c r="EA478" t="str" cm="1">
        <f t="array" ref="EA478">IFERROR(
    TRANSPOSE(
        _xlfn.UNIQUE(
            _xlfn._xlws.FILTER(
                Tabla1__2[NOMBRE_DOCENTE],
                ISNUMBER(MATCH(Tabla1__2[MAESTRIA],BQ478:DY478,0))
            )
        )
    ),
"")</f>
        <v/>
      </c>
    </row>
    <row r="479" spans="1:131" ht="20.25" customHeight="1">
      <c r="A479" t="str" cm="1">
        <f t="array" ref="A479">TRANSPOSE(_xlfn.UNIQUE(_xlfn._xlws.FILTER(T_ASIGNATURA1[ID_NIVEL],T_ASIGNATURA1[ID_CARRERA]=ASIGNACION!$A479,"No existe información")))</f>
        <v>No existe información</v>
      </c>
      <c r="S479" t="str" cm="1">
        <f t="array" ref="S479">TRANSPOSE(_xlfn.UNIQUE(_xlfn._xlws.FILTER(T_ASIGNATURA1[NOM_ASIG],(T_ASIGNATURA1[ID_NIVEL]=ASIGNACION!$C479)*(T_ASIGNATURA1[ID_CARRERA]=ASIGNACION!$A479),"No existe información")))</f>
        <v>No existe información</v>
      </c>
      <c r="BQ479" s="1" t="str" cm="1">
        <f t="array" ref="BQ479">IFERROR(
    TRANSPOSE(
        _xlfn.UNIQUE(
            _xlfn._xlws.FILTER(
                Tabla1_1[MAESTRIA],
                ISNUMBER(MATCH(Tabla1_1[CAMPO_DETALLADO],BD480:BP480,0))
            )
        )
    ),
"")</f>
        <v/>
      </c>
      <c r="EA479" t="str" cm="1">
        <f t="array" ref="EA479">IFERROR(
    TRANSPOSE(
        _xlfn.UNIQUE(
            _xlfn._xlws.FILTER(
                Tabla1__2[NOMBRE_DOCENTE],
                ISNUMBER(MATCH(Tabla1__2[MAESTRIA],BQ479:DY479,0))
            )
        )
    ),
"")</f>
        <v/>
      </c>
    </row>
    <row r="480" spans="1:131" ht="20.25" customHeight="1">
      <c r="A480" t="str" cm="1">
        <f t="array" ref="A480">TRANSPOSE(_xlfn.UNIQUE(_xlfn._xlws.FILTER(T_ASIGNATURA1[ID_NIVEL],T_ASIGNATURA1[ID_CARRERA]=ASIGNACION!$A480,"No existe información")))</f>
        <v>No existe información</v>
      </c>
      <c r="S480" t="str" cm="1">
        <f t="array" ref="S480">TRANSPOSE(_xlfn.UNIQUE(_xlfn._xlws.FILTER(T_ASIGNATURA1[NOM_ASIG],(T_ASIGNATURA1[ID_NIVEL]=ASIGNACION!$C480)*(T_ASIGNATURA1[ID_CARRERA]=ASIGNACION!$A480),"No existe información")))</f>
        <v>No existe información</v>
      </c>
      <c r="BQ480" s="1" t="str" cm="1">
        <f t="array" ref="BQ480">IFERROR(
    TRANSPOSE(
        _xlfn.UNIQUE(
            _xlfn._xlws.FILTER(
                Tabla1_1[MAESTRIA],
                ISNUMBER(MATCH(Tabla1_1[CAMPO_DETALLADO],BD481:BP481,0))
            )
        )
    ),
"")</f>
        <v/>
      </c>
      <c r="EA480" t="str" cm="1">
        <f t="array" ref="EA480">IFERROR(
    TRANSPOSE(
        _xlfn.UNIQUE(
            _xlfn._xlws.FILTER(
                Tabla1__2[NOMBRE_DOCENTE],
                ISNUMBER(MATCH(Tabla1__2[MAESTRIA],BQ480:DY480,0))
            )
        )
    ),
"")</f>
        <v/>
      </c>
    </row>
    <row r="481" spans="1:131" ht="20.25" customHeight="1">
      <c r="A481" t="str" cm="1">
        <f t="array" ref="A481">TRANSPOSE(_xlfn.UNIQUE(_xlfn._xlws.FILTER(T_ASIGNATURA1[ID_NIVEL],T_ASIGNATURA1[ID_CARRERA]=ASIGNACION!$A481,"No existe información")))</f>
        <v>No existe información</v>
      </c>
      <c r="S481" t="str" cm="1">
        <f t="array" ref="S481">TRANSPOSE(_xlfn.UNIQUE(_xlfn._xlws.FILTER(T_ASIGNATURA1[NOM_ASIG],(T_ASIGNATURA1[ID_NIVEL]=ASIGNACION!$C481)*(T_ASIGNATURA1[ID_CARRERA]=ASIGNACION!$A481),"No existe información")))</f>
        <v>No existe información</v>
      </c>
      <c r="BQ481" s="1" t="str" cm="1">
        <f t="array" ref="BQ481">IFERROR(
    TRANSPOSE(
        _xlfn.UNIQUE(
            _xlfn._xlws.FILTER(
                Tabla1_1[MAESTRIA],
                ISNUMBER(MATCH(Tabla1_1[CAMPO_DETALLADO],BD482:BP482,0))
            )
        )
    ),
"")</f>
        <v/>
      </c>
      <c r="EA481" t="str" cm="1">
        <f t="array" ref="EA481">IFERROR(
    TRANSPOSE(
        _xlfn.UNIQUE(
            _xlfn._xlws.FILTER(
                Tabla1__2[NOMBRE_DOCENTE],
                ISNUMBER(MATCH(Tabla1__2[MAESTRIA],BQ481:DY481,0))
            )
        )
    ),
"")</f>
        <v/>
      </c>
    </row>
    <row r="482" spans="1:131" ht="20.25" customHeight="1">
      <c r="A482" t="str" cm="1">
        <f t="array" ref="A482">TRANSPOSE(_xlfn.UNIQUE(_xlfn._xlws.FILTER(T_ASIGNATURA1[ID_NIVEL],T_ASIGNATURA1[ID_CARRERA]=ASIGNACION!$A482,"No existe información")))</f>
        <v>No existe información</v>
      </c>
      <c r="S482" t="str" cm="1">
        <f t="array" ref="S482">TRANSPOSE(_xlfn.UNIQUE(_xlfn._xlws.FILTER(T_ASIGNATURA1[NOM_ASIG],(T_ASIGNATURA1[ID_NIVEL]=ASIGNACION!$C482)*(T_ASIGNATURA1[ID_CARRERA]=ASIGNACION!$A482),"No existe información")))</f>
        <v>No existe información</v>
      </c>
      <c r="BQ482" s="1" t="str" cm="1">
        <f t="array" ref="BQ482">IFERROR(
    TRANSPOSE(
        _xlfn.UNIQUE(
            _xlfn._xlws.FILTER(
                Tabla1_1[MAESTRIA],
                ISNUMBER(MATCH(Tabla1_1[CAMPO_DETALLADO],BD483:BP483,0))
            )
        )
    ),
"")</f>
        <v/>
      </c>
      <c r="EA482" t="str" cm="1">
        <f t="array" ref="EA482">IFERROR(
    TRANSPOSE(
        _xlfn.UNIQUE(
            _xlfn._xlws.FILTER(
                Tabla1__2[NOMBRE_DOCENTE],
                ISNUMBER(MATCH(Tabla1__2[MAESTRIA],BQ482:DY482,0))
            )
        )
    ),
"")</f>
        <v/>
      </c>
    </row>
    <row r="483" spans="1:131" ht="20.25" customHeight="1">
      <c r="A483" t="str" cm="1">
        <f t="array" ref="A483">TRANSPOSE(_xlfn.UNIQUE(_xlfn._xlws.FILTER(T_ASIGNATURA1[ID_NIVEL],T_ASIGNATURA1[ID_CARRERA]=ASIGNACION!$A483,"No existe información")))</f>
        <v>No existe información</v>
      </c>
      <c r="S483" t="str" cm="1">
        <f t="array" ref="S483">TRANSPOSE(_xlfn.UNIQUE(_xlfn._xlws.FILTER(T_ASIGNATURA1[NOM_ASIG],(T_ASIGNATURA1[ID_NIVEL]=ASIGNACION!$C483)*(T_ASIGNATURA1[ID_CARRERA]=ASIGNACION!$A483),"No existe información")))</f>
        <v>No existe información</v>
      </c>
      <c r="BQ483" s="1" t="str" cm="1">
        <f t="array" ref="BQ483">IFERROR(
    TRANSPOSE(
        _xlfn.UNIQUE(
            _xlfn._xlws.FILTER(
                Tabla1_1[MAESTRIA],
                ISNUMBER(MATCH(Tabla1_1[CAMPO_DETALLADO],BD484:BP484,0))
            )
        )
    ),
"")</f>
        <v/>
      </c>
      <c r="EA483" t="str" cm="1">
        <f t="array" ref="EA483">IFERROR(
    TRANSPOSE(
        _xlfn.UNIQUE(
            _xlfn._xlws.FILTER(
                Tabla1__2[NOMBRE_DOCENTE],
                ISNUMBER(MATCH(Tabla1__2[MAESTRIA],BQ483:DY483,0))
            )
        )
    ),
"")</f>
        <v/>
      </c>
    </row>
    <row r="484" spans="1:131" ht="20.25" customHeight="1">
      <c r="A484" t="str" cm="1">
        <f t="array" ref="A484">TRANSPOSE(_xlfn.UNIQUE(_xlfn._xlws.FILTER(T_ASIGNATURA1[ID_NIVEL],T_ASIGNATURA1[ID_CARRERA]=ASIGNACION!$A484,"No existe información")))</f>
        <v>No existe información</v>
      </c>
      <c r="S484" t="str" cm="1">
        <f t="array" ref="S484">TRANSPOSE(_xlfn.UNIQUE(_xlfn._xlws.FILTER(T_ASIGNATURA1[NOM_ASIG],(T_ASIGNATURA1[ID_NIVEL]=ASIGNACION!$C484)*(T_ASIGNATURA1[ID_CARRERA]=ASIGNACION!$A484),"No existe información")))</f>
        <v>No existe información</v>
      </c>
      <c r="BQ484" s="1" t="str" cm="1">
        <f t="array" ref="BQ484">IFERROR(
    TRANSPOSE(
        _xlfn.UNIQUE(
            _xlfn._xlws.FILTER(
                Tabla1_1[MAESTRIA],
                ISNUMBER(MATCH(Tabla1_1[CAMPO_DETALLADO],BD485:BP485,0))
            )
        )
    ),
"")</f>
        <v/>
      </c>
      <c r="EA484" t="str" cm="1">
        <f t="array" ref="EA484">IFERROR(
    TRANSPOSE(
        _xlfn.UNIQUE(
            _xlfn._xlws.FILTER(
                Tabla1__2[NOMBRE_DOCENTE],
                ISNUMBER(MATCH(Tabla1__2[MAESTRIA],BQ484:DY484,0))
            )
        )
    ),
"")</f>
        <v/>
      </c>
    </row>
    <row r="485" spans="1:131" ht="20.25" customHeight="1">
      <c r="A485" t="str" cm="1">
        <f t="array" ref="A485">TRANSPOSE(_xlfn.UNIQUE(_xlfn._xlws.FILTER(T_ASIGNATURA1[ID_NIVEL],T_ASIGNATURA1[ID_CARRERA]=ASIGNACION!$A485,"No existe información")))</f>
        <v>No existe información</v>
      </c>
      <c r="S485" t="str" cm="1">
        <f t="array" ref="S485">TRANSPOSE(_xlfn.UNIQUE(_xlfn._xlws.FILTER(T_ASIGNATURA1[NOM_ASIG],(T_ASIGNATURA1[ID_NIVEL]=ASIGNACION!$C485)*(T_ASIGNATURA1[ID_CARRERA]=ASIGNACION!$A485),"No existe información")))</f>
        <v>No existe información</v>
      </c>
      <c r="BQ485" s="1" t="str" cm="1">
        <f t="array" ref="BQ485">IFERROR(
    TRANSPOSE(
        _xlfn.UNIQUE(
            _xlfn._xlws.FILTER(
                Tabla1_1[MAESTRIA],
                ISNUMBER(MATCH(Tabla1_1[CAMPO_DETALLADO],BD486:BP486,0))
            )
        )
    ),
"")</f>
        <v/>
      </c>
      <c r="EA485" t="str" cm="1">
        <f t="array" ref="EA485">IFERROR(
    TRANSPOSE(
        _xlfn.UNIQUE(
            _xlfn._xlws.FILTER(
                Tabla1__2[NOMBRE_DOCENTE],
                ISNUMBER(MATCH(Tabla1__2[MAESTRIA],BQ485:DY485,0))
            )
        )
    ),
"")</f>
        <v/>
      </c>
    </row>
    <row r="486" spans="1:131" ht="20.25" customHeight="1">
      <c r="A486" t="str" cm="1">
        <f t="array" ref="A486">TRANSPOSE(_xlfn.UNIQUE(_xlfn._xlws.FILTER(T_ASIGNATURA1[ID_NIVEL],T_ASIGNATURA1[ID_CARRERA]=ASIGNACION!$A486,"No existe información")))</f>
        <v>No existe información</v>
      </c>
      <c r="S486" t="str" cm="1">
        <f t="array" ref="S486">TRANSPOSE(_xlfn.UNIQUE(_xlfn._xlws.FILTER(T_ASIGNATURA1[NOM_ASIG],(T_ASIGNATURA1[ID_NIVEL]=ASIGNACION!$C486)*(T_ASIGNATURA1[ID_CARRERA]=ASIGNACION!$A486),"No existe información")))</f>
        <v>No existe información</v>
      </c>
      <c r="BQ486" s="1" t="str" cm="1">
        <f t="array" ref="BQ486">IFERROR(
    TRANSPOSE(
        _xlfn.UNIQUE(
            _xlfn._xlws.FILTER(
                Tabla1_1[MAESTRIA],
                ISNUMBER(MATCH(Tabla1_1[CAMPO_DETALLADO],BD487:BP487,0))
            )
        )
    ),
"")</f>
        <v/>
      </c>
      <c r="EA486" t="str" cm="1">
        <f t="array" ref="EA486">IFERROR(
    TRANSPOSE(
        _xlfn.UNIQUE(
            _xlfn._xlws.FILTER(
                Tabla1__2[NOMBRE_DOCENTE],
                ISNUMBER(MATCH(Tabla1__2[MAESTRIA],BQ486:DY486,0))
            )
        )
    ),
"")</f>
        <v/>
      </c>
    </row>
    <row r="487" spans="1:131" ht="20.25" customHeight="1">
      <c r="A487" t="str" cm="1">
        <f t="array" ref="A487">TRANSPOSE(_xlfn.UNIQUE(_xlfn._xlws.FILTER(T_ASIGNATURA1[ID_NIVEL],T_ASIGNATURA1[ID_CARRERA]=ASIGNACION!$A487,"No existe información")))</f>
        <v>No existe información</v>
      </c>
      <c r="S487" t="str" cm="1">
        <f t="array" ref="S487">TRANSPOSE(_xlfn.UNIQUE(_xlfn._xlws.FILTER(T_ASIGNATURA1[NOM_ASIG],(T_ASIGNATURA1[ID_NIVEL]=ASIGNACION!$C487)*(T_ASIGNATURA1[ID_CARRERA]=ASIGNACION!$A487),"No existe información")))</f>
        <v>No existe información</v>
      </c>
      <c r="BQ487" s="1" t="str" cm="1">
        <f t="array" ref="BQ487">IFERROR(
    TRANSPOSE(
        _xlfn.UNIQUE(
            _xlfn._xlws.FILTER(
                Tabla1_1[MAESTRIA],
                ISNUMBER(MATCH(Tabla1_1[CAMPO_DETALLADO],BD488:BP488,0))
            )
        )
    ),
"")</f>
        <v/>
      </c>
      <c r="EA487" t="str" cm="1">
        <f t="array" ref="EA487">IFERROR(
    TRANSPOSE(
        _xlfn.UNIQUE(
            _xlfn._xlws.FILTER(
                Tabla1__2[NOMBRE_DOCENTE],
                ISNUMBER(MATCH(Tabla1__2[MAESTRIA],BQ487:DY487,0))
            )
        )
    ),
"")</f>
        <v/>
      </c>
    </row>
    <row r="488" spans="1:131" ht="20.25" customHeight="1">
      <c r="A488" t="str" cm="1">
        <f t="array" ref="A488">TRANSPOSE(_xlfn.UNIQUE(_xlfn._xlws.FILTER(T_ASIGNATURA1[ID_NIVEL],T_ASIGNATURA1[ID_CARRERA]=ASIGNACION!$A488,"No existe información")))</f>
        <v>No existe información</v>
      </c>
      <c r="S488" t="str" cm="1">
        <f t="array" ref="S488">TRANSPOSE(_xlfn.UNIQUE(_xlfn._xlws.FILTER(T_ASIGNATURA1[NOM_ASIG],(T_ASIGNATURA1[ID_NIVEL]=ASIGNACION!$C488)*(T_ASIGNATURA1[ID_CARRERA]=ASIGNACION!$A488),"No existe información")))</f>
        <v>No existe información</v>
      </c>
      <c r="BQ488" s="1" t="str" cm="1">
        <f t="array" ref="BQ488">IFERROR(
    TRANSPOSE(
        _xlfn.UNIQUE(
            _xlfn._xlws.FILTER(
                Tabla1_1[MAESTRIA],
                ISNUMBER(MATCH(Tabla1_1[CAMPO_DETALLADO],BD489:BP489,0))
            )
        )
    ),
"")</f>
        <v/>
      </c>
      <c r="EA488" t="str" cm="1">
        <f t="array" ref="EA488">IFERROR(
    TRANSPOSE(
        _xlfn.UNIQUE(
            _xlfn._xlws.FILTER(
                Tabla1__2[NOMBRE_DOCENTE],
                ISNUMBER(MATCH(Tabla1__2[MAESTRIA],BQ488:DY488,0))
            )
        )
    ),
"")</f>
        <v/>
      </c>
    </row>
    <row r="489" spans="1:131" ht="20.25" customHeight="1">
      <c r="A489" t="str" cm="1">
        <f t="array" ref="A489">TRANSPOSE(_xlfn.UNIQUE(_xlfn._xlws.FILTER(T_ASIGNATURA1[ID_NIVEL],T_ASIGNATURA1[ID_CARRERA]=ASIGNACION!$A489,"No existe información")))</f>
        <v>No existe información</v>
      </c>
      <c r="S489" t="str" cm="1">
        <f t="array" ref="S489">TRANSPOSE(_xlfn.UNIQUE(_xlfn._xlws.FILTER(T_ASIGNATURA1[NOM_ASIG],(T_ASIGNATURA1[ID_NIVEL]=ASIGNACION!$C489)*(T_ASIGNATURA1[ID_CARRERA]=ASIGNACION!$A489),"No existe información")))</f>
        <v>No existe información</v>
      </c>
      <c r="BQ489" s="1" t="str" cm="1">
        <f t="array" ref="BQ489">IFERROR(
    TRANSPOSE(
        _xlfn.UNIQUE(
            _xlfn._xlws.FILTER(
                Tabla1_1[MAESTRIA],
                ISNUMBER(MATCH(Tabla1_1[CAMPO_DETALLADO],BD490:BP490,0))
            )
        )
    ),
"")</f>
        <v/>
      </c>
      <c r="EA489" t="str" cm="1">
        <f t="array" ref="EA489">IFERROR(
    TRANSPOSE(
        _xlfn.UNIQUE(
            _xlfn._xlws.FILTER(
                Tabla1__2[NOMBRE_DOCENTE],
                ISNUMBER(MATCH(Tabla1__2[MAESTRIA],BQ489:DY489,0))
            )
        )
    ),
"")</f>
        <v/>
      </c>
    </row>
    <row r="490" spans="1:131" ht="20.25" customHeight="1">
      <c r="A490" t="str" cm="1">
        <f t="array" ref="A490">TRANSPOSE(_xlfn.UNIQUE(_xlfn._xlws.FILTER(T_ASIGNATURA1[ID_NIVEL],T_ASIGNATURA1[ID_CARRERA]=ASIGNACION!$A490,"No existe información")))</f>
        <v>No existe información</v>
      </c>
      <c r="S490" t="str" cm="1">
        <f t="array" ref="S490">TRANSPOSE(_xlfn.UNIQUE(_xlfn._xlws.FILTER(T_ASIGNATURA1[NOM_ASIG],(T_ASIGNATURA1[ID_NIVEL]=ASIGNACION!$C490)*(T_ASIGNATURA1[ID_CARRERA]=ASIGNACION!$A490),"No existe información")))</f>
        <v>No existe información</v>
      </c>
      <c r="BQ490" s="1" t="str" cm="1">
        <f t="array" ref="BQ490">IFERROR(
    TRANSPOSE(
        _xlfn.UNIQUE(
            _xlfn._xlws.FILTER(
                Tabla1_1[MAESTRIA],
                ISNUMBER(MATCH(Tabla1_1[CAMPO_DETALLADO],BD491:BP491,0))
            )
        )
    ),
"")</f>
        <v/>
      </c>
      <c r="EA490" t="str" cm="1">
        <f t="array" ref="EA490">IFERROR(
    TRANSPOSE(
        _xlfn.UNIQUE(
            _xlfn._xlws.FILTER(
                Tabla1__2[NOMBRE_DOCENTE],
                ISNUMBER(MATCH(Tabla1__2[MAESTRIA],BQ490:DY490,0))
            )
        )
    ),
"")</f>
        <v/>
      </c>
    </row>
    <row r="491" spans="1:131" ht="20.25" customHeight="1">
      <c r="A491" t="str" cm="1">
        <f t="array" ref="A491">TRANSPOSE(_xlfn.UNIQUE(_xlfn._xlws.FILTER(T_ASIGNATURA1[ID_NIVEL],T_ASIGNATURA1[ID_CARRERA]=ASIGNACION!$A491,"No existe información")))</f>
        <v>No existe información</v>
      </c>
      <c r="S491" t="str" cm="1">
        <f t="array" ref="S491">TRANSPOSE(_xlfn.UNIQUE(_xlfn._xlws.FILTER(T_ASIGNATURA1[NOM_ASIG],(T_ASIGNATURA1[ID_NIVEL]=ASIGNACION!$C491)*(T_ASIGNATURA1[ID_CARRERA]=ASIGNACION!$A491),"No existe información")))</f>
        <v>No existe información</v>
      </c>
      <c r="BQ491" s="1" t="str" cm="1">
        <f t="array" ref="BQ491">IFERROR(
    TRANSPOSE(
        _xlfn.UNIQUE(
            _xlfn._xlws.FILTER(
                Tabla1_1[MAESTRIA],
                ISNUMBER(MATCH(Tabla1_1[CAMPO_DETALLADO],BD492:BP492,0))
            )
        )
    ),
"")</f>
        <v/>
      </c>
      <c r="EA491" t="str" cm="1">
        <f t="array" ref="EA491">IFERROR(
    TRANSPOSE(
        _xlfn.UNIQUE(
            _xlfn._xlws.FILTER(
                Tabla1__2[NOMBRE_DOCENTE],
                ISNUMBER(MATCH(Tabla1__2[MAESTRIA],BQ491:DY491,0))
            )
        )
    ),
"")</f>
        <v/>
      </c>
    </row>
    <row r="492" spans="1:131" ht="20.25" customHeight="1">
      <c r="A492" t="str" cm="1">
        <f t="array" ref="A492">TRANSPOSE(_xlfn.UNIQUE(_xlfn._xlws.FILTER(T_ASIGNATURA1[ID_NIVEL],T_ASIGNATURA1[ID_CARRERA]=ASIGNACION!$A492,"No existe información")))</f>
        <v>No existe información</v>
      </c>
      <c r="S492" t="str" cm="1">
        <f t="array" ref="S492">TRANSPOSE(_xlfn.UNIQUE(_xlfn._xlws.FILTER(T_ASIGNATURA1[NOM_ASIG],(T_ASIGNATURA1[ID_NIVEL]=ASIGNACION!$C492)*(T_ASIGNATURA1[ID_CARRERA]=ASIGNACION!$A492),"No existe información")))</f>
        <v>No existe información</v>
      </c>
      <c r="BQ492" s="1" t="str" cm="1">
        <f t="array" ref="BQ492">IFERROR(
    TRANSPOSE(
        _xlfn.UNIQUE(
            _xlfn._xlws.FILTER(
                Tabla1_1[MAESTRIA],
                ISNUMBER(MATCH(Tabla1_1[CAMPO_DETALLADO],BD493:BP493,0))
            )
        )
    ),
"")</f>
        <v/>
      </c>
      <c r="EA492" t="str" cm="1">
        <f t="array" ref="EA492">IFERROR(
    TRANSPOSE(
        _xlfn.UNIQUE(
            _xlfn._xlws.FILTER(
                Tabla1__2[NOMBRE_DOCENTE],
                ISNUMBER(MATCH(Tabla1__2[MAESTRIA],BQ492:DY492,0))
            )
        )
    ),
"")</f>
        <v/>
      </c>
    </row>
    <row r="493" spans="1:131" ht="20.25" customHeight="1">
      <c r="A493" t="str" cm="1">
        <f t="array" ref="A493">TRANSPOSE(_xlfn.UNIQUE(_xlfn._xlws.FILTER(T_ASIGNATURA1[ID_NIVEL],T_ASIGNATURA1[ID_CARRERA]=ASIGNACION!$A493,"No existe información")))</f>
        <v>No existe información</v>
      </c>
      <c r="S493" t="str" cm="1">
        <f t="array" ref="S493">TRANSPOSE(_xlfn.UNIQUE(_xlfn._xlws.FILTER(T_ASIGNATURA1[NOM_ASIG],(T_ASIGNATURA1[ID_NIVEL]=ASIGNACION!$C493)*(T_ASIGNATURA1[ID_CARRERA]=ASIGNACION!$A493),"No existe información")))</f>
        <v>No existe información</v>
      </c>
      <c r="BQ493" s="1" t="str" cm="1">
        <f t="array" ref="BQ493">IFERROR(
    TRANSPOSE(
        _xlfn.UNIQUE(
            _xlfn._xlws.FILTER(
                Tabla1_1[MAESTRIA],
                ISNUMBER(MATCH(Tabla1_1[CAMPO_DETALLADO],BD494:BP494,0))
            )
        )
    ),
"")</f>
        <v/>
      </c>
      <c r="EA493" t="str" cm="1">
        <f t="array" ref="EA493">IFERROR(
    TRANSPOSE(
        _xlfn.UNIQUE(
            _xlfn._xlws.FILTER(
                Tabla1__2[NOMBRE_DOCENTE],
                ISNUMBER(MATCH(Tabla1__2[MAESTRIA],BQ493:DY493,0))
            )
        )
    ),
"")</f>
        <v/>
      </c>
    </row>
    <row r="494" spans="1:131" ht="20.25" customHeight="1">
      <c r="A494" t="str" cm="1">
        <f t="array" ref="A494">TRANSPOSE(_xlfn.UNIQUE(_xlfn._xlws.FILTER(T_ASIGNATURA1[ID_NIVEL],T_ASIGNATURA1[ID_CARRERA]=ASIGNACION!$A494,"No existe información")))</f>
        <v>No existe información</v>
      </c>
      <c r="S494" t="str" cm="1">
        <f t="array" ref="S494">TRANSPOSE(_xlfn.UNIQUE(_xlfn._xlws.FILTER(T_ASIGNATURA1[NOM_ASIG],(T_ASIGNATURA1[ID_NIVEL]=ASIGNACION!$C494)*(T_ASIGNATURA1[ID_CARRERA]=ASIGNACION!$A494),"No existe información")))</f>
        <v>No existe información</v>
      </c>
      <c r="BQ494" s="1" t="str" cm="1">
        <f t="array" ref="BQ494">IFERROR(
    TRANSPOSE(
        _xlfn.UNIQUE(
            _xlfn._xlws.FILTER(
                Tabla1_1[MAESTRIA],
                ISNUMBER(MATCH(Tabla1_1[CAMPO_DETALLADO],BD495:BP495,0))
            )
        )
    ),
"")</f>
        <v/>
      </c>
      <c r="EA494" t="str" cm="1">
        <f t="array" ref="EA494">IFERROR(
    TRANSPOSE(
        _xlfn.UNIQUE(
            _xlfn._xlws.FILTER(
                Tabla1__2[NOMBRE_DOCENTE],
                ISNUMBER(MATCH(Tabla1__2[MAESTRIA],BQ494:DY494,0))
            )
        )
    ),
"")</f>
        <v/>
      </c>
    </row>
    <row r="495" spans="1:131" ht="20.25" customHeight="1">
      <c r="A495" t="str" cm="1">
        <f t="array" ref="A495">TRANSPOSE(_xlfn.UNIQUE(_xlfn._xlws.FILTER(T_ASIGNATURA1[ID_NIVEL],T_ASIGNATURA1[ID_CARRERA]=ASIGNACION!$A495,"No existe información")))</f>
        <v>No existe información</v>
      </c>
      <c r="S495" t="str" cm="1">
        <f t="array" ref="S495">TRANSPOSE(_xlfn.UNIQUE(_xlfn._xlws.FILTER(T_ASIGNATURA1[NOM_ASIG],(T_ASIGNATURA1[ID_NIVEL]=ASIGNACION!$C495)*(T_ASIGNATURA1[ID_CARRERA]=ASIGNACION!$A495),"No existe información")))</f>
        <v>No existe información</v>
      </c>
      <c r="BQ495" s="1" t="str" cm="1">
        <f t="array" ref="BQ495">IFERROR(
    TRANSPOSE(
        _xlfn.UNIQUE(
            _xlfn._xlws.FILTER(
                Tabla1_1[MAESTRIA],
                ISNUMBER(MATCH(Tabla1_1[CAMPO_DETALLADO],BD496:BP496,0))
            )
        )
    ),
"")</f>
        <v/>
      </c>
      <c r="EA495" t="str" cm="1">
        <f t="array" ref="EA495">IFERROR(
    TRANSPOSE(
        _xlfn.UNIQUE(
            _xlfn._xlws.FILTER(
                Tabla1__2[NOMBRE_DOCENTE],
                ISNUMBER(MATCH(Tabla1__2[MAESTRIA],BQ495:DY495,0))
            )
        )
    ),
"")</f>
        <v/>
      </c>
    </row>
    <row r="496" spans="1:131" ht="20.25" customHeight="1">
      <c r="A496" t="str" cm="1">
        <f t="array" ref="A496">TRANSPOSE(_xlfn.UNIQUE(_xlfn._xlws.FILTER(T_ASIGNATURA1[ID_NIVEL],T_ASIGNATURA1[ID_CARRERA]=ASIGNACION!$A496,"No existe información")))</f>
        <v>No existe información</v>
      </c>
      <c r="S496" t="str" cm="1">
        <f t="array" ref="S496">TRANSPOSE(_xlfn.UNIQUE(_xlfn._xlws.FILTER(T_ASIGNATURA1[NOM_ASIG],(T_ASIGNATURA1[ID_NIVEL]=ASIGNACION!$C496)*(T_ASIGNATURA1[ID_CARRERA]=ASIGNACION!$A496),"No existe información")))</f>
        <v>No existe información</v>
      </c>
      <c r="BQ496" s="1" t="str" cm="1">
        <f t="array" ref="BQ496">IFERROR(
    TRANSPOSE(
        _xlfn.UNIQUE(
            _xlfn._xlws.FILTER(
                Tabla1_1[MAESTRIA],
                ISNUMBER(MATCH(Tabla1_1[CAMPO_DETALLADO],BD497:BP497,0))
            )
        )
    ),
"")</f>
        <v/>
      </c>
      <c r="EA496" t="str" cm="1">
        <f t="array" ref="EA496">IFERROR(
    TRANSPOSE(
        _xlfn.UNIQUE(
            _xlfn._xlws.FILTER(
                Tabla1__2[NOMBRE_DOCENTE],
                ISNUMBER(MATCH(Tabla1__2[MAESTRIA],BQ496:DY496,0))
            )
        )
    ),
"")</f>
        <v/>
      </c>
    </row>
    <row r="497" spans="1:131" ht="20.25" customHeight="1">
      <c r="A497" t="str" cm="1">
        <f t="array" ref="A497">TRANSPOSE(_xlfn.UNIQUE(_xlfn._xlws.FILTER(T_ASIGNATURA1[ID_NIVEL],T_ASIGNATURA1[ID_CARRERA]=ASIGNACION!$A497,"No existe información")))</f>
        <v>No existe información</v>
      </c>
      <c r="S497" t="str" cm="1">
        <f t="array" ref="S497">TRANSPOSE(_xlfn.UNIQUE(_xlfn._xlws.FILTER(T_ASIGNATURA1[NOM_ASIG],(T_ASIGNATURA1[ID_NIVEL]=ASIGNACION!$C497)*(T_ASIGNATURA1[ID_CARRERA]=ASIGNACION!$A497),"No existe información")))</f>
        <v>No existe información</v>
      </c>
      <c r="BQ497" s="1" t="str" cm="1">
        <f t="array" ref="BQ497">IFERROR(
    TRANSPOSE(
        _xlfn.UNIQUE(
            _xlfn._xlws.FILTER(
                Tabla1_1[MAESTRIA],
                ISNUMBER(MATCH(Tabla1_1[CAMPO_DETALLADO],BD498:BP498,0))
            )
        )
    ),
"")</f>
        <v/>
      </c>
      <c r="EA497" t="str" cm="1">
        <f t="array" ref="EA497">IFERROR(
    TRANSPOSE(
        _xlfn.UNIQUE(
            _xlfn._xlws.FILTER(
                Tabla1__2[NOMBRE_DOCENTE],
                ISNUMBER(MATCH(Tabla1__2[MAESTRIA],BQ497:DY497,0))
            )
        )
    ),
"")</f>
        <v/>
      </c>
    </row>
    <row r="498" spans="1:131" ht="20.25" customHeight="1">
      <c r="A498" t="str" cm="1">
        <f t="array" ref="A498">TRANSPOSE(_xlfn.UNIQUE(_xlfn._xlws.FILTER(T_ASIGNATURA1[ID_NIVEL],T_ASIGNATURA1[ID_CARRERA]=ASIGNACION!$A498,"No existe información")))</f>
        <v>No existe información</v>
      </c>
      <c r="S498" t="str" cm="1">
        <f t="array" ref="S498">TRANSPOSE(_xlfn.UNIQUE(_xlfn._xlws.FILTER(T_ASIGNATURA1[NOM_ASIG],(T_ASIGNATURA1[ID_NIVEL]=ASIGNACION!$C498)*(T_ASIGNATURA1[ID_CARRERA]=ASIGNACION!$A498),"No existe información")))</f>
        <v>No existe información</v>
      </c>
      <c r="BQ498" s="1" t="str" cm="1">
        <f t="array" ref="BQ498">IFERROR(
    TRANSPOSE(
        _xlfn.UNIQUE(
            _xlfn._xlws.FILTER(
                Tabla1_1[MAESTRIA],
                ISNUMBER(MATCH(Tabla1_1[CAMPO_DETALLADO],BD499:BP499,0))
            )
        )
    ),
"")</f>
        <v/>
      </c>
      <c r="EA498" t="str" cm="1">
        <f t="array" ref="EA498">IFERROR(
    TRANSPOSE(
        _xlfn.UNIQUE(
            _xlfn._xlws.FILTER(
                Tabla1__2[NOMBRE_DOCENTE],
                ISNUMBER(MATCH(Tabla1__2[MAESTRIA],BQ498:DY498,0))
            )
        )
    ),
"")</f>
        <v/>
      </c>
    </row>
    <row r="499" spans="1:131" ht="20.25" customHeight="1">
      <c r="A499" t="str" cm="1">
        <f t="array" ref="A499">TRANSPOSE(_xlfn.UNIQUE(_xlfn._xlws.FILTER(T_ASIGNATURA1[ID_NIVEL],T_ASIGNATURA1[ID_CARRERA]=ASIGNACION!$A499,"No existe información")))</f>
        <v>No existe información</v>
      </c>
      <c r="S499" t="str" cm="1">
        <f t="array" ref="S499">TRANSPOSE(_xlfn.UNIQUE(_xlfn._xlws.FILTER(T_ASIGNATURA1[NOM_ASIG],(T_ASIGNATURA1[ID_NIVEL]=ASIGNACION!$C499)*(T_ASIGNATURA1[ID_CARRERA]=ASIGNACION!$A499),"No existe información")))</f>
        <v>No existe información</v>
      </c>
      <c r="BQ499" s="1" t="str" cm="1">
        <f t="array" ref="BQ499">IFERROR(
    TRANSPOSE(
        _xlfn.UNIQUE(
            _xlfn._xlws.FILTER(
                Tabla1_1[MAESTRIA],
                ISNUMBER(MATCH(Tabla1_1[CAMPO_DETALLADO],BD500:BP500,0))
            )
        )
    ),
"")</f>
        <v/>
      </c>
      <c r="EA499" t="str" cm="1">
        <f t="array" ref="EA499">IFERROR(
    TRANSPOSE(
        _xlfn.UNIQUE(
            _xlfn._xlws.FILTER(
                Tabla1__2[NOMBRE_DOCENTE],
                ISNUMBER(MATCH(Tabla1__2[MAESTRIA],BQ499:DY499,0))
            )
        )
    ),
"")</f>
        <v/>
      </c>
    </row>
    <row r="500" spans="1:131" ht="20.25" customHeight="1">
      <c r="A500" t="str" cm="1">
        <f t="array" ref="A500">TRANSPOSE(_xlfn.UNIQUE(_xlfn._xlws.FILTER(T_ASIGNATURA1[ID_NIVEL],T_ASIGNATURA1[ID_CARRERA]=ASIGNACION!$A500,"No existe información")))</f>
        <v>No existe información</v>
      </c>
      <c r="S500" t="str" cm="1">
        <f t="array" ref="S500">TRANSPOSE(_xlfn.UNIQUE(_xlfn._xlws.FILTER(T_ASIGNATURA1[NOM_ASIG],(T_ASIGNATURA1[ID_NIVEL]=ASIGNACION!$C500)*(T_ASIGNATURA1[ID_CARRERA]=ASIGNACION!$A500),"No existe información")))</f>
        <v>No existe información</v>
      </c>
      <c r="BQ500" s="1" t="str" cm="1">
        <f t="array" ref="BQ500">IFERROR(
    TRANSPOSE(
        _xlfn.UNIQUE(
            _xlfn._xlws.FILTER(
                Tabla1_1[MAESTRIA],
                ISNUMBER(MATCH(Tabla1_1[CAMPO_DETALLADO],BD501:BP501,0))
            )
        )
    ),
"")</f>
        <v/>
      </c>
      <c r="EA500" t="str" cm="1">
        <f t="array" ref="EA500">IFERROR(
    TRANSPOSE(
        _xlfn.UNIQUE(
            _xlfn._xlws.FILTER(
                Tabla1__2[NOMBRE_DOCENTE],
                ISNUMBER(MATCH(Tabla1__2[MAESTRIA],BQ500:DY500,0))
            )
        )
    ),
"")</f>
        <v/>
      </c>
    </row>
    <row r="501" spans="1:131" ht="20.25" customHeight="1">
      <c r="A501" t="str" cm="1">
        <f t="array" ref="A501">TRANSPOSE(_xlfn.UNIQUE(_xlfn._xlws.FILTER(T_ASIGNATURA1[ID_NIVEL],T_ASIGNATURA1[ID_CARRERA]=ASIGNACION!$A501,"No existe información")))</f>
        <v>No existe información</v>
      </c>
      <c r="S501" t="str" cm="1">
        <f t="array" ref="S501">TRANSPOSE(_xlfn.UNIQUE(_xlfn._xlws.FILTER(T_ASIGNATURA1[NOM_ASIG],(T_ASIGNATURA1[ID_NIVEL]=ASIGNACION!$C501)*(T_ASIGNATURA1[ID_CARRERA]=ASIGNACION!$A501),"No existe información")))</f>
        <v>No existe información</v>
      </c>
      <c r="BQ501" s="1" t="str" cm="1">
        <f t="array" ref="BQ501">IFERROR(
    TRANSPOSE(
        _xlfn.UNIQUE(
            _xlfn._xlws.FILTER(
                Tabla1_1[MAESTRIA],
                ISNUMBER(MATCH(Tabla1_1[CAMPO_DETALLADO],BD502:BP502,0))
            )
        )
    ),
"")</f>
        <v/>
      </c>
      <c r="EA501" t="str" cm="1">
        <f t="array" ref="EA501">IFERROR(
    TRANSPOSE(
        _xlfn.UNIQUE(
            _xlfn._xlws.FILTER(
                Tabla1__2[NOMBRE_DOCENTE],
                ISNUMBER(MATCH(Tabla1__2[MAESTRIA],BQ501:DY501,0))
            )
        )
    ),
"")</f>
        <v/>
      </c>
    </row>
    <row r="502" spans="1:131" ht="20.25" customHeight="1">
      <c r="A502" t="str" cm="1">
        <f t="array" ref="A502">TRANSPOSE(_xlfn.UNIQUE(_xlfn._xlws.FILTER(T_ASIGNATURA1[ID_NIVEL],T_ASIGNATURA1[ID_CARRERA]=ASIGNACION!$A502,"No existe información")))</f>
        <v>No existe información</v>
      </c>
      <c r="S502" t="str" cm="1">
        <f t="array" ref="S502">TRANSPOSE(_xlfn.UNIQUE(_xlfn._xlws.FILTER(T_ASIGNATURA1[NOM_ASIG],(T_ASIGNATURA1[ID_NIVEL]=ASIGNACION!$C502)*(T_ASIGNATURA1[ID_CARRERA]=ASIGNACION!$A502),"No existe información")))</f>
        <v>No existe información</v>
      </c>
      <c r="BQ502" s="1" t="str" cm="1">
        <f t="array" ref="BQ502">IFERROR(
    TRANSPOSE(
        _xlfn.UNIQUE(
            _xlfn._xlws.FILTER(
                Tabla1_1[MAESTRIA],
                ISNUMBER(MATCH(Tabla1_1[CAMPO_DETALLADO],BD503:BP503,0))
            )
        )
    ),
"")</f>
        <v/>
      </c>
      <c r="EA502" t="str" cm="1">
        <f t="array" ref="EA502">IFERROR(
    TRANSPOSE(
        _xlfn.UNIQUE(
            _xlfn._xlws.FILTER(
                Tabla1__2[NOMBRE_DOCENTE],
                ISNUMBER(MATCH(Tabla1__2[MAESTRIA],BQ502:DY502,0))
            )
        )
    ),
"")</f>
        <v/>
      </c>
    </row>
    <row r="503" spans="1:131" ht="20.25" customHeight="1">
      <c r="A503" t="str" cm="1">
        <f t="array" ref="A503">TRANSPOSE(_xlfn.UNIQUE(_xlfn._xlws.FILTER(T_ASIGNATURA1[ID_NIVEL],T_ASIGNATURA1[ID_CARRERA]=ASIGNACION!$A503,"No existe información")))</f>
        <v>No existe información</v>
      </c>
      <c r="S503" t="str" cm="1">
        <f t="array" ref="S503">TRANSPOSE(_xlfn.UNIQUE(_xlfn._xlws.FILTER(T_ASIGNATURA1[NOM_ASIG],(T_ASIGNATURA1[ID_NIVEL]=ASIGNACION!$C503)*(T_ASIGNATURA1[ID_CARRERA]=ASIGNACION!$A503),"No existe información")))</f>
        <v>No existe información</v>
      </c>
      <c r="BQ503" s="1" t="str" cm="1">
        <f t="array" ref="BQ503">IFERROR(
    TRANSPOSE(
        _xlfn.UNIQUE(
            _xlfn._xlws.FILTER(
                Tabla1_1[MAESTRIA],
                ISNUMBER(MATCH(Tabla1_1[CAMPO_DETALLADO],BD504:BP504,0))
            )
        )
    ),
"")</f>
        <v/>
      </c>
      <c r="EA503" t="str" cm="1">
        <f t="array" ref="EA503">IFERROR(
    TRANSPOSE(
        _xlfn.UNIQUE(
            _xlfn._xlws.FILTER(
                Tabla1__2[NOMBRE_DOCENTE],
                ISNUMBER(MATCH(Tabla1__2[MAESTRIA],BQ503:DY503,0))
            )
        )
    ),
"")</f>
        <v/>
      </c>
    </row>
    <row r="504" spans="1:131" ht="20.25" customHeight="1">
      <c r="A504" t="str" cm="1">
        <f t="array" ref="A504">TRANSPOSE(_xlfn.UNIQUE(_xlfn._xlws.FILTER(T_ASIGNATURA1[ID_NIVEL],T_ASIGNATURA1[ID_CARRERA]=ASIGNACION!$A504,"No existe información")))</f>
        <v>No existe información</v>
      </c>
      <c r="S504" t="str" cm="1">
        <f t="array" ref="S504">TRANSPOSE(_xlfn.UNIQUE(_xlfn._xlws.FILTER(T_ASIGNATURA1[NOM_ASIG],(T_ASIGNATURA1[ID_NIVEL]=ASIGNACION!$C504)*(T_ASIGNATURA1[ID_CARRERA]=ASIGNACION!$A504),"No existe información")))</f>
        <v>No existe información</v>
      </c>
      <c r="BQ504" s="1" t="str" cm="1">
        <f t="array" ref="BQ504">IFERROR(
    TRANSPOSE(
        _xlfn.UNIQUE(
            _xlfn._xlws.FILTER(
                Tabla1_1[MAESTRIA],
                ISNUMBER(MATCH(Tabla1_1[CAMPO_DETALLADO],BD505:BP505,0))
            )
        )
    ),
"")</f>
        <v/>
      </c>
      <c r="EA504" t="str" cm="1">
        <f t="array" ref="EA504">IFERROR(
    TRANSPOSE(
        _xlfn.UNIQUE(
            _xlfn._xlws.FILTER(
                Tabla1__2[NOMBRE_DOCENTE],
                ISNUMBER(MATCH(Tabla1__2[MAESTRIA],BQ504:DY504,0))
            )
        )
    ),
"")</f>
        <v/>
      </c>
    </row>
    <row r="505" spans="1:131" ht="20.25" customHeight="1">
      <c r="A505" t="str" cm="1">
        <f t="array" ref="A505">TRANSPOSE(_xlfn.UNIQUE(_xlfn._xlws.FILTER(T_ASIGNATURA1[ID_NIVEL],T_ASIGNATURA1[ID_CARRERA]=ASIGNACION!$A505,"No existe información")))</f>
        <v>No existe información</v>
      </c>
      <c r="S505" t="str" cm="1">
        <f t="array" ref="S505">TRANSPOSE(_xlfn.UNIQUE(_xlfn._xlws.FILTER(T_ASIGNATURA1[NOM_ASIG],(T_ASIGNATURA1[ID_NIVEL]=ASIGNACION!$C505)*(T_ASIGNATURA1[ID_CARRERA]=ASIGNACION!$A505),"No existe información")))</f>
        <v>No existe información</v>
      </c>
      <c r="BQ505" s="1" t="str" cm="1">
        <f t="array" ref="BQ505">IFERROR(
    TRANSPOSE(
        _xlfn.UNIQUE(
            _xlfn._xlws.FILTER(
                Tabla1_1[MAESTRIA],
                ISNUMBER(MATCH(Tabla1_1[CAMPO_DETALLADO],BD506:BP506,0))
            )
        )
    ),
"")</f>
        <v/>
      </c>
      <c r="EA505" t="str" cm="1">
        <f t="array" ref="EA505">IFERROR(
    TRANSPOSE(
        _xlfn.UNIQUE(
            _xlfn._xlws.FILTER(
                Tabla1__2[NOMBRE_DOCENTE],
                ISNUMBER(MATCH(Tabla1__2[MAESTRIA],BQ505:DY505,0))
            )
        )
    ),
"")</f>
        <v/>
      </c>
    </row>
    <row r="506" spans="1:131" ht="20.25" customHeight="1">
      <c r="A506" t="str" cm="1">
        <f t="array" ref="A506">TRANSPOSE(_xlfn.UNIQUE(_xlfn._xlws.FILTER(T_ASIGNATURA1[ID_NIVEL],T_ASIGNATURA1[ID_CARRERA]=ASIGNACION!$A506,"No existe información")))</f>
        <v>No existe información</v>
      </c>
      <c r="S506" t="str" cm="1">
        <f t="array" ref="S506">TRANSPOSE(_xlfn.UNIQUE(_xlfn._xlws.FILTER(T_ASIGNATURA1[NOM_ASIG],(T_ASIGNATURA1[ID_NIVEL]=ASIGNACION!$C506)*(T_ASIGNATURA1[ID_CARRERA]=ASIGNACION!$A506),"No existe información")))</f>
        <v>No existe información</v>
      </c>
      <c r="BQ506" s="1" t="str" cm="1">
        <f t="array" ref="BQ506">IFERROR(
    TRANSPOSE(
        _xlfn.UNIQUE(
            _xlfn._xlws.FILTER(
                Tabla1_1[MAESTRIA],
                ISNUMBER(MATCH(Tabla1_1[CAMPO_DETALLADO],BD507:BP507,0))
            )
        )
    ),
"")</f>
        <v/>
      </c>
      <c r="EA506" t="str" cm="1">
        <f t="array" ref="EA506">IFERROR(
    TRANSPOSE(
        _xlfn.UNIQUE(
            _xlfn._xlws.FILTER(
                Tabla1__2[NOMBRE_DOCENTE],
                ISNUMBER(MATCH(Tabla1__2[MAESTRIA],BQ506:DY506,0))
            )
        )
    ),
"")</f>
        <v/>
      </c>
    </row>
    <row r="507" spans="1:131" ht="20.25" customHeight="1">
      <c r="A507" t="str" cm="1">
        <f t="array" ref="A507">TRANSPOSE(_xlfn.UNIQUE(_xlfn._xlws.FILTER(T_ASIGNATURA1[ID_NIVEL],T_ASIGNATURA1[ID_CARRERA]=ASIGNACION!$A507,"No existe información")))</f>
        <v>No existe información</v>
      </c>
      <c r="S507" t="str" cm="1">
        <f t="array" ref="S507">TRANSPOSE(_xlfn.UNIQUE(_xlfn._xlws.FILTER(T_ASIGNATURA1[NOM_ASIG],(T_ASIGNATURA1[ID_NIVEL]=ASIGNACION!$C507)*(T_ASIGNATURA1[ID_CARRERA]=ASIGNACION!$A507),"No existe información")))</f>
        <v>No existe información</v>
      </c>
      <c r="BQ507" s="1" t="str" cm="1">
        <f t="array" ref="BQ507">IFERROR(
    TRANSPOSE(
        _xlfn.UNIQUE(
            _xlfn._xlws.FILTER(
                Tabla1_1[MAESTRIA],
                ISNUMBER(MATCH(Tabla1_1[CAMPO_DETALLADO],BD508:BP508,0))
            )
        )
    ),
"")</f>
        <v/>
      </c>
      <c r="EA507" t="str" cm="1">
        <f t="array" ref="EA507">IFERROR(
    TRANSPOSE(
        _xlfn.UNIQUE(
            _xlfn._xlws.FILTER(
                Tabla1__2[NOMBRE_DOCENTE],
                ISNUMBER(MATCH(Tabla1__2[MAESTRIA],BQ507:DY507,0))
            )
        )
    ),
"")</f>
        <v/>
      </c>
    </row>
    <row r="508" spans="1:131" ht="20.25" customHeight="1">
      <c r="A508" t="str" cm="1">
        <f t="array" ref="A508">TRANSPOSE(_xlfn.UNIQUE(_xlfn._xlws.FILTER(T_ASIGNATURA1[ID_NIVEL],T_ASIGNATURA1[ID_CARRERA]=ASIGNACION!$A508,"No existe información")))</f>
        <v>No existe información</v>
      </c>
      <c r="S508" t="str" cm="1">
        <f t="array" ref="S508">TRANSPOSE(_xlfn.UNIQUE(_xlfn._xlws.FILTER(T_ASIGNATURA1[NOM_ASIG],(T_ASIGNATURA1[ID_NIVEL]=ASIGNACION!$C508)*(T_ASIGNATURA1[ID_CARRERA]=ASIGNACION!$A508),"No existe información")))</f>
        <v>No existe información</v>
      </c>
      <c r="BQ508" s="1" t="str" cm="1">
        <f t="array" ref="BQ508">IFERROR(
    TRANSPOSE(
        _xlfn.UNIQUE(
            _xlfn._xlws.FILTER(
                Tabla1_1[MAESTRIA],
                ISNUMBER(MATCH(Tabla1_1[CAMPO_DETALLADO],BD509:BP509,0))
            )
        )
    ),
"")</f>
        <v/>
      </c>
      <c r="EA508" t="str" cm="1">
        <f t="array" ref="EA508">IFERROR(
    TRANSPOSE(
        _xlfn.UNIQUE(
            _xlfn._xlws.FILTER(
                Tabla1__2[NOMBRE_DOCENTE],
                ISNUMBER(MATCH(Tabla1__2[MAESTRIA],BQ508:DY508,0))
            )
        )
    ),
"")</f>
        <v/>
      </c>
    </row>
    <row r="509" spans="1:131" ht="20.25" customHeight="1">
      <c r="A509" t="str" cm="1">
        <f t="array" ref="A509">TRANSPOSE(_xlfn.UNIQUE(_xlfn._xlws.FILTER(T_ASIGNATURA1[ID_NIVEL],T_ASIGNATURA1[ID_CARRERA]=ASIGNACION!$A509,"No existe información")))</f>
        <v>No existe información</v>
      </c>
      <c r="S509" t="str" cm="1">
        <f t="array" ref="S509">TRANSPOSE(_xlfn.UNIQUE(_xlfn._xlws.FILTER(T_ASIGNATURA1[NOM_ASIG],(T_ASIGNATURA1[ID_NIVEL]=ASIGNACION!$C509)*(T_ASIGNATURA1[ID_CARRERA]=ASIGNACION!$A509),"No existe información")))</f>
        <v>No existe información</v>
      </c>
      <c r="BQ509" s="1" t="str" cm="1">
        <f t="array" ref="BQ509">IFERROR(
    TRANSPOSE(
        _xlfn.UNIQUE(
            _xlfn._xlws.FILTER(
                Tabla1_1[MAESTRIA],
                ISNUMBER(MATCH(Tabla1_1[CAMPO_DETALLADO],BD510:BP510,0))
            )
        )
    ),
"")</f>
        <v/>
      </c>
      <c r="EA509" t="str" cm="1">
        <f t="array" ref="EA509">IFERROR(
    TRANSPOSE(
        _xlfn.UNIQUE(
            _xlfn._xlws.FILTER(
                Tabla1__2[NOMBRE_DOCENTE],
                ISNUMBER(MATCH(Tabla1__2[MAESTRIA],BQ509:DY509,0))
            )
        )
    ),
"")</f>
        <v/>
      </c>
    </row>
    <row r="510" spans="1:131" ht="20.25" customHeight="1">
      <c r="A510" t="str" cm="1">
        <f t="array" ref="A510">TRANSPOSE(_xlfn.UNIQUE(_xlfn._xlws.FILTER(T_ASIGNATURA1[ID_NIVEL],T_ASIGNATURA1[ID_CARRERA]=ASIGNACION!$A510,"No existe información")))</f>
        <v>No existe información</v>
      </c>
      <c r="S510" t="str" cm="1">
        <f t="array" ref="S510">TRANSPOSE(_xlfn.UNIQUE(_xlfn._xlws.FILTER(T_ASIGNATURA1[NOM_ASIG],(T_ASIGNATURA1[ID_NIVEL]=ASIGNACION!$C510)*(T_ASIGNATURA1[ID_CARRERA]=ASIGNACION!$A510),"No existe información")))</f>
        <v>No existe información</v>
      </c>
      <c r="BQ510" s="1" t="str" cm="1">
        <f t="array" ref="BQ510">IFERROR(
    TRANSPOSE(
        _xlfn.UNIQUE(
            _xlfn._xlws.FILTER(
                Tabla1_1[MAESTRIA],
                ISNUMBER(MATCH(Tabla1_1[CAMPO_DETALLADO],BD511:BP511,0))
            )
        )
    ),
"")</f>
        <v/>
      </c>
      <c r="EA510" t="str" cm="1">
        <f t="array" ref="EA510">IFERROR(
    TRANSPOSE(
        _xlfn.UNIQUE(
            _xlfn._xlws.FILTER(
                Tabla1__2[NOMBRE_DOCENTE],
                ISNUMBER(MATCH(Tabla1__2[MAESTRIA],BQ510:DY510,0))
            )
        )
    ),
"")</f>
        <v/>
      </c>
    </row>
    <row r="511" spans="1:131" ht="20.25" customHeight="1">
      <c r="A511" t="str" cm="1">
        <f t="array" ref="A511">TRANSPOSE(_xlfn.UNIQUE(_xlfn._xlws.FILTER(T_ASIGNATURA1[ID_NIVEL],T_ASIGNATURA1[ID_CARRERA]=ASIGNACION!$A511,"No existe información")))</f>
        <v>No existe información</v>
      </c>
      <c r="S511" t="str" cm="1">
        <f t="array" ref="S511">TRANSPOSE(_xlfn.UNIQUE(_xlfn._xlws.FILTER(T_ASIGNATURA1[NOM_ASIG],(T_ASIGNATURA1[ID_NIVEL]=ASIGNACION!$C511)*(T_ASIGNATURA1[ID_CARRERA]=ASIGNACION!$A511),"No existe información")))</f>
        <v>No existe información</v>
      </c>
      <c r="BQ511" s="1" t="str" cm="1">
        <f t="array" ref="BQ511">IFERROR(
    TRANSPOSE(
        _xlfn.UNIQUE(
            _xlfn._xlws.FILTER(
                Tabla1_1[MAESTRIA],
                ISNUMBER(MATCH(Tabla1_1[CAMPO_DETALLADO],BD512:BP512,0))
            )
        )
    ),
"")</f>
        <v/>
      </c>
      <c r="EA511" t="str" cm="1">
        <f t="array" ref="EA511">IFERROR(
    TRANSPOSE(
        _xlfn.UNIQUE(
            _xlfn._xlws.FILTER(
                Tabla1__2[NOMBRE_DOCENTE],
                ISNUMBER(MATCH(Tabla1__2[MAESTRIA],BQ511:DY511,0))
            )
        )
    ),
"")</f>
        <v/>
      </c>
    </row>
    <row r="512" spans="1:131" ht="20.25" customHeight="1">
      <c r="A512" t="str" cm="1">
        <f t="array" ref="A512">TRANSPOSE(_xlfn.UNIQUE(_xlfn._xlws.FILTER(T_ASIGNATURA1[ID_NIVEL],T_ASIGNATURA1[ID_CARRERA]=ASIGNACION!$A512,"No existe información")))</f>
        <v>No existe información</v>
      </c>
      <c r="S512" t="str" cm="1">
        <f t="array" ref="S512">TRANSPOSE(_xlfn.UNIQUE(_xlfn._xlws.FILTER(T_ASIGNATURA1[NOM_ASIG],(T_ASIGNATURA1[ID_NIVEL]=ASIGNACION!$C512)*(T_ASIGNATURA1[ID_CARRERA]=ASIGNACION!$A512),"No existe información")))</f>
        <v>No existe información</v>
      </c>
      <c r="BQ512" s="1" t="str" cm="1">
        <f t="array" ref="BQ512">IFERROR(
    TRANSPOSE(
        _xlfn.UNIQUE(
            _xlfn._xlws.FILTER(
                Tabla1_1[MAESTRIA],
                ISNUMBER(MATCH(Tabla1_1[CAMPO_DETALLADO],BD513:BP513,0))
            )
        )
    ),
"")</f>
        <v/>
      </c>
      <c r="EA512" t="str" cm="1">
        <f t="array" ref="EA512">IFERROR(
    TRANSPOSE(
        _xlfn.UNIQUE(
            _xlfn._xlws.FILTER(
                Tabla1__2[NOMBRE_DOCENTE],
                ISNUMBER(MATCH(Tabla1__2[MAESTRIA],BQ512:DY512,0))
            )
        )
    ),
"")</f>
        <v/>
      </c>
    </row>
    <row r="513" spans="1:131" ht="20.25" customHeight="1">
      <c r="A513" t="str" cm="1">
        <f t="array" ref="A513">TRANSPOSE(_xlfn.UNIQUE(_xlfn._xlws.FILTER(T_ASIGNATURA1[ID_NIVEL],T_ASIGNATURA1[ID_CARRERA]=ASIGNACION!$A513,"No existe información")))</f>
        <v>No existe información</v>
      </c>
      <c r="S513" t="str" cm="1">
        <f t="array" ref="S513">TRANSPOSE(_xlfn.UNIQUE(_xlfn._xlws.FILTER(T_ASIGNATURA1[NOM_ASIG],(T_ASIGNATURA1[ID_NIVEL]=ASIGNACION!$C513)*(T_ASIGNATURA1[ID_CARRERA]=ASIGNACION!$A513),"No existe información")))</f>
        <v>No existe información</v>
      </c>
      <c r="BQ513" s="1" t="str" cm="1">
        <f t="array" ref="BQ513">IFERROR(
    TRANSPOSE(
        _xlfn.UNIQUE(
            _xlfn._xlws.FILTER(
                Tabla1_1[MAESTRIA],
                ISNUMBER(MATCH(Tabla1_1[CAMPO_DETALLADO],BD514:BP514,0))
            )
        )
    ),
"")</f>
        <v/>
      </c>
      <c r="EA513" t="str" cm="1">
        <f t="array" ref="EA513">IFERROR(
    TRANSPOSE(
        _xlfn.UNIQUE(
            _xlfn._xlws.FILTER(
                Tabla1__2[NOMBRE_DOCENTE],
                ISNUMBER(MATCH(Tabla1__2[MAESTRIA],BQ513:DY513,0))
            )
        )
    ),
"")</f>
        <v/>
      </c>
    </row>
    <row r="514" spans="1:131" ht="20.25" customHeight="1">
      <c r="A514" t="str" cm="1">
        <f t="array" ref="A514">TRANSPOSE(_xlfn.UNIQUE(_xlfn._xlws.FILTER(T_ASIGNATURA1[ID_NIVEL],T_ASIGNATURA1[ID_CARRERA]=ASIGNACION!$A514,"No existe información")))</f>
        <v>No existe información</v>
      </c>
      <c r="S514" t="str" cm="1">
        <f t="array" ref="S514">TRANSPOSE(_xlfn.UNIQUE(_xlfn._xlws.FILTER(T_ASIGNATURA1[NOM_ASIG],(T_ASIGNATURA1[ID_NIVEL]=ASIGNACION!$C514)*(T_ASIGNATURA1[ID_CARRERA]=ASIGNACION!$A514),"No existe información")))</f>
        <v>No existe información</v>
      </c>
      <c r="BQ514" s="1" t="str" cm="1">
        <f t="array" ref="BQ514">IFERROR(
    TRANSPOSE(
        _xlfn.UNIQUE(
            _xlfn._xlws.FILTER(
                Tabla1_1[MAESTRIA],
                ISNUMBER(MATCH(Tabla1_1[CAMPO_DETALLADO],BD515:BP515,0))
            )
        )
    ),
"")</f>
        <v/>
      </c>
      <c r="EA514" t="str" cm="1">
        <f t="array" ref="EA514">IFERROR(
    TRANSPOSE(
        _xlfn.UNIQUE(
            _xlfn._xlws.FILTER(
                Tabla1__2[NOMBRE_DOCENTE],
                ISNUMBER(MATCH(Tabla1__2[MAESTRIA],BQ514:DY514,0))
            )
        )
    ),
"")</f>
        <v/>
      </c>
    </row>
    <row r="515" spans="1:131" ht="20.25" customHeight="1">
      <c r="A515" t="str" cm="1">
        <f t="array" ref="A515">TRANSPOSE(_xlfn.UNIQUE(_xlfn._xlws.FILTER(T_ASIGNATURA1[ID_NIVEL],T_ASIGNATURA1[ID_CARRERA]=ASIGNACION!$A515,"No existe información")))</f>
        <v>No existe información</v>
      </c>
      <c r="S515" t="str" cm="1">
        <f t="array" ref="S515">TRANSPOSE(_xlfn.UNIQUE(_xlfn._xlws.FILTER(T_ASIGNATURA1[NOM_ASIG],(T_ASIGNATURA1[ID_NIVEL]=ASIGNACION!$C515)*(T_ASIGNATURA1[ID_CARRERA]=ASIGNACION!$A515),"No existe información")))</f>
        <v>No existe información</v>
      </c>
      <c r="BQ515" s="1" t="str" cm="1">
        <f t="array" ref="BQ515">IFERROR(
    TRANSPOSE(
        _xlfn.UNIQUE(
            _xlfn._xlws.FILTER(
                Tabla1_1[MAESTRIA],
                ISNUMBER(MATCH(Tabla1_1[CAMPO_DETALLADO],BD516:BP516,0))
            )
        )
    ),
"")</f>
        <v/>
      </c>
      <c r="EA515" t="str" cm="1">
        <f t="array" ref="EA515">IFERROR(
    TRANSPOSE(
        _xlfn.UNIQUE(
            _xlfn._xlws.FILTER(
                Tabla1__2[NOMBRE_DOCENTE],
                ISNUMBER(MATCH(Tabla1__2[MAESTRIA],BQ515:DY515,0))
            )
        )
    ),
"")</f>
        <v/>
      </c>
    </row>
    <row r="516" spans="1:131" ht="20.25" customHeight="1">
      <c r="A516" t="str" cm="1">
        <f t="array" ref="A516">TRANSPOSE(_xlfn.UNIQUE(_xlfn._xlws.FILTER(T_ASIGNATURA1[ID_NIVEL],T_ASIGNATURA1[ID_CARRERA]=ASIGNACION!$A516,"No existe información")))</f>
        <v>No existe información</v>
      </c>
      <c r="S516" t="str" cm="1">
        <f t="array" ref="S516">TRANSPOSE(_xlfn.UNIQUE(_xlfn._xlws.FILTER(T_ASIGNATURA1[NOM_ASIG],(T_ASIGNATURA1[ID_NIVEL]=ASIGNACION!$C516)*(T_ASIGNATURA1[ID_CARRERA]=ASIGNACION!$A516),"No existe información")))</f>
        <v>No existe información</v>
      </c>
      <c r="BQ516" s="1" t="str" cm="1">
        <f t="array" ref="BQ516">IFERROR(
    TRANSPOSE(
        _xlfn.UNIQUE(
            _xlfn._xlws.FILTER(
                Tabla1_1[MAESTRIA],
                ISNUMBER(MATCH(Tabla1_1[CAMPO_DETALLADO],BD517:BP517,0))
            )
        )
    ),
"")</f>
        <v/>
      </c>
      <c r="EA516" t="str" cm="1">
        <f t="array" ref="EA516">IFERROR(
    TRANSPOSE(
        _xlfn.UNIQUE(
            _xlfn._xlws.FILTER(
                Tabla1__2[NOMBRE_DOCENTE],
                ISNUMBER(MATCH(Tabla1__2[MAESTRIA],BQ516:DY516,0))
            )
        )
    ),
"")</f>
        <v/>
      </c>
    </row>
    <row r="517" spans="1:131" ht="20.25" customHeight="1">
      <c r="A517" t="str" cm="1">
        <f t="array" ref="A517">TRANSPOSE(_xlfn.UNIQUE(_xlfn._xlws.FILTER(T_ASIGNATURA1[ID_NIVEL],T_ASIGNATURA1[ID_CARRERA]=ASIGNACION!$A517,"No existe información")))</f>
        <v>No existe información</v>
      </c>
      <c r="S517" t="str" cm="1">
        <f t="array" ref="S517">TRANSPOSE(_xlfn.UNIQUE(_xlfn._xlws.FILTER(T_ASIGNATURA1[NOM_ASIG],(T_ASIGNATURA1[ID_NIVEL]=ASIGNACION!$C517)*(T_ASIGNATURA1[ID_CARRERA]=ASIGNACION!$A517),"No existe información")))</f>
        <v>No existe información</v>
      </c>
      <c r="BQ517" s="1" t="str" cm="1">
        <f t="array" ref="BQ517">IFERROR(
    TRANSPOSE(
        _xlfn.UNIQUE(
            _xlfn._xlws.FILTER(
                Tabla1_1[MAESTRIA],
                ISNUMBER(MATCH(Tabla1_1[CAMPO_DETALLADO],BD518:BP518,0))
            )
        )
    ),
"")</f>
        <v/>
      </c>
      <c r="EA517" t="str" cm="1">
        <f t="array" ref="EA517">IFERROR(
    TRANSPOSE(
        _xlfn.UNIQUE(
            _xlfn._xlws.FILTER(
                Tabla1__2[NOMBRE_DOCENTE],
                ISNUMBER(MATCH(Tabla1__2[MAESTRIA],BQ517:DY517,0))
            )
        )
    ),
"")</f>
        <v/>
      </c>
    </row>
    <row r="518" spans="1:131" ht="20.25" customHeight="1">
      <c r="A518" t="str" cm="1">
        <f t="array" ref="A518">TRANSPOSE(_xlfn.UNIQUE(_xlfn._xlws.FILTER(T_ASIGNATURA1[ID_NIVEL],T_ASIGNATURA1[ID_CARRERA]=ASIGNACION!$A518,"No existe información")))</f>
        <v>No existe información</v>
      </c>
      <c r="S518" t="str" cm="1">
        <f t="array" ref="S518">TRANSPOSE(_xlfn.UNIQUE(_xlfn._xlws.FILTER(T_ASIGNATURA1[NOM_ASIG],(T_ASIGNATURA1[ID_NIVEL]=ASIGNACION!$C518)*(T_ASIGNATURA1[ID_CARRERA]=ASIGNACION!$A518),"No existe información")))</f>
        <v>No existe información</v>
      </c>
      <c r="BQ518" s="1" t="str" cm="1">
        <f t="array" ref="BQ518">IFERROR(
    TRANSPOSE(
        _xlfn.UNIQUE(
            _xlfn._xlws.FILTER(
                Tabla1_1[MAESTRIA],
                ISNUMBER(MATCH(Tabla1_1[CAMPO_DETALLADO],BD519:BP519,0))
            )
        )
    ),
"")</f>
        <v/>
      </c>
      <c r="EA518" t="str" cm="1">
        <f t="array" ref="EA518">IFERROR(
    TRANSPOSE(
        _xlfn.UNIQUE(
            _xlfn._xlws.FILTER(
                Tabla1__2[NOMBRE_DOCENTE],
                ISNUMBER(MATCH(Tabla1__2[MAESTRIA],BQ518:DY518,0))
            )
        )
    ),
"")</f>
        <v/>
      </c>
    </row>
    <row r="519" spans="1:131" ht="20.25" customHeight="1">
      <c r="A519" t="str" cm="1">
        <f t="array" ref="A519">TRANSPOSE(_xlfn.UNIQUE(_xlfn._xlws.FILTER(T_ASIGNATURA1[ID_NIVEL],T_ASIGNATURA1[ID_CARRERA]=ASIGNACION!$A519,"No existe información")))</f>
        <v>No existe información</v>
      </c>
      <c r="S519" t="str" cm="1">
        <f t="array" ref="S519">TRANSPOSE(_xlfn.UNIQUE(_xlfn._xlws.FILTER(T_ASIGNATURA1[NOM_ASIG],(T_ASIGNATURA1[ID_NIVEL]=ASIGNACION!$C519)*(T_ASIGNATURA1[ID_CARRERA]=ASIGNACION!$A519),"No existe información")))</f>
        <v>No existe información</v>
      </c>
      <c r="BQ519" s="1" t="str" cm="1">
        <f t="array" ref="BQ519">IFERROR(
    TRANSPOSE(
        _xlfn.UNIQUE(
            _xlfn._xlws.FILTER(
                Tabla1_1[MAESTRIA],
                ISNUMBER(MATCH(Tabla1_1[CAMPO_DETALLADO],BD520:BP520,0))
            )
        )
    ),
"")</f>
        <v/>
      </c>
      <c r="EA519" t="str" cm="1">
        <f t="array" ref="EA519">IFERROR(
    TRANSPOSE(
        _xlfn.UNIQUE(
            _xlfn._xlws.FILTER(
                Tabla1__2[NOMBRE_DOCENTE],
                ISNUMBER(MATCH(Tabla1__2[MAESTRIA],BQ519:DY519,0))
            )
        )
    ),
"")</f>
        <v/>
      </c>
    </row>
    <row r="520" spans="1:131" ht="20.25" customHeight="1">
      <c r="A520" t="str" cm="1">
        <f t="array" ref="A520">TRANSPOSE(_xlfn.UNIQUE(_xlfn._xlws.FILTER(T_ASIGNATURA1[ID_NIVEL],T_ASIGNATURA1[ID_CARRERA]=ASIGNACION!$A520,"No existe información")))</f>
        <v>No existe información</v>
      </c>
      <c r="S520" t="str" cm="1">
        <f t="array" ref="S520">TRANSPOSE(_xlfn.UNIQUE(_xlfn._xlws.FILTER(T_ASIGNATURA1[NOM_ASIG],(T_ASIGNATURA1[ID_NIVEL]=ASIGNACION!$C520)*(T_ASIGNATURA1[ID_CARRERA]=ASIGNACION!$A520),"No existe información")))</f>
        <v>No existe información</v>
      </c>
      <c r="BQ520" s="1" t="str" cm="1">
        <f t="array" ref="BQ520">IFERROR(
    TRANSPOSE(
        _xlfn.UNIQUE(
            _xlfn._xlws.FILTER(
                Tabla1_1[MAESTRIA],
                ISNUMBER(MATCH(Tabla1_1[CAMPO_DETALLADO],BD521:BP521,0))
            )
        )
    ),
"")</f>
        <v/>
      </c>
      <c r="EA520" t="str" cm="1">
        <f t="array" ref="EA520">IFERROR(
    TRANSPOSE(
        _xlfn.UNIQUE(
            _xlfn._xlws.FILTER(
                Tabla1__2[NOMBRE_DOCENTE],
                ISNUMBER(MATCH(Tabla1__2[MAESTRIA],BQ520:DY520,0))
            )
        )
    ),
"")</f>
        <v/>
      </c>
    </row>
    <row r="521" spans="1:131" ht="20.25" customHeight="1">
      <c r="A521" t="str" cm="1">
        <f t="array" ref="A521">TRANSPOSE(_xlfn.UNIQUE(_xlfn._xlws.FILTER(T_ASIGNATURA1[ID_NIVEL],T_ASIGNATURA1[ID_CARRERA]=ASIGNACION!$A521,"No existe información")))</f>
        <v>No existe información</v>
      </c>
      <c r="S521" t="str" cm="1">
        <f t="array" ref="S521">TRANSPOSE(_xlfn.UNIQUE(_xlfn._xlws.FILTER(T_ASIGNATURA1[NOM_ASIG],(T_ASIGNATURA1[ID_NIVEL]=ASIGNACION!$C521)*(T_ASIGNATURA1[ID_CARRERA]=ASIGNACION!$A521),"No existe información")))</f>
        <v>No existe información</v>
      </c>
      <c r="BQ521" s="1" t="str" cm="1">
        <f t="array" ref="BQ521">IFERROR(
    TRANSPOSE(
        _xlfn.UNIQUE(
            _xlfn._xlws.FILTER(
                Tabla1_1[MAESTRIA],
                ISNUMBER(MATCH(Tabla1_1[CAMPO_DETALLADO],BD522:BP522,0))
            )
        )
    ),
"")</f>
        <v/>
      </c>
      <c r="EA521" t="str" cm="1">
        <f t="array" ref="EA521">IFERROR(
    TRANSPOSE(
        _xlfn.UNIQUE(
            _xlfn._xlws.FILTER(
                Tabla1__2[NOMBRE_DOCENTE],
                ISNUMBER(MATCH(Tabla1__2[MAESTRIA],BQ521:DY521,0))
            )
        )
    ),
"")</f>
        <v/>
      </c>
    </row>
    <row r="522" spans="1:131" ht="20.25" customHeight="1">
      <c r="A522" t="str" cm="1">
        <f t="array" ref="A522">TRANSPOSE(_xlfn.UNIQUE(_xlfn._xlws.FILTER(T_ASIGNATURA1[ID_NIVEL],T_ASIGNATURA1[ID_CARRERA]=ASIGNACION!$A522,"No existe información")))</f>
        <v>No existe información</v>
      </c>
      <c r="S522" t="str" cm="1">
        <f t="array" ref="S522">TRANSPOSE(_xlfn.UNIQUE(_xlfn._xlws.FILTER(T_ASIGNATURA1[NOM_ASIG],(T_ASIGNATURA1[ID_NIVEL]=ASIGNACION!$C522)*(T_ASIGNATURA1[ID_CARRERA]=ASIGNACION!$A522),"No existe información")))</f>
        <v>No existe información</v>
      </c>
      <c r="BQ522" s="1" t="str" cm="1">
        <f t="array" ref="BQ522">IFERROR(
    TRANSPOSE(
        _xlfn.UNIQUE(
            _xlfn._xlws.FILTER(
                Tabla1_1[MAESTRIA],
                ISNUMBER(MATCH(Tabla1_1[CAMPO_DETALLADO],BD523:BP523,0))
            )
        )
    ),
"")</f>
        <v/>
      </c>
      <c r="EA522" t="str" cm="1">
        <f t="array" ref="EA522">IFERROR(
    TRANSPOSE(
        _xlfn.UNIQUE(
            _xlfn._xlws.FILTER(
                Tabla1__2[NOMBRE_DOCENTE],
                ISNUMBER(MATCH(Tabla1__2[MAESTRIA],BQ522:DY522,0))
            )
        )
    ),
"")</f>
        <v/>
      </c>
    </row>
    <row r="523" spans="1:131" ht="20.25" customHeight="1">
      <c r="A523" t="str" cm="1">
        <f t="array" ref="A523">TRANSPOSE(_xlfn.UNIQUE(_xlfn._xlws.FILTER(T_ASIGNATURA1[ID_NIVEL],T_ASIGNATURA1[ID_CARRERA]=ASIGNACION!$A523,"No existe información")))</f>
        <v>No existe información</v>
      </c>
      <c r="S523" t="str" cm="1">
        <f t="array" ref="S523">TRANSPOSE(_xlfn.UNIQUE(_xlfn._xlws.FILTER(T_ASIGNATURA1[NOM_ASIG],(T_ASIGNATURA1[ID_NIVEL]=ASIGNACION!$C523)*(T_ASIGNATURA1[ID_CARRERA]=ASIGNACION!$A523),"No existe información")))</f>
        <v>No existe información</v>
      </c>
      <c r="BQ523" s="1" t="str" cm="1">
        <f t="array" ref="BQ523">IFERROR(
    TRANSPOSE(
        _xlfn.UNIQUE(
            _xlfn._xlws.FILTER(
                Tabla1_1[MAESTRIA],
                ISNUMBER(MATCH(Tabla1_1[CAMPO_DETALLADO],BD524:BP524,0))
            )
        )
    ),
"")</f>
        <v/>
      </c>
      <c r="EA523" t="str" cm="1">
        <f t="array" ref="EA523">IFERROR(
    TRANSPOSE(
        _xlfn.UNIQUE(
            _xlfn._xlws.FILTER(
                Tabla1__2[NOMBRE_DOCENTE],
                ISNUMBER(MATCH(Tabla1__2[MAESTRIA],BQ523:DY523,0))
            )
        )
    ),
"")</f>
        <v/>
      </c>
    </row>
    <row r="524" spans="1:131" ht="20.25" customHeight="1">
      <c r="A524" t="str" cm="1">
        <f t="array" ref="A524">TRANSPOSE(_xlfn.UNIQUE(_xlfn._xlws.FILTER(T_ASIGNATURA1[ID_NIVEL],T_ASIGNATURA1[ID_CARRERA]=ASIGNACION!$A524,"No existe información")))</f>
        <v>No existe información</v>
      </c>
      <c r="S524" t="str" cm="1">
        <f t="array" ref="S524">TRANSPOSE(_xlfn.UNIQUE(_xlfn._xlws.FILTER(T_ASIGNATURA1[NOM_ASIG],(T_ASIGNATURA1[ID_NIVEL]=ASIGNACION!$C524)*(T_ASIGNATURA1[ID_CARRERA]=ASIGNACION!$A524),"No existe información")))</f>
        <v>No existe información</v>
      </c>
      <c r="BQ524" s="1" t="str" cm="1">
        <f t="array" ref="BQ524">IFERROR(
    TRANSPOSE(
        _xlfn.UNIQUE(
            _xlfn._xlws.FILTER(
                Tabla1_1[MAESTRIA],
                ISNUMBER(MATCH(Tabla1_1[CAMPO_DETALLADO],BD525:BP525,0))
            )
        )
    ),
"")</f>
        <v/>
      </c>
      <c r="EA524" t="str" cm="1">
        <f t="array" ref="EA524">IFERROR(
    TRANSPOSE(
        _xlfn.UNIQUE(
            _xlfn._xlws.FILTER(
                Tabla1__2[NOMBRE_DOCENTE],
                ISNUMBER(MATCH(Tabla1__2[MAESTRIA],BQ524:DY524,0))
            )
        )
    ),
"")</f>
        <v/>
      </c>
    </row>
    <row r="525" spans="1:131" ht="20.25" customHeight="1">
      <c r="A525" t="str" cm="1">
        <f t="array" ref="A525">TRANSPOSE(_xlfn.UNIQUE(_xlfn._xlws.FILTER(T_ASIGNATURA1[ID_NIVEL],T_ASIGNATURA1[ID_CARRERA]=ASIGNACION!$A525,"No existe información")))</f>
        <v>No existe información</v>
      </c>
      <c r="S525" t="str" cm="1">
        <f t="array" ref="S525">TRANSPOSE(_xlfn.UNIQUE(_xlfn._xlws.FILTER(T_ASIGNATURA1[NOM_ASIG],(T_ASIGNATURA1[ID_NIVEL]=ASIGNACION!$C525)*(T_ASIGNATURA1[ID_CARRERA]=ASIGNACION!$A525),"No existe información")))</f>
        <v>No existe información</v>
      </c>
      <c r="BQ525" s="1" t="str" cm="1">
        <f t="array" ref="BQ525">IFERROR(
    TRANSPOSE(
        _xlfn.UNIQUE(
            _xlfn._xlws.FILTER(
                Tabla1_1[MAESTRIA],
                ISNUMBER(MATCH(Tabla1_1[CAMPO_DETALLADO],BD526:BP526,0))
            )
        )
    ),
"")</f>
        <v/>
      </c>
      <c r="EA525" t="str" cm="1">
        <f t="array" ref="EA525">IFERROR(
    TRANSPOSE(
        _xlfn.UNIQUE(
            _xlfn._xlws.FILTER(
                Tabla1__2[NOMBRE_DOCENTE],
                ISNUMBER(MATCH(Tabla1__2[MAESTRIA],BQ525:DY525,0))
            )
        )
    ),
"")</f>
        <v/>
      </c>
    </row>
    <row r="526" spans="1:131" ht="20.25" customHeight="1">
      <c r="A526" t="str" cm="1">
        <f t="array" ref="A526">TRANSPOSE(_xlfn.UNIQUE(_xlfn._xlws.FILTER(T_ASIGNATURA1[ID_NIVEL],T_ASIGNATURA1[ID_CARRERA]=ASIGNACION!$A526,"No existe información")))</f>
        <v>No existe información</v>
      </c>
      <c r="S526" t="str" cm="1">
        <f t="array" ref="S526">TRANSPOSE(_xlfn.UNIQUE(_xlfn._xlws.FILTER(T_ASIGNATURA1[NOM_ASIG],(T_ASIGNATURA1[ID_NIVEL]=ASIGNACION!$C526)*(T_ASIGNATURA1[ID_CARRERA]=ASIGNACION!$A526),"No existe información")))</f>
        <v>No existe información</v>
      </c>
      <c r="BQ526" s="1" t="str" cm="1">
        <f t="array" ref="BQ526">IFERROR(
    TRANSPOSE(
        _xlfn.UNIQUE(
            _xlfn._xlws.FILTER(
                Tabla1_1[MAESTRIA],
                ISNUMBER(MATCH(Tabla1_1[CAMPO_DETALLADO],BD527:BP527,0))
            )
        )
    ),
"")</f>
        <v/>
      </c>
      <c r="EA526" t="str" cm="1">
        <f t="array" ref="EA526">IFERROR(
    TRANSPOSE(
        _xlfn.UNIQUE(
            _xlfn._xlws.FILTER(
                Tabla1__2[NOMBRE_DOCENTE],
                ISNUMBER(MATCH(Tabla1__2[MAESTRIA],BQ526:DY526,0))
            )
        )
    ),
"")</f>
        <v/>
      </c>
    </row>
    <row r="527" spans="1:131" ht="20.25" customHeight="1">
      <c r="A527" t="str" cm="1">
        <f t="array" ref="A527">TRANSPOSE(_xlfn.UNIQUE(_xlfn._xlws.FILTER(T_ASIGNATURA1[ID_NIVEL],T_ASIGNATURA1[ID_CARRERA]=ASIGNACION!$A527,"No existe información")))</f>
        <v>No existe información</v>
      </c>
      <c r="S527" t="str" cm="1">
        <f t="array" ref="S527">TRANSPOSE(_xlfn.UNIQUE(_xlfn._xlws.FILTER(T_ASIGNATURA1[NOM_ASIG],(T_ASIGNATURA1[ID_NIVEL]=ASIGNACION!$C527)*(T_ASIGNATURA1[ID_CARRERA]=ASIGNACION!$A527),"No existe información")))</f>
        <v>No existe información</v>
      </c>
      <c r="BQ527" s="1" t="str" cm="1">
        <f t="array" ref="BQ527">IFERROR(
    TRANSPOSE(
        _xlfn.UNIQUE(
            _xlfn._xlws.FILTER(
                Tabla1_1[MAESTRIA],
                ISNUMBER(MATCH(Tabla1_1[CAMPO_DETALLADO],BD528:BP528,0))
            )
        )
    ),
"")</f>
        <v/>
      </c>
      <c r="EA527" t="str" cm="1">
        <f t="array" ref="EA527">IFERROR(
    TRANSPOSE(
        _xlfn.UNIQUE(
            _xlfn._xlws.FILTER(
                Tabla1__2[NOMBRE_DOCENTE],
                ISNUMBER(MATCH(Tabla1__2[MAESTRIA],BQ527:DY527,0))
            )
        )
    ),
"")</f>
        <v/>
      </c>
    </row>
    <row r="528" spans="1:131" ht="20.25" customHeight="1">
      <c r="A528" t="str" cm="1">
        <f t="array" ref="A528">TRANSPOSE(_xlfn.UNIQUE(_xlfn._xlws.FILTER(T_ASIGNATURA1[ID_NIVEL],T_ASIGNATURA1[ID_CARRERA]=ASIGNACION!$A528,"No existe información")))</f>
        <v>No existe información</v>
      </c>
      <c r="S528" t="str" cm="1">
        <f t="array" ref="S528">TRANSPOSE(_xlfn.UNIQUE(_xlfn._xlws.FILTER(T_ASIGNATURA1[NOM_ASIG],(T_ASIGNATURA1[ID_NIVEL]=ASIGNACION!$C528)*(T_ASIGNATURA1[ID_CARRERA]=ASIGNACION!$A528),"No existe información")))</f>
        <v>No existe información</v>
      </c>
      <c r="BQ528" s="1" t="str" cm="1">
        <f t="array" ref="BQ528">IFERROR(
    TRANSPOSE(
        _xlfn.UNIQUE(
            _xlfn._xlws.FILTER(
                Tabla1_1[MAESTRIA],
                ISNUMBER(MATCH(Tabla1_1[CAMPO_DETALLADO],BD529:BP529,0))
            )
        )
    ),
"")</f>
        <v/>
      </c>
      <c r="EA528" t="str" cm="1">
        <f t="array" ref="EA528">IFERROR(
    TRANSPOSE(
        _xlfn.UNIQUE(
            _xlfn._xlws.FILTER(
                Tabla1__2[NOMBRE_DOCENTE],
                ISNUMBER(MATCH(Tabla1__2[MAESTRIA],BQ528:DY528,0))
            )
        )
    ),
"")</f>
        <v/>
      </c>
    </row>
    <row r="529" spans="1:131" ht="20.25" customHeight="1">
      <c r="A529" t="str" cm="1">
        <f t="array" ref="A529">TRANSPOSE(_xlfn.UNIQUE(_xlfn._xlws.FILTER(T_ASIGNATURA1[ID_NIVEL],T_ASIGNATURA1[ID_CARRERA]=ASIGNACION!$A529,"No existe información")))</f>
        <v>No existe información</v>
      </c>
      <c r="S529" t="str" cm="1">
        <f t="array" ref="S529">TRANSPOSE(_xlfn.UNIQUE(_xlfn._xlws.FILTER(T_ASIGNATURA1[NOM_ASIG],(T_ASIGNATURA1[ID_NIVEL]=ASIGNACION!$C529)*(T_ASIGNATURA1[ID_CARRERA]=ASIGNACION!$A529),"No existe información")))</f>
        <v>No existe información</v>
      </c>
      <c r="BQ529" s="1" t="str" cm="1">
        <f t="array" ref="BQ529">IFERROR(
    TRANSPOSE(
        _xlfn.UNIQUE(
            _xlfn._xlws.FILTER(
                Tabla1_1[MAESTRIA],
                ISNUMBER(MATCH(Tabla1_1[CAMPO_DETALLADO],BD530:BP530,0))
            )
        )
    ),
"")</f>
        <v/>
      </c>
      <c r="EA529" t="str" cm="1">
        <f t="array" ref="EA529">IFERROR(
    TRANSPOSE(
        _xlfn.UNIQUE(
            _xlfn._xlws.FILTER(
                Tabla1__2[NOMBRE_DOCENTE],
                ISNUMBER(MATCH(Tabla1__2[MAESTRIA],BQ529:DY529,0))
            )
        )
    ),
"")</f>
        <v/>
      </c>
    </row>
    <row r="530" spans="1:131" ht="20.25" customHeight="1">
      <c r="A530" t="str" cm="1">
        <f t="array" ref="A530">TRANSPOSE(_xlfn.UNIQUE(_xlfn._xlws.FILTER(T_ASIGNATURA1[ID_NIVEL],T_ASIGNATURA1[ID_CARRERA]=ASIGNACION!$A530,"No existe información")))</f>
        <v>No existe información</v>
      </c>
      <c r="S530" t="str" cm="1">
        <f t="array" ref="S530">TRANSPOSE(_xlfn.UNIQUE(_xlfn._xlws.FILTER(T_ASIGNATURA1[NOM_ASIG],(T_ASIGNATURA1[ID_NIVEL]=ASIGNACION!$C530)*(T_ASIGNATURA1[ID_CARRERA]=ASIGNACION!$A530),"No existe información")))</f>
        <v>No existe información</v>
      </c>
      <c r="BQ530" s="1" t="str" cm="1">
        <f t="array" ref="BQ530">IFERROR(
    TRANSPOSE(
        _xlfn.UNIQUE(
            _xlfn._xlws.FILTER(
                Tabla1_1[MAESTRIA],
                ISNUMBER(MATCH(Tabla1_1[CAMPO_DETALLADO],BD531:BP531,0))
            )
        )
    ),
"")</f>
        <v/>
      </c>
      <c r="EA530" t="str" cm="1">
        <f t="array" ref="EA530">IFERROR(
    TRANSPOSE(
        _xlfn.UNIQUE(
            _xlfn._xlws.FILTER(
                Tabla1__2[NOMBRE_DOCENTE],
                ISNUMBER(MATCH(Tabla1__2[MAESTRIA],BQ530:DY530,0))
            )
        )
    ),
"")</f>
        <v/>
      </c>
    </row>
    <row r="531" spans="1:131" ht="20.25" customHeight="1">
      <c r="A531" t="str" cm="1">
        <f t="array" ref="A531">TRANSPOSE(_xlfn.UNIQUE(_xlfn._xlws.FILTER(T_ASIGNATURA1[ID_NIVEL],T_ASIGNATURA1[ID_CARRERA]=ASIGNACION!$A531,"No existe información")))</f>
        <v>No existe información</v>
      </c>
      <c r="S531" t="str" cm="1">
        <f t="array" ref="S531">TRANSPOSE(_xlfn.UNIQUE(_xlfn._xlws.FILTER(T_ASIGNATURA1[NOM_ASIG],(T_ASIGNATURA1[ID_NIVEL]=ASIGNACION!$C531)*(T_ASIGNATURA1[ID_CARRERA]=ASIGNACION!$A531),"No existe información")))</f>
        <v>No existe información</v>
      </c>
      <c r="BQ531" s="1" t="str" cm="1">
        <f t="array" ref="BQ531">IFERROR(
    TRANSPOSE(
        _xlfn.UNIQUE(
            _xlfn._xlws.FILTER(
                Tabla1_1[MAESTRIA],
                ISNUMBER(MATCH(Tabla1_1[CAMPO_DETALLADO],BD532:BP532,0))
            )
        )
    ),
"")</f>
        <v/>
      </c>
      <c r="EA531" t="str" cm="1">
        <f t="array" ref="EA531">IFERROR(
    TRANSPOSE(
        _xlfn.UNIQUE(
            _xlfn._xlws.FILTER(
                Tabla1__2[NOMBRE_DOCENTE],
                ISNUMBER(MATCH(Tabla1__2[MAESTRIA],BQ531:DY531,0))
            )
        )
    ),
"")</f>
        <v/>
      </c>
    </row>
    <row r="532" spans="1:131" ht="20.25" customHeight="1">
      <c r="A532" t="str" cm="1">
        <f t="array" ref="A532">TRANSPOSE(_xlfn.UNIQUE(_xlfn._xlws.FILTER(T_ASIGNATURA1[ID_NIVEL],T_ASIGNATURA1[ID_CARRERA]=ASIGNACION!$A532,"No existe información")))</f>
        <v>No existe información</v>
      </c>
      <c r="S532" t="str" cm="1">
        <f t="array" ref="S532">TRANSPOSE(_xlfn.UNIQUE(_xlfn._xlws.FILTER(T_ASIGNATURA1[NOM_ASIG],(T_ASIGNATURA1[ID_NIVEL]=ASIGNACION!$C532)*(T_ASIGNATURA1[ID_CARRERA]=ASIGNACION!$A532),"No existe información")))</f>
        <v>No existe información</v>
      </c>
      <c r="BQ532" s="1" t="str" cm="1">
        <f t="array" ref="BQ532">IFERROR(
    TRANSPOSE(
        _xlfn.UNIQUE(
            _xlfn._xlws.FILTER(
                Tabla1_1[MAESTRIA],
                ISNUMBER(MATCH(Tabla1_1[CAMPO_DETALLADO],BD533:BP533,0))
            )
        )
    ),
"")</f>
        <v/>
      </c>
      <c r="EA532" t="str" cm="1">
        <f t="array" ref="EA532">IFERROR(
    TRANSPOSE(
        _xlfn.UNIQUE(
            _xlfn._xlws.FILTER(
                Tabla1__2[NOMBRE_DOCENTE],
                ISNUMBER(MATCH(Tabla1__2[MAESTRIA],BQ532:DY532,0))
            )
        )
    ),
"")</f>
        <v/>
      </c>
    </row>
    <row r="533" spans="1:131" ht="20.25" customHeight="1">
      <c r="A533" t="str" cm="1">
        <f t="array" ref="A533">TRANSPOSE(_xlfn.UNIQUE(_xlfn._xlws.FILTER(T_ASIGNATURA1[ID_NIVEL],T_ASIGNATURA1[ID_CARRERA]=ASIGNACION!$A533,"No existe información")))</f>
        <v>No existe información</v>
      </c>
      <c r="S533" t="str" cm="1">
        <f t="array" ref="S533">TRANSPOSE(_xlfn.UNIQUE(_xlfn._xlws.FILTER(T_ASIGNATURA1[NOM_ASIG],(T_ASIGNATURA1[ID_NIVEL]=ASIGNACION!$C533)*(T_ASIGNATURA1[ID_CARRERA]=ASIGNACION!$A533),"No existe información")))</f>
        <v>No existe información</v>
      </c>
      <c r="BQ533" s="1" t="str" cm="1">
        <f t="array" ref="BQ533">IFERROR(
    TRANSPOSE(
        _xlfn.UNIQUE(
            _xlfn._xlws.FILTER(
                Tabla1_1[MAESTRIA],
                ISNUMBER(MATCH(Tabla1_1[CAMPO_DETALLADO],BD534:BP534,0))
            )
        )
    ),
"")</f>
        <v/>
      </c>
      <c r="EA533" t="str" cm="1">
        <f t="array" ref="EA533">IFERROR(
    TRANSPOSE(
        _xlfn.UNIQUE(
            _xlfn._xlws.FILTER(
                Tabla1__2[NOMBRE_DOCENTE],
                ISNUMBER(MATCH(Tabla1__2[MAESTRIA],BQ533:DY533,0))
            )
        )
    ),
"")</f>
        <v/>
      </c>
    </row>
    <row r="534" spans="1:131" ht="20.25" customHeight="1">
      <c r="A534" t="str" cm="1">
        <f t="array" ref="A534">TRANSPOSE(_xlfn.UNIQUE(_xlfn._xlws.FILTER(T_ASIGNATURA1[ID_NIVEL],T_ASIGNATURA1[ID_CARRERA]=ASIGNACION!$A534,"No existe información")))</f>
        <v>No existe información</v>
      </c>
      <c r="S534" t="str" cm="1">
        <f t="array" ref="S534">TRANSPOSE(_xlfn.UNIQUE(_xlfn._xlws.FILTER(T_ASIGNATURA1[NOM_ASIG],(T_ASIGNATURA1[ID_NIVEL]=ASIGNACION!$C534)*(T_ASIGNATURA1[ID_CARRERA]=ASIGNACION!$A534),"No existe información")))</f>
        <v>No existe información</v>
      </c>
      <c r="BQ534" s="1" t="str" cm="1">
        <f t="array" ref="BQ534">IFERROR(
    TRANSPOSE(
        _xlfn.UNIQUE(
            _xlfn._xlws.FILTER(
                Tabla1_1[MAESTRIA],
                ISNUMBER(MATCH(Tabla1_1[CAMPO_DETALLADO],BD535:BP535,0))
            )
        )
    ),
"")</f>
        <v/>
      </c>
      <c r="EA534" t="str" cm="1">
        <f t="array" ref="EA534">IFERROR(
    TRANSPOSE(
        _xlfn.UNIQUE(
            _xlfn._xlws.FILTER(
                Tabla1__2[NOMBRE_DOCENTE],
                ISNUMBER(MATCH(Tabla1__2[MAESTRIA],BQ534:DY534,0))
            )
        )
    ),
"")</f>
        <v/>
      </c>
    </row>
    <row r="535" spans="1:131" ht="20.25" customHeight="1">
      <c r="A535" t="str" cm="1">
        <f t="array" ref="A535">TRANSPOSE(_xlfn.UNIQUE(_xlfn._xlws.FILTER(T_ASIGNATURA1[ID_NIVEL],T_ASIGNATURA1[ID_CARRERA]=ASIGNACION!$A535,"No existe información")))</f>
        <v>No existe información</v>
      </c>
      <c r="S535" t="str" cm="1">
        <f t="array" ref="S535">TRANSPOSE(_xlfn.UNIQUE(_xlfn._xlws.FILTER(T_ASIGNATURA1[NOM_ASIG],(T_ASIGNATURA1[ID_NIVEL]=ASIGNACION!$C535)*(T_ASIGNATURA1[ID_CARRERA]=ASIGNACION!$A535),"No existe información")))</f>
        <v>No existe información</v>
      </c>
      <c r="BQ535" s="1" t="str" cm="1">
        <f t="array" ref="BQ535">IFERROR(
    TRANSPOSE(
        _xlfn.UNIQUE(
            _xlfn._xlws.FILTER(
                Tabla1_1[MAESTRIA],
                ISNUMBER(MATCH(Tabla1_1[CAMPO_DETALLADO],BD536:BP536,0))
            )
        )
    ),
"")</f>
        <v/>
      </c>
      <c r="EA535" t="str" cm="1">
        <f t="array" ref="EA535">IFERROR(
    TRANSPOSE(
        _xlfn.UNIQUE(
            _xlfn._xlws.FILTER(
                Tabla1__2[NOMBRE_DOCENTE],
                ISNUMBER(MATCH(Tabla1__2[MAESTRIA],BQ535:DY535,0))
            )
        )
    ),
"")</f>
        <v/>
      </c>
    </row>
    <row r="536" spans="1:131" ht="20.25" customHeight="1">
      <c r="A536" t="str" cm="1">
        <f t="array" ref="A536">TRANSPOSE(_xlfn.UNIQUE(_xlfn._xlws.FILTER(T_ASIGNATURA1[ID_NIVEL],T_ASIGNATURA1[ID_CARRERA]=ASIGNACION!$A536,"No existe información")))</f>
        <v>No existe información</v>
      </c>
      <c r="S536" t="str" cm="1">
        <f t="array" ref="S536">TRANSPOSE(_xlfn.UNIQUE(_xlfn._xlws.FILTER(T_ASIGNATURA1[NOM_ASIG],(T_ASIGNATURA1[ID_NIVEL]=ASIGNACION!$C536)*(T_ASIGNATURA1[ID_CARRERA]=ASIGNACION!$A536),"No existe información")))</f>
        <v>No existe información</v>
      </c>
      <c r="BQ536" s="1" t="str" cm="1">
        <f t="array" ref="BQ536">IFERROR(
    TRANSPOSE(
        _xlfn.UNIQUE(
            _xlfn._xlws.FILTER(
                Tabla1_1[MAESTRIA],
                ISNUMBER(MATCH(Tabla1_1[CAMPO_DETALLADO],BD537:BP537,0))
            )
        )
    ),
"")</f>
        <v/>
      </c>
      <c r="EA536" t="str" cm="1">
        <f t="array" ref="EA536">IFERROR(
    TRANSPOSE(
        _xlfn.UNIQUE(
            _xlfn._xlws.FILTER(
                Tabla1__2[NOMBRE_DOCENTE],
                ISNUMBER(MATCH(Tabla1__2[MAESTRIA],BQ536:DY536,0))
            )
        )
    ),
"")</f>
        <v/>
      </c>
    </row>
    <row r="537" spans="1:131" ht="20.25" customHeight="1">
      <c r="A537" t="str" cm="1">
        <f t="array" ref="A537">TRANSPOSE(_xlfn.UNIQUE(_xlfn._xlws.FILTER(T_ASIGNATURA1[ID_NIVEL],T_ASIGNATURA1[ID_CARRERA]=ASIGNACION!$A537,"No existe información")))</f>
        <v>No existe información</v>
      </c>
      <c r="S537" t="str" cm="1">
        <f t="array" ref="S537">TRANSPOSE(_xlfn.UNIQUE(_xlfn._xlws.FILTER(T_ASIGNATURA1[NOM_ASIG],(T_ASIGNATURA1[ID_NIVEL]=ASIGNACION!$C537)*(T_ASIGNATURA1[ID_CARRERA]=ASIGNACION!$A537),"No existe información")))</f>
        <v>No existe información</v>
      </c>
      <c r="BQ537" s="1" t="str" cm="1">
        <f t="array" ref="BQ537">IFERROR(
    TRANSPOSE(
        _xlfn.UNIQUE(
            _xlfn._xlws.FILTER(
                Tabla1_1[MAESTRIA],
                ISNUMBER(MATCH(Tabla1_1[CAMPO_DETALLADO],BD538:BP538,0))
            )
        )
    ),
"")</f>
        <v/>
      </c>
      <c r="EA537" t="str" cm="1">
        <f t="array" ref="EA537">IFERROR(
    TRANSPOSE(
        _xlfn.UNIQUE(
            _xlfn._xlws.FILTER(
                Tabla1__2[NOMBRE_DOCENTE],
                ISNUMBER(MATCH(Tabla1__2[MAESTRIA],BQ537:DY537,0))
            )
        )
    ),
"")</f>
        <v/>
      </c>
    </row>
    <row r="538" spans="1:131" ht="20.25" customHeight="1">
      <c r="A538" t="str" cm="1">
        <f t="array" ref="A538">TRANSPOSE(_xlfn.UNIQUE(_xlfn._xlws.FILTER(T_ASIGNATURA1[ID_NIVEL],T_ASIGNATURA1[ID_CARRERA]=ASIGNACION!$A538,"No existe información")))</f>
        <v>No existe información</v>
      </c>
      <c r="S538" t="str" cm="1">
        <f t="array" ref="S538">TRANSPOSE(_xlfn.UNIQUE(_xlfn._xlws.FILTER(T_ASIGNATURA1[NOM_ASIG],(T_ASIGNATURA1[ID_NIVEL]=ASIGNACION!$C538)*(T_ASIGNATURA1[ID_CARRERA]=ASIGNACION!$A538),"No existe información")))</f>
        <v>No existe información</v>
      </c>
      <c r="BQ538" s="1" t="str" cm="1">
        <f t="array" ref="BQ538">IFERROR(
    TRANSPOSE(
        _xlfn.UNIQUE(
            _xlfn._xlws.FILTER(
                Tabla1_1[MAESTRIA],
                ISNUMBER(MATCH(Tabla1_1[CAMPO_DETALLADO],BD539:BP539,0))
            )
        )
    ),
"")</f>
        <v/>
      </c>
      <c r="EA538" t="str" cm="1">
        <f t="array" ref="EA538">IFERROR(
    TRANSPOSE(
        _xlfn.UNIQUE(
            _xlfn._xlws.FILTER(
                Tabla1__2[NOMBRE_DOCENTE],
                ISNUMBER(MATCH(Tabla1__2[MAESTRIA],BQ538:DY538,0))
            )
        )
    ),
"")</f>
        <v/>
      </c>
    </row>
    <row r="539" spans="1:131" ht="20.25" customHeight="1">
      <c r="A539" t="str" cm="1">
        <f t="array" ref="A539">TRANSPOSE(_xlfn.UNIQUE(_xlfn._xlws.FILTER(T_ASIGNATURA1[ID_NIVEL],T_ASIGNATURA1[ID_CARRERA]=ASIGNACION!$A539,"No existe información")))</f>
        <v>No existe información</v>
      </c>
      <c r="S539" t="str" cm="1">
        <f t="array" ref="S539">TRANSPOSE(_xlfn.UNIQUE(_xlfn._xlws.FILTER(T_ASIGNATURA1[NOM_ASIG],(T_ASIGNATURA1[ID_NIVEL]=ASIGNACION!$C539)*(T_ASIGNATURA1[ID_CARRERA]=ASIGNACION!$A539),"No existe información")))</f>
        <v>No existe información</v>
      </c>
      <c r="BQ539" s="1" t="str" cm="1">
        <f t="array" ref="BQ539">IFERROR(
    TRANSPOSE(
        _xlfn.UNIQUE(
            _xlfn._xlws.FILTER(
                Tabla1_1[MAESTRIA],
                ISNUMBER(MATCH(Tabla1_1[CAMPO_DETALLADO],BD540:BP540,0))
            )
        )
    ),
"")</f>
        <v/>
      </c>
      <c r="EA539" t="str" cm="1">
        <f t="array" ref="EA539">IFERROR(
    TRANSPOSE(
        _xlfn.UNIQUE(
            _xlfn._xlws.FILTER(
                Tabla1__2[NOMBRE_DOCENTE],
                ISNUMBER(MATCH(Tabla1__2[MAESTRIA],BQ539:DY539,0))
            )
        )
    ),
"")</f>
        <v/>
      </c>
    </row>
    <row r="540" spans="1:131" ht="20.25" customHeight="1">
      <c r="A540" t="str" cm="1">
        <f t="array" ref="A540">TRANSPOSE(_xlfn.UNIQUE(_xlfn._xlws.FILTER(T_ASIGNATURA1[ID_NIVEL],T_ASIGNATURA1[ID_CARRERA]=ASIGNACION!$A540,"No existe información")))</f>
        <v>No existe información</v>
      </c>
      <c r="S540" t="str" cm="1">
        <f t="array" ref="S540">TRANSPOSE(_xlfn.UNIQUE(_xlfn._xlws.FILTER(T_ASIGNATURA1[NOM_ASIG],(T_ASIGNATURA1[ID_NIVEL]=ASIGNACION!$C540)*(T_ASIGNATURA1[ID_CARRERA]=ASIGNACION!$A540),"No existe información")))</f>
        <v>No existe información</v>
      </c>
      <c r="BQ540" s="1" t="str" cm="1">
        <f t="array" ref="BQ540">IFERROR(
    TRANSPOSE(
        _xlfn.UNIQUE(
            _xlfn._xlws.FILTER(
                Tabla1_1[MAESTRIA],
                ISNUMBER(MATCH(Tabla1_1[CAMPO_DETALLADO],BD541:BP541,0))
            )
        )
    ),
"")</f>
        <v/>
      </c>
      <c r="EA540" t="str" cm="1">
        <f t="array" ref="EA540">IFERROR(
    TRANSPOSE(
        _xlfn.UNIQUE(
            _xlfn._xlws.FILTER(
                Tabla1__2[NOMBRE_DOCENTE],
                ISNUMBER(MATCH(Tabla1__2[MAESTRIA],BQ540:DY540,0))
            )
        )
    ),
"")</f>
        <v/>
      </c>
    </row>
    <row r="541" spans="1:131" ht="20.25" customHeight="1">
      <c r="A541" t="str" cm="1">
        <f t="array" ref="A541">TRANSPOSE(_xlfn.UNIQUE(_xlfn._xlws.FILTER(T_ASIGNATURA1[ID_NIVEL],T_ASIGNATURA1[ID_CARRERA]=ASIGNACION!$A541,"No existe información")))</f>
        <v>No existe información</v>
      </c>
      <c r="S541" t="str" cm="1">
        <f t="array" ref="S541">TRANSPOSE(_xlfn.UNIQUE(_xlfn._xlws.FILTER(T_ASIGNATURA1[NOM_ASIG],(T_ASIGNATURA1[ID_NIVEL]=ASIGNACION!$C541)*(T_ASIGNATURA1[ID_CARRERA]=ASIGNACION!$A541),"No existe información")))</f>
        <v>No existe información</v>
      </c>
      <c r="BQ541" s="1" t="str" cm="1">
        <f t="array" ref="BQ541">IFERROR(
    TRANSPOSE(
        _xlfn.UNIQUE(
            _xlfn._xlws.FILTER(
                Tabla1_1[MAESTRIA],
                ISNUMBER(MATCH(Tabla1_1[CAMPO_DETALLADO],BD542:BP542,0))
            )
        )
    ),
"")</f>
        <v/>
      </c>
      <c r="EA541" t="str" cm="1">
        <f t="array" ref="EA541">IFERROR(
    TRANSPOSE(
        _xlfn.UNIQUE(
            _xlfn._xlws.FILTER(
                Tabla1__2[NOMBRE_DOCENTE],
                ISNUMBER(MATCH(Tabla1__2[MAESTRIA],BQ541:DY541,0))
            )
        )
    ),
"")</f>
        <v/>
      </c>
    </row>
    <row r="542" spans="1:131" ht="20.25" customHeight="1">
      <c r="A542" t="str" cm="1">
        <f t="array" ref="A542">TRANSPOSE(_xlfn.UNIQUE(_xlfn._xlws.FILTER(T_ASIGNATURA1[ID_NIVEL],T_ASIGNATURA1[ID_CARRERA]=ASIGNACION!$A542,"No existe información")))</f>
        <v>No existe información</v>
      </c>
      <c r="S542" t="str" cm="1">
        <f t="array" ref="S542">TRANSPOSE(_xlfn.UNIQUE(_xlfn._xlws.FILTER(T_ASIGNATURA1[NOM_ASIG],(T_ASIGNATURA1[ID_NIVEL]=ASIGNACION!$C542)*(T_ASIGNATURA1[ID_CARRERA]=ASIGNACION!$A542),"No existe información")))</f>
        <v>No existe información</v>
      </c>
      <c r="BQ542" s="1" t="str" cm="1">
        <f t="array" ref="BQ542">IFERROR(
    TRANSPOSE(
        _xlfn.UNIQUE(
            _xlfn._xlws.FILTER(
                Tabla1_1[MAESTRIA],
                ISNUMBER(MATCH(Tabla1_1[CAMPO_DETALLADO],BD543:BP543,0))
            )
        )
    ),
"")</f>
        <v/>
      </c>
      <c r="EA542" t="str" cm="1">
        <f t="array" ref="EA542">IFERROR(
    TRANSPOSE(
        _xlfn.UNIQUE(
            _xlfn._xlws.FILTER(
                Tabla1__2[NOMBRE_DOCENTE],
                ISNUMBER(MATCH(Tabla1__2[MAESTRIA],BQ542:DY542,0))
            )
        )
    ),
"")</f>
        <v/>
      </c>
    </row>
    <row r="543" spans="1:131" ht="20.25" customHeight="1">
      <c r="A543" t="str" cm="1">
        <f t="array" ref="A543">TRANSPOSE(_xlfn.UNIQUE(_xlfn._xlws.FILTER(T_ASIGNATURA1[ID_NIVEL],T_ASIGNATURA1[ID_CARRERA]=ASIGNACION!$A543,"No existe información")))</f>
        <v>No existe información</v>
      </c>
      <c r="S543" t="str" cm="1">
        <f t="array" ref="S543">TRANSPOSE(_xlfn.UNIQUE(_xlfn._xlws.FILTER(T_ASIGNATURA1[NOM_ASIG],(T_ASIGNATURA1[ID_NIVEL]=ASIGNACION!$C543)*(T_ASIGNATURA1[ID_CARRERA]=ASIGNACION!$A543),"No existe información")))</f>
        <v>No existe información</v>
      </c>
      <c r="BQ543" s="1" t="str" cm="1">
        <f t="array" ref="BQ543">IFERROR(
    TRANSPOSE(
        _xlfn.UNIQUE(
            _xlfn._xlws.FILTER(
                Tabla1_1[MAESTRIA],
                ISNUMBER(MATCH(Tabla1_1[CAMPO_DETALLADO],BD544:BP544,0))
            )
        )
    ),
"")</f>
        <v/>
      </c>
      <c r="EA543" t="str" cm="1">
        <f t="array" ref="EA543">IFERROR(
    TRANSPOSE(
        _xlfn.UNIQUE(
            _xlfn._xlws.FILTER(
                Tabla1__2[NOMBRE_DOCENTE],
                ISNUMBER(MATCH(Tabla1__2[MAESTRIA],BQ543:DY543,0))
            )
        )
    ),
"")</f>
        <v/>
      </c>
    </row>
    <row r="544" spans="1:131" ht="20.25" customHeight="1">
      <c r="A544" t="str" cm="1">
        <f t="array" ref="A544">TRANSPOSE(_xlfn.UNIQUE(_xlfn._xlws.FILTER(T_ASIGNATURA1[ID_NIVEL],T_ASIGNATURA1[ID_CARRERA]=ASIGNACION!$A544,"No existe información")))</f>
        <v>No existe información</v>
      </c>
      <c r="S544" t="str" cm="1">
        <f t="array" ref="S544">TRANSPOSE(_xlfn.UNIQUE(_xlfn._xlws.FILTER(T_ASIGNATURA1[NOM_ASIG],(T_ASIGNATURA1[ID_NIVEL]=ASIGNACION!$C544)*(T_ASIGNATURA1[ID_CARRERA]=ASIGNACION!$A544),"No existe información")))</f>
        <v>No existe información</v>
      </c>
      <c r="BQ544" s="1" t="str" cm="1">
        <f t="array" ref="BQ544">IFERROR(
    TRANSPOSE(
        _xlfn.UNIQUE(
            _xlfn._xlws.FILTER(
                Tabla1_1[MAESTRIA],
                ISNUMBER(MATCH(Tabla1_1[CAMPO_DETALLADO],BD545:BP545,0))
            )
        )
    ),
"")</f>
        <v/>
      </c>
      <c r="EA544" t="str" cm="1">
        <f t="array" ref="EA544">IFERROR(
    TRANSPOSE(
        _xlfn.UNIQUE(
            _xlfn._xlws.FILTER(
                Tabla1__2[NOMBRE_DOCENTE],
                ISNUMBER(MATCH(Tabla1__2[MAESTRIA],BQ544:DY544,0))
            )
        )
    ),
"")</f>
        <v/>
      </c>
    </row>
    <row r="545" spans="1:131" ht="20.25" customHeight="1">
      <c r="A545" t="str" cm="1">
        <f t="array" ref="A545">TRANSPOSE(_xlfn.UNIQUE(_xlfn._xlws.FILTER(T_ASIGNATURA1[ID_NIVEL],T_ASIGNATURA1[ID_CARRERA]=ASIGNACION!$A545,"No existe información")))</f>
        <v>No existe información</v>
      </c>
      <c r="S545" t="str" cm="1">
        <f t="array" ref="S545">TRANSPOSE(_xlfn.UNIQUE(_xlfn._xlws.FILTER(T_ASIGNATURA1[NOM_ASIG],(T_ASIGNATURA1[ID_NIVEL]=ASIGNACION!$C545)*(T_ASIGNATURA1[ID_CARRERA]=ASIGNACION!$A545),"No existe información")))</f>
        <v>No existe información</v>
      </c>
      <c r="BQ545" s="1" t="str" cm="1">
        <f t="array" ref="BQ545">IFERROR(
    TRANSPOSE(
        _xlfn.UNIQUE(
            _xlfn._xlws.FILTER(
                Tabla1_1[MAESTRIA],
                ISNUMBER(MATCH(Tabla1_1[CAMPO_DETALLADO],BD546:BP546,0))
            )
        )
    ),
"")</f>
        <v/>
      </c>
      <c r="EA545" t="str" cm="1">
        <f t="array" ref="EA545">IFERROR(
    TRANSPOSE(
        _xlfn.UNIQUE(
            _xlfn._xlws.FILTER(
                Tabla1__2[NOMBRE_DOCENTE],
                ISNUMBER(MATCH(Tabla1__2[MAESTRIA],BQ545:DY545,0))
            )
        )
    ),
"")</f>
        <v/>
      </c>
    </row>
    <row r="546" spans="1:131" ht="20.25" customHeight="1">
      <c r="A546" t="str" cm="1">
        <f t="array" ref="A546">TRANSPOSE(_xlfn.UNIQUE(_xlfn._xlws.FILTER(T_ASIGNATURA1[ID_NIVEL],T_ASIGNATURA1[ID_CARRERA]=ASIGNACION!$A546,"No existe información")))</f>
        <v>No existe información</v>
      </c>
      <c r="S546" t="str" cm="1">
        <f t="array" ref="S546">TRANSPOSE(_xlfn.UNIQUE(_xlfn._xlws.FILTER(T_ASIGNATURA1[NOM_ASIG],(T_ASIGNATURA1[ID_NIVEL]=ASIGNACION!$C546)*(T_ASIGNATURA1[ID_CARRERA]=ASIGNACION!$A546),"No existe información")))</f>
        <v>No existe información</v>
      </c>
      <c r="BQ546" s="1" t="str" cm="1">
        <f t="array" ref="BQ546">IFERROR(
    TRANSPOSE(
        _xlfn.UNIQUE(
            _xlfn._xlws.FILTER(
                Tabla1_1[MAESTRIA],
                ISNUMBER(MATCH(Tabla1_1[CAMPO_DETALLADO],BD547:BP547,0))
            )
        )
    ),
"")</f>
        <v/>
      </c>
      <c r="EA546" t="str" cm="1">
        <f t="array" ref="EA546">IFERROR(
    TRANSPOSE(
        _xlfn.UNIQUE(
            _xlfn._xlws.FILTER(
                Tabla1__2[NOMBRE_DOCENTE],
                ISNUMBER(MATCH(Tabla1__2[MAESTRIA],BQ546:DY546,0))
            )
        )
    ),
"")</f>
        <v/>
      </c>
    </row>
    <row r="547" spans="1:131" ht="20.25" customHeight="1">
      <c r="A547" t="str" cm="1">
        <f t="array" ref="A547">TRANSPOSE(_xlfn.UNIQUE(_xlfn._xlws.FILTER(T_ASIGNATURA1[ID_NIVEL],T_ASIGNATURA1[ID_CARRERA]=ASIGNACION!$A547,"No existe información")))</f>
        <v>No existe información</v>
      </c>
      <c r="S547" t="str" cm="1">
        <f t="array" ref="S547">TRANSPOSE(_xlfn.UNIQUE(_xlfn._xlws.FILTER(T_ASIGNATURA1[NOM_ASIG],(T_ASIGNATURA1[ID_NIVEL]=ASIGNACION!$C547)*(T_ASIGNATURA1[ID_CARRERA]=ASIGNACION!$A547),"No existe información")))</f>
        <v>No existe información</v>
      </c>
      <c r="BQ547" s="1" t="str" cm="1">
        <f t="array" ref="BQ547">IFERROR(
    TRANSPOSE(
        _xlfn.UNIQUE(
            _xlfn._xlws.FILTER(
                Tabla1_1[MAESTRIA],
                ISNUMBER(MATCH(Tabla1_1[CAMPO_DETALLADO],BD548:BP548,0))
            )
        )
    ),
"")</f>
        <v/>
      </c>
      <c r="EA547" t="str" cm="1">
        <f t="array" ref="EA547">IFERROR(
    TRANSPOSE(
        _xlfn.UNIQUE(
            _xlfn._xlws.FILTER(
                Tabla1__2[NOMBRE_DOCENTE],
                ISNUMBER(MATCH(Tabla1__2[MAESTRIA],BQ547:DY547,0))
            )
        )
    ),
"")</f>
        <v/>
      </c>
    </row>
    <row r="548" spans="1:131" ht="20.25" customHeight="1">
      <c r="A548" t="str" cm="1">
        <f t="array" ref="A548">TRANSPOSE(_xlfn.UNIQUE(_xlfn._xlws.FILTER(T_ASIGNATURA1[ID_NIVEL],T_ASIGNATURA1[ID_CARRERA]=ASIGNACION!$A548,"No existe información")))</f>
        <v>No existe información</v>
      </c>
      <c r="S548" t="str" cm="1">
        <f t="array" ref="S548">TRANSPOSE(_xlfn.UNIQUE(_xlfn._xlws.FILTER(T_ASIGNATURA1[NOM_ASIG],(T_ASIGNATURA1[ID_NIVEL]=ASIGNACION!$C548)*(T_ASIGNATURA1[ID_CARRERA]=ASIGNACION!$A548),"No existe información")))</f>
        <v>No existe información</v>
      </c>
      <c r="BQ548" s="1" t="str" cm="1">
        <f t="array" ref="BQ548">IFERROR(
    TRANSPOSE(
        _xlfn.UNIQUE(
            _xlfn._xlws.FILTER(
                Tabla1_1[MAESTRIA],
                ISNUMBER(MATCH(Tabla1_1[CAMPO_DETALLADO],BD549:BP549,0))
            )
        )
    ),
"")</f>
        <v/>
      </c>
      <c r="EA548" t="str" cm="1">
        <f t="array" ref="EA548">IFERROR(
    TRANSPOSE(
        _xlfn.UNIQUE(
            _xlfn._xlws.FILTER(
                Tabla1__2[NOMBRE_DOCENTE],
                ISNUMBER(MATCH(Tabla1__2[MAESTRIA],BQ548:DY548,0))
            )
        )
    ),
"")</f>
        <v/>
      </c>
    </row>
    <row r="549" spans="1:131" ht="20.25" customHeight="1">
      <c r="A549" t="str" cm="1">
        <f t="array" ref="A549">TRANSPOSE(_xlfn.UNIQUE(_xlfn._xlws.FILTER(T_ASIGNATURA1[ID_NIVEL],T_ASIGNATURA1[ID_CARRERA]=ASIGNACION!$A549,"No existe información")))</f>
        <v>No existe información</v>
      </c>
      <c r="S549" t="str" cm="1">
        <f t="array" ref="S549">TRANSPOSE(_xlfn.UNIQUE(_xlfn._xlws.FILTER(T_ASIGNATURA1[NOM_ASIG],(T_ASIGNATURA1[ID_NIVEL]=ASIGNACION!$C549)*(T_ASIGNATURA1[ID_CARRERA]=ASIGNACION!$A549),"No existe información")))</f>
        <v>No existe información</v>
      </c>
      <c r="BQ549" s="1" t="str" cm="1">
        <f t="array" ref="BQ549">IFERROR(
    TRANSPOSE(
        _xlfn.UNIQUE(
            _xlfn._xlws.FILTER(
                Tabla1_1[MAESTRIA],
                ISNUMBER(MATCH(Tabla1_1[CAMPO_DETALLADO],BD550:BP550,0))
            )
        )
    ),
"")</f>
        <v/>
      </c>
      <c r="EA549" t="str" cm="1">
        <f t="array" ref="EA549">IFERROR(
    TRANSPOSE(
        _xlfn.UNIQUE(
            _xlfn._xlws.FILTER(
                Tabla1__2[NOMBRE_DOCENTE],
                ISNUMBER(MATCH(Tabla1__2[MAESTRIA],BQ549:DY549,0))
            )
        )
    ),
"")</f>
        <v/>
      </c>
    </row>
    <row r="550" spans="1:131" ht="20.25" customHeight="1">
      <c r="A550" t="str" cm="1">
        <f t="array" ref="A550">TRANSPOSE(_xlfn.UNIQUE(_xlfn._xlws.FILTER(T_ASIGNATURA1[ID_NIVEL],T_ASIGNATURA1[ID_CARRERA]=ASIGNACION!$A550,"No existe información")))</f>
        <v>No existe información</v>
      </c>
      <c r="S550" t="str" cm="1">
        <f t="array" ref="S550">TRANSPOSE(_xlfn.UNIQUE(_xlfn._xlws.FILTER(T_ASIGNATURA1[NOM_ASIG],(T_ASIGNATURA1[ID_NIVEL]=ASIGNACION!$C550)*(T_ASIGNATURA1[ID_CARRERA]=ASIGNACION!$A550),"No existe información")))</f>
        <v>No existe información</v>
      </c>
      <c r="BQ550" s="1" t="str" cm="1">
        <f t="array" ref="BQ550">IFERROR(
    TRANSPOSE(
        _xlfn.UNIQUE(
            _xlfn._xlws.FILTER(
                Tabla1_1[MAESTRIA],
                ISNUMBER(MATCH(Tabla1_1[CAMPO_DETALLADO],BD551:BP551,0))
            )
        )
    ),
"")</f>
        <v/>
      </c>
      <c r="EA550" t="str" cm="1">
        <f t="array" ref="EA550">IFERROR(
    TRANSPOSE(
        _xlfn.UNIQUE(
            _xlfn._xlws.FILTER(
                Tabla1__2[NOMBRE_DOCENTE],
                ISNUMBER(MATCH(Tabla1__2[MAESTRIA],BQ550:DY550,0))
            )
        )
    ),
"")</f>
        <v/>
      </c>
    </row>
    <row r="551" spans="1:131" ht="20.25" customHeight="1">
      <c r="A551" t="str" cm="1">
        <f t="array" ref="A551">TRANSPOSE(_xlfn.UNIQUE(_xlfn._xlws.FILTER(T_ASIGNATURA1[ID_NIVEL],T_ASIGNATURA1[ID_CARRERA]=ASIGNACION!$A551,"No existe información")))</f>
        <v>No existe información</v>
      </c>
      <c r="S551" t="str" cm="1">
        <f t="array" ref="S551">TRANSPOSE(_xlfn.UNIQUE(_xlfn._xlws.FILTER(T_ASIGNATURA1[NOM_ASIG],(T_ASIGNATURA1[ID_NIVEL]=ASIGNACION!$C551)*(T_ASIGNATURA1[ID_CARRERA]=ASIGNACION!$A551),"No existe información")))</f>
        <v>No existe información</v>
      </c>
      <c r="BQ551" s="1" t="str" cm="1">
        <f t="array" ref="BQ551">IFERROR(
    TRANSPOSE(
        _xlfn.UNIQUE(
            _xlfn._xlws.FILTER(
                Tabla1_1[MAESTRIA],
                ISNUMBER(MATCH(Tabla1_1[CAMPO_DETALLADO],BD552:BP552,0))
            )
        )
    ),
"")</f>
        <v/>
      </c>
      <c r="EA551" t="str" cm="1">
        <f t="array" ref="EA551">IFERROR(
    TRANSPOSE(
        _xlfn.UNIQUE(
            _xlfn._xlws.FILTER(
                Tabla1__2[NOMBRE_DOCENTE],
                ISNUMBER(MATCH(Tabla1__2[MAESTRIA],BQ551:DY551,0))
            )
        )
    ),
"")</f>
        <v/>
      </c>
    </row>
    <row r="552" spans="1:131" ht="20.25" customHeight="1">
      <c r="A552" t="str" cm="1">
        <f t="array" ref="A552">TRANSPOSE(_xlfn.UNIQUE(_xlfn._xlws.FILTER(T_ASIGNATURA1[ID_NIVEL],T_ASIGNATURA1[ID_CARRERA]=ASIGNACION!$A552,"No existe información")))</f>
        <v>No existe información</v>
      </c>
      <c r="S552" t="str" cm="1">
        <f t="array" ref="S552">TRANSPOSE(_xlfn.UNIQUE(_xlfn._xlws.FILTER(T_ASIGNATURA1[NOM_ASIG],(T_ASIGNATURA1[ID_NIVEL]=ASIGNACION!$C552)*(T_ASIGNATURA1[ID_CARRERA]=ASIGNACION!$A552),"No existe información")))</f>
        <v>No existe información</v>
      </c>
      <c r="BQ552" s="1" t="str" cm="1">
        <f t="array" ref="BQ552">IFERROR(
    TRANSPOSE(
        _xlfn.UNIQUE(
            _xlfn._xlws.FILTER(
                Tabla1_1[MAESTRIA],
                ISNUMBER(MATCH(Tabla1_1[CAMPO_DETALLADO],BD553:BP553,0))
            )
        )
    ),
"")</f>
        <v/>
      </c>
      <c r="EA552" t="str" cm="1">
        <f t="array" ref="EA552">IFERROR(
    TRANSPOSE(
        _xlfn.UNIQUE(
            _xlfn._xlws.FILTER(
                Tabla1__2[NOMBRE_DOCENTE],
                ISNUMBER(MATCH(Tabla1__2[MAESTRIA],BQ552:DY552,0))
            )
        )
    ),
"")</f>
        <v/>
      </c>
    </row>
    <row r="553" spans="1:131" ht="20.25" customHeight="1">
      <c r="A553" t="str" cm="1">
        <f t="array" ref="A553">TRANSPOSE(_xlfn.UNIQUE(_xlfn._xlws.FILTER(T_ASIGNATURA1[ID_NIVEL],T_ASIGNATURA1[ID_CARRERA]=ASIGNACION!$A553,"No existe información")))</f>
        <v>No existe información</v>
      </c>
      <c r="S553" t="str" cm="1">
        <f t="array" ref="S553">TRANSPOSE(_xlfn.UNIQUE(_xlfn._xlws.FILTER(T_ASIGNATURA1[NOM_ASIG],(T_ASIGNATURA1[ID_NIVEL]=ASIGNACION!$C553)*(T_ASIGNATURA1[ID_CARRERA]=ASIGNACION!$A553),"No existe información")))</f>
        <v>No existe información</v>
      </c>
      <c r="BQ553" s="1" t="str" cm="1">
        <f t="array" ref="BQ553">IFERROR(
    TRANSPOSE(
        _xlfn.UNIQUE(
            _xlfn._xlws.FILTER(
                Tabla1_1[MAESTRIA],
                ISNUMBER(MATCH(Tabla1_1[CAMPO_DETALLADO],BD554:BP554,0))
            )
        )
    ),
"")</f>
        <v/>
      </c>
      <c r="EA553" t="str" cm="1">
        <f t="array" ref="EA553">IFERROR(
    TRANSPOSE(
        _xlfn.UNIQUE(
            _xlfn._xlws.FILTER(
                Tabla1__2[NOMBRE_DOCENTE],
                ISNUMBER(MATCH(Tabla1__2[MAESTRIA],BQ553:DY553,0))
            )
        )
    ),
"")</f>
        <v/>
      </c>
    </row>
    <row r="554" spans="1:131" ht="20.25" customHeight="1">
      <c r="A554" t="str" cm="1">
        <f t="array" ref="A554">TRANSPOSE(_xlfn.UNIQUE(_xlfn._xlws.FILTER(T_ASIGNATURA1[ID_NIVEL],T_ASIGNATURA1[ID_CARRERA]=ASIGNACION!$A554,"No existe información")))</f>
        <v>No existe información</v>
      </c>
      <c r="S554" t="str" cm="1">
        <f t="array" ref="S554">TRANSPOSE(_xlfn.UNIQUE(_xlfn._xlws.FILTER(T_ASIGNATURA1[NOM_ASIG],(T_ASIGNATURA1[ID_NIVEL]=ASIGNACION!$C554)*(T_ASIGNATURA1[ID_CARRERA]=ASIGNACION!$A554),"No existe información")))</f>
        <v>No existe información</v>
      </c>
      <c r="BQ554" s="1" t="str" cm="1">
        <f t="array" ref="BQ554">IFERROR(
    TRANSPOSE(
        _xlfn.UNIQUE(
            _xlfn._xlws.FILTER(
                Tabla1_1[MAESTRIA],
                ISNUMBER(MATCH(Tabla1_1[CAMPO_DETALLADO],BD555:BP555,0))
            )
        )
    ),
"")</f>
        <v/>
      </c>
      <c r="EA554" t="str" cm="1">
        <f t="array" ref="EA554">IFERROR(
    TRANSPOSE(
        _xlfn.UNIQUE(
            _xlfn._xlws.FILTER(
                Tabla1__2[NOMBRE_DOCENTE],
                ISNUMBER(MATCH(Tabla1__2[MAESTRIA],BQ554:DY554,0))
            )
        )
    ),
"")</f>
        <v/>
      </c>
    </row>
    <row r="555" spans="1:131" ht="20.25" customHeight="1">
      <c r="A555" t="str" cm="1">
        <f t="array" ref="A555">TRANSPOSE(_xlfn.UNIQUE(_xlfn._xlws.FILTER(T_ASIGNATURA1[ID_NIVEL],T_ASIGNATURA1[ID_CARRERA]=ASIGNACION!$A555,"No existe información")))</f>
        <v>No existe información</v>
      </c>
      <c r="S555" t="str" cm="1">
        <f t="array" ref="S555">TRANSPOSE(_xlfn.UNIQUE(_xlfn._xlws.FILTER(T_ASIGNATURA1[NOM_ASIG],(T_ASIGNATURA1[ID_NIVEL]=ASIGNACION!$C555)*(T_ASIGNATURA1[ID_CARRERA]=ASIGNACION!$A555),"No existe información")))</f>
        <v>No existe información</v>
      </c>
      <c r="BQ555" s="1" t="str" cm="1">
        <f t="array" ref="BQ555">IFERROR(
    TRANSPOSE(
        _xlfn.UNIQUE(
            _xlfn._xlws.FILTER(
                Tabla1_1[MAESTRIA],
                ISNUMBER(MATCH(Tabla1_1[CAMPO_DETALLADO],BD556:BP556,0))
            )
        )
    ),
"")</f>
        <v/>
      </c>
      <c r="EA555" t="str" cm="1">
        <f t="array" ref="EA555">IFERROR(
    TRANSPOSE(
        _xlfn.UNIQUE(
            _xlfn._xlws.FILTER(
                Tabla1__2[NOMBRE_DOCENTE],
                ISNUMBER(MATCH(Tabla1__2[MAESTRIA],BQ555:DY555,0))
            )
        )
    ),
"")</f>
        <v/>
      </c>
    </row>
    <row r="556" spans="1:131" ht="20.25" customHeight="1">
      <c r="A556" t="str" cm="1">
        <f t="array" ref="A556">TRANSPOSE(_xlfn.UNIQUE(_xlfn._xlws.FILTER(T_ASIGNATURA1[ID_NIVEL],T_ASIGNATURA1[ID_CARRERA]=ASIGNACION!$A556,"No existe información")))</f>
        <v>No existe información</v>
      </c>
      <c r="S556" t="str" cm="1">
        <f t="array" ref="S556">TRANSPOSE(_xlfn.UNIQUE(_xlfn._xlws.FILTER(T_ASIGNATURA1[NOM_ASIG],(T_ASIGNATURA1[ID_NIVEL]=ASIGNACION!$C556)*(T_ASIGNATURA1[ID_CARRERA]=ASIGNACION!$A556),"No existe información")))</f>
        <v>No existe información</v>
      </c>
      <c r="BQ556" s="1" t="str" cm="1">
        <f t="array" ref="BQ556">IFERROR(
    TRANSPOSE(
        _xlfn.UNIQUE(
            _xlfn._xlws.FILTER(
                Tabla1_1[MAESTRIA],
                ISNUMBER(MATCH(Tabla1_1[CAMPO_DETALLADO],BD557:BP557,0))
            )
        )
    ),
"")</f>
        <v/>
      </c>
      <c r="EA556" t="str" cm="1">
        <f t="array" ref="EA556">IFERROR(
    TRANSPOSE(
        _xlfn.UNIQUE(
            _xlfn._xlws.FILTER(
                Tabla1__2[NOMBRE_DOCENTE],
                ISNUMBER(MATCH(Tabla1__2[MAESTRIA],BQ556:DY556,0))
            )
        )
    ),
"")</f>
        <v/>
      </c>
    </row>
    <row r="557" spans="1:131" ht="20.25" customHeight="1">
      <c r="A557" t="str" cm="1">
        <f t="array" ref="A557">TRANSPOSE(_xlfn.UNIQUE(_xlfn._xlws.FILTER(T_ASIGNATURA1[ID_NIVEL],T_ASIGNATURA1[ID_CARRERA]=ASIGNACION!$A557,"No existe información")))</f>
        <v>No existe información</v>
      </c>
      <c r="S557" t="str" cm="1">
        <f t="array" ref="S557">TRANSPOSE(_xlfn.UNIQUE(_xlfn._xlws.FILTER(T_ASIGNATURA1[NOM_ASIG],(T_ASIGNATURA1[ID_NIVEL]=ASIGNACION!$C557)*(T_ASIGNATURA1[ID_CARRERA]=ASIGNACION!$A557),"No existe información")))</f>
        <v>No existe información</v>
      </c>
      <c r="BQ557" s="1" t="str" cm="1">
        <f t="array" ref="BQ557">IFERROR(
    TRANSPOSE(
        _xlfn.UNIQUE(
            _xlfn._xlws.FILTER(
                Tabla1_1[MAESTRIA],
                ISNUMBER(MATCH(Tabla1_1[CAMPO_DETALLADO],BD558:BP558,0))
            )
        )
    ),
"")</f>
        <v/>
      </c>
      <c r="EA557" t="str" cm="1">
        <f t="array" ref="EA557">IFERROR(
    TRANSPOSE(
        _xlfn.UNIQUE(
            _xlfn._xlws.FILTER(
                Tabla1__2[NOMBRE_DOCENTE],
                ISNUMBER(MATCH(Tabla1__2[MAESTRIA],BQ557:DY557,0))
            )
        )
    ),
"")</f>
        <v/>
      </c>
    </row>
    <row r="558" spans="1:131" ht="20.25" customHeight="1">
      <c r="A558" t="str" cm="1">
        <f t="array" ref="A558">TRANSPOSE(_xlfn.UNIQUE(_xlfn._xlws.FILTER(T_ASIGNATURA1[ID_NIVEL],T_ASIGNATURA1[ID_CARRERA]=ASIGNACION!$A558,"No existe información")))</f>
        <v>No existe información</v>
      </c>
      <c r="S558" t="str" cm="1">
        <f t="array" ref="S558">TRANSPOSE(_xlfn.UNIQUE(_xlfn._xlws.FILTER(T_ASIGNATURA1[NOM_ASIG],(T_ASIGNATURA1[ID_NIVEL]=ASIGNACION!$C558)*(T_ASIGNATURA1[ID_CARRERA]=ASIGNACION!$A558),"No existe información")))</f>
        <v>No existe información</v>
      </c>
      <c r="BQ558" s="1" t="str" cm="1">
        <f t="array" ref="BQ558">IFERROR(
    TRANSPOSE(
        _xlfn.UNIQUE(
            _xlfn._xlws.FILTER(
                Tabla1_1[MAESTRIA],
                ISNUMBER(MATCH(Tabla1_1[CAMPO_DETALLADO],BD559:BP559,0))
            )
        )
    ),
"")</f>
        <v/>
      </c>
      <c r="EA558" t="str" cm="1">
        <f t="array" ref="EA558">IFERROR(
    TRANSPOSE(
        _xlfn.UNIQUE(
            _xlfn._xlws.FILTER(
                Tabla1__2[NOMBRE_DOCENTE],
                ISNUMBER(MATCH(Tabla1__2[MAESTRIA],BQ558:DY558,0))
            )
        )
    ),
"")</f>
        <v/>
      </c>
    </row>
    <row r="559" spans="1:131" ht="20.25" customHeight="1">
      <c r="A559" t="str" cm="1">
        <f t="array" ref="A559">TRANSPOSE(_xlfn.UNIQUE(_xlfn._xlws.FILTER(T_ASIGNATURA1[ID_NIVEL],T_ASIGNATURA1[ID_CARRERA]=ASIGNACION!$A559,"No existe información")))</f>
        <v>No existe información</v>
      </c>
      <c r="S559" t="str" cm="1">
        <f t="array" ref="S559">TRANSPOSE(_xlfn.UNIQUE(_xlfn._xlws.FILTER(T_ASIGNATURA1[NOM_ASIG],(T_ASIGNATURA1[ID_NIVEL]=ASIGNACION!$C559)*(T_ASIGNATURA1[ID_CARRERA]=ASIGNACION!$A559),"No existe información")))</f>
        <v>No existe información</v>
      </c>
      <c r="BQ559" s="1" t="str" cm="1">
        <f t="array" ref="BQ559">IFERROR(
    TRANSPOSE(
        _xlfn.UNIQUE(
            _xlfn._xlws.FILTER(
                Tabla1_1[MAESTRIA],
                ISNUMBER(MATCH(Tabla1_1[CAMPO_DETALLADO],BD560:BP560,0))
            )
        )
    ),
"")</f>
        <v/>
      </c>
      <c r="EA559" t="str" cm="1">
        <f t="array" ref="EA559">IFERROR(
    TRANSPOSE(
        _xlfn.UNIQUE(
            _xlfn._xlws.FILTER(
                Tabla1__2[NOMBRE_DOCENTE],
                ISNUMBER(MATCH(Tabla1__2[MAESTRIA],BQ559:DY559,0))
            )
        )
    ),
"")</f>
        <v/>
      </c>
    </row>
    <row r="560" spans="1:131" ht="20.25" customHeight="1">
      <c r="A560" t="str" cm="1">
        <f t="array" ref="A560">TRANSPOSE(_xlfn.UNIQUE(_xlfn._xlws.FILTER(T_ASIGNATURA1[ID_NIVEL],T_ASIGNATURA1[ID_CARRERA]=ASIGNACION!$A560,"No existe información")))</f>
        <v>No existe información</v>
      </c>
      <c r="S560" t="str" cm="1">
        <f t="array" ref="S560">TRANSPOSE(_xlfn.UNIQUE(_xlfn._xlws.FILTER(T_ASIGNATURA1[NOM_ASIG],(T_ASIGNATURA1[ID_NIVEL]=ASIGNACION!$C560)*(T_ASIGNATURA1[ID_CARRERA]=ASIGNACION!$A560),"No existe información")))</f>
        <v>No existe información</v>
      </c>
      <c r="BQ560" s="1" t="str" cm="1">
        <f t="array" ref="BQ560">IFERROR(
    TRANSPOSE(
        _xlfn.UNIQUE(
            _xlfn._xlws.FILTER(
                Tabla1_1[MAESTRIA],
                ISNUMBER(MATCH(Tabla1_1[CAMPO_DETALLADO],BD561:BP561,0))
            )
        )
    ),
"")</f>
        <v/>
      </c>
      <c r="EA560" t="str" cm="1">
        <f t="array" ref="EA560">IFERROR(
    TRANSPOSE(
        _xlfn.UNIQUE(
            _xlfn._xlws.FILTER(
                Tabla1__2[NOMBRE_DOCENTE],
                ISNUMBER(MATCH(Tabla1__2[MAESTRIA],BQ560:DY560,0))
            )
        )
    ),
"")</f>
        <v/>
      </c>
    </row>
    <row r="561" spans="1:131" ht="20.25" customHeight="1">
      <c r="A561" t="str" cm="1">
        <f t="array" ref="A561">TRANSPOSE(_xlfn.UNIQUE(_xlfn._xlws.FILTER(T_ASIGNATURA1[ID_NIVEL],T_ASIGNATURA1[ID_CARRERA]=ASIGNACION!$A561,"No existe información")))</f>
        <v>No existe información</v>
      </c>
      <c r="S561" t="str" cm="1">
        <f t="array" ref="S561">TRANSPOSE(_xlfn.UNIQUE(_xlfn._xlws.FILTER(T_ASIGNATURA1[NOM_ASIG],(T_ASIGNATURA1[ID_NIVEL]=ASIGNACION!$C561)*(T_ASIGNATURA1[ID_CARRERA]=ASIGNACION!$A561),"No existe información")))</f>
        <v>No existe información</v>
      </c>
      <c r="BQ561" s="1" t="str" cm="1">
        <f t="array" ref="BQ561">IFERROR(
    TRANSPOSE(
        _xlfn.UNIQUE(
            _xlfn._xlws.FILTER(
                Tabla1_1[MAESTRIA],
                ISNUMBER(MATCH(Tabla1_1[CAMPO_DETALLADO],BD562:BP562,0))
            )
        )
    ),
"")</f>
        <v/>
      </c>
      <c r="EA561" t="str" cm="1">
        <f t="array" ref="EA561">IFERROR(
    TRANSPOSE(
        _xlfn.UNIQUE(
            _xlfn._xlws.FILTER(
                Tabla1__2[NOMBRE_DOCENTE],
                ISNUMBER(MATCH(Tabla1__2[MAESTRIA],BQ561:DY561,0))
            )
        )
    ),
"")</f>
        <v/>
      </c>
    </row>
    <row r="562" spans="1:131" ht="20.25" customHeight="1">
      <c r="A562" t="str" cm="1">
        <f t="array" ref="A562">TRANSPOSE(_xlfn.UNIQUE(_xlfn._xlws.FILTER(T_ASIGNATURA1[ID_NIVEL],T_ASIGNATURA1[ID_CARRERA]=ASIGNACION!$A562,"No existe información")))</f>
        <v>No existe información</v>
      </c>
      <c r="S562" t="str" cm="1">
        <f t="array" ref="S562">TRANSPOSE(_xlfn.UNIQUE(_xlfn._xlws.FILTER(T_ASIGNATURA1[NOM_ASIG],(T_ASIGNATURA1[ID_NIVEL]=ASIGNACION!$C562)*(T_ASIGNATURA1[ID_CARRERA]=ASIGNACION!$A562),"No existe información")))</f>
        <v>No existe información</v>
      </c>
      <c r="BQ562" s="1" t="str" cm="1">
        <f t="array" ref="BQ562">IFERROR(
    TRANSPOSE(
        _xlfn.UNIQUE(
            _xlfn._xlws.FILTER(
                Tabla1_1[MAESTRIA],
                ISNUMBER(MATCH(Tabla1_1[CAMPO_DETALLADO],BD563:BP563,0))
            )
        )
    ),
"")</f>
        <v/>
      </c>
      <c r="EA562" t="str" cm="1">
        <f t="array" ref="EA562">IFERROR(
    TRANSPOSE(
        _xlfn.UNIQUE(
            _xlfn._xlws.FILTER(
                Tabla1__2[NOMBRE_DOCENTE],
                ISNUMBER(MATCH(Tabla1__2[MAESTRIA],BQ562:DY562,0))
            )
        )
    ),
"")</f>
        <v/>
      </c>
    </row>
    <row r="563" spans="1:131" ht="20.25" customHeight="1">
      <c r="A563" t="str" cm="1">
        <f t="array" ref="A563">TRANSPOSE(_xlfn.UNIQUE(_xlfn._xlws.FILTER(T_ASIGNATURA1[ID_NIVEL],T_ASIGNATURA1[ID_CARRERA]=ASIGNACION!$A563,"No existe información")))</f>
        <v>No existe información</v>
      </c>
      <c r="S563" t="str" cm="1">
        <f t="array" ref="S563">TRANSPOSE(_xlfn.UNIQUE(_xlfn._xlws.FILTER(T_ASIGNATURA1[NOM_ASIG],(T_ASIGNATURA1[ID_NIVEL]=ASIGNACION!$C563)*(T_ASIGNATURA1[ID_CARRERA]=ASIGNACION!$A563),"No existe información")))</f>
        <v>No existe información</v>
      </c>
      <c r="BQ563" s="1" t="str" cm="1">
        <f t="array" ref="BQ563">IFERROR(
    TRANSPOSE(
        _xlfn.UNIQUE(
            _xlfn._xlws.FILTER(
                Tabla1_1[MAESTRIA],
                ISNUMBER(MATCH(Tabla1_1[CAMPO_DETALLADO],BD564:BP564,0))
            )
        )
    ),
"")</f>
        <v/>
      </c>
      <c r="EA563" t="str" cm="1">
        <f t="array" ref="EA563">IFERROR(
    TRANSPOSE(
        _xlfn.UNIQUE(
            _xlfn._xlws.FILTER(
                Tabla1__2[NOMBRE_DOCENTE],
                ISNUMBER(MATCH(Tabla1__2[MAESTRIA],BQ563:DY563,0))
            )
        )
    ),
"")</f>
        <v/>
      </c>
    </row>
    <row r="564" spans="1:131" ht="20.25" customHeight="1">
      <c r="A564" t="str" cm="1">
        <f t="array" ref="A564">TRANSPOSE(_xlfn.UNIQUE(_xlfn._xlws.FILTER(T_ASIGNATURA1[ID_NIVEL],T_ASIGNATURA1[ID_CARRERA]=ASIGNACION!$A564,"No existe información")))</f>
        <v>No existe información</v>
      </c>
      <c r="S564" t="str" cm="1">
        <f t="array" ref="S564">TRANSPOSE(_xlfn.UNIQUE(_xlfn._xlws.FILTER(T_ASIGNATURA1[NOM_ASIG],(T_ASIGNATURA1[ID_NIVEL]=ASIGNACION!$C564)*(T_ASIGNATURA1[ID_CARRERA]=ASIGNACION!$A564),"No existe información")))</f>
        <v>No existe información</v>
      </c>
      <c r="BQ564" s="1" t="str" cm="1">
        <f t="array" ref="BQ564">IFERROR(
    TRANSPOSE(
        _xlfn.UNIQUE(
            _xlfn._xlws.FILTER(
                Tabla1_1[MAESTRIA],
                ISNUMBER(MATCH(Tabla1_1[CAMPO_DETALLADO],BD565:BP565,0))
            )
        )
    ),
"")</f>
        <v/>
      </c>
      <c r="EA564" t="str" cm="1">
        <f t="array" ref="EA564">IFERROR(
    TRANSPOSE(
        _xlfn.UNIQUE(
            _xlfn._xlws.FILTER(
                Tabla1__2[NOMBRE_DOCENTE],
                ISNUMBER(MATCH(Tabla1__2[MAESTRIA],BQ564:DY564,0))
            )
        )
    ),
"")</f>
        <v/>
      </c>
    </row>
    <row r="565" spans="1:131" ht="20.25" customHeight="1">
      <c r="A565" t="str" cm="1">
        <f t="array" ref="A565">TRANSPOSE(_xlfn.UNIQUE(_xlfn._xlws.FILTER(T_ASIGNATURA1[ID_NIVEL],T_ASIGNATURA1[ID_CARRERA]=ASIGNACION!$A565,"No existe información")))</f>
        <v>No existe información</v>
      </c>
      <c r="S565" t="str" cm="1">
        <f t="array" ref="S565">TRANSPOSE(_xlfn.UNIQUE(_xlfn._xlws.FILTER(T_ASIGNATURA1[NOM_ASIG],(T_ASIGNATURA1[ID_NIVEL]=ASIGNACION!$C565)*(T_ASIGNATURA1[ID_CARRERA]=ASIGNACION!$A565),"No existe información")))</f>
        <v>No existe información</v>
      </c>
      <c r="BQ565" s="1" t="str" cm="1">
        <f t="array" ref="BQ565">IFERROR(
    TRANSPOSE(
        _xlfn.UNIQUE(
            _xlfn._xlws.FILTER(
                Tabla1_1[MAESTRIA],
                ISNUMBER(MATCH(Tabla1_1[CAMPO_DETALLADO],BD566:BP566,0))
            )
        )
    ),
"")</f>
        <v/>
      </c>
      <c r="EA565" t="str" cm="1">
        <f t="array" ref="EA565">IFERROR(
    TRANSPOSE(
        _xlfn.UNIQUE(
            _xlfn._xlws.FILTER(
                Tabla1__2[NOMBRE_DOCENTE],
                ISNUMBER(MATCH(Tabla1__2[MAESTRIA],BQ565:DY565,0))
            )
        )
    ),
"")</f>
        <v/>
      </c>
    </row>
    <row r="566" spans="1:131" ht="20.25" customHeight="1">
      <c r="A566" t="str" cm="1">
        <f t="array" ref="A566">TRANSPOSE(_xlfn.UNIQUE(_xlfn._xlws.FILTER(T_ASIGNATURA1[ID_NIVEL],T_ASIGNATURA1[ID_CARRERA]=ASIGNACION!$A566,"No existe información")))</f>
        <v>No existe información</v>
      </c>
      <c r="S566" t="str" cm="1">
        <f t="array" ref="S566">TRANSPOSE(_xlfn.UNIQUE(_xlfn._xlws.FILTER(T_ASIGNATURA1[NOM_ASIG],(T_ASIGNATURA1[ID_NIVEL]=ASIGNACION!$C566)*(T_ASIGNATURA1[ID_CARRERA]=ASIGNACION!$A566),"No existe información")))</f>
        <v>No existe información</v>
      </c>
      <c r="BQ566" s="1" t="str" cm="1">
        <f t="array" ref="BQ566">IFERROR(
    TRANSPOSE(
        _xlfn.UNIQUE(
            _xlfn._xlws.FILTER(
                Tabla1_1[MAESTRIA],
                ISNUMBER(MATCH(Tabla1_1[CAMPO_DETALLADO],BD567:BP567,0))
            )
        )
    ),
"")</f>
        <v/>
      </c>
      <c r="EA566" t="str" cm="1">
        <f t="array" ref="EA566">IFERROR(
    TRANSPOSE(
        _xlfn.UNIQUE(
            _xlfn._xlws.FILTER(
                Tabla1__2[NOMBRE_DOCENTE],
                ISNUMBER(MATCH(Tabla1__2[MAESTRIA],BQ566:DY566,0))
            )
        )
    ),
"")</f>
        <v/>
      </c>
    </row>
    <row r="567" spans="1:131" ht="20.25" customHeight="1">
      <c r="A567" t="str" cm="1">
        <f t="array" ref="A567">TRANSPOSE(_xlfn.UNIQUE(_xlfn._xlws.FILTER(T_ASIGNATURA1[ID_NIVEL],T_ASIGNATURA1[ID_CARRERA]=ASIGNACION!$A567,"No existe información")))</f>
        <v>No existe información</v>
      </c>
      <c r="S567" t="str" cm="1">
        <f t="array" ref="S567">TRANSPOSE(_xlfn.UNIQUE(_xlfn._xlws.FILTER(T_ASIGNATURA1[NOM_ASIG],(T_ASIGNATURA1[ID_NIVEL]=ASIGNACION!$C567)*(T_ASIGNATURA1[ID_CARRERA]=ASIGNACION!$A567),"No existe información")))</f>
        <v>No existe información</v>
      </c>
      <c r="BQ567" s="1" t="str" cm="1">
        <f t="array" ref="BQ567">IFERROR(
    TRANSPOSE(
        _xlfn.UNIQUE(
            _xlfn._xlws.FILTER(
                Tabla1_1[MAESTRIA],
                ISNUMBER(MATCH(Tabla1_1[CAMPO_DETALLADO],BD568:BP568,0))
            )
        )
    ),
"")</f>
        <v/>
      </c>
      <c r="EA567" t="str" cm="1">
        <f t="array" ref="EA567">IFERROR(
    TRANSPOSE(
        _xlfn.UNIQUE(
            _xlfn._xlws.FILTER(
                Tabla1__2[NOMBRE_DOCENTE],
                ISNUMBER(MATCH(Tabla1__2[MAESTRIA],BQ567:DY567,0))
            )
        )
    ),
"")</f>
        <v/>
      </c>
    </row>
    <row r="568" spans="1:131" ht="20.25" customHeight="1">
      <c r="A568" t="str" cm="1">
        <f t="array" ref="A568">TRANSPOSE(_xlfn.UNIQUE(_xlfn._xlws.FILTER(T_ASIGNATURA1[ID_NIVEL],T_ASIGNATURA1[ID_CARRERA]=ASIGNACION!$A568,"No existe información")))</f>
        <v>No existe información</v>
      </c>
      <c r="S568" t="str" cm="1">
        <f t="array" ref="S568">TRANSPOSE(_xlfn.UNIQUE(_xlfn._xlws.FILTER(T_ASIGNATURA1[NOM_ASIG],(T_ASIGNATURA1[ID_NIVEL]=ASIGNACION!$C568)*(T_ASIGNATURA1[ID_CARRERA]=ASIGNACION!$A568),"No existe información")))</f>
        <v>No existe información</v>
      </c>
      <c r="BQ568" s="1" t="str" cm="1">
        <f t="array" ref="BQ568">IFERROR(
    TRANSPOSE(
        _xlfn.UNIQUE(
            _xlfn._xlws.FILTER(
                Tabla1_1[MAESTRIA],
                ISNUMBER(MATCH(Tabla1_1[CAMPO_DETALLADO],BD569:BP569,0))
            )
        )
    ),
"")</f>
        <v/>
      </c>
      <c r="EA568" t="str" cm="1">
        <f t="array" ref="EA568">IFERROR(
    TRANSPOSE(
        _xlfn.UNIQUE(
            _xlfn._xlws.FILTER(
                Tabla1__2[NOMBRE_DOCENTE],
                ISNUMBER(MATCH(Tabla1__2[MAESTRIA],BQ568:DY568,0))
            )
        )
    ),
"")</f>
        <v/>
      </c>
    </row>
    <row r="569" spans="1:131" ht="20.25" customHeight="1">
      <c r="A569" t="str" cm="1">
        <f t="array" ref="A569">TRANSPOSE(_xlfn.UNIQUE(_xlfn._xlws.FILTER(T_ASIGNATURA1[ID_NIVEL],T_ASIGNATURA1[ID_CARRERA]=ASIGNACION!$A569,"No existe información")))</f>
        <v>No existe información</v>
      </c>
      <c r="S569" t="str" cm="1">
        <f t="array" ref="S569">TRANSPOSE(_xlfn.UNIQUE(_xlfn._xlws.FILTER(T_ASIGNATURA1[NOM_ASIG],(T_ASIGNATURA1[ID_NIVEL]=ASIGNACION!$C569)*(T_ASIGNATURA1[ID_CARRERA]=ASIGNACION!$A569),"No existe información")))</f>
        <v>No existe información</v>
      </c>
      <c r="BQ569" s="1" t="str" cm="1">
        <f t="array" ref="BQ569">IFERROR(
    TRANSPOSE(
        _xlfn.UNIQUE(
            _xlfn._xlws.FILTER(
                Tabla1_1[MAESTRIA],
                ISNUMBER(MATCH(Tabla1_1[CAMPO_DETALLADO],BD570:BP570,0))
            )
        )
    ),
"")</f>
        <v/>
      </c>
      <c r="EA569" t="str" cm="1">
        <f t="array" ref="EA569">IFERROR(
    TRANSPOSE(
        _xlfn.UNIQUE(
            _xlfn._xlws.FILTER(
                Tabla1__2[NOMBRE_DOCENTE],
                ISNUMBER(MATCH(Tabla1__2[MAESTRIA],BQ569:DY569,0))
            )
        )
    ),
"")</f>
        <v/>
      </c>
    </row>
    <row r="570" spans="1:131" ht="20.25" customHeight="1">
      <c r="A570" t="str" cm="1">
        <f t="array" ref="A570">TRANSPOSE(_xlfn.UNIQUE(_xlfn._xlws.FILTER(T_ASIGNATURA1[ID_NIVEL],T_ASIGNATURA1[ID_CARRERA]=ASIGNACION!$A570,"No existe información")))</f>
        <v>No existe información</v>
      </c>
      <c r="S570" t="str" cm="1">
        <f t="array" ref="S570">TRANSPOSE(_xlfn.UNIQUE(_xlfn._xlws.FILTER(T_ASIGNATURA1[NOM_ASIG],(T_ASIGNATURA1[ID_NIVEL]=ASIGNACION!$C570)*(T_ASIGNATURA1[ID_CARRERA]=ASIGNACION!$A570),"No existe información")))</f>
        <v>No existe información</v>
      </c>
      <c r="BQ570" s="1" t="str" cm="1">
        <f t="array" ref="BQ570">IFERROR(
    TRANSPOSE(
        _xlfn.UNIQUE(
            _xlfn._xlws.FILTER(
                Tabla1_1[MAESTRIA],
                ISNUMBER(MATCH(Tabla1_1[CAMPO_DETALLADO],BD571:BP571,0))
            )
        )
    ),
"")</f>
        <v/>
      </c>
      <c r="EA570" t="str" cm="1">
        <f t="array" ref="EA570">IFERROR(
    TRANSPOSE(
        _xlfn.UNIQUE(
            _xlfn._xlws.FILTER(
                Tabla1__2[NOMBRE_DOCENTE],
                ISNUMBER(MATCH(Tabla1__2[MAESTRIA],BQ570:DY570,0))
            )
        )
    ),
"")</f>
        <v/>
      </c>
    </row>
    <row r="571" spans="1:131" ht="20.25" customHeight="1">
      <c r="A571" t="str" cm="1">
        <f t="array" ref="A571">TRANSPOSE(_xlfn.UNIQUE(_xlfn._xlws.FILTER(T_ASIGNATURA1[ID_NIVEL],T_ASIGNATURA1[ID_CARRERA]=ASIGNACION!$A571,"No existe información")))</f>
        <v>No existe información</v>
      </c>
      <c r="S571" t="str" cm="1">
        <f t="array" ref="S571">TRANSPOSE(_xlfn.UNIQUE(_xlfn._xlws.FILTER(T_ASIGNATURA1[NOM_ASIG],(T_ASIGNATURA1[ID_NIVEL]=ASIGNACION!$C571)*(T_ASIGNATURA1[ID_CARRERA]=ASIGNACION!$A571),"No existe información")))</f>
        <v>No existe información</v>
      </c>
      <c r="BQ571" s="1" t="str" cm="1">
        <f t="array" ref="BQ571">IFERROR(
    TRANSPOSE(
        _xlfn.UNIQUE(
            _xlfn._xlws.FILTER(
                Tabla1_1[MAESTRIA],
                ISNUMBER(MATCH(Tabla1_1[CAMPO_DETALLADO],BD572:BP572,0))
            )
        )
    ),
"")</f>
        <v/>
      </c>
      <c r="EA571" t="str" cm="1">
        <f t="array" ref="EA571">IFERROR(
    TRANSPOSE(
        _xlfn.UNIQUE(
            _xlfn._xlws.FILTER(
                Tabla1__2[NOMBRE_DOCENTE],
                ISNUMBER(MATCH(Tabla1__2[MAESTRIA],BQ571:DY571,0))
            )
        )
    ),
"")</f>
        <v/>
      </c>
    </row>
    <row r="572" spans="1:131" ht="20.25" customHeight="1">
      <c r="A572" t="str" cm="1">
        <f t="array" ref="A572">TRANSPOSE(_xlfn.UNIQUE(_xlfn._xlws.FILTER(T_ASIGNATURA1[ID_NIVEL],T_ASIGNATURA1[ID_CARRERA]=ASIGNACION!$A572,"No existe información")))</f>
        <v>No existe información</v>
      </c>
      <c r="S572" t="str" cm="1">
        <f t="array" ref="S572">TRANSPOSE(_xlfn.UNIQUE(_xlfn._xlws.FILTER(T_ASIGNATURA1[NOM_ASIG],(T_ASIGNATURA1[ID_NIVEL]=ASIGNACION!$C572)*(T_ASIGNATURA1[ID_CARRERA]=ASIGNACION!$A572),"No existe información")))</f>
        <v>No existe información</v>
      </c>
      <c r="BQ572" s="1" t="str" cm="1">
        <f t="array" ref="BQ572">IFERROR(
    TRANSPOSE(
        _xlfn.UNIQUE(
            _xlfn._xlws.FILTER(
                Tabla1_1[MAESTRIA],
                ISNUMBER(MATCH(Tabla1_1[CAMPO_DETALLADO],BD573:BP573,0))
            )
        )
    ),
"")</f>
        <v/>
      </c>
      <c r="EA572" t="str" cm="1">
        <f t="array" ref="EA572">IFERROR(
    TRANSPOSE(
        _xlfn.UNIQUE(
            _xlfn._xlws.FILTER(
                Tabla1__2[NOMBRE_DOCENTE],
                ISNUMBER(MATCH(Tabla1__2[MAESTRIA],BQ572:DY572,0))
            )
        )
    ),
"")</f>
        <v/>
      </c>
    </row>
    <row r="573" spans="1:131" ht="20.25" customHeight="1">
      <c r="A573" t="str" cm="1">
        <f t="array" ref="A573">TRANSPOSE(_xlfn.UNIQUE(_xlfn._xlws.FILTER(T_ASIGNATURA1[ID_NIVEL],T_ASIGNATURA1[ID_CARRERA]=ASIGNACION!$A573,"No existe información")))</f>
        <v>No existe información</v>
      </c>
      <c r="S573" t="str" cm="1">
        <f t="array" ref="S573">TRANSPOSE(_xlfn.UNIQUE(_xlfn._xlws.FILTER(T_ASIGNATURA1[NOM_ASIG],(T_ASIGNATURA1[ID_NIVEL]=ASIGNACION!$C573)*(T_ASIGNATURA1[ID_CARRERA]=ASIGNACION!$A573),"No existe información")))</f>
        <v>No existe información</v>
      </c>
      <c r="BQ573" s="1" t="str" cm="1">
        <f t="array" ref="BQ573">IFERROR(
    TRANSPOSE(
        _xlfn.UNIQUE(
            _xlfn._xlws.FILTER(
                Tabla1_1[MAESTRIA],
                ISNUMBER(MATCH(Tabla1_1[CAMPO_DETALLADO],BD574:BP574,0))
            )
        )
    ),
"")</f>
        <v/>
      </c>
      <c r="EA573" t="str" cm="1">
        <f t="array" ref="EA573">IFERROR(
    TRANSPOSE(
        _xlfn.UNIQUE(
            _xlfn._xlws.FILTER(
                Tabla1__2[NOMBRE_DOCENTE],
                ISNUMBER(MATCH(Tabla1__2[MAESTRIA],BQ573:DY573,0))
            )
        )
    ),
"")</f>
        <v/>
      </c>
    </row>
    <row r="574" spans="1:131" ht="20.25" customHeight="1">
      <c r="A574" t="str" cm="1">
        <f t="array" ref="A574">TRANSPOSE(_xlfn.UNIQUE(_xlfn._xlws.FILTER(T_ASIGNATURA1[ID_NIVEL],T_ASIGNATURA1[ID_CARRERA]=ASIGNACION!$A574,"No existe información")))</f>
        <v>No existe información</v>
      </c>
      <c r="S574" t="str" cm="1">
        <f t="array" ref="S574">TRANSPOSE(_xlfn.UNIQUE(_xlfn._xlws.FILTER(T_ASIGNATURA1[NOM_ASIG],(T_ASIGNATURA1[ID_NIVEL]=ASIGNACION!$C574)*(T_ASIGNATURA1[ID_CARRERA]=ASIGNACION!$A574),"No existe información")))</f>
        <v>No existe información</v>
      </c>
      <c r="BQ574" s="1" t="str" cm="1">
        <f t="array" ref="BQ574">IFERROR(
    TRANSPOSE(
        _xlfn.UNIQUE(
            _xlfn._xlws.FILTER(
                Tabla1_1[MAESTRIA],
                ISNUMBER(MATCH(Tabla1_1[CAMPO_DETALLADO],BD575:BP575,0))
            )
        )
    ),
"")</f>
        <v/>
      </c>
      <c r="EA574" t="str" cm="1">
        <f t="array" ref="EA574">IFERROR(
    TRANSPOSE(
        _xlfn.UNIQUE(
            _xlfn._xlws.FILTER(
                Tabla1__2[NOMBRE_DOCENTE],
                ISNUMBER(MATCH(Tabla1__2[MAESTRIA],BQ574:DY574,0))
            )
        )
    ),
"")</f>
        <v/>
      </c>
    </row>
    <row r="575" spans="1:131" ht="20.25" customHeight="1">
      <c r="A575" t="str" cm="1">
        <f t="array" ref="A575">TRANSPOSE(_xlfn.UNIQUE(_xlfn._xlws.FILTER(T_ASIGNATURA1[ID_NIVEL],T_ASIGNATURA1[ID_CARRERA]=ASIGNACION!$A575,"No existe información")))</f>
        <v>No existe información</v>
      </c>
      <c r="S575" t="str" cm="1">
        <f t="array" ref="S575">TRANSPOSE(_xlfn.UNIQUE(_xlfn._xlws.FILTER(T_ASIGNATURA1[NOM_ASIG],(T_ASIGNATURA1[ID_NIVEL]=ASIGNACION!$C575)*(T_ASIGNATURA1[ID_CARRERA]=ASIGNACION!$A575),"No existe información")))</f>
        <v>No existe información</v>
      </c>
      <c r="BQ575" s="1" t="str" cm="1">
        <f t="array" ref="BQ575">IFERROR(
    TRANSPOSE(
        _xlfn.UNIQUE(
            _xlfn._xlws.FILTER(
                Tabla1_1[MAESTRIA],
                ISNUMBER(MATCH(Tabla1_1[CAMPO_DETALLADO],BD576:BP576,0))
            )
        )
    ),
"")</f>
        <v/>
      </c>
      <c r="EA575" t="str" cm="1">
        <f t="array" ref="EA575">IFERROR(
    TRANSPOSE(
        _xlfn.UNIQUE(
            _xlfn._xlws.FILTER(
                Tabla1__2[NOMBRE_DOCENTE],
                ISNUMBER(MATCH(Tabla1__2[MAESTRIA],BQ575:DY575,0))
            )
        )
    ),
"")</f>
        <v/>
      </c>
    </row>
    <row r="576" spans="1:131" ht="20.25" customHeight="1">
      <c r="A576" t="str" cm="1">
        <f t="array" ref="A576">TRANSPOSE(_xlfn.UNIQUE(_xlfn._xlws.FILTER(T_ASIGNATURA1[ID_NIVEL],T_ASIGNATURA1[ID_CARRERA]=ASIGNACION!$A576,"No existe información")))</f>
        <v>No existe información</v>
      </c>
      <c r="S576" t="str" cm="1">
        <f t="array" ref="S576">TRANSPOSE(_xlfn.UNIQUE(_xlfn._xlws.FILTER(T_ASIGNATURA1[NOM_ASIG],(T_ASIGNATURA1[ID_NIVEL]=ASIGNACION!$C576)*(T_ASIGNATURA1[ID_CARRERA]=ASIGNACION!$A576),"No existe información")))</f>
        <v>No existe información</v>
      </c>
      <c r="BQ576" s="1" t="str" cm="1">
        <f t="array" ref="BQ576">IFERROR(
    TRANSPOSE(
        _xlfn.UNIQUE(
            _xlfn._xlws.FILTER(
                Tabla1_1[MAESTRIA],
                ISNUMBER(MATCH(Tabla1_1[CAMPO_DETALLADO],BD577:BP577,0))
            )
        )
    ),
"")</f>
        <v/>
      </c>
      <c r="EA576" t="str" cm="1">
        <f t="array" ref="EA576">IFERROR(
    TRANSPOSE(
        _xlfn.UNIQUE(
            _xlfn._xlws.FILTER(
                Tabla1__2[NOMBRE_DOCENTE],
                ISNUMBER(MATCH(Tabla1__2[MAESTRIA],BQ576:DY576,0))
            )
        )
    ),
"")</f>
        <v/>
      </c>
    </row>
    <row r="577" spans="1:131" ht="20.25" customHeight="1">
      <c r="A577" t="str" cm="1">
        <f t="array" ref="A577">TRANSPOSE(_xlfn.UNIQUE(_xlfn._xlws.FILTER(T_ASIGNATURA1[ID_NIVEL],T_ASIGNATURA1[ID_CARRERA]=ASIGNACION!$A577,"No existe información")))</f>
        <v>No existe información</v>
      </c>
      <c r="S577" t="str" cm="1">
        <f t="array" ref="S577">TRANSPOSE(_xlfn.UNIQUE(_xlfn._xlws.FILTER(T_ASIGNATURA1[NOM_ASIG],(T_ASIGNATURA1[ID_NIVEL]=ASIGNACION!$C577)*(T_ASIGNATURA1[ID_CARRERA]=ASIGNACION!$A577),"No existe información")))</f>
        <v>No existe información</v>
      </c>
      <c r="BQ577" s="1" t="str" cm="1">
        <f t="array" ref="BQ577">IFERROR(
    TRANSPOSE(
        _xlfn.UNIQUE(
            _xlfn._xlws.FILTER(
                Tabla1_1[MAESTRIA],
                ISNUMBER(MATCH(Tabla1_1[CAMPO_DETALLADO],BD578:BP578,0))
            )
        )
    ),
"")</f>
        <v/>
      </c>
      <c r="EA577" t="str" cm="1">
        <f t="array" ref="EA577">IFERROR(
    TRANSPOSE(
        _xlfn.UNIQUE(
            _xlfn._xlws.FILTER(
                Tabla1__2[NOMBRE_DOCENTE],
                ISNUMBER(MATCH(Tabla1__2[MAESTRIA],BQ577:DY577,0))
            )
        )
    ),
"")</f>
        <v/>
      </c>
    </row>
    <row r="578" spans="1:131" ht="20.25" customHeight="1">
      <c r="A578" t="str" cm="1">
        <f t="array" ref="A578">TRANSPOSE(_xlfn.UNIQUE(_xlfn._xlws.FILTER(T_ASIGNATURA1[ID_NIVEL],T_ASIGNATURA1[ID_CARRERA]=ASIGNACION!$A578,"No existe información")))</f>
        <v>No existe información</v>
      </c>
      <c r="S578" t="str" cm="1">
        <f t="array" ref="S578">TRANSPOSE(_xlfn.UNIQUE(_xlfn._xlws.FILTER(T_ASIGNATURA1[NOM_ASIG],(T_ASIGNATURA1[ID_NIVEL]=ASIGNACION!$C578)*(T_ASIGNATURA1[ID_CARRERA]=ASIGNACION!$A578),"No existe información")))</f>
        <v>No existe información</v>
      </c>
      <c r="BQ578" s="1" t="str" cm="1">
        <f t="array" ref="BQ578">IFERROR(
    TRANSPOSE(
        _xlfn.UNIQUE(
            _xlfn._xlws.FILTER(
                Tabla1_1[MAESTRIA],
                ISNUMBER(MATCH(Tabla1_1[CAMPO_DETALLADO],BD579:BP579,0))
            )
        )
    ),
"")</f>
        <v/>
      </c>
      <c r="EA578" t="str" cm="1">
        <f t="array" ref="EA578">IFERROR(
    TRANSPOSE(
        _xlfn.UNIQUE(
            _xlfn._xlws.FILTER(
                Tabla1__2[NOMBRE_DOCENTE],
                ISNUMBER(MATCH(Tabla1__2[MAESTRIA],BQ578:DY578,0))
            )
        )
    ),
"")</f>
        <v/>
      </c>
    </row>
    <row r="579" spans="1:131" ht="20.25" customHeight="1">
      <c r="A579" t="str" cm="1">
        <f t="array" ref="A579">TRANSPOSE(_xlfn.UNIQUE(_xlfn._xlws.FILTER(T_ASIGNATURA1[ID_NIVEL],T_ASIGNATURA1[ID_CARRERA]=ASIGNACION!$A579,"No existe información")))</f>
        <v>No existe información</v>
      </c>
      <c r="S579" t="str" cm="1">
        <f t="array" ref="S579">TRANSPOSE(_xlfn.UNIQUE(_xlfn._xlws.FILTER(T_ASIGNATURA1[NOM_ASIG],(T_ASIGNATURA1[ID_NIVEL]=ASIGNACION!$C579)*(T_ASIGNATURA1[ID_CARRERA]=ASIGNACION!$A579),"No existe información")))</f>
        <v>No existe información</v>
      </c>
      <c r="BQ579" s="1" t="str" cm="1">
        <f t="array" ref="BQ579">IFERROR(
    TRANSPOSE(
        _xlfn.UNIQUE(
            _xlfn._xlws.FILTER(
                Tabla1_1[MAESTRIA],
                ISNUMBER(MATCH(Tabla1_1[CAMPO_DETALLADO],BD580:BP580,0))
            )
        )
    ),
"")</f>
        <v/>
      </c>
      <c r="EA579" t="str" cm="1">
        <f t="array" ref="EA579">IFERROR(
    TRANSPOSE(
        _xlfn.UNIQUE(
            _xlfn._xlws.FILTER(
                Tabla1__2[NOMBRE_DOCENTE],
                ISNUMBER(MATCH(Tabla1__2[MAESTRIA],BQ579:DY579,0))
            )
        )
    ),
"")</f>
        <v/>
      </c>
    </row>
    <row r="580" spans="1:131" ht="20.25" customHeight="1">
      <c r="A580" t="str" cm="1">
        <f t="array" ref="A580">TRANSPOSE(_xlfn.UNIQUE(_xlfn._xlws.FILTER(T_ASIGNATURA1[ID_NIVEL],T_ASIGNATURA1[ID_CARRERA]=ASIGNACION!$A580,"No existe información")))</f>
        <v>No existe información</v>
      </c>
      <c r="S580" t="str" cm="1">
        <f t="array" ref="S580">TRANSPOSE(_xlfn.UNIQUE(_xlfn._xlws.FILTER(T_ASIGNATURA1[NOM_ASIG],(T_ASIGNATURA1[ID_NIVEL]=ASIGNACION!$C580)*(T_ASIGNATURA1[ID_CARRERA]=ASIGNACION!$A580),"No existe información")))</f>
        <v>No existe información</v>
      </c>
      <c r="BQ580" s="1" t="str" cm="1">
        <f t="array" ref="BQ580">IFERROR(
    TRANSPOSE(
        _xlfn.UNIQUE(
            _xlfn._xlws.FILTER(
                Tabla1_1[MAESTRIA],
                ISNUMBER(MATCH(Tabla1_1[CAMPO_DETALLADO],BD581:BP581,0))
            )
        )
    ),
"")</f>
        <v/>
      </c>
      <c r="EA580" t="str" cm="1">
        <f t="array" ref="EA580">IFERROR(
    TRANSPOSE(
        _xlfn.UNIQUE(
            _xlfn._xlws.FILTER(
                Tabla1__2[NOMBRE_DOCENTE],
                ISNUMBER(MATCH(Tabla1__2[MAESTRIA],BQ580:DY580,0))
            )
        )
    ),
"")</f>
        <v/>
      </c>
    </row>
    <row r="581" spans="1:131" ht="20.25" customHeight="1">
      <c r="A581" t="str" cm="1">
        <f t="array" ref="A581">TRANSPOSE(_xlfn.UNIQUE(_xlfn._xlws.FILTER(T_ASIGNATURA1[ID_NIVEL],T_ASIGNATURA1[ID_CARRERA]=ASIGNACION!$A581,"No existe información")))</f>
        <v>No existe información</v>
      </c>
      <c r="S581" t="str" cm="1">
        <f t="array" ref="S581">TRANSPOSE(_xlfn.UNIQUE(_xlfn._xlws.FILTER(T_ASIGNATURA1[NOM_ASIG],(T_ASIGNATURA1[ID_NIVEL]=ASIGNACION!$C581)*(T_ASIGNATURA1[ID_CARRERA]=ASIGNACION!$A581),"No existe información")))</f>
        <v>No existe información</v>
      </c>
      <c r="BQ581" s="1" t="str" cm="1">
        <f t="array" ref="BQ581">IFERROR(
    TRANSPOSE(
        _xlfn.UNIQUE(
            _xlfn._xlws.FILTER(
                Tabla1_1[MAESTRIA],
                ISNUMBER(MATCH(Tabla1_1[CAMPO_DETALLADO],BD582:BP582,0))
            )
        )
    ),
"")</f>
        <v/>
      </c>
      <c r="EA581" t="str" cm="1">
        <f t="array" ref="EA581">IFERROR(
    TRANSPOSE(
        _xlfn.UNIQUE(
            _xlfn._xlws.FILTER(
                Tabla1__2[NOMBRE_DOCENTE],
                ISNUMBER(MATCH(Tabla1__2[MAESTRIA],BQ581:DY581,0))
            )
        )
    ),
"")</f>
        <v/>
      </c>
    </row>
    <row r="582" spans="1:131" ht="20.25" customHeight="1">
      <c r="A582" t="str" cm="1">
        <f t="array" ref="A582">TRANSPOSE(_xlfn.UNIQUE(_xlfn._xlws.FILTER(T_ASIGNATURA1[ID_NIVEL],T_ASIGNATURA1[ID_CARRERA]=ASIGNACION!$A582,"No existe información")))</f>
        <v>No existe información</v>
      </c>
      <c r="S582" t="str" cm="1">
        <f t="array" ref="S582">TRANSPOSE(_xlfn.UNIQUE(_xlfn._xlws.FILTER(T_ASIGNATURA1[NOM_ASIG],(T_ASIGNATURA1[ID_NIVEL]=ASIGNACION!$C582)*(T_ASIGNATURA1[ID_CARRERA]=ASIGNACION!$A582),"No existe información")))</f>
        <v>No existe información</v>
      </c>
      <c r="BQ582" s="1" t="str" cm="1">
        <f t="array" ref="BQ582">IFERROR(
    TRANSPOSE(
        _xlfn.UNIQUE(
            _xlfn._xlws.FILTER(
                Tabla1_1[MAESTRIA],
                ISNUMBER(MATCH(Tabla1_1[CAMPO_DETALLADO],BD583:BP583,0))
            )
        )
    ),
"")</f>
        <v/>
      </c>
      <c r="EA582" t="str" cm="1">
        <f t="array" ref="EA582">IFERROR(
    TRANSPOSE(
        _xlfn.UNIQUE(
            _xlfn._xlws.FILTER(
                Tabla1__2[NOMBRE_DOCENTE],
                ISNUMBER(MATCH(Tabla1__2[MAESTRIA],BQ582:DY582,0))
            )
        )
    ),
"")</f>
        <v/>
      </c>
    </row>
    <row r="583" spans="1:131" ht="20.25" customHeight="1">
      <c r="A583" t="str" cm="1">
        <f t="array" ref="A583">TRANSPOSE(_xlfn.UNIQUE(_xlfn._xlws.FILTER(T_ASIGNATURA1[ID_NIVEL],T_ASIGNATURA1[ID_CARRERA]=ASIGNACION!$A583,"No existe información")))</f>
        <v>No existe información</v>
      </c>
      <c r="S583" t="str" cm="1">
        <f t="array" ref="S583">TRANSPOSE(_xlfn.UNIQUE(_xlfn._xlws.FILTER(T_ASIGNATURA1[NOM_ASIG],(T_ASIGNATURA1[ID_NIVEL]=ASIGNACION!$C583)*(T_ASIGNATURA1[ID_CARRERA]=ASIGNACION!$A583),"No existe información")))</f>
        <v>No existe información</v>
      </c>
      <c r="BQ583" s="1" t="str" cm="1">
        <f t="array" ref="BQ583">IFERROR(
    TRANSPOSE(
        _xlfn.UNIQUE(
            _xlfn._xlws.FILTER(
                Tabla1_1[MAESTRIA],
                ISNUMBER(MATCH(Tabla1_1[CAMPO_DETALLADO],BD584:BP584,0))
            )
        )
    ),
"")</f>
        <v/>
      </c>
      <c r="EA583" t="str" cm="1">
        <f t="array" ref="EA583">IFERROR(
    TRANSPOSE(
        _xlfn.UNIQUE(
            _xlfn._xlws.FILTER(
                Tabla1__2[NOMBRE_DOCENTE],
                ISNUMBER(MATCH(Tabla1__2[MAESTRIA],BQ583:DY583,0))
            )
        )
    ),
"")</f>
        <v/>
      </c>
    </row>
    <row r="584" spans="1:131" ht="20.25" customHeight="1">
      <c r="A584" t="str" cm="1">
        <f t="array" ref="A584">TRANSPOSE(_xlfn.UNIQUE(_xlfn._xlws.FILTER(T_ASIGNATURA1[ID_NIVEL],T_ASIGNATURA1[ID_CARRERA]=ASIGNACION!$A584,"No existe información")))</f>
        <v>No existe información</v>
      </c>
      <c r="S584" t="str" cm="1">
        <f t="array" ref="S584">TRANSPOSE(_xlfn.UNIQUE(_xlfn._xlws.FILTER(T_ASIGNATURA1[NOM_ASIG],(T_ASIGNATURA1[ID_NIVEL]=ASIGNACION!$C584)*(T_ASIGNATURA1[ID_CARRERA]=ASIGNACION!$A584),"No existe información")))</f>
        <v>No existe información</v>
      </c>
      <c r="BQ584" s="1" t="str" cm="1">
        <f t="array" ref="BQ584">IFERROR(
    TRANSPOSE(
        _xlfn.UNIQUE(
            _xlfn._xlws.FILTER(
                Tabla1_1[MAESTRIA],
                ISNUMBER(MATCH(Tabla1_1[CAMPO_DETALLADO],BD585:BP585,0))
            )
        )
    ),
"")</f>
        <v/>
      </c>
      <c r="EA584" t="str" cm="1">
        <f t="array" ref="EA584">IFERROR(
    TRANSPOSE(
        _xlfn.UNIQUE(
            _xlfn._xlws.FILTER(
                Tabla1__2[NOMBRE_DOCENTE],
                ISNUMBER(MATCH(Tabla1__2[MAESTRIA],BQ584:DY584,0))
            )
        )
    ),
"")</f>
        <v/>
      </c>
    </row>
    <row r="585" spans="1:131" ht="20.25" customHeight="1">
      <c r="A585" t="str" cm="1">
        <f t="array" ref="A585">TRANSPOSE(_xlfn.UNIQUE(_xlfn._xlws.FILTER(T_ASIGNATURA1[ID_NIVEL],T_ASIGNATURA1[ID_CARRERA]=ASIGNACION!$A585,"No existe información")))</f>
        <v>No existe información</v>
      </c>
      <c r="S585" t="str" cm="1">
        <f t="array" ref="S585">TRANSPOSE(_xlfn.UNIQUE(_xlfn._xlws.FILTER(T_ASIGNATURA1[NOM_ASIG],(T_ASIGNATURA1[ID_NIVEL]=ASIGNACION!$C585)*(T_ASIGNATURA1[ID_CARRERA]=ASIGNACION!$A585),"No existe información")))</f>
        <v>No existe información</v>
      </c>
      <c r="BQ585" s="1" t="str" cm="1">
        <f t="array" ref="BQ585">IFERROR(
    TRANSPOSE(
        _xlfn.UNIQUE(
            _xlfn._xlws.FILTER(
                Tabla1_1[MAESTRIA],
                ISNUMBER(MATCH(Tabla1_1[CAMPO_DETALLADO],BD586:BP586,0))
            )
        )
    ),
"")</f>
        <v/>
      </c>
      <c r="EA585" t="str" cm="1">
        <f t="array" ref="EA585">IFERROR(
    TRANSPOSE(
        _xlfn.UNIQUE(
            _xlfn._xlws.FILTER(
                Tabla1__2[NOMBRE_DOCENTE],
                ISNUMBER(MATCH(Tabla1__2[MAESTRIA],BQ585:DY585,0))
            )
        )
    ),
"")</f>
        <v/>
      </c>
    </row>
    <row r="586" spans="1:131" ht="20.25" customHeight="1">
      <c r="A586" t="str" cm="1">
        <f t="array" ref="A586">TRANSPOSE(_xlfn.UNIQUE(_xlfn._xlws.FILTER(T_ASIGNATURA1[ID_NIVEL],T_ASIGNATURA1[ID_CARRERA]=ASIGNACION!$A586,"No existe información")))</f>
        <v>No existe información</v>
      </c>
      <c r="S586" t="str" cm="1">
        <f t="array" ref="S586">TRANSPOSE(_xlfn.UNIQUE(_xlfn._xlws.FILTER(T_ASIGNATURA1[NOM_ASIG],(T_ASIGNATURA1[ID_NIVEL]=ASIGNACION!$C586)*(T_ASIGNATURA1[ID_CARRERA]=ASIGNACION!$A586),"No existe información")))</f>
        <v>No existe información</v>
      </c>
      <c r="BQ586" s="1" t="str" cm="1">
        <f t="array" ref="BQ586">IFERROR(
    TRANSPOSE(
        _xlfn.UNIQUE(
            _xlfn._xlws.FILTER(
                Tabla1_1[MAESTRIA],
                ISNUMBER(MATCH(Tabla1_1[CAMPO_DETALLADO],BD587:BP587,0))
            )
        )
    ),
"")</f>
        <v/>
      </c>
      <c r="EA586" t="str" cm="1">
        <f t="array" ref="EA586">IFERROR(
    TRANSPOSE(
        _xlfn.UNIQUE(
            _xlfn._xlws.FILTER(
                Tabla1__2[NOMBRE_DOCENTE],
                ISNUMBER(MATCH(Tabla1__2[MAESTRIA],BQ586:DY586,0))
            )
        )
    ),
"")</f>
        <v/>
      </c>
    </row>
    <row r="587" spans="1:131" ht="20.25" customHeight="1">
      <c r="A587" t="str" cm="1">
        <f t="array" ref="A587">TRANSPOSE(_xlfn.UNIQUE(_xlfn._xlws.FILTER(T_ASIGNATURA1[ID_NIVEL],T_ASIGNATURA1[ID_CARRERA]=ASIGNACION!$A587,"No existe información")))</f>
        <v>No existe información</v>
      </c>
      <c r="S587" t="str" cm="1">
        <f t="array" ref="S587">TRANSPOSE(_xlfn.UNIQUE(_xlfn._xlws.FILTER(T_ASIGNATURA1[NOM_ASIG],(T_ASIGNATURA1[ID_NIVEL]=ASIGNACION!$C587)*(T_ASIGNATURA1[ID_CARRERA]=ASIGNACION!$A587),"No existe información")))</f>
        <v>No existe información</v>
      </c>
      <c r="BQ587" s="1" t="str" cm="1">
        <f t="array" ref="BQ587">IFERROR(
    TRANSPOSE(
        _xlfn.UNIQUE(
            _xlfn._xlws.FILTER(
                Tabla1_1[MAESTRIA],
                ISNUMBER(MATCH(Tabla1_1[CAMPO_DETALLADO],BD588:BP588,0))
            )
        )
    ),
"")</f>
        <v/>
      </c>
      <c r="EA587" t="str" cm="1">
        <f t="array" ref="EA587">IFERROR(
    TRANSPOSE(
        _xlfn.UNIQUE(
            _xlfn._xlws.FILTER(
                Tabla1__2[NOMBRE_DOCENTE],
                ISNUMBER(MATCH(Tabla1__2[MAESTRIA],BQ587:DY587,0))
            )
        )
    ),
"")</f>
        <v/>
      </c>
    </row>
    <row r="588" spans="1:131" ht="20.25" customHeight="1">
      <c r="A588" t="str" cm="1">
        <f t="array" ref="A588">TRANSPOSE(_xlfn.UNIQUE(_xlfn._xlws.FILTER(T_ASIGNATURA1[ID_NIVEL],T_ASIGNATURA1[ID_CARRERA]=ASIGNACION!$A588,"No existe información")))</f>
        <v>No existe información</v>
      </c>
      <c r="S588" t="str" cm="1">
        <f t="array" ref="S588">TRANSPOSE(_xlfn.UNIQUE(_xlfn._xlws.FILTER(T_ASIGNATURA1[NOM_ASIG],(T_ASIGNATURA1[ID_NIVEL]=ASIGNACION!$C588)*(T_ASIGNATURA1[ID_CARRERA]=ASIGNACION!$A588),"No existe información")))</f>
        <v>No existe información</v>
      </c>
      <c r="BQ588" s="1" t="str" cm="1">
        <f t="array" ref="BQ588">IFERROR(
    TRANSPOSE(
        _xlfn.UNIQUE(
            _xlfn._xlws.FILTER(
                Tabla1_1[MAESTRIA],
                ISNUMBER(MATCH(Tabla1_1[CAMPO_DETALLADO],BD589:BP589,0))
            )
        )
    ),
"")</f>
        <v/>
      </c>
      <c r="EA588" t="str" cm="1">
        <f t="array" ref="EA588">IFERROR(
    TRANSPOSE(
        _xlfn.UNIQUE(
            _xlfn._xlws.FILTER(
                Tabla1__2[NOMBRE_DOCENTE],
                ISNUMBER(MATCH(Tabla1__2[MAESTRIA],BQ588:DY588,0))
            )
        )
    ),
"")</f>
        <v/>
      </c>
    </row>
    <row r="589" spans="1:131" ht="20.25" customHeight="1">
      <c r="A589" t="str" cm="1">
        <f t="array" ref="A589">TRANSPOSE(_xlfn.UNIQUE(_xlfn._xlws.FILTER(T_ASIGNATURA1[ID_NIVEL],T_ASIGNATURA1[ID_CARRERA]=ASIGNACION!$A589,"No existe información")))</f>
        <v>No existe información</v>
      </c>
      <c r="S589" t="str" cm="1">
        <f t="array" ref="S589">TRANSPOSE(_xlfn.UNIQUE(_xlfn._xlws.FILTER(T_ASIGNATURA1[NOM_ASIG],(T_ASIGNATURA1[ID_NIVEL]=ASIGNACION!$C589)*(T_ASIGNATURA1[ID_CARRERA]=ASIGNACION!$A589),"No existe información")))</f>
        <v>No existe información</v>
      </c>
      <c r="BQ589" s="1" t="str" cm="1">
        <f t="array" ref="BQ589">IFERROR(
    TRANSPOSE(
        _xlfn.UNIQUE(
            _xlfn._xlws.FILTER(
                Tabla1_1[MAESTRIA],
                ISNUMBER(MATCH(Tabla1_1[CAMPO_DETALLADO],BD590:BP590,0))
            )
        )
    ),
"")</f>
        <v/>
      </c>
      <c r="EA589" t="str" cm="1">
        <f t="array" ref="EA589">IFERROR(
    TRANSPOSE(
        _xlfn.UNIQUE(
            _xlfn._xlws.FILTER(
                Tabla1__2[NOMBRE_DOCENTE],
                ISNUMBER(MATCH(Tabla1__2[MAESTRIA],BQ589:DY589,0))
            )
        )
    ),
"")</f>
        <v/>
      </c>
    </row>
    <row r="590" spans="1:131" ht="20.25" customHeight="1">
      <c r="A590" t="str" cm="1">
        <f t="array" ref="A590">TRANSPOSE(_xlfn.UNIQUE(_xlfn._xlws.FILTER(T_ASIGNATURA1[ID_NIVEL],T_ASIGNATURA1[ID_CARRERA]=ASIGNACION!$A590,"No existe información")))</f>
        <v>No existe información</v>
      </c>
      <c r="S590" t="str" cm="1">
        <f t="array" ref="S590">TRANSPOSE(_xlfn.UNIQUE(_xlfn._xlws.FILTER(T_ASIGNATURA1[NOM_ASIG],(T_ASIGNATURA1[ID_NIVEL]=ASIGNACION!$C590)*(T_ASIGNATURA1[ID_CARRERA]=ASIGNACION!$A590),"No existe información")))</f>
        <v>No existe información</v>
      </c>
      <c r="BQ590" s="1" t="str" cm="1">
        <f t="array" ref="BQ590">IFERROR(
    TRANSPOSE(
        _xlfn.UNIQUE(
            _xlfn._xlws.FILTER(
                Tabla1_1[MAESTRIA],
                ISNUMBER(MATCH(Tabla1_1[CAMPO_DETALLADO],BD591:BP591,0))
            )
        )
    ),
"")</f>
        <v/>
      </c>
      <c r="EA590" t="str" cm="1">
        <f t="array" ref="EA590">IFERROR(
    TRANSPOSE(
        _xlfn.UNIQUE(
            _xlfn._xlws.FILTER(
                Tabla1__2[NOMBRE_DOCENTE],
                ISNUMBER(MATCH(Tabla1__2[MAESTRIA],BQ590:DY590,0))
            )
        )
    ),
"")</f>
        <v/>
      </c>
    </row>
    <row r="591" spans="1:131" ht="20.25" customHeight="1">
      <c r="A591" t="str" cm="1">
        <f t="array" ref="A591">TRANSPOSE(_xlfn.UNIQUE(_xlfn._xlws.FILTER(T_ASIGNATURA1[ID_NIVEL],T_ASIGNATURA1[ID_CARRERA]=ASIGNACION!$A591,"No existe información")))</f>
        <v>No existe información</v>
      </c>
      <c r="S591" t="str" cm="1">
        <f t="array" ref="S591">TRANSPOSE(_xlfn.UNIQUE(_xlfn._xlws.FILTER(T_ASIGNATURA1[NOM_ASIG],(T_ASIGNATURA1[ID_NIVEL]=ASIGNACION!$C591)*(T_ASIGNATURA1[ID_CARRERA]=ASIGNACION!$A591),"No existe información")))</f>
        <v>No existe información</v>
      </c>
      <c r="BQ591" s="1" t="str" cm="1">
        <f t="array" ref="BQ591">IFERROR(
    TRANSPOSE(
        _xlfn.UNIQUE(
            _xlfn._xlws.FILTER(
                Tabla1_1[MAESTRIA],
                ISNUMBER(MATCH(Tabla1_1[CAMPO_DETALLADO],BD592:BP592,0))
            )
        )
    ),
"")</f>
        <v/>
      </c>
      <c r="EA591" t="str" cm="1">
        <f t="array" ref="EA591">IFERROR(
    TRANSPOSE(
        _xlfn.UNIQUE(
            _xlfn._xlws.FILTER(
                Tabla1__2[NOMBRE_DOCENTE],
                ISNUMBER(MATCH(Tabla1__2[MAESTRIA],BQ591:DY591,0))
            )
        )
    ),
"")</f>
        <v/>
      </c>
    </row>
    <row r="592" spans="1:131" ht="20.25" customHeight="1">
      <c r="A592" t="str" cm="1">
        <f t="array" ref="A592">TRANSPOSE(_xlfn.UNIQUE(_xlfn._xlws.FILTER(T_ASIGNATURA1[ID_NIVEL],T_ASIGNATURA1[ID_CARRERA]=ASIGNACION!$A592,"No existe información")))</f>
        <v>No existe información</v>
      </c>
      <c r="S592" t="str" cm="1">
        <f t="array" ref="S592">TRANSPOSE(_xlfn.UNIQUE(_xlfn._xlws.FILTER(T_ASIGNATURA1[NOM_ASIG],(T_ASIGNATURA1[ID_NIVEL]=ASIGNACION!$C592)*(T_ASIGNATURA1[ID_CARRERA]=ASIGNACION!$A592),"No existe información")))</f>
        <v>No existe información</v>
      </c>
      <c r="BQ592" s="1" t="str" cm="1">
        <f t="array" ref="BQ592">IFERROR(
    TRANSPOSE(
        _xlfn.UNIQUE(
            _xlfn._xlws.FILTER(
                Tabla1_1[MAESTRIA],
                ISNUMBER(MATCH(Tabla1_1[CAMPO_DETALLADO],BD593:BP593,0))
            )
        )
    ),
"")</f>
        <v/>
      </c>
      <c r="EA592" t="str" cm="1">
        <f t="array" ref="EA592">IFERROR(
    TRANSPOSE(
        _xlfn.UNIQUE(
            _xlfn._xlws.FILTER(
                Tabla1__2[NOMBRE_DOCENTE],
                ISNUMBER(MATCH(Tabla1__2[MAESTRIA],BQ592:DY592,0))
            )
        )
    ),
"")</f>
        <v/>
      </c>
    </row>
    <row r="593" spans="1:131" ht="20.25" customHeight="1">
      <c r="A593" t="str" cm="1">
        <f t="array" ref="A593">TRANSPOSE(_xlfn.UNIQUE(_xlfn._xlws.FILTER(T_ASIGNATURA1[ID_NIVEL],T_ASIGNATURA1[ID_CARRERA]=ASIGNACION!$A593,"No existe información")))</f>
        <v>No existe información</v>
      </c>
      <c r="S593" t="str" cm="1">
        <f t="array" ref="S593">TRANSPOSE(_xlfn.UNIQUE(_xlfn._xlws.FILTER(T_ASIGNATURA1[NOM_ASIG],(T_ASIGNATURA1[ID_NIVEL]=ASIGNACION!$C593)*(T_ASIGNATURA1[ID_CARRERA]=ASIGNACION!$A593),"No existe información")))</f>
        <v>No existe información</v>
      </c>
      <c r="BQ593" s="1" t="str" cm="1">
        <f t="array" ref="BQ593">IFERROR(
    TRANSPOSE(
        _xlfn.UNIQUE(
            _xlfn._xlws.FILTER(
                Tabla1_1[MAESTRIA],
                ISNUMBER(MATCH(Tabla1_1[CAMPO_DETALLADO],BD594:BP594,0))
            )
        )
    ),
"")</f>
        <v/>
      </c>
      <c r="EA593" t="str" cm="1">
        <f t="array" ref="EA593">IFERROR(
    TRANSPOSE(
        _xlfn.UNIQUE(
            _xlfn._xlws.FILTER(
                Tabla1__2[NOMBRE_DOCENTE],
                ISNUMBER(MATCH(Tabla1__2[MAESTRIA],BQ593:DY593,0))
            )
        )
    ),
"")</f>
        <v/>
      </c>
    </row>
    <row r="594" spans="1:131" ht="20.25" customHeight="1">
      <c r="A594" t="str" cm="1">
        <f t="array" ref="A594">TRANSPOSE(_xlfn.UNIQUE(_xlfn._xlws.FILTER(T_ASIGNATURA1[ID_NIVEL],T_ASIGNATURA1[ID_CARRERA]=ASIGNACION!$A594,"No existe información")))</f>
        <v>No existe información</v>
      </c>
      <c r="S594" t="str" cm="1">
        <f t="array" ref="S594">TRANSPOSE(_xlfn.UNIQUE(_xlfn._xlws.FILTER(T_ASIGNATURA1[NOM_ASIG],(T_ASIGNATURA1[ID_NIVEL]=ASIGNACION!$C594)*(T_ASIGNATURA1[ID_CARRERA]=ASIGNACION!$A594),"No existe información")))</f>
        <v>No existe información</v>
      </c>
      <c r="BQ594" s="1" t="str" cm="1">
        <f t="array" ref="BQ594">IFERROR(
    TRANSPOSE(
        _xlfn.UNIQUE(
            _xlfn._xlws.FILTER(
                Tabla1_1[MAESTRIA],
                ISNUMBER(MATCH(Tabla1_1[CAMPO_DETALLADO],BD595:BP595,0))
            )
        )
    ),
"")</f>
        <v/>
      </c>
      <c r="EA594" t="str" cm="1">
        <f t="array" ref="EA594">IFERROR(
    TRANSPOSE(
        _xlfn.UNIQUE(
            _xlfn._xlws.FILTER(
                Tabla1__2[NOMBRE_DOCENTE],
                ISNUMBER(MATCH(Tabla1__2[MAESTRIA],BQ594:DY594,0))
            )
        )
    ),
"")</f>
        <v/>
      </c>
    </row>
    <row r="595" spans="1:131" ht="20.25" customHeight="1">
      <c r="A595" t="str" cm="1">
        <f t="array" ref="A595">TRANSPOSE(_xlfn.UNIQUE(_xlfn._xlws.FILTER(T_ASIGNATURA1[ID_NIVEL],T_ASIGNATURA1[ID_CARRERA]=ASIGNACION!$A595,"No existe información")))</f>
        <v>No existe información</v>
      </c>
      <c r="S595" t="str" cm="1">
        <f t="array" ref="S595">TRANSPOSE(_xlfn.UNIQUE(_xlfn._xlws.FILTER(T_ASIGNATURA1[NOM_ASIG],(T_ASIGNATURA1[ID_NIVEL]=ASIGNACION!$C595)*(T_ASIGNATURA1[ID_CARRERA]=ASIGNACION!$A595),"No existe información")))</f>
        <v>No existe información</v>
      </c>
      <c r="BQ595" s="1" t="str" cm="1">
        <f t="array" ref="BQ595">IFERROR(
    TRANSPOSE(
        _xlfn.UNIQUE(
            _xlfn._xlws.FILTER(
                Tabla1_1[MAESTRIA],
                ISNUMBER(MATCH(Tabla1_1[CAMPO_DETALLADO],BD596:BP596,0))
            )
        )
    ),
"")</f>
        <v/>
      </c>
      <c r="EA595" t="str" cm="1">
        <f t="array" ref="EA595">IFERROR(
    TRANSPOSE(
        _xlfn.UNIQUE(
            _xlfn._xlws.FILTER(
                Tabla1__2[NOMBRE_DOCENTE],
                ISNUMBER(MATCH(Tabla1__2[MAESTRIA],BQ595:DY595,0))
            )
        )
    ),
"")</f>
        <v/>
      </c>
    </row>
    <row r="596" spans="1:131" ht="20.25" customHeight="1">
      <c r="A596" t="str" cm="1">
        <f t="array" ref="A596">TRANSPOSE(_xlfn.UNIQUE(_xlfn._xlws.FILTER(T_ASIGNATURA1[ID_NIVEL],T_ASIGNATURA1[ID_CARRERA]=ASIGNACION!$A596,"No existe información")))</f>
        <v>No existe información</v>
      </c>
      <c r="S596" t="str" cm="1">
        <f t="array" ref="S596">TRANSPOSE(_xlfn.UNIQUE(_xlfn._xlws.FILTER(T_ASIGNATURA1[NOM_ASIG],(T_ASIGNATURA1[ID_NIVEL]=ASIGNACION!$C596)*(T_ASIGNATURA1[ID_CARRERA]=ASIGNACION!$A596),"No existe información")))</f>
        <v>No existe información</v>
      </c>
      <c r="BQ596" s="1" t="str" cm="1">
        <f t="array" ref="BQ596">IFERROR(
    TRANSPOSE(
        _xlfn.UNIQUE(
            _xlfn._xlws.FILTER(
                Tabla1_1[MAESTRIA],
                ISNUMBER(MATCH(Tabla1_1[CAMPO_DETALLADO],BD597:BP597,0))
            )
        )
    ),
"")</f>
        <v/>
      </c>
      <c r="EA596" t="str" cm="1">
        <f t="array" ref="EA596">IFERROR(
    TRANSPOSE(
        _xlfn.UNIQUE(
            _xlfn._xlws.FILTER(
                Tabla1__2[NOMBRE_DOCENTE],
                ISNUMBER(MATCH(Tabla1__2[MAESTRIA],BQ596:DY596,0))
            )
        )
    ),
"")</f>
        <v/>
      </c>
    </row>
    <row r="597" spans="1:131" ht="20.25" customHeight="1">
      <c r="A597" t="str" cm="1">
        <f t="array" ref="A597">TRANSPOSE(_xlfn.UNIQUE(_xlfn._xlws.FILTER(T_ASIGNATURA1[ID_NIVEL],T_ASIGNATURA1[ID_CARRERA]=ASIGNACION!$A597,"No existe información")))</f>
        <v>No existe información</v>
      </c>
      <c r="S597" t="str" cm="1">
        <f t="array" ref="S597">TRANSPOSE(_xlfn.UNIQUE(_xlfn._xlws.FILTER(T_ASIGNATURA1[NOM_ASIG],(T_ASIGNATURA1[ID_NIVEL]=ASIGNACION!$C597)*(T_ASIGNATURA1[ID_CARRERA]=ASIGNACION!$A597),"No existe información")))</f>
        <v>No existe información</v>
      </c>
      <c r="BQ597" s="1" t="str" cm="1">
        <f t="array" ref="BQ597">IFERROR(
    TRANSPOSE(
        _xlfn.UNIQUE(
            _xlfn._xlws.FILTER(
                Tabla1_1[MAESTRIA],
                ISNUMBER(MATCH(Tabla1_1[CAMPO_DETALLADO],BD598:BP598,0))
            )
        )
    ),
"")</f>
        <v/>
      </c>
      <c r="EA597" t="str" cm="1">
        <f t="array" ref="EA597">IFERROR(
    TRANSPOSE(
        _xlfn.UNIQUE(
            _xlfn._xlws.FILTER(
                Tabla1__2[NOMBRE_DOCENTE],
                ISNUMBER(MATCH(Tabla1__2[MAESTRIA],BQ597:DY597,0))
            )
        )
    ),
"")</f>
        <v/>
      </c>
    </row>
    <row r="598" spans="1:131" ht="20.25" customHeight="1">
      <c r="A598" t="str" cm="1">
        <f t="array" ref="A598">TRANSPOSE(_xlfn.UNIQUE(_xlfn._xlws.FILTER(T_ASIGNATURA1[ID_NIVEL],T_ASIGNATURA1[ID_CARRERA]=ASIGNACION!$A598,"No existe información")))</f>
        <v>No existe información</v>
      </c>
      <c r="S598" t="str" cm="1">
        <f t="array" ref="S598">TRANSPOSE(_xlfn.UNIQUE(_xlfn._xlws.FILTER(T_ASIGNATURA1[NOM_ASIG],(T_ASIGNATURA1[ID_NIVEL]=ASIGNACION!$C598)*(T_ASIGNATURA1[ID_CARRERA]=ASIGNACION!$A598),"No existe información")))</f>
        <v>No existe información</v>
      </c>
      <c r="BQ598" s="1" t="str" cm="1">
        <f t="array" ref="BQ598">IFERROR(
    TRANSPOSE(
        _xlfn.UNIQUE(
            _xlfn._xlws.FILTER(
                Tabla1_1[MAESTRIA],
                ISNUMBER(MATCH(Tabla1_1[CAMPO_DETALLADO],BD599:BP599,0))
            )
        )
    ),
"")</f>
        <v/>
      </c>
      <c r="EA598" t="str" cm="1">
        <f t="array" ref="EA598">IFERROR(
    TRANSPOSE(
        _xlfn.UNIQUE(
            _xlfn._xlws.FILTER(
                Tabla1__2[NOMBRE_DOCENTE],
                ISNUMBER(MATCH(Tabla1__2[MAESTRIA],BQ598:DY598,0))
            )
        )
    ),
"")</f>
        <v/>
      </c>
    </row>
    <row r="599" spans="1:131" ht="20.25" customHeight="1">
      <c r="A599" t="str" cm="1">
        <f t="array" ref="A599">TRANSPOSE(_xlfn.UNIQUE(_xlfn._xlws.FILTER(T_ASIGNATURA1[ID_NIVEL],T_ASIGNATURA1[ID_CARRERA]=ASIGNACION!$A599,"No existe información")))</f>
        <v>No existe información</v>
      </c>
      <c r="S599" t="str" cm="1">
        <f t="array" ref="S599">TRANSPOSE(_xlfn.UNIQUE(_xlfn._xlws.FILTER(T_ASIGNATURA1[NOM_ASIG],(T_ASIGNATURA1[ID_NIVEL]=ASIGNACION!$C599)*(T_ASIGNATURA1[ID_CARRERA]=ASIGNACION!$A599),"No existe información")))</f>
        <v>No existe información</v>
      </c>
      <c r="BQ599" s="1" t="str" cm="1">
        <f t="array" ref="BQ599">IFERROR(
    TRANSPOSE(
        _xlfn.UNIQUE(
            _xlfn._xlws.FILTER(
                Tabla1_1[MAESTRIA],
                ISNUMBER(MATCH(Tabla1_1[CAMPO_DETALLADO],BD600:BP600,0))
            )
        )
    ),
"")</f>
        <v/>
      </c>
      <c r="EA599" t="str" cm="1">
        <f t="array" ref="EA599">IFERROR(
    TRANSPOSE(
        _xlfn.UNIQUE(
            _xlfn._xlws.FILTER(
                Tabla1__2[NOMBRE_DOCENTE],
                ISNUMBER(MATCH(Tabla1__2[MAESTRIA],BQ599:DY599,0))
            )
        )
    ),
"")</f>
        <v/>
      </c>
    </row>
    <row r="600" spans="1:131" ht="20.25" customHeight="1">
      <c r="A600" t="str" cm="1">
        <f t="array" ref="A600">TRANSPOSE(_xlfn.UNIQUE(_xlfn._xlws.FILTER(T_ASIGNATURA1[ID_NIVEL],T_ASIGNATURA1[ID_CARRERA]=ASIGNACION!$A600,"No existe información")))</f>
        <v>No existe información</v>
      </c>
      <c r="S600" t="str" cm="1">
        <f t="array" ref="S600">TRANSPOSE(_xlfn.UNIQUE(_xlfn._xlws.FILTER(T_ASIGNATURA1[NOM_ASIG],(T_ASIGNATURA1[ID_NIVEL]=ASIGNACION!$C600)*(T_ASIGNATURA1[ID_CARRERA]=ASIGNACION!$A600),"No existe información")))</f>
        <v>No existe información</v>
      </c>
      <c r="BQ600" s="1" t="str" cm="1">
        <f t="array" ref="BQ600">IFERROR(
    TRANSPOSE(
        _xlfn.UNIQUE(
            _xlfn._xlws.FILTER(
                Tabla1_1[MAESTRIA],
                ISNUMBER(MATCH(Tabla1_1[CAMPO_DETALLADO],BD601:BP601,0))
            )
        )
    ),
"")</f>
        <v/>
      </c>
      <c r="EA600" t="str" cm="1">
        <f t="array" ref="EA600">IFERROR(
    TRANSPOSE(
        _xlfn.UNIQUE(
            _xlfn._xlws.FILTER(
                Tabla1__2[NOMBRE_DOCENTE],
                ISNUMBER(MATCH(Tabla1__2[MAESTRIA],BQ600:DY600,0))
            )
        )
    ),
"")</f>
        <v/>
      </c>
    </row>
    <row r="601" spans="1:131" ht="20.25" customHeight="1">
      <c r="A601" t="str" cm="1">
        <f t="array" ref="A601">TRANSPOSE(_xlfn.UNIQUE(_xlfn._xlws.FILTER(T_ASIGNATURA1[ID_NIVEL],T_ASIGNATURA1[ID_CARRERA]=ASIGNACION!$A601,"No existe información")))</f>
        <v>No existe información</v>
      </c>
      <c r="S601" t="str" cm="1">
        <f t="array" ref="S601">TRANSPOSE(_xlfn.UNIQUE(_xlfn._xlws.FILTER(T_ASIGNATURA1[NOM_ASIG],(T_ASIGNATURA1[ID_NIVEL]=ASIGNACION!$C601)*(T_ASIGNATURA1[ID_CARRERA]=ASIGNACION!$A601),"No existe información")))</f>
        <v>No existe información</v>
      </c>
      <c r="BQ601" s="1" t="str" cm="1">
        <f t="array" ref="BQ601">IFERROR(
    TRANSPOSE(
        _xlfn.UNIQUE(
            _xlfn._xlws.FILTER(
                Tabla1_1[MAESTRIA],
                ISNUMBER(MATCH(Tabla1_1[CAMPO_DETALLADO],BD602:BP602,0))
            )
        )
    ),
"")</f>
        <v/>
      </c>
      <c r="EA601" t="str" cm="1">
        <f t="array" ref="EA601">IFERROR(
    TRANSPOSE(
        _xlfn.UNIQUE(
            _xlfn._xlws.FILTER(
                Tabla1__2[NOMBRE_DOCENTE],
                ISNUMBER(MATCH(Tabla1__2[MAESTRIA],BQ601:DY601,0))
            )
        )
    ),
"")</f>
        <v/>
      </c>
    </row>
    <row r="602" spans="1:131" ht="20.25" customHeight="1">
      <c r="A602" t="str" cm="1">
        <f t="array" ref="A602">TRANSPOSE(_xlfn.UNIQUE(_xlfn._xlws.FILTER(T_ASIGNATURA1[ID_NIVEL],T_ASIGNATURA1[ID_CARRERA]=ASIGNACION!$A602,"No existe información")))</f>
        <v>No existe información</v>
      </c>
      <c r="S602" t="str" cm="1">
        <f t="array" ref="S602">TRANSPOSE(_xlfn.UNIQUE(_xlfn._xlws.FILTER(T_ASIGNATURA1[NOM_ASIG],(T_ASIGNATURA1[ID_NIVEL]=ASIGNACION!$C602)*(T_ASIGNATURA1[ID_CARRERA]=ASIGNACION!$A602),"No existe información")))</f>
        <v>No existe información</v>
      </c>
      <c r="BQ602" s="1" t="str" cm="1">
        <f t="array" ref="BQ602">IFERROR(
    TRANSPOSE(
        _xlfn.UNIQUE(
            _xlfn._xlws.FILTER(
                Tabla1_1[MAESTRIA],
                ISNUMBER(MATCH(Tabla1_1[CAMPO_DETALLADO],BD603:BP603,0))
            )
        )
    ),
"")</f>
        <v/>
      </c>
      <c r="EA602" t="str" cm="1">
        <f t="array" ref="EA602">IFERROR(
    TRANSPOSE(
        _xlfn.UNIQUE(
            _xlfn._xlws.FILTER(
                Tabla1__2[NOMBRE_DOCENTE],
                ISNUMBER(MATCH(Tabla1__2[MAESTRIA],BQ602:DY602,0))
            )
        )
    ),
"")</f>
        <v/>
      </c>
    </row>
    <row r="603" spans="1:131" ht="20.25" customHeight="1">
      <c r="BQ603" s="1" t="str" cm="1">
        <f t="array" ref="BQ603">IFERROR(
    TRANSPOSE(
        _xlfn.UNIQUE(
            _xlfn._xlws.FILTER(
                Tabla1_1[MAESTRIA],
                ISNUMBER(MATCH(Tabla1_1[CAMPO_DETALLADO],BD604:BP604,0))
            )
        )
    ),
"")</f>
        <v/>
      </c>
      <c r="EA603" t="str" cm="1">
        <f t="array" ref="EA603">IFERROR(
    TRANSPOSE(
        _xlfn.UNIQUE(
            _xlfn._xlws.FILTER(
                Tabla1__2[NOMBRE_DOCENTE],
                ISNUMBER(MATCH(Tabla1__2[MAESTRIA],BQ603:DY603,0))
            )
        )
    ),
"")</f>
        <v/>
      </c>
    </row>
    <row r="604" spans="1:131" ht="20.25" customHeight="1">
      <c r="BQ604" s="1" t="str" cm="1">
        <f t="array" ref="BQ604">IFERROR(
    TRANSPOSE(
        _xlfn.UNIQUE(
            _xlfn._xlws.FILTER(
                Tabla1_1[MAESTRIA],
                ISNUMBER(MATCH(Tabla1_1[CAMPO_DETALLADO],BD605:BP605,0))
            )
        )
    ),
"")</f>
        <v/>
      </c>
      <c r="EA604" t="str" cm="1">
        <f t="array" ref="EA604">IFERROR(
    TRANSPOSE(
        _xlfn.UNIQUE(
            _xlfn._xlws.FILTER(
                Tabla1__2[NOMBRE_DOCENTE],
                ISNUMBER(MATCH(Tabla1__2[MAESTRIA],BQ604:DY604,0))
            )
        )
    ),
"")</f>
        <v/>
      </c>
    </row>
    <row r="605" spans="1:131" ht="20.25" customHeight="1">
      <c r="BQ605" s="1" t="str" cm="1">
        <f t="array" ref="BQ605">IFERROR(
    TRANSPOSE(
        _xlfn.UNIQUE(
            _xlfn._xlws.FILTER(
                Tabla1_1[MAESTRIA],
                ISNUMBER(MATCH(Tabla1_1[CAMPO_DETALLADO],BD606:BP606,0))
            )
        )
    ),
"")</f>
        <v/>
      </c>
      <c r="EA605" t="str" cm="1">
        <f t="array" ref="EA605">IFERROR(
    TRANSPOSE(
        _xlfn.UNIQUE(
            _xlfn._xlws.FILTER(
                Tabla1__2[NOMBRE_DOCENTE],
                ISNUMBER(MATCH(Tabla1__2[MAESTRIA],BQ605:DY605,0))
            )
        )
    ),
"")</f>
        <v/>
      </c>
    </row>
    <row r="606" spans="1:131" ht="20.25" customHeight="1">
      <c r="BQ606" s="1" t="str" cm="1">
        <f t="array" ref="BQ606">IFERROR(
    TRANSPOSE(
        _xlfn.UNIQUE(
            _xlfn._xlws.FILTER(
                Tabla1_1[MAESTRIA],
                ISNUMBER(MATCH(Tabla1_1[CAMPO_DETALLADO],BD607:BP607,0))
            )
        )
    ),
"")</f>
        <v/>
      </c>
      <c r="EA606" t="str" cm="1">
        <f t="array" ref="EA606">IFERROR(
    TRANSPOSE(
        _xlfn.UNIQUE(
            _xlfn._xlws.FILTER(
                Tabla1__2[NOMBRE_DOCENTE],
                ISNUMBER(MATCH(Tabla1__2[MAESTRIA],BQ606:DY606,0))
            )
        )
    ),
"")</f>
        <v/>
      </c>
    </row>
    <row r="607" spans="1:131" ht="20.25" customHeight="1">
      <c r="BQ607" s="1" t="str" cm="1">
        <f t="array" ref="BQ607">IFERROR(
    TRANSPOSE(
        _xlfn.UNIQUE(
            _xlfn._xlws.FILTER(
                Tabla1_1[MAESTRIA],
                ISNUMBER(MATCH(Tabla1_1[CAMPO_DETALLADO],BD608:BP608,0))
            )
        )
    ),
"")</f>
        <v/>
      </c>
      <c r="EA607" t="str" cm="1">
        <f t="array" ref="EA607">IFERROR(
    TRANSPOSE(
        _xlfn.UNIQUE(
            _xlfn._xlws.FILTER(
                Tabla1__2[NOMBRE_DOCENTE],
                ISNUMBER(MATCH(Tabla1__2[MAESTRIA],BQ607:DY607,0))
            )
        )
    ),
"")</f>
        <v/>
      </c>
    </row>
    <row r="608" spans="1:131" ht="20.25" customHeight="1">
      <c r="BQ608" s="1" t="str" cm="1">
        <f t="array" ref="BQ608">IFERROR(
    TRANSPOSE(
        _xlfn.UNIQUE(
            _xlfn._xlws.FILTER(
                Tabla1_1[MAESTRIA],
                ISNUMBER(MATCH(Tabla1_1[CAMPO_DETALLADO],BD609:BP609,0))
            )
        )
    ),
"")</f>
        <v/>
      </c>
      <c r="EA608" t="str" cm="1">
        <f t="array" ref="EA608">IFERROR(
    TRANSPOSE(
        _xlfn.UNIQUE(
            _xlfn._xlws.FILTER(
                Tabla1__2[NOMBRE_DOCENTE],
                ISNUMBER(MATCH(Tabla1__2[MAESTRIA],BQ608:DY608,0))
            )
        )
    ),
"")</f>
        <v/>
      </c>
    </row>
    <row r="609" spans="69:131" ht="20.25" customHeight="1">
      <c r="BQ609" s="1" t="str" cm="1">
        <f t="array" ref="BQ609">IFERROR(
    TRANSPOSE(
        _xlfn.UNIQUE(
            _xlfn._xlws.FILTER(
                Tabla1_1[MAESTRIA],
                ISNUMBER(MATCH(Tabla1_1[CAMPO_DETALLADO],BD610:BP610,0))
            )
        )
    ),
"")</f>
        <v/>
      </c>
      <c r="EA609" t="str" cm="1">
        <f t="array" ref="EA609">IFERROR(
    TRANSPOSE(
        _xlfn.UNIQUE(
            _xlfn._xlws.FILTER(
                Tabla1__2[NOMBRE_DOCENTE],
                ISNUMBER(MATCH(Tabla1__2[MAESTRIA],BQ609:DY609,0))
            )
        )
    ),
"")</f>
        <v/>
      </c>
    </row>
    <row r="610" spans="69:131" ht="20.25" customHeight="1">
      <c r="BQ610" s="1" t="str" cm="1">
        <f t="array" ref="BQ610">IFERROR(
    TRANSPOSE(
        _xlfn.UNIQUE(
            _xlfn._xlws.FILTER(
                Tabla1_1[MAESTRIA],
                ISNUMBER(MATCH(Tabla1_1[CAMPO_DETALLADO],BD611:BP611,0))
            )
        )
    ),
"")</f>
        <v/>
      </c>
      <c r="EA610" t="str" cm="1">
        <f t="array" ref="EA610">IFERROR(
    TRANSPOSE(
        _xlfn.UNIQUE(
            _xlfn._xlws.FILTER(
                Tabla1__2[NOMBRE_DOCENTE],
                ISNUMBER(MATCH(Tabla1__2[MAESTRIA],BQ610:DY610,0))
            )
        )
    ),
"")</f>
        <v/>
      </c>
    </row>
    <row r="611" spans="69:131" ht="20.25" customHeight="1">
      <c r="BQ611" s="1" t="str" cm="1">
        <f t="array" ref="BQ611">IFERROR(
    TRANSPOSE(
        _xlfn.UNIQUE(
            _xlfn._xlws.FILTER(
                Tabla1_1[MAESTRIA],
                ISNUMBER(MATCH(Tabla1_1[CAMPO_DETALLADO],BD612:BP612,0))
            )
        )
    ),
"")</f>
        <v/>
      </c>
      <c r="EA611" t="str" cm="1">
        <f t="array" ref="EA611">IFERROR(
    TRANSPOSE(
        _xlfn.UNIQUE(
            _xlfn._xlws.FILTER(
                Tabla1__2[NOMBRE_DOCENTE],
                ISNUMBER(MATCH(Tabla1__2[MAESTRIA],BQ611:DY611,0))
            )
        )
    ),
"")</f>
        <v/>
      </c>
    </row>
    <row r="612" spans="69:131" ht="20.25" customHeight="1">
      <c r="BQ612" s="1" t="str" cm="1">
        <f t="array" ref="BQ612">IFERROR(
    TRANSPOSE(
        _xlfn.UNIQUE(
            _xlfn._xlws.FILTER(
                Tabla1_1[MAESTRIA],
                ISNUMBER(MATCH(Tabla1_1[CAMPO_DETALLADO],BD613:BP613,0))
            )
        )
    ),
"")</f>
        <v/>
      </c>
      <c r="EA612" t="str" cm="1">
        <f t="array" ref="EA612">IFERROR(
    TRANSPOSE(
        _xlfn.UNIQUE(
            _xlfn._xlws.FILTER(
                Tabla1__2[NOMBRE_DOCENTE],
                ISNUMBER(MATCH(Tabla1__2[MAESTRIA],BQ612:DY612,0))
            )
        )
    ),
"")</f>
        <v/>
      </c>
    </row>
    <row r="613" spans="69:131" ht="20.25" customHeight="1">
      <c r="BQ613" s="1" t="str" cm="1">
        <f t="array" ref="BQ613">IFERROR(
    TRANSPOSE(
        _xlfn.UNIQUE(
            _xlfn._xlws.FILTER(
                Tabla1_1[MAESTRIA],
                ISNUMBER(MATCH(Tabla1_1[CAMPO_DETALLADO],BD614:BP614,0))
            )
        )
    ),
"")</f>
        <v/>
      </c>
      <c r="EA613" t="str" cm="1">
        <f t="array" ref="EA613">IFERROR(
    TRANSPOSE(
        _xlfn.UNIQUE(
            _xlfn._xlws.FILTER(
                Tabla1__2[NOMBRE_DOCENTE],
                ISNUMBER(MATCH(Tabla1__2[MAESTRIA],BQ613:DY613,0))
            )
        )
    ),
"")</f>
        <v/>
      </c>
    </row>
    <row r="614" spans="69:131" ht="20.25" customHeight="1">
      <c r="BQ614" s="1" t="str" cm="1">
        <f t="array" ref="BQ614">IFERROR(
    TRANSPOSE(
        _xlfn.UNIQUE(
            _xlfn._xlws.FILTER(
                Tabla1_1[MAESTRIA],
                ISNUMBER(MATCH(Tabla1_1[CAMPO_DETALLADO],BD615:BP615,0))
            )
        )
    ),
"")</f>
        <v/>
      </c>
      <c r="EA614" t="str" cm="1">
        <f t="array" ref="EA614">IFERROR(
    TRANSPOSE(
        _xlfn.UNIQUE(
            _xlfn._xlws.FILTER(
                Tabla1__2[NOMBRE_DOCENTE],
                ISNUMBER(MATCH(Tabla1__2[MAESTRIA],BQ614:DY614,0))
            )
        )
    ),
"")</f>
        <v/>
      </c>
    </row>
    <row r="615" spans="69:131" ht="20.25" customHeight="1">
      <c r="BQ615" s="1" t="str" cm="1">
        <f t="array" ref="BQ615">IFERROR(
    TRANSPOSE(
        _xlfn.UNIQUE(
            _xlfn._xlws.FILTER(
                Tabla1_1[MAESTRIA],
                ISNUMBER(MATCH(Tabla1_1[CAMPO_DETALLADO],BD616:BP616,0))
            )
        )
    ),
"")</f>
        <v/>
      </c>
      <c r="EA615" t="str" cm="1">
        <f t="array" ref="EA615">IFERROR(
    TRANSPOSE(
        _xlfn.UNIQUE(
            _xlfn._xlws.FILTER(
                Tabla1__2[NOMBRE_DOCENTE],
                ISNUMBER(MATCH(Tabla1__2[MAESTRIA],BQ615:DY615,0))
            )
        )
    ),
"")</f>
        <v/>
      </c>
    </row>
    <row r="616" spans="69:131" ht="20.25" customHeight="1">
      <c r="BQ616" s="1" t="str" cm="1">
        <f t="array" ref="BQ616">IFERROR(
    TRANSPOSE(
        _xlfn.UNIQUE(
            _xlfn._xlws.FILTER(
                Tabla1_1[MAESTRIA],
                ISNUMBER(MATCH(Tabla1_1[CAMPO_DETALLADO],BD617:BP617,0))
            )
        )
    ),
"")</f>
        <v/>
      </c>
      <c r="EA616" t="str" cm="1">
        <f t="array" ref="EA616">IFERROR(
    TRANSPOSE(
        _xlfn.UNIQUE(
            _xlfn._xlws.FILTER(
                Tabla1__2[NOMBRE_DOCENTE],
                ISNUMBER(MATCH(Tabla1__2[MAESTRIA],BQ616:DY616,0))
            )
        )
    ),
"")</f>
        <v/>
      </c>
    </row>
    <row r="617" spans="69:131" ht="20.25" customHeight="1">
      <c r="BQ617" s="1" t="str" cm="1">
        <f t="array" ref="BQ617">IFERROR(
    TRANSPOSE(
        _xlfn.UNIQUE(
            _xlfn._xlws.FILTER(
                Tabla1_1[MAESTRIA],
                ISNUMBER(MATCH(Tabla1_1[CAMPO_DETALLADO],BD618:BP618,0))
            )
        )
    ),
"")</f>
        <v/>
      </c>
      <c r="EA617" t="str" cm="1">
        <f t="array" ref="EA617">IFERROR(
    TRANSPOSE(
        _xlfn.UNIQUE(
            _xlfn._xlws.FILTER(
                Tabla1__2[NOMBRE_DOCENTE],
                ISNUMBER(MATCH(Tabla1__2[MAESTRIA],BQ617:DY617,0))
            )
        )
    ),
"")</f>
        <v/>
      </c>
    </row>
    <row r="618" spans="69:131" ht="20.25" customHeight="1">
      <c r="BQ618" s="1" t="str" cm="1">
        <f t="array" ref="BQ618">IFERROR(
    TRANSPOSE(
        _xlfn.UNIQUE(
            _xlfn._xlws.FILTER(
                Tabla1_1[MAESTRIA],
                ISNUMBER(MATCH(Tabla1_1[CAMPO_DETALLADO],BD619:BP619,0))
            )
        )
    ),
"")</f>
        <v/>
      </c>
      <c r="EA618" t="str" cm="1">
        <f t="array" ref="EA618">IFERROR(
    TRANSPOSE(
        _xlfn.UNIQUE(
            _xlfn._xlws.FILTER(
                Tabla1__2[NOMBRE_DOCENTE],
                ISNUMBER(MATCH(Tabla1__2[MAESTRIA],BQ618:DY618,0))
            )
        )
    ),
"")</f>
        <v/>
      </c>
    </row>
    <row r="619" spans="69:131" ht="20.25" customHeight="1">
      <c r="BQ619" s="1" t="str" cm="1">
        <f t="array" ref="BQ619">IFERROR(
    TRANSPOSE(
        _xlfn.UNIQUE(
            _xlfn._xlws.FILTER(
                Tabla1_1[MAESTRIA],
                ISNUMBER(MATCH(Tabla1_1[CAMPO_DETALLADO],BD620:BP620,0))
            )
        )
    ),
"")</f>
        <v/>
      </c>
      <c r="EA619" t="str" cm="1">
        <f t="array" ref="EA619">IFERROR(
    TRANSPOSE(
        _xlfn.UNIQUE(
            _xlfn._xlws.FILTER(
                Tabla1__2[NOMBRE_DOCENTE],
                ISNUMBER(MATCH(Tabla1__2[MAESTRIA],BQ619:DY619,0))
            )
        )
    ),
"")</f>
        <v/>
      </c>
    </row>
    <row r="620" spans="69:131" ht="20.25" customHeight="1">
      <c r="BQ620" s="1" t="str" cm="1">
        <f t="array" ref="BQ620">IFERROR(
    TRANSPOSE(
        _xlfn.UNIQUE(
            _xlfn._xlws.FILTER(
                Tabla1_1[MAESTRIA],
                ISNUMBER(MATCH(Tabla1_1[CAMPO_DETALLADO],BD621:BP621,0))
            )
        )
    ),
"")</f>
        <v/>
      </c>
      <c r="EA620" t="str" cm="1">
        <f t="array" ref="EA620">IFERROR(
    TRANSPOSE(
        _xlfn.UNIQUE(
            _xlfn._xlws.FILTER(
                Tabla1__2[NOMBRE_DOCENTE],
                ISNUMBER(MATCH(Tabla1__2[MAESTRIA],BQ620:DY620,0))
            )
        )
    ),
"")</f>
        <v/>
      </c>
    </row>
    <row r="621" spans="69:131" ht="20.25" customHeight="1">
      <c r="BQ621" s="1" t="str" cm="1">
        <f t="array" ref="BQ621">IFERROR(
    TRANSPOSE(
        _xlfn.UNIQUE(
            _xlfn._xlws.FILTER(
                Tabla1_1[MAESTRIA],
                ISNUMBER(MATCH(Tabla1_1[CAMPO_DETALLADO],BD622:BP622,0))
            )
        )
    ),
"")</f>
        <v/>
      </c>
      <c r="EA621" t="str" cm="1">
        <f t="array" ref="EA621">IFERROR(
    TRANSPOSE(
        _xlfn.UNIQUE(
            _xlfn._xlws.FILTER(
                Tabla1__2[NOMBRE_DOCENTE],
                ISNUMBER(MATCH(Tabla1__2[MAESTRIA],BQ621:DY621,0))
            )
        )
    ),
"")</f>
        <v/>
      </c>
    </row>
    <row r="622" spans="69:131" ht="20.25" customHeight="1">
      <c r="BQ622" s="1" t="str" cm="1">
        <f t="array" ref="BQ622">IFERROR(
    TRANSPOSE(
        _xlfn.UNIQUE(
            _xlfn._xlws.FILTER(
                Tabla1_1[MAESTRIA],
                ISNUMBER(MATCH(Tabla1_1[CAMPO_DETALLADO],BD623:BP623,0))
            )
        )
    ),
"")</f>
        <v/>
      </c>
      <c r="EA622" t="str" cm="1">
        <f t="array" ref="EA622">IFERROR(
    TRANSPOSE(
        _xlfn.UNIQUE(
            _xlfn._xlws.FILTER(
                Tabla1__2[NOMBRE_DOCENTE],
                ISNUMBER(MATCH(Tabla1__2[MAESTRIA],BQ622:DY622,0))
            )
        )
    ),
"")</f>
        <v/>
      </c>
    </row>
    <row r="623" spans="69:131" ht="20.25" customHeight="1">
      <c r="BQ623" s="1" t="str" cm="1">
        <f t="array" ref="BQ623">IFERROR(
    TRANSPOSE(
        _xlfn.UNIQUE(
            _xlfn._xlws.FILTER(
                Tabla1_1[MAESTRIA],
                ISNUMBER(MATCH(Tabla1_1[CAMPO_DETALLADO],BD624:BP624,0))
            )
        )
    ),
"")</f>
        <v/>
      </c>
      <c r="EA623" t="str" cm="1">
        <f t="array" ref="EA623">IFERROR(
    TRANSPOSE(
        _xlfn.UNIQUE(
            _xlfn._xlws.FILTER(
                Tabla1__2[NOMBRE_DOCENTE],
                ISNUMBER(MATCH(Tabla1__2[MAESTRIA],BQ623:DY623,0))
            )
        )
    ),
"")</f>
        <v/>
      </c>
    </row>
    <row r="624" spans="69:131" ht="20.25" customHeight="1">
      <c r="BQ624" s="1" t="str" cm="1">
        <f t="array" ref="BQ624">IFERROR(
    TRANSPOSE(
        _xlfn.UNIQUE(
            _xlfn._xlws.FILTER(
                Tabla1_1[MAESTRIA],
                ISNUMBER(MATCH(Tabla1_1[CAMPO_DETALLADO],BD625:BP625,0))
            )
        )
    ),
"")</f>
        <v/>
      </c>
      <c r="EA624" t="str" cm="1">
        <f t="array" ref="EA624">IFERROR(
    TRANSPOSE(
        _xlfn.UNIQUE(
            _xlfn._xlws.FILTER(
                Tabla1__2[NOMBRE_DOCENTE],
                ISNUMBER(MATCH(Tabla1__2[MAESTRIA],BQ624:DY624,0))
            )
        )
    ),
"")</f>
        <v/>
      </c>
    </row>
    <row r="625" spans="69:131" ht="20.25" customHeight="1">
      <c r="BQ625" s="1" t="str" cm="1">
        <f t="array" ref="BQ625">IFERROR(
    TRANSPOSE(
        _xlfn.UNIQUE(
            _xlfn._xlws.FILTER(
                Tabla1_1[MAESTRIA],
                ISNUMBER(MATCH(Tabla1_1[CAMPO_DETALLADO],BD626:BP626,0))
            )
        )
    ),
"")</f>
        <v/>
      </c>
      <c r="EA625" t="str" cm="1">
        <f t="array" ref="EA625">IFERROR(
    TRANSPOSE(
        _xlfn.UNIQUE(
            _xlfn._xlws.FILTER(
                Tabla1__2[NOMBRE_DOCENTE],
                ISNUMBER(MATCH(Tabla1__2[MAESTRIA],BQ625:DY625,0))
            )
        )
    ),
"")</f>
        <v/>
      </c>
    </row>
    <row r="626" spans="69:131" ht="20.25" customHeight="1">
      <c r="BQ626" s="1" t="str" cm="1">
        <f t="array" ref="BQ626">IFERROR(
    TRANSPOSE(
        _xlfn.UNIQUE(
            _xlfn._xlws.FILTER(
                Tabla1_1[MAESTRIA],
                ISNUMBER(MATCH(Tabla1_1[CAMPO_DETALLADO],BD627:BP627,0))
            )
        )
    ),
"")</f>
        <v/>
      </c>
      <c r="EA626" t="str" cm="1">
        <f t="array" ref="EA626">IFERROR(
    TRANSPOSE(
        _xlfn.UNIQUE(
            _xlfn._xlws.FILTER(
                Tabla1__2[NOMBRE_DOCENTE],
                ISNUMBER(MATCH(Tabla1__2[MAESTRIA],BQ626:DY626,0))
            )
        )
    ),
"")</f>
        <v/>
      </c>
    </row>
    <row r="627" spans="69:131" ht="20.25" customHeight="1">
      <c r="BQ627" s="1" t="str" cm="1">
        <f t="array" ref="BQ627">IFERROR(
    TRANSPOSE(
        _xlfn.UNIQUE(
            _xlfn._xlws.FILTER(
                Tabla1_1[MAESTRIA],
                ISNUMBER(MATCH(Tabla1_1[CAMPO_DETALLADO],BD628:BP628,0))
            )
        )
    ),
"")</f>
        <v/>
      </c>
      <c r="EA627" t="str" cm="1">
        <f t="array" ref="EA627">IFERROR(
    TRANSPOSE(
        _xlfn.UNIQUE(
            _xlfn._xlws.FILTER(
                Tabla1__2[NOMBRE_DOCENTE],
                ISNUMBER(MATCH(Tabla1__2[MAESTRIA],BQ627:DY627,0))
            )
        )
    ),
"")</f>
        <v/>
      </c>
    </row>
    <row r="628" spans="69:131" ht="20.25" customHeight="1">
      <c r="BQ628" s="1" t="str" cm="1">
        <f t="array" ref="BQ628">IFERROR(
    TRANSPOSE(
        _xlfn.UNIQUE(
            _xlfn._xlws.FILTER(
                Tabla1_1[MAESTRIA],
                ISNUMBER(MATCH(Tabla1_1[CAMPO_DETALLADO],BD629:BP629,0))
            )
        )
    ),
"")</f>
        <v/>
      </c>
      <c r="EA628" t="str" cm="1">
        <f t="array" ref="EA628">IFERROR(
    TRANSPOSE(
        _xlfn.UNIQUE(
            _xlfn._xlws.FILTER(
                Tabla1__2[NOMBRE_DOCENTE],
                ISNUMBER(MATCH(Tabla1__2[MAESTRIA],BQ628:DY628,0))
            )
        )
    ),
"")</f>
        <v/>
      </c>
    </row>
    <row r="629" spans="69:131" ht="20.25" customHeight="1">
      <c r="BQ629" s="1" t="str" cm="1">
        <f t="array" ref="BQ629">IFERROR(
    TRANSPOSE(
        _xlfn.UNIQUE(
            _xlfn._xlws.FILTER(
                Tabla1_1[MAESTRIA],
                ISNUMBER(MATCH(Tabla1_1[CAMPO_DETALLADO],BD630:BP630,0))
            )
        )
    ),
"")</f>
        <v/>
      </c>
      <c r="EA629" t="str" cm="1">
        <f t="array" ref="EA629">IFERROR(
    TRANSPOSE(
        _xlfn.UNIQUE(
            _xlfn._xlws.FILTER(
                Tabla1__2[NOMBRE_DOCENTE],
                ISNUMBER(MATCH(Tabla1__2[MAESTRIA],BQ629:DY629,0))
            )
        )
    ),
"")</f>
        <v/>
      </c>
    </row>
    <row r="630" spans="69:131" ht="20.25" customHeight="1">
      <c r="BQ630" s="1" t="str" cm="1">
        <f t="array" ref="BQ630">IFERROR(
    TRANSPOSE(
        _xlfn.UNIQUE(
            _xlfn._xlws.FILTER(
                Tabla1_1[MAESTRIA],
                ISNUMBER(MATCH(Tabla1_1[CAMPO_DETALLADO],BD631:BP631,0))
            )
        )
    ),
"")</f>
        <v/>
      </c>
      <c r="EA630" t="str" cm="1">
        <f t="array" ref="EA630">IFERROR(
    TRANSPOSE(
        _xlfn.UNIQUE(
            _xlfn._xlws.FILTER(
                Tabla1__2[NOMBRE_DOCENTE],
                ISNUMBER(MATCH(Tabla1__2[MAESTRIA],BQ630:DY630,0))
            )
        )
    ),
"")</f>
        <v/>
      </c>
    </row>
    <row r="631" spans="69:131" ht="20.25" customHeight="1">
      <c r="BQ631" s="1" t="str" cm="1">
        <f t="array" ref="BQ631">IFERROR(
    TRANSPOSE(
        _xlfn.UNIQUE(
            _xlfn._xlws.FILTER(
                Tabla1_1[MAESTRIA],
                ISNUMBER(MATCH(Tabla1_1[CAMPO_DETALLADO],BD632:BP632,0))
            )
        )
    ),
"")</f>
        <v/>
      </c>
      <c r="EA631" t="str" cm="1">
        <f t="array" ref="EA631">IFERROR(
    TRANSPOSE(
        _xlfn.UNIQUE(
            _xlfn._xlws.FILTER(
                Tabla1__2[NOMBRE_DOCENTE],
                ISNUMBER(MATCH(Tabla1__2[MAESTRIA],BQ631:DY631,0))
            )
        )
    ),
"")</f>
        <v/>
      </c>
    </row>
    <row r="632" spans="69:131" ht="20.25" customHeight="1">
      <c r="BQ632" s="1" t="str" cm="1">
        <f t="array" ref="BQ632">IFERROR(
    TRANSPOSE(
        _xlfn.UNIQUE(
            _xlfn._xlws.FILTER(
                Tabla1_1[MAESTRIA],
                ISNUMBER(MATCH(Tabla1_1[CAMPO_DETALLADO],BD633:BP633,0))
            )
        )
    ),
"")</f>
        <v/>
      </c>
      <c r="EA632" t="str" cm="1">
        <f t="array" ref="EA632">IFERROR(
    TRANSPOSE(
        _xlfn.UNIQUE(
            _xlfn._xlws.FILTER(
                Tabla1__2[NOMBRE_DOCENTE],
                ISNUMBER(MATCH(Tabla1__2[MAESTRIA],BQ632:DY632,0))
            )
        )
    ),
"")</f>
        <v/>
      </c>
    </row>
    <row r="633" spans="69:131" ht="20.25" customHeight="1">
      <c r="BQ633" s="1" t="str" cm="1">
        <f t="array" ref="BQ633">IFERROR(
    TRANSPOSE(
        _xlfn.UNIQUE(
            _xlfn._xlws.FILTER(
                Tabla1_1[MAESTRIA],
                ISNUMBER(MATCH(Tabla1_1[CAMPO_DETALLADO],BD634:BP634,0))
            )
        )
    ),
"")</f>
        <v/>
      </c>
      <c r="EA633" t="str" cm="1">
        <f t="array" ref="EA633">IFERROR(
    TRANSPOSE(
        _xlfn.UNIQUE(
            _xlfn._xlws.FILTER(
                Tabla1__2[NOMBRE_DOCENTE],
                ISNUMBER(MATCH(Tabla1__2[MAESTRIA],BQ633:DY633,0))
            )
        )
    ),
"")</f>
        <v/>
      </c>
    </row>
    <row r="634" spans="69:131" ht="20.25" customHeight="1">
      <c r="BQ634" s="1" t="str" cm="1">
        <f t="array" ref="BQ634">IFERROR(
    TRANSPOSE(
        _xlfn.UNIQUE(
            _xlfn._xlws.FILTER(
                Tabla1_1[MAESTRIA],
                ISNUMBER(MATCH(Tabla1_1[CAMPO_DETALLADO],BD635:BP635,0))
            )
        )
    ),
"")</f>
        <v/>
      </c>
      <c r="EA634" t="str" cm="1">
        <f t="array" ref="EA634">IFERROR(
    TRANSPOSE(
        _xlfn.UNIQUE(
            _xlfn._xlws.FILTER(
                Tabla1__2[NOMBRE_DOCENTE],
                ISNUMBER(MATCH(Tabla1__2[MAESTRIA],BQ634:DY634,0))
            )
        )
    ),
"")</f>
        <v/>
      </c>
    </row>
    <row r="635" spans="69:131" ht="20.25" customHeight="1">
      <c r="BQ635" s="1" t="str" cm="1">
        <f t="array" ref="BQ635">IFERROR(
    TRANSPOSE(
        _xlfn.UNIQUE(
            _xlfn._xlws.FILTER(
                Tabla1_1[MAESTRIA],
                ISNUMBER(MATCH(Tabla1_1[CAMPO_DETALLADO],BD636:BP636,0))
            )
        )
    ),
"")</f>
        <v/>
      </c>
      <c r="EA635" t="str" cm="1">
        <f t="array" ref="EA635">IFERROR(
    TRANSPOSE(
        _xlfn.UNIQUE(
            _xlfn._xlws.FILTER(
                Tabla1__2[NOMBRE_DOCENTE],
                ISNUMBER(MATCH(Tabla1__2[MAESTRIA],BQ635:DY635,0))
            )
        )
    ),
"")</f>
        <v/>
      </c>
    </row>
    <row r="636" spans="69:131" ht="20.25" customHeight="1">
      <c r="BQ636" s="1" t="str" cm="1">
        <f t="array" ref="BQ636">IFERROR(
    TRANSPOSE(
        _xlfn.UNIQUE(
            _xlfn._xlws.FILTER(
                Tabla1_1[MAESTRIA],
                ISNUMBER(MATCH(Tabla1_1[CAMPO_DETALLADO],BD637:BP637,0))
            )
        )
    ),
"")</f>
        <v/>
      </c>
      <c r="EA636" t="str" cm="1">
        <f t="array" ref="EA636">IFERROR(
    TRANSPOSE(
        _xlfn.UNIQUE(
            _xlfn._xlws.FILTER(
                Tabla1__2[NOMBRE_DOCENTE],
                ISNUMBER(MATCH(Tabla1__2[MAESTRIA],BQ636:DY636,0))
            )
        )
    ),
"")</f>
        <v/>
      </c>
    </row>
    <row r="637" spans="69:131" ht="20.25" customHeight="1">
      <c r="BQ637" s="1" t="str" cm="1">
        <f t="array" ref="BQ637">IFERROR(
    TRANSPOSE(
        _xlfn.UNIQUE(
            _xlfn._xlws.FILTER(
                Tabla1_1[MAESTRIA],
                ISNUMBER(MATCH(Tabla1_1[CAMPO_DETALLADO],BD638:BP638,0))
            )
        )
    ),
"")</f>
        <v/>
      </c>
      <c r="EA637" t="str" cm="1">
        <f t="array" ref="EA637">IFERROR(
    TRANSPOSE(
        _xlfn.UNIQUE(
            _xlfn._xlws.FILTER(
                Tabla1__2[NOMBRE_DOCENTE],
                ISNUMBER(MATCH(Tabla1__2[MAESTRIA],BQ637:DY637,0))
            )
        )
    ),
"")</f>
        <v/>
      </c>
    </row>
    <row r="638" spans="69:131" ht="20.25" customHeight="1">
      <c r="EA638" t="str" cm="1">
        <f t="array" ref="EA638">IFERROR(
    TRANSPOSE(
        _xlfn.UNIQUE(
            _xlfn._xlws.FILTER(
                Tabla1__2[NOMBRE_DOCENTE],
                ISNUMBER(MATCH(Tabla1__2[MAESTRIA],BQ638:DY638,0))
            )
        )
    ),
"")</f>
        <v/>
      </c>
    </row>
    <row r="639" spans="69:131" ht="20.25" customHeight="1">
      <c r="EA639" t="str" cm="1">
        <f t="array" ref="EA639">IFERROR(
    TRANSPOSE(
        _xlfn.UNIQUE(
            _xlfn._xlws.FILTER(
                Tabla1__2[NOMBRE_DOCENTE],
                ISNUMBER(MATCH(Tabla1__2[MAESTRIA],BQ639:DY639,0))
            )
        )
    ),
"")</f>
        <v/>
      </c>
    </row>
    <row r="640" spans="69:131" ht="20.25" customHeight="1">
      <c r="EA640" t="str" cm="1">
        <f t="array" ref="EA640">IFERROR(
    TRANSPOSE(
        _xlfn.UNIQUE(
            _xlfn._xlws.FILTER(
                Tabla1__2[NOMBRE_DOCENTE],
                ISNUMBER(MATCH(Tabla1__2[MAESTRIA],BQ640:DY640,0))
            )
        )
    ),
"")</f>
        <v/>
      </c>
    </row>
    <row r="641" spans="131:131" ht="20.25" customHeight="1">
      <c r="EA641" t="str" cm="1">
        <f t="array" ref="EA641">IFERROR(
    TRANSPOSE(
        _xlfn.UNIQUE(
            _xlfn._xlws.FILTER(
                Tabla1__2[NOMBRE_DOCENTE],
                ISNUMBER(MATCH(Tabla1__2[MAESTRIA],BQ641:DY641,0))
            )
        )
    ),
"")</f>
        <v/>
      </c>
    </row>
    <row r="642" spans="131:131" ht="20.25" customHeight="1">
      <c r="EA642" t="str" cm="1">
        <f t="array" ref="EA642">IFERROR(
    TRANSPOSE(
        _xlfn.UNIQUE(
            _xlfn._xlws.FILTER(
                Tabla1__2[NOMBRE_DOCENTE],
                ISNUMBER(MATCH(Tabla1__2[MAESTRIA],BQ642:DY642,0))
            )
        )
    ),
"")</f>
        <v/>
      </c>
    </row>
    <row r="643" spans="131:131" ht="20.25" customHeight="1">
      <c r="EA643" t="str" cm="1">
        <f t="array" ref="EA643">IFERROR(
    TRANSPOSE(
        _xlfn.UNIQUE(
            _xlfn._xlws.FILTER(
                Tabla1__2[NOMBRE_DOCENTE],
                ISNUMBER(MATCH(Tabla1__2[MAESTRIA],BQ643:DY643,0))
            )
        )
    ),
"")</f>
        <v/>
      </c>
    </row>
    <row r="644" spans="131:131" ht="20.25" customHeight="1">
      <c r="EA644" t="str" cm="1">
        <f t="array" ref="EA644">IFERROR(
    TRANSPOSE(
        _xlfn.UNIQUE(
            _xlfn._xlws.FILTER(
                Tabla1__2[NOMBRE_DOCENTE],
                ISNUMBER(MATCH(Tabla1__2[MAESTRIA],BQ644:DY644,0))
            )
        )
    ),
"")</f>
        <v/>
      </c>
    </row>
    <row r="645" spans="131:131" ht="20.25" customHeight="1">
      <c r="EA645" t="str" cm="1">
        <f t="array" ref="EA645">IFERROR(
    TRANSPOSE(
        _xlfn.UNIQUE(
            _xlfn._xlws.FILTER(
                Tabla1__2[NOMBRE_DOCENTE],
                ISNUMBER(MATCH(Tabla1__2[MAESTRIA],BQ645:DY645,0))
            )
        )
    ),
"")</f>
        <v/>
      </c>
    </row>
    <row r="646" spans="131:131" ht="20.25" customHeight="1">
      <c r="EA646" t="str" cm="1">
        <f t="array" ref="EA646">IFERROR(
    TRANSPOSE(
        _xlfn.UNIQUE(
            _xlfn._xlws.FILTER(
                Tabla1__2[NOMBRE_DOCENTE],
                ISNUMBER(MATCH(Tabla1__2[MAESTRIA],BQ646:DY646,0))
            )
        )
    ),
"")</f>
        <v/>
      </c>
    </row>
    <row r="647" spans="131:131" ht="20.25" customHeight="1">
      <c r="EA647" t="str" cm="1">
        <f t="array" ref="EA647">IFERROR(
    TRANSPOSE(
        _xlfn.UNIQUE(
            _xlfn._xlws.FILTER(
                Tabla1__2[NOMBRE_DOCENTE],
                ISNUMBER(MATCH(Tabla1__2[MAESTRIA],BQ647:DY647,0))
            )
        )
    ),
"")</f>
        <v/>
      </c>
    </row>
    <row r="648" spans="131:131" ht="20.25" customHeight="1">
      <c r="EA648" t="str" cm="1">
        <f t="array" ref="EA648">IFERROR(
    TRANSPOSE(
        _xlfn.UNIQUE(
            _xlfn._xlws.FILTER(
                Tabla1__2[NOMBRE_DOCENTE],
                ISNUMBER(MATCH(Tabla1__2[MAESTRIA],BQ648:DY648,0))
            )
        )
    ),
"")</f>
        <v/>
      </c>
    </row>
    <row r="649" spans="131:131" ht="20.25" customHeight="1">
      <c r="EA649" t="str" cm="1">
        <f t="array" ref="EA649">IFERROR(
    TRANSPOSE(
        _xlfn.UNIQUE(
            _xlfn._xlws.FILTER(
                Tabla1__2[NOMBRE_DOCENTE],
                ISNUMBER(MATCH(Tabla1__2[MAESTRIA],BQ649:DY649,0))
            )
        )
    ),
"")</f>
        <v/>
      </c>
    </row>
    <row r="650" spans="131:131" ht="20.25" customHeight="1">
      <c r="EA650" t="str" cm="1">
        <f t="array" ref="EA650">IFERROR(
    TRANSPOSE(
        _xlfn.UNIQUE(
            _xlfn._xlws.FILTER(
                Tabla1__2[NOMBRE_DOCENTE],
                ISNUMBER(MATCH(Tabla1__2[MAESTRIA],BQ650:DY650,0))
            )
        )
    ),
"")</f>
        <v/>
      </c>
    </row>
    <row r="651" spans="131:131" ht="20.25" customHeight="1">
      <c r="EA651" t="str" cm="1">
        <f t="array" ref="EA651">IFERROR(
    TRANSPOSE(
        _xlfn.UNIQUE(
            _xlfn._xlws.FILTER(
                Tabla1__2[NOMBRE_DOCENTE],
                ISNUMBER(MATCH(Tabla1__2[MAESTRIA],BQ651:DY651,0))
            )
        )
    ),
"")</f>
        <v/>
      </c>
    </row>
    <row r="652" spans="131:131" ht="20.25" customHeight="1">
      <c r="EA652" t="str" cm="1">
        <f t="array" ref="EA652">IFERROR(
    TRANSPOSE(
        _xlfn.UNIQUE(
            _xlfn._xlws.FILTER(
                Tabla1__2[NOMBRE_DOCENTE],
                ISNUMBER(MATCH(Tabla1__2[MAESTRIA],BQ652:DY652,0))
            )
        )
    ),
"")</f>
        <v/>
      </c>
    </row>
    <row r="653" spans="131:131" ht="20.25" customHeight="1">
      <c r="EA653" t="str" cm="1">
        <f t="array" ref="EA653">IFERROR(
    TRANSPOSE(
        _xlfn.UNIQUE(
            _xlfn._xlws.FILTER(
                Tabla1__2[NOMBRE_DOCENTE],
                ISNUMBER(MATCH(Tabla1__2[MAESTRIA],BQ653:DY653,0))
            )
        )
    ),
"")</f>
        <v/>
      </c>
    </row>
    <row r="654" spans="131:131" ht="20.25" customHeight="1">
      <c r="EA654" t="str" cm="1">
        <f t="array" ref="EA654">IFERROR(
    TRANSPOSE(
        _xlfn.UNIQUE(
            _xlfn._xlws.FILTER(
                Tabla1__2[NOMBRE_DOCENTE],
                ISNUMBER(MATCH(Tabla1__2[MAESTRIA],BQ654:DY654,0))
            )
        )
    ),
"")</f>
        <v/>
      </c>
    </row>
    <row r="655" spans="131:131" ht="20.25" customHeight="1">
      <c r="EA655" t="str" cm="1">
        <f t="array" ref="EA655">IFERROR(
    TRANSPOSE(
        _xlfn.UNIQUE(
            _xlfn._xlws.FILTER(
                Tabla1__2[NOMBRE_DOCENTE],
                ISNUMBER(MATCH(Tabla1__2[MAESTRIA],BQ655:DY655,0))
            )
        )
    ),
"")</f>
        <v/>
      </c>
    </row>
    <row r="656" spans="131:131" ht="20.25" customHeight="1">
      <c r="EA656" t="str" cm="1">
        <f t="array" ref="EA656">IFERROR(
    TRANSPOSE(
        _xlfn.UNIQUE(
            _xlfn._xlws.FILTER(
                Tabla1__2[NOMBRE_DOCENTE],
                ISNUMBER(MATCH(Tabla1__2[MAESTRIA],BQ656:DY656,0))
            )
        )
    ),
"")</f>
        <v/>
      </c>
    </row>
    <row r="657" spans="131:131" ht="20.25" customHeight="1">
      <c r="EA657" t="str" cm="1">
        <f t="array" ref="EA657">IFERROR(
    TRANSPOSE(
        _xlfn.UNIQUE(
            _xlfn._xlws.FILTER(
                Tabla1__2[NOMBRE_DOCENTE],
                ISNUMBER(MATCH(Tabla1__2[MAESTRIA],BQ657:DY657,0))
            )
        )
    ),
"")</f>
        <v/>
      </c>
    </row>
    <row r="658" spans="131:131" ht="20.25" customHeight="1">
      <c r="EA658" t="str" cm="1">
        <f t="array" ref="EA658">IFERROR(
    TRANSPOSE(
        _xlfn.UNIQUE(
            _xlfn._xlws.FILTER(
                Tabla1__2[NOMBRE_DOCENTE],
                ISNUMBER(MATCH(Tabla1__2[MAESTRIA],BQ658:DY658,0))
            )
        )
    ),
"")</f>
        <v/>
      </c>
    </row>
    <row r="659" spans="131:131" ht="20.25" customHeight="1">
      <c r="EA659" t="str" cm="1">
        <f t="array" ref="EA659">IFERROR(
    TRANSPOSE(
        _xlfn.UNIQUE(
            _xlfn._xlws.FILTER(
                Tabla1__2[NOMBRE_DOCENTE],
                ISNUMBER(MATCH(Tabla1__2[MAESTRIA],BQ659:DY659,0))
            )
        )
    ),
"")</f>
        <v/>
      </c>
    </row>
    <row r="660" spans="131:131" ht="20.25" customHeight="1">
      <c r="EA660" t="str" cm="1">
        <f t="array" ref="EA660">IFERROR(
    TRANSPOSE(
        _xlfn.UNIQUE(
            _xlfn._xlws.FILTER(
                Tabla1__2[NOMBRE_DOCENTE],
                ISNUMBER(MATCH(Tabla1__2[MAESTRIA],BQ660:DY660,0))
            )
        )
    ),
"")</f>
        <v/>
      </c>
    </row>
    <row r="661" spans="131:131" ht="20.25" customHeight="1">
      <c r="EA661" t="str" cm="1">
        <f t="array" ref="EA661">IFERROR(
    TRANSPOSE(
        _xlfn.UNIQUE(
            _xlfn._xlws.FILTER(
                Tabla1__2[NOMBRE_DOCENTE],
                ISNUMBER(MATCH(Tabla1__2[MAESTRIA],BQ661:DY661,0))
            )
        )
    ),
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F1" workbookViewId="0">
      <selection activeCell="O6" sqref="O6"/>
    </sheetView>
  </sheetViews>
  <sheetFormatPr defaultColWidth="9.140625" defaultRowHeight="15"/>
  <cols>
    <col min="1" max="1" width="43.28515625" bestFit="1" customWidth="1"/>
    <col min="2" max="2" width="14.28515625" bestFit="1" customWidth="1"/>
    <col min="3" max="3" width="8.42578125" bestFit="1" customWidth="1"/>
    <col min="4" max="4" width="9.85546875" customWidth="1"/>
    <col min="5" max="5" width="53.85546875" bestFit="1" customWidth="1"/>
    <col min="6" max="6" width="38.7109375" customWidth="1"/>
    <col min="7" max="7" width="10.28515625" customWidth="1"/>
    <col min="8" max="8" width="9.42578125" customWidth="1"/>
    <col min="9" max="12" width="10.7109375" customWidth="1"/>
    <col min="13" max="13" width="10.85546875" style="2" customWidth="1"/>
    <col min="14" max="14" width="9.42578125" style="2" customWidth="1"/>
    <col min="15" max="15" width="34.5703125" customWidth="1"/>
    <col min="16" max="16" width="17.140625" customWidth="1"/>
    <col min="17" max="18" width="23.28515625" customWidth="1"/>
  </cols>
  <sheetData>
    <row r="1" spans="1:17" ht="45.7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4" t="s">
        <v>13</v>
      </c>
      <c r="N1" s="4" t="s">
        <v>14</v>
      </c>
      <c r="O1" s="3" t="s">
        <v>15</v>
      </c>
      <c r="P1" s="3" t="s">
        <v>16</v>
      </c>
      <c r="Q1" s="3" t="s">
        <v>17</v>
      </c>
    </row>
    <row r="2" spans="1:17" ht="31.5" customHeight="1">
      <c r="A2" t="s">
        <v>18</v>
      </c>
      <c r="B2" t="str">
        <f>_xlfn.XLOOKUP(Tabla1[[#This Row],[CARRERA]],T_CARREAS1[NOMBRE_CARRERA],T_CARREAS1[ID_CARRERA])</f>
        <v>2026-FCACC-2</v>
      </c>
      <c r="C2">
        <v>1</v>
      </c>
      <c r="D2" t="s">
        <v>19</v>
      </c>
      <c r="E2" s="1" t="s">
        <v>20</v>
      </c>
      <c r="F2" s="1" t="str" cm="1">
        <f t="array" ref="F2">_xlfn.TEXTJOIN(", ",TRUE,TRANSPOSE(_xlfn.UNIQUE(_xlfn._xlws.FILTER(Tabla3[DETALLADO],(Tabla3[NIVEL]=ASIGNACION!$C2)*(Tabla3[CARRERA]=ASIGNACION!$A2)*(Tabla3[ASIGNATURA]=ASIGNACION!$E2),"No existe información"))))</f>
        <v>No existe información</v>
      </c>
      <c r="G2" s="1" t="s">
        <v>21</v>
      </c>
      <c r="H2" cm="1">
        <f t="array" ref="H2">_xlfn.SINGLE(_xlfn.XLOOKUP(1,(T_ASIGNATURA1[ID_CARRERA]=Tabla1[[#This Row],[CARRERA]])*(T_ASIGNATURA1[NOM_ASIG]=Tabla1[[#This Row],[ASIGNATURA]])*(T_ASIGNATURA1[ID_NIVEL]=Tabla1[[#This Row],[NIVEL]]),T_ASIGNATURA1[HORAS],0))</f>
        <v>5</v>
      </c>
      <c r="I2">
        <v>9</v>
      </c>
      <c r="J2">
        <f>+Tabla1[[#This Row],['# SEMANAS]]*Tabla1[[#This Row],[HORAS]]</f>
        <v>45</v>
      </c>
      <c r="M2" s="2">
        <v>5</v>
      </c>
      <c r="N2" s="2">
        <f>+Tabla1[[#This Row],[H.INVESTIGACION]]+Tabla1[[#This Row],[H.ADI_02]]+Tabla1[[#This Row],[H.ADI_01]]+Tabla1[[#This Row],[HORAS_SEMANAS]]</f>
        <v>50</v>
      </c>
      <c r="O2" t="s">
        <v>22</v>
      </c>
      <c r="P2">
        <f t="shared" ref="P2:P18" si="0">SUMIF($O:$O, O2, $N:$N)</f>
        <v>97</v>
      </c>
      <c r="Q2">
        <f>_xlfn.XLOOKUP(Tabla1[[#This Row],[NOMBRE_DOCENT]],Tabla1__3[DATOS_DOCENTE],Tabla1__3[ID_DOCENTE])</f>
        <v>1311778698</v>
      </c>
    </row>
    <row r="3" spans="1:17" ht="31.5" customHeight="1">
      <c r="A3" t="s">
        <v>18</v>
      </c>
      <c r="B3" t="str">
        <f>_xlfn.XLOOKUP(Tabla1[[#This Row],[CARRERA]],T_CARREAS1[NOMBRE_CARRERA],T_CARREAS1[ID_CARRERA])</f>
        <v>2026-FCACC-2</v>
      </c>
      <c r="C3">
        <v>4</v>
      </c>
      <c r="D3" t="s">
        <v>19</v>
      </c>
      <c r="E3" t="s">
        <v>23</v>
      </c>
      <c r="F3" s="1" t="str" cm="1">
        <f t="array" ref="F3">_xlfn.TEXTJOIN(", ",TRUE,TRANSPOSE(_xlfn.UNIQUE(_xlfn._xlws.FILTER(Tabla3[DETALLADO],(Tabla3[NIVEL]=ASIGNACION!$C3)*(Tabla3[CARRERA]=ASIGNACION!$A3)*(Tabla3[ASIGNATURA]=ASIGNACION!$E3),"No existe información"))))</f>
        <v>No existe información</v>
      </c>
      <c r="G3" s="1" t="s">
        <v>24</v>
      </c>
      <c r="H3" cm="1">
        <f t="array" ref="H3">_xlfn.SINGLE(_xlfn.XLOOKUP(1,(T_ASIGNATURA1[ID_CARRERA]=Tabla1[[#This Row],[CARRERA]])*(T_ASIGNATURA1[NOM_ASIG]=Tabla1[[#This Row],[ASIGNATURA]])*(T_ASIGNATURA1[ID_NIVEL]=Tabla1[[#This Row],[NIVEL]]),T_ASIGNATURA1[HORAS],0))</f>
        <v>4</v>
      </c>
      <c r="I3">
        <v>9</v>
      </c>
      <c r="J3">
        <f>+Tabla1[[#This Row],['# SEMANAS]]*Tabla1[[#This Row],[HORAS]]</f>
        <v>36</v>
      </c>
      <c r="M3" s="2">
        <v>6</v>
      </c>
      <c r="N3" s="2">
        <f>+Tabla1[[#This Row],[H.INVESTIGACION]]+Tabla1[[#This Row],[H.ADI_02]]+Tabla1[[#This Row],[H.ADI_01]]+Tabla1[[#This Row],[HORAS_SEMANAS]]</f>
        <v>42</v>
      </c>
      <c r="O3" t="s">
        <v>22</v>
      </c>
      <c r="P3">
        <f t="shared" si="0"/>
        <v>97</v>
      </c>
      <c r="Q3">
        <f>_xlfn.XLOOKUP(Tabla1[[#This Row],[NOMBRE_DOCENT]],Tabla1__3[DATOS_DOCENTE],Tabla1__3[ID_DOCENTE])</f>
        <v>1311778698</v>
      </c>
    </row>
    <row r="4" spans="1:17" ht="31.5" customHeight="1">
      <c r="A4" t="s">
        <v>18</v>
      </c>
      <c r="B4" t="str">
        <f>_xlfn.XLOOKUP(Tabla1[[#This Row],[CARRERA]],T_CARREAS1[NOMBRE_CARRERA],T_CARREAS1[ID_CARRERA])</f>
        <v>2026-FCACC-2</v>
      </c>
      <c r="C4">
        <v>4</v>
      </c>
      <c r="E4" t="s">
        <v>25</v>
      </c>
      <c r="F4" s="1" t="str" cm="1">
        <f t="array" ref="F4">_xlfn.TEXTJOIN(", ",TRUE,TRANSPOSE(_xlfn.UNIQUE(_xlfn._xlws.FILTER(Tabla3[DETALLADO],(Tabla3[NIVEL]=ASIGNACION!$C4)*(Tabla3[CARRERA]=ASIGNACION!$A4)*(Tabla3[ASIGNATURA]=ASIGNACION!$E4),"No existe información"))))</f>
        <v>No existe información</v>
      </c>
      <c r="G4" s="1"/>
      <c r="H4" cm="1">
        <f t="array" ref="H4">_xlfn.SINGLE(_xlfn.XLOOKUP(1,(T_ASIGNATURA1[ID_CARRERA]=Tabla1[[#This Row],[CARRERA]])*(T_ASIGNATURA1[NOM_ASIG]=Tabla1[[#This Row],[ASIGNATURA]])*(T_ASIGNATURA1[ID_NIVEL]=Tabla1[[#This Row],[NIVEL]]),T_ASIGNATURA1[HORAS],0))</f>
        <v>0</v>
      </c>
      <c r="J4">
        <f>+Tabla1[[#This Row],['# SEMANAS]]*Tabla1[[#This Row],[HORAS]]</f>
        <v>0</v>
      </c>
      <c r="M4" s="2">
        <v>5</v>
      </c>
      <c r="N4" s="2">
        <f>+Tabla1[[#This Row],[H.INVESTIGACION]]+Tabla1[[#This Row],[H.ADI_02]]+Tabla1[[#This Row],[H.ADI_01]]+Tabla1[[#This Row],[HORAS_SEMANAS]]</f>
        <v>5</v>
      </c>
      <c r="O4" t="s">
        <v>22</v>
      </c>
      <c r="P4">
        <f t="shared" si="0"/>
        <v>97</v>
      </c>
      <c r="Q4">
        <f>_xlfn.XLOOKUP(Tabla1[[#This Row],[NOMBRE_DOCENT]],Tabla1__3[DATOS_DOCENTE],Tabla1__3[ID_DOCENTE])</f>
        <v>1311778698</v>
      </c>
    </row>
    <row r="5" spans="1:17" ht="31.5" customHeight="1">
      <c r="A5" t="s">
        <v>18</v>
      </c>
      <c r="B5" t="str">
        <f>_xlfn.XLOOKUP(Tabla1[[#This Row],[CARRERA]],T_CARREAS1[NOMBRE_CARRERA],T_CARREAS1[ID_CARRERA])</f>
        <v>2026-FCACC-2</v>
      </c>
      <c r="C5">
        <v>4</v>
      </c>
      <c r="D5" t="s">
        <v>19</v>
      </c>
      <c r="E5" t="s">
        <v>26</v>
      </c>
      <c r="F5" s="1" t="str" cm="1">
        <f t="array" ref="F5">_xlfn.TEXTJOIN(", ",TRUE,TRANSPOSE(_xlfn.UNIQUE(_xlfn._xlws.FILTER(Tabla3[DETALLADO],(Tabla3[NIVEL]=ASIGNACION!$C5)*(Tabla3[CARRERA]=ASIGNACION!$A5)*(Tabla3[ASIGNATURA]=ASIGNACION!$E5),"No existe información"))))</f>
        <v>No existe información</v>
      </c>
      <c r="G5" s="1"/>
      <c r="H5" cm="1">
        <f t="array" ref="H5">_xlfn.SINGLE(_xlfn.XLOOKUP(1,(T_ASIGNATURA1[ID_CARRERA]=Tabla1[[#This Row],[CARRERA]])*(T_ASIGNATURA1[NOM_ASIG]=Tabla1[[#This Row],[ASIGNATURA]])*(T_ASIGNATURA1[ID_NIVEL]=Tabla1[[#This Row],[NIVEL]]),T_ASIGNATURA1[HORAS],0))</f>
        <v>0</v>
      </c>
      <c r="J5">
        <f>+Tabla1[[#This Row],['# SEMANAS]]*Tabla1[[#This Row],[HORAS]]</f>
        <v>0</v>
      </c>
      <c r="N5" s="2">
        <f>+Tabla1[[#This Row],[H.INVESTIGACION]]+Tabla1[[#This Row],[H.ADI_02]]+Tabla1[[#This Row],[H.ADI_01]]+Tabla1[[#This Row],[HORAS_SEMANAS]]</f>
        <v>0</v>
      </c>
      <c r="O5" t="s">
        <v>27</v>
      </c>
      <c r="P5">
        <f t="shared" si="0"/>
        <v>0</v>
      </c>
      <c r="Q5">
        <f>_xlfn.XLOOKUP(Tabla1[[#This Row],[NOMBRE_DOCENT]],Tabla1__3[DATOS_DOCENTE],Tabla1__3[ID_DOCENTE])</f>
        <v>1310729676</v>
      </c>
    </row>
    <row r="6" spans="1:17" ht="31.5" customHeight="1">
      <c r="A6" t="s">
        <v>18</v>
      </c>
      <c r="B6" t="str">
        <f>_xlfn.XLOOKUP(Tabla1[[#This Row],[CARRERA]],T_CARREAS1[NOMBRE_CARRERA],T_CARREAS1[ID_CARRERA])</f>
        <v>2026-FCACC-2</v>
      </c>
      <c r="C6">
        <v>4</v>
      </c>
      <c r="E6" t="s">
        <v>28</v>
      </c>
      <c r="F6" s="1" t="str" cm="1">
        <f t="array" ref="F6">_xlfn.TEXTJOIN(", ",TRUE,TRANSPOSE(_xlfn.UNIQUE(_xlfn._xlws.FILTER(Tabla3[DETALLADO],(Tabla3[NIVEL]=ASIGNACION!$C6)*(Tabla3[CARRERA]=ASIGNACION!$A6)*(Tabla3[ASIGNATURA]=ASIGNACION!$E6),"No existe información"))))</f>
        <v>No existe información</v>
      </c>
      <c r="G6" s="1"/>
      <c r="H6" cm="1">
        <f t="array" ref="H6">_xlfn.SINGLE(_xlfn.XLOOKUP(1,(T_ASIGNATURA1[ID_CARRERA]=Tabla1[[#This Row],[CARRERA]])*(T_ASIGNATURA1[NOM_ASIG]=Tabla1[[#This Row],[ASIGNATURA]])*(T_ASIGNATURA1[ID_NIVEL]=Tabla1[[#This Row],[NIVEL]]),T_ASIGNATURA1[HORAS],0))</f>
        <v>0</v>
      </c>
      <c r="J6">
        <f>+Tabla1[[#This Row],['# SEMANAS]]*Tabla1[[#This Row],[HORAS]]</f>
        <v>0</v>
      </c>
      <c r="N6" s="2">
        <f>+Tabla1[[#This Row],[H.INVESTIGACION]]+Tabla1[[#This Row],[H.ADI_02]]+Tabla1[[#This Row],[H.ADI_01]]+Tabla1[[#This Row],[HORAS_SEMANAS]]</f>
        <v>0</v>
      </c>
      <c r="O6" t="s">
        <v>29</v>
      </c>
      <c r="P6">
        <f t="shared" si="0"/>
        <v>0</v>
      </c>
      <c r="Q6">
        <f>_xlfn.XLOOKUP(Tabla1[[#This Row],[NOMBRE_DOCENT]],Tabla1__3[DATOS_DOCENTE],Tabla1__3[ID_DOCENTE])</f>
        <v>1312179292</v>
      </c>
    </row>
    <row r="7" spans="1:17" ht="31.5" customHeight="1">
      <c r="A7" t="s">
        <v>18</v>
      </c>
      <c r="B7" t="str">
        <f>_xlfn.XLOOKUP(Tabla1[[#This Row],[CARRERA]],T_CARREAS1[NOMBRE_CARRERA],T_CARREAS1[ID_CARRERA])</f>
        <v>2026-FCACC-2</v>
      </c>
      <c r="C7">
        <v>4</v>
      </c>
      <c r="E7" t="s">
        <v>30</v>
      </c>
      <c r="F7" s="1" t="str" cm="1">
        <f t="array" ref="F7">_xlfn.TEXTJOIN(", ",TRUE,TRANSPOSE(_xlfn.UNIQUE(_xlfn._xlws.FILTER(Tabla3[DETALLADO],(Tabla3[NIVEL]=ASIGNACION!$C7)*(Tabla3[CARRERA]=ASIGNACION!$A7)*(Tabla3[ASIGNATURA]=ASIGNACION!$E7),"No existe información"))))</f>
        <v>No existe información</v>
      </c>
      <c r="G7" s="1"/>
      <c r="H7" cm="1">
        <f t="array" ref="H7">_xlfn.SINGLE(_xlfn.XLOOKUP(1,(T_ASIGNATURA1[ID_CARRERA]=Tabla1[[#This Row],[CARRERA]])*(T_ASIGNATURA1[NOM_ASIG]=Tabla1[[#This Row],[ASIGNATURA]])*(T_ASIGNATURA1[ID_NIVEL]=Tabla1[[#This Row],[NIVEL]]),T_ASIGNATURA1[HORAS],0))</f>
        <v>4</v>
      </c>
      <c r="J7">
        <f>+Tabla1[[#This Row],['# SEMANAS]]*Tabla1[[#This Row],[HORAS]]</f>
        <v>0</v>
      </c>
      <c r="N7" s="2">
        <f>+Tabla1[[#This Row],[H.INVESTIGACION]]+Tabla1[[#This Row],[H.ADI_02]]+Tabla1[[#This Row],[H.ADI_01]]+Tabla1[[#This Row],[HORAS_SEMANAS]]</f>
        <v>0</v>
      </c>
      <c r="O7" t="s">
        <v>31</v>
      </c>
      <c r="P7">
        <f t="shared" si="0"/>
        <v>0</v>
      </c>
      <c r="Q7">
        <f>_xlfn.XLOOKUP(Tabla1[[#This Row],[NOMBRE_DOCENT]],Tabla1__3[DATOS_DOCENTE],Tabla1__3[ID_DOCENTE])</f>
        <v>1308397239</v>
      </c>
    </row>
    <row r="8" spans="1:17" ht="31.5" customHeight="1">
      <c r="A8" t="s">
        <v>18</v>
      </c>
      <c r="B8" t="str">
        <f>_xlfn.XLOOKUP(Tabla1[[#This Row],[CARRERA]],T_CARREAS1[NOMBRE_CARRERA],T_CARREAS1[ID_CARRERA])</f>
        <v>2026-FCACC-2</v>
      </c>
      <c r="C8">
        <v>3</v>
      </c>
      <c r="D8" t="s">
        <v>32</v>
      </c>
      <c r="E8" t="s">
        <v>33</v>
      </c>
      <c r="F8" s="1" t="str" cm="1">
        <f t="array" ref="F8">_xlfn.TEXTJOIN(", ",TRUE,TRANSPOSE(_xlfn.UNIQUE(_xlfn._xlws.FILTER(Tabla3[DETALLADO],(Tabla3[NIVEL]=ASIGNACION!$C8)*(Tabla3[CARRERA]=ASIGNACION!$A8)*(Tabla3[ASIGNATURA]=ASIGNACION!$E8),"No existe información"))))</f>
        <v>No existe información</v>
      </c>
      <c r="G8" s="1"/>
      <c r="H8" cm="1">
        <f t="array" ref="H8">_xlfn.SINGLE(_xlfn.XLOOKUP(1,(T_ASIGNATURA1[ID_CARRERA]=Tabla1[[#This Row],[CARRERA]])*(T_ASIGNATURA1[NOM_ASIG]=Tabla1[[#This Row],[ASIGNATURA]])*(T_ASIGNATURA1[ID_NIVEL]=Tabla1[[#This Row],[NIVEL]]),T_ASIGNATURA1[HORAS],0))</f>
        <v>0</v>
      </c>
      <c r="J8">
        <f>+Tabla1[[#This Row],['# SEMANAS]]*Tabla1[[#This Row],[HORAS]]</f>
        <v>0</v>
      </c>
      <c r="N8" s="2">
        <f>+Tabla1[[#This Row],[H.INVESTIGACION]]+Tabla1[[#This Row],[H.ADI_02]]+Tabla1[[#This Row],[H.ADI_01]]+Tabla1[[#This Row],[HORAS_SEMANAS]]</f>
        <v>0</v>
      </c>
      <c r="O8" t="s">
        <v>22</v>
      </c>
      <c r="P8">
        <f t="shared" si="0"/>
        <v>97</v>
      </c>
      <c r="Q8">
        <f>_xlfn.XLOOKUP(Tabla1[[#This Row],[NOMBRE_DOCENT]],Tabla1__3[DATOS_DOCENTE],Tabla1__3[ID_DOCENTE])</f>
        <v>1311778698</v>
      </c>
    </row>
    <row r="9" spans="1:17" ht="31.5" customHeight="1">
      <c r="A9" t="s">
        <v>18</v>
      </c>
      <c r="B9" t="str">
        <f>_xlfn.XLOOKUP(Tabla1[[#This Row],[CARRERA]],T_CARREAS1[NOMBRE_CARRERA],T_CARREAS1[ID_CARRERA])</f>
        <v>2026-FCACC-2</v>
      </c>
      <c r="C9">
        <v>8</v>
      </c>
      <c r="E9" t="s">
        <v>34</v>
      </c>
      <c r="F9" s="1" t="str" cm="1">
        <f t="array" ref="F9">_xlfn.TEXTJOIN(", ",TRUE,TRANSPOSE(_xlfn.UNIQUE(_xlfn._xlws.FILTER(Tabla3[DETALLADO],(Tabla3[NIVEL]=ASIGNACION!$C9)*(Tabla3[CARRERA]=ASIGNACION!$A9)*(Tabla3[ASIGNATURA]=ASIGNACION!$E9),"No existe información"))))</f>
        <v>No existe información</v>
      </c>
      <c r="G9" s="1"/>
      <c r="H9" cm="1">
        <f t="array" ref="H9">_xlfn.SINGLE(_xlfn.XLOOKUP(1,(T_ASIGNATURA1[ID_CARRERA]=Tabla1[[#This Row],[CARRERA]])*(T_ASIGNATURA1[NOM_ASIG]=Tabla1[[#This Row],[ASIGNATURA]])*(T_ASIGNATURA1[ID_NIVEL]=Tabla1[[#This Row],[NIVEL]]),T_ASIGNATURA1[HORAS],0))</f>
        <v>0</v>
      </c>
      <c r="J9">
        <f>+Tabla1[[#This Row],['# SEMANAS]]*Tabla1[[#This Row],[HORAS]]</f>
        <v>0</v>
      </c>
      <c r="N9" s="2">
        <f>+Tabla1[[#This Row],[H.INVESTIGACION]]+Tabla1[[#This Row],[H.ADI_02]]+Tabla1[[#This Row],[H.ADI_01]]+Tabla1[[#This Row],[HORAS_SEMANAS]]</f>
        <v>0</v>
      </c>
      <c r="P9">
        <f t="shared" si="0"/>
        <v>0</v>
      </c>
      <c r="Q9" t="e">
        <f>_xlfn.XLOOKUP(Tabla1[[#This Row],[NOMBRE_DOCENT]],Tabla1__3[DATOS_DOCENTE],Tabla1__3[ID_DOCENTE])</f>
        <v>#N/A</v>
      </c>
    </row>
    <row r="10" spans="1:17" ht="31.5" customHeight="1">
      <c r="A10" t="s">
        <v>18</v>
      </c>
      <c r="B10" t="str">
        <f>_xlfn.XLOOKUP(Tabla1[[#This Row],[CARRERA]],T_CARREAS1[NOMBRE_CARRERA],T_CARREAS1[ID_CARRERA])</f>
        <v>2026-FCACC-2</v>
      </c>
      <c r="C10">
        <v>4</v>
      </c>
      <c r="E10" t="s">
        <v>35</v>
      </c>
      <c r="F10" s="1" t="str" cm="1">
        <f t="array" ref="F10">_xlfn.TEXTJOIN(", ",TRUE,TRANSPOSE(_xlfn.UNIQUE(_xlfn._xlws.FILTER(Tabla3[DETALLADO],(Tabla3[NIVEL]=ASIGNACION!$C10)*(Tabla3[CARRERA]=ASIGNACION!$A10)*(Tabla3[ASIGNATURA]=ASIGNACION!$E10),"No existe información"))))</f>
        <v>No existe información</v>
      </c>
      <c r="G10" s="1"/>
      <c r="H10" cm="1">
        <f t="array" ref="H10">_xlfn.SINGLE(_xlfn.XLOOKUP(1,(T_ASIGNATURA1[ID_CARRERA]=Tabla1[[#This Row],[CARRERA]])*(T_ASIGNATURA1[NOM_ASIG]=Tabla1[[#This Row],[ASIGNATURA]])*(T_ASIGNATURA1[ID_NIVEL]=Tabla1[[#This Row],[NIVEL]]),T_ASIGNATURA1[HORAS],0))</f>
        <v>0</v>
      </c>
      <c r="J10">
        <f>+Tabla1[[#This Row],['# SEMANAS]]*Tabla1[[#This Row],[HORAS]]</f>
        <v>0</v>
      </c>
      <c r="N10" s="2">
        <f>+Tabla1[[#This Row],[H.INVESTIGACION]]+Tabla1[[#This Row],[H.ADI_02]]+Tabla1[[#This Row],[H.ADI_01]]+Tabla1[[#This Row],[HORAS_SEMANAS]]</f>
        <v>0</v>
      </c>
      <c r="P10">
        <f t="shared" si="0"/>
        <v>0</v>
      </c>
      <c r="Q10" t="e">
        <f>_xlfn.XLOOKUP(Tabla1[[#This Row],[NOMBRE_DOCENT]],Tabla1__3[DATOS_DOCENTE],Tabla1__3[ID_DOCENTE])</f>
        <v>#N/A</v>
      </c>
    </row>
    <row r="11" spans="1:17" ht="31.5" customHeight="1">
      <c r="A11" t="s">
        <v>18</v>
      </c>
      <c r="B11" t="str">
        <f>_xlfn.XLOOKUP(Tabla1[[#This Row],[CARRERA]],T_CARREAS1[NOMBRE_CARRERA],T_CARREAS1[ID_CARRERA])</f>
        <v>2026-FCACC-2</v>
      </c>
      <c r="C11">
        <v>4</v>
      </c>
      <c r="E11" t="s">
        <v>36</v>
      </c>
      <c r="F11" s="1" t="str" cm="1">
        <f t="array" ref="F11">_xlfn.TEXTJOIN(", ",TRUE,TRANSPOSE(_xlfn.UNIQUE(_xlfn._xlws.FILTER(Tabla3[DETALLADO],(Tabla3[NIVEL]=ASIGNACION!$C11)*(Tabla3[CARRERA]=ASIGNACION!$A11)*(Tabla3[ASIGNATURA]=ASIGNACION!$E11),"No existe información"))))</f>
        <v>No existe información</v>
      </c>
      <c r="G11" s="1"/>
      <c r="H11" cm="1">
        <f t="array" ref="H11">_xlfn.SINGLE(_xlfn.XLOOKUP(1,(T_ASIGNATURA1[ID_CARRERA]=Tabla1[[#This Row],[CARRERA]])*(T_ASIGNATURA1[NOM_ASIG]=Tabla1[[#This Row],[ASIGNATURA]])*(T_ASIGNATURA1[ID_NIVEL]=Tabla1[[#This Row],[NIVEL]]),T_ASIGNATURA1[HORAS],0))</f>
        <v>0</v>
      </c>
      <c r="J11">
        <f>+Tabla1[[#This Row],['# SEMANAS]]*Tabla1[[#This Row],[HORAS]]</f>
        <v>0</v>
      </c>
      <c r="N11" s="2">
        <f>+Tabla1[[#This Row],[H.INVESTIGACION]]+Tabla1[[#This Row],[H.ADI_02]]+Tabla1[[#This Row],[H.ADI_01]]+Tabla1[[#This Row],[HORAS_SEMANAS]]</f>
        <v>0</v>
      </c>
      <c r="O11" t="s">
        <v>37</v>
      </c>
      <c r="P11">
        <f t="shared" si="0"/>
        <v>0</v>
      </c>
      <c r="Q11">
        <f>_xlfn.XLOOKUP(Tabla1[[#This Row],[NOMBRE_DOCENT]],Tabla1__3[DATOS_DOCENTE],Tabla1__3[ID_DOCENTE])</f>
        <v>1311778458</v>
      </c>
    </row>
    <row r="12" spans="1:17" ht="31.5" customHeight="1">
      <c r="A12" t="s">
        <v>18</v>
      </c>
      <c r="B12" t="str">
        <f>_xlfn.XLOOKUP(Tabla1[[#This Row],[CARRERA]],T_CARREAS1[NOMBRE_CARRERA],T_CARREAS1[ID_CARRERA])</f>
        <v>2026-FCACC-2</v>
      </c>
      <c r="C12">
        <v>8</v>
      </c>
      <c r="E12" t="s">
        <v>38</v>
      </c>
      <c r="F12" s="1" t="str" cm="1">
        <f t="array" ref="F12">_xlfn.TEXTJOIN(", ",TRUE,TRANSPOSE(_xlfn.UNIQUE(_xlfn._xlws.FILTER(Tabla3[DETALLADO],(Tabla3[NIVEL]=ASIGNACION!$C12)*(Tabla3[CARRERA]=ASIGNACION!$A12)*(Tabla3[ASIGNATURA]=ASIGNACION!$E12),"No existe información"))))</f>
        <v>No existe información</v>
      </c>
      <c r="G12" s="1"/>
      <c r="H12" cm="1">
        <f t="array" ref="H12">_xlfn.SINGLE(_xlfn.XLOOKUP(1,(T_ASIGNATURA1[ID_CARRERA]=Tabla1[[#This Row],[CARRERA]])*(T_ASIGNATURA1[NOM_ASIG]=Tabla1[[#This Row],[ASIGNATURA]])*(T_ASIGNATURA1[ID_NIVEL]=Tabla1[[#This Row],[NIVEL]]),T_ASIGNATURA1[HORAS],0))</f>
        <v>0</v>
      </c>
      <c r="J12">
        <f>+Tabla1[[#This Row],['# SEMANAS]]*Tabla1[[#This Row],[HORAS]]</f>
        <v>0</v>
      </c>
      <c r="N12" s="2">
        <f>+Tabla1[[#This Row],[H.INVESTIGACION]]+Tabla1[[#This Row],[H.ADI_02]]+Tabla1[[#This Row],[H.ADI_01]]+Tabla1[[#This Row],[HORAS_SEMANAS]]</f>
        <v>0</v>
      </c>
      <c r="P12">
        <f t="shared" si="0"/>
        <v>0</v>
      </c>
      <c r="Q12" t="e">
        <f>_xlfn.XLOOKUP(Tabla1[[#This Row],[NOMBRE_DOCENT]],Tabla1__3[DATOS_DOCENTE],Tabla1__3[ID_DOCENTE])</f>
        <v>#N/A</v>
      </c>
    </row>
    <row r="13" spans="1:17" ht="31.5" customHeight="1">
      <c r="A13" t="s">
        <v>18</v>
      </c>
      <c r="B13" t="str">
        <f>_xlfn.XLOOKUP(Tabla1[[#This Row],[CARRERA]],T_CARREAS1[NOMBRE_CARRERA],T_CARREAS1[ID_CARRERA])</f>
        <v>2026-FCACC-2</v>
      </c>
      <c r="C13">
        <v>2</v>
      </c>
      <c r="E13" t="s">
        <v>39</v>
      </c>
      <c r="F13" s="1" t="str" cm="1">
        <f t="array" ref="F13">_xlfn.TEXTJOIN(", ",TRUE,TRANSPOSE(_xlfn.UNIQUE(_xlfn._xlws.FILTER(Tabla3[DETALLADO],(Tabla3[NIVEL]=ASIGNACION!$C13)*(Tabla3[CARRERA]=ASIGNACION!$A13)*(Tabla3[ASIGNATURA]=ASIGNACION!$E13),"No existe información"))))</f>
        <v>No existe información</v>
      </c>
      <c r="G13" s="1"/>
      <c r="H13" cm="1">
        <f t="array" ref="H13">_xlfn.SINGLE(_xlfn.XLOOKUP(1,(T_ASIGNATURA1[ID_CARRERA]=Tabla1[[#This Row],[CARRERA]])*(T_ASIGNATURA1[NOM_ASIG]=Tabla1[[#This Row],[ASIGNATURA]])*(T_ASIGNATURA1[ID_NIVEL]=Tabla1[[#This Row],[NIVEL]]),T_ASIGNATURA1[HORAS],0))</f>
        <v>0</v>
      </c>
      <c r="J13">
        <f>+Tabla1[[#This Row],['# SEMANAS]]*Tabla1[[#This Row],[HORAS]]</f>
        <v>0</v>
      </c>
      <c r="N13" s="2">
        <f>+Tabla1[[#This Row],[H.INVESTIGACION]]+Tabla1[[#This Row],[H.ADI_02]]+Tabla1[[#This Row],[H.ADI_01]]+Tabla1[[#This Row],[HORAS_SEMANAS]]</f>
        <v>0</v>
      </c>
      <c r="P13">
        <f t="shared" si="0"/>
        <v>0</v>
      </c>
      <c r="Q13" t="e">
        <f>_xlfn.XLOOKUP(Tabla1[[#This Row],[NOMBRE_DOCENT]],Tabla1__3[DATOS_DOCENTE],Tabla1__3[ID_DOCENTE])</f>
        <v>#N/A</v>
      </c>
    </row>
    <row r="14" spans="1:17" ht="31.5" customHeight="1">
      <c r="A14" t="s">
        <v>18</v>
      </c>
      <c r="B14" t="str">
        <f>_xlfn.XLOOKUP(Tabla1[[#This Row],[CARRERA]],T_CARREAS1[NOMBRE_CARRERA],T_CARREAS1[ID_CARRERA])</f>
        <v>2026-FCACC-2</v>
      </c>
      <c r="C14">
        <v>1</v>
      </c>
      <c r="E14" t="s">
        <v>40</v>
      </c>
      <c r="F14" s="1" t="str" cm="1">
        <f t="array" ref="F14">_xlfn.TEXTJOIN(", ",TRUE,TRANSPOSE(_xlfn.UNIQUE(_xlfn._xlws.FILTER(Tabla3[DETALLADO],(Tabla3[NIVEL]=ASIGNACION!$C14)*(Tabla3[CARRERA]=ASIGNACION!$A14)*(Tabla3[ASIGNATURA]=ASIGNACION!$E14),"No existe información"))))</f>
        <v>No existe información</v>
      </c>
      <c r="G14" s="1"/>
      <c r="H14" cm="1">
        <f t="array" ref="H14">_xlfn.SINGLE(_xlfn.XLOOKUP(1,(T_ASIGNATURA1[ID_CARRERA]=Tabla1[[#This Row],[CARRERA]])*(T_ASIGNATURA1[NOM_ASIG]=Tabla1[[#This Row],[ASIGNATURA]])*(T_ASIGNATURA1[ID_NIVEL]=Tabla1[[#This Row],[NIVEL]]),T_ASIGNATURA1[HORAS],0))</f>
        <v>0</v>
      </c>
      <c r="J14">
        <f>+Tabla1[[#This Row],['# SEMANAS]]*Tabla1[[#This Row],[HORAS]]</f>
        <v>0</v>
      </c>
      <c r="N14" s="2">
        <f>+Tabla1[[#This Row],[H.INVESTIGACION]]+Tabla1[[#This Row],[H.ADI_02]]+Tabla1[[#This Row],[H.ADI_01]]+Tabla1[[#This Row],[HORAS_SEMANAS]]</f>
        <v>0</v>
      </c>
      <c r="P14">
        <f t="shared" si="0"/>
        <v>0</v>
      </c>
      <c r="Q14" t="e">
        <f>_xlfn.XLOOKUP(Tabla1[[#This Row],[NOMBRE_DOCENT]],Tabla1__3[DATOS_DOCENTE],Tabla1__3[ID_DOCENTE])</f>
        <v>#N/A</v>
      </c>
    </row>
    <row r="15" spans="1:17" ht="31.5" customHeight="1">
      <c r="A15" t="s">
        <v>18</v>
      </c>
      <c r="B15" t="str">
        <f>_xlfn.XLOOKUP(Tabla1[[#This Row],[CARRERA]],T_CARREAS1[NOMBRE_CARRERA],T_CARREAS1[ID_CARRERA])</f>
        <v>2026-FCACC-2</v>
      </c>
      <c r="F15" s="1" t="str" cm="1">
        <f t="array" ref="F15">_xlfn.TEXTJOIN(", ",TRUE,TRANSPOSE(_xlfn.UNIQUE(_xlfn._xlws.FILTER(Tabla3[DETALLADO],(Tabla3[NIVEL]=ASIGNACION!$C15)*(Tabla3[CARRERA]=ASIGNACION!$A15)*(Tabla3[ASIGNATURA]=ASIGNACION!$E15),"No existe información"))))</f>
        <v>No existe información</v>
      </c>
      <c r="G15" s="1"/>
      <c r="H15" cm="1">
        <f t="array" ref="H15">_xlfn.SINGLE(_xlfn.XLOOKUP(1,(T_ASIGNATURA1[ID_CARRERA]=Tabla1[[#This Row],[CARRERA]])*(T_ASIGNATURA1[NOM_ASIG]=Tabla1[[#This Row],[ASIGNATURA]])*(T_ASIGNATURA1[ID_NIVEL]=Tabla1[[#This Row],[NIVEL]]),T_ASIGNATURA1[HORAS],0))</f>
        <v>0</v>
      </c>
      <c r="J15">
        <f>+Tabla1[[#This Row],['# SEMANAS]]*Tabla1[[#This Row],[HORAS]]</f>
        <v>0</v>
      </c>
      <c r="N15" s="2">
        <f>+Tabla1[[#This Row],[H.INVESTIGACION]]+Tabla1[[#This Row],[H.ADI_02]]+Tabla1[[#This Row],[H.ADI_01]]+Tabla1[[#This Row],[HORAS_SEMANAS]]</f>
        <v>0</v>
      </c>
      <c r="P15">
        <f t="shared" si="0"/>
        <v>0</v>
      </c>
      <c r="Q15" t="e">
        <f>_xlfn.XLOOKUP(Tabla1[[#This Row],[NOMBRE_DOCENT]],Tabla1__3[DATOS_DOCENTE],Tabla1__3[ID_DOCENTE])</f>
        <v>#N/A</v>
      </c>
    </row>
    <row r="16" spans="1:17" ht="31.5" customHeight="1">
      <c r="A16" t="s">
        <v>18</v>
      </c>
      <c r="B16" t="str">
        <f>_xlfn.XLOOKUP(Tabla1[[#This Row],[CARRERA]],T_CARREAS1[NOMBRE_CARRERA],T_CARREAS1[ID_CARRERA])</f>
        <v>2026-FCACC-2</v>
      </c>
      <c r="F16" s="1" t="str" cm="1">
        <f t="array" ref="F16">_xlfn.TEXTJOIN(", ",TRUE,TRANSPOSE(_xlfn.UNIQUE(_xlfn._xlws.FILTER(Tabla3[DETALLADO],(Tabla3[NIVEL]=ASIGNACION!$C16)*(Tabla3[CARRERA]=ASIGNACION!$A16)*(Tabla3[ASIGNATURA]=ASIGNACION!$E16),"No existe información"))))</f>
        <v>No existe información</v>
      </c>
      <c r="G16" s="1"/>
      <c r="H16" cm="1">
        <f t="array" ref="H16">_xlfn.SINGLE(_xlfn.XLOOKUP(1,(T_ASIGNATURA1[ID_CARRERA]=Tabla1[[#This Row],[CARRERA]])*(T_ASIGNATURA1[NOM_ASIG]=Tabla1[[#This Row],[ASIGNATURA]])*(T_ASIGNATURA1[ID_NIVEL]=Tabla1[[#This Row],[NIVEL]]),T_ASIGNATURA1[HORAS],0))</f>
        <v>0</v>
      </c>
      <c r="J16">
        <f>+Tabla1[[#This Row],['# SEMANAS]]*Tabla1[[#This Row],[HORAS]]</f>
        <v>0</v>
      </c>
      <c r="N16" s="2">
        <f>+Tabla1[[#This Row],[H.INVESTIGACION]]+Tabla1[[#This Row],[H.ADI_02]]+Tabla1[[#This Row],[H.ADI_01]]+Tabla1[[#This Row],[HORAS_SEMANAS]]</f>
        <v>0</v>
      </c>
      <c r="P16">
        <f t="shared" si="0"/>
        <v>0</v>
      </c>
      <c r="Q16" t="e">
        <f>_xlfn.XLOOKUP(Tabla1[[#This Row],[NOMBRE_DOCENT]],Tabla1__3[DATOS_DOCENTE],Tabla1__3[ID_DOCENTE])</f>
        <v>#N/A</v>
      </c>
    </row>
    <row r="17" spans="1:17" ht="31.5" customHeight="1">
      <c r="A17" t="s">
        <v>18</v>
      </c>
      <c r="B17" t="str">
        <f>_xlfn.XLOOKUP(Tabla1[[#This Row],[CARRERA]],T_CARREAS1[NOMBRE_CARRERA],T_CARREAS1[ID_CARRERA])</f>
        <v>2026-FCACC-2</v>
      </c>
      <c r="F17" s="1" t="str" cm="1">
        <f t="array" ref="F17">_xlfn.TEXTJOIN(", ",TRUE,TRANSPOSE(_xlfn.UNIQUE(_xlfn._xlws.FILTER(Tabla3[DETALLADO],(Tabla3[NIVEL]=ASIGNACION!$C17)*(Tabla3[CARRERA]=ASIGNACION!$A17)*(Tabla3[ASIGNATURA]=ASIGNACION!$E17),"No existe información"))))</f>
        <v>No existe información</v>
      </c>
      <c r="G17" s="1"/>
      <c r="H17" cm="1">
        <f t="array" ref="H17">_xlfn.SINGLE(_xlfn.XLOOKUP(1,(T_ASIGNATURA1[ID_CARRERA]=Tabla1[[#This Row],[CARRERA]])*(T_ASIGNATURA1[NOM_ASIG]=Tabla1[[#This Row],[ASIGNATURA]])*(T_ASIGNATURA1[ID_NIVEL]=Tabla1[[#This Row],[NIVEL]]),T_ASIGNATURA1[HORAS],0))</f>
        <v>0</v>
      </c>
      <c r="J17">
        <f>+Tabla1[[#This Row],['# SEMANAS]]*Tabla1[[#This Row],[HORAS]]</f>
        <v>0</v>
      </c>
      <c r="N17" s="2">
        <f>+Tabla1[[#This Row],[H.INVESTIGACION]]+Tabla1[[#This Row],[H.ADI_02]]+Tabla1[[#This Row],[H.ADI_01]]+Tabla1[[#This Row],[HORAS_SEMANAS]]</f>
        <v>0</v>
      </c>
      <c r="P17">
        <f t="shared" si="0"/>
        <v>0</v>
      </c>
      <c r="Q17" t="e">
        <f>_xlfn.XLOOKUP(Tabla1[[#This Row],[NOMBRE_DOCENT]],Tabla1__3[DATOS_DOCENTE],Tabla1__3[ID_DOCENTE])</f>
        <v>#N/A</v>
      </c>
    </row>
    <row r="18" spans="1:17" ht="31.5" customHeight="1">
      <c r="A18" t="s">
        <v>18</v>
      </c>
      <c r="B18" t="str">
        <f>_xlfn.XLOOKUP(Tabla1[[#This Row],[CARRERA]],T_CARREAS1[NOMBRE_CARRERA],T_CARREAS1[ID_CARRERA])</f>
        <v>2026-FCACC-2</v>
      </c>
      <c r="F18" s="1" t="str" cm="1">
        <f t="array" ref="F18">_xlfn.TEXTJOIN(", ",TRUE,TRANSPOSE(_xlfn.UNIQUE(_xlfn._xlws.FILTER(Tabla3[DETALLADO],(Tabla3[NIVEL]=ASIGNACION!$C18)*(Tabla3[CARRERA]=ASIGNACION!$A18)*(Tabla3[ASIGNATURA]=ASIGNACION!$E18),"No existe información"))))</f>
        <v>No existe información</v>
      </c>
      <c r="G18" s="1"/>
      <c r="H18" cm="1">
        <f t="array" ref="H18">_xlfn.SINGLE(_xlfn.XLOOKUP(1,(T_ASIGNATURA1[ID_CARRERA]=Tabla1[[#This Row],[CARRERA]])*(T_ASIGNATURA1[NOM_ASIG]=Tabla1[[#This Row],[ASIGNATURA]])*(T_ASIGNATURA1[ID_NIVEL]=Tabla1[[#This Row],[NIVEL]]),T_ASIGNATURA1[HORAS],0))</f>
        <v>0</v>
      </c>
      <c r="J18">
        <f>+Tabla1[[#This Row],['# SEMANAS]]*Tabla1[[#This Row],[HORAS]]</f>
        <v>0</v>
      </c>
      <c r="N18" s="2">
        <f>+Tabla1[[#This Row],[H.INVESTIGACION]]+Tabla1[[#This Row],[H.ADI_02]]+Tabla1[[#This Row],[H.ADI_01]]+Tabla1[[#This Row],[HORAS_SEMANAS]]</f>
        <v>0</v>
      </c>
      <c r="P18">
        <f t="shared" si="0"/>
        <v>0</v>
      </c>
      <c r="Q18" t="e">
        <f>_xlfn.XLOOKUP(Tabla1[[#This Row],[NOMBRE_DOCENT]],Tabla1__3[DATOS_DOCENTE],Tabla1__3[ID_DOCENTE])</f>
        <v>#N/A</v>
      </c>
    </row>
    <row r="19" spans="1:17">
      <c r="A19" t="s">
        <v>18</v>
      </c>
      <c r="B19" s="6" t="str">
        <f>_xlfn.XLOOKUP(Tabla1[[#This Row],[CARRERA]],T_CARREAS1[NOMBRE_CARRERA],T_CARREAS1[ID_CARRERA])</f>
        <v>2026-FCACC-2</v>
      </c>
      <c r="C19" s="6" t="e" cm="1">
        <f t="array" aca="1" ref="C19" ca="1">INDIRECT(A19)</f>
        <v>#REF!</v>
      </c>
      <c r="F19" s="7" t="e" cm="1">
        <f t="array" aca="1" ref="F19" ca="1">_xlfn.TEXTJOIN(", ",TRUE,TRANSPOSE(_xlfn.UNIQUE(_xlfn._xlws.FILTER(Tabla3[DETALLADO],(Tabla3[NIVEL]=ASIGNACION!$C19)*(Tabla3[CARRERA]=ASIGNACION!$A19)*(Tabla3[ASIGNATURA]=ASIGNACION!$E19),"No existe información"))))</f>
        <v>#REF!</v>
      </c>
      <c r="G19" s="1"/>
      <c r="H19" s="6" cm="1">
        <f t="array" aca="1" ref="H19" ca="1">_xlfn.SINGLE(_xlfn.XLOOKUP(1,(T_ASIGNATURA1[ID_CARRERA]=Tabla1[[#This Row],[CARRERA]])*(T_ASIGNATURA1[NOM_ASIG]=Tabla1[[#This Row],[ASIGNATURA]])*(T_ASIGNATURA1[ID_NIVEL]=Tabla1[[#This Row],[NIVEL]]),T_ASIGNATURA1[HORAS],0))</f>
        <v>0</v>
      </c>
      <c r="J19" s="6">
        <f ca="1">+Tabla1[[#This Row],['# SEMANAS]]*Tabla1[[#This Row],[HORAS]]</f>
        <v>0</v>
      </c>
      <c r="N19" s="2">
        <f ca="1">+Tabla1[[#This Row],[H.INVESTIGACION]]+Tabla1[[#This Row],[H.ADI_02]]+Tabla1[[#This Row],[H.ADI_01]]+Tabla1[[#This Row],[HORAS_SEMANAS]]</f>
        <v>0</v>
      </c>
      <c r="P19" s="6">
        <f t="shared" ref="P19:P23" si="1">SUMIF($O:$O, O19, $N:$N)</f>
        <v>0</v>
      </c>
      <c r="Q19" s="6" t="e">
        <f>_xlfn.XLOOKUP(Tabla1[[#This Row],[NOMBRE_DOCENT]],Tabla1__3[DATOS_DOCENTE],Tabla1__3[ID_DOCENTE])</f>
        <v>#N/A</v>
      </c>
    </row>
    <row r="20" spans="1:17">
      <c r="A20" t="s">
        <v>18</v>
      </c>
      <c r="B20" s="6" t="str">
        <f>_xlfn.XLOOKUP(Tabla1[[#This Row],[CARRERA]],T_CARREAS1[NOMBRE_CARRERA],T_CARREAS1[ID_CARRERA])</f>
        <v>2026-FCACC-2</v>
      </c>
      <c r="C20" s="6" t="e" cm="1">
        <f t="array" aca="1" ref="C20" ca="1">INDIRECT(A20)</f>
        <v>#REF!</v>
      </c>
      <c r="F20" s="7" t="e" cm="1">
        <f t="array" aca="1" ref="F20" ca="1">_xlfn.TEXTJOIN(", ",TRUE,TRANSPOSE(_xlfn.UNIQUE(_xlfn._xlws.FILTER(Tabla3[DETALLADO],(Tabla3[NIVEL]=ASIGNACION!$C20)*(Tabla3[CARRERA]=ASIGNACION!$A20)*(Tabla3[ASIGNATURA]=ASIGNACION!$E20),"No existe información"))))</f>
        <v>#REF!</v>
      </c>
      <c r="G20" s="1"/>
      <c r="H20" s="6" cm="1">
        <f t="array" aca="1" ref="H20" ca="1">_xlfn.SINGLE(_xlfn.XLOOKUP(1,(T_ASIGNATURA1[ID_CARRERA]=Tabla1[[#This Row],[CARRERA]])*(T_ASIGNATURA1[NOM_ASIG]=Tabla1[[#This Row],[ASIGNATURA]])*(T_ASIGNATURA1[ID_NIVEL]=Tabla1[[#This Row],[NIVEL]]),T_ASIGNATURA1[HORAS],0))</f>
        <v>0</v>
      </c>
      <c r="J20" s="6">
        <f ca="1">+Tabla1[[#This Row],['# SEMANAS]]*Tabla1[[#This Row],[HORAS]]</f>
        <v>0</v>
      </c>
      <c r="N20" s="2">
        <f ca="1">+Tabla1[[#This Row],[H.INVESTIGACION]]+Tabla1[[#This Row],[H.ADI_02]]+Tabla1[[#This Row],[H.ADI_01]]+Tabla1[[#This Row],[HORAS_SEMANAS]]</f>
        <v>0</v>
      </c>
      <c r="P20" s="6">
        <f t="shared" si="1"/>
        <v>0</v>
      </c>
      <c r="Q20" s="6" t="e">
        <f>_xlfn.XLOOKUP(Tabla1[[#This Row],[NOMBRE_DOCENT]],Tabla1__3[DATOS_DOCENTE],Tabla1__3[ID_DOCENTE])</f>
        <v>#N/A</v>
      </c>
    </row>
    <row r="21" spans="1:17">
      <c r="A21" t="s">
        <v>18</v>
      </c>
      <c r="B21" s="6" t="str">
        <f>_xlfn.XLOOKUP(Tabla1[[#This Row],[CARRERA]],T_CARREAS1[NOMBRE_CARRERA],T_CARREAS1[ID_CARRERA])</f>
        <v>2026-FCACC-2</v>
      </c>
      <c r="C21" s="6" t="e" cm="1">
        <f t="array" aca="1" ref="C21" ca="1">INDIRECT(A21)</f>
        <v>#REF!</v>
      </c>
      <c r="F21" s="7" t="e" cm="1">
        <f t="array" aca="1" ref="F21" ca="1">_xlfn.TEXTJOIN(", ",TRUE,TRANSPOSE(_xlfn.UNIQUE(_xlfn._xlws.FILTER(Tabla3[DETALLADO],(Tabla3[NIVEL]=ASIGNACION!$C21)*(Tabla3[CARRERA]=ASIGNACION!$A21)*(Tabla3[ASIGNATURA]=ASIGNACION!$E21),"No existe información"))))</f>
        <v>#REF!</v>
      </c>
      <c r="G21" s="1"/>
      <c r="H21" s="6" cm="1">
        <f t="array" aca="1" ref="H21" ca="1">_xlfn.SINGLE(_xlfn.XLOOKUP(1,(T_ASIGNATURA1[ID_CARRERA]=Tabla1[[#This Row],[CARRERA]])*(T_ASIGNATURA1[NOM_ASIG]=Tabla1[[#This Row],[ASIGNATURA]])*(T_ASIGNATURA1[ID_NIVEL]=Tabla1[[#This Row],[NIVEL]]),T_ASIGNATURA1[HORAS],0))</f>
        <v>0</v>
      </c>
      <c r="J21" s="6">
        <f ca="1">+Tabla1[[#This Row],['# SEMANAS]]*Tabla1[[#This Row],[HORAS]]</f>
        <v>0</v>
      </c>
      <c r="N21" s="2">
        <f ca="1">+Tabla1[[#This Row],[H.INVESTIGACION]]+Tabla1[[#This Row],[H.ADI_02]]+Tabla1[[#This Row],[H.ADI_01]]+Tabla1[[#This Row],[HORAS_SEMANAS]]</f>
        <v>0</v>
      </c>
      <c r="P21" s="6">
        <f t="shared" si="1"/>
        <v>0</v>
      </c>
      <c r="Q21" s="6" t="e">
        <f>_xlfn.XLOOKUP(Tabla1[[#This Row],[NOMBRE_DOCENT]],Tabla1__3[DATOS_DOCENTE],Tabla1__3[ID_DOCENTE])</f>
        <v>#N/A</v>
      </c>
    </row>
    <row r="22" spans="1:17">
      <c r="A22" t="s">
        <v>18</v>
      </c>
      <c r="B22" s="6" t="str">
        <f>_xlfn.XLOOKUP(Tabla1[[#This Row],[CARRERA]],T_CARREAS1[NOMBRE_CARRERA],T_CARREAS1[ID_CARRERA])</f>
        <v>2026-FCACC-2</v>
      </c>
      <c r="C22" s="6" t="e" cm="1">
        <f t="array" aca="1" ref="C22" ca="1">INDIRECT(A22)</f>
        <v>#REF!</v>
      </c>
      <c r="F22" s="7" t="e" cm="1">
        <f t="array" aca="1" ref="F22" ca="1">_xlfn.TEXTJOIN(", ",TRUE,TRANSPOSE(_xlfn.UNIQUE(_xlfn._xlws.FILTER(Tabla3[DETALLADO],(Tabla3[NIVEL]=ASIGNACION!$C22)*(Tabla3[CARRERA]=ASIGNACION!$A22)*(Tabla3[ASIGNATURA]=ASIGNACION!$E22),"No existe información"))))</f>
        <v>#REF!</v>
      </c>
      <c r="G22" s="1"/>
      <c r="H22" s="6" cm="1">
        <f t="array" aca="1" ref="H22" ca="1">_xlfn.SINGLE(_xlfn.XLOOKUP(1,(T_ASIGNATURA1[ID_CARRERA]=Tabla1[[#This Row],[CARRERA]])*(T_ASIGNATURA1[NOM_ASIG]=Tabla1[[#This Row],[ASIGNATURA]])*(T_ASIGNATURA1[ID_NIVEL]=Tabla1[[#This Row],[NIVEL]]),T_ASIGNATURA1[HORAS],0))</f>
        <v>0</v>
      </c>
      <c r="J22" s="6">
        <f ca="1">+Tabla1[[#This Row],['# SEMANAS]]*Tabla1[[#This Row],[HORAS]]</f>
        <v>0</v>
      </c>
      <c r="N22" s="2">
        <f ca="1">+Tabla1[[#This Row],[H.INVESTIGACION]]+Tabla1[[#This Row],[H.ADI_02]]+Tabla1[[#This Row],[H.ADI_01]]+Tabla1[[#This Row],[HORAS_SEMANAS]]</f>
        <v>0</v>
      </c>
      <c r="P22" s="6">
        <f t="shared" si="1"/>
        <v>0</v>
      </c>
      <c r="Q22" s="6" t="e">
        <f>_xlfn.XLOOKUP(Tabla1[[#This Row],[NOMBRE_DOCENT]],Tabla1__3[DATOS_DOCENTE],Tabla1__3[ID_DOCENTE])</f>
        <v>#N/A</v>
      </c>
    </row>
    <row r="23" spans="1:17">
      <c r="A23" t="s">
        <v>18</v>
      </c>
      <c r="B23" s="6" t="str">
        <f>_xlfn.XLOOKUP(Tabla1[[#This Row],[CARRERA]],T_CARREAS1[NOMBRE_CARRERA],T_CARREAS1[ID_CARRERA])</f>
        <v>2026-FCACC-2</v>
      </c>
      <c r="C23" s="6" t="e" cm="1">
        <f t="array" aca="1" ref="C23" ca="1">INDIRECT(A23)</f>
        <v>#REF!</v>
      </c>
      <c r="F23" s="7" t="e" cm="1">
        <f t="array" aca="1" ref="F23" ca="1">_xlfn.TEXTJOIN(", ",TRUE,TRANSPOSE(_xlfn.UNIQUE(_xlfn._xlws.FILTER(Tabla3[DETALLADO],(Tabla3[NIVEL]=ASIGNACION!$C23)*(Tabla3[CARRERA]=ASIGNACION!$A23)*(Tabla3[ASIGNATURA]=ASIGNACION!$E23),"No existe información"))))</f>
        <v>#REF!</v>
      </c>
      <c r="G23" s="1"/>
      <c r="H23" s="6" cm="1">
        <f t="array" aca="1" ref="H23" ca="1">_xlfn.SINGLE(_xlfn.XLOOKUP(1,(T_ASIGNATURA1[ID_CARRERA]=Tabla1[[#This Row],[CARRERA]])*(T_ASIGNATURA1[NOM_ASIG]=Tabla1[[#This Row],[ASIGNATURA]])*(T_ASIGNATURA1[ID_NIVEL]=Tabla1[[#This Row],[NIVEL]]),T_ASIGNATURA1[HORAS],0))</f>
        <v>0</v>
      </c>
      <c r="J23" s="6">
        <f ca="1">+Tabla1[[#This Row],['# SEMANAS]]*Tabla1[[#This Row],[HORAS]]</f>
        <v>0</v>
      </c>
      <c r="N23" s="2">
        <f ca="1">+Tabla1[[#This Row],[H.INVESTIGACION]]+Tabla1[[#This Row],[H.ADI_02]]+Tabla1[[#This Row],[H.ADI_01]]+Tabla1[[#This Row],[HORAS_SEMANAS]]</f>
        <v>0</v>
      </c>
      <c r="P23" s="6">
        <f t="shared" si="1"/>
        <v>0</v>
      </c>
      <c r="Q23" s="6" t="e">
        <f>_xlfn.XLOOKUP(Tabla1[[#This Row],[NOMBRE_DOCENT]],Tabla1__3[DATOS_DOCENTE],Tabla1__3[ID_DOCENTE])</f>
        <v>#N/A</v>
      </c>
    </row>
  </sheetData>
  <phoneticPr fontId="1" type="noConversion"/>
  <conditionalFormatting sqref="E1:E1048576">
    <cfRule type="duplicateValues" dxfId="11" priority="1"/>
  </conditionalFormatting>
  <dataValidations count="3">
    <dataValidation allowBlank="1" showInputMessage="1" showErrorMessage="1" sqref="B2:B13 P2:P23 F2:F23" xr:uid="{BAED3D1D-ECC9-447B-AACD-2497E581FB4F}"/>
    <dataValidation type="list" allowBlank="1" showInputMessage="1" showErrorMessage="1" sqref="B14" xr:uid="{2D0118F8-C506-43D4-B27F-CC68B1E1B739}">
      <formula1>#REF!</formula1>
    </dataValidation>
    <dataValidation type="list" allowBlank="1" showInputMessage="1" showErrorMessage="1" sqref="G2:G23" xr:uid="{2D27AB52-F2E4-43B1-BD0D-A454D1F81E16}">
      <formula1>"SI,NO"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AF5A83D-54D7-4B0C-9FFE-28F08A32F4B9}">
          <x14:formula1>
            <xm:f>T_CARREAS1!$B$2:$B$100</xm:f>
          </x14:formula1>
          <xm:sqref>A2:A23</xm:sqref>
        </x14:dataValidation>
        <x14:dataValidation type="list" allowBlank="1" showInputMessage="1" showErrorMessage="1" xr:uid="{25B791D9-CCA0-4971-9869-B0020FCED333}">
          <x14:formula1>
            <xm:f>_xlfn.ANCHORARRAY(Hoja1!$EA2)</xm:f>
          </x14:formula1>
          <xm:sqref>O2:O23</xm:sqref>
        </x14:dataValidation>
        <x14:dataValidation type="list" allowBlank="1" showInputMessage="1" showErrorMessage="1" xr:uid="{03536112-DD1E-4759-8044-03E4AE57BF14}">
          <x14:formula1>
            <xm:f>_xlfn.ANCHORARRAY(Hoja1!$S2)</xm:f>
          </x14:formula1>
          <xm:sqref>E2:E23</xm:sqref>
        </x14:dataValidation>
        <x14:dataValidation type="list" allowBlank="1" showInputMessage="1" showErrorMessage="1" xr:uid="{D31F128D-BF3B-44DF-9F98-5C2680D0494A}">
          <x14:formula1>
            <xm:f>_xlfn.ANCHORARRAY(Hoja1!$A2)</xm:f>
          </x14:formula1>
          <xm:sqref>C2:C23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E2DC-2077-499C-8862-5DC300277226}">
  <dimension ref="A1:B10"/>
  <sheetViews>
    <sheetView workbookViewId="0">
      <selection activeCell="A2" sqref="A2"/>
    </sheetView>
  </sheetViews>
  <sheetFormatPr defaultColWidth="9.140625" defaultRowHeight="15"/>
  <cols>
    <col min="1" max="1" width="14.5703125" bestFit="1" customWidth="1"/>
    <col min="2" max="2" width="42.85546875" bestFit="1" customWidth="1"/>
  </cols>
  <sheetData>
    <row r="1" spans="1:2">
      <c r="A1" t="s">
        <v>2</v>
      </c>
      <c r="B1" t="s">
        <v>41</v>
      </c>
    </row>
    <row r="2" spans="1:2">
      <c r="A2" t="s">
        <v>42</v>
      </c>
      <c r="B2" t="s">
        <v>43</v>
      </c>
    </row>
    <row r="3" spans="1:2">
      <c r="A3" t="s">
        <v>44</v>
      </c>
      <c r="B3" t="s">
        <v>18</v>
      </c>
    </row>
    <row r="4" spans="1:2">
      <c r="A4" t="s">
        <v>45</v>
      </c>
      <c r="B4" t="s">
        <v>46</v>
      </c>
    </row>
    <row r="5" spans="1:2">
      <c r="A5" t="s">
        <v>47</v>
      </c>
      <c r="B5" t="s">
        <v>48</v>
      </c>
    </row>
    <row r="6" spans="1:2">
      <c r="A6" t="s">
        <v>49</v>
      </c>
      <c r="B6" t="s">
        <v>50</v>
      </c>
    </row>
    <row r="7" spans="1:2">
      <c r="A7" t="s">
        <v>51</v>
      </c>
      <c r="B7" t="s">
        <v>52</v>
      </c>
    </row>
    <row r="8" spans="1:2">
      <c r="A8" t="s">
        <v>53</v>
      </c>
      <c r="B8" t="s">
        <v>54</v>
      </c>
    </row>
    <row r="9" spans="1:2">
      <c r="A9" t="s">
        <v>55</v>
      </c>
      <c r="B9" t="s">
        <v>56</v>
      </c>
    </row>
    <row r="10" spans="1:2">
      <c r="A10" t="s">
        <v>57</v>
      </c>
      <c r="B10" t="s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3359-441E-47BB-AC5D-7B955F744EC5}">
  <dimension ref="A1:E319"/>
  <sheetViews>
    <sheetView workbookViewId="0">
      <selection activeCell="C22" sqref="C22"/>
    </sheetView>
  </sheetViews>
  <sheetFormatPr defaultColWidth="9.140625" defaultRowHeight="15"/>
  <cols>
    <col min="1" max="1" width="18.140625" bestFit="1" customWidth="1"/>
    <col min="2" max="2" width="80.7109375" bestFit="1" customWidth="1"/>
    <col min="3" max="3" width="9.42578125" bestFit="1" customWidth="1"/>
    <col min="4" max="4" width="42.85546875" bestFit="1" customWidth="1"/>
    <col min="5" max="5" width="11.28515625" bestFit="1" customWidth="1"/>
  </cols>
  <sheetData>
    <row r="1" spans="1:5">
      <c r="A1" t="s">
        <v>59</v>
      </c>
      <c r="B1" t="s">
        <v>60</v>
      </c>
      <c r="C1" t="s">
        <v>8</v>
      </c>
      <c r="D1" t="s">
        <v>2</v>
      </c>
      <c r="E1" t="s">
        <v>61</v>
      </c>
    </row>
    <row r="2" spans="1:5">
      <c r="A2" t="s">
        <v>62</v>
      </c>
      <c r="B2" t="s">
        <v>63</v>
      </c>
      <c r="C2">
        <v>5</v>
      </c>
      <c r="D2" t="s">
        <v>43</v>
      </c>
      <c r="E2">
        <v>8</v>
      </c>
    </row>
    <row r="3" spans="1:5">
      <c r="A3" t="s">
        <v>64</v>
      </c>
      <c r="B3" t="s">
        <v>65</v>
      </c>
      <c r="C3">
        <v>5</v>
      </c>
      <c r="D3" t="s">
        <v>43</v>
      </c>
      <c r="E3">
        <v>8</v>
      </c>
    </row>
    <row r="4" spans="1:5">
      <c r="A4" t="s">
        <v>66</v>
      </c>
      <c r="B4" t="s">
        <v>67</v>
      </c>
      <c r="C4">
        <v>5</v>
      </c>
      <c r="D4" t="s">
        <v>43</v>
      </c>
      <c r="E4">
        <v>8</v>
      </c>
    </row>
    <row r="5" spans="1:5">
      <c r="A5" t="s">
        <v>68</v>
      </c>
      <c r="B5" t="s">
        <v>69</v>
      </c>
      <c r="C5">
        <v>5</v>
      </c>
      <c r="D5" t="s">
        <v>43</v>
      </c>
      <c r="E5">
        <v>8</v>
      </c>
    </row>
    <row r="6" spans="1:5">
      <c r="A6" t="s">
        <v>70</v>
      </c>
      <c r="B6" t="s">
        <v>71</v>
      </c>
      <c r="C6">
        <v>5</v>
      </c>
      <c r="D6" t="s">
        <v>43</v>
      </c>
      <c r="E6">
        <v>7</v>
      </c>
    </row>
    <row r="7" spans="1:5">
      <c r="A7" t="s">
        <v>72</v>
      </c>
      <c r="B7" t="s">
        <v>73</v>
      </c>
      <c r="C7">
        <v>5</v>
      </c>
      <c r="D7" t="s">
        <v>43</v>
      </c>
      <c r="E7">
        <v>7</v>
      </c>
    </row>
    <row r="8" spans="1:5">
      <c r="A8" t="s">
        <v>74</v>
      </c>
      <c r="B8" t="s">
        <v>75</v>
      </c>
      <c r="C8">
        <v>5</v>
      </c>
      <c r="D8" t="s">
        <v>43</v>
      </c>
      <c r="E8">
        <v>7</v>
      </c>
    </row>
    <row r="9" spans="1:5">
      <c r="A9" t="s">
        <v>76</v>
      </c>
      <c r="B9" t="s">
        <v>77</v>
      </c>
      <c r="C9">
        <v>5</v>
      </c>
      <c r="D9" t="s">
        <v>43</v>
      </c>
      <c r="E9">
        <v>7</v>
      </c>
    </row>
    <row r="10" spans="1:5">
      <c r="A10" t="s">
        <v>78</v>
      </c>
      <c r="B10" t="s">
        <v>79</v>
      </c>
      <c r="C10">
        <v>4</v>
      </c>
      <c r="D10" t="s">
        <v>43</v>
      </c>
      <c r="E10">
        <v>6</v>
      </c>
    </row>
    <row r="11" spans="1:5">
      <c r="A11" t="s">
        <v>80</v>
      </c>
      <c r="B11" t="s">
        <v>81</v>
      </c>
      <c r="C11">
        <v>4</v>
      </c>
      <c r="D11" t="s">
        <v>43</v>
      </c>
      <c r="E11">
        <v>6</v>
      </c>
    </row>
    <row r="12" spans="1:5">
      <c r="A12" t="s">
        <v>82</v>
      </c>
      <c r="B12" t="s">
        <v>83</v>
      </c>
      <c r="C12">
        <v>4</v>
      </c>
      <c r="D12" t="s">
        <v>43</v>
      </c>
      <c r="E12">
        <v>6</v>
      </c>
    </row>
    <row r="13" spans="1:5">
      <c r="A13" t="s">
        <v>84</v>
      </c>
      <c r="B13" t="s">
        <v>85</v>
      </c>
      <c r="C13">
        <v>4</v>
      </c>
      <c r="D13" t="s">
        <v>43</v>
      </c>
      <c r="E13">
        <v>6</v>
      </c>
    </row>
    <row r="14" spans="1:5">
      <c r="A14" t="s">
        <v>86</v>
      </c>
      <c r="B14" t="s">
        <v>87</v>
      </c>
      <c r="C14">
        <v>4</v>
      </c>
      <c r="D14" t="s">
        <v>43</v>
      </c>
      <c r="E14">
        <v>6</v>
      </c>
    </row>
    <row r="15" spans="1:5">
      <c r="A15" t="s">
        <v>88</v>
      </c>
      <c r="B15" t="s">
        <v>89</v>
      </c>
      <c r="C15">
        <v>4</v>
      </c>
      <c r="D15" t="s">
        <v>43</v>
      </c>
      <c r="E15">
        <v>5</v>
      </c>
    </row>
    <row r="16" spans="1:5">
      <c r="A16" t="s">
        <v>90</v>
      </c>
      <c r="B16" t="s">
        <v>91</v>
      </c>
      <c r="C16">
        <v>4</v>
      </c>
      <c r="D16" t="s">
        <v>43</v>
      </c>
      <c r="E16">
        <v>5</v>
      </c>
    </row>
    <row r="17" spans="1:5">
      <c r="A17" t="s">
        <v>92</v>
      </c>
      <c r="B17" t="s">
        <v>93</v>
      </c>
      <c r="C17">
        <v>4</v>
      </c>
      <c r="D17" t="s">
        <v>43</v>
      </c>
      <c r="E17">
        <v>5</v>
      </c>
    </row>
    <row r="18" spans="1:5">
      <c r="A18" t="s">
        <v>94</v>
      </c>
      <c r="B18" t="s">
        <v>95</v>
      </c>
      <c r="C18">
        <v>4</v>
      </c>
      <c r="D18" t="s">
        <v>43</v>
      </c>
      <c r="E18">
        <v>5</v>
      </c>
    </row>
    <row r="19" spans="1:5">
      <c r="A19" t="s">
        <v>96</v>
      </c>
      <c r="B19" t="s">
        <v>97</v>
      </c>
      <c r="C19">
        <v>4</v>
      </c>
      <c r="D19" t="s">
        <v>43</v>
      </c>
      <c r="E19">
        <v>5</v>
      </c>
    </row>
    <row r="20" spans="1:5">
      <c r="A20" t="s">
        <v>98</v>
      </c>
      <c r="B20" t="s">
        <v>99</v>
      </c>
      <c r="C20">
        <v>4</v>
      </c>
      <c r="D20" t="s">
        <v>43</v>
      </c>
      <c r="E20">
        <v>4</v>
      </c>
    </row>
    <row r="21" spans="1:5">
      <c r="A21" t="s">
        <v>100</v>
      </c>
      <c r="B21" t="s">
        <v>101</v>
      </c>
      <c r="C21">
        <v>4</v>
      </c>
      <c r="D21" t="s">
        <v>43</v>
      </c>
      <c r="E21">
        <v>4</v>
      </c>
    </row>
    <row r="22" spans="1:5">
      <c r="A22" t="s">
        <v>102</v>
      </c>
      <c r="B22" t="s">
        <v>28</v>
      </c>
      <c r="C22">
        <v>4</v>
      </c>
      <c r="D22" t="s">
        <v>43</v>
      </c>
      <c r="E22">
        <v>4</v>
      </c>
    </row>
    <row r="23" spans="1:5">
      <c r="A23" t="s">
        <v>103</v>
      </c>
      <c r="B23" t="s">
        <v>104</v>
      </c>
      <c r="C23">
        <v>4</v>
      </c>
      <c r="D23" t="s">
        <v>43</v>
      </c>
      <c r="E23">
        <v>4</v>
      </c>
    </row>
    <row r="24" spans="1:5">
      <c r="A24" t="s">
        <v>105</v>
      </c>
      <c r="B24" t="s">
        <v>106</v>
      </c>
      <c r="C24">
        <v>4</v>
      </c>
      <c r="D24" t="s">
        <v>43</v>
      </c>
      <c r="E24">
        <v>4</v>
      </c>
    </row>
    <row r="25" spans="1:5">
      <c r="A25" t="s">
        <v>107</v>
      </c>
      <c r="B25" t="s">
        <v>108</v>
      </c>
      <c r="C25">
        <v>3</v>
      </c>
      <c r="D25" t="s">
        <v>43</v>
      </c>
      <c r="E25">
        <v>3</v>
      </c>
    </row>
    <row r="26" spans="1:5">
      <c r="A26" t="s">
        <v>109</v>
      </c>
      <c r="B26" t="s">
        <v>110</v>
      </c>
      <c r="C26">
        <v>3</v>
      </c>
      <c r="D26" t="s">
        <v>43</v>
      </c>
      <c r="E26">
        <v>3</v>
      </c>
    </row>
    <row r="27" spans="1:5">
      <c r="A27" t="s">
        <v>111</v>
      </c>
      <c r="B27" t="s">
        <v>112</v>
      </c>
      <c r="C27">
        <v>3</v>
      </c>
      <c r="D27" t="s">
        <v>43</v>
      </c>
      <c r="E27">
        <v>3</v>
      </c>
    </row>
    <row r="28" spans="1:5">
      <c r="A28" t="s">
        <v>113</v>
      </c>
      <c r="B28" t="s">
        <v>114</v>
      </c>
      <c r="C28">
        <v>4</v>
      </c>
      <c r="D28" t="s">
        <v>43</v>
      </c>
      <c r="E28">
        <v>3</v>
      </c>
    </row>
    <row r="29" spans="1:5">
      <c r="A29" t="s">
        <v>115</v>
      </c>
      <c r="B29" t="s">
        <v>116</v>
      </c>
      <c r="C29">
        <v>3</v>
      </c>
      <c r="D29" t="s">
        <v>43</v>
      </c>
      <c r="E29">
        <v>3</v>
      </c>
    </row>
    <row r="30" spans="1:5">
      <c r="A30" t="s">
        <v>117</v>
      </c>
      <c r="B30" t="s">
        <v>118</v>
      </c>
      <c r="C30">
        <v>4</v>
      </c>
      <c r="D30" t="s">
        <v>43</v>
      </c>
      <c r="E30">
        <v>3</v>
      </c>
    </row>
    <row r="31" spans="1:5">
      <c r="A31" t="s">
        <v>119</v>
      </c>
      <c r="B31" t="s">
        <v>120</v>
      </c>
      <c r="C31">
        <v>3</v>
      </c>
      <c r="D31" t="s">
        <v>43</v>
      </c>
      <c r="E31">
        <v>2</v>
      </c>
    </row>
    <row r="32" spans="1:5">
      <c r="A32" t="s">
        <v>121</v>
      </c>
      <c r="B32" t="s">
        <v>122</v>
      </c>
      <c r="C32">
        <v>3</v>
      </c>
      <c r="D32" t="s">
        <v>43</v>
      </c>
      <c r="E32">
        <v>2</v>
      </c>
    </row>
    <row r="33" spans="1:5">
      <c r="A33" t="s">
        <v>123</v>
      </c>
      <c r="B33" t="s">
        <v>124</v>
      </c>
      <c r="C33">
        <v>3</v>
      </c>
      <c r="D33" t="s">
        <v>43</v>
      </c>
      <c r="E33">
        <v>2</v>
      </c>
    </row>
    <row r="34" spans="1:5">
      <c r="A34" t="s">
        <v>125</v>
      </c>
      <c r="B34" t="s">
        <v>39</v>
      </c>
      <c r="C34">
        <v>4</v>
      </c>
      <c r="D34" t="s">
        <v>43</v>
      </c>
      <c r="E34">
        <v>2</v>
      </c>
    </row>
    <row r="35" spans="1:5">
      <c r="A35" t="s">
        <v>126</v>
      </c>
      <c r="B35" t="s">
        <v>127</v>
      </c>
      <c r="C35">
        <v>4</v>
      </c>
      <c r="D35" t="s">
        <v>43</v>
      </c>
      <c r="E35">
        <v>2</v>
      </c>
    </row>
    <row r="36" spans="1:5">
      <c r="A36" t="s">
        <v>128</v>
      </c>
      <c r="B36" t="s">
        <v>129</v>
      </c>
      <c r="C36">
        <v>3</v>
      </c>
      <c r="D36" t="s">
        <v>43</v>
      </c>
      <c r="E36">
        <v>2</v>
      </c>
    </row>
    <row r="37" spans="1:5">
      <c r="A37" t="s">
        <v>130</v>
      </c>
      <c r="B37" t="s">
        <v>131</v>
      </c>
      <c r="C37">
        <v>4</v>
      </c>
      <c r="D37" t="s">
        <v>43</v>
      </c>
      <c r="E37">
        <v>1</v>
      </c>
    </row>
    <row r="38" spans="1:5">
      <c r="A38" t="s">
        <v>132</v>
      </c>
      <c r="B38" t="s">
        <v>133</v>
      </c>
      <c r="C38">
        <v>4</v>
      </c>
      <c r="D38" t="s">
        <v>43</v>
      </c>
      <c r="E38">
        <v>1</v>
      </c>
    </row>
    <row r="39" spans="1:5">
      <c r="A39" t="s">
        <v>134</v>
      </c>
      <c r="B39" t="s">
        <v>135</v>
      </c>
      <c r="C39">
        <v>4</v>
      </c>
      <c r="D39" t="s">
        <v>43</v>
      </c>
      <c r="E39">
        <v>1</v>
      </c>
    </row>
    <row r="40" spans="1:5">
      <c r="A40" t="s">
        <v>136</v>
      </c>
      <c r="B40" t="s">
        <v>137</v>
      </c>
      <c r="C40">
        <v>4</v>
      </c>
      <c r="D40" t="s">
        <v>43</v>
      </c>
      <c r="E40">
        <v>1</v>
      </c>
    </row>
    <row r="41" spans="1:5">
      <c r="A41" t="s">
        <v>138</v>
      </c>
      <c r="B41" t="s">
        <v>139</v>
      </c>
      <c r="C41">
        <v>4</v>
      </c>
      <c r="D41" t="s">
        <v>43</v>
      </c>
      <c r="E41">
        <v>1</v>
      </c>
    </row>
    <row r="42" spans="1:5">
      <c r="A42" t="s">
        <v>140</v>
      </c>
      <c r="B42" t="s">
        <v>141</v>
      </c>
      <c r="C42">
        <v>3</v>
      </c>
      <c r="D42" t="s">
        <v>18</v>
      </c>
      <c r="E42">
        <v>8</v>
      </c>
    </row>
    <row r="43" spans="1:5">
      <c r="A43" t="s">
        <v>142</v>
      </c>
      <c r="B43" t="s">
        <v>143</v>
      </c>
      <c r="C43">
        <v>4</v>
      </c>
      <c r="D43" t="s">
        <v>18</v>
      </c>
      <c r="E43">
        <v>8</v>
      </c>
    </row>
    <row r="44" spans="1:5">
      <c r="A44" t="s">
        <v>144</v>
      </c>
      <c r="B44" t="s">
        <v>145</v>
      </c>
      <c r="C44">
        <v>4</v>
      </c>
      <c r="D44" t="s">
        <v>18</v>
      </c>
      <c r="E44">
        <v>8</v>
      </c>
    </row>
    <row r="45" spans="1:5">
      <c r="A45" t="s">
        <v>146</v>
      </c>
      <c r="B45" t="s">
        <v>147</v>
      </c>
      <c r="C45">
        <v>3</v>
      </c>
      <c r="D45" t="s">
        <v>18</v>
      </c>
      <c r="E45">
        <v>8</v>
      </c>
    </row>
    <row r="46" spans="1:5">
      <c r="A46" t="s">
        <v>148</v>
      </c>
      <c r="B46" t="s">
        <v>149</v>
      </c>
      <c r="C46">
        <v>6</v>
      </c>
      <c r="D46" t="s">
        <v>18</v>
      </c>
      <c r="E46">
        <v>8</v>
      </c>
    </row>
    <row r="47" spans="1:5">
      <c r="A47" t="s">
        <v>150</v>
      </c>
      <c r="B47" t="s">
        <v>151</v>
      </c>
      <c r="C47">
        <v>3</v>
      </c>
      <c r="D47" t="s">
        <v>18</v>
      </c>
      <c r="E47">
        <v>7</v>
      </c>
    </row>
    <row r="48" spans="1:5">
      <c r="A48" t="s">
        <v>152</v>
      </c>
      <c r="B48" t="s">
        <v>153</v>
      </c>
      <c r="C48">
        <v>4</v>
      </c>
      <c r="D48" t="s">
        <v>18</v>
      </c>
      <c r="E48">
        <v>7</v>
      </c>
    </row>
    <row r="49" spans="1:5">
      <c r="A49" t="s">
        <v>154</v>
      </c>
      <c r="B49" t="s">
        <v>155</v>
      </c>
      <c r="C49">
        <v>4</v>
      </c>
      <c r="D49" t="s">
        <v>18</v>
      </c>
      <c r="E49">
        <v>7</v>
      </c>
    </row>
    <row r="50" spans="1:5">
      <c r="A50" t="s">
        <v>156</v>
      </c>
      <c r="B50" t="s">
        <v>157</v>
      </c>
      <c r="C50">
        <v>5</v>
      </c>
      <c r="D50" t="s">
        <v>18</v>
      </c>
      <c r="E50">
        <v>7</v>
      </c>
    </row>
    <row r="51" spans="1:5">
      <c r="A51" t="s">
        <v>158</v>
      </c>
      <c r="B51" t="s">
        <v>159</v>
      </c>
      <c r="C51">
        <v>4</v>
      </c>
      <c r="D51" t="s">
        <v>18</v>
      </c>
      <c r="E51">
        <v>7</v>
      </c>
    </row>
    <row r="52" spans="1:5">
      <c r="A52" t="s">
        <v>160</v>
      </c>
      <c r="B52" t="s">
        <v>161</v>
      </c>
      <c r="C52">
        <v>4</v>
      </c>
      <c r="D52" t="s">
        <v>18</v>
      </c>
      <c r="E52">
        <v>6</v>
      </c>
    </row>
    <row r="53" spans="1:5">
      <c r="A53" t="s">
        <v>162</v>
      </c>
      <c r="B53" t="s">
        <v>163</v>
      </c>
      <c r="C53">
        <v>4</v>
      </c>
      <c r="D53" t="s">
        <v>18</v>
      </c>
      <c r="E53">
        <v>6</v>
      </c>
    </row>
    <row r="54" spans="1:5">
      <c r="A54" t="s">
        <v>164</v>
      </c>
      <c r="B54" t="s">
        <v>165</v>
      </c>
      <c r="C54">
        <v>5</v>
      </c>
      <c r="D54" t="s">
        <v>18</v>
      </c>
      <c r="E54">
        <v>6</v>
      </c>
    </row>
    <row r="55" spans="1:5">
      <c r="A55" t="s">
        <v>166</v>
      </c>
      <c r="B55" t="s">
        <v>167</v>
      </c>
      <c r="C55">
        <v>3</v>
      </c>
      <c r="D55" t="s">
        <v>18</v>
      </c>
      <c r="E55">
        <v>6</v>
      </c>
    </row>
    <row r="56" spans="1:5">
      <c r="A56" t="s">
        <v>168</v>
      </c>
      <c r="B56" t="s">
        <v>169</v>
      </c>
      <c r="C56">
        <v>4</v>
      </c>
      <c r="D56" t="s">
        <v>18</v>
      </c>
      <c r="E56">
        <v>6</v>
      </c>
    </row>
    <row r="57" spans="1:5">
      <c r="A57" t="s">
        <v>170</v>
      </c>
      <c r="B57" t="s">
        <v>171</v>
      </c>
      <c r="C57">
        <v>2</v>
      </c>
      <c r="D57" t="s">
        <v>18</v>
      </c>
      <c r="E57">
        <v>5</v>
      </c>
    </row>
    <row r="58" spans="1:5">
      <c r="A58" t="s">
        <v>172</v>
      </c>
      <c r="B58" t="s">
        <v>173</v>
      </c>
      <c r="C58">
        <v>3</v>
      </c>
      <c r="D58" t="s">
        <v>18</v>
      </c>
      <c r="E58">
        <v>5</v>
      </c>
    </row>
    <row r="59" spans="1:5">
      <c r="A59" t="s">
        <v>174</v>
      </c>
      <c r="B59" t="s">
        <v>175</v>
      </c>
      <c r="C59">
        <v>5</v>
      </c>
      <c r="D59" t="s">
        <v>18</v>
      </c>
      <c r="E59">
        <v>5</v>
      </c>
    </row>
    <row r="60" spans="1:5">
      <c r="A60" t="s">
        <v>176</v>
      </c>
      <c r="B60" t="s">
        <v>177</v>
      </c>
      <c r="C60">
        <v>6</v>
      </c>
      <c r="D60" t="s">
        <v>18</v>
      </c>
      <c r="E60">
        <v>5</v>
      </c>
    </row>
    <row r="61" spans="1:5">
      <c r="A61" t="s">
        <v>178</v>
      </c>
      <c r="B61" t="s">
        <v>179</v>
      </c>
      <c r="C61">
        <v>4</v>
      </c>
      <c r="D61" t="s">
        <v>18</v>
      </c>
      <c r="E61">
        <v>5</v>
      </c>
    </row>
    <row r="62" spans="1:5">
      <c r="A62" t="s">
        <v>180</v>
      </c>
      <c r="B62" t="s">
        <v>181</v>
      </c>
      <c r="C62">
        <v>2</v>
      </c>
      <c r="D62" t="s">
        <v>18</v>
      </c>
      <c r="E62">
        <v>4</v>
      </c>
    </row>
    <row r="63" spans="1:5">
      <c r="A63" t="s">
        <v>182</v>
      </c>
      <c r="B63" t="s">
        <v>30</v>
      </c>
      <c r="C63">
        <v>4</v>
      </c>
      <c r="D63" t="s">
        <v>18</v>
      </c>
      <c r="E63">
        <v>4</v>
      </c>
    </row>
    <row r="64" spans="1:5">
      <c r="A64" t="s">
        <v>183</v>
      </c>
      <c r="B64" t="s">
        <v>184</v>
      </c>
      <c r="C64">
        <v>5</v>
      </c>
      <c r="D64" t="s">
        <v>18</v>
      </c>
      <c r="E64">
        <v>4</v>
      </c>
    </row>
    <row r="65" spans="1:5">
      <c r="A65" t="s">
        <v>185</v>
      </c>
      <c r="B65" t="s">
        <v>23</v>
      </c>
      <c r="C65">
        <v>4</v>
      </c>
      <c r="D65" t="s">
        <v>18</v>
      </c>
      <c r="E65">
        <v>4</v>
      </c>
    </row>
    <row r="66" spans="1:5">
      <c r="A66" t="s">
        <v>186</v>
      </c>
      <c r="B66" t="s">
        <v>187</v>
      </c>
      <c r="C66">
        <v>5</v>
      </c>
      <c r="D66" t="s">
        <v>18</v>
      </c>
      <c r="E66">
        <v>4</v>
      </c>
    </row>
    <row r="67" spans="1:5">
      <c r="A67" t="s">
        <v>188</v>
      </c>
      <c r="B67" t="s">
        <v>189</v>
      </c>
      <c r="C67">
        <v>3</v>
      </c>
      <c r="D67" t="s">
        <v>18</v>
      </c>
      <c r="E67">
        <v>3</v>
      </c>
    </row>
    <row r="68" spans="1:5">
      <c r="A68" t="s">
        <v>190</v>
      </c>
      <c r="B68" t="s">
        <v>191</v>
      </c>
      <c r="C68">
        <v>5</v>
      </c>
      <c r="D68" t="s">
        <v>18</v>
      </c>
      <c r="E68">
        <v>3</v>
      </c>
    </row>
    <row r="69" spans="1:5">
      <c r="A69" t="s">
        <v>192</v>
      </c>
      <c r="B69" t="s">
        <v>193</v>
      </c>
      <c r="C69">
        <v>4</v>
      </c>
      <c r="D69" t="s">
        <v>18</v>
      </c>
      <c r="E69">
        <v>3</v>
      </c>
    </row>
    <row r="70" spans="1:5">
      <c r="A70" t="s">
        <v>194</v>
      </c>
      <c r="B70" t="s">
        <v>195</v>
      </c>
      <c r="C70">
        <v>3</v>
      </c>
      <c r="D70" t="s">
        <v>18</v>
      </c>
      <c r="E70">
        <v>3</v>
      </c>
    </row>
    <row r="71" spans="1:5">
      <c r="A71" t="s">
        <v>196</v>
      </c>
      <c r="B71" t="s">
        <v>197</v>
      </c>
      <c r="C71">
        <v>5</v>
      </c>
      <c r="D71" t="s">
        <v>18</v>
      </c>
      <c r="E71">
        <v>3</v>
      </c>
    </row>
    <row r="72" spans="1:5">
      <c r="A72" t="s">
        <v>198</v>
      </c>
      <c r="B72" t="s">
        <v>199</v>
      </c>
      <c r="C72">
        <v>3</v>
      </c>
      <c r="D72" t="s">
        <v>18</v>
      </c>
      <c r="E72">
        <v>2</v>
      </c>
    </row>
    <row r="73" spans="1:5">
      <c r="A73" t="s">
        <v>200</v>
      </c>
      <c r="B73" t="s">
        <v>201</v>
      </c>
      <c r="C73">
        <v>3</v>
      </c>
      <c r="D73" t="s">
        <v>18</v>
      </c>
      <c r="E73">
        <v>2</v>
      </c>
    </row>
    <row r="74" spans="1:5">
      <c r="A74" t="s">
        <v>202</v>
      </c>
      <c r="B74" t="s">
        <v>203</v>
      </c>
      <c r="C74">
        <v>6</v>
      </c>
      <c r="D74" t="s">
        <v>18</v>
      </c>
      <c r="E74">
        <v>2</v>
      </c>
    </row>
    <row r="75" spans="1:5">
      <c r="A75" t="s">
        <v>204</v>
      </c>
      <c r="B75" t="s">
        <v>205</v>
      </c>
      <c r="C75">
        <v>8</v>
      </c>
      <c r="D75" t="s">
        <v>18</v>
      </c>
      <c r="E75">
        <v>2</v>
      </c>
    </row>
    <row r="76" spans="1:5">
      <c r="A76" t="s">
        <v>206</v>
      </c>
      <c r="B76" t="s">
        <v>207</v>
      </c>
      <c r="C76">
        <v>4</v>
      </c>
      <c r="D76" t="s">
        <v>18</v>
      </c>
      <c r="E76">
        <v>1</v>
      </c>
    </row>
    <row r="77" spans="1:5">
      <c r="A77" t="s">
        <v>208</v>
      </c>
      <c r="B77" t="s">
        <v>209</v>
      </c>
      <c r="C77">
        <v>2</v>
      </c>
      <c r="D77" t="s">
        <v>18</v>
      </c>
      <c r="E77">
        <v>1</v>
      </c>
    </row>
    <row r="78" spans="1:5">
      <c r="A78" t="s">
        <v>210</v>
      </c>
      <c r="B78" t="s">
        <v>20</v>
      </c>
      <c r="C78">
        <v>5</v>
      </c>
      <c r="D78" t="s">
        <v>18</v>
      </c>
      <c r="E78">
        <v>1</v>
      </c>
    </row>
    <row r="79" spans="1:5">
      <c r="A79" t="s">
        <v>211</v>
      </c>
      <c r="B79" t="s">
        <v>212</v>
      </c>
      <c r="C79">
        <v>9</v>
      </c>
      <c r="D79" t="s">
        <v>18</v>
      </c>
      <c r="E79">
        <v>1</v>
      </c>
    </row>
    <row r="80" spans="1:5">
      <c r="A80" t="s">
        <v>213</v>
      </c>
      <c r="B80" t="s">
        <v>214</v>
      </c>
      <c r="C80">
        <v>5</v>
      </c>
      <c r="D80" t="s">
        <v>46</v>
      </c>
      <c r="E80">
        <v>4</v>
      </c>
    </row>
    <row r="81" spans="1:5">
      <c r="A81" t="s">
        <v>215</v>
      </c>
      <c r="B81" t="s">
        <v>216</v>
      </c>
      <c r="C81">
        <v>5</v>
      </c>
      <c r="D81" t="s">
        <v>46</v>
      </c>
      <c r="E81">
        <v>4</v>
      </c>
    </row>
    <row r="82" spans="1:5">
      <c r="A82" t="s">
        <v>217</v>
      </c>
      <c r="B82" t="s">
        <v>218</v>
      </c>
      <c r="C82">
        <v>5</v>
      </c>
      <c r="D82" t="s">
        <v>46</v>
      </c>
      <c r="E82">
        <v>4</v>
      </c>
    </row>
    <row r="83" spans="1:5">
      <c r="A83" t="s">
        <v>219</v>
      </c>
      <c r="B83" t="s">
        <v>220</v>
      </c>
      <c r="C83">
        <v>4</v>
      </c>
      <c r="D83" t="s">
        <v>46</v>
      </c>
      <c r="E83">
        <v>3</v>
      </c>
    </row>
    <row r="84" spans="1:5">
      <c r="A84" t="s">
        <v>221</v>
      </c>
      <c r="B84" t="s">
        <v>222</v>
      </c>
      <c r="C84">
        <v>4</v>
      </c>
      <c r="D84" t="s">
        <v>46</v>
      </c>
      <c r="E84">
        <v>3</v>
      </c>
    </row>
    <row r="85" spans="1:5">
      <c r="A85" t="s">
        <v>223</v>
      </c>
      <c r="B85" t="s">
        <v>224</v>
      </c>
      <c r="C85">
        <v>4</v>
      </c>
      <c r="D85" t="s">
        <v>46</v>
      </c>
      <c r="E85">
        <v>3</v>
      </c>
    </row>
    <row r="86" spans="1:5">
      <c r="A86" t="s">
        <v>225</v>
      </c>
      <c r="B86" t="s">
        <v>226</v>
      </c>
      <c r="C86">
        <v>4</v>
      </c>
      <c r="D86" t="s">
        <v>46</v>
      </c>
      <c r="E86">
        <v>3</v>
      </c>
    </row>
    <row r="87" spans="1:5">
      <c r="A87" t="s">
        <v>227</v>
      </c>
      <c r="B87" t="s">
        <v>228</v>
      </c>
      <c r="C87">
        <v>4</v>
      </c>
      <c r="D87" t="s">
        <v>46</v>
      </c>
      <c r="E87">
        <v>3</v>
      </c>
    </row>
    <row r="88" spans="1:5">
      <c r="A88" t="s">
        <v>229</v>
      </c>
      <c r="B88" t="s">
        <v>230</v>
      </c>
      <c r="C88">
        <v>4</v>
      </c>
      <c r="D88" t="s">
        <v>46</v>
      </c>
      <c r="E88">
        <v>2</v>
      </c>
    </row>
    <row r="89" spans="1:5">
      <c r="A89" t="s">
        <v>231</v>
      </c>
      <c r="B89" t="s">
        <v>232</v>
      </c>
      <c r="C89">
        <v>4</v>
      </c>
      <c r="D89" t="s">
        <v>46</v>
      </c>
      <c r="E89">
        <v>2</v>
      </c>
    </row>
    <row r="90" spans="1:5">
      <c r="A90" t="s">
        <v>233</v>
      </c>
      <c r="B90" t="s">
        <v>234</v>
      </c>
      <c r="C90">
        <v>4</v>
      </c>
      <c r="D90" t="s">
        <v>46</v>
      </c>
      <c r="E90">
        <v>2</v>
      </c>
    </row>
    <row r="91" spans="1:5">
      <c r="A91" t="s">
        <v>235</v>
      </c>
      <c r="B91" t="s">
        <v>236</v>
      </c>
      <c r="C91">
        <v>4</v>
      </c>
      <c r="D91" t="s">
        <v>46</v>
      </c>
      <c r="E91">
        <v>2</v>
      </c>
    </row>
    <row r="92" spans="1:5">
      <c r="A92" t="s">
        <v>237</v>
      </c>
      <c r="B92" t="s">
        <v>238</v>
      </c>
      <c r="C92">
        <v>4</v>
      </c>
      <c r="D92" t="s">
        <v>46</v>
      </c>
      <c r="E92">
        <v>2</v>
      </c>
    </row>
    <row r="93" spans="1:5">
      <c r="A93" t="s">
        <v>239</v>
      </c>
      <c r="B93" t="s">
        <v>240</v>
      </c>
      <c r="C93">
        <v>4</v>
      </c>
      <c r="D93" t="s">
        <v>46</v>
      </c>
      <c r="E93">
        <v>1</v>
      </c>
    </row>
    <row r="94" spans="1:5">
      <c r="A94" t="s">
        <v>241</v>
      </c>
      <c r="B94" t="s">
        <v>242</v>
      </c>
      <c r="C94">
        <v>3</v>
      </c>
      <c r="D94" t="s">
        <v>46</v>
      </c>
      <c r="E94">
        <v>1</v>
      </c>
    </row>
    <row r="95" spans="1:5">
      <c r="A95" t="s">
        <v>243</v>
      </c>
      <c r="B95" t="s">
        <v>244</v>
      </c>
      <c r="C95">
        <v>4</v>
      </c>
      <c r="D95" t="s">
        <v>46</v>
      </c>
      <c r="E95">
        <v>1</v>
      </c>
    </row>
    <row r="96" spans="1:5">
      <c r="A96" t="s">
        <v>245</v>
      </c>
      <c r="B96" t="s">
        <v>40</v>
      </c>
      <c r="C96">
        <v>3</v>
      </c>
      <c r="D96" t="s">
        <v>46</v>
      </c>
      <c r="E96">
        <v>1</v>
      </c>
    </row>
    <row r="97" spans="1:5">
      <c r="A97" t="s">
        <v>246</v>
      </c>
      <c r="B97" t="s">
        <v>247</v>
      </c>
      <c r="C97">
        <v>3</v>
      </c>
      <c r="D97" t="s">
        <v>46</v>
      </c>
      <c r="E97">
        <v>1</v>
      </c>
    </row>
    <row r="98" spans="1:5">
      <c r="A98" t="s">
        <v>248</v>
      </c>
      <c r="B98" t="s">
        <v>249</v>
      </c>
      <c r="C98">
        <v>3</v>
      </c>
      <c r="D98" t="s">
        <v>46</v>
      </c>
      <c r="E98">
        <v>1</v>
      </c>
    </row>
    <row r="99" spans="1:5">
      <c r="A99" t="s">
        <v>250</v>
      </c>
      <c r="B99" t="s">
        <v>251</v>
      </c>
      <c r="C99">
        <v>4</v>
      </c>
      <c r="D99" t="s">
        <v>48</v>
      </c>
      <c r="E99">
        <v>8</v>
      </c>
    </row>
    <row r="100" spans="1:5">
      <c r="A100" t="s">
        <v>252</v>
      </c>
      <c r="B100" t="s">
        <v>253</v>
      </c>
      <c r="C100">
        <v>6</v>
      </c>
      <c r="D100" t="s">
        <v>48</v>
      </c>
      <c r="E100">
        <v>8</v>
      </c>
    </row>
    <row r="101" spans="1:5">
      <c r="A101" t="s">
        <v>254</v>
      </c>
      <c r="B101" t="s">
        <v>255</v>
      </c>
      <c r="C101">
        <v>5</v>
      </c>
      <c r="D101" t="s">
        <v>48</v>
      </c>
      <c r="E101">
        <v>8</v>
      </c>
    </row>
    <row r="102" spans="1:5">
      <c r="A102" t="s">
        <v>256</v>
      </c>
      <c r="B102" t="s">
        <v>257</v>
      </c>
      <c r="C102">
        <v>5</v>
      </c>
      <c r="D102" t="s">
        <v>48</v>
      </c>
      <c r="E102">
        <v>8</v>
      </c>
    </row>
    <row r="103" spans="1:5">
      <c r="A103" t="s">
        <v>258</v>
      </c>
      <c r="B103" t="s">
        <v>259</v>
      </c>
      <c r="C103">
        <v>4</v>
      </c>
      <c r="D103" t="s">
        <v>48</v>
      </c>
      <c r="E103">
        <v>7</v>
      </c>
    </row>
    <row r="104" spans="1:5">
      <c r="A104" t="s">
        <v>260</v>
      </c>
      <c r="B104" t="s">
        <v>261</v>
      </c>
      <c r="C104">
        <v>4</v>
      </c>
      <c r="D104" t="s">
        <v>48</v>
      </c>
      <c r="E104">
        <v>7</v>
      </c>
    </row>
    <row r="105" spans="1:5">
      <c r="A105" t="s">
        <v>262</v>
      </c>
      <c r="B105" t="s">
        <v>263</v>
      </c>
      <c r="C105">
        <v>5</v>
      </c>
      <c r="D105" t="s">
        <v>48</v>
      </c>
      <c r="E105">
        <v>7</v>
      </c>
    </row>
    <row r="106" spans="1:5">
      <c r="A106" t="s">
        <v>264</v>
      </c>
      <c r="B106" t="s">
        <v>265</v>
      </c>
      <c r="C106">
        <v>4</v>
      </c>
      <c r="D106" t="s">
        <v>48</v>
      </c>
      <c r="E106">
        <v>7</v>
      </c>
    </row>
    <row r="107" spans="1:5">
      <c r="A107" t="s">
        <v>266</v>
      </c>
      <c r="B107" t="s">
        <v>267</v>
      </c>
      <c r="C107">
        <v>4</v>
      </c>
      <c r="D107" t="s">
        <v>48</v>
      </c>
      <c r="E107">
        <v>7</v>
      </c>
    </row>
    <row r="108" spans="1:5">
      <c r="A108" t="s">
        <v>268</v>
      </c>
      <c r="B108" t="s">
        <v>269</v>
      </c>
      <c r="C108">
        <v>4</v>
      </c>
      <c r="D108" t="s">
        <v>48</v>
      </c>
      <c r="E108">
        <v>6</v>
      </c>
    </row>
    <row r="109" spans="1:5">
      <c r="A109" t="s">
        <v>270</v>
      </c>
      <c r="B109" t="s">
        <v>271</v>
      </c>
      <c r="C109">
        <v>3</v>
      </c>
      <c r="D109" t="s">
        <v>48</v>
      </c>
      <c r="E109">
        <v>6</v>
      </c>
    </row>
    <row r="110" spans="1:5">
      <c r="A110" t="s">
        <v>272</v>
      </c>
      <c r="B110" t="s">
        <v>273</v>
      </c>
      <c r="C110">
        <v>4</v>
      </c>
      <c r="D110" t="s">
        <v>48</v>
      </c>
      <c r="E110">
        <v>6</v>
      </c>
    </row>
    <row r="111" spans="1:5">
      <c r="A111" t="s">
        <v>274</v>
      </c>
      <c r="B111" t="s">
        <v>275</v>
      </c>
      <c r="C111">
        <v>4</v>
      </c>
      <c r="D111" t="s">
        <v>48</v>
      </c>
      <c r="E111">
        <v>6</v>
      </c>
    </row>
    <row r="112" spans="1:5">
      <c r="A112" t="s">
        <v>276</v>
      </c>
      <c r="B112" t="s">
        <v>277</v>
      </c>
      <c r="C112">
        <v>4</v>
      </c>
      <c r="D112" t="s">
        <v>48</v>
      </c>
      <c r="E112">
        <v>6</v>
      </c>
    </row>
    <row r="113" spans="1:5">
      <c r="A113" t="s">
        <v>278</v>
      </c>
      <c r="B113" t="s">
        <v>279</v>
      </c>
      <c r="C113">
        <v>4</v>
      </c>
      <c r="D113" t="s">
        <v>48</v>
      </c>
      <c r="E113">
        <v>6</v>
      </c>
    </row>
    <row r="114" spans="1:5">
      <c r="A114" t="s">
        <v>280</v>
      </c>
      <c r="B114" t="s">
        <v>281</v>
      </c>
      <c r="C114">
        <v>4</v>
      </c>
      <c r="D114" t="s">
        <v>48</v>
      </c>
      <c r="E114">
        <v>5</v>
      </c>
    </row>
    <row r="115" spans="1:5">
      <c r="A115" t="s">
        <v>282</v>
      </c>
      <c r="B115" t="s">
        <v>283</v>
      </c>
      <c r="C115">
        <v>4</v>
      </c>
      <c r="D115" t="s">
        <v>48</v>
      </c>
      <c r="E115">
        <v>5</v>
      </c>
    </row>
    <row r="116" spans="1:5">
      <c r="A116" t="s">
        <v>284</v>
      </c>
      <c r="B116" t="s">
        <v>285</v>
      </c>
      <c r="C116">
        <v>3</v>
      </c>
      <c r="D116" t="s">
        <v>48</v>
      </c>
      <c r="E116">
        <v>5</v>
      </c>
    </row>
    <row r="117" spans="1:5">
      <c r="A117" t="s">
        <v>286</v>
      </c>
      <c r="B117" t="s">
        <v>287</v>
      </c>
      <c r="C117">
        <v>4</v>
      </c>
      <c r="D117" t="s">
        <v>48</v>
      </c>
      <c r="E117">
        <v>5</v>
      </c>
    </row>
    <row r="118" spans="1:5">
      <c r="A118" t="s">
        <v>288</v>
      </c>
      <c r="B118" t="s">
        <v>289</v>
      </c>
      <c r="C118">
        <v>4</v>
      </c>
      <c r="D118" t="s">
        <v>48</v>
      </c>
      <c r="E118">
        <v>5</v>
      </c>
    </row>
    <row r="119" spans="1:5">
      <c r="A119" t="s">
        <v>290</v>
      </c>
      <c r="B119" t="s">
        <v>291</v>
      </c>
      <c r="C119">
        <v>4</v>
      </c>
      <c r="D119" t="s">
        <v>48</v>
      </c>
      <c r="E119">
        <v>5</v>
      </c>
    </row>
    <row r="120" spans="1:5">
      <c r="A120" t="s">
        <v>292</v>
      </c>
      <c r="B120" t="s">
        <v>293</v>
      </c>
      <c r="C120">
        <v>4</v>
      </c>
      <c r="D120" t="s">
        <v>48</v>
      </c>
      <c r="E120">
        <v>4</v>
      </c>
    </row>
    <row r="121" spans="1:5">
      <c r="A121" t="s">
        <v>294</v>
      </c>
      <c r="B121" t="s">
        <v>295</v>
      </c>
      <c r="C121">
        <v>4</v>
      </c>
      <c r="D121" t="s">
        <v>48</v>
      </c>
      <c r="E121">
        <v>4</v>
      </c>
    </row>
    <row r="122" spans="1:5">
      <c r="A122" t="s">
        <v>296</v>
      </c>
      <c r="B122" t="s">
        <v>297</v>
      </c>
      <c r="C122">
        <v>5</v>
      </c>
      <c r="D122" t="s">
        <v>48</v>
      </c>
      <c r="E122">
        <v>4</v>
      </c>
    </row>
    <row r="123" spans="1:5">
      <c r="A123" t="s">
        <v>298</v>
      </c>
      <c r="B123" t="s">
        <v>299</v>
      </c>
      <c r="C123">
        <v>4</v>
      </c>
      <c r="D123" t="s">
        <v>48</v>
      </c>
      <c r="E123">
        <v>4</v>
      </c>
    </row>
    <row r="124" spans="1:5">
      <c r="A124" t="s">
        <v>300</v>
      </c>
      <c r="B124" t="s">
        <v>25</v>
      </c>
      <c r="C124">
        <v>5</v>
      </c>
      <c r="D124" t="s">
        <v>48</v>
      </c>
      <c r="E124">
        <v>4</v>
      </c>
    </row>
    <row r="125" spans="1:5">
      <c r="A125" t="s">
        <v>301</v>
      </c>
      <c r="B125" t="s">
        <v>302</v>
      </c>
      <c r="C125">
        <v>4</v>
      </c>
      <c r="D125" t="s">
        <v>48</v>
      </c>
      <c r="E125">
        <v>3</v>
      </c>
    </row>
    <row r="126" spans="1:5">
      <c r="A126" t="s">
        <v>303</v>
      </c>
      <c r="B126" t="s">
        <v>304</v>
      </c>
      <c r="C126">
        <v>5</v>
      </c>
      <c r="D126" t="s">
        <v>48</v>
      </c>
      <c r="E126">
        <v>3</v>
      </c>
    </row>
    <row r="127" spans="1:5">
      <c r="A127" t="s">
        <v>305</v>
      </c>
      <c r="B127" t="s">
        <v>306</v>
      </c>
      <c r="C127">
        <v>3</v>
      </c>
      <c r="D127" t="s">
        <v>48</v>
      </c>
      <c r="E127">
        <v>3</v>
      </c>
    </row>
    <row r="128" spans="1:5">
      <c r="A128" t="s">
        <v>307</v>
      </c>
      <c r="B128" t="s">
        <v>308</v>
      </c>
      <c r="C128">
        <v>4</v>
      </c>
      <c r="D128" t="s">
        <v>48</v>
      </c>
      <c r="E128">
        <v>3</v>
      </c>
    </row>
    <row r="129" spans="1:5">
      <c r="A129" t="s">
        <v>309</v>
      </c>
      <c r="B129" t="s">
        <v>310</v>
      </c>
      <c r="C129">
        <v>4</v>
      </c>
      <c r="D129" t="s">
        <v>48</v>
      </c>
      <c r="E129">
        <v>3</v>
      </c>
    </row>
    <row r="130" spans="1:5">
      <c r="A130" t="s">
        <v>311</v>
      </c>
      <c r="B130" t="s">
        <v>312</v>
      </c>
      <c r="C130">
        <v>4</v>
      </c>
      <c r="D130" t="s">
        <v>48</v>
      </c>
      <c r="E130">
        <v>3</v>
      </c>
    </row>
    <row r="131" spans="1:5">
      <c r="A131" t="s">
        <v>313</v>
      </c>
      <c r="B131" t="s">
        <v>314</v>
      </c>
      <c r="C131">
        <v>4</v>
      </c>
      <c r="D131" t="s">
        <v>48</v>
      </c>
      <c r="E131">
        <v>2</v>
      </c>
    </row>
    <row r="132" spans="1:5">
      <c r="A132" t="s">
        <v>315</v>
      </c>
      <c r="B132" t="s">
        <v>197</v>
      </c>
      <c r="C132">
        <v>5</v>
      </c>
      <c r="D132" t="s">
        <v>48</v>
      </c>
      <c r="E132">
        <v>2</v>
      </c>
    </row>
    <row r="133" spans="1:5">
      <c r="A133" t="s">
        <v>316</v>
      </c>
      <c r="B133" t="s">
        <v>317</v>
      </c>
      <c r="C133">
        <v>4</v>
      </c>
      <c r="D133" t="s">
        <v>48</v>
      </c>
      <c r="E133">
        <v>2</v>
      </c>
    </row>
    <row r="134" spans="1:5">
      <c r="A134" t="s">
        <v>318</v>
      </c>
      <c r="B134" t="s">
        <v>319</v>
      </c>
      <c r="C134">
        <v>5</v>
      </c>
      <c r="D134" t="s">
        <v>48</v>
      </c>
      <c r="E134">
        <v>2</v>
      </c>
    </row>
    <row r="135" spans="1:5">
      <c r="A135" t="s">
        <v>320</v>
      </c>
      <c r="B135" t="s">
        <v>321</v>
      </c>
      <c r="C135">
        <v>5</v>
      </c>
      <c r="D135" t="s">
        <v>48</v>
      </c>
      <c r="E135">
        <v>2</v>
      </c>
    </row>
    <row r="136" spans="1:5">
      <c r="A136" t="s">
        <v>322</v>
      </c>
      <c r="B136" t="s">
        <v>323</v>
      </c>
      <c r="C136">
        <v>4</v>
      </c>
      <c r="D136" t="s">
        <v>48</v>
      </c>
      <c r="E136">
        <v>1</v>
      </c>
    </row>
    <row r="137" spans="1:5">
      <c r="A137" t="s">
        <v>324</v>
      </c>
      <c r="B137" t="s">
        <v>325</v>
      </c>
      <c r="C137">
        <v>5</v>
      </c>
      <c r="D137" t="s">
        <v>48</v>
      </c>
      <c r="E137">
        <v>1</v>
      </c>
    </row>
    <row r="138" spans="1:5">
      <c r="A138" t="s">
        <v>326</v>
      </c>
      <c r="B138" t="s">
        <v>327</v>
      </c>
      <c r="C138">
        <v>4</v>
      </c>
      <c r="D138" t="s">
        <v>48</v>
      </c>
      <c r="E138">
        <v>1</v>
      </c>
    </row>
    <row r="139" spans="1:5">
      <c r="A139" t="s">
        <v>328</v>
      </c>
      <c r="B139" t="s">
        <v>48</v>
      </c>
      <c r="C139">
        <v>5</v>
      </c>
      <c r="D139" t="s">
        <v>48</v>
      </c>
      <c r="E139">
        <v>1</v>
      </c>
    </row>
    <row r="140" spans="1:5">
      <c r="A140" t="s">
        <v>329</v>
      </c>
      <c r="B140" t="s">
        <v>330</v>
      </c>
      <c r="C140">
        <v>3</v>
      </c>
      <c r="D140" t="s">
        <v>48</v>
      </c>
      <c r="E140">
        <v>1</v>
      </c>
    </row>
    <row r="141" spans="1:5">
      <c r="A141" t="s">
        <v>331</v>
      </c>
      <c r="B141" t="s">
        <v>332</v>
      </c>
      <c r="C141">
        <v>4</v>
      </c>
      <c r="D141" t="s">
        <v>50</v>
      </c>
      <c r="E141">
        <v>8</v>
      </c>
    </row>
    <row r="142" spans="1:5">
      <c r="A142" t="s">
        <v>333</v>
      </c>
      <c r="B142" t="s">
        <v>163</v>
      </c>
      <c r="C142">
        <v>3</v>
      </c>
      <c r="D142" t="s">
        <v>50</v>
      </c>
      <c r="E142">
        <v>8</v>
      </c>
    </row>
    <row r="143" spans="1:5">
      <c r="A143" t="s">
        <v>334</v>
      </c>
      <c r="B143" t="s">
        <v>335</v>
      </c>
      <c r="C143">
        <v>4</v>
      </c>
      <c r="D143" t="s">
        <v>50</v>
      </c>
      <c r="E143">
        <v>8</v>
      </c>
    </row>
    <row r="144" spans="1:5">
      <c r="A144" t="s">
        <v>336</v>
      </c>
      <c r="B144" t="s">
        <v>165</v>
      </c>
      <c r="C144">
        <v>6</v>
      </c>
      <c r="D144" t="s">
        <v>50</v>
      </c>
      <c r="E144">
        <v>8</v>
      </c>
    </row>
    <row r="145" spans="1:5">
      <c r="A145" t="s">
        <v>337</v>
      </c>
      <c r="B145" t="s">
        <v>143</v>
      </c>
      <c r="C145">
        <v>3</v>
      </c>
      <c r="D145" t="s">
        <v>50</v>
      </c>
      <c r="E145">
        <v>8</v>
      </c>
    </row>
    <row r="146" spans="1:5">
      <c r="A146" t="s">
        <v>338</v>
      </c>
      <c r="B146" t="s">
        <v>339</v>
      </c>
      <c r="C146">
        <v>4</v>
      </c>
      <c r="D146" t="s">
        <v>50</v>
      </c>
      <c r="E146">
        <v>7</v>
      </c>
    </row>
    <row r="147" spans="1:5">
      <c r="A147" t="s">
        <v>340</v>
      </c>
      <c r="B147" t="s">
        <v>341</v>
      </c>
      <c r="C147">
        <v>5</v>
      </c>
      <c r="D147" t="s">
        <v>50</v>
      </c>
      <c r="E147">
        <v>7</v>
      </c>
    </row>
    <row r="148" spans="1:5">
      <c r="A148" t="s">
        <v>342</v>
      </c>
      <c r="B148" t="s">
        <v>343</v>
      </c>
      <c r="C148">
        <v>5</v>
      </c>
      <c r="D148" t="s">
        <v>50</v>
      </c>
      <c r="E148">
        <v>7</v>
      </c>
    </row>
    <row r="149" spans="1:5">
      <c r="A149" t="s">
        <v>344</v>
      </c>
      <c r="B149" t="s">
        <v>161</v>
      </c>
      <c r="C149">
        <v>6</v>
      </c>
      <c r="D149" t="s">
        <v>50</v>
      </c>
      <c r="E149">
        <v>7</v>
      </c>
    </row>
    <row r="150" spans="1:5">
      <c r="A150" t="s">
        <v>345</v>
      </c>
      <c r="B150" t="s">
        <v>297</v>
      </c>
      <c r="C150">
        <v>3</v>
      </c>
      <c r="D150" t="s">
        <v>50</v>
      </c>
      <c r="E150">
        <v>6</v>
      </c>
    </row>
    <row r="151" spans="1:5">
      <c r="A151" t="s">
        <v>346</v>
      </c>
      <c r="B151" t="s">
        <v>347</v>
      </c>
      <c r="C151">
        <v>3</v>
      </c>
      <c r="D151" t="s">
        <v>50</v>
      </c>
      <c r="E151">
        <v>6</v>
      </c>
    </row>
    <row r="152" spans="1:5">
      <c r="A152" t="s">
        <v>348</v>
      </c>
      <c r="B152" t="s">
        <v>349</v>
      </c>
      <c r="C152">
        <v>3</v>
      </c>
      <c r="D152" t="s">
        <v>50</v>
      </c>
      <c r="E152">
        <v>6</v>
      </c>
    </row>
    <row r="153" spans="1:5">
      <c r="A153" t="s">
        <v>350</v>
      </c>
      <c r="B153" t="s">
        <v>351</v>
      </c>
      <c r="C153">
        <v>3</v>
      </c>
      <c r="D153" t="s">
        <v>50</v>
      </c>
      <c r="E153">
        <v>6</v>
      </c>
    </row>
    <row r="154" spans="1:5">
      <c r="A154" t="s">
        <v>352</v>
      </c>
      <c r="B154" t="s">
        <v>353</v>
      </c>
      <c r="C154">
        <v>5</v>
      </c>
      <c r="D154" t="s">
        <v>50</v>
      </c>
      <c r="E154">
        <v>6</v>
      </c>
    </row>
    <row r="155" spans="1:5">
      <c r="A155" t="s">
        <v>354</v>
      </c>
      <c r="B155" t="s">
        <v>355</v>
      </c>
      <c r="C155">
        <v>3</v>
      </c>
      <c r="D155" t="s">
        <v>50</v>
      </c>
      <c r="E155">
        <v>6</v>
      </c>
    </row>
    <row r="156" spans="1:5">
      <c r="A156" t="s">
        <v>356</v>
      </c>
      <c r="B156" t="s">
        <v>357</v>
      </c>
      <c r="C156">
        <v>3</v>
      </c>
      <c r="D156" t="s">
        <v>50</v>
      </c>
      <c r="E156">
        <v>5</v>
      </c>
    </row>
    <row r="157" spans="1:5">
      <c r="A157" t="s">
        <v>358</v>
      </c>
      <c r="B157" t="s">
        <v>359</v>
      </c>
      <c r="C157">
        <v>3</v>
      </c>
      <c r="D157" t="s">
        <v>50</v>
      </c>
      <c r="E157">
        <v>5</v>
      </c>
    </row>
    <row r="158" spans="1:5">
      <c r="A158" t="s">
        <v>360</v>
      </c>
      <c r="B158" t="s">
        <v>177</v>
      </c>
      <c r="C158">
        <v>5</v>
      </c>
      <c r="D158" t="s">
        <v>50</v>
      </c>
      <c r="E158">
        <v>5</v>
      </c>
    </row>
    <row r="159" spans="1:5">
      <c r="A159" t="s">
        <v>361</v>
      </c>
      <c r="B159" t="s">
        <v>362</v>
      </c>
      <c r="C159">
        <v>5</v>
      </c>
      <c r="D159" t="s">
        <v>50</v>
      </c>
      <c r="E159">
        <v>5</v>
      </c>
    </row>
    <row r="160" spans="1:5">
      <c r="A160" t="s">
        <v>363</v>
      </c>
      <c r="B160" t="s">
        <v>197</v>
      </c>
      <c r="C160">
        <v>4</v>
      </c>
      <c r="D160" t="s">
        <v>50</v>
      </c>
      <c r="E160">
        <v>5</v>
      </c>
    </row>
    <row r="161" spans="1:5">
      <c r="A161" t="s">
        <v>364</v>
      </c>
      <c r="B161" t="s">
        <v>365</v>
      </c>
      <c r="C161">
        <v>4</v>
      </c>
      <c r="D161" t="s">
        <v>50</v>
      </c>
      <c r="E161">
        <v>4</v>
      </c>
    </row>
    <row r="162" spans="1:5">
      <c r="A162" t="s">
        <v>366</v>
      </c>
      <c r="B162" t="s">
        <v>367</v>
      </c>
      <c r="C162">
        <v>4</v>
      </c>
      <c r="D162" t="s">
        <v>50</v>
      </c>
      <c r="E162">
        <v>4</v>
      </c>
    </row>
    <row r="163" spans="1:5">
      <c r="A163" t="s">
        <v>368</v>
      </c>
      <c r="B163" t="s">
        <v>30</v>
      </c>
      <c r="C163">
        <v>3</v>
      </c>
      <c r="D163" t="s">
        <v>50</v>
      </c>
      <c r="E163">
        <v>4</v>
      </c>
    </row>
    <row r="164" spans="1:5">
      <c r="A164" t="s">
        <v>369</v>
      </c>
      <c r="B164" t="s">
        <v>370</v>
      </c>
      <c r="C164">
        <v>5</v>
      </c>
      <c r="D164" t="s">
        <v>50</v>
      </c>
      <c r="E164">
        <v>4</v>
      </c>
    </row>
    <row r="165" spans="1:5">
      <c r="A165" t="s">
        <v>371</v>
      </c>
      <c r="B165" t="s">
        <v>193</v>
      </c>
      <c r="C165">
        <v>4</v>
      </c>
      <c r="D165" t="s">
        <v>50</v>
      </c>
      <c r="E165">
        <v>4</v>
      </c>
    </row>
    <row r="166" spans="1:5">
      <c r="A166" t="s">
        <v>372</v>
      </c>
      <c r="B166" t="s">
        <v>373</v>
      </c>
      <c r="C166">
        <v>3</v>
      </c>
      <c r="D166" t="s">
        <v>50</v>
      </c>
      <c r="E166">
        <v>3</v>
      </c>
    </row>
    <row r="167" spans="1:5">
      <c r="A167" t="s">
        <v>374</v>
      </c>
      <c r="B167" t="s">
        <v>375</v>
      </c>
      <c r="C167">
        <v>2</v>
      </c>
      <c r="D167" t="s">
        <v>50</v>
      </c>
      <c r="E167">
        <v>3</v>
      </c>
    </row>
    <row r="168" spans="1:5">
      <c r="A168" t="s">
        <v>376</v>
      </c>
      <c r="B168" t="s">
        <v>377</v>
      </c>
      <c r="C168">
        <v>3</v>
      </c>
      <c r="D168" t="s">
        <v>50</v>
      </c>
      <c r="E168">
        <v>3</v>
      </c>
    </row>
    <row r="169" spans="1:5">
      <c r="A169" t="s">
        <v>378</v>
      </c>
      <c r="B169" t="s">
        <v>379</v>
      </c>
      <c r="C169">
        <v>3</v>
      </c>
      <c r="D169" t="s">
        <v>50</v>
      </c>
      <c r="E169">
        <v>3</v>
      </c>
    </row>
    <row r="170" spans="1:5">
      <c r="A170" t="s">
        <v>380</v>
      </c>
      <c r="B170" t="s">
        <v>381</v>
      </c>
      <c r="C170">
        <v>4</v>
      </c>
      <c r="D170" t="s">
        <v>50</v>
      </c>
      <c r="E170">
        <v>3</v>
      </c>
    </row>
    <row r="171" spans="1:5">
      <c r="A171" t="s">
        <v>382</v>
      </c>
      <c r="B171" t="s">
        <v>33</v>
      </c>
      <c r="C171">
        <v>5</v>
      </c>
      <c r="D171" t="s">
        <v>50</v>
      </c>
      <c r="E171">
        <v>3</v>
      </c>
    </row>
    <row r="172" spans="1:5">
      <c r="A172" t="s">
        <v>383</v>
      </c>
      <c r="B172" t="s">
        <v>203</v>
      </c>
      <c r="C172">
        <v>4</v>
      </c>
      <c r="D172" t="s">
        <v>50</v>
      </c>
      <c r="E172">
        <v>2</v>
      </c>
    </row>
    <row r="173" spans="1:5">
      <c r="A173" t="s">
        <v>384</v>
      </c>
      <c r="B173" t="s">
        <v>385</v>
      </c>
      <c r="C173">
        <v>3</v>
      </c>
      <c r="D173" t="s">
        <v>50</v>
      </c>
      <c r="E173">
        <v>2</v>
      </c>
    </row>
    <row r="174" spans="1:5">
      <c r="A174" t="s">
        <v>386</v>
      </c>
      <c r="B174" t="s">
        <v>209</v>
      </c>
      <c r="C174">
        <v>2</v>
      </c>
      <c r="D174" t="s">
        <v>50</v>
      </c>
      <c r="E174">
        <v>2</v>
      </c>
    </row>
    <row r="175" spans="1:5">
      <c r="A175" t="s">
        <v>387</v>
      </c>
      <c r="B175" t="s">
        <v>388</v>
      </c>
      <c r="C175">
        <v>8</v>
      </c>
      <c r="D175" t="s">
        <v>50</v>
      </c>
      <c r="E175">
        <v>2</v>
      </c>
    </row>
    <row r="176" spans="1:5">
      <c r="A176" t="s">
        <v>389</v>
      </c>
      <c r="B176" t="s">
        <v>199</v>
      </c>
      <c r="C176">
        <v>3</v>
      </c>
      <c r="D176" t="s">
        <v>50</v>
      </c>
      <c r="E176">
        <v>2</v>
      </c>
    </row>
    <row r="177" spans="1:5">
      <c r="A177" t="s">
        <v>390</v>
      </c>
      <c r="B177" t="s">
        <v>25</v>
      </c>
      <c r="C177">
        <v>3</v>
      </c>
      <c r="D177" t="s">
        <v>50</v>
      </c>
      <c r="E177">
        <v>1</v>
      </c>
    </row>
    <row r="178" spans="1:5">
      <c r="A178" t="s">
        <v>391</v>
      </c>
      <c r="B178" t="s">
        <v>392</v>
      </c>
      <c r="C178">
        <v>2</v>
      </c>
      <c r="D178" t="s">
        <v>50</v>
      </c>
      <c r="E178">
        <v>1</v>
      </c>
    </row>
    <row r="179" spans="1:5">
      <c r="A179" t="s">
        <v>393</v>
      </c>
      <c r="B179" t="s">
        <v>330</v>
      </c>
      <c r="C179">
        <v>3</v>
      </c>
      <c r="D179" t="s">
        <v>50</v>
      </c>
      <c r="E179">
        <v>1</v>
      </c>
    </row>
    <row r="180" spans="1:5">
      <c r="A180" t="s">
        <v>394</v>
      </c>
      <c r="B180" t="s">
        <v>325</v>
      </c>
      <c r="C180">
        <v>5</v>
      </c>
      <c r="D180" t="s">
        <v>50</v>
      </c>
      <c r="E180">
        <v>1</v>
      </c>
    </row>
    <row r="181" spans="1:5">
      <c r="A181" t="s">
        <v>395</v>
      </c>
      <c r="B181" t="s">
        <v>396</v>
      </c>
      <c r="C181">
        <v>7</v>
      </c>
      <c r="D181" t="s">
        <v>50</v>
      </c>
      <c r="E181">
        <v>1</v>
      </c>
    </row>
    <row r="182" spans="1:5">
      <c r="A182" t="s">
        <v>397</v>
      </c>
      <c r="B182" t="s">
        <v>398</v>
      </c>
      <c r="C182">
        <v>4</v>
      </c>
      <c r="D182" t="s">
        <v>52</v>
      </c>
      <c r="E182">
        <v>8</v>
      </c>
    </row>
    <row r="183" spans="1:5">
      <c r="A183" t="s">
        <v>399</v>
      </c>
      <c r="B183" t="s">
        <v>400</v>
      </c>
      <c r="C183">
        <v>4</v>
      </c>
      <c r="D183" t="s">
        <v>52</v>
      </c>
      <c r="E183">
        <v>8</v>
      </c>
    </row>
    <row r="184" spans="1:5">
      <c r="A184" t="s">
        <v>401</v>
      </c>
      <c r="B184" t="s">
        <v>402</v>
      </c>
      <c r="C184">
        <v>4</v>
      </c>
      <c r="D184" t="s">
        <v>52</v>
      </c>
      <c r="E184">
        <v>8</v>
      </c>
    </row>
    <row r="185" spans="1:5">
      <c r="A185" t="s">
        <v>403</v>
      </c>
      <c r="B185" t="s">
        <v>351</v>
      </c>
      <c r="C185">
        <v>4</v>
      </c>
      <c r="D185" t="s">
        <v>52</v>
      </c>
      <c r="E185">
        <v>8</v>
      </c>
    </row>
    <row r="186" spans="1:5">
      <c r="A186" t="s">
        <v>404</v>
      </c>
      <c r="B186" t="s">
        <v>405</v>
      </c>
      <c r="C186">
        <v>4</v>
      </c>
      <c r="D186" t="s">
        <v>52</v>
      </c>
      <c r="E186">
        <v>8</v>
      </c>
    </row>
    <row r="187" spans="1:5">
      <c r="A187" t="s">
        <v>406</v>
      </c>
      <c r="B187" t="s">
        <v>163</v>
      </c>
      <c r="C187">
        <v>4</v>
      </c>
      <c r="D187" t="s">
        <v>52</v>
      </c>
      <c r="E187">
        <v>7</v>
      </c>
    </row>
    <row r="188" spans="1:5">
      <c r="A188" t="s">
        <v>407</v>
      </c>
      <c r="B188" t="s">
        <v>408</v>
      </c>
      <c r="C188">
        <v>4</v>
      </c>
      <c r="D188" t="s">
        <v>52</v>
      </c>
      <c r="E188">
        <v>7</v>
      </c>
    </row>
    <row r="189" spans="1:5">
      <c r="A189" t="s">
        <v>409</v>
      </c>
      <c r="B189" t="s">
        <v>410</v>
      </c>
      <c r="C189">
        <v>4</v>
      </c>
      <c r="D189" t="s">
        <v>52</v>
      </c>
      <c r="E189">
        <v>7</v>
      </c>
    </row>
    <row r="190" spans="1:5">
      <c r="A190" t="s">
        <v>411</v>
      </c>
      <c r="B190" t="s">
        <v>412</v>
      </c>
      <c r="C190">
        <v>4</v>
      </c>
      <c r="D190" t="s">
        <v>52</v>
      </c>
      <c r="E190">
        <v>7</v>
      </c>
    </row>
    <row r="191" spans="1:5">
      <c r="A191" t="s">
        <v>413</v>
      </c>
      <c r="B191" t="s">
        <v>414</v>
      </c>
      <c r="C191">
        <v>4</v>
      </c>
      <c r="D191" t="s">
        <v>52</v>
      </c>
      <c r="E191">
        <v>7</v>
      </c>
    </row>
    <row r="192" spans="1:5">
      <c r="A192" t="s">
        <v>415</v>
      </c>
      <c r="B192" t="s">
        <v>416</v>
      </c>
      <c r="C192">
        <v>4</v>
      </c>
      <c r="D192" t="s">
        <v>52</v>
      </c>
      <c r="E192">
        <v>6</v>
      </c>
    </row>
    <row r="193" spans="1:5">
      <c r="A193" t="s">
        <v>417</v>
      </c>
      <c r="B193" t="s">
        <v>177</v>
      </c>
      <c r="C193">
        <v>5</v>
      </c>
      <c r="D193" t="s">
        <v>52</v>
      </c>
      <c r="E193">
        <v>6</v>
      </c>
    </row>
    <row r="194" spans="1:5">
      <c r="A194" t="s">
        <v>418</v>
      </c>
      <c r="B194" t="s">
        <v>419</v>
      </c>
      <c r="C194">
        <v>4</v>
      </c>
      <c r="D194" t="s">
        <v>52</v>
      </c>
      <c r="E194">
        <v>6</v>
      </c>
    </row>
    <row r="195" spans="1:5">
      <c r="A195" t="s">
        <v>420</v>
      </c>
      <c r="B195" t="s">
        <v>421</v>
      </c>
      <c r="C195">
        <v>3</v>
      </c>
      <c r="D195" t="s">
        <v>52</v>
      </c>
      <c r="E195">
        <v>6</v>
      </c>
    </row>
    <row r="196" spans="1:5">
      <c r="A196" t="s">
        <v>422</v>
      </c>
      <c r="B196" t="s">
        <v>302</v>
      </c>
      <c r="C196">
        <v>4</v>
      </c>
      <c r="D196" t="s">
        <v>52</v>
      </c>
      <c r="E196">
        <v>6</v>
      </c>
    </row>
    <row r="197" spans="1:5">
      <c r="A197" t="s">
        <v>423</v>
      </c>
      <c r="B197" t="s">
        <v>424</v>
      </c>
      <c r="C197">
        <v>3</v>
      </c>
      <c r="D197" t="s">
        <v>52</v>
      </c>
      <c r="E197">
        <v>5</v>
      </c>
    </row>
    <row r="198" spans="1:5">
      <c r="A198" t="s">
        <v>425</v>
      </c>
      <c r="B198" t="s">
        <v>426</v>
      </c>
      <c r="C198">
        <v>3</v>
      </c>
      <c r="D198" t="s">
        <v>52</v>
      </c>
      <c r="E198">
        <v>5</v>
      </c>
    </row>
    <row r="199" spans="1:5">
      <c r="A199" t="s">
        <v>427</v>
      </c>
      <c r="B199" t="s">
        <v>428</v>
      </c>
      <c r="C199">
        <v>3</v>
      </c>
      <c r="D199" t="s">
        <v>52</v>
      </c>
      <c r="E199">
        <v>5</v>
      </c>
    </row>
    <row r="200" spans="1:5">
      <c r="A200" t="s">
        <v>429</v>
      </c>
      <c r="B200" t="s">
        <v>430</v>
      </c>
      <c r="C200">
        <v>4</v>
      </c>
      <c r="D200" t="s">
        <v>52</v>
      </c>
      <c r="E200">
        <v>5</v>
      </c>
    </row>
    <row r="201" spans="1:5">
      <c r="A201" t="s">
        <v>431</v>
      </c>
      <c r="B201" t="s">
        <v>432</v>
      </c>
      <c r="C201">
        <v>3</v>
      </c>
      <c r="D201" t="s">
        <v>52</v>
      </c>
      <c r="E201">
        <v>5</v>
      </c>
    </row>
    <row r="202" spans="1:5">
      <c r="A202" t="s">
        <v>433</v>
      </c>
      <c r="B202" t="s">
        <v>434</v>
      </c>
      <c r="C202">
        <v>4</v>
      </c>
      <c r="D202" t="s">
        <v>52</v>
      </c>
      <c r="E202">
        <v>5</v>
      </c>
    </row>
    <row r="203" spans="1:5">
      <c r="A203" t="s">
        <v>435</v>
      </c>
      <c r="B203" t="s">
        <v>436</v>
      </c>
      <c r="C203">
        <v>4</v>
      </c>
      <c r="D203" t="s">
        <v>52</v>
      </c>
      <c r="E203">
        <v>4</v>
      </c>
    </row>
    <row r="204" spans="1:5">
      <c r="A204" t="s">
        <v>437</v>
      </c>
      <c r="B204" t="s">
        <v>56</v>
      </c>
      <c r="C204">
        <v>3</v>
      </c>
      <c r="D204" t="s">
        <v>52</v>
      </c>
      <c r="E204">
        <v>4</v>
      </c>
    </row>
    <row r="205" spans="1:5">
      <c r="A205" t="s">
        <v>438</v>
      </c>
      <c r="B205" t="s">
        <v>193</v>
      </c>
      <c r="C205">
        <v>5</v>
      </c>
      <c r="D205" t="s">
        <v>52</v>
      </c>
      <c r="E205">
        <v>4</v>
      </c>
    </row>
    <row r="206" spans="1:5">
      <c r="A206" t="s">
        <v>439</v>
      </c>
      <c r="B206" t="s">
        <v>440</v>
      </c>
      <c r="C206">
        <v>3</v>
      </c>
      <c r="D206" t="s">
        <v>52</v>
      </c>
      <c r="E206">
        <v>4</v>
      </c>
    </row>
    <row r="207" spans="1:5">
      <c r="A207" t="s">
        <v>441</v>
      </c>
      <c r="B207" t="s">
        <v>205</v>
      </c>
      <c r="C207">
        <v>5</v>
      </c>
      <c r="D207" t="s">
        <v>52</v>
      </c>
      <c r="E207">
        <v>4</v>
      </c>
    </row>
    <row r="208" spans="1:5">
      <c r="A208" t="s">
        <v>442</v>
      </c>
      <c r="B208" t="s">
        <v>443</v>
      </c>
      <c r="C208">
        <v>4</v>
      </c>
      <c r="D208" t="s">
        <v>52</v>
      </c>
      <c r="E208">
        <v>3</v>
      </c>
    </row>
    <row r="209" spans="1:5">
      <c r="A209" t="s">
        <v>444</v>
      </c>
      <c r="B209" t="s">
        <v>445</v>
      </c>
      <c r="C209">
        <v>5</v>
      </c>
      <c r="D209" t="s">
        <v>52</v>
      </c>
      <c r="E209">
        <v>3</v>
      </c>
    </row>
    <row r="210" spans="1:5">
      <c r="A210" t="s">
        <v>446</v>
      </c>
      <c r="B210" t="s">
        <v>447</v>
      </c>
      <c r="C210">
        <v>5</v>
      </c>
      <c r="D210" t="s">
        <v>52</v>
      </c>
      <c r="E210">
        <v>3</v>
      </c>
    </row>
    <row r="211" spans="1:5">
      <c r="A211" t="s">
        <v>448</v>
      </c>
      <c r="B211" t="s">
        <v>449</v>
      </c>
      <c r="C211">
        <v>6</v>
      </c>
      <c r="D211" t="s">
        <v>52</v>
      </c>
      <c r="E211">
        <v>3</v>
      </c>
    </row>
    <row r="212" spans="1:5">
      <c r="A212" t="s">
        <v>450</v>
      </c>
      <c r="B212" t="s">
        <v>451</v>
      </c>
      <c r="C212">
        <v>5</v>
      </c>
      <c r="D212" t="s">
        <v>52</v>
      </c>
      <c r="E212">
        <v>2</v>
      </c>
    </row>
    <row r="213" spans="1:5">
      <c r="A213" t="s">
        <v>452</v>
      </c>
      <c r="B213" t="s">
        <v>203</v>
      </c>
      <c r="C213">
        <v>5</v>
      </c>
      <c r="D213" t="s">
        <v>52</v>
      </c>
      <c r="E213">
        <v>2</v>
      </c>
    </row>
    <row r="214" spans="1:5">
      <c r="A214" t="s">
        <v>453</v>
      </c>
      <c r="B214" t="s">
        <v>454</v>
      </c>
      <c r="C214">
        <v>4</v>
      </c>
      <c r="D214" t="s">
        <v>52</v>
      </c>
      <c r="E214">
        <v>2</v>
      </c>
    </row>
    <row r="215" spans="1:5">
      <c r="A215" t="s">
        <v>455</v>
      </c>
      <c r="B215" t="s">
        <v>197</v>
      </c>
      <c r="C215">
        <v>6</v>
      </c>
      <c r="D215" t="s">
        <v>52</v>
      </c>
      <c r="E215">
        <v>2</v>
      </c>
    </row>
    <row r="216" spans="1:5">
      <c r="A216" t="s">
        <v>456</v>
      </c>
      <c r="B216" t="s">
        <v>330</v>
      </c>
      <c r="C216">
        <v>4</v>
      </c>
      <c r="D216" t="s">
        <v>52</v>
      </c>
      <c r="E216">
        <v>1</v>
      </c>
    </row>
    <row r="217" spans="1:5">
      <c r="A217" t="s">
        <v>457</v>
      </c>
      <c r="B217" t="s">
        <v>20</v>
      </c>
      <c r="C217">
        <v>3</v>
      </c>
      <c r="D217" t="s">
        <v>52</v>
      </c>
      <c r="E217">
        <v>1</v>
      </c>
    </row>
    <row r="218" spans="1:5">
      <c r="A218" t="s">
        <v>458</v>
      </c>
      <c r="B218" t="s">
        <v>459</v>
      </c>
      <c r="C218">
        <v>6</v>
      </c>
      <c r="D218" t="s">
        <v>52</v>
      </c>
      <c r="E218">
        <v>1</v>
      </c>
    </row>
    <row r="219" spans="1:5">
      <c r="A219" t="s">
        <v>460</v>
      </c>
      <c r="B219" t="s">
        <v>461</v>
      </c>
      <c r="C219">
        <v>7</v>
      </c>
      <c r="D219" t="s">
        <v>52</v>
      </c>
      <c r="E219">
        <v>1</v>
      </c>
    </row>
    <row r="220" spans="1:5">
      <c r="A220" t="s">
        <v>462</v>
      </c>
      <c r="B220" t="s">
        <v>38</v>
      </c>
      <c r="C220">
        <v>4</v>
      </c>
      <c r="D220" t="s">
        <v>54</v>
      </c>
      <c r="E220">
        <v>8</v>
      </c>
    </row>
    <row r="221" spans="1:5">
      <c r="A221" t="s">
        <v>463</v>
      </c>
      <c r="B221" t="s">
        <v>464</v>
      </c>
      <c r="C221">
        <v>4</v>
      </c>
      <c r="D221" t="s">
        <v>54</v>
      </c>
      <c r="E221">
        <v>8</v>
      </c>
    </row>
    <row r="222" spans="1:5">
      <c r="A222" t="s">
        <v>465</v>
      </c>
      <c r="B222" t="s">
        <v>34</v>
      </c>
      <c r="C222">
        <v>4</v>
      </c>
      <c r="D222" t="s">
        <v>54</v>
      </c>
      <c r="E222">
        <v>8</v>
      </c>
    </row>
    <row r="223" spans="1:5">
      <c r="A223" t="s">
        <v>466</v>
      </c>
      <c r="B223" t="s">
        <v>467</v>
      </c>
      <c r="C223">
        <v>4</v>
      </c>
      <c r="D223" t="s">
        <v>54</v>
      </c>
      <c r="E223">
        <v>8</v>
      </c>
    </row>
    <row r="224" spans="1:5">
      <c r="A224" t="s">
        <v>468</v>
      </c>
      <c r="B224" t="s">
        <v>469</v>
      </c>
      <c r="C224">
        <v>4</v>
      </c>
      <c r="D224" t="s">
        <v>54</v>
      </c>
      <c r="E224">
        <v>6</v>
      </c>
    </row>
    <row r="225" spans="1:5">
      <c r="A225" t="s">
        <v>470</v>
      </c>
      <c r="B225" t="s">
        <v>471</v>
      </c>
      <c r="C225">
        <v>4</v>
      </c>
      <c r="D225" t="s">
        <v>54</v>
      </c>
      <c r="E225">
        <v>6</v>
      </c>
    </row>
    <row r="226" spans="1:5">
      <c r="A226" t="s">
        <v>472</v>
      </c>
      <c r="B226" t="s">
        <v>473</v>
      </c>
      <c r="C226">
        <v>4</v>
      </c>
      <c r="D226" t="s">
        <v>54</v>
      </c>
      <c r="E226">
        <v>6</v>
      </c>
    </row>
    <row r="227" spans="1:5">
      <c r="A227" t="s">
        <v>474</v>
      </c>
      <c r="B227" t="s">
        <v>475</v>
      </c>
      <c r="C227">
        <v>4</v>
      </c>
      <c r="D227" t="s">
        <v>54</v>
      </c>
      <c r="E227">
        <v>6</v>
      </c>
    </row>
    <row r="228" spans="1:5">
      <c r="A228" t="s">
        <v>476</v>
      </c>
      <c r="B228" t="s">
        <v>477</v>
      </c>
      <c r="C228">
        <v>4</v>
      </c>
      <c r="D228" t="s">
        <v>54</v>
      </c>
      <c r="E228">
        <v>6</v>
      </c>
    </row>
    <row r="229" spans="1:5">
      <c r="A229" t="s">
        <v>478</v>
      </c>
      <c r="B229" t="s">
        <v>26</v>
      </c>
      <c r="C229">
        <v>5</v>
      </c>
      <c r="D229" t="s">
        <v>54</v>
      </c>
      <c r="E229">
        <v>4</v>
      </c>
    </row>
    <row r="230" spans="1:5">
      <c r="A230" t="s">
        <v>479</v>
      </c>
      <c r="B230" t="s">
        <v>480</v>
      </c>
      <c r="C230">
        <v>6</v>
      </c>
      <c r="D230" t="s">
        <v>54</v>
      </c>
      <c r="E230">
        <v>4</v>
      </c>
    </row>
    <row r="231" spans="1:5">
      <c r="A231" t="s">
        <v>481</v>
      </c>
      <c r="B231" t="s">
        <v>36</v>
      </c>
      <c r="C231">
        <v>5</v>
      </c>
      <c r="D231" t="s">
        <v>54</v>
      </c>
      <c r="E231">
        <v>4</v>
      </c>
    </row>
    <row r="232" spans="1:5">
      <c r="A232" t="s">
        <v>482</v>
      </c>
      <c r="B232" t="s">
        <v>483</v>
      </c>
      <c r="C232">
        <v>4</v>
      </c>
      <c r="D232" t="s">
        <v>54</v>
      </c>
      <c r="E232">
        <v>4</v>
      </c>
    </row>
    <row r="233" spans="1:5">
      <c r="A233" t="s">
        <v>484</v>
      </c>
      <c r="B233" t="s">
        <v>485</v>
      </c>
      <c r="C233">
        <v>4</v>
      </c>
      <c r="D233" t="s">
        <v>54</v>
      </c>
      <c r="E233">
        <v>3</v>
      </c>
    </row>
    <row r="234" spans="1:5">
      <c r="A234" t="s">
        <v>486</v>
      </c>
      <c r="B234" t="s">
        <v>487</v>
      </c>
      <c r="C234">
        <v>4</v>
      </c>
      <c r="D234" t="s">
        <v>54</v>
      </c>
      <c r="E234">
        <v>3</v>
      </c>
    </row>
    <row r="235" spans="1:5">
      <c r="A235" t="s">
        <v>488</v>
      </c>
      <c r="B235" t="s">
        <v>489</v>
      </c>
      <c r="C235">
        <v>4</v>
      </c>
      <c r="D235" t="s">
        <v>54</v>
      </c>
      <c r="E235">
        <v>3</v>
      </c>
    </row>
    <row r="236" spans="1:5">
      <c r="A236" t="s">
        <v>490</v>
      </c>
      <c r="B236" t="s">
        <v>201</v>
      </c>
      <c r="C236">
        <v>4</v>
      </c>
      <c r="D236" t="s">
        <v>54</v>
      </c>
      <c r="E236">
        <v>3</v>
      </c>
    </row>
    <row r="237" spans="1:5">
      <c r="A237" t="s">
        <v>491</v>
      </c>
      <c r="B237" t="s">
        <v>492</v>
      </c>
      <c r="C237">
        <v>4</v>
      </c>
      <c r="D237" t="s">
        <v>54</v>
      </c>
      <c r="E237">
        <v>3</v>
      </c>
    </row>
    <row r="238" spans="1:5">
      <c r="A238" t="s">
        <v>491</v>
      </c>
      <c r="B238" t="s">
        <v>493</v>
      </c>
      <c r="C238">
        <v>4</v>
      </c>
      <c r="D238" t="s">
        <v>54</v>
      </c>
      <c r="E238">
        <v>7</v>
      </c>
    </row>
    <row r="239" spans="1:5">
      <c r="A239" t="s">
        <v>494</v>
      </c>
      <c r="B239" t="s">
        <v>495</v>
      </c>
      <c r="C239">
        <v>20</v>
      </c>
      <c r="D239" t="s">
        <v>54</v>
      </c>
      <c r="E239">
        <v>8</v>
      </c>
    </row>
    <row r="240" spans="1:5">
      <c r="A240" t="s">
        <v>496</v>
      </c>
      <c r="B240" t="s">
        <v>497</v>
      </c>
      <c r="C240">
        <v>4</v>
      </c>
      <c r="D240" t="s">
        <v>54</v>
      </c>
      <c r="E240">
        <v>8</v>
      </c>
    </row>
    <row r="241" spans="1:5">
      <c r="A241" t="s">
        <v>498</v>
      </c>
      <c r="B241" t="s">
        <v>499</v>
      </c>
      <c r="C241">
        <v>5</v>
      </c>
      <c r="D241" t="s">
        <v>56</v>
      </c>
      <c r="E241">
        <v>8</v>
      </c>
    </row>
    <row r="242" spans="1:5">
      <c r="A242" t="s">
        <v>500</v>
      </c>
      <c r="B242" t="s">
        <v>501</v>
      </c>
      <c r="C242">
        <v>5</v>
      </c>
      <c r="D242" t="s">
        <v>56</v>
      </c>
      <c r="E242">
        <v>8</v>
      </c>
    </row>
    <row r="243" spans="1:5">
      <c r="A243" t="s">
        <v>502</v>
      </c>
      <c r="B243" t="s">
        <v>503</v>
      </c>
      <c r="C243">
        <v>5</v>
      </c>
      <c r="D243" t="s">
        <v>56</v>
      </c>
      <c r="E243">
        <v>8</v>
      </c>
    </row>
    <row r="244" spans="1:5">
      <c r="A244" t="s">
        <v>504</v>
      </c>
      <c r="B244" t="s">
        <v>505</v>
      </c>
      <c r="C244">
        <v>5</v>
      </c>
      <c r="D244" t="s">
        <v>56</v>
      </c>
      <c r="E244">
        <v>8</v>
      </c>
    </row>
    <row r="245" spans="1:5">
      <c r="A245" t="s">
        <v>506</v>
      </c>
      <c r="B245" t="s">
        <v>507</v>
      </c>
      <c r="C245">
        <v>5</v>
      </c>
      <c r="D245" t="s">
        <v>56</v>
      </c>
      <c r="E245">
        <v>7</v>
      </c>
    </row>
    <row r="246" spans="1:5">
      <c r="A246" t="s">
        <v>508</v>
      </c>
      <c r="B246" t="s">
        <v>509</v>
      </c>
      <c r="C246">
        <v>5</v>
      </c>
      <c r="D246" t="s">
        <v>56</v>
      </c>
      <c r="E246">
        <v>7</v>
      </c>
    </row>
    <row r="247" spans="1:5">
      <c r="A247" t="s">
        <v>510</v>
      </c>
      <c r="B247" t="s">
        <v>511</v>
      </c>
      <c r="C247">
        <v>5</v>
      </c>
      <c r="D247" t="s">
        <v>56</v>
      </c>
      <c r="E247">
        <v>7</v>
      </c>
    </row>
    <row r="248" spans="1:5">
      <c r="A248" t="s">
        <v>512</v>
      </c>
      <c r="B248" t="s">
        <v>513</v>
      </c>
      <c r="C248">
        <v>5</v>
      </c>
      <c r="D248" t="s">
        <v>56</v>
      </c>
      <c r="E248">
        <v>7</v>
      </c>
    </row>
    <row r="249" spans="1:5">
      <c r="A249" t="s">
        <v>514</v>
      </c>
      <c r="B249" t="s">
        <v>515</v>
      </c>
      <c r="C249">
        <v>4</v>
      </c>
      <c r="D249" t="s">
        <v>56</v>
      </c>
      <c r="E249">
        <v>6</v>
      </c>
    </row>
    <row r="250" spans="1:5">
      <c r="A250" t="s">
        <v>516</v>
      </c>
      <c r="B250" t="s">
        <v>517</v>
      </c>
      <c r="C250">
        <v>4</v>
      </c>
      <c r="D250" t="s">
        <v>56</v>
      </c>
      <c r="E250">
        <v>6</v>
      </c>
    </row>
    <row r="251" spans="1:5">
      <c r="A251" t="s">
        <v>518</v>
      </c>
      <c r="B251" t="s">
        <v>519</v>
      </c>
      <c r="C251">
        <v>4</v>
      </c>
      <c r="D251" t="s">
        <v>56</v>
      </c>
      <c r="E251">
        <v>6</v>
      </c>
    </row>
    <row r="252" spans="1:5">
      <c r="A252" t="s">
        <v>520</v>
      </c>
      <c r="B252" t="s">
        <v>521</v>
      </c>
      <c r="C252">
        <v>4</v>
      </c>
      <c r="D252" t="s">
        <v>56</v>
      </c>
      <c r="E252">
        <v>6</v>
      </c>
    </row>
    <row r="253" spans="1:5">
      <c r="A253" t="s">
        <v>522</v>
      </c>
      <c r="B253" t="s">
        <v>523</v>
      </c>
      <c r="C253">
        <v>4</v>
      </c>
      <c r="D253" t="s">
        <v>56</v>
      </c>
      <c r="E253">
        <v>6</v>
      </c>
    </row>
    <row r="254" spans="1:5">
      <c r="A254" t="s">
        <v>524</v>
      </c>
      <c r="B254" t="s">
        <v>525</v>
      </c>
      <c r="C254">
        <v>4</v>
      </c>
      <c r="D254" t="s">
        <v>56</v>
      </c>
      <c r="E254">
        <v>5</v>
      </c>
    </row>
    <row r="255" spans="1:5">
      <c r="A255" t="s">
        <v>526</v>
      </c>
      <c r="B255" t="s">
        <v>527</v>
      </c>
      <c r="C255">
        <v>4</v>
      </c>
      <c r="D255" t="s">
        <v>56</v>
      </c>
      <c r="E255">
        <v>5</v>
      </c>
    </row>
    <row r="256" spans="1:5">
      <c r="A256" t="s">
        <v>528</v>
      </c>
      <c r="B256" t="s">
        <v>529</v>
      </c>
      <c r="C256">
        <v>4</v>
      </c>
      <c r="D256" t="s">
        <v>56</v>
      </c>
      <c r="E256">
        <v>5</v>
      </c>
    </row>
    <row r="257" spans="1:5">
      <c r="A257" t="s">
        <v>530</v>
      </c>
      <c r="B257" t="s">
        <v>531</v>
      </c>
      <c r="C257">
        <v>4</v>
      </c>
      <c r="D257" t="s">
        <v>56</v>
      </c>
      <c r="E257">
        <v>5</v>
      </c>
    </row>
    <row r="258" spans="1:5">
      <c r="A258" t="s">
        <v>532</v>
      </c>
      <c r="B258" t="s">
        <v>533</v>
      </c>
      <c r="C258">
        <v>4</v>
      </c>
      <c r="D258" t="s">
        <v>56</v>
      </c>
      <c r="E258">
        <v>5</v>
      </c>
    </row>
    <row r="259" spans="1:5">
      <c r="A259" t="s">
        <v>534</v>
      </c>
      <c r="B259" t="s">
        <v>535</v>
      </c>
      <c r="C259">
        <v>4</v>
      </c>
      <c r="D259" t="s">
        <v>56</v>
      </c>
      <c r="E259">
        <v>4</v>
      </c>
    </row>
    <row r="260" spans="1:5">
      <c r="A260" t="s">
        <v>536</v>
      </c>
      <c r="B260" t="s">
        <v>537</v>
      </c>
      <c r="C260">
        <v>4</v>
      </c>
      <c r="D260" t="s">
        <v>56</v>
      </c>
      <c r="E260">
        <v>4</v>
      </c>
    </row>
    <row r="261" spans="1:5">
      <c r="A261" t="s">
        <v>538</v>
      </c>
      <c r="B261" t="s">
        <v>539</v>
      </c>
      <c r="C261">
        <v>4</v>
      </c>
      <c r="D261" t="s">
        <v>56</v>
      </c>
      <c r="E261">
        <v>4</v>
      </c>
    </row>
    <row r="262" spans="1:5">
      <c r="A262" t="s">
        <v>540</v>
      </c>
      <c r="B262" t="s">
        <v>35</v>
      </c>
      <c r="C262">
        <v>4</v>
      </c>
      <c r="D262" t="s">
        <v>56</v>
      </c>
      <c r="E262">
        <v>4</v>
      </c>
    </row>
    <row r="263" spans="1:5">
      <c r="A263" t="s">
        <v>541</v>
      </c>
      <c r="B263" t="s">
        <v>542</v>
      </c>
      <c r="C263">
        <v>4</v>
      </c>
      <c r="D263" t="s">
        <v>56</v>
      </c>
      <c r="E263">
        <v>4</v>
      </c>
    </row>
    <row r="264" spans="1:5">
      <c r="A264" t="s">
        <v>543</v>
      </c>
      <c r="B264" t="s">
        <v>544</v>
      </c>
      <c r="C264">
        <v>3</v>
      </c>
      <c r="D264" t="s">
        <v>56</v>
      </c>
      <c r="E264">
        <v>3</v>
      </c>
    </row>
    <row r="265" spans="1:5">
      <c r="A265" t="s">
        <v>545</v>
      </c>
      <c r="B265" t="s">
        <v>546</v>
      </c>
      <c r="C265">
        <v>3</v>
      </c>
      <c r="D265" t="s">
        <v>56</v>
      </c>
      <c r="E265">
        <v>3</v>
      </c>
    </row>
    <row r="266" spans="1:5">
      <c r="A266" t="s">
        <v>547</v>
      </c>
      <c r="B266" t="s">
        <v>548</v>
      </c>
      <c r="C266">
        <v>3</v>
      </c>
      <c r="D266" t="s">
        <v>56</v>
      </c>
      <c r="E266">
        <v>3</v>
      </c>
    </row>
    <row r="267" spans="1:5">
      <c r="A267" t="s">
        <v>549</v>
      </c>
      <c r="B267" t="s">
        <v>550</v>
      </c>
      <c r="C267">
        <v>3</v>
      </c>
      <c r="D267" t="s">
        <v>56</v>
      </c>
      <c r="E267">
        <v>3</v>
      </c>
    </row>
    <row r="268" spans="1:5">
      <c r="A268" t="s">
        <v>551</v>
      </c>
      <c r="B268" t="s">
        <v>552</v>
      </c>
      <c r="C268">
        <v>4</v>
      </c>
      <c r="D268" t="s">
        <v>56</v>
      </c>
      <c r="E268">
        <v>3</v>
      </c>
    </row>
    <row r="269" spans="1:5">
      <c r="A269" t="s">
        <v>553</v>
      </c>
      <c r="B269" t="s">
        <v>554</v>
      </c>
      <c r="C269">
        <v>4</v>
      </c>
      <c r="D269" t="s">
        <v>56</v>
      </c>
      <c r="E269">
        <v>3</v>
      </c>
    </row>
    <row r="270" spans="1:5">
      <c r="A270" t="s">
        <v>555</v>
      </c>
      <c r="B270" t="s">
        <v>556</v>
      </c>
      <c r="C270">
        <v>4</v>
      </c>
      <c r="D270" t="s">
        <v>56</v>
      </c>
      <c r="E270">
        <v>2</v>
      </c>
    </row>
    <row r="271" spans="1:5">
      <c r="A271" t="s">
        <v>557</v>
      </c>
      <c r="B271" t="s">
        <v>558</v>
      </c>
      <c r="C271">
        <v>3</v>
      </c>
      <c r="D271" t="s">
        <v>56</v>
      </c>
      <c r="E271">
        <v>2</v>
      </c>
    </row>
    <row r="272" spans="1:5">
      <c r="A272" t="s">
        <v>559</v>
      </c>
      <c r="B272" t="s">
        <v>560</v>
      </c>
      <c r="C272">
        <v>3</v>
      </c>
      <c r="D272" t="s">
        <v>56</v>
      </c>
      <c r="E272">
        <v>2</v>
      </c>
    </row>
    <row r="273" spans="1:5">
      <c r="A273" t="s">
        <v>561</v>
      </c>
      <c r="B273" t="s">
        <v>562</v>
      </c>
      <c r="C273">
        <v>3</v>
      </c>
      <c r="D273" t="s">
        <v>56</v>
      </c>
      <c r="E273">
        <v>2</v>
      </c>
    </row>
    <row r="274" spans="1:5">
      <c r="A274" t="s">
        <v>563</v>
      </c>
      <c r="B274" t="s">
        <v>564</v>
      </c>
      <c r="C274">
        <v>3</v>
      </c>
      <c r="D274" t="s">
        <v>56</v>
      </c>
      <c r="E274">
        <v>2</v>
      </c>
    </row>
    <row r="275" spans="1:5">
      <c r="A275" t="s">
        <v>565</v>
      </c>
      <c r="B275" t="s">
        <v>566</v>
      </c>
      <c r="C275">
        <v>4</v>
      </c>
      <c r="D275" t="s">
        <v>56</v>
      </c>
      <c r="E275">
        <v>2</v>
      </c>
    </row>
    <row r="276" spans="1:5">
      <c r="A276" t="s">
        <v>567</v>
      </c>
      <c r="B276" t="s">
        <v>568</v>
      </c>
      <c r="C276">
        <v>3</v>
      </c>
      <c r="D276" t="s">
        <v>56</v>
      </c>
      <c r="E276">
        <v>1</v>
      </c>
    </row>
    <row r="277" spans="1:5">
      <c r="A277" t="s">
        <v>569</v>
      </c>
      <c r="B277" t="s">
        <v>570</v>
      </c>
      <c r="C277">
        <v>4</v>
      </c>
      <c r="D277" t="s">
        <v>56</v>
      </c>
      <c r="E277">
        <v>1</v>
      </c>
    </row>
    <row r="278" spans="1:5">
      <c r="A278" t="s">
        <v>571</v>
      </c>
      <c r="B278" t="s">
        <v>572</v>
      </c>
      <c r="C278">
        <v>4</v>
      </c>
      <c r="D278" t="s">
        <v>56</v>
      </c>
      <c r="E278">
        <v>1</v>
      </c>
    </row>
    <row r="279" spans="1:5">
      <c r="A279" t="s">
        <v>573</v>
      </c>
      <c r="B279" t="s">
        <v>574</v>
      </c>
      <c r="C279">
        <v>4</v>
      </c>
      <c r="D279" t="s">
        <v>56</v>
      </c>
      <c r="E279">
        <v>1</v>
      </c>
    </row>
    <row r="280" spans="1:5">
      <c r="A280" t="s">
        <v>575</v>
      </c>
      <c r="B280" t="s">
        <v>576</v>
      </c>
      <c r="C280">
        <v>5</v>
      </c>
      <c r="D280" t="s">
        <v>56</v>
      </c>
      <c r="E280">
        <v>1</v>
      </c>
    </row>
    <row r="281" spans="1:5">
      <c r="A281" t="s">
        <v>577</v>
      </c>
      <c r="B281" t="s">
        <v>34</v>
      </c>
      <c r="C281">
        <v>6</v>
      </c>
      <c r="D281" t="s">
        <v>58</v>
      </c>
      <c r="E281">
        <v>8</v>
      </c>
    </row>
    <row r="282" spans="1:5">
      <c r="A282" t="s">
        <v>578</v>
      </c>
      <c r="B282" t="s">
        <v>497</v>
      </c>
      <c r="C282">
        <v>10</v>
      </c>
      <c r="D282" t="s">
        <v>58</v>
      </c>
      <c r="E282">
        <v>8</v>
      </c>
    </row>
    <row r="283" spans="1:5">
      <c r="A283" t="s">
        <v>579</v>
      </c>
      <c r="B283" t="s">
        <v>580</v>
      </c>
      <c r="C283">
        <v>10</v>
      </c>
      <c r="D283" t="s">
        <v>58</v>
      </c>
      <c r="E283">
        <v>8</v>
      </c>
    </row>
    <row r="284" spans="1:5">
      <c r="A284" t="s">
        <v>581</v>
      </c>
      <c r="B284" t="s">
        <v>467</v>
      </c>
      <c r="C284">
        <v>8</v>
      </c>
      <c r="D284" t="s">
        <v>58</v>
      </c>
      <c r="E284">
        <v>8</v>
      </c>
    </row>
    <row r="285" spans="1:5">
      <c r="A285" t="s">
        <v>582</v>
      </c>
      <c r="B285" t="s">
        <v>464</v>
      </c>
      <c r="C285">
        <v>8</v>
      </c>
      <c r="D285" t="s">
        <v>58</v>
      </c>
      <c r="E285">
        <v>8</v>
      </c>
    </row>
    <row r="286" spans="1:5">
      <c r="A286" t="s">
        <v>583</v>
      </c>
      <c r="B286" t="s">
        <v>584</v>
      </c>
      <c r="C286">
        <v>8</v>
      </c>
      <c r="D286" t="s">
        <v>58</v>
      </c>
      <c r="E286">
        <v>7</v>
      </c>
    </row>
    <row r="287" spans="1:5">
      <c r="A287" t="s">
        <v>585</v>
      </c>
      <c r="B287" t="s">
        <v>586</v>
      </c>
      <c r="C287">
        <v>8</v>
      </c>
      <c r="D287" t="s">
        <v>58</v>
      </c>
      <c r="E287">
        <v>7</v>
      </c>
    </row>
    <row r="288" spans="1:5">
      <c r="A288" t="s">
        <v>587</v>
      </c>
      <c r="B288" t="s">
        <v>588</v>
      </c>
      <c r="C288">
        <v>6</v>
      </c>
      <c r="D288" t="s">
        <v>58</v>
      </c>
      <c r="E288">
        <v>7</v>
      </c>
    </row>
    <row r="289" spans="1:5">
      <c r="A289" t="s">
        <v>589</v>
      </c>
      <c r="B289" t="s">
        <v>590</v>
      </c>
      <c r="C289">
        <v>10</v>
      </c>
      <c r="D289" t="s">
        <v>58</v>
      </c>
      <c r="E289">
        <v>7</v>
      </c>
    </row>
    <row r="290" spans="1:5">
      <c r="A290" t="s">
        <v>591</v>
      </c>
      <c r="B290" t="s">
        <v>473</v>
      </c>
      <c r="C290">
        <v>6</v>
      </c>
      <c r="D290" t="s">
        <v>58</v>
      </c>
      <c r="E290">
        <v>6</v>
      </c>
    </row>
    <row r="291" spans="1:5">
      <c r="A291" t="s">
        <v>592</v>
      </c>
      <c r="B291" t="s">
        <v>469</v>
      </c>
      <c r="C291">
        <v>6</v>
      </c>
      <c r="D291" t="s">
        <v>58</v>
      </c>
      <c r="E291">
        <v>6</v>
      </c>
    </row>
    <row r="292" spans="1:5">
      <c r="A292" t="s">
        <v>593</v>
      </c>
      <c r="B292" t="s">
        <v>471</v>
      </c>
      <c r="C292">
        <v>6</v>
      </c>
      <c r="D292" t="s">
        <v>58</v>
      </c>
      <c r="E292">
        <v>6</v>
      </c>
    </row>
    <row r="293" spans="1:5">
      <c r="A293" t="s">
        <v>594</v>
      </c>
      <c r="B293" t="s">
        <v>595</v>
      </c>
      <c r="C293">
        <v>6</v>
      </c>
      <c r="D293" t="s">
        <v>58</v>
      </c>
      <c r="E293">
        <v>6</v>
      </c>
    </row>
    <row r="294" spans="1:5">
      <c r="A294" t="s">
        <v>596</v>
      </c>
      <c r="B294" t="s">
        <v>477</v>
      </c>
      <c r="C294">
        <v>6</v>
      </c>
      <c r="D294" t="s">
        <v>58</v>
      </c>
      <c r="E294">
        <v>6</v>
      </c>
    </row>
    <row r="295" spans="1:5">
      <c r="A295" t="s">
        <v>597</v>
      </c>
      <c r="B295" t="s">
        <v>598</v>
      </c>
      <c r="C295">
        <v>6</v>
      </c>
      <c r="D295" t="s">
        <v>58</v>
      </c>
      <c r="E295">
        <v>5</v>
      </c>
    </row>
    <row r="296" spans="1:5">
      <c r="A296" t="s">
        <v>599</v>
      </c>
      <c r="B296" t="s">
        <v>600</v>
      </c>
      <c r="C296">
        <v>6</v>
      </c>
      <c r="D296" t="s">
        <v>58</v>
      </c>
      <c r="E296">
        <v>5</v>
      </c>
    </row>
    <row r="297" spans="1:5">
      <c r="A297" t="s">
        <v>601</v>
      </c>
      <c r="B297" t="s">
        <v>602</v>
      </c>
      <c r="C297">
        <v>4</v>
      </c>
      <c r="D297" t="s">
        <v>58</v>
      </c>
      <c r="E297">
        <v>5</v>
      </c>
    </row>
    <row r="298" spans="1:5">
      <c r="A298" t="s">
        <v>603</v>
      </c>
      <c r="B298" t="s">
        <v>604</v>
      </c>
      <c r="C298">
        <v>6</v>
      </c>
      <c r="D298" t="s">
        <v>58</v>
      </c>
      <c r="E298">
        <v>5</v>
      </c>
    </row>
    <row r="299" spans="1:5">
      <c r="A299" t="s">
        <v>605</v>
      </c>
      <c r="B299" t="s">
        <v>606</v>
      </c>
      <c r="C299">
        <v>5</v>
      </c>
      <c r="D299" t="s">
        <v>58</v>
      </c>
      <c r="E299">
        <v>5</v>
      </c>
    </row>
    <row r="300" spans="1:5">
      <c r="A300" t="s">
        <v>607</v>
      </c>
      <c r="B300" t="s">
        <v>608</v>
      </c>
      <c r="C300">
        <v>6</v>
      </c>
      <c r="D300" t="s">
        <v>58</v>
      </c>
      <c r="E300">
        <v>5</v>
      </c>
    </row>
    <row r="301" spans="1:5">
      <c r="A301" t="s">
        <v>609</v>
      </c>
      <c r="B301" t="s">
        <v>610</v>
      </c>
      <c r="C301">
        <v>10</v>
      </c>
      <c r="D301" t="s">
        <v>58</v>
      </c>
      <c r="E301">
        <v>4</v>
      </c>
    </row>
    <row r="302" spans="1:5">
      <c r="A302" t="s">
        <v>611</v>
      </c>
      <c r="B302" t="s">
        <v>26</v>
      </c>
      <c r="C302">
        <v>10</v>
      </c>
      <c r="D302" t="s">
        <v>58</v>
      </c>
      <c r="E302">
        <v>4</v>
      </c>
    </row>
    <row r="303" spans="1:5">
      <c r="A303" t="s">
        <v>612</v>
      </c>
      <c r="B303" t="s">
        <v>480</v>
      </c>
      <c r="C303">
        <v>8</v>
      </c>
      <c r="D303" t="s">
        <v>58</v>
      </c>
      <c r="E303">
        <v>4</v>
      </c>
    </row>
    <row r="304" spans="1:5">
      <c r="A304" t="s">
        <v>613</v>
      </c>
      <c r="B304" t="s">
        <v>614</v>
      </c>
      <c r="C304">
        <v>8</v>
      </c>
      <c r="D304" t="s">
        <v>58</v>
      </c>
      <c r="E304">
        <v>4</v>
      </c>
    </row>
    <row r="305" spans="1:5">
      <c r="A305" t="s">
        <v>615</v>
      </c>
      <c r="B305" t="s">
        <v>483</v>
      </c>
      <c r="C305">
        <v>8</v>
      </c>
      <c r="D305" t="s">
        <v>58</v>
      </c>
      <c r="E305">
        <v>4</v>
      </c>
    </row>
    <row r="306" spans="1:5">
      <c r="A306" t="s">
        <v>616</v>
      </c>
      <c r="B306" t="s">
        <v>485</v>
      </c>
      <c r="C306">
        <v>8</v>
      </c>
      <c r="D306" t="s">
        <v>58</v>
      </c>
      <c r="E306">
        <v>3</v>
      </c>
    </row>
    <row r="307" spans="1:5">
      <c r="A307" t="s">
        <v>617</v>
      </c>
      <c r="B307" t="s">
        <v>487</v>
      </c>
      <c r="C307">
        <v>6</v>
      </c>
      <c r="D307" t="s">
        <v>58</v>
      </c>
      <c r="E307">
        <v>3</v>
      </c>
    </row>
    <row r="308" spans="1:5">
      <c r="A308" t="s">
        <v>618</v>
      </c>
      <c r="B308" t="s">
        <v>489</v>
      </c>
      <c r="C308">
        <v>10</v>
      </c>
      <c r="D308" t="s">
        <v>58</v>
      </c>
      <c r="E308">
        <v>3</v>
      </c>
    </row>
    <row r="309" spans="1:5">
      <c r="A309" t="s">
        <v>619</v>
      </c>
      <c r="B309" t="s">
        <v>201</v>
      </c>
      <c r="C309">
        <v>6</v>
      </c>
      <c r="D309" t="s">
        <v>58</v>
      </c>
      <c r="E309">
        <v>3</v>
      </c>
    </row>
    <row r="310" spans="1:5">
      <c r="A310" t="s">
        <v>620</v>
      </c>
      <c r="B310" t="s">
        <v>492</v>
      </c>
      <c r="C310">
        <v>6</v>
      </c>
      <c r="D310" t="s">
        <v>58</v>
      </c>
      <c r="E310">
        <v>3</v>
      </c>
    </row>
    <row r="311" spans="1:5">
      <c r="A311" t="s">
        <v>621</v>
      </c>
      <c r="B311" t="s">
        <v>622</v>
      </c>
      <c r="C311">
        <v>6</v>
      </c>
      <c r="D311" t="s">
        <v>58</v>
      </c>
      <c r="E311">
        <v>2</v>
      </c>
    </row>
    <row r="312" spans="1:5">
      <c r="A312" t="s">
        <v>623</v>
      </c>
      <c r="B312" t="s">
        <v>624</v>
      </c>
      <c r="C312">
        <v>6</v>
      </c>
      <c r="D312" t="s">
        <v>58</v>
      </c>
      <c r="E312">
        <v>2</v>
      </c>
    </row>
    <row r="313" spans="1:5">
      <c r="A313" t="s">
        <v>625</v>
      </c>
      <c r="B313" t="s">
        <v>626</v>
      </c>
      <c r="C313">
        <v>6</v>
      </c>
      <c r="D313" t="s">
        <v>58</v>
      </c>
      <c r="E313">
        <v>2</v>
      </c>
    </row>
    <row r="314" spans="1:5">
      <c r="A314" t="s">
        <v>627</v>
      </c>
      <c r="B314" t="s">
        <v>628</v>
      </c>
      <c r="C314">
        <v>6</v>
      </c>
      <c r="D314" t="s">
        <v>58</v>
      </c>
      <c r="E314">
        <v>2</v>
      </c>
    </row>
    <row r="315" spans="1:5">
      <c r="A315" t="s">
        <v>629</v>
      </c>
      <c r="B315" t="s">
        <v>630</v>
      </c>
      <c r="C315">
        <v>6</v>
      </c>
      <c r="D315" t="s">
        <v>58</v>
      </c>
      <c r="E315">
        <v>1</v>
      </c>
    </row>
    <row r="316" spans="1:5">
      <c r="A316" t="s">
        <v>631</v>
      </c>
      <c r="B316" t="s">
        <v>632</v>
      </c>
      <c r="C316">
        <v>4</v>
      </c>
      <c r="D316" t="s">
        <v>58</v>
      </c>
      <c r="E316">
        <v>1</v>
      </c>
    </row>
    <row r="317" spans="1:5">
      <c r="A317" t="s">
        <v>633</v>
      </c>
      <c r="B317" t="s">
        <v>634</v>
      </c>
      <c r="C317">
        <v>6</v>
      </c>
      <c r="D317" t="s">
        <v>58</v>
      </c>
      <c r="E317">
        <v>1</v>
      </c>
    </row>
    <row r="318" spans="1:5">
      <c r="A318" t="s">
        <v>635</v>
      </c>
      <c r="B318" t="s">
        <v>636</v>
      </c>
      <c r="C318">
        <v>5</v>
      </c>
      <c r="D318" t="s">
        <v>58</v>
      </c>
      <c r="E318">
        <v>1</v>
      </c>
    </row>
    <row r="319" spans="1:5">
      <c r="A319" t="s">
        <v>637</v>
      </c>
      <c r="B319" t="s">
        <v>638</v>
      </c>
      <c r="C319">
        <v>6</v>
      </c>
      <c r="D319" t="s">
        <v>58</v>
      </c>
      <c r="E31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6693-94E0-4B7D-A252-814C289C2D63}">
  <dimension ref="A1:D17"/>
  <sheetViews>
    <sheetView workbookViewId="0"/>
  </sheetViews>
  <sheetFormatPr defaultColWidth="11.42578125" defaultRowHeight="15"/>
  <cols>
    <col min="1" max="1" width="42.85546875" bestFit="1" customWidth="1"/>
    <col min="2" max="2" width="8.28515625" bestFit="1" customWidth="1"/>
    <col min="3" max="3" width="67.85546875" bestFit="1" customWidth="1"/>
    <col min="4" max="4" width="29.42578125" bestFit="1" customWidth="1"/>
  </cols>
  <sheetData>
    <row r="1" spans="1:4">
      <c r="A1" t="s">
        <v>1</v>
      </c>
      <c r="B1" t="s">
        <v>3</v>
      </c>
      <c r="C1" t="s">
        <v>5</v>
      </c>
      <c r="D1" t="s">
        <v>639</v>
      </c>
    </row>
    <row r="2" spans="1:4">
      <c r="A2" t="s">
        <v>54</v>
      </c>
      <c r="B2">
        <v>4</v>
      </c>
      <c r="C2" t="s">
        <v>480</v>
      </c>
      <c r="D2" t="s">
        <v>640</v>
      </c>
    </row>
    <row r="3" spans="1:4">
      <c r="A3" t="s">
        <v>46</v>
      </c>
      <c r="B3">
        <v>4</v>
      </c>
      <c r="C3" t="s">
        <v>216</v>
      </c>
      <c r="D3" t="s">
        <v>641</v>
      </c>
    </row>
    <row r="4" spans="1:4">
      <c r="A4" t="s">
        <v>48</v>
      </c>
      <c r="B4">
        <v>4</v>
      </c>
      <c r="C4" t="s">
        <v>25</v>
      </c>
      <c r="D4" t="s">
        <v>640</v>
      </c>
    </row>
    <row r="5" spans="1:4">
      <c r="A5" t="s">
        <v>58</v>
      </c>
      <c r="B5">
        <v>4</v>
      </c>
      <c r="C5" t="s">
        <v>483</v>
      </c>
      <c r="D5" t="s">
        <v>642</v>
      </c>
    </row>
    <row r="6" spans="1:4">
      <c r="A6" t="s">
        <v>43</v>
      </c>
      <c r="B6">
        <v>4</v>
      </c>
      <c r="C6" t="s">
        <v>28</v>
      </c>
      <c r="D6" t="s">
        <v>643</v>
      </c>
    </row>
    <row r="7" spans="1:4">
      <c r="A7" t="s">
        <v>50</v>
      </c>
      <c r="B7">
        <v>4</v>
      </c>
      <c r="C7" t="s">
        <v>367</v>
      </c>
      <c r="D7" t="s">
        <v>643</v>
      </c>
    </row>
    <row r="8" spans="1:4">
      <c r="A8" t="s">
        <v>54</v>
      </c>
      <c r="B8">
        <v>4</v>
      </c>
      <c r="C8" t="s">
        <v>36</v>
      </c>
      <c r="D8" t="s">
        <v>640</v>
      </c>
    </row>
    <row r="9" spans="1:4">
      <c r="A9" t="s">
        <v>46</v>
      </c>
      <c r="B9">
        <v>4</v>
      </c>
      <c r="C9" t="s">
        <v>216</v>
      </c>
      <c r="D9" t="s">
        <v>644</v>
      </c>
    </row>
    <row r="10" spans="1:4">
      <c r="A10" t="s">
        <v>46</v>
      </c>
      <c r="B10">
        <v>4</v>
      </c>
      <c r="C10" t="s">
        <v>216</v>
      </c>
      <c r="D10" t="s">
        <v>645</v>
      </c>
    </row>
    <row r="11" spans="1:4">
      <c r="A11" t="s">
        <v>43</v>
      </c>
      <c r="B11">
        <v>4</v>
      </c>
      <c r="C11" t="s">
        <v>28</v>
      </c>
      <c r="D11" t="s">
        <v>646</v>
      </c>
    </row>
    <row r="12" spans="1:4">
      <c r="A12" t="s">
        <v>43</v>
      </c>
      <c r="B12">
        <v>2</v>
      </c>
      <c r="C12" t="s">
        <v>127</v>
      </c>
      <c r="D12" t="s">
        <v>641</v>
      </c>
    </row>
    <row r="13" spans="1:4">
      <c r="A13" t="s">
        <v>43</v>
      </c>
      <c r="B13">
        <v>2</v>
      </c>
      <c r="C13" t="s">
        <v>127</v>
      </c>
      <c r="D13" t="s">
        <v>646</v>
      </c>
    </row>
    <row r="14" spans="1:4">
      <c r="A14" t="s">
        <v>43</v>
      </c>
      <c r="B14">
        <v>2</v>
      </c>
      <c r="C14" t="s">
        <v>127</v>
      </c>
      <c r="D14" t="s">
        <v>644</v>
      </c>
    </row>
    <row r="15" spans="1:4">
      <c r="A15" t="s">
        <v>46</v>
      </c>
      <c r="B15">
        <v>4</v>
      </c>
      <c r="C15" t="s">
        <v>373</v>
      </c>
      <c r="D15" t="s">
        <v>647</v>
      </c>
    </row>
    <row r="16" spans="1:4">
      <c r="A16" t="s">
        <v>50</v>
      </c>
      <c r="B16">
        <v>3</v>
      </c>
      <c r="C16" t="s">
        <v>33</v>
      </c>
      <c r="D16" t="s">
        <v>644</v>
      </c>
    </row>
    <row r="17" spans="1:4">
      <c r="A17" t="s">
        <v>50</v>
      </c>
      <c r="B17">
        <v>3</v>
      </c>
      <c r="C17" t="s">
        <v>33</v>
      </c>
      <c r="D17" t="s">
        <v>648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7708-EFC2-4541-BDD6-B01E5987176C}">
  <dimension ref="A1:E12"/>
  <sheetViews>
    <sheetView workbookViewId="0">
      <selection activeCell="B12" sqref="B12"/>
    </sheetView>
  </sheetViews>
  <sheetFormatPr defaultColWidth="9.140625" defaultRowHeight="15"/>
  <cols>
    <col min="1" max="1" width="19.140625" bestFit="1" customWidth="1"/>
    <col min="2" max="2" width="60.85546875" bestFit="1" customWidth="1"/>
    <col min="3" max="3" width="16.140625" bestFit="1" customWidth="1"/>
    <col min="4" max="4" width="22.42578125" bestFit="1" customWidth="1"/>
    <col min="5" max="5" width="16.85546875" bestFit="1" customWidth="1"/>
  </cols>
  <sheetData>
    <row r="1" spans="1:5">
      <c r="A1" t="s">
        <v>649</v>
      </c>
      <c r="B1" t="s">
        <v>650</v>
      </c>
      <c r="C1" t="s">
        <v>651</v>
      </c>
      <c r="D1" t="s">
        <v>652</v>
      </c>
      <c r="E1" t="s">
        <v>653</v>
      </c>
    </row>
    <row r="2" spans="1:5">
      <c r="A2" t="s">
        <v>654</v>
      </c>
      <c r="B2" t="s">
        <v>655</v>
      </c>
      <c r="C2" t="s">
        <v>656</v>
      </c>
      <c r="D2" t="s">
        <v>646</v>
      </c>
      <c r="E2" t="s">
        <v>657</v>
      </c>
    </row>
    <row r="3" spans="1:5">
      <c r="A3" t="s">
        <v>658</v>
      </c>
      <c r="B3" t="s">
        <v>655</v>
      </c>
      <c r="C3" t="s">
        <v>656</v>
      </c>
      <c r="D3" t="s">
        <v>659</v>
      </c>
      <c r="E3" t="s">
        <v>660</v>
      </c>
    </row>
    <row r="4" spans="1:5">
      <c r="A4" t="s">
        <v>661</v>
      </c>
      <c r="B4" t="s">
        <v>655</v>
      </c>
      <c r="C4" t="s">
        <v>656</v>
      </c>
      <c r="D4" t="s">
        <v>643</v>
      </c>
      <c r="E4" t="s">
        <v>662</v>
      </c>
    </row>
    <row r="5" spans="1:5">
      <c r="A5" t="s">
        <v>663</v>
      </c>
      <c r="B5" t="s">
        <v>664</v>
      </c>
      <c r="C5" t="s">
        <v>665</v>
      </c>
      <c r="D5" t="s">
        <v>646</v>
      </c>
      <c r="E5" t="s">
        <v>657</v>
      </c>
    </row>
    <row r="6" spans="1:5">
      <c r="A6" t="s">
        <v>666</v>
      </c>
      <c r="B6" t="s">
        <v>667</v>
      </c>
      <c r="C6" t="s">
        <v>668</v>
      </c>
      <c r="D6" t="s">
        <v>645</v>
      </c>
      <c r="E6" t="s">
        <v>669</v>
      </c>
    </row>
    <row r="7" spans="1:5">
      <c r="A7" t="s">
        <v>670</v>
      </c>
      <c r="B7" t="s">
        <v>667</v>
      </c>
      <c r="C7" t="s">
        <v>668</v>
      </c>
      <c r="D7" t="s">
        <v>648</v>
      </c>
      <c r="E7" t="s">
        <v>671</v>
      </c>
    </row>
    <row r="8" spans="1:5">
      <c r="A8" t="s">
        <v>672</v>
      </c>
      <c r="B8" t="s">
        <v>673</v>
      </c>
      <c r="C8" t="s">
        <v>674</v>
      </c>
      <c r="D8" t="s">
        <v>640</v>
      </c>
      <c r="E8" t="s">
        <v>675</v>
      </c>
    </row>
    <row r="9" spans="1:5">
      <c r="A9" t="s">
        <v>676</v>
      </c>
      <c r="B9" t="s">
        <v>673</v>
      </c>
      <c r="C9" t="s">
        <v>674</v>
      </c>
      <c r="D9" t="s">
        <v>642</v>
      </c>
      <c r="E9" t="s">
        <v>677</v>
      </c>
    </row>
    <row r="10" spans="1:5">
      <c r="B10" t="s">
        <v>678</v>
      </c>
      <c r="C10">
        <v>0</v>
      </c>
      <c r="D10" t="s">
        <v>647</v>
      </c>
      <c r="E10">
        <v>0</v>
      </c>
    </row>
    <row r="11" spans="1:5">
      <c r="A11" t="s">
        <v>679</v>
      </c>
      <c r="B11" t="s">
        <v>680</v>
      </c>
      <c r="C11" t="s">
        <v>681</v>
      </c>
      <c r="D11" t="s">
        <v>648</v>
      </c>
      <c r="E11" t="s">
        <v>671</v>
      </c>
    </row>
    <row r="12" spans="1:5">
      <c r="A12" t="s">
        <v>682</v>
      </c>
      <c r="B12" t="s">
        <v>673</v>
      </c>
      <c r="C12" t="s">
        <v>674</v>
      </c>
      <c r="D12" t="s">
        <v>659</v>
      </c>
      <c r="E12" t="s">
        <v>660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9655-2172-4F32-BAED-BD0DEA14E219}">
  <dimension ref="A1:E16"/>
  <sheetViews>
    <sheetView topLeftCell="A7" workbookViewId="0"/>
  </sheetViews>
  <sheetFormatPr defaultColWidth="9.140625" defaultRowHeight="15"/>
  <cols>
    <col min="1" max="1" width="15.42578125" bestFit="1" customWidth="1"/>
    <col min="2" max="2" width="36.28515625" bestFit="1" customWidth="1"/>
    <col min="3" max="3" width="17.7109375" bestFit="1" customWidth="1"/>
    <col min="4" max="4" width="60.85546875" bestFit="1" customWidth="1"/>
    <col min="5" max="5" width="16.140625" bestFit="1" customWidth="1"/>
  </cols>
  <sheetData>
    <row r="1" spans="1:5">
      <c r="A1" t="s">
        <v>683</v>
      </c>
      <c r="B1" t="s">
        <v>684</v>
      </c>
      <c r="C1" t="s">
        <v>685</v>
      </c>
      <c r="D1" t="s">
        <v>650</v>
      </c>
      <c r="E1" t="s">
        <v>686</v>
      </c>
    </row>
    <row r="2" spans="1:5">
      <c r="A2" t="s">
        <v>687</v>
      </c>
      <c r="B2" t="s">
        <v>31</v>
      </c>
      <c r="C2">
        <v>1308397239</v>
      </c>
      <c r="D2" t="s">
        <v>673</v>
      </c>
      <c r="E2" t="s">
        <v>674</v>
      </c>
    </row>
    <row r="3" spans="1:5">
      <c r="A3" t="s">
        <v>688</v>
      </c>
      <c r="B3" t="s">
        <v>689</v>
      </c>
      <c r="C3">
        <v>1306327394</v>
      </c>
      <c r="D3" t="s">
        <v>673</v>
      </c>
      <c r="E3" t="s">
        <v>674</v>
      </c>
    </row>
    <row r="4" spans="1:5">
      <c r="A4" t="s">
        <v>690</v>
      </c>
      <c r="B4" t="s">
        <v>29</v>
      </c>
      <c r="C4">
        <v>1312179292</v>
      </c>
      <c r="D4" t="s">
        <v>664</v>
      </c>
      <c r="E4" t="s">
        <v>665</v>
      </c>
    </row>
    <row r="5" spans="1:5">
      <c r="A5" t="s">
        <v>691</v>
      </c>
      <c r="B5" t="s">
        <v>27</v>
      </c>
      <c r="C5">
        <v>1310729676</v>
      </c>
      <c r="D5" t="s">
        <v>673</v>
      </c>
      <c r="E5" t="s">
        <v>674</v>
      </c>
    </row>
    <row r="6" spans="1:5">
      <c r="A6" t="s">
        <v>692</v>
      </c>
      <c r="B6" t="s">
        <v>693</v>
      </c>
      <c r="C6">
        <v>1308294501</v>
      </c>
      <c r="D6" t="s">
        <v>664</v>
      </c>
      <c r="E6" t="s">
        <v>665</v>
      </c>
    </row>
    <row r="7" spans="1:5">
      <c r="A7" t="s">
        <v>694</v>
      </c>
      <c r="B7" t="s">
        <v>31</v>
      </c>
      <c r="C7">
        <v>1308397239</v>
      </c>
      <c r="D7" t="s">
        <v>655</v>
      </c>
      <c r="E7" t="s">
        <v>656</v>
      </c>
    </row>
    <row r="8" spans="1:5">
      <c r="A8" t="s">
        <v>695</v>
      </c>
      <c r="B8" t="s">
        <v>696</v>
      </c>
      <c r="C8">
        <v>1313436188</v>
      </c>
      <c r="D8" t="s">
        <v>667</v>
      </c>
      <c r="E8" t="s">
        <v>668</v>
      </c>
    </row>
    <row r="9" spans="1:5">
      <c r="B9" t="s">
        <v>37</v>
      </c>
      <c r="C9">
        <v>1311778458</v>
      </c>
      <c r="D9" t="s">
        <v>678</v>
      </c>
      <c r="E9" t="s">
        <v>697</v>
      </c>
    </row>
    <row r="10" spans="1:5">
      <c r="A10" t="s">
        <v>698</v>
      </c>
      <c r="B10" t="s">
        <v>37</v>
      </c>
      <c r="C10">
        <v>1311778458</v>
      </c>
      <c r="D10" t="s">
        <v>673</v>
      </c>
      <c r="E10" t="s">
        <v>674</v>
      </c>
    </row>
    <row r="11" spans="1:5">
      <c r="A11" t="s">
        <v>699</v>
      </c>
      <c r="B11" t="s">
        <v>700</v>
      </c>
      <c r="C11">
        <v>1308853538</v>
      </c>
      <c r="D11" t="s">
        <v>664</v>
      </c>
      <c r="E11" t="s">
        <v>665</v>
      </c>
    </row>
    <row r="12" spans="1:5">
      <c r="B12" t="s">
        <v>22</v>
      </c>
      <c r="C12">
        <v>1311778698</v>
      </c>
      <c r="D12" t="s">
        <v>667</v>
      </c>
      <c r="E12" t="s">
        <v>668</v>
      </c>
    </row>
    <row r="13" spans="1:5">
      <c r="B13" t="s">
        <v>701</v>
      </c>
      <c r="C13">
        <v>1309489852</v>
      </c>
      <c r="D13" t="s">
        <v>680</v>
      </c>
      <c r="E13" t="s">
        <v>681</v>
      </c>
    </row>
    <row r="14" spans="1:5">
      <c r="B14" t="s">
        <v>27</v>
      </c>
      <c r="C14">
        <v>1310729676</v>
      </c>
      <c r="D14" t="s">
        <v>680</v>
      </c>
      <c r="E14" t="s">
        <v>681</v>
      </c>
    </row>
    <row r="15" spans="1:5">
      <c r="B15" t="s">
        <v>22</v>
      </c>
      <c r="C15">
        <v>1311778698</v>
      </c>
      <c r="D15" t="s">
        <v>673</v>
      </c>
      <c r="E15" t="s">
        <v>674</v>
      </c>
    </row>
    <row r="16" spans="1:5">
      <c r="A16" t="s">
        <v>702</v>
      </c>
      <c r="B16" t="s">
        <v>689</v>
      </c>
      <c r="C16">
        <v>1306327394</v>
      </c>
      <c r="D16" t="s">
        <v>673</v>
      </c>
      <c r="E16" t="s">
        <v>674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1349-C7DF-4962-BDF5-D19DEA0AD93F}">
  <dimension ref="A1:I133"/>
  <sheetViews>
    <sheetView topLeftCell="A94" workbookViewId="0">
      <selection activeCell="B121" sqref="B121"/>
    </sheetView>
  </sheetViews>
  <sheetFormatPr defaultColWidth="9.140625" defaultRowHeight="15"/>
  <cols>
    <col min="1" max="1" width="14.5703125" bestFit="1" customWidth="1"/>
    <col min="2" max="2" width="40.42578125" bestFit="1" customWidth="1"/>
    <col min="3" max="3" width="38" bestFit="1" customWidth="1"/>
    <col min="4" max="4" width="33.5703125" bestFit="1" customWidth="1"/>
    <col min="5" max="5" width="11" bestFit="1" customWidth="1"/>
    <col min="6" max="6" width="12.28515625" bestFit="1" customWidth="1"/>
    <col min="7" max="7" width="14.42578125" bestFit="1" customWidth="1"/>
    <col min="8" max="8" width="35.7109375" bestFit="1" customWidth="1"/>
    <col min="9" max="9" width="15.140625" bestFit="1" customWidth="1"/>
  </cols>
  <sheetData>
    <row r="1" spans="1:9">
      <c r="A1" t="s">
        <v>703</v>
      </c>
      <c r="B1" t="s">
        <v>704</v>
      </c>
      <c r="C1" t="s">
        <v>705</v>
      </c>
      <c r="D1" t="s">
        <v>706</v>
      </c>
      <c r="E1" t="s">
        <v>707</v>
      </c>
      <c r="F1" t="s">
        <v>708</v>
      </c>
      <c r="G1" t="s">
        <v>709</v>
      </c>
      <c r="H1" t="s">
        <v>710</v>
      </c>
      <c r="I1" t="s">
        <v>711</v>
      </c>
    </row>
    <row r="2" spans="1:9">
      <c r="A2">
        <v>1306927581</v>
      </c>
      <c r="B2" t="s">
        <v>712</v>
      </c>
      <c r="C2" t="s">
        <v>713</v>
      </c>
      <c r="D2" t="s">
        <v>714</v>
      </c>
      <c r="E2">
        <v>993841367</v>
      </c>
      <c r="F2" t="s">
        <v>715</v>
      </c>
      <c r="G2" t="s">
        <v>716</v>
      </c>
      <c r="H2" t="s">
        <v>717</v>
      </c>
      <c r="I2" t="s">
        <v>718</v>
      </c>
    </row>
    <row r="3" spans="1:9">
      <c r="A3">
        <v>1309867008</v>
      </c>
      <c r="B3" t="s">
        <v>719</v>
      </c>
      <c r="C3" t="s">
        <v>713</v>
      </c>
      <c r="D3" t="s">
        <v>720</v>
      </c>
      <c r="E3">
        <v>958996963</v>
      </c>
      <c r="F3" t="s">
        <v>715</v>
      </c>
      <c r="G3" t="s">
        <v>716</v>
      </c>
      <c r="H3" t="s">
        <v>717</v>
      </c>
      <c r="I3" t="s">
        <v>718</v>
      </c>
    </row>
    <row r="4" spans="1:9">
      <c r="A4">
        <v>1312179292</v>
      </c>
      <c r="B4" t="s">
        <v>29</v>
      </c>
      <c r="C4" t="s">
        <v>713</v>
      </c>
      <c r="D4" t="s">
        <v>721</v>
      </c>
      <c r="E4">
        <v>995613221</v>
      </c>
      <c r="F4" t="s">
        <v>715</v>
      </c>
      <c r="G4" t="s">
        <v>716</v>
      </c>
      <c r="H4" t="s">
        <v>717</v>
      </c>
      <c r="I4" t="s">
        <v>718</v>
      </c>
    </row>
    <row r="5" spans="1:9">
      <c r="A5">
        <v>1308397239</v>
      </c>
      <c r="B5" t="s">
        <v>31</v>
      </c>
      <c r="C5" t="s">
        <v>713</v>
      </c>
      <c r="D5" t="s">
        <v>722</v>
      </c>
      <c r="E5">
        <v>980882709</v>
      </c>
      <c r="F5" t="s">
        <v>715</v>
      </c>
      <c r="G5" t="s">
        <v>716</v>
      </c>
      <c r="H5" t="s">
        <v>717</v>
      </c>
      <c r="I5" t="s">
        <v>718</v>
      </c>
    </row>
    <row r="6" spans="1:9">
      <c r="A6">
        <v>1306327394</v>
      </c>
      <c r="B6" t="s">
        <v>689</v>
      </c>
      <c r="C6" t="s">
        <v>713</v>
      </c>
      <c r="D6" t="s">
        <v>723</v>
      </c>
      <c r="E6">
        <v>999471287</v>
      </c>
      <c r="F6" t="s">
        <v>715</v>
      </c>
      <c r="G6" t="s">
        <v>716</v>
      </c>
      <c r="H6" t="s">
        <v>717</v>
      </c>
      <c r="I6" t="s">
        <v>718</v>
      </c>
    </row>
    <row r="7" spans="1:9">
      <c r="A7">
        <v>917967226</v>
      </c>
      <c r="B7" t="s">
        <v>724</v>
      </c>
      <c r="C7" t="s">
        <v>713</v>
      </c>
      <c r="D7" t="s">
        <v>725</v>
      </c>
      <c r="E7">
        <v>999853757</v>
      </c>
      <c r="F7" t="s">
        <v>715</v>
      </c>
      <c r="G7" t="s">
        <v>716</v>
      </c>
      <c r="H7" t="s">
        <v>717</v>
      </c>
      <c r="I7" t="s">
        <v>718</v>
      </c>
    </row>
    <row r="8" spans="1:9">
      <c r="A8">
        <v>1310729676</v>
      </c>
      <c r="B8" t="s">
        <v>27</v>
      </c>
      <c r="C8" t="s">
        <v>713</v>
      </c>
      <c r="D8" t="s">
        <v>726</v>
      </c>
      <c r="E8">
        <v>998862735</v>
      </c>
      <c r="F8" t="s">
        <v>715</v>
      </c>
      <c r="G8" t="s">
        <v>716</v>
      </c>
      <c r="H8" t="s">
        <v>717</v>
      </c>
      <c r="I8" t="s">
        <v>718</v>
      </c>
    </row>
    <row r="9" spans="1:9">
      <c r="A9">
        <v>1311435968</v>
      </c>
      <c r="B9" t="s">
        <v>727</v>
      </c>
      <c r="C9" t="s">
        <v>713</v>
      </c>
      <c r="D9" t="s">
        <v>728</v>
      </c>
      <c r="E9">
        <v>992720628</v>
      </c>
      <c r="F9" t="s">
        <v>729</v>
      </c>
      <c r="G9" t="s">
        <v>716</v>
      </c>
      <c r="H9" t="s">
        <v>717</v>
      </c>
      <c r="I9" t="s">
        <v>718</v>
      </c>
    </row>
    <row r="10" spans="1:9">
      <c r="A10">
        <v>1712981735</v>
      </c>
      <c r="B10" t="s">
        <v>730</v>
      </c>
      <c r="C10" t="s">
        <v>713</v>
      </c>
      <c r="D10" t="s">
        <v>731</v>
      </c>
      <c r="E10">
        <v>987923175</v>
      </c>
      <c r="F10" t="s">
        <v>729</v>
      </c>
      <c r="G10" t="s">
        <v>732</v>
      </c>
      <c r="H10" t="s">
        <v>717</v>
      </c>
      <c r="I10" t="s">
        <v>718</v>
      </c>
    </row>
    <row r="11" spans="1:9">
      <c r="A11">
        <v>922028709</v>
      </c>
      <c r="B11" t="s">
        <v>733</v>
      </c>
      <c r="C11" t="s">
        <v>713</v>
      </c>
      <c r="D11" t="s">
        <v>734</v>
      </c>
      <c r="E11">
        <v>999523745</v>
      </c>
      <c r="F11" t="s">
        <v>729</v>
      </c>
      <c r="G11" t="s">
        <v>716</v>
      </c>
      <c r="H11" t="s">
        <v>717</v>
      </c>
      <c r="I11" t="s">
        <v>718</v>
      </c>
    </row>
    <row r="12" spans="1:9">
      <c r="A12">
        <v>1307818615</v>
      </c>
      <c r="B12" t="s">
        <v>735</v>
      </c>
      <c r="C12" t="s">
        <v>713</v>
      </c>
      <c r="D12" t="s">
        <v>736</v>
      </c>
      <c r="E12">
        <v>958604495</v>
      </c>
      <c r="F12" t="s">
        <v>715</v>
      </c>
      <c r="G12" t="s">
        <v>716</v>
      </c>
      <c r="H12" t="s">
        <v>737</v>
      </c>
      <c r="I12" t="s">
        <v>718</v>
      </c>
    </row>
    <row r="13" spans="1:9">
      <c r="A13">
        <v>1310022536</v>
      </c>
      <c r="B13" t="s">
        <v>738</v>
      </c>
      <c r="C13" t="s">
        <v>713</v>
      </c>
      <c r="D13" t="s">
        <v>739</v>
      </c>
      <c r="E13">
        <v>939933873</v>
      </c>
      <c r="F13" t="s">
        <v>715</v>
      </c>
      <c r="G13" t="s">
        <v>732</v>
      </c>
      <c r="H13" t="s">
        <v>737</v>
      </c>
      <c r="I13" t="s">
        <v>718</v>
      </c>
    </row>
    <row r="14" spans="1:9">
      <c r="A14">
        <v>1306558857</v>
      </c>
      <c r="B14" t="s">
        <v>740</v>
      </c>
      <c r="C14" t="s">
        <v>713</v>
      </c>
      <c r="D14" t="s">
        <v>741</v>
      </c>
      <c r="E14">
        <v>990425046</v>
      </c>
      <c r="F14" t="s">
        <v>729</v>
      </c>
      <c r="G14" t="s">
        <v>716</v>
      </c>
      <c r="H14" t="s">
        <v>717</v>
      </c>
      <c r="I14" t="s">
        <v>718</v>
      </c>
    </row>
    <row r="15" spans="1:9">
      <c r="A15">
        <v>1308174679</v>
      </c>
      <c r="B15" t="s">
        <v>742</v>
      </c>
      <c r="C15" t="s">
        <v>713</v>
      </c>
      <c r="D15" t="s">
        <v>743</v>
      </c>
      <c r="E15">
        <v>986482573</v>
      </c>
      <c r="F15" t="s">
        <v>715</v>
      </c>
      <c r="G15" t="s">
        <v>716</v>
      </c>
      <c r="H15" t="s">
        <v>717</v>
      </c>
      <c r="I15" t="s">
        <v>718</v>
      </c>
    </row>
    <row r="16" spans="1:9">
      <c r="A16">
        <v>1309544441</v>
      </c>
      <c r="B16" t="s">
        <v>744</v>
      </c>
      <c r="C16" t="s">
        <v>713</v>
      </c>
      <c r="D16" t="s">
        <v>745</v>
      </c>
      <c r="E16">
        <v>989089289</v>
      </c>
      <c r="F16" t="s">
        <v>715</v>
      </c>
      <c r="G16" t="s">
        <v>716</v>
      </c>
      <c r="H16" t="s">
        <v>737</v>
      </c>
      <c r="I16" t="s">
        <v>718</v>
      </c>
    </row>
    <row r="17" spans="1:9">
      <c r="A17">
        <v>1312925033</v>
      </c>
      <c r="B17" t="s">
        <v>746</v>
      </c>
      <c r="C17" t="s">
        <v>713</v>
      </c>
      <c r="D17" t="s">
        <v>747</v>
      </c>
      <c r="E17">
        <v>996032838</v>
      </c>
      <c r="F17" t="s">
        <v>715</v>
      </c>
      <c r="G17" t="s">
        <v>716</v>
      </c>
      <c r="H17" t="s">
        <v>737</v>
      </c>
      <c r="I17" t="s">
        <v>718</v>
      </c>
    </row>
    <row r="18" spans="1:9">
      <c r="A18">
        <v>1308853538</v>
      </c>
      <c r="B18" t="s">
        <v>700</v>
      </c>
      <c r="C18" t="s">
        <v>713</v>
      </c>
      <c r="D18" t="s">
        <v>748</v>
      </c>
      <c r="E18">
        <v>996404333</v>
      </c>
      <c r="F18" t="s">
        <v>715</v>
      </c>
      <c r="G18" t="s">
        <v>716</v>
      </c>
      <c r="H18" t="s">
        <v>717</v>
      </c>
      <c r="I18" t="s">
        <v>718</v>
      </c>
    </row>
    <row r="19" spans="1:9">
      <c r="A19">
        <v>1308737715</v>
      </c>
      <c r="B19" t="s">
        <v>749</v>
      </c>
      <c r="C19" t="s">
        <v>713</v>
      </c>
      <c r="D19" t="s">
        <v>750</v>
      </c>
      <c r="E19">
        <v>0</v>
      </c>
      <c r="F19" t="s">
        <v>729</v>
      </c>
      <c r="G19" t="s">
        <v>716</v>
      </c>
      <c r="H19" t="s">
        <v>717</v>
      </c>
      <c r="I19" t="s">
        <v>718</v>
      </c>
    </row>
    <row r="20" spans="1:9">
      <c r="A20">
        <v>1312177155</v>
      </c>
      <c r="B20" t="s">
        <v>751</v>
      </c>
      <c r="C20" t="s">
        <v>713</v>
      </c>
      <c r="D20" t="s">
        <v>752</v>
      </c>
      <c r="E20">
        <v>988446689</v>
      </c>
      <c r="F20" t="s">
        <v>715</v>
      </c>
      <c r="G20" t="s">
        <v>716</v>
      </c>
      <c r="H20" t="s">
        <v>717</v>
      </c>
      <c r="I20" t="s">
        <v>718</v>
      </c>
    </row>
    <row r="21" spans="1:9">
      <c r="A21">
        <v>1307539963</v>
      </c>
      <c r="B21" t="s">
        <v>753</v>
      </c>
      <c r="C21" t="s">
        <v>713</v>
      </c>
      <c r="D21" t="s">
        <v>754</v>
      </c>
      <c r="E21">
        <v>995151536</v>
      </c>
      <c r="F21" t="s">
        <v>729</v>
      </c>
      <c r="G21" t="s">
        <v>716</v>
      </c>
      <c r="H21" t="s">
        <v>717</v>
      </c>
      <c r="I21" t="s">
        <v>718</v>
      </c>
    </row>
    <row r="22" spans="1:9">
      <c r="A22">
        <v>1306910066</v>
      </c>
      <c r="B22" t="s">
        <v>755</v>
      </c>
      <c r="C22" t="s">
        <v>713</v>
      </c>
      <c r="D22" t="s">
        <v>756</v>
      </c>
      <c r="E22">
        <v>981193088</v>
      </c>
      <c r="F22" t="s">
        <v>729</v>
      </c>
      <c r="G22" t="s">
        <v>716</v>
      </c>
      <c r="H22" t="s">
        <v>717</v>
      </c>
      <c r="I22" t="s">
        <v>718</v>
      </c>
    </row>
    <row r="23" spans="1:9">
      <c r="A23">
        <v>922379615</v>
      </c>
      <c r="B23" t="s">
        <v>757</v>
      </c>
      <c r="C23" t="s">
        <v>713</v>
      </c>
      <c r="D23" t="s">
        <v>758</v>
      </c>
      <c r="E23">
        <v>984912221</v>
      </c>
      <c r="F23" t="s">
        <v>715</v>
      </c>
      <c r="G23" t="s">
        <v>716</v>
      </c>
      <c r="H23" t="s">
        <v>717</v>
      </c>
      <c r="I23" t="s">
        <v>718</v>
      </c>
    </row>
    <row r="24" spans="1:9">
      <c r="A24">
        <v>1307198224</v>
      </c>
      <c r="B24" t="s">
        <v>759</v>
      </c>
      <c r="C24" t="s">
        <v>713</v>
      </c>
      <c r="D24" t="s">
        <v>760</v>
      </c>
      <c r="E24">
        <v>991000699</v>
      </c>
      <c r="F24" t="s">
        <v>729</v>
      </c>
      <c r="G24" t="s">
        <v>716</v>
      </c>
      <c r="H24" t="s">
        <v>717</v>
      </c>
      <c r="I24" t="s">
        <v>718</v>
      </c>
    </row>
    <row r="25" spans="1:9">
      <c r="A25">
        <v>1304143868</v>
      </c>
      <c r="B25" t="s">
        <v>761</v>
      </c>
      <c r="C25" t="s">
        <v>713</v>
      </c>
      <c r="D25" t="s">
        <v>762</v>
      </c>
      <c r="E25">
        <v>993518632</v>
      </c>
      <c r="F25" t="s">
        <v>729</v>
      </c>
      <c r="G25" t="s">
        <v>716</v>
      </c>
      <c r="H25" t="s">
        <v>717</v>
      </c>
      <c r="I25" t="s">
        <v>718</v>
      </c>
    </row>
    <row r="26" spans="1:9">
      <c r="A26">
        <v>1310182843</v>
      </c>
      <c r="B26" t="s">
        <v>763</v>
      </c>
      <c r="C26" t="s">
        <v>713</v>
      </c>
      <c r="D26" t="s">
        <v>764</v>
      </c>
      <c r="E26">
        <v>992172357</v>
      </c>
      <c r="F26" t="s">
        <v>715</v>
      </c>
      <c r="G26" t="s">
        <v>716</v>
      </c>
      <c r="H26" t="s">
        <v>737</v>
      </c>
      <c r="I26" t="s">
        <v>718</v>
      </c>
    </row>
    <row r="27" spans="1:9">
      <c r="A27">
        <v>1309957460</v>
      </c>
      <c r="B27" t="s">
        <v>765</v>
      </c>
      <c r="C27" t="s">
        <v>713</v>
      </c>
      <c r="D27" t="s">
        <v>766</v>
      </c>
      <c r="E27">
        <v>995558336</v>
      </c>
      <c r="F27" t="s">
        <v>715</v>
      </c>
      <c r="G27" t="s">
        <v>732</v>
      </c>
      <c r="H27" t="s">
        <v>737</v>
      </c>
      <c r="I27" t="s">
        <v>718</v>
      </c>
    </row>
    <row r="28" spans="1:9">
      <c r="A28">
        <v>1307309375</v>
      </c>
      <c r="B28" t="s">
        <v>767</v>
      </c>
      <c r="C28" t="s">
        <v>713</v>
      </c>
      <c r="D28" t="s">
        <v>768</v>
      </c>
      <c r="E28">
        <v>993788552</v>
      </c>
      <c r="F28" t="s">
        <v>715</v>
      </c>
      <c r="G28" t="s">
        <v>732</v>
      </c>
      <c r="H28" t="s">
        <v>717</v>
      </c>
      <c r="I28" t="s">
        <v>718</v>
      </c>
    </row>
    <row r="29" spans="1:9">
      <c r="A29">
        <v>1313413948</v>
      </c>
      <c r="B29" t="s">
        <v>769</v>
      </c>
      <c r="C29" t="s">
        <v>713</v>
      </c>
      <c r="D29" t="s">
        <v>770</v>
      </c>
      <c r="E29">
        <v>999071136</v>
      </c>
      <c r="F29" t="s">
        <v>715</v>
      </c>
      <c r="G29" t="s">
        <v>716</v>
      </c>
      <c r="H29" t="s">
        <v>717</v>
      </c>
      <c r="I29" t="s">
        <v>718</v>
      </c>
    </row>
    <row r="30" spans="1:9">
      <c r="A30">
        <v>1307570596</v>
      </c>
      <c r="B30" t="s">
        <v>771</v>
      </c>
      <c r="C30" t="s">
        <v>713</v>
      </c>
      <c r="D30" t="s">
        <v>772</v>
      </c>
      <c r="E30">
        <v>995930245</v>
      </c>
      <c r="F30" t="s">
        <v>715</v>
      </c>
      <c r="G30" t="s">
        <v>716</v>
      </c>
      <c r="H30" t="s">
        <v>717</v>
      </c>
      <c r="I30" t="s">
        <v>718</v>
      </c>
    </row>
    <row r="31" spans="1:9">
      <c r="A31">
        <v>1305887364</v>
      </c>
      <c r="B31" t="s">
        <v>773</v>
      </c>
      <c r="C31" t="s">
        <v>713</v>
      </c>
      <c r="D31" t="s">
        <v>774</v>
      </c>
      <c r="E31">
        <v>997025893</v>
      </c>
      <c r="F31" t="s">
        <v>715</v>
      </c>
      <c r="G31" t="s">
        <v>716</v>
      </c>
      <c r="H31" t="s">
        <v>717</v>
      </c>
      <c r="I31" t="s">
        <v>718</v>
      </c>
    </row>
    <row r="32" spans="1:9">
      <c r="A32">
        <v>1311755779</v>
      </c>
      <c r="B32" t="s">
        <v>775</v>
      </c>
      <c r="C32" t="s">
        <v>713</v>
      </c>
      <c r="D32" t="s">
        <v>776</v>
      </c>
      <c r="E32">
        <v>984422282</v>
      </c>
      <c r="F32" t="s">
        <v>715</v>
      </c>
      <c r="G32" t="s">
        <v>777</v>
      </c>
      <c r="H32" t="s">
        <v>717</v>
      </c>
      <c r="I32" t="s">
        <v>718</v>
      </c>
    </row>
    <row r="33" spans="1:9">
      <c r="A33">
        <v>1311656308</v>
      </c>
      <c r="B33" t="s">
        <v>778</v>
      </c>
      <c r="C33" t="s">
        <v>713</v>
      </c>
      <c r="D33" t="s">
        <v>779</v>
      </c>
      <c r="E33">
        <v>982229471</v>
      </c>
      <c r="F33" t="s">
        <v>715</v>
      </c>
      <c r="G33" t="s">
        <v>716</v>
      </c>
      <c r="H33" t="s">
        <v>717</v>
      </c>
      <c r="I33" t="s">
        <v>718</v>
      </c>
    </row>
    <row r="34" spans="1:9">
      <c r="A34">
        <v>1309999702</v>
      </c>
      <c r="B34" t="s">
        <v>780</v>
      </c>
      <c r="C34" t="s">
        <v>48</v>
      </c>
      <c r="D34" t="s">
        <v>781</v>
      </c>
      <c r="E34">
        <v>982347292</v>
      </c>
      <c r="F34" t="s">
        <v>729</v>
      </c>
      <c r="G34" t="s">
        <v>716</v>
      </c>
      <c r="H34" t="s">
        <v>717</v>
      </c>
      <c r="I34" t="s">
        <v>718</v>
      </c>
    </row>
    <row r="35" spans="1:9">
      <c r="A35">
        <v>1307391449</v>
      </c>
      <c r="B35" t="s">
        <v>782</v>
      </c>
      <c r="C35" t="s">
        <v>48</v>
      </c>
      <c r="D35" t="s">
        <v>783</v>
      </c>
      <c r="E35">
        <v>996740969</v>
      </c>
      <c r="F35" t="s">
        <v>715</v>
      </c>
      <c r="G35" t="s">
        <v>716</v>
      </c>
      <c r="H35" t="s">
        <v>717</v>
      </c>
      <c r="I35" t="s">
        <v>718</v>
      </c>
    </row>
    <row r="36" spans="1:9">
      <c r="A36">
        <v>1305585836</v>
      </c>
      <c r="B36" t="s">
        <v>784</v>
      </c>
      <c r="C36" t="s">
        <v>48</v>
      </c>
      <c r="D36" t="s">
        <v>785</v>
      </c>
      <c r="E36">
        <v>991056946</v>
      </c>
      <c r="F36" t="s">
        <v>715</v>
      </c>
      <c r="G36" t="s">
        <v>777</v>
      </c>
      <c r="H36" t="s">
        <v>717</v>
      </c>
      <c r="I36" t="s">
        <v>718</v>
      </c>
    </row>
    <row r="37" spans="1:9">
      <c r="A37">
        <v>1311879108</v>
      </c>
      <c r="B37" t="s">
        <v>786</v>
      </c>
      <c r="C37" t="s">
        <v>48</v>
      </c>
      <c r="D37" t="s">
        <v>787</v>
      </c>
      <c r="E37">
        <v>983076549</v>
      </c>
      <c r="F37" t="s">
        <v>715</v>
      </c>
      <c r="G37" t="s">
        <v>716</v>
      </c>
      <c r="H37" t="s">
        <v>717</v>
      </c>
      <c r="I37" t="s">
        <v>718</v>
      </c>
    </row>
    <row r="38" spans="1:9">
      <c r="A38">
        <v>914097308</v>
      </c>
      <c r="B38" t="s">
        <v>788</v>
      </c>
      <c r="C38" t="s">
        <v>48</v>
      </c>
      <c r="D38" t="s">
        <v>789</v>
      </c>
      <c r="E38">
        <v>986930000</v>
      </c>
      <c r="F38" t="s">
        <v>715</v>
      </c>
      <c r="G38" t="s">
        <v>716</v>
      </c>
      <c r="H38" t="s">
        <v>717</v>
      </c>
      <c r="I38" t="s">
        <v>718</v>
      </c>
    </row>
    <row r="39" spans="1:9">
      <c r="A39">
        <v>1304988296</v>
      </c>
      <c r="B39" t="s">
        <v>790</v>
      </c>
      <c r="C39" t="s">
        <v>48</v>
      </c>
      <c r="D39" t="s">
        <v>791</v>
      </c>
      <c r="E39">
        <v>984034398</v>
      </c>
      <c r="F39" t="s">
        <v>729</v>
      </c>
      <c r="G39" t="s">
        <v>716</v>
      </c>
      <c r="H39" t="s">
        <v>717</v>
      </c>
      <c r="I39" t="s">
        <v>718</v>
      </c>
    </row>
    <row r="40" spans="1:9">
      <c r="A40">
        <v>1307048296</v>
      </c>
      <c r="B40" t="s">
        <v>792</v>
      </c>
      <c r="C40" t="s">
        <v>48</v>
      </c>
      <c r="D40" t="s">
        <v>793</v>
      </c>
      <c r="E40">
        <v>998809697</v>
      </c>
      <c r="F40" t="s">
        <v>715</v>
      </c>
      <c r="G40" t="s">
        <v>716</v>
      </c>
      <c r="H40" t="s">
        <v>717</v>
      </c>
      <c r="I40" t="s">
        <v>718</v>
      </c>
    </row>
    <row r="41" spans="1:9">
      <c r="A41">
        <v>1305986109</v>
      </c>
      <c r="B41" t="s">
        <v>794</v>
      </c>
      <c r="C41" t="s">
        <v>48</v>
      </c>
      <c r="D41" t="s">
        <v>795</v>
      </c>
      <c r="E41">
        <v>999100632</v>
      </c>
      <c r="F41" t="s">
        <v>715</v>
      </c>
      <c r="G41" t="s">
        <v>716</v>
      </c>
      <c r="H41" t="s">
        <v>796</v>
      </c>
      <c r="I41" t="s">
        <v>718</v>
      </c>
    </row>
    <row r="42" spans="1:9">
      <c r="A42">
        <v>1309547907</v>
      </c>
      <c r="B42" t="s">
        <v>797</v>
      </c>
      <c r="C42" t="s">
        <v>48</v>
      </c>
      <c r="D42" t="s">
        <v>798</v>
      </c>
      <c r="E42">
        <v>990345098</v>
      </c>
      <c r="F42" t="s">
        <v>729</v>
      </c>
      <c r="G42" t="s">
        <v>716</v>
      </c>
      <c r="H42" t="s">
        <v>717</v>
      </c>
      <c r="I42" t="s">
        <v>718</v>
      </c>
    </row>
    <row r="43" spans="1:9">
      <c r="A43">
        <v>1310093578</v>
      </c>
      <c r="B43" t="s">
        <v>799</v>
      </c>
      <c r="C43" t="s">
        <v>48</v>
      </c>
      <c r="D43" t="s">
        <v>800</v>
      </c>
      <c r="E43">
        <v>984687668</v>
      </c>
      <c r="F43" t="s">
        <v>715</v>
      </c>
      <c r="G43" t="s">
        <v>716</v>
      </c>
      <c r="H43" t="s">
        <v>737</v>
      </c>
      <c r="I43" t="s">
        <v>718</v>
      </c>
    </row>
    <row r="44" spans="1:9">
      <c r="A44">
        <v>1305963165</v>
      </c>
      <c r="B44" t="s">
        <v>801</v>
      </c>
      <c r="C44" t="s">
        <v>48</v>
      </c>
      <c r="D44" t="s">
        <v>802</v>
      </c>
      <c r="E44">
        <v>996026807</v>
      </c>
      <c r="F44" t="s">
        <v>715</v>
      </c>
      <c r="G44" t="s">
        <v>716</v>
      </c>
      <c r="H44" t="s">
        <v>717</v>
      </c>
      <c r="I44" t="s">
        <v>718</v>
      </c>
    </row>
    <row r="45" spans="1:9">
      <c r="A45">
        <v>1303943425</v>
      </c>
      <c r="B45" t="s">
        <v>803</v>
      </c>
      <c r="C45" t="s">
        <v>48</v>
      </c>
      <c r="D45" t="s">
        <v>804</v>
      </c>
      <c r="E45">
        <v>997732273</v>
      </c>
      <c r="F45" t="s">
        <v>715</v>
      </c>
      <c r="G45" t="s">
        <v>716</v>
      </c>
      <c r="H45" t="s">
        <v>717</v>
      </c>
      <c r="I45" t="s">
        <v>718</v>
      </c>
    </row>
    <row r="46" spans="1:9">
      <c r="A46">
        <v>1303409500</v>
      </c>
      <c r="B46" t="s">
        <v>805</v>
      </c>
      <c r="C46" t="s">
        <v>48</v>
      </c>
      <c r="D46" t="s">
        <v>806</v>
      </c>
      <c r="E46">
        <v>999616152</v>
      </c>
      <c r="F46" t="s">
        <v>715</v>
      </c>
      <c r="G46" t="s">
        <v>716</v>
      </c>
      <c r="H46" t="s">
        <v>717</v>
      </c>
      <c r="I46" t="s">
        <v>718</v>
      </c>
    </row>
    <row r="47" spans="1:9">
      <c r="A47">
        <v>1307804532</v>
      </c>
      <c r="B47" t="s">
        <v>807</v>
      </c>
      <c r="C47" t="s">
        <v>48</v>
      </c>
      <c r="D47" t="s">
        <v>808</v>
      </c>
      <c r="E47">
        <v>995881413</v>
      </c>
      <c r="F47" t="s">
        <v>715</v>
      </c>
      <c r="G47" t="s">
        <v>716</v>
      </c>
      <c r="H47" t="s">
        <v>717</v>
      </c>
      <c r="I47" t="s">
        <v>718</v>
      </c>
    </row>
    <row r="48" spans="1:9">
      <c r="A48">
        <v>1310734338</v>
      </c>
      <c r="B48" t="s">
        <v>809</v>
      </c>
      <c r="C48" t="s">
        <v>48</v>
      </c>
      <c r="D48" t="s">
        <v>810</v>
      </c>
      <c r="E48">
        <v>993309934</v>
      </c>
      <c r="F48" t="s">
        <v>715</v>
      </c>
      <c r="G48" t="s">
        <v>716</v>
      </c>
      <c r="H48" t="s">
        <v>717</v>
      </c>
      <c r="I48" t="s">
        <v>718</v>
      </c>
    </row>
    <row r="49" spans="1:9">
      <c r="A49">
        <v>1307091825</v>
      </c>
      <c r="B49" t="s">
        <v>811</v>
      </c>
      <c r="C49" t="s">
        <v>48</v>
      </c>
      <c r="D49" t="s">
        <v>812</v>
      </c>
      <c r="E49">
        <v>985832342</v>
      </c>
      <c r="F49" t="s">
        <v>729</v>
      </c>
      <c r="G49" t="s">
        <v>716</v>
      </c>
      <c r="H49" t="s">
        <v>717</v>
      </c>
      <c r="I49" t="s">
        <v>718</v>
      </c>
    </row>
    <row r="50" spans="1:9">
      <c r="A50">
        <v>1304021932</v>
      </c>
      <c r="B50" t="s">
        <v>813</v>
      </c>
      <c r="C50" t="s">
        <v>48</v>
      </c>
      <c r="D50" t="s">
        <v>814</v>
      </c>
      <c r="E50">
        <v>997507218</v>
      </c>
      <c r="F50" t="s">
        <v>715</v>
      </c>
      <c r="G50" t="s">
        <v>716</v>
      </c>
      <c r="H50" t="s">
        <v>717</v>
      </c>
      <c r="I50" t="s">
        <v>718</v>
      </c>
    </row>
    <row r="51" spans="1:9">
      <c r="A51">
        <v>1307077220</v>
      </c>
      <c r="B51" t="s">
        <v>815</v>
      </c>
      <c r="C51" t="s">
        <v>816</v>
      </c>
      <c r="D51" t="s">
        <v>817</v>
      </c>
      <c r="E51">
        <v>992291625</v>
      </c>
      <c r="F51" t="s">
        <v>715</v>
      </c>
      <c r="G51" t="s">
        <v>716</v>
      </c>
      <c r="H51" t="s">
        <v>717</v>
      </c>
      <c r="I51" t="s">
        <v>718</v>
      </c>
    </row>
    <row r="52" spans="1:9">
      <c r="A52">
        <v>1313436188</v>
      </c>
      <c r="B52" t="s">
        <v>696</v>
      </c>
      <c r="C52" t="s">
        <v>816</v>
      </c>
      <c r="D52" t="s">
        <v>818</v>
      </c>
      <c r="E52">
        <v>995203274</v>
      </c>
      <c r="F52" t="s">
        <v>715</v>
      </c>
      <c r="G52" t="s">
        <v>716</v>
      </c>
      <c r="H52" t="s">
        <v>737</v>
      </c>
      <c r="I52" t="s">
        <v>718</v>
      </c>
    </row>
    <row r="53" spans="1:9">
      <c r="A53">
        <v>802191734</v>
      </c>
      <c r="B53" t="s">
        <v>819</v>
      </c>
      <c r="C53" t="s">
        <v>816</v>
      </c>
      <c r="D53" t="s">
        <v>820</v>
      </c>
      <c r="E53">
        <v>995886846</v>
      </c>
      <c r="F53" t="s">
        <v>715</v>
      </c>
      <c r="G53" t="s">
        <v>716</v>
      </c>
      <c r="H53" t="s">
        <v>717</v>
      </c>
      <c r="I53" t="s">
        <v>718</v>
      </c>
    </row>
    <row r="54" spans="1:9">
      <c r="A54">
        <v>1304764002</v>
      </c>
      <c r="B54" t="s">
        <v>821</v>
      </c>
      <c r="C54" t="s">
        <v>816</v>
      </c>
      <c r="D54" t="s">
        <v>822</v>
      </c>
      <c r="E54">
        <v>993004142</v>
      </c>
      <c r="F54" t="s">
        <v>715</v>
      </c>
      <c r="G54" t="s">
        <v>716</v>
      </c>
      <c r="H54" t="s">
        <v>717</v>
      </c>
      <c r="I54" t="s">
        <v>718</v>
      </c>
    </row>
    <row r="55" spans="1:9">
      <c r="A55">
        <v>911662674</v>
      </c>
      <c r="B55" t="s">
        <v>823</v>
      </c>
      <c r="C55" t="s">
        <v>816</v>
      </c>
      <c r="D55" t="s">
        <v>824</v>
      </c>
      <c r="E55">
        <v>983833578</v>
      </c>
      <c r="F55" t="s">
        <v>715</v>
      </c>
      <c r="G55" t="s">
        <v>716</v>
      </c>
      <c r="H55" t="s">
        <v>717</v>
      </c>
      <c r="I55" t="s">
        <v>718</v>
      </c>
    </row>
    <row r="56" spans="1:9">
      <c r="A56">
        <v>1309751582</v>
      </c>
      <c r="B56" t="s">
        <v>825</v>
      </c>
      <c r="C56" t="s">
        <v>816</v>
      </c>
      <c r="D56" t="s">
        <v>826</v>
      </c>
      <c r="E56">
        <v>992136998</v>
      </c>
      <c r="F56" t="s">
        <v>715</v>
      </c>
      <c r="G56" t="s">
        <v>716</v>
      </c>
      <c r="H56" t="s">
        <v>717</v>
      </c>
      <c r="I56" t="s">
        <v>718</v>
      </c>
    </row>
    <row r="57" spans="1:9">
      <c r="A57">
        <v>1309499521</v>
      </c>
      <c r="B57" t="s">
        <v>827</v>
      </c>
      <c r="C57" t="s">
        <v>816</v>
      </c>
      <c r="D57" t="s">
        <v>828</v>
      </c>
      <c r="E57">
        <v>999922160</v>
      </c>
      <c r="F57" t="s">
        <v>715</v>
      </c>
      <c r="G57" t="s">
        <v>716</v>
      </c>
      <c r="H57" t="s">
        <v>717</v>
      </c>
      <c r="I57" t="s">
        <v>718</v>
      </c>
    </row>
    <row r="58" spans="1:9">
      <c r="A58">
        <v>1306306000</v>
      </c>
      <c r="B58" t="s">
        <v>829</v>
      </c>
      <c r="C58" t="s">
        <v>816</v>
      </c>
      <c r="D58" t="s">
        <v>830</v>
      </c>
      <c r="E58">
        <v>984892652</v>
      </c>
      <c r="F58" t="s">
        <v>715</v>
      </c>
      <c r="G58" t="s">
        <v>716</v>
      </c>
      <c r="H58" t="s">
        <v>717</v>
      </c>
      <c r="I58" t="s">
        <v>718</v>
      </c>
    </row>
    <row r="59" spans="1:9">
      <c r="A59">
        <v>1305904797</v>
      </c>
      <c r="B59" t="s">
        <v>831</v>
      </c>
      <c r="C59" t="s">
        <v>816</v>
      </c>
      <c r="D59" t="s">
        <v>832</v>
      </c>
      <c r="E59">
        <v>989744596</v>
      </c>
      <c r="F59" t="s">
        <v>715</v>
      </c>
      <c r="G59" t="s">
        <v>716</v>
      </c>
      <c r="H59" t="s">
        <v>833</v>
      </c>
      <c r="I59" t="s">
        <v>718</v>
      </c>
    </row>
    <row r="60" spans="1:9">
      <c r="A60">
        <v>801939851</v>
      </c>
      <c r="B60" t="s">
        <v>834</v>
      </c>
      <c r="C60" t="s">
        <v>816</v>
      </c>
      <c r="D60" t="s">
        <v>835</v>
      </c>
      <c r="E60">
        <v>984813260</v>
      </c>
      <c r="F60" t="s">
        <v>715</v>
      </c>
      <c r="G60" t="s">
        <v>716</v>
      </c>
      <c r="H60" t="s">
        <v>717</v>
      </c>
      <c r="I60" t="s">
        <v>718</v>
      </c>
    </row>
    <row r="61" spans="1:9">
      <c r="A61">
        <v>1311724569</v>
      </c>
      <c r="B61" t="s">
        <v>836</v>
      </c>
      <c r="C61" t="s">
        <v>816</v>
      </c>
      <c r="D61" t="s">
        <v>837</v>
      </c>
      <c r="E61">
        <v>982268100</v>
      </c>
      <c r="F61" t="s">
        <v>715</v>
      </c>
      <c r="G61" t="s">
        <v>716</v>
      </c>
      <c r="H61" t="s">
        <v>717</v>
      </c>
      <c r="I61" t="s">
        <v>718</v>
      </c>
    </row>
    <row r="62" spans="1:9">
      <c r="A62">
        <v>1306183573</v>
      </c>
      <c r="B62" t="s">
        <v>838</v>
      </c>
      <c r="C62" t="s">
        <v>816</v>
      </c>
      <c r="D62" t="s">
        <v>839</v>
      </c>
      <c r="E62">
        <v>990730382</v>
      </c>
      <c r="F62" t="s">
        <v>715</v>
      </c>
      <c r="G62" t="s">
        <v>716</v>
      </c>
      <c r="H62" t="s">
        <v>717</v>
      </c>
      <c r="I62" t="s">
        <v>718</v>
      </c>
    </row>
    <row r="63" spans="1:9">
      <c r="A63">
        <v>1751705508</v>
      </c>
      <c r="B63" t="s">
        <v>840</v>
      </c>
      <c r="C63" t="s">
        <v>816</v>
      </c>
      <c r="D63" t="s">
        <v>841</v>
      </c>
      <c r="E63">
        <v>983581535</v>
      </c>
      <c r="F63" t="s">
        <v>715</v>
      </c>
      <c r="G63" t="s">
        <v>716</v>
      </c>
      <c r="H63" t="s">
        <v>717</v>
      </c>
      <c r="I63" t="s">
        <v>718</v>
      </c>
    </row>
    <row r="64" spans="1:9">
      <c r="A64">
        <v>1311966418</v>
      </c>
      <c r="B64" t="s">
        <v>842</v>
      </c>
      <c r="C64" t="s">
        <v>816</v>
      </c>
      <c r="D64" t="s">
        <v>843</v>
      </c>
      <c r="E64">
        <v>984851444</v>
      </c>
      <c r="F64" t="s">
        <v>715</v>
      </c>
      <c r="G64" t="s">
        <v>716</v>
      </c>
      <c r="H64" t="s">
        <v>717</v>
      </c>
      <c r="I64" t="s">
        <v>718</v>
      </c>
    </row>
    <row r="65" spans="1:9">
      <c r="A65">
        <v>1309704565</v>
      </c>
      <c r="B65" t="s">
        <v>844</v>
      </c>
      <c r="C65" t="s">
        <v>816</v>
      </c>
      <c r="D65" t="s">
        <v>845</v>
      </c>
      <c r="E65">
        <v>994290358</v>
      </c>
      <c r="F65" t="s">
        <v>715</v>
      </c>
      <c r="G65" t="s">
        <v>716</v>
      </c>
      <c r="H65" t="s">
        <v>717</v>
      </c>
      <c r="I65" t="s">
        <v>718</v>
      </c>
    </row>
    <row r="66" spans="1:9">
      <c r="A66">
        <v>1310474414</v>
      </c>
      <c r="B66" t="s">
        <v>846</v>
      </c>
      <c r="C66" t="s">
        <v>816</v>
      </c>
      <c r="D66" t="s">
        <v>847</v>
      </c>
      <c r="E66">
        <v>983363555</v>
      </c>
      <c r="F66" t="s">
        <v>729</v>
      </c>
      <c r="G66" t="s">
        <v>716</v>
      </c>
      <c r="H66" t="s">
        <v>717</v>
      </c>
      <c r="I66" t="s">
        <v>718</v>
      </c>
    </row>
    <row r="67" spans="1:9">
      <c r="A67">
        <v>1310563497</v>
      </c>
      <c r="B67" t="s">
        <v>848</v>
      </c>
      <c r="C67" t="s">
        <v>816</v>
      </c>
      <c r="D67" t="s">
        <v>849</v>
      </c>
      <c r="E67">
        <v>999296105</v>
      </c>
      <c r="F67" t="s">
        <v>715</v>
      </c>
      <c r="G67" t="s">
        <v>732</v>
      </c>
      <c r="H67" t="s">
        <v>737</v>
      </c>
      <c r="I67" t="s">
        <v>718</v>
      </c>
    </row>
    <row r="68" spans="1:9">
      <c r="A68">
        <v>1312874314</v>
      </c>
      <c r="B68" t="s">
        <v>850</v>
      </c>
      <c r="C68" t="s">
        <v>816</v>
      </c>
      <c r="D68" t="s">
        <v>851</v>
      </c>
      <c r="E68">
        <v>969091232</v>
      </c>
      <c r="F68" t="s">
        <v>715</v>
      </c>
      <c r="G68" t="s">
        <v>716</v>
      </c>
      <c r="H68" t="s">
        <v>737</v>
      </c>
      <c r="I68" t="s">
        <v>718</v>
      </c>
    </row>
    <row r="69" spans="1:9">
      <c r="A69">
        <v>1309288395</v>
      </c>
      <c r="B69" t="s">
        <v>852</v>
      </c>
      <c r="C69" t="s">
        <v>816</v>
      </c>
      <c r="D69" t="s">
        <v>853</v>
      </c>
      <c r="E69">
        <v>996332062</v>
      </c>
      <c r="F69" t="s">
        <v>715</v>
      </c>
      <c r="G69" t="s">
        <v>716</v>
      </c>
      <c r="H69" t="s">
        <v>717</v>
      </c>
      <c r="I69" t="s">
        <v>718</v>
      </c>
    </row>
    <row r="70" spans="1:9">
      <c r="A70">
        <v>1304549452</v>
      </c>
      <c r="B70" t="s">
        <v>854</v>
      </c>
      <c r="C70" t="s">
        <v>816</v>
      </c>
      <c r="D70" t="s">
        <v>855</v>
      </c>
      <c r="E70">
        <v>985803987</v>
      </c>
      <c r="F70" t="s">
        <v>715</v>
      </c>
      <c r="G70" t="s">
        <v>716</v>
      </c>
      <c r="H70" t="s">
        <v>717</v>
      </c>
      <c r="I70" t="s">
        <v>718</v>
      </c>
    </row>
    <row r="71" spans="1:9">
      <c r="A71">
        <v>1310314602</v>
      </c>
      <c r="B71" t="s">
        <v>856</v>
      </c>
      <c r="C71" t="s">
        <v>816</v>
      </c>
      <c r="D71" t="s">
        <v>857</v>
      </c>
      <c r="E71">
        <v>989104994</v>
      </c>
      <c r="F71" t="s">
        <v>715</v>
      </c>
      <c r="G71" t="s">
        <v>716</v>
      </c>
      <c r="H71" t="s">
        <v>717</v>
      </c>
      <c r="I71" t="s">
        <v>718</v>
      </c>
    </row>
    <row r="72" spans="1:9">
      <c r="A72">
        <v>1305955856</v>
      </c>
      <c r="B72" t="s">
        <v>858</v>
      </c>
      <c r="C72" t="s">
        <v>816</v>
      </c>
      <c r="D72" t="s">
        <v>859</v>
      </c>
      <c r="E72">
        <v>987466061</v>
      </c>
      <c r="F72" t="s">
        <v>729</v>
      </c>
      <c r="G72" t="s">
        <v>716</v>
      </c>
      <c r="H72" t="s">
        <v>717</v>
      </c>
      <c r="I72" t="s">
        <v>718</v>
      </c>
    </row>
    <row r="73" spans="1:9">
      <c r="A73">
        <v>1308983558</v>
      </c>
      <c r="B73" t="s">
        <v>860</v>
      </c>
      <c r="C73" t="s">
        <v>816</v>
      </c>
      <c r="D73" t="s">
        <v>861</v>
      </c>
      <c r="E73">
        <v>998414095</v>
      </c>
      <c r="F73" t="s">
        <v>715</v>
      </c>
      <c r="G73" t="s">
        <v>716</v>
      </c>
      <c r="H73" t="s">
        <v>717</v>
      </c>
      <c r="I73" t="s">
        <v>718</v>
      </c>
    </row>
    <row r="74" spans="1:9">
      <c r="A74">
        <v>1305058859</v>
      </c>
      <c r="B74" t="s">
        <v>862</v>
      </c>
      <c r="C74" t="s">
        <v>816</v>
      </c>
      <c r="D74" t="s">
        <v>863</v>
      </c>
      <c r="E74">
        <v>994487273</v>
      </c>
      <c r="F74" t="s">
        <v>715</v>
      </c>
      <c r="G74" t="s">
        <v>716</v>
      </c>
      <c r="H74" t="s">
        <v>717</v>
      </c>
      <c r="I74" t="s">
        <v>718</v>
      </c>
    </row>
    <row r="75" spans="1:9">
      <c r="A75">
        <v>1308368230</v>
      </c>
      <c r="B75" t="s">
        <v>864</v>
      </c>
      <c r="C75" t="s">
        <v>816</v>
      </c>
      <c r="D75" t="s">
        <v>865</v>
      </c>
      <c r="E75">
        <v>996568861</v>
      </c>
      <c r="F75" t="s">
        <v>715</v>
      </c>
      <c r="G75" t="s">
        <v>716</v>
      </c>
      <c r="H75" t="s">
        <v>717</v>
      </c>
      <c r="I75" t="s">
        <v>718</v>
      </c>
    </row>
    <row r="76" spans="1:9">
      <c r="A76">
        <v>1311936239</v>
      </c>
      <c r="B76" t="s">
        <v>866</v>
      </c>
      <c r="C76" t="s">
        <v>816</v>
      </c>
      <c r="D76" t="s">
        <v>867</v>
      </c>
      <c r="E76">
        <v>986965389</v>
      </c>
      <c r="F76" t="s">
        <v>715</v>
      </c>
      <c r="G76" t="s">
        <v>716</v>
      </c>
      <c r="H76" t="s">
        <v>717</v>
      </c>
      <c r="I76" t="s">
        <v>718</v>
      </c>
    </row>
    <row r="77" spans="1:9">
      <c r="A77">
        <v>1307597201</v>
      </c>
      <c r="B77" t="s">
        <v>868</v>
      </c>
      <c r="C77" t="s">
        <v>816</v>
      </c>
      <c r="D77" t="s">
        <v>869</v>
      </c>
      <c r="E77">
        <v>985009851</v>
      </c>
      <c r="F77" t="s">
        <v>715</v>
      </c>
      <c r="G77" t="s">
        <v>732</v>
      </c>
      <c r="H77" t="s">
        <v>717</v>
      </c>
      <c r="I77" t="s">
        <v>718</v>
      </c>
    </row>
    <row r="78" spans="1:9">
      <c r="A78">
        <v>1306795087</v>
      </c>
      <c r="B78" t="s">
        <v>870</v>
      </c>
      <c r="C78" t="s">
        <v>816</v>
      </c>
      <c r="D78" t="s">
        <v>871</v>
      </c>
      <c r="E78">
        <v>994509264</v>
      </c>
      <c r="F78" t="s">
        <v>729</v>
      </c>
      <c r="G78" t="s">
        <v>716</v>
      </c>
      <c r="H78" t="s">
        <v>717</v>
      </c>
      <c r="I78" t="s">
        <v>718</v>
      </c>
    </row>
    <row r="79" spans="1:9">
      <c r="A79">
        <v>1312179870</v>
      </c>
      <c r="B79" t="s">
        <v>872</v>
      </c>
      <c r="C79" t="s">
        <v>816</v>
      </c>
      <c r="D79" t="s">
        <v>873</v>
      </c>
      <c r="E79">
        <v>993506845</v>
      </c>
      <c r="F79" t="s">
        <v>715</v>
      </c>
      <c r="G79" t="s">
        <v>732</v>
      </c>
      <c r="H79" t="s">
        <v>717</v>
      </c>
      <c r="I79" t="s">
        <v>718</v>
      </c>
    </row>
    <row r="80" spans="1:9">
      <c r="A80">
        <v>1311778698</v>
      </c>
      <c r="B80" t="s">
        <v>22</v>
      </c>
      <c r="C80" t="s">
        <v>816</v>
      </c>
      <c r="D80" t="s">
        <v>874</v>
      </c>
      <c r="E80">
        <v>979426887</v>
      </c>
      <c r="F80" t="s">
        <v>715</v>
      </c>
      <c r="G80" t="s">
        <v>716</v>
      </c>
      <c r="H80" t="s">
        <v>796</v>
      </c>
      <c r="I80" t="s">
        <v>718</v>
      </c>
    </row>
    <row r="81" spans="1:9">
      <c r="A81">
        <v>1304685215</v>
      </c>
      <c r="B81" t="s">
        <v>875</v>
      </c>
      <c r="C81" t="s">
        <v>816</v>
      </c>
      <c r="D81" t="s">
        <v>876</v>
      </c>
      <c r="E81">
        <v>990866973</v>
      </c>
      <c r="F81" t="s">
        <v>715</v>
      </c>
      <c r="G81" t="s">
        <v>716</v>
      </c>
      <c r="H81" t="s">
        <v>717</v>
      </c>
      <c r="I81" t="s">
        <v>718</v>
      </c>
    </row>
    <row r="82" spans="1:9">
      <c r="A82">
        <v>1310429434</v>
      </c>
      <c r="B82" t="s">
        <v>877</v>
      </c>
      <c r="C82" t="s">
        <v>816</v>
      </c>
      <c r="D82" t="s">
        <v>878</v>
      </c>
      <c r="E82">
        <v>989762385</v>
      </c>
      <c r="F82" t="s">
        <v>715</v>
      </c>
      <c r="G82" t="s">
        <v>716</v>
      </c>
      <c r="H82" t="s">
        <v>717</v>
      </c>
      <c r="I82" t="s">
        <v>718</v>
      </c>
    </row>
    <row r="83" spans="1:9">
      <c r="A83">
        <v>1305567610</v>
      </c>
      <c r="B83" t="s">
        <v>879</v>
      </c>
      <c r="C83" t="s">
        <v>816</v>
      </c>
      <c r="D83" t="s">
        <v>880</v>
      </c>
      <c r="E83">
        <v>967474963</v>
      </c>
      <c r="F83" t="s">
        <v>715</v>
      </c>
      <c r="G83" t="s">
        <v>716</v>
      </c>
      <c r="H83" t="s">
        <v>717</v>
      </c>
      <c r="I83" t="s">
        <v>718</v>
      </c>
    </row>
    <row r="84" spans="1:9">
      <c r="A84">
        <v>1312718487</v>
      </c>
      <c r="B84" t="s">
        <v>881</v>
      </c>
      <c r="C84" t="s">
        <v>816</v>
      </c>
      <c r="D84" t="s">
        <v>882</v>
      </c>
      <c r="E84">
        <v>994482463</v>
      </c>
      <c r="F84" t="s">
        <v>715</v>
      </c>
      <c r="G84" t="s">
        <v>716</v>
      </c>
      <c r="H84" t="s">
        <v>717</v>
      </c>
      <c r="I84" t="s">
        <v>718</v>
      </c>
    </row>
    <row r="85" spans="1:9">
      <c r="A85">
        <v>1315243376</v>
      </c>
      <c r="B85" t="s">
        <v>883</v>
      </c>
      <c r="C85" t="s">
        <v>816</v>
      </c>
      <c r="D85" t="s">
        <v>884</v>
      </c>
      <c r="E85">
        <v>981925543</v>
      </c>
      <c r="F85" t="s">
        <v>715</v>
      </c>
      <c r="G85" t="s">
        <v>716</v>
      </c>
      <c r="H85" t="s">
        <v>737</v>
      </c>
      <c r="I85" t="s">
        <v>718</v>
      </c>
    </row>
    <row r="86" spans="1:9">
      <c r="A86">
        <v>914125430</v>
      </c>
      <c r="B86" t="s">
        <v>885</v>
      </c>
      <c r="C86" t="s">
        <v>816</v>
      </c>
      <c r="D86" t="s">
        <v>886</v>
      </c>
      <c r="E86">
        <v>987672117</v>
      </c>
      <c r="F86" t="s">
        <v>715</v>
      </c>
      <c r="G86" t="s">
        <v>716</v>
      </c>
      <c r="H86" t="s">
        <v>717</v>
      </c>
      <c r="I86" t="s">
        <v>718</v>
      </c>
    </row>
    <row r="87" spans="1:9">
      <c r="A87">
        <v>1313313080</v>
      </c>
      <c r="B87" t="s">
        <v>887</v>
      </c>
      <c r="C87" t="s">
        <v>816</v>
      </c>
      <c r="D87" t="s">
        <v>888</v>
      </c>
      <c r="E87">
        <v>981710821</v>
      </c>
      <c r="F87" t="s">
        <v>715</v>
      </c>
      <c r="G87" t="s">
        <v>716</v>
      </c>
      <c r="H87" t="s">
        <v>717</v>
      </c>
      <c r="I87" t="s">
        <v>718</v>
      </c>
    </row>
    <row r="88" spans="1:9">
      <c r="A88">
        <v>1308646155</v>
      </c>
      <c r="B88" t="s">
        <v>889</v>
      </c>
      <c r="C88" t="s">
        <v>816</v>
      </c>
      <c r="D88" t="s">
        <v>890</v>
      </c>
      <c r="E88">
        <v>979056102</v>
      </c>
      <c r="F88" t="s">
        <v>715</v>
      </c>
      <c r="G88" t="s">
        <v>716</v>
      </c>
      <c r="H88" t="s">
        <v>717</v>
      </c>
      <c r="I88" t="s">
        <v>718</v>
      </c>
    </row>
    <row r="89" spans="1:9">
      <c r="A89">
        <v>1309206298</v>
      </c>
      <c r="B89" t="s">
        <v>891</v>
      </c>
      <c r="C89" t="s">
        <v>816</v>
      </c>
      <c r="D89" t="s">
        <v>892</v>
      </c>
      <c r="E89">
        <v>990952124</v>
      </c>
      <c r="F89" t="s">
        <v>715</v>
      </c>
      <c r="G89" t="s">
        <v>716</v>
      </c>
      <c r="H89" t="s">
        <v>717</v>
      </c>
      <c r="I89" t="s">
        <v>718</v>
      </c>
    </row>
    <row r="90" spans="1:9">
      <c r="A90">
        <v>1307802965</v>
      </c>
      <c r="B90" t="s">
        <v>893</v>
      </c>
      <c r="C90" t="s">
        <v>894</v>
      </c>
      <c r="D90" t="s">
        <v>895</v>
      </c>
      <c r="E90">
        <v>993943892</v>
      </c>
      <c r="F90" t="s">
        <v>715</v>
      </c>
      <c r="G90" t="s">
        <v>716</v>
      </c>
      <c r="H90" t="s">
        <v>717</v>
      </c>
      <c r="I90" t="s">
        <v>718</v>
      </c>
    </row>
    <row r="91" spans="1:9">
      <c r="A91">
        <v>1308294501</v>
      </c>
      <c r="B91" t="s">
        <v>693</v>
      </c>
      <c r="C91" t="s">
        <v>816</v>
      </c>
      <c r="D91" t="s">
        <v>896</v>
      </c>
      <c r="E91">
        <v>996421112</v>
      </c>
      <c r="F91" t="s">
        <v>715</v>
      </c>
      <c r="G91" t="s">
        <v>716</v>
      </c>
      <c r="H91" t="s">
        <v>717</v>
      </c>
      <c r="I91" t="s">
        <v>718</v>
      </c>
    </row>
    <row r="92" spans="1:9">
      <c r="A92">
        <v>1305769190</v>
      </c>
      <c r="B92" t="s">
        <v>897</v>
      </c>
      <c r="C92" t="s">
        <v>894</v>
      </c>
      <c r="D92" t="s">
        <v>898</v>
      </c>
      <c r="E92">
        <v>985751660</v>
      </c>
      <c r="F92" t="s">
        <v>715</v>
      </c>
      <c r="G92" t="s">
        <v>716</v>
      </c>
      <c r="H92" t="s">
        <v>717</v>
      </c>
      <c r="I92" t="s">
        <v>718</v>
      </c>
    </row>
    <row r="93" spans="1:9">
      <c r="A93">
        <v>1305935833</v>
      </c>
      <c r="B93" t="s">
        <v>899</v>
      </c>
      <c r="C93" t="s">
        <v>894</v>
      </c>
      <c r="D93" t="s">
        <v>900</v>
      </c>
      <c r="E93">
        <v>994348427</v>
      </c>
      <c r="F93" t="s">
        <v>729</v>
      </c>
      <c r="G93" t="s">
        <v>716</v>
      </c>
      <c r="H93" t="s">
        <v>717</v>
      </c>
      <c r="I93" t="s">
        <v>718</v>
      </c>
    </row>
    <row r="94" spans="1:9">
      <c r="A94">
        <v>1306238443</v>
      </c>
      <c r="B94" t="s">
        <v>901</v>
      </c>
      <c r="C94" t="s">
        <v>894</v>
      </c>
      <c r="D94" t="s">
        <v>902</v>
      </c>
      <c r="E94">
        <v>994546271</v>
      </c>
      <c r="F94" t="s">
        <v>729</v>
      </c>
      <c r="G94" t="s">
        <v>716</v>
      </c>
      <c r="H94" t="s">
        <v>717</v>
      </c>
      <c r="I94" t="s">
        <v>718</v>
      </c>
    </row>
    <row r="95" spans="1:9">
      <c r="A95">
        <v>1309715850</v>
      </c>
      <c r="B95" t="s">
        <v>903</v>
      </c>
      <c r="C95" t="s">
        <v>894</v>
      </c>
      <c r="D95" t="s">
        <v>904</v>
      </c>
      <c r="E95">
        <v>981038384</v>
      </c>
      <c r="F95" t="s">
        <v>715</v>
      </c>
      <c r="G95" t="s">
        <v>716</v>
      </c>
      <c r="H95" t="s">
        <v>717</v>
      </c>
      <c r="I95" t="s">
        <v>718</v>
      </c>
    </row>
    <row r="96" spans="1:9">
      <c r="A96">
        <v>1305124271</v>
      </c>
      <c r="B96" t="s">
        <v>905</v>
      </c>
      <c r="C96" t="s">
        <v>894</v>
      </c>
      <c r="D96" t="s">
        <v>906</v>
      </c>
      <c r="E96">
        <v>998723075</v>
      </c>
      <c r="F96" t="s">
        <v>715</v>
      </c>
      <c r="G96" t="s">
        <v>716</v>
      </c>
      <c r="H96" t="s">
        <v>717</v>
      </c>
      <c r="I96" t="s">
        <v>718</v>
      </c>
    </row>
    <row r="97" spans="1:9">
      <c r="A97">
        <v>1305057026</v>
      </c>
      <c r="B97" t="s">
        <v>907</v>
      </c>
      <c r="C97" t="s">
        <v>894</v>
      </c>
      <c r="D97" t="s">
        <v>908</v>
      </c>
      <c r="E97">
        <v>982409063</v>
      </c>
      <c r="F97" t="s">
        <v>715</v>
      </c>
      <c r="G97" t="s">
        <v>716</v>
      </c>
      <c r="H97" t="s">
        <v>717</v>
      </c>
      <c r="I97" t="s">
        <v>718</v>
      </c>
    </row>
    <row r="98" spans="1:9">
      <c r="A98">
        <v>1305501809</v>
      </c>
      <c r="B98" t="s">
        <v>909</v>
      </c>
      <c r="C98" t="s">
        <v>816</v>
      </c>
      <c r="D98" t="s">
        <v>910</v>
      </c>
      <c r="E98">
        <v>984980465</v>
      </c>
      <c r="F98" t="s">
        <v>715</v>
      </c>
      <c r="G98" t="s">
        <v>732</v>
      </c>
      <c r="H98" t="s">
        <v>717</v>
      </c>
      <c r="I98" t="s">
        <v>718</v>
      </c>
    </row>
    <row r="99" spans="1:9">
      <c r="A99">
        <v>1307842383</v>
      </c>
      <c r="B99" t="s">
        <v>911</v>
      </c>
      <c r="C99" t="s">
        <v>894</v>
      </c>
      <c r="D99" t="s">
        <v>912</v>
      </c>
      <c r="E99">
        <v>939868131</v>
      </c>
      <c r="F99" t="s">
        <v>715</v>
      </c>
      <c r="G99" t="s">
        <v>716</v>
      </c>
      <c r="H99" t="s">
        <v>717</v>
      </c>
      <c r="I99" t="s">
        <v>718</v>
      </c>
    </row>
    <row r="100" spans="1:9">
      <c r="A100">
        <v>920298205</v>
      </c>
      <c r="B100" t="s">
        <v>913</v>
      </c>
      <c r="C100" t="s">
        <v>894</v>
      </c>
      <c r="D100" t="s">
        <v>914</v>
      </c>
      <c r="E100">
        <v>992387741</v>
      </c>
      <c r="F100" t="s">
        <v>715</v>
      </c>
      <c r="G100" t="s">
        <v>716</v>
      </c>
      <c r="H100" t="s">
        <v>717</v>
      </c>
      <c r="I100" t="s">
        <v>718</v>
      </c>
    </row>
    <row r="101" spans="1:9">
      <c r="A101">
        <v>1306444595</v>
      </c>
      <c r="B101" t="s">
        <v>915</v>
      </c>
      <c r="C101" t="s">
        <v>894</v>
      </c>
      <c r="D101" t="s">
        <v>916</v>
      </c>
      <c r="E101">
        <v>900000044</v>
      </c>
      <c r="F101" t="s">
        <v>729</v>
      </c>
      <c r="G101" t="s">
        <v>716</v>
      </c>
      <c r="H101" t="s">
        <v>717</v>
      </c>
      <c r="I101" t="s">
        <v>718</v>
      </c>
    </row>
    <row r="102" spans="1:9">
      <c r="A102">
        <v>1312606476</v>
      </c>
      <c r="B102" t="s">
        <v>917</v>
      </c>
      <c r="C102" t="s">
        <v>894</v>
      </c>
      <c r="D102" t="s">
        <v>918</v>
      </c>
      <c r="E102">
        <v>992045309</v>
      </c>
      <c r="F102" t="s">
        <v>715</v>
      </c>
      <c r="G102" t="s">
        <v>716</v>
      </c>
      <c r="H102" t="s">
        <v>796</v>
      </c>
      <c r="I102" t="s">
        <v>718</v>
      </c>
    </row>
    <row r="103" spans="1:9">
      <c r="A103">
        <v>913857033</v>
      </c>
      <c r="B103" t="s">
        <v>919</v>
      </c>
      <c r="C103" t="s">
        <v>894</v>
      </c>
      <c r="D103" t="s">
        <v>920</v>
      </c>
      <c r="E103">
        <v>997877586</v>
      </c>
      <c r="F103" t="s">
        <v>715</v>
      </c>
      <c r="G103" t="s">
        <v>716</v>
      </c>
      <c r="H103" t="s">
        <v>717</v>
      </c>
      <c r="I103" t="s">
        <v>718</v>
      </c>
    </row>
    <row r="104" spans="1:9">
      <c r="A104">
        <v>1311099749</v>
      </c>
      <c r="B104" t="s">
        <v>921</v>
      </c>
      <c r="C104" t="s">
        <v>894</v>
      </c>
      <c r="D104" t="s">
        <v>922</v>
      </c>
      <c r="E104">
        <v>981169502</v>
      </c>
      <c r="F104" t="s">
        <v>715</v>
      </c>
      <c r="G104" t="s">
        <v>716</v>
      </c>
      <c r="H104" t="s">
        <v>717</v>
      </c>
      <c r="I104" t="s">
        <v>718</v>
      </c>
    </row>
    <row r="105" spans="1:9">
      <c r="A105">
        <v>1315680429</v>
      </c>
      <c r="B105" t="s">
        <v>923</v>
      </c>
      <c r="C105" t="s">
        <v>894</v>
      </c>
      <c r="D105" t="s">
        <v>924</v>
      </c>
      <c r="E105">
        <v>990901691</v>
      </c>
      <c r="F105" t="s">
        <v>729</v>
      </c>
      <c r="G105" t="s">
        <v>716</v>
      </c>
      <c r="H105" t="s">
        <v>717</v>
      </c>
      <c r="I105" t="s">
        <v>718</v>
      </c>
    </row>
    <row r="106" spans="1:9">
      <c r="A106">
        <v>1306293687</v>
      </c>
      <c r="B106" t="s">
        <v>925</v>
      </c>
      <c r="C106" t="s">
        <v>412</v>
      </c>
      <c r="D106" t="s">
        <v>926</v>
      </c>
      <c r="E106">
        <v>999826209</v>
      </c>
      <c r="F106" t="s">
        <v>715</v>
      </c>
      <c r="G106" t="s">
        <v>716</v>
      </c>
      <c r="H106" t="s">
        <v>717</v>
      </c>
      <c r="I106" t="s">
        <v>718</v>
      </c>
    </row>
    <row r="107" spans="1:9">
      <c r="A107">
        <v>1306260959</v>
      </c>
      <c r="B107" t="s">
        <v>927</v>
      </c>
      <c r="C107" t="s">
        <v>412</v>
      </c>
      <c r="D107" t="s">
        <v>928</v>
      </c>
      <c r="E107">
        <v>997945151</v>
      </c>
      <c r="F107" t="s">
        <v>715</v>
      </c>
      <c r="G107" t="s">
        <v>716</v>
      </c>
      <c r="H107" t="s">
        <v>717</v>
      </c>
      <c r="I107" t="s">
        <v>718</v>
      </c>
    </row>
    <row r="108" spans="1:9">
      <c r="A108">
        <v>1310640097</v>
      </c>
      <c r="B108" t="s">
        <v>929</v>
      </c>
      <c r="C108" t="s">
        <v>412</v>
      </c>
      <c r="D108" t="s">
        <v>930</v>
      </c>
      <c r="E108">
        <v>996373875</v>
      </c>
      <c r="F108" t="s">
        <v>715</v>
      </c>
      <c r="G108" t="s">
        <v>716</v>
      </c>
      <c r="H108" t="s">
        <v>717</v>
      </c>
      <c r="I108" t="s">
        <v>718</v>
      </c>
    </row>
    <row r="109" spans="1:9">
      <c r="A109">
        <v>1311779241</v>
      </c>
      <c r="B109" t="s">
        <v>931</v>
      </c>
      <c r="C109" t="s">
        <v>412</v>
      </c>
      <c r="D109" t="s">
        <v>932</v>
      </c>
      <c r="E109">
        <v>980343467</v>
      </c>
      <c r="F109" t="s">
        <v>715</v>
      </c>
      <c r="G109" t="s">
        <v>716</v>
      </c>
      <c r="H109" t="s">
        <v>717</v>
      </c>
      <c r="I109" t="s">
        <v>718</v>
      </c>
    </row>
    <row r="110" spans="1:9">
      <c r="A110">
        <v>1303385957</v>
      </c>
      <c r="B110" t="s">
        <v>933</v>
      </c>
      <c r="C110" t="s">
        <v>412</v>
      </c>
      <c r="D110" t="s">
        <v>934</v>
      </c>
      <c r="E110">
        <v>987224114</v>
      </c>
      <c r="F110" t="s">
        <v>715</v>
      </c>
      <c r="G110" t="s">
        <v>716</v>
      </c>
      <c r="H110" t="s">
        <v>717</v>
      </c>
      <c r="I110" t="s">
        <v>718</v>
      </c>
    </row>
    <row r="111" spans="1:9">
      <c r="A111">
        <v>1309746871</v>
      </c>
      <c r="B111" t="s">
        <v>935</v>
      </c>
      <c r="C111" t="s">
        <v>412</v>
      </c>
      <c r="D111" t="s">
        <v>936</v>
      </c>
      <c r="E111">
        <v>992244137</v>
      </c>
      <c r="F111" t="s">
        <v>729</v>
      </c>
      <c r="G111" t="s">
        <v>716</v>
      </c>
      <c r="H111" t="s">
        <v>833</v>
      </c>
      <c r="I111" t="s">
        <v>718</v>
      </c>
    </row>
    <row r="112" spans="1:9">
      <c r="A112">
        <v>1305509448</v>
      </c>
      <c r="B112" t="s">
        <v>937</v>
      </c>
      <c r="C112" t="s">
        <v>48</v>
      </c>
      <c r="D112" t="s">
        <v>938</v>
      </c>
      <c r="E112">
        <v>995141673</v>
      </c>
      <c r="F112" t="s">
        <v>715</v>
      </c>
      <c r="G112" t="s">
        <v>716</v>
      </c>
      <c r="H112" t="s">
        <v>717</v>
      </c>
      <c r="I112" t="s">
        <v>718</v>
      </c>
    </row>
    <row r="113" spans="1:9">
      <c r="A113">
        <v>910619543</v>
      </c>
      <c r="B113" t="s">
        <v>939</v>
      </c>
      <c r="C113" t="s">
        <v>412</v>
      </c>
      <c r="D113" t="s">
        <v>940</v>
      </c>
      <c r="E113">
        <v>986305500</v>
      </c>
      <c r="F113" t="s">
        <v>715</v>
      </c>
      <c r="G113" t="s">
        <v>716</v>
      </c>
      <c r="H113" t="s">
        <v>717</v>
      </c>
      <c r="I113" t="s">
        <v>718</v>
      </c>
    </row>
    <row r="114" spans="1:9">
      <c r="A114">
        <v>1311369464</v>
      </c>
      <c r="B114" t="s">
        <v>941</v>
      </c>
      <c r="C114" t="s">
        <v>412</v>
      </c>
      <c r="D114" t="s">
        <v>942</v>
      </c>
      <c r="E114">
        <v>996925400</v>
      </c>
      <c r="F114" t="s">
        <v>715</v>
      </c>
      <c r="G114" t="s">
        <v>716</v>
      </c>
      <c r="H114" t="s">
        <v>717</v>
      </c>
      <c r="I114" t="s">
        <v>718</v>
      </c>
    </row>
    <row r="115" spans="1:9">
      <c r="A115">
        <v>1306763218</v>
      </c>
      <c r="B115" t="s">
        <v>943</v>
      </c>
      <c r="C115" t="s">
        <v>412</v>
      </c>
      <c r="D115" t="s">
        <v>944</v>
      </c>
      <c r="E115">
        <v>95490040</v>
      </c>
      <c r="F115" t="s">
        <v>715</v>
      </c>
      <c r="G115" t="s">
        <v>716</v>
      </c>
      <c r="H115" t="s">
        <v>717</v>
      </c>
      <c r="I115" t="s">
        <v>718</v>
      </c>
    </row>
    <row r="116" spans="1:9">
      <c r="A116">
        <v>1302940091</v>
      </c>
      <c r="B116" t="s">
        <v>945</v>
      </c>
      <c r="C116" t="s">
        <v>412</v>
      </c>
      <c r="D116" t="s">
        <v>946</v>
      </c>
      <c r="E116">
        <v>982228268</v>
      </c>
      <c r="F116" t="s">
        <v>729</v>
      </c>
      <c r="G116" t="s">
        <v>716</v>
      </c>
      <c r="H116" t="s">
        <v>717</v>
      </c>
      <c r="I116" t="s">
        <v>718</v>
      </c>
    </row>
    <row r="117" spans="1:9">
      <c r="A117">
        <v>1311498222</v>
      </c>
      <c r="B117" t="s">
        <v>947</v>
      </c>
      <c r="C117" t="s">
        <v>412</v>
      </c>
      <c r="D117" t="s">
        <v>948</v>
      </c>
      <c r="E117">
        <v>994564918</v>
      </c>
      <c r="F117" t="s">
        <v>715</v>
      </c>
      <c r="G117" t="s">
        <v>716</v>
      </c>
      <c r="H117" t="s">
        <v>717</v>
      </c>
      <c r="I117" t="s">
        <v>718</v>
      </c>
    </row>
    <row r="118" spans="1:9">
      <c r="A118">
        <v>1310419138</v>
      </c>
      <c r="B118" t="s">
        <v>949</v>
      </c>
      <c r="C118" t="s">
        <v>412</v>
      </c>
      <c r="D118" t="s">
        <v>950</v>
      </c>
      <c r="E118">
        <v>993873821</v>
      </c>
      <c r="F118" t="s">
        <v>715</v>
      </c>
      <c r="G118" t="s">
        <v>716</v>
      </c>
      <c r="H118" t="s">
        <v>717</v>
      </c>
      <c r="I118" t="s">
        <v>718</v>
      </c>
    </row>
    <row r="119" spans="1:9">
      <c r="A119">
        <v>602990723</v>
      </c>
      <c r="B119" t="s">
        <v>951</v>
      </c>
      <c r="C119" t="s">
        <v>412</v>
      </c>
      <c r="D119" t="s">
        <v>952</v>
      </c>
      <c r="E119">
        <v>995349553</v>
      </c>
      <c r="F119" t="s">
        <v>715</v>
      </c>
      <c r="G119" t="s">
        <v>716</v>
      </c>
      <c r="H119" t="s">
        <v>717</v>
      </c>
      <c r="I119" t="s">
        <v>718</v>
      </c>
    </row>
    <row r="120" spans="1:9">
      <c r="A120">
        <v>1312875279</v>
      </c>
      <c r="B120" t="s">
        <v>953</v>
      </c>
      <c r="C120" t="s">
        <v>412</v>
      </c>
      <c r="D120" t="s">
        <v>954</v>
      </c>
      <c r="E120">
        <v>996547733</v>
      </c>
      <c r="F120" t="s">
        <v>715</v>
      </c>
      <c r="G120" t="s">
        <v>716</v>
      </c>
      <c r="H120" t="s">
        <v>717</v>
      </c>
      <c r="I120" t="s">
        <v>718</v>
      </c>
    </row>
    <row r="121" spans="1:9">
      <c r="A121">
        <v>1308524568</v>
      </c>
      <c r="B121" t="s">
        <v>955</v>
      </c>
      <c r="C121" t="s">
        <v>412</v>
      </c>
      <c r="D121" t="s">
        <v>956</v>
      </c>
      <c r="E121">
        <v>999762406</v>
      </c>
      <c r="F121" t="s">
        <v>715</v>
      </c>
      <c r="G121" t="s">
        <v>716</v>
      </c>
      <c r="H121" t="s">
        <v>717</v>
      </c>
      <c r="I121" t="s">
        <v>718</v>
      </c>
    </row>
    <row r="122" spans="1:9">
      <c r="A122">
        <v>1309662706</v>
      </c>
      <c r="B122" t="s">
        <v>957</v>
      </c>
      <c r="C122" t="s">
        <v>412</v>
      </c>
      <c r="D122" t="s">
        <v>958</v>
      </c>
      <c r="E122">
        <v>999068580</v>
      </c>
      <c r="F122" t="s">
        <v>729</v>
      </c>
      <c r="G122" t="s">
        <v>716</v>
      </c>
      <c r="H122" t="s">
        <v>717</v>
      </c>
      <c r="I122" t="s">
        <v>718</v>
      </c>
    </row>
    <row r="123" spans="1:9">
      <c r="A123">
        <v>1708333115</v>
      </c>
      <c r="B123" t="s">
        <v>959</v>
      </c>
      <c r="C123" t="s">
        <v>412</v>
      </c>
      <c r="D123" t="s">
        <v>960</v>
      </c>
      <c r="E123">
        <v>990311136</v>
      </c>
      <c r="F123" t="s">
        <v>729</v>
      </c>
      <c r="G123" t="s">
        <v>716</v>
      </c>
      <c r="H123" t="s">
        <v>717</v>
      </c>
      <c r="I123" t="s">
        <v>718</v>
      </c>
    </row>
    <row r="124" spans="1:9">
      <c r="A124">
        <v>1307822377</v>
      </c>
      <c r="B124" t="s">
        <v>961</v>
      </c>
      <c r="C124" t="s">
        <v>412</v>
      </c>
      <c r="D124" t="s">
        <v>962</v>
      </c>
      <c r="E124">
        <v>995825448</v>
      </c>
      <c r="F124" t="s">
        <v>715</v>
      </c>
      <c r="G124" t="s">
        <v>716</v>
      </c>
      <c r="H124" t="s">
        <v>717</v>
      </c>
      <c r="I124" t="s">
        <v>718</v>
      </c>
    </row>
    <row r="125" spans="1:9">
      <c r="A125">
        <v>1309489852</v>
      </c>
      <c r="B125" t="s">
        <v>701</v>
      </c>
      <c r="C125" t="s">
        <v>412</v>
      </c>
      <c r="D125" t="s">
        <v>963</v>
      </c>
      <c r="E125">
        <v>984812536</v>
      </c>
      <c r="F125" t="s">
        <v>729</v>
      </c>
      <c r="G125" t="s">
        <v>716</v>
      </c>
      <c r="H125" t="s">
        <v>717</v>
      </c>
      <c r="I125" t="s">
        <v>718</v>
      </c>
    </row>
    <row r="126" spans="1:9">
      <c r="A126">
        <v>1308645660</v>
      </c>
      <c r="B126" t="s">
        <v>964</v>
      </c>
      <c r="C126" t="s">
        <v>412</v>
      </c>
      <c r="D126" t="s">
        <v>965</v>
      </c>
      <c r="E126">
        <v>997567577</v>
      </c>
      <c r="F126" t="s">
        <v>729</v>
      </c>
      <c r="G126" t="s">
        <v>716</v>
      </c>
      <c r="H126" t="s">
        <v>796</v>
      </c>
      <c r="I126" t="s">
        <v>718</v>
      </c>
    </row>
    <row r="127" spans="1:9">
      <c r="A127">
        <v>1305701243</v>
      </c>
      <c r="B127" t="s">
        <v>966</v>
      </c>
      <c r="C127" t="s">
        <v>412</v>
      </c>
      <c r="D127" t="s">
        <v>967</v>
      </c>
      <c r="E127">
        <v>995309857</v>
      </c>
      <c r="F127" t="s">
        <v>729</v>
      </c>
      <c r="G127" t="s">
        <v>716</v>
      </c>
      <c r="H127" t="s">
        <v>717</v>
      </c>
      <c r="I127" t="s">
        <v>718</v>
      </c>
    </row>
    <row r="128" spans="1:9">
      <c r="A128">
        <v>1309143442</v>
      </c>
      <c r="B128" t="s">
        <v>968</v>
      </c>
      <c r="C128" t="s">
        <v>412</v>
      </c>
      <c r="D128" t="s">
        <v>969</v>
      </c>
      <c r="E128">
        <v>987229264</v>
      </c>
      <c r="F128" t="s">
        <v>729</v>
      </c>
      <c r="G128" t="s">
        <v>716</v>
      </c>
      <c r="H128" t="s">
        <v>717</v>
      </c>
      <c r="I128" t="s">
        <v>718</v>
      </c>
    </row>
    <row r="129" spans="1:9">
      <c r="A129">
        <v>1311667495</v>
      </c>
      <c r="B129" t="s">
        <v>970</v>
      </c>
      <c r="C129" t="s">
        <v>412</v>
      </c>
      <c r="D129" t="s">
        <v>971</v>
      </c>
      <c r="E129">
        <v>992827588</v>
      </c>
      <c r="F129" t="s">
        <v>715</v>
      </c>
      <c r="G129" t="s">
        <v>716</v>
      </c>
      <c r="H129" t="s">
        <v>737</v>
      </c>
      <c r="I129" t="s">
        <v>718</v>
      </c>
    </row>
    <row r="130" spans="1:9">
      <c r="A130">
        <v>909466674</v>
      </c>
      <c r="B130" t="s">
        <v>972</v>
      </c>
      <c r="C130" t="s">
        <v>412</v>
      </c>
      <c r="D130" t="s">
        <v>973</v>
      </c>
      <c r="E130">
        <v>994832664</v>
      </c>
      <c r="F130" t="s">
        <v>715</v>
      </c>
      <c r="G130" t="s">
        <v>716</v>
      </c>
      <c r="H130" t="s">
        <v>717</v>
      </c>
      <c r="I130" t="s">
        <v>718</v>
      </c>
    </row>
    <row r="131" spans="1:9">
      <c r="A131">
        <v>1309029815</v>
      </c>
      <c r="B131" t="s">
        <v>974</v>
      </c>
      <c r="C131" t="s">
        <v>412</v>
      </c>
      <c r="D131" t="s">
        <v>975</v>
      </c>
      <c r="E131">
        <v>998827593</v>
      </c>
      <c r="F131" t="s">
        <v>715</v>
      </c>
      <c r="G131" t="s">
        <v>716</v>
      </c>
      <c r="H131" t="s">
        <v>717</v>
      </c>
      <c r="I131" t="s">
        <v>718</v>
      </c>
    </row>
    <row r="132" spans="1:9">
      <c r="A132">
        <v>1350123640</v>
      </c>
      <c r="B132" t="s">
        <v>976</v>
      </c>
      <c r="C132" t="s">
        <v>412</v>
      </c>
      <c r="D132" t="s">
        <v>977</v>
      </c>
      <c r="E132">
        <v>991111111</v>
      </c>
      <c r="F132" t="s">
        <v>715</v>
      </c>
      <c r="G132" t="s">
        <v>716</v>
      </c>
      <c r="H132" t="s">
        <v>717</v>
      </c>
      <c r="I132" t="s">
        <v>718</v>
      </c>
    </row>
    <row r="133" spans="1:9">
      <c r="A133">
        <v>1311778458</v>
      </c>
      <c r="B133" t="s">
        <v>37</v>
      </c>
      <c r="C133" t="s">
        <v>412</v>
      </c>
      <c r="D133" t="s">
        <v>978</v>
      </c>
      <c r="E133">
        <v>991942979</v>
      </c>
      <c r="F133" t="s">
        <v>715</v>
      </c>
      <c r="G133" t="s">
        <v>716</v>
      </c>
      <c r="H133" t="s">
        <v>717</v>
      </c>
      <c r="I133" t="s">
        <v>718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2A28-D2A8-4FF2-94E2-956F69CC5C57}">
  <dimension ref="A2:E42"/>
  <sheetViews>
    <sheetView workbookViewId="0">
      <selection activeCell="A2" sqref="A2"/>
    </sheetView>
  </sheetViews>
  <sheetFormatPr defaultColWidth="8.85546875" defaultRowHeight="15"/>
  <cols>
    <col min="1" max="1" width="34.28515625" bestFit="1" customWidth="1"/>
    <col min="2" max="2" width="67.85546875" bestFit="1" customWidth="1"/>
    <col min="3" max="3" width="50.140625" bestFit="1" customWidth="1"/>
    <col min="4" max="4" width="13.28515625" bestFit="1" customWidth="1"/>
    <col min="5" max="5" width="14.85546875" bestFit="1" customWidth="1"/>
    <col min="6" max="6" width="14.28515625" bestFit="1" customWidth="1"/>
  </cols>
  <sheetData>
    <row r="2" spans="1:5">
      <c r="A2" s="5" t="s">
        <v>15</v>
      </c>
      <c r="B2" s="5" t="s">
        <v>1</v>
      </c>
      <c r="C2" s="5" t="s">
        <v>5</v>
      </c>
      <c r="D2" s="5" t="s">
        <v>4</v>
      </c>
      <c r="E2" t="s">
        <v>979</v>
      </c>
    </row>
    <row r="3" spans="1:5">
      <c r="A3" t="s">
        <v>696</v>
      </c>
      <c r="B3" t="s">
        <v>46</v>
      </c>
      <c r="C3" t="s">
        <v>224</v>
      </c>
      <c r="D3" t="s">
        <v>980</v>
      </c>
      <c r="E3" s="2">
        <v>0</v>
      </c>
    </row>
    <row r="4" spans="1:5">
      <c r="C4" t="s">
        <v>981</v>
      </c>
      <c r="E4" s="2">
        <v>0</v>
      </c>
    </row>
    <row r="5" spans="1:5">
      <c r="B5" t="s">
        <v>982</v>
      </c>
      <c r="E5" s="2">
        <v>0</v>
      </c>
    </row>
    <row r="6" spans="1:5">
      <c r="A6" t="s">
        <v>983</v>
      </c>
      <c r="E6" s="2">
        <v>0</v>
      </c>
    </row>
    <row r="7" spans="1:5">
      <c r="A7" t="s">
        <v>29</v>
      </c>
      <c r="B7" t="s">
        <v>43</v>
      </c>
      <c r="C7" t="s">
        <v>28</v>
      </c>
      <c r="D7" t="s">
        <v>980</v>
      </c>
      <c r="E7" s="2">
        <v>4</v>
      </c>
    </row>
    <row r="8" spans="1:5">
      <c r="C8" t="s">
        <v>984</v>
      </c>
      <c r="E8" s="2">
        <v>4</v>
      </c>
    </row>
    <row r="9" spans="1:5">
      <c r="B9" t="s">
        <v>985</v>
      </c>
      <c r="E9" s="2">
        <v>4</v>
      </c>
    </row>
    <row r="10" spans="1:5">
      <c r="A10" t="s">
        <v>986</v>
      </c>
      <c r="E10" s="2">
        <v>4</v>
      </c>
    </row>
    <row r="11" spans="1:5">
      <c r="A11" t="s">
        <v>31</v>
      </c>
      <c r="B11" t="s">
        <v>46</v>
      </c>
      <c r="C11" t="s">
        <v>33</v>
      </c>
      <c r="D11" t="s">
        <v>19</v>
      </c>
      <c r="E11" s="2">
        <v>0</v>
      </c>
    </row>
    <row r="12" spans="1:5">
      <c r="C12" t="s">
        <v>987</v>
      </c>
      <c r="E12" s="2">
        <v>0</v>
      </c>
    </row>
    <row r="13" spans="1:5">
      <c r="B13" t="s">
        <v>982</v>
      </c>
      <c r="E13" s="2">
        <v>0</v>
      </c>
    </row>
    <row r="14" spans="1:5">
      <c r="B14" t="s">
        <v>50</v>
      </c>
      <c r="C14" t="s">
        <v>30</v>
      </c>
      <c r="D14" t="s">
        <v>980</v>
      </c>
      <c r="E14" s="2">
        <v>3</v>
      </c>
    </row>
    <row r="15" spans="1:5">
      <c r="C15" t="s">
        <v>988</v>
      </c>
      <c r="E15" s="2">
        <v>3</v>
      </c>
    </row>
    <row r="16" spans="1:5">
      <c r="B16" t="s">
        <v>989</v>
      </c>
      <c r="E16" s="2">
        <v>3</v>
      </c>
    </row>
    <row r="17" spans="1:5">
      <c r="A17" t="s">
        <v>990</v>
      </c>
      <c r="E17" s="2">
        <v>3</v>
      </c>
    </row>
    <row r="18" spans="1:5">
      <c r="A18" t="s">
        <v>27</v>
      </c>
      <c r="B18" t="s">
        <v>58</v>
      </c>
      <c r="E18" s="2">
        <v>10</v>
      </c>
    </row>
    <row r="19" spans="1:5">
      <c r="A19" t="s">
        <v>991</v>
      </c>
      <c r="E19" s="2">
        <v>10</v>
      </c>
    </row>
    <row r="20" spans="1:5">
      <c r="A20" t="s">
        <v>37</v>
      </c>
      <c r="B20" t="s">
        <v>54</v>
      </c>
      <c r="E20" s="2">
        <v>5</v>
      </c>
    </row>
    <row r="21" spans="1:5">
      <c r="A21" t="s">
        <v>992</v>
      </c>
      <c r="E21" s="2">
        <v>5</v>
      </c>
    </row>
    <row r="22" spans="1:5">
      <c r="A22" t="s">
        <v>980</v>
      </c>
      <c r="B22" t="s">
        <v>43</v>
      </c>
      <c r="C22" t="s">
        <v>39</v>
      </c>
      <c r="D22" t="s">
        <v>980</v>
      </c>
      <c r="E22" s="2">
        <v>4</v>
      </c>
    </row>
    <row r="23" spans="1:5">
      <c r="C23" t="s">
        <v>993</v>
      </c>
      <c r="E23" s="2">
        <v>4</v>
      </c>
    </row>
    <row r="24" spans="1:5">
      <c r="B24" t="s">
        <v>985</v>
      </c>
      <c r="E24" s="2">
        <v>4</v>
      </c>
    </row>
    <row r="25" spans="1:5">
      <c r="B25" t="s">
        <v>46</v>
      </c>
      <c r="C25" t="s">
        <v>40</v>
      </c>
      <c r="D25" t="s">
        <v>980</v>
      </c>
      <c r="E25" s="2">
        <v>3</v>
      </c>
    </row>
    <row r="26" spans="1:5">
      <c r="C26" t="s">
        <v>994</v>
      </c>
      <c r="E26" s="2">
        <v>3</v>
      </c>
    </row>
    <row r="27" spans="1:5">
      <c r="C27" t="s">
        <v>980</v>
      </c>
      <c r="D27" t="s">
        <v>980</v>
      </c>
      <c r="E27" s="2">
        <v>0</v>
      </c>
    </row>
    <row r="28" spans="1:5">
      <c r="C28" t="s">
        <v>995</v>
      </c>
      <c r="E28" s="2">
        <v>0</v>
      </c>
    </row>
    <row r="29" spans="1:5">
      <c r="B29" t="s">
        <v>982</v>
      </c>
      <c r="E29" s="2">
        <v>3</v>
      </c>
    </row>
    <row r="30" spans="1:5">
      <c r="B30" t="s">
        <v>54</v>
      </c>
      <c r="E30" s="2">
        <v>8</v>
      </c>
    </row>
    <row r="31" spans="1:5">
      <c r="B31" t="s">
        <v>56</v>
      </c>
      <c r="C31" t="s">
        <v>35</v>
      </c>
      <c r="D31" t="s">
        <v>980</v>
      </c>
      <c r="E31" s="2">
        <v>4</v>
      </c>
    </row>
    <row r="32" spans="1:5">
      <c r="C32" t="s">
        <v>996</v>
      </c>
      <c r="E32" s="2">
        <v>4</v>
      </c>
    </row>
    <row r="33" spans="1:5">
      <c r="B33" t="s">
        <v>997</v>
      </c>
      <c r="E33" s="2">
        <v>4</v>
      </c>
    </row>
    <row r="34" spans="1:5">
      <c r="A34" t="s">
        <v>995</v>
      </c>
      <c r="E34" s="2">
        <v>19</v>
      </c>
    </row>
    <row r="35" spans="1:5">
      <c r="A35" t="s">
        <v>22</v>
      </c>
      <c r="B35" t="s">
        <v>48</v>
      </c>
      <c r="C35" t="s">
        <v>25</v>
      </c>
      <c r="D35" t="s">
        <v>980</v>
      </c>
      <c r="E35" s="2">
        <v>5</v>
      </c>
    </row>
    <row r="36" spans="1:5">
      <c r="C36" t="s">
        <v>998</v>
      </c>
      <c r="E36" s="2">
        <v>5</v>
      </c>
    </row>
    <row r="37" spans="1:5">
      <c r="B37" t="s">
        <v>999</v>
      </c>
      <c r="E37" s="2">
        <v>5</v>
      </c>
    </row>
    <row r="38" spans="1:5">
      <c r="B38" t="s">
        <v>50</v>
      </c>
      <c r="C38" t="s">
        <v>33</v>
      </c>
      <c r="D38" t="s">
        <v>32</v>
      </c>
      <c r="E38" s="2">
        <v>5</v>
      </c>
    </row>
    <row r="39" spans="1:5">
      <c r="C39" t="s">
        <v>987</v>
      </c>
      <c r="E39" s="2">
        <v>5</v>
      </c>
    </row>
    <row r="40" spans="1:5">
      <c r="B40" t="s">
        <v>989</v>
      </c>
      <c r="E40" s="2">
        <v>5</v>
      </c>
    </row>
    <row r="41" spans="1:5">
      <c r="A41" t="s">
        <v>1000</v>
      </c>
      <c r="E41" s="2">
        <v>10</v>
      </c>
    </row>
    <row r="42" spans="1:5">
      <c r="A42" t="s">
        <v>1001</v>
      </c>
      <c r="E42" s="2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01C011-58AF-4E8A-A932-A10FD6BA0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SORNOZA ZAMORA JUAN CARLOS</cp:lastModifiedBy>
  <cp:revision/>
  <dcterms:created xsi:type="dcterms:W3CDTF">2026-06-12T13:00:22Z</dcterms:created>
  <dcterms:modified xsi:type="dcterms:W3CDTF">2026-06-26T02:24:34Z</dcterms:modified>
  <cp:category/>
  <cp:contentStatus/>
</cp:coreProperties>
</file>