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111" documentId="11_9248B46DC1CBB2E3ED7FF6F9903E8C1851038383" xr6:coauthVersionLast="47" xr6:coauthVersionMax="47" xr10:uidLastSave="{151A25D5-5AA2-48C9-B491-F5D43D7A4473}"/>
  <bookViews>
    <workbookView xWindow="240" yWindow="105" windowWidth="14805" windowHeight="8010" xr2:uid="{00000000-000D-0000-FFFF-FFFF00000000}"/>
  </bookViews>
  <sheets>
    <sheet name="MAESTR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1" l="1"/>
  <c r="A35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6" i="1"/>
  <c r="A4" i="1"/>
  <c r="A3" i="1"/>
  <c r="A2" i="1"/>
  <c r="A5" i="1"/>
</calcChain>
</file>

<file path=xl/sharedStrings.xml><?xml version="1.0" encoding="utf-8"?>
<sst xmlns="http://schemas.openxmlformats.org/spreadsheetml/2006/main" count="37" uniqueCount="37">
  <si>
    <t>ID_MAESTRIA</t>
  </si>
  <si>
    <t>NOMBRE_MAESTRIA</t>
  </si>
  <si>
    <t>DOCTOR DENTRO DEL PROGRAMA DE DOCTORADO EN CIENCIAS SOCIALES Y JURÍDICAS</t>
  </si>
  <si>
    <t>DOCTOR EN CIENCIAS SOCIALES MENCIÓN GERENCIA</t>
  </si>
  <si>
    <t>MAESTRIA EN ALTA DIRECCIÓN (MBA)</t>
  </si>
  <si>
    <t>MAGISTER EJECUTIVO EN INFORMATICA DE GESTIÓN Y NUEVAS TECNOLOGÍAS</t>
  </si>
  <si>
    <t>MAGISTER EN ADMINISTRACIÓN DE EMPRESAS</t>
  </si>
  <si>
    <t>MAGISTER EN ADMINISTRACIÓN DE EMPRESAS CON MENCIÓN EN MARKETING</t>
  </si>
  <si>
    <t>MAGISTER EN ADMINISTRACIÓN DE EMPRESAS MENCIÓN DIRECCIÓN FINANCIERA</t>
  </si>
  <si>
    <t>MAGISTER EN ADMINISTRACIÓN DE EMPRESAS MENCIÓN EN GESTIÓN DE RECURSOS HUMANOS</t>
  </si>
  <si>
    <t>MAGISTER EN ADMINISTRACIÓN DE EMPRESAS MENCIÓN NEGOCIOS INTERNACIONALES</t>
  </si>
  <si>
    <t>MAGISTER EN ADMINISTRACIÓN PÚBLICA MENCIÓN DESARROLLO INSTITUCIONAL</t>
  </si>
  <si>
    <t>MAGISTER EN AUDITORÍA DE GESTIÓN DE LA CALIDAD</t>
  </si>
  <si>
    <t>MAGISTER EN AUDITORÍA DE TECNOLOGÍAS DE LA INFORMACIÓN</t>
  </si>
  <si>
    <t>MAGISTER EN AUDITORÍA INTEGRAL</t>
  </si>
  <si>
    <t>MAGISTER EN CONSTITUCIONALISMO CONTEMPORANEO Y GOBERNANZA LOCAL</t>
  </si>
  <si>
    <t>MAGISTER EN CONTABILIDAD Y AUDITORÍA</t>
  </si>
  <si>
    <t>MAGISTER EN CONTABILIDAD Y AUDITORÍA CON MENCIÓN EN GESTIÓN TRIBUTARIA</t>
  </si>
  <si>
    <t>MAGISTER EN CONTABILIDAD Y FINANZAS MENCIÓN EN GESTIÓN FISCAL, FINANCIERA Y TRIBUTARIA</t>
  </si>
  <si>
    <t>MAGISTER EN DERECHO DE EMPRESA</t>
  </si>
  <si>
    <t>MAGISTER EN DERECHO MENCIÓN EN DERECHO PROCESAL ADMINISTRATIVO Y LITIGACIÓN</t>
  </si>
  <si>
    <t>MAGISTER EN EDUCACIÓN SUPERIOR</t>
  </si>
  <si>
    <t>MAGISTER EN FINANZAS Y COMERCIO INTERNACIONAL</t>
  </si>
  <si>
    <t>MAGISTER EN FINANZAS Y ECONOMÍA EMPRESARIAL</t>
  </si>
  <si>
    <t>MAGISTER EN FINANZAS Y PROYECTOS CORPORATIVOS</t>
  </si>
  <si>
    <t>MAGISTER EN GERENCIA DE PROYECTOS EDUCATIVOS Y SOCIALES</t>
  </si>
  <si>
    <t>MAGISTER EN GERENCIA EDUCATIVA</t>
  </si>
  <si>
    <t>MAGISTER EN GESTIÓN AMBIENTAL</t>
  </si>
  <si>
    <t>MAGISTER EN GESTIÓN DE PROYECTOS</t>
  </si>
  <si>
    <t>MAGISTER EN GESTIÓN EMPRESARIAL</t>
  </si>
  <si>
    <t>MAGISTER EN PEDAGOGÍA DE LOS IDIOMAS NACIONALES Y EXTRANJEROS MENCIÓN EN ENSEÑANZA DEL INGLÉS</t>
  </si>
  <si>
    <t>MAGISTER EN TRIBUTACIÓN Y FINANZAS</t>
  </si>
  <si>
    <t>MASTER EN ADMINISTRACIÓN DE EMPRESAS</t>
  </si>
  <si>
    <t>MASTER UNIVERSITARIO EN DIRECCIÓN Y ADMINISTRACIÓN DE EMPRESAS /
MASTER IN BUSINESS ADMINISTRATION (MBA)</t>
  </si>
  <si>
    <t>MASTER UNIVERSITARIO EN DIRECCIÓN Y ASESORAMIENTO FINANCIERO</t>
  </si>
  <si>
    <t>MASTER UNIVERSITARIO EN DIRECCIÓN Y GESTIÓN DE PROYECTOS</t>
  </si>
  <si>
    <t>MASTER UNIVERSITARIO EN DIRECCIÓN Y GESTIÓN DE RECURSOS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</si>
</sst>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9EBB2B-69CC-4AA8-AF37-C54728494688}" name="MAE_MAESTRIA" displayName="MAE_MAESTRIA" ref="A1:B36" totalsRowShown="0">
  <autoFilter ref="A1:B36" xr:uid="{EF9EBB2B-69CC-4AA8-AF37-C54728494688}"/>
  <tableColumns count="2">
    <tableColumn id="1" xr3:uid="{48ADB6C5-B0A3-4BAC-8F27-87FD0A8B5F56}" name="ID_MAESTRIA" dataDxfId="0">
      <calculatedColumnFormula>CONCATENATE("MAES-DOC-",LEFT(MID(B2,1,20),3)&amp;IF(ISERR(FIND(" ",MID(B2,4,20))),"","-"&amp;LEFT(MID(MID(B2,4,20),FIND(" ",MID(B2,4,20))+1,20),3))&amp;IF(ISERR(FIND(" ",MID(B2,4,20),FIND(" ",MID(B2,4,20))+1)),"","-"&amp;LEFT(MID(MID(B2,4,20),FIND(" ",MID(B2,4,20),FIND(" ",MID(B2,4,20))+1)+1,20),3)))</calculatedColumnFormula>
    </tableColumn>
    <tableColumn id="2" xr3:uid="{31A032FD-F3F8-4495-B4F2-3EF7A4D14A94}" name="NOMBRE_MAESTRIA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22" workbookViewId="0">
      <selection activeCell="B37" sqref="B37"/>
    </sheetView>
  </sheetViews>
  <sheetFormatPr defaultRowHeight="15"/>
  <cols>
    <col min="1" max="1" width="27.28515625" customWidth="1"/>
    <col min="2" max="2" width="107.5703125" bestFit="1" customWidth="1"/>
  </cols>
  <sheetData>
    <row r="1" spans="1:2">
      <c r="A1" t="s">
        <v>0</v>
      </c>
      <c r="B1" t="s">
        <v>1</v>
      </c>
    </row>
    <row r="2" spans="1:2">
      <c r="A2" t="str">
        <f t="shared" ref="A2:A34" si="0">CONCATENATE("MAES-DOC-",LEFT(MID(B2,1,20),3)&amp;IF(ISERR(FIND(" ",MID(B2,4,20))),"","-"&amp;LEFT(MID(MID(B2,4,20),FIND(" ",MID(B2,4,20))+1,20),3))&amp;IF(ISERR(FIND(" ",MID(B2,4,20),FIND(" ",MID(B2,4,20))+1)),"","-"&amp;LEFT(MID(MID(B2,4,20),FIND(" ",MID(B2,4,20),FIND(" ",MID(B2,4,20))+1)+1,20),3)))</f>
        <v>MAES-DOC-DOC-DEN-DEL</v>
      </c>
      <c r="B2" t="s">
        <v>2</v>
      </c>
    </row>
    <row r="3" spans="1:2">
      <c r="A3" t="str">
        <f t="shared" si="0"/>
        <v>MAES-DOC-DOC-EN -CIE</v>
      </c>
      <c r="B3" t="s">
        <v>3</v>
      </c>
    </row>
    <row r="4" spans="1:2">
      <c r="A4" t="str">
        <f t="shared" si="0"/>
        <v>MAES-DOC-MAE-EN -ALT</v>
      </c>
      <c r="B4" t="s">
        <v>4</v>
      </c>
    </row>
    <row r="5" spans="1:2">
      <c r="A5" t="str">
        <f t="shared" si="0"/>
        <v xml:space="preserve">MAES-DOC-MAG-EJE-EN </v>
      </c>
      <c r="B5" t="s">
        <v>5</v>
      </c>
    </row>
    <row r="6" spans="1:2">
      <c r="A6" t="str">
        <f t="shared" si="0"/>
        <v>MAES-DOC-MAG-EN -ADM</v>
      </c>
      <c r="B6" t="s">
        <v>6</v>
      </c>
    </row>
    <row r="7" spans="1:2">
      <c r="A7" t="str">
        <f t="shared" si="0"/>
        <v>MAES-DOC-MAG-EN -ADM</v>
      </c>
      <c r="B7" t="s">
        <v>7</v>
      </c>
    </row>
    <row r="8" spans="1:2">
      <c r="A8" t="str">
        <f t="shared" si="0"/>
        <v>MAES-DOC-MAG-EN -ADM</v>
      </c>
      <c r="B8" t="s">
        <v>8</v>
      </c>
    </row>
    <row r="9" spans="1:2">
      <c r="A9" t="str">
        <f t="shared" si="0"/>
        <v>MAES-DOC-MAG-EN -ADM</v>
      </c>
      <c r="B9" t="s">
        <v>9</v>
      </c>
    </row>
    <row r="10" spans="1:2">
      <c r="A10" t="str">
        <f t="shared" si="0"/>
        <v>MAES-DOC-MAG-EN -ADM</v>
      </c>
      <c r="B10" t="s">
        <v>10</v>
      </c>
    </row>
    <row r="11" spans="1:2">
      <c r="A11" t="str">
        <f t="shared" si="0"/>
        <v>MAES-DOC-MAG-EN -ADM</v>
      </c>
      <c r="B11" t="s">
        <v>11</v>
      </c>
    </row>
    <row r="12" spans="1:2">
      <c r="A12" t="str">
        <f t="shared" si="0"/>
        <v>MAES-DOC-MAG-EN -AUD</v>
      </c>
      <c r="B12" t="s">
        <v>12</v>
      </c>
    </row>
    <row r="13" spans="1:2">
      <c r="A13" t="str">
        <f t="shared" si="0"/>
        <v>MAES-DOC-MAG-EN -AUD</v>
      </c>
      <c r="B13" t="s">
        <v>13</v>
      </c>
    </row>
    <row r="14" spans="1:2">
      <c r="A14" t="str">
        <f t="shared" si="0"/>
        <v>MAES-DOC-MAG-EN -AUD</v>
      </c>
      <c r="B14" t="s">
        <v>14</v>
      </c>
    </row>
    <row r="15" spans="1:2">
      <c r="A15" t="str">
        <f t="shared" si="0"/>
        <v>MAES-DOC-MAG-EN -CON</v>
      </c>
      <c r="B15" t="s">
        <v>15</v>
      </c>
    </row>
    <row r="16" spans="1:2">
      <c r="A16" t="str">
        <f t="shared" si="0"/>
        <v>MAES-DOC-MAG-EN -CON</v>
      </c>
      <c r="B16" t="s">
        <v>16</v>
      </c>
    </row>
    <row r="17" spans="1:2">
      <c r="A17" t="str">
        <f t="shared" si="0"/>
        <v>MAES-DOC-MAG-EN -CON</v>
      </c>
      <c r="B17" t="s">
        <v>17</v>
      </c>
    </row>
    <row r="18" spans="1:2">
      <c r="A18" t="str">
        <f t="shared" si="0"/>
        <v>MAES-DOC-MAG-EN -CON</v>
      </c>
      <c r="B18" t="s">
        <v>18</v>
      </c>
    </row>
    <row r="19" spans="1:2">
      <c r="A19" t="str">
        <f t="shared" si="0"/>
        <v>MAES-DOC-MAG-EN -DER</v>
      </c>
      <c r="B19" t="s">
        <v>19</v>
      </c>
    </row>
    <row r="20" spans="1:2">
      <c r="A20" t="str">
        <f t="shared" si="0"/>
        <v>MAES-DOC-MAG-EN -DER</v>
      </c>
      <c r="B20" t="s">
        <v>20</v>
      </c>
    </row>
    <row r="21" spans="1:2">
      <c r="A21" t="str">
        <f t="shared" si="0"/>
        <v>MAES-DOC-MAG-EN -EDU</v>
      </c>
      <c r="B21" t="s">
        <v>21</v>
      </c>
    </row>
    <row r="22" spans="1:2">
      <c r="A22" t="str">
        <f t="shared" si="0"/>
        <v>MAES-DOC-MAG-EN -FIN</v>
      </c>
      <c r="B22" t="s">
        <v>22</v>
      </c>
    </row>
    <row r="23" spans="1:2">
      <c r="A23" t="str">
        <f t="shared" si="0"/>
        <v>MAES-DOC-MAG-EN -FIN</v>
      </c>
      <c r="B23" t="s">
        <v>23</v>
      </c>
    </row>
    <row r="24" spans="1:2">
      <c r="A24" t="str">
        <f t="shared" si="0"/>
        <v>MAES-DOC-MAG-EN -FIN</v>
      </c>
      <c r="B24" t="s">
        <v>24</v>
      </c>
    </row>
    <row r="25" spans="1:2">
      <c r="A25" t="str">
        <f t="shared" si="0"/>
        <v>MAES-DOC-MAG-EN -GER</v>
      </c>
      <c r="B25" t="s">
        <v>25</v>
      </c>
    </row>
    <row r="26" spans="1:2">
      <c r="A26" t="str">
        <f t="shared" si="0"/>
        <v>MAES-DOC-MAG-EN -GER</v>
      </c>
      <c r="B26" t="s">
        <v>26</v>
      </c>
    </row>
    <row r="27" spans="1:2">
      <c r="A27" t="str">
        <f t="shared" si="0"/>
        <v>MAES-DOC-MAG-EN -GES</v>
      </c>
      <c r="B27" t="s">
        <v>27</v>
      </c>
    </row>
    <row r="28" spans="1:2">
      <c r="A28" t="str">
        <f t="shared" si="0"/>
        <v>MAES-DOC-MAG-EN -GES</v>
      </c>
      <c r="B28" t="s">
        <v>28</v>
      </c>
    </row>
    <row r="29" spans="1:2">
      <c r="A29" t="str">
        <f t="shared" si="0"/>
        <v>MAES-DOC-MAG-EN -GES</v>
      </c>
      <c r="B29" t="s">
        <v>29</v>
      </c>
    </row>
    <row r="30" spans="1:2">
      <c r="A30" t="str">
        <f t="shared" si="0"/>
        <v>MAES-DOC-MAG-EN -PED</v>
      </c>
      <c r="B30" t="s">
        <v>30</v>
      </c>
    </row>
    <row r="31" spans="1:2">
      <c r="A31" t="str">
        <f t="shared" si="0"/>
        <v>MAES-DOC-MAG-EN -TRI</v>
      </c>
      <c r="B31" t="s">
        <v>31</v>
      </c>
    </row>
    <row r="32" spans="1:2">
      <c r="A32" t="str">
        <f t="shared" si="0"/>
        <v>MAES-DOC-MAS-EN -ADM</v>
      </c>
      <c r="B32" t="s">
        <v>32</v>
      </c>
    </row>
    <row r="33" spans="1:2" ht="30.75">
      <c r="A33" t="str">
        <f t="shared" si="0"/>
        <v>MAES-DOC-MAS-UNI-EN</v>
      </c>
      <c r="B33" s="1" t="s">
        <v>33</v>
      </c>
    </row>
    <row r="34" spans="1:2">
      <c r="A34" t="str">
        <f t="shared" si="0"/>
        <v>MAES-DOC-MAS-UNI-EN</v>
      </c>
      <c r="B34" t="s">
        <v>34</v>
      </c>
    </row>
    <row r="35" spans="1:2">
      <c r="A35" t="str">
        <f>CONCATENATE("MAES-DOC-",LEFT(MID(B35,1,20),3)&amp;IF(ISERR(FIND(" ",MID(B35,4,20))),"","-"&amp;LEFT(MID(MID(B35,4,20),FIND(" ",MID(B35,4,20))+1,20),3))&amp;IF(ISERR(FIND(" ",MID(B35,4,20),FIND(" ",MID(B35,4,20))+1)),"","-"&amp;LEFT(MID(MID(B35,4,20),FIND(" ",MID(B35,4,20),FIND(" ",MID(B35,4,20))+1)+1,20),3)))</f>
        <v>MAES-DOC-MAS-UNI-EN</v>
      </c>
      <c r="B35" t="s">
        <v>35</v>
      </c>
    </row>
    <row r="36" spans="1:2">
      <c r="A36" s="2" t="str">
        <f>CONCATENATE("MAES-DOC-",LEFT(MID(B36,1,20),3)&amp;IF(ISERR(FIND(" ",MID(B36,4,20))),"","-"&amp;LEFT(MID(MID(B36,4,20),FIND(" ",MID(B36,4,20))+1,20),3))&amp;IF(ISERR(FIND(" ",MID(B36,4,20),FIND(" ",MID(B36,4,20))+1)),"","-"&amp;LEFT(MID(MID(B36,4,20),FIND(" ",MID(B36,4,20),FIND(" ",MID(B36,4,20))+1)+1,20),3)))</f>
        <v>MAES-DOC-MAS-UNI-EN</v>
      </c>
      <c r="B36" t="s">
        <v>36</v>
      </c>
    </row>
  </sheetData>
  <conditionalFormatting sqref="B2:B36">
    <cfRule type="duplicateValues" dxfId="1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SORNOZA ZAMORA JUAN CARLOS</cp:lastModifiedBy>
  <cp:revision/>
  <dcterms:created xsi:type="dcterms:W3CDTF">2026-06-12T17:30:36Z</dcterms:created>
  <dcterms:modified xsi:type="dcterms:W3CDTF">2026-06-18T12:48:13Z</dcterms:modified>
  <cp:category/>
  <cp:contentStatus/>
</cp:coreProperties>
</file>