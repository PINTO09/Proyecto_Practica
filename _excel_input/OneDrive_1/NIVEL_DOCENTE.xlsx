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369" documentId="11_9248B46DC1CBB2E3ED7FF6F9903E8C1851038383" xr6:coauthVersionLast="47" xr6:coauthVersionMax="47" xr10:uidLastSave="{A9408F81-F207-4940-9952-3A7E521BCC28}"/>
  <bookViews>
    <workbookView xWindow="240" yWindow="105" windowWidth="14805" windowHeight="8010" xr2:uid="{00000000-000D-0000-FFFF-FFFF00000000}"/>
  </bookViews>
  <sheets>
    <sheet name="EDU_DOCENTE" sheetId="1" r:id="rId1"/>
    <sheet name="MAESTRIA" sheetId="5" state="hidden" r:id="rId2"/>
    <sheet name="MDOCENTES" sheetId="6" state="hidden" r:id="rId3"/>
  </sheets>
  <definedNames>
    <definedName name="DatosExternos_1" localSheetId="1" hidden="1">MAESTRIA!$A$1:$B$36</definedName>
    <definedName name="DatosExternos_1" localSheetId="2" hidden="1">MDOCENTES!$A$1:$I$135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E14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E2" i="1" l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13" i="1"/>
  <c r="E12" i="1"/>
  <c r="E11" i="1"/>
  <c r="E10" i="1"/>
  <c r="E9" i="1"/>
  <c r="E8" i="1"/>
  <c r="E7" i="1"/>
  <c r="E6" i="1"/>
  <c r="E5" i="1"/>
  <c r="E4" i="1"/>
  <c r="E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9E85B4-17CA-4ADA-BAEC-DFA047474049}" keepAlive="1" name="Query - MAESTRIA" description="Conexión a la consulta 'MAESTRIA' en el libro." type="5" refreshedVersion="8" background="1">
    <dbPr connection="Provider=Microsoft.Mashup.OleDb.1;Data Source=$Workbook$;Location=MAESTRIA;Extended Properties=&quot;&quot;" command="SELECT * FROM [MAESTRIA]"/>
  </connection>
  <connection id="2" xr16:uid="{E2B12B62-CB53-4ECD-B12B-53C82F18B79D}" keepAlive="1" name="Query - MDOCENTES" description="Conexión a la consulta 'MDOCENTES' en el libro." type="5" refreshedVersion="8" background="1">
    <dbPr connection="Provider=Microsoft.Mashup.OleDb.1;Data Source=$Workbook$;Location=MDOCENTES;Extended Properties=&quot;&quot;" command="SELECT * FROM [MDOCENTES]"/>
  </connection>
</connections>
</file>

<file path=xl/sharedStrings.xml><?xml version="1.0" encoding="utf-8"?>
<sst xmlns="http://schemas.openxmlformats.org/spreadsheetml/2006/main" count="1615" uniqueCount="838">
  <si>
    <t>ID_NIVE_DOC</t>
  </si>
  <si>
    <t>NOMBRE_DOCENTE</t>
  </si>
  <si>
    <t>IDENTIFICACION</t>
  </si>
  <si>
    <t>MAESTRIA</t>
  </si>
  <si>
    <t xml:space="preserve">VALIDACION </t>
  </si>
  <si>
    <t>ID_MAESRIA</t>
  </si>
  <si>
    <t>FCACC-RED-01</t>
  </si>
  <si>
    <t>ALCIVAR CEDEÑO BEATRIZ ISABEL</t>
  </si>
  <si>
    <t>MAGISTER EN CONTABILIDAD Y AUDITORÍA</t>
  </si>
  <si>
    <t>FCACC-RED-02</t>
  </si>
  <si>
    <t>ALCIVAR VERA GEMA MICHELLE</t>
  </si>
  <si>
    <t>MAGISTER EN PEDAGOGÍA DE LOS IDIOMAS NACIONALES Y EXTRANJEROS MENCIÓN EN ENSEÑANZA DEL INGLÉS</t>
  </si>
  <si>
    <t>FCACC-RED-03</t>
  </si>
  <si>
    <t>ARAUZ CHAVEZ MARIO ROBERTO</t>
  </si>
  <si>
    <t>MAGISTER EJECUTIVO EN INFORMATICA DE GESTIÓN Y NUEVAS TECNOLOGÍAS</t>
  </si>
  <si>
    <t>FCACC-RED-04</t>
  </si>
  <si>
    <t>BAILON LOURIDO WALTER ALBERTO</t>
  </si>
  <si>
    <t>MAGISTER EN FINANZAS Y COMERCIO INTERNACIONAL</t>
  </si>
  <si>
    <t>FCACC-RED-05</t>
  </si>
  <si>
    <t>MAGISTER EN AUDITORÍA DE TECNOLOGÍAS DE LA INFORMACIÓN</t>
  </si>
  <si>
    <t>FCACC-RED-06</t>
  </si>
  <si>
    <t>CALDERERO VILLAGOMEZ ERICK ANTONIO</t>
  </si>
  <si>
    <t>MAESTRIA EN ALTA DIRECCIÓN (MBA)</t>
  </si>
  <si>
    <t>FCACC-RED-07</t>
  </si>
  <si>
    <t>MAGISTER EN ADMINISTRACIÓN DE EMPRESAS MENCIÓN NEGOCIOS INTERNACIONALES</t>
  </si>
  <si>
    <t>FCACC-RED-08</t>
  </si>
  <si>
    <t>CASTILLO GARCIA PAOLA GERMANIA</t>
  </si>
  <si>
    <t>MAGISTER EN TRIBUTACIÓN Y FINANZAS</t>
  </si>
  <si>
    <t>FCACC-RED-09</t>
  </si>
  <si>
    <t>DOCTOR EN CIENCIAS SOCIALES MENCIÓN GERENCIA</t>
  </si>
  <si>
    <t>FCACC-RED-10</t>
  </si>
  <si>
    <t>CEDEÑO CHOEZ PEDRO JAVIER</t>
  </si>
  <si>
    <t>MAGISTER EN AUDITORÍA INTEGRAL</t>
  </si>
  <si>
    <t>FCACC-RED-11</t>
  </si>
  <si>
    <t>CEVALLOS HOPPE JUAN CARLOS</t>
  </si>
  <si>
    <t>MAGISTER EN EDUCACIÓN SUPERIOR</t>
  </si>
  <si>
    <t>FCACC-RED-12</t>
  </si>
  <si>
    <t>DELGADO CHAVEZ MARIA IRASEMA</t>
  </si>
  <si>
    <t>FCACC-RED-13</t>
  </si>
  <si>
    <t>DUARTE VALENCIA CRISTHIAN DARIO</t>
  </si>
  <si>
    <t>MAGISTER EN FINANZAS Y ECONOMÍA EMPRESARIAL</t>
  </si>
  <si>
    <t>FCACC-RED-14</t>
  </si>
  <si>
    <t>FORTTY BARBERAN DENNY ALEXANDER</t>
  </si>
  <si>
    <t>MAGISTER EN ADMINISTRACIÓN DE EMPRESAS</t>
  </si>
  <si>
    <t>FCACC-RED-15</t>
  </si>
  <si>
    <t>GUTIERREZ ZAMBRANO CARMEN EBELINA</t>
  </si>
  <si>
    <t>MAGISTER EN FINANZAS Y PROYECTOS CORPORATIVOS</t>
  </si>
  <si>
    <t>FCACC-RED-16</t>
  </si>
  <si>
    <t>INTRIAGO MOLINA GEMA VALERIA</t>
  </si>
  <si>
    <t>MAGISTER EN GESTIÓN DE PROYECTOS</t>
  </si>
  <si>
    <t>FCACC-RED-17</t>
  </si>
  <si>
    <t>LINO VELEZ LEONEL LIVINGTON</t>
  </si>
  <si>
    <t>MAGISTER EN CONTABILIDAD Y FINANZAS MENCIÓN EN GESTIÓN FISCAL, FINANCIERA Y TRIBUTARIA</t>
  </si>
  <si>
    <t>FCACC-RED-18</t>
  </si>
  <si>
    <t>LOOR ALCIVAR MARIA ILIANA</t>
  </si>
  <si>
    <t>MAGISTER EN ADMINISTRACIÓN PÚBLICA MENCIÓN DESARROLLO INSTITUCIONAL</t>
  </si>
  <si>
    <t>FCACC-RED-19</t>
  </si>
  <si>
    <t>DOCTOR DENTRO DEL PROGRAMA DE DOCTORADO EN CIENCIAS SOCIALES Y JURÍDICAS</t>
  </si>
  <si>
    <t>FCACC-RED-20</t>
  </si>
  <si>
    <t>MAGISTER EN CONTABILIDAD Y AUDITORÍA CON MENCIÓN EN GESTIÓN TRIBUTARIA</t>
  </si>
  <si>
    <t>FCACC-RED-21</t>
  </si>
  <si>
    <t>LOOR MIELES TANIA JACQUELINE</t>
  </si>
  <si>
    <t>FCACC-RED-22</t>
  </si>
  <si>
    <t>LOOR SOLORZANO ROSA MARIA</t>
  </si>
  <si>
    <t>FCACC-RED-23</t>
  </si>
  <si>
    <t>LOPEZ DELGADO RONALD MAURICIO</t>
  </si>
  <si>
    <t>MAGISTER EN ADMINISTRACIÓN DE EMPRESAS CON MENCIÓN EN MARKETING</t>
  </si>
  <si>
    <t>FCACC-RED-24</t>
  </si>
  <si>
    <t>MACIAS VALENCIA DAVID GABRIEL</t>
  </si>
  <si>
    <t>FCACC-RED-25</t>
  </si>
  <si>
    <t>MENDOZA ZAMORA WALTER MANUEL</t>
  </si>
  <si>
    <t>MAGISTER EN GESTIÓN EMPRESARIAL</t>
  </si>
  <si>
    <t>FCACC-RED-26</t>
  </si>
  <si>
    <t>MOLINA CEVALLOS MARIA LORENA</t>
  </si>
  <si>
    <t>FCACC-RED-27</t>
  </si>
  <si>
    <t>MAGISTER EN ADMINISTRACIÓN DE EMPRESAS MENCIÓN EN GESTIÓN DE RECURSOS HUMANOS</t>
  </si>
  <si>
    <t>FCACC-RED-28</t>
  </si>
  <si>
    <t>MURILLO DELGADO ISAAC GABRIEL</t>
  </si>
  <si>
    <t>MAGISTER EN AUDITORÍA DE GESTIÓN DE LA CALIDAD</t>
  </si>
  <si>
    <t>FCACC-RED-29</t>
  </si>
  <si>
    <t>ANGULO MURILLO NAVIRA GISSELA</t>
  </si>
  <si>
    <t>FCACC-RED-30</t>
  </si>
  <si>
    <t>OCHOA SOLEDISPA NESTOR IVAN</t>
  </si>
  <si>
    <t>FCACC-RED-31</t>
  </si>
  <si>
    <t>MAGISTER EN DERECHO MENCIÓN EN DERECHO PROCESAL ADMINISTRATIVO Y LITIGACIÓN</t>
  </si>
  <si>
    <t>FCACC-RED-32</t>
  </si>
  <si>
    <t>MAGISTER EN CONSTITUCIONALISMO CONTEMPORANEO Y GOBERNANZA LOCAL</t>
  </si>
  <si>
    <t>FCACC-RED-33</t>
  </si>
  <si>
    <t>PARRAGA FRANCO SILVANA MARIELA</t>
  </si>
  <si>
    <t>FCACC-RED-34</t>
  </si>
  <si>
    <t>PINARGOTE VASQUEZ NANCY FABIOLA</t>
  </si>
  <si>
    <t>FCACC-RED-35</t>
  </si>
  <si>
    <t>REYES VELEZ PEDRO ENRIQUE</t>
  </si>
  <si>
    <t>MAGISTER EN GESTIÓN AMBIENTAL</t>
  </si>
  <si>
    <t>FCACC-RED-36</t>
  </si>
  <si>
    <t>MAGISTER EN GERENCIA DE PROYECTOS EDUCATIVOS Y SOCIALES</t>
  </si>
  <si>
    <t>FCACC-RED-37</t>
  </si>
  <si>
    <t>MAGISTER EN ADMINISTRACIÓN DE EMPRESAS MENCIÓN DIRECCIÓN FINANCIERA</t>
  </si>
  <si>
    <t>FCACC-RED-38</t>
  </si>
  <si>
    <t>FCACC-RED-39</t>
  </si>
  <si>
    <t>SAN ANDRES HORMAZA DALLAS CECILIA</t>
  </si>
  <si>
    <t>FCACC-RED-40</t>
  </si>
  <si>
    <t>SORNOZA ZAMORA JUAN CARLOS</t>
  </si>
  <si>
    <t>FCACC-RED-41</t>
  </si>
  <si>
    <t>TOMALA PINTO JESUS JACINTO</t>
  </si>
  <si>
    <t>MASTER EN ADMINISTRACIÓN DE EMPRESAS</t>
  </si>
  <si>
    <t>FCACC-RED-42</t>
  </si>
  <si>
    <t>VALLE JARAMILLO SILVIA ARACELY</t>
  </si>
  <si>
    <t>FCACC-RED-44</t>
  </si>
  <si>
    <t>VELÁSQUEZ BRAVO IRMA KATHERINE</t>
  </si>
  <si>
    <t>MASTER UNIVERSITARIO EN DIRECCIÓN Y GESTIÓN DE PROYECTOS</t>
  </si>
  <si>
    <t>FCACC-RED-45</t>
  </si>
  <si>
    <t>VELEZ MENDOZA LAYSY VALERIA</t>
  </si>
  <si>
    <t>MASTER UNIVERSITARIO EN DIRECCIÓN Y ADMINISTRACIÓN DE EMPRESAS /
MASTER IN BUSINESS ADMINISTRATION (MBA)</t>
  </si>
  <si>
    <t>FCACC-RED-46</t>
  </si>
  <si>
    <t>FCACC-RED-47</t>
  </si>
  <si>
    <t>VINUEZA TELLO SHIRLEY ELIZABETH</t>
  </si>
  <si>
    <t>FCACC-RED-48</t>
  </si>
  <si>
    <t>FCACC-RED-50</t>
  </si>
  <si>
    <t>ZAMBRANO ALCIVAR NILDA ISABEL</t>
  </si>
  <si>
    <t>MASTER UNIVERSITARIO EN DIRECCIÓN Y ASESORAMIENTO FINANCIERO</t>
  </si>
  <si>
    <t>FCACC-RED-51</t>
  </si>
  <si>
    <t>ZAMBRANO LOOR RITA MAYDA</t>
  </si>
  <si>
    <t>FCACC-RED-52</t>
  </si>
  <si>
    <t>ZAMBRANO VERA MONICA JANETH</t>
  </si>
  <si>
    <t>FCACC-RED-54</t>
  </si>
  <si>
    <t>VERA DELGADO BRYAN ADRIÁN</t>
  </si>
  <si>
    <t>FCACC-RED-56</t>
  </si>
  <si>
    <t>MORAN GONZALES DAVID RENATO</t>
  </si>
  <si>
    <t>FCACC-RED-57</t>
  </si>
  <si>
    <t>FCACC-RED-58</t>
  </si>
  <si>
    <t>FCACC-RED-59</t>
  </si>
  <si>
    <t>FCACC-RED-60</t>
  </si>
  <si>
    <t>FCACC-RED-61</t>
  </si>
  <si>
    <t>FCACC-RED-62</t>
  </si>
  <si>
    <t>FCACC-RED-63</t>
  </si>
  <si>
    <t>FCACC-RED-64</t>
  </si>
  <si>
    <t>FCACC-RED-65</t>
  </si>
  <si>
    <t>FCACC-RED-66</t>
  </si>
  <si>
    <t>FCACC-RED-67</t>
  </si>
  <si>
    <t>FCACC-RED-68</t>
  </si>
  <si>
    <t>FCACC-RED-69</t>
  </si>
  <si>
    <t>FCACC-RED-70</t>
  </si>
  <si>
    <t>FCACC-RED-71</t>
  </si>
  <si>
    <t>FCACC-RED-72</t>
  </si>
  <si>
    <t>FCACC-RED-73</t>
  </si>
  <si>
    <t>FCACC-RED-74</t>
  </si>
  <si>
    <t>FCACC-RED-75</t>
  </si>
  <si>
    <t>FCACC-RED-76</t>
  </si>
  <si>
    <t>FCACC-RED-77</t>
  </si>
  <si>
    <t>FCACC-RED-78</t>
  </si>
  <si>
    <t>FCACC-RED-79</t>
  </si>
  <si>
    <t>FCACC-RED-80</t>
  </si>
  <si>
    <t>FCACC-RED-81</t>
  </si>
  <si>
    <t>FCACC-RED-82</t>
  </si>
  <si>
    <t>FCACC-RED-83</t>
  </si>
  <si>
    <t>FCACC-RED-84</t>
  </si>
  <si>
    <t>FCACC-RED-85</t>
  </si>
  <si>
    <t>FCACC-RED-86</t>
  </si>
  <si>
    <t>FCACC-RED-87</t>
  </si>
  <si>
    <t>FCACC-RED-88</t>
  </si>
  <si>
    <t>FCACC-RED-89</t>
  </si>
  <si>
    <t>FCACC-RED-90</t>
  </si>
  <si>
    <t>FCACC-RED-91</t>
  </si>
  <si>
    <t>FCACC-RED-92</t>
  </si>
  <si>
    <t>FCACC-RED-93</t>
  </si>
  <si>
    <t>FCACC-RED-94</t>
  </si>
  <si>
    <t>FCACC-RED-95</t>
  </si>
  <si>
    <t>FCACC-RED-96</t>
  </si>
  <si>
    <t>FCACC-RED-97</t>
  </si>
  <si>
    <t>FCACC-RED-98</t>
  </si>
  <si>
    <t>FCACC-RED-99</t>
  </si>
  <si>
    <t>FCACC-RED-100</t>
  </si>
  <si>
    <t>FCACC-RED-101</t>
  </si>
  <si>
    <t>FCACC-RED-102</t>
  </si>
  <si>
    <t>FCACC-RED-103</t>
  </si>
  <si>
    <t>FCACC-RED-104</t>
  </si>
  <si>
    <t>FCACC-RED-105</t>
  </si>
  <si>
    <t>FCACC-RED-106</t>
  </si>
  <si>
    <t>FCACC-RED-107</t>
  </si>
  <si>
    <t>FCACC-RED-108</t>
  </si>
  <si>
    <t>FCACC-RED-109</t>
  </si>
  <si>
    <t>FCACC-RED-110</t>
  </si>
  <si>
    <t>FCACC-RED-111</t>
  </si>
  <si>
    <t>FCACC-RED-112</t>
  </si>
  <si>
    <t>FCACC-RED-113</t>
  </si>
  <si>
    <t>FCACC-RED-114</t>
  </si>
  <si>
    <t>FCACC-RED-115</t>
  </si>
  <si>
    <t>FCACC-RED-116</t>
  </si>
  <si>
    <t>FCACC-RED-117</t>
  </si>
  <si>
    <t>FCACC-RED-118</t>
  </si>
  <si>
    <t>FCACC-RED-119</t>
  </si>
  <si>
    <t>FCACC-RED-120</t>
  </si>
  <si>
    <t>FCACC-RED-121</t>
  </si>
  <si>
    <t>FCACC-RED-122</t>
  </si>
  <si>
    <t>FCACC-RED-123</t>
  </si>
  <si>
    <t>FCACC-RED-124</t>
  </si>
  <si>
    <t>FCACC-RED-125</t>
  </si>
  <si>
    <t>FCACC-RED-126</t>
  </si>
  <si>
    <t>FCACC-RED-127</t>
  </si>
  <si>
    <t>FCACC-RED-128</t>
  </si>
  <si>
    <t>FCACC-RED-129</t>
  </si>
  <si>
    <t>FCACC-RED-130</t>
  </si>
  <si>
    <t>FCACC-RED-131</t>
  </si>
  <si>
    <t>FCACC-RED-132</t>
  </si>
  <si>
    <t>FCACC-RED-133</t>
  </si>
  <si>
    <t>FCACC-RED-134</t>
  </si>
  <si>
    <t>FCACC-RED-135</t>
  </si>
  <si>
    <t>FCACC-RED-136</t>
  </si>
  <si>
    <t>FCACC-RED-137</t>
  </si>
  <si>
    <t>FCACC-RED-138</t>
  </si>
  <si>
    <t>FCACC-RED-139</t>
  </si>
  <si>
    <t>FCACC-RED-140</t>
  </si>
  <si>
    <t>FCACC-RED-141</t>
  </si>
  <si>
    <t>FCACC-RED-142</t>
  </si>
  <si>
    <t>FCACC-RED-143</t>
  </si>
  <si>
    <t>FCACC-RED-144</t>
  </si>
  <si>
    <t>FCACC-RED-145</t>
  </si>
  <si>
    <t>FCACC-RED-146</t>
  </si>
  <si>
    <t>FCACC-RED-147</t>
  </si>
  <si>
    <t>FCACC-RED-148</t>
  </si>
  <si>
    <t>FCACC-RED-149</t>
  </si>
  <si>
    <t>FCACC-RED-150</t>
  </si>
  <si>
    <t>FCACC-RED-151</t>
  </si>
  <si>
    <t>FCACC-RED-152</t>
  </si>
  <si>
    <t>FCACC-RED-153</t>
  </si>
  <si>
    <t>FCACC-RED-154</t>
  </si>
  <si>
    <t>FCACC-RED-155</t>
  </si>
  <si>
    <t>FCACC-RED-156</t>
  </si>
  <si>
    <t>FCACC-RED-157</t>
  </si>
  <si>
    <t>FCACC-RED-158</t>
  </si>
  <si>
    <t>FCACC-RED-159</t>
  </si>
  <si>
    <t>FCACC-RED-160</t>
  </si>
  <si>
    <t>FCACC-RED-161</t>
  </si>
  <si>
    <t>FCACC-RED-162</t>
  </si>
  <si>
    <t>FCACC-RED-163</t>
  </si>
  <si>
    <t>FCACC-RED-164</t>
  </si>
  <si>
    <t>FCACC-RED-165</t>
  </si>
  <si>
    <t>FCACC-RED-166</t>
  </si>
  <si>
    <t>FCACC-RED-167</t>
  </si>
  <si>
    <t>FCACC-RED-168</t>
  </si>
  <si>
    <t>FCACC-RED-169</t>
  </si>
  <si>
    <t>FCACC-RED-170</t>
  </si>
  <si>
    <t>FCACC-RED-171</t>
  </si>
  <si>
    <t>FCACC-RED-172</t>
  </si>
  <si>
    <t>FCACC-RED-173</t>
  </si>
  <si>
    <t>FCACC-RED-174</t>
  </si>
  <si>
    <t>FCACC-RED-175</t>
  </si>
  <si>
    <t>FCACC-RED-176</t>
  </si>
  <si>
    <t>FCACC-RED-177</t>
  </si>
  <si>
    <t>FCACC-RED-178</t>
  </si>
  <si>
    <t>FCACC-RED-179</t>
  </si>
  <si>
    <t>FCACC-RED-180</t>
  </si>
  <si>
    <t>FCACC-RED-181</t>
  </si>
  <si>
    <t>FCACC-RED-182</t>
  </si>
  <si>
    <t>FCACC-RED-183</t>
  </si>
  <si>
    <t>FCACC-RED-184</t>
  </si>
  <si>
    <t>FCACC-RED-185</t>
  </si>
  <si>
    <t>FCACC-RED-186</t>
  </si>
  <si>
    <t>FCACC-RED-187</t>
  </si>
  <si>
    <t>FCACC-RED-188</t>
  </si>
  <si>
    <t>FCACC-RED-189</t>
  </si>
  <si>
    <t>FCACC-RED-190</t>
  </si>
  <si>
    <t>FCACC-RED-191</t>
  </si>
  <si>
    <t>FCACC-RED-192</t>
  </si>
  <si>
    <t>FCACC-RED-193</t>
  </si>
  <si>
    <t>FCACC-RED-194</t>
  </si>
  <si>
    <t>FCACC-RED-195</t>
  </si>
  <si>
    <t>FCACC-RED-196</t>
  </si>
  <si>
    <t>FCACC-RED-197</t>
  </si>
  <si>
    <t>FCACC-RED-198</t>
  </si>
  <si>
    <t>FCACC-RED-199</t>
  </si>
  <si>
    <t>FCACC-RED-200</t>
  </si>
  <si>
    <t>FCACC-RED-201</t>
  </si>
  <si>
    <t>FCACC-RED-202</t>
  </si>
  <si>
    <t>FCACC-RED-203</t>
  </si>
  <si>
    <t>FCACC-RED-204</t>
  </si>
  <si>
    <t>FCACC-RED-205</t>
  </si>
  <si>
    <t>FCACC-RED-206</t>
  </si>
  <si>
    <t>FCACC-RED-207</t>
  </si>
  <si>
    <t>FCACC-RED-208</t>
  </si>
  <si>
    <t>FCACC-RED-209</t>
  </si>
  <si>
    <t>FCACC-RED-210</t>
  </si>
  <si>
    <t>FCACC-RED-211</t>
  </si>
  <si>
    <t>FCACC-RED-212</t>
  </si>
  <si>
    <t>FCACC-RED-213</t>
  </si>
  <si>
    <t>FCACC-RED-214</t>
  </si>
  <si>
    <t>FCACC-RED-215</t>
  </si>
  <si>
    <t>FCACC-RED-216</t>
  </si>
  <si>
    <t>FCACC-RED-217</t>
  </si>
  <si>
    <t>FCACC-RED-218</t>
  </si>
  <si>
    <t>FCACC-RED-219</t>
  </si>
  <si>
    <t>FCACC-RED-220</t>
  </si>
  <si>
    <t>FCACC-RED-221</t>
  </si>
  <si>
    <t>FCACC-RED-222</t>
  </si>
  <si>
    <t>FCACC-RED-223</t>
  </si>
  <si>
    <t>FCACC-RED-224</t>
  </si>
  <si>
    <t>FCACC-RED-225</t>
  </si>
  <si>
    <t>FCACC-RED-226</t>
  </si>
  <si>
    <t>FCACC-RED-227</t>
  </si>
  <si>
    <t>FCACC-RED-228</t>
  </si>
  <si>
    <t>FCACC-RED-229</t>
  </si>
  <si>
    <t>FCACC-RED-230</t>
  </si>
  <si>
    <t>FCACC-RED-231</t>
  </si>
  <si>
    <t>FCACC-RED-232</t>
  </si>
  <si>
    <t>FCACC-RED-233</t>
  </si>
  <si>
    <t>FCACC-RED-234</t>
  </si>
  <si>
    <t>FCACC-RED-235</t>
  </si>
  <si>
    <t>FCACC-RED-236</t>
  </si>
  <si>
    <t>FCACC-RED-237</t>
  </si>
  <si>
    <t>FCACC-RED-238</t>
  </si>
  <si>
    <t>FCACC-RED-239</t>
  </si>
  <si>
    <t>FCACC-RED-240</t>
  </si>
  <si>
    <t>FCACC-RED-241</t>
  </si>
  <si>
    <t>FCACC-RED-242</t>
  </si>
  <si>
    <t>FCACC-RED-243</t>
  </si>
  <si>
    <t>FCACC-RED-244</t>
  </si>
  <si>
    <t>FCACC-RED-245</t>
  </si>
  <si>
    <t>FCACC-RED-246</t>
  </si>
  <si>
    <t>FCACC-RED-247</t>
  </si>
  <si>
    <t>FCACC-RED-248</t>
  </si>
  <si>
    <t>FCACC-RED-249</t>
  </si>
  <si>
    <t>FCACC-RED-250</t>
  </si>
  <si>
    <t>FCACC-RED-251</t>
  </si>
  <si>
    <t>FCACC-RED-252</t>
  </si>
  <si>
    <t>FCACC-RED-253</t>
  </si>
  <si>
    <t>FCACC-RED-254</t>
  </si>
  <si>
    <t>FCACC-RED-255</t>
  </si>
  <si>
    <t>FCACC-RED-256</t>
  </si>
  <si>
    <t>FCACC-RED-257</t>
  </si>
  <si>
    <t>FCACC-RED-258</t>
  </si>
  <si>
    <t>FCACC-RED-259</t>
  </si>
  <si>
    <t>FCACC-RED-260</t>
  </si>
  <si>
    <t>FCACC-RED-261</t>
  </si>
  <si>
    <t>FCACC-RED-262</t>
  </si>
  <si>
    <t>FCACC-RED-263</t>
  </si>
  <si>
    <t>FCACC-RED-264</t>
  </si>
  <si>
    <t>FCACC-RED-265</t>
  </si>
  <si>
    <t>FCACC-RED-266</t>
  </si>
  <si>
    <t>FCACC-RED-267</t>
  </si>
  <si>
    <t>FCACC-RED-268</t>
  </si>
  <si>
    <t>FCACC-RED-269</t>
  </si>
  <si>
    <t>FCACC-RED-270</t>
  </si>
  <si>
    <t>FCACC-RED-271</t>
  </si>
  <si>
    <t>FCACC-RED-272</t>
  </si>
  <si>
    <t>FCACC-RED-273</t>
  </si>
  <si>
    <t>FCACC-RED-274</t>
  </si>
  <si>
    <t>FCACC-RED-275</t>
  </si>
  <si>
    <t>FCACC-RED-276</t>
  </si>
  <si>
    <t>FCACC-RED-277</t>
  </si>
  <si>
    <t>FCACC-RED-278</t>
  </si>
  <si>
    <t>FCACC-RED-279</t>
  </si>
  <si>
    <t>FCACC-RED-280</t>
  </si>
  <si>
    <t>FCACC-RED-281</t>
  </si>
  <si>
    <t>FCACC-RED-282</t>
  </si>
  <si>
    <t>FCACC-RED-283</t>
  </si>
  <si>
    <t>FCACC-RED-284</t>
  </si>
  <si>
    <t>FCACC-RED-285</t>
  </si>
  <si>
    <t>FCACC-RED-286</t>
  </si>
  <si>
    <t>FCACC-RED-287</t>
  </si>
  <si>
    <t>FCACC-RED-288</t>
  </si>
  <si>
    <t>FCACC-RED-289</t>
  </si>
  <si>
    <t>FCACC-RED-290</t>
  </si>
  <si>
    <t>FCACC-RED-291</t>
  </si>
  <si>
    <t>FCACC-RED-292</t>
  </si>
  <si>
    <t>FCACC-RED-293</t>
  </si>
  <si>
    <t>FCACC-RED-294</t>
  </si>
  <si>
    <t>FCACC-RED-295</t>
  </si>
  <si>
    <t>FCACC-RED-296</t>
  </si>
  <si>
    <t>FCACC-RED-297</t>
  </si>
  <si>
    <t>FCACC-RED-298</t>
  </si>
  <si>
    <t>FCACC-RED-299</t>
  </si>
  <si>
    <t>FCACC-RED-300</t>
  </si>
  <si>
    <t>FCACC-RED-301</t>
  </si>
  <si>
    <t>FCACC-RED-302</t>
  </si>
  <si>
    <t>FCACC-RED-303</t>
  </si>
  <si>
    <t>FCACC-RED-304</t>
  </si>
  <si>
    <t>FCACC-RED-305</t>
  </si>
  <si>
    <t>FCACC-RED-306</t>
  </si>
  <si>
    <t>FCACC-RED-307</t>
  </si>
  <si>
    <t>FCACC-RED-308</t>
  </si>
  <si>
    <t>FCACC-RED-309</t>
  </si>
  <si>
    <t>FCACC-RED-310</t>
  </si>
  <si>
    <t>FCACC-RED-311</t>
  </si>
  <si>
    <t>FCACC-RED-312</t>
  </si>
  <si>
    <t>FCACC-RED-313</t>
  </si>
  <si>
    <t>FCACC-RED-314</t>
  </si>
  <si>
    <t>FCACC-RED-315</t>
  </si>
  <si>
    <t>FCACC-RED-316</t>
  </si>
  <si>
    <t>FCACC-RED-317</t>
  </si>
  <si>
    <t>FCACC-RED-318</t>
  </si>
  <si>
    <t>FCACC-RED-319</t>
  </si>
  <si>
    <t>FCACC-RED-320</t>
  </si>
  <si>
    <t>FCACC-RED-321</t>
  </si>
  <si>
    <t>FCACC-RED-322</t>
  </si>
  <si>
    <t>FCACC-RED-323</t>
  </si>
  <si>
    <t>FCACC-RED-324</t>
  </si>
  <si>
    <t>FCACC-RED-325</t>
  </si>
  <si>
    <t>FCACC-RED-326</t>
  </si>
  <si>
    <t>FCACC-RED-327</t>
  </si>
  <si>
    <t>FCACC-RED-328</t>
  </si>
  <si>
    <t>FCACC-RED-329</t>
  </si>
  <si>
    <t>FCACC-RED-330</t>
  </si>
  <si>
    <t>FCACC-RED-331</t>
  </si>
  <si>
    <t>FCACC-RED-332</t>
  </si>
  <si>
    <t>FCACC-RED-333</t>
  </si>
  <si>
    <t>FCACC-RED-334</t>
  </si>
  <si>
    <t>FCACC-RED-335</t>
  </si>
  <si>
    <t>FCACC-RED-336</t>
  </si>
  <si>
    <t>FCACC-RED-337</t>
  </si>
  <si>
    <t>FCACC-RED-338</t>
  </si>
  <si>
    <t>FCACC-RED-339</t>
  </si>
  <si>
    <t>FCACC-RED-340</t>
  </si>
  <si>
    <t>FCACC-RED-341</t>
  </si>
  <si>
    <t>FCACC-RED-342</t>
  </si>
  <si>
    <t>FCACC-RED-343</t>
  </si>
  <si>
    <t>FCACC-RED-344</t>
  </si>
  <si>
    <t>FCACC-RED-345</t>
  </si>
  <si>
    <t>FCACC-RED-346</t>
  </si>
  <si>
    <t>FCACC-RED-347</t>
  </si>
  <si>
    <t>FCACC-RED-348</t>
  </si>
  <si>
    <t>FCACC-RED-349</t>
  </si>
  <si>
    <t>FCACC-RED-350</t>
  </si>
  <si>
    <t>FCACC-RED-351</t>
  </si>
  <si>
    <t>FCACC-RED-352</t>
  </si>
  <si>
    <t>FCACC-RED-353</t>
  </si>
  <si>
    <t>FCACC-RED-354</t>
  </si>
  <si>
    <t>FCACC-RED-355</t>
  </si>
  <si>
    <t>FCACC-RED-356</t>
  </si>
  <si>
    <t>FCACC-RED-357</t>
  </si>
  <si>
    <t>FCACC-RED-358</t>
  </si>
  <si>
    <t>FCACC-RED-359</t>
  </si>
  <si>
    <t>FCACC-RED-360</t>
  </si>
  <si>
    <t>FCACC-RED-361</t>
  </si>
  <si>
    <t>FCACC-RED-362</t>
  </si>
  <si>
    <t>FCACC-RED-363</t>
  </si>
  <si>
    <t>FCACC-RED-364</t>
  </si>
  <si>
    <t>FCACC-RED-365</t>
  </si>
  <si>
    <t>FCACC-RED-366</t>
  </si>
  <si>
    <t>FCACC-RED-367</t>
  </si>
  <si>
    <t>FCACC-RED-368</t>
  </si>
  <si>
    <t>FCACC-RED-369</t>
  </si>
  <si>
    <t>FCACC-RED-370</t>
  </si>
  <si>
    <t>FCACC-RED-371</t>
  </si>
  <si>
    <t>FCACC-RED-372</t>
  </si>
  <si>
    <t>FCACC-RED-373</t>
  </si>
  <si>
    <t>FCACC-RED-374</t>
  </si>
  <si>
    <t>FCACC-RED-375</t>
  </si>
  <si>
    <t>FCACC-RED-376</t>
  </si>
  <si>
    <t>FCACC-RED-377</t>
  </si>
  <si>
    <t>FCACC-RED-378</t>
  </si>
  <si>
    <t>FCACC-RED-379</t>
  </si>
  <si>
    <t>FCACC-RED-380</t>
  </si>
  <si>
    <t>FCACC-RED-381</t>
  </si>
  <si>
    <t>FCACC-RED-382</t>
  </si>
  <si>
    <t>FCACC-RED-383</t>
  </si>
  <si>
    <t>FCACC-RED-384</t>
  </si>
  <si>
    <t>FCACC-RED-385</t>
  </si>
  <si>
    <t>FCACC-RED-386</t>
  </si>
  <si>
    <t>FCACC-RED-387</t>
  </si>
  <si>
    <t>FCACC-RED-388</t>
  </si>
  <si>
    <t>FCACC-RED-389</t>
  </si>
  <si>
    <t>FCACC-RED-390</t>
  </si>
  <si>
    <t>FCACC-RED-391</t>
  </si>
  <si>
    <t>FCACC-RED-392</t>
  </si>
  <si>
    <t>FCACC-RED-393</t>
  </si>
  <si>
    <t>FCACC-RED-394</t>
  </si>
  <si>
    <t>FCACC-RED-395</t>
  </si>
  <si>
    <t>FCACC-RED-396</t>
  </si>
  <si>
    <t>FCACC-RED-397</t>
  </si>
  <si>
    <t>FCACC-RED-398</t>
  </si>
  <si>
    <t>FCACC-RED-399</t>
  </si>
  <si>
    <t>FCACC-RED-400</t>
  </si>
  <si>
    <t>FCACC-RED-401</t>
  </si>
  <si>
    <t>FCACC-RED-402</t>
  </si>
  <si>
    <t>FCACC-RED-403</t>
  </si>
  <si>
    <t>FCACC-RED-404</t>
  </si>
  <si>
    <t>FCACC-RED-405</t>
  </si>
  <si>
    <t>FCACC-RED-406</t>
  </si>
  <si>
    <t>FCACC-RED-407</t>
  </si>
  <si>
    <t>FCACC-RED-408</t>
  </si>
  <si>
    <t>FCACC-RED-409</t>
  </si>
  <si>
    <t>FCACC-RED-410</t>
  </si>
  <si>
    <t>FCACC-RED-411</t>
  </si>
  <si>
    <t>FCACC-RED-412</t>
  </si>
  <si>
    <t>FCACC-RED-413</t>
  </si>
  <si>
    <t>FCACC-RED-414</t>
  </si>
  <si>
    <t>FCACC-RED-415</t>
  </si>
  <si>
    <t>FCACC-RED-416</t>
  </si>
  <si>
    <t>FCACC-RED-417</t>
  </si>
  <si>
    <t>FCACC-RED-418</t>
  </si>
  <si>
    <t>FCACC-RED-419</t>
  </si>
  <si>
    <t>FCACC-RED-420</t>
  </si>
  <si>
    <t>FCACC-RED-421</t>
  </si>
  <si>
    <t>FCACC-RED-422</t>
  </si>
  <si>
    <t>FCACC-RED-423</t>
  </si>
  <si>
    <t>FCACC-RED-424</t>
  </si>
  <si>
    <t>FCACC-RED-425</t>
  </si>
  <si>
    <t>FCACC-RED-426</t>
  </si>
  <si>
    <t>FCACC-RED-427</t>
  </si>
  <si>
    <t>FCACC-RED-428</t>
  </si>
  <si>
    <t>FCACC-RED-429</t>
  </si>
  <si>
    <t>FCACC-RED-430</t>
  </si>
  <si>
    <t>FCACC-RED-431</t>
  </si>
  <si>
    <t>FCACC-RED-432</t>
  </si>
  <si>
    <t>FCACC-RED-433</t>
  </si>
  <si>
    <t>FCACC-RED-434</t>
  </si>
  <si>
    <t>FCACC-RED-435</t>
  </si>
  <si>
    <t>FCACC-RED-436</t>
  </si>
  <si>
    <t>FCACC-RED-437</t>
  </si>
  <si>
    <t>FCACC-RED-438</t>
  </si>
  <si>
    <t>FCACC-RED-439</t>
  </si>
  <si>
    <t>FCACC-RED-440</t>
  </si>
  <si>
    <t>FCACC-RED-441</t>
  </si>
  <si>
    <t>FCACC-RED-442</t>
  </si>
  <si>
    <t>FCACC-RED-443</t>
  </si>
  <si>
    <t>FCACC-RED-444</t>
  </si>
  <si>
    <t>FCACC-RED-445</t>
  </si>
  <si>
    <t>FCACC-RED-446</t>
  </si>
  <si>
    <t>FCACC-RED-447</t>
  </si>
  <si>
    <t>FCACC-RED-448</t>
  </si>
  <si>
    <t>FCACC-RED-449</t>
  </si>
  <si>
    <t>FCACC-RED-450</t>
  </si>
  <si>
    <t>FCACC-RED-451</t>
  </si>
  <si>
    <t>FCACC-RED-452</t>
  </si>
  <si>
    <t>FCACC-RED-453</t>
  </si>
  <si>
    <t>FCACC-RED-454</t>
  </si>
  <si>
    <t>FCACC-RED-455</t>
  </si>
  <si>
    <t>FCACC-RED-456</t>
  </si>
  <si>
    <t>FCACC-RED-457</t>
  </si>
  <si>
    <t>FCACC-RED-458</t>
  </si>
  <si>
    <t>FCACC-RED-459</t>
  </si>
  <si>
    <t>FCACC-RED-460</t>
  </si>
  <si>
    <t>FCACC-RED-461</t>
  </si>
  <si>
    <t>FCACC-RED-462</t>
  </si>
  <si>
    <t>FCACC-RED-463</t>
  </si>
  <si>
    <t>FCACC-RED-464</t>
  </si>
  <si>
    <t>FCACC-RED-465</t>
  </si>
  <si>
    <t>FCACC-RED-466</t>
  </si>
  <si>
    <t>FCACC-RED-467</t>
  </si>
  <si>
    <t>FCACC-RED-468</t>
  </si>
  <si>
    <t>FCACC-RED-469</t>
  </si>
  <si>
    <t>FCACC-RED-470</t>
  </si>
  <si>
    <t>FCACC-RED-471</t>
  </si>
  <si>
    <t>FCACC-RED-472</t>
  </si>
  <si>
    <t>FCACC-RED-473</t>
  </si>
  <si>
    <t>FCACC-RED-474</t>
  </si>
  <si>
    <t>FCACC-RED-475</t>
  </si>
  <si>
    <t>FCACC-RED-476</t>
  </si>
  <si>
    <t>FCACC-RED-477</t>
  </si>
  <si>
    <t>FCACC-RED-478</t>
  </si>
  <si>
    <t>FCACC-RED-479</t>
  </si>
  <si>
    <t>FCACC-RED-480</t>
  </si>
  <si>
    <t>FCACC-RED-481</t>
  </si>
  <si>
    <t>FCACC-RED-482</t>
  </si>
  <si>
    <t>FCACC-RED-483</t>
  </si>
  <si>
    <t>FCACC-RED-484</t>
  </si>
  <si>
    <t>FCACC-RED-485</t>
  </si>
  <si>
    <t>FCACC-RED-486</t>
  </si>
  <si>
    <t>FCACC-RED-487</t>
  </si>
  <si>
    <t>FCACC-RED-488</t>
  </si>
  <si>
    <t>FCACC-RED-489</t>
  </si>
  <si>
    <t>FCACC-RED-490</t>
  </si>
  <si>
    <t>FCACC-RED-491</t>
  </si>
  <si>
    <t>FCACC-RED-492</t>
  </si>
  <si>
    <t>ID_MAESTRIA</t>
  </si>
  <si>
    <t>NOMBRE_MAESTRIA</t>
  </si>
  <si>
    <t>MAES-DOC-DOC-DEN-DEL</t>
  </si>
  <si>
    <t>MAES-DOC-DOC-EN -CIE</t>
  </si>
  <si>
    <t>MAES-DOC-MAE-EN -ALT</t>
  </si>
  <si>
    <t xml:space="preserve">MAES-DOC-MAG-EJE-EN </t>
  </si>
  <si>
    <t>MAES-DOC-MAG-EN -ADM</t>
  </si>
  <si>
    <t>MAES-DOC-MAG-EN -AUD</t>
  </si>
  <si>
    <t>MAES-DOC-MAG-EN -CON</t>
  </si>
  <si>
    <t>MAES-DOC-MAG-EN -DER</t>
  </si>
  <si>
    <t>MAGISTER EN DERECHO DE EMPRESA</t>
  </si>
  <si>
    <t>MAES-DOC-MAG-EN -EDU</t>
  </si>
  <si>
    <t>MAES-DOC-MAG-EN -FIN</t>
  </si>
  <si>
    <t>MAES-DOC-MAG-EN -GER</t>
  </si>
  <si>
    <t>MAGISTER EN GERENCIA EDUCATIVA</t>
  </si>
  <si>
    <t>MAES-DOC-MAG-EN -GES</t>
  </si>
  <si>
    <t>MAES-DOC-MAG-EN -PED</t>
  </si>
  <si>
    <t>MAES-DOC-MAG-EN -TRI</t>
  </si>
  <si>
    <t>MAES-DOC-MAS-EN -ADM</t>
  </si>
  <si>
    <t>MAES-DOC-MAS-UNI-EN</t>
  </si>
  <si>
    <t>MASTER UNIVERSITARIO EN DIRECCIÓN Y GESTIÓN DE RECURSOS HUMANOS</t>
  </si>
  <si>
    <t>ID_DOCENTE</t>
  </si>
  <si>
    <t>DATOS_DOCENTE</t>
  </si>
  <si>
    <t>UNIDAD</t>
  </si>
  <si>
    <t>CORREO</t>
  </si>
  <si>
    <t>CELULAR</t>
  </si>
  <si>
    <t>ESTUDIO</t>
  </si>
  <si>
    <t>DEDICACION</t>
  </si>
  <si>
    <t>Modalidad_TH</t>
  </si>
  <si>
    <t>TIPO SANGRE</t>
  </si>
  <si>
    <t>ALARCON CHAVEZ CESAR RAUL</t>
  </si>
  <si>
    <t>ADMINISTRACION DE EMPRESA</t>
  </si>
  <si>
    <t>cesar.alarcon@uleam.edu.ec</t>
  </si>
  <si>
    <t>MAESTRÍA</t>
  </si>
  <si>
    <t>TC</t>
  </si>
  <si>
    <t>NOMBRAMIENTO</t>
  </si>
  <si>
    <t> </t>
  </si>
  <si>
    <t>ALCIVAR MERO MARIA JESSENIA</t>
  </si>
  <si>
    <t>mariaj.alcivar@uleam.edu.ec</t>
  </si>
  <si>
    <t>ALVIA TOALA DAHIANA VALERIA</t>
  </si>
  <si>
    <t>dahiana.alvia@uleam.edu.ec</t>
  </si>
  <si>
    <t>BALSECA MACIAS PAOLA ESTEFANIA</t>
  </si>
  <si>
    <t>paola.balseca@uleam.edu.ec</t>
  </si>
  <si>
    <t>BAYAS ZAMBRANO CARMEN MARIETA</t>
  </si>
  <si>
    <t>carmen.bayas@uleam.edu.ec</t>
  </si>
  <si>
    <t>CACERES LARREATEGUI ALBA LUCIA</t>
  </si>
  <si>
    <t>alba.caceres@uleam.edu.ec</t>
  </si>
  <si>
    <t>CALDERON ZAMORA OSCAR XAVIER</t>
  </si>
  <si>
    <t>oscar.calderon@uleam.edu.ec</t>
  </si>
  <si>
    <t>CANO LARA EVELYN DYANN</t>
  </si>
  <si>
    <t>evelyn.cano@uleam.edu.ec</t>
  </si>
  <si>
    <t>DOCTORADO</t>
  </si>
  <si>
    <t>CEVALLOS ENRIQUEZ RODRIGO PAUL</t>
  </si>
  <si>
    <t>rodrigo.cevallos@uleam.edu.ec</t>
  </si>
  <si>
    <t>MT</t>
  </si>
  <si>
    <t>CRUZ MERA RAFER HENRY</t>
  </si>
  <si>
    <t>rafer.cruz@uleam.edu.ec</t>
  </si>
  <si>
    <t>FRANCO CHAVEZ MONICA ALEXANDRA</t>
  </si>
  <si>
    <t>monica.franco@uleam.edu.ec</t>
  </si>
  <si>
    <t>CONTRATOS OCASIONALES</t>
  </si>
  <si>
    <t>FRANCO RODRIGUEZ LUIS ENRIQUE</t>
  </si>
  <si>
    <t>luise.franco@uleam.edu.ec</t>
  </si>
  <si>
    <t>GARCIA LOOR ANA DEL ROCIO</t>
  </si>
  <si>
    <t>ana.garcia@uleam.edu.ec</t>
  </si>
  <si>
    <t>GUADAMUD VERA JESSICA GEOCONDA</t>
  </si>
  <si>
    <t>jessica.guadamud@uleam.edu.ec</t>
  </si>
  <si>
    <t>GUEVARA CAÑIZARES MARISSA ALEJANDRA</t>
  </si>
  <si>
    <t>marissa.guevara@uleam.edu.ec</t>
  </si>
  <si>
    <t>HEREDIA COPPIANO GENESIS ESTEFANIA</t>
  </si>
  <si>
    <t>genesis.heredia@uleam.edu.ec</t>
  </si>
  <si>
    <t>HOLGUIN BRIONES AUDREY JACQUELINE</t>
  </si>
  <si>
    <t>audrey.holguin@uleam.edu.ec</t>
  </si>
  <si>
    <t>MACIAS CATAGUA OTTO WAGNER</t>
  </si>
  <si>
    <t>otto.macias@uleam.edu.ec</t>
  </si>
  <si>
    <t>MARCILLO PIN KARLA ROSANNA</t>
  </si>
  <si>
    <t>karla.marcillo@uleam.edu.ec</t>
  </si>
  <si>
    <t>MENDOZA BRIONES AMADO ANTONIO</t>
  </si>
  <si>
    <t>amado.mendoza@uleam.edu.ec</t>
  </si>
  <si>
    <t>MERO MERO RUBEN DARIO</t>
  </si>
  <si>
    <t>ruben.mero@uleam.edu.ec</t>
  </si>
  <si>
    <t>MORANTE GALARZA JOSE LUIS</t>
  </si>
  <si>
    <t>jose.morante@uleam.edu.ec</t>
  </si>
  <si>
    <t>PIGUAVE PEREZ VICENTA ROCIO</t>
  </si>
  <si>
    <t>rocio.piguave@uleam.edu.ec</t>
  </si>
  <si>
    <t>RODRIGUEZ DURAN MIGUEL OSWALDO</t>
  </si>
  <si>
    <t>oswaldo.rodriguez@uleam.edu.ec</t>
  </si>
  <si>
    <t>SALCEDO LOOR HERNAN VLADIMIR</t>
  </si>
  <si>
    <t>hernan.salcedo@uleam.edu.ec</t>
  </si>
  <si>
    <t>SANTOS VELEZ MARIA BEATRIZ</t>
  </si>
  <si>
    <t>mariab.santos@uleam.edu.ec</t>
  </si>
  <si>
    <t>TORO LOOR RICHARD GONZALO</t>
  </si>
  <si>
    <t>richard.toro@uleam.edu.ec</t>
  </si>
  <si>
    <t>TRIVIÑO QUIJIJE JEFFERSON ALEXANDER</t>
  </si>
  <si>
    <t>alexander.trivino@uleam.edu.ec</t>
  </si>
  <si>
    <t>VELASCO DELGADO CARLOS ALBERTO</t>
  </si>
  <si>
    <t>carlos.velasco@uleam.edu.ec</t>
  </si>
  <si>
    <t>VELEZ CHAVEZ CARLOS ORLANDO</t>
  </si>
  <si>
    <t>carlos.velez@uleam.edu.ec</t>
  </si>
  <si>
    <t>VELEZ ROMERO XAVIER ALBERTO</t>
  </si>
  <si>
    <t>xavier.velez@uleam.edu.ec</t>
  </si>
  <si>
    <t>TP</t>
  </si>
  <si>
    <t>ZAMBRANO VERA MARIA FERNANDA</t>
  </si>
  <si>
    <t>mariaf.zambrano@uleam.edu.ec</t>
  </si>
  <si>
    <t>CALDERON ZAMORA MARJORIE JESSENIA</t>
  </si>
  <si>
    <t>COMERCIO EXTERIOR</t>
  </si>
  <si>
    <t>marjorie.calderon@uleam.edu.ec</t>
  </si>
  <si>
    <t>CANO MURE ERNESTO RODOLFO</t>
  </si>
  <si>
    <t>ernesto.cano@uleam.edu.ec</t>
  </si>
  <si>
    <t>CUADROS OCAMPO CARMINA ISABEL</t>
  </si>
  <si>
    <t>carmina.cuadros@uleam.edu.ec</t>
  </si>
  <si>
    <t>FERNANDEZ ALAVA VANESSA GUADALUPE</t>
  </si>
  <si>
    <t>vanessa.fernandez@uleam.edu.ec</t>
  </si>
  <si>
    <t>INTRIAGO DURAN MARCOS VINICIO</t>
  </si>
  <si>
    <t>marcos.intriago@uleam.edu.ec</t>
  </si>
  <si>
    <t>LOOR MUÑOZ PRESLEY IDULFO</t>
  </si>
  <si>
    <t>presleyi.loor@uleam.edu.ec</t>
  </si>
  <si>
    <t>ronald.lopez@uleam.edu.ec</t>
  </si>
  <si>
    <t>MENDOZA GARCIA JORGE GREGORIO</t>
  </si>
  <si>
    <t>jorge.mendoza@uleam.edu.ec</t>
  </si>
  <si>
    <t>NOMBRAMIENTO PROVISIONAL</t>
  </si>
  <si>
    <t>MENENDEZ DELGADO ERICK RODOLFO</t>
  </si>
  <si>
    <t>erik.menendez@uleam.edu.ec</t>
  </si>
  <si>
    <t>MENESES SALVADOR JUAN CARLOS</t>
  </si>
  <si>
    <t>juan.meneses@uleam.edu.ec</t>
  </si>
  <si>
    <t>MUÑOZ MACIAS KARLOS EDUARDO</t>
  </si>
  <si>
    <t>karlos.munoz@uleam.edu.ec</t>
  </si>
  <si>
    <t>PALACIO HANZE CARLOS LUIS</t>
  </si>
  <si>
    <t>carlos.palacio@uleam.edu.ec</t>
  </si>
  <si>
    <t>PARRAGA MOGROVEJO MAYRA IVETH</t>
  </si>
  <si>
    <t>mayra.parraga@uleam.edu.ec</t>
  </si>
  <si>
    <t>SANCHEZ ARTEAGA ALEX ALFONSO</t>
  </si>
  <si>
    <t>alex.sanchez@uleam.edu.ec</t>
  </si>
  <si>
    <t>VELEZ CEDEÑO JOHANNA GUADALUPE</t>
  </si>
  <si>
    <t>johanna.velez@uleam.edu.ec</t>
  </si>
  <si>
    <t>VELIZ INTRIAGO AMNUSKA KOYITO</t>
  </si>
  <si>
    <t>amnuska.veliz@uleam.edu.ec</t>
  </si>
  <si>
    <t>VERA SANTANA HUGO CARLOS</t>
  </si>
  <si>
    <t>hugo.vera@uleam.edu.ec</t>
  </si>
  <si>
    <t>CONTABILIDAD Y AUDITORIA</t>
  </si>
  <si>
    <t>beatriz.alcivar@uleam.edu.ec</t>
  </si>
  <si>
    <t>gemam.alcivar@uleam.edu.ec</t>
  </si>
  <si>
    <t>navira.angulo@uleam.edu.ec</t>
  </si>
  <si>
    <t>walter.bailon@uleam.edu.ec</t>
  </si>
  <si>
    <t>erick.calderero@uleam.edu.ec</t>
  </si>
  <si>
    <t>paola.castillo@uleam.edu.ec</t>
  </si>
  <si>
    <t>pedro.cedeno@uleam.edu.ec</t>
  </si>
  <si>
    <t>juan.cevallos@uleam.edu.ec</t>
  </si>
  <si>
    <t>mariai.delgado@uleam.edu.ec</t>
  </si>
  <si>
    <t>NOMBRAMIENTO AUTORIDAD UNIVERS</t>
  </si>
  <si>
    <t>cristhian.duarto@uleam.edu.ec</t>
  </si>
  <si>
    <t>alexander.fortty@uleam.edu.ec</t>
  </si>
  <si>
    <t>carmen.gutierrez@uleam.edu.ec</t>
  </si>
  <si>
    <t>HIDALGO AVILA ARGELIO ANTONIO</t>
  </si>
  <si>
    <t>argelio.hidalgo@uleam.edu.ec</t>
  </si>
  <si>
    <t>gema.intriago@uleam.edu.ec</t>
  </si>
  <si>
    <t>leonell.lino@uleam.edu.ec</t>
  </si>
  <si>
    <t>maria.loor@uleam.edu.ec</t>
  </si>
  <si>
    <t>tania.loor@uleam.edu.ec</t>
  </si>
  <si>
    <t>rosam.loor@uleam.edu.ec</t>
  </si>
  <si>
    <t>MACÍAS UGALDE LEXANDRA TATIANA</t>
  </si>
  <si>
    <t>lexandra.macias@uleam.edu.ec</t>
  </si>
  <si>
    <t>david.macias@uleam.edu.ec</t>
  </si>
  <si>
    <t>walter.mendoza@uleam.edu.ec</t>
  </si>
  <si>
    <t>maria.molina@uleam.edu.ec</t>
  </si>
  <si>
    <t>MOREIRA LARGACHA JUAN MIGUEL</t>
  </si>
  <si>
    <t>miguel.moreira@uleam.edu.ec</t>
  </si>
  <si>
    <t>isaac.murillo@uleam.edu.ec</t>
  </si>
  <si>
    <t>nestor.ochoa@uleam.edu.ec</t>
  </si>
  <si>
    <t>silvana.parraga@uleam.edu.ec</t>
  </si>
  <si>
    <t>nancy.pinargote@uleam.edu.ec</t>
  </si>
  <si>
    <t>pedro.reyes@uleam.edu.ec</t>
  </si>
  <si>
    <t>dallas.sanandres@uleam.edu.ec</t>
  </si>
  <si>
    <t>juan.sornoza@uleam.edu.ec</t>
  </si>
  <si>
    <t>jesus.tomala@uleam.edu.ec</t>
  </si>
  <si>
    <t>TUBAY CEDEÑO BORIS RICARDO</t>
  </si>
  <si>
    <t>boris.tubay@uleam.edu.ec</t>
  </si>
  <si>
    <t>silvia.valle@uleam.edu.ec</t>
  </si>
  <si>
    <t>irma.velasquez@uleam.edu.ec</t>
  </si>
  <si>
    <t>laysy.velez@uleam.edu.ec</t>
  </si>
  <si>
    <t>shirley.vinueza@uleam.edu.ec</t>
  </si>
  <si>
    <t>nilda.zambrano@uleam.edu.ec</t>
  </si>
  <si>
    <t>rita.zambrano@uleam.edu.ec</t>
  </si>
  <si>
    <t>janeth.zambrano@uleam.edu.ec</t>
  </si>
  <si>
    <t>ANDRADE ALVARADO SONIA PATRICIA</t>
  </si>
  <si>
    <t>GESTION DE LA INFORMACION GERENCIAL</t>
  </si>
  <si>
    <t>patricia.andrade@uleam.edu.ec</t>
  </si>
  <si>
    <t>mario.arauz@uleam.edu.ec</t>
  </si>
  <si>
    <t>BARREIRO CEDEÑO ISABEL MONSERRATE</t>
  </si>
  <si>
    <t>isabel.barreiro@uleam.edu.ec</t>
  </si>
  <si>
    <t>BERMUDEZ VILLACRESES ROSA MAGDALENA</t>
  </si>
  <si>
    <t>magdalena.bermudez@uleam.edu.ec</t>
  </si>
  <si>
    <t>CAÑARTE RODRIGUEZ TANIA CECIBEL</t>
  </si>
  <si>
    <t>tania.canarte@uleam.edu.ec</t>
  </si>
  <si>
    <t>COVEÑA MENÉNDEZ JONATHAN KLEBER</t>
  </si>
  <si>
    <t>jonathan.covena@uleam.edu.ec</t>
  </si>
  <si>
    <t>GARAY VERA JULIA MARLENE</t>
  </si>
  <si>
    <t>julia.garay@uleam.edu.ec</t>
  </si>
  <si>
    <t>IDROVO FLORES PEDRO MANUEL</t>
  </si>
  <si>
    <t>pedro.idrovo@uleam.edu.ec</t>
  </si>
  <si>
    <t>LUNA CAICEDO MERCEDES MONICA</t>
  </si>
  <si>
    <t>monica.luna@uleam.edu.ec</t>
  </si>
  <si>
    <t>MERO DELGADO OSWALDO WALDEMAR</t>
  </si>
  <si>
    <t>oswaldo.mero@uleam.edu.ec</t>
  </si>
  <si>
    <t>PEÑAHERRERA VELEZ CINDY DEL CARMEN</t>
  </si>
  <si>
    <t>cindy.penaherrera@uleam.edu.ec</t>
  </si>
  <si>
    <t>QUIJIJE ZAMBRANO DIGNA MARGARITA</t>
  </si>
  <si>
    <t>digna.quijije@uleam.edu.ec</t>
  </si>
  <si>
    <t>RODRIGUEZ SANCHEZ JOHNNY GUSTAVO</t>
  </si>
  <si>
    <t>johnny.rodriguez@uleam.edu.ec</t>
  </si>
  <si>
    <t>ROJAS ONCE MERCY CELINDA</t>
  </si>
  <si>
    <t>mercy.rojas@uleam.edu.ec</t>
  </si>
  <si>
    <t>SALTOS ALAVA SONIA KARINA</t>
  </si>
  <si>
    <t>sonia.saltos@uleam.edu.ec</t>
  </si>
  <si>
    <t>VIDAL FERNANDEZ PABLO</t>
  </si>
  <si>
    <t>pablo.vidal@uleam.edu.ec</t>
  </si>
  <si>
    <t>ARAUZ CHAVEZ ANDREA ROBERTHA</t>
  </si>
  <si>
    <t>MERCADOTECNIA</t>
  </si>
  <si>
    <t>andrea.arauz@uleam.edu.ec</t>
  </si>
  <si>
    <t>ARIAS ARIAS ANA ELENA</t>
  </si>
  <si>
    <t>ana.arias@uleam.edu.ec</t>
  </si>
  <si>
    <t>BADUY MOLINA AARON LEONEL</t>
  </si>
  <si>
    <t>aaron.baduy@uleam.edu.ec</t>
  </si>
  <si>
    <t>BASURTO CEDEÑO XAVIER ALBERTO</t>
  </si>
  <si>
    <t>alberto.basurto@uleam.edu.ec</t>
  </si>
  <si>
    <t>CALDERON BAILON JOSE CALIXTO</t>
  </si>
  <si>
    <t>jose.calderon@uleam.edu.ec</t>
  </si>
  <si>
    <t>CARREÑO VILLAVICENCIO DIANEXY VIVIANA</t>
  </si>
  <si>
    <t>dianexy.carreno@uleam.edu.ec</t>
  </si>
  <si>
    <t>FARFAN TRIVIÑO HUGO ERNESTO</t>
  </si>
  <si>
    <t>hugo.farfan@uleam.edu.ec</t>
  </si>
  <si>
    <t>GRANDA GARCIA MARCO IVAN</t>
  </si>
  <si>
    <t>marco.granda@uleam.edu.ec</t>
  </si>
  <si>
    <t>HORMAZA VILLAFUERTE SANDY LISBETH</t>
  </si>
  <si>
    <t>sandy.hormaza@uleam.edu.ec</t>
  </si>
  <si>
    <t>JACOME SANTOS XAVIER IVAN</t>
  </si>
  <si>
    <t>xavier.jacome@uleam.edu.ec</t>
  </si>
  <si>
    <t>LOOR CHAVEZ TEMISTOCLES DEODATO</t>
  </si>
  <si>
    <t>deodato.loor@uleam.edu.ec</t>
  </si>
  <si>
    <t>LOOR MOREIRA ALEXANDRA JACQUELINE</t>
  </si>
  <si>
    <t>alexandra.loor@uleam.edu.ec</t>
  </si>
  <si>
    <t>LOPEZ LEONES CRISTHIAN JOSE</t>
  </si>
  <si>
    <t>cristhian.lopez@uleam.edu.ec</t>
  </si>
  <si>
    <t>MEJIA VASQUEZ PERICLES RAMON</t>
  </si>
  <si>
    <t>pericles.mejia@uleam.edu.ec</t>
  </si>
  <si>
    <t>MERO CHAVEZ ULISES FEDERICO</t>
  </si>
  <si>
    <t>ulises.mero@uleam.edu.ec</t>
  </si>
  <si>
    <t>MOLINA CEDEÑO JIMMY WILMER</t>
  </si>
  <si>
    <t>jimmy.molina@uleam.edu.ec</t>
  </si>
  <si>
    <t>MOLINA QUIROZ CLAUDIA ANALIA</t>
  </si>
  <si>
    <t>analia.molina@uleam.edu.ec</t>
  </si>
  <si>
    <t>MORAN QUIÑONEZ CARLOS JULIO</t>
  </si>
  <si>
    <t>carlos.moran@uleam.edu.ec</t>
  </si>
  <si>
    <t>PALACIOS BRIONES NURI LUPITA</t>
  </si>
  <si>
    <t>nuri.palacios@uleam.edu.ec</t>
  </si>
  <si>
    <t>PEÑA VÉLEZ ISAURA VANESSA</t>
  </si>
  <si>
    <t>vanessa.pena@uleam.edu.ec</t>
  </si>
  <si>
    <t>PINARGOTE MONTENEGRO KAREN GISELA</t>
  </si>
  <si>
    <t>karen.pinargote@uleam.edu.ec</t>
  </si>
  <si>
    <t>PONCE ANDRADE JOHNNY EDISON</t>
  </si>
  <si>
    <t>johnny.ponce@uleam.edu.ec</t>
  </si>
  <si>
    <t>SABANDO MENDOZA ESTELA ROSSANA</t>
  </si>
  <si>
    <t>estela.sabando@uleam.edu.ec</t>
  </si>
  <si>
    <t>SOLIS BRAVO HUGO ALFONSO</t>
  </si>
  <si>
    <t>hugo.solis@uleam.edu.ec</t>
  </si>
  <si>
    <t>VILLAFUERTE MUÑOZ WAGNER OSWALDO</t>
  </si>
  <si>
    <t>wagner.villafuerte@uleam.edu.ec</t>
  </si>
  <si>
    <t>VILLAMARIN VILLOTA WALTER HUMBERTO</t>
  </si>
  <si>
    <t>walter.villamarin@uleam.edu.ec</t>
  </si>
  <si>
    <t>ZAMBRANO PEÑARRIETA JOSSELYN JAMILETH</t>
  </si>
  <si>
    <t>josselynj.zambrano@uleam.edu.ec</t>
  </si>
  <si>
    <t>CARRILLO PICO FEDERICO AVELINO</t>
  </si>
  <si>
    <t>avelino.carrillo@uleam.eud.ec</t>
  </si>
  <si>
    <t>ADMINISTRACIÓN DE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</si>
</sst>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2898BD1-754E-4503-B62A-CF1561F89CC8}" autoFormatId="16" applyNumberFormats="0" applyBorderFormats="0" applyFontFormats="0" applyPatternFormats="0" applyAlignmentFormats="0" applyWidthHeightFormats="0">
  <queryTableRefresh nextId="3">
    <queryTableFields count="2">
      <queryTableField id="1" name="ID_MAESTRIA" tableColumnId="1"/>
      <queryTableField id="2" name="NOMBRE_MAESTRIA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C68F1BC-4DE7-42F3-BE87-CBF64085E40A}" autoFormatId="16" applyNumberFormats="0" applyBorderFormats="0" applyFontFormats="0" applyPatternFormats="0" applyAlignmentFormats="0" applyWidthHeightFormats="0">
  <queryTableRefresh nextId="10">
    <queryTableFields count="9">
      <queryTableField id="1" name="ID_DOCENTE" tableColumnId="1"/>
      <queryTableField id="2" name="DATOS_DOCENTE" tableColumnId="2"/>
      <queryTableField id="3" name="UNIDAD" tableColumnId="3"/>
      <queryTableField id="4" name="CORREO" tableColumnId="4"/>
      <queryTableField id="5" name="CELULAR" tableColumnId="5"/>
      <queryTableField id="6" name="ESTUDIO" tableColumnId="6"/>
      <queryTableField id="7" name="DEDICACION" tableColumnId="7"/>
      <queryTableField id="8" name="Modalidad_TH" tableColumnId="8"/>
      <queryTableField id="9" name="TIPO SANGRE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20B29-6ED6-48CB-841C-34D39143E7F1}" name="TAB_T_DOCE_MAEST" displayName="TAB_T_DOCE_MAEST" ref="A1:F489" totalsRowShown="0">
  <autoFilter ref="A1:F489" xr:uid="{30E20B29-6ED6-48CB-841C-34D39143E7F1}"/>
  <tableColumns count="6">
    <tableColumn id="1" xr3:uid="{D04738A1-153F-4A2E-B40A-E67A8F6A5FA0}" name="ID_NIVE_DOC"/>
    <tableColumn id="2" xr3:uid="{0F56A05D-BBA3-49FE-A5AD-F8AF71E5EAEB}" name="NOMBRE_DOCENTE"/>
    <tableColumn id="3" xr3:uid="{91445C08-984B-4150-8F22-E2895409C3C4}" name="IDENTIFICACION" dataDxfId="11">
      <calculatedColumnFormula>_xlfn.XLOOKUP(TAB_T_DOCE_MAEST[[#This Row],[NOMBRE_DOCENTE]],MDOCENTES[DATOS_DOCENTE],MDOCENTES[ID_DOCENTE],"Seleccione Docente")</calculatedColumnFormula>
    </tableColumn>
    <tableColumn id="4" xr3:uid="{E04765FB-9918-4808-A418-82C33F0D0636}" name="MAESTRIA"/>
    <tableColumn id="6" xr3:uid="{4B9D7E28-4160-47A5-BBE3-EE3073FCAD65}" name="VALIDACION " dataDxfId="10">
      <calculatedColumnFormula>IF(COUNTIFS(C:C,C2,D:D,D2)&gt;1,"Docente ya registrado","")</calculatedColumnFormula>
    </tableColumn>
    <tableColumn id="5" xr3:uid="{68978BFC-CB54-4B68-AD71-5AF7B49FCE73}" name="ID_MAESRIA" dataDxfId="9">
      <calculatedColumnFormula>_xlfn.XLOOKUP(TAB_T_DOCE_MAEST[[#This Row],[MAESTRIA]],MAESTRIA[NOMBRE_MAESTRIA],MAESTRIA[ID_MAESTRIA],"Seleccione Maestria")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11F0BD-7B63-4A2C-88E0-0C70156E4893}" name="MAESTRIA" displayName="MAESTRIA" ref="A1:B36" tableType="queryTable" totalsRowShown="0">
  <autoFilter ref="A1:B36" xr:uid="{1F11F0BD-7B63-4A2C-88E0-0C70156E4893}"/>
  <tableColumns count="2">
    <tableColumn id="1" xr3:uid="{B1230A37-EDD7-492B-BE70-77C5F473D1D2}" uniqueName="1" name="ID_MAESTRIA" queryTableFieldId="1" dataDxfId="8"/>
    <tableColumn id="2" xr3:uid="{D88B0A13-560A-4A54-B961-5C048A58A976}" uniqueName="2" name="NOMBRE_MAESTRIA" queryTableFieldId="2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3173B1-A3E0-4C7F-8EC1-14FBA0754139}" name="MDOCENTES" displayName="MDOCENTES" ref="A1:I135" tableType="queryTable" totalsRowShown="0">
  <autoFilter ref="A1:I135" xr:uid="{143173B1-A3E0-4C7F-8EC1-14FBA0754139}"/>
  <tableColumns count="9">
    <tableColumn id="1" xr3:uid="{DFD3C213-DA7F-49C5-9757-F6DB32144DB4}" uniqueName="1" name="ID_DOCENTE" queryTableFieldId="1"/>
    <tableColumn id="2" xr3:uid="{C4FF2016-0D5C-4580-A42C-39AB0A7C3C4E}" uniqueName="2" name="DATOS_DOCENTE" queryTableFieldId="2" dataDxfId="6"/>
    <tableColumn id="3" xr3:uid="{A0E3C587-B037-4111-994E-E73A142D9BA5}" uniqueName="3" name="UNIDAD" queryTableFieldId="3" dataDxfId="5"/>
    <tableColumn id="4" xr3:uid="{0763F22F-9E87-4EDC-9CB8-5D2522E58AA2}" uniqueName="4" name="CORREO" queryTableFieldId="4" dataDxfId="4"/>
    <tableColumn id="5" xr3:uid="{FD4DF961-4D08-4D64-B564-9C1E19A9883E}" uniqueName="5" name="CELULAR" queryTableFieldId="5"/>
    <tableColumn id="6" xr3:uid="{57D93ACB-485A-4661-87F8-B9FB004CC955}" uniqueName="6" name="ESTUDIO" queryTableFieldId="6" dataDxfId="3"/>
    <tableColumn id="7" xr3:uid="{A635D5BB-3983-46BB-88D0-26702CA70ABD}" uniqueName="7" name="DEDICACION" queryTableFieldId="7" dataDxfId="2"/>
    <tableColumn id="8" xr3:uid="{FF7896A5-DA3A-4478-8D8E-7D5ED53789E0}" uniqueName="8" name="Modalidad_TH" queryTableFieldId="8" dataDxfId="1"/>
    <tableColumn id="9" xr3:uid="{968C1824-9C4C-4F21-A9EA-4D7EB667B2E2}" uniqueName="9" name="TIPO SANGR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9"/>
  <sheetViews>
    <sheetView tabSelected="1" topLeftCell="A3" workbookViewId="0">
      <selection activeCell="G39" sqref="G39"/>
    </sheetView>
  </sheetViews>
  <sheetFormatPr defaultRowHeight="15"/>
  <cols>
    <col min="1" max="1" width="14.42578125" customWidth="1"/>
    <col min="2" max="2" width="42.140625" customWidth="1"/>
    <col min="3" max="3" width="14.85546875" customWidth="1"/>
    <col min="4" max="4" width="60.85546875" customWidth="1"/>
    <col min="5" max="5" width="14.85546875" customWidth="1"/>
    <col min="6" max="6" width="2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f>_xlfn.XLOOKUP(TAB_T_DOCE_MAEST[[#This Row],[NOMBRE_DOCENTE]],MDOCENTES[DATOS_DOCENTE],MDOCENTES[ID_DOCENTE],"Seleccione Docente")</f>
        <v>1307077220</v>
      </c>
      <c r="D2" t="s">
        <v>8</v>
      </c>
      <c r="E2" t="str">
        <f>IF(COUNTIFS(C:C,C2,D:D,D2)&gt;1,"Docente ya registrado","")</f>
        <v/>
      </c>
      <c r="F2" t="str">
        <f>_xlfn.XLOOKUP(TAB_T_DOCE_MAEST[[#This Row],[MAESTRIA]],MAESTRIA[NOMBRE_MAESTRIA],MAESTRIA[ID_MAESTRIA],"Seleccione Maestria")</f>
        <v>MAES-DOC-MAG-EN -CON</v>
      </c>
    </row>
    <row r="3" spans="1:6" ht="30.75">
      <c r="A3" t="s">
        <v>9</v>
      </c>
      <c r="B3" t="s">
        <v>10</v>
      </c>
      <c r="C3">
        <f>_xlfn.XLOOKUP(TAB_T_DOCE_MAEST[[#This Row],[NOMBRE_DOCENTE]],MDOCENTES[DATOS_DOCENTE],MDOCENTES[ID_DOCENTE],"Seleccione Docente")</f>
        <v>1313436188</v>
      </c>
      <c r="D3" s="1" t="s">
        <v>11</v>
      </c>
      <c r="E3" t="str">
        <f>IF(COUNTIFS(C:C,C3,D:D,D3)&gt;1,"Docente ya registrado","")</f>
        <v/>
      </c>
      <c r="F3" t="str">
        <f>_xlfn.XLOOKUP(TAB_T_DOCE_MAEST[[#This Row],[MAESTRIA]],MAESTRIA[NOMBRE_MAESTRIA],MAESTRIA[ID_MAESTRIA],"Seleccione Maestria")</f>
        <v>MAES-DOC-MAG-EN -PED</v>
      </c>
    </row>
    <row r="4" spans="1:6" ht="30.75">
      <c r="A4" t="s">
        <v>12</v>
      </c>
      <c r="B4" t="s">
        <v>13</v>
      </c>
      <c r="C4">
        <f>_xlfn.XLOOKUP(TAB_T_DOCE_MAEST[[#This Row],[NOMBRE_DOCENTE]],MDOCENTES[DATOS_DOCENTE],MDOCENTES[ID_DOCENTE],"Seleccione Docente")</f>
        <v>1308294501</v>
      </c>
      <c r="D4" s="1" t="s">
        <v>14</v>
      </c>
      <c r="E4" t="str">
        <f>IF(COUNTIFS(C:C,C4,D:D,D4)&gt;1,"Docente ya registrado","")</f>
        <v/>
      </c>
      <c r="F4" t="str">
        <f>_xlfn.XLOOKUP(TAB_T_DOCE_MAEST[[#This Row],[MAESTRIA]],MAESTRIA[NOMBRE_MAESTRIA],MAESTRIA[ID_MAESTRIA],"Seleccione Maestria")</f>
        <v xml:space="preserve">MAES-DOC-MAG-EJE-EN </v>
      </c>
    </row>
    <row r="5" spans="1:6">
      <c r="A5" t="s">
        <v>15</v>
      </c>
      <c r="B5" t="s">
        <v>16</v>
      </c>
      <c r="C5">
        <f>_xlfn.XLOOKUP(TAB_T_DOCE_MAEST[[#This Row],[NOMBRE_DOCENTE]],MDOCENTES[DATOS_DOCENTE],MDOCENTES[ID_DOCENTE],"Seleccione Docente")</f>
        <v>1304764002</v>
      </c>
      <c r="D5" t="s">
        <v>17</v>
      </c>
      <c r="E5" t="str">
        <f>IF(COUNTIFS(C:C,C5,D:D,D5)&gt;1,"Docente ya registrado","")</f>
        <v/>
      </c>
      <c r="F5" t="str">
        <f>_xlfn.XLOOKUP(TAB_T_DOCE_MAEST[[#This Row],[MAESTRIA]],MAESTRIA[NOMBRE_MAESTRIA],MAESTRIA[ID_MAESTRIA],"Seleccione Maestria")</f>
        <v>MAES-DOC-MAG-EN -FIN</v>
      </c>
    </row>
    <row r="6" spans="1:6">
      <c r="A6" t="s">
        <v>18</v>
      </c>
      <c r="B6" t="s">
        <v>16</v>
      </c>
      <c r="C6">
        <f>_xlfn.XLOOKUP(TAB_T_DOCE_MAEST[[#This Row],[NOMBRE_DOCENTE]],MDOCENTES[DATOS_DOCENTE],MDOCENTES[ID_DOCENTE],"Seleccione Docente")</f>
        <v>1304764002</v>
      </c>
      <c r="D6" t="s">
        <v>19</v>
      </c>
      <c r="E6" t="str">
        <f>IF(COUNTIFS(C:C,C6,D:D,D6)&gt;1,"Docente ya registrado","")</f>
        <v/>
      </c>
      <c r="F6" t="str">
        <f>_xlfn.XLOOKUP(TAB_T_DOCE_MAEST[[#This Row],[MAESTRIA]],MAESTRIA[NOMBRE_MAESTRIA],MAESTRIA[ID_MAESTRIA],"Seleccione Maestria")</f>
        <v>MAES-DOC-MAG-EN -AUD</v>
      </c>
    </row>
    <row r="7" spans="1:6">
      <c r="A7" t="s">
        <v>20</v>
      </c>
      <c r="B7" t="s">
        <v>21</v>
      </c>
      <c r="C7">
        <f>_xlfn.XLOOKUP(TAB_T_DOCE_MAEST[[#This Row],[NOMBRE_DOCENTE]],MDOCENTES[DATOS_DOCENTE],MDOCENTES[ID_DOCENTE],"Seleccione Docente")</f>
        <v>911662674</v>
      </c>
      <c r="D7" t="s">
        <v>22</v>
      </c>
      <c r="E7" t="str">
        <f>IF(COUNTIFS(C:C,C7,D:D,D7)&gt;1,"Docente ya registrado","")</f>
        <v/>
      </c>
      <c r="F7" t="str">
        <f>_xlfn.XLOOKUP(TAB_T_DOCE_MAEST[[#This Row],[MAESTRIA]],MAESTRIA[NOMBRE_MAESTRIA],MAESTRIA[ID_MAESTRIA],"Seleccione Maestria")</f>
        <v>MAES-DOC-MAE-EN -ALT</v>
      </c>
    </row>
    <row r="8" spans="1:6" ht="30.75">
      <c r="A8" t="s">
        <v>23</v>
      </c>
      <c r="B8" t="s">
        <v>21</v>
      </c>
      <c r="C8">
        <f>_xlfn.XLOOKUP(TAB_T_DOCE_MAEST[[#This Row],[NOMBRE_DOCENTE]],MDOCENTES[DATOS_DOCENTE],MDOCENTES[ID_DOCENTE],"Seleccione Docente")</f>
        <v>911662674</v>
      </c>
      <c r="D8" s="1" t="s">
        <v>24</v>
      </c>
      <c r="E8" t="str">
        <f>IF(COUNTIFS(C:C,C8,D:D,D8)&gt;1,"Docente ya registrado","")</f>
        <v/>
      </c>
      <c r="F8" t="str">
        <f>_xlfn.XLOOKUP(TAB_T_DOCE_MAEST[[#This Row],[MAESTRIA]],MAESTRIA[NOMBRE_MAESTRIA],MAESTRIA[ID_MAESTRIA],"Seleccione Maestria")</f>
        <v>MAES-DOC-MAG-EN -ADM</v>
      </c>
    </row>
    <row r="9" spans="1:6">
      <c r="A9" t="s">
        <v>25</v>
      </c>
      <c r="B9" t="s">
        <v>26</v>
      </c>
      <c r="C9">
        <f>_xlfn.XLOOKUP(TAB_T_DOCE_MAEST[[#This Row],[NOMBRE_DOCENTE]],MDOCENTES[DATOS_DOCENTE],MDOCENTES[ID_DOCENTE],"Seleccione Docente")</f>
        <v>1309751582</v>
      </c>
      <c r="D9" t="s">
        <v>27</v>
      </c>
      <c r="E9" t="str">
        <f>IF(COUNTIFS(C:C,C9,D:D,D9)&gt;1,"Docente ya registrado","")</f>
        <v/>
      </c>
      <c r="F9" t="str">
        <f>_xlfn.XLOOKUP(TAB_T_DOCE_MAEST[[#This Row],[MAESTRIA]],MAESTRIA[NOMBRE_MAESTRIA],MAESTRIA[ID_MAESTRIA],"Seleccione Maestria")</f>
        <v>MAES-DOC-MAG-EN -TRI</v>
      </c>
    </row>
    <row r="10" spans="1:6">
      <c r="A10" t="s">
        <v>28</v>
      </c>
      <c r="B10" t="s">
        <v>26</v>
      </c>
      <c r="C10">
        <f>_xlfn.XLOOKUP(TAB_T_DOCE_MAEST[[#This Row],[NOMBRE_DOCENTE]],MDOCENTES[DATOS_DOCENTE],MDOCENTES[ID_DOCENTE],"Seleccione Docente")</f>
        <v>1309751582</v>
      </c>
      <c r="D10" t="s">
        <v>29</v>
      </c>
      <c r="E10" t="str">
        <f>IF(COUNTIFS(C:C,C10,D:D,D10)&gt;1,"Docente ya registrado","")</f>
        <v/>
      </c>
      <c r="F10" t="str">
        <f>_xlfn.XLOOKUP(TAB_T_DOCE_MAEST[[#This Row],[MAESTRIA]],MAESTRIA[NOMBRE_MAESTRIA],MAESTRIA[ID_MAESTRIA],"Seleccione Maestria")</f>
        <v>MAES-DOC-DOC-EN -CIE</v>
      </c>
    </row>
    <row r="11" spans="1:6">
      <c r="A11" t="s">
        <v>30</v>
      </c>
      <c r="B11" t="s">
        <v>31</v>
      </c>
      <c r="C11">
        <f>_xlfn.XLOOKUP(TAB_T_DOCE_MAEST[[#This Row],[NOMBRE_DOCENTE]],MDOCENTES[DATOS_DOCENTE],MDOCENTES[ID_DOCENTE],"Seleccione Docente")</f>
        <v>1309499521</v>
      </c>
      <c r="D11" t="s">
        <v>32</v>
      </c>
      <c r="E11" t="str">
        <f>IF(COUNTIFS(C:C,C11,D:D,D11)&gt;1,"Docente ya registrado","")</f>
        <v/>
      </c>
      <c r="F11" t="str">
        <f>_xlfn.XLOOKUP(TAB_T_DOCE_MAEST[[#This Row],[MAESTRIA]],MAESTRIA[NOMBRE_MAESTRIA],MAESTRIA[ID_MAESTRIA],"Seleccione Maestria")</f>
        <v>MAES-DOC-MAG-EN -AUD</v>
      </c>
    </row>
    <row r="12" spans="1:6">
      <c r="A12" t="s">
        <v>33</v>
      </c>
      <c r="B12" t="s">
        <v>34</v>
      </c>
      <c r="C12">
        <f>_xlfn.XLOOKUP(TAB_T_DOCE_MAEST[[#This Row],[NOMBRE_DOCENTE]],MDOCENTES[DATOS_DOCENTE],MDOCENTES[ID_DOCENTE],"Seleccione Docente")</f>
        <v>1306306000</v>
      </c>
      <c r="D12" t="s">
        <v>35</v>
      </c>
      <c r="E12" t="str">
        <f>IF(COUNTIFS(C:C,C12,D:D,D12)&gt;1,"Docente ya registrado","")</f>
        <v/>
      </c>
      <c r="F12" t="str">
        <f>_xlfn.XLOOKUP(TAB_T_DOCE_MAEST[[#This Row],[MAESTRIA]],MAESTRIA[NOMBRE_MAESTRIA],MAESTRIA[ID_MAESTRIA],"Seleccione Maestria")</f>
        <v>MAES-DOC-MAG-EN -EDU</v>
      </c>
    </row>
    <row r="13" spans="1:6">
      <c r="A13" t="s">
        <v>36</v>
      </c>
      <c r="B13" t="s">
        <v>37</v>
      </c>
      <c r="C13">
        <f>_xlfn.XLOOKUP(TAB_T_DOCE_MAEST[[#This Row],[NOMBRE_DOCENTE]],MDOCENTES[DATOS_DOCENTE],MDOCENTES[ID_DOCENTE],"Seleccione Docente")</f>
        <v>1305904797</v>
      </c>
      <c r="D13" t="s">
        <v>27</v>
      </c>
      <c r="E13" t="str">
        <f>IF(COUNTIFS(C:C,C13,D:D,D13)&gt;1,"Docente ya registrado","")</f>
        <v/>
      </c>
      <c r="F13" t="str">
        <f>_xlfn.XLOOKUP(TAB_T_DOCE_MAEST[[#This Row],[MAESTRIA]],MAESTRIA[NOMBRE_MAESTRIA],MAESTRIA[ID_MAESTRIA],"Seleccione Maestria")</f>
        <v>MAES-DOC-MAG-EN -TRI</v>
      </c>
    </row>
    <row r="14" spans="1:6">
      <c r="A14" t="s">
        <v>38</v>
      </c>
      <c r="B14" t="s">
        <v>39</v>
      </c>
      <c r="C14">
        <f>_xlfn.XLOOKUP(TAB_T_DOCE_MAEST[[#This Row],[NOMBRE_DOCENTE]],MDOCENTES[DATOS_DOCENTE],MDOCENTES[ID_DOCENTE],"Seleccione Docente")</f>
        <v>801939851</v>
      </c>
      <c r="D14" t="s">
        <v>40</v>
      </c>
      <c r="E14" t="str">
        <f>IF(COUNTIFS(C:C,C14,D:D,D14)&gt;1,"Docente ya registrado","")</f>
        <v/>
      </c>
      <c r="F14" t="str">
        <f>_xlfn.XLOOKUP(TAB_T_DOCE_MAEST[[#This Row],[MAESTRIA]],MAESTRIA[NOMBRE_MAESTRIA],MAESTRIA[ID_MAESTRIA],"Seleccione Maestria")</f>
        <v>MAES-DOC-MAG-EN -FIN</v>
      </c>
    </row>
    <row r="15" spans="1:6">
      <c r="A15" t="s">
        <v>41</v>
      </c>
      <c r="B15" t="s">
        <v>42</v>
      </c>
      <c r="C15">
        <f>_xlfn.XLOOKUP(TAB_T_DOCE_MAEST[[#This Row],[NOMBRE_DOCENTE]],MDOCENTES[DATOS_DOCENTE],MDOCENTES[ID_DOCENTE],"Seleccione Docente")</f>
        <v>1311724569</v>
      </c>
      <c r="D15" t="s">
        <v>43</v>
      </c>
      <c r="E15" t="str">
        <f>IF(COUNTIFS(C:C,C15,D:D,D15)&gt;1,"Docente ya registrado","")</f>
        <v/>
      </c>
      <c r="F15" t="str">
        <f>_xlfn.XLOOKUP(TAB_T_DOCE_MAEST[[#This Row],[MAESTRIA]],MAESTRIA[NOMBRE_MAESTRIA],MAESTRIA[ID_MAESTRIA],"Seleccione Maestria")</f>
        <v>MAES-DOC-MAG-EN -ADM</v>
      </c>
    </row>
    <row r="16" spans="1:6">
      <c r="A16" t="s">
        <v>44</v>
      </c>
      <c r="B16" t="s">
        <v>45</v>
      </c>
      <c r="C16">
        <f>_xlfn.XLOOKUP(TAB_T_DOCE_MAEST[[#This Row],[NOMBRE_DOCENTE]],MDOCENTES[DATOS_DOCENTE],MDOCENTES[ID_DOCENTE],"Seleccione Docente")</f>
        <v>1306183573</v>
      </c>
      <c r="D16" t="s">
        <v>46</v>
      </c>
      <c r="E16" t="str">
        <f>IF(COUNTIFS(C:C,C16,D:D,D16)&gt;1,"Docente ya registrado","")</f>
        <v/>
      </c>
      <c r="F16" t="str">
        <f>_xlfn.XLOOKUP(TAB_T_DOCE_MAEST[[#This Row],[MAESTRIA]],MAESTRIA[NOMBRE_MAESTRIA],MAESTRIA[ID_MAESTRIA],"Seleccione Maestria")</f>
        <v>MAES-DOC-MAG-EN -FIN</v>
      </c>
    </row>
    <row r="17" spans="1:6">
      <c r="A17" t="s">
        <v>47</v>
      </c>
      <c r="B17" t="s">
        <v>48</v>
      </c>
      <c r="C17">
        <f>_xlfn.XLOOKUP(TAB_T_DOCE_MAEST[[#This Row],[NOMBRE_DOCENTE]],MDOCENTES[DATOS_DOCENTE],MDOCENTES[ID_DOCENTE],"Seleccione Docente")</f>
        <v>1311966418</v>
      </c>
      <c r="D17" t="s">
        <v>49</v>
      </c>
      <c r="E17" t="str">
        <f>IF(COUNTIFS(C:C,C17,D:D,D17)&gt;1,"Docente ya registrado","")</f>
        <v/>
      </c>
      <c r="F17" t="str">
        <f>_xlfn.XLOOKUP(TAB_T_DOCE_MAEST[[#This Row],[MAESTRIA]],MAESTRIA[NOMBRE_MAESTRIA],MAESTRIA[ID_MAESTRIA],"Seleccione Maestria")</f>
        <v>MAES-DOC-MAG-EN -GES</v>
      </c>
    </row>
    <row r="18" spans="1:6" ht="30.75">
      <c r="A18" t="s">
        <v>50</v>
      </c>
      <c r="B18" t="s">
        <v>51</v>
      </c>
      <c r="C18">
        <f>_xlfn.XLOOKUP(TAB_T_DOCE_MAEST[[#This Row],[NOMBRE_DOCENTE]],MDOCENTES[DATOS_DOCENTE],MDOCENTES[ID_DOCENTE],"Seleccione Docente")</f>
        <v>1309704565</v>
      </c>
      <c r="D18" s="1" t="s">
        <v>52</v>
      </c>
      <c r="E18" t="str">
        <f>IF(COUNTIFS(C:C,C18,D:D,D18)&gt;1,"Docente ya registrado","")</f>
        <v/>
      </c>
      <c r="F18" t="str">
        <f>_xlfn.XLOOKUP(TAB_T_DOCE_MAEST[[#This Row],[MAESTRIA]],MAESTRIA[NOMBRE_MAESTRIA],MAESTRIA[ID_MAESTRIA],"Seleccione Maestria")</f>
        <v>MAES-DOC-MAG-EN -CON</v>
      </c>
    </row>
    <row r="19" spans="1:6" ht="30.75">
      <c r="A19" t="s">
        <v>53</v>
      </c>
      <c r="B19" t="s">
        <v>54</v>
      </c>
      <c r="C19">
        <f>_xlfn.XLOOKUP(TAB_T_DOCE_MAEST[[#This Row],[NOMBRE_DOCENTE]],MDOCENTES[DATOS_DOCENTE],MDOCENTES[ID_DOCENTE],"Seleccione Docente")</f>
        <v>1310474414</v>
      </c>
      <c r="D19" s="1" t="s">
        <v>55</v>
      </c>
      <c r="E19" t="str">
        <f>IF(COUNTIFS(C:C,C19,D:D,D19)&gt;1,"Docente ya registrado","")</f>
        <v/>
      </c>
      <c r="F19" t="str">
        <f>_xlfn.XLOOKUP(TAB_T_DOCE_MAEST[[#This Row],[MAESTRIA]],MAESTRIA[NOMBRE_MAESTRIA],MAESTRIA[ID_MAESTRIA],"Seleccione Maestria")</f>
        <v>MAES-DOC-MAG-EN -ADM</v>
      </c>
    </row>
    <row r="20" spans="1:6" ht="30.75">
      <c r="A20" t="s">
        <v>56</v>
      </c>
      <c r="B20" t="s">
        <v>54</v>
      </c>
      <c r="C20">
        <f>_xlfn.XLOOKUP(TAB_T_DOCE_MAEST[[#This Row],[NOMBRE_DOCENTE]],MDOCENTES[DATOS_DOCENTE],MDOCENTES[ID_DOCENTE],"Seleccione Docente")</f>
        <v>1310474414</v>
      </c>
      <c r="D20" s="1" t="s">
        <v>57</v>
      </c>
      <c r="E20" t="str">
        <f>IF(COUNTIFS(C:C,C20,D:D,D20)&gt;1,"Docente ya registrado","")</f>
        <v/>
      </c>
      <c r="F20" t="str">
        <f>_xlfn.XLOOKUP(TAB_T_DOCE_MAEST[[#This Row],[MAESTRIA]],MAESTRIA[NOMBRE_MAESTRIA],MAESTRIA[ID_MAESTRIA],"Seleccione Maestria")</f>
        <v>MAES-DOC-DOC-DEN-DEL</v>
      </c>
    </row>
    <row r="21" spans="1:6" ht="30.75">
      <c r="A21" t="s">
        <v>58</v>
      </c>
      <c r="B21" t="s">
        <v>54</v>
      </c>
      <c r="C21">
        <f>_xlfn.XLOOKUP(TAB_T_DOCE_MAEST[[#This Row],[NOMBRE_DOCENTE]],MDOCENTES[DATOS_DOCENTE],MDOCENTES[ID_DOCENTE],"Seleccione Docente")</f>
        <v>1310474414</v>
      </c>
      <c r="D21" s="1" t="s">
        <v>59</v>
      </c>
      <c r="E21" t="str">
        <f>IF(COUNTIFS(C:C,C21,D:D,D21)&gt;1,"Docente ya registrado","")</f>
        <v/>
      </c>
      <c r="F21" t="str">
        <f>_xlfn.XLOOKUP(TAB_T_DOCE_MAEST[[#This Row],[MAESTRIA]],MAESTRIA[NOMBRE_MAESTRIA],MAESTRIA[ID_MAESTRIA],"Seleccione Maestria")</f>
        <v>MAES-DOC-MAG-EN -CON</v>
      </c>
    </row>
    <row r="22" spans="1:6" ht="30.75">
      <c r="A22" t="s">
        <v>60</v>
      </c>
      <c r="B22" t="s">
        <v>61</v>
      </c>
      <c r="C22">
        <f>_xlfn.XLOOKUP(TAB_T_DOCE_MAEST[[#This Row],[NOMBRE_DOCENTE]],MDOCENTES[DATOS_DOCENTE],MDOCENTES[ID_DOCENTE],"Seleccione Docente")</f>
        <v>1310563497</v>
      </c>
      <c r="D22" s="1" t="s">
        <v>55</v>
      </c>
      <c r="E22" t="str">
        <f>IF(COUNTIFS(C:C,C22,D:D,D22)&gt;1,"Docente ya registrado","")</f>
        <v/>
      </c>
      <c r="F22" t="str">
        <f>_xlfn.XLOOKUP(TAB_T_DOCE_MAEST[[#This Row],[MAESTRIA]],MAESTRIA[NOMBRE_MAESTRIA],MAESTRIA[ID_MAESTRIA],"Seleccione Maestria")</f>
        <v>MAES-DOC-MAG-EN -ADM</v>
      </c>
    </row>
    <row r="23" spans="1:6" ht="30.75">
      <c r="A23" t="s">
        <v>62</v>
      </c>
      <c r="B23" t="s">
        <v>63</v>
      </c>
      <c r="C23">
        <f>_xlfn.XLOOKUP(TAB_T_DOCE_MAEST[[#This Row],[NOMBRE_DOCENTE]],MDOCENTES[DATOS_DOCENTE],MDOCENTES[ID_DOCENTE],"Seleccione Docente")</f>
        <v>1312874314</v>
      </c>
      <c r="D23" s="1" t="s">
        <v>52</v>
      </c>
      <c r="E23" t="str">
        <f>IF(COUNTIFS(C:C,C23,D:D,D23)&gt;1,"Docente ya registrado","")</f>
        <v/>
      </c>
      <c r="F23" t="str">
        <f>_xlfn.XLOOKUP(TAB_T_DOCE_MAEST[[#This Row],[MAESTRIA]],MAESTRIA[NOMBRE_MAESTRIA],MAESTRIA[ID_MAESTRIA],"Seleccione Maestria")</f>
        <v>MAES-DOC-MAG-EN -CON</v>
      </c>
    </row>
    <row r="24" spans="1:6" ht="30.75">
      <c r="A24" t="s">
        <v>64</v>
      </c>
      <c r="B24" t="s">
        <v>65</v>
      </c>
      <c r="C24">
        <f>_xlfn.XLOOKUP(TAB_T_DOCE_MAEST[[#This Row],[NOMBRE_DOCENTE]],MDOCENTES[DATOS_DOCENTE],MDOCENTES[ID_DOCENTE],"Seleccione Docente")</f>
        <v>1307048296</v>
      </c>
      <c r="D24" s="1" t="s">
        <v>66</v>
      </c>
      <c r="E24" t="str">
        <f>IF(COUNTIFS(C:C,C24,D:D,D24)&gt;1,"Docente ya registrado","")</f>
        <v/>
      </c>
      <c r="F24" t="str">
        <f>_xlfn.XLOOKUP(TAB_T_DOCE_MAEST[[#This Row],[MAESTRIA]],MAESTRIA[NOMBRE_MAESTRIA],MAESTRIA[ID_MAESTRIA],"Seleccione Maestria")</f>
        <v>MAES-DOC-MAG-EN -ADM</v>
      </c>
    </row>
    <row r="25" spans="1:6" ht="30.75">
      <c r="A25" t="s">
        <v>67</v>
      </c>
      <c r="B25" t="s">
        <v>68</v>
      </c>
      <c r="C25">
        <f>_xlfn.XLOOKUP(TAB_T_DOCE_MAEST[[#This Row],[NOMBRE_DOCENTE]],MDOCENTES[DATOS_DOCENTE],MDOCENTES[ID_DOCENTE],"Seleccione Docente")</f>
        <v>1304549452</v>
      </c>
      <c r="D25" s="1" t="s">
        <v>52</v>
      </c>
      <c r="E25" t="str">
        <f>IF(COUNTIFS(C:C,C25,D:D,D25)&gt;1,"Docente ya registrado","")</f>
        <v/>
      </c>
      <c r="F25" t="str">
        <f>_xlfn.XLOOKUP(TAB_T_DOCE_MAEST[[#This Row],[MAESTRIA]],MAESTRIA[NOMBRE_MAESTRIA],MAESTRIA[ID_MAESTRIA],"Seleccione Maestria")</f>
        <v>MAES-DOC-MAG-EN -CON</v>
      </c>
    </row>
    <row r="26" spans="1:6">
      <c r="A26" t="s">
        <v>69</v>
      </c>
      <c r="B26" t="s">
        <v>70</v>
      </c>
      <c r="C26">
        <f>_xlfn.XLOOKUP(TAB_T_DOCE_MAEST[[#This Row],[NOMBRE_DOCENTE]],MDOCENTES[DATOS_DOCENTE],MDOCENTES[ID_DOCENTE],"Seleccione Docente")</f>
        <v>1310314602</v>
      </c>
      <c r="D26" t="s">
        <v>71</v>
      </c>
      <c r="E26" t="str">
        <f>IF(COUNTIFS(C:C,C26,D:D,D26)&gt;1,"Docente ya registrado","")</f>
        <v/>
      </c>
      <c r="F26" t="str">
        <f>_xlfn.XLOOKUP(TAB_T_DOCE_MAEST[[#This Row],[MAESTRIA]],MAESTRIA[NOMBRE_MAESTRIA],MAESTRIA[ID_MAESTRIA],"Seleccione Maestria")</f>
        <v>MAES-DOC-MAG-EN -GES</v>
      </c>
    </row>
    <row r="27" spans="1:6">
      <c r="A27" t="s">
        <v>72</v>
      </c>
      <c r="B27" t="s">
        <v>73</v>
      </c>
      <c r="C27">
        <f>_xlfn.XLOOKUP(TAB_T_DOCE_MAEST[[#This Row],[NOMBRE_DOCENTE]],MDOCENTES[DATOS_DOCENTE],MDOCENTES[ID_DOCENTE],"Seleccione Docente")</f>
        <v>1305955856</v>
      </c>
      <c r="D27" t="s">
        <v>29</v>
      </c>
      <c r="E27" t="str">
        <f>IF(COUNTIFS(C:C,C27,D:D,D27)&gt;1,"Docente ya registrado","")</f>
        <v/>
      </c>
      <c r="F27" t="str">
        <f>_xlfn.XLOOKUP(TAB_T_DOCE_MAEST[[#This Row],[MAESTRIA]],MAESTRIA[NOMBRE_MAESTRIA],MAESTRIA[ID_MAESTRIA],"Seleccione Maestria")</f>
        <v>MAES-DOC-DOC-EN -CIE</v>
      </c>
    </row>
    <row r="28" spans="1:6" ht="30.75">
      <c r="A28" t="s">
        <v>74</v>
      </c>
      <c r="B28" t="s">
        <v>73</v>
      </c>
      <c r="C28">
        <f>_xlfn.XLOOKUP(TAB_T_DOCE_MAEST[[#This Row],[NOMBRE_DOCENTE]],MDOCENTES[DATOS_DOCENTE],MDOCENTES[ID_DOCENTE],"Seleccione Docente")</f>
        <v>1305955856</v>
      </c>
      <c r="D28" s="1" t="s">
        <v>75</v>
      </c>
      <c r="E28" t="str">
        <f>IF(COUNTIFS(C:C,C28,D:D,D28)&gt;1,"Docente ya registrado","")</f>
        <v/>
      </c>
      <c r="F28" t="str">
        <f>_xlfn.XLOOKUP(TAB_T_DOCE_MAEST[[#This Row],[MAESTRIA]],MAESTRIA[NOMBRE_MAESTRIA],MAESTRIA[ID_MAESTRIA],"Seleccione Maestria")</f>
        <v>MAES-DOC-MAG-EN -ADM</v>
      </c>
    </row>
    <row r="29" spans="1:6">
      <c r="A29" t="s">
        <v>76</v>
      </c>
      <c r="B29" t="s">
        <v>77</v>
      </c>
      <c r="C29">
        <f>_xlfn.XLOOKUP(TAB_T_DOCE_MAEST[[#This Row],[NOMBRE_DOCENTE]],MDOCENTES[DATOS_DOCENTE],MDOCENTES[ID_DOCENTE],"Seleccione Docente")</f>
        <v>1305058859</v>
      </c>
      <c r="D29" t="s">
        <v>78</v>
      </c>
      <c r="E29" t="str">
        <f>IF(COUNTIFS(C:C,C29,D:D,D29)&gt;1,"Docente ya registrado","")</f>
        <v/>
      </c>
      <c r="F29" t="str">
        <f>_xlfn.XLOOKUP(TAB_T_DOCE_MAEST[[#This Row],[MAESTRIA]],MAESTRIA[NOMBRE_MAESTRIA],MAESTRIA[ID_MAESTRIA],"Seleccione Maestria")</f>
        <v>MAES-DOC-MAG-EN -AUD</v>
      </c>
    </row>
    <row r="30" spans="1:6">
      <c r="A30" t="s">
        <v>79</v>
      </c>
      <c r="B30" t="s">
        <v>80</v>
      </c>
      <c r="C30">
        <f>_xlfn.XLOOKUP(TAB_T_DOCE_MAEST[[#This Row],[NOMBRE_DOCENTE]],MDOCENTES[DATOS_DOCENTE],MDOCENTES[ID_DOCENTE],"Seleccione Docente")</f>
        <v>802191734</v>
      </c>
      <c r="D30" t="s">
        <v>19</v>
      </c>
      <c r="E30" t="str">
        <f>IF(COUNTIFS(C:C,C30,D:D,D30)&gt;1,"Docente ya registrado","")</f>
        <v/>
      </c>
      <c r="F30" t="str">
        <f>_xlfn.XLOOKUP(TAB_T_DOCE_MAEST[[#This Row],[MAESTRIA]],MAESTRIA[NOMBRE_MAESTRIA],MAESTRIA[ID_MAESTRIA],"Seleccione Maestria")</f>
        <v>MAES-DOC-MAG-EN -AUD</v>
      </c>
    </row>
    <row r="31" spans="1:6">
      <c r="A31" t="s">
        <v>81</v>
      </c>
      <c r="B31" t="s">
        <v>82</v>
      </c>
      <c r="C31">
        <f>_xlfn.XLOOKUP(TAB_T_DOCE_MAEST[[#This Row],[NOMBRE_DOCENTE]],MDOCENTES[DATOS_DOCENTE],MDOCENTES[ID_DOCENTE],"Seleccione Docente")</f>
        <v>1308368230</v>
      </c>
      <c r="D31" t="s">
        <v>43</v>
      </c>
      <c r="E31" t="str">
        <f>IF(COUNTIFS(C:C,C31,D:D,D31)&gt;1,"Docente ya registrado","")</f>
        <v/>
      </c>
      <c r="F31" t="str">
        <f>_xlfn.XLOOKUP(TAB_T_DOCE_MAEST[[#This Row],[MAESTRIA]],MAESTRIA[NOMBRE_MAESTRIA],MAESTRIA[ID_MAESTRIA],"Seleccione Maestria")</f>
        <v>MAES-DOC-MAG-EN -ADM</v>
      </c>
    </row>
    <row r="32" spans="1:6" ht="30.75">
      <c r="A32" t="s">
        <v>83</v>
      </c>
      <c r="B32" t="s">
        <v>82</v>
      </c>
      <c r="C32">
        <f>_xlfn.XLOOKUP(TAB_T_DOCE_MAEST[[#This Row],[NOMBRE_DOCENTE]],MDOCENTES[DATOS_DOCENTE],MDOCENTES[ID_DOCENTE],"Seleccione Docente")</f>
        <v>1308368230</v>
      </c>
      <c r="D32" s="1" t="s">
        <v>84</v>
      </c>
      <c r="E32" t="str">
        <f>IF(COUNTIFS(C:C,C32,D:D,D32)&gt;1,"Docente ya registrado","")</f>
        <v/>
      </c>
      <c r="F32" t="str">
        <f>_xlfn.XLOOKUP(TAB_T_DOCE_MAEST[[#This Row],[MAESTRIA]],MAESTRIA[NOMBRE_MAESTRIA],MAESTRIA[ID_MAESTRIA],"Seleccione Maestria")</f>
        <v>MAES-DOC-MAG-EN -DER</v>
      </c>
    </row>
    <row r="33" spans="1:6" ht="30.75">
      <c r="A33" t="s">
        <v>85</v>
      </c>
      <c r="B33" t="s">
        <v>82</v>
      </c>
      <c r="C33">
        <f>_xlfn.XLOOKUP(TAB_T_DOCE_MAEST[[#This Row],[NOMBRE_DOCENTE]],MDOCENTES[DATOS_DOCENTE],MDOCENTES[ID_DOCENTE],"Seleccione Docente")</f>
        <v>1308368230</v>
      </c>
      <c r="D33" s="1" t="s">
        <v>86</v>
      </c>
      <c r="E33" t="str">
        <f>IF(COUNTIFS(C:C,C33,D:D,D33)&gt;1,"Docente ya registrado","")</f>
        <v/>
      </c>
      <c r="F33" t="str">
        <f>_xlfn.XLOOKUP(TAB_T_DOCE_MAEST[[#This Row],[MAESTRIA]],MAESTRIA[NOMBRE_MAESTRIA],MAESTRIA[ID_MAESTRIA],"Seleccione Maestria")</f>
        <v>MAES-DOC-MAG-EN -CON</v>
      </c>
    </row>
    <row r="34" spans="1:6">
      <c r="A34" t="s">
        <v>87</v>
      </c>
      <c r="B34" t="s">
        <v>88</v>
      </c>
      <c r="C34">
        <f>_xlfn.XLOOKUP(TAB_T_DOCE_MAEST[[#This Row],[NOMBRE_DOCENTE]],MDOCENTES[DATOS_DOCENTE],MDOCENTES[ID_DOCENTE],"Seleccione Docente")</f>
        <v>1311936239</v>
      </c>
      <c r="D34" t="s">
        <v>32</v>
      </c>
      <c r="E34" t="str">
        <f>IF(COUNTIFS(C:C,C34,D:D,D34)&gt;1,"Docente ya registrado","")</f>
        <v/>
      </c>
      <c r="F34" t="str">
        <f>_xlfn.XLOOKUP(TAB_T_DOCE_MAEST[[#This Row],[MAESTRIA]],MAESTRIA[NOMBRE_MAESTRIA],MAESTRIA[ID_MAESTRIA],"Seleccione Maestria")</f>
        <v>MAES-DOC-MAG-EN -AUD</v>
      </c>
    </row>
    <row r="35" spans="1:6">
      <c r="A35" t="s">
        <v>89</v>
      </c>
      <c r="B35" t="s">
        <v>90</v>
      </c>
      <c r="C35">
        <f>_xlfn.XLOOKUP(TAB_T_DOCE_MAEST[[#This Row],[NOMBRE_DOCENTE]],MDOCENTES[DATOS_DOCENTE],MDOCENTES[ID_DOCENTE],"Seleccione Docente")</f>
        <v>1307597201</v>
      </c>
      <c r="D35" t="s">
        <v>78</v>
      </c>
      <c r="E35" t="str">
        <f>IF(COUNTIFS(C:C,C35,D:D,D35)&gt;1,"Docente ya registrado","")</f>
        <v/>
      </c>
      <c r="F35" t="str">
        <f>_xlfn.XLOOKUP(TAB_T_DOCE_MAEST[[#This Row],[MAESTRIA]],MAESTRIA[NOMBRE_MAESTRIA],MAESTRIA[ID_MAESTRIA],"Seleccione Maestria")</f>
        <v>MAES-DOC-MAG-EN -AUD</v>
      </c>
    </row>
    <row r="36" spans="1:6">
      <c r="A36" t="s">
        <v>91</v>
      </c>
      <c r="B36" t="s">
        <v>92</v>
      </c>
      <c r="C36">
        <f>_xlfn.XLOOKUP(TAB_T_DOCE_MAEST[[#This Row],[NOMBRE_DOCENTE]],MDOCENTES[DATOS_DOCENTE],MDOCENTES[ID_DOCENTE],"Seleccione Docente")</f>
        <v>1306795087</v>
      </c>
      <c r="D36" t="s">
        <v>93</v>
      </c>
      <c r="E36" t="str">
        <f>IF(COUNTIFS(C:C,C36,D:D,D36)&gt;1,"Docente ya registrado","")</f>
        <v/>
      </c>
      <c r="F36" t="str">
        <f>_xlfn.XLOOKUP(TAB_T_DOCE_MAEST[[#This Row],[MAESTRIA]],MAESTRIA[NOMBRE_MAESTRIA],MAESTRIA[ID_MAESTRIA],"Seleccione Maestria")</f>
        <v>MAES-DOC-MAG-EN -GES</v>
      </c>
    </row>
    <row r="37" spans="1:6">
      <c r="A37" t="s">
        <v>94</v>
      </c>
      <c r="B37" t="s">
        <v>92</v>
      </c>
      <c r="C37">
        <f>_xlfn.XLOOKUP(TAB_T_DOCE_MAEST[[#This Row],[NOMBRE_DOCENTE]],MDOCENTES[DATOS_DOCENTE],MDOCENTES[ID_DOCENTE],"Seleccione Docente")</f>
        <v>1306795087</v>
      </c>
      <c r="D37" t="s">
        <v>95</v>
      </c>
      <c r="E37" t="str">
        <f>IF(COUNTIFS(C:C,C37,D:D,D37)&gt;1,"Docente ya registrado","")</f>
        <v/>
      </c>
      <c r="F37" t="str">
        <f>_xlfn.XLOOKUP(TAB_T_DOCE_MAEST[[#This Row],[MAESTRIA]],MAESTRIA[NOMBRE_MAESTRIA],MAESTRIA[ID_MAESTRIA],"Seleccione Maestria")</f>
        <v>MAES-DOC-MAG-EN -GER</v>
      </c>
    </row>
    <row r="38" spans="1:6" ht="30.75">
      <c r="A38" t="s">
        <v>96</v>
      </c>
      <c r="B38" t="s">
        <v>92</v>
      </c>
      <c r="C38">
        <f>_xlfn.XLOOKUP(TAB_T_DOCE_MAEST[[#This Row],[NOMBRE_DOCENTE]],MDOCENTES[DATOS_DOCENTE],MDOCENTES[ID_DOCENTE],"Seleccione Docente")</f>
        <v>1306795087</v>
      </c>
      <c r="D38" s="1" t="s">
        <v>97</v>
      </c>
      <c r="E38" t="str">
        <f>IF(COUNTIFS(C:C,C38,D:D,D38)&gt;1,"Docente ya registrado","")</f>
        <v/>
      </c>
      <c r="F38" t="str">
        <f>_xlfn.XLOOKUP(TAB_T_DOCE_MAEST[[#This Row],[MAESTRIA]],MAESTRIA[NOMBRE_MAESTRIA],MAESTRIA[ID_MAESTRIA],"Seleccione Maestria")</f>
        <v>MAES-DOC-MAG-EN -ADM</v>
      </c>
    </row>
    <row r="39" spans="1:6" ht="30.75">
      <c r="A39" t="s">
        <v>98</v>
      </c>
      <c r="B39" t="s">
        <v>92</v>
      </c>
      <c r="C39">
        <f>_xlfn.XLOOKUP(TAB_T_DOCE_MAEST[[#This Row],[NOMBRE_DOCENTE]],MDOCENTES[DATOS_DOCENTE],MDOCENTES[ID_DOCENTE],"Seleccione Docente")</f>
        <v>1306795087</v>
      </c>
      <c r="D39" s="1" t="s">
        <v>57</v>
      </c>
      <c r="E39" t="str">
        <f>IF(COUNTIFS(C:C,C39,D:D,D39)&gt;1,"Docente ya registrado","")</f>
        <v/>
      </c>
      <c r="F39" t="str">
        <f>_xlfn.XLOOKUP(TAB_T_DOCE_MAEST[[#This Row],[MAESTRIA]],MAESTRIA[NOMBRE_MAESTRIA],MAESTRIA[ID_MAESTRIA],"Seleccione Maestria")</f>
        <v>MAES-DOC-DOC-DEN-DEL</v>
      </c>
    </row>
    <row r="40" spans="1:6">
      <c r="A40" t="s">
        <v>99</v>
      </c>
      <c r="B40" t="s">
        <v>100</v>
      </c>
      <c r="C40">
        <f>_xlfn.XLOOKUP(TAB_T_DOCE_MAEST[[#This Row],[NOMBRE_DOCENTE]],MDOCENTES[DATOS_DOCENTE],MDOCENTES[ID_DOCENTE],"Seleccione Docente")</f>
        <v>1312179870</v>
      </c>
      <c r="D40" t="s">
        <v>93</v>
      </c>
      <c r="E40" t="str">
        <f>IF(COUNTIFS(C:C,C40,D:D,D40)&gt;1,"Docente ya registrado","")</f>
        <v/>
      </c>
      <c r="F40" t="str">
        <f>_xlfn.XLOOKUP(TAB_T_DOCE_MAEST[[#This Row],[MAESTRIA]],MAESTRIA[NOMBRE_MAESTRIA],MAESTRIA[ID_MAESTRIA],"Seleccione Maestria")</f>
        <v>MAES-DOC-MAG-EN -GES</v>
      </c>
    </row>
    <row r="41" spans="1:6">
      <c r="A41" t="s">
        <v>101</v>
      </c>
      <c r="B41" t="s">
        <v>102</v>
      </c>
      <c r="C41">
        <f>_xlfn.XLOOKUP(TAB_T_DOCE_MAEST[[#This Row],[NOMBRE_DOCENTE]],MDOCENTES[DATOS_DOCENTE],MDOCENTES[ID_DOCENTE],"Seleccione Docente")</f>
        <v>1311778698</v>
      </c>
      <c r="D41" t="s">
        <v>32</v>
      </c>
      <c r="E41" t="str">
        <f>IF(COUNTIFS(C:C,C41,D:D,D41)&gt;1,"Docente ya registrado","")</f>
        <v/>
      </c>
      <c r="F41" t="str">
        <f>_xlfn.XLOOKUP(TAB_T_DOCE_MAEST[[#This Row],[MAESTRIA]],MAESTRIA[NOMBRE_MAESTRIA],MAESTRIA[ID_MAESTRIA],"Seleccione Maestria")</f>
        <v>MAES-DOC-MAG-EN -AUD</v>
      </c>
    </row>
    <row r="42" spans="1:6">
      <c r="A42" t="s">
        <v>103</v>
      </c>
      <c r="B42" t="s">
        <v>104</v>
      </c>
      <c r="C42">
        <f>_xlfn.XLOOKUP(TAB_T_DOCE_MAEST[[#This Row],[NOMBRE_DOCENTE]],MDOCENTES[DATOS_DOCENTE],MDOCENTES[ID_DOCENTE],"Seleccione Docente")</f>
        <v>1304685215</v>
      </c>
      <c r="D42" t="s">
        <v>105</v>
      </c>
      <c r="E42" t="str">
        <f>IF(COUNTIFS(C:C,C42,D:D,D42)&gt;1,"Docente ya registrado","")</f>
        <v/>
      </c>
      <c r="F42" t="str">
        <f>_xlfn.XLOOKUP(TAB_T_DOCE_MAEST[[#This Row],[MAESTRIA]],MAESTRIA[NOMBRE_MAESTRIA],MAESTRIA[ID_MAESTRIA],"Seleccione Maestria")</f>
        <v>MAES-DOC-MAS-EN -ADM</v>
      </c>
    </row>
    <row r="43" spans="1:6" ht="30.75">
      <c r="A43" t="s">
        <v>106</v>
      </c>
      <c r="B43" t="s">
        <v>107</v>
      </c>
      <c r="C43">
        <f>_xlfn.XLOOKUP(TAB_T_DOCE_MAEST[[#This Row],[NOMBRE_DOCENTE]],MDOCENTES[DATOS_DOCENTE],MDOCENTES[ID_DOCENTE],"Seleccione Docente")</f>
        <v>1305567610</v>
      </c>
      <c r="D43" s="1" t="s">
        <v>52</v>
      </c>
      <c r="E43" t="str">
        <f>IF(COUNTIFS(C:C,C43,D:D,D43)&gt;1,"Docente ya registrado","")</f>
        <v/>
      </c>
      <c r="F43" t="str">
        <f>_xlfn.XLOOKUP(TAB_T_DOCE_MAEST[[#This Row],[MAESTRIA]],MAESTRIA[NOMBRE_MAESTRIA],MAESTRIA[ID_MAESTRIA],"Seleccione Maestria")</f>
        <v>MAES-DOC-MAG-EN -CON</v>
      </c>
    </row>
    <row r="44" spans="1:6">
      <c r="A44" t="s">
        <v>108</v>
      </c>
      <c r="B44" t="s">
        <v>109</v>
      </c>
      <c r="C44">
        <f>_xlfn.XLOOKUP(TAB_T_DOCE_MAEST[[#This Row],[NOMBRE_DOCENTE]],MDOCENTES[DATOS_DOCENTE],MDOCENTES[ID_DOCENTE],"Seleccione Docente")</f>
        <v>1312718487</v>
      </c>
      <c r="D44" s="1" t="s">
        <v>110</v>
      </c>
      <c r="E44" t="str">
        <f>IF(COUNTIFS(C:C,C44,D:D,D44)&gt;1,"Docente ya registrado","")</f>
        <v/>
      </c>
      <c r="F44" t="str">
        <f>_xlfn.XLOOKUP(TAB_T_DOCE_MAEST[[#This Row],[MAESTRIA]],MAESTRIA[NOMBRE_MAESTRIA],MAESTRIA[ID_MAESTRIA],"Seleccione Maestria")</f>
        <v>MAES-DOC-MAS-UNI-EN</v>
      </c>
    </row>
    <row r="45" spans="1:6" ht="45.75">
      <c r="A45" t="s">
        <v>111</v>
      </c>
      <c r="B45" t="s">
        <v>112</v>
      </c>
      <c r="C45">
        <f>_xlfn.XLOOKUP(TAB_T_DOCE_MAEST[[#This Row],[NOMBRE_DOCENTE]],MDOCENTES[DATOS_DOCENTE],MDOCENTES[ID_DOCENTE],"Seleccione Docente")</f>
        <v>1315243376</v>
      </c>
      <c r="D45" s="1" t="s">
        <v>113</v>
      </c>
      <c r="E45" t="str">
        <f>IF(COUNTIFS(C:C,C45,D:D,D45)&gt;1,"Docente ya registrado","")</f>
        <v/>
      </c>
      <c r="F45" t="str">
        <f>_xlfn.XLOOKUP(TAB_T_DOCE_MAEST[[#This Row],[MAESTRIA]],MAESTRIA[NOMBRE_MAESTRIA],MAESTRIA[ID_MAESTRIA],"Seleccione Maestria")</f>
        <v>MAES-DOC-MAS-UNI-EN</v>
      </c>
    </row>
    <row r="46" spans="1:6" ht="30.75">
      <c r="A46" t="s">
        <v>114</v>
      </c>
      <c r="B46" t="s">
        <v>112</v>
      </c>
      <c r="C46">
        <f>_xlfn.XLOOKUP(TAB_T_DOCE_MAEST[[#This Row],[NOMBRE_DOCENTE]],MDOCENTES[DATOS_DOCENTE],MDOCENTES[ID_DOCENTE],"Seleccione Docente")</f>
        <v>1315243376</v>
      </c>
      <c r="D46" s="1" t="s">
        <v>59</v>
      </c>
      <c r="E46" t="str">
        <f>IF(COUNTIFS(C:C,C46,D:D,D46)&gt;1,"Docente ya registrado","")</f>
        <v/>
      </c>
      <c r="F46" t="str">
        <f>_xlfn.XLOOKUP(TAB_T_DOCE_MAEST[[#This Row],[MAESTRIA]],MAESTRIA[NOMBRE_MAESTRIA],MAESTRIA[ID_MAESTRIA],"Seleccione Maestria")</f>
        <v>MAES-DOC-MAG-EN -CON</v>
      </c>
    </row>
    <row r="47" spans="1:6" ht="30.75">
      <c r="A47" t="s">
        <v>115</v>
      </c>
      <c r="B47" t="s">
        <v>116</v>
      </c>
      <c r="C47">
        <f>_xlfn.XLOOKUP(TAB_T_DOCE_MAEST[[#This Row],[NOMBRE_DOCENTE]],MDOCENTES[DATOS_DOCENTE],MDOCENTES[ID_DOCENTE],"Seleccione Docente")</f>
        <v>914125430</v>
      </c>
      <c r="D47" s="1" t="s">
        <v>75</v>
      </c>
      <c r="E47" t="str">
        <f>IF(COUNTIFS(C:C,C47,D:D,D47)&gt;1,"Docente ya registrado","")</f>
        <v/>
      </c>
      <c r="F47" t="str">
        <f>_xlfn.XLOOKUP(TAB_T_DOCE_MAEST[[#This Row],[MAESTRIA]],MAESTRIA[NOMBRE_MAESTRIA],MAESTRIA[ID_MAESTRIA],"Seleccione Maestria")</f>
        <v>MAES-DOC-MAG-EN -ADM</v>
      </c>
    </row>
    <row r="48" spans="1:6">
      <c r="A48" t="s">
        <v>117</v>
      </c>
      <c r="B48" t="s">
        <v>116</v>
      </c>
      <c r="C48">
        <f>_xlfn.XLOOKUP(TAB_T_DOCE_MAEST[[#This Row],[NOMBRE_DOCENTE]],MDOCENTES[DATOS_DOCENTE],MDOCENTES[ID_DOCENTE],"Seleccione Docente")</f>
        <v>914125430</v>
      </c>
      <c r="D48" t="s">
        <v>49</v>
      </c>
      <c r="E48" t="str">
        <f>IF(COUNTIFS(C:C,C48,D:D,D48)&gt;1,"Docente ya registrado","")</f>
        <v/>
      </c>
      <c r="F48" t="str">
        <f>_xlfn.XLOOKUP(TAB_T_DOCE_MAEST[[#This Row],[MAESTRIA]],MAESTRIA[NOMBRE_MAESTRIA],MAESTRIA[ID_MAESTRIA],"Seleccione Maestria")</f>
        <v>MAES-DOC-MAG-EN -GES</v>
      </c>
    </row>
    <row r="49" spans="1:6" ht="30.75">
      <c r="A49" t="s">
        <v>118</v>
      </c>
      <c r="B49" t="s">
        <v>119</v>
      </c>
      <c r="C49">
        <f>_xlfn.XLOOKUP(TAB_T_DOCE_MAEST[[#This Row],[NOMBRE_DOCENTE]],MDOCENTES[DATOS_DOCENTE],MDOCENTES[ID_DOCENTE],"Seleccione Docente")</f>
        <v>1313313080</v>
      </c>
      <c r="D49" s="1" t="s">
        <v>120</v>
      </c>
      <c r="E49" t="str">
        <f>IF(COUNTIFS(C:C,C49,D:D,D49)&gt;1,"Docente ya registrado","")</f>
        <v/>
      </c>
      <c r="F49" t="str">
        <f>_xlfn.XLOOKUP(TAB_T_DOCE_MAEST[[#This Row],[MAESTRIA]],MAESTRIA[NOMBRE_MAESTRIA],MAESTRIA[ID_MAESTRIA],"Seleccione Maestria")</f>
        <v>MAES-DOC-MAS-UNI-EN</v>
      </c>
    </row>
    <row r="50" spans="1:6">
      <c r="A50" t="s">
        <v>121</v>
      </c>
      <c r="B50" t="s">
        <v>122</v>
      </c>
      <c r="C50">
        <f>_xlfn.XLOOKUP(TAB_T_DOCE_MAEST[[#This Row],[NOMBRE_DOCENTE]],MDOCENTES[DATOS_DOCENTE],MDOCENTES[ID_DOCENTE],"Seleccione Docente")</f>
        <v>1308646155</v>
      </c>
      <c r="D50" t="s">
        <v>27</v>
      </c>
      <c r="E50" t="str">
        <f>IF(COUNTIFS(C:C,C50,D:D,D50)&gt;1,"Docente ya registrado","")</f>
        <v/>
      </c>
      <c r="F50" t="str">
        <f>_xlfn.XLOOKUP(TAB_T_DOCE_MAEST[[#This Row],[MAESTRIA]],MAESTRIA[NOMBRE_MAESTRIA],MAESTRIA[ID_MAESTRIA],"Seleccione Maestria")</f>
        <v>MAES-DOC-MAG-EN -TRI</v>
      </c>
    </row>
    <row r="51" spans="1:6" ht="30.75">
      <c r="A51" t="s">
        <v>123</v>
      </c>
      <c r="B51" t="s">
        <v>124</v>
      </c>
      <c r="C51">
        <f>_xlfn.XLOOKUP(TAB_T_DOCE_MAEST[[#This Row],[NOMBRE_DOCENTE]],MDOCENTES[DATOS_DOCENTE],MDOCENTES[ID_DOCENTE],"Seleccione Docente")</f>
        <v>1309206298</v>
      </c>
      <c r="D51" s="1" t="s">
        <v>66</v>
      </c>
      <c r="E51" t="str">
        <f>IF(COUNTIFS(C:C,C51,D:D,D51)&gt;1,"Docente ya registrado","")</f>
        <v/>
      </c>
      <c r="F51" t="str">
        <f>_xlfn.XLOOKUP(TAB_T_DOCE_MAEST[[#This Row],[MAESTRIA]],MAESTRIA[NOMBRE_MAESTRIA],MAESTRIA[ID_MAESTRIA],"Seleccione Maestria")</f>
        <v>MAES-DOC-MAG-EN -ADM</v>
      </c>
    </row>
    <row r="52" spans="1:6" ht="30.75">
      <c r="A52" t="s">
        <v>125</v>
      </c>
      <c r="B52" t="s">
        <v>126</v>
      </c>
      <c r="C52">
        <f>_xlfn.XLOOKUP(TAB_T_DOCE_MAEST[[#This Row],[NOMBRE_DOCENTE]],MDOCENTES[DATOS_DOCENTE],MDOCENTES[ID_DOCENTE],"Seleccione Docente")</f>
        <v>1312319641</v>
      </c>
      <c r="D52" s="1" t="s">
        <v>52</v>
      </c>
      <c r="E52" t="str">
        <f>IF(COUNTIFS(C:C,C52,D:D,D52)&gt;1,"Docente ya registrado","")</f>
        <v/>
      </c>
      <c r="F52" t="str">
        <f>_xlfn.XLOOKUP(TAB_T_DOCE_MAEST[[#This Row],[MAESTRIA]],MAESTRIA[NOMBRE_MAESTRIA],MAESTRIA[ID_MAESTRIA],"Seleccione Maestria")</f>
        <v>MAES-DOC-MAG-EN -CON</v>
      </c>
    </row>
    <row r="53" spans="1:6">
      <c r="A53" t="s">
        <v>127</v>
      </c>
      <c r="B53" t="s">
        <v>128</v>
      </c>
      <c r="C53">
        <f>_xlfn.XLOOKUP(TAB_T_DOCE_MAEST[[#This Row],[NOMBRE_DOCENTE]],MDOCENTES[DATOS_DOCENTE],MDOCENTES[ID_DOCENTE],"Seleccione Docente")</f>
        <v>912379716</v>
      </c>
      <c r="D53" t="s">
        <v>43</v>
      </c>
      <c r="E53" t="str">
        <f>IF(COUNTIFS(C:C,C53,D:D,D53)&gt;1,"Docente ya registrado","")</f>
        <v/>
      </c>
      <c r="F53" t="str">
        <f>_xlfn.XLOOKUP(TAB_T_DOCE_MAEST[[#This Row],[MAESTRIA]],MAESTRIA[NOMBRE_MAESTRIA],MAESTRIA[ID_MAESTRIA],"Seleccione Maestria")</f>
        <v>MAES-DOC-MAG-EN -ADM</v>
      </c>
    </row>
    <row r="54" spans="1:6">
      <c r="A54" t="s">
        <v>129</v>
      </c>
      <c r="B54" t="s">
        <v>128</v>
      </c>
      <c r="C54">
        <f>_xlfn.XLOOKUP(TAB_T_DOCE_MAEST[[#This Row],[NOMBRE_DOCENTE]],MDOCENTES[DATOS_DOCENTE],MDOCENTES[ID_DOCENTE],"Seleccione Docente")</f>
        <v>912379716</v>
      </c>
      <c r="D54" t="s">
        <v>49</v>
      </c>
      <c r="E54" t="str">
        <f>IF(COUNTIFS(C:C,C54,D:D,D54)&gt;1,"Docente ya registrado","")</f>
        <v/>
      </c>
      <c r="F54" t="str">
        <f>_xlfn.XLOOKUP(TAB_T_DOCE_MAEST[[#This Row],[MAESTRIA]],MAESTRIA[NOMBRE_MAESTRIA],MAESTRIA[ID_MAESTRIA],"Seleccione Maestria")</f>
        <v>MAES-DOC-MAG-EN -GES</v>
      </c>
    </row>
    <row r="55" spans="1:6">
      <c r="A55" t="s">
        <v>130</v>
      </c>
      <c r="C55" t="str">
        <f>_xlfn.XLOOKUP(TAB_T_DOCE_MAEST[[#This Row],[NOMBRE_DOCENTE]],MDOCENTES[DATOS_DOCENTE],MDOCENTES[ID_DOCENTE],"Seleccione Docente")</f>
        <v>Seleccione Docente</v>
      </c>
      <c r="E55" t="str">
        <f>IF(COUNTIFS(C:C,C55,D:D,D55)&gt;1,"Docente ya registrado","")</f>
        <v/>
      </c>
      <c r="F55" t="str">
        <f>_xlfn.XLOOKUP(TAB_T_DOCE_MAEST[[#This Row],[MAESTRIA]],MAESTRIA[NOMBRE_MAESTRIA],MAESTRIA[ID_MAESTRIA],"Seleccione Maestria")</f>
        <v>Seleccione Maestria</v>
      </c>
    </row>
    <row r="56" spans="1:6">
      <c r="A56" t="s">
        <v>131</v>
      </c>
      <c r="C56" t="str">
        <f>_xlfn.XLOOKUP(TAB_T_DOCE_MAEST[[#This Row],[NOMBRE_DOCENTE]],MDOCENTES[DATOS_DOCENTE],MDOCENTES[ID_DOCENTE],"Seleccione Docente")</f>
        <v>Seleccione Docente</v>
      </c>
      <c r="E56" t="str">
        <f>IF(COUNTIFS(C:C,C56,D:D,D56)&gt;1,"Docente ya registrado","")</f>
        <v/>
      </c>
      <c r="F56" t="str">
        <f>_xlfn.XLOOKUP(TAB_T_DOCE_MAEST[[#This Row],[MAESTRIA]],MAESTRIA[NOMBRE_MAESTRIA],MAESTRIA[ID_MAESTRIA],"Seleccione Maestria")</f>
        <v>Seleccione Maestria</v>
      </c>
    </row>
    <row r="57" spans="1:6">
      <c r="A57" t="s">
        <v>132</v>
      </c>
      <c r="C57" t="str">
        <f>_xlfn.XLOOKUP(TAB_T_DOCE_MAEST[[#This Row],[NOMBRE_DOCENTE]],MDOCENTES[DATOS_DOCENTE],MDOCENTES[ID_DOCENTE],"Seleccione Docente")</f>
        <v>Seleccione Docente</v>
      </c>
      <c r="E57" t="str">
        <f>IF(COUNTIFS(C:C,C57,D:D,D57)&gt;1,"Docente ya registrado","")</f>
        <v/>
      </c>
      <c r="F57" t="str">
        <f>_xlfn.XLOOKUP(TAB_T_DOCE_MAEST[[#This Row],[MAESTRIA]],MAESTRIA[NOMBRE_MAESTRIA],MAESTRIA[ID_MAESTRIA],"Seleccione Maestria")</f>
        <v>Seleccione Maestria</v>
      </c>
    </row>
    <row r="58" spans="1:6">
      <c r="A58" t="s">
        <v>133</v>
      </c>
      <c r="C58" t="str">
        <f>_xlfn.XLOOKUP(TAB_T_DOCE_MAEST[[#This Row],[NOMBRE_DOCENTE]],MDOCENTES[DATOS_DOCENTE],MDOCENTES[ID_DOCENTE],"Seleccione Docente")</f>
        <v>Seleccione Docente</v>
      </c>
      <c r="E58" t="str">
        <f>IF(COUNTIFS(C:C,C58,D:D,D58)&gt;1,"Docente ya registrado","")</f>
        <v/>
      </c>
      <c r="F58" t="str">
        <f>_xlfn.XLOOKUP(TAB_T_DOCE_MAEST[[#This Row],[MAESTRIA]],MAESTRIA[NOMBRE_MAESTRIA],MAESTRIA[ID_MAESTRIA],"Seleccione Maestria")</f>
        <v>Seleccione Maestria</v>
      </c>
    </row>
    <row r="59" spans="1:6">
      <c r="A59" t="s">
        <v>134</v>
      </c>
      <c r="C59" t="str">
        <f>_xlfn.XLOOKUP(TAB_T_DOCE_MAEST[[#This Row],[NOMBRE_DOCENTE]],MDOCENTES[DATOS_DOCENTE],MDOCENTES[ID_DOCENTE],"Seleccione Docente")</f>
        <v>Seleccione Docente</v>
      </c>
      <c r="E59" t="str">
        <f>IF(COUNTIFS(C:C,C59,D:D,D59)&gt;1,"Docente ya registrado","")</f>
        <v/>
      </c>
      <c r="F59" t="str">
        <f>_xlfn.XLOOKUP(TAB_T_DOCE_MAEST[[#This Row],[MAESTRIA]],MAESTRIA[NOMBRE_MAESTRIA],MAESTRIA[ID_MAESTRIA],"Seleccione Maestria")</f>
        <v>Seleccione Maestria</v>
      </c>
    </row>
    <row r="60" spans="1:6">
      <c r="A60" t="s">
        <v>135</v>
      </c>
      <c r="C60" t="str">
        <f>_xlfn.XLOOKUP(TAB_T_DOCE_MAEST[[#This Row],[NOMBRE_DOCENTE]],MDOCENTES[DATOS_DOCENTE],MDOCENTES[ID_DOCENTE],"Seleccione Docente")</f>
        <v>Seleccione Docente</v>
      </c>
      <c r="E60" t="str">
        <f>IF(COUNTIFS(C:C,C60,D:D,D60)&gt;1,"Docente ya registrado","")</f>
        <v/>
      </c>
      <c r="F60" t="str">
        <f>_xlfn.XLOOKUP(TAB_T_DOCE_MAEST[[#This Row],[MAESTRIA]],MAESTRIA[NOMBRE_MAESTRIA],MAESTRIA[ID_MAESTRIA],"Seleccione Maestria")</f>
        <v>Seleccione Maestria</v>
      </c>
    </row>
    <row r="61" spans="1:6">
      <c r="A61" t="s">
        <v>136</v>
      </c>
      <c r="C61" t="str">
        <f>_xlfn.XLOOKUP(TAB_T_DOCE_MAEST[[#This Row],[NOMBRE_DOCENTE]],MDOCENTES[DATOS_DOCENTE],MDOCENTES[ID_DOCENTE],"Seleccione Docente")</f>
        <v>Seleccione Docente</v>
      </c>
      <c r="E61" t="str">
        <f>IF(COUNTIFS(C:C,C61,D:D,D61)&gt;1,"Docente ya registrado","")</f>
        <v/>
      </c>
      <c r="F61" t="str">
        <f>_xlfn.XLOOKUP(TAB_T_DOCE_MAEST[[#This Row],[MAESTRIA]],MAESTRIA[NOMBRE_MAESTRIA],MAESTRIA[ID_MAESTRIA],"Seleccione Maestria")</f>
        <v>Seleccione Maestria</v>
      </c>
    </row>
    <row r="62" spans="1:6">
      <c r="A62" t="s">
        <v>137</v>
      </c>
      <c r="C62" t="str">
        <f>_xlfn.XLOOKUP(TAB_T_DOCE_MAEST[[#This Row],[NOMBRE_DOCENTE]],MDOCENTES[DATOS_DOCENTE],MDOCENTES[ID_DOCENTE],"Seleccione Docente")</f>
        <v>Seleccione Docente</v>
      </c>
      <c r="E62" t="str">
        <f>IF(COUNTIFS(C:C,C62,D:D,D62)&gt;1,"Docente ya registrado","")</f>
        <v/>
      </c>
      <c r="F62" t="str">
        <f>_xlfn.XLOOKUP(TAB_T_DOCE_MAEST[[#This Row],[MAESTRIA]],MAESTRIA[NOMBRE_MAESTRIA],MAESTRIA[ID_MAESTRIA],"Seleccione Maestria")</f>
        <v>Seleccione Maestria</v>
      </c>
    </row>
    <row r="63" spans="1:6">
      <c r="A63" t="s">
        <v>138</v>
      </c>
      <c r="C63" t="str">
        <f>_xlfn.XLOOKUP(TAB_T_DOCE_MAEST[[#This Row],[NOMBRE_DOCENTE]],MDOCENTES[DATOS_DOCENTE],MDOCENTES[ID_DOCENTE],"Seleccione Docente")</f>
        <v>Seleccione Docente</v>
      </c>
      <c r="E63" t="str">
        <f>IF(COUNTIFS(C:C,C63,D:D,D63)&gt;1,"Docente ya registrado","")</f>
        <v/>
      </c>
      <c r="F63" t="str">
        <f>_xlfn.XLOOKUP(TAB_T_DOCE_MAEST[[#This Row],[MAESTRIA]],MAESTRIA[NOMBRE_MAESTRIA],MAESTRIA[ID_MAESTRIA],"Seleccione Maestria")</f>
        <v>Seleccione Maestria</v>
      </c>
    </row>
    <row r="64" spans="1:6">
      <c r="A64" t="s">
        <v>139</v>
      </c>
      <c r="C64" t="str">
        <f>_xlfn.XLOOKUP(TAB_T_DOCE_MAEST[[#This Row],[NOMBRE_DOCENTE]],MDOCENTES[DATOS_DOCENTE],MDOCENTES[ID_DOCENTE],"Seleccione Docente")</f>
        <v>Seleccione Docente</v>
      </c>
      <c r="E64" t="str">
        <f>IF(COUNTIFS(C:C,C64,D:D,D64)&gt;1,"Docente ya registrado","")</f>
        <v/>
      </c>
      <c r="F64" t="str">
        <f>_xlfn.XLOOKUP(TAB_T_DOCE_MAEST[[#This Row],[MAESTRIA]],MAESTRIA[NOMBRE_MAESTRIA],MAESTRIA[ID_MAESTRIA],"Seleccione Maestria")</f>
        <v>Seleccione Maestria</v>
      </c>
    </row>
    <row r="65" spans="1:6">
      <c r="A65" t="s">
        <v>140</v>
      </c>
      <c r="C65" t="str">
        <f>_xlfn.XLOOKUP(TAB_T_DOCE_MAEST[[#This Row],[NOMBRE_DOCENTE]],MDOCENTES[DATOS_DOCENTE],MDOCENTES[ID_DOCENTE],"Seleccione Docente")</f>
        <v>Seleccione Docente</v>
      </c>
      <c r="E65" t="str">
        <f>IF(COUNTIFS(C:C,C65,D:D,D65)&gt;1,"Docente ya registrado","")</f>
        <v/>
      </c>
      <c r="F65" t="str">
        <f>_xlfn.XLOOKUP(TAB_T_DOCE_MAEST[[#This Row],[MAESTRIA]],MAESTRIA[NOMBRE_MAESTRIA],MAESTRIA[ID_MAESTRIA],"Seleccione Maestria")</f>
        <v>Seleccione Maestria</v>
      </c>
    </row>
    <row r="66" spans="1:6">
      <c r="A66" t="s">
        <v>141</v>
      </c>
      <c r="C66" t="str">
        <f>_xlfn.XLOOKUP(TAB_T_DOCE_MAEST[[#This Row],[NOMBRE_DOCENTE]],MDOCENTES[DATOS_DOCENTE],MDOCENTES[ID_DOCENTE],"Seleccione Docente")</f>
        <v>Seleccione Docente</v>
      </c>
      <c r="E66" t="str">
        <f>IF(COUNTIFS(C:C,C66,D:D,D66)&gt;1,"Docente ya registrado","")</f>
        <v/>
      </c>
      <c r="F66" t="str">
        <f>_xlfn.XLOOKUP(TAB_T_DOCE_MAEST[[#This Row],[MAESTRIA]],MAESTRIA[NOMBRE_MAESTRIA],MAESTRIA[ID_MAESTRIA],"Seleccione Maestria")</f>
        <v>Seleccione Maestria</v>
      </c>
    </row>
    <row r="67" spans="1:6">
      <c r="A67" t="s">
        <v>142</v>
      </c>
      <c r="C67" t="str">
        <f>_xlfn.XLOOKUP(TAB_T_DOCE_MAEST[[#This Row],[NOMBRE_DOCENTE]],MDOCENTES[DATOS_DOCENTE],MDOCENTES[ID_DOCENTE],"Seleccione Docente")</f>
        <v>Seleccione Docente</v>
      </c>
      <c r="E67" t="str">
        <f>IF(COUNTIFS(C:C,C67,D:D,D67)&gt;1,"Docente ya registrado","")</f>
        <v/>
      </c>
      <c r="F67" t="str">
        <f>_xlfn.XLOOKUP(TAB_T_DOCE_MAEST[[#This Row],[MAESTRIA]],MAESTRIA[NOMBRE_MAESTRIA],MAESTRIA[ID_MAESTRIA],"Seleccione Maestria")</f>
        <v>Seleccione Maestria</v>
      </c>
    </row>
    <row r="68" spans="1:6">
      <c r="A68" t="s">
        <v>143</v>
      </c>
      <c r="C68" t="str">
        <f>_xlfn.XLOOKUP(TAB_T_DOCE_MAEST[[#This Row],[NOMBRE_DOCENTE]],MDOCENTES[DATOS_DOCENTE],MDOCENTES[ID_DOCENTE],"Seleccione Docente")</f>
        <v>Seleccione Docente</v>
      </c>
      <c r="E68" t="str">
        <f>IF(COUNTIFS(C:C,C68,D:D,D68)&gt;1,"Docente ya registrado","")</f>
        <v/>
      </c>
      <c r="F68" t="str">
        <f>_xlfn.XLOOKUP(TAB_T_DOCE_MAEST[[#This Row],[MAESTRIA]],MAESTRIA[NOMBRE_MAESTRIA],MAESTRIA[ID_MAESTRIA],"Seleccione Maestria")</f>
        <v>Seleccione Maestria</v>
      </c>
    </row>
    <row r="69" spans="1:6">
      <c r="A69" t="s">
        <v>144</v>
      </c>
      <c r="C69" t="str">
        <f>_xlfn.XLOOKUP(TAB_T_DOCE_MAEST[[#This Row],[NOMBRE_DOCENTE]],MDOCENTES[DATOS_DOCENTE],MDOCENTES[ID_DOCENTE],"Seleccione Docente")</f>
        <v>Seleccione Docente</v>
      </c>
      <c r="E69" t="str">
        <f>IF(COUNTIFS(C:C,C69,D:D,D69)&gt;1,"Docente ya registrado","")</f>
        <v/>
      </c>
      <c r="F69" t="str">
        <f>_xlfn.XLOOKUP(TAB_T_DOCE_MAEST[[#This Row],[MAESTRIA]],MAESTRIA[NOMBRE_MAESTRIA],MAESTRIA[ID_MAESTRIA],"Seleccione Maestria")</f>
        <v>Seleccione Maestria</v>
      </c>
    </row>
    <row r="70" spans="1:6">
      <c r="A70" t="s">
        <v>145</v>
      </c>
      <c r="C70" t="str">
        <f>_xlfn.XLOOKUP(TAB_T_DOCE_MAEST[[#This Row],[NOMBRE_DOCENTE]],MDOCENTES[DATOS_DOCENTE],MDOCENTES[ID_DOCENTE],"Seleccione Docente")</f>
        <v>Seleccione Docente</v>
      </c>
      <c r="E70" t="str">
        <f>IF(COUNTIFS(C:C,C70,D:D,D70)&gt;1,"Docente ya registrado","")</f>
        <v/>
      </c>
      <c r="F70" t="str">
        <f>_xlfn.XLOOKUP(TAB_T_DOCE_MAEST[[#This Row],[MAESTRIA]],MAESTRIA[NOMBRE_MAESTRIA],MAESTRIA[ID_MAESTRIA],"Seleccione Maestria")</f>
        <v>Seleccione Maestria</v>
      </c>
    </row>
    <row r="71" spans="1:6">
      <c r="A71" t="s">
        <v>146</v>
      </c>
      <c r="C71" t="str">
        <f>_xlfn.XLOOKUP(TAB_T_DOCE_MAEST[[#This Row],[NOMBRE_DOCENTE]],MDOCENTES[DATOS_DOCENTE],MDOCENTES[ID_DOCENTE],"Seleccione Docente")</f>
        <v>Seleccione Docente</v>
      </c>
      <c r="E71" t="str">
        <f>IF(COUNTIFS(C:C,C71,D:D,D71)&gt;1,"Docente ya registrado","")</f>
        <v/>
      </c>
      <c r="F71" t="str">
        <f>_xlfn.XLOOKUP(TAB_T_DOCE_MAEST[[#This Row],[MAESTRIA]],MAESTRIA[NOMBRE_MAESTRIA],MAESTRIA[ID_MAESTRIA],"Seleccione Maestria")</f>
        <v>Seleccione Maestria</v>
      </c>
    </row>
    <row r="72" spans="1:6">
      <c r="A72" t="s">
        <v>147</v>
      </c>
      <c r="C72" t="str">
        <f>_xlfn.XLOOKUP(TAB_T_DOCE_MAEST[[#This Row],[NOMBRE_DOCENTE]],MDOCENTES[DATOS_DOCENTE],MDOCENTES[ID_DOCENTE],"Seleccione Docente")</f>
        <v>Seleccione Docente</v>
      </c>
      <c r="E72" t="str">
        <f>IF(COUNTIFS(C:C,C72,D:D,D72)&gt;1,"Docente ya registrado","")</f>
        <v/>
      </c>
      <c r="F72" t="str">
        <f>_xlfn.XLOOKUP(TAB_T_DOCE_MAEST[[#This Row],[MAESTRIA]],MAESTRIA[NOMBRE_MAESTRIA],MAESTRIA[ID_MAESTRIA],"Seleccione Maestria")</f>
        <v>Seleccione Maestria</v>
      </c>
    </row>
    <row r="73" spans="1:6">
      <c r="A73" t="s">
        <v>148</v>
      </c>
      <c r="C73" t="str">
        <f>_xlfn.XLOOKUP(TAB_T_DOCE_MAEST[[#This Row],[NOMBRE_DOCENTE]],MDOCENTES[DATOS_DOCENTE],MDOCENTES[ID_DOCENTE],"Seleccione Docente")</f>
        <v>Seleccione Docente</v>
      </c>
      <c r="E73" t="str">
        <f>IF(COUNTIFS(C:C,C73,D:D,D73)&gt;1,"Docente ya registrado","")</f>
        <v/>
      </c>
      <c r="F73" t="str">
        <f>_xlfn.XLOOKUP(TAB_T_DOCE_MAEST[[#This Row],[MAESTRIA]],MAESTRIA[NOMBRE_MAESTRIA],MAESTRIA[ID_MAESTRIA],"Seleccione Maestria")</f>
        <v>Seleccione Maestria</v>
      </c>
    </row>
    <row r="74" spans="1:6">
      <c r="A74" t="s">
        <v>149</v>
      </c>
      <c r="C74" t="str">
        <f>_xlfn.XLOOKUP(TAB_T_DOCE_MAEST[[#This Row],[NOMBRE_DOCENTE]],MDOCENTES[DATOS_DOCENTE],MDOCENTES[ID_DOCENTE],"Seleccione Docente")</f>
        <v>Seleccione Docente</v>
      </c>
      <c r="E74" t="str">
        <f>IF(COUNTIFS(C:C,C74,D:D,D74)&gt;1,"Docente ya registrado","")</f>
        <v/>
      </c>
      <c r="F74" t="str">
        <f>_xlfn.XLOOKUP(TAB_T_DOCE_MAEST[[#This Row],[MAESTRIA]],MAESTRIA[NOMBRE_MAESTRIA],MAESTRIA[ID_MAESTRIA],"Seleccione Maestria")</f>
        <v>Seleccione Maestria</v>
      </c>
    </row>
    <row r="75" spans="1:6">
      <c r="A75" t="s">
        <v>150</v>
      </c>
      <c r="C75" t="str">
        <f>_xlfn.XLOOKUP(TAB_T_DOCE_MAEST[[#This Row],[NOMBRE_DOCENTE]],MDOCENTES[DATOS_DOCENTE],MDOCENTES[ID_DOCENTE],"Seleccione Docente")</f>
        <v>Seleccione Docente</v>
      </c>
      <c r="E75" t="str">
        <f>IF(COUNTIFS(C:C,C75,D:D,D75)&gt;1,"Docente ya registrado","")</f>
        <v/>
      </c>
      <c r="F75" t="str">
        <f>_xlfn.XLOOKUP(TAB_T_DOCE_MAEST[[#This Row],[MAESTRIA]],MAESTRIA[NOMBRE_MAESTRIA],MAESTRIA[ID_MAESTRIA],"Seleccione Maestria")</f>
        <v>Seleccione Maestria</v>
      </c>
    </row>
    <row r="76" spans="1:6">
      <c r="A76" t="s">
        <v>151</v>
      </c>
      <c r="C76" t="str">
        <f>_xlfn.XLOOKUP(TAB_T_DOCE_MAEST[[#This Row],[NOMBRE_DOCENTE]],MDOCENTES[DATOS_DOCENTE],MDOCENTES[ID_DOCENTE],"Seleccione Docente")</f>
        <v>Seleccione Docente</v>
      </c>
      <c r="E76" t="str">
        <f>IF(COUNTIFS(C:C,C76,D:D,D76)&gt;1,"Docente ya registrado","")</f>
        <v/>
      </c>
      <c r="F76" t="str">
        <f>_xlfn.XLOOKUP(TAB_T_DOCE_MAEST[[#This Row],[MAESTRIA]],MAESTRIA[NOMBRE_MAESTRIA],MAESTRIA[ID_MAESTRIA],"Seleccione Maestria")</f>
        <v>Seleccione Maestria</v>
      </c>
    </row>
    <row r="77" spans="1:6">
      <c r="A77" t="s">
        <v>152</v>
      </c>
      <c r="C77" t="str">
        <f>_xlfn.XLOOKUP(TAB_T_DOCE_MAEST[[#This Row],[NOMBRE_DOCENTE]],MDOCENTES[DATOS_DOCENTE],MDOCENTES[ID_DOCENTE],"Seleccione Docente")</f>
        <v>Seleccione Docente</v>
      </c>
      <c r="E77" t="str">
        <f>IF(COUNTIFS(C:C,C77,D:D,D77)&gt;1,"Docente ya registrado","")</f>
        <v/>
      </c>
      <c r="F77" t="str">
        <f>_xlfn.XLOOKUP(TAB_T_DOCE_MAEST[[#This Row],[MAESTRIA]],MAESTRIA[NOMBRE_MAESTRIA],MAESTRIA[ID_MAESTRIA],"Seleccione Maestria")</f>
        <v>Seleccione Maestria</v>
      </c>
    </row>
    <row r="78" spans="1:6">
      <c r="A78" t="s">
        <v>153</v>
      </c>
      <c r="C78" t="str">
        <f>_xlfn.XLOOKUP(TAB_T_DOCE_MAEST[[#This Row],[NOMBRE_DOCENTE]],MDOCENTES[DATOS_DOCENTE],MDOCENTES[ID_DOCENTE],"Seleccione Docente")</f>
        <v>Seleccione Docente</v>
      </c>
      <c r="E78" t="str">
        <f>IF(COUNTIFS(C:C,C78,D:D,D78)&gt;1,"Docente ya registrado","")</f>
        <v/>
      </c>
      <c r="F78" t="str">
        <f>_xlfn.XLOOKUP(TAB_T_DOCE_MAEST[[#This Row],[MAESTRIA]],MAESTRIA[NOMBRE_MAESTRIA],MAESTRIA[ID_MAESTRIA],"Seleccione Maestria")</f>
        <v>Seleccione Maestria</v>
      </c>
    </row>
    <row r="79" spans="1:6">
      <c r="A79" t="s">
        <v>154</v>
      </c>
      <c r="C79" t="str">
        <f>_xlfn.XLOOKUP(TAB_T_DOCE_MAEST[[#This Row],[NOMBRE_DOCENTE]],MDOCENTES[DATOS_DOCENTE],MDOCENTES[ID_DOCENTE],"Seleccione Docente")</f>
        <v>Seleccione Docente</v>
      </c>
      <c r="E79" t="str">
        <f>IF(COUNTIFS(C:C,C79,D:D,D79)&gt;1,"Docente ya registrado","")</f>
        <v/>
      </c>
      <c r="F79" t="str">
        <f>_xlfn.XLOOKUP(TAB_T_DOCE_MAEST[[#This Row],[MAESTRIA]],MAESTRIA[NOMBRE_MAESTRIA],MAESTRIA[ID_MAESTRIA],"Seleccione Maestria")</f>
        <v>Seleccione Maestria</v>
      </c>
    </row>
    <row r="80" spans="1:6">
      <c r="A80" t="s">
        <v>155</v>
      </c>
      <c r="C80" t="str">
        <f>_xlfn.XLOOKUP(TAB_T_DOCE_MAEST[[#This Row],[NOMBRE_DOCENTE]],MDOCENTES[DATOS_DOCENTE],MDOCENTES[ID_DOCENTE],"Seleccione Docente")</f>
        <v>Seleccione Docente</v>
      </c>
      <c r="E80" t="str">
        <f>IF(COUNTIFS(C:C,C80,D:D,D80)&gt;1,"Docente ya registrado","")</f>
        <v/>
      </c>
      <c r="F80" t="str">
        <f>_xlfn.XLOOKUP(TAB_T_DOCE_MAEST[[#This Row],[MAESTRIA]],MAESTRIA[NOMBRE_MAESTRIA],MAESTRIA[ID_MAESTRIA],"Seleccione Maestria")</f>
        <v>Seleccione Maestria</v>
      </c>
    </row>
    <row r="81" spans="1:6">
      <c r="A81" t="s">
        <v>156</v>
      </c>
      <c r="C81" t="str">
        <f>_xlfn.XLOOKUP(TAB_T_DOCE_MAEST[[#This Row],[NOMBRE_DOCENTE]],MDOCENTES[DATOS_DOCENTE],MDOCENTES[ID_DOCENTE],"Seleccione Docente")</f>
        <v>Seleccione Docente</v>
      </c>
      <c r="E81" t="str">
        <f>IF(COUNTIFS(C:C,C81,D:D,D81)&gt;1,"Docente ya registrado","")</f>
        <v/>
      </c>
      <c r="F81" t="str">
        <f>_xlfn.XLOOKUP(TAB_T_DOCE_MAEST[[#This Row],[MAESTRIA]],MAESTRIA[NOMBRE_MAESTRIA],MAESTRIA[ID_MAESTRIA],"Seleccione Maestria")</f>
        <v>Seleccione Maestria</v>
      </c>
    </row>
    <row r="82" spans="1:6">
      <c r="A82" t="s">
        <v>157</v>
      </c>
      <c r="C82" t="str">
        <f>_xlfn.XLOOKUP(TAB_T_DOCE_MAEST[[#This Row],[NOMBRE_DOCENTE]],MDOCENTES[DATOS_DOCENTE],MDOCENTES[ID_DOCENTE],"Seleccione Docente")</f>
        <v>Seleccione Docente</v>
      </c>
      <c r="E82" t="str">
        <f>IF(COUNTIFS(C:C,C82,D:D,D82)&gt;1,"Docente ya registrado","")</f>
        <v/>
      </c>
      <c r="F82" t="str">
        <f>_xlfn.XLOOKUP(TAB_T_DOCE_MAEST[[#This Row],[MAESTRIA]],MAESTRIA[NOMBRE_MAESTRIA],MAESTRIA[ID_MAESTRIA],"Seleccione Maestria")</f>
        <v>Seleccione Maestria</v>
      </c>
    </row>
    <row r="83" spans="1:6">
      <c r="A83" t="s">
        <v>158</v>
      </c>
      <c r="C83" t="str">
        <f>_xlfn.XLOOKUP(TAB_T_DOCE_MAEST[[#This Row],[NOMBRE_DOCENTE]],MDOCENTES[DATOS_DOCENTE],MDOCENTES[ID_DOCENTE],"Seleccione Docente")</f>
        <v>Seleccione Docente</v>
      </c>
      <c r="E83" t="str">
        <f>IF(COUNTIFS(C:C,C83,D:D,D83)&gt;1,"Docente ya registrado","")</f>
        <v/>
      </c>
      <c r="F83" t="str">
        <f>_xlfn.XLOOKUP(TAB_T_DOCE_MAEST[[#This Row],[MAESTRIA]],MAESTRIA[NOMBRE_MAESTRIA],MAESTRIA[ID_MAESTRIA],"Seleccione Maestria")</f>
        <v>Seleccione Maestria</v>
      </c>
    </row>
    <row r="84" spans="1:6">
      <c r="A84" t="s">
        <v>159</v>
      </c>
      <c r="C84" t="str">
        <f>_xlfn.XLOOKUP(TAB_T_DOCE_MAEST[[#This Row],[NOMBRE_DOCENTE]],MDOCENTES[DATOS_DOCENTE],MDOCENTES[ID_DOCENTE],"Seleccione Docente")</f>
        <v>Seleccione Docente</v>
      </c>
      <c r="E84" t="str">
        <f>IF(COUNTIFS(C:C,C84,D:D,D84)&gt;1,"Docente ya registrado","")</f>
        <v/>
      </c>
      <c r="F84" t="str">
        <f>_xlfn.XLOOKUP(TAB_T_DOCE_MAEST[[#This Row],[MAESTRIA]],MAESTRIA[NOMBRE_MAESTRIA],MAESTRIA[ID_MAESTRIA],"Seleccione Maestria")</f>
        <v>Seleccione Maestria</v>
      </c>
    </row>
    <row r="85" spans="1:6">
      <c r="A85" t="s">
        <v>160</v>
      </c>
      <c r="C85" t="str">
        <f>_xlfn.XLOOKUP(TAB_T_DOCE_MAEST[[#This Row],[NOMBRE_DOCENTE]],MDOCENTES[DATOS_DOCENTE],MDOCENTES[ID_DOCENTE],"Seleccione Docente")</f>
        <v>Seleccione Docente</v>
      </c>
      <c r="E85" t="str">
        <f>IF(COUNTIFS(C:C,C85,D:D,D85)&gt;1,"Docente ya registrado","")</f>
        <v/>
      </c>
      <c r="F85" t="str">
        <f>_xlfn.XLOOKUP(TAB_T_DOCE_MAEST[[#This Row],[MAESTRIA]],MAESTRIA[NOMBRE_MAESTRIA],MAESTRIA[ID_MAESTRIA],"Seleccione Maestria")</f>
        <v>Seleccione Maestria</v>
      </c>
    </row>
    <row r="86" spans="1:6">
      <c r="A86" t="s">
        <v>161</v>
      </c>
      <c r="C86" t="str">
        <f>_xlfn.XLOOKUP(TAB_T_DOCE_MAEST[[#This Row],[NOMBRE_DOCENTE]],MDOCENTES[DATOS_DOCENTE],MDOCENTES[ID_DOCENTE],"Seleccione Docente")</f>
        <v>Seleccione Docente</v>
      </c>
      <c r="E86" t="str">
        <f>IF(COUNTIFS(C:C,C86,D:D,D86)&gt;1,"Docente ya registrado","")</f>
        <v/>
      </c>
      <c r="F86" t="str">
        <f>_xlfn.XLOOKUP(TAB_T_DOCE_MAEST[[#This Row],[MAESTRIA]],MAESTRIA[NOMBRE_MAESTRIA],MAESTRIA[ID_MAESTRIA],"Seleccione Maestria")</f>
        <v>Seleccione Maestria</v>
      </c>
    </row>
    <row r="87" spans="1:6">
      <c r="A87" t="s">
        <v>162</v>
      </c>
      <c r="C87" t="str">
        <f>_xlfn.XLOOKUP(TAB_T_DOCE_MAEST[[#This Row],[NOMBRE_DOCENTE]],MDOCENTES[DATOS_DOCENTE],MDOCENTES[ID_DOCENTE],"Seleccione Docente")</f>
        <v>Seleccione Docente</v>
      </c>
      <c r="E87" t="str">
        <f>IF(COUNTIFS(C:C,C87,D:D,D87)&gt;1,"Docente ya registrado","")</f>
        <v/>
      </c>
      <c r="F87" t="str">
        <f>_xlfn.XLOOKUP(TAB_T_DOCE_MAEST[[#This Row],[MAESTRIA]],MAESTRIA[NOMBRE_MAESTRIA],MAESTRIA[ID_MAESTRIA],"Seleccione Maestria")</f>
        <v>Seleccione Maestria</v>
      </c>
    </row>
    <row r="88" spans="1:6">
      <c r="A88" t="s">
        <v>163</v>
      </c>
      <c r="C88" t="str">
        <f>_xlfn.XLOOKUP(TAB_T_DOCE_MAEST[[#This Row],[NOMBRE_DOCENTE]],MDOCENTES[DATOS_DOCENTE],MDOCENTES[ID_DOCENTE],"Seleccione Docente")</f>
        <v>Seleccione Docente</v>
      </c>
      <c r="E88" t="str">
        <f>IF(COUNTIFS(C:C,C88,D:D,D88)&gt;1,"Docente ya registrado","")</f>
        <v/>
      </c>
      <c r="F88" t="str">
        <f>_xlfn.XLOOKUP(TAB_T_DOCE_MAEST[[#This Row],[MAESTRIA]],MAESTRIA[NOMBRE_MAESTRIA],MAESTRIA[ID_MAESTRIA],"Seleccione Maestria")</f>
        <v>Seleccione Maestria</v>
      </c>
    </row>
    <row r="89" spans="1:6">
      <c r="A89" t="s">
        <v>164</v>
      </c>
      <c r="C89" t="str">
        <f>_xlfn.XLOOKUP(TAB_T_DOCE_MAEST[[#This Row],[NOMBRE_DOCENTE]],MDOCENTES[DATOS_DOCENTE],MDOCENTES[ID_DOCENTE],"Seleccione Docente")</f>
        <v>Seleccione Docente</v>
      </c>
      <c r="E89" t="str">
        <f>IF(COUNTIFS(C:C,C89,D:D,D89)&gt;1,"Docente ya registrado","")</f>
        <v/>
      </c>
      <c r="F89" t="str">
        <f>_xlfn.XLOOKUP(TAB_T_DOCE_MAEST[[#This Row],[MAESTRIA]],MAESTRIA[NOMBRE_MAESTRIA],MAESTRIA[ID_MAESTRIA],"Seleccione Maestria")</f>
        <v>Seleccione Maestria</v>
      </c>
    </row>
    <row r="90" spans="1:6">
      <c r="A90" t="s">
        <v>165</v>
      </c>
      <c r="C90" t="str">
        <f>_xlfn.XLOOKUP(TAB_T_DOCE_MAEST[[#This Row],[NOMBRE_DOCENTE]],MDOCENTES[DATOS_DOCENTE],MDOCENTES[ID_DOCENTE],"Seleccione Docente")</f>
        <v>Seleccione Docente</v>
      </c>
      <c r="E90" t="str">
        <f>IF(COUNTIFS(C:C,C90,D:D,D90)&gt;1,"Docente ya registrado","")</f>
        <v/>
      </c>
      <c r="F90" t="str">
        <f>_xlfn.XLOOKUP(TAB_T_DOCE_MAEST[[#This Row],[MAESTRIA]],MAESTRIA[NOMBRE_MAESTRIA],MAESTRIA[ID_MAESTRIA],"Seleccione Maestria")</f>
        <v>Seleccione Maestria</v>
      </c>
    </row>
    <row r="91" spans="1:6">
      <c r="A91" t="s">
        <v>166</v>
      </c>
      <c r="C91" t="str">
        <f>_xlfn.XLOOKUP(TAB_T_DOCE_MAEST[[#This Row],[NOMBRE_DOCENTE]],MDOCENTES[DATOS_DOCENTE],MDOCENTES[ID_DOCENTE],"Seleccione Docente")</f>
        <v>Seleccione Docente</v>
      </c>
      <c r="E91" t="str">
        <f>IF(COUNTIFS(C:C,C91,D:D,D91)&gt;1,"Docente ya registrado","")</f>
        <v/>
      </c>
      <c r="F91" t="str">
        <f>_xlfn.XLOOKUP(TAB_T_DOCE_MAEST[[#This Row],[MAESTRIA]],MAESTRIA[NOMBRE_MAESTRIA],MAESTRIA[ID_MAESTRIA],"Seleccione Maestria")</f>
        <v>Seleccione Maestria</v>
      </c>
    </row>
    <row r="92" spans="1:6">
      <c r="A92" t="s">
        <v>167</v>
      </c>
      <c r="C92" t="str">
        <f>_xlfn.XLOOKUP(TAB_T_DOCE_MAEST[[#This Row],[NOMBRE_DOCENTE]],MDOCENTES[DATOS_DOCENTE],MDOCENTES[ID_DOCENTE],"Seleccione Docente")</f>
        <v>Seleccione Docente</v>
      </c>
      <c r="E92" t="str">
        <f>IF(COUNTIFS(C:C,C92,D:D,D92)&gt;1,"Docente ya registrado","")</f>
        <v/>
      </c>
      <c r="F92" t="str">
        <f>_xlfn.XLOOKUP(TAB_T_DOCE_MAEST[[#This Row],[MAESTRIA]],MAESTRIA[NOMBRE_MAESTRIA],MAESTRIA[ID_MAESTRIA],"Seleccione Maestria")</f>
        <v>Seleccione Maestria</v>
      </c>
    </row>
    <row r="93" spans="1:6">
      <c r="A93" t="s">
        <v>168</v>
      </c>
      <c r="C93" t="str">
        <f>_xlfn.XLOOKUP(TAB_T_DOCE_MAEST[[#This Row],[NOMBRE_DOCENTE]],MDOCENTES[DATOS_DOCENTE],MDOCENTES[ID_DOCENTE],"Seleccione Docente")</f>
        <v>Seleccione Docente</v>
      </c>
      <c r="E93" t="str">
        <f>IF(COUNTIFS(C:C,C93,D:D,D93)&gt;1,"Docente ya registrado","")</f>
        <v/>
      </c>
      <c r="F93" t="str">
        <f>_xlfn.XLOOKUP(TAB_T_DOCE_MAEST[[#This Row],[MAESTRIA]],MAESTRIA[NOMBRE_MAESTRIA],MAESTRIA[ID_MAESTRIA],"Seleccione Maestria")</f>
        <v>Seleccione Maestria</v>
      </c>
    </row>
    <row r="94" spans="1:6">
      <c r="A94" t="s">
        <v>169</v>
      </c>
      <c r="C94" t="str">
        <f>_xlfn.XLOOKUP(TAB_T_DOCE_MAEST[[#This Row],[NOMBRE_DOCENTE]],MDOCENTES[DATOS_DOCENTE],MDOCENTES[ID_DOCENTE],"Seleccione Docente")</f>
        <v>Seleccione Docente</v>
      </c>
      <c r="E94" t="str">
        <f>IF(COUNTIFS(C:C,C94,D:D,D94)&gt;1,"Docente ya registrado","")</f>
        <v/>
      </c>
      <c r="F94" t="str">
        <f>_xlfn.XLOOKUP(TAB_T_DOCE_MAEST[[#This Row],[MAESTRIA]],MAESTRIA[NOMBRE_MAESTRIA],MAESTRIA[ID_MAESTRIA],"Seleccione Maestria")</f>
        <v>Seleccione Maestria</v>
      </c>
    </row>
    <row r="95" spans="1:6">
      <c r="A95" t="s">
        <v>170</v>
      </c>
      <c r="C95" t="str">
        <f>_xlfn.XLOOKUP(TAB_T_DOCE_MAEST[[#This Row],[NOMBRE_DOCENTE]],MDOCENTES[DATOS_DOCENTE],MDOCENTES[ID_DOCENTE],"Seleccione Docente")</f>
        <v>Seleccione Docente</v>
      </c>
      <c r="E95" t="str">
        <f>IF(COUNTIFS(C:C,C95,D:D,D95)&gt;1,"Docente ya registrado","")</f>
        <v/>
      </c>
      <c r="F95" t="str">
        <f>_xlfn.XLOOKUP(TAB_T_DOCE_MAEST[[#This Row],[MAESTRIA]],MAESTRIA[NOMBRE_MAESTRIA],MAESTRIA[ID_MAESTRIA],"Seleccione Maestria")</f>
        <v>Seleccione Maestria</v>
      </c>
    </row>
    <row r="96" spans="1:6">
      <c r="A96" t="s">
        <v>171</v>
      </c>
      <c r="C96" t="str">
        <f>_xlfn.XLOOKUP(TAB_T_DOCE_MAEST[[#This Row],[NOMBRE_DOCENTE]],MDOCENTES[DATOS_DOCENTE],MDOCENTES[ID_DOCENTE],"Seleccione Docente")</f>
        <v>Seleccione Docente</v>
      </c>
      <c r="E96" t="str">
        <f>IF(COUNTIFS(C:C,C96,D:D,D96)&gt;1,"Docente ya registrado","")</f>
        <v/>
      </c>
      <c r="F96" t="str">
        <f>_xlfn.XLOOKUP(TAB_T_DOCE_MAEST[[#This Row],[MAESTRIA]],MAESTRIA[NOMBRE_MAESTRIA],MAESTRIA[ID_MAESTRIA],"Seleccione Maestria")</f>
        <v>Seleccione Maestria</v>
      </c>
    </row>
    <row r="97" spans="1:6">
      <c r="A97" t="s">
        <v>172</v>
      </c>
      <c r="C97" t="str">
        <f>_xlfn.XLOOKUP(TAB_T_DOCE_MAEST[[#This Row],[NOMBRE_DOCENTE]],MDOCENTES[DATOS_DOCENTE],MDOCENTES[ID_DOCENTE],"Seleccione Docente")</f>
        <v>Seleccione Docente</v>
      </c>
      <c r="E97" t="str">
        <f>IF(COUNTIFS(C:C,C97,D:D,D97)&gt;1,"Docente ya registrado","")</f>
        <v/>
      </c>
      <c r="F97" t="str">
        <f>_xlfn.XLOOKUP(TAB_T_DOCE_MAEST[[#This Row],[MAESTRIA]],MAESTRIA[NOMBRE_MAESTRIA],MAESTRIA[ID_MAESTRIA],"Seleccione Maestria")</f>
        <v>Seleccione Maestria</v>
      </c>
    </row>
    <row r="98" spans="1:6">
      <c r="A98" t="s">
        <v>173</v>
      </c>
      <c r="C98" t="str">
        <f>_xlfn.XLOOKUP(TAB_T_DOCE_MAEST[[#This Row],[NOMBRE_DOCENTE]],MDOCENTES[DATOS_DOCENTE],MDOCENTES[ID_DOCENTE],"Seleccione Docente")</f>
        <v>Seleccione Docente</v>
      </c>
      <c r="E98" t="str">
        <f>IF(COUNTIFS(C:C,C98,D:D,D98)&gt;1,"Docente ya registrado","")</f>
        <v/>
      </c>
      <c r="F98" t="str">
        <f>_xlfn.XLOOKUP(TAB_T_DOCE_MAEST[[#This Row],[MAESTRIA]],MAESTRIA[NOMBRE_MAESTRIA],MAESTRIA[ID_MAESTRIA],"Seleccione Maestria")</f>
        <v>Seleccione Maestria</v>
      </c>
    </row>
    <row r="99" spans="1:6">
      <c r="A99" t="s">
        <v>174</v>
      </c>
      <c r="C99" t="str">
        <f>_xlfn.XLOOKUP(TAB_T_DOCE_MAEST[[#This Row],[NOMBRE_DOCENTE]],MDOCENTES[DATOS_DOCENTE],MDOCENTES[ID_DOCENTE],"Seleccione Docente")</f>
        <v>Seleccione Docente</v>
      </c>
      <c r="E99" t="str">
        <f>IF(COUNTIFS(C:C,C99,D:D,D99)&gt;1,"Docente ya registrado","")</f>
        <v/>
      </c>
      <c r="F99" t="str">
        <f>_xlfn.XLOOKUP(TAB_T_DOCE_MAEST[[#This Row],[MAESTRIA]],MAESTRIA[NOMBRE_MAESTRIA],MAESTRIA[ID_MAESTRIA],"Seleccione Maestria")</f>
        <v>Seleccione Maestria</v>
      </c>
    </row>
    <row r="100" spans="1:6">
      <c r="A100" t="s">
        <v>175</v>
      </c>
      <c r="C100" t="str">
        <f>_xlfn.XLOOKUP(TAB_T_DOCE_MAEST[[#This Row],[NOMBRE_DOCENTE]],MDOCENTES[DATOS_DOCENTE],MDOCENTES[ID_DOCENTE],"Seleccione Docente")</f>
        <v>Seleccione Docente</v>
      </c>
      <c r="E100" t="str">
        <f>IF(COUNTIFS(C:C,C100,D:D,D100)&gt;1,"Docente ya registrado","")</f>
        <v/>
      </c>
      <c r="F100" t="str">
        <f>_xlfn.XLOOKUP(TAB_T_DOCE_MAEST[[#This Row],[MAESTRIA]],MAESTRIA[NOMBRE_MAESTRIA],MAESTRIA[ID_MAESTRIA],"Seleccione Maestria")</f>
        <v>Seleccione Maestria</v>
      </c>
    </row>
    <row r="101" spans="1:6">
      <c r="A101" t="s">
        <v>176</v>
      </c>
      <c r="C101" t="str">
        <f>_xlfn.XLOOKUP(TAB_T_DOCE_MAEST[[#This Row],[NOMBRE_DOCENTE]],MDOCENTES[DATOS_DOCENTE],MDOCENTES[ID_DOCENTE],"Seleccione Docente")</f>
        <v>Seleccione Docente</v>
      </c>
      <c r="E101" t="str">
        <f>IF(COUNTIFS(C:C,C101,D:D,D101)&gt;1,"Docente ya registrado","")</f>
        <v/>
      </c>
      <c r="F101" t="str">
        <f>_xlfn.XLOOKUP(TAB_T_DOCE_MAEST[[#This Row],[MAESTRIA]],MAESTRIA[NOMBRE_MAESTRIA],MAESTRIA[ID_MAESTRIA],"Seleccione Maestria")</f>
        <v>Seleccione Maestria</v>
      </c>
    </row>
    <row r="102" spans="1:6">
      <c r="A102" t="s">
        <v>177</v>
      </c>
      <c r="C102" t="str">
        <f>_xlfn.XLOOKUP(TAB_T_DOCE_MAEST[[#This Row],[NOMBRE_DOCENTE]],MDOCENTES[DATOS_DOCENTE],MDOCENTES[ID_DOCENTE],"Seleccione Docente")</f>
        <v>Seleccione Docente</v>
      </c>
      <c r="E102" t="str">
        <f>IF(COUNTIFS(C:C,C102,D:D,D102)&gt;1,"Docente ya registrado","")</f>
        <v/>
      </c>
      <c r="F102" t="str">
        <f>_xlfn.XLOOKUP(TAB_T_DOCE_MAEST[[#This Row],[MAESTRIA]],MAESTRIA[NOMBRE_MAESTRIA],MAESTRIA[ID_MAESTRIA],"Seleccione Maestria")</f>
        <v>Seleccione Maestria</v>
      </c>
    </row>
    <row r="103" spans="1:6">
      <c r="A103" t="s">
        <v>178</v>
      </c>
      <c r="C103" t="str">
        <f>_xlfn.XLOOKUP(TAB_T_DOCE_MAEST[[#This Row],[NOMBRE_DOCENTE]],MDOCENTES[DATOS_DOCENTE],MDOCENTES[ID_DOCENTE],"Seleccione Docente")</f>
        <v>Seleccione Docente</v>
      </c>
      <c r="E103" t="str">
        <f>IF(COUNTIFS(C:C,C103,D:D,D103)&gt;1,"Docente ya registrado","")</f>
        <v/>
      </c>
      <c r="F103" t="str">
        <f>_xlfn.XLOOKUP(TAB_T_DOCE_MAEST[[#This Row],[MAESTRIA]],MAESTRIA[NOMBRE_MAESTRIA],MAESTRIA[ID_MAESTRIA],"Seleccione Maestria")</f>
        <v>Seleccione Maestria</v>
      </c>
    </row>
    <row r="104" spans="1:6">
      <c r="A104" t="s">
        <v>179</v>
      </c>
      <c r="C104" t="str">
        <f>_xlfn.XLOOKUP(TAB_T_DOCE_MAEST[[#This Row],[NOMBRE_DOCENTE]],MDOCENTES[DATOS_DOCENTE],MDOCENTES[ID_DOCENTE],"Seleccione Docente")</f>
        <v>Seleccione Docente</v>
      </c>
      <c r="E104" t="str">
        <f>IF(COUNTIFS(C:C,C104,D:D,D104)&gt;1,"Docente ya registrado","")</f>
        <v/>
      </c>
      <c r="F104" t="str">
        <f>_xlfn.XLOOKUP(TAB_T_DOCE_MAEST[[#This Row],[MAESTRIA]],MAESTRIA[NOMBRE_MAESTRIA],MAESTRIA[ID_MAESTRIA],"Seleccione Maestria")</f>
        <v>Seleccione Maestria</v>
      </c>
    </row>
    <row r="105" spans="1:6">
      <c r="A105" t="s">
        <v>180</v>
      </c>
      <c r="C105" t="str">
        <f>_xlfn.XLOOKUP(TAB_T_DOCE_MAEST[[#This Row],[NOMBRE_DOCENTE]],MDOCENTES[DATOS_DOCENTE],MDOCENTES[ID_DOCENTE],"Seleccione Docente")</f>
        <v>Seleccione Docente</v>
      </c>
      <c r="E105" t="str">
        <f>IF(COUNTIFS(C:C,C105,D:D,D105)&gt;1,"Docente ya registrado","")</f>
        <v/>
      </c>
      <c r="F105" t="str">
        <f>_xlfn.XLOOKUP(TAB_T_DOCE_MAEST[[#This Row],[MAESTRIA]],MAESTRIA[NOMBRE_MAESTRIA],MAESTRIA[ID_MAESTRIA],"Seleccione Maestria")</f>
        <v>Seleccione Maestria</v>
      </c>
    </row>
    <row r="106" spans="1:6">
      <c r="A106" t="s">
        <v>181</v>
      </c>
      <c r="C106" t="str">
        <f>_xlfn.XLOOKUP(TAB_T_DOCE_MAEST[[#This Row],[NOMBRE_DOCENTE]],MDOCENTES[DATOS_DOCENTE],MDOCENTES[ID_DOCENTE],"Seleccione Docente")</f>
        <v>Seleccione Docente</v>
      </c>
      <c r="E106" t="str">
        <f>IF(COUNTIFS(C:C,C106,D:D,D106)&gt;1,"Docente ya registrado","")</f>
        <v/>
      </c>
      <c r="F106" t="str">
        <f>_xlfn.XLOOKUP(TAB_T_DOCE_MAEST[[#This Row],[MAESTRIA]],MAESTRIA[NOMBRE_MAESTRIA],MAESTRIA[ID_MAESTRIA],"Seleccione Maestria")</f>
        <v>Seleccione Maestria</v>
      </c>
    </row>
    <row r="107" spans="1:6">
      <c r="A107" t="s">
        <v>182</v>
      </c>
      <c r="C107" t="str">
        <f>_xlfn.XLOOKUP(TAB_T_DOCE_MAEST[[#This Row],[NOMBRE_DOCENTE]],MDOCENTES[DATOS_DOCENTE],MDOCENTES[ID_DOCENTE],"Seleccione Docente")</f>
        <v>Seleccione Docente</v>
      </c>
      <c r="E107" t="str">
        <f>IF(COUNTIFS(C:C,C107,D:D,D107)&gt;1,"Docente ya registrado","")</f>
        <v/>
      </c>
      <c r="F107" t="str">
        <f>_xlfn.XLOOKUP(TAB_T_DOCE_MAEST[[#This Row],[MAESTRIA]],MAESTRIA[NOMBRE_MAESTRIA],MAESTRIA[ID_MAESTRIA],"Seleccione Maestria")</f>
        <v>Seleccione Maestria</v>
      </c>
    </row>
    <row r="108" spans="1:6">
      <c r="A108" t="s">
        <v>183</v>
      </c>
      <c r="C108" t="str">
        <f>_xlfn.XLOOKUP(TAB_T_DOCE_MAEST[[#This Row],[NOMBRE_DOCENTE]],MDOCENTES[DATOS_DOCENTE],MDOCENTES[ID_DOCENTE],"Seleccione Docente")</f>
        <v>Seleccione Docente</v>
      </c>
      <c r="E108" t="str">
        <f>IF(COUNTIFS(C:C,C108,D:D,D108)&gt;1,"Docente ya registrado","")</f>
        <v/>
      </c>
      <c r="F108" t="str">
        <f>_xlfn.XLOOKUP(TAB_T_DOCE_MAEST[[#This Row],[MAESTRIA]],MAESTRIA[NOMBRE_MAESTRIA],MAESTRIA[ID_MAESTRIA],"Seleccione Maestria")</f>
        <v>Seleccione Maestria</v>
      </c>
    </row>
    <row r="109" spans="1:6">
      <c r="A109" t="s">
        <v>184</v>
      </c>
      <c r="C109" t="str">
        <f>_xlfn.XLOOKUP(TAB_T_DOCE_MAEST[[#This Row],[NOMBRE_DOCENTE]],MDOCENTES[DATOS_DOCENTE],MDOCENTES[ID_DOCENTE],"Seleccione Docente")</f>
        <v>Seleccione Docente</v>
      </c>
      <c r="E109" t="str">
        <f>IF(COUNTIFS(C:C,C109,D:D,D109)&gt;1,"Docente ya registrado","")</f>
        <v/>
      </c>
      <c r="F109" t="str">
        <f>_xlfn.XLOOKUP(TAB_T_DOCE_MAEST[[#This Row],[MAESTRIA]],MAESTRIA[NOMBRE_MAESTRIA],MAESTRIA[ID_MAESTRIA],"Seleccione Maestria")</f>
        <v>Seleccione Maestria</v>
      </c>
    </row>
    <row r="110" spans="1:6">
      <c r="A110" t="s">
        <v>185</v>
      </c>
      <c r="C110" t="str">
        <f>_xlfn.XLOOKUP(TAB_T_DOCE_MAEST[[#This Row],[NOMBRE_DOCENTE]],MDOCENTES[DATOS_DOCENTE],MDOCENTES[ID_DOCENTE],"Seleccione Docente")</f>
        <v>Seleccione Docente</v>
      </c>
      <c r="E110" t="str">
        <f>IF(COUNTIFS(C:C,C110,D:D,D110)&gt;1,"Docente ya registrado","")</f>
        <v/>
      </c>
      <c r="F110" t="str">
        <f>_xlfn.XLOOKUP(TAB_T_DOCE_MAEST[[#This Row],[MAESTRIA]],MAESTRIA[NOMBRE_MAESTRIA],MAESTRIA[ID_MAESTRIA],"Seleccione Maestria")</f>
        <v>Seleccione Maestria</v>
      </c>
    </row>
    <row r="111" spans="1:6">
      <c r="A111" t="s">
        <v>186</v>
      </c>
      <c r="C111" t="str">
        <f>_xlfn.XLOOKUP(TAB_T_DOCE_MAEST[[#This Row],[NOMBRE_DOCENTE]],MDOCENTES[DATOS_DOCENTE],MDOCENTES[ID_DOCENTE],"Seleccione Docente")</f>
        <v>Seleccione Docente</v>
      </c>
      <c r="E111" t="str">
        <f>IF(COUNTIFS(C:C,C111,D:D,D111)&gt;1,"Docente ya registrado","")</f>
        <v/>
      </c>
      <c r="F111" t="str">
        <f>_xlfn.XLOOKUP(TAB_T_DOCE_MAEST[[#This Row],[MAESTRIA]],MAESTRIA[NOMBRE_MAESTRIA],MAESTRIA[ID_MAESTRIA],"Seleccione Maestria")</f>
        <v>Seleccione Maestria</v>
      </c>
    </row>
    <row r="112" spans="1:6">
      <c r="A112" t="s">
        <v>187</v>
      </c>
      <c r="C112" t="str">
        <f>_xlfn.XLOOKUP(TAB_T_DOCE_MAEST[[#This Row],[NOMBRE_DOCENTE]],MDOCENTES[DATOS_DOCENTE],MDOCENTES[ID_DOCENTE],"Seleccione Docente")</f>
        <v>Seleccione Docente</v>
      </c>
      <c r="E112" t="str">
        <f>IF(COUNTIFS(C:C,C112,D:D,D112)&gt;1,"Docente ya registrado","")</f>
        <v/>
      </c>
      <c r="F112" t="str">
        <f>_xlfn.XLOOKUP(TAB_T_DOCE_MAEST[[#This Row],[MAESTRIA]],MAESTRIA[NOMBRE_MAESTRIA],MAESTRIA[ID_MAESTRIA],"Seleccione Maestria")</f>
        <v>Seleccione Maestria</v>
      </c>
    </row>
    <row r="113" spans="1:6">
      <c r="A113" t="s">
        <v>188</v>
      </c>
      <c r="C113" t="str">
        <f>_xlfn.XLOOKUP(TAB_T_DOCE_MAEST[[#This Row],[NOMBRE_DOCENTE]],MDOCENTES[DATOS_DOCENTE],MDOCENTES[ID_DOCENTE],"Seleccione Docente")</f>
        <v>Seleccione Docente</v>
      </c>
      <c r="E113" t="str">
        <f>IF(COUNTIFS(C:C,C113,D:D,D113)&gt;1,"Docente ya registrado","")</f>
        <v/>
      </c>
      <c r="F113" t="str">
        <f>_xlfn.XLOOKUP(TAB_T_DOCE_MAEST[[#This Row],[MAESTRIA]],MAESTRIA[NOMBRE_MAESTRIA],MAESTRIA[ID_MAESTRIA],"Seleccione Maestria")</f>
        <v>Seleccione Maestria</v>
      </c>
    </row>
    <row r="114" spans="1:6">
      <c r="A114" t="s">
        <v>189</v>
      </c>
      <c r="C114" t="str">
        <f>_xlfn.XLOOKUP(TAB_T_DOCE_MAEST[[#This Row],[NOMBRE_DOCENTE]],MDOCENTES[DATOS_DOCENTE],MDOCENTES[ID_DOCENTE],"Seleccione Docente")</f>
        <v>Seleccione Docente</v>
      </c>
      <c r="E114" t="str">
        <f>IF(COUNTIFS(C:C,C114,D:D,D114)&gt;1,"Docente ya registrado","")</f>
        <v/>
      </c>
      <c r="F114" t="str">
        <f>_xlfn.XLOOKUP(TAB_T_DOCE_MAEST[[#This Row],[MAESTRIA]],MAESTRIA[NOMBRE_MAESTRIA],MAESTRIA[ID_MAESTRIA],"Seleccione Maestria")</f>
        <v>Seleccione Maestria</v>
      </c>
    </row>
    <row r="115" spans="1:6">
      <c r="A115" t="s">
        <v>190</v>
      </c>
      <c r="C115" t="str">
        <f>_xlfn.XLOOKUP(TAB_T_DOCE_MAEST[[#This Row],[NOMBRE_DOCENTE]],MDOCENTES[DATOS_DOCENTE],MDOCENTES[ID_DOCENTE],"Seleccione Docente")</f>
        <v>Seleccione Docente</v>
      </c>
      <c r="E115" t="str">
        <f>IF(COUNTIFS(C:C,C115,D:D,D115)&gt;1,"Docente ya registrado","")</f>
        <v/>
      </c>
      <c r="F115" t="str">
        <f>_xlfn.XLOOKUP(TAB_T_DOCE_MAEST[[#This Row],[MAESTRIA]],MAESTRIA[NOMBRE_MAESTRIA],MAESTRIA[ID_MAESTRIA],"Seleccione Maestria")</f>
        <v>Seleccione Maestria</v>
      </c>
    </row>
    <row r="116" spans="1:6">
      <c r="A116" t="s">
        <v>191</v>
      </c>
      <c r="C116" t="str">
        <f>_xlfn.XLOOKUP(TAB_T_DOCE_MAEST[[#This Row],[NOMBRE_DOCENTE]],MDOCENTES[DATOS_DOCENTE],MDOCENTES[ID_DOCENTE],"Seleccione Docente")</f>
        <v>Seleccione Docente</v>
      </c>
      <c r="E116" t="str">
        <f>IF(COUNTIFS(C:C,C116,D:D,D116)&gt;1,"Docente ya registrado","")</f>
        <v/>
      </c>
      <c r="F116" t="str">
        <f>_xlfn.XLOOKUP(TAB_T_DOCE_MAEST[[#This Row],[MAESTRIA]],MAESTRIA[NOMBRE_MAESTRIA],MAESTRIA[ID_MAESTRIA],"Seleccione Maestria")</f>
        <v>Seleccione Maestria</v>
      </c>
    </row>
    <row r="117" spans="1:6">
      <c r="A117" t="s">
        <v>192</v>
      </c>
      <c r="C117" t="str">
        <f>_xlfn.XLOOKUP(TAB_T_DOCE_MAEST[[#This Row],[NOMBRE_DOCENTE]],MDOCENTES[DATOS_DOCENTE],MDOCENTES[ID_DOCENTE],"Seleccione Docente")</f>
        <v>Seleccione Docente</v>
      </c>
      <c r="E117" t="str">
        <f>IF(COUNTIFS(C:C,C117,D:D,D117)&gt;1,"Docente ya registrado","")</f>
        <v/>
      </c>
      <c r="F117" t="str">
        <f>_xlfn.XLOOKUP(TAB_T_DOCE_MAEST[[#This Row],[MAESTRIA]],MAESTRIA[NOMBRE_MAESTRIA],MAESTRIA[ID_MAESTRIA],"Seleccione Maestria")</f>
        <v>Seleccione Maestria</v>
      </c>
    </row>
    <row r="118" spans="1:6">
      <c r="A118" t="s">
        <v>193</v>
      </c>
      <c r="C118" t="str">
        <f>_xlfn.XLOOKUP(TAB_T_DOCE_MAEST[[#This Row],[NOMBRE_DOCENTE]],MDOCENTES[DATOS_DOCENTE],MDOCENTES[ID_DOCENTE],"Seleccione Docente")</f>
        <v>Seleccione Docente</v>
      </c>
      <c r="E118" t="str">
        <f>IF(COUNTIFS(C:C,C118,D:D,D118)&gt;1,"Docente ya registrado","")</f>
        <v/>
      </c>
      <c r="F118" t="str">
        <f>_xlfn.XLOOKUP(TAB_T_DOCE_MAEST[[#This Row],[MAESTRIA]],MAESTRIA[NOMBRE_MAESTRIA],MAESTRIA[ID_MAESTRIA],"Seleccione Maestria")</f>
        <v>Seleccione Maestria</v>
      </c>
    </row>
    <row r="119" spans="1:6">
      <c r="A119" t="s">
        <v>194</v>
      </c>
      <c r="C119" t="str">
        <f>_xlfn.XLOOKUP(TAB_T_DOCE_MAEST[[#This Row],[NOMBRE_DOCENTE]],MDOCENTES[DATOS_DOCENTE],MDOCENTES[ID_DOCENTE],"Seleccione Docente")</f>
        <v>Seleccione Docente</v>
      </c>
      <c r="E119" t="str">
        <f>IF(COUNTIFS(C:C,C119,D:D,D119)&gt;1,"Docente ya registrado","")</f>
        <v/>
      </c>
      <c r="F119" t="str">
        <f>_xlfn.XLOOKUP(TAB_T_DOCE_MAEST[[#This Row],[MAESTRIA]],MAESTRIA[NOMBRE_MAESTRIA],MAESTRIA[ID_MAESTRIA],"Seleccione Maestria")</f>
        <v>Seleccione Maestria</v>
      </c>
    </row>
    <row r="120" spans="1:6">
      <c r="A120" t="s">
        <v>195</v>
      </c>
      <c r="C120" t="str">
        <f>_xlfn.XLOOKUP(TAB_T_DOCE_MAEST[[#This Row],[NOMBRE_DOCENTE]],MDOCENTES[DATOS_DOCENTE],MDOCENTES[ID_DOCENTE],"Seleccione Docente")</f>
        <v>Seleccione Docente</v>
      </c>
      <c r="E120" t="str">
        <f>IF(COUNTIFS(C:C,C120,D:D,D120)&gt;1,"Docente ya registrado","")</f>
        <v/>
      </c>
      <c r="F120" t="str">
        <f>_xlfn.XLOOKUP(TAB_T_DOCE_MAEST[[#This Row],[MAESTRIA]],MAESTRIA[NOMBRE_MAESTRIA],MAESTRIA[ID_MAESTRIA],"Seleccione Maestria")</f>
        <v>Seleccione Maestria</v>
      </c>
    </row>
    <row r="121" spans="1:6">
      <c r="A121" t="s">
        <v>196</v>
      </c>
      <c r="C121" t="str">
        <f>_xlfn.XLOOKUP(TAB_T_DOCE_MAEST[[#This Row],[NOMBRE_DOCENTE]],MDOCENTES[DATOS_DOCENTE],MDOCENTES[ID_DOCENTE],"Seleccione Docente")</f>
        <v>Seleccione Docente</v>
      </c>
      <c r="E121" t="str">
        <f>IF(COUNTIFS(C:C,C121,D:D,D121)&gt;1,"Docente ya registrado","")</f>
        <v/>
      </c>
      <c r="F121" t="str">
        <f>_xlfn.XLOOKUP(TAB_T_DOCE_MAEST[[#This Row],[MAESTRIA]],MAESTRIA[NOMBRE_MAESTRIA],MAESTRIA[ID_MAESTRIA],"Seleccione Maestria")</f>
        <v>Seleccione Maestria</v>
      </c>
    </row>
    <row r="122" spans="1:6">
      <c r="A122" t="s">
        <v>197</v>
      </c>
      <c r="C122" t="str">
        <f>_xlfn.XLOOKUP(TAB_T_DOCE_MAEST[[#This Row],[NOMBRE_DOCENTE]],MDOCENTES[DATOS_DOCENTE],MDOCENTES[ID_DOCENTE],"Seleccione Docente")</f>
        <v>Seleccione Docente</v>
      </c>
      <c r="E122" t="str">
        <f>IF(COUNTIFS(C:C,C122,D:D,D122)&gt;1,"Docente ya registrado","")</f>
        <v/>
      </c>
      <c r="F122" t="str">
        <f>_xlfn.XLOOKUP(TAB_T_DOCE_MAEST[[#This Row],[MAESTRIA]],MAESTRIA[NOMBRE_MAESTRIA],MAESTRIA[ID_MAESTRIA],"Seleccione Maestria")</f>
        <v>Seleccione Maestria</v>
      </c>
    </row>
    <row r="123" spans="1:6">
      <c r="A123" t="s">
        <v>198</v>
      </c>
      <c r="C123" t="str">
        <f>_xlfn.XLOOKUP(TAB_T_DOCE_MAEST[[#This Row],[NOMBRE_DOCENTE]],MDOCENTES[DATOS_DOCENTE],MDOCENTES[ID_DOCENTE],"Seleccione Docente")</f>
        <v>Seleccione Docente</v>
      </c>
      <c r="E123" t="str">
        <f>IF(COUNTIFS(C:C,C123,D:D,D123)&gt;1,"Docente ya registrado","")</f>
        <v/>
      </c>
      <c r="F123" t="str">
        <f>_xlfn.XLOOKUP(TAB_T_DOCE_MAEST[[#This Row],[MAESTRIA]],MAESTRIA[NOMBRE_MAESTRIA],MAESTRIA[ID_MAESTRIA],"Seleccione Maestria")</f>
        <v>Seleccione Maestria</v>
      </c>
    </row>
    <row r="124" spans="1:6">
      <c r="A124" t="s">
        <v>199</v>
      </c>
      <c r="C124" t="str">
        <f>_xlfn.XLOOKUP(TAB_T_DOCE_MAEST[[#This Row],[NOMBRE_DOCENTE]],MDOCENTES[DATOS_DOCENTE],MDOCENTES[ID_DOCENTE],"Seleccione Docente")</f>
        <v>Seleccione Docente</v>
      </c>
      <c r="E124" t="str">
        <f>IF(COUNTIFS(C:C,C124,D:D,D124)&gt;1,"Docente ya registrado","")</f>
        <v/>
      </c>
      <c r="F124" t="str">
        <f>_xlfn.XLOOKUP(TAB_T_DOCE_MAEST[[#This Row],[MAESTRIA]],MAESTRIA[NOMBRE_MAESTRIA],MAESTRIA[ID_MAESTRIA],"Seleccione Maestria")</f>
        <v>Seleccione Maestria</v>
      </c>
    </row>
    <row r="125" spans="1:6">
      <c r="A125" t="s">
        <v>200</v>
      </c>
      <c r="C125" t="str">
        <f>_xlfn.XLOOKUP(TAB_T_DOCE_MAEST[[#This Row],[NOMBRE_DOCENTE]],MDOCENTES[DATOS_DOCENTE],MDOCENTES[ID_DOCENTE],"Seleccione Docente")</f>
        <v>Seleccione Docente</v>
      </c>
      <c r="E125" t="str">
        <f>IF(COUNTIFS(C:C,C125,D:D,D125)&gt;1,"Docente ya registrado","")</f>
        <v/>
      </c>
      <c r="F125" t="str">
        <f>_xlfn.XLOOKUP(TAB_T_DOCE_MAEST[[#This Row],[MAESTRIA]],MAESTRIA[NOMBRE_MAESTRIA],MAESTRIA[ID_MAESTRIA],"Seleccione Maestria")</f>
        <v>Seleccione Maestria</v>
      </c>
    </row>
    <row r="126" spans="1:6">
      <c r="A126" t="s">
        <v>201</v>
      </c>
      <c r="C126" t="str">
        <f>_xlfn.XLOOKUP(TAB_T_DOCE_MAEST[[#This Row],[NOMBRE_DOCENTE]],MDOCENTES[DATOS_DOCENTE],MDOCENTES[ID_DOCENTE],"Seleccione Docente")</f>
        <v>Seleccione Docente</v>
      </c>
      <c r="E126" t="str">
        <f>IF(COUNTIFS(C:C,C126,D:D,D126)&gt;1,"Docente ya registrado","")</f>
        <v/>
      </c>
      <c r="F126" t="str">
        <f>_xlfn.XLOOKUP(TAB_T_DOCE_MAEST[[#This Row],[MAESTRIA]],MAESTRIA[NOMBRE_MAESTRIA],MAESTRIA[ID_MAESTRIA],"Seleccione Maestria")</f>
        <v>Seleccione Maestria</v>
      </c>
    </row>
    <row r="127" spans="1:6">
      <c r="A127" t="s">
        <v>202</v>
      </c>
      <c r="C127" t="str">
        <f>_xlfn.XLOOKUP(TAB_T_DOCE_MAEST[[#This Row],[NOMBRE_DOCENTE]],MDOCENTES[DATOS_DOCENTE],MDOCENTES[ID_DOCENTE],"Seleccione Docente")</f>
        <v>Seleccione Docente</v>
      </c>
      <c r="E127" t="str">
        <f>IF(COUNTIFS(C:C,C127,D:D,D127)&gt;1,"Docente ya registrado","")</f>
        <v/>
      </c>
      <c r="F127" t="str">
        <f>_xlfn.XLOOKUP(TAB_T_DOCE_MAEST[[#This Row],[MAESTRIA]],MAESTRIA[NOMBRE_MAESTRIA],MAESTRIA[ID_MAESTRIA],"Seleccione Maestria")</f>
        <v>Seleccione Maestria</v>
      </c>
    </row>
    <row r="128" spans="1:6">
      <c r="A128" t="s">
        <v>203</v>
      </c>
      <c r="C128" t="str">
        <f>_xlfn.XLOOKUP(TAB_T_DOCE_MAEST[[#This Row],[NOMBRE_DOCENTE]],MDOCENTES[DATOS_DOCENTE],MDOCENTES[ID_DOCENTE],"Seleccione Docente")</f>
        <v>Seleccione Docente</v>
      </c>
      <c r="E128" t="str">
        <f>IF(COUNTIFS(C:C,C128,D:D,D128)&gt;1,"Docente ya registrado","")</f>
        <v/>
      </c>
      <c r="F128" t="str">
        <f>_xlfn.XLOOKUP(TAB_T_DOCE_MAEST[[#This Row],[MAESTRIA]],MAESTRIA[NOMBRE_MAESTRIA],MAESTRIA[ID_MAESTRIA],"Seleccione Maestria")</f>
        <v>Seleccione Maestria</v>
      </c>
    </row>
    <row r="129" spans="1:6">
      <c r="A129" t="s">
        <v>204</v>
      </c>
      <c r="C129" t="str">
        <f>_xlfn.XLOOKUP(TAB_T_DOCE_MAEST[[#This Row],[NOMBRE_DOCENTE]],MDOCENTES[DATOS_DOCENTE],MDOCENTES[ID_DOCENTE],"Seleccione Docente")</f>
        <v>Seleccione Docente</v>
      </c>
      <c r="E129" t="str">
        <f>IF(COUNTIFS(C:C,C129,D:D,D129)&gt;1,"Docente ya registrado","")</f>
        <v/>
      </c>
      <c r="F129" t="str">
        <f>_xlfn.XLOOKUP(TAB_T_DOCE_MAEST[[#This Row],[MAESTRIA]],MAESTRIA[NOMBRE_MAESTRIA],MAESTRIA[ID_MAESTRIA],"Seleccione Maestria")</f>
        <v>Seleccione Maestria</v>
      </c>
    </row>
    <row r="130" spans="1:6">
      <c r="A130" t="s">
        <v>205</v>
      </c>
      <c r="C130" t="str">
        <f>_xlfn.XLOOKUP(TAB_T_DOCE_MAEST[[#This Row],[NOMBRE_DOCENTE]],MDOCENTES[DATOS_DOCENTE],MDOCENTES[ID_DOCENTE],"Seleccione Docente")</f>
        <v>Seleccione Docente</v>
      </c>
      <c r="E130" t="str">
        <f>IF(COUNTIFS(C:C,C130,D:D,D130)&gt;1,"Docente ya registrado","")</f>
        <v/>
      </c>
      <c r="F130" t="str">
        <f>_xlfn.XLOOKUP(TAB_T_DOCE_MAEST[[#This Row],[MAESTRIA]],MAESTRIA[NOMBRE_MAESTRIA],MAESTRIA[ID_MAESTRIA],"Seleccione Maestria")</f>
        <v>Seleccione Maestria</v>
      </c>
    </row>
    <row r="131" spans="1:6">
      <c r="A131" t="s">
        <v>206</v>
      </c>
      <c r="C131" t="str">
        <f>_xlfn.XLOOKUP(TAB_T_DOCE_MAEST[[#This Row],[NOMBRE_DOCENTE]],MDOCENTES[DATOS_DOCENTE],MDOCENTES[ID_DOCENTE],"Seleccione Docente")</f>
        <v>Seleccione Docente</v>
      </c>
      <c r="E131" t="str">
        <f>IF(COUNTIFS(C:C,C131,D:D,D131)&gt;1,"Docente ya registrado","")</f>
        <v/>
      </c>
      <c r="F131" t="str">
        <f>_xlfn.XLOOKUP(TAB_T_DOCE_MAEST[[#This Row],[MAESTRIA]],MAESTRIA[NOMBRE_MAESTRIA],MAESTRIA[ID_MAESTRIA],"Seleccione Maestria")</f>
        <v>Seleccione Maestria</v>
      </c>
    </row>
    <row r="132" spans="1:6">
      <c r="A132" t="s">
        <v>207</v>
      </c>
      <c r="C132" t="str">
        <f>_xlfn.XLOOKUP(TAB_T_DOCE_MAEST[[#This Row],[NOMBRE_DOCENTE]],MDOCENTES[DATOS_DOCENTE],MDOCENTES[ID_DOCENTE],"Seleccione Docente")</f>
        <v>Seleccione Docente</v>
      </c>
      <c r="E132" t="str">
        <f>IF(COUNTIFS(C:C,C132,D:D,D132)&gt;1,"Docente ya registrado","")</f>
        <v/>
      </c>
      <c r="F132" t="str">
        <f>_xlfn.XLOOKUP(TAB_T_DOCE_MAEST[[#This Row],[MAESTRIA]],MAESTRIA[NOMBRE_MAESTRIA],MAESTRIA[ID_MAESTRIA],"Seleccione Maestria")</f>
        <v>Seleccione Maestria</v>
      </c>
    </row>
    <row r="133" spans="1:6">
      <c r="A133" t="s">
        <v>208</v>
      </c>
      <c r="C133" t="str">
        <f>_xlfn.XLOOKUP(TAB_T_DOCE_MAEST[[#This Row],[NOMBRE_DOCENTE]],MDOCENTES[DATOS_DOCENTE],MDOCENTES[ID_DOCENTE],"Seleccione Docente")</f>
        <v>Seleccione Docente</v>
      </c>
      <c r="E133" t="str">
        <f>IF(COUNTIFS(C:C,C133,D:D,D133)&gt;1,"Docente ya registrado","")</f>
        <v/>
      </c>
      <c r="F133" t="str">
        <f>_xlfn.XLOOKUP(TAB_T_DOCE_MAEST[[#This Row],[MAESTRIA]],MAESTRIA[NOMBRE_MAESTRIA],MAESTRIA[ID_MAESTRIA],"Seleccione Maestria")</f>
        <v>Seleccione Maestria</v>
      </c>
    </row>
    <row r="134" spans="1:6">
      <c r="A134" t="s">
        <v>209</v>
      </c>
      <c r="C134" t="str">
        <f>_xlfn.XLOOKUP(TAB_T_DOCE_MAEST[[#This Row],[NOMBRE_DOCENTE]],MDOCENTES[DATOS_DOCENTE],MDOCENTES[ID_DOCENTE],"Seleccione Docente")</f>
        <v>Seleccione Docente</v>
      </c>
      <c r="E134" t="str">
        <f>IF(COUNTIFS(C:C,C134,D:D,D134)&gt;1,"Docente ya registrado","")</f>
        <v/>
      </c>
      <c r="F134" t="str">
        <f>_xlfn.XLOOKUP(TAB_T_DOCE_MAEST[[#This Row],[MAESTRIA]],MAESTRIA[NOMBRE_MAESTRIA],MAESTRIA[ID_MAESTRIA],"Seleccione Maestria")</f>
        <v>Seleccione Maestria</v>
      </c>
    </row>
    <row r="135" spans="1:6">
      <c r="A135" t="s">
        <v>210</v>
      </c>
      <c r="C135" t="str">
        <f>_xlfn.XLOOKUP(TAB_T_DOCE_MAEST[[#This Row],[NOMBRE_DOCENTE]],MDOCENTES[DATOS_DOCENTE],MDOCENTES[ID_DOCENTE],"Seleccione Docente")</f>
        <v>Seleccione Docente</v>
      </c>
      <c r="E135" t="str">
        <f>IF(COUNTIFS(C:C,C135,D:D,D135)&gt;1,"Docente ya registrado","")</f>
        <v/>
      </c>
      <c r="F135" t="str">
        <f>_xlfn.XLOOKUP(TAB_T_DOCE_MAEST[[#This Row],[MAESTRIA]],MAESTRIA[NOMBRE_MAESTRIA],MAESTRIA[ID_MAESTRIA],"Seleccione Maestria")</f>
        <v>Seleccione Maestria</v>
      </c>
    </row>
    <row r="136" spans="1:6">
      <c r="A136" t="s">
        <v>211</v>
      </c>
      <c r="C136" t="str">
        <f>_xlfn.XLOOKUP(TAB_T_DOCE_MAEST[[#This Row],[NOMBRE_DOCENTE]],MDOCENTES[DATOS_DOCENTE],MDOCENTES[ID_DOCENTE],"Seleccione Docente")</f>
        <v>Seleccione Docente</v>
      </c>
      <c r="E136" t="str">
        <f>IF(COUNTIFS(C:C,C136,D:D,D136)&gt;1,"Docente ya registrado","")</f>
        <v/>
      </c>
      <c r="F136" t="str">
        <f>_xlfn.XLOOKUP(TAB_T_DOCE_MAEST[[#This Row],[MAESTRIA]],MAESTRIA[NOMBRE_MAESTRIA],MAESTRIA[ID_MAESTRIA],"Seleccione Maestria")</f>
        <v>Seleccione Maestria</v>
      </c>
    </row>
    <row r="137" spans="1:6">
      <c r="A137" t="s">
        <v>212</v>
      </c>
      <c r="C137" t="str">
        <f>_xlfn.XLOOKUP(TAB_T_DOCE_MAEST[[#This Row],[NOMBRE_DOCENTE]],MDOCENTES[DATOS_DOCENTE],MDOCENTES[ID_DOCENTE],"Seleccione Docente")</f>
        <v>Seleccione Docente</v>
      </c>
      <c r="E137" t="str">
        <f>IF(COUNTIFS(C:C,C137,D:D,D137)&gt;1,"Docente ya registrado","")</f>
        <v/>
      </c>
      <c r="F137" t="str">
        <f>_xlfn.XLOOKUP(TAB_T_DOCE_MAEST[[#This Row],[MAESTRIA]],MAESTRIA[NOMBRE_MAESTRIA],MAESTRIA[ID_MAESTRIA],"Seleccione Maestria")</f>
        <v>Seleccione Maestria</v>
      </c>
    </row>
    <row r="138" spans="1:6">
      <c r="A138" t="s">
        <v>213</v>
      </c>
      <c r="C138" t="str">
        <f>_xlfn.XLOOKUP(TAB_T_DOCE_MAEST[[#This Row],[NOMBRE_DOCENTE]],MDOCENTES[DATOS_DOCENTE],MDOCENTES[ID_DOCENTE],"Seleccione Docente")</f>
        <v>Seleccione Docente</v>
      </c>
      <c r="E138" t="str">
        <f>IF(COUNTIFS(C:C,C138,D:D,D138)&gt;1,"Docente ya registrado","")</f>
        <v/>
      </c>
      <c r="F138" t="str">
        <f>_xlfn.XLOOKUP(TAB_T_DOCE_MAEST[[#This Row],[MAESTRIA]],MAESTRIA[NOMBRE_MAESTRIA],MAESTRIA[ID_MAESTRIA],"Seleccione Maestria")</f>
        <v>Seleccione Maestria</v>
      </c>
    </row>
    <row r="139" spans="1:6">
      <c r="A139" t="s">
        <v>214</v>
      </c>
      <c r="C139" t="str">
        <f>_xlfn.XLOOKUP(TAB_T_DOCE_MAEST[[#This Row],[NOMBRE_DOCENTE]],MDOCENTES[DATOS_DOCENTE],MDOCENTES[ID_DOCENTE],"Seleccione Docente")</f>
        <v>Seleccione Docente</v>
      </c>
      <c r="E139" t="str">
        <f>IF(COUNTIFS(C:C,C139,D:D,D139)&gt;1,"Docente ya registrado","")</f>
        <v/>
      </c>
      <c r="F139" t="str">
        <f>_xlfn.XLOOKUP(TAB_T_DOCE_MAEST[[#This Row],[MAESTRIA]],MAESTRIA[NOMBRE_MAESTRIA],MAESTRIA[ID_MAESTRIA],"Seleccione Maestria")</f>
        <v>Seleccione Maestria</v>
      </c>
    </row>
    <row r="140" spans="1:6">
      <c r="A140" t="s">
        <v>215</v>
      </c>
      <c r="C140" t="str">
        <f>_xlfn.XLOOKUP(TAB_T_DOCE_MAEST[[#This Row],[NOMBRE_DOCENTE]],MDOCENTES[DATOS_DOCENTE],MDOCENTES[ID_DOCENTE],"Seleccione Docente")</f>
        <v>Seleccione Docente</v>
      </c>
      <c r="E140" t="str">
        <f>IF(COUNTIFS(C:C,C140,D:D,D140)&gt;1,"Docente ya registrado","")</f>
        <v/>
      </c>
      <c r="F140" t="str">
        <f>_xlfn.XLOOKUP(TAB_T_DOCE_MAEST[[#This Row],[MAESTRIA]],MAESTRIA[NOMBRE_MAESTRIA],MAESTRIA[ID_MAESTRIA],"Seleccione Maestria")</f>
        <v>Seleccione Maestria</v>
      </c>
    </row>
    <row r="141" spans="1:6">
      <c r="A141" t="s">
        <v>216</v>
      </c>
      <c r="C141" t="str">
        <f>_xlfn.XLOOKUP(TAB_T_DOCE_MAEST[[#This Row],[NOMBRE_DOCENTE]],MDOCENTES[DATOS_DOCENTE],MDOCENTES[ID_DOCENTE],"Seleccione Docente")</f>
        <v>Seleccione Docente</v>
      </c>
      <c r="E141" t="str">
        <f>IF(COUNTIFS(C:C,C141,D:D,D141)&gt;1,"Docente ya registrado","")</f>
        <v/>
      </c>
      <c r="F141" t="str">
        <f>_xlfn.XLOOKUP(TAB_T_DOCE_MAEST[[#This Row],[MAESTRIA]],MAESTRIA[NOMBRE_MAESTRIA],MAESTRIA[ID_MAESTRIA],"Seleccione Maestria")</f>
        <v>Seleccione Maestria</v>
      </c>
    </row>
    <row r="142" spans="1:6">
      <c r="A142" t="s">
        <v>217</v>
      </c>
      <c r="C142" t="str">
        <f>_xlfn.XLOOKUP(TAB_T_DOCE_MAEST[[#This Row],[NOMBRE_DOCENTE]],MDOCENTES[DATOS_DOCENTE],MDOCENTES[ID_DOCENTE],"Seleccione Docente")</f>
        <v>Seleccione Docente</v>
      </c>
      <c r="E142" t="str">
        <f>IF(COUNTIFS(C:C,C142,D:D,D142)&gt;1,"Docente ya registrado","")</f>
        <v/>
      </c>
      <c r="F142" t="str">
        <f>_xlfn.XLOOKUP(TAB_T_DOCE_MAEST[[#This Row],[MAESTRIA]],MAESTRIA[NOMBRE_MAESTRIA],MAESTRIA[ID_MAESTRIA],"Seleccione Maestria")</f>
        <v>Seleccione Maestria</v>
      </c>
    </row>
    <row r="143" spans="1:6">
      <c r="A143" t="s">
        <v>218</v>
      </c>
      <c r="C143" t="str">
        <f>_xlfn.XLOOKUP(TAB_T_DOCE_MAEST[[#This Row],[NOMBRE_DOCENTE]],MDOCENTES[DATOS_DOCENTE],MDOCENTES[ID_DOCENTE],"Seleccione Docente")</f>
        <v>Seleccione Docente</v>
      </c>
      <c r="E143" t="str">
        <f>IF(COUNTIFS(C:C,C143,D:D,D143)&gt;1,"Docente ya registrado","")</f>
        <v/>
      </c>
      <c r="F143" t="str">
        <f>_xlfn.XLOOKUP(TAB_T_DOCE_MAEST[[#This Row],[MAESTRIA]],MAESTRIA[NOMBRE_MAESTRIA],MAESTRIA[ID_MAESTRIA],"Seleccione Maestria")</f>
        <v>Seleccione Maestria</v>
      </c>
    </row>
    <row r="144" spans="1:6">
      <c r="A144" t="s">
        <v>219</v>
      </c>
      <c r="C144" t="str">
        <f>_xlfn.XLOOKUP(TAB_T_DOCE_MAEST[[#This Row],[NOMBRE_DOCENTE]],MDOCENTES[DATOS_DOCENTE],MDOCENTES[ID_DOCENTE],"Seleccione Docente")</f>
        <v>Seleccione Docente</v>
      </c>
      <c r="E144" t="str">
        <f>IF(COUNTIFS(C:C,C144,D:D,D144)&gt;1,"Docente ya registrado","")</f>
        <v/>
      </c>
      <c r="F144" t="str">
        <f>_xlfn.XLOOKUP(TAB_T_DOCE_MAEST[[#This Row],[MAESTRIA]],MAESTRIA[NOMBRE_MAESTRIA],MAESTRIA[ID_MAESTRIA],"Seleccione Maestria")</f>
        <v>Seleccione Maestria</v>
      </c>
    </row>
    <row r="145" spans="1:6">
      <c r="A145" t="s">
        <v>220</v>
      </c>
      <c r="C145" t="str">
        <f>_xlfn.XLOOKUP(TAB_T_DOCE_MAEST[[#This Row],[NOMBRE_DOCENTE]],MDOCENTES[DATOS_DOCENTE],MDOCENTES[ID_DOCENTE],"Seleccione Docente")</f>
        <v>Seleccione Docente</v>
      </c>
      <c r="E145" t="str">
        <f>IF(COUNTIFS(C:C,C145,D:D,D145)&gt;1,"Docente ya registrado","")</f>
        <v/>
      </c>
      <c r="F145" t="str">
        <f>_xlfn.XLOOKUP(TAB_T_DOCE_MAEST[[#This Row],[MAESTRIA]],MAESTRIA[NOMBRE_MAESTRIA],MAESTRIA[ID_MAESTRIA],"Seleccione Maestria")</f>
        <v>Seleccione Maestria</v>
      </c>
    </row>
    <row r="146" spans="1:6">
      <c r="A146" t="s">
        <v>221</v>
      </c>
      <c r="C146" t="str">
        <f>_xlfn.XLOOKUP(TAB_T_DOCE_MAEST[[#This Row],[NOMBRE_DOCENTE]],MDOCENTES[DATOS_DOCENTE],MDOCENTES[ID_DOCENTE],"Seleccione Docente")</f>
        <v>Seleccione Docente</v>
      </c>
      <c r="E146" t="str">
        <f>IF(COUNTIFS(C:C,C146,D:D,D146)&gt;1,"Docente ya registrado","")</f>
        <v/>
      </c>
      <c r="F146" t="str">
        <f>_xlfn.XLOOKUP(TAB_T_DOCE_MAEST[[#This Row],[MAESTRIA]],MAESTRIA[NOMBRE_MAESTRIA],MAESTRIA[ID_MAESTRIA],"Seleccione Maestria")</f>
        <v>Seleccione Maestria</v>
      </c>
    </row>
    <row r="147" spans="1:6">
      <c r="A147" t="s">
        <v>222</v>
      </c>
      <c r="C147" t="str">
        <f>_xlfn.XLOOKUP(TAB_T_DOCE_MAEST[[#This Row],[NOMBRE_DOCENTE]],MDOCENTES[DATOS_DOCENTE],MDOCENTES[ID_DOCENTE],"Seleccione Docente")</f>
        <v>Seleccione Docente</v>
      </c>
      <c r="E147" t="str">
        <f>IF(COUNTIFS(C:C,C147,D:D,D147)&gt;1,"Docente ya registrado","")</f>
        <v/>
      </c>
      <c r="F147" t="str">
        <f>_xlfn.XLOOKUP(TAB_T_DOCE_MAEST[[#This Row],[MAESTRIA]],MAESTRIA[NOMBRE_MAESTRIA],MAESTRIA[ID_MAESTRIA],"Seleccione Maestria")</f>
        <v>Seleccione Maestria</v>
      </c>
    </row>
    <row r="148" spans="1:6">
      <c r="A148" t="s">
        <v>223</v>
      </c>
      <c r="C148" t="str">
        <f>_xlfn.XLOOKUP(TAB_T_DOCE_MAEST[[#This Row],[NOMBRE_DOCENTE]],MDOCENTES[DATOS_DOCENTE],MDOCENTES[ID_DOCENTE],"Seleccione Docente")</f>
        <v>Seleccione Docente</v>
      </c>
      <c r="E148" t="str">
        <f>IF(COUNTIFS(C:C,C148,D:D,D148)&gt;1,"Docente ya registrado","")</f>
        <v/>
      </c>
      <c r="F148" t="str">
        <f>_xlfn.XLOOKUP(TAB_T_DOCE_MAEST[[#This Row],[MAESTRIA]],MAESTRIA[NOMBRE_MAESTRIA],MAESTRIA[ID_MAESTRIA],"Seleccione Maestria")</f>
        <v>Seleccione Maestria</v>
      </c>
    </row>
    <row r="149" spans="1:6">
      <c r="A149" t="s">
        <v>224</v>
      </c>
      <c r="C149" t="str">
        <f>_xlfn.XLOOKUP(TAB_T_DOCE_MAEST[[#This Row],[NOMBRE_DOCENTE]],MDOCENTES[DATOS_DOCENTE],MDOCENTES[ID_DOCENTE],"Seleccione Docente")</f>
        <v>Seleccione Docente</v>
      </c>
      <c r="E149" t="str">
        <f>IF(COUNTIFS(C:C,C149,D:D,D149)&gt;1,"Docente ya registrado","")</f>
        <v/>
      </c>
      <c r="F149" t="str">
        <f>_xlfn.XLOOKUP(TAB_T_DOCE_MAEST[[#This Row],[MAESTRIA]],MAESTRIA[NOMBRE_MAESTRIA],MAESTRIA[ID_MAESTRIA],"Seleccione Maestria")</f>
        <v>Seleccione Maestria</v>
      </c>
    </row>
    <row r="150" spans="1:6">
      <c r="A150" t="s">
        <v>225</v>
      </c>
      <c r="C150" t="str">
        <f>_xlfn.XLOOKUP(TAB_T_DOCE_MAEST[[#This Row],[NOMBRE_DOCENTE]],MDOCENTES[DATOS_DOCENTE],MDOCENTES[ID_DOCENTE],"Seleccione Docente")</f>
        <v>Seleccione Docente</v>
      </c>
      <c r="E150" t="str">
        <f>IF(COUNTIFS(C:C,C150,D:D,D150)&gt;1,"Docente ya registrado","")</f>
        <v/>
      </c>
      <c r="F150" t="str">
        <f>_xlfn.XLOOKUP(TAB_T_DOCE_MAEST[[#This Row],[MAESTRIA]],MAESTRIA[NOMBRE_MAESTRIA],MAESTRIA[ID_MAESTRIA],"Seleccione Maestria")</f>
        <v>Seleccione Maestria</v>
      </c>
    </row>
    <row r="151" spans="1:6">
      <c r="A151" t="s">
        <v>226</v>
      </c>
      <c r="C151" t="str">
        <f>_xlfn.XLOOKUP(TAB_T_DOCE_MAEST[[#This Row],[NOMBRE_DOCENTE]],MDOCENTES[DATOS_DOCENTE],MDOCENTES[ID_DOCENTE],"Seleccione Docente")</f>
        <v>Seleccione Docente</v>
      </c>
      <c r="E151" t="str">
        <f>IF(COUNTIFS(C:C,C151,D:D,D151)&gt;1,"Docente ya registrado","")</f>
        <v/>
      </c>
      <c r="F151" t="str">
        <f>_xlfn.XLOOKUP(TAB_T_DOCE_MAEST[[#This Row],[MAESTRIA]],MAESTRIA[NOMBRE_MAESTRIA],MAESTRIA[ID_MAESTRIA],"Seleccione Maestria")</f>
        <v>Seleccione Maestria</v>
      </c>
    </row>
    <row r="152" spans="1:6">
      <c r="A152" t="s">
        <v>227</v>
      </c>
      <c r="C152" t="str">
        <f>_xlfn.XLOOKUP(TAB_T_DOCE_MAEST[[#This Row],[NOMBRE_DOCENTE]],MDOCENTES[DATOS_DOCENTE],MDOCENTES[ID_DOCENTE],"Seleccione Docente")</f>
        <v>Seleccione Docente</v>
      </c>
      <c r="E152" t="str">
        <f>IF(COUNTIFS(C:C,C152,D:D,D152)&gt;1,"Docente ya registrado","")</f>
        <v/>
      </c>
      <c r="F152" t="str">
        <f>_xlfn.XLOOKUP(TAB_T_DOCE_MAEST[[#This Row],[MAESTRIA]],MAESTRIA[NOMBRE_MAESTRIA],MAESTRIA[ID_MAESTRIA],"Seleccione Maestria")</f>
        <v>Seleccione Maestria</v>
      </c>
    </row>
    <row r="153" spans="1:6">
      <c r="A153" t="s">
        <v>228</v>
      </c>
      <c r="C153" t="str">
        <f>_xlfn.XLOOKUP(TAB_T_DOCE_MAEST[[#This Row],[NOMBRE_DOCENTE]],MDOCENTES[DATOS_DOCENTE],MDOCENTES[ID_DOCENTE],"Seleccione Docente")</f>
        <v>Seleccione Docente</v>
      </c>
      <c r="E153" t="str">
        <f>IF(COUNTIFS(C:C,C153,D:D,D153)&gt;1,"Docente ya registrado","")</f>
        <v/>
      </c>
      <c r="F153" t="str">
        <f>_xlfn.XLOOKUP(TAB_T_DOCE_MAEST[[#This Row],[MAESTRIA]],MAESTRIA[NOMBRE_MAESTRIA],MAESTRIA[ID_MAESTRIA],"Seleccione Maestria")</f>
        <v>Seleccione Maestria</v>
      </c>
    </row>
    <row r="154" spans="1:6">
      <c r="A154" t="s">
        <v>229</v>
      </c>
      <c r="C154" t="str">
        <f>_xlfn.XLOOKUP(TAB_T_DOCE_MAEST[[#This Row],[NOMBRE_DOCENTE]],MDOCENTES[DATOS_DOCENTE],MDOCENTES[ID_DOCENTE],"Seleccione Docente")</f>
        <v>Seleccione Docente</v>
      </c>
      <c r="E154" t="str">
        <f>IF(COUNTIFS(C:C,C154,D:D,D154)&gt;1,"Docente ya registrado","")</f>
        <v/>
      </c>
      <c r="F154" t="str">
        <f>_xlfn.XLOOKUP(TAB_T_DOCE_MAEST[[#This Row],[MAESTRIA]],MAESTRIA[NOMBRE_MAESTRIA],MAESTRIA[ID_MAESTRIA],"Seleccione Maestria")</f>
        <v>Seleccione Maestria</v>
      </c>
    </row>
    <row r="155" spans="1:6">
      <c r="A155" t="s">
        <v>230</v>
      </c>
      <c r="C155" t="str">
        <f>_xlfn.XLOOKUP(TAB_T_DOCE_MAEST[[#This Row],[NOMBRE_DOCENTE]],MDOCENTES[DATOS_DOCENTE],MDOCENTES[ID_DOCENTE],"Seleccione Docente")</f>
        <v>Seleccione Docente</v>
      </c>
      <c r="E155" t="str">
        <f>IF(COUNTIFS(C:C,C155,D:D,D155)&gt;1,"Docente ya registrado","")</f>
        <v/>
      </c>
      <c r="F155" t="str">
        <f>_xlfn.XLOOKUP(TAB_T_DOCE_MAEST[[#This Row],[MAESTRIA]],MAESTRIA[NOMBRE_MAESTRIA],MAESTRIA[ID_MAESTRIA],"Seleccione Maestria")</f>
        <v>Seleccione Maestria</v>
      </c>
    </row>
    <row r="156" spans="1:6">
      <c r="A156" t="s">
        <v>231</v>
      </c>
      <c r="C156" t="str">
        <f>_xlfn.XLOOKUP(TAB_T_DOCE_MAEST[[#This Row],[NOMBRE_DOCENTE]],MDOCENTES[DATOS_DOCENTE],MDOCENTES[ID_DOCENTE],"Seleccione Docente")</f>
        <v>Seleccione Docente</v>
      </c>
      <c r="E156" t="str">
        <f>IF(COUNTIFS(C:C,C156,D:D,D156)&gt;1,"Docente ya registrado","")</f>
        <v/>
      </c>
      <c r="F156" t="str">
        <f>_xlfn.XLOOKUP(TAB_T_DOCE_MAEST[[#This Row],[MAESTRIA]],MAESTRIA[NOMBRE_MAESTRIA],MAESTRIA[ID_MAESTRIA],"Seleccione Maestria")</f>
        <v>Seleccione Maestria</v>
      </c>
    </row>
    <row r="157" spans="1:6">
      <c r="A157" t="s">
        <v>232</v>
      </c>
      <c r="C157" t="str">
        <f>_xlfn.XLOOKUP(TAB_T_DOCE_MAEST[[#This Row],[NOMBRE_DOCENTE]],MDOCENTES[DATOS_DOCENTE],MDOCENTES[ID_DOCENTE],"Seleccione Docente")</f>
        <v>Seleccione Docente</v>
      </c>
      <c r="E157" t="str">
        <f>IF(COUNTIFS(C:C,C157,D:D,D157)&gt;1,"Docente ya registrado","")</f>
        <v/>
      </c>
      <c r="F157" t="str">
        <f>_xlfn.XLOOKUP(TAB_T_DOCE_MAEST[[#This Row],[MAESTRIA]],MAESTRIA[NOMBRE_MAESTRIA],MAESTRIA[ID_MAESTRIA],"Seleccione Maestria")</f>
        <v>Seleccione Maestria</v>
      </c>
    </row>
    <row r="158" spans="1:6">
      <c r="A158" t="s">
        <v>233</v>
      </c>
      <c r="C158" t="str">
        <f>_xlfn.XLOOKUP(TAB_T_DOCE_MAEST[[#This Row],[NOMBRE_DOCENTE]],MDOCENTES[DATOS_DOCENTE],MDOCENTES[ID_DOCENTE],"Seleccione Docente")</f>
        <v>Seleccione Docente</v>
      </c>
      <c r="E158" t="str">
        <f>IF(COUNTIFS(C:C,C158,D:D,D158)&gt;1,"Docente ya registrado","")</f>
        <v/>
      </c>
      <c r="F158" t="str">
        <f>_xlfn.XLOOKUP(TAB_T_DOCE_MAEST[[#This Row],[MAESTRIA]],MAESTRIA[NOMBRE_MAESTRIA],MAESTRIA[ID_MAESTRIA],"Seleccione Maestria")</f>
        <v>Seleccione Maestria</v>
      </c>
    </row>
    <row r="159" spans="1:6">
      <c r="A159" t="s">
        <v>234</v>
      </c>
      <c r="C159" t="str">
        <f>_xlfn.XLOOKUP(TAB_T_DOCE_MAEST[[#This Row],[NOMBRE_DOCENTE]],MDOCENTES[DATOS_DOCENTE],MDOCENTES[ID_DOCENTE],"Seleccione Docente")</f>
        <v>Seleccione Docente</v>
      </c>
      <c r="E159" t="str">
        <f>IF(COUNTIFS(C:C,C159,D:D,D159)&gt;1,"Docente ya registrado","")</f>
        <v/>
      </c>
      <c r="F159" t="str">
        <f>_xlfn.XLOOKUP(TAB_T_DOCE_MAEST[[#This Row],[MAESTRIA]],MAESTRIA[NOMBRE_MAESTRIA],MAESTRIA[ID_MAESTRIA],"Seleccione Maestria")</f>
        <v>Seleccione Maestria</v>
      </c>
    </row>
    <row r="160" spans="1:6">
      <c r="A160" t="s">
        <v>235</v>
      </c>
      <c r="C160" t="str">
        <f>_xlfn.XLOOKUP(TAB_T_DOCE_MAEST[[#This Row],[NOMBRE_DOCENTE]],MDOCENTES[DATOS_DOCENTE],MDOCENTES[ID_DOCENTE],"Seleccione Docente")</f>
        <v>Seleccione Docente</v>
      </c>
      <c r="E160" t="str">
        <f>IF(COUNTIFS(C:C,C160,D:D,D160)&gt;1,"Docente ya registrado","")</f>
        <v/>
      </c>
      <c r="F160" t="str">
        <f>_xlfn.XLOOKUP(TAB_T_DOCE_MAEST[[#This Row],[MAESTRIA]],MAESTRIA[NOMBRE_MAESTRIA],MAESTRIA[ID_MAESTRIA],"Seleccione Maestria")</f>
        <v>Seleccione Maestria</v>
      </c>
    </row>
    <row r="161" spans="1:6">
      <c r="A161" t="s">
        <v>236</v>
      </c>
      <c r="C161" t="str">
        <f>_xlfn.XLOOKUP(TAB_T_DOCE_MAEST[[#This Row],[NOMBRE_DOCENTE]],MDOCENTES[DATOS_DOCENTE],MDOCENTES[ID_DOCENTE],"Seleccione Docente")</f>
        <v>Seleccione Docente</v>
      </c>
      <c r="E161" t="str">
        <f>IF(COUNTIFS(C:C,C161,D:D,D161)&gt;1,"Docente ya registrado","")</f>
        <v/>
      </c>
      <c r="F161" t="str">
        <f>_xlfn.XLOOKUP(TAB_T_DOCE_MAEST[[#This Row],[MAESTRIA]],MAESTRIA[NOMBRE_MAESTRIA],MAESTRIA[ID_MAESTRIA],"Seleccione Maestria")</f>
        <v>Seleccione Maestria</v>
      </c>
    </row>
    <row r="162" spans="1:6">
      <c r="A162" t="s">
        <v>237</v>
      </c>
      <c r="C162" t="str">
        <f>_xlfn.XLOOKUP(TAB_T_DOCE_MAEST[[#This Row],[NOMBRE_DOCENTE]],MDOCENTES[DATOS_DOCENTE],MDOCENTES[ID_DOCENTE],"Seleccione Docente")</f>
        <v>Seleccione Docente</v>
      </c>
      <c r="E162" t="str">
        <f>IF(COUNTIFS(C:C,C162,D:D,D162)&gt;1,"Docente ya registrado","")</f>
        <v/>
      </c>
      <c r="F162" t="str">
        <f>_xlfn.XLOOKUP(TAB_T_DOCE_MAEST[[#This Row],[MAESTRIA]],MAESTRIA[NOMBRE_MAESTRIA],MAESTRIA[ID_MAESTRIA],"Seleccione Maestria")</f>
        <v>Seleccione Maestria</v>
      </c>
    </row>
    <row r="163" spans="1:6">
      <c r="A163" t="s">
        <v>238</v>
      </c>
      <c r="C163" t="str">
        <f>_xlfn.XLOOKUP(TAB_T_DOCE_MAEST[[#This Row],[NOMBRE_DOCENTE]],MDOCENTES[DATOS_DOCENTE],MDOCENTES[ID_DOCENTE],"Seleccione Docente")</f>
        <v>Seleccione Docente</v>
      </c>
      <c r="E163" t="str">
        <f>IF(COUNTIFS(C:C,C163,D:D,D163)&gt;1,"Docente ya registrado","")</f>
        <v/>
      </c>
      <c r="F163" t="str">
        <f>_xlfn.XLOOKUP(TAB_T_DOCE_MAEST[[#This Row],[MAESTRIA]],MAESTRIA[NOMBRE_MAESTRIA],MAESTRIA[ID_MAESTRIA],"Seleccione Maestria")</f>
        <v>Seleccione Maestria</v>
      </c>
    </row>
    <row r="164" spans="1:6">
      <c r="A164" t="s">
        <v>239</v>
      </c>
      <c r="C164" t="str">
        <f>_xlfn.XLOOKUP(TAB_T_DOCE_MAEST[[#This Row],[NOMBRE_DOCENTE]],MDOCENTES[DATOS_DOCENTE],MDOCENTES[ID_DOCENTE],"Seleccione Docente")</f>
        <v>Seleccione Docente</v>
      </c>
      <c r="E164" t="str">
        <f>IF(COUNTIFS(C:C,C164,D:D,D164)&gt;1,"Docente ya registrado","")</f>
        <v/>
      </c>
      <c r="F164" t="str">
        <f>_xlfn.XLOOKUP(TAB_T_DOCE_MAEST[[#This Row],[MAESTRIA]],MAESTRIA[NOMBRE_MAESTRIA],MAESTRIA[ID_MAESTRIA],"Seleccione Maestria")</f>
        <v>Seleccione Maestria</v>
      </c>
    </row>
    <row r="165" spans="1:6">
      <c r="A165" t="s">
        <v>240</v>
      </c>
      <c r="C165" t="str">
        <f>_xlfn.XLOOKUP(TAB_T_DOCE_MAEST[[#This Row],[NOMBRE_DOCENTE]],MDOCENTES[DATOS_DOCENTE],MDOCENTES[ID_DOCENTE],"Seleccione Docente")</f>
        <v>Seleccione Docente</v>
      </c>
      <c r="E165" t="str">
        <f>IF(COUNTIFS(C:C,C165,D:D,D165)&gt;1,"Docente ya registrado","")</f>
        <v/>
      </c>
      <c r="F165" t="str">
        <f>_xlfn.XLOOKUP(TAB_T_DOCE_MAEST[[#This Row],[MAESTRIA]],MAESTRIA[NOMBRE_MAESTRIA],MAESTRIA[ID_MAESTRIA],"Seleccione Maestria")</f>
        <v>Seleccione Maestria</v>
      </c>
    </row>
    <row r="166" spans="1:6">
      <c r="A166" t="s">
        <v>241</v>
      </c>
      <c r="C166" t="str">
        <f>_xlfn.XLOOKUP(TAB_T_DOCE_MAEST[[#This Row],[NOMBRE_DOCENTE]],MDOCENTES[DATOS_DOCENTE],MDOCENTES[ID_DOCENTE],"Seleccione Docente")</f>
        <v>Seleccione Docente</v>
      </c>
      <c r="E166" t="str">
        <f>IF(COUNTIFS(C:C,C166,D:D,D166)&gt;1,"Docente ya registrado","")</f>
        <v/>
      </c>
      <c r="F166" t="str">
        <f>_xlfn.XLOOKUP(TAB_T_DOCE_MAEST[[#This Row],[MAESTRIA]],MAESTRIA[NOMBRE_MAESTRIA],MAESTRIA[ID_MAESTRIA],"Seleccione Maestria")</f>
        <v>Seleccione Maestria</v>
      </c>
    </row>
    <row r="167" spans="1:6">
      <c r="A167" t="s">
        <v>242</v>
      </c>
      <c r="C167" t="str">
        <f>_xlfn.XLOOKUP(TAB_T_DOCE_MAEST[[#This Row],[NOMBRE_DOCENTE]],MDOCENTES[DATOS_DOCENTE],MDOCENTES[ID_DOCENTE],"Seleccione Docente")</f>
        <v>Seleccione Docente</v>
      </c>
      <c r="E167" t="str">
        <f>IF(COUNTIFS(C:C,C167,D:D,D167)&gt;1,"Docente ya registrado","")</f>
        <v/>
      </c>
      <c r="F167" t="str">
        <f>_xlfn.XLOOKUP(TAB_T_DOCE_MAEST[[#This Row],[MAESTRIA]],MAESTRIA[NOMBRE_MAESTRIA],MAESTRIA[ID_MAESTRIA],"Seleccione Maestria")</f>
        <v>Seleccione Maestria</v>
      </c>
    </row>
    <row r="168" spans="1:6">
      <c r="A168" t="s">
        <v>243</v>
      </c>
      <c r="C168" t="str">
        <f>_xlfn.XLOOKUP(TAB_T_DOCE_MAEST[[#This Row],[NOMBRE_DOCENTE]],MDOCENTES[DATOS_DOCENTE],MDOCENTES[ID_DOCENTE],"Seleccione Docente")</f>
        <v>Seleccione Docente</v>
      </c>
      <c r="E168" t="str">
        <f>IF(COUNTIFS(C:C,C168,D:D,D168)&gt;1,"Docente ya registrado","")</f>
        <v/>
      </c>
      <c r="F168" t="str">
        <f>_xlfn.XLOOKUP(TAB_T_DOCE_MAEST[[#This Row],[MAESTRIA]],MAESTRIA[NOMBRE_MAESTRIA],MAESTRIA[ID_MAESTRIA],"Seleccione Maestria")</f>
        <v>Seleccione Maestria</v>
      </c>
    </row>
    <row r="169" spans="1:6">
      <c r="A169" t="s">
        <v>244</v>
      </c>
      <c r="C169" t="str">
        <f>_xlfn.XLOOKUP(TAB_T_DOCE_MAEST[[#This Row],[NOMBRE_DOCENTE]],MDOCENTES[DATOS_DOCENTE],MDOCENTES[ID_DOCENTE],"Seleccione Docente")</f>
        <v>Seleccione Docente</v>
      </c>
      <c r="E169" t="str">
        <f>IF(COUNTIFS(C:C,C169,D:D,D169)&gt;1,"Docente ya registrado","")</f>
        <v/>
      </c>
      <c r="F169" t="str">
        <f>_xlfn.XLOOKUP(TAB_T_DOCE_MAEST[[#This Row],[MAESTRIA]],MAESTRIA[NOMBRE_MAESTRIA],MAESTRIA[ID_MAESTRIA],"Seleccione Maestria")</f>
        <v>Seleccione Maestria</v>
      </c>
    </row>
    <row r="170" spans="1:6">
      <c r="A170" t="s">
        <v>245</v>
      </c>
      <c r="C170" t="str">
        <f>_xlfn.XLOOKUP(TAB_T_DOCE_MAEST[[#This Row],[NOMBRE_DOCENTE]],MDOCENTES[DATOS_DOCENTE],MDOCENTES[ID_DOCENTE],"Seleccione Docente")</f>
        <v>Seleccione Docente</v>
      </c>
      <c r="E170" t="str">
        <f>IF(COUNTIFS(C:C,C170,D:D,D170)&gt;1,"Docente ya registrado","")</f>
        <v/>
      </c>
      <c r="F170" t="str">
        <f>_xlfn.XLOOKUP(TAB_T_DOCE_MAEST[[#This Row],[MAESTRIA]],MAESTRIA[NOMBRE_MAESTRIA],MAESTRIA[ID_MAESTRIA],"Seleccione Maestria")</f>
        <v>Seleccione Maestria</v>
      </c>
    </row>
    <row r="171" spans="1:6">
      <c r="A171" t="s">
        <v>246</v>
      </c>
      <c r="C171" t="str">
        <f>_xlfn.XLOOKUP(TAB_T_DOCE_MAEST[[#This Row],[NOMBRE_DOCENTE]],MDOCENTES[DATOS_DOCENTE],MDOCENTES[ID_DOCENTE],"Seleccione Docente")</f>
        <v>Seleccione Docente</v>
      </c>
      <c r="E171" t="str">
        <f>IF(COUNTIFS(C:C,C171,D:D,D171)&gt;1,"Docente ya registrado","")</f>
        <v/>
      </c>
      <c r="F171" t="str">
        <f>_xlfn.XLOOKUP(TAB_T_DOCE_MAEST[[#This Row],[MAESTRIA]],MAESTRIA[NOMBRE_MAESTRIA],MAESTRIA[ID_MAESTRIA],"Seleccione Maestria")</f>
        <v>Seleccione Maestria</v>
      </c>
    </row>
    <row r="172" spans="1:6">
      <c r="A172" t="s">
        <v>247</v>
      </c>
      <c r="C172" t="str">
        <f>_xlfn.XLOOKUP(TAB_T_DOCE_MAEST[[#This Row],[NOMBRE_DOCENTE]],MDOCENTES[DATOS_DOCENTE],MDOCENTES[ID_DOCENTE],"Seleccione Docente")</f>
        <v>Seleccione Docente</v>
      </c>
      <c r="E172" t="str">
        <f>IF(COUNTIFS(C:C,C172,D:D,D172)&gt;1,"Docente ya registrado","")</f>
        <v/>
      </c>
      <c r="F172" t="str">
        <f>_xlfn.XLOOKUP(TAB_T_DOCE_MAEST[[#This Row],[MAESTRIA]],MAESTRIA[NOMBRE_MAESTRIA],MAESTRIA[ID_MAESTRIA],"Seleccione Maestria")</f>
        <v>Seleccione Maestria</v>
      </c>
    </row>
    <row r="173" spans="1:6">
      <c r="A173" t="s">
        <v>248</v>
      </c>
      <c r="C173" t="str">
        <f>_xlfn.XLOOKUP(TAB_T_DOCE_MAEST[[#This Row],[NOMBRE_DOCENTE]],MDOCENTES[DATOS_DOCENTE],MDOCENTES[ID_DOCENTE],"Seleccione Docente")</f>
        <v>Seleccione Docente</v>
      </c>
      <c r="E173" t="str">
        <f>IF(COUNTIFS(C:C,C173,D:D,D173)&gt;1,"Docente ya registrado","")</f>
        <v/>
      </c>
      <c r="F173" t="str">
        <f>_xlfn.XLOOKUP(TAB_T_DOCE_MAEST[[#This Row],[MAESTRIA]],MAESTRIA[NOMBRE_MAESTRIA],MAESTRIA[ID_MAESTRIA],"Seleccione Maestria")</f>
        <v>Seleccione Maestria</v>
      </c>
    </row>
    <row r="174" spans="1:6">
      <c r="A174" t="s">
        <v>249</v>
      </c>
      <c r="C174" t="str">
        <f>_xlfn.XLOOKUP(TAB_T_DOCE_MAEST[[#This Row],[NOMBRE_DOCENTE]],MDOCENTES[DATOS_DOCENTE],MDOCENTES[ID_DOCENTE],"Seleccione Docente")</f>
        <v>Seleccione Docente</v>
      </c>
      <c r="E174" t="str">
        <f>IF(COUNTIFS(C:C,C174,D:D,D174)&gt;1,"Docente ya registrado","")</f>
        <v/>
      </c>
      <c r="F174" t="str">
        <f>_xlfn.XLOOKUP(TAB_T_DOCE_MAEST[[#This Row],[MAESTRIA]],MAESTRIA[NOMBRE_MAESTRIA],MAESTRIA[ID_MAESTRIA],"Seleccione Maestria")</f>
        <v>Seleccione Maestria</v>
      </c>
    </row>
    <row r="175" spans="1:6">
      <c r="A175" t="s">
        <v>250</v>
      </c>
      <c r="C175" t="str">
        <f>_xlfn.XLOOKUP(TAB_T_DOCE_MAEST[[#This Row],[NOMBRE_DOCENTE]],MDOCENTES[DATOS_DOCENTE],MDOCENTES[ID_DOCENTE],"Seleccione Docente")</f>
        <v>Seleccione Docente</v>
      </c>
      <c r="E175" t="str">
        <f>IF(COUNTIFS(C:C,C175,D:D,D175)&gt;1,"Docente ya registrado","")</f>
        <v/>
      </c>
      <c r="F175" t="str">
        <f>_xlfn.XLOOKUP(TAB_T_DOCE_MAEST[[#This Row],[MAESTRIA]],MAESTRIA[NOMBRE_MAESTRIA],MAESTRIA[ID_MAESTRIA],"Seleccione Maestria")</f>
        <v>Seleccione Maestria</v>
      </c>
    </row>
    <row r="176" spans="1:6">
      <c r="A176" t="s">
        <v>251</v>
      </c>
      <c r="C176" t="str">
        <f>_xlfn.XLOOKUP(TAB_T_DOCE_MAEST[[#This Row],[NOMBRE_DOCENTE]],MDOCENTES[DATOS_DOCENTE],MDOCENTES[ID_DOCENTE],"Seleccione Docente")</f>
        <v>Seleccione Docente</v>
      </c>
      <c r="E176" t="str">
        <f>IF(COUNTIFS(C:C,C176,D:D,D176)&gt;1,"Docente ya registrado","")</f>
        <v/>
      </c>
      <c r="F176" t="str">
        <f>_xlfn.XLOOKUP(TAB_T_DOCE_MAEST[[#This Row],[MAESTRIA]],MAESTRIA[NOMBRE_MAESTRIA],MAESTRIA[ID_MAESTRIA],"Seleccione Maestria")</f>
        <v>Seleccione Maestria</v>
      </c>
    </row>
    <row r="177" spans="1:6">
      <c r="A177" t="s">
        <v>252</v>
      </c>
      <c r="C177" t="str">
        <f>_xlfn.XLOOKUP(TAB_T_DOCE_MAEST[[#This Row],[NOMBRE_DOCENTE]],MDOCENTES[DATOS_DOCENTE],MDOCENTES[ID_DOCENTE],"Seleccione Docente")</f>
        <v>Seleccione Docente</v>
      </c>
      <c r="E177" t="str">
        <f>IF(COUNTIFS(C:C,C177,D:D,D177)&gt;1,"Docente ya registrado","")</f>
        <v/>
      </c>
      <c r="F177" t="str">
        <f>_xlfn.XLOOKUP(TAB_T_DOCE_MAEST[[#This Row],[MAESTRIA]],MAESTRIA[NOMBRE_MAESTRIA],MAESTRIA[ID_MAESTRIA],"Seleccione Maestria")</f>
        <v>Seleccione Maestria</v>
      </c>
    </row>
    <row r="178" spans="1:6">
      <c r="A178" t="s">
        <v>253</v>
      </c>
      <c r="C178" t="str">
        <f>_xlfn.XLOOKUP(TAB_T_DOCE_MAEST[[#This Row],[NOMBRE_DOCENTE]],MDOCENTES[DATOS_DOCENTE],MDOCENTES[ID_DOCENTE],"Seleccione Docente")</f>
        <v>Seleccione Docente</v>
      </c>
      <c r="E178" t="str">
        <f>IF(COUNTIFS(C:C,C178,D:D,D178)&gt;1,"Docente ya registrado","")</f>
        <v/>
      </c>
      <c r="F178" t="str">
        <f>_xlfn.XLOOKUP(TAB_T_DOCE_MAEST[[#This Row],[MAESTRIA]],MAESTRIA[NOMBRE_MAESTRIA],MAESTRIA[ID_MAESTRIA],"Seleccione Maestria")</f>
        <v>Seleccione Maestria</v>
      </c>
    </row>
    <row r="179" spans="1:6">
      <c r="A179" t="s">
        <v>254</v>
      </c>
      <c r="C179" t="str">
        <f>_xlfn.XLOOKUP(TAB_T_DOCE_MAEST[[#This Row],[NOMBRE_DOCENTE]],MDOCENTES[DATOS_DOCENTE],MDOCENTES[ID_DOCENTE],"Seleccione Docente")</f>
        <v>Seleccione Docente</v>
      </c>
      <c r="E179" t="str">
        <f>IF(COUNTIFS(C:C,C179,D:D,D179)&gt;1,"Docente ya registrado","")</f>
        <v/>
      </c>
      <c r="F179" t="str">
        <f>_xlfn.XLOOKUP(TAB_T_DOCE_MAEST[[#This Row],[MAESTRIA]],MAESTRIA[NOMBRE_MAESTRIA],MAESTRIA[ID_MAESTRIA],"Seleccione Maestria")</f>
        <v>Seleccione Maestria</v>
      </c>
    </row>
    <row r="180" spans="1:6">
      <c r="A180" t="s">
        <v>255</v>
      </c>
      <c r="C180" t="str">
        <f>_xlfn.XLOOKUP(TAB_T_DOCE_MAEST[[#This Row],[NOMBRE_DOCENTE]],MDOCENTES[DATOS_DOCENTE],MDOCENTES[ID_DOCENTE],"Seleccione Docente")</f>
        <v>Seleccione Docente</v>
      </c>
      <c r="E180" t="str">
        <f>IF(COUNTIFS(C:C,C180,D:D,D180)&gt;1,"Docente ya registrado","")</f>
        <v/>
      </c>
      <c r="F180" t="str">
        <f>_xlfn.XLOOKUP(TAB_T_DOCE_MAEST[[#This Row],[MAESTRIA]],MAESTRIA[NOMBRE_MAESTRIA],MAESTRIA[ID_MAESTRIA],"Seleccione Maestria")</f>
        <v>Seleccione Maestria</v>
      </c>
    </row>
    <row r="181" spans="1:6">
      <c r="A181" t="s">
        <v>256</v>
      </c>
      <c r="C181" t="str">
        <f>_xlfn.XLOOKUP(TAB_T_DOCE_MAEST[[#This Row],[NOMBRE_DOCENTE]],MDOCENTES[DATOS_DOCENTE],MDOCENTES[ID_DOCENTE],"Seleccione Docente")</f>
        <v>Seleccione Docente</v>
      </c>
      <c r="E181" t="str">
        <f>IF(COUNTIFS(C:C,C181,D:D,D181)&gt;1,"Docente ya registrado","")</f>
        <v/>
      </c>
      <c r="F181" t="str">
        <f>_xlfn.XLOOKUP(TAB_T_DOCE_MAEST[[#This Row],[MAESTRIA]],MAESTRIA[NOMBRE_MAESTRIA],MAESTRIA[ID_MAESTRIA],"Seleccione Maestria")</f>
        <v>Seleccione Maestria</v>
      </c>
    </row>
    <row r="182" spans="1:6">
      <c r="A182" t="s">
        <v>257</v>
      </c>
      <c r="C182" t="str">
        <f>_xlfn.XLOOKUP(TAB_T_DOCE_MAEST[[#This Row],[NOMBRE_DOCENTE]],MDOCENTES[DATOS_DOCENTE],MDOCENTES[ID_DOCENTE],"Seleccione Docente")</f>
        <v>Seleccione Docente</v>
      </c>
      <c r="E182" t="str">
        <f>IF(COUNTIFS(C:C,C182,D:D,D182)&gt;1,"Docente ya registrado","")</f>
        <v/>
      </c>
      <c r="F182" t="str">
        <f>_xlfn.XLOOKUP(TAB_T_DOCE_MAEST[[#This Row],[MAESTRIA]],MAESTRIA[NOMBRE_MAESTRIA],MAESTRIA[ID_MAESTRIA],"Seleccione Maestria")</f>
        <v>Seleccione Maestria</v>
      </c>
    </row>
    <row r="183" spans="1:6">
      <c r="A183" t="s">
        <v>258</v>
      </c>
      <c r="C183" t="str">
        <f>_xlfn.XLOOKUP(TAB_T_DOCE_MAEST[[#This Row],[NOMBRE_DOCENTE]],MDOCENTES[DATOS_DOCENTE],MDOCENTES[ID_DOCENTE],"Seleccione Docente")</f>
        <v>Seleccione Docente</v>
      </c>
      <c r="E183" t="str">
        <f>IF(COUNTIFS(C:C,C183,D:D,D183)&gt;1,"Docente ya registrado","")</f>
        <v/>
      </c>
      <c r="F183" t="str">
        <f>_xlfn.XLOOKUP(TAB_T_DOCE_MAEST[[#This Row],[MAESTRIA]],MAESTRIA[NOMBRE_MAESTRIA],MAESTRIA[ID_MAESTRIA],"Seleccione Maestria")</f>
        <v>Seleccione Maestria</v>
      </c>
    </row>
    <row r="184" spans="1:6">
      <c r="A184" t="s">
        <v>259</v>
      </c>
      <c r="C184" t="str">
        <f>_xlfn.XLOOKUP(TAB_T_DOCE_MAEST[[#This Row],[NOMBRE_DOCENTE]],MDOCENTES[DATOS_DOCENTE],MDOCENTES[ID_DOCENTE],"Seleccione Docente")</f>
        <v>Seleccione Docente</v>
      </c>
      <c r="E184" t="str">
        <f>IF(COUNTIFS(C:C,C184,D:D,D184)&gt;1,"Docente ya registrado","")</f>
        <v/>
      </c>
      <c r="F184" t="str">
        <f>_xlfn.XLOOKUP(TAB_T_DOCE_MAEST[[#This Row],[MAESTRIA]],MAESTRIA[NOMBRE_MAESTRIA],MAESTRIA[ID_MAESTRIA],"Seleccione Maestria")</f>
        <v>Seleccione Maestria</v>
      </c>
    </row>
    <row r="185" spans="1:6">
      <c r="A185" t="s">
        <v>260</v>
      </c>
      <c r="C185" t="str">
        <f>_xlfn.XLOOKUP(TAB_T_DOCE_MAEST[[#This Row],[NOMBRE_DOCENTE]],MDOCENTES[DATOS_DOCENTE],MDOCENTES[ID_DOCENTE],"Seleccione Docente")</f>
        <v>Seleccione Docente</v>
      </c>
      <c r="E185" t="str">
        <f>IF(COUNTIFS(C:C,C185,D:D,D185)&gt;1,"Docente ya registrado","")</f>
        <v/>
      </c>
      <c r="F185" t="str">
        <f>_xlfn.XLOOKUP(TAB_T_DOCE_MAEST[[#This Row],[MAESTRIA]],MAESTRIA[NOMBRE_MAESTRIA],MAESTRIA[ID_MAESTRIA],"Seleccione Maestria")</f>
        <v>Seleccione Maestria</v>
      </c>
    </row>
    <row r="186" spans="1:6">
      <c r="A186" t="s">
        <v>261</v>
      </c>
      <c r="C186" t="str">
        <f>_xlfn.XLOOKUP(TAB_T_DOCE_MAEST[[#This Row],[NOMBRE_DOCENTE]],MDOCENTES[DATOS_DOCENTE],MDOCENTES[ID_DOCENTE],"Seleccione Docente")</f>
        <v>Seleccione Docente</v>
      </c>
      <c r="E186" t="str">
        <f>IF(COUNTIFS(C:C,C186,D:D,D186)&gt;1,"Docente ya registrado","")</f>
        <v/>
      </c>
      <c r="F186" t="str">
        <f>_xlfn.XLOOKUP(TAB_T_DOCE_MAEST[[#This Row],[MAESTRIA]],MAESTRIA[NOMBRE_MAESTRIA],MAESTRIA[ID_MAESTRIA],"Seleccione Maestria")</f>
        <v>Seleccione Maestria</v>
      </c>
    </row>
    <row r="187" spans="1:6">
      <c r="A187" t="s">
        <v>262</v>
      </c>
      <c r="C187" t="str">
        <f>_xlfn.XLOOKUP(TAB_T_DOCE_MAEST[[#This Row],[NOMBRE_DOCENTE]],MDOCENTES[DATOS_DOCENTE],MDOCENTES[ID_DOCENTE],"Seleccione Docente")</f>
        <v>Seleccione Docente</v>
      </c>
      <c r="E187" t="str">
        <f>IF(COUNTIFS(C:C,C187,D:D,D187)&gt;1,"Docente ya registrado","")</f>
        <v/>
      </c>
      <c r="F187" t="str">
        <f>_xlfn.XLOOKUP(TAB_T_DOCE_MAEST[[#This Row],[MAESTRIA]],MAESTRIA[NOMBRE_MAESTRIA],MAESTRIA[ID_MAESTRIA],"Seleccione Maestria")</f>
        <v>Seleccione Maestria</v>
      </c>
    </row>
    <row r="188" spans="1:6">
      <c r="A188" t="s">
        <v>263</v>
      </c>
      <c r="C188" t="str">
        <f>_xlfn.XLOOKUP(TAB_T_DOCE_MAEST[[#This Row],[NOMBRE_DOCENTE]],MDOCENTES[DATOS_DOCENTE],MDOCENTES[ID_DOCENTE],"Seleccione Docente")</f>
        <v>Seleccione Docente</v>
      </c>
      <c r="E188" t="str">
        <f>IF(COUNTIFS(C:C,C188,D:D,D188)&gt;1,"Docente ya registrado","")</f>
        <v/>
      </c>
      <c r="F188" t="str">
        <f>_xlfn.XLOOKUP(TAB_T_DOCE_MAEST[[#This Row],[MAESTRIA]],MAESTRIA[NOMBRE_MAESTRIA],MAESTRIA[ID_MAESTRIA],"Seleccione Maestria")</f>
        <v>Seleccione Maestria</v>
      </c>
    </row>
    <row r="189" spans="1:6">
      <c r="A189" t="s">
        <v>264</v>
      </c>
      <c r="C189" t="str">
        <f>_xlfn.XLOOKUP(TAB_T_DOCE_MAEST[[#This Row],[NOMBRE_DOCENTE]],MDOCENTES[DATOS_DOCENTE],MDOCENTES[ID_DOCENTE],"Seleccione Docente")</f>
        <v>Seleccione Docente</v>
      </c>
      <c r="E189" t="str">
        <f>IF(COUNTIFS(C:C,C189,D:D,D189)&gt;1,"Docente ya registrado","")</f>
        <v/>
      </c>
      <c r="F189" t="str">
        <f>_xlfn.XLOOKUP(TAB_T_DOCE_MAEST[[#This Row],[MAESTRIA]],MAESTRIA[NOMBRE_MAESTRIA],MAESTRIA[ID_MAESTRIA],"Seleccione Maestria")</f>
        <v>Seleccione Maestria</v>
      </c>
    </row>
    <row r="190" spans="1:6">
      <c r="A190" t="s">
        <v>265</v>
      </c>
      <c r="C190" t="str">
        <f>_xlfn.XLOOKUP(TAB_T_DOCE_MAEST[[#This Row],[NOMBRE_DOCENTE]],MDOCENTES[DATOS_DOCENTE],MDOCENTES[ID_DOCENTE],"Seleccione Docente")</f>
        <v>Seleccione Docente</v>
      </c>
      <c r="E190" t="str">
        <f>IF(COUNTIFS(C:C,C190,D:D,D190)&gt;1,"Docente ya registrado","")</f>
        <v/>
      </c>
      <c r="F190" t="str">
        <f>_xlfn.XLOOKUP(TAB_T_DOCE_MAEST[[#This Row],[MAESTRIA]],MAESTRIA[NOMBRE_MAESTRIA],MAESTRIA[ID_MAESTRIA],"Seleccione Maestria")</f>
        <v>Seleccione Maestria</v>
      </c>
    </row>
    <row r="191" spans="1:6">
      <c r="A191" t="s">
        <v>266</v>
      </c>
      <c r="C191" t="str">
        <f>_xlfn.XLOOKUP(TAB_T_DOCE_MAEST[[#This Row],[NOMBRE_DOCENTE]],MDOCENTES[DATOS_DOCENTE],MDOCENTES[ID_DOCENTE],"Seleccione Docente")</f>
        <v>Seleccione Docente</v>
      </c>
      <c r="E191" t="str">
        <f>IF(COUNTIFS(C:C,C191,D:D,D191)&gt;1,"Docente ya registrado","")</f>
        <v/>
      </c>
      <c r="F191" t="str">
        <f>_xlfn.XLOOKUP(TAB_T_DOCE_MAEST[[#This Row],[MAESTRIA]],MAESTRIA[NOMBRE_MAESTRIA],MAESTRIA[ID_MAESTRIA],"Seleccione Maestria")</f>
        <v>Seleccione Maestria</v>
      </c>
    </row>
    <row r="192" spans="1:6">
      <c r="A192" t="s">
        <v>267</v>
      </c>
      <c r="C192" t="str">
        <f>_xlfn.XLOOKUP(TAB_T_DOCE_MAEST[[#This Row],[NOMBRE_DOCENTE]],MDOCENTES[DATOS_DOCENTE],MDOCENTES[ID_DOCENTE],"Seleccione Docente")</f>
        <v>Seleccione Docente</v>
      </c>
      <c r="E192" t="str">
        <f>IF(COUNTIFS(C:C,C192,D:D,D192)&gt;1,"Docente ya registrado","")</f>
        <v/>
      </c>
      <c r="F192" t="str">
        <f>_xlfn.XLOOKUP(TAB_T_DOCE_MAEST[[#This Row],[MAESTRIA]],MAESTRIA[NOMBRE_MAESTRIA],MAESTRIA[ID_MAESTRIA],"Seleccione Maestria")</f>
        <v>Seleccione Maestria</v>
      </c>
    </row>
    <row r="193" spans="1:6">
      <c r="A193" t="s">
        <v>268</v>
      </c>
      <c r="C193" t="str">
        <f>_xlfn.XLOOKUP(TAB_T_DOCE_MAEST[[#This Row],[NOMBRE_DOCENTE]],MDOCENTES[DATOS_DOCENTE],MDOCENTES[ID_DOCENTE],"Seleccione Docente")</f>
        <v>Seleccione Docente</v>
      </c>
      <c r="E193" t="str">
        <f>IF(COUNTIFS(C:C,C193,D:D,D193)&gt;1,"Docente ya registrado","")</f>
        <v/>
      </c>
      <c r="F193" t="str">
        <f>_xlfn.XLOOKUP(TAB_T_DOCE_MAEST[[#This Row],[MAESTRIA]],MAESTRIA[NOMBRE_MAESTRIA],MAESTRIA[ID_MAESTRIA],"Seleccione Maestria")</f>
        <v>Seleccione Maestria</v>
      </c>
    </row>
    <row r="194" spans="1:6">
      <c r="A194" t="s">
        <v>269</v>
      </c>
      <c r="C194" t="str">
        <f>_xlfn.XLOOKUP(TAB_T_DOCE_MAEST[[#This Row],[NOMBRE_DOCENTE]],MDOCENTES[DATOS_DOCENTE],MDOCENTES[ID_DOCENTE],"Seleccione Docente")</f>
        <v>Seleccione Docente</v>
      </c>
      <c r="E194" t="str">
        <f>IF(COUNTIFS(C:C,C194,D:D,D194)&gt;1,"Docente ya registrado","")</f>
        <v/>
      </c>
      <c r="F194" t="str">
        <f>_xlfn.XLOOKUP(TAB_T_DOCE_MAEST[[#This Row],[MAESTRIA]],MAESTRIA[NOMBRE_MAESTRIA],MAESTRIA[ID_MAESTRIA],"Seleccione Maestria")</f>
        <v>Seleccione Maestria</v>
      </c>
    </row>
    <row r="195" spans="1:6">
      <c r="A195" t="s">
        <v>270</v>
      </c>
      <c r="C195" t="str">
        <f>_xlfn.XLOOKUP(TAB_T_DOCE_MAEST[[#This Row],[NOMBRE_DOCENTE]],MDOCENTES[DATOS_DOCENTE],MDOCENTES[ID_DOCENTE],"Seleccione Docente")</f>
        <v>Seleccione Docente</v>
      </c>
      <c r="E195" t="str">
        <f>IF(COUNTIFS(C:C,C195,D:D,D195)&gt;1,"Docente ya registrado","")</f>
        <v/>
      </c>
      <c r="F195" t="str">
        <f>_xlfn.XLOOKUP(TAB_T_DOCE_MAEST[[#This Row],[MAESTRIA]],MAESTRIA[NOMBRE_MAESTRIA],MAESTRIA[ID_MAESTRIA],"Seleccione Maestria")</f>
        <v>Seleccione Maestria</v>
      </c>
    </row>
    <row r="196" spans="1:6">
      <c r="A196" t="s">
        <v>271</v>
      </c>
      <c r="C196" t="str">
        <f>_xlfn.XLOOKUP(TAB_T_DOCE_MAEST[[#This Row],[NOMBRE_DOCENTE]],MDOCENTES[DATOS_DOCENTE],MDOCENTES[ID_DOCENTE],"Seleccione Docente")</f>
        <v>Seleccione Docente</v>
      </c>
      <c r="E196" t="str">
        <f>IF(COUNTIFS(C:C,C196,D:D,D196)&gt;1,"Docente ya registrado","")</f>
        <v/>
      </c>
      <c r="F196" t="str">
        <f>_xlfn.XLOOKUP(TAB_T_DOCE_MAEST[[#This Row],[MAESTRIA]],MAESTRIA[NOMBRE_MAESTRIA],MAESTRIA[ID_MAESTRIA],"Seleccione Maestria")</f>
        <v>Seleccione Maestria</v>
      </c>
    </row>
    <row r="197" spans="1:6">
      <c r="A197" t="s">
        <v>272</v>
      </c>
      <c r="C197" t="str">
        <f>_xlfn.XLOOKUP(TAB_T_DOCE_MAEST[[#This Row],[NOMBRE_DOCENTE]],MDOCENTES[DATOS_DOCENTE],MDOCENTES[ID_DOCENTE],"Seleccione Docente")</f>
        <v>Seleccione Docente</v>
      </c>
      <c r="E197" t="str">
        <f>IF(COUNTIFS(C:C,C197,D:D,D197)&gt;1,"Docente ya registrado","")</f>
        <v/>
      </c>
      <c r="F197" t="str">
        <f>_xlfn.XLOOKUP(TAB_T_DOCE_MAEST[[#This Row],[MAESTRIA]],MAESTRIA[NOMBRE_MAESTRIA],MAESTRIA[ID_MAESTRIA],"Seleccione Maestria")</f>
        <v>Seleccione Maestria</v>
      </c>
    </row>
    <row r="198" spans="1:6">
      <c r="A198" t="s">
        <v>273</v>
      </c>
      <c r="C198" t="str">
        <f>_xlfn.XLOOKUP(TAB_T_DOCE_MAEST[[#This Row],[NOMBRE_DOCENTE]],MDOCENTES[DATOS_DOCENTE],MDOCENTES[ID_DOCENTE],"Seleccione Docente")</f>
        <v>Seleccione Docente</v>
      </c>
      <c r="E198" t="str">
        <f>IF(COUNTIFS(C:C,C198,D:D,D198)&gt;1,"Docente ya registrado","")</f>
        <v/>
      </c>
      <c r="F198" t="str">
        <f>_xlfn.XLOOKUP(TAB_T_DOCE_MAEST[[#This Row],[MAESTRIA]],MAESTRIA[NOMBRE_MAESTRIA],MAESTRIA[ID_MAESTRIA],"Seleccione Maestria")</f>
        <v>Seleccione Maestria</v>
      </c>
    </row>
    <row r="199" spans="1:6">
      <c r="A199" t="s">
        <v>274</v>
      </c>
      <c r="C199" t="str">
        <f>_xlfn.XLOOKUP(TAB_T_DOCE_MAEST[[#This Row],[NOMBRE_DOCENTE]],MDOCENTES[DATOS_DOCENTE],MDOCENTES[ID_DOCENTE],"Seleccione Docente")</f>
        <v>Seleccione Docente</v>
      </c>
      <c r="E199" t="str">
        <f>IF(COUNTIFS(C:C,C199,D:D,D199)&gt;1,"Docente ya registrado","")</f>
        <v/>
      </c>
      <c r="F199" t="str">
        <f>_xlfn.XLOOKUP(TAB_T_DOCE_MAEST[[#This Row],[MAESTRIA]],MAESTRIA[NOMBRE_MAESTRIA],MAESTRIA[ID_MAESTRIA],"Seleccione Maestria")</f>
        <v>Seleccione Maestria</v>
      </c>
    </row>
    <row r="200" spans="1:6">
      <c r="A200" t="s">
        <v>275</v>
      </c>
      <c r="C200" t="str">
        <f>_xlfn.XLOOKUP(TAB_T_DOCE_MAEST[[#This Row],[NOMBRE_DOCENTE]],MDOCENTES[DATOS_DOCENTE],MDOCENTES[ID_DOCENTE],"Seleccione Docente")</f>
        <v>Seleccione Docente</v>
      </c>
      <c r="E200" t="str">
        <f>IF(COUNTIFS(C:C,C200,D:D,D200)&gt;1,"Docente ya registrado","")</f>
        <v/>
      </c>
      <c r="F200" t="str">
        <f>_xlfn.XLOOKUP(TAB_T_DOCE_MAEST[[#This Row],[MAESTRIA]],MAESTRIA[NOMBRE_MAESTRIA],MAESTRIA[ID_MAESTRIA],"Seleccione Maestria")</f>
        <v>Seleccione Maestria</v>
      </c>
    </row>
    <row r="201" spans="1:6">
      <c r="A201" t="s">
        <v>276</v>
      </c>
      <c r="C201" t="str">
        <f>_xlfn.XLOOKUP(TAB_T_DOCE_MAEST[[#This Row],[NOMBRE_DOCENTE]],MDOCENTES[DATOS_DOCENTE],MDOCENTES[ID_DOCENTE],"Seleccione Docente")</f>
        <v>Seleccione Docente</v>
      </c>
      <c r="E201" t="str">
        <f>IF(COUNTIFS(C:C,C201,D:D,D201)&gt;1,"Docente ya registrado","")</f>
        <v/>
      </c>
      <c r="F201" t="str">
        <f>_xlfn.XLOOKUP(TAB_T_DOCE_MAEST[[#This Row],[MAESTRIA]],MAESTRIA[NOMBRE_MAESTRIA],MAESTRIA[ID_MAESTRIA],"Seleccione Maestria")</f>
        <v>Seleccione Maestria</v>
      </c>
    </row>
    <row r="202" spans="1:6">
      <c r="A202" t="s">
        <v>277</v>
      </c>
      <c r="C202" t="str">
        <f>_xlfn.XLOOKUP(TAB_T_DOCE_MAEST[[#This Row],[NOMBRE_DOCENTE]],MDOCENTES[DATOS_DOCENTE],MDOCENTES[ID_DOCENTE],"Seleccione Docente")</f>
        <v>Seleccione Docente</v>
      </c>
      <c r="E202" t="str">
        <f>IF(COUNTIFS(C:C,C202,D:D,D202)&gt;1,"Docente ya registrado","")</f>
        <v/>
      </c>
      <c r="F202" t="str">
        <f>_xlfn.XLOOKUP(TAB_T_DOCE_MAEST[[#This Row],[MAESTRIA]],MAESTRIA[NOMBRE_MAESTRIA],MAESTRIA[ID_MAESTRIA],"Seleccione Maestria")</f>
        <v>Seleccione Maestria</v>
      </c>
    </row>
    <row r="203" spans="1:6">
      <c r="A203" t="s">
        <v>278</v>
      </c>
      <c r="C203" t="str">
        <f>_xlfn.XLOOKUP(TAB_T_DOCE_MAEST[[#This Row],[NOMBRE_DOCENTE]],MDOCENTES[DATOS_DOCENTE],MDOCENTES[ID_DOCENTE],"Seleccione Docente")</f>
        <v>Seleccione Docente</v>
      </c>
      <c r="E203" t="str">
        <f>IF(COUNTIFS(C:C,C203,D:D,D203)&gt;1,"Docente ya registrado","")</f>
        <v/>
      </c>
      <c r="F203" t="str">
        <f>_xlfn.XLOOKUP(TAB_T_DOCE_MAEST[[#This Row],[MAESTRIA]],MAESTRIA[NOMBRE_MAESTRIA],MAESTRIA[ID_MAESTRIA],"Seleccione Maestria")</f>
        <v>Seleccione Maestria</v>
      </c>
    </row>
    <row r="204" spans="1:6">
      <c r="A204" t="s">
        <v>279</v>
      </c>
      <c r="C204" t="str">
        <f>_xlfn.XLOOKUP(TAB_T_DOCE_MAEST[[#This Row],[NOMBRE_DOCENTE]],MDOCENTES[DATOS_DOCENTE],MDOCENTES[ID_DOCENTE],"Seleccione Docente")</f>
        <v>Seleccione Docente</v>
      </c>
      <c r="E204" t="str">
        <f>IF(COUNTIFS(C:C,C204,D:D,D204)&gt;1,"Docente ya registrado","")</f>
        <v/>
      </c>
      <c r="F204" t="str">
        <f>_xlfn.XLOOKUP(TAB_T_DOCE_MAEST[[#This Row],[MAESTRIA]],MAESTRIA[NOMBRE_MAESTRIA],MAESTRIA[ID_MAESTRIA],"Seleccione Maestria")</f>
        <v>Seleccione Maestria</v>
      </c>
    </row>
    <row r="205" spans="1:6">
      <c r="A205" t="s">
        <v>280</v>
      </c>
      <c r="C205" t="str">
        <f>_xlfn.XLOOKUP(TAB_T_DOCE_MAEST[[#This Row],[NOMBRE_DOCENTE]],MDOCENTES[DATOS_DOCENTE],MDOCENTES[ID_DOCENTE],"Seleccione Docente")</f>
        <v>Seleccione Docente</v>
      </c>
      <c r="E205" t="str">
        <f>IF(COUNTIFS(C:C,C205,D:D,D205)&gt;1,"Docente ya registrado","")</f>
        <v/>
      </c>
      <c r="F205" t="str">
        <f>_xlfn.XLOOKUP(TAB_T_DOCE_MAEST[[#This Row],[MAESTRIA]],MAESTRIA[NOMBRE_MAESTRIA],MAESTRIA[ID_MAESTRIA],"Seleccione Maestria")</f>
        <v>Seleccione Maestria</v>
      </c>
    </row>
    <row r="206" spans="1:6">
      <c r="A206" t="s">
        <v>281</v>
      </c>
      <c r="C206" t="str">
        <f>_xlfn.XLOOKUP(TAB_T_DOCE_MAEST[[#This Row],[NOMBRE_DOCENTE]],MDOCENTES[DATOS_DOCENTE],MDOCENTES[ID_DOCENTE],"Seleccione Docente")</f>
        <v>Seleccione Docente</v>
      </c>
      <c r="E206" t="str">
        <f>IF(COUNTIFS(C:C,C206,D:D,D206)&gt;1,"Docente ya registrado","")</f>
        <v/>
      </c>
      <c r="F206" t="str">
        <f>_xlfn.XLOOKUP(TAB_T_DOCE_MAEST[[#This Row],[MAESTRIA]],MAESTRIA[NOMBRE_MAESTRIA],MAESTRIA[ID_MAESTRIA],"Seleccione Maestria")</f>
        <v>Seleccione Maestria</v>
      </c>
    </row>
    <row r="207" spans="1:6">
      <c r="A207" t="s">
        <v>282</v>
      </c>
      <c r="C207" t="str">
        <f>_xlfn.XLOOKUP(TAB_T_DOCE_MAEST[[#This Row],[NOMBRE_DOCENTE]],MDOCENTES[DATOS_DOCENTE],MDOCENTES[ID_DOCENTE],"Seleccione Docente")</f>
        <v>Seleccione Docente</v>
      </c>
      <c r="E207" t="str">
        <f>IF(COUNTIFS(C:C,C207,D:D,D207)&gt;1,"Docente ya registrado","")</f>
        <v/>
      </c>
      <c r="F207" t="str">
        <f>_xlfn.XLOOKUP(TAB_T_DOCE_MAEST[[#This Row],[MAESTRIA]],MAESTRIA[NOMBRE_MAESTRIA],MAESTRIA[ID_MAESTRIA],"Seleccione Maestria")</f>
        <v>Seleccione Maestria</v>
      </c>
    </row>
    <row r="208" spans="1:6">
      <c r="A208" t="s">
        <v>283</v>
      </c>
      <c r="C208" t="str">
        <f>_xlfn.XLOOKUP(TAB_T_DOCE_MAEST[[#This Row],[NOMBRE_DOCENTE]],MDOCENTES[DATOS_DOCENTE],MDOCENTES[ID_DOCENTE],"Seleccione Docente")</f>
        <v>Seleccione Docente</v>
      </c>
      <c r="E208" t="str">
        <f>IF(COUNTIFS(C:C,C208,D:D,D208)&gt;1,"Docente ya registrado","")</f>
        <v/>
      </c>
      <c r="F208" t="str">
        <f>_xlfn.XLOOKUP(TAB_T_DOCE_MAEST[[#This Row],[MAESTRIA]],MAESTRIA[NOMBRE_MAESTRIA],MAESTRIA[ID_MAESTRIA],"Seleccione Maestria")</f>
        <v>Seleccione Maestria</v>
      </c>
    </row>
    <row r="209" spans="1:6">
      <c r="A209" t="s">
        <v>284</v>
      </c>
      <c r="C209" t="str">
        <f>_xlfn.XLOOKUP(TAB_T_DOCE_MAEST[[#This Row],[NOMBRE_DOCENTE]],MDOCENTES[DATOS_DOCENTE],MDOCENTES[ID_DOCENTE],"Seleccione Docente")</f>
        <v>Seleccione Docente</v>
      </c>
      <c r="E209" t="str">
        <f>IF(COUNTIFS(C:C,C209,D:D,D209)&gt;1,"Docente ya registrado","")</f>
        <v/>
      </c>
      <c r="F209" t="str">
        <f>_xlfn.XLOOKUP(TAB_T_DOCE_MAEST[[#This Row],[MAESTRIA]],MAESTRIA[NOMBRE_MAESTRIA],MAESTRIA[ID_MAESTRIA],"Seleccione Maestria")</f>
        <v>Seleccione Maestria</v>
      </c>
    </row>
    <row r="210" spans="1:6">
      <c r="A210" t="s">
        <v>285</v>
      </c>
      <c r="C210" t="str">
        <f>_xlfn.XLOOKUP(TAB_T_DOCE_MAEST[[#This Row],[NOMBRE_DOCENTE]],MDOCENTES[DATOS_DOCENTE],MDOCENTES[ID_DOCENTE],"Seleccione Docente")</f>
        <v>Seleccione Docente</v>
      </c>
      <c r="E210" t="str">
        <f>IF(COUNTIFS(C:C,C210,D:D,D210)&gt;1,"Docente ya registrado","")</f>
        <v/>
      </c>
      <c r="F210" t="str">
        <f>_xlfn.XLOOKUP(TAB_T_DOCE_MAEST[[#This Row],[MAESTRIA]],MAESTRIA[NOMBRE_MAESTRIA],MAESTRIA[ID_MAESTRIA],"Seleccione Maestria")</f>
        <v>Seleccione Maestria</v>
      </c>
    </row>
    <row r="211" spans="1:6">
      <c r="A211" t="s">
        <v>286</v>
      </c>
      <c r="C211" t="str">
        <f>_xlfn.XLOOKUP(TAB_T_DOCE_MAEST[[#This Row],[NOMBRE_DOCENTE]],MDOCENTES[DATOS_DOCENTE],MDOCENTES[ID_DOCENTE],"Seleccione Docente")</f>
        <v>Seleccione Docente</v>
      </c>
      <c r="E211" t="str">
        <f>IF(COUNTIFS(C:C,C211,D:D,D211)&gt;1,"Docente ya registrado","")</f>
        <v/>
      </c>
      <c r="F211" t="str">
        <f>_xlfn.XLOOKUP(TAB_T_DOCE_MAEST[[#This Row],[MAESTRIA]],MAESTRIA[NOMBRE_MAESTRIA],MAESTRIA[ID_MAESTRIA],"Seleccione Maestria")</f>
        <v>Seleccione Maestria</v>
      </c>
    </row>
    <row r="212" spans="1:6">
      <c r="A212" t="s">
        <v>287</v>
      </c>
      <c r="C212" t="str">
        <f>_xlfn.XLOOKUP(TAB_T_DOCE_MAEST[[#This Row],[NOMBRE_DOCENTE]],MDOCENTES[DATOS_DOCENTE],MDOCENTES[ID_DOCENTE],"Seleccione Docente")</f>
        <v>Seleccione Docente</v>
      </c>
      <c r="E212" t="str">
        <f>IF(COUNTIFS(C:C,C212,D:D,D212)&gt;1,"Docente ya registrado","")</f>
        <v/>
      </c>
      <c r="F212" t="str">
        <f>_xlfn.XLOOKUP(TAB_T_DOCE_MAEST[[#This Row],[MAESTRIA]],MAESTRIA[NOMBRE_MAESTRIA],MAESTRIA[ID_MAESTRIA],"Seleccione Maestria")</f>
        <v>Seleccione Maestria</v>
      </c>
    </row>
    <row r="213" spans="1:6">
      <c r="A213" t="s">
        <v>288</v>
      </c>
      <c r="C213" t="str">
        <f>_xlfn.XLOOKUP(TAB_T_DOCE_MAEST[[#This Row],[NOMBRE_DOCENTE]],MDOCENTES[DATOS_DOCENTE],MDOCENTES[ID_DOCENTE],"Seleccione Docente")</f>
        <v>Seleccione Docente</v>
      </c>
      <c r="E213" t="str">
        <f>IF(COUNTIFS(C:C,C213,D:D,D213)&gt;1,"Docente ya registrado","")</f>
        <v/>
      </c>
      <c r="F213" t="str">
        <f>_xlfn.XLOOKUP(TAB_T_DOCE_MAEST[[#This Row],[MAESTRIA]],MAESTRIA[NOMBRE_MAESTRIA],MAESTRIA[ID_MAESTRIA],"Seleccione Maestria")</f>
        <v>Seleccione Maestria</v>
      </c>
    </row>
    <row r="214" spans="1:6">
      <c r="A214" t="s">
        <v>289</v>
      </c>
      <c r="C214" t="str">
        <f>_xlfn.XLOOKUP(TAB_T_DOCE_MAEST[[#This Row],[NOMBRE_DOCENTE]],MDOCENTES[DATOS_DOCENTE],MDOCENTES[ID_DOCENTE],"Seleccione Docente")</f>
        <v>Seleccione Docente</v>
      </c>
      <c r="E214" t="str">
        <f>IF(COUNTIFS(C:C,C214,D:D,D214)&gt;1,"Docente ya registrado","")</f>
        <v/>
      </c>
      <c r="F214" t="str">
        <f>_xlfn.XLOOKUP(TAB_T_DOCE_MAEST[[#This Row],[MAESTRIA]],MAESTRIA[NOMBRE_MAESTRIA],MAESTRIA[ID_MAESTRIA],"Seleccione Maestria")</f>
        <v>Seleccione Maestria</v>
      </c>
    </row>
    <row r="215" spans="1:6">
      <c r="A215" t="s">
        <v>290</v>
      </c>
      <c r="C215" t="str">
        <f>_xlfn.XLOOKUP(TAB_T_DOCE_MAEST[[#This Row],[NOMBRE_DOCENTE]],MDOCENTES[DATOS_DOCENTE],MDOCENTES[ID_DOCENTE],"Seleccione Docente")</f>
        <v>Seleccione Docente</v>
      </c>
      <c r="E215" t="str">
        <f>IF(COUNTIFS(C:C,C215,D:D,D215)&gt;1,"Docente ya registrado","")</f>
        <v/>
      </c>
      <c r="F215" t="str">
        <f>_xlfn.XLOOKUP(TAB_T_DOCE_MAEST[[#This Row],[MAESTRIA]],MAESTRIA[NOMBRE_MAESTRIA],MAESTRIA[ID_MAESTRIA],"Seleccione Maestria")</f>
        <v>Seleccione Maestria</v>
      </c>
    </row>
    <row r="216" spans="1:6">
      <c r="A216" t="s">
        <v>291</v>
      </c>
      <c r="C216" t="str">
        <f>_xlfn.XLOOKUP(TAB_T_DOCE_MAEST[[#This Row],[NOMBRE_DOCENTE]],MDOCENTES[DATOS_DOCENTE],MDOCENTES[ID_DOCENTE],"Seleccione Docente")</f>
        <v>Seleccione Docente</v>
      </c>
      <c r="E216" t="str">
        <f>IF(COUNTIFS(C:C,C216,D:D,D216)&gt;1,"Docente ya registrado","")</f>
        <v/>
      </c>
      <c r="F216" t="str">
        <f>_xlfn.XLOOKUP(TAB_T_DOCE_MAEST[[#This Row],[MAESTRIA]],MAESTRIA[NOMBRE_MAESTRIA],MAESTRIA[ID_MAESTRIA],"Seleccione Maestria")</f>
        <v>Seleccione Maestria</v>
      </c>
    </row>
    <row r="217" spans="1:6">
      <c r="A217" t="s">
        <v>292</v>
      </c>
      <c r="C217" t="str">
        <f>_xlfn.XLOOKUP(TAB_T_DOCE_MAEST[[#This Row],[NOMBRE_DOCENTE]],MDOCENTES[DATOS_DOCENTE],MDOCENTES[ID_DOCENTE],"Seleccione Docente")</f>
        <v>Seleccione Docente</v>
      </c>
      <c r="E217" t="str">
        <f>IF(COUNTIFS(C:C,C217,D:D,D217)&gt;1,"Docente ya registrado","")</f>
        <v/>
      </c>
      <c r="F217" t="str">
        <f>_xlfn.XLOOKUP(TAB_T_DOCE_MAEST[[#This Row],[MAESTRIA]],MAESTRIA[NOMBRE_MAESTRIA],MAESTRIA[ID_MAESTRIA],"Seleccione Maestria")</f>
        <v>Seleccione Maestria</v>
      </c>
    </row>
    <row r="218" spans="1:6">
      <c r="A218" t="s">
        <v>293</v>
      </c>
      <c r="C218" t="str">
        <f>_xlfn.XLOOKUP(TAB_T_DOCE_MAEST[[#This Row],[NOMBRE_DOCENTE]],MDOCENTES[DATOS_DOCENTE],MDOCENTES[ID_DOCENTE],"Seleccione Docente")</f>
        <v>Seleccione Docente</v>
      </c>
      <c r="E218" t="str">
        <f>IF(COUNTIFS(C:C,C218,D:D,D218)&gt;1,"Docente ya registrado","")</f>
        <v/>
      </c>
      <c r="F218" t="str">
        <f>_xlfn.XLOOKUP(TAB_T_DOCE_MAEST[[#This Row],[MAESTRIA]],MAESTRIA[NOMBRE_MAESTRIA],MAESTRIA[ID_MAESTRIA],"Seleccione Maestria")</f>
        <v>Seleccione Maestria</v>
      </c>
    </row>
    <row r="219" spans="1:6">
      <c r="A219" t="s">
        <v>294</v>
      </c>
      <c r="C219" t="str">
        <f>_xlfn.XLOOKUP(TAB_T_DOCE_MAEST[[#This Row],[NOMBRE_DOCENTE]],MDOCENTES[DATOS_DOCENTE],MDOCENTES[ID_DOCENTE],"Seleccione Docente")</f>
        <v>Seleccione Docente</v>
      </c>
      <c r="E219" t="str">
        <f>IF(COUNTIFS(C:C,C219,D:D,D219)&gt;1,"Docente ya registrado","")</f>
        <v/>
      </c>
      <c r="F219" t="str">
        <f>_xlfn.XLOOKUP(TAB_T_DOCE_MAEST[[#This Row],[MAESTRIA]],MAESTRIA[NOMBRE_MAESTRIA],MAESTRIA[ID_MAESTRIA],"Seleccione Maestria")</f>
        <v>Seleccione Maestria</v>
      </c>
    </row>
    <row r="220" spans="1:6">
      <c r="A220" t="s">
        <v>295</v>
      </c>
      <c r="C220" t="str">
        <f>_xlfn.XLOOKUP(TAB_T_DOCE_MAEST[[#This Row],[NOMBRE_DOCENTE]],MDOCENTES[DATOS_DOCENTE],MDOCENTES[ID_DOCENTE],"Seleccione Docente")</f>
        <v>Seleccione Docente</v>
      </c>
      <c r="E220" t="str">
        <f>IF(COUNTIFS(C:C,C220,D:D,D220)&gt;1,"Docente ya registrado","")</f>
        <v/>
      </c>
      <c r="F220" t="str">
        <f>_xlfn.XLOOKUP(TAB_T_DOCE_MAEST[[#This Row],[MAESTRIA]],MAESTRIA[NOMBRE_MAESTRIA],MAESTRIA[ID_MAESTRIA],"Seleccione Maestria")</f>
        <v>Seleccione Maestria</v>
      </c>
    </row>
    <row r="221" spans="1:6">
      <c r="A221" t="s">
        <v>296</v>
      </c>
      <c r="C221" t="str">
        <f>_xlfn.XLOOKUP(TAB_T_DOCE_MAEST[[#This Row],[NOMBRE_DOCENTE]],MDOCENTES[DATOS_DOCENTE],MDOCENTES[ID_DOCENTE],"Seleccione Docente")</f>
        <v>Seleccione Docente</v>
      </c>
      <c r="E221" t="str">
        <f>IF(COUNTIFS(C:C,C221,D:D,D221)&gt;1,"Docente ya registrado","")</f>
        <v/>
      </c>
      <c r="F221" t="str">
        <f>_xlfn.XLOOKUP(TAB_T_DOCE_MAEST[[#This Row],[MAESTRIA]],MAESTRIA[NOMBRE_MAESTRIA],MAESTRIA[ID_MAESTRIA],"Seleccione Maestria")</f>
        <v>Seleccione Maestria</v>
      </c>
    </row>
    <row r="222" spans="1:6">
      <c r="A222" t="s">
        <v>297</v>
      </c>
      <c r="C222" t="str">
        <f>_xlfn.XLOOKUP(TAB_T_DOCE_MAEST[[#This Row],[NOMBRE_DOCENTE]],MDOCENTES[DATOS_DOCENTE],MDOCENTES[ID_DOCENTE],"Seleccione Docente")</f>
        <v>Seleccione Docente</v>
      </c>
      <c r="E222" t="str">
        <f>IF(COUNTIFS(C:C,C222,D:D,D222)&gt;1,"Docente ya registrado","")</f>
        <v/>
      </c>
      <c r="F222" t="str">
        <f>_xlfn.XLOOKUP(TAB_T_DOCE_MAEST[[#This Row],[MAESTRIA]],MAESTRIA[NOMBRE_MAESTRIA],MAESTRIA[ID_MAESTRIA],"Seleccione Maestria")</f>
        <v>Seleccione Maestria</v>
      </c>
    </row>
    <row r="223" spans="1:6">
      <c r="A223" t="s">
        <v>298</v>
      </c>
      <c r="C223" t="str">
        <f>_xlfn.XLOOKUP(TAB_T_DOCE_MAEST[[#This Row],[NOMBRE_DOCENTE]],MDOCENTES[DATOS_DOCENTE],MDOCENTES[ID_DOCENTE],"Seleccione Docente")</f>
        <v>Seleccione Docente</v>
      </c>
      <c r="E223" t="str">
        <f>IF(COUNTIFS(C:C,C223,D:D,D223)&gt;1,"Docente ya registrado","")</f>
        <v/>
      </c>
      <c r="F223" t="str">
        <f>_xlfn.XLOOKUP(TAB_T_DOCE_MAEST[[#This Row],[MAESTRIA]],MAESTRIA[NOMBRE_MAESTRIA],MAESTRIA[ID_MAESTRIA],"Seleccione Maestria")</f>
        <v>Seleccione Maestria</v>
      </c>
    </row>
    <row r="224" spans="1:6">
      <c r="A224" t="s">
        <v>299</v>
      </c>
      <c r="C224" t="str">
        <f>_xlfn.XLOOKUP(TAB_T_DOCE_MAEST[[#This Row],[NOMBRE_DOCENTE]],MDOCENTES[DATOS_DOCENTE],MDOCENTES[ID_DOCENTE],"Seleccione Docente")</f>
        <v>Seleccione Docente</v>
      </c>
      <c r="E224" t="str">
        <f>IF(COUNTIFS(C:C,C224,D:D,D224)&gt;1,"Docente ya registrado","")</f>
        <v/>
      </c>
      <c r="F224" t="str">
        <f>_xlfn.XLOOKUP(TAB_T_DOCE_MAEST[[#This Row],[MAESTRIA]],MAESTRIA[NOMBRE_MAESTRIA],MAESTRIA[ID_MAESTRIA],"Seleccione Maestria")</f>
        <v>Seleccione Maestria</v>
      </c>
    </row>
    <row r="225" spans="1:6">
      <c r="A225" t="s">
        <v>300</v>
      </c>
      <c r="C225" t="str">
        <f>_xlfn.XLOOKUP(TAB_T_DOCE_MAEST[[#This Row],[NOMBRE_DOCENTE]],MDOCENTES[DATOS_DOCENTE],MDOCENTES[ID_DOCENTE],"Seleccione Docente")</f>
        <v>Seleccione Docente</v>
      </c>
      <c r="E225" t="str">
        <f>IF(COUNTIFS(C:C,C225,D:D,D225)&gt;1,"Docente ya registrado","")</f>
        <v/>
      </c>
      <c r="F225" t="str">
        <f>_xlfn.XLOOKUP(TAB_T_DOCE_MAEST[[#This Row],[MAESTRIA]],MAESTRIA[NOMBRE_MAESTRIA],MAESTRIA[ID_MAESTRIA],"Seleccione Maestria")</f>
        <v>Seleccione Maestria</v>
      </c>
    </row>
    <row r="226" spans="1:6">
      <c r="A226" t="s">
        <v>301</v>
      </c>
      <c r="C226" t="str">
        <f>_xlfn.XLOOKUP(TAB_T_DOCE_MAEST[[#This Row],[NOMBRE_DOCENTE]],MDOCENTES[DATOS_DOCENTE],MDOCENTES[ID_DOCENTE],"Seleccione Docente")</f>
        <v>Seleccione Docente</v>
      </c>
      <c r="E226" t="str">
        <f>IF(COUNTIFS(C:C,C226,D:D,D226)&gt;1,"Docente ya registrado","")</f>
        <v/>
      </c>
      <c r="F226" t="str">
        <f>_xlfn.XLOOKUP(TAB_T_DOCE_MAEST[[#This Row],[MAESTRIA]],MAESTRIA[NOMBRE_MAESTRIA],MAESTRIA[ID_MAESTRIA],"Seleccione Maestria")</f>
        <v>Seleccione Maestria</v>
      </c>
    </row>
    <row r="227" spans="1:6">
      <c r="A227" t="s">
        <v>302</v>
      </c>
      <c r="C227" t="str">
        <f>_xlfn.XLOOKUP(TAB_T_DOCE_MAEST[[#This Row],[NOMBRE_DOCENTE]],MDOCENTES[DATOS_DOCENTE],MDOCENTES[ID_DOCENTE],"Seleccione Docente")</f>
        <v>Seleccione Docente</v>
      </c>
      <c r="E227" t="str">
        <f>IF(COUNTIFS(C:C,C227,D:D,D227)&gt;1,"Docente ya registrado","")</f>
        <v/>
      </c>
      <c r="F227" t="str">
        <f>_xlfn.XLOOKUP(TAB_T_DOCE_MAEST[[#This Row],[MAESTRIA]],MAESTRIA[NOMBRE_MAESTRIA],MAESTRIA[ID_MAESTRIA],"Seleccione Maestria")</f>
        <v>Seleccione Maestria</v>
      </c>
    </row>
    <row r="228" spans="1:6">
      <c r="A228" t="s">
        <v>303</v>
      </c>
      <c r="C228" t="str">
        <f>_xlfn.XLOOKUP(TAB_T_DOCE_MAEST[[#This Row],[NOMBRE_DOCENTE]],MDOCENTES[DATOS_DOCENTE],MDOCENTES[ID_DOCENTE],"Seleccione Docente")</f>
        <v>Seleccione Docente</v>
      </c>
      <c r="E228" t="str">
        <f>IF(COUNTIFS(C:C,C228,D:D,D228)&gt;1,"Docente ya registrado","")</f>
        <v/>
      </c>
      <c r="F228" t="str">
        <f>_xlfn.XLOOKUP(TAB_T_DOCE_MAEST[[#This Row],[MAESTRIA]],MAESTRIA[NOMBRE_MAESTRIA],MAESTRIA[ID_MAESTRIA],"Seleccione Maestria")</f>
        <v>Seleccione Maestria</v>
      </c>
    </row>
    <row r="229" spans="1:6">
      <c r="A229" t="s">
        <v>304</v>
      </c>
      <c r="C229" t="str">
        <f>_xlfn.XLOOKUP(TAB_T_DOCE_MAEST[[#This Row],[NOMBRE_DOCENTE]],MDOCENTES[DATOS_DOCENTE],MDOCENTES[ID_DOCENTE],"Seleccione Docente")</f>
        <v>Seleccione Docente</v>
      </c>
      <c r="E229" t="str">
        <f>IF(COUNTIFS(C:C,C229,D:D,D229)&gt;1,"Docente ya registrado","")</f>
        <v/>
      </c>
      <c r="F229" t="str">
        <f>_xlfn.XLOOKUP(TAB_T_DOCE_MAEST[[#This Row],[MAESTRIA]],MAESTRIA[NOMBRE_MAESTRIA],MAESTRIA[ID_MAESTRIA],"Seleccione Maestria")</f>
        <v>Seleccione Maestria</v>
      </c>
    </row>
    <row r="230" spans="1:6">
      <c r="A230" t="s">
        <v>305</v>
      </c>
      <c r="C230" t="str">
        <f>_xlfn.XLOOKUP(TAB_T_DOCE_MAEST[[#This Row],[NOMBRE_DOCENTE]],MDOCENTES[DATOS_DOCENTE],MDOCENTES[ID_DOCENTE],"Seleccione Docente")</f>
        <v>Seleccione Docente</v>
      </c>
      <c r="E230" t="str">
        <f>IF(COUNTIFS(C:C,C230,D:D,D230)&gt;1,"Docente ya registrado","")</f>
        <v/>
      </c>
      <c r="F230" t="str">
        <f>_xlfn.XLOOKUP(TAB_T_DOCE_MAEST[[#This Row],[MAESTRIA]],MAESTRIA[NOMBRE_MAESTRIA],MAESTRIA[ID_MAESTRIA],"Seleccione Maestria")</f>
        <v>Seleccione Maestria</v>
      </c>
    </row>
    <row r="231" spans="1:6">
      <c r="A231" t="s">
        <v>306</v>
      </c>
      <c r="C231" t="str">
        <f>_xlfn.XLOOKUP(TAB_T_DOCE_MAEST[[#This Row],[NOMBRE_DOCENTE]],MDOCENTES[DATOS_DOCENTE],MDOCENTES[ID_DOCENTE],"Seleccione Docente")</f>
        <v>Seleccione Docente</v>
      </c>
      <c r="E231" t="str">
        <f>IF(COUNTIFS(C:C,C231,D:D,D231)&gt;1,"Docente ya registrado","")</f>
        <v/>
      </c>
      <c r="F231" t="str">
        <f>_xlfn.XLOOKUP(TAB_T_DOCE_MAEST[[#This Row],[MAESTRIA]],MAESTRIA[NOMBRE_MAESTRIA],MAESTRIA[ID_MAESTRIA],"Seleccione Maestria")</f>
        <v>Seleccione Maestria</v>
      </c>
    </row>
    <row r="232" spans="1:6">
      <c r="A232" t="s">
        <v>307</v>
      </c>
      <c r="C232" t="str">
        <f>_xlfn.XLOOKUP(TAB_T_DOCE_MAEST[[#This Row],[NOMBRE_DOCENTE]],MDOCENTES[DATOS_DOCENTE],MDOCENTES[ID_DOCENTE],"Seleccione Docente")</f>
        <v>Seleccione Docente</v>
      </c>
      <c r="E232" t="str">
        <f>IF(COUNTIFS(C:C,C232,D:D,D232)&gt;1,"Docente ya registrado","")</f>
        <v/>
      </c>
      <c r="F232" t="str">
        <f>_xlfn.XLOOKUP(TAB_T_DOCE_MAEST[[#This Row],[MAESTRIA]],MAESTRIA[NOMBRE_MAESTRIA],MAESTRIA[ID_MAESTRIA],"Seleccione Maestria")</f>
        <v>Seleccione Maestria</v>
      </c>
    </row>
    <row r="233" spans="1:6">
      <c r="A233" t="s">
        <v>308</v>
      </c>
      <c r="C233" t="str">
        <f>_xlfn.XLOOKUP(TAB_T_DOCE_MAEST[[#This Row],[NOMBRE_DOCENTE]],MDOCENTES[DATOS_DOCENTE],MDOCENTES[ID_DOCENTE],"Seleccione Docente")</f>
        <v>Seleccione Docente</v>
      </c>
      <c r="E233" t="str">
        <f>IF(COUNTIFS(C:C,C233,D:D,D233)&gt;1,"Docente ya registrado","")</f>
        <v/>
      </c>
      <c r="F233" t="str">
        <f>_xlfn.XLOOKUP(TAB_T_DOCE_MAEST[[#This Row],[MAESTRIA]],MAESTRIA[NOMBRE_MAESTRIA],MAESTRIA[ID_MAESTRIA],"Seleccione Maestria")</f>
        <v>Seleccione Maestria</v>
      </c>
    </row>
    <row r="234" spans="1:6">
      <c r="A234" t="s">
        <v>309</v>
      </c>
      <c r="C234" t="str">
        <f>_xlfn.XLOOKUP(TAB_T_DOCE_MAEST[[#This Row],[NOMBRE_DOCENTE]],MDOCENTES[DATOS_DOCENTE],MDOCENTES[ID_DOCENTE],"Seleccione Docente")</f>
        <v>Seleccione Docente</v>
      </c>
      <c r="E234" t="str">
        <f>IF(COUNTIFS(C:C,C234,D:D,D234)&gt;1,"Docente ya registrado","")</f>
        <v/>
      </c>
      <c r="F234" t="str">
        <f>_xlfn.XLOOKUP(TAB_T_DOCE_MAEST[[#This Row],[MAESTRIA]],MAESTRIA[NOMBRE_MAESTRIA],MAESTRIA[ID_MAESTRIA],"Seleccione Maestria")</f>
        <v>Seleccione Maestria</v>
      </c>
    </row>
    <row r="235" spans="1:6">
      <c r="A235" t="s">
        <v>310</v>
      </c>
      <c r="C235" t="str">
        <f>_xlfn.XLOOKUP(TAB_T_DOCE_MAEST[[#This Row],[NOMBRE_DOCENTE]],MDOCENTES[DATOS_DOCENTE],MDOCENTES[ID_DOCENTE],"Seleccione Docente")</f>
        <v>Seleccione Docente</v>
      </c>
      <c r="E235" t="str">
        <f>IF(COUNTIFS(C:C,C235,D:D,D235)&gt;1,"Docente ya registrado","")</f>
        <v/>
      </c>
      <c r="F235" t="str">
        <f>_xlfn.XLOOKUP(TAB_T_DOCE_MAEST[[#This Row],[MAESTRIA]],MAESTRIA[NOMBRE_MAESTRIA],MAESTRIA[ID_MAESTRIA],"Seleccione Maestria")</f>
        <v>Seleccione Maestria</v>
      </c>
    </row>
    <row r="236" spans="1:6">
      <c r="A236" t="s">
        <v>311</v>
      </c>
      <c r="C236" t="str">
        <f>_xlfn.XLOOKUP(TAB_T_DOCE_MAEST[[#This Row],[NOMBRE_DOCENTE]],MDOCENTES[DATOS_DOCENTE],MDOCENTES[ID_DOCENTE],"Seleccione Docente")</f>
        <v>Seleccione Docente</v>
      </c>
      <c r="E236" t="str">
        <f>IF(COUNTIFS(C:C,C236,D:D,D236)&gt;1,"Docente ya registrado","")</f>
        <v/>
      </c>
      <c r="F236" t="str">
        <f>_xlfn.XLOOKUP(TAB_T_DOCE_MAEST[[#This Row],[MAESTRIA]],MAESTRIA[NOMBRE_MAESTRIA],MAESTRIA[ID_MAESTRIA],"Seleccione Maestria")</f>
        <v>Seleccione Maestria</v>
      </c>
    </row>
    <row r="237" spans="1:6">
      <c r="A237" t="s">
        <v>312</v>
      </c>
      <c r="C237" t="str">
        <f>_xlfn.XLOOKUP(TAB_T_DOCE_MAEST[[#This Row],[NOMBRE_DOCENTE]],MDOCENTES[DATOS_DOCENTE],MDOCENTES[ID_DOCENTE],"Seleccione Docente")</f>
        <v>Seleccione Docente</v>
      </c>
      <c r="E237" t="str">
        <f>IF(COUNTIFS(C:C,C237,D:D,D237)&gt;1,"Docente ya registrado","")</f>
        <v/>
      </c>
      <c r="F237" t="str">
        <f>_xlfn.XLOOKUP(TAB_T_DOCE_MAEST[[#This Row],[MAESTRIA]],MAESTRIA[NOMBRE_MAESTRIA],MAESTRIA[ID_MAESTRIA],"Seleccione Maestria")</f>
        <v>Seleccione Maestria</v>
      </c>
    </row>
    <row r="238" spans="1:6">
      <c r="A238" t="s">
        <v>313</v>
      </c>
      <c r="C238" t="str">
        <f>_xlfn.XLOOKUP(TAB_T_DOCE_MAEST[[#This Row],[NOMBRE_DOCENTE]],MDOCENTES[DATOS_DOCENTE],MDOCENTES[ID_DOCENTE],"Seleccione Docente")</f>
        <v>Seleccione Docente</v>
      </c>
      <c r="E238" t="str">
        <f>IF(COUNTIFS(C:C,C238,D:D,D238)&gt;1,"Docente ya registrado","")</f>
        <v/>
      </c>
      <c r="F238" t="str">
        <f>_xlfn.XLOOKUP(TAB_T_DOCE_MAEST[[#This Row],[MAESTRIA]],MAESTRIA[NOMBRE_MAESTRIA],MAESTRIA[ID_MAESTRIA],"Seleccione Maestria")</f>
        <v>Seleccione Maestria</v>
      </c>
    </row>
    <row r="239" spans="1:6">
      <c r="A239" t="s">
        <v>314</v>
      </c>
      <c r="C239" t="str">
        <f>_xlfn.XLOOKUP(TAB_T_DOCE_MAEST[[#This Row],[NOMBRE_DOCENTE]],MDOCENTES[DATOS_DOCENTE],MDOCENTES[ID_DOCENTE],"Seleccione Docente")</f>
        <v>Seleccione Docente</v>
      </c>
      <c r="E239" t="str">
        <f>IF(COUNTIFS(C:C,C239,D:D,D239)&gt;1,"Docente ya registrado","")</f>
        <v/>
      </c>
      <c r="F239" t="str">
        <f>_xlfn.XLOOKUP(TAB_T_DOCE_MAEST[[#This Row],[MAESTRIA]],MAESTRIA[NOMBRE_MAESTRIA],MAESTRIA[ID_MAESTRIA],"Seleccione Maestria")</f>
        <v>Seleccione Maestria</v>
      </c>
    </row>
    <row r="240" spans="1:6">
      <c r="A240" t="s">
        <v>315</v>
      </c>
      <c r="C240" t="str">
        <f>_xlfn.XLOOKUP(TAB_T_DOCE_MAEST[[#This Row],[NOMBRE_DOCENTE]],MDOCENTES[DATOS_DOCENTE],MDOCENTES[ID_DOCENTE],"Seleccione Docente")</f>
        <v>Seleccione Docente</v>
      </c>
      <c r="E240" t="str">
        <f>IF(COUNTIFS(C:C,C240,D:D,D240)&gt;1,"Docente ya registrado","")</f>
        <v/>
      </c>
      <c r="F240" t="str">
        <f>_xlfn.XLOOKUP(TAB_T_DOCE_MAEST[[#This Row],[MAESTRIA]],MAESTRIA[NOMBRE_MAESTRIA],MAESTRIA[ID_MAESTRIA],"Seleccione Maestria")</f>
        <v>Seleccione Maestria</v>
      </c>
    </row>
    <row r="241" spans="1:6">
      <c r="A241" t="s">
        <v>316</v>
      </c>
      <c r="C241" t="str">
        <f>_xlfn.XLOOKUP(TAB_T_DOCE_MAEST[[#This Row],[NOMBRE_DOCENTE]],MDOCENTES[DATOS_DOCENTE],MDOCENTES[ID_DOCENTE],"Seleccione Docente")</f>
        <v>Seleccione Docente</v>
      </c>
      <c r="E241" t="str">
        <f>IF(COUNTIFS(C:C,C241,D:D,D241)&gt;1,"Docente ya registrado","")</f>
        <v/>
      </c>
      <c r="F241" t="str">
        <f>_xlfn.XLOOKUP(TAB_T_DOCE_MAEST[[#This Row],[MAESTRIA]],MAESTRIA[NOMBRE_MAESTRIA],MAESTRIA[ID_MAESTRIA],"Seleccione Maestria")</f>
        <v>Seleccione Maestria</v>
      </c>
    </row>
    <row r="242" spans="1:6">
      <c r="A242" t="s">
        <v>317</v>
      </c>
      <c r="C242" t="str">
        <f>_xlfn.XLOOKUP(TAB_T_DOCE_MAEST[[#This Row],[NOMBRE_DOCENTE]],MDOCENTES[DATOS_DOCENTE],MDOCENTES[ID_DOCENTE],"Seleccione Docente")</f>
        <v>Seleccione Docente</v>
      </c>
      <c r="E242" t="str">
        <f>IF(COUNTIFS(C:C,C242,D:D,D242)&gt;1,"Docente ya registrado","")</f>
        <v/>
      </c>
      <c r="F242" t="str">
        <f>_xlfn.XLOOKUP(TAB_T_DOCE_MAEST[[#This Row],[MAESTRIA]],MAESTRIA[NOMBRE_MAESTRIA],MAESTRIA[ID_MAESTRIA],"Seleccione Maestria")</f>
        <v>Seleccione Maestria</v>
      </c>
    </row>
    <row r="243" spans="1:6">
      <c r="A243" t="s">
        <v>318</v>
      </c>
      <c r="C243" t="str">
        <f>_xlfn.XLOOKUP(TAB_T_DOCE_MAEST[[#This Row],[NOMBRE_DOCENTE]],MDOCENTES[DATOS_DOCENTE],MDOCENTES[ID_DOCENTE],"Seleccione Docente")</f>
        <v>Seleccione Docente</v>
      </c>
      <c r="E243" t="str">
        <f>IF(COUNTIFS(C:C,C243,D:D,D243)&gt;1,"Docente ya registrado","")</f>
        <v/>
      </c>
      <c r="F243" t="str">
        <f>_xlfn.XLOOKUP(TAB_T_DOCE_MAEST[[#This Row],[MAESTRIA]],MAESTRIA[NOMBRE_MAESTRIA],MAESTRIA[ID_MAESTRIA],"Seleccione Maestria")</f>
        <v>Seleccione Maestria</v>
      </c>
    </row>
    <row r="244" spans="1:6">
      <c r="A244" t="s">
        <v>319</v>
      </c>
      <c r="C244" t="str">
        <f>_xlfn.XLOOKUP(TAB_T_DOCE_MAEST[[#This Row],[NOMBRE_DOCENTE]],MDOCENTES[DATOS_DOCENTE],MDOCENTES[ID_DOCENTE],"Seleccione Docente")</f>
        <v>Seleccione Docente</v>
      </c>
      <c r="E244" t="str">
        <f>IF(COUNTIFS(C:C,C244,D:D,D244)&gt;1,"Docente ya registrado","")</f>
        <v/>
      </c>
      <c r="F244" t="str">
        <f>_xlfn.XLOOKUP(TAB_T_DOCE_MAEST[[#This Row],[MAESTRIA]],MAESTRIA[NOMBRE_MAESTRIA],MAESTRIA[ID_MAESTRIA],"Seleccione Maestria")</f>
        <v>Seleccione Maestria</v>
      </c>
    </row>
    <row r="245" spans="1:6">
      <c r="A245" t="s">
        <v>320</v>
      </c>
      <c r="C245" t="str">
        <f>_xlfn.XLOOKUP(TAB_T_DOCE_MAEST[[#This Row],[NOMBRE_DOCENTE]],MDOCENTES[DATOS_DOCENTE],MDOCENTES[ID_DOCENTE],"Seleccione Docente")</f>
        <v>Seleccione Docente</v>
      </c>
      <c r="E245" t="str">
        <f>IF(COUNTIFS(C:C,C245,D:D,D245)&gt;1,"Docente ya registrado","")</f>
        <v/>
      </c>
      <c r="F245" t="str">
        <f>_xlfn.XLOOKUP(TAB_T_DOCE_MAEST[[#This Row],[MAESTRIA]],MAESTRIA[NOMBRE_MAESTRIA],MAESTRIA[ID_MAESTRIA],"Seleccione Maestria")</f>
        <v>Seleccione Maestria</v>
      </c>
    </row>
    <row r="246" spans="1:6">
      <c r="A246" t="s">
        <v>321</v>
      </c>
      <c r="C246" t="str">
        <f>_xlfn.XLOOKUP(TAB_T_DOCE_MAEST[[#This Row],[NOMBRE_DOCENTE]],MDOCENTES[DATOS_DOCENTE],MDOCENTES[ID_DOCENTE],"Seleccione Docente")</f>
        <v>Seleccione Docente</v>
      </c>
      <c r="E246" t="str">
        <f>IF(COUNTIFS(C:C,C246,D:D,D246)&gt;1,"Docente ya registrado","")</f>
        <v/>
      </c>
      <c r="F246" t="str">
        <f>_xlfn.XLOOKUP(TAB_T_DOCE_MAEST[[#This Row],[MAESTRIA]],MAESTRIA[NOMBRE_MAESTRIA],MAESTRIA[ID_MAESTRIA],"Seleccione Maestria")</f>
        <v>Seleccione Maestria</v>
      </c>
    </row>
    <row r="247" spans="1:6">
      <c r="A247" t="s">
        <v>322</v>
      </c>
      <c r="C247" t="str">
        <f>_xlfn.XLOOKUP(TAB_T_DOCE_MAEST[[#This Row],[NOMBRE_DOCENTE]],MDOCENTES[DATOS_DOCENTE],MDOCENTES[ID_DOCENTE],"Seleccione Docente")</f>
        <v>Seleccione Docente</v>
      </c>
      <c r="E247" t="str">
        <f>IF(COUNTIFS(C:C,C247,D:D,D247)&gt;1,"Docente ya registrado","")</f>
        <v/>
      </c>
      <c r="F247" t="str">
        <f>_xlfn.XLOOKUP(TAB_T_DOCE_MAEST[[#This Row],[MAESTRIA]],MAESTRIA[NOMBRE_MAESTRIA],MAESTRIA[ID_MAESTRIA],"Seleccione Maestria")</f>
        <v>Seleccione Maestria</v>
      </c>
    </row>
    <row r="248" spans="1:6">
      <c r="A248" t="s">
        <v>323</v>
      </c>
      <c r="C248" t="str">
        <f>_xlfn.XLOOKUP(TAB_T_DOCE_MAEST[[#This Row],[NOMBRE_DOCENTE]],MDOCENTES[DATOS_DOCENTE],MDOCENTES[ID_DOCENTE],"Seleccione Docente")</f>
        <v>Seleccione Docente</v>
      </c>
      <c r="E248" t="str">
        <f>IF(COUNTIFS(C:C,C248,D:D,D248)&gt;1,"Docente ya registrado","")</f>
        <v/>
      </c>
      <c r="F248" t="str">
        <f>_xlfn.XLOOKUP(TAB_T_DOCE_MAEST[[#This Row],[MAESTRIA]],MAESTRIA[NOMBRE_MAESTRIA],MAESTRIA[ID_MAESTRIA],"Seleccione Maestria")</f>
        <v>Seleccione Maestria</v>
      </c>
    </row>
    <row r="249" spans="1:6">
      <c r="A249" t="s">
        <v>324</v>
      </c>
      <c r="C249" t="str">
        <f>_xlfn.XLOOKUP(TAB_T_DOCE_MAEST[[#This Row],[NOMBRE_DOCENTE]],MDOCENTES[DATOS_DOCENTE],MDOCENTES[ID_DOCENTE],"Seleccione Docente")</f>
        <v>Seleccione Docente</v>
      </c>
      <c r="E249" t="str">
        <f>IF(COUNTIFS(C:C,C249,D:D,D249)&gt;1,"Docente ya registrado","")</f>
        <v/>
      </c>
      <c r="F249" t="str">
        <f>_xlfn.XLOOKUP(TAB_T_DOCE_MAEST[[#This Row],[MAESTRIA]],MAESTRIA[NOMBRE_MAESTRIA],MAESTRIA[ID_MAESTRIA],"Seleccione Maestria")</f>
        <v>Seleccione Maestria</v>
      </c>
    </row>
    <row r="250" spans="1:6">
      <c r="A250" t="s">
        <v>325</v>
      </c>
      <c r="C250" t="str">
        <f>_xlfn.XLOOKUP(TAB_T_DOCE_MAEST[[#This Row],[NOMBRE_DOCENTE]],MDOCENTES[DATOS_DOCENTE],MDOCENTES[ID_DOCENTE],"Seleccione Docente")</f>
        <v>Seleccione Docente</v>
      </c>
      <c r="E250" t="str">
        <f>IF(COUNTIFS(C:C,C250,D:D,D250)&gt;1,"Docente ya registrado","")</f>
        <v/>
      </c>
      <c r="F250" t="str">
        <f>_xlfn.XLOOKUP(TAB_T_DOCE_MAEST[[#This Row],[MAESTRIA]],MAESTRIA[NOMBRE_MAESTRIA],MAESTRIA[ID_MAESTRIA],"Seleccione Maestria")</f>
        <v>Seleccione Maestria</v>
      </c>
    </row>
    <row r="251" spans="1:6">
      <c r="A251" t="s">
        <v>326</v>
      </c>
      <c r="C251" t="str">
        <f>_xlfn.XLOOKUP(TAB_T_DOCE_MAEST[[#This Row],[NOMBRE_DOCENTE]],MDOCENTES[DATOS_DOCENTE],MDOCENTES[ID_DOCENTE],"Seleccione Docente")</f>
        <v>Seleccione Docente</v>
      </c>
      <c r="E251" t="str">
        <f>IF(COUNTIFS(C:C,C251,D:D,D251)&gt;1,"Docente ya registrado","")</f>
        <v/>
      </c>
      <c r="F251" t="str">
        <f>_xlfn.XLOOKUP(TAB_T_DOCE_MAEST[[#This Row],[MAESTRIA]],MAESTRIA[NOMBRE_MAESTRIA],MAESTRIA[ID_MAESTRIA],"Seleccione Maestria")</f>
        <v>Seleccione Maestria</v>
      </c>
    </row>
    <row r="252" spans="1:6">
      <c r="A252" t="s">
        <v>327</v>
      </c>
      <c r="C252" t="str">
        <f>_xlfn.XLOOKUP(TAB_T_DOCE_MAEST[[#This Row],[NOMBRE_DOCENTE]],MDOCENTES[DATOS_DOCENTE],MDOCENTES[ID_DOCENTE],"Seleccione Docente")</f>
        <v>Seleccione Docente</v>
      </c>
      <c r="E252" t="str">
        <f>IF(COUNTIFS(C:C,C252,D:D,D252)&gt;1,"Docente ya registrado","")</f>
        <v/>
      </c>
      <c r="F252" t="str">
        <f>_xlfn.XLOOKUP(TAB_T_DOCE_MAEST[[#This Row],[MAESTRIA]],MAESTRIA[NOMBRE_MAESTRIA],MAESTRIA[ID_MAESTRIA],"Seleccione Maestria")</f>
        <v>Seleccione Maestria</v>
      </c>
    </row>
    <row r="253" spans="1:6">
      <c r="A253" t="s">
        <v>328</v>
      </c>
      <c r="C253" t="str">
        <f>_xlfn.XLOOKUP(TAB_T_DOCE_MAEST[[#This Row],[NOMBRE_DOCENTE]],MDOCENTES[DATOS_DOCENTE],MDOCENTES[ID_DOCENTE],"Seleccione Docente")</f>
        <v>Seleccione Docente</v>
      </c>
      <c r="E253" t="str">
        <f>IF(COUNTIFS(C:C,C253,D:D,D253)&gt;1,"Docente ya registrado","")</f>
        <v/>
      </c>
      <c r="F253" t="str">
        <f>_xlfn.XLOOKUP(TAB_T_DOCE_MAEST[[#This Row],[MAESTRIA]],MAESTRIA[NOMBRE_MAESTRIA],MAESTRIA[ID_MAESTRIA],"Seleccione Maestria")</f>
        <v>Seleccione Maestria</v>
      </c>
    </row>
    <row r="254" spans="1:6">
      <c r="A254" t="s">
        <v>329</v>
      </c>
      <c r="C254" t="str">
        <f>_xlfn.XLOOKUP(TAB_T_DOCE_MAEST[[#This Row],[NOMBRE_DOCENTE]],MDOCENTES[DATOS_DOCENTE],MDOCENTES[ID_DOCENTE],"Seleccione Docente")</f>
        <v>Seleccione Docente</v>
      </c>
      <c r="E254" t="str">
        <f>IF(COUNTIFS(C:C,C254,D:D,D254)&gt;1,"Docente ya registrado","")</f>
        <v/>
      </c>
      <c r="F254" t="str">
        <f>_xlfn.XLOOKUP(TAB_T_DOCE_MAEST[[#This Row],[MAESTRIA]],MAESTRIA[NOMBRE_MAESTRIA],MAESTRIA[ID_MAESTRIA],"Seleccione Maestria")</f>
        <v>Seleccione Maestria</v>
      </c>
    </row>
    <row r="255" spans="1:6">
      <c r="A255" t="s">
        <v>330</v>
      </c>
      <c r="C255" t="str">
        <f>_xlfn.XLOOKUP(TAB_T_DOCE_MAEST[[#This Row],[NOMBRE_DOCENTE]],MDOCENTES[DATOS_DOCENTE],MDOCENTES[ID_DOCENTE],"Seleccione Docente")</f>
        <v>Seleccione Docente</v>
      </c>
      <c r="E255" t="str">
        <f>IF(COUNTIFS(C:C,C255,D:D,D255)&gt;1,"Docente ya registrado","")</f>
        <v/>
      </c>
      <c r="F255" t="str">
        <f>_xlfn.XLOOKUP(TAB_T_DOCE_MAEST[[#This Row],[MAESTRIA]],MAESTRIA[NOMBRE_MAESTRIA],MAESTRIA[ID_MAESTRIA],"Seleccione Maestria")</f>
        <v>Seleccione Maestria</v>
      </c>
    </row>
    <row r="256" spans="1:6">
      <c r="A256" t="s">
        <v>331</v>
      </c>
      <c r="C256" t="str">
        <f>_xlfn.XLOOKUP(TAB_T_DOCE_MAEST[[#This Row],[NOMBRE_DOCENTE]],MDOCENTES[DATOS_DOCENTE],MDOCENTES[ID_DOCENTE],"Seleccione Docente")</f>
        <v>Seleccione Docente</v>
      </c>
      <c r="E256" t="str">
        <f>IF(COUNTIFS(C:C,C256,D:D,D256)&gt;1,"Docente ya registrado","")</f>
        <v/>
      </c>
      <c r="F256" t="str">
        <f>_xlfn.XLOOKUP(TAB_T_DOCE_MAEST[[#This Row],[MAESTRIA]],MAESTRIA[NOMBRE_MAESTRIA],MAESTRIA[ID_MAESTRIA],"Seleccione Maestria")</f>
        <v>Seleccione Maestria</v>
      </c>
    </row>
    <row r="257" spans="1:6">
      <c r="A257" t="s">
        <v>332</v>
      </c>
      <c r="C257" t="str">
        <f>_xlfn.XLOOKUP(TAB_T_DOCE_MAEST[[#This Row],[NOMBRE_DOCENTE]],MDOCENTES[DATOS_DOCENTE],MDOCENTES[ID_DOCENTE],"Seleccione Docente")</f>
        <v>Seleccione Docente</v>
      </c>
      <c r="E257" t="str">
        <f>IF(COUNTIFS(C:C,C257,D:D,D257)&gt;1,"Docente ya registrado","")</f>
        <v/>
      </c>
      <c r="F257" t="str">
        <f>_xlfn.XLOOKUP(TAB_T_DOCE_MAEST[[#This Row],[MAESTRIA]],MAESTRIA[NOMBRE_MAESTRIA],MAESTRIA[ID_MAESTRIA],"Seleccione Maestria")</f>
        <v>Seleccione Maestria</v>
      </c>
    </row>
    <row r="258" spans="1:6">
      <c r="A258" t="s">
        <v>333</v>
      </c>
      <c r="C258" t="str">
        <f>_xlfn.XLOOKUP(TAB_T_DOCE_MAEST[[#This Row],[NOMBRE_DOCENTE]],MDOCENTES[DATOS_DOCENTE],MDOCENTES[ID_DOCENTE],"Seleccione Docente")</f>
        <v>Seleccione Docente</v>
      </c>
      <c r="E258" t="str">
        <f>IF(COUNTIFS(C:C,C258,D:D,D258)&gt;1,"Docente ya registrado","")</f>
        <v/>
      </c>
      <c r="F258" t="str">
        <f>_xlfn.XLOOKUP(TAB_T_DOCE_MAEST[[#This Row],[MAESTRIA]],MAESTRIA[NOMBRE_MAESTRIA],MAESTRIA[ID_MAESTRIA],"Seleccione Maestria")</f>
        <v>Seleccione Maestria</v>
      </c>
    </row>
    <row r="259" spans="1:6">
      <c r="A259" t="s">
        <v>334</v>
      </c>
      <c r="C259" t="str">
        <f>_xlfn.XLOOKUP(TAB_T_DOCE_MAEST[[#This Row],[NOMBRE_DOCENTE]],MDOCENTES[DATOS_DOCENTE],MDOCENTES[ID_DOCENTE],"Seleccione Docente")</f>
        <v>Seleccione Docente</v>
      </c>
      <c r="E259" t="str">
        <f>IF(COUNTIFS(C:C,C259,D:D,D259)&gt;1,"Docente ya registrado","")</f>
        <v/>
      </c>
      <c r="F259" t="str">
        <f>_xlfn.XLOOKUP(TAB_T_DOCE_MAEST[[#This Row],[MAESTRIA]],MAESTRIA[NOMBRE_MAESTRIA],MAESTRIA[ID_MAESTRIA],"Seleccione Maestria")</f>
        <v>Seleccione Maestria</v>
      </c>
    </row>
    <row r="260" spans="1:6">
      <c r="A260" t="s">
        <v>335</v>
      </c>
      <c r="C260" t="str">
        <f>_xlfn.XLOOKUP(TAB_T_DOCE_MAEST[[#This Row],[NOMBRE_DOCENTE]],MDOCENTES[DATOS_DOCENTE],MDOCENTES[ID_DOCENTE],"Seleccione Docente")</f>
        <v>Seleccione Docente</v>
      </c>
      <c r="E260" t="str">
        <f>IF(COUNTIFS(C:C,C260,D:D,D260)&gt;1,"Docente ya registrado","")</f>
        <v/>
      </c>
      <c r="F260" t="str">
        <f>_xlfn.XLOOKUP(TAB_T_DOCE_MAEST[[#This Row],[MAESTRIA]],MAESTRIA[NOMBRE_MAESTRIA],MAESTRIA[ID_MAESTRIA],"Seleccione Maestria")</f>
        <v>Seleccione Maestria</v>
      </c>
    </row>
    <row r="261" spans="1:6">
      <c r="A261" t="s">
        <v>336</v>
      </c>
      <c r="C261" t="str">
        <f>_xlfn.XLOOKUP(TAB_T_DOCE_MAEST[[#This Row],[NOMBRE_DOCENTE]],MDOCENTES[DATOS_DOCENTE],MDOCENTES[ID_DOCENTE],"Seleccione Docente")</f>
        <v>Seleccione Docente</v>
      </c>
      <c r="E261" t="str">
        <f>IF(COUNTIFS(C:C,C261,D:D,D261)&gt;1,"Docente ya registrado","")</f>
        <v/>
      </c>
      <c r="F261" t="str">
        <f>_xlfn.XLOOKUP(TAB_T_DOCE_MAEST[[#This Row],[MAESTRIA]],MAESTRIA[NOMBRE_MAESTRIA],MAESTRIA[ID_MAESTRIA],"Seleccione Maestria")</f>
        <v>Seleccione Maestria</v>
      </c>
    </row>
    <row r="262" spans="1:6">
      <c r="A262" t="s">
        <v>337</v>
      </c>
      <c r="C262" t="str">
        <f>_xlfn.XLOOKUP(TAB_T_DOCE_MAEST[[#This Row],[NOMBRE_DOCENTE]],MDOCENTES[DATOS_DOCENTE],MDOCENTES[ID_DOCENTE],"Seleccione Docente")</f>
        <v>Seleccione Docente</v>
      </c>
      <c r="E262" t="str">
        <f>IF(COUNTIFS(C:C,C262,D:D,D262)&gt;1,"Docente ya registrado","")</f>
        <v/>
      </c>
      <c r="F262" t="str">
        <f>_xlfn.XLOOKUP(TAB_T_DOCE_MAEST[[#This Row],[MAESTRIA]],MAESTRIA[NOMBRE_MAESTRIA],MAESTRIA[ID_MAESTRIA],"Seleccione Maestria")</f>
        <v>Seleccione Maestria</v>
      </c>
    </row>
    <row r="263" spans="1:6">
      <c r="A263" t="s">
        <v>338</v>
      </c>
      <c r="C263" t="str">
        <f>_xlfn.XLOOKUP(TAB_T_DOCE_MAEST[[#This Row],[NOMBRE_DOCENTE]],MDOCENTES[DATOS_DOCENTE],MDOCENTES[ID_DOCENTE],"Seleccione Docente")</f>
        <v>Seleccione Docente</v>
      </c>
      <c r="E263" t="str">
        <f>IF(COUNTIFS(C:C,C263,D:D,D263)&gt;1,"Docente ya registrado","")</f>
        <v/>
      </c>
      <c r="F263" t="str">
        <f>_xlfn.XLOOKUP(TAB_T_DOCE_MAEST[[#This Row],[MAESTRIA]],MAESTRIA[NOMBRE_MAESTRIA],MAESTRIA[ID_MAESTRIA],"Seleccione Maestria")</f>
        <v>Seleccione Maestria</v>
      </c>
    </row>
    <row r="264" spans="1:6">
      <c r="A264" t="s">
        <v>339</v>
      </c>
      <c r="C264" t="str">
        <f>_xlfn.XLOOKUP(TAB_T_DOCE_MAEST[[#This Row],[NOMBRE_DOCENTE]],MDOCENTES[DATOS_DOCENTE],MDOCENTES[ID_DOCENTE],"Seleccione Docente")</f>
        <v>Seleccione Docente</v>
      </c>
      <c r="E264" t="str">
        <f>IF(COUNTIFS(C:C,C264,D:D,D264)&gt;1,"Docente ya registrado","")</f>
        <v/>
      </c>
      <c r="F264" t="str">
        <f>_xlfn.XLOOKUP(TAB_T_DOCE_MAEST[[#This Row],[MAESTRIA]],MAESTRIA[NOMBRE_MAESTRIA],MAESTRIA[ID_MAESTRIA],"Seleccione Maestria")</f>
        <v>Seleccione Maestria</v>
      </c>
    </row>
    <row r="265" spans="1:6">
      <c r="A265" t="s">
        <v>340</v>
      </c>
      <c r="C265" t="str">
        <f>_xlfn.XLOOKUP(TAB_T_DOCE_MAEST[[#This Row],[NOMBRE_DOCENTE]],MDOCENTES[DATOS_DOCENTE],MDOCENTES[ID_DOCENTE],"Seleccione Docente")</f>
        <v>Seleccione Docente</v>
      </c>
      <c r="E265" t="str">
        <f>IF(COUNTIFS(C:C,C265,D:D,D265)&gt;1,"Docente ya registrado","")</f>
        <v/>
      </c>
      <c r="F265" t="str">
        <f>_xlfn.XLOOKUP(TAB_T_DOCE_MAEST[[#This Row],[MAESTRIA]],MAESTRIA[NOMBRE_MAESTRIA],MAESTRIA[ID_MAESTRIA],"Seleccione Maestria")</f>
        <v>Seleccione Maestria</v>
      </c>
    </row>
    <row r="266" spans="1:6">
      <c r="A266" t="s">
        <v>341</v>
      </c>
      <c r="C266" t="str">
        <f>_xlfn.XLOOKUP(TAB_T_DOCE_MAEST[[#This Row],[NOMBRE_DOCENTE]],MDOCENTES[DATOS_DOCENTE],MDOCENTES[ID_DOCENTE],"Seleccione Docente")</f>
        <v>Seleccione Docente</v>
      </c>
      <c r="E266" t="str">
        <f>IF(COUNTIFS(C:C,C266,D:D,D266)&gt;1,"Docente ya registrado","")</f>
        <v/>
      </c>
      <c r="F266" t="str">
        <f>_xlfn.XLOOKUP(TAB_T_DOCE_MAEST[[#This Row],[MAESTRIA]],MAESTRIA[NOMBRE_MAESTRIA],MAESTRIA[ID_MAESTRIA],"Seleccione Maestria")</f>
        <v>Seleccione Maestria</v>
      </c>
    </row>
    <row r="267" spans="1:6">
      <c r="A267" t="s">
        <v>342</v>
      </c>
      <c r="C267" t="str">
        <f>_xlfn.XLOOKUP(TAB_T_DOCE_MAEST[[#This Row],[NOMBRE_DOCENTE]],MDOCENTES[DATOS_DOCENTE],MDOCENTES[ID_DOCENTE],"Seleccione Docente")</f>
        <v>Seleccione Docente</v>
      </c>
      <c r="E267" t="str">
        <f>IF(COUNTIFS(C:C,C267,D:D,D267)&gt;1,"Docente ya registrado","")</f>
        <v/>
      </c>
      <c r="F267" t="str">
        <f>_xlfn.XLOOKUP(TAB_T_DOCE_MAEST[[#This Row],[MAESTRIA]],MAESTRIA[NOMBRE_MAESTRIA],MAESTRIA[ID_MAESTRIA],"Seleccione Maestria")</f>
        <v>Seleccione Maestria</v>
      </c>
    </row>
    <row r="268" spans="1:6">
      <c r="A268" t="s">
        <v>343</v>
      </c>
      <c r="C268" t="str">
        <f>_xlfn.XLOOKUP(TAB_T_DOCE_MAEST[[#This Row],[NOMBRE_DOCENTE]],MDOCENTES[DATOS_DOCENTE],MDOCENTES[ID_DOCENTE],"Seleccione Docente")</f>
        <v>Seleccione Docente</v>
      </c>
      <c r="E268" t="str">
        <f>IF(COUNTIFS(C:C,C268,D:D,D268)&gt;1,"Docente ya registrado","")</f>
        <v/>
      </c>
      <c r="F268" t="str">
        <f>_xlfn.XLOOKUP(TAB_T_DOCE_MAEST[[#This Row],[MAESTRIA]],MAESTRIA[NOMBRE_MAESTRIA],MAESTRIA[ID_MAESTRIA],"Seleccione Maestria")</f>
        <v>Seleccione Maestria</v>
      </c>
    </row>
    <row r="269" spans="1:6">
      <c r="A269" t="s">
        <v>344</v>
      </c>
      <c r="C269" t="str">
        <f>_xlfn.XLOOKUP(TAB_T_DOCE_MAEST[[#This Row],[NOMBRE_DOCENTE]],MDOCENTES[DATOS_DOCENTE],MDOCENTES[ID_DOCENTE],"Seleccione Docente")</f>
        <v>Seleccione Docente</v>
      </c>
      <c r="E269" t="str">
        <f>IF(COUNTIFS(C:C,C269,D:D,D269)&gt;1,"Docente ya registrado","")</f>
        <v/>
      </c>
      <c r="F269" t="str">
        <f>_xlfn.XLOOKUP(TAB_T_DOCE_MAEST[[#This Row],[MAESTRIA]],MAESTRIA[NOMBRE_MAESTRIA],MAESTRIA[ID_MAESTRIA],"Seleccione Maestria")</f>
        <v>Seleccione Maestria</v>
      </c>
    </row>
    <row r="270" spans="1:6">
      <c r="A270" t="s">
        <v>345</v>
      </c>
      <c r="C270" t="str">
        <f>_xlfn.XLOOKUP(TAB_T_DOCE_MAEST[[#This Row],[NOMBRE_DOCENTE]],MDOCENTES[DATOS_DOCENTE],MDOCENTES[ID_DOCENTE],"Seleccione Docente")</f>
        <v>Seleccione Docente</v>
      </c>
      <c r="E270" t="str">
        <f>IF(COUNTIFS(C:C,C270,D:D,D270)&gt;1,"Docente ya registrado","")</f>
        <v/>
      </c>
      <c r="F270" t="str">
        <f>_xlfn.XLOOKUP(TAB_T_DOCE_MAEST[[#This Row],[MAESTRIA]],MAESTRIA[NOMBRE_MAESTRIA],MAESTRIA[ID_MAESTRIA],"Seleccione Maestria")</f>
        <v>Seleccione Maestria</v>
      </c>
    </row>
    <row r="271" spans="1:6">
      <c r="A271" t="s">
        <v>346</v>
      </c>
      <c r="C271" t="str">
        <f>_xlfn.XLOOKUP(TAB_T_DOCE_MAEST[[#This Row],[NOMBRE_DOCENTE]],MDOCENTES[DATOS_DOCENTE],MDOCENTES[ID_DOCENTE],"Seleccione Docente")</f>
        <v>Seleccione Docente</v>
      </c>
      <c r="E271" t="str">
        <f>IF(COUNTIFS(C:C,C271,D:D,D271)&gt;1,"Docente ya registrado","")</f>
        <v/>
      </c>
      <c r="F271" t="str">
        <f>_xlfn.XLOOKUP(TAB_T_DOCE_MAEST[[#This Row],[MAESTRIA]],MAESTRIA[NOMBRE_MAESTRIA],MAESTRIA[ID_MAESTRIA],"Seleccione Maestria")</f>
        <v>Seleccione Maestria</v>
      </c>
    </row>
    <row r="272" spans="1:6">
      <c r="A272" t="s">
        <v>347</v>
      </c>
      <c r="C272" t="str">
        <f>_xlfn.XLOOKUP(TAB_T_DOCE_MAEST[[#This Row],[NOMBRE_DOCENTE]],MDOCENTES[DATOS_DOCENTE],MDOCENTES[ID_DOCENTE],"Seleccione Docente")</f>
        <v>Seleccione Docente</v>
      </c>
      <c r="E272" t="str">
        <f>IF(COUNTIFS(C:C,C272,D:D,D272)&gt;1,"Docente ya registrado","")</f>
        <v/>
      </c>
      <c r="F272" t="str">
        <f>_xlfn.XLOOKUP(TAB_T_DOCE_MAEST[[#This Row],[MAESTRIA]],MAESTRIA[NOMBRE_MAESTRIA],MAESTRIA[ID_MAESTRIA],"Seleccione Maestria")</f>
        <v>Seleccione Maestria</v>
      </c>
    </row>
    <row r="273" spans="1:6">
      <c r="A273" t="s">
        <v>348</v>
      </c>
      <c r="C273" t="str">
        <f>_xlfn.XLOOKUP(TAB_T_DOCE_MAEST[[#This Row],[NOMBRE_DOCENTE]],MDOCENTES[DATOS_DOCENTE],MDOCENTES[ID_DOCENTE],"Seleccione Docente")</f>
        <v>Seleccione Docente</v>
      </c>
      <c r="E273" t="str">
        <f>IF(COUNTIFS(C:C,C273,D:D,D273)&gt;1,"Docente ya registrado","")</f>
        <v/>
      </c>
      <c r="F273" t="str">
        <f>_xlfn.XLOOKUP(TAB_T_DOCE_MAEST[[#This Row],[MAESTRIA]],MAESTRIA[NOMBRE_MAESTRIA],MAESTRIA[ID_MAESTRIA],"Seleccione Maestria")</f>
        <v>Seleccione Maestria</v>
      </c>
    </row>
    <row r="274" spans="1:6">
      <c r="A274" t="s">
        <v>349</v>
      </c>
      <c r="C274" t="str">
        <f>_xlfn.XLOOKUP(TAB_T_DOCE_MAEST[[#This Row],[NOMBRE_DOCENTE]],MDOCENTES[DATOS_DOCENTE],MDOCENTES[ID_DOCENTE],"Seleccione Docente")</f>
        <v>Seleccione Docente</v>
      </c>
      <c r="E274" t="str">
        <f>IF(COUNTIFS(C:C,C274,D:D,D274)&gt;1,"Docente ya registrado","")</f>
        <v/>
      </c>
      <c r="F274" t="str">
        <f>_xlfn.XLOOKUP(TAB_T_DOCE_MAEST[[#This Row],[MAESTRIA]],MAESTRIA[NOMBRE_MAESTRIA],MAESTRIA[ID_MAESTRIA],"Seleccione Maestria")</f>
        <v>Seleccione Maestria</v>
      </c>
    </row>
    <row r="275" spans="1:6">
      <c r="A275" t="s">
        <v>350</v>
      </c>
      <c r="C275" t="str">
        <f>_xlfn.XLOOKUP(TAB_T_DOCE_MAEST[[#This Row],[NOMBRE_DOCENTE]],MDOCENTES[DATOS_DOCENTE],MDOCENTES[ID_DOCENTE],"Seleccione Docente")</f>
        <v>Seleccione Docente</v>
      </c>
      <c r="E275" t="str">
        <f>IF(COUNTIFS(C:C,C275,D:D,D275)&gt;1,"Docente ya registrado","")</f>
        <v/>
      </c>
      <c r="F275" t="str">
        <f>_xlfn.XLOOKUP(TAB_T_DOCE_MAEST[[#This Row],[MAESTRIA]],MAESTRIA[NOMBRE_MAESTRIA],MAESTRIA[ID_MAESTRIA],"Seleccione Maestria")</f>
        <v>Seleccione Maestria</v>
      </c>
    </row>
    <row r="276" spans="1:6">
      <c r="A276" t="s">
        <v>351</v>
      </c>
      <c r="C276" t="str">
        <f>_xlfn.XLOOKUP(TAB_T_DOCE_MAEST[[#This Row],[NOMBRE_DOCENTE]],MDOCENTES[DATOS_DOCENTE],MDOCENTES[ID_DOCENTE],"Seleccione Docente")</f>
        <v>Seleccione Docente</v>
      </c>
      <c r="E276" t="str">
        <f>IF(COUNTIFS(C:C,C276,D:D,D276)&gt;1,"Docente ya registrado","")</f>
        <v/>
      </c>
      <c r="F276" t="str">
        <f>_xlfn.XLOOKUP(TAB_T_DOCE_MAEST[[#This Row],[MAESTRIA]],MAESTRIA[NOMBRE_MAESTRIA],MAESTRIA[ID_MAESTRIA],"Seleccione Maestria")</f>
        <v>Seleccione Maestria</v>
      </c>
    </row>
    <row r="277" spans="1:6">
      <c r="A277" t="s">
        <v>352</v>
      </c>
      <c r="C277" t="str">
        <f>_xlfn.XLOOKUP(TAB_T_DOCE_MAEST[[#This Row],[NOMBRE_DOCENTE]],MDOCENTES[DATOS_DOCENTE],MDOCENTES[ID_DOCENTE],"Seleccione Docente")</f>
        <v>Seleccione Docente</v>
      </c>
      <c r="E277" t="str">
        <f>IF(COUNTIFS(C:C,C277,D:D,D277)&gt;1,"Docente ya registrado","")</f>
        <v/>
      </c>
      <c r="F277" t="str">
        <f>_xlfn.XLOOKUP(TAB_T_DOCE_MAEST[[#This Row],[MAESTRIA]],MAESTRIA[NOMBRE_MAESTRIA],MAESTRIA[ID_MAESTRIA],"Seleccione Maestria")</f>
        <v>Seleccione Maestria</v>
      </c>
    </row>
    <row r="278" spans="1:6">
      <c r="A278" t="s">
        <v>353</v>
      </c>
      <c r="C278" t="str">
        <f>_xlfn.XLOOKUP(TAB_T_DOCE_MAEST[[#This Row],[NOMBRE_DOCENTE]],MDOCENTES[DATOS_DOCENTE],MDOCENTES[ID_DOCENTE],"Seleccione Docente")</f>
        <v>Seleccione Docente</v>
      </c>
      <c r="E278" t="str">
        <f>IF(COUNTIFS(C:C,C278,D:D,D278)&gt;1,"Docente ya registrado","")</f>
        <v/>
      </c>
      <c r="F278" t="str">
        <f>_xlfn.XLOOKUP(TAB_T_DOCE_MAEST[[#This Row],[MAESTRIA]],MAESTRIA[NOMBRE_MAESTRIA],MAESTRIA[ID_MAESTRIA],"Seleccione Maestria")</f>
        <v>Seleccione Maestria</v>
      </c>
    </row>
    <row r="279" spans="1:6">
      <c r="A279" t="s">
        <v>354</v>
      </c>
      <c r="C279" t="str">
        <f>_xlfn.XLOOKUP(TAB_T_DOCE_MAEST[[#This Row],[NOMBRE_DOCENTE]],MDOCENTES[DATOS_DOCENTE],MDOCENTES[ID_DOCENTE],"Seleccione Docente")</f>
        <v>Seleccione Docente</v>
      </c>
      <c r="E279" t="str">
        <f>IF(COUNTIFS(C:C,C279,D:D,D279)&gt;1,"Docente ya registrado","")</f>
        <v/>
      </c>
      <c r="F279" t="str">
        <f>_xlfn.XLOOKUP(TAB_T_DOCE_MAEST[[#This Row],[MAESTRIA]],MAESTRIA[NOMBRE_MAESTRIA],MAESTRIA[ID_MAESTRIA],"Seleccione Maestria")</f>
        <v>Seleccione Maestria</v>
      </c>
    </row>
    <row r="280" spans="1:6">
      <c r="A280" t="s">
        <v>355</v>
      </c>
      <c r="C280" t="str">
        <f>_xlfn.XLOOKUP(TAB_T_DOCE_MAEST[[#This Row],[NOMBRE_DOCENTE]],MDOCENTES[DATOS_DOCENTE],MDOCENTES[ID_DOCENTE],"Seleccione Docente")</f>
        <v>Seleccione Docente</v>
      </c>
      <c r="E280" t="str">
        <f>IF(COUNTIFS(C:C,C280,D:D,D280)&gt;1,"Docente ya registrado","")</f>
        <v/>
      </c>
      <c r="F280" t="str">
        <f>_xlfn.XLOOKUP(TAB_T_DOCE_MAEST[[#This Row],[MAESTRIA]],MAESTRIA[NOMBRE_MAESTRIA],MAESTRIA[ID_MAESTRIA],"Seleccione Maestria")</f>
        <v>Seleccione Maestria</v>
      </c>
    </row>
    <row r="281" spans="1:6">
      <c r="A281" t="s">
        <v>356</v>
      </c>
      <c r="C281" t="str">
        <f>_xlfn.XLOOKUP(TAB_T_DOCE_MAEST[[#This Row],[NOMBRE_DOCENTE]],MDOCENTES[DATOS_DOCENTE],MDOCENTES[ID_DOCENTE],"Seleccione Docente")</f>
        <v>Seleccione Docente</v>
      </c>
      <c r="E281" t="str">
        <f>IF(COUNTIFS(C:C,C281,D:D,D281)&gt;1,"Docente ya registrado","")</f>
        <v/>
      </c>
      <c r="F281" t="str">
        <f>_xlfn.XLOOKUP(TAB_T_DOCE_MAEST[[#This Row],[MAESTRIA]],MAESTRIA[NOMBRE_MAESTRIA],MAESTRIA[ID_MAESTRIA],"Seleccione Maestria")</f>
        <v>Seleccione Maestria</v>
      </c>
    </row>
    <row r="282" spans="1:6">
      <c r="A282" t="s">
        <v>357</v>
      </c>
      <c r="C282" t="str">
        <f>_xlfn.XLOOKUP(TAB_T_DOCE_MAEST[[#This Row],[NOMBRE_DOCENTE]],MDOCENTES[DATOS_DOCENTE],MDOCENTES[ID_DOCENTE],"Seleccione Docente")</f>
        <v>Seleccione Docente</v>
      </c>
      <c r="E282" t="str">
        <f>IF(COUNTIFS(C:C,C282,D:D,D282)&gt;1,"Docente ya registrado","")</f>
        <v/>
      </c>
      <c r="F282" t="str">
        <f>_xlfn.XLOOKUP(TAB_T_DOCE_MAEST[[#This Row],[MAESTRIA]],MAESTRIA[NOMBRE_MAESTRIA],MAESTRIA[ID_MAESTRIA],"Seleccione Maestria")</f>
        <v>Seleccione Maestria</v>
      </c>
    </row>
    <row r="283" spans="1:6">
      <c r="A283" t="s">
        <v>358</v>
      </c>
      <c r="C283" t="str">
        <f>_xlfn.XLOOKUP(TAB_T_DOCE_MAEST[[#This Row],[NOMBRE_DOCENTE]],MDOCENTES[DATOS_DOCENTE],MDOCENTES[ID_DOCENTE],"Seleccione Docente")</f>
        <v>Seleccione Docente</v>
      </c>
      <c r="E283" t="str">
        <f>IF(COUNTIFS(C:C,C283,D:D,D283)&gt;1,"Docente ya registrado","")</f>
        <v/>
      </c>
      <c r="F283" t="str">
        <f>_xlfn.XLOOKUP(TAB_T_DOCE_MAEST[[#This Row],[MAESTRIA]],MAESTRIA[NOMBRE_MAESTRIA],MAESTRIA[ID_MAESTRIA],"Seleccione Maestria")</f>
        <v>Seleccione Maestria</v>
      </c>
    </row>
    <row r="284" spans="1:6">
      <c r="A284" t="s">
        <v>359</v>
      </c>
      <c r="C284" t="str">
        <f>_xlfn.XLOOKUP(TAB_T_DOCE_MAEST[[#This Row],[NOMBRE_DOCENTE]],MDOCENTES[DATOS_DOCENTE],MDOCENTES[ID_DOCENTE],"Seleccione Docente")</f>
        <v>Seleccione Docente</v>
      </c>
      <c r="E284" t="str">
        <f>IF(COUNTIFS(C:C,C284,D:D,D284)&gt;1,"Docente ya registrado","")</f>
        <v/>
      </c>
      <c r="F284" t="str">
        <f>_xlfn.XLOOKUP(TAB_T_DOCE_MAEST[[#This Row],[MAESTRIA]],MAESTRIA[NOMBRE_MAESTRIA],MAESTRIA[ID_MAESTRIA],"Seleccione Maestria")</f>
        <v>Seleccione Maestria</v>
      </c>
    </row>
    <row r="285" spans="1:6">
      <c r="A285" t="s">
        <v>360</v>
      </c>
      <c r="C285" t="str">
        <f>_xlfn.XLOOKUP(TAB_T_DOCE_MAEST[[#This Row],[NOMBRE_DOCENTE]],MDOCENTES[DATOS_DOCENTE],MDOCENTES[ID_DOCENTE],"Seleccione Docente")</f>
        <v>Seleccione Docente</v>
      </c>
      <c r="E285" t="str">
        <f>IF(COUNTIFS(C:C,C285,D:D,D285)&gt;1,"Docente ya registrado","")</f>
        <v/>
      </c>
      <c r="F285" t="str">
        <f>_xlfn.XLOOKUP(TAB_T_DOCE_MAEST[[#This Row],[MAESTRIA]],MAESTRIA[NOMBRE_MAESTRIA],MAESTRIA[ID_MAESTRIA],"Seleccione Maestria")</f>
        <v>Seleccione Maestria</v>
      </c>
    </row>
    <row r="286" spans="1:6">
      <c r="A286" t="s">
        <v>361</v>
      </c>
      <c r="C286" t="str">
        <f>_xlfn.XLOOKUP(TAB_T_DOCE_MAEST[[#This Row],[NOMBRE_DOCENTE]],MDOCENTES[DATOS_DOCENTE],MDOCENTES[ID_DOCENTE],"Seleccione Docente")</f>
        <v>Seleccione Docente</v>
      </c>
      <c r="E286" t="str">
        <f>IF(COUNTIFS(C:C,C286,D:D,D286)&gt;1,"Docente ya registrado","")</f>
        <v/>
      </c>
      <c r="F286" t="str">
        <f>_xlfn.XLOOKUP(TAB_T_DOCE_MAEST[[#This Row],[MAESTRIA]],MAESTRIA[NOMBRE_MAESTRIA],MAESTRIA[ID_MAESTRIA],"Seleccione Maestria")</f>
        <v>Seleccione Maestria</v>
      </c>
    </row>
    <row r="287" spans="1:6">
      <c r="A287" t="s">
        <v>362</v>
      </c>
      <c r="C287" t="str">
        <f>_xlfn.XLOOKUP(TAB_T_DOCE_MAEST[[#This Row],[NOMBRE_DOCENTE]],MDOCENTES[DATOS_DOCENTE],MDOCENTES[ID_DOCENTE],"Seleccione Docente")</f>
        <v>Seleccione Docente</v>
      </c>
      <c r="E287" t="str">
        <f>IF(COUNTIFS(C:C,C287,D:D,D287)&gt;1,"Docente ya registrado","")</f>
        <v/>
      </c>
      <c r="F287" t="str">
        <f>_xlfn.XLOOKUP(TAB_T_DOCE_MAEST[[#This Row],[MAESTRIA]],MAESTRIA[NOMBRE_MAESTRIA],MAESTRIA[ID_MAESTRIA],"Seleccione Maestria")</f>
        <v>Seleccione Maestria</v>
      </c>
    </row>
    <row r="288" spans="1:6">
      <c r="A288" t="s">
        <v>363</v>
      </c>
      <c r="C288" t="str">
        <f>_xlfn.XLOOKUP(TAB_T_DOCE_MAEST[[#This Row],[NOMBRE_DOCENTE]],MDOCENTES[DATOS_DOCENTE],MDOCENTES[ID_DOCENTE],"Seleccione Docente")</f>
        <v>Seleccione Docente</v>
      </c>
      <c r="E288" t="str">
        <f>IF(COUNTIFS(C:C,C288,D:D,D288)&gt;1,"Docente ya registrado","")</f>
        <v/>
      </c>
      <c r="F288" t="str">
        <f>_xlfn.XLOOKUP(TAB_T_DOCE_MAEST[[#This Row],[MAESTRIA]],MAESTRIA[NOMBRE_MAESTRIA],MAESTRIA[ID_MAESTRIA],"Seleccione Maestria")</f>
        <v>Seleccione Maestria</v>
      </c>
    </row>
    <row r="289" spans="1:6">
      <c r="A289" t="s">
        <v>364</v>
      </c>
      <c r="C289" t="str">
        <f>_xlfn.XLOOKUP(TAB_T_DOCE_MAEST[[#This Row],[NOMBRE_DOCENTE]],MDOCENTES[DATOS_DOCENTE],MDOCENTES[ID_DOCENTE],"Seleccione Docente")</f>
        <v>Seleccione Docente</v>
      </c>
      <c r="E289" t="str">
        <f>IF(COUNTIFS(C:C,C289,D:D,D289)&gt;1,"Docente ya registrado","")</f>
        <v/>
      </c>
      <c r="F289" t="str">
        <f>_xlfn.XLOOKUP(TAB_T_DOCE_MAEST[[#This Row],[MAESTRIA]],MAESTRIA[NOMBRE_MAESTRIA],MAESTRIA[ID_MAESTRIA],"Seleccione Maestria")</f>
        <v>Seleccione Maestria</v>
      </c>
    </row>
    <row r="290" spans="1:6">
      <c r="A290" t="s">
        <v>365</v>
      </c>
      <c r="C290" t="str">
        <f>_xlfn.XLOOKUP(TAB_T_DOCE_MAEST[[#This Row],[NOMBRE_DOCENTE]],MDOCENTES[DATOS_DOCENTE],MDOCENTES[ID_DOCENTE],"Seleccione Docente")</f>
        <v>Seleccione Docente</v>
      </c>
      <c r="E290" t="str">
        <f>IF(COUNTIFS(C:C,C290,D:D,D290)&gt;1,"Docente ya registrado","")</f>
        <v/>
      </c>
      <c r="F290" t="str">
        <f>_xlfn.XLOOKUP(TAB_T_DOCE_MAEST[[#This Row],[MAESTRIA]],MAESTRIA[NOMBRE_MAESTRIA],MAESTRIA[ID_MAESTRIA],"Seleccione Maestria")</f>
        <v>Seleccione Maestria</v>
      </c>
    </row>
    <row r="291" spans="1:6">
      <c r="A291" t="s">
        <v>366</v>
      </c>
      <c r="C291" t="str">
        <f>_xlfn.XLOOKUP(TAB_T_DOCE_MAEST[[#This Row],[NOMBRE_DOCENTE]],MDOCENTES[DATOS_DOCENTE],MDOCENTES[ID_DOCENTE],"Seleccione Docente")</f>
        <v>Seleccione Docente</v>
      </c>
      <c r="E291" t="str">
        <f>IF(COUNTIFS(C:C,C291,D:D,D291)&gt;1,"Docente ya registrado","")</f>
        <v/>
      </c>
      <c r="F291" t="str">
        <f>_xlfn.XLOOKUP(TAB_T_DOCE_MAEST[[#This Row],[MAESTRIA]],MAESTRIA[NOMBRE_MAESTRIA],MAESTRIA[ID_MAESTRIA],"Seleccione Maestria")</f>
        <v>Seleccione Maestria</v>
      </c>
    </row>
    <row r="292" spans="1:6">
      <c r="A292" t="s">
        <v>367</v>
      </c>
      <c r="C292" t="str">
        <f>_xlfn.XLOOKUP(TAB_T_DOCE_MAEST[[#This Row],[NOMBRE_DOCENTE]],MDOCENTES[DATOS_DOCENTE],MDOCENTES[ID_DOCENTE],"Seleccione Docente")</f>
        <v>Seleccione Docente</v>
      </c>
      <c r="E292" t="str">
        <f>IF(COUNTIFS(C:C,C292,D:D,D292)&gt;1,"Docente ya registrado","")</f>
        <v/>
      </c>
      <c r="F292" t="str">
        <f>_xlfn.XLOOKUP(TAB_T_DOCE_MAEST[[#This Row],[MAESTRIA]],MAESTRIA[NOMBRE_MAESTRIA],MAESTRIA[ID_MAESTRIA],"Seleccione Maestria")</f>
        <v>Seleccione Maestria</v>
      </c>
    </row>
    <row r="293" spans="1:6">
      <c r="A293" t="s">
        <v>368</v>
      </c>
      <c r="C293" t="str">
        <f>_xlfn.XLOOKUP(TAB_T_DOCE_MAEST[[#This Row],[NOMBRE_DOCENTE]],MDOCENTES[DATOS_DOCENTE],MDOCENTES[ID_DOCENTE],"Seleccione Docente")</f>
        <v>Seleccione Docente</v>
      </c>
      <c r="E293" t="str">
        <f>IF(COUNTIFS(C:C,C293,D:D,D293)&gt;1,"Docente ya registrado","")</f>
        <v/>
      </c>
      <c r="F293" t="str">
        <f>_xlfn.XLOOKUP(TAB_T_DOCE_MAEST[[#This Row],[MAESTRIA]],MAESTRIA[NOMBRE_MAESTRIA],MAESTRIA[ID_MAESTRIA],"Seleccione Maestria")</f>
        <v>Seleccione Maestria</v>
      </c>
    </row>
    <row r="294" spans="1:6">
      <c r="A294" t="s">
        <v>369</v>
      </c>
      <c r="C294" t="str">
        <f>_xlfn.XLOOKUP(TAB_T_DOCE_MAEST[[#This Row],[NOMBRE_DOCENTE]],MDOCENTES[DATOS_DOCENTE],MDOCENTES[ID_DOCENTE],"Seleccione Docente")</f>
        <v>Seleccione Docente</v>
      </c>
      <c r="E294" t="str">
        <f>IF(COUNTIFS(C:C,C294,D:D,D294)&gt;1,"Docente ya registrado","")</f>
        <v/>
      </c>
      <c r="F294" t="str">
        <f>_xlfn.XLOOKUP(TAB_T_DOCE_MAEST[[#This Row],[MAESTRIA]],MAESTRIA[NOMBRE_MAESTRIA],MAESTRIA[ID_MAESTRIA],"Seleccione Maestria")</f>
        <v>Seleccione Maestria</v>
      </c>
    </row>
    <row r="295" spans="1:6">
      <c r="A295" t="s">
        <v>370</v>
      </c>
      <c r="C295" t="str">
        <f>_xlfn.XLOOKUP(TAB_T_DOCE_MAEST[[#This Row],[NOMBRE_DOCENTE]],MDOCENTES[DATOS_DOCENTE],MDOCENTES[ID_DOCENTE],"Seleccione Docente")</f>
        <v>Seleccione Docente</v>
      </c>
      <c r="E295" t="str">
        <f>IF(COUNTIFS(C:C,C295,D:D,D295)&gt;1,"Docente ya registrado","")</f>
        <v/>
      </c>
      <c r="F295" t="str">
        <f>_xlfn.XLOOKUP(TAB_T_DOCE_MAEST[[#This Row],[MAESTRIA]],MAESTRIA[NOMBRE_MAESTRIA],MAESTRIA[ID_MAESTRIA],"Seleccione Maestria")</f>
        <v>Seleccione Maestria</v>
      </c>
    </row>
    <row r="296" spans="1:6">
      <c r="A296" t="s">
        <v>371</v>
      </c>
      <c r="C296" t="str">
        <f>_xlfn.XLOOKUP(TAB_T_DOCE_MAEST[[#This Row],[NOMBRE_DOCENTE]],MDOCENTES[DATOS_DOCENTE],MDOCENTES[ID_DOCENTE],"Seleccione Docente")</f>
        <v>Seleccione Docente</v>
      </c>
      <c r="E296" t="str">
        <f>IF(COUNTIFS(C:C,C296,D:D,D296)&gt;1,"Docente ya registrado","")</f>
        <v/>
      </c>
      <c r="F296" t="str">
        <f>_xlfn.XLOOKUP(TAB_T_DOCE_MAEST[[#This Row],[MAESTRIA]],MAESTRIA[NOMBRE_MAESTRIA],MAESTRIA[ID_MAESTRIA],"Seleccione Maestria")</f>
        <v>Seleccione Maestria</v>
      </c>
    </row>
    <row r="297" spans="1:6">
      <c r="A297" t="s">
        <v>372</v>
      </c>
      <c r="C297" t="str">
        <f>_xlfn.XLOOKUP(TAB_T_DOCE_MAEST[[#This Row],[NOMBRE_DOCENTE]],MDOCENTES[DATOS_DOCENTE],MDOCENTES[ID_DOCENTE],"Seleccione Docente")</f>
        <v>Seleccione Docente</v>
      </c>
      <c r="E297" t="str">
        <f>IF(COUNTIFS(C:C,C297,D:D,D297)&gt;1,"Docente ya registrado","")</f>
        <v/>
      </c>
      <c r="F297" t="str">
        <f>_xlfn.XLOOKUP(TAB_T_DOCE_MAEST[[#This Row],[MAESTRIA]],MAESTRIA[NOMBRE_MAESTRIA],MAESTRIA[ID_MAESTRIA],"Seleccione Maestria")</f>
        <v>Seleccione Maestria</v>
      </c>
    </row>
    <row r="298" spans="1:6">
      <c r="A298" t="s">
        <v>373</v>
      </c>
      <c r="C298" t="str">
        <f>_xlfn.XLOOKUP(TAB_T_DOCE_MAEST[[#This Row],[NOMBRE_DOCENTE]],MDOCENTES[DATOS_DOCENTE],MDOCENTES[ID_DOCENTE],"Seleccione Docente")</f>
        <v>Seleccione Docente</v>
      </c>
      <c r="E298" t="str">
        <f>IF(COUNTIFS(C:C,C298,D:D,D298)&gt;1,"Docente ya registrado","")</f>
        <v/>
      </c>
      <c r="F298" t="str">
        <f>_xlfn.XLOOKUP(TAB_T_DOCE_MAEST[[#This Row],[MAESTRIA]],MAESTRIA[NOMBRE_MAESTRIA],MAESTRIA[ID_MAESTRIA],"Seleccione Maestria")</f>
        <v>Seleccione Maestria</v>
      </c>
    </row>
    <row r="299" spans="1:6">
      <c r="A299" t="s">
        <v>374</v>
      </c>
      <c r="C299" t="str">
        <f>_xlfn.XLOOKUP(TAB_T_DOCE_MAEST[[#This Row],[NOMBRE_DOCENTE]],MDOCENTES[DATOS_DOCENTE],MDOCENTES[ID_DOCENTE],"Seleccione Docente")</f>
        <v>Seleccione Docente</v>
      </c>
      <c r="E299" t="str">
        <f>IF(COUNTIFS(C:C,C299,D:D,D299)&gt;1,"Docente ya registrado","")</f>
        <v/>
      </c>
      <c r="F299" t="str">
        <f>_xlfn.XLOOKUP(TAB_T_DOCE_MAEST[[#This Row],[MAESTRIA]],MAESTRIA[NOMBRE_MAESTRIA],MAESTRIA[ID_MAESTRIA],"Seleccione Maestria")</f>
        <v>Seleccione Maestria</v>
      </c>
    </row>
    <row r="300" spans="1:6">
      <c r="A300" t="s">
        <v>375</v>
      </c>
      <c r="C300" t="str">
        <f>_xlfn.XLOOKUP(TAB_T_DOCE_MAEST[[#This Row],[NOMBRE_DOCENTE]],MDOCENTES[DATOS_DOCENTE],MDOCENTES[ID_DOCENTE],"Seleccione Docente")</f>
        <v>Seleccione Docente</v>
      </c>
      <c r="E300" t="str">
        <f>IF(COUNTIFS(C:C,C300,D:D,D300)&gt;1,"Docente ya registrado","")</f>
        <v/>
      </c>
      <c r="F300" t="str">
        <f>_xlfn.XLOOKUP(TAB_T_DOCE_MAEST[[#This Row],[MAESTRIA]],MAESTRIA[NOMBRE_MAESTRIA],MAESTRIA[ID_MAESTRIA],"Seleccione Maestria")</f>
        <v>Seleccione Maestria</v>
      </c>
    </row>
    <row r="301" spans="1:6">
      <c r="A301" t="s">
        <v>376</v>
      </c>
      <c r="C301" t="str">
        <f>_xlfn.XLOOKUP(TAB_T_DOCE_MAEST[[#This Row],[NOMBRE_DOCENTE]],MDOCENTES[DATOS_DOCENTE],MDOCENTES[ID_DOCENTE],"Seleccione Docente")</f>
        <v>Seleccione Docente</v>
      </c>
      <c r="E301" t="str">
        <f>IF(COUNTIFS(C:C,C301,D:D,D301)&gt;1,"Docente ya registrado","")</f>
        <v/>
      </c>
      <c r="F301" t="str">
        <f>_xlfn.XLOOKUP(TAB_T_DOCE_MAEST[[#This Row],[MAESTRIA]],MAESTRIA[NOMBRE_MAESTRIA],MAESTRIA[ID_MAESTRIA],"Seleccione Maestria")</f>
        <v>Seleccione Maestria</v>
      </c>
    </row>
    <row r="302" spans="1:6">
      <c r="A302" t="s">
        <v>377</v>
      </c>
      <c r="C302" t="str">
        <f>_xlfn.XLOOKUP(TAB_T_DOCE_MAEST[[#This Row],[NOMBRE_DOCENTE]],MDOCENTES[DATOS_DOCENTE],MDOCENTES[ID_DOCENTE],"Seleccione Docente")</f>
        <v>Seleccione Docente</v>
      </c>
      <c r="E302" t="str">
        <f>IF(COUNTIFS(C:C,C302,D:D,D302)&gt;1,"Docente ya registrado","")</f>
        <v/>
      </c>
      <c r="F302" t="str">
        <f>_xlfn.XLOOKUP(TAB_T_DOCE_MAEST[[#This Row],[MAESTRIA]],MAESTRIA[NOMBRE_MAESTRIA],MAESTRIA[ID_MAESTRIA],"Seleccione Maestria")</f>
        <v>Seleccione Maestria</v>
      </c>
    </row>
    <row r="303" spans="1:6">
      <c r="A303" t="s">
        <v>378</v>
      </c>
      <c r="C303" t="str">
        <f>_xlfn.XLOOKUP(TAB_T_DOCE_MAEST[[#This Row],[NOMBRE_DOCENTE]],MDOCENTES[DATOS_DOCENTE],MDOCENTES[ID_DOCENTE],"Seleccione Docente")</f>
        <v>Seleccione Docente</v>
      </c>
      <c r="E303" t="str">
        <f>IF(COUNTIFS(C:C,C303,D:D,D303)&gt;1,"Docente ya registrado","")</f>
        <v/>
      </c>
      <c r="F303" t="str">
        <f>_xlfn.XLOOKUP(TAB_T_DOCE_MAEST[[#This Row],[MAESTRIA]],MAESTRIA[NOMBRE_MAESTRIA],MAESTRIA[ID_MAESTRIA],"Seleccione Maestria")</f>
        <v>Seleccione Maestria</v>
      </c>
    </row>
    <row r="304" spans="1:6">
      <c r="A304" t="s">
        <v>379</v>
      </c>
      <c r="C304" t="str">
        <f>_xlfn.XLOOKUP(TAB_T_DOCE_MAEST[[#This Row],[NOMBRE_DOCENTE]],MDOCENTES[DATOS_DOCENTE],MDOCENTES[ID_DOCENTE],"Seleccione Docente")</f>
        <v>Seleccione Docente</v>
      </c>
      <c r="E304" t="str">
        <f>IF(COUNTIFS(C:C,C304,D:D,D304)&gt;1,"Docente ya registrado","")</f>
        <v/>
      </c>
      <c r="F304" t="str">
        <f>_xlfn.XLOOKUP(TAB_T_DOCE_MAEST[[#This Row],[MAESTRIA]],MAESTRIA[NOMBRE_MAESTRIA],MAESTRIA[ID_MAESTRIA],"Seleccione Maestria")</f>
        <v>Seleccione Maestria</v>
      </c>
    </row>
    <row r="305" spans="1:6">
      <c r="A305" t="s">
        <v>380</v>
      </c>
      <c r="C305" t="str">
        <f>_xlfn.XLOOKUP(TAB_T_DOCE_MAEST[[#This Row],[NOMBRE_DOCENTE]],MDOCENTES[DATOS_DOCENTE],MDOCENTES[ID_DOCENTE],"Seleccione Docente")</f>
        <v>Seleccione Docente</v>
      </c>
      <c r="E305" t="str">
        <f>IF(COUNTIFS(C:C,C305,D:D,D305)&gt;1,"Docente ya registrado","")</f>
        <v/>
      </c>
      <c r="F305" t="str">
        <f>_xlfn.XLOOKUP(TAB_T_DOCE_MAEST[[#This Row],[MAESTRIA]],MAESTRIA[NOMBRE_MAESTRIA],MAESTRIA[ID_MAESTRIA],"Seleccione Maestria")</f>
        <v>Seleccione Maestria</v>
      </c>
    </row>
    <row r="306" spans="1:6">
      <c r="A306" t="s">
        <v>381</v>
      </c>
      <c r="C306" t="str">
        <f>_xlfn.XLOOKUP(TAB_T_DOCE_MAEST[[#This Row],[NOMBRE_DOCENTE]],MDOCENTES[DATOS_DOCENTE],MDOCENTES[ID_DOCENTE],"Seleccione Docente")</f>
        <v>Seleccione Docente</v>
      </c>
      <c r="E306" t="str">
        <f>IF(COUNTIFS(C:C,C306,D:D,D306)&gt;1,"Docente ya registrado","")</f>
        <v/>
      </c>
      <c r="F306" t="str">
        <f>_xlfn.XLOOKUP(TAB_T_DOCE_MAEST[[#This Row],[MAESTRIA]],MAESTRIA[NOMBRE_MAESTRIA],MAESTRIA[ID_MAESTRIA],"Seleccione Maestria")</f>
        <v>Seleccione Maestria</v>
      </c>
    </row>
    <row r="307" spans="1:6">
      <c r="A307" t="s">
        <v>382</v>
      </c>
      <c r="C307" t="str">
        <f>_xlfn.XLOOKUP(TAB_T_DOCE_MAEST[[#This Row],[NOMBRE_DOCENTE]],MDOCENTES[DATOS_DOCENTE],MDOCENTES[ID_DOCENTE],"Seleccione Docente")</f>
        <v>Seleccione Docente</v>
      </c>
      <c r="E307" t="str">
        <f>IF(COUNTIFS(C:C,C307,D:D,D307)&gt;1,"Docente ya registrado","")</f>
        <v/>
      </c>
      <c r="F307" t="str">
        <f>_xlfn.XLOOKUP(TAB_T_DOCE_MAEST[[#This Row],[MAESTRIA]],MAESTRIA[NOMBRE_MAESTRIA],MAESTRIA[ID_MAESTRIA],"Seleccione Maestria")</f>
        <v>Seleccione Maestria</v>
      </c>
    </row>
    <row r="308" spans="1:6">
      <c r="A308" t="s">
        <v>383</v>
      </c>
      <c r="C308" t="str">
        <f>_xlfn.XLOOKUP(TAB_T_DOCE_MAEST[[#This Row],[NOMBRE_DOCENTE]],MDOCENTES[DATOS_DOCENTE],MDOCENTES[ID_DOCENTE],"Seleccione Docente")</f>
        <v>Seleccione Docente</v>
      </c>
      <c r="E308" t="str">
        <f>IF(COUNTIFS(C:C,C308,D:D,D308)&gt;1,"Docente ya registrado","")</f>
        <v/>
      </c>
      <c r="F308" t="str">
        <f>_xlfn.XLOOKUP(TAB_T_DOCE_MAEST[[#This Row],[MAESTRIA]],MAESTRIA[NOMBRE_MAESTRIA],MAESTRIA[ID_MAESTRIA],"Seleccione Maestria")</f>
        <v>Seleccione Maestria</v>
      </c>
    </row>
    <row r="309" spans="1:6">
      <c r="A309" t="s">
        <v>384</v>
      </c>
      <c r="C309" t="str">
        <f>_xlfn.XLOOKUP(TAB_T_DOCE_MAEST[[#This Row],[NOMBRE_DOCENTE]],MDOCENTES[DATOS_DOCENTE],MDOCENTES[ID_DOCENTE],"Seleccione Docente")</f>
        <v>Seleccione Docente</v>
      </c>
      <c r="E309" t="str">
        <f>IF(COUNTIFS(C:C,C309,D:D,D309)&gt;1,"Docente ya registrado","")</f>
        <v/>
      </c>
      <c r="F309" t="str">
        <f>_xlfn.XLOOKUP(TAB_T_DOCE_MAEST[[#This Row],[MAESTRIA]],MAESTRIA[NOMBRE_MAESTRIA],MAESTRIA[ID_MAESTRIA],"Seleccione Maestria")</f>
        <v>Seleccione Maestria</v>
      </c>
    </row>
    <row r="310" spans="1:6">
      <c r="A310" t="s">
        <v>385</v>
      </c>
      <c r="C310" t="str">
        <f>_xlfn.XLOOKUP(TAB_T_DOCE_MAEST[[#This Row],[NOMBRE_DOCENTE]],MDOCENTES[DATOS_DOCENTE],MDOCENTES[ID_DOCENTE],"Seleccione Docente")</f>
        <v>Seleccione Docente</v>
      </c>
      <c r="E310" t="str">
        <f>IF(COUNTIFS(C:C,C310,D:D,D310)&gt;1,"Docente ya registrado","")</f>
        <v/>
      </c>
      <c r="F310" t="str">
        <f>_xlfn.XLOOKUP(TAB_T_DOCE_MAEST[[#This Row],[MAESTRIA]],MAESTRIA[NOMBRE_MAESTRIA],MAESTRIA[ID_MAESTRIA],"Seleccione Maestria")</f>
        <v>Seleccione Maestria</v>
      </c>
    </row>
    <row r="311" spans="1:6">
      <c r="A311" t="s">
        <v>386</v>
      </c>
      <c r="C311" t="str">
        <f>_xlfn.XLOOKUP(TAB_T_DOCE_MAEST[[#This Row],[NOMBRE_DOCENTE]],MDOCENTES[DATOS_DOCENTE],MDOCENTES[ID_DOCENTE],"Seleccione Docente")</f>
        <v>Seleccione Docente</v>
      </c>
      <c r="E311" t="str">
        <f>IF(COUNTIFS(C:C,C311,D:D,D311)&gt;1,"Docente ya registrado","")</f>
        <v/>
      </c>
      <c r="F311" t="str">
        <f>_xlfn.XLOOKUP(TAB_T_DOCE_MAEST[[#This Row],[MAESTRIA]],MAESTRIA[NOMBRE_MAESTRIA],MAESTRIA[ID_MAESTRIA],"Seleccione Maestria")</f>
        <v>Seleccione Maestria</v>
      </c>
    </row>
    <row r="312" spans="1:6">
      <c r="A312" t="s">
        <v>387</v>
      </c>
      <c r="C312" t="str">
        <f>_xlfn.XLOOKUP(TAB_T_DOCE_MAEST[[#This Row],[NOMBRE_DOCENTE]],MDOCENTES[DATOS_DOCENTE],MDOCENTES[ID_DOCENTE],"Seleccione Docente")</f>
        <v>Seleccione Docente</v>
      </c>
      <c r="E312" t="str">
        <f>IF(COUNTIFS(C:C,C312,D:D,D312)&gt;1,"Docente ya registrado","")</f>
        <v/>
      </c>
      <c r="F312" t="str">
        <f>_xlfn.XLOOKUP(TAB_T_DOCE_MAEST[[#This Row],[MAESTRIA]],MAESTRIA[NOMBRE_MAESTRIA],MAESTRIA[ID_MAESTRIA],"Seleccione Maestria")</f>
        <v>Seleccione Maestria</v>
      </c>
    </row>
    <row r="313" spans="1:6">
      <c r="A313" t="s">
        <v>388</v>
      </c>
      <c r="C313" t="str">
        <f>_xlfn.XLOOKUP(TAB_T_DOCE_MAEST[[#This Row],[NOMBRE_DOCENTE]],MDOCENTES[DATOS_DOCENTE],MDOCENTES[ID_DOCENTE],"Seleccione Docente")</f>
        <v>Seleccione Docente</v>
      </c>
      <c r="E313" t="str">
        <f>IF(COUNTIFS(C:C,C313,D:D,D313)&gt;1,"Docente ya registrado","")</f>
        <v/>
      </c>
      <c r="F313" t="str">
        <f>_xlfn.XLOOKUP(TAB_T_DOCE_MAEST[[#This Row],[MAESTRIA]],MAESTRIA[NOMBRE_MAESTRIA],MAESTRIA[ID_MAESTRIA],"Seleccione Maestria")</f>
        <v>Seleccione Maestria</v>
      </c>
    </row>
    <row r="314" spans="1:6">
      <c r="A314" t="s">
        <v>389</v>
      </c>
      <c r="C314" t="str">
        <f>_xlfn.XLOOKUP(TAB_T_DOCE_MAEST[[#This Row],[NOMBRE_DOCENTE]],MDOCENTES[DATOS_DOCENTE],MDOCENTES[ID_DOCENTE],"Seleccione Docente")</f>
        <v>Seleccione Docente</v>
      </c>
      <c r="E314" t="str">
        <f>IF(COUNTIFS(C:C,C314,D:D,D314)&gt;1,"Docente ya registrado","")</f>
        <v/>
      </c>
      <c r="F314" t="str">
        <f>_xlfn.XLOOKUP(TAB_T_DOCE_MAEST[[#This Row],[MAESTRIA]],MAESTRIA[NOMBRE_MAESTRIA],MAESTRIA[ID_MAESTRIA],"Seleccione Maestria")</f>
        <v>Seleccione Maestria</v>
      </c>
    </row>
    <row r="315" spans="1:6">
      <c r="A315" t="s">
        <v>390</v>
      </c>
      <c r="C315" t="str">
        <f>_xlfn.XLOOKUP(TAB_T_DOCE_MAEST[[#This Row],[NOMBRE_DOCENTE]],MDOCENTES[DATOS_DOCENTE],MDOCENTES[ID_DOCENTE],"Seleccione Docente")</f>
        <v>Seleccione Docente</v>
      </c>
      <c r="E315" t="str">
        <f>IF(COUNTIFS(C:C,C315,D:D,D315)&gt;1,"Docente ya registrado","")</f>
        <v/>
      </c>
      <c r="F315" t="str">
        <f>_xlfn.XLOOKUP(TAB_T_DOCE_MAEST[[#This Row],[MAESTRIA]],MAESTRIA[NOMBRE_MAESTRIA],MAESTRIA[ID_MAESTRIA],"Seleccione Maestria")</f>
        <v>Seleccione Maestria</v>
      </c>
    </row>
    <row r="316" spans="1:6">
      <c r="A316" t="s">
        <v>391</v>
      </c>
      <c r="C316" t="str">
        <f>_xlfn.XLOOKUP(TAB_T_DOCE_MAEST[[#This Row],[NOMBRE_DOCENTE]],MDOCENTES[DATOS_DOCENTE],MDOCENTES[ID_DOCENTE],"Seleccione Docente")</f>
        <v>Seleccione Docente</v>
      </c>
      <c r="E316" t="str">
        <f>IF(COUNTIFS(C:C,C316,D:D,D316)&gt;1,"Docente ya registrado","")</f>
        <v/>
      </c>
      <c r="F316" t="str">
        <f>_xlfn.XLOOKUP(TAB_T_DOCE_MAEST[[#This Row],[MAESTRIA]],MAESTRIA[NOMBRE_MAESTRIA],MAESTRIA[ID_MAESTRIA],"Seleccione Maestria")</f>
        <v>Seleccione Maestria</v>
      </c>
    </row>
    <row r="317" spans="1:6">
      <c r="A317" t="s">
        <v>392</v>
      </c>
      <c r="C317" t="str">
        <f>_xlfn.XLOOKUP(TAB_T_DOCE_MAEST[[#This Row],[NOMBRE_DOCENTE]],MDOCENTES[DATOS_DOCENTE],MDOCENTES[ID_DOCENTE],"Seleccione Docente")</f>
        <v>Seleccione Docente</v>
      </c>
      <c r="E317" t="str">
        <f>IF(COUNTIFS(C:C,C317,D:D,D317)&gt;1,"Docente ya registrado","")</f>
        <v/>
      </c>
      <c r="F317" t="str">
        <f>_xlfn.XLOOKUP(TAB_T_DOCE_MAEST[[#This Row],[MAESTRIA]],MAESTRIA[NOMBRE_MAESTRIA],MAESTRIA[ID_MAESTRIA],"Seleccione Maestria")</f>
        <v>Seleccione Maestria</v>
      </c>
    </row>
    <row r="318" spans="1:6">
      <c r="A318" t="s">
        <v>393</v>
      </c>
      <c r="C318" t="str">
        <f>_xlfn.XLOOKUP(TAB_T_DOCE_MAEST[[#This Row],[NOMBRE_DOCENTE]],MDOCENTES[DATOS_DOCENTE],MDOCENTES[ID_DOCENTE],"Seleccione Docente")</f>
        <v>Seleccione Docente</v>
      </c>
      <c r="E318" t="str">
        <f>IF(COUNTIFS(C:C,C318,D:D,D318)&gt;1,"Docente ya registrado","")</f>
        <v/>
      </c>
      <c r="F318" t="str">
        <f>_xlfn.XLOOKUP(TAB_T_DOCE_MAEST[[#This Row],[MAESTRIA]],MAESTRIA[NOMBRE_MAESTRIA],MAESTRIA[ID_MAESTRIA],"Seleccione Maestria")</f>
        <v>Seleccione Maestria</v>
      </c>
    </row>
    <row r="319" spans="1:6">
      <c r="A319" t="s">
        <v>394</v>
      </c>
      <c r="C319" t="str">
        <f>_xlfn.XLOOKUP(TAB_T_DOCE_MAEST[[#This Row],[NOMBRE_DOCENTE]],MDOCENTES[DATOS_DOCENTE],MDOCENTES[ID_DOCENTE],"Seleccione Docente")</f>
        <v>Seleccione Docente</v>
      </c>
      <c r="E319" t="str">
        <f>IF(COUNTIFS(C:C,C319,D:D,D319)&gt;1,"Docente ya registrado","")</f>
        <v/>
      </c>
      <c r="F319" t="str">
        <f>_xlfn.XLOOKUP(TAB_T_DOCE_MAEST[[#This Row],[MAESTRIA]],MAESTRIA[NOMBRE_MAESTRIA],MAESTRIA[ID_MAESTRIA],"Seleccione Maestria")</f>
        <v>Seleccione Maestria</v>
      </c>
    </row>
    <row r="320" spans="1:6">
      <c r="A320" t="s">
        <v>395</v>
      </c>
      <c r="C320" t="str">
        <f>_xlfn.XLOOKUP(TAB_T_DOCE_MAEST[[#This Row],[NOMBRE_DOCENTE]],MDOCENTES[DATOS_DOCENTE],MDOCENTES[ID_DOCENTE],"Seleccione Docente")</f>
        <v>Seleccione Docente</v>
      </c>
      <c r="E320" t="str">
        <f>IF(COUNTIFS(C:C,C320,D:D,D320)&gt;1,"Docente ya registrado","")</f>
        <v/>
      </c>
      <c r="F320" t="str">
        <f>_xlfn.XLOOKUP(TAB_T_DOCE_MAEST[[#This Row],[MAESTRIA]],MAESTRIA[NOMBRE_MAESTRIA],MAESTRIA[ID_MAESTRIA],"Seleccione Maestria")</f>
        <v>Seleccione Maestria</v>
      </c>
    </row>
    <row r="321" spans="1:6">
      <c r="A321" t="s">
        <v>396</v>
      </c>
      <c r="C321" t="str">
        <f>_xlfn.XLOOKUP(TAB_T_DOCE_MAEST[[#This Row],[NOMBRE_DOCENTE]],MDOCENTES[DATOS_DOCENTE],MDOCENTES[ID_DOCENTE],"Seleccione Docente")</f>
        <v>Seleccione Docente</v>
      </c>
      <c r="E321" t="str">
        <f>IF(COUNTIFS(C:C,C321,D:D,D321)&gt;1,"Docente ya registrado","")</f>
        <v/>
      </c>
      <c r="F321" t="str">
        <f>_xlfn.XLOOKUP(TAB_T_DOCE_MAEST[[#This Row],[MAESTRIA]],MAESTRIA[NOMBRE_MAESTRIA],MAESTRIA[ID_MAESTRIA],"Seleccione Maestria")</f>
        <v>Seleccione Maestria</v>
      </c>
    </row>
    <row r="322" spans="1:6">
      <c r="A322" t="s">
        <v>397</v>
      </c>
      <c r="C322" t="str">
        <f>_xlfn.XLOOKUP(TAB_T_DOCE_MAEST[[#This Row],[NOMBRE_DOCENTE]],MDOCENTES[DATOS_DOCENTE],MDOCENTES[ID_DOCENTE],"Seleccione Docente")</f>
        <v>Seleccione Docente</v>
      </c>
      <c r="E322" t="str">
        <f>IF(COUNTIFS(C:C,C322,D:D,D322)&gt;1,"Docente ya registrado","")</f>
        <v/>
      </c>
      <c r="F322" t="str">
        <f>_xlfn.XLOOKUP(TAB_T_DOCE_MAEST[[#This Row],[MAESTRIA]],MAESTRIA[NOMBRE_MAESTRIA],MAESTRIA[ID_MAESTRIA],"Seleccione Maestria")</f>
        <v>Seleccione Maestria</v>
      </c>
    </row>
    <row r="323" spans="1:6">
      <c r="A323" t="s">
        <v>398</v>
      </c>
      <c r="C323" t="str">
        <f>_xlfn.XLOOKUP(TAB_T_DOCE_MAEST[[#This Row],[NOMBRE_DOCENTE]],MDOCENTES[DATOS_DOCENTE],MDOCENTES[ID_DOCENTE],"Seleccione Docente")</f>
        <v>Seleccione Docente</v>
      </c>
      <c r="E323" t="str">
        <f>IF(COUNTIFS(C:C,C323,D:D,D323)&gt;1,"Docente ya registrado","")</f>
        <v/>
      </c>
      <c r="F323" t="str">
        <f>_xlfn.XLOOKUP(TAB_T_DOCE_MAEST[[#This Row],[MAESTRIA]],MAESTRIA[NOMBRE_MAESTRIA],MAESTRIA[ID_MAESTRIA],"Seleccione Maestria")</f>
        <v>Seleccione Maestria</v>
      </c>
    </row>
    <row r="324" spans="1:6">
      <c r="A324" t="s">
        <v>399</v>
      </c>
      <c r="C324" t="str">
        <f>_xlfn.XLOOKUP(TAB_T_DOCE_MAEST[[#This Row],[NOMBRE_DOCENTE]],MDOCENTES[DATOS_DOCENTE],MDOCENTES[ID_DOCENTE],"Seleccione Docente")</f>
        <v>Seleccione Docente</v>
      </c>
      <c r="E324" t="str">
        <f>IF(COUNTIFS(C:C,C324,D:D,D324)&gt;1,"Docente ya registrado","")</f>
        <v/>
      </c>
      <c r="F324" t="str">
        <f>_xlfn.XLOOKUP(TAB_T_DOCE_MAEST[[#This Row],[MAESTRIA]],MAESTRIA[NOMBRE_MAESTRIA],MAESTRIA[ID_MAESTRIA],"Seleccione Maestria")</f>
        <v>Seleccione Maestria</v>
      </c>
    </row>
    <row r="325" spans="1:6">
      <c r="A325" t="s">
        <v>400</v>
      </c>
      <c r="C325" t="str">
        <f>_xlfn.XLOOKUP(TAB_T_DOCE_MAEST[[#This Row],[NOMBRE_DOCENTE]],MDOCENTES[DATOS_DOCENTE],MDOCENTES[ID_DOCENTE],"Seleccione Docente")</f>
        <v>Seleccione Docente</v>
      </c>
      <c r="E325" t="str">
        <f>IF(COUNTIFS(C:C,C325,D:D,D325)&gt;1,"Docente ya registrado","")</f>
        <v/>
      </c>
      <c r="F325" t="str">
        <f>_xlfn.XLOOKUP(TAB_T_DOCE_MAEST[[#This Row],[MAESTRIA]],MAESTRIA[NOMBRE_MAESTRIA],MAESTRIA[ID_MAESTRIA],"Seleccione Maestria")</f>
        <v>Seleccione Maestria</v>
      </c>
    </row>
    <row r="326" spans="1:6">
      <c r="A326" t="s">
        <v>401</v>
      </c>
      <c r="C326" t="str">
        <f>_xlfn.XLOOKUP(TAB_T_DOCE_MAEST[[#This Row],[NOMBRE_DOCENTE]],MDOCENTES[DATOS_DOCENTE],MDOCENTES[ID_DOCENTE],"Seleccione Docente")</f>
        <v>Seleccione Docente</v>
      </c>
      <c r="E326" t="str">
        <f>IF(COUNTIFS(C:C,C326,D:D,D326)&gt;1,"Docente ya registrado","")</f>
        <v/>
      </c>
      <c r="F326" t="str">
        <f>_xlfn.XLOOKUP(TAB_T_DOCE_MAEST[[#This Row],[MAESTRIA]],MAESTRIA[NOMBRE_MAESTRIA],MAESTRIA[ID_MAESTRIA],"Seleccione Maestria")</f>
        <v>Seleccione Maestria</v>
      </c>
    </row>
    <row r="327" spans="1:6">
      <c r="A327" t="s">
        <v>402</v>
      </c>
      <c r="C327" t="str">
        <f>_xlfn.XLOOKUP(TAB_T_DOCE_MAEST[[#This Row],[NOMBRE_DOCENTE]],MDOCENTES[DATOS_DOCENTE],MDOCENTES[ID_DOCENTE],"Seleccione Docente")</f>
        <v>Seleccione Docente</v>
      </c>
      <c r="E327" t="str">
        <f>IF(COUNTIFS(C:C,C327,D:D,D327)&gt;1,"Docente ya registrado","")</f>
        <v/>
      </c>
      <c r="F327" t="str">
        <f>_xlfn.XLOOKUP(TAB_T_DOCE_MAEST[[#This Row],[MAESTRIA]],MAESTRIA[NOMBRE_MAESTRIA],MAESTRIA[ID_MAESTRIA],"Seleccione Maestria")</f>
        <v>Seleccione Maestria</v>
      </c>
    </row>
    <row r="328" spans="1:6">
      <c r="A328" t="s">
        <v>403</v>
      </c>
      <c r="C328" t="str">
        <f>_xlfn.XLOOKUP(TAB_T_DOCE_MAEST[[#This Row],[NOMBRE_DOCENTE]],MDOCENTES[DATOS_DOCENTE],MDOCENTES[ID_DOCENTE],"Seleccione Docente")</f>
        <v>Seleccione Docente</v>
      </c>
      <c r="E328" t="str">
        <f>IF(COUNTIFS(C:C,C328,D:D,D328)&gt;1,"Docente ya registrado","")</f>
        <v/>
      </c>
      <c r="F328" t="str">
        <f>_xlfn.XLOOKUP(TAB_T_DOCE_MAEST[[#This Row],[MAESTRIA]],MAESTRIA[NOMBRE_MAESTRIA],MAESTRIA[ID_MAESTRIA],"Seleccione Maestria")</f>
        <v>Seleccione Maestria</v>
      </c>
    </row>
    <row r="329" spans="1:6">
      <c r="A329" t="s">
        <v>404</v>
      </c>
      <c r="C329" t="str">
        <f>_xlfn.XLOOKUP(TAB_T_DOCE_MAEST[[#This Row],[NOMBRE_DOCENTE]],MDOCENTES[DATOS_DOCENTE],MDOCENTES[ID_DOCENTE],"Seleccione Docente")</f>
        <v>Seleccione Docente</v>
      </c>
      <c r="E329" t="str">
        <f>IF(COUNTIFS(C:C,C329,D:D,D329)&gt;1,"Docente ya registrado","")</f>
        <v/>
      </c>
      <c r="F329" t="str">
        <f>_xlfn.XLOOKUP(TAB_T_DOCE_MAEST[[#This Row],[MAESTRIA]],MAESTRIA[NOMBRE_MAESTRIA],MAESTRIA[ID_MAESTRIA],"Seleccione Maestria")</f>
        <v>Seleccione Maestria</v>
      </c>
    </row>
    <row r="330" spans="1:6">
      <c r="A330" t="s">
        <v>405</v>
      </c>
      <c r="C330" t="str">
        <f>_xlfn.XLOOKUP(TAB_T_DOCE_MAEST[[#This Row],[NOMBRE_DOCENTE]],MDOCENTES[DATOS_DOCENTE],MDOCENTES[ID_DOCENTE],"Seleccione Docente")</f>
        <v>Seleccione Docente</v>
      </c>
      <c r="E330" t="str">
        <f>IF(COUNTIFS(C:C,C330,D:D,D330)&gt;1,"Docente ya registrado","")</f>
        <v/>
      </c>
      <c r="F330" t="str">
        <f>_xlfn.XLOOKUP(TAB_T_DOCE_MAEST[[#This Row],[MAESTRIA]],MAESTRIA[NOMBRE_MAESTRIA],MAESTRIA[ID_MAESTRIA],"Seleccione Maestria")</f>
        <v>Seleccione Maestria</v>
      </c>
    </row>
    <row r="331" spans="1:6">
      <c r="A331" t="s">
        <v>406</v>
      </c>
      <c r="C331" t="str">
        <f>_xlfn.XLOOKUP(TAB_T_DOCE_MAEST[[#This Row],[NOMBRE_DOCENTE]],MDOCENTES[DATOS_DOCENTE],MDOCENTES[ID_DOCENTE],"Seleccione Docente")</f>
        <v>Seleccione Docente</v>
      </c>
      <c r="E331" t="str">
        <f>IF(COUNTIFS(C:C,C331,D:D,D331)&gt;1,"Docente ya registrado","")</f>
        <v/>
      </c>
      <c r="F331" t="str">
        <f>_xlfn.XLOOKUP(TAB_T_DOCE_MAEST[[#This Row],[MAESTRIA]],MAESTRIA[NOMBRE_MAESTRIA],MAESTRIA[ID_MAESTRIA],"Seleccione Maestria")</f>
        <v>Seleccione Maestria</v>
      </c>
    </row>
    <row r="332" spans="1:6">
      <c r="A332" t="s">
        <v>407</v>
      </c>
      <c r="C332" t="str">
        <f>_xlfn.XLOOKUP(TAB_T_DOCE_MAEST[[#This Row],[NOMBRE_DOCENTE]],MDOCENTES[DATOS_DOCENTE],MDOCENTES[ID_DOCENTE],"Seleccione Docente")</f>
        <v>Seleccione Docente</v>
      </c>
      <c r="E332" t="str">
        <f>IF(COUNTIFS(C:C,C332,D:D,D332)&gt;1,"Docente ya registrado","")</f>
        <v/>
      </c>
      <c r="F332" t="str">
        <f>_xlfn.XLOOKUP(TAB_T_DOCE_MAEST[[#This Row],[MAESTRIA]],MAESTRIA[NOMBRE_MAESTRIA],MAESTRIA[ID_MAESTRIA],"Seleccione Maestria")</f>
        <v>Seleccione Maestria</v>
      </c>
    </row>
    <row r="333" spans="1:6">
      <c r="A333" t="s">
        <v>408</v>
      </c>
      <c r="C333" t="str">
        <f>_xlfn.XLOOKUP(TAB_T_DOCE_MAEST[[#This Row],[NOMBRE_DOCENTE]],MDOCENTES[DATOS_DOCENTE],MDOCENTES[ID_DOCENTE],"Seleccione Docente")</f>
        <v>Seleccione Docente</v>
      </c>
      <c r="E333" t="str">
        <f>IF(COUNTIFS(C:C,C333,D:D,D333)&gt;1,"Docente ya registrado","")</f>
        <v/>
      </c>
      <c r="F333" t="str">
        <f>_xlfn.XLOOKUP(TAB_T_DOCE_MAEST[[#This Row],[MAESTRIA]],MAESTRIA[NOMBRE_MAESTRIA],MAESTRIA[ID_MAESTRIA],"Seleccione Maestria")</f>
        <v>Seleccione Maestria</v>
      </c>
    </row>
    <row r="334" spans="1:6">
      <c r="A334" t="s">
        <v>409</v>
      </c>
      <c r="C334" t="str">
        <f>_xlfn.XLOOKUP(TAB_T_DOCE_MAEST[[#This Row],[NOMBRE_DOCENTE]],MDOCENTES[DATOS_DOCENTE],MDOCENTES[ID_DOCENTE],"Seleccione Docente")</f>
        <v>Seleccione Docente</v>
      </c>
      <c r="E334" t="str">
        <f>IF(COUNTIFS(C:C,C334,D:D,D334)&gt;1,"Docente ya registrado","")</f>
        <v/>
      </c>
      <c r="F334" t="str">
        <f>_xlfn.XLOOKUP(TAB_T_DOCE_MAEST[[#This Row],[MAESTRIA]],MAESTRIA[NOMBRE_MAESTRIA],MAESTRIA[ID_MAESTRIA],"Seleccione Maestria")</f>
        <v>Seleccione Maestria</v>
      </c>
    </row>
    <row r="335" spans="1:6">
      <c r="A335" t="s">
        <v>410</v>
      </c>
      <c r="C335" t="str">
        <f>_xlfn.XLOOKUP(TAB_T_DOCE_MAEST[[#This Row],[NOMBRE_DOCENTE]],MDOCENTES[DATOS_DOCENTE],MDOCENTES[ID_DOCENTE],"Seleccione Docente")</f>
        <v>Seleccione Docente</v>
      </c>
      <c r="E335" t="str">
        <f>IF(COUNTIFS(C:C,C335,D:D,D335)&gt;1,"Docente ya registrado","")</f>
        <v/>
      </c>
      <c r="F335" t="str">
        <f>_xlfn.XLOOKUP(TAB_T_DOCE_MAEST[[#This Row],[MAESTRIA]],MAESTRIA[NOMBRE_MAESTRIA],MAESTRIA[ID_MAESTRIA],"Seleccione Maestria")</f>
        <v>Seleccione Maestria</v>
      </c>
    </row>
    <row r="336" spans="1:6">
      <c r="A336" t="s">
        <v>411</v>
      </c>
      <c r="C336" t="str">
        <f>_xlfn.XLOOKUP(TAB_T_DOCE_MAEST[[#This Row],[NOMBRE_DOCENTE]],MDOCENTES[DATOS_DOCENTE],MDOCENTES[ID_DOCENTE],"Seleccione Docente")</f>
        <v>Seleccione Docente</v>
      </c>
      <c r="E336" t="str">
        <f>IF(COUNTIFS(C:C,C336,D:D,D336)&gt;1,"Docente ya registrado","")</f>
        <v/>
      </c>
      <c r="F336" t="str">
        <f>_xlfn.XLOOKUP(TAB_T_DOCE_MAEST[[#This Row],[MAESTRIA]],MAESTRIA[NOMBRE_MAESTRIA],MAESTRIA[ID_MAESTRIA],"Seleccione Maestria")</f>
        <v>Seleccione Maestria</v>
      </c>
    </row>
    <row r="337" spans="1:6">
      <c r="A337" t="s">
        <v>412</v>
      </c>
      <c r="C337" t="str">
        <f>_xlfn.XLOOKUP(TAB_T_DOCE_MAEST[[#This Row],[NOMBRE_DOCENTE]],MDOCENTES[DATOS_DOCENTE],MDOCENTES[ID_DOCENTE],"Seleccione Docente")</f>
        <v>Seleccione Docente</v>
      </c>
      <c r="E337" t="str">
        <f>IF(COUNTIFS(C:C,C337,D:D,D337)&gt;1,"Docente ya registrado","")</f>
        <v/>
      </c>
      <c r="F337" t="str">
        <f>_xlfn.XLOOKUP(TAB_T_DOCE_MAEST[[#This Row],[MAESTRIA]],MAESTRIA[NOMBRE_MAESTRIA],MAESTRIA[ID_MAESTRIA],"Seleccione Maestria")</f>
        <v>Seleccione Maestria</v>
      </c>
    </row>
    <row r="338" spans="1:6">
      <c r="A338" t="s">
        <v>413</v>
      </c>
      <c r="C338" t="str">
        <f>_xlfn.XLOOKUP(TAB_T_DOCE_MAEST[[#This Row],[NOMBRE_DOCENTE]],MDOCENTES[DATOS_DOCENTE],MDOCENTES[ID_DOCENTE],"Seleccione Docente")</f>
        <v>Seleccione Docente</v>
      </c>
      <c r="E338" t="str">
        <f>IF(COUNTIFS(C:C,C338,D:D,D338)&gt;1,"Docente ya registrado","")</f>
        <v/>
      </c>
      <c r="F338" t="str">
        <f>_xlfn.XLOOKUP(TAB_T_DOCE_MAEST[[#This Row],[MAESTRIA]],MAESTRIA[NOMBRE_MAESTRIA],MAESTRIA[ID_MAESTRIA],"Seleccione Maestria")</f>
        <v>Seleccione Maestria</v>
      </c>
    </row>
    <row r="339" spans="1:6">
      <c r="A339" t="s">
        <v>414</v>
      </c>
      <c r="C339" t="str">
        <f>_xlfn.XLOOKUP(TAB_T_DOCE_MAEST[[#This Row],[NOMBRE_DOCENTE]],MDOCENTES[DATOS_DOCENTE],MDOCENTES[ID_DOCENTE],"Seleccione Docente")</f>
        <v>Seleccione Docente</v>
      </c>
      <c r="E339" t="str">
        <f>IF(COUNTIFS(C:C,C339,D:D,D339)&gt;1,"Docente ya registrado","")</f>
        <v/>
      </c>
      <c r="F339" t="str">
        <f>_xlfn.XLOOKUP(TAB_T_DOCE_MAEST[[#This Row],[MAESTRIA]],MAESTRIA[NOMBRE_MAESTRIA],MAESTRIA[ID_MAESTRIA],"Seleccione Maestria")</f>
        <v>Seleccione Maestria</v>
      </c>
    </row>
    <row r="340" spans="1:6">
      <c r="A340" t="s">
        <v>415</v>
      </c>
      <c r="C340" t="str">
        <f>_xlfn.XLOOKUP(TAB_T_DOCE_MAEST[[#This Row],[NOMBRE_DOCENTE]],MDOCENTES[DATOS_DOCENTE],MDOCENTES[ID_DOCENTE],"Seleccione Docente")</f>
        <v>Seleccione Docente</v>
      </c>
      <c r="E340" t="str">
        <f>IF(COUNTIFS(C:C,C340,D:D,D340)&gt;1,"Docente ya registrado","")</f>
        <v/>
      </c>
      <c r="F340" t="str">
        <f>_xlfn.XLOOKUP(TAB_T_DOCE_MAEST[[#This Row],[MAESTRIA]],MAESTRIA[NOMBRE_MAESTRIA],MAESTRIA[ID_MAESTRIA],"Seleccione Maestria")</f>
        <v>Seleccione Maestria</v>
      </c>
    </row>
    <row r="341" spans="1:6">
      <c r="A341" t="s">
        <v>416</v>
      </c>
      <c r="C341" t="str">
        <f>_xlfn.XLOOKUP(TAB_T_DOCE_MAEST[[#This Row],[NOMBRE_DOCENTE]],MDOCENTES[DATOS_DOCENTE],MDOCENTES[ID_DOCENTE],"Seleccione Docente")</f>
        <v>Seleccione Docente</v>
      </c>
      <c r="E341" t="str">
        <f>IF(COUNTIFS(C:C,C341,D:D,D341)&gt;1,"Docente ya registrado","")</f>
        <v/>
      </c>
      <c r="F341" t="str">
        <f>_xlfn.XLOOKUP(TAB_T_DOCE_MAEST[[#This Row],[MAESTRIA]],MAESTRIA[NOMBRE_MAESTRIA],MAESTRIA[ID_MAESTRIA],"Seleccione Maestria")</f>
        <v>Seleccione Maestria</v>
      </c>
    </row>
    <row r="342" spans="1:6">
      <c r="A342" t="s">
        <v>417</v>
      </c>
      <c r="C342" t="str">
        <f>_xlfn.XLOOKUP(TAB_T_DOCE_MAEST[[#This Row],[NOMBRE_DOCENTE]],MDOCENTES[DATOS_DOCENTE],MDOCENTES[ID_DOCENTE],"Seleccione Docente")</f>
        <v>Seleccione Docente</v>
      </c>
      <c r="E342" t="str">
        <f>IF(COUNTIFS(C:C,C342,D:D,D342)&gt;1,"Docente ya registrado","")</f>
        <v/>
      </c>
      <c r="F342" t="str">
        <f>_xlfn.XLOOKUP(TAB_T_DOCE_MAEST[[#This Row],[MAESTRIA]],MAESTRIA[NOMBRE_MAESTRIA],MAESTRIA[ID_MAESTRIA],"Seleccione Maestria")</f>
        <v>Seleccione Maestria</v>
      </c>
    </row>
    <row r="343" spans="1:6">
      <c r="A343" t="s">
        <v>418</v>
      </c>
      <c r="C343" t="str">
        <f>_xlfn.XLOOKUP(TAB_T_DOCE_MAEST[[#This Row],[NOMBRE_DOCENTE]],MDOCENTES[DATOS_DOCENTE],MDOCENTES[ID_DOCENTE],"Seleccione Docente")</f>
        <v>Seleccione Docente</v>
      </c>
      <c r="E343" t="str">
        <f>IF(COUNTIFS(C:C,C343,D:D,D343)&gt;1,"Docente ya registrado","")</f>
        <v/>
      </c>
      <c r="F343" t="str">
        <f>_xlfn.XLOOKUP(TAB_T_DOCE_MAEST[[#This Row],[MAESTRIA]],MAESTRIA[NOMBRE_MAESTRIA],MAESTRIA[ID_MAESTRIA],"Seleccione Maestria")</f>
        <v>Seleccione Maestria</v>
      </c>
    </row>
    <row r="344" spans="1:6">
      <c r="A344" t="s">
        <v>419</v>
      </c>
      <c r="C344" t="str">
        <f>_xlfn.XLOOKUP(TAB_T_DOCE_MAEST[[#This Row],[NOMBRE_DOCENTE]],MDOCENTES[DATOS_DOCENTE],MDOCENTES[ID_DOCENTE],"Seleccione Docente")</f>
        <v>Seleccione Docente</v>
      </c>
      <c r="E344" t="str">
        <f>IF(COUNTIFS(C:C,C344,D:D,D344)&gt;1,"Docente ya registrado","")</f>
        <v/>
      </c>
      <c r="F344" t="str">
        <f>_xlfn.XLOOKUP(TAB_T_DOCE_MAEST[[#This Row],[MAESTRIA]],MAESTRIA[NOMBRE_MAESTRIA],MAESTRIA[ID_MAESTRIA],"Seleccione Maestria")</f>
        <v>Seleccione Maestria</v>
      </c>
    </row>
    <row r="345" spans="1:6">
      <c r="A345" t="s">
        <v>420</v>
      </c>
      <c r="C345" t="str">
        <f>_xlfn.XLOOKUP(TAB_T_DOCE_MAEST[[#This Row],[NOMBRE_DOCENTE]],MDOCENTES[DATOS_DOCENTE],MDOCENTES[ID_DOCENTE],"Seleccione Docente")</f>
        <v>Seleccione Docente</v>
      </c>
      <c r="E345" t="str">
        <f>IF(COUNTIFS(C:C,C345,D:D,D345)&gt;1,"Docente ya registrado","")</f>
        <v/>
      </c>
      <c r="F345" t="str">
        <f>_xlfn.XLOOKUP(TAB_T_DOCE_MAEST[[#This Row],[MAESTRIA]],MAESTRIA[NOMBRE_MAESTRIA],MAESTRIA[ID_MAESTRIA],"Seleccione Maestria")</f>
        <v>Seleccione Maestria</v>
      </c>
    </row>
    <row r="346" spans="1:6">
      <c r="A346" t="s">
        <v>421</v>
      </c>
      <c r="C346" t="str">
        <f>_xlfn.XLOOKUP(TAB_T_DOCE_MAEST[[#This Row],[NOMBRE_DOCENTE]],MDOCENTES[DATOS_DOCENTE],MDOCENTES[ID_DOCENTE],"Seleccione Docente")</f>
        <v>Seleccione Docente</v>
      </c>
      <c r="E346" t="str">
        <f>IF(COUNTIFS(C:C,C346,D:D,D346)&gt;1,"Docente ya registrado","")</f>
        <v/>
      </c>
      <c r="F346" t="str">
        <f>_xlfn.XLOOKUP(TAB_T_DOCE_MAEST[[#This Row],[MAESTRIA]],MAESTRIA[NOMBRE_MAESTRIA],MAESTRIA[ID_MAESTRIA],"Seleccione Maestria")</f>
        <v>Seleccione Maestria</v>
      </c>
    </row>
    <row r="347" spans="1:6">
      <c r="A347" t="s">
        <v>422</v>
      </c>
      <c r="C347" t="str">
        <f>_xlfn.XLOOKUP(TAB_T_DOCE_MAEST[[#This Row],[NOMBRE_DOCENTE]],MDOCENTES[DATOS_DOCENTE],MDOCENTES[ID_DOCENTE],"Seleccione Docente")</f>
        <v>Seleccione Docente</v>
      </c>
      <c r="E347" t="str">
        <f>IF(COUNTIFS(C:C,C347,D:D,D347)&gt;1,"Docente ya registrado","")</f>
        <v/>
      </c>
      <c r="F347" t="str">
        <f>_xlfn.XLOOKUP(TAB_T_DOCE_MAEST[[#This Row],[MAESTRIA]],MAESTRIA[NOMBRE_MAESTRIA],MAESTRIA[ID_MAESTRIA],"Seleccione Maestria")</f>
        <v>Seleccione Maestria</v>
      </c>
    </row>
    <row r="348" spans="1:6">
      <c r="A348" t="s">
        <v>423</v>
      </c>
      <c r="C348" t="str">
        <f>_xlfn.XLOOKUP(TAB_T_DOCE_MAEST[[#This Row],[NOMBRE_DOCENTE]],MDOCENTES[DATOS_DOCENTE],MDOCENTES[ID_DOCENTE],"Seleccione Docente")</f>
        <v>Seleccione Docente</v>
      </c>
      <c r="E348" t="str">
        <f>IF(COUNTIFS(C:C,C348,D:D,D348)&gt;1,"Docente ya registrado","")</f>
        <v/>
      </c>
      <c r="F348" t="str">
        <f>_xlfn.XLOOKUP(TAB_T_DOCE_MAEST[[#This Row],[MAESTRIA]],MAESTRIA[NOMBRE_MAESTRIA],MAESTRIA[ID_MAESTRIA],"Seleccione Maestria")</f>
        <v>Seleccione Maestria</v>
      </c>
    </row>
    <row r="349" spans="1:6">
      <c r="A349" t="s">
        <v>424</v>
      </c>
      <c r="C349" t="str">
        <f>_xlfn.XLOOKUP(TAB_T_DOCE_MAEST[[#This Row],[NOMBRE_DOCENTE]],MDOCENTES[DATOS_DOCENTE],MDOCENTES[ID_DOCENTE],"Seleccione Docente")</f>
        <v>Seleccione Docente</v>
      </c>
      <c r="E349" t="str">
        <f>IF(COUNTIFS(C:C,C349,D:D,D349)&gt;1,"Docente ya registrado","")</f>
        <v/>
      </c>
      <c r="F349" t="str">
        <f>_xlfn.XLOOKUP(TAB_T_DOCE_MAEST[[#This Row],[MAESTRIA]],MAESTRIA[NOMBRE_MAESTRIA],MAESTRIA[ID_MAESTRIA],"Seleccione Maestria")</f>
        <v>Seleccione Maestria</v>
      </c>
    </row>
    <row r="350" spans="1:6">
      <c r="A350" t="s">
        <v>425</v>
      </c>
      <c r="C350" t="str">
        <f>_xlfn.XLOOKUP(TAB_T_DOCE_MAEST[[#This Row],[NOMBRE_DOCENTE]],MDOCENTES[DATOS_DOCENTE],MDOCENTES[ID_DOCENTE],"Seleccione Docente")</f>
        <v>Seleccione Docente</v>
      </c>
      <c r="E350" t="str">
        <f>IF(COUNTIFS(C:C,C350,D:D,D350)&gt;1,"Docente ya registrado","")</f>
        <v/>
      </c>
      <c r="F350" t="str">
        <f>_xlfn.XLOOKUP(TAB_T_DOCE_MAEST[[#This Row],[MAESTRIA]],MAESTRIA[NOMBRE_MAESTRIA],MAESTRIA[ID_MAESTRIA],"Seleccione Maestria")</f>
        <v>Seleccione Maestria</v>
      </c>
    </row>
    <row r="351" spans="1:6">
      <c r="A351" t="s">
        <v>426</v>
      </c>
      <c r="C351" t="str">
        <f>_xlfn.XLOOKUP(TAB_T_DOCE_MAEST[[#This Row],[NOMBRE_DOCENTE]],MDOCENTES[DATOS_DOCENTE],MDOCENTES[ID_DOCENTE],"Seleccione Docente")</f>
        <v>Seleccione Docente</v>
      </c>
      <c r="E351" t="str">
        <f>IF(COUNTIFS(C:C,C351,D:D,D351)&gt;1,"Docente ya registrado","")</f>
        <v/>
      </c>
      <c r="F351" t="str">
        <f>_xlfn.XLOOKUP(TAB_T_DOCE_MAEST[[#This Row],[MAESTRIA]],MAESTRIA[NOMBRE_MAESTRIA],MAESTRIA[ID_MAESTRIA],"Seleccione Maestria")</f>
        <v>Seleccione Maestria</v>
      </c>
    </row>
    <row r="352" spans="1:6">
      <c r="A352" t="s">
        <v>427</v>
      </c>
      <c r="C352" t="str">
        <f>_xlfn.XLOOKUP(TAB_T_DOCE_MAEST[[#This Row],[NOMBRE_DOCENTE]],MDOCENTES[DATOS_DOCENTE],MDOCENTES[ID_DOCENTE],"Seleccione Docente")</f>
        <v>Seleccione Docente</v>
      </c>
      <c r="E352" t="str">
        <f>IF(COUNTIFS(C:C,C352,D:D,D352)&gt;1,"Docente ya registrado","")</f>
        <v/>
      </c>
      <c r="F352" t="str">
        <f>_xlfn.XLOOKUP(TAB_T_DOCE_MAEST[[#This Row],[MAESTRIA]],MAESTRIA[NOMBRE_MAESTRIA],MAESTRIA[ID_MAESTRIA],"Seleccione Maestria")</f>
        <v>Seleccione Maestria</v>
      </c>
    </row>
    <row r="353" spans="1:6">
      <c r="A353" t="s">
        <v>428</v>
      </c>
      <c r="C353" t="str">
        <f>_xlfn.XLOOKUP(TAB_T_DOCE_MAEST[[#This Row],[NOMBRE_DOCENTE]],MDOCENTES[DATOS_DOCENTE],MDOCENTES[ID_DOCENTE],"Seleccione Docente")</f>
        <v>Seleccione Docente</v>
      </c>
      <c r="E353" t="str">
        <f>IF(COUNTIFS(C:C,C353,D:D,D353)&gt;1,"Docente ya registrado","")</f>
        <v/>
      </c>
      <c r="F353" t="str">
        <f>_xlfn.XLOOKUP(TAB_T_DOCE_MAEST[[#This Row],[MAESTRIA]],MAESTRIA[NOMBRE_MAESTRIA],MAESTRIA[ID_MAESTRIA],"Seleccione Maestria")</f>
        <v>Seleccione Maestria</v>
      </c>
    </row>
    <row r="354" spans="1:6">
      <c r="A354" t="s">
        <v>429</v>
      </c>
      <c r="C354" t="str">
        <f>_xlfn.XLOOKUP(TAB_T_DOCE_MAEST[[#This Row],[NOMBRE_DOCENTE]],MDOCENTES[DATOS_DOCENTE],MDOCENTES[ID_DOCENTE],"Seleccione Docente")</f>
        <v>Seleccione Docente</v>
      </c>
      <c r="E354" t="str">
        <f>IF(COUNTIFS(C:C,C354,D:D,D354)&gt;1,"Docente ya registrado","")</f>
        <v/>
      </c>
      <c r="F354" t="str">
        <f>_xlfn.XLOOKUP(TAB_T_DOCE_MAEST[[#This Row],[MAESTRIA]],MAESTRIA[NOMBRE_MAESTRIA],MAESTRIA[ID_MAESTRIA],"Seleccione Maestria")</f>
        <v>Seleccione Maestria</v>
      </c>
    </row>
    <row r="355" spans="1:6">
      <c r="A355" t="s">
        <v>430</v>
      </c>
      <c r="C355" t="str">
        <f>_xlfn.XLOOKUP(TAB_T_DOCE_MAEST[[#This Row],[NOMBRE_DOCENTE]],MDOCENTES[DATOS_DOCENTE],MDOCENTES[ID_DOCENTE],"Seleccione Docente")</f>
        <v>Seleccione Docente</v>
      </c>
      <c r="E355" t="str">
        <f>IF(COUNTIFS(C:C,C355,D:D,D355)&gt;1,"Docente ya registrado","")</f>
        <v/>
      </c>
      <c r="F355" t="str">
        <f>_xlfn.XLOOKUP(TAB_T_DOCE_MAEST[[#This Row],[MAESTRIA]],MAESTRIA[NOMBRE_MAESTRIA],MAESTRIA[ID_MAESTRIA],"Seleccione Maestria")</f>
        <v>Seleccione Maestria</v>
      </c>
    </row>
    <row r="356" spans="1:6">
      <c r="A356" t="s">
        <v>431</v>
      </c>
      <c r="C356" t="str">
        <f>_xlfn.XLOOKUP(TAB_T_DOCE_MAEST[[#This Row],[NOMBRE_DOCENTE]],MDOCENTES[DATOS_DOCENTE],MDOCENTES[ID_DOCENTE],"Seleccione Docente")</f>
        <v>Seleccione Docente</v>
      </c>
      <c r="E356" t="str">
        <f>IF(COUNTIFS(C:C,C356,D:D,D356)&gt;1,"Docente ya registrado","")</f>
        <v/>
      </c>
      <c r="F356" t="str">
        <f>_xlfn.XLOOKUP(TAB_T_DOCE_MAEST[[#This Row],[MAESTRIA]],MAESTRIA[NOMBRE_MAESTRIA],MAESTRIA[ID_MAESTRIA],"Seleccione Maestria")</f>
        <v>Seleccione Maestria</v>
      </c>
    </row>
    <row r="357" spans="1:6">
      <c r="A357" t="s">
        <v>432</v>
      </c>
      <c r="C357" t="str">
        <f>_xlfn.XLOOKUP(TAB_T_DOCE_MAEST[[#This Row],[NOMBRE_DOCENTE]],MDOCENTES[DATOS_DOCENTE],MDOCENTES[ID_DOCENTE],"Seleccione Docente")</f>
        <v>Seleccione Docente</v>
      </c>
      <c r="E357" t="str">
        <f>IF(COUNTIFS(C:C,C357,D:D,D357)&gt;1,"Docente ya registrado","")</f>
        <v/>
      </c>
      <c r="F357" t="str">
        <f>_xlfn.XLOOKUP(TAB_T_DOCE_MAEST[[#This Row],[MAESTRIA]],MAESTRIA[NOMBRE_MAESTRIA],MAESTRIA[ID_MAESTRIA],"Seleccione Maestria")</f>
        <v>Seleccione Maestria</v>
      </c>
    </row>
    <row r="358" spans="1:6">
      <c r="A358" t="s">
        <v>433</v>
      </c>
      <c r="C358" t="str">
        <f>_xlfn.XLOOKUP(TAB_T_DOCE_MAEST[[#This Row],[NOMBRE_DOCENTE]],MDOCENTES[DATOS_DOCENTE],MDOCENTES[ID_DOCENTE],"Seleccione Docente")</f>
        <v>Seleccione Docente</v>
      </c>
      <c r="E358" t="str">
        <f>IF(COUNTIFS(C:C,C358,D:D,D358)&gt;1,"Docente ya registrado","")</f>
        <v/>
      </c>
      <c r="F358" t="str">
        <f>_xlfn.XLOOKUP(TAB_T_DOCE_MAEST[[#This Row],[MAESTRIA]],MAESTRIA[NOMBRE_MAESTRIA],MAESTRIA[ID_MAESTRIA],"Seleccione Maestria")</f>
        <v>Seleccione Maestria</v>
      </c>
    </row>
    <row r="359" spans="1:6">
      <c r="A359" t="s">
        <v>434</v>
      </c>
      <c r="C359" t="str">
        <f>_xlfn.XLOOKUP(TAB_T_DOCE_MAEST[[#This Row],[NOMBRE_DOCENTE]],MDOCENTES[DATOS_DOCENTE],MDOCENTES[ID_DOCENTE],"Seleccione Docente")</f>
        <v>Seleccione Docente</v>
      </c>
      <c r="E359" t="str">
        <f>IF(COUNTIFS(C:C,C359,D:D,D359)&gt;1,"Docente ya registrado","")</f>
        <v/>
      </c>
      <c r="F359" t="str">
        <f>_xlfn.XLOOKUP(TAB_T_DOCE_MAEST[[#This Row],[MAESTRIA]],MAESTRIA[NOMBRE_MAESTRIA],MAESTRIA[ID_MAESTRIA],"Seleccione Maestria")</f>
        <v>Seleccione Maestria</v>
      </c>
    </row>
    <row r="360" spans="1:6">
      <c r="A360" t="s">
        <v>435</v>
      </c>
      <c r="C360" t="str">
        <f>_xlfn.XLOOKUP(TAB_T_DOCE_MAEST[[#This Row],[NOMBRE_DOCENTE]],MDOCENTES[DATOS_DOCENTE],MDOCENTES[ID_DOCENTE],"Seleccione Docente")</f>
        <v>Seleccione Docente</v>
      </c>
      <c r="E360" t="str">
        <f>IF(COUNTIFS(C:C,C360,D:D,D360)&gt;1,"Docente ya registrado","")</f>
        <v/>
      </c>
      <c r="F360" t="str">
        <f>_xlfn.XLOOKUP(TAB_T_DOCE_MAEST[[#This Row],[MAESTRIA]],MAESTRIA[NOMBRE_MAESTRIA],MAESTRIA[ID_MAESTRIA],"Seleccione Maestria")</f>
        <v>Seleccione Maestria</v>
      </c>
    </row>
    <row r="361" spans="1:6">
      <c r="A361" t="s">
        <v>436</v>
      </c>
      <c r="C361" t="str">
        <f>_xlfn.XLOOKUP(TAB_T_DOCE_MAEST[[#This Row],[NOMBRE_DOCENTE]],MDOCENTES[DATOS_DOCENTE],MDOCENTES[ID_DOCENTE],"Seleccione Docente")</f>
        <v>Seleccione Docente</v>
      </c>
      <c r="E361" t="str">
        <f>IF(COUNTIFS(C:C,C361,D:D,D361)&gt;1,"Docente ya registrado","")</f>
        <v/>
      </c>
      <c r="F361" t="str">
        <f>_xlfn.XLOOKUP(TAB_T_DOCE_MAEST[[#This Row],[MAESTRIA]],MAESTRIA[NOMBRE_MAESTRIA],MAESTRIA[ID_MAESTRIA],"Seleccione Maestria")</f>
        <v>Seleccione Maestria</v>
      </c>
    </row>
    <row r="362" spans="1:6">
      <c r="A362" t="s">
        <v>437</v>
      </c>
      <c r="C362" t="str">
        <f>_xlfn.XLOOKUP(TAB_T_DOCE_MAEST[[#This Row],[NOMBRE_DOCENTE]],MDOCENTES[DATOS_DOCENTE],MDOCENTES[ID_DOCENTE],"Seleccione Docente")</f>
        <v>Seleccione Docente</v>
      </c>
      <c r="E362" t="str">
        <f>IF(COUNTIFS(C:C,C362,D:D,D362)&gt;1,"Docente ya registrado","")</f>
        <v/>
      </c>
      <c r="F362" t="str">
        <f>_xlfn.XLOOKUP(TAB_T_DOCE_MAEST[[#This Row],[MAESTRIA]],MAESTRIA[NOMBRE_MAESTRIA],MAESTRIA[ID_MAESTRIA],"Seleccione Maestria")</f>
        <v>Seleccione Maestria</v>
      </c>
    </row>
    <row r="363" spans="1:6">
      <c r="A363" t="s">
        <v>438</v>
      </c>
      <c r="C363" t="str">
        <f>_xlfn.XLOOKUP(TAB_T_DOCE_MAEST[[#This Row],[NOMBRE_DOCENTE]],MDOCENTES[DATOS_DOCENTE],MDOCENTES[ID_DOCENTE],"Seleccione Docente")</f>
        <v>Seleccione Docente</v>
      </c>
      <c r="E363" t="str">
        <f>IF(COUNTIFS(C:C,C363,D:D,D363)&gt;1,"Docente ya registrado","")</f>
        <v/>
      </c>
      <c r="F363" t="str">
        <f>_xlfn.XLOOKUP(TAB_T_DOCE_MAEST[[#This Row],[MAESTRIA]],MAESTRIA[NOMBRE_MAESTRIA],MAESTRIA[ID_MAESTRIA],"Seleccione Maestria")</f>
        <v>Seleccione Maestria</v>
      </c>
    </row>
    <row r="364" spans="1:6">
      <c r="A364" t="s">
        <v>439</v>
      </c>
      <c r="C364" t="str">
        <f>_xlfn.XLOOKUP(TAB_T_DOCE_MAEST[[#This Row],[NOMBRE_DOCENTE]],MDOCENTES[DATOS_DOCENTE],MDOCENTES[ID_DOCENTE],"Seleccione Docente")</f>
        <v>Seleccione Docente</v>
      </c>
      <c r="E364" t="str">
        <f>IF(COUNTIFS(C:C,C364,D:D,D364)&gt;1,"Docente ya registrado","")</f>
        <v/>
      </c>
      <c r="F364" t="str">
        <f>_xlfn.XLOOKUP(TAB_T_DOCE_MAEST[[#This Row],[MAESTRIA]],MAESTRIA[NOMBRE_MAESTRIA],MAESTRIA[ID_MAESTRIA],"Seleccione Maestria")</f>
        <v>Seleccione Maestria</v>
      </c>
    </row>
    <row r="365" spans="1:6">
      <c r="A365" t="s">
        <v>440</v>
      </c>
      <c r="C365" t="str">
        <f>_xlfn.XLOOKUP(TAB_T_DOCE_MAEST[[#This Row],[NOMBRE_DOCENTE]],MDOCENTES[DATOS_DOCENTE],MDOCENTES[ID_DOCENTE],"Seleccione Docente")</f>
        <v>Seleccione Docente</v>
      </c>
      <c r="E365" t="str">
        <f>IF(COUNTIFS(C:C,C365,D:D,D365)&gt;1,"Docente ya registrado","")</f>
        <v/>
      </c>
      <c r="F365" t="str">
        <f>_xlfn.XLOOKUP(TAB_T_DOCE_MAEST[[#This Row],[MAESTRIA]],MAESTRIA[NOMBRE_MAESTRIA],MAESTRIA[ID_MAESTRIA],"Seleccione Maestria")</f>
        <v>Seleccione Maestria</v>
      </c>
    </row>
    <row r="366" spans="1:6">
      <c r="A366" t="s">
        <v>441</v>
      </c>
      <c r="C366" t="str">
        <f>_xlfn.XLOOKUP(TAB_T_DOCE_MAEST[[#This Row],[NOMBRE_DOCENTE]],MDOCENTES[DATOS_DOCENTE],MDOCENTES[ID_DOCENTE],"Seleccione Docente")</f>
        <v>Seleccione Docente</v>
      </c>
      <c r="E366" t="str">
        <f>IF(COUNTIFS(C:C,C366,D:D,D366)&gt;1,"Docente ya registrado","")</f>
        <v/>
      </c>
      <c r="F366" t="str">
        <f>_xlfn.XLOOKUP(TAB_T_DOCE_MAEST[[#This Row],[MAESTRIA]],MAESTRIA[NOMBRE_MAESTRIA],MAESTRIA[ID_MAESTRIA],"Seleccione Maestria")</f>
        <v>Seleccione Maestria</v>
      </c>
    </row>
    <row r="367" spans="1:6">
      <c r="A367" t="s">
        <v>442</v>
      </c>
      <c r="C367" t="str">
        <f>_xlfn.XLOOKUP(TAB_T_DOCE_MAEST[[#This Row],[NOMBRE_DOCENTE]],MDOCENTES[DATOS_DOCENTE],MDOCENTES[ID_DOCENTE],"Seleccione Docente")</f>
        <v>Seleccione Docente</v>
      </c>
      <c r="E367" t="str">
        <f>IF(COUNTIFS(C:C,C367,D:D,D367)&gt;1,"Docente ya registrado","")</f>
        <v/>
      </c>
      <c r="F367" t="str">
        <f>_xlfn.XLOOKUP(TAB_T_DOCE_MAEST[[#This Row],[MAESTRIA]],MAESTRIA[NOMBRE_MAESTRIA],MAESTRIA[ID_MAESTRIA],"Seleccione Maestria")</f>
        <v>Seleccione Maestria</v>
      </c>
    </row>
    <row r="368" spans="1:6">
      <c r="A368" t="s">
        <v>443</v>
      </c>
      <c r="C368" t="str">
        <f>_xlfn.XLOOKUP(TAB_T_DOCE_MAEST[[#This Row],[NOMBRE_DOCENTE]],MDOCENTES[DATOS_DOCENTE],MDOCENTES[ID_DOCENTE],"Seleccione Docente")</f>
        <v>Seleccione Docente</v>
      </c>
      <c r="E368" t="str">
        <f>IF(COUNTIFS(C:C,C368,D:D,D368)&gt;1,"Docente ya registrado","")</f>
        <v/>
      </c>
      <c r="F368" t="str">
        <f>_xlfn.XLOOKUP(TAB_T_DOCE_MAEST[[#This Row],[MAESTRIA]],MAESTRIA[NOMBRE_MAESTRIA],MAESTRIA[ID_MAESTRIA],"Seleccione Maestria")</f>
        <v>Seleccione Maestria</v>
      </c>
    </row>
    <row r="369" spans="1:6">
      <c r="A369" t="s">
        <v>444</v>
      </c>
      <c r="C369" t="str">
        <f>_xlfn.XLOOKUP(TAB_T_DOCE_MAEST[[#This Row],[NOMBRE_DOCENTE]],MDOCENTES[DATOS_DOCENTE],MDOCENTES[ID_DOCENTE],"Seleccione Docente")</f>
        <v>Seleccione Docente</v>
      </c>
      <c r="E369" t="str">
        <f>IF(COUNTIFS(C:C,C369,D:D,D369)&gt;1,"Docente ya registrado","")</f>
        <v/>
      </c>
      <c r="F369" t="str">
        <f>_xlfn.XLOOKUP(TAB_T_DOCE_MAEST[[#This Row],[MAESTRIA]],MAESTRIA[NOMBRE_MAESTRIA],MAESTRIA[ID_MAESTRIA],"Seleccione Maestria")</f>
        <v>Seleccione Maestria</v>
      </c>
    </row>
    <row r="370" spans="1:6">
      <c r="A370" t="s">
        <v>445</v>
      </c>
      <c r="C370" t="str">
        <f>_xlfn.XLOOKUP(TAB_T_DOCE_MAEST[[#This Row],[NOMBRE_DOCENTE]],MDOCENTES[DATOS_DOCENTE],MDOCENTES[ID_DOCENTE],"Seleccione Docente")</f>
        <v>Seleccione Docente</v>
      </c>
      <c r="E370" t="str">
        <f>IF(COUNTIFS(C:C,C370,D:D,D370)&gt;1,"Docente ya registrado","")</f>
        <v/>
      </c>
      <c r="F370" t="str">
        <f>_xlfn.XLOOKUP(TAB_T_DOCE_MAEST[[#This Row],[MAESTRIA]],MAESTRIA[NOMBRE_MAESTRIA],MAESTRIA[ID_MAESTRIA],"Seleccione Maestria")</f>
        <v>Seleccione Maestria</v>
      </c>
    </row>
    <row r="371" spans="1:6">
      <c r="A371" t="s">
        <v>446</v>
      </c>
      <c r="C371" t="str">
        <f>_xlfn.XLOOKUP(TAB_T_DOCE_MAEST[[#This Row],[NOMBRE_DOCENTE]],MDOCENTES[DATOS_DOCENTE],MDOCENTES[ID_DOCENTE],"Seleccione Docente")</f>
        <v>Seleccione Docente</v>
      </c>
      <c r="E371" t="str">
        <f>IF(COUNTIFS(C:C,C371,D:D,D371)&gt;1,"Docente ya registrado","")</f>
        <v/>
      </c>
      <c r="F371" t="str">
        <f>_xlfn.XLOOKUP(TAB_T_DOCE_MAEST[[#This Row],[MAESTRIA]],MAESTRIA[NOMBRE_MAESTRIA],MAESTRIA[ID_MAESTRIA],"Seleccione Maestria")</f>
        <v>Seleccione Maestria</v>
      </c>
    </row>
    <row r="372" spans="1:6">
      <c r="A372" t="s">
        <v>447</v>
      </c>
      <c r="C372" t="str">
        <f>_xlfn.XLOOKUP(TAB_T_DOCE_MAEST[[#This Row],[NOMBRE_DOCENTE]],MDOCENTES[DATOS_DOCENTE],MDOCENTES[ID_DOCENTE],"Seleccione Docente")</f>
        <v>Seleccione Docente</v>
      </c>
      <c r="E372" t="str">
        <f>IF(COUNTIFS(C:C,C372,D:D,D372)&gt;1,"Docente ya registrado","")</f>
        <v/>
      </c>
      <c r="F372" t="str">
        <f>_xlfn.XLOOKUP(TAB_T_DOCE_MAEST[[#This Row],[MAESTRIA]],MAESTRIA[NOMBRE_MAESTRIA],MAESTRIA[ID_MAESTRIA],"Seleccione Maestria")</f>
        <v>Seleccione Maestria</v>
      </c>
    </row>
    <row r="373" spans="1:6">
      <c r="A373" t="s">
        <v>448</v>
      </c>
      <c r="C373" t="str">
        <f>_xlfn.XLOOKUP(TAB_T_DOCE_MAEST[[#This Row],[NOMBRE_DOCENTE]],MDOCENTES[DATOS_DOCENTE],MDOCENTES[ID_DOCENTE],"Seleccione Docente")</f>
        <v>Seleccione Docente</v>
      </c>
      <c r="E373" t="str">
        <f>IF(COUNTIFS(C:C,C373,D:D,D373)&gt;1,"Docente ya registrado","")</f>
        <v/>
      </c>
      <c r="F373" t="str">
        <f>_xlfn.XLOOKUP(TAB_T_DOCE_MAEST[[#This Row],[MAESTRIA]],MAESTRIA[NOMBRE_MAESTRIA],MAESTRIA[ID_MAESTRIA],"Seleccione Maestria")</f>
        <v>Seleccione Maestria</v>
      </c>
    </row>
    <row r="374" spans="1:6">
      <c r="A374" t="s">
        <v>449</v>
      </c>
      <c r="C374" t="str">
        <f>_xlfn.XLOOKUP(TAB_T_DOCE_MAEST[[#This Row],[NOMBRE_DOCENTE]],MDOCENTES[DATOS_DOCENTE],MDOCENTES[ID_DOCENTE],"Seleccione Docente")</f>
        <v>Seleccione Docente</v>
      </c>
      <c r="E374" t="str">
        <f>IF(COUNTIFS(C:C,C374,D:D,D374)&gt;1,"Docente ya registrado","")</f>
        <v/>
      </c>
      <c r="F374" t="str">
        <f>_xlfn.XLOOKUP(TAB_T_DOCE_MAEST[[#This Row],[MAESTRIA]],MAESTRIA[NOMBRE_MAESTRIA],MAESTRIA[ID_MAESTRIA],"Seleccione Maestria")</f>
        <v>Seleccione Maestria</v>
      </c>
    </row>
    <row r="375" spans="1:6">
      <c r="A375" t="s">
        <v>450</v>
      </c>
      <c r="C375" t="str">
        <f>_xlfn.XLOOKUP(TAB_T_DOCE_MAEST[[#This Row],[NOMBRE_DOCENTE]],MDOCENTES[DATOS_DOCENTE],MDOCENTES[ID_DOCENTE],"Seleccione Docente")</f>
        <v>Seleccione Docente</v>
      </c>
      <c r="E375" t="str">
        <f>IF(COUNTIFS(C:C,C375,D:D,D375)&gt;1,"Docente ya registrado","")</f>
        <v/>
      </c>
      <c r="F375" t="str">
        <f>_xlfn.XLOOKUP(TAB_T_DOCE_MAEST[[#This Row],[MAESTRIA]],MAESTRIA[NOMBRE_MAESTRIA],MAESTRIA[ID_MAESTRIA],"Seleccione Maestria")</f>
        <v>Seleccione Maestria</v>
      </c>
    </row>
    <row r="376" spans="1:6">
      <c r="A376" t="s">
        <v>451</v>
      </c>
      <c r="C376" t="str">
        <f>_xlfn.XLOOKUP(TAB_T_DOCE_MAEST[[#This Row],[NOMBRE_DOCENTE]],MDOCENTES[DATOS_DOCENTE],MDOCENTES[ID_DOCENTE],"Seleccione Docente")</f>
        <v>Seleccione Docente</v>
      </c>
      <c r="E376" t="str">
        <f>IF(COUNTIFS(C:C,C376,D:D,D376)&gt;1,"Docente ya registrado","")</f>
        <v/>
      </c>
      <c r="F376" t="str">
        <f>_xlfn.XLOOKUP(TAB_T_DOCE_MAEST[[#This Row],[MAESTRIA]],MAESTRIA[NOMBRE_MAESTRIA],MAESTRIA[ID_MAESTRIA],"Seleccione Maestria")</f>
        <v>Seleccione Maestria</v>
      </c>
    </row>
    <row r="377" spans="1:6">
      <c r="A377" t="s">
        <v>452</v>
      </c>
      <c r="C377" t="str">
        <f>_xlfn.XLOOKUP(TAB_T_DOCE_MAEST[[#This Row],[NOMBRE_DOCENTE]],MDOCENTES[DATOS_DOCENTE],MDOCENTES[ID_DOCENTE],"Seleccione Docente")</f>
        <v>Seleccione Docente</v>
      </c>
      <c r="E377" t="str">
        <f>IF(COUNTIFS(C:C,C377,D:D,D377)&gt;1,"Docente ya registrado","")</f>
        <v/>
      </c>
      <c r="F377" t="str">
        <f>_xlfn.XLOOKUP(TAB_T_DOCE_MAEST[[#This Row],[MAESTRIA]],MAESTRIA[NOMBRE_MAESTRIA],MAESTRIA[ID_MAESTRIA],"Seleccione Maestria")</f>
        <v>Seleccione Maestria</v>
      </c>
    </row>
    <row r="378" spans="1:6">
      <c r="A378" t="s">
        <v>453</v>
      </c>
      <c r="C378" t="str">
        <f>_xlfn.XLOOKUP(TAB_T_DOCE_MAEST[[#This Row],[NOMBRE_DOCENTE]],MDOCENTES[DATOS_DOCENTE],MDOCENTES[ID_DOCENTE],"Seleccione Docente")</f>
        <v>Seleccione Docente</v>
      </c>
      <c r="E378" t="str">
        <f>IF(COUNTIFS(C:C,C378,D:D,D378)&gt;1,"Docente ya registrado","")</f>
        <v/>
      </c>
      <c r="F378" t="str">
        <f>_xlfn.XLOOKUP(TAB_T_DOCE_MAEST[[#This Row],[MAESTRIA]],MAESTRIA[NOMBRE_MAESTRIA],MAESTRIA[ID_MAESTRIA],"Seleccione Maestria")</f>
        <v>Seleccione Maestria</v>
      </c>
    </row>
    <row r="379" spans="1:6">
      <c r="A379" t="s">
        <v>454</v>
      </c>
      <c r="C379" t="str">
        <f>_xlfn.XLOOKUP(TAB_T_DOCE_MAEST[[#This Row],[NOMBRE_DOCENTE]],MDOCENTES[DATOS_DOCENTE],MDOCENTES[ID_DOCENTE],"Seleccione Docente")</f>
        <v>Seleccione Docente</v>
      </c>
      <c r="E379" t="str">
        <f>IF(COUNTIFS(C:C,C379,D:D,D379)&gt;1,"Docente ya registrado","")</f>
        <v/>
      </c>
      <c r="F379" t="str">
        <f>_xlfn.XLOOKUP(TAB_T_DOCE_MAEST[[#This Row],[MAESTRIA]],MAESTRIA[NOMBRE_MAESTRIA],MAESTRIA[ID_MAESTRIA],"Seleccione Maestria")</f>
        <v>Seleccione Maestria</v>
      </c>
    </row>
    <row r="380" spans="1:6">
      <c r="A380" t="s">
        <v>455</v>
      </c>
      <c r="C380" t="str">
        <f>_xlfn.XLOOKUP(TAB_T_DOCE_MAEST[[#This Row],[NOMBRE_DOCENTE]],MDOCENTES[DATOS_DOCENTE],MDOCENTES[ID_DOCENTE],"Seleccione Docente")</f>
        <v>Seleccione Docente</v>
      </c>
      <c r="E380" t="str">
        <f>IF(COUNTIFS(C:C,C380,D:D,D380)&gt;1,"Docente ya registrado","")</f>
        <v/>
      </c>
      <c r="F380" t="str">
        <f>_xlfn.XLOOKUP(TAB_T_DOCE_MAEST[[#This Row],[MAESTRIA]],MAESTRIA[NOMBRE_MAESTRIA],MAESTRIA[ID_MAESTRIA],"Seleccione Maestria")</f>
        <v>Seleccione Maestria</v>
      </c>
    </row>
    <row r="381" spans="1:6">
      <c r="A381" t="s">
        <v>456</v>
      </c>
      <c r="C381" t="str">
        <f>_xlfn.XLOOKUP(TAB_T_DOCE_MAEST[[#This Row],[NOMBRE_DOCENTE]],MDOCENTES[DATOS_DOCENTE],MDOCENTES[ID_DOCENTE],"Seleccione Docente")</f>
        <v>Seleccione Docente</v>
      </c>
      <c r="E381" t="str">
        <f>IF(COUNTIFS(C:C,C381,D:D,D381)&gt;1,"Docente ya registrado","")</f>
        <v/>
      </c>
      <c r="F381" t="str">
        <f>_xlfn.XLOOKUP(TAB_T_DOCE_MAEST[[#This Row],[MAESTRIA]],MAESTRIA[NOMBRE_MAESTRIA],MAESTRIA[ID_MAESTRIA],"Seleccione Maestria")</f>
        <v>Seleccione Maestria</v>
      </c>
    </row>
    <row r="382" spans="1:6">
      <c r="A382" t="s">
        <v>457</v>
      </c>
      <c r="C382" t="str">
        <f>_xlfn.XLOOKUP(TAB_T_DOCE_MAEST[[#This Row],[NOMBRE_DOCENTE]],MDOCENTES[DATOS_DOCENTE],MDOCENTES[ID_DOCENTE],"Seleccione Docente")</f>
        <v>Seleccione Docente</v>
      </c>
      <c r="E382" t="str">
        <f>IF(COUNTIFS(C:C,C382,D:D,D382)&gt;1,"Docente ya registrado","")</f>
        <v/>
      </c>
      <c r="F382" t="str">
        <f>_xlfn.XLOOKUP(TAB_T_DOCE_MAEST[[#This Row],[MAESTRIA]],MAESTRIA[NOMBRE_MAESTRIA],MAESTRIA[ID_MAESTRIA],"Seleccione Maestria")</f>
        <v>Seleccione Maestria</v>
      </c>
    </row>
    <row r="383" spans="1:6">
      <c r="A383" t="s">
        <v>458</v>
      </c>
      <c r="C383" t="str">
        <f>_xlfn.XLOOKUP(TAB_T_DOCE_MAEST[[#This Row],[NOMBRE_DOCENTE]],MDOCENTES[DATOS_DOCENTE],MDOCENTES[ID_DOCENTE],"Seleccione Docente")</f>
        <v>Seleccione Docente</v>
      </c>
      <c r="E383" t="str">
        <f>IF(COUNTIFS(C:C,C383,D:D,D383)&gt;1,"Docente ya registrado","")</f>
        <v/>
      </c>
      <c r="F383" t="str">
        <f>_xlfn.XLOOKUP(TAB_T_DOCE_MAEST[[#This Row],[MAESTRIA]],MAESTRIA[NOMBRE_MAESTRIA],MAESTRIA[ID_MAESTRIA],"Seleccione Maestria")</f>
        <v>Seleccione Maestria</v>
      </c>
    </row>
    <row r="384" spans="1:6">
      <c r="A384" t="s">
        <v>459</v>
      </c>
      <c r="C384" t="str">
        <f>_xlfn.XLOOKUP(TAB_T_DOCE_MAEST[[#This Row],[NOMBRE_DOCENTE]],MDOCENTES[DATOS_DOCENTE],MDOCENTES[ID_DOCENTE],"Seleccione Docente")</f>
        <v>Seleccione Docente</v>
      </c>
      <c r="E384" t="str">
        <f>IF(COUNTIFS(C:C,C384,D:D,D384)&gt;1,"Docente ya registrado","")</f>
        <v/>
      </c>
      <c r="F384" t="str">
        <f>_xlfn.XLOOKUP(TAB_T_DOCE_MAEST[[#This Row],[MAESTRIA]],MAESTRIA[NOMBRE_MAESTRIA],MAESTRIA[ID_MAESTRIA],"Seleccione Maestria")</f>
        <v>Seleccione Maestria</v>
      </c>
    </row>
    <row r="385" spans="1:6">
      <c r="A385" t="s">
        <v>460</v>
      </c>
      <c r="C385" t="str">
        <f>_xlfn.XLOOKUP(TAB_T_DOCE_MAEST[[#This Row],[NOMBRE_DOCENTE]],MDOCENTES[DATOS_DOCENTE],MDOCENTES[ID_DOCENTE],"Seleccione Docente")</f>
        <v>Seleccione Docente</v>
      </c>
      <c r="E385" t="str">
        <f>IF(COUNTIFS(C:C,C385,D:D,D385)&gt;1,"Docente ya registrado","")</f>
        <v/>
      </c>
      <c r="F385" t="str">
        <f>_xlfn.XLOOKUP(TAB_T_DOCE_MAEST[[#This Row],[MAESTRIA]],MAESTRIA[NOMBRE_MAESTRIA],MAESTRIA[ID_MAESTRIA],"Seleccione Maestria")</f>
        <v>Seleccione Maestria</v>
      </c>
    </row>
    <row r="386" spans="1:6">
      <c r="A386" t="s">
        <v>461</v>
      </c>
      <c r="C386" t="str">
        <f>_xlfn.XLOOKUP(TAB_T_DOCE_MAEST[[#This Row],[NOMBRE_DOCENTE]],MDOCENTES[DATOS_DOCENTE],MDOCENTES[ID_DOCENTE],"Seleccione Docente")</f>
        <v>Seleccione Docente</v>
      </c>
      <c r="E386" t="str">
        <f>IF(COUNTIFS(C:C,C386,D:D,D386)&gt;1,"Docente ya registrado","")</f>
        <v/>
      </c>
      <c r="F386" t="str">
        <f>_xlfn.XLOOKUP(TAB_T_DOCE_MAEST[[#This Row],[MAESTRIA]],MAESTRIA[NOMBRE_MAESTRIA],MAESTRIA[ID_MAESTRIA],"Seleccione Maestria")</f>
        <v>Seleccione Maestria</v>
      </c>
    </row>
    <row r="387" spans="1:6">
      <c r="A387" t="s">
        <v>462</v>
      </c>
      <c r="C387" t="str">
        <f>_xlfn.XLOOKUP(TAB_T_DOCE_MAEST[[#This Row],[NOMBRE_DOCENTE]],MDOCENTES[DATOS_DOCENTE],MDOCENTES[ID_DOCENTE],"Seleccione Docente")</f>
        <v>Seleccione Docente</v>
      </c>
      <c r="E387" t="str">
        <f>IF(COUNTIFS(C:C,C387,D:D,D387)&gt;1,"Docente ya registrado","")</f>
        <v/>
      </c>
      <c r="F387" t="str">
        <f>_xlfn.XLOOKUP(TAB_T_DOCE_MAEST[[#This Row],[MAESTRIA]],MAESTRIA[NOMBRE_MAESTRIA],MAESTRIA[ID_MAESTRIA],"Seleccione Maestria")</f>
        <v>Seleccione Maestria</v>
      </c>
    </row>
    <row r="388" spans="1:6">
      <c r="A388" t="s">
        <v>463</v>
      </c>
      <c r="C388" t="str">
        <f>_xlfn.XLOOKUP(TAB_T_DOCE_MAEST[[#This Row],[NOMBRE_DOCENTE]],MDOCENTES[DATOS_DOCENTE],MDOCENTES[ID_DOCENTE],"Seleccione Docente")</f>
        <v>Seleccione Docente</v>
      </c>
      <c r="E388" t="str">
        <f>IF(COUNTIFS(C:C,C388,D:D,D388)&gt;1,"Docente ya registrado","")</f>
        <v/>
      </c>
      <c r="F388" t="str">
        <f>_xlfn.XLOOKUP(TAB_T_DOCE_MAEST[[#This Row],[MAESTRIA]],MAESTRIA[NOMBRE_MAESTRIA],MAESTRIA[ID_MAESTRIA],"Seleccione Maestria")</f>
        <v>Seleccione Maestria</v>
      </c>
    </row>
    <row r="389" spans="1:6">
      <c r="A389" t="s">
        <v>464</v>
      </c>
      <c r="C389" t="str">
        <f>_xlfn.XLOOKUP(TAB_T_DOCE_MAEST[[#This Row],[NOMBRE_DOCENTE]],MDOCENTES[DATOS_DOCENTE],MDOCENTES[ID_DOCENTE],"Seleccione Docente")</f>
        <v>Seleccione Docente</v>
      </c>
      <c r="E389" t="str">
        <f>IF(COUNTIFS(C:C,C389,D:D,D389)&gt;1,"Docente ya registrado","")</f>
        <v/>
      </c>
      <c r="F389" t="str">
        <f>_xlfn.XLOOKUP(TAB_T_DOCE_MAEST[[#This Row],[MAESTRIA]],MAESTRIA[NOMBRE_MAESTRIA],MAESTRIA[ID_MAESTRIA],"Seleccione Maestria")</f>
        <v>Seleccione Maestria</v>
      </c>
    </row>
    <row r="390" spans="1:6">
      <c r="A390" t="s">
        <v>465</v>
      </c>
      <c r="C390" t="str">
        <f>_xlfn.XLOOKUP(TAB_T_DOCE_MAEST[[#This Row],[NOMBRE_DOCENTE]],MDOCENTES[DATOS_DOCENTE],MDOCENTES[ID_DOCENTE],"Seleccione Docente")</f>
        <v>Seleccione Docente</v>
      </c>
      <c r="E390" t="str">
        <f>IF(COUNTIFS(C:C,C390,D:D,D390)&gt;1,"Docente ya registrado","")</f>
        <v/>
      </c>
      <c r="F390" t="str">
        <f>_xlfn.XLOOKUP(TAB_T_DOCE_MAEST[[#This Row],[MAESTRIA]],MAESTRIA[NOMBRE_MAESTRIA],MAESTRIA[ID_MAESTRIA],"Seleccione Maestria")</f>
        <v>Seleccione Maestria</v>
      </c>
    </row>
    <row r="391" spans="1:6">
      <c r="A391" t="s">
        <v>466</v>
      </c>
      <c r="C391" t="str">
        <f>_xlfn.XLOOKUP(TAB_T_DOCE_MAEST[[#This Row],[NOMBRE_DOCENTE]],MDOCENTES[DATOS_DOCENTE],MDOCENTES[ID_DOCENTE],"Seleccione Docente")</f>
        <v>Seleccione Docente</v>
      </c>
      <c r="E391" t="str">
        <f>IF(COUNTIFS(C:C,C391,D:D,D391)&gt;1,"Docente ya registrado","")</f>
        <v/>
      </c>
      <c r="F391" t="str">
        <f>_xlfn.XLOOKUP(TAB_T_DOCE_MAEST[[#This Row],[MAESTRIA]],MAESTRIA[NOMBRE_MAESTRIA],MAESTRIA[ID_MAESTRIA],"Seleccione Maestria")</f>
        <v>Seleccione Maestria</v>
      </c>
    </row>
    <row r="392" spans="1:6">
      <c r="A392" t="s">
        <v>467</v>
      </c>
      <c r="C392" t="str">
        <f>_xlfn.XLOOKUP(TAB_T_DOCE_MAEST[[#This Row],[NOMBRE_DOCENTE]],MDOCENTES[DATOS_DOCENTE],MDOCENTES[ID_DOCENTE],"Seleccione Docente")</f>
        <v>Seleccione Docente</v>
      </c>
      <c r="E392" t="str">
        <f>IF(COUNTIFS(C:C,C392,D:D,D392)&gt;1,"Docente ya registrado","")</f>
        <v/>
      </c>
      <c r="F392" t="str">
        <f>_xlfn.XLOOKUP(TAB_T_DOCE_MAEST[[#This Row],[MAESTRIA]],MAESTRIA[NOMBRE_MAESTRIA],MAESTRIA[ID_MAESTRIA],"Seleccione Maestria")</f>
        <v>Seleccione Maestria</v>
      </c>
    </row>
    <row r="393" spans="1:6">
      <c r="A393" t="s">
        <v>468</v>
      </c>
      <c r="C393" t="str">
        <f>_xlfn.XLOOKUP(TAB_T_DOCE_MAEST[[#This Row],[NOMBRE_DOCENTE]],MDOCENTES[DATOS_DOCENTE],MDOCENTES[ID_DOCENTE],"Seleccione Docente")</f>
        <v>Seleccione Docente</v>
      </c>
      <c r="E393" t="str">
        <f>IF(COUNTIFS(C:C,C393,D:D,D393)&gt;1,"Docente ya registrado","")</f>
        <v/>
      </c>
      <c r="F393" t="str">
        <f>_xlfn.XLOOKUP(TAB_T_DOCE_MAEST[[#This Row],[MAESTRIA]],MAESTRIA[NOMBRE_MAESTRIA],MAESTRIA[ID_MAESTRIA],"Seleccione Maestria")</f>
        <v>Seleccione Maestria</v>
      </c>
    </row>
    <row r="394" spans="1:6">
      <c r="A394" t="s">
        <v>469</v>
      </c>
      <c r="C394" t="str">
        <f>_xlfn.XLOOKUP(TAB_T_DOCE_MAEST[[#This Row],[NOMBRE_DOCENTE]],MDOCENTES[DATOS_DOCENTE],MDOCENTES[ID_DOCENTE],"Seleccione Docente")</f>
        <v>Seleccione Docente</v>
      </c>
      <c r="E394" t="str">
        <f>IF(COUNTIFS(C:C,C394,D:D,D394)&gt;1,"Docente ya registrado","")</f>
        <v/>
      </c>
      <c r="F394" t="str">
        <f>_xlfn.XLOOKUP(TAB_T_DOCE_MAEST[[#This Row],[MAESTRIA]],MAESTRIA[NOMBRE_MAESTRIA],MAESTRIA[ID_MAESTRIA],"Seleccione Maestria")</f>
        <v>Seleccione Maestria</v>
      </c>
    </row>
    <row r="395" spans="1:6">
      <c r="A395" t="s">
        <v>470</v>
      </c>
      <c r="C395" t="str">
        <f>_xlfn.XLOOKUP(TAB_T_DOCE_MAEST[[#This Row],[NOMBRE_DOCENTE]],MDOCENTES[DATOS_DOCENTE],MDOCENTES[ID_DOCENTE],"Seleccione Docente")</f>
        <v>Seleccione Docente</v>
      </c>
      <c r="E395" t="str">
        <f>IF(COUNTIFS(C:C,C395,D:D,D395)&gt;1,"Docente ya registrado","")</f>
        <v/>
      </c>
      <c r="F395" t="str">
        <f>_xlfn.XLOOKUP(TAB_T_DOCE_MAEST[[#This Row],[MAESTRIA]],MAESTRIA[NOMBRE_MAESTRIA],MAESTRIA[ID_MAESTRIA],"Seleccione Maestria")</f>
        <v>Seleccione Maestria</v>
      </c>
    </row>
    <row r="396" spans="1:6">
      <c r="A396" t="s">
        <v>471</v>
      </c>
      <c r="C396" t="str">
        <f>_xlfn.XLOOKUP(TAB_T_DOCE_MAEST[[#This Row],[NOMBRE_DOCENTE]],MDOCENTES[DATOS_DOCENTE],MDOCENTES[ID_DOCENTE],"Seleccione Docente")</f>
        <v>Seleccione Docente</v>
      </c>
      <c r="E396" t="str">
        <f>IF(COUNTIFS(C:C,C396,D:D,D396)&gt;1,"Docente ya registrado","")</f>
        <v/>
      </c>
      <c r="F396" t="str">
        <f>_xlfn.XLOOKUP(TAB_T_DOCE_MAEST[[#This Row],[MAESTRIA]],MAESTRIA[NOMBRE_MAESTRIA],MAESTRIA[ID_MAESTRIA],"Seleccione Maestria")</f>
        <v>Seleccione Maestria</v>
      </c>
    </row>
    <row r="397" spans="1:6">
      <c r="A397" t="s">
        <v>472</v>
      </c>
      <c r="C397" t="str">
        <f>_xlfn.XLOOKUP(TAB_T_DOCE_MAEST[[#This Row],[NOMBRE_DOCENTE]],MDOCENTES[DATOS_DOCENTE],MDOCENTES[ID_DOCENTE],"Seleccione Docente")</f>
        <v>Seleccione Docente</v>
      </c>
      <c r="E397" t="str">
        <f>IF(COUNTIFS(C:C,C397,D:D,D397)&gt;1,"Docente ya registrado","")</f>
        <v/>
      </c>
      <c r="F397" t="str">
        <f>_xlfn.XLOOKUP(TAB_T_DOCE_MAEST[[#This Row],[MAESTRIA]],MAESTRIA[NOMBRE_MAESTRIA],MAESTRIA[ID_MAESTRIA],"Seleccione Maestria")</f>
        <v>Seleccione Maestria</v>
      </c>
    </row>
    <row r="398" spans="1:6">
      <c r="A398" t="s">
        <v>473</v>
      </c>
      <c r="C398" t="str">
        <f>_xlfn.XLOOKUP(TAB_T_DOCE_MAEST[[#This Row],[NOMBRE_DOCENTE]],MDOCENTES[DATOS_DOCENTE],MDOCENTES[ID_DOCENTE],"Seleccione Docente")</f>
        <v>Seleccione Docente</v>
      </c>
      <c r="E398" t="str">
        <f>IF(COUNTIFS(C:C,C398,D:D,D398)&gt;1,"Docente ya registrado","")</f>
        <v/>
      </c>
      <c r="F398" t="str">
        <f>_xlfn.XLOOKUP(TAB_T_DOCE_MAEST[[#This Row],[MAESTRIA]],MAESTRIA[NOMBRE_MAESTRIA],MAESTRIA[ID_MAESTRIA],"Seleccione Maestria")</f>
        <v>Seleccione Maestria</v>
      </c>
    </row>
    <row r="399" spans="1:6">
      <c r="A399" t="s">
        <v>474</v>
      </c>
      <c r="C399" t="str">
        <f>_xlfn.XLOOKUP(TAB_T_DOCE_MAEST[[#This Row],[NOMBRE_DOCENTE]],MDOCENTES[DATOS_DOCENTE],MDOCENTES[ID_DOCENTE],"Seleccione Docente")</f>
        <v>Seleccione Docente</v>
      </c>
      <c r="E399" t="str">
        <f>IF(COUNTIFS(C:C,C399,D:D,D399)&gt;1,"Docente ya registrado","")</f>
        <v/>
      </c>
      <c r="F399" t="str">
        <f>_xlfn.XLOOKUP(TAB_T_DOCE_MAEST[[#This Row],[MAESTRIA]],MAESTRIA[NOMBRE_MAESTRIA],MAESTRIA[ID_MAESTRIA],"Seleccione Maestria")</f>
        <v>Seleccione Maestria</v>
      </c>
    </row>
    <row r="400" spans="1:6">
      <c r="A400" t="s">
        <v>475</v>
      </c>
      <c r="C400" t="str">
        <f>_xlfn.XLOOKUP(TAB_T_DOCE_MAEST[[#This Row],[NOMBRE_DOCENTE]],MDOCENTES[DATOS_DOCENTE],MDOCENTES[ID_DOCENTE],"Seleccione Docente")</f>
        <v>Seleccione Docente</v>
      </c>
      <c r="E400" t="str">
        <f>IF(COUNTIFS(C:C,C400,D:D,D400)&gt;1,"Docente ya registrado","")</f>
        <v/>
      </c>
      <c r="F400" t="str">
        <f>_xlfn.XLOOKUP(TAB_T_DOCE_MAEST[[#This Row],[MAESTRIA]],MAESTRIA[NOMBRE_MAESTRIA],MAESTRIA[ID_MAESTRIA],"Seleccione Maestria")</f>
        <v>Seleccione Maestria</v>
      </c>
    </row>
    <row r="401" spans="1:6">
      <c r="A401" t="s">
        <v>476</v>
      </c>
      <c r="C401" t="str">
        <f>_xlfn.XLOOKUP(TAB_T_DOCE_MAEST[[#This Row],[NOMBRE_DOCENTE]],MDOCENTES[DATOS_DOCENTE],MDOCENTES[ID_DOCENTE],"Seleccione Docente")</f>
        <v>Seleccione Docente</v>
      </c>
      <c r="E401" t="str">
        <f>IF(COUNTIFS(C:C,C401,D:D,D401)&gt;1,"Docente ya registrado","")</f>
        <v/>
      </c>
      <c r="F401" t="str">
        <f>_xlfn.XLOOKUP(TAB_T_DOCE_MAEST[[#This Row],[MAESTRIA]],MAESTRIA[NOMBRE_MAESTRIA],MAESTRIA[ID_MAESTRIA],"Seleccione Maestria")</f>
        <v>Seleccione Maestria</v>
      </c>
    </row>
    <row r="402" spans="1:6">
      <c r="A402" t="s">
        <v>477</v>
      </c>
      <c r="C402" t="str">
        <f>_xlfn.XLOOKUP(TAB_T_DOCE_MAEST[[#This Row],[NOMBRE_DOCENTE]],MDOCENTES[DATOS_DOCENTE],MDOCENTES[ID_DOCENTE],"Seleccione Docente")</f>
        <v>Seleccione Docente</v>
      </c>
      <c r="E402" t="str">
        <f>IF(COUNTIFS(C:C,C402,D:D,D402)&gt;1,"Docente ya registrado","")</f>
        <v/>
      </c>
      <c r="F402" t="str">
        <f>_xlfn.XLOOKUP(TAB_T_DOCE_MAEST[[#This Row],[MAESTRIA]],MAESTRIA[NOMBRE_MAESTRIA],MAESTRIA[ID_MAESTRIA],"Seleccione Maestria")</f>
        <v>Seleccione Maestria</v>
      </c>
    </row>
    <row r="403" spans="1:6">
      <c r="A403" t="s">
        <v>478</v>
      </c>
      <c r="C403" t="str">
        <f>_xlfn.XLOOKUP(TAB_T_DOCE_MAEST[[#This Row],[NOMBRE_DOCENTE]],MDOCENTES[DATOS_DOCENTE],MDOCENTES[ID_DOCENTE],"Seleccione Docente")</f>
        <v>Seleccione Docente</v>
      </c>
      <c r="E403" t="str">
        <f>IF(COUNTIFS(C:C,C403,D:D,D403)&gt;1,"Docente ya registrado","")</f>
        <v/>
      </c>
      <c r="F403" t="str">
        <f>_xlfn.XLOOKUP(TAB_T_DOCE_MAEST[[#This Row],[MAESTRIA]],MAESTRIA[NOMBRE_MAESTRIA],MAESTRIA[ID_MAESTRIA],"Seleccione Maestria")</f>
        <v>Seleccione Maestria</v>
      </c>
    </row>
    <row r="404" spans="1:6">
      <c r="A404" t="s">
        <v>479</v>
      </c>
      <c r="C404" t="str">
        <f>_xlfn.XLOOKUP(TAB_T_DOCE_MAEST[[#This Row],[NOMBRE_DOCENTE]],MDOCENTES[DATOS_DOCENTE],MDOCENTES[ID_DOCENTE],"Seleccione Docente")</f>
        <v>Seleccione Docente</v>
      </c>
      <c r="E404" t="str">
        <f>IF(COUNTIFS(C:C,C404,D:D,D404)&gt;1,"Docente ya registrado","")</f>
        <v/>
      </c>
      <c r="F404" t="str">
        <f>_xlfn.XLOOKUP(TAB_T_DOCE_MAEST[[#This Row],[MAESTRIA]],MAESTRIA[NOMBRE_MAESTRIA],MAESTRIA[ID_MAESTRIA],"Seleccione Maestria")</f>
        <v>Seleccione Maestria</v>
      </c>
    </row>
    <row r="405" spans="1:6">
      <c r="A405" t="s">
        <v>480</v>
      </c>
      <c r="C405" t="str">
        <f>_xlfn.XLOOKUP(TAB_T_DOCE_MAEST[[#This Row],[NOMBRE_DOCENTE]],MDOCENTES[DATOS_DOCENTE],MDOCENTES[ID_DOCENTE],"Seleccione Docente")</f>
        <v>Seleccione Docente</v>
      </c>
      <c r="E405" t="str">
        <f>IF(COUNTIFS(C:C,C405,D:D,D405)&gt;1,"Docente ya registrado","")</f>
        <v/>
      </c>
      <c r="F405" t="str">
        <f>_xlfn.XLOOKUP(TAB_T_DOCE_MAEST[[#This Row],[MAESTRIA]],MAESTRIA[NOMBRE_MAESTRIA],MAESTRIA[ID_MAESTRIA],"Seleccione Maestria")</f>
        <v>Seleccione Maestria</v>
      </c>
    </row>
    <row r="406" spans="1:6">
      <c r="A406" t="s">
        <v>481</v>
      </c>
      <c r="C406" t="str">
        <f>_xlfn.XLOOKUP(TAB_T_DOCE_MAEST[[#This Row],[NOMBRE_DOCENTE]],MDOCENTES[DATOS_DOCENTE],MDOCENTES[ID_DOCENTE],"Seleccione Docente")</f>
        <v>Seleccione Docente</v>
      </c>
      <c r="E406" t="str">
        <f>IF(COUNTIFS(C:C,C406,D:D,D406)&gt;1,"Docente ya registrado","")</f>
        <v/>
      </c>
      <c r="F406" t="str">
        <f>_xlfn.XLOOKUP(TAB_T_DOCE_MAEST[[#This Row],[MAESTRIA]],MAESTRIA[NOMBRE_MAESTRIA],MAESTRIA[ID_MAESTRIA],"Seleccione Maestria")</f>
        <v>Seleccione Maestria</v>
      </c>
    </row>
    <row r="407" spans="1:6">
      <c r="A407" t="s">
        <v>482</v>
      </c>
      <c r="C407" t="str">
        <f>_xlfn.XLOOKUP(TAB_T_DOCE_MAEST[[#This Row],[NOMBRE_DOCENTE]],MDOCENTES[DATOS_DOCENTE],MDOCENTES[ID_DOCENTE],"Seleccione Docente")</f>
        <v>Seleccione Docente</v>
      </c>
      <c r="E407" t="str">
        <f>IF(COUNTIFS(C:C,C407,D:D,D407)&gt;1,"Docente ya registrado","")</f>
        <v/>
      </c>
      <c r="F407" t="str">
        <f>_xlfn.XLOOKUP(TAB_T_DOCE_MAEST[[#This Row],[MAESTRIA]],MAESTRIA[NOMBRE_MAESTRIA],MAESTRIA[ID_MAESTRIA],"Seleccione Maestria")</f>
        <v>Seleccione Maestria</v>
      </c>
    </row>
    <row r="408" spans="1:6">
      <c r="A408" t="s">
        <v>483</v>
      </c>
      <c r="C408" t="str">
        <f>_xlfn.XLOOKUP(TAB_T_DOCE_MAEST[[#This Row],[NOMBRE_DOCENTE]],MDOCENTES[DATOS_DOCENTE],MDOCENTES[ID_DOCENTE],"Seleccione Docente")</f>
        <v>Seleccione Docente</v>
      </c>
      <c r="E408" t="str">
        <f>IF(COUNTIFS(C:C,C408,D:D,D408)&gt;1,"Docente ya registrado","")</f>
        <v/>
      </c>
      <c r="F408" t="str">
        <f>_xlfn.XLOOKUP(TAB_T_DOCE_MAEST[[#This Row],[MAESTRIA]],MAESTRIA[NOMBRE_MAESTRIA],MAESTRIA[ID_MAESTRIA],"Seleccione Maestria")</f>
        <v>Seleccione Maestria</v>
      </c>
    </row>
    <row r="409" spans="1:6">
      <c r="A409" t="s">
        <v>484</v>
      </c>
      <c r="C409" t="str">
        <f>_xlfn.XLOOKUP(TAB_T_DOCE_MAEST[[#This Row],[NOMBRE_DOCENTE]],MDOCENTES[DATOS_DOCENTE],MDOCENTES[ID_DOCENTE],"Seleccione Docente")</f>
        <v>Seleccione Docente</v>
      </c>
      <c r="E409" t="str">
        <f>IF(COUNTIFS(C:C,C409,D:D,D409)&gt;1,"Docente ya registrado","")</f>
        <v/>
      </c>
      <c r="F409" t="str">
        <f>_xlfn.XLOOKUP(TAB_T_DOCE_MAEST[[#This Row],[MAESTRIA]],MAESTRIA[NOMBRE_MAESTRIA],MAESTRIA[ID_MAESTRIA],"Seleccione Maestria")</f>
        <v>Seleccione Maestria</v>
      </c>
    </row>
    <row r="410" spans="1:6">
      <c r="A410" t="s">
        <v>485</v>
      </c>
      <c r="C410" t="str">
        <f>_xlfn.XLOOKUP(TAB_T_DOCE_MAEST[[#This Row],[NOMBRE_DOCENTE]],MDOCENTES[DATOS_DOCENTE],MDOCENTES[ID_DOCENTE],"Seleccione Docente")</f>
        <v>Seleccione Docente</v>
      </c>
      <c r="E410" t="str">
        <f>IF(COUNTIFS(C:C,C410,D:D,D410)&gt;1,"Docente ya registrado","")</f>
        <v/>
      </c>
      <c r="F410" t="str">
        <f>_xlfn.XLOOKUP(TAB_T_DOCE_MAEST[[#This Row],[MAESTRIA]],MAESTRIA[NOMBRE_MAESTRIA],MAESTRIA[ID_MAESTRIA],"Seleccione Maestria")</f>
        <v>Seleccione Maestria</v>
      </c>
    </row>
    <row r="411" spans="1:6">
      <c r="A411" t="s">
        <v>486</v>
      </c>
      <c r="C411" t="str">
        <f>_xlfn.XLOOKUP(TAB_T_DOCE_MAEST[[#This Row],[NOMBRE_DOCENTE]],MDOCENTES[DATOS_DOCENTE],MDOCENTES[ID_DOCENTE],"Seleccione Docente")</f>
        <v>Seleccione Docente</v>
      </c>
      <c r="E411" t="str">
        <f>IF(COUNTIFS(C:C,C411,D:D,D411)&gt;1,"Docente ya registrado","")</f>
        <v/>
      </c>
      <c r="F411" t="str">
        <f>_xlfn.XLOOKUP(TAB_T_DOCE_MAEST[[#This Row],[MAESTRIA]],MAESTRIA[NOMBRE_MAESTRIA],MAESTRIA[ID_MAESTRIA],"Seleccione Maestria")</f>
        <v>Seleccione Maestria</v>
      </c>
    </row>
    <row r="412" spans="1:6">
      <c r="A412" t="s">
        <v>487</v>
      </c>
      <c r="C412" t="str">
        <f>_xlfn.XLOOKUP(TAB_T_DOCE_MAEST[[#This Row],[NOMBRE_DOCENTE]],MDOCENTES[DATOS_DOCENTE],MDOCENTES[ID_DOCENTE],"Seleccione Docente")</f>
        <v>Seleccione Docente</v>
      </c>
      <c r="E412" t="str">
        <f>IF(COUNTIFS(C:C,C412,D:D,D412)&gt;1,"Docente ya registrado","")</f>
        <v/>
      </c>
      <c r="F412" t="str">
        <f>_xlfn.XLOOKUP(TAB_T_DOCE_MAEST[[#This Row],[MAESTRIA]],MAESTRIA[NOMBRE_MAESTRIA],MAESTRIA[ID_MAESTRIA],"Seleccione Maestria")</f>
        <v>Seleccione Maestria</v>
      </c>
    </row>
    <row r="413" spans="1:6">
      <c r="A413" t="s">
        <v>488</v>
      </c>
      <c r="C413" t="str">
        <f>_xlfn.XLOOKUP(TAB_T_DOCE_MAEST[[#This Row],[NOMBRE_DOCENTE]],MDOCENTES[DATOS_DOCENTE],MDOCENTES[ID_DOCENTE],"Seleccione Docente")</f>
        <v>Seleccione Docente</v>
      </c>
      <c r="E413" t="str">
        <f>IF(COUNTIFS(C:C,C413,D:D,D413)&gt;1,"Docente ya registrado","")</f>
        <v/>
      </c>
      <c r="F413" t="str">
        <f>_xlfn.XLOOKUP(TAB_T_DOCE_MAEST[[#This Row],[MAESTRIA]],MAESTRIA[NOMBRE_MAESTRIA],MAESTRIA[ID_MAESTRIA],"Seleccione Maestria")</f>
        <v>Seleccione Maestria</v>
      </c>
    </row>
    <row r="414" spans="1:6">
      <c r="A414" t="s">
        <v>489</v>
      </c>
      <c r="C414" t="str">
        <f>_xlfn.XLOOKUP(TAB_T_DOCE_MAEST[[#This Row],[NOMBRE_DOCENTE]],MDOCENTES[DATOS_DOCENTE],MDOCENTES[ID_DOCENTE],"Seleccione Docente")</f>
        <v>Seleccione Docente</v>
      </c>
      <c r="E414" t="str">
        <f>IF(COUNTIFS(C:C,C414,D:D,D414)&gt;1,"Docente ya registrado","")</f>
        <v/>
      </c>
      <c r="F414" t="str">
        <f>_xlfn.XLOOKUP(TAB_T_DOCE_MAEST[[#This Row],[MAESTRIA]],MAESTRIA[NOMBRE_MAESTRIA],MAESTRIA[ID_MAESTRIA],"Seleccione Maestria")</f>
        <v>Seleccione Maestria</v>
      </c>
    </row>
    <row r="415" spans="1:6">
      <c r="A415" t="s">
        <v>490</v>
      </c>
      <c r="C415" t="str">
        <f>_xlfn.XLOOKUP(TAB_T_DOCE_MAEST[[#This Row],[NOMBRE_DOCENTE]],MDOCENTES[DATOS_DOCENTE],MDOCENTES[ID_DOCENTE],"Seleccione Docente")</f>
        <v>Seleccione Docente</v>
      </c>
      <c r="E415" t="str">
        <f>IF(COUNTIFS(C:C,C415,D:D,D415)&gt;1,"Docente ya registrado","")</f>
        <v/>
      </c>
      <c r="F415" t="str">
        <f>_xlfn.XLOOKUP(TAB_T_DOCE_MAEST[[#This Row],[MAESTRIA]],MAESTRIA[NOMBRE_MAESTRIA],MAESTRIA[ID_MAESTRIA],"Seleccione Maestria")</f>
        <v>Seleccione Maestria</v>
      </c>
    </row>
    <row r="416" spans="1:6">
      <c r="A416" t="s">
        <v>491</v>
      </c>
      <c r="C416" t="str">
        <f>_xlfn.XLOOKUP(TAB_T_DOCE_MAEST[[#This Row],[NOMBRE_DOCENTE]],MDOCENTES[DATOS_DOCENTE],MDOCENTES[ID_DOCENTE],"Seleccione Docente")</f>
        <v>Seleccione Docente</v>
      </c>
      <c r="E416" t="str">
        <f>IF(COUNTIFS(C:C,C416,D:D,D416)&gt;1,"Docente ya registrado","")</f>
        <v/>
      </c>
      <c r="F416" t="str">
        <f>_xlfn.XLOOKUP(TAB_T_DOCE_MAEST[[#This Row],[MAESTRIA]],MAESTRIA[NOMBRE_MAESTRIA],MAESTRIA[ID_MAESTRIA],"Seleccione Maestria")</f>
        <v>Seleccione Maestria</v>
      </c>
    </row>
    <row r="417" spans="1:6">
      <c r="A417" t="s">
        <v>492</v>
      </c>
      <c r="C417" t="str">
        <f>_xlfn.XLOOKUP(TAB_T_DOCE_MAEST[[#This Row],[NOMBRE_DOCENTE]],MDOCENTES[DATOS_DOCENTE],MDOCENTES[ID_DOCENTE],"Seleccione Docente")</f>
        <v>Seleccione Docente</v>
      </c>
      <c r="E417" t="str">
        <f>IF(COUNTIFS(C:C,C417,D:D,D417)&gt;1,"Docente ya registrado","")</f>
        <v/>
      </c>
      <c r="F417" t="str">
        <f>_xlfn.XLOOKUP(TAB_T_DOCE_MAEST[[#This Row],[MAESTRIA]],MAESTRIA[NOMBRE_MAESTRIA],MAESTRIA[ID_MAESTRIA],"Seleccione Maestria")</f>
        <v>Seleccione Maestria</v>
      </c>
    </row>
    <row r="418" spans="1:6">
      <c r="A418" t="s">
        <v>493</v>
      </c>
      <c r="C418" t="str">
        <f>_xlfn.XLOOKUP(TAB_T_DOCE_MAEST[[#This Row],[NOMBRE_DOCENTE]],MDOCENTES[DATOS_DOCENTE],MDOCENTES[ID_DOCENTE],"Seleccione Docente")</f>
        <v>Seleccione Docente</v>
      </c>
      <c r="E418" t="str">
        <f>IF(COUNTIFS(C:C,C418,D:D,D418)&gt;1,"Docente ya registrado","")</f>
        <v/>
      </c>
      <c r="F418" t="str">
        <f>_xlfn.XLOOKUP(TAB_T_DOCE_MAEST[[#This Row],[MAESTRIA]],MAESTRIA[NOMBRE_MAESTRIA],MAESTRIA[ID_MAESTRIA],"Seleccione Maestria")</f>
        <v>Seleccione Maestria</v>
      </c>
    </row>
    <row r="419" spans="1:6">
      <c r="A419" t="s">
        <v>494</v>
      </c>
      <c r="C419" t="str">
        <f>_xlfn.XLOOKUP(TAB_T_DOCE_MAEST[[#This Row],[NOMBRE_DOCENTE]],MDOCENTES[DATOS_DOCENTE],MDOCENTES[ID_DOCENTE],"Seleccione Docente")</f>
        <v>Seleccione Docente</v>
      </c>
      <c r="E419" t="str">
        <f>IF(COUNTIFS(C:C,C419,D:D,D419)&gt;1,"Docente ya registrado","")</f>
        <v/>
      </c>
      <c r="F419" t="str">
        <f>_xlfn.XLOOKUP(TAB_T_DOCE_MAEST[[#This Row],[MAESTRIA]],MAESTRIA[NOMBRE_MAESTRIA],MAESTRIA[ID_MAESTRIA],"Seleccione Maestria")</f>
        <v>Seleccione Maestria</v>
      </c>
    </row>
    <row r="420" spans="1:6">
      <c r="A420" t="s">
        <v>495</v>
      </c>
      <c r="C420" t="str">
        <f>_xlfn.XLOOKUP(TAB_T_DOCE_MAEST[[#This Row],[NOMBRE_DOCENTE]],MDOCENTES[DATOS_DOCENTE],MDOCENTES[ID_DOCENTE],"Seleccione Docente")</f>
        <v>Seleccione Docente</v>
      </c>
      <c r="E420" t="str">
        <f>IF(COUNTIFS(C:C,C420,D:D,D420)&gt;1,"Docente ya registrado","")</f>
        <v/>
      </c>
      <c r="F420" t="str">
        <f>_xlfn.XLOOKUP(TAB_T_DOCE_MAEST[[#This Row],[MAESTRIA]],MAESTRIA[NOMBRE_MAESTRIA],MAESTRIA[ID_MAESTRIA],"Seleccione Maestria")</f>
        <v>Seleccione Maestria</v>
      </c>
    </row>
    <row r="421" spans="1:6">
      <c r="A421" t="s">
        <v>496</v>
      </c>
      <c r="C421" t="str">
        <f>_xlfn.XLOOKUP(TAB_T_DOCE_MAEST[[#This Row],[NOMBRE_DOCENTE]],MDOCENTES[DATOS_DOCENTE],MDOCENTES[ID_DOCENTE],"Seleccione Docente")</f>
        <v>Seleccione Docente</v>
      </c>
      <c r="E421" t="str">
        <f>IF(COUNTIFS(C:C,C421,D:D,D421)&gt;1,"Docente ya registrado","")</f>
        <v/>
      </c>
      <c r="F421" t="str">
        <f>_xlfn.XLOOKUP(TAB_T_DOCE_MAEST[[#This Row],[MAESTRIA]],MAESTRIA[NOMBRE_MAESTRIA],MAESTRIA[ID_MAESTRIA],"Seleccione Maestria")</f>
        <v>Seleccione Maestria</v>
      </c>
    </row>
    <row r="422" spans="1:6">
      <c r="A422" t="s">
        <v>497</v>
      </c>
      <c r="C422" t="str">
        <f>_xlfn.XLOOKUP(TAB_T_DOCE_MAEST[[#This Row],[NOMBRE_DOCENTE]],MDOCENTES[DATOS_DOCENTE],MDOCENTES[ID_DOCENTE],"Seleccione Docente")</f>
        <v>Seleccione Docente</v>
      </c>
      <c r="E422" t="str">
        <f>IF(COUNTIFS(C:C,C422,D:D,D422)&gt;1,"Docente ya registrado","")</f>
        <v/>
      </c>
      <c r="F422" t="str">
        <f>_xlfn.XLOOKUP(TAB_T_DOCE_MAEST[[#This Row],[MAESTRIA]],MAESTRIA[NOMBRE_MAESTRIA],MAESTRIA[ID_MAESTRIA],"Seleccione Maestria")</f>
        <v>Seleccione Maestria</v>
      </c>
    </row>
    <row r="423" spans="1:6">
      <c r="A423" t="s">
        <v>498</v>
      </c>
      <c r="C423" t="str">
        <f>_xlfn.XLOOKUP(TAB_T_DOCE_MAEST[[#This Row],[NOMBRE_DOCENTE]],MDOCENTES[DATOS_DOCENTE],MDOCENTES[ID_DOCENTE],"Seleccione Docente")</f>
        <v>Seleccione Docente</v>
      </c>
      <c r="E423" t="str">
        <f>IF(COUNTIFS(C:C,C423,D:D,D423)&gt;1,"Docente ya registrado","")</f>
        <v/>
      </c>
      <c r="F423" t="str">
        <f>_xlfn.XLOOKUP(TAB_T_DOCE_MAEST[[#This Row],[MAESTRIA]],MAESTRIA[NOMBRE_MAESTRIA],MAESTRIA[ID_MAESTRIA],"Seleccione Maestria")</f>
        <v>Seleccione Maestria</v>
      </c>
    </row>
    <row r="424" spans="1:6">
      <c r="A424" t="s">
        <v>499</v>
      </c>
      <c r="C424" t="str">
        <f>_xlfn.XLOOKUP(TAB_T_DOCE_MAEST[[#This Row],[NOMBRE_DOCENTE]],MDOCENTES[DATOS_DOCENTE],MDOCENTES[ID_DOCENTE],"Seleccione Docente")</f>
        <v>Seleccione Docente</v>
      </c>
      <c r="E424" t="str">
        <f>IF(COUNTIFS(C:C,C424,D:D,D424)&gt;1,"Docente ya registrado","")</f>
        <v/>
      </c>
      <c r="F424" t="str">
        <f>_xlfn.XLOOKUP(TAB_T_DOCE_MAEST[[#This Row],[MAESTRIA]],MAESTRIA[NOMBRE_MAESTRIA],MAESTRIA[ID_MAESTRIA],"Seleccione Maestria")</f>
        <v>Seleccione Maestria</v>
      </c>
    </row>
    <row r="425" spans="1:6">
      <c r="A425" t="s">
        <v>500</v>
      </c>
      <c r="C425" t="str">
        <f>_xlfn.XLOOKUP(TAB_T_DOCE_MAEST[[#This Row],[NOMBRE_DOCENTE]],MDOCENTES[DATOS_DOCENTE],MDOCENTES[ID_DOCENTE],"Seleccione Docente")</f>
        <v>Seleccione Docente</v>
      </c>
      <c r="E425" t="str">
        <f>IF(COUNTIFS(C:C,C425,D:D,D425)&gt;1,"Docente ya registrado","")</f>
        <v/>
      </c>
      <c r="F425" t="str">
        <f>_xlfn.XLOOKUP(TAB_T_DOCE_MAEST[[#This Row],[MAESTRIA]],MAESTRIA[NOMBRE_MAESTRIA],MAESTRIA[ID_MAESTRIA],"Seleccione Maestria")</f>
        <v>Seleccione Maestria</v>
      </c>
    </row>
    <row r="426" spans="1:6">
      <c r="A426" t="s">
        <v>501</v>
      </c>
      <c r="C426" t="str">
        <f>_xlfn.XLOOKUP(TAB_T_DOCE_MAEST[[#This Row],[NOMBRE_DOCENTE]],MDOCENTES[DATOS_DOCENTE],MDOCENTES[ID_DOCENTE],"Seleccione Docente")</f>
        <v>Seleccione Docente</v>
      </c>
      <c r="E426" t="str">
        <f>IF(COUNTIFS(C:C,C426,D:D,D426)&gt;1,"Docente ya registrado","")</f>
        <v/>
      </c>
      <c r="F426" t="str">
        <f>_xlfn.XLOOKUP(TAB_T_DOCE_MAEST[[#This Row],[MAESTRIA]],MAESTRIA[NOMBRE_MAESTRIA],MAESTRIA[ID_MAESTRIA],"Seleccione Maestria")</f>
        <v>Seleccione Maestria</v>
      </c>
    </row>
    <row r="427" spans="1:6">
      <c r="A427" t="s">
        <v>502</v>
      </c>
      <c r="C427" t="str">
        <f>_xlfn.XLOOKUP(TAB_T_DOCE_MAEST[[#This Row],[NOMBRE_DOCENTE]],MDOCENTES[DATOS_DOCENTE],MDOCENTES[ID_DOCENTE],"Seleccione Docente")</f>
        <v>Seleccione Docente</v>
      </c>
      <c r="E427" t="str">
        <f>IF(COUNTIFS(C:C,C427,D:D,D427)&gt;1,"Docente ya registrado","")</f>
        <v/>
      </c>
      <c r="F427" t="str">
        <f>_xlfn.XLOOKUP(TAB_T_DOCE_MAEST[[#This Row],[MAESTRIA]],MAESTRIA[NOMBRE_MAESTRIA],MAESTRIA[ID_MAESTRIA],"Seleccione Maestria")</f>
        <v>Seleccione Maestria</v>
      </c>
    </row>
    <row r="428" spans="1:6">
      <c r="A428" t="s">
        <v>503</v>
      </c>
      <c r="C428" t="str">
        <f>_xlfn.XLOOKUP(TAB_T_DOCE_MAEST[[#This Row],[NOMBRE_DOCENTE]],MDOCENTES[DATOS_DOCENTE],MDOCENTES[ID_DOCENTE],"Seleccione Docente")</f>
        <v>Seleccione Docente</v>
      </c>
      <c r="E428" t="str">
        <f>IF(COUNTIFS(C:C,C428,D:D,D428)&gt;1,"Docente ya registrado","")</f>
        <v/>
      </c>
      <c r="F428" t="str">
        <f>_xlfn.XLOOKUP(TAB_T_DOCE_MAEST[[#This Row],[MAESTRIA]],MAESTRIA[NOMBRE_MAESTRIA],MAESTRIA[ID_MAESTRIA],"Seleccione Maestria")</f>
        <v>Seleccione Maestria</v>
      </c>
    </row>
    <row r="429" spans="1:6">
      <c r="A429" t="s">
        <v>504</v>
      </c>
      <c r="C429" t="str">
        <f>_xlfn.XLOOKUP(TAB_T_DOCE_MAEST[[#This Row],[NOMBRE_DOCENTE]],MDOCENTES[DATOS_DOCENTE],MDOCENTES[ID_DOCENTE],"Seleccione Docente")</f>
        <v>Seleccione Docente</v>
      </c>
      <c r="E429" t="str">
        <f>IF(COUNTIFS(C:C,C429,D:D,D429)&gt;1,"Docente ya registrado","")</f>
        <v/>
      </c>
      <c r="F429" t="str">
        <f>_xlfn.XLOOKUP(TAB_T_DOCE_MAEST[[#This Row],[MAESTRIA]],MAESTRIA[NOMBRE_MAESTRIA],MAESTRIA[ID_MAESTRIA],"Seleccione Maestria")</f>
        <v>Seleccione Maestria</v>
      </c>
    </row>
    <row r="430" spans="1:6">
      <c r="A430" t="s">
        <v>505</v>
      </c>
      <c r="C430" t="str">
        <f>_xlfn.XLOOKUP(TAB_T_DOCE_MAEST[[#This Row],[NOMBRE_DOCENTE]],MDOCENTES[DATOS_DOCENTE],MDOCENTES[ID_DOCENTE],"Seleccione Docente")</f>
        <v>Seleccione Docente</v>
      </c>
      <c r="E430" t="str">
        <f>IF(COUNTIFS(C:C,C430,D:D,D430)&gt;1,"Docente ya registrado","")</f>
        <v/>
      </c>
      <c r="F430" t="str">
        <f>_xlfn.XLOOKUP(TAB_T_DOCE_MAEST[[#This Row],[MAESTRIA]],MAESTRIA[NOMBRE_MAESTRIA],MAESTRIA[ID_MAESTRIA],"Seleccione Maestria")</f>
        <v>Seleccione Maestria</v>
      </c>
    </row>
    <row r="431" spans="1:6">
      <c r="A431" t="s">
        <v>506</v>
      </c>
      <c r="C431" t="str">
        <f>_xlfn.XLOOKUP(TAB_T_DOCE_MAEST[[#This Row],[NOMBRE_DOCENTE]],MDOCENTES[DATOS_DOCENTE],MDOCENTES[ID_DOCENTE],"Seleccione Docente")</f>
        <v>Seleccione Docente</v>
      </c>
      <c r="E431" t="str">
        <f>IF(COUNTIFS(C:C,C431,D:D,D431)&gt;1,"Docente ya registrado","")</f>
        <v/>
      </c>
      <c r="F431" t="str">
        <f>_xlfn.XLOOKUP(TAB_T_DOCE_MAEST[[#This Row],[MAESTRIA]],MAESTRIA[NOMBRE_MAESTRIA],MAESTRIA[ID_MAESTRIA],"Seleccione Maestria")</f>
        <v>Seleccione Maestria</v>
      </c>
    </row>
    <row r="432" spans="1:6">
      <c r="A432" t="s">
        <v>507</v>
      </c>
      <c r="C432" t="str">
        <f>_xlfn.XLOOKUP(TAB_T_DOCE_MAEST[[#This Row],[NOMBRE_DOCENTE]],MDOCENTES[DATOS_DOCENTE],MDOCENTES[ID_DOCENTE],"Seleccione Docente")</f>
        <v>Seleccione Docente</v>
      </c>
      <c r="E432" t="str">
        <f>IF(COUNTIFS(C:C,C432,D:D,D432)&gt;1,"Docente ya registrado","")</f>
        <v/>
      </c>
      <c r="F432" t="str">
        <f>_xlfn.XLOOKUP(TAB_T_DOCE_MAEST[[#This Row],[MAESTRIA]],MAESTRIA[NOMBRE_MAESTRIA],MAESTRIA[ID_MAESTRIA],"Seleccione Maestria")</f>
        <v>Seleccione Maestria</v>
      </c>
    </row>
    <row r="433" spans="1:6">
      <c r="A433" t="s">
        <v>508</v>
      </c>
      <c r="C433" t="str">
        <f>_xlfn.XLOOKUP(TAB_T_DOCE_MAEST[[#This Row],[NOMBRE_DOCENTE]],MDOCENTES[DATOS_DOCENTE],MDOCENTES[ID_DOCENTE],"Seleccione Docente")</f>
        <v>Seleccione Docente</v>
      </c>
      <c r="E433" t="str">
        <f>IF(COUNTIFS(C:C,C433,D:D,D433)&gt;1,"Docente ya registrado","")</f>
        <v/>
      </c>
      <c r="F433" t="str">
        <f>_xlfn.XLOOKUP(TAB_T_DOCE_MAEST[[#This Row],[MAESTRIA]],MAESTRIA[NOMBRE_MAESTRIA],MAESTRIA[ID_MAESTRIA],"Seleccione Maestria")</f>
        <v>Seleccione Maestria</v>
      </c>
    </row>
    <row r="434" spans="1:6">
      <c r="A434" t="s">
        <v>509</v>
      </c>
      <c r="C434" t="str">
        <f>_xlfn.XLOOKUP(TAB_T_DOCE_MAEST[[#This Row],[NOMBRE_DOCENTE]],MDOCENTES[DATOS_DOCENTE],MDOCENTES[ID_DOCENTE],"Seleccione Docente")</f>
        <v>Seleccione Docente</v>
      </c>
      <c r="E434" t="str">
        <f>IF(COUNTIFS(C:C,C434,D:D,D434)&gt;1,"Docente ya registrado","")</f>
        <v/>
      </c>
      <c r="F434" t="str">
        <f>_xlfn.XLOOKUP(TAB_T_DOCE_MAEST[[#This Row],[MAESTRIA]],MAESTRIA[NOMBRE_MAESTRIA],MAESTRIA[ID_MAESTRIA],"Seleccione Maestria")</f>
        <v>Seleccione Maestria</v>
      </c>
    </row>
    <row r="435" spans="1:6">
      <c r="A435" t="s">
        <v>510</v>
      </c>
      <c r="C435" t="str">
        <f>_xlfn.XLOOKUP(TAB_T_DOCE_MAEST[[#This Row],[NOMBRE_DOCENTE]],MDOCENTES[DATOS_DOCENTE],MDOCENTES[ID_DOCENTE],"Seleccione Docente")</f>
        <v>Seleccione Docente</v>
      </c>
      <c r="E435" t="str">
        <f>IF(COUNTIFS(C:C,C435,D:D,D435)&gt;1,"Docente ya registrado","")</f>
        <v/>
      </c>
      <c r="F435" t="str">
        <f>_xlfn.XLOOKUP(TAB_T_DOCE_MAEST[[#This Row],[MAESTRIA]],MAESTRIA[NOMBRE_MAESTRIA],MAESTRIA[ID_MAESTRIA],"Seleccione Maestria")</f>
        <v>Seleccione Maestria</v>
      </c>
    </row>
    <row r="436" spans="1:6">
      <c r="A436" t="s">
        <v>511</v>
      </c>
      <c r="C436" t="str">
        <f>_xlfn.XLOOKUP(TAB_T_DOCE_MAEST[[#This Row],[NOMBRE_DOCENTE]],MDOCENTES[DATOS_DOCENTE],MDOCENTES[ID_DOCENTE],"Seleccione Docente")</f>
        <v>Seleccione Docente</v>
      </c>
      <c r="E436" t="str">
        <f>IF(COUNTIFS(C:C,C436,D:D,D436)&gt;1,"Docente ya registrado","")</f>
        <v/>
      </c>
      <c r="F436" t="str">
        <f>_xlfn.XLOOKUP(TAB_T_DOCE_MAEST[[#This Row],[MAESTRIA]],MAESTRIA[NOMBRE_MAESTRIA],MAESTRIA[ID_MAESTRIA],"Seleccione Maestria")</f>
        <v>Seleccione Maestria</v>
      </c>
    </row>
    <row r="437" spans="1:6">
      <c r="A437" t="s">
        <v>512</v>
      </c>
      <c r="C437" t="str">
        <f>_xlfn.XLOOKUP(TAB_T_DOCE_MAEST[[#This Row],[NOMBRE_DOCENTE]],MDOCENTES[DATOS_DOCENTE],MDOCENTES[ID_DOCENTE],"Seleccione Docente")</f>
        <v>Seleccione Docente</v>
      </c>
      <c r="E437" t="str">
        <f>IF(COUNTIFS(C:C,C437,D:D,D437)&gt;1,"Docente ya registrado","")</f>
        <v/>
      </c>
      <c r="F437" t="str">
        <f>_xlfn.XLOOKUP(TAB_T_DOCE_MAEST[[#This Row],[MAESTRIA]],MAESTRIA[NOMBRE_MAESTRIA],MAESTRIA[ID_MAESTRIA],"Seleccione Maestria")</f>
        <v>Seleccione Maestria</v>
      </c>
    </row>
    <row r="438" spans="1:6">
      <c r="A438" t="s">
        <v>513</v>
      </c>
      <c r="C438" t="str">
        <f>_xlfn.XLOOKUP(TAB_T_DOCE_MAEST[[#This Row],[NOMBRE_DOCENTE]],MDOCENTES[DATOS_DOCENTE],MDOCENTES[ID_DOCENTE],"Seleccione Docente")</f>
        <v>Seleccione Docente</v>
      </c>
      <c r="E438" t="str">
        <f>IF(COUNTIFS(C:C,C438,D:D,D438)&gt;1,"Docente ya registrado","")</f>
        <v/>
      </c>
      <c r="F438" t="str">
        <f>_xlfn.XLOOKUP(TAB_T_DOCE_MAEST[[#This Row],[MAESTRIA]],MAESTRIA[NOMBRE_MAESTRIA],MAESTRIA[ID_MAESTRIA],"Seleccione Maestria")</f>
        <v>Seleccione Maestria</v>
      </c>
    </row>
    <row r="439" spans="1:6">
      <c r="A439" t="s">
        <v>514</v>
      </c>
      <c r="C439" t="str">
        <f>_xlfn.XLOOKUP(TAB_T_DOCE_MAEST[[#This Row],[NOMBRE_DOCENTE]],MDOCENTES[DATOS_DOCENTE],MDOCENTES[ID_DOCENTE],"Seleccione Docente")</f>
        <v>Seleccione Docente</v>
      </c>
      <c r="E439" t="str">
        <f>IF(COUNTIFS(C:C,C439,D:D,D439)&gt;1,"Docente ya registrado","")</f>
        <v/>
      </c>
      <c r="F439" t="str">
        <f>_xlfn.XLOOKUP(TAB_T_DOCE_MAEST[[#This Row],[MAESTRIA]],MAESTRIA[NOMBRE_MAESTRIA],MAESTRIA[ID_MAESTRIA],"Seleccione Maestria")</f>
        <v>Seleccione Maestria</v>
      </c>
    </row>
    <row r="440" spans="1:6">
      <c r="A440" t="s">
        <v>515</v>
      </c>
      <c r="C440" t="str">
        <f>_xlfn.XLOOKUP(TAB_T_DOCE_MAEST[[#This Row],[NOMBRE_DOCENTE]],MDOCENTES[DATOS_DOCENTE],MDOCENTES[ID_DOCENTE],"Seleccione Docente")</f>
        <v>Seleccione Docente</v>
      </c>
      <c r="E440" t="str">
        <f>IF(COUNTIFS(C:C,C440,D:D,D440)&gt;1,"Docente ya registrado","")</f>
        <v/>
      </c>
      <c r="F440" t="str">
        <f>_xlfn.XLOOKUP(TAB_T_DOCE_MAEST[[#This Row],[MAESTRIA]],MAESTRIA[NOMBRE_MAESTRIA],MAESTRIA[ID_MAESTRIA],"Seleccione Maestria")</f>
        <v>Seleccione Maestria</v>
      </c>
    </row>
    <row r="441" spans="1:6">
      <c r="A441" t="s">
        <v>516</v>
      </c>
      <c r="C441" t="str">
        <f>_xlfn.XLOOKUP(TAB_T_DOCE_MAEST[[#This Row],[NOMBRE_DOCENTE]],MDOCENTES[DATOS_DOCENTE],MDOCENTES[ID_DOCENTE],"Seleccione Docente")</f>
        <v>Seleccione Docente</v>
      </c>
      <c r="E441" t="str">
        <f>IF(COUNTIFS(C:C,C441,D:D,D441)&gt;1,"Docente ya registrado","")</f>
        <v/>
      </c>
      <c r="F441" t="str">
        <f>_xlfn.XLOOKUP(TAB_T_DOCE_MAEST[[#This Row],[MAESTRIA]],MAESTRIA[NOMBRE_MAESTRIA],MAESTRIA[ID_MAESTRIA],"Seleccione Maestria")</f>
        <v>Seleccione Maestria</v>
      </c>
    </row>
    <row r="442" spans="1:6">
      <c r="A442" t="s">
        <v>517</v>
      </c>
      <c r="C442" t="str">
        <f>_xlfn.XLOOKUP(TAB_T_DOCE_MAEST[[#This Row],[NOMBRE_DOCENTE]],MDOCENTES[DATOS_DOCENTE],MDOCENTES[ID_DOCENTE],"Seleccione Docente")</f>
        <v>Seleccione Docente</v>
      </c>
      <c r="E442" t="str">
        <f>IF(COUNTIFS(C:C,C442,D:D,D442)&gt;1,"Docente ya registrado","")</f>
        <v/>
      </c>
      <c r="F442" t="str">
        <f>_xlfn.XLOOKUP(TAB_T_DOCE_MAEST[[#This Row],[MAESTRIA]],MAESTRIA[NOMBRE_MAESTRIA],MAESTRIA[ID_MAESTRIA],"Seleccione Maestria")</f>
        <v>Seleccione Maestria</v>
      </c>
    </row>
    <row r="443" spans="1:6">
      <c r="A443" t="s">
        <v>518</v>
      </c>
      <c r="C443" t="str">
        <f>_xlfn.XLOOKUP(TAB_T_DOCE_MAEST[[#This Row],[NOMBRE_DOCENTE]],MDOCENTES[DATOS_DOCENTE],MDOCENTES[ID_DOCENTE],"Seleccione Docente")</f>
        <v>Seleccione Docente</v>
      </c>
      <c r="E443" t="str">
        <f>IF(COUNTIFS(C:C,C443,D:D,D443)&gt;1,"Docente ya registrado","")</f>
        <v/>
      </c>
      <c r="F443" t="str">
        <f>_xlfn.XLOOKUP(TAB_T_DOCE_MAEST[[#This Row],[MAESTRIA]],MAESTRIA[NOMBRE_MAESTRIA],MAESTRIA[ID_MAESTRIA],"Seleccione Maestria")</f>
        <v>Seleccione Maestria</v>
      </c>
    </row>
    <row r="444" spans="1:6">
      <c r="A444" t="s">
        <v>519</v>
      </c>
      <c r="C444" t="str">
        <f>_xlfn.XLOOKUP(TAB_T_DOCE_MAEST[[#This Row],[NOMBRE_DOCENTE]],MDOCENTES[DATOS_DOCENTE],MDOCENTES[ID_DOCENTE],"Seleccione Docente")</f>
        <v>Seleccione Docente</v>
      </c>
      <c r="E444" t="str">
        <f>IF(COUNTIFS(C:C,C444,D:D,D444)&gt;1,"Docente ya registrado","")</f>
        <v/>
      </c>
      <c r="F444" t="str">
        <f>_xlfn.XLOOKUP(TAB_T_DOCE_MAEST[[#This Row],[MAESTRIA]],MAESTRIA[NOMBRE_MAESTRIA],MAESTRIA[ID_MAESTRIA],"Seleccione Maestria")</f>
        <v>Seleccione Maestria</v>
      </c>
    </row>
    <row r="445" spans="1:6">
      <c r="A445" t="s">
        <v>520</v>
      </c>
      <c r="C445" t="str">
        <f>_xlfn.XLOOKUP(TAB_T_DOCE_MAEST[[#This Row],[NOMBRE_DOCENTE]],MDOCENTES[DATOS_DOCENTE],MDOCENTES[ID_DOCENTE],"Seleccione Docente")</f>
        <v>Seleccione Docente</v>
      </c>
      <c r="E445" t="str">
        <f>IF(COUNTIFS(C:C,C445,D:D,D445)&gt;1,"Docente ya registrado","")</f>
        <v/>
      </c>
      <c r="F445" t="str">
        <f>_xlfn.XLOOKUP(TAB_T_DOCE_MAEST[[#This Row],[MAESTRIA]],MAESTRIA[NOMBRE_MAESTRIA],MAESTRIA[ID_MAESTRIA],"Seleccione Maestria")</f>
        <v>Seleccione Maestria</v>
      </c>
    </row>
    <row r="446" spans="1:6">
      <c r="A446" t="s">
        <v>521</v>
      </c>
      <c r="C446" t="str">
        <f>_xlfn.XLOOKUP(TAB_T_DOCE_MAEST[[#This Row],[NOMBRE_DOCENTE]],MDOCENTES[DATOS_DOCENTE],MDOCENTES[ID_DOCENTE],"Seleccione Docente")</f>
        <v>Seleccione Docente</v>
      </c>
      <c r="E446" t="str">
        <f>IF(COUNTIFS(C:C,C446,D:D,D446)&gt;1,"Docente ya registrado","")</f>
        <v/>
      </c>
      <c r="F446" t="str">
        <f>_xlfn.XLOOKUP(TAB_T_DOCE_MAEST[[#This Row],[MAESTRIA]],MAESTRIA[NOMBRE_MAESTRIA],MAESTRIA[ID_MAESTRIA],"Seleccione Maestria")</f>
        <v>Seleccione Maestria</v>
      </c>
    </row>
    <row r="447" spans="1:6">
      <c r="A447" t="s">
        <v>522</v>
      </c>
      <c r="C447" t="str">
        <f>_xlfn.XLOOKUP(TAB_T_DOCE_MAEST[[#This Row],[NOMBRE_DOCENTE]],MDOCENTES[DATOS_DOCENTE],MDOCENTES[ID_DOCENTE],"Seleccione Docente")</f>
        <v>Seleccione Docente</v>
      </c>
      <c r="E447" t="str">
        <f>IF(COUNTIFS(C:C,C447,D:D,D447)&gt;1,"Docente ya registrado","")</f>
        <v/>
      </c>
      <c r="F447" t="str">
        <f>_xlfn.XLOOKUP(TAB_T_DOCE_MAEST[[#This Row],[MAESTRIA]],MAESTRIA[NOMBRE_MAESTRIA],MAESTRIA[ID_MAESTRIA],"Seleccione Maestria")</f>
        <v>Seleccione Maestria</v>
      </c>
    </row>
    <row r="448" spans="1:6">
      <c r="A448" t="s">
        <v>523</v>
      </c>
      <c r="C448" t="str">
        <f>_xlfn.XLOOKUP(TAB_T_DOCE_MAEST[[#This Row],[NOMBRE_DOCENTE]],MDOCENTES[DATOS_DOCENTE],MDOCENTES[ID_DOCENTE],"Seleccione Docente")</f>
        <v>Seleccione Docente</v>
      </c>
      <c r="E448" t="str">
        <f>IF(COUNTIFS(C:C,C448,D:D,D448)&gt;1,"Docente ya registrado","")</f>
        <v/>
      </c>
      <c r="F448" t="str">
        <f>_xlfn.XLOOKUP(TAB_T_DOCE_MAEST[[#This Row],[MAESTRIA]],MAESTRIA[NOMBRE_MAESTRIA],MAESTRIA[ID_MAESTRIA],"Seleccione Maestria")</f>
        <v>Seleccione Maestria</v>
      </c>
    </row>
    <row r="449" spans="1:6">
      <c r="A449" t="s">
        <v>524</v>
      </c>
      <c r="C449" t="str">
        <f>_xlfn.XLOOKUP(TAB_T_DOCE_MAEST[[#This Row],[NOMBRE_DOCENTE]],MDOCENTES[DATOS_DOCENTE],MDOCENTES[ID_DOCENTE],"Seleccione Docente")</f>
        <v>Seleccione Docente</v>
      </c>
      <c r="E449" t="str">
        <f>IF(COUNTIFS(C:C,C449,D:D,D449)&gt;1,"Docente ya registrado","")</f>
        <v/>
      </c>
      <c r="F449" t="str">
        <f>_xlfn.XLOOKUP(TAB_T_DOCE_MAEST[[#This Row],[MAESTRIA]],MAESTRIA[NOMBRE_MAESTRIA],MAESTRIA[ID_MAESTRIA],"Seleccione Maestria")</f>
        <v>Seleccione Maestria</v>
      </c>
    </row>
    <row r="450" spans="1:6">
      <c r="A450" t="s">
        <v>525</v>
      </c>
      <c r="C450" t="str">
        <f>_xlfn.XLOOKUP(TAB_T_DOCE_MAEST[[#This Row],[NOMBRE_DOCENTE]],MDOCENTES[DATOS_DOCENTE],MDOCENTES[ID_DOCENTE],"Seleccione Docente")</f>
        <v>Seleccione Docente</v>
      </c>
      <c r="E450" t="str">
        <f>IF(COUNTIFS(C:C,C450,D:D,D450)&gt;1,"Docente ya registrado","")</f>
        <v/>
      </c>
      <c r="F450" t="str">
        <f>_xlfn.XLOOKUP(TAB_T_DOCE_MAEST[[#This Row],[MAESTRIA]],MAESTRIA[NOMBRE_MAESTRIA],MAESTRIA[ID_MAESTRIA],"Seleccione Maestria")</f>
        <v>Seleccione Maestria</v>
      </c>
    </row>
    <row r="451" spans="1:6">
      <c r="A451" t="s">
        <v>526</v>
      </c>
      <c r="C451" t="str">
        <f>_xlfn.XLOOKUP(TAB_T_DOCE_MAEST[[#This Row],[NOMBRE_DOCENTE]],MDOCENTES[DATOS_DOCENTE],MDOCENTES[ID_DOCENTE],"Seleccione Docente")</f>
        <v>Seleccione Docente</v>
      </c>
      <c r="E451" t="str">
        <f>IF(COUNTIFS(C:C,C451,D:D,D451)&gt;1,"Docente ya registrado","")</f>
        <v/>
      </c>
      <c r="F451" t="str">
        <f>_xlfn.XLOOKUP(TAB_T_DOCE_MAEST[[#This Row],[MAESTRIA]],MAESTRIA[NOMBRE_MAESTRIA],MAESTRIA[ID_MAESTRIA],"Seleccione Maestria")</f>
        <v>Seleccione Maestria</v>
      </c>
    </row>
    <row r="452" spans="1:6">
      <c r="A452" t="s">
        <v>527</v>
      </c>
      <c r="C452" t="str">
        <f>_xlfn.XLOOKUP(TAB_T_DOCE_MAEST[[#This Row],[NOMBRE_DOCENTE]],MDOCENTES[DATOS_DOCENTE],MDOCENTES[ID_DOCENTE],"Seleccione Docente")</f>
        <v>Seleccione Docente</v>
      </c>
      <c r="E452" t="str">
        <f>IF(COUNTIFS(C:C,C452,D:D,D452)&gt;1,"Docente ya registrado","")</f>
        <v/>
      </c>
      <c r="F452" t="str">
        <f>_xlfn.XLOOKUP(TAB_T_DOCE_MAEST[[#This Row],[MAESTRIA]],MAESTRIA[NOMBRE_MAESTRIA],MAESTRIA[ID_MAESTRIA],"Seleccione Maestria")</f>
        <v>Seleccione Maestria</v>
      </c>
    </row>
    <row r="453" spans="1:6">
      <c r="A453" t="s">
        <v>528</v>
      </c>
      <c r="C453" t="str">
        <f>_xlfn.XLOOKUP(TAB_T_DOCE_MAEST[[#This Row],[NOMBRE_DOCENTE]],MDOCENTES[DATOS_DOCENTE],MDOCENTES[ID_DOCENTE],"Seleccione Docente")</f>
        <v>Seleccione Docente</v>
      </c>
      <c r="E453" t="str">
        <f>IF(COUNTIFS(C:C,C453,D:D,D453)&gt;1,"Docente ya registrado","")</f>
        <v/>
      </c>
      <c r="F453" t="str">
        <f>_xlfn.XLOOKUP(TAB_T_DOCE_MAEST[[#This Row],[MAESTRIA]],MAESTRIA[NOMBRE_MAESTRIA],MAESTRIA[ID_MAESTRIA],"Seleccione Maestria")</f>
        <v>Seleccione Maestria</v>
      </c>
    </row>
    <row r="454" spans="1:6">
      <c r="A454" t="s">
        <v>529</v>
      </c>
      <c r="C454" t="str">
        <f>_xlfn.XLOOKUP(TAB_T_DOCE_MAEST[[#This Row],[NOMBRE_DOCENTE]],MDOCENTES[DATOS_DOCENTE],MDOCENTES[ID_DOCENTE],"Seleccione Docente")</f>
        <v>Seleccione Docente</v>
      </c>
      <c r="E454" t="str">
        <f>IF(COUNTIFS(C:C,C454,D:D,D454)&gt;1,"Docente ya registrado","")</f>
        <v/>
      </c>
      <c r="F454" t="str">
        <f>_xlfn.XLOOKUP(TAB_T_DOCE_MAEST[[#This Row],[MAESTRIA]],MAESTRIA[NOMBRE_MAESTRIA],MAESTRIA[ID_MAESTRIA],"Seleccione Maestria")</f>
        <v>Seleccione Maestria</v>
      </c>
    </row>
    <row r="455" spans="1:6">
      <c r="A455" t="s">
        <v>530</v>
      </c>
      <c r="C455" t="str">
        <f>_xlfn.XLOOKUP(TAB_T_DOCE_MAEST[[#This Row],[NOMBRE_DOCENTE]],MDOCENTES[DATOS_DOCENTE],MDOCENTES[ID_DOCENTE],"Seleccione Docente")</f>
        <v>Seleccione Docente</v>
      </c>
      <c r="E455" t="str">
        <f>IF(COUNTIFS(C:C,C455,D:D,D455)&gt;1,"Docente ya registrado","")</f>
        <v/>
      </c>
      <c r="F455" t="str">
        <f>_xlfn.XLOOKUP(TAB_T_DOCE_MAEST[[#This Row],[MAESTRIA]],MAESTRIA[NOMBRE_MAESTRIA],MAESTRIA[ID_MAESTRIA],"Seleccione Maestria")</f>
        <v>Seleccione Maestria</v>
      </c>
    </row>
    <row r="456" spans="1:6">
      <c r="A456" t="s">
        <v>531</v>
      </c>
      <c r="C456" t="str">
        <f>_xlfn.XLOOKUP(TAB_T_DOCE_MAEST[[#This Row],[NOMBRE_DOCENTE]],MDOCENTES[DATOS_DOCENTE],MDOCENTES[ID_DOCENTE],"Seleccione Docente")</f>
        <v>Seleccione Docente</v>
      </c>
      <c r="E456" t="str">
        <f>IF(COUNTIFS(C:C,C456,D:D,D456)&gt;1,"Docente ya registrado","")</f>
        <v/>
      </c>
      <c r="F456" t="str">
        <f>_xlfn.XLOOKUP(TAB_T_DOCE_MAEST[[#This Row],[MAESTRIA]],MAESTRIA[NOMBRE_MAESTRIA],MAESTRIA[ID_MAESTRIA],"Seleccione Maestria")</f>
        <v>Seleccione Maestria</v>
      </c>
    </row>
    <row r="457" spans="1:6">
      <c r="A457" t="s">
        <v>532</v>
      </c>
      <c r="C457" t="str">
        <f>_xlfn.XLOOKUP(TAB_T_DOCE_MAEST[[#This Row],[NOMBRE_DOCENTE]],MDOCENTES[DATOS_DOCENTE],MDOCENTES[ID_DOCENTE],"Seleccione Docente")</f>
        <v>Seleccione Docente</v>
      </c>
      <c r="E457" t="str">
        <f>IF(COUNTIFS(C:C,C457,D:D,D457)&gt;1,"Docente ya registrado","")</f>
        <v/>
      </c>
      <c r="F457" t="str">
        <f>_xlfn.XLOOKUP(TAB_T_DOCE_MAEST[[#This Row],[MAESTRIA]],MAESTRIA[NOMBRE_MAESTRIA],MAESTRIA[ID_MAESTRIA],"Seleccione Maestria")</f>
        <v>Seleccione Maestria</v>
      </c>
    </row>
    <row r="458" spans="1:6">
      <c r="A458" t="s">
        <v>533</v>
      </c>
      <c r="C458" t="str">
        <f>_xlfn.XLOOKUP(TAB_T_DOCE_MAEST[[#This Row],[NOMBRE_DOCENTE]],MDOCENTES[DATOS_DOCENTE],MDOCENTES[ID_DOCENTE],"Seleccione Docente")</f>
        <v>Seleccione Docente</v>
      </c>
      <c r="E458" t="str">
        <f>IF(COUNTIFS(C:C,C458,D:D,D458)&gt;1,"Docente ya registrado","")</f>
        <v/>
      </c>
      <c r="F458" t="str">
        <f>_xlfn.XLOOKUP(TAB_T_DOCE_MAEST[[#This Row],[MAESTRIA]],MAESTRIA[NOMBRE_MAESTRIA],MAESTRIA[ID_MAESTRIA],"Seleccione Maestria")</f>
        <v>Seleccione Maestria</v>
      </c>
    </row>
    <row r="459" spans="1:6">
      <c r="A459" t="s">
        <v>534</v>
      </c>
      <c r="C459" t="str">
        <f>_xlfn.XLOOKUP(TAB_T_DOCE_MAEST[[#This Row],[NOMBRE_DOCENTE]],MDOCENTES[DATOS_DOCENTE],MDOCENTES[ID_DOCENTE],"Seleccione Docente")</f>
        <v>Seleccione Docente</v>
      </c>
      <c r="E459" t="str">
        <f>IF(COUNTIFS(C:C,C459,D:D,D459)&gt;1,"Docente ya registrado","")</f>
        <v/>
      </c>
      <c r="F459" t="str">
        <f>_xlfn.XLOOKUP(TAB_T_DOCE_MAEST[[#This Row],[MAESTRIA]],MAESTRIA[NOMBRE_MAESTRIA],MAESTRIA[ID_MAESTRIA],"Seleccione Maestria")</f>
        <v>Seleccione Maestria</v>
      </c>
    </row>
    <row r="460" spans="1:6">
      <c r="A460" t="s">
        <v>535</v>
      </c>
      <c r="C460" t="str">
        <f>_xlfn.XLOOKUP(TAB_T_DOCE_MAEST[[#This Row],[NOMBRE_DOCENTE]],MDOCENTES[DATOS_DOCENTE],MDOCENTES[ID_DOCENTE],"Seleccione Docente")</f>
        <v>Seleccione Docente</v>
      </c>
      <c r="E460" t="str">
        <f>IF(COUNTIFS(C:C,C460,D:D,D460)&gt;1,"Docente ya registrado","")</f>
        <v/>
      </c>
      <c r="F460" t="str">
        <f>_xlfn.XLOOKUP(TAB_T_DOCE_MAEST[[#This Row],[MAESTRIA]],MAESTRIA[NOMBRE_MAESTRIA],MAESTRIA[ID_MAESTRIA],"Seleccione Maestria")</f>
        <v>Seleccione Maestria</v>
      </c>
    </row>
    <row r="461" spans="1:6">
      <c r="A461" t="s">
        <v>536</v>
      </c>
      <c r="C461" t="str">
        <f>_xlfn.XLOOKUP(TAB_T_DOCE_MAEST[[#This Row],[NOMBRE_DOCENTE]],MDOCENTES[DATOS_DOCENTE],MDOCENTES[ID_DOCENTE],"Seleccione Docente")</f>
        <v>Seleccione Docente</v>
      </c>
      <c r="E461" t="str">
        <f>IF(COUNTIFS(C:C,C461,D:D,D461)&gt;1,"Docente ya registrado","")</f>
        <v/>
      </c>
      <c r="F461" t="str">
        <f>_xlfn.XLOOKUP(TAB_T_DOCE_MAEST[[#This Row],[MAESTRIA]],MAESTRIA[NOMBRE_MAESTRIA],MAESTRIA[ID_MAESTRIA],"Seleccione Maestria")</f>
        <v>Seleccione Maestria</v>
      </c>
    </row>
    <row r="462" spans="1:6">
      <c r="A462" t="s">
        <v>537</v>
      </c>
      <c r="C462" t="str">
        <f>_xlfn.XLOOKUP(TAB_T_DOCE_MAEST[[#This Row],[NOMBRE_DOCENTE]],MDOCENTES[DATOS_DOCENTE],MDOCENTES[ID_DOCENTE],"Seleccione Docente")</f>
        <v>Seleccione Docente</v>
      </c>
      <c r="E462" t="str">
        <f>IF(COUNTIFS(C:C,C462,D:D,D462)&gt;1,"Docente ya registrado","")</f>
        <v/>
      </c>
      <c r="F462" t="str">
        <f>_xlfn.XLOOKUP(TAB_T_DOCE_MAEST[[#This Row],[MAESTRIA]],MAESTRIA[NOMBRE_MAESTRIA],MAESTRIA[ID_MAESTRIA],"Seleccione Maestria")</f>
        <v>Seleccione Maestria</v>
      </c>
    </row>
    <row r="463" spans="1:6">
      <c r="A463" t="s">
        <v>538</v>
      </c>
      <c r="C463" t="str">
        <f>_xlfn.XLOOKUP(TAB_T_DOCE_MAEST[[#This Row],[NOMBRE_DOCENTE]],MDOCENTES[DATOS_DOCENTE],MDOCENTES[ID_DOCENTE],"Seleccione Docente")</f>
        <v>Seleccione Docente</v>
      </c>
      <c r="E463" t="str">
        <f>IF(COUNTIFS(C:C,C463,D:D,D463)&gt;1,"Docente ya registrado","")</f>
        <v/>
      </c>
      <c r="F463" t="str">
        <f>_xlfn.XLOOKUP(TAB_T_DOCE_MAEST[[#This Row],[MAESTRIA]],MAESTRIA[NOMBRE_MAESTRIA],MAESTRIA[ID_MAESTRIA],"Seleccione Maestria")</f>
        <v>Seleccione Maestria</v>
      </c>
    </row>
    <row r="464" spans="1:6">
      <c r="A464" t="s">
        <v>539</v>
      </c>
      <c r="C464" t="str">
        <f>_xlfn.XLOOKUP(TAB_T_DOCE_MAEST[[#This Row],[NOMBRE_DOCENTE]],MDOCENTES[DATOS_DOCENTE],MDOCENTES[ID_DOCENTE],"Seleccione Docente")</f>
        <v>Seleccione Docente</v>
      </c>
      <c r="E464" t="str">
        <f>IF(COUNTIFS(C:C,C464,D:D,D464)&gt;1,"Docente ya registrado","")</f>
        <v/>
      </c>
      <c r="F464" t="str">
        <f>_xlfn.XLOOKUP(TAB_T_DOCE_MAEST[[#This Row],[MAESTRIA]],MAESTRIA[NOMBRE_MAESTRIA],MAESTRIA[ID_MAESTRIA],"Seleccione Maestria")</f>
        <v>Seleccione Maestria</v>
      </c>
    </row>
    <row r="465" spans="1:6">
      <c r="A465" t="s">
        <v>540</v>
      </c>
      <c r="C465" t="str">
        <f>_xlfn.XLOOKUP(TAB_T_DOCE_MAEST[[#This Row],[NOMBRE_DOCENTE]],MDOCENTES[DATOS_DOCENTE],MDOCENTES[ID_DOCENTE],"Seleccione Docente")</f>
        <v>Seleccione Docente</v>
      </c>
      <c r="E465" t="str">
        <f>IF(COUNTIFS(C:C,C465,D:D,D465)&gt;1,"Docente ya registrado","")</f>
        <v/>
      </c>
      <c r="F465" t="str">
        <f>_xlfn.XLOOKUP(TAB_T_DOCE_MAEST[[#This Row],[MAESTRIA]],MAESTRIA[NOMBRE_MAESTRIA],MAESTRIA[ID_MAESTRIA],"Seleccione Maestria")</f>
        <v>Seleccione Maestria</v>
      </c>
    </row>
    <row r="466" spans="1:6">
      <c r="A466" t="s">
        <v>541</v>
      </c>
      <c r="C466" t="str">
        <f>_xlfn.XLOOKUP(TAB_T_DOCE_MAEST[[#This Row],[NOMBRE_DOCENTE]],MDOCENTES[DATOS_DOCENTE],MDOCENTES[ID_DOCENTE],"Seleccione Docente")</f>
        <v>Seleccione Docente</v>
      </c>
      <c r="E466" t="str">
        <f>IF(COUNTIFS(C:C,C466,D:D,D466)&gt;1,"Docente ya registrado","")</f>
        <v/>
      </c>
      <c r="F466" t="str">
        <f>_xlfn.XLOOKUP(TAB_T_DOCE_MAEST[[#This Row],[MAESTRIA]],MAESTRIA[NOMBRE_MAESTRIA],MAESTRIA[ID_MAESTRIA],"Seleccione Maestria")</f>
        <v>Seleccione Maestria</v>
      </c>
    </row>
    <row r="467" spans="1:6">
      <c r="A467" t="s">
        <v>542</v>
      </c>
      <c r="C467" t="str">
        <f>_xlfn.XLOOKUP(TAB_T_DOCE_MAEST[[#This Row],[NOMBRE_DOCENTE]],MDOCENTES[DATOS_DOCENTE],MDOCENTES[ID_DOCENTE],"Seleccione Docente")</f>
        <v>Seleccione Docente</v>
      </c>
      <c r="E467" t="str">
        <f>IF(COUNTIFS(C:C,C467,D:D,D467)&gt;1,"Docente ya registrado","")</f>
        <v/>
      </c>
      <c r="F467" t="str">
        <f>_xlfn.XLOOKUP(TAB_T_DOCE_MAEST[[#This Row],[MAESTRIA]],MAESTRIA[NOMBRE_MAESTRIA],MAESTRIA[ID_MAESTRIA],"Seleccione Maestria")</f>
        <v>Seleccione Maestria</v>
      </c>
    </row>
    <row r="468" spans="1:6">
      <c r="A468" t="s">
        <v>543</v>
      </c>
      <c r="C468" t="str">
        <f>_xlfn.XLOOKUP(TAB_T_DOCE_MAEST[[#This Row],[NOMBRE_DOCENTE]],MDOCENTES[DATOS_DOCENTE],MDOCENTES[ID_DOCENTE],"Seleccione Docente")</f>
        <v>Seleccione Docente</v>
      </c>
      <c r="E468" t="str">
        <f>IF(COUNTIFS(C:C,C468,D:D,D468)&gt;1,"Docente ya registrado","")</f>
        <v/>
      </c>
      <c r="F468" t="str">
        <f>_xlfn.XLOOKUP(TAB_T_DOCE_MAEST[[#This Row],[MAESTRIA]],MAESTRIA[NOMBRE_MAESTRIA],MAESTRIA[ID_MAESTRIA],"Seleccione Maestria")</f>
        <v>Seleccione Maestria</v>
      </c>
    </row>
    <row r="469" spans="1:6">
      <c r="A469" t="s">
        <v>544</v>
      </c>
      <c r="C469" t="str">
        <f>_xlfn.XLOOKUP(TAB_T_DOCE_MAEST[[#This Row],[NOMBRE_DOCENTE]],MDOCENTES[DATOS_DOCENTE],MDOCENTES[ID_DOCENTE],"Seleccione Docente")</f>
        <v>Seleccione Docente</v>
      </c>
      <c r="E469" t="str">
        <f>IF(COUNTIFS(C:C,C469,D:D,D469)&gt;1,"Docente ya registrado","")</f>
        <v/>
      </c>
      <c r="F469" t="str">
        <f>_xlfn.XLOOKUP(TAB_T_DOCE_MAEST[[#This Row],[MAESTRIA]],MAESTRIA[NOMBRE_MAESTRIA],MAESTRIA[ID_MAESTRIA],"Seleccione Maestria")</f>
        <v>Seleccione Maestria</v>
      </c>
    </row>
    <row r="470" spans="1:6">
      <c r="A470" t="s">
        <v>545</v>
      </c>
      <c r="C470" t="str">
        <f>_xlfn.XLOOKUP(TAB_T_DOCE_MAEST[[#This Row],[NOMBRE_DOCENTE]],MDOCENTES[DATOS_DOCENTE],MDOCENTES[ID_DOCENTE],"Seleccione Docente")</f>
        <v>Seleccione Docente</v>
      </c>
      <c r="E470" t="str">
        <f>IF(COUNTIFS(C:C,C470,D:D,D470)&gt;1,"Docente ya registrado","")</f>
        <v/>
      </c>
      <c r="F470" t="str">
        <f>_xlfn.XLOOKUP(TAB_T_DOCE_MAEST[[#This Row],[MAESTRIA]],MAESTRIA[NOMBRE_MAESTRIA],MAESTRIA[ID_MAESTRIA],"Seleccione Maestria")</f>
        <v>Seleccione Maestria</v>
      </c>
    </row>
    <row r="471" spans="1:6">
      <c r="A471" t="s">
        <v>546</v>
      </c>
      <c r="C471" t="str">
        <f>_xlfn.XLOOKUP(TAB_T_DOCE_MAEST[[#This Row],[NOMBRE_DOCENTE]],MDOCENTES[DATOS_DOCENTE],MDOCENTES[ID_DOCENTE],"Seleccione Docente")</f>
        <v>Seleccione Docente</v>
      </c>
      <c r="E471" t="str">
        <f>IF(COUNTIFS(C:C,C471,D:D,D471)&gt;1,"Docente ya registrado","")</f>
        <v/>
      </c>
      <c r="F471" t="str">
        <f>_xlfn.XLOOKUP(TAB_T_DOCE_MAEST[[#This Row],[MAESTRIA]],MAESTRIA[NOMBRE_MAESTRIA],MAESTRIA[ID_MAESTRIA],"Seleccione Maestria")</f>
        <v>Seleccione Maestria</v>
      </c>
    </row>
    <row r="472" spans="1:6">
      <c r="A472" t="s">
        <v>547</v>
      </c>
      <c r="C472" t="str">
        <f>_xlfn.XLOOKUP(TAB_T_DOCE_MAEST[[#This Row],[NOMBRE_DOCENTE]],MDOCENTES[DATOS_DOCENTE],MDOCENTES[ID_DOCENTE],"Seleccione Docente")</f>
        <v>Seleccione Docente</v>
      </c>
      <c r="E472" t="str">
        <f>IF(COUNTIFS(C:C,C472,D:D,D472)&gt;1,"Docente ya registrado","")</f>
        <v/>
      </c>
      <c r="F472" t="str">
        <f>_xlfn.XLOOKUP(TAB_T_DOCE_MAEST[[#This Row],[MAESTRIA]],MAESTRIA[NOMBRE_MAESTRIA],MAESTRIA[ID_MAESTRIA],"Seleccione Maestria")</f>
        <v>Seleccione Maestria</v>
      </c>
    </row>
    <row r="473" spans="1:6">
      <c r="A473" t="s">
        <v>548</v>
      </c>
      <c r="C473" t="str">
        <f>_xlfn.XLOOKUP(TAB_T_DOCE_MAEST[[#This Row],[NOMBRE_DOCENTE]],MDOCENTES[DATOS_DOCENTE],MDOCENTES[ID_DOCENTE],"Seleccione Docente")</f>
        <v>Seleccione Docente</v>
      </c>
      <c r="E473" t="str">
        <f>IF(COUNTIFS(C:C,C473,D:D,D473)&gt;1,"Docente ya registrado","")</f>
        <v/>
      </c>
      <c r="F473" t="str">
        <f>_xlfn.XLOOKUP(TAB_T_DOCE_MAEST[[#This Row],[MAESTRIA]],MAESTRIA[NOMBRE_MAESTRIA],MAESTRIA[ID_MAESTRIA],"Seleccione Maestria")</f>
        <v>Seleccione Maestria</v>
      </c>
    </row>
    <row r="474" spans="1:6">
      <c r="A474" t="s">
        <v>549</v>
      </c>
      <c r="C474" t="str">
        <f>_xlfn.XLOOKUP(TAB_T_DOCE_MAEST[[#This Row],[NOMBRE_DOCENTE]],MDOCENTES[DATOS_DOCENTE],MDOCENTES[ID_DOCENTE],"Seleccione Docente")</f>
        <v>Seleccione Docente</v>
      </c>
      <c r="E474" t="str">
        <f>IF(COUNTIFS(C:C,C474,D:D,D474)&gt;1,"Docente ya registrado","")</f>
        <v/>
      </c>
      <c r="F474" t="str">
        <f>_xlfn.XLOOKUP(TAB_T_DOCE_MAEST[[#This Row],[MAESTRIA]],MAESTRIA[NOMBRE_MAESTRIA],MAESTRIA[ID_MAESTRIA],"Seleccione Maestria")</f>
        <v>Seleccione Maestria</v>
      </c>
    </row>
    <row r="475" spans="1:6">
      <c r="A475" t="s">
        <v>550</v>
      </c>
      <c r="C475" t="str">
        <f>_xlfn.XLOOKUP(TAB_T_DOCE_MAEST[[#This Row],[NOMBRE_DOCENTE]],MDOCENTES[DATOS_DOCENTE],MDOCENTES[ID_DOCENTE],"Seleccione Docente")</f>
        <v>Seleccione Docente</v>
      </c>
      <c r="E475" t="str">
        <f>IF(COUNTIFS(C:C,C475,D:D,D475)&gt;1,"Docente ya registrado","")</f>
        <v/>
      </c>
      <c r="F475" t="str">
        <f>_xlfn.XLOOKUP(TAB_T_DOCE_MAEST[[#This Row],[MAESTRIA]],MAESTRIA[NOMBRE_MAESTRIA],MAESTRIA[ID_MAESTRIA],"Seleccione Maestria")</f>
        <v>Seleccione Maestria</v>
      </c>
    </row>
    <row r="476" spans="1:6">
      <c r="A476" t="s">
        <v>551</v>
      </c>
      <c r="C476" t="str">
        <f>_xlfn.XLOOKUP(TAB_T_DOCE_MAEST[[#This Row],[NOMBRE_DOCENTE]],MDOCENTES[DATOS_DOCENTE],MDOCENTES[ID_DOCENTE],"Seleccione Docente")</f>
        <v>Seleccione Docente</v>
      </c>
      <c r="E476" t="str">
        <f>IF(COUNTIFS(C:C,C476,D:D,D476)&gt;1,"Docente ya registrado","")</f>
        <v/>
      </c>
      <c r="F476" t="str">
        <f>_xlfn.XLOOKUP(TAB_T_DOCE_MAEST[[#This Row],[MAESTRIA]],MAESTRIA[NOMBRE_MAESTRIA],MAESTRIA[ID_MAESTRIA],"Seleccione Maestria")</f>
        <v>Seleccione Maestria</v>
      </c>
    </row>
    <row r="477" spans="1:6">
      <c r="A477" t="s">
        <v>552</v>
      </c>
      <c r="C477" t="str">
        <f>_xlfn.XLOOKUP(TAB_T_DOCE_MAEST[[#This Row],[NOMBRE_DOCENTE]],MDOCENTES[DATOS_DOCENTE],MDOCENTES[ID_DOCENTE],"Seleccione Docente")</f>
        <v>Seleccione Docente</v>
      </c>
      <c r="E477" t="str">
        <f>IF(COUNTIFS(C:C,C477,D:D,D477)&gt;1,"Docente ya registrado","")</f>
        <v/>
      </c>
      <c r="F477" t="str">
        <f>_xlfn.XLOOKUP(TAB_T_DOCE_MAEST[[#This Row],[MAESTRIA]],MAESTRIA[NOMBRE_MAESTRIA],MAESTRIA[ID_MAESTRIA],"Seleccione Maestria")</f>
        <v>Seleccione Maestria</v>
      </c>
    </row>
    <row r="478" spans="1:6">
      <c r="A478" t="s">
        <v>553</v>
      </c>
      <c r="C478" t="str">
        <f>_xlfn.XLOOKUP(TAB_T_DOCE_MAEST[[#This Row],[NOMBRE_DOCENTE]],MDOCENTES[DATOS_DOCENTE],MDOCENTES[ID_DOCENTE],"Seleccione Docente")</f>
        <v>Seleccione Docente</v>
      </c>
      <c r="E478" t="str">
        <f>IF(COUNTIFS(C:C,C478,D:D,D478)&gt;1,"Docente ya registrado","")</f>
        <v/>
      </c>
      <c r="F478" t="str">
        <f>_xlfn.XLOOKUP(TAB_T_DOCE_MAEST[[#This Row],[MAESTRIA]],MAESTRIA[NOMBRE_MAESTRIA],MAESTRIA[ID_MAESTRIA],"Seleccione Maestria")</f>
        <v>Seleccione Maestria</v>
      </c>
    </row>
    <row r="479" spans="1:6">
      <c r="A479" t="s">
        <v>554</v>
      </c>
      <c r="C479" t="str">
        <f>_xlfn.XLOOKUP(TAB_T_DOCE_MAEST[[#This Row],[NOMBRE_DOCENTE]],MDOCENTES[DATOS_DOCENTE],MDOCENTES[ID_DOCENTE],"Seleccione Docente")</f>
        <v>Seleccione Docente</v>
      </c>
      <c r="E479" t="str">
        <f>IF(COUNTIFS(C:C,C479,D:D,D479)&gt;1,"Docente ya registrado","")</f>
        <v/>
      </c>
      <c r="F479" t="str">
        <f>_xlfn.XLOOKUP(TAB_T_DOCE_MAEST[[#This Row],[MAESTRIA]],MAESTRIA[NOMBRE_MAESTRIA],MAESTRIA[ID_MAESTRIA],"Seleccione Maestria")</f>
        <v>Seleccione Maestria</v>
      </c>
    </row>
    <row r="480" spans="1:6">
      <c r="A480" t="s">
        <v>555</v>
      </c>
      <c r="C480" t="str">
        <f>_xlfn.XLOOKUP(TAB_T_DOCE_MAEST[[#This Row],[NOMBRE_DOCENTE]],MDOCENTES[DATOS_DOCENTE],MDOCENTES[ID_DOCENTE],"Seleccione Docente")</f>
        <v>Seleccione Docente</v>
      </c>
      <c r="E480" t="str">
        <f>IF(COUNTIFS(C:C,C480,D:D,D480)&gt;1,"Docente ya registrado","")</f>
        <v/>
      </c>
      <c r="F480" t="str">
        <f>_xlfn.XLOOKUP(TAB_T_DOCE_MAEST[[#This Row],[MAESTRIA]],MAESTRIA[NOMBRE_MAESTRIA],MAESTRIA[ID_MAESTRIA],"Seleccione Maestria")</f>
        <v>Seleccione Maestria</v>
      </c>
    </row>
    <row r="481" spans="1:6">
      <c r="A481" t="s">
        <v>556</v>
      </c>
      <c r="C481" t="str">
        <f>_xlfn.XLOOKUP(TAB_T_DOCE_MAEST[[#This Row],[NOMBRE_DOCENTE]],MDOCENTES[DATOS_DOCENTE],MDOCENTES[ID_DOCENTE],"Seleccione Docente")</f>
        <v>Seleccione Docente</v>
      </c>
      <c r="E481" t="str">
        <f>IF(COUNTIFS(C:C,C481,D:D,D481)&gt;1,"Docente ya registrado","")</f>
        <v/>
      </c>
      <c r="F481" t="str">
        <f>_xlfn.XLOOKUP(TAB_T_DOCE_MAEST[[#This Row],[MAESTRIA]],MAESTRIA[NOMBRE_MAESTRIA],MAESTRIA[ID_MAESTRIA],"Seleccione Maestria")</f>
        <v>Seleccione Maestria</v>
      </c>
    </row>
    <row r="482" spans="1:6">
      <c r="A482" t="s">
        <v>557</v>
      </c>
      <c r="C482" t="str">
        <f>_xlfn.XLOOKUP(TAB_T_DOCE_MAEST[[#This Row],[NOMBRE_DOCENTE]],MDOCENTES[DATOS_DOCENTE],MDOCENTES[ID_DOCENTE],"Seleccione Docente")</f>
        <v>Seleccione Docente</v>
      </c>
      <c r="E482" t="str">
        <f>IF(COUNTIFS(C:C,C482,D:D,D482)&gt;1,"Docente ya registrado","")</f>
        <v/>
      </c>
      <c r="F482" t="str">
        <f>_xlfn.XLOOKUP(TAB_T_DOCE_MAEST[[#This Row],[MAESTRIA]],MAESTRIA[NOMBRE_MAESTRIA],MAESTRIA[ID_MAESTRIA],"Seleccione Maestria")</f>
        <v>Seleccione Maestria</v>
      </c>
    </row>
    <row r="483" spans="1:6">
      <c r="A483" t="s">
        <v>558</v>
      </c>
      <c r="C483" t="str">
        <f>_xlfn.XLOOKUP(TAB_T_DOCE_MAEST[[#This Row],[NOMBRE_DOCENTE]],MDOCENTES[DATOS_DOCENTE],MDOCENTES[ID_DOCENTE],"Seleccione Docente")</f>
        <v>Seleccione Docente</v>
      </c>
      <c r="E483" t="str">
        <f>IF(COUNTIFS(C:C,C483,D:D,D483)&gt;1,"Docente ya registrado","")</f>
        <v/>
      </c>
      <c r="F483" t="str">
        <f>_xlfn.XLOOKUP(TAB_T_DOCE_MAEST[[#This Row],[MAESTRIA]],MAESTRIA[NOMBRE_MAESTRIA],MAESTRIA[ID_MAESTRIA],"Seleccione Maestria")</f>
        <v>Seleccione Maestria</v>
      </c>
    </row>
    <row r="484" spans="1:6">
      <c r="A484" t="s">
        <v>559</v>
      </c>
      <c r="C484" t="str">
        <f>_xlfn.XLOOKUP(TAB_T_DOCE_MAEST[[#This Row],[NOMBRE_DOCENTE]],MDOCENTES[DATOS_DOCENTE],MDOCENTES[ID_DOCENTE],"Seleccione Docente")</f>
        <v>Seleccione Docente</v>
      </c>
      <c r="E484" t="str">
        <f>IF(COUNTIFS(C:C,C484,D:D,D484)&gt;1,"Docente ya registrado","")</f>
        <v/>
      </c>
      <c r="F484" t="str">
        <f>_xlfn.XLOOKUP(TAB_T_DOCE_MAEST[[#This Row],[MAESTRIA]],MAESTRIA[NOMBRE_MAESTRIA],MAESTRIA[ID_MAESTRIA],"Seleccione Maestria")</f>
        <v>Seleccione Maestria</v>
      </c>
    </row>
    <row r="485" spans="1:6">
      <c r="A485" t="s">
        <v>560</v>
      </c>
      <c r="C485" t="str">
        <f>_xlfn.XLOOKUP(TAB_T_DOCE_MAEST[[#This Row],[NOMBRE_DOCENTE]],MDOCENTES[DATOS_DOCENTE],MDOCENTES[ID_DOCENTE],"Seleccione Docente")</f>
        <v>Seleccione Docente</v>
      </c>
      <c r="E485" t="str">
        <f>IF(COUNTIFS(C:C,C485,D:D,D485)&gt;1,"Docente ya registrado","")</f>
        <v/>
      </c>
      <c r="F485" t="str">
        <f>_xlfn.XLOOKUP(TAB_T_DOCE_MAEST[[#This Row],[MAESTRIA]],MAESTRIA[NOMBRE_MAESTRIA],MAESTRIA[ID_MAESTRIA],"Seleccione Maestria")</f>
        <v>Seleccione Maestria</v>
      </c>
    </row>
    <row r="486" spans="1:6">
      <c r="A486" t="s">
        <v>561</v>
      </c>
      <c r="C486" t="str">
        <f>_xlfn.XLOOKUP(TAB_T_DOCE_MAEST[[#This Row],[NOMBRE_DOCENTE]],MDOCENTES[DATOS_DOCENTE],MDOCENTES[ID_DOCENTE],"Seleccione Docente")</f>
        <v>Seleccione Docente</v>
      </c>
      <c r="E486" t="str">
        <f>IF(COUNTIFS(C:C,C486,D:D,D486)&gt;1,"Docente ya registrado","")</f>
        <v/>
      </c>
      <c r="F486" t="str">
        <f>_xlfn.XLOOKUP(TAB_T_DOCE_MAEST[[#This Row],[MAESTRIA]],MAESTRIA[NOMBRE_MAESTRIA],MAESTRIA[ID_MAESTRIA],"Seleccione Maestria")</f>
        <v>Seleccione Maestria</v>
      </c>
    </row>
    <row r="487" spans="1:6">
      <c r="A487" t="s">
        <v>562</v>
      </c>
      <c r="C487" t="str">
        <f>_xlfn.XLOOKUP(TAB_T_DOCE_MAEST[[#This Row],[NOMBRE_DOCENTE]],MDOCENTES[DATOS_DOCENTE],MDOCENTES[ID_DOCENTE],"Seleccione Docente")</f>
        <v>Seleccione Docente</v>
      </c>
      <c r="E487" t="str">
        <f>IF(COUNTIFS(C:C,C487,D:D,D487)&gt;1,"Docente ya registrado","")</f>
        <v/>
      </c>
      <c r="F487" t="str">
        <f>_xlfn.XLOOKUP(TAB_T_DOCE_MAEST[[#This Row],[MAESTRIA]],MAESTRIA[NOMBRE_MAESTRIA],MAESTRIA[ID_MAESTRIA],"Seleccione Maestria")</f>
        <v>Seleccione Maestria</v>
      </c>
    </row>
    <row r="488" spans="1:6">
      <c r="A488" t="s">
        <v>563</v>
      </c>
      <c r="C488" t="str">
        <f>_xlfn.XLOOKUP(TAB_T_DOCE_MAEST[[#This Row],[NOMBRE_DOCENTE]],MDOCENTES[DATOS_DOCENTE],MDOCENTES[ID_DOCENTE],"Seleccione Docente")</f>
        <v>Seleccione Docente</v>
      </c>
      <c r="E488" t="str">
        <f>IF(COUNTIFS(C:C,C488,D:D,D488)&gt;1,"Docente ya registrado","")</f>
        <v/>
      </c>
      <c r="F488" t="str">
        <f>_xlfn.XLOOKUP(TAB_T_DOCE_MAEST[[#This Row],[MAESTRIA]],MAESTRIA[NOMBRE_MAESTRIA],MAESTRIA[ID_MAESTRIA],"Seleccione Maestria")</f>
        <v>Seleccione Maestria</v>
      </c>
    </row>
    <row r="489" spans="1:6">
      <c r="A489" t="s">
        <v>564</v>
      </c>
      <c r="C489" t="str">
        <f>_xlfn.XLOOKUP(TAB_T_DOCE_MAEST[[#This Row],[NOMBRE_DOCENTE]],MDOCENTES[DATOS_DOCENTE],MDOCENTES[ID_DOCENTE],"Seleccione Docente")</f>
        <v>Seleccione Docente</v>
      </c>
      <c r="E489" t="str">
        <f>IF(COUNTIFS(C:C,C489,D:D,D489)&gt;1,"Docente ya registrado","")</f>
        <v/>
      </c>
      <c r="F489" t="str">
        <f>_xlfn.XLOOKUP(TAB_T_DOCE_MAEST[[#This Row],[MAESTRIA]],MAESTRIA[NOMBRE_MAESTRIA],MAESTRIA[ID_MAESTRIA],"Seleccione Maestria")</f>
        <v>Seleccione Maestria</v>
      </c>
    </row>
  </sheetData>
  <dataValidations count="1">
    <dataValidation allowBlank="1" showInputMessage="1" showErrorMessage="1" sqref="E2:E489" xr:uid="{EE6133CB-0532-4B0D-8715-B89295DF1A86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3FEB67-6223-47A1-8F3C-B560D802E1B5}">
          <x14:formula1>
            <xm:f>MDOCENTES!$B$1:$B$203</xm:f>
          </x14:formula1>
          <xm:sqref>B2:B489</xm:sqref>
        </x14:dataValidation>
        <x14:dataValidation type="list" allowBlank="1" showInputMessage="1" showErrorMessage="1" xr:uid="{5CF8C442-A676-4C22-AD56-AF6B4418CD3D}">
          <x14:formula1>
            <xm:f>MAESTRIA!$B$2:$B$532</xm:f>
          </x14:formula1>
          <xm:sqref>D2:D489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CA74-22D0-46DB-9747-FAF4A5D94710}">
  <dimension ref="A1:B36"/>
  <sheetViews>
    <sheetView workbookViewId="0">
      <selection activeCell="B2" sqref="B2"/>
    </sheetView>
  </sheetViews>
  <sheetFormatPr defaultRowHeight="15"/>
  <cols>
    <col min="1" max="1" width="24.140625" bestFit="1" customWidth="1"/>
    <col min="2" max="2" width="107.5703125" bestFit="1" customWidth="1"/>
  </cols>
  <sheetData>
    <row r="1" spans="1:2">
      <c r="A1" t="s">
        <v>565</v>
      </c>
      <c r="B1" t="s">
        <v>566</v>
      </c>
    </row>
    <row r="2" spans="1:2">
      <c r="A2" t="s">
        <v>567</v>
      </c>
      <c r="B2" t="s">
        <v>57</v>
      </c>
    </row>
    <row r="3" spans="1:2">
      <c r="A3" t="s">
        <v>568</v>
      </c>
      <c r="B3" t="s">
        <v>29</v>
      </c>
    </row>
    <row r="4" spans="1:2">
      <c r="A4" t="s">
        <v>569</v>
      </c>
      <c r="B4" t="s">
        <v>22</v>
      </c>
    </row>
    <row r="5" spans="1:2">
      <c r="A5" t="s">
        <v>570</v>
      </c>
      <c r="B5" t="s">
        <v>14</v>
      </c>
    </row>
    <row r="6" spans="1:2">
      <c r="A6" t="s">
        <v>571</v>
      </c>
      <c r="B6" t="s">
        <v>43</v>
      </c>
    </row>
    <row r="7" spans="1:2">
      <c r="A7" t="s">
        <v>571</v>
      </c>
      <c r="B7" t="s">
        <v>66</v>
      </c>
    </row>
    <row r="8" spans="1:2">
      <c r="A8" t="s">
        <v>571</v>
      </c>
      <c r="B8" t="s">
        <v>97</v>
      </c>
    </row>
    <row r="9" spans="1:2">
      <c r="A9" t="s">
        <v>571</v>
      </c>
      <c r="B9" t="s">
        <v>75</v>
      </c>
    </row>
    <row r="10" spans="1:2">
      <c r="A10" t="s">
        <v>571</v>
      </c>
      <c r="B10" t="s">
        <v>24</v>
      </c>
    </row>
    <row r="11" spans="1:2">
      <c r="A11" t="s">
        <v>571</v>
      </c>
      <c r="B11" t="s">
        <v>55</v>
      </c>
    </row>
    <row r="12" spans="1:2">
      <c r="A12" t="s">
        <v>572</v>
      </c>
      <c r="B12" t="s">
        <v>78</v>
      </c>
    </row>
    <row r="13" spans="1:2">
      <c r="A13" t="s">
        <v>572</v>
      </c>
      <c r="B13" t="s">
        <v>19</v>
      </c>
    </row>
    <row r="14" spans="1:2">
      <c r="A14" t="s">
        <v>572</v>
      </c>
      <c r="B14" t="s">
        <v>32</v>
      </c>
    </row>
    <row r="15" spans="1:2">
      <c r="A15" t="s">
        <v>573</v>
      </c>
      <c r="B15" t="s">
        <v>86</v>
      </c>
    </row>
    <row r="16" spans="1:2">
      <c r="A16" t="s">
        <v>573</v>
      </c>
      <c r="B16" t="s">
        <v>8</v>
      </c>
    </row>
    <row r="17" spans="1:2">
      <c r="A17" t="s">
        <v>573</v>
      </c>
      <c r="B17" t="s">
        <v>59</v>
      </c>
    </row>
    <row r="18" spans="1:2">
      <c r="A18" t="s">
        <v>573</v>
      </c>
      <c r="B18" t="s">
        <v>52</v>
      </c>
    </row>
    <row r="19" spans="1:2">
      <c r="A19" t="s">
        <v>574</v>
      </c>
      <c r="B19" t="s">
        <v>575</v>
      </c>
    </row>
    <row r="20" spans="1:2">
      <c r="A20" t="s">
        <v>574</v>
      </c>
      <c r="B20" t="s">
        <v>84</v>
      </c>
    </row>
    <row r="21" spans="1:2">
      <c r="A21" t="s">
        <v>576</v>
      </c>
      <c r="B21" t="s">
        <v>35</v>
      </c>
    </row>
    <row r="22" spans="1:2">
      <c r="A22" t="s">
        <v>577</v>
      </c>
      <c r="B22" t="s">
        <v>17</v>
      </c>
    </row>
    <row r="23" spans="1:2">
      <c r="A23" t="s">
        <v>577</v>
      </c>
      <c r="B23" t="s">
        <v>40</v>
      </c>
    </row>
    <row r="24" spans="1:2">
      <c r="A24" t="s">
        <v>577</v>
      </c>
      <c r="B24" t="s">
        <v>46</v>
      </c>
    </row>
    <row r="25" spans="1:2">
      <c r="A25" t="s">
        <v>578</v>
      </c>
      <c r="B25" t="s">
        <v>95</v>
      </c>
    </row>
    <row r="26" spans="1:2">
      <c r="A26" t="s">
        <v>578</v>
      </c>
      <c r="B26" t="s">
        <v>579</v>
      </c>
    </row>
    <row r="27" spans="1:2">
      <c r="A27" t="s">
        <v>580</v>
      </c>
      <c r="B27" t="s">
        <v>93</v>
      </c>
    </row>
    <row r="28" spans="1:2">
      <c r="A28" t="s">
        <v>580</v>
      </c>
      <c r="B28" t="s">
        <v>49</v>
      </c>
    </row>
    <row r="29" spans="1:2">
      <c r="A29" t="s">
        <v>580</v>
      </c>
      <c r="B29" t="s">
        <v>71</v>
      </c>
    </row>
    <row r="30" spans="1:2">
      <c r="A30" t="s">
        <v>581</v>
      </c>
      <c r="B30" t="s">
        <v>11</v>
      </c>
    </row>
    <row r="31" spans="1:2">
      <c r="A31" t="s">
        <v>582</v>
      </c>
      <c r="B31" t="s">
        <v>27</v>
      </c>
    </row>
    <row r="32" spans="1:2">
      <c r="A32" t="s">
        <v>583</v>
      </c>
      <c r="B32" t="s">
        <v>105</v>
      </c>
    </row>
    <row r="33" spans="1:2">
      <c r="A33" t="s">
        <v>584</v>
      </c>
      <c r="B33" t="s">
        <v>113</v>
      </c>
    </row>
    <row r="34" spans="1:2">
      <c r="A34" t="s">
        <v>584</v>
      </c>
      <c r="B34" t="s">
        <v>120</v>
      </c>
    </row>
    <row r="35" spans="1:2">
      <c r="A35" t="s">
        <v>584</v>
      </c>
      <c r="B35" t="s">
        <v>110</v>
      </c>
    </row>
    <row r="36" spans="1:2">
      <c r="A36" t="s">
        <v>584</v>
      </c>
      <c r="B36" t="s">
        <v>585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AAF0-6F36-42C1-A022-B1004896387D}">
  <dimension ref="A1:I135"/>
  <sheetViews>
    <sheetView topLeftCell="A122" workbookViewId="0"/>
  </sheetViews>
  <sheetFormatPr defaultRowHeight="15"/>
  <cols>
    <col min="1" max="1" width="14.5703125" bestFit="1" customWidth="1"/>
    <col min="2" max="2" width="40.42578125" bestFit="1" customWidth="1"/>
    <col min="3" max="3" width="38" bestFit="1" customWidth="1"/>
    <col min="4" max="4" width="33.5703125" bestFit="1" customWidth="1"/>
    <col min="5" max="5" width="11" bestFit="1" customWidth="1"/>
    <col min="6" max="6" width="12.28515625" bestFit="1" customWidth="1"/>
    <col min="7" max="7" width="14.42578125" bestFit="1" customWidth="1"/>
    <col min="8" max="8" width="35.7109375" bestFit="1" customWidth="1"/>
    <col min="9" max="9" width="15.140625" bestFit="1" customWidth="1"/>
  </cols>
  <sheetData>
    <row r="1" spans="1:9">
      <c r="A1" t="s">
        <v>586</v>
      </c>
      <c r="B1" t="s">
        <v>587</v>
      </c>
      <c r="C1" t="s">
        <v>588</v>
      </c>
      <c r="D1" t="s">
        <v>589</v>
      </c>
      <c r="E1" t="s">
        <v>590</v>
      </c>
      <c r="F1" t="s">
        <v>591</v>
      </c>
      <c r="G1" t="s">
        <v>592</v>
      </c>
      <c r="H1" t="s">
        <v>593</v>
      </c>
      <c r="I1" t="s">
        <v>594</v>
      </c>
    </row>
    <row r="2" spans="1:9">
      <c r="A2">
        <v>1306927581</v>
      </c>
      <c r="B2" t="s">
        <v>595</v>
      </c>
      <c r="C2" t="s">
        <v>596</v>
      </c>
      <c r="D2" t="s">
        <v>597</v>
      </c>
      <c r="E2">
        <v>993841367</v>
      </c>
      <c r="F2" t="s">
        <v>598</v>
      </c>
      <c r="G2" t="s">
        <v>599</v>
      </c>
      <c r="H2" t="s">
        <v>600</v>
      </c>
      <c r="I2" t="s">
        <v>601</v>
      </c>
    </row>
    <row r="3" spans="1:9">
      <c r="A3">
        <v>1309867008</v>
      </c>
      <c r="B3" t="s">
        <v>602</v>
      </c>
      <c r="C3" t="s">
        <v>596</v>
      </c>
      <c r="D3" t="s">
        <v>603</v>
      </c>
      <c r="E3">
        <v>958996963</v>
      </c>
      <c r="F3" t="s">
        <v>598</v>
      </c>
      <c r="G3" t="s">
        <v>599</v>
      </c>
      <c r="H3" t="s">
        <v>600</v>
      </c>
      <c r="I3" t="s">
        <v>601</v>
      </c>
    </row>
    <row r="4" spans="1:9">
      <c r="A4">
        <v>1312179292</v>
      </c>
      <c r="B4" t="s">
        <v>604</v>
      </c>
      <c r="C4" t="s">
        <v>596</v>
      </c>
      <c r="D4" t="s">
        <v>605</v>
      </c>
      <c r="E4">
        <v>995613221</v>
      </c>
      <c r="F4" t="s">
        <v>598</v>
      </c>
      <c r="G4" t="s">
        <v>599</v>
      </c>
      <c r="H4" t="s">
        <v>600</v>
      </c>
      <c r="I4" t="s">
        <v>601</v>
      </c>
    </row>
    <row r="5" spans="1:9">
      <c r="A5">
        <v>1308397239</v>
      </c>
      <c r="B5" t="s">
        <v>606</v>
      </c>
      <c r="C5" t="s">
        <v>596</v>
      </c>
      <c r="D5" t="s">
        <v>607</v>
      </c>
      <c r="E5">
        <v>980882709</v>
      </c>
      <c r="F5" t="s">
        <v>598</v>
      </c>
      <c r="G5" t="s">
        <v>599</v>
      </c>
      <c r="H5" t="s">
        <v>600</v>
      </c>
      <c r="I5" t="s">
        <v>601</v>
      </c>
    </row>
    <row r="6" spans="1:9">
      <c r="A6">
        <v>1306327394</v>
      </c>
      <c r="B6" t="s">
        <v>608</v>
      </c>
      <c r="C6" t="s">
        <v>596</v>
      </c>
      <c r="D6" t="s">
        <v>609</v>
      </c>
      <c r="E6">
        <v>999471287</v>
      </c>
      <c r="F6" t="s">
        <v>598</v>
      </c>
      <c r="G6" t="s">
        <v>599</v>
      </c>
      <c r="H6" t="s">
        <v>600</v>
      </c>
      <c r="I6" t="s">
        <v>601</v>
      </c>
    </row>
    <row r="7" spans="1:9">
      <c r="A7">
        <v>917967226</v>
      </c>
      <c r="B7" t="s">
        <v>610</v>
      </c>
      <c r="C7" t="s">
        <v>596</v>
      </c>
      <c r="D7" t="s">
        <v>611</v>
      </c>
      <c r="E7">
        <v>999853757</v>
      </c>
      <c r="F7" t="s">
        <v>598</v>
      </c>
      <c r="G7" t="s">
        <v>599</v>
      </c>
      <c r="H7" t="s">
        <v>600</v>
      </c>
      <c r="I7" t="s">
        <v>601</v>
      </c>
    </row>
    <row r="8" spans="1:9">
      <c r="A8">
        <v>1310729676</v>
      </c>
      <c r="B8" t="s">
        <v>612</v>
      </c>
      <c r="C8" t="s">
        <v>596</v>
      </c>
      <c r="D8" t="s">
        <v>613</v>
      </c>
      <c r="E8">
        <v>998862735</v>
      </c>
      <c r="F8" t="s">
        <v>598</v>
      </c>
      <c r="G8" t="s">
        <v>599</v>
      </c>
      <c r="H8" t="s">
        <v>600</v>
      </c>
      <c r="I8" t="s">
        <v>601</v>
      </c>
    </row>
    <row r="9" spans="1:9">
      <c r="A9">
        <v>1311435968</v>
      </c>
      <c r="B9" t="s">
        <v>614</v>
      </c>
      <c r="C9" t="s">
        <v>596</v>
      </c>
      <c r="D9" t="s">
        <v>615</v>
      </c>
      <c r="E9">
        <v>992720628</v>
      </c>
      <c r="F9" t="s">
        <v>616</v>
      </c>
      <c r="G9" t="s">
        <v>599</v>
      </c>
      <c r="H9" t="s">
        <v>600</v>
      </c>
      <c r="I9" t="s">
        <v>601</v>
      </c>
    </row>
    <row r="10" spans="1:9">
      <c r="A10">
        <v>1712981735</v>
      </c>
      <c r="B10" t="s">
        <v>617</v>
      </c>
      <c r="C10" t="s">
        <v>596</v>
      </c>
      <c r="D10" t="s">
        <v>618</v>
      </c>
      <c r="E10">
        <v>987923175</v>
      </c>
      <c r="F10" t="s">
        <v>616</v>
      </c>
      <c r="G10" t="s">
        <v>619</v>
      </c>
      <c r="H10" t="s">
        <v>600</v>
      </c>
      <c r="I10" t="s">
        <v>601</v>
      </c>
    </row>
    <row r="11" spans="1:9">
      <c r="A11">
        <v>922028709</v>
      </c>
      <c r="B11" t="s">
        <v>620</v>
      </c>
      <c r="C11" t="s">
        <v>596</v>
      </c>
      <c r="D11" t="s">
        <v>621</v>
      </c>
      <c r="E11">
        <v>999523745</v>
      </c>
      <c r="F11" t="s">
        <v>616</v>
      </c>
      <c r="G11" t="s">
        <v>599</v>
      </c>
      <c r="H11" t="s">
        <v>600</v>
      </c>
      <c r="I11" t="s">
        <v>601</v>
      </c>
    </row>
    <row r="12" spans="1:9">
      <c r="A12">
        <v>1307818615</v>
      </c>
      <c r="B12" t="s">
        <v>622</v>
      </c>
      <c r="C12" t="s">
        <v>596</v>
      </c>
      <c r="D12" t="s">
        <v>623</v>
      </c>
      <c r="E12">
        <v>958604495</v>
      </c>
      <c r="F12" t="s">
        <v>598</v>
      </c>
      <c r="G12" t="s">
        <v>599</v>
      </c>
      <c r="H12" t="s">
        <v>624</v>
      </c>
      <c r="I12" t="s">
        <v>601</v>
      </c>
    </row>
    <row r="13" spans="1:9">
      <c r="A13">
        <v>1310022536</v>
      </c>
      <c r="B13" t="s">
        <v>625</v>
      </c>
      <c r="C13" t="s">
        <v>596</v>
      </c>
      <c r="D13" t="s">
        <v>626</v>
      </c>
      <c r="E13">
        <v>939933873</v>
      </c>
      <c r="F13" t="s">
        <v>598</v>
      </c>
      <c r="G13" t="s">
        <v>619</v>
      </c>
      <c r="H13" t="s">
        <v>624</v>
      </c>
      <c r="I13" t="s">
        <v>601</v>
      </c>
    </row>
    <row r="14" spans="1:9">
      <c r="A14">
        <v>1306558857</v>
      </c>
      <c r="B14" t="s">
        <v>627</v>
      </c>
      <c r="C14" t="s">
        <v>596</v>
      </c>
      <c r="D14" t="s">
        <v>628</v>
      </c>
      <c r="E14">
        <v>990425046</v>
      </c>
      <c r="F14" t="s">
        <v>616</v>
      </c>
      <c r="G14" t="s">
        <v>599</v>
      </c>
      <c r="H14" t="s">
        <v>600</v>
      </c>
      <c r="I14" t="s">
        <v>601</v>
      </c>
    </row>
    <row r="15" spans="1:9">
      <c r="A15">
        <v>1308174679</v>
      </c>
      <c r="B15" t="s">
        <v>629</v>
      </c>
      <c r="C15" t="s">
        <v>596</v>
      </c>
      <c r="D15" t="s">
        <v>630</v>
      </c>
      <c r="E15">
        <v>986482573</v>
      </c>
      <c r="F15" t="s">
        <v>598</v>
      </c>
      <c r="G15" t="s">
        <v>599</v>
      </c>
      <c r="H15" t="s">
        <v>600</v>
      </c>
      <c r="I15" t="s">
        <v>601</v>
      </c>
    </row>
    <row r="16" spans="1:9">
      <c r="A16">
        <v>1309544441</v>
      </c>
      <c r="B16" t="s">
        <v>631</v>
      </c>
      <c r="C16" t="s">
        <v>596</v>
      </c>
      <c r="D16" t="s">
        <v>632</v>
      </c>
      <c r="E16">
        <v>989089289</v>
      </c>
      <c r="F16" t="s">
        <v>598</v>
      </c>
      <c r="G16" t="s">
        <v>599</v>
      </c>
      <c r="H16" t="s">
        <v>624</v>
      </c>
      <c r="I16" t="s">
        <v>601</v>
      </c>
    </row>
    <row r="17" spans="1:9">
      <c r="A17">
        <v>1312925033</v>
      </c>
      <c r="B17" t="s">
        <v>633</v>
      </c>
      <c r="C17" t="s">
        <v>596</v>
      </c>
      <c r="D17" t="s">
        <v>634</v>
      </c>
      <c r="E17">
        <v>996032838</v>
      </c>
      <c r="F17" t="s">
        <v>598</v>
      </c>
      <c r="G17" t="s">
        <v>599</v>
      </c>
      <c r="H17" t="s">
        <v>624</v>
      </c>
      <c r="I17" t="s">
        <v>601</v>
      </c>
    </row>
    <row r="18" spans="1:9">
      <c r="A18">
        <v>1308853538</v>
      </c>
      <c r="B18" t="s">
        <v>635</v>
      </c>
      <c r="C18" t="s">
        <v>596</v>
      </c>
      <c r="D18" t="s">
        <v>636</v>
      </c>
      <c r="E18">
        <v>996404333</v>
      </c>
      <c r="F18" t="s">
        <v>598</v>
      </c>
      <c r="G18" t="s">
        <v>599</v>
      </c>
      <c r="H18" t="s">
        <v>600</v>
      </c>
      <c r="I18" t="s">
        <v>601</v>
      </c>
    </row>
    <row r="19" spans="1:9">
      <c r="A19">
        <v>1308737715</v>
      </c>
      <c r="B19" t="s">
        <v>637</v>
      </c>
      <c r="C19" t="s">
        <v>596</v>
      </c>
      <c r="D19" t="s">
        <v>638</v>
      </c>
      <c r="E19">
        <v>0</v>
      </c>
      <c r="F19" t="s">
        <v>616</v>
      </c>
      <c r="G19" t="s">
        <v>599</v>
      </c>
      <c r="H19" t="s">
        <v>600</v>
      </c>
      <c r="I19" t="s">
        <v>601</v>
      </c>
    </row>
    <row r="20" spans="1:9">
      <c r="A20">
        <v>1312177155</v>
      </c>
      <c r="B20" t="s">
        <v>639</v>
      </c>
      <c r="C20" t="s">
        <v>596</v>
      </c>
      <c r="D20" t="s">
        <v>640</v>
      </c>
      <c r="E20">
        <v>988446689</v>
      </c>
      <c r="F20" t="s">
        <v>598</v>
      </c>
      <c r="G20" t="s">
        <v>599</v>
      </c>
      <c r="H20" t="s">
        <v>600</v>
      </c>
      <c r="I20" t="s">
        <v>601</v>
      </c>
    </row>
    <row r="21" spans="1:9">
      <c r="A21">
        <v>1307539963</v>
      </c>
      <c r="B21" t="s">
        <v>641</v>
      </c>
      <c r="C21" t="s">
        <v>596</v>
      </c>
      <c r="D21" t="s">
        <v>642</v>
      </c>
      <c r="E21">
        <v>995151536</v>
      </c>
      <c r="F21" t="s">
        <v>616</v>
      </c>
      <c r="G21" t="s">
        <v>599</v>
      </c>
      <c r="H21" t="s">
        <v>600</v>
      </c>
      <c r="I21" t="s">
        <v>601</v>
      </c>
    </row>
    <row r="22" spans="1:9">
      <c r="A22">
        <v>1306910066</v>
      </c>
      <c r="B22" t="s">
        <v>643</v>
      </c>
      <c r="C22" t="s">
        <v>596</v>
      </c>
      <c r="D22" t="s">
        <v>644</v>
      </c>
      <c r="E22">
        <v>981193088</v>
      </c>
      <c r="F22" t="s">
        <v>616</v>
      </c>
      <c r="G22" t="s">
        <v>599</v>
      </c>
      <c r="H22" t="s">
        <v>600</v>
      </c>
      <c r="I22" t="s">
        <v>601</v>
      </c>
    </row>
    <row r="23" spans="1:9">
      <c r="A23">
        <v>922379615</v>
      </c>
      <c r="B23" t="s">
        <v>645</v>
      </c>
      <c r="C23" t="s">
        <v>596</v>
      </c>
      <c r="D23" t="s">
        <v>646</v>
      </c>
      <c r="E23">
        <v>984912221</v>
      </c>
      <c r="F23" t="s">
        <v>598</v>
      </c>
      <c r="G23" t="s">
        <v>599</v>
      </c>
      <c r="H23" t="s">
        <v>600</v>
      </c>
      <c r="I23" t="s">
        <v>601</v>
      </c>
    </row>
    <row r="24" spans="1:9">
      <c r="A24">
        <v>1307198224</v>
      </c>
      <c r="B24" t="s">
        <v>647</v>
      </c>
      <c r="C24" t="s">
        <v>596</v>
      </c>
      <c r="D24" t="s">
        <v>648</v>
      </c>
      <c r="E24">
        <v>991000699</v>
      </c>
      <c r="F24" t="s">
        <v>616</v>
      </c>
      <c r="G24" t="s">
        <v>599</v>
      </c>
      <c r="H24" t="s">
        <v>600</v>
      </c>
      <c r="I24" t="s">
        <v>601</v>
      </c>
    </row>
    <row r="25" spans="1:9">
      <c r="A25">
        <v>1304143868</v>
      </c>
      <c r="B25" t="s">
        <v>649</v>
      </c>
      <c r="C25" t="s">
        <v>596</v>
      </c>
      <c r="D25" t="s">
        <v>650</v>
      </c>
      <c r="E25">
        <v>993518632</v>
      </c>
      <c r="F25" t="s">
        <v>616</v>
      </c>
      <c r="G25" t="s">
        <v>599</v>
      </c>
      <c r="H25" t="s">
        <v>600</v>
      </c>
      <c r="I25" t="s">
        <v>601</v>
      </c>
    </row>
    <row r="26" spans="1:9">
      <c r="A26">
        <v>1310182843</v>
      </c>
      <c r="B26" t="s">
        <v>651</v>
      </c>
      <c r="C26" t="s">
        <v>596</v>
      </c>
      <c r="D26" t="s">
        <v>652</v>
      </c>
      <c r="E26">
        <v>992172357</v>
      </c>
      <c r="F26" t="s">
        <v>598</v>
      </c>
      <c r="G26" t="s">
        <v>599</v>
      </c>
      <c r="H26" t="s">
        <v>624</v>
      </c>
      <c r="I26" t="s">
        <v>601</v>
      </c>
    </row>
    <row r="27" spans="1:9">
      <c r="A27">
        <v>1309957460</v>
      </c>
      <c r="B27" t="s">
        <v>653</v>
      </c>
      <c r="C27" t="s">
        <v>596</v>
      </c>
      <c r="D27" t="s">
        <v>654</v>
      </c>
      <c r="E27">
        <v>995558336</v>
      </c>
      <c r="F27" t="s">
        <v>598</v>
      </c>
      <c r="G27" t="s">
        <v>619</v>
      </c>
      <c r="H27" t="s">
        <v>624</v>
      </c>
      <c r="I27" t="s">
        <v>601</v>
      </c>
    </row>
    <row r="28" spans="1:9">
      <c r="A28">
        <v>1307309375</v>
      </c>
      <c r="B28" t="s">
        <v>655</v>
      </c>
      <c r="C28" t="s">
        <v>596</v>
      </c>
      <c r="D28" t="s">
        <v>656</v>
      </c>
      <c r="E28">
        <v>993788552</v>
      </c>
      <c r="F28" t="s">
        <v>598</v>
      </c>
      <c r="G28" t="s">
        <v>619</v>
      </c>
      <c r="H28" t="s">
        <v>600</v>
      </c>
      <c r="I28" t="s">
        <v>601</v>
      </c>
    </row>
    <row r="29" spans="1:9">
      <c r="A29">
        <v>1313413948</v>
      </c>
      <c r="B29" t="s">
        <v>657</v>
      </c>
      <c r="C29" t="s">
        <v>596</v>
      </c>
      <c r="D29" t="s">
        <v>658</v>
      </c>
      <c r="E29">
        <v>999071136</v>
      </c>
      <c r="F29" t="s">
        <v>598</v>
      </c>
      <c r="G29" t="s">
        <v>599</v>
      </c>
      <c r="H29" t="s">
        <v>600</v>
      </c>
      <c r="I29" t="s">
        <v>601</v>
      </c>
    </row>
    <row r="30" spans="1:9">
      <c r="A30">
        <v>1307570596</v>
      </c>
      <c r="B30" t="s">
        <v>659</v>
      </c>
      <c r="C30" t="s">
        <v>596</v>
      </c>
      <c r="D30" t="s">
        <v>660</v>
      </c>
      <c r="E30">
        <v>995930245</v>
      </c>
      <c r="F30" t="s">
        <v>598</v>
      </c>
      <c r="G30" t="s">
        <v>599</v>
      </c>
      <c r="H30" t="s">
        <v>600</v>
      </c>
      <c r="I30" t="s">
        <v>601</v>
      </c>
    </row>
    <row r="31" spans="1:9">
      <c r="A31">
        <v>1305887364</v>
      </c>
      <c r="B31" t="s">
        <v>661</v>
      </c>
      <c r="C31" t="s">
        <v>596</v>
      </c>
      <c r="D31" t="s">
        <v>662</v>
      </c>
      <c r="E31">
        <v>997025893</v>
      </c>
      <c r="F31" t="s">
        <v>598</v>
      </c>
      <c r="G31" t="s">
        <v>599</v>
      </c>
      <c r="H31" t="s">
        <v>600</v>
      </c>
      <c r="I31" t="s">
        <v>601</v>
      </c>
    </row>
    <row r="32" spans="1:9">
      <c r="A32">
        <v>1311755779</v>
      </c>
      <c r="B32" t="s">
        <v>663</v>
      </c>
      <c r="C32" t="s">
        <v>596</v>
      </c>
      <c r="D32" t="s">
        <v>664</v>
      </c>
      <c r="E32">
        <v>984422282</v>
      </c>
      <c r="F32" t="s">
        <v>598</v>
      </c>
      <c r="G32" t="s">
        <v>665</v>
      </c>
      <c r="H32" t="s">
        <v>600</v>
      </c>
      <c r="I32" t="s">
        <v>601</v>
      </c>
    </row>
    <row r="33" spans="1:9">
      <c r="A33">
        <v>1311656308</v>
      </c>
      <c r="B33" t="s">
        <v>666</v>
      </c>
      <c r="C33" t="s">
        <v>596</v>
      </c>
      <c r="D33" t="s">
        <v>667</v>
      </c>
      <c r="E33">
        <v>982229471</v>
      </c>
      <c r="F33" t="s">
        <v>598</v>
      </c>
      <c r="G33" t="s">
        <v>599</v>
      </c>
      <c r="H33" t="s">
        <v>600</v>
      </c>
      <c r="I33" t="s">
        <v>601</v>
      </c>
    </row>
    <row r="34" spans="1:9">
      <c r="A34">
        <v>1309999702</v>
      </c>
      <c r="B34" t="s">
        <v>668</v>
      </c>
      <c r="C34" t="s">
        <v>669</v>
      </c>
      <c r="D34" t="s">
        <v>670</v>
      </c>
      <c r="E34">
        <v>982347292</v>
      </c>
      <c r="F34" t="s">
        <v>616</v>
      </c>
      <c r="G34" t="s">
        <v>599</v>
      </c>
      <c r="H34" t="s">
        <v>600</v>
      </c>
      <c r="I34" t="s">
        <v>601</v>
      </c>
    </row>
    <row r="35" spans="1:9">
      <c r="A35">
        <v>1307391449</v>
      </c>
      <c r="B35" t="s">
        <v>671</v>
      </c>
      <c r="C35" t="s">
        <v>669</v>
      </c>
      <c r="D35" t="s">
        <v>672</v>
      </c>
      <c r="E35">
        <v>996740969</v>
      </c>
      <c r="F35" t="s">
        <v>598</v>
      </c>
      <c r="G35" t="s">
        <v>599</v>
      </c>
      <c r="H35" t="s">
        <v>600</v>
      </c>
      <c r="I35" t="s">
        <v>601</v>
      </c>
    </row>
    <row r="36" spans="1:9">
      <c r="A36">
        <v>1305585836</v>
      </c>
      <c r="B36" t="s">
        <v>673</v>
      </c>
      <c r="C36" t="s">
        <v>669</v>
      </c>
      <c r="D36" t="s">
        <v>674</v>
      </c>
      <c r="E36">
        <v>991056946</v>
      </c>
      <c r="F36" t="s">
        <v>598</v>
      </c>
      <c r="G36" t="s">
        <v>665</v>
      </c>
      <c r="H36" t="s">
        <v>600</v>
      </c>
      <c r="I36" t="s">
        <v>601</v>
      </c>
    </row>
    <row r="37" spans="1:9">
      <c r="A37">
        <v>1311879108</v>
      </c>
      <c r="B37" t="s">
        <v>675</v>
      </c>
      <c r="C37" t="s">
        <v>669</v>
      </c>
      <c r="D37" t="s">
        <v>676</v>
      </c>
      <c r="E37">
        <v>983076549</v>
      </c>
      <c r="F37" t="s">
        <v>598</v>
      </c>
      <c r="G37" t="s">
        <v>599</v>
      </c>
      <c r="H37" t="s">
        <v>600</v>
      </c>
      <c r="I37" t="s">
        <v>601</v>
      </c>
    </row>
    <row r="38" spans="1:9">
      <c r="A38">
        <v>914097308</v>
      </c>
      <c r="B38" t="s">
        <v>677</v>
      </c>
      <c r="C38" t="s">
        <v>669</v>
      </c>
      <c r="D38" t="s">
        <v>678</v>
      </c>
      <c r="E38">
        <v>986930000</v>
      </c>
      <c r="F38" t="s">
        <v>598</v>
      </c>
      <c r="G38" t="s">
        <v>599</v>
      </c>
      <c r="H38" t="s">
        <v>600</v>
      </c>
      <c r="I38" t="s">
        <v>601</v>
      </c>
    </row>
    <row r="39" spans="1:9">
      <c r="A39">
        <v>1304988296</v>
      </c>
      <c r="B39" t="s">
        <v>679</v>
      </c>
      <c r="C39" t="s">
        <v>669</v>
      </c>
      <c r="D39" t="s">
        <v>680</v>
      </c>
      <c r="E39">
        <v>984034398</v>
      </c>
      <c r="F39" t="s">
        <v>616</v>
      </c>
      <c r="G39" t="s">
        <v>599</v>
      </c>
      <c r="H39" t="s">
        <v>600</v>
      </c>
      <c r="I39" t="s">
        <v>601</v>
      </c>
    </row>
    <row r="40" spans="1:9">
      <c r="A40">
        <v>1307048296</v>
      </c>
      <c r="B40" t="s">
        <v>65</v>
      </c>
      <c r="C40" t="s">
        <v>669</v>
      </c>
      <c r="D40" t="s">
        <v>681</v>
      </c>
      <c r="E40">
        <v>998809697</v>
      </c>
      <c r="F40" t="s">
        <v>598</v>
      </c>
      <c r="G40" t="s">
        <v>599</v>
      </c>
      <c r="H40" t="s">
        <v>600</v>
      </c>
      <c r="I40" t="s">
        <v>601</v>
      </c>
    </row>
    <row r="41" spans="1:9">
      <c r="A41">
        <v>1305986109</v>
      </c>
      <c r="B41" t="s">
        <v>682</v>
      </c>
      <c r="C41" t="s">
        <v>669</v>
      </c>
      <c r="D41" t="s">
        <v>683</v>
      </c>
      <c r="E41">
        <v>999100632</v>
      </c>
      <c r="F41" t="s">
        <v>598</v>
      </c>
      <c r="G41" t="s">
        <v>599</v>
      </c>
      <c r="H41" t="s">
        <v>684</v>
      </c>
      <c r="I41" t="s">
        <v>601</v>
      </c>
    </row>
    <row r="42" spans="1:9">
      <c r="A42">
        <v>1309547907</v>
      </c>
      <c r="B42" t="s">
        <v>685</v>
      </c>
      <c r="C42" t="s">
        <v>669</v>
      </c>
      <c r="D42" t="s">
        <v>686</v>
      </c>
      <c r="E42">
        <v>990345098</v>
      </c>
      <c r="F42" t="s">
        <v>616</v>
      </c>
      <c r="G42" t="s">
        <v>599</v>
      </c>
      <c r="H42" t="s">
        <v>600</v>
      </c>
      <c r="I42" t="s">
        <v>601</v>
      </c>
    </row>
    <row r="43" spans="1:9">
      <c r="A43">
        <v>1310093578</v>
      </c>
      <c r="B43" t="s">
        <v>687</v>
      </c>
      <c r="C43" t="s">
        <v>669</v>
      </c>
      <c r="D43" t="s">
        <v>688</v>
      </c>
      <c r="E43">
        <v>984687668</v>
      </c>
      <c r="F43" t="s">
        <v>598</v>
      </c>
      <c r="G43" t="s">
        <v>599</v>
      </c>
      <c r="H43" t="s">
        <v>624</v>
      </c>
      <c r="I43" t="s">
        <v>601</v>
      </c>
    </row>
    <row r="44" spans="1:9">
      <c r="A44">
        <v>1305963165</v>
      </c>
      <c r="B44" t="s">
        <v>689</v>
      </c>
      <c r="C44" t="s">
        <v>669</v>
      </c>
      <c r="D44" t="s">
        <v>690</v>
      </c>
      <c r="E44">
        <v>996026807</v>
      </c>
      <c r="F44" t="s">
        <v>598</v>
      </c>
      <c r="G44" t="s">
        <v>599</v>
      </c>
      <c r="H44" t="s">
        <v>600</v>
      </c>
      <c r="I44" t="s">
        <v>601</v>
      </c>
    </row>
    <row r="45" spans="1:9">
      <c r="A45">
        <v>1303943425</v>
      </c>
      <c r="B45" t="s">
        <v>691</v>
      </c>
      <c r="C45" t="s">
        <v>669</v>
      </c>
      <c r="D45" t="s">
        <v>692</v>
      </c>
      <c r="E45">
        <v>997732273</v>
      </c>
      <c r="F45" t="s">
        <v>598</v>
      </c>
      <c r="G45" t="s">
        <v>599</v>
      </c>
      <c r="H45" t="s">
        <v>600</v>
      </c>
      <c r="I45" t="s">
        <v>601</v>
      </c>
    </row>
    <row r="46" spans="1:9">
      <c r="A46">
        <v>1303409500</v>
      </c>
      <c r="B46" t="s">
        <v>693</v>
      </c>
      <c r="C46" t="s">
        <v>669</v>
      </c>
      <c r="D46" t="s">
        <v>694</v>
      </c>
      <c r="E46">
        <v>999616152</v>
      </c>
      <c r="F46" t="s">
        <v>598</v>
      </c>
      <c r="G46" t="s">
        <v>599</v>
      </c>
      <c r="H46" t="s">
        <v>600</v>
      </c>
      <c r="I46" t="s">
        <v>601</v>
      </c>
    </row>
    <row r="47" spans="1:9">
      <c r="A47">
        <v>1307804532</v>
      </c>
      <c r="B47" t="s">
        <v>695</v>
      </c>
      <c r="C47" t="s">
        <v>669</v>
      </c>
      <c r="D47" t="s">
        <v>696</v>
      </c>
      <c r="E47">
        <v>995881413</v>
      </c>
      <c r="F47" t="s">
        <v>598</v>
      </c>
      <c r="G47" t="s">
        <v>599</v>
      </c>
      <c r="H47" t="s">
        <v>600</v>
      </c>
      <c r="I47" t="s">
        <v>601</v>
      </c>
    </row>
    <row r="48" spans="1:9">
      <c r="A48">
        <v>1310734338</v>
      </c>
      <c r="B48" t="s">
        <v>697</v>
      </c>
      <c r="C48" t="s">
        <v>669</v>
      </c>
      <c r="D48" t="s">
        <v>698</v>
      </c>
      <c r="E48">
        <v>993309934</v>
      </c>
      <c r="F48" t="s">
        <v>598</v>
      </c>
      <c r="G48" t="s">
        <v>599</v>
      </c>
      <c r="H48" t="s">
        <v>600</v>
      </c>
      <c r="I48" t="s">
        <v>601</v>
      </c>
    </row>
    <row r="49" spans="1:9">
      <c r="A49">
        <v>1307091825</v>
      </c>
      <c r="B49" t="s">
        <v>699</v>
      </c>
      <c r="C49" t="s">
        <v>669</v>
      </c>
      <c r="D49" t="s">
        <v>700</v>
      </c>
      <c r="E49">
        <v>985832342</v>
      </c>
      <c r="F49" t="s">
        <v>616</v>
      </c>
      <c r="G49" t="s">
        <v>599</v>
      </c>
      <c r="H49" t="s">
        <v>600</v>
      </c>
      <c r="I49" t="s">
        <v>601</v>
      </c>
    </row>
    <row r="50" spans="1:9">
      <c r="A50">
        <v>1304021932</v>
      </c>
      <c r="B50" t="s">
        <v>701</v>
      </c>
      <c r="C50" t="s">
        <v>669</v>
      </c>
      <c r="D50" t="s">
        <v>702</v>
      </c>
      <c r="E50">
        <v>997507218</v>
      </c>
      <c r="F50" t="s">
        <v>598</v>
      </c>
      <c r="G50" t="s">
        <v>599</v>
      </c>
      <c r="H50" t="s">
        <v>600</v>
      </c>
      <c r="I50" t="s">
        <v>601</v>
      </c>
    </row>
    <row r="51" spans="1:9">
      <c r="A51">
        <v>1307077220</v>
      </c>
      <c r="B51" t="s">
        <v>7</v>
      </c>
      <c r="C51" t="s">
        <v>703</v>
      </c>
      <c r="D51" t="s">
        <v>704</v>
      </c>
      <c r="E51">
        <v>992291625</v>
      </c>
      <c r="F51" t="s">
        <v>598</v>
      </c>
      <c r="G51" t="s">
        <v>599</v>
      </c>
      <c r="H51" t="s">
        <v>600</v>
      </c>
      <c r="I51" t="s">
        <v>601</v>
      </c>
    </row>
    <row r="52" spans="1:9">
      <c r="A52">
        <v>1313436188</v>
      </c>
      <c r="B52" t="s">
        <v>10</v>
      </c>
      <c r="C52" t="s">
        <v>703</v>
      </c>
      <c r="D52" t="s">
        <v>705</v>
      </c>
      <c r="E52">
        <v>995203274</v>
      </c>
      <c r="F52" t="s">
        <v>598</v>
      </c>
      <c r="G52" t="s">
        <v>599</v>
      </c>
      <c r="H52" t="s">
        <v>624</v>
      </c>
      <c r="I52" t="s">
        <v>601</v>
      </c>
    </row>
    <row r="53" spans="1:9">
      <c r="A53">
        <v>802191734</v>
      </c>
      <c r="B53" t="s">
        <v>80</v>
      </c>
      <c r="C53" t="s">
        <v>703</v>
      </c>
      <c r="D53" t="s">
        <v>706</v>
      </c>
      <c r="E53">
        <v>995886846</v>
      </c>
      <c r="F53" t="s">
        <v>598</v>
      </c>
      <c r="G53" t="s">
        <v>599</v>
      </c>
      <c r="H53" t="s">
        <v>600</v>
      </c>
      <c r="I53" t="s">
        <v>601</v>
      </c>
    </row>
    <row r="54" spans="1:9">
      <c r="A54">
        <v>1304764002</v>
      </c>
      <c r="B54" t="s">
        <v>16</v>
      </c>
      <c r="C54" t="s">
        <v>703</v>
      </c>
      <c r="D54" t="s">
        <v>707</v>
      </c>
      <c r="E54">
        <v>993004142</v>
      </c>
      <c r="F54" t="s">
        <v>598</v>
      </c>
      <c r="G54" t="s">
        <v>599</v>
      </c>
      <c r="H54" t="s">
        <v>600</v>
      </c>
      <c r="I54" t="s">
        <v>601</v>
      </c>
    </row>
    <row r="55" spans="1:9">
      <c r="A55">
        <v>911662674</v>
      </c>
      <c r="B55" t="s">
        <v>21</v>
      </c>
      <c r="C55" t="s">
        <v>703</v>
      </c>
      <c r="D55" t="s">
        <v>708</v>
      </c>
      <c r="E55">
        <v>983833578</v>
      </c>
      <c r="F55" t="s">
        <v>598</v>
      </c>
      <c r="G55" t="s">
        <v>599</v>
      </c>
      <c r="H55" t="s">
        <v>600</v>
      </c>
      <c r="I55" t="s">
        <v>601</v>
      </c>
    </row>
    <row r="56" spans="1:9">
      <c r="A56">
        <v>1309751582</v>
      </c>
      <c r="B56" t="s">
        <v>26</v>
      </c>
      <c r="C56" t="s">
        <v>703</v>
      </c>
      <c r="D56" t="s">
        <v>709</v>
      </c>
      <c r="E56">
        <v>992136998</v>
      </c>
      <c r="F56" t="s">
        <v>598</v>
      </c>
      <c r="G56" t="s">
        <v>599</v>
      </c>
      <c r="H56" t="s">
        <v>600</v>
      </c>
      <c r="I56" t="s">
        <v>601</v>
      </c>
    </row>
    <row r="57" spans="1:9">
      <c r="A57">
        <v>1309499521</v>
      </c>
      <c r="B57" t="s">
        <v>31</v>
      </c>
      <c r="C57" t="s">
        <v>703</v>
      </c>
      <c r="D57" t="s">
        <v>710</v>
      </c>
      <c r="E57">
        <v>999922160</v>
      </c>
      <c r="F57" t="s">
        <v>598</v>
      </c>
      <c r="G57" t="s">
        <v>599</v>
      </c>
      <c r="H57" t="s">
        <v>600</v>
      </c>
      <c r="I57" t="s">
        <v>601</v>
      </c>
    </row>
    <row r="58" spans="1:9">
      <c r="A58">
        <v>1306306000</v>
      </c>
      <c r="B58" t="s">
        <v>34</v>
      </c>
      <c r="C58" t="s">
        <v>703</v>
      </c>
      <c r="D58" t="s">
        <v>711</v>
      </c>
      <c r="E58">
        <v>984892652</v>
      </c>
      <c r="F58" t="s">
        <v>598</v>
      </c>
      <c r="G58" t="s">
        <v>599</v>
      </c>
      <c r="H58" t="s">
        <v>600</v>
      </c>
      <c r="I58" t="s">
        <v>601</v>
      </c>
    </row>
    <row r="59" spans="1:9">
      <c r="A59">
        <v>1305904797</v>
      </c>
      <c r="B59" t="s">
        <v>37</v>
      </c>
      <c r="C59" t="s">
        <v>703</v>
      </c>
      <c r="D59" t="s">
        <v>712</v>
      </c>
      <c r="E59">
        <v>989744596</v>
      </c>
      <c r="F59" t="s">
        <v>598</v>
      </c>
      <c r="G59" t="s">
        <v>599</v>
      </c>
      <c r="H59" t="s">
        <v>713</v>
      </c>
      <c r="I59" t="s">
        <v>601</v>
      </c>
    </row>
    <row r="60" spans="1:9">
      <c r="A60">
        <v>801939851</v>
      </c>
      <c r="B60" t="s">
        <v>39</v>
      </c>
      <c r="C60" t="s">
        <v>703</v>
      </c>
      <c r="D60" t="s">
        <v>714</v>
      </c>
      <c r="E60">
        <v>984813260</v>
      </c>
      <c r="F60" t="s">
        <v>598</v>
      </c>
      <c r="G60" t="s">
        <v>599</v>
      </c>
      <c r="H60" t="s">
        <v>600</v>
      </c>
      <c r="I60" t="s">
        <v>601</v>
      </c>
    </row>
    <row r="61" spans="1:9">
      <c r="A61">
        <v>1311724569</v>
      </c>
      <c r="B61" t="s">
        <v>42</v>
      </c>
      <c r="C61" t="s">
        <v>703</v>
      </c>
      <c r="D61" t="s">
        <v>715</v>
      </c>
      <c r="E61">
        <v>982268100</v>
      </c>
      <c r="F61" t="s">
        <v>598</v>
      </c>
      <c r="G61" t="s">
        <v>599</v>
      </c>
      <c r="H61" t="s">
        <v>600</v>
      </c>
      <c r="I61" t="s">
        <v>601</v>
      </c>
    </row>
    <row r="62" spans="1:9">
      <c r="A62">
        <v>1306183573</v>
      </c>
      <c r="B62" t="s">
        <v>45</v>
      </c>
      <c r="C62" t="s">
        <v>703</v>
      </c>
      <c r="D62" t="s">
        <v>716</v>
      </c>
      <c r="E62">
        <v>990730382</v>
      </c>
      <c r="F62" t="s">
        <v>598</v>
      </c>
      <c r="G62" t="s">
        <v>599</v>
      </c>
      <c r="H62" t="s">
        <v>600</v>
      </c>
      <c r="I62" t="s">
        <v>601</v>
      </c>
    </row>
    <row r="63" spans="1:9">
      <c r="A63">
        <v>1751705508</v>
      </c>
      <c r="B63" t="s">
        <v>717</v>
      </c>
      <c r="C63" t="s">
        <v>703</v>
      </c>
      <c r="D63" t="s">
        <v>718</v>
      </c>
      <c r="E63">
        <v>983581535</v>
      </c>
      <c r="F63" t="s">
        <v>598</v>
      </c>
      <c r="G63" t="s">
        <v>599</v>
      </c>
      <c r="H63" t="s">
        <v>600</v>
      </c>
      <c r="I63" t="s">
        <v>601</v>
      </c>
    </row>
    <row r="64" spans="1:9">
      <c r="A64">
        <v>1311966418</v>
      </c>
      <c r="B64" t="s">
        <v>48</v>
      </c>
      <c r="C64" t="s">
        <v>703</v>
      </c>
      <c r="D64" t="s">
        <v>719</v>
      </c>
      <c r="E64">
        <v>984851444</v>
      </c>
      <c r="F64" t="s">
        <v>598</v>
      </c>
      <c r="G64" t="s">
        <v>599</v>
      </c>
      <c r="H64" t="s">
        <v>600</v>
      </c>
      <c r="I64" t="s">
        <v>601</v>
      </c>
    </row>
    <row r="65" spans="1:9">
      <c r="A65">
        <v>1309704565</v>
      </c>
      <c r="B65" t="s">
        <v>51</v>
      </c>
      <c r="C65" t="s">
        <v>703</v>
      </c>
      <c r="D65" t="s">
        <v>720</v>
      </c>
      <c r="E65">
        <v>994290358</v>
      </c>
      <c r="F65" t="s">
        <v>598</v>
      </c>
      <c r="G65" t="s">
        <v>599</v>
      </c>
      <c r="H65" t="s">
        <v>600</v>
      </c>
      <c r="I65" t="s">
        <v>601</v>
      </c>
    </row>
    <row r="66" spans="1:9">
      <c r="A66">
        <v>1310474414</v>
      </c>
      <c r="B66" t="s">
        <v>54</v>
      </c>
      <c r="C66" t="s">
        <v>703</v>
      </c>
      <c r="D66" t="s">
        <v>721</v>
      </c>
      <c r="E66">
        <v>983363555</v>
      </c>
      <c r="F66" t="s">
        <v>616</v>
      </c>
      <c r="G66" t="s">
        <v>599</v>
      </c>
      <c r="H66" t="s">
        <v>600</v>
      </c>
      <c r="I66" t="s">
        <v>601</v>
      </c>
    </row>
    <row r="67" spans="1:9">
      <c r="A67">
        <v>1310563497</v>
      </c>
      <c r="B67" t="s">
        <v>61</v>
      </c>
      <c r="C67" t="s">
        <v>703</v>
      </c>
      <c r="D67" t="s">
        <v>722</v>
      </c>
      <c r="E67">
        <v>999296105</v>
      </c>
      <c r="F67" t="s">
        <v>598</v>
      </c>
      <c r="G67" t="s">
        <v>619</v>
      </c>
      <c r="H67" t="s">
        <v>624</v>
      </c>
      <c r="I67" t="s">
        <v>601</v>
      </c>
    </row>
    <row r="68" spans="1:9">
      <c r="A68">
        <v>1312874314</v>
      </c>
      <c r="B68" t="s">
        <v>63</v>
      </c>
      <c r="C68" t="s">
        <v>703</v>
      </c>
      <c r="D68" t="s">
        <v>723</v>
      </c>
      <c r="E68">
        <v>969091232</v>
      </c>
      <c r="F68" t="s">
        <v>598</v>
      </c>
      <c r="G68" t="s">
        <v>599</v>
      </c>
      <c r="H68" t="s">
        <v>624</v>
      </c>
      <c r="I68" t="s">
        <v>601</v>
      </c>
    </row>
    <row r="69" spans="1:9">
      <c r="A69">
        <v>1309288395</v>
      </c>
      <c r="B69" t="s">
        <v>724</v>
      </c>
      <c r="C69" t="s">
        <v>703</v>
      </c>
      <c r="D69" t="s">
        <v>725</v>
      </c>
      <c r="E69">
        <v>996332062</v>
      </c>
      <c r="F69" t="s">
        <v>598</v>
      </c>
      <c r="G69" t="s">
        <v>599</v>
      </c>
      <c r="H69" t="s">
        <v>600</v>
      </c>
      <c r="I69" t="s">
        <v>601</v>
      </c>
    </row>
    <row r="70" spans="1:9">
      <c r="A70">
        <v>1304549452</v>
      </c>
      <c r="B70" t="s">
        <v>68</v>
      </c>
      <c r="C70" t="s">
        <v>703</v>
      </c>
      <c r="D70" t="s">
        <v>726</v>
      </c>
      <c r="E70">
        <v>985803987</v>
      </c>
      <c r="F70" t="s">
        <v>598</v>
      </c>
      <c r="G70" t="s">
        <v>599</v>
      </c>
      <c r="H70" t="s">
        <v>600</v>
      </c>
      <c r="I70" t="s">
        <v>601</v>
      </c>
    </row>
    <row r="71" spans="1:9">
      <c r="A71">
        <v>1310314602</v>
      </c>
      <c r="B71" t="s">
        <v>70</v>
      </c>
      <c r="C71" t="s">
        <v>703</v>
      </c>
      <c r="D71" t="s">
        <v>727</v>
      </c>
      <c r="E71">
        <v>989104994</v>
      </c>
      <c r="F71" t="s">
        <v>598</v>
      </c>
      <c r="G71" t="s">
        <v>599</v>
      </c>
      <c r="H71" t="s">
        <v>600</v>
      </c>
      <c r="I71" t="s">
        <v>601</v>
      </c>
    </row>
    <row r="72" spans="1:9">
      <c r="A72">
        <v>1305955856</v>
      </c>
      <c r="B72" t="s">
        <v>73</v>
      </c>
      <c r="C72" t="s">
        <v>703</v>
      </c>
      <c r="D72" t="s">
        <v>728</v>
      </c>
      <c r="E72">
        <v>987466061</v>
      </c>
      <c r="F72" t="s">
        <v>616</v>
      </c>
      <c r="G72" t="s">
        <v>599</v>
      </c>
      <c r="H72" t="s">
        <v>600</v>
      </c>
      <c r="I72" t="s">
        <v>601</v>
      </c>
    </row>
    <row r="73" spans="1:9">
      <c r="A73">
        <v>1308983558</v>
      </c>
      <c r="B73" t="s">
        <v>729</v>
      </c>
      <c r="C73" t="s">
        <v>703</v>
      </c>
      <c r="D73" t="s">
        <v>730</v>
      </c>
      <c r="E73">
        <v>998414095</v>
      </c>
      <c r="F73" t="s">
        <v>598</v>
      </c>
      <c r="G73" t="s">
        <v>599</v>
      </c>
      <c r="H73" t="s">
        <v>600</v>
      </c>
      <c r="I73" t="s">
        <v>601</v>
      </c>
    </row>
    <row r="74" spans="1:9">
      <c r="A74">
        <v>1305058859</v>
      </c>
      <c r="B74" t="s">
        <v>77</v>
      </c>
      <c r="C74" t="s">
        <v>703</v>
      </c>
      <c r="D74" t="s">
        <v>731</v>
      </c>
      <c r="E74">
        <v>994487273</v>
      </c>
      <c r="F74" t="s">
        <v>598</v>
      </c>
      <c r="G74" t="s">
        <v>599</v>
      </c>
      <c r="H74" t="s">
        <v>600</v>
      </c>
      <c r="I74" t="s">
        <v>601</v>
      </c>
    </row>
    <row r="75" spans="1:9">
      <c r="A75">
        <v>1308368230</v>
      </c>
      <c r="B75" t="s">
        <v>82</v>
      </c>
      <c r="C75" t="s">
        <v>703</v>
      </c>
      <c r="D75" t="s">
        <v>732</v>
      </c>
      <c r="E75">
        <v>996568861</v>
      </c>
      <c r="F75" t="s">
        <v>598</v>
      </c>
      <c r="G75" t="s">
        <v>599</v>
      </c>
      <c r="H75" t="s">
        <v>600</v>
      </c>
      <c r="I75" t="s">
        <v>601</v>
      </c>
    </row>
    <row r="76" spans="1:9">
      <c r="A76">
        <v>1311936239</v>
      </c>
      <c r="B76" t="s">
        <v>88</v>
      </c>
      <c r="C76" t="s">
        <v>703</v>
      </c>
      <c r="D76" t="s">
        <v>733</v>
      </c>
      <c r="E76">
        <v>986965389</v>
      </c>
      <c r="F76" t="s">
        <v>598</v>
      </c>
      <c r="G76" t="s">
        <v>599</v>
      </c>
      <c r="H76" t="s">
        <v>600</v>
      </c>
      <c r="I76" t="s">
        <v>601</v>
      </c>
    </row>
    <row r="77" spans="1:9">
      <c r="A77">
        <v>1307597201</v>
      </c>
      <c r="B77" t="s">
        <v>90</v>
      </c>
      <c r="C77" t="s">
        <v>703</v>
      </c>
      <c r="D77" t="s">
        <v>734</v>
      </c>
      <c r="E77">
        <v>985009851</v>
      </c>
      <c r="F77" t="s">
        <v>598</v>
      </c>
      <c r="G77" t="s">
        <v>619</v>
      </c>
      <c r="H77" t="s">
        <v>600</v>
      </c>
      <c r="I77" t="s">
        <v>601</v>
      </c>
    </row>
    <row r="78" spans="1:9">
      <c r="A78">
        <v>1306795087</v>
      </c>
      <c r="B78" t="s">
        <v>92</v>
      </c>
      <c r="C78" t="s">
        <v>703</v>
      </c>
      <c r="D78" t="s">
        <v>735</v>
      </c>
      <c r="E78">
        <v>994509264</v>
      </c>
      <c r="F78" t="s">
        <v>616</v>
      </c>
      <c r="G78" t="s">
        <v>599</v>
      </c>
      <c r="H78" t="s">
        <v>600</v>
      </c>
      <c r="I78" t="s">
        <v>601</v>
      </c>
    </row>
    <row r="79" spans="1:9">
      <c r="A79">
        <v>1312179870</v>
      </c>
      <c r="B79" t="s">
        <v>100</v>
      </c>
      <c r="C79" t="s">
        <v>703</v>
      </c>
      <c r="D79" t="s">
        <v>736</v>
      </c>
      <c r="E79">
        <v>993506845</v>
      </c>
      <c r="F79" t="s">
        <v>598</v>
      </c>
      <c r="G79" t="s">
        <v>619</v>
      </c>
      <c r="H79" t="s">
        <v>600</v>
      </c>
      <c r="I79" t="s">
        <v>601</v>
      </c>
    </row>
    <row r="80" spans="1:9">
      <c r="A80">
        <v>1311778698</v>
      </c>
      <c r="B80" t="s">
        <v>102</v>
      </c>
      <c r="C80" t="s">
        <v>703</v>
      </c>
      <c r="D80" t="s">
        <v>737</v>
      </c>
      <c r="E80">
        <v>979426887</v>
      </c>
      <c r="F80" t="s">
        <v>598</v>
      </c>
      <c r="G80" t="s">
        <v>599</v>
      </c>
      <c r="H80" t="s">
        <v>684</v>
      </c>
      <c r="I80" t="s">
        <v>601</v>
      </c>
    </row>
    <row r="81" spans="1:9">
      <c r="A81">
        <v>1304685215</v>
      </c>
      <c r="B81" t="s">
        <v>104</v>
      </c>
      <c r="C81" t="s">
        <v>703</v>
      </c>
      <c r="D81" t="s">
        <v>738</v>
      </c>
      <c r="E81">
        <v>990866973</v>
      </c>
      <c r="F81" t="s">
        <v>598</v>
      </c>
      <c r="G81" t="s">
        <v>599</v>
      </c>
      <c r="H81" t="s">
        <v>600</v>
      </c>
      <c r="I81" t="s">
        <v>601</v>
      </c>
    </row>
    <row r="82" spans="1:9">
      <c r="A82">
        <v>1310429434</v>
      </c>
      <c r="B82" t="s">
        <v>739</v>
      </c>
      <c r="C82" t="s">
        <v>703</v>
      </c>
      <c r="D82" t="s">
        <v>740</v>
      </c>
      <c r="E82">
        <v>989762385</v>
      </c>
      <c r="F82" t="s">
        <v>598</v>
      </c>
      <c r="G82" t="s">
        <v>599</v>
      </c>
      <c r="H82" t="s">
        <v>600</v>
      </c>
      <c r="I82" t="s">
        <v>601</v>
      </c>
    </row>
    <row r="83" spans="1:9">
      <c r="A83">
        <v>1305567610</v>
      </c>
      <c r="B83" t="s">
        <v>107</v>
      </c>
      <c r="C83" t="s">
        <v>703</v>
      </c>
      <c r="D83" t="s">
        <v>741</v>
      </c>
      <c r="E83">
        <v>967474963</v>
      </c>
      <c r="F83" t="s">
        <v>598</v>
      </c>
      <c r="G83" t="s">
        <v>599</v>
      </c>
      <c r="H83" t="s">
        <v>600</v>
      </c>
      <c r="I83" t="s">
        <v>601</v>
      </c>
    </row>
    <row r="84" spans="1:9">
      <c r="A84">
        <v>1312718487</v>
      </c>
      <c r="B84" t="s">
        <v>109</v>
      </c>
      <c r="C84" t="s">
        <v>703</v>
      </c>
      <c r="D84" t="s">
        <v>742</v>
      </c>
      <c r="E84">
        <v>994482463</v>
      </c>
      <c r="F84" t="s">
        <v>598</v>
      </c>
      <c r="G84" t="s">
        <v>599</v>
      </c>
      <c r="H84" t="s">
        <v>600</v>
      </c>
      <c r="I84" t="s">
        <v>601</v>
      </c>
    </row>
    <row r="85" spans="1:9">
      <c r="A85">
        <v>1315243376</v>
      </c>
      <c r="B85" t="s">
        <v>112</v>
      </c>
      <c r="C85" t="s">
        <v>703</v>
      </c>
      <c r="D85" t="s">
        <v>743</v>
      </c>
      <c r="E85">
        <v>981925543</v>
      </c>
      <c r="F85" t="s">
        <v>598</v>
      </c>
      <c r="G85" t="s">
        <v>599</v>
      </c>
      <c r="H85" t="s">
        <v>624</v>
      </c>
      <c r="I85" t="s">
        <v>601</v>
      </c>
    </row>
    <row r="86" spans="1:9">
      <c r="A86">
        <v>914125430</v>
      </c>
      <c r="B86" t="s">
        <v>116</v>
      </c>
      <c r="C86" t="s">
        <v>703</v>
      </c>
      <c r="D86" t="s">
        <v>744</v>
      </c>
      <c r="E86">
        <v>987672117</v>
      </c>
      <c r="F86" t="s">
        <v>598</v>
      </c>
      <c r="G86" t="s">
        <v>599</v>
      </c>
      <c r="H86" t="s">
        <v>600</v>
      </c>
      <c r="I86" t="s">
        <v>601</v>
      </c>
    </row>
    <row r="87" spans="1:9">
      <c r="A87">
        <v>1313313080</v>
      </c>
      <c r="B87" t="s">
        <v>119</v>
      </c>
      <c r="C87" t="s">
        <v>703</v>
      </c>
      <c r="D87" t="s">
        <v>745</v>
      </c>
      <c r="E87">
        <v>981710821</v>
      </c>
      <c r="F87" t="s">
        <v>598</v>
      </c>
      <c r="G87" t="s">
        <v>599</v>
      </c>
      <c r="H87" t="s">
        <v>600</v>
      </c>
      <c r="I87" t="s">
        <v>601</v>
      </c>
    </row>
    <row r="88" spans="1:9">
      <c r="A88">
        <v>1308646155</v>
      </c>
      <c r="B88" t="s">
        <v>122</v>
      </c>
      <c r="C88" t="s">
        <v>703</v>
      </c>
      <c r="D88" t="s">
        <v>746</v>
      </c>
      <c r="E88">
        <v>979056102</v>
      </c>
      <c r="F88" t="s">
        <v>598</v>
      </c>
      <c r="G88" t="s">
        <v>599</v>
      </c>
      <c r="H88" t="s">
        <v>600</v>
      </c>
      <c r="I88" t="s">
        <v>601</v>
      </c>
    </row>
    <row r="89" spans="1:9">
      <c r="A89">
        <v>1309206298</v>
      </c>
      <c r="B89" t="s">
        <v>124</v>
      </c>
      <c r="C89" t="s">
        <v>703</v>
      </c>
      <c r="D89" t="s">
        <v>747</v>
      </c>
      <c r="E89">
        <v>990952124</v>
      </c>
      <c r="F89" t="s">
        <v>598</v>
      </c>
      <c r="G89" t="s">
        <v>599</v>
      </c>
      <c r="H89" t="s">
        <v>600</v>
      </c>
      <c r="I89" t="s">
        <v>601</v>
      </c>
    </row>
    <row r="90" spans="1:9">
      <c r="A90">
        <v>1307802965</v>
      </c>
      <c r="B90" t="s">
        <v>748</v>
      </c>
      <c r="C90" t="s">
        <v>749</v>
      </c>
      <c r="D90" t="s">
        <v>750</v>
      </c>
      <c r="E90">
        <v>993943892</v>
      </c>
      <c r="F90" t="s">
        <v>598</v>
      </c>
      <c r="G90" t="s">
        <v>599</v>
      </c>
      <c r="H90" t="s">
        <v>600</v>
      </c>
      <c r="I90" t="s">
        <v>601</v>
      </c>
    </row>
    <row r="91" spans="1:9">
      <c r="A91">
        <v>1308294501</v>
      </c>
      <c r="B91" t="s">
        <v>13</v>
      </c>
      <c r="C91" t="s">
        <v>703</v>
      </c>
      <c r="D91" t="s">
        <v>751</v>
      </c>
      <c r="E91">
        <v>996421112</v>
      </c>
      <c r="F91" t="s">
        <v>598</v>
      </c>
      <c r="G91" t="s">
        <v>599</v>
      </c>
      <c r="H91" t="s">
        <v>600</v>
      </c>
      <c r="I91" t="s">
        <v>601</v>
      </c>
    </row>
    <row r="92" spans="1:9">
      <c r="A92">
        <v>1305769190</v>
      </c>
      <c r="B92" t="s">
        <v>752</v>
      </c>
      <c r="C92" t="s">
        <v>749</v>
      </c>
      <c r="D92" t="s">
        <v>753</v>
      </c>
      <c r="E92">
        <v>985751660</v>
      </c>
      <c r="F92" t="s">
        <v>598</v>
      </c>
      <c r="G92" t="s">
        <v>599</v>
      </c>
      <c r="H92" t="s">
        <v>600</v>
      </c>
      <c r="I92" t="s">
        <v>601</v>
      </c>
    </row>
    <row r="93" spans="1:9">
      <c r="A93">
        <v>1305935833</v>
      </c>
      <c r="B93" t="s">
        <v>754</v>
      </c>
      <c r="C93" t="s">
        <v>749</v>
      </c>
      <c r="D93" t="s">
        <v>755</v>
      </c>
      <c r="E93">
        <v>994348427</v>
      </c>
      <c r="F93" t="s">
        <v>616</v>
      </c>
      <c r="G93" t="s">
        <v>599</v>
      </c>
      <c r="H93" t="s">
        <v>600</v>
      </c>
      <c r="I93" t="s">
        <v>601</v>
      </c>
    </row>
    <row r="94" spans="1:9">
      <c r="A94">
        <v>1306238443</v>
      </c>
      <c r="B94" t="s">
        <v>756</v>
      </c>
      <c r="C94" t="s">
        <v>749</v>
      </c>
      <c r="D94" t="s">
        <v>757</v>
      </c>
      <c r="E94">
        <v>994546271</v>
      </c>
      <c r="F94" t="s">
        <v>616</v>
      </c>
      <c r="G94" t="s">
        <v>599</v>
      </c>
      <c r="H94" t="s">
        <v>600</v>
      </c>
      <c r="I94" t="s">
        <v>601</v>
      </c>
    </row>
    <row r="95" spans="1:9">
      <c r="A95">
        <v>1309715850</v>
      </c>
      <c r="B95" t="s">
        <v>758</v>
      </c>
      <c r="C95" t="s">
        <v>749</v>
      </c>
      <c r="D95" t="s">
        <v>759</v>
      </c>
      <c r="E95">
        <v>981038384</v>
      </c>
      <c r="F95" t="s">
        <v>598</v>
      </c>
      <c r="G95" t="s">
        <v>599</v>
      </c>
      <c r="H95" t="s">
        <v>600</v>
      </c>
      <c r="I95" t="s">
        <v>601</v>
      </c>
    </row>
    <row r="96" spans="1:9">
      <c r="A96">
        <v>1305124271</v>
      </c>
      <c r="B96" t="s">
        <v>760</v>
      </c>
      <c r="C96" t="s">
        <v>749</v>
      </c>
      <c r="D96" t="s">
        <v>761</v>
      </c>
      <c r="E96">
        <v>998723075</v>
      </c>
      <c r="F96" t="s">
        <v>598</v>
      </c>
      <c r="G96" t="s">
        <v>599</v>
      </c>
      <c r="H96" t="s">
        <v>600</v>
      </c>
      <c r="I96" t="s">
        <v>601</v>
      </c>
    </row>
    <row r="97" spans="1:9">
      <c r="A97">
        <v>1305057026</v>
      </c>
      <c r="B97" t="s">
        <v>762</v>
      </c>
      <c r="C97" t="s">
        <v>749</v>
      </c>
      <c r="D97" t="s">
        <v>763</v>
      </c>
      <c r="E97">
        <v>982409063</v>
      </c>
      <c r="F97" t="s">
        <v>598</v>
      </c>
      <c r="G97" t="s">
        <v>599</v>
      </c>
      <c r="H97" t="s">
        <v>600</v>
      </c>
      <c r="I97" t="s">
        <v>601</v>
      </c>
    </row>
    <row r="98" spans="1:9">
      <c r="A98">
        <v>1305501809</v>
      </c>
      <c r="B98" t="s">
        <v>764</v>
      </c>
      <c r="C98" t="s">
        <v>703</v>
      </c>
      <c r="D98" t="s">
        <v>765</v>
      </c>
      <c r="E98">
        <v>984980465</v>
      </c>
      <c r="F98" t="s">
        <v>598</v>
      </c>
      <c r="G98" t="s">
        <v>619</v>
      </c>
      <c r="H98" t="s">
        <v>600</v>
      </c>
      <c r="I98" t="s">
        <v>601</v>
      </c>
    </row>
    <row r="99" spans="1:9">
      <c r="A99">
        <v>1307842383</v>
      </c>
      <c r="B99" t="s">
        <v>766</v>
      </c>
      <c r="C99" t="s">
        <v>749</v>
      </c>
      <c r="D99" t="s">
        <v>767</v>
      </c>
      <c r="E99">
        <v>939868131</v>
      </c>
      <c r="F99" t="s">
        <v>598</v>
      </c>
      <c r="G99" t="s">
        <v>599</v>
      </c>
      <c r="H99" t="s">
        <v>600</v>
      </c>
      <c r="I99" t="s">
        <v>601</v>
      </c>
    </row>
    <row r="100" spans="1:9">
      <c r="A100">
        <v>920298205</v>
      </c>
      <c r="B100" t="s">
        <v>768</v>
      </c>
      <c r="C100" t="s">
        <v>749</v>
      </c>
      <c r="D100" t="s">
        <v>769</v>
      </c>
      <c r="E100">
        <v>992387741</v>
      </c>
      <c r="F100" t="s">
        <v>598</v>
      </c>
      <c r="G100" t="s">
        <v>599</v>
      </c>
      <c r="H100" t="s">
        <v>600</v>
      </c>
      <c r="I100" t="s">
        <v>601</v>
      </c>
    </row>
    <row r="101" spans="1:9">
      <c r="A101">
        <v>1306444595</v>
      </c>
      <c r="B101" t="s">
        <v>770</v>
      </c>
      <c r="C101" t="s">
        <v>749</v>
      </c>
      <c r="D101" t="s">
        <v>771</v>
      </c>
      <c r="E101">
        <v>900000044</v>
      </c>
      <c r="F101" t="s">
        <v>616</v>
      </c>
      <c r="G101" t="s">
        <v>599</v>
      </c>
      <c r="H101" t="s">
        <v>600</v>
      </c>
      <c r="I101" t="s">
        <v>601</v>
      </c>
    </row>
    <row r="102" spans="1:9">
      <c r="A102">
        <v>1312606476</v>
      </c>
      <c r="B102" t="s">
        <v>772</v>
      </c>
      <c r="C102" t="s">
        <v>749</v>
      </c>
      <c r="D102" t="s">
        <v>773</v>
      </c>
      <c r="E102">
        <v>992045309</v>
      </c>
      <c r="F102" t="s">
        <v>598</v>
      </c>
      <c r="G102" t="s">
        <v>599</v>
      </c>
      <c r="H102" t="s">
        <v>684</v>
      </c>
      <c r="I102" t="s">
        <v>601</v>
      </c>
    </row>
    <row r="103" spans="1:9">
      <c r="A103">
        <v>913857033</v>
      </c>
      <c r="B103" t="s">
        <v>774</v>
      </c>
      <c r="C103" t="s">
        <v>749</v>
      </c>
      <c r="D103" t="s">
        <v>775</v>
      </c>
      <c r="E103">
        <v>997877586</v>
      </c>
      <c r="F103" t="s">
        <v>598</v>
      </c>
      <c r="G103" t="s">
        <v>599</v>
      </c>
      <c r="H103" t="s">
        <v>600</v>
      </c>
      <c r="I103" t="s">
        <v>601</v>
      </c>
    </row>
    <row r="104" spans="1:9">
      <c r="A104">
        <v>1311099749</v>
      </c>
      <c r="B104" t="s">
        <v>776</v>
      </c>
      <c r="C104" t="s">
        <v>749</v>
      </c>
      <c r="D104" t="s">
        <v>777</v>
      </c>
      <c r="E104">
        <v>981169502</v>
      </c>
      <c r="F104" t="s">
        <v>598</v>
      </c>
      <c r="G104" t="s">
        <v>599</v>
      </c>
      <c r="H104" t="s">
        <v>600</v>
      </c>
      <c r="I104" t="s">
        <v>601</v>
      </c>
    </row>
    <row r="105" spans="1:9">
      <c r="A105">
        <v>1315680429</v>
      </c>
      <c r="B105" t="s">
        <v>778</v>
      </c>
      <c r="C105" t="s">
        <v>749</v>
      </c>
      <c r="D105" t="s">
        <v>779</v>
      </c>
      <c r="E105">
        <v>990901691</v>
      </c>
      <c r="F105" t="s">
        <v>616</v>
      </c>
      <c r="G105" t="s">
        <v>599</v>
      </c>
      <c r="H105" t="s">
        <v>600</v>
      </c>
      <c r="I105" t="s">
        <v>601</v>
      </c>
    </row>
    <row r="106" spans="1:9">
      <c r="A106">
        <v>1306293687</v>
      </c>
      <c r="B106" t="s">
        <v>780</v>
      </c>
      <c r="C106" t="s">
        <v>781</v>
      </c>
      <c r="D106" t="s">
        <v>782</v>
      </c>
      <c r="E106">
        <v>999826209</v>
      </c>
      <c r="F106" t="s">
        <v>598</v>
      </c>
      <c r="G106" t="s">
        <v>599</v>
      </c>
      <c r="H106" t="s">
        <v>600</v>
      </c>
      <c r="I106" t="s">
        <v>601</v>
      </c>
    </row>
    <row r="107" spans="1:9">
      <c r="A107">
        <v>1306260959</v>
      </c>
      <c r="B107" t="s">
        <v>783</v>
      </c>
      <c r="C107" t="s">
        <v>781</v>
      </c>
      <c r="D107" t="s">
        <v>784</v>
      </c>
      <c r="E107">
        <v>997945151</v>
      </c>
      <c r="F107" t="s">
        <v>598</v>
      </c>
      <c r="G107" t="s">
        <v>599</v>
      </c>
      <c r="H107" t="s">
        <v>600</v>
      </c>
      <c r="I107" t="s">
        <v>601</v>
      </c>
    </row>
    <row r="108" spans="1:9">
      <c r="A108">
        <v>1310640097</v>
      </c>
      <c r="B108" t="s">
        <v>785</v>
      </c>
      <c r="C108" t="s">
        <v>781</v>
      </c>
      <c r="D108" t="s">
        <v>786</v>
      </c>
      <c r="E108">
        <v>996373875</v>
      </c>
      <c r="F108" t="s">
        <v>598</v>
      </c>
      <c r="G108" t="s">
        <v>599</v>
      </c>
      <c r="H108" t="s">
        <v>600</v>
      </c>
      <c r="I108" t="s">
        <v>601</v>
      </c>
    </row>
    <row r="109" spans="1:9">
      <c r="A109">
        <v>1311779241</v>
      </c>
      <c r="B109" t="s">
        <v>787</v>
      </c>
      <c r="C109" t="s">
        <v>781</v>
      </c>
      <c r="D109" t="s">
        <v>788</v>
      </c>
      <c r="E109">
        <v>980343467</v>
      </c>
      <c r="F109" t="s">
        <v>598</v>
      </c>
      <c r="G109" t="s">
        <v>599</v>
      </c>
      <c r="H109" t="s">
        <v>600</v>
      </c>
      <c r="I109" t="s">
        <v>601</v>
      </c>
    </row>
    <row r="110" spans="1:9">
      <c r="A110">
        <v>1303385957</v>
      </c>
      <c r="B110" t="s">
        <v>789</v>
      </c>
      <c r="C110" t="s">
        <v>781</v>
      </c>
      <c r="D110" t="s">
        <v>790</v>
      </c>
      <c r="E110">
        <v>987224114</v>
      </c>
      <c r="F110" t="s">
        <v>598</v>
      </c>
      <c r="G110" t="s">
        <v>599</v>
      </c>
      <c r="H110" t="s">
        <v>600</v>
      </c>
      <c r="I110" t="s">
        <v>601</v>
      </c>
    </row>
    <row r="111" spans="1:9">
      <c r="A111">
        <v>1309746871</v>
      </c>
      <c r="B111" t="s">
        <v>791</v>
      </c>
      <c r="C111" t="s">
        <v>781</v>
      </c>
      <c r="D111" t="s">
        <v>792</v>
      </c>
      <c r="E111">
        <v>992244137</v>
      </c>
      <c r="F111" t="s">
        <v>616</v>
      </c>
      <c r="G111" t="s">
        <v>599</v>
      </c>
      <c r="H111" t="s">
        <v>713</v>
      </c>
      <c r="I111" t="s">
        <v>601</v>
      </c>
    </row>
    <row r="112" spans="1:9">
      <c r="A112">
        <v>1305509448</v>
      </c>
      <c r="B112" t="s">
        <v>793</v>
      </c>
      <c r="C112" t="s">
        <v>669</v>
      </c>
      <c r="D112" t="s">
        <v>794</v>
      </c>
      <c r="E112">
        <v>995141673</v>
      </c>
      <c r="F112" t="s">
        <v>598</v>
      </c>
      <c r="G112" t="s">
        <v>599</v>
      </c>
      <c r="H112" t="s">
        <v>600</v>
      </c>
      <c r="I112" t="s">
        <v>601</v>
      </c>
    </row>
    <row r="113" spans="1:9">
      <c r="A113">
        <v>910619543</v>
      </c>
      <c r="B113" t="s">
        <v>795</v>
      </c>
      <c r="C113" t="s">
        <v>781</v>
      </c>
      <c r="D113" t="s">
        <v>796</v>
      </c>
      <c r="E113">
        <v>986305500</v>
      </c>
      <c r="F113" t="s">
        <v>598</v>
      </c>
      <c r="G113" t="s">
        <v>599</v>
      </c>
      <c r="H113" t="s">
        <v>600</v>
      </c>
      <c r="I113" t="s">
        <v>601</v>
      </c>
    </row>
    <row r="114" spans="1:9">
      <c r="A114">
        <v>1311369464</v>
      </c>
      <c r="B114" t="s">
        <v>797</v>
      </c>
      <c r="C114" t="s">
        <v>781</v>
      </c>
      <c r="D114" t="s">
        <v>798</v>
      </c>
      <c r="E114">
        <v>996925400</v>
      </c>
      <c r="F114" t="s">
        <v>598</v>
      </c>
      <c r="G114" t="s">
        <v>599</v>
      </c>
      <c r="H114" t="s">
        <v>600</v>
      </c>
      <c r="I114" t="s">
        <v>601</v>
      </c>
    </row>
    <row r="115" spans="1:9">
      <c r="A115">
        <v>1306763218</v>
      </c>
      <c r="B115" t="s">
        <v>799</v>
      </c>
      <c r="C115" t="s">
        <v>781</v>
      </c>
      <c r="D115" t="s">
        <v>800</v>
      </c>
      <c r="E115">
        <v>95490040</v>
      </c>
      <c r="F115" t="s">
        <v>598</v>
      </c>
      <c r="G115" t="s">
        <v>599</v>
      </c>
      <c r="H115" t="s">
        <v>600</v>
      </c>
      <c r="I115" t="s">
        <v>601</v>
      </c>
    </row>
    <row r="116" spans="1:9">
      <c r="A116">
        <v>1302940091</v>
      </c>
      <c r="B116" t="s">
        <v>801</v>
      </c>
      <c r="C116" t="s">
        <v>781</v>
      </c>
      <c r="D116" t="s">
        <v>802</v>
      </c>
      <c r="E116">
        <v>982228268</v>
      </c>
      <c r="F116" t="s">
        <v>616</v>
      </c>
      <c r="G116" t="s">
        <v>599</v>
      </c>
      <c r="H116" t="s">
        <v>600</v>
      </c>
      <c r="I116" t="s">
        <v>601</v>
      </c>
    </row>
    <row r="117" spans="1:9">
      <c r="A117">
        <v>1311498222</v>
      </c>
      <c r="B117" t="s">
        <v>803</v>
      </c>
      <c r="C117" t="s">
        <v>781</v>
      </c>
      <c r="D117" t="s">
        <v>804</v>
      </c>
      <c r="E117">
        <v>994564918</v>
      </c>
      <c r="F117" t="s">
        <v>598</v>
      </c>
      <c r="G117" t="s">
        <v>599</v>
      </c>
      <c r="H117" t="s">
        <v>600</v>
      </c>
      <c r="I117" t="s">
        <v>601</v>
      </c>
    </row>
    <row r="118" spans="1:9">
      <c r="A118">
        <v>1310419138</v>
      </c>
      <c r="B118" t="s">
        <v>805</v>
      </c>
      <c r="C118" t="s">
        <v>781</v>
      </c>
      <c r="D118" t="s">
        <v>806</v>
      </c>
      <c r="E118">
        <v>993873821</v>
      </c>
      <c r="F118" t="s">
        <v>598</v>
      </c>
      <c r="G118" t="s">
        <v>599</v>
      </c>
      <c r="H118" t="s">
        <v>600</v>
      </c>
      <c r="I118" t="s">
        <v>601</v>
      </c>
    </row>
    <row r="119" spans="1:9">
      <c r="A119">
        <v>602990723</v>
      </c>
      <c r="B119" t="s">
        <v>807</v>
      </c>
      <c r="C119" t="s">
        <v>781</v>
      </c>
      <c r="D119" t="s">
        <v>808</v>
      </c>
      <c r="E119">
        <v>995349553</v>
      </c>
      <c r="F119" t="s">
        <v>598</v>
      </c>
      <c r="G119" t="s">
        <v>599</v>
      </c>
      <c r="H119" t="s">
        <v>600</v>
      </c>
      <c r="I119" t="s">
        <v>601</v>
      </c>
    </row>
    <row r="120" spans="1:9">
      <c r="A120">
        <v>1312875279</v>
      </c>
      <c r="B120" t="s">
        <v>809</v>
      </c>
      <c r="C120" t="s">
        <v>781</v>
      </c>
      <c r="D120" t="s">
        <v>810</v>
      </c>
      <c r="E120">
        <v>996547733</v>
      </c>
      <c r="F120" t="s">
        <v>598</v>
      </c>
      <c r="G120" t="s">
        <v>599</v>
      </c>
      <c r="H120" t="s">
        <v>600</v>
      </c>
      <c r="I120" t="s">
        <v>601</v>
      </c>
    </row>
    <row r="121" spans="1:9">
      <c r="A121">
        <v>1308524568</v>
      </c>
      <c r="B121" t="s">
        <v>811</v>
      </c>
      <c r="C121" t="s">
        <v>781</v>
      </c>
      <c r="D121" t="s">
        <v>812</v>
      </c>
      <c r="E121">
        <v>999762406</v>
      </c>
      <c r="F121" t="s">
        <v>598</v>
      </c>
      <c r="G121" t="s">
        <v>599</v>
      </c>
      <c r="H121" t="s">
        <v>600</v>
      </c>
      <c r="I121" t="s">
        <v>601</v>
      </c>
    </row>
    <row r="122" spans="1:9">
      <c r="A122">
        <v>1309662706</v>
      </c>
      <c r="B122" t="s">
        <v>813</v>
      </c>
      <c r="C122" t="s">
        <v>781</v>
      </c>
      <c r="D122" t="s">
        <v>814</v>
      </c>
      <c r="E122">
        <v>999068580</v>
      </c>
      <c r="F122" t="s">
        <v>616</v>
      </c>
      <c r="G122" t="s">
        <v>599</v>
      </c>
      <c r="H122" t="s">
        <v>600</v>
      </c>
      <c r="I122" t="s">
        <v>601</v>
      </c>
    </row>
    <row r="123" spans="1:9">
      <c r="A123">
        <v>1708333115</v>
      </c>
      <c r="B123" t="s">
        <v>815</v>
      </c>
      <c r="C123" t="s">
        <v>781</v>
      </c>
      <c r="D123" t="s">
        <v>816</v>
      </c>
      <c r="E123">
        <v>990311136</v>
      </c>
      <c r="F123" t="s">
        <v>616</v>
      </c>
      <c r="G123" t="s">
        <v>599</v>
      </c>
      <c r="H123" t="s">
        <v>600</v>
      </c>
      <c r="I123" t="s">
        <v>601</v>
      </c>
    </row>
    <row r="124" spans="1:9">
      <c r="A124">
        <v>1307822377</v>
      </c>
      <c r="B124" t="s">
        <v>817</v>
      </c>
      <c r="C124" t="s">
        <v>781</v>
      </c>
      <c r="D124" t="s">
        <v>818</v>
      </c>
      <c r="E124">
        <v>995825448</v>
      </c>
      <c r="F124" t="s">
        <v>598</v>
      </c>
      <c r="G124" t="s">
        <v>599</v>
      </c>
      <c r="H124" t="s">
        <v>600</v>
      </c>
      <c r="I124" t="s">
        <v>601</v>
      </c>
    </row>
    <row r="125" spans="1:9">
      <c r="A125">
        <v>1309489852</v>
      </c>
      <c r="B125" t="s">
        <v>819</v>
      </c>
      <c r="C125" t="s">
        <v>781</v>
      </c>
      <c r="D125" t="s">
        <v>820</v>
      </c>
      <c r="E125">
        <v>984812536</v>
      </c>
      <c r="F125" t="s">
        <v>616</v>
      </c>
      <c r="G125" t="s">
        <v>599</v>
      </c>
      <c r="H125" t="s">
        <v>600</v>
      </c>
      <c r="I125" t="s">
        <v>601</v>
      </c>
    </row>
    <row r="126" spans="1:9">
      <c r="A126">
        <v>1308645660</v>
      </c>
      <c r="B126" t="s">
        <v>821</v>
      </c>
      <c r="C126" t="s">
        <v>781</v>
      </c>
      <c r="D126" t="s">
        <v>822</v>
      </c>
      <c r="E126">
        <v>997567577</v>
      </c>
      <c r="F126" t="s">
        <v>616</v>
      </c>
      <c r="G126" t="s">
        <v>599</v>
      </c>
      <c r="H126" t="s">
        <v>684</v>
      </c>
      <c r="I126" t="s">
        <v>601</v>
      </c>
    </row>
    <row r="127" spans="1:9">
      <c r="A127">
        <v>1305701243</v>
      </c>
      <c r="B127" t="s">
        <v>823</v>
      </c>
      <c r="C127" t="s">
        <v>781</v>
      </c>
      <c r="D127" t="s">
        <v>824</v>
      </c>
      <c r="E127">
        <v>995309857</v>
      </c>
      <c r="F127" t="s">
        <v>616</v>
      </c>
      <c r="G127" t="s">
        <v>599</v>
      </c>
      <c r="H127" t="s">
        <v>600</v>
      </c>
      <c r="I127" t="s">
        <v>601</v>
      </c>
    </row>
    <row r="128" spans="1:9">
      <c r="A128">
        <v>1309143442</v>
      </c>
      <c r="B128" t="s">
        <v>825</v>
      </c>
      <c r="C128" t="s">
        <v>781</v>
      </c>
      <c r="D128" t="s">
        <v>826</v>
      </c>
      <c r="E128">
        <v>987229264</v>
      </c>
      <c r="F128" t="s">
        <v>616</v>
      </c>
      <c r="G128" t="s">
        <v>599</v>
      </c>
      <c r="H128" t="s">
        <v>600</v>
      </c>
      <c r="I128" t="s">
        <v>601</v>
      </c>
    </row>
    <row r="129" spans="1:9">
      <c r="A129">
        <v>1311667495</v>
      </c>
      <c r="B129" t="s">
        <v>827</v>
      </c>
      <c r="C129" t="s">
        <v>781</v>
      </c>
      <c r="D129" t="s">
        <v>828</v>
      </c>
      <c r="E129">
        <v>992827588</v>
      </c>
      <c r="F129" t="s">
        <v>598</v>
      </c>
      <c r="G129" t="s">
        <v>599</v>
      </c>
      <c r="H129" t="s">
        <v>624</v>
      </c>
      <c r="I129" t="s">
        <v>601</v>
      </c>
    </row>
    <row r="130" spans="1:9">
      <c r="A130">
        <v>909466674</v>
      </c>
      <c r="B130" t="s">
        <v>829</v>
      </c>
      <c r="C130" t="s">
        <v>781</v>
      </c>
      <c r="D130" t="s">
        <v>830</v>
      </c>
      <c r="E130">
        <v>994832664</v>
      </c>
      <c r="F130" t="s">
        <v>598</v>
      </c>
      <c r="G130" t="s">
        <v>599</v>
      </c>
      <c r="H130" t="s">
        <v>600</v>
      </c>
      <c r="I130" t="s">
        <v>601</v>
      </c>
    </row>
    <row r="131" spans="1:9">
      <c r="A131">
        <v>1309029815</v>
      </c>
      <c r="B131" t="s">
        <v>831</v>
      </c>
      <c r="C131" t="s">
        <v>781</v>
      </c>
      <c r="D131" t="s">
        <v>832</v>
      </c>
      <c r="E131">
        <v>998827593</v>
      </c>
      <c r="F131" t="s">
        <v>598</v>
      </c>
      <c r="G131" t="s">
        <v>599</v>
      </c>
      <c r="H131" t="s">
        <v>600</v>
      </c>
      <c r="I131" t="s">
        <v>601</v>
      </c>
    </row>
    <row r="132" spans="1:9">
      <c r="A132">
        <v>1350123640</v>
      </c>
      <c r="B132" t="s">
        <v>833</v>
      </c>
      <c r="C132" t="s">
        <v>781</v>
      </c>
      <c r="D132" t="s">
        <v>834</v>
      </c>
      <c r="E132">
        <v>991111111</v>
      </c>
      <c r="F132" t="s">
        <v>598</v>
      </c>
      <c r="G132" t="s">
        <v>599</v>
      </c>
      <c r="H132" t="s">
        <v>600</v>
      </c>
      <c r="I132" t="s">
        <v>601</v>
      </c>
    </row>
    <row r="133" spans="1:9">
      <c r="A133">
        <v>1311778458</v>
      </c>
      <c r="B133" t="s">
        <v>835</v>
      </c>
      <c r="C133" t="s">
        <v>781</v>
      </c>
      <c r="D133" t="s">
        <v>836</v>
      </c>
      <c r="E133">
        <v>991942979</v>
      </c>
      <c r="F133" t="s">
        <v>598</v>
      </c>
      <c r="G133" t="s">
        <v>599</v>
      </c>
      <c r="H133" t="s">
        <v>600</v>
      </c>
      <c r="I133" t="s">
        <v>601</v>
      </c>
    </row>
    <row r="134" spans="1:9">
      <c r="A134">
        <v>912379716</v>
      </c>
      <c r="B134" t="s">
        <v>128</v>
      </c>
      <c r="C134" t="s">
        <v>837</v>
      </c>
      <c r="F134" t="s">
        <v>598</v>
      </c>
      <c r="G134" t="s">
        <v>619</v>
      </c>
      <c r="H134" t="s">
        <v>624</v>
      </c>
    </row>
    <row r="135" spans="1:9">
      <c r="A135">
        <v>1312319641</v>
      </c>
      <c r="B135" t="s">
        <v>126</v>
      </c>
      <c r="C135" t="s">
        <v>703</v>
      </c>
      <c r="F135" t="s">
        <v>598</v>
      </c>
      <c r="G135" t="s">
        <v>599</v>
      </c>
      <c r="H135" t="s">
        <v>624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D13ECA-892E-4B1A-BE56-4F327E5347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CARRILLO PICO FEDERÍCO AVELINO</cp:lastModifiedBy>
  <cp:revision/>
  <dcterms:created xsi:type="dcterms:W3CDTF">2026-06-12T17:38:41Z</dcterms:created>
  <dcterms:modified xsi:type="dcterms:W3CDTF">2026-06-23T17:46:55Z</dcterms:modified>
  <cp:category/>
  <cp:contentStatus/>
</cp:coreProperties>
</file>