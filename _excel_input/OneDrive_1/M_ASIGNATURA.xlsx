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leam-my.sharepoint.com/personal/avelino_carrillo_uleam_edu_ec/Documents/FCACC/PLANIFICACION/"/>
    </mc:Choice>
  </mc:AlternateContent>
  <xr:revisionPtr revIDLastSave="498" documentId="11_9248B46DC1CBB2E3ED7FF6F9903E8C1851038383" xr6:coauthVersionLast="47" xr6:coauthVersionMax="47" xr10:uidLastSave="{D4961362-86C9-4459-ACE9-9E285EDD2417}"/>
  <bookViews>
    <workbookView xWindow="-120" yWindow="-120" windowWidth="20730" windowHeight="11040" xr2:uid="{00000000-000D-0000-FFFF-FFFF00000000}"/>
  </bookViews>
  <sheets>
    <sheet name="MAE_ASIGNATURA" sheetId="1" r:id="rId1"/>
    <sheet name="MAE_CARRERA" sheetId="4" state="hidden" r:id="rId2"/>
  </sheets>
  <definedNames>
    <definedName name="DatosExternos_1" localSheetId="1" hidden="1">MAE_CARRERA!$A$1:$G$18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" i="1" l="1"/>
  <c r="A351" i="1"/>
  <c r="A352" i="1"/>
  <c r="F351" i="1"/>
  <c r="F352" i="1"/>
  <c r="F353" i="1"/>
  <c r="A350" i="1"/>
  <c r="F350" i="1"/>
  <c r="A349" i="1"/>
  <c r="F349" i="1"/>
  <c r="A348" i="1"/>
  <c r="F348" i="1"/>
  <c r="A347" i="1"/>
  <c r="F347" i="1"/>
  <c r="A346" i="1"/>
  <c r="F346" i="1"/>
  <c r="A341" i="1"/>
  <c r="A342" i="1"/>
  <c r="A343" i="1"/>
  <c r="A344" i="1"/>
  <c r="A345" i="1"/>
  <c r="F339" i="1"/>
  <c r="F340" i="1"/>
  <c r="F341" i="1"/>
  <c r="F342" i="1"/>
  <c r="F343" i="1"/>
  <c r="F344" i="1"/>
  <c r="F345" i="1"/>
  <c r="F338" i="1"/>
  <c r="A340" i="1"/>
  <c r="A339" i="1"/>
  <c r="A338" i="1"/>
  <c r="A3" i="1"/>
  <c r="A4" i="1"/>
  <c r="A5" i="1"/>
  <c r="A6" i="1"/>
  <c r="A7" i="1"/>
  <c r="A8" i="1"/>
  <c r="A9" i="1"/>
  <c r="A10" i="1"/>
  <c r="A11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E500065-35E7-4044-A257-22D4360082EA}" keepAlive="1" name="Query - MAE_CARRERA" description="Conexión a la consulta 'MAE_CARRERA' en el libro." type="5" refreshedVersion="8" background="1" saveData="1">
    <dbPr connection="Provider=Microsoft.Mashup.OleDb.1;Data Source=$Workbook$;Location=MAE_CARRERA;Extended Properties=&quot;&quot;" command="SELECT * FROM [MAE_CARRERA]"/>
  </connection>
</connections>
</file>

<file path=xl/sharedStrings.xml><?xml version="1.0" encoding="utf-8"?>
<sst xmlns="http://schemas.openxmlformats.org/spreadsheetml/2006/main" count="771" uniqueCount="347">
  <si>
    <t>ID_ASIG</t>
  </si>
  <si>
    <t>NOM_ASIG</t>
  </si>
  <si>
    <t>HORAS</t>
  </si>
  <si>
    <t>semanas</t>
  </si>
  <si>
    <t>ID_CARRERA</t>
  </si>
  <si>
    <t>NOMBRE_CARRERA</t>
  </si>
  <si>
    <t>ID_NIVEL</t>
  </si>
  <si>
    <t>=CONCATENAR([@[ID_CARRERA]];"-NI-";[@[ID_NIVEL]];"-";IZQUIERDA([@[NOM_ASIG];5);"-";CONTAR.SI($A$2:A2;[@ID_CARRERA] &amp; "-NI-"&amp;@ID_NIVEL] &amp; "-" &amp; IZQUIERDA([@[NOM_ASIG]];5)))</t>
  </si>
  <si>
    <t>CONTABILIDAD DE COSTOS</t>
  </si>
  <si>
    <t>FCACC-AD-EM</t>
  </si>
  <si>
    <t>MATEMÁTICA APLICADA A LA ADMINISTRACIÓN</t>
  </si>
  <si>
    <t>ADMINISTRACIÓN PARA LOS NEGOCIOS</t>
  </si>
  <si>
    <t>METODOLOGÍA DE LA INVESTIGACIÓN</t>
  </si>
  <si>
    <t>MICROECONOMÍA</t>
  </si>
  <si>
    <t>CONTABILIDAD FINANCIERA</t>
  </si>
  <si>
    <t>MATEMÁTICA FINANCIERA</t>
  </si>
  <si>
    <t>ADMINISTRACIÓN ESTRATÉGICA</t>
  </si>
  <si>
    <t>ESTADÍSTICA APLICADA A LA ADMINISTRACIÓN</t>
  </si>
  <si>
    <t>MACROECONOMÍA</t>
  </si>
  <si>
    <t>DERECHO MERCANTIL Y SOCIETARIO</t>
  </si>
  <si>
    <t>CREATIVIDAD E INNOVACIÓN EMPRESARIAL</t>
  </si>
  <si>
    <t>MÉTODOS CUANTITATIVOS PARA LOS NEGOCIOS</t>
  </si>
  <si>
    <t>DISEÑO ORGANIZACIONAL Y GESTIÓN DE PROCESOS</t>
  </si>
  <si>
    <t>HERRAMIENTAS PARA ANÁLISIS DE DATOS</t>
  </si>
  <si>
    <t>ADMINISTRACIÓN AMBIENTAL</t>
  </si>
  <si>
    <t>DERECHO LABORAL</t>
  </si>
  <si>
    <t>GESTIÓN FINANCIERA</t>
  </si>
  <si>
    <t>GESTIÓN DE LA CALIDAD</t>
  </si>
  <si>
    <t>ADMINISTRACIÓN DEL TALENTO HUMANO</t>
  </si>
  <si>
    <t>ANÁLISIS E INVESTIGACIÓN DE INVENTARIOS</t>
  </si>
  <si>
    <t>ÉTICA Y RESPONSABILIDAD SOCIAL EMPRESARIAL</t>
  </si>
  <si>
    <t>ADMINISTRACIÓN FINANCIERA ESTRATÉGICA</t>
  </si>
  <si>
    <t>ADMINISTRACIÓN DE LA PRODUCCIÓN Y OPERACIONES</t>
  </si>
  <si>
    <t>DESARROLLO DE HABILIDADES DIRECTIVAS</t>
  </si>
  <si>
    <t>AUDITORÍA ADMINISTRATIVA Y FINANCIERA</t>
  </si>
  <si>
    <t>RIESGOS Y SEGUROS</t>
  </si>
  <si>
    <t>FINANZAS CORPORATIVAS</t>
  </si>
  <si>
    <t>PRESUPUESTOS</t>
  </si>
  <si>
    <t>ADMINISTRACIÓN PÚBLICA Y TRIBUTARIA</t>
  </si>
  <si>
    <t>MARKETING ESTRATÉGICO</t>
  </si>
  <si>
    <t>LIDERAZGO Y GESTIÓN DE EQUIPOS</t>
  </si>
  <si>
    <t>GESTIÓN DE PROYECTOS EMPRESARIALES</t>
  </si>
  <si>
    <t>LOGÍSTICA EMPRESARIAL</t>
  </si>
  <si>
    <t>GESTIÓN DE VENTAS</t>
  </si>
  <si>
    <t>SISTEMA DE INFORMACIÓN GERENCIAL</t>
  </si>
  <si>
    <t>BUSINESS INTELLIGENCE</t>
  </si>
  <si>
    <t>COMERCIO INTERNACIONAL</t>
  </si>
  <si>
    <t>INCUBACIÓN Y CREACIÓN DE EMPRESAS</t>
  </si>
  <si>
    <t>SIMULACIÓN DE NEGOCIOS</t>
  </si>
  <si>
    <t>FUNDAMENTOS DE CONTABILIDAD</t>
  </si>
  <si>
    <t>FCACC-AU-CO-GE</t>
  </si>
  <si>
    <t>FUNDAMENTOS DE ADMINISTRACIÓN</t>
  </si>
  <si>
    <t>ESTADÍSTICA DESCRIPTIVA</t>
  </si>
  <si>
    <t>LEGISLACIÓN MERCANTIL Y SOCIERTARIA</t>
  </si>
  <si>
    <t>ESTADÍSTICA INFERENCIAL</t>
  </si>
  <si>
    <t>LEGISLACIÓN LABORAL</t>
  </si>
  <si>
    <t>CONTABILIDAD SOCIAL Y AMBIENTAL</t>
  </si>
  <si>
    <t>ADMINISTRACIÓN FINANCIERA</t>
  </si>
  <si>
    <t>FUNDAMENTOS DE AUDITORÍAS</t>
  </si>
  <si>
    <t>GESTIÓN DE TALENTO HUMANO</t>
  </si>
  <si>
    <t>PLANIFICACIÓN DE AUDITORÍAS</t>
  </si>
  <si>
    <t>CONTABILIDAD EN EL SECTOR PÚBLICO</t>
  </si>
  <si>
    <t>GESTIÓN TRIBUTARIA</t>
  </si>
  <si>
    <t>PLANIFICACIÓN Y DIRECCIÓN ESTRATÉGICA</t>
  </si>
  <si>
    <t>ÉTICA PROFESIONAL</t>
  </si>
  <si>
    <t>GESTIÓN DE LA PRODUCTIVIDAD</t>
  </si>
  <si>
    <t>AUDITORÍA FINANCIERA</t>
  </si>
  <si>
    <t>CONTABILIDAD GERENCIAL Y PRESUPUESTO</t>
  </si>
  <si>
    <t>SOFTWARE DE GESTIÓN  ADMINISTRATIVA FINANCIERA</t>
  </si>
  <si>
    <t>SISTEMA DE INDICADORES DE  GESTIÓN</t>
  </si>
  <si>
    <t>GESTIÓN PÚBLICA</t>
  </si>
  <si>
    <t>SISTEMAS DE CONTROL Y GESTIÓN</t>
  </si>
  <si>
    <t>AUDITORÍA DE GESTIÓN</t>
  </si>
  <si>
    <t>PROCESO DE CONTRATACIÓN PÚBLICA</t>
  </si>
  <si>
    <t>AUDITORÍA TRIBUTARIA</t>
  </si>
  <si>
    <t>AUDITORÍA EN SEGURIDAD_x000D_
Y SALUD OCUPACIONAL</t>
  </si>
  <si>
    <t>VALORACIÓN DE EMPRESAS Y_x000D_
RIESGOS</t>
  </si>
  <si>
    <t>AUDITORÍA_x000D_
GUBERNAMENTAL</t>
  </si>
  <si>
    <t>AUDITORIA AMBIENTAL</t>
  </si>
  <si>
    <t>RESPONSABILIDAD SOCIAL CORPORATIVA</t>
  </si>
  <si>
    <t>DISEÑO, DESARROLLO  Y EVALUACIÓN DE  PROYECTOS</t>
  </si>
  <si>
    <t>LIDERAZGO Y GESTIÓN DE_x000D_
AUDITORIA</t>
  </si>
  <si>
    <t>AUDITORÍA DE SISTEMAS_x000D_
DE INFORMACIÓN</t>
  </si>
  <si>
    <t>AUDITORÍA FORENSE</t>
  </si>
  <si>
    <t>AUDITORÍA INTEGRAL</t>
  </si>
  <si>
    <t>MATEMÁTICA FINANCIERA (BR)</t>
  </si>
  <si>
    <t>FCACC-BI-RA</t>
  </si>
  <si>
    <t>ECONOMÍA EN BIENES RAÍCES (BR)</t>
  </si>
  <si>
    <t>DERECHO APLICADO A LA GESTIÓN INMOBIIARIA (BR)</t>
  </si>
  <si>
    <t>ADMINISTRACIÓN INMOBILIARIA (BR)</t>
  </si>
  <si>
    <t>ÉTICA PROFESIONAL (BR)</t>
  </si>
  <si>
    <t>GESTIÓN ESTRATÉGICA (BR)</t>
  </si>
  <si>
    <t>ESTADÍSTICA DE RIESGOS (BR)</t>
  </si>
  <si>
    <t>MARKETING INMOBILIARIO (BR)</t>
  </si>
  <si>
    <t>LEGISLACIÓN DE SEGUROS (BR)</t>
  </si>
  <si>
    <t>ANÁLISIS DE MERCADO INMOBILIARIO (BR)</t>
  </si>
  <si>
    <t>GESTIÓN DEL AGENTE EN BIENES RAÍCES (BR)</t>
  </si>
  <si>
    <t>TASACIÓN DE INMUEBLES: ARANCELEARIA Y COMERCIAL (BR)</t>
  </si>
  <si>
    <t>FINANZAS EN BIENES RAÍCES (BR)</t>
  </si>
  <si>
    <t>GESTIÓN DE RIESGOS Y SINIESTROS (BR)</t>
  </si>
  <si>
    <t>GERENCIA Y NEGOCIACIÓN INMOBILIARIA (BR)</t>
  </si>
  <si>
    <t>EMPRENDIMIENTO Y PLAN DE NEGOCIOS (BR)</t>
  </si>
  <si>
    <t>EVALUACIÓN Y VALUACIÓN DE INMUEBLES (BR)</t>
  </si>
  <si>
    <t>PLANIFICACIÓN DEL DESARROLLO URBANO (BR)</t>
  </si>
  <si>
    <t>AUDITORÍA DE SEGUROS (BR)</t>
  </si>
  <si>
    <t>FCACC-CO-EX</t>
  </si>
  <si>
    <t>COMERCIO EXTERIOR</t>
  </si>
  <si>
    <t>REALIDAD NACIONAL Y GEOPOLITICA</t>
  </si>
  <si>
    <t>MATEMÁTICA</t>
  </si>
  <si>
    <t>CONTABILIDAD GENERAL</t>
  </si>
  <si>
    <t>MATEMÁTICAS FINANCIERAS</t>
  </si>
  <si>
    <t>DESARROLLO DEL COMERCIO REGIONAL</t>
  </si>
  <si>
    <t>RESPONSABILIDAD SOCIAL Y EMPRESARIAL</t>
  </si>
  <si>
    <t>FUNDAMENTOS DE ECONOMÍA</t>
  </si>
  <si>
    <t>COMPORTAMIENTO ORGANIZACIONAL</t>
  </si>
  <si>
    <t>ESTADÍSTICAS</t>
  </si>
  <si>
    <t>DERECHO CONSTITUCIONAL Y LEGISLACIÓN DEL COMERCIO</t>
  </si>
  <si>
    <t>TEORIA DE LA POLÍTICA COMERCIAL</t>
  </si>
  <si>
    <t>MECANISMOS DE INTEGRACIÓN</t>
  </si>
  <si>
    <t>INVESTIGACIÓN OPERATIVA</t>
  </si>
  <si>
    <t>GESTIÓN LOGÍSTICA EMPRESARIAL</t>
  </si>
  <si>
    <t>COMERCIO JUSTO Y SOBERANÍA ALIMENTARIA</t>
  </si>
  <si>
    <t>PLANEACIÓN ESTRATÉGICA</t>
  </si>
  <si>
    <t>FORMULACIÓN Y ELABORACIÓN DE PROYECTOS EMPRESARIALES</t>
  </si>
  <si>
    <t>RELACIONES ECONÓMICAS INTERNACIONALES</t>
  </si>
  <si>
    <t>GESTIÓN AMBIENTAL DEL COMERCIO</t>
  </si>
  <si>
    <t>INGLÉS COMERCIAL I</t>
  </si>
  <si>
    <t>INVESTIGACIÓN DE MERCADOS INTERNACIONALES</t>
  </si>
  <si>
    <t>NOMENCLATURA ARANCELARIA Y MERCEOLOGÍA</t>
  </si>
  <si>
    <t>FINANZAS INTERNACIONALES</t>
  </si>
  <si>
    <t>GESTIÓN DE PROYECTOS SOCIALES Y DE INVERSIÓN</t>
  </si>
  <si>
    <t>INGLÉS COMERCIAL II</t>
  </si>
  <si>
    <t>ESTRATÉGIAS DE INTERNACIONALIZACIÓN</t>
  </si>
  <si>
    <t>MERCADOTECNIA INTERNACIONAL</t>
  </si>
  <si>
    <t>ÉTICA APLICADA AL COMERCIO INTERNACIONAL</t>
  </si>
  <si>
    <t>PROCESOS OPERATIVOS ADUANEROS</t>
  </si>
  <si>
    <t>OPERATIVIDAD PORTUARIA Y AEROPORTUARIA</t>
  </si>
  <si>
    <t>INGLÉS COMERCIAL III</t>
  </si>
  <si>
    <t>DESARROLLO LOCAL Y EMPRENDIMIENTO</t>
  </si>
  <si>
    <t>TRÁMITES DE EXPORTACIÓN E IMPORTACIÓN</t>
  </si>
  <si>
    <t>LOGÍSTICA INTERNACIONAL</t>
  </si>
  <si>
    <t>NEGOCIACIÓN INTERNACIONAL</t>
  </si>
  <si>
    <t>CONTABILIDAD BÁSICA</t>
  </si>
  <si>
    <t>FCACC-CO-AD</t>
  </si>
  <si>
    <t>ADMINISTRACIÓN</t>
  </si>
  <si>
    <t>CONTABILIDAD INTERMEDIA</t>
  </si>
  <si>
    <t>LEGISLACIÓN MERCANTIL Y SOCIETARIA</t>
  </si>
  <si>
    <t>CONTABILIDAD AVANZADA</t>
  </si>
  <si>
    <t>FUNDAMENTOS DE AUDITORÍA</t>
  </si>
  <si>
    <t>ESTADÍSTICA APLICADA</t>
  </si>
  <si>
    <t>LEGISLACIÓN TRIBUTARIA</t>
  </si>
  <si>
    <t>SISTEMATIZACIÓN CONTABLE Y FINANCIERA</t>
  </si>
  <si>
    <t>PROCESO Y CONTROL DEL TALENTO HUMANO</t>
  </si>
  <si>
    <t>CONTABILIDAD SUPERIOR</t>
  </si>
  <si>
    <t>PLANIFICACIÓN DE AUDITORÍA</t>
  </si>
  <si>
    <t>TRIBUTACIÓN APLICADA</t>
  </si>
  <si>
    <t>CONTABILIDAD ESPECIALIZADA</t>
  </si>
  <si>
    <t>ORGANIZACIÓN Y MÉTODOS</t>
  </si>
  <si>
    <t>PRESUPUESTO</t>
  </si>
  <si>
    <t>MARCO INTEGRADO E INDICADORES DE GESTIÓN</t>
  </si>
  <si>
    <t>CONTABILIDAD DE COSTOS AVANZADA</t>
  </si>
  <si>
    <t>CONTABILIDAD GUBERNAMENTAL</t>
  </si>
  <si>
    <t>FORMULACIÓN DE PROYECTOS SOCIALES Y PRODUCTIVOS</t>
  </si>
  <si>
    <t>GESTIÓN DE LA CALIDAD Y ESTANDARIZACIÓN</t>
  </si>
  <si>
    <t>AUDITORÍA DE CALIDAD</t>
  </si>
  <si>
    <t>EVALUACIÓN DE PROYECTOS SOCIALES Y PRODUACTIVOS</t>
  </si>
  <si>
    <t>AUDITORÍA GUBERNAMENTAL</t>
  </si>
  <si>
    <t>AUDITORÍA INFORMÁTICA</t>
  </si>
  <si>
    <t>AUDITORÍA AMBIENTAL</t>
  </si>
  <si>
    <t>CONTABILIDAD ADMINISTRATIVA</t>
  </si>
  <si>
    <t>FCACC-FINA</t>
  </si>
  <si>
    <t>MATEMÁTICA ADMINISTRATIVA</t>
  </si>
  <si>
    <t>SISTEMA TRIBUTARIO</t>
  </si>
  <si>
    <t>ESTADÍSTICA FINANCIERA</t>
  </si>
  <si>
    <t>CONTABILIDAD BANCARIA</t>
  </si>
  <si>
    <t>FUNDAMENTOS DE FINANZAS</t>
  </si>
  <si>
    <t>ECONOMETRÍA</t>
  </si>
  <si>
    <t>LEGISLACIÓN MONETARIA Y BANCARIA</t>
  </si>
  <si>
    <t>MERCADO DE SEGUROS</t>
  </si>
  <si>
    <t>GESTIÓN DEL TALENTO HUMANO</t>
  </si>
  <si>
    <t>GERENCIA ESTRATÉGICA</t>
  </si>
  <si>
    <t>GESTIÓN DEL PRESUPUESTO</t>
  </si>
  <si>
    <t>ECONOMÍA POPULARES Y SOLIDARIAS SECTOR FINANCIERO</t>
  </si>
  <si>
    <t>ADMINISTRACIÓN DE RIESGOS FINANCIEROS</t>
  </si>
  <si>
    <t>GESTIÓN DE SEGURO Y TRANSFERENCIA DE RIESGO</t>
  </si>
  <si>
    <t>EMPRENDIMIENTO Y DESARROLLO LOCAL</t>
  </si>
  <si>
    <t>ÉTICA Y RESPONSABILIDAD SOCIAL CORPORATIVA</t>
  </si>
  <si>
    <t>ECONOMÍAS  POPULARES Y SOLIDARIAS SECTOR NO FINANCIERO</t>
  </si>
  <si>
    <t>DISEÑO Y EVALUACIÓN DE PROYECTOS DE DESARROLLO  SOCIALES</t>
  </si>
  <si>
    <t>MERCADOS FINANCIEROS</t>
  </si>
  <si>
    <t>FINANZAS  Y POLÍTICAS PÚBLICAS</t>
  </si>
  <si>
    <t>MERCADOTECNIA</t>
  </si>
  <si>
    <t>DISEÑO  Y EVALUACIÓN DE PROYECTOS DE INVERSIÓN</t>
  </si>
  <si>
    <t>PLANIFICACIÓN PROSPECTIVA_x000D_
ESTRATÉGICA Y FINANCIERA</t>
  </si>
  <si>
    <t>SISTEMA DE INFORMACIÓN FINANCIERA</t>
  </si>
  <si>
    <t>FINANCIAMIENTO DE INVERSIONES</t>
  </si>
  <si>
    <t>MODELACIÓN Y SIMULACIÓN FINANCIERA</t>
  </si>
  <si>
    <t>VALORACIÓN DE EMPRESA</t>
  </si>
  <si>
    <t>ENGLISH FOR SPECIFIC PURPOSE II</t>
  </si>
  <si>
    <t>FCACC-GE-IN-GE</t>
  </si>
  <si>
    <t>GESTION DE PROCESOS</t>
  </si>
  <si>
    <t>SISTEMAS DE INFORMACIÓN Y GESTIÓN  DOCUMENTAL</t>
  </si>
  <si>
    <t>GESTIÓN DE LA INFORMACIÓN</t>
  </si>
  <si>
    <t>METODOLOGÍA DE INVESTIGACIÓN</t>
  </si>
  <si>
    <t>SISTEMA DE INFORMACIÓN DIGITAL</t>
  </si>
  <si>
    <t>HERRAMIENTAS DIGITALES AVANZADAS PARA LA GESTIÓN  DE INFORMACIÓN</t>
  </si>
  <si>
    <t>GOBIERNO ELECTRÓNICO Y ADMINISTRACIÓN PÚBLICA</t>
  </si>
  <si>
    <t>GESTIÓN DOCUMENTAL Y ARCHIVÍSTICA</t>
  </si>
  <si>
    <t>ANÁLISIS CUALITATIVO DE LA INFORMACIÓN</t>
  </si>
  <si>
    <t>ANALISIS DE MODELOS INSTITUCIONALES  EN LA GESTIÓN INFORMACIONAL</t>
  </si>
  <si>
    <t>GESTIÓN DEL CONOCIMIENTO</t>
  </si>
  <si>
    <t>DISEÑO Y EVALUACIÓN DE PROYECTOS DE INVESTIGACIÓN</t>
  </si>
  <si>
    <t>SISTEMAS GESTORES DE BASES DE DATOS</t>
  </si>
  <si>
    <t>INFORMATION ARCHITECTURE</t>
  </si>
  <si>
    <t>BUSINESS ENGLISH</t>
  </si>
  <si>
    <t>EVALUACIÓN DE PROGRAMAS INFORMACIONALES</t>
  </si>
  <si>
    <t>prueba</t>
  </si>
  <si>
    <t>GESTIÓN DEL TALENTO HUMANO (GTH)</t>
  </si>
  <si>
    <t>FCACC-GE-TA-HU</t>
  </si>
  <si>
    <t>LA ADMINISTRACIÓN (GTH)</t>
  </si>
  <si>
    <t>METODOLOGÍA DE LA INVESTIGACIÓN (GTH)</t>
  </si>
  <si>
    <t>MICROECONOMÍA (GTH)</t>
  </si>
  <si>
    <t>DERECHO CONSTITUCIONAL (GTH)</t>
  </si>
  <si>
    <t>ORGANIZACIÓN ESTRUCTURAL Y DE PROCESOS (GTH)</t>
  </si>
  <si>
    <t>PSICOLOGÍA ORGANIZACIONAL (GTH)</t>
  </si>
  <si>
    <t>ESTADÍSTICA APLICADA A LA ADMINISTRACIÓN (GTH)</t>
  </si>
  <si>
    <t>MACROECONOMÍA (GTH)</t>
  </si>
  <si>
    <t>DERECHO LABORAL PRIVADO (GTH)</t>
  </si>
  <si>
    <t>GESTIÓN DEL CAMBIO EN ORGANIZACIONES (GTH)</t>
  </si>
  <si>
    <t>CLASIFICACIÓN Y VALORACIÓN DE CARGOS POR COMPETENCIAS (GTH)</t>
  </si>
  <si>
    <t>CULTURA Y COMPORTAMIENTO ORGANIZACIONAL (GTH)</t>
  </si>
  <si>
    <t>INVESTIGACIÓN DE MERCADO LABORAL (GTH)</t>
  </si>
  <si>
    <t>PROGRAMACIÓN NEUROLINGUÍSTICA (GTH)</t>
  </si>
  <si>
    <t>DERECHO LABORAL PÚBLICO (GTH)</t>
  </si>
  <si>
    <t>GESTIÓN DOCUMENTAL Y ARCHIVÍSTICA (GTH)</t>
  </si>
  <si>
    <t>RECLUTAMIENTO SELECCIÓN Y ONBOARDING DEL CAPITAL HUMANO (GTH</t>
  </si>
  <si>
    <t>EMPLEABILIDAD Y DESARROLLO PROFESIONAL (GTH)</t>
  </si>
  <si>
    <t>NEUROMANAGEMENT (GTH)</t>
  </si>
  <si>
    <t>GESTIÓN DEL CONOCIMIENTO EN LAS ORGANIZACIONES (GTH)</t>
  </si>
  <si>
    <t>SEGURIDAD Y SALUD OCUPACIONAL (GTH)</t>
  </si>
  <si>
    <t>EVALUACIÓN DEL DESEMPEÑO / COMPETITIVIDAD LABORAL (GTH)</t>
  </si>
  <si>
    <t>ADMINISTRACIÓN DE REMUNERACIONES INDEMNIZACIONES Y COMPENSAC</t>
  </si>
  <si>
    <t>BIENESTAR Y CLIMA LABORAL (GTH)</t>
  </si>
  <si>
    <t>PRESUPUESTO (GTH)</t>
  </si>
  <si>
    <t>POLÍTICAS PÚBLICAS Y LABORALES (GTH)</t>
  </si>
  <si>
    <t>GESTIÓN INTEGRAL DEL TALENTO HUMANO (GTH)</t>
  </si>
  <si>
    <t>DIRECCIÓN DE TALENTO HUMANO (GTH)</t>
  </si>
  <si>
    <t>E-TRADING / E-LEARNING ORGANIZACIONAL (GTH)</t>
  </si>
  <si>
    <t>CONSULTORÍA ORGANIZACIONAL (GTH)</t>
  </si>
  <si>
    <t>GESTIÓN DE CALIDAD APLICADA AL TALENTO HUMANO (GTH)</t>
  </si>
  <si>
    <t>ENDOMARKETING (GTH)</t>
  </si>
  <si>
    <t>TENDENCIAS GLOBALES DE LA GESTIÓN DEL TALENTO HUMANO (GTH)</t>
  </si>
  <si>
    <t>GERENCIA ESTRATÉGICA (GTH)</t>
  </si>
  <si>
    <t>DEONTOLOGÍA PROFESIONAL (GTH)</t>
  </si>
  <si>
    <t>AUDITORÍA DEL TALENTO HUMANO (GTH)</t>
  </si>
  <si>
    <t>BUSINESS COACHING (GTH)</t>
  </si>
  <si>
    <t>GESTIÓN DE CONFLICTOS Y NEGOCIACIÓN (GTH)</t>
  </si>
  <si>
    <t>RESPONSABILIDAD SOCIAL EMPRESARIAL (GTH)</t>
  </si>
  <si>
    <t>SOCIEDAD DE LA INFORMACIÓN Y EL CONOCIMIENTO</t>
  </si>
  <si>
    <t>FCACC-MA</t>
  </si>
  <si>
    <t>INTRODUCCIÓN A LOS SISTEMAS DE INFORMACIÓN</t>
  </si>
  <si>
    <t>ÉTICA Y RESPONSABILIDAD SOCIAL EN LA INFORMACIÓN</t>
  </si>
  <si>
    <t>OFIMÁTICA</t>
  </si>
  <si>
    <t>CÁTEDRA ALFARO</t>
  </si>
  <si>
    <t>GESTIÓN ORGANIZACIONAL</t>
  </si>
  <si>
    <t>MARCO CONSTITUCIONAL Y DERECHO ADMINISTRATIVO ECUATORIANO</t>
  </si>
  <si>
    <t>MEMORIA, PATRIMONIO Y USO DE LA INFORMACIÓN</t>
  </si>
  <si>
    <t>ESTADISTICA DESCRIPTIVA</t>
  </si>
  <si>
    <t>HERRAMIENTAS DIGITALES AVANZADAS PARALA GESTIÓN  DE INFORMACIÓN</t>
  </si>
  <si>
    <t>PRÁCTICAS PREPROFESIONALES I</t>
  </si>
  <si>
    <t>PLANIFICACIÓN ESTRATÉGICA</t>
  </si>
  <si>
    <t>ALFABETIZACIÓN Y COMPETENCIAS INFORMACIONALES</t>
  </si>
  <si>
    <t>ANÁLISIS CUANTITATIVO DE LA INFORMACIÓN</t>
  </si>
  <si>
    <t>MODELOS GESTIÓN DE INFORMACIÓN</t>
  </si>
  <si>
    <t>CALIDAD TOTAL DE LA INFORMACIÓN</t>
  </si>
  <si>
    <t>PRÁCTICAS PREPROFESIONALES II</t>
  </si>
  <si>
    <t>ANÁLISIS DE MODELOS INSTITUCIONALES EN LA GESTIÓN INFORMACIONAL</t>
  </si>
  <si>
    <t>EVALUACIÓN DE MODELOS DE GESTIÓN DE INFORMACIÓN</t>
  </si>
  <si>
    <t>DECISION MAKING IN MANAGEMENT</t>
  </si>
  <si>
    <t>GESTIÓN DE PROYECTOS</t>
  </si>
  <si>
    <t>ENGLISH FOR SPECIFIC PURPOSE I</t>
  </si>
  <si>
    <t>BUSINESS  INTELLIGENCE</t>
  </si>
  <si>
    <t>AD1 Dirección y Tutorias de Trabajos para la obtención del titulo de grado</t>
  </si>
  <si>
    <t>FCACC-4-DO-TU-TI</t>
  </si>
  <si>
    <t>AD5 Elaboración y calificación de evaluaciones</t>
  </si>
  <si>
    <t>FCACC-1-DO-CL</t>
  </si>
  <si>
    <t>AD4 Preparación de Clases</t>
  </si>
  <si>
    <t>AD6 Orientación a través de Tutorías</t>
  </si>
  <si>
    <t>AD8 Participación en colectivos académicos sobre docencia</t>
  </si>
  <si>
    <t>AD3 Uso pedagógico de la investigación</t>
  </si>
  <si>
    <t>FCACC-5-DO-PE-IN</t>
  </si>
  <si>
    <t>AI1 Diseño y dirección de proyectos de investigación</t>
  </si>
  <si>
    <t>FCACC-6-IVN</t>
  </si>
  <si>
    <t>AI3 Difusión de resultados y beneficios sociales de la investigación.</t>
  </si>
  <si>
    <t>AI2 Ejecución de proyectos de investigación, Básica, Aplicada a la tecnología</t>
  </si>
  <si>
    <t>AVS3 Participación como líder en proyectos sociales de vinculación con la sociedad</t>
  </si>
  <si>
    <t>FCACC-8-VI-SO</t>
  </si>
  <si>
    <t>AVS2 Participación en proyectos sociales de vinculación con la sociedad</t>
  </si>
  <si>
    <t>GPA8 Miembro de Despacho Rectorado</t>
  </si>
  <si>
    <t>FCACC-9-GE_ED</t>
  </si>
  <si>
    <t>GPA36 Responsable Bienestar</t>
  </si>
  <si>
    <t>GPA13 Presidente Comisión de Vinculación</t>
  </si>
  <si>
    <t>GPA6 Director/a de Carrera</t>
  </si>
  <si>
    <t>GPA14 Miembro Docente de Comisión Académica</t>
  </si>
  <si>
    <t>GPA5 Director/a Académico</t>
  </si>
  <si>
    <t>GPA28 Miembro de Despacho Vicerrectorado Académico</t>
  </si>
  <si>
    <t>GPA45 Presidente de Comisión de Prácticas Preprofesionales</t>
  </si>
  <si>
    <t>Prácticas Laborales 1 CA-24</t>
  </si>
  <si>
    <t>FCACC-8-PRAC</t>
  </si>
  <si>
    <t>Prácticas Laborales 1 ACG-24</t>
  </si>
  <si>
    <t>Prácticas Laborales 1 F-24</t>
  </si>
  <si>
    <t>Prácticas Preprofesionales 1 CA-22</t>
  </si>
  <si>
    <t>Prácticas Laborales 2 CA-24</t>
  </si>
  <si>
    <t>Prácticas Laborales 2 ACG-24</t>
  </si>
  <si>
    <t>Prácticas Laborales 2 F-24</t>
  </si>
  <si>
    <t>Prácticas preprofesionales 2 CA-22</t>
  </si>
  <si>
    <t>Trabajo de integración curricular: Fase de diseño CA-24</t>
  </si>
  <si>
    <t>FCACC-8-TITU</t>
  </si>
  <si>
    <t>Trabajo de integración curricular: Fase de diseño ACG-24</t>
  </si>
  <si>
    <t>Trabajo de integración curricular: Fase de diseño F-24</t>
  </si>
  <si>
    <t>Trabajo de integración curricular: Fase de diseño CA-22</t>
  </si>
  <si>
    <t>Trabajo de integración curricular: Fase de resultados e informe CA-24</t>
  </si>
  <si>
    <t>Trabajo de integración curricular: Fase de resultados e informe ACG-24</t>
  </si>
  <si>
    <t>Trabajo de integración curricular: Fase de resultados e informe F-24</t>
  </si>
  <si>
    <t xml:space="preserve">=CONCATENAR([@[ID_CARRERA]];"-NI-";[@[ID_NIVEL]];"-";IZQUIERDA([@NOM_ASIG];5);"-";CONTAR.SI($A$2:A2;[@ID_CARRERA]&amp;"-NI-"&amp;@ID_NIVEL]&amp;"-"&amp;IZQUIERDA([@NOM_ASIG];5)))
</t>
  </si>
  <si>
    <t>Trabajo de integración curricular: Fase de resultados e informe CA-22</t>
  </si>
  <si>
    <t>SEMANAS</t>
  </si>
  <si>
    <t>TOTAL HORAS</t>
  </si>
  <si>
    <t>FECHA_INICIO</t>
  </si>
  <si>
    <t>FECHA_FIN</t>
  </si>
  <si>
    <t>ESTADO</t>
  </si>
  <si>
    <t>ADMINISTRACIÓN DE EMPRESAS</t>
  </si>
  <si>
    <t>Vigente</t>
  </si>
  <si>
    <t>AUDITORÍA Y CONTROL DE GESTIÓN 2024 NS</t>
  </si>
  <si>
    <t>BIENES RAICES</t>
  </si>
  <si>
    <t>CONTABILIDAD Y AUDITORÍA 2024 NS</t>
  </si>
  <si>
    <t>FINANZAS 2024 NS</t>
  </si>
  <si>
    <t>GESTION DE LA INFORMACIÓN GERENCIA - 2024</t>
  </si>
  <si>
    <t>MARKETING</t>
  </si>
  <si>
    <t xml:space="preserve">1. Docencia - Clases </t>
  </si>
  <si>
    <t>5. Docencia - Uso pedagógico de la investigación</t>
  </si>
  <si>
    <t>4. Docencia - Tutoría de titulación</t>
  </si>
  <si>
    <t xml:space="preserve">6. Investigación </t>
  </si>
  <si>
    <t xml:space="preserve">9. Gestión Educativa </t>
  </si>
  <si>
    <t xml:space="preserve">8. Vinculación con la Sociedad </t>
  </si>
  <si>
    <t>Prácticas</t>
  </si>
  <si>
    <t>Titulación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</si>
</sst>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  <scheme val="minor"/>
    </font>
    <font>
      <sz val="11"/>
      <name val="Aptos Narrow"/>
      <family val="2"/>
      <charset val="1"/>
    </font>
    <font>
      <sz val="11"/>
      <name val="Aptos Narrow"/>
      <family val="2"/>
    </font>
    <font>
      <sz val="10"/>
      <name val="Calibri"/>
      <family val="2"/>
      <charset val="1"/>
    </font>
    <font>
      <sz val="10"/>
      <name val="Aptos Narrow"/>
      <family val="2"/>
      <charset val="1"/>
    </font>
    <font>
      <sz val="1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wrapText="1"/>
    </xf>
    <xf numFmtId="0" fontId="7" fillId="0" borderId="0" xfId="0" applyFont="1"/>
    <xf numFmtId="0" fontId="8" fillId="0" borderId="0" xfId="0" applyFont="1" applyAlignment="1">
      <alignment wrapText="1"/>
    </xf>
    <xf numFmtId="0" fontId="8" fillId="0" borderId="0" xfId="0" applyFont="1"/>
    <xf numFmtId="14" fontId="0" fillId="0" borderId="0" xfId="0" applyNumberFormat="1"/>
    <xf numFmtId="0" fontId="6" fillId="0" borderId="0" xfId="0" applyFont="1" applyAlignment="1">
      <alignment horizontal="left"/>
    </xf>
  </cellXfs>
  <cellStyles count="1">
    <cellStyle name="Normal" xfId="0" builtinId="0"/>
  </cellStyles>
  <dxfs count="15"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charset val="1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charset val="1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21A587D0-1697-4A8A-AB35-4A76D52683BA}" autoFormatId="16" applyNumberFormats="0" applyBorderFormats="0" applyFontFormats="0" applyPatternFormats="0" applyAlignmentFormats="0" applyWidthHeightFormats="0">
  <queryTableRefresh nextId="10">
    <queryTableFields count="7">
      <queryTableField id="1" name="ID_CARRERA" tableColumnId="1"/>
      <queryTableField id="2" name="NOMBRE_CARRERA" tableColumnId="2"/>
      <queryTableField id="6" name="SEMANAS" tableColumnId="6"/>
      <queryTableField id="7" name="TOTAL HORAS" tableColumnId="7"/>
      <queryTableField id="3" name="FECHA_INICIO" tableColumnId="3"/>
      <queryTableField id="4" name="FECHA_FIN" tableColumnId="4"/>
      <queryTableField id="5" name="ESTADO" tableColumnId="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383585-6662-479B-B6BE-EC87D4E51AE0}" name="TAB_H_MAE_ASIG" displayName="TAB_H_MAE_ASIG" ref="A1:G353" totalsRowShown="0" headerRowDxfId="13" dataDxfId="12">
  <autoFilter ref="A1:G353" xr:uid="{25383585-6662-479B-B6BE-EC87D4E51AE0}"/>
  <sortState xmlns:xlrd2="http://schemas.microsoft.com/office/spreadsheetml/2017/richdata2" ref="A2:G318">
    <sortCondition ref="F1:F318"/>
  </sortState>
  <tableColumns count="7">
    <tableColumn id="1" xr3:uid="{D76AD965-0D06-4E75-8075-1A12D4BDAC60}" name="ID_ASIG" dataDxfId="11">
      <calculatedColumnFormula>CONCATENATE(TAB_H_MAE_ASIG[[#This Row],[ID_CARRERA]],"-NI-",TAB_H_MAE_ASIG[[#This Row],[ID_NIVEL]],"-",LEFT(MID(B2,1,20),5)&amp;IF(ISERR(FIND(" ",MID(B2,4,20))),"","-"&amp;LEFT(MID(MID(B2,4,20),FIND(" ",MID(B2,4,20))+1,20),3))&amp;IF(ISERR(FIND(" ",MID(B2,4,20),FIND(" ",MID(B2,4,20))+1)),"","-"&amp;LEFT(MID(MID(B2,4,20),FIND(" ",MID(B2,4,20),FIND(" ",MID(B2,4,20))+1)+1,20),3)))</calculatedColumnFormula>
    </tableColumn>
    <tableColumn id="2" xr3:uid="{DA073936-F0FC-4F09-96C3-5943E29AA1D1}" name="NOM_ASIG" dataDxfId="10"/>
    <tableColumn id="3" xr3:uid="{8CB520B6-2176-40C6-8F34-0E267ACF8B14}" name="HORAS" dataDxfId="9"/>
    <tableColumn id="8" xr3:uid="{3262F6CD-2E71-4018-A228-01BD7EC31F31}" name="semanas" dataDxfId="8"/>
    <tableColumn id="6" xr3:uid="{F1A8A3AB-69B5-4B43-A6B2-42A590BC36D0}" name="ID_CARRERA" dataDxfId="7"/>
    <tableColumn id="4" xr3:uid="{59C114D4-85F8-41D8-A9C3-202346CEF814}" name="NOMBRE_CARRERA" dataDxfId="6">
      <calculatedColumnFormula>_xlfn.XLOOKUP(TAB_H_MAE_ASIG[[#This Row],[ID_CARRERA]],MAE_CARRERA[ID_CARRERA],MAE_CARRERA[NOMBRE_CARRERA])</calculatedColumnFormula>
    </tableColumn>
    <tableColumn id="5" xr3:uid="{2E77F52F-A1F5-48AC-B6F1-D9F4BA7C1B8F}" name="ID_NIVEL" dataDxfId="5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013B87-0154-4E2B-9A7C-D84DF76B9425}" name="MAE_CARRERA" displayName="MAE_CARRERA" ref="A1:G18" tableType="queryTable" totalsRowShown="0">
  <autoFilter ref="A1:G18" xr:uid="{E8013B87-0154-4E2B-9A7C-D84DF76B9425}"/>
  <tableColumns count="7">
    <tableColumn id="1" xr3:uid="{B0E79194-5E0F-4FAA-A382-5B7DA9D14688}" uniqueName="1" name="ID_CARRERA" queryTableFieldId="1" dataDxfId="4"/>
    <tableColumn id="2" xr3:uid="{AF91321A-59B1-4991-97B6-F078FA09BB0D}" uniqueName="2" name="NOMBRE_CARRERA" queryTableFieldId="2" dataDxfId="3"/>
    <tableColumn id="6" xr3:uid="{318382F3-5F81-4854-94E2-8125F380CD9C}" uniqueName="6" name="SEMANAS" queryTableFieldId="6"/>
    <tableColumn id="7" xr3:uid="{E250BB60-1AB7-4A2B-97E2-3EF0118872ED}" uniqueName="7" name="TOTAL HORAS" queryTableFieldId="7"/>
    <tableColumn id="3" xr3:uid="{129FD4C8-3929-4B4B-8942-FAF3AB99A8D2}" uniqueName="3" name="FECHA_INICIO" queryTableFieldId="3" dataDxfId="2"/>
    <tableColumn id="4" xr3:uid="{E9B2B0F6-DDAB-4305-A3F0-68496717663F}" uniqueName="4" name="FECHA_FIN" queryTableFieldId="4" dataDxfId="1"/>
    <tableColumn id="5" xr3:uid="{8F142BA6-443D-48AA-97D0-4CEA606BA6F5}" uniqueName="5" name="ESTADO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3"/>
  <sheetViews>
    <sheetView tabSelected="1" workbookViewId="0">
      <selection activeCell="A3" sqref="A3"/>
    </sheetView>
  </sheetViews>
  <sheetFormatPr defaultColWidth="9.140625" defaultRowHeight="12.75" customHeight="1"/>
  <cols>
    <col min="1" max="1" width="31.85546875" style="4" customWidth="1"/>
    <col min="2" max="2" width="63" style="4" bestFit="1" customWidth="1"/>
    <col min="3" max="4" width="9.140625" style="4"/>
    <col min="5" max="5" width="18.140625" style="4" customWidth="1"/>
    <col min="6" max="6" width="37.28515625" style="4" bestFit="1" customWidth="1"/>
    <col min="7" max="7" width="10.28515625" style="4" bestFit="1" customWidth="1"/>
    <col min="8" max="16384" width="9.140625" style="4"/>
  </cols>
  <sheetData>
    <row r="1" spans="1:7" ht="12.7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12.75" customHeight="1">
      <c r="A2" s="2" t="s">
        <v>7</v>
      </c>
      <c r="B2" s="5" t="s">
        <v>8</v>
      </c>
      <c r="C2" s="6">
        <v>4</v>
      </c>
      <c r="D2" s="6">
        <v>16</v>
      </c>
      <c r="E2" s="6" t="s">
        <v>9</v>
      </c>
      <c r="F2" s="5" t="str">
        <f>_xlfn.XLOOKUP(TAB_H_MAE_ASIG[[#This Row],[ID_CARRERA]],MAE_CARRERA[ID_CARRERA],MAE_CARRERA[NOMBRE_CARRERA])</f>
        <v>ADMINISTRACIÓN DE EMPRESAS</v>
      </c>
      <c r="G2" s="6">
        <v>1</v>
      </c>
    </row>
    <row r="3" spans="1:7" ht="12.75" customHeight="1">
      <c r="A3" s="2" t="str">
        <f>CONCATENATE(TAB_H_MAE_ASIG[[#This Row],[ID_CARRERA]],"-NI-",TAB_H_MAE_ASIG[[#This Row],[ID_NIVEL]],"-",LEFT(MID(B3,1,20),5)&amp;IF(ISERR(FIND(" ",MID(B3,4,20))),"","-"&amp;LEFT(MID(MID(B3,4,20),FIND(" ",MID(B3,4,20))+1,20),3))&amp;IF(ISERR(FIND(" ",MID(B3,4,20),FIND(" ",MID(B3,4,20))+1)),"","-"&amp;LEFT(MID(MID(B3,4,20),FIND(" ",MID(B3,4,20),FIND(" ",MID(B3,4,20))+1)+1,20),3)))</f>
        <v>FCACC-AD-EM-NI-1-MATEM-APL-A L</v>
      </c>
      <c r="B3" s="5" t="s">
        <v>10</v>
      </c>
      <c r="C3" s="6">
        <v>4</v>
      </c>
      <c r="D3" s="6">
        <v>16</v>
      </c>
      <c r="E3" s="6" t="s">
        <v>9</v>
      </c>
      <c r="F3" s="5" t="str">
        <f>_xlfn.XLOOKUP(TAB_H_MAE_ASIG[[#This Row],[ID_CARRERA]],MAE_CARRERA[ID_CARRERA],MAE_CARRERA[NOMBRE_CARRERA])</f>
        <v>ADMINISTRACIÓN DE EMPRESAS</v>
      </c>
      <c r="G3" s="6">
        <v>1</v>
      </c>
    </row>
    <row r="4" spans="1:7" ht="12.75" customHeight="1">
      <c r="A4" s="2" t="str">
        <f>CONCATENATE(TAB_H_MAE_ASIG[[#This Row],[ID_CARRERA]],"-NI-",TAB_H_MAE_ASIG[[#This Row],[ID_NIVEL]],"-",LEFT(MID(B4,1,20),5)&amp;IF(ISERR(FIND(" ",MID(B4,4,20))),"","-"&amp;LEFT(MID(MID(B4,4,20),FIND(" ",MID(B4,4,20))+1,20),3))&amp;IF(ISERR(FIND(" ",MID(B4,4,20),FIND(" ",MID(B4,4,20))+1)),"","-"&amp;LEFT(MID(MID(B4,4,20),FIND(" ",MID(B4,4,20),FIND(" ",MID(B4,4,20))+1)+1,20),3)))</f>
        <v>FCACC-AD-EM-NI-1-ADMIN-PAR-LOS</v>
      </c>
      <c r="B4" s="5" t="s">
        <v>11</v>
      </c>
      <c r="C4" s="6">
        <v>4</v>
      </c>
      <c r="D4" s="6">
        <v>16</v>
      </c>
      <c r="E4" s="6" t="s">
        <v>9</v>
      </c>
      <c r="F4" s="5" t="str">
        <f>_xlfn.XLOOKUP(TAB_H_MAE_ASIG[[#This Row],[ID_CARRERA]],MAE_CARRERA[ID_CARRERA],MAE_CARRERA[NOMBRE_CARRERA])</f>
        <v>ADMINISTRACIÓN DE EMPRESAS</v>
      </c>
      <c r="G4" s="6">
        <v>1</v>
      </c>
    </row>
    <row r="5" spans="1:7" ht="12.75" customHeight="1">
      <c r="A5" s="2" t="str">
        <f>CONCATENATE(TAB_H_MAE_ASIG[[#This Row],[ID_CARRERA]],"-NI-",TAB_H_MAE_ASIG[[#This Row],[ID_NIVEL]],"-",LEFT(MID(B5,1,20),5)&amp;IF(ISERR(FIND(" ",MID(B5,4,20))),"","-"&amp;LEFT(MID(MID(B5,4,20),FIND(" ",MID(B5,4,20))+1,20),3))&amp;IF(ISERR(FIND(" ",MID(B5,4,20),FIND(" ",MID(B5,4,20))+1)),"","-"&amp;LEFT(MID(MID(B5,4,20),FIND(" ",MID(B5,4,20),FIND(" ",MID(B5,4,20))+1)+1,20),3)))</f>
        <v xml:space="preserve">FCACC-AD-EM-NI-1-METOD-DE -LA </v>
      </c>
      <c r="B5" s="5" t="s">
        <v>12</v>
      </c>
      <c r="C5" s="6">
        <v>4</v>
      </c>
      <c r="D5" s="6">
        <v>16</v>
      </c>
      <c r="E5" s="6" t="s">
        <v>9</v>
      </c>
      <c r="F5" s="5" t="str">
        <f>_xlfn.XLOOKUP(TAB_H_MAE_ASIG[[#This Row],[ID_CARRERA]],MAE_CARRERA[ID_CARRERA],MAE_CARRERA[NOMBRE_CARRERA])</f>
        <v>ADMINISTRACIÓN DE EMPRESAS</v>
      </c>
      <c r="G5" s="6">
        <v>1</v>
      </c>
    </row>
    <row r="6" spans="1:7" ht="12.75" customHeight="1">
      <c r="A6" s="2" t="str">
        <f>CONCATENATE(TAB_H_MAE_ASIG[[#This Row],[ID_CARRERA]],"-NI-",TAB_H_MAE_ASIG[[#This Row],[ID_NIVEL]],"-",LEFT(MID(B6,1,20),5)&amp;IF(ISERR(FIND(" ",MID(B6,4,20))),"","-"&amp;LEFT(MID(MID(B6,4,20),FIND(" ",MID(B6,4,20))+1,20),3))&amp;IF(ISERR(FIND(" ",MID(B6,4,20),FIND(" ",MID(B6,4,20))+1)),"","-"&amp;LEFT(MID(MID(B6,4,20),FIND(" ",MID(B6,4,20),FIND(" ",MID(B6,4,20))+1)+1,20),3)))</f>
        <v>FCACC-AD-EM-NI-1-MICRO</v>
      </c>
      <c r="B6" s="5" t="s">
        <v>13</v>
      </c>
      <c r="C6" s="6">
        <v>4</v>
      </c>
      <c r="D6" s="6">
        <v>16</v>
      </c>
      <c r="E6" s="6" t="s">
        <v>9</v>
      </c>
      <c r="F6" s="5" t="str">
        <f>_xlfn.XLOOKUP(TAB_H_MAE_ASIG[[#This Row],[ID_CARRERA]],MAE_CARRERA[ID_CARRERA],MAE_CARRERA[NOMBRE_CARRERA])</f>
        <v>ADMINISTRACIÓN DE EMPRESAS</v>
      </c>
      <c r="G6" s="6">
        <v>1</v>
      </c>
    </row>
    <row r="7" spans="1:7" ht="12.75" customHeight="1">
      <c r="A7" s="2" t="str">
        <f>CONCATENATE(TAB_H_MAE_ASIG[[#This Row],[ID_CARRERA]],"-NI-",TAB_H_MAE_ASIG[[#This Row],[ID_NIVEL]],"-",LEFT(MID(B7,1,20),5)&amp;IF(ISERR(FIND(" ",MID(B7,4,20))),"","-"&amp;LEFT(MID(MID(B7,4,20),FIND(" ",MID(B7,4,20))+1,20),3))&amp;IF(ISERR(FIND(" ",MID(B7,4,20),FIND(" ",MID(B7,4,20))+1)),"","-"&amp;LEFT(MID(MID(B7,4,20),FIND(" ",MID(B7,4,20),FIND(" ",MID(B7,4,20))+1)+1,20),3)))</f>
        <v>FCACC-AD-EM-NI-2-CONTA-FIN</v>
      </c>
      <c r="B7" s="5" t="s">
        <v>14</v>
      </c>
      <c r="C7" s="6">
        <v>3</v>
      </c>
      <c r="D7" s="6">
        <v>16</v>
      </c>
      <c r="E7" s="6" t="s">
        <v>9</v>
      </c>
      <c r="F7" s="5" t="str">
        <f>_xlfn.XLOOKUP(TAB_H_MAE_ASIG[[#This Row],[ID_CARRERA]],MAE_CARRERA[ID_CARRERA],MAE_CARRERA[NOMBRE_CARRERA])</f>
        <v>ADMINISTRACIÓN DE EMPRESAS</v>
      </c>
      <c r="G7" s="6">
        <v>2</v>
      </c>
    </row>
    <row r="8" spans="1:7" ht="12.75" customHeight="1">
      <c r="A8" s="2" t="str">
        <f>CONCATENATE(TAB_H_MAE_ASIG[[#This Row],[ID_CARRERA]],"-NI-",TAB_H_MAE_ASIG[[#This Row],[ID_NIVEL]],"-",LEFT(MID(B8,1,20),5)&amp;IF(ISERR(FIND(" ",MID(B8,4,20))),"","-"&amp;LEFT(MID(MID(B8,4,20),FIND(" ",MID(B8,4,20))+1,20),3))&amp;IF(ISERR(FIND(" ",MID(B8,4,20),FIND(" ",MID(B8,4,20))+1)),"","-"&amp;LEFT(MID(MID(B8,4,20),FIND(" ",MID(B8,4,20),FIND(" ",MID(B8,4,20))+1)+1,20),3)))</f>
        <v>FCACC-AD-EM-NI-2-MATEM-FIN</v>
      </c>
      <c r="B8" s="5" t="s">
        <v>15</v>
      </c>
      <c r="C8" s="6">
        <v>4</v>
      </c>
      <c r="D8" s="6">
        <v>16</v>
      </c>
      <c r="E8" s="6" t="s">
        <v>9</v>
      </c>
      <c r="F8" s="5" t="str">
        <f>_xlfn.XLOOKUP(TAB_H_MAE_ASIG[[#This Row],[ID_CARRERA]],MAE_CARRERA[ID_CARRERA],MAE_CARRERA[NOMBRE_CARRERA])</f>
        <v>ADMINISTRACIÓN DE EMPRESAS</v>
      </c>
      <c r="G8" s="6">
        <v>2</v>
      </c>
    </row>
    <row r="9" spans="1:7" ht="12.75" customHeight="1">
      <c r="A9" s="2" t="str">
        <f>CONCATENATE(TAB_H_MAE_ASIG[[#This Row],[ID_CARRERA]],"-NI-",TAB_H_MAE_ASIG[[#This Row],[ID_NIVEL]],"-",LEFT(MID(B9,1,20),5)&amp;IF(ISERR(FIND(" ",MID(B9,4,20))),"","-"&amp;LEFT(MID(MID(B9,4,20),FIND(" ",MID(B9,4,20))+1,20),3))&amp;IF(ISERR(FIND(" ",MID(B9,4,20),FIND(" ",MID(B9,4,20))+1)),"","-"&amp;LEFT(MID(MID(B9,4,20),FIND(" ",MID(B9,4,20),FIND(" ",MID(B9,4,20))+1)+1,20),3)))</f>
        <v>FCACC-AD-EM-NI-2-ADMIN-EST</v>
      </c>
      <c r="B9" s="5" t="s">
        <v>16</v>
      </c>
      <c r="C9" s="6">
        <v>4</v>
      </c>
      <c r="D9" s="6">
        <v>16</v>
      </c>
      <c r="E9" s="6" t="s">
        <v>9</v>
      </c>
      <c r="F9" s="5" t="str">
        <f>_xlfn.XLOOKUP(TAB_H_MAE_ASIG[[#This Row],[ID_CARRERA]],MAE_CARRERA[ID_CARRERA],MAE_CARRERA[NOMBRE_CARRERA])</f>
        <v>ADMINISTRACIÓN DE EMPRESAS</v>
      </c>
      <c r="G9" s="6">
        <v>2</v>
      </c>
    </row>
    <row r="10" spans="1:7" ht="12.75" customHeight="1">
      <c r="A10" s="2" t="str">
        <f>CONCATENATE(TAB_H_MAE_ASIG[[#This Row],[ID_CARRERA]],"-NI-",TAB_H_MAE_ASIG[[#This Row],[ID_NIVEL]],"-",LEFT(MID(B10,1,20),5)&amp;IF(ISERR(FIND(" ",MID(B10,4,20))),"","-"&amp;LEFT(MID(MID(B10,4,20),FIND(" ",MID(B10,4,20))+1,20),3))&amp;IF(ISERR(FIND(" ",MID(B10,4,20),FIND(" ",MID(B10,4,20))+1)),"","-"&amp;LEFT(MID(MID(B10,4,20),FIND(" ",MID(B10,4,20),FIND(" ",MID(B10,4,20))+1)+1,20),3)))</f>
        <v xml:space="preserve">FCACC-AD-EM-NI-2-ESTAD-APL-A </v>
      </c>
      <c r="B10" s="5" t="s">
        <v>17</v>
      </c>
      <c r="C10" s="6">
        <v>3</v>
      </c>
      <c r="D10" s="6">
        <v>16</v>
      </c>
      <c r="E10" s="6" t="s">
        <v>9</v>
      </c>
      <c r="F10" s="5" t="str">
        <f>_xlfn.XLOOKUP(TAB_H_MAE_ASIG[[#This Row],[ID_CARRERA]],MAE_CARRERA[ID_CARRERA],MAE_CARRERA[NOMBRE_CARRERA])</f>
        <v>ADMINISTRACIÓN DE EMPRESAS</v>
      </c>
      <c r="G10" s="6">
        <v>2</v>
      </c>
    </row>
    <row r="11" spans="1:7" ht="12.75" customHeight="1">
      <c r="A11" s="2" t="str">
        <f>CONCATENATE(TAB_H_MAE_ASIG[[#This Row],[ID_CARRERA]],"-NI-",TAB_H_MAE_ASIG[[#This Row],[ID_NIVEL]],"-",LEFT(MID(B11,1,20),5)&amp;IF(ISERR(FIND(" ",MID(B11,4,20))),"","-"&amp;LEFT(MID(MID(B11,4,20),FIND(" ",MID(B11,4,20))+1,20),3))&amp;IF(ISERR(FIND(" ",MID(B11,4,20),FIND(" ",MID(B11,4,20))+1)),"","-"&amp;LEFT(MID(MID(B11,4,20),FIND(" ",MID(B11,4,20),FIND(" ",MID(B11,4,20))+1)+1,20),3)))</f>
        <v>FCACC-AD-EM-NI-2-MACRO</v>
      </c>
      <c r="B11" s="5" t="s">
        <v>18</v>
      </c>
      <c r="C11" s="6">
        <v>3</v>
      </c>
      <c r="D11" s="6">
        <v>16</v>
      </c>
      <c r="E11" s="6" t="s">
        <v>9</v>
      </c>
      <c r="F11" s="5" t="str">
        <f>_xlfn.XLOOKUP(TAB_H_MAE_ASIG[[#This Row],[ID_CARRERA]],MAE_CARRERA[ID_CARRERA],MAE_CARRERA[NOMBRE_CARRERA])</f>
        <v>ADMINISTRACIÓN DE EMPRESAS</v>
      </c>
      <c r="G11" s="6">
        <v>2</v>
      </c>
    </row>
    <row r="12" spans="1:7" ht="12.75" customHeight="1">
      <c r="A12" s="2" t="str">
        <f>CONCATENATE(TAB_H_MAE_ASIG[[#This Row],[ID_CARRERA]],"-NI-",TAB_H_MAE_ASIG[[#This Row],[ID_NIVEL]],"-",LEFT(MID(B12,1,20),5)&amp;IF(ISERR(FIND(" ",MID(B12,4,20))),"","-"&amp;LEFT(MID(MID(B12,4,20),FIND(" ",MID(B12,4,20))+1,20),3))&amp;IF(ISERR(FIND(" ",MID(B12,4,20),FIND(" ",MID(B12,4,20))+1)),"","-"&amp;LEFT(MID(MID(B12,4,20),FIND(" ",MID(B12,4,20),FIND(" ",MID(B12,4,20))+1)+1,20),3)))</f>
        <v>FCACC-AD-EM-NI-2-DEREC-MER-Y S</v>
      </c>
      <c r="B12" s="5" t="s">
        <v>19</v>
      </c>
      <c r="C12" s="6">
        <v>3</v>
      </c>
      <c r="D12" s="6">
        <v>16</v>
      </c>
      <c r="E12" s="6" t="s">
        <v>9</v>
      </c>
      <c r="F12" s="5" t="str">
        <f>_xlfn.XLOOKUP(TAB_H_MAE_ASIG[[#This Row],[ID_CARRERA]],MAE_CARRERA[ID_CARRERA],MAE_CARRERA[NOMBRE_CARRERA])</f>
        <v>ADMINISTRACIÓN DE EMPRESAS</v>
      </c>
      <c r="G12" s="6">
        <v>2</v>
      </c>
    </row>
    <row r="13" spans="1:7" ht="12.75" customHeight="1">
      <c r="A13" s="2" t="str">
        <f>CONCATENATE(TAB_H_MAE_ASIG[[#This Row],[ID_CARRERA]],"-NI-",TAB_H_MAE_ASIG[[#This Row],[ID_NIVEL]],"-",LEFT(MID(B13,1,20),5)&amp;IF(ISERR(FIND(" ",MID(B13,4,20))),"","-"&amp;LEFT(MID(MID(B13,4,20),FIND(" ",MID(B13,4,20))+1,20),3))&amp;IF(ISERR(FIND(" ",MID(B13,4,20),FIND(" ",MID(B13,4,20))+1)),"","-"&amp;LEFT(MID(MID(B13,4,20),FIND(" ",MID(B13,4,20),FIND(" ",MID(B13,4,20))+1)+1,20),3)))</f>
        <v>FCACC-AD-EM-NI-3-CREAT-E I-INN</v>
      </c>
      <c r="B13" s="5" t="s">
        <v>20</v>
      </c>
      <c r="C13" s="6">
        <v>4</v>
      </c>
      <c r="D13" s="6">
        <v>16</v>
      </c>
      <c r="E13" s="6" t="s">
        <v>9</v>
      </c>
      <c r="F13" s="5" t="str">
        <f>_xlfn.XLOOKUP(TAB_H_MAE_ASIG[[#This Row],[ID_CARRERA]],MAE_CARRERA[ID_CARRERA],MAE_CARRERA[NOMBRE_CARRERA])</f>
        <v>ADMINISTRACIÓN DE EMPRESAS</v>
      </c>
      <c r="G13" s="6">
        <v>3</v>
      </c>
    </row>
    <row r="14" spans="1:7" ht="12.75" customHeight="1">
      <c r="A14" s="2" t="str">
        <f>CONCATENATE(TAB_H_MAE_ASIG[[#This Row],[ID_CARRERA]],"-NI-",TAB_H_MAE_ASIG[[#This Row],[ID_NIVEL]],"-",LEFT(MID(B14,1,20),5)&amp;IF(ISERR(FIND(" ",MID(B14,4,20))),"","-"&amp;LEFT(MID(MID(B14,4,20),FIND(" ",MID(B14,4,20))+1,20),3))&amp;IF(ISERR(FIND(" ",MID(B14,4,20),FIND(" ",MID(B14,4,20))+1)),"","-"&amp;LEFT(MID(MID(B14,4,20),FIND(" ",MID(B14,4,20),FIND(" ",MID(B14,4,20))+1)+1,20),3)))</f>
        <v>FCACC-AD-EM-NI-3-MÉTOD-CUA-P</v>
      </c>
      <c r="B14" s="5" t="s">
        <v>21</v>
      </c>
      <c r="C14" s="6">
        <v>3</v>
      </c>
      <c r="D14" s="6">
        <v>16</v>
      </c>
      <c r="E14" s="6" t="s">
        <v>9</v>
      </c>
      <c r="F14" s="5" t="str">
        <f>_xlfn.XLOOKUP(TAB_H_MAE_ASIG[[#This Row],[ID_CARRERA]],MAE_CARRERA[ID_CARRERA],MAE_CARRERA[NOMBRE_CARRERA])</f>
        <v>ADMINISTRACIÓN DE EMPRESAS</v>
      </c>
      <c r="G14" s="6">
        <v>3</v>
      </c>
    </row>
    <row r="15" spans="1:7" ht="12.75" customHeight="1">
      <c r="A15" s="2" t="str">
        <f>CONCATENATE(TAB_H_MAE_ASIG[[#This Row],[ID_CARRERA]],"-NI-",TAB_H_MAE_ASIG[[#This Row],[ID_NIVEL]],"-",LEFT(MID(B15,1,20),5)&amp;IF(ISERR(FIND(" ",MID(B15,4,20))),"","-"&amp;LEFT(MID(MID(B15,4,20),FIND(" ",MID(B15,4,20))+1,20),3))&amp;IF(ISERR(FIND(" ",MID(B15,4,20),FIND(" ",MID(B15,4,20))+1)),"","-"&amp;LEFT(MID(MID(B15,4,20),FIND(" ",MID(B15,4,20),FIND(" ",MID(B15,4,20))+1)+1,20),3)))</f>
        <v>FCACC-AD-EM-NI-3-DISEÑ-ORG-Y</v>
      </c>
      <c r="B15" s="5" t="s">
        <v>22</v>
      </c>
      <c r="C15" s="6">
        <v>4</v>
      </c>
      <c r="D15" s="6">
        <v>16</v>
      </c>
      <c r="E15" s="6" t="s">
        <v>9</v>
      </c>
      <c r="F15" s="5" t="str">
        <f>_xlfn.XLOOKUP(TAB_H_MAE_ASIG[[#This Row],[ID_CARRERA]],MAE_CARRERA[ID_CARRERA],MAE_CARRERA[NOMBRE_CARRERA])</f>
        <v>ADMINISTRACIÓN DE EMPRESAS</v>
      </c>
      <c r="G15" s="6">
        <v>3</v>
      </c>
    </row>
    <row r="16" spans="1:7" ht="12.75" customHeight="1">
      <c r="A16" s="2" t="str">
        <f>CONCATENATE(TAB_H_MAE_ASIG[[#This Row],[ID_CARRERA]],"-NI-",TAB_H_MAE_ASIG[[#This Row],[ID_NIVEL]],"-",LEFT(MID(B16,1,20),5)&amp;IF(ISERR(FIND(" ",MID(B16,4,20))),"","-"&amp;LEFT(MID(MID(B16,4,20),FIND(" ",MID(B16,4,20))+1,20),3))&amp;IF(ISERR(FIND(" ",MID(B16,4,20),FIND(" ",MID(B16,4,20))+1)),"","-"&amp;LEFT(MID(MID(B16,4,20),FIND(" ",MID(B16,4,20),FIND(" ",MID(B16,4,20))+1)+1,20),3)))</f>
        <v>FCACC-AD-EM-NI-3-HERRA-PAR-ANÁ</v>
      </c>
      <c r="B16" s="5" t="s">
        <v>23</v>
      </c>
      <c r="C16" s="6">
        <v>3</v>
      </c>
      <c r="D16" s="6">
        <v>16</v>
      </c>
      <c r="E16" s="6" t="s">
        <v>9</v>
      </c>
      <c r="F16" s="5" t="str">
        <f>_xlfn.XLOOKUP(TAB_H_MAE_ASIG[[#This Row],[ID_CARRERA]],MAE_CARRERA[ID_CARRERA],MAE_CARRERA[NOMBRE_CARRERA])</f>
        <v>ADMINISTRACIÓN DE EMPRESAS</v>
      </c>
      <c r="G16" s="6">
        <v>3</v>
      </c>
    </row>
    <row r="17" spans="1:7" ht="12.75" customHeight="1">
      <c r="A17" s="2" t="str">
        <f>CONCATENATE(TAB_H_MAE_ASIG[[#This Row],[ID_CARRERA]],"-NI-",TAB_H_MAE_ASIG[[#This Row],[ID_NIVEL]],"-",LEFT(MID(B17,1,20),5)&amp;IF(ISERR(FIND(" ",MID(B17,4,20))),"","-"&amp;LEFT(MID(MID(B17,4,20),FIND(" ",MID(B17,4,20))+1,20),3))&amp;IF(ISERR(FIND(" ",MID(B17,4,20),FIND(" ",MID(B17,4,20))+1)),"","-"&amp;LEFT(MID(MID(B17,4,20),FIND(" ",MID(B17,4,20),FIND(" ",MID(B17,4,20))+1)+1,20),3)))</f>
        <v>FCACC-AD-EM-NI-3-ADMIN-AMB</v>
      </c>
      <c r="B17" s="5" t="s">
        <v>24</v>
      </c>
      <c r="C17" s="6">
        <v>3</v>
      </c>
      <c r="D17" s="6">
        <v>16</v>
      </c>
      <c r="E17" s="6" t="s">
        <v>9</v>
      </c>
      <c r="F17" s="5" t="str">
        <f>_xlfn.XLOOKUP(TAB_H_MAE_ASIG[[#This Row],[ID_CARRERA]],MAE_CARRERA[ID_CARRERA],MAE_CARRERA[NOMBRE_CARRERA])</f>
        <v>ADMINISTRACIÓN DE EMPRESAS</v>
      </c>
      <c r="G17" s="6">
        <v>3</v>
      </c>
    </row>
    <row r="18" spans="1:7" ht="12.75" customHeight="1">
      <c r="A18" s="2" t="str">
        <f>CONCATENATE(TAB_H_MAE_ASIG[[#This Row],[ID_CARRERA]],"-NI-",TAB_H_MAE_ASIG[[#This Row],[ID_NIVEL]],"-",LEFT(MID(B18,1,20),5)&amp;IF(ISERR(FIND(" ",MID(B18,4,20))),"","-"&amp;LEFT(MID(MID(B18,4,20),FIND(" ",MID(B18,4,20))+1,20),3))&amp;IF(ISERR(FIND(" ",MID(B18,4,20),FIND(" ",MID(B18,4,20))+1)),"","-"&amp;LEFT(MID(MID(B18,4,20),FIND(" ",MID(B18,4,20),FIND(" ",MID(B18,4,20))+1)+1,20),3)))</f>
        <v>FCACC-AD-EM-NI-3-DEREC-LAB</v>
      </c>
      <c r="B18" s="5" t="s">
        <v>25</v>
      </c>
      <c r="C18" s="6">
        <v>3</v>
      </c>
      <c r="D18" s="6">
        <v>16</v>
      </c>
      <c r="E18" s="6" t="s">
        <v>9</v>
      </c>
      <c r="F18" s="5" t="str">
        <f>_xlfn.XLOOKUP(TAB_H_MAE_ASIG[[#This Row],[ID_CARRERA]],MAE_CARRERA[ID_CARRERA],MAE_CARRERA[NOMBRE_CARRERA])</f>
        <v>ADMINISTRACIÓN DE EMPRESAS</v>
      </c>
      <c r="G18" s="6">
        <v>3</v>
      </c>
    </row>
    <row r="19" spans="1:7" ht="12.75" customHeight="1">
      <c r="A19" s="2" t="str">
        <f>CONCATENATE(TAB_H_MAE_ASIG[[#This Row],[ID_CARRERA]],"-NI-",TAB_H_MAE_ASIG[[#This Row],[ID_NIVEL]],"-",LEFT(MID(B19,1,20),5)&amp;IF(ISERR(FIND(" ",MID(B19,4,20))),"","-"&amp;LEFT(MID(MID(B19,4,20),FIND(" ",MID(B19,4,20))+1,20),3))&amp;IF(ISERR(FIND(" ",MID(B19,4,20),FIND(" ",MID(B19,4,20))+1)),"","-"&amp;LEFT(MID(MID(B19,4,20),FIND(" ",MID(B19,4,20),FIND(" ",MID(B19,4,20))+1)+1,20),3)))</f>
        <v>FCACC-AD-EM-NI-4-GESTI-FIN</v>
      </c>
      <c r="B19" s="5" t="s">
        <v>26</v>
      </c>
      <c r="C19" s="6">
        <v>4</v>
      </c>
      <c r="D19" s="6">
        <v>16</v>
      </c>
      <c r="E19" s="6" t="s">
        <v>9</v>
      </c>
      <c r="F19" s="5" t="str">
        <f>_xlfn.XLOOKUP(TAB_H_MAE_ASIG[[#This Row],[ID_CARRERA]],MAE_CARRERA[ID_CARRERA],MAE_CARRERA[NOMBRE_CARRERA])</f>
        <v>ADMINISTRACIÓN DE EMPRESAS</v>
      </c>
      <c r="G19" s="6">
        <v>4</v>
      </c>
    </row>
    <row r="20" spans="1:7" ht="12.75" customHeight="1">
      <c r="A20" s="2" t="str">
        <f>CONCATENATE(TAB_H_MAE_ASIG[[#This Row],[ID_CARRERA]],"-NI-",TAB_H_MAE_ASIG[[#This Row],[ID_NIVEL]],"-",LEFT(MID(B20,1,20),5)&amp;IF(ISERR(FIND(" ",MID(B20,4,20))),"","-"&amp;LEFT(MID(MID(B20,4,20),FIND(" ",MID(B20,4,20))+1,20),3))&amp;IF(ISERR(FIND(" ",MID(B20,4,20),FIND(" ",MID(B20,4,20))+1)),"","-"&amp;LEFT(MID(MID(B20,4,20),FIND(" ",MID(B20,4,20),FIND(" ",MID(B20,4,20))+1)+1,20),3)))</f>
        <v xml:space="preserve">FCACC-AD-EM-NI-4-GESTI-DE -LA </v>
      </c>
      <c r="B20" s="2" t="s">
        <v>27</v>
      </c>
      <c r="C20" s="6">
        <v>4</v>
      </c>
      <c r="D20" s="6">
        <v>16</v>
      </c>
      <c r="E20" s="6" t="s">
        <v>9</v>
      </c>
      <c r="F20" s="5" t="str">
        <f>_xlfn.XLOOKUP(TAB_H_MAE_ASIG[[#This Row],[ID_CARRERA]],MAE_CARRERA[ID_CARRERA],MAE_CARRERA[NOMBRE_CARRERA])</f>
        <v>ADMINISTRACIÓN DE EMPRESAS</v>
      </c>
      <c r="G20" s="6">
        <v>4</v>
      </c>
    </row>
    <row r="21" spans="1:7" ht="12.75" customHeight="1">
      <c r="A21" s="2" t="str">
        <f>CONCATENATE(TAB_H_MAE_ASIG[[#This Row],[ID_CARRERA]],"-NI-",TAB_H_MAE_ASIG[[#This Row],[ID_NIVEL]],"-",LEFT(MID(B21,1,20),5)&amp;IF(ISERR(FIND(" ",MID(B21,4,20))),"","-"&amp;LEFT(MID(MID(B21,4,20),FIND(" ",MID(B21,4,20))+1,20),3))&amp;IF(ISERR(FIND(" ",MID(B21,4,20),FIND(" ",MID(B21,4,20))+1)),"","-"&amp;LEFT(MID(MID(B21,4,20),FIND(" ",MID(B21,4,20),FIND(" ",MID(B21,4,20))+1)+1,20),3)))</f>
        <v>FCACC-AD-EM-NI-4-ADMIN-DEL-TAL</v>
      </c>
      <c r="B21" s="2" t="s">
        <v>28</v>
      </c>
      <c r="C21" s="6">
        <v>4</v>
      </c>
      <c r="D21" s="6">
        <v>16</v>
      </c>
      <c r="E21" s="6" t="s">
        <v>9</v>
      </c>
      <c r="F21" s="5" t="str">
        <f>_xlfn.XLOOKUP(TAB_H_MAE_ASIG[[#This Row],[ID_CARRERA]],MAE_CARRERA[ID_CARRERA],MAE_CARRERA[NOMBRE_CARRERA])</f>
        <v>ADMINISTRACIÓN DE EMPRESAS</v>
      </c>
      <c r="G21" s="6">
        <v>4</v>
      </c>
    </row>
    <row r="22" spans="1:7" ht="12.75" customHeight="1">
      <c r="A22" s="2" t="str">
        <f>CONCATENATE(TAB_H_MAE_ASIG[[#This Row],[ID_CARRERA]],"-NI-",TAB_H_MAE_ASIG[[#This Row],[ID_NIVEL]],"-",LEFT(MID(B22,1,20),5)&amp;IF(ISERR(FIND(" ",MID(B22,4,20))),"","-"&amp;LEFT(MID(MID(B22,4,20),FIND(" ",MID(B22,4,20))+1,20),3))&amp;IF(ISERR(FIND(" ",MID(B22,4,20),FIND(" ",MID(B22,4,20))+1)),"","-"&amp;LEFT(MID(MID(B22,4,20),FIND(" ",MID(B22,4,20),FIND(" ",MID(B22,4,20))+1)+1,20),3)))</f>
        <v>FCACC-AD-EM-NI-4-ANÁLI-E I-INV</v>
      </c>
      <c r="B22" s="2" t="s">
        <v>29</v>
      </c>
      <c r="C22" s="6">
        <v>4</v>
      </c>
      <c r="D22" s="6">
        <v>16</v>
      </c>
      <c r="E22" s="6" t="s">
        <v>9</v>
      </c>
      <c r="F22" s="5" t="str">
        <f>_xlfn.XLOOKUP(TAB_H_MAE_ASIG[[#This Row],[ID_CARRERA]],MAE_CARRERA[ID_CARRERA],MAE_CARRERA[NOMBRE_CARRERA])</f>
        <v>ADMINISTRACIÓN DE EMPRESAS</v>
      </c>
      <c r="G22" s="6">
        <v>4</v>
      </c>
    </row>
    <row r="23" spans="1:7" ht="12.75" customHeight="1">
      <c r="A23" s="2" t="str">
        <f>CONCATENATE(TAB_H_MAE_ASIG[[#This Row],[ID_CARRERA]],"-NI-",TAB_H_MAE_ASIG[[#This Row],[ID_NIVEL]],"-",LEFT(MID(B23,1,20),5)&amp;IF(ISERR(FIND(" ",MID(B23,4,20))),"","-"&amp;LEFT(MID(MID(B23,4,20),FIND(" ",MID(B23,4,20))+1,20),3))&amp;IF(ISERR(FIND(" ",MID(B23,4,20),FIND(" ",MID(B23,4,20))+1)),"","-"&amp;LEFT(MID(MID(B23,4,20),FIND(" ",MID(B23,4,20),FIND(" ",MID(B23,4,20))+1)+1,20),3)))</f>
        <v>FCACC-AD-EM-NI-4-ÉTICA-Y R-RES</v>
      </c>
      <c r="B23" s="2" t="s">
        <v>30</v>
      </c>
      <c r="C23" s="6">
        <v>4</v>
      </c>
      <c r="D23" s="6">
        <v>16</v>
      </c>
      <c r="E23" s="6" t="s">
        <v>9</v>
      </c>
      <c r="F23" s="5" t="str">
        <f>_xlfn.XLOOKUP(TAB_H_MAE_ASIG[[#This Row],[ID_CARRERA]],MAE_CARRERA[ID_CARRERA],MAE_CARRERA[NOMBRE_CARRERA])</f>
        <v>ADMINISTRACIÓN DE EMPRESAS</v>
      </c>
      <c r="G23" s="6">
        <v>4</v>
      </c>
    </row>
    <row r="24" spans="1:7" ht="12.75" customHeight="1">
      <c r="A24" s="2" t="str">
        <f>CONCATENATE(TAB_H_MAE_ASIG[[#This Row],[ID_CARRERA]],"-NI-",TAB_H_MAE_ASIG[[#This Row],[ID_NIVEL]],"-",LEFT(MID(B24,1,20),5)&amp;IF(ISERR(FIND(" ",MID(B24,4,20))),"","-"&amp;LEFT(MID(MID(B24,4,20),FIND(" ",MID(B24,4,20))+1,20),3))&amp;IF(ISERR(FIND(" ",MID(B24,4,20),FIND(" ",MID(B24,4,20))+1)),"","-"&amp;LEFT(MID(MID(B24,4,20),FIND(" ",MID(B24,4,20),FIND(" ",MID(B24,4,20))+1)+1,20),3)))</f>
        <v>FCACC-AD-EM-NI-5-ADMIN-FIN</v>
      </c>
      <c r="B24" s="2" t="s">
        <v>31</v>
      </c>
      <c r="C24" s="6">
        <v>4</v>
      </c>
      <c r="D24" s="6">
        <v>16</v>
      </c>
      <c r="E24" s="6" t="s">
        <v>9</v>
      </c>
      <c r="F24" s="5" t="str">
        <f>_xlfn.XLOOKUP(TAB_H_MAE_ASIG[[#This Row],[ID_CARRERA]],MAE_CARRERA[ID_CARRERA],MAE_CARRERA[NOMBRE_CARRERA])</f>
        <v>ADMINISTRACIÓN DE EMPRESAS</v>
      </c>
      <c r="G24" s="6">
        <v>5</v>
      </c>
    </row>
    <row r="25" spans="1:7" ht="12.75" customHeight="1">
      <c r="A25" s="2" t="str">
        <f>CONCATENATE(TAB_H_MAE_ASIG[[#This Row],[ID_CARRERA]],"-NI-",TAB_H_MAE_ASIG[[#This Row],[ID_NIVEL]],"-",LEFT(MID(B25,1,20),5)&amp;IF(ISERR(FIND(" ",MID(B25,4,20))),"","-"&amp;LEFT(MID(MID(B25,4,20),FIND(" ",MID(B25,4,20))+1,20),3))&amp;IF(ISERR(FIND(" ",MID(B25,4,20),FIND(" ",MID(B25,4,20))+1)),"","-"&amp;LEFT(MID(MID(B25,4,20),FIND(" ",MID(B25,4,20),FIND(" ",MID(B25,4,20))+1)+1,20),3)))</f>
        <v xml:space="preserve">FCACC-AD-EM-NI-5-ADMIN-DE -LA </v>
      </c>
      <c r="B25" s="2" t="s">
        <v>32</v>
      </c>
      <c r="C25" s="6">
        <v>4</v>
      </c>
      <c r="D25" s="6">
        <v>16</v>
      </c>
      <c r="E25" s="6" t="s">
        <v>9</v>
      </c>
      <c r="F25" s="5" t="str">
        <f>_xlfn.XLOOKUP(TAB_H_MAE_ASIG[[#This Row],[ID_CARRERA]],MAE_CARRERA[ID_CARRERA],MAE_CARRERA[NOMBRE_CARRERA])</f>
        <v>ADMINISTRACIÓN DE EMPRESAS</v>
      </c>
      <c r="G25" s="6">
        <v>5</v>
      </c>
    </row>
    <row r="26" spans="1:7" ht="12.75" customHeight="1">
      <c r="A26" s="2" t="str">
        <f>CONCATENATE(TAB_H_MAE_ASIG[[#This Row],[ID_CARRERA]],"-NI-",TAB_H_MAE_ASIG[[#This Row],[ID_NIVEL]],"-",LEFT(MID(B26,1,20),5)&amp;IF(ISERR(FIND(" ",MID(B26,4,20))),"","-"&amp;LEFT(MID(MID(B26,4,20),FIND(" ",MID(B26,4,20))+1,20),3))&amp;IF(ISERR(FIND(" ",MID(B26,4,20),FIND(" ",MID(B26,4,20))+1)),"","-"&amp;LEFT(MID(MID(B26,4,20),FIND(" ",MID(B26,4,20),FIND(" ",MID(B26,4,20))+1)+1,20),3)))</f>
        <v>FCACC-AD-EM-NI-5-DESAR-DE -HAB</v>
      </c>
      <c r="B26" s="2" t="s">
        <v>33</v>
      </c>
      <c r="C26" s="6">
        <v>4</v>
      </c>
      <c r="D26" s="6">
        <v>16</v>
      </c>
      <c r="E26" s="6" t="s">
        <v>9</v>
      </c>
      <c r="F26" s="5" t="str">
        <f>_xlfn.XLOOKUP(TAB_H_MAE_ASIG[[#This Row],[ID_CARRERA]],MAE_CARRERA[ID_CARRERA],MAE_CARRERA[NOMBRE_CARRERA])</f>
        <v>ADMINISTRACIÓN DE EMPRESAS</v>
      </c>
      <c r="G26" s="6">
        <v>5</v>
      </c>
    </row>
    <row r="27" spans="1:7" ht="12.75" customHeight="1">
      <c r="A27" s="2" t="str">
        <f>CONCATENATE(TAB_H_MAE_ASIG[[#This Row],[ID_CARRERA]],"-NI-",TAB_H_MAE_ASIG[[#This Row],[ID_NIVEL]],"-",LEFT(MID(B27,1,20),5)&amp;IF(ISERR(FIND(" ",MID(B27,4,20))),"","-"&amp;LEFT(MID(MID(B27,4,20),FIND(" ",MID(B27,4,20))+1,20),3))&amp;IF(ISERR(FIND(" ",MID(B27,4,20),FIND(" ",MID(B27,4,20))+1)),"","-"&amp;LEFT(MID(MID(B27,4,20),FIND(" ",MID(B27,4,20),FIND(" ",MID(B27,4,20))+1)+1,20),3)))</f>
        <v>FCACC-AD-EM-NI-5-AUDIT-ADM</v>
      </c>
      <c r="B27" s="2" t="s">
        <v>34</v>
      </c>
      <c r="C27" s="6">
        <v>4</v>
      </c>
      <c r="D27" s="6">
        <v>16</v>
      </c>
      <c r="E27" s="6" t="s">
        <v>9</v>
      </c>
      <c r="F27" s="5" t="str">
        <f>_xlfn.XLOOKUP(TAB_H_MAE_ASIG[[#This Row],[ID_CARRERA]],MAE_CARRERA[ID_CARRERA],MAE_CARRERA[NOMBRE_CARRERA])</f>
        <v>ADMINISTRACIÓN DE EMPRESAS</v>
      </c>
      <c r="G27" s="6">
        <v>5</v>
      </c>
    </row>
    <row r="28" spans="1:7" ht="12.75" customHeight="1">
      <c r="A28" s="2" t="str">
        <f>CONCATENATE(TAB_H_MAE_ASIG[[#This Row],[ID_CARRERA]],"-NI-",TAB_H_MAE_ASIG[[#This Row],[ID_NIVEL]],"-",LEFT(MID(B28,1,20),5)&amp;IF(ISERR(FIND(" ",MID(B28,4,20))),"","-"&amp;LEFT(MID(MID(B28,4,20),FIND(" ",MID(B28,4,20))+1,20),3))&amp;IF(ISERR(FIND(" ",MID(B28,4,20),FIND(" ",MID(B28,4,20))+1)),"","-"&amp;LEFT(MID(MID(B28,4,20),FIND(" ",MID(B28,4,20),FIND(" ",MID(B28,4,20))+1)+1,20),3)))</f>
        <v>FCACC-AD-EM-NI-5-RIESG-Y S-SEG</v>
      </c>
      <c r="B28" s="2" t="s">
        <v>35</v>
      </c>
      <c r="C28" s="6">
        <v>4</v>
      </c>
      <c r="D28" s="6">
        <v>16</v>
      </c>
      <c r="E28" s="6" t="s">
        <v>9</v>
      </c>
      <c r="F28" s="5" t="str">
        <f>_xlfn.XLOOKUP(TAB_H_MAE_ASIG[[#This Row],[ID_CARRERA]],MAE_CARRERA[ID_CARRERA],MAE_CARRERA[NOMBRE_CARRERA])</f>
        <v>ADMINISTRACIÓN DE EMPRESAS</v>
      </c>
      <c r="G28" s="6">
        <v>5</v>
      </c>
    </row>
    <row r="29" spans="1:7" ht="12.75" customHeight="1">
      <c r="A29" s="2" t="str">
        <f>CONCATENATE(TAB_H_MAE_ASIG[[#This Row],[ID_CARRERA]],"-NI-",TAB_H_MAE_ASIG[[#This Row],[ID_NIVEL]],"-",LEFT(MID(B29,1,20),5)&amp;IF(ISERR(FIND(" ",MID(B29,4,20))),"","-"&amp;LEFT(MID(MID(B29,4,20),FIND(" ",MID(B29,4,20))+1,20),3))&amp;IF(ISERR(FIND(" ",MID(B29,4,20),FIND(" ",MID(B29,4,20))+1)),"","-"&amp;LEFT(MID(MID(B29,4,20),FIND(" ",MID(B29,4,20),FIND(" ",MID(B29,4,20))+1)+1,20),3)))</f>
        <v>FCACC-AD-EM-NI-6-FINAN-COR</v>
      </c>
      <c r="B29" s="2" t="s">
        <v>36</v>
      </c>
      <c r="C29" s="6">
        <v>4</v>
      </c>
      <c r="D29" s="6">
        <v>16</v>
      </c>
      <c r="E29" s="6" t="s">
        <v>9</v>
      </c>
      <c r="F29" s="5" t="str">
        <f>_xlfn.XLOOKUP(TAB_H_MAE_ASIG[[#This Row],[ID_CARRERA]],MAE_CARRERA[ID_CARRERA],MAE_CARRERA[NOMBRE_CARRERA])</f>
        <v>ADMINISTRACIÓN DE EMPRESAS</v>
      </c>
      <c r="G29" s="6">
        <v>6</v>
      </c>
    </row>
    <row r="30" spans="1:7" ht="12.75" customHeight="1">
      <c r="A30" s="2" t="str">
        <f>CONCATENATE(TAB_H_MAE_ASIG[[#This Row],[ID_CARRERA]],"-NI-",TAB_H_MAE_ASIG[[#This Row],[ID_NIVEL]],"-",LEFT(MID(B30,1,20),5)&amp;IF(ISERR(FIND(" ",MID(B30,4,20))),"","-"&amp;LEFT(MID(MID(B30,4,20),FIND(" ",MID(B30,4,20))+1,20),3))&amp;IF(ISERR(FIND(" ",MID(B30,4,20),FIND(" ",MID(B30,4,20))+1)),"","-"&amp;LEFT(MID(MID(B30,4,20),FIND(" ",MID(B30,4,20),FIND(" ",MID(B30,4,20))+1)+1,20),3)))</f>
        <v>FCACC-AD-EM-NI-6-PRESU</v>
      </c>
      <c r="B30" s="2" t="s">
        <v>37</v>
      </c>
      <c r="C30" s="6">
        <v>4</v>
      </c>
      <c r="D30" s="6">
        <v>16</v>
      </c>
      <c r="E30" s="6" t="s">
        <v>9</v>
      </c>
      <c r="F30" s="5" t="str">
        <f>_xlfn.XLOOKUP(TAB_H_MAE_ASIG[[#This Row],[ID_CARRERA]],MAE_CARRERA[ID_CARRERA],MAE_CARRERA[NOMBRE_CARRERA])</f>
        <v>ADMINISTRACIÓN DE EMPRESAS</v>
      </c>
      <c r="G30" s="6">
        <v>6</v>
      </c>
    </row>
    <row r="31" spans="1:7" ht="12.75" customHeight="1">
      <c r="A31" s="2" t="str">
        <f>CONCATENATE(TAB_H_MAE_ASIG[[#This Row],[ID_CARRERA]],"-NI-",TAB_H_MAE_ASIG[[#This Row],[ID_NIVEL]],"-",LEFT(MID(B31,1,20),5)&amp;IF(ISERR(FIND(" ",MID(B31,4,20))),"","-"&amp;LEFT(MID(MID(B31,4,20),FIND(" ",MID(B31,4,20))+1,20),3))&amp;IF(ISERR(FIND(" ",MID(B31,4,20),FIND(" ",MID(B31,4,20))+1)),"","-"&amp;LEFT(MID(MID(B31,4,20),FIND(" ",MID(B31,4,20),FIND(" ",MID(B31,4,20))+1)+1,20),3)))</f>
        <v>FCACC-AD-EM-NI-6-ADMIN-PÚB-</v>
      </c>
      <c r="B31" s="2" t="s">
        <v>38</v>
      </c>
      <c r="C31" s="6">
        <v>4</v>
      </c>
      <c r="D31" s="6">
        <v>16</v>
      </c>
      <c r="E31" s="6" t="s">
        <v>9</v>
      </c>
      <c r="F31" s="5" t="str">
        <f>_xlfn.XLOOKUP(TAB_H_MAE_ASIG[[#This Row],[ID_CARRERA]],MAE_CARRERA[ID_CARRERA],MAE_CARRERA[NOMBRE_CARRERA])</f>
        <v>ADMINISTRACIÓN DE EMPRESAS</v>
      </c>
      <c r="G31" s="6">
        <v>6</v>
      </c>
    </row>
    <row r="32" spans="1:7" ht="12.75" customHeight="1">
      <c r="A32" s="2" t="str">
        <f>CONCATENATE(TAB_H_MAE_ASIG[[#This Row],[ID_CARRERA]],"-NI-",TAB_H_MAE_ASIG[[#This Row],[ID_NIVEL]],"-",LEFT(MID(B32,1,20),5)&amp;IF(ISERR(FIND(" ",MID(B32,4,20))),"","-"&amp;LEFT(MID(MID(B32,4,20),FIND(" ",MID(B32,4,20))+1,20),3))&amp;IF(ISERR(FIND(" ",MID(B32,4,20),FIND(" ",MID(B32,4,20))+1)),"","-"&amp;LEFT(MID(MID(B32,4,20),FIND(" ",MID(B32,4,20),FIND(" ",MID(B32,4,20))+1)+1,20),3)))</f>
        <v>FCACC-AD-EM-NI-6-MARKE-EST</v>
      </c>
      <c r="B32" s="2" t="s">
        <v>39</v>
      </c>
      <c r="C32" s="6">
        <v>4</v>
      </c>
      <c r="D32" s="6">
        <v>16</v>
      </c>
      <c r="E32" s="6" t="s">
        <v>9</v>
      </c>
      <c r="F32" s="5" t="str">
        <f>_xlfn.XLOOKUP(TAB_H_MAE_ASIG[[#This Row],[ID_CARRERA]],MAE_CARRERA[ID_CARRERA],MAE_CARRERA[NOMBRE_CARRERA])</f>
        <v>ADMINISTRACIÓN DE EMPRESAS</v>
      </c>
      <c r="G32" s="6">
        <v>6</v>
      </c>
    </row>
    <row r="33" spans="1:7" ht="12.75" customHeight="1">
      <c r="A33" s="2" t="str">
        <f>CONCATENATE(TAB_H_MAE_ASIG[[#This Row],[ID_CARRERA]],"-NI-",TAB_H_MAE_ASIG[[#This Row],[ID_NIVEL]],"-",LEFT(MID(B33,1,20),5)&amp;IF(ISERR(FIND(" ",MID(B33,4,20))),"","-"&amp;LEFT(MID(MID(B33,4,20),FIND(" ",MID(B33,4,20))+1,20),3))&amp;IF(ISERR(FIND(" ",MID(B33,4,20),FIND(" ",MID(B33,4,20))+1)),"","-"&amp;LEFT(MID(MID(B33,4,20),FIND(" ",MID(B33,4,20),FIND(" ",MID(B33,4,20))+1)+1,20),3)))</f>
        <v>FCACC-AD-EM-NI-6-LIDER-Y G-GES</v>
      </c>
      <c r="B33" s="2" t="s">
        <v>40</v>
      </c>
      <c r="C33" s="6">
        <v>4</v>
      </c>
      <c r="D33" s="6">
        <v>16</v>
      </c>
      <c r="E33" s="6" t="s">
        <v>9</v>
      </c>
      <c r="F33" s="5" t="str">
        <f>_xlfn.XLOOKUP(TAB_H_MAE_ASIG[[#This Row],[ID_CARRERA]],MAE_CARRERA[ID_CARRERA],MAE_CARRERA[NOMBRE_CARRERA])</f>
        <v>ADMINISTRACIÓN DE EMPRESAS</v>
      </c>
      <c r="G33" s="6">
        <v>6</v>
      </c>
    </row>
    <row r="34" spans="1:7" ht="12.75" customHeight="1">
      <c r="A34" s="2" t="str">
        <f>CONCATENATE(TAB_H_MAE_ASIG[[#This Row],[ID_CARRERA]],"-NI-",TAB_H_MAE_ASIG[[#This Row],[ID_NIVEL]],"-",LEFT(MID(B34,1,20),5)&amp;IF(ISERR(FIND(" ",MID(B34,4,20))),"","-"&amp;LEFT(MID(MID(B34,4,20),FIND(" ",MID(B34,4,20))+1,20),3))&amp;IF(ISERR(FIND(" ",MID(B34,4,20),FIND(" ",MID(B34,4,20))+1)),"","-"&amp;LEFT(MID(MID(B34,4,20),FIND(" ",MID(B34,4,20),FIND(" ",MID(B34,4,20))+1)+1,20),3)))</f>
        <v>FCACC-AD-EM-NI-7-GESTI-DE -PRO</v>
      </c>
      <c r="B34" s="2" t="s">
        <v>41</v>
      </c>
      <c r="C34" s="6">
        <v>5</v>
      </c>
      <c r="D34" s="6">
        <v>16</v>
      </c>
      <c r="E34" s="6" t="s">
        <v>9</v>
      </c>
      <c r="F34" s="5" t="str">
        <f>_xlfn.XLOOKUP(TAB_H_MAE_ASIG[[#This Row],[ID_CARRERA]],MAE_CARRERA[ID_CARRERA],MAE_CARRERA[NOMBRE_CARRERA])</f>
        <v>ADMINISTRACIÓN DE EMPRESAS</v>
      </c>
      <c r="G34" s="6">
        <v>7</v>
      </c>
    </row>
    <row r="35" spans="1:7" ht="12.75" customHeight="1">
      <c r="A35" s="2" t="str">
        <f>CONCATENATE(TAB_H_MAE_ASIG[[#This Row],[ID_CARRERA]],"-NI-",TAB_H_MAE_ASIG[[#This Row],[ID_NIVEL]],"-",LEFT(MID(B35,1,20),5)&amp;IF(ISERR(FIND(" ",MID(B35,4,20))),"","-"&amp;LEFT(MID(MID(B35,4,20),FIND(" ",MID(B35,4,20))+1,20),3))&amp;IF(ISERR(FIND(" ",MID(B35,4,20),FIND(" ",MID(B35,4,20))+1)),"","-"&amp;LEFT(MID(MID(B35,4,20),FIND(" ",MID(B35,4,20),FIND(" ",MID(B35,4,20))+1)+1,20),3)))</f>
        <v>FCACC-AD-EM-NI-7-LOGÍS-EMP</v>
      </c>
      <c r="B35" s="2" t="s">
        <v>42</v>
      </c>
      <c r="C35" s="6">
        <v>5</v>
      </c>
      <c r="D35" s="6">
        <v>16</v>
      </c>
      <c r="E35" s="6" t="s">
        <v>9</v>
      </c>
      <c r="F35" s="5" t="str">
        <f>_xlfn.XLOOKUP(TAB_H_MAE_ASIG[[#This Row],[ID_CARRERA]],MAE_CARRERA[ID_CARRERA],MAE_CARRERA[NOMBRE_CARRERA])</f>
        <v>ADMINISTRACIÓN DE EMPRESAS</v>
      </c>
      <c r="G35" s="6">
        <v>7</v>
      </c>
    </row>
    <row r="36" spans="1:7" ht="12.75" customHeight="1">
      <c r="A36" s="2" t="str">
        <f>CONCATENATE(TAB_H_MAE_ASIG[[#This Row],[ID_CARRERA]],"-NI-",TAB_H_MAE_ASIG[[#This Row],[ID_NIVEL]],"-",LEFT(MID(B36,1,20),5)&amp;IF(ISERR(FIND(" ",MID(B36,4,20))),"","-"&amp;LEFT(MID(MID(B36,4,20),FIND(" ",MID(B36,4,20))+1,20),3))&amp;IF(ISERR(FIND(" ",MID(B36,4,20),FIND(" ",MID(B36,4,20))+1)),"","-"&amp;LEFT(MID(MID(B36,4,20),FIND(" ",MID(B36,4,20),FIND(" ",MID(B36,4,20))+1)+1,20),3)))</f>
        <v>FCACC-AD-EM-NI-7-GESTI-DE -VEN</v>
      </c>
      <c r="B36" s="2" t="s">
        <v>43</v>
      </c>
      <c r="C36" s="6">
        <v>5</v>
      </c>
      <c r="D36" s="6">
        <v>16</v>
      </c>
      <c r="E36" s="6" t="s">
        <v>9</v>
      </c>
      <c r="F36" s="5" t="str">
        <f>_xlfn.XLOOKUP(TAB_H_MAE_ASIG[[#This Row],[ID_CARRERA]],MAE_CARRERA[ID_CARRERA],MAE_CARRERA[NOMBRE_CARRERA])</f>
        <v>ADMINISTRACIÓN DE EMPRESAS</v>
      </c>
      <c r="G36" s="6">
        <v>7</v>
      </c>
    </row>
    <row r="37" spans="1:7" ht="12.75" customHeight="1">
      <c r="A37" s="2" t="str">
        <f>CONCATENATE(TAB_H_MAE_ASIG[[#This Row],[ID_CARRERA]],"-NI-",TAB_H_MAE_ASIG[[#This Row],[ID_NIVEL]],"-",LEFT(MID(B37,1,20),5)&amp;IF(ISERR(FIND(" ",MID(B37,4,20))),"","-"&amp;LEFT(MID(MID(B37,4,20),FIND(" ",MID(B37,4,20))+1,20),3))&amp;IF(ISERR(FIND(" ",MID(B37,4,20),FIND(" ",MID(B37,4,20))+1)),"","-"&amp;LEFT(MID(MID(B37,4,20),FIND(" ",MID(B37,4,20),FIND(" ",MID(B37,4,20))+1)+1,20),3)))</f>
        <v>FCACC-AD-EM-NI-7-SISTE-DE -INF</v>
      </c>
      <c r="B37" s="2" t="s">
        <v>44</v>
      </c>
      <c r="C37" s="6">
        <v>5</v>
      </c>
      <c r="D37" s="6">
        <v>16</v>
      </c>
      <c r="E37" s="6" t="s">
        <v>9</v>
      </c>
      <c r="F37" s="5" t="str">
        <f>_xlfn.XLOOKUP(TAB_H_MAE_ASIG[[#This Row],[ID_CARRERA]],MAE_CARRERA[ID_CARRERA],MAE_CARRERA[NOMBRE_CARRERA])</f>
        <v>ADMINISTRACIÓN DE EMPRESAS</v>
      </c>
      <c r="G37" s="6">
        <v>7</v>
      </c>
    </row>
    <row r="38" spans="1:7" ht="12.75" customHeight="1">
      <c r="A38" s="2" t="str">
        <f>CONCATENATE(TAB_H_MAE_ASIG[[#This Row],[ID_CARRERA]],"-NI-",TAB_H_MAE_ASIG[[#This Row],[ID_NIVEL]],"-",LEFT(MID(B38,1,20),5)&amp;IF(ISERR(FIND(" ",MID(B38,4,20))),"","-"&amp;LEFT(MID(MID(B38,4,20),FIND(" ",MID(B38,4,20))+1,20),3))&amp;IF(ISERR(FIND(" ",MID(B38,4,20),FIND(" ",MID(B38,4,20))+1)),"","-"&amp;LEFT(MID(MID(B38,4,20),FIND(" ",MID(B38,4,20),FIND(" ",MID(B38,4,20))+1)+1,20),3)))</f>
        <v>FCACC-AD-EM-NI-8-BUSIN-INT</v>
      </c>
      <c r="B38" s="2" t="s">
        <v>45</v>
      </c>
      <c r="C38" s="6">
        <v>5</v>
      </c>
      <c r="D38" s="6">
        <v>16</v>
      </c>
      <c r="E38" s="6" t="s">
        <v>9</v>
      </c>
      <c r="F38" s="5" t="str">
        <f>_xlfn.XLOOKUP(TAB_H_MAE_ASIG[[#This Row],[ID_CARRERA]],MAE_CARRERA[ID_CARRERA],MAE_CARRERA[NOMBRE_CARRERA])</f>
        <v>ADMINISTRACIÓN DE EMPRESAS</v>
      </c>
      <c r="G38" s="6">
        <v>8</v>
      </c>
    </row>
    <row r="39" spans="1:7" ht="12.75" customHeight="1">
      <c r="A39" s="2" t="str">
        <f>CONCATENATE(TAB_H_MAE_ASIG[[#This Row],[ID_CARRERA]],"-NI-",TAB_H_MAE_ASIG[[#This Row],[ID_NIVEL]],"-",LEFT(MID(B39,1,20),5)&amp;IF(ISERR(FIND(" ",MID(B39,4,20))),"","-"&amp;LEFT(MID(MID(B39,4,20),FIND(" ",MID(B39,4,20))+1,20),3))&amp;IF(ISERR(FIND(" ",MID(B39,4,20),FIND(" ",MID(B39,4,20))+1)),"","-"&amp;LEFT(MID(MID(B39,4,20),FIND(" ",MID(B39,4,20),FIND(" ",MID(B39,4,20))+1)+1,20),3)))</f>
        <v>FCACC-AD-EM-NI-8-COMER-INT</v>
      </c>
      <c r="B39" s="2" t="s">
        <v>46</v>
      </c>
      <c r="C39" s="6">
        <v>5</v>
      </c>
      <c r="D39" s="6">
        <v>16</v>
      </c>
      <c r="E39" s="6" t="s">
        <v>9</v>
      </c>
      <c r="F39" s="5" t="str">
        <f>_xlfn.XLOOKUP(TAB_H_MAE_ASIG[[#This Row],[ID_CARRERA]],MAE_CARRERA[ID_CARRERA],MAE_CARRERA[NOMBRE_CARRERA])</f>
        <v>ADMINISTRACIÓN DE EMPRESAS</v>
      </c>
      <c r="G39" s="6">
        <v>8</v>
      </c>
    </row>
    <row r="40" spans="1:7" ht="12.75" customHeight="1">
      <c r="A40" s="2" t="str">
        <f>CONCATENATE(TAB_H_MAE_ASIG[[#This Row],[ID_CARRERA]],"-NI-",TAB_H_MAE_ASIG[[#This Row],[ID_NIVEL]],"-",LEFT(MID(B40,1,20),5)&amp;IF(ISERR(FIND(" ",MID(B40,4,20))),"","-"&amp;LEFT(MID(MID(B40,4,20),FIND(" ",MID(B40,4,20))+1,20),3))&amp;IF(ISERR(FIND(" ",MID(B40,4,20),FIND(" ",MID(B40,4,20))+1)),"","-"&amp;LEFT(MID(MID(B40,4,20),FIND(" ",MID(B40,4,20),FIND(" ",MID(B40,4,20))+1)+1,20),3)))</f>
        <v>FCACC-AD-EM-NI-8-INCUB-Y C-CRE</v>
      </c>
      <c r="B40" s="2" t="s">
        <v>47</v>
      </c>
      <c r="C40" s="6">
        <v>5</v>
      </c>
      <c r="D40" s="6">
        <v>16</v>
      </c>
      <c r="E40" s="6" t="s">
        <v>9</v>
      </c>
      <c r="F40" s="5" t="str">
        <f>_xlfn.XLOOKUP(TAB_H_MAE_ASIG[[#This Row],[ID_CARRERA]],MAE_CARRERA[ID_CARRERA],MAE_CARRERA[NOMBRE_CARRERA])</f>
        <v>ADMINISTRACIÓN DE EMPRESAS</v>
      </c>
      <c r="G40" s="6">
        <v>8</v>
      </c>
    </row>
    <row r="41" spans="1:7" ht="12.75" customHeight="1">
      <c r="A41" s="2" t="str">
        <f>CONCATENATE(TAB_H_MAE_ASIG[[#This Row],[ID_CARRERA]],"-NI-",TAB_H_MAE_ASIG[[#This Row],[ID_NIVEL]],"-",LEFT(MID(B41,1,20),5)&amp;IF(ISERR(FIND(" ",MID(B41,4,20))),"","-"&amp;LEFT(MID(MID(B41,4,20),FIND(" ",MID(B41,4,20))+1,20),3))&amp;IF(ISERR(FIND(" ",MID(B41,4,20),FIND(" ",MID(B41,4,20))+1)),"","-"&amp;LEFT(MID(MID(B41,4,20),FIND(" ",MID(B41,4,20),FIND(" ",MID(B41,4,20))+1)+1,20),3)))</f>
        <v>FCACC-AD-EM-NI-8-SIMUL-DE -NEG</v>
      </c>
      <c r="B41" s="2" t="s">
        <v>48</v>
      </c>
      <c r="C41" s="6">
        <v>5</v>
      </c>
      <c r="D41" s="6">
        <v>16</v>
      </c>
      <c r="E41" s="6" t="s">
        <v>9</v>
      </c>
      <c r="F41" s="5" t="str">
        <f>_xlfn.XLOOKUP(TAB_H_MAE_ASIG[[#This Row],[ID_CARRERA]],MAE_CARRERA[ID_CARRERA],MAE_CARRERA[NOMBRE_CARRERA])</f>
        <v>ADMINISTRACIÓN DE EMPRESAS</v>
      </c>
      <c r="G41" s="6">
        <v>8</v>
      </c>
    </row>
    <row r="42" spans="1:7" ht="12.75" customHeight="1">
      <c r="A42" s="2" t="str">
        <f>CONCATENATE(TAB_H_MAE_ASIG[[#This Row],[ID_CARRERA]],"-NI-",TAB_H_MAE_ASIG[[#This Row],[ID_NIVEL]],"-",LEFT(MID(B42,1,20),5)&amp;IF(ISERR(FIND(" ",MID(B42,4,20))),"","-"&amp;LEFT(MID(MID(B42,4,20),FIND(" ",MID(B42,4,20))+1,20),3))&amp;IF(ISERR(FIND(" ",MID(B42,4,20),FIND(" ",MID(B42,4,20))+1)),"","-"&amp;LEFT(MID(MID(B42,4,20),FIND(" ",MID(B42,4,20),FIND(" ",MID(B42,4,20))+1)+1,20),3)))</f>
        <v>FCACC-AU-CO-GE-NI-1-FUNDA-DE -CON</v>
      </c>
      <c r="B42" s="7" t="s">
        <v>49</v>
      </c>
      <c r="C42" s="1">
        <v>9</v>
      </c>
      <c r="D42" s="6">
        <v>16</v>
      </c>
      <c r="E42" s="6" t="s">
        <v>50</v>
      </c>
      <c r="F42" s="5" t="str">
        <f>_xlfn.XLOOKUP(TAB_H_MAE_ASIG[[#This Row],[ID_CARRERA]],MAE_CARRERA[ID_CARRERA],MAE_CARRERA[NOMBRE_CARRERA])</f>
        <v>AUDITORÍA Y CONTROL DE GESTIÓN 2024 NS</v>
      </c>
      <c r="G42" s="1">
        <v>1</v>
      </c>
    </row>
    <row r="43" spans="1:7" ht="12.75" customHeight="1">
      <c r="A43" s="2" t="str">
        <f>CONCATENATE(TAB_H_MAE_ASIG[[#This Row],[ID_CARRERA]],"-NI-",TAB_H_MAE_ASIG[[#This Row],[ID_NIVEL]],"-",LEFT(MID(B43,1,20),5)&amp;IF(ISERR(FIND(" ",MID(B43,4,20))),"","-"&amp;LEFT(MID(MID(B43,4,20),FIND(" ",MID(B43,4,20))+1,20),3))&amp;IF(ISERR(FIND(" ",MID(B43,4,20),FIND(" ",MID(B43,4,20))+1)),"","-"&amp;LEFT(MID(MID(B43,4,20),FIND(" ",MID(B43,4,20),FIND(" ",MID(B43,4,20))+1)+1,20),3)))</f>
        <v>FCACC-AU-CO-GE-NI-1-FUNDA-DE -ADM</v>
      </c>
      <c r="B43" s="7" t="s">
        <v>51</v>
      </c>
      <c r="C43" s="1">
        <v>5</v>
      </c>
      <c r="D43" s="6">
        <v>16</v>
      </c>
      <c r="E43" s="6" t="s">
        <v>50</v>
      </c>
      <c r="F43" s="5" t="str">
        <f>_xlfn.XLOOKUP(TAB_H_MAE_ASIG[[#This Row],[ID_CARRERA]],MAE_CARRERA[ID_CARRERA],MAE_CARRERA[NOMBRE_CARRERA])</f>
        <v>AUDITORÍA Y CONTROL DE GESTIÓN 2024 NS</v>
      </c>
      <c r="G43" s="1">
        <v>1</v>
      </c>
    </row>
    <row r="44" spans="1:7" ht="12.75" customHeight="1">
      <c r="A44" s="2" t="str">
        <f>CONCATENATE(TAB_H_MAE_ASIG[[#This Row],[ID_CARRERA]],"-NI-",TAB_H_MAE_ASIG[[#This Row],[ID_NIVEL]],"-",LEFT(MID(B44,1,20),5)&amp;IF(ISERR(FIND(" ",MID(B44,4,20))),"","-"&amp;LEFT(MID(MID(B44,4,20),FIND(" ",MID(B44,4,20))+1,20),3))&amp;IF(ISERR(FIND(" ",MID(B44,4,20),FIND(" ",MID(B44,4,20))+1)),"","-"&amp;LEFT(MID(MID(B44,4,20),FIND(" ",MID(B44,4,20),FIND(" ",MID(B44,4,20))+1)+1,20),3)))</f>
        <v>FCACC-AU-CO-GE-NI-1-ESTAD-DES</v>
      </c>
      <c r="B44" s="7" t="s">
        <v>52</v>
      </c>
      <c r="C44" s="1">
        <v>2</v>
      </c>
      <c r="D44" s="6">
        <v>16</v>
      </c>
      <c r="E44" s="6" t="s">
        <v>50</v>
      </c>
      <c r="F44" s="5" t="str">
        <f>_xlfn.XLOOKUP(TAB_H_MAE_ASIG[[#This Row],[ID_CARRERA]],MAE_CARRERA[ID_CARRERA],MAE_CARRERA[NOMBRE_CARRERA])</f>
        <v>AUDITORÍA Y CONTROL DE GESTIÓN 2024 NS</v>
      </c>
      <c r="G44" s="1">
        <v>1</v>
      </c>
    </row>
    <row r="45" spans="1:7" ht="12.75" customHeight="1">
      <c r="A45" s="2" t="str">
        <f>CONCATENATE(TAB_H_MAE_ASIG[[#This Row],[ID_CARRERA]],"-NI-",TAB_H_MAE_ASIG[[#This Row],[ID_NIVEL]],"-",LEFT(MID(B45,1,20),5)&amp;IF(ISERR(FIND(" ",MID(B45,4,20))),"","-"&amp;LEFT(MID(MID(B45,4,20),FIND(" ",MID(B45,4,20))+1,20),3))&amp;IF(ISERR(FIND(" ",MID(B45,4,20),FIND(" ",MID(B45,4,20))+1)),"","-"&amp;LEFT(MID(MID(B45,4,20),FIND(" ",MID(B45,4,20),FIND(" ",MID(B45,4,20))+1)+1,20),3)))</f>
        <v>FCACC-AU-CO-GE-NI-1-LEGIS-MER-Y</v>
      </c>
      <c r="B45" s="7" t="s">
        <v>53</v>
      </c>
      <c r="C45" s="1">
        <v>4</v>
      </c>
      <c r="D45" s="6">
        <v>16</v>
      </c>
      <c r="E45" s="6" t="s">
        <v>50</v>
      </c>
      <c r="F45" s="5" t="str">
        <f>_xlfn.XLOOKUP(TAB_H_MAE_ASIG[[#This Row],[ID_CARRERA]],MAE_CARRERA[ID_CARRERA],MAE_CARRERA[NOMBRE_CARRERA])</f>
        <v>AUDITORÍA Y CONTROL DE GESTIÓN 2024 NS</v>
      </c>
      <c r="G45" s="1">
        <v>1</v>
      </c>
    </row>
    <row r="46" spans="1:7" ht="12.75" customHeight="1">
      <c r="A46" s="2" t="str">
        <f>CONCATENATE(TAB_H_MAE_ASIG[[#This Row],[ID_CARRERA]],"-NI-",TAB_H_MAE_ASIG[[#This Row],[ID_NIVEL]],"-",LEFT(MID(B46,1,20),5)&amp;IF(ISERR(FIND(" ",MID(B46,4,20))),"","-"&amp;LEFT(MID(MID(B46,4,20),FIND(" ",MID(B46,4,20))+1,20),3))&amp;IF(ISERR(FIND(" ",MID(B46,4,20),FIND(" ",MID(B46,4,20))+1)),"","-"&amp;LEFT(MID(MID(B46,4,20),FIND(" ",MID(B46,4,20),FIND(" ",MID(B46,4,20))+1)+1,20),3)))</f>
        <v>FCACC-AU-CO-GE-NI-2-CONTA-FIN</v>
      </c>
      <c r="B46" s="7" t="s">
        <v>14</v>
      </c>
      <c r="C46" s="1">
        <v>8</v>
      </c>
      <c r="D46" s="6">
        <v>16</v>
      </c>
      <c r="E46" s="6" t="s">
        <v>50</v>
      </c>
      <c r="F46" s="5" t="str">
        <f>_xlfn.XLOOKUP(TAB_H_MAE_ASIG[[#This Row],[ID_CARRERA]],MAE_CARRERA[ID_CARRERA],MAE_CARRERA[NOMBRE_CARRERA])</f>
        <v>AUDITORÍA Y CONTROL DE GESTIÓN 2024 NS</v>
      </c>
      <c r="G46" s="1">
        <v>2</v>
      </c>
    </row>
    <row r="47" spans="1:7" ht="12.75" customHeight="1">
      <c r="A47" s="2" t="str">
        <f>CONCATENATE(TAB_H_MAE_ASIG[[#This Row],[ID_CARRERA]],"-NI-",TAB_H_MAE_ASIG[[#This Row],[ID_NIVEL]],"-",LEFT(MID(B47,1,20),5)&amp;IF(ISERR(FIND(" ",MID(B47,4,20))),"","-"&amp;LEFT(MID(MID(B47,4,20),FIND(" ",MID(B47,4,20))+1,20),3))&amp;IF(ISERR(FIND(" ",MID(B47,4,20),FIND(" ",MID(B47,4,20))+1)),"","-"&amp;LEFT(MID(MID(B47,4,20),FIND(" ",MID(B47,4,20),FIND(" ",MID(B47,4,20))+1)+1,20),3)))</f>
        <v>FCACC-AU-CO-GE-NI-2-MATEM-FIN</v>
      </c>
      <c r="B47" s="7" t="s">
        <v>15</v>
      </c>
      <c r="C47" s="1">
        <v>6</v>
      </c>
      <c r="D47" s="6">
        <v>16</v>
      </c>
      <c r="E47" s="6" t="s">
        <v>50</v>
      </c>
      <c r="F47" s="5" t="str">
        <f>_xlfn.XLOOKUP(TAB_H_MAE_ASIG[[#This Row],[ID_CARRERA]],MAE_CARRERA[ID_CARRERA],MAE_CARRERA[NOMBRE_CARRERA])</f>
        <v>AUDITORÍA Y CONTROL DE GESTIÓN 2024 NS</v>
      </c>
      <c r="G47" s="1">
        <v>2</v>
      </c>
    </row>
    <row r="48" spans="1:7" ht="12.75" customHeight="1">
      <c r="A48" s="2" t="str">
        <f>CONCATENATE(TAB_H_MAE_ASIG[[#This Row],[ID_CARRERA]],"-NI-",TAB_H_MAE_ASIG[[#This Row],[ID_NIVEL]],"-",LEFT(MID(B48,1,20),5)&amp;IF(ISERR(FIND(" ",MID(B48,4,20))),"","-"&amp;LEFT(MID(MID(B48,4,20),FIND(" ",MID(B48,4,20))+1,20),3))&amp;IF(ISERR(FIND(" ",MID(B48,4,20),FIND(" ",MID(B48,4,20))+1)),"","-"&amp;LEFT(MID(MID(B48,4,20),FIND(" ",MID(B48,4,20),FIND(" ",MID(B48,4,20))+1)+1,20),3)))</f>
        <v>FCACC-AU-CO-GE-NI-2-ESTAD-INF</v>
      </c>
      <c r="B48" s="7" t="s">
        <v>54</v>
      </c>
      <c r="C48" s="1">
        <v>3</v>
      </c>
      <c r="D48" s="6">
        <v>16</v>
      </c>
      <c r="E48" s="6" t="s">
        <v>50</v>
      </c>
      <c r="F48" s="5" t="str">
        <f>_xlfn.XLOOKUP(TAB_H_MAE_ASIG[[#This Row],[ID_CARRERA]],MAE_CARRERA[ID_CARRERA],MAE_CARRERA[NOMBRE_CARRERA])</f>
        <v>AUDITORÍA Y CONTROL DE GESTIÓN 2024 NS</v>
      </c>
      <c r="G48" s="1">
        <v>2</v>
      </c>
    </row>
    <row r="49" spans="1:7" ht="12.75" customHeight="1">
      <c r="A49" s="2" t="str">
        <f>CONCATENATE(TAB_H_MAE_ASIG[[#This Row],[ID_CARRERA]],"-NI-",TAB_H_MAE_ASIG[[#This Row],[ID_NIVEL]],"-",LEFT(MID(B49,1,20),5)&amp;IF(ISERR(FIND(" ",MID(B49,4,20))),"","-"&amp;LEFT(MID(MID(B49,4,20),FIND(" ",MID(B49,4,20))+1,20),3))&amp;IF(ISERR(FIND(" ",MID(B49,4,20),FIND(" ",MID(B49,4,20))+1)),"","-"&amp;LEFT(MID(MID(B49,4,20),FIND(" ",MID(B49,4,20),FIND(" ",MID(B49,4,20))+1)+1,20),3)))</f>
        <v>FCACC-AU-CO-GE-NI-2-LEGIS-LAB</v>
      </c>
      <c r="B49" s="7" t="s">
        <v>55</v>
      </c>
      <c r="C49" s="1">
        <v>3</v>
      </c>
      <c r="D49" s="6">
        <v>16</v>
      </c>
      <c r="E49" s="6" t="s">
        <v>50</v>
      </c>
      <c r="F49" s="5" t="str">
        <f>_xlfn.XLOOKUP(TAB_H_MAE_ASIG[[#This Row],[ID_CARRERA]],MAE_CARRERA[ID_CARRERA],MAE_CARRERA[NOMBRE_CARRERA])</f>
        <v>AUDITORÍA Y CONTROL DE GESTIÓN 2024 NS</v>
      </c>
      <c r="G49" s="1">
        <v>2</v>
      </c>
    </row>
    <row r="50" spans="1:7" ht="12.75" customHeight="1">
      <c r="A50" s="2" t="str">
        <f>CONCATENATE(TAB_H_MAE_ASIG[[#This Row],[ID_CARRERA]],"-NI-",TAB_H_MAE_ASIG[[#This Row],[ID_NIVEL]],"-",LEFT(MID(B50,1,20),5)&amp;IF(ISERR(FIND(" ",MID(B50,4,20))),"","-"&amp;LEFT(MID(MID(B50,4,20),FIND(" ",MID(B50,4,20))+1,20),3))&amp;IF(ISERR(FIND(" ",MID(B50,4,20),FIND(" ",MID(B50,4,20))+1)),"","-"&amp;LEFT(MID(MID(B50,4,20),FIND(" ",MID(B50,4,20),FIND(" ",MID(B50,4,20))+1)+1,20),3)))</f>
        <v>FCACC-AU-CO-GE-NI-3-CONTA-DE -COS</v>
      </c>
      <c r="B50" s="7" t="s">
        <v>8</v>
      </c>
      <c r="C50" s="1">
        <v>5</v>
      </c>
      <c r="D50" s="6">
        <v>16</v>
      </c>
      <c r="E50" s="6" t="s">
        <v>50</v>
      </c>
      <c r="F50" s="5" t="str">
        <f>_xlfn.XLOOKUP(TAB_H_MAE_ASIG[[#This Row],[ID_CARRERA]],MAE_CARRERA[ID_CARRERA],MAE_CARRERA[NOMBRE_CARRERA])</f>
        <v>AUDITORÍA Y CONTROL DE GESTIÓN 2024 NS</v>
      </c>
      <c r="G50" s="1">
        <v>3</v>
      </c>
    </row>
    <row r="51" spans="1:7" ht="12.75" customHeight="1">
      <c r="A51" s="2" t="str">
        <f>CONCATENATE(TAB_H_MAE_ASIG[[#This Row],[ID_CARRERA]],"-NI-",TAB_H_MAE_ASIG[[#This Row],[ID_NIVEL]],"-",LEFT(MID(B51,1,20),5)&amp;IF(ISERR(FIND(" ",MID(B51,4,20))),"","-"&amp;LEFT(MID(MID(B51,4,20),FIND(" ",MID(B51,4,20))+1,20),3))&amp;IF(ISERR(FIND(" ",MID(B51,4,20),FIND(" ",MID(B51,4,20))+1)),"","-"&amp;LEFT(MID(MID(B51,4,20),FIND(" ",MID(B51,4,20),FIND(" ",MID(B51,4,20))+1)+1,20),3)))</f>
        <v>FCACC-AU-CO-GE-NI-3-CONTA-SOC-Y A</v>
      </c>
      <c r="B51" s="7" t="s">
        <v>56</v>
      </c>
      <c r="C51" s="1">
        <v>3</v>
      </c>
      <c r="D51" s="6">
        <v>16</v>
      </c>
      <c r="E51" s="6" t="s">
        <v>50</v>
      </c>
      <c r="F51" s="5" t="str">
        <f>_xlfn.XLOOKUP(TAB_H_MAE_ASIG[[#This Row],[ID_CARRERA]],MAE_CARRERA[ID_CARRERA],MAE_CARRERA[NOMBRE_CARRERA])</f>
        <v>AUDITORÍA Y CONTROL DE GESTIÓN 2024 NS</v>
      </c>
      <c r="G51" s="1">
        <v>3</v>
      </c>
    </row>
    <row r="52" spans="1:7" ht="12.75" customHeight="1">
      <c r="A52" s="2" t="str">
        <f>CONCATENATE(TAB_H_MAE_ASIG[[#This Row],[ID_CARRERA]],"-NI-",TAB_H_MAE_ASIG[[#This Row],[ID_NIVEL]],"-",LEFT(MID(B52,1,20),5)&amp;IF(ISERR(FIND(" ",MID(B52,4,20))),"","-"&amp;LEFT(MID(MID(B52,4,20),FIND(" ",MID(B52,4,20))+1,20),3))&amp;IF(ISERR(FIND(" ",MID(B52,4,20),FIND(" ",MID(B52,4,20))+1)),"","-"&amp;LEFT(MID(MID(B52,4,20),FIND(" ",MID(B52,4,20),FIND(" ",MID(B52,4,20))+1)+1,20),3)))</f>
        <v>FCACC-AU-CO-GE-NI-3-ADMIN-FIN</v>
      </c>
      <c r="B52" s="7" t="s">
        <v>57</v>
      </c>
      <c r="C52" s="1">
        <v>4</v>
      </c>
      <c r="D52" s="6">
        <v>16</v>
      </c>
      <c r="E52" s="6" t="s">
        <v>50</v>
      </c>
      <c r="F52" s="5" t="str">
        <f>_xlfn.XLOOKUP(TAB_H_MAE_ASIG[[#This Row],[ID_CARRERA]],MAE_CARRERA[ID_CARRERA],MAE_CARRERA[NOMBRE_CARRERA])</f>
        <v>AUDITORÍA Y CONTROL DE GESTIÓN 2024 NS</v>
      </c>
      <c r="G52" s="1">
        <v>3</v>
      </c>
    </row>
    <row r="53" spans="1:7" ht="12.75" customHeight="1">
      <c r="A53" s="2" t="str">
        <f>CONCATENATE(TAB_H_MAE_ASIG[[#This Row],[ID_CARRERA]],"-NI-",TAB_H_MAE_ASIG[[#This Row],[ID_NIVEL]],"-",LEFT(MID(B53,1,20),5)&amp;IF(ISERR(FIND(" ",MID(B53,4,20))),"","-"&amp;LEFT(MID(MID(B53,4,20),FIND(" ",MID(B53,4,20))+1,20),3))&amp;IF(ISERR(FIND(" ",MID(B53,4,20),FIND(" ",MID(B53,4,20))+1)),"","-"&amp;LEFT(MID(MID(B53,4,20),FIND(" ",MID(B53,4,20),FIND(" ",MID(B53,4,20))+1)+1,20),3)))</f>
        <v>FCACC-AU-CO-GE-NI-3-FUNDA-DE -AUD</v>
      </c>
      <c r="B53" s="7" t="s">
        <v>58</v>
      </c>
      <c r="C53" s="1">
        <v>5</v>
      </c>
      <c r="D53" s="6">
        <v>16</v>
      </c>
      <c r="E53" s="6" t="s">
        <v>50</v>
      </c>
      <c r="F53" s="5" t="str">
        <f>_xlfn.XLOOKUP(TAB_H_MAE_ASIG[[#This Row],[ID_CARRERA]],MAE_CARRERA[ID_CARRERA],MAE_CARRERA[NOMBRE_CARRERA])</f>
        <v>AUDITORÍA Y CONTROL DE GESTIÓN 2024 NS</v>
      </c>
      <c r="G53" s="1">
        <v>3</v>
      </c>
    </row>
    <row r="54" spans="1:7" ht="12.75" customHeight="1">
      <c r="A54" s="2" t="str">
        <f>CONCATENATE(TAB_H_MAE_ASIG[[#This Row],[ID_CARRERA]],"-NI-",TAB_H_MAE_ASIG[[#This Row],[ID_NIVEL]],"-",LEFT(MID(B54,1,20),5)&amp;IF(ISERR(FIND(" ",MID(B54,4,20))),"","-"&amp;LEFT(MID(MID(B54,4,20),FIND(" ",MID(B54,4,20))+1,20),3))&amp;IF(ISERR(FIND(" ",MID(B54,4,20),FIND(" ",MID(B54,4,20))+1)),"","-"&amp;LEFT(MID(MID(B54,4,20),FIND(" ",MID(B54,4,20),FIND(" ",MID(B54,4,20))+1)+1,20),3)))</f>
        <v>FCACC-AU-CO-GE-NI-3-GESTI-DE -TAL</v>
      </c>
      <c r="B54" s="7" t="s">
        <v>59</v>
      </c>
      <c r="C54" s="1">
        <v>3</v>
      </c>
      <c r="D54" s="6">
        <v>16</v>
      </c>
      <c r="E54" s="6" t="s">
        <v>50</v>
      </c>
      <c r="F54" s="5" t="str">
        <f>_xlfn.XLOOKUP(TAB_H_MAE_ASIG[[#This Row],[ID_CARRERA]],MAE_CARRERA[ID_CARRERA],MAE_CARRERA[NOMBRE_CARRERA])</f>
        <v>AUDITORÍA Y CONTROL DE GESTIÓN 2024 NS</v>
      </c>
      <c r="G54" s="1">
        <v>3</v>
      </c>
    </row>
    <row r="55" spans="1:7" ht="12.75" customHeight="1">
      <c r="A55" s="2" t="str">
        <f>CONCATENATE(TAB_H_MAE_ASIG[[#This Row],[ID_CARRERA]],"-NI-",TAB_H_MAE_ASIG[[#This Row],[ID_NIVEL]],"-",LEFT(MID(B55,1,20),5)&amp;IF(ISERR(FIND(" ",MID(B55,4,20))),"","-"&amp;LEFT(MID(MID(B55,4,20),FIND(" ",MID(B55,4,20))+1,20),3))&amp;IF(ISERR(FIND(" ",MID(B55,4,20),FIND(" ",MID(B55,4,20))+1)),"","-"&amp;LEFT(MID(MID(B55,4,20),FIND(" ",MID(B55,4,20),FIND(" ",MID(B55,4,20))+1)+1,20),3)))</f>
        <v>FCACC-AU-CO-GE-NI-4-PLANI-DE -AUD</v>
      </c>
      <c r="B55" s="7" t="s">
        <v>60</v>
      </c>
      <c r="C55" s="1">
        <v>5</v>
      </c>
      <c r="D55" s="6">
        <v>16</v>
      </c>
      <c r="E55" s="6" t="s">
        <v>50</v>
      </c>
      <c r="F55" s="5" t="str">
        <f>_xlfn.XLOOKUP(TAB_H_MAE_ASIG[[#This Row],[ID_CARRERA]],MAE_CARRERA[ID_CARRERA],MAE_CARRERA[NOMBRE_CARRERA])</f>
        <v>AUDITORÍA Y CONTROL DE GESTIÓN 2024 NS</v>
      </c>
      <c r="G55" s="1">
        <v>4</v>
      </c>
    </row>
    <row r="56" spans="1:7" ht="12.75" customHeight="1">
      <c r="A56" s="2" t="str">
        <f>CONCATENATE(TAB_H_MAE_ASIG[[#This Row],[ID_CARRERA]],"-NI-",TAB_H_MAE_ASIG[[#This Row],[ID_NIVEL]],"-",LEFT(MID(B56,1,20),5)&amp;IF(ISERR(FIND(" ",MID(B56,4,20))),"","-"&amp;LEFT(MID(MID(B56,4,20),FIND(" ",MID(B56,4,20))+1,20),3))&amp;IF(ISERR(FIND(" ",MID(B56,4,20),FIND(" ",MID(B56,4,20))+1)),"","-"&amp;LEFT(MID(MID(B56,4,20),FIND(" ",MID(B56,4,20),FIND(" ",MID(B56,4,20))+1)+1,20),3)))</f>
        <v xml:space="preserve">FCACC-AU-CO-GE-NI-4-CONTA-EN -EL </v>
      </c>
      <c r="B56" s="7" t="s">
        <v>61</v>
      </c>
      <c r="C56" s="1">
        <v>4</v>
      </c>
      <c r="D56" s="6">
        <v>16</v>
      </c>
      <c r="E56" s="6" t="s">
        <v>50</v>
      </c>
      <c r="F56" s="5" t="str">
        <f>_xlfn.XLOOKUP(TAB_H_MAE_ASIG[[#This Row],[ID_CARRERA]],MAE_CARRERA[ID_CARRERA],MAE_CARRERA[NOMBRE_CARRERA])</f>
        <v>AUDITORÍA Y CONTROL DE GESTIÓN 2024 NS</v>
      </c>
      <c r="G56" s="1">
        <v>4</v>
      </c>
    </row>
    <row r="57" spans="1:7" ht="12.75" customHeight="1">
      <c r="A57" s="2" t="str">
        <f>CONCATENATE(TAB_H_MAE_ASIG[[#This Row],[ID_CARRERA]],"-NI-",TAB_H_MAE_ASIG[[#This Row],[ID_NIVEL]],"-",LEFT(MID(B57,1,20),5)&amp;IF(ISERR(FIND(" ",MID(B57,4,20))),"","-"&amp;LEFT(MID(MID(B57,4,20),FIND(" ",MID(B57,4,20))+1,20),3))&amp;IF(ISERR(FIND(" ",MID(B57,4,20),FIND(" ",MID(B57,4,20))+1)),"","-"&amp;LEFT(MID(MID(B57,4,20),FIND(" ",MID(B57,4,20),FIND(" ",MID(B57,4,20))+1)+1,20),3)))</f>
        <v>FCACC-AU-CO-GE-NI-4-GESTI-TRI</v>
      </c>
      <c r="B57" s="7" t="s">
        <v>62</v>
      </c>
      <c r="C57" s="1">
        <v>5</v>
      </c>
      <c r="D57" s="6">
        <v>16</v>
      </c>
      <c r="E57" s="6" t="s">
        <v>50</v>
      </c>
      <c r="F57" s="5" t="str">
        <f>_xlfn.XLOOKUP(TAB_H_MAE_ASIG[[#This Row],[ID_CARRERA]],MAE_CARRERA[ID_CARRERA],MAE_CARRERA[NOMBRE_CARRERA])</f>
        <v>AUDITORÍA Y CONTROL DE GESTIÓN 2024 NS</v>
      </c>
      <c r="G57" s="1">
        <v>4</v>
      </c>
    </row>
    <row r="58" spans="1:7" ht="12.75" customHeight="1">
      <c r="A58" s="2" t="str">
        <f>CONCATENATE(TAB_H_MAE_ASIG[[#This Row],[ID_CARRERA]],"-NI-",TAB_H_MAE_ASIG[[#This Row],[ID_NIVEL]],"-",LEFT(MID(B58,1,20),5)&amp;IF(ISERR(FIND(" ",MID(B58,4,20))),"","-"&amp;LEFT(MID(MID(B58,4,20),FIND(" ",MID(B58,4,20))+1,20),3))&amp;IF(ISERR(FIND(" ",MID(B58,4,20),FIND(" ",MID(B58,4,20))+1)),"","-"&amp;LEFT(MID(MID(B58,4,20),FIND(" ",MID(B58,4,20),FIND(" ",MID(B58,4,20))+1)+1,20),3)))</f>
        <v>FCACC-AU-CO-GE-NI-4-PLANI-Y D-DIR</v>
      </c>
      <c r="B58" s="7" t="s">
        <v>63</v>
      </c>
      <c r="C58" s="1">
        <v>4</v>
      </c>
      <c r="D58" s="6">
        <v>16</v>
      </c>
      <c r="E58" s="6" t="s">
        <v>50</v>
      </c>
      <c r="F58" s="5" t="str">
        <f>_xlfn.XLOOKUP(TAB_H_MAE_ASIG[[#This Row],[ID_CARRERA]],MAE_CARRERA[ID_CARRERA],MAE_CARRERA[NOMBRE_CARRERA])</f>
        <v>AUDITORÍA Y CONTROL DE GESTIÓN 2024 NS</v>
      </c>
      <c r="G58" s="1">
        <v>4</v>
      </c>
    </row>
    <row r="59" spans="1:7" ht="12.75" customHeight="1">
      <c r="A59" s="2" t="str">
        <f>CONCATENATE(TAB_H_MAE_ASIG[[#This Row],[ID_CARRERA]],"-NI-",TAB_H_MAE_ASIG[[#This Row],[ID_NIVEL]],"-",LEFT(MID(B59,1,20),5)&amp;IF(ISERR(FIND(" ",MID(B59,4,20))),"","-"&amp;LEFT(MID(MID(B59,4,20),FIND(" ",MID(B59,4,20))+1,20),3))&amp;IF(ISERR(FIND(" ",MID(B59,4,20),FIND(" ",MID(B59,4,20))+1)),"","-"&amp;LEFT(MID(MID(B59,4,20),FIND(" ",MID(B59,4,20),FIND(" ",MID(B59,4,20))+1)+1,20),3)))</f>
        <v>FCACC-AU-CO-GE-NI-4-ÉTICA-PRO</v>
      </c>
      <c r="B59" s="7" t="s">
        <v>64</v>
      </c>
      <c r="C59" s="1">
        <v>2</v>
      </c>
      <c r="D59" s="6">
        <v>16</v>
      </c>
      <c r="E59" s="6" t="s">
        <v>50</v>
      </c>
      <c r="F59" s="5" t="str">
        <f>_xlfn.XLOOKUP(TAB_H_MAE_ASIG[[#This Row],[ID_CARRERA]],MAE_CARRERA[ID_CARRERA],MAE_CARRERA[NOMBRE_CARRERA])</f>
        <v>AUDITORÍA Y CONTROL DE GESTIÓN 2024 NS</v>
      </c>
      <c r="G59" s="1">
        <v>4</v>
      </c>
    </row>
    <row r="60" spans="1:7" ht="12.75" customHeight="1">
      <c r="A60" s="2" t="str">
        <f>CONCATENATE(TAB_H_MAE_ASIG[[#This Row],[ID_CARRERA]],"-NI-",TAB_H_MAE_ASIG[[#This Row],[ID_NIVEL]],"-",LEFT(MID(B60,1,20),5)&amp;IF(ISERR(FIND(" ",MID(B60,4,20))),"","-"&amp;LEFT(MID(MID(B60,4,20),FIND(" ",MID(B60,4,20))+1,20),3))&amp;IF(ISERR(FIND(" ",MID(B60,4,20),FIND(" ",MID(B60,4,20))+1)),"","-"&amp;LEFT(MID(MID(B60,4,20),FIND(" ",MID(B60,4,20),FIND(" ",MID(B60,4,20))+1)+1,20),3)))</f>
        <v xml:space="preserve">FCACC-AU-CO-GE-NI-5-GESTI-DE -LA </v>
      </c>
      <c r="B60" s="7" t="s">
        <v>65</v>
      </c>
      <c r="C60" s="1">
        <v>4</v>
      </c>
      <c r="D60" s="6">
        <v>16</v>
      </c>
      <c r="E60" s="6" t="s">
        <v>50</v>
      </c>
      <c r="F60" s="5" t="str">
        <f>_xlfn.XLOOKUP(TAB_H_MAE_ASIG[[#This Row],[ID_CARRERA]],MAE_CARRERA[ID_CARRERA],MAE_CARRERA[NOMBRE_CARRERA])</f>
        <v>AUDITORÍA Y CONTROL DE GESTIÓN 2024 NS</v>
      </c>
      <c r="G60" s="1">
        <v>5</v>
      </c>
    </row>
    <row r="61" spans="1:7" ht="12.75" customHeight="1">
      <c r="A61" s="2" t="str">
        <f>CONCATENATE(TAB_H_MAE_ASIG[[#This Row],[ID_CARRERA]],"-NI-",TAB_H_MAE_ASIG[[#This Row],[ID_NIVEL]],"-",LEFT(MID(B61,1,20),5)&amp;IF(ISERR(FIND(" ",MID(B61,4,20))),"","-"&amp;LEFT(MID(MID(B61,4,20),FIND(" ",MID(B61,4,20))+1,20),3))&amp;IF(ISERR(FIND(" ",MID(B61,4,20),FIND(" ",MID(B61,4,20))+1)),"","-"&amp;LEFT(MID(MID(B61,4,20),FIND(" ",MID(B61,4,20),FIND(" ",MID(B61,4,20))+1)+1,20),3)))</f>
        <v>FCACC-AU-CO-GE-NI-5-AUDIT-FIN</v>
      </c>
      <c r="B61" s="7" t="s">
        <v>66</v>
      </c>
      <c r="C61" s="1">
        <v>6</v>
      </c>
      <c r="D61" s="6">
        <v>16</v>
      </c>
      <c r="E61" s="6" t="s">
        <v>50</v>
      </c>
      <c r="F61" s="5" t="str">
        <f>_xlfn.XLOOKUP(TAB_H_MAE_ASIG[[#This Row],[ID_CARRERA]],MAE_CARRERA[ID_CARRERA],MAE_CARRERA[NOMBRE_CARRERA])</f>
        <v>AUDITORÍA Y CONTROL DE GESTIÓN 2024 NS</v>
      </c>
      <c r="G61" s="1">
        <v>5</v>
      </c>
    </row>
    <row r="62" spans="1:7" ht="12.75" customHeight="1">
      <c r="A62" s="2" t="str">
        <f>CONCATENATE(TAB_H_MAE_ASIG[[#This Row],[ID_CARRERA]],"-NI-",TAB_H_MAE_ASIG[[#This Row],[ID_NIVEL]],"-",LEFT(MID(B62,1,20),5)&amp;IF(ISERR(FIND(" ",MID(B62,4,20))),"","-"&amp;LEFT(MID(MID(B62,4,20),FIND(" ",MID(B62,4,20))+1,20),3))&amp;IF(ISERR(FIND(" ",MID(B62,4,20),FIND(" ",MID(B62,4,20))+1)),"","-"&amp;LEFT(MID(MID(B62,4,20),FIND(" ",MID(B62,4,20),FIND(" ",MID(B62,4,20))+1)+1,20),3)))</f>
        <v>FCACC-AU-CO-GE-NI-5-CONTA-GER-</v>
      </c>
      <c r="B62" s="7" t="s">
        <v>67</v>
      </c>
      <c r="C62" s="1">
        <v>5</v>
      </c>
      <c r="D62" s="6">
        <v>16</v>
      </c>
      <c r="E62" s="6" t="s">
        <v>50</v>
      </c>
      <c r="F62" s="5" t="str">
        <f>_xlfn.XLOOKUP(TAB_H_MAE_ASIG[[#This Row],[ID_CARRERA]],MAE_CARRERA[ID_CARRERA],MAE_CARRERA[NOMBRE_CARRERA])</f>
        <v>AUDITORÍA Y CONTROL DE GESTIÓN 2024 NS</v>
      </c>
      <c r="G62" s="1">
        <v>5</v>
      </c>
    </row>
    <row r="63" spans="1:7" ht="12.75" customHeight="1">
      <c r="A63" s="2" t="str">
        <f>CONCATENATE(TAB_H_MAE_ASIG[[#This Row],[ID_CARRERA]],"-NI-",TAB_H_MAE_ASIG[[#This Row],[ID_NIVEL]],"-",LEFT(MID(B63,1,20),5)&amp;IF(ISERR(FIND(" ",MID(B63,4,20))),"","-"&amp;LEFT(MID(MID(B63,4,20),FIND(" ",MID(B63,4,20))+1,20),3))&amp;IF(ISERR(FIND(" ",MID(B63,4,20),FIND(" ",MID(B63,4,20))+1)),"","-"&amp;LEFT(MID(MID(B63,4,20),FIND(" ",MID(B63,4,20),FIND(" ",MID(B63,4,20))+1)+1,20),3)))</f>
        <v>FCACC-AU-CO-GE-NI-5-SOFTW-DE -GES</v>
      </c>
      <c r="B63" s="7" t="s">
        <v>68</v>
      </c>
      <c r="C63" s="1">
        <v>3</v>
      </c>
      <c r="D63" s="6">
        <v>16</v>
      </c>
      <c r="E63" s="6" t="s">
        <v>50</v>
      </c>
      <c r="F63" s="5" t="str">
        <f>_xlfn.XLOOKUP(TAB_H_MAE_ASIG[[#This Row],[ID_CARRERA]],MAE_CARRERA[ID_CARRERA],MAE_CARRERA[NOMBRE_CARRERA])</f>
        <v>AUDITORÍA Y CONTROL DE GESTIÓN 2024 NS</v>
      </c>
      <c r="G63" s="1">
        <v>5</v>
      </c>
    </row>
    <row r="64" spans="1:7" ht="12.75" customHeight="1">
      <c r="A64" s="2" t="str">
        <f>CONCATENATE(TAB_H_MAE_ASIG[[#This Row],[ID_CARRERA]],"-NI-",TAB_H_MAE_ASIG[[#This Row],[ID_NIVEL]],"-",LEFT(MID(B64,1,20),5)&amp;IF(ISERR(FIND(" ",MID(B64,4,20))),"","-"&amp;LEFT(MID(MID(B64,4,20),FIND(" ",MID(B64,4,20))+1,20),3))&amp;IF(ISERR(FIND(" ",MID(B64,4,20),FIND(" ",MID(B64,4,20))+1)),"","-"&amp;LEFT(MID(MID(B64,4,20),FIND(" ",MID(B64,4,20),FIND(" ",MID(B64,4,20))+1)+1,20),3)))</f>
        <v>FCACC-AU-CO-GE-NI-5-SISTE-DE -IND</v>
      </c>
      <c r="B64" s="7" t="s">
        <v>69</v>
      </c>
      <c r="C64" s="1">
        <v>2</v>
      </c>
      <c r="D64" s="6">
        <v>16</v>
      </c>
      <c r="E64" s="6" t="s">
        <v>50</v>
      </c>
      <c r="F64" s="5" t="str">
        <f>_xlfn.XLOOKUP(TAB_H_MAE_ASIG[[#This Row],[ID_CARRERA]],MAE_CARRERA[ID_CARRERA],MAE_CARRERA[NOMBRE_CARRERA])</f>
        <v>AUDITORÍA Y CONTROL DE GESTIÓN 2024 NS</v>
      </c>
      <c r="G64" s="1">
        <v>5</v>
      </c>
    </row>
    <row r="65" spans="1:7" ht="12.75" customHeight="1">
      <c r="A65" s="2" t="str">
        <f>CONCATENATE(TAB_H_MAE_ASIG[[#This Row],[ID_CARRERA]],"-NI-",TAB_H_MAE_ASIG[[#This Row],[ID_NIVEL]],"-",LEFT(MID(B65,1,20),5)&amp;IF(ISERR(FIND(" ",MID(B65,4,20))),"","-"&amp;LEFT(MID(MID(B65,4,20),FIND(" ",MID(B65,4,20))+1,20),3))&amp;IF(ISERR(FIND(" ",MID(B65,4,20),FIND(" ",MID(B65,4,20))+1)),"","-"&amp;LEFT(MID(MID(B65,4,20),FIND(" ",MID(B65,4,20),FIND(" ",MID(B65,4,20))+1)+1,20),3)))</f>
        <v>FCACC-AU-CO-GE-NI-6-GESTI-PÚB</v>
      </c>
      <c r="B65" s="7" t="s">
        <v>70</v>
      </c>
      <c r="C65" s="1">
        <v>4</v>
      </c>
      <c r="D65" s="6">
        <v>16</v>
      </c>
      <c r="E65" s="6" t="s">
        <v>50</v>
      </c>
      <c r="F65" s="5" t="str">
        <f>_xlfn.XLOOKUP(TAB_H_MAE_ASIG[[#This Row],[ID_CARRERA]],MAE_CARRERA[ID_CARRERA],MAE_CARRERA[NOMBRE_CARRERA])</f>
        <v>AUDITORÍA Y CONTROL DE GESTIÓN 2024 NS</v>
      </c>
      <c r="G65" s="1">
        <v>6</v>
      </c>
    </row>
    <row r="66" spans="1:7" ht="12.75" customHeight="1">
      <c r="A66" s="2" t="str">
        <f>CONCATENATE(TAB_H_MAE_ASIG[[#This Row],[ID_CARRERA]],"-NI-",TAB_H_MAE_ASIG[[#This Row],[ID_NIVEL]],"-",LEFT(MID(B66,1,20),5)&amp;IF(ISERR(FIND(" ",MID(B66,4,20))),"","-"&amp;LEFT(MID(MID(B66,4,20),FIND(" ",MID(B66,4,20))+1,20),3))&amp;IF(ISERR(FIND(" ",MID(B66,4,20),FIND(" ",MID(B66,4,20))+1)),"","-"&amp;LEFT(MID(MID(B66,4,20),FIND(" ",MID(B66,4,20),FIND(" ",MID(B66,4,20))+1)+1,20),3)))</f>
        <v>FCACC-AU-CO-GE-NI-6-SISTE-DE -CON</v>
      </c>
      <c r="B66" s="7" t="s">
        <v>71</v>
      </c>
      <c r="C66" s="1">
        <v>3</v>
      </c>
      <c r="D66" s="6">
        <v>16</v>
      </c>
      <c r="E66" s="6" t="s">
        <v>50</v>
      </c>
      <c r="F66" s="5" t="str">
        <f>_xlfn.XLOOKUP(TAB_H_MAE_ASIG[[#This Row],[ID_CARRERA]],MAE_CARRERA[ID_CARRERA],MAE_CARRERA[NOMBRE_CARRERA])</f>
        <v>AUDITORÍA Y CONTROL DE GESTIÓN 2024 NS</v>
      </c>
      <c r="G66" s="1">
        <v>6</v>
      </c>
    </row>
    <row r="67" spans="1:7" ht="12.75" customHeight="1">
      <c r="A67" s="2" t="str">
        <f>CONCATENATE(TAB_H_MAE_ASIG[[#This Row],[ID_CARRERA]],"-NI-",TAB_H_MAE_ASIG[[#This Row],[ID_NIVEL]],"-",LEFT(MID(B67,1,20),5)&amp;IF(ISERR(FIND(" ",MID(B67,4,20))),"","-"&amp;LEFT(MID(MID(B67,4,20),FIND(" ",MID(B67,4,20))+1,20),3))&amp;IF(ISERR(FIND(" ",MID(B67,4,20),FIND(" ",MID(B67,4,20))+1)),"","-"&amp;LEFT(MID(MID(B67,4,20),FIND(" ",MID(B67,4,20),FIND(" ",MID(B67,4,20))+1)+1,20),3)))</f>
        <v>FCACC-AU-CO-GE-NI-6-AUDIT-DE -GES</v>
      </c>
      <c r="B67" s="7" t="s">
        <v>72</v>
      </c>
      <c r="C67" s="1">
        <v>5</v>
      </c>
      <c r="D67" s="6">
        <v>16</v>
      </c>
      <c r="E67" s="6" t="s">
        <v>50</v>
      </c>
      <c r="F67" s="5" t="str">
        <f>_xlfn.XLOOKUP(TAB_H_MAE_ASIG[[#This Row],[ID_CARRERA]],MAE_CARRERA[ID_CARRERA],MAE_CARRERA[NOMBRE_CARRERA])</f>
        <v>AUDITORÍA Y CONTROL DE GESTIÓN 2024 NS</v>
      </c>
      <c r="G67" s="1">
        <v>6</v>
      </c>
    </row>
    <row r="68" spans="1:7" ht="12.75" customHeight="1">
      <c r="A68" s="2" t="str">
        <f>CONCATENATE(TAB_H_MAE_ASIG[[#This Row],[ID_CARRERA]],"-NI-",TAB_H_MAE_ASIG[[#This Row],[ID_NIVEL]],"-",LEFT(MID(B68,1,20),5)&amp;IF(ISERR(FIND(" ",MID(B68,4,20))),"","-"&amp;LEFT(MID(MID(B68,4,20),FIND(" ",MID(B68,4,20))+1,20),3))&amp;IF(ISERR(FIND(" ",MID(B68,4,20),FIND(" ",MID(B68,4,20))+1)),"","-"&amp;LEFT(MID(MID(B68,4,20),FIND(" ",MID(B68,4,20),FIND(" ",MID(B68,4,20))+1)+1,20),3)))</f>
        <v>FCACC-AU-CO-GE-NI-6-PROCE-DE -CON</v>
      </c>
      <c r="B68" s="7" t="s">
        <v>73</v>
      </c>
      <c r="C68" s="1">
        <v>4</v>
      </c>
      <c r="D68" s="6">
        <v>16</v>
      </c>
      <c r="E68" s="6" t="s">
        <v>50</v>
      </c>
      <c r="F68" s="5" t="str">
        <f>_xlfn.XLOOKUP(TAB_H_MAE_ASIG[[#This Row],[ID_CARRERA]],MAE_CARRERA[ID_CARRERA],MAE_CARRERA[NOMBRE_CARRERA])</f>
        <v>AUDITORÍA Y CONTROL DE GESTIÓN 2024 NS</v>
      </c>
      <c r="G68" s="1">
        <v>6</v>
      </c>
    </row>
    <row r="69" spans="1:7" ht="12.75" customHeight="1">
      <c r="A69" s="2" t="str">
        <f>CONCATENATE(TAB_H_MAE_ASIG[[#This Row],[ID_CARRERA]],"-NI-",TAB_H_MAE_ASIG[[#This Row],[ID_NIVEL]],"-",LEFT(MID(B69,1,20),5)&amp;IF(ISERR(FIND(" ",MID(B69,4,20))),"","-"&amp;LEFT(MID(MID(B69,4,20),FIND(" ",MID(B69,4,20))+1,20),3))&amp;IF(ISERR(FIND(" ",MID(B69,4,20),FIND(" ",MID(B69,4,20))+1)),"","-"&amp;LEFT(MID(MID(B69,4,20),FIND(" ",MID(B69,4,20),FIND(" ",MID(B69,4,20))+1)+1,20),3)))</f>
        <v>FCACC-AU-CO-GE-NI-6-AUDIT-TRI</v>
      </c>
      <c r="B69" s="7" t="s">
        <v>74</v>
      </c>
      <c r="C69" s="1">
        <v>4</v>
      </c>
      <c r="D69" s="6">
        <v>16</v>
      </c>
      <c r="E69" s="6" t="s">
        <v>50</v>
      </c>
      <c r="F69" s="5" t="str">
        <f>_xlfn.XLOOKUP(TAB_H_MAE_ASIG[[#This Row],[ID_CARRERA]],MAE_CARRERA[ID_CARRERA],MAE_CARRERA[NOMBRE_CARRERA])</f>
        <v>AUDITORÍA Y CONTROL DE GESTIÓN 2024 NS</v>
      </c>
      <c r="G69" s="1">
        <v>6</v>
      </c>
    </row>
    <row r="70" spans="1:7" ht="12.75" customHeight="1">
      <c r="A70" s="2" t="str">
        <f>CONCATENATE(TAB_H_MAE_ASIG[[#This Row],[ID_CARRERA]],"-NI-",TAB_H_MAE_ASIG[[#This Row],[ID_NIVEL]],"-",LEFT(MID(B70,1,20),5)&amp;IF(ISERR(FIND(" ",MID(B70,4,20))),"","-"&amp;LEFT(MID(MID(B70,4,20),FIND(" ",MID(B70,4,20))+1,20),3))&amp;IF(ISERR(FIND(" ",MID(B70,4,20),FIND(" ",MID(B70,4,20))+1)),"","-"&amp;LEFT(MID(MID(B70,4,20),FIND(" ",MID(B70,4,20),FIND(" ",MID(B70,4,20))+1)+1,20),3)))</f>
        <v>FCACC-AU-CO-GE-NI-7-AUDIT-EN -SEG</v>
      </c>
      <c r="B70" s="8" t="s">
        <v>75</v>
      </c>
      <c r="C70" s="1">
        <v>4</v>
      </c>
      <c r="D70" s="6">
        <v>16</v>
      </c>
      <c r="E70" s="6" t="s">
        <v>50</v>
      </c>
      <c r="F70" s="5" t="str">
        <f>_xlfn.XLOOKUP(TAB_H_MAE_ASIG[[#This Row],[ID_CARRERA]],MAE_CARRERA[ID_CARRERA],MAE_CARRERA[NOMBRE_CARRERA])</f>
        <v>AUDITORÍA Y CONTROL DE GESTIÓN 2024 NS</v>
      </c>
      <c r="G70" s="1">
        <v>7</v>
      </c>
    </row>
    <row r="71" spans="1:7" ht="12.75" customHeight="1">
      <c r="A71" s="2" t="str">
        <f>CONCATENATE(TAB_H_MAE_ASIG[[#This Row],[ID_CARRERA]],"-NI-",TAB_H_MAE_ASIG[[#This Row],[ID_NIVEL]],"-",LEFT(MID(B71,1,20),5)&amp;IF(ISERR(FIND(" ",MID(B71,4,20))),"","-"&amp;LEFT(MID(MID(B71,4,20),FIND(" ",MID(B71,4,20))+1,20),3))&amp;IF(ISERR(FIND(" ",MID(B71,4,20),FIND(" ",MID(B71,4,20))+1)),"","-"&amp;LEFT(MID(MID(B71,4,20),FIND(" ",MID(B71,4,20),FIND(" ",MID(B71,4,20))+1)+1,20),3)))</f>
        <v>FCACC-AU-CO-GE-NI-7-VALOR-DE -EMP</v>
      </c>
      <c r="B71" s="8" t="s">
        <v>76</v>
      </c>
      <c r="C71" s="1">
        <v>5</v>
      </c>
      <c r="D71" s="6">
        <v>16</v>
      </c>
      <c r="E71" s="6" t="s">
        <v>50</v>
      </c>
      <c r="F71" s="5" t="str">
        <f>_xlfn.XLOOKUP(TAB_H_MAE_ASIG[[#This Row],[ID_CARRERA]],MAE_CARRERA[ID_CARRERA],MAE_CARRERA[NOMBRE_CARRERA])</f>
        <v>AUDITORÍA Y CONTROL DE GESTIÓN 2024 NS</v>
      </c>
      <c r="G71" s="1">
        <v>7</v>
      </c>
    </row>
    <row r="72" spans="1:7" ht="12.75" customHeight="1">
      <c r="A72" s="2" t="str">
        <f>CONCATENATE(TAB_H_MAE_ASIG[[#This Row],[ID_CARRERA]],"-NI-",TAB_H_MAE_ASIG[[#This Row],[ID_NIVEL]],"-",LEFT(MID(B72,1,20),5)&amp;IF(ISERR(FIND(" ",MID(B72,4,20))),"","-"&amp;LEFT(MID(MID(B72,4,20),FIND(" ",MID(B72,4,20))+1,20),3))&amp;IF(ISERR(FIND(" ",MID(B72,4,20),FIND(" ",MID(B72,4,20))+1)),"","-"&amp;LEFT(MID(MID(B72,4,20),FIND(" ",MID(B72,4,20),FIND(" ",MID(B72,4,20))+1)+1,20),3)))</f>
        <v>FCACC-AU-CO-GE-NI-7-AUDIT</v>
      </c>
      <c r="B72" s="8" t="s">
        <v>77</v>
      </c>
      <c r="C72" s="1">
        <v>4</v>
      </c>
      <c r="D72" s="6">
        <v>16</v>
      </c>
      <c r="E72" s="6" t="s">
        <v>50</v>
      </c>
      <c r="F72" s="5" t="str">
        <f>_xlfn.XLOOKUP(TAB_H_MAE_ASIG[[#This Row],[ID_CARRERA]],MAE_CARRERA[ID_CARRERA],MAE_CARRERA[NOMBRE_CARRERA])</f>
        <v>AUDITORÍA Y CONTROL DE GESTIÓN 2024 NS</v>
      </c>
      <c r="G72" s="1">
        <v>7</v>
      </c>
    </row>
    <row r="73" spans="1:7" ht="12.75" customHeight="1">
      <c r="A73" s="2" t="str">
        <f>CONCATENATE(TAB_H_MAE_ASIG[[#This Row],[ID_CARRERA]],"-NI-",TAB_H_MAE_ASIG[[#This Row],[ID_NIVEL]],"-",LEFT(MID(B73,1,20),5)&amp;IF(ISERR(FIND(" ",MID(B73,4,20))),"","-"&amp;LEFT(MID(MID(B73,4,20),FIND(" ",MID(B73,4,20))+1,20),3))&amp;IF(ISERR(FIND(" ",MID(B73,4,20),FIND(" ",MID(B73,4,20))+1)),"","-"&amp;LEFT(MID(MID(B73,4,20),FIND(" ",MID(B73,4,20),FIND(" ",MID(B73,4,20))+1)+1,20),3)))</f>
        <v>FCACC-AU-CO-GE-NI-7-AUDIT-AMB</v>
      </c>
      <c r="B73" s="7" t="s">
        <v>78</v>
      </c>
      <c r="C73" s="1">
        <v>4</v>
      </c>
      <c r="D73" s="6">
        <v>16</v>
      </c>
      <c r="E73" s="6" t="s">
        <v>50</v>
      </c>
      <c r="F73" s="5" t="str">
        <f>_xlfn.XLOOKUP(TAB_H_MAE_ASIG[[#This Row],[ID_CARRERA]],MAE_CARRERA[ID_CARRERA],MAE_CARRERA[NOMBRE_CARRERA])</f>
        <v>AUDITORÍA Y CONTROL DE GESTIÓN 2024 NS</v>
      </c>
      <c r="G73" s="1">
        <v>7</v>
      </c>
    </row>
    <row r="74" spans="1:7" ht="12.75" customHeight="1">
      <c r="A74" s="2" t="str">
        <f>CONCATENATE(TAB_H_MAE_ASIG[[#This Row],[ID_CARRERA]],"-NI-",TAB_H_MAE_ASIG[[#This Row],[ID_NIVEL]],"-",LEFT(MID(B74,1,20),5)&amp;IF(ISERR(FIND(" ",MID(B74,4,20))),"","-"&amp;LEFT(MID(MID(B74,4,20),FIND(" ",MID(B74,4,20))+1,20),3))&amp;IF(ISERR(FIND(" ",MID(B74,4,20),FIND(" ",MID(B74,4,20))+1)),"","-"&amp;LEFT(MID(MID(B74,4,20),FIND(" ",MID(B74,4,20),FIND(" ",MID(B74,4,20))+1)+1,20),3)))</f>
        <v>FCACC-AU-CO-GE-NI-7-RESPO-SOC-</v>
      </c>
      <c r="B74" s="7" t="s">
        <v>79</v>
      </c>
      <c r="C74" s="1">
        <v>3</v>
      </c>
      <c r="D74" s="6">
        <v>16</v>
      </c>
      <c r="E74" s="6" t="s">
        <v>50</v>
      </c>
      <c r="F74" s="5" t="str">
        <f>_xlfn.XLOOKUP(TAB_H_MAE_ASIG[[#This Row],[ID_CARRERA]],MAE_CARRERA[ID_CARRERA],MAE_CARRERA[NOMBRE_CARRERA])</f>
        <v>AUDITORÍA Y CONTROL DE GESTIÓN 2024 NS</v>
      </c>
      <c r="G74" s="1">
        <v>7</v>
      </c>
    </row>
    <row r="75" spans="1:7" ht="12.75" customHeight="1">
      <c r="A75" s="2" t="str">
        <f>CONCATENATE(TAB_H_MAE_ASIG[[#This Row],[ID_CARRERA]],"-NI-",TAB_H_MAE_ASIG[[#This Row],[ID_NIVEL]],"-",LEFT(MID(B75,1,20),5)&amp;IF(ISERR(FIND(" ",MID(B75,4,20))),"","-"&amp;LEFT(MID(MID(B75,4,20),FIND(" ",MID(B75,4,20))+1,20),3))&amp;IF(ISERR(FIND(" ",MID(B75,4,20),FIND(" ",MID(B75,4,20))+1)),"","-"&amp;LEFT(MID(MID(B75,4,20),FIND(" ",MID(B75,4,20),FIND(" ",MID(B75,4,20))+1)+1,20),3)))</f>
        <v xml:space="preserve">FCACC-AU-CO-GE-NI-8-DISEÑ-DES- Y </v>
      </c>
      <c r="B75" s="7" t="s">
        <v>80</v>
      </c>
      <c r="C75" s="1">
        <v>6</v>
      </c>
      <c r="D75" s="6">
        <v>16</v>
      </c>
      <c r="E75" s="6" t="s">
        <v>50</v>
      </c>
      <c r="F75" s="5" t="str">
        <f>_xlfn.XLOOKUP(TAB_H_MAE_ASIG[[#This Row],[ID_CARRERA]],MAE_CARRERA[ID_CARRERA],MAE_CARRERA[NOMBRE_CARRERA])</f>
        <v>AUDITORÍA Y CONTROL DE GESTIÓN 2024 NS</v>
      </c>
      <c r="G75" s="1">
        <v>8</v>
      </c>
    </row>
    <row r="76" spans="1:7" ht="12.75" customHeight="1">
      <c r="A76" s="2" t="str">
        <f>CONCATENATE(TAB_H_MAE_ASIG[[#This Row],[ID_CARRERA]],"-NI-",TAB_H_MAE_ASIG[[#This Row],[ID_NIVEL]],"-",LEFT(MID(B76,1,20),5)&amp;IF(ISERR(FIND(" ",MID(B76,4,20))),"","-"&amp;LEFT(MID(MID(B76,4,20),FIND(" ",MID(B76,4,20))+1,20),3))&amp;IF(ISERR(FIND(" ",MID(B76,4,20),FIND(" ",MID(B76,4,20))+1)),"","-"&amp;LEFT(MID(MID(B76,4,20),FIND(" ",MID(B76,4,20),FIND(" ",MID(B76,4,20))+1)+1,20),3)))</f>
        <v>FCACC-AU-CO-GE-NI-8-LIDER-Y G-GES</v>
      </c>
      <c r="B76" s="8" t="s">
        <v>81</v>
      </c>
      <c r="C76" s="1">
        <v>3</v>
      </c>
      <c r="D76" s="6">
        <v>16</v>
      </c>
      <c r="E76" s="6" t="s">
        <v>50</v>
      </c>
      <c r="F76" s="5" t="str">
        <f>_xlfn.XLOOKUP(TAB_H_MAE_ASIG[[#This Row],[ID_CARRERA]],MAE_CARRERA[ID_CARRERA],MAE_CARRERA[NOMBRE_CARRERA])</f>
        <v>AUDITORÍA Y CONTROL DE GESTIÓN 2024 NS</v>
      </c>
      <c r="G76" s="1">
        <v>8</v>
      </c>
    </row>
    <row r="77" spans="1:7" ht="12.75" customHeight="1">
      <c r="A77" s="2" t="str">
        <f>CONCATENATE(TAB_H_MAE_ASIG[[#This Row],[ID_CARRERA]],"-NI-",TAB_H_MAE_ASIG[[#This Row],[ID_NIVEL]],"-",LEFT(MID(B77,1,20),5)&amp;IF(ISERR(FIND(" ",MID(B77,4,20))),"","-"&amp;LEFT(MID(MID(B77,4,20),FIND(" ",MID(B77,4,20))+1,20),3))&amp;IF(ISERR(FIND(" ",MID(B77,4,20),FIND(" ",MID(B77,4,20))+1)),"","-"&amp;LEFT(MID(MID(B77,4,20),FIND(" ",MID(B77,4,20),FIND(" ",MID(B77,4,20))+1)+1,20),3)))</f>
        <v>FCACC-AU-CO-GE-NI-8-AUDIT-DE -SIS</v>
      </c>
      <c r="B77" s="8" t="s">
        <v>82</v>
      </c>
      <c r="C77" s="1">
        <v>4</v>
      </c>
      <c r="D77" s="6">
        <v>16</v>
      </c>
      <c r="E77" s="6" t="s">
        <v>50</v>
      </c>
      <c r="F77" s="5" t="str">
        <f>_xlfn.XLOOKUP(TAB_H_MAE_ASIG[[#This Row],[ID_CARRERA]],MAE_CARRERA[ID_CARRERA],MAE_CARRERA[NOMBRE_CARRERA])</f>
        <v>AUDITORÍA Y CONTROL DE GESTIÓN 2024 NS</v>
      </c>
      <c r="G77" s="1">
        <v>8</v>
      </c>
    </row>
    <row r="78" spans="1:7" ht="12.75" customHeight="1">
      <c r="A78" s="2" t="str">
        <f>CONCATENATE(TAB_H_MAE_ASIG[[#This Row],[ID_CARRERA]],"-NI-",TAB_H_MAE_ASIG[[#This Row],[ID_NIVEL]],"-",LEFT(MID(B78,1,20),5)&amp;IF(ISERR(FIND(" ",MID(B78,4,20))),"","-"&amp;LEFT(MID(MID(B78,4,20),FIND(" ",MID(B78,4,20))+1,20),3))&amp;IF(ISERR(FIND(" ",MID(B78,4,20),FIND(" ",MID(B78,4,20))+1)),"","-"&amp;LEFT(MID(MID(B78,4,20),FIND(" ",MID(B78,4,20),FIND(" ",MID(B78,4,20))+1)+1,20),3)))</f>
        <v>FCACC-AU-CO-GE-NI-8-AUDIT-FOR</v>
      </c>
      <c r="B78" s="7" t="s">
        <v>83</v>
      </c>
      <c r="C78" s="1">
        <v>4</v>
      </c>
      <c r="D78" s="6">
        <v>16</v>
      </c>
      <c r="E78" s="6" t="s">
        <v>50</v>
      </c>
      <c r="F78" s="5" t="str">
        <f>_xlfn.XLOOKUP(TAB_H_MAE_ASIG[[#This Row],[ID_CARRERA]],MAE_CARRERA[ID_CARRERA],MAE_CARRERA[NOMBRE_CARRERA])</f>
        <v>AUDITORÍA Y CONTROL DE GESTIÓN 2024 NS</v>
      </c>
      <c r="G78" s="1">
        <v>8</v>
      </c>
    </row>
    <row r="79" spans="1:7" ht="12.75" customHeight="1">
      <c r="A79" s="2" t="str">
        <f>CONCATENATE(TAB_H_MAE_ASIG[[#This Row],[ID_CARRERA]],"-NI-",TAB_H_MAE_ASIG[[#This Row],[ID_NIVEL]],"-",LEFT(MID(B79,1,20),5)&amp;IF(ISERR(FIND(" ",MID(B79,4,20))),"","-"&amp;LEFT(MID(MID(B79,4,20),FIND(" ",MID(B79,4,20))+1,20),3))&amp;IF(ISERR(FIND(" ",MID(B79,4,20),FIND(" ",MID(B79,4,20))+1)),"","-"&amp;LEFT(MID(MID(B79,4,20),FIND(" ",MID(B79,4,20),FIND(" ",MID(B79,4,20))+1)+1,20),3)))</f>
        <v>FCACC-AU-CO-GE-NI-8-AUDIT-INT</v>
      </c>
      <c r="B79" s="7" t="s">
        <v>84</v>
      </c>
      <c r="C79" s="1">
        <v>3</v>
      </c>
      <c r="D79" s="6">
        <v>16</v>
      </c>
      <c r="E79" s="6" t="s">
        <v>50</v>
      </c>
      <c r="F79" s="5" t="str">
        <f>_xlfn.XLOOKUP(TAB_H_MAE_ASIG[[#This Row],[ID_CARRERA]],MAE_CARRERA[ID_CARRERA],MAE_CARRERA[NOMBRE_CARRERA])</f>
        <v>AUDITORÍA Y CONTROL DE GESTIÓN 2024 NS</v>
      </c>
      <c r="G79" s="1">
        <v>8</v>
      </c>
    </row>
    <row r="80" spans="1:7" ht="12.75" customHeight="1">
      <c r="A80" s="2" t="str">
        <f>CONCATENATE(TAB_H_MAE_ASIG[[#This Row],[ID_CARRERA]],"-NI-",TAB_H_MAE_ASIG[[#This Row],[ID_NIVEL]],"-",LEFT(MID(B80,1,20),5)&amp;IF(ISERR(FIND(" ",MID(B80,4,20))),"","-"&amp;LEFT(MID(MID(B80,4,20),FIND(" ",MID(B80,4,20))+1,20),3))&amp;IF(ISERR(FIND(" ",MID(B80,4,20),FIND(" ",MID(B80,4,20))+1)),"","-"&amp;LEFT(MID(MID(B80,4,20),FIND(" ",MID(B80,4,20),FIND(" ",MID(B80,4,20))+1)+1,20),3)))</f>
        <v>FCACC-BI-RA-NI-1-MATEM-FIN-(</v>
      </c>
      <c r="B80" s="2" t="s">
        <v>85</v>
      </c>
      <c r="C80" s="6">
        <v>3</v>
      </c>
      <c r="D80" s="6">
        <v>16</v>
      </c>
      <c r="E80" s="6" t="s">
        <v>86</v>
      </c>
      <c r="F80" s="5" t="str">
        <f>_xlfn.XLOOKUP(TAB_H_MAE_ASIG[[#This Row],[ID_CARRERA]],MAE_CARRERA[ID_CARRERA],MAE_CARRERA[NOMBRE_CARRERA])</f>
        <v>BIENES RAICES</v>
      </c>
      <c r="G80" s="6">
        <v>1</v>
      </c>
    </row>
    <row r="81" spans="1:7" ht="12.75" customHeight="1">
      <c r="A81" s="2" t="str">
        <f>CONCATENATE(TAB_H_MAE_ASIG[[#This Row],[ID_CARRERA]],"-NI-",TAB_H_MAE_ASIG[[#This Row],[ID_NIVEL]],"-",LEFT(MID(B81,1,20),5)&amp;IF(ISERR(FIND(" ",MID(B81,4,20))),"","-"&amp;LEFT(MID(MID(B81,4,20),FIND(" ",MID(B81,4,20))+1,20),3))&amp;IF(ISERR(FIND(" ",MID(B81,4,20),FIND(" ",MID(B81,4,20))+1)),"","-"&amp;LEFT(MID(MID(B81,4,20),FIND(" ",MID(B81,4,20),FIND(" ",MID(B81,4,20))+1)+1,20),3)))</f>
        <v>FCACC-BI-RA-NI-1-ECONO-EN -BIE</v>
      </c>
      <c r="B81" s="2" t="s">
        <v>87</v>
      </c>
      <c r="C81" s="6">
        <v>3</v>
      </c>
      <c r="D81" s="6">
        <v>16</v>
      </c>
      <c r="E81" s="6" t="s">
        <v>86</v>
      </c>
      <c r="F81" s="5" t="str">
        <f>_xlfn.XLOOKUP(TAB_H_MAE_ASIG[[#This Row],[ID_CARRERA]],MAE_CARRERA[ID_CARRERA],MAE_CARRERA[NOMBRE_CARRERA])</f>
        <v>BIENES RAICES</v>
      </c>
      <c r="G81" s="6">
        <v>1</v>
      </c>
    </row>
    <row r="82" spans="1:7" ht="12.75" customHeight="1">
      <c r="A82" s="2" t="str">
        <f>CONCATENATE(TAB_H_MAE_ASIG[[#This Row],[ID_CARRERA]],"-NI-",TAB_H_MAE_ASIG[[#This Row],[ID_NIVEL]],"-",LEFT(MID(B82,1,20),5)&amp;IF(ISERR(FIND(" ",MID(B82,4,20))),"","-"&amp;LEFT(MID(MID(B82,4,20),FIND(" ",MID(B82,4,20))+1,20),3))&amp;IF(ISERR(FIND(" ",MID(B82,4,20),FIND(" ",MID(B82,4,20))+1)),"","-"&amp;LEFT(MID(MID(B82,4,20),FIND(" ",MID(B82,4,20),FIND(" ",MID(B82,4,20))+1)+1,20),3)))</f>
        <v>FCACC-BI-RA-NI-1-DEREC-APL-A L</v>
      </c>
      <c r="B82" s="2" t="s">
        <v>88</v>
      </c>
      <c r="C82" s="6">
        <v>3</v>
      </c>
      <c r="D82" s="6">
        <v>16</v>
      </c>
      <c r="E82" s="6" t="s">
        <v>86</v>
      </c>
      <c r="F82" s="5" t="str">
        <f>_xlfn.XLOOKUP(TAB_H_MAE_ASIG[[#This Row],[ID_CARRERA]],MAE_CARRERA[ID_CARRERA],MAE_CARRERA[NOMBRE_CARRERA])</f>
        <v>BIENES RAICES</v>
      </c>
      <c r="G82" s="6">
        <v>1</v>
      </c>
    </row>
    <row r="83" spans="1:7" ht="12.75" customHeight="1">
      <c r="A83" s="2" t="str">
        <f>CONCATENATE(TAB_H_MAE_ASIG[[#This Row],[ID_CARRERA]],"-NI-",TAB_H_MAE_ASIG[[#This Row],[ID_NIVEL]],"-",LEFT(MID(B83,1,20),5)&amp;IF(ISERR(FIND(" ",MID(B83,4,20))),"","-"&amp;LEFT(MID(MID(B83,4,20),FIND(" ",MID(B83,4,20))+1,20),3))&amp;IF(ISERR(FIND(" ",MID(B83,4,20),FIND(" ",MID(B83,4,20))+1)),"","-"&amp;LEFT(MID(MID(B83,4,20),FIND(" ",MID(B83,4,20),FIND(" ",MID(B83,4,20))+1)+1,20),3)))</f>
        <v>FCACC-BI-RA-NI-1-ADMIN-INM</v>
      </c>
      <c r="B83" s="2" t="s">
        <v>89</v>
      </c>
      <c r="C83" s="6">
        <v>4</v>
      </c>
      <c r="D83" s="6">
        <v>16</v>
      </c>
      <c r="E83" s="6" t="s">
        <v>86</v>
      </c>
      <c r="F83" s="5" t="str">
        <f>_xlfn.XLOOKUP(TAB_H_MAE_ASIG[[#This Row],[ID_CARRERA]],MAE_CARRERA[ID_CARRERA],MAE_CARRERA[NOMBRE_CARRERA])</f>
        <v>BIENES RAICES</v>
      </c>
      <c r="G83" s="6">
        <v>1</v>
      </c>
    </row>
    <row r="84" spans="1:7" ht="12.75" customHeight="1">
      <c r="A84" s="2" t="str">
        <f>CONCATENATE(TAB_H_MAE_ASIG[[#This Row],[ID_CARRERA]],"-NI-",TAB_H_MAE_ASIG[[#This Row],[ID_NIVEL]],"-",LEFT(MID(B84,1,20),5)&amp;IF(ISERR(FIND(" ",MID(B84,4,20))),"","-"&amp;LEFT(MID(MID(B84,4,20),FIND(" ",MID(B84,4,20))+1,20),3))&amp;IF(ISERR(FIND(" ",MID(B84,4,20),FIND(" ",MID(B84,4,20))+1)),"","-"&amp;LEFT(MID(MID(B84,4,20),FIND(" ",MID(B84,4,20),FIND(" ",MID(B84,4,20))+1)+1,20),3)))</f>
        <v>FCACC-BI-RA-NI-1-ÉTICA-PRO-(BR</v>
      </c>
      <c r="B84" s="2" t="s">
        <v>90</v>
      </c>
      <c r="C84" s="6">
        <v>3</v>
      </c>
      <c r="D84" s="6">
        <v>16</v>
      </c>
      <c r="E84" s="6" t="s">
        <v>86</v>
      </c>
      <c r="F84" s="5" t="str">
        <f>_xlfn.XLOOKUP(TAB_H_MAE_ASIG[[#This Row],[ID_CARRERA]],MAE_CARRERA[ID_CARRERA],MAE_CARRERA[NOMBRE_CARRERA])</f>
        <v>BIENES RAICES</v>
      </c>
      <c r="G84" s="6">
        <v>1</v>
      </c>
    </row>
    <row r="85" spans="1:7" ht="12.75" customHeight="1">
      <c r="A85" s="2" t="str">
        <f>CONCATENATE(TAB_H_MAE_ASIG[[#This Row],[ID_CARRERA]],"-NI-",TAB_H_MAE_ASIG[[#This Row],[ID_NIVEL]],"-",LEFT(MID(B85,1,20),5)&amp;IF(ISERR(FIND(" ",MID(B85,4,20))),"","-"&amp;LEFT(MID(MID(B85,4,20),FIND(" ",MID(B85,4,20))+1,20),3))&amp;IF(ISERR(FIND(" ",MID(B85,4,20),FIND(" ",MID(B85,4,20))+1)),"","-"&amp;LEFT(MID(MID(B85,4,20),FIND(" ",MID(B85,4,20),FIND(" ",MID(B85,4,20))+1)+1,20),3)))</f>
        <v>FCACC-BI-RA-NI-1-GESTI-EST-(BR</v>
      </c>
      <c r="B85" s="2" t="s">
        <v>91</v>
      </c>
      <c r="C85" s="6">
        <v>4</v>
      </c>
      <c r="D85" s="6">
        <v>16</v>
      </c>
      <c r="E85" s="6" t="s">
        <v>86</v>
      </c>
      <c r="F85" s="5" t="str">
        <f>_xlfn.XLOOKUP(TAB_H_MAE_ASIG[[#This Row],[ID_CARRERA]],MAE_CARRERA[ID_CARRERA],MAE_CARRERA[NOMBRE_CARRERA])</f>
        <v>BIENES RAICES</v>
      </c>
      <c r="G85" s="6">
        <v>1</v>
      </c>
    </row>
    <row r="86" spans="1:7" ht="12.75" customHeight="1">
      <c r="A86" s="2" t="str">
        <f>CONCATENATE(TAB_H_MAE_ASIG[[#This Row],[ID_CARRERA]],"-NI-",TAB_H_MAE_ASIG[[#This Row],[ID_NIVEL]],"-",LEFT(MID(B86,1,20),5)&amp;IF(ISERR(FIND(" ",MID(B86,4,20))),"","-"&amp;LEFT(MID(MID(B86,4,20),FIND(" ",MID(B86,4,20))+1,20),3))&amp;IF(ISERR(FIND(" ",MID(B86,4,20),FIND(" ",MID(B86,4,20))+1)),"","-"&amp;LEFT(MID(MID(B86,4,20),FIND(" ",MID(B86,4,20),FIND(" ",MID(B86,4,20))+1)+1,20),3)))</f>
        <v>FCACC-BI-RA-NI-2-ESTAD-DE -RIE</v>
      </c>
      <c r="B86" s="2" t="s">
        <v>92</v>
      </c>
      <c r="C86" s="6">
        <v>4</v>
      </c>
      <c r="D86" s="6">
        <v>16</v>
      </c>
      <c r="E86" s="6" t="s">
        <v>86</v>
      </c>
      <c r="F86" s="5" t="str">
        <f>_xlfn.XLOOKUP(TAB_H_MAE_ASIG[[#This Row],[ID_CARRERA]],MAE_CARRERA[ID_CARRERA],MAE_CARRERA[NOMBRE_CARRERA])</f>
        <v>BIENES RAICES</v>
      </c>
      <c r="G86" s="6">
        <v>2</v>
      </c>
    </row>
    <row r="87" spans="1:7" ht="12.75" customHeight="1">
      <c r="A87" s="2" t="str">
        <f>CONCATENATE(TAB_H_MAE_ASIG[[#This Row],[ID_CARRERA]],"-NI-",TAB_H_MAE_ASIG[[#This Row],[ID_NIVEL]],"-",LEFT(MID(B87,1,20),5)&amp;IF(ISERR(FIND(" ",MID(B87,4,20))),"","-"&amp;LEFT(MID(MID(B87,4,20),FIND(" ",MID(B87,4,20))+1,20),3))&amp;IF(ISERR(FIND(" ",MID(B87,4,20),FIND(" ",MID(B87,4,20))+1)),"","-"&amp;LEFT(MID(MID(B87,4,20),FIND(" ",MID(B87,4,20),FIND(" ",MID(B87,4,20))+1)+1,20),3)))</f>
        <v>FCACC-BI-RA-NI-2-MARKE-INM-</v>
      </c>
      <c r="B87" s="2" t="s">
        <v>93</v>
      </c>
      <c r="C87" s="6">
        <v>4</v>
      </c>
      <c r="D87" s="6">
        <v>16</v>
      </c>
      <c r="E87" s="6" t="s">
        <v>86</v>
      </c>
      <c r="F87" s="5" t="str">
        <f>_xlfn.XLOOKUP(TAB_H_MAE_ASIG[[#This Row],[ID_CARRERA]],MAE_CARRERA[ID_CARRERA],MAE_CARRERA[NOMBRE_CARRERA])</f>
        <v>BIENES RAICES</v>
      </c>
      <c r="G87" s="6">
        <v>2</v>
      </c>
    </row>
    <row r="88" spans="1:7" ht="12.75" customHeight="1">
      <c r="A88" s="2" t="str">
        <f>CONCATENATE(TAB_H_MAE_ASIG[[#This Row],[ID_CARRERA]],"-NI-",TAB_H_MAE_ASIG[[#This Row],[ID_NIVEL]],"-",LEFT(MID(B88,1,20),5)&amp;IF(ISERR(FIND(" ",MID(B88,4,20))),"","-"&amp;LEFT(MID(MID(B88,4,20),FIND(" ",MID(B88,4,20))+1,20),3))&amp;IF(ISERR(FIND(" ",MID(B88,4,20),FIND(" ",MID(B88,4,20))+1)),"","-"&amp;LEFT(MID(MID(B88,4,20),FIND(" ",MID(B88,4,20),FIND(" ",MID(B88,4,20))+1)+1,20),3)))</f>
        <v>FCACC-BI-RA-NI-2-LEGIS-DE -SEG</v>
      </c>
      <c r="B88" s="2" t="s">
        <v>94</v>
      </c>
      <c r="C88" s="6">
        <v>4</v>
      </c>
      <c r="D88" s="6">
        <v>16</v>
      </c>
      <c r="E88" s="6" t="s">
        <v>86</v>
      </c>
      <c r="F88" s="5" t="str">
        <f>_xlfn.XLOOKUP(TAB_H_MAE_ASIG[[#This Row],[ID_CARRERA]],MAE_CARRERA[ID_CARRERA],MAE_CARRERA[NOMBRE_CARRERA])</f>
        <v>BIENES RAICES</v>
      </c>
      <c r="G88" s="6">
        <v>2</v>
      </c>
    </row>
    <row r="89" spans="1:7" ht="12.75" customHeight="1">
      <c r="A89" s="2" t="str">
        <f>CONCATENATE(TAB_H_MAE_ASIG[[#This Row],[ID_CARRERA]],"-NI-",TAB_H_MAE_ASIG[[#This Row],[ID_NIVEL]],"-",LEFT(MID(B89,1,20),5)&amp;IF(ISERR(FIND(" ",MID(B89,4,20))),"","-"&amp;LEFT(MID(MID(B89,4,20),FIND(" ",MID(B89,4,20))+1,20),3))&amp;IF(ISERR(FIND(" ",MID(B89,4,20),FIND(" ",MID(B89,4,20))+1)),"","-"&amp;LEFT(MID(MID(B89,4,20),FIND(" ",MID(B89,4,20),FIND(" ",MID(B89,4,20))+1)+1,20),3)))</f>
        <v>FCACC-BI-RA-NI-2-ANÁLI-DE -MER</v>
      </c>
      <c r="B89" s="2" t="s">
        <v>95</v>
      </c>
      <c r="C89" s="6">
        <v>4</v>
      </c>
      <c r="D89" s="6">
        <v>16</v>
      </c>
      <c r="E89" s="6" t="s">
        <v>86</v>
      </c>
      <c r="F89" s="5" t="str">
        <f>_xlfn.XLOOKUP(TAB_H_MAE_ASIG[[#This Row],[ID_CARRERA]],MAE_CARRERA[ID_CARRERA],MAE_CARRERA[NOMBRE_CARRERA])</f>
        <v>BIENES RAICES</v>
      </c>
      <c r="G89" s="6">
        <v>2</v>
      </c>
    </row>
    <row r="90" spans="1:7" ht="12.75" customHeight="1">
      <c r="A90" s="2" t="str">
        <f>CONCATENATE(TAB_H_MAE_ASIG[[#This Row],[ID_CARRERA]],"-NI-",TAB_H_MAE_ASIG[[#This Row],[ID_NIVEL]],"-",LEFT(MID(B90,1,20),5)&amp;IF(ISERR(FIND(" ",MID(B90,4,20))),"","-"&amp;LEFT(MID(MID(B90,4,20),FIND(" ",MID(B90,4,20))+1,20),3))&amp;IF(ISERR(FIND(" ",MID(B90,4,20),FIND(" ",MID(B90,4,20))+1)),"","-"&amp;LEFT(MID(MID(B90,4,20),FIND(" ",MID(B90,4,20),FIND(" ",MID(B90,4,20))+1)+1,20),3)))</f>
        <v>FCACC-BI-RA-NI-2-GESTI-DEL-AGE</v>
      </c>
      <c r="B90" s="2" t="s">
        <v>96</v>
      </c>
      <c r="C90" s="6">
        <v>4</v>
      </c>
      <c r="D90" s="6">
        <v>16</v>
      </c>
      <c r="E90" s="6" t="s">
        <v>86</v>
      </c>
      <c r="F90" s="5" t="str">
        <f>_xlfn.XLOOKUP(TAB_H_MAE_ASIG[[#This Row],[ID_CARRERA]],MAE_CARRERA[ID_CARRERA],MAE_CARRERA[NOMBRE_CARRERA])</f>
        <v>BIENES RAICES</v>
      </c>
      <c r="G90" s="6">
        <v>2</v>
      </c>
    </row>
    <row r="91" spans="1:7" ht="12.75" customHeight="1">
      <c r="A91" s="2" t="str">
        <f>CONCATENATE(TAB_H_MAE_ASIG[[#This Row],[ID_CARRERA]],"-NI-",TAB_H_MAE_ASIG[[#This Row],[ID_NIVEL]],"-",LEFT(MID(B91,1,20),5)&amp;IF(ISERR(FIND(" ",MID(B91,4,20))),"","-"&amp;LEFT(MID(MID(B91,4,20),FIND(" ",MID(B91,4,20))+1,20),3))&amp;IF(ISERR(FIND(" ",MID(B91,4,20),FIND(" ",MID(B91,4,20))+1)),"","-"&amp;LEFT(MID(MID(B91,4,20),FIND(" ",MID(B91,4,20),FIND(" ",MID(B91,4,20))+1)+1,20),3)))</f>
        <v>FCACC-BI-RA-NI-3-TASAC-DE -INM</v>
      </c>
      <c r="B91" s="2" t="s">
        <v>97</v>
      </c>
      <c r="C91" s="6">
        <v>4</v>
      </c>
      <c r="D91" s="6">
        <v>16</v>
      </c>
      <c r="E91" s="6" t="s">
        <v>86</v>
      </c>
      <c r="F91" s="5" t="str">
        <f>_xlfn.XLOOKUP(TAB_H_MAE_ASIG[[#This Row],[ID_CARRERA]],MAE_CARRERA[ID_CARRERA],MAE_CARRERA[NOMBRE_CARRERA])</f>
        <v>BIENES RAICES</v>
      </c>
      <c r="G91" s="6">
        <v>3</v>
      </c>
    </row>
    <row r="92" spans="1:7" ht="12.75" customHeight="1">
      <c r="A92" s="2" t="str">
        <f>CONCATENATE(TAB_H_MAE_ASIG[[#This Row],[ID_CARRERA]],"-NI-",TAB_H_MAE_ASIG[[#This Row],[ID_NIVEL]],"-",LEFT(MID(B92,1,20),5)&amp;IF(ISERR(FIND(" ",MID(B92,4,20))),"","-"&amp;LEFT(MID(MID(B92,4,20),FIND(" ",MID(B92,4,20))+1,20),3))&amp;IF(ISERR(FIND(" ",MID(B92,4,20),FIND(" ",MID(B92,4,20))+1)),"","-"&amp;LEFT(MID(MID(B92,4,20),FIND(" ",MID(B92,4,20),FIND(" ",MID(B92,4,20))+1)+1,20),3)))</f>
        <v>FCACC-BI-RA-NI-3-FINAN-EN -BIE</v>
      </c>
      <c r="B92" s="2" t="s">
        <v>98</v>
      </c>
      <c r="C92" s="6">
        <v>4</v>
      </c>
      <c r="D92" s="6">
        <v>16</v>
      </c>
      <c r="E92" s="6" t="s">
        <v>86</v>
      </c>
      <c r="F92" s="5" t="str">
        <f>_xlfn.XLOOKUP(TAB_H_MAE_ASIG[[#This Row],[ID_CARRERA]],MAE_CARRERA[ID_CARRERA],MAE_CARRERA[NOMBRE_CARRERA])</f>
        <v>BIENES RAICES</v>
      </c>
      <c r="G92" s="6">
        <v>3</v>
      </c>
    </row>
    <row r="93" spans="1:7" ht="12.75" customHeight="1">
      <c r="A93" s="2" t="str">
        <f>CONCATENATE(TAB_H_MAE_ASIG[[#This Row],[ID_CARRERA]],"-NI-",TAB_H_MAE_ASIG[[#This Row],[ID_NIVEL]],"-",LEFT(MID(B93,1,20),5)&amp;IF(ISERR(FIND(" ",MID(B93,4,20))),"","-"&amp;LEFT(MID(MID(B93,4,20),FIND(" ",MID(B93,4,20))+1,20),3))&amp;IF(ISERR(FIND(" ",MID(B93,4,20),FIND(" ",MID(B93,4,20))+1)),"","-"&amp;LEFT(MID(MID(B93,4,20),FIND(" ",MID(B93,4,20),FIND(" ",MID(B93,4,20))+1)+1,20),3)))</f>
        <v>FCACC-BI-RA-NI-3-GESTI-DE -RIE</v>
      </c>
      <c r="B93" s="2" t="s">
        <v>99</v>
      </c>
      <c r="C93" s="6">
        <v>4</v>
      </c>
      <c r="D93" s="6">
        <v>16</v>
      </c>
      <c r="E93" s="6" t="s">
        <v>86</v>
      </c>
      <c r="F93" s="5" t="str">
        <f>_xlfn.XLOOKUP(TAB_H_MAE_ASIG[[#This Row],[ID_CARRERA]],MAE_CARRERA[ID_CARRERA],MAE_CARRERA[NOMBRE_CARRERA])</f>
        <v>BIENES RAICES</v>
      </c>
      <c r="G93" s="6">
        <v>3</v>
      </c>
    </row>
    <row r="94" spans="1:7" ht="12.75" customHeight="1">
      <c r="A94" s="2" t="str">
        <f>CONCATENATE(TAB_H_MAE_ASIG[[#This Row],[ID_CARRERA]],"-NI-",TAB_H_MAE_ASIG[[#This Row],[ID_NIVEL]],"-",LEFT(MID(B94,1,20),5)&amp;IF(ISERR(FIND(" ",MID(B94,4,20))),"","-"&amp;LEFT(MID(MID(B94,4,20),FIND(" ",MID(B94,4,20))+1,20),3))&amp;IF(ISERR(FIND(" ",MID(B94,4,20),FIND(" ",MID(B94,4,20))+1)),"","-"&amp;LEFT(MID(MID(B94,4,20),FIND(" ",MID(B94,4,20),FIND(" ",MID(B94,4,20))+1)+1,20),3)))</f>
        <v>FCACC-BI-RA-NI-3-GEREN-Y N-NEG</v>
      </c>
      <c r="B94" s="2" t="s">
        <v>100</v>
      </c>
      <c r="C94" s="6">
        <v>4</v>
      </c>
      <c r="D94" s="6">
        <v>16</v>
      </c>
      <c r="E94" s="6" t="s">
        <v>86</v>
      </c>
      <c r="F94" s="5" t="str">
        <f>_xlfn.XLOOKUP(TAB_H_MAE_ASIG[[#This Row],[ID_CARRERA]],MAE_CARRERA[ID_CARRERA],MAE_CARRERA[NOMBRE_CARRERA])</f>
        <v>BIENES RAICES</v>
      </c>
      <c r="G94" s="6">
        <v>3</v>
      </c>
    </row>
    <row r="95" spans="1:7" ht="12.75" customHeight="1">
      <c r="A95" s="2" t="str">
        <f>CONCATENATE(TAB_H_MAE_ASIG[[#This Row],[ID_CARRERA]],"-NI-",TAB_H_MAE_ASIG[[#This Row],[ID_NIVEL]],"-",LEFT(MID(B95,1,20),5)&amp;IF(ISERR(FIND(" ",MID(B95,4,20))),"","-"&amp;LEFT(MID(MID(B95,4,20),FIND(" ",MID(B95,4,20))+1,20),3))&amp;IF(ISERR(FIND(" ",MID(B95,4,20),FIND(" ",MID(B95,4,20))+1)),"","-"&amp;LEFT(MID(MID(B95,4,20),FIND(" ",MID(B95,4,20),FIND(" ",MID(B95,4,20))+1)+1,20),3)))</f>
        <v>FCACC-BI-RA-NI-3-EMPRE-Y P-PLA</v>
      </c>
      <c r="B95" s="2" t="s">
        <v>101</v>
      </c>
      <c r="C95" s="6">
        <v>4</v>
      </c>
      <c r="D95" s="6">
        <v>16</v>
      </c>
      <c r="E95" s="6" t="s">
        <v>86</v>
      </c>
      <c r="F95" s="5" t="str">
        <f>_xlfn.XLOOKUP(TAB_H_MAE_ASIG[[#This Row],[ID_CARRERA]],MAE_CARRERA[ID_CARRERA],MAE_CARRERA[NOMBRE_CARRERA])</f>
        <v>BIENES RAICES</v>
      </c>
      <c r="G95" s="6">
        <v>3</v>
      </c>
    </row>
    <row r="96" spans="1:7" ht="12.75" customHeight="1">
      <c r="A96" s="2" t="str">
        <f>CONCATENATE(TAB_H_MAE_ASIG[[#This Row],[ID_CARRERA]],"-NI-",TAB_H_MAE_ASIG[[#This Row],[ID_NIVEL]],"-",LEFT(MID(B96,1,20),5)&amp;IF(ISERR(FIND(" ",MID(B96,4,20))),"","-"&amp;LEFT(MID(MID(B96,4,20),FIND(" ",MID(B96,4,20))+1,20),3))&amp;IF(ISERR(FIND(" ",MID(B96,4,20),FIND(" ",MID(B96,4,20))+1)),"","-"&amp;LEFT(MID(MID(B96,4,20),FIND(" ",MID(B96,4,20),FIND(" ",MID(B96,4,20))+1)+1,20),3)))</f>
        <v>FCACC-BI-RA-NI-4-EVALU-Y V-VAL</v>
      </c>
      <c r="B96" s="2" t="s">
        <v>102</v>
      </c>
      <c r="C96" s="6">
        <v>5</v>
      </c>
      <c r="D96" s="6">
        <v>16</v>
      </c>
      <c r="E96" s="6" t="s">
        <v>86</v>
      </c>
      <c r="F96" s="5" t="str">
        <f>_xlfn.XLOOKUP(TAB_H_MAE_ASIG[[#This Row],[ID_CARRERA]],MAE_CARRERA[ID_CARRERA],MAE_CARRERA[NOMBRE_CARRERA])</f>
        <v>BIENES RAICES</v>
      </c>
      <c r="G96" s="6">
        <v>4</v>
      </c>
    </row>
    <row r="97" spans="1:7" ht="12.75" customHeight="1">
      <c r="A97" s="2" t="str">
        <f>CONCATENATE(TAB_H_MAE_ASIG[[#This Row],[ID_CARRERA]],"-NI-",TAB_H_MAE_ASIG[[#This Row],[ID_NIVEL]],"-",LEFT(MID(B97,1,20),5)&amp;IF(ISERR(FIND(" ",MID(B97,4,20))),"","-"&amp;LEFT(MID(MID(B97,4,20),FIND(" ",MID(B97,4,20))+1,20),3))&amp;IF(ISERR(FIND(" ",MID(B97,4,20),FIND(" ",MID(B97,4,20))+1)),"","-"&amp;LEFT(MID(MID(B97,4,20),FIND(" ",MID(B97,4,20),FIND(" ",MID(B97,4,20))+1)+1,20),3)))</f>
        <v>FCACC-BI-RA-NI-4-PLANI-DEL-DES</v>
      </c>
      <c r="B97" s="2" t="s">
        <v>103</v>
      </c>
      <c r="C97" s="6">
        <v>5</v>
      </c>
      <c r="D97" s="6">
        <v>16</v>
      </c>
      <c r="E97" s="6" t="s">
        <v>86</v>
      </c>
      <c r="F97" s="5" t="str">
        <f>_xlfn.XLOOKUP(TAB_H_MAE_ASIG[[#This Row],[ID_CARRERA]],MAE_CARRERA[ID_CARRERA],MAE_CARRERA[NOMBRE_CARRERA])</f>
        <v>BIENES RAICES</v>
      </c>
      <c r="G97" s="6">
        <v>4</v>
      </c>
    </row>
    <row r="98" spans="1:7" ht="12.75" customHeight="1">
      <c r="A98" s="2" t="str">
        <f>CONCATENATE(TAB_H_MAE_ASIG[[#This Row],[ID_CARRERA]],"-NI-",TAB_H_MAE_ASIG[[#This Row],[ID_NIVEL]],"-",LEFT(MID(B98,1,20),5)&amp;IF(ISERR(FIND(" ",MID(B98,4,20))),"","-"&amp;LEFT(MID(MID(B98,4,20),FIND(" ",MID(B98,4,20))+1,20),3))&amp;IF(ISERR(FIND(" ",MID(B98,4,20),FIND(" ",MID(B98,4,20))+1)),"","-"&amp;LEFT(MID(MID(B98,4,20),FIND(" ",MID(B98,4,20),FIND(" ",MID(B98,4,20))+1)+1,20),3)))</f>
        <v>FCACC-BI-RA-NI-4-AUDIT-DE -SEG</v>
      </c>
      <c r="B98" s="2" t="s">
        <v>104</v>
      </c>
      <c r="C98" s="6">
        <v>5</v>
      </c>
      <c r="D98" s="6">
        <v>16</v>
      </c>
      <c r="E98" s="6" t="s">
        <v>86</v>
      </c>
      <c r="F98" s="5" t="str">
        <f>_xlfn.XLOOKUP(TAB_H_MAE_ASIG[[#This Row],[ID_CARRERA]],MAE_CARRERA[ID_CARRERA],MAE_CARRERA[NOMBRE_CARRERA])</f>
        <v>BIENES RAICES</v>
      </c>
      <c r="G98" s="6">
        <v>4</v>
      </c>
    </row>
    <row r="99" spans="1:7" ht="12.75" customHeight="1">
      <c r="A99" s="2" t="str">
        <f>CONCATENATE(TAB_H_MAE_ASIG[[#This Row],[ID_CARRERA]],"-NI-",TAB_H_MAE_ASIG[[#This Row],[ID_NIVEL]],"-",LEFT(MID(B99,1,20),5)&amp;IF(ISERR(FIND(" ",MID(B99,4,20))),"","-"&amp;LEFT(MID(MID(B99,4,20),FIND(" ",MID(B99,4,20))+1,20),3))&amp;IF(ISERR(FIND(" ",MID(B99,4,20),FIND(" ",MID(B99,4,20))+1)),"","-"&amp;LEFT(MID(MID(B99,4,20),FIND(" ",MID(B99,4,20),FIND(" ",MID(B99,4,20))+1)+1,20),3)))</f>
        <v xml:space="preserve">FCACC-CO-EX-NI-1-METOD-DE -LA </v>
      </c>
      <c r="B99" s="9" t="s">
        <v>12</v>
      </c>
      <c r="C99" s="10">
        <v>3</v>
      </c>
      <c r="D99" s="6">
        <v>16</v>
      </c>
      <c r="E99" s="10" t="s">
        <v>105</v>
      </c>
      <c r="F99" s="5" t="str">
        <f>_xlfn.XLOOKUP(TAB_H_MAE_ASIG[[#This Row],[ID_CARRERA]],MAE_CARRERA[ID_CARRERA],MAE_CARRERA[NOMBRE_CARRERA])</f>
        <v>COMERCIO EXTERIOR</v>
      </c>
      <c r="G99" s="10">
        <v>1</v>
      </c>
    </row>
    <row r="100" spans="1:7" ht="12.75" customHeight="1">
      <c r="A100" s="2" t="str">
        <f>CONCATENATE(TAB_H_MAE_ASIG[[#This Row],[ID_CARRERA]],"-NI-",TAB_H_MAE_ASIG[[#This Row],[ID_NIVEL]],"-",LEFT(MID(B100,1,20),5)&amp;IF(ISERR(FIND(" ",MID(B100,4,20))),"","-"&amp;LEFT(MID(MID(B100,4,20),FIND(" ",MID(B100,4,20))+1,20),3))&amp;IF(ISERR(FIND(" ",MID(B100,4,20),FIND(" ",MID(B100,4,20))+1)),"","-"&amp;LEFT(MID(MID(B100,4,20),FIND(" ",MID(B100,4,20),FIND(" ",MID(B100,4,20))+1)+1,20),3)))</f>
        <v>FCACC-CO-EX-NI-1-COMER-EXT</v>
      </c>
      <c r="B100" s="9" t="s">
        <v>106</v>
      </c>
      <c r="C100" s="10">
        <v>5</v>
      </c>
      <c r="D100" s="6">
        <v>16</v>
      </c>
      <c r="E100" s="10" t="s">
        <v>105</v>
      </c>
      <c r="F100" s="5" t="str">
        <f>_xlfn.XLOOKUP(TAB_H_MAE_ASIG[[#This Row],[ID_CARRERA]],MAE_CARRERA[ID_CARRERA],MAE_CARRERA[NOMBRE_CARRERA])</f>
        <v>COMERCIO EXTERIOR</v>
      </c>
      <c r="G100" s="10">
        <v>1</v>
      </c>
    </row>
    <row r="101" spans="1:7" ht="12.75" customHeight="1">
      <c r="A101" s="2" t="str">
        <f>CONCATENATE(TAB_H_MAE_ASIG[[#This Row],[ID_CARRERA]],"-NI-",TAB_H_MAE_ASIG[[#This Row],[ID_NIVEL]],"-",LEFT(MID(B101,1,20),5)&amp;IF(ISERR(FIND(" ",MID(B101,4,20))),"","-"&amp;LEFT(MID(MID(B101,4,20),FIND(" ",MID(B101,4,20))+1,20),3))&amp;IF(ISERR(FIND(" ",MID(B101,4,20),FIND(" ",MID(B101,4,20))+1)),"","-"&amp;LEFT(MID(MID(B101,4,20),FIND(" ",MID(B101,4,20),FIND(" ",MID(B101,4,20))+1)+1,20),3)))</f>
        <v>FCACC-CO-EX-NI-1-REALI-NAC-Y G</v>
      </c>
      <c r="B101" s="9" t="s">
        <v>107</v>
      </c>
      <c r="C101" s="10">
        <v>4</v>
      </c>
      <c r="D101" s="6">
        <v>16</v>
      </c>
      <c r="E101" s="10" t="s">
        <v>105</v>
      </c>
      <c r="F101" s="5" t="str">
        <f>_xlfn.XLOOKUP(TAB_H_MAE_ASIG[[#This Row],[ID_CARRERA]],MAE_CARRERA[ID_CARRERA],MAE_CARRERA[NOMBRE_CARRERA])</f>
        <v>COMERCIO EXTERIOR</v>
      </c>
      <c r="G101" s="10">
        <v>1</v>
      </c>
    </row>
    <row r="102" spans="1:7" ht="12.75" customHeight="1">
      <c r="A102" s="2" t="str">
        <f>CONCATENATE(TAB_H_MAE_ASIG[[#This Row],[ID_CARRERA]],"-NI-",TAB_H_MAE_ASIG[[#This Row],[ID_NIVEL]],"-",LEFT(MID(B102,1,20),5)&amp;IF(ISERR(FIND(" ",MID(B102,4,20))),"","-"&amp;LEFT(MID(MID(B102,4,20),FIND(" ",MID(B102,4,20))+1,20),3))&amp;IF(ISERR(FIND(" ",MID(B102,4,20),FIND(" ",MID(B102,4,20))+1)),"","-"&amp;LEFT(MID(MID(B102,4,20),FIND(" ",MID(B102,4,20),FIND(" ",MID(B102,4,20))+1)+1,20),3)))</f>
        <v>FCACC-CO-EX-NI-1-MATEM</v>
      </c>
      <c r="B102" s="9" t="s">
        <v>108</v>
      </c>
      <c r="C102" s="10">
        <v>5</v>
      </c>
      <c r="D102" s="6">
        <v>16</v>
      </c>
      <c r="E102" s="10" t="s">
        <v>105</v>
      </c>
      <c r="F102" s="5" t="str">
        <f>_xlfn.XLOOKUP(TAB_H_MAE_ASIG[[#This Row],[ID_CARRERA]],MAE_CARRERA[ID_CARRERA],MAE_CARRERA[NOMBRE_CARRERA])</f>
        <v>COMERCIO EXTERIOR</v>
      </c>
      <c r="G102" s="10">
        <v>1</v>
      </c>
    </row>
    <row r="103" spans="1:7" ht="12.75" customHeight="1">
      <c r="A103" s="2" t="str">
        <f>CONCATENATE(TAB_H_MAE_ASIG[[#This Row],[ID_CARRERA]],"-NI-",TAB_H_MAE_ASIG[[#This Row],[ID_NIVEL]],"-",LEFT(MID(B103,1,20),5)&amp;IF(ISERR(FIND(" ",MID(B103,4,20))),"","-"&amp;LEFT(MID(MID(B103,4,20),FIND(" ",MID(B103,4,20))+1,20),3))&amp;IF(ISERR(FIND(" ",MID(B103,4,20),FIND(" ",MID(B103,4,20))+1)),"","-"&amp;LEFT(MID(MID(B103,4,20),FIND(" ",MID(B103,4,20),FIND(" ",MID(B103,4,20))+1)+1,20),3)))</f>
        <v>FCACC-CO-EX-NI-1-CONTA-GEN</v>
      </c>
      <c r="B103" s="9" t="s">
        <v>109</v>
      </c>
      <c r="C103" s="10">
        <v>4</v>
      </c>
      <c r="D103" s="6">
        <v>16</v>
      </c>
      <c r="E103" s="10" t="s">
        <v>105</v>
      </c>
      <c r="F103" s="5" t="str">
        <f>_xlfn.XLOOKUP(TAB_H_MAE_ASIG[[#This Row],[ID_CARRERA]],MAE_CARRERA[ID_CARRERA],MAE_CARRERA[NOMBRE_CARRERA])</f>
        <v>COMERCIO EXTERIOR</v>
      </c>
      <c r="G103" s="10">
        <v>1</v>
      </c>
    </row>
    <row r="104" spans="1:7" ht="12.75" customHeight="1">
      <c r="A104" s="2" t="str">
        <f>CONCATENATE(TAB_H_MAE_ASIG[[#This Row],[ID_CARRERA]],"-NI-",TAB_H_MAE_ASIG[[#This Row],[ID_NIVEL]],"-",LEFT(MID(B104,1,20),5)&amp;IF(ISERR(FIND(" ",MID(B104,4,20))),"","-"&amp;LEFT(MID(MID(B104,4,20),FIND(" ",MID(B104,4,20))+1,20),3))&amp;IF(ISERR(FIND(" ",MID(B104,4,20),FIND(" ",MID(B104,4,20))+1)),"","-"&amp;LEFT(MID(MID(B104,4,20),FIND(" ",MID(B104,4,20),FIND(" ",MID(B104,4,20))+1)+1,20),3)))</f>
        <v>FCACC-CO-EX-NI-2-MATEM-FIN</v>
      </c>
      <c r="B104" s="9" t="s">
        <v>110</v>
      </c>
      <c r="C104" s="10">
        <v>5</v>
      </c>
      <c r="D104" s="6">
        <v>16</v>
      </c>
      <c r="E104" s="10" t="s">
        <v>105</v>
      </c>
      <c r="F104" s="5" t="str">
        <f>_xlfn.XLOOKUP(TAB_H_MAE_ASIG[[#This Row],[ID_CARRERA]],MAE_CARRERA[ID_CARRERA],MAE_CARRERA[NOMBRE_CARRERA])</f>
        <v>COMERCIO EXTERIOR</v>
      </c>
      <c r="G104" s="10">
        <v>2</v>
      </c>
    </row>
    <row r="105" spans="1:7" ht="12.75" customHeight="1">
      <c r="A105" s="2" t="str">
        <f>CONCATENATE(TAB_H_MAE_ASIG[[#This Row],[ID_CARRERA]],"-NI-",TAB_H_MAE_ASIG[[#This Row],[ID_NIVEL]],"-",LEFT(MID(B105,1,20),5)&amp;IF(ISERR(FIND(" ",MID(B105,4,20))),"","-"&amp;LEFT(MID(MID(B105,4,20),FIND(" ",MID(B105,4,20))+1,20),3))&amp;IF(ISERR(FIND(" ",MID(B105,4,20),FIND(" ",MID(B105,4,20))+1)),"","-"&amp;LEFT(MID(MID(B105,4,20),FIND(" ",MID(B105,4,20),FIND(" ",MID(B105,4,20))+1)+1,20),3)))</f>
        <v>FCACC-CO-EX-NI-2-DESAR-DEL-COM</v>
      </c>
      <c r="B105" s="9" t="s">
        <v>111</v>
      </c>
      <c r="C105" s="10">
        <v>5</v>
      </c>
      <c r="D105" s="6">
        <v>16</v>
      </c>
      <c r="E105" s="10" t="s">
        <v>105</v>
      </c>
      <c r="F105" s="5" t="str">
        <f>_xlfn.XLOOKUP(TAB_H_MAE_ASIG[[#This Row],[ID_CARRERA]],MAE_CARRERA[ID_CARRERA],MAE_CARRERA[NOMBRE_CARRERA])</f>
        <v>COMERCIO EXTERIOR</v>
      </c>
      <c r="G105" s="10">
        <v>2</v>
      </c>
    </row>
    <row r="106" spans="1:7" ht="12.75" customHeight="1">
      <c r="A106" s="2" t="str">
        <f>CONCATENATE(TAB_H_MAE_ASIG[[#This Row],[ID_CARRERA]],"-NI-",TAB_H_MAE_ASIG[[#This Row],[ID_NIVEL]],"-",LEFT(MID(B106,1,20),5)&amp;IF(ISERR(FIND(" ",MID(B106,4,20))),"","-"&amp;LEFT(MID(MID(B106,4,20),FIND(" ",MID(B106,4,20))+1,20),3))&amp;IF(ISERR(FIND(" ",MID(B106,4,20),FIND(" ",MID(B106,4,20))+1)),"","-"&amp;LEFT(MID(MID(B106,4,20),FIND(" ",MID(B106,4,20),FIND(" ",MID(B106,4,20))+1)+1,20),3)))</f>
        <v>FCACC-CO-EX-NI-2-RESPO-SOC-</v>
      </c>
      <c r="B106" s="9" t="s">
        <v>112</v>
      </c>
      <c r="C106" s="10">
        <v>4</v>
      </c>
      <c r="D106" s="6">
        <v>16</v>
      </c>
      <c r="E106" s="10" t="s">
        <v>105</v>
      </c>
      <c r="F106" s="5" t="str">
        <f>_xlfn.XLOOKUP(TAB_H_MAE_ASIG[[#This Row],[ID_CARRERA]],MAE_CARRERA[ID_CARRERA],MAE_CARRERA[NOMBRE_CARRERA])</f>
        <v>COMERCIO EXTERIOR</v>
      </c>
      <c r="G106" s="10">
        <v>2</v>
      </c>
    </row>
    <row r="107" spans="1:7" ht="12.75" customHeight="1">
      <c r="A107" s="2" t="str">
        <f>CONCATENATE(TAB_H_MAE_ASIG[[#This Row],[ID_CARRERA]],"-NI-",TAB_H_MAE_ASIG[[#This Row],[ID_NIVEL]],"-",LEFT(MID(B107,1,20),5)&amp;IF(ISERR(FIND(" ",MID(B107,4,20))),"","-"&amp;LEFT(MID(MID(B107,4,20),FIND(" ",MID(B107,4,20))+1,20),3))&amp;IF(ISERR(FIND(" ",MID(B107,4,20),FIND(" ",MID(B107,4,20))+1)),"","-"&amp;LEFT(MID(MID(B107,4,20),FIND(" ",MID(B107,4,20),FIND(" ",MID(B107,4,20))+1)+1,20),3)))</f>
        <v>FCACC-CO-EX-NI-2-CONTA-DE -COS</v>
      </c>
      <c r="B107" s="9" t="s">
        <v>8</v>
      </c>
      <c r="C107" s="10">
        <v>5</v>
      </c>
      <c r="D107" s="6">
        <v>16</v>
      </c>
      <c r="E107" s="10" t="s">
        <v>105</v>
      </c>
      <c r="F107" s="5" t="str">
        <f>_xlfn.XLOOKUP(TAB_H_MAE_ASIG[[#This Row],[ID_CARRERA]],MAE_CARRERA[ID_CARRERA],MAE_CARRERA[NOMBRE_CARRERA])</f>
        <v>COMERCIO EXTERIOR</v>
      </c>
      <c r="G107" s="10">
        <v>2</v>
      </c>
    </row>
    <row r="108" spans="1:7" ht="12.75" customHeight="1">
      <c r="A108" s="2" t="str">
        <f>CONCATENATE(TAB_H_MAE_ASIG[[#This Row],[ID_CARRERA]],"-NI-",TAB_H_MAE_ASIG[[#This Row],[ID_NIVEL]],"-",LEFT(MID(B108,1,20),5)&amp;IF(ISERR(FIND(" ",MID(B108,4,20))),"","-"&amp;LEFT(MID(MID(B108,4,20),FIND(" ",MID(B108,4,20))+1,20),3))&amp;IF(ISERR(FIND(" ",MID(B108,4,20),FIND(" ",MID(B108,4,20))+1)),"","-"&amp;LEFT(MID(MID(B108,4,20),FIND(" ",MID(B108,4,20),FIND(" ",MID(B108,4,20))+1)+1,20),3)))</f>
        <v>FCACC-CO-EX-NI-2-FUNDA-DE -ECO</v>
      </c>
      <c r="B108" s="9" t="s">
        <v>113</v>
      </c>
      <c r="C108" s="10">
        <v>4</v>
      </c>
      <c r="D108" s="6">
        <v>16</v>
      </c>
      <c r="E108" s="10" t="s">
        <v>105</v>
      </c>
      <c r="F108" s="5" t="str">
        <f>_xlfn.XLOOKUP(TAB_H_MAE_ASIG[[#This Row],[ID_CARRERA]],MAE_CARRERA[ID_CARRERA],MAE_CARRERA[NOMBRE_CARRERA])</f>
        <v>COMERCIO EXTERIOR</v>
      </c>
      <c r="G108" s="10">
        <v>2</v>
      </c>
    </row>
    <row r="109" spans="1:7" ht="12.75" customHeight="1">
      <c r="A109" s="2" t="str">
        <f>CONCATENATE(TAB_H_MAE_ASIG[[#This Row],[ID_CARRERA]],"-NI-",TAB_H_MAE_ASIG[[#This Row],[ID_NIVEL]],"-",LEFT(MID(B109,1,20),5)&amp;IF(ISERR(FIND(" ",MID(B109,4,20))),"","-"&amp;LEFT(MID(MID(B109,4,20),FIND(" ",MID(B109,4,20))+1,20),3))&amp;IF(ISERR(FIND(" ",MID(B109,4,20),FIND(" ",MID(B109,4,20))+1)),"","-"&amp;LEFT(MID(MID(B109,4,20),FIND(" ",MID(B109,4,20),FIND(" ",MID(B109,4,20))+1)+1,20),3)))</f>
        <v>FCACC-CO-EX-NI-3-COMPO-ORG</v>
      </c>
      <c r="B109" s="9" t="s">
        <v>114</v>
      </c>
      <c r="C109" s="10">
        <v>4</v>
      </c>
      <c r="D109" s="6">
        <v>16</v>
      </c>
      <c r="E109" s="10" t="s">
        <v>105</v>
      </c>
      <c r="F109" s="5" t="str">
        <f>_xlfn.XLOOKUP(TAB_H_MAE_ASIG[[#This Row],[ID_CARRERA]],MAE_CARRERA[ID_CARRERA],MAE_CARRERA[NOMBRE_CARRERA])</f>
        <v>COMERCIO EXTERIOR</v>
      </c>
      <c r="G109" s="10">
        <v>3</v>
      </c>
    </row>
    <row r="110" spans="1:7" ht="12.75" customHeight="1">
      <c r="A110" s="2" t="str">
        <f>CONCATENATE(TAB_H_MAE_ASIG[[#This Row],[ID_CARRERA]],"-NI-",TAB_H_MAE_ASIG[[#This Row],[ID_NIVEL]],"-",LEFT(MID(B110,1,20),5)&amp;IF(ISERR(FIND(" ",MID(B110,4,20))),"","-"&amp;LEFT(MID(MID(B110,4,20),FIND(" ",MID(B110,4,20))+1,20),3))&amp;IF(ISERR(FIND(" ",MID(B110,4,20),FIND(" ",MID(B110,4,20))+1)),"","-"&amp;LEFT(MID(MID(B110,4,20),FIND(" ",MID(B110,4,20),FIND(" ",MID(B110,4,20))+1)+1,20),3)))</f>
        <v>FCACC-CO-EX-NI-3-ESTAD</v>
      </c>
      <c r="B110" s="9" t="s">
        <v>115</v>
      </c>
      <c r="C110" s="10">
        <v>4</v>
      </c>
      <c r="D110" s="6">
        <v>16</v>
      </c>
      <c r="E110" s="10" t="s">
        <v>105</v>
      </c>
      <c r="F110" s="5" t="str">
        <f>_xlfn.XLOOKUP(TAB_H_MAE_ASIG[[#This Row],[ID_CARRERA]],MAE_CARRERA[ID_CARRERA],MAE_CARRERA[NOMBRE_CARRERA])</f>
        <v>COMERCIO EXTERIOR</v>
      </c>
      <c r="G110" s="10">
        <v>3</v>
      </c>
    </row>
    <row r="111" spans="1:7" ht="12.75" customHeight="1">
      <c r="A111" s="2" t="str">
        <f>CONCATENATE(TAB_H_MAE_ASIG[[#This Row],[ID_CARRERA]],"-NI-",TAB_H_MAE_ASIG[[#This Row],[ID_NIVEL]],"-",LEFT(MID(B111,1,20),5)&amp;IF(ISERR(FIND(" ",MID(B111,4,20))),"","-"&amp;LEFT(MID(MID(B111,4,20),FIND(" ",MID(B111,4,20))+1,20),3))&amp;IF(ISERR(FIND(" ",MID(B111,4,20),FIND(" ",MID(B111,4,20))+1)),"","-"&amp;LEFT(MID(MID(B111,4,20),FIND(" ",MID(B111,4,20),FIND(" ",MID(B111,4,20))+1)+1,20),3)))</f>
        <v>FCACC-CO-EX-NI-3-MICRO</v>
      </c>
      <c r="B111" s="9" t="s">
        <v>13</v>
      </c>
      <c r="C111" s="10">
        <v>4</v>
      </c>
      <c r="D111" s="6">
        <v>16</v>
      </c>
      <c r="E111" s="10" t="s">
        <v>105</v>
      </c>
      <c r="F111" s="5" t="str">
        <f>_xlfn.XLOOKUP(TAB_H_MAE_ASIG[[#This Row],[ID_CARRERA]],MAE_CARRERA[ID_CARRERA],MAE_CARRERA[NOMBRE_CARRERA])</f>
        <v>COMERCIO EXTERIOR</v>
      </c>
      <c r="G111" s="10">
        <v>3</v>
      </c>
    </row>
    <row r="112" spans="1:7" ht="12.75" customHeight="1">
      <c r="A112" s="2" t="str">
        <f>CONCATENATE(TAB_H_MAE_ASIG[[#This Row],[ID_CARRERA]],"-NI-",TAB_H_MAE_ASIG[[#This Row],[ID_NIVEL]],"-",LEFT(MID(B112,1,20),5)&amp;IF(ISERR(FIND(" ",MID(B112,4,20))),"","-"&amp;LEFT(MID(MID(B112,4,20),FIND(" ",MID(B112,4,20))+1,20),3))&amp;IF(ISERR(FIND(" ",MID(B112,4,20),FIND(" ",MID(B112,4,20))+1)),"","-"&amp;LEFT(MID(MID(B112,4,20),FIND(" ",MID(B112,4,20),FIND(" ",MID(B112,4,20))+1)+1,20),3)))</f>
        <v>FCACC-CO-EX-NI-3-DEREC-CON-</v>
      </c>
      <c r="B112" s="9" t="s">
        <v>116</v>
      </c>
      <c r="C112" s="10">
        <v>3</v>
      </c>
      <c r="D112" s="6">
        <v>16</v>
      </c>
      <c r="E112" s="10" t="s">
        <v>105</v>
      </c>
      <c r="F112" s="5" t="str">
        <f>_xlfn.XLOOKUP(TAB_H_MAE_ASIG[[#This Row],[ID_CARRERA]],MAE_CARRERA[ID_CARRERA],MAE_CARRERA[NOMBRE_CARRERA])</f>
        <v>COMERCIO EXTERIOR</v>
      </c>
      <c r="G112" s="10">
        <v>3</v>
      </c>
    </row>
    <row r="113" spans="1:7" ht="12.75" customHeight="1">
      <c r="A113" s="2" t="str">
        <f>CONCATENATE(TAB_H_MAE_ASIG[[#This Row],[ID_CARRERA]],"-NI-",TAB_H_MAE_ASIG[[#This Row],[ID_NIVEL]],"-",LEFT(MID(B113,1,20),5)&amp;IF(ISERR(FIND(" ",MID(B113,4,20))),"","-"&amp;LEFT(MID(MID(B113,4,20),FIND(" ",MID(B113,4,20))+1,20),3))&amp;IF(ISERR(FIND(" ",MID(B113,4,20),FIND(" ",MID(B113,4,20))+1)),"","-"&amp;LEFT(MID(MID(B113,4,20),FIND(" ",MID(B113,4,20),FIND(" ",MID(B113,4,20))+1)+1,20),3)))</f>
        <v xml:space="preserve">FCACC-CO-EX-NI-3-TEORI-DE -LA </v>
      </c>
      <c r="B113" s="9" t="s">
        <v>117</v>
      </c>
      <c r="C113" s="10">
        <v>5</v>
      </c>
      <c r="D113" s="6">
        <v>16</v>
      </c>
      <c r="E113" s="10" t="s">
        <v>105</v>
      </c>
      <c r="F113" s="5" t="str">
        <f>_xlfn.XLOOKUP(TAB_H_MAE_ASIG[[#This Row],[ID_CARRERA]],MAE_CARRERA[ID_CARRERA],MAE_CARRERA[NOMBRE_CARRERA])</f>
        <v>COMERCIO EXTERIOR</v>
      </c>
      <c r="G113" s="10">
        <v>3</v>
      </c>
    </row>
    <row r="114" spans="1:7" ht="12.75" customHeight="1">
      <c r="A114" s="2" t="str">
        <f>CONCATENATE(TAB_H_MAE_ASIG[[#This Row],[ID_CARRERA]],"-NI-",TAB_H_MAE_ASIG[[#This Row],[ID_NIVEL]],"-",LEFT(MID(B114,1,20),5)&amp;IF(ISERR(FIND(" ",MID(B114,4,20))),"","-"&amp;LEFT(MID(MID(B114,4,20),FIND(" ",MID(B114,4,20))+1,20),3))&amp;IF(ISERR(FIND(" ",MID(B114,4,20),FIND(" ",MID(B114,4,20))+1)),"","-"&amp;LEFT(MID(MID(B114,4,20),FIND(" ",MID(B114,4,20),FIND(" ",MID(B114,4,20))+1)+1,20),3)))</f>
        <v>FCACC-CO-EX-NI-3-FINAN-COR</v>
      </c>
      <c r="B114" s="9" t="s">
        <v>36</v>
      </c>
      <c r="C114" s="10">
        <v>4</v>
      </c>
      <c r="D114" s="6">
        <v>16</v>
      </c>
      <c r="E114" s="10" t="s">
        <v>105</v>
      </c>
      <c r="F114" s="5" t="str">
        <f>_xlfn.XLOOKUP(TAB_H_MAE_ASIG[[#This Row],[ID_CARRERA]],MAE_CARRERA[ID_CARRERA],MAE_CARRERA[NOMBRE_CARRERA])</f>
        <v>COMERCIO EXTERIOR</v>
      </c>
      <c r="G114" s="10">
        <v>3</v>
      </c>
    </row>
    <row r="115" spans="1:7" ht="12.75" customHeight="1">
      <c r="A115" s="2" t="str">
        <f>CONCATENATE(TAB_H_MAE_ASIG[[#This Row],[ID_CARRERA]],"-NI-",TAB_H_MAE_ASIG[[#This Row],[ID_NIVEL]],"-",LEFT(MID(B115,1,20),5)&amp;IF(ISERR(FIND(" ",MID(B115,4,20))),"","-"&amp;LEFT(MID(MID(B115,4,20),FIND(" ",MID(B115,4,20))+1,20),3))&amp;IF(ISERR(FIND(" ",MID(B115,4,20),FIND(" ",MID(B115,4,20))+1)),"","-"&amp;LEFT(MID(MID(B115,4,20),FIND(" ",MID(B115,4,20),FIND(" ",MID(B115,4,20))+1)+1,20),3)))</f>
        <v>FCACC-CO-EX-NI-4-MACRO</v>
      </c>
      <c r="B115" s="9" t="s">
        <v>18</v>
      </c>
      <c r="C115" s="10">
        <v>5</v>
      </c>
      <c r="D115" s="6">
        <v>16</v>
      </c>
      <c r="E115" s="10" t="s">
        <v>105</v>
      </c>
      <c r="F115" s="5" t="str">
        <f>_xlfn.XLOOKUP(TAB_H_MAE_ASIG[[#This Row],[ID_CARRERA]],MAE_CARRERA[ID_CARRERA],MAE_CARRERA[NOMBRE_CARRERA])</f>
        <v>COMERCIO EXTERIOR</v>
      </c>
      <c r="G115" s="10">
        <v>4</v>
      </c>
    </row>
    <row r="116" spans="1:7" ht="12.75" customHeight="1">
      <c r="A116" s="2" t="str">
        <f>CONCATENATE(TAB_H_MAE_ASIG[[#This Row],[ID_CARRERA]],"-NI-",TAB_H_MAE_ASIG[[#This Row],[ID_NIVEL]],"-",LEFT(MID(B116,1,20),5)&amp;IF(ISERR(FIND(" ",MID(B116,4,20))),"","-"&amp;LEFT(MID(MID(B116,4,20),FIND(" ",MID(B116,4,20))+1,20),3))&amp;IF(ISERR(FIND(" ",MID(B116,4,20),FIND(" ",MID(B116,4,20))+1)),"","-"&amp;LEFT(MID(MID(B116,4,20),FIND(" ",MID(B116,4,20),FIND(" ",MID(B116,4,20))+1)+1,20),3)))</f>
        <v>FCACC-CO-EX-NI-4-MECAN-DE -INT</v>
      </c>
      <c r="B116" s="9" t="s">
        <v>118</v>
      </c>
      <c r="C116" s="10">
        <v>4</v>
      </c>
      <c r="D116" s="6">
        <v>16</v>
      </c>
      <c r="E116" s="10" t="s">
        <v>105</v>
      </c>
      <c r="F116" s="5" t="str">
        <f>_xlfn.XLOOKUP(TAB_H_MAE_ASIG[[#This Row],[ID_CARRERA]],MAE_CARRERA[ID_CARRERA],MAE_CARRERA[NOMBRE_CARRERA])</f>
        <v>COMERCIO EXTERIOR</v>
      </c>
      <c r="G116" s="10">
        <v>4</v>
      </c>
    </row>
    <row r="117" spans="1:7" ht="12.75" customHeight="1">
      <c r="A117" s="2" t="str">
        <f>CONCATENATE(TAB_H_MAE_ASIG[[#This Row],[ID_CARRERA]],"-NI-",TAB_H_MAE_ASIG[[#This Row],[ID_NIVEL]],"-",LEFT(MID(B117,1,20),5)&amp;IF(ISERR(FIND(" ",MID(B117,4,20))),"","-"&amp;LEFT(MID(MID(B117,4,20),FIND(" ",MID(B117,4,20))+1,20),3))&amp;IF(ISERR(FIND(" ",MID(B117,4,20),FIND(" ",MID(B117,4,20))+1)),"","-"&amp;LEFT(MID(MID(B117,4,20),FIND(" ",MID(B117,4,20),FIND(" ",MID(B117,4,20))+1)+1,20),3)))</f>
        <v>FCACC-CO-EX-NI-4-INVES-OPE</v>
      </c>
      <c r="B117" s="9" t="s">
        <v>119</v>
      </c>
      <c r="C117" s="10">
        <v>5</v>
      </c>
      <c r="D117" s="6">
        <v>16</v>
      </c>
      <c r="E117" s="10" t="s">
        <v>105</v>
      </c>
      <c r="F117" s="5" t="str">
        <f>_xlfn.XLOOKUP(TAB_H_MAE_ASIG[[#This Row],[ID_CARRERA]],MAE_CARRERA[ID_CARRERA],MAE_CARRERA[NOMBRE_CARRERA])</f>
        <v>COMERCIO EXTERIOR</v>
      </c>
      <c r="G117" s="10">
        <v>4</v>
      </c>
    </row>
    <row r="118" spans="1:7" ht="12.75" customHeight="1">
      <c r="A118" s="2" t="str">
        <f>CONCATENATE(TAB_H_MAE_ASIG[[#This Row],[ID_CARRERA]],"-NI-",TAB_H_MAE_ASIG[[#This Row],[ID_NIVEL]],"-",LEFT(MID(B118,1,20),5)&amp;IF(ISERR(FIND(" ",MID(B118,4,20))),"","-"&amp;LEFT(MID(MID(B118,4,20),FIND(" ",MID(B118,4,20))+1,20),3))&amp;IF(ISERR(FIND(" ",MID(B118,4,20),FIND(" ",MID(B118,4,20))+1)),"","-"&amp;LEFT(MID(MID(B118,4,20),FIND(" ",MID(B118,4,20),FIND(" ",MID(B118,4,20))+1)+1,20),3)))</f>
        <v>FCACC-CO-EX-NI-4-GESTI-LOG-EMP</v>
      </c>
      <c r="B118" s="9" t="s">
        <v>120</v>
      </c>
      <c r="C118" s="10">
        <v>4</v>
      </c>
      <c r="D118" s="6">
        <v>16</v>
      </c>
      <c r="E118" s="10" t="s">
        <v>105</v>
      </c>
      <c r="F118" s="5" t="str">
        <f>_xlfn.XLOOKUP(TAB_H_MAE_ASIG[[#This Row],[ID_CARRERA]],MAE_CARRERA[ID_CARRERA],MAE_CARRERA[NOMBRE_CARRERA])</f>
        <v>COMERCIO EXTERIOR</v>
      </c>
      <c r="G118" s="10">
        <v>4</v>
      </c>
    </row>
    <row r="119" spans="1:7" ht="12.75" customHeight="1">
      <c r="A119" s="2" t="str">
        <f>CONCATENATE(TAB_H_MAE_ASIG[[#This Row],[ID_CARRERA]],"-NI-",TAB_H_MAE_ASIG[[#This Row],[ID_NIVEL]],"-",LEFT(MID(B119,1,20),5)&amp;IF(ISERR(FIND(" ",MID(B119,4,20))),"","-"&amp;LEFT(MID(MID(B119,4,20),FIND(" ",MID(B119,4,20))+1,20),3))&amp;IF(ISERR(FIND(" ",MID(B119,4,20),FIND(" ",MID(B119,4,20))+1)),"","-"&amp;LEFT(MID(MID(B119,4,20),FIND(" ",MID(B119,4,20),FIND(" ",MID(B119,4,20))+1)+1,20),3)))</f>
        <v>FCACC-CO-EX-NI-4-COMER-JUS-Y S</v>
      </c>
      <c r="B119" s="9" t="s">
        <v>121</v>
      </c>
      <c r="C119" s="10">
        <v>4</v>
      </c>
      <c r="D119" s="6">
        <v>16</v>
      </c>
      <c r="E119" s="10" t="s">
        <v>105</v>
      </c>
      <c r="F119" s="5" t="str">
        <f>_xlfn.XLOOKUP(TAB_H_MAE_ASIG[[#This Row],[ID_CARRERA]],MAE_CARRERA[ID_CARRERA],MAE_CARRERA[NOMBRE_CARRERA])</f>
        <v>COMERCIO EXTERIOR</v>
      </c>
      <c r="G119" s="10">
        <v>4</v>
      </c>
    </row>
    <row r="120" spans="1:7" ht="12.75" customHeight="1">
      <c r="A120" s="2" t="str">
        <f>CONCATENATE(TAB_H_MAE_ASIG[[#This Row],[ID_CARRERA]],"-NI-",TAB_H_MAE_ASIG[[#This Row],[ID_NIVEL]],"-",LEFT(MID(B120,1,20),5)&amp;IF(ISERR(FIND(" ",MID(B120,4,20))),"","-"&amp;LEFT(MID(MID(B120,4,20),FIND(" ",MID(B120,4,20))+1,20),3))&amp;IF(ISERR(FIND(" ",MID(B120,4,20),FIND(" ",MID(B120,4,20))+1)),"","-"&amp;LEFT(MID(MID(B120,4,20),FIND(" ",MID(B120,4,20),FIND(" ",MID(B120,4,20))+1)+1,20),3)))</f>
        <v>FCACC-CO-EX-NI-5-PLANE-EST</v>
      </c>
      <c r="B120" s="9" t="s">
        <v>122</v>
      </c>
      <c r="C120" s="10">
        <v>4</v>
      </c>
      <c r="D120" s="6">
        <v>16</v>
      </c>
      <c r="E120" s="10" t="s">
        <v>105</v>
      </c>
      <c r="F120" s="5" t="str">
        <f>_xlfn.XLOOKUP(TAB_H_MAE_ASIG[[#This Row],[ID_CARRERA]],MAE_CARRERA[ID_CARRERA],MAE_CARRERA[NOMBRE_CARRERA])</f>
        <v>COMERCIO EXTERIOR</v>
      </c>
      <c r="G120" s="10">
        <v>5</v>
      </c>
    </row>
    <row r="121" spans="1:7" ht="12.75" customHeight="1">
      <c r="A121" s="2" t="str">
        <f>CONCATENATE(TAB_H_MAE_ASIG[[#This Row],[ID_CARRERA]],"-NI-",TAB_H_MAE_ASIG[[#This Row],[ID_NIVEL]],"-",LEFT(MID(B121,1,20),5)&amp;IF(ISERR(FIND(" ",MID(B121,4,20))),"","-"&amp;LEFT(MID(MID(B121,4,20),FIND(" ",MID(B121,4,20))+1,20),3))&amp;IF(ISERR(FIND(" ",MID(B121,4,20),FIND(" ",MID(B121,4,20))+1)),"","-"&amp;LEFT(MID(MID(B121,4,20),FIND(" ",MID(B121,4,20),FIND(" ",MID(B121,4,20))+1)+1,20),3)))</f>
        <v>FCACC-CO-EX-NI-5-FORMU-Y E-ELA</v>
      </c>
      <c r="B121" s="9" t="s">
        <v>123</v>
      </c>
      <c r="C121" s="10">
        <v>4</v>
      </c>
      <c r="D121" s="6">
        <v>16</v>
      </c>
      <c r="E121" s="10" t="s">
        <v>105</v>
      </c>
      <c r="F121" s="5" t="str">
        <f>_xlfn.XLOOKUP(TAB_H_MAE_ASIG[[#This Row],[ID_CARRERA]],MAE_CARRERA[ID_CARRERA],MAE_CARRERA[NOMBRE_CARRERA])</f>
        <v>COMERCIO EXTERIOR</v>
      </c>
      <c r="G121" s="10">
        <v>5</v>
      </c>
    </row>
    <row r="122" spans="1:7" ht="12.75" customHeight="1">
      <c r="A122" s="2" t="str">
        <f>CONCATENATE(TAB_H_MAE_ASIG[[#This Row],[ID_CARRERA]],"-NI-",TAB_H_MAE_ASIG[[#This Row],[ID_NIVEL]],"-",LEFT(MID(B122,1,20),5)&amp;IF(ISERR(FIND(" ",MID(B122,4,20))),"","-"&amp;LEFT(MID(MID(B122,4,20),FIND(" ",MID(B122,4,20))+1,20),3))&amp;IF(ISERR(FIND(" ",MID(B122,4,20),FIND(" ",MID(B122,4,20))+1)),"","-"&amp;LEFT(MID(MID(B122,4,20),FIND(" ",MID(B122,4,20),FIND(" ",MID(B122,4,20))+1)+1,20),3)))</f>
        <v>FCACC-CO-EX-NI-5-RELAC-ECO-I</v>
      </c>
      <c r="B122" s="9" t="s">
        <v>124</v>
      </c>
      <c r="C122" s="10">
        <v>4</v>
      </c>
      <c r="D122" s="6">
        <v>16</v>
      </c>
      <c r="E122" s="10" t="s">
        <v>105</v>
      </c>
      <c r="F122" s="5" t="str">
        <f>_xlfn.XLOOKUP(TAB_H_MAE_ASIG[[#This Row],[ID_CARRERA]],MAE_CARRERA[ID_CARRERA],MAE_CARRERA[NOMBRE_CARRERA])</f>
        <v>COMERCIO EXTERIOR</v>
      </c>
      <c r="G122" s="10">
        <v>5</v>
      </c>
    </row>
    <row r="123" spans="1:7" ht="12.75" customHeight="1">
      <c r="A123" s="2" t="str">
        <f>CONCATENATE(TAB_H_MAE_ASIG[[#This Row],[ID_CARRERA]],"-NI-",TAB_H_MAE_ASIG[[#This Row],[ID_NIVEL]],"-",LEFT(MID(B123,1,20),5)&amp;IF(ISERR(FIND(" ",MID(B123,4,20))),"","-"&amp;LEFT(MID(MID(B123,4,20),FIND(" ",MID(B123,4,20))+1,20),3))&amp;IF(ISERR(FIND(" ",MID(B123,4,20),FIND(" ",MID(B123,4,20))+1)),"","-"&amp;LEFT(MID(MID(B123,4,20),FIND(" ",MID(B123,4,20),FIND(" ",MID(B123,4,20))+1)+1,20),3)))</f>
        <v>FCACC-CO-EX-NI-5-GESTI-AMB-DEL</v>
      </c>
      <c r="B123" s="9" t="s">
        <v>125</v>
      </c>
      <c r="C123" s="10">
        <v>3</v>
      </c>
      <c r="D123" s="6">
        <v>16</v>
      </c>
      <c r="E123" s="10" t="s">
        <v>105</v>
      </c>
      <c r="F123" s="5" t="str">
        <f>_xlfn.XLOOKUP(TAB_H_MAE_ASIG[[#This Row],[ID_CARRERA]],MAE_CARRERA[ID_CARRERA],MAE_CARRERA[NOMBRE_CARRERA])</f>
        <v>COMERCIO EXTERIOR</v>
      </c>
      <c r="G123" s="10">
        <v>5</v>
      </c>
    </row>
    <row r="124" spans="1:7" ht="12.75" customHeight="1">
      <c r="A124" s="2" t="str">
        <f>CONCATENATE(TAB_H_MAE_ASIG[[#This Row],[ID_CARRERA]],"-NI-",TAB_H_MAE_ASIG[[#This Row],[ID_NIVEL]],"-",LEFT(MID(B124,1,20),5)&amp;IF(ISERR(FIND(" ",MID(B124,4,20))),"","-"&amp;LEFT(MID(MID(B124,4,20),FIND(" ",MID(B124,4,20))+1,20),3))&amp;IF(ISERR(FIND(" ",MID(B124,4,20),FIND(" ",MID(B124,4,20))+1)),"","-"&amp;LEFT(MID(MID(B124,4,20),FIND(" ",MID(B124,4,20),FIND(" ",MID(B124,4,20))+1)+1,20),3)))</f>
        <v>FCACC-CO-EX-NI-5-INGLÉ-COM-I</v>
      </c>
      <c r="B124" s="9" t="s">
        <v>126</v>
      </c>
      <c r="C124" s="10">
        <v>4</v>
      </c>
      <c r="D124" s="6">
        <v>16</v>
      </c>
      <c r="E124" s="10" t="s">
        <v>105</v>
      </c>
      <c r="F124" s="5" t="str">
        <f>_xlfn.XLOOKUP(TAB_H_MAE_ASIG[[#This Row],[ID_CARRERA]],MAE_CARRERA[ID_CARRERA],MAE_CARRERA[NOMBRE_CARRERA])</f>
        <v>COMERCIO EXTERIOR</v>
      </c>
      <c r="G124" s="10">
        <v>5</v>
      </c>
    </row>
    <row r="125" spans="1:7" ht="12.75" customHeight="1">
      <c r="A125" s="2" t="str">
        <f>CONCATENATE(TAB_H_MAE_ASIG[[#This Row],[ID_CARRERA]],"-NI-",TAB_H_MAE_ASIG[[#This Row],[ID_NIVEL]],"-",LEFT(MID(B125,1,20),5)&amp;IF(ISERR(FIND(" ",MID(B125,4,20))),"","-"&amp;LEFT(MID(MID(B125,4,20),FIND(" ",MID(B125,4,20))+1,20),3))&amp;IF(ISERR(FIND(" ",MID(B125,4,20),FIND(" ",MID(B125,4,20))+1)),"","-"&amp;LEFT(MID(MID(B125,4,20),FIND(" ",MID(B125,4,20),FIND(" ",MID(B125,4,20))+1)+1,20),3)))</f>
        <v>FCACC-CO-EX-NI-5-INVES-DE -MER</v>
      </c>
      <c r="B125" s="9" t="s">
        <v>127</v>
      </c>
      <c r="C125" s="10">
        <v>4</v>
      </c>
      <c r="D125" s="6">
        <v>16</v>
      </c>
      <c r="E125" s="10" t="s">
        <v>105</v>
      </c>
      <c r="F125" s="5" t="str">
        <f>_xlfn.XLOOKUP(TAB_H_MAE_ASIG[[#This Row],[ID_CARRERA]],MAE_CARRERA[ID_CARRERA],MAE_CARRERA[NOMBRE_CARRERA])</f>
        <v>COMERCIO EXTERIOR</v>
      </c>
      <c r="G125" s="10">
        <v>5</v>
      </c>
    </row>
    <row r="126" spans="1:7" ht="12.75" customHeight="1">
      <c r="A126" s="2" t="str">
        <f>CONCATENATE(TAB_H_MAE_ASIG[[#This Row],[ID_CARRERA]],"-NI-",TAB_H_MAE_ASIG[[#This Row],[ID_NIVEL]],"-",LEFT(MID(B126,1,20),5)&amp;IF(ISERR(FIND(" ",MID(B126,4,20))),"","-"&amp;LEFT(MID(MID(B126,4,20),FIND(" ",MID(B126,4,20))+1,20),3))&amp;IF(ISERR(FIND(" ",MID(B126,4,20),FIND(" ",MID(B126,4,20))+1)),"","-"&amp;LEFT(MID(MID(B126,4,20),FIND(" ",MID(B126,4,20),FIND(" ",MID(B126,4,20))+1)+1,20),3)))</f>
        <v>FCACC-CO-EX-NI-6-NOMEN-ARA</v>
      </c>
      <c r="B126" s="9" t="s">
        <v>128</v>
      </c>
      <c r="C126" s="10">
        <v>4</v>
      </c>
      <c r="D126" s="6">
        <v>16</v>
      </c>
      <c r="E126" s="10" t="s">
        <v>105</v>
      </c>
      <c r="F126" s="5" t="str">
        <f>_xlfn.XLOOKUP(TAB_H_MAE_ASIG[[#This Row],[ID_CARRERA]],MAE_CARRERA[ID_CARRERA],MAE_CARRERA[NOMBRE_CARRERA])</f>
        <v>COMERCIO EXTERIOR</v>
      </c>
      <c r="G126" s="10">
        <v>6</v>
      </c>
    </row>
    <row r="127" spans="1:7" ht="12.75" customHeight="1">
      <c r="A127" s="2" t="str">
        <f>CONCATENATE(TAB_H_MAE_ASIG[[#This Row],[ID_CARRERA]],"-NI-",TAB_H_MAE_ASIG[[#This Row],[ID_NIVEL]],"-",LEFT(MID(B127,1,20),5)&amp;IF(ISERR(FIND(" ",MID(B127,4,20))),"","-"&amp;LEFT(MID(MID(B127,4,20),FIND(" ",MID(B127,4,20))+1,20),3))&amp;IF(ISERR(FIND(" ",MID(B127,4,20),FIND(" ",MID(B127,4,20))+1)),"","-"&amp;LEFT(MID(MID(B127,4,20),FIND(" ",MID(B127,4,20),FIND(" ",MID(B127,4,20))+1)+1,20),3)))</f>
        <v>FCACC-CO-EX-NI-6-FINAN-INT</v>
      </c>
      <c r="B127" s="9" t="s">
        <v>129</v>
      </c>
      <c r="C127" s="10">
        <v>4</v>
      </c>
      <c r="D127" s="6">
        <v>16</v>
      </c>
      <c r="E127" s="10" t="s">
        <v>105</v>
      </c>
      <c r="F127" s="5" t="str">
        <f>_xlfn.XLOOKUP(TAB_H_MAE_ASIG[[#This Row],[ID_CARRERA]],MAE_CARRERA[ID_CARRERA],MAE_CARRERA[NOMBRE_CARRERA])</f>
        <v>COMERCIO EXTERIOR</v>
      </c>
      <c r="G127" s="10">
        <v>6</v>
      </c>
    </row>
    <row r="128" spans="1:7" ht="12.75" customHeight="1">
      <c r="A128" s="2" t="str">
        <f>CONCATENATE(TAB_H_MAE_ASIG[[#This Row],[ID_CARRERA]],"-NI-",TAB_H_MAE_ASIG[[#This Row],[ID_NIVEL]],"-",LEFT(MID(B128,1,20),5)&amp;IF(ISERR(FIND(" ",MID(B128,4,20))),"","-"&amp;LEFT(MID(MID(B128,4,20),FIND(" ",MID(B128,4,20))+1,20),3))&amp;IF(ISERR(FIND(" ",MID(B128,4,20),FIND(" ",MID(B128,4,20))+1)),"","-"&amp;LEFT(MID(MID(B128,4,20),FIND(" ",MID(B128,4,20),FIND(" ",MID(B128,4,20))+1)+1,20),3)))</f>
        <v>FCACC-CO-EX-NI-6-GESTI-DE -PRO</v>
      </c>
      <c r="B128" s="9" t="s">
        <v>130</v>
      </c>
      <c r="C128" s="10">
        <v>4</v>
      </c>
      <c r="D128" s="6">
        <v>16</v>
      </c>
      <c r="E128" s="10" t="s">
        <v>105</v>
      </c>
      <c r="F128" s="5" t="str">
        <f>_xlfn.XLOOKUP(TAB_H_MAE_ASIG[[#This Row],[ID_CARRERA]],MAE_CARRERA[ID_CARRERA],MAE_CARRERA[NOMBRE_CARRERA])</f>
        <v>COMERCIO EXTERIOR</v>
      </c>
      <c r="G128" s="10">
        <v>6</v>
      </c>
    </row>
    <row r="129" spans="1:7" ht="12.75" customHeight="1">
      <c r="A129" s="2" t="str">
        <f>CONCATENATE(TAB_H_MAE_ASIG[[#This Row],[ID_CARRERA]],"-NI-",TAB_H_MAE_ASIG[[#This Row],[ID_NIVEL]],"-",LEFT(MID(B129,1,20),5)&amp;IF(ISERR(FIND(" ",MID(B129,4,20))),"","-"&amp;LEFT(MID(MID(B129,4,20),FIND(" ",MID(B129,4,20))+1,20),3))&amp;IF(ISERR(FIND(" ",MID(B129,4,20),FIND(" ",MID(B129,4,20))+1)),"","-"&amp;LEFT(MID(MID(B129,4,20),FIND(" ",MID(B129,4,20),FIND(" ",MID(B129,4,20))+1)+1,20),3)))</f>
        <v>FCACC-CO-EX-NI-6-INGLÉ-COM-II</v>
      </c>
      <c r="B129" s="9" t="s">
        <v>131</v>
      </c>
      <c r="C129" s="10">
        <v>4</v>
      </c>
      <c r="D129" s="6">
        <v>16</v>
      </c>
      <c r="E129" s="10" t="s">
        <v>105</v>
      </c>
      <c r="F129" s="5" t="str">
        <f>_xlfn.XLOOKUP(TAB_H_MAE_ASIG[[#This Row],[ID_CARRERA]],MAE_CARRERA[ID_CARRERA],MAE_CARRERA[NOMBRE_CARRERA])</f>
        <v>COMERCIO EXTERIOR</v>
      </c>
      <c r="G129" s="10">
        <v>6</v>
      </c>
    </row>
    <row r="130" spans="1:7" ht="12.75" customHeight="1">
      <c r="A130" s="2" t="str">
        <f>CONCATENATE(TAB_H_MAE_ASIG[[#This Row],[ID_CARRERA]],"-NI-",TAB_H_MAE_ASIG[[#This Row],[ID_NIVEL]],"-",LEFT(MID(B130,1,20),5)&amp;IF(ISERR(FIND(" ",MID(B130,4,20))),"","-"&amp;LEFT(MID(MID(B130,4,20),FIND(" ",MID(B130,4,20))+1,20),3))&amp;IF(ISERR(FIND(" ",MID(B130,4,20),FIND(" ",MID(B130,4,20))+1)),"","-"&amp;LEFT(MID(MID(B130,4,20),FIND(" ",MID(B130,4,20),FIND(" ",MID(B130,4,20))+1)+1,20),3)))</f>
        <v>FCACC-CO-EX-NI-6-ESTRA-DE -INT</v>
      </c>
      <c r="B130" s="9" t="s">
        <v>132</v>
      </c>
      <c r="C130" s="10">
        <v>3</v>
      </c>
      <c r="D130" s="6">
        <v>16</v>
      </c>
      <c r="E130" s="10" t="s">
        <v>105</v>
      </c>
      <c r="F130" s="5" t="str">
        <f>_xlfn.XLOOKUP(TAB_H_MAE_ASIG[[#This Row],[ID_CARRERA]],MAE_CARRERA[ID_CARRERA],MAE_CARRERA[NOMBRE_CARRERA])</f>
        <v>COMERCIO EXTERIOR</v>
      </c>
      <c r="G130" s="10">
        <v>6</v>
      </c>
    </row>
    <row r="131" spans="1:7" ht="12.75" customHeight="1">
      <c r="A131" s="2" t="str">
        <f>CONCATENATE(TAB_H_MAE_ASIG[[#This Row],[ID_CARRERA]],"-NI-",TAB_H_MAE_ASIG[[#This Row],[ID_NIVEL]],"-",LEFT(MID(B131,1,20),5)&amp;IF(ISERR(FIND(" ",MID(B131,4,20))),"","-"&amp;LEFT(MID(MID(B131,4,20),FIND(" ",MID(B131,4,20))+1,20),3))&amp;IF(ISERR(FIND(" ",MID(B131,4,20),FIND(" ",MID(B131,4,20))+1)),"","-"&amp;LEFT(MID(MID(B131,4,20),FIND(" ",MID(B131,4,20),FIND(" ",MID(B131,4,20))+1)+1,20),3)))</f>
        <v>FCACC-CO-EX-NI-6-MERCA-INT</v>
      </c>
      <c r="B131" s="9" t="s">
        <v>133</v>
      </c>
      <c r="C131" s="10">
        <v>4</v>
      </c>
      <c r="D131" s="6">
        <v>16</v>
      </c>
      <c r="E131" s="10" t="s">
        <v>105</v>
      </c>
      <c r="F131" s="5" t="str">
        <f>_xlfn.XLOOKUP(TAB_H_MAE_ASIG[[#This Row],[ID_CARRERA]],MAE_CARRERA[ID_CARRERA],MAE_CARRERA[NOMBRE_CARRERA])</f>
        <v>COMERCIO EXTERIOR</v>
      </c>
      <c r="G131" s="10">
        <v>6</v>
      </c>
    </row>
    <row r="132" spans="1:7" ht="12.75" customHeight="1">
      <c r="A132" s="2" t="str">
        <f>CONCATENATE(TAB_H_MAE_ASIG[[#This Row],[ID_CARRERA]],"-NI-",TAB_H_MAE_ASIG[[#This Row],[ID_NIVEL]],"-",LEFT(MID(B132,1,20),5)&amp;IF(ISERR(FIND(" ",MID(B132,4,20))),"","-"&amp;LEFT(MID(MID(B132,4,20),FIND(" ",MID(B132,4,20))+1,20),3))&amp;IF(ISERR(FIND(" ",MID(B132,4,20),FIND(" ",MID(B132,4,20))+1)),"","-"&amp;LEFT(MID(MID(B132,4,20),FIND(" ",MID(B132,4,20),FIND(" ",MID(B132,4,20))+1)+1,20),3)))</f>
        <v xml:space="preserve">FCACC-CO-EX-NI-7-ÉTICA-APL-AL </v>
      </c>
      <c r="B132" s="9" t="s">
        <v>134</v>
      </c>
      <c r="C132" s="10">
        <v>4</v>
      </c>
      <c r="D132" s="6">
        <v>16</v>
      </c>
      <c r="E132" s="10" t="s">
        <v>105</v>
      </c>
      <c r="F132" s="5" t="str">
        <f>_xlfn.XLOOKUP(TAB_H_MAE_ASIG[[#This Row],[ID_CARRERA]],MAE_CARRERA[ID_CARRERA],MAE_CARRERA[NOMBRE_CARRERA])</f>
        <v>COMERCIO EXTERIOR</v>
      </c>
      <c r="G132" s="10">
        <v>7</v>
      </c>
    </row>
    <row r="133" spans="1:7" ht="12.75" customHeight="1">
      <c r="A133" s="2" t="str">
        <f>CONCATENATE(TAB_H_MAE_ASIG[[#This Row],[ID_CARRERA]],"-NI-",TAB_H_MAE_ASIG[[#This Row],[ID_NIVEL]],"-",LEFT(MID(B133,1,20),5)&amp;IF(ISERR(FIND(" ",MID(B133,4,20))),"","-"&amp;LEFT(MID(MID(B133,4,20),FIND(" ",MID(B133,4,20))+1,20),3))&amp;IF(ISERR(FIND(" ",MID(B133,4,20),FIND(" ",MID(B133,4,20))+1)),"","-"&amp;LEFT(MID(MID(B133,4,20),FIND(" ",MID(B133,4,20),FIND(" ",MID(B133,4,20))+1)+1,20),3)))</f>
        <v>FCACC-CO-EX-NI-7-PROCE-OPE-ADU</v>
      </c>
      <c r="B133" s="9" t="s">
        <v>135</v>
      </c>
      <c r="C133" s="10">
        <v>4</v>
      </c>
      <c r="D133" s="6">
        <v>16</v>
      </c>
      <c r="E133" s="10" t="s">
        <v>105</v>
      </c>
      <c r="F133" s="5" t="str">
        <f>_xlfn.XLOOKUP(TAB_H_MAE_ASIG[[#This Row],[ID_CARRERA]],MAE_CARRERA[ID_CARRERA],MAE_CARRERA[NOMBRE_CARRERA])</f>
        <v>COMERCIO EXTERIOR</v>
      </c>
      <c r="G133" s="10">
        <v>7</v>
      </c>
    </row>
    <row r="134" spans="1:7" ht="12.75" customHeight="1">
      <c r="A134" s="2" t="str">
        <f>CONCATENATE(TAB_H_MAE_ASIG[[#This Row],[ID_CARRERA]],"-NI-",TAB_H_MAE_ASIG[[#This Row],[ID_NIVEL]],"-",LEFT(MID(B134,1,20),5)&amp;IF(ISERR(FIND(" ",MID(B134,4,20))),"","-"&amp;LEFT(MID(MID(B134,4,20),FIND(" ",MID(B134,4,20))+1,20),3))&amp;IF(ISERR(FIND(" ",MID(B134,4,20),FIND(" ",MID(B134,4,20))+1)),"","-"&amp;LEFT(MID(MID(B134,4,20),FIND(" ",MID(B134,4,20),FIND(" ",MID(B134,4,20))+1)+1,20),3)))</f>
        <v>FCACC-CO-EX-NI-7-OPERA-POR-</v>
      </c>
      <c r="B134" s="9" t="s">
        <v>136</v>
      </c>
      <c r="C134" s="10">
        <v>5</v>
      </c>
      <c r="D134" s="6">
        <v>16</v>
      </c>
      <c r="E134" s="10" t="s">
        <v>105</v>
      </c>
      <c r="F134" s="5" t="str">
        <f>_xlfn.XLOOKUP(TAB_H_MAE_ASIG[[#This Row],[ID_CARRERA]],MAE_CARRERA[ID_CARRERA],MAE_CARRERA[NOMBRE_CARRERA])</f>
        <v>COMERCIO EXTERIOR</v>
      </c>
      <c r="G134" s="10">
        <v>7</v>
      </c>
    </row>
    <row r="135" spans="1:7" ht="12.75" customHeight="1">
      <c r="A135" s="2" t="str">
        <f>CONCATENATE(TAB_H_MAE_ASIG[[#This Row],[ID_CARRERA]],"-NI-",TAB_H_MAE_ASIG[[#This Row],[ID_NIVEL]],"-",LEFT(MID(B135,1,20),5)&amp;IF(ISERR(FIND(" ",MID(B135,4,20))),"","-"&amp;LEFT(MID(MID(B135,4,20),FIND(" ",MID(B135,4,20))+1,20),3))&amp;IF(ISERR(FIND(" ",MID(B135,4,20),FIND(" ",MID(B135,4,20))+1)),"","-"&amp;LEFT(MID(MID(B135,4,20),FIND(" ",MID(B135,4,20),FIND(" ",MID(B135,4,20))+1)+1,20),3)))</f>
        <v>FCACC-CO-EX-NI-7-INGLÉ-COM-III</v>
      </c>
      <c r="B135" s="9" t="s">
        <v>137</v>
      </c>
      <c r="C135" s="10">
        <v>4</v>
      </c>
      <c r="D135" s="6">
        <v>16</v>
      </c>
      <c r="E135" s="10" t="s">
        <v>105</v>
      </c>
      <c r="F135" s="5" t="str">
        <f>_xlfn.XLOOKUP(TAB_H_MAE_ASIG[[#This Row],[ID_CARRERA]],MAE_CARRERA[ID_CARRERA],MAE_CARRERA[NOMBRE_CARRERA])</f>
        <v>COMERCIO EXTERIOR</v>
      </c>
      <c r="G135" s="10">
        <v>7</v>
      </c>
    </row>
    <row r="136" spans="1:7" ht="12.75" customHeight="1">
      <c r="A136" s="2" t="str">
        <f>CONCATENATE(TAB_H_MAE_ASIG[[#This Row],[ID_CARRERA]],"-NI-",TAB_H_MAE_ASIG[[#This Row],[ID_NIVEL]],"-",LEFT(MID(B136,1,20),5)&amp;IF(ISERR(FIND(" ",MID(B136,4,20))),"","-"&amp;LEFT(MID(MID(B136,4,20),FIND(" ",MID(B136,4,20))+1,20),3))&amp;IF(ISERR(FIND(" ",MID(B136,4,20),FIND(" ",MID(B136,4,20))+1)),"","-"&amp;LEFT(MID(MID(B136,4,20),FIND(" ",MID(B136,4,20),FIND(" ",MID(B136,4,20))+1)+1,20),3)))</f>
        <v>FCACC-CO-EX-NI-7-DESAR-LOC-Y E</v>
      </c>
      <c r="B136" s="9" t="s">
        <v>138</v>
      </c>
      <c r="C136" s="10">
        <v>4</v>
      </c>
      <c r="D136" s="6">
        <v>16</v>
      </c>
      <c r="E136" s="10" t="s">
        <v>105</v>
      </c>
      <c r="F136" s="5" t="str">
        <f>_xlfn.XLOOKUP(TAB_H_MAE_ASIG[[#This Row],[ID_CARRERA]],MAE_CARRERA[ID_CARRERA],MAE_CARRERA[NOMBRE_CARRERA])</f>
        <v>COMERCIO EXTERIOR</v>
      </c>
      <c r="G136" s="10">
        <v>7</v>
      </c>
    </row>
    <row r="137" spans="1:7" ht="12.75" customHeight="1">
      <c r="A137" s="2" t="str">
        <f>CONCATENATE(TAB_H_MAE_ASIG[[#This Row],[ID_CARRERA]],"-NI-",TAB_H_MAE_ASIG[[#This Row],[ID_NIVEL]],"-",LEFT(MID(B137,1,20),5)&amp;IF(ISERR(FIND(" ",MID(B137,4,20))),"","-"&amp;LEFT(MID(MID(B137,4,20),FIND(" ",MID(B137,4,20))+1,20),3))&amp;IF(ISERR(FIND(" ",MID(B137,4,20),FIND(" ",MID(B137,4,20))+1)),"","-"&amp;LEFT(MID(MID(B137,4,20),FIND(" ",MID(B137,4,20),FIND(" ",MID(B137,4,20))+1)+1,20),3)))</f>
        <v>FCACC-CO-EX-NI-8-TRÁMI-DE -EXP</v>
      </c>
      <c r="B137" s="9" t="s">
        <v>139</v>
      </c>
      <c r="C137" s="10">
        <v>5</v>
      </c>
      <c r="D137" s="6">
        <v>16</v>
      </c>
      <c r="E137" s="10" t="s">
        <v>105</v>
      </c>
      <c r="F137" s="5" t="str">
        <f>_xlfn.XLOOKUP(TAB_H_MAE_ASIG[[#This Row],[ID_CARRERA]],MAE_CARRERA[ID_CARRERA],MAE_CARRERA[NOMBRE_CARRERA])</f>
        <v>COMERCIO EXTERIOR</v>
      </c>
      <c r="G137" s="10">
        <v>8</v>
      </c>
    </row>
    <row r="138" spans="1:7" ht="12.75" customHeight="1">
      <c r="A138" s="2" t="str">
        <f>CONCATENATE(TAB_H_MAE_ASIG[[#This Row],[ID_CARRERA]],"-NI-",TAB_H_MAE_ASIG[[#This Row],[ID_NIVEL]],"-",LEFT(MID(B138,1,20),5)&amp;IF(ISERR(FIND(" ",MID(B138,4,20))),"","-"&amp;LEFT(MID(MID(B138,4,20),FIND(" ",MID(B138,4,20))+1,20),3))&amp;IF(ISERR(FIND(" ",MID(B138,4,20),FIND(" ",MID(B138,4,20))+1)),"","-"&amp;LEFT(MID(MID(B138,4,20),FIND(" ",MID(B138,4,20),FIND(" ",MID(B138,4,20))+1)+1,20),3)))</f>
        <v xml:space="preserve">FCACC-CO-EX-NI-8-GESTI-DE -LA </v>
      </c>
      <c r="B138" s="9" t="s">
        <v>27</v>
      </c>
      <c r="C138" s="10">
        <v>5</v>
      </c>
      <c r="D138" s="6">
        <v>16</v>
      </c>
      <c r="E138" s="10" t="s">
        <v>105</v>
      </c>
      <c r="F138" s="5" t="str">
        <f>_xlfn.XLOOKUP(TAB_H_MAE_ASIG[[#This Row],[ID_CARRERA]],MAE_CARRERA[ID_CARRERA],MAE_CARRERA[NOMBRE_CARRERA])</f>
        <v>COMERCIO EXTERIOR</v>
      </c>
      <c r="G138" s="10">
        <v>8</v>
      </c>
    </row>
    <row r="139" spans="1:7" ht="12.75" customHeight="1">
      <c r="A139" s="2" t="str">
        <f>CONCATENATE(TAB_H_MAE_ASIG[[#This Row],[ID_CARRERA]],"-NI-",TAB_H_MAE_ASIG[[#This Row],[ID_NIVEL]],"-",LEFT(MID(B139,1,20),5)&amp;IF(ISERR(FIND(" ",MID(B139,4,20))),"","-"&amp;LEFT(MID(MID(B139,4,20),FIND(" ",MID(B139,4,20))+1,20),3))&amp;IF(ISERR(FIND(" ",MID(B139,4,20),FIND(" ",MID(B139,4,20))+1)),"","-"&amp;LEFT(MID(MID(B139,4,20),FIND(" ",MID(B139,4,20),FIND(" ",MID(B139,4,20))+1)+1,20),3)))</f>
        <v>FCACC-CO-EX-NI-8-LOGÍS-INT</v>
      </c>
      <c r="B139" s="9" t="s">
        <v>140</v>
      </c>
      <c r="C139" s="10">
        <v>6</v>
      </c>
      <c r="D139" s="6">
        <v>16</v>
      </c>
      <c r="E139" s="10" t="s">
        <v>105</v>
      </c>
      <c r="F139" s="5" t="str">
        <f>_xlfn.XLOOKUP(TAB_H_MAE_ASIG[[#This Row],[ID_CARRERA]],MAE_CARRERA[ID_CARRERA],MAE_CARRERA[NOMBRE_CARRERA])</f>
        <v>COMERCIO EXTERIOR</v>
      </c>
      <c r="G139" s="10">
        <v>8</v>
      </c>
    </row>
    <row r="140" spans="1:7" ht="12.75" customHeight="1">
      <c r="A140" s="2" t="str">
        <f>CONCATENATE(TAB_H_MAE_ASIG[[#This Row],[ID_CARRERA]],"-NI-",TAB_H_MAE_ASIG[[#This Row],[ID_NIVEL]],"-",LEFT(MID(B140,1,20),5)&amp;IF(ISERR(FIND(" ",MID(B140,4,20))),"","-"&amp;LEFT(MID(MID(B140,4,20),FIND(" ",MID(B140,4,20))+1,20),3))&amp;IF(ISERR(FIND(" ",MID(B140,4,20),FIND(" ",MID(B140,4,20))+1)),"","-"&amp;LEFT(MID(MID(B140,4,20),FIND(" ",MID(B140,4,20),FIND(" ",MID(B140,4,20))+1)+1,20),3)))</f>
        <v>FCACC-CO-EX-NI-8-NEGOC-INT</v>
      </c>
      <c r="B140" s="9" t="s">
        <v>141</v>
      </c>
      <c r="C140" s="10">
        <v>4</v>
      </c>
      <c r="D140" s="6">
        <v>16</v>
      </c>
      <c r="E140" s="10" t="s">
        <v>105</v>
      </c>
      <c r="F140" s="5" t="str">
        <f>_xlfn.XLOOKUP(TAB_H_MAE_ASIG[[#This Row],[ID_CARRERA]],MAE_CARRERA[ID_CARRERA],MAE_CARRERA[NOMBRE_CARRERA])</f>
        <v>COMERCIO EXTERIOR</v>
      </c>
      <c r="G140" s="10">
        <v>8</v>
      </c>
    </row>
    <row r="141" spans="1:7" ht="12.75" customHeight="1">
      <c r="A141" s="2" t="str">
        <f>CONCATENATE(TAB_H_MAE_ASIG[[#This Row],[ID_CARRERA]],"-NI-",TAB_H_MAE_ASIG[[#This Row],[ID_NIVEL]],"-",LEFT(MID(B141,1,20),5)&amp;IF(ISERR(FIND(" ",MID(B141,4,20))),"","-"&amp;LEFT(MID(MID(B141,4,20),FIND(" ",MID(B141,4,20))+1,20),3))&amp;IF(ISERR(FIND(" ",MID(B141,4,20),FIND(" ",MID(B141,4,20))+1)),"","-"&amp;LEFT(MID(MID(B141,4,20),FIND(" ",MID(B141,4,20),FIND(" ",MID(B141,4,20))+1)+1,20),3)))</f>
        <v>FCACC-CO-AD-NI-1-CONTA-BÁS</v>
      </c>
      <c r="B141" s="7" t="s">
        <v>142</v>
      </c>
      <c r="C141" s="2">
        <v>7</v>
      </c>
      <c r="D141" s="6">
        <v>16</v>
      </c>
      <c r="E141" s="2" t="s">
        <v>143</v>
      </c>
      <c r="F141" s="5" t="str">
        <f>_xlfn.XLOOKUP(TAB_H_MAE_ASIG[[#This Row],[ID_CARRERA]],MAE_CARRERA[ID_CARRERA],MAE_CARRERA[NOMBRE_CARRERA])</f>
        <v>CONTABILIDAD Y AUDITORÍA 2024 NS</v>
      </c>
      <c r="G141" s="2">
        <v>1</v>
      </c>
    </row>
    <row r="142" spans="1:7" ht="12.75" customHeight="1">
      <c r="A142" s="2" t="str">
        <f>CONCATENATE(TAB_H_MAE_ASIG[[#This Row],[ID_CARRERA]],"-NI-",TAB_H_MAE_ASIG[[#This Row],[ID_NIVEL]],"-",LEFT(MID(B142,1,20),5)&amp;IF(ISERR(FIND(" ",MID(B142,4,20))),"","-"&amp;LEFT(MID(MID(B142,4,20),FIND(" ",MID(B142,4,20))+1,20),3))&amp;IF(ISERR(FIND(" ",MID(B142,4,20),FIND(" ",MID(B142,4,20))+1)),"","-"&amp;LEFT(MID(MID(B142,4,20),FIND(" ",MID(B142,4,20),FIND(" ",MID(B142,4,20))+1)+1,20),3)))</f>
        <v>FCACC-CO-AD-NI-1-MATEM</v>
      </c>
      <c r="B142" s="7" t="s">
        <v>108</v>
      </c>
      <c r="C142" s="2">
        <v>5</v>
      </c>
      <c r="D142" s="6">
        <v>16</v>
      </c>
      <c r="E142" s="2" t="s">
        <v>143</v>
      </c>
      <c r="F142" s="5" t="str">
        <f>_xlfn.XLOOKUP(TAB_H_MAE_ASIG[[#This Row],[ID_CARRERA]],MAE_CARRERA[ID_CARRERA],MAE_CARRERA[NOMBRE_CARRERA])</f>
        <v>CONTABILIDAD Y AUDITORÍA 2024 NS</v>
      </c>
      <c r="G142" s="2">
        <v>1</v>
      </c>
    </row>
    <row r="143" spans="1:7" ht="12.75" customHeight="1">
      <c r="A143" s="2" t="str">
        <f>CONCATENATE(TAB_H_MAE_ASIG[[#This Row],[ID_CARRERA]],"-NI-",TAB_H_MAE_ASIG[[#This Row],[ID_NIVEL]],"-",LEFT(MID(B143,1,20),5)&amp;IF(ISERR(FIND(" ",MID(B143,4,20))),"","-"&amp;LEFT(MID(MID(B143,4,20),FIND(" ",MID(B143,4,20))+1,20),3))&amp;IF(ISERR(FIND(" ",MID(B143,4,20),FIND(" ",MID(B143,4,20))+1)),"","-"&amp;LEFT(MID(MID(B143,4,20),FIND(" ",MID(B143,4,20),FIND(" ",MID(B143,4,20))+1)+1,20),3)))</f>
        <v xml:space="preserve">FCACC-CO-AD-NI-1-METOD-DE -LA </v>
      </c>
      <c r="B143" s="7" t="s">
        <v>12</v>
      </c>
      <c r="C143" s="2">
        <v>3</v>
      </c>
      <c r="D143" s="6">
        <v>16</v>
      </c>
      <c r="E143" s="2" t="s">
        <v>143</v>
      </c>
      <c r="F143" s="5" t="str">
        <f>_xlfn.XLOOKUP(TAB_H_MAE_ASIG[[#This Row],[ID_CARRERA]],MAE_CARRERA[ID_CARRERA],MAE_CARRERA[NOMBRE_CARRERA])</f>
        <v>CONTABILIDAD Y AUDITORÍA 2024 NS</v>
      </c>
      <c r="G143" s="2">
        <v>1</v>
      </c>
    </row>
    <row r="144" spans="1:7" ht="12.75" customHeight="1">
      <c r="A144" s="2" t="str">
        <f>CONCATENATE(TAB_H_MAE_ASIG[[#This Row],[ID_CARRERA]],"-NI-",TAB_H_MAE_ASIG[[#This Row],[ID_NIVEL]],"-",LEFT(MID(B144,1,20),5)&amp;IF(ISERR(FIND(" ",MID(B144,4,20))),"","-"&amp;LEFT(MID(MID(B144,4,20),FIND(" ",MID(B144,4,20))+1,20),3))&amp;IF(ISERR(FIND(" ",MID(B144,4,20),FIND(" ",MID(B144,4,20))+1)),"","-"&amp;LEFT(MID(MID(B144,4,20),FIND(" ",MID(B144,4,20),FIND(" ",MID(B144,4,20))+1)+1,20),3)))</f>
        <v>FCACC-CO-AD-NI-1-ADMIN</v>
      </c>
      <c r="B144" s="7" t="s">
        <v>144</v>
      </c>
      <c r="C144" s="2">
        <v>2</v>
      </c>
      <c r="D144" s="6">
        <v>16</v>
      </c>
      <c r="E144" s="2" t="s">
        <v>143</v>
      </c>
      <c r="F144" s="5" t="str">
        <f>_xlfn.XLOOKUP(TAB_H_MAE_ASIG[[#This Row],[ID_CARRERA]],MAE_CARRERA[ID_CARRERA],MAE_CARRERA[NOMBRE_CARRERA])</f>
        <v>CONTABILIDAD Y AUDITORÍA 2024 NS</v>
      </c>
      <c r="G144" s="2">
        <v>1</v>
      </c>
    </row>
    <row r="145" spans="1:7" ht="12.75" customHeight="1">
      <c r="A145" s="2" t="str">
        <f>CONCATENATE(TAB_H_MAE_ASIG[[#This Row],[ID_CARRERA]],"-NI-",TAB_H_MAE_ASIG[[#This Row],[ID_NIVEL]],"-",LEFT(MID(B145,1,20),5)&amp;IF(ISERR(FIND(" ",MID(B145,4,20))),"","-"&amp;LEFT(MID(MID(B145,4,20),FIND(" ",MID(B145,4,20))+1,20),3))&amp;IF(ISERR(FIND(" ",MID(B145,4,20),FIND(" ",MID(B145,4,20))+1)),"","-"&amp;LEFT(MID(MID(B145,4,20),FIND(" ",MID(B145,4,20),FIND(" ",MID(B145,4,20))+1)+1,20),3)))</f>
        <v>FCACC-CO-AD-NI-1-MACRO</v>
      </c>
      <c r="B145" s="7" t="s">
        <v>18</v>
      </c>
      <c r="C145" s="2">
        <v>3</v>
      </c>
      <c r="D145" s="6">
        <v>16</v>
      </c>
      <c r="E145" s="2" t="s">
        <v>143</v>
      </c>
      <c r="F145" s="5" t="str">
        <f>_xlfn.XLOOKUP(TAB_H_MAE_ASIG[[#This Row],[ID_CARRERA]],MAE_CARRERA[ID_CARRERA],MAE_CARRERA[NOMBRE_CARRERA])</f>
        <v>CONTABILIDAD Y AUDITORÍA 2024 NS</v>
      </c>
      <c r="G145" s="2">
        <v>1</v>
      </c>
    </row>
    <row r="146" spans="1:7" ht="12.75" customHeight="1">
      <c r="A146" s="2" t="str">
        <f>CONCATENATE(TAB_H_MAE_ASIG[[#This Row],[ID_CARRERA]],"-NI-",TAB_H_MAE_ASIG[[#This Row],[ID_NIVEL]],"-",LEFT(MID(B146,1,20),5)&amp;IF(ISERR(FIND(" ",MID(B146,4,20))),"","-"&amp;LEFT(MID(MID(B146,4,20),FIND(" ",MID(B146,4,20))+1,20),3))&amp;IF(ISERR(FIND(" ",MID(B146,4,20),FIND(" ",MID(B146,4,20))+1)),"","-"&amp;LEFT(MID(MID(B146,4,20),FIND(" ",MID(B146,4,20),FIND(" ",MID(B146,4,20))+1)+1,20),3)))</f>
        <v>FCACC-CO-AD-NI-2-LEGIS-LAB</v>
      </c>
      <c r="B146" s="7" t="s">
        <v>55</v>
      </c>
      <c r="C146" s="2">
        <v>3</v>
      </c>
      <c r="D146" s="6">
        <v>16</v>
      </c>
      <c r="E146" s="2" t="s">
        <v>143</v>
      </c>
      <c r="F146" s="5" t="str">
        <f>_xlfn.XLOOKUP(TAB_H_MAE_ASIG[[#This Row],[ID_CARRERA]],MAE_CARRERA[ID_CARRERA],MAE_CARRERA[NOMBRE_CARRERA])</f>
        <v>CONTABILIDAD Y AUDITORÍA 2024 NS</v>
      </c>
      <c r="G146" s="2">
        <v>2</v>
      </c>
    </row>
    <row r="147" spans="1:7" ht="12.75" customHeight="1">
      <c r="A147" s="2" t="str">
        <f>CONCATENATE(TAB_H_MAE_ASIG[[#This Row],[ID_CARRERA]],"-NI-",TAB_H_MAE_ASIG[[#This Row],[ID_NIVEL]],"-",LEFT(MID(B147,1,20),5)&amp;IF(ISERR(FIND(" ",MID(B147,4,20))),"","-"&amp;LEFT(MID(MID(B147,4,20),FIND(" ",MID(B147,4,20))+1,20),3))&amp;IF(ISERR(FIND(" ",MID(B147,4,20),FIND(" ",MID(B147,4,20))+1)),"","-"&amp;LEFT(MID(MID(B147,4,20),FIND(" ",MID(B147,4,20),FIND(" ",MID(B147,4,20))+1)+1,20),3)))</f>
        <v>FCACC-CO-AD-NI-2-CONTA-INT</v>
      </c>
      <c r="B147" s="7" t="s">
        <v>145</v>
      </c>
      <c r="C147" s="2">
        <v>8</v>
      </c>
      <c r="D147" s="6">
        <v>16</v>
      </c>
      <c r="E147" s="2" t="s">
        <v>143</v>
      </c>
      <c r="F147" s="5" t="str">
        <f>_xlfn.XLOOKUP(TAB_H_MAE_ASIG[[#This Row],[ID_CARRERA]],MAE_CARRERA[ID_CARRERA],MAE_CARRERA[NOMBRE_CARRERA])</f>
        <v>CONTABILIDAD Y AUDITORÍA 2024 NS</v>
      </c>
      <c r="G147" s="2">
        <v>2</v>
      </c>
    </row>
    <row r="148" spans="1:7" ht="12.75" customHeight="1">
      <c r="A148" s="2" t="str">
        <f>CONCATENATE(TAB_H_MAE_ASIG[[#This Row],[ID_CARRERA]],"-NI-",TAB_H_MAE_ASIG[[#This Row],[ID_NIVEL]],"-",LEFT(MID(B148,1,20),5)&amp;IF(ISERR(FIND(" ",MID(B148,4,20))),"","-"&amp;LEFT(MID(MID(B148,4,20),FIND(" ",MID(B148,4,20))+1,20),3))&amp;IF(ISERR(FIND(" ",MID(B148,4,20),FIND(" ",MID(B148,4,20))+1)),"","-"&amp;LEFT(MID(MID(B148,4,20),FIND(" ",MID(B148,4,20),FIND(" ",MID(B148,4,20))+1)+1,20),3)))</f>
        <v>FCACC-CO-AD-NI-2-ESTAD-DES</v>
      </c>
      <c r="B148" s="7" t="s">
        <v>52</v>
      </c>
      <c r="C148" s="2">
        <v>2</v>
      </c>
      <c r="D148" s="6">
        <v>16</v>
      </c>
      <c r="E148" s="2" t="s">
        <v>143</v>
      </c>
      <c r="F148" s="5" t="str">
        <f>_xlfn.XLOOKUP(TAB_H_MAE_ASIG[[#This Row],[ID_CARRERA]],MAE_CARRERA[ID_CARRERA],MAE_CARRERA[NOMBRE_CARRERA])</f>
        <v>CONTABILIDAD Y AUDITORÍA 2024 NS</v>
      </c>
      <c r="G148" s="2">
        <v>2</v>
      </c>
    </row>
    <row r="149" spans="1:7" ht="12.75" customHeight="1">
      <c r="A149" s="2" t="str">
        <f>CONCATENATE(TAB_H_MAE_ASIG[[#This Row],[ID_CARRERA]],"-NI-",TAB_H_MAE_ASIG[[#This Row],[ID_NIVEL]],"-",LEFT(MID(B149,1,20),5)&amp;IF(ISERR(FIND(" ",MID(B149,4,20))),"","-"&amp;LEFT(MID(MID(B149,4,20),FIND(" ",MID(B149,4,20))+1,20),3))&amp;IF(ISERR(FIND(" ",MID(B149,4,20),FIND(" ",MID(B149,4,20))+1)),"","-"&amp;LEFT(MID(MID(B149,4,20),FIND(" ",MID(B149,4,20),FIND(" ",MID(B149,4,20))+1)+1,20),3)))</f>
        <v>FCACC-CO-AD-NI-2-LEGIS-MER-Y</v>
      </c>
      <c r="B149" s="7" t="s">
        <v>146</v>
      </c>
      <c r="C149" s="2">
        <v>3</v>
      </c>
      <c r="D149" s="6">
        <v>16</v>
      </c>
      <c r="E149" s="2" t="s">
        <v>143</v>
      </c>
      <c r="F149" s="5" t="str">
        <f>_xlfn.XLOOKUP(TAB_H_MAE_ASIG[[#This Row],[ID_CARRERA]],MAE_CARRERA[ID_CARRERA],MAE_CARRERA[NOMBRE_CARRERA])</f>
        <v>CONTABILIDAD Y AUDITORÍA 2024 NS</v>
      </c>
      <c r="G149" s="2">
        <v>2</v>
      </c>
    </row>
    <row r="150" spans="1:7" ht="12.75" customHeight="1">
      <c r="A150" s="2" t="str">
        <f>CONCATENATE(TAB_H_MAE_ASIG[[#This Row],[ID_CARRERA]],"-NI-",TAB_H_MAE_ASIG[[#This Row],[ID_NIVEL]],"-",LEFT(MID(B150,1,20),5)&amp;IF(ISERR(FIND(" ",MID(B150,4,20))),"","-"&amp;LEFT(MID(MID(B150,4,20),FIND(" ",MID(B150,4,20))+1,20),3))&amp;IF(ISERR(FIND(" ",MID(B150,4,20),FIND(" ",MID(B150,4,20))+1)),"","-"&amp;LEFT(MID(MID(B150,4,20),FIND(" ",MID(B150,4,20),FIND(" ",MID(B150,4,20))+1)+1,20),3)))</f>
        <v>FCACC-CO-AD-NI-2-MATEM-FIN</v>
      </c>
      <c r="B150" s="7" t="s">
        <v>15</v>
      </c>
      <c r="C150" s="2">
        <v>4</v>
      </c>
      <c r="D150" s="6">
        <v>16</v>
      </c>
      <c r="E150" s="2" t="s">
        <v>143</v>
      </c>
      <c r="F150" s="5" t="str">
        <f>_xlfn.XLOOKUP(TAB_H_MAE_ASIG[[#This Row],[ID_CARRERA]],MAE_CARRERA[ID_CARRERA],MAE_CARRERA[NOMBRE_CARRERA])</f>
        <v>CONTABILIDAD Y AUDITORÍA 2024 NS</v>
      </c>
      <c r="G150" s="2">
        <v>2</v>
      </c>
    </row>
    <row r="151" spans="1:7" ht="12.75" customHeight="1">
      <c r="A151" s="2" t="str">
        <f>CONCATENATE(TAB_H_MAE_ASIG[[#This Row],[ID_CARRERA]],"-NI-",TAB_H_MAE_ASIG[[#This Row],[ID_NIVEL]],"-",LEFT(MID(B151,1,20),5)&amp;IF(ISERR(FIND(" ",MID(B151,4,20))),"","-"&amp;LEFT(MID(MID(B151,4,20),FIND(" ",MID(B151,4,20))+1,20),3))&amp;IF(ISERR(FIND(" ",MID(B151,4,20),FIND(" ",MID(B151,4,20))+1)),"","-"&amp;LEFT(MID(MID(B151,4,20),FIND(" ",MID(B151,4,20),FIND(" ",MID(B151,4,20))+1)+1,20),3)))</f>
        <v>FCACC-CO-AD-NI-3-CONTA-AVA</v>
      </c>
      <c r="B151" s="7" t="s">
        <v>147</v>
      </c>
      <c r="C151" s="2">
        <v>5</v>
      </c>
      <c r="D151" s="6">
        <v>16</v>
      </c>
      <c r="E151" s="2" t="s">
        <v>143</v>
      </c>
      <c r="F151" s="5" t="str">
        <f>_xlfn.XLOOKUP(TAB_H_MAE_ASIG[[#This Row],[ID_CARRERA]],MAE_CARRERA[ID_CARRERA],MAE_CARRERA[NOMBRE_CARRERA])</f>
        <v>CONTABILIDAD Y AUDITORÍA 2024 NS</v>
      </c>
      <c r="G151" s="2">
        <v>3</v>
      </c>
    </row>
    <row r="152" spans="1:7" ht="12.75" customHeight="1">
      <c r="A152" s="2" t="str">
        <f>CONCATENATE(TAB_H_MAE_ASIG[[#This Row],[ID_CARRERA]],"-NI-",TAB_H_MAE_ASIG[[#This Row],[ID_NIVEL]],"-",LEFT(MID(B152,1,20),5)&amp;IF(ISERR(FIND(" ",MID(B152,4,20))),"","-"&amp;LEFT(MID(MID(B152,4,20),FIND(" ",MID(B152,4,20))+1,20),3))&amp;IF(ISERR(FIND(" ",MID(B152,4,20),FIND(" ",MID(B152,4,20))+1)),"","-"&amp;LEFT(MID(MID(B152,4,20),FIND(" ",MID(B152,4,20),FIND(" ",MID(B152,4,20))+1)+1,20),3)))</f>
        <v>FCACC-CO-AD-NI-3-FUNDA-DE -AUD</v>
      </c>
      <c r="B152" s="7" t="s">
        <v>148</v>
      </c>
      <c r="C152" s="2">
        <v>4</v>
      </c>
      <c r="D152" s="6">
        <v>16</v>
      </c>
      <c r="E152" s="2" t="s">
        <v>143</v>
      </c>
      <c r="F152" s="5" t="str">
        <f>_xlfn.XLOOKUP(TAB_H_MAE_ASIG[[#This Row],[ID_CARRERA]],MAE_CARRERA[ID_CARRERA],MAE_CARRERA[NOMBRE_CARRERA])</f>
        <v>CONTABILIDAD Y AUDITORÍA 2024 NS</v>
      </c>
      <c r="G152" s="2">
        <v>3</v>
      </c>
    </row>
    <row r="153" spans="1:7" ht="12.75" customHeight="1">
      <c r="A153" s="2" t="str">
        <f>CONCATENATE(TAB_H_MAE_ASIG[[#This Row],[ID_CARRERA]],"-NI-",TAB_H_MAE_ASIG[[#This Row],[ID_NIVEL]],"-",LEFT(MID(B153,1,20),5)&amp;IF(ISERR(FIND(" ",MID(B153,4,20))),"","-"&amp;LEFT(MID(MID(B153,4,20),FIND(" ",MID(B153,4,20))+1,20),3))&amp;IF(ISERR(FIND(" ",MID(B153,4,20),FIND(" ",MID(B153,4,20))+1)),"","-"&amp;LEFT(MID(MID(B153,4,20),FIND(" ",MID(B153,4,20),FIND(" ",MID(B153,4,20))+1)+1,20),3)))</f>
        <v>FCACC-CO-AD-NI-3-ESTAD-APL</v>
      </c>
      <c r="B153" s="7" t="s">
        <v>149</v>
      </c>
      <c r="C153" s="2">
        <v>3</v>
      </c>
      <c r="D153" s="6">
        <v>16</v>
      </c>
      <c r="E153" s="2" t="s">
        <v>143</v>
      </c>
      <c r="F153" s="5" t="str">
        <f>_xlfn.XLOOKUP(TAB_H_MAE_ASIG[[#This Row],[ID_CARRERA]],MAE_CARRERA[ID_CARRERA],MAE_CARRERA[NOMBRE_CARRERA])</f>
        <v>CONTABILIDAD Y AUDITORÍA 2024 NS</v>
      </c>
      <c r="G153" s="2">
        <v>3</v>
      </c>
    </row>
    <row r="154" spans="1:7" ht="12.75" customHeight="1">
      <c r="A154" s="2" t="str">
        <f>CONCATENATE(TAB_H_MAE_ASIG[[#This Row],[ID_CARRERA]],"-NI-",TAB_H_MAE_ASIG[[#This Row],[ID_NIVEL]],"-",LEFT(MID(B154,1,20),5)&amp;IF(ISERR(FIND(" ",MID(B154,4,20))),"","-"&amp;LEFT(MID(MID(B154,4,20),FIND(" ",MID(B154,4,20))+1,20),3))&amp;IF(ISERR(FIND(" ",MID(B154,4,20),FIND(" ",MID(B154,4,20))+1)),"","-"&amp;LEFT(MID(MID(B154,4,20),FIND(" ",MID(B154,4,20),FIND(" ",MID(B154,4,20))+1)+1,20),3)))</f>
        <v>FCACC-CO-AD-NI-3-LEGIS-TRI</v>
      </c>
      <c r="B154" s="7" t="s">
        <v>150</v>
      </c>
      <c r="C154" s="2">
        <v>3</v>
      </c>
      <c r="D154" s="6">
        <v>16</v>
      </c>
      <c r="E154" s="2" t="s">
        <v>143</v>
      </c>
      <c r="F154" s="5" t="str">
        <f>_xlfn.XLOOKUP(TAB_H_MAE_ASIG[[#This Row],[ID_CARRERA]],MAE_CARRERA[ID_CARRERA],MAE_CARRERA[NOMBRE_CARRERA])</f>
        <v>CONTABILIDAD Y AUDITORÍA 2024 NS</v>
      </c>
      <c r="G154" s="2">
        <v>3</v>
      </c>
    </row>
    <row r="155" spans="1:7" ht="12.75" customHeight="1">
      <c r="A155" s="2" t="str">
        <f>CONCATENATE(TAB_H_MAE_ASIG[[#This Row],[ID_CARRERA]],"-NI-",TAB_H_MAE_ASIG[[#This Row],[ID_NIVEL]],"-",LEFT(MID(B155,1,20),5)&amp;IF(ISERR(FIND(" ",MID(B155,4,20))),"","-"&amp;LEFT(MID(MID(B155,4,20),FIND(" ",MID(B155,4,20))+1,20),3))&amp;IF(ISERR(FIND(" ",MID(B155,4,20),FIND(" ",MID(B155,4,20))+1)),"","-"&amp;LEFT(MID(MID(B155,4,20),FIND(" ",MID(B155,4,20),FIND(" ",MID(B155,4,20))+1)+1,20),3)))</f>
        <v>FCACC-CO-AD-NI-3-SISTE-CON</v>
      </c>
      <c r="B155" s="7" t="s">
        <v>151</v>
      </c>
      <c r="C155" s="2">
        <v>2</v>
      </c>
      <c r="D155" s="6">
        <v>16</v>
      </c>
      <c r="E155" s="2" t="s">
        <v>143</v>
      </c>
      <c r="F155" s="5" t="str">
        <f>_xlfn.XLOOKUP(TAB_H_MAE_ASIG[[#This Row],[ID_CARRERA]],MAE_CARRERA[ID_CARRERA],MAE_CARRERA[NOMBRE_CARRERA])</f>
        <v>CONTABILIDAD Y AUDITORÍA 2024 NS</v>
      </c>
      <c r="G155" s="2">
        <v>3</v>
      </c>
    </row>
    <row r="156" spans="1:7" ht="12.75" customHeight="1">
      <c r="A156" s="2" t="str">
        <f>CONCATENATE(TAB_H_MAE_ASIG[[#This Row],[ID_CARRERA]],"-NI-",TAB_H_MAE_ASIG[[#This Row],[ID_NIVEL]],"-",LEFT(MID(B156,1,20),5)&amp;IF(ISERR(FIND(" ",MID(B156,4,20))),"","-"&amp;LEFT(MID(MID(B156,4,20),FIND(" ",MID(B156,4,20))+1,20),3))&amp;IF(ISERR(FIND(" ",MID(B156,4,20),FIND(" ",MID(B156,4,20))+1)),"","-"&amp;LEFT(MID(MID(B156,4,20),FIND(" ",MID(B156,4,20),FIND(" ",MID(B156,4,20))+1)+1,20),3)))</f>
        <v>FCACC-CO-AD-NI-3-PROCE-Y C-CON</v>
      </c>
      <c r="B156" s="7" t="s">
        <v>152</v>
      </c>
      <c r="C156" s="2">
        <v>3</v>
      </c>
      <c r="D156" s="6">
        <v>16</v>
      </c>
      <c r="E156" s="2" t="s">
        <v>143</v>
      </c>
      <c r="F156" s="5" t="str">
        <f>_xlfn.XLOOKUP(TAB_H_MAE_ASIG[[#This Row],[ID_CARRERA]],MAE_CARRERA[ID_CARRERA],MAE_CARRERA[NOMBRE_CARRERA])</f>
        <v>CONTABILIDAD Y AUDITORÍA 2024 NS</v>
      </c>
      <c r="G156" s="2">
        <v>3</v>
      </c>
    </row>
    <row r="157" spans="1:7" ht="12.75" customHeight="1">
      <c r="A157" s="2" t="str">
        <f>CONCATENATE(TAB_H_MAE_ASIG[[#This Row],[ID_CARRERA]],"-NI-",TAB_H_MAE_ASIG[[#This Row],[ID_NIVEL]],"-",LEFT(MID(B157,1,20),5)&amp;IF(ISERR(FIND(" ",MID(B157,4,20))),"","-"&amp;LEFT(MID(MID(B157,4,20),FIND(" ",MID(B157,4,20))+1,20),3))&amp;IF(ISERR(FIND(" ",MID(B157,4,20),FIND(" ",MID(B157,4,20))+1)),"","-"&amp;LEFT(MID(MID(B157,4,20),FIND(" ",MID(B157,4,20),FIND(" ",MID(B157,4,20))+1)+1,20),3)))</f>
        <v>FCACC-CO-AD-NI-4-ADMIN-FIN</v>
      </c>
      <c r="B157" s="7" t="s">
        <v>57</v>
      </c>
      <c r="C157" s="2">
        <v>4</v>
      </c>
      <c r="D157" s="6">
        <v>16</v>
      </c>
      <c r="E157" s="2" t="s">
        <v>143</v>
      </c>
      <c r="F157" s="5" t="str">
        <f>_xlfn.XLOOKUP(TAB_H_MAE_ASIG[[#This Row],[ID_CARRERA]],MAE_CARRERA[ID_CARRERA],MAE_CARRERA[NOMBRE_CARRERA])</f>
        <v>CONTABILIDAD Y AUDITORÍA 2024 NS</v>
      </c>
      <c r="G157" s="2">
        <v>4</v>
      </c>
    </row>
    <row r="158" spans="1:7" ht="12.75" customHeight="1">
      <c r="A158" s="2" t="str">
        <f>CONCATENATE(TAB_H_MAE_ASIG[[#This Row],[ID_CARRERA]],"-NI-",TAB_H_MAE_ASIG[[#This Row],[ID_NIVEL]],"-",LEFT(MID(B158,1,20),5)&amp;IF(ISERR(FIND(" ",MID(B158,4,20))),"","-"&amp;LEFT(MID(MID(B158,4,20),FIND(" ",MID(B158,4,20))+1,20),3))&amp;IF(ISERR(FIND(" ",MID(B158,4,20),FIND(" ",MID(B158,4,20))+1)),"","-"&amp;LEFT(MID(MID(B158,4,20),FIND(" ",MID(B158,4,20),FIND(" ",MID(B158,4,20))+1)+1,20),3)))</f>
        <v>FCACC-CO-AD-NI-4-CONTA-SUP</v>
      </c>
      <c r="B158" s="7" t="s">
        <v>153</v>
      </c>
      <c r="C158" s="2">
        <v>5</v>
      </c>
      <c r="D158" s="6">
        <v>16</v>
      </c>
      <c r="E158" s="2" t="s">
        <v>143</v>
      </c>
      <c r="F158" s="5" t="str">
        <f>_xlfn.XLOOKUP(TAB_H_MAE_ASIG[[#This Row],[ID_CARRERA]],MAE_CARRERA[ID_CARRERA],MAE_CARRERA[NOMBRE_CARRERA])</f>
        <v>CONTABILIDAD Y AUDITORÍA 2024 NS</v>
      </c>
      <c r="G158" s="2">
        <v>4</v>
      </c>
    </row>
    <row r="159" spans="1:7" ht="12.75" customHeight="1">
      <c r="A159" s="2" t="str">
        <f>CONCATENATE(TAB_H_MAE_ASIG[[#This Row],[ID_CARRERA]],"-NI-",TAB_H_MAE_ASIG[[#This Row],[ID_NIVEL]],"-",LEFT(MID(B159,1,20),5)&amp;IF(ISERR(FIND(" ",MID(B159,4,20))),"","-"&amp;LEFT(MID(MID(B159,4,20),FIND(" ",MID(B159,4,20))+1,20),3))&amp;IF(ISERR(FIND(" ",MID(B159,4,20),FIND(" ",MID(B159,4,20))+1)),"","-"&amp;LEFT(MID(MID(B159,4,20),FIND(" ",MID(B159,4,20),FIND(" ",MID(B159,4,20))+1)+1,20),3)))</f>
        <v>FCACC-CO-AD-NI-4-PLANI-Y D-DIR</v>
      </c>
      <c r="B159" s="7" t="s">
        <v>63</v>
      </c>
      <c r="C159" s="2">
        <v>3</v>
      </c>
      <c r="D159" s="6">
        <v>16</v>
      </c>
      <c r="E159" s="2" t="s">
        <v>143</v>
      </c>
      <c r="F159" s="5" t="str">
        <f>_xlfn.XLOOKUP(TAB_H_MAE_ASIG[[#This Row],[ID_CARRERA]],MAE_CARRERA[ID_CARRERA],MAE_CARRERA[NOMBRE_CARRERA])</f>
        <v>CONTABILIDAD Y AUDITORÍA 2024 NS</v>
      </c>
      <c r="G159" s="2">
        <v>4</v>
      </c>
    </row>
    <row r="160" spans="1:7" ht="12.75" customHeight="1">
      <c r="A160" s="2" t="str">
        <f>CONCATENATE(TAB_H_MAE_ASIG[[#This Row],[ID_CARRERA]],"-NI-",TAB_H_MAE_ASIG[[#This Row],[ID_NIVEL]],"-",LEFT(MID(B160,1,20),5)&amp;IF(ISERR(FIND(" ",MID(B160,4,20))),"","-"&amp;LEFT(MID(MID(B160,4,20),FIND(" ",MID(B160,4,20))+1,20),3))&amp;IF(ISERR(FIND(" ",MID(B160,4,20),FIND(" ",MID(B160,4,20))+1)),"","-"&amp;LEFT(MID(MID(B160,4,20),FIND(" ",MID(B160,4,20),FIND(" ",MID(B160,4,20))+1)+1,20),3)))</f>
        <v>FCACC-CO-AD-NI-4-PLANI-DE -AUD</v>
      </c>
      <c r="B160" s="7" t="s">
        <v>154</v>
      </c>
      <c r="C160" s="2">
        <v>4</v>
      </c>
      <c r="D160" s="6">
        <v>16</v>
      </c>
      <c r="E160" s="2" t="s">
        <v>143</v>
      </c>
      <c r="F160" s="5" t="str">
        <f>_xlfn.XLOOKUP(TAB_H_MAE_ASIG[[#This Row],[ID_CARRERA]],MAE_CARRERA[ID_CARRERA],MAE_CARRERA[NOMBRE_CARRERA])</f>
        <v>CONTABILIDAD Y AUDITORÍA 2024 NS</v>
      </c>
      <c r="G160" s="2">
        <v>4</v>
      </c>
    </row>
    <row r="161" spans="1:7" ht="12.75" customHeight="1">
      <c r="A161" s="2" t="str">
        <f>CONCATENATE(TAB_H_MAE_ASIG[[#This Row],[ID_CARRERA]],"-NI-",TAB_H_MAE_ASIG[[#This Row],[ID_NIVEL]],"-",LEFT(MID(B161,1,20),5)&amp;IF(ISERR(FIND(" ",MID(B161,4,20))),"","-"&amp;LEFT(MID(MID(B161,4,20),FIND(" ",MID(B161,4,20))+1,20),3))&amp;IF(ISERR(FIND(" ",MID(B161,4,20),FIND(" ",MID(B161,4,20))+1)),"","-"&amp;LEFT(MID(MID(B161,4,20),FIND(" ",MID(B161,4,20),FIND(" ",MID(B161,4,20))+1)+1,20),3)))</f>
        <v>FCACC-CO-AD-NI-4-TRIBU-APL</v>
      </c>
      <c r="B161" s="7" t="s">
        <v>155</v>
      </c>
      <c r="C161" s="2">
        <v>4</v>
      </c>
      <c r="D161" s="6">
        <v>16</v>
      </c>
      <c r="E161" s="2" t="s">
        <v>143</v>
      </c>
      <c r="F161" s="5" t="str">
        <f>_xlfn.XLOOKUP(TAB_H_MAE_ASIG[[#This Row],[ID_CARRERA]],MAE_CARRERA[ID_CARRERA],MAE_CARRERA[NOMBRE_CARRERA])</f>
        <v>CONTABILIDAD Y AUDITORÍA 2024 NS</v>
      </c>
      <c r="G161" s="2">
        <v>4</v>
      </c>
    </row>
    <row r="162" spans="1:7" ht="12.75" customHeight="1">
      <c r="A162" s="2" t="str">
        <f>CONCATENATE(TAB_H_MAE_ASIG[[#This Row],[ID_CARRERA]],"-NI-",TAB_H_MAE_ASIG[[#This Row],[ID_NIVEL]],"-",LEFT(MID(B162,1,20),5)&amp;IF(ISERR(FIND(" ",MID(B162,4,20))),"","-"&amp;LEFT(MID(MID(B162,4,20),FIND(" ",MID(B162,4,20))+1,20),3))&amp;IF(ISERR(FIND(" ",MID(B162,4,20),FIND(" ",MID(B162,4,20))+1)),"","-"&amp;LEFT(MID(MID(B162,4,20),FIND(" ",MID(B162,4,20),FIND(" ",MID(B162,4,20))+1)+1,20),3)))</f>
        <v>FCACC-CO-AD-NI-5-CONTA-DE -COS</v>
      </c>
      <c r="B162" s="7" t="s">
        <v>8</v>
      </c>
      <c r="C162" s="2">
        <v>4</v>
      </c>
      <c r="D162" s="6">
        <v>16</v>
      </c>
      <c r="E162" s="2" t="s">
        <v>143</v>
      </c>
      <c r="F162" s="5" t="str">
        <f>_xlfn.XLOOKUP(TAB_H_MAE_ASIG[[#This Row],[ID_CARRERA]],MAE_CARRERA[ID_CARRERA],MAE_CARRERA[NOMBRE_CARRERA])</f>
        <v>CONTABILIDAD Y AUDITORÍA 2024 NS</v>
      </c>
      <c r="G162" s="2">
        <v>5</v>
      </c>
    </row>
    <row r="163" spans="1:7" ht="12.75" customHeight="1">
      <c r="A163" s="2" t="str">
        <f>CONCATENATE(TAB_H_MAE_ASIG[[#This Row],[ID_CARRERA]],"-NI-",TAB_H_MAE_ASIG[[#This Row],[ID_NIVEL]],"-",LEFT(MID(B163,1,20),5)&amp;IF(ISERR(FIND(" ",MID(B163,4,20))),"","-"&amp;LEFT(MID(MID(B163,4,20),FIND(" ",MID(B163,4,20))+1,20),3))&amp;IF(ISERR(FIND(" ",MID(B163,4,20),FIND(" ",MID(B163,4,20))+1)),"","-"&amp;LEFT(MID(MID(B163,4,20),FIND(" ",MID(B163,4,20),FIND(" ",MID(B163,4,20))+1)+1,20),3)))</f>
        <v>FCACC-CO-AD-NI-5-CONTA-ESP</v>
      </c>
      <c r="B163" s="7" t="s">
        <v>156</v>
      </c>
      <c r="C163" s="2">
        <v>5</v>
      </c>
      <c r="D163" s="6">
        <v>16</v>
      </c>
      <c r="E163" s="2" t="s">
        <v>143</v>
      </c>
      <c r="F163" s="5" t="str">
        <f>_xlfn.XLOOKUP(TAB_H_MAE_ASIG[[#This Row],[ID_CARRERA]],MAE_CARRERA[ID_CARRERA],MAE_CARRERA[NOMBRE_CARRERA])</f>
        <v>CONTABILIDAD Y AUDITORÍA 2024 NS</v>
      </c>
      <c r="G163" s="2">
        <v>5</v>
      </c>
    </row>
    <row r="164" spans="1:7" ht="12.75" customHeight="1">
      <c r="A164" s="2" t="str">
        <f>CONCATENATE(TAB_H_MAE_ASIG[[#This Row],[ID_CARRERA]],"-NI-",TAB_H_MAE_ASIG[[#This Row],[ID_NIVEL]],"-",LEFT(MID(B164,1,20),5)&amp;IF(ISERR(FIND(" ",MID(B164,4,20))),"","-"&amp;LEFT(MID(MID(B164,4,20),FIND(" ",MID(B164,4,20))+1,20),3))&amp;IF(ISERR(FIND(" ",MID(B164,4,20),FIND(" ",MID(B164,4,20))+1)),"","-"&amp;LEFT(MID(MID(B164,4,20),FIND(" ",MID(B164,4,20),FIND(" ",MID(B164,4,20))+1)+1,20),3)))</f>
        <v>FCACC-CO-AD-NI-5-AUDIT-FIN</v>
      </c>
      <c r="B164" s="7" t="s">
        <v>66</v>
      </c>
      <c r="C164" s="2">
        <v>5</v>
      </c>
      <c r="D164" s="6">
        <v>16</v>
      </c>
      <c r="E164" s="2" t="s">
        <v>143</v>
      </c>
      <c r="F164" s="5" t="str">
        <f>_xlfn.XLOOKUP(TAB_H_MAE_ASIG[[#This Row],[ID_CARRERA]],MAE_CARRERA[ID_CARRERA],MAE_CARRERA[NOMBRE_CARRERA])</f>
        <v>CONTABILIDAD Y AUDITORÍA 2024 NS</v>
      </c>
      <c r="G164" s="2">
        <v>5</v>
      </c>
    </row>
    <row r="165" spans="1:7" ht="12.75" customHeight="1">
      <c r="A165" s="2" t="str">
        <f>CONCATENATE(TAB_H_MAE_ASIG[[#This Row],[ID_CARRERA]],"-NI-",TAB_H_MAE_ASIG[[#This Row],[ID_NIVEL]],"-",LEFT(MID(B165,1,20),5)&amp;IF(ISERR(FIND(" ",MID(B165,4,20))),"","-"&amp;LEFT(MID(MID(B165,4,20),FIND(" ",MID(B165,4,20))+1,20),3))&amp;IF(ISERR(FIND(" ",MID(B165,4,20),FIND(" ",MID(B165,4,20))+1)),"","-"&amp;LEFT(MID(MID(B165,4,20),FIND(" ",MID(B165,4,20),FIND(" ",MID(B165,4,20))+1)+1,20),3)))</f>
        <v>FCACC-CO-AD-NI-5-ORGAN-Y M-MÉT</v>
      </c>
      <c r="B165" s="7" t="s">
        <v>157</v>
      </c>
      <c r="C165" s="2">
        <v>3</v>
      </c>
      <c r="D165" s="6">
        <v>16</v>
      </c>
      <c r="E165" s="2" t="s">
        <v>143</v>
      </c>
      <c r="F165" s="5" t="str">
        <f>_xlfn.XLOOKUP(TAB_H_MAE_ASIG[[#This Row],[ID_CARRERA]],MAE_CARRERA[ID_CARRERA],MAE_CARRERA[NOMBRE_CARRERA])</f>
        <v>CONTABILIDAD Y AUDITORÍA 2024 NS</v>
      </c>
      <c r="G165" s="2">
        <v>5</v>
      </c>
    </row>
    <row r="166" spans="1:7" ht="12.75" customHeight="1">
      <c r="A166" s="2" t="str">
        <f>CONCATENATE(TAB_H_MAE_ASIG[[#This Row],[ID_CARRERA]],"-NI-",TAB_H_MAE_ASIG[[#This Row],[ID_NIVEL]],"-",LEFT(MID(B166,1,20),5)&amp;IF(ISERR(FIND(" ",MID(B166,4,20))),"","-"&amp;LEFT(MID(MID(B166,4,20),FIND(" ",MID(B166,4,20))+1,20),3))&amp;IF(ISERR(FIND(" ",MID(B166,4,20),FIND(" ",MID(B166,4,20))+1)),"","-"&amp;LEFT(MID(MID(B166,4,20),FIND(" ",MID(B166,4,20),FIND(" ",MID(B166,4,20))+1)+1,20),3)))</f>
        <v>FCACC-CO-AD-NI-5-PRESU</v>
      </c>
      <c r="B166" s="7" t="s">
        <v>158</v>
      </c>
      <c r="C166" s="2">
        <v>3</v>
      </c>
      <c r="D166" s="6">
        <v>16</v>
      </c>
      <c r="E166" s="2" t="s">
        <v>143</v>
      </c>
      <c r="F166" s="5" t="str">
        <f>_xlfn.XLOOKUP(TAB_H_MAE_ASIG[[#This Row],[ID_CARRERA]],MAE_CARRERA[ID_CARRERA],MAE_CARRERA[NOMBRE_CARRERA])</f>
        <v>CONTABILIDAD Y AUDITORÍA 2024 NS</v>
      </c>
      <c r="G166" s="2">
        <v>5</v>
      </c>
    </row>
    <row r="167" spans="1:7" ht="12.75" customHeight="1">
      <c r="A167" s="2" t="str">
        <f>CONCATENATE(TAB_H_MAE_ASIG[[#This Row],[ID_CARRERA]],"-NI-",TAB_H_MAE_ASIG[[#This Row],[ID_NIVEL]],"-",LEFT(MID(B167,1,20),5)&amp;IF(ISERR(FIND(" ",MID(B167,4,20))),"","-"&amp;LEFT(MID(MID(B167,4,20),FIND(" ",MID(B167,4,20))+1,20),3))&amp;IF(ISERR(FIND(" ",MID(B167,4,20),FIND(" ",MID(B167,4,20))+1)),"","-"&amp;LEFT(MID(MID(B167,4,20),FIND(" ",MID(B167,4,20),FIND(" ",MID(B167,4,20))+1)+1,20),3)))</f>
        <v>FCACC-CO-AD-NI-6-MARCO-INT-E I</v>
      </c>
      <c r="B167" s="7" t="s">
        <v>159</v>
      </c>
      <c r="C167" s="2">
        <v>3</v>
      </c>
      <c r="D167" s="6">
        <v>16</v>
      </c>
      <c r="E167" s="2" t="s">
        <v>143</v>
      </c>
      <c r="F167" s="5" t="str">
        <f>_xlfn.XLOOKUP(TAB_H_MAE_ASIG[[#This Row],[ID_CARRERA]],MAE_CARRERA[ID_CARRERA],MAE_CARRERA[NOMBRE_CARRERA])</f>
        <v>CONTABILIDAD Y AUDITORÍA 2024 NS</v>
      </c>
      <c r="G167" s="2">
        <v>6</v>
      </c>
    </row>
    <row r="168" spans="1:7" ht="12.75" customHeight="1">
      <c r="A168" s="2" t="str">
        <f>CONCATENATE(TAB_H_MAE_ASIG[[#This Row],[ID_CARRERA]],"-NI-",TAB_H_MAE_ASIG[[#This Row],[ID_NIVEL]],"-",LEFT(MID(B168,1,20),5)&amp;IF(ISERR(FIND(" ",MID(B168,4,20))),"","-"&amp;LEFT(MID(MID(B168,4,20),FIND(" ",MID(B168,4,20))+1,20),3))&amp;IF(ISERR(FIND(" ",MID(B168,4,20),FIND(" ",MID(B168,4,20))+1)),"","-"&amp;LEFT(MID(MID(B168,4,20),FIND(" ",MID(B168,4,20),FIND(" ",MID(B168,4,20))+1)+1,20),3)))</f>
        <v>FCACC-CO-AD-NI-6-CONTA-DE -COS</v>
      </c>
      <c r="B168" s="7" t="s">
        <v>160</v>
      </c>
      <c r="C168" s="2">
        <v>5</v>
      </c>
      <c r="D168" s="6">
        <v>16</v>
      </c>
      <c r="E168" s="2" t="s">
        <v>143</v>
      </c>
      <c r="F168" s="5" t="str">
        <f>_xlfn.XLOOKUP(TAB_H_MAE_ASIG[[#This Row],[ID_CARRERA]],MAE_CARRERA[ID_CARRERA],MAE_CARRERA[NOMBRE_CARRERA])</f>
        <v>CONTABILIDAD Y AUDITORÍA 2024 NS</v>
      </c>
      <c r="G168" s="2">
        <v>6</v>
      </c>
    </row>
    <row r="169" spans="1:7" ht="12.75" customHeight="1">
      <c r="A169" s="2" t="str">
        <f>CONCATENATE(TAB_H_MAE_ASIG[[#This Row],[ID_CARRERA]],"-NI-",TAB_H_MAE_ASIG[[#This Row],[ID_NIVEL]],"-",LEFT(MID(B169,1,20),5)&amp;IF(ISERR(FIND(" ",MID(B169,4,20))),"","-"&amp;LEFT(MID(MID(B169,4,20),FIND(" ",MID(B169,4,20))+1,20),3))&amp;IF(ISERR(FIND(" ",MID(B169,4,20),FIND(" ",MID(B169,4,20))+1)),"","-"&amp;LEFT(MID(MID(B169,4,20),FIND(" ",MID(B169,4,20),FIND(" ",MID(B169,4,20))+1)+1,20),3)))</f>
        <v>FCACC-CO-AD-NI-6-CONTA-GUB</v>
      </c>
      <c r="B169" s="7" t="s">
        <v>161</v>
      </c>
      <c r="C169" s="2">
        <v>3</v>
      </c>
      <c r="D169" s="6">
        <v>16</v>
      </c>
      <c r="E169" s="2" t="s">
        <v>143</v>
      </c>
      <c r="F169" s="5" t="str">
        <f>_xlfn.XLOOKUP(TAB_H_MAE_ASIG[[#This Row],[ID_CARRERA]],MAE_CARRERA[ID_CARRERA],MAE_CARRERA[NOMBRE_CARRERA])</f>
        <v>CONTABILIDAD Y AUDITORÍA 2024 NS</v>
      </c>
      <c r="G169" s="2">
        <v>6</v>
      </c>
    </row>
    <row r="170" spans="1:7" ht="12.75" customHeight="1">
      <c r="A170" s="2" t="str">
        <f>CONCATENATE(TAB_H_MAE_ASIG[[#This Row],[ID_CARRERA]],"-NI-",TAB_H_MAE_ASIG[[#This Row],[ID_NIVEL]],"-",LEFT(MID(B170,1,20),5)&amp;IF(ISERR(FIND(" ",MID(B170,4,20))),"","-"&amp;LEFT(MID(MID(B170,4,20),FIND(" ",MID(B170,4,20))+1,20),3))&amp;IF(ISERR(FIND(" ",MID(B170,4,20),FIND(" ",MID(B170,4,20))+1)),"","-"&amp;LEFT(MID(MID(B170,4,20),FIND(" ",MID(B170,4,20),FIND(" ",MID(B170,4,20))+1)+1,20),3)))</f>
        <v>FCACC-CO-AD-NI-6-FORMU-DE -PRO</v>
      </c>
      <c r="B170" s="7" t="s">
        <v>162</v>
      </c>
      <c r="C170" s="2">
        <v>3</v>
      </c>
      <c r="D170" s="6">
        <v>16</v>
      </c>
      <c r="E170" s="2" t="s">
        <v>143</v>
      </c>
      <c r="F170" s="5" t="str">
        <f>_xlfn.XLOOKUP(TAB_H_MAE_ASIG[[#This Row],[ID_CARRERA]],MAE_CARRERA[ID_CARRERA],MAE_CARRERA[NOMBRE_CARRERA])</f>
        <v>CONTABILIDAD Y AUDITORÍA 2024 NS</v>
      </c>
      <c r="G170" s="2">
        <v>6</v>
      </c>
    </row>
    <row r="171" spans="1:7" ht="12.75" customHeight="1">
      <c r="A171" s="2" t="str">
        <f>CONCATENATE(TAB_H_MAE_ASIG[[#This Row],[ID_CARRERA]],"-NI-",TAB_H_MAE_ASIG[[#This Row],[ID_NIVEL]],"-",LEFT(MID(B171,1,20),5)&amp;IF(ISERR(FIND(" ",MID(B171,4,20))),"","-"&amp;LEFT(MID(MID(B171,4,20),FIND(" ",MID(B171,4,20))+1,20),3))&amp;IF(ISERR(FIND(" ",MID(B171,4,20),FIND(" ",MID(B171,4,20))+1)),"","-"&amp;LEFT(MID(MID(B171,4,20),FIND(" ",MID(B171,4,20),FIND(" ",MID(B171,4,20))+1)+1,20),3)))</f>
        <v xml:space="preserve">FCACC-CO-AD-NI-6-GESTI-DE -LA </v>
      </c>
      <c r="B171" s="7" t="s">
        <v>163</v>
      </c>
      <c r="C171" s="2">
        <v>3</v>
      </c>
      <c r="D171" s="6">
        <v>16</v>
      </c>
      <c r="E171" s="2" t="s">
        <v>143</v>
      </c>
      <c r="F171" s="5" t="str">
        <f>_xlfn.XLOOKUP(TAB_H_MAE_ASIG[[#This Row],[ID_CARRERA]],MAE_CARRERA[ID_CARRERA],MAE_CARRERA[NOMBRE_CARRERA])</f>
        <v>CONTABILIDAD Y AUDITORÍA 2024 NS</v>
      </c>
      <c r="G171" s="2">
        <v>6</v>
      </c>
    </row>
    <row r="172" spans="1:7" ht="12.75" customHeight="1">
      <c r="A172" s="2" t="str">
        <f>CONCATENATE(TAB_H_MAE_ASIG[[#This Row],[ID_CARRERA]],"-NI-",TAB_H_MAE_ASIG[[#This Row],[ID_NIVEL]],"-",LEFT(MID(B172,1,20),5)&amp;IF(ISERR(FIND(" ",MID(B172,4,20))),"","-"&amp;LEFT(MID(MID(B172,4,20),FIND(" ",MID(B172,4,20))+1,20),3))&amp;IF(ISERR(FIND(" ",MID(B172,4,20),FIND(" ",MID(B172,4,20))+1)),"","-"&amp;LEFT(MID(MID(B172,4,20),FIND(" ",MID(B172,4,20),FIND(" ",MID(B172,4,20))+1)+1,20),3)))</f>
        <v>FCACC-CO-AD-NI-6-INVES-OPE</v>
      </c>
      <c r="B172" s="7" t="s">
        <v>119</v>
      </c>
      <c r="C172" s="2">
        <v>3</v>
      </c>
      <c r="D172" s="6">
        <v>16</v>
      </c>
      <c r="E172" s="2" t="s">
        <v>143</v>
      </c>
      <c r="F172" s="5" t="str">
        <f>_xlfn.XLOOKUP(TAB_H_MAE_ASIG[[#This Row],[ID_CARRERA]],MAE_CARRERA[ID_CARRERA],MAE_CARRERA[NOMBRE_CARRERA])</f>
        <v>CONTABILIDAD Y AUDITORÍA 2024 NS</v>
      </c>
      <c r="G172" s="2">
        <v>6</v>
      </c>
    </row>
    <row r="173" spans="1:7" ht="12.75" customHeight="1">
      <c r="A173" s="2" t="str">
        <f>CONCATENATE(TAB_H_MAE_ASIG[[#This Row],[ID_CARRERA]],"-NI-",TAB_H_MAE_ASIG[[#This Row],[ID_NIVEL]],"-",LEFT(MID(B173,1,20),5)&amp;IF(ISERR(FIND(" ",MID(B173,4,20))),"","-"&amp;LEFT(MID(MID(B173,4,20),FIND(" ",MID(B173,4,20))+1,20),3))&amp;IF(ISERR(FIND(" ",MID(B173,4,20),FIND(" ",MID(B173,4,20))+1)),"","-"&amp;LEFT(MID(MID(B173,4,20),FIND(" ",MID(B173,4,20),FIND(" ",MID(B173,4,20))+1)+1,20),3)))</f>
        <v>FCACC-CO-AD-NI-7-AUDIT-TRI</v>
      </c>
      <c r="B173" s="7" t="s">
        <v>74</v>
      </c>
      <c r="C173" s="2">
        <v>6</v>
      </c>
      <c r="D173" s="6">
        <v>16</v>
      </c>
      <c r="E173" s="2" t="s">
        <v>143</v>
      </c>
      <c r="F173" s="5" t="str">
        <f>_xlfn.XLOOKUP(TAB_H_MAE_ASIG[[#This Row],[ID_CARRERA]],MAE_CARRERA[ID_CARRERA],MAE_CARRERA[NOMBRE_CARRERA])</f>
        <v>CONTABILIDAD Y AUDITORÍA 2024 NS</v>
      </c>
      <c r="G173" s="2">
        <v>7</v>
      </c>
    </row>
    <row r="174" spans="1:7" ht="12.75" customHeight="1">
      <c r="A174" s="2" t="str">
        <f>CONCATENATE(TAB_H_MAE_ASIG[[#This Row],[ID_CARRERA]],"-NI-",TAB_H_MAE_ASIG[[#This Row],[ID_NIVEL]],"-",LEFT(MID(B174,1,20),5)&amp;IF(ISERR(FIND(" ",MID(B174,4,20))),"","-"&amp;LEFT(MID(MID(B174,4,20),FIND(" ",MID(B174,4,20))+1,20),3))&amp;IF(ISERR(FIND(" ",MID(B174,4,20),FIND(" ",MID(B174,4,20))+1)),"","-"&amp;LEFT(MID(MID(B174,4,20),FIND(" ",MID(B174,4,20),FIND(" ",MID(B174,4,20))+1)+1,20),3)))</f>
        <v>FCACC-CO-AD-NI-7-AUDIT-DE -CAL</v>
      </c>
      <c r="B174" s="7" t="s">
        <v>164</v>
      </c>
      <c r="C174" s="2">
        <v>5</v>
      </c>
      <c r="D174" s="6">
        <v>16</v>
      </c>
      <c r="E174" s="2" t="s">
        <v>143</v>
      </c>
      <c r="F174" s="5" t="str">
        <f>_xlfn.XLOOKUP(TAB_H_MAE_ASIG[[#This Row],[ID_CARRERA]],MAE_CARRERA[ID_CARRERA],MAE_CARRERA[NOMBRE_CARRERA])</f>
        <v>CONTABILIDAD Y AUDITORÍA 2024 NS</v>
      </c>
      <c r="G174" s="2">
        <v>7</v>
      </c>
    </row>
    <row r="175" spans="1:7" ht="12.75" customHeight="1">
      <c r="A175" s="2" t="str">
        <f>CONCATENATE(TAB_H_MAE_ASIG[[#This Row],[ID_CARRERA]],"-NI-",TAB_H_MAE_ASIG[[#This Row],[ID_NIVEL]],"-",LEFT(MID(B175,1,20),5)&amp;IF(ISERR(FIND(" ",MID(B175,4,20))),"","-"&amp;LEFT(MID(MID(B175,4,20),FIND(" ",MID(B175,4,20))+1,20),3))&amp;IF(ISERR(FIND(" ",MID(B175,4,20),FIND(" ",MID(B175,4,20))+1)),"","-"&amp;LEFT(MID(MID(B175,4,20),FIND(" ",MID(B175,4,20),FIND(" ",MID(B175,4,20))+1)+1,20),3)))</f>
        <v>FCACC-CO-AD-NI-7-EVALU-DE -PRO</v>
      </c>
      <c r="B175" s="7" t="s">
        <v>165</v>
      </c>
      <c r="C175" s="2">
        <v>5</v>
      </c>
      <c r="D175" s="6">
        <v>16</v>
      </c>
      <c r="E175" s="2" t="s">
        <v>143</v>
      </c>
      <c r="F175" s="5" t="str">
        <f>_xlfn.XLOOKUP(TAB_H_MAE_ASIG[[#This Row],[ID_CARRERA]],MAE_CARRERA[ID_CARRERA],MAE_CARRERA[NOMBRE_CARRERA])</f>
        <v>CONTABILIDAD Y AUDITORÍA 2024 NS</v>
      </c>
      <c r="G175" s="2">
        <v>7</v>
      </c>
    </row>
    <row r="176" spans="1:7" ht="12.75" customHeight="1">
      <c r="A176" s="2" t="str">
        <f>CONCATENATE(TAB_H_MAE_ASIG[[#This Row],[ID_CARRERA]],"-NI-",TAB_H_MAE_ASIG[[#This Row],[ID_NIVEL]],"-",LEFT(MID(B176,1,20),5)&amp;IF(ISERR(FIND(" ",MID(B176,4,20))),"","-"&amp;LEFT(MID(MID(B176,4,20),FIND(" ",MID(B176,4,20))+1,20),3))&amp;IF(ISERR(FIND(" ",MID(B176,4,20),FIND(" ",MID(B176,4,20))+1)),"","-"&amp;LEFT(MID(MID(B176,4,20),FIND(" ",MID(B176,4,20),FIND(" ",MID(B176,4,20))+1)+1,20),3)))</f>
        <v>FCACC-CO-AD-NI-7-AUDIT-GUB</v>
      </c>
      <c r="B176" s="7" t="s">
        <v>166</v>
      </c>
      <c r="C176" s="2">
        <v>4</v>
      </c>
      <c r="D176" s="6">
        <v>16</v>
      </c>
      <c r="E176" s="2" t="s">
        <v>143</v>
      </c>
      <c r="F176" s="5" t="str">
        <f>_xlfn.XLOOKUP(TAB_H_MAE_ASIG[[#This Row],[ID_CARRERA]],MAE_CARRERA[ID_CARRERA],MAE_CARRERA[NOMBRE_CARRERA])</f>
        <v>CONTABILIDAD Y AUDITORÍA 2024 NS</v>
      </c>
      <c r="G176" s="2">
        <v>7</v>
      </c>
    </row>
    <row r="177" spans="1:7" ht="12.75" customHeight="1">
      <c r="A177" s="2" t="str">
        <f>CONCATENATE(TAB_H_MAE_ASIG[[#This Row],[ID_CARRERA]],"-NI-",TAB_H_MAE_ASIG[[#This Row],[ID_NIVEL]],"-",LEFT(MID(B177,1,20),5)&amp;IF(ISERR(FIND(" ",MID(B177,4,20))),"","-"&amp;LEFT(MID(MID(B177,4,20),FIND(" ",MID(B177,4,20))+1,20),3))&amp;IF(ISERR(FIND(" ",MID(B177,4,20),FIND(" ",MID(B177,4,20))+1)),"","-"&amp;LEFT(MID(MID(B177,4,20),FIND(" ",MID(B177,4,20),FIND(" ",MID(B177,4,20))+1)+1,20),3)))</f>
        <v>FCACC-CO-AD-NI-8-AUDIT-FOR</v>
      </c>
      <c r="B177" s="7" t="s">
        <v>83</v>
      </c>
      <c r="C177" s="2">
        <v>3</v>
      </c>
      <c r="D177" s="6">
        <v>16</v>
      </c>
      <c r="E177" s="2" t="s">
        <v>143</v>
      </c>
      <c r="F177" s="5" t="str">
        <f>_xlfn.XLOOKUP(TAB_H_MAE_ASIG[[#This Row],[ID_CARRERA]],MAE_CARRERA[ID_CARRERA],MAE_CARRERA[NOMBRE_CARRERA])</f>
        <v>CONTABILIDAD Y AUDITORÍA 2024 NS</v>
      </c>
      <c r="G177" s="2">
        <v>8</v>
      </c>
    </row>
    <row r="178" spans="1:7" ht="12.75" customHeight="1">
      <c r="A178" s="2" t="str">
        <f>CONCATENATE(TAB_H_MAE_ASIG[[#This Row],[ID_CARRERA]],"-NI-",TAB_H_MAE_ASIG[[#This Row],[ID_NIVEL]],"-",LEFT(MID(B178,1,20),5)&amp;IF(ISERR(FIND(" ",MID(B178,4,20))),"","-"&amp;LEFT(MID(MID(B178,4,20),FIND(" ",MID(B178,4,20))+1,20),3))&amp;IF(ISERR(FIND(" ",MID(B178,4,20),FIND(" ",MID(B178,4,20))+1)),"","-"&amp;LEFT(MID(MID(B178,4,20),FIND(" ",MID(B178,4,20),FIND(" ",MID(B178,4,20))+1)+1,20),3)))</f>
        <v>FCACC-CO-AD-NI-8-AUDIT-DE -GES</v>
      </c>
      <c r="B178" s="7" t="s">
        <v>72</v>
      </c>
      <c r="C178" s="2">
        <v>6</v>
      </c>
      <c r="D178" s="6">
        <v>16</v>
      </c>
      <c r="E178" s="2" t="s">
        <v>143</v>
      </c>
      <c r="F178" s="5" t="str">
        <f>_xlfn.XLOOKUP(TAB_H_MAE_ASIG[[#This Row],[ID_CARRERA]],MAE_CARRERA[ID_CARRERA],MAE_CARRERA[NOMBRE_CARRERA])</f>
        <v>CONTABILIDAD Y AUDITORÍA 2024 NS</v>
      </c>
      <c r="G178" s="2">
        <v>8</v>
      </c>
    </row>
    <row r="179" spans="1:7" ht="12.75" customHeight="1">
      <c r="A179" s="2" t="str">
        <f>CONCATENATE(TAB_H_MAE_ASIG[[#This Row],[ID_CARRERA]],"-NI-",TAB_H_MAE_ASIG[[#This Row],[ID_NIVEL]],"-",LEFT(MID(B179,1,20),5)&amp;IF(ISERR(FIND(" ",MID(B179,4,20))),"","-"&amp;LEFT(MID(MID(B179,4,20),FIND(" ",MID(B179,4,20))+1,20),3))&amp;IF(ISERR(FIND(" ",MID(B179,4,20),FIND(" ",MID(B179,4,20))+1)),"","-"&amp;LEFT(MID(MID(B179,4,20),FIND(" ",MID(B179,4,20),FIND(" ",MID(B179,4,20))+1)+1,20),3)))</f>
        <v>FCACC-CO-AD-NI-8-AUDIT-INF</v>
      </c>
      <c r="B179" s="7" t="s">
        <v>167</v>
      </c>
      <c r="C179" s="2">
        <v>4</v>
      </c>
      <c r="D179" s="6">
        <v>16</v>
      </c>
      <c r="E179" s="2" t="s">
        <v>143</v>
      </c>
      <c r="F179" s="5" t="str">
        <f>_xlfn.XLOOKUP(TAB_H_MAE_ASIG[[#This Row],[ID_CARRERA]],MAE_CARRERA[ID_CARRERA],MAE_CARRERA[NOMBRE_CARRERA])</f>
        <v>CONTABILIDAD Y AUDITORÍA 2024 NS</v>
      </c>
      <c r="G179" s="2">
        <v>8</v>
      </c>
    </row>
    <row r="180" spans="1:7" ht="12.75" customHeight="1">
      <c r="A180" s="2" t="str">
        <f>CONCATENATE(TAB_H_MAE_ASIG[[#This Row],[ID_CARRERA]],"-NI-",TAB_H_MAE_ASIG[[#This Row],[ID_NIVEL]],"-",LEFT(MID(B180,1,20),5)&amp;IF(ISERR(FIND(" ",MID(B180,4,20))),"","-"&amp;LEFT(MID(MID(B180,4,20),FIND(" ",MID(B180,4,20))+1,20),3))&amp;IF(ISERR(FIND(" ",MID(B180,4,20),FIND(" ",MID(B180,4,20))+1)),"","-"&amp;LEFT(MID(MID(B180,4,20),FIND(" ",MID(B180,4,20),FIND(" ",MID(B180,4,20))+1)+1,20),3)))</f>
        <v>FCACC-CO-AD-NI-8-PROCE-DE -CON</v>
      </c>
      <c r="B180" s="7" t="s">
        <v>73</v>
      </c>
      <c r="C180" s="2">
        <v>3</v>
      </c>
      <c r="D180" s="6">
        <v>16</v>
      </c>
      <c r="E180" s="2" t="s">
        <v>143</v>
      </c>
      <c r="F180" s="5" t="str">
        <f>_xlfn.XLOOKUP(TAB_H_MAE_ASIG[[#This Row],[ID_CARRERA]],MAE_CARRERA[ID_CARRERA],MAE_CARRERA[NOMBRE_CARRERA])</f>
        <v>CONTABILIDAD Y AUDITORÍA 2024 NS</v>
      </c>
      <c r="G180" s="2">
        <v>8</v>
      </c>
    </row>
    <row r="181" spans="1:7" ht="12.75" customHeight="1">
      <c r="A181" s="2" t="str">
        <f>CONCATENATE(TAB_H_MAE_ASIG[[#This Row],[ID_CARRERA]],"-NI-",TAB_H_MAE_ASIG[[#This Row],[ID_NIVEL]],"-",LEFT(MID(B181,1,20),5)&amp;IF(ISERR(FIND(" ",MID(B181,4,20))),"","-"&amp;LEFT(MID(MID(B181,4,20),FIND(" ",MID(B181,4,20))+1,20),3))&amp;IF(ISERR(FIND(" ",MID(B181,4,20),FIND(" ",MID(B181,4,20))+1)),"","-"&amp;LEFT(MID(MID(B181,4,20),FIND(" ",MID(B181,4,20),FIND(" ",MID(B181,4,20))+1)+1,20),3)))</f>
        <v>FCACC-CO-AD-NI-8-AUDIT-AMB</v>
      </c>
      <c r="B181" s="7" t="s">
        <v>168</v>
      </c>
      <c r="C181" s="2">
        <v>4</v>
      </c>
      <c r="D181" s="6">
        <v>16</v>
      </c>
      <c r="E181" s="2" t="s">
        <v>143</v>
      </c>
      <c r="F181" s="5" t="str">
        <f>_xlfn.XLOOKUP(TAB_H_MAE_ASIG[[#This Row],[ID_CARRERA]],MAE_CARRERA[ID_CARRERA],MAE_CARRERA[NOMBRE_CARRERA])</f>
        <v>CONTABILIDAD Y AUDITORÍA 2024 NS</v>
      </c>
      <c r="G181" s="2">
        <v>8</v>
      </c>
    </row>
    <row r="182" spans="1:7" ht="12.75" customHeight="1">
      <c r="A182" s="2" t="str">
        <f>CONCATENATE(TAB_H_MAE_ASIG[[#This Row],[ID_CARRERA]],"-NI-",TAB_H_MAE_ASIG[[#This Row],[ID_NIVEL]],"-",LEFT(MID(B182,1,20),5)&amp;IF(ISERR(FIND(" ",MID(B182,4,20))),"","-"&amp;LEFT(MID(MID(B182,4,20),FIND(" ",MID(B182,4,20))+1,20),3))&amp;IF(ISERR(FIND(" ",MID(B182,4,20),FIND(" ",MID(B182,4,20))+1)),"","-"&amp;LEFT(MID(MID(B182,4,20),FIND(" ",MID(B182,4,20),FIND(" ",MID(B182,4,20))+1)+1,20),3)))</f>
        <v>FCACC-FINA-NI-1-CONTA-ADM</v>
      </c>
      <c r="B182" s="7" t="s">
        <v>169</v>
      </c>
      <c r="C182" s="1">
        <v>7</v>
      </c>
      <c r="D182" s="6">
        <v>16</v>
      </c>
      <c r="E182" s="1" t="s">
        <v>170</v>
      </c>
      <c r="F182" s="5" t="str">
        <f>_xlfn.XLOOKUP(TAB_H_MAE_ASIG[[#This Row],[ID_CARRERA]],MAE_CARRERA[ID_CARRERA],MAE_CARRERA[NOMBRE_CARRERA])</f>
        <v>FINANZAS 2024 NS</v>
      </c>
      <c r="G182" s="1">
        <v>1</v>
      </c>
    </row>
    <row r="183" spans="1:7" ht="12.75" customHeight="1">
      <c r="A183" s="2" t="str">
        <f>CONCATENATE(TAB_H_MAE_ASIG[[#This Row],[ID_CARRERA]],"-NI-",TAB_H_MAE_ASIG[[#This Row],[ID_NIVEL]],"-",LEFT(MID(B183,1,20),5)&amp;IF(ISERR(FIND(" ",MID(B183,4,20))),"","-"&amp;LEFT(MID(MID(B183,4,20),FIND(" ",MID(B183,4,20))+1,20),3))&amp;IF(ISERR(FIND(" ",MID(B183,4,20),FIND(" ",MID(B183,4,20))+1)),"","-"&amp;LEFT(MID(MID(B183,4,20),FIND(" ",MID(B183,4,20),FIND(" ",MID(B183,4,20))+1)+1,20),3)))</f>
        <v>FCACC-FINA-NI-1-MATEM-ADM</v>
      </c>
      <c r="B183" s="7" t="s">
        <v>171</v>
      </c>
      <c r="C183" s="1">
        <v>6</v>
      </c>
      <c r="D183" s="6">
        <v>16</v>
      </c>
      <c r="E183" s="1" t="s">
        <v>170</v>
      </c>
      <c r="F183" s="5" t="str">
        <f>_xlfn.XLOOKUP(TAB_H_MAE_ASIG[[#This Row],[ID_CARRERA]],MAE_CARRERA[ID_CARRERA],MAE_CARRERA[NOMBRE_CARRERA])</f>
        <v>FINANZAS 2024 NS</v>
      </c>
      <c r="G183" s="1">
        <v>1</v>
      </c>
    </row>
    <row r="184" spans="1:7" ht="12.75" customHeight="1">
      <c r="A184" s="2" t="str">
        <f>CONCATENATE(TAB_H_MAE_ASIG[[#This Row],[ID_CARRERA]],"-NI-",TAB_H_MAE_ASIG[[#This Row],[ID_NIVEL]],"-",LEFT(MID(B184,1,20),5)&amp;IF(ISERR(FIND(" ",MID(B184,4,20))),"","-"&amp;LEFT(MID(MID(B184,4,20),FIND(" ",MID(B184,4,20))+1,20),3))&amp;IF(ISERR(FIND(" ",MID(B184,4,20),FIND(" ",MID(B184,4,20))+1)),"","-"&amp;LEFT(MID(MID(B184,4,20),FIND(" ",MID(B184,4,20),FIND(" ",MID(B184,4,20))+1)+1,20),3)))</f>
        <v>FCACC-FINA-NI-1-FUNDA-DE -ADM</v>
      </c>
      <c r="B184" s="7" t="s">
        <v>51</v>
      </c>
      <c r="C184" s="1">
        <v>3</v>
      </c>
      <c r="D184" s="6">
        <v>16</v>
      </c>
      <c r="E184" s="1" t="s">
        <v>170</v>
      </c>
      <c r="F184" s="5" t="str">
        <f>_xlfn.XLOOKUP(TAB_H_MAE_ASIG[[#This Row],[ID_CARRERA]],MAE_CARRERA[ID_CARRERA],MAE_CARRERA[NOMBRE_CARRERA])</f>
        <v>FINANZAS 2024 NS</v>
      </c>
      <c r="G184" s="1">
        <v>1</v>
      </c>
    </row>
    <row r="185" spans="1:7" ht="12.75" customHeight="1">
      <c r="A185" s="2" t="str">
        <f>CONCATENATE(TAB_H_MAE_ASIG[[#This Row],[ID_CARRERA]],"-NI-",TAB_H_MAE_ASIG[[#This Row],[ID_NIVEL]],"-",LEFT(MID(B185,1,20),5)&amp;IF(ISERR(FIND(" ",MID(B185,4,20))),"","-"&amp;LEFT(MID(MID(B185,4,20),FIND(" ",MID(B185,4,20))+1,20),3))&amp;IF(ISERR(FIND(" ",MID(B185,4,20),FIND(" ",MID(B185,4,20))+1)),"","-"&amp;LEFT(MID(MID(B185,4,20),FIND(" ",MID(B185,4,20),FIND(" ",MID(B185,4,20))+1)+1,20),3)))</f>
        <v xml:space="preserve">FCACC-FINA-NI-1-METOD-DE -LA </v>
      </c>
      <c r="B185" s="7" t="s">
        <v>12</v>
      </c>
      <c r="C185" s="1">
        <v>4</v>
      </c>
      <c r="D185" s="6">
        <v>16</v>
      </c>
      <c r="E185" s="1" t="s">
        <v>170</v>
      </c>
      <c r="F185" s="5" t="str">
        <f>_xlfn.XLOOKUP(TAB_H_MAE_ASIG[[#This Row],[ID_CARRERA]],MAE_CARRERA[ID_CARRERA],MAE_CARRERA[NOMBRE_CARRERA])</f>
        <v>FINANZAS 2024 NS</v>
      </c>
      <c r="G185" s="1">
        <v>1</v>
      </c>
    </row>
    <row r="186" spans="1:7" ht="12.75" customHeight="1">
      <c r="A186" s="2" t="str">
        <f>CONCATENATE(TAB_H_MAE_ASIG[[#This Row],[ID_CARRERA]],"-NI-",TAB_H_MAE_ASIG[[#This Row],[ID_NIVEL]],"-",LEFT(MID(B186,1,20),5)&amp;IF(ISERR(FIND(" ",MID(B186,4,20))),"","-"&amp;LEFT(MID(MID(B186,4,20),FIND(" ",MID(B186,4,20))+1,20),3))&amp;IF(ISERR(FIND(" ",MID(B186,4,20),FIND(" ",MID(B186,4,20))+1)),"","-"&amp;LEFT(MID(MID(B186,4,20),FIND(" ",MID(B186,4,20),FIND(" ",MID(B186,4,20))+1)+1,20),3)))</f>
        <v>FCACC-FINA-NI-2-CONTA-DE -COS</v>
      </c>
      <c r="B186" s="7" t="s">
        <v>8</v>
      </c>
      <c r="C186" s="1">
        <v>6</v>
      </c>
      <c r="D186" s="6">
        <v>16</v>
      </c>
      <c r="E186" s="1" t="s">
        <v>170</v>
      </c>
      <c r="F186" s="5" t="str">
        <f>_xlfn.XLOOKUP(TAB_H_MAE_ASIG[[#This Row],[ID_CARRERA]],MAE_CARRERA[ID_CARRERA],MAE_CARRERA[NOMBRE_CARRERA])</f>
        <v>FINANZAS 2024 NS</v>
      </c>
      <c r="G186" s="1">
        <v>2</v>
      </c>
    </row>
    <row r="187" spans="1:7" ht="12.75" customHeight="1">
      <c r="A187" s="2" t="str">
        <f>CONCATENATE(TAB_H_MAE_ASIG[[#This Row],[ID_CARRERA]],"-NI-",TAB_H_MAE_ASIG[[#This Row],[ID_NIVEL]],"-",LEFT(MID(B187,1,20),5)&amp;IF(ISERR(FIND(" ",MID(B187,4,20))),"","-"&amp;LEFT(MID(MID(B187,4,20),FIND(" ",MID(B187,4,20))+1,20),3))&amp;IF(ISERR(FIND(" ",MID(B187,4,20),FIND(" ",MID(B187,4,20))+1)),"","-"&amp;LEFT(MID(MID(B187,4,20),FIND(" ",MID(B187,4,20),FIND(" ",MID(B187,4,20))+1)+1,20),3)))</f>
        <v>FCACC-FINA-NI-2-SISTE-TRI</v>
      </c>
      <c r="B187" s="7" t="s">
        <v>172</v>
      </c>
      <c r="C187" s="1">
        <v>4</v>
      </c>
      <c r="D187" s="6">
        <v>16</v>
      </c>
      <c r="E187" s="1" t="s">
        <v>170</v>
      </c>
      <c r="F187" s="5" t="str">
        <f>_xlfn.XLOOKUP(TAB_H_MAE_ASIG[[#This Row],[ID_CARRERA]],MAE_CARRERA[ID_CARRERA],MAE_CARRERA[NOMBRE_CARRERA])</f>
        <v>FINANZAS 2024 NS</v>
      </c>
      <c r="G187" s="1">
        <v>2</v>
      </c>
    </row>
    <row r="188" spans="1:7" ht="12.75" customHeight="1">
      <c r="A188" s="2" t="str">
        <f>CONCATENATE(TAB_H_MAE_ASIG[[#This Row],[ID_CARRERA]],"-NI-",TAB_H_MAE_ASIG[[#This Row],[ID_NIVEL]],"-",LEFT(MID(B188,1,20),5)&amp;IF(ISERR(FIND(" ",MID(B188,4,20))),"","-"&amp;LEFT(MID(MID(B188,4,20),FIND(" ",MID(B188,4,20))+1,20),3))&amp;IF(ISERR(FIND(" ",MID(B188,4,20),FIND(" ",MID(B188,4,20))+1)),"","-"&amp;LEFT(MID(MID(B188,4,20),FIND(" ",MID(B188,4,20),FIND(" ",MID(B188,4,20))+1)+1,20),3)))</f>
        <v>FCACC-FINA-NI-2-MATEM-FIN</v>
      </c>
      <c r="B188" s="7" t="s">
        <v>15</v>
      </c>
      <c r="C188" s="1">
        <v>5</v>
      </c>
      <c r="D188" s="6">
        <v>16</v>
      </c>
      <c r="E188" s="1" t="s">
        <v>170</v>
      </c>
      <c r="F188" s="5" t="str">
        <f>_xlfn.XLOOKUP(TAB_H_MAE_ASIG[[#This Row],[ID_CARRERA]],MAE_CARRERA[ID_CARRERA],MAE_CARRERA[NOMBRE_CARRERA])</f>
        <v>FINANZAS 2024 NS</v>
      </c>
      <c r="G188" s="1">
        <v>2</v>
      </c>
    </row>
    <row r="189" spans="1:7" ht="12.75" customHeight="1">
      <c r="A189" s="2" t="str">
        <f>CONCATENATE(TAB_H_MAE_ASIG[[#This Row],[ID_CARRERA]],"-NI-",TAB_H_MAE_ASIG[[#This Row],[ID_NIVEL]],"-",LEFT(MID(B189,1,20),5)&amp;IF(ISERR(FIND(" ",MID(B189,4,20))),"","-"&amp;LEFT(MID(MID(B189,4,20),FIND(" ",MID(B189,4,20))+1,20),3))&amp;IF(ISERR(FIND(" ",MID(B189,4,20),FIND(" ",MID(B189,4,20))+1)),"","-"&amp;LEFT(MID(MID(B189,4,20),FIND(" ",MID(B189,4,20),FIND(" ",MID(B189,4,20))+1)+1,20),3)))</f>
        <v>FCACC-FINA-NI-2-ESTAD-FIN</v>
      </c>
      <c r="B189" s="7" t="s">
        <v>173</v>
      </c>
      <c r="C189" s="1">
        <v>5</v>
      </c>
      <c r="D189" s="6">
        <v>16</v>
      </c>
      <c r="E189" s="1" t="s">
        <v>170</v>
      </c>
      <c r="F189" s="5" t="str">
        <f>_xlfn.XLOOKUP(TAB_H_MAE_ASIG[[#This Row],[ID_CARRERA]],MAE_CARRERA[ID_CARRERA],MAE_CARRERA[NOMBRE_CARRERA])</f>
        <v>FINANZAS 2024 NS</v>
      </c>
      <c r="G189" s="1">
        <v>2</v>
      </c>
    </row>
    <row r="190" spans="1:7" ht="12.75" customHeight="1">
      <c r="A190" s="2" t="str">
        <f>CONCATENATE(TAB_H_MAE_ASIG[[#This Row],[ID_CARRERA]],"-NI-",TAB_H_MAE_ASIG[[#This Row],[ID_NIVEL]],"-",LEFT(MID(B190,1,20),5)&amp;IF(ISERR(FIND(" ",MID(B190,4,20))),"","-"&amp;LEFT(MID(MID(B190,4,20),FIND(" ",MID(B190,4,20))+1,20),3))&amp;IF(ISERR(FIND(" ",MID(B190,4,20),FIND(" ",MID(B190,4,20))+1)),"","-"&amp;LEFT(MID(MID(B190,4,20),FIND(" ",MID(B190,4,20),FIND(" ",MID(B190,4,20))+1)+1,20),3)))</f>
        <v>FCACC-FINA-NI-3-CONTA-BAN</v>
      </c>
      <c r="B190" s="7" t="s">
        <v>174</v>
      </c>
      <c r="C190" s="1">
        <v>6</v>
      </c>
      <c r="D190" s="6">
        <v>16</v>
      </c>
      <c r="E190" s="1" t="s">
        <v>170</v>
      </c>
      <c r="F190" s="5" t="str">
        <f>_xlfn.XLOOKUP(TAB_H_MAE_ASIG[[#This Row],[ID_CARRERA]],MAE_CARRERA[ID_CARRERA],MAE_CARRERA[NOMBRE_CARRERA])</f>
        <v>FINANZAS 2024 NS</v>
      </c>
      <c r="G190" s="1">
        <v>3</v>
      </c>
    </row>
    <row r="191" spans="1:7" ht="12.75" customHeight="1">
      <c r="A191" s="2" t="str">
        <f>CONCATENATE(TAB_H_MAE_ASIG[[#This Row],[ID_CARRERA]],"-NI-",TAB_H_MAE_ASIG[[#This Row],[ID_NIVEL]],"-",LEFT(MID(B191,1,20),5)&amp;IF(ISERR(FIND(" ",MID(B191,4,20))),"","-"&amp;LEFT(MID(MID(B191,4,20),FIND(" ",MID(B191,4,20))+1,20),3))&amp;IF(ISERR(FIND(" ",MID(B191,4,20),FIND(" ",MID(B191,4,20))+1)),"","-"&amp;LEFT(MID(MID(B191,4,20),FIND(" ",MID(B191,4,20),FIND(" ",MID(B191,4,20))+1)+1,20),3)))</f>
        <v>FCACC-FINA-NI-3-FUNDA-DE -FIN</v>
      </c>
      <c r="B191" s="7" t="s">
        <v>175</v>
      </c>
      <c r="C191" s="1">
        <v>5</v>
      </c>
      <c r="D191" s="6">
        <v>16</v>
      </c>
      <c r="E191" s="1" t="s">
        <v>170</v>
      </c>
      <c r="F191" s="5" t="str">
        <f>_xlfn.XLOOKUP(TAB_H_MAE_ASIG[[#This Row],[ID_CARRERA]],MAE_CARRERA[ID_CARRERA],MAE_CARRERA[NOMBRE_CARRERA])</f>
        <v>FINANZAS 2024 NS</v>
      </c>
      <c r="G191" s="1">
        <v>3</v>
      </c>
    </row>
    <row r="192" spans="1:7" ht="12.75" customHeight="1">
      <c r="A192" s="2" t="str">
        <f>CONCATENATE(TAB_H_MAE_ASIG[[#This Row],[ID_CARRERA]],"-NI-",TAB_H_MAE_ASIG[[#This Row],[ID_NIVEL]],"-",LEFT(MID(B192,1,20),5)&amp;IF(ISERR(FIND(" ",MID(B192,4,20))),"","-"&amp;LEFT(MID(MID(B192,4,20),FIND(" ",MID(B192,4,20))+1,20),3))&amp;IF(ISERR(FIND(" ",MID(B192,4,20),FIND(" ",MID(B192,4,20))+1)),"","-"&amp;LEFT(MID(MID(B192,4,20),FIND(" ",MID(B192,4,20),FIND(" ",MID(B192,4,20))+1)+1,20),3)))</f>
        <v>FCACC-FINA-NI-3-ECONO</v>
      </c>
      <c r="B192" s="7" t="s">
        <v>176</v>
      </c>
      <c r="C192" s="1">
        <v>5</v>
      </c>
      <c r="D192" s="6">
        <v>16</v>
      </c>
      <c r="E192" s="1" t="s">
        <v>170</v>
      </c>
      <c r="F192" s="5" t="str">
        <f>_xlfn.XLOOKUP(TAB_H_MAE_ASIG[[#This Row],[ID_CARRERA]],MAE_CARRERA[ID_CARRERA],MAE_CARRERA[NOMBRE_CARRERA])</f>
        <v>FINANZAS 2024 NS</v>
      </c>
      <c r="G192" s="1">
        <v>3</v>
      </c>
    </row>
    <row r="193" spans="1:7" ht="12.75" customHeight="1">
      <c r="A193" s="2" t="str">
        <f>CONCATENATE(TAB_H_MAE_ASIG[[#This Row],[ID_CARRERA]],"-NI-",TAB_H_MAE_ASIG[[#This Row],[ID_NIVEL]],"-",LEFT(MID(B193,1,20),5)&amp;IF(ISERR(FIND(" ",MID(B193,4,20))),"","-"&amp;LEFT(MID(MID(B193,4,20),FIND(" ",MID(B193,4,20))+1,20),3))&amp;IF(ISERR(FIND(" ",MID(B193,4,20),FIND(" ",MID(B193,4,20))+1)),"","-"&amp;LEFT(MID(MID(B193,4,20),FIND(" ",MID(B193,4,20),FIND(" ",MID(B193,4,20))+1)+1,20),3)))</f>
        <v>FCACC-FINA-NI-3-LEGIS-MON-Y</v>
      </c>
      <c r="B193" s="7" t="s">
        <v>177</v>
      </c>
      <c r="C193" s="1">
        <v>4</v>
      </c>
      <c r="D193" s="6">
        <v>16</v>
      </c>
      <c r="E193" s="1" t="s">
        <v>170</v>
      </c>
      <c r="F193" s="5" t="str">
        <f>_xlfn.XLOOKUP(TAB_H_MAE_ASIG[[#This Row],[ID_CARRERA]],MAE_CARRERA[ID_CARRERA],MAE_CARRERA[NOMBRE_CARRERA])</f>
        <v>FINANZAS 2024 NS</v>
      </c>
      <c r="G193" s="1">
        <v>3</v>
      </c>
    </row>
    <row r="194" spans="1:7" ht="12.75" customHeight="1">
      <c r="A194" s="2" t="str">
        <f>CONCATENATE(TAB_H_MAE_ASIG[[#This Row],[ID_CARRERA]],"-NI-",TAB_H_MAE_ASIG[[#This Row],[ID_NIVEL]],"-",LEFT(MID(B194,1,20),5)&amp;IF(ISERR(FIND(" ",MID(B194,4,20))),"","-"&amp;LEFT(MID(MID(B194,4,20),FIND(" ",MID(B194,4,20))+1,20),3))&amp;IF(ISERR(FIND(" ",MID(B194,4,20),FIND(" ",MID(B194,4,20))+1)),"","-"&amp;LEFT(MID(MID(B194,4,20),FIND(" ",MID(B194,4,20),FIND(" ",MID(B194,4,20))+1)+1,20),3)))</f>
        <v>FCACC-FINA-NI-4-CONTA-FIN</v>
      </c>
      <c r="B194" s="7" t="s">
        <v>14</v>
      </c>
      <c r="C194" s="1">
        <v>5</v>
      </c>
      <c r="D194" s="6">
        <v>16</v>
      </c>
      <c r="E194" s="1" t="s">
        <v>170</v>
      </c>
      <c r="F194" s="5" t="str">
        <f>_xlfn.XLOOKUP(TAB_H_MAE_ASIG[[#This Row],[ID_CARRERA]],MAE_CARRERA[ID_CARRERA],MAE_CARRERA[NOMBRE_CARRERA])</f>
        <v>FINANZAS 2024 NS</v>
      </c>
      <c r="G194" s="1">
        <v>4</v>
      </c>
    </row>
    <row r="195" spans="1:7" ht="12.75" customHeight="1">
      <c r="A195" s="2" t="str">
        <f>CONCATENATE(TAB_H_MAE_ASIG[[#This Row],[ID_CARRERA]],"-NI-",TAB_H_MAE_ASIG[[#This Row],[ID_NIVEL]],"-",LEFT(MID(B195,1,20),5)&amp;IF(ISERR(FIND(" ",MID(B195,4,20))),"","-"&amp;LEFT(MID(MID(B195,4,20),FIND(" ",MID(B195,4,20))+1,20),3))&amp;IF(ISERR(FIND(" ",MID(B195,4,20),FIND(" ",MID(B195,4,20))+1)),"","-"&amp;LEFT(MID(MID(B195,4,20),FIND(" ",MID(B195,4,20),FIND(" ",MID(B195,4,20))+1)+1,20),3)))</f>
        <v>FCACC-FINA-NI-4-MERCA-DE -SEG</v>
      </c>
      <c r="B195" s="7" t="s">
        <v>178</v>
      </c>
      <c r="C195" s="1">
        <v>3</v>
      </c>
      <c r="D195" s="6">
        <v>16</v>
      </c>
      <c r="E195" s="1" t="s">
        <v>170</v>
      </c>
      <c r="F195" s="5" t="str">
        <f>_xlfn.XLOOKUP(TAB_H_MAE_ASIG[[#This Row],[ID_CARRERA]],MAE_CARRERA[ID_CARRERA],MAE_CARRERA[NOMBRE_CARRERA])</f>
        <v>FINANZAS 2024 NS</v>
      </c>
      <c r="G195" s="1">
        <v>4</v>
      </c>
    </row>
    <row r="196" spans="1:7" ht="12.75" customHeight="1">
      <c r="A196" s="2" t="str">
        <f>CONCATENATE(TAB_H_MAE_ASIG[[#This Row],[ID_CARRERA]],"-NI-",TAB_H_MAE_ASIG[[#This Row],[ID_NIVEL]],"-",LEFT(MID(B196,1,20),5)&amp;IF(ISERR(FIND(" ",MID(B196,4,20))),"","-"&amp;LEFT(MID(MID(B196,4,20),FIND(" ",MID(B196,4,20))+1,20),3))&amp;IF(ISERR(FIND(" ",MID(B196,4,20),FIND(" ",MID(B196,4,20))+1)),"","-"&amp;LEFT(MID(MID(B196,4,20),FIND(" ",MID(B196,4,20),FIND(" ",MID(B196,4,20))+1)+1,20),3)))</f>
        <v>FCACC-FINA-NI-4-ADMIN-FIN</v>
      </c>
      <c r="B196" s="7" t="s">
        <v>57</v>
      </c>
      <c r="C196" s="1">
        <v>5</v>
      </c>
      <c r="D196" s="6">
        <v>16</v>
      </c>
      <c r="E196" s="1" t="s">
        <v>170</v>
      </c>
      <c r="F196" s="5" t="str">
        <f>_xlfn.XLOOKUP(TAB_H_MAE_ASIG[[#This Row],[ID_CARRERA]],MAE_CARRERA[ID_CARRERA],MAE_CARRERA[NOMBRE_CARRERA])</f>
        <v>FINANZAS 2024 NS</v>
      </c>
      <c r="G196" s="1">
        <v>4</v>
      </c>
    </row>
    <row r="197" spans="1:7" ht="12.75" customHeight="1">
      <c r="A197" s="2" t="str">
        <f>CONCATENATE(TAB_H_MAE_ASIG[[#This Row],[ID_CARRERA]],"-NI-",TAB_H_MAE_ASIG[[#This Row],[ID_NIVEL]],"-",LEFT(MID(B197,1,20),5)&amp;IF(ISERR(FIND(" ",MID(B197,4,20))),"","-"&amp;LEFT(MID(MID(B197,4,20),FIND(" ",MID(B197,4,20))+1,20),3))&amp;IF(ISERR(FIND(" ",MID(B197,4,20),FIND(" ",MID(B197,4,20))+1)),"","-"&amp;LEFT(MID(MID(B197,4,20),FIND(" ",MID(B197,4,20),FIND(" ",MID(B197,4,20))+1)+1,20),3)))</f>
        <v>FCACC-FINA-NI-4-GESTI-DEL-TAL</v>
      </c>
      <c r="B197" s="7" t="s">
        <v>179</v>
      </c>
      <c r="C197" s="1">
        <v>3</v>
      </c>
      <c r="D197" s="6">
        <v>16</v>
      </c>
      <c r="E197" s="1" t="s">
        <v>170</v>
      </c>
      <c r="F197" s="5" t="str">
        <f>_xlfn.XLOOKUP(TAB_H_MAE_ASIG[[#This Row],[ID_CARRERA]],MAE_CARRERA[ID_CARRERA],MAE_CARRERA[NOMBRE_CARRERA])</f>
        <v>FINANZAS 2024 NS</v>
      </c>
      <c r="G197" s="1">
        <v>4</v>
      </c>
    </row>
    <row r="198" spans="1:7" ht="12.75" customHeight="1">
      <c r="A198" s="2" t="str">
        <f>CONCATENATE(TAB_H_MAE_ASIG[[#This Row],[ID_CARRERA]],"-NI-",TAB_H_MAE_ASIG[[#This Row],[ID_NIVEL]],"-",LEFT(MID(B198,1,20),5)&amp;IF(ISERR(FIND(" ",MID(B198,4,20))),"","-"&amp;LEFT(MID(MID(B198,4,20),FIND(" ",MID(B198,4,20))+1,20),3))&amp;IF(ISERR(FIND(" ",MID(B198,4,20),FIND(" ",MID(B198,4,20))+1)),"","-"&amp;LEFT(MID(MID(B198,4,20),FIND(" ",MID(B198,4,20),FIND(" ",MID(B198,4,20))+1)+1,20),3)))</f>
        <v>FCACC-FINA-NI-4-GEREN-EST</v>
      </c>
      <c r="B198" s="7" t="s">
        <v>180</v>
      </c>
      <c r="C198" s="1">
        <v>4</v>
      </c>
      <c r="D198" s="6">
        <v>16</v>
      </c>
      <c r="E198" s="1" t="s">
        <v>170</v>
      </c>
      <c r="F198" s="5" t="str">
        <f>_xlfn.XLOOKUP(TAB_H_MAE_ASIG[[#This Row],[ID_CARRERA]],MAE_CARRERA[ID_CARRERA],MAE_CARRERA[NOMBRE_CARRERA])</f>
        <v>FINANZAS 2024 NS</v>
      </c>
      <c r="G198" s="1">
        <v>4</v>
      </c>
    </row>
    <row r="199" spans="1:7" ht="12.75" customHeight="1">
      <c r="A199" s="2" t="str">
        <f>CONCATENATE(TAB_H_MAE_ASIG[[#This Row],[ID_CARRERA]],"-NI-",TAB_H_MAE_ASIG[[#This Row],[ID_NIVEL]],"-",LEFT(MID(B199,1,20),5)&amp;IF(ISERR(FIND(" ",MID(B199,4,20))),"","-"&amp;LEFT(MID(MID(B199,4,20),FIND(" ",MID(B199,4,20))+1,20),3))&amp;IF(ISERR(FIND(" ",MID(B199,4,20),FIND(" ",MID(B199,4,20))+1)),"","-"&amp;LEFT(MID(MID(B199,4,20),FIND(" ",MID(B199,4,20),FIND(" ",MID(B199,4,20))+1)+1,20),3)))</f>
        <v>FCACC-FINA-NI-5-GESTI-DEL-PRE</v>
      </c>
      <c r="B199" s="7" t="s">
        <v>181</v>
      </c>
      <c r="C199" s="1">
        <v>4</v>
      </c>
      <c r="D199" s="6">
        <v>16</v>
      </c>
      <c r="E199" s="1" t="s">
        <v>170</v>
      </c>
      <c r="F199" s="5" t="str">
        <f>_xlfn.XLOOKUP(TAB_H_MAE_ASIG[[#This Row],[ID_CARRERA]],MAE_CARRERA[ID_CARRERA],MAE_CARRERA[NOMBRE_CARRERA])</f>
        <v>FINANZAS 2024 NS</v>
      </c>
      <c r="G199" s="1">
        <v>5</v>
      </c>
    </row>
    <row r="200" spans="1:7" ht="12.75" customHeight="1">
      <c r="A200" s="2" t="str">
        <f>CONCATENATE(TAB_H_MAE_ASIG[[#This Row],[ID_CARRERA]],"-NI-",TAB_H_MAE_ASIG[[#This Row],[ID_NIVEL]],"-",LEFT(MID(B200,1,20),5)&amp;IF(ISERR(FIND(" ",MID(B200,4,20))),"","-"&amp;LEFT(MID(MID(B200,4,20),FIND(" ",MID(B200,4,20))+1,20),3))&amp;IF(ISERR(FIND(" ",MID(B200,4,20),FIND(" ",MID(B200,4,20))+1)),"","-"&amp;LEFT(MID(MID(B200,4,20),FIND(" ",MID(B200,4,20),FIND(" ",MID(B200,4,20))+1)+1,20),3)))</f>
        <v>FCACC-FINA-NI-5-ECONO-POP-Y S</v>
      </c>
      <c r="B200" s="7" t="s">
        <v>182</v>
      </c>
      <c r="C200" s="1">
        <v>3</v>
      </c>
      <c r="D200" s="6">
        <v>16</v>
      </c>
      <c r="E200" s="1" t="s">
        <v>170</v>
      </c>
      <c r="F200" s="5" t="str">
        <f>_xlfn.XLOOKUP(TAB_H_MAE_ASIG[[#This Row],[ID_CARRERA]],MAE_CARRERA[ID_CARRERA],MAE_CARRERA[NOMBRE_CARRERA])</f>
        <v>FINANZAS 2024 NS</v>
      </c>
      <c r="G200" s="1">
        <v>5</v>
      </c>
    </row>
    <row r="201" spans="1:7" ht="12.75" customHeight="1">
      <c r="A201" s="2" t="str">
        <f>CONCATENATE(TAB_H_MAE_ASIG[[#This Row],[ID_CARRERA]],"-NI-",TAB_H_MAE_ASIG[[#This Row],[ID_NIVEL]],"-",LEFT(MID(B201,1,20),5)&amp;IF(ISERR(FIND(" ",MID(B201,4,20))),"","-"&amp;LEFT(MID(MID(B201,4,20),FIND(" ",MID(B201,4,20))+1,20),3))&amp;IF(ISERR(FIND(" ",MID(B201,4,20),FIND(" ",MID(B201,4,20))+1)),"","-"&amp;LEFT(MID(MID(B201,4,20),FIND(" ",MID(B201,4,20),FIND(" ",MID(B201,4,20))+1)+1,20),3)))</f>
        <v>FCACC-FINA-NI-5-ADMIN-DE -RIE</v>
      </c>
      <c r="B201" s="7" t="s">
        <v>183</v>
      </c>
      <c r="C201" s="1">
        <v>4</v>
      </c>
      <c r="D201" s="6">
        <v>16</v>
      </c>
      <c r="E201" s="1" t="s">
        <v>170</v>
      </c>
      <c r="F201" s="5" t="str">
        <f>_xlfn.XLOOKUP(TAB_H_MAE_ASIG[[#This Row],[ID_CARRERA]],MAE_CARRERA[ID_CARRERA],MAE_CARRERA[NOMBRE_CARRERA])</f>
        <v>FINANZAS 2024 NS</v>
      </c>
      <c r="G201" s="1">
        <v>5</v>
      </c>
    </row>
    <row r="202" spans="1:7" ht="12.75" customHeight="1">
      <c r="A202" s="2" t="str">
        <f>CONCATENATE(TAB_H_MAE_ASIG[[#This Row],[ID_CARRERA]],"-NI-",TAB_H_MAE_ASIG[[#This Row],[ID_NIVEL]],"-",LEFT(MID(B202,1,20),5)&amp;IF(ISERR(FIND(" ",MID(B202,4,20))),"","-"&amp;LEFT(MID(MID(B202,4,20),FIND(" ",MID(B202,4,20))+1,20),3))&amp;IF(ISERR(FIND(" ",MID(B202,4,20),FIND(" ",MID(B202,4,20))+1)),"","-"&amp;LEFT(MID(MID(B202,4,20),FIND(" ",MID(B202,4,20),FIND(" ",MID(B202,4,20))+1)+1,20),3)))</f>
        <v>FCACC-FINA-NI-5-GESTI-DE -SEG</v>
      </c>
      <c r="B202" s="7" t="s">
        <v>184</v>
      </c>
      <c r="C202" s="1">
        <v>3</v>
      </c>
      <c r="D202" s="6">
        <v>16</v>
      </c>
      <c r="E202" s="1" t="s">
        <v>170</v>
      </c>
      <c r="F202" s="5" t="str">
        <f>_xlfn.XLOOKUP(TAB_H_MAE_ASIG[[#This Row],[ID_CARRERA]],MAE_CARRERA[ID_CARRERA],MAE_CARRERA[NOMBRE_CARRERA])</f>
        <v>FINANZAS 2024 NS</v>
      </c>
      <c r="G202" s="1">
        <v>5</v>
      </c>
    </row>
    <row r="203" spans="1:7" ht="12.75" customHeight="1">
      <c r="A203" s="2" t="str">
        <f>CONCATENATE(TAB_H_MAE_ASIG[[#This Row],[ID_CARRERA]],"-NI-",TAB_H_MAE_ASIG[[#This Row],[ID_NIVEL]],"-",LEFT(MID(B203,1,20),5)&amp;IF(ISERR(FIND(" ",MID(B203,4,20))),"","-"&amp;LEFT(MID(MID(B203,4,20),FIND(" ",MID(B203,4,20))+1,20),3))&amp;IF(ISERR(FIND(" ",MID(B203,4,20),FIND(" ",MID(B203,4,20))+1)),"","-"&amp;LEFT(MID(MID(B203,4,20),FIND(" ",MID(B203,4,20),FIND(" ",MID(B203,4,20))+1)+1,20),3)))</f>
        <v>FCACC-FINA-NI-5-EMPRE-Y D-DES</v>
      </c>
      <c r="B203" s="7" t="s">
        <v>185</v>
      </c>
      <c r="C203" s="1">
        <v>3</v>
      </c>
      <c r="D203" s="6">
        <v>16</v>
      </c>
      <c r="E203" s="1" t="s">
        <v>170</v>
      </c>
      <c r="F203" s="5" t="str">
        <f>_xlfn.XLOOKUP(TAB_H_MAE_ASIG[[#This Row],[ID_CARRERA]],MAE_CARRERA[ID_CARRERA],MAE_CARRERA[NOMBRE_CARRERA])</f>
        <v>FINANZAS 2024 NS</v>
      </c>
      <c r="G203" s="1">
        <v>5</v>
      </c>
    </row>
    <row r="204" spans="1:7" ht="12.75" customHeight="1">
      <c r="A204" s="2" t="str">
        <f>CONCATENATE(TAB_H_MAE_ASIG[[#This Row],[ID_CARRERA]],"-NI-",TAB_H_MAE_ASIG[[#This Row],[ID_NIVEL]],"-",LEFT(MID(B204,1,20),5)&amp;IF(ISERR(FIND(" ",MID(B204,4,20))),"","-"&amp;LEFT(MID(MID(B204,4,20),FIND(" ",MID(B204,4,20))+1,20),3))&amp;IF(ISERR(FIND(" ",MID(B204,4,20),FIND(" ",MID(B204,4,20))+1)),"","-"&amp;LEFT(MID(MID(B204,4,20),FIND(" ",MID(B204,4,20),FIND(" ",MID(B204,4,20))+1)+1,20),3)))</f>
        <v>FCACC-FINA-NI-5-ÉTICA-Y R-RES</v>
      </c>
      <c r="B204" s="7" t="s">
        <v>186</v>
      </c>
      <c r="C204" s="1">
        <v>3</v>
      </c>
      <c r="D204" s="6">
        <v>16</v>
      </c>
      <c r="E204" s="1" t="s">
        <v>170</v>
      </c>
      <c r="F204" s="5" t="str">
        <f>_xlfn.XLOOKUP(TAB_H_MAE_ASIG[[#This Row],[ID_CARRERA]],MAE_CARRERA[ID_CARRERA],MAE_CARRERA[NOMBRE_CARRERA])</f>
        <v>FINANZAS 2024 NS</v>
      </c>
      <c r="G204" s="1">
        <v>5</v>
      </c>
    </row>
    <row r="205" spans="1:7" ht="12.75" customHeight="1">
      <c r="A205" s="2" t="str">
        <f>CONCATENATE(TAB_H_MAE_ASIG[[#This Row],[ID_CARRERA]],"-NI-",TAB_H_MAE_ASIG[[#This Row],[ID_NIVEL]],"-",LEFT(MID(B205,1,20),5)&amp;IF(ISERR(FIND(" ",MID(B205,4,20))),"","-"&amp;LEFT(MID(MID(B205,4,20),FIND(" ",MID(B205,4,20))+1,20),3))&amp;IF(ISERR(FIND(" ",MID(B205,4,20),FIND(" ",MID(B205,4,20))+1)),"","-"&amp;LEFT(MID(MID(B205,4,20),FIND(" ",MID(B205,4,20),FIND(" ",MID(B205,4,20))+1)+1,20),3)))</f>
        <v>FCACC-FINA-NI-6-FINAN-COR</v>
      </c>
      <c r="B205" s="7" t="s">
        <v>36</v>
      </c>
      <c r="C205" s="1">
        <v>4</v>
      </c>
      <c r="D205" s="6">
        <v>16</v>
      </c>
      <c r="E205" s="1" t="s">
        <v>170</v>
      </c>
      <c r="F205" s="5" t="str">
        <f>_xlfn.XLOOKUP(TAB_H_MAE_ASIG[[#This Row],[ID_CARRERA]],MAE_CARRERA[ID_CARRERA],MAE_CARRERA[NOMBRE_CARRERA])</f>
        <v>FINANZAS 2024 NS</v>
      </c>
      <c r="G205" s="1">
        <v>6</v>
      </c>
    </row>
    <row r="206" spans="1:7" ht="12.75" customHeight="1">
      <c r="A206" s="2" t="str">
        <f>CONCATENATE(TAB_H_MAE_ASIG[[#This Row],[ID_CARRERA]],"-NI-",TAB_H_MAE_ASIG[[#This Row],[ID_NIVEL]],"-",LEFT(MID(B206,1,20),5)&amp;IF(ISERR(FIND(" ",MID(B206,4,20))),"","-"&amp;LEFT(MID(MID(B206,4,20),FIND(" ",MID(B206,4,20))+1,20),3))&amp;IF(ISERR(FIND(" ",MID(B206,4,20),FIND(" ",MID(B206,4,20))+1)),"","-"&amp;LEFT(MID(MID(B206,4,20),FIND(" ",MID(B206,4,20),FIND(" ",MID(B206,4,20))+1)+1,20),3)))</f>
        <v>FCACC-FINA-NI-6-ECONO- PO-POP</v>
      </c>
      <c r="B206" s="7" t="s">
        <v>187</v>
      </c>
      <c r="C206" s="1">
        <v>3</v>
      </c>
      <c r="D206" s="6">
        <v>16</v>
      </c>
      <c r="E206" s="1" t="s">
        <v>170</v>
      </c>
      <c r="F206" s="5" t="str">
        <f>_xlfn.XLOOKUP(TAB_H_MAE_ASIG[[#This Row],[ID_CARRERA]],MAE_CARRERA[ID_CARRERA],MAE_CARRERA[NOMBRE_CARRERA])</f>
        <v>FINANZAS 2024 NS</v>
      </c>
      <c r="G206" s="1">
        <v>6</v>
      </c>
    </row>
    <row r="207" spans="1:7" ht="12.75" customHeight="1">
      <c r="A207" s="2" t="str">
        <f>CONCATENATE(TAB_H_MAE_ASIG[[#This Row],[ID_CARRERA]],"-NI-",TAB_H_MAE_ASIG[[#This Row],[ID_NIVEL]],"-",LEFT(MID(B207,1,20),5)&amp;IF(ISERR(FIND(" ",MID(B207,4,20))),"","-"&amp;LEFT(MID(MID(B207,4,20),FIND(" ",MID(B207,4,20))+1,20),3))&amp;IF(ISERR(FIND(" ",MID(B207,4,20),FIND(" ",MID(B207,4,20))+1)),"","-"&amp;LEFT(MID(MID(B207,4,20),FIND(" ",MID(B207,4,20),FIND(" ",MID(B207,4,20))+1)+1,20),3)))</f>
        <v>FCACC-FINA-NI-6-DISEÑ-Y E-EVA</v>
      </c>
      <c r="B207" s="7" t="s">
        <v>188</v>
      </c>
      <c r="C207" s="1">
        <v>4</v>
      </c>
      <c r="D207" s="6">
        <v>16</v>
      </c>
      <c r="E207" s="1" t="s">
        <v>170</v>
      </c>
      <c r="F207" s="5" t="str">
        <f>_xlfn.XLOOKUP(TAB_H_MAE_ASIG[[#This Row],[ID_CARRERA]],MAE_CARRERA[ID_CARRERA],MAE_CARRERA[NOMBRE_CARRERA])</f>
        <v>FINANZAS 2024 NS</v>
      </c>
      <c r="G207" s="1">
        <v>6</v>
      </c>
    </row>
    <row r="208" spans="1:7" ht="12.75" customHeight="1">
      <c r="A208" s="2" t="str">
        <f>CONCATENATE(TAB_H_MAE_ASIG[[#This Row],[ID_CARRERA]],"-NI-",TAB_H_MAE_ASIG[[#This Row],[ID_NIVEL]],"-",LEFT(MID(B208,1,20),5)&amp;IF(ISERR(FIND(" ",MID(B208,4,20))),"","-"&amp;LEFT(MID(MID(B208,4,20),FIND(" ",MID(B208,4,20))+1,20),3))&amp;IF(ISERR(FIND(" ",MID(B208,4,20),FIND(" ",MID(B208,4,20))+1)),"","-"&amp;LEFT(MID(MID(B208,4,20),FIND(" ",MID(B208,4,20),FIND(" ",MID(B208,4,20))+1)+1,20),3)))</f>
        <v>FCACC-FINA-NI-6-AUDIT-FIN</v>
      </c>
      <c r="B208" s="7" t="s">
        <v>66</v>
      </c>
      <c r="C208" s="1">
        <v>5</v>
      </c>
      <c r="D208" s="6">
        <v>16</v>
      </c>
      <c r="E208" s="1" t="s">
        <v>170</v>
      </c>
      <c r="F208" s="5" t="str">
        <f>_xlfn.XLOOKUP(TAB_H_MAE_ASIG[[#This Row],[ID_CARRERA]],MAE_CARRERA[ID_CARRERA],MAE_CARRERA[NOMBRE_CARRERA])</f>
        <v>FINANZAS 2024 NS</v>
      </c>
      <c r="G208" s="1">
        <v>6</v>
      </c>
    </row>
    <row r="209" spans="1:7" ht="12.75" customHeight="1">
      <c r="A209" s="2" t="str">
        <f>CONCATENATE(TAB_H_MAE_ASIG[[#This Row],[ID_CARRERA]],"-NI-",TAB_H_MAE_ASIG[[#This Row],[ID_NIVEL]],"-",LEFT(MID(B209,1,20),5)&amp;IF(ISERR(FIND(" ",MID(B209,4,20))),"","-"&amp;LEFT(MID(MID(B209,4,20),FIND(" ",MID(B209,4,20))+1,20),3))&amp;IF(ISERR(FIND(" ",MID(B209,4,20),FIND(" ",MID(B209,4,20))+1)),"","-"&amp;LEFT(MID(MID(B209,4,20),FIND(" ",MID(B209,4,20),FIND(" ",MID(B209,4,20))+1)+1,20),3)))</f>
        <v>FCACC-FINA-NI-6-MERCA-FIN</v>
      </c>
      <c r="B209" s="7" t="s">
        <v>189</v>
      </c>
      <c r="C209" s="1">
        <v>4</v>
      </c>
      <c r="D209" s="6">
        <v>16</v>
      </c>
      <c r="E209" s="1" t="s">
        <v>170</v>
      </c>
      <c r="F209" s="5" t="str">
        <f>_xlfn.XLOOKUP(TAB_H_MAE_ASIG[[#This Row],[ID_CARRERA]],MAE_CARRERA[ID_CARRERA],MAE_CARRERA[NOMBRE_CARRERA])</f>
        <v>FINANZAS 2024 NS</v>
      </c>
      <c r="G209" s="1">
        <v>6</v>
      </c>
    </row>
    <row r="210" spans="1:7" ht="12.75" customHeight="1">
      <c r="A210" s="2" t="str">
        <f>CONCATENATE(TAB_H_MAE_ASIG[[#This Row],[ID_CARRERA]],"-NI-",TAB_H_MAE_ASIG[[#This Row],[ID_NIVEL]],"-",LEFT(MID(B210,1,20),5)&amp;IF(ISERR(FIND(" ",MID(B210,4,20))),"","-"&amp;LEFT(MID(MID(B210,4,20),FIND(" ",MID(B210,4,20))+1,20),3))&amp;IF(ISERR(FIND(" ",MID(B210,4,20),FIND(" ",MID(B210,4,20))+1)),"","-"&amp;LEFT(MID(MID(B210,4,20),FIND(" ",MID(B210,4,20),FIND(" ",MID(B210,4,20))+1)+1,20),3)))</f>
        <v>FCACC-FINA-NI-7-FINAN- Y -Y P</v>
      </c>
      <c r="B210" s="7" t="s">
        <v>190</v>
      </c>
      <c r="C210" s="1">
        <v>4</v>
      </c>
      <c r="D210" s="6">
        <v>16</v>
      </c>
      <c r="E210" s="1" t="s">
        <v>170</v>
      </c>
      <c r="F210" s="5" t="str">
        <f>_xlfn.XLOOKUP(TAB_H_MAE_ASIG[[#This Row],[ID_CARRERA]],MAE_CARRERA[ID_CARRERA],MAE_CARRERA[NOMBRE_CARRERA])</f>
        <v>FINANZAS 2024 NS</v>
      </c>
      <c r="G210" s="1">
        <v>7</v>
      </c>
    </row>
    <row r="211" spans="1:7" ht="12.75" customHeight="1">
      <c r="A211" s="2" t="str">
        <f>CONCATENATE(TAB_H_MAE_ASIG[[#This Row],[ID_CARRERA]],"-NI-",TAB_H_MAE_ASIG[[#This Row],[ID_NIVEL]],"-",LEFT(MID(B211,1,20),5)&amp;IF(ISERR(FIND(" ",MID(B211,4,20))),"","-"&amp;LEFT(MID(MID(B211,4,20),FIND(" ",MID(B211,4,20))+1,20),3))&amp;IF(ISERR(FIND(" ",MID(B211,4,20),FIND(" ",MID(B211,4,20))+1)),"","-"&amp;LEFT(MID(MID(B211,4,20),FIND(" ",MID(B211,4,20),FIND(" ",MID(B211,4,20))+1)+1,20),3)))</f>
        <v>FCACC-FINA-NI-7-MERCA</v>
      </c>
      <c r="B211" s="7" t="s">
        <v>191</v>
      </c>
      <c r="C211" s="1">
        <v>4</v>
      </c>
      <c r="D211" s="6">
        <v>16</v>
      </c>
      <c r="E211" s="1" t="s">
        <v>170</v>
      </c>
      <c r="F211" s="5" t="str">
        <f>_xlfn.XLOOKUP(TAB_H_MAE_ASIG[[#This Row],[ID_CARRERA]],MAE_CARRERA[ID_CARRERA],MAE_CARRERA[NOMBRE_CARRERA])</f>
        <v>FINANZAS 2024 NS</v>
      </c>
      <c r="G211" s="1">
        <v>7</v>
      </c>
    </row>
    <row r="212" spans="1:7" ht="12.75" customHeight="1">
      <c r="A212" s="2" t="str">
        <f>CONCATENATE(TAB_H_MAE_ASIG[[#This Row],[ID_CARRERA]],"-NI-",TAB_H_MAE_ASIG[[#This Row],[ID_NIVEL]],"-",LEFT(MID(B212,1,20),5)&amp;IF(ISERR(FIND(" ",MID(B212,4,20))),"","-"&amp;LEFT(MID(MID(B212,4,20),FIND(" ",MID(B212,4,20))+1,20),3))&amp;IF(ISERR(FIND(" ",MID(B212,4,20),FIND(" ",MID(B212,4,20))+1)),"","-"&amp;LEFT(MID(MID(B212,4,20),FIND(" ",MID(B212,4,20),FIND(" ",MID(B212,4,20))+1)+1,20),3)))</f>
        <v>FCACC-FINA-NI-7-DISEÑ- Y -Y E</v>
      </c>
      <c r="B212" s="7" t="s">
        <v>192</v>
      </c>
      <c r="C212" s="1">
        <v>4</v>
      </c>
      <c r="D212" s="6">
        <v>16</v>
      </c>
      <c r="E212" s="1" t="s">
        <v>170</v>
      </c>
      <c r="F212" s="5" t="str">
        <f>_xlfn.XLOOKUP(TAB_H_MAE_ASIG[[#This Row],[ID_CARRERA]],MAE_CARRERA[ID_CARRERA],MAE_CARRERA[NOMBRE_CARRERA])</f>
        <v>FINANZAS 2024 NS</v>
      </c>
      <c r="G212" s="1">
        <v>7</v>
      </c>
    </row>
    <row r="213" spans="1:7" ht="12.75" customHeight="1">
      <c r="A213" s="2" t="str">
        <f>CONCATENATE(TAB_H_MAE_ASIG[[#This Row],[ID_CARRERA]],"-NI-",TAB_H_MAE_ASIG[[#This Row],[ID_NIVEL]],"-",LEFT(MID(B213,1,20),5)&amp;IF(ISERR(FIND(" ",MID(B213,4,20))),"","-"&amp;LEFT(MID(MID(B213,4,20),FIND(" ",MID(B213,4,20))+1,20),3))&amp;IF(ISERR(FIND(" ",MID(B213,4,20),FIND(" ",MID(B213,4,20))+1)),"","-"&amp;LEFT(MID(MID(B213,4,20),FIND(" ",MID(B213,4,20),FIND(" ",MID(B213,4,20))+1)+1,20),3)))</f>
        <v>FCACC-FINA-NI-7-PLANI-PRO</v>
      </c>
      <c r="B213" s="8" t="s">
        <v>193</v>
      </c>
      <c r="C213" s="1">
        <v>4</v>
      </c>
      <c r="D213" s="6">
        <v>16</v>
      </c>
      <c r="E213" s="1" t="s">
        <v>170</v>
      </c>
      <c r="F213" s="5" t="str">
        <f>_xlfn.XLOOKUP(TAB_H_MAE_ASIG[[#This Row],[ID_CARRERA]],MAE_CARRERA[ID_CARRERA],MAE_CARRERA[NOMBRE_CARRERA])</f>
        <v>FINANZAS 2024 NS</v>
      </c>
      <c r="G213" s="1">
        <v>7</v>
      </c>
    </row>
    <row r="214" spans="1:7" ht="12.75" customHeight="1">
      <c r="A214" s="2" t="str">
        <f>CONCATENATE(TAB_H_MAE_ASIG[[#This Row],[ID_CARRERA]],"-NI-",TAB_H_MAE_ASIG[[#This Row],[ID_NIVEL]],"-",LEFT(MID(B214,1,20),5)&amp;IF(ISERR(FIND(" ",MID(B214,4,20))),"","-"&amp;LEFT(MID(MID(B214,4,20),FIND(" ",MID(B214,4,20))+1,20),3))&amp;IF(ISERR(FIND(" ",MID(B214,4,20),FIND(" ",MID(B214,4,20))+1)),"","-"&amp;LEFT(MID(MID(B214,4,20),FIND(" ",MID(B214,4,20),FIND(" ",MID(B214,4,20))+1)+1,20),3)))</f>
        <v>FCACC-FINA-NI-7-PROCE-DE -CON</v>
      </c>
      <c r="B214" s="7" t="s">
        <v>73</v>
      </c>
      <c r="C214" s="1">
        <v>4</v>
      </c>
      <c r="D214" s="6">
        <v>16</v>
      </c>
      <c r="E214" s="1" t="s">
        <v>170</v>
      </c>
      <c r="F214" s="5" t="str">
        <f>_xlfn.XLOOKUP(TAB_H_MAE_ASIG[[#This Row],[ID_CARRERA]],MAE_CARRERA[ID_CARRERA],MAE_CARRERA[NOMBRE_CARRERA])</f>
        <v>FINANZAS 2024 NS</v>
      </c>
      <c r="G214" s="1">
        <v>7</v>
      </c>
    </row>
    <row r="215" spans="1:7" ht="12.75" customHeight="1">
      <c r="A215" s="2" t="str">
        <f>CONCATENATE(TAB_H_MAE_ASIG[[#This Row],[ID_CARRERA]],"-NI-",TAB_H_MAE_ASIG[[#This Row],[ID_NIVEL]],"-",LEFT(MID(B215,1,20),5)&amp;IF(ISERR(FIND(" ",MID(B215,4,20))),"","-"&amp;LEFT(MID(MID(B215,4,20),FIND(" ",MID(B215,4,20))+1,20),3))&amp;IF(ISERR(FIND(" ",MID(B215,4,20),FIND(" ",MID(B215,4,20))+1)),"","-"&amp;LEFT(MID(MID(B215,4,20),FIND(" ",MID(B215,4,20),FIND(" ",MID(B215,4,20))+1)+1,20),3)))</f>
        <v>FCACC-FINA-NI-8-SISTE-DE -INF</v>
      </c>
      <c r="B215" s="7" t="s">
        <v>194</v>
      </c>
      <c r="C215" s="1">
        <v>4</v>
      </c>
      <c r="D215" s="6">
        <v>16</v>
      </c>
      <c r="E215" s="1" t="s">
        <v>170</v>
      </c>
      <c r="F215" s="5" t="str">
        <f>_xlfn.XLOOKUP(TAB_H_MAE_ASIG[[#This Row],[ID_CARRERA]],MAE_CARRERA[ID_CARRERA],MAE_CARRERA[NOMBRE_CARRERA])</f>
        <v>FINANZAS 2024 NS</v>
      </c>
      <c r="G215" s="1">
        <v>8</v>
      </c>
    </row>
    <row r="216" spans="1:7" ht="12.75" customHeight="1">
      <c r="A216" s="2" t="str">
        <f>CONCATENATE(TAB_H_MAE_ASIG[[#This Row],[ID_CARRERA]],"-NI-",TAB_H_MAE_ASIG[[#This Row],[ID_NIVEL]],"-",LEFT(MID(B216,1,20),5)&amp;IF(ISERR(FIND(" ",MID(B216,4,20))),"","-"&amp;LEFT(MID(MID(B216,4,20),FIND(" ",MID(B216,4,20))+1,20),3))&amp;IF(ISERR(FIND(" ",MID(B216,4,20),FIND(" ",MID(B216,4,20))+1)),"","-"&amp;LEFT(MID(MID(B216,4,20),FIND(" ",MID(B216,4,20),FIND(" ",MID(B216,4,20))+1)+1,20),3)))</f>
        <v>FCACC-FINA-NI-8-CONTA-GUB</v>
      </c>
      <c r="B216" s="7" t="s">
        <v>161</v>
      </c>
      <c r="C216" s="1">
        <v>4</v>
      </c>
      <c r="D216" s="6">
        <v>16</v>
      </c>
      <c r="E216" s="1" t="s">
        <v>170</v>
      </c>
      <c r="F216" s="5" t="str">
        <f>_xlfn.XLOOKUP(TAB_H_MAE_ASIG[[#This Row],[ID_CARRERA]],MAE_CARRERA[ID_CARRERA],MAE_CARRERA[NOMBRE_CARRERA])</f>
        <v>FINANZAS 2024 NS</v>
      </c>
      <c r="G216" s="1">
        <v>8</v>
      </c>
    </row>
    <row r="217" spans="1:7" ht="12.75" customHeight="1">
      <c r="A217" s="2" t="str">
        <f>CONCATENATE(TAB_H_MAE_ASIG[[#This Row],[ID_CARRERA]],"-NI-",TAB_H_MAE_ASIG[[#This Row],[ID_NIVEL]],"-",LEFT(MID(B217,1,20),5)&amp;IF(ISERR(FIND(" ",MID(B217,4,20))),"","-"&amp;LEFT(MID(MID(B217,4,20),FIND(" ",MID(B217,4,20))+1,20),3))&amp;IF(ISERR(FIND(" ",MID(B217,4,20),FIND(" ",MID(B217,4,20))+1)),"","-"&amp;LEFT(MID(MID(B217,4,20),FIND(" ",MID(B217,4,20),FIND(" ",MID(B217,4,20))+1)+1,20),3)))</f>
        <v>FCACC-FINA-NI-8-FINAN-DE -INV</v>
      </c>
      <c r="B217" s="7" t="s">
        <v>195</v>
      </c>
      <c r="C217" s="1">
        <v>4</v>
      </c>
      <c r="D217" s="6">
        <v>16</v>
      </c>
      <c r="E217" s="1" t="s">
        <v>170</v>
      </c>
      <c r="F217" s="5" t="str">
        <f>_xlfn.XLOOKUP(TAB_H_MAE_ASIG[[#This Row],[ID_CARRERA]],MAE_CARRERA[ID_CARRERA],MAE_CARRERA[NOMBRE_CARRERA])</f>
        <v>FINANZAS 2024 NS</v>
      </c>
      <c r="G217" s="1">
        <v>8</v>
      </c>
    </row>
    <row r="218" spans="1:7" ht="12.75" customHeight="1">
      <c r="A218" s="2" t="str">
        <f>CONCATENATE(TAB_H_MAE_ASIG[[#This Row],[ID_CARRERA]],"-NI-",TAB_H_MAE_ASIG[[#This Row],[ID_NIVEL]],"-",LEFT(MID(B218,1,20),5)&amp;IF(ISERR(FIND(" ",MID(B218,4,20))),"","-"&amp;LEFT(MID(MID(B218,4,20),FIND(" ",MID(B218,4,20))+1,20),3))&amp;IF(ISERR(FIND(" ",MID(B218,4,20),FIND(" ",MID(B218,4,20))+1)),"","-"&amp;LEFT(MID(MID(B218,4,20),FIND(" ",MID(B218,4,20),FIND(" ",MID(B218,4,20))+1)+1,20),3)))</f>
        <v>FCACC-FINA-NI-8-MODEL-Y S-SIM</v>
      </c>
      <c r="B218" s="7" t="s">
        <v>196</v>
      </c>
      <c r="C218" s="1">
        <v>4</v>
      </c>
      <c r="D218" s="6">
        <v>16</v>
      </c>
      <c r="E218" s="1" t="s">
        <v>170</v>
      </c>
      <c r="F218" s="5" t="str">
        <f>_xlfn.XLOOKUP(TAB_H_MAE_ASIG[[#This Row],[ID_CARRERA]],MAE_CARRERA[ID_CARRERA],MAE_CARRERA[NOMBRE_CARRERA])</f>
        <v>FINANZAS 2024 NS</v>
      </c>
      <c r="G218" s="1">
        <v>8</v>
      </c>
    </row>
    <row r="219" spans="1:7" ht="12.75" customHeight="1">
      <c r="A219" s="2" t="str">
        <f>CONCATENATE(TAB_H_MAE_ASIG[[#This Row],[ID_CARRERA]],"-NI-",TAB_H_MAE_ASIG[[#This Row],[ID_NIVEL]],"-",LEFT(MID(B219,1,20),5)&amp;IF(ISERR(FIND(" ",MID(B219,4,20))),"","-"&amp;LEFT(MID(MID(B219,4,20),FIND(" ",MID(B219,4,20))+1,20),3))&amp;IF(ISERR(FIND(" ",MID(B219,4,20),FIND(" ",MID(B219,4,20))+1)),"","-"&amp;LEFT(MID(MID(B219,4,20),FIND(" ",MID(B219,4,20),FIND(" ",MID(B219,4,20))+1)+1,20),3)))</f>
        <v>FCACC-FINA-NI-8-VALOR-DE -EMP</v>
      </c>
      <c r="B219" s="7" t="s">
        <v>197</v>
      </c>
      <c r="C219" s="1">
        <v>4</v>
      </c>
      <c r="D219" s="6">
        <v>16</v>
      </c>
      <c r="E219" s="1" t="s">
        <v>170</v>
      </c>
      <c r="F219" s="5" t="str">
        <f>_xlfn.XLOOKUP(TAB_H_MAE_ASIG[[#This Row],[ID_CARRERA]],MAE_CARRERA[ID_CARRERA],MAE_CARRERA[NOMBRE_CARRERA])</f>
        <v>FINANZAS 2024 NS</v>
      </c>
      <c r="G219" s="1">
        <v>8</v>
      </c>
    </row>
    <row r="220" spans="1:7" ht="12.75" customHeight="1">
      <c r="A220" s="2" t="str">
        <f>CONCATENATE(TAB_H_MAE_ASIG[[#This Row],[ID_CARRERA]],"-NI-",TAB_H_MAE_ASIG[[#This Row],[ID_NIVEL]],"-",LEFT(MID(B220,1,20),5)&amp;IF(ISERR(FIND(" ",MID(B220,4,20))),"","-"&amp;LEFT(MID(MID(B220,4,20),FIND(" ",MID(B220,4,20))+1,20),3))&amp;IF(ISERR(FIND(" ",MID(B220,4,20),FIND(" ",MID(B220,4,20))+1)),"","-"&amp;LEFT(MID(MID(B220,4,20),FIND(" ",MID(B220,4,20),FIND(" ",MID(B220,4,20))+1)+1,20),3)))</f>
        <v>FCACC-GE-IN-GE-NI-8-ENGLI-FOR-SPE</v>
      </c>
      <c r="B220" s="9" t="s">
        <v>198</v>
      </c>
      <c r="C220" s="11">
        <v>4</v>
      </c>
      <c r="D220" s="6">
        <v>16</v>
      </c>
      <c r="E220" s="11" t="s">
        <v>199</v>
      </c>
      <c r="F220" s="5" t="str">
        <f>_xlfn.XLOOKUP(TAB_H_MAE_ASIG[[#This Row],[ID_CARRERA]],MAE_CARRERA[ID_CARRERA],MAE_CARRERA[NOMBRE_CARRERA])</f>
        <v>GESTION DE LA INFORMACIÓN GERENCIA - 2024</v>
      </c>
      <c r="G220" s="10">
        <v>8</v>
      </c>
    </row>
    <row r="221" spans="1:7" ht="12.75" customHeight="1">
      <c r="A221" s="2" t="str">
        <f>CONCATENATE(TAB_H_MAE_ASIG[[#This Row],[ID_CARRERA]],"-NI-",TAB_H_MAE_ASIG[[#This Row],[ID_NIVEL]],"-",LEFT(MID(B221,1,20),5)&amp;IF(ISERR(FIND(" ",MID(B221,4,20))),"","-"&amp;LEFT(MID(MID(B221,4,20),FIND(" ",MID(B221,4,20))+1,20),3))&amp;IF(ISERR(FIND(" ",MID(B221,4,20),FIND(" ",MID(B221,4,20))+1)),"","-"&amp;LEFT(MID(MID(B221,4,20),FIND(" ",MID(B221,4,20),FIND(" ",MID(B221,4,20))+1)+1,20),3)))</f>
        <v>FCACC-GE-IN-GE-NI-3-GESTI-DE -PRO</v>
      </c>
      <c r="B221" s="9" t="s">
        <v>200</v>
      </c>
      <c r="C221" s="11">
        <v>4</v>
      </c>
      <c r="D221" s="6">
        <v>16</v>
      </c>
      <c r="E221" s="11" t="s">
        <v>199</v>
      </c>
      <c r="F221" s="5" t="str">
        <f>_xlfn.XLOOKUP(TAB_H_MAE_ASIG[[#This Row],[ID_CARRERA]],MAE_CARRERA[ID_CARRERA],MAE_CARRERA[NOMBRE_CARRERA])</f>
        <v>GESTION DE LA INFORMACIÓN GERENCIA - 2024</v>
      </c>
      <c r="G221" s="10">
        <v>3</v>
      </c>
    </row>
    <row r="222" spans="1:7" ht="12.75" customHeight="1">
      <c r="A222" s="2" t="str">
        <f>CONCATENATE(TAB_H_MAE_ASIG[[#This Row],[ID_CARRERA]],"-NI-",TAB_H_MAE_ASIG[[#This Row],[ID_NIVEL]],"-",LEFT(MID(B222,1,20),5)&amp;IF(ISERR(FIND(" ",MID(B222,4,20))),"","-"&amp;LEFT(MID(MID(B222,4,20),FIND(" ",MID(B222,4,20))+1,20),3))&amp;IF(ISERR(FIND(" ",MID(B222,4,20),FIND(" ",MID(B222,4,20))+1)),"","-"&amp;LEFT(MID(MID(B222,4,20),FIND(" ",MID(B222,4,20),FIND(" ",MID(B222,4,20))+1)+1,20),3)))</f>
        <v>FCACC-GE-IN-GE-NI-3-ESTAD-INF</v>
      </c>
      <c r="B222" s="9" t="s">
        <v>54</v>
      </c>
      <c r="C222" s="11">
        <v>4</v>
      </c>
      <c r="D222" s="6">
        <v>16</v>
      </c>
      <c r="E222" s="11" t="s">
        <v>199</v>
      </c>
      <c r="F222" s="5" t="str">
        <f>_xlfn.XLOOKUP(TAB_H_MAE_ASIG[[#This Row],[ID_CARRERA]],MAE_CARRERA[ID_CARRERA],MAE_CARRERA[NOMBRE_CARRERA])</f>
        <v>GESTION DE LA INFORMACIÓN GERENCIA - 2024</v>
      </c>
      <c r="G222" s="10">
        <v>3</v>
      </c>
    </row>
    <row r="223" spans="1:7" ht="12.75" customHeight="1">
      <c r="A223" s="2" t="str">
        <f>CONCATENATE(TAB_H_MAE_ASIG[[#This Row],[ID_CARRERA]],"-NI-",TAB_H_MAE_ASIG[[#This Row],[ID_NIVEL]],"-",LEFT(MID(B223,1,20),5)&amp;IF(ISERR(FIND(" ",MID(B223,4,20))),"","-"&amp;LEFT(MID(MID(B223,4,20),FIND(" ",MID(B223,4,20))+1,20),3))&amp;IF(ISERR(FIND(" ",MID(B223,4,20),FIND(" ",MID(B223,4,20))+1)),"","-"&amp;LEFT(MID(MID(B223,4,20),FIND(" ",MID(B223,4,20),FIND(" ",MID(B223,4,20))+1)+1,20),3)))</f>
        <v>FCACC-GE-IN-GE-NI-3-SISTE-DE -INF</v>
      </c>
      <c r="B223" s="9" t="s">
        <v>201</v>
      </c>
      <c r="C223" s="11">
        <v>4</v>
      </c>
      <c r="D223" s="6">
        <v>16</v>
      </c>
      <c r="E223" s="11" t="s">
        <v>199</v>
      </c>
      <c r="F223" s="5" t="str">
        <f>_xlfn.XLOOKUP(TAB_H_MAE_ASIG[[#This Row],[ID_CARRERA]],MAE_CARRERA[ID_CARRERA],MAE_CARRERA[NOMBRE_CARRERA])</f>
        <v>GESTION DE LA INFORMACIÓN GERENCIA - 2024</v>
      </c>
      <c r="G223" s="10">
        <v>3</v>
      </c>
    </row>
    <row r="224" spans="1:7" ht="12.75" customHeight="1">
      <c r="A224" s="2" t="str">
        <f>CONCATENATE(TAB_H_MAE_ASIG[[#This Row],[ID_CARRERA]],"-NI-",TAB_H_MAE_ASIG[[#This Row],[ID_NIVEL]],"-",LEFT(MID(B224,1,20),5)&amp;IF(ISERR(FIND(" ",MID(B224,4,20))),"","-"&amp;LEFT(MID(MID(B224,4,20),FIND(" ",MID(B224,4,20))+1,20),3))&amp;IF(ISERR(FIND(" ",MID(B224,4,20),FIND(" ",MID(B224,4,20))+1)),"","-"&amp;LEFT(MID(MID(B224,4,20),FIND(" ",MID(B224,4,20),FIND(" ",MID(B224,4,20))+1)+1,20),3)))</f>
        <v xml:space="preserve">FCACC-GE-IN-GE-NI-3-GESTI-DE -LA </v>
      </c>
      <c r="B224" s="9" t="s">
        <v>202</v>
      </c>
      <c r="C224" s="11">
        <v>4</v>
      </c>
      <c r="D224" s="6">
        <v>16</v>
      </c>
      <c r="E224" s="11" t="s">
        <v>199</v>
      </c>
      <c r="F224" s="5" t="str">
        <f>_xlfn.XLOOKUP(TAB_H_MAE_ASIG[[#This Row],[ID_CARRERA]],MAE_CARRERA[ID_CARRERA],MAE_CARRERA[NOMBRE_CARRERA])</f>
        <v>GESTION DE LA INFORMACIÓN GERENCIA - 2024</v>
      </c>
      <c r="G224" s="10">
        <v>3</v>
      </c>
    </row>
    <row r="225" spans="1:7" ht="12.75" customHeight="1">
      <c r="A225" s="2" t="str">
        <f>CONCATENATE(TAB_H_MAE_ASIG[[#This Row],[ID_CARRERA]],"-NI-",TAB_H_MAE_ASIG[[#This Row],[ID_NIVEL]],"-",LEFT(MID(B225,1,20),5)&amp;IF(ISERR(FIND(" ",MID(B225,4,20))),"","-"&amp;LEFT(MID(MID(B225,4,20),FIND(" ",MID(B225,4,20))+1,20),3))&amp;IF(ISERR(FIND(" ",MID(B225,4,20),FIND(" ",MID(B225,4,20))+1)),"","-"&amp;LEFT(MID(MID(B225,4,20),FIND(" ",MID(B225,4,20),FIND(" ",MID(B225,4,20))+1)+1,20),3)))</f>
        <v>FCACC-GE-IN-GE-NI-3-METOD-DE -INV</v>
      </c>
      <c r="B225" s="9" t="s">
        <v>203</v>
      </c>
      <c r="C225" s="11">
        <v>4</v>
      </c>
      <c r="D225" s="6">
        <v>16</v>
      </c>
      <c r="E225" s="11" t="s">
        <v>199</v>
      </c>
      <c r="F225" s="5" t="str">
        <f>_xlfn.XLOOKUP(TAB_H_MAE_ASIG[[#This Row],[ID_CARRERA]],MAE_CARRERA[ID_CARRERA],MAE_CARRERA[NOMBRE_CARRERA])</f>
        <v>GESTION DE LA INFORMACIÓN GERENCIA - 2024</v>
      </c>
      <c r="G225" s="10">
        <v>3</v>
      </c>
    </row>
    <row r="226" spans="1:7" ht="12.75" customHeight="1">
      <c r="A226" s="2" t="str">
        <f>CONCATENATE(TAB_H_MAE_ASIG[[#This Row],[ID_CARRERA]],"-NI-",TAB_H_MAE_ASIG[[#This Row],[ID_NIVEL]],"-",LEFT(MID(B226,1,20),5)&amp;IF(ISERR(FIND(" ",MID(B226,4,20))),"","-"&amp;LEFT(MID(MID(B226,4,20),FIND(" ",MID(B226,4,20))+1,20),3))&amp;IF(ISERR(FIND(" ",MID(B226,4,20),FIND(" ",MID(B226,4,20))+1)),"","-"&amp;LEFT(MID(MID(B226,4,20),FIND(" ",MID(B226,4,20),FIND(" ",MID(B226,4,20))+1)+1,20),3)))</f>
        <v>FCACC-GE-IN-GE-NI-4-SISTE-DE -INF</v>
      </c>
      <c r="B226" s="9" t="s">
        <v>204</v>
      </c>
      <c r="C226" s="11">
        <v>4</v>
      </c>
      <c r="D226" s="6">
        <v>16</v>
      </c>
      <c r="E226" s="11" t="s">
        <v>199</v>
      </c>
      <c r="F226" s="5" t="str">
        <f>_xlfn.XLOOKUP(TAB_H_MAE_ASIG[[#This Row],[ID_CARRERA]],MAE_CARRERA[ID_CARRERA],MAE_CARRERA[NOMBRE_CARRERA])</f>
        <v>GESTION DE LA INFORMACIÓN GERENCIA - 2024</v>
      </c>
      <c r="G226" s="10">
        <v>4</v>
      </c>
    </row>
    <row r="227" spans="1:7" ht="12.75" customHeight="1">
      <c r="A227" s="2" t="str">
        <f>CONCATENATE(TAB_H_MAE_ASIG[[#This Row],[ID_CARRERA]],"-NI-",TAB_H_MAE_ASIG[[#This Row],[ID_NIVEL]],"-",LEFT(MID(B227,1,20),5)&amp;IF(ISERR(FIND(" ",MID(B227,4,20))),"","-"&amp;LEFT(MID(MID(B227,4,20),FIND(" ",MID(B227,4,20))+1,20),3))&amp;IF(ISERR(FIND(" ",MID(B227,4,20),FIND(" ",MID(B227,4,20))+1)),"","-"&amp;LEFT(MID(MID(B227,4,20),FIND(" ",MID(B227,4,20),FIND(" ",MID(B227,4,20))+1)+1,20),3)))</f>
        <v>FCACC-GE-IN-GE-NI-4-HERRA-DIG-</v>
      </c>
      <c r="B227" s="9" t="s">
        <v>205</v>
      </c>
      <c r="C227" s="11">
        <v>5</v>
      </c>
      <c r="D227" s="6">
        <v>16</v>
      </c>
      <c r="E227" s="11" t="s">
        <v>199</v>
      </c>
      <c r="F227" s="5" t="str">
        <f>_xlfn.XLOOKUP(TAB_H_MAE_ASIG[[#This Row],[ID_CARRERA]],MAE_CARRERA[ID_CARRERA],MAE_CARRERA[NOMBRE_CARRERA])</f>
        <v>GESTION DE LA INFORMACIÓN GERENCIA - 2024</v>
      </c>
      <c r="G227" s="10">
        <v>4</v>
      </c>
    </row>
    <row r="228" spans="1:7" ht="12.75" customHeight="1">
      <c r="A228" s="2" t="str">
        <f>CONCATENATE(TAB_H_MAE_ASIG[[#This Row],[ID_CARRERA]],"-NI-",TAB_H_MAE_ASIG[[#This Row],[ID_NIVEL]],"-",LEFT(MID(B228,1,20),5)&amp;IF(ISERR(FIND(" ",MID(B228,4,20))),"","-"&amp;LEFT(MID(MID(B228,4,20),FIND(" ",MID(B228,4,20))+1,20),3))&amp;IF(ISERR(FIND(" ",MID(B228,4,20),FIND(" ",MID(B228,4,20))+1)),"","-"&amp;LEFT(MID(MID(B228,4,20),FIND(" ",MID(B228,4,20),FIND(" ",MID(B228,4,20))+1)+1,20),3)))</f>
        <v xml:space="preserve">FCACC-GE-IN-GE-NI-4-GOBIE-ELE-Y </v>
      </c>
      <c r="B228" s="9" t="s">
        <v>206</v>
      </c>
      <c r="C228" s="11">
        <v>6</v>
      </c>
      <c r="D228" s="6">
        <v>16</v>
      </c>
      <c r="E228" s="11" t="s">
        <v>199</v>
      </c>
      <c r="F228" s="5" t="str">
        <f>_xlfn.XLOOKUP(TAB_H_MAE_ASIG[[#This Row],[ID_CARRERA]],MAE_CARRERA[ID_CARRERA],MAE_CARRERA[NOMBRE_CARRERA])</f>
        <v>GESTION DE LA INFORMACIÓN GERENCIA - 2024</v>
      </c>
      <c r="G228" s="10">
        <v>4</v>
      </c>
    </row>
    <row r="229" spans="1:7" ht="12.75" customHeight="1">
      <c r="A229" s="2" t="str">
        <f>CONCATENATE(TAB_H_MAE_ASIG[[#This Row],[ID_CARRERA]],"-NI-",TAB_H_MAE_ASIG[[#This Row],[ID_NIVEL]],"-",LEFT(MID(B229,1,20),5)&amp;IF(ISERR(FIND(" ",MID(B229,4,20))),"","-"&amp;LEFT(MID(MID(B229,4,20),FIND(" ",MID(B229,4,20))+1,20),3))&amp;IF(ISERR(FIND(" ",MID(B229,4,20),FIND(" ",MID(B229,4,20))+1)),"","-"&amp;LEFT(MID(MID(B229,4,20),FIND(" ",MID(B229,4,20),FIND(" ",MID(B229,4,20))+1)+1,20),3)))</f>
        <v>FCACC-GE-IN-GE-NI-4-GESTI-DOC-Y A</v>
      </c>
      <c r="B229" s="9" t="s">
        <v>207</v>
      </c>
      <c r="C229" s="11">
        <v>5</v>
      </c>
      <c r="D229" s="6">
        <v>16</v>
      </c>
      <c r="E229" s="11" t="s">
        <v>199</v>
      </c>
      <c r="F229" s="5" t="str">
        <f>_xlfn.XLOOKUP(TAB_H_MAE_ASIG[[#This Row],[ID_CARRERA]],MAE_CARRERA[ID_CARRERA],MAE_CARRERA[NOMBRE_CARRERA])</f>
        <v>GESTION DE LA INFORMACIÓN GERENCIA - 2024</v>
      </c>
      <c r="G229" s="10">
        <v>4</v>
      </c>
    </row>
    <row r="230" spans="1:7" ht="12.75" customHeight="1">
      <c r="A230" s="2" t="str">
        <f>CONCATENATE(TAB_H_MAE_ASIG[[#This Row],[ID_CARRERA]],"-NI-",TAB_H_MAE_ASIG[[#This Row],[ID_NIVEL]],"-",LEFT(MID(B230,1,20),5)&amp;IF(ISERR(FIND(" ",MID(B230,4,20))),"","-"&amp;LEFT(MID(MID(B230,4,20),FIND(" ",MID(B230,4,20))+1,20),3))&amp;IF(ISERR(FIND(" ",MID(B230,4,20),FIND(" ",MID(B230,4,20))+1)),"","-"&amp;LEFT(MID(MID(B230,4,20),FIND(" ",MID(B230,4,20),FIND(" ",MID(B230,4,20))+1)+1,20),3)))</f>
        <v>FCACC-GE-IN-GE-NI-6-ANÁLI-CUA-DE</v>
      </c>
      <c r="B230" s="9" t="s">
        <v>208</v>
      </c>
      <c r="C230" s="11">
        <v>4</v>
      </c>
      <c r="D230" s="6">
        <v>16</v>
      </c>
      <c r="E230" s="11" t="s">
        <v>199</v>
      </c>
      <c r="F230" s="5" t="str">
        <f>_xlfn.XLOOKUP(TAB_H_MAE_ASIG[[#This Row],[ID_CARRERA]],MAE_CARRERA[ID_CARRERA],MAE_CARRERA[NOMBRE_CARRERA])</f>
        <v>GESTION DE LA INFORMACIÓN GERENCIA - 2024</v>
      </c>
      <c r="G230" s="10">
        <v>6</v>
      </c>
    </row>
    <row r="231" spans="1:7" ht="12.75" customHeight="1">
      <c r="A231" s="2" t="str">
        <f>CONCATENATE(TAB_H_MAE_ASIG[[#This Row],[ID_CARRERA]],"-NI-",TAB_H_MAE_ASIG[[#This Row],[ID_NIVEL]],"-",LEFT(MID(B231,1,20),5)&amp;IF(ISERR(FIND(" ",MID(B231,4,20))),"","-"&amp;LEFT(MID(MID(B231,4,20),FIND(" ",MID(B231,4,20))+1,20),3))&amp;IF(ISERR(FIND(" ",MID(B231,4,20),FIND(" ",MID(B231,4,20))+1)),"","-"&amp;LEFT(MID(MID(B231,4,20),FIND(" ",MID(B231,4,20),FIND(" ",MID(B231,4,20))+1)+1,20),3)))</f>
        <v>FCACC-GE-IN-GE-NI-6-ANALI-DE -MOD</v>
      </c>
      <c r="B231" s="9" t="s">
        <v>209</v>
      </c>
      <c r="C231" s="11">
        <v>4</v>
      </c>
      <c r="D231" s="6">
        <v>16</v>
      </c>
      <c r="E231" s="11" t="s">
        <v>199</v>
      </c>
      <c r="F231" s="5" t="str">
        <f>_xlfn.XLOOKUP(TAB_H_MAE_ASIG[[#This Row],[ID_CARRERA]],MAE_CARRERA[ID_CARRERA],MAE_CARRERA[NOMBRE_CARRERA])</f>
        <v>GESTION DE LA INFORMACIÓN GERENCIA - 2024</v>
      </c>
      <c r="G231" s="10">
        <v>6</v>
      </c>
    </row>
    <row r="232" spans="1:7" ht="12.75" customHeight="1">
      <c r="A232" s="2" t="str">
        <f>CONCATENATE(TAB_H_MAE_ASIG[[#This Row],[ID_CARRERA]],"-NI-",TAB_H_MAE_ASIG[[#This Row],[ID_NIVEL]],"-",LEFT(MID(B232,1,20),5)&amp;IF(ISERR(FIND(" ",MID(B232,4,20))),"","-"&amp;LEFT(MID(MID(B232,4,20),FIND(" ",MID(B232,4,20))+1,20),3))&amp;IF(ISERR(FIND(" ",MID(B232,4,20),FIND(" ",MID(B232,4,20))+1)),"","-"&amp;LEFT(MID(MID(B232,4,20),FIND(" ",MID(B232,4,20),FIND(" ",MID(B232,4,20))+1)+1,20),3)))</f>
        <v>FCACC-GE-IN-GE-NI-6-GESTI-DEL-CON</v>
      </c>
      <c r="B232" s="9" t="s">
        <v>210</v>
      </c>
      <c r="C232" s="11">
        <v>4</v>
      </c>
      <c r="D232" s="6">
        <v>16</v>
      </c>
      <c r="E232" s="11" t="s">
        <v>199</v>
      </c>
      <c r="F232" s="5" t="str">
        <f>_xlfn.XLOOKUP(TAB_H_MAE_ASIG[[#This Row],[ID_CARRERA]],MAE_CARRERA[ID_CARRERA],MAE_CARRERA[NOMBRE_CARRERA])</f>
        <v>GESTION DE LA INFORMACIÓN GERENCIA - 2024</v>
      </c>
      <c r="G232" s="10">
        <v>6</v>
      </c>
    </row>
    <row r="233" spans="1:7" ht="12.75" customHeight="1">
      <c r="A233" s="2" t="str">
        <f>CONCATENATE(TAB_H_MAE_ASIG[[#This Row],[ID_CARRERA]],"-NI-",TAB_H_MAE_ASIG[[#This Row],[ID_NIVEL]],"-",LEFT(MID(B233,1,20),5)&amp;IF(ISERR(FIND(" ",MID(B233,4,20))),"","-"&amp;LEFT(MID(MID(B233,4,20),FIND(" ",MID(B233,4,20))+1,20),3))&amp;IF(ISERR(FIND(" ",MID(B233,4,20),FIND(" ",MID(B233,4,20))+1)),"","-"&amp;LEFT(MID(MID(B233,4,20),FIND(" ",MID(B233,4,20),FIND(" ",MID(B233,4,20))+1)+1,20),3)))</f>
        <v>FCACC-GE-IN-GE-NI-6-DISEÑ-Y E-EVA</v>
      </c>
      <c r="B233" s="9" t="s">
        <v>211</v>
      </c>
      <c r="C233" s="11">
        <v>4</v>
      </c>
      <c r="D233" s="6">
        <v>16</v>
      </c>
      <c r="E233" s="11" t="s">
        <v>199</v>
      </c>
      <c r="F233" s="5" t="str">
        <f>_xlfn.XLOOKUP(TAB_H_MAE_ASIG[[#This Row],[ID_CARRERA]],MAE_CARRERA[ID_CARRERA],MAE_CARRERA[NOMBRE_CARRERA])</f>
        <v>GESTION DE LA INFORMACIÓN GERENCIA - 2024</v>
      </c>
      <c r="G233" s="10">
        <v>6</v>
      </c>
    </row>
    <row r="234" spans="1:7" ht="12.75" customHeight="1">
      <c r="A234" s="2" t="str">
        <f>CONCATENATE(TAB_H_MAE_ASIG[[#This Row],[ID_CARRERA]],"-NI-",TAB_H_MAE_ASIG[[#This Row],[ID_NIVEL]],"-",LEFT(MID(B234,1,20),5)&amp;IF(ISERR(FIND(" ",MID(B234,4,20))),"","-"&amp;LEFT(MID(MID(B234,4,20),FIND(" ",MID(B234,4,20))+1,20),3))&amp;IF(ISERR(FIND(" ",MID(B234,4,20),FIND(" ",MID(B234,4,20))+1)),"","-"&amp;LEFT(MID(MID(B234,4,20),FIND(" ",MID(B234,4,20),FIND(" ",MID(B234,4,20))+1)+1,20),3)))</f>
        <v xml:space="preserve">FCACC-GE-IN-GE-NI-6-SISTE-GES-DE </v>
      </c>
      <c r="B234" s="9" t="s">
        <v>212</v>
      </c>
      <c r="C234" s="11">
        <v>4</v>
      </c>
      <c r="D234" s="6">
        <v>16</v>
      </c>
      <c r="E234" s="11" t="s">
        <v>199</v>
      </c>
      <c r="F234" s="5" t="str">
        <f>_xlfn.XLOOKUP(TAB_H_MAE_ASIG[[#This Row],[ID_CARRERA]],MAE_CARRERA[ID_CARRERA],MAE_CARRERA[NOMBRE_CARRERA])</f>
        <v>GESTION DE LA INFORMACIÓN GERENCIA - 2024</v>
      </c>
      <c r="G234" s="10">
        <v>6</v>
      </c>
    </row>
    <row r="235" spans="1:7" ht="12.75" customHeight="1">
      <c r="A235" s="2" t="str">
        <f>CONCATENATE(TAB_H_MAE_ASIG[[#This Row],[ID_CARRERA]],"-NI-",TAB_H_MAE_ASIG[[#This Row],[ID_NIVEL]],"-",LEFT(MID(B235,1,20),5)&amp;IF(ISERR(FIND(" ",MID(B235,4,20))),"","-"&amp;LEFT(MID(MID(B235,4,20),FIND(" ",MID(B235,4,20))+1,20),3))&amp;IF(ISERR(FIND(" ",MID(B235,4,20),FIND(" ",MID(B235,4,20))+1)),"","-"&amp;LEFT(MID(MID(B235,4,20),FIND(" ",MID(B235,4,20),FIND(" ",MID(B235,4,20))+1)+1,20),3)))</f>
        <v>FCACC-GE-IN-GE-NI-8-INFOR-ARC</v>
      </c>
      <c r="B235" s="9" t="s">
        <v>213</v>
      </c>
      <c r="C235" s="11">
        <v>4</v>
      </c>
      <c r="D235" s="6">
        <v>16</v>
      </c>
      <c r="E235" s="11" t="s">
        <v>199</v>
      </c>
      <c r="F235" s="5" t="str">
        <f>_xlfn.XLOOKUP(TAB_H_MAE_ASIG[[#This Row],[ID_CARRERA]],MAE_CARRERA[ID_CARRERA],MAE_CARRERA[NOMBRE_CARRERA])</f>
        <v>GESTION DE LA INFORMACIÓN GERENCIA - 2024</v>
      </c>
      <c r="G235" s="10">
        <v>8</v>
      </c>
    </row>
    <row r="236" spans="1:7" ht="12.75" customHeight="1">
      <c r="A236" s="2" t="str">
        <f>CONCATENATE(TAB_H_MAE_ASIG[[#This Row],[ID_CARRERA]],"-NI-",TAB_H_MAE_ASIG[[#This Row],[ID_NIVEL]],"-",LEFT(MID(B236,1,20),5)&amp;IF(ISERR(FIND(" ",MID(B236,4,20))),"","-"&amp;LEFT(MID(MID(B236,4,20),FIND(" ",MID(B236,4,20))+1,20),3))&amp;IF(ISERR(FIND(" ",MID(B236,4,20),FIND(" ",MID(B236,4,20))+1)),"","-"&amp;LEFT(MID(MID(B236,4,20),FIND(" ",MID(B236,4,20),FIND(" ",MID(B236,4,20))+1)+1,20),3)))</f>
        <v>FCACC-GE-IN-GE-NI-8-BUSIN-ENG</v>
      </c>
      <c r="B236" s="9" t="s">
        <v>214</v>
      </c>
      <c r="C236" s="11">
        <v>4</v>
      </c>
      <c r="D236" s="6">
        <v>16</v>
      </c>
      <c r="E236" s="11" t="s">
        <v>199</v>
      </c>
      <c r="F236" s="5" t="str">
        <f>_xlfn.XLOOKUP(TAB_H_MAE_ASIG[[#This Row],[ID_CARRERA]],MAE_CARRERA[ID_CARRERA],MAE_CARRERA[NOMBRE_CARRERA])</f>
        <v>GESTION DE LA INFORMACIÓN GERENCIA - 2024</v>
      </c>
      <c r="G236" s="10">
        <v>8</v>
      </c>
    </row>
    <row r="237" spans="1:7" ht="12.75" customHeight="1">
      <c r="A237" s="2" t="str">
        <f>CONCATENATE(TAB_H_MAE_ASIG[[#This Row],[ID_CARRERA]],"-NI-",TAB_H_MAE_ASIG[[#This Row],[ID_NIVEL]],"-",LEFT(MID(B237,1,20),5)&amp;IF(ISERR(FIND(" ",MID(B237,4,20))),"","-"&amp;LEFT(MID(MID(B237,4,20),FIND(" ",MID(B237,4,20))+1,20),3))&amp;IF(ISERR(FIND(" ",MID(B237,4,20),FIND(" ",MID(B237,4,20))+1)),"","-"&amp;LEFT(MID(MID(B237,4,20),FIND(" ",MID(B237,4,20),FIND(" ",MID(B237,4,20))+1)+1,20),3)))</f>
        <v>FCACC-GE-IN-GE-NI-8-EVALU-DE -PRO</v>
      </c>
      <c r="B237" s="9" t="s">
        <v>215</v>
      </c>
      <c r="C237" s="11">
        <v>4</v>
      </c>
      <c r="D237" s="6">
        <v>16</v>
      </c>
      <c r="E237" s="11" t="s">
        <v>199</v>
      </c>
      <c r="F237" s="5" t="str">
        <f>_xlfn.XLOOKUP(TAB_H_MAE_ASIG[[#This Row],[ID_CARRERA]],MAE_CARRERA[ID_CARRERA],MAE_CARRERA[NOMBRE_CARRERA])</f>
        <v>GESTION DE LA INFORMACIÓN GERENCIA - 2024</v>
      </c>
      <c r="G237" s="10">
        <v>8</v>
      </c>
    </row>
    <row r="238" spans="1:7" ht="12.75" customHeight="1">
      <c r="A238" s="2" t="str">
        <f>CONCATENATE(TAB_H_MAE_ASIG[[#This Row],[ID_CARRERA]],"-NI-",TAB_H_MAE_ASIG[[#This Row],[ID_NIVEL]],"-",LEFT(MID(B238,1,20),5)&amp;IF(ISERR(FIND(" ",MID(B238,4,20))),"","-"&amp;LEFT(MID(MID(B238,4,20),FIND(" ",MID(B238,4,20))+1,20),3))&amp;IF(ISERR(FIND(" ",MID(B238,4,20),FIND(" ",MID(B238,4,20))+1)),"","-"&amp;LEFT(MID(MID(B238,4,20),FIND(" ",MID(B238,4,20),FIND(" ",MID(B238,4,20))+1)+1,20),3)))</f>
        <v>FCACC-GE-IN-GE-NI-8-BUSIN-INT</v>
      </c>
      <c r="B238" s="9" t="s">
        <v>45</v>
      </c>
      <c r="C238" s="11">
        <v>4</v>
      </c>
      <c r="D238" s="6">
        <v>16</v>
      </c>
      <c r="E238" s="11" t="s">
        <v>199</v>
      </c>
      <c r="F238" s="5" t="str">
        <f>_xlfn.XLOOKUP(TAB_H_MAE_ASIG[[#This Row],[ID_CARRERA]],MAE_CARRERA[ID_CARRERA],MAE_CARRERA[NOMBRE_CARRERA])</f>
        <v>GESTION DE LA INFORMACIÓN GERENCIA - 2024</v>
      </c>
      <c r="G238" s="10">
        <v>8</v>
      </c>
    </row>
    <row r="239" spans="1:7" ht="12.75" customHeight="1">
      <c r="A239" s="2" t="str">
        <f>CONCATENATE(TAB_H_MAE_ASIG[[#This Row],[ID_CARRERA]],"-NI-",TAB_H_MAE_ASIG[[#This Row],[ID_NIVEL]],"-",LEFT(MID(B239,1,20),5)&amp;IF(ISERR(FIND(" ",MID(B239,4,20))),"","-"&amp;LEFT(MID(MID(B239,4,20),FIND(" ",MID(B239,4,20))+1,20),3))&amp;IF(ISERR(FIND(" ",MID(B239,4,20),FIND(" ",MID(B239,4,20))+1)),"","-"&amp;LEFT(MID(MID(B239,4,20),FIND(" ",MID(B239,4,20),FIND(" ",MID(B239,4,20))+1)+1,20),3)))</f>
        <v>FCACC-GE-IN-GE-NI-8-prueb</v>
      </c>
      <c r="B239" s="7" t="s">
        <v>216</v>
      </c>
      <c r="C239" s="11">
        <v>20</v>
      </c>
      <c r="D239" s="6">
        <v>16</v>
      </c>
      <c r="E239" s="11" t="s">
        <v>199</v>
      </c>
      <c r="F239" s="5" t="str">
        <f>_xlfn.XLOOKUP(TAB_H_MAE_ASIG[[#This Row],[ID_CARRERA]],MAE_CARRERA[ID_CARRERA],MAE_CARRERA[NOMBRE_CARRERA])</f>
        <v>GESTION DE LA INFORMACIÓN GERENCIA - 2024</v>
      </c>
      <c r="G239" s="2">
        <v>8</v>
      </c>
    </row>
    <row r="240" spans="1:7" ht="12.75" customHeight="1">
      <c r="A240" s="2" t="str">
        <f>CONCATENATE(TAB_H_MAE_ASIG[[#This Row],[ID_CARRERA]],"-NI-",TAB_H_MAE_ASIG[[#This Row],[ID_NIVEL]],"-",LEFT(MID(B240,1,20),5)&amp;IF(ISERR(FIND(" ",MID(B240,4,20))),"","-"&amp;LEFT(MID(MID(B240,4,20),FIND(" ",MID(B240,4,20))+1,20),3))&amp;IF(ISERR(FIND(" ",MID(B240,4,20),FIND(" ",MID(B240,4,20))+1)),"","-"&amp;LEFT(MID(MID(B240,4,20),FIND(" ",MID(B240,4,20),FIND(" ",MID(B240,4,20))+1)+1,20),3)))</f>
        <v>FCACC-GE-TA-HU-NI-1-GESTI-DEL-TAL</v>
      </c>
      <c r="B240" s="2" t="s">
        <v>217</v>
      </c>
      <c r="C240" s="6">
        <v>5</v>
      </c>
      <c r="D240" s="6">
        <v>16</v>
      </c>
      <c r="E240" s="6" t="s">
        <v>218</v>
      </c>
      <c r="F240" s="5" t="str">
        <f>_xlfn.XLOOKUP(TAB_H_MAE_ASIG[[#This Row],[ID_CARRERA]],MAE_CARRERA[ID_CARRERA],MAE_CARRERA[NOMBRE_CARRERA])</f>
        <v>GESTIÓN DEL TALENTO HUMANO</v>
      </c>
      <c r="G240" s="6">
        <v>1</v>
      </c>
    </row>
    <row r="241" spans="1:7" ht="12.75" customHeight="1">
      <c r="A241" s="2" t="str">
        <f>CONCATENATE(TAB_H_MAE_ASIG[[#This Row],[ID_CARRERA]],"-NI-",TAB_H_MAE_ASIG[[#This Row],[ID_NIVEL]],"-",LEFT(MID(B241,1,20),5)&amp;IF(ISERR(FIND(" ",MID(B241,4,20))),"","-"&amp;LEFT(MID(MID(B241,4,20),FIND(" ",MID(B241,4,20))+1,20),3))&amp;IF(ISERR(FIND(" ",MID(B241,4,20),FIND(" ",MID(B241,4,20))+1)),"","-"&amp;LEFT(MID(MID(B241,4,20),FIND(" ",MID(B241,4,20),FIND(" ",MID(B241,4,20))+1)+1,20),3)))</f>
        <v>FCACC-GE-TA-HU-NI-1-LA AD-(GT</v>
      </c>
      <c r="B241" s="2" t="s">
        <v>219</v>
      </c>
      <c r="C241" s="6">
        <v>4</v>
      </c>
      <c r="D241" s="6">
        <v>16</v>
      </c>
      <c r="E241" s="6" t="s">
        <v>218</v>
      </c>
      <c r="F241" s="5" t="str">
        <f>_xlfn.XLOOKUP(TAB_H_MAE_ASIG[[#This Row],[ID_CARRERA]],MAE_CARRERA[ID_CARRERA],MAE_CARRERA[NOMBRE_CARRERA])</f>
        <v>GESTIÓN DEL TALENTO HUMANO</v>
      </c>
      <c r="G241" s="6">
        <v>1</v>
      </c>
    </row>
    <row r="242" spans="1:7" ht="12.75" customHeight="1">
      <c r="A242" s="2" t="str">
        <f>CONCATENATE(TAB_H_MAE_ASIG[[#This Row],[ID_CARRERA]],"-NI-",TAB_H_MAE_ASIG[[#This Row],[ID_NIVEL]],"-",LEFT(MID(B242,1,20),5)&amp;IF(ISERR(FIND(" ",MID(B242,4,20))),"","-"&amp;LEFT(MID(MID(B242,4,20),FIND(" ",MID(B242,4,20))+1,20),3))&amp;IF(ISERR(FIND(" ",MID(B242,4,20),FIND(" ",MID(B242,4,20))+1)),"","-"&amp;LEFT(MID(MID(B242,4,20),FIND(" ",MID(B242,4,20),FIND(" ",MID(B242,4,20))+1)+1,20),3)))</f>
        <v xml:space="preserve">FCACC-GE-TA-HU-NI-1-METOD-DE -LA </v>
      </c>
      <c r="B242" s="2" t="s">
        <v>220</v>
      </c>
      <c r="C242" s="6">
        <v>4</v>
      </c>
      <c r="D242" s="6">
        <v>16</v>
      </c>
      <c r="E242" s="6" t="s">
        <v>218</v>
      </c>
      <c r="F242" s="5" t="str">
        <f>_xlfn.XLOOKUP(TAB_H_MAE_ASIG[[#This Row],[ID_CARRERA]],MAE_CARRERA[ID_CARRERA],MAE_CARRERA[NOMBRE_CARRERA])</f>
        <v>GESTIÓN DEL TALENTO HUMANO</v>
      </c>
      <c r="G242" s="6">
        <v>1</v>
      </c>
    </row>
    <row r="243" spans="1:7" ht="12.75" customHeight="1">
      <c r="A243" s="2" t="str">
        <f>CONCATENATE(TAB_H_MAE_ASIG[[#This Row],[ID_CARRERA]],"-NI-",TAB_H_MAE_ASIG[[#This Row],[ID_NIVEL]],"-",LEFT(MID(B243,1,20),5)&amp;IF(ISERR(FIND(" ",MID(B243,4,20))),"","-"&amp;LEFT(MID(MID(B243,4,20),FIND(" ",MID(B243,4,20))+1,20),3))&amp;IF(ISERR(FIND(" ",MID(B243,4,20),FIND(" ",MID(B243,4,20))+1)),"","-"&amp;LEFT(MID(MID(B243,4,20),FIND(" ",MID(B243,4,20),FIND(" ",MID(B243,4,20))+1)+1,20),3)))</f>
        <v>FCACC-GE-TA-HU-NI-1-MICRO-(GT</v>
      </c>
      <c r="B243" s="2" t="s">
        <v>221</v>
      </c>
      <c r="C243" s="6">
        <v>4</v>
      </c>
      <c r="D243" s="6">
        <v>16</v>
      </c>
      <c r="E243" s="6" t="s">
        <v>218</v>
      </c>
      <c r="F243" s="5" t="str">
        <f>_xlfn.XLOOKUP(TAB_H_MAE_ASIG[[#This Row],[ID_CARRERA]],MAE_CARRERA[ID_CARRERA],MAE_CARRERA[NOMBRE_CARRERA])</f>
        <v>GESTIÓN DEL TALENTO HUMANO</v>
      </c>
      <c r="G243" s="6">
        <v>1</v>
      </c>
    </row>
    <row r="244" spans="1:7" ht="12.75" customHeight="1">
      <c r="A244" s="2" t="str">
        <f>CONCATENATE(TAB_H_MAE_ASIG[[#This Row],[ID_CARRERA]],"-NI-",TAB_H_MAE_ASIG[[#This Row],[ID_NIVEL]],"-",LEFT(MID(B244,1,20),5)&amp;IF(ISERR(FIND(" ",MID(B244,4,20))),"","-"&amp;LEFT(MID(MID(B244,4,20),FIND(" ",MID(B244,4,20))+1,20),3))&amp;IF(ISERR(FIND(" ",MID(B244,4,20),FIND(" ",MID(B244,4,20))+1)),"","-"&amp;LEFT(MID(MID(B244,4,20),FIND(" ",MID(B244,4,20),FIND(" ",MID(B244,4,20))+1)+1,20),3)))</f>
        <v>FCACC-GE-TA-HU-NI-1-DEREC-CON-</v>
      </c>
      <c r="B244" s="2" t="s">
        <v>222</v>
      </c>
      <c r="C244" s="6">
        <v>3</v>
      </c>
      <c r="D244" s="6">
        <v>16</v>
      </c>
      <c r="E244" s="6" t="s">
        <v>218</v>
      </c>
      <c r="F244" s="5" t="str">
        <f>_xlfn.XLOOKUP(TAB_H_MAE_ASIG[[#This Row],[ID_CARRERA]],MAE_CARRERA[ID_CARRERA],MAE_CARRERA[NOMBRE_CARRERA])</f>
        <v>GESTIÓN DEL TALENTO HUMANO</v>
      </c>
      <c r="G244" s="6">
        <v>1</v>
      </c>
    </row>
    <row r="245" spans="1:7" ht="12.75" customHeight="1">
      <c r="A245" s="2" t="str">
        <f>CONCATENATE(TAB_H_MAE_ASIG[[#This Row],[ID_CARRERA]],"-NI-",TAB_H_MAE_ASIG[[#This Row],[ID_NIVEL]],"-",LEFT(MID(B245,1,20),5)&amp;IF(ISERR(FIND(" ",MID(B245,4,20))),"","-"&amp;LEFT(MID(MID(B245,4,20),FIND(" ",MID(B245,4,20))+1,20),3))&amp;IF(ISERR(FIND(" ",MID(B245,4,20),FIND(" ",MID(B245,4,20))+1)),"","-"&amp;LEFT(MID(MID(B245,4,20),FIND(" ",MID(B245,4,20),FIND(" ",MID(B245,4,20))+1)+1,20),3)))</f>
        <v>FCACC-GE-TA-HU-NI-2-ORGAN-EST</v>
      </c>
      <c r="B245" s="2" t="s">
        <v>223</v>
      </c>
      <c r="C245" s="6">
        <v>4</v>
      </c>
      <c r="D245" s="6">
        <v>16</v>
      </c>
      <c r="E245" s="6" t="s">
        <v>218</v>
      </c>
      <c r="F245" s="5" t="str">
        <f>_xlfn.XLOOKUP(TAB_H_MAE_ASIG[[#This Row],[ID_CARRERA]],MAE_CARRERA[ID_CARRERA],MAE_CARRERA[NOMBRE_CARRERA])</f>
        <v>GESTIÓN DEL TALENTO HUMANO</v>
      </c>
      <c r="G245" s="6">
        <v>2</v>
      </c>
    </row>
    <row r="246" spans="1:7" ht="12.75" customHeight="1">
      <c r="A246" s="2" t="str">
        <f>CONCATENATE(TAB_H_MAE_ASIG[[#This Row],[ID_CARRERA]],"-NI-",TAB_H_MAE_ASIG[[#This Row],[ID_NIVEL]],"-",LEFT(MID(B246,1,20),5)&amp;IF(ISERR(FIND(" ",MID(B246,4,20))),"","-"&amp;LEFT(MID(MID(B246,4,20),FIND(" ",MID(B246,4,20))+1,20),3))&amp;IF(ISERR(FIND(" ",MID(B246,4,20),FIND(" ",MID(B246,4,20))+1)),"","-"&amp;LEFT(MID(MID(B246,4,20),FIND(" ",MID(B246,4,20),FIND(" ",MID(B246,4,20))+1)+1,20),3)))</f>
        <v>FCACC-GE-TA-HU-NI-2-PSICO-ORG</v>
      </c>
      <c r="B246" s="2" t="s">
        <v>224</v>
      </c>
      <c r="C246" s="6">
        <v>3</v>
      </c>
      <c r="D246" s="6">
        <v>16</v>
      </c>
      <c r="E246" s="6" t="s">
        <v>218</v>
      </c>
      <c r="F246" s="5" t="str">
        <f>_xlfn.XLOOKUP(TAB_H_MAE_ASIG[[#This Row],[ID_CARRERA]],MAE_CARRERA[ID_CARRERA],MAE_CARRERA[NOMBRE_CARRERA])</f>
        <v>GESTIÓN DEL TALENTO HUMANO</v>
      </c>
      <c r="G246" s="6">
        <v>2</v>
      </c>
    </row>
    <row r="247" spans="1:7" ht="12.75" customHeight="1">
      <c r="A247" s="2" t="str">
        <f>CONCATENATE(TAB_H_MAE_ASIG[[#This Row],[ID_CARRERA]],"-NI-",TAB_H_MAE_ASIG[[#This Row],[ID_NIVEL]],"-",LEFT(MID(B247,1,20),5)&amp;IF(ISERR(FIND(" ",MID(B247,4,20))),"","-"&amp;LEFT(MID(MID(B247,4,20),FIND(" ",MID(B247,4,20))+1,20),3))&amp;IF(ISERR(FIND(" ",MID(B247,4,20),FIND(" ",MID(B247,4,20))+1)),"","-"&amp;LEFT(MID(MID(B247,4,20),FIND(" ",MID(B247,4,20),FIND(" ",MID(B247,4,20))+1)+1,20),3)))</f>
        <v xml:space="preserve">FCACC-GE-TA-HU-NI-2-ESTAD-APL-A </v>
      </c>
      <c r="B247" s="2" t="s">
        <v>225</v>
      </c>
      <c r="C247" s="6">
        <v>3</v>
      </c>
      <c r="D247" s="6">
        <v>16</v>
      </c>
      <c r="E247" s="6" t="s">
        <v>218</v>
      </c>
      <c r="F247" s="5" t="str">
        <f>_xlfn.XLOOKUP(TAB_H_MAE_ASIG[[#This Row],[ID_CARRERA]],MAE_CARRERA[ID_CARRERA],MAE_CARRERA[NOMBRE_CARRERA])</f>
        <v>GESTIÓN DEL TALENTO HUMANO</v>
      </c>
      <c r="G247" s="6">
        <v>2</v>
      </c>
    </row>
    <row r="248" spans="1:7" ht="12.75" customHeight="1">
      <c r="A248" s="2" t="str">
        <f>CONCATENATE(TAB_H_MAE_ASIG[[#This Row],[ID_CARRERA]],"-NI-",TAB_H_MAE_ASIG[[#This Row],[ID_NIVEL]],"-",LEFT(MID(B248,1,20),5)&amp;IF(ISERR(FIND(" ",MID(B248,4,20))),"","-"&amp;LEFT(MID(MID(B248,4,20),FIND(" ",MID(B248,4,20))+1,20),3))&amp;IF(ISERR(FIND(" ",MID(B248,4,20),FIND(" ",MID(B248,4,20))+1)),"","-"&amp;LEFT(MID(MID(B248,4,20),FIND(" ",MID(B248,4,20),FIND(" ",MID(B248,4,20))+1)+1,20),3)))</f>
        <v>FCACC-GE-TA-HU-NI-2-MACRO-(GT</v>
      </c>
      <c r="B248" s="2" t="s">
        <v>226</v>
      </c>
      <c r="C248" s="6">
        <v>3</v>
      </c>
      <c r="D248" s="6">
        <v>16</v>
      </c>
      <c r="E248" s="6" t="s">
        <v>218</v>
      </c>
      <c r="F248" s="5" t="str">
        <f>_xlfn.XLOOKUP(TAB_H_MAE_ASIG[[#This Row],[ID_CARRERA]],MAE_CARRERA[ID_CARRERA],MAE_CARRERA[NOMBRE_CARRERA])</f>
        <v>GESTIÓN DEL TALENTO HUMANO</v>
      </c>
      <c r="G248" s="6">
        <v>2</v>
      </c>
    </row>
    <row r="249" spans="1:7" ht="12.75" customHeight="1">
      <c r="A249" s="2" t="str">
        <f>CONCATENATE(TAB_H_MAE_ASIG[[#This Row],[ID_CARRERA]],"-NI-",TAB_H_MAE_ASIG[[#This Row],[ID_NIVEL]],"-",LEFT(MID(B249,1,20),5)&amp;IF(ISERR(FIND(" ",MID(B249,4,20))),"","-"&amp;LEFT(MID(MID(B249,4,20),FIND(" ",MID(B249,4,20))+1,20),3))&amp;IF(ISERR(FIND(" ",MID(B249,4,20),FIND(" ",MID(B249,4,20))+1)),"","-"&amp;LEFT(MID(MID(B249,4,20),FIND(" ",MID(B249,4,20),FIND(" ",MID(B249,4,20))+1)+1,20),3)))</f>
        <v>FCACC-GE-TA-HU-NI-2-DEREC-LAB-PRI</v>
      </c>
      <c r="B249" s="2" t="s">
        <v>227</v>
      </c>
      <c r="C249" s="6">
        <v>3</v>
      </c>
      <c r="D249" s="6">
        <v>16</v>
      </c>
      <c r="E249" s="6" t="s">
        <v>218</v>
      </c>
      <c r="F249" s="5" t="str">
        <f>_xlfn.XLOOKUP(TAB_H_MAE_ASIG[[#This Row],[ID_CARRERA]],MAE_CARRERA[ID_CARRERA],MAE_CARRERA[NOMBRE_CARRERA])</f>
        <v>GESTIÓN DEL TALENTO HUMANO</v>
      </c>
      <c r="G249" s="6">
        <v>2</v>
      </c>
    </row>
    <row r="250" spans="1:7" ht="12.75" customHeight="1">
      <c r="A250" s="2" t="str">
        <f>CONCATENATE(TAB_H_MAE_ASIG[[#This Row],[ID_CARRERA]],"-NI-",TAB_H_MAE_ASIG[[#This Row],[ID_NIVEL]],"-",LEFT(MID(B250,1,20),5)&amp;IF(ISERR(FIND(" ",MID(B250,4,20))),"","-"&amp;LEFT(MID(MID(B250,4,20),FIND(" ",MID(B250,4,20))+1,20),3))&amp;IF(ISERR(FIND(" ",MID(B250,4,20),FIND(" ",MID(B250,4,20))+1)),"","-"&amp;LEFT(MID(MID(B250,4,20),FIND(" ",MID(B250,4,20),FIND(" ",MID(B250,4,20))+1)+1,20),3)))</f>
        <v>FCACC-GE-TA-HU-NI-2-GESTI-DEL-CAM</v>
      </c>
      <c r="B250" s="2" t="s">
        <v>228</v>
      </c>
      <c r="C250" s="6">
        <v>4</v>
      </c>
      <c r="D250" s="6">
        <v>16</v>
      </c>
      <c r="E250" s="6" t="s">
        <v>218</v>
      </c>
      <c r="F250" s="5" t="str">
        <f>_xlfn.XLOOKUP(TAB_H_MAE_ASIG[[#This Row],[ID_CARRERA]],MAE_CARRERA[ID_CARRERA],MAE_CARRERA[NOMBRE_CARRERA])</f>
        <v>GESTIÓN DEL TALENTO HUMANO</v>
      </c>
      <c r="G250" s="6">
        <v>2</v>
      </c>
    </row>
    <row r="251" spans="1:7" ht="12.75" customHeight="1">
      <c r="A251" s="2" t="str">
        <f>CONCATENATE(TAB_H_MAE_ASIG[[#This Row],[ID_CARRERA]],"-NI-",TAB_H_MAE_ASIG[[#This Row],[ID_NIVEL]],"-",LEFT(MID(B251,1,20),5)&amp;IF(ISERR(FIND(" ",MID(B251,4,20))),"","-"&amp;LEFT(MID(MID(B251,4,20),FIND(" ",MID(B251,4,20))+1,20),3))&amp;IF(ISERR(FIND(" ",MID(B251,4,20),FIND(" ",MID(B251,4,20))+1)),"","-"&amp;LEFT(MID(MID(B251,4,20),FIND(" ",MID(B251,4,20),FIND(" ",MID(B251,4,20))+1)+1,20),3)))</f>
        <v>FCACC-GE-TA-HU-NI-3-CLASI-Y V-VAL</v>
      </c>
      <c r="B251" s="2" t="s">
        <v>229</v>
      </c>
      <c r="C251" s="6">
        <v>4</v>
      </c>
      <c r="D251" s="6">
        <v>16</v>
      </c>
      <c r="E251" s="6" t="s">
        <v>218</v>
      </c>
      <c r="F251" s="5" t="str">
        <f>_xlfn.XLOOKUP(TAB_H_MAE_ASIG[[#This Row],[ID_CARRERA]],MAE_CARRERA[ID_CARRERA],MAE_CARRERA[NOMBRE_CARRERA])</f>
        <v>GESTIÓN DEL TALENTO HUMANO</v>
      </c>
      <c r="G251" s="6">
        <v>3</v>
      </c>
    </row>
    <row r="252" spans="1:7" ht="12.75" customHeight="1">
      <c r="A252" s="2" t="str">
        <f>CONCATENATE(TAB_H_MAE_ASIG[[#This Row],[ID_CARRERA]],"-NI-",TAB_H_MAE_ASIG[[#This Row],[ID_NIVEL]],"-",LEFT(MID(B252,1,20),5)&amp;IF(ISERR(FIND(" ",MID(B252,4,20))),"","-"&amp;LEFT(MID(MID(B252,4,20),FIND(" ",MID(B252,4,20))+1,20),3))&amp;IF(ISERR(FIND(" ",MID(B252,4,20),FIND(" ",MID(B252,4,20))+1)),"","-"&amp;LEFT(MID(MID(B252,4,20),FIND(" ",MID(B252,4,20),FIND(" ",MID(B252,4,20))+1)+1,20),3)))</f>
        <v>FCACC-GE-TA-HU-NI-3-CULTU-Y C-COM</v>
      </c>
      <c r="B252" s="2" t="s">
        <v>230</v>
      </c>
      <c r="C252" s="6">
        <v>4</v>
      </c>
      <c r="D252" s="6">
        <v>16</v>
      </c>
      <c r="E252" s="6" t="s">
        <v>218</v>
      </c>
      <c r="F252" s="5" t="str">
        <f>_xlfn.XLOOKUP(TAB_H_MAE_ASIG[[#This Row],[ID_CARRERA]],MAE_CARRERA[ID_CARRERA],MAE_CARRERA[NOMBRE_CARRERA])</f>
        <v>GESTIÓN DEL TALENTO HUMANO</v>
      </c>
      <c r="G252" s="6">
        <v>3</v>
      </c>
    </row>
    <row r="253" spans="1:7" ht="12.75" customHeight="1">
      <c r="A253" s="2" t="str">
        <f>CONCATENATE(TAB_H_MAE_ASIG[[#This Row],[ID_CARRERA]],"-NI-",TAB_H_MAE_ASIG[[#This Row],[ID_NIVEL]],"-",LEFT(MID(B253,1,20),5)&amp;IF(ISERR(FIND(" ",MID(B253,4,20))),"","-"&amp;LEFT(MID(MID(B253,4,20),FIND(" ",MID(B253,4,20))+1,20),3))&amp;IF(ISERR(FIND(" ",MID(B253,4,20),FIND(" ",MID(B253,4,20))+1)),"","-"&amp;LEFT(MID(MID(B253,4,20),FIND(" ",MID(B253,4,20),FIND(" ",MID(B253,4,20))+1)+1,20),3)))</f>
        <v>FCACC-GE-TA-HU-NI-3-INVES-DE -MER</v>
      </c>
      <c r="B253" s="2" t="s">
        <v>231</v>
      </c>
      <c r="C253" s="6">
        <v>3</v>
      </c>
      <c r="D253" s="6">
        <v>16</v>
      </c>
      <c r="E253" s="6" t="s">
        <v>218</v>
      </c>
      <c r="F253" s="5" t="str">
        <f>_xlfn.XLOOKUP(TAB_H_MAE_ASIG[[#This Row],[ID_CARRERA]],MAE_CARRERA[ID_CARRERA],MAE_CARRERA[NOMBRE_CARRERA])</f>
        <v>GESTIÓN DEL TALENTO HUMANO</v>
      </c>
      <c r="G253" s="6">
        <v>3</v>
      </c>
    </row>
    <row r="254" spans="1:7" ht="12.75" customHeight="1">
      <c r="A254" s="2" t="str">
        <f>CONCATENATE(TAB_H_MAE_ASIG[[#This Row],[ID_CARRERA]],"-NI-",TAB_H_MAE_ASIG[[#This Row],[ID_NIVEL]],"-",LEFT(MID(B254,1,20),5)&amp;IF(ISERR(FIND(" ",MID(B254,4,20))),"","-"&amp;LEFT(MID(MID(B254,4,20),FIND(" ",MID(B254,4,20))+1,20),3))&amp;IF(ISERR(FIND(" ",MID(B254,4,20),FIND(" ",MID(B254,4,20))+1)),"","-"&amp;LEFT(MID(MID(B254,4,20),FIND(" ",MID(B254,4,20),FIND(" ",MID(B254,4,20))+1)+1,20),3)))</f>
        <v>FCACC-GE-TA-HU-NI-3-PROGR-NEU</v>
      </c>
      <c r="B254" s="2" t="s">
        <v>232</v>
      </c>
      <c r="C254" s="6">
        <v>3</v>
      </c>
      <c r="D254" s="6">
        <v>16</v>
      </c>
      <c r="E254" s="6" t="s">
        <v>218</v>
      </c>
      <c r="F254" s="5" t="str">
        <f>_xlfn.XLOOKUP(TAB_H_MAE_ASIG[[#This Row],[ID_CARRERA]],MAE_CARRERA[ID_CARRERA],MAE_CARRERA[NOMBRE_CARRERA])</f>
        <v>GESTIÓN DEL TALENTO HUMANO</v>
      </c>
      <c r="G254" s="6">
        <v>3</v>
      </c>
    </row>
    <row r="255" spans="1:7" ht="12.75" customHeight="1">
      <c r="A255" s="2" t="str">
        <f>CONCATENATE(TAB_H_MAE_ASIG[[#This Row],[ID_CARRERA]],"-NI-",TAB_H_MAE_ASIG[[#This Row],[ID_NIVEL]],"-",LEFT(MID(B255,1,20),5)&amp;IF(ISERR(FIND(" ",MID(B255,4,20))),"","-"&amp;LEFT(MID(MID(B255,4,20),FIND(" ",MID(B255,4,20))+1,20),3))&amp;IF(ISERR(FIND(" ",MID(B255,4,20),FIND(" ",MID(B255,4,20))+1)),"","-"&amp;LEFT(MID(MID(B255,4,20),FIND(" ",MID(B255,4,20),FIND(" ",MID(B255,4,20))+1)+1,20),3)))</f>
        <v>FCACC-GE-TA-HU-NI-3-DEREC-LAB-PÚB</v>
      </c>
      <c r="B255" s="2" t="s">
        <v>233</v>
      </c>
      <c r="C255" s="6">
        <v>3</v>
      </c>
      <c r="D255" s="6">
        <v>16</v>
      </c>
      <c r="E255" s="6" t="s">
        <v>218</v>
      </c>
      <c r="F255" s="5" t="str">
        <f>_xlfn.XLOOKUP(TAB_H_MAE_ASIG[[#This Row],[ID_CARRERA]],MAE_CARRERA[ID_CARRERA],MAE_CARRERA[NOMBRE_CARRERA])</f>
        <v>GESTIÓN DEL TALENTO HUMANO</v>
      </c>
      <c r="G255" s="6">
        <v>3</v>
      </c>
    </row>
    <row r="256" spans="1:7" ht="12.75" customHeight="1">
      <c r="A256" s="2" t="str">
        <f>CONCATENATE(TAB_H_MAE_ASIG[[#This Row],[ID_CARRERA]],"-NI-",TAB_H_MAE_ASIG[[#This Row],[ID_NIVEL]],"-",LEFT(MID(B256,1,20),5)&amp;IF(ISERR(FIND(" ",MID(B256,4,20))),"","-"&amp;LEFT(MID(MID(B256,4,20),FIND(" ",MID(B256,4,20))+1,20),3))&amp;IF(ISERR(FIND(" ",MID(B256,4,20),FIND(" ",MID(B256,4,20))+1)),"","-"&amp;LEFT(MID(MID(B256,4,20),FIND(" ",MID(B256,4,20),FIND(" ",MID(B256,4,20))+1)+1,20),3)))</f>
        <v>FCACC-GE-TA-HU-NI-3-GESTI-DOC-Y A</v>
      </c>
      <c r="B256" s="2" t="s">
        <v>234</v>
      </c>
      <c r="C256" s="6">
        <v>3</v>
      </c>
      <c r="D256" s="6">
        <v>16</v>
      </c>
      <c r="E256" s="6" t="s">
        <v>218</v>
      </c>
      <c r="F256" s="5" t="str">
        <f>_xlfn.XLOOKUP(TAB_H_MAE_ASIG[[#This Row],[ID_CARRERA]],MAE_CARRERA[ID_CARRERA],MAE_CARRERA[NOMBRE_CARRERA])</f>
        <v>GESTIÓN DEL TALENTO HUMANO</v>
      </c>
      <c r="G256" s="6">
        <v>3</v>
      </c>
    </row>
    <row r="257" spans="1:7" ht="12.75" customHeight="1">
      <c r="A257" s="2" t="str">
        <f>CONCATENATE(TAB_H_MAE_ASIG[[#This Row],[ID_CARRERA]],"-NI-",TAB_H_MAE_ASIG[[#This Row],[ID_NIVEL]],"-",LEFT(MID(B257,1,20),5)&amp;IF(ISERR(FIND(" ",MID(B257,4,20))),"","-"&amp;LEFT(MID(MID(B257,4,20),FIND(" ",MID(B257,4,20))+1,20),3))&amp;IF(ISERR(FIND(" ",MID(B257,4,20),FIND(" ",MID(B257,4,20))+1)),"","-"&amp;LEFT(MID(MID(B257,4,20),FIND(" ",MID(B257,4,20),FIND(" ",MID(B257,4,20))+1)+1,20),3)))</f>
        <v>FCACC-GE-TA-HU-NI-4-RECLU-SEL</v>
      </c>
      <c r="B257" s="2" t="s">
        <v>235</v>
      </c>
      <c r="C257" s="6">
        <v>4</v>
      </c>
      <c r="D257" s="6">
        <v>16</v>
      </c>
      <c r="E257" s="6" t="s">
        <v>218</v>
      </c>
      <c r="F257" s="5" t="str">
        <f>_xlfn.XLOOKUP(TAB_H_MAE_ASIG[[#This Row],[ID_CARRERA]],MAE_CARRERA[ID_CARRERA],MAE_CARRERA[NOMBRE_CARRERA])</f>
        <v>GESTIÓN DEL TALENTO HUMANO</v>
      </c>
      <c r="G257" s="6">
        <v>4</v>
      </c>
    </row>
    <row r="258" spans="1:7" ht="12.75" customHeight="1">
      <c r="A258" s="2" t="str">
        <f>CONCATENATE(TAB_H_MAE_ASIG[[#This Row],[ID_CARRERA]],"-NI-",TAB_H_MAE_ASIG[[#This Row],[ID_NIVEL]],"-",LEFT(MID(B258,1,20),5)&amp;IF(ISERR(FIND(" ",MID(B258,4,20))),"","-"&amp;LEFT(MID(MID(B258,4,20),FIND(" ",MID(B258,4,20))+1,20),3))&amp;IF(ISERR(FIND(" ",MID(B258,4,20),FIND(" ",MID(B258,4,20))+1)),"","-"&amp;LEFT(MID(MID(B258,4,20),FIND(" ",MID(B258,4,20),FIND(" ",MID(B258,4,20))+1)+1,20),3)))</f>
        <v>FCACC-GE-TA-HU-NI-4-EMPLE-Y D-DES</v>
      </c>
      <c r="B258" s="2" t="s">
        <v>236</v>
      </c>
      <c r="C258" s="6">
        <v>4</v>
      </c>
      <c r="D258" s="6">
        <v>16</v>
      </c>
      <c r="E258" s="6" t="s">
        <v>218</v>
      </c>
      <c r="F258" s="5" t="str">
        <f>_xlfn.XLOOKUP(TAB_H_MAE_ASIG[[#This Row],[ID_CARRERA]],MAE_CARRERA[ID_CARRERA],MAE_CARRERA[NOMBRE_CARRERA])</f>
        <v>GESTIÓN DEL TALENTO HUMANO</v>
      </c>
      <c r="G258" s="6">
        <v>4</v>
      </c>
    </row>
    <row r="259" spans="1:7" ht="12.75" customHeight="1">
      <c r="A259" s="2" t="str">
        <f>CONCATENATE(TAB_H_MAE_ASIG[[#This Row],[ID_CARRERA]],"-NI-",TAB_H_MAE_ASIG[[#This Row],[ID_NIVEL]],"-",LEFT(MID(B259,1,20),5)&amp;IF(ISERR(FIND(" ",MID(B259,4,20))),"","-"&amp;LEFT(MID(MID(B259,4,20),FIND(" ",MID(B259,4,20))+1,20),3))&amp;IF(ISERR(FIND(" ",MID(B259,4,20),FIND(" ",MID(B259,4,20))+1)),"","-"&amp;LEFT(MID(MID(B259,4,20),FIND(" ",MID(B259,4,20),FIND(" ",MID(B259,4,20))+1)+1,20),3)))</f>
        <v>FCACC-GE-TA-HU-NI-4-NEURO-(GT</v>
      </c>
      <c r="B259" s="2" t="s">
        <v>237</v>
      </c>
      <c r="C259" s="6">
        <v>4</v>
      </c>
      <c r="D259" s="6">
        <v>16</v>
      </c>
      <c r="E259" s="6" t="s">
        <v>218</v>
      </c>
      <c r="F259" s="5" t="str">
        <f>_xlfn.XLOOKUP(TAB_H_MAE_ASIG[[#This Row],[ID_CARRERA]],MAE_CARRERA[ID_CARRERA],MAE_CARRERA[NOMBRE_CARRERA])</f>
        <v>GESTIÓN DEL TALENTO HUMANO</v>
      </c>
      <c r="G259" s="6">
        <v>4</v>
      </c>
    </row>
    <row r="260" spans="1:7" ht="12.75" customHeight="1">
      <c r="A260" s="2" t="str">
        <f>CONCATENATE(TAB_H_MAE_ASIG[[#This Row],[ID_CARRERA]],"-NI-",TAB_H_MAE_ASIG[[#This Row],[ID_NIVEL]],"-",LEFT(MID(B260,1,20),5)&amp;IF(ISERR(FIND(" ",MID(B260,4,20))),"","-"&amp;LEFT(MID(MID(B260,4,20),FIND(" ",MID(B260,4,20))+1,20),3))&amp;IF(ISERR(FIND(" ",MID(B260,4,20),FIND(" ",MID(B260,4,20))+1)),"","-"&amp;LEFT(MID(MID(B260,4,20),FIND(" ",MID(B260,4,20),FIND(" ",MID(B260,4,20))+1)+1,20),3)))</f>
        <v>FCACC-GE-TA-HU-NI-4-GESTI-DEL-CON</v>
      </c>
      <c r="B260" s="2" t="s">
        <v>238</v>
      </c>
      <c r="C260" s="6">
        <v>4</v>
      </c>
      <c r="D260" s="6">
        <v>16</v>
      </c>
      <c r="E260" s="6" t="s">
        <v>218</v>
      </c>
      <c r="F260" s="5" t="str">
        <f>_xlfn.XLOOKUP(TAB_H_MAE_ASIG[[#This Row],[ID_CARRERA]],MAE_CARRERA[ID_CARRERA],MAE_CARRERA[NOMBRE_CARRERA])</f>
        <v>GESTIÓN DEL TALENTO HUMANO</v>
      </c>
      <c r="G260" s="6">
        <v>4</v>
      </c>
    </row>
    <row r="261" spans="1:7" ht="12.75" customHeight="1">
      <c r="A261" s="2" t="str">
        <f>CONCATENATE(TAB_H_MAE_ASIG[[#This Row],[ID_CARRERA]],"-NI-",TAB_H_MAE_ASIG[[#This Row],[ID_NIVEL]],"-",LEFT(MID(B261,1,20),5)&amp;IF(ISERR(FIND(" ",MID(B261,4,20))),"","-"&amp;LEFT(MID(MID(B261,4,20),FIND(" ",MID(B261,4,20))+1,20),3))&amp;IF(ISERR(FIND(" ",MID(B261,4,20),FIND(" ",MID(B261,4,20))+1)),"","-"&amp;LEFT(MID(MID(B261,4,20),FIND(" ",MID(B261,4,20),FIND(" ",MID(B261,4,20))+1)+1,20),3)))</f>
        <v>FCACC-GE-TA-HU-NI-4-SEGUR-Y S-SAL</v>
      </c>
      <c r="B261" s="2" t="s">
        <v>239</v>
      </c>
      <c r="C261" s="6">
        <v>4</v>
      </c>
      <c r="D261" s="6">
        <v>16</v>
      </c>
      <c r="E261" s="6" t="s">
        <v>218</v>
      </c>
      <c r="F261" s="5" t="str">
        <f>_xlfn.XLOOKUP(TAB_H_MAE_ASIG[[#This Row],[ID_CARRERA]],MAE_CARRERA[ID_CARRERA],MAE_CARRERA[NOMBRE_CARRERA])</f>
        <v>GESTIÓN DEL TALENTO HUMANO</v>
      </c>
      <c r="G261" s="6">
        <v>4</v>
      </c>
    </row>
    <row r="262" spans="1:7" ht="12.75" customHeight="1">
      <c r="A262" s="2" t="str">
        <f>CONCATENATE(TAB_H_MAE_ASIG[[#This Row],[ID_CARRERA]],"-NI-",TAB_H_MAE_ASIG[[#This Row],[ID_NIVEL]],"-",LEFT(MID(B262,1,20),5)&amp;IF(ISERR(FIND(" ",MID(B262,4,20))),"","-"&amp;LEFT(MID(MID(B262,4,20),FIND(" ",MID(B262,4,20))+1,20),3))&amp;IF(ISERR(FIND(" ",MID(B262,4,20),FIND(" ",MID(B262,4,20))+1)),"","-"&amp;LEFT(MID(MID(B262,4,20),FIND(" ",MID(B262,4,20),FIND(" ",MID(B262,4,20))+1)+1,20),3)))</f>
        <v>FCACC-GE-TA-HU-NI-5-EVALU-DEL-DES</v>
      </c>
      <c r="B262" s="2" t="s">
        <v>240</v>
      </c>
      <c r="C262" s="6">
        <v>4</v>
      </c>
      <c r="D262" s="6">
        <v>16</v>
      </c>
      <c r="E262" s="6" t="s">
        <v>218</v>
      </c>
      <c r="F262" s="5" t="str">
        <f>_xlfn.XLOOKUP(TAB_H_MAE_ASIG[[#This Row],[ID_CARRERA]],MAE_CARRERA[ID_CARRERA],MAE_CARRERA[NOMBRE_CARRERA])</f>
        <v>GESTIÓN DEL TALENTO HUMANO</v>
      </c>
      <c r="G262" s="6">
        <v>5</v>
      </c>
    </row>
    <row r="263" spans="1:7" ht="12.75" customHeight="1">
      <c r="A263" s="2" t="str">
        <f>CONCATENATE(TAB_H_MAE_ASIG[[#This Row],[ID_CARRERA]],"-NI-",TAB_H_MAE_ASIG[[#This Row],[ID_NIVEL]],"-",LEFT(MID(B263,1,20),5)&amp;IF(ISERR(FIND(" ",MID(B263,4,20))),"","-"&amp;LEFT(MID(MID(B263,4,20),FIND(" ",MID(B263,4,20))+1,20),3))&amp;IF(ISERR(FIND(" ",MID(B263,4,20),FIND(" ",MID(B263,4,20))+1)),"","-"&amp;LEFT(MID(MID(B263,4,20),FIND(" ",MID(B263,4,20),FIND(" ",MID(B263,4,20))+1)+1,20),3)))</f>
        <v>FCACC-GE-TA-HU-NI-5-ADMIN-DE -REM</v>
      </c>
      <c r="B263" s="2" t="s">
        <v>241</v>
      </c>
      <c r="C263" s="6">
        <v>4</v>
      </c>
      <c r="D263" s="6">
        <v>16</v>
      </c>
      <c r="E263" s="6" t="s">
        <v>218</v>
      </c>
      <c r="F263" s="5" t="str">
        <f>_xlfn.XLOOKUP(TAB_H_MAE_ASIG[[#This Row],[ID_CARRERA]],MAE_CARRERA[ID_CARRERA],MAE_CARRERA[NOMBRE_CARRERA])</f>
        <v>GESTIÓN DEL TALENTO HUMANO</v>
      </c>
      <c r="G263" s="6">
        <v>5</v>
      </c>
    </row>
    <row r="264" spans="1:7" ht="12.75" customHeight="1">
      <c r="A264" s="2" t="str">
        <f>CONCATENATE(TAB_H_MAE_ASIG[[#This Row],[ID_CARRERA]],"-NI-",TAB_H_MAE_ASIG[[#This Row],[ID_NIVEL]],"-",LEFT(MID(B264,1,20),5)&amp;IF(ISERR(FIND(" ",MID(B264,4,20))),"","-"&amp;LEFT(MID(MID(B264,4,20),FIND(" ",MID(B264,4,20))+1,20),3))&amp;IF(ISERR(FIND(" ",MID(B264,4,20),FIND(" ",MID(B264,4,20))+1)),"","-"&amp;LEFT(MID(MID(B264,4,20),FIND(" ",MID(B264,4,20),FIND(" ",MID(B264,4,20))+1)+1,20),3)))</f>
        <v>FCACC-GE-TA-HU-NI-5-BIENE-Y C-CLI</v>
      </c>
      <c r="B264" s="2" t="s">
        <v>242</v>
      </c>
      <c r="C264" s="6">
        <v>4</v>
      </c>
      <c r="D264" s="6">
        <v>16</v>
      </c>
      <c r="E264" s="6" t="s">
        <v>218</v>
      </c>
      <c r="F264" s="5" t="str">
        <f>_xlfn.XLOOKUP(TAB_H_MAE_ASIG[[#This Row],[ID_CARRERA]],MAE_CARRERA[ID_CARRERA],MAE_CARRERA[NOMBRE_CARRERA])</f>
        <v>GESTIÓN DEL TALENTO HUMANO</v>
      </c>
      <c r="G264" s="6">
        <v>5</v>
      </c>
    </row>
    <row r="265" spans="1:7" ht="12.75" customHeight="1">
      <c r="A265" s="2" t="str">
        <f>CONCATENATE(TAB_H_MAE_ASIG[[#This Row],[ID_CARRERA]],"-NI-",TAB_H_MAE_ASIG[[#This Row],[ID_NIVEL]],"-",LEFT(MID(B265,1,20),5)&amp;IF(ISERR(FIND(" ",MID(B265,4,20))),"","-"&amp;LEFT(MID(MID(B265,4,20),FIND(" ",MID(B265,4,20))+1,20),3))&amp;IF(ISERR(FIND(" ",MID(B265,4,20),FIND(" ",MID(B265,4,20))+1)),"","-"&amp;LEFT(MID(MID(B265,4,20),FIND(" ",MID(B265,4,20),FIND(" ",MID(B265,4,20))+1)+1,20),3)))</f>
        <v>FCACC-GE-TA-HU-NI-5-PRESU-(GT</v>
      </c>
      <c r="B265" s="2" t="s">
        <v>243</v>
      </c>
      <c r="C265" s="6">
        <v>4</v>
      </c>
      <c r="D265" s="6">
        <v>16</v>
      </c>
      <c r="E265" s="6" t="s">
        <v>218</v>
      </c>
      <c r="F265" s="5" t="str">
        <f>_xlfn.XLOOKUP(TAB_H_MAE_ASIG[[#This Row],[ID_CARRERA]],MAE_CARRERA[ID_CARRERA],MAE_CARRERA[NOMBRE_CARRERA])</f>
        <v>GESTIÓN DEL TALENTO HUMANO</v>
      </c>
      <c r="G265" s="6">
        <v>5</v>
      </c>
    </row>
    <row r="266" spans="1:7" ht="12.75" customHeight="1">
      <c r="A266" s="2" t="str">
        <f>CONCATENATE(TAB_H_MAE_ASIG[[#This Row],[ID_CARRERA]],"-NI-",TAB_H_MAE_ASIG[[#This Row],[ID_NIVEL]],"-",LEFT(MID(B266,1,20),5)&amp;IF(ISERR(FIND(" ",MID(B266,4,20))),"","-"&amp;LEFT(MID(MID(B266,4,20),FIND(" ",MID(B266,4,20))+1,20),3))&amp;IF(ISERR(FIND(" ",MID(B266,4,20),FIND(" ",MID(B266,4,20))+1)),"","-"&amp;LEFT(MID(MID(B266,4,20),FIND(" ",MID(B266,4,20),FIND(" ",MID(B266,4,20))+1)+1,20),3)))</f>
        <v>FCACC-GE-TA-HU-NI-5-POLÍT-PÚB-Y L</v>
      </c>
      <c r="B266" s="2" t="s">
        <v>244</v>
      </c>
      <c r="C266" s="6">
        <v>4</v>
      </c>
      <c r="D266" s="6">
        <v>16</v>
      </c>
      <c r="E266" s="6" t="s">
        <v>218</v>
      </c>
      <c r="F266" s="5" t="str">
        <f>_xlfn.XLOOKUP(TAB_H_MAE_ASIG[[#This Row],[ID_CARRERA]],MAE_CARRERA[ID_CARRERA],MAE_CARRERA[NOMBRE_CARRERA])</f>
        <v>GESTIÓN DEL TALENTO HUMANO</v>
      </c>
      <c r="G266" s="6">
        <v>5</v>
      </c>
    </row>
    <row r="267" spans="1:7" ht="12.75" customHeight="1">
      <c r="A267" s="2" t="str">
        <f>CONCATENATE(TAB_H_MAE_ASIG[[#This Row],[ID_CARRERA]],"-NI-",TAB_H_MAE_ASIG[[#This Row],[ID_NIVEL]],"-",LEFT(MID(B267,1,20),5)&amp;IF(ISERR(FIND(" ",MID(B267,4,20))),"","-"&amp;LEFT(MID(MID(B267,4,20),FIND(" ",MID(B267,4,20))+1,20),3))&amp;IF(ISERR(FIND(" ",MID(B267,4,20),FIND(" ",MID(B267,4,20))+1)),"","-"&amp;LEFT(MID(MID(B267,4,20),FIND(" ",MID(B267,4,20),FIND(" ",MID(B267,4,20))+1)+1,20),3)))</f>
        <v>FCACC-GE-TA-HU-NI-6-GESTI-INT-DEL</v>
      </c>
      <c r="B267" s="2" t="s">
        <v>245</v>
      </c>
      <c r="C267" s="6">
        <v>4</v>
      </c>
      <c r="D267" s="6">
        <v>16</v>
      </c>
      <c r="E267" s="6" t="s">
        <v>218</v>
      </c>
      <c r="F267" s="5" t="str">
        <f>_xlfn.XLOOKUP(TAB_H_MAE_ASIG[[#This Row],[ID_CARRERA]],MAE_CARRERA[ID_CARRERA],MAE_CARRERA[NOMBRE_CARRERA])</f>
        <v>GESTIÓN DEL TALENTO HUMANO</v>
      </c>
      <c r="G267" s="6">
        <v>6</v>
      </c>
    </row>
    <row r="268" spans="1:7" ht="12.75" customHeight="1">
      <c r="A268" s="2" t="str">
        <f>CONCATENATE(TAB_H_MAE_ASIG[[#This Row],[ID_CARRERA]],"-NI-",TAB_H_MAE_ASIG[[#This Row],[ID_NIVEL]],"-",LEFT(MID(B268,1,20),5)&amp;IF(ISERR(FIND(" ",MID(B268,4,20))),"","-"&amp;LEFT(MID(MID(B268,4,20),FIND(" ",MID(B268,4,20))+1,20),3))&amp;IF(ISERR(FIND(" ",MID(B268,4,20),FIND(" ",MID(B268,4,20))+1)),"","-"&amp;LEFT(MID(MID(B268,4,20),FIND(" ",MID(B268,4,20),FIND(" ",MID(B268,4,20))+1)+1,20),3)))</f>
        <v>FCACC-GE-TA-HU-NI-6-DIREC-DE -TAL</v>
      </c>
      <c r="B268" s="2" t="s">
        <v>246</v>
      </c>
      <c r="C268" s="6">
        <v>4</v>
      </c>
      <c r="D268" s="6">
        <v>16</v>
      </c>
      <c r="E268" s="6" t="s">
        <v>218</v>
      </c>
      <c r="F268" s="5" t="str">
        <f>_xlfn.XLOOKUP(TAB_H_MAE_ASIG[[#This Row],[ID_CARRERA]],MAE_CARRERA[ID_CARRERA],MAE_CARRERA[NOMBRE_CARRERA])</f>
        <v>GESTIÓN DEL TALENTO HUMANO</v>
      </c>
      <c r="G268" s="6">
        <v>6</v>
      </c>
    </row>
    <row r="269" spans="1:7" ht="12.75" customHeight="1">
      <c r="A269" s="2" t="str">
        <f>CONCATENATE(TAB_H_MAE_ASIG[[#This Row],[ID_CARRERA]],"-NI-",TAB_H_MAE_ASIG[[#This Row],[ID_NIVEL]],"-",LEFT(MID(B269,1,20),5)&amp;IF(ISERR(FIND(" ",MID(B269,4,20))),"","-"&amp;LEFT(MID(MID(B269,4,20),FIND(" ",MID(B269,4,20))+1,20),3))&amp;IF(ISERR(FIND(" ",MID(B269,4,20),FIND(" ",MID(B269,4,20))+1)),"","-"&amp;LEFT(MID(MID(B269,4,20),FIND(" ",MID(B269,4,20),FIND(" ",MID(B269,4,20))+1)+1,20),3)))</f>
        <v>FCACC-GE-TA-HU-NI-6-E-TRA-/ E-E-L</v>
      </c>
      <c r="B269" s="2" t="s">
        <v>247</v>
      </c>
      <c r="C269" s="6">
        <v>4</v>
      </c>
      <c r="D269" s="6">
        <v>16</v>
      </c>
      <c r="E269" s="6" t="s">
        <v>218</v>
      </c>
      <c r="F269" s="5" t="str">
        <f>_xlfn.XLOOKUP(TAB_H_MAE_ASIG[[#This Row],[ID_CARRERA]],MAE_CARRERA[ID_CARRERA],MAE_CARRERA[NOMBRE_CARRERA])</f>
        <v>GESTIÓN DEL TALENTO HUMANO</v>
      </c>
      <c r="G269" s="6">
        <v>6</v>
      </c>
    </row>
    <row r="270" spans="1:7" ht="12.75" customHeight="1">
      <c r="A270" s="2" t="str">
        <f>CONCATENATE(TAB_H_MAE_ASIG[[#This Row],[ID_CARRERA]],"-NI-",TAB_H_MAE_ASIG[[#This Row],[ID_NIVEL]],"-",LEFT(MID(B270,1,20),5)&amp;IF(ISERR(FIND(" ",MID(B270,4,20))),"","-"&amp;LEFT(MID(MID(B270,4,20),FIND(" ",MID(B270,4,20))+1,20),3))&amp;IF(ISERR(FIND(" ",MID(B270,4,20),FIND(" ",MID(B270,4,20))+1)),"","-"&amp;LEFT(MID(MID(B270,4,20),FIND(" ",MID(B270,4,20),FIND(" ",MID(B270,4,20))+1)+1,20),3)))</f>
        <v>FCACC-GE-TA-HU-NI-6-CONSU-ORG</v>
      </c>
      <c r="B270" s="2" t="s">
        <v>248</v>
      </c>
      <c r="C270" s="6">
        <v>4</v>
      </c>
      <c r="D270" s="6">
        <v>16</v>
      </c>
      <c r="E270" s="6" t="s">
        <v>218</v>
      </c>
      <c r="F270" s="5" t="str">
        <f>_xlfn.XLOOKUP(TAB_H_MAE_ASIG[[#This Row],[ID_CARRERA]],MAE_CARRERA[ID_CARRERA],MAE_CARRERA[NOMBRE_CARRERA])</f>
        <v>GESTIÓN DEL TALENTO HUMANO</v>
      </c>
      <c r="G270" s="6">
        <v>6</v>
      </c>
    </row>
    <row r="271" spans="1:7" ht="12.75" customHeight="1">
      <c r="A271" s="2" t="str">
        <f>CONCATENATE(TAB_H_MAE_ASIG[[#This Row],[ID_CARRERA]],"-NI-",TAB_H_MAE_ASIG[[#This Row],[ID_NIVEL]],"-",LEFT(MID(B271,1,20),5)&amp;IF(ISERR(FIND(" ",MID(B271,4,20))),"","-"&amp;LEFT(MID(MID(B271,4,20),FIND(" ",MID(B271,4,20))+1,20),3))&amp;IF(ISERR(FIND(" ",MID(B271,4,20),FIND(" ",MID(B271,4,20))+1)),"","-"&amp;LEFT(MID(MID(B271,4,20),FIND(" ",MID(B271,4,20),FIND(" ",MID(B271,4,20))+1)+1,20),3)))</f>
        <v>FCACC-GE-TA-HU-NI-6-GESTI-DE -CAL</v>
      </c>
      <c r="B271" s="2" t="s">
        <v>249</v>
      </c>
      <c r="C271" s="6">
        <v>4</v>
      </c>
      <c r="D271" s="6">
        <v>16</v>
      </c>
      <c r="E271" s="6" t="s">
        <v>218</v>
      </c>
      <c r="F271" s="5" t="str">
        <f>_xlfn.XLOOKUP(TAB_H_MAE_ASIG[[#This Row],[ID_CARRERA]],MAE_CARRERA[ID_CARRERA],MAE_CARRERA[NOMBRE_CARRERA])</f>
        <v>GESTIÓN DEL TALENTO HUMANO</v>
      </c>
      <c r="G271" s="6">
        <v>6</v>
      </c>
    </row>
    <row r="272" spans="1:7" ht="12.75" customHeight="1">
      <c r="A272" s="2" t="str">
        <f>CONCATENATE(TAB_H_MAE_ASIG[[#This Row],[ID_CARRERA]],"-NI-",TAB_H_MAE_ASIG[[#This Row],[ID_NIVEL]],"-",LEFT(MID(B272,1,20),5)&amp;IF(ISERR(FIND(" ",MID(B272,4,20))),"","-"&amp;LEFT(MID(MID(B272,4,20),FIND(" ",MID(B272,4,20))+1,20),3))&amp;IF(ISERR(FIND(" ",MID(B272,4,20),FIND(" ",MID(B272,4,20))+1)),"","-"&amp;LEFT(MID(MID(B272,4,20),FIND(" ",MID(B272,4,20),FIND(" ",MID(B272,4,20))+1)+1,20),3)))</f>
        <v>FCACC-GE-TA-HU-NI-7-ENDOM-(GT</v>
      </c>
      <c r="B272" s="2" t="s">
        <v>250</v>
      </c>
      <c r="C272" s="6">
        <v>5</v>
      </c>
      <c r="D272" s="6">
        <v>16</v>
      </c>
      <c r="E272" s="6" t="s">
        <v>218</v>
      </c>
      <c r="F272" s="5" t="str">
        <f>_xlfn.XLOOKUP(TAB_H_MAE_ASIG[[#This Row],[ID_CARRERA]],MAE_CARRERA[ID_CARRERA],MAE_CARRERA[NOMBRE_CARRERA])</f>
        <v>GESTIÓN DEL TALENTO HUMANO</v>
      </c>
      <c r="G272" s="6">
        <v>7</v>
      </c>
    </row>
    <row r="273" spans="1:7" ht="12.75" customHeight="1">
      <c r="A273" s="2" t="str">
        <f>CONCATENATE(TAB_H_MAE_ASIG[[#This Row],[ID_CARRERA]],"-NI-",TAB_H_MAE_ASIG[[#This Row],[ID_NIVEL]],"-",LEFT(MID(B273,1,20),5)&amp;IF(ISERR(FIND(" ",MID(B273,4,20))),"","-"&amp;LEFT(MID(MID(B273,4,20),FIND(" ",MID(B273,4,20))+1,20),3))&amp;IF(ISERR(FIND(" ",MID(B273,4,20),FIND(" ",MID(B273,4,20))+1)),"","-"&amp;LEFT(MID(MID(B273,4,20),FIND(" ",MID(B273,4,20),FIND(" ",MID(B273,4,20))+1)+1,20),3)))</f>
        <v xml:space="preserve">FCACC-GE-TA-HU-NI-7-TENDE-GLO-DE </v>
      </c>
      <c r="B273" s="2" t="s">
        <v>251</v>
      </c>
      <c r="C273" s="6">
        <v>5</v>
      </c>
      <c r="D273" s="6">
        <v>16</v>
      </c>
      <c r="E273" s="6" t="s">
        <v>218</v>
      </c>
      <c r="F273" s="5" t="str">
        <f>_xlfn.XLOOKUP(TAB_H_MAE_ASIG[[#This Row],[ID_CARRERA]],MAE_CARRERA[ID_CARRERA],MAE_CARRERA[NOMBRE_CARRERA])</f>
        <v>GESTIÓN DEL TALENTO HUMANO</v>
      </c>
      <c r="G273" s="6">
        <v>7</v>
      </c>
    </row>
    <row r="274" spans="1:7" ht="12.75" customHeight="1">
      <c r="A274" s="2" t="str">
        <f>CONCATENATE(TAB_H_MAE_ASIG[[#This Row],[ID_CARRERA]],"-NI-",TAB_H_MAE_ASIG[[#This Row],[ID_NIVEL]],"-",LEFT(MID(B274,1,20),5)&amp;IF(ISERR(FIND(" ",MID(B274,4,20))),"","-"&amp;LEFT(MID(MID(B274,4,20),FIND(" ",MID(B274,4,20))+1,20),3))&amp;IF(ISERR(FIND(" ",MID(B274,4,20),FIND(" ",MID(B274,4,20))+1)),"","-"&amp;LEFT(MID(MID(B274,4,20),FIND(" ",MID(B274,4,20),FIND(" ",MID(B274,4,20))+1)+1,20),3)))</f>
        <v>FCACC-GE-TA-HU-NI-7-GEREN-EST-(G</v>
      </c>
      <c r="B274" s="2" t="s">
        <v>252</v>
      </c>
      <c r="C274" s="6">
        <v>5</v>
      </c>
      <c r="D274" s="6">
        <v>16</v>
      </c>
      <c r="E274" s="6" t="s">
        <v>218</v>
      </c>
      <c r="F274" s="5" t="str">
        <f>_xlfn.XLOOKUP(TAB_H_MAE_ASIG[[#This Row],[ID_CARRERA]],MAE_CARRERA[ID_CARRERA],MAE_CARRERA[NOMBRE_CARRERA])</f>
        <v>GESTIÓN DEL TALENTO HUMANO</v>
      </c>
      <c r="G274" s="6">
        <v>7</v>
      </c>
    </row>
    <row r="275" spans="1:7" ht="12.75" customHeight="1">
      <c r="A275" s="2" t="str">
        <f>CONCATENATE(TAB_H_MAE_ASIG[[#This Row],[ID_CARRERA]],"-NI-",TAB_H_MAE_ASIG[[#This Row],[ID_NIVEL]],"-",LEFT(MID(B275,1,20),5)&amp;IF(ISERR(FIND(" ",MID(B275,4,20))),"","-"&amp;LEFT(MID(MID(B275,4,20),FIND(" ",MID(B275,4,20))+1,20),3))&amp;IF(ISERR(FIND(" ",MID(B275,4,20),FIND(" ",MID(B275,4,20))+1)),"","-"&amp;LEFT(MID(MID(B275,4,20),FIND(" ",MID(B275,4,20),FIND(" ",MID(B275,4,20))+1)+1,20),3)))</f>
        <v>FCACC-GE-TA-HU-NI-7-DEONT-PRO</v>
      </c>
      <c r="B275" s="2" t="s">
        <v>253</v>
      </c>
      <c r="C275" s="6">
        <v>5</v>
      </c>
      <c r="D275" s="6">
        <v>16</v>
      </c>
      <c r="E275" s="6" t="s">
        <v>218</v>
      </c>
      <c r="F275" s="5" t="str">
        <f>_xlfn.XLOOKUP(TAB_H_MAE_ASIG[[#This Row],[ID_CARRERA]],MAE_CARRERA[ID_CARRERA],MAE_CARRERA[NOMBRE_CARRERA])</f>
        <v>GESTIÓN DEL TALENTO HUMANO</v>
      </c>
      <c r="G275" s="6">
        <v>7</v>
      </c>
    </row>
    <row r="276" spans="1:7" ht="12.75" customHeight="1">
      <c r="A276" s="2" t="str">
        <f>CONCATENATE(TAB_H_MAE_ASIG[[#This Row],[ID_CARRERA]],"-NI-",TAB_H_MAE_ASIG[[#This Row],[ID_NIVEL]],"-",LEFT(MID(B276,1,20),5)&amp;IF(ISERR(FIND(" ",MID(B276,4,20))),"","-"&amp;LEFT(MID(MID(B276,4,20),FIND(" ",MID(B276,4,20))+1,20),3))&amp;IF(ISERR(FIND(" ",MID(B276,4,20),FIND(" ",MID(B276,4,20))+1)),"","-"&amp;LEFT(MID(MID(B276,4,20),FIND(" ",MID(B276,4,20),FIND(" ",MID(B276,4,20))+1)+1,20),3)))</f>
        <v>FCACC-GE-TA-HU-NI-8-AUDIT-DEL-TAL</v>
      </c>
      <c r="B276" s="2" t="s">
        <v>254</v>
      </c>
      <c r="C276" s="6">
        <v>5</v>
      </c>
      <c r="D276" s="6">
        <v>16</v>
      </c>
      <c r="E276" s="6" t="s">
        <v>218</v>
      </c>
      <c r="F276" s="5" t="str">
        <f>_xlfn.XLOOKUP(TAB_H_MAE_ASIG[[#This Row],[ID_CARRERA]],MAE_CARRERA[ID_CARRERA],MAE_CARRERA[NOMBRE_CARRERA])</f>
        <v>GESTIÓN DEL TALENTO HUMANO</v>
      </c>
      <c r="G276" s="6">
        <v>8</v>
      </c>
    </row>
    <row r="277" spans="1:7" ht="12.75" customHeight="1">
      <c r="A277" s="2" t="str">
        <f>CONCATENATE(TAB_H_MAE_ASIG[[#This Row],[ID_CARRERA]],"-NI-",TAB_H_MAE_ASIG[[#This Row],[ID_NIVEL]],"-",LEFT(MID(B277,1,20),5)&amp;IF(ISERR(FIND(" ",MID(B277,4,20))),"","-"&amp;LEFT(MID(MID(B277,4,20),FIND(" ",MID(B277,4,20))+1,20),3))&amp;IF(ISERR(FIND(" ",MID(B277,4,20),FIND(" ",MID(B277,4,20))+1)),"","-"&amp;LEFT(MID(MID(B277,4,20),FIND(" ",MID(B277,4,20),FIND(" ",MID(B277,4,20))+1)+1,20),3)))</f>
        <v>FCACC-GE-TA-HU-NI-8-BUSIN-COA-(GT</v>
      </c>
      <c r="B277" s="2" t="s">
        <v>255</v>
      </c>
      <c r="C277" s="6">
        <v>5</v>
      </c>
      <c r="D277" s="6">
        <v>16</v>
      </c>
      <c r="E277" s="6" t="s">
        <v>218</v>
      </c>
      <c r="F277" s="5" t="str">
        <f>_xlfn.XLOOKUP(TAB_H_MAE_ASIG[[#This Row],[ID_CARRERA]],MAE_CARRERA[ID_CARRERA],MAE_CARRERA[NOMBRE_CARRERA])</f>
        <v>GESTIÓN DEL TALENTO HUMANO</v>
      </c>
      <c r="G277" s="6">
        <v>8</v>
      </c>
    </row>
    <row r="278" spans="1:7" ht="12.75" customHeight="1">
      <c r="A278" s="2" t="str">
        <f>CONCATENATE(TAB_H_MAE_ASIG[[#This Row],[ID_CARRERA]],"-NI-",TAB_H_MAE_ASIG[[#This Row],[ID_NIVEL]],"-",LEFT(MID(B278,1,20),5)&amp;IF(ISERR(FIND(" ",MID(B278,4,20))),"","-"&amp;LEFT(MID(MID(B278,4,20),FIND(" ",MID(B278,4,20))+1,20),3))&amp;IF(ISERR(FIND(" ",MID(B278,4,20),FIND(" ",MID(B278,4,20))+1)),"","-"&amp;LEFT(MID(MID(B278,4,20),FIND(" ",MID(B278,4,20),FIND(" ",MID(B278,4,20))+1)+1,20),3)))</f>
        <v>FCACC-GE-TA-HU-NI-8-GESTI-DE -CON</v>
      </c>
      <c r="B278" s="2" t="s">
        <v>256</v>
      </c>
      <c r="C278" s="6">
        <v>5</v>
      </c>
      <c r="D278" s="6">
        <v>16</v>
      </c>
      <c r="E278" s="6" t="s">
        <v>218</v>
      </c>
      <c r="F278" s="5" t="str">
        <f>_xlfn.XLOOKUP(TAB_H_MAE_ASIG[[#This Row],[ID_CARRERA]],MAE_CARRERA[ID_CARRERA],MAE_CARRERA[NOMBRE_CARRERA])</f>
        <v>GESTIÓN DEL TALENTO HUMANO</v>
      </c>
      <c r="G278" s="6">
        <v>8</v>
      </c>
    </row>
    <row r="279" spans="1:7" ht="12.75" customHeight="1">
      <c r="A279" s="2" t="str">
        <f>CONCATENATE(TAB_H_MAE_ASIG[[#This Row],[ID_CARRERA]],"-NI-",TAB_H_MAE_ASIG[[#This Row],[ID_NIVEL]],"-",LEFT(MID(B279,1,20),5)&amp;IF(ISERR(FIND(" ",MID(B279,4,20))),"","-"&amp;LEFT(MID(MID(B279,4,20),FIND(" ",MID(B279,4,20))+1,20),3))&amp;IF(ISERR(FIND(" ",MID(B279,4,20),FIND(" ",MID(B279,4,20))+1)),"","-"&amp;LEFT(MID(MID(B279,4,20),FIND(" ",MID(B279,4,20),FIND(" ",MID(B279,4,20))+1)+1,20),3)))</f>
        <v>FCACC-GE-TA-HU-NI-8-RESPO-SOC-</v>
      </c>
      <c r="B279" s="2" t="s">
        <v>257</v>
      </c>
      <c r="C279" s="6">
        <v>5</v>
      </c>
      <c r="D279" s="6">
        <v>16</v>
      </c>
      <c r="E279" s="6" t="s">
        <v>218</v>
      </c>
      <c r="F279" s="5" t="str">
        <f>_xlfn.XLOOKUP(TAB_H_MAE_ASIG[[#This Row],[ID_CARRERA]],MAE_CARRERA[ID_CARRERA],MAE_CARRERA[NOMBRE_CARRERA])</f>
        <v>GESTIÓN DEL TALENTO HUMANO</v>
      </c>
      <c r="G279" s="6">
        <v>8</v>
      </c>
    </row>
    <row r="280" spans="1:7" ht="12.75" customHeight="1">
      <c r="A280" s="2" t="str">
        <f>CONCATENATE(TAB_H_MAE_ASIG[[#This Row],[ID_CARRERA]],"-NI-",TAB_H_MAE_ASIG[[#This Row],[ID_NIVEL]],"-",LEFT(MID(B280,1,20),5)&amp;IF(ISERR(FIND(" ",MID(B280,4,20))),"","-"&amp;LEFT(MID(MID(B280,4,20),FIND(" ",MID(B280,4,20))+1,20),3))&amp;IF(ISERR(FIND(" ",MID(B280,4,20),FIND(" ",MID(B280,4,20))+1)),"","-"&amp;LEFT(MID(MID(B280,4,20),FIND(" ",MID(B280,4,20),FIND(" ",MID(B280,4,20))+1)+1,20),3)))</f>
        <v xml:space="preserve">FCACC-MA-NI-1-SOCIE-DE -LA </v>
      </c>
      <c r="B280" s="7" t="s">
        <v>258</v>
      </c>
      <c r="C280" s="2">
        <v>6</v>
      </c>
      <c r="D280" s="6">
        <v>16</v>
      </c>
      <c r="E280" s="2" t="s">
        <v>259</v>
      </c>
      <c r="F280" s="5" t="str">
        <f>_xlfn.XLOOKUP(TAB_H_MAE_ASIG[[#This Row],[ID_CARRERA]],MAE_CARRERA[ID_CARRERA],MAE_CARRERA[NOMBRE_CARRERA])</f>
        <v>MARKETING</v>
      </c>
      <c r="G280" s="2">
        <v>1</v>
      </c>
    </row>
    <row r="281" spans="1:7" ht="12.75" customHeight="1">
      <c r="A281" s="2" t="str">
        <f>CONCATENATE(TAB_H_MAE_ASIG[[#This Row],[ID_CARRERA]],"-NI-",TAB_H_MAE_ASIG[[#This Row],[ID_NIVEL]],"-",LEFT(MID(B281,1,20),5)&amp;IF(ISERR(FIND(" ",MID(B281,4,20))),"","-"&amp;LEFT(MID(MID(B281,4,20),FIND(" ",MID(B281,4,20))+1,20),3))&amp;IF(ISERR(FIND(" ",MID(B281,4,20),FIND(" ",MID(B281,4,20))+1)),"","-"&amp;LEFT(MID(MID(B281,4,20),FIND(" ",MID(B281,4,20),FIND(" ",MID(B281,4,20))+1)+1,20),3)))</f>
        <v>FCACC-MA-NI-1-INTRO-A L-LOS</v>
      </c>
      <c r="B281" s="7" t="s">
        <v>260</v>
      </c>
      <c r="C281" s="2">
        <v>5</v>
      </c>
      <c r="D281" s="6">
        <v>16</v>
      </c>
      <c r="E281" s="2" t="s">
        <v>259</v>
      </c>
      <c r="F281" s="5" t="str">
        <f>_xlfn.XLOOKUP(TAB_H_MAE_ASIG[[#This Row],[ID_CARRERA]],MAE_CARRERA[ID_CARRERA],MAE_CARRERA[NOMBRE_CARRERA])</f>
        <v>MARKETING</v>
      </c>
      <c r="G281" s="2">
        <v>1</v>
      </c>
    </row>
    <row r="282" spans="1:7" ht="12.75" customHeight="1">
      <c r="A282" s="2" t="str">
        <f>CONCATENATE(TAB_H_MAE_ASIG[[#This Row],[ID_CARRERA]],"-NI-",TAB_H_MAE_ASIG[[#This Row],[ID_NIVEL]],"-",LEFT(MID(B282,1,20),5)&amp;IF(ISERR(FIND(" ",MID(B282,4,20))),"","-"&amp;LEFT(MID(MID(B282,4,20),FIND(" ",MID(B282,4,20))+1,20),3))&amp;IF(ISERR(FIND(" ",MID(B282,4,20),FIND(" ",MID(B282,4,20))+1)),"","-"&amp;LEFT(MID(MID(B282,4,20),FIND(" ",MID(B282,4,20),FIND(" ",MID(B282,4,20))+1)+1,20),3)))</f>
        <v>FCACC-MA-NI-1-ÉTICA-Y R-RES</v>
      </c>
      <c r="B282" s="7" t="s">
        <v>261</v>
      </c>
      <c r="C282" s="2">
        <v>6</v>
      </c>
      <c r="D282" s="6">
        <v>16</v>
      </c>
      <c r="E282" s="2" t="s">
        <v>259</v>
      </c>
      <c r="F282" s="5" t="str">
        <f>_xlfn.XLOOKUP(TAB_H_MAE_ASIG[[#This Row],[ID_CARRERA]],MAE_CARRERA[ID_CARRERA],MAE_CARRERA[NOMBRE_CARRERA])</f>
        <v>MARKETING</v>
      </c>
      <c r="G282" s="2">
        <v>1</v>
      </c>
    </row>
    <row r="283" spans="1:7" ht="12.75" customHeight="1">
      <c r="A283" s="2" t="str">
        <f>CONCATENATE(TAB_H_MAE_ASIG[[#This Row],[ID_CARRERA]],"-NI-",TAB_H_MAE_ASIG[[#This Row],[ID_NIVEL]],"-",LEFT(MID(B283,1,20),5)&amp;IF(ISERR(FIND(" ",MID(B283,4,20))),"","-"&amp;LEFT(MID(MID(B283,4,20),FIND(" ",MID(B283,4,20))+1,20),3))&amp;IF(ISERR(FIND(" ",MID(B283,4,20),FIND(" ",MID(B283,4,20))+1)),"","-"&amp;LEFT(MID(MID(B283,4,20),FIND(" ",MID(B283,4,20),FIND(" ",MID(B283,4,20))+1)+1,20),3)))</f>
        <v>FCACC-MA-NI-1-OFIMÁ</v>
      </c>
      <c r="B283" s="7" t="s">
        <v>262</v>
      </c>
      <c r="C283" s="2">
        <v>4</v>
      </c>
      <c r="D283" s="6">
        <v>16</v>
      </c>
      <c r="E283" s="2" t="s">
        <v>259</v>
      </c>
      <c r="F283" s="5" t="str">
        <f>_xlfn.XLOOKUP(TAB_H_MAE_ASIG[[#This Row],[ID_CARRERA]],MAE_CARRERA[ID_CARRERA],MAE_CARRERA[NOMBRE_CARRERA])</f>
        <v>MARKETING</v>
      </c>
      <c r="G283" s="2">
        <v>1</v>
      </c>
    </row>
    <row r="284" spans="1:7" ht="12.75" customHeight="1">
      <c r="A284" s="2" t="str">
        <f>CONCATENATE(TAB_H_MAE_ASIG[[#This Row],[ID_CARRERA]],"-NI-",TAB_H_MAE_ASIG[[#This Row],[ID_NIVEL]],"-",LEFT(MID(B284,1,20),5)&amp;IF(ISERR(FIND(" ",MID(B284,4,20))),"","-"&amp;LEFT(MID(MID(B284,4,20),FIND(" ",MID(B284,4,20))+1,20),3))&amp;IF(ISERR(FIND(" ",MID(B284,4,20),FIND(" ",MID(B284,4,20))+1)),"","-"&amp;LEFT(MID(MID(B284,4,20),FIND(" ",MID(B284,4,20),FIND(" ",MID(B284,4,20))+1)+1,20),3)))</f>
        <v>FCACC-MA-NI-1-CÁTED-ALF</v>
      </c>
      <c r="B284" s="7" t="s">
        <v>263</v>
      </c>
      <c r="C284" s="2">
        <v>6</v>
      </c>
      <c r="D284" s="6">
        <v>16</v>
      </c>
      <c r="E284" s="2" t="s">
        <v>259</v>
      </c>
      <c r="F284" s="5" t="str">
        <f>_xlfn.XLOOKUP(TAB_H_MAE_ASIG[[#This Row],[ID_CARRERA]],MAE_CARRERA[ID_CARRERA],MAE_CARRERA[NOMBRE_CARRERA])</f>
        <v>MARKETING</v>
      </c>
      <c r="G284" s="2">
        <v>1</v>
      </c>
    </row>
    <row r="285" spans="1:7" ht="12.75" customHeight="1">
      <c r="A285" s="2" t="str">
        <f>CONCATENATE(TAB_H_MAE_ASIG[[#This Row],[ID_CARRERA]],"-NI-",TAB_H_MAE_ASIG[[#This Row],[ID_NIVEL]],"-",LEFT(MID(B285,1,20),5)&amp;IF(ISERR(FIND(" ",MID(B285,4,20))),"","-"&amp;LEFT(MID(MID(B285,4,20),FIND(" ",MID(B285,4,20))+1,20),3))&amp;IF(ISERR(FIND(" ",MID(B285,4,20),FIND(" ",MID(B285,4,20))+1)),"","-"&amp;LEFT(MID(MID(B285,4,20),FIND(" ",MID(B285,4,20),FIND(" ",MID(B285,4,20))+1)+1,20),3)))</f>
        <v>FCACC-MA-NI-2-GESTI-ORG</v>
      </c>
      <c r="B285" s="7" t="s">
        <v>264</v>
      </c>
      <c r="C285" s="2">
        <v>6</v>
      </c>
      <c r="D285" s="6">
        <v>16</v>
      </c>
      <c r="E285" s="2" t="s">
        <v>259</v>
      </c>
      <c r="F285" s="5" t="str">
        <f>_xlfn.XLOOKUP(TAB_H_MAE_ASIG[[#This Row],[ID_CARRERA]],MAE_CARRERA[ID_CARRERA],MAE_CARRERA[NOMBRE_CARRERA])</f>
        <v>MARKETING</v>
      </c>
      <c r="G285" s="2">
        <v>2</v>
      </c>
    </row>
    <row r="286" spans="1:7" ht="12.75" customHeight="1">
      <c r="A286" s="2" t="str">
        <f>CONCATENATE(TAB_H_MAE_ASIG[[#This Row],[ID_CARRERA]],"-NI-",TAB_H_MAE_ASIG[[#This Row],[ID_NIVEL]],"-",LEFT(MID(B286,1,20),5)&amp;IF(ISERR(FIND(" ",MID(B286,4,20))),"","-"&amp;LEFT(MID(MID(B286,4,20),FIND(" ",MID(B286,4,20))+1,20),3))&amp;IF(ISERR(FIND(" ",MID(B286,4,20),FIND(" ",MID(B286,4,20))+1)),"","-"&amp;LEFT(MID(MID(B286,4,20),FIND(" ",MID(B286,4,20),FIND(" ",MID(B286,4,20))+1)+1,20),3)))</f>
        <v xml:space="preserve">FCACC-MA-NI-2-MARCO-CON-Y </v>
      </c>
      <c r="B286" s="7" t="s">
        <v>265</v>
      </c>
      <c r="C286" s="2">
        <v>6</v>
      </c>
      <c r="D286" s="6">
        <v>16</v>
      </c>
      <c r="E286" s="2" t="s">
        <v>259</v>
      </c>
      <c r="F286" s="5" t="str">
        <f>_xlfn.XLOOKUP(TAB_H_MAE_ASIG[[#This Row],[ID_CARRERA]],MAE_CARRERA[ID_CARRERA],MAE_CARRERA[NOMBRE_CARRERA])</f>
        <v>MARKETING</v>
      </c>
      <c r="G286" s="2">
        <v>2</v>
      </c>
    </row>
    <row r="287" spans="1:7" ht="12.75" customHeight="1">
      <c r="A287" s="2" t="str">
        <f>CONCATENATE(TAB_H_MAE_ASIG[[#This Row],[ID_CARRERA]],"-NI-",TAB_H_MAE_ASIG[[#This Row],[ID_NIVEL]],"-",LEFT(MID(B287,1,20),5)&amp;IF(ISERR(FIND(" ",MID(B287,4,20))),"","-"&amp;LEFT(MID(MID(B287,4,20),FIND(" ",MID(B287,4,20))+1,20),3))&amp;IF(ISERR(FIND(" ",MID(B287,4,20),FIND(" ",MID(B287,4,20))+1)),"","-"&amp;LEFT(MID(MID(B287,4,20),FIND(" ",MID(B287,4,20),FIND(" ",MID(B287,4,20))+1)+1,20),3)))</f>
        <v>FCACC-MA-NI-2-MEMOR-PAT-Y U</v>
      </c>
      <c r="B287" s="7" t="s">
        <v>266</v>
      </c>
      <c r="C287" s="2">
        <v>6</v>
      </c>
      <c r="D287" s="6">
        <v>16</v>
      </c>
      <c r="E287" s="2" t="s">
        <v>259</v>
      </c>
      <c r="F287" s="5" t="str">
        <f>_xlfn.XLOOKUP(TAB_H_MAE_ASIG[[#This Row],[ID_CARRERA]],MAE_CARRERA[ID_CARRERA],MAE_CARRERA[NOMBRE_CARRERA])</f>
        <v>MARKETING</v>
      </c>
      <c r="G287" s="2">
        <v>2</v>
      </c>
    </row>
    <row r="288" spans="1:7" ht="12.75" customHeight="1">
      <c r="A288" s="2" t="str">
        <f>CONCATENATE(TAB_H_MAE_ASIG[[#This Row],[ID_CARRERA]],"-NI-",TAB_H_MAE_ASIG[[#This Row],[ID_NIVEL]],"-",LEFT(MID(B288,1,20),5)&amp;IF(ISERR(FIND(" ",MID(B288,4,20))),"","-"&amp;LEFT(MID(MID(B288,4,20),FIND(" ",MID(B288,4,20))+1,20),3))&amp;IF(ISERR(FIND(" ",MID(B288,4,20),FIND(" ",MID(B288,4,20))+1)),"","-"&amp;LEFT(MID(MID(B288,4,20),FIND(" ",MID(B288,4,20),FIND(" ",MID(B288,4,20))+1)+1,20),3)))</f>
        <v>FCACC-MA-NI-2-ESTAD-DES</v>
      </c>
      <c r="B288" s="7" t="s">
        <v>267</v>
      </c>
      <c r="C288" s="2">
        <v>6</v>
      </c>
      <c r="D288" s="6">
        <v>16</v>
      </c>
      <c r="E288" s="2" t="s">
        <v>259</v>
      </c>
      <c r="F288" s="5" t="str">
        <f>_xlfn.XLOOKUP(TAB_H_MAE_ASIG[[#This Row],[ID_CARRERA]],MAE_CARRERA[ID_CARRERA],MAE_CARRERA[NOMBRE_CARRERA])</f>
        <v>MARKETING</v>
      </c>
      <c r="G288" s="2">
        <v>2</v>
      </c>
    </row>
    <row r="289" spans="1:7" ht="12.75" customHeight="1">
      <c r="A289" s="2" t="str">
        <f>CONCATENATE(TAB_H_MAE_ASIG[[#This Row],[ID_CARRERA]],"-NI-",TAB_H_MAE_ASIG[[#This Row],[ID_NIVEL]],"-",LEFT(MID(B289,1,20),5)&amp;IF(ISERR(FIND(" ",MID(B289,4,20))),"","-"&amp;LEFT(MID(MID(B289,4,20),FIND(" ",MID(B289,4,20))+1,20),3))&amp;IF(ISERR(FIND(" ",MID(B289,4,20),FIND(" ",MID(B289,4,20))+1)),"","-"&amp;LEFT(MID(MID(B289,4,20),FIND(" ",MID(B289,4,20),FIND(" ",MID(B289,4,20))+1)+1,20),3)))</f>
        <v>FCACC-MA-NI-3-GESTI-DE -PRO</v>
      </c>
      <c r="B289" s="7" t="s">
        <v>200</v>
      </c>
      <c r="C289" s="2">
        <v>6</v>
      </c>
      <c r="D289" s="6">
        <v>16</v>
      </c>
      <c r="E289" s="2" t="s">
        <v>259</v>
      </c>
      <c r="F289" s="5" t="str">
        <f>_xlfn.XLOOKUP(TAB_H_MAE_ASIG[[#This Row],[ID_CARRERA]],MAE_CARRERA[ID_CARRERA],MAE_CARRERA[NOMBRE_CARRERA])</f>
        <v>MARKETING</v>
      </c>
      <c r="G289" s="2">
        <v>3</v>
      </c>
    </row>
    <row r="290" spans="1:7" ht="12.75" customHeight="1">
      <c r="A290" s="2" t="str">
        <f>CONCATENATE(TAB_H_MAE_ASIG[[#This Row],[ID_CARRERA]],"-NI-",TAB_H_MAE_ASIG[[#This Row],[ID_NIVEL]],"-",LEFT(MID(B290,1,20),5)&amp;IF(ISERR(FIND(" ",MID(B290,4,20))),"","-"&amp;LEFT(MID(MID(B290,4,20),FIND(" ",MID(B290,4,20))+1,20),3))&amp;IF(ISERR(FIND(" ",MID(B290,4,20),FIND(" ",MID(B290,4,20))+1)),"","-"&amp;LEFT(MID(MID(B290,4,20),FIND(" ",MID(B290,4,20),FIND(" ",MID(B290,4,20))+1)+1,20),3)))</f>
        <v>FCACC-MA-NI-3-ESTAD-INF</v>
      </c>
      <c r="B290" s="7" t="s">
        <v>54</v>
      </c>
      <c r="C290" s="2">
        <v>6</v>
      </c>
      <c r="D290" s="6">
        <v>16</v>
      </c>
      <c r="E290" s="2" t="s">
        <v>259</v>
      </c>
      <c r="F290" s="5" t="str">
        <f>_xlfn.XLOOKUP(TAB_H_MAE_ASIG[[#This Row],[ID_CARRERA]],MAE_CARRERA[ID_CARRERA],MAE_CARRERA[NOMBRE_CARRERA])</f>
        <v>MARKETING</v>
      </c>
      <c r="G290" s="2">
        <v>3</v>
      </c>
    </row>
    <row r="291" spans="1:7" ht="12.75" customHeight="1">
      <c r="A291" s="2" t="str">
        <f>CONCATENATE(TAB_H_MAE_ASIG[[#This Row],[ID_CARRERA]],"-NI-",TAB_H_MAE_ASIG[[#This Row],[ID_NIVEL]],"-",LEFT(MID(B291,1,20),5)&amp;IF(ISERR(FIND(" ",MID(B291,4,20))),"","-"&amp;LEFT(MID(MID(B291,4,20),FIND(" ",MID(B291,4,20))+1,20),3))&amp;IF(ISERR(FIND(" ",MID(B291,4,20),FIND(" ",MID(B291,4,20))+1)),"","-"&amp;LEFT(MID(MID(B291,4,20),FIND(" ",MID(B291,4,20),FIND(" ",MID(B291,4,20))+1)+1,20),3)))</f>
        <v>FCACC-MA-NI-3-SISTE-DE -INF</v>
      </c>
      <c r="B291" s="7" t="s">
        <v>201</v>
      </c>
      <c r="C291" s="2">
        <v>10</v>
      </c>
      <c r="D291" s="6">
        <v>16</v>
      </c>
      <c r="E291" s="2" t="s">
        <v>259</v>
      </c>
      <c r="F291" s="5" t="str">
        <f>_xlfn.XLOOKUP(TAB_H_MAE_ASIG[[#This Row],[ID_CARRERA]],MAE_CARRERA[ID_CARRERA],MAE_CARRERA[NOMBRE_CARRERA])</f>
        <v>MARKETING</v>
      </c>
      <c r="G291" s="2">
        <v>3</v>
      </c>
    </row>
    <row r="292" spans="1:7" ht="12.75" customHeight="1">
      <c r="A292" s="2" t="str">
        <f>CONCATENATE(TAB_H_MAE_ASIG[[#This Row],[ID_CARRERA]],"-NI-",TAB_H_MAE_ASIG[[#This Row],[ID_NIVEL]],"-",LEFT(MID(B292,1,20),5)&amp;IF(ISERR(FIND(" ",MID(B292,4,20))),"","-"&amp;LEFT(MID(MID(B292,4,20),FIND(" ",MID(B292,4,20))+1,20),3))&amp;IF(ISERR(FIND(" ",MID(B292,4,20),FIND(" ",MID(B292,4,20))+1)),"","-"&amp;LEFT(MID(MID(B292,4,20),FIND(" ",MID(B292,4,20),FIND(" ",MID(B292,4,20))+1)+1,20),3)))</f>
        <v xml:space="preserve">FCACC-MA-NI-3-GESTI-DE -LA </v>
      </c>
      <c r="B292" s="7" t="s">
        <v>202</v>
      </c>
      <c r="C292" s="2">
        <v>6</v>
      </c>
      <c r="D292" s="6">
        <v>16</v>
      </c>
      <c r="E292" s="2" t="s">
        <v>259</v>
      </c>
      <c r="F292" s="5" t="str">
        <f>_xlfn.XLOOKUP(TAB_H_MAE_ASIG[[#This Row],[ID_CARRERA]],MAE_CARRERA[ID_CARRERA],MAE_CARRERA[NOMBRE_CARRERA])</f>
        <v>MARKETING</v>
      </c>
      <c r="G292" s="2">
        <v>3</v>
      </c>
    </row>
    <row r="293" spans="1:7" ht="12.75" customHeight="1">
      <c r="A293" s="2" t="str">
        <f>CONCATENATE(TAB_H_MAE_ASIG[[#This Row],[ID_CARRERA]],"-NI-",TAB_H_MAE_ASIG[[#This Row],[ID_NIVEL]],"-",LEFT(MID(B293,1,20),5)&amp;IF(ISERR(FIND(" ",MID(B293,4,20))),"","-"&amp;LEFT(MID(MID(B293,4,20),FIND(" ",MID(B293,4,20))+1,20),3))&amp;IF(ISERR(FIND(" ",MID(B293,4,20),FIND(" ",MID(B293,4,20))+1)),"","-"&amp;LEFT(MID(MID(B293,4,20),FIND(" ",MID(B293,4,20),FIND(" ",MID(B293,4,20))+1)+1,20),3)))</f>
        <v>FCACC-MA-NI-3-METOD-DE -INV</v>
      </c>
      <c r="B293" s="7" t="s">
        <v>203</v>
      </c>
      <c r="C293" s="2">
        <v>8</v>
      </c>
      <c r="D293" s="6">
        <v>16</v>
      </c>
      <c r="E293" s="2" t="s">
        <v>259</v>
      </c>
      <c r="F293" s="5" t="str">
        <f>_xlfn.XLOOKUP(TAB_H_MAE_ASIG[[#This Row],[ID_CARRERA]],MAE_CARRERA[ID_CARRERA],MAE_CARRERA[NOMBRE_CARRERA])</f>
        <v>MARKETING</v>
      </c>
      <c r="G293" s="2">
        <v>3</v>
      </c>
    </row>
    <row r="294" spans="1:7" ht="12.75" customHeight="1">
      <c r="A294" s="2" t="str">
        <f>CONCATENATE(TAB_H_MAE_ASIG[[#This Row],[ID_CARRERA]],"-NI-",TAB_H_MAE_ASIG[[#This Row],[ID_NIVEL]],"-",LEFT(MID(B294,1,20),5)&amp;IF(ISERR(FIND(" ",MID(B294,4,20))),"","-"&amp;LEFT(MID(MID(B294,4,20),FIND(" ",MID(B294,4,20))+1,20),3))&amp;IF(ISERR(FIND(" ",MID(B294,4,20),FIND(" ",MID(B294,4,20))+1)),"","-"&amp;LEFT(MID(MID(B294,4,20),FIND(" ",MID(B294,4,20),FIND(" ",MID(B294,4,20))+1)+1,20),3)))</f>
        <v>FCACC-MA-NI-4-SISTE-DE -INF</v>
      </c>
      <c r="B294" s="7" t="s">
        <v>204</v>
      </c>
      <c r="C294" s="2">
        <v>8</v>
      </c>
      <c r="D294" s="6">
        <v>16</v>
      </c>
      <c r="E294" s="2" t="s">
        <v>259</v>
      </c>
      <c r="F294" s="5" t="str">
        <f>_xlfn.XLOOKUP(TAB_H_MAE_ASIG[[#This Row],[ID_CARRERA]],MAE_CARRERA[ID_CARRERA],MAE_CARRERA[NOMBRE_CARRERA])</f>
        <v>MARKETING</v>
      </c>
      <c r="G294" s="2">
        <v>4</v>
      </c>
    </row>
    <row r="295" spans="1:7" ht="12.75" customHeight="1">
      <c r="A295" s="2" t="str">
        <f>CONCATENATE(TAB_H_MAE_ASIG[[#This Row],[ID_CARRERA]],"-NI-",TAB_H_MAE_ASIG[[#This Row],[ID_NIVEL]],"-",LEFT(MID(B295,1,20),5)&amp;IF(ISERR(FIND(" ",MID(B295,4,20))),"","-"&amp;LEFT(MID(MID(B295,4,20),FIND(" ",MID(B295,4,20))+1,20),3))&amp;IF(ISERR(FIND(" ",MID(B295,4,20),FIND(" ",MID(B295,4,20))+1)),"","-"&amp;LEFT(MID(MID(B295,4,20),FIND(" ",MID(B295,4,20),FIND(" ",MID(B295,4,20))+1)+1,20),3)))</f>
        <v>FCACC-MA-NI-4-HERRA-DIG-</v>
      </c>
      <c r="B295" s="7" t="s">
        <v>268</v>
      </c>
      <c r="C295" s="2">
        <v>8</v>
      </c>
      <c r="D295" s="6">
        <v>16</v>
      </c>
      <c r="E295" s="2" t="s">
        <v>259</v>
      </c>
      <c r="F295" s="5" t="str">
        <f>_xlfn.XLOOKUP(TAB_H_MAE_ASIG[[#This Row],[ID_CARRERA]],MAE_CARRERA[ID_CARRERA],MAE_CARRERA[NOMBRE_CARRERA])</f>
        <v>MARKETING</v>
      </c>
      <c r="G295" s="2">
        <v>4</v>
      </c>
    </row>
    <row r="296" spans="1:7" ht="12.75" customHeight="1">
      <c r="A296" s="2" t="str">
        <f>CONCATENATE(TAB_H_MAE_ASIG[[#This Row],[ID_CARRERA]],"-NI-",TAB_H_MAE_ASIG[[#This Row],[ID_NIVEL]],"-",LEFT(MID(B296,1,20),5)&amp;IF(ISERR(FIND(" ",MID(B296,4,20))),"","-"&amp;LEFT(MID(MID(B296,4,20),FIND(" ",MID(B296,4,20))+1,20),3))&amp;IF(ISERR(FIND(" ",MID(B296,4,20),FIND(" ",MID(B296,4,20))+1)),"","-"&amp;LEFT(MID(MID(B296,4,20),FIND(" ",MID(B296,4,20),FIND(" ",MID(B296,4,20))+1)+1,20),3)))</f>
        <v xml:space="preserve">FCACC-MA-NI-4-GOBIE-ELE-Y </v>
      </c>
      <c r="B296" s="7" t="s">
        <v>206</v>
      </c>
      <c r="C296" s="2">
        <v>8</v>
      </c>
      <c r="D296" s="6">
        <v>16</v>
      </c>
      <c r="E296" s="2" t="s">
        <v>259</v>
      </c>
      <c r="F296" s="5" t="str">
        <f>_xlfn.XLOOKUP(TAB_H_MAE_ASIG[[#This Row],[ID_CARRERA]],MAE_CARRERA[ID_CARRERA],MAE_CARRERA[NOMBRE_CARRERA])</f>
        <v>MARKETING</v>
      </c>
      <c r="G296" s="2">
        <v>4</v>
      </c>
    </row>
    <row r="297" spans="1:7" ht="12.75" customHeight="1">
      <c r="A297" s="2" t="str">
        <f>CONCATENATE(TAB_H_MAE_ASIG[[#This Row],[ID_CARRERA]],"-NI-",TAB_H_MAE_ASIG[[#This Row],[ID_NIVEL]],"-",LEFT(MID(B297,1,20),5)&amp;IF(ISERR(FIND(" ",MID(B297,4,20))),"","-"&amp;LEFT(MID(MID(B297,4,20),FIND(" ",MID(B297,4,20))+1,20),3))&amp;IF(ISERR(FIND(" ",MID(B297,4,20),FIND(" ",MID(B297,4,20))+1)),"","-"&amp;LEFT(MID(MID(B297,4,20),FIND(" ",MID(B297,4,20),FIND(" ",MID(B297,4,20))+1)+1,20),3)))</f>
        <v>FCACC-MA-NI-4-GESTI-DOC-Y A</v>
      </c>
      <c r="B297" s="7" t="s">
        <v>207</v>
      </c>
      <c r="C297" s="2">
        <v>10</v>
      </c>
      <c r="D297" s="6">
        <v>16</v>
      </c>
      <c r="E297" s="2" t="s">
        <v>259</v>
      </c>
      <c r="F297" s="5" t="str">
        <f>_xlfn.XLOOKUP(TAB_H_MAE_ASIG[[#This Row],[ID_CARRERA]],MAE_CARRERA[ID_CARRERA],MAE_CARRERA[NOMBRE_CARRERA])</f>
        <v>MARKETING</v>
      </c>
      <c r="G297" s="2">
        <v>4</v>
      </c>
    </row>
    <row r="298" spans="1:7" ht="12.75" customHeight="1">
      <c r="A298" s="2" t="str">
        <f>CONCATENATE(TAB_H_MAE_ASIG[[#This Row],[ID_CARRERA]],"-NI-",TAB_H_MAE_ASIG[[#This Row],[ID_NIVEL]],"-",LEFT(MID(B298,1,20),5)&amp;IF(ISERR(FIND(" ",MID(B298,4,20))),"","-"&amp;LEFT(MID(MID(B298,4,20),FIND(" ",MID(B298,4,20))+1,20),3))&amp;IF(ISERR(FIND(" ",MID(B298,4,20),FIND(" ",MID(B298,4,20))+1)),"","-"&amp;LEFT(MID(MID(B298,4,20),FIND(" ",MID(B298,4,20),FIND(" ",MID(B298,4,20))+1)+1,20),3)))</f>
        <v>FCACC-MA-NI-4-PRÁCT-PRE</v>
      </c>
      <c r="B298" s="7" t="s">
        <v>269</v>
      </c>
      <c r="C298" s="2">
        <v>10</v>
      </c>
      <c r="D298" s="6">
        <v>16</v>
      </c>
      <c r="E298" s="2" t="s">
        <v>259</v>
      </c>
      <c r="F298" s="5" t="str">
        <f>_xlfn.XLOOKUP(TAB_H_MAE_ASIG[[#This Row],[ID_CARRERA]],MAE_CARRERA[ID_CARRERA],MAE_CARRERA[NOMBRE_CARRERA])</f>
        <v>MARKETING</v>
      </c>
      <c r="G298" s="2">
        <v>4</v>
      </c>
    </row>
    <row r="299" spans="1:7" ht="12.75" customHeight="1">
      <c r="A299" s="2" t="str">
        <f>CONCATENATE(TAB_H_MAE_ASIG[[#This Row],[ID_CARRERA]],"-NI-",TAB_H_MAE_ASIG[[#This Row],[ID_NIVEL]],"-",LEFT(MID(B299,1,20),5)&amp;IF(ISERR(FIND(" ",MID(B299,4,20))),"","-"&amp;LEFT(MID(MID(B299,4,20),FIND(" ",MID(B299,4,20))+1,20),3))&amp;IF(ISERR(FIND(" ",MID(B299,4,20),FIND(" ",MID(B299,4,20))+1)),"","-"&amp;LEFT(MID(MID(B299,4,20),FIND(" ",MID(B299,4,20),FIND(" ",MID(B299,4,20))+1)+1,20),3)))</f>
        <v>FCACC-MA-NI-5-PLANI-EST</v>
      </c>
      <c r="B299" s="7" t="s">
        <v>270</v>
      </c>
      <c r="C299" s="2">
        <v>6</v>
      </c>
      <c r="D299" s="6">
        <v>16</v>
      </c>
      <c r="E299" s="2" t="s">
        <v>259</v>
      </c>
      <c r="F299" s="5" t="str">
        <f>_xlfn.XLOOKUP(TAB_H_MAE_ASIG[[#This Row],[ID_CARRERA]],MAE_CARRERA[ID_CARRERA],MAE_CARRERA[NOMBRE_CARRERA])</f>
        <v>MARKETING</v>
      </c>
      <c r="G299" s="2">
        <v>5</v>
      </c>
    </row>
    <row r="300" spans="1:7" ht="12.75" customHeight="1">
      <c r="A300" s="2" t="str">
        <f>CONCATENATE(TAB_H_MAE_ASIG[[#This Row],[ID_CARRERA]],"-NI-",TAB_H_MAE_ASIG[[#This Row],[ID_NIVEL]],"-",LEFT(MID(B300,1,20),5)&amp;IF(ISERR(FIND(" ",MID(B300,4,20))),"","-"&amp;LEFT(MID(MID(B300,4,20),FIND(" ",MID(B300,4,20))+1,20),3))&amp;IF(ISERR(FIND(" ",MID(B300,4,20),FIND(" ",MID(B300,4,20))+1)),"","-"&amp;LEFT(MID(MID(B300,4,20),FIND(" ",MID(B300,4,20),FIND(" ",MID(B300,4,20))+1)+1,20),3)))</f>
        <v>FCACC-MA-NI-5-ALFAB-Y C-COM</v>
      </c>
      <c r="B300" s="7" t="s">
        <v>271</v>
      </c>
      <c r="C300" s="2">
        <v>5</v>
      </c>
      <c r="D300" s="6">
        <v>16</v>
      </c>
      <c r="E300" s="2" t="s">
        <v>259</v>
      </c>
      <c r="F300" s="5" t="str">
        <f>_xlfn.XLOOKUP(TAB_H_MAE_ASIG[[#This Row],[ID_CARRERA]],MAE_CARRERA[ID_CARRERA],MAE_CARRERA[NOMBRE_CARRERA])</f>
        <v>MARKETING</v>
      </c>
      <c r="G300" s="2">
        <v>5</v>
      </c>
    </row>
    <row r="301" spans="1:7" ht="12.75" customHeight="1">
      <c r="A301" s="2" t="str">
        <f>CONCATENATE(TAB_H_MAE_ASIG[[#This Row],[ID_CARRERA]],"-NI-",TAB_H_MAE_ASIG[[#This Row],[ID_NIVEL]],"-",LEFT(MID(B301,1,20),5)&amp;IF(ISERR(FIND(" ",MID(B301,4,20))),"","-"&amp;LEFT(MID(MID(B301,4,20),FIND(" ",MID(B301,4,20))+1,20),3))&amp;IF(ISERR(FIND(" ",MID(B301,4,20),FIND(" ",MID(B301,4,20))+1)),"","-"&amp;LEFT(MID(MID(B301,4,20),FIND(" ",MID(B301,4,20),FIND(" ",MID(B301,4,20))+1)+1,20),3)))</f>
        <v>FCACC-MA-NI-5-ANÁLI-CUA-D</v>
      </c>
      <c r="B301" s="7" t="s">
        <v>272</v>
      </c>
      <c r="C301" s="2">
        <v>6</v>
      </c>
      <c r="D301" s="6">
        <v>16</v>
      </c>
      <c r="E301" s="2" t="s">
        <v>259</v>
      </c>
      <c r="F301" s="5" t="str">
        <f>_xlfn.XLOOKUP(TAB_H_MAE_ASIG[[#This Row],[ID_CARRERA]],MAE_CARRERA[ID_CARRERA],MAE_CARRERA[NOMBRE_CARRERA])</f>
        <v>MARKETING</v>
      </c>
      <c r="G301" s="2">
        <v>5</v>
      </c>
    </row>
    <row r="302" spans="1:7" ht="12.75" customHeight="1">
      <c r="A302" s="2" t="str">
        <f>CONCATENATE(TAB_H_MAE_ASIG[[#This Row],[ID_CARRERA]],"-NI-",TAB_H_MAE_ASIG[[#This Row],[ID_NIVEL]],"-",LEFT(MID(B302,1,20),5)&amp;IF(ISERR(FIND(" ",MID(B302,4,20))),"","-"&amp;LEFT(MID(MID(B302,4,20),FIND(" ",MID(B302,4,20))+1,20),3))&amp;IF(ISERR(FIND(" ",MID(B302,4,20),FIND(" ",MID(B302,4,20))+1)),"","-"&amp;LEFT(MID(MID(B302,4,20),FIND(" ",MID(B302,4,20),FIND(" ",MID(B302,4,20))+1)+1,20),3)))</f>
        <v xml:space="preserve">FCACC-MA-NI-5-MODEL-GES-DE </v>
      </c>
      <c r="B302" s="7" t="s">
        <v>273</v>
      </c>
      <c r="C302" s="2">
        <v>4</v>
      </c>
      <c r="D302" s="6">
        <v>16</v>
      </c>
      <c r="E302" s="2" t="s">
        <v>259</v>
      </c>
      <c r="F302" s="5" t="str">
        <f>_xlfn.XLOOKUP(TAB_H_MAE_ASIG[[#This Row],[ID_CARRERA]],MAE_CARRERA[ID_CARRERA],MAE_CARRERA[NOMBRE_CARRERA])</f>
        <v>MARKETING</v>
      </c>
      <c r="G302" s="2">
        <v>5</v>
      </c>
    </row>
    <row r="303" spans="1:7" ht="12.75" customHeight="1">
      <c r="A303" s="2" t="str">
        <f>CONCATENATE(TAB_H_MAE_ASIG[[#This Row],[ID_CARRERA]],"-NI-",TAB_H_MAE_ASIG[[#This Row],[ID_NIVEL]],"-",LEFT(MID(B303,1,20),5)&amp;IF(ISERR(FIND(" ",MID(B303,4,20))),"","-"&amp;LEFT(MID(MID(B303,4,20),FIND(" ",MID(B303,4,20))+1,20),3))&amp;IF(ISERR(FIND(" ",MID(B303,4,20),FIND(" ",MID(B303,4,20))+1)),"","-"&amp;LEFT(MID(MID(B303,4,20),FIND(" ",MID(B303,4,20),FIND(" ",MID(B303,4,20))+1)+1,20),3)))</f>
        <v xml:space="preserve">FCACC-MA-NI-5-CALID-TOT-DE </v>
      </c>
      <c r="B303" s="7" t="s">
        <v>274</v>
      </c>
      <c r="C303" s="2">
        <v>6</v>
      </c>
      <c r="D303" s="6">
        <v>16</v>
      </c>
      <c r="E303" s="2" t="s">
        <v>259</v>
      </c>
      <c r="F303" s="5" t="str">
        <f>_xlfn.XLOOKUP(TAB_H_MAE_ASIG[[#This Row],[ID_CARRERA]],MAE_CARRERA[ID_CARRERA],MAE_CARRERA[NOMBRE_CARRERA])</f>
        <v>MARKETING</v>
      </c>
      <c r="G303" s="2">
        <v>5</v>
      </c>
    </row>
    <row r="304" spans="1:7" ht="12.75" customHeight="1">
      <c r="A304" s="2" t="str">
        <f>CONCATENATE(TAB_H_MAE_ASIG[[#This Row],[ID_CARRERA]],"-NI-",TAB_H_MAE_ASIG[[#This Row],[ID_NIVEL]],"-",LEFT(MID(B304,1,20),5)&amp;IF(ISERR(FIND(" ",MID(B304,4,20))),"","-"&amp;LEFT(MID(MID(B304,4,20),FIND(" ",MID(B304,4,20))+1,20),3))&amp;IF(ISERR(FIND(" ",MID(B304,4,20),FIND(" ",MID(B304,4,20))+1)),"","-"&amp;LEFT(MID(MID(B304,4,20),FIND(" ",MID(B304,4,20),FIND(" ",MID(B304,4,20))+1)+1,20),3)))</f>
        <v>FCACC-MA-NI-5-PRÁCT-PRE</v>
      </c>
      <c r="B304" s="7" t="s">
        <v>275</v>
      </c>
      <c r="C304" s="2">
        <v>6</v>
      </c>
      <c r="D304" s="6">
        <v>16</v>
      </c>
      <c r="E304" s="2" t="s">
        <v>259</v>
      </c>
      <c r="F304" s="5" t="str">
        <f>_xlfn.XLOOKUP(TAB_H_MAE_ASIG[[#This Row],[ID_CARRERA]],MAE_CARRERA[ID_CARRERA],MAE_CARRERA[NOMBRE_CARRERA])</f>
        <v>MARKETING</v>
      </c>
      <c r="G304" s="2">
        <v>5</v>
      </c>
    </row>
    <row r="305" spans="1:7" ht="12.75" customHeight="1">
      <c r="A305" s="2" t="str">
        <f>CONCATENATE(TAB_H_MAE_ASIG[[#This Row],[ID_CARRERA]],"-NI-",TAB_H_MAE_ASIG[[#This Row],[ID_NIVEL]],"-",LEFT(MID(B305,1,20),5)&amp;IF(ISERR(FIND(" ",MID(B305,4,20))),"","-"&amp;LEFT(MID(MID(B305,4,20),FIND(" ",MID(B305,4,20))+1,20),3))&amp;IF(ISERR(FIND(" ",MID(B305,4,20),FIND(" ",MID(B305,4,20))+1)),"","-"&amp;LEFT(MID(MID(B305,4,20),FIND(" ",MID(B305,4,20),FIND(" ",MID(B305,4,20))+1)+1,20),3)))</f>
        <v>FCACC-MA-NI-6-ANÁLI-CUA-DE</v>
      </c>
      <c r="B305" s="7" t="s">
        <v>208</v>
      </c>
      <c r="C305" s="2">
        <v>6</v>
      </c>
      <c r="D305" s="6">
        <v>16</v>
      </c>
      <c r="E305" s="2" t="s">
        <v>259</v>
      </c>
      <c r="F305" s="5" t="str">
        <f>_xlfn.XLOOKUP(TAB_H_MAE_ASIG[[#This Row],[ID_CARRERA]],MAE_CARRERA[ID_CARRERA],MAE_CARRERA[NOMBRE_CARRERA])</f>
        <v>MARKETING</v>
      </c>
      <c r="G305" s="2">
        <v>6</v>
      </c>
    </row>
    <row r="306" spans="1:7" ht="12.75" customHeight="1">
      <c r="A306" s="2" t="str">
        <f>CONCATENATE(TAB_H_MAE_ASIG[[#This Row],[ID_CARRERA]],"-NI-",TAB_H_MAE_ASIG[[#This Row],[ID_NIVEL]],"-",LEFT(MID(B306,1,20),5)&amp;IF(ISERR(FIND(" ",MID(B306,4,20))),"","-"&amp;LEFT(MID(MID(B306,4,20),FIND(" ",MID(B306,4,20))+1,20),3))&amp;IF(ISERR(FIND(" ",MID(B306,4,20),FIND(" ",MID(B306,4,20))+1)),"","-"&amp;LEFT(MID(MID(B306,4,20),FIND(" ",MID(B306,4,20),FIND(" ",MID(B306,4,20))+1)+1,20),3)))</f>
        <v>FCACC-MA-NI-6-ANÁLI-DE -MOD</v>
      </c>
      <c r="B306" s="7" t="s">
        <v>276</v>
      </c>
      <c r="C306" s="2">
        <v>6</v>
      </c>
      <c r="D306" s="6">
        <v>16</v>
      </c>
      <c r="E306" s="2" t="s">
        <v>259</v>
      </c>
      <c r="F306" s="5" t="str">
        <f>_xlfn.XLOOKUP(TAB_H_MAE_ASIG[[#This Row],[ID_CARRERA]],MAE_CARRERA[ID_CARRERA],MAE_CARRERA[NOMBRE_CARRERA])</f>
        <v>MARKETING</v>
      </c>
      <c r="G306" s="2">
        <v>6</v>
      </c>
    </row>
    <row r="307" spans="1:7" ht="12.75" customHeight="1">
      <c r="A307" s="2" t="str">
        <f>CONCATENATE(TAB_H_MAE_ASIG[[#This Row],[ID_CARRERA]],"-NI-",TAB_H_MAE_ASIG[[#This Row],[ID_NIVEL]],"-",LEFT(MID(B307,1,20),5)&amp;IF(ISERR(FIND(" ",MID(B307,4,20))),"","-"&amp;LEFT(MID(MID(B307,4,20),FIND(" ",MID(B307,4,20))+1,20),3))&amp;IF(ISERR(FIND(" ",MID(B307,4,20),FIND(" ",MID(B307,4,20))+1)),"","-"&amp;LEFT(MID(MID(B307,4,20),FIND(" ",MID(B307,4,20),FIND(" ",MID(B307,4,20))+1)+1,20),3)))</f>
        <v>FCACC-MA-NI-6-DISEÑ-Y E-EVA</v>
      </c>
      <c r="B307" s="7" t="s">
        <v>211</v>
      </c>
      <c r="C307" s="2">
        <v>6</v>
      </c>
      <c r="D307" s="6">
        <v>16</v>
      </c>
      <c r="E307" s="2" t="s">
        <v>259</v>
      </c>
      <c r="F307" s="5" t="str">
        <f>_xlfn.XLOOKUP(TAB_H_MAE_ASIG[[#This Row],[ID_CARRERA]],MAE_CARRERA[ID_CARRERA],MAE_CARRERA[NOMBRE_CARRERA])</f>
        <v>MARKETING</v>
      </c>
      <c r="G307" s="2">
        <v>6</v>
      </c>
    </row>
    <row r="308" spans="1:7" ht="12.75" customHeight="1">
      <c r="A308" s="2" t="str">
        <f>CONCATENATE(TAB_H_MAE_ASIG[[#This Row],[ID_CARRERA]],"-NI-",TAB_H_MAE_ASIG[[#This Row],[ID_NIVEL]],"-",LEFT(MID(B308,1,20),5)&amp;IF(ISERR(FIND(" ",MID(B308,4,20))),"","-"&amp;LEFT(MID(MID(B308,4,20),FIND(" ",MID(B308,4,20))+1,20),3))&amp;IF(ISERR(FIND(" ",MID(B308,4,20),FIND(" ",MID(B308,4,20))+1)),"","-"&amp;LEFT(MID(MID(B308,4,20),FIND(" ",MID(B308,4,20),FIND(" ",MID(B308,4,20))+1)+1,20),3)))</f>
        <v xml:space="preserve">FCACC-MA-NI-6-SISTE-GES-DE </v>
      </c>
      <c r="B308" s="7" t="s">
        <v>212</v>
      </c>
      <c r="C308" s="2">
        <v>6</v>
      </c>
      <c r="D308" s="6">
        <v>16</v>
      </c>
      <c r="E308" s="2" t="s">
        <v>259</v>
      </c>
      <c r="F308" s="5" t="str">
        <f>_xlfn.XLOOKUP(TAB_H_MAE_ASIG[[#This Row],[ID_CARRERA]],MAE_CARRERA[ID_CARRERA],MAE_CARRERA[NOMBRE_CARRERA])</f>
        <v>MARKETING</v>
      </c>
      <c r="G308" s="2">
        <v>6</v>
      </c>
    </row>
    <row r="309" spans="1:7" ht="12.75" customHeight="1">
      <c r="A309" s="2" t="str">
        <f>CONCATENATE(TAB_H_MAE_ASIG[[#This Row],[ID_CARRERA]],"-NI-",TAB_H_MAE_ASIG[[#This Row],[ID_NIVEL]],"-",LEFT(MID(B309,1,20),5)&amp;IF(ISERR(FIND(" ",MID(B309,4,20))),"","-"&amp;LEFT(MID(MID(B309,4,20),FIND(" ",MID(B309,4,20))+1,20),3))&amp;IF(ISERR(FIND(" ",MID(B309,4,20),FIND(" ",MID(B309,4,20))+1)),"","-"&amp;LEFT(MID(MID(B309,4,20),FIND(" ",MID(B309,4,20),FIND(" ",MID(B309,4,20))+1)+1,20),3)))</f>
        <v>FCACC-MA-NI-6-GESTI-DEL-CON</v>
      </c>
      <c r="B309" s="7" t="s">
        <v>210</v>
      </c>
      <c r="C309" s="2">
        <v>6</v>
      </c>
      <c r="D309" s="6">
        <v>16</v>
      </c>
      <c r="E309" s="2" t="s">
        <v>259</v>
      </c>
      <c r="F309" s="5" t="str">
        <f>_xlfn.XLOOKUP(TAB_H_MAE_ASIG[[#This Row],[ID_CARRERA]],MAE_CARRERA[ID_CARRERA],MAE_CARRERA[NOMBRE_CARRERA])</f>
        <v>MARKETING</v>
      </c>
      <c r="G309" s="2">
        <v>6</v>
      </c>
    </row>
    <row r="310" spans="1:7" ht="12.75" customHeight="1">
      <c r="A310" s="2" t="str">
        <f>CONCATENATE(TAB_H_MAE_ASIG[[#This Row],[ID_CARRERA]],"-NI-",TAB_H_MAE_ASIG[[#This Row],[ID_NIVEL]],"-",LEFT(MID(B310,1,20),5)&amp;IF(ISERR(FIND(" ",MID(B310,4,20))),"","-"&amp;LEFT(MID(MID(B310,4,20),FIND(" ",MID(B310,4,20))+1,20),3))&amp;IF(ISERR(FIND(" ",MID(B310,4,20),FIND(" ",MID(B310,4,20))+1)),"","-"&amp;LEFT(MID(MID(B310,4,20),FIND(" ",MID(B310,4,20),FIND(" ",MID(B310,4,20))+1)+1,20),3)))</f>
        <v>FCACC-MA-NI-7-EVALU-DE -MOD</v>
      </c>
      <c r="B310" s="7" t="s">
        <v>277</v>
      </c>
      <c r="C310" s="2">
        <v>10</v>
      </c>
      <c r="D310" s="6">
        <v>16</v>
      </c>
      <c r="E310" s="2" t="s">
        <v>259</v>
      </c>
      <c r="F310" s="5" t="str">
        <f>_xlfn.XLOOKUP(TAB_H_MAE_ASIG[[#This Row],[ID_CARRERA]],MAE_CARRERA[ID_CARRERA],MAE_CARRERA[NOMBRE_CARRERA])</f>
        <v>MARKETING</v>
      </c>
      <c r="G310" s="2">
        <v>7</v>
      </c>
    </row>
    <row r="311" spans="1:7" ht="12.75" customHeight="1">
      <c r="A311" s="2" t="str">
        <f>CONCATENATE(TAB_H_MAE_ASIG[[#This Row],[ID_CARRERA]],"-NI-",TAB_H_MAE_ASIG[[#This Row],[ID_NIVEL]],"-",LEFT(MID(B311,1,20),5)&amp;IF(ISERR(FIND(" ",MID(B311,4,20))),"","-"&amp;LEFT(MID(MID(B311,4,20),FIND(" ",MID(B311,4,20))+1,20),3))&amp;IF(ISERR(FIND(" ",MID(B311,4,20),FIND(" ",MID(B311,4,20))+1)),"","-"&amp;LEFT(MID(MID(B311,4,20),FIND(" ",MID(B311,4,20),FIND(" ",MID(B311,4,20))+1)+1,20),3)))</f>
        <v xml:space="preserve">FCACC-MA-NI-7-DECIS-MAK-IN </v>
      </c>
      <c r="B311" s="7" t="s">
        <v>278</v>
      </c>
      <c r="C311" s="2">
        <v>6</v>
      </c>
      <c r="D311" s="6">
        <v>16</v>
      </c>
      <c r="E311" s="2" t="s">
        <v>259</v>
      </c>
      <c r="F311" s="5" t="str">
        <f>_xlfn.XLOOKUP(TAB_H_MAE_ASIG[[#This Row],[ID_CARRERA]],MAE_CARRERA[ID_CARRERA],MAE_CARRERA[NOMBRE_CARRERA])</f>
        <v>MARKETING</v>
      </c>
      <c r="G311" s="2">
        <v>7</v>
      </c>
    </row>
    <row r="312" spans="1:7" ht="12.75" customHeight="1">
      <c r="A312" s="2" t="str">
        <f>CONCATENATE(TAB_H_MAE_ASIG[[#This Row],[ID_CARRERA]],"-NI-",TAB_H_MAE_ASIG[[#This Row],[ID_NIVEL]],"-",LEFT(MID(B312,1,20),5)&amp;IF(ISERR(FIND(" ",MID(B312,4,20))),"","-"&amp;LEFT(MID(MID(B312,4,20),FIND(" ",MID(B312,4,20))+1,20),3))&amp;IF(ISERR(FIND(" ",MID(B312,4,20),FIND(" ",MID(B312,4,20))+1)),"","-"&amp;LEFT(MID(MID(B312,4,20),FIND(" ",MID(B312,4,20),FIND(" ",MID(B312,4,20))+1)+1,20),3)))</f>
        <v>FCACC-MA-NI-7-GESTI-DE -PRO</v>
      </c>
      <c r="B312" s="7" t="s">
        <v>279</v>
      </c>
      <c r="C312" s="2">
        <v>8</v>
      </c>
      <c r="D312" s="6">
        <v>16</v>
      </c>
      <c r="E312" s="2" t="s">
        <v>259</v>
      </c>
      <c r="F312" s="5" t="str">
        <f>_xlfn.XLOOKUP(TAB_H_MAE_ASIG[[#This Row],[ID_CARRERA]],MAE_CARRERA[ID_CARRERA],MAE_CARRERA[NOMBRE_CARRERA])</f>
        <v>MARKETING</v>
      </c>
      <c r="G312" s="2">
        <v>7</v>
      </c>
    </row>
    <row r="313" spans="1:7" ht="12.75" customHeight="1">
      <c r="A313" s="2" t="str">
        <f>CONCATENATE(TAB_H_MAE_ASIG[[#This Row],[ID_CARRERA]],"-NI-",TAB_H_MAE_ASIG[[#This Row],[ID_NIVEL]],"-",LEFT(MID(B313,1,20),5)&amp;IF(ISERR(FIND(" ",MID(B313,4,20))),"","-"&amp;LEFT(MID(MID(B313,4,20),FIND(" ",MID(B313,4,20))+1,20),3))&amp;IF(ISERR(FIND(" ",MID(B313,4,20),FIND(" ",MID(B313,4,20))+1)),"","-"&amp;LEFT(MID(MID(B313,4,20),FIND(" ",MID(B313,4,20),FIND(" ",MID(B313,4,20))+1)+1,20),3)))</f>
        <v>FCACC-MA-NI-7-ENGLI-FOR-SPE</v>
      </c>
      <c r="B313" s="7" t="s">
        <v>280</v>
      </c>
      <c r="C313" s="2">
        <v>8</v>
      </c>
      <c r="D313" s="6">
        <v>16</v>
      </c>
      <c r="E313" s="2" t="s">
        <v>259</v>
      </c>
      <c r="F313" s="5" t="str">
        <f>_xlfn.XLOOKUP(TAB_H_MAE_ASIG[[#This Row],[ID_CARRERA]],MAE_CARRERA[ID_CARRERA],MAE_CARRERA[NOMBRE_CARRERA])</f>
        <v>MARKETING</v>
      </c>
      <c r="G313" s="2">
        <v>7</v>
      </c>
    </row>
    <row r="314" spans="1:7" ht="12.75" customHeight="1">
      <c r="A314" s="2" t="str">
        <f>CONCATENATE(TAB_H_MAE_ASIG[[#This Row],[ID_CARRERA]],"-NI-",TAB_H_MAE_ASIG[[#This Row],[ID_NIVEL]],"-",LEFT(MID(B314,1,20),5)&amp;IF(ISERR(FIND(" ",MID(B314,4,20))),"","-"&amp;LEFT(MID(MID(B314,4,20),FIND(" ",MID(B314,4,20))+1,20),3))&amp;IF(ISERR(FIND(" ",MID(B314,4,20),FIND(" ",MID(B314,4,20))+1)),"","-"&amp;LEFT(MID(MID(B314,4,20),FIND(" ",MID(B314,4,20),FIND(" ",MID(B314,4,20))+1)+1,20),3)))</f>
        <v>FCACC-MA-NI-8-EVALU-DE -PRO</v>
      </c>
      <c r="B314" s="7" t="s">
        <v>215</v>
      </c>
      <c r="C314" s="2">
        <v>8</v>
      </c>
      <c r="D314" s="6">
        <v>16</v>
      </c>
      <c r="E314" s="2" t="s">
        <v>259</v>
      </c>
      <c r="F314" s="5" t="str">
        <f>_xlfn.XLOOKUP(TAB_H_MAE_ASIG[[#This Row],[ID_CARRERA]],MAE_CARRERA[ID_CARRERA],MAE_CARRERA[NOMBRE_CARRERA])</f>
        <v>MARKETING</v>
      </c>
      <c r="G314" s="2">
        <v>8</v>
      </c>
    </row>
    <row r="315" spans="1:7" ht="12.75" customHeight="1">
      <c r="A315" s="2" t="str">
        <f>CONCATENATE(TAB_H_MAE_ASIG[[#This Row],[ID_CARRERA]],"-NI-",TAB_H_MAE_ASIG[[#This Row],[ID_NIVEL]],"-",LEFT(MID(B315,1,20),5)&amp;IF(ISERR(FIND(" ",MID(B315,4,20))),"","-"&amp;LEFT(MID(MID(B315,4,20),FIND(" ",MID(B315,4,20))+1,20),3))&amp;IF(ISERR(FIND(" ",MID(B315,4,20),FIND(" ",MID(B315,4,20))+1)),"","-"&amp;LEFT(MID(MID(B315,4,20),FIND(" ",MID(B315,4,20),FIND(" ",MID(B315,4,20))+1)+1,20),3)))</f>
        <v>FCACC-MA-NI-8-INFOR-ARC</v>
      </c>
      <c r="B315" s="7" t="s">
        <v>213</v>
      </c>
      <c r="C315" s="2">
        <v>8</v>
      </c>
      <c r="D315" s="6">
        <v>16</v>
      </c>
      <c r="E315" s="2" t="s">
        <v>259</v>
      </c>
      <c r="F315" s="5" t="str">
        <f>_xlfn.XLOOKUP(TAB_H_MAE_ASIG[[#This Row],[ID_CARRERA]],MAE_CARRERA[ID_CARRERA],MAE_CARRERA[NOMBRE_CARRERA])</f>
        <v>MARKETING</v>
      </c>
      <c r="G315" s="2">
        <v>8</v>
      </c>
    </row>
    <row r="316" spans="1:7" ht="12.75" customHeight="1">
      <c r="A316" s="2" t="str">
        <f>CONCATENATE(TAB_H_MAE_ASIG[[#This Row],[ID_CARRERA]],"-NI-",TAB_H_MAE_ASIG[[#This Row],[ID_NIVEL]],"-",LEFT(MID(B316,1,20),5)&amp;IF(ISERR(FIND(" ",MID(B316,4,20))),"","-"&amp;LEFT(MID(MID(B316,4,20),FIND(" ",MID(B316,4,20))+1,20),3))&amp;IF(ISERR(FIND(" ",MID(B316,4,20),FIND(" ",MID(B316,4,20))+1)),"","-"&amp;LEFT(MID(MID(B316,4,20),FIND(" ",MID(B316,4,20),FIND(" ",MID(B316,4,20))+1)+1,20),3)))</f>
        <v>FCACC-MA-NI-8-BUSIN- IN-INT</v>
      </c>
      <c r="B316" s="7" t="s">
        <v>281</v>
      </c>
      <c r="C316" s="2">
        <v>10</v>
      </c>
      <c r="D316" s="6">
        <v>16</v>
      </c>
      <c r="E316" s="2" t="s">
        <v>259</v>
      </c>
      <c r="F316" s="5" t="str">
        <f>_xlfn.XLOOKUP(TAB_H_MAE_ASIG[[#This Row],[ID_CARRERA]],MAE_CARRERA[ID_CARRERA],MAE_CARRERA[NOMBRE_CARRERA])</f>
        <v>MARKETING</v>
      </c>
      <c r="G316" s="2">
        <v>8</v>
      </c>
    </row>
    <row r="317" spans="1:7" ht="12.75" customHeight="1">
      <c r="A317" s="2" t="str">
        <f>CONCATENATE(TAB_H_MAE_ASIG[[#This Row],[ID_CARRERA]],"-NI-",TAB_H_MAE_ASIG[[#This Row],[ID_NIVEL]],"-",LEFT(MID(B317,1,20),5)&amp;IF(ISERR(FIND(" ",MID(B317,4,20))),"","-"&amp;LEFT(MID(MID(B317,4,20),FIND(" ",MID(B317,4,20))+1,20),3))&amp;IF(ISERR(FIND(" ",MID(B317,4,20),FIND(" ",MID(B317,4,20))+1)),"","-"&amp;LEFT(MID(MID(B317,4,20),FIND(" ",MID(B317,4,20),FIND(" ",MID(B317,4,20))+1)+1,20),3)))</f>
        <v>FCACC-MA-NI-8-ENGLI-FOR-SPE</v>
      </c>
      <c r="B317" s="7" t="s">
        <v>198</v>
      </c>
      <c r="C317" s="2">
        <v>10</v>
      </c>
      <c r="D317" s="6">
        <v>16</v>
      </c>
      <c r="E317" s="2" t="s">
        <v>259</v>
      </c>
      <c r="F317" s="5" t="str">
        <f>_xlfn.XLOOKUP(TAB_H_MAE_ASIG[[#This Row],[ID_CARRERA]],MAE_CARRERA[ID_CARRERA],MAE_CARRERA[NOMBRE_CARRERA])</f>
        <v>MARKETING</v>
      </c>
      <c r="G317" s="2">
        <v>8</v>
      </c>
    </row>
    <row r="318" spans="1:7" ht="12.75" customHeight="1">
      <c r="A318" s="2" t="str">
        <f>CONCATENATE(TAB_H_MAE_ASIG[[#This Row],[ID_CARRERA]],"-NI-",TAB_H_MAE_ASIG[[#This Row],[ID_NIVEL]],"-",LEFT(MID(B318,1,20),5)&amp;IF(ISERR(FIND(" ",MID(B318,4,20))),"","-"&amp;LEFT(MID(MID(B318,4,20),FIND(" ",MID(B318,4,20))+1,20),3))&amp;IF(ISERR(FIND(" ",MID(B318,4,20),FIND(" ",MID(B318,4,20))+1)),"","-"&amp;LEFT(MID(MID(B318,4,20),FIND(" ",MID(B318,4,20),FIND(" ",MID(B318,4,20))+1)+1,20),3)))</f>
        <v>FCACC-MA-NI-8-BUSIN-ENG</v>
      </c>
      <c r="B318" s="7" t="s">
        <v>214</v>
      </c>
      <c r="C318" s="2">
        <v>6</v>
      </c>
      <c r="D318" s="6">
        <v>16</v>
      </c>
      <c r="E318" s="2" t="s">
        <v>259</v>
      </c>
      <c r="F318" s="5" t="str">
        <f>_xlfn.XLOOKUP(TAB_H_MAE_ASIG[[#This Row],[ID_CARRERA]],MAE_CARRERA[ID_CARRERA],MAE_CARRERA[NOMBRE_CARRERA])</f>
        <v>MARKETING</v>
      </c>
      <c r="G318" s="2">
        <v>8</v>
      </c>
    </row>
    <row r="319" spans="1:7" ht="12.75" customHeight="1">
      <c r="A319" s="2" t="str">
        <f>CONCATENATE(TAB_H_MAE_ASIG[[#This Row],[ID_CARRERA]],"-NI-",TAB_H_MAE_ASIG[[#This Row],[ID_NIVEL]],"-",LEFT(MID(B319,1,20),5)&amp;IF(ISERR(FIND(" ",MID(B319,4,20))),"","-"&amp;LEFT(MID(MID(B319,4,20),FIND(" ",MID(B319,4,20))+1,20),3))&amp;IF(ISERR(FIND(" ",MID(B319,4,20),FIND(" ",MID(B319,4,20))+1)),"","-"&amp;LEFT(MID(MID(B319,4,20),FIND(" ",MID(B319,4,20),FIND(" ",MID(B319,4,20))+1)+1,20),3)))</f>
        <v>FCACC-4-DO-TU-TI-NI-0-AD1 D-Dir-y T</v>
      </c>
      <c r="B319" s="7" t="s">
        <v>282</v>
      </c>
      <c r="C319" s="2">
        <v>1</v>
      </c>
      <c r="D319" s="11">
        <v>16</v>
      </c>
      <c r="E319" s="2" t="s">
        <v>283</v>
      </c>
      <c r="F319" s="9" t="str">
        <f>_xlfn.XLOOKUP(TAB_H_MAE_ASIG[[#This Row],[ID_CARRERA]],MAE_CARRERA[ID_CARRERA],MAE_CARRERA[NOMBRE_CARRERA])</f>
        <v>4. Docencia - Tutoría de titulación</v>
      </c>
      <c r="G319" s="2">
        <v>0</v>
      </c>
    </row>
    <row r="320" spans="1:7" ht="12.75" customHeight="1">
      <c r="A320" s="2" t="str">
        <f>CONCATENATE(TAB_H_MAE_ASIG[[#This Row],[ID_CARRERA]],"-NI-",TAB_H_MAE_ASIG[[#This Row],[ID_NIVEL]],"-",LEFT(MID(B320,1,20),5)&amp;IF(ISERR(FIND(" ",MID(B320,4,20))),"","-"&amp;LEFT(MID(MID(B320,4,20),FIND(" ",MID(B320,4,20))+1,20),3))&amp;IF(ISERR(FIND(" ",MID(B320,4,20),FIND(" ",MID(B320,4,20))+1)),"","-"&amp;LEFT(MID(MID(B320,4,20),FIND(" ",MID(B320,4,20),FIND(" ",MID(B320,4,20))+1)+1,20),3)))</f>
        <v>FCACC-1-DO-CL-NI-0-AD5 E-Ela-y c</v>
      </c>
      <c r="B320" s="7" t="s">
        <v>284</v>
      </c>
      <c r="C320" s="2">
        <v>1</v>
      </c>
      <c r="D320" s="11">
        <v>16</v>
      </c>
      <c r="E320" s="2" t="s">
        <v>285</v>
      </c>
      <c r="F320" s="9" t="str">
        <f>_xlfn.XLOOKUP(TAB_H_MAE_ASIG[[#This Row],[ID_CARRERA]],MAE_CARRERA[ID_CARRERA],MAE_CARRERA[NOMBRE_CARRERA])</f>
        <v xml:space="preserve">1. Docencia - Clases </v>
      </c>
      <c r="G320" s="2">
        <v>0</v>
      </c>
    </row>
    <row r="321" spans="1:7" ht="12.75" customHeight="1">
      <c r="A321" s="2" t="str">
        <f>CONCATENATE(TAB_H_MAE_ASIG[[#This Row],[ID_CARRERA]],"-NI-",TAB_H_MAE_ASIG[[#This Row],[ID_NIVEL]],"-",LEFT(MID(B321,1,20),5)&amp;IF(ISERR(FIND(" ",MID(B321,4,20))),"","-"&amp;LEFT(MID(MID(B321,4,20),FIND(" ",MID(B321,4,20))+1,20),3))&amp;IF(ISERR(FIND(" ",MID(B321,4,20),FIND(" ",MID(B321,4,20))+1)),"","-"&amp;LEFT(MID(MID(B321,4,20),FIND(" ",MID(B321,4,20),FIND(" ",MID(B321,4,20))+1)+1,20),3)))</f>
        <v xml:space="preserve">FCACC-1-DO-CL-NI-0-AD4 P-Pre-de </v>
      </c>
      <c r="B321" s="7" t="s">
        <v>286</v>
      </c>
      <c r="C321" s="2">
        <v>1</v>
      </c>
      <c r="D321" s="11">
        <v>16</v>
      </c>
      <c r="E321" s="2" t="s">
        <v>285</v>
      </c>
      <c r="F321" s="9" t="str">
        <f>_xlfn.XLOOKUP(TAB_H_MAE_ASIG[[#This Row],[ID_CARRERA]],MAE_CARRERA[ID_CARRERA],MAE_CARRERA[NOMBRE_CARRERA])</f>
        <v xml:space="preserve">1. Docencia - Clases </v>
      </c>
      <c r="G321" s="2">
        <v>0</v>
      </c>
    </row>
    <row r="322" spans="1:7" ht="12.75" customHeight="1">
      <c r="A322" s="2" t="str">
        <f>CONCATENATE(TAB_H_MAE_ASIG[[#This Row],[ID_CARRERA]],"-NI-",TAB_H_MAE_ASIG[[#This Row],[ID_NIVEL]],"-",LEFT(MID(B322,1,20),5)&amp;IF(ISERR(FIND(" ",MID(B322,4,20))),"","-"&amp;LEFT(MID(MID(B322,4,20),FIND(" ",MID(B322,4,20))+1,20),3))&amp;IF(ISERR(FIND(" ",MID(B322,4,20),FIND(" ",MID(B322,4,20))+1)),"","-"&amp;LEFT(MID(MID(B322,4,20),FIND(" ",MID(B322,4,20),FIND(" ",MID(B322,4,20))+1)+1,20),3)))</f>
        <v>FCACC-1-DO-CL-NI-0-AD6 O-Ori-a t</v>
      </c>
      <c r="B322" s="7" t="s">
        <v>287</v>
      </c>
      <c r="C322" s="2">
        <v>1</v>
      </c>
      <c r="D322" s="11">
        <v>16</v>
      </c>
      <c r="E322" s="2" t="s">
        <v>285</v>
      </c>
      <c r="F322" s="9" t="str">
        <f>_xlfn.XLOOKUP(TAB_H_MAE_ASIG[[#This Row],[ID_CARRERA]],MAE_CARRERA[ID_CARRERA],MAE_CARRERA[NOMBRE_CARRERA])</f>
        <v xml:space="preserve">1. Docencia - Clases </v>
      </c>
      <c r="G322" s="2">
        <v>0</v>
      </c>
    </row>
    <row r="323" spans="1:7" ht="12.75" customHeight="1">
      <c r="A323" s="2" t="str">
        <f>CONCATENATE(TAB_H_MAE_ASIG[[#This Row],[ID_CARRERA]],"-NI-",TAB_H_MAE_ASIG[[#This Row],[ID_NIVEL]],"-",LEFT(MID(B323,1,20),5)&amp;IF(ISERR(FIND(" ",MID(B323,4,20))),"","-"&amp;LEFT(MID(MID(B323,4,20),FIND(" ",MID(B323,4,20))+1,20),3))&amp;IF(ISERR(FIND(" ",MID(B323,4,20),FIND(" ",MID(B323,4,20))+1)),"","-"&amp;LEFT(MID(MID(B323,4,20),FIND(" ",MID(B323,4,20),FIND(" ",MID(B323,4,20))+1)+1,20),3)))</f>
        <v xml:space="preserve">FCACC-1-DO-CL-NI-0-AD8 P-Par-en </v>
      </c>
      <c r="B323" s="7" t="s">
        <v>288</v>
      </c>
      <c r="C323" s="2">
        <v>1</v>
      </c>
      <c r="D323" s="11">
        <v>16</v>
      </c>
      <c r="E323" s="2" t="s">
        <v>285</v>
      </c>
      <c r="F323" s="9" t="str">
        <f>_xlfn.XLOOKUP(TAB_H_MAE_ASIG[[#This Row],[ID_CARRERA]],MAE_CARRERA[ID_CARRERA],MAE_CARRERA[NOMBRE_CARRERA])</f>
        <v xml:space="preserve">1. Docencia - Clases </v>
      </c>
      <c r="G323" s="2">
        <v>0</v>
      </c>
    </row>
    <row r="324" spans="1:7" ht="12.75" customHeight="1">
      <c r="A324" s="2" t="str">
        <f>CONCATENATE(TAB_H_MAE_ASIG[[#This Row],[ID_CARRERA]],"-NI-",TAB_H_MAE_ASIG[[#This Row],[ID_NIVEL]],"-",LEFT(MID(B324,1,20),5)&amp;IF(ISERR(FIND(" ",MID(B324,4,20))),"","-"&amp;LEFT(MID(MID(B324,4,20),FIND(" ",MID(B324,4,20))+1,20),3))&amp;IF(ISERR(FIND(" ",MID(B324,4,20),FIND(" ",MID(B324,4,20))+1)),"","-"&amp;LEFT(MID(MID(B324,4,20),FIND(" ",MID(B324,4,20),FIND(" ",MID(B324,4,20))+1)+1,20),3)))</f>
        <v>FCACC-5-DO-PE-IN-NI-0-AD3 U-Uso-ped</v>
      </c>
      <c r="B324" s="7" t="s">
        <v>289</v>
      </c>
      <c r="C324" s="2">
        <v>1</v>
      </c>
      <c r="D324" s="11">
        <v>16</v>
      </c>
      <c r="E324" s="2" t="s">
        <v>290</v>
      </c>
      <c r="F324" s="9" t="str">
        <f>_xlfn.XLOOKUP(TAB_H_MAE_ASIG[[#This Row],[ID_CARRERA]],MAE_CARRERA[ID_CARRERA],MAE_CARRERA[NOMBRE_CARRERA])</f>
        <v>5. Docencia - Uso pedagógico de la investigación</v>
      </c>
      <c r="G324" s="2">
        <v>0</v>
      </c>
    </row>
    <row r="325" spans="1:7" ht="12.75" customHeight="1">
      <c r="A325" s="2" t="str">
        <f>CONCATENATE(TAB_H_MAE_ASIG[[#This Row],[ID_CARRERA]],"-NI-",TAB_H_MAE_ASIG[[#This Row],[ID_NIVEL]],"-",LEFT(MID(B325,1,20),5)&amp;IF(ISERR(FIND(" ",MID(B325,4,20))),"","-"&amp;LEFT(MID(MID(B325,4,20),FIND(" ",MID(B325,4,20))+1,20),3))&amp;IF(ISERR(FIND(" ",MID(B325,4,20),FIND(" ",MID(B325,4,20))+1)),"","-"&amp;LEFT(MID(MID(B325,4,20),FIND(" ",MID(B325,4,20),FIND(" ",MID(B325,4,20))+1)+1,20),3)))</f>
        <v>FCACC-6-IVN-NI-60-AI1 D-Dis-y d</v>
      </c>
      <c r="B325" s="7" t="s">
        <v>291</v>
      </c>
      <c r="C325" s="2">
        <v>1</v>
      </c>
      <c r="D325" s="11">
        <v>16</v>
      </c>
      <c r="E325" s="2" t="s">
        <v>292</v>
      </c>
      <c r="F325" s="9" t="str">
        <f>_xlfn.XLOOKUP(TAB_H_MAE_ASIG[[#This Row],[ID_CARRERA]],MAE_CARRERA[ID_CARRERA],MAE_CARRERA[NOMBRE_CARRERA])</f>
        <v xml:space="preserve">6. Investigación </v>
      </c>
      <c r="G325" s="2">
        <v>60</v>
      </c>
    </row>
    <row r="326" spans="1:7" ht="12.75" customHeight="1">
      <c r="A326" s="2" t="str">
        <f>CONCATENATE(TAB_H_MAE_ASIG[[#This Row],[ID_CARRERA]],"-NI-",TAB_H_MAE_ASIG[[#This Row],[ID_NIVEL]],"-",LEFT(MID(B326,1,20),5)&amp;IF(ISERR(FIND(" ",MID(B326,4,20))),"","-"&amp;LEFT(MID(MID(B326,4,20),FIND(" ",MID(B326,4,20))+1,20),3))&amp;IF(ISERR(FIND(" ",MID(B326,4,20),FIND(" ",MID(B326,4,20))+1)),"","-"&amp;LEFT(MID(MID(B326,4,20),FIND(" ",MID(B326,4,20),FIND(" ",MID(B326,4,20))+1)+1,20),3)))</f>
        <v xml:space="preserve">FCACC-6-IVN-NI-60-AI3 D-Dif-de </v>
      </c>
      <c r="B326" s="7" t="s">
        <v>293</v>
      </c>
      <c r="C326" s="2">
        <v>1</v>
      </c>
      <c r="D326" s="11">
        <v>16</v>
      </c>
      <c r="E326" s="2" t="s">
        <v>292</v>
      </c>
      <c r="F326" s="9" t="str">
        <f>_xlfn.XLOOKUP(TAB_H_MAE_ASIG[[#This Row],[ID_CARRERA]],MAE_CARRERA[ID_CARRERA],MAE_CARRERA[NOMBRE_CARRERA])</f>
        <v xml:space="preserve">6. Investigación </v>
      </c>
      <c r="G326" s="2">
        <v>60</v>
      </c>
    </row>
    <row r="327" spans="1:7" ht="12.75" customHeight="1">
      <c r="A327" s="2" t="str">
        <f>CONCATENATE(TAB_H_MAE_ASIG[[#This Row],[ID_CARRERA]],"-NI-",TAB_H_MAE_ASIG[[#This Row],[ID_NIVEL]],"-",LEFT(MID(B327,1,20),5)&amp;IF(ISERR(FIND(" ",MID(B327,4,20))),"","-"&amp;LEFT(MID(MID(B327,4,20),FIND(" ",MID(B327,4,20))+1,20),3))&amp;IF(ISERR(FIND(" ",MID(B327,4,20),FIND(" ",MID(B327,4,20))+1)),"","-"&amp;LEFT(MID(MID(B327,4,20),FIND(" ",MID(B327,4,20),FIND(" ",MID(B327,4,20))+1)+1,20),3)))</f>
        <v xml:space="preserve">FCACC-6-IVN-NI-60-AI2 E-Eje-de </v>
      </c>
      <c r="B327" s="7" t="s">
        <v>294</v>
      </c>
      <c r="C327" s="2">
        <v>1</v>
      </c>
      <c r="D327" s="11">
        <v>16</v>
      </c>
      <c r="E327" s="2" t="s">
        <v>292</v>
      </c>
      <c r="F327" s="9" t="str">
        <f>_xlfn.XLOOKUP(TAB_H_MAE_ASIG[[#This Row],[ID_CARRERA]],MAE_CARRERA[ID_CARRERA],MAE_CARRERA[NOMBRE_CARRERA])</f>
        <v xml:space="preserve">6. Investigación </v>
      </c>
      <c r="G327" s="2">
        <v>60</v>
      </c>
    </row>
    <row r="328" spans="1:7" ht="12.75" customHeight="1">
      <c r="A328" s="2" t="str">
        <f>CONCATENATE(TAB_H_MAE_ASIG[[#This Row],[ID_CARRERA]],"-NI-",TAB_H_MAE_ASIG[[#This Row],[ID_NIVEL]],"-",LEFT(MID(B328,1,20),5)&amp;IF(ISERR(FIND(" ",MID(B328,4,20))),"","-"&amp;LEFT(MID(MID(B328,4,20),FIND(" ",MID(B328,4,20))+1,20),3))&amp;IF(ISERR(FIND(" ",MID(B328,4,20),FIND(" ",MID(B328,4,20))+1)),"","-"&amp;LEFT(MID(MID(B328,4,20),FIND(" ",MID(B328,4,20),FIND(" ",MID(B328,4,20))+1)+1,20),3)))</f>
        <v>FCACC-8-VI-SO-NI-80-AVS3 -Par-com</v>
      </c>
      <c r="B328" s="7" t="s">
        <v>295</v>
      </c>
      <c r="C328" s="2">
        <v>1</v>
      </c>
      <c r="D328" s="11">
        <v>16</v>
      </c>
      <c r="E328" s="2" t="s">
        <v>296</v>
      </c>
      <c r="F328" s="9" t="str">
        <f>_xlfn.XLOOKUP(TAB_H_MAE_ASIG[[#This Row],[ID_CARRERA]],MAE_CARRERA[ID_CARRERA],MAE_CARRERA[NOMBRE_CARRERA])</f>
        <v xml:space="preserve">8. Vinculación con la Sociedad </v>
      </c>
      <c r="G328" s="2">
        <v>80</v>
      </c>
    </row>
    <row r="329" spans="1:7" ht="12.75" customHeight="1">
      <c r="A329" s="2" t="str">
        <f>CONCATENATE(TAB_H_MAE_ASIG[[#This Row],[ID_CARRERA]],"-NI-",TAB_H_MAE_ASIG[[#This Row],[ID_NIVEL]],"-",LEFT(MID(B329,1,20),5)&amp;IF(ISERR(FIND(" ",MID(B329,4,20))),"","-"&amp;LEFT(MID(MID(B329,4,20),FIND(" ",MID(B329,4,20))+1,20),3))&amp;IF(ISERR(FIND(" ",MID(B329,4,20),FIND(" ",MID(B329,4,20))+1)),"","-"&amp;LEFT(MID(MID(B329,4,20),FIND(" ",MID(B329,4,20),FIND(" ",MID(B329,4,20))+1)+1,20),3)))</f>
        <v xml:space="preserve">FCACC-8-VI-SO-NI-80-AVS2 -Par-en </v>
      </c>
      <c r="B329" s="7" t="s">
        <v>297</v>
      </c>
      <c r="C329" s="2">
        <v>1</v>
      </c>
      <c r="D329" s="11">
        <v>16</v>
      </c>
      <c r="E329" s="2" t="s">
        <v>296</v>
      </c>
      <c r="F329" s="9" t="str">
        <f>_xlfn.XLOOKUP(TAB_H_MAE_ASIG[[#This Row],[ID_CARRERA]],MAE_CARRERA[ID_CARRERA],MAE_CARRERA[NOMBRE_CARRERA])</f>
        <v xml:space="preserve">8. Vinculación con la Sociedad </v>
      </c>
      <c r="G329" s="2">
        <v>80</v>
      </c>
    </row>
    <row r="330" spans="1:7" ht="12.75" customHeight="1">
      <c r="A330" s="2" t="str">
        <f>CONCATENATE(TAB_H_MAE_ASIG[[#This Row],[ID_CARRERA]],"-NI-",TAB_H_MAE_ASIG[[#This Row],[ID_NIVEL]],"-",LEFT(MID(B330,1,20),5)&amp;IF(ISERR(FIND(" ",MID(B330,4,20))),"","-"&amp;LEFT(MID(MID(B330,4,20),FIND(" ",MID(B330,4,20))+1,20),3))&amp;IF(ISERR(FIND(" ",MID(B330,4,20),FIND(" ",MID(B330,4,20))+1)),"","-"&amp;LEFT(MID(MID(B330,4,20),FIND(" ",MID(B330,4,20),FIND(" ",MID(B330,4,20))+1)+1,20),3)))</f>
        <v xml:space="preserve">FCACC-9-GE_ED-NI-90-GPA8 -Mie-de </v>
      </c>
      <c r="B330" s="7" t="s">
        <v>298</v>
      </c>
      <c r="C330" s="2">
        <v>1</v>
      </c>
      <c r="D330" s="11">
        <v>16</v>
      </c>
      <c r="E330" s="2" t="s">
        <v>299</v>
      </c>
      <c r="F330" s="9" t="str">
        <f>_xlfn.XLOOKUP(TAB_H_MAE_ASIG[[#This Row],[ID_CARRERA]],MAE_CARRERA[ID_CARRERA],MAE_CARRERA[NOMBRE_CARRERA])</f>
        <v xml:space="preserve">9. Gestión Educativa </v>
      </c>
      <c r="G330" s="2">
        <v>90</v>
      </c>
    </row>
    <row r="331" spans="1:7" ht="12.75" customHeight="1">
      <c r="A331" s="2" t="str">
        <f>CONCATENATE(TAB_H_MAE_ASIG[[#This Row],[ID_CARRERA]],"-NI-",TAB_H_MAE_ASIG[[#This Row],[ID_NIVEL]],"-",LEFT(MID(B331,1,20),5)&amp;IF(ISERR(FIND(" ",MID(B331,4,20))),"","-"&amp;LEFT(MID(MID(B331,4,20),FIND(" ",MID(B331,4,20))+1,20),3))&amp;IF(ISERR(FIND(" ",MID(B331,4,20),FIND(" ",MID(B331,4,20))+1)),"","-"&amp;LEFT(MID(MID(B331,4,20),FIND(" ",MID(B331,4,20),FIND(" ",MID(B331,4,20))+1)+1,20),3)))</f>
        <v>FCACC-9-GE_ED-NI-90-GPA36-Res-Bie</v>
      </c>
      <c r="B331" s="7" t="s">
        <v>300</v>
      </c>
      <c r="C331" s="2">
        <v>1</v>
      </c>
      <c r="D331" s="11">
        <v>16</v>
      </c>
      <c r="E331" s="2" t="s">
        <v>299</v>
      </c>
      <c r="F331" s="9" t="str">
        <f>_xlfn.XLOOKUP(TAB_H_MAE_ASIG[[#This Row],[ID_CARRERA]],MAE_CARRERA[ID_CARRERA],MAE_CARRERA[NOMBRE_CARRERA])</f>
        <v xml:space="preserve">9. Gestión Educativa </v>
      </c>
      <c r="G331" s="2">
        <v>90</v>
      </c>
    </row>
    <row r="332" spans="1:7" ht="12.75" customHeight="1">
      <c r="A332" s="2" t="str">
        <f>CONCATENATE(TAB_H_MAE_ASIG[[#This Row],[ID_CARRERA]],"-NI-",TAB_H_MAE_ASIG[[#This Row],[ID_NIVEL]],"-",LEFT(MID(B332,1,20),5)&amp;IF(ISERR(FIND(" ",MID(B332,4,20))),"","-"&amp;LEFT(MID(MID(B332,4,20),FIND(" ",MID(B332,4,20))+1,20),3))&amp;IF(ISERR(FIND(" ",MID(B332,4,20),FIND(" ",MID(B332,4,20))+1)),"","-"&amp;LEFT(MID(MID(B332,4,20),FIND(" ",MID(B332,4,20),FIND(" ",MID(B332,4,20))+1)+1,20),3)))</f>
        <v>FCACC-9-GE_ED-NI-90-GPA13-Pre-Com</v>
      </c>
      <c r="B332" s="7" t="s">
        <v>301</v>
      </c>
      <c r="C332" s="2">
        <v>1</v>
      </c>
      <c r="D332" s="11">
        <v>16</v>
      </c>
      <c r="E332" s="2" t="s">
        <v>299</v>
      </c>
      <c r="F332" s="9" t="str">
        <f>_xlfn.XLOOKUP(TAB_H_MAE_ASIG[[#This Row],[ID_CARRERA]],MAE_CARRERA[ID_CARRERA],MAE_CARRERA[NOMBRE_CARRERA])</f>
        <v xml:space="preserve">9. Gestión Educativa </v>
      </c>
      <c r="G332" s="2">
        <v>90</v>
      </c>
    </row>
    <row r="333" spans="1:7" ht="12.75" customHeight="1">
      <c r="A333" s="2" t="str">
        <f>CONCATENATE(TAB_H_MAE_ASIG[[#This Row],[ID_CARRERA]],"-NI-",TAB_H_MAE_ASIG[[#This Row],[ID_NIVEL]],"-",LEFT(MID(B333,1,20),5)&amp;IF(ISERR(FIND(" ",MID(B333,4,20))),"","-"&amp;LEFT(MID(MID(B333,4,20),FIND(" ",MID(B333,4,20))+1,20),3))&amp;IF(ISERR(FIND(" ",MID(B333,4,20),FIND(" ",MID(B333,4,20))+1)),"","-"&amp;LEFT(MID(MID(B333,4,20),FIND(" ",MID(B333,4,20),FIND(" ",MID(B333,4,20))+1)+1,20),3)))</f>
        <v xml:space="preserve">FCACC-9-GE_ED-NI-90-GPA6 -Dir-de </v>
      </c>
      <c r="B333" s="7" t="s">
        <v>302</v>
      </c>
      <c r="C333" s="2">
        <v>1</v>
      </c>
      <c r="D333" s="11">
        <v>16</v>
      </c>
      <c r="E333" s="2" t="s">
        <v>299</v>
      </c>
      <c r="F333" s="9" t="str">
        <f>_xlfn.XLOOKUP(TAB_H_MAE_ASIG[[#This Row],[ID_CARRERA]],MAE_CARRERA[ID_CARRERA],MAE_CARRERA[NOMBRE_CARRERA])</f>
        <v xml:space="preserve">9. Gestión Educativa </v>
      </c>
      <c r="G333" s="2">
        <v>90</v>
      </c>
    </row>
    <row r="334" spans="1:7" ht="12.75" customHeight="1">
      <c r="A334" s="2" t="str">
        <f>CONCATENATE(TAB_H_MAE_ASIG[[#This Row],[ID_CARRERA]],"-NI-",TAB_H_MAE_ASIG[[#This Row],[ID_NIVEL]],"-",LEFT(MID(B334,1,20),5)&amp;IF(ISERR(FIND(" ",MID(B334,4,20))),"","-"&amp;LEFT(MID(MID(B334,4,20),FIND(" ",MID(B334,4,20))+1,20),3))&amp;IF(ISERR(FIND(" ",MID(B334,4,20),FIND(" ",MID(B334,4,20))+1)),"","-"&amp;LEFT(MID(MID(B334,4,20),FIND(" ",MID(B334,4,20),FIND(" ",MID(B334,4,20))+1)+1,20),3)))</f>
        <v>FCACC-9-GE_ED-NI-90-GPA14-Mie-Doc</v>
      </c>
      <c r="B334" s="7" t="s">
        <v>303</v>
      </c>
      <c r="C334" s="2">
        <v>1</v>
      </c>
      <c r="D334" s="11">
        <v>16</v>
      </c>
      <c r="E334" s="2" t="s">
        <v>299</v>
      </c>
      <c r="F334" s="9" t="str">
        <f>_xlfn.XLOOKUP(TAB_H_MAE_ASIG[[#This Row],[ID_CARRERA]],MAE_CARRERA[ID_CARRERA],MAE_CARRERA[NOMBRE_CARRERA])</f>
        <v xml:space="preserve">9. Gestión Educativa </v>
      </c>
      <c r="G334" s="2">
        <v>90</v>
      </c>
    </row>
    <row r="335" spans="1:7" ht="12.75" customHeight="1">
      <c r="A335" s="2" t="str">
        <f>CONCATENATE(TAB_H_MAE_ASIG[[#This Row],[ID_CARRERA]],"-NI-",TAB_H_MAE_ASIG[[#This Row],[ID_NIVEL]],"-",LEFT(MID(B335,1,20),5)&amp;IF(ISERR(FIND(" ",MID(B335,4,20))),"","-"&amp;LEFT(MID(MID(B335,4,20),FIND(" ",MID(B335,4,20))+1,20),3))&amp;IF(ISERR(FIND(" ",MID(B335,4,20),FIND(" ",MID(B335,4,20))+1)),"","-"&amp;LEFT(MID(MID(B335,4,20),FIND(" ",MID(B335,4,20),FIND(" ",MID(B335,4,20))+1)+1,20),3)))</f>
        <v>FCACC-9-GE_ED-NI-90-GPA5 -Dir-Aca</v>
      </c>
      <c r="B335" s="7" t="s">
        <v>304</v>
      </c>
      <c r="C335" s="2">
        <v>1</v>
      </c>
      <c r="D335" s="11">
        <v>16</v>
      </c>
      <c r="E335" s="2" t="s">
        <v>299</v>
      </c>
      <c r="F335" s="9" t="str">
        <f>_xlfn.XLOOKUP(TAB_H_MAE_ASIG[[#This Row],[ID_CARRERA]],MAE_CARRERA[ID_CARRERA],MAE_CARRERA[NOMBRE_CARRERA])</f>
        <v xml:space="preserve">9. Gestión Educativa </v>
      </c>
      <c r="G335" s="2">
        <v>90</v>
      </c>
    </row>
    <row r="336" spans="1:7" ht="12.75" customHeight="1">
      <c r="A336" s="2" t="str">
        <f>CONCATENATE(TAB_H_MAE_ASIG[[#This Row],[ID_CARRERA]],"-NI-",TAB_H_MAE_ASIG[[#This Row],[ID_NIVEL]],"-",LEFT(MID(B336,1,20),5)&amp;IF(ISERR(FIND(" ",MID(B336,4,20))),"","-"&amp;LEFT(MID(MID(B336,4,20),FIND(" ",MID(B336,4,20))+1,20),3))&amp;IF(ISERR(FIND(" ",MID(B336,4,20),FIND(" ",MID(B336,4,20))+1)),"","-"&amp;LEFT(MID(MID(B336,4,20),FIND(" ",MID(B336,4,20),FIND(" ",MID(B336,4,20))+1)+1,20),3)))</f>
        <v xml:space="preserve">FCACC-9-GE_ED-NI-90-GPA28-Mie-de </v>
      </c>
      <c r="B336" s="7" t="s">
        <v>305</v>
      </c>
      <c r="C336" s="2">
        <v>1</v>
      </c>
      <c r="D336" s="11">
        <v>16</v>
      </c>
      <c r="E336" s="2" t="s">
        <v>299</v>
      </c>
      <c r="F336" s="9" t="str">
        <f>_xlfn.XLOOKUP(TAB_H_MAE_ASIG[[#This Row],[ID_CARRERA]],MAE_CARRERA[ID_CARRERA],MAE_CARRERA[NOMBRE_CARRERA])</f>
        <v xml:space="preserve">9. Gestión Educativa </v>
      </c>
      <c r="G336" s="2">
        <v>90</v>
      </c>
    </row>
    <row r="337" spans="1:7" ht="12.75" customHeight="1">
      <c r="A337" s="2" t="str">
        <f>CONCATENATE(TAB_H_MAE_ASIG[[#This Row],[ID_CARRERA]],"-NI-",TAB_H_MAE_ASIG[[#This Row],[ID_NIVEL]],"-",LEFT(MID(B337,1,20),5)&amp;IF(ISERR(FIND(" ",MID(B337,4,20))),"","-"&amp;LEFT(MID(MID(B337,4,20),FIND(" ",MID(B337,4,20))+1,20),3))&amp;IF(ISERR(FIND(" ",MID(B337,4,20),FIND(" ",MID(B337,4,20))+1)),"","-"&amp;LEFT(MID(MID(B337,4,20),FIND(" ",MID(B337,4,20),FIND(" ",MID(B337,4,20))+1)+1,20),3)))</f>
        <v xml:space="preserve">FCACC-9-GE_ED-NI-90-GPA45-Pre-de </v>
      </c>
      <c r="B337" s="7" t="s">
        <v>306</v>
      </c>
      <c r="C337" s="2">
        <v>1</v>
      </c>
      <c r="D337" s="11">
        <v>16</v>
      </c>
      <c r="E337" s="2" t="s">
        <v>299</v>
      </c>
      <c r="F337" s="9" t="str">
        <f>_xlfn.XLOOKUP(TAB_H_MAE_ASIG[[#This Row],[ID_CARRERA]],MAE_CARRERA[ID_CARRERA],MAE_CARRERA[NOMBRE_CARRERA])</f>
        <v xml:space="preserve">9. Gestión Educativa </v>
      </c>
      <c r="G337" s="2">
        <v>90</v>
      </c>
    </row>
    <row r="338" spans="1:7" ht="12.75" customHeight="1">
      <c r="A338" s="2" t="str">
        <f>CONCATENATE(TAB_H_MAE_ASIG[[#This Row],[ID_CARRERA]],"-NI-",TAB_H_MAE_ASIG[[#This Row],[ID_NIVEL]],"-",LEFT(MID(B338,1,20),5)&amp;IF(ISERR(FIND(" ",MID(B338,4,20))),"","-"&amp;LEFT(MID(MID(B338,4,20),FIND(" ",MID(B338,4,20))+1,20),3))&amp;IF(ISERR(FIND(" ",MID(B338,4,20),FIND(" ",MID(B338,4,20))+1)),"","-"&amp;LEFT(MID(MID(B338,4,20),FIND(" ",MID(B338,4,20),FIND(" ",MID(B338,4,20))+1)+1,20),3)))</f>
        <v>FCACC-8-PRAC-NI-5-Práct-Lab-1 C</v>
      </c>
      <c r="B338" s="7" t="s">
        <v>307</v>
      </c>
      <c r="C338" s="2">
        <v>1</v>
      </c>
      <c r="D338" s="11">
        <v>16</v>
      </c>
      <c r="E338" s="2" t="s">
        <v>308</v>
      </c>
      <c r="F338" s="9" t="str">
        <f>_xlfn.XLOOKUP(TAB_H_MAE_ASIG[[#This Row],[ID_CARRERA]],MAE_CARRERA[ID_CARRERA],MAE_CARRERA[NOMBRE_CARRERA])</f>
        <v>Prácticas</v>
      </c>
      <c r="G338" s="2">
        <v>5</v>
      </c>
    </row>
    <row r="339" spans="1:7" ht="12.75" customHeight="1">
      <c r="A339" s="2" t="str">
        <f>CONCATENATE(TAB_H_MAE_ASIG[[#This Row],[ID_CARRERA]],"-NI-",TAB_H_MAE_ASIG[[#This Row],[ID_NIVEL]],"-",LEFT(MID(B339,1,20),5)&amp;IF(ISERR(FIND(" ",MID(B339,4,20))),"","-"&amp;LEFT(MID(MID(B339,4,20),FIND(" ",MID(B339,4,20))+1,20),3))&amp;IF(ISERR(FIND(" ",MID(B339,4,20),FIND(" ",MID(B339,4,20))+1)),"","-"&amp;LEFT(MID(MID(B339,4,20),FIND(" ",MID(B339,4,20),FIND(" ",MID(B339,4,20))+1)+1,20),3)))</f>
        <v>FCACC-8-PRAC-NI-5-Práct-Lab-1 A</v>
      </c>
      <c r="B339" s="7" t="s">
        <v>309</v>
      </c>
      <c r="C339" s="2">
        <v>1</v>
      </c>
      <c r="D339" s="11">
        <v>16</v>
      </c>
      <c r="E339" s="2" t="s">
        <v>308</v>
      </c>
      <c r="F339" s="9" t="str">
        <f>_xlfn.XLOOKUP(TAB_H_MAE_ASIG[[#This Row],[ID_CARRERA]],MAE_CARRERA[ID_CARRERA],MAE_CARRERA[NOMBRE_CARRERA])</f>
        <v>Prácticas</v>
      </c>
      <c r="G339" s="2">
        <v>5</v>
      </c>
    </row>
    <row r="340" spans="1:7" ht="12.75" customHeight="1">
      <c r="A340" s="2" t="str">
        <f>CONCATENATE(TAB_H_MAE_ASIG[[#This Row],[ID_CARRERA]],"-NI-",TAB_H_MAE_ASIG[[#This Row],[ID_NIVEL]],"-",LEFT(MID(B340,1,20),5)&amp;IF(ISERR(FIND(" ",MID(B340,4,20))),"","-"&amp;LEFT(MID(MID(B340,4,20),FIND(" ",MID(B340,4,20))+1,20),3))&amp;IF(ISERR(FIND(" ",MID(B340,4,20),FIND(" ",MID(B340,4,20))+1)),"","-"&amp;LEFT(MID(MID(B340,4,20),FIND(" ",MID(B340,4,20),FIND(" ",MID(B340,4,20))+1)+1,20),3)))</f>
        <v>FCACC-8-PRAC-NI-5-Práct-Lab-1 F</v>
      </c>
      <c r="B340" s="7" t="s">
        <v>310</v>
      </c>
      <c r="C340" s="2">
        <v>1</v>
      </c>
      <c r="D340" s="11">
        <v>16</v>
      </c>
      <c r="E340" s="2" t="s">
        <v>308</v>
      </c>
      <c r="F340" s="9" t="str">
        <f>_xlfn.XLOOKUP(TAB_H_MAE_ASIG[[#This Row],[ID_CARRERA]],MAE_CARRERA[ID_CARRERA],MAE_CARRERA[NOMBRE_CARRERA])</f>
        <v>Prácticas</v>
      </c>
      <c r="G340" s="2">
        <v>5</v>
      </c>
    </row>
    <row r="341" spans="1:7" ht="12.75" customHeight="1">
      <c r="A341" s="2" t="str">
        <f>CONCATENATE(TAB_H_MAE_ASIG[[#This Row],[ID_CARRERA]],"-NI-",TAB_H_MAE_ASIG[[#This Row],[ID_NIVEL]],"-",LEFT(MID(B341,1,20),5)&amp;IF(ISERR(FIND(" ",MID(B341,4,20))),"","-"&amp;LEFT(MID(MID(B341,4,20),FIND(" ",MID(B341,4,20))+1,20),3))&amp;IF(ISERR(FIND(" ",MID(B341,4,20),FIND(" ",MID(B341,4,20))+1)),"","-"&amp;LEFT(MID(MID(B341,4,20),FIND(" ",MID(B341,4,20),FIND(" ",MID(B341,4,20))+1)+1,20),3)))</f>
        <v>FCACC-8-PRAC-NI-5-Práct-Pre</v>
      </c>
      <c r="B341" s="7" t="s">
        <v>311</v>
      </c>
      <c r="C341" s="2">
        <v>1</v>
      </c>
      <c r="D341" s="11">
        <v>16</v>
      </c>
      <c r="E341" s="2" t="s">
        <v>308</v>
      </c>
      <c r="F341" s="9" t="str">
        <f>_xlfn.XLOOKUP(TAB_H_MAE_ASIG[[#This Row],[ID_CARRERA]],MAE_CARRERA[ID_CARRERA],MAE_CARRERA[NOMBRE_CARRERA])</f>
        <v>Prácticas</v>
      </c>
      <c r="G341" s="2">
        <v>5</v>
      </c>
    </row>
    <row r="342" spans="1:7" ht="12.75" customHeight="1">
      <c r="A342" s="2" t="str">
        <f>CONCATENATE(TAB_H_MAE_ASIG[[#This Row],[ID_CARRERA]],"-NI-",TAB_H_MAE_ASIG[[#This Row],[ID_NIVEL]],"-",LEFT(MID(B342,1,20),5)&amp;IF(ISERR(FIND(" ",MID(B342,4,20))),"","-"&amp;LEFT(MID(MID(B342,4,20),FIND(" ",MID(B342,4,20))+1,20),3))&amp;IF(ISERR(FIND(" ",MID(B342,4,20),FIND(" ",MID(B342,4,20))+1)),"","-"&amp;LEFT(MID(MID(B342,4,20),FIND(" ",MID(B342,4,20),FIND(" ",MID(B342,4,20))+1)+1,20),3)))</f>
        <v>FCACC-8-PRAC-NI-6-Práct-Lab-2 C</v>
      </c>
      <c r="B342" s="7" t="s">
        <v>312</v>
      </c>
      <c r="C342" s="2">
        <v>1</v>
      </c>
      <c r="D342" s="11">
        <v>16</v>
      </c>
      <c r="E342" s="2" t="s">
        <v>308</v>
      </c>
      <c r="F342" s="9" t="str">
        <f>_xlfn.XLOOKUP(TAB_H_MAE_ASIG[[#This Row],[ID_CARRERA]],MAE_CARRERA[ID_CARRERA],MAE_CARRERA[NOMBRE_CARRERA])</f>
        <v>Prácticas</v>
      </c>
      <c r="G342" s="2">
        <v>6</v>
      </c>
    </row>
    <row r="343" spans="1:7" ht="12.75" customHeight="1">
      <c r="A343" s="2" t="str">
        <f>CONCATENATE(TAB_H_MAE_ASIG[[#This Row],[ID_CARRERA]],"-NI-",TAB_H_MAE_ASIG[[#This Row],[ID_NIVEL]],"-",LEFT(MID(B343,1,20),5)&amp;IF(ISERR(FIND(" ",MID(B343,4,20))),"","-"&amp;LEFT(MID(MID(B343,4,20),FIND(" ",MID(B343,4,20))+1,20),3))&amp;IF(ISERR(FIND(" ",MID(B343,4,20),FIND(" ",MID(B343,4,20))+1)),"","-"&amp;LEFT(MID(MID(B343,4,20),FIND(" ",MID(B343,4,20),FIND(" ",MID(B343,4,20))+1)+1,20),3)))</f>
        <v>FCACC-8-PRAC-NI-6-Práct-Lab-2 A</v>
      </c>
      <c r="B343" s="7" t="s">
        <v>313</v>
      </c>
      <c r="C343" s="2">
        <v>1</v>
      </c>
      <c r="D343" s="11">
        <v>16</v>
      </c>
      <c r="E343" s="2" t="s">
        <v>308</v>
      </c>
      <c r="F343" s="9" t="str">
        <f>_xlfn.XLOOKUP(TAB_H_MAE_ASIG[[#This Row],[ID_CARRERA]],MAE_CARRERA[ID_CARRERA],MAE_CARRERA[NOMBRE_CARRERA])</f>
        <v>Prácticas</v>
      </c>
      <c r="G343" s="2">
        <v>6</v>
      </c>
    </row>
    <row r="344" spans="1:7" ht="12.75" customHeight="1">
      <c r="A344" s="2" t="str">
        <f>CONCATENATE(TAB_H_MAE_ASIG[[#This Row],[ID_CARRERA]],"-NI-",TAB_H_MAE_ASIG[[#This Row],[ID_NIVEL]],"-",LEFT(MID(B344,1,20),5)&amp;IF(ISERR(FIND(" ",MID(B344,4,20))),"","-"&amp;LEFT(MID(MID(B344,4,20),FIND(" ",MID(B344,4,20))+1,20),3))&amp;IF(ISERR(FIND(" ",MID(B344,4,20),FIND(" ",MID(B344,4,20))+1)),"","-"&amp;LEFT(MID(MID(B344,4,20),FIND(" ",MID(B344,4,20),FIND(" ",MID(B344,4,20))+1)+1,20),3)))</f>
        <v>FCACC-8-PRAC-NI-6-Práct-Lab-2 F</v>
      </c>
      <c r="B344" s="7" t="s">
        <v>314</v>
      </c>
      <c r="C344" s="2">
        <v>1</v>
      </c>
      <c r="D344" s="11">
        <v>16</v>
      </c>
      <c r="E344" s="2" t="s">
        <v>308</v>
      </c>
      <c r="F344" s="9" t="str">
        <f>_xlfn.XLOOKUP(TAB_H_MAE_ASIG[[#This Row],[ID_CARRERA]],MAE_CARRERA[ID_CARRERA],MAE_CARRERA[NOMBRE_CARRERA])</f>
        <v>Prácticas</v>
      </c>
      <c r="G344" s="2">
        <v>6</v>
      </c>
    </row>
    <row r="345" spans="1:7" ht="12.75" customHeight="1">
      <c r="A345" s="2" t="str">
        <f>CONCATENATE(TAB_H_MAE_ASIG[[#This Row],[ID_CARRERA]],"-NI-",TAB_H_MAE_ASIG[[#This Row],[ID_NIVEL]],"-",LEFT(MID(B345,1,20),5)&amp;IF(ISERR(FIND(" ",MID(B345,4,20))),"","-"&amp;LEFT(MID(MID(B345,4,20),FIND(" ",MID(B345,4,20))+1,20),3))&amp;IF(ISERR(FIND(" ",MID(B345,4,20),FIND(" ",MID(B345,4,20))+1)),"","-"&amp;LEFT(MID(MID(B345,4,20),FIND(" ",MID(B345,4,20),FIND(" ",MID(B345,4,20))+1)+1,20),3)))</f>
        <v>FCACC-8-PRAC-NI-6-Práct-pre</v>
      </c>
      <c r="B345" s="7" t="s">
        <v>315</v>
      </c>
      <c r="C345" s="2">
        <v>1</v>
      </c>
      <c r="D345" s="11">
        <v>16</v>
      </c>
      <c r="E345" s="2" t="s">
        <v>308</v>
      </c>
      <c r="F345" s="9" t="str">
        <f>_xlfn.XLOOKUP(TAB_H_MAE_ASIG[[#This Row],[ID_CARRERA]],MAE_CARRERA[ID_CARRERA],MAE_CARRERA[NOMBRE_CARRERA])</f>
        <v>Prácticas</v>
      </c>
      <c r="G345" s="2">
        <v>6</v>
      </c>
    </row>
    <row r="346" spans="1:7" ht="12.75" customHeight="1">
      <c r="A346" s="2" t="str">
        <f>CONCATENATE(TAB_H_MAE_ASIG[[#This Row],[ID_CARRERA]],"-NI-",TAB_H_MAE_ASIG[[#This Row],[ID_NIVEL]],"-",LEFT(MID(B346,1,20),5)&amp;IF(ISERR(FIND(" ",MID(B346,4,20))),"","-"&amp;LEFT(MID(MID(B346,4,20),FIND(" ",MID(B346,4,20))+1,20),3))&amp;IF(ISERR(FIND(" ",MID(B346,4,20),FIND(" ",MID(B346,4,20))+1)),"","-"&amp;LEFT(MID(MID(B346,4,20),FIND(" ",MID(B346,4,20),FIND(" ",MID(B346,4,20))+1)+1,20),3)))</f>
        <v>FCACC-8-TITU-NI-7-Traba-de -int</v>
      </c>
      <c r="B346" s="8" t="s">
        <v>316</v>
      </c>
      <c r="C346" s="2">
        <v>1</v>
      </c>
      <c r="D346" s="11">
        <v>16</v>
      </c>
      <c r="E346" s="2" t="s">
        <v>317</v>
      </c>
      <c r="F346" s="9" t="str">
        <f>_xlfn.XLOOKUP(TAB_H_MAE_ASIG[[#This Row],[ID_CARRERA]],MAE_CARRERA[ID_CARRERA],MAE_CARRERA[NOMBRE_CARRERA])</f>
        <v>Titulación</v>
      </c>
      <c r="G346" s="2">
        <v>7</v>
      </c>
    </row>
    <row r="347" spans="1:7" ht="12.75" customHeight="1">
      <c r="A347" s="2" t="str">
        <f>CONCATENATE(TAB_H_MAE_ASIG[[#This Row],[ID_CARRERA]],"-NI-",TAB_H_MAE_ASIG[[#This Row],[ID_NIVEL]],"-",LEFT(MID(B347,1,20),5)&amp;IF(ISERR(FIND(" ",MID(B347,4,20))),"","-"&amp;LEFT(MID(MID(B347,4,20),FIND(" ",MID(B347,4,20))+1,20),3))&amp;IF(ISERR(FIND(" ",MID(B347,4,20),FIND(" ",MID(B347,4,20))+1)),"","-"&amp;LEFT(MID(MID(B347,4,20),FIND(" ",MID(B347,4,20),FIND(" ",MID(B347,4,20))+1)+1,20),3)))</f>
        <v>FCACC-8-TITU-NI-7-Traba-de -int</v>
      </c>
      <c r="B347" s="7" t="s">
        <v>318</v>
      </c>
      <c r="C347" s="2">
        <v>1</v>
      </c>
      <c r="D347" s="11">
        <v>16</v>
      </c>
      <c r="E347" s="2" t="s">
        <v>317</v>
      </c>
      <c r="F347" s="9" t="str">
        <f>_xlfn.XLOOKUP(TAB_H_MAE_ASIG[[#This Row],[ID_CARRERA]],MAE_CARRERA[ID_CARRERA],MAE_CARRERA[NOMBRE_CARRERA])</f>
        <v>Titulación</v>
      </c>
      <c r="G347" s="2">
        <v>7</v>
      </c>
    </row>
    <row r="348" spans="1:7" ht="12.75" customHeight="1">
      <c r="A348" s="2" t="str">
        <f>CONCATENATE(TAB_H_MAE_ASIG[[#This Row],[ID_CARRERA]],"-NI-",TAB_H_MAE_ASIG[[#This Row],[ID_NIVEL]],"-",LEFT(MID(B348,1,20),5)&amp;IF(ISERR(FIND(" ",MID(B348,4,20))),"","-"&amp;LEFT(MID(MID(B348,4,20),FIND(" ",MID(B348,4,20))+1,20),3))&amp;IF(ISERR(FIND(" ",MID(B348,4,20),FIND(" ",MID(B348,4,20))+1)),"","-"&amp;LEFT(MID(MID(B348,4,20),FIND(" ",MID(B348,4,20),FIND(" ",MID(B348,4,20))+1)+1,20),3)))</f>
        <v>FCACC-8-TITU-NI-7-Traba-de -int</v>
      </c>
      <c r="B348" s="7" t="s">
        <v>319</v>
      </c>
      <c r="C348" s="2">
        <v>1</v>
      </c>
      <c r="D348" s="11">
        <v>16</v>
      </c>
      <c r="E348" s="2" t="s">
        <v>317</v>
      </c>
      <c r="F348" s="9" t="str">
        <f>_xlfn.XLOOKUP(TAB_H_MAE_ASIG[[#This Row],[ID_CARRERA]],MAE_CARRERA[ID_CARRERA],MAE_CARRERA[NOMBRE_CARRERA])</f>
        <v>Titulación</v>
      </c>
      <c r="G348" s="2">
        <v>7</v>
      </c>
    </row>
    <row r="349" spans="1:7" ht="12.75" customHeight="1">
      <c r="A349" s="2" t="str">
        <f>CONCATENATE(TAB_H_MAE_ASIG[[#This Row],[ID_CARRERA]],"-NI-",TAB_H_MAE_ASIG[[#This Row],[ID_NIVEL]],"-",LEFT(MID(B349,1,20),5)&amp;IF(ISERR(FIND(" ",MID(B349,4,20))),"","-"&amp;LEFT(MID(MID(B349,4,20),FIND(" ",MID(B349,4,20))+1,20),3))&amp;IF(ISERR(FIND(" ",MID(B349,4,20),FIND(" ",MID(B349,4,20))+1)),"","-"&amp;LEFT(MID(MID(B349,4,20),FIND(" ",MID(B349,4,20),FIND(" ",MID(B349,4,20))+1)+1,20),3)))</f>
        <v>FCACC-8-TITU-NI-7-Traba-de -int</v>
      </c>
      <c r="B349" s="7" t="s">
        <v>320</v>
      </c>
      <c r="C349" s="2">
        <v>1</v>
      </c>
      <c r="D349" s="11">
        <v>16</v>
      </c>
      <c r="E349" s="2" t="s">
        <v>317</v>
      </c>
      <c r="F349" s="9" t="str">
        <f>_xlfn.XLOOKUP(TAB_H_MAE_ASIG[[#This Row],[ID_CARRERA]],MAE_CARRERA[ID_CARRERA],MAE_CARRERA[NOMBRE_CARRERA])</f>
        <v>Titulación</v>
      </c>
      <c r="G349" s="2">
        <v>7</v>
      </c>
    </row>
    <row r="350" spans="1:7" ht="12.75" customHeight="1">
      <c r="A350" s="2" t="str">
        <f>CONCATENATE(TAB_H_MAE_ASIG[[#This Row],[ID_CARRERA]],"-NI-",TAB_H_MAE_ASIG[[#This Row],[ID_NIVEL]],"-",LEFT(MID(B350,1,20),5)&amp;IF(ISERR(FIND(" ",MID(B350,4,20))),"","-"&amp;LEFT(MID(MID(B350,4,20),FIND(" ",MID(B350,4,20))+1,20),3))&amp;IF(ISERR(FIND(" ",MID(B350,4,20),FIND(" ",MID(B350,4,20))+1)),"","-"&amp;LEFT(MID(MID(B350,4,20),FIND(" ",MID(B350,4,20),FIND(" ",MID(B350,4,20))+1)+1,20),3)))</f>
        <v>FCACC-8-TITU-NI-8-Traba-de -int</v>
      </c>
      <c r="B350" s="13" t="s">
        <v>321</v>
      </c>
      <c r="C350" s="2">
        <v>1</v>
      </c>
      <c r="D350" s="11">
        <v>16</v>
      </c>
      <c r="E350" s="2" t="s">
        <v>317</v>
      </c>
      <c r="F350" s="9" t="str">
        <f>_xlfn.XLOOKUP(TAB_H_MAE_ASIG[[#This Row],[ID_CARRERA]],MAE_CARRERA[ID_CARRERA],MAE_CARRERA[NOMBRE_CARRERA])</f>
        <v>Titulación</v>
      </c>
      <c r="G350" s="2">
        <v>8</v>
      </c>
    </row>
    <row r="351" spans="1:7" ht="12.75" customHeight="1">
      <c r="A351" s="2" t="str">
        <f>CONCATENATE(TAB_H_MAE_ASIG[[#This Row],[ID_CARRERA]],"-NI-",TAB_H_MAE_ASIG[[#This Row],[ID_NIVEL]],"-",LEFT(MID(B351,1,20),5)&amp;IF(ISERR(FIND(" ",MID(B351,4,20))),"","-"&amp;LEFT(MID(MID(B351,4,20),FIND(" ",MID(B351,4,20))+1,20),3))&amp;IF(ISERR(FIND(" ",MID(B351,4,20),FIND(" ",MID(B351,4,20))+1)),"","-"&amp;LEFT(MID(MID(B351,4,20),FIND(" ",MID(B351,4,20),FIND(" ",MID(B351,4,20))+1)+1,20),3)))</f>
        <v>FCACC-8-TITU-NI-8-Traba-de -int</v>
      </c>
      <c r="B351" s="7" t="s">
        <v>322</v>
      </c>
      <c r="C351" s="2">
        <v>1</v>
      </c>
      <c r="D351" s="11">
        <v>16</v>
      </c>
      <c r="E351" s="2" t="s">
        <v>317</v>
      </c>
      <c r="F351" s="9" t="str">
        <f>_xlfn.XLOOKUP(TAB_H_MAE_ASIG[[#This Row],[ID_CARRERA]],MAE_CARRERA[ID_CARRERA],MAE_CARRERA[NOMBRE_CARRERA])</f>
        <v>Titulación</v>
      </c>
      <c r="G351" s="2">
        <v>8</v>
      </c>
    </row>
    <row r="352" spans="1:7" ht="12.75" customHeight="1">
      <c r="A352" s="2" t="str">
        <f>CONCATENATE(TAB_H_MAE_ASIG[[#This Row],[ID_CARRERA]],"-NI-",TAB_H_MAE_ASIG[[#This Row],[ID_NIVEL]],"-",LEFT(MID(B352,1,20),5)&amp;IF(ISERR(FIND(" ",MID(B352,4,20))),"","-"&amp;LEFT(MID(MID(B352,4,20),FIND(" ",MID(B352,4,20))+1,20),3))&amp;IF(ISERR(FIND(" ",MID(B352,4,20),FIND(" ",MID(B352,4,20))+1)),"","-"&amp;LEFT(MID(MID(B352,4,20),FIND(" ",MID(B352,4,20),FIND(" ",MID(B352,4,20))+1)+1,20),3)))</f>
        <v>FCACC-8-TITU-NI-8-Traba-de -int</v>
      </c>
      <c r="B352" s="7" t="s">
        <v>323</v>
      </c>
      <c r="C352" s="2">
        <v>1</v>
      </c>
      <c r="D352" s="11">
        <v>16</v>
      </c>
      <c r="E352" s="2" t="s">
        <v>317</v>
      </c>
      <c r="F352" s="9" t="str">
        <f>_xlfn.XLOOKUP(TAB_H_MAE_ASIG[[#This Row],[ID_CARRERA]],MAE_CARRERA[ID_CARRERA],MAE_CARRERA[NOMBRE_CARRERA])</f>
        <v>Titulación</v>
      </c>
      <c r="G352" s="2">
        <v>8</v>
      </c>
    </row>
    <row r="353" spans="1:7" ht="12.75" customHeight="1">
      <c r="A353" s="1" t="s">
        <v>324</v>
      </c>
      <c r="B353" s="7" t="s">
        <v>325</v>
      </c>
      <c r="C353" s="2">
        <v>1</v>
      </c>
      <c r="D353" s="11">
        <v>16</v>
      </c>
      <c r="E353" s="2" t="s">
        <v>317</v>
      </c>
      <c r="F353" s="9" t="str">
        <f>_xlfn.XLOOKUP(TAB_H_MAE_ASIG[[#This Row],[ID_CARRERA]],MAE_CARRERA[ID_CARRERA],MAE_CARRERA[NOMBRE_CARRERA])</f>
        <v>Titulación</v>
      </c>
      <c r="G353" s="2">
        <v>8</v>
      </c>
    </row>
  </sheetData>
  <conditionalFormatting sqref="A1:A353">
    <cfRule type="duplicateValues" dxfId="14" priority="4"/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4B332C8-24E6-4C2F-91D0-9FC051A56836}">
          <x14:formula1>
            <xm:f>MAE_CARRERA!$A:$A</xm:f>
          </x14:formula1>
          <xm:sqref>E2:E353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7F128-A0F7-4B1F-8F61-816F655889FD}">
  <dimension ref="A1:G18"/>
  <sheetViews>
    <sheetView workbookViewId="0">
      <selection activeCell="A10" sqref="A10"/>
    </sheetView>
  </sheetViews>
  <sheetFormatPr defaultColWidth="11.42578125" defaultRowHeight="15"/>
  <cols>
    <col min="1" max="1" width="17" bestFit="1" customWidth="1"/>
    <col min="2" max="2" width="42.85546875" bestFit="1" customWidth="1"/>
    <col min="3" max="3" width="12.140625" bestFit="1" customWidth="1"/>
    <col min="4" max="5" width="15.7109375" bestFit="1" customWidth="1"/>
    <col min="6" max="6" width="13" bestFit="1" customWidth="1"/>
    <col min="7" max="7" width="10.42578125" bestFit="1" customWidth="1"/>
  </cols>
  <sheetData>
    <row r="1" spans="1:7">
      <c r="A1" t="s">
        <v>4</v>
      </c>
      <c r="B1" t="s">
        <v>5</v>
      </c>
      <c r="C1" t="s">
        <v>326</v>
      </c>
      <c r="D1" t="s">
        <v>327</v>
      </c>
      <c r="E1" t="s">
        <v>328</v>
      </c>
      <c r="F1" t="s">
        <v>329</v>
      </c>
      <c r="G1" t="s">
        <v>330</v>
      </c>
    </row>
    <row r="2" spans="1:7">
      <c r="A2" t="s">
        <v>9</v>
      </c>
      <c r="B2" t="s">
        <v>331</v>
      </c>
      <c r="C2">
        <v>16</v>
      </c>
      <c r="D2">
        <v>240</v>
      </c>
      <c r="E2" s="12">
        <v>43831</v>
      </c>
      <c r="F2" s="12">
        <v>51501</v>
      </c>
      <c r="G2" t="s">
        <v>332</v>
      </c>
    </row>
    <row r="3" spans="1:7">
      <c r="A3" t="s">
        <v>50</v>
      </c>
      <c r="B3" t="s">
        <v>333</v>
      </c>
      <c r="C3">
        <v>16</v>
      </c>
      <c r="D3">
        <v>240</v>
      </c>
      <c r="E3" s="12">
        <v>43831</v>
      </c>
      <c r="F3" s="12">
        <v>51501</v>
      </c>
      <c r="G3" t="s">
        <v>332</v>
      </c>
    </row>
    <row r="4" spans="1:7">
      <c r="A4" t="s">
        <v>86</v>
      </c>
      <c r="B4" t="s">
        <v>334</v>
      </c>
      <c r="C4">
        <v>16</v>
      </c>
      <c r="D4">
        <v>240</v>
      </c>
      <c r="E4" s="12">
        <v>43831</v>
      </c>
      <c r="F4" s="12">
        <v>51501</v>
      </c>
      <c r="G4" t="s">
        <v>332</v>
      </c>
    </row>
    <row r="5" spans="1:7">
      <c r="A5" t="s">
        <v>105</v>
      </c>
      <c r="B5" t="s">
        <v>106</v>
      </c>
      <c r="C5">
        <v>16</v>
      </c>
      <c r="D5">
        <v>240</v>
      </c>
      <c r="E5" s="12">
        <v>43831</v>
      </c>
      <c r="F5" s="12">
        <v>51501</v>
      </c>
      <c r="G5" t="s">
        <v>332</v>
      </c>
    </row>
    <row r="6" spans="1:7">
      <c r="A6" t="s">
        <v>143</v>
      </c>
      <c r="B6" t="s">
        <v>335</v>
      </c>
      <c r="C6">
        <v>16</v>
      </c>
      <c r="D6">
        <v>240</v>
      </c>
      <c r="E6" s="12">
        <v>43831</v>
      </c>
      <c r="F6" s="12">
        <v>51501</v>
      </c>
      <c r="G6" t="s">
        <v>332</v>
      </c>
    </row>
    <row r="7" spans="1:7">
      <c r="A7" t="s">
        <v>170</v>
      </c>
      <c r="B7" t="s">
        <v>336</v>
      </c>
      <c r="C7">
        <v>16</v>
      </c>
      <c r="D7">
        <v>240</v>
      </c>
      <c r="E7" s="12">
        <v>43831</v>
      </c>
      <c r="F7" s="12">
        <v>51501</v>
      </c>
      <c r="G7" t="s">
        <v>332</v>
      </c>
    </row>
    <row r="8" spans="1:7">
      <c r="A8" t="s">
        <v>199</v>
      </c>
      <c r="B8" t="s">
        <v>337</v>
      </c>
      <c r="C8">
        <v>16</v>
      </c>
      <c r="D8">
        <v>240</v>
      </c>
      <c r="E8" s="12">
        <v>43831</v>
      </c>
      <c r="F8" s="12">
        <v>51501</v>
      </c>
      <c r="G8" t="s">
        <v>332</v>
      </c>
    </row>
    <row r="9" spans="1:7">
      <c r="A9" t="s">
        <v>218</v>
      </c>
      <c r="B9" t="s">
        <v>179</v>
      </c>
      <c r="C9">
        <v>16</v>
      </c>
      <c r="D9">
        <v>240</v>
      </c>
      <c r="E9" s="12">
        <v>43831</v>
      </c>
      <c r="F9" s="12">
        <v>51501</v>
      </c>
      <c r="G9" t="s">
        <v>332</v>
      </c>
    </row>
    <row r="10" spans="1:7">
      <c r="A10" t="s">
        <v>259</v>
      </c>
      <c r="B10" t="s">
        <v>338</v>
      </c>
      <c r="C10">
        <v>16</v>
      </c>
      <c r="D10">
        <v>240</v>
      </c>
      <c r="E10" s="12">
        <v>43831</v>
      </c>
      <c r="F10" s="12">
        <v>51501</v>
      </c>
      <c r="G10" t="s">
        <v>332</v>
      </c>
    </row>
    <row r="11" spans="1:7">
      <c r="A11" t="s">
        <v>285</v>
      </c>
      <c r="B11" t="s">
        <v>339</v>
      </c>
      <c r="C11">
        <v>1</v>
      </c>
      <c r="D11">
        <v>1</v>
      </c>
      <c r="E11" s="12">
        <v>43831</v>
      </c>
      <c r="F11" s="12">
        <v>51501</v>
      </c>
      <c r="G11" t="s">
        <v>332</v>
      </c>
    </row>
    <row r="12" spans="1:7">
      <c r="A12" t="s">
        <v>290</v>
      </c>
      <c r="B12" t="s">
        <v>340</v>
      </c>
      <c r="C12">
        <v>1</v>
      </c>
      <c r="D12">
        <v>1</v>
      </c>
      <c r="E12" s="12">
        <v>43831</v>
      </c>
      <c r="F12" s="12">
        <v>51501</v>
      </c>
      <c r="G12" t="s">
        <v>332</v>
      </c>
    </row>
    <row r="13" spans="1:7">
      <c r="A13" t="s">
        <v>283</v>
      </c>
      <c r="B13" t="s">
        <v>341</v>
      </c>
      <c r="C13">
        <v>1</v>
      </c>
      <c r="D13">
        <v>1</v>
      </c>
      <c r="E13" s="12">
        <v>43831</v>
      </c>
      <c r="F13" s="12">
        <v>51501</v>
      </c>
      <c r="G13" t="s">
        <v>332</v>
      </c>
    </row>
    <row r="14" spans="1:7">
      <c r="A14" t="s">
        <v>292</v>
      </c>
      <c r="B14" t="s">
        <v>342</v>
      </c>
      <c r="C14">
        <v>1</v>
      </c>
      <c r="D14">
        <v>1</v>
      </c>
      <c r="E14" s="12">
        <v>43831</v>
      </c>
      <c r="F14" s="12">
        <v>51501</v>
      </c>
      <c r="G14" t="s">
        <v>332</v>
      </c>
    </row>
    <row r="15" spans="1:7">
      <c r="A15" t="s">
        <v>299</v>
      </c>
      <c r="B15" t="s">
        <v>343</v>
      </c>
      <c r="C15">
        <v>1</v>
      </c>
      <c r="D15">
        <v>1</v>
      </c>
      <c r="E15" s="12">
        <v>43831</v>
      </c>
      <c r="F15" s="12">
        <v>51501</v>
      </c>
      <c r="G15" t="s">
        <v>332</v>
      </c>
    </row>
    <row r="16" spans="1:7">
      <c r="A16" t="s">
        <v>296</v>
      </c>
      <c r="B16" t="s">
        <v>344</v>
      </c>
      <c r="C16">
        <v>1</v>
      </c>
      <c r="D16">
        <v>1</v>
      </c>
      <c r="E16" s="12">
        <v>43831</v>
      </c>
      <c r="F16" s="12">
        <v>51501</v>
      </c>
      <c r="G16" t="s">
        <v>332</v>
      </c>
    </row>
    <row r="17" spans="1:7">
      <c r="A17" t="s">
        <v>308</v>
      </c>
      <c r="B17" t="s">
        <v>345</v>
      </c>
      <c r="C17">
        <v>1</v>
      </c>
      <c r="D17">
        <v>1</v>
      </c>
      <c r="E17" s="12">
        <v>43831</v>
      </c>
      <c r="F17" s="12">
        <v>51501</v>
      </c>
      <c r="G17" t="s">
        <v>332</v>
      </c>
    </row>
    <row r="18" spans="1:7">
      <c r="A18" t="s">
        <v>317</v>
      </c>
      <c r="B18" t="s">
        <v>346</v>
      </c>
      <c r="C18">
        <v>1</v>
      </c>
      <c r="D18">
        <v>1</v>
      </c>
      <c r="E18" s="12">
        <v>43831</v>
      </c>
      <c r="F18" s="12">
        <v>51501</v>
      </c>
      <c r="G18" t="s">
        <v>332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AAAEB9A-F7BC-447A-9982-A50F1F935F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CARRILLO PICO FEDERÍCO AVELINO</cp:lastModifiedBy>
  <cp:revision/>
  <dcterms:created xsi:type="dcterms:W3CDTF">2026-06-12T20:17:01Z</dcterms:created>
  <dcterms:modified xsi:type="dcterms:W3CDTF">2026-06-29T12:59:03Z</dcterms:modified>
  <cp:category/>
  <cp:contentStatus/>
</cp:coreProperties>
</file>