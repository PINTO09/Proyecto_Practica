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132" documentId="11_9248B46DC1CBB2E3ED7FF6F9903E8C1851038383" xr6:coauthVersionLast="47" xr6:coauthVersionMax="47" xr10:uidLastSave="{2ACC0EA8-7A74-4E77-830D-8250250A1ED9}"/>
  <bookViews>
    <workbookView xWindow="240" yWindow="105" windowWidth="14805" windowHeight="8010" xr2:uid="{00000000-000D-0000-FFFF-FFFF00000000}"/>
  </bookViews>
  <sheets>
    <sheet name="MAE_CARRERA" sheetId="1" r:id="rId1"/>
    <sheet name="T_CARREAS" sheetId="2" state="hidden" r:id="rId2"/>
  </sheets>
  <definedNames>
    <definedName name="DatosExternos_1" localSheetId="1" hidden="1">T_CARREAS!$A$1:$D$10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2" i="1"/>
  <c r="G3" i="1"/>
  <c r="G4" i="1"/>
  <c r="G5" i="1"/>
  <c r="G6" i="1"/>
  <c r="G7" i="1"/>
  <c r="G8" i="1"/>
  <c r="G9" i="1"/>
  <c r="G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1059B3-9758-4386-9D25-A8D9A05DA6C4}" keepAlive="1" name="Query - T_CARREAS" description="Conexión a la consulta 'T_CARREAS' en el libro." type="5" refreshedVersion="8" background="1">
    <dbPr connection="Provider=Microsoft.Mashup.OleDb.1;Data Source=$Workbook$;Location=T_CARREAS;Extended Properties=&quot;&quot;" command="SELECT * FROM [T_CARREAS]"/>
  </connection>
</connections>
</file>

<file path=xl/sharedStrings.xml><?xml version="1.0" encoding="utf-8"?>
<sst xmlns="http://schemas.openxmlformats.org/spreadsheetml/2006/main" count="63" uniqueCount="46">
  <si>
    <t>ID_CARRERA</t>
  </si>
  <si>
    <t>NOMBRE_CARRERA</t>
  </si>
  <si>
    <t>SEMANAS</t>
  </si>
  <si>
    <t>TOTAL HORAS</t>
  </si>
  <si>
    <t>FECHA_INICIO</t>
  </si>
  <si>
    <t>FECHA_FIN</t>
  </si>
  <si>
    <t>ESTADO</t>
  </si>
  <si>
    <t>FCACC-AD-EM</t>
  </si>
  <si>
    <t>ADMINISTRACIÓN DE EMPRESAS</t>
  </si>
  <si>
    <t>FCACC-AU-CO-GE</t>
  </si>
  <si>
    <t>AUDITORÍA Y CONTROL DE GESTIÓN 2024 NS</t>
  </si>
  <si>
    <t>FCACC-BI-RA</t>
  </si>
  <si>
    <t>BIENES RAICES</t>
  </si>
  <si>
    <t>FCACC-CO-EX</t>
  </si>
  <si>
    <t>COMERCIO EXTERIOR</t>
  </si>
  <si>
    <t>FCACC-CO-AD</t>
  </si>
  <si>
    <t>CONTABILIDAD Y AUDITORÍA 2024 NS</t>
  </si>
  <si>
    <t>FCACC-FINA</t>
  </si>
  <si>
    <t>FINANZAS 2024 NS</t>
  </si>
  <si>
    <t>FCACC-GE-IN-GE</t>
  </si>
  <si>
    <t>GESTION DE LA INFORMACIÓN GERENCIA - 2024</t>
  </si>
  <si>
    <t>FCACC-GE-TA-HU</t>
  </si>
  <si>
    <t>GESTIÓN DEL TALENTO HUMANO</t>
  </si>
  <si>
    <t>FCACC-MA</t>
  </si>
  <si>
    <t>MARKETING</t>
  </si>
  <si>
    <t>FCACC-1-DO-CL</t>
  </si>
  <si>
    <t xml:space="preserve">1. Docencia - Clases </t>
  </si>
  <si>
    <t>FCACC-5-DO-PE-IN</t>
  </si>
  <si>
    <t>5. Docencia - Uso pedagógico de la investigación</t>
  </si>
  <si>
    <t>FCACC-4-DO-TU-TI</t>
  </si>
  <si>
    <t>4. Docencia - Tutoría de titulación</t>
  </si>
  <si>
    <t>FCACC-6-IVN</t>
  </si>
  <si>
    <t xml:space="preserve">6. Investigación </t>
  </si>
  <si>
    <t>FCACC-9-GE_ED</t>
  </si>
  <si>
    <t xml:space="preserve">9. Gestión Educativa </t>
  </si>
  <si>
    <t>FCACC-8-VI-SO</t>
  </si>
  <si>
    <t xml:space="preserve">8. Vinculación con la Sociedad </t>
  </si>
  <si>
    <t>FCACC-8-PRAC</t>
  </si>
  <si>
    <t>Prácticas</t>
  </si>
  <si>
    <t>FCACC-8-TITU</t>
  </si>
  <si>
    <t>Titulación</t>
  </si>
  <si>
    <t>AÑO_INICIO</t>
  </si>
  <si>
    <t>AÑO_FIN</t>
  </si>
  <si>
    <t>AUDITORÍA Y CONTROL DE GESTIÓN 2024</t>
  </si>
  <si>
    <t>CONTABILIDAD Y ADITORÍA 2024</t>
  </si>
  <si>
    <t>FINANZAS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</si>
</sst>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  <fill>
        <patternFill patternType="none"/>
      </fill>
    </dxf>
    <dxf>
      <numFmt numFmtId="19" formatCode="dd/mm/yyyy"/>
      <fill>
        <patternFill patternType="none"/>
      </fill>
    </dxf>
    <dxf>
      <numFmt numFmtId="19" formatCode="dd/mm/yyyy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1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2EFDA"/>
          <bgColor rgb="FFE2EFDA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70AD47"/>
          <bgColor rgb="FF70AD47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EDDE18-FC28-4246-AE90-09C24689B2D7}" autoFormatId="16" applyNumberFormats="0" applyBorderFormats="0" applyFontFormats="0" applyPatternFormats="0" applyAlignmentFormats="0" applyWidthHeightFormats="0">
  <queryTableRefresh nextId="5">
    <queryTableFields count="4">
      <queryTableField id="1" name="ID_CARRERA" tableColumnId="1"/>
      <queryTableField id="2" name="NOMBRE_CARRERA" tableColumnId="2"/>
      <queryTableField id="3" name="AÑO_INICIO" tableColumnId="3"/>
      <queryTableField id="4" name="AÑO_FIN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E6909-ED37-4A41-AD39-FD8A55AFED19}" name="Tabla1" displayName="Tabla1" ref="A1:G18" totalsRowShown="0" headerRowDxfId="11" dataDxfId="10" tableBorderDxfId="9">
  <autoFilter ref="A1:G18" xr:uid="{D0CE6909-ED37-4A41-AD39-FD8A55AFED19}"/>
  <tableColumns count="7">
    <tableColumn id="1" xr3:uid="{840025EF-DED9-4E0E-98C3-390DA40C30C7}" name="ID_CARRERA" dataDxfId="8"/>
    <tableColumn id="2" xr3:uid="{DDC97992-0310-4C13-A8C2-0873A079A39E}" name="NOMBRE_CARRERA" dataDxfId="7"/>
    <tableColumn id="6" xr3:uid="{797C46A0-4518-4F23-9C85-0BED86142EE1}" name="SEMANAS" dataDxfId="6"/>
    <tableColumn id="7" xr3:uid="{F71635F3-73B8-403E-84C2-BCFFF3CFAEDA}" name="TOTAL HORAS" dataDxfId="5"/>
    <tableColumn id="3" xr3:uid="{0AD31D38-3207-4CD6-853B-4CE482CDB3CB}" name="FECHA_INICIO" dataDxfId="4"/>
    <tableColumn id="4" xr3:uid="{96EA42AB-A7CA-4C20-9306-C22FC8316DF2}" name="FECHA_FIN" dataDxfId="3"/>
    <tableColumn id="5" xr3:uid="{AA6A8FFA-CC5C-4F63-8F9E-37FEEB27987D}" name="ESTADO" dataDxfId="2">
      <calculatedColumnFormula>IF(Tabla1[[#This Row],[FECHA_FIN]]&gt;NOW(),"Vigente","Cerrada")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6729B5-4B3B-4AB9-B05E-4B3440D4A134}" name="T_CARREAS" displayName="T_CARREAS" ref="A1:D10" tableType="queryTable" totalsRowShown="0">
  <autoFilter ref="A1:D10" xr:uid="{B46729B5-4B3B-4AB9-B05E-4B3440D4A134}"/>
  <tableColumns count="4">
    <tableColumn id="1" xr3:uid="{251D8D7C-9188-49A3-B470-C8E4DF0E5443}" uniqueName="1" name="ID_CARRERA" queryTableFieldId="1" dataDxfId="1"/>
    <tableColumn id="2" xr3:uid="{98414870-4F18-46F7-B12C-78255041BC2A}" uniqueName="2" name="NOMBRE_CARRERA" queryTableFieldId="2" dataDxfId="0"/>
    <tableColumn id="3" xr3:uid="{D964CD58-A00C-409A-B0C1-6428C5BE7384}" uniqueName="3" name="AÑO_INICIO" queryTableFieldId="3"/>
    <tableColumn id="4" xr3:uid="{337CAAB6-2E13-47C0-B704-352A785FDBF4}" uniqueName="4" name="AÑO_FI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A2" workbookViewId="0">
      <selection activeCell="B6" sqref="B6"/>
    </sheetView>
  </sheetViews>
  <sheetFormatPr defaultRowHeight="15"/>
  <cols>
    <col min="1" max="1" width="16.42578125" customWidth="1"/>
    <col min="2" max="2" width="52.85546875" customWidth="1"/>
    <col min="3" max="3" width="12" customWidth="1"/>
    <col min="4" max="4" width="13.85546875" customWidth="1"/>
    <col min="5" max="5" width="11.140625" bestFit="1" customWidth="1"/>
    <col min="6" max="6" width="13.710937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>
      <c r="A2" t="s">
        <v>7</v>
      </c>
      <c r="B2" s="4" t="s">
        <v>8</v>
      </c>
      <c r="C2" s="4">
        <v>16</v>
      </c>
      <c r="D2" s="4">
        <v>240</v>
      </c>
      <c r="E2" s="2">
        <v>43831</v>
      </c>
      <c r="F2" s="2">
        <v>51501</v>
      </c>
      <c r="G2" t="str">
        <f ca="1">IF(Tabla1[[#This Row],[FECHA_FIN]]&gt;NOW(),"Vigente","Cerrada")</f>
        <v>Vigente</v>
      </c>
    </row>
    <row r="3" spans="1:7" ht="15.75">
      <c r="A3" t="s">
        <v>9</v>
      </c>
      <c r="B3" s="5" t="s">
        <v>10</v>
      </c>
      <c r="C3" s="4">
        <v>16</v>
      </c>
      <c r="D3" s="4">
        <v>240</v>
      </c>
      <c r="E3" s="2">
        <v>43831</v>
      </c>
      <c r="F3" s="2">
        <v>51501</v>
      </c>
      <c r="G3" t="str">
        <f ca="1">IF(Tabla1[[#This Row],[FECHA_FIN]]&gt;NOW(),"Vigente","Cerrada")</f>
        <v>Vigente</v>
      </c>
    </row>
    <row r="4" spans="1:7" ht="15.75">
      <c r="A4" t="s">
        <v>11</v>
      </c>
      <c r="B4" s="4" t="s">
        <v>12</v>
      </c>
      <c r="C4" s="4">
        <v>16</v>
      </c>
      <c r="D4" s="4">
        <v>240</v>
      </c>
      <c r="E4" s="2">
        <v>43831</v>
      </c>
      <c r="F4" s="2">
        <v>51501</v>
      </c>
      <c r="G4" t="str">
        <f ca="1">IF(Tabla1[[#This Row],[FECHA_FIN]]&gt;NOW(),"Vigente","Cerrada")</f>
        <v>Vigente</v>
      </c>
    </row>
    <row r="5" spans="1:7" ht="15.75">
      <c r="A5" t="s">
        <v>13</v>
      </c>
      <c r="B5" s="5" t="s">
        <v>14</v>
      </c>
      <c r="C5" s="4">
        <v>16</v>
      </c>
      <c r="D5" s="4">
        <v>240</v>
      </c>
      <c r="E5" s="2">
        <v>43831</v>
      </c>
      <c r="F5" s="2">
        <v>51501</v>
      </c>
      <c r="G5" t="str">
        <f ca="1">IF(Tabla1[[#This Row],[FECHA_FIN]]&gt;NOW(),"Vigente","Cerrada")</f>
        <v>Vigente</v>
      </c>
    </row>
    <row r="6" spans="1:7" ht="15.75">
      <c r="A6" t="s">
        <v>15</v>
      </c>
      <c r="B6" s="5" t="s">
        <v>16</v>
      </c>
      <c r="C6" s="4">
        <v>16</v>
      </c>
      <c r="D6" s="4">
        <v>240</v>
      </c>
      <c r="E6" s="2">
        <v>43831</v>
      </c>
      <c r="F6" s="2">
        <v>51501</v>
      </c>
      <c r="G6" t="str">
        <f ca="1">IF(Tabla1[[#This Row],[FECHA_FIN]]&gt;NOW(),"Vigente","Cerrada")</f>
        <v>Vigente</v>
      </c>
    </row>
    <row r="7" spans="1:7" ht="15.75">
      <c r="A7" t="s">
        <v>17</v>
      </c>
      <c r="B7" s="5" t="s">
        <v>18</v>
      </c>
      <c r="C7" s="4">
        <v>16</v>
      </c>
      <c r="D7" s="4">
        <v>240</v>
      </c>
      <c r="E7" s="2">
        <v>43831</v>
      </c>
      <c r="F7" s="2">
        <v>51501</v>
      </c>
      <c r="G7" t="str">
        <f ca="1">IF(Tabla1[[#This Row],[FECHA_FIN]]&gt;NOW(),"Vigente","Cerrada")</f>
        <v>Vigente</v>
      </c>
    </row>
    <row r="8" spans="1:7" ht="15.75">
      <c r="A8" t="s">
        <v>19</v>
      </c>
      <c r="B8" s="5" t="s">
        <v>20</v>
      </c>
      <c r="C8" s="4">
        <v>16</v>
      </c>
      <c r="D8" s="4">
        <v>240</v>
      </c>
      <c r="E8" s="2">
        <v>43831</v>
      </c>
      <c r="F8" s="2">
        <v>51501</v>
      </c>
      <c r="G8" t="str">
        <f ca="1">IF(Tabla1[[#This Row],[FECHA_FIN]]&gt;NOW(),"Vigente","Cerrada")</f>
        <v>Vigente</v>
      </c>
    </row>
    <row r="9" spans="1:7" ht="15.75">
      <c r="A9" t="s">
        <v>21</v>
      </c>
      <c r="B9" s="4" t="s">
        <v>22</v>
      </c>
      <c r="C9" s="4">
        <v>16</v>
      </c>
      <c r="D9" s="4">
        <v>240</v>
      </c>
      <c r="E9" s="2">
        <v>43831</v>
      </c>
      <c r="F9" s="2">
        <v>51501</v>
      </c>
      <c r="G9" t="str">
        <f ca="1">IF(Tabla1[[#This Row],[FECHA_FIN]]&gt;NOW(),"Vigente","Cerrada")</f>
        <v>Vigente</v>
      </c>
    </row>
    <row r="10" spans="1:7" ht="15.75">
      <c r="A10" t="s">
        <v>23</v>
      </c>
      <c r="B10" s="5" t="s">
        <v>24</v>
      </c>
      <c r="C10" s="4">
        <v>16</v>
      </c>
      <c r="D10" s="4">
        <v>240</v>
      </c>
      <c r="E10" s="2">
        <v>43831</v>
      </c>
      <c r="F10" s="2">
        <v>51501</v>
      </c>
      <c r="G10" t="str">
        <f ca="1">IF(Tabla1[[#This Row],[FECHA_FIN]]&gt;NOW(),"Vigente","Cerrada")</f>
        <v>Vigente</v>
      </c>
    </row>
    <row r="11" spans="1:7" ht="15.75">
      <c r="A11" t="s">
        <v>25</v>
      </c>
      <c r="B11" s="5" t="s">
        <v>26</v>
      </c>
      <c r="C11" s="4">
        <v>1</v>
      </c>
      <c r="D11" s="4">
        <v>1</v>
      </c>
      <c r="E11" s="2">
        <v>43831</v>
      </c>
      <c r="F11" s="2">
        <v>51501</v>
      </c>
      <c r="G11" t="str">
        <f ca="1">IF(Tabla1[[#This Row],[FECHA_FIN]]&gt;NOW(),"Vigente","Cerrada")</f>
        <v>Vigente</v>
      </c>
    </row>
    <row r="12" spans="1:7" ht="15.75">
      <c r="A12" t="s">
        <v>27</v>
      </c>
      <c r="B12" s="5" t="s">
        <v>28</v>
      </c>
      <c r="C12" s="4">
        <v>1</v>
      </c>
      <c r="D12" s="4">
        <v>1</v>
      </c>
      <c r="E12" s="2">
        <v>43831</v>
      </c>
      <c r="F12" s="2">
        <v>51501</v>
      </c>
      <c r="G12" t="str">
        <f ca="1">IF(Tabla1[[#This Row],[FECHA_FIN]]&gt;NOW(),"Vigente","Cerrada")</f>
        <v>Vigente</v>
      </c>
    </row>
    <row r="13" spans="1:7" ht="15.75">
      <c r="A13" t="s">
        <v>29</v>
      </c>
      <c r="B13" s="5" t="s">
        <v>30</v>
      </c>
      <c r="C13" s="4">
        <v>1</v>
      </c>
      <c r="D13" s="4">
        <v>1</v>
      </c>
      <c r="E13" s="2">
        <v>43831</v>
      </c>
      <c r="F13" s="2">
        <v>51501</v>
      </c>
      <c r="G13" t="str">
        <f ca="1">IF(Tabla1[[#This Row],[FECHA_FIN]]&gt;NOW(),"Vigente","Cerrada")</f>
        <v>Vigente</v>
      </c>
    </row>
    <row r="14" spans="1:7" ht="15.75">
      <c r="A14" t="s">
        <v>31</v>
      </c>
      <c r="B14" s="5" t="s">
        <v>32</v>
      </c>
      <c r="C14" s="4">
        <v>1</v>
      </c>
      <c r="D14" s="4">
        <v>1</v>
      </c>
      <c r="E14" s="2">
        <v>43831</v>
      </c>
      <c r="F14" s="2">
        <v>51501</v>
      </c>
      <c r="G14" t="str">
        <f ca="1">IF(Tabla1[[#This Row],[FECHA_FIN]]&gt;NOW(),"Vigente","Cerrada")</f>
        <v>Vigente</v>
      </c>
    </row>
    <row r="15" spans="1:7" ht="15.75">
      <c r="A15" t="s">
        <v>33</v>
      </c>
      <c r="B15" s="5" t="s">
        <v>34</v>
      </c>
      <c r="C15" s="4">
        <v>1</v>
      </c>
      <c r="D15" s="4">
        <v>1</v>
      </c>
      <c r="E15" s="2">
        <v>43831</v>
      </c>
      <c r="F15" s="2">
        <v>51501</v>
      </c>
      <c r="G15" t="str">
        <f ca="1">IF(Tabla1[[#This Row],[FECHA_FIN]]&gt;NOW(),"Vigente","Cerrada")</f>
        <v>Vigente</v>
      </c>
    </row>
    <row r="16" spans="1:7" ht="15.75">
      <c r="A16" t="s">
        <v>35</v>
      </c>
      <c r="B16" s="5" t="s">
        <v>36</v>
      </c>
      <c r="C16" s="4">
        <v>1</v>
      </c>
      <c r="D16" s="4">
        <v>1</v>
      </c>
      <c r="E16" s="2">
        <v>43831</v>
      </c>
      <c r="F16" s="2">
        <v>51501</v>
      </c>
      <c r="G16" t="str">
        <f ca="1">IF(Tabla1[[#This Row],[FECHA_FIN]]&gt;NOW(),"Vigente","Cerrada")</f>
        <v>Vigente</v>
      </c>
    </row>
    <row r="17" spans="1:7" ht="15.75">
      <c r="A17" t="s">
        <v>37</v>
      </c>
      <c r="B17" s="5" t="s">
        <v>38</v>
      </c>
      <c r="C17" s="4">
        <v>1</v>
      </c>
      <c r="D17" s="4">
        <v>1</v>
      </c>
      <c r="E17" s="2">
        <v>43831</v>
      </c>
      <c r="F17" s="2">
        <v>51501</v>
      </c>
      <c r="G17" t="str">
        <f ca="1">IF(Tabla1[[#This Row],[FECHA_FIN]]&gt;NOW(),"Vigente","Cerrada")</f>
        <v>Vigente</v>
      </c>
    </row>
    <row r="18" spans="1:7" ht="15.75">
      <c r="A18" t="s">
        <v>39</v>
      </c>
      <c r="B18" s="5" t="s">
        <v>40</v>
      </c>
      <c r="C18" s="4">
        <v>1</v>
      </c>
      <c r="D18" s="4">
        <v>1</v>
      </c>
      <c r="E18" s="2">
        <v>43831</v>
      </c>
      <c r="F18" s="2">
        <v>51501</v>
      </c>
      <c r="G18" t="str">
        <f ca="1">IF(Tabla1[[#This Row],[FECHA_FIN]]&gt;NOW(),"Vigente","Cerrada")</f>
        <v>Vigente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19F0-E2C4-40BE-8FB9-DEF6CB869354}">
  <dimension ref="A1:D10"/>
  <sheetViews>
    <sheetView workbookViewId="0">
      <selection activeCell="A2" sqref="A2:A10"/>
    </sheetView>
  </sheetViews>
  <sheetFormatPr defaultRowHeight="15"/>
  <cols>
    <col min="1" max="1" width="17.140625" customWidth="1"/>
    <col min="2" max="2" width="42.85546875" bestFit="1" customWidth="1"/>
    <col min="3" max="3" width="14.140625" bestFit="1" customWidth="1"/>
    <col min="4" max="4" width="11.28515625" bestFit="1" customWidth="1"/>
  </cols>
  <sheetData>
    <row r="1" spans="1:4">
      <c r="A1" t="s">
        <v>0</v>
      </c>
      <c r="B1" t="s">
        <v>1</v>
      </c>
      <c r="C1" t="s">
        <v>41</v>
      </c>
      <c r="D1" t="s">
        <v>42</v>
      </c>
    </row>
    <row r="2" spans="1:4">
      <c r="A2" t="s">
        <v>7</v>
      </c>
      <c r="B2" t="s">
        <v>8</v>
      </c>
      <c r="C2">
        <v>2020</v>
      </c>
      <c r="D2">
        <v>2030</v>
      </c>
    </row>
    <row r="3" spans="1:4">
      <c r="A3" t="s">
        <v>9</v>
      </c>
      <c r="B3" s="1" t="s">
        <v>43</v>
      </c>
      <c r="C3">
        <v>2020</v>
      </c>
      <c r="D3">
        <v>2030</v>
      </c>
    </row>
    <row r="4" spans="1:4">
      <c r="A4" t="s">
        <v>11</v>
      </c>
      <c r="B4" t="s">
        <v>12</v>
      </c>
      <c r="C4">
        <v>2020</v>
      </c>
      <c r="D4">
        <v>2030</v>
      </c>
    </row>
    <row r="5" spans="1:4">
      <c r="A5" t="s">
        <v>13</v>
      </c>
      <c r="B5" t="s">
        <v>14</v>
      </c>
      <c r="C5">
        <v>2020</v>
      </c>
      <c r="D5">
        <v>2030</v>
      </c>
    </row>
    <row r="6" spans="1:4">
      <c r="A6" t="s">
        <v>15</v>
      </c>
      <c r="B6" t="s">
        <v>44</v>
      </c>
      <c r="C6">
        <v>2020</v>
      </c>
      <c r="D6">
        <v>2030</v>
      </c>
    </row>
    <row r="7" spans="1:4">
      <c r="A7" t="s">
        <v>17</v>
      </c>
      <c r="B7" t="s">
        <v>45</v>
      </c>
      <c r="C7">
        <v>2020</v>
      </c>
      <c r="D7">
        <v>2030</v>
      </c>
    </row>
    <row r="8" spans="1:4">
      <c r="A8" t="s">
        <v>19</v>
      </c>
      <c r="B8" t="s">
        <v>20</v>
      </c>
      <c r="C8">
        <v>2020</v>
      </c>
      <c r="D8">
        <v>2030</v>
      </c>
    </row>
    <row r="9" spans="1:4">
      <c r="A9" t="s">
        <v>21</v>
      </c>
      <c r="B9" t="s">
        <v>22</v>
      </c>
      <c r="C9">
        <v>2020</v>
      </c>
      <c r="D9">
        <v>2030</v>
      </c>
    </row>
    <row r="10" spans="1:4">
      <c r="A10" t="s">
        <v>23</v>
      </c>
      <c r="B10" t="s">
        <v>24</v>
      </c>
      <c r="C10">
        <v>2020</v>
      </c>
      <c r="D10">
        <v>2030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845905-6DA3-4A46-8652-5C97FF43E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2026-06-12T20:18:31Z</dcterms:created>
  <dcterms:modified xsi:type="dcterms:W3CDTF">2026-06-23T17:46:15Z</dcterms:modified>
  <cp:category/>
  <cp:contentStatus/>
</cp:coreProperties>
</file>